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at\Desktop\SX_Однолинейка\odnolineyka\_Разработка\2026-10-03_v4\out\"/>
    </mc:Choice>
  </mc:AlternateContent>
  <xr:revisionPtr revIDLastSave="0" documentId="13_ncr:1_{87FAAE3F-55B9-44C1-9FF3-5C9C4F175FDC}" xr6:coauthVersionLast="47" xr6:coauthVersionMax="47" xr10:uidLastSave="{00000000-0000-0000-0000-000000000000}"/>
  <bookViews>
    <workbookView xWindow="-108" yWindow="-108" windowWidth="23256" windowHeight="13896" xr2:uid="{6F064ABD-BBF2-4C61-AEC3-7F7A262BA80C}"/>
  </bookViews>
  <sheets>
    <sheet name="Гайд" sheetId="61" r:id="rId1"/>
    <sheet name="Проверка" sheetId="60" r:id="rId2"/>
    <sheet name="Объект" sheetId="51" r:id="rId3"/>
    <sheet name="Коды" sheetId="52" r:id="rId4"/>
    <sheet name="Щиты" sheetId="53" r:id="rId5"/>
    <sheet name="Итоги_щитов" sheetId="59" r:id="rId6"/>
    <sheet name="Шины" sheetId="55" r:id="rId7"/>
    <sheet name="Линии" sheetId="54" r:id="rId8"/>
    <sheet name="Режимы" sheetId="56" r:id="rId9"/>
    <sheet name="Расчёт_нагрузок" sheetId="57" r:id="rId10"/>
    <sheet name="Кабельный_журнал" sheetId="58" r:id="rId11"/>
    <sheet name="Однолинейка" sheetId="40" r:id="rId12"/>
    <sheet name="Каталог" sheetId="42" r:id="rId13"/>
    <sheet name="Спецификация" sheetId="44" r:id="rId14"/>
    <sheet name="Спецификация_авто" sheetId="16" r:id="rId15"/>
    <sheet name="Бирки" sheetId="43" r:id="rId16"/>
    <sheet name="Методика" sheetId="62" r:id="rId17"/>
    <sheet name="Таблицы_норм" sheetId="10" r:id="rId18"/>
    <sheet name="Справочная_потребители" sheetId="19" state="hidden" r:id="rId19"/>
  </sheets>
  <definedNames>
    <definedName name="_xlnm._FilterDatabase" localSheetId="12" hidden="1">Каталог!$A$3:$P$500</definedName>
    <definedName name="_xlnm._FilterDatabase" localSheetId="11" hidden="1">Однолинейка!$A$2:$AD$1000</definedName>
    <definedName name="c_min">Объект!$C$7</definedName>
    <definedName name="dU_пит">Таблицы_норм!$BQ$31</definedName>
    <definedName name="Iдоп_1ж">Таблицы_норм!$BY$4:$BY$18</definedName>
    <definedName name="Iдоп_2ж">Таблицы_норм!$BZ$4:$BZ$17</definedName>
    <definedName name="Iдоп_3ж">Таблицы_норм!$CA$4:$CA$17</definedName>
    <definedName name="Iдоп_S">Таблицы_норм!$BX$4:$BX$18</definedName>
    <definedName name="k_пк">Объект!$C$9</definedName>
    <definedName name="R_пер">Объект!$C$6</definedName>
    <definedName name="Uн_лин">Таблицы_норм!$BQ$29</definedName>
    <definedName name="ρкз_Al">Объект!$C$5</definedName>
    <definedName name="ρкз_Cu">Объект!$C$4</definedName>
    <definedName name="Автомат_номиналы">Таблицы_норм!$F$4:$G$23</definedName>
    <definedName name="гофра_пвх">Справочная_потребители!$Z$4:$AB$9</definedName>
    <definedName name="гофра_пнд">Справочная_потребители!$AD$4:$AF$9</definedName>
    <definedName name="Запас_кабеля">Кабельный_журнал!$P$2</definedName>
    <definedName name="ИБП_cos_вх">Объект!$C$22</definedName>
    <definedName name="ИБП_cos_вых">Объект!$C$16</definedName>
    <definedName name="ИБП_k">Объект!$C$20</definedName>
    <definedName name="ИБП_t">Объект!$C$17</definedName>
    <definedName name="ИБП_U">Объект!$C$18</definedName>
    <definedName name="ИБП_загрузка">Объект!$C$15</definedName>
    <definedName name="ИБП_заряд">Объект!$C$21</definedName>
    <definedName name="ИБП_КПД">Объект!$C$19</definedName>
    <definedName name="ИБП_ряд">Объект!$C$24:$N$24</definedName>
    <definedName name="К_прокл">Таблицы_норм!$BQ$30</definedName>
    <definedName name="Кабель_диаметр">Справочная_потребители!$T$4:$X$503</definedName>
    <definedName name="Кабель_номиналы">Таблицы_норм!$I$4:$J$19</definedName>
    <definedName name="Кабель_обозначение">Кабели[]</definedName>
    <definedName name="Кабель_сопротивление">Таблицы_норм!$B$4:$D$19</definedName>
    <definedName name="Категории_ПЗ">Таблицы_норм!$BT$4:$BT$33</definedName>
    <definedName name="Ко_сил">Таблицы_норм!$BQ$14</definedName>
    <definedName name="Коды_вид">Коды[Вид нагрузки]</definedName>
    <definedName name="Коды_группа">Коды[Группа Кс]</definedName>
    <definedName name="Коды_код">Коды[Код]</definedName>
    <definedName name="Коды_пожарная">Коды[Пожарная]</definedName>
    <definedName name="Кс_К">Таблицы_норм!$BQ$4:$BQ$11</definedName>
    <definedName name="Кс_Р">Таблицы_норм!$BP$4:$BP$11</definedName>
    <definedName name="Кс75_k">Объект!$G$3:$G$14</definedName>
    <definedName name="Кс75_n">Объект!$F$3:$F$14</definedName>
    <definedName name="Методика">Объект!$C$8</definedName>
    <definedName name="Мин_автомат_БП">Таблицы_норм!$BF$5</definedName>
    <definedName name="Модели_список">OFFSET(Каталог!$AB$3,0,0,1+MAX(Каталог!$AA$4:$AA$500),1)</definedName>
    <definedName name="Модули_спр">Каталог!$C$4:$F$500</definedName>
    <definedName name="Потребители_обозначение">Коды[[Код]:[Сечение]]</definedName>
    <definedName name="Спецификация">Спецификация!$B$3:$J$60</definedName>
    <definedName name="Список_автоматов">OFFSET(Каталог!$X$3,0,0,1+MAX(Каталог!$W$4:$W$500),1)</definedName>
    <definedName name="Список_аппаратов">OFFSET(Каталог!$Z$4,0,0,MAX(1,MAX(Каталог!$Y$4:$Y$500)),1)</definedName>
    <definedName name="Список_модулей">OFFSET(Каталог!$AB$3,0,0,1+MAX(Каталог!$AA$4:$AA$500),1)</definedName>
    <definedName name="Список_произв">OFFSET(Каталог!$AD$3,0,0,1+MAX(Каталог!$AC$4:$AC$500),1)</definedName>
    <definedName name="Список_щитов">Щиты[Щит]</definedName>
    <definedName name="Справочная_двигатели">Справочная_потребители!$B$4:$K$37</definedName>
    <definedName name="Справочная_ЛЭД">Справочная_потребители!$M$4:$O$19</definedName>
    <definedName name="Справочная_ПТО">Таблицы_норм!$AJ$4:$AK$200</definedName>
    <definedName name="Столбцов_на_лист">Таблицы_норм!$BF$4</definedName>
    <definedName name="УГО_блоки">Таблицы_норм!$BA$4:$BC$30</definedName>
    <definedName name="УГО_спр">УГО[]</definedName>
    <definedName name="Управление_цвета">Таблицы_норм!$AQ$4:$AS$10</definedName>
    <definedName name="Щит_спец">Спецификация!$L$1</definedName>
    <definedName name="Этаж_обозначение">Этажи[]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" i="42" l="1"/>
  <c r="U5" i="42"/>
  <c r="U6" i="42"/>
  <c r="U7" i="42"/>
  <c r="U8" i="42"/>
  <c r="U9" i="42"/>
  <c r="U10" i="42"/>
  <c r="U11" i="42"/>
  <c r="U12" i="42"/>
  <c r="V12" i="42" s="1"/>
  <c r="U13" i="42"/>
  <c r="V13" i="42" s="1"/>
  <c r="U14" i="42"/>
  <c r="U15" i="42"/>
  <c r="U16" i="42"/>
  <c r="U17" i="42"/>
  <c r="U18" i="42"/>
  <c r="U19" i="42"/>
  <c r="U20" i="42"/>
  <c r="U21" i="42"/>
  <c r="U22" i="42"/>
  <c r="U23" i="42"/>
  <c r="U24" i="42"/>
  <c r="U25" i="42"/>
  <c r="U26" i="42"/>
  <c r="U27" i="42"/>
  <c r="U28" i="42"/>
  <c r="U29" i="42"/>
  <c r="V29" i="42" s="1"/>
  <c r="U30" i="42"/>
  <c r="U31" i="42"/>
  <c r="U32" i="42"/>
  <c r="U33" i="42"/>
  <c r="U34" i="42"/>
  <c r="U35" i="42"/>
  <c r="U36" i="42"/>
  <c r="U37" i="42"/>
  <c r="U38" i="42"/>
  <c r="U39" i="42"/>
  <c r="U40" i="42"/>
  <c r="U41" i="42"/>
  <c r="U42" i="42"/>
  <c r="U43" i="42"/>
  <c r="V43" i="42" s="1"/>
  <c r="U44" i="42"/>
  <c r="U45" i="42"/>
  <c r="V45" i="42" s="1"/>
  <c r="U46" i="42"/>
  <c r="U47" i="42"/>
  <c r="U48" i="42"/>
  <c r="U49" i="42"/>
  <c r="U50" i="42"/>
  <c r="V50" i="42" s="1"/>
  <c r="U51" i="42"/>
  <c r="U52" i="42"/>
  <c r="U53" i="42"/>
  <c r="U54" i="42"/>
  <c r="U55" i="42"/>
  <c r="U56" i="42"/>
  <c r="U57" i="42"/>
  <c r="U58" i="42"/>
  <c r="U59" i="42"/>
  <c r="U60" i="42"/>
  <c r="U61" i="42"/>
  <c r="U62" i="42"/>
  <c r="V62" i="42" s="1"/>
  <c r="U63" i="42"/>
  <c r="U64" i="42"/>
  <c r="U65" i="42"/>
  <c r="U66" i="42"/>
  <c r="U67" i="42"/>
  <c r="U68" i="42"/>
  <c r="U69" i="42"/>
  <c r="U70" i="42"/>
  <c r="U71" i="42"/>
  <c r="U72" i="42"/>
  <c r="U73" i="42"/>
  <c r="U74" i="42"/>
  <c r="U75" i="42"/>
  <c r="U76" i="42"/>
  <c r="V76" i="42" s="1"/>
  <c r="U77" i="42"/>
  <c r="U78" i="42"/>
  <c r="U79" i="42"/>
  <c r="U80" i="42"/>
  <c r="U81" i="42"/>
  <c r="U82" i="42"/>
  <c r="V82" i="42" s="1"/>
  <c r="U83" i="42"/>
  <c r="U84" i="42"/>
  <c r="U85" i="42"/>
  <c r="U86" i="42"/>
  <c r="U87" i="42"/>
  <c r="U88" i="42"/>
  <c r="U89" i="42"/>
  <c r="U90" i="42"/>
  <c r="U91" i="42"/>
  <c r="V91" i="42" s="1"/>
  <c r="U92" i="42"/>
  <c r="U93" i="42"/>
  <c r="V93" i="42" s="1"/>
  <c r="U94" i="42"/>
  <c r="U95" i="42"/>
  <c r="U96" i="42"/>
  <c r="U97" i="42"/>
  <c r="U98" i="42"/>
  <c r="V98" i="42" s="1"/>
  <c r="U99" i="42"/>
  <c r="U100" i="42"/>
  <c r="U101" i="42"/>
  <c r="U102" i="42"/>
  <c r="U103" i="42"/>
  <c r="U104" i="42"/>
  <c r="U105" i="42"/>
  <c r="U106" i="42"/>
  <c r="U107" i="42"/>
  <c r="V107" i="42" s="1"/>
  <c r="U108" i="42"/>
  <c r="U109" i="42"/>
  <c r="U110" i="42"/>
  <c r="U111" i="42"/>
  <c r="U112" i="42"/>
  <c r="U113" i="42"/>
  <c r="U114" i="42"/>
  <c r="V114" i="42" s="1"/>
  <c r="U115" i="42"/>
  <c r="U116" i="42"/>
  <c r="U117" i="42"/>
  <c r="U118" i="42"/>
  <c r="U119" i="42"/>
  <c r="U120" i="42"/>
  <c r="U121" i="42"/>
  <c r="U122" i="42"/>
  <c r="U123" i="42"/>
  <c r="V123" i="42" s="1"/>
  <c r="U124" i="42"/>
  <c r="U125" i="42"/>
  <c r="U126" i="42"/>
  <c r="V126" i="42" s="1"/>
  <c r="U127" i="42"/>
  <c r="U128" i="42"/>
  <c r="U129" i="42"/>
  <c r="U130" i="42"/>
  <c r="U131" i="42"/>
  <c r="U132" i="42"/>
  <c r="U133" i="42"/>
  <c r="U134" i="42"/>
  <c r="U135" i="42"/>
  <c r="U136" i="42"/>
  <c r="U137" i="42"/>
  <c r="U138" i="42"/>
  <c r="U139" i="42"/>
  <c r="U140" i="42"/>
  <c r="V140" i="42" s="1"/>
  <c r="U141" i="42"/>
  <c r="U142" i="42"/>
  <c r="U143" i="42"/>
  <c r="U144" i="42"/>
  <c r="U145" i="42"/>
  <c r="U146" i="42"/>
  <c r="U147" i="42"/>
  <c r="V147" i="42" s="1"/>
  <c r="U148" i="42"/>
  <c r="U149" i="42"/>
  <c r="U150" i="42"/>
  <c r="U151" i="42"/>
  <c r="U152" i="42"/>
  <c r="U153" i="42"/>
  <c r="U154" i="42"/>
  <c r="U155" i="42"/>
  <c r="U156" i="42"/>
  <c r="U157" i="42"/>
  <c r="V157" i="42" s="1"/>
  <c r="U158" i="42"/>
  <c r="U159" i="42"/>
  <c r="U160" i="42"/>
  <c r="U161" i="42"/>
  <c r="U162" i="42"/>
  <c r="U163" i="42"/>
  <c r="U164" i="42"/>
  <c r="U165" i="42"/>
  <c r="U166" i="42"/>
  <c r="U167" i="42"/>
  <c r="U168" i="42"/>
  <c r="U169" i="42"/>
  <c r="U170" i="42"/>
  <c r="U171" i="42"/>
  <c r="U172" i="42"/>
  <c r="V172" i="42" s="1"/>
  <c r="U173" i="42"/>
  <c r="U174" i="42"/>
  <c r="V174" i="42" s="1"/>
  <c r="U175" i="42"/>
  <c r="U176" i="42"/>
  <c r="U177" i="42"/>
  <c r="U178" i="42"/>
  <c r="V178" i="42" s="1"/>
  <c r="U179" i="42"/>
  <c r="U180" i="42"/>
  <c r="U181" i="42"/>
  <c r="U182" i="42"/>
  <c r="U183" i="42"/>
  <c r="U184" i="42"/>
  <c r="U185" i="42"/>
  <c r="U186" i="42"/>
  <c r="U187" i="42"/>
  <c r="U188" i="42"/>
  <c r="U189" i="42"/>
  <c r="U190" i="42"/>
  <c r="V190" i="42" s="1"/>
  <c r="U191" i="42"/>
  <c r="U192" i="42"/>
  <c r="U193" i="42"/>
  <c r="U194" i="42"/>
  <c r="U195" i="42"/>
  <c r="U196" i="42"/>
  <c r="U197" i="42"/>
  <c r="U198" i="42"/>
  <c r="U199" i="42"/>
  <c r="U200" i="42"/>
  <c r="U201" i="42"/>
  <c r="U202" i="42"/>
  <c r="U203" i="42"/>
  <c r="V203" i="42" s="1"/>
  <c r="U204" i="42"/>
  <c r="V204" i="42" s="1"/>
  <c r="U205" i="42"/>
  <c r="U206" i="42"/>
  <c r="U207" i="42"/>
  <c r="U208" i="42"/>
  <c r="U209" i="42"/>
  <c r="U210" i="42"/>
  <c r="U211" i="42"/>
  <c r="U212" i="42"/>
  <c r="U213" i="42"/>
  <c r="U214" i="42"/>
  <c r="U215" i="42"/>
  <c r="U216" i="42"/>
  <c r="U217" i="42"/>
  <c r="U218" i="42"/>
  <c r="U219" i="42"/>
  <c r="V219" i="42" s="1"/>
  <c r="U220" i="42"/>
  <c r="U221" i="42"/>
  <c r="U222" i="42"/>
  <c r="V222" i="42" s="1"/>
  <c r="U223" i="42"/>
  <c r="U224" i="42"/>
  <c r="U225" i="42"/>
  <c r="U226" i="42"/>
  <c r="U227" i="42"/>
  <c r="U228" i="42"/>
  <c r="U229" i="42"/>
  <c r="U230" i="42"/>
  <c r="U231" i="42"/>
  <c r="U232" i="42"/>
  <c r="U233" i="42"/>
  <c r="U234" i="42"/>
  <c r="U235" i="42"/>
  <c r="U236" i="42"/>
  <c r="U237" i="42"/>
  <c r="U238" i="42"/>
  <c r="U239" i="42"/>
  <c r="U240" i="42"/>
  <c r="U241" i="42"/>
  <c r="U242" i="42"/>
  <c r="U243" i="42"/>
  <c r="V243" i="42" s="1"/>
  <c r="U244" i="42"/>
  <c r="U245" i="42"/>
  <c r="U246" i="42"/>
  <c r="U247" i="42"/>
  <c r="U248" i="42"/>
  <c r="U249" i="42"/>
  <c r="U250" i="42"/>
  <c r="U251" i="42"/>
  <c r="U252" i="42"/>
  <c r="U253" i="42"/>
  <c r="U254" i="42"/>
  <c r="V254" i="42" s="1"/>
  <c r="U255" i="42"/>
  <c r="U256" i="42"/>
  <c r="U257" i="42"/>
  <c r="U258" i="42"/>
  <c r="U259" i="42"/>
  <c r="U260" i="42"/>
  <c r="U261" i="42"/>
  <c r="U262" i="42"/>
  <c r="U263" i="42"/>
  <c r="U264" i="42"/>
  <c r="U265" i="42"/>
  <c r="U266" i="42"/>
  <c r="U267" i="42"/>
  <c r="U268" i="42"/>
  <c r="V268" i="42" s="1"/>
  <c r="U269" i="42"/>
  <c r="U270" i="42"/>
  <c r="U271" i="42"/>
  <c r="U272" i="42"/>
  <c r="U273" i="42"/>
  <c r="U274" i="42"/>
  <c r="U275" i="42"/>
  <c r="U276" i="42"/>
  <c r="U277" i="42"/>
  <c r="U278" i="42"/>
  <c r="U279" i="42"/>
  <c r="U280" i="42"/>
  <c r="U281" i="42"/>
  <c r="U282" i="42"/>
  <c r="U283" i="42"/>
  <c r="V283" i="42" s="1"/>
  <c r="U284" i="42"/>
  <c r="V284" i="42" s="1"/>
  <c r="U285" i="42"/>
  <c r="V285" i="42" s="1"/>
  <c r="U286" i="42"/>
  <c r="U287" i="42"/>
  <c r="U288" i="42"/>
  <c r="U289" i="42"/>
  <c r="V289" i="42" s="1"/>
  <c r="U290" i="42"/>
  <c r="V290" i="42" s="1"/>
  <c r="U291" i="42"/>
  <c r="U292" i="42"/>
  <c r="U293" i="42"/>
  <c r="U294" i="42"/>
  <c r="U295" i="42"/>
  <c r="U296" i="42"/>
  <c r="U297" i="42"/>
  <c r="U298" i="42"/>
  <c r="U299" i="42"/>
  <c r="V299" i="42" s="1"/>
  <c r="U300" i="42"/>
  <c r="U301" i="42"/>
  <c r="U302" i="42"/>
  <c r="V302" i="42" s="1"/>
  <c r="U303" i="42"/>
  <c r="U304" i="42"/>
  <c r="U305" i="42"/>
  <c r="U306" i="42"/>
  <c r="V306" i="42" s="1"/>
  <c r="U307" i="42"/>
  <c r="U308" i="42"/>
  <c r="U309" i="42"/>
  <c r="U310" i="42"/>
  <c r="U311" i="42"/>
  <c r="U312" i="42"/>
  <c r="U313" i="42"/>
  <c r="U314" i="42"/>
  <c r="V314" i="42" s="1"/>
  <c r="U315" i="42"/>
  <c r="V315" i="42" s="1"/>
  <c r="U316" i="42"/>
  <c r="V316" i="42" s="1"/>
  <c r="U317" i="42"/>
  <c r="V317" i="42" s="1"/>
  <c r="U318" i="42"/>
  <c r="V318" i="42" s="1"/>
  <c r="U319" i="42"/>
  <c r="U320" i="42"/>
  <c r="U321" i="42"/>
  <c r="U322" i="42"/>
  <c r="U323" i="42"/>
  <c r="U324" i="42"/>
  <c r="U325" i="42"/>
  <c r="U326" i="42"/>
  <c r="U327" i="42"/>
  <c r="U328" i="42"/>
  <c r="U329" i="42"/>
  <c r="U330" i="42"/>
  <c r="U331" i="42"/>
  <c r="U332" i="42"/>
  <c r="V332" i="42" s="1"/>
  <c r="U333" i="42"/>
  <c r="U334" i="42"/>
  <c r="V334" i="42" s="1"/>
  <c r="U335" i="42"/>
  <c r="U336" i="42"/>
  <c r="U337" i="42"/>
  <c r="V337" i="42" s="1"/>
  <c r="U338" i="42"/>
  <c r="U339" i="42"/>
  <c r="U340" i="42"/>
  <c r="U341" i="42"/>
  <c r="U342" i="42"/>
  <c r="U343" i="42"/>
  <c r="U344" i="42"/>
  <c r="U345" i="42"/>
  <c r="U346" i="42"/>
  <c r="U347" i="42"/>
  <c r="V347" i="42" s="1"/>
  <c r="U348" i="42"/>
  <c r="U349" i="42"/>
  <c r="U350" i="42"/>
  <c r="U351" i="42"/>
  <c r="U352" i="42"/>
  <c r="U353" i="42"/>
  <c r="U354" i="42"/>
  <c r="U355" i="42"/>
  <c r="U356" i="42"/>
  <c r="U357" i="42"/>
  <c r="U358" i="42"/>
  <c r="U359" i="42"/>
  <c r="U360" i="42"/>
  <c r="U361" i="42"/>
  <c r="U362" i="42"/>
  <c r="U363" i="42"/>
  <c r="U364" i="42"/>
  <c r="V364" i="42" s="1"/>
  <c r="U365" i="42"/>
  <c r="V365" i="42" s="1"/>
  <c r="U366" i="42"/>
  <c r="V366" i="42" s="1"/>
  <c r="U367" i="42"/>
  <c r="U368" i="42"/>
  <c r="U369" i="42"/>
  <c r="U370" i="42"/>
  <c r="U371" i="42"/>
  <c r="U372" i="42"/>
  <c r="U373" i="42"/>
  <c r="U374" i="42"/>
  <c r="U375" i="42"/>
  <c r="U376" i="42"/>
  <c r="U377" i="42"/>
  <c r="U378" i="42"/>
  <c r="U379" i="42"/>
  <c r="U380" i="42"/>
  <c r="V380" i="42" s="1"/>
  <c r="U381" i="42"/>
  <c r="U382" i="42"/>
  <c r="V382" i="42" s="1"/>
  <c r="U383" i="42"/>
  <c r="U384" i="42"/>
  <c r="U385" i="42"/>
  <c r="U386" i="42"/>
  <c r="U387" i="42"/>
  <c r="V387" i="42" s="1"/>
  <c r="U388" i="42"/>
  <c r="U389" i="42"/>
  <c r="U390" i="42"/>
  <c r="U391" i="42"/>
  <c r="U392" i="42"/>
  <c r="U393" i="42"/>
  <c r="U394" i="42"/>
  <c r="U395" i="42"/>
  <c r="U396" i="42"/>
  <c r="U397" i="42"/>
  <c r="U398" i="42"/>
  <c r="U399" i="42"/>
  <c r="U400" i="42"/>
  <c r="U401" i="42"/>
  <c r="V401" i="42" s="1"/>
  <c r="U402" i="42"/>
  <c r="V402" i="42" s="1"/>
  <c r="U403" i="42"/>
  <c r="U404" i="42"/>
  <c r="U405" i="42"/>
  <c r="U406" i="42"/>
  <c r="U407" i="42"/>
  <c r="U408" i="42"/>
  <c r="U409" i="42"/>
  <c r="U410" i="42"/>
  <c r="U411" i="42"/>
  <c r="U412" i="42"/>
  <c r="U413" i="42"/>
  <c r="U414" i="42"/>
  <c r="U415" i="42"/>
  <c r="U416" i="42"/>
  <c r="U417" i="42"/>
  <c r="U418" i="42"/>
  <c r="U419" i="42"/>
  <c r="V419" i="42" s="1"/>
  <c r="U420" i="42"/>
  <c r="U421" i="42"/>
  <c r="U422" i="42"/>
  <c r="U423" i="42"/>
  <c r="U424" i="42"/>
  <c r="U425" i="42"/>
  <c r="U426" i="42"/>
  <c r="V426" i="42" s="1"/>
  <c r="U427" i="42"/>
  <c r="U428" i="42"/>
  <c r="V428" i="42" s="1"/>
  <c r="U429" i="42"/>
  <c r="V429" i="42" s="1"/>
  <c r="U430" i="42"/>
  <c r="V430" i="42" s="1"/>
  <c r="U431" i="42"/>
  <c r="U432" i="42"/>
  <c r="U433" i="42"/>
  <c r="V433" i="42" s="1"/>
  <c r="U434" i="42"/>
  <c r="U435" i="42"/>
  <c r="U436" i="42"/>
  <c r="U437" i="42"/>
  <c r="U438" i="42"/>
  <c r="U439" i="42"/>
  <c r="U440" i="42"/>
  <c r="U441" i="42"/>
  <c r="U442" i="42"/>
  <c r="U443" i="42"/>
  <c r="U444" i="42"/>
  <c r="U445" i="42"/>
  <c r="V445" i="42" s="1"/>
  <c r="U446" i="42"/>
  <c r="U447" i="42"/>
  <c r="U448" i="42"/>
  <c r="U449" i="42"/>
  <c r="U450" i="42"/>
  <c r="V450" i="42" s="1"/>
  <c r="U451" i="42"/>
  <c r="U452" i="42"/>
  <c r="U453" i="42"/>
  <c r="U454" i="42"/>
  <c r="U455" i="42"/>
  <c r="U456" i="42"/>
  <c r="U457" i="42"/>
  <c r="U458" i="42"/>
  <c r="U459" i="42"/>
  <c r="U460" i="42"/>
  <c r="V460" i="42" s="1"/>
  <c r="U461" i="42"/>
  <c r="V461" i="42" s="1"/>
  <c r="U462" i="42"/>
  <c r="V462" i="42" s="1"/>
  <c r="U463" i="42"/>
  <c r="U464" i="42"/>
  <c r="U465" i="42"/>
  <c r="U466" i="42"/>
  <c r="U467" i="42"/>
  <c r="U468" i="42"/>
  <c r="U469" i="42"/>
  <c r="U470" i="42"/>
  <c r="U471" i="42"/>
  <c r="U472" i="42"/>
  <c r="U473" i="42"/>
  <c r="U474" i="42"/>
  <c r="V474" i="42" s="1"/>
  <c r="U475" i="42"/>
  <c r="U476" i="42"/>
  <c r="U477" i="42"/>
  <c r="U478" i="42"/>
  <c r="U479" i="42"/>
  <c r="U480" i="42"/>
  <c r="U481" i="42"/>
  <c r="V481" i="42" s="1"/>
  <c r="U482" i="42"/>
  <c r="V482" i="42" s="1"/>
  <c r="U483" i="42"/>
  <c r="U484" i="42"/>
  <c r="U485" i="42"/>
  <c r="U486" i="42"/>
  <c r="U487" i="42"/>
  <c r="U488" i="42"/>
  <c r="U489" i="42"/>
  <c r="U490" i="42"/>
  <c r="U491" i="42"/>
  <c r="U492" i="42"/>
  <c r="U493" i="42"/>
  <c r="V493" i="42" s="1"/>
  <c r="U494" i="42"/>
  <c r="U495" i="42"/>
  <c r="U496" i="42"/>
  <c r="U497" i="42"/>
  <c r="V497" i="42" s="1"/>
  <c r="U498" i="42"/>
  <c r="U499" i="42"/>
  <c r="U500" i="42"/>
  <c r="N35" i="42"/>
  <c r="P35" i="42" s="1"/>
  <c r="AE35" i="42" s="1"/>
  <c r="N36" i="42"/>
  <c r="N37" i="42"/>
  <c r="P37" i="42" s="1"/>
  <c r="AE37" i="42" s="1"/>
  <c r="N38" i="42"/>
  <c r="P38" i="42" s="1"/>
  <c r="AE38" i="42" s="1"/>
  <c r="N39" i="42"/>
  <c r="P39" i="42" s="1"/>
  <c r="AE39" i="42" s="1"/>
  <c r="N40" i="42"/>
  <c r="N41" i="42"/>
  <c r="P41" i="42" s="1"/>
  <c r="AE41" i="42" s="1"/>
  <c r="N42" i="42"/>
  <c r="N43" i="42"/>
  <c r="N44" i="42"/>
  <c r="N45" i="42"/>
  <c r="N46" i="42"/>
  <c r="N47" i="42"/>
  <c r="P47" i="42" s="1"/>
  <c r="AE47" i="42" s="1"/>
  <c r="N48" i="42"/>
  <c r="P48" i="42" s="1"/>
  <c r="AE48" i="42" s="1"/>
  <c r="N49" i="42"/>
  <c r="P49" i="42" s="1"/>
  <c r="AE49" i="42" s="1"/>
  <c r="N50" i="42"/>
  <c r="N51" i="42"/>
  <c r="P51" i="42" s="1"/>
  <c r="AE51" i="42" s="1"/>
  <c r="N52" i="42"/>
  <c r="N53" i="42"/>
  <c r="N54" i="42"/>
  <c r="P54" i="42" s="1"/>
  <c r="AE54" i="42" s="1"/>
  <c r="N55" i="42"/>
  <c r="N56" i="42"/>
  <c r="N57" i="42"/>
  <c r="P57" i="42" s="1"/>
  <c r="AE57" i="42" s="1"/>
  <c r="N58" i="42"/>
  <c r="N59" i="42"/>
  <c r="P59" i="42" s="1"/>
  <c r="AE59" i="42" s="1"/>
  <c r="N60" i="42"/>
  <c r="P60" i="42" s="1"/>
  <c r="AE60" i="42" s="1"/>
  <c r="N61" i="42"/>
  <c r="N62" i="42"/>
  <c r="P62" i="42" s="1"/>
  <c r="AE62" i="42" s="1"/>
  <c r="N63" i="42"/>
  <c r="N64" i="42"/>
  <c r="P64" i="42" s="1"/>
  <c r="AE64" i="42" s="1"/>
  <c r="N65" i="42"/>
  <c r="P65" i="42" s="1"/>
  <c r="AE65" i="42" s="1"/>
  <c r="N66" i="42"/>
  <c r="N67" i="42"/>
  <c r="N68" i="42"/>
  <c r="N69" i="42"/>
  <c r="N70" i="42"/>
  <c r="P70" i="42" s="1"/>
  <c r="AE70" i="42" s="1"/>
  <c r="N71" i="42"/>
  <c r="P71" i="42" s="1"/>
  <c r="AE71" i="42" s="1"/>
  <c r="N72" i="42"/>
  <c r="N73" i="42"/>
  <c r="P73" i="42" s="1"/>
  <c r="AE73" i="42" s="1"/>
  <c r="N74" i="42"/>
  <c r="N75" i="42"/>
  <c r="P75" i="42" s="1"/>
  <c r="AE75" i="42" s="1"/>
  <c r="N76" i="42"/>
  <c r="N77" i="42"/>
  <c r="P77" i="42" s="1"/>
  <c r="AE77" i="42" s="1"/>
  <c r="N78" i="42"/>
  <c r="N79" i="42"/>
  <c r="P79" i="42" s="1"/>
  <c r="AE79" i="42" s="1"/>
  <c r="N80" i="42"/>
  <c r="P80" i="42" s="1"/>
  <c r="AE80" i="42" s="1"/>
  <c r="N81" i="42"/>
  <c r="P81" i="42" s="1"/>
  <c r="AE81" i="42" s="1"/>
  <c r="N82" i="42"/>
  <c r="N83" i="42"/>
  <c r="N84" i="42"/>
  <c r="N85" i="42"/>
  <c r="N86" i="42"/>
  <c r="P86" i="42" s="1"/>
  <c r="AE86" i="42" s="1"/>
  <c r="N87" i="42"/>
  <c r="P87" i="42" s="1"/>
  <c r="AE87" i="42" s="1"/>
  <c r="N88" i="42"/>
  <c r="N89" i="42"/>
  <c r="N90" i="42"/>
  <c r="N91" i="42"/>
  <c r="P91" i="42" s="1"/>
  <c r="AE91" i="42" s="1"/>
  <c r="N92" i="42"/>
  <c r="P92" i="42" s="1"/>
  <c r="AE92" i="42" s="1"/>
  <c r="N93" i="42"/>
  <c r="P93" i="42" s="1"/>
  <c r="AE93" i="42" s="1"/>
  <c r="N94" i="42"/>
  <c r="N95" i="42"/>
  <c r="P95" i="42" s="1"/>
  <c r="AE95" i="42" s="1"/>
  <c r="N96" i="42"/>
  <c r="P96" i="42" s="1"/>
  <c r="AE96" i="42" s="1"/>
  <c r="N97" i="42"/>
  <c r="N98" i="42"/>
  <c r="N99" i="42"/>
  <c r="P99" i="42" s="1"/>
  <c r="AE99" i="42" s="1"/>
  <c r="N100" i="42"/>
  <c r="N101" i="42"/>
  <c r="N102" i="42"/>
  <c r="P102" i="42" s="1"/>
  <c r="AE102" i="42" s="1"/>
  <c r="AF102" i="42" s="1"/>
  <c r="N103" i="42"/>
  <c r="P103" i="42" s="1"/>
  <c r="AE103" i="42" s="1"/>
  <c r="AF103" i="42" s="1"/>
  <c r="N104" i="42"/>
  <c r="N105" i="42"/>
  <c r="N106" i="42"/>
  <c r="P106" i="42" s="1"/>
  <c r="AE106" i="42" s="1"/>
  <c r="AF106" i="42" s="1"/>
  <c r="N107" i="42"/>
  <c r="P107" i="42" s="1"/>
  <c r="AE107" i="42" s="1"/>
  <c r="AF107" i="42" s="1"/>
  <c r="N108" i="42"/>
  <c r="P108" i="42" s="1"/>
  <c r="AE108" i="42" s="1"/>
  <c r="AF108" i="42" s="1"/>
  <c r="N109" i="42"/>
  <c r="N110" i="42"/>
  <c r="P110" i="42" s="1"/>
  <c r="AE110" i="42" s="1"/>
  <c r="AF110" i="42" s="1"/>
  <c r="N111" i="42"/>
  <c r="N112" i="42"/>
  <c r="P112" i="42" s="1"/>
  <c r="AE112" i="42" s="1"/>
  <c r="AF112" i="42" s="1"/>
  <c r="N113" i="42"/>
  <c r="P113" i="42" s="1"/>
  <c r="AE113" i="42" s="1"/>
  <c r="AF113" i="42" s="1"/>
  <c r="N114" i="42"/>
  <c r="N115" i="42"/>
  <c r="N116" i="42"/>
  <c r="N117" i="42"/>
  <c r="N118" i="42"/>
  <c r="N119" i="42"/>
  <c r="P119" i="42" s="1"/>
  <c r="AE119" i="42" s="1"/>
  <c r="AF119" i="42" s="1"/>
  <c r="N120" i="42"/>
  <c r="N121" i="42"/>
  <c r="P121" i="42" s="1"/>
  <c r="AE121" i="42" s="1"/>
  <c r="AF121" i="42" s="1"/>
  <c r="N122" i="42"/>
  <c r="N123" i="42"/>
  <c r="P123" i="42" s="1"/>
  <c r="AE123" i="42" s="1"/>
  <c r="AF123" i="42" s="1"/>
  <c r="N124" i="42"/>
  <c r="N125" i="42"/>
  <c r="P125" i="42" s="1"/>
  <c r="AE125" i="42" s="1"/>
  <c r="AF125" i="42" s="1"/>
  <c r="N126" i="42"/>
  <c r="N127" i="42"/>
  <c r="P127" i="42" s="1"/>
  <c r="AE127" i="42" s="1"/>
  <c r="AF127" i="42" s="1"/>
  <c r="N128" i="42"/>
  <c r="P128" i="42" s="1"/>
  <c r="AE128" i="42" s="1"/>
  <c r="AF128" i="42" s="1"/>
  <c r="N129" i="42"/>
  <c r="P129" i="42" s="1"/>
  <c r="AE129" i="42" s="1"/>
  <c r="AF129" i="42" s="1"/>
  <c r="N130" i="42"/>
  <c r="N131" i="42"/>
  <c r="N132" i="42"/>
  <c r="N133" i="42"/>
  <c r="N134" i="42"/>
  <c r="P134" i="42" s="1"/>
  <c r="AE134" i="42" s="1"/>
  <c r="AF134" i="42" s="1"/>
  <c r="N135" i="42"/>
  <c r="P135" i="42" s="1"/>
  <c r="AE135" i="42" s="1"/>
  <c r="AF135" i="42" s="1"/>
  <c r="N136" i="42"/>
  <c r="N137" i="42"/>
  <c r="P137" i="42" s="1"/>
  <c r="AE137" i="42" s="1"/>
  <c r="AF137" i="42" s="1"/>
  <c r="N138" i="42"/>
  <c r="N139" i="42"/>
  <c r="N140" i="42"/>
  <c r="P140" i="42" s="1"/>
  <c r="AE140" i="42" s="1"/>
  <c r="AF140" i="42" s="1"/>
  <c r="N141" i="42"/>
  <c r="P141" i="42" s="1"/>
  <c r="AE141" i="42" s="1"/>
  <c r="AF141" i="42" s="1"/>
  <c r="N142" i="42"/>
  <c r="N143" i="42"/>
  <c r="P143" i="42" s="1"/>
  <c r="AE143" i="42" s="1"/>
  <c r="AF143" i="42" s="1"/>
  <c r="N144" i="42"/>
  <c r="P144" i="42" s="1"/>
  <c r="AE144" i="42" s="1"/>
  <c r="AF144" i="42" s="1"/>
  <c r="N145" i="42"/>
  <c r="P145" i="42" s="1"/>
  <c r="AE145" i="42" s="1"/>
  <c r="AF145" i="42" s="1"/>
  <c r="N146" i="42"/>
  <c r="N147" i="42"/>
  <c r="P147" i="42" s="1"/>
  <c r="AE147" i="42" s="1"/>
  <c r="AF147" i="42" s="1"/>
  <c r="N148" i="42"/>
  <c r="N149" i="42"/>
  <c r="P149" i="42" s="1"/>
  <c r="AE149" i="42" s="1"/>
  <c r="AF149" i="42" s="1"/>
  <c r="N150" i="42"/>
  <c r="P150" i="42" s="1"/>
  <c r="AE150" i="42" s="1"/>
  <c r="AF150" i="42" s="1"/>
  <c r="N151" i="42"/>
  <c r="P151" i="42" s="1"/>
  <c r="AE151" i="42" s="1"/>
  <c r="AF151" i="42" s="1"/>
  <c r="N152" i="42"/>
  <c r="N153" i="42"/>
  <c r="N154" i="42"/>
  <c r="P154" i="42" s="1"/>
  <c r="AE154" i="42" s="1"/>
  <c r="AF154" i="42" s="1"/>
  <c r="N155" i="42"/>
  <c r="N156" i="42"/>
  <c r="N157" i="42"/>
  <c r="N158" i="42"/>
  <c r="P158" i="42" s="1"/>
  <c r="AE158" i="42" s="1"/>
  <c r="AF158" i="42" s="1"/>
  <c r="N159" i="42"/>
  <c r="N160" i="42"/>
  <c r="P160" i="42" s="1"/>
  <c r="AE160" i="42" s="1"/>
  <c r="AF160" i="42" s="1"/>
  <c r="N161" i="42"/>
  <c r="P161" i="42" s="1"/>
  <c r="AE161" i="42" s="1"/>
  <c r="AF161" i="42" s="1"/>
  <c r="N162" i="42"/>
  <c r="N163" i="42"/>
  <c r="N164" i="42"/>
  <c r="N165" i="42"/>
  <c r="N166" i="42"/>
  <c r="N167" i="42"/>
  <c r="P167" i="42" s="1"/>
  <c r="AE167" i="42" s="1"/>
  <c r="AF167" i="42" s="1"/>
  <c r="N168" i="42"/>
  <c r="N169" i="42"/>
  <c r="P169" i="42" s="1"/>
  <c r="AE169" i="42" s="1"/>
  <c r="AF169" i="42" s="1"/>
  <c r="N170" i="42"/>
  <c r="P170" i="42" s="1"/>
  <c r="AE170" i="42" s="1"/>
  <c r="AF170" i="42" s="1"/>
  <c r="N171" i="42"/>
  <c r="N172" i="42"/>
  <c r="P172" i="42" s="1"/>
  <c r="AE172" i="42" s="1"/>
  <c r="AF172" i="42" s="1"/>
  <c r="N173" i="42"/>
  <c r="N174" i="42"/>
  <c r="N175" i="42"/>
  <c r="P175" i="42" s="1"/>
  <c r="AE175" i="42" s="1"/>
  <c r="AF175" i="42" s="1"/>
  <c r="N176" i="42"/>
  <c r="N177" i="42"/>
  <c r="P177" i="42" s="1"/>
  <c r="AE177" i="42" s="1"/>
  <c r="AF177" i="42" s="1"/>
  <c r="N178" i="42"/>
  <c r="N179" i="42"/>
  <c r="P179" i="42" s="1"/>
  <c r="AE179" i="42" s="1"/>
  <c r="AF179" i="42" s="1"/>
  <c r="N180" i="42"/>
  <c r="N181" i="42"/>
  <c r="N182" i="42"/>
  <c r="P182" i="42" s="1"/>
  <c r="AE182" i="42" s="1"/>
  <c r="AF182" i="42" s="1"/>
  <c r="N183" i="42"/>
  <c r="N184" i="42"/>
  <c r="N185" i="42"/>
  <c r="P185" i="42" s="1"/>
  <c r="AE185" i="42" s="1"/>
  <c r="AF185" i="42" s="1"/>
  <c r="N186" i="42"/>
  <c r="P186" i="42" s="1"/>
  <c r="AE186" i="42" s="1"/>
  <c r="AF186" i="42" s="1"/>
  <c r="N187" i="42"/>
  <c r="P187" i="42" s="1"/>
  <c r="AE187" i="42" s="1"/>
  <c r="AF187" i="42" s="1"/>
  <c r="N188" i="42"/>
  <c r="N189" i="42"/>
  <c r="P189" i="42" s="1"/>
  <c r="AE189" i="42" s="1"/>
  <c r="AF189" i="42" s="1"/>
  <c r="N190" i="42"/>
  <c r="P190" i="42" s="1"/>
  <c r="AE190" i="42" s="1"/>
  <c r="AF190" i="42" s="1"/>
  <c r="N191" i="42"/>
  <c r="N192" i="42"/>
  <c r="P192" i="42" s="1"/>
  <c r="AE192" i="42" s="1"/>
  <c r="AF192" i="42" s="1"/>
  <c r="N193" i="42"/>
  <c r="P193" i="42" s="1"/>
  <c r="AE193" i="42" s="1"/>
  <c r="AF193" i="42" s="1"/>
  <c r="N194" i="42"/>
  <c r="N195" i="42"/>
  <c r="N196" i="42"/>
  <c r="N197" i="42"/>
  <c r="N198" i="42"/>
  <c r="P198" i="42" s="1"/>
  <c r="AE198" i="42" s="1"/>
  <c r="AF198" i="42" s="1"/>
  <c r="N199" i="42"/>
  <c r="P199" i="42" s="1"/>
  <c r="AE199" i="42" s="1"/>
  <c r="AF199" i="42" s="1"/>
  <c r="N200" i="42"/>
  <c r="N201" i="42"/>
  <c r="N202" i="42"/>
  <c r="P202" i="42" s="1"/>
  <c r="AE202" i="42" s="1"/>
  <c r="AF202" i="42" s="1"/>
  <c r="N203" i="42"/>
  <c r="N204" i="42"/>
  <c r="P204" i="42" s="1"/>
  <c r="AE204" i="42" s="1"/>
  <c r="AF204" i="42" s="1"/>
  <c r="N205" i="42"/>
  <c r="P205" i="42" s="1"/>
  <c r="AE205" i="42" s="1"/>
  <c r="AF205" i="42" s="1"/>
  <c r="N206" i="42"/>
  <c r="N207" i="42"/>
  <c r="P207" i="42" s="1"/>
  <c r="AE207" i="42" s="1"/>
  <c r="AF207" i="42" s="1"/>
  <c r="N208" i="42"/>
  <c r="P208" i="42" s="1"/>
  <c r="AE208" i="42" s="1"/>
  <c r="AF208" i="42" s="1"/>
  <c r="N209" i="42"/>
  <c r="P209" i="42" s="1"/>
  <c r="AE209" i="42" s="1"/>
  <c r="AF209" i="42" s="1"/>
  <c r="N210" i="42"/>
  <c r="N211" i="42"/>
  <c r="P211" i="42" s="1"/>
  <c r="AE211" i="42" s="1"/>
  <c r="AF211" i="42" s="1"/>
  <c r="N212" i="42"/>
  <c r="N213" i="42"/>
  <c r="N214" i="42"/>
  <c r="N215" i="42"/>
  <c r="P215" i="42" s="1"/>
  <c r="AE215" i="42" s="1"/>
  <c r="AF215" i="42" s="1"/>
  <c r="N216" i="42"/>
  <c r="P216" i="42" s="1"/>
  <c r="AE216" i="42" s="1"/>
  <c r="AF216" i="42" s="1"/>
  <c r="N217" i="42"/>
  <c r="N218" i="42"/>
  <c r="N219" i="42"/>
  <c r="P219" i="42" s="1"/>
  <c r="AE219" i="42" s="1"/>
  <c r="AF219" i="42" s="1"/>
  <c r="N220" i="42"/>
  <c r="P220" i="42" s="1"/>
  <c r="AE220" i="42" s="1"/>
  <c r="AF220" i="42" s="1"/>
  <c r="N221" i="42"/>
  <c r="N222" i="42"/>
  <c r="P222" i="42" s="1"/>
  <c r="AE222" i="42" s="1"/>
  <c r="AF222" i="42" s="1"/>
  <c r="N223" i="42"/>
  <c r="P223" i="42" s="1"/>
  <c r="AE223" i="42" s="1"/>
  <c r="AF223" i="42" s="1"/>
  <c r="N224" i="42"/>
  <c r="N225" i="42"/>
  <c r="P225" i="42" s="1"/>
  <c r="AE225" i="42" s="1"/>
  <c r="AF225" i="42" s="1"/>
  <c r="N226" i="42"/>
  <c r="N227" i="42"/>
  <c r="P227" i="42" s="1"/>
  <c r="AE227" i="42" s="1"/>
  <c r="AF227" i="42" s="1"/>
  <c r="N228" i="42"/>
  <c r="N229" i="42"/>
  <c r="P229" i="42" s="1"/>
  <c r="AE229" i="42" s="1"/>
  <c r="AF229" i="42" s="1"/>
  <c r="N230" i="42"/>
  <c r="P230" i="42" s="1"/>
  <c r="AE230" i="42" s="1"/>
  <c r="AF230" i="42" s="1"/>
  <c r="N231" i="42"/>
  <c r="P231" i="42" s="1"/>
  <c r="AE231" i="42" s="1"/>
  <c r="AF231" i="42" s="1"/>
  <c r="N232" i="42"/>
  <c r="N233" i="42"/>
  <c r="P233" i="42" s="1"/>
  <c r="AE233" i="42" s="1"/>
  <c r="AF233" i="42" s="1"/>
  <c r="N234" i="42"/>
  <c r="N235" i="42"/>
  <c r="N236" i="42"/>
  <c r="P236" i="42" s="1"/>
  <c r="AE236" i="42" s="1"/>
  <c r="AF236" i="42" s="1"/>
  <c r="N237" i="42"/>
  <c r="P237" i="42" s="1"/>
  <c r="AE237" i="42" s="1"/>
  <c r="AF237" i="42" s="1"/>
  <c r="N238" i="42"/>
  <c r="N239" i="42"/>
  <c r="P239" i="42" s="1"/>
  <c r="AE239" i="42" s="1"/>
  <c r="AF239" i="42" s="1"/>
  <c r="N240" i="42"/>
  <c r="P240" i="42" s="1"/>
  <c r="AE240" i="42" s="1"/>
  <c r="AF240" i="42" s="1"/>
  <c r="N241" i="42"/>
  <c r="P241" i="42" s="1"/>
  <c r="AE241" i="42" s="1"/>
  <c r="AF241" i="42" s="1"/>
  <c r="N242" i="42"/>
  <c r="N243" i="42"/>
  <c r="P243" i="42" s="1"/>
  <c r="AE243" i="42" s="1"/>
  <c r="AF243" i="42" s="1"/>
  <c r="N244" i="42"/>
  <c r="N245" i="42"/>
  <c r="P245" i="42" s="1"/>
  <c r="AE245" i="42" s="1"/>
  <c r="AF245" i="42" s="1"/>
  <c r="N246" i="42"/>
  <c r="N247" i="42"/>
  <c r="P247" i="42" s="1"/>
  <c r="AE247" i="42" s="1"/>
  <c r="AF247" i="42" s="1"/>
  <c r="N248" i="42"/>
  <c r="N249" i="42"/>
  <c r="N250" i="42"/>
  <c r="P250" i="42" s="1"/>
  <c r="AE250" i="42" s="1"/>
  <c r="AF250" i="42" s="1"/>
  <c r="N251" i="42"/>
  <c r="P251" i="42" s="1"/>
  <c r="AE251" i="42" s="1"/>
  <c r="AF251" i="42" s="1"/>
  <c r="N252" i="42"/>
  <c r="P252" i="42" s="1"/>
  <c r="AE252" i="42" s="1"/>
  <c r="AF252" i="42" s="1"/>
  <c r="N253" i="42"/>
  <c r="N254" i="42"/>
  <c r="P254" i="42" s="1"/>
  <c r="AE254" i="42" s="1"/>
  <c r="AF254" i="42" s="1"/>
  <c r="N255" i="42"/>
  <c r="P255" i="42" s="1"/>
  <c r="AE255" i="42" s="1"/>
  <c r="AF255" i="42" s="1"/>
  <c r="N256" i="42"/>
  <c r="P256" i="42" s="1"/>
  <c r="AE256" i="42" s="1"/>
  <c r="AF256" i="42" s="1"/>
  <c r="N257" i="42"/>
  <c r="P257" i="42" s="1"/>
  <c r="AE257" i="42" s="1"/>
  <c r="AF257" i="42" s="1"/>
  <c r="N258" i="42"/>
  <c r="N259" i="42"/>
  <c r="P259" i="42" s="1"/>
  <c r="AE259" i="42" s="1"/>
  <c r="AF259" i="42" s="1"/>
  <c r="N260" i="42"/>
  <c r="N261" i="42"/>
  <c r="N262" i="42"/>
  <c r="P262" i="42" s="1"/>
  <c r="AE262" i="42" s="1"/>
  <c r="AF262" i="42" s="1"/>
  <c r="N263" i="42"/>
  <c r="P263" i="42" s="1"/>
  <c r="AE263" i="42" s="1"/>
  <c r="AF263" i="42" s="1"/>
  <c r="N264" i="42"/>
  <c r="N265" i="42"/>
  <c r="P265" i="42" s="1"/>
  <c r="AE265" i="42" s="1"/>
  <c r="AF265" i="42" s="1"/>
  <c r="N266" i="42"/>
  <c r="P266" i="42" s="1"/>
  <c r="AE266" i="42" s="1"/>
  <c r="AF266" i="42" s="1"/>
  <c r="N267" i="42"/>
  <c r="N268" i="42"/>
  <c r="P268" i="42" s="1"/>
  <c r="AE268" i="42" s="1"/>
  <c r="AF268" i="42" s="1"/>
  <c r="N269" i="42"/>
  <c r="N270" i="42"/>
  <c r="P270" i="42" s="1"/>
  <c r="AE270" i="42" s="1"/>
  <c r="AF270" i="42" s="1"/>
  <c r="N271" i="42"/>
  <c r="P271" i="42" s="1"/>
  <c r="AE271" i="42" s="1"/>
  <c r="AF271" i="42" s="1"/>
  <c r="N272" i="42"/>
  <c r="P272" i="42" s="1"/>
  <c r="AE272" i="42" s="1"/>
  <c r="AF272" i="42" s="1"/>
  <c r="N273" i="42"/>
  <c r="P273" i="42" s="1"/>
  <c r="AE273" i="42" s="1"/>
  <c r="AF273" i="42" s="1"/>
  <c r="N274" i="42"/>
  <c r="N275" i="42"/>
  <c r="P275" i="42" s="1"/>
  <c r="AE275" i="42" s="1"/>
  <c r="AF275" i="42" s="1"/>
  <c r="N276" i="42"/>
  <c r="N277" i="42"/>
  <c r="N278" i="42"/>
  <c r="N279" i="42"/>
  <c r="P279" i="42" s="1"/>
  <c r="AE279" i="42" s="1"/>
  <c r="AF279" i="42" s="1"/>
  <c r="N280" i="42"/>
  <c r="N281" i="42"/>
  <c r="P281" i="42" s="1"/>
  <c r="AE281" i="42" s="1"/>
  <c r="AF281" i="42" s="1"/>
  <c r="N282" i="42"/>
  <c r="N283" i="42"/>
  <c r="N284" i="42"/>
  <c r="P284" i="42" s="1"/>
  <c r="AE284" i="42" s="1"/>
  <c r="AF284" i="42" s="1"/>
  <c r="N285" i="42"/>
  <c r="P285" i="42" s="1"/>
  <c r="AE285" i="42" s="1"/>
  <c r="AF285" i="42" s="1"/>
  <c r="N286" i="42"/>
  <c r="N287" i="42"/>
  <c r="P287" i="42" s="1"/>
  <c r="AE287" i="42" s="1"/>
  <c r="AF287" i="42" s="1"/>
  <c r="N288" i="42"/>
  <c r="P288" i="42" s="1"/>
  <c r="AE288" i="42" s="1"/>
  <c r="AF288" i="42" s="1"/>
  <c r="N289" i="42"/>
  <c r="P289" i="42" s="1"/>
  <c r="AE289" i="42" s="1"/>
  <c r="AF289" i="42" s="1"/>
  <c r="N290" i="42"/>
  <c r="N291" i="42"/>
  <c r="N292" i="42"/>
  <c r="N293" i="42"/>
  <c r="P293" i="42" s="1"/>
  <c r="AE293" i="42" s="1"/>
  <c r="AF293" i="42" s="1"/>
  <c r="N294" i="42"/>
  <c r="P294" i="42" s="1"/>
  <c r="AE294" i="42" s="1"/>
  <c r="AF294" i="42" s="1"/>
  <c r="N295" i="42"/>
  <c r="N296" i="42"/>
  <c r="N297" i="42"/>
  <c r="P297" i="42" s="1"/>
  <c r="AE297" i="42" s="1"/>
  <c r="AF297" i="42" s="1"/>
  <c r="N298" i="42"/>
  <c r="N299" i="42"/>
  <c r="P299" i="42" s="1"/>
  <c r="AE299" i="42" s="1"/>
  <c r="AF299" i="42" s="1"/>
  <c r="N300" i="42"/>
  <c r="P300" i="42" s="1"/>
  <c r="AE300" i="42" s="1"/>
  <c r="AF300" i="42" s="1"/>
  <c r="N301" i="42"/>
  <c r="N302" i="42"/>
  <c r="P302" i="42" s="1"/>
  <c r="AE302" i="42" s="1"/>
  <c r="AF302" i="42" s="1"/>
  <c r="N303" i="42"/>
  <c r="N304" i="42"/>
  <c r="P304" i="42" s="1"/>
  <c r="AE304" i="42" s="1"/>
  <c r="AF304" i="42" s="1"/>
  <c r="N305" i="42"/>
  <c r="P305" i="42" s="1"/>
  <c r="AE305" i="42" s="1"/>
  <c r="AF305" i="42" s="1"/>
  <c r="N306" i="42"/>
  <c r="N307" i="42"/>
  <c r="N308" i="42"/>
  <c r="N309" i="42"/>
  <c r="N310" i="42"/>
  <c r="N311" i="42"/>
  <c r="P311" i="42" s="1"/>
  <c r="AE311" i="42" s="1"/>
  <c r="AF311" i="42" s="1"/>
  <c r="N312" i="42"/>
  <c r="N313" i="42"/>
  <c r="P313" i="42" s="1"/>
  <c r="AE313" i="42" s="1"/>
  <c r="AF313" i="42" s="1"/>
  <c r="N314" i="42"/>
  <c r="N315" i="42"/>
  <c r="P315" i="42" s="1"/>
  <c r="AE315" i="42" s="1"/>
  <c r="AF315" i="42" s="1"/>
  <c r="N316" i="42"/>
  <c r="P316" i="42" s="1"/>
  <c r="AE316" i="42" s="1"/>
  <c r="AF316" i="42" s="1"/>
  <c r="N317" i="42"/>
  <c r="P317" i="42" s="1"/>
  <c r="AE317" i="42" s="1"/>
  <c r="AF317" i="42" s="1"/>
  <c r="N318" i="42"/>
  <c r="P318" i="42" s="1"/>
  <c r="AE318" i="42" s="1"/>
  <c r="AF318" i="42" s="1"/>
  <c r="N319" i="42"/>
  <c r="N320" i="42"/>
  <c r="P320" i="42" s="1"/>
  <c r="AE320" i="42" s="1"/>
  <c r="AF320" i="42" s="1"/>
  <c r="N321" i="42"/>
  <c r="P321" i="42" s="1"/>
  <c r="AE321" i="42" s="1"/>
  <c r="AF321" i="42" s="1"/>
  <c r="N322" i="42"/>
  <c r="N323" i="42"/>
  <c r="N324" i="42"/>
  <c r="N325" i="42"/>
  <c r="N326" i="42"/>
  <c r="P326" i="42" s="1"/>
  <c r="AE326" i="42" s="1"/>
  <c r="AF326" i="42" s="1"/>
  <c r="N327" i="42"/>
  <c r="P327" i="42" s="1"/>
  <c r="AE327" i="42" s="1"/>
  <c r="AF327" i="42" s="1"/>
  <c r="N328" i="42"/>
  <c r="P328" i="42" s="1"/>
  <c r="AE328" i="42" s="1"/>
  <c r="AF328" i="42" s="1"/>
  <c r="N329" i="42"/>
  <c r="P329" i="42" s="1"/>
  <c r="AE329" i="42" s="1"/>
  <c r="AF329" i="42" s="1"/>
  <c r="N330" i="42"/>
  <c r="N331" i="42"/>
  <c r="P331" i="42" s="1"/>
  <c r="AE331" i="42" s="1"/>
  <c r="AF331" i="42" s="1"/>
  <c r="N332" i="42"/>
  <c r="P332" i="42" s="1"/>
  <c r="AE332" i="42" s="1"/>
  <c r="AF332" i="42" s="1"/>
  <c r="N333" i="42"/>
  <c r="N334" i="42"/>
  <c r="N335" i="42"/>
  <c r="P335" i="42" s="1"/>
  <c r="AE335" i="42" s="1"/>
  <c r="AF335" i="42" s="1"/>
  <c r="N336" i="42"/>
  <c r="P336" i="42" s="1"/>
  <c r="AE336" i="42" s="1"/>
  <c r="AF336" i="42" s="1"/>
  <c r="N337" i="42"/>
  <c r="P337" i="42" s="1"/>
  <c r="AE337" i="42" s="1"/>
  <c r="AF337" i="42" s="1"/>
  <c r="N338" i="42"/>
  <c r="N339" i="42"/>
  <c r="N340" i="42"/>
  <c r="N341" i="42"/>
  <c r="N342" i="42"/>
  <c r="P342" i="42" s="1"/>
  <c r="AE342" i="42" s="1"/>
  <c r="AF342" i="42" s="1"/>
  <c r="N343" i="42"/>
  <c r="P343" i="42" s="1"/>
  <c r="AE343" i="42" s="1"/>
  <c r="AF343" i="42" s="1"/>
  <c r="N344" i="42"/>
  <c r="P344" i="42" s="1"/>
  <c r="AE344" i="42" s="1"/>
  <c r="AF344" i="42" s="1"/>
  <c r="N345" i="42"/>
  <c r="N346" i="42"/>
  <c r="N347" i="42"/>
  <c r="P347" i="42" s="1"/>
  <c r="AE347" i="42" s="1"/>
  <c r="AF347" i="42" s="1"/>
  <c r="N348" i="42"/>
  <c r="P348" i="42" s="1"/>
  <c r="AE348" i="42" s="1"/>
  <c r="AF348" i="42" s="1"/>
  <c r="N349" i="42"/>
  <c r="N350" i="42"/>
  <c r="P350" i="42" s="1"/>
  <c r="AE350" i="42" s="1"/>
  <c r="AF350" i="42" s="1"/>
  <c r="N351" i="42"/>
  <c r="P351" i="42" s="1"/>
  <c r="AE351" i="42" s="1"/>
  <c r="AF351" i="42" s="1"/>
  <c r="N352" i="42"/>
  <c r="P352" i="42" s="1"/>
  <c r="AE352" i="42" s="1"/>
  <c r="AF352" i="42" s="1"/>
  <c r="N353" i="42"/>
  <c r="P353" i="42" s="1"/>
  <c r="AE353" i="42" s="1"/>
  <c r="AF353" i="42" s="1"/>
  <c r="N354" i="42"/>
  <c r="N355" i="42"/>
  <c r="N356" i="42"/>
  <c r="N357" i="42"/>
  <c r="N358" i="42"/>
  <c r="N359" i="42"/>
  <c r="P359" i="42" s="1"/>
  <c r="AE359" i="42" s="1"/>
  <c r="AF359" i="42" s="1"/>
  <c r="N360" i="42"/>
  <c r="N361" i="42"/>
  <c r="P361" i="42" s="1"/>
  <c r="AE361" i="42" s="1"/>
  <c r="AF361" i="42" s="1"/>
  <c r="N362" i="42"/>
  <c r="N363" i="42"/>
  <c r="N364" i="42"/>
  <c r="P364" i="42" s="1"/>
  <c r="AE364" i="42" s="1"/>
  <c r="AF364" i="42" s="1"/>
  <c r="N365" i="42"/>
  <c r="N366" i="42"/>
  <c r="P366" i="42" s="1"/>
  <c r="AE366" i="42" s="1"/>
  <c r="AF366" i="42" s="1"/>
  <c r="N367" i="42"/>
  <c r="N368" i="42"/>
  <c r="P368" i="42" s="1"/>
  <c r="AE368" i="42" s="1"/>
  <c r="AF368" i="42" s="1"/>
  <c r="N369" i="42"/>
  <c r="P369" i="42" s="1"/>
  <c r="AE369" i="42" s="1"/>
  <c r="AF369" i="42" s="1"/>
  <c r="N370" i="42"/>
  <c r="N371" i="42"/>
  <c r="P371" i="42" s="1"/>
  <c r="AE371" i="42" s="1"/>
  <c r="AF371" i="42" s="1"/>
  <c r="N372" i="42"/>
  <c r="N373" i="42"/>
  <c r="N374" i="42"/>
  <c r="P374" i="42" s="1"/>
  <c r="AE374" i="42" s="1"/>
  <c r="AF374" i="42" s="1"/>
  <c r="N375" i="42"/>
  <c r="P375" i="42" s="1"/>
  <c r="AE375" i="42" s="1"/>
  <c r="AF375" i="42" s="1"/>
  <c r="N376" i="42"/>
  <c r="P376" i="42" s="1"/>
  <c r="AE376" i="42" s="1"/>
  <c r="AF376" i="42" s="1"/>
  <c r="N377" i="42"/>
  <c r="N378" i="42"/>
  <c r="P378" i="42" s="1"/>
  <c r="AE378" i="42" s="1"/>
  <c r="AF378" i="42" s="1"/>
  <c r="N379" i="42"/>
  <c r="P379" i="42" s="1"/>
  <c r="AE379" i="42" s="1"/>
  <c r="AF379" i="42" s="1"/>
  <c r="N380" i="42"/>
  <c r="P380" i="42" s="1"/>
  <c r="AE380" i="42" s="1"/>
  <c r="AF380" i="42" s="1"/>
  <c r="N381" i="42"/>
  <c r="N382" i="42"/>
  <c r="P382" i="42" s="1"/>
  <c r="AE382" i="42" s="1"/>
  <c r="AF382" i="42" s="1"/>
  <c r="N383" i="42"/>
  <c r="N384" i="42"/>
  <c r="P384" i="42" s="1"/>
  <c r="AE384" i="42" s="1"/>
  <c r="AF384" i="42" s="1"/>
  <c r="N385" i="42"/>
  <c r="P385" i="42" s="1"/>
  <c r="AE385" i="42" s="1"/>
  <c r="AF385" i="42" s="1"/>
  <c r="N386" i="42"/>
  <c r="N387" i="42"/>
  <c r="N388" i="42"/>
  <c r="N389" i="42"/>
  <c r="N390" i="42"/>
  <c r="P390" i="42" s="1"/>
  <c r="AE390" i="42" s="1"/>
  <c r="AF390" i="42" s="1"/>
  <c r="N391" i="42"/>
  <c r="P391" i="42" s="1"/>
  <c r="AE391" i="42" s="1"/>
  <c r="AF391" i="42" s="1"/>
  <c r="N392" i="42"/>
  <c r="P392" i="42" s="1"/>
  <c r="AE392" i="42" s="1"/>
  <c r="AF392" i="42" s="1"/>
  <c r="N393" i="42"/>
  <c r="P393" i="42" s="1"/>
  <c r="AE393" i="42" s="1"/>
  <c r="AF393" i="42" s="1"/>
  <c r="N394" i="42"/>
  <c r="P394" i="42" s="1"/>
  <c r="AE394" i="42" s="1"/>
  <c r="AF394" i="42" s="1"/>
  <c r="N395" i="42"/>
  <c r="N396" i="42"/>
  <c r="P396" i="42" s="1"/>
  <c r="AE396" i="42" s="1"/>
  <c r="AF396" i="42" s="1"/>
  <c r="N397" i="42"/>
  <c r="N398" i="42"/>
  <c r="P398" i="42" s="1"/>
  <c r="AE398" i="42" s="1"/>
  <c r="AF398" i="42" s="1"/>
  <c r="N399" i="42"/>
  <c r="P399" i="42" s="1"/>
  <c r="AE399" i="42" s="1"/>
  <c r="AF399" i="42" s="1"/>
  <c r="N400" i="42"/>
  <c r="P400" i="42" s="1"/>
  <c r="AE400" i="42" s="1"/>
  <c r="AF400" i="42" s="1"/>
  <c r="N401" i="42"/>
  <c r="P401" i="42" s="1"/>
  <c r="AE401" i="42" s="1"/>
  <c r="AF401" i="42" s="1"/>
  <c r="N402" i="42"/>
  <c r="N403" i="42"/>
  <c r="P403" i="42" s="1"/>
  <c r="AE403" i="42" s="1"/>
  <c r="AF403" i="42" s="1"/>
  <c r="N404" i="42"/>
  <c r="N405" i="42"/>
  <c r="N406" i="42"/>
  <c r="N407" i="42"/>
  <c r="P407" i="42" s="1"/>
  <c r="AE407" i="42" s="1"/>
  <c r="AF407" i="42" s="1"/>
  <c r="N408" i="42"/>
  <c r="N409" i="42"/>
  <c r="P409" i="42" s="1"/>
  <c r="AE409" i="42" s="1"/>
  <c r="AF409" i="42" s="1"/>
  <c r="N410" i="42"/>
  <c r="P410" i="42" s="1"/>
  <c r="AE410" i="42" s="1"/>
  <c r="AF410" i="42" s="1"/>
  <c r="N411" i="42"/>
  <c r="P411" i="42" s="1"/>
  <c r="AE411" i="42" s="1"/>
  <c r="AF411" i="42" s="1"/>
  <c r="N412" i="42"/>
  <c r="P412" i="42" s="1"/>
  <c r="AE412" i="42" s="1"/>
  <c r="AF412" i="42" s="1"/>
  <c r="N413" i="42"/>
  <c r="N414" i="42"/>
  <c r="P414" i="42" s="1"/>
  <c r="AE414" i="42" s="1"/>
  <c r="AF414" i="42" s="1"/>
  <c r="N415" i="42"/>
  <c r="P415" i="42" s="1"/>
  <c r="AE415" i="42" s="1"/>
  <c r="AF415" i="42" s="1"/>
  <c r="N416" i="42"/>
  <c r="P416" i="42" s="1"/>
  <c r="AE416" i="42" s="1"/>
  <c r="AF416" i="42" s="1"/>
  <c r="N417" i="42"/>
  <c r="P417" i="42" s="1"/>
  <c r="AE417" i="42" s="1"/>
  <c r="AF417" i="42" s="1"/>
  <c r="N418" i="42"/>
  <c r="N419" i="42"/>
  <c r="P419" i="42" s="1"/>
  <c r="AE419" i="42" s="1"/>
  <c r="AF419" i="42" s="1"/>
  <c r="N420" i="42"/>
  <c r="N421" i="42"/>
  <c r="N422" i="42"/>
  <c r="P422" i="42" s="1"/>
  <c r="AE422" i="42" s="1"/>
  <c r="AF422" i="42" s="1"/>
  <c r="N423" i="42"/>
  <c r="P423" i="42" s="1"/>
  <c r="AE423" i="42" s="1"/>
  <c r="AF423" i="42" s="1"/>
  <c r="N424" i="42"/>
  <c r="N425" i="42"/>
  <c r="P425" i="42" s="1"/>
  <c r="AE425" i="42" s="1"/>
  <c r="AF425" i="42" s="1"/>
  <c r="N426" i="42"/>
  <c r="P426" i="42" s="1"/>
  <c r="AE426" i="42" s="1"/>
  <c r="AF426" i="42" s="1"/>
  <c r="N427" i="42"/>
  <c r="N428" i="42"/>
  <c r="P428" i="42" s="1"/>
  <c r="AE428" i="42" s="1"/>
  <c r="AF428" i="42" s="1"/>
  <c r="N429" i="42"/>
  <c r="P429" i="42" s="1"/>
  <c r="AE429" i="42" s="1"/>
  <c r="AF429" i="42" s="1"/>
  <c r="N430" i="42"/>
  <c r="P430" i="42" s="1"/>
  <c r="AE430" i="42" s="1"/>
  <c r="AF430" i="42" s="1"/>
  <c r="N431" i="42"/>
  <c r="P431" i="42" s="1"/>
  <c r="AE431" i="42" s="1"/>
  <c r="AF431" i="42" s="1"/>
  <c r="N432" i="42"/>
  <c r="P432" i="42" s="1"/>
  <c r="AE432" i="42" s="1"/>
  <c r="AF432" i="42" s="1"/>
  <c r="N433" i="42"/>
  <c r="P433" i="42" s="1"/>
  <c r="AE433" i="42" s="1"/>
  <c r="AF433" i="42" s="1"/>
  <c r="N434" i="42"/>
  <c r="N435" i="42"/>
  <c r="P435" i="42" s="1"/>
  <c r="AE435" i="42" s="1"/>
  <c r="AF435" i="42" s="1"/>
  <c r="N436" i="42"/>
  <c r="N437" i="42"/>
  <c r="P437" i="42" s="1"/>
  <c r="AE437" i="42" s="1"/>
  <c r="AF437" i="42" s="1"/>
  <c r="N438" i="42"/>
  <c r="P438" i="42" s="1"/>
  <c r="AE438" i="42" s="1"/>
  <c r="AF438" i="42" s="1"/>
  <c r="N439" i="42"/>
  <c r="N440" i="42"/>
  <c r="P440" i="42" s="1"/>
  <c r="AE440" i="42" s="1"/>
  <c r="AF440" i="42" s="1"/>
  <c r="N441" i="42"/>
  <c r="P441" i="42" s="1"/>
  <c r="AE441" i="42" s="1"/>
  <c r="AF441" i="42" s="1"/>
  <c r="N442" i="42"/>
  <c r="N443" i="42"/>
  <c r="P443" i="42" s="1"/>
  <c r="AE443" i="42" s="1"/>
  <c r="AF443" i="42" s="1"/>
  <c r="N444" i="42"/>
  <c r="P444" i="42" s="1"/>
  <c r="AE444" i="42" s="1"/>
  <c r="AF444" i="42" s="1"/>
  <c r="N445" i="42"/>
  <c r="P445" i="42" s="1"/>
  <c r="AE445" i="42" s="1"/>
  <c r="AF445" i="42" s="1"/>
  <c r="N446" i="42"/>
  <c r="P446" i="42" s="1"/>
  <c r="AE446" i="42" s="1"/>
  <c r="AF446" i="42" s="1"/>
  <c r="N447" i="42"/>
  <c r="P447" i="42" s="1"/>
  <c r="AE447" i="42" s="1"/>
  <c r="AF447" i="42" s="1"/>
  <c r="N448" i="42"/>
  <c r="P448" i="42" s="1"/>
  <c r="AE448" i="42" s="1"/>
  <c r="AF448" i="42" s="1"/>
  <c r="N449" i="42"/>
  <c r="P449" i="42" s="1"/>
  <c r="AE449" i="42" s="1"/>
  <c r="AF449" i="42" s="1"/>
  <c r="N450" i="42"/>
  <c r="N451" i="42"/>
  <c r="N452" i="42"/>
  <c r="N453" i="42"/>
  <c r="P453" i="42" s="1"/>
  <c r="AE453" i="42" s="1"/>
  <c r="AF453" i="42" s="1"/>
  <c r="N454" i="42"/>
  <c r="P454" i="42" s="1"/>
  <c r="AE454" i="42" s="1"/>
  <c r="AF454" i="42" s="1"/>
  <c r="N455" i="42"/>
  <c r="P455" i="42" s="1"/>
  <c r="AE455" i="42" s="1"/>
  <c r="AF455" i="42" s="1"/>
  <c r="N456" i="42"/>
  <c r="N457" i="42"/>
  <c r="P457" i="42" s="1"/>
  <c r="AE457" i="42" s="1"/>
  <c r="AF457" i="42" s="1"/>
  <c r="N458" i="42"/>
  <c r="P458" i="42" s="1"/>
  <c r="AE458" i="42" s="1"/>
  <c r="AF458" i="42" s="1"/>
  <c r="N459" i="42"/>
  <c r="P459" i="42" s="1"/>
  <c r="AE459" i="42" s="1"/>
  <c r="AF459" i="42" s="1"/>
  <c r="N460" i="42"/>
  <c r="P460" i="42" s="1"/>
  <c r="AE460" i="42" s="1"/>
  <c r="AF460" i="42" s="1"/>
  <c r="N461" i="42"/>
  <c r="N462" i="42"/>
  <c r="P462" i="42" s="1"/>
  <c r="AE462" i="42" s="1"/>
  <c r="AF462" i="42" s="1"/>
  <c r="N463" i="42"/>
  <c r="N464" i="42"/>
  <c r="P464" i="42" s="1"/>
  <c r="AE464" i="42" s="1"/>
  <c r="AF464" i="42" s="1"/>
  <c r="N465" i="42"/>
  <c r="P465" i="42" s="1"/>
  <c r="AE465" i="42" s="1"/>
  <c r="AF465" i="42" s="1"/>
  <c r="N466" i="42"/>
  <c r="N467" i="42"/>
  <c r="P467" i="42" s="1"/>
  <c r="AE467" i="42" s="1"/>
  <c r="AF467" i="42" s="1"/>
  <c r="N468" i="42"/>
  <c r="N469" i="42"/>
  <c r="N470" i="42"/>
  <c r="N471" i="42"/>
  <c r="P471" i="42" s="1"/>
  <c r="AE471" i="42" s="1"/>
  <c r="AF471" i="42" s="1"/>
  <c r="N472" i="42"/>
  <c r="N473" i="42"/>
  <c r="N474" i="42"/>
  <c r="P474" i="42" s="1"/>
  <c r="AE474" i="42" s="1"/>
  <c r="AF474" i="42" s="1"/>
  <c r="N475" i="42"/>
  <c r="P475" i="42" s="1"/>
  <c r="AE475" i="42" s="1"/>
  <c r="AF475" i="42" s="1"/>
  <c r="N476" i="42"/>
  <c r="P476" i="42" s="1"/>
  <c r="AE476" i="42" s="1"/>
  <c r="AF476" i="42" s="1"/>
  <c r="N477" i="42"/>
  <c r="N478" i="42"/>
  <c r="N479" i="42"/>
  <c r="P479" i="42" s="1"/>
  <c r="AE479" i="42" s="1"/>
  <c r="AF479" i="42" s="1"/>
  <c r="N480" i="42"/>
  <c r="P480" i="42" s="1"/>
  <c r="AE480" i="42" s="1"/>
  <c r="AF480" i="42" s="1"/>
  <c r="N481" i="42"/>
  <c r="P481" i="42" s="1"/>
  <c r="AE481" i="42" s="1"/>
  <c r="AF481" i="42" s="1"/>
  <c r="N482" i="42"/>
  <c r="N483" i="42"/>
  <c r="P483" i="42" s="1"/>
  <c r="AE483" i="42" s="1"/>
  <c r="AF483" i="42" s="1"/>
  <c r="N484" i="42"/>
  <c r="N485" i="42"/>
  <c r="N486" i="42"/>
  <c r="N487" i="42"/>
  <c r="P487" i="42" s="1"/>
  <c r="AE487" i="42" s="1"/>
  <c r="AF487" i="42" s="1"/>
  <c r="N488" i="42"/>
  <c r="P488" i="42" s="1"/>
  <c r="AE488" i="42" s="1"/>
  <c r="AF488" i="42" s="1"/>
  <c r="N489" i="42"/>
  <c r="P489" i="42" s="1"/>
  <c r="AE489" i="42" s="1"/>
  <c r="AF489" i="42" s="1"/>
  <c r="N490" i="42"/>
  <c r="P490" i="42" s="1"/>
  <c r="AE490" i="42" s="1"/>
  <c r="AF490" i="42" s="1"/>
  <c r="N491" i="42"/>
  <c r="P491" i="42" s="1"/>
  <c r="AE491" i="42" s="1"/>
  <c r="AF491" i="42" s="1"/>
  <c r="N492" i="42"/>
  <c r="P492" i="42" s="1"/>
  <c r="AE492" i="42" s="1"/>
  <c r="AF492" i="42" s="1"/>
  <c r="N493" i="42"/>
  <c r="N494" i="42"/>
  <c r="N495" i="42"/>
  <c r="P495" i="42" s="1"/>
  <c r="AE495" i="42" s="1"/>
  <c r="AF495" i="42" s="1"/>
  <c r="N496" i="42"/>
  <c r="P496" i="42" s="1"/>
  <c r="AE496" i="42" s="1"/>
  <c r="AF496" i="42" s="1"/>
  <c r="N497" i="42"/>
  <c r="P497" i="42" s="1"/>
  <c r="AE497" i="42" s="1"/>
  <c r="AF497" i="42" s="1"/>
  <c r="N498" i="42"/>
  <c r="N499" i="42"/>
  <c r="P499" i="42" s="1"/>
  <c r="AE499" i="42" s="1"/>
  <c r="AF499" i="42" s="1"/>
  <c r="N500" i="42"/>
  <c r="K1" i="16"/>
  <c r="L1" i="44"/>
  <c r="G4" i="57"/>
  <c r="E5" i="56"/>
  <c r="D3" i="56"/>
  <c r="BH10" i="53"/>
  <c r="BF10" i="53"/>
  <c r="GW3" i="54"/>
  <c r="GW4" i="54"/>
  <c r="GW5" i="54"/>
  <c r="GW6" i="54"/>
  <c r="GW7" i="54"/>
  <c r="GW8" i="54"/>
  <c r="GW9" i="54"/>
  <c r="GW10" i="54"/>
  <c r="GW11" i="54"/>
  <c r="GW12" i="54"/>
  <c r="GW13" i="54"/>
  <c r="GW14" i="54"/>
  <c r="GW15" i="54"/>
  <c r="GW16" i="54"/>
  <c r="GW17" i="54"/>
  <c r="GW18" i="54"/>
  <c r="GW19" i="54"/>
  <c r="GW20" i="54"/>
  <c r="GW21" i="54"/>
  <c r="GW22" i="54"/>
  <c r="GW23" i="54"/>
  <c r="GW24" i="54"/>
  <c r="GW25" i="54"/>
  <c r="GW26" i="54"/>
  <c r="GW27" i="54"/>
  <c r="GW28" i="54"/>
  <c r="GW29" i="54"/>
  <c r="GW30" i="54"/>
  <c r="GW31" i="54"/>
  <c r="GW32" i="54"/>
  <c r="GW33" i="54"/>
  <c r="GW34" i="54"/>
  <c r="GW35" i="54"/>
  <c r="GW36" i="54"/>
  <c r="GW37" i="54"/>
  <c r="GW38" i="54"/>
  <c r="GW39" i="54"/>
  <c r="GW40" i="54"/>
  <c r="GW41" i="54"/>
  <c r="GW42" i="54"/>
  <c r="GW43" i="54"/>
  <c r="GW44" i="54"/>
  <c r="GW45" i="54"/>
  <c r="GW46" i="54"/>
  <c r="GW47" i="54"/>
  <c r="GW48" i="54"/>
  <c r="GW49" i="54"/>
  <c r="GW50" i="54"/>
  <c r="GW51" i="54"/>
  <c r="GW52" i="54"/>
  <c r="GW53" i="54"/>
  <c r="GW54" i="54"/>
  <c r="GW55" i="54"/>
  <c r="GW56" i="54"/>
  <c r="GW57" i="54"/>
  <c r="GW58" i="54"/>
  <c r="GW59" i="54"/>
  <c r="GW60" i="54"/>
  <c r="GW61" i="54"/>
  <c r="GW62" i="54"/>
  <c r="GW63" i="54"/>
  <c r="GW64" i="54"/>
  <c r="GW65" i="54"/>
  <c r="GW66" i="54"/>
  <c r="GW67" i="54"/>
  <c r="GW68" i="54"/>
  <c r="GW69" i="54"/>
  <c r="GW70" i="54"/>
  <c r="GW71" i="54"/>
  <c r="GW72" i="54"/>
  <c r="GQ3" i="54"/>
  <c r="GQ4" i="54"/>
  <c r="GQ5" i="54"/>
  <c r="GQ6" i="54"/>
  <c r="GQ7" i="54"/>
  <c r="GQ8" i="54"/>
  <c r="GQ9" i="54"/>
  <c r="GQ10" i="54"/>
  <c r="GQ11" i="54"/>
  <c r="GQ12" i="54"/>
  <c r="GQ13" i="54"/>
  <c r="GQ14" i="54"/>
  <c r="GQ15" i="54"/>
  <c r="GQ16" i="54"/>
  <c r="GQ17" i="54"/>
  <c r="GQ18" i="54"/>
  <c r="GQ19" i="54"/>
  <c r="GQ20" i="54"/>
  <c r="GQ21" i="54"/>
  <c r="GQ22" i="54"/>
  <c r="GQ23" i="54"/>
  <c r="GQ24" i="54"/>
  <c r="GQ25" i="54"/>
  <c r="GQ26" i="54"/>
  <c r="GQ27" i="54"/>
  <c r="GQ28" i="54"/>
  <c r="GQ29" i="54"/>
  <c r="GQ30" i="54"/>
  <c r="GQ31" i="54"/>
  <c r="GQ32" i="54"/>
  <c r="GQ33" i="54"/>
  <c r="GQ34" i="54"/>
  <c r="GQ35" i="54"/>
  <c r="GQ36" i="54"/>
  <c r="GQ37" i="54"/>
  <c r="GQ38" i="54"/>
  <c r="GQ39" i="54"/>
  <c r="GQ40" i="54"/>
  <c r="GQ41" i="54"/>
  <c r="GQ42" i="54"/>
  <c r="GQ43" i="54"/>
  <c r="GQ44" i="54"/>
  <c r="GQ45" i="54"/>
  <c r="GQ46" i="54"/>
  <c r="GQ47" i="54"/>
  <c r="GQ48" i="54"/>
  <c r="GQ49" i="54"/>
  <c r="GQ50" i="54"/>
  <c r="GQ51" i="54"/>
  <c r="GQ52" i="54"/>
  <c r="GQ53" i="54"/>
  <c r="GQ54" i="54"/>
  <c r="GQ55" i="54"/>
  <c r="GQ56" i="54"/>
  <c r="GQ57" i="54"/>
  <c r="GQ58" i="54"/>
  <c r="GQ59" i="54"/>
  <c r="GQ60" i="54"/>
  <c r="GQ61" i="54"/>
  <c r="GQ62" i="54"/>
  <c r="GQ63" i="54"/>
  <c r="GQ64" i="54"/>
  <c r="GQ65" i="54"/>
  <c r="GQ66" i="54"/>
  <c r="GQ67" i="54"/>
  <c r="GQ68" i="54"/>
  <c r="GQ69" i="54"/>
  <c r="GQ70" i="54"/>
  <c r="GQ71" i="54"/>
  <c r="GQ72" i="54"/>
  <c r="GP3" i="54"/>
  <c r="GP4" i="54"/>
  <c r="GP5" i="54"/>
  <c r="GP6" i="54"/>
  <c r="GP7" i="54"/>
  <c r="GP8" i="54"/>
  <c r="GP9" i="54"/>
  <c r="GP10" i="54"/>
  <c r="GP11" i="54"/>
  <c r="GP12" i="54"/>
  <c r="GP13" i="54"/>
  <c r="GP14" i="54"/>
  <c r="GP15" i="54"/>
  <c r="GP16" i="54"/>
  <c r="GP17" i="54"/>
  <c r="GP18" i="54"/>
  <c r="GP19" i="54"/>
  <c r="GP20" i="54"/>
  <c r="GP21" i="54"/>
  <c r="GP22" i="54"/>
  <c r="GP23" i="54"/>
  <c r="GP24" i="54"/>
  <c r="GP25" i="54"/>
  <c r="GP26" i="54"/>
  <c r="GP27" i="54"/>
  <c r="GP28" i="54"/>
  <c r="GP29" i="54"/>
  <c r="GP30" i="54"/>
  <c r="GP31" i="54"/>
  <c r="GP32" i="54"/>
  <c r="GP33" i="54"/>
  <c r="GP34" i="54"/>
  <c r="GP35" i="54"/>
  <c r="GP36" i="54"/>
  <c r="GP37" i="54"/>
  <c r="GP38" i="54"/>
  <c r="GP39" i="54"/>
  <c r="GP40" i="54"/>
  <c r="GP41" i="54"/>
  <c r="GP42" i="54"/>
  <c r="GP43" i="54"/>
  <c r="GP44" i="54"/>
  <c r="GP45" i="54"/>
  <c r="GP46" i="54"/>
  <c r="GP47" i="54"/>
  <c r="GP48" i="54"/>
  <c r="GP49" i="54"/>
  <c r="GP50" i="54"/>
  <c r="GP51" i="54"/>
  <c r="GP52" i="54"/>
  <c r="GP53" i="54"/>
  <c r="GP54" i="54"/>
  <c r="GP55" i="54"/>
  <c r="GP56" i="54"/>
  <c r="GP57" i="54"/>
  <c r="GP58" i="54"/>
  <c r="GP59" i="54"/>
  <c r="GP60" i="54"/>
  <c r="GP61" i="54"/>
  <c r="GP62" i="54"/>
  <c r="GP63" i="54"/>
  <c r="GP64" i="54"/>
  <c r="GP65" i="54"/>
  <c r="GP66" i="54"/>
  <c r="GP67" i="54"/>
  <c r="GP68" i="54"/>
  <c r="GP69" i="54"/>
  <c r="GP70" i="54"/>
  <c r="GP71" i="54"/>
  <c r="GP72" i="54"/>
  <c r="GO3" i="54"/>
  <c r="GO4" i="54"/>
  <c r="GO5" i="54"/>
  <c r="GO6" i="54"/>
  <c r="GO7" i="54"/>
  <c r="GO8" i="54"/>
  <c r="GO9" i="54"/>
  <c r="GO10" i="54"/>
  <c r="GO11" i="54"/>
  <c r="GO12" i="54"/>
  <c r="GO13" i="54"/>
  <c r="GO14" i="54"/>
  <c r="GO15" i="54"/>
  <c r="GO16" i="54"/>
  <c r="GO17" i="54"/>
  <c r="GO18" i="54"/>
  <c r="GO19" i="54"/>
  <c r="GO20" i="54"/>
  <c r="GO21" i="54"/>
  <c r="GO22" i="54"/>
  <c r="GO23" i="54"/>
  <c r="GO24" i="54"/>
  <c r="GO25" i="54"/>
  <c r="GO26" i="54"/>
  <c r="GO27" i="54"/>
  <c r="GO28" i="54"/>
  <c r="GO29" i="54"/>
  <c r="GO30" i="54"/>
  <c r="GO31" i="54"/>
  <c r="GO32" i="54"/>
  <c r="GO33" i="54"/>
  <c r="GO34" i="54"/>
  <c r="GO35" i="54"/>
  <c r="GO36" i="54"/>
  <c r="GO37" i="54"/>
  <c r="GO38" i="54"/>
  <c r="GO39" i="54"/>
  <c r="GO40" i="54"/>
  <c r="GO41" i="54"/>
  <c r="GO42" i="54"/>
  <c r="GO43" i="54"/>
  <c r="GO44" i="54"/>
  <c r="GO45" i="54"/>
  <c r="GO46" i="54"/>
  <c r="GO47" i="54"/>
  <c r="GO48" i="54"/>
  <c r="GO49" i="54"/>
  <c r="GO50" i="54"/>
  <c r="GO51" i="54"/>
  <c r="GO52" i="54"/>
  <c r="GO53" i="54"/>
  <c r="GO54" i="54"/>
  <c r="GO55" i="54"/>
  <c r="GO56" i="54"/>
  <c r="GO57" i="54"/>
  <c r="GO58" i="54"/>
  <c r="GO59" i="54"/>
  <c r="GO60" i="54"/>
  <c r="GO62" i="54"/>
  <c r="GO63" i="54"/>
  <c r="GO64" i="54"/>
  <c r="GO65" i="54"/>
  <c r="GO66" i="54"/>
  <c r="GO67" i="54"/>
  <c r="GO68" i="54"/>
  <c r="GO69" i="54"/>
  <c r="GO70" i="54"/>
  <c r="GO71" i="54"/>
  <c r="GO72" i="54"/>
  <c r="GM3" i="54"/>
  <c r="GM4" i="54"/>
  <c r="GM5" i="54"/>
  <c r="GM6" i="54"/>
  <c r="GM7" i="54"/>
  <c r="GM8" i="54"/>
  <c r="GM9" i="54"/>
  <c r="GM10" i="54"/>
  <c r="GM11" i="54"/>
  <c r="GM12" i="54"/>
  <c r="GM13" i="54"/>
  <c r="GM14" i="54"/>
  <c r="GM15" i="54"/>
  <c r="GM16" i="54"/>
  <c r="GM17" i="54"/>
  <c r="GM18" i="54"/>
  <c r="GM19" i="54"/>
  <c r="GM20" i="54"/>
  <c r="GM21" i="54"/>
  <c r="GM22" i="54"/>
  <c r="GM23" i="54"/>
  <c r="GM24" i="54"/>
  <c r="GM25" i="54"/>
  <c r="GM26" i="54"/>
  <c r="GM27" i="54"/>
  <c r="GM28" i="54"/>
  <c r="GM29" i="54"/>
  <c r="GM30" i="54"/>
  <c r="GM31" i="54"/>
  <c r="GM32" i="54"/>
  <c r="GM33" i="54"/>
  <c r="GM34" i="54"/>
  <c r="GM35" i="54"/>
  <c r="GM36" i="54"/>
  <c r="GM37" i="54"/>
  <c r="GM38" i="54"/>
  <c r="GM39" i="54"/>
  <c r="GM40" i="54"/>
  <c r="GM41" i="54"/>
  <c r="GM42" i="54"/>
  <c r="GM43" i="54"/>
  <c r="GM44" i="54"/>
  <c r="GM45" i="54"/>
  <c r="GM46" i="54"/>
  <c r="GM47" i="54"/>
  <c r="GM48" i="54"/>
  <c r="GM49" i="54"/>
  <c r="GM50" i="54"/>
  <c r="GM51" i="54"/>
  <c r="GM52" i="54"/>
  <c r="GM53" i="54"/>
  <c r="GM54" i="54"/>
  <c r="GM55" i="54"/>
  <c r="GM56" i="54"/>
  <c r="GM57" i="54"/>
  <c r="GM58" i="54"/>
  <c r="GM59" i="54"/>
  <c r="GM60" i="54"/>
  <c r="GM61" i="54"/>
  <c r="GM62" i="54"/>
  <c r="GM63" i="54"/>
  <c r="GM64" i="54"/>
  <c r="GM65" i="54"/>
  <c r="GM66" i="54"/>
  <c r="GM67" i="54"/>
  <c r="GM68" i="54"/>
  <c r="GM69" i="54"/>
  <c r="GM70" i="54"/>
  <c r="GM71" i="54"/>
  <c r="GM72" i="54"/>
  <c r="GL3" i="54"/>
  <c r="GL4" i="54"/>
  <c r="GL5" i="54"/>
  <c r="GL6" i="54"/>
  <c r="GL7" i="54"/>
  <c r="GL8" i="54"/>
  <c r="GL9" i="54"/>
  <c r="GL10" i="54"/>
  <c r="GL11" i="54"/>
  <c r="GL12" i="54"/>
  <c r="GL13" i="54"/>
  <c r="GL14" i="54"/>
  <c r="GL15" i="54"/>
  <c r="GL16" i="54"/>
  <c r="GL17" i="54"/>
  <c r="GL18" i="54"/>
  <c r="GL19" i="54"/>
  <c r="GL20" i="54"/>
  <c r="GK3" i="54"/>
  <c r="GK4" i="54"/>
  <c r="GK5" i="54"/>
  <c r="GK6" i="54"/>
  <c r="GK7" i="54"/>
  <c r="GK8" i="54"/>
  <c r="GK9" i="54"/>
  <c r="GK10" i="54"/>
  <c r="GK11" i="54"/>
  <c r="GK12" i="54"/>
  <c r="GK13" i="54"/>
  <c r="GK14" i="54"/>
  <c r="GK15" i="54"/>
  <c r="GK16" i="54"/>
  <c r="GK17" i="54"/>
  <c r="GK18" i="54"/>
  <c r="GK19" i="54"/>
  <c r="GK20" i="54"/>
  <c r="GJ3" i="54"/>
  <c r="GJ4" i="54"/>
  <c r="GJ5" i="54"/>
  <c r="GJ6" i="54"/>
  <c r="GJ7" i="54"/>
  <c r="GJ8" i="54"/>
  <c r="GJ9" i="54"/>
  <c r="GJ10" i="54"/>
  <c r="GJ11" i="54"/>
  <c r="GJ12" i="54"/>
  <c r="GJ13" i="54"/>
  <c r="GJ14" i="54"/>
  <c r="GJ15" i="54"/>
  <c r="GJ16" i="54"/>
  <c r="GJ17" i="54"/>
  <c r="GJ18" i="54"/>
  <c r="GJ19" i="54"/>
  <c r="GJ20" i="54"/>
  <c r="GJ21" i="54"/>
  <c r="GJ22" i="54"/>
  <c r="GJ23" i="54"/>
  <c r="GJ24" i="54"/>
  <c r="GJ25" i="54"/>
  <c r="GJ26" i="54"/>
  <c r="GJ27" i="54"/>
  <c r="GJ28" i="54"/>
  <c r="GJ29" i="54"/>
  <c r="GJ30" i="54"/>
  <c r="GJ31" i="54"/>
  <c r="GJ32" i="54"/>
  <c r="GJ33" i="54"/>
  <c r="GJ34" i="54"/>
  <c r="GJ35" i="54"/>
  <c r="GJ36" i="54"/>
  <c r="GJ37" i="54"/>
  <c r="GJ38" i="54"/>
  <c r="GJ39" i="54"/>
  <c r="GJ40" i="54"/>
  <c r="GJ41" i="54"/>
  <c r="GJ42" i="54"/>
  <c r="GJ43" i="54"/>
  <c r="GJ44" i="54"/>
  <c r="GJ45" i="54"/>
  <c r="GJ46" i="54"/>
  <c r="GJ47" i="54"/>
  <c r="GJ48" i="54"/>
  <c r="GJ49" i="54"/>
  <c r="GJ50" i="54"/>
  <c r="GJ51" i="54"/>
  <c r="GJ52" i="54"/>
  <c r="GJ53" i="54"/>
  <c r="GJ54" i="54"/>
  <c r="GJ55" i="54"/>
  <c r="GJ56" i="54"/>
  <c r="GJ57" i="54"/>
  <c r="GJ58" i="54"/>
  <c r="GJ59" i="54"/>
  <c r="GJ60" i="54"/>
  <c r="GJ61" i="54"/>
  <c r="GJ62" i="54"/>
  <c r="GJ63" i="54"/>
  <c r="GJ64" i="54"/>
  <c r="GJ65" i="54"/>
  <c r="GJ66" i="54"/>
  <c r="GJ67" i="54"/>
  <c r="GJ68" i="54"/>
  <c r="GJ69" i="54"/>
  <c r="GJ70" i="54"/>
  <c r="GJ71" i="54"/>
  <c r="GJ72" i="54"/>
  <c r="GI3" i="54"/>
  <c r="GI4" i="54"/>
  <c r="GI5" i="54"/>
  <c r="GI6" i="54"/>
  <c r="GI7" i="54"/>
  <c r="GI8" i="54"/>
  <c r="GI9" i="54"/>
  <c r="GI10" i="54"/>
  <c r="GI11" i="54"/>
  <c r="GI12" i="54"/>
  <c r="GI13" i="54"/>
  <c r="GI14" i="54"/>
  <c r="GI15" i="54"/>
  <c r="GI16" i="54"/>
  <c r="GI17" i="54"/>
  <c r="GI18" i="54"/>
  <c r="GI19" i="54"/>
  <c r="GI20" i="54"/>
  <c r="GI21" i="54"/>
  <c r="GI22" i="54"/>
  <c r="GI23" i="54"/>
  <c r="GI24" i="54"/>
  <c r="GI25" i="54"/>
  <c r="GI26" i="54"/>
  <c r="GI27" i="54"/>
  <c r="GI28" i="54"/>
  <c r="GI29" i="54"/>
  <c r="GI30" i="54"/>
  <c r="GI31" i="54"/>
  <c r="GI32" i="54"/>
  <c r="GI33" i="54"/>
  <c r="GI34" i="54"/>
  <c r="GI35" i="54"/>
  <c r="GI36" i="54"/>
  <c r="GI37" i="54"/>
  <c r="GI38" i="54"/>
  <c r="GI39" i="54"/>
  <c r="GI40" i="54"/>
  <c r="GI41" i="54"/>
  <c r="GI42" i="54"/>
  <c r="GI43" i="54"/>
  <c r="GI44" i="54"/>
  <c r="GI45" i="54"/>
  <c r="GI46" i="54"/>
  <c r="GI47" i="54"/>
  <c r="GI48" i="54"/>
  <c r="GI49" i="54"/>
  <c r="GI50" i="54"/>
  <c r="GI51" i="54"/>
  <c r="GI52" i="54"/>
  <c r="GI53" i="54"/>
  <c r="GI54" i="54"/>
  <c r="GI55" i="54"/>
  <c r="GI56" i="54"/>
  <c r="GI57" i="54"/>
  <c r="GI58" i="54"/>
  <c r="GI59" i="54"/>
  <c r="GI60" i="54"/>
  <c r="GI61" i="54"/>
  <c r="GI62" i="54"/>
  <c r="GI63" i="54"/>
  <c r="GI64" i="54"/>
  <c r="GI65" i="54"/>
  <c r="GI66" i="54"/>
  <c r="GI67" i="54"/>
  <c r="GI68" i="54"/>
  <c r="GI69" i="54"/>
  <c r="GI70" i="54"/>
  <c r="GI71" i="54"/>
  <c r="GI72" i="54"/>
  <c r="GH3" i="54"/>
  <c r="GH4" i="54"/>
  <c r="GH5" i="54"/>
  <c r="GH6" i="54"/>
  <c r="GH7" i="54"/>
  <c r="GH8" i="54"/>
  <c r="GH9" i="54"/>
  <c r="GH10" i="54"/>
  <c r="GH11" i="54"/>
  <c r="GH12" i="54"/>
  <c r="GH13" i="54"/>
  <c r="GH14" i="54"/>
  <c r="GH15" i="54"/>
  <c r="GH16" i="54"/>
  <c r="GH17" i="54"/>
  <c r="GH18" i="54"/>
  <c r="GH19" i="54"/>
  <c r="GH20" i="54"/>
  <c r="GH21" i="54"/>
  <c r="GH22" i="54"/>
  <c r="GH23" i="54"/>
  <c r="GH24" i="54"/>
  <c r="GH25" i="54"/>
  <c r="GH26" i="54"/>
  <c r="GH27" i="54"/>
  <c r="GH28" i="54"/>
  <c r="GH29" i="54"/>
  <c r="GH30" i="54"/>
  <c r="GH31" i="54"/>
  <c r="GH32" i="54"/>
  <c r="GH33" i="54"/>
  <c r="GH34" i="54"/>
  <c r="GH35" i="54"/>
  <c r="GH36" i="54"/>
  <c r="GH37" i="54"/>
  <c r="GH38" i="54"/>
  <c r="GH39" i="54"/>
  <c r="GH40" i="54"/>
  <c r="GH41" i="54"/>
  <c r="GH42" i="54"/>
  <c r="GH43" i="54"/>
  <c r="GH44" i="54"/>
  <c r="GH45" i="54"/>
  <c r="GH46" i="54"/>
  <c r="GH47" i="54"/>
  <c r="GH48" i="54"/>
  <c r="GH49" i="54"/>
  <c r="GH50" i="54"/>
  <c r="GH51" i="54"/>
  <c r="GH52" i="54"/>
  <c r="GH53" i="54"/>
  <c r="GH54" i="54"/>
  <c r="GH55" i="54"/>
  <c r="GH56" i="54"/>
  <c r="GH57" i="54"/>
  <c r="GH58" i="54"/>
  <c r="GH59" i="54"/>
  <c r="GH60" i="54"/>
  <c r="GH61" i="54"/>
  <c r="GH62" i="54"/>
  <c r="GH63" i="54"/>
  <c r="GH64" i="54"/>
  <c r="GH65" i="54"/>
  <c r="GH66" i="54"/>
  <c r="GH67" i="54"/>
  <c r="GH68" i="54"/>
  <c r="GH69" i="54"/>
  <c r="GH70" i="54"/>
  <c r="GH71" i="54"/>
  <c r="GH72" i="54"/>
  <c r="GG3" i="54"/>
  <c r="GG4" i="54"/>
  <c r="GG5" i="54"/>
  <c r="GG6" i="54"/>
  <c r="GG7" i="54"/>
  <c r="GG8" i="54"/>
  <c r="GG9" i="54"/>
  <c r="GG10" i="54"/>
  <c r="GG11" i="54"/>
  <c r="GG12" i="54"/>
  <c r="GG13" i="54"/>
  <c r="GG14" i="54"/>
  <c r="GG15" i="54"/>
  <c r="GG16" i="54"/>
  <c r="GG17" i="54"/>
  <c r="GG18" i="54"/>
  <c r="GG19" i="54"/>
  <c r="GG20" i="54"/>
  <c r="GG21" i="54"/>
  <c r="GG22" i="54"/>
  <c r="GG23" i="54"/>
  <c r="GG24" i="54"/>
  <c r="GG25" i="54"/>
  <c r="GG26" i="54"/>
  <c r="GG27" i="54"/>
  <c r="GG28" i="54"/>
  <c r="GG29" i="54"/>
  <c r="GG30" i="54"/>
  <c r="GG31" i="54"/>
  <c r="GG32" i="54"/>
  <c r="GG33" i="54"/>
  <c r="GG34" i="54"/>
  <c r="GG35" i="54"/>
  <c r="GG36" i="54"/>
  <c r="GG37" i="54"/>
  <c r="GG38" i="54"/>
  <c r="GG39" i="54"/>
  <c r="GG40" i="54"/>
  <c r="GG41" i="54"/>
  <c r="GG42" i="54"/>
  <c r="GG43" i="54"/>
  <c r="GG44" i="54"/>
  <c r="GG45" i="54"/>
  <c r="GG46" i="54"/>
  <c r="GG47" i="54"/>
  <c r="GG48" i="54"/>
  <c r="GG49" i="54"/>
  <c r="GG50" i="54"/>
  <c r="GG51" i="54"/>
  <c r="GG52" i="54"/>
  <c r="GG53" i="54"/>
  <c r="GG54" i="54"/>
  <c r="GG55" i="54"/>
  <c r="GG56" i="54"/>
  <c r="GG57" i="54"/>
  <c r="GG58" i="54"/>
  <c r="GG59" i="54"/>
  <c r="GG60" i="54"/>
  <c r="GG61" i="54"/>
  <c r="GG62" i="54"/>
  <c r="GG63" i="54"/>
  <c r="GG64" i="54"/>
  <c r="GG65" i="54"/>
  <c r="GG66" i="54"/>
  <c r="GG67" i="54"/>
  <c r="GG68" i="54"/>
  <c r="GG69" i="54"/>
  <c r="GG70" i="54"/>
  <c r="GG71" i="54"/>
  <c r="GG72" i="54"/>
  <c r="GE3" i="54"/>
  <c r="GE4" i="54"/>
  <c r="GE5" i="54"/>
  <c r="GE6" i="54"/>
  <c r="GE7" i="54"/>
  <c r="GE8" i="54"/>
  <c r="GE9" i="54"/>
  <c r="GE10" i="54"/>
  <c r="GE11" i="54"/>
  <c r="GE12" i="54"/>
  <c r="GE13" i="54"/>
  <c r="GE14" i="54"/>
  <c r="GE15" i="54"/>
  <c r="GE16" i="54"/>
  <c r="GE17" i="54"/>
  <c r="GE18" i="54"/>
  <c r="GE19" i="54"/>
  <c r="GE20" i="54"/>
  <c r="GE21" i="54"/>
  <c r="GE22" i="54"/>
  <c r="GE23" i="54"/>
  <c r="GE24" i="54"/>
  <c r="GE25" i="54"/>
  <c r="GE26" i="54"/>
  <c r="GE27" i="54"/>
  <c r="GE28" i="54"/>
  <c r="GE29" i="54"/>
  <c r="GE30" i="54"/>
  <c r="GE31" i="54"/>
  <c r="GE32" i="54"/>
  <c r="GE33" i="54"/>
  <c r="GE34" i="54"/>
  <c r="GE35" i="54"/>
  <c r="GE36" i="54"/>
  <c r="GE37" i="54"/>
  <c r="GE38" i="54"/>
  <c r="GE39" i="54"/>
  <c r="GE40" i="54"/>
  <c r="GE41" i="54"/>
  <c r="GE42" i="54"/>
  <c r="GE43" i="54"/>
  <c r="GE44" i="54"/>
  <c r="GE45" i="54"/>
  <c r="GE46" i="54"/>
  <c r="GE47" i="54"/>
  <c r="GE48" i="54"/>
  <c r="GE49" i="54"/>
  <c r="GE50" i="54"/>
  <c r="GE51" i="54"/>
  <c r="GE52" i="54"/>
  <c r="GE53" i="54"/>
  <c r="GE54" i="54"/>
  <c r="GE55" i="54"/>
  <c r="GE56" i="54"/>
  <c r="GE57" i="54"/>
  <c r="GE58" i="54"/>
  <c r="GE59" i="54"/>
  <c r="GE60" i="54"/>
  <c r="GE61" i="54"/>
  <c r="GE62" i="54"/>
  <c r="GE63" i="54"/>
  <c r="GE64" i="54"/>
  <c r="GE65" i="54"/>
  <c r="GE66" i="54"/>
  <c r="GE67" i="54"/>
  <c r="GE68" i="54"/>
  <c r="GE69" i="54"/>
  <c r="GE70" i="54"/>
  <c r="GE71" i="54"/>
  <c r="GE72" i="54"/>
  <c r="FM3" i="54"/>
  <c r="FM4" i="54"/>
  <c r="FM6" i="54"/>
  <c r="FM20" i="54"/>
  <c r="FM52" i="54"/>
  <c r="FM60" i="54"/>
  <c r="FM63" i="54"/>
  <c r="FM69" i="54"/>
  <c r="FM72" i="54"/>
  <c r="FL3" i="54"/>
  <c r="FL4" i="54"/>
  <c r="FL5" i="54"/>
  <c r="FM5" i="54" s="1"/>
  <c r="FL6" i="54"/>
  <c r="FL7" i="54"/>
  <c r="FM7" i="54" s="1"/>
  <c r="FL8" i="54"/>
  <c r="FM8" i="54" s="1"/>
  <c r="FL9" i="54"/>
  <c r="FM9" i="54" s="1"/>
  <c r="FL10" i="54"/>
  <c r="FM10" i="54" s="1"/>
  <c r="FL11" i="54"/>
  <c r="FM11" i="54" s="1"/>
  <c r="FL12" i="54"/>
  <c r="FM12" i="54" s="1"/>
  <c r="FL13" i="54"/>
  <c r="FM13" i="54" s="1"/>
  <c r="FL14" i="54"/>
  <c r="FM14" i="54" s="1"/>
  <c r="FL15" i="54"/>
  <c r="FM15" i="54" s="1"/>
  <c r="FL16" i="54"/>
  <c r="FM16" i="54" s="1"/>
  <c r="FL17" i="54"/>
  <c r="FM17" i="54" s="1"/>
  <c r="FL18" i="54"/>
  <c r="FM18" i="54" s="1"/>
  <c r="FL19" i="54"/>
  <c r="FM19" i="54" s="1"/>
  <c r="FL20" i="54"/>
  <c r="FL22" i="54"/>
  <c r="FM22" i="54" s="1"/>
  <c r="FL52" i="54"/>
  <c r="FL53" i="54"/>
  <c r="FM53" i="54" s="1"/>
  <c r="FL54" i="54"/>
  <c r="FM54" i="54" s="1"/>
  <c r="FL56" i="54"/>
  <c r="FM56" i="54" s="1"/>
  <c r="FL57" i="54"/>
  <c r="FM57" i="54" s="1"/>
  <c r="FL58" i="54"/>
  <c r="FM58" i="54" s="1"/>
  <c r="FL59" i="54"/>
  <c r="FM59" i="54" s="1"/>
  <c r="FL60" i="54"/>
  <c r="FL62" i="54"/>
  <c r="FM62" i="54" s="1"/>
  <c r="FL63" i="54"/>
  <c r="FL64" i="54"/>
  <c r="FM64" i="54" s="1"/>
  <c r="FL66" i="54"/>
  <c r="FM66" i="54" s="1"/>
  <c r="FL68" i="54"/>
  <c r="FM68" i="54" s="1"/>
  <c r="FL69" i="54"/>
  <c r="FL70" i="54"/>
  <c r="FM70" i="54" s="1"/>
  <c r="FL72" i="54"/>
  <c r="FB3" i="54"/>
  <c r="FB4" i="54"/>
  <c r="FB5" i="54"/>
  <c r="FB6" i="54"/>
  <c r="FB7" i="54"/>
  <c r="FB8" i="54"/>
  <c r="FB9" i="54"/>
  <c r="FB10" i="54"/>
  <c r="FB11" i="54"/>
  <c r="FB12" i="54"/>
  <c r="FB13" i="54"/>
  <c r="FB14" i="54"/>
  <c r="FB15" i="54"/>
  <c r="FB16" i="54"/>
  <c r="FB17" i="54"/>
  <c r="FB18" i="54"/>
  <c r="FB19" i="54"/>
  <c r="FB20" i="54"/>
  <c r="FB22" i="54"/>
  <c r="FB52" i="54"/>
  <c r="FB53" i="54"/>
  <c r="FB54" i="54"/>
  <c r="FB56" i="54"/>
  <c r="FB57" i="54"/>
  <c r="FB58" i="54"/>
  <c r="FB59" i="54"/>
  <c r="FB60" i="54"/>
  <c r="FB62" i="54"/>
  <c r="FB63" i="54"/>
  <c r="FB64" i="54"/>
  <c r="FB66" i="54"/>
  <c r="FB68" i="54"/>
  <c r="FB69" i="54"/>
  <c r="FB70" i="54"/>
  <c r="FB72" i="54"/>
  <c r="EY21" i="54"/>
  <c r="EY23" i="54"/>
  <c r="EY24" i="54"/>
  <c r="EY25" i="54"/>
  <c r="EY26" i="54"/>
  <c r="EY27" i="54"/>
  <c r="EY28" i="54"/>
  <c r="EY29" i="54"/>
  <c r="EY30" i="54"/>
  <c r="EY31" i="54"/>
  <c r="EY32" i="54"/>
  <c r="EY33" i="54"/>
  <c r="EY34" i="54"/>
  <c r="EY35" i="54"/>
  <c r="EY38" i="54"/>
  <c r="EY39" i="54"/>
  <c r="EY40" i="54"/>
  <c r="EY41" i="54"/>
  <c r="EY42" i="54"/>
  <c r="EY43" i="54"/>
  <c r="EY44" i="54"/>
  <c r="EY45" i="54"/>
  <c r="EY46" i="54"/>
  <c r="EY47" i="54"/>
  <c r="ET61" i="54"/>
  <c r="ES13" i="54"/>
  <c r="ES24" i="54"/>
  <c r="ES25" i="54"/>
  <c r="ES26" i="54"/>
  <c r="ES28" i="54"/>
  <c r="ES40" i="54"/>
  <c r="ES48" i="54"/>
  <c r="ES72" i="54"/>
  <c r="ER3" i="54"/>
  <c r="ES3" i="54" s="1"/>
  <c r="ER4" i="54"/>
  <c r="ES4" i="54" s="1"/>
  <c r="ER5" i="54"/>
  <c r="ES5" i="54" s="1"/>
  <c r="ER6" i="54"/>
  <c r="ES6" i="54" s="1"/>
  <c r="ER7" i="54"/>
  <c r="ES7" i="54" s="1"/>
  <c r="ER8" i="54"/>
  <c r="ES8" i="54" s="1"/>
  <c r="ER9" i="54"/>
  <c r="ES9" i="54" s="1"/>
  <c r="ER10" i="54"/>
  <c r="ES10" i="54" s="1"/>
  <c r="ER11" i="54"/>
  <c r="ES11" i="54" s="1"/>
  <c r="ER12" i="54"/>
  <c r="ES12" i="54" s="1"/>
  <c r="ER13" i="54"/>
  <c r="ER14" i="54"/>
  <c r="ES14" i="54" s="1"/>
  <c r="ER15" i="54"/>
  <c r="ES15" i="54" s="1"/>
  <c r="ER16" i="54"/>
  <c r="ES16" i="54" s="1"/>
  <c r="ER17" i="54"/>
  <c r="ES17" i="54" s="1"/>
  <c r="ER18" i="54"/>
  <c r="ES18" i="54" s="1"/>
  <c r="ER19" i="54"/>
  <c r="ES19" i="54" s="1"/>
  <c r="ER20" i="54"/>
  <c r="ES20" i="54" s="1"/>
  <c r="ER21" i="54"/>
  <c r="ES21" i="54" s="1"/>
  <c r="ER22" i="54"/>
  <c r="ES22" i="54" s="1"/>
  <c r="ER23" i="54"/>
  <c r="ES23" i="54" s="1"/>
  <c r="ER24" i="54"/>
  <c r="ER25" i="54"/>
  <c r="ER26" i="54"/>
  <c r="ER27" i="54"/>
  <c r="ES27" i="54" s="1"/>
  <c r="ER28" i="54"/>
  <c r="ER29" i="54"/>
  <c r="ES29" i="54" s="1"/>
  <c r="ER30" i="54"/>
  <c r="ES30" i="54" s="1"/>
  <c r="GT30" i="54" s="1"/>
  <c r="ER31" i="54"/>
  <c r="ES31" i="54" s="1"/>
  <c r="ER32" i="54"/>
  <c r="ES32" i="54" s="1"/>
  <c r="ER33" i="54"/>
  <c r="ES33" i="54" s="1"/>
  <c r="ER34" i="54"/>
  <c r="ES34" i="54" s="1"/>
  <c r="ER35" i="54"/>
  <c r="ES35" i="54" s="1"/>
  <c r="ER36" i="54"/>
  <c r="ES36" i="54" s="1"/>
  <c r="ER37" i="54"/>
  <c r="ES37" i="54" s="1"/>
  <c r="ER38" i="54"/>
  <c r="ES38" i="54" s="1"/>
  <c r="ER39" i="54"/>
  <c r="ES39" i="54" s="1"/>
  <c r="ER40" i="54"/>
  <c r="ER41" i="54"/>
  <c r="ES41" i="54" s="1"/>
  <c r="ER42" i="54"/>
  <c r="ES42" i="54" s="1"/>
  <c r="ER43" i="54"/>
  <c r="ES43" i="54" s="1"/>
  <c r="ER44" i="54"/>
  <c r="ES44" i="54" s="1"/>
  <c r="ER45" i="54"/>
  <c r="ES45" i="54" s="1"/>
  <c r="ER46" i="54"/>
  <c r="ES46" i="54" s="1"/>
  <c r="ER47" i="54"/>
  <c r="ES47" i="54" s="1"/>
  <c r="ER48" i="54"/>
  <c r="ER49" i="54"/>
  <c r="ES49" i="54" s="1"/>
  <c r="GT49" i="54" s="1"/>
  <c r="ER50" i="54"/>
  <c r="ES50" i="54" s="1"/>
  <c r="ER51" i="54"/>
  <c r="ER52" i="54"/>
  <c r="ES52" i="54" s="1"/>
  <c r="ER53" i="54"/>
  <c r="ES53" i="54" s="1"/>
  <c r="ER54" i="54"/>
  <c r="ES54" i="54" s="1"/>
  <c r="ER55" i="54"/>
  <c r="ES55" i="54" s="1"/>
  <c r="ER56" i="54"/>
  <c r="ES56" i="54" s="1"/>
  <c r="ER57" i="54"/>
  <c r="ES57" i="54" s="1"/>
  <c r="ER58" i="54"/>
  <c r="ES58" i="54" s="1"/>
  <c r="ER59" i="54"/>
  <c r="ES59" i="54" s="1"/>
  <c r="ER60" i="54"/>
  <c r="ES60" i="54" s="1"/>
  <c r="GT60" i="54" s="1"/>
  <c r="ER61" i="54"/>
  <c r="ES61" i="54" s="1"/>
  <c r="ER62" i="54"/>
  <c r="ES62" i="54" s="1"/>
  <c r="ER63" i="54"/>
  <c r="ES63" i="54" s="1"/>
  <c r="ER64" i="54"/>
  <c r="ES64" i="54" s="1"/>
  <c r="ER65" i="54"/>
  <c r="ES65" i="54" s="1"/>
  <c r="ER66" i="54"/>
  <c r="ES66" i="54" s="1"/>
  <c r="ER67" i="54"/>
  <c r="ES67" i="54" s="1"/>
  <c r="ER68" i="54"/>
  <c r="ES68" i="54" s="1"/>
  <c r="ER69" i="54"/>
  <c r="ES69" i="54" s="1"/>
  <c r="ER70" i="54"/>
  <c r="ES70" i="54" s="1"/>
  <c r="ER71" i="54"/>
  <c r="ES71" i="54" s="1"/>
  <c r="ER72" i="54"/>
  <c r="EQ20" i="54"/>
  <c r="EP3" i="54"/>
  <c r="EP4" i="54"/>
  <c r="EP5" i="54"/>
  <c r="GN5" i="54" s="1"/>
  <c r="EP6" i="54"/>
  <c r="GN6" i="54" s="1"/>
  <c r="EP7" i="54"/>
  <c r="EP8" i="54"/>
  <c r="EP9" i="54"/>
  <c r="EP10" i="54"/>
  <c r="EP11" i="54"/>
  <c r="EP12" i="54"/>
  <c r="GN12" i="54" s="1"/>
  <c r="EP13" i="54"/>
  <c r="GN13" i="54" s="1"/>
  <c r="EP14" i="54"/>
  <c r="GN14" i="54" s="1"/>
  <c r="EP15" i="54"/>
  <c r="GN15" i="54" s="1"/>
  <c r="EP16" i="54"/>
  <c r="GN16" i="54" s="1"/>
  <c r="EP17" i="54"/>
  <c r="GN17" i="54" s="1"/>
  <c r="EP18" i="54"/>
  <c r="EP19" i="54"/>
  <c r="GN19" i="54" s="1"/>
  <c r="EP20" i="54"/>
  <c r="GN20" i="54" s="1"/>
  <c r="EP22" i="54"/>
  <c r="GN22" i="54" s="1"/>
  <c r="EP52" i="54"/>
  <c r="EP53" i="54"/>
  <c r="GN53" i="54" s="1"/>
  <c r="EP54" i="54"/>
  <c r="EP56" i="54"/>
  <c r="GN56" i="54" s="1"/>
  <c r="EP57" i="54"/>
  <c r="EP58" i="54"/>
  <c r="EP59" i="54"/>
  <c r="EP60" i="54"/>
  <c r="GN60" i="54" s="1"/>
  <c r="EP62" i="54"/>
  <c r="GN62" i="54" s="1"/>
  <c r="EP63" i="54"/>
  <c r="EP64" i="54"/>
  <c r="EP66" i="54"/>
  <c r="EP68" i="54"/>
  <c r="EP69" i="54"/>
  <c r="GN69" i="54" s="1"/>
  <c r="EP70" i="54"/>
  <c r="EP72" i="54"/>
  <c r="GN72" i="54" s="1"/>
  <c r="EO3" i="54"/>
  <c r="EO4" i="54"/>
  <c r="EO5" i="54"/>
  <c r="EO6" i="54"/>
  <c r="EO7" i="54"/>
  <c r="EO8" i="54"/>
  <c r="EO9" i="54"/>
  <c r="EO10" i="54"/>
  <c r="EO11" i="54"/>
  <c r="EO12" i="54"/>
  <c r="EO13" i="54"/>
  <c r="EO14" i="54"/>
  <c r="EO15" i="54"/>
  <c r="EO16" i="54"/>
  <c r="EO17" i="54"/>
  <c r="EO18" i="54"/>
  <c r="EO19" i="54"/>
  <c r="EO20" i="54"/>
  <c r="EO22" i="54"/>
  <c r="EO52" i="54"/>
  <c r="EO53" i="54"/>
  <c r="EO54" i="54"/>
  <c r="EO56" i="54"/>
  <c r="EO57" i="54"/>
  <c r="EO58" i="54"/>
  <c r="EO59" i="54"/>
  <c r="EO60" i="54"/>
  <c r="EO62" i="54"/>
  <c r="EO63" i="54"/>
  <c r="EO64" i="54"/>
  <c r="EO66" i="54"/>
  <c r="EO68" i="54"/>
  <c r="EO69" i="54"/>
  <c r="EO70" i="54"/>
  <c r="EO72" i="54"/>
  <c r="EN3" i="54"/>
  <c r="EN4" i="54"/>
  <c r="EN5" i="54"/>
  <c r="EN6" i="54"/>
  <c r="EN7" i="54"/>
  <c r="EN8" i="54"/>
  <c r="EN9" i="54"/>
  <c r="EN10" i="54"/>
  <c r="EN11" i="54"/>
  <c r="EN12" i="54"/>
  <c r="EN13" i="54"/>
  <c r="EN14" i="54"/>
  <c r="EN15" i="54"/>
  <c r="EN16" i="54"/>
  <c r="EN17" i="54"/>
  <c r="EN18" i="54"/>
  <c r="EN19" i="54"/>
  <c r="EN20" i="54"/>
  <c r="EN22" i="54"/>
  <c r="EN52" i="54"/>
  <c r="EN53" i="54"/>
  <c r="EN54" i="54"/>
  <c r="EN56" i="54"/>
  <c r="EN57" i="54"/>
  <c r="EN58" i="54"/>
  <c r="EN59" i="54"/>
  <c r="EN60" i="54"/>
  <c r="EN62" i="54"/>
  <c r="EN63" i="54"/>
  <c r="EN64" i="54"/>
  <c r="EN66" i="54"/>
  <c r="EN68" i="54"/>
  <c r="EN69" i="54"/>
  <c r="EN70" i="54"/>
  <c r="EN72" i="54"/>
  <c r="EJ3" i="54"/>
  <c r="EJ4" i="54"/>
  <c r="EJ5" i="54"/>
  <c r="GF5" i="54" s="1"/>
  <c r="EJ6" i="54"/>
  <c r="EJ7" i="54"/>
  <c r="GF7" i="54" s="1"/>
  <c r="EJ8" i="54"/>
  <c r="GF8" i="54" s="1"/>
  <c r="EJ9" i="54"/>
  <c r="GF9" i="54" s="1"/>
  <c r="EJ10" i="54"/>
  <c r="GF10" i="54" s="1"/>
  <c r="EJ11" i="54"/>
  <c r="EJ12" i="54"/>
  <c r="EJ13" i="54"/>
  <c r="EJ14" i="54"/>
  <c r="EJ15" i="54"/>
  <c r="GF15" i="54" s="1"/>
  <c r="EJ16" i="54"/>
  <c r="GF16" i="54" s="1"/>
  <c r="EJ17" i="54"/>
  <c r="GF17" i="54" s="1"/>
  <c r="EJ18" i="54"/>
  <c r="EJ19" i="54"/>
  <c r="EJ20" i="54"/>
  <c r="EJ22" i="54"/>
  <c r="GF22" i="54" s="1"/>
  <c r="EJ52" i="54"/>
  <c r="EJ53" i="54"/>
  <c r="EJ54" i="54"/>
  <c r="GF54" i="54" s="1"/>
  <c r="EJ56" i="54"/>
  <c r="GF56" i="54" s="1"/>
  <c r="EJ57" i="54"/>
  <c r="EJ58" i="54"/>
  <c r="EJ59" i="54"/>
  <c r="EJ60" i="54"/>
  <c r="EJ62" i="54"/>
  <c r="EJ63" i="54"/>
  <c r="GF63" i="54" s="1"/>
  <c r="EJ64" i="54"/>
  <c r="GF64" i="54" s="1"/>
  <c r="EJ66" i="54"/>
  <c r="GF66" i="54" s="1"/>
  <c r="EJ68" i="54"/>
  <c r="EJ69" i="54"/>
  <c r="EJ70" i="54"/>
  <c r="GF70" i="54" s="1"/>
  <c r="EJ72" i="54"/>
  <c r="GF72" i="54" s="1"/>
  <c r="EI3" i="54"/>
  <c r="EI4" i="54"/>
  <c r="EI5" i="54"/>
  <c r="EI6" i="54"/>
  <c r="EI7" i="54"/>
  <c r="EI8" i="54"/>
  <c r="EI9" i="54"/>
  <c r="EI10" i="54"/>
  <c r="EI11" i="54"/>
  <c r="EI12" i="54"/>
  <c r="EI13" i="54"/>
  <c r="EI14" i="54"/>
  <c r="EI15" i="54"/>
  <c r="EI16" i="54"/>
  <c r="EI17" i="54"/>
  <c r="EI18" i="54"/>
  <c r="EI19" i="54"/>
  <c r="EI20" i="54"/>
  <c r="EI22" i="54"/>
  <c r="EI52" i="54"/>
  <c r="EI53" i="54"/>
  <c r="EI54" i="54"/>
  <c r="EI56" i="54"/>
  <c r="EI57" i="54"/>
  <c r="EI58" i="54"/>
  <c r="EI59" i="54"/>
  <c r="EI60" i="54"/>
  <c r="EI62" i="54"/>
  <c r="EI63" i="54"/>
  <c r="EI64" i="54"/>
  <c r="EI66" i="54"/>
  <c r="EI68" i="54"/>
  <c r="EI69" i="54"/>
  <c r="EI70" i="54"/>
  <c r="EI72" i="54"/>
  <c r="EH3" i="54"/>
  <c r="EH4" i="54"/>
  <c r="EH5" i="54"/>
  <c r="EH6" i="54"/>
  <c r="EH7" i="54"/>
  <c r="EH8" i="54"/>
  <c r="EH9" i="54"/>
  <c r="EH10" i="54"/>
  <c r="EH11" i="54"/>
  <c r="EH12" i="54"/>
  <c r="EH13" i="54"/>
  <c r="EH14" i="54"/>
  <c r="EH15" i="54"/>
  <c r="EH16" i="54"/>
  <c r="EH17" i="54"/>
  <c r="EH18" i="54"/>
  <c r="EH19" i="54"/>
  <c r="EH20" i="54"/>
  <c r="EH22" i="54"/>
  <c r="EH52" i="54"/>
  <c r="EH53" i="54"/>
  <c r="EH54" i="54"/>
  <c r="EH56" i="54"/>
  <c r="EH57" i="54"/>
  <c r="EH58" i="54"/>
  <c r="EH59" i="54"/>
  <c r="EH60" i="54"/>
  <c r="EH62" i="54"/>
  <c r="EH63" i="54"/>
  <c r="EH64" i="54"/>
  <c r="EH66" i="54"/>
  <c r="EH68" i="54"/>
  <c r="EH69" i="54"/>
  <c r="EH70" i="54"/>
  <c r="EH72" i="54"/>
  <c r="EG3" i="54"/>
  <c r="EG4" i="54"/>
  <c r="EG5" i="54"/>
  <c r="EG6" i="54"/>
  <c r="EG7" i="54"/>
  <c r="EG8" i="54"/>
  <c r="EG9" i="54"/>
  <c r="EG10" i="54"/>
  <c r="EG11" i="54"/>
  <c r="EG12" i="54"/>
  <c r="EG13" i="54"/>
  <c r="EG14" i="54"/>
  <c r="EG15" i="54"/>
  <c r="EG16" i="54"/>
  <c r="EG17" i="54"/>
  <c r="EG18" i="54"/>
  <c r="EG19" i="54"/>
  <c r="EG20" i="54"/>
  <c r="EG22" i="54"/>
  <c r="EG52" i="54"/>
  <c r="EG53" i="54"/>
  <c r="EG54" i="54"/>
  <c r="EG56" i="54"/>
  <c r="EG57" i="54"/>
  <c r="EG58" i="54"/>
  <c r="EG59" i="54"/>
  <c r="EG60" i="54"/>
  <c r="EG62" i="54"/>
  <c r="EG63" i="54"/>
  <c r="EG64" i="54"/>
  <c r="EG66" i="54"/>
  <c r="EG68" i="54"/>
  <c r="EG69" i="54"/>
  <c r="EG70" i="54"/>
  <c r="EG72" i="54"/>
  <c r="EF3" i="54"/>
  <c r="EF4" i="54"/>
  <c r="EF5" i="54"/>
  <c r="EF6" i="54"/>
  <c r="EF7" i="54"/>
  <c r="EF8" i="54"/>
  <c r="EF9" i="54"/>
  <c r="EF10" i="54"/>
  <c r="EF11" i="54"/>
  <c r="EF12" i="54"/>
  <c r="EF13" i="54"/>
  <c r="EF14" i="54"/>
  <c r="EF15" i="54"/>
  <c r="EF16" i="54"/>
  <c r="EF17" i="54"/>
  <c r="EF18" i="54"/>
  <c r="EF19" i="54"/>
  <c r="EF20" i="54"/>
  <c r="EF22" i="54"/>
  <c r="EF52" i="54"/>
  <c r="EF53" i="54"/>
  <c r="EF54" i="54"/>
  <c r="EF56" i="54"/>
  <c r="EF57" i="54"/>
  <c r="EF58" i="54"/>
  <c r="EF59" i="54"/>
  <c r="EF60" i="54"/>
  <c r="EF62" i="54"/>
  <c r="EF63" i="54"/>
  <c r="EF64" i="54"/>
  <c r="EF66" i="54"/>
  <c r="EF68" i="54"/>
  <c r="EF69" i="54"/>
  <c r="EF70" i="54"/>
  <c r="EF72" i="54"/>
  <c r="EE3" i="54"/>
  <c r="EE4" i="54"/>
  <c r="EE5" i="54"/>
  <c r="EE6" i="54"/>
  <c r="EE7" i="54"/>
  <c r="EE8" i="54"/>
  <c r="EE9" i="54"/>
  <c r="EE10" i="54"/>
  <c r="EE11" i="54"/>
  <c r="EE12" i="54"/>
  <c r="EE13" i="54"/>
  <c r="EE14" i="54"/>
  <c r="EE15" i="54"/>
  <c r="EE16" i="54"/>
  <c r="EE17" i="54"/>
  <c r="EE18" i="54"/>
  <c r="EE19" i="54"/>
  <c r="EE20" i="54"/>
  <c r="EE22" i="54"/>
  <c r="EE52" i="54"/>
  <c r="EE53" i="54"/>
  <c r="EE54" i="54"/>
  <c r="EE56" i="54"/>
  <c r="EE57" i="54"/>
  <c r="EE58" i="54"/>
  <c r="EE59" i="54"/>
  <c r="EE60" i="54"/>
  <c r="EE62" i="54"/>
  <c r="EE63" i="54"/>
  <c r="EE64" i="54"/>
  <c r="EE66" i="54"/>
  <c r="EE68" i="54"/>
  <c r="EE69" i="54"/>
  <c r="EE70" i="54"/>
  <c r="EE72" i="54"/>
  <c r="ED3" i="54"/>
  <c r="ED4" i="54"/>
  <c r="ED5" i="54"/>
  <c r="ED6" i="54"/>
  <c r="ED7" i="54"/>
  <c r="ED8" i="54"/>
  <c r="ED9" i="54"/>
  <c r="ED10" i="54"/>
  <c r="ED11" i="54"/>
  <c r="ED12" i="54"/>
  <c r="ED13" i="54"/>
  <c r="ED14" i="54"/>
  <c r="ED15" i="54"/>
  <c r="ED16" i="54"/>
  <c r="ED17" i="54"/>
  <c r="ED18" i="54"/>
  <c r="ED19" i="54"/>
  <c r="ED20" i="54"/>
  <c r="ED22" i="54"/>
  <c r="ED52" i="54"/>
  <c r="ED53" i="54"/>
  <c r="ED54" i="54"/>
  <c r="ED56" i="54"/>
  <c r="ED57" i="54"/>
  <c r="ED58" i="54"/>
  <c r="ED59" i="54"/>
  <c r="ED60" i="54"/>
  <c r="ED62" i="54"/>
  <c r="ED63" i="54"/>
  <c r="ED64" i="54"/>
  <c r="ED66" i="54"/>
  <c r="ED68" i="54"/>
  <c r="ED69" i="54"/>
  <c r="ED70" i="54"/>
  <c r="ED72" i="54"/>
  <c r="EC3" i="54"/>
  <c r="EC4" i="54"/>
  <c r="EC5" i="54"/>
  <c r="EC6" i="54"/>
  <c r="EC7" i="54"/>
  <c r="EC8" i="54"/>
  <c r="EC9" i="54"/>
  <c r="EC10" i="54"/>
  <c r="EC11" i="54"/>
  <c r="EC12" i="54"/>
  <c r="EC13" i="54"/>
  <c r="EC14" i="54"/>
  <c r="EC15" i="54"/>
  <c r="EC16" i="54"/>
  <c r="EC17" i="54"/>
  <c r="EC18" i="54"/>
  <c r="EC19" i="54"/>
  <c r="EC20" i="54"/>
  <c r="EC22" i="54"/>
  <c r="EC52" i="54"/>
  <c r="EC53" i="54"/>
  <c r="EC54" i="54"/>
  <c r="EC56" i="54"/>
  <c r="EC57" i="54"/>
  <c r="EC58" i="54"/>
  <c r="EC59" i="54"/>
  <c r="EC60" i="54"/>
  <c r="EC62" i="54"/>
  <c r="EC63" i="54"/>
  <c r="EC64" i="54"/>
  <c r="EC66" i="54"/>
  <c r="EC68" i="54"/>
  <c r="EC69" i="54"/>
  <c r="EC70" i="54"/>
  <c r="EC72" i="54"/>
  <c r="EB3" i="54"/>
  <c r="EB4" i="54"/>
  <c r="EB5" i="54"/>
  <c r="EB6" i="54"/>
  <c r="EB7" i="54"/>
  <c r="EB8" i="54"/>
  <c r="EB9" i="54"/>
  <c r="EB10" i="54"/>
  <c r="EB11" i="54"/>
  <c r="EB12" i="54"/>
  <c r="EB13" i="54"/>
  <c r="EB14" i="54"/>
  <c r="EB15" i="54"/>
  <c r="EB16" i="54"/>
  <c r="EB17" i="54"/>
  <c r="EB18" i="54"/>
  <c r="EB19" i="54"/>
  <c r="EB20" i="54"/>
  <c r="EA3" i="54"/>
  <c r="EA4" i="54"/>
  <c r="EA5" i="54"/>
  <c r="EA6" i="54"/>
  <c r="EA7" i="54"/>
  <c r="EA8" i="54"/>
  <c r="EA9" i="54"/>
  <c r="EA10" i="54"/>
  <c r="EA11" i="54"/>
  <c r="EA12" i="54"/>
  <c r="EA13" i="54"/>
  <c r="EA14" i="54"/>
  <c r="EA15" i="54"/>
  <c r="EA16" i="54"/>
  <c r="EA17" i="54"/>
  <c r="EA18" i="54"/>
  <c r="EA19" i="54"/>
  <c r="EA20" i="54"/>
  <c r="EA25" i="54"/>
  <c r="DW57" i="54"/>
  <c r="DW62" i="54"/>
  <c r="DW70" i="54"/>
  <c r="DV3" i="54"/>
  <c r="DV4" i="54"/>
  <c r="DV5" i="54"/>
  <c r="DV6" i="54"/>
  <c r="DV7" i="54"/>
  <c r="DV8" i="54"/>
  <c r="DV9" i="54"/>
  <c r="DV10" i="54"/>
  <c r="DV11" i="54"/>
  <c r="DV12" i="54"/>
  <c r="DV13" i="54"/>
  <c r="DV14" i="54"/>
  <c r="DV15" i="54"/>
  <c r="DV16" i="54"/>
  <c r="DV17" i="54"/>
  <c r="DV18" i="54"/>
  <c r="DV19" i="54"/>
  <c r="DV20" i="54"/>
  <c r="DU3" i="54"/>
  <c r="DU4" i="54"/>
  <c r="DU5" i="54"/>
  <c r="DU6" i="54"/>
  <c r="DU7" i="54"/>
  <c r="DU8" i="54"/>
  <c r="DU9" i="54"/>
  <c r="DU10" i="54"/>
  <c r="DU11" i="54"/>
  <c r="DU12" i="54"/>
  <c r="DU13" i="54"/>
  <c r="DU14" i="54"/>
  <c r="DU15" i="54"/>
  <c r="DU16" i="54"/>
  <c r="DU17" i="54"/>
  <c r="DU18" i="54"/>
  <c r="DU19" i="54"/>
  <c r="DU20" i="54"/>
  <c r="DT3" i="54"/>
  <c r="DT4" i="54"/>
  <c r="DT5" i="54"/>
  <c r="DT6" i="54"/>
  <c r="DT7" i="54"/>
  <c r="DT8" i="54"/>
  <c r="DT9" i="54"/>
  <c r="DT10" i="54"/>
  <c r="DT11" i="54"/>
  <c r="DT12" i="54"/>
  <c r="DT13" i="54"/>
  <c r="DT14" i="54"/>
  <c r="DT15" i="54"/>
  <c r="DT16" i="54"/>
  <c r="DT17" i="54"/>
  <c r="DT18" i="54"/>
  <c r="DT19" i="54"/>
  <c r="DT20" i="54"/>
  <c r="DS3" i="54"/>
  <c r="DS4" i="54"/>
  <c r="DS5" i="54"/>
  <c r="DS6" i="54"/>
  <c r="DS7" i="54"/>
  <c r="DS8" i="54"/>
  <c r="DS9" i="54"/>
  <c r="DS10" i="54"/>
  <c r="DS11" i="54"/>
  <c r="DS12" i="54"/>
  <c r="DS13" i="54"/>
  <c r="DS14" i="54"/>
  <c r="DS15" i="54"/>
  <c r="DS16" i="54"/>
  <c r="DS17" i="54"/>
  <c r="DS18" i="54"/>
  <c r="DS19" i="54"/>
  <c r="DS20" i="54"/>
  <c r="DQ3" i="54"/>
  <c r="DQ4" i="54"/>
  <c r="DQ5" i="54"/>
  <c r="DQ6" i="54"/>
  <c r="DQ7" i="54"/>
  <c r="DQ8" i="54"/>
  <c r="DQ9" i="54"/>
  <c r="DQ10" i="54"/>
  <c r="DQ11" i="54"/>
  <c r="DQ12" i="54"/>
  <c r="DQ13" i="54"/>
  <c r="DQ14" i="54"/>
  <c r="DQ15" i="54"/>
  <c r="DQ16" i="54"/>
  <c r="DQ17" i="54"/>
  <c r="DQ18" i="54"/>
  <c r="DQ19" i="54"/>
  <c r="DQ20" i="54"/>
  <c r="DQ34" i="54"/>
  <c r="DO3" i="54"/>
  <c r="DO4" i="54"/>
  <c r="DO5" i="54"/>
  <c r="DO6" i="54"/>
  <c r="DO7" i="54"/>
  <c r="DO8" i="54"/>
  <c r="DO9" i="54"/>
  <c r="DO10" i="54"/>
  <c r="DO11" i="54"/>
  <c r="DO12" i="54"/>
  <c r="DO13" i="54"/>
  <c r="DO14" i="54"/>
  <c r="DO15" i="54"/>
  <c r="DO16" i="54"/>
  <c r="DO17" i="54"/>
  <c r="DO18" i="54"/>
  <c r="DO19" i="54"/>
  <c r="DO20" i="54"/>
  <c r="DM3" i="54"/>
  <c r="DM4" i="54"/>
  <c r="DM5" i="54"/>
  <c r="DM6" i="54"/>
  <c r="DM7" i="54"/>
  <c r="DM8" i="54"/>
  <c r="DM9" i="54"/>
  <c r="DM10" i="54"/>
  <c r="DM11" i="54"/>
  <c r="DM12" i="54"/>
  <c r="DM13" i="54"/>
  <c r="DM14" i="54"/>
  <c r="DM15" i="54"/>
  <c r="DM16" i="54"/>
  <c r="DM17" i="54"/>
  <c r="DM18" i="54"/>
  <c r="DM19" i="54"/>
  <c r="DM20" i="54"/>
  <c r="DM22" i="54"/>
  <c r="DM70" i="54"/>
  <c r="DL3" i="54"/>
  <c r="DL4" i="54"/>
  <c r="DL5" i="54"/>
  <c r="DL6" i="54"/>
  <c r="DL7" i="54"/>
  <c r="DL8" i="54"/>
  <c r="DL9" i="54"/>
  <c r="DL10" i="54"/>
  <c r="DL11" i="54"/>
  <c r="DL12" i="54"/>
  <c r="DL13" i="54"/>
  <c r="DL14" i="54"/>
  <c r="DL15" i="54"/>
  <c r="DL16" i="54"/>
  <c r="DL17" i="54"/>
  <c r="DL18" i="54"/>
  <c r="DL19" i="54"/>
  <c r="DL20" i="54"/>
  <c r="DK3" i="54"/>
  <c r="DK4" i="54"/>
  <c r="DK5" i="54"/>
  <c r="DK6" i="54"/>
  <c r="DK7" i="54"/>
  <c r="DK8" i="54"/>
  <c r="DK9" i="54"/>
  <c r="DK10" i="54"/>
  <c r="DK11" i="54"/>
  <c r="DK12" i="54"/>
  <c r="DK13" i="54"/>
  <c r="DK14" i="54"/>
  <c r="DK15" i="54"/>
  <c r="DK16" i="54"/>
  <c r="DK17" i="54"/>
  <c r="DK18" i="54"/>
  <c r="DK19" i="54"/>
  <c r="DK20" i="54"/>
  <c r="DJ3" i="54" a="1"/>
  <c r="DJ3" i="54" s="1"/>
  <c r="DJ4" i="54" a="1"/>
  <c r="DJ4" i="54" s="1"/>
  <c r="DJ5" i="54" a="1"/>
  <c r="DJ5" i="54" s="1"/>
  <c r="DJ6" i="54" a="1"/>
  <c r="DJ6" i="54" s="1"/>
  <c r="DJ7" i="54" a="1"/>
  <c r="DJ7" i="54" s="1"/>
  <c r="DN7" i="54" s="1"/>
  <c r="DJ8" i="54" a="1"/>
  <c r="DJ8" i="54" s="1"/>
  <c r="DN8" i="54" s="1"/>
  <c r="DJ9" i="54" a="1"/>
  <c r="DJ9" i="54" s="1"/>
  <c r="DN9" i="54" s="1"/>
  <c r="DJ10" i="54" a="1"/>
  <c r="DJ10" i="54" s="1"/>
  <c r="DN10" i="54" s="1"/>
  <c r="DJ11" i="54" a="1"/>
  <c r="DJ11" i="54" s="1"/>
  <c r="DJ12" i="54" a="1"/>
  <c r="DJ12" i="54" s="1"/>
  <c r="DN12" i="54" s="1"/>
  <c r="DJ13" i="54" a="1"/>
  <c r="DJ13" i="54" s="1"/>
  <c r="DN13" i="54" s="1"/>
  <c r="DJ14" i="54" a="1"/>
  <c r="DJ14" i="54" s="1"/>
  <c r="DJ15" i="54" a="1"/>
  <c r="DJ15" i="54" s="1"/>
  <c r="DN15" i="54" s="1"/>
  <c r="DJ16" i="54" a="1"/>
  <c r="DJ16" i="54"/>
  <c r="DN16" i="54" s="1"/>
  <c r="DJ17" i="54" a="1"/>
  <c r="DJ17" i="54"/>
  <c r="DJ18" i="54" a="1"/>
  <c r="DJ18" i="54"/>
  <c r="DJ19" i="54" a="1"/>
  <c r="DJ19" i="54" s="1"/>
  <c r="DJ20" i="54" a="1"/>
  <c r="DJ20" i="54" s="1"/>
  <c r="DN20" i="54" s="1"/>
  <c r="DI3" i="54"/>
  <c r="DI4" i="54"/>
  <c r="DI5" i="54"/>
  <c r="DI6" i="54"/>
  <c r="DI7" i="54"/>
  <c r="DI8" i="54"/>
  <c r="DI9" i="54"/>
  <c r="DI10" i="54"/>
  <c r="DI11" i="54"/>
  <c r="DI12" i="54"/>
  <c r="DI13" i="54"/>
  <c r="DI14" i="54"/>
  <c r="DI15" i="54"/>
  <c r="DI16" i="54"/>
  <c r="DI17" i="54"/>
  <c r="DI18" i="54"/>
  <c r="DI19" i="54"/>
  <c r="DI20" i="54"/>
  <c r="DI21" i="54"/>
  <c r="DI22" i="54"/>
  <c r="DI23" i="54"/>
  <c r="DI24" i="54"/>
  <c r="DI25" i="54"/>
  <c r="DI26" i="54"/>
  <c r="DI27" i="54"/>
  <c r="DI28" i="54"/>
  <c r="DI29" i="54"/>
  <c r="DI30" i="54"/>
  <c r="DI31" i="54"/>
  <c r="DI32" i="54"/>
  <c r="DI33" i="54"/>
  <c r="DI34" i="54"/>
  <c r="DI35" i="54"/>
  <c r="DI36" i="54"/>
  <c r="DI37" i="54"/>
  <c r="DI38" i="54"/>
  <c r="DI39" i="54"/>
  <c r="DI40" i="54"/>
  <c r="DI41" i="54"/>
  <c r="DI42" i="54"/>
  <c r="DI43" i="54"/>
  <c r="DI44" i="54"/>
  <c r="DI45" i="54"/>
  <c r="DI46" i="54"/>
  <c r="DI47" i="54"/>
  <c r="DI48" i="54"/>
  <c r="DI49" i="54"/>
  <c r="DI50" i="54"/>
  <c r="DI51" i="54"/>
  <c r="DI52" i="54"/>
  <c r="DI53" i="54"/>
  <c r="DI54" i="54"/>
  <c r="DI55" i="54"/>
  <c r="DI56" i="54"/>
  <c r="DI57" i="54"/>
  <c r="DI58" i="54"/>
  <c r="DI59" i="54"/>
  <c r="DI60" i="54"/>
  <c r="DI61" i="54"/>
  <c r="DI62" i="54"/>
  <c r="DI63" i="54"/>
  <c r="DI64" i="54"/>
  <c r="DI65" i="54"/>
  <c r="DI66" i="54"/>
  <c r="DI67" i="54"/>
  <c r="DI68" i="54"/>
  <c r="DI69" i="54"/>
  <c r="DI70" i="54"/>
  <c r="DI71" i="54"/>
  <c r="DI72" i="54"/>
  <c r="DH3" i="54"/>
  <c r="DH4" i="54"/>
  <c r="DH5" i="54"/>
  <c r="DH6" i="54"/>
  <c r="DH7" i="54"/>
  <c r="DH8" i="54"/>
  <c r="DH9" i="54"/>
  <c r="DH10" i="54"/>
  <c r="DH11" i="54"/>
  <c r="DH12" i="54"/>
  <c r="DH13" i="54"/>
  <c r="DH14" i="54"/>
  <c r="DH15" i="54"/>
  <c r="DH16" i="54"/>
  <c r="DH17" i="54"/>
  <c r="DH18" i="54"/>
  <c r="DH19" i="54"/>
  <c r="DH20" i="54"/>
  <c r="DH44" i="54"/>
  <c r="DJ44" i="54" s="1" a="1"/>
  <c r="DJ44" i="54" s="1"/>
  <c r="DH45" i="54"/>
  <c r="DJ45" i="54" s="1" a="1"/>
  <c r="DJ45" i="54" s="1"/>
  <c r="DH46" i="54"/>
  <c r="DJ46" i="54" s="1" a="1"/>
  <c r="DJ46" i="54" s="1"/>
  <c r="DH51" i="54"/>
  <c r="DJ51" i="54" s="1" a="1"/>
  <c r="DJ51" i="54" s="1"/>
  <c r="DH67" i="54"/>
  <c r="DJ67" i="54" s="1" a="1"/>
  <c r="DJ67" i="54" s="1"/>
  <c r="DG21" i="54"/>
  <c r="DH21" i="54" s="1"/>
  <c r="DJ21" i="54" s="1" a="1"/>
  <c r="DJ21" i="54" s="1"/>
  <c r="DG23" i="54"/>
  <c r="DH23" i="54" s="1"/>
  <c r="DJ23" i="54" s="1" a="1"/>
  <c r="DJ23" i="54" s="1"/>
  <c r="DG24" i="54"/>
  <c r="DH24" i="54" s="1"/>
  <c r="DJ24" i="54" s="1" a="1"/>
  <c r="DJ24" i="54" s="1"/>
  <c r="DK24" i="54" s="1"/>
  <c r="DG25" i="54"/>
  <c r="DH25" i="54" s="1"/>
  <c r="DG26" i="54"/>
  <c r="DH26" i="54" s="1"/>
  <c r="DG27" i="54"/>
  <c r="DH27" i="54" s="1"/>
  <c r="DG28" i="54"/>
  <c r="DH28" i="54" s="1"/>
  <c r="DJ28" i="54" s="1" a="1"/>
  <c r="DJ28" i="54" s="1"/>
  <c r="DG29" i="54"/>
  <c r="DH29" i="54" s="1"/>
  <c r="DJ29" i="54" s="1" a="1"/>
  <c r="DJ29" i="54" s="1"/>
  <c r="DG30" i="54"/>
  <c r="DH30" i="54" s="1"/>
  <c r="DG31" i="54"/>
  <c r="DH31" i="54" s="1"/>
  <c r="DJ31" i="54" s="1" a="1"/>
  <c r="DJ31" i="54" s="1"/>
  <c r="DG32" i="54"/>
  <c r="DH32" i="54" s="1"/>
  <c r="DJ32" i="54" s="1" a="1"/>
  <c r="DJ32" i="54" s="1"/>
  <c r="DG33" i="54"/>
  <c r="DH33" i="54" s="1"/>
  <c r="DJ33" i="54" s="1" a="1"/>
  <c r="DJ33" i="54" s="1"/>
  <c r="DK33" i="54" s="1"/>
  <c r="DG34" i="54"/>
  <c r="DH34" i="54" s="1"/>
  <c r="DG35" i="54"/>
  <c r="DH35" i="54" s="1"/>
  <c r="DG36" i="54"/>
  <c r="DH36" i="54" s="1"/>
  <c r="DJ36" i="54" s="1" a="1"/>
  <c r="DJ36" i="54" s="1"/>
  <c r="DG37" i="54"/>
  <c r="DH37" i="54" s="1"/>
  <c r="DG38" i="54"/>
  <c r="DH38" i="54" s="1"/>
  <c r="DJ38" i="54" s="1" a="1"/>
  <c r="DJ38" i="54" s="1"/>
  <c r="DK38" i="54" s="1"/>
  <c r="DG39" i="54"/>
  <c r="DH39" i="54" s="1"/>
  <c r="DJ39" i="54" s="1" a="1"/>
  <c r="DJ39" i="54" s="1"/>
  <c r="DG40" i="54"/>
  <c r="DH40" i="54" s="1"/>
  <c r="DJ40" i="54" s="1" a="1"/>
  <c r="DJ40" i="54" s="1"/>
  <c r="DG41" i="54"/>
  <c r="DH41" i="54" s="1"/>
  <c r="DG42" i="54"/>
  <c r="DH42" i="54" s="1"/>
  <c r="DG43" i="54"/>
  <c r="DH43" i="54" s="1"/>
  <c r="DG44" i="54"/>
  <c r="DG45" i="54"/>
  <c r="DG46" i="54"/>
  <c r="DG47" i="54"/>
  <c r="DH47" i="54" s="1"/>
  <c r="DJ47" i="54" s="1" a="1"/>
  <c r="DJ47" i="54" s="1"/>
  <c r="DN47" i="54" s="1"/>
  <c r="DG48" i="54"/>
  <c r="DH48" i="54" s="1"/>
  <c r="DJ48" i="54" s="1" a="1"/>
  <c r="DJ48" i="54" s="1"/>
  <c r="DG49" i="54"/>
  <c r="DH49" i="54" s="1"/>
  <c r="DJ49" i="54" s="1" a="1"/>
  <c r="DJ49" i="54" s="1"/>
  <c r="DK49" i="54" s="1"/>
  <c r="DG50" i="54"/>
  <c r="DH50" i="54" s="1"/>
  <c r="DJ50" i="54" s="1" a="1"/>
  <c r="DJ50" i="54" s="1"/>
  <c r="DG51" i="54"/>
  <c r="DG55" i="54"/>
  <c r="DH55" i="54" s="1"/>
  <c r="DJ55" i="54" s="1" a="1"/>
  <c r="DJ55" i="54" s="1"/>
  <c r="DG61" i="54"/>
  <c r="DH61" i="54" s="1"/>
  <c r="DJ61" i="54" s="1" a="1"/>
  <c r="DJ61" i="54" s="1"/>
  <c r="DG65" i="54"/>
  <c r="DH65" i="54" s="1"/>
  <c r="DJ65" i="54" s="1" a="1"/>
  <c r="DJ65" i="54" s="1"/>
  <c r="DG67" i="54"/>
  <c r="DG71" i="54"/>
  <c r="DH71" i="54" s="1"/>
  <c r="DJ71" i="54" s="1" a="1"/>
  <c r="DJ71" i="54" s="1"/>
  <c r="DF3" i="54"/>
  <c r="DF4" i="54"/>
  <c r="DF5" i="54"/>
  <c r="DF6" i="54"/>
  <c r="DF7" i="54"/>
  <c r="DF8" i="54"/>
  <c r="DF9" i="54"/>
  <c r="DF10" i="54"/>
  <c r="DF11" i="54"/>
  <c r="DF12" i="54"/>
  <c r="DF13" i="54"/>
  <c r="DF14" i="54"/>
  <c r="DF15" i="54"/>
  <c r="DF16" i="54"/>
  <c r="DF17" i="54"/>
  <c r="DF18" i="54"/>
  <c r="DF19" i="54"/>
  <c r="DF20" i="54"/>
  <c r="DF59" i="54"/>
  <c r="DF70" i="54"/>
  <c r="DE3" i="54" a="1"/>
  <c r="DE3" i="54"/>
  <c r="DE4" i="54" a="1"/>
  <c r="DE4" i="54" s="1"/>
  <c r="DE5" i="54" a="1"/>
  <c r="DE5" i="54" s="1"/>
  <c r="DE6" i="54" a="1"/>
  <c r="DE6" i="54"/>
  <c r="DE7" i="54" a="1"/>
  <c r="DE7" i="54" s="1"/>
  <c r="DE8" i="54" a="1"/>
  <c r="DE8" i="54"/>
  <c r="DE9" i="54" a="1"/>
  <c r="DE9" i="54" s="1"/>
  <c r="DE10" i="54" a="1"/>
  <c r="DE10" i="54" s="1"/>
  <c r="DE11" i="54" a="1"/>
  <c r="DE11" i="54"/>
  <c r="DE12" i="54" a="1"/>
  <c r="DE12" i="54" s="1"/>
  <c r="DE13" i="54" a="1"/>
  <c r="DE13" i="54" s="1"/>
  <c r="DE14" i="54" a="1"/>
  <c r="DE14" i="54"/>
  <c r="DE15" i="54" a="1"/>
  <c r="DE15" i="54" s="1"/>
  <c r="DE16" i="54" a="1"/>
  <c r="DE16" i="54"/>
  <c r="DE17" i="54" a="1"/>
  <c r="DE17" i="54" s="1"/>
  <c r="DE18" i="54" a="1"/>
  <c r="DE18" i="54" s="1"/>
  <c r="DE19" i="54" a="1"/>
  <c r="DE19" i="54" s="1"/>
  <c r="DE20" i="54" a="1"/>
  <c r="DE20" i="54" s="1"/>
  <c r="DE21" i="54" a="1"/>
  <c r="DE21" i="54" s="1"/>
  <c r="DM21" i="54" s="1"/>
  <c r="DE22" i="54" a="1"/>
  <c r="DE22" i="54"/>
  <c r="DE23" i="54" a="1"/>
  <c r="DE23" i="54"/>
  <c r="DM23" i="54" s="1"/>
  <c r="DE24" i="54" a="1"/>
  <c r="DE24" i="54"/>
  <c r="DM24" i="54" s="1"/>
  <c r="DE25" i="54" a="1"/>
  <c r="DE25" i="54" s="1"/>
  <c r="DM25" i="54" s="1"/>
  <c r="DE26" i="54" a="1"/>
  <c r="DE26" i="54" s="1"/>
  <c r="DM26" i="54" s="1"/>
  <c r="DE27" i="54" a="1"/>
  <c r="DE27" i="54"/>
  <c r="DM27" i="54" s="1"/>
  <c r="DE28" i="54" a="1"/>
  <c r="DE28" i="54" s="1"/>
  <c r="DM28" i="54" s="1"/>
  <c r="DE29" i="54" a="1"/>
  <c r="DE29" i="54" s="1"/>
  <c r="DM29" i="54" s="1"/>
  <c r="DE30" i="54" a="1"/>
  <c r="DE30" i="54" s="1"/>
  <c r="DM30" i="54" s="1"/>
  <c r="DE31" i="54" a="1"/>
  <c r="DE31" i="54" s="1"/>
  <c r="DM31" i="54" s="1"/>
  <c r="DE32" i="54" a="1"/>
  <c r="DE32" i="54"/>
  <c r="DM32" i="54" s="1"/>
  <c r="DE33" i="54" a="1"/>
  <c r="DE33" i="54" s="1"/>
  <c r="DM33" i="54" s="1"/>
  <c r="DE34" i="54" a="1"/>
  <c r="DE34" i="54" s="1"/>
  <c r="DM34" i="54" s="1"/>
  <c r="DE35" i="54" a="1"/>
  <c r="DE35" i="54"/>
  <c r="DM35" i="54" s="1"/>
  <c r="DE36" i="54" a="1"/>
  <c r="DE36" i="54" s="1"/>
  <c r="DM36" i="54" s="1"/>
  <c r="DE37" i="54" a="1"/>
  <c r="DE37" i="54" s="1"/>
  <c r="DM37" i="54" s="1"/>
  <c r="DE38" i="54" a="1"/>
  <c r="DE38" i="54" s="1"/>
  <c r="DM38" i="54" s="1"/>
  <c r="DE39" i="54" a="1"/>
  <c r="DE39" i="54" s="1"/>
  <c r="DM39" i="54" s="1"/>
  <c r="DE40" i="54" a="1"/>
  <c r="DE40" i="54" s="1"/>
  <c r="DM40" i="54" s="1"/>
  <c r="DE41" i="54" a="1"/>
  <c r="DE41" i="54" s="1"/>
  <c r="DM41" i="54" s="1"/>
  <c r="DE42" i="54" a="1"/>
  <c r="DE42" i="54" s="1"/>
  <c r="DM42" i="54" s="1"/>
  <c r="DE43" i="54" a="1"/>
  <c r="DE43" i="54" s="1"/>
  <c r="DM43" i="54" s="1"/>
  <c r="DE44" i="54" a="1"/>
  <c r="DE44" i="54" s="1"/>
  <c r="DM44" i="54" s="1"/>
  <c r="DE45" i="54" a="1"/>
  <c r="DE45" i="54" s="1"/>
  <c r="DM45" i="54" s="1"/>
  <c r="DE46" i="54" a="1"/>
  <c r="DE46" i="54"/>
  <c r="DM46" i="54" s="1"/>
  <c r="DE47" i="54" a="1"/>
  <c r="DE47" i="54" s="1"/>
  <c r="DM47" i="54" s="1"/>
  <c r="DE48" i="54" a="1"/>
  <c r="DE48" i="54" s="1"/>
  <c r="DM48" i="54" s="1"/>
  <c r="DE49" i="54" a="1"/>
  <c r="DE49" i="54"/>
  <c r="DM49" i="54" s="1"/>
  <c r="DE50" i="54" a="1"/>
  <c r="DE50" i="54" s="1"/>
  <c r="DM50" i="54" s="1"/>
  <c r="DE51" i="54" a="1"/>
  <c r="DE51" i="54"/>
  <c r="DM51" i="54" s="1"/>
  <c r="DE52" i="54" a="1"/>
  <c r="DE52" i="54" s="1"/>
  <c r="DM52" i="54" s="1"/>
  <c r="DE53" i="54" a="1"/>
  <c r="DE53" i="54" s="1"/>
  <c r="DM53" i="54" s="1"/>
  <c r="DE54" i="54" a="1"/>
  <c r="DE54" i="54"/>
  <c r="DM54" i="54" s="1"/>
  <c r="DE55" i="54" a="1"/>
  <c r="DE55" i="54" s="1"/>
  <c r="DM55" i="54" s="1"/>
  <c r="DE56" i="54" a="1"/>
  <c r="DE56" i="54"/>
  <c r="DM56" i="54" s="1"/>
  <c r="DE57" i="54" a="1"/>
  <c r="DE57" i="54" s="1"/>
  <c r="DM57" i="54" s="1"/>
  <c r="DE58" i="54" a="1"/>
  <c r="DE58" i="54" s="1"/>
  <c r="DM58" i="54" s="1"/>
  <c r="DE59" i="54" a="1"/>
  <c r="DE59" i="54"/>
  <c r="DM59" i="54" s="1"/>
  <c r="DE60" i="54" a="1"/>
  <c r="DE60" i="54" s="1"/>
  <c r="DM60" i="54" s="1"/>
  <c r="DE61" i="54" a="1"/>
  <c r="DE61" i="54" s="1"/>
  <c r="DM61" i="54" s="1"/>
  <c r="DE62" i="54" a="1"/>
  <c r="DE62" i="54"/>
  <c r="DM62" i="54" s="1"/>
  <c r="DE63" i="54" a="1"/>
  <c r="DE63" i="54" s="1"/>
  <c r="DM63" i="54" s="1"/>
  <c r="DE64" i="54" a="1"/>
  <c r="DE64" i="54" s="1"/>
  <c r="DM64" i="54" s="1"/>
  <c r="DE65" i="54" a="1"/>
  <c r="DE65" i="54"/>
  <c r="DM65" i="54" s="1"/>
  <c r="DE66" i="54" a="1"/>
  <c r="DE66" i="54" s="1"/>
  <c r="DM66" i="54" s="1"/>
  <c r="DE67" i="54" a="1"/>
  <c r="DE67" i="54"/>
  <c r="DM67" i="54" s="1"/>
  <c r="DE68" i="54" a="1"/>
  <c r="DE68" i="54" s="1"/>
  <c r="DM68" i="54" s="1"/>
  <c r="DE69" i="54" a="1"/>
  <c r="DE69" i="54" s="1"/>
  <c r="DM69" i="54" s="1"/>
  <c r="DE70" i="54" a="1"/>
  <c r="DE70" i="54" s="1"/>
  <c r="DE71" i="54" a="1"/>
  <c r="DE71" i="54" s="1"/>
  <c r="DM71" i="54" s="1"/>
  <c r="DE72" i="54" a="1"/>
  <c r="DE72" i="54"/>
  <c r="DM72" i="54" s="1"/>
  <c r="DD3" i="54"/>
  <c r="DD4" i="54"/>
  <c r="DD5" i="54"/>
  <c r="DD6" i="54"/>
  <c r="DD7" i="54"/>
  <c r="DD8" i="54"/>
  <c r="DD9" i="54"/>
  <c r="DD10" i="54"/>
  <c r="DD11" i="54"/>
  <c r="DD12" i="54"/>
  <c r="DD13" i="54"/>
  <c r="DD14" i="54"/>
  <c r="DD15" i="54"/>
  <c r="DD16" i="54"/>
  <c r="DD17" i="54"/>
  <c r="DD18" i="54"/>
  <c r="DD19" i="54"/>
  <c r="DD20" i="54"/>
  <c r="DD21" i="54"/>
  <c r="DD22" i="54"/>
  <c r="DD23" i="54"/>
  <c r="DD24" i="54"/>
  <c r="DD25" i="54"/>
  <c r="DD26" i="54"/>
  <c r="DD27" i="54"/>
  <c r="DD28" i="54"/>
  <c r="DD29" i="54"/>
  <c r="DD30" i="54"/>
  <c r="DD31" i="54"/>
  <c r="DD32" i="54"/>
  <c r="DD33" i="54"/>
  <c r="DD34" i="54"/>
  <c r="DD35" i="54"/>
  <c r="DD36" i="54"/>
  <c r="DD37" i="54"/>
  <c r="DD38" i="54"/>
  <c r="DD39" i="54"/>
  <c r="DD40" i="54"/>
  <c r="DD41" i="54"/>
  <c r="DD42" i="54"/>
  <c r="DD43" i="54"/>
  <c r="DD44" i="54"/>
  <c r="DD45" i="54"/>
  <c r="DD46" i="54"/>
  <c r="DD47" i="54"/>
  <c r="DD48" i="54"/>
  <c r="DD49" i="54"/>
  <c r="DD50" i="54"/>
  <c r="DD51" i="54"/>
  <c r="DD52" i="54"/>
  <c r="DD53" i="54"/>
  <c r="DD54" i="54"/>
  <c r="DD55" i="54"/>
  <c r="DD56" i="54"/>
  <c r="DD57" i="54"/>
  <c r="DD58" i="54"/>
  <c r="DD59" i="54"/>
  <c r="DD60" i="54"/>
  <c r="DD61" i="54"/>
  <c r="DD62" i="54"/>
  <c r="DD63" i="54"/>
  <c r="DD64" i="54"/>
  <c r="DD65" i="54"/>
  <c r="DD66" i="54"/>
  <c r="DD67" i="54"/>
  <c r="DD68" i="54"/>
  <c r="DD69" i="54"/>
  <c r="DD70" i="54"/>
  <c r="DD71" i="54"/>
  <c r="DD72" i="54"/>
  <c r="DC3" i="54"/>
  <c r="DC4" i="54"/>
  <c r="DC5" i="54"/>
  <c r="DC6" i="54"/>
  <c r="DC7" i="54"/>
  <c r="DC8" i="54"/>
  <c r="DC9" i="54"/>
  <c r="DC10" i="54"/>
  <c r="DC11" i="54"/>
  <c r="DC12" i="54"/>
  <c r="DC13" i="54"/>
  <c r="DC14" i="54"/>
  <c r="DC15" i="54"/>
  <c r="DC16" i="54"/>
  <c r="DC17" i="54"/>
  <c r="DC18" i="54"/>
  <c r="DC19" i="54"/>
  <c r="DC20" i="54"/>
  <c r="CZ3" i="54"/>
  <c r="CZ4" i="54"/>
  <c r="CZ5" i="54"/>
  <c r="CZ6" i="54"/>
  <c r="CZ7" i="54"/>
  <c r="CZ8" i="54"/>
  <c r="CZ9" i="54"/>
  <c r="CZ10" i="54"/>
  <c r="CZ11" i="54"/>
  <c r="CZ12" i="54"/>
  <c r="CZ13" i="54"/>
  <c r="CZ14" i="54"/>
  <c r="CZ15" i="54"/>
  <c r="CZ16" i="54"/>
  <c r="CZ17" i="54"/>
  <c r="CZ18" i="54"/>
  <c r="CZ19" i="54"/>
  <c r="CZ20" i="54"/>
  <c r="CZ26" i="54"/>
  <c r="CX3" i="54"/>
  <c r="CX13" i="54"/>
  <c r="CV8" i="54"/>
  <c r="CV13" i="54"/>
  <c r="CV19" i="54"/>
  <c r="CU6" i="54"/>
  <c r="CT6" i="54"/>
  <c r="CT9" i="54"/>
  <c r="CT12" i="54"/>
  <c r="CT17" i="54"/>
  <c r="CQ12" i="54"/>
  <c r="CQ17" i="54"/>
  <c r="CP3" i="54"/>
  <c r="CP4" i="54"/>
  <c r="CP8" i="54"/>
  <c r="CP14" i="54"/>
  <c r="CO6" i="54"/>
  <c r="CO8" i="54"/>
  <c r="CO14" i="54"/>
  <c r="CN3" i="54"/>
  <c r="CS3" i="54" s="1"/>
  <c r="CN4" i="54"/>
  <c r="CW4" i="54" s="1"/>
  <c r="CN5" i="54"/>
  <c r="CP5" i="54" s="1"/>
  <c r="CN6" i="54"/>
  <c r="CS6" i="54" s="1"/>
  <c r="CN7" i="54"/>
  <c r="CQ7" i="54" s="1"/>
  <c r="CN8" i="54"/>
  <c r="CW8" i="54" s="1"/>
  <c r="CN9" i="54"/>
  <c r="CV9" i="54" s="1"/>
  <c r="CN10" i="54"/>
  <c r="CO10" i="54" s="1"/>
  <c r="CN11" i="54"/>
  <c r="CU11" i="54" s="1"/>
  <c r="CN12" i="54"/>
  <c r="CS12" i="54" s="1"/>
  <c r="CN13" i="54"/>
  <c r="CW13" i="54" s="1"/>
  <c r="CN14" i="54"/>
  <c r="CS14" i="54" s="1"/>
  <c r="CN15" i="54"/>
  <c r="CP15" i="54" s="1"/>
  <c r="CN16" i="54"/>
  <c r="CP16" i="54" s="1"/>
  <c r="CN17" i="54"/>
  <c r="CX17" i="54" s="1"/>
  <c r="CN18" i="54"/>
  <c r="CR18" i="54" s="1"/>
  <c r="CN19" i="54"/>
  <c r="CU19" i="54" s="1"/>
  <c r="CN20" i="54"/>
  <c r="CX20" i="54" s="1"/>
  <c r="CN43" i="54"/>
  <c r="CQ43" i="54" s="1"/>
  <c r="CN72" i="54"/>
  <c r="CG10" i="54"/>
  <c r="CG11" i="54"/>
  <c r="CG12" i="54"/>
  <c r="CG13" i="54"/>
  <c r="CF11" i="54"/>
  <c r="CH11" i="54" s="1"/>
  <c r="EX11" i="54" s="1"/>
  <c r="CF36" i="54"/>
  <c r="CE3" i="54"/>
  <c r="CE4" i="54"/>
  <c r="CE5" i="54"/>
  <c r="CE6" i="54"/>
  <c r="CE7" i="54"/>
  <c r="CE8" i="54"/>
  <c r="CE9" i="54"/>
  <c r="CE10" i="54"/>
  <c r="CE11" i="54"/>
  <c r="CE12" i="54"/>
  <c r="CE13" i="54"/>
  <c r="CE14" i="54"/>
  <c r="CE15" i="54"/>
  <c r="CE16" i="54"/>
  <c r="CE17" i="54"/>
  <c r="CE18" i="54"/>
  <c r="CE19" i="54"/>
  <c r="CE20" i="54"/>
  <c r="BZ6" i="54"/>
  <c r="BZ8" i="54"/>
  <c r="BZ9" i="54"/>
  <c r="BY7" i="54"/>
  <c r="BY10" i="54"/>
  <c r="BY11" i="54"/>
  <c r="BY58" i="54"/>
  <c r="BX10" i="54"/>
  <c r="BX11" i="54"/>
  <c r="BX12" i="54"/>
  <c r="BX15" i="54"/>
  <c r="BX16" i="54"/>
  <c r="BX17" i="54"/>
  <c r="BX26" i="54"/>
  <c r="BX27" i="54"/>
  <c r="BX33" i="54"/>
  <c r="BX35" i="54"/>
  <c r="BX36" i="54"/>
  <c r="BX38" i="54"/>
  <c r="BX54" i="54"/>
  <c r="BW3" i="54"/>
  <c r="BW4" i="54"/>
  <c r="BW5" i="54"/>
  <c r="BW6" i="54"/>
  <c r="BW7" i="54"/>
  <c r="BW8" i="54"/>
  <c r="BW9" i="54"/>
  <c r="BW10" i="54"/>
  <c r="BW11" i="54"/>
  <c r="CK11" i="54" s="1"/>
  <c r="CL11" i="54" s="1"/>
  <c r="FH11" i="54" s="1"/>
  <c r="FJ11" i="54" s="1"/>
  <c r="BW12" i="54"/>
  <c r="BW13" i="54"/>
  <c r="CI13" i="54" s="1"/>
  <c r="BW14" i="54"/>
  <c r="BW15" i="54"/>
  <c r="BW16" i="54"/>
  <c r="BW17" i="54"/>
  <c r="BW18" i="54"/>
  <c r="CI18" i="54" s="1"/>
  <c r="BW19" i="54"/>
  <c r="BW20" i="54"/>
  <c r="BV3" i="54"/>
  <c r="BY3" i="54" s="1"/>
  <c r="BV4" i="54"/>
  <c r="BV5" i="54"/>
  <c r="BV6" i="54"/>
  <c r="BX6" i="54" s="1"/>
  <c r="BV7" i="54"/>
  <c r="BX7" i="54" s="1"/>
  <c r="BV8" i="54"/>
  <c r="BV9" i="54"/>
  <c r="BV10" i="54"/>
  <c r="BV11" i="54"/>
  <c r="BV12" i="54"/>
  <c r="BY12" i="54" s="1"/>
  <c r="BV13" i="54"/>
  <c r="BY13" i="54" s="1"/>
  <c r="BV14" i="54"/>
  <c r="BY14" i="54" s="1"/>
  <c r="BV15" i="54"/>
  <c r="BY15" i="54" s="1"/>
  <c r="BV16" i="54"/>
  <c r="BY16" i="54" s="1"/>
  <c r="BV17" i="54"/>
  <c r="BY17" i="54" s="1"/>
  <c r="BV18" i="54"/>
  <c r="BX18" i="54" s="1"/>
  <c r="BV19" i="54"/>
  <c r="BY19" i="54" s="1"/>
  <c r="BV20" i="54"/>
  <c r="BV21" i="54"/>
  <c r="BV22" i="54"/>
  <c r="BX22" i="54" s="1"/>
  <c r="BV23" i="54"/>
  <c r="BX23" i="54" s="1"/>
  <c r="BV24" i="54"/>
  <c r="BV25" i="54"/>
  <c r="BV26" i="54"/>
  <c r="BV27" i="54"/>
  <c r="BV28" i="54"/>
  <c r="BX28" i="54" s="1"/>
  <c r="BV29" i="54"/>
  <c r="BX29" i="54" s="1"/>
  <c r="BV30" i="54"/>
  <c r="BV31" i="54"/>
  <c r="BX31" i="54" s="1"/>
  <c r="BV32" i="54"/>
  <c r="BX32" i="54" s="1"/>
  <c r="BV33" i="54"/>
  <c r="BV34" i="54"/>
  <c r="BX34" i="54" s="1"/>
  <c r="BV35" i="54"/>
  <c r="BV36" i="54"/>
  <c r="BV37" i="54"/>
  <c r="BX37" i="54" s="1"/>
  <c r="BV38" i="54"/>
  <c r="BV39" i="54"/>
  <c r="BX39" i="54" s="1"/>
  <c r="BV40" i="54"/>
  <c r="BV41" i="54"/>
  <c r="BV42" i="54"/>
  <c r="BX42" i="54" s="1"/>
  <c r="BV43" i="54"/>
  <c r="BX43" i="54" s="1"/>
  <c r="BV44" i="54"/>
  <c r="BX44" i="54" s="1"/>
  <c r="BV45" i="54"/>
  <c r="BX45" i="54" s="1"/>
  <c r="BV46" i="54"/>
  <c r="BV47" i="54"/>
  <c r="BV48" i="54"/>
  <c r="BV49" i="54"/>
  <c r="BX49" i="54" s="1"/>
  <c r="BV50" i="54"/>
  <c r="BX50" i="54" s="1"/>
  <c r="BV51" i="54"/>
  <c r="BV52" i="54"/>
  <c r="BX52" i="54" s="1"/>
  <c r="BV53" i="54"/>
  <c r="BV54" i="54"/>
  <c r="BV55" i="54"/>
  <c r="BX55" i="54" s="1"/>
  <c r="BV56" i="54"/>
  <c r="BV57" i="54"/>
  <c r="BV58" i="54"/>
  <c r="BV59" i="54"/>
  <c r="BY59" i="54" s="1"/>
  <c r="BV60" i="54"/>
  <c r="BY60" i="54" s="1"/>
  <c r="BV61" i="54"/>
  <c r="BY61" i="54" s="1"/>
  <c r="BV62" i="54"/>
  <c r="BX62" i="54" s="1"/>
  <c r="BV63" i="54"/>
  <c r="BV64" i="54"/>
  <c r="BX64" i="54" s="1"/>
  <c r="BV65" i="54"/>
  <c r="BY65" i="54" s="1"/>
  <c r="BV66" i="54"/>
  <c r="BV67" i="54"/>
  <c r="BY67" i="54" s="1"/>
  <c r="BV68" i="54"/>
  <c r="BY68" i="54" s="1"/>
  <c r="BV69" i="54"/>
  <c r="BV70" i="54"/>
  <c r="BY70" i="54" s="1"/>
  <c r="BV71" i="54"/>
  <c r="BY71" i="54" s="1"/>
  <c r="BV72" i="54"/>
  <c r="BS3" i="54" a="1"/>
  <c r="BS3" i="54" s="1"/>
  <c r="CM3" i="54" s="1"/>
  <c r="BS4" i="54" a="1"/>
  <c r="BS4" i="54" s="1"/>
  <c r="CJ4" i="54" s="1"/>
  <c r="BS5" i="54" a="1"/>
  <c r="BS5" i="54" s="1"/>
  <c r="BS6" i="54" a="1"/>
  <c r="BS6" i="54" s="1"/>
  <c r="BS7" i="54" a="1"/>
  <c r="BS7" i="54" s="1"/>
  <c r="BS8" i="54" a="1"/>
  <c r="BS8" i="54"/>
  <c r="BT8" i="54" s="1"/>
  <c r="BS9" i="54" a="1"/>
  <c r="BS9" i="54" s="1"/>
  <c r="BT9" i="54" s="1"/>
  <c r="BS10" i="54" a="1"/>
  <c r="BS10" i="54" s="1"/>
  <c r="CK10" i="54" s="1"/>
  <c r="CL10" i="54" s="1"/>
  <c r="FH10" i="54" s="1"/>
  <c r="FJ10" i="54" s="1"/>
  <c r="BS11" i="54" a="1"/>
  <c r="BS11" i="54" s="1"/>
  <c r="BU11" i="54" s="1"/>
  <c r="BS12" i="54" a="1"/>
  <c r="BS12" i="54" s="1"/>
  <c r="BS13" i="54" a="1"/>
  <c r="BS13" i="54"/>
  <c r="CM13" i="54" s="1"/>
  <c r="BS14" i="54" a="1"/>
  <c r="BS14" i="54"/>
  <c r="BS15" i="54" a="1"/>
  <c r="BS15" i="54"/>
  <c r="BS16" i="54" a="1"/>
  <c r="BS16" i="54" s="1"/>
  <c r="BS17" i="54" a="1"/>
  <c r="BS17" i="54" s="1"/>
  <c r="BU17" i="54" s="1"/>
  <c r="BS18" i="54" a="1"/>
  <c r="BS18" i="54"/>
  <c r="CJ18" i="54" s="1"/>
  <c r="BS19" i="54" a="1"/>
  <c r="BS19" i="54" s="1"/>
  <c r="BU19" i="54" s="1"/>
  <c r="BS20" i="54" a="1"/>
  <c r="BS20" i="54" s="1"/>
  <c r="CM20" i="54" s="1"/>
  <c r="BQ3" i="54"/>
  <c r="BQ4" i="54"/>
  <c r="BQ5" i="54"/>
  <c r="BQ6" i="54"/>
  <c r="BQ7" i="54"/>
  <c r="BQ8" i="54"/>
  <c r="BQ9" i="54"/>
  <c r="BQ10" i="54"/>
  <c r="BQ11" i="54"/>
  <c r="BQ12" i="54"/>
  <c r="BQ13" i="54"/>
  <c r="BQ14" i="54"/>
  <c r="BQ15" i="54"/>
  <c r="BQ16" i="54"/>
  <c r="BQ17" i="54"/>
  <c r="BQ18" i="54"/>
  <c r="BQ19" i="54"/>
  <c r="BQ20" i="54"/>
  <c r="BQ21" i="54"/>
  <c r="BQ22" i="54"/>
  <c r="BQ23" i="54"/>
  <c r="BQ24" i="54"/>
  <c r="BQ25" i="54"/>
  <c r="BQ26" i="54"/>
  <c r="BQ27" i="54"/>
  <c r="BQ28" i="54"/>
  <c r="BQ29" i="54"/>
  <c r="BQ30" i="54"/>
  <c r="BQ31" i="54"/>
  <c r="BQ32" i="54"/>
  <c r="BQ33" i="54"/>
  <c r="BQ34" i="54"/>
  <c r="BQ35" i="54"/>
  <c r="BQ36" i="54"/>
  <c r="BQ37" i="54"/>
  <c r="BQ38" i="54"/>
  <c r="BQ39" i="54"/>
  <c r="BQ40" i="54"/>
  <c r="BQ41" i="54"/>
  <c r="BQ42" i="54"/>
  <c r="BQ43" i="54"/>
  <c r="BQ44" i="54"/>
  <c r="BQ45" i="54"/>
  <c r="BQ46" i="54"/>
  <c r="BQ47" i="54"/>
  <c r="BQ48" i="54"/>
  <c r="BQ49" i="54"/>
  <c r="BQ50" i="54"/>
  <c r="BQ51" i="54"/>
  <c r="BQ52" i="54"/>
  <c r="BQ53" i="54"/>
  <c r="BQ54" i="54"/>
  <c r="BQ55" i="54"/>
  <c r="BQ56" i="54"/>
  <c r="BQ57" i="54"/>
  <c r="BQ58" i="54"/>
  <c r="BQ59" i="54"/>
  <c r="BQ60" i="54"/>
  <c r="BQ61" i="54"/>
  <c r="BQ62" i="54"/>
  <c r="BQ63" i="54"/>
  <c r="BQ64" i="54"/>
  <c r="BQ65" i="54"/>
  <c r="BQ66" i="54"/>
  <c r="BQ67" i="54"/>
  <c r="BQ68" i="54"/>
  <c r="BQ69" i="54"/>
  <c r="BQ70" i="54"/>
  <c r="BQ71" i="54"/>
  <c r="BQ72" i="54"/>
  <c r="BP7" i="54"/>
  <c r="BP19" i="54"/>
  <c r="BP20" i="54"/>
  <c r="BO3" i="54"/>
  <c r="BO4" i="54"/>
  <c r="BO5" i="54"/>
  <c r="BO6" i="54"/>
  <c r="BO7" i="54"/>
  <c r="BO8" i="54"/>
  <c r="BO9" i="54"/>
  <c r="BO10" i="54"/>
  <c r="BO11" i="54"/>
  <c r="BO12" i="54"/>
  <c r="BO13" i="54"/>
  <c r="BO14" i="54"/>
  <c r="BO15" i="54"/>
  <c r="BO16" i="54"/>
  <c r="BO17" i="54"/>
  <c r="BO18" i="54"/>
  <c r="BO19" i="54"/>
  <c r="BO20" i="54"/>
  <c r="BN3" i="54" a="1"/>
  <c r="BN3" i="54" s="1"/>
  <c r="BN4" i="54" a="1"/>
  <c r="BN4" i="54"/>
  <c r="BN5" i="54" a="1"/>
  <c r="BN5" i="54" s="1"/>
  <c r="BN6" i="54" a="1"/>
  <c r="BN6" i="54" s="1"/>
  <c r="BN7" i="54" a="1"/>
  <c r="BN7" i="54" s="1"/>
  <c r="BN8" i="54" a="1"/>
  <c r="BN8" i="54" s="1"/>
  <c r="BN9" i="54" a="1"/>
  <c r="BN9" i="54" s="1"/>
  <c r="BN10" i="54" a="1"/>
  <c r="BN10" i="54"/>
  <c r="BN11" i="54" a="1"/>
  <c r="BN11" i="54" s="1"/>
  <c r="BN12" i="54" a="1"/>
  <c r="BN12" i="54"/>
  <c r="BN13" i="54" a="1"/>
  <c r="BN13" i="54" s="1"/>
  <c r="BN14" i="54" a="1"/>
  <c r="BN14" i="54" s="1"/>
  <c r="BN15" i="54" a="1"/>
  <c r="BN15" i="54" s="1"/>
  <c r="BN16" i="54" a="1"/>
  <c r="BN16" i="54" s="1"/>
  <c r="BN17" i="54" a="1"/>
  <c r="BN17" i="54"/>
  <c r="BN18" i="54" a="1"/>
  <c r="BN18" i="54"/>
  <c r="BN19" i="54" a="1"/>
  <c r="BN19" i="54" s="1"/>
  <c r="BN20" i="54" a="1"/>
  <c r="BN20" i="54" s="1"/>
  <c r="BM3" i="54" a="1"/>
  <c r="BM3" i="54" s="1"/>
  <c r="BM4" i="54" a="1"/>
  <c r="BM4" i="54"/>
  <c r="CA4" i="54" s="1"/>
  <c r="BM5" i="54" a="1"/>
  <c r="BM5" i="54" s="1"/>
  <c r="CA5" i="54" s="1"/>
  <c r="BM6" i="54" a="1"/>
  <c r="BM6" i="54" s="1"/>
  <c r="CA6" i="54" s="1"/>
  <c r="BM7" i="54" a="1"/>
  <c r="BM7" i="54" s="1"/>
  <c r="CA7" i="54" s="1"/>
  <c r="BM8" i="54" a="1"/>
  <c r="BM8" i="54"/>
  <c r="CA8" i="54" s="1"/>
  <c r="BM9" i="54" a="1"/>
  <c r="BM9" i="54"/>
  <c r="CA9" i="54" s="1"/>
  <c r="BM10" i="54" a="1"/>
  <c r="BM10" i="54" s="1"/>
  <c r="CA10" i="54" s="1"/>
  <c r="BM11" i="54" a="1"/>
  <c r="BM11" i="54" s="1"/>
  <c r="CA11" i="54" s="1"/>
  <c r="BM12" i="54" a="1"/>
  <c r="BM12" i="54"/>
  <c r="CA12" i="54" s="1"/>
  <c r="BM13" i="54" a="1"/>
  <c r="BM13" i="54" s="1"/>
  <c r="CA13" i="54" s="1"/>
  <c r="BM14" i="54" a="1"/>
  <c r="BM14" i="54"/>
  <c r="CA14" i="54" s="1"/>
  <c r="BM15" i="54" a="1"/>
  <c r="BM15" i="54" s="1"/>
  <c r="CA15" i="54" s="1"/>
  <c r="BM16" i="54" a="1"/>
  <c r="BM16" i="54"/>
  <c r="CA16" i="54" s="1"/>
  <c r="BM17" i="54" a="1"/>
  <c r="BM17" i="54"/>
  <c r="CA17" i="54" s="1"/>
  <c r="BM18" i="54" a="1"/>
  <c r="BM18" i="54"/>
  <c r="CA18" i="54" s="1"/>
  <c r="BM19" i="54" a="1"/>
  <c r="BM19" i="54"/>
  <c r="CA19" i="54" s="1"/>
  <c r="BM20" i="54" a="1"/>
  <c r="BM20" i="54"/>
  <c r="CA20" i="54" s="1"/>
  <c r="BL4" i="54"/>
  <c r="BL5" i="54"/>
  <c r="DA5" i="54" s="1" a="1"/>
  <c r="DA5" i="54" s="1"/>
  <c r="BL38" i="54"/>
  <c r="DA38" i="54" s="1" a="1"/>
  <c r="DA38" i="54" s="1"/>
  <c r="BL40" i="54"/>
  <c r="DA40" i="54" s="1" a="1"/>
  <c r="DA40" i="54" s="1"/>
  <c r="BL44" i="54"/>
  <c r="BL54" i="54"/>
  <c r="BL68" i="54"/>
  <c r="BK3" i="54"/>
  <c r="BK4" i="54"/>
  <c r="BK5" i="54"/>
  <c r="BK6" i="54"/>
  <c r="BK7" i="54"/>
  <c r="BK8" i="54"/>
  <c r="BK9" i="54"/>
  <c r="BK10" i="54"/>
  <c r="BK11" i="54"/>
  <c r="BK12" i="54"/>
  <c r="BK13" i="54"/>
  <c r="BK14" i="54"/>
  <c r="BK15" i="54"/>
  <c r="BK16" i="54"/>
  <c r="BK17" i="54"/>
  <c r="BK18" i="54"/>
  <c r="BK19" i="54"/>
  <c r="BK20" i="54"/>
  <c r="BK22" i="54"/>
  <c r="BS22" i="54" s="1" a="1"/>
  <c r="BS22" i="54" s="1"/>
  <c r="BK32" i="54"/>
  <c r="BS32" i="54" s="1" a="1"/>
  <c r="BS32" i="54" s="1"/>
  <c r="BK33" i="54"/>
  <c r="BS33" i="54" s="1" a="1"/>
  <c r="BS33" i="54" s="1"/>
  <c r="BU33" i="54" s="1"/>
  <c r="BK43" i="54"/>
  <c r="BS43" i="54" s="1" a="1"/>
  <c r="BS43" i="54" s="1"/>
  <c r="BJ3" i="54"/>
  <c r="BJ4" i="54"/>
  <c r="BJ5" i="54"/>
  <c r="BP5" i="54" s="1"/>
  <c r="BJ6" i="54"/>
  <c r="BP6" i="54" s="1"/>
  <c r="BJ7" i="54"/>
  <c r="BR7" i="54" s="1"/>
  <c r="BJ8" i="54"/>
  <c r="BR8" i="54" s="1"/>
  <c r="BJ9" i="54"/>
  <c r="BJ10" i="54"/>
  <c r="BJ11" i="54"/>
  <c r="BJ12" i="54"/>
  <c r="BR12" i="54" s="1"/>
  <c r="BJ13" i="54"/>
  <c r="BJ14" i="54"/>
  <c r="BJ15" i="54"/>
  <c r="BJ16" i="54"/>
  <c r="BR16" i="54" s="1"/>
  <c r="BJ17" i="54"/>
  <c r="BJ18" i="54"/>
  <c r="BP18" i="54" s="1"/>
  <c r="BJ19" i="54"/>
  <c r="BJ20" i="54"/>
  <c r="BJ21" i="54"/>
  <c r="BJ26" i="54"/>
  <c r="BP26" i="54" s="1"/>
  <c r="BJ32" i="54"/>
  <c r="BJ37" i="54"/>
  <c r="BJ50" i="54"/>
  <c r="BJ51" i="54"/>
  <c r="BJ52" i="54"/>
  <c r="BJ53" i="54"/>
  <c r="BJ54" i="54"/>
  <c r="BJ55" i="54"/>
  <c r="BJ56" i="54"/>
  <c r="BJ57" i="54"/>
  <c r="BJ58" i="54"/>
  <c r="BJ59" i="54"/>
  <c r="BJ60" i="54"/>
  <c r="BJ61" i="54"/>
  <c r="BJ62" i="54"/>
  <c r="BJ63" i="54"/>
  <c r="BJ64" i="54"/>
  <c r="BJ65" i="54"/>
  <c r="BJ66" i="54"/>
  <c r="BJ67" i="54"/>
  <c r="BJ68" i="54"/>
  <c r="BJ69" i="54"/>
  <c r="BJ70" i="54"/>
  <c r="BJ71" i="54"/>
  <c r="BJ72" i="54"/>
  <c r="BI3" i="54"/>
  <c r="BI4" i="54"/>
  <c r="BI5" i="54"/>
  <c r="BI6" i="54"/>
  <c r="BI7" i="54"/>
  <c r="BI8" i="54"/>
  <c r="CG8" i="54" s="1"/>
  <c r="BI9" i="54"/>
  <c r="BI10" i="54"/>
  <c r="CF10" i="54" s="1"/>
  <c r="CH10" i="54" s="1"/>
  <c r="EX10" i="54" s="1"/>
  <c r="BI11" i="54"/>
  <c r="BI12" i="54"/>
  <c r="CF12" i="54" s="1"/>
  <c r="CH12" i="54" s="1"/>
  <c r="EX12" i="54" s="1"/>
  <c r="BI13" i="54"/>
  <c r="CF13" i="54" s="1"/>
  <c r="CH13" i="54" s="1"/>
  <c r="EX13" i="54" s="1"/>
  <c r="BI14" i="54"/>
  <c r="CF14" i="54" s="1"/>
  <c r="CH14" i="54" s="1"/>
  <c r="EX14" i="54" s="1"/>
  <c r="BI15" i="54"/>
  <c r="CF15" i="54" s="1"/>
  <c r="CH15" i="54" s="1"/>
  <c r="EX15" i="54" s="1"/>
  <c r="BI16" i="54"/>
  <c r="CF16" i="54" s="1"/>
  <c r="CH16" i="54" s="1"/>
  <c r="EX16" i="54" s="1"/>
  <c r="BI17" i="54"/>
  <c r="BI18" i="54"/>
  <c r="BI19" i="54"/>
  <c r="BI20" i="54"/>
  <c r="BI36" i="54"/>
  <c r="BI37" i="54"/>
  <c r="CF37" i="54" s="1"/>
  <c r="BI38" i="54"/>
  <c r="CF38" i="54" s="1"/>
  <c r="BI41" i="54"/>
  <c r="BI42" i="54"/>
  <c r="BI68" i="54"/>
  <c r="BH3" i="54"/>
  <c r="BZ3" i="54" s="1"/>
  <c r="BH4" i="54"/>
  <c r="BZ4" i="54" s="1"/>
  <c r="BH5" i="54"/>
  <c r="BZ5" i="54" s="1"/>
  <c r="BH6" i="54"/>
  <c r="BH7" i="54"/>
  <c r="BZ7" i="54" s="1"/>
  <c r="BH8" i="54"/>
  <c r="BH9" i="54"/>
  <c r="BH10" i="54"/>
  <c r="BZ10" i="54" s="1"/>
  <c r="BH11" i="54"/>
  <c r="BZ11" i="54" s="1"/>
  <c r="BH12" i="54"/>
  <c r="BZ12" i="54" s="1"/>
  <c r="BH13" i="54"/>
  <c r="BZ13" i="54" s="1"/>
  <c r="BH14" i="54"/>
  <c r="BH15" i="54"/>
  <c r="BZ15" i="54" s="1"/>
  <c r="BH16" i="54"/>
  <c r="BZ16" i="54" s="1"/>
  <c r="BH17" i="54"/>
  <c r="BZ17" i="54" s="1"/>
  <c r="BH18" i="54"/>
  <c r="BZ18" i="54" s="1"/>
  <c r="BH19" i="54"/>
  <c r="BZ19" i="54" s="1"/>
  <c r="BH20" i="54"/>
  <c r="BZ20" i="54" s="1"/>
  <c r="BH26" i="54"/>
  <c r="DV26" i="54" s="1"/>
  <c r="BH36" i="54"/>
  <c r="BH41" i="54"/>
  <c r="BH59" i="54"/>
  <c r="BG3" i="54"/>
  <c r="BG4" i="54"/>
  <c r="BG5" i="54"/>
  <c r="BG6" i="54"/>
  <c r="BG7" i="54"/>
  <c r="BG8" i="54"/>
  <c r="BG9" i="54"/>
  <c r="BG10" i="54"/>
  <c r="BG11" i="54"/>
  <c r="BG12" i="54"/>
  <c r="BG13" i="54"/>
  <c r="BG14" i="54"/>
  <c r="BG15" i="54"/>
  <c r="BG16" i="54"/>
  <c r="BG17" i="54"/>
  <c r="BG18" i="54"/>
  <c r="BG19" i="54"/>
  <c r="BG20" i="54"/>
  <c r="BG22" i="54"/>
  <c r="BG26" i="54"/>
  <c r="BG37" i="54"/>
  <c r="BG38" i="54"/>
  <c r="BG52" i="54"/>
  <c r="BG53" i="54"/>
  <c r="BG69" i="54"/>
  <c r="BG70" i="54"/>
  <c r="BF3" i="54"/>
  <c r="BF4" i="54"/>
  <c r="BF5" i="54"/>
  <c r="BF6" i="54"/>
  <c r="BF7" i="54"/>
  <c r="BF8" i="54"/>
  <c r="BF9" i="54"/>
  <c r="BF10" i="54"/>
  <c r="BF11" i="54"/>
  <c r="BF12" i="54"/>
  <c r="BF13" i="54"/>
  <c r="BF14" i="54"/>
  <c r="BF15" i="54"/>
  <c r="BF16" i="54"/>
  <c r="BF17" i="54"/>
  <c r="BF18" i="54"/>
  <c r="BF19" i="54"/>
  <c r="BF20" i="54"/>
  <c r="BF38" i="54"/>
  <c r="DT38" i="54" s="1"/>
  <c r="BF39" i="54"/>
  <c r="DT39" i="54" s="1"/>
  <c r="BF40" i="54"/>
  <c r="DT40" i="54" s="1"/>
  <c r="BF48" i="54"/>
  <c r="DT48" i="54" s="1"/>
  <c r="BF66" i="54"/>
  <c r="DT66" i="54" s="1"/>
  <c r="BE9" i="54"/>
  <c r="BE57" i="54"/>
  <c r="C57" i="54" s="1"/>
  <c r="BE66" i="54"/>
  <c r="BD3" i="54"/>
  <c r="DR3" i="54" s="1"/>
  <c r="BD4" i="54"/>
  <c r="BD5" i="54"/>
  <c r="BD6" i="54"/>
  <c r="BD7" i="54"/>
  <c r="BE7" i="54" s="1"/>
  <c r="C7" i="54" s="1"/>
  <c r="BD8" i="54"/>
  <c r="BD9" i="54"/>
  <c r="BD10" i="54"/>
  <c r="BD11" i="54"/>
  <c r="BD12" i="54"/>
  <c r="BE12" i="54" s="1"/>
  <c r="BD13" i="54"/>
  <c r="BE13" i="54" s="1"/>
  <c r="C13" i="54" s="1"/>
  <c r="BD14" i="54"/>
  <c r="BE14" i="54" s="1"/>
  <c r="GD14" i="54" s="1"/>
  <c r="BD15" i="54"/>
  <c r="DR15" i="54" s="1"/>
  <c r="BD16" i="54"/>
  <c r="DR16" i="54" s="1"/>
  <c r="BD17" i="54"/>
  <c r="BD18" i="54"/>
  <c r="BD19" i="54"/>
  <c r="BD20" i="54"/>
  <c r="BD21" i="54"/>
  <c r="BD22" i="54"/>
  <c r="BD23" i="54"/>
  <c r="BE23" i="54" s="1"/>
  <c r="C23" i="54" s="1"/>
  <c r="BD24" i="54"/>
  <c r="BD25" i="54"/>
  <c r="BE25" i="54" s="1"/>
  <c r="C25" i="54" s="1"/>
  <c r="BD26" i="54"/>
  <c r="BD27" i="54"/>
  <c r="BD28" i="54"/>
  <c r="BD29" i="54"/>
  <c r="BD30" i="54"/>
  <c r="BD31" i="54"/>
  <c r="BD32" i="54"/>
  <c r="BD33" i="54"/>
  <c r="BD34" i="54"/>
  <c r="BD35" i="54"/>
  <c r="BD36" i="54"/>
  <c r="BD37" i="54"/>
  <c r="BD38" i="54"/>
  <c r="BD39" i="54"/>
  <c r="BE39" i="54" s="1"/>
  <c r="C39" i="54" s="1"/>
  <c r="BD40" i="54"/>
  <c r="BD41" i="54"/>
  <c r="BD42" i="54"/>
  <c r="BD43" i="54"/>
  <c r="BD44" i="54"/>
  <c r="BE44" i="54" s="1"/>
  <c r="BD45" i="54"/>
  <c r="BE45" i="54" s="1"/>
  <c r="C45" i="54" s="1"/>
  <c r="BD46" i="54"/>
  <c r="BE46" i="54" s="1"/>
  <c r="C46" i="54" s="1"/>
  <c r="BD47" i="54"/>
  <c r="BD48" i="54"/>
  <c r="BD49" i="54"/>
  <c r="BD50" i="54"/>
  <c r="BD51" i="54"/>
  <c r="BD52" i="54"/>
  <c r="BD53" i="54"/>
  <c r="BD54" i="54"/>
  <c r="BD55" i="54"/>
  <c r="BE55" i="54" s="1"/>
  <c r="C55" i="54" s="1"/>
  <c r="BD56" i="54"/>
  <c r="BD57" i="54"/>
  <c r="BD58" i="54"/>
  <c r="BD59" i="54"/>
  <c r="BD60" i="54"/>
  <c r="BD61" i="54"/>
  <c r="BE61" i="54" s="1"/>
  <c r="C61" i="54" s="1"/>
  <c r="BD62" i="54"/>
  <c r="BE62" i="54" s="1"/>
  <c r="C62" i="54" s="1"/>
  <c r="BD63" i="54"/>
  <c r="BD64" i="54"/>
  <c r="BE64" i="54" s="1"/>
  <c r="C64" i="54" s="1"/>
  <c r="BD65" i="54"/>
  <c r="BE65" i="54" s="1"/>
  <c r="BD66" i="54"/>
  <c r="BD67" i="54"/>
  <c r="BD68" i="54"/>
  <c r="BD69" i="54"/>
  <c r="BD70" i="54"/>
  <c r="BD71" i="54"/>
  <c r="BE71" i="54" s="1"/>
  <c r="C71" i="54" s="1"/>
  <c r="BD72" i="54"/>
  <c r="BC3" i="54"/>
  <c r="BC4" i="54"/>
  <c r="BC5" i="54"/>
  <c r="BC6" i="54"/>
  <c r="BC7" i="54"/>
  <c r="BC8" i="54"/>
  <c r="BE8" i="54" s="1"/>
  <c r="C8" i="54" s="1"/>
  <c r="BC9" i="54"/>
  <c r="BC10" i="54"/>
  <c r="BC11" i="54"/>
  <c r="BC12" i="54"/>
  <c r="BC13" i="54"/>
  <c r="BC14" i="54"/>
  <c r="BC15" i="54"/>
  <c r="BC16" i="54"/>
  <c r="BC17" i="54"/>
  <c r="BC18" i="54"/>
  <c r="BC19" i="54"/>
  <c r="BC20" i="54"/>
  <c r="BC21" i="54"/>
  <c r="BC22" i="54"/>
  <c r="BC23" i="54"/>
  <c r="BC24" i="54"/>
  <c r="BE24" i="54" s="1"/>
  <c r="C24" i="54" s="1"/>
  <c r="BC25" i="54"/>
  <c r="BC26" i="54"/>
  <c r="BC27" i="54"/>
  <c r="BC28" i="54"/>
  <c r="BC29" i="54"/>
  <c r="BC30" i="54"/>
  <c r="BC31" i="54"/>
  <c r="BC32" i="54"/>
  <c r="BC33" i="54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47" i="54"/>
  <c r="BC48" i="54"/>
  <c r="BC49" i="54"/>
  <c r="BC50" i="54"/>
  <c r="BC51" i="54"/>
  <c r="BC52" i="54"/>
  <c r="BC53" i="54"/>
  <c r="BC54" i="54"/>
  <c r="BC55" i="54"/>
  <c r="BC56" i="54"/>
  <c r="BC57" i="54"/>
  <c r="BC58" i="54"/>
  <c r="BC59" i="54"/>
  <c r="BC60" i="54"/>
  <c r="BC61" i="54"/>
  <c r="BC62" i="54"/>
  <c r="BC63" i="54"/>
  <c r="BC64" i="54"/>
  <c r="BC65" i="54"/>
  <c r="BC66" i="54"/>
  <c r="BC67" i="54"/>
  <c r="BC68" i="54"/>
  <c r="BC69" i="54"/>
  <c r="BC70" i="54"/>
  <c r="BC71" i="54"/>
  <c r="BC72" i="54"/>
  <c r="BB3" i="54"/>
  <c r="BB4" i="54"/>
  <c r="BB5" i="54"/>
  <c r="BB6" i="54"/>
  <c r="BB7" i="54"/>
  <c r="BB8" i="54"/>
  <c r="BB9" i="54"/>
  <c r="BB10" i="54"/>
  <c r="BB11" i="54"/>
  <c r="BB12" i="54"/>
  <c r="BB13" i="54"/>
  <c r="BB14" i="54"/>
  <c r="BB15" i="54"/>
  <c r="BB16" i="54"/>
  <c r="BB17" i="54"/>
  <c r="BB18" i="54"/>
  <c r="BB19" i="54"/>
  <c r="BB20" i="54"/>
  <c r="BB21" i="54"/>
  <c r="BB22" i="54"/>
  <c r="BB23" i="54"/>
  <c r="BB24" i="54"/>
  <c r="BB25" i="54"/>
  <c r="BB26" i="54"/>
  <c r="BB27" i="54"/>
  <c r="BB28" i="54"/>
  <c r="BB29" i="54"/>
  <c r="BB30" i="54"/>
  <c r="BB31" i="54"/>
  <c r="BB32" i="54"/>
  <c r="BB33" i="54"/>
  <c r="BB34" i="54"/>
  <c r="BB35" i="54"/>
  <c r="BB36" i="54"/>
  <c r="BB37" i="54"/>
  <c r="BB38" i="54"/>
  <c r="BB39" i="54"/>
  <c r="BB40" i="54"/>
  <c r="BB41" i="54"/>
  <c r="BB42" i="54"/>
  <c r="BB43" i="54"/>
  <c r="BB44" i="54"/>
  <c r="BB45" i="54"/>
  <c r="BB46" i="54"/>
  <c r="BB47" i="54"/>
  <c r="BB48" i="54"/>
  <c r="BB49" i="54"/>
  <c r="BB50" i="54"/>
  <c r="BB51" i="54"/>
  <c r="BB52" i="54"/>
  <c r="BB53" i="54"/>
  <c r="BB54" i="54"/>
  <c r="BB55" i="54"/>
  <c r="BB56" i="54"/>
  <c r="BB57" i="54"/>
  <c r="BB58" i="54"/>
  <c r="BB59" i="54"/>
  <c r="BB60" i="54"/>
  <c r="BB61" i="54"/>
  <c r="BB62" i="54"/>
  <c r="BB63" i="54"/>
  <c r="BB64" i="54"/>
  <c r="BB65" i="54"/>
  <c r="BB66" i="54"/>
  <c r="BB67" i="54"/>
  <c r="BB68" i="54"/>
  <c r="BB69" i="54"/>
  <c r="BB70" i="54"/>
  <c r="BB71" i="54"/>
  <c r="BB72" i="54"/>
  <c r="BA3" i="54"/>
  <c r="BA4" i="54"/>
  <c r="BA5" i="54"/>
  <c r="BA6" i="54"/>
  <c r="BA7" i="54"/>
  <c r="BA8" i="54"/>
  <c r="BA9" i="54"/>
  <c r="BA10" i="54"/>
  <c r="BA11" i="54"/>
  <c r="BA12" i="54"/>
  <c r="BA13" i="54"/>
  <c r="BA14" i="54"/>
  <c r="BA15" i="54"/>
  <c r="BA16" i="54"/>
  <c r="BA17" i="54"/>
  <c r="BA18" i="54"/>
  <c r="BA19" i="54"/>
  <c r="BA20" i="54"/>
  <c r="BA21" i="54"/>
  <c r="CN21" i="54" s="1"/>
  <c r="CP21" i="54" s="1"/>
  <c r="BA22" i="54"/>
  <c r="BF22" i="54" s="1"/>
  <c r="DT22" i="54" s="1"/>
  <c r="BA23" i="54"/>
  <c r="BF23" i="54" s="1"/>
  <c r="DT23" i="54" s="1"/>
  <c r="BA24" i="54"/>
  <c r="BF24" i="54" s="1"/>
  <c r="DT24" i="54" s="1"/>
  <c r="BA25" i="54"/>
  <c r="BA26" i="54"/>
  <c r="BA27" i="54"/>
  <c r="BF27" i="54" s="1"/>
  <c r="DT27" i="54" s="1"/>
  <c r="BA28" i="54"/>
  <c r="BA29" i="54"/>
  <c r="BF29" i="54" s="1"/>
  <c r="DT29" i="54" s="1"/>
  <c r="BA30" i="54"/>
  <c r="BF30" i="54" s="1"/>
  <c r="DT30" i="54" s="1"/>
  <c r="BA31" i="54"/>
  <c r="BA32" i="54"/>
  <c r="BA33" i="54"/>
  <c r="BF33" i="54" s="1"/>
  <c r="DT33" i="54" s="1"/>
  <c r="BA34" i="54"/>
  <c r="BF34" i="54" s="1"/>
  <c r="DT34" i="54" s="1"/>
  <c r="BA35" i="54"/>
  <c r="BA36" i="54"/>
  <c r="BF36" i="54" s="1"/>
  <c r="DT36" i="54" s="1"/>
  <c r="BA37" i="54"/>
  <c r="BA38" i="54"/>
  <c r="BA39" i="54"/>
  <c r="BA40" i="54"/>
  <c r="CN40" i="54" s="1"/>
  <c r="BA41" i="54"/>
  <c r="BF41" i="54" s="1"/>
  <c r="DT41" i="54" s="1"/>
  <c r="BA42" i="54"/>
  <c r="CN42" i="54" s="1"/>
  <c r="BA43" i="54"/>
  <c r="BF43" i="54" s="1"/>
  <c r="DT43" i="54" s="1"/>
  <c r="BA44" i="54"/>
  <c r="BF44" i="54" s="1"/>
  <c r="DT44" i="54" s="1"/>
  <c r="BA45" i="54"/>
  <c r="BF45" i="54" s="1"/>
  <c r="DT45" i="54" s="1"/>
  <c r="BA46" i="54"/>
  <c r="BF46" i="54" s="1"/>
  <c r="DT46" i="54" s="1"/>
  <c r="BA47" i="54"/>
  <c r="BA48" i="54"/>
  <c r="BA49" i="54"/>
  <c r="BA50" i="54"/>
  <c r="BA51" i="54"/>
  <c r="BA52" i="54"/>
  <c r="BA53" i="54"/>
  <c r="CN53" i="54" s="1"/>
  <c r="CU53" i="54" s="1"/>
  <c r="BA54" i="54"/>
  <c r="BA55" i="54"/>
  <c r="BA56" i="54"/>
  <c r="BA57" i="54"/>
  <c r="BA58" i="54"/>
  <c r="BA59" i="54"/>
  <c r="BF59" i="54" s="1"/>
  <c r="DT59" i="54" s="1"/>
  <c r="BA60" i="54"/>
  <c r="BA61" i="54"/>
  <c r="BF61" i="54" s="1"/>
  <c r="DT61" i="54" s="1"/>
  <c r="BA62" i="54"/>
  <c r="BF62" i="54" s="1"/>
  <c r="DT62" i="54" s="1"/>
  <c r="BA63" i="54"/>
  <c r="BA64" i="54"/>
  <c r="BA65" i="54"/>
  <c r="BF65" i="54" s="1"/>
  <c r="DT65" i="54" s="1"/>
  <c r="BA66" i="54"/>
  <c r="BA67" i="54"/>
  <c r="BF67" i="54" s="1"/>
  <c r="DT67" i="54" s="1"/>
  <c r="BA68" i="54"/>
  <c r="BF68" i="54" s="1"/>
  <c r="DT68" i="54" s="1"/>
  <c r="BA69" i="54"/>
  <c r="BA70" i="54"/>
  <c r="BF70" i="54" s="1"/>
  <c r="DT70" i="54" s="1"/>
  <c r="BA71" i="54"/>
  <c r="BF71" i="54" s="1"/>
  <c r="DT71" i="54" s="1"/>
  <c r="BA72" i="54"/>
  <c r="BF72" i="54" s="1"/>
  <c r="DT72" i="54" s="1"/>
  <c r="AZ9" i="54"/>
  <c r="AZ10" i="54"/>
  <c r="AZ16" i="54"/>
  <c r="AZ17" i="54"/>
  <c r="AZ25" i="54"/>
  <c r="AZ26" i="54"/>
  <c r="AZ30" i="54"/>
  <c r="AZ31" i="54"/>
  <c r="AZ32" i="54"/>
  <c r="AZ33" i="54"/>
  <c r="AZ34" i="54"/>
  <c r="AZ35" i="54"/>
  <c r="AZ42" i="54"/>
  <c r="AY3" i="54"/>
  <c r="E3" i="54" s="1"/>
  <c r="AZ3" i="54" s="1"/>
  <c r="AY4" i="54"/>
  <c r="E4" i="54" s="1"/>
  <c r="AZ4" i="54" s="1"/>
  <c r="AY5" i="54"/>
  <c r="E5" i="54" s="1"/>
  <c r="AZ5" i="54" s="1"/>
  <c r="AY6" i="54"/>
  <c r="E6" i="54" s="1"/>
  <c r="AZ6" i="54" s="1"/>
  <c r="AY7" i="54"/>
  <c r="E7" i="54" s="1"/>
  <c r="AZ7" i="54" s="1"/>
  <c r="AY8" i="54"/>
  <c r="E8" i="54" s="1"/>
  <c r="AZ8" i="54" s="1"/>
  <c r="AY9" i="54"/>
  <c r="E9" i="54" s="1"/>
  <c r="AY10" i="54"/>
  <c r="E10" i="54" s="1"/>
  <c r="AY11" i="54"/>
  <c r="E11" i="54" s="1"/>
  <c r="AZ11" i="54" s="1"/>
  <c r="AY12" i="54"/>
  <c r="E12" i="54" s="1"/>
  <c r="AZ12" i="54" s="1"/>
  <c r="AY13" i="54"/>
  <c r="E13" i="54" s="1"/>
  <c r="AZ13" i="54" s="1"/>
  <c r="AY14" i="54"/>
  <c r="E14" i="54" s="1"/>
  <c r="AZ14" i="54" s="1"/>
  <c r="AY15" i="54"/>
  <c r="E15" i="54" s="1"/>
  <c r="AZ15" i="54" s="1"/>
  <c r="AY16" i="54"/>
  <c r="E16" i="54" s="1"/>
  <c r="AY17" i="54"/>
  <c r="E17" i="54" s="1"/>
  <c r="AY18" i="54"/>
  <c r="E18" i="54" s="1"/>
  <c r="AZ18" i="54" s="1"/>
  <c r="AY19" i="54"/>
  <c r="E19" i="54" s="1"/>
  <c r="AZ19" i="54" s="1"/>
  <c r="AY20" i="54"/>
  <c r="E20" i="54" s="1"/>
  <c r="AZ20" i="54" s="1"/>
  <c r="AX42" i="54"/>
  <c r="AX54" i="54"/>
  <c r="AX58" i="54"/>
  <c r="AW10" i="54"/>
  <c r="AX10" i="54" s="1"/>
  <c r="AW11" i="54"/>
  <c r="AX11" i="54" s="1"/>
  <c r="AW12" i="54"/>
  <c r="AX12" i="54" s="1"/>
  <c r="AW26" i="54"/>
  <c r="AX26" i="54" s="1"/>
  <c r="AW27" i="54"/>
  <c r="AX27" i="54" s="1"/>
  <c r="AW28" i="54"/>
  <c r="AX28" i="54" s="1"/>
  <c r="AW30" i="54"/>
  <c r="AX30" i="54" s="1"/>
  <c r="AW31" i="54"/>
  <c r="AX31" i="54" s="1"/>
  <c r="AW42" i="54"/>
  <c r="AW43" i="54"/>
  <c r="AX43" i="54" s="1"/>
  <c r="AW44" i="54"/>
  <c r="AX44" i="54" s="1"/>
  <c r="AW58" i="54"/>
  <c r="AW59" i="54"/>
  <c r="AX59" i="54" s="1"/>
  <c r="AW60" i="54"/>
  <c r="AX60" i="54" s="1"/>
  <c r="AW62" i="54"/>
  <c r="AX62" i="54" s="1"/>
  <c r="AW63" i="54"/>
  <c r="AX63" i="54" s="1"/>
  <c r="AV7" i="54"/>
  <c r="AV10" i="54"/>
  <c r="AV11" i="54"/>
  <c r="AV26" i="54"/>
  <c r="AV30" i="54"/>
  <c r="AV38" i="54"/>
  <c r="AV43" i="54"/>
  <c r="AV54" i="54"/>
  <c r="BW54" i="54" s="1"/>
  <c r="AV55" i="54"/>
  <c r="AV56" i="54"/>
  <c r="AY56" i="54" s="1"/>
  <c r="E56" i="54" s="1"/>
  <c r="AZ56" i="54" s="1"/>
  <c r="AV59" i="54"/>
  <c r="AV60" i="54"/>
  <c r="AU3" i="54"/>
  <c r="AU4" i="54"/>
  <c r="AU5" i="54"/>
  <c r="AU6" i="54"/>
  <c r="AW6" i="54" s="1"/>
  <c r="AX6" i="54" s="1"/>
  <c r="AU7" i="54"/>
  <c r="AW7" i="54" s="1"/>
  <c r="AX7" i="54" s="1"/>
  <c r="AU8" i="54"/>
  <c r="AW8" i="54" s="1"/>
  <c r="AX8" i="54" s="1"/>
  <c r="AU9" i="54"/>
  <c r="AW9" i="54" s="1"/>
  <c r="AX9" i="54" s="1"/>
  <c r="AU10" i="54"/>
  <c r="AU11" i="54"/>
  <c r="AU12" i="54"/>
  <c r="AV12" i="54" s="1"/>
  <c r="AU13" i="54"/>
  <c r="AW13" i="54" s="1"/>
  <c r="AX13" i="54" s="1"/>
  <c r="AU14" i="54"/>
  <c r="AW14" i="54" s="1"/>
  <c r="AX14" i="54" s="1"/>
  <c r="AU15" i="54"/>
  <c r="AV15" i="54" s="1"/>
  <c r="AU16" i="54"/>
  <c r="AV16" i="54" s="1"/>
  <c r="AU17" i="54"/>
  <c r="AV17" i="54" s="1"/>
  <c r="AU18" i="54"/>
  <c r="AU19" i="54"/>
  <c r="AU20" i="54"/>
  <c r="AU21" i="54"/>
  <c r="AU22" i="54"/>
  <c r="AW22" i="54" s="1"/>
  <c r="AX22" i="54" s="1"/>
  <c r="AU23" i="54"/>
  <c r="AW23" i="54" s="1"/>
  <c r="AX23" i="54" s="1"/>
  <c r="AU24" i="54"/>
  <c r="AW24" i="54" s="1"/>
  <c r="AX24" i="54" s="1"/>
  <c r="AU25" i="54"/>
  <c r="AW25" i="54" s="1"/>
  <c r="AX25" i="54" s="1"/>
  <c r="AU26" i="54"/>
  <c r="AU27" i="54"/>
  <c r="AV27" i="54" s="1"/>
  <c r="AU28" i="54"/>
  <c r="AV28" i="54" s="1"/>
  <c r="AU29" i="54"/>
  <c r="AW29" i="54" s="1"/>
  <c r="AX29" i="54" s="1"/>
  <c r="AU30" i="54"/>
  <c r="AU31" i="54"/>
  <c r="AV31" i="54" s="1"/>
  <c r="AU32" i="54"/>
  <c r="AV32" i="54" s="1"/>
  <c r="AU33" i="54"/>
  <c r="AV33" i="54" s="1"/>
  <c r="AU34" i="54"/>
  <c r="AU35" i="54"/>
  <c r="AU36" i="54"/>
  <c r="AU37" i="54"/>
  <c r="AU38" i="54"/>
  <c r="AW38" i="54" s="1"/>
  <c r="AX38" i="54" s="1"/>
  <c r="AU39" i="54"/>
  <c r="AW39" i="54" s="1"/>
  <c r="AX39" i="54" s="1"/>
  <c r="AU40" i="54"/>
  <c r="AW40" i="54" s="1"/>
  <c r="AX40" i="54" s="1"/>
  <c r="AU41" i="54"/>
  <c r="AW41" i="54" s="1"/>
  <c r="AX41" i="54" s="1"/>
  <c r="AU42" i="54"/>
  <c r="AV42" i="54" s="1"/>
  <c r="BW42" i="54" s="1"/>
  <c r="BY42" i="54" s="1"/>
  <c r="AU43" i="54"/>
  <c r="AU44" i="54"/>
  <c r="AV44" i="54" s="1"/>
  <c r="AU45" i="54"/>
  <c r="AW45" i="54" s="1"/>
  <c r="AX45" i="54" s="1"/>
  <c r="AU46" i="54"/>
  <c r="AW46" i="54" s="1"/>
  <c r="AX46" i="54" s="1"/>
  <c r="AU47" i="54"/>
  <c r="AV47" i="54" s="1"/>
  <c r="AU48" i="54"/>
  <c r="AV48" i="54" s="1"/>
  <c r="AU49" i="54"/>
  <c r="AV49" i="54" s="1"/>
  <c r="AU50" i="54"/>
  <c r="AU51" i="54"/>
  <c r="AU52" i="54"/>
  <c r="AU53" i="54"/>
  <c r="AU54" i="54"/>
  <c r="AW54" i="54" s="1"/>
  <c r="AU55" i="54"/>
  <c r="AW55" i="54" s="1"/>
  <c r="AX55" i="54" s="1"/>
  <c r="AU56" i="54"/>
  <c r="AW56" i="54" s="1"/>
  <c r="AX56" i="54" s="1"/>
  <c r="AU57" i="54"/>
  <c r="AW57" i="54" s="1"/>
  <c r="AX57" i="54" s="1"/>
  <c r="AU58" i="54"/>
  <c r="AV58" i="54" s="1"/>
  <c r="AU59" i="54"/>
  <c r="AU60" i="54"/>
  <c r="AU61" i="54"/>
  <c r="AW61" i="54" s="1"/>
  <c r="AX61" i="54" s="1"/>
  <c r="AU62" i="54"/>
  <c r="AV62" i="54" s="1"/>
  <c r="AU63" i="54"/>
  <c r="AV63" i="54" s="1"/>
  <c r="AU64" i="54"/>
  <c r="AV64" i="54" s="1"/>
  <c r="AU65" i="54"/>
  <c r="AV65" i="54" s="1"/>
  <c r="AU66" i="54"/>
  <c r="AU67" i="54"/>
  <c r="AU68" i="54"/>
  <c r="AU69" i="54"/>
  <c r="AU70" i="54"/>
  <c r="AW70" i="54" s="1"/>
  <c r="AX70" i="54" s="1"/>
  <c r="AU71" i="54"/>
  <c r="AW71" i="54" s="1"/>
  <c r="AX71" i="54" s="1"/>
  <c r="AU72" i="54"/>
  <c r="AW72" i="54" s="1"/>
  <c r="AX72" i="54" s="1"/>
  <c r="AT3" i="54"/>
  <c r="DW3" i="54" s="1"/>
  <c r="AT4" i="54"/>
  <c r="DW4" i="54" s="1"/>
  <c r="AT5" i="54"/>
  <c r="DW5" i="54" s="1"/>
  <c r="AT6" i="54"/>
  <c r="DW6" i="54" s="1"/>
  <c r="AT7" i="54"/>
  <c r="DW7" i="54" s="1"/>
  <c r="AT8" i="54"/>
  <c r="DW8" i="54" s="1"/>
  <c r="AT9" i="54"/>
  <c r="AT10" i="54"/>
  <c r="AT11" i="54"/>
  <c r="DW11" i="54" s="1"/>
  <c r="AT12" i="54"/>
  <c r="AT13" i="54"/>
  <c r="AT14" i="54"/>
  <c r="AT15" i="54"/>
  <c r="AT16" i="54"/>
  <c r="AT17" i="54"/>
  <c r="DW17" i="54" s="1"/>
  <c r="AT18" i="54"/>
  <c r="DW18" i="54" s="1"/>
  <c r="AT19" i="54"/>
  <c r="DW19" i="54" s="1"/>
  <c r="AT20" i="54"/>
  <c r="DW20" i="54" s="1"/>
  <c r="AT21" i="54"/>
  <c r="DQ21" i="54" s="1"/>
  <c r="AT22" i="54"/>
  <c r="BL22" i="54" s="1"/>
  <c r="AT23" i="54"/>
  <c r="AT24" i="54"/>
  <c r="DQ24" i="54" s="1"/>
  <c r="AT25" i="54"/>
  <c r="DQ25" i="54" s="1"/>
  <c r="AT26" i="54"/>
  <c r="EA26" i="54" s="1"/>
  <c r="AT27" i="54"/>
  <c r="BH27" i="54" s="1"/>
  <c r="AT28" i="54"/>
  <c r="AT29" i="54"/>
  <c r="AT30" i="54"/>
  <c r="AT31" i="54"/>
  <c r="AT32" i="54"/>
  <c r="BI32" i="54" s="1"/>
  <c r="AT33" i="54"/>
  <c r="BI33" i="54" s="1"/>
  <c r="AT34" i="54"/>
  <c r="BL34" i="54" s="1"/>
  <c r="AT35" i="54"/>
  <c r="BL35" i="54" s="1"/>
  <c r="DA35" i="54" s="1" a="1"/>
  <c r="DA35" i="54" s="1"/>
  <c r="AT36" i="54"/>
  <c r="BL36" i="54" s="1"/>
  <c r="AT37" i="54"/>
  <c r="BL37" i="54" s="1"/>
  <c r="AT38" i="54"/>
  <c r="BJ38" i="54" s="1"/>
  <c r="AT39" i="54"/>
  <c r="BL39" i="54" s="1"/>
  <c r="AT40" i="54"/>
  <c r="AT41" i="54"/>
  <c r="AT42" i="54"/>
  <c r="AT43" i="54"/>
  <c r="BL43" i="54" s="1"/>
  <c r="AT44" i="54"/>
  <c r="AT45" i="54"/>
  <c r="AT46" i="54"/>
  <c r="AT47" i="54"/>
  <c r="AT48" i="54"/>
  <c r="BJ48" i="54" s="1"/>
  <c r="AT49" i="54"/>
  <c r="BK49" i="54" s="1"/>
  <c r="BS49" i="54" s="1" a="1"/>
  <c r="BS49" i="54" s="1"/>
  <c r="AT50" i="54"/>
  <c r="BI50" i="54" s="1"/>
  <c r="AT51" i="54"/>
  <c r="BG51" i="54" s="1"/>
  <c r="AT52" i="54"/>
  <c r="BH52" i="54" s="1"/>
  <c r="AT53" i="54"/>
  <c r="DF53" i="54" s="1"/>
  <c r="AT54" i="54"/>
  <c r="BG54" i="54" s="1"/>
  <c r="AT55" i="54"/>
  <c r="DW55" i="54" s="1"/>
  <c r="AT56" i="54"/>
  <c r="DW56" i="54" s="1"/>
  <c r="AT57" i="54"/>
  <c r="BI57" i="54" s="1"/>
  <c r="AT58" i="54"/>
  <c r="BI58" i="54" s="1"/>
  <c r="AT59" i="54"/>
  <c r="BK59" i="54" s="1"/>
  <c r="BS59" i="54" s="1" a="1"/>
  <c r="BS59" i="54" s="1"/>
  <c r="AT60" i="54"/>
  <c r="BH60" i="54" s="1"/>
  <c r="AT61" i="54"/>
  <c r="AT62" i="54"/>
  <c r="AT63" i="54"/>
  <c r="AT64" i="54"/>
  <c r="BH64" i="54" s="1"/>
  <c r="AT65" i="54"/>
  <c r="BL65" i="54" s="1"/>
  <c r="AT66" i="54"/>
  <c r="BK66" i="54" s="1"/>
  <c r="BS66" i="54" s="1" a="1"/>
  <c r="BS66" i="54" s="1"/>
  <c r="BU66" i="54" s="1"/>
  <c r="AT67" i="54"/>
  <c r="BL67" i="54" s="1"/>
  <c r="AT68" i="54"/>
  <c r="AT69" i="54"/>
  <c r="BL69" i="54" s="1"/>
  <c r="AT70" i="54"/>
  <c r="AT71" i="54"/>
  <c r="BL71" i="54" s="1"/>
  <c r="AT72" i="54"/>
  <c r="BG72" i="54" s="1"/>
  <c r="AS3" i="54" a="1"/>
  <c r="AS3" i="54"/>
  <c r="AS4" i="54" a="1"/>
  <c r="AS4" i="54" s="1"/>
  <c r="AS5" i="54" a="1"/>
  <c r="AS5" i="54"/>
  <c r="AS6" i="54" a="1"/>
  <c r="AS6" i="54" s="1"/>
  <c r="AS7" i="54" a="1"/>
  <c r="AS7" i="54"/>
  <c r="AS8" i="54" a="1"/>
  <c r="AS8" i="54" s="1"/>
  <c r="AS9" i="54" a="1"/>
  <c r="AS9" i="54" s="1"/>
  <c r="AS10" i="54" a="1"/>
  <c r="AS10" i="54"/>
  <c r="AS11" i="54" a="1"/>
  <c r="AS11" i="54"/>
  <c r="AS12" i="54" a="1"/>
  <c r="AS12" i="54" s="1"/>
  <c r="AS13" i="54" a="1"/>
  <c r="AS13" i="54" s="1"/>
  <c r="AS14" i="54" a="1"/>
  <c r="AS14" i="54" s="1"/>
  <c r="AS15" i="54" a="1"/>
  <c r="AS15" i="54"/>
  <c r="AS16" i="54" a="1"/>
  <c r="AS16" i="54" s="1"/>
  <c r="AS17" i="54" a="1"/>
  <c r="AS17" i="54" s="1"/>
  <c r="AS18" i="54" a="1"/>
  <c r="AS18" i="54"/>
  <c r="AS19" i="54" a="1"/>
  <c r="AS19" i="54" s="1"/>
  <c r="AS20" i="54" a="1"/>
  <c r="AS20" i="54"/>
  <c r="DX20" i="54" s="1"/>
  <c r="AS21" i="54" a="1"/>
  <c r="AS21" i="54" s="1"/>
  <c r="AS22" i="54" a="1"/>
  <c r="AS22" i="54" s="1"/>
  <c r="AS23" i="54" a="1"/>
  <c r="AS23" i="54" s="1"/>
  <c r="AS24" i="54" a="1"/>
  <c r="AS24" i="54" s="1"/>
  <c r="AS25" i="54" a="1"/>
  <c r="AS25" i="54" s="1"/>
  <c r="AS26" i="54" a="1"/>
  <c r="AS26" i="54"/>
  <c r="AS27" i="54" a="1"/>
  <c r="AS27" i="54"/>
  <c r="DX27" i="54" s="1"/>
  <c r="AS28" i="54" a="1"/>
  <c r="AS28" i="54"/>
  <c r="AS29" i="54" a="1"/>
  <c r="AS29" i="54"/>
  <c r="AS30" i="54" a="1"/>
  <c r="AS30" i="54" s="1"/>
  <c r="AS31" i="54" a="1"/>
  <c r="AS31" i="54" s="1"/>
  <c r="AS32" i="54" a="1"/>
  <c r="AS32" i="54" s="1"/>
  <c r="AS33" i="54" a="1"/>
  <c r="AS33" i="54" s="1"/>
  <c r="AS34" i="54" a="1"/>
  <c r="AS34" i="54" s="1"/>
  <c r="AS35" i="54" a="1"/>
  <c r="AS35" i="54"/>
  <c r="AS36" i="54" a="1"/>
  <c r="AS36" i="54"/>
  <c r="AS37" i="54" a="1"/>
  <c r="AS37" i="54"/>
  <c r="AS38" i="54" a="1"/>
  <c r="AS38" i="54" s="1"/>
  <c r="AS39" i="54" a="1"/>
  <c r="AS39" i="54"/>
  <c r="AS40" i="54" a="1"/>
  <c r="AS40" i="54" s="1"/>
  <c r="AS41" i="54" a="1"/>
  <c r="AS41" i="54" s="1"/>
  <c r="AS42" i="54" a="1"/>
  <c r="AS42" i="54" s="1"/>
  <c r="DX42" i="54" s="1"/>
  <c r="AS43" i="54" a="1"/>
  <c r="AS43" i="54" s="1"/>
  <c r="AS44" i="54" a="1"/>
  <c r="AS44" i="54"/>
  <c r="AS45" i="54" a="1"/>
  <c r="AS45" i="54"/>
  <c r="AS46" i="54" a="1"/>
  <c r="AS46" i="54" s="1"/>
  <c r="AS47" i="54" a="1"/>
  <c r="AS47" i="54"/>
  <c r="AS48" i="54" a="1"/>
  <c r="AS48" i="54" s="1"/>
  <c r="AS49" i="54" a="1"/>
  <c r="AS49" i="54" s="1"/>
  <c r="AS50" i="54" a="1"/>
  <c r="AS50" i="54"/>
  <c r="AS51" i="54" a="1"/>
  <c r="AS51" i="54" s="1"/>
  <c r="AS52" i="54" a="1"/>
  <c r="AS52" i="54"/>
  <c r="AS53" i="54" a="1"/>
  <c r="AS53" i="54" s="1"/>
  <c r="AS54" i="54" a="1"/>
  <c r="AS54" i="54" s="1"/>
  <c r="AS55" i="54" a="1"/>
  <c r="AS55" i="54"/>
  <c r="DX55" i="54" s="1"/>
  <c r="AS56" i="54" a="1"/>
  <c r="AS56" i="54" s="1"/>
  <c r="AS57" i="54" a="1"/>
  <c r="AS57" i="54" s="1"/>
  <c r="DX57" i="54" s="1"/>
  <c r="AS58" i="54" a="1"/>
  <c r="AS58" i="54"/>
  <c r="DX58" i="54" s="1"/>
  <c r="AS59" i="54" a="1"/>
  <c r="AS59" i="54"/>
  <c r="AS60" i="54" a="1"/>
  <c r="AS60" i="54"/>
  <c r="AS61" i="54" a="1"/>
  <c r="AS61" i="54" s="1"/>
  <c r="AS62" i="54" a="1"/>
  <c r="AS62" i="54" s="1"/>
  <c r="AS63" i="54" a="1"/>
  <c r="AS63" i="54" s="1"/>
  <c r="AS64" i="54" a="1"/>
  <c r="AS64" i="54" s="1"/>
  <c r="AS65" i="54" a="1"/>
  <c r="AS65" i="54" s="1"/>
  <c r="AS66" i="54" a="1"/>
  <c r="AS66" i="54"/>
  <c r="AS67" i="54" a="1"/>
  <c r="AS67" i="54"/>
  <c r="AS68" i="54" a="1"/>
  <c r="AS68" i="54" s="1"/>
  <c r="AS69" i="54" a="1"/>
  <c r="AS69" i="54"/>
  <c r="AS70" i="54" a="1"/>
  <c r="AS70" i="54" s="1"/>
  <c r="AS71" i="54" a="1"/>
  <c r="AS71" i="54" s="1"/>
  <c r="AS72" i="54" a="1"/>
  <c r="AS72" i="54" s="1"/>
  <c r="V503" i="19"/>
  <c r="X503" i="19" s="1"/>
  <c r="V502" i="19"/>
  <c r="X502" i="19" s="1"/>
  <c r="V501" i="19"/>
  <c r="X501" i="19" s="1"/>
  <c r="V500" i="19"/>
  <c r="V499" i="19"/>
  <c r="V498" i="19"/>
  <c r="V497" i="19"/>
  <c r="X497" i="19" s="1"/>
  <c r="V496" i="19"/>
  <c r="V495" i="19"/>
  <c r="X495" i="19" s="1"/>
  <c r="V494" i="19"/>
  <c r="X494" i="19" s="1"/>
  <c r="V493" i="19"/>
  <c r="X493" i="19" s="1"/>
  <c r="V492" i="19"/>
  <c r="V491" i="19"/>
  <c r="V490" i="19"/>
  <c r="V489" i="19"/>
  <c r="X489" i="19" s="1"/>
  <c r="V488" i="19"/>
  <c r="V487" i="19"/>
  <c r="X487" i="19" s="1"/>
  <c r="V486" i="19"/>
  <c r="X486" i="19" s="1"/>
  <c r="V485" i="19"/>
  <c r="W485" i="19" s="1"/>
  <c r="V484" i="19"/>
  <c r="V483" i="19"/>
  <c r="X483" i="19" s="1"/>
  <c r="V482" i="19"/>
  <c r="V481" i="19"/>
  <c r="V480" i="19"/>
  <c r="V479" i="19"/>
  <c r="X479" i="19" s="1"/>
  <c r="V478" i="19"/>
  <c r="V477" i="19"/>
  <c r="V476" i="19"/>
  <c r="V475" i="19"/>
  <c r="X475" i="19" s="1"/>
  <c r="V474" i="19"/>
  <c r="V473" i="19"/>
  <c r="V472" i="19"/>
  <c r="V471" i="19"/>
  <c r="X471" i="19" s="1"/>
  <c r="V470" i="19"/>
  <c r="X470" i="19" s="1"/>
  <c r="V469" i="19"/>
  <c r="V468" i="19"/>
  <c r="X468" i="19" s="1"/>
  <c r="V467" i="19"/>
  <c r="V466" i="19"/>
  <c r="V465" i="19"/>
  <c r="X465" i="19" s="1"/>
  <c r="V464" i="19"/>
  <c r="X464" i="19" s="1"/>
  <c r="V463" i="19"/>
  <c r="X463" i="19" s="1"/>
  <c r="V462" i="19"/>
  <c r="X462" i="19" s="1"/>
  <c r="V461" i="19"/>
  <c r="W461" i="19" s="1"/>
  <c r="V460" i="19"/>
  <c r="V459" i="19"/>
  <c r="V458" i="19"/>
  <c r="X458" i="19" s="1"/>
  <c r="V457" i="19"/>
  <c r="V456" i="19"/>
  <c r="W456" i="19" s="1"/>
  <c r="V455" i="19"/>
  <c r="X455" i="19" s="1"/>
  <c r="V454" i="19"/>
  <c r="W454" i="19" s="1"/>
  <c r="V453" i="19"/>
  <c r="X453" i="19" s="1"/>
  <c r="V452" i="19"/>
  <c r="X452" i="19" s="1"/>
  <c r="V451" i="19"/>
  <c r="X451" i="19" s="1"/>
  <c r="V450" i="19"/>
  <c r="V449" i="19"/>
  <c r="V448" i="19"/>
  <c r="V447" i="19"/>
  <c r="V446" i="19"/>
  <c r="X446" i="19" s="1"/>
  <c r="V445" i="19"/>
  <c r="X445" i="19" s="1"/>
  <c r="V444" i="19"/>
  <c r="V443" i="19"/>
  <c r="V442" i="19"/>
  <c r="W442" i="19" s="1"/>
  <c r="V441" i="19"/>
  <c r="V440" i="19"/>
  <c r="X440" i="19" s="1"/>
  <c r="V439" i="19"/>
  <c r="X439" i="19" s="1"/>
  <c r="V438" i="19"/>
  <c r="V437" i="19"/>
  <c r="X437" i="19" s="1"/>
  <c r="V436" i="19"/>
  <c r="V435" i="19"/>
  <c r="V434" i="19"/>
  <c r="W434" i="19" s="1"/>
  <c r="V433" i="19"/>
  <c r="V432" i="19"/>
  <c r="V431" i="19"/>
  <c r="X431" i="19" s="1"/>
  <c r="V430" i="19"/>
  <c r="W430" i="19" s="1"/>
  <c r="V429" i="19"/>
  <c r="W429" i="19" s="1"/>
  <c r="V428" i="19"/>
  <c r="V427" i="19"/>
  <c r="V426" i="19"/>
  <c r="V425" i="19"/>
  <c r="V424" i="19"/>
  <c r="W424" i="19" s="1"/>
  <c r="V423" i="19"/>
  <c r="X423" i="19" s="1"/>
  <c r="V422" i="19"/>
  <c r="X422" i="19" s="1"/>
  <c r="V421" i="19"/>
  <c r="V420" i="19"/>
  <c r="W420" i="19" s="1"/>
  <c r="V419" i="19"/>
  <c r="W419" i="19" s="1"/>
  <c r="V418" i="19"/>
  <c r="V417" i="19"/>
  <c r="X417" i="19" s="1"/>
  <c r="V416" i="19"/>
  <c r="V415" i="19"/>
  <c r="V414" i="19"/>
  <c r="X414" i="19" s="1"/>
  <c r="V413" i="19"/>
  <c r="W413" i="19" s="1"/>
  <c r="V412" i="19"/>
  <c r="V411" i="19"/>
  <c r="X411" i="19" s="1"/>
  <c r="V410" i="19"/>
  <c r="V409" i="19"/>
  <c r="V408" i="19"/>
  <c r="V407" i="19"/>
  <c r="X407" i="19" s="1"/>
  <c r="V406" i="19"/>
  <c r="V405" i="19"/>
  <c r="X405" i="19" s="1"/>
  <c r="V404" i="19"/>
  <c r="W404" i="19" s="1"/>
  <c r="V403" i="19"/>
  <c r="V402" i="19"/>
  <c r="W402" i="19" s="1"/>
  <c r="V401" i="19"/>
  <c r="V400" i="19"/>
  <c r="X400" i="19" s="1"/>
  <c r="V399" i="19"/>
  <c r="X399" i="19" s="1"/>
  <c r="V398" i="19"/>
  <c r="W398" i="19" s="1"/>
  <c r="V397" i="19"/>
  <c r="X397" i="19" s="1"/>
  <c r="V396" i="19"/>
  <c r="V395" i="19"/>
  <c r="V394" i="19"/>
  <c r="V393" i="19"/>
  <c r="X393" i="19" s="1"/>
  <c r="V392" i="19"/>
  <c r="V391" i="19"/>
  <c r="X391" i="19" s="1"/>
  <c r="V390" i="19"/>
  <c r="X390" i="19" s="1"/>
  <c r="V389" i="19"/>
  <c r="V388" i="19"/>
  <c r="V387" i="19"/>
  <c r="X387" i="19" s="1"/>
  <c r="V386" i="19"/>
  <c r="V385" i="19"/>
  <c r="X385" i="19" s="1"/>
  <c r="V384" i="19"/>
  <c r="X384" i="19" s="1"/>
  <c r="V383" i="19"/>
  <c r="W383" i="19" s="1"/>
  <c r="V382" i="19"/>
  <c r="V381" i="19"/>
  <c r="X381" i="19" s="1"/>
  <c r="V380" i="19"/>
  <c r="V379" i="19"/>
  <c r="V378" i="19"/>
  <c r="X378" i="19" s="1"/>
  <c r="V377" i="19"/>
  <c r="V376" i="19"/>
  <c r="V375" i="19"/>
  <c r="X375" i="19" s="1"/>
  <c r="V374" i="19"/>
  <c r="V373" i="19"/>
  <c r="W373" i="19" s="1"/>
  <c r="V372" i="19"/>
  <c r="X372" i="19" s="1"/>
  <c r="V371" i="19"/>
  <c r="X371" i="19" s="1"/>
  <c r="V370" i="19"/>
  <c r="W370" i="19" s="1"/>
  <c r="V369" i="19"/>
  <c r="V368" i="19"/>
  <c r="V367" i="19"/>
  <c r="W367" i="19" s="1"/>
  <c r="V366" i="19"/>
  <c r="X366" i="19" s="1"/>
  <c r="V365" i="19"/>
  <c r="V364" i="19"/>
  <c r="V363" i="19"/>
  <c r="V362" i="19"/>
  <c r="V361" i="19"/>
  <c r="W361" i="19" s="1"/>
  <c r="V360" i="19"/>
  <c r="X360" i="19" s="1"/>
  <c r="V359" i="19"/>
  <c r="X359" i="19" s="1"/>
  <c r="V358" i="19"/>
  <c r="V357" i="19"/>
  <c r="W357" i="19" s="1"/>
  <c r="V356" i="19"/>
  <c r="V355" i="19"/>
  <c r="V354" i="19"/>
  <c r="V353" i="19"/>
  <c r="V352" i="19"/>
  <c r="V351" i="19"/>
  <c r="W351" i="19" s="1"/>
  <c r="V350" i="19"/>
  <c r="V349" i="19"/>
  <c r="V348" i="19"/>
  <c r="V347" i="19"/>
  <c r="W347" i="19" s="1"/>
  <c r="V346" i="19"/>
  <c r="V345" i="19"/>
  <c r="V344" i="19"/>
  <c r="V343" i="19"/>
  <c r="X343" i="19" s="1"/>
  <c r="V342" i="19"/>
  <c r="X342" i="19" s="1"/>
  <c r="V341" i="19"/>
  <c r="V340" i="19"/>
  <c r="V339" i="19"/>
  <c r="X339" i="19" s="1"/>
  <c r="V338" i="19"/>
  <c r="W338" i="19" s="1"/>
  <c r="V337" i="19"/>
  <c r="V336" i="19"/>
  <c r="X336" i="19" s="1"/>
  <c r="V335" i="19"/>
  <c r="V334" i="19"/>
  <c r="W334" i="19" s="1"/>
  <c r="V333" i="19"/>
  <c r="V332" i="19"/>
  <c r="V331" i="19"/>
  <c r="V330" i="19"/>
  <c r="X330" i="19" s="1"/>
  <c r="V329" i="19"/>
  <c r="V328" i="19"/>
  <c r="W328" i="19" s="1"/>
  <c r="V327" i="19"/>
  <c r="X327" i="19" s="1"/>
  <c r="V326" i="19"/>
  <c r="V325" i="19"/>
  <c r="W325" i="19" s="1"/>
  <c r="V324" i="19"/>
  <c r="X324" i="19" s="1"/>
  <c r="V323" i="19"/>
  <c r="V322" i="19"/>
  <c r="V321" i="19"/>
  <c r="X321" i="19" s="1"/>
  <c r="V320" i="19"/>
  <c r="V319" i="19"/>
  <c r="W319" i="19" s="1"/>
  <c r="V318" i="19"/>
  <c r="X318" i="19" s="1"/>
  <c r="V317" i="19"/>
  <c r="W317" i="19" s="1"/>
  <c r="V316" i="19"/>
  <c r="V315" i="19"/>
  <c r="V314" i="19"/>
  <c r="W314" i="19" s="1"/>
  <c r="V313" i="19"/>
  <c r="W313" i="19" s="1"/>
  <c r="V312" i="19"/>
  <c r="X312" i="19" s="1"/>
  <c r="V311" i="19"/>
  <c r="X311" i="19" s="1"/>
  <c r="V310" i="19"/>
  <c r="V309" i="19"/>
  <c r="W309" i="19" s="1"/>
  <c r="V308" i="19"/>
  <c r="W308" i="19" s="1"/>
  <c r="V307" i="19"/>
  <c r="V306" i="19"/>
  <c r="V305" i="19"/>
  <c r="V304" i="19"/>
  <c r="V303" i="19"/>
  <c r="V302" i="19"/>
  <c r="W302" i="19" s="1"/>
  <c r="V301" i="19"/>
  <c r="V300" i="19"/>
  <c r="V299" i="19"/>
  <c r="V298" i="19"/>
  <c r="V297" i="19"/>
  <c r="V296" i="19"/>
  <c r="W296" i="19" s="1"/>
  <c r="V295" i="19"/>
  <c r="X295" i="19" s="1"/>
  <c r="V294" i="19"/>
  <c r="X294" i="19" s="1"/>
  <c r="V293" i="19"/>
  <c r="V292" i="19"/>
  <c r="V291" i="19"/>
  <c r="X291" i="19" s="1"/>
  <c r="V290" i="19"/>
  <c r="V289" i="19"/>
  <c r="X289" i="19" s="1"/>
  <c r="V288" i="19"/>
  <c r="V287" i="19"/>
  <c r="V286" i="19"/>
  <c r="X286" i="19" s="1"/>
  <c r="V285" i="19"/>
  <c r="W285" i="19" s="1"/>
  <c r="V284" i="19"/>
  <c r="V283" i="19"/>
  <c r="X283" i="19" s="1"/>
  <c r="V282" i="19"/>
  <c r="X282" i="19" s="1"/>
  <c r="V281" i="19"/>
  <c r="V280" i="19"/>
  <c r="X280" i="19" s="1"/>
  <c r="V279" i="19"/>
  <c r="X279" i="19" s="1"/>
  <c r="V278" i="19"/>
  <c r="V277" i="19"/>
  <c r="X277" i="19" s="1"/>
  <c r="V276" i="19"/>
  <c r="V275" i="19"/>
  <c r="V274" i="19"/>
  <c r="W274" i="19" s="1"/>
  <c r="V273" i="19"/>
  <c r="V272" i="19"/>
  <c r="V271" i="19"/>
  <c r="X271" i="19" s="1"/>
  <c r="V270" i="19"/>
  <c r="X270" i="19" s="1"/>
  <c r="V269" i="19"/>
  <c r="X269" i="19" s="1"/>
  <c r="V268" i="19"/>
  <c r="V267" i="19"/>
  <c r="W267" i="19" s="1"/>
  <c r="V266" i="19"/>
  <c r="V265" i="19"/>
  <c r="X265" i="19" s="1"/>
  <c r="V264" i="19"/>
  <c r="X264" i="19" s="1"/>
  <c r="V263" i="19"/>
  <c r="X263" i="19" s="1"/>
  <c r="V262" i="19"/>
  <c r="V261" i="19"/>
  <c r="V260" i="19"/>
  <c r="W260" i="19" s="1"/>
  <c r="V259" i="19"/>
  <c r="X259" i="19" s="1"/>
  <c r="V258" i="19"/>
  <c r="W258" i="19" s="1"/>
  <c r="V257" i="19"/>
  <c r="X257" i="19" s="1"/>
  <c r="V256" i="19"/>
  <c r="X256" i="19" s="1"/>
  <c r="W255" i="19"/>
  <c r="V255" i="19"/>
  <c r="X255" i="19" s="1"/>
  <c r="V254" i="19"/>
  <c r="V253" i="19"/>
  <c r="W253" i="19" s="1"/>
  <c r="V252" i="19"/>
  <c r="V251" i="19"/>
  <c r="V250" i="19"/>
  <c r="V249" i="19"/>
  <c r="X249" i="19" s="1"/>
  <c r="V248" i="19"/>
  <c r="V247" i="19"/>
  <c r="X247" i="19" s="1"/>
  <c r="V246" i="19"/>
  <c r="V245" i="19"/>
  <c r="V244" i="19"/>
  <c r="X244" i="19" s="1"/>
  <c r="V243" i="19"/>
  <c r="V242" i="19"/>
  <c r="V241" i="19"/>
  <c r="V240" i="19"/>
  <c r="V239" i="19"/>
  <c r="V238" i="19"/>
  <c r="V237" i="19"/>
  <c r="W237" i="19" s="1"/>
  <c r="V236" i="19"/>
  <c r="V235" i="19"/>
  <c r="V234" i="19"/>
  <c r="V233" i="19"/>
  <c r="W233" i="19" s="1"/>
  <c r="V232" i="19"/>
  <c r="X232" i="19" s="1"/>
  <c r="V231" i="19"/>
  <c r="X231" i="19" s="1"/>
  <c r="V230" i="19"/>
  <c r="X230" i="19" s="1"/>
  <c r="V229" i="19"/>
  <c r="V228" i="19"/>
  <c r="V227" i="19"/>
  <c r="W227" i="19" s="1"/>
  <c r="V226" i="19"/>
  <c r="W226" i="19" s="1"/>
  <c r="V225" i="19"/>
  <c r="V224" i="19"/>
  <c r="X224" i="19" s="1"/>
  <c r="V223" i="19"/>
  <c r="X223" i="19" s="1"/>
  <c r="V222" i="19"/>
  <c r="V221" i="19"/>
  <c r="V220" i="19"/>
  <c r="V219" i="19"/>
  <c r="W219" i="19" s="1"/>
  <c r="V218" i="19"/>
  <c r="V217" i="19"/>
  <c r="X217" i="19" s="1"/>
  <c r="V216" i="19"/>
  <c r="V215" i="19"/>
  <c r="X215" i="19" s="1"/>
  <c r="V214" i="19"/>
  <c r="X214" i="19" s="1"/>
  <c r="V213" i="19"/>
  <c r="V212" i="19"/>
  <c r="X212" i="19" s="1"/>
  <c r="V211" i="19"/>
  <c r="V210" i="19"/>
  <c r="W210" i="19" s="1"/>
  <c r="V209" i="19"/>
  <c r="X209" i="19" s="1"/>
  <c r="V208" i="19"/>
  <c r="X208" i="19" s="1"/>
  <c r="V207" i="19"/>
  <c r="V206" i="19"/>
  <c r="W206" i="19" s="1"/>
  <c r="V205" i="19"/>
  <c r="X205" i="19" s="1"/>
  <c r="V204" i="19"/>
  <c r="V203" i="19"/>
  <c r="W203" i="19" s="1"/>
  <c r="V202" i="19"/>
  <c r="X202" i="19" s="1"/>
  <c r="V201" i="19"/>
  <c r="V200" i="19"/>
  <c r="V199" i="19"/>
  <c r="X199" i="19" s="1"/>
  <c r="V198" i="19"/>
  <c r="V197" i="19"/>
  <c r="V196" i="19"/>
  <c r="X196" i="19" s="1"/>
  <c r="V195" i="19"/>
  <c r="X195" i="19" s="1"/>
  <c r="V194" i="19"/>
  <c r="V193" i="19"/>
  <c r="V192" i="19"/>
  <c r="V191" i="19"/>
  <c r="W191" i="19" s="1"/>
  <c r="V190" i="19"/>
  <c r="X190" i="19" s="1"/>
  <c r="V189" i="19"/>
  <c r="W189" i="19" s="1"/>
  <c r="V188" i="19"/>
  <c r="V187" i="19"/>
  <c r="W187" i="19" s="1"/>
  <c r="V186" i="19"/>
  <c r="V185" i="19"/>
  <c r="V184" i="19"/>
  <c r="X184" i="19" s="1"/>
  <c r="V183" i="19"/>
  <c r="X183" i="19" s="1"/>
  <c r="V182" i="19"/>
  <c r="X182" i="19" s="1"/>
  <c r="V181" i="19"/>
  <c r="V180" i="19"/>
  <c r="V179" i="19"/>
  <c r="X179" i="19" s="1"/>
  <c r="V178" i="19"/>
  <c r="V177" i="19"/>
  <c r="V176" i="19"/>
  <c r="V175" i="19"/>
  <c r="X175" i="19" s="1"/>
  <c r="V174" i="19"/>
  <c r="W174" i="19" s="1"/>
  <c r="V173" i="19"/>
  <c r="V171" i="19"/>
  <c r="V170" i="19"/>
  <c r="V169" i="19"/>
  <c r="W169" i="19" s="1"/>
  <c r="V168" i="19"/>
  <c r="V167" i="19"/>
  <c r="V166" i="19"/>
  <c r="X166" i="19" s="1"/>
  <c r="V165" i="19"/>
  <c r="V164" i="19"/>
  <c r="V163" i="19"/>
  <c r="V162" i="19"/>
  <c r="V161" i="19"/>
  <c r="W161" i="19" s="1"/>
  <c r="V160" i="19"/>
  <c r="X160" i="19" s="1"/>
  <c r="V159" i="19"/>
  <c r="X159" i="19" s="1"/>
  <c r="V158" i="19"/>
  <c r="T158" i="19"/>
  <c r="V157" i="19"/>
  <c r="X157" i="19" s="1"/>
  <c r="T157" i="19"/>
  <c r="V156" i="19"/>
  <c r="X156" i="19" s="1"/>
  <c r="T156" i="19"/>
  <c r="V155" i="19"/>
  <c r="X155" i="19" s="1"/>
  <c r="T155" i="19"/>
  <c r="V154" i="19"/>
  <c r="T154" i="19"/>
  <c r="V153" i="19"/>
  <c r="T153" i="19"/>
  <c r="V152" i="19"/>
  <c r="X152" i="19" s="1"/>
  <c r="T152" i="19"/>
  <c r="V151" i="19"/>
  <c r="W151" i="19" s="1"/>
  <c r="T151" i="19"/>
  <c r="V150" i="19"/>
  <c r="T150" i="19"/>
  <c r="V149" i="19"/>
  <c r="T149" i="19"/>
  <c r="V148" i="19"/>
  <c r="X148" i="19" s="1"/>
  <c r="T148" i="19"/>
  <c r="V147" i="19"/>
  <c r="W147" i="19" s="1"/>
  <c r="T147" i="19"/>
  <c r="V146" i="19"/>
  <c r="X146" i="19" s="1"/>
  <c r="T146" i="19"/>
  <c r="V145" i="19"/>
  <c r="T145" i="19"/>
  <c r="V144" i="19"/>
  <c r="X144" i="19" s="1"/>
  <c r="T144" i="19"/>
  <c r="V143" i="19"/>
  <c r="T143" i="19"/>
  <c r="V142" i="19"/>
  <c r="X142" i="19" s="1"/>
  <c r="T142" i="19"/>
  <c r="V141" i="19"/>
  <c r="T141" i="19"/>
  <c r="V140" i="19"/>
  <c r="X140" i="19" s="1"/>
  <c r="T140" i="19"/>
  <c r="V139" i="19"/>
  <c r="W139" i="19" s="1"/>
  <c r="T139" i="19"/>
  <c r="V138" i="19"/>
  <c r="T138" i="19"/>
  <c r="V137" i="19"/>
  <c r="X137" i="19" s="1"/>
  <c r="T137" i="19"/>
  <c r="V136" i="19"/>
  <c r="X136" i="19" s="1"/>
  <c r="T136" i="19"/>
  <c r="V135" i="19"/>
  <c r="T135" i="19"/>
  <c r="V134" i="19"/>
  <c r="X134" i="19" s="1"/>
  <c r="T134" i="19"/>
  <c r="V133" i="19"/>
  <c r="W133" i="19" s="1"/>
  <c r="T133" i="19"/>
  <c r="V132" i="19"/>
  <c r="X132" i="19" s="1"/>
  <c r="T132" i="19"/>
  <c r="V131" i="19"/>
  <c r="T131" i="19"/>
  <c r="V130" i="19"/>
  <c r="T130" i="19"/>
  <c r="V129" i="19"/>
  <c r="X129" i="19" s="1"/>
  <c r="T129" i="19"/>
  <c r="V128" i="19"/>
  <c r="X128" i="19" s="1"/>
  <c r="T128" i="19"/>
  <c r="V127" i="19"/>
  <c r="X127" i="19" s="1"/>
  <c r="T127" i="19"/>
  <c r="V126" i="19"/>
  <c r="T126" i="19"/>
  <c r="V125" i="19"/>
  <c r="T125" i="19"/>
  <c r="V124" i="19"/>
  <c r="X124" i="19" s="1"/>
  <c r="T124" i="19"/>
  <c r="V123" i="19"/>
  <c r="X123" i="19" s="1"/>
  <c r="T123" i="19"/>
  <c r="V122" i="19"/>
  <c r="T122" i="19"/>
  <c r="V121" i="19"/>
  <c r="T121" i="19"/>
  <c r="V120" i="19"/>
  <c r="X120" i="19" s="1"/>
  <c r="T120" i="19"/>
  <c r="V119" i="19"/>
  <c r="X119" i="19" s="1"/>
  <c r="T119" i="19"/>
  <c r="V118" i="19"/>
  <c r="W118" i="19" s="1"/>
  <c r="T118" i="19"/>
  <c r="V117" i="19"/>
  <c r="T117" i="19"/>
  <c r="V116" i="19"/>
  <c r="X116" i="19" s="1"/>
  <c r="T116" i="19"/>
  <c r="V115" i="19"/>
  <c r="T115" i="19"/>
  <c r="V114" i="19"/>
  <c r="X114" i="19" s="1"/>
  <c r="T114" i="19"/>
  <c r="V113" i="19"/>
  <c r="T113" i="19"/>
  <c r="V112" i="19"/>
  <c r="X112" i="19" s="1"/>
  <c r="T112" i="19"/>
  <c r="V111" i="19"/>
  <c r="W111" i="19" s="1"/>
  <c r="T111" i="19"/>
  <c r="V110" i="19"/>
  <c r="T110" i="19"/>
  <c r="V109" i="19"/>
  <c r="X109" i="19" s="1"/>
  <c r="T109" i="19"/>
  <c r="V108" i="19"/>
  <c r="X108" i="19" s="1"/>
  <c r="T108" i="19"/>
  <c r="V107" i="19"/>
  <c r="T107" i="19"/>
  <c r="V106" i="19"/>
  <c r="W106" i="19" s="1"/>
  <c r="T106" i="19"/>
  <c r="V105" i="19"/>
  <c r="X105" i="19" s="1"/>
  <c r="T105" i="19"/>
  <c r="V104" i="19"/>
  <c r="X104" i="19" s="1"/>
  <c r="T104" i="19"/>
  <c r="V103" i="19"/>
  <c r="T103" i="19"/>
  <c r="V102" i="19"/>
  <c r="X102" i="19" s="1"/>
  <c r="T102" i="19"/>
  <c r="V101" i="19"/>
  <c r="T101" i="19"/>
  <c r="V100" i="19"/>
  <c r="X100" i="19" s="1"/>
  <c r="T100" i="19"/>
  <c r="V99" i="19"/>
  <c r="W99" i="19" s="1"/>
  <c r="T99" i="19"/>
  <c r="V98" i="19"/>
  <c r="T98" i="19"/>
  <c r="V97" i="19"/>
  <c r="T97" i="19"/>
  <c r="V96" i="19"/>
  <c r="X96" i="19" s="1"/>
  <c r="T96" i="19"/>
  <c r="V95" i="19"/>
  <c r="W95" i="19" s="1"/>
  <c r="T95" i="19"/>
  <c r="V94" i="19"/>
  <c r="T94" i="19"/>
  <c r="V93" i="19"/>
  <c r="T93" i="19"/>
  <c r="V92" i="19"/>
  <c r="X92" i="19" s="1"/>
  <c r="T92" i="19"/>
  <c r="V91" i="19"/>
  <c r="X91" i="19" s="1"/>
  <c r="T91" i="19"/>
  <c r="V90" i="19"/>
  <c r="W90" i="19" s="1"/>
  <c r="T90" i="19"/>
  <c r="V89" i="19"/>
  <c r="T89" i="19"/>
  <c r="V88" i="19"/>
  <c r="X88" i="19" s="1"/>
  <c r="T88" i="19"/>
  <c r="V87" i="19"/>
  <c r="T87" i="19"/>
  <c r="V86" i="19"/>
  <c r="X86" i="19" s="1"/>
  <c r="T86" i="19"/>
  <c r="V85" i="19"/>
  <c r="T85" i="19"/>
  <c r="V84" i="19"/>
  <c r="X84" i="19" s="1"/>
  <c r="T84" i="19"/>
  <c r="V83" i="19"/>
  <c r="X83" i="19" s="1"/>
  <c r="T83" i="19"/>
  <c r="V82" i="19"/>
  <c r="X82" i="19" s="1"/>
  <c r="T82" i="19"/>
  <c r="V81" i="19"/>
  <c r="T81" i="19"/>
  <c r="V80" i="19"/>
  <c r="X80" i="19" s="1"/>
  <c r="T80" i="19"/>
  <c r="V79" i="19"/>
  <c r="T79" i="19"/>
  <c r="V78" i="19"/>
  <c r="T78" i="19"/>
  <c r="V77" i="19"/>
  <c r="T77" i="19"/>
  <c r="V76" i="19"/>
  <c r="X76" i="19" s="1"/>
  <c r="T76" i="19"/>
  <c r="V75" i="19"/>
  <c r="T75" i="19"/>
  <c r="V74" i="19"/>
  <c r="W74" i="19" s="1"/>
  <c r="T74" i="19"/>
  <c r="V73" i="19"/>
  <c r="X73" i="19" s="1"/>
  <c r="T73" i="19"/>
  <c r="V72" i="19"/>
  <c r="X72" i="19" s="1"/>
  <c r="T72" i="19"/>
  <c r="V71" i="19"/>
  <c r="T71" i="19"/>
  <c r="V70" i="19"/>
  <c r="X70" i="19" s="1"/>
  <c r="T70" i="19"/>
  <c r="V69" i="19"/>
  <c r="T69" i="19"/>
  <c r="V68" i="19"/>
  <c r="X68" i="19" s="1"/>
  <c r="T68" i="19"/>
  <c r="V67" i="19"/>
  <c r="T67" i="19"/>
  <c r="V66" i="19"/>
  <c r="T66" i="19"/>
  <c r="V65" i="19"/>
  <c r="T65" i="19"/>
  <c r="V64" i="19"/>
  <c r="X64" i="19" s="1"/>
  <c r="T64" i="19"/>
  <c r="X63" i="19"/>
  <c r="V63" i="19"/>
  <c r="W63" i="19" s="1"/>
  <c r="T63" i="19"/>
  <c r="V62" i="19"/>
  <c r="T62" i="19"/>
  <c r="V61" i="19"/>
  <c r="X61" i="19" s="1"/>
  <c r="T61" i="19"/>
  <c r="V60" i="19"/>
  <c r="X60" i="19" s="1"/>
  <c r="T60" i="19"/>
  <c r="V59" i="19"/>
  <c r="X59" i="19" s="1"/>
  <c r="T59" i="19"/>
  <c r="V58" i="19"/>
  <c r="T58" i="19"/>
  <c r="V57" i="19"/>
  <c r="T57" i="19"/>
  <c r="V56" i="19"/>
  <c r="X56" i="19" s="1"/>
  <c r="T56" i="19"/>
  <c r="V55" i="19"/>
  <c r="T55" i="19"/>
  <c r="V54" i="19"/>
  <c r="X54" i="19" s="1"/>
  <c r="T54" i="19"/>
  <c r="V53" i="19"/>
  <c r="T53" i="19"/>
  <c r="V52" i="19"/>
  <c r="X52" i="19" s="1"/>
  <c r="T52" i="19"/>
  <c r="V51" i="19"/>
  <c r="X51" i="19" s="1"/>
  <c r="T51" i="19"/>
  <c r="V50" i="19"/>
  <c r="X50" i="19" s="1"/>
  <c r="T50" i="19"/>
  <c r="W49" i="19"/>
  <c r="V49" i="19"/>
  <c r="X49" i="19" s="1"/>
  <c r="T49" i="19"/>
  <c r="V48" i="19"/>
  <c r="X48" i="19" s="1"/>
  <c r="T48" i="19"/>
  <c r="V47" i="19"/>
  <c r="T47" i="19"/>
  <c r="V46" i="19"/>
  <c r="X46" i="19" s="1"/>
  <c r="T46" i="19"/>
  <c r="V45" i="19"/>
  <c r="W45" i="19" s="1"/>
  <c r="T45" i="19"/>
  <c r="V44" i="19"/>
  <c r="X44" i="19" s="1"/>
  <c r="T44" i="19"/>
  <c r="V43" i="19"/>
  <c r="W43" i="19" s="1"/>
  <c r="T43" i="19"/>
  <c r="V42" i="19"/>
  <c r="X42" i="19" s="1"/>
  <c r="T42" i="19"/>
  <c r="V41" i="19"/>
  <c r="X41" i="19" s="1"/>
  <c r="T41" i="19"/>
  <c r="V40" i="19"/>
  <c r="X40" i="19" s="1"/>
  <c r="T40" i="19"/>
  <c r="V39" i="19"/>
  <c r="T39" i="19"/>
  <c r="V38" i="19"/>
  <c r="T38" i="19"/>
  <c r="V37" i="19"/>
  <c r="X37" i="19" s="1"/>
  <c r="T37" i="19"/>
  <c r="V36" i="19"/>
  <c r="X36" i="19" s="1"/>
  <c r="T36" i="19"/>
  <c r="V35" i="19"/>
  <c r="X35" i="19" s="1"/>
  <c r="T35" i="19"/>
  <c r="V34" i="19"/>
  <c r="W34" i="19" s="1"/>
  <c r="T34" i="19"/>
  <c r="V33" i="19"/>
  <c r="X33" i="19" s="1"/>
  <c r="T33" i="19"/>
  <c r="V32" i="19"/>
  <c r="X32" i="19" s="1"/>
  <c r="T32" i="19"/>
  <c r="V31" i="19"/>
  <c r="T31" i="19"/>
  <c r="V30" i="19"/>
  <c r="T30" i="19"/>
  <c r="V29" i="19"/>
  <c r="T29" i="19"/>
  <c r="V28" i="19"/>
  <c r="X28" i="19" s="1"/>
  <c r="T28" i="19"/>
  <c r="V27" i="19"/>
  <c r="X27" i="19" s="1"/>
  <c r="T27" i="19"/>
  <c r="V26" i="19"/>
  <c r="T26" i="19"/>
  <c r="V25" i="19"/>
  <c r="T25" i="19"/>
  <c r="V24" i="19"/>
  <c r="X24" i="19" s="1"/>
  <c r="T24" i="19"/>
  <c r="V23" i="19"/>
  <c r="T23" i="19"/>
  <c r="V22" i="19"/>
  <c r="T22" i="19"/>
  <c r="V21" i="19"/>
  <c r="T21" i="19"/>
  <c r="V20" i="19"/>
  <c r="X20" i="19" s="1"/>
  <c r="T20" i="19"/>
  <c r="V19" i="19"/>
  <c r="T19" i="19"/>
  <c r="V18" i="19"/>
  <c r="X18" i="19" s="1"/>
  <c r="T18" i="19"/>
  <c r="V17" i="19"/>
  <c r="T17" i="19"/>
  <c r="E17" i="19"/>
  <c r="F17" i="19" s="1"/>
  <c r="V16" i="19"/>
  <c r="X16" i="19" s="1"/>
  <c r="T16" i="19"/>
  <c r="E16" i="19"/>
  <c r="F16" i="19" s="1"/>
  <c r="V15" i="19"/>
  <c r="W15" i="19" s="1"/>
  <c r="T15" i="19"/>
  <c r="E15" i="19"/>
  <c r="F15" i="19" s="1"/>
  <c r="V14" i="19"/>
  <c r="X14" i="19" s="1"/>
  <c r="T14" i="19"/>
  <c r="E14" i="19"/>
  <c r="F14" i="19" s="1"/>
  <c r="V13" i="19"/>
  <c r="T13" i="19"/>
  <c r="E13" i="19"/>
  <c r="F13" i="19" s="1"/>
  <c r="X12" i="19"/>
  <c r="V12" i="19"/>
  <c r="W12" i="19" s="1"/>
  <c r="T12" i="19"/>
  <c r="E12" i="19"/>
  <c r="F12" i="19" s="1"/>
  <c r="V11" i="19"/>
  <c r="X11" i="19" s="1"/>
  <c r="T11" i="19"/>
  <c r="E11" i="19"/>
  <c r="F11" i="19" s="1"/>
  <c r="V10" i="19"/>
  <c r="X10" i="19" s="1"/>
  <c r="T10" i="19"/>
  <c r="E10" i="19"/>
  <c r="F10" i="19" s="1"/>
  <c r="V9" i="19"/>
  <c r="W9" i="19" s="1"/>
  <c r="T9" i="19"/>
  <c r="E9" i="19"/>
  <c r="F9" i="19" s="1"/>
  <c r="V8" i="19"/>
  <c r="X8" i="19" s="1"/>
  <c r="T8" i="19"/>
  <c r="E8" i="19"/>
  <c r="F8" i="19" s="1"/>
  <c r="V7" i="19"/>
  <c r="T7" i="19"/>
  <c r="E7" i="19"/>
  <c r="F7" i="19" s="1"/>
  <c r="V6" i="19"/>
  <c r="X6" i="19" s="1"/>
  <c r="T6" i="19"/>
  <c r="E6" i="19"/>
  <c r="F6" i="19" s="1"/>
  <c r="V5" i="19"/>
  <c r="W5" i="19" s="1"/>
  <c r="T5" i="19"/>
  <c r="E5" i="19"/>
  <c r="F5" i="19" s="1"/>
  <c r="V4" i="19"/>
  <c r="X4" i="19" s="1"/>
  <c r="T4" i="19"/>
  <c r="E4" i="19"/>
  <c r="F4" i="19" s="1"/>
  <c r="AC500" i="42"/>
  <c r="AA500" i="42"/>
  <c r="Y500" i="42"/>
  <c r="V500" i="42"/>
  <c r="P500" i="42"/>
  <c r="AE500" i="42" s="1"/>
  <c r="AF500" i="42" s="1"/>
  <c r="AC499" i="42"/>
  <c r="AA499" i="42"/>
  <c r="Y499" i="42"/>
  <c r="AC498" i="42"/>
  <c r="AA498" i="42"/>
  <c r="Y498" i="42"/>
  <c r="V498" i="42"/>
  <c r="P498" i="42"/>
  <c r="AE498" i="42" s="1"/>
  <c r="AF498" i="42" s="1"/>
  <c r="AC497" i="42"/>
  <c r="AA497" i="42"/>
  <c r="Y497" i="42"/>
  <c r="AC496" i="42"/>
  <c r="AA496" i="42"/>
  <c r="Y496" i="42"/>
  <c r="AC495" i="42"/>
  <c r="AA495" i="42"/>
  <c r="Y495" i="42"/>
  <c r="AC494" i="42"/>
  <c r="AA494" i="42"/>
  <c r="Y494" i="42"/>
  <c r="P494" i="42"/>
  <c r="AE494" i="42" s="1"/>
  <c r="AF494" i="42" s="1"/>
  <c r="AC493" i="42"/>
  <c r="AA493" i="42"/>
  <c r="Y493" i="42"/>
  <c r="P493" i="42"/>
  <c r="AE493" i="42" s="1"/>
  <c r="AF493" i="42" s="1"/>
  <c r="AC492" i="42"/>
  <c r="AA492" i="42"/>
  <c r="Y492" i="42"/>
  <c r="AC491" i="42"/>
  <c r="AA491" i="42"/>
  <c r="Y491" i="42"/>
  <c r="AC490" i="42"/>
  <c r="AA490" i="42"/>
  <c r="Y490" i="42"/>
  <c r="V490" i="42"/>
  <c r="AC489" i="42"/>
  <c r="AA489" i="42"/>
  <c r="Y489" i="42"/>
  <c r="V489" i="42"/>
  <c r="AC488" i="42"/>
  <c r="AA488" i="42"/>
  <c r="Y488" i="42"/>
  <c r="AC487" i="42"/>
  <c r="AA487" i="42"/>
  <c r="Y487" i="42"/>
  <c r="V487" i="42"/>
  <c r="AC486" i="42"/>
  <c r="AA486" i="42"/>
  <c r="Y486" i="42"/>
  <c r="V486" i="42"/>
  <c r="P486" i="42"/>
  <c r="AE486" i="42" s="1"/>
  <c r="AF486" i="42" s="1"/>
  <c r="AC485" i="42"/>
  <c r="AA485" i="42"/>
  <c r="Y485" i="42"/>
  <c r="V485" i="42"/>
  <c r="P485" i="42"/>
  <c r="AE485" i="42" s="1"/>
  <c r="AF485" i="42" s="1"/>
  <c r="AC484" i="42"/>
  <c r="AA484" i="42"/>
  <c r="Y484" i="42"/>
  <c r="V484" i="42"/>
  <c r="P484" i="42"/>
  <c r="AE484" i="42" s="1"/>
  <c r="AF484" i="42" s="1"/>
  <c r="AC483" i="42"/>
  <c r="AA483" i="42"/>
  <c r="Y483" i="42"/>
  <c r="AC482" i="42"/>
  <c r="AA482" i="42"/>
  <c r="Y482" i="42"/>
  <c r="P482" i="42"/>
  <c r="AE482" i="42" s="1"/>
  <c r="AF482" i="42" s="1"/>
  <c r="AC481" i="42"/>
  <c r="AA481" i="42"/>
  <c r="Y481" i="42"/>
  <c r="AC480" i="42"/>
  <c r="AA480" i="42"/>
  <c r="Y480" i="42"/>
  <c r="V480" i="42"/>
  <c r="AC479" i="42"/>
  <c r="AA479" i="42"/>
  <c r="Y479" i="42"/>
  <c r="AC478" i="42"/>
  <c r="AA478" i="42"/>
  <c r="Y478" i="42"/>
  <c r="P478" i="42"/>
  <c r="AE478" i="42" s="1"/>
  <c r="AF478" i="42" s="1"/>
  <c r="AC477" i="42"/>
  <c r="AA477" i="42"/>
  <c r="Y477" i="42"/>
  <c r="V477" i="42"/>
  <c r="P477" i="42"/>
  <c r="AE477" i="42" s="1"/>
  <c r="AF477" i="42" s="1"/>
  <c r="AC476" i="42"/>
  <c r="AA476" i="42"/>
  <c r="Y476" i="42"/>
  <c r="AC475" i="42"/>
  <c r="AA475" i="42"/>
  <c r="Y475" i="42"/>
  <c r="AC474" i="42"/>
  <c r="AA474" i="42"/>
  <c r="Y474" i="42"/>
  <c r="AC473" i="42"/>
  <c r="AA473" i="42"/>
  <c r="Y473" i="42"/>
  <c r="V473" i="42"/>
  <c r="P473" i="42"/>
  <c r="AE473" i="42" s="1"/>
  <c r="AF473" i="42" s="1"/>
  <c r="AC472" i="42"/>
  <c r="AA472" i="42"/>
  <c r="Y472" i="42"/>
  <c r="V472" i="42"/>
  <c r="P472" i="42"/>
  <c r="AE472" i="42" s="1"/>
  <c r="AF472" i="42" s="1"/>
  <c r="AC471" i="42"/>
  <c r="AA471" i="42"/>
  <c r="Y471" i="42"/>
  <c r="V471" i="42"/>
  <c r="AC470" i="42"/>
  <c r="AA470" i="42"/>
  <c r="Y470" i="42"/>
  <c r="P470" i="42"/>
  <c r="AE470" i="42" s="1"/>
  <c r="AF470" i="42" s="1"/>
  <c r="AC469" i="42"/>
  <c r="AA469" i="42"/>
  <c r="Y469" i="42"/>
  <c r="V469" i="42"/>
  <c r="P469" i="42"/>
  <c r="AE469" i="42" s="1"/>
  <c r="AF469" i="42" s="1"/>
  <c r="AC468" i="42"/>
  <c r="AA468" i="42"/>
  <c r="Y468" i="42"/>
  <c r="V468" i="42"/>
  <c r="P468" i="42"/>
  <c r="AE468" i="42" s="1"/>
  <c r="AF468" i="42" s="1"/>
  <c r="AC467" i="42"/>
  <c r="AA467" i="42"/>
  <c r="Y467" i="42"/>
  <c r="AC466" i="42"/>
  <c r="AA466" i="42"/>
  <c r="Y466" i="42"/>
  <c r="V466" i="42"/>
  <c r="P466" i="42"/>
  <c r="AE466" i="42" s="1"/>
  <c r="AF466" i="42" s="1"/>
  <c r="AC465" i="42"/>
  <c r="AA465" i="42"/>
  <c r="Y465" i="42"/>
  <c r="V465" i="42"/>
  <c r="AC464" i="42"/>
  <c r="AA464" i="42"/>
  <c r="Y464" i="42"/>
  <c r="AC463" i="42"/>
  <c r="AA463" i="42"/>
  <c r="Y463" i="42"/>
  <c r="V463" i="42"/>
  <c r="P463" i="42"/>
  <c r="AE463" i="42" s="1"/>
  <c r="AF463" i="42" s="1"/>
  <c r="AC462" i="42"/>
  <c r="AA462" i="42"/>
  <c r="Y462" i="42"/>
  <c r="AC461" i="42"/>
  <c r="AA461" i="42"/>
  <c r="Y461" i="42"/>
  <c r="P461" i="42"/>
  <c r="AE461" i="42" s="1"/>
  <c r="AF461" i="42" s="1"/>
  <c r="AC460" i="42"/>
  <c r="AA460" i="42"/>
  <c r="Y460" i="42"/>
  <c r="AC459" i="42"/>
  <c r="AA459" i="42"/>
  <c r="Y459" i="42"/>
  <c r="AC458" i="42"/>
  <c r="AA458" i="42"/>
  <c r="Y458" i="42"/>
  <c r="V458" i="42"/>
  <c r="AC457" i="42"/>
  <c r="AA457" i="42"/>
  <c r="Y457" i="42"/>
  <c r="V457" i="42"/>
  <c r="AC456" i="42"/>
  <c r="AA456" i="42"/>
  <c r="Y456" i="42"/>
  <c r="V456" i="42"/>
  <c r="P456" i="42"/>
  <c r="AE456" i="42" s="1"/>
  <c r="AF456" i="42" s="1"/>
  <c r="AC455" i="42"/>
  <c r="AA455" i="42"/>
  <c r="Y455" i="42"/>
  <c r="AC454" i="42"/>
  <c r="AA454" i="42"/>
  <c r="Y454" i="42"/>
  <c r="V454" i="42"/>
  <c r="AC453" i="42"/>
  <c r="AA453" i="42"/>
  <c r="Y453" i="42"/>
  <c r="V453" i="42"/>
  <c r="AC452" i="42"/>
  <c r="AA452" i="42"/>
  <c r="Y452" i="42"/>
  <c r="V452" i="42"/>
  <c r="P452" i="42"/>
  <c r="AE452" i="42" s="1"/>
  <c r="AF452" i="42" s="1"/>
  <c r="AC451" i="42"/>
  <c r="AA451" i="42"/>
  <c r="Y451" i="42"/>
  <c r="P451" i="42"/>
  <c r="AE451" i="42" s="1"/>
  <c r="AF451" i="42" s="1"/>
  <c r="AC450" i="42"/>
  <c r="AA450" i="42"/>
  <c r="Y450" i="42"/>
  <c r="P450" i="42"/>
  <c r="AE450" i="42" s="1"/>
  <c r="AF450" i="42" s="1"/>
  <c r="AC449" i="42"/>
  <c r="AA449" i="42"/>
  <c r="Y449" i="42"/>
  <c r="V449" i="42"/>
  <c r="AC448" i="42"/>
  <c r="AA448" i="42"/>
  <c r="Y448" i="42"/>
  <c r="AC447" i="42"/>
  <c r="AA447" i="42"/>
  <c r="Y447" i="42"/>
  <c r="AC446" i="42"/>
  <c r="AA446" i="42"/>
  <c r="Y446" i="42"/>
  <c r="AC445" i="42"/>
  <c r="AA445" i="42"/>
  <c r="Y445" i="42"/>
  <c r="AC444" i="42"/>
  <c r="AA444" i="42"/>
  <c r="Y444" i="42"/>
  <c r="AC443" i="42"/>
  <c r="AA443" i="42"/>
  <c r="Y443" i="42"/>
  <c r="AC442" i="42"/>
  <c r="AA442" i="42"/>
  <c r="Y442" i="42"/>
  <c r="V442" i="42"/>
  <c r="P442" i="42"/>
  <c r="AE442" i="42" s="1"/>
  <c r="AF442" i="42" s="1"/>
  <c r="AC441" i="42"/>
  <c r="AA441" i="42"/>
  <c r="Y441" i="42"/>
  <c r="V441" i="42"/>
  <c r="AC440" i="42"/>
  <c r="AA440" i="42"/>
  <c r="Y440" i="42"/>
  <c r="AC439" i="42"/>
  <c r="AA439" i="42"/>
  <c r="Y439" i="42"/>
  <c r="V439" i="42"/>
  <c r="P439" i="42"/>
  <c r="AE439" i="42" s="1"/>
  <c r="AF439" i="42" s="1"/>
  <c r="AC438" i="42"/>
  <c r="AA438" i="42"/>
  <c r="Y438" i="42"/>
  <c r="V438" i="42"/>
  <c r="AC437" i="42"/>
  <c r="AA437" i="42"/>
  <c r="Y437" i="42"/>
  <c r="V437" i="42"/>
  <c r="AC436" i="42"/>
  <c r="AA436" i="42"/>
  <c r="Y436" i="42"/>
  <c r="P436" i="42"/>
  <c r="AE436" i="42" s="1"/>
  <c r="AF436" i="42" s="1"/>
  <c r="AC435" i="42"/>
  <c r="AA435" i="42"/>
  <c r="Y435" i="42"/>
  <c r="AC434" i="42"/>
  <c r="AA434" i="42"/>
  <c r="Y434" i="42"/>
  <c r="V434" i="42"/>
  <c r="P434" i="42"/>
  <c r="AE434" i="42" s="1"/>
  <c r="AF434" i="42" s="1"/>
  <c r="AC433" i="42"/>
  <c r="AA433" i="42"/>
  <c r="Y433" i="42"/>
  <c r="AC432" i="42"/>
  <c r="AA432" i="42"/>
  <c r="Y432" i="42"/>
  <c r="V432" i="42"/>
  <c r="AC431" i="42"/>
  <c r="AA431" i="42"/>
  <c r="Y431" i="42"/>
  <c r="V431" i="42"/>
  <c r="AC430" i="42"/>
  <c r="AA430" i="42"/>
  <c r="Y430" i="42"/>
  <c r="AC429" i="42"/>
  <c r="AA429" i="42"/>
  <c r="Y429" i="42"/>
  <c r="AC428" i="42"/>
  <c r="AA428" i="42"/>
  <c r="Y428" i="42"/>
  <c r="AC427" i="42"/>
  <c r="AA427" i="42"/>
  <c r="Y427" i="42"/>
  <c r="P427" i="42"/>
  <c r="AE427" i="42" s="1"/>
  <c r="AF427" i="42" s="1"/>
  <c r="AC426" i="42"/>
  <c r="AA426" i="42"/>
  <c r="Y426" i="42"/>
  <c r="AC425" i="42"/>
  <c r="AA425" i="42"/>
  <c r="Y425" i="42"/>
  <c r="V425" i="42"/>
  <c r="AC424" i="42"/>
  <c r="AA424" i="42"/>
  <c r="Y424" i="42"/>
  <c r="P424" i="42"/>
  <c r="AE424" i="42" s="1"/>
  <c r="AF424" i="42" s="1"/>
  <c r="AC423" i="42"/>
  <c r="AA423" i="42"/>
  <c r="Y423" i="42"/>
  <c r="V423" i="42"/>
  <c r="AC422" i="42"/>
  <c r="AA422" i="42"/>
  <c r="Y422" i="42"/>
  <c r="V422" i="42"/>
  <c r="AC421" i="42"/>
  <c r="AA421" i="42"/>
  <c r="Y421" i="42"/>
  <c r="V421" i="42"/>
  <c r="P421" i="42"/>
  <c r="AE421" i="42" s="1"/>
  <c r="AF421" i="42" s="1"/>
  <c r="AC420" i="42"/>
  <c r="AA420" i="42"/>
  <c r="Y420" i="42"/>
  <c r="V420" i="42"/>
  <c r="P420" i="42"/>
  <c r="AE420" i="42" s="1"/>
  <c r="AF420" i="42" s="1"/>
  <c r="AC419" i="42"/>
  <c r="AA419" i="42"/>
  <c r="Y419" i="42"/>
  <c r="AC418" i="42"/>
  <c r="AA418" i="42"/>
  <c r="Y418" i="42"/>
  <c r="V418" i="42"/>
  <c r="P418" i="42"/>
  <c r="AE418" i="42" s="1"/>
  <c r="AF418" i="42" s="1"/>
  <c r="AC417" i="42"/>
  <c r="AA417" i="42"/>
  <c r="Y417" i="42"/>
  <c r="AC416" i="42"/>
  <c r="AA416" i="42"/>
  <c r="Y416" i="42"/>
  <c r="V416" i="42"/>
  <c r="AC415" i="42"/>
  <c r="AA415" i="42"/>
  <c r="Y415" i="42"/>
  <c r="V415" i="42"/>
  <c r="AC414" i="42"/>
  <c r="AA414" i="42"/>
  <c r="Y414" i="42"/>
  <c r="AC413" i="42"/>
  <c r="AA413" i="42"/>
  <c r="Y413" i="42"/>
  <c r="V413" i="42"/>
  <c r="P413" i="42"/>
  <c r="AE413" i="42" s="1"/>
  <c r="AF413" i="42" s="1"/>
  <c r="AC412" i="42"/>
  <c r="AA412" i="42"/>
  <c r="Y412" i="42"/>
  <c r="AC411" i="42"/>
  <c r="AA411" i="42"/>
  <c r="Y411" i="42"/>
  <c r="V411" i="42"/>
  <c r="AC410" i="42"/>
  <c r="AA410" i="42"/>
  <c r="Y410" i="42"/>
  <c r="V410" i="42"/>
  <c r="AC409" i="42"/>
  <c r="AA409" i="42"/>
  <c r="Y409" i="42"/>
  <c r="V409" i="42"/>
  <c r="AC408" i="42"/>
  <c r="AA408" i="42"/>
  <c r="Y408" i="42"/>
  <c r="V408" i="42"/>
  <c r="P408" i="42"/>
  <c r="AE408" i="42" s="1"/>
  <c r="AF408" i="42" s="1"/>
  <c r="AC407" i="42"/>
  <c r="AA407" i="42"/>
  <c r="Y407" i="42"/>
  <c r="V407" i="42"/>
  <c r="AC406" i="42"/>
  <c r="AA406" i="42"/>
  <c r="Y406" i="42"/>
  <c r="P406" i="42"/>
  <c r="AE406" i="42" s="1"/>
  <c r="AF406" i="42" s="1"/>
  <c r="AC405" i="42"/>
  <c r="AA405" i="42"/>
  <c r="Y405" i="42"/>
  <c r="V405" i="42"/>
  <c r="P405" i="42"/>
  <c r="AE405" i="42" s="1"/>
  <c r="AF405" i="42" s="1"/>
  <c r="AC404" i="42"/>
  <c r="AA404" i="42"/>
  <c r="Y404" i="42"/>
  <c r="V404" i="42"/>
  <c r="P404" i="42"/>
  <c r="AE404" i="42" s="1"/>
  <c r="AF404" i="42" s="1"/>
  <c r="AC403" i="42"/>
  <c r="AA403" i="42"/>
  <c r="Y403" i="42"/>
  <c r="V403" i="42"/>
  <c r="AC402" i="42"/>
  <c r="AA402" i="42"/>
  <c r="Y402" i="42"/>
  <c r="P402" i="42"/>
  <c r="AE402" i="42" s="1"/>
  <c r="AF402" i="42" s="1"/>
  <c r="AC401" i="42"/>
  <c r="AA401" i="42"/>
  <c r="Y401" i="42"/>
  <c r="AC400" i="42"/>
  <c r="AA400" i="42"/>
  <c r="Y400" i="42"/>
  <c r="V400" i="42"/>
  <c r="AC399" i="42"/>
  <c r="AA399" i="42"/>
  <c r="Y399" i="42"/>
  <c r="V399" i="42"/>
  <c r="AC398" i="42"/>
  <c r="AA398" i="42"/>
  <c r="Y398" i="42"/>
  <c r="V398" i="42"/>
  <c r="AC397" i="42"/>
  <c r="AA397" i="42"/>
  <c r="Y397" i="42"/>
  <c r="P397" i="42"/>
  <c r="AE397" i="42" s="1"/>
  <c r="AF397" i="42" s="1"/>
  <c r="AC396" i="42"/>
  <c r="AA396" i="42"/>
  <c r="Y396" i="42"/>
  <c r="AC395" i="42"/>
  <c r="AA395" i="42"/>
  <c r="Y395" i="42"/>
  <c r="P395" i="42"/>
  <c r="AE395" i="42" s="1"/>
  <c r="AF395" i="42" s="1"/>
  <c r="AC394" i="42"/>
  <c r="AA394" i="42"/>
  <c r="Y394" i="42"/>
  <c r="AC393" i="42"/>
  <c r="AA393" i="42"/>
  <c r="Y393" i="42"/>
  <c r="V393" i="42"/>
  <c r="AC392" i="42"/>
  <c r="AA392" i="42"/>
  <c r="Y392" i="42"/>
  <c r="V392" i="42"/>
  <c r="AC391" i="42"/>
  <c r="AA391" i="42"/>
  <c r="Y391" i="42"/>
  <c r="V391" i="42"/>
  <c r="AC390" i="42"/>
  <c r="AA390" i="42"/>
  <c r="Y390" i="42"/>
  <c r="V390" i="42"/>
  <c r="AC389" i="42"/>
  <c r="AA389" i="42"/>
  <c r="Y389" i="42"/>
  <c r="P389" i="42"/>
  <c r="AE389" i="42" s="1"/>
  <c r="AF389" i="42" s="1"/>
  <c r="AC388" i="42"/>
  <c r="AA388" i="42"/>
  <c r="Y388" i="42"/>
  <c r="V388" i="42"/>
  <c r="P388" i="42"/>
  <c r="AE388" i="42" s="1"/>
  <c r="AF388" i="42" s="1"/>
  <c r="AC387" i="42"/>
  <c r="AA387" i="42"/>
  <c r="Y387" i="42"/>
  <c r="P387" i="42"/>
  <c r="AE387" i="42" s="1"/>
  <c r="AF387" i="42" s="1"/>
  <c r="AC386" i="42"/>
  <c r="AA386" i="42"/>
  <c r="Y386" i="42"/>
  <c r="V386" i="42"/>
  <c r="P386" i="42"/>
  <c r="AE386" i="42" s="1"/>
  <c r="AF386" i="42" s="1"/>
  <c r="AC385" i="42"/>
  <c r="AA385" i="42"/>
  <c r="Y385" i="42"/>
  <c r="AC384" i="42"/>
  <c r="AA384" i="42"/>
  <c r="Y384" i="42"/>
  <c r="AC383" i="42"/>
  <c r="AA383" i="42"/>
  <c r="Y383" i="42"/>
  <c r="P383" i="42"/>
  <c r="AE383" i="42" s="1"/>
  <c r="AF383" i="42" s="1"/>
  <c r="AC382" i="42"/>
  <c r="AA382" i="42"/>
  <c r="Y382" i="42"/>
  <c r="AC381" i="42"/>
  <c r="AA381" i="42"/>
  <c r="Y381" i="42"/>
  <c r="P381" i="42"/>
  <c r="AE381" i="42" s="1"/>
  <c r="AF381" i="42" s="1"/>
  <c r="AC380" i="42"/>
  <c r="AA380" i="42"/>
  <c r="Y380" i="42"/>
  <c r="AC379" i="42"/>
  <c r="AA379" i="42"/>
  <c r="Y379" i="42"/>
  <c r="V379" i="42"/>
  <c r="AC378" i="42"/>
  <c r="AA378" i="42"/>
  <c r="Y378" i="42"/>
  <c r="AC377" i="42"/>
  <c r="AA377" i="42"/>
  <c r="Y377" i="42"/>
  <c r="P377" i="42"/>
  <c r="AE377" i="42" s="1"/>
  <c r="AF377" i="42" s="1"/>
  <c r="AC376" i="42"/>
  <c r="AA376" i="42"/>
  <c r="Y376" i="42"/>
  <c r="AC375" i="42"/>
  <c r="AA375" i="42"/>
  <c r="Y375" i="42"/>
  <c r="V375" i="42"/>
  <c r="AC374" i="42"/>
  <c r="AA374" i="42"/>
  <c r="Y374" i="42"/>
  <c r="V374" i="42"/>
  <c r="AC373" i="42"/>
  <c r="AA373" i="42"/>
  <c r="Y373" i="42"/>
  <c r="V373" i="42"/>
  <c r="P373" i="42"/>
  <c r="AE373" i="42" s="1"/>
  <c r="AF373" i="42" s="1"/>
  <c r="AC372" i="42"/>
  <c r="AA372" i="42"/>
  <c r="Y372" i="42"/>
  <c r="V372" i="42"/>
  <c r="P372" i="42"/>
  <c r="AE372" i="42" s="1"/>
  <c r="AF372" i="42" s="1"/>
  <c r="AC371" i="42"/>
  <c r="AA371" i="42"/>
  <c r="Y371" i="42"/>
  <c r="AC370" i="42"/>
  <c r="AA370" i="42"/>
  <c r="Y370" i="42"/>
  <c r="V370" i="42"/>
  <c r="P370" i="42"/>
  <c r="AE370" i="42" s="1"/>
  <c r="AF370" i="42" s="1"/>
  <c r="AC369" i="42"/>
  <c r="AA369" i="42"/>
  <c r="Y369" i="42"/>
  <c r="AC368" i="42"/>
  <c r="AA368" i="42"/>
  <c r="Y368" i="42"/>
  <c r="V368" i="42"/>
  <c r="AC367" i="42"/>
  <c r="AA367" i="42"/>
  <c r="Y367" i="42"/>
  <c r="V367" i="42"/>
  <c r="P367" i="42"/>
  <c r="AE367" i="42" s="1"/>
  <c r="AF367" i="42" s="1"/>
  <c r="AC366" i="42"/>
  <c r="AA366" i="42"/>
  <c r="Y366" i="42"/>
  <c r="AC365" i="42"/>
  <c r="AA365" i="42"/>
  <c r="Y365" i="42"/>
  <c r="P365" i="42"/>
  <c r="AE365" i="42" s="1"/>
  <c r="AF365" i="42" s="1"/>
  <c r="AC364" i="42"/>
  <c r="AA364" i="42"/>
  <c r="Y364" i="42"/>
  <c r="AC363" i="42"/>
  <c r="AA363" i="42"/>
  <c r="Y363" i="42"/>
  <c r="V363" i="42"/>
  <c r="P363" i="42"/>
  <c r="AE363" i="42" s="1"/>
  <c r="AF363" i="42" s="1"/>
  <c r="AC362" i="42"/>
  <c r="AA362" i="42"/>
  <c r="Y362" i="42"/>
  <c r="P362" i="42"/>
  <c r="AE362" i="42" s="1"/>
  <c r="AF362" i="42" s="1"/>
  <c r="AC361" i="42"/>
  <c r="AA361" i="42"/>
  <c r="Y361" i="42"/>
  <c r="AC360" i="42"/>
  <c r="AA360" i="42"/>
  <c r="Y360" i="42"/>
  <c r="V360" i="42"/>
  <c r="P360" i="42"/>
  <c r="AE360" i="42" s="1"/>
  <c r="AF360" i="42" s="1"/>
  <c r="AC359" i="42"/>
  <c r="AA359" i="42"/>
  <c r="Y359" i="42"/>
  <c r="V359" i="42"/>
  <c r="AC358" i="42"/>
  <c r="AA358" i="42"/>
  <c r="Y358" i="42"/>
  <c r="P358" i="42"/>
  <c r="AE358" i="42" s="1"/>
  <c r="AF358" i="42" s="1"/>
  <c r="AC357" i="42"/>
  <c r="AA357" i="42"/>
  <c r="Y357" i="42"/>
  <c r="V357" i="42"/>
  <c r="P357" i="42"/>
  <c r="AE357" i="42" s="1"/>
  <c r="AF357" i="42" s="1"/>
  <c r="AC356" i="42"/>
  <c r="AA356" i="42"/>
  <c r="Y356" i="42"/>
  <c r="V356" i="42"/>
  <c r="P356" i="42"/>
  <c r="AE356" i="42" s="1"/>
  <c r="AF356" i="42" s="1"/>
  <c r="AC355" i="42"/>
  <c r="AA355" i="42"/>
  <c r="Y355" i="42"/>
  <c r="V355" i="42"/>
  <c r="P355" i="42"/>
  <c r="AE355" i="42" s="1"/>
  <c r="AF355" i="42" s="1"/>
  <c r="AC354" i="42"/>
  <c r="AA354" i="42"/>
  <c r="Y354" i="42"/>
  <c r="P354" i="42"/>
  <c r="AE354" i="42" s="1"/>
  <c r="AF354" i="42" s="1"/>
  <c r="AC353" i="42"/>
  <c r="AA353" i="42"/>
  <c r="Y353" i="42"/>
  <c r="AC352" i="42"/>
  <c r="AA352" i="42"/>
  <c r="Y352" i="42"/>
  <c r="V352" i="42"/>
  <c r="AC351" i="42"/>
  <c r="AA351" i="42"/>
  <c r="Y351" i="42"/>
  <c r="V351" i="42"/>
  <c r="AC350" i="42"/>
  <c r="AA350" i="42"/>
  <c r="Y350" i="42"/>
  <c r="AC349" i="42"/>
  <c r="AA349" i="42"/>
  <c r="Y349" i="42"/>
  <c r="V349" i="42"/>
  <c r="P349" i="42"/>
  <c r="AE349" i="42" s="1"/>
  <c r="AF349" i="42" s="1"/>
  <c r="AC348" i="42"/>
  <c r="AA348" i="42"/>
  <c r="Y348" i="42"/>
  <c r="V348" i="42"/>
  <c r="AC347" i="42"/>
  <c r="AA347" i="42"/>
  <c r="Y347" i="42"/>
  <c r="AC346" i="42"/>
  <c r="AA346" i="42"/>
  <c r="Y346" i="42"/>
  <c r="V346" i="42"/>
  <c r="P346" i="42"/>
  <c r="AE346" i="42" s="1"/>
  <c r="AF346" i="42" s="1"/>
  <c r="AC345" i="42"/>
  <c r="AA345" i="42"/>
  <c r="Y345" i="42"/>
  <c r="P345" i="42"/>
  <c r="AE345" i="42" s="1"/>
  <c r="AF345" i="42" s="1"/>
  <c r="AC344" i="42"/>
  <c r="AA344" i="42"/>
  <c r="Y344" i="42"/>
  <c r="V344" i="42"/>
  <c r="AC343" i="42"/>
  <c r="AA343" i="42"/>
  <c r="Y343" i="42"/>
  <c r="V343" i="42"/>
  <c r="AC342" i="42"/>
  <c r="AA342" i="42"/>
  <c r="Y342" i="42"/>
  <c r="AC341" i="42"/>
  <c r="AA341" i="42"/>
  <c r="Y341" i="42"/>
  <c r="V341" i="42"/>
  <c r="P341" i="42"/>
  <c r="AE341" i="42" s="1"/>
  <c r="AF341" i="42" s="1"/>
  <c r="AC340" i="42"/>
  <c r="AA340" i="42"/>
  <c r="Y340" i="42"/>
  <c r="V340" i="42"/>
  <c r="P340" i="42"/>
  <c r="AE340" i="42" s="1"/>
  <c r="AF340" i="42" s="1"/>
  <c r="AC339" i="42"/>
  <c r="AA339" i="42"/>
  <c r="Y339" i="42"/>
  <c r="V339" i="42"/>
  <c r="P339" i="42"/>
  <c r="AE339" i="42" s="1"/>
  <c r="AF339" i="42" s="1"/>
  <c r="AC338" i="42"/>
  <c r="AA338" i="42"/>
  <c r="Y338" i="42"/>
  <c r="V338" i="42"/>
  <c r="P338" i="42"/>
  <c r="AE338" i="42" s="1"/>
  <c r="AF338" i="42" s="1"/>
  <c r="AC337" i="42"/>
  <c r="AA337" i="42"/>
  <c r="Y337" i="42"/>
  <c r="AC336" i="42"/>
  <c r="AA336" i="42"/>
  <c r="Y336" i="42"/>
  <c r="V336" i="42"/>
  <c r="AC335" i="42"/>
  <c r="AA335" i="42"/>
  <c r="Y335" i="42"/>
  <c r="V335" i="42"/>
  <c r="AC334" i="42"/>
  <c r="AA334" i="42"/>
  <c r="Y334" i="42"/>
  <c r="P334" i="42"/>
  <c r="AE334" i="42" s="1"/>
  <c r="AF334" i="42" s="1"/>
  <c r="AC333" i="42"/>
  <c r="AA333" i="42"/>
  <c r="Y333" i="42"/>
  <c r="V333" i="42"/>
  <c r="P333" i="42"/>
  <c r="AE333" i="42" s="1"/>
  <c r="AF333" i="42" s="1"/>
  <c r="AC332" i="42"/>
  <c r="AA332" i="42"/>
  <c r="Y332" i="42"/>
  <c r="AC331" i="42"/>
  <c r="AA331" i="42"/>
  <c r="Y331" i="42"/>
  <c r="V331" i="42"/>
  <c r="AC330" i="42"/>
  <c r="AA330" i="42"/>
  <c r="Y330" i="42"/>
  <c r="V330" i="42"/>
  <c r="P330" i="42"/>
  <c r="AE330" i="42" s="1"/>
  <c r="AF330" i="42" s="1"/>
  <c r="AC329" i="42"/>
  <c r="AA329" i="42"/>
  <c r="Y329" i="42"/>
  <c r="V329" i="42"/>
  <c r="AC328" i="42"/>
  <c r="AA328" i="42"/>
  <c r="Y328" i="42"/>
  <c r="AC327" i="42"/>
  <c r="AA327" i="42"/>
  <c r="Y327" i="42"/>
  <c r="AC326" i="42"/>
  <c r="AA326" i="42"/>
  <c r="Y326" i="42"/>
  <c r="V326" i="42"/>
  <c r="AC325" i="42"/>
  <c r="AA325" i="42"/>
  <c r="Y325" i="42"/>
  <c r="V325" i="42"/>
  <c r="P325" i="42"/>
  <c r="AE325" i="42" s="1"/>
  <c r="AF325" i="42" s="1"/>
  <c r="AC324" i="42"/>
  <c r="AA324" i="42"/>
  <c r="Y324" i="42"/>
  <c r="P324" i="42"/>
  <c r="AE324" i="42" s="1"/>
  <c r="AF324" i="42" s="1"/>
  <c r="AC323" i="42"/>
  <c r="AA323" i="42"/>
  <c r="Y323" i="42"/>
  <c r="V323" i="42"/>
  <c r="P323" i="42"/>
  <c r="AE323" i="42" s="1"/>
  <c r="AF323" i="42" s="1"/>
  <c r="AC322" i="42"/>
  <c r="AA322" i="42"/>
  <c r="Y322" i="42"/>
  <c r="P322" i="42"/>
  <c r="AE322" i="42" s="1"/>
  <c r="AF322" i="42" s="1"/>
  <c r="AC321" i="42"/>
  <c r="AA321" i="42"/>
  <c r="Y321" i="42"/>
  <c r="V321" i="42"/>
  <c r="AC320" i="42"/>
  <c r="AA320" i="42"/>
  <c r="Y320" i="42"/>
  <c r="AC319" i="42"/>
  <c r="AA319" i="42"/>
  <c r="Y319" i="42"/>
  <c r="V319" i="42"/>
  <c r="P319" i="42"/>
  <c r="AE319" i="42" s="1"/>
  <c r="AF319" i="42" s="1"/>
  <c r="AC318" i="42"/>
  <c r="AA318" i="42"/>
  <c r="Y318" i="42"/>
  <c r="AC317" i="42"/>
  <c r="AA317" i="42"/>
  <c r="Y317" i="42"/>
  <c r="AC316" i="42"/>
  <c r="AA316" i="42"/>
  <c r="Y316" i="42"/>
  <c r="AC315" i="42"/>
  <c r="AA315" i="42"/>
  <c r="Y315" i="42"/>
  <c r="AC314" i="42"/>
  <c r="AA314" i="42"/>
  <c r="Y314" i="42"/>
  <c r="P314" i="42"/>
  <c r="AE314" i="42" s="1"/>
  <c r="AF314" i="42" s="1"/>
  <c r="AC313" i="42"/>
  <c r="AA313" i="42"/>
  <c r="Y313" i="42"/>
  <c r="AC312" i="42"/>
  <c r="AA312" i="42"/>
  <c r="Y312" i="42"/>
  <c r="P312" i="42"/>
  <c r="AE312" i="42" s="1"/>
  <c r="AF312" i="42" s="1"/>
  <c r="AC311" i="42"/>
  <c r="AA311" i="42"/>
  <c r="Y311" i="42"/>
  <c r="AC310" i="42"/>
  <c r="AA310" i="42"/>
  <c r="Y310" i="42"/>
  <c r="P310" i="42"/>
  <c r="AE310" i="42" s="1"/>
  <c r="AF310" i="42" s="1"/>
  <c r="AC309" i="42"/>
  <c r="AA309" i="42"/>
  <c r="Y309" i="42"/>
  <c r="P309" i="42"/>
  <c r="AE309" i="42" s="1"/>
  <c r="AF309" i="42" s="1"/>
  <c r="AC308" i="42"/>
  <c r="AA308" i="42"/>
  <c r="Y308" i="42"/>
  <c r="P308" i="42"/>
  <c r="AE308" i="42" s="1"/>
  <c r="AF308" i="42" s="1"/>
  <c r="AC307" i="42"/>
  <c r="AA307" i="42"/>
  <c r="Y307" i="42"/>
  <c r="V307" i="42"/>
  <c r="P307" i="42"/>
  <c r="AE307" i="42" s="1"/>
  <c r="AF307" i="42" s="1"/>
  <c r="AC306" i="42"/>
  <c r="AA306" i="42"/>
  <c r="Y306" i="42"/>
  <c r="P306" i="42"/>
  <c r="AE306" i="42" s="1"/>
  <c r="AF306" i="42" s="1"/>
  <c r="AC305" i="42"/>
  <c r="AA305" i="42"/>
  <c r="Y305" i="42"/>
  <c r="V305" i="42"/>
  <c r="AC304" i="42"/>
  <c r="AA304" i="42"/>
  <c r="Y304" i="42"/>
  <c r="V304" i="42"/>
  <c r="AC303" i="42"/>
  <c r="AA303" i="42"/>
  <c r="Y303" i="42"/>
  <c r="P303" i="42"/>
  <c r="AE303" i="42" s="1"/>
  <c r="AF303" i="42" s="1"/>
  <c r="AC302" i="42"/>
  <c r="AA302" i="42"/>
  <c r="Y302" i="42"/>
  <c r="AC301" i="42"/>
  <c r="AA301" i="42"/>
  <c r="Y301" i="42"/>
  <c r="V301" i="42"/>
  <c r="P301" i="42"/>
  <c r="AE301" i="42" s="1"/>
  <c r="AF301" i="42" s="1"/>
  <c r="AC300" i="42"/>
  <c r="AA300" i="42"/>
  <c r="Y300" i="42"/>
  <c r="AC299" i="42"/>
  <c r="AA299" i="42"/>
  <c r="Y299" i="42"/>
  <c r="AC298" i="42"/>
  <c r="AA298" i="42"/>
  <c r="Y298" i="42"/>
  <c r="P298" i="42"/>
  <c r="AE298" i="42" s="1"/>
  <c r="AF298" i="42" s="1"/>
  <c r="AC297" i="42"/>
  <c r="AA297" i="42"/>
  <c r="Y297" i="42"/>
  <c r="AC296" i="42"/>
  <c r="AA296" i="42"/>
  <c r="Y296" i="42"/>
  <c r="V296" i="42"/>
  <c r="P296" i="42"/>
  <c r="AE296" i="42" s="1"/>
  <c r="AF296" i="42" s="1"/>
  <c r="AC295" i="42"/>
  <c r="AA295" i="42"/>
  <c r="Y295" i="42"/>
  <c r="P295" i="42"/>
  <c r="AE295" i="42" s="1"/>
  <c r="AF295" i="42" s="1"/>
  <c r="AC294" i="42"/>
  <c r="AA294" i="42"/>
  <c r="Y294" i="42"/>
  <c r="V294" i="42"/>
  <c r="AC293" i="42"/>
  <c r="AA293" i="42"/>
  <c r="Y293" i="42"/>
  <c r="AC292" i="42"/>
  <c r="AA292" i="42"/>
  <c r="Y292" i="42"/>
  <c r="P292" i="42"/>
  <c r="AE292" i="42" s="1"/>
  <c r="AF292" i="42" s="1"/>
  <c r="AC291" i="42"/>
  <c r="AA291" i="42"/>
  <c r="Y291" i="42"/>
  <c r="V291" i="42"/>
  <c r="P291" i="42"/>
  <c r="AE291" i="42" s="1"/>
  <c r="AF291" i="42" s="1"/>
  <c r="AC290" i="42"/>
  <c r="AA290" i="42"/>
  <c r="Y290" i="42"/>
  <c r="P290" i="42"/>
  <c r="AE290" i="42" s="1"/>
  <c r="AF290" i="42" s="1"/>
  <c r="AC289" i="42"/>
  <c r="AA289" i="42"/>
  <c r="Y289" i="42"/>
  <c r="AC288" i="42"/>
  <c r="AA288" i="42"/>
  <c r="Y288" i="42"/>
  <c r="V288" i="42"/>
  <c r="AC287" i="42"/>
  <c r="AA287" i="42"/>
  <c r="Y287" i="42"/>
  <c r="V287" i="42"/>
  <c r="AC286" i="42"/>
  <c r="AA286" i="42"/>
  <c r="Y286" i="42"/>
  <c r="P286" i="42"/>
  <c r="AE286" i="42" s="1"/>
  <c r="AF286" i="42" s="1"/>
  <c r="AC285" i="42"/>
  <c r="AA285" i="42"/>
  <c r="Y285" i="42"/>
  <c r="AC284" i="42"/>
  <c r="AA284" i="42"/>
  <c r="Y284" i="42"/>
  <c r="AC283" i="42"/>
  <c r="AA283" i="42"/>
  <c r="Y283" i="42"/>
  <c r="P283" i="42"/>
  <c r="AE283" i="42" s="1"/>
  <c r="AF283" i="42" s="1"/>
  <c r="AC282" i="42"/>
  <c r="AA282" i="42"/>
  <c r="Y282" i="42"/>
  <c r="P282" i="42"/>
  <c r="AE282" i="42" s="1"/>
  <c r="AF282" i="42" s="1"/>
  <c r="AC281" i="42"/>
  <c r="AA281" i="42"/>
  <c r="Y281" i="42"/>
  <c r="AC280" i="42"/>
  <c r="AA280" i="42"/>
  <c r="Y280" i="42"/>
  <c r="V280" i="42"/>
  <c r="P280" i="42"/>
  <c r="AE280" i="42" s="1"/>
  <c r="AF280" i="42" s="1"/>
  <c r="AC279" i="42"/>
  <c r="AA279" i="42"/>
  <c r="Y279" i="42"/>
  <c r="V279" i="42"/>
  <c r="AC278" i="42"/>
  <c r="AA278" i="42"/>
  <c r="Y278" i="42"/>
  <c r="P278" i="42"/>
  <c r="AE278" i="42" s="1"/>
  <c r="AF278" i="42" s="1"/>
  <c r="AC277" i="42"/>
  <c r="AA277" i="42"/>
  <c r="Y277" i="42"/>
  <c r="V277" i="42"/>
  <c r="P277" i="42"/>
  <c r="AE277" i="42" s="1"/>
  <c r="AF277" i="42" s="1"/>
  <c r="AC276" i="42"/>
  <c r="AA276" i="42"/>
  <c r="Y276" i="42"/>
  <c r="V276" i="42"/>
  <c r="P276" i="42"/>
  <c r="AE276" i="42" s="1"/>
  <c r="AF276" i="42" s="1"/>
  <c r="AC275" i="42"/>
  <c r="AA275" i="42"/>
  <c r="Y275" i="42"/>
  <c r="V275" i="42"/>
  <c r="AC274" i="42"/>
  <c r="AA274" i="42"/>
  <c r="Y274" i="42"/>
  <c r="P274" i="42"/>
  <c r="AE274" i="42" s="1"/>
  <c r="AF274" i="42" s="1"/>
  <c r="AC273" i="42"/>
  <c r="AA273" i="42"/>
  <c r="Y273" i="42"/>
  <c r="V273" i="42"/>
  <c r="AC272" i="42"/>
  <c r="AA272" i="42"/>
  <c r="Y272" i="42"/>
  <c r="V272" i="42"/>
  <c r="AC271" i="42"/>
  <c r="AA271" i="42"/>
  <c r="Y271" i="42"/>
  <c r="V271" i="42"/>
  <c r="AC270" i="42"/>
  <c r="AA270" i="42"/>
  <c r="Y270" i="42"/>
  <c r="AC269" i="42"/>
  <c r="AA269" i="42"/>
  <c r="Y269" i="42"/>
  <c r="V269" i="42"/>
  <c r="P269" i="42"/>
  <c r="AE269" i="42" s="1"/>
  <c r="AF269" i="42" s="1"/>
  <c r="AC268" i="42"/>
  <c r="AA268" i="42"/>
  <c r="Y268" i="42"/>
  <c r="AC267" i="42"/>
  <c r="AA267" i="42"/>
  <c r="Y267" i="42"/>
  <c r="V267" i="42"/>
  <c r="P267" i="42"/>
  <c r="AE267" i="42" s="1"/>
  <c r="AF267" i="42" s="1"/>
  <c r="AC266" i="42"/>
  <c r="AA266" i="42"/>
  <c r="Y266" i="42"/>
  <c r="AC265" i="42"/>
  <c r="AA265" i="42"/>
  <c r="Y265" i="42"/>
  <c r="V265" i="42"/>
  <c r="AC264" i="42"/>
  <c r="AA264" i="42"/>
  <c r="Y264" i="42"/>
  <c r="V264" i="42"/>
  <c r="P264" i="42"/>
  <c r="AE264" i="42" s="1"/>
  <c r="AF264" i="42" s="1"/>
  <c r="AC263" i="42"/>
  <c r="AA263" i="42"/>
  <c r="Y263" i="42"/>
  <c r="AC262" i="42"/>
  <c r="AA262" i="42"/>
  <c r="Y262" i="42"/>
  <c r="V262" i="42"/>
  <c r="AC261" i="42"/>
  <c r="AA261" i="42"/>
  <c r="Y261" i="42"/>
  <c r="P261" i="42"/>
  <c r="AE261" i="42" s="1"/>
  <c r="AF261" i="42" s="1"/>
  <c r="AC260" i="42"/>
  <c r="AA260" i="42"/>
  <c r="Y260" i="42"/>
  <c r="P260" i="42"/>
  <c r="AE260" i="42" s="1"/>
  <c r="AF260" i="42" s="1"/>
  <c r="AC259" i="42"/>
  <c r="AA259" i="42"/>
  <c r="Y259" i="42"/>
  <c r="V259" i="42"/>
  <c r="AC258" i="42"/>
  <c r="AA258" i="42"/>
  <c r="Y258" i="42"/>
  <c r="V258" i="42"/>
  <c r="P258" i="42"/>
  <c r="AE258" i="42" s="1"/>
  <c r="AF258" i="42" s="1"/>
  <c r="AC257" i="42"/>
  <c r="AA257" i="42"/>
  <c r="Y257" i="42"/>
  <c r="V257" i="42"/>
  <c r="AC256" i="42"/>
  <c r="AA256" i="42"/>
  <c r="Y256" i="42"/>
  <c r="AC255" i="42"/>
  <c r="AA255" i="42"/>
  <c r="Y255" i="42"/>
  <c r="V255" i="42"/>
  <c r="AC254" i="42"/>
  <c r="AA254" i="42"/>
  <c r="Y254" i="42"/>
  <c r="AC253" i="42"/>
  <c r="AA253" i="42"/>
  <c r="Y253" i="42"/>
  <c r="P253" i="42"/>
  <c r="AE253" i="42" s="1"/>
  <c r="AF253" i="42" s="1"/>
  <c r="AC252" i="42"/>
  <c r="AA252" i="42"/>
  <c r="Y252" i="42"/>
  <c r="AC251" i="42"/>
  <c r="AA251" i="42"/>
  <c r="Y251" i="42"/>
  <c r="V251" i="42"/>
  <c r="AC250" i="42"/>
  <c r="AA250" i="42"/>
  <c r="Y250" i="42"/>
  <c r="V250" i="42"/>
  <c r="AC249" i="42"/>
  <c r="AA249" i="42"/>
  <c r="Y249" i="42"/>
  <c r="V249" i="42"/>
  <c r="P249" i="42"/>
  <c r="AE249" i="42" s="1"/>
  <c r="AF249" i="42" s="1"/>
  <c r="AC248" i="42"/>
  <c r="AA248" i="42"/>
  <c r="Y248" i="42"/>
  <c r="P248" i="42"/>
  <c r="AE248" i="42" s="1"/>
  <c r="AF248" i="42" s="1"/>
  <c r="AC247" i="42"/>
  <c r="AA247" i="42"/>
  <c r="Y247" i="42"/>
  <c r="V247" i="42"/>
  <c r="AC246" i="42"/>
  <c r="AA246" i="42"/>
  <c r="Y246" i="42"/>
  <c r="P246" i="42"/>
  <c r="AE246" i="42" s="1"/>
  <c r="AF246" i="42" s="1"/>
  <c r="AC245" i="42"/>
  <c r="AA245" i="42"/>
  <c r="Y245" i="42"/>
  <c r="AC244" i="42"/>
  <c r="AA244" i="42"/>
  <c r="Y244" i="42"/>
  <c r="P244" i="42"/>
  <c r="AE244" i="42" s="1"/>
  <c r="AF244" i="42" s="1"/>
  <c r="AC243" i="42"/>
  <c r="AA243" i="42"/>
  <c r="Y243" i="42"/>
  <c r="AC242" i="42"/>
  <c r="AA242" i="42"/>
  <c r="Y242" i="42"/>
  <c r="V242" i="42"/>
  <c r="P242" i="42"/>
  <c r="AE242" i="42" s="1"/>
  <c r="AF242" i="42" s="1"/>
  <c r="AC241" i="42"/>
  <c r="AA241" i="42"/>
  <c r="Y241" i="42"/>
  <c r="V241" i="42"/>
  <c r="AC240" i="42"/>
  <c r="AA240" i="42"/>
  <c r="Y240" i="42"/>
  <c r="AC239" i="42"/>
  <c r="AA239" i="42"/>
  <c r="Y239" i="42"/>
  <c r="AC238" i="42"/>
  <c r="AA238" i="42"/>
  <c r="Y238" i="42"/>
  <c r="V238" i="42"/>
  <c r="P238" i="42"/>
  <c r="AE238" i="42" s="1"/>
  <c r="AF238" i="42" s="1"/>
  <c r="AC237" i="42"/>
  <c r="AA237" i="42"/>
  <c r="Y237" i="42"/>
  <c r="V237" i="42"/>
  <c r="AC236" i="42"/>
  <c r="AA236" i="42"/>
  <c r="Y236" i="42"/>
  <c r="AC235" i="42"/>
  <c r="AA235" i="42"/>
  <c r="Y235" i="42"/>
  <c r="V235" i="42"/>
  <c r="P235" i="42"/>
  <c r="AE235" i="42" s="1"/>
  <c r="AF235" i="42" s="1"/>
  <c r="AC234" i="42"/>
  <c r="AA234" i="42"/>
  <c r="Y234" i="42"/>
  <c r="P234" i="42"/>
  <c r="AE234" i="42" s="1"/>
  <c r="AF234" i="42" s="1"/>
  <c r="AC233" i="42"/>
  <c r="AA233" i="42"/>
  <c r="Y233" i="42"/>
  <c r="AC232" i="42"/>
  <c r="AA232" i="42"/>
  <c r="Y232" i="42"/>
  <c r="V232" i="42"/>
  <c r="P232" i="42"/>
  <c r="AE232" i="42" s="1"/>
  <c r="AF232" i="42" s="1"/>
  <c r="AC231" i="42"/>
  <c r="AA231" i="42"/>
  <c r="Y231" i="42"/>
  <c r="V231" i="42"/>
  <c r="AC230" i="42"/>
  <c r="AA230" i="42"/>
  <c r="Y230" i="42"/>
  <c r="V230" i="42"/>
  <c r="AC229" i="42"/>
  <c r="AA229" i="42"/>
  <c r="Y229" i="42"/>
  <c r="V229" i="42"/>
  <c r="AC228" i="42"/>
  <c r="AA228" i="42"/>
  <c r="Y228" i="42"/>
  <c r="V228" i="42"/>
  <c r="P228" i="42"/>
  <c r="AE228" i="42" s="1"/>
  <c r="AF228" i="42" s="1"/>
  <c r="AC227" i="42"/>
  <c r="AA227" i="42"/>
  <c r="Y227" i="42"/>
  <c r="V227" i="42"/>
  <c r="AC226" i="42"/>
  <c r="AA226" i="42"/>
  <c r="Y226" i="42"/>
  <c r="P226" i="42"/>
  <c r="AE226" i="42" s="1"/>
  <c r="AF226" i="42" s="1"/>
  <c r="AC225" i="42"/>
  <c r="AA225" i="42"/>
  <c r="Y225" i="42"/>
  <c r="V225" i="42"/>
  <c r="AC224" i="42"/>
  <c r="AA224" i="42"/>
  <c r="Y224" i="42"/>
  <c r="V224" i="42"/>
  <c r="P224" i="42"/>
  <c r="AE224" i="42" s="1"/>
  <c r="AF224" i="42" s="1"/>
  <c r="AC223" i="42"/>
  <c r="AA223" i="42"/>
  <c r="Y223" i="42"/>
  <c r="AC222" i="42"/>
  <c r="AA222" i="42"/>
  <c r="Y222" i="42"/>
  <c r="AC221" i="42"/>
  <c r="AA221" i="42"/>
  <c r="Y221" i="42"/>
  <c r="V221" i="42"/>
  <c r="P221" i="42"/>
  <c r="AE221" i="42" s="1"/>
  <c r="AF221" i="42" s="1"/>
  <c r="AC220" i="42"/>
  <c r="AA220" i="42"/>
  <c r="Y220" i="42"/>
  <c r="V220" i="42"/>
  <c r="AC219" i="42"/>
  <c r="AA219" i="42"/>
  <c r="Y219" i="42"/>
  <c r="AC218" i="42"/>
  <c r="AA218" i="42"/>
  <c r="Y218" i="42"/>
  <c r="V218" i="42"/>
  <c r="P218" i="42"/>
  <c r="AE218" i="42" s="1"/>
  <c r="AF218" i="42" s="1"/>
  <c r="AC217" i="42"/>
  <c r="AA217" i="42"/>
  <c r="Y217" i="42"/>
  <c r="P217" i="42"/>
  <c r="AE217" i="42" s="1"/>
  <c r="AF217" i="42" s="1"/>
  <c r="AC216" i="42"/>
  <c r="AA216" i="42"/>
  <c r="Y216" i="42"/>
  <c r="V216" i="42"/>
  <c r="AC215" i="42"/>
  <c r="AA215" i="42"/>
  <c r="Y215" i="42"/>
  <c r="AC214" i="42"/>
  <c r="AA214" i="42"/>
  <c r="Y214" i="42"/>
  <c r="P214" i="42"/>
  <c r="AE214" i="42" s="1"/>
  <c r="AF214" i="42" s="1"/>
  <c r="AC213" i="42"/>
  <c r="AA213" i="42"/>
  <c r="Y213" i="42"/>
  <c r="V213" i="42"/>
  <c r="P213" i="42"/>
  <c r="AE213" i="42" s="1"/>
  <c r="AF213" i="42" s="1"/>
  <c r="AC212" i="42"/>
  <c r="AA212" i="42"/>
  <c r="Y212" i="42"/>
  <c r="V212" i="42"/>
  <c r="P212" i="42"/>
  <c r="AE212" i="42" s="1"/>
  <c r="AF212" i="42" s="1"/>
  <c r="AC211" i="42"/>
  <c r="AA211" i="42"/>
  <c r="Y211" i="42"/>
  <c r="V211" i="42"/>
  <c r="AC210" i="42"/>
  <c r="AA210" i="42"/>
  <c r="Y210" i="42"/>
  <c r="P210" i="42"/>
  <c r="AE210" i="42" s="1"/>
  <c r="AF210" i="42" s="1"/>
  <c r="AC209" i="42"/>
  <c r="AA209" i="42"/>
  <c r="Y209" i="42"/>
  <c r="V209" i="42"/>
  <c r="AC208" i="42"/>
  <c r="AA208" i="42"/>
  <c r="Y208" i="42"/>
  <c r="V208" i="42"/>
  <c r="AC207" i="42"/>
  <c r="AA207" i="42"/>
  <c r="Y207" i="42"/>
  <c r="V207" i="42"/>
  <c r="AC206" i="42"/>
  <c r="AA206" i="42"/>
  <c r="Y206" i="42"/>
  <c r="V206" i="42"/>
  <c r="P206" i="42"/>
  <c r="AE206" i="42" s="1"/>
  <c r="AF206" i="42" s="1"/>
  <c r="AC205" i="42"/>
  <c r="AA205" i="42"/>
  <c r="Y205" i="42"/>
  <c r="V205" i="42"/>
  <c r="AC204" i="42"/>
  <c r="AA204" i="42"/>
  <c r="Y204" i="42"/>
  <c r="AC203" i="42"/>
  <c r="AA203" i="42"/>
  <c r="Y203" i="42"/>
  <c r="P203" i="42"/>
  <c r="AE203" i="42" s="1"/>
  <c r="AF203" i="42" s="1"/>
  <c r="AC202" i="42"/>
  <c r="AA202" i="42"/>
  <c r="Y202" i="42"/>
  <c r="AC201" i="42"/>
  <c r="AA201" i="42"/>
  <c r="Y201" i="42"/>
  <c r="V201" i="42"/>
  <c r="P201" i="42"/>
  <c r="AE201" i="42" s="1"/>
  <c r="AF201" i="42" s="1"/>
  <c r="AC200" i="42"/>
  <c r="AA200" i="42"/>
  <c r="Y200" i="42"/>
  <c r="V200" i="42"/>
  <c r="P200" i="42"/>
  <c r="AE200" i="42" s="1"/>
  <c r="AF200" i="42" s="1"/>
  <c r="AC199" i="42"/>
  <c r="AA199" i="42"/>
  <c r="Y199" i="42"/>
  <c r="V199" i="42"/>
  <c r="AC198" i="42"/>
  <c r="AA198" i="42"/>
  <c r="Y198" i="42"/>
  <c r="V198" i="42"/>
  <c r="AC197" i="42"/>
  <c r="AA197" i="42"/>
  <c r="Y197" i="42"/>
  <c r="P197" i="42"/>
  <c r="AE197" i="42" s="1"/>
  <c r="AF197" i="42" s="1"/>
  <c r="AC196" i="42"/>
  <c r="AA196" i="42"/>
  <c r="Y196" i="42"/>
  <c r="V196" i="42"/>
  <c r="P196" i="42"/>
  <c r="AE196" i="42" s="1"/>
  <c r="AF196" i="42" s="1"/>
  <c r="AC195" i="42"/>
  <c r="AA195" i="42"/>
  <c r="Y195" i="42"/>
  <c r="V195" i="42"/>
  <c r="P195" i="42"/>
  <c r="AE195" i="42" s="1"/>
  <c r="AF195" i="42" s="1"/>
  <c r="AC194" i="42"/>
  <c r="AA194" i="42"/>
  <c r="Y194" i="42"/>
  <c r="P194" i="42"/>
  <c r="AE194" i="42" s="1"/>
  <c r="AF194" i="42" s="1"/>
  <c r="AC193" i="42"/>
  <c r="AA193" i="42"/>
  <c r="Y193" i="42"/>
  <c r="V193" i="42"/>
  <c r="AC192" i="42"/>
  <c r="AA192" i="42"/>
  <c r="Y192" i="42"/>
  <c r="AC191" i="42"/>
  <c r="AA191" i="42"/>
  <c r="Y191" i="42"/>
  <c r="V191" i="42"/>
  <c r="P191" i="42"/>
  <c r="AE191" i="42" s="1"/>
  <c r="AF191" i="42" s="1"/>
  <c r="AC190" i="42"/>
  <c r="AA190" i="42"/>
  <c r="Y190" i="42"/>
  <c r="AC189" i="42"/>
  <c r="AA189" i="42"/>
  <c r="Y189" i="42"/>
  <c r="AC188" i="42"/>
  <c r="AA188" i="42"/>
  <c r="Y188" i="42"/>
  <c r="P188" i="42"/>
  <c r="AE188" i="42" s="1"/>
  <c r="AF188" i="42" s="1"/>
  <c r="AC187" i="42"/>
  <c r="AA187" i="42"/>
  <c r="Y187" i="42"/>
  <c r="V187" i="42"/>
  <c r="AC186" i="42"/>
  <c r="AA186" i="42"/>
  <c r="Y186" i="42"/>
  <c r="V186" i="42"/>
  <c r="AC185" i="42"/>
  <c r="AA185" i="42"/>
  <c r="Y185" i="42"/>
  <c r="V185" i="42"/>
  <c r="AC184" i="42"/>
  <c r="AA184" i="42"/>
  <c r="Y184" i="42"/>
  <c r="P184" i="42"/>
  <c r="AE184" i="42" s="1"/>
  <c r="AF184" i="42" s="1"/>
  <c r="AC183" i="42"/>
  <c r="AA183" i="42"/>
  <c r="Y183" i="42"/>
  <c r="V183" i="42"/>
  <c r="P183" i="42"/>
  <c r="AE183" i="42" s="1"/>
  <c r="AF183" i="42" s="1"/>
  <c r="AC182" i="42"/>
  <c r="AA182" i="42"/>
  <c r="Y182" i="42"/>
  <c r="AC181" i="42"/>
  <c r="AA181" i="42"/>
  <c r="Y181" i="42"/>
  <c r="P181" i="42"/>
  <c r="AE181" i="42" s="1"/>
  <c r="AF181" i="42" s="1"/>
  <c r="AC180" i="42"/>
  <c r="AA180" i="42"/>
  <c r="Y180" i="42"/>
  <c r="V180" i="42"/>
  <c r="P180" i="42"/>
  <c r="AE180" i="42" s="1"/>
  <c r="AF180" i="42" s="1"/>
  <c r="AC179" i="42"/>
  <c r="AA179" i="42"/>
  <c r="Y179" i="42"/>
  <c r="V179" i="42"/>
  <c r="AC178" i="42"/>
  <c r="AA178" i="42"/>
  <c r="Y178" i="42"/>
  <c r="P178" i="42"/>
  <c r="AE178" i="42" s="1"/>
  <c r="AF178" i="42" s="1"/>
  <c r="AC177" i="42"/>
  <c r="AA177" i="42"/>
  <c r="Y177" i="42"/>
  <c r="V177" i="42"/>
  <c r="AC176" i="42"/>
  <c r="AA176" i="42"/>
  <c r="Y176" i="42"/>
  <c r="V176" i="42"/>
  <c r="P176" i="42"/>
  <c r="AE176" i="42" s="1"/>
  <c r="AF176" i="42" s="1"/>
  <c r="AC175" i="42"/>
  <c r="AA175" i="42"/>
  <c r="Y175" i="42"/>
  <c r="V175" i="42"/>
  <c r="AC174" i="42"/>
  <c r="AA174" i="42"/>
  <c r="Y174" i="42"/>
  <c r="P174" i="42"/>
  <c r="AE174" i="42" s="1"/>
  <c r="AF174" i="42" s="1"/>
  <c r="AC173" i="42"/>
  <c r="AA173" i="42"/>
  <c r="Y173" i="42"/>
  <c r="V173" i="42"/>
  <c r="P173" i="42"/>
  <c r="AE173" i="42" s="1"/>
  <c r="AF173" i="42" s="1"/>
  <c r="AC172" i="42"/>
  <c r="AA172" i="42"/>
  <c r="Y172" i="42"/>
  <c r="AC171" i="42"/>
  <c r="AA171" i="42"/>
  <c r="Y171" i="42"/>
  <c r="V171" i="42"/>
  <c r="P171" i="42"/>
  <c r="AE171" i="42" s="1"/>
  <c r="AF171" i="42" s="1"/>
  <c r="AC170" i="42"/>
  <c r="AA170" i="42"/>
  <c r="Y170" i="42"/>
  <c r="AC169" i="42"/>
  <c r="AA169" i="42"/>
  <c r="Y169" i="42"/>
  <c r="AC168" i="42"/>
  <c r="AA168" i="42"/>
  <c r="Y168" i="42"/>
  <c r="P168" i="42"/>
  <c r="AE168" i="42" s="1"/>
  <c r="AF168" i="42" s="1"/>
  <c r="AC167" i="42"/>
  <c r="AA167" i="42"/>
  <c r="Y167" i="42"/>
  <c r="AC166" i="42"/>
  <c r="AA166" i="42"/>
  <c r="Y166" i="42"/>
  <c r="V166" i="42"/>
  <c r="P166" i="42"/>
  <c r="AE166" i="42" s="1"/>
  <c r="AF166" i="42" s="1"/>
  <c r="AC165" i="42"/>
  <c r="AA165" i="42"/>
  <c r="Y165" i="42"/>
  <c r="P165" i="42"/>
  <c r="AE165" i="42" s="1"/>
  <c r="AF165" i="42" s="1"/>
  <c r="AC164" i="42"/>
  <c r="AA164" i="42"/>
  <c r="Y164" i="42"/>
  <c r="P164" i="42"/>
  <c r="AE164" i="42" s="1"/>
  <c r="AF164" i="42" s="1"/>
  <c r="AC163" i="42"/>
  <c r="AA163" i="42"/>
  <c r="Y163" i="42"/>
  <c r="V163" i="42"/>
  <c r="P163" i="42"/>
  <c r="AE163" i="42" s="1"/>
  <c r="AF163" i="42" s="1"/>
  <c r="AC162" i="42"/>
  <c r="AA162" i="42"/>
  <c r="Y162" i="42"/>
  <c r="P162" i="42"/>
  <c r="AE162" i="42" s="1"/>
  <c r="AF162" i="42" s="1"/>
  <c r="AC161" i="42"/>
  <c r="AA161" i="42"/>
  <c r="Y161" i="42"/>
  <c r="V161" i="42"/>
  <c r="AC160" i="42"/>
  <c r="AA160" i="42"/>
  <c r="Y160" i="42"/>
  <c r="V160" i="42"/>
  <c r="AC159" i="42"/>
  <c r="AA159" i="42"/>
  <c r="Y159" i="42"/>
  <c r="P159" i="42"/>
  <c r="AE159" i="42" s="1"/>
  <c r="AF159" i="42" s="1"/>
  <c r="AC158" i="42"/>
  <c r="AA158" i="42"/>
  <c r="Y158" i="42"/>
  <c r="AC157" i="42"/>
  <c r="AA157" i="42"/>
  <c r="Y157" i="42"/>
  <c r="P157" i="42"/>
  <c r="AE157" i="42" s="1"/>
  <c r="AF157" i="42" s="1"/>
  <c r="AC156" i="42"/>
  <c r="AA156" i="42"/>
  <c r="Y156" i="42"/>
  <c r="V156" i="42"/>
  <c r="P156" i="42"/>
  <c r="AE156" i="42" s="1"/>
  <c r="AF156" i="42" s="1"/>
  <c r="AC155" i="42"/>
  <c r="AA155" i="42"/>
  <c r="Y155" i="42"/>
  <c r="V155" i="42"/>
  <c r="P155" i="42"/>
  <c r="AE155" i="42" s="1"/>
  <c r="AF155" i="42" s="1"/>
  <c r="AC154" i="42"/>
  <c r="AA154" i="42"/>
  <c r="Y154" i="42"/>
  <c r="V154" i="42"/>
  <c r="AC153" i="42"/>
  <c r="AA153" i="42"/>
  <c r="Y153" i="42"/>
  <c r="P153" i="42"/>
  <c r="AE153" i="42" s="1"/>
  <c r="AF153" i="42" s="1"/>
  <c r="AC152" i="42"/>
  <c r="AA152" i="42"/>
  <c r="Y152" i="42"/>
  <c r="P152" i="42"/>
  <c r="AE152" i="42" s="1"/>
  <c r="AF152" i="42" s="1"/>
  <c r="AC151" i="42"/>
  <c r="AA151" i="42"/>
  <c r="Y151" i="42"/>
  <c r="AC150" i="42"/>
  <c r="AA150" i="42"/>
  <c r="Y150" i="42"/>
  <c r="AC149" i="42"/>
  <c r="AA149" i="42"/>
  <c r="Y149" i="42"/>
  <c r="V149" i="42"/>
  <c r="AC148" i="42"/>
  <c r="AA148" i="42"/>
  <c r="Y148" i="42"/>
  <c r="V148" i="42"/>
  <c r="P148" i="42"/>
  <c r="AE148" i="42" s="1"/>
  <c r="AF148" i="42" s="1"/>
  <c r="AC147" i="42"/>
  <c r="AA147" i="42"/>
  <c r="Y147" i="42"/>
  <c r="AC146" i="42"/>
  <c r="AA146" i="42"/>
  <c r="Y146" i="42"/>
  <c r="V146" i="42"/>
  <c r="P146" i="42"/>
  <c r="AE146" i="42" s="1"/>
  <c r="AF146" i="42" s="1"/>
  <c r="AC145" i="42"/>
  <c r="AA145" i="42"/>
  <c r="Y145" i="42"/>
  <c r="V145" i="42"/>
  <c r="AC144" i="42"/>
  <c r="AA144" i="42"/>
  <c r="Y144" i="42"/>
  <c r="V144" i="42"/>
  <c r="AC143" i="42"/>
  <c r="AA143" i="42"/>
  <c r="Y143" i="42"/>
  <c r="AC142" i="42"/>
  <c r="AA142" i="42"/>
  <c r="Y142" i="42"/>
  <c r="P142" i="42"/>
  <c r="AE142" i="42" s="1"/>
  <c r="AF142" i="42" s="1"/>
  <c r="AC141" i="42"/>
  <c r="AA141" i="42"/>
  <c r="Y141" i="42"/>
  <c r="AC140" i="42"/>
  <c r="AA140" i="42"/>
  <c r="Y140" i="42"/>
  <c r="AC139" i="42"/>
  <c r="AA139" i="42"/>
  <c r="Y139" i="42"/>
  <c r="V139" i="42"/>
  <c r="P139" i="42"/>
  <c r="AE139" i="42" s="1"/>
  <c r="AF139" i="42" s="1"/>
  <c r="AC138" i="42"/>
  <c r="AA138" i="42"/>
  <c r="Y138" i="42"/>
  <c r="V138" i="42"/>
  <c r="P138" i="42"/>
  <c r="AE138" i="42" s="1"/>
  <c r="AF138" i="42" s="1"/>
  <c r="AC137" i="42"/>
  <c r="AA137" i="42"/>
  <c r="Y137" i="42"/>
  <c r="V137" i="42"/>
  <c r="AC136" i="42"/>
  <c r="AA136" i="42"/>
  <c r="Y136" i="42"/>
  <c r="V136" i="42"/>
  <c r="P136" i="42"/>
  <c r="AE136" i="42" s="1"/>
  <c r="AF136" i="42" s="1"/>
  <c r="AC135" i="42"/>
  <c r="AA135" i="42"/>
  <c r="Y135" i="42"/>
  <c r="AC134" i="42"/>
  <c r="AA134" i="42"/>
  <c r="Y134" i="42"/>
  <c r="V134" i="42"/>
  <c r="AC133" i="42"/>
  <c r="AA133" i="42"/>
  <c r="Y133" i="42"/>
  <c r="P133" i="42"/>
  <c r="AE133" i="42" s="1"/>
  <c r="AF133" i="42" s="1"/>
  <c r="AC132" i="42"/>
  <c r="AA132" i="42"/>
  <c r="Y132" i="42"/>
  <c r="V132" i="42"/>
  <c r="P132" i="42"/>
  <c r="AE132" i="42" s="1"/>
  <c r="AF132" i="42" s="1"/>
  <c r="AC131" i="42"/>
  <c r="AA131" i="42"/>
  <c r="Y131" i="42"/>
  <c r="V131" i="42"/>
  <c r="P131" i="42"/>
  <c r="AE131" i="42" s="1"/>
  <c r="AF131" i="42" s="1"/>
  <c r="AC130" i="42"/>
  <c r="AA130" i="42"/>
  <c r="Y130" i="42"/>
  <c r="P130" i="42"/>
  <c r="AE130" i="42" s="1"/>
  <c r="AF130" i="42" s="1"/>
  <c r="AC129" i="42"/>
  <c r="AA129" i="42"/>
  <c r="Y129" i="42"/>
  <c r="V129" i="42"/>
  <c r="AC128" i="42"/>
  <c r="AA128" i="42"/>
  <c r="Y128" i="42"/>
  <c r="V128" i="42"/>
  <c r="AC127" i="42"/>
  <c r="AA127" i="42"/>
  <c r="Y127" i="42"/>
  <c r="V127" i="42"/>
  <c r="AC126" i="42"/>
  <c r="AA126" i="42"/>
  <c r="Y126" i="42"/>
  <c r="P126" i="42"/>
  <c r="AE126" i="42" s="1"/>
  <c r="AF126" i="42" s="1"/>
  <c r="AC125" i="42"/>
  <c r="AA125" i="42"/>
  <c r="Y125" i="42"/>
  <c r="AC124" i="42"/>
  <c r="AA124" i="42"/>
  <c r="Y124" i="42"/>
  <c r="P124" i="42"/>
  <c r="AE124" i="42" s="1"/>
  <c r="AF124" i="42" s="1"/>
  <c r="AC123" i="42"/>
  <c r="AA123" i="42"/>
  <c r="Y123" i="42"/>
  <c r="AC122" i="42"/>
  <c r="AA122" i="42"/>
  <c r="Y122" i="42"/>
  <c r="P122" i="42"/>
  <c r="AE122" i="42" s="1"/>
  <c r="AF122" i="42" s="1"/>
  <c r="AC121" i="42"/>
  <c r="AA121" i="42"/>
  <c r="Y121" i="42"/>
  <c r="V121" i="42"/>
  <c r="AC120" i="42"/>
  <c r="AA120" i="42"/>
  <c r="Y120" i="42"/>
  <c r="P120" i="42"/>
  <c r="AE120" i="42" s="1"/>
  <c r="AF120" i="42" s="1"/>
  <c r="AC119" i="42"/>
  <c r="AA119" i="42"/>
  <c r="Y119" i="42"/>
  <c r="AC118" i="42"/>
  <c r="AA118" i="42"/>
  <c r="Y118" i="42"/>
  <c r="V118" i="42"/>
  <c r="P118" i="42"/>
  <c r="AE118" i="42" s="1"/>
  <c r="AF118" i="42" s="1"/>
  <c r="AC117" i="42"/>
  <c r="AA117" i="42"/>
  <c r="Y117" i="42"/>
  <c r="V117" i="42"/>
  <c r="P117" i="42"/>
  <c r="AE117" i="42" s="1"/>
  <c r="AF117" i="42" s="1"/>
  <c r="AC116" i="42"/>
  <c r="AA116" i="42"/>
  <c r="Y116" i="42"/>
  <c r="P116" i="42"/>
  <c r="AE116" i="42" s="1"/>
  <c r="AF116" i="42" s="1"/>
  <c r="AC115" i="42"/>
  <c r="AA115" i="42"/>
  <c r="Y115" i="42"/>
  <c r="V115" i="42"/>
  <c r="P115" i="42"/>
  <c r="AE115" i="42" s="1"/>
  <c r="AF115" i="42" s="1"/>
  <c r="AC114" i="42"/>
  <c r="AA114" i="42"/>
  <c r="Y114" i="42"/>
  <c r="P114" i="42"/>
  <c r="AE114" i="42" s="1"/>
  <c r="AF114" i="42" s="1"/>
  <c r="AC113" i="42"/>
  <c r="AA113" i="42"/>
  <c r="Y113" i="42"/>
  <c r="V113" i="42"/>
  <c r="AC112" i="42"/>
  <c r="AA112" i="42"/>
  <c r="Y112" i="42"/>
  <c r="V112" i="42"/>
  <c r="AC111" i="42"/>
  <c r="AA111" i="42"/>
  <c r="Y111" i="42"/>
  <c r="P111" i="42"/>
  <c r="AE111" i="42" s="1"/>
  <c r="AF111" i="42" s="1"/>
  <c r="AC110" i="42"/>
  <c r="AA110" i="42"/>
  <c r="Y110" i="42"/>
  <c r="V110" i="42"/>
  <c r="AC109" i="42"/>
  <c r="AA109" i="42"/>
  <c r="Y109" i="42"/>
  <c r="P109" i="42"/>
  <c r="AE109" i="42" s="1"/>
  <c r="AF109" i="42" s="1"/>
  <c r="AC108" i="42"/>
  <c r="AA108" i="42"/>
  <c r="Y108" i="42"/>
  <c r="AC107" i="42"/>
  <c r="AA107" i="42"/>
  <c r="Y107" i="42"/>
  <c r="AC106" i="42"/>
  <c r="AA106" i="42"/>
  <c r="Y106" i="42"/>
  <c r="AC105" i="42"/>
  <c r="AA105" i="42"/>
  <c r="Y105" i="42"/>
  <c r="V105" i="42"/>
  <c r="P105" i="42"/>
  <c r="AE105" i="42" s="1"/>
  <c r="AF105" i="42" s="1"/>
  <c r="AC104" i="42"/>
  <c r="AA104" i="42"/>
  <c r="Y104" i="42"/>
  <c r="V104" i="42"/>
  <c r="P104" i="42"/>
  <c r="AE104" i="42" s="1"/>
  <c r="AF104" i="42" s="1"/>
  <c r="AC103" i="42"/>
  <c r="AA103" i="42"/>
  <c r="Y103" i="42"/>
  <c r="V103" i="42"/>
  <c r="AC102" i="42"/>
  <c r="AA102" i="42"/>
  <c r="Y102" i="42"/>
  <c r="AC101" i="42"/>
  <c r="AA101" i="42"/>
  <c r="Y101" i="42"/>
  <c r="P101" i="42"/>
  <c r="AE101" i="42" s="1"/>
  <c r="AF101" i="42" s="1"/>
  <c r="AC100" i="42"/>
  <c r="AA100" i="42"/>
  <c r="Y100" i="42"/>
  <c r="P100" i="42"/>
  <c r="AE100" i="42" s="1"/>
  <c r="AC99" i="42"/>
  <c r="AA99" i="42"/>
  <c r="Y99" i="42"/>
  <c r="V99" i="42"/>
  <c r="AC98" i="42"/>
  <c r="AA98" i="42"/>
  <c r="Y98" i="42"/>
  <c r="P98" i="42"/>
  <c r="AE98" i="42" s="1"/>
  <c r="AC97" i="42"/>
  <c r="AA97" i="42"/>
  <c r="Y97" i="42"/>
  <c r="V97" i="42"/>
  <c r="P97" i="42"/>
  <c r="AE97" i="42" s="1"/>
  <c r="AC96" i="42"/>
  <c r="AA96" i="42"/>
  <c r="Y96" i="42"/>
  <c r="V96" i="42"/>
  <c r="AC95" i="42"/>
  <c r="AA95" i="42"/>
  <c r="Y95" i="42"/>
  <c r="AC94" i="42"/>
  <c r="AA94" i="42"/>
  <c r="Y94" i="42"/>
  <c r="P94" i="42"/>
  <c r="AE94" i="42" s="1"/>
  <c r="AC93" i="42"/>
  <c r="AA93" i="42"/>
  <c r="Y93" i="42"/>
  <c r="AC92" i="42"/>
  <c r="AA92" i="42"/>
  <c r="Y92" i="42"/>
  <c r="AC91" i="42"/>
  <c r="AA91" i="42"/>
  <c r="Y91" i="42"/>
  <c r="AC90" i="42"/>
  <c r="AA90" i="42"/>
  <c r="Y90" i="42"/>
  <c r="V90" i="42"/>
  <c r="P90" i="42"/>
  <c r="AE90" i="42" s="1"/>
  <c r="AC89" i="42"/>
  <c r="AA89" i="42"/>
  <c r="Y89" i="42"/>
  <c r="P89" i="42"/>
  <c r="AE89" i="42" s="1"/>
  <c r="AA88" i="42"/>
  <c r="Y88" i="42"/>
  <c r="P88" i="42"/>
  <c r="AE88" i="42" s="1"/>
  <c r="AC87" i="42"/>
  <c r="AA87" i="42"/>
  <c r="Y87" i="42"/>
  <c r="AC86" i="42"/>
  <c r="AA86" i="42"/>
  <c r="Y86" i="42"/>
  <c r="AC85" i="42"/>
  <c r="AA85" i="42"/>
  <c r="Y85" i="42"/>
  <c r="V85" i="42"/>
  <c r="P85" i="42"/>
  <c r="AE85" i="42" s="1"/>
  <c r="AC84" i="42"/>
  <c r="AA84" i="42"/>
  <c r="Y84" i="42"/>
  <c r="P84" i="42"/>
  <c r="AE84" i="42" s="1"/>
  <c r="AC83" i="42"/>
  <c r="AA83" i="42"/>
  <c r="Y83" i="42"/>
  <c r="V83" i="42"/>
  <c r="P83" i="42"/>
  <c r="AE83" i="42" s="1"/>
  <c r="AC82" i="42"/>
  <c r="AA82" i="42"/>
  <c r="Y82" i="42"/>
  <c r="P82" i="42"/>
  <c r="AE82" i="42" s="1"/>
  <c r="AC81" i="42"/>
  <c r="AA81" i="42"/>
  <c r="Y81" i="42"/>
  <c r="V81" i="42"/>
  <c r="AC80" i="42"/>
  <c r="AA80" i="42"/>
  <c r="Y80" i="42"/>
  <c r="V80" i="42"/>
  <c r="AC79" i="42"/>
  <c r="AA79" i="42"/>
  <c r="Y79" i="42"/>
  <c r="AC78" i="42"/>
  <c r="AA78" i="42"/>
  <c r="Y78" i="42"/>
  <c r="P78" i="42"/>
  <c r="AE78" i="42" s="1"/>
  <c r="AC77" i="42"/>
  <c r="AA77" i="42"/>
  <c r="Y77" i="42"/>
  <c r="AC76" i="42"/>
  <c r="AA76" i="42"/>
  <c r="Y76" i="42"/>
  <c r="P76" i="42"/>
  <c r="AE76" i="42" s="1"/>
  <c r="AC75" i="42"/>
  <c r="AA75" i="42"/>
  <c r="Y75" i="42"/>
  <c r="V75" i="42"/>
  <c r="AC74" i="42"/>
  <c r="AA74" i="42"/>
  <c r="Y74" i="42"/>
  <c r="P74" i="42"/>
  <c r="AE74" i="42" s="1"/>
  <c r="AC73" i="42"/>
  <c r="AA73" i="42"/>
  <c r="Y73" i="42"/>
  <c r="V73" i="42"/>
  <c r="AC72" i="42"/>
  <c r="AA72" i="42"/>
  <c r="Y72" i="42"/>
  <c r="V72" i="42"/>
  <c r="P72" i="42"/>
  <c r="AE72" i="42" s="1"/>
  <c r="AC71" i="42"/>
  <c r="AA71" i="42"/>
  <c r="Y71" i="42"/>
  <c r="V71" i="42"/>
  <c r="AC70" i="42"/>
  <c r="AA70" i="42"/>
  <c r="Y70" i="42"/>
  <c r="AC69" i="42"/>
  <c r="AA69" i="42"/>
  <c r="Y69" i="42"/>
  <c r="P69" i="42"/>
  <c r="AE69" i="42" s="1"/>
  <c r="AA68" i="42"/>
  <c r="Y68" i="42"/>
  <c r="P68" i="42"/>
  <c r="AE68" i="42" s="1"/>
  <c r="AC67" i="42"/>
  <c r="AA67" i="42"/>
  <c r="Y67" i="42"/>
  <c r="V67" i="42"/>
  <c r="P67" i="42"/>
  <c r="AE67" i="42" s="1"/>
  <c r="AC66" i="42"/>
  <c r="AA66" i="42"/>
  <c r="Y66" i="42"/>
  <c r="P66" i="42"/>
  <c r="AE66" i="42" s="1"/>
  <c r="AC65" i="42"/>
  <c r="AA65" i="42"/>
  <c r="Y65" i="42"/>
  <c r="V65" i="42"/>
  <c r="AC64" i="42"/>
  <c r="AA64" i="42"/>
  <c r="Y64" i="42"/>
  <c r="AC63" i="42"/>
  <c r="AA63" i="42"/>
  <c r="Y63" i="42"/>
  <c r="V63" i="42"/>
  <c r="P63" i="42"/>
  <c r="AE63" i="42" s="1"/>
  <c r="AC62" i="42"/>
  <c r="AA62" i="42"/>
  <c r="Y62" i="42"/>
  <c r="AC61" i="42"/>
  <c r="AA61" i="42"/>
  <c r="Y61" i="42"/>
  <c r="P61" i="42"/>
  <c r="AE61" i="42" s="1"/>
  <c r="AC60" i="42"/>
  <c r="AA60" i="42"/>
  <c r="Y60" i="42"/>
  <c r="AC59" i="42"/>
  <c r="AA59" i="42"/>
  <c r="Y59" i="42"/>
  <c r="V59" i="42"/>
  <c r="AC58" i="42"/>
  <c r="AA58" i="42"/>
  <c r="Y58" i="42"/>
  <c r="V58" i="42"/>
  <c r="P58" i="42"/>
  <c r="AE58" i="42" s="1"/>
  <c r="AC57" i="42"/>
  <c r="AA57" i="42"/>
  <c r="Y57" i="42"/>
  <c r="V57" i="42"/>
  <c r="AC56" i="42"/>
  <c r="AA56" i="42"/>
  <c r="Y56" i="42"/>
  <c r="V56" i="42"/>
  <c r="P56" i="42"/>
  <c r="AE56" i="42" s="1"/>
  <c r="AA55" i="42"/>
  <c r="Y55" i="42"/>
  <c r="V55" i="42"/>
  <c r="P55" i="42"/>
  <c r="AE55" i="42" s="1"/>
  <c r="AC54" i="42"/>
  <c r="AA54" i="42"/>
  <c r="Y54" i="42"/>
  <c r="V54" i="42"/>
  <c r="AC53" i="42"/>
  <c r="AA53" i="42"/>
  <c r="Y53" i="42"/>
  <c r="P53" i="42"/>
  <c r="AE53" i="42" s="1"/>
  <c r="AC52" i="42"/>
  <c r="AA52" i="42"/>
  <c r="Y52" i="42"/>
  <c r="P52" i="42"/>
  <c r="AE52" i="42" s="1"/>
  <c r="AC51" i="42"/>
  <c r="AA51" i="42"/>
  <c r="Y51" i="42"/>
  <c r="V51" i="42"/>
  <c r="AC50" i="42"/>
  <c r="AA50" i="42"/>
  <c r="Y50" i="42"/>
  <c r="P50" i="42"/>
  <c r="AE50" i="42" s="1"/>
  <c r="AC49" i="42"/>
  <c r="AA49" i="42"/>
  <c r="Y49" i="42"/>
  <c r="V49" i="42"/>
  <c r="AC48" i="42"/>
  <c r="AA48" i="42"/>
  <c r="Y48" i="42"/>
  <c r="AC47" i="42"/>
  <c r="AA47" i="42"/>
  <c r="Y47" i="42"/>
  <c r="V47" i="42"/>
  <c r="AC46" i="42"/>
  <c r="AA46" i="42"/>
  <c r="Y46" i="42"/>
  <c r="V46" i="42"/>
  <c r="P46" i="42"/>
  <c r="AE46" i="42" s="1"/>
  <c r="AC45" i="42"/>
  <c r="AA45" i="42"/>
  <c r="Y45" i="42"/>
  <c r="P45" i="42"/>
  <c r="AE45" i="42" s="1"/>
  <c r="AC44" i="42"/>
  <c r="AA44" i="42"/>
  <c r="Y44" i="42"/>
  <c r="P44" i="42"/>
  <c r="AE44" i="42" s="1"/>
  <c r="AC43" i="42"/>
  <c r="AA43" i="42"/>
  <c r="Y43" i="42"/>
  <c r="P43" i="42"/>
  <c r="AE43" i="42" s="1"/>
  <c r="AC42" i="42"/>
  <c r="AA42" i="42"/>
  <c r="Y42" i="42"/>
  <c r="P42" i="42"/>
  <c r="AE42" i="42" s="1"/>
  <c r="AC41" i="42"/>
  <c r="AA41" i="42"/>
  <c r="Y41" i="42"/>
  <c r="V41" i="42"/>
  <c r="AC40" i="42"/>
  <c r="AA40" i="42"/>
  <c r="Y40" i="42"/>
  <c r="V40" i="42"/>
  <c r="P40" i="42"/>
  <c r="AE40" i="42" s="1"/>
  <c r="AC39" i="42"/>
  <c r="AA39" i="42"/>
  <c r="Y39" i="42"/>
  <c r="V39" i="42"/>
  <c r="AC38" i="42"/>
  <c r="AA38" i="42"/>
  <c r="Y38" i="42"/>
  <c r="V38" i="42"/>
  <c r="AC37" i="42"/>
  <c r="AA37" i="42"/>
  <c r="Y37" i="42"/>
  <c r="V37" i="42"/>
  <c r="AC36" i="42"/>
  <c r="AA36" i="42"/>
  <c r="Y36" i="42"/>
  <c r="P36" i="42"/>
  <c r="AE36" i="42" s="1"/>
  <c r="AC35" i="42"/>
  <c r="AA35" i="42"/>
  <c r="Y35" i="42"/>
  <c r="AC34" i="42"/>
  <c r="AA34" i="42"/>
  <c r="Y34" i="42"/>
  <c r="V34" i="42"/>
  <c r="AA33" i="42"/>
  <c r="Y33" i="42"/>
  <c r="V33" i="42"/>
  <c r="AC32" i="42"/>
  <c r="Y32" i="42"/>
  <c r="V32" i="42"/>
  <c r="Y31" i="42"/>
  <c r="V31" i="42"/>
  <c r="AC30" i="42"/>
  <c r="Y30" i="42"/>
  <c r="AC29" i="42"/>
  <c r="Y29" i="42"/>
  <c r="AC28" i="42"/>
  <c r="Y28" i="42"/>
  <c r="AC27" i="42"/>
  <c r="Y27" i="42"/>
  <c r="AC26" i="42"/>
  <c r="Y26" i="42"/>
  <c r="AC25" i="42"/>
  <c r="Y25" i="42"/>
  <c r="V25" i="42"/>
  <c r="AC24" i="42"/>
  <c r="Y24" i="42"/>
  <c r="V24" i="42"/>
  <c r="AC23" i="42"/>
  <c r="Y23" i="42"/>
  <c r="V23" i="42"/>
  <c r="AC22" i="42"/>
  <c r="Y22" i="42"/>
  <c r="V22" i="42"/>
  <c r="AA21" i="42"/>
  <c r="V21" i="42"/>
  <c r="AC20" i="42"/>
  <c r="AA20" i="42"/>
  <c r="AC19" i="42"/>
  <c r="AA19" i="42"/>
  <c r="AC18" i="42"/>
  <c r="AA18" i="42"/>
  <c r="AA17" i="42"/>
  <c r="V17" i="42"/>
  <c r="AC16" i="42"/>
  <c r="AA16" i="42"/>
  <c r="V16" i="42"/>
  <c r="AC15" i="42"/>
  <c r="AA15" i="42"/>
  <c r="V15" i="42"/>
  <c r="AC14" i="42"/>
  <c r="AA14" i="42"/>
  <c r="V14" i="42"/>
  <c r="AC13" i="42"/>
  <c r="AA13" i="42"/>
  <c r="AA12" i="42"/>
  <c r="AC11" i="42"/>
  <c r="AA11" i="42"/>
  <c r="Y11" i="42"/>
  <c r="AC10" i="42"/>
  <c r="AA10" i="42"/>
  <c r="Y10" i="42"/>
  <c r="AC9" i="42"/>
  <c r="AA9" i="42"/>
  <c r="Y9" i="42"/>
  <c r="V9" i="42"/>
  <c r="AC8" i="42"/>
  <c r="AA8" i="42"/>
  <c r="Y8" i="42"/>
  <c r="V8" i="42"/>
  <c r="AC7" i="42"/>
  <c r="AA7" i="42"/>
  <c r="Y7" i="42"/>
  <c r="AC6" i="42"/>
  <c r="AA6" i="42"/>
  <c r="Y6" i="42"/>
  <c r="AC5" i="42"/>
  <c r="AA5" i="42"/>
  <c r="Y5" i="42"/>
  <c r="AC4" i="42"/>
  <c r="AA4" i="42"/>
  <c r="Y4" i="42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BU3" i="54" l="1"/>
  <c r="CO13" i="54"/>
  <c r="CR17" i="54"/>
  <c r="CT3" i="54"/>
  <c r="CQ20" i="54"/>
  <c r="BT3" i="54"/>
  <c r="CO19" i="54"/>
  <c r="BU13" i="54"/>
  <c r="CT5" i="54"/>
  <c r="CR13" i="54"/>
  <c r="CU20" i="54"/>
  <c r="EQ72" i="54"/>
  <c r="DR39" i="54"/>
  <c r="BE42" i="54"/>
  <c r="C42" i="54" s="1"/>
  <c r="BE26" i="54"/>
  <c r="GD26" i="54" s="1"/>
  <c r="CR12" i="54"/>
  <c r="CU12" i="54"/>
  <c r="EQ69" i="54"/>
  <c r="BE41" i="54"/>
  <c r="C41" i="54" s="1"/>
  <c r="C9" i="54"/>
  <c r="CO4" i="54"/>
  <c r="CR5" i="54"/>
  <c r="EQ62" i="54"/>
  <c r="BE72" i="54"/>
  <c r="C72" i="54" s="1"/>
  <c r="BE40" i="54"/>
  <c r="C40" i="54" s="1"/>
  <c r="CO3" i="54"/>
  <c r="CR3" i="54"/>
  <c r="CU3" i="54"/>
  <c r="EQ60" i="54"/>
  <c r="CI20" i="54"/>
  <c r="CS20" i="54"/>
  <c r="CS19" i="54"/>
  <c r="EQ13" i="54"/>
  <c r="CS17" i="54"/>
  <c r="EQ12" i="54"/>
  <c r="BE30" i="54"/>
  <c r="C30" i="54" s="1"/>
  <c r="CP12" i="54"/>
  <c r="CS7" i="54"/>
  <c r="CV3" i="54"/>
  <c r="CP20" i="54"/>
  <c r="BE29" i="54"/>
  <c r="C29" i="54" s="1"/>
  <c r="CW19" i="54"/>
  <c r="BE18" i="54"/>
  <c r="GD18" i="54" s="1"/>
  <c r="CP6" i="54"/>
  <c r="CT19" i="54"/>
  <c r="DN18" i="54"/>
  <c r="CM12" i="54"/>
  <c r="BT12" i="54"/>
  <c r="BU12" i="54"/>
  <c r="CK12" i="54"/>
  <c r="CL12" i="54" s="1"/>
  <c r="FH12" i="54" s="1"/>
  <c r="FJ12" i="54" s="1"/>
  <c r="BP52" i="54"/>
  <c r="AY23" i="54"/>
  <c r="E23" i="54" s="1"/>
  <c r="AZ23" i="54" s="1"/>
  <c r="CE23" i="54"/>
  <c r="CI17" i="54"/>
  <c r="AV61" i="54"/>
  <c r="AY61" i="54" s="1"/>
  <c r="E61" i="54" s="1"/>
  <c r="AZ61" i="54" s="1"/>
  <c r="AV8" i="54"/>
  <c r="BE43" i="54"/>
  <c r="C43" i="54" s="1"/>
  <c r="BG71" i="54"/>
  <c r="BI66" i="54"/>
  <c r="BK48" i="54"/>
  <c r="BS48" i="54" s="1" a="1"/>
  <c r="BS48" i="54" s="1"/>
  <c r="BU48" i="54" s="1"/>
  <c r="BL55" i="54"/>
  <c r="DA55" i="54" s="1" a="1"/>
  <c r="DA55" i="54" s="1"/>
  <c r="DC55" i="54" s="1"/>
  <c r="BL17" i="54"/>
  <c r="CO15" i="54"/>
  <c r="CP10" i="54"/>
  <c r="DN19" i="54"/>
  <c r="BI65" i="54"/>
  <c r="CF65" i="54" s="1"/>
  <c r="BU18" i="54"/>
  <c r="CX10" i="54"/>
  <c r="AV29" i="54"/>
  <c r="BW29" i="54" s="1"/>
  <c r="BY29" i="54" s="1"/>
  <c r="AV6" i="54"/>
  <c r="BH58" i="54"/>
  <c r="BZ58" i="54" s="1"/>
  <c r="BI64" i="54"/>
  <c r="CF64" i="54" s="1"/>
  <c r="BK38" i="54"/>
  <c r="BS38" i="54" s="1" a="1"/>
  <c r="BS38" i="54" s="1"/>
  <c r="BU38" i="54" s="1"/>
  <c r="BL51" i="54"/>
  <c r="CI15" i="54"/>
  <c r="BY6" i="54"/>
  <c r="CG16" i="54"/>
  <c r="CR10" i="54"/>
  <c r="CX9" i="54"/>
  <c r="DN11" i="54"/>
  <c r="EQ6" i="54"/>
  <c r="AW65" i="54"/>
  <c r="AX65" i="54" s="1"/>
  <c r="AW33" i="54"/>
  <c r="AX33" i="54" s="1"/>
  <c r="BG55" i="54"/>
  <c r="BH57" i="54"/>
  <c r="BZ57" i="54" s="1"/>
  <c r="BI52" i="54"/>
  <c r="CF52" i="54" s="1"/>
  <c r="BJ39" i="54"/>
  <c r="BR10" i="54"/>
  <c r="BK37" i="54"/>
  <c r="BS37" i="54" s="1" a="1"/>
  <c r="BS37" i="54" s="1"/>
  <c r="BU37" i="54" s="1"/>
  <c r="BL50" i="54"/>
  <c r="BX14" i="54"/>
  <c r="CG15" i="54"/>
  <c r="CM9" i="54"/>
  <c r="CO11" i="54"/>
  <c r="CR8" i="54"/>
  <c r="CT15" i="54"/>
  <c r="CV17" i="54"/>
  <c r="CX8" i="54"/>
  <c r="DJ35" i="54" a="1"/>
  <c r="DJ35" i="54" s="1"/>
  <c r="DN35" i="54" s="1"/>
  <c r="EQ5" i="54"/>
  <c r="AV57" i="54"/>
  <c r="AY57" i="54" s="1"/>
  <c r="E57" i="54" s="1"/>
  <c r="AZ57" i="54" s="1"/>
  <c r="AW64" i="54"/>
  <c r="AX64" i="54" s="1"/>
  <c r="AY64" i="54" s="1"/>
  <c r="E64" i="54" s="1"/>
  <c r="AZ64" i="54" s="1"/>
  <c r="AW32" i="54"/>
  <c r="AX32" i="54" s="1"/>
  <c r="AY32" i="54" s="1"/>
  <c r="BE16" i="54"/>
  <c r="C16" i="54" s="1"/>
  <c r="BI48" i="54"/>
  <c r="BK34" i="54"/>
  <c r="BS34" i="54" s="1" a="1"/>
  <c r="BS34" i="54" s="1"/>
  <c r="BT34" i="54" s="1"/>
  <c r="BL49" i="54"/>
  <c r="BP17" i="54"/>
  <c r="BX13" i="54"/>
  <c r="BZ26" i="54"/>
  <c r="CG14" i="54"/>
  <c r="CM8" i="54"/>
  <c r="CR6" i="54"/>
  <c r="CT14" i="54"/>
  <c r="CV15" i="54"/>
  <c r="CX6" i="54"/>
  <c r="DQ65" i="54"/>
  <c r="CI12" i="54"/>
  <c r="X233" i="19"/>
  <c r="AV25" i="54"/>
  <c r="AY25" i="54" s="1"/>
  <c r="CV11" i="54"/>
  <c r="AV24" i="54"/>
  <c r="BH35" i="54"/>
  <c r="BZ35" i="54" s="1"/>
  <c r="DN31" i="54"/>
  <c r="AV46" i="54"/>
  <c r="AV23" i="54"/>
  <c r="BW23" i="54" s="1"/>
  <c r="BY23" i="54" s="1"/>
  <c r="BH34" i="54"/>
  <c r="CQ15" i="54"/>
  <c r="AV45" i="54"/>
  <c r="AY45" i="54" s="1"/>
  <c r="E45" i="54" s="1"/>
  <c r="AZ45" i="54" s="1"/>
  <c r="AV22" i="54"/>
  <c r="BW22" i="54" s="1"/>
  <c r="CJ22" i="54" s="1"/>
  <c r="AY59" i="54"/>
  <c r="E59" i="54" s="1"/>
  <c r="AZ59" i="54" s="1"/>
  <c r="DY8" i="54"/>
  <c r="DZ8" i="54" s="1"/>
  <c r="BH32" i="54"/>
  <c r="BZ32" i="54" s="1"/>
  <c r="BR59" i="54"/>
  <c r="BL33" i="54"/>
  <c r="DA33" i="54" s="1" a="1"/>
  <c r="DA33" i="54" s="1"/>
  <c r="DF58" i="54"/>
  <c r="DJ34" i="54" a="1"/>
  <c r="DJ34" i="54" s="1"/>
  <c r="DK34" i="54" s="1"/>
  <c r="DN17" i="54"/>
  <c r="EQ56" i="54"/>
  <c r="AV14" i="54"/>
  <c r="DY7" i="54"/>
  <c r="BL72" i="54"/>
  <c r="BL23" i="54"/>
  <c r="DB23" i="54" s="1"/>
  <c r="CN41" i="54"/>
  <c r="CR41" i="54" s="1"/>
  <c r="CQ11" i="54"/>
  <c r="CS15" i="54"/>
  <c r="CW17" i="54"/>
  <c r="DB40" i="54"/>
  <c r="DC40" i="54" s="1"/>
  <c r="DN5" i="54"/>
  <c r="EQ22" i="54"/>
  <c r="AY43" i="54"/>
  <c r="E43" i="54" s="1"/>
  <c r="AZ43" i="54" s="1"/>
  <c r="AV13" i="54"/>
  <c r="AW49" i="54"/>
  <c r="AX49" i="54" s="1"/>
  <c r="AW17" i="54"/>
  <c r="AX17" i="54" s="1"/>
  <c r="BE48" i="54"/>
  <c r="C48" i="54" s="1"/>
  <c r="BE32" i="54"/>
  <c r="C32" i="54" s="1"/>
  <c r="BG25" i="54"/>
  <c r="BR18" i="54"/>
  <c r="BK69" i="54"/>
  <c r="BS69" i="54" s="1" a="1"/>
  <c r="BS69" i="54" s="1"/>
  <c r="BT18" i="54"/>
  <c r="CB18" i="54" s="1"/>
  <c r="CC18" i="54" s="1"/>
  <c r="CD18" i="54" s="1"/>
  <c r="CP19" i="54"/>
  <c r="CQ6" i="54"/>
  <c r="CW15" i="54"/>
  <c r="DB38" i="54"/>
  <c r="DC38" i="54" s="1"/>
  <c r="DF48" i="54"/>
  <c r="DJ43" i="54" a="1"/>
  <c r="DJ43" i="54" s="1"/>
  <c r="DK43" i="54" s="1"/>
  <c r="DJ27" i="54" a="1"/>
  <c r="DJ27" i="54" s="1"/>
  <c r="DK27" i="54" s="1"/>
  <c r="DN4" i="54"/>
  <c r="DY39" i="54"/>
  <c r="DZ39" i="54" s="1"/>
  <c r="X285" i="19"/>
  <c r="AV72" i="54"/>
  <c r="AY72" i="54" s="1"/>
  <c r="E72" i="54" s="1"/>
  <c r="AZ72" i="54" s="1"/>
  <c r="AW48" i="54"/>
  <c r="AX48" i="54" s="1"/>
  <c r="AW16" i="54"/>
  <c r="AX16" i="54" s="1"/>
  <c r="BE63" i="54"/>
  <c r="C63" i="54" s="1"/>
  <c r="BE47" i="54"/>
  <c r="C47" i="54" s="1"/>
  <c r="BE31" i="54"/>
  <c r="C31" i="54" s="1"/>
  <c r="BE15" i="54"/>
  <c r="C15" i="54" s="1"/>
  <c r="BG24" i="54"/>
  <c r="BR17" i="54"/>
  <c r="BL70" i="54"/>
  <c r="BL21" i="54"/>
  <c r="DA21" i="54" s="1" a="1"/>
  <c r="DA21" i="54" s="1"/>
  <c r="BT13" i="54"/>
  <c r="CB13" i="54" s="1"/>
  <c r="CC13" i="54" s="1"/>
  <c r="CD13" i="54" s="1"/>
  <c r="BW43" i="54"/>
  <c r="CI43" i="54" s="1"/>
  <c r="CP17" i="54"/>
  <c r="CR19" i="54"/>
  <c r="CU17" i="54"/>
  <c r="DB35" i="54"/>
  <c r="DC35" i="54" s="1"/>
  <c r="DJ42" i="54" a="1"/>
  <c r="DJ42" i="54" s="1"/>
  <c r="DN42" i="54" s="1"/>
  <c r="DJ26" i="54" a="1"/>
  <c r="DJ26" i="54" s="1"/>
  <c r="DK26" i="54" s="1"/>
  <c r="EA43" i="54"/>
  <c r="EQ19" i="54"/>
  <c r="AY65" i="54"/>
  <c r="E65" i="54" s="1"/>
  <c r="AZ65" i="54" s="1"/>
  <c r="AV71" i="54"/>
  <c r="AY71" i="54" s="1"/>
  <c r="E71" i="54" s="1"/>
  <c r="AZ71" i="54" s="1"/>
  <c r="AV41" i="54"/>
  <c r="AY41" i="54" s="1"/>
  <c r="E41" i="54" s="1"/>
  <c r="AZ41" i="54" s="1"/>
  <c r="AW47" i="54"/>
  <c r="AX47" i="54" s="1"/>
  <c r="AY47" i="54" s="1"/>
  <c r="E47" i="54" s="1"/>
  <c r="AZ47" i="54" s="1"/>
  <c r="AW15" i="54"/>
  <c r="AX15" i="54" s="1"/>
  <c r="BG23" i="54"/>
  <c r="BI69" i="54"/>
  <c r="BP16" i="54"/>
  <c r="BK65" i="54"/>
  <c r="BS65" i="54" s="1" a="1"/>
  <c r="BS65" i="54" s="1"/>
  <c r="BU65" i="54" s="1"/>
  <c r="BL20" i="54"/>
  <c r="CJ13" i="54"/>
  <c r="CS8" i="54"/>
  <c r="CU15" i="54"/>
  <c r="DJ41" i="54" a="1"/>
  <c r="DJ41" i="54" s="1"/>
  <c r="DN41" i="54" s="1"/>
  <c r="DJ25" i="54" a="1"/>
  <c r="DJ25" i="54" s="1"/>
  <c r="DK25" i="54" s="1"/>
  <c r="EQ17" i="54"/>
  <c r="BW26" i="54"/>
  <c r="AV70" i="54"/>
  <c r="AY70" i="54" s="1"/>
  <c r="E70" i="54" s="1"/>
  <c r="AZ70" i="54" s="1"/>
  <c r="AV40" i="54"/>
  <c r="AY40" i="54" s="1"/>
  <c r="E40" i="54" s="1"/>
  <c r="AZ40" i="54" s="1"/>
  <c r="AY58" i="54"/>
  <c r="E58" i="54" s="1"/>
  <c r="AZ58" i="54" s="1"/>
  <c r="BK64" i="54"/>
  <c r="BS64" i="54" s="1" a="1"/>
  <c r="BS64" i="54" s="1"/>
  <c r="BU64" i="54" s="1"/>
  <c r="BL19" i="54"/>
  <c r="DA19" i="54" s="1" a="1"/>
  <c r="DA19" i="54" s="1"/>
  <c r="DN14" i="54"/>
  <c r="EQ16" i="54"/>
  <c r="X351" i="19"/>
  <c r="AV39" i="54"/>
  <c r="BW39" i="54" s="1"/>
  <c r="CE39" i="54" s="1"/>
  <c r="AV9" i="54"/>
  <c r="AY24" i="54"/>
  <c r="E24" i="54" s="1"/>
  <c r="AZ24" i="54" s="1"/>
  <c r="BI67" i="54"/>
  <c r="BR14" i="54"/>
  <c r="BL18" i="54"/>
  <c r="CK13" i="54"/>
  <c r="CL13" i="54" s="1"/>
  <c r="FH13" i="54" s="1"/>
  <c r="FJ13" i="54" s="1"/>
  <c r="CO17" i="54"/>
  <c r="CR15" i="54"/>
  <c r="CX15" i="54"/>
  <c r="EA24" i="54"/>
  <c r="EQ15" i="54"/>
  <c r="DV60" i="54"/>
  <c r="BZ60" i="54"/>
  <c r="DN33" i="54"/>
  <c r="DX6" i="54"/>
  <c r="GK31" i="54"/>
  <c r="GL31" i="54" s="1"/>
  <c r="DQ31" i="54"/>
  <c r="DF31" i="54"/>
  <c r="EA31" i="54"/>
  <c r="DW31" i="54"/>
  <c r="BW31" i="54"/>
  <c r="BY31" i="54" s="1"/>
  <c r="BG31" i="54"/>
  <c r="BL31" i="54"/>
  <c r="CE31" i="54"/>
  <c r="BI31" i="54"/>
  <c r="BH31" i="54"/>
  <c r="BJ31" i="54"/>
  <c r="AY31" i="54"/>
  <c r="BK31" i="54"/>
  <c r="BS31" i="54" s="1" a="1"/>
  <c r="BS31" i="54" s="1"/>
  <c r="DW15" i="54"/>
  <c r="BL15" i="54"/>
  <c r="AW37" i="54"/>
  <c r="AX37" i="54" s="1"/>
  <c r="AV37" i="54"/>
  <c r="GK30" i="54"/>
  <c r="GL30" i="54" s="1"/>
  <c r="DQ30" i="54"/>
  <c r="EA30" i="54"/>
  <c r="DF30" i="54"/>
  <c r="DW30" i="54"/>
  <c r="BW30" i="54"/>
  <c r="BY30" i="54" s="1"/>
  <c r="CE30" i="54"/>
  <c r="BJ30" i="54"/>
  <c r="BL30" i="54"/>
  <c r="BI30" i="54"/>
  <c r="AY30" i="54"/>
  <c r="BK30" i="54"/>
  <c r="BS30" i="54" s="1" a="1"/>
  <c r="BS30" i="54" s="1"/>
  <c r="BH30" i="54"/>
  <c r="DW14" i="54"/>
  <c r="BL14" i="54"/>
  <c r="AW36" i="54"/>
  <c r="AX36" i="54" s="1"/>
  <c r="AV36" i="54"/>
  <c r="BT33" i="54"/>
  <c r="AW67" i="54"/>
  <c r="AX67" i="54" s="1"/>
  <c r="AV67" i="54"/>
  <c r="BW67" i="54" s="1"/>
  <c r="DX45" i="54"/>
  <c r="GK47" i="54"/>
  <c r="GL47" i="54" s="1"/>
  <c r="DQ47" i="54"/>
  <c r="DF47" i="54"/>
  <c r="DW47" i="54"/>
  <c r="BG47" i="54"/>
  <c r="BL47" i="54"/>
  <c r="BK47" i="54"/>
  <c r="BS47" i="54" s="1" a="1"/>
  <c r="BS47" i="54" s="1"/>
  <c r="BJ47" i="54"/>
  <c r="BH47" i="54"/>
  <c r="AW53" i="54"/>
  <c r="AX53" i="54" s="1"/>
  <c r="AV53" i="54"/>
  <c r="BW53" i="54" s="1"/>
  <c r="AW5" i="54"/>
  <c r="AX5" i="54" s="1"/>
  <c r="AV5" i="54"/>
  <c r="CN31" i="54"/>
  <c r="BF31" i="54"/>
  <c r="DT31" i="54" s="1"/>
  <c r="DY49" i="54"/>
  <c r="DZ49" i="54" s="1"/>
  <c r="DR49" i="54"/>
  <c r="BE49" i="54"/>
  <c r="GD49" i="54" s="1"/>
  <c r="DY33" i="54"/>
  <c r="DZ33" i="54" s="1"/>
  <c r="DR33" i="54"/>
  <c r="BE33" i="54"/>
  <c r="C33" i="54" s="1"/>
  <c r="CF41" i="54"/>
  <c r="EK5" i="54"/>
  <c r="DX5" i="54"/>
  <c r="AW68" i="54"/>
  <c r="AX68" i="54" s="1"/>
  <c r="AV68" i="54"/>
  <c r="AY68" i="54" s="1"/>
  <c r="E68" i="54" s="1"/>
  <c r="AZ68" i="54" s="1"/>
  <c r="AW4" i="54"/>
  <c r="AX4" i="54" s="1"/>
  <c r="AV4" i="54"/>
  <c r="DA44" i="54" a="1"/>
  <c r="DA44" i="54" s="1"/>
  <c r="DB44" i="54"/>
  <c r="DX54" i="54"/>
  <c r="GK63" i="54"/>
  <c r="GL63" i="54" s="1"/>
  <c r="EA63" i="54"/>
  <c r="DF63" i="54"/>
  <c r="DW63" i="54"/>
  <c r="BG63" i="54"/>
  <c r="BL63" i="54"/>
  <c r="BW63" i="54"/>
  <c r="CE63" i="54" s="1"/>
  <c r="BH63" i="54"/>
  <c r="AY63" i="54"/>
  <c r="E63" i="54" s="1"/>
  <c r="AZ63" i="54" s="1"/>
  <c r="BK63" i="54"/>
  <c r="BS63" i="54" s="1" a="1"/>
  <c r="BS63" i="54" s="1"/>
  <c r="BI63" i="54"/>
  <c r="AW69" i="54"/>
  <c r="AX69" i="54" s="1"/>
  <c r="AV69" i="54"/>
  <c r="BW69" i="54" s="1"/>
  <c r="AW21" i="54"/>
  <c r="AX21" i="54" s="1"/>
  <c r="AV21" i="54"/>
  <c r="AY21" i="54" s="1"/>
  <c r="E21" i="54" s="1"/>
  <c r="AZ21" i="54" s="1"/>
  <c r="DB49" i="54"/>
  <c r="DA49" i="54" a="1"/>
  <c r="DA49" i="54" s="1"/>
  <c r="BY43" i="54"/>
  <c r="DX65" i="54"/>
  <c r="GK46" i="54"/>
  <c r="GL46" i="54" s="1"/>
  <c r="EA46" i="54"/>
  <c r="DF46" i="54"/>
  <c r="DW46" i="54"/>
  <c r="DQ46" i="54"/>
  <c r="BJ46" i="54"/>
  <c r="BL46" i="54"/>
  <c r="BI46" i="54"/>
  <c r="BK46" i="54"/>
  <c r="BS46" i="54" s="1" a="1"/>
  <c r="BS46" i="54" s="1"/>
  <c r="AY46" i="54"/>
  <c r="E46" i="54" s="1"/>
  <c r="AZ46" i="54" s="1"/>
  <c r="BG46" i="54"/>
  <c r="BH46" i="54"/>
  <c r="AW52" i="54"/>
  <c r="AX52" i="54" s="1"/>
  <c r="AV52" i="54"/>
  <c r="BW52" i="54" s="1"/>
  <c r="AW20" i="54"/>
  <c r="AX20" i="54" s="1"/>
  <c r="AV20" i="54"/>
  <c r="DV34" i="54"/>
  <c r="BZ34" i="54"/>
  <c r="EA45" i="54"/>
  <c r="DW45" i="54"/>
  <c r="DF45" i="54"/>
  <c r="GK45" i="54"/>
  <c r="GL45" i="54" s="1"/>
  <c r="DQ45" i="54"/>
  <c r="BJ45" i="54"/>
  <c r="BL45" i="54"/>
  <c r="BI45" i="54"/>
  <c r="BH45" i="54"/>
  <c r="BG45" i="54"/>
  <c r="AW51" i="54"/>
  <c r="AX51" i="54" s="1"/>
  <c r="AV51" i="54"/>
  <c r="AW3" i="54"/>
  <c r="AX3" i="54" s="1"/>
  <c r="AV3" i="54"/>
  <c r="CN61" i="54"/>
  <c r="BR60" i="54"/>
  <c r="EB60" i="54" s="1"/>
  <c r="DX16" i="54"/>
  <c r="EK16" i="54"/>
  <c r="CI22" i="54"/>
  <c r="BY22" i="54"/>
  <c r="CN63" i="54"/>
  <c r="BF63" i="54"/>
  <c r="DT63" i="54" s="1"/>
  <c r="GD65" i="54"/>
  <c r="DR65" i="54"/>
  <c r="C65" i="54"/>
  <c r="DY17" i="54"/>
  <c r="DZ17" i="54" s="1"/>
  <c r="DR17" i="54"/>
  <c r="BE17" i="54"/>
  <c r="GD17" i="54" s="1"/>
  <c r="DN23" i="54"/>
  <c r="DK23" i="54"/>
  <c r="GK62" i="54"/>
  <c r="GL62" i="54" s="1"/>
  <c r="EA62" i="54"/>
  <c r="DF62" i="54"/>
  <c r="DQ62" i="54"/>
  <c r="BL62" i="54"/>
  <c r="BW62" i="54"/>
  <c r="BI62" i="54"/>
  <c r="AY62" i="54"/>
  <c r="E62" i="54" s="1"/>
  <c r="AZ62" i="54" s="1"/>
  <c r="BG62" i="54"/>
  <c r="BK62" i="54"/>
  <c r="BS62" i="54" s="1" a="1"/>
  <c r="BS62" i="54" s="1"/>
  <c r="DX64" i="54"/>
  <c r="DX44" i="54"/>
  <c r="DX25" i="54"/>
  <c r="GK61" i="54"/>
  <c r="GL61" i="54" s="1"/>
  <c r="EA61" i="54"/>
  <c r="DF61" i="54"/>
  <c r="DQ61" i="54"/>
  <c r="BL61" i="54"/>
  <c r="BI61" i="54"/>
  <c r="BG61" i="54"/>
  <c r="BK61" i="54"/>
  <c r="BS61" i="54" s="1" a="1"/>
  <c r="BS61" i="54" s="1"/>
  <c r="DW61" i="54"/>
  <c r="GK29" i="54"/>
  <c r="GL29" i="54" s="1"/>
  <c r="EA29" i="54"/>
  <c r="DF29" i="54"/>
  <c r="DW29" i="54"/>
  <c r="DQ29" i="54"/>
  <c r="BJ29" i="54"/>
  <c r="BL29" i="54"/>
  <c r="BI29" i="54"/>
  <c r="AY29" i="54"/>
  <c r="E29" i="54" s="1"/>
  <c r="AZ29" i="54" s="1"/>
  <c r="BK29" i="54"/>
  <c r="BS29" i="54" s="1" a="1"/>
  <c r="BS29" i="54" s="1"/>
  <c r="BH29" i="54"/>
  <c r="DW13" i="54"/>
  <c r="BL13" i="54"/>
  <c r="AW35" i="54"/>
  <c r="AX35" i="54" s="1"/>
  <c r="AV35" i="54"/>
  <c r="BW35" i="54" s="1"/>
  <c r="AW19" i="54"/>
  <c r="AX19" i="54" s="1"/>
  <c r="AV19" i="54"/>
  <c r="DX53" i="54"/>
  <c r="DX14" i="54"/>
  <c r="DY14" i="54"/>
  <c r="DZ14" i="54" s="1"/>
  <c r="EK4" i="54"/>
  <c r="DX4" i="54"/>
  <c r="GK44" i="54"/>
  <c r="GL44" i="54" s="1"/>
  <c r="DW44" i="54"/>
  <c r="DF44" i="54"/>
  <c r="EA44" i="54"/>
  <c r="DQ44" i="54"/>
  <c r="BW44" i="54"/>
  <c r="BY44" i="54" s="1"/>
  <c r="BI44" i="54"/>
  <c r="AY44" i="54"/>
  <c r="E44" i="54" s="1"/>
  <c r="AZ44" i="54" s="1"/>
  <c r="BH44" i="54"/>
  <c r="BJ44" i="54"/>
  <c r="BG44" i="54"/>
  <c r="DW12" i="54"/>
  <c r="BL12" i="54"/>
  <c r="AW50" i="54"/>
  <c r="AX50" i="54" s="1"/>
  <c r="AV50" i="54"/>
  <c r="AY50" i="54" s="1"/>
  <c r="E50" i="54" s="1"/>
  <c r="AZ50" i="54" s="1"/>
  <c r="AW18" i="54"/>
  <c r="AX18" i="54" s="1"/>
  <c r="AV18" i="54"/>
  <c r="BU22" i="54"/>
  <c r="BT22" i="54"/>
  <c r="CG20" i="54"/>
  <c r="CF20" i="54"/>
  <c r="CH20" i="54" s="1"/>
  <c r="EX20" i="54" s="1"/>
  <c r="CF58" i="54"/>
  <c r="CG3" i="54"/>
  <c r="CF3" i="54"/>
  <c r="DX22" i="54"/>
  <c r="BE11" i="54"/>
  <c r="C11" i="54" s="1"/>
  <c r="DB72" i="54"/>
  <c r="DA72" i="54" a="1"/>
  <c r="DA72" i="54" s="1"/>
  <c r="DC72" i="54" s="1"/>
  <c r="AY42" i="54"/>
  <c r="CF17" i="54"/>
  <c r="CH17" i="54" s="1"/>
  <c r="EX17" i="54" s="1"/>
  <c r="CG17" i="54"/>
  <c r="BX40" i="54"/>
  <c r="DX70" i="54"/>
  <c r="BH61" i="54"/>
  <c r="DX69" i="54"/>
  <c r="DX40" i="54"/>
  <c r="BP69" i="54"/>
  <c r="CK5" i="54"/>
  <c r="CL5" i="54" s="1"/>
  <c r="FH5" i="54" s="1"/>
  <c r="FJ5" i="54" s="1"/>
  <c r="BU5" i="54"/>
  <c r="CJ5" i="54"/>
  <c r="BT5" i="54"/>
  <c r="CB5" i="54" s="1"/>
  <c r="CC5" i="54" s="1"/>
  <c r="CD5" i="54" s="1"/>
  <c r="CM5" i="54"/>
  <c r="BX53" i="54"/>
  <c r="DX68" i="54"/>
  <c r="DK51" i="54"/>
  <c r="DN51" i="54"/>
  <c r="DX48" i="54"/>
  <c r="DX38" i="54"/>
  <c r="DX28" i="54"/>
  <c r="EK9" i="54"/>
  <c r="DX9" i="54"/>
  <c r="DY9" i="54"/>
  <c r="DZ9" i="54" s="1"/>
  <c r="AY51" i="54"/>
  <c r="E51" i="54" s="1"/>
  <c r="AZ51" i="54" s="1"/>
  <c r="BK44" i="54"/>
  <c r="BS44" i="54" s="1" a="1"/>
  <c r="BS44" i="54" s="1"/>
  <c r="CN47" i="54"/>
  <c r="CE22" i="54"/>
  <c r="DX24" i="54"/>
  <c r="GK60" i="54"/>
  <c r="GL60" i="54" s="1"/>
  <c r="DW60" i="54"/>
  <c r="DF60" i="54"/>
  <c r="DQ60" i="54"/>
  <c r="BW60" i="54"/>
  <c r="EA60" i="54"/>
  <c r="BI60" i="54"/>
  <c r="BG60" i="54"/>
  <c r="BK60" i="54"/>
  <c r="BS60" i="54" s="1" a="1"/>
  <c r="BS60" i="54" s="1"/>
  <c r="BL60" i="54"/>
  <c r="BM60" i="54" s="1" a="1"/>
  <c r="BM60" i="54" s="1"/>
  <c r="GK28" i="54"/>
  <c r="GL28" i="54" s="1"/>
  <c r="EA28" i="54"/>
  <c r="DQ28" i="54"/>
  <c r="DF28" i="54"/>
  <c r="DW28" i="54"/>
  <c r="BW28" i="54"/>
  <c r="CE28" i="54" s="1"/>
  <c r="BI28" i="54"/>
  <c r="BL28" i="54"/>
  <c r="AY28" i="54"/>
  <c r="E28" i="54" s="1"/>
  <c r="AZ28" i="54" s="1"/>
  <c r="BK28" i="54"/>
  <c r="BS28" i="54" s="1" a="1"/>
  <c r="BS28" i="54" s="1"/>
  <c r="CN28" i="54"/>
  <c r="BJ28" i="54"/>
  <c r="BH28" i="54"/>
  <c r="AW66" i="54"/>
  <c r="AX66" i="54" s="1"/>
  <c r="AV66" i="54"/>
  <c r="AY66" i="54" s="1"/>
  <c r="E66" i="54" s="1"/>
  <c r="AZ66" i="54" s="1"/>
  <c r="AW34" i="54"/>
  <c r="AX34" i="54" s="1"/>
  <c r="AV34" i="54"/>
  <c r="AY34" i="54" s="1"/>
  <c r="GN54" i="54"/>
  <c r="EQ54" i="54"/>
  <c r="CF4" i="54"/>
  <c r="CH4" i="54" s="1"/>
  <c r="EX4" i="54" s="1"/>
  <c r="CG4" i="54"/>
  <c r="DX72" i="54"/>
  <c r="CE42" i="54"/>
  <c r="CG19" i="54"/>
  <c r="CF19" i="54"/>
  <c r="CH19" i="54" s="1"/>
  <c r="EX19" i="54" s="1"/>
  <c r="DX61" i="54"/>
  <c r="DX32" i="54"/>
  <c r="DX12" i="54"/>
  <c r="EK12" i="54"/>
  <c r="BE59" i="54"/>
  <c r="C59" i="54" s="1"/>
  <c r="DX21" i="54"/>
  <c r="BH62" i="54"/>
  <c r="BP62" i="54" s="1"/>
  <c r="BP71" i="54"/>
  <c r="CJ7" i="54"/>
  <c r="CK7" i="54"/>
  <c r="CL7" i="54" s="1"/>
  <c r="FH7" i="54" s="1"/>
  <c r="FJ7" i="54" s="1"/>
  <c r="BU7" i="54"/>
  <c r="BT7" i="54"/>
  <c r="CB7" i="54" s="1"/>
  <c r="CC7" i="54" s="1"/>
  <c r="CD7" i="54" s="1"/>
  <c r="CM7" i="54"/>
  <c r="BX24" i="54"/>
  <c r="CJ6" i="54"/>
  <c r="CK6" i="54"/>
  <c r="CL6" i="54" s="1"/>
  <c r="FH6" i="54" s="1"/>
  <c r="FJ6" i="54" s="1"/>
  <c r="BU6" i="54"/>
  <c r="BT6" i="54"/>
  <c r="CB6" i="54" s="1"/>
  <c r="CC6" i="54" s="1"/>
  <c r="CD6" i="54" s="1"/>
  <c r="CM6" i="54"/>
  <c r="DX29" i="54"/>
  <c r="DB37" i="54"/>
  <c r="DA37" i="54" a="1"/>
  <c r="DA37" i="54" s="1"/>
  <c r="DV59" i="54"/>
  <c r="BP59" i="54"/>
  <c r="EB59" i="54" s="1"/>
  <c r="BZ59" i="54"/>
  <c r="DX49" i="54"/>
  <c r="CJ14" i="54"/>
  <c r="CM14" i="54"/>
  <c r="BT14" i="54"/>
  <c r="BU14" i="54"/>
  <c r="CK14" i="54"/>
  <c r="CL14" i="54" s="1"/>
  <c r="FH14" i="54" s="1"/>
  <c r="FJ14" i="54" s="1"/>
  <c r="CI14" i="54"/>
  <c r="DX37" i="54"/>
  <c r="EK8" i="54"/>
  <c r="DX8" i="54"/>
  <c r="CF50" i="54"/>
  <c r="DB34" i="54"/>
  <c r="DA34" i="54" a="1"/>
  <c r="DA34" i="54" s="1"/>
  <c r="AY55" i="54"/>
  <c r="E55" i="54" s="1"/>
  <c r="AZ55" i="54" s="1"/>
  <c r="BG30" i="54"/>
  <c r="CF48" i="54"/>
  <c r="CJ43" i="54"/>
  <c r="BU43" i="54"/>
  <c r="BT43" i="54"/>
  <c r="CA3" i="54"/>
  <c r="CB3" i="54" s="1"/>
  <c r="CC3" i="54" s="1"/>
  <c r="CD3" i="54" s="1"/>
  <c r="BU32" i="54"/>
  <c r="BT32" i="54"/>
  <c r="BW47" i="54"/>
  <c r="CN46" i="54"/>
  <c r="DK50" i="54"/>
  <c r="DN50" i="54"/>
  <c r="DQ63" i="54"/>
  <c r="AY60" i="54"/>
  <c r="E60" i="54" s="1"/>
  <c r="AZ60" i="54" s="1"/>
  <c r="BT59" i="54"/>
  <c r="BU59" i="54"/>
  <c r="DA43" i="54" a="1"/>
  <c r="DA43" i="54" s="1"/>
  <c r="DB43" i="54"/>
  <c r="BT66" i="54"/>
  <c r="BF47" i="54"/>
  <c r="DT47" i="54" s="1"/>
  <c r="DY65" i="54"/>
  <c r="AY38" i="54"/>
  <c r="E38" i="54" s="1"/>
  <c r="AZ38" i="54" s="1"/>
  <c r="CF68" i="54"/>
  <c r="DA71" i="54" a="1"/>
  <c r="DA71" i="54" s="1"/>
  <c r="DB71" i="54"/>
  <c r="BY72" i="54"/>
  <c r="BW72" i="54"/>
  <c r="BY8" i="54"/>
  <c r="BX8" i="54"/>
  <c r="GF52" i="54"/>
  <c r="CM16" i="54"/>
  <c r="BU16" i="54"/>
  <c r="CJ16" i="54"/>
  <c r="BT16" i="54"/>
  <c r="CI16" i="54"/>
  <c r="CK16" i="54"/>
  <c r="CL16" i="54" s="1"/>
  <c r="FH16" i="54" s="1"/>
  <c r="FJ16" i="54" s="1"/>
  <c r="EA47" i="54"/>
  <c r="CF66" i="54"/>
  <c r="CG66" i="54"/>
  <c r="DB20" i="54"/>
  <c r="DA20" i="54" a="1"/>
  <c r="DA20" i="54" s="1"/>
  <c r="CU21" i="54"/>
  <c r="CV21" i="54"/>
  <c r="CS21" i="54"/>
  <c r="CT21" i="54"/>
  <c r="BZ14" i="54"/>
  <c r="BP14" i="54"/>
  <c r="BX21" i="54"/>
  <c r="DB36" i="54"/>
  <c r="DA36" i="54" a="1"/>
  <c r="DA36" i="54" s="1"/>
  <c r="CV53" i="54"/>
  <c r="CP53" i="54"/>
  <c r="CT53" i="54"/>
  <c r="CS53" i="54"/>
  <c r="DA65" i="54" a="1"/>
  <c r="DA65" i="54" s="1"/>
  <c r="DB65" i="54"/>
  <c r="CF33" i="54"/>
  <c r="BY54" i="54"/>
  <c r="CE54" i="54"/>
  <c r="BG29" i="54"/>
  <c r="DV41" i="54"/>
  <c r="BI47" i="54"/>
  <c r="GX10" i="54"/>
  <c r="GY10" i="54"/>
  <c r="GR10" i="54"/>
  <c r="GS10" i="54" s="1"/>
  <c r="EY10" i="54"/>
  <c r="FN10" i="54" s="1"/>
  <c r="FO10" i="54" s="1"/>
  <c r="BT38" i="54"/>
  <c r="DB51" i="54"/>
  <c r="DA51" i="54" a="1"/>
  <c r="DA51" i="54" s="1"/>
  <c r="DC51" i="54" s="1"/>
  <c r="BW46" i="54"/>
  <c r="BZ41" i="54"/>
  <c r="DK65" i="54"/>
  <c r="DN65" i="54"/>
  <c r="DX13" i="54"/>
  <c r="DY13" i="54"/>
  <c r="DZ13" i="54" s="1"/>
  <c r="DV27" i="54"/>
  <c r="BZ27" i="54"/>
  <c r="ET62" i="54"/>
  <c r="DX62" i="54"/>
  <c r="DX52" i="54"/>
  <c r="DX33" i="54"/>
  <c r="BY26" i="54"/>
  <c r="BU69" i="54"/>
  <c r="BT69" i="54"/>
  <c r="CF57" i="54"/>
  <c r="CG18" i="54"/>
  <c r="CF18" i="54"/>
  <c r="CH18" i="54" s="1"/>
  <c r="EX18" i="54" s="1"/>
  <c r="DA23" i="54" a="1"/>
  <c r="DA23" i="54" s="1"/>
  <c r="DB22" i="54"/>
  <c r="DA22" i="54" a="1"/>
  <c r="DA22" i="54" s="1"/>
  <c r="BY56" i="54"/>
  <c r="BX56" i="54"/>
  <c r="DX60" i="54"/>
  <c r="DX41" i="54"/>
  <c r="CF67" i="54"/>
  <c r="BR15" i="54"/>
  <c r="BP15" i="54"/>
  <c r="DX30" i="54"/>
  <c r="EK20" i="54"/>
  <c r="GY15" i="54"/>
  <c r="GR15" i="54"/>
  <c r="GS15" i="54" s="1"/>
  <c r="GX15" i="54"/>
  <c r="EY15" i="54"/>
  <c r="FN15" i="54" s="1"/>
  <c r="FO15" i="54" s="1"/>
  <c r="BU49" i="54"/>
  <c r="BT49" i="54"/>
  <c r="BM43" i="54" a="1"/>
  <c r="BM43" i="54" s="1"/>
  <c r="CK15" i="54"/>
  <c r="CL15" i="54" s="1"/>
  <c r="FH15" i="54" s="1"/>
  <c r="FJ15" i="54" s="1"/>
  <c r="CM15" i="54"/>
  <c r="BT15" i="54"/>
  <c r="CJ15" i="54"/>
  <c r="BU15" i="54"/>
  <c r="CB15" i="54" s="1"/>
  <c r="CC15" i="54" s="1"/>
  <c r="CD15" i="54" s="1"/>
  <c r="DN67" i="54"/>
  <c r="GY14" i="54"/>
  <c r="GR14" i="54"/>
  <c r="GS14" i="54" s="1"/>
  <c r="GX14" i="54"/>
  <c r="EY14" i="54"/>
  <c r="BY69" i="54"/>
  <c r="BX5" i="54"/>
  <c r="BY5" i="54"/>
  <c r="BK45" i="54"/>
  <c r="BS45" i="54" s="1" a="1"/>
  <c r="BS45" i="54" s="1"/>
  <c r="DX56" i="54"/>
  <c r="DX46" i="54"/>
  <c r="DX36" i="54"/>
  <c r="DX17" i="54"/>
  <c r="EK17" i="54"/>
  <c r="DV64" i="54"/>
  <c r="BZ64" i="54"/>
  <c r="CF32" i="54"/>
  <c r="CG32" i="54" s="1"/>
  <c r="CN64" i="54"/>
  <c r="BF64" i="54"/>
  <c r="DT64" i="54" s="1"/>
  <c r="CN48" i="54"/>
  <c r="CN32" i="54"/>
  <c r="BF32" i="54"/>
  <c r="DT32" i="54" s="1"/>
  <c r="GD66" i="54"/>
  <c r="DR66" i="54"/>
  <c r="C66" i="54"/>
  <c r="DY50" i="54"/>
  <c r="DR50" i="54"/>
  <c r="BE50" i="54"/>
  <c r="GD50" i="54" s="1"/>
  <c r="C50" i="54"/>
  <c r="DY34" i="54"/>
  <c r="DZ34" i="54" s="1"/>
  <c r="DR34" i="54"/>
  <c r="BE34" i="54"/>
  <c r="C34" i="54" s="1"/>
  <c r="DR18" i="54"/>
  <c r="DY18" i="54"/>
  <c r="DZ18" i="54"/>
  <c r="C18" i="54"/>
  <c r="BG28" i="54"/>
  <c r="DV36" i="54"/>
  <c r="BZ36" i="54"/>
  <c r="CF42" i="54"/>
  <c r="DA50" i="54" a="1"/>
  <c r="DA50" i="54" s="1"/>
  <c r="DB50" i="54"/>
  <c r="BM72" i="54" a="1"/>
  <c r="BM72" i="54" s="1"/>
  <c r="CA72" i="54" s="1"/>
  <c r="GK71" i="54"/>
  <c r="GL71" i="54" s="1"/>
  <c r="DW71" i="54"/>
  <c r="DF71" i="54"/>
  <c r="BI71" i="54"/>
  <c r="DQ71" i="54"/>
  <c r="BK71" i="54"/>
  <c r="BS71" i="54" s="1" a="1"/>
  <c r="BS71" i="54" s="1"/>
  <c r="BH71" i="54"/>
  <c r="BR71" i="54" s="1"/>
  <c r="GK55" i="54"/>
  <c r="GL55" i="54" s="1"/>
  <c r="EA55" i="54"/>
  <c r="DF55" i="54"/>
  <c r="DQ55" i="54"/>
  <c r="BW55" i="54"/>
  <c r="BI55" i="54"/>
  <c r="BK55" i="54"/>
  <c r="BS55" i="54" s="1" a="1"/>
  <c r="BS55" i="54" s="1"/>
  <c r="BH55" i="54"/>
  <c r="BP55" i="54" s="1"/>
  <c r="GK39" i="54"/>
  <c r="GL39" i="54" s="1"/>
  <c r="DW39" i="54"/>
  <c r="EA39" i="54"/>
  <c r="DQ39" i="54"/>
  <c r="DF39" i="54"/>
  <c r="BI39" i="54"/>
  <c r="BK39" i="54"/>
  <c r="BS39" i="54" s="1" a="1"/>
  <c r="BS39" i="54" s="1"/>
  <c r="BH39" i="54"/>
  <c r="GK23" i="54"/>
  <c r="GL23" i="54" s="1"/>
  <c r="DW23" i="54"/>
  <c r="DF23" i="54"/>
  <c r="BI23" i="54"/>
  <c r="BK23" i="54"/>
  <c r="BS23" i="54" s="1" a="1"/>
  <c r="BS23" i="54" s="1"/>
  <c r="BH23" i="54"/>
  <c r="EA23" i="54"/>
  <c r="CN56" i="54"/>
  <c r="CN24" i="54"/>
  <c r="DR58" i="54"/>
  <c r="DY42" i="54"/>
  <c r="DR42" i="54"/>
  <c r="DZ42" i="54"/>
  <c r="DY26" i="54"/>
  <c r="DZ26" i="54" s="1"/>
  <c r="DR26" i="54"/>
  <c r="DR10" i="54"/>
  <c r="BF35" i="54"/>
  <c r="DT35" i="54" s="1"/>
  <c r="BG68" i="54"/>
  <c r="BG42" i="54"/>
  <c r="BG21" i="54"/>
  <c r="BH50" i="54"/>
  <c r="BI34" i="54"/>
  <c r="GR12" i="54"/>
  <c r="GS12" i="54" s="1"/>
  <c r="GX12" i="54"/>
  <c r="GY12" i="54"/>
  <c r="EY12" i="54"/>
  <c r="FN12" i="54" s="1"/>
  <c r="FO12" i="54" s="1"/>
  <c r="BJ25" i="54"/>
  <c r="BP9" i="54"/>
  <c r="BL11" i="54"/>
  <c r="BM40" i="54" a="1"/>
  <c r="BM40" i="54" s="1"/>
  <c r="CA40" i="54" s="1"/>
  <c r="BR9" i="54"/>
  <c r="BX48" i="54"/>
  <c r="BW27" i="54"/>
  <c r="CE27" i="54" s="1"/>
  <c r="CI11" i="54"/>
  <c r="CE43" i="54"/>
  <c r="CN27" i="54"/>
  <c r="DQ23" i="54"/>
  <c r="GK59" i="54"/>
  <c r="GL59" i="54" s="1"/>
  <c r="DW59" i="54"/>
  <c r="DQ59" i="54"/>
  <c r="EA59" i="54"/>
  <c r="BG59" i="54"/>
  <c r="BW59" i="54"/>
  <c r="CJ59" i="54" s="1"/>
  <c r="BI59" i="54"/>
  <c r="DV32" i="54"/>
  <c r="CU42" i="54"/>
  <c r="CP42" i="54"/>
  <c r="CT42" i="54"/>
  <c r="CS42" i="54"/>
  <c r="DX43" i="54"/>
  <c r="DA68" i="54" a="1"/>
  <c r="DA68" i="54" s="1"/>
  <c r="DB68" i="54"/>
  <c r="GK41" i="54"/>
  <c r="GL41" i="54" s="1"/>
  <c r="DF41" i="54"/>
  <c r="EA41" i="54"/>
  <c r="DW41" i="54"/>
  <c r="DQ41" i="54"/>
  <c r="BL41" i="54"/>
  <c r="BK41" i="54"/>
  <c r="BS41" i="54" s="1" a="1"/>
  <c r="BS41" i="54" s="1"/>
  <c r="BW41" i="54"/>
  <c r="BY41" i="54" s="1"/>
  <c r="BF42" i="54"/>
  <c r="CW42" i="54" s="1"/>
  <c r="DR60" i="54"/>
  <c r="DR12" i="54"/>
  <c r="GD12" i="54"/>
  <c r="DY12" i="54"/>
  <c r="DZ12" i="54" s="1"/>
  <c r="BP11" i="54"/>
  <c r="DA67" i="54" a="1"/>
  <c r="DA67" i="54" s="1"/>
  <c r="DB67" i="54"/>
  <c r="BR11" i="54"/>
  <c r="DF35" i="54"/>
  <c r="DX34" i="54"/>
  <c r="DX18" i="54"/>
  <c r="GK56" i="54"/>
  <c r="GL56" i="54" s="1"/>
  <c r="EA56" i="54"/>
  <c r="DF56" i="54"/>
  <c r="DQ56" i="54"/>
  <c r="BW56" i="54"/>
  <c r="CI56" i="54" s="1"/>
  <c r="BK56" i="54"/>
  <c r="BS56" i="54" s="1" a="1"/>
  <c r="BS56" i="54" s="1"/>
  <c r="BH56" i="54"/>
  <c r="BP56" i="54" s="1"/>
  <c r="CN25" i="54"/>
  <c r="BF25" i="54"/>
  <c r="DT25" i="54" s="1"/>
  <c r="DR27" i="54"/>
  <c r="DY27" i="54"/>
  <c r="DZ27" i="54" s="1"/>
  <c r="BI35" i="54"/>
  <c r="BL66" i="54"/>
  <c r="CW72" i="54"/>
  <c r="DB5" i="54"/>
  <c r="DF34" i="54"/>
  <c r="C14" i="54"/>
  <c r="DQ70" i="54"/>
  <c r="GK70" i="54"/>
  <c r="GL70" i="54" s="1"/>
  <c r="EA70" i="54"/>
  <c r="BH70" i="54"/>
  <c r="BR70" i="54" s="1"/>
  <c r="GK54" i="54"/>
  <c r="GL54" i="54" s="1"/>
  <c r="DQ54" i="54"/>
  <c r="EA54" i="54"/>
  <c r="DF54" i="54"/>
  <c r="BH54" i="54"/>
  <c r="DW54" i="54"/>
  <c r="DQ38" i="54"/>
  <c r="GK38" i="54"/>
  <c r="GL38" i="54" s="1"/>
  <c r="EA38" i="54"/>
  <c r="BW38" i="54"/>
  <c r="CE38" i="54" s="1"/>
  <c r="BH38" i="54"/>
  <c r="BP38" i="54" s="1"/>
  <c r="DW38" i="54"/>
  <c r="DF38" i="54"/>
  <c r="DQ22" i="54"/>
  <c r="GK22" i="54"/>
  <c r="GL22" i="54" s="1"/>
  <c r="DW22" i="54"/>
  <c r="DF22" i="54"/>
  <c r="BH22" i="54"/>
  <c r="EA22" i="54"/>
  <c r="CN71" i="54"/>
  <c r="BM71" i="54" s="1" a="1"/>
  <c r="BM71" i="54" s="1"/>
  <c r="CA71" i="54" s="1"/>
  <c r="CN39" i="54"/>
  <c r="CN23" i="54"/>
  <c r="BM23" i="54" s="1" a="1"/>
  <c r="BM23" i="54" s="1"/>
  <c r="CA23" i="54" s="1"/>
  <c r="BE58" i="54"/>
  <c r="C58" i="54" s="1"/>
  <c r="BF56" i="54"/>
  <c r="DT56" i="54" s="1"/>
  <c r="BG67" i="54"/>
  <c r="BG41" i="54"/>
  <c r="BH48" i="54"/>
  <c r="BI56" i="54"/>
  <c r="BJ24" i="54"/>
  <c r="BK54" i="54"/>
  <c r="BS54" i="54" s="1" a="1"/>
  <c r="BS54" i="54" s="1"/>
  <c r="CI54" i="54" s="1"/>
  <c r="BL8" i="54"/>
  <c r="CK20" i="54"/>
  <c r="CL20" i="54" s="1"/>
  <c r="FH20" i="54" s="1"/>
  <c r="FJ20" i="54" s="1"/>
  <c r="CJ20" i="54"/>
  <c r="BU20" i="54"/>
  <c r="BT20" i="54"/>
  <c r="CM11" i="54"/>
  <c r="CJ11" i="54"/>
  <c r="BT11" i="54"/>
  <c r="CB11" i="54" s="1"/>
  <c r="CC11" i="54" s="1"/>
  <c r="CD11" i="54" s="1"/>
  <c r="BY63" i="54"/>
  <c r="BX63" i="54"/>
  <c r="BY47" i="54"/>
  <c r="BX47" i="54"/>
  <c r="CI10" i="54"/>
  <c r="GR11" i="54"/>
  <c r="GS11" i="54" s="1"/>
  <c r="GX11" i="54"/>
  <c r="GY11" i="54"/>
  <c r="EY11" i="54"/>
  <c r="FN11" i="54" s="1"/>
  <c r="FO11" i="54" s="1"/>
  <c r="CG38" i="54"/>
  <c r="CK9" i="54"/>
  <c r="CL9" i="54" s="1"/>
  <c r="FH9" i="54" s="1"/>
  <c r="FJ9" i="54" s="1"/>
  <c r="CO5" i="54"/>
  <c r="CW5" i="54"/>
  <c r="CQ5" i="54"/>
  <c r="CX5" i="54"/>
  <c r="CV5" i="54"/>
  <c r="CS5" i="54"/>
  <c r="CU5" i="54"/>
  <c r="DK29" i="54"/>
  <c r="DN29" i="54"/>
  <c r="GT36" i="54"/>
  <c r="CS43" i="54"/>
  <c r="CP43" i="54"/>
  <c r="CW43" i="54"/>
  <c r="CU43" i="54"/>
  <c r="CR43" i="54"/>
  <c r="DN44" i="54"/>
  <c r="GK43" i="54"/>
  <c r="GL43" i="54" s="1"/>
  <c r="DF43" i="54"/>
  <c r="DW43" i="54"/>
  <c r="DQ43" i="54"/>
  <c r="BG43" i="54"/>
  <c r="BI43" i="54"/>
  <c r="DV58" i="54"/>
  <c r="GY16" i="54"/>
  <c r="GX16" i="54"/>
  <c r="GR16" i="54"/>
  <c r="GS16" i="54" s="1"/>
  <c r="EY16" i="54"/>
  <c r="FN16" i="54" s="1"/>
  <c r="FO16" i="54" s="1"/>
  <c r="DA69" i="54" a="1"/>
  <c r="DA69" i="54" s="1"/>
  <c r="DB69" i="54"/>
  <c r="DX67" i="54"/>
  <c r="DX51" i="54"/>
  <c r="DX35" i="54"/>
  <c r="DX19" i="54"/>
  <c r="DX11" i="54"/>
  <c r="CY3" i="54"/>
  <c r="CY4" i="54" s="1"/>
  <c r="CY5" i="54" s="1"/>
  <c r="CY6" i="54" s="1"/>
  <c r="CY7" i="54" s="1"/>
  <c r="CY8" i="54" s="1"/>
  <c r="CY9" i="54" s="1"/>
  <c r="CY10" i="54" s="1"/>
  <c r="CY11" i="54" s="1"/>
  <c r="CY12" i="54" s="1"/>
  <c r="CY13" i="54" s="1"/>
  <c r="CY14" i="54" s="1"/>
  <c r="CY15" i="54" s="1"/>
  <c r="CY16" i="54" s="1"/>
  <c r="CY17" i="54" s="1"/>
  <c r="CY18" i="54" s="1"/>
  <c r="CY19" i="54" s="1"/>
  <c r="CY20" i="54" s="1"/>
  <c r="CY21" i="54" s="1"/>
  <c r="CY22" i="54" s="1"/>
  <c r="CY23" i="54" s="1"/>
  <c r="DX3" i="54"/>
  <c r="GK26" i="54"/>
  <c r="GL26" i="54" s="1"/>
  <c r="DW26" i="54"/>
  <c r="DF26" i="54"/>
  <c r="BL26" i="54"/>
  <c r="BK26" i="54"/>
  <c r="BS26" i="54" s="1" a="1"/>
  <c r="BS26" i="54" s="1"/>
  <c r="CK4" i="54"/>
  <c r="CL4" i="54" s="1"/>
  <c r="FH4" i="54" s="1"/>
  <c r="FJ4" i="54" s="1"/>
  <c r="BU4" i="54"/>
  <c r="CI4" i="54"/>
  <c r="CT41" i="54"/>
  <c r="CW41" i="54"/>
  <c r="CU41" i="54"/>
  <c r="CS41" i="54"/>
  <c r="CQ41" i="54"/>
  <c r="CV41" i="54"/>
  <c r="GT7" i="54"/>
  <c r="GK25" i="54"/>
  <c r="GL25" i="54" s="1"/>
  <c r="DF25" i="54"/>
  <c r="DW25" i="54"/>
  <c r="BL25" i="54"/>
  <c r="BK25" i="54"/>
  <c r="BS25" i="54" s="1" a="1"/>
  <c r="BS25" i="54" s="1"/>
  <c r="CN26" i="54"/>
  <c r="BF26" i="54"/>
  <c r="DT26" i="54" s="1"/>
  <c r="DR44" i="54"/>
  <c r="GD44" i="54"/>
  <c r="DY44" i="54"/>
  <c r="DZ44" i="54" s="1"/>
  <c r="DB17" i="54"/>
  <c r="DA17" i="54" a="1"/>
  <c r="DA17" i="54" s="1"/>
  <c r="DK46" i="54"/>
  <c r="DN46" i="54"/>
  <c r="DY11" i="54"/>
  <c r="DZ11" i="54" s="1"/>
  <c r="DX10" i="54"/>
  <c r="EK10" i="54"/>
  <c r="GK40" i="54"/>
  <c r="GL40" i="54" s="1"/>
  <c r="DW40" i="54"/>
  <c r="DF40" i="54"/>
  <c r="EA40" i="54"/>
  <c r="DQ40" i="54"/>
  <c r="BI40" i="54"/>
  <c r="BK40" i="54"/>
  <c r="BS40" i="54" s="1" a="1"/>
  <c r="BS40" i="54" s="1"/>
  <c r="BH40" i="54"/>
  <c r="AY54" i="54"/>
  <c r="E54" i="54" s="1"/>
  <c r="AZ54" i="54" s="1"/>
  <c r="CN57" i="54"/>
  <c r="BF57" i="54"/>
  <c r="GD59" i="54"/>
  <c r="DR59" i="54"/>
  <c r="DR43" i="54"/>
  <c r="DY43" i="54"/>
  <c r="DZ43" i="54" s="1"/>
  <c r="DR11" i="54"/>
  <c r="BE60" i="54"/>
  <c r="GD60" i="54" s="1"/>
  <c r="BH51" i="54"/>
  <c r="DN45" i="54"/>
  <c r="DY10" i="54"/>
  <c r="DZ10" i="54" s="1"/>
  <c r="GT44" i="54"/>
  <c r="GK69" i="54"/>
  <c r="GL69" i="54" s="1"/>
  <c r="DW69" i="54"/>
  <c r="DQ69" i="54"/>
  <c r="DF69" i="54"/>
  <c r="EA69" i="54"/>
  <c r="BH69" i="54"/>
  <c r="GK53" i="54"/>
  <c r="GL53" i="54" s="1"/>
  <c r="DQ53" i="54"/>
  <c r="DW53" i="54"/>
  <c r="EA53" i="54"/>
  <c r="BH53" i="54"/>
  <c r="GK37" i="54"/>
  <c r="GL37" i="54" s="1"/>
  <c r="EA37" i="54"/>
  <c r="DQ37" i="54"/>
  <c r="DW37" i="54"/>
  <c r="BH37" i="54"/>
  <c r="DF37" i="54"/>
  <c r="GK21" i="54"/>
  <c r="GL21" i="54" s="1"/>
  <c r="DW21" i="54"/>
  <c r="DF21" i="54"/>
  <c r="BH21" i="54"/>
  <c r="EA21" i="54"/>
  <c r="CN70" i="54"/>
  <c r="CN54" i="54"/>
  <c r="BM54" i="54" s="1" a="1"/>
  <c r="BM54" i="54" s="1"/>
  <c r="CA54" i="54" s="1"/>
  <c r="CN38" i="54"/>
  <c r="BM38" i="54" s="1" a="1"/>
  <c r="BM38" i="54" s="1"/>
  <c r="CA38" i="54" s="1"/>
  <c r="CN22" i="54"/>
  <c r="BM22" i="54" s="1" a="1"/>
  <c r="BM22" i="54" s="1"/>
  <c r="CA22" i="54" s="1"/>
  <c r="DR72" i="54"/>
  <c r="DR56" i="54"/>
  <c r="DY40" i="54"/>
  <c r="DR40" i="54"/>
  <c r="GD24" i="54"/>
  <c r="DR24" i="54"/>
  <c r="DY24" i="54"/>
  <c r="GD8" i="54"/>
  <c r="DR8" i="54"/>
  <c r="BE10" i="54"/>
  <c r="C10" i="54" s="1"/>
  <c r="BF55" i="54"/>
  <c r="DT55" i="54" s="1"/>
  <c r="BG40" i="54"/>
  <c r="BI54" i="54"/>
  <c r="BR64" i="54"/>
  <c r="BP64" i="54"/>
  <c r="BJ23" i="54"/>
  <c r="BK53" i="54"/>
  <c r="BS53" i="54" s="1" a="1"/>
  <c r="BS53" i="54" s="1"/>
  <c r="BL59" i="54"/>
  <c r="BL7" i="54"/>
  <c r="BR6" i="54"/>
  <c r="CM19" i="54"/>
  <c r="CK19" i="54"/>
  <c r="CL19" i="54" s="1"/>
  <c r="FH19" i="54" s="1"/>
  <c r="FJ19" i="54" s="1"/>
  <c r="BT19" i="54"/>
  <c r="CB19" i="54" s="1"/>
  <c r="CC19" i="54" s="1"/>
  <c r="CD19" i="54" s="1"/>
  <c r="CJ19" i="54"/>
  <c r="CM10" i="54"/>
  <c r="BT10" i="54"/>
  <c r="CJ10" i="54"/>
  <c r="BU10" i="54"/>
  <c r="BX30" i="54"/>
  <c r="CI9" i="54"/>
  <c r="CK8" i="54"/>
  <c r="CL8" i="54" s="1"/>
  <c r="FH8" i="54" s="1"/>
  <c r="FJ8" i="54" s="1"/>
  <c r="CM4" i="54"/>
  <c r="CT20" i="54"/>
  <c r="CV20" i="54"/>
  <c r="CW20" i="54"/>
  <c r="CO20" i="54"/>
  <c r="CR20" i="54"/>
  <c r="CT4" i="54"/>
  <c r="CV4" i="54"/>
  <c r="CU4" i="54"/>
  <c r="CS4" i="54"/>
  <c r="CR4" i="54"/>
  <c r="CX4" i="54"/>
  <c r="CQ4" i="54"/>
  <c r="DK45" i="54"/>
  <c r="GT33" i="54"/>
  <c r="GK27" i="54"/>
  <c r="GL27" i="54" s="1"/>
  <c r="EA27" i="54"/>
  <c r="DW27" i="54"/>
  <c r="DF27" i="54"/>
  <c r="BG27" i="54"/>
  <c r="BI27" i="54"/>
  <c r="BX20" i="54"/>
  <c r="BY20" i="54"/>
  <c r="DW58" i="54"/>
  <c r="GK58" i="54"/>
  <c r="GL58" i="54" s="1"/>
  <c r="EA58" i="54"/>
  <c r="DQ58" i="54"/>
  <c r="BL58" i="54"/>
  <c r="BK58" i="54"/>
  <c r="BS58" i="54" s="1" a="1"/>
  <c r="BS58" i="54" s="1"/>
  <c r="CG58" i="54" s="1"/>
  <c r="BP12" i="54"/>
  <c r="DK47" i="54"/>
  <c r="DQ26" i="54"/>
  <c r="GK57" i="54"/>
  <c r="GL57" i="54" s="1"/>
  <c r="EA57" i="54"/>
  <c r="DF57" i="54"/>
  <c r="DQ57" i="54"/>
  <c r="BL57" i="54"/>
  <c r="BK57" i="54"/>
  <c r="BS57" i="54" s="1" a="1"/>
  <c r="BS57" i="54" s="1"/>
  <c r="DW9" i="54"/>
  <c r="BL9" i="54"/>
  <c r="BF58" i="54"/>
  <c r="DT58" i="54" s="1"/>
  <c r="DR28" i="54"/>
  <c r="DY28" i="54"/>
  <c r="DV52" i="54"/>
  <c r="BZ52" i="54"/>
  <c r="BR52" i="54"/>
  <c r="BJ27" i="54"/>
  <c r="DB39" i="54"/>
  <c r="DA39" i="54" a="1"/>
  <c r="DA39" i="54" s="1"/>
  <c r="DC39" i="54" s="1"/>
  <c r="BX3" i="54"/>
  <c r="CT40" i="54"/>
  <c r="CW40" i="54"/>
  <c r="CU40" i="54"/>
  <c r="CQ40" i="54"/>
  <c r="CS40" i="54"/>
  <c r="CR40" i="54"/>
  <c r="CV40" i="54"/>
  <c r="GT6" i="54"/>
  <c r="DX66" i="54"/>
  <c r="DX50" i="54"/>
  <c r="GK72" i="54"/>
  <c r="GL72" i="54" s="1"/>
  <c r="DF72" i="54"/>
  <c r="DW72" i="54"/>
  <c r="DQ72" i="54"/>
  <c r="BK72" i="54"/>
  <c r="BS72" i="54" s="1" a="1"/>
  <c r="BS72" i="54" s="1"/>
  <c r="BH72" i="54"/>
  <c r="GK24" i="54"/>
  <c r="GL24" i="54" s="1"/>
  <c r="DF24" i="54"/>
  <c r="DW24" i="54"/>
  <c r="BI24" i="54"/>
  <c r="BK24" i="54"/>
  <c r="BS24" i="54" s="1" a="1"/>
  <c r="BS24" i="54" s="1"/>
  <c r="BH24" i="54"/>
  <c r="GY13" i="54"/>
  <c r="GR13" i="54"/>
  <c r="GS13" i="54" s="1"/>
  <c r="GX13" i="54"/>
  <c r="EY13" i="54"/>
  <c r="FN13" i="54" s="1"/>
  <c r="FO13" i="54" s="1"/>
  <c r="BP10" i="54"/>
  <c r="C44" i="54"/>
  <c r="C12" i="54"/>
  <c r="GK68" i="54"/>
  <c r="GL68" i="54" s="1"/>
  <c r="DQ68" i="54"/>
  <c r="DW68" i="54"/>
  <c r="EA68" i="54"/>
  <c r="DF68" i="54"/>
  <c r="BK68" i="54"/>
  <c r="BS68" i="54" s="1" a="1"/>
  <c r="BS68" i="54" s="1"/>
  <c r="GK52" i="54"/>
  <c r="GL52" i="54" s="1"/>
  <c r="DQ52" i="54"/>
  <c r="DW52" i="54"/>
  <c r="EA52" i="54"/>
  <c r="DF52" i="54"/>
  <c r="BK52" i="54"/>
  <c r="BS52" i="54" s="1" a="1"/>
  <c r="BS52" i="54" s="1"/>
  <c r="CG52" i="54" s="1"/>
  <c r="GK36" i="54"/>
  <c r="GL36" i="54" s="1"/>
  <c r="EA36" i="54"/>
  <c r="DQ36" i="54"/>
  <c r="BK36" i="54"/>
  <c r="BS36" i="54" s="1" a="1"/>
  <c r="BS36" i="54" s="1"/>
  <c r="DF36" i="54"/>
  <c r="DW36" i="54"/>
  <c r="BJ36" i="54"/>
  <c r="CG36" i="54" s="1"/>
  <c r="CN69" i="54"/>
  <c r="BF69" i="54"/>
  <c r="DT69" i="54" s="1"/>
  <c r="BF53" i="54"/>
  <c r="DT53" i="54" s="1"/>
  <c r="BF37" i="54"/>
  <c r="DT37" i="54" s="1"/>
  <c r="CN37" i="54"/>
  <c r="BF21" i="54"/>
  <c r="DT21" i="54" s="1"/>
  <c r="GD71" i="54"/>
  <c r="DY71" i="54"/>
  <c r="DZ71" i="54" s="1"/>
  <c r="DY72" i="54" s="1"/>
  <c r="DZ72" i="54" s="1"/>
  <c r="DR71" i="54"/>
  <c r="GD55" i="54"/>
  <c r="DY55" i="54"/>
  <c r="DR55" i="54"/>
  <c r="GD39" i="54"/>
  <c r="GD23" i="54"/>
  <c r="DY23" i="54"/>
  <c r="DR23" i="54"/>
  <c r="DZ23" i="54"/>
  <c r="GD7" i="54"/>
  <c r="DZ7" i="54"/>
  <c r="DR7" i="54"/>
  <c r="BE56" i="54"/>
  <c r="C56" i="54" s="1"/>
  <c r="BF54" i="54"/>
  <c r="DT54" i="54" s="1"/>
  <c r="BG39" i="54"/>
  <c r="BH68" i="54"/>
  <c r="BR68" i="54" s="1"/>
  <c r="BH25" i="54"/>
  <c r="BI53" i="54"/>
  <c r="CG9" i="54"/>
  <c r="CF9" i="54"/>
  <c r="CH9" i="54" s="1"/>
  <c r="EX9" i="54" s="1"/>
  <c r="BJ22" i="54"/>
  <c r="BK50" i="54"/>
  <c r="BS50" i="54" s="1" a="1"/>
  <c r="BS50" i="54" s="1"/>
  <c r="BL56" i="54"/>
  <c r="BL6" i="54"/>
  <c r="BP8" i="54"/>
  <c r="BR5" i="54"/>
  <c r="BW58" i="54"/>
  <c r="BW24" i="54"/>
  <c r="CI8" i="54"/>
  <c r="BX46" i="54"/>
  <c r="BY66" i="54"/>
  <c r="DK44" i="54"/>
  <c r="BR13" i="54"/>
  <c r="BX4" i="54"/>
  <c r="BY4" i="54"/>
  <c r="DQ27" i="54"/>
  <c r="DW42" i="54"/>
  <c r="GK42" i="54"/>
  <c r="GL42" i="54" s="1"/>
  <c r="EA42" i="54"/>
  <c r="DQ42" i="54"/>
  <c r="BL42" i="54"/>
  <c r="DF42" i="54"/>
  <c r="BK42" i="54"/>
  <c r="BS42" i="54" s="1" a="1"/>
  <c r="BS42" i="54" s="1"/>
  <c r="CI42" i="54" s="1"/>
  <c r="DW10" i="54"/>
  <c r="BL10" i="54"/>
  <c r="BR69" i="54"/>
  <c r="BX51" i="54"/>
  <c r="GK67" i="54"/>
  <c r="GL67" i="54" s="1"/>
  <c r="EA67" i="54"/>
  <c r="DW67" i="54"/>
  <c r="DQ67" i="54"/>
  <c r="DF67" i="54"/>
  <c r="BK67" i="54"/>
  <c r="BS67" i="54" s="1" a="1"/>
  <c r="BS67" i="54" s="1"/>
  <c r="CG67" i="54" s="1"/>
  <c r="GK51" i="54"/>
  <c r="GL51" i="54" s="1"/>
  <c r="DW51" i="54"/>
  <c r="EA51" i="54"/>
  <c r="DF51" i="54"/>
  <c r="BW51" i="54"/>
  <c r="CI51" i="54" s="1"/>
  <c r="BK51" i="54"/>
  <c r="BS51" i="54" s="1" a="1"/>
  <c r="BS51" i="54" s="1"/>
  <c r="DQ51" i="54"/>
  <c r="GK35" i="54"/>
  <c r="GL35" i="54" s="1"/>
  <c r="EA35" i="54"/>
  <c r="DW35" i="54"/>
  <c r="DQ35" i="54"/>
  <c r="BK35" i="54"/>
  <c r="BS35" i="54" s="1" a="1"/>
  <c r="BS35" i="54" s="1"/>
  <c r="BJ35" i="54"/>
  <c r="CN68" i="54"/>
  <c r="BM68" i="54" s="1" a="1"/>
  <c r="BM68" i="54" s="1"/>
  <c r="CN52" i="54"/>
  <c r="CN36" i="54"/>
  <c r="BM36" i="54" s="1" a="1"/>
  <c r="BM36" i="54" s="1"/>
  <c r="CA36" i="54" s="1"/>
  <c r="DR70" i="54"/>
  <c r="BE70" i="54"/>
  <c r="C70" i="54" s="1"/>
  <c r="DR54" i="54"/>
  <c r="BE54" i="54"/>
  <c r="C54" i="54" s="1"/>
  <c r="DY38" i="54"/>
  <c r="BE38" i="54"/>
  <c r="C38" i="54" s="1"/>
  <c r="DR22" i="54"/>
  <c r="BE22" i="54"/>
  <c r="C22" i="54" s="1"/>
  <c r="DY6" i="54"/>
  <c r="DZ6" i="54" s="1"/>
  <c r="DR6" i="54"/>
  <c r="BE6" i="54"/>
  <c r="C6" i="54" s="1"/>
  <c r="BF52" i="54"/>
  <c r="DT52" i="54" s="1"/>
  <c r="BH67" i="54"/>
  <c r="BI26" i="54"/>
  <c r="BJ43" i="54"/>
  <c r="BK27" i="54"/>
  <c r="BS27" i="54" s="1" a="1"/>
  <c r="BS27" i="54" s="1"/>
  <c r="DB55" i="54"/>
  <c r="BR4" i="54"/>
  <c r="CJ9" i="54"/>
  <c r="BU9" i="54"/>
  <c r="CB9" i="54" s="1"/>
  <c r="CC9" i="54" s="1"/>
  <c r="CD9" i="54" s="1"/>
  <c r="CI7" i="54"/>
  <c r="BX19" i="54"/>
  <c r="CT72" i="54"/>
  <c r="CV72" i="54"/>
  <c r="CQ72" i="54"/>
  <c r="CP72" i="54"/>
  <c r="CS72" i="54"/>
  <c r="CU72" i="54"/>
  <c r="CR72" i="54"/>
  <c r="CS18" i="54"/>
  <c r="CX18" i="54"/>
  <c r="CV18" i="54"/>
  <c r="CP18" i="54"/>
  <c r="CT18" i="54"/>
  <c r="CW18" i="54"/>
  <c r="CU18" i="54"/>
  <c r="CO18" i="54"/>
  <c r="CP41" i="54"/>
  <c r="CV43" i="54"/>
  <c r="DX59" i="54"/>
  <c r="GT71" i="54"/>
  <c r="GT55" i="54"/>
  <c r="GT39" i="54"/>
  <c r="GT23" i="54"/>
  <c r="GK65" i="54"/>
  <c r="GL65" i="54" s="1"/>
  <c r="DW65" i="54"/>
  <c r="EA65" i="54"/>
  <c r="DF65" i="54"/>
  <c r="BW65" i="54"/>
  <c r="CJ65" i="54" s="1"/>
  <c r="BH65" i="54"/>
  <c r="BG65" i="54"/>
  <c r="GK49" i="54"/>
  <c r="GL49" i="54" s="1"/>
  <c r="EA49" i="54"/>
  <c r="DW49" i="54"/>
  <c r="DQ49" i="54"/>
  <c r="DF49" i="54"/>
  <c r="CE49" i="54"/>
  <c r="BW49" i="54"/>
  <c r="CJ49" i="54" s="1"/>
  <c r="BH49" i="54"/>
  <c r="BJ49" i="54"/>
  <c r="BG49" i="54"/>
  <c r="AY49" i="54"/>
  <c r="E49" i="54" s="1"/>
  <c r="AZ49" i="54" s="1"/>
  <c r="GK33" i="54"/>
  <c r="GL33" i="54" s="1"/>
  <c r="DW33" i="54"/>
  <c r="DQ33" i="54"/>
  <c r="EA33" i="54"/>
  <c r="BW33" i="54"/>
  <c r="CI33" i="54" s="1"/>
  <c r="DF33" i="54"/>
  <c r="BH33" i="54"/>
  <c r="BJ33" i="54"/>
  <c r="BG33" i="54"/>
  <c r="AY33" i="54"/>
  <c r="AY26" i="54"/>
  <c r="CN66" i="54"/>
  <c r="CN50" i="54"/>
  <c r="BM50" i="54" s="1" a="1"/>
  <c r="BM50" i="54" s="1"/>
  <c r="CN34" i="54"/>
  <c r="BM34" i="54" s="1" a="1"/>
  <c r="BM34" i="54" s="1"/>
  <c r="CA34" i="54" s="1"/>
  <c r="DR68" i="54"/>
  <c r="BE68" i="54"/>
  <c r="C68" i="54" s="1"/>
  <c r="DR52" i="54"/>
  <c r="BE52" i="54"/>
  <c r="C52" i="54" s="1"/>
  <c r="DR36" i="54"/>
  <c r="DY36" i="54"/>
  <c r="DZ36" i="54" s="1"/>
  <c r="BE36" i="54"/>
  <c r="C36" i="54" s="1"/>
  <c r="DY20" i="54"/>
  <c r="DZ20" i="54" s="1"/>
  <c r="DR20" i="54"/>
  <c r="BE20" i="54"/>
  <c r="C20" i="54" s="1"/>
  <c r="DY4" i="54"/>
  <c r="DZ4" i="54" s="1"/>
  <c r="DR4" i="54"/>
  <c r="BE4" i="54"/>
  <c r="C4" i="54" s="1"/>
  <c r="BE27" i="54"/>
  <c r="C27" i="54" s="1"/>
  <c r="BF50" i="54"/>
  <c r="DT50" i="54" s="1"/>
  <c r="BG57" i="54"/>
  <c r="BG36" i="54"/>
  <c r="BH43" i="54"/>
  <c r="BI72" i="54"/>
  <c r="BI22" i="54"/>
  <c r="CG6" i="54"/>
  <c r="CF6" i="54"/>
  <c r="CH6" i="54" s="1"/>
  <c r="EX6" i="54" s="1"/>
  <c r="BP60" i="54"/>
  <c r="BJ41" i="54"/>
  <c r="BR19" i="54"/>
  <c r="BR3" i="54"/>
  <c r="BK21" i="54"/>
  <c r="BS21" i="54" s="1" a="1"/>
  <c r="BS21" i="54" s="1"/>
  <c r="BL53" i="54"/>
  <c r="BL27" i="54"/>
  <c r="BL3" i="54"/>
  <c r="BP3" i="54"/>
  <c r="BR26" i="54"/>
  <c r="EB26" i="54" s="1"/>
  <c r="CI5" i="54"/>
  <c r="CN58" i="54"/>
  <c r="CV16" i="54"/>
  <c r="CX16" i="54"/>
  <c r="CU16" i="54"/>
  <c r="CT16" i="54"/>
  <c r="CS16" i="54"/>
  <c r="CO16" i="54"/>
  <c r="CR16" i="54"/>
  <c r="CQ16" i="54"/>
  <c r="CW16" i="54"/>
  <c r="CQ18" i="54"/>
  <c r="DN48" i="54"/>
  <c r="DN40" i="54"/>
  <c r="DK40" i="54"/>
  <c r="DX26" i="54"/>
  <c r="EA72" i="54"/>
  <c r="GF57" i="54"/>
  <c r="EK11" i="54"/>
  <c r="EL11" i="54" s="1"/>
  <c r="EM11" i="54" s="1"/>
  <c r="GT69" i="54"/>
  <c r="GT53" i="54"/>
  <c r="GT37" i="54"/>
  <c r="GT21" i="54"/>
  <c r="GT5" i="54"/>
  <c r="DX71" i="54"/>
  <c r="DX63" i="54"/>
  <c r="DX47" i="54"/>
  <c r="DX39" i="54"/>
  <c r="DX31" i="54"/>
  <c r="DX23" i="54"/>
  <c r="DX15" i="54"/>
  <c r="EK7" i="54"/>
  <c r="DX7" i="54"/>
  <c r="EA66" i="54"/>
  <c r="GK66" i="54"/>
  <c r="GL66" i="54" s="1"/>
  <c r="DW66" i="54"/>
  <c r="DQ66" i="54"/>
  <c r="DF66" i="54"/>
  <c r="BG66" i="54"/>
  <c r="GK50" i="54"/>
  <c r="GL50" i="54" s="1"/>
  <c r="EA50" i="54"/>
  <c r="DW50" i="54"/>
  <c r="DQ50" i="54"/>
  <c r="DF50" i="54"/>
  <c r="BW50" i="54"/>
  <c r="BG50" i="54"/>
  <c r="EA34" i="54"/>
  <c r="GK34" i="54"/>
  <c r="GL34" i="54" s="1"/>
  <c r="BW34" i="54"/>
  <c r="CI34" i="54" s="1"/>
  <c r="DW34" i="54"/>
  <c r="BJ34" i="54"/>
  <c r="BG34" i="54"/>
  <c r="AY27" i="54"/>
  <c r="E27" i="54" s="1"/>
  <c r="AZ27" i="54" s="1"/>
  <c r="CN67" i="54"/>
  <c r="CN51" i="54"/>
  <c r="CN35" i="54"/>
  <c r="AI10" i="53"/>
  <c r="DR69" i="54"/>
  <c r="BE69" i="54"/>
  <c r="C69" i="54" s="1"/>
  <c r="DR53" i="54"/>
  <c r="BE53" i="54"/>
  <c r="C53" i="54" s="1"/>
  <c r="DY37" i="54"/>
  <c r="DZ37" i="54" s="1"/>
  <c r="DR37" i="54"/>
  <c r="BE37" i="54"/>
  <c r="C37" i="54" s="1"/>
  <c r="DY21" i="54"/>
  <c r="DZ21" i="54"/>
  <c r="DY22" i="54" s="1"/>
  <c r="DZ22" i="54" s="1"/>
  <c r="DR21" i="54"/>
  <c r="BE21" i="54"/>
  <c r="C21" i="54" s="1"/>
  <c r="DR5" i="54"/>
  <c r="BE5" i="54"/>
  <c r="C5" i="54" s="1"/>
  <c r="DY5" i="54"/>
  <c r="DZ5" i="54" s="1"/>
  <c r="BE28" i="54"/>
  <c r="C28" i="54" s="1"/>
  <c r="BF51" i="54"/>
  <c r="DT51" i="54" s="1"/>
  <c r="BG58" i="54"/>
  <c r="BH66" i="54"/>
  <c r="BI51" i="54"/>
  <c r="BI25" i="54"/>
  <c r="BP61" i="54"/>
  <c r="BJ42" i="54"/>
  <c r="BR20" i="54"/>
  <c r="DA54" i="54" a="1"/>
  <c r="DA54" i="54" s="1"/>
  <c r="DB54" i="54"/>
  <c r="DA4" i="54" a="1"/>
  <c r="DA4" i="54" s="1"/>
  <c r="DB4" i="54"/>
  <c r="BP4" i="54"/>
  <c r="CK17" i="54"/>
  <c r="CL17" i="54" s="1"/>
  <c r="FH17" i="54" s="1"/>
  <c r="FJ17" i="54" s="1"/>
  <c r="CM17" i="54"/>
  <c r="BT17" i="54"/>
  <c r="CB17" i="54" s="1"/>
  <c r="CC17" i="54" s="1"/>
  <c r="CD17" i="54" s="1"/>
  <c r="CJ17" i="54"/>
  <c r="CJ8" i="54"/>
  <c r="BU8" i="54"/>
  <c r="CI6" i="54"/>
  <c r="BY18" i="54"/>
  <c r="CB8" i="54"/>
  <c r="CC8" i="54" s="1"/>
  <c r="CD8" i="54" s="1"/>
  <c r="CN59" i="54"/>
  <c r="CP40" i="54"/>
  <c r="CV42" i="54"/>
  <c r="DR38" i="54"/>
  <c r="GT70" i="54"/>
  <c r="GT54" i="54"/>
  <c r="GT38" i="54"/>
  <c r="GT22" i="54"/>
  <c r="GK64" i="54"/>
  <c r="GL64" i="54" s="1"/>
  <c r="EA64" i="54"/>
  <c r="DQ64" i="54"/>
  <c r="DW64" i="54"/>
  <c r="DF64" i="54"/>
  <c r="BW64" i="54"/>
  <c r="CJ64" i="54" s="1"/>
  <c r="BG64" i="54"/>
  <c r="BL64" i="54"/>
  <c r="GK48" i="54"/>
  <c r="GL48" i="54" s="1"/>
  <c r="DW48" i="54"/>
  <c r="EA48" i="54"/>
  <c r="BW48" i="54"/>
  <c r="CI48" i="54" s="1"/>
  <c r="DQ48" i="54"/>
  <c r="BG48" i="54"/>
  <c r="AY48" i="54"/>
  <c r="E48" i="54" s="1"/>
  <c r="AZ48" i="54" s="1"/>
  <c r="BL48" i="54"/>
  <c r="EA32" i="54"/>
  <c r="DW32" i="54"/>
  <c r="DQ32" i="54"/>
  <c r="GK32" i="54"/>
  <c r="GL32" i="54" s="1"/>
  <c r="BW32" i="54"/>
  <c r="CI32" i="54" s="1"/>
  <c r="DF32" i="54"/>
  <c r="BG32" i="54"/>
  <c r="BL32" i="54"/>
  <c r="DW16" i="54"/>
  <c r="BL16" i="54"/>
  <c r="CN65" i="54"/>
  <c r="BM65" i="54" s="1" a="1"/>
  <c r="BM65" i="54" s="1"/>
  <c r="CA65" i="54" s="1"/>
  <c r="CN49" i="54"/>
  <c r="CN33" i="54"/>
  <c r="DR67" i="54"/>
  <c r="DY67" i="54"/>
  <c r="DZ67" i="54" s="1"/>
  <c r="DY68" i="54" s="1"/>
  <c r="DZ68" i="54" s="1"/>
  <c r="DY69" i="54" s="1"/>
  <c r="DZ69" i="54" s="1"/>
  <c r="DY70" i="54" s="1"/>
  <c r="DZ70" i="54" s="1"/>
  <c r="BE67" i="54"/>
  <c r="C67" i="54" s="1"/>
  <c r="DY51" i="54"/>
  <c r="DZ51" i="54" s="1"/>
  <c r="DY52" i="54" s="1"/>
  <c r="DZ52" i="54" s="1"/>
  <c r="DY53" i="54" s="1"/>
  <c r="DZ53" i="54" s="1"/>
  <c r="DY54" i="54" s="1"/>
  <c r="DZ54" i="54" s="1"/>
  <c r="DR51" i="54"/>
  <c r="BE51" i="54"/>
  <c r="C51" i="54" s="1"/>
  <c r="DR35" i="54"/>
  <c r="DY35" i="54"/>
  <c r="DZ35" i="54" s="1"/>
  <c r="BE35" i="54"/>
  <c r="C35" i="54" s="1"/>
  <c r="DR19" i="54"/>
  <c r="DY19" i="54"/>
  <c r="DZ19" i="54" s="1"/>
  <c r="BE19" i="54"/>
  <c r="AL3" i="40" a="1"/>
  <c r="AL3" i="40" s="1"/>
  <c r="V3" i="40" a="1"/>
  <c r="V3" i="40" s="1"/>
  <c r="N3" i="40" a="1"/>
  <c r="N3" i="40" s="1"/>
  <c r="F3" i="40" a="1"/>
  <c r="F3" i="40" s="1"/>
  <c r="BI3" i="40" a="1"/>
  <c r="BI3" i="40" s="1"/>
  <c r="L3" i="40" a="1"/>
  <c r="L3" i="40" s="1"/>
  <c r="D3" i="40" a="1"/>
  <c r="D3" i="40" s="1"/>
  <c r="BP3" i="40" a="1"/>
  <c r="BP3" i="40" s="1"/>
  <c r="BH3" i="40" a="1"/>
  <c r="BH3" i="40" s="1"/>
  <c r="K3" i="40" a="1"/>
  <c r="K3" i="40" s="1"/>
  <c r="N13" i="42" s="1"/>
  <c r="P13" i="42" s="1"/>
  <c r="AE13" i="42" s="1"/>
  <c r="AF13" i="42" s="1"/>
  <c r="BV3" i="40" a="1"/>
  <c r="BV3" i="40" s="1"/>
  <c r="BZ3" i="40" a="1"/>
  <c r="BZ3" i="40" s="1"/>
  <c r="BE3" i="40" a="1"/>
  <c r="BE3" i="40" s="1"/>
  <c r="BO3" i="40" a="1"/>
  <c r="BO3" i="40" s="1"/>
  <c r="E3" i="40" a="1"/>
  <c r="E3" i="40" s="1"/>
  <c r="BF8" i="10" s="1"/>
  <c r="BN3" i="40" a="1"/>
  <c r="BN3" i="40" s="1"/>
  <c r="L29" i="16" s="1"/>
  <c r="BL3" i="40" a="1"/>
  <c r="BL3" i="40" s="1"/>
  <c r="A3" i="40" a="1"/>
  <c r="A3" i="40" s="1"/>
  <c r="BJ3" i="40" a="1"/>
  <c r="BJ3" i="40" s="1"/>
  <c r="R3" i="40" a="1"/>
  <c r="R3" i="40" s="1"/>
  <c r="BG3" i="40" a="1"/>
  <c r="BG3" i="40" s="1"/>
  <c r="Y3" i="40" a="1"/>
  <c r="Y3" i="40" s="1"/>
  <c r="J3" i="40" a="1"/>
  <c r="J3" i="40" s="1"/>
  <c r="I3" i="40" a="1"/>
  <c r="I3" i="40" s="1"/>
  <c r="N19" i="42" s="1"/>
  <c r="P19" i="42" s="1"/>
  <c r="AE19" i="42" s="1"/>
  <c r="AF19" i="42" s="1"/>
  <c r="B3" i="40" a="1"/>
  <c r="B3" i="40" s="1"/>
  <c r="AV3" i="40" a="1"/>
  <c r="AV3" i="40" s="1"/>
  <c r="DY3" i="54"/>
  <c r="DZ3" i="54" s="1"/>
  <c r="BE3" i="54"/>
  <c r="C3" i="54" s="1"/>
  <c r="BF49" i="54"/>
  <c r="DT49" i="54" s="1"/>
  <c r="BG56" i="54"/>
  <c r="BG35" i="54"/>
  <c r="BH42" i="54"/>
  <c r="BI70" i="54"/>
  <c r="BI49" i="54"/>
  <c r="BI21" i="54"/>
  <c r="CG5" i="54"/>
  <c r="CF5" i="54"/>
  <c r="CH5" i="54" s="1"/>
  <c r="EX5" i="54" s="1"/>
  <c r="BJ40" i="54"/>
  <c r="BK70" i="54"/>
  <c r="BS70" i="54" s="1" a="1"/>
  <c r="BS70" i="54" s="1"/>
  <c r="BL52" i="54"/>
  <c r="BL24" i="54"/>
  <c r="BT4" i="54"/>
  <c r="BX57" i="54"/>
  <c r="BX41" i="54"/>
  <c r="BX25" i="54"/>
  <c r="BY9" i="54"/>
  <c r="BX9" i="54"/>
  <c r="CN55" i="54"/>
  <c r="CT43" i="54"/>
  <c r="DN61" i="54"/>
  <c r="DK61" i="54"/>
  <c r="DN39" i="54"/>
  <c r="DK39" i="54"/>
  <c r="DN24" i="54"/>
  <c r="EA71" i="54"/>
  <c r="CN62" i="54"/>
  <c r="CN30" i="54"/>
  <c r="GD64" i="54"/>
  <c r="DR64" i="54"/>
  <c r="DR48" i="54"/>
  <c r="DY48" i="54"/>
  <c r="DZ48" i="54" s="1"/>
  <c r="DY32" i="54"/>
  <c r="DR32" i="54"/>
  <c r="GD16" i="54"/>
  <c r="DY16" i="54"/>
  <c r="DZ16" i="54" s="1"/>
  <c r="BF60" i="54"/>
  <c r="DT60" i="54" s="1"/>
  <c r="BF28" i="54"/>
  <c r="DT28" i="54" s="1"/>
  <c r="BP13" i="54"/>
  <c r="DN6" i="54"/>
  <c r="GT11" i="54"/>
  <c r="CN45" i="54"/>
  <c r="CN29" i="54"/>
  <c r="GD63" i="54"/>
  <c r="DR63" i="54"/>
  <c r="GD47" i="54"/>
  <c r="DY47" i="54"/>
  <c r="GD31" i="54"/>
  <c r="DR31" i="54"/>
  <c r="DY31" i="54"/>
  <c r="DZ31" i="54" s="1"/>
  <c r="DY15" i="54"/>
  <c r="DZ15" i="54" s="1"/>
  <c r="BY28" i="54"/>
  <c r="DN38" i="54"/>
  <c r="CN44" i="54"/>
  <c r="BM44" i="54" s="1" a="1"/>
  <c r="BM44" i="54" s="1"/>
  <c r="GD62" i="54"/>
  <c r="DR62" i="54"/>
  <c r="DY46" i="54"/>
  <c r="DZ46" i="54" s="1"/>
  <c r="GD46" i="54"/>
  <c r="DR46" i="54"/>
  <c r="GD30" i="54"/>
  <c r="DR30" i="54"/>
  <c r="DY30" i="54"/>
  <c r="FN14" i="54"/>
  <c r="FO14" i="54" s="1"/>
  <c r="DR14" i="54"/>
  <c r="CX11" i="54"/>
  <c r="CP11" i="54"/>
  <c r="CT11" i="54"/>
  <c r="CS11" i="54"/>
  <c r="CR11" i="54"/>
  <c r="DK28" i="54"/>
  <c r="DR47" i="54"/>
  <c r="GF69" i="54"/>
  <c r="GD61" i="54"/>
  <c r="DY61" i="54"/>
  <c r="DR61" i="54"/>
  <c r="GD45" i="54"/>
  <c r="DY45" i="54"/>
  <c r="DZ45" i="54" s="1"/>
  <c r="DR45" i="54"/>
  <c r="GD29" i="54"/>
  <c r="DY29" i="54"/>
  <c r="DZ29" i="54" s="1"/>
  <c r="DR29" i="54"/>
  <c r="GD13" i="54"/>
  <c r="DR13" i="54"/>
  <c r="CJ3" i="54"/>
  <c r="CK3" i="54"/>
  <c r="CL3" i="54" s="1"/>
  <c r="FH3" i="54" s="1"/>
  <c r="FJ3" i="54" s="1"/>
  <c r="CN60" i="54"/>
  <c r="CU10" i="54"/>
  <c r="CW10" i="54"/>
  <c r="CT10" i="54"/>
  <c r="CV10" i="54"/>
  <c r="CQ10" i="54"/>
  <c r="CS10" i="54"/>
  <c r="DN36" i="54"/>
  <c r="DK36" i="54"/>
  <c r="DN28" i="54"/>
  <c r="GT48" i="54"/>
  <c r="CK18" i="54"/>
  <c r="CL18" i="54" s="1"/>
  <c r="FH18" i="54" s="1"/>
  <c r="FJ18" i="54" s="1"/>
  <c r="CM18" i="54"/>
  <c r="CJ12" i="54"/>
  <c r="CT7" i="54"/>
  <c r="CR7" i="54"/>
  <c r="CO7" i="54"/>
  <c r="CW7" i="54"/>
  <c r="CU7" i="54"/>
  <c r="CV7" i="54"/>
  <c r="CP7" i="54"/>
  <c r="CX7" i="54"/>
  <c r="CW11" i="54"/>
  <c r="DK31" i="54"/>
  <c r="DN21" i="54"/>
  <c r="DK21" i="54"/>
  <c r="GD57" i="54"/>
  <c r="DR57" i="54"/>
  <c r="GD41" i="54"/>
  <c r="DY41" i="54"/>
  <c r="DZ41" i="54"/>
  <c r="DR41" i="54"/>
  <c r="GD25" i="54"/>
  <c r="DY25" i="54"/>
  <c r="DZ25" i="54" s="1"/>
  <c r="DR25" i="54"/>
  <c r="DR9" i="54"/>
  <c r="GD9" i="54"/>
  <c r="CG7" i="54"/>
  <c r="CF7" i="54"/>
  <c r="CH7" i="54" s="1"/>
  <c r="EX7" i="54" s="1"/>
  <c r="CF8" i="54"/>
  <c r="CH8" i="54" s="1"/>
  <c r="EX8" i="54" s="1"/>
  <c r="GN63" i="54"/>
  <c r="EQ63" i="54"/>
  <c r="CI19" i="54"/>
  <c r="CI3" i="54"/>
  <c r="CP9" i="54"/>
  <c r="GF19" i="54"/>
  <c r="EK19" i="54"/>
  <c r="GF3" i="54"/>
  <c r="EK3" i="54"/>
  <c r="EL3" i="54"/>
  <c r="EM3" i="54" s="1"/>
  <c r="GT68" i="54"/>
  <c r="GT52" i="54"/>
  <c r="GT20" i="54"/>
  <c r="CU14" i="54"/>
  <c r="CX14" i="54"/>
  <c r="CV14" i="54"/>
  <c r="CR14" i="54"/>
  <c r="GN68" i="54"/>
  <c r="EQ68" i="54"/>
  <c r="GT67" i="54"/>
  <c r="ES51" i="54"/>
  <c r="GT35" i="54"/>
  <c r="GT19" i="54"/>
  <c r="GT3" i="54"/>
  <c r="CP13" i="54"/>
  <c r="CT13" i="54"/>
  <c r="CS13" i="54"/>
  <c r="CQ14" i="54"/>
  <c r="GN7" i="54"/>
  <c r="EQ7" i="54"/>
  <c r="GT66" i="54"/>
  <c r="GT50" i="54"/>
  <c r="GT34" i="54"/>
  <c r="GT18" i="54"/>
  <c r="GT72" i="54"/>
  <c r="GT4" i="54"/>
  <c r="CX12" i="54"/>
  <c r="CW12" i="54"/>
  <c r="CV12" i="54"/>
  <c r="CO12" i="54"/>
  <c r="CQ13" i="54"/>
  <c r="CU13" i="54"/>
  <c r="DK32" i="54"/>
  <c r="DN32" i="54"/>
  <c r="GT65" i="54"/>
  <c r="GT17" i="54"/>
  <c r="ET3" i="54"/>
  <c r="ET4" i="54" s="1"/>
  <c r="CS9" i="54"/>
  <c r="CR9" i="54"/>
  <c r="CO9" i="54"/>
  <c r="CW9" i="54"/>
  <c r="CU9" i="54"/>
  <c r="DK67" i="54"/>
  <c r="DJ30" i="54" a="1"/>
  <c r="DJ30" i="54" s="1"/>
  <c r="DN71" i="54"/>
  <c r="DN3" i="54"/>
  <c r="DN49" i="54"/>
  <c r="GF13" i="54"/>
  <c r="EK13" i="54"/>
  <c r="EL19" i="54"/>
  <c r="EM19" i="54" s="1"/>
  <c r="CT8" i="54"/>
  <c r="CQ8" i="54"/>
  <c r="CQ9" i="54"/>
  <c r="CU8" i="54"/>
  <c r="CW14" i="54"/>
  <c r="DK71" i="54"/>
  <c r="GF53" i="54"/>
  <c r="CW6" i="54"/>
  <c r="CV6" i="54"/>
  <c r="AE3" i="56" a="1"/>
  <c r="AE3" i="56" s="1"/>
  <c r="GT24" i="54"/>
  <c r="CX19" i="54"/>
  <c r="DN55" i="54"/>
  <c r="DK55" i="54"/>
  <c r="DJ37" i="54" a="1"/>
  <c r="DJ37" i="54" s="1"/>
  <c r="GN70" i="54"/>
  <c r="EQ70" i="54"/>
  <c r="GF62" i="54"/>
  <c r="CQ19" i="54"/>
  <c r="CQ3" i="54"/>
  <c r="CW3" i="54"/>
  <c r="GT59" i="54"/>
  <c r="GT43" i="54"/>
  <c r="GT27" i="54"/>
  <c r="DK48" i="54"/>
  <c r="GF58" i="54"/>
  <c r="GN64" i="54"/>
  <c r="EQ64" i="54"/>
  <c r="GT45" i="54"/>
  <c r="GF68" i="54"/>
  <c r="GF18" i="54"/>
  <c r="EK18" i="54"/>
  <c r="EL18" i="54"/>
  <c r="EM18" i="54" s="1"/>
  <c r="GN11" i="54"/>
  <c r="EQ11" i="54"/>
  <c r="GT64" i="54"/>
  <c r="ET64" i="54"/>
  <c r="GT32" i="54"/>
  <c r="GT16" i="54"/>
  <c r="EL17" i="54"/>
  <c r="EM17" i="54" s="1"/>
  <c r="GN10" i="54"/>
  <c r="EQ10" i="54"/>
  <c r="GN58" i="54"/>
  <c r="EQ58" i="54"/>
  <c r="GN9" i="54"/>
  <c r="EQ9" i="54"/>
  <c r="EQ57" i="54"/>
  <c r="GN57" i="54"/>
  <c r="GN8" i="54"/>
  <c r="EQ8" i="54"/>
  <c r="GF60" i="54"/>
  <c r="GF12" i="54"/>
  <c r="EL12" i="54"/>
  <c r="EM12" i="54" s="1"/>
  <c r="GT42" i="54"/>
  <c r="GF59" i="54"/>
  <c r="GF11" i="54"/>
  <c r="GN52" i="54"/>
  <c r="EQ52" i="54"/>
  <c r="GN4" i="54"/>
  <c r="EQ4" i="54"/>
  <c r="GT13" i="54"/>
  <c r="EQ14" i="54"/>
  <c r="GT63" i="54"/>
  <c r="ET63" i="54"/>
  <c r="GT29" i="54"/>
  <c r="GT58" i="54"/>
  <c r="GT28" i="54"/>
  <c r="GT61" i="54"/>
  <c r="GT26" i="54"/>
  <c r="EK6" i="54"/>
  <c r="GF6" i="54"/>
  <c r="EQ59" i="54"/>
  <c r="GN59" i="54"/>
  <c r="GT25" i="54"/>
  <c r="EV61" i="54"/>
  <c r="EU61" i="54"/>
  <c r="GU61" i="54" s="1"/>
  <c r="GO61" i="54"/>
  <c r="GN3" i="54"/>
  <c r="EQ3" i="54"/>
  <c r="EQ53" i="54"/>
  <c r="GT47" i="54"/>
  <c r="GT15" i="54"/>
  <c r="GN18" i="54"/>
  <c r="EQ18" i="54"/>
  <c r="GT40" i="54"/>
  <c r="GT12" i="54"/>
  <c r="GT31" i="54"/>
  <c r="EK15" i="54"/>
  <c r="GN66" i="54"/>
  <c r="EQ66" i="54"/>
  <c r="GT41" i="54"/>
  <c r="GT57" i="54"/>
  <c r="GT10" i="54"/>
  <c r="GF14" i="54"/>
  <c r="EK14" i="54"/>
  <c r="GT56" i="54"/>
  <c r="GT9" i="54"/>
  <c r="GT8" i="54"/>
  <c r="GF20" i="54"/>
  <c r="GF4" i="54"/>
  <c r="GT62" i="54"/>
  <c r="GT46" i="54"/>
  <c r="GT14" i="54"/>
  <c r="N20" i="42"/>
  <c r="P20" i="42" s="1"/>
  <c r="AE20" i="42" s="1"/>
  <c r="AF20" i="42" s="1"/>
  <c r="W217" i="19"/>
  <c r="X5" i="19"/>
  <c r="W10" i="19"/>
  <c r="X309" i="19"/>
  <c r="X133" i="19"/>
  <c r="X219" i="19"/>
  <c r="X325" i="19"/>
  <c r="X174" i="19"/>
  <c r="X317" i="19"/>
  <c r="X361" i="19"/>
  <c r="X118" i="19"/>
  <c r="W321" i="19"/>
  <c r="X334" i="19"/>
  <c r="W35" i="19"/>
  <c r="X191" i="19"/>
  <c r="X206" i="19"/>
  <c r="W397" i="19"/>
  <c r="X74" i="19"/>
  <c r="W384" i="19"/>
  <c r="W269" i="19"/>
  <c r="X99" i="19"/>
  <c r="X328" i="19"/>
  <c r="X357" i="19"/>
  <c r="W46" i="19"/>
  <c r="X302" i="19"/>
  <c r="X461" i="19"/>
  <c r="W477" i="19"/>
  <c r="X477" i="19"/>
  <c r="W288" i="19"/>
  <c r="X288" i="19"/>
  <c r="W400" i="19"/>
  <c r="X78" i="19"/>
  <c r="W78" i="19"/>
  <c r="W276" i="19"/>
  <c r="X276" i="19"/>
  <c r="W497" i="19"/>
  <c r="W13" i="19"/>
  <c r="X13" i="19"/>
  <c r="W291" i="19"/>
  <c r="W331" i="19"/>
  <c r="X331" i="19"/>
  <c r="X248" i="19"/>
  <c r="W248" i="19"/>
  <c r="X319" i="19"/>
  <c r="X307" i="19"/>
  <c r="W307" i="19"/>
  <c r="W119" i="19"/>
  <c r="W221" i="19"/>
  <c r="X221" i="19"/>
  <c r="X365" i="19"/>
  <c r="W365" i="19"/>
  <c r="X15" i="19"/>
  <c r="X45" i="19"/>
  <c r="W180" i="19"/>
  <c r="X180" i="19"/>
  <c r="W223" i="19"/>
  <c r="X165" i="19"/>
  <c r="W165" i="19"/>
  <c r="X237" i="19"/>
  <c r="X267" i="19"/>
  <c r="W378" i="19"/>
  <c r="W422" i="19"/>
  <c r="W42" i="19"/>
  <c r="W86" i="19"/>
  <c r="W31" i="19"/>
  <c r="X31" i="19"/>
  <c r="X485" i="19"/>
  <c r="X90" i="19"/>
  <c r="W127" i="19"/>
  <c r="W142" i="19"/>
  <c r="X187" i="19"/>
  <c r="W30" i="42"/>
  <c r="W20" i="42"/>
  <c r="W322" i="19"/>
  <c r="X322" i="19"/>
  <c r="X107" i="19"/>
  <c r="W107" i="19"/>
  <c r="W145" i="19"/>
  <c r="X145" i="19"/>
  <c r="X352" i="19"/>
  <c r="W352" i="19"/>
  <c r="X101" i="19"/>
  <c r="W101" i="19"/>
  <c r="W79" i="19"/>
  <c r="X79" i="19"/>
  <c r="W326" i="19"/>
  <c r="X326" i="19"/>
  <c r="W355" i="19"/>
  <c r="X355" i="19"/>
  <c r="W211" i="19"/>
  <c r="X211" i="19"/>
  <c r="X426" i="19"/>
  <c r="W426" i="19"/>
  <c r="X473" i="19"/>
  <c r="W473" i="19"/>
  <c r="X413" i="19"/>
  <c r="W213" i="19"/>
  <c r="X213" i="19"/>
  <c r="W388" i="19"/>
  <c r="X388" i="19"/>
  <c r="X292" i="19"/>
  <c r="W292" i="19"/>
  <c r="X235" i="19"/>
  <c r="W235" i="19"/>
  <c r="W339" i="19"/>
  <c r="X454" i="19"/>
  <c r="W29" i="19"/>
  <c r="X29" i="19"/>
  <c r="W358" i="19"/>
  <c r="X358" i="19"/>
  <c r="W459" i="19"/>
  <c r="X459" i="19"/>
  <c r="X416" i="19"/>
  <c r="W416" i="19"/>
  <c r="X389" i="19"/>
  <c r="W389" i="19"/>
  <c r="W131" i="19"/>
  <c r="X131" i="19"/>
  <c r="W22" i="19"/>
  <c r="X22" i="19"/>
  <c r="X110" i="19"/>
  <c r="W110" i="19"/>
  <c r="W301" i="19"/>
  <c r="X301" i="19"/>
  <c r="X404" i="19"/>
  <c r="X337" i="19"/>
  <c r="W337" i="19"/>
  <c r="W7" i="19"/>
  <c r="X7" i="19"/>
  <c r="W16" i="19"/>
  <c r="W37" i="19"/>
  <c r="X151" i="19"/>
  <c r="W465" i="19"/>
  <c r="W493" i="19"/>
  <c r="W51" i="19"/>
  <c r="X95" i="19"/>
  <c r="X189" i="19"/>
  <c r="W466" i="19"/>
  <c r="X466" i="19"/>
  <c r="X218" i="19"/>
  <c r="W218" i="19"/>
  <c r="X229" i="19"/>
  <c r="W229" i="19"/>
  <c r="W418" i="19"/>
  <c r="X418" i="19"/>
  <c r="W329" i="19"/>
  <c r="X329" i="19"/>
  <c r="W447" i="19"/>
  <c r="X447" i="19"/>
  <c r="W270" i="19"/>
  <c r="W294" i="19"/>
  <c r="X367" i="19"/>
  <c r="W381" i="19"/>
  <c r="W448" i="19"/>
  <c r="X448" i="19"/>
  <c r="W195" i="19"/>
  <c r="W209" i="19"/>
  <c r="X420" i="19"/>
  <c r="W14" i="19"/>
  <c r="W77" i="19"/>
  <c r="X77" i="19"/>
  <c r="X111" i="19"/>
  <c r="W179" i="19"/>
  <c r="X203" i="19"/>
  <c r="X313" i="19"/>
  <c r="X434" i="19"/>
  <c r="W462" i="19"/>
  <c r="X55" i="19"/>
  <c r="W55" i="19"/>
  <c r="X349" i="19"/>
  <c r="W349" i="19"/>
  <c r="X147" i="19"/>
  <c r="X314" i="19"/>
  <c r="X398" i="19"/>
  <c r="X491" i="19"/>
  <c r="W491" i="19"/>
  <c r="W6" i="19"/>
  <c r="X34" i="19"/>
  <c r="W102" i="19"/>
  <c r="W109" i="19"/>
  <c r="W129" i="19"/>
  <c r="X169" i="19"/>
  <c r="W205" i="19"/>
  <c r="W224" i="19"/>
  <c r="W264" i="19"/>
  <c r="X274" i="19"/>
  <c r="X308" i="19"/>
  <c r="X370" i="19"/>
  <c r="X383" i="19"/>
  <c r="X429" i="19"/>
  <c r="X456" i="19"/>
  <c r="W479" i="19"/>
  <c r="W54" i="19"/>
  <c r="W182" i="19"/>
  <c r="X338" i="19"/>
  <c r="W360" i="19"/>
  <c r="X419" i="19"/>
  <c r="W78" i="42"/>
  <c r="W87" i="42"/>
  <c r="W120" i="42"/>
  <c r="W69" i="42"/>
  <c r="V120" i="42"/>
  <c r="W135" i="42"/>
  <c r="W202" i="42"/>
  <c r="W60" i="42"/>
  <c r="W205" i="42"/>
  <c r="W52" i="42"/>
  <c r="W86" i="42"/>
  <c r="W308" i="42"/>
  <c r="W303" i="42"/>
  <c r="W320" i="42"/>
  <c r="W414" i="42"/>
  <c r="W101" i="42"/>
  <c r="W125" i="42"/>
  <c r="W244" i="42"/>
  <c r="W295" i="42"/>
  <c r="V414" i="42"/>
  <c r="W394" i="42"/>
  <c r="W464" i="42"/>
  <c r="W455" i="42"/>
  <c r="W478" i="42"/>
  <c r="W406" i="42"/>
  <c r="W278" i="42"/>
  <c r="W312" i="42"/>
  <c r="W378" i="42"/>
  <c r="V406" i="42"/>
  <c r="W116" i="42"/>
  <c r="W95" i="42"/>
  <c r="W122" i="42"/>
  <c r="W53" i="42"/>
  <c r="W398" i="42"/>
  <c r="W210" i="42"/>
  <c r="W222" i="42"/>
  <c r="W290" i="42"/>
  <c r="W36" i="42"/>
  <c r="W18" i="42"/>
  <c r="W282" i="42"/>
  <c r="W358" i="42"/>
  <c r="W444" i="42"/>
  <c r="W214" i="42"/>
  <c r="W223" i="42"/>
  <c r="W226" i="42"/>
  <c r="W252" i="42"/>
  <c r="W322" i="42"/>
  <c r="W92" i="42"/>
  <c r="W27" i="42"/>
  <c r="W66" i="42"/>
  <c r="W48" i="42"/>
  <c r="W70" i="42"/>
  <c r="W124" i="42"/>
  <c r="W142" i="42"/>
  <c r="W19" i="42"/>
  <c r="V124" i="42"/>
  <c r="W130" i="42"/>
  <c r="W133" i="42"/>
  <c r="W261" i="42"/>
  <c r="W270" i="42"/>
  <c r="W350" i="42"/>
  <c r="W436" i="42"/>
  <c r="W84" i="42"/>
  <c r="W239" i="42"/>
  <c r="W245" i="42"/>
  <c r="V245" i="42"/>
  <c r="W266" i="42"/>
  <c r="W42" i="42"/>
  <c r="W184" i="42"/>
  <c r="W23" i="42"/>
  <c r="W151" i="42"/>
  <c r="W181" i="42"/>
  <c r="W28" i="42"/>
  <c r="W88" i="42"/>
  <c r="V151" i="42"/>
  <c r="W240" i="42"/>
  <c r="W480" i="42"/>
  <c r="W61" i="42"/>
  <c r="W64" i="42"/>
  <c r="W197" i="42"/>
  <c r="W300" i="42"/>
  <c r="V300" i="42"/>
  <c r="W448" i="42"/>
  <c r="W470" i="42"/>
  <c r="W433" i="42"/>
  <c r="W108" i="42"/>
  <c r="W143" i="42"/>
  <c r="W158" i="42"/>
  <c r="W164" i="42"/>
  <c r="W167" i="42"/>
  <c r="W236" i="42"/>
  <c r="W253" i="42"/>
  <c r="W256" i="42"/>
  <c r="W342" i="42"/>
  <c r="W440" i="42"/>
  <c r="W79" i="42"/>
  <c r="W82" i="42"/>
  <c r="W111" i="42"/>
  <c r="W188" i="42"/>
  <c r="W194" i="42"/>
  <c r="V236" i="42"/>
  <c r="W382" i="42"/>
  <c r="V440" i="42"/>
  <c r="W35" i="42"/>
  <c r="W141" i="42"/>
  <c r="W215" i="42"/>
  <c r="W248" i="42"/>
  <c r="W274" i="42"/>
  <c r="W496" i="42"/>
  <c r="W94" i="42"/>
  <c r="V141" i="42"/>
  <c r="W150" i="42"/>
  <c r="W159" i="42"/>
  <c r="W168" i="42"/>
  <c r="V248" i="42"/>
  <c r="V274" i="42"/>
  <c r="W286" i="42"/>
  <c r="W354" i="42"/>
  <c r="W463" i="42"/>
  <c r="W77" i="42"/>
  <c r="W100" i="42"/>
  <c r="W109" i="42"/>
  <c r="W162" i="42"/>
  <c r="W189" i="42"/>
  <c r="W192" i="42"/>
  <c r="W338" i="42"/>
  <c r="W26" i="42"/>
  <c r="W44" i="42"/>
  <c r="W74" i="42"/>
  <c r="W180" i="42"/>
  <c r="W292" i="42"/>
  <c r="W162" i="19"/>
  <c r="X162" i="19"/>
  <c r="W362" i="42"/>
  <c r="W390" i="42"/>
  <c r="X173" i="19"/>
  <c r="W173" i="19"/>
  <c r="W159" i="19"/>
  <c r="X58" i="19"/>
  <c r="W58" i="19"/>
  <c r="W113" i="19"/>
  <c r="X113" i="19"/>
  <c r="X26" i="19"/>
  <c r="W26" i="19"/>
  <c r="W192" i="19"/>
  <c r="X192" i="19"/>
  <c r="X67" i="19"/>
  <c r="W67" i="19"/>
  <c r="X81" i="19"/>
  <c r="W81" i="19"/>
  <c r="W115" i="19"/>
  <c r="X115" i="19"/>
  <c r="W335" i="19"/>
  <c r="X335" i="19"/>
  <c r="X392" i="19"/>
  <c r="W392" i="19"/>
  <c r="X89" i="19"/>
  <c r="W89" i="19"/>
  <c r="X193" i="19"/>
  <c r="W193" i="19"/>
  <c r="X298" i="19"/>
  <c r="W298" i="19"/>
  <c r="X139" i="19"/>
  <c r="X225" i="19"/>
  <c r="W225" i="19"/>
  <c r="X97" i="19"/>
  <c r="W97" i="19"/>
  <c r="X200" i="19"/>
  <c r="W200" i="19"/>
  <c r="W333" i="19"/>
  <c r="X333" i="19"/>
  <c r="X435" i="19"/>
  <c r="W435" i="19"/>
  <c r="X315" i="19"/>
  <c r="W315" i="19"/>
  <c r="W436" i="19"/>
  <c r="X436" i="19"/>
  <c r="W306" i="19"/>
  <c r="X306" i="19"/>
  <c r="X345" i="19"/>
  <c r="W345" i="19"/>
  <c r="W414" i="19"/>
  <c r="X261" i="19"/>
  <c r="W261" i="19"/>
  <c r="W242" i="19"/>
  <c r="X242" i="19"/>
  <c r="X47" i="19"/>
  <c r="W47" i="19"/>
  <c r="X69" i="19"/>
  <c r="W69" i="19"/>
  <c r="X141" i="19"/>
  <c r="W141" i="19"/>
  <c r="W154" i="19"/>
  <c r="X154" i="19"/>
  <c r="W469" i="19"/>
  <c r="X469" i="19"/>
  <c r="W445" i="19"/>
  <c r="W386" i="19"/>
  <c r="X386" i="19"/>
  <c r="X93" i="19"/>
  <c r="W93" i="19"/>
  <c r="W341" i="19"/>
  <c r="X341" i="19"/>
  <c r="W354" i="19"/>
  <c r="X354" i="19"/>
  <c r="W376" i="19"/>
  <c r="X376" i="19"/>
  <c r="X17" i="19"/>
  <c r="W17" i="19"/>
  <c r="W482" i="19"/>
  <c r="X482" i="19"/>
  <c r="X369" i="19"/>
  <c r="W369" i="19"/>
  <c r="X441" i="19"/>
  <c r="W441" i="19"/>
  <c r="X98" i="19"/>
  <c r="W98" i="19"/>
  <c r="W207" i="19"/>
  <c r="X207" i="19"/>
  <c r="W239" i="19"/>
  <c r="X239" i="19"/>
  <c r="W395" i="19"/>
  <c r="X395" i="19"/>
  <c r="W4" i="19"/>
  <c r="W8" i="19"/>
  <c r="X23" i="19"/>
  <c r="W23" i="19"/>
  <c r="W198" i="19"/>
  <c r="X198" i="19"/>
  <c r="X253" i="19"/>
  <c r="X442" i="19"/>
  <c r="W453" i="19"/>
  <c r="W498" i="19"/>
  <c r="X498" i="19"/>
  <c r="X241" i="19"/>
  <c r="W241" i="19"/>
  <c r="W290" i="19"/>
  <c r="X290" i="19"/>
  <c r="W251" i="19"/>
  <c r="X251" i="19"/>
  <c r="X363" i="19"/>
  <c r="W363" i="19"/>
  <c r="X57" i="19"/>
  <c r="W57" i="19"/>
  <c r="X185" i="19"/>
  <c r="W185" i="19"/>
  <c r="W467" i="19"/>
  <c r="X467" i="19"/>
  <c r="X122" i="19"/>
  <c r="W122" i="19"/>
  <c r="W175" i="19"/>
  <c r="W186" i="19"/>
  <c r="X186" i="19"/>
  <c r="X303" i="19"/>
  <c r="W303" i="19"/>
  <c r="X424" i="19"/>
  <c r="X19" i="19"/>
  <c r="W19" i="19"/>
  <c r="X197" i="19"/>
  <c r="W197" i="19"/>
  <c r="X66" i="19"/>
  <c r="W66" i="19"/>
  <c r="X87" i="19"/>
  <c r="W87" i="19"/>
  <c r="W450" i="19"/>
  <c r="X450" i="19"/>
  <c r="X408" i="19"/>
  <c r="W408" i="19"/>
  <c r="W245" i="19"/>
  <c r="X245" i="19"/>
  <c r="X150" i="19"/>
  <c r="W150" i="19"/>
  <c r="W167" i="19"/>
  <c r="X167" i="19"/>
  <c r="W320" i="19"/>
  <c r="X320" i="19"/>
  <c r="W70" i="19"/>
  <c r="X260" i="19"/>
  <c r="W282" i="19"/>
  <c r="W379" i="19"/>
  <c r="X379" i="19"/>
  <c r="X430" i="19"/>
  <c r="W178" i="19"/>
  <c r="X178" i="19"/>
  <c r="X410" i="19"/>
  <c r="W410" i="19"/>
  <c r="W194" i="19"/>
  <c r="X194" i="19"/>
  <c r="X106" i="19"/>
  <c r="X210" i="19"/>
  <c r="X226" i="19"/>
  <c r="X373" i="19"/>
  <c r="X9" i="19"/>
  <c r="X161" i="19"/>
  <c r="X227" i="19"/>
  <c r="X258" i="19"/>
  <c r="X296" i="19"/>
  <c r="X402" i="19"/>
  <c r="W475" i="19"/>
  <c r="V215" i="42"/>
  <c r="W257" i="42"/>
  <c r="V270" i="42"/>
  <c r="W331" i="42"/>
  <c r="W341" i="42"/>
  <c r="W347" i="42"/>
  <c r="V350" i="42"/>
  <c r="W374" i="42"/>
  <c r="V377" i="42"/>
  <c r="W377" i="42"/>
  <c r="W380" i="42"/>
  <c r="W388" i="42"/>
  <c r="W423" i="42"/>
  <c r="W431" i="42"/>
  <c r="W488" i="42"/>
  <c r="V488" i="42"/>
  <c r="W328" i="42"/>
  <c r="V371" i="42"/>
  <c r="W371" i="42"/>
  <c r="W393" i="42"/>
  <c r="V417" i="42"/>
  <c r="W417" i="42"/>
  <c r="W420" i="42"/>
  <c r="W457" i="42"/>
  <c r="W474" i="42"/>
  <c r="W499" i="42"/>
  <c r="V499" i="42"/>
  <c r="V328" i="42"/>
  <c r="W334" i="42"/>
  <c r="V358" i="42"/>
  <c r="W366" i="42"/>
  <c r="V385" i="42"/>
  <c r="W385" i="42"/>
  <c r="W411" i="42"/>
  <c r="V448" i="42"/>
  <c r="W451" i="42"/>
  <c r="V451" i="42"/>
  <c r="W485" i="42"/>
  <c r="V496" i="42"/>
  <c r="W355" i="42"/>
  <c r="W363" i="42"/>
  <c r="W401" i="42"/>
  <c r="W407" i="42"/>
  <c r="W425" i="42"/>
  <c r="W454" i="42"/>
  <c r="W468" i="42"/>
  <c r="W471" i="42"/>
  <c r="W476" i="42"/>
  <c r="W479" i="42"/>
  <c r="W482" i="42"/>
  <c r="W493" i="42"/>
  <c r="W337" i="42"/>
  <c r="W352" i="42"/>
  <c r="W376" i="42"/>
  <c r="V395" i="42"/>
  <c r="W395" i="42"/>
  <c r="W404" i="42"/>
  <c r="V436" i="42"/>
  <c r="W462" i="42"/>
  <c r="V476" i="42"/>
  <c r="V479" i="42"/>
  <c r="W340" i="42"/>
  <c r="W343" i="42"/>
  <c r="W360" i="42"/>
  <c r="W368" i="42"/>
  <c r="W373" i="42"/>
  <c r="V376" i="42"/>
  <c r="W419" i="42"/>
  <c r="W430" i="42"/>
  <c r="W439" i="42"/>
  <c r="W442" i="42"/>
  <c r="W465" i="42"/>
  <c r="W490" i="42"/>
  <c r="W160" i="42"/>
  <c r="V189" i="42"/>
  <c r="V150" i="42"/>
  <c r="W234" i="42"/>
  <c r="V234" i="42"/>
  <c r="W293" i="42"/>
  <c r="W32" i="42"/>
  <c r="W51" i="42"/>
  <c r="W228" i="42"/>
  <c r="W231" i="42"/>
  <c r="W237" i="42"/>
  <c r="V244" i="42"/>
  <c r="W309" i="42"/>
  <c r="V312" i="42"/>
  <c r="W47" i="42"/>
  <c r="V64" i="42"/>
  <c r="V95" i="42"/>
  <c r="V116" i="42"/>
  <c r="W126" i="42"/>
  <c r="V253" i="42"/>
  <c r="W112" i="42"/>
  <c r="W119" i="42"/>
  <c r="V159" i="42"/>
  <c r="W302" i="42"/>
  <c r="W305" i="42"/>
  <c r="W13" i="42"/>
  <c r="W21" i="42"/>
  <c r="V30" i="42"/>
  <c r="V74" i="42"/>
  <c r="W324" i="42"/>
  <c r="W175" i="42"/>
  <c r="V188" i="42"/>
  <c r="W191" i="42"/>
  <c r="W198" i="42"/>
  <c r="W201" i="42"/>
  <c r="V217" i="42"/>
  <c r="W217" i="42"/>
  <c r="W227" i="42"/>
  <c r="W230" i="42"/>
  <c r="V233" i="42"/>
  <c r="W233" i="42"/>
  <c r="W269" i="42"/>
  <c r="W272" i="42"/>
  <c r="W279" i="42"/>
  <c r="V282" i="42"/>
  <c r="V292" i="42"/>
  <c r="W314" i="42"/>
  <c r="V324" i="42"/>
  <c r="W327" i="42"/>
  <c r="W330" i="42"/>
  <c r="W346" i="42"/>
  <c r="W349" i="42"/>
  <c r="W379" i="42"/>
  <c r="W384" i="42"/>
  <c r="W416" i="42"/>
  <c r="W422" i="42"/>
  <c r="W459" i="42"/>
  <c r="V459" i="42"/>
  <c r="W492" i="42"/>
  <c r="V202" i="42"/>
  <c r="W68" i="42"/>
  <c r="V109" i="42"/>
  <c r="W176" i="42"/>
  <c r="V61" i="42"/>
  <c r="W218" i="42"/>
  <c r="W221" i="42"/>
  <c r="W260" i="42"/>
  <c r="W273" i="42"/>
  <c r="V286" i="42"/>
  <c r="V293" i="42"/>
  <c r="W296" i="42"/>
  <c r="W325" i="42"/>
  <c r="W14" i="42"/>
  <c r="W22" i="42"/>
  <c r="V78" i="42"/>
  <c r="V143" i="42"/>
  <c r="V153" i="42"/>
  <c r="W153" i="42"/>
  <c r="W166" i="42"/>
  <c r="W321" i="42"/>
  <c r="W31" i="42"/>
  <c r="W54" i="42"/>
  <c r="W71" i="42"/>
  <c r="W179" i="42"/>
  <c r="W182" i="42"/>
  <c r="W195" i="42"/>
  <c r="V214" i="42"/>
  <c r="V266" i="42"/>
  <c r="W498" i="42"/>
  <c r="W445" i="42"/>
  <c r="W434" i="42"/>
  <c r="W387" i="42"/>
  <c r="W461" i="42"/>
  <c r="W450" i="42"/>
  <c r="W473" i="42"/>
  <c r="W357" i="42"/>
  <c r="W315" i="42"/>
  <c r="W477" i="42"/>
  <c r="W466" i="42"/>
  <c r="V122" i="42"/>
  <c r="W129" i="42"/>
  <c r="W172" i="42"/>
  <c r="W211" i="42"/>
  <c r="W4" i="42"/>
  <c r="W12" i="42"/>
  <c r="V28" i="42"/>
  <c r="W37" i="42"/>
  <c r="V42" i="42"/>
  <c r="W91" i="42"/>
  <c r="W98" i="42"/>
  <c r="V108" i="42"/>
  <c r="W146" i="42"/>
  <c r="V223" i="42"/>
  <c r="W243" i="42"/>
  <c r="W246" i="42"/>
  <c r="W285" i="42"/>
  <c r="V295" i="42"/>
  <c r="W298" i="42"/>
  <c r="V298" i="42"/>
  <c r="W317" i="42"/>
  <c r="V327" i="42"/>
  <c r="W333" i="42"/>
  <c r="V384" i="42"/>
  <c r="W392" i="42"/>
  <c r="W410" i="42"/>
  <c r="W413" i="42"/>
  <c r="W453" i="42"/>
  <c r="W456" i="42"/>
  <c r="W487" i="42"/>
  <c r="V492" i="42"/>
  <c r="W495" i="42"/>
  <c r="V130" i="42"/>
  <c r="W15" i="42"/>
  <c r="V44" i="42"/>
  <c r="V92" i="42"/>
  <c r="V192" i="42"/>
  <c r="W318" i="42"/>
  <c r="V6" i="42"/>
  <c r="W99" i="42"/>
  <c r="W140" i="42"/>
  <c r="W208" i="42"/>
  <c r="W247" i="42"/>
  <c r="W250" i="42"/>
  <c r="W38" i="42"/>
  <c r="W102" i="42"/>
  <c r="W163" i="42"/>
  <c r="V169" i="42"/>
  <c r="W169" i="42"/>
  <c r="V240" i="42"/>
  <c r="W299" i="42"/>
  <c r="V5" i="42"/>
  <c r="V102" i="42"/>
  <c r="V256" i="42"/>
  <c r="W43" i="42"/>
  <c r="W81" i="42"/>
  <c r="W105" i="42"/>
  <c r="V182" i="42"/>
  <c r="W185" i="42"/>
  <c r="V20" i="42"/>
  <c r="W50" i="42"/>
  <c r="W67" i="42"/>
  <c r="W139" i="42"/>
  <c r="W29" i="42"/>
  <c r="V36" i="42"/>
  <c r="W46" i="42"/>
  <c r="V60" i="42"/>
  <c r="V77" i="42"/>
  <c r="V84" i="42"/>
  <c r="W152" i="42"/>
  <c r="V162" i="42"/>
  <c r="W204" i="42"/>
  <c r="W207" i="42"/>
  <c r="V11" i="42"/>
  <c r="V19" i="42"/>
  <c r="V27" i="42"/>
  <c r="V53" i="42"/>
  <c r="W63" i="42"/>
  <c r="V70" i="42"/>
  <c r="V94" i="42"/>
  <c r="V101" i="42"/>
  <c r="V152" i="42"/>
  <c r="W165" i="42"/>
  <c r="W259" i="42"/>
  <c r="W301" i="42"/>
  <c r="V308" i="42"/>
  <c r="V320" i="42"/>
  <c r="W336" i="42"/>
  <c r="V354" i="42"/>
  <c r="V444" i="42"/>
  <c r="W447" i="42"/>
  <c r="V470" i="42"/>
  <c r="V478" i="42"/>
  <c r="W484" i="42"/>
  <c r="V495" i="42"/>
  <c r="W106" i="42"/>
  <c r="V106" i="42"/>
  <c r="W137" i="42"/>
  <c r="W283" i="42"/>
  <c r="W306" i="42"/>
  <c r="V68" i="42"/>
  <c r="W85" i="42"/>
  <c r="W147" i="42"/>
  <c r="V133" i="42"/>
  <c r="W224" i="42"/>
  <c r="V260" i="42"/>
  <c r="W263" i="42"/>
  <c r="W289" i="42"/>
  <c r="V309" i="42"/>
  <c r="V88" i="42"/>
  <c r="W136" i="42"/>
  <c r="W156" i="42"/>
  <c r="V263" i="42"/>
  <c r="W276" i="42"/>
  <c r="W57" i="42"/>
  <c r="V119" i="42"/>
  <c r="V4" i="42"/>
  <c r="AA22" i="42"/>
  <c r="AA23" i="42" s="1"/>
  <c r="AA24" i="42" s="1"/>
  <c r="W132" i="42"/>
  <c r="W149" i="42"/>
  <c r="W220" i="42"/>
  <c r="V111" i="42"/>
  <c r="W115" i="42"/>
  <c r="V125" i="42"/>
  <c r="V168" i="42"/>
  <c r="W178" i="42"/>
  <c r="V194" i="42"/>
  <c r="V239" i="42"/>
  <c r="V246" i="42"/>
  <c r="W249" i="42"/>
  <c r="W288" i="42"/>
  <c r="W311" i="42"/>
  <c r="V362" i="42"/>
  <c r="W370" i="42"/>
  <c r="W397" i="42"/>
  <c r="W403" i="42"/>
  <c r="W49" i="42"/>
  <c r="W80" i="42"/>
  <c r="V87" i="42"/>
  <c r="V135" i="42"/>
  <c r="V142" i="42"/>
  <c r="W155" i="42"/>
  <c r="V165" i="42"/>
  <c r="V210" i="42"/>
  <c r="V252" i="42"/>
  <c r="V278" i="42"/>
  <c r="W365" i="42"/>
  <c r="W389" i="42"/>
  <c r="V397" i="42"/>
  <c r="W424" i="42"/>
  <c r="V424" i="42"/>
  <c r="W438" i="42"/>
  <c r="V447" i="42"/>
  <c r="V464" i="42"/>
  <c r="W467" i="42"/>
  <c r="V467" i="42"/>
  <c r="W481" i="42"/>
  <c r="V10" i="42"/>
  <c r="V18" i="42"/>
  <c r="V26" i="42"/>
  <c r="V35" i="42"/>
  <c r="W56" i="42"/>
  <c r="V66" i="42"/>
  <c r="W73" i="42"/>
  <c r="W97" i="42"/>
  <c r="W104" i="42"/>
  <c r="W118" i="42"/>
  <c r="W128" i="42"/>
  <c r="V158" i="42"/>
  <c r="W171" i="42"/>
  <c r="W174" i="42"/>
  <c r="V181" i="42"/>
  <c r="V184" i="42"/>
  <c r="V197" i="42"/>
  <c r="W200" i="42"/>
  <c r="W213" i="42"/>
  <c r="W216" i="42"/>
  <c r="V226" i="42"/>
  <c r="W262" i="42"/>
  <c r="W265" i="42"/>
  <c r="W304" i="42"/>
  <c r="V342" i="42"/>
  <c r="W375" i="42"/>
  <c r="V378" i="42"/>
  <c r="W381" i="42"/>
  <c r="V381" i="42"/>
  <c r="V389" i="42"/>
  <c r="V394" i="42"/>
  <c r="W435" i="42"/>
  <c r="V435" i="42"/>
  <c r="W441" i="42"/>
  <c r="W489" i="42"/>
  <c r="Y12" i="42"/>
  <c r="W41" i="42"/>
  <c r="W255" i="42"/>
  <c r="W275" i="42"/>
  <c r="V311" i="42"/>
  <c r="W121" i="42"/>
  <c r="W145" i="42"/>
  <c r="W161" i="42"/>
  <c r="W177" i="42"/>
  <c r="W190" i="42"/>
  <c r="W203" i="42"/>
  <c r="W229" i="42"/>
  <c r="W242" i="42"/>
  <c r="W268" i="42"/>
  <c r="W271" i="42"/>
  <c r="V281" i="42"/>
  <c r="W281" i="42"/>
  <c r="W291" i="42"/>
  <c r="W323" i="42"/>
  <c r="W326" i="42"/>
  <c r="W339" i="42"/>
  <c r="V345" i="42"/>
  <c r="W345" i="42"/>
  <c r="W348" i="42"/>
  <c r="W351" i="42"/>
  <c r="W409" i="42"/>
  <c r="W421" i="42"/>
  <c r="V7" i="42"/>
  <c r="W58" i="42"/>
  <c r="W45" i="42"/>
  <c r="W76" i="42"/>
  <c r="W83" i="42"/>
  <c r="W90" i="42"/>
  <c r="W107" i="42"/>
  <c r="W114" i="42"/>
  <c r="W131" i="42"/>
  <c r="W138" i="42"/>
  <c r="W148" i="42"/>
  <c r="W219" i="42"/>
  <c r="W232" i="42"/>
  <c r="W258" i="42"/>
  <c r="W284" i="42"/>
  <c r="W294" i="42"/>
  <c r="V297" i="42"/>
  <c r="W297" i="42"/>
  <c r="V313" i="42"/>
  <c r="W313" i="42"/>
  <c r="W329" i="42"/>
  <c r="W335" i="42"/>
  <c r="W359" i="42"/>
  <c r="W367" i="42"/>
  <c r="W372" i="42"/>
  <c r="W386" i="42"/>
  <c r="W391" i="42"/>
  <c r="W412" i="42"/>
  <c r="W415" i="42"/>
  <c r="W418" i="42"/>
  <c r="W429" i="42"/>
  <c r="W432" i="42"/>
  <c r="W472" i="42"/>
  <c r="W483" i="42"/>
  <c r="V483" i="42"/>
  <c r="W494" i="42"/>
  <c r="W500" i="42"/>
  <c r="W33" i="42"/>
  <c r="W75" i="42"/>
  <c r="V89" i="42"/>
  <c r="W89" i="42"/>
  <c r="AC12" i="42"/>
  <c r="AC17" i="42" s="1"/>
  <c r="AD6" i="42" s="1"/>
  <c r="W25" i="42"/>
  <c r="W34" i="42"/>
  <c r="W62" i="42"/>
  <c r="V69" i="42"/>
  <c r="V79" i="42"/>
  <c r="V86" i="42"/>
  <c r="W93" i="42"/>
  <c r="V100" i="42"/>
  <c r="W110" i="42"/>
  <c r="W193" i="42"/>
  <c r="W206" i="42"/>
  <c r="W235" i="42"/>
  <c r="W238" i="42"/>
  <c r="W287" i="42"/>
  <c r="W307" i="42"/>
  <c r="W310" i="42"/>
  <c r="W316" i="42"/>
  <c r="W319" i="42"/>
  <c r="W332" i="42"/>
  <c r="W356" i="42"/>
  <c r="W383" i="42"/>
  <c r="V383" i="42"/>
  <c r="W399" i="42"/>
  <c r="V412" i="42"/>
  <c r="W446" i="42"/>
  <c r="W452" i="42"/>
  <c r="V455" i="42"/>
  <c r="W458" i="42"/>
  <c r="W486" i="42"/>
  <c r="V494" i="42"/>
  <c r="W497" i="42"/>
  <c r="W39" i="42"/>
  <c r="W17" i="42"/>
  <c r="W40" i="42"/>
  <c r="V48" i="42"/>
  <c r="V52" i="42"/>
  <c r="AD4" i="42"/>
  <c r="W55" i="42"/>
  <c r="W72" i="42"/>
  <c r="W127" i="42"/>
  <c r="V164" i="42"/>
  <c r="V167" i="42"/>
  <c r="W170" i="42"/>
  <c r="V170" i="42"/>
  <c r="W196" i="42"/>
  <c r="W209" i="42"/>
  <c r="W225" i="42"/>
  <c r="W241" i="42"/>
  <c r="W254" i="42"/>
  <c r="V261" i="42"/>
  <c r="W264" i="42"/>
  <c r="V303" i="42"/>
  <c r="V310" i="42"/>
  <c r="V322" i="42"/>
  <c r="V361" i="42"/>
  <c r="W361" i="42"/>
  <c r="W364" i="42"/>
  <c r="V369" i="42"/>
  <c r="W369" i="42"/>
  <c r="W396" i="42"/>
  <c r="V396" i="42"/>
  <c r="W426" i="42"/>
  <c r="V446" i="42"/>
  <c r="W449" i="42"/>
  <c r="W469" i="42"/>
  <c r="W16" i="42"/>
  <c r="W24" i="42"/>
  <c r="W65" i="42"/>
  <c r="W96" i="42"/>
  <c r="W103" i="42"/>
  <c r="W113" i="42"/>
  <c r="W117" i="42"/>
  <c r="W134" i="42"/>
  <c r="W144" i="42"/>
  <c r="W154" i="42"/>
  <c r="W157" i="42"/>
  <c r="W173" i="42"/>
  <c r="W183" i="42"/>
  <c r="W186" i="42"/>
  <c r="W199" i="42"/>
  <c r="W212" i="42"/>
  <c r="W267" i="42"/>
  <c r="W277" i="42"/>
  <c r="W280" i="42"/>
  <c r="W344" i="42"/>
  <c r="W402" i="42"/>
  <c r="W405" i="42"/>
  <c r="W408" i="42"/>
  <c r="W428" i="42"/>
  <c r="W437" i="42"/>
  <c r="W460" i="42"/>
  <c r="V353" i="42"/>
  <c r="W353" i="42"/>
  <c r="W443" i="42"/>
  <c r="V443" i="42"/>
  <c r="W59" i="42"/>
  <c r="W123" i="42"/>
  <c r="W187" i="42"/>
  <c r="W251" i="42"/>
  <c r="W400" i="42"/>
  <c r="W427" i="42"/>
  <c r="V427" i="42"/>
  <c r="W491" i="42"/>
  <c r="V491" i="42"/>
  <c r="W475" i="42"/>
  <c r="V475" i="42"/>
  <c r="L32" i="16"/>
  <c r="L31" i="16"/>
  <c r="W494" i="19"/>
  <c r="W486" i="19"/>
  <c r="X496" i="19"/>
  <c r="W496" i="19"/>
  <c r="X478" i="19"/>
  <c r="W478" i="19"/>
  <c r="X488" i="19"/>
  <c r="W488" i="19"/>
  <c r="X284" i="19"/>
  <c r="W284" i="19"/>
  <c r="X480" i="19"/>
  <c r="W480" i="19"/>
  <c r="X121" i="19"/>
  <c r="W121" i="19"/>
  <c r="X234" i="19"/>
  <c r="W234" i="19"/>
  <c r="X243" i="19"/>
  <c r="W243" i="19"/>
  <c r="X293" i="19"/>
  <c r="W293" i="19"/>
  <c r="W310" i="19"/>
  <c r="X310" i="19"/>
  <c r="X353" i="19"/>
  <c r="W353" i="19"/>
  <c r="X472" i="19"/>
  <c r="W472" i="19"/>
  <c r="X168" i="19"/>
  <c r="W168" i="19"/>
  <c r="X275" i="19"/>
  <c r="W275" i="19"/>
  <c r="X490" i="19"/>
  <c r="W490" i="19"/>
  <c r="X499" i="19"/>
  <c r="W499" i="19"/>
  <c r="X266" i="19"/>
  <c r="W266" i="19"/>
  <c r="W463" i="19"/>
  <c r="X481" i="19"/>
  <c r="W481" i="19"/>
  <c r="X438" i="19"/>
  <c r="W438" i="19"/>
  <c r="X394" i="19"/>
  <c r="W394" i="19"/>
  <c r="X457" i="19"/>
  <c r="W457" i="19"/>
  <c r="X130" i="19"/>
  <c r="W130" i="19"/>
  <c r="X238" i="19"/>
  <c r="W238" i="19"/>
  <c r="X421" i="19"/>
  <c r="W421" i="19"/>
  <c r="X449" i="19"/>
  <c r="W449" i="19"/>
  <c r="X75" i="19"/>
  <c r="W75" i="19"/>
  <c r="X181" i="19"/>
  <c r="W181" i="19"/>
  <c r="X377" i="19"/>
  <c r="W377" i="19"/>
  <c r="X396" i="19"/>
  <c r="W396" i="19"/>
  <c r="X474" i="19"/>
  <c r="W474" i="19"/>
  <c r="X53" i="19"/>
  <c r="W53" i="19"/>
  <c r="X125" i="19"/>
  <c r="W125" i="19"/>
  <c r="X143" i="19"/>
  <c r="W143" i="19"/>
  <c r="X163" i="19"/>
  <c r="W163" i="19"/>
  <c r="X30" i="19"/>
  <c r="W30" i="19"/>
  <c r="X432" i="19"/>
  <c r="W432" i="19"/>
  <c r="X406" i="19"/>
  <c r="W406" i="19"/>
  <c r="X138" i="19"/>
  <c r="W138" i="19"/>
  <c r="X340" i="19"/>
  <c r="W340" i="19"/>
  <c r="X25" i="19"/>
  <c r="W25" i="19"/>
  <c r="X262" i="19"/>
  <c r="W262" i="19"/>
  <c r="X443" i="19"/>
  <c r="W443" i="19"/>
  <c r="X117" i="19"/>
  <c r="W117" i="19"/>
  <c r="X362" i="19"/>
  <c r="W362" i="19"/>
  <c r="X85" i="19"/>
  <c r="W85" i="19"/>
  <c r="X153" i="19"/>
  <c r="W153" i="19"/>
  <c r="W286" i="19"/>
  <c r="W371" i="19"/>
  <c r="X425" i="19"/>
  <c r="W425" i="19"/>
  <c r="W451" i="19"/>
  <c r="X188" i="19"/>
  <c r="W188" i="19"/>
  <c r="X346" i="19"/>
  <c r="W346" i="19"/>
  <c r="X65" i="19"/>
  <c r="W65" i="19"/>
  <c r="X126" i="19"/>
  <c r="W126" i="19"/>
  <c r="X268" i="19"/>
  <c r="W268" i="19"/>
  <c r="X304" i="19"/>
  <c r="W304" i="19"/>
  <c r="X43" i="19"/>
  <c r="X222" i="19"/>
  <c r="W222" i="19"/>
  <c r="W278" i="19"/>
  <c r="X278" i="19"/>
  <c r="W230" i="19"/>
  <c r="X250" i="19"/>
  <c r="W250" i="19"/>
  <c r="X158" i="19"/>
  <c r="W158" i="19"/>
  <c r="W280" i="19"/>
  <c r="X323" i="19"/>
  <c r="W323" i="19"/>
  <c r="X39" i="19"/>
  <c r="W39" i="19"/>
  <c r="W61" i="19"/>
  <c r="W83" i="19"/>
  <c r="X299" i="19"/>
  <c r="W299" i="19"/>
  <c r="X316" i="19"/>
  <c r="W316" i="19"/>
  <c r="X347" i="19"/>
  <c r="X409" i="19"/>
  <c r="W409" i="19"/>
  <c r="X94" i="19"/>
  <c r="W94" i="19"/>
  <c r="X254" i="19"/>
  <c r="W254" i="19"/>
  <c r="X135" i="19"/>
  <c r="W135" i="19"/>
  <c r="X201" i="19"/>
  <c r="W201" i="19"/>
  <c r="X287" i="19"/>
  <c r="W287" i="19"/>
  <c r="X216" i="19"/>
  <c r="W216" i="19"/>
  <c r="X382" i="19"/>
  <c r="W382" i="19"/>
  <c r="X444" i="19"/>
  <c r="W444" i="19"/>
  <c r="X500" i="19"/>
  <c r="W500" i="19"/>
  <c r="X176" i="19"/>
  <c r="W176" i="19"/>
  <c r="X374" i="19"/>
  <c r="W374" i="19"/>
  <c r="X401" i="19"/>
  <c r="W401" i="19"/>
  <c r="X427" i="19"/>
  <c r="W427" i="19"/>
  <c r="X492" i="19"/>
  <c r="W492" i="19"/>
  <c r="W33" i="19"/>
  <c r="X38" i="19"/>
  <c r="W38" i="19"/>
  <c r="W134" i="19"/>
  <c r="W157" i="19"/>
  <c r="X164" i="19"/>
  <c r="W164" i="19"/>
  <c r="W212" i="19"/>
  <c r="X246" i="19"/>
  <c r="W246" i="19"/>
  <c r="X272" i="19"/>
  <c r="W272" i="19"/>
  <c r="X368" i="19"/>
  <c r="W368" i="19"/>
  <c r="X403" i="19"/>
  <c r="W403" i="19"/>
  <c r="X412" i="19"/>
  <c r="W412" i="19"/>
  <c r="W437" i="19"/>
  <c r="X103" i="19"/>
  <c r="W103" i="19"/>
  <c r="X350" i="19"/>
  <c r="W350" i="19"/>
  <c r="X170" i="19"/>
  <c r="W170" i="19"/>
  <c r="X240" i="19"/>
  <c r="W240" i="19"/>
  <c r="W249" i="19"/>
  <c r="X281" i="19"/>
  <c r="W281" i="19"/>
  <c r="X297" i="19"/>
  <c r="W297" i="19"/>
  <c r="W390" i="19"/>
  <c r="X415" i="19"/>
  <c r="W415" i="19"/>
  <c r="W431" i="19"/>
  <c r="W468" i="19"/>
  <c r="W232" i="19"/>
  <c r="W256" i="19"/>
  <c r="X273" i="19"/>
  <c r="W273" i="19"/>
  <c r="X344" i="19"/>
  <c r="W344" i="19"/>
  <c r="W366" i="19"/>
  <c r="X71" i="19"/>
  <c r="W71" i="19"/>
  <c r="X149" i="19"/>
  <c r="W149" i="19"/>
  <c r="X484" i="19"/>
  <c r="W484" i="19"/>
  <c r="X228" i="19"/>
  <c r="W228" i="19"/>
  <c r="X236" i="19"/>
  <c r="W236" i="19"/>
  <c r="X252" i="19"/>
  <c r="W252" i="19"/>
  <c r="X356" i="19"/>
  <c r="W356" i="19"/>
  <c r="X364" i="19"/>
  <c r="W364" i="19"/>
  <c r="X380" i="19"/>
  <c r="W380" i="19"/>
  <c r="X21" i="19"/>
  <c r="W21" i="19"/>
  <c r="X62" i="19"/>
  <c r="W62" i="19"/>
  <c r="X177" i="19"/>
  <c r="W177" i="19"/>
  <c r="W244" i="19"/>
  <c r="X305" i="19"/>
  <c r="W305" i="19"/>
  <c r="W372" i="19"/>
  <c r="X433" i="19"/>
  <c r="W433" i="19"/>
  <c r="X220" i="19"/>
  <c r="W220" i="19"/>
  <c r="X348" i="19"/>
  <c r="W348" i="19"/>
  <c r="X476" i="19"/>
  <c r="W476" i="19"/>
  <c r="W184" i="19"/>
  <c r="W190" i="19"/>
  <c r="W196" i="19"/>
  <c r="W202" i="19"/>
  <c r="W208" i="19"/>
  <c r="W214" i="19"/>
  <c r="W312" i="19"/>
  <c r="W318" i="19"/>
  <c r="W324" i="19"/>
  <c r="W330" i="19"/>
  <c r="W336" i="19"/>
  <c r="W342" i="19"/>
  <c r="W440" i="19"/>
  <c r="W446" i="19"/>
  <c r="W452" i="19"/>
  <c r="W458" i="19"/>
  <c r="W464" i="19"/>
  <c r="W470" i="19"/>
  <c r="X171" i="19"/>
  <c r="W171" i="19"/>
  <c r="W257" i="19"/>
  <c r="X300" i="19"/>
  <c r="W300" i="19"/>
  <c r="W385" i="19"/>
  <c r="X428" i="19"/>
  <c r="W428" i="19"/>
  <c r="W483" i="19"/>
  <c r="W489" i="19"/>
  <c r="W495" i="19"/>
  <c r="W501" i="19"/>
  <c r="W502" i="19"/>
  <c r="W18" i="19"/>
  <c r="W27" i="19"/>
  <c r="W41" i="19"/>
  <c r="W50" i="19"/>
  <c r="W59" i="19"/>
  <c r="W73" i="19"/>
  <c r="W82" i="19"/>
  <c r="W91" i="19"/>
  <c r="W105" i="19"/>
  <c r="W114" i="19"/>
  <c r="W123" i="19"/>
  <c r="W137" i="19"/>
  <c r="W146" i="19"/>
  <c r="W155" i="19"/>
  <c r="W160" i="19"/>
  <c r="X204" i="19"/>
  <c r="W204" i="19"/>
  <c r="W259" i="19"/>
  <c r="W265" i="19"/>
  <c r="W271" i="19"/>
  <c r="W277" i="19"/>
  <c r="W283" i="19"/>
  <c r="W289" i="19"/>
  <c r="X332" i="19"/>
  <c r="W332" i="19"/>
  <c r="W387" i="19"/>
  <c r="W393" i="19"/>
  <c r="W399" i="19"/>
  <c r="W405" i="19"/>
  <c r="W411" i="19"/>
  <c r="W417" i="19"/>
  <c r="X460" i="19"/>
  <c r="W460" i="19"/>
  <c r="W11" i="19"/>
  <c r="W20" i="19"/>
  <c r="W24" i="19"/>
  <c r="W28" i="19"/>
  <c r="W32" i="19"/>
  <c r="W36" i="19"/>
  <c r="W40" i="19"/>
  <c r="W44" i="19"/>
  <c r="W48" i="19"/>
  <c r="W52" i="19"/>
  <c r="W56" i="19"/>
  <c r="W60" i="19"/>
  <c r="W64" i="19"/>
  <c r="W68" i="19"/>
  <c r="W72" i="19"/>
  <c r="W76" i="19"/>
  <c r="W80" i="19"/>
  <c r="W84" i="19"/>
  <c r="W88" i="19"/>
  <c r="W92" i="19"/>
  <c r="W96" i="19"/>
  <c r="W100" i="19"/>
  <c r="W104" i="19"/>
  <c r="W108" i="19"/>
  <c r="W112" i="19"/>
  <c r="W116" i="19"/>
  <c r="W120" i="19"/>
  <c r="W124" i="19"/>
  <c r="W128" i="19"/>
  <c r="W132" i="19"/>
  <c r="W136" i="19"/>
  <c r="W140" i="19"/>
  <c r="W144" i="19"/>
  <c r="W148" i="19"/>
  <c r="W152" i="19"/>
  <c r="W156" i="19"/>
  <c r="W166" i="19"/>
  <c r="W183" i="19"/>
  <c r="W199" i="19"/>
  <c r="W215" i="19"/>
  <c r="W231" i="19"/>
  <c r="W247" i="19"/>
  <c r="W263" i="19"/>
  <c r="W279" i="19"/>
  <c r="W295" i="19"/>
  <c r="W311" i="19"/>
  <c r="W327" i="19"/>
  <c r="W343" i="19"/>
  <c r="W359" i="19"/>
  <c r="W375" i="19"/>
  <c r="W391" i="19"/>
  <c r="W407" i="19"/>
  <c r="W423" i="19"/>
  <c r="W439" i="19"/>
  <c r="W455" i="19"/>
  <c r="W471" i="19"/>
  <c r="W487" i="19"/>
  <c r="W503" i="19"/>
  <c r="DK42" i="54" l="1"/>
  <c r="DN25" i="54"/>
  <c r="DK35" i="54"/>
  <c r="CI62" i="54"/>
  <c r="GD48" i="54"/>
  <c r="BM26" i="54" a="1"/>
  <c r="BM26" i="54" s="1"/>
  <c r="CA26" i="54" s="1"/>
  <c r="C26" i="54"/>
  <c r="DN26" i="54"/>
  <c r="L35" i="16"/>
  <c r="BT65" i="54"/>
  <c r="BU34" i="54"/>
  <c r="BM63" i="54" a="1"/>
  <c r="BM63" i="54" s="1"/>
  <c r="CA63" i="54" s="1"/>
  <c r="BT48" i="54"/>
  <c r="DC43" i="54"/>
  <c r="CG48" i="54"/>
  <c r="BM70" i="54" a="1"/>
  <c r="BM70" i="54" s="1"/>
  <c r="CA70" i="54" s="1"/>
  <c r="GD70" i="54"/>
  <c r="BM46" i="54" a="1"/>
  <c r="BM46" i="54" s="1"/>
  <c r="CA46" i="54" s="1"/>
  <c r="GD40" i="54"/>
  <c r="CB4" i="54"/>
  <c r="CC4" i="54" s="1"/>
  <c r="CD4" i="54" s="1"/>
  <c r="CG37" i="54"/>
  <c r="GD72" i="54"/>
  <c r="GD34" i="54"/>
  <c r="GD32" i="54"/>
  <c r="DN27" i="54"/>
  <c r="CQ42" i="54"/>
  <c r="BT37" i="54"/>
  <c r="DC34" i="54"/>
  <c r="BM28" i="54" a="1"/>
  <c r="BM28" i="54" s="1"/>
  <c r="CA28" i="54" s="1"/>
  <c r="BM48" i="54" a="1"/>
  <c r="BM48" i="54" s="1"/>
  <c r="CA48" i="54" s="1"/>
  <c r="GD43" i="54"/>
  <c r="BM31" i="54" a="1"/>
  <c r="BM31" i="54" s="1"/>
  <c r="CA31" i="54" s="1"/>
  <c r="CI26" i="54"/>
  <c r="GD42" i="54"/>
  <c r="L30" i="16"/>
  <c r="CG50" i="54"/>
  <c r="CB12" i="54"/>
  <c r="CC12" i="54" s="1"/>
  <c r="CD12" i="54" s="1"/>
  <c r="CA44" i="54"/>
  <c r="BN44" i="54" a="1"/>
  <c r="BN44" i="54" s="1"/>
  <c r="CA60" i="54"/>
  <c r="BN60" i="54" a="1"/>
  <c r="BN60" i="54" s="1"/>
  <c r="DV57" i="54"/>
  <c r="CR42" i="54"/>
  <c r="BW45" i="54"/>
  <c r="BW61" i="54"/>
  <c r="CE61" i="54" s="1"/>
  <c r="DV35" i="54"/>
  <c r="EG35" i="54" s="1"/>
  <c r="GD33" i="54"/>
  <c r="N12" i="42"/>
  <c r="P12" i="42" s="1"/>
  <c r="AE12" i="42" s="1"/>
  <c r="CE26" i="54"/>
  <c r="CG42" i="54"/>
  <c r="CE56" i="54"/>
  <c r="CJ48" i="54"/>
  <c r="CG68" i="54"/>
  <c r="GD37" i="54"/>
  <c r="AM3" i="40" a="1"/>
  <c r="AM3" i="40" s="1"/>
  <c r="BR56" i="54"/>
  <c r="AN3" i="40" a="1"/>
  <c r="AN3" i="40" s="1"/>
  <c r="BW21" i="54"/>
  <c r="BY21" i="54" s="1"/>
  <c r="CB16" i="54"/>
  <c r="CC16" i="54" s="1"/>
  <c r="CD16" i="54" s="1"/>
  <c r="CF69" i="54"/>
  <c r="CG69" i="54" s="1"/>
  <c r="N14" i="42"/>
  <c r="P14" i="42" s="1"/>
  <c r="AE14" i="42" s="1"/>
  <c r="AF14" i="42" s="1"/>
  <c r="CE33" i="54"/>
  <c r="DC23" i="54"/>
  <c r="BM52" i="54" a="1"/>
  <c r="BM52" i="54" s="1"/>
  <c r="BN52" i="54" s="1" a="1"/>
  <c r="BN52" i="54" s="1"/>
  <c r="DN34" i="54"/>
  <c r="DC65" i="54"/>
  <c r="BN40" i="54" a="1"/>
  <c r="BN40" i="54" s="1"/>
  <c r="BO40" i="54" s="1"/>
  <c r="CR53" i="54"/>
  <c r="BT64" i="54"/>
  <c r="AY39" i="54"/>
  <c r="E39" i="54" s="1"/>
  <c r="AZ39" i="54" s="1"/>
  <c r="L28" i="16"/>
  <c r="BM21" i="54" a="1"/>
  <c r="BM21" i="54" s="1"/>
  <c r="CA21" i="54" s="1"/>
  <c r="BW25" i="54"/>
  <c r="CI25" i="54" s="1"/>
  <c r="BM55" i="54" a="1"/>
  <c r="BM55" i="54" s="1"/>
  <c r="CA55" i="54" s="1"/>
  <c r="CR21" i="54"/>
  <c r="BR32" i="54"/>
  <c r="BW70" i="54"/>
  <c r="GD67" i="54"/>
  <c r="GD36" i="54"/>
  <c r="BW57" i="54"/>
  <c r="CJ57" i="54" s="1"/>
  <c r="BP32" i="54"/>
  <c r="EB64" i="54"/>
  <c r="CB20" i="54"/>
  <c r="CC20" i="54" s="1"/>
  <c r="CD20" i="54" s="1"/>
  <c r="EB71" i="54"/>
  <c r="CW21" i="54"/>
  <c r="CJ32" i="54"/>
  <c r="BR57" i="54"/>
  <c r="C17" i="54"/>
  <c r="DB18" i="54"/>
  <c r="DA18" i="54" a="1"/>
  <c r="DA18" i="54" s="1"/>
  <c r="AY22" i="54"/>
  <c r="E22" i="54" s="1"/>
  <c r="AZ22" i="54" s="1"/>
  <c r="GD53" i="54"/>
  <c r="BW71" i="54"/>
  <c r="CI71" i="54" s="1"/>
  <c r="BW40" i="54"/>
  <c r="CJ40" i="54" s="1"/>
  <c r="CG64" i="54"/>
  <c r="CX21" i="54"/>
  <c r="DA70" i="54" a="1"/>
  <c r="DA70" i="54" s="1"/>
  <c r="DC70" i="54" s="1"/>
  <c r="BP57" i="54"/>
  <c r="EB57" i="54" s="1"/>
  <c r="BB3" i="40" a="1"/>
  <c r="BB3" i="40" s="1"/>
  <c r="GD15" i="54"/>
  <c r="DB33" i="54"/>
  <c r="DB19" i="54"/>
  <c r="GD27" i="54"/>
  <c r="DC67" i="54"/>
  <c r="BK3" i="40" a="1"/>
  <c r="BK3" i="40" s="1"/>
  <c r="CW53" i="54"/>
  <c r="BR58" i="54"/>
  <c r="DB70" i="54"/>
  <c r="BD10" i="53"/>
  <c r="CE48" i="54"/>
  <c r="EB69" i="54"/>
  <c r="DK41" i="54"/>
  <c r="CG65" i="54"/>
  <c r="BP58" i="54"/>
  <c r="EB58" i="54" s="1"/>
  <c r="DB21" i="54"/>
  <c r="DC21" i="54" s="1"/>
  <c r="L33" i="16"/>
  <c r="M33" i="16" s="1"/>
  <c r="BW66" i="54"/>
  <c r="C3" i="40" a="1"/>
  <c r="C3" i="40" s="1"/>
  <c r="EB52" i="54"/>
  <c r="CB10" i="54"/>
  <c r="CC10" i="54" s="1"/>
  <c r="CD10" i="54" s="1"/>
  <c r="DC36" i="54"/>
  <c r="DN43" i="54"/>
  <c r="AY69" i="54"/>
  <c r="E69" i="54" s="1"/>
  <c r="AZ69" i="54" s="1"/>
  <c r="BW68" i="54"/>
  <c r="CI68" i="54" s="1"/>
  <c r="N18" i="42"/>
  <c r="P18" i="42" s="1"/>
  <c r="AE18" i="42" s="1"/>
  <c r="AF18" i="42" s="1"/>
  <c r="FZ12" i="54" a="1"/>
  <c r="FZ12" i="54" s="1"/>
  <c r="GA12" i="54" s="1"/>
  <c r="FX12" i="54" a="1"/>
  <c r="FX12" i="54" s="1"/>
  <c r="FY12" i="54" s="1"/>
  <c r="FP12" i="54" a="1"/>
  <c r="FP12" i="54" s="1"/>
  <c r="FQ12" i="54" s="1"/>
  <c r="FR12" i="54" a="1"/>
  <c r="FR12" i="54" s="1"/>
  <c r="FS12" i="54" s="1"/>
  <c r="FV12" i="54" a="1"/>
  <c r="FV12" i="54" s="1"/>
  <c r="FW12" i="54" s="1"/>
  <c r="FT12" i="54" a="1"/>
  <c r="FT12" i="54" s="1"/>
  <c r="FU12" i="54" s="1"/>
  <c r="FZ11" i="54" a="1"/>
  <c r="FZ11" i="54" s="1"/>
  <c r="GA11" i="54" s="1"/>
  <c r="FV11" i="54" a="1"/>
  <c r="FV11" i="54" s="1"/>
  <c r="FW11" i="54" s="1"/>
  <c r="FP11" i="54" a="1"/>
  <c r="FP11" i="54" s="1"/>
  <c r="FQ11" i="54" s="1"/>
  <c r="FT11" i="54" a="1"/>
  <c r="FT11" i="54" s="1"/>
  <c r="FU11" i="54" s="1"/>
  <c r="FX11" i="54" a="1"/>
  <c r="FX11" i="54" s="1"/>
  <c r="FY11" i="54" s="1"/>
  <c r="FR11" i="54" a="1"/>
  <c r="FR11" i="54" s="1"/>
  <c r="FS11" i="54" s="1"/>
  <c r="CI35" i="54"/>
  <c r="CE35" i="54"/>
  <c r="BY35" i="54"/>
  <c r="CI52" i="54"/>
  <c r="CE52" i="54"/>
  <c r="BY52" i="54"/>
  <c r="BN49" i="54" a="1"/>
  <c r="BN49" i="54" s="1"/>
  <c r="T3" i="40" a="1"/>
  <c r="T3" i="40" s="1"/>
  <c r="FX13" i="54" a="1"/>
  <c r="FX13" i="54" s="1"/>
  <c r="FY13" i="54" s="1"/>
  <c r="FT13" i="54" a="1"/>
  <c r="FT13" i="54" s="1"/>
  <c r="FU13" i="54" s="1"/>
  <c r="FR13" i="54" a="1"/>
  <c r="FR13" i="54" s="1"/>
  <c r="FS13" i="54" s="1"/>
  <c r="FP13" i="54" a="1"/>
  <c r="FP13" i="54" s="1"/>
  <c r="FQ13" i="54" s="1"/>
  <c r="FZ13" i="54" a="1"/>
  <c r="FZ13" i="54" s="1"/>
  <c r="GA13" i="54" s="1"/>
  <c r="FV13" i="54" a="1"/>
  <c r="FV13" i="54" s="1"/>
  <c r="FW13" i="54" s="1"/>
  <c r="CE69" i="54"/>
  <c r="CI69" i="54"/>
  <c r="BX69" i="54"/>
  <c r="CJ69" i="54"/>
  <c r="CI53" i="54"/>
  <c r="CE53" i="54"/>
  <c r="BY53" i="54"/>
  <c r="CA68" i="54"/>
  <c r="BN68" i="54" a="1"/>
  <c r="BN68" i="54" s="1"/>
  <c r="CA50" i="54"/>
  <c r="BN50" i="54" a="1"/>
  <c r="BN50" i="54" s="1"/>
  <c r="CI67" i="54"/>
  <c r="BX67" i="54"/>
  <c r="CE67" i="54"/>
  <c r="CS66" i="54"/>
  <c r="CT66" i="54"/>
  <c r="CP66" i="54"/>
  <c r="CR66" i="54"/>
  <c r="CQ66" i="54"/>
  <c r="CW66" i="54"/>
  <c r="CV66" i="54"/>
  <c r="CU66" i="54"/>
  <c r="DV25" i="54"/>
  <c r="EG25" i="54" s="1"/>
  <c r="BZ25" i="54"/>
  <c r="BT57" i="54"/>
  <c r="BU57" i="54"/>
  <c r="FR10" i="54" a="1"/>
  <c r="FR10" i="54" s="1"/>
  <c r="FS10" i="54" s="1"/>
  <c r="FX10" i="54" a="1"/>
  <c r="FX10" i="54" s="1"/>
  <c r="FY10" i="54" s="1"/>
  <c r="FZ10" i="54" a="1"/>
  <c r="FZ10" i="54" s="1"/>
  <c r="GA10" i="54" s="1"/>
  <c r="FT10" i="54" a="1"/>
  <c r="FT10" i="54" s="1"/>
  <c r="FU10" i="54" s="1"/>
  <c r="FV10" i="54" a="1"/>
  <c r="FV10" i="54" s="1"/>
  <c r="FW10" i="54" s="1"/>
  <c r="FP10" i="54" a="1"/>
  <c r="FP10" i="54" s="1"/>
  <c r="FQ10" i="54" s="1"/>
  <c r="BP48" i="54"/>
  <c r="BP39" i="54"/>
  <c r="DV63" i="54"/>
  <c r="BZ63" i="54"/>
  <c r="BR63" i="54"/>
  <c r="FG19" i="54"/>
  <c r="FF19" i="54"/>
  <c r="FD19" i="54"/>
  <c r="FE19" i="54"/>
  <c r="FI19" i="54" s="1"/>
  <c r="DG19" i="54"/>
  <c r="CF70" i="54"/>
  <c r="CG70" i="54" s="1"/>
  <c r="GD35" i="54"/>
  <c r="CV49" i="54"/>
  <c r="CQ49" i="54"/>
  <c r="CT49" i="54"/>
  <c r="CW49" i="54"/>
  <c r="CP49" i="54"/>
  <c r="CS49" i="54"/>
  <c r="CU49" i="54"/>
  <c r="CX49" i="54"/>
  <c r="CR49" i="54"/>
  <c r="GD4" i="54"/>
  <c r="CI49" i="54"/>
  <c r="BY49" i="54"/>
  <c r="BZ67" i="54"/>
  <c r="DV67" i="54"/>
  <c r="BP67" i="54"/>
  <c r="BR67" i="54"/>
  <c r="EB67" i="54" s="1"/>
  <c r="GD38" i="54"/>
  <c r="BN36" i="54" a="1"/>
  <c r="BN36" i="54" s="1"/>
  <c r="BP27" i="54"/>
  <c r="BR27" i="54"/>
  <c r="EB27" i="54" s="1"/>
  <c r="BY62" i="54"/>
  <c r="CR25" i="54"/>
  <c r="CW25" i="54"/>
  <c r="CV25" i="54"/>
  <c r="CT25" i="54"/>
  <c r="CS25" i="54"/>
  <c r="CQ25" i="54"/>
  <c r="CP25" i="54"/>
  <c r="CU25" i="54"/>
  <c r="GD58" i="54"/>
  <c r="CF39" i="54"/>
  <c r="CG39" i="54" s="1"/>
  <c r="BU71" i="54"/>
  <c r="CJ71" i="54"/>
  <c r="BT71" i="54"/>
  <c r="BP37" i="54"/>
  <c r="CI47" i="54"/>
  <c r="DC37" i="54"/>
  <c r="CI28" i="54"/>
  <c r="CH3" i="54"/>
  <c r="EX3" i="54" s="1"/>
  <c r="CJ62" i="54"/>
  <c r="BT62" i="54"/>
  <c r="BU62" i="54"/>
  <c r="DA45" i="54" a="1"/>
  <c r="DA45" i="54" s="1"/>
  <c r="DB45" i="54"/>
  <c r="BM45" i="54" a="1"/>
  <c r="BM45" i="54" s="1"/>
  <c r="CA45" i="54" s="1"/>
  <c r="DV46" i="54"/>
  <c r="BZ46" i="54"/>
  <c r="BM49" i="54" a="1"/>
  <c r="BM49" i="54" s="1"/>
  <c r="CA49" i="54" s="1"/>
  <c r="DA63" i="54" a="1"/>
  <c r="DA63" i="54" s="1"/>
  <c r="DB63" i="54"/>
  <c r="C49" i="54"/>
  <c r="BZ47" i="54"/>
  <c r="DV47" i="54"/>
  <c r="CI31" i="54"/>
  <c r="CU58" i="54"/>
  <c r="CW58" i="54"/>
  <c r="CV58" i="54"/>
  <c r="CR58" i="54"/>
  <c r="CQ58" i="54"/>
  <c r="CP58" i="54"/>
  <c r="CT58" i="54"/>
  <c r="CS58" i="54"/>
  <c r="CF26" i="54"/>
  <c r="DB58" i="54"/>
  <c r="DA58" i="54" a="1"/>
  <c r="DA58" i="54" s="1"/>
  <c r="BM58" i="54" a="1"/>
  <c r="BM58" i="54" s="1"/>
  <c r="CA58" i="54" s="1"/>
  <c r="DC71" i="54"/>
  <c r="DB28" i="54"/>
  <c r="DA28" i="54" a="1"/>
  <c r="DA28" i="54" s="1"/>
  <c r="N21" i="42"/>
  <c r="P21" i="42" s="1"/>
  <c r="AE21" i="42" s="1"/>
  <c r="AF21" i="42" s="1"/>
  <c r="FD15" i="54"/>
  <c r="FE15" i="54"/>
  <c r="FI15" i="54" s="1"/>
  <c r="FF15" i="54"/>
  <c r="EL15" i="54"/>
  <c r="EM15" i="54" s="1"/>
  <c r="FG15" i="54"/>
  <c r="DG15" i="54"/>
  <c r="CQ65" i="54"/>
  <c r="CW65" i="54"/>
  <c r="CP65" i="54"/>
  <c r="CT65" i="54"/>
  <c r="CX65" i="54"/>
  <c r="CR65" i="54"/>
  <c r="CV65" i="54"/>
  <c r="CU65" i="54"/>
  <c r="CS65" i="54"/>
  <c r="BR41" i="54"/>
  <c r="BP41" i="54"/>
  <c r="BT51" i="54"/>
  <c r="CJ51" i="54"/>
  <c r="BU51" i="54"/>
  <c r="BY51" i="54"/>
  <c r="CI24" i="54"/>
  <c r="CE68" i="54"/>
  <c r="DV24" i="54"/>
  <c r="BZ24" i="54"/>
  <c r="CW38" i="54"/>
  <c r="CV38" i="54"/>
  <c r="CU38" i="54"/>
  <c r="CX38" i="54"/>
  <c r="CQ38" i="54"/>
  <c r="CT38" i="54"/>
  <c r="CR38" i="54"/>
  <c r="CP38" i="54"/>
  <c r="CS38" i="54"/>
  <c r="DV56" i="54"/>
  <c r="BZ56" i="54"/>
  <c r="CI41" i="54"/>
  <c r="DB11" i="54"/>
  <c r="DA11" i="54" a="1"/>
  <c r="DA11" i="54" s="1"/>
  <c r="GD10" i="54"/>
  <c r="CT24" i="54"/>
  <c r="CQ24" i="54"/>
  <c r="CS24" i="54"/>
  <c r="CW24" i="54"/>
  <c r="CP24" i="54"/>
  <c r="CV24" i="54"/>
  <c r="CU24" i="54"/>
  <c r="CR24" i="54"/>
  <c r="BR37" i="54"/>
  <c r="DV29" i="54"/>
  <c r="BZ29" i="54"/>
  <c r="CF61" i="54"/>
  <c r="CG61" i="54"/>
  <c r="BP45" i="54"/>
  <c r="BR45" i="54"/>
  <c r="DC49" i="54"/>
  <c r="BR47" i="54"/>
  <c r="BP47" i="54"/>
  <c r="CQ67" i="54"/>
  <c r="CU67" i="54"/>
  <c r="CP67" i="54"/>
  <c r="CR67" i="54"/>
  <c r="CS67" i="54"/>
  <c r="BM67" i="54" a="1"/>
  <c r="BM67" i="54" s="1"/>
  <c r="CX67" i="54" s="1"/>
  <c r="CV67" i="54"/>
  <c r="CT67" i="54"/>
  <c r="CW67" i="54"/>
  <c r="CF27" i="54"/>
  <c r="CG27" i="54" s="1"/>
  <c r="DV70" i="54"/>
  <c r="BZ70" i="54"/>
  <c r="N17" i="42"/>
  <c r="P17" i="42" s="1"/>
  <c r="AE17" i="42" s="1"/>
  <c r="AF17" i="42" s="1"/>
  <c r="BY25" i="54"/>
  <c r="DV42" i="54"/>
  <c r="BZ42" i="54"/>
  <c r="GD5" i="54"/>
  <c r="BR34" i="54"/>
  <c r="BP34" i="54"/>
  <c r="CI58" i="54"/>
  <c r="BX58" i="54"/>
  <c r="CE58" i="54"/>
  <c r="CV69" i="54"/>
  <c r="CQ69" i="54"/>
  <c r="CT69" i="54"/>
  <c r="CW69" i="54"/>
  <c r="CS69" i="54"/>
  <c r="CU69" i="54"/>
  <c r="CX69" i="54"/>
  <c r="CP69" i="54"/>
  <c r="CR69" i="54"/>
  <c r="BM69" i="54" a="1"/>
  <c r="BM69" i="54" s="1"/>
  <c r="CA69" i="54" s="1"/>
  <c r="BU68" i="54"/>
  <c r="BT68" i="54"/>
  <c r="CJ24" i="54"/>
  <c r="BU24" i="54"/>
  <c r="BT24" i="54"/>
  <c r="CF54" i="54"/>
  <c r="CG54" i="54"/>
  <c r="DV53" i="54"/>
  <c r="BZ53" i="54"/>
  <c r="BP53" i="54"/>
  <c r="FG10" i="54"/>
  <c r="FD10" i="54"/>
  <c r="FE10" i="54"/>
  <c r="FI10" i="54" s="1"/>
  <c r="FF10" i="54"/>
  <c r="EL10" i="54"/>
  <c r="EM10" i="54" s="1"/>
  <c r="DG10" i="54"/>
  <c r="DV38" i="54"/>
  <c r="BZ38" i="54"/>
  <c r="CJ56" i="54"/>
  <c r="BT56" i="54"/>
  <c r="BU56" i="54"/>
  <c r="CJ41" i="54"/>
  <c r="BU41" i="54"/>
  <c r="BT41" i="54"/>
  <c r="CT56" i="54"/>
  <c r="CQ56" i="54"/>
  <c r="CR56" i="54"/>
  <c r="CS56" i="54"/>
  <c r="CW56" i="54"/>
  <c r="CV56" i="54"/>
  <c r="CP56" i="54"/>
  <c r="CU56" i="54"/>
  <c r="CG71" i="54"/>
  <c r="CF71" i="54"/>
  <c r="CA43" i="54"/>
  <c r="CX43" i="54"/>
  <c r="AY53" i="54"/>
  <c r="E53" i="54" s="1"/>
  <c r="AZ53" i="54" s="1"/>
  <c r="BY24" i="54"/>
  <c r="FF12" i="54"/>
  <c r="FG12" i="54"/>
  <c r="FD12" i="54"/>
  <c r="FE12" i="54"/>
  <c r="FI12" i="54" s="1"/>
  <c r="DG12" i="54"/>
  <c r="GR4" i="54"/>
  <c r="GS4" i="54" s="1"/>
  <c r="GY4" i="54"/>
  <c r="GX4" i="54"/>
  <c r="EY4" i="54"/>
  <c r="FN4" i="54" s="1"/>
  <c r="FO4" i="54" s="1"/>
  <c r="DB12" i="54"/>
  <c r="DA12" i="54" a="1"/>
  <c r="DA12" i="54" s="1"/>
  <c r="DG4" i="54"/>
  <c r="FF4" i="54"/>
  <c r="FG4" i="54"/>
  <c r="FE4" i="54"/>
  <c r="FI4" i="54" s="1"/>
  <c r="FD4" i="54"/>
  <c r="CI29" i="54"/>
  <c r="CI61" i="54"/>
  <c r="BX61" i="54"/>
  <c r="FD16" i="54"/>
  <c r="FG16" i="54"/>
  <c r="FE16" i="54"/>
  <c r="FI16" i="54" s="1"/>
  <c r="FF16" i="54"/>
  <c r="DG16" i="54"/>
  <c r="EL16" i="54"/>
  <c r="EM16" i="54" s="1"/>
  <c r="FD5" i="54"/>
  <c r="FE5" i="54"/>
  <c r="FI5" i="54" s="1"/>
  <c r="FF5" i="54"/>
  <c r="FG5" i="54"/>
  <c r="EL5" i="54"/>
  <c r="EM5" i="54" s="1"/>
  <c r="DG5" i="54"/>
  <c r="CJ21" i="54"/>
  <c r="BU21" i="54"/>
  <c r="BT21" i="54"/>
  <c r="BP49" i="54"/>
  <c r="BR49" i="54"/>
  <c r="EB49" i="54" s="1"/>
  <c r="BU53" i="54"/>
  <c r="BT53" i="54"/>
  <c r="CJ53" i="54"/>
  <c r="DC69" i="54"/>
  <c r="CI39" i="54"/>
  <c r="BY39" i="54"/>
  <c r="CJ38" i="54"/>
  <c r="N15" i="42"/>
  <c r="P15" i="42" s="1"/>
  <c r="AE15" i="42" s="1"/>
  <c r="AF15" i="42" s="1"/>
  <c r="EV64" i="54"/>
  <c r="EU64" i="54"/>
  <c r="GU64" i="54" s="1"/>
  <c r="EV4" i="54"/>
  <c r="EU4" i="54"/>
  <c r="GU4" i="54" s="1"/>
  <c r="BX71" i="54"/>
  <c r="FV14" i="54" a="1"/>
  <c r="FV14" i="54" s="1"/>
  <c r="FW14" i="54" s="1"/>
  <c r="FP14" i="54" a="1"/>
  <c r="FP14" i="54" s="1"/>
  <c r="FQ14" i="54" s="1"/>
  <c r="FZ14" i="54" a="1"/>
  <c r="FZ14" i="54" s="1"/>
  <c r="GA14" i="54" s="1"/>
  <c r="FX14" i="54" a="1"/>
  <c r="FX14" i="54" s="1"/>
  <c r="FY14" i="54" s="1"/>
  <c r="FR14" i="54" a="1"/>
  <c r="FR14" i="54" s="1"/>
  <c r="FS14" i="54" s="1"/>
  <c r="FT14" i="54" a="1"/>
  <c r="FT14" i="54" s="1"/>
  <c r="FU14" i="54" s="1"/>
  <c r="CX44" i="54"/>
  <c r="CW44" i="54"/>
  <c r="CP44" i="54"/>
  <c r="CS44" i="54"/>
  <c r="CU44" i="54"/>
  <c r="CR44" i="54"/>
  <c r="CT44" i="54"/>
  <c r="CV44" i="54"/>
  <c r="CQ44" i="54"/>
  <c r="DB16" i="54"/>
  <c r="DA16" i="54" a="1"/>
  <c r="DA16" i="54" s="1"/>
  <c r="DC54" i="54"/>
  <c r="CI21" i="54"/>
  <c r="CE21" i="54"/>
  <c r="GR6" i="54"/>
  <c r="GS6" i="54" s="1"/>
  <c r="GY6" i="54"/>
  <c r="GX6" i="54"/>
  <c r="EY6" i="54"/>
  <c r="FN6" i="54" s="1"/>
  <c r="FO6" i="54" s="1"/>
  <c r="GD52" i="54"/>
  <c r="BP33" i="54"/>
  <c r="BR33" i="54"/>
  <c r="EB33" i="54" s="1"/>
  <c r="CE51" i="54"/>
  <c r="CF24" i="54"/>
  <c r="CW54" i="54"/>
  <c r="CV54" i="54"/>
  <c r="CX54" i="54"/>
  <c r="CP54" i="54"/>
  <c r="CT54" i="54"/>
  <c r="CS54" i="54"/>
  <c r="CU54" i="54"/>
  <c r="CR54" i="54"/>
  <c r="CQ54" i="54"/>
  <c r="CR23" i="54"/>
  <c r="CW23" i="54"/>
  <c r="CU23" i="54"/>
  <c r="CP23" i="54"/>
  <c r="CT23" i="54"/>
  <c r="CS23" i="54"/>
  <c r="CV23" i="54"/>
  <c r="CQ23" i="54"/>
  <c r="CX23" i="54"/>
  <c r="DA41" i="54" a="1"/>
  <c r="DA41" i="54" s="1"/>
  <c r="DB41" i="54"/>
  <c r="BM41" i="54" a="1"/>
  <c r="BM41" i="54" s="1"/>
  <c r="BR25" i="54"/>
  <c r="BP25" i="54"/>
  <c r="AY35" i="54"/>
  <c r="FE17" i="54"/>
  <c r="FI17" i="54" s="1"/>
  <c r="FD17" i="54"/>
  <c r="DG17" i="54"/>
  <c r="FF17" i="54"/>
  <c r="FG17" i="54"/>
  <c r="CY24" i="54"/>
  <c r="CY25" i="54" s="1"/>
  <c r="GX17" i="54"/>
  <c r="GR17" i="54"/>
  <c r="GS17" i="54" s="1"/>
  <c r="EY17" i="54"/>
  <c r="FN17" i="54" s="1"/>
  <c r="FO17" i="54" s="1"/>
  <c r="GY17" i="54"/>
  <c r="BU29" i="54"/>
  <c r="BT29" i="54"/>
  <c r="CJ29" i="54"/>
  <c r="DA61" i="54" a="1"/>
  <c r="DA61" i="54" s="1"/>
  <c r="DB61" i="54"/>
  <c r="BM61" i="54" a="1"/>
  <c r="BM61" i="54" s="1"/>
  <c r="CF62" i="54"/>
  <c r="CG62" i="54" s="1"/>
  <c r="CJ46" i="54"/>
  <c r="BU46" i="54"/>
  <c r="BT46" i="54"/>
  <c r="CJ34" i="54"/>
  <c r="BT47" i="54"/>
  <c r="CJ47" i="54"/>
  <c r="BU47" i="54"/>
  <c r="AY36" i="54"/>
  <c r="E36" i="54" s="1"/>
  <c r="AZ36" i="54" s="1"/>
  <c r="DU60" i="54"/>
  <c r="BO60" i="54"/>
  <c r="CU62" i="54"/>
  <c r="CT62" i="54"/>
  <c r="CS62" i="54"/>
  <c r="CR62" i="54"/>
  <c r="CV62" i="54"/>
  <c r="CQ62" i="54"/>
  <c r="CW62" i="54"/>
  <c r="CP62" i="54"/>
  <c r="CS50" i="54"/>
  <c r="CX50" i="54"/>
  <c r="CP50" i="54"/>
  <c r="CV50" i="54"/>
  <c r="CQ50" i="54"/>
  <c r="CW50" i="54"/>
  <c r="CT50" i="54"/>
  <c r="CU50" i="54"/>
  <c r="CR50" i="54"/>
  <c r="DB59" i="54"/>
  <c r="DA59" i="54" a="1"/>
  <c r="DA59" i="54" s="1"/>
  <c r="BM59" i="54" a="1"/>
  <c r="BM59" i="54" s="1"/>
  <c r="DV45" i="54"/>
  <c r="BZ45" i="54"/>
  <c r="FF14" i="54"/>
  <c r="FD14" i="54"/>
  <c r="FE14" i="54"/>
  <c r="FI14" i="54" s="1"/>
  <c r="FG14" i="54"/>
  <c r="DG14" i="54"/>
  <c r="EL14" i="54"/>
  <c r="EM14" i="54" s="1"/>
  <c r="BB10" i="53"/>
  <c r="EH30" i="54"/>
  <c r="CP59" i="54"/>
  <c r="CR59" i="54"/>
  <c r="CX59" i="54"/>
  <c r="CU59" i="54"/>
  <c r="CV59" i="54"/>
  <c r="CQ59" i="54"/>
  <c r="CW59" i="54"/>
  <c r="CT59" i="54"/>
  <c r="CS59" i="54"/>
  <c r="DV33" i="54"/>
  <c r="BZ33" i="54"/>
  <c r="CV52" i="54"/>
  <c r="CT52" i="54"/>
  <c r="CW52" i="54"/>
  <c r="CP52" i="54"/>
  <c r="CS52" i="54"/>
  <c r="CU52" i="54"/>
  <c r="CR52" i="54"/>
  <c r="CQ52" i="54"/>
  <c r="DB10" i="54"/>
  <c r="DA10" i="54" a="1"/>
  <c r="DA10" i="54" s="1"/>
  <c r="BR36" i="54"/>
  <c r="BP36" i="54"/>
  <c r="CR39" i="54"/>
  <c r="CV39" i="54"/>
  <c r="CW39" i="54"/>
  <c r="CS39" i="54"/>
  <c r="CU39" i="54"/>
  <c r="CQ39" i="54"/>
  <c r="CP39" i="54"/>
  <c r="CT39" i="54"/>
  <c r="CI38" i="54"/>
  <c r="BY38" i="54"/>
  <c r="EB68" i="54"/>
  <c r="CV32" i="54"/>
  <c r="CU32" i="54"/>
  <c r="CT32" i="54"/>
  <c r="CQ32" i="54"/>
  <c r="CP32" i="54"/>
  <c r="CR32" i="54"/>
  <c r="CS32" i="54"/>
  <c r="CW32" i="54"/>
  <c r="AY67" i="54"/>
  <c r="E67" i="54" s="1"/>
  <c r="AZ67" i="54" s="1"/>
  <c r="CF46" i="54"/>
  <c r="CG46" i="54"/>
  <c r="DB47" i="54"/>
  <c r="DA47" i="54" a="1"/>
  <c r="DA47" i="54" s="1"/>
  <c r="AY37" i="54"/>
  <c r="E37" i="54" s="1"/>
  <c r="AZ37" i="54" s="1"/>
  <c r="BR30" i="54"/>
  <c r="BP30" i="54"/>
  <c r="CV51" i="54"/>
  <c r="CQ51" i="54"/>
  <c r="CS51" i="54"/>
  <c r="CW51" i="54"/>
  <c r="CP51" i="54"/>
  <c r="CT51" i="54"/>
  <c r="CR51" i="54"/>
  <c r="CU51" i="54"/>
  <c r="DB53" i="54"/>
  <c r="DA53" i="54" a="1"/>
  <c r="DA53" i="54" s="1"/>
  <c r="DC53" i="54" s="1"/>
  <c r="BM53" i="54" a="1"/>
  <c r="BM53" i="54" s="1"/>
  <c r="CX53" i="54" s="1"/>
  <c r="BT58" i="54"/>
  <c r="CJ58" i="54"/>
  <c r="BU58" i="54"/>
  <c r="FF13" i="54"/>
  <c r="FD13" i="54"/>
  <c r="DG13" i="54"/>
  <c r="FE13" i="54"/>
  <c r="FI13" i="54" s="1"/>
  <c r="FG13" i="54"/>
  <c r="EL13" i="54"/>
  <c r="EM13" i="54" s="1"/>
  <c r="DB32" i="54"/>
  <c r="DA32" i="54" a="1"/>
  <c r="DA32" i="54" s="1"/>
  <c r="BR42" i="54"/>
  <c r="BP42" i="54"/>
  <c r="CE34" i="54"/>
  <c r="CF22" i="54"/>
  <c r="CG22" i="54" s="1"/>
  <c r="DA6" i="54" a="1"/>
  <c r="DA6" i="54" s="1"/>
  <c r="DB6" i="54"/>
  <c r="CW70" i="54"/>
  <c r="CV70" i="54"/>
  <c r="CT70" i="54"/>
  <c r="CP70" i="54"/>
  <c r="CS70" i="54"/>
  <c r="CU70" i="54"/>
  <c r="CQ70" i="54"/>
  <c r="CR70" i="54"/>
  <c r="DT57" i="54"/>
  <c r="CU26" i="54"/>
  <c r="CW26" i="54"/>
  <c r="CT26" i="54"/>
  <c r="CS26" i="54"/>
  <c r="CX26" i="54"/>
  <c r="CV26" i="54"/>
  <c r="CP26" i="54"/>
  <c r="CQ26" i="54"/>
  <c r="CR26" i="54"/>
  <c r="BM39" i="54" a="1"/>
  <c r="BM39" i="54" s="1"/>
  <c r="CA39" i="54" s="1"/>
  <c r="CP27" i="54"/>
  <c r="CR27" i="54"/>
  <c r="CW27" i="54"/>
  <c r="CU27" i="54"/>
  <c r="CT27" i="54"/>
  <c r="CV27" i="54"/>
  <c r="CS27" i="54"/>
  <c r="CQ27" i="54"/>
  <c r="CF47" i="54"/>
  <c r="CG47" i="54"/>
  <c r="EB56" i="54"/>
  <c r="AY52" i="54"/>
  <c r="E52" i="54" s="1"/>
  <c r="AZ52" i="54" s="1"/>
  <c r="BP44" i="54"/>
  <c r="BR44" i="54"/>
  <c r="CF29" i="54"/>
  <c r="DB62" i="54"/>
  <c r="DA62" i="54" a="1"/>
  <c r="DA62" i="54" s="1"/>
  <c r="DB46" i="54"/>
  <c r="DA46" i="54" a="1"/>
  <c r="DA46" i="54" s="1"/>
  <c r="DC46" i="54" s="1"/>
  <c r="DB14" i="54"/>
  <c r="DA14" i="54" a="1"/>
  <c r="DA14" i="54" s="1"/>
  <c r="FA61" i="54"/>
  <c r="GB61" i="54" s="1"/>
  <c r="FC61" i="54"/>
  <c r="EW61" i="54"/>
  <c r="AX10" i="53"/>
  <c r="AY10" i="53" s="1" a="1"/>
  <c r="AY10" i="53" s="1"/>
  <c r="BC10" i="53"/>
  <c r="DZ30" i="54"/>
  <c r="DZ47" i="54"/>
  <c r="GD51" i="54"/>
  <c r="CF72" i="54"/>
  <c r="CG72" i="54"/>
  <c r="GD54" i="54"/>
  <c r="BT42" i="54"/>
  <c r="BU42" i="54"/>
  <c r="CJ42" i="54"/>
  <c r="DB56" i="54"/>
  <c r="BM56" i="54" a="1"/>
  <c r="BM56" i="54" s="1"/>
  <c r="CA56" i="54" s="1"/>
  <c r="DA56" i="54" a="1"/>
  <c r="DA56" i="54" s="1"/>
  <c r="BZ51" i="54"/>
  <c r="DV51" i="54"/>
  <c r="BP51" i="54"/>
  <c r="CU57" i="54"/>
  <c r="CR57" i="54"/>
  <c r="CQ57" i="54"/>
  <c r="CT57" i="54"/>
  <c r="CS57" i="54"/>
  <c r="CV57" i="54"/>
  <c r="CW57" i="54"/>
  <c r="CP57" i="54"/>
  <c r="CJ25" i="54"/>
  <c r="BU25" i="54"/>
  <c r="BT25" i="54"/>
  <c r="CF43" i="54"/>
  <c r="CG43" i="54" s="1"/>
  <c r="DV23" i="54"/>
  <c r="CZ23" i="54"/>
  <c r="BZ23" i="54"/>
  <c r="BN23" i="54" a="1"/>
  <c r="BN23" i="54" s="1"/>
  <c r="DV55" i="54"/>
  <c r="BZ55" i="54"/>
  <c r="CV48" i="54"/>
  <c r="CX48" i="54"/>
  <c r="CU48" i="54"/>
  <c r="CQ48" i="54"/>
  <c r="CT48" i="54"/>
  <c r="CS48" i="54"/>
  <c r="CW48" i="54"/>
  <c r="CR48" i="54"/>
  <c r="CP48" i="54"/>
  <c r="GR20" i="54"/>
  <c r="GS20" i="54" s="1"/>
  <c r="GY20" i="54"/>
  <c r="GX20" i="54"/>
  <c r="EY20" i="54"/>
  <c r="FN20" i="54" s="1"/>
  <c r="FO20" i="54" s="1"/>
  <c r="BZ44" i="54"/>
  <c r="DV44" i="54"/>
  <c r="DB29" i="54"/>
  <c r="DA29" i="54" a="1"/>
  <c r="DA29" i="54" s="1"/>
  <c r="DC29" i="54" s="1"/>
  <c r="BM29" i="54" a="1"/>
  <c r="BM29" i="54" s="1"/>
  <c r="CA29" i="54" s="1"/>
  <c r="CE62" i="54"/>
  <c r="BP46" i="54"/>
  <c r="BR46" i="54"/>
  <c r="EB46" i="54" s="1"/>
  <c r="BM47" i="54" a="1"/>
  <c r="BM47" i="54" s="1"/>
  <c r="DA15" i="54" a="1"/>
  <c r="DA15" i="54" s="1"/>
  <c r="DB15" i="54"/>
  <c r="L27" i="16"/>
  <c r="AG24" i="42" s="1"/>
  <c r="AH24" i="42" s="1"/>
  <c r="EV3" i="54"/>
  <c r="EU3" i="54"/>
  <c r="GT51" i="54"/>
  <c r="BS3" i="40" s="1" a="1"/>
  <c r="BS3" i="40" s="1"/>
  <c r="BH11" i="10" s="1"/>
  <c r="ET51" i="54"/>
  <c r="CX60" i="54"/>
  <c r="CW60" i="54"/>
  <c r="CS60" i="54"/>
  <c r="CU60" i="54"/>
  <c r="CV60" i="54"/>
  <c r="CP60" i="54"/>
  <c r="CT60" i="54"/>
  <c r="CR60" i="54"/>
  <c r="CQ60" i="54"/>
  <c r="AW3" i="40" a="1"/>
  <c r="AW3" i="40" s="1"/>
  <c r="CA3" i="40" a="1"/>
  <c r="CA3" i="40" s="1"/>
  <c r="CF25" i="54"/>
  <c r="DV43" i="54"/>
  <c r="BZ43" i="54"/>
  <c r="BN43" i="54" a="1"/>
  <c r="BN43" i="54" s="1"/>
  <c r="GD20" i="54"/>
  <c r="GD6" i="54"/>
  <c r="CV68" i="54"/>
  <c r="CW68" i="54"/>
  <c r="CS68" i="54"/>
  <c r="CU68" i="54"/>
  <c r="CR68" i="54"/>
  <c r="CQ68" i="54"/>
  <c r="CX68" i="54"/>
  <c r="CP68" i="54"/>
  <c r="CT68" i="54"/>
  <c r="CJ50" i="54"/>
  <c r="BU50" i="54"/>
  <c r="BT50" i="54"/>
  <c r="BU36" i="54"/>
  <c r="BT36" i="54"/>
  <c r="BZ72" i="54"/>
  <c r="DV72" i="54"/>
  <c r="BN72" i="54" a="1"/>
  <c r="BN72" i="54" s="1"/>
  <c r="GD28" i="54"/>
  <c r="DV21" i="54"/>
  <c r="BZ21" i="54"/>
  <c r="CZ21" i="54"/>
  <c r="BR21" i="54"/>
  <c r="BP21" i="54"/>
  <c r="DV69" i="54"/>
  <c r="BZ69" i="54"/>
  <c r="DB25" i="54"/>
  <c r="DA25" i="54" a="1"/>
  <c r="DA25" i="54" s="1"/>
  <c r="DA66" i="54" a="1"/>
  <c r="DA66" i="54" s="1"/>
  <c r="BM66" i="54" a="1"/>
  <c r="BM66" i="54" s="1"/>
  <c r="CA66" i="54" s="1"/>
  <c r="DB66" i="54"/>
  <c r="CG59" i="54"/>
  <c r="CF59" i="54"/>
  <c r="BU23" i="54"/>
  <c r="CJ23" i="54"/>
  <c r="BT23" i="54"/>
  <c r="BU55" i="54"/>
  <c r="BT55" i="54"/>
  <c r="CJ55" i="54"/>
  <c r="CI46" i="54"/>
  <c r="DB60" i="54"/>
  <c r="DA60" i="54" a="1"/>
  <c r="DA60" i="54" s="1"/>
  <c r="DC60" i="54" s="1"/>
  <c r="BP72" i="54"/>
  <c r="BP29" i="54"/>
  <c r="BR29" i="54"/>
  <c r="CW61" i="54"/>
  <c r="CP61" i="54"/>
  <c r="CS61" i="54"/>
  <c r="CU61" i="54"/>
  <c r="CV61" i="54"/>
  <c r="CQ61" i="54"/>
  <c r="CX61" i="54"/>
  <c r="CR61" i="54"/>
  <c r="CT61" i="54"/>
  <c r="BZ30" i="54"/>
  <c r="DV30" i="54"/>
  <c r="L36" i="16"/>
  <c r="AG33" i="42" s="1"/>
  <c r="AH33" i="42" s="1"/>
  <c r="DA24" i="54" a="1"/>
  <c r="DA24" i="54" s="1"/>
  <c r="DB24" i="54"/>
  <c r="BM24" i="54" a="1"/>
  <c r="BM24" i="54" s="1"/>
  <c r="CA24" i="54" s="1"/>
  <c r="GD3" i="54"/>
  <c r="GD19" i="54"/>
  <c r="C19" i="54"/>
  <c r="DB64" i="54"/>
  <c r="DA64" i="54" a="1"/>
  <c r="DA64" i="54" s="1"/>
  <c r="DC64" i="54" s="1"/>
  <c r="CF51" i="54"/>
  <c r="CG51" i="54"/>
  <c r="GD21" i="54"/>
  <c r="FG11" i="54"/>
  <c r="FD11" i="54"/>
  <c r="FE11" i="54"/>
  <c r="FI11" i="54" s="1"/>
  <c r="FF11" i="54"/>
  <c r="DG11" i="54"/>
  <c r="BN38" i="54" a="1"/>
  <c r="BN38" i="54" s="1"/>
  <c r="DV65" i="54"/>
  <c r="BR65" i="54"/>
  <c r="BP65" i="54"/>
  <c r="BZ65" i="54"/>
  <c r="DC33" i="54"/>
  <c r="BR35" i="54"/>
  <c r="BP35" i="54"/>
  <c r="CJ67" i="54"/>
  <c r="BT67" i="54"/>
  <c r="BU67" i="54"/>
  <c r="DB42" i="54"/>
  <c r="DA42" i="54" a="1"/>
  <c r="DA42" i="54" s="1"/>
  <c r="BM42" i="54" a="1"/>
  <c r="BM42" i="54" s="1"/>
  <c r="CA42" i="54" s="1"/>
  <c r="BP22" i="54"/>
  <c r="BR22" i="54"/>
  <c r="EB22" i="54" s="1"/>
  <c r="CJ72" i="54"/>
  <c r="BU72" i="54"/>
  <c r="BT72" i="54"/>
  <c r="GD56" i="54"/>
  <c r="DV40" i="54"/>
  <c r="BZ40" i="54"/>
  <c r="DB8" i="54"/>
  <c r="DA8" i="54" a="1"/>
  <c r="DA8" i="54" s="1"/>
  <c r="CX71" i="54"/>
  <c r="CR71" i="54"/>
  <c r="CQ71" i="54"/>
  <c r="CW71" i="54"/>
  <c r="CT71" i="54"/>
  <c r="CP71" i="54"/>
  <c r="CS71" i="54"/>
  <c r="CU71" i="54"/>
  <c r="CV71" i="54"/>
  <c r="BR51" i="54"/>
  <c r="CI59" i="54"/>
  <c r="BX59" i="54"/>
  <c r="CI27" i="54"/>
  <c r="BY27" i="54"/>
  <c r="CF34" i="54"/>
  <c r="CG34" i="54"/>
  <c r="CF23" i="54"/>
  <c r="CF55" i="54"/>
  <c r="CG55" i="54" s="1"/>
  <c r="BM64" i="54" a="1"/>
  <c r="BM64" i="54" s="1"/>
  <c r="CA64" i="54" s="1"/>
  <c r="GX18" i="54"/>
  <c r="EY18" i="54"/>
  <c r="FN18" i="54" s="1"/>
  <c r="FO18" i="54" s="1"/>
  <c r="GY18" i="54"/>
  <c r="GR18" i="54"/>
  <c r="GS18" i="54" s="1"/>
  <c r="BY33" i="54"/>
  <c r="CB14" i="54"/>
  <c r="CC14" i="54" s="1"/>
  <c r="CD14" i="54" s="1"/>
  <c r="CJ60" i="54"/>
  <c r="BU60" i="54"/>
  <c r="BT60" i="54"/>
  <c r="FD9" i="54"/>
  <c r="FE9" i="54"/>
  <c r="FI9" i="54" s="1"/>
  <c r="FF9" i="54"/>
  <c r="DG9" i="54"/>
  <c r="EL9" i="54"/>
  <c r="EM9" i="54" s="1"/>
  <c r="FG9" i="54"/>
  <c r="BR72" i="54"/>
  <c r="CF44" i="54"/>
  <c r="CG44" i="54"/>
  <c r="CE29" i="54"/>
  <c r="CG41" i="54"/>
  <c r="CJ30" i="54"/>
  <c r="BU30" i="54"/>
  <c r="BT30" i="54"/>
  <c r="BT31" i="54"/>
  <c r="BU31" i="54"/>
  <c r="CJ31" i="54"/>
  <c r="BM32" i="54" a="1"/>
  <c r="BM32" i="54" s="1"/>
  <c r="BN32" i="54" s="1" a="1"/>
  <c r="BN32" i="54" s="1"/>
  <c r="L34" i="16"/>
  <c r="AG31" i="42" s="1"/>
  <c r="AH31" i="42" s="1"/>
  <c r="EL4" i="54"/>
  <c r="EM4" i="54" s="1"/>
  <c r="FG18" i="54"/>
  <c r="FF18" i="54"/>
  <c r="FE18" i="54"/>
  <c r="FI18" i="54" s="1"/>
  <c r="FD18" i="54"/>
  <c r="DG18" i="54"/>
  <c r="DN37" i="54"/>
  <c r="DK37" i="54"/>
  <c r="BN45" i="54" a="1"/>
  <c r="BN45" i="54" s="1"/>
  <c r="FP16" i="54" a="1"/>
  <c r="FP16" i="54" s="1"/>
  <c r="FQ16" i="54" s="1"/>
  <c r="FV16" i="54" a="1"/>
  <c r="FV16" i="54" s="1"/>
  <c r="FW16" i="54" s="1"/>
  <c r="FZ16" i="54" a="1"/>
  <c r="FZ16" i="54" s="1"/>
  <c r="GA16" i="54" s="1"/>
  <c r="FX16" i="54" a="1"/>
  <c r="FX16" i="54" s="1"/>
  <c r="FY16" i="54" s="1"/>
  <c r="FT16" i="54" a="1"/>
  <c r="FT16" i="54" s="1"/>
  <c r="FU16" i="54" s="1"/>
  <c r="FR16" i="54" a="1"/>
  <c r="FR16" i="54" s="1"/>
  <c r="FS16" i="54" s="1"/>
  <c r="DA52" i="54" a="1"/>
  <c r="DA52" i="54" s="1"/>
  <c r="DB52" i="54"/>
  <c r="DV66" i="54"/>
  <c r="BZ66" i="54"/>
  <c r="BP66" i="54"/>
  <c r="BR66" i="54"/>
  <c r="EB66" i="54" s="1"/>
  <c r="CI50" i="54"/>
  <c r="BY50" i="54"/>
  <c r="FE7" i="54"/>
  <c r="FI7" i="54" s="1"/>
  <c r="FG7" i="54"/>
  <c r="FF7" i="54"/>
  <c r="FD7" i="54"/>
  <c r="EL7" i="54"/>
  <c r="EM7" i="54" s="1"/>
  <c r="DG7" i="54"/>
  <c r="ET5" i="54"/>
  <c r="GD68" i="54"/>
  <c r="CI65" i="54"/>
  <c r="BX65" i="54"/>
  <c r="BT35" i="54"/>
  <c r="CJ35" i="54"/>
  <c r="BU35" i="54"/>
  <c r="BP63" i="54"/>
  <c r="BN21" i="54" a="1"/>
  <c r="BN21" i="54" s="1"/>
  <c r="CX40" i="54"/>
  <c r="DZ28" i="54"/>
  <c r="BU54" i="54"/>
  <c r="BT54" i="54"/>
  <c r="CJ54" i="54"/>
  <c r="DV54" i="54"/>
  <c r="BZ54" i="54"/>
  <c r="BP54" i="54"/>
  <c r="CF35" i="54"/>
  <c r="CE59" i="54"/>
  <c r="BY32" i="54"/>
  <c r="DV50" i="54"/>
  <c r="BZ50" i="54"/>
  <c r="BR50" i="54"/>
  <c r="BP50" i="54"/>
  <c r="CI55" i="54"/>
  <c r="BY55" i="54"/>
  <c r="DZ50" i="54"/>
  <c r="EU62" i="54"/>
  <c r="GU62" i="54" s="1"/>
  <c r="EV62" i="54"/>
  <c r="CI72" i="54"/>
  <c r="CE72" i="54"/>
  <c r="BW37" i="54"/>
  <c r="DV28" i="54"/>
  <c r="BZ28" i="54"/>
  <c r="CT47" i="54"/>
  <c r="CS47" i="54"/>
  <c r="CP47" i="54"/>
  <c r="CW47" i="54"/>
  <c r="CU47" i="54"/>
  <c r="CX47" i="54"/>
  <c r="CR47" i="54"/>
  <c r="CQ47" i="54"/>
  <c r="CV47" i="54"/>
  <c r="CI44" i="54"/>
  <c r="DN30" i="54"/>
  <c r="DK30" i="54"/>
  <c r="CU30" i="54"/>
  <c r="CT30" i="54"/>
  <c r="CS30" i="54"/>
  <c r="CW30" i="54"/>
  <c r="CR30" i="54"/>
  <c r="CV30" i="54"/>
  <c r="CP30" i="54"/>
  <c r="CQ30" i="54"/>
  <c r="BP43" i="54"/>
  <c r="BR43" i="54"/>
  <c r="EB43" i="54" s="1"/>
  <c r="DV39" i="54"/>
  <c r="BZ39" i="54"/>
  <c r="CR55" i="54"/>
  <c r="CV55" i="54"/>
  <c r="CQ55" i="54"/>
  <c r="CW55" i="54"/>
  <c r="CP55" i="54"/>
  <c r="CT55" i="54"/>
  <c r="CS55" i="54"/>
  <c r="CU55" i="54"/>
  <c r="BT70" i="54"/>
  <c r="BU70" i="54"/>
  <c r="CJ70" i="54"/>
  <c r="CI70" i="54"/>
  <c r="CE32" i="54"/>
  <c r="CI64" i="54"/>
  <c r="BY64" i="54"/>
  <c r="GD69" i="54"/>
  <c r="CE50" i="54"/>
  <c r="BN34" i="54" a="1"/>
  <c r="BN34" i="54" s="1"/>
  <c r="CB34" i="54" s="1"/>
  <c r="CC34" i="54" s="1"/>
  <c r="CE65" i="54"/>
  <c r="GX9" i="54"/>
  <c r="EY9" i="54"/>
  <c r="FN9" i="54" s="1"/>
  <c r="FO9" i="54" s="1"/>
  <c r="GY9" i="54"/>
  <c r="GR9" i="54"/>
  <c r="GS9" i="54" s="1"/>
  <c r="CE41" i="54"/>
  <c r="BN54" i="54" a="1"/>
  <c r="BN54" i="54" s="1"/>
  <c r="BW36" i="54"/>
  <c r="CJ36" i="54" s="1"/>
  <c r="BY34" i="54"/>
  <c r="BR24" i="54"/>
  <c r="BP24" i="54"/>
  <c r="DC68" i="54"/>
  <c r="CE55" i="54"/>
  <c r="DC50" i="54"/>
  <c r="CV64" i="54"/>
  <c r="CU64" i="54"/>
  <c r="CT64" i="54"/>
  <c r="CS64" i="54"/>
  <c r="CR64" i="54"/>
  <c r="CW64" i="54"/>
  <c r="CP64" i="54"/>
  <c r="CQ64" i="54"/>
  <c r="BX72" i="54"/>
  <c r="GX19" i="54"/>
  <c r="GY19" i="54"/>
  <c r="GR19" i="54"/>
  <c r="GS19" i="54" s="1"/>
  <c r="EY19" i="54"/>
  <c r="FN19" i="54" s="1"/>
  <c r="FO19" i="54" s="1"/>
  <c r="BP28" i="54"/>
  <c r="BR28" i="54"/>
  <c r="CF60" i="54"/>
  <c r="BP70" i="54"/>
  <c r="EB70" i="54" s="1"/>
  <c r="CE44" i="54"/>
  <c r="DZ65" i="54"/>
  <c r="DY66" i="54" s="1"/>
  <c r="DZ66" i="54" s="1"/>
  <c r="CV31" i="54"/>
  <c r="CP31" i="54"/>
  <c r="CR31" i="54"/>
  <c r="CQ31" i="54"/>
  <c r="CT31" i="54"/>
  <c r="CS31" i="54"/>
  <c r="CU31" i="54"/>
  <c r="CW31" i="54"/>
  <c r="CF30" i="54"/>
  <c r="BR31" i="54"/>
  <c r="BP31" i="54"/>
  <c r="BY3" i="40" a="1"/>
  <c r="BY3" i="40" s="1"/>
  <c r="DG20" i="54"/>
  <c r="FD20" i="54"/>
  <c r="FE20" i="54"/>
  <c r="FI20" i="54" s="1"/>
  <c r="FG20" i="54"/>
  <c r="FF20" i="54"/>
  <c r="BR39" i="54"/>
  <c r="EB39" i="54" s="1"/>
  <c r="N16" i="42"/>
  <c r="P16" i="42" s="1"/>
  <c r="AE16" i="42" s="1"/>
  <c r="AF16" i="42" s="1"/>
  <c r="EL20" i="54"/>
  <c r="EM20" i="54" s="1"/>
  <c r="EV63" i="54"/>
  <c r="EU63" i="54"/>
  <c r="GU63" i="54" s="1"/>
  <c r="ET65" i="54"/>
  <c r="CE24" i="54"/>
  <c r="BR40" i="54"/>
  <c r="BP40" i="54"/>
  <c r="CE64" i="54"/>
  <c r="W10" i="53" a="1"/>
  <c r="W10" i="53" s="1"/>
  <c r="BU10" i="53" a="1"/>
  <c r="BU10" i="53" s="1"/>
  <c r="BK10" i="53" a="1"/>
  <c r="BK10" i="53" s="1"/>
  <c r="U10" i="53" a="1"/>
  <c r="U10" i="53" s="1"/>
  <c r="BV10" i="53" a="1"/>
  <c r="BV10" i="53" s="1"/>
  <c r="BS10" i="53" a="1"/>
  <c r="BS10" i="53" s="1"/>
  <c r="BO10" i="53" a="1"/>
  <c r="BO10" i="53" s="1"/>
  <c r="BE10" i="53" a="1"/>
  <c r="BE10" i="53" s="1"/>
  <c r="DB3" i="54"/>
  <c r="DA3" i="54" a="1"/>
  <c r="DA3" i="54" s="1"/>
  <c r="CS34" i="54"/>
  <c r="CX34" i="54"/>
  <c r="CV34" i="54"/>
  <c r="CP34" i="54"/>
  <c r="CU34" i="54"/>
  <c r="CQ34" i="54"/>
  <c r="CW34" i="54"/>
  <c r="CR34" i="54"/>
  <c r="CT34" i="54"/>
  <c r="CJ27" i="54"/>
  <c r="BU27" i="54"/>
  <c r="BT27" i="54"/>
  <c r="GD22" i="54"/>
  <c r="BU52" i="54"/>
  <c r="BT52" i="54"/>
  <c r="CJ52" i="54"/>
  <c r="C60" i="54"/>
  <c r="BR54" i="54"/>
  <c r="BM25" i="54" a="1"/>
  <c r="BM25" i="54" s="1"/>
  <c r="CA25" i="54" s="1"/>
  <c r="DZ24" i="54"/>
  <c r="GD11" i="54"/>
  <c r="BT40" i="54"/>
  <c r="BU40" i="54"/>
  <c r="BT26" i="54"/>
  <c r="CJ26" i="54"/>
  <c r="BU26" i="54"/>
  <c r="CF56" i="54"/>
  <c r="CG56" i="54"/>
  <c r="DV22" i="54"/>
  <c r="EG21" i="54" s="1"/>
  <c r="CZ22" i="54"/>
  <c r="BZ22" i="54"/>
  <c r="BN22" i="54" a="1"/>
  <c r="BN22" i="54" s="1"/>
  <c r="BR53" i="54"/>
  <c r="BY48" i="54"/>
  <c r="CI23" i="54"/>
  <c r="CG57" i="54"/>
  <c r="BN65" i="54" a="1"/>
  <c r="BN65" i="54" s="1"/>
  <c r="CQ53" i="54"/>
  <c r="FF8" i="54"/>
  <c r="FD8" i="54"/>
  <c r="EL8" i="54"/>
  <c r="EM8" i="54" s="1"/>
  <c r="FE8" i="54"/>
  <c r="FI8" i="54" s="1"/>
  <c r="FG8" i="54"/>
  <c r="DG8" i="54"/>
  <c r="DV62" i="54"/>
  <c r="BZ62" i="54"/>
  <c r="BR62" i="54"/>
  <c r="EB62" i="54" s="1"/>
  <c r="CW28" i="54"/>
  <c r="CT28" i="54"/>
  <c r="CS28" i="54"/>
  <c r="CQ28" i="54"/>
  <c r="CP28" i="54"/>
  <c r="CU28" i="54"/>
  <c r="CV28" i="54"/>
  <c r="CR28" i="54"/>
  <c r="DV61" i="54"/>
  <c r="BZ61" i="54"/>
  <c r="BR61" i="54"/>
  <c r="EB61" i="54" s="1"/>
  <c r="CF63" i="54"/>
  <c r="CG63" i="54"/>
  <c r="DC44" i="54"/>
  <c r="DB30" i="54"/>
  <c r="DA30" i="54" a="1"/>
  <c r="DA30" i="54" s="1"/>
  <c r="BZ31" i="54"/>
  <c r="DV31" i="54"/>
  <c r="DB27" i="54"/>
  <c r="DA27" i="54" a="1"/>
  <c r="DA27" i="54" s="1"/>
  <c r="BM27" i="54" a="1"/>
  <c r="BM27" i="54" s="1"/>
  <c r="DA9" i="54" a="1"/>
  <c r="DA9" i="54" s="1"/>
  <c r="DB9" i="54"/>
  <c r="BZ37" i="54"/>
  <c r="DV37" i="54"/>
  <c r="CJ28" i="54"/>
  <c r="BU28" i="54"/>
  <c r="BT28" i="54"/>
  <c r="CI60" i="54"/>
  <c r="BX60" i="54"/>
  <c r="CJ63" i="54"/>
  <c r="BT63" i="54"/>
  <c r="BU63" i="54"/>
  <c r="FE6" i="54"/>
  <c r="FI6" i="54" s="1"/>
  <c r="FG6" i="54"/>
  <c r="FF6" i="54"/>
  <c r="FD6" i="54"/>
  <c r="EL6" i="54"/>
  <c r="EM6" i="54" s="1"/>
  <c r="DG6" i="54"/>
  <c r="GX8" i="54"/>
  <c r="GY8" i="54"/>
  <c r="EY8" i="54"/>
  <c r="FN8" i="54" s="1"/>
  <c r="FO8" i="54" s="1"/>
  <c r="GR8" i="54"/>
  <c r="GS8" i="54" s="1"/>
  <c r="GY5" i="54"/>
  <c r="GR5" i="54"/>
  <c r="GS5" i="54" s="1"/>
  <c r="GX5" i="54"/>
  <c r="EY5" i="54"/>
  <c r="FN5" i="54" s="1"/>
  <c r="FO5" i="54" s="1"/>
  <c r="CQ35" i="54"/>
  <c r="CT35" i="54"/>
  <c r="CR35" i="54"/>
  <c r="CU35" i="54"/>
  <c r="CV35" i="54"/>
  <c r="CS35" i="54"/>
  <c r="CP35" i="54"/>
  <c r="CW35" i="54"/>
  <c r="CF53" i="54"/>
  <c r="CG53" i="54" s="1"/>
  <c r="CF40" i="54"/>
  <c r="DV48" i="54"/>
  <c r="EG48" i="54" s="1"/>
  <c r="BZ48" i="54"/>
  <c r="BN48" i="54" a="1"/>
  <c r="BN48" i="54" s="1"/>
  <c r="BO44" i="54"/>
  <c r="DU44" i="54"/>
  <c r="CQ37" i="54"/>
  <c r="CV37" i="54"/>
  <c r="CT37" i="54"/>
  <c r="CR37" i="54"/>
  <c r="CU37" i="54"/>
  <c r="CW37" i="54"/>
  <c r="CS37" i="54"/>
  <c r="CP37" i="54"/>
  <c r="DA7" i="54" a="1"/>
  <c r="DA7" i="54" s="1"/>
  <c r="DB7" i="54"/>
  <c r="DB26" i="54"/>
  <c r="DA26" i="54" a="1"/>
  <c r="DA26" i="54" s="1"/>
  <c r="DC26" i="54" s="1"/>
  <c r="CJ44" i="54"/>
  <c r="BU44" i="54"/>
  <c r="BT44" i="54"/>
  <c r="CI30" i="54"/>
  <c r="DB31" i="54"/>
  <c r="DA31" i="54" a="1"/>
  <c r="DA31" i="54" s="1"/>
  <c r="CF31" i="54"/>
  <c r="CV29" i="54"/>
  <c r="CP29" i="54"/>
  <c r="CQ29" i="54"/>
  <c r="CU29" i="54"/>
  <c r="CW29" i="54"/>
  <c r="CS29" i="54"/>
  <c r="CT29" i="54"/>
  <c r="CR29" i="54"/>
  <c r="CE60" i="54"/>
  <c r="BN63" i="54" a="1"/>
  <c r="BN63" i="54" s="1"/>
  <c r="FF3" i="54"/>
  <c r="FG3" i="54"/>
  <c r="FE3" i="54"/>
  <c r="FI3" i="54" s="1"/>
  <c r="FD3" i="54"/>
  <c r="DG3" i="54"/>
  <c r="GY7" i="54"/>
  <c r="GR7" i="54"/>
  <c r="GS7" i="54" s="1"/>
  <c r="EY7" i="54"/>
  <c r="FN7" i="54" s="1"/>
  <c r="FO7" i="54" s="1"/>
  <c r="GX7" i="54"/>
  <c r="BM30" i="54" a="1"/>
  <c r="BM30" i="54" s="1"/>
  <c r="CA30" i="54" s="1"/>
  <c r="FV15" i="54" a="1"/>
  <c r="FV15" i="54" s="1"/>
  <c r="FW15" i="54" s="1"/>
  <c r="FZ15" i="54" a="1"/>
  <c r="FZ15" i="54" s="1"/>
  <c r="GA15" i="54" s="1"/>
  <c r="FX15" i="54" a="1"/>
  <c r="FX15" i="54" s="1"/>
  <c r="FY15" i="54" s="1"/>
  <c r="FT15" i="54" a="1"/>
  <c r="FT15" i="54" s="1"/>
  <c r="FU15" i="54" s="1"/>
  <c r="FP15" i="54" a="1"/>
  <c r="FP15" i="54" s="1"/>
  <c r="FQ15" i="54" s="1"/>
  <c r="FR15" i="54" a="1"/>
  <c r="FR15" i="54" s="1"/>
  <c r="FS15" i="54" s="1"/>
  <c r="CT45" i="54"/>
  <c r="CS45" i="54"/>
  <c r="CP45" i="54"/>
  <c r="CU45" i="54"/>
  <c r="CR45" i="54"/>
  <c r="CX45" i="54"/>
  <c r="CW45" i="54"/>
  <c r="CQ45" i="54"/>
  <c r="CV45" i="54"/>
  <c r="CF21" i="54"/>
  <c r="CG21" i="54"/>
  <c r="BM62" i="54" a="1"/>
  <c r="BM62" i="54" s="1"/>
  <c r="CA62" i="54" s="1"/>
  <c r="DZ61" i="54"/>
  <c r="DY62" i="54" s="1"/>
  <c r="DZ62" i="54" s="1"/>
  <c r="DY63" i="54" s="1"/>
  <c r="DZ63" i="54" s="1"/>
  <c r="DY64" i="54" s="1"/>
  <c r="DZ64" i="54" s="1"/>
  <c r="DZ32" i="54"/>
  <c r="CF49" i="54"/>
  <c r="EH35" i="54"/>
  <c r="CQ33" i="54"/>
  <c r="CS33" i="54"/>
  <c r="CV33" i="54"/>
  <c r="CP33" i="54"/>
  <c r="CR33" i="54"/>
  <c r="CT33" i="54"/>
  <c r="CU33" i="54"/>
  <c r="CW33" i="54"/>
  <c r="BM33" i="54" a="1"/>
  <c r="BM33" i="54" s="1"/>
  <c r="CA33" i="54" s="1"/>
  <c r="DB48" i="54"/>
  <c r="DA48" i="54" a="1"/>
  <c r="DA48" i="54" s="1"/>
  <c r="BN66" i="54" a="1"/>
  <c r="BN66" i="54" s="1"/>
  <c r="DV49" i="54"/>
  <c r="BZ49" i="54"/>
  <c r="DZ38" i="54"/>
  <c r="CV36" i="54"/>
  <c r="CR36" i="54"/>
  <c r="CX36" i="54"/>
  <c r="CQ36" i="54"/>
  <c r="CS36" i="54"/>
  <c r="CU36" i="54"/>
  <c r="CW36" i="54"/>
  <c r="CT36" i="54"/>
  <c r="CP36" i="54"/>
  <c r="DV68" i="54"/>
  <c r="BZ68" i="54"/>
  <c r="BP68" i="54"/>
  <c r="DZ55" i="54"/>
  <c r="DY56" i="54" s="1"/>
  <c r="DZ56" i="54" s="1"/>
  <c r="DY57" i="54" s="1"/>
  <c r="DZ57" i="54" s="1"/>
  <c r="DY58" i="54" s="1"/>
  <c r="DZ58" i="54" s="1"/>
  <c r="DY59" i="54" s="1"/>
  <c r="DZ59" i="54" s="1"/>
  <c r="DY60" i="54" s="1"/>
  <c r="DZ60" i="54" s="1"/>
  <c r="DB57" i="54"/>
  <c r="BM57" i="54" a="1"/>
  <c r="BM57" i="54" s="1"/>
  <c r="CA57" i="54" s="1"/>
  <c r="DA57" i="54" a="1"/>
  <c r="DA57" i="54" s="1"/>
  <c r="DC57" i="54" s="1"/>
  <c r="BY46" i="54"/>
  <c r="BP23" i="54"/>
  <c r="BR23" i="54"/>
  <c r="EB23" i="54" s="1"/>
  <c r="EF23" i="54" s="1"/>
  <c r="DZ40" i="54"/>
  <c r="CW22" i="54"/>
  <c r="CV22" i="54"/>
  <c r="CP22" i="54"/>
  <c r="CT22" i="54"/>
  <c r="CS22" i="54"/>
  <c r="CR22" i="54"/>
  <c r="CU22" i="54"/>
  <c r="CQ22" i="54"/>
  <c r="CX22" i="54"/>
  <c r="BX66" i="54"/>
  <c r="DT42" i="54"/>
  <c r="BM51" i="54" a="1"/>
  <c r="BM51" i="54" s="1"/>
  <c r="CA51" i="54" s="1"/>
  <c r="CJ39" i="54"/>
  <c r="BU39" i="54"/>
  <c r="BT39" i="54"/>
  <c r="BZ71" i="54"/>
  <c r="DV71" i="54"/>
  <c r="BN71" i="54" a="1"/>
  <c r="BN71" i="54" s="1"/>
  <c r="BR48" i="54"/>
  <c r="EB48" i="54" s="1"/>
  <c r="BU45" i="54"/>
  <c r="BT45" i="54"/>
  <c r="DC22" i="54"/>
  <c r="BR38" i="54"/>
  <c r="EB38" i="54" s="1"/>
  <c r="CG33" i="54"/>
  <c r="CX72" i="54"/>
  <c r="CQ21" i="54"/>
  <c r="BR55" i="54"/>
  <c r="EB55" i="54" s="1"/>
  <c r="CU46" i="54"/>
  <c r="CW46" i="54"/>
  <c r="CR46" i="54"/>
  <c r="CT46" i="54"/>
  <c r="CS46" i="54"/>
  <c r="CP46" i="54"/>
  <c r="CQ46" i="54"/>
  <c r="CV46" i="54"/>
  <c r="BM37" i="54" a="1"/>
  <c r="BM37" i="54" s="1"/>
  <c r="CA37" i="54" s="1"/>
  <c r="CF28" i="54"/>
  <c r="CG28" i="54" s="1"/>
  <c r="BM35" i="54" a="1"/>
  <c r="BM35" i="54" s="1"/>
  <c r="CA35" i="54" s="1"/>
  <c r="DB13" i="54"/>
  <c r="DA13" i="54" a="1"/>
  <c r="DA13" i="54" s="1"/>
  <c r="CJ61" i="54"/>
  <c r="BT61" i="54"/>
  <c r="BU61" i="54"/>
  <c r="CW63" i="54"/>
  <c r="CU63" i="54"/>
  <c r="CP63" i="54"/>
  <c r="CT63" i="54"/>
  <c r="CS63" i="54"/>
  <c r="CR63" i="54"/>
  <c r="CX63" i="54"/>
  <c r="CV63" i="54"/>
  <c r="CQ63" i="54"/>
  <c r="CF45" i="54"/>
  <c r="CG45" i="54"/>
  <c r="CE46" i="54"/>
  <c r="CI63" i="54"/>
  <c r="CE47" i="54"/>
  <c r="CJ33" i="54"/>
  <c r="M30" i="16"/>
  <c r="AG27" i="42"/>
  <c r="AH27" i="42" s="1"/>
  <c r="M35" i="16"/>
  <c r="AG32" i="42"/>
  <c r="AH32" i="42" s="1"/>
  <c r="M31" i="16"/>
  <c r="AG28" i="42"/>
  <c r="AH28" i="42" s="1"/>
  <c r="M28" i="16"/>
  <c r="AG25" i="42"/>
  <c r="AH25" i="42" s="1"/>
  <c r="M29" i="16"/>
  <c r="AG26" i="42"/>
  <c r="AH26" i="42" s="1"/>
  <c r="M32" i="16"/>
  <c r="AG29" i="42"/>
  <c r="AH29" i="42" s="1"/>
  <c r="BF13" i="10"/>
  <c r="AA25" i="42"/>
  <c r="X4" i="42"/>
  <c r="Y13" i="42"/>
  <c r="Y14" i="42" s="1"/>
  <c r="W5" i="42"/>
  <c r="AB6" i="42"/>
  <c r="AD5" i="42"/>
  <c r="AC21" i="42"/>
  <c r="AD7" i="42" s="1"/>
  <c r="AB5" i="42"/>
  <c r="AB4" i="42"/>
  <c r="Z4" i="42"/>
  <c r="CX31" i="54" l="1"/>
  <c r="M34" i="16"/>
  <c r="DC48" i="54"/>
  <c r="CB36" i="54"/>
  <c r="CC36" i="54" s="1"/>
  <c r="CH36" i="54" s="1"/>
  <c r="EG51" i="54"/>
  <c r="EF27" i="54"/>
  <c r="CB63" i="54"/>
  <c r="CC63" i="54" s="1"/>
  <c r="CH63" i="54" s="1"/>
  <c r="EF33" i="54"/>
  <c r="EG32" i="54"/>
  <c r="EG43" i="54"/>
  <c r="DC56" i="54"/>
  <c r="BN57" i="54" a="1"/>
  <c r="BN57" i="54" s="1"/>
  <c r="DU57" i="54" s="1"/>
  <c r="DC58" i="54"/>
  <c r="BN69" i="54" a="1"/>
  <c r="BN69" i="54" s="1"/>
  <c r="DU69" i="54" s="1"/>
  <c r="EG37" i="54"/>
  <c r="CX39" i="54"/>
  <c r="DC27" i="54"/>
  <c r="EH41" i="54"/>
  <c r="DC25" i="54"/>
  <c r="BN24" i="54" a="1"/>
  <c r="BN24" i="54" s="1"/>
  <c r="EG42" i="54"/>
  <c r="BN31" i="54" a="1"/>
  <c r="BN31" i="54" s="1"/>
  <c r="EG45" i="54"/>
  <c r="EG24" i="54"/>
  <c r="EH67" i="54"/>
  <c r="BN70" i="54" a="1"/>
  <c r="BN70" i="54" s="1"/>
  <c r="BN26" i="54" a="1"/>
  <c r="BN26" i="54" s="1"/>
  <c r="CB26" i="54" s="1"/>
  <c r="CC26" i="54" s="1"/>
  <c r="EG27" i="54"/>
  <c r="BN39" i="54" a="1"/>
  <c r="BN39" i="54" s="1"/>
  <c r="CB39" i="54" s="1"/>
  <c r="CC39" i="54" s="1"/>
  <c r="CX70" i="54"/>
  <c r="BN46" i="54" a="1"/>
  <c r="BN46" i="54" s="1"/>
  <c r="CB46" i="54" s="1"/>
  <c r="CC46" i="54" s="1"/>
  <c r="CH46" i="54" s="1"/>
  <c r="BN28" i="54" a="1"/>
  <c r="BN28" i="54" s="1"/>
  <c r="DU28" i="54" s="1"/>
  <c r="EC28" i="54" s="1"/>
  <c r="ED28" i="54" s="1"/>
  <c r="EE28" i="54" s="1"/>
  <c r="CB69" i="54"/>
  <c r="CC69" i="54" s="1"/>
  <c r="CX46" i="54"/>
  <c r="DC31" i="54"/>
  <c r="DC30" i="54"/>
  <c r="CX28" i="54"/>
  <c r="EF43" i="54"/>
  <c r="EH42" i="54"/>
  <c r="FG42" i="54" s="1"/>
  <c r="DC42" i="54"/>
  <c r="DC62" i="54"/>
  <c r="EF49" i="54"/>
  <c r="AQ10" i="53"/>
  <c r="M36" i="16"/>
  <c r="DU40" i="54"/>
  <c r="EC40" i="54" s="1"/>
  <c r="ED40" i="54" s="1"/>
  <c r="EE40" i="54" s="1"/>
  <c r="AG30" i="42"/>
  <c r="AH30" i="42" s="1"/>
  <c r="AJ10" i="53"/>
  <c r="EG49" i="54"/>
  <c r="EG29" i="54"/>
  <c r="BN35" i="54" a="1"/>
  <c r="BN35" i="54" s="1"/>
  <c r="EG61" i="54"/>
  <c r="CE25" i="54"/>
  <c r="EB28" i="54"/>
  <c r="EF28" i="54" s="1"/>
  <c r="EB44" i="54"/>
  <c r="CX62" i="54"/>
  <c r="EH34" i="54"/>
  <c r="EI34" i="54" s="1"/>
  <c r="CB38" i="54"/>
  <c r="CC38" i="54" s="1"/>
  <c r="CH38" i="54" s="1"/>
  <c r="BX68" i="54"/>
  <c r="EH61" i="54"/>
  <c r="FG61" i="54" s="1"/>
  <c r="AM10" i="53"/>
  <c r="CX52" i="54"/>
  <c r="M27" i="16"/>
  <c r="CI40" i="54"/>
  <c r="CE40" i="54"/>
  <c r="BY40" i="54"/>
  <c r="EF55" i="54"/>
  <c r="CA52" i="54"/>
  <c r="CB52" i="54" s="1"/>
  <c r="CC52" i="54" s="1"/>
  <c r="CH52" i="54" s="1"/>
  <c r="CX42" i="54"/>
  <c r="CX30" i="54"/>
  <c r="CI57" i="54"/>
  <c r="EG44" i="54"/>
  <c r="EG55" i="54"/>
  <c r="BY57" i="54"/>
  <c r="EG38" i="54"/>
  <c r="BX70" i="54"/>
  <c r="CE70" i="54"/>
  <c r="EG33" i="54"/>
  <c r="EB32" i="54"/>
  <c r="EF32" i="54" s="1"/>
  <c r="EH21" i="54"/>
  <c r="AP10" i="53"/>
  <c r="CB68" i="54"/>
  <c r="CC68" i="54" s="1"/>
  <c r="CH68" i="54" s="1"/>
  <c r="CX55" i="54"/>
  <c r="CB72" i="54"/>
  <c r="CC72" i="54" s="1"/>
  <c r="CH72" i="54" s="1"/>
  <c r="AK10" i="53"/>
  <c r="EB53" i="54"/>
  <c r="EB54" i="54"/>
  <c r="EH27" i="54"/>
  <c r="EI27" i="54" s="1"/>
  <c r="CB54" i="54"/>
  <c r="CC54" i="54" s="1"/>
  <c r="CH54" i="54" s="1"/>
  <c r="CB60" i="54"/>
  <c r="CC60" i="54" s="1"/>
  <c r="CB44" i="54"/>
  <c r="CC44" i="54" s="1"/>
  <c r="EG26" i="54"/>
  <c r="CJ68" i="54"/>
  <c r="EB34" i="54"/>
  <c r="CX25" i="54"/>
  <c r="CE71" i="54"/>
  <c r="AN10" i="53"/>
  <c r="CI45" i="54"/>
  <c r="BY45" i="54"/>
  <c r="CE45" i="54"/>
  <c r="CB35" i="54"/>
  <c r="CC35" i="54" s="1"/>
  <c r="CE57" i="54"/>
  <c r="EB36" i="54"/>
  <c r="BN55" i="54" a="1"/>
  <c r="BN55" i="54" s="1"/>
  <c r="CB55" i="54" s="1"/>
  <c r="CC55" i="54" s="1"/>
  <c r="CH55" i="54" s="1"/>
  <c r="EF38" i="54"/>
  <c r="EG40" i="54"/>
  <c r="CJ45" i="54"/>
  <c r="AL10" i="53"/>
  <c r="EH43" i="54"/>
  <c r="EI43" i="54" s="1"/>
  <c r="EO43" i="54" s="1"/>
  <c r="BN62" i="54" a="1"/>
  <c r="BN62" i="54" s="1"/>
  <c r="DU62" i="54" s="1"/>
  <c r="DC47" i="54"/>
  <c r="EF26" i="54"/>
  <c r="DC28" i="54"/>
  <c r="EG47" i="54"/>
  <c r="CI66" i="54"/>
  <c r="CE66" i="54"/>
  <c r="CJ66" i="54"/>
  <c r="BG10" i="53"/>
  <c r="BI10" i="53"/>
  <c r="BJ10" i="53" s="1"/>
  <c r="C4" i="59"/>
  <c r="BM10" i="53"/>
  <c r="BN10" i="53" s="1"/>
  <c r="AF10" i="53" a="1"/>
  <c r="AF10" i="53" s="1"/>
  <c r="CY26" i="54"/>
  <c r="CY27" i="54" s="1"/>
  <c r="CZ25" i="54"/>
  <c r="DS36" i="54"/>
  <c r="EX36" i="54"/>
  <c r="DU26" i="54"/>
  <c r="EC26" i="54" s="1"/>
  <c r="ED26" i="54" s="1"/>
  <c r="EE26" i="54" s="1"/>
  <c r="BO26" i="54"/>
  <c r="DU66" i="54"/>
  <c r="BO66" i="54"/>
  <c r="CA27" i="54"/>
  <c r="BN27" i="54" a="1"/>
  <c r="BN27" i="54" s="1"/>
  <c r="DU49" i="54"/>
  <c r="EC49" i="54" s="1"/>
  <c r="ED49" i="54" s="1"/>
  <c r="EE49" i="54" s="1"/>
  <c r="BO49" i="54"/>
  <c r="CB66" i="54"/>
  <c r="CC66" i="54" s="1"/>
  <c r="CB65" i="54"/>
  <c r="CC65" i="54" s="1"/>
  <c r="EH26" i="54"/>
  <c r="FA64" i="54"/>
  <c r="GB64" i="54" s="1"/>
  <c r="FC64" i="54"/>
  <c r="DU35" i="54"/>
  <c r="EC35" i="54" s="1"/>
  <c r="ED35" i="54" s="1"/>
  <c r="EE35" i="54" s="1"/>
  <c r="BO35" i="54"/>
  <c r="DU22" i="54"/>
  <c r="BO22" i="54"/>
  <c r="EG41" i="54"/>
  <c r="FZ20" i="54" a="1"/>
  <c r="FZ20" i="54" s="1"/>
  <c r="GA20" i="54" s="1"/>
  <c r="FP20" i="54" a="1"/>
  <c r="FP20" i="54" s="1"/>
  <c r="FQ20" i="54" s="1"/>
  <c r="FR20" i="54" a="1"/>
  <c r="FR20" i="54" s="1"/>
  <c r="FS20" i="54" s="1"/>
  <c r="FV20" i="54" a="1"/>
  <c r="FV20" i="54" s="1"/>
  <c r="FW20" i="54" s="1"/>
  <c r="FX20" i="54" a="1"/>
  <c r="FX20" i="54" s="1"/>
  <c r="FY20" i="54" s="1"/>
  <c r="FT20" i="54" a="1"/>
  <c r="FT20" i="54" s="1"/>
  <c r="FU20" i="54" s="1"/>
  <c r="CX51" i="54"/>
  <c r="EH40" i="54"/>
  <c r="EH31" i="54"/>
  <c r="CI36" i="54"/>
  <c r="CE36" i="54"/>
  <c r="BY36" i="54"/>
  <c r="CB50" i="54"/>
  <c r="CC50" i="54" s="1"/>
  <c r="DC52" i="54"/>
  <c r="EG31" i="54"/>
  <c r="CG30" i="54"/>
  <c r="CI37" i="54"/>
  <c r="CJ37" i="54"/>
  <c r="BY37" i="54"/>
  <c r="CE37" i="54"/>
  <c r="DU65" i="54"/>
  <c r="BO65" i="54"/>
  <c r="EI67" i="54"/>
  <c r="FG67" i="54"/>
  <c r="FG21" i="54"/>
  <c r="EI21" i="54"/>
  <c r="EO21" i="54" s="1"/>
  <c r="FG30" i="54"/>
  <c r="EI30" i="54"/>
  <c r="EB35" i="54"/>
  <c r="EF35" i="54" s="1"/>
  <c r="DC66" i="54"/>
  <c r="CG25" i="54"/>
  <c r="CX27" i="54"/>
  <c r="FT17" i="54" a="1"/>
  <c r="FT17" i="54" s="1"/>
  <c r="FU17" i="54" s="1"/>
  <c r="FP17" i="54" a="1"/>
  <c r="FP17" i="54" s="1"/>
  <c r="FQ17" i="54" s="1"/>
  <c r="FV17" i="54" a="1"/>
  <c r="FV17" i="54" s="1"/>
  <c r="FW17" i="54" s="1"/>
  <c r="FZ17" i="54" a="1"/>
  <c r="FZ17" i="54" s="1"/>
  <c r="GA17" i="54" s="1"/>
  <c r="FX17" i="54" a="1"/>
  <c r="FX17" i="54" s="1"/>
  <c r="FY17" i="54" s="1"/>
  <c r="FR17" i="54" a="1"/>
  <c r="FR17" i="54" s="1"/>
  <c r="FS17" i="54" s="1"/>
  <c r="DU50" i="54"/>
  <c r="EC50" i="54" s="1"/>
  <c r="ED50" i="54" s="1"/>
  <c r="EE50" i="54" s="1"/>
  <c r="BO50" i="54"/>
  <c r="FR8" i="54" a="1"/>
  <c r="FR8" i="54" s="1"/>
  <c r="FS8" i="54" s="1"/>
  <c r="FT8" i="54" a="1"/>
  <c r="FT8" i="54" s="1"/>
  <c r="FU8" i="54" s="1"/>
  <c r="FX8" i="54" a="1"/>
  <c r="FX8" i="54" s="1"/>
  <c r="FY8" i="54" s="1"/>
  <c r="FZ8" i="54" a="1"/>
  <c r="FZ8" i="54" s="1"/>
  <c r="GA8" i="54" s="1"/>
  <c r="FP8" i="54" a="1"/>
  <c r="FP8" i="54" s="1"/>
  <c r="FQ8" i="54" s="1"/>
  <c r="FV8" i="54" a="1"/>
  <c r="FV8" i="54" s="1"/>
  <c r="FW8" i="54" s="1"/>
  <c r="FG41" i="54"/>
  <c r="EI41" i="54"/>
  <c r="EG50" i="54"/>
  <c r="EU51" i="54"/>
  <c r="ET52" i="54"/>
  <c r="EF39" i="54"/>
  <c r="FZ7" i="54" a="1"/>
  <c r="FZ7" i="54" s="1"/>
  <c r="GA7" i="54" s="1"/>
  <c r="FT7" i="54" a="1"/>
  <c r="FT7" i="54" s="1"/>
  <c r="FU7" i="54" s="1"/>
  <c r="FV7" i="54" a="1"/>
  <c r="FV7" i="54" s="1"/>
  <c r="FW7" i="54" s="1"/>
  <c r="FP7" i="54" a="1"/>
  <c r="FP7" i="54" s="1"/>
  <c r="FQ7" i="54" s="1"/>
  <c r="FR7" i="54" a="1"/>
  <c r="FR7" i="54" s="1"/>
  <c r="FS7" i="54" s="1"/>
  <c r="FX7" i="54" a="1"/>
  <c r="FX7" i="54" s="1"/>
  <c r="FY7" i="54" s="1"/>
  <c r="EH36" i="54"/>
  <c r="EG36" i="54"/>
  <c r="EB50" i="54"/>
  <c r="EF50" i="54" s="1"/>
  <c r="S3" i="40" a="1"/>
  <c r="S3" i="40" s="1"/>
  <c r="CX56" i="54"/>
  <c r="GX3" i="54"/>
  <c r="GR3" i="54"/>
  <c r="GY3" i="54"/>
  <c r="EY3" i="54"/>
  <c r="GC3" i="54" s="1"/>
  <c r="BO57" i="54"/>
  <c r="FP6" i="54" a="1"/>
  <c r="FP6" i="54" s="1"/>
  <c r="FQ6" i="54" s="1"/>
  <c r="FX6" i="54" a="1"/>
  <c r="FX6" i="54" s="1"/>
  <c r="FY6" i="54" s="1"/>
  <c r="FV6" i="54" a="1"/>
  <c r="FV6" i="54" s="1"/>
  <c r="FW6" i="54" s="1"/>
  <c r="FR6" i="54" a="1"/>
  <c r="FR6" i="54" s="1"/>
  <c r="FS6" i="54" s="1"/>
  <c r="FZ6" i="54" a="1"/>
  <c r="FZ6" i="54" s="1"/>
  <c r="GA6" i="54" s="1"/>
  <c r="FT6" i="54" a="1"/>
  <c r="FT6" i="54" s="1"/>
  <c r="FU6" i="54" s="1"/>
  <c r="EH24" i="54"/>
  <c r="EV5" i="54"/>
  <c r="EU5" i="54"/>
  <c r="GU5" i="54" s="1"/>
  <c r="ET6" i="54"/>
  <c r="DC24" i="54"/>
  <c r="EB21" i="54"/>
  <c r="DU70" i="54"/>
  <c r="BO70" i="54"/>
  <c r="CB31" i="54"/>
  <c r="CC31" i="54" s="1"/>
  <c r="FX19" i="54" a="1"/>
  <c r="FX19" i="54" s="1"/>
  <c r="FY19" i="54" s="1"/>
  <c r="FR19" i="54" a="1"/>
  <c r="FR19" i="54" s="1"/>
  <c r="FS19" i="54" s="1"/>
  <c r="FT19" i="54" a="1"/>
  <c r="FT19" i="54" s="1"/>
  <c r="FU19" i="54" s="1"/>
  <c r="FV19" i="54" a="1"/>
  <c r="FV19" i="54" s="1"/>
  <c r="FW19" i="54" s="1"/>
  <c r="FP19" i="54" a="1"/>
  <c r="FP19" i="54" s="1"/>
  <c r="FQ19" i="54" s="1"/>
  <c r="FZ19" i="54" a="1"/>
  <c r="FZ19" i="54" s="1"/>
  <c r="GA19" i="54" s="1"/>
  <c r="CX64" i="54"/>
  <c r="FA62" i="54"/>
  <c r="GB62" i="54" s="1"/>
  <c r="FC62" i="54"/>
  <c r="EW62" i="54"/>
  <c r="EW63" i="54" s="1"/>
  <c r="EW64" i="54" s="1"/>
  <c r="EH23" i="54"/>
  <c r="CA32" i="54"/>
  <c r="CB32" i="54" s="1"/>
  <c r="CC32" i="54" s="1"/>
  <c r="CH44" i="54"/>
  <c r="CB21" i="54"/>
  <c r="CC21" i="54" s="1"/>
  <c r="CH21" i="54" s="1"/>
  <c r="CA47" i="54"/>
  <c r="BN47" i="54" a="1"/>
  <c r="BN47" i="54" s="1"/>
  <c r="CB23" i="54"/>
  <c r="CC23" i="54" s="1"/>
  <c r="CX57" i="54"/>
  <c r="EB47" i="54"/>
  <c r="EF47" i="54" s="1"/>
  <c r="EB41" i="54"/>
  <c r="EF41" i="54" s="1"/>
  <c r="BN25" i="54" a="1"/>
  <c r="BN25" i="54" s="1"/>
  <c r="CB25" i="54" s="1"/>
  <c r="CC25" i="54" s="1"/>
  <c r="FX18" i="54" a="1"/>
  <c r="FX18" i="54" s="1"/>
  <c r="FY18" i="54" s="1"/>
  <c r="FP18" i="54" a="1"/>
  <c r="FP18" i="54" s="1"/>
  <c r="FQ18" i="54" s="1"/>
  <c r="FR18" i="54" a="1"/>
  <c r="FR18" i="54" s="1"/>
  <c r="FS18" i="54" s="1"/>
  <c r="FZ18" i="54" a="1"/>
  <c r="FZ18" i="54" s="1"/>
  <c r="GA18" i="54" s="1"/>
  <c r="FT18" i="54" a="1"/>
  <c r="FT18" i="54" s="1"/>
  <c r="FU18" i="54" s="1"/>
  <c r="FV18" i="54" a="1"/>
  <c r="FV18" i="54" s="1"/>
  <c r="FW18" i="54" s="1"/>
  <c r="CG24" i="54"/>
  <c r="DC45" i="54"/>
  <c r="EB51" i="54"/>
  <c r="GC4" i="54"/>
  <c r="FC4" i="54"/>
  <c r="FA4" i="54"/>
  <c r="GB4" i="54" s="1"/>
  <c r="EZ4" i="54"/>
  <c r="FK4" i="54" s="1"/>
  <c r="DU34" i="54"/>
  <c r="EC34" i="54" s="1"/>
  <c r="ED34" i="54" s="1"/>
  <c r="EE34" i="54" s="1"/>
  <c r="BO34" i="54"/>
  <c r="EG46" i="54"/>
  <c r="BN56" i="54" a="1"/>
  <c r="BN56" i="54" s="1"/>
  <c r="CB56" i="54" s="1"/>
  <c r="CC56" i="54" s="1"/>
  <c r="BN51" i="54" a="1"/>
  <c r="BN51" i="54" s="1"/>
  <c r="CB51" i="54" s="1"/>
  <c r="CC51" i="54" s="1"/>
  <c r="EF46" i="54"/>
  <c r="EH45" i="54"/>
  <c r="BD3" i="40" a="1"/>
  <c r="BD3" i="40" s="1"/>
  <c r="GU3" i="54"/>
  <c r="AF3" i="40" a="1"/>
  <c r="AF3" i="40" s="1"/>
  <c r="CX66" i="54"/>
  <c r="CA41" i="54"/>
  <c r="CB41" i="54" s="1"/>
  <c r="CC41" i="54" s="1"/>
  <c r="BN41" i="54" a="1"/>
  <c r="BN41" i="54" s="1"/>
  <c r="CX41" i="54"/>
  <c r="EH38" i="54"/>
  <c r="BO36" i="54"/>
  <c r="DU36" i="54"/>
  <c r="EC36" i="54" s="1"/>
  <c r="ED36" i="54" s="1"/>
  <c r="EE36" i="54" s="1"/>
  <c r="CX37" i="54"/>
  <c r="EU65" i="54"/>
  <c r="GU65" i="54" s="1"/>
  <c r="EV65" i="54"/>
  <c r="ET66" i="54"/>
  <c r="CG60" i="54"/>
  <c r="EG65" i="54"/>
  <c r="EH71" i="54"/>
  <c r="EH65" i="54"/>
  <c r="DU38" i="54"/>
  <c r="EC38" i="54" s="1"/>
  <c r="ED38" i="54" s="1"/>
  <c r="EE38" i="54" s="1"/>
  <c r="BO38" i="54"/>
  <c r="CH69" i="54"/>
  <c r="CB45" i="54"/>
  <c r="CC45" i="54" s="1"/>
  <c r="CH45" i="54" s="1"/>
  <c r="CX58" i="54"/>
  <c r="EC44" i="54"/>
  <c r="ED44" i="54" s="1"/>
  <c r="EE44" i="54" s="1"/>
  <c r="DU21" i="54"/>
  <c r="BO21" i="54"/>
  <c r="EF71" i="54"/>
  <c r="CG29" i="54"/>
  <c r="CH29" i="54" s="1"/>
  <c r="CB70" i="54"/>
  <c r="CC70" i="54" s="1"/>
  <c r="CH70" i="54" s="1"/>
  <c r="EH44" i="54"/>
  <c r="DU48" i="54"/>
  <c r="EC48" i="54" s="1"/>
  <c r="ED48" i="54" s="1"/>
  <c r="EE48" i="54" s="1"/>
  <c r="BO48" i="54"/>
  <c r="DU54" i="54"/>
  <c r="BO54" i="54"/>
  <c r="EB72" i="54"/>
  <c r="CH34" i="54"/>
  <c r="BN30" i="54" a="1"/>
  <c r="BN30" i="54" s="1"/>
  <c r="CB30" i="54" s="1"/>
  <c r="CC30" i="54" s="1"/>
  <c r="AK3" i="40" a="1"/>
  <c r="AK3" i="40" s="1"/>
  <c r="DU43" i="54"/>
  <c r="EC43" i="54" s="1"/>
  <c r="ED43" i="54" s="1"/>
  <c r="EE43" i="54" s="1"/>
  <c r="BO43" i="54"/>
  <c r="FT4" i="54" a="1"/>
  <c r="FT4" i="54" s="1"/>
  <c r="FU4" i="54" s="1"/>
  <c r="FX4" i="54" a="1"/>
  <c r="FX4" i="54" s="1"/>
  <c r="FY4" i="54" s="1"/>
  <c r="FP4" i="54" a="1"/>
  <c r="FP4" i="54" s="1"/>
  <c r="FQ4" i="54" s="1"/>
  <c r="FZ4" i="54" a="1"/>
  <c r="FZ4" i="54" s="1"/>
  <c r="GA4" i="54" s="1"/>
  <c r="FV4" i="54" a="1"/>
  <c r="FV4" i="54" s="1"/>
  <c r="FW4" i="54" s="1"/>
  <c r="FR4" i="54" a="1"/>
  <c r="FR4" i="54" s="1"/>
  <c r="FS4" i="54" s="1"/>
  <c r="EH55" i="54"/>
  <c r="CZ24" i="54"/>
  <c r="EG39" i="54"/>
  <c r="EH29" i="54"/>
  <c r="DC41" i="54"/>
  <c r="EB63" i="54"/>
  <c r="EF61" i="54" s="1"/>
  <c r="DU71" i="54"/>
  <c r="BO71" i="54"/>
  <c r="CX29" i="54"/>
  <c r="BN58" i="54" a="1"/>
  <c r="BN58" i="54" s="1"/>
  <c r="FC63" i="54"/>
  <c r="FA63" i="54"/>
  <c r="GB63" i="54" s="1"/>
  <c r="EF65" i="54"/>
  <c r="DU23" i="54"/>
  <c r="EC23" i="54" s="1"/>
  <c r="ED23" i="54" s="1"/>
  <c r="EE23" i="54" s="1"/>
  <c r="BO23" i="54"/>
  <c r="CX33" i="54"/>
  <c r="EH37" i="54"/>
  <c r="CB71" i="54"/>
  <c r="CC71" i="54" s="1"/>
  <c r="CH71" i="54" s="1"/>
  <c r="CB49" i="54"/>
  <c r="CC49" i="54" s="1"/>
  <c r="DU63" i="54"/>
  <c r="BO63" i="54"/>
  <c r="CX35" i="54"/>
  <c r="EF67" i="54"/>
  <c r="BN64" i="54" a="1"/>
  <c r="BN64" i="54" s="1"/>
  <c r="CB64" i="54" s="1"/>
  <c r="CC64" i="54" s="1"/>
  <c r="CG35" i="54"/>
  <c r="EB29" i="54"/>
  <c r="EF29" i="54" s="1"/>
  <c r="CB43" i="54"/>
  <c r="CC43" i="54" s="1"/>
  <c r="EB42" i="54"/>
  <c r="EF42" i="54" s="1"/>
  <c r="EB30" i="54"/>
  <c r="EF30" i="54" s="1"/>
  <c r="CX32" i="54"/>
  <c r="BN33" i="54" a="1"/>
  <c r="BN33" i="54" s="1"/>
  <c r="CB33" i="54" s="1"/>
  <c r="CC33" i="54" s="1"/>
  <c r="CA59" i="54"/>
  <c r="BN59" i="54" a="1"/>
  <c r="BN59" i="54" s="1"/>
  <c r="EG34" i="54"/>
  <c r="EB45" i="54"/>
  <c r="EF45" i="54" s="1"/>
  <c r="CB67" i="54"/>
  <c r="CC67" i="54" s="1"/>
  <c r="BN37" i="54" a="1"/>
  <c r="BN37" i="54" s="1"/>
  <c r="CB37" i="54" s="1"/>
  <c r="CC37" i="54" s="1"/>
  <c r="CA53" i="54"/>
  <c r="BN53" i="54" a="1"/>
  <c r="BN53" i="54" s="1"/>
  <c r="DU52" i="54"/>
  <c r="BO52" i="54"/>
  <c r="EI35" i="54"/>
  <c r="EO35" i="54" s="1"/>
  <c r="FG35" i="54"/>
  <c r="FX9" i="54" a="1"/>
  <c r="FX9" i="54" s="1"/>
  <c r="FY9" i="54" s="1"/>
  <c r="FP9" i="54" a="1"/>
  <c r="FP9" i="54" s="1"/>
  <c r="FQ9" i="54" s="1"/>
  <c r="FR9" i="54" a="1"/>
  <c r="FR9" i="54" s="1"/>
  <c r="FS9" i="54" s="1"/>
  <c r="FV9" i="54" a="1"/>
  <c r="FV9" i="54" s="1"/>
  <c r="FW9" i="54" s="1"/>
  <c r="FT9" i="54" a="1"/>
  <c r="FT9" i="54" s="1"/>
  <c r="FU9" i="54" s="1"/>
  <c r="FZ9" i="54" a="1"/>
  <c r="FZ9" i="54" s="1"/>
  <c r="GA9" i="54" s="1"/>
  <c r="DU24" i="54"/>
  <c r="EC24" i="54" s="1"/>
  <c r="ED24" i="54" s="1"/>
  <c r="EE24" i="54" s="1"/>
  <c r="BO24" i="54"/>
  <c r="CG40" i="54"/>
  <c r="EB40" i="54"/>
  <c r="EF40" i="54" s="1"/>
  <c r="C21" i="59"/>
  <c r="C19" i="59"/>
  <c r="CA67" i="54"/>
  <c r="BN67" i="54" a="1"/>
  <c r="BN67" i="54" s="1"/>
  <c r="EH25" i="54"/>
  <c r="EH39" i="54"/>
  <c r="CG49" i="54"/>
  <c r="EB24" i="54"/>
  <c r="EF24" i="54" s="1"/>
  <c r="EG28" i="54"/>
  <c r="EH48" i="54"/>
  <c r="EB37" i="54"/>
  <c r="EF37" i="54" s="1"/>
  <c r="EH33" i="54"/>
  <c r="CB22" i="54"/>
  <c r="CC22" i="54" s="1"/>
  <c r="EB31" i="54"/>
  <c r="EF31" i="54" s="1"/>
  <c r="EH50" i="54"/>
  <c r="EB65" i="54"/>
  <c r="EH51" i="54"/>
  <c r="EH28" i="54"/>
  <c r="EB25" i="54"/>
  <c r="EF25" i="54" s="1"/>
  <c r="EH46" i="54"/>
  <c r="BO28" i="54"/>
  <c r="EF36" i="54"/>
  <c r="FC3" i="54"/>
  <c r="FA3" i="54"/>
  <c r="EW3" i="54"/>
  <c r="EZ3" i="54"/>
  <c r="EF48" i="54"/>
  <c r="CX24" i="54"/>
  <c r="CB24" i="54"/>
  <c r="CC24" i="54" s="1"/>
  <c r="CG26" i="54"/>
  <c r="CB57" i="54"/>
  <c r="CC57" i="54" s="1"/>
  <c r="CH57" i="54" s="1"/>
  <c r="CA61" i="54"/>
  <c r="BN61" i="54" a="1"/>
  <c r="BN61" i="54" s="1"/>
  <c r="DC63" i="54"/>
  <c r="EF44" i="54"/>
  <c r="EG71" i="54"/>
  <c r="CH22" i="54"/>
  <c r="DU68" i="54"/>
  <c r="BO68" i="54"/>
  <c r="CG23" i="54"/>
  <c r="BN29" i="54" a="1"/>
  <c r="BN29" i="54" s="1"/>
  <c r="CB29" i="54" s="1"/>
  <c r="CC29" i="54" s="1"/>
  <c r="EH47" i="54"/>
  <c r="DC61" i="54"/>
  <c r="DU32" i="54"/>
  <c r="EC32" i="54" s="1"/>
  <c r="ED32" i="54" s="1"/>
  <c r="EE32" i="54" s="1"/>
  <c r="BO32" i="54"/>
  <c r="EH32" i="54"/>
  <c r="CG31" i="54"/>
  <c r="CB48" i="54"/>
  <c r="CC48" i="54" s="1"/>
  <c r="FV5" i="54" a="1"/>
  <c r="FV5" i="54" s="1"/>
  <c r="FW5" i="54" s="1"/>
  <c r="FT5" i="54" a="1"/>
  <c r="FT5" i="54" s="1"/>
  <c r="FU5" i="54" s="1"/>
  <c r="FP5" i="54" a="1"/>
  <c r="FP5" i="54" s="1"/>
  <c r="FQ5" i="54" s="1"/>
  <c r="FX5" i="54" a="1"/>
  <c r="FX5" i="54" s="1"/>
  <c r="FY5" i="54" s="1"/>
  <c r="FZ5" i="54" a="1"/>
  <c r="FZ5" i="54" s="1"/>
  <c r="GA5" i="54" s="1"/>
  <c r="FR5" i="54" a="1"/>
  <c r="FR5" i="54" s="1"/>
  <c r="FS5" i="54" s="1"/>
  <c r="EG67" i="54"/>
  <c r="EG23" i="54"/>
  <c r="DU45" i="54"/>
  <c r="EC45" i="54" s="1"/>
  <c r="ED45" i="54" s="1"/>
  <c r="EE45" i="54" s="1"/>
  <c r="BO45" i="54"/>
  <c r="CB40" i="54"/>
  <c r="CC40" i="54" s="1"/>
  <c r="DU72" i="54"/>
  <c r="BO72" i="54"/>
  <c r="DC32" i="54"/>
  <c r="EG30" i="54"/>
  <c r="EO30" i="54" s="1"/>
  <c r="DC59" i="54"/>
  <c r="EH49" i="54"/>
  <c r="EF34" i="54"/>
  <c r="BN42" i="54" a="1"/>
  <c r="BN42" i="54" s="1"/>
  <c r="CB42" i="54" s="1"/>
  <c r="CC42" i="54" s="1"/>
  <c r="AC31" i="42"/>
  <c r="AC33" i="42" s="1"/>
  <c r="AC55" i="42" s="1"/>
  <c r="Y15" i="42"/>
  <c r="Z7" i="42" s="1"/>
  <c r="BH10" i="10"/>
  <c r="BI33" i="10"/>
  <c r="BH32" i="10"/>
  <c r="BH38" i="10"/>
  <c r="AA26" i="42"/>
  <c r="AA27" i="42" s="1"/>
  <c r="BH33" i="10"/>
  <c r="BI12" i="10"/>
  <c r="BH34" i="10"/>
  <c r="BH9" i="10"/>
  <c r="BI10" i="10"/>
  <c r="BH14" i="10"/>
  <c r="BH36" i="10"/>
  <c r="BH19" i="10"/>
  <c r="BI6" i="10"/>
  <c r="BI37" i="10"/>
  <c r="BH5" i="10"/>
  <c r="BI7" i="10"/>
  <c r="BI26" i="10"/>
  <c r="BI15" i="10"/>
  <c r="BI13" i="10"/>
  <c r="BI14" i="10"/>
  <c r="BH26" i="10"/>
  <c r="BH35" i="10"/>
  <c r="BI23" i="10"/>
  <c r="BH6" i="10"/>
  <c r="BH16" i="10"/>
  <c r="BI24" i="10"/>
  <c r="BI9" i="10"/>
  <c r="BI27" i="10"/>
  <c r="BH17" i="10"/>
  <c r="BH18" i="10"/>
  <c r="BI36" i="10"/>
  <c r="BI19" i="10"/>
  <c r="BH31" i="10"/>
  <c r="BH21" i="10"/>
  <c r="BH20" i="10"/>
  <c r="BI38" i="10"/>
  <c r="BH28" i="10"/>
  <c r="BH39" i="10"/>
  <c r="BH25" i="10"/>
  <c r="BI5" i="10"/>
  <c r="BH13" i="10"/>
  <c r="BI35" i="10"/>
  <c r="Z6" i="42"/>
  <c r="Z5" i="42"/>
  <c r="BI39" i="10"/>
  <c r="BI8" i="10"/>
  <c r="BH7" i="10"/>
  <c r="BH22" i="10"/>
  <c r="BH8" i="10"/>
  <c r="BI21" i="10"/>
  <c r="BI16" i="10"/>
  <c r="BH30" i="10"/>
  <c r="BH15" i="10"/>
  <c r="BI31" i="10"/>
  <c r="BI18" i="10"/>
  <c r="BI22" i="10"/>
  <c r="BH23" i="10"/>
  <c r="BH12" i="10"/>
  <c r="BI20" i="10"/>
  <c r="BI30" i="10"/>
  <c r="AB7" i="42"/>
  <c r="X5" i="42"/>
  <c r="BH27" i="10"/>
  <c r="BH29" i="10"/>
  <c r="BI11" i="10"/>
  <c r="BI32" i="10"/>
  <c r="W6" i="42"/>
  <c r="BI17" i="10"/>
  <c r="BI29" i="10"/>
  <c r="BH24" i="10"/>
  <c r="BI34" i="10"/>
  <c r="BI25" i="10"/>
  <c r="BH37" i="10"/>
  <c r="BI28" i="10"/>
  <c r="BO69" i="54" l="1"/>
  <c r="CB62" i="54"/>
  <c r="CC62" i="54" s="1"/>
  <c r="FG43" i="54"/>
  <c r="CB28" i="54"/>
  <c r="CC28" i="54" s="1"/>
  <c r="CH28" i="54" s="1"/>
  <c r="DS28" i="54" s="1"/>
  <c r="BO31" i="54"/>
  <c r="DU31" i="54"/>
  <c r="EC31" i="54" s="1"/>
  <c r="ED31" i="54" s="1"/>
  <c r="EE31" i="54" s="1"/>
  <c r="EI42" i="54"/>
  <c r="EO42" i="54" s="1"/>
  <c r="BO46" i="54"/>
  <c r="DU46" i="54"/>
  <c r="EC46" i="54" s="1"/>
  <c r="ED46" i="54" s="1"/>
  <c r="EE46" i="54" s="1"/>
  <c r="DU39" i="54"/>
  <c r="EC39" i="54" s="1"/>
  <c r="ED39" i="54" s="1"/>
  <c r="EE39" i="54" s="1"/>
  <c r="BO62" i="54"/>
  <c r="CH30" i="54"/>
  <c r="EX30" i="54" s="1"/>
  <c r="FG27" i="54"/>
  <c r="CH35" i="54"/>
  <c r="CH31" i="54"/>
  <c r="DS31" i="54" s="1"/>
  <c r="CB27" i="54"/>
  <c r="CC27" i="54" s="1"/>
  <c r="CH27" i="54" s="1"/>
  <c r="EI61" i="54"/>
  <c r="EO61" i="54" s="1"/>
  <c r="CH24" i="54"/>
  <c r="CH60" i="54"/>
  <c r="EO27" i="54"/>
  <c r="BO39" i="54"/>
  <c r="CH40" i="54"/>
  <c r="EX40" i="54" s="1"/>
  <c r="EC65" i="54"/>
  <c r="ED65" i="54" s="1"/>
  <c r="EE65" i="54" s="1"/>
  <c r="CH26" i="54"/>
  <c r="FG34" i="54"/>
  <c r="AD8" i="42"/>
  <c r="CB47" i="54"/>
  <c r="CC47" i="54" s="1"/>
  <c r="CH47" i="54" s="1"/>
  <c r="DU55" i="54"/>
  <c r="BO55" i="54"/>
  <c r="O5" i="58" a="1"/>
  <c r="O5" i="58" s="1"/>
  <c r="EO41" i="54"/>
  <c r="A5" i="58" a="1"/>
  <c r="A5" i="58" s="1"/>
  <c r="EF51" i="54"/>
  <c r="CB61" i="54"/>
  <c r="CC61" i="54" s="1"/>
  <c r="BT10" i="53"/>
  <c r="C22" i="59" s="1"/>
  <c r="CH49" i="54"/>
  <c r="EX49" i="54" s="1"/>
  <c r="EC71" i="54"/>
  <c r="ED71" i="54" s="1"/>
  <c r="EE71" i="54" s="1"/>
  <c r="CB53" i="54"/>
  <c r="CC53" i="54" s="1"/>
  <c r="CH53" i="54" s="1"/>
  <c r="DS21" i="54"/>
  <c r="EX21" i="54"/>
  <c r="CH64" i="54"/>
  <c r="CD37" i="54"/>
  <c r="CH37" i="54"/>
  <c r="CD51" i="54"/>
  <c r="CH51" i="54"/>
  <c r="CD42" i="54"/>
  <c r="CH42" i="54"/>
  <c r="CH61" i="54"/>
  <c r="EX57" i="54"/>
  <c r="DS57" i="54"/>
  <c r="EX24" i="54"/>
  <c r="DS24" i="54"/>
  <c r="EX46" i="54"/>
  <c r="DS46" i="54"/>
  <c r="EX26" i="54"/>
  <c r="DS26" i="54"/>
  <c r="DS55" i="54"/>
  <c r="EX55" i="54"/>
  <c r="EX28" i="54"/>
  <c r="CH41" i="54"/>
  <c r="EI32" i="54"/>
  <c r="FG32" i="54"/>
  <c r="FG65" i="54"/>
  <c r="EI65" i="54"/>
  <c r="EO65" i="54" s="1"/>
  <c r="CD32" i="54"/>
  <c r="CH32" i="54"/>
  <c r="FK3" i="54"/>
  <c r="FG71" i="54"/>
  <c r="EI71" i="54"/>
  <c r="EO71" i="54" s="1"/>
  <c r="BO58" i="54"/>
  <c r="DU58" i="54"/>
  <c r="GV4" i="54"/>
  <c r="AR4" i="54"/>
  <c r="FG47" i="54"/>
  <c r="EI47" i="54"/>
  <c r="FG50" i="54"/>
  <c r="EI50" i="54"/>
  <c r="EO50" i="54" s="1"/>
  <c r="DU59" i="54"/>
  <c r="BO59" i="54"/>
  <c r="FN3" i="54"/>
  <c r="FO3" i="54" s="1"/>
  <c r="FF61" i="54"/>
  <c r="EJ61" i="54"/>
  <c r="CH25" i="54"/>
  <c r="CB59" i="54"/>
  <c r="CC59" i="54" s="1"/>
  <c r="FG37" i="54"/>
  <c r="EI37" i="54"/>
  <c r="FG26" i="54"/>
  <c r="EI26" i="54"/>
  <c r="FG49" i="54"/>
  <c r="EI49" i="54"/>
  <c r="EC21" i="54"/>
  <c r="EU6" i="54"/>
  <c r="EV6" i="54"/>
  <c r="ET7" i="54"/>
  <c r="FF30" i="54"/>
  <c r="EJ30" i="54"/>
  <c r="CD65" i="54"/>
  <c r="CH65" i="54"/>
  <c r="DU53" i="54"/>
  <c r="BO53" i="54"/>
  <c r="EX29" i="54"/>
  <c r="DS29" i="54"/>
  <c r="FG46" i="54"/>
  <c r="EI46" i="54"/>
  <c r="EO46" i="54" s="1"/>
  <c r="BO41" i="54"/>
  <c r="DU41" i="54"/>
  <c r="EC41" i="54" s="1"/>
  <c r="ED41" i="54" s="1"/>
  <c r="EE41" i="54" s="1"/>
  <c r="AO10" i="53"/>
  <c r="FG36" i="54"/>
  <c r="EI36" i="54"/>
  <c r="EO36" i="54" s="1"/>
  <c r="AW10" i="53"/>
  <c r="C11" i="59" s="1"/>
  <c r="AH10" i="53"/>
  <c r="AA10" i="53"/>
  <c r="C15" i="59" s="1"/>
  <c r="X10" i="53"/>
  <c r="DP16" i="54"/>
  <c r="DP32" i="54"/>
  <c r="DP48" i="54"/>
  <c r="DP64" i="54"/>
  <c r="AV10" i="53"/>
  <c r="C10" i="59" s="1"/>
  <c r="AU10" i="53"/>
  <c r="C9" i="59" s="1"/>
  <c r="AR10" i="53"/>
  <c r="AG10" i="53"/>
  <c r="AT10" i="53"/>
  <c r="C8" i="59" s="1"/>
  <c r="AB10" i="53" a="1"/>
  <c r="AB10" i="53" s="1"/>
  <c r="CD70" i="54" s="1"/>
  <c r="AE10" i="53" a="1"/>
  <c r="AE10" i="53" s="1"/>
  <c r="DP13" i="54"/>
  <c r="DP30" i="54"/>
  <c r="DP47" i="54"/>
  <c r="DP65" i="54"/>
  <c r="DP14" i="54"/>
  <c r="DP31" i="54"/>
  <c r="DP49" i="54"/>
  <c r="DP66" i="54"/>
  <c r="DP18" i="54"/>
  <c r="DP3" i="54"/>
  <c r="DP23" i="54"/>
  <c r="DP42" i="54"/>
  <c r="DP61" i="54"/>
  <c r="DP4" i="54"/>
  <c r="DP24" i="54"/>
  <c r="DP43" i="54"/>
  <c r="DP62" i="54"/>
  <c r="DP7" i="54"/>
  <c r="DP27" i="54"/>
  <c r="DP46" i="54"/>
  <c r="DP68" i="54"/>
  <c r="DP8" i="54"/>
  <c r="DP28" i="54"/>
  <c r="DP50" i="54"/>
  <c r="DP69" i="54"/>
  <c r="DP9" i="54"/>
  <c r="DP29" i="54"/>
  <c r="DP51" i="54"/>
  <c r="DP70" i="54"/>
  <c r="DP10" i="54"/>
  <c r="DP33" i="54"/>
  <c r="DP52" i="54"/>
  <c r="DP71" i="54"/>
  <c r="DP26" i="54"/>
  <c r="DP58" i="54"/>
  <c r="DP35" i="54"/>
  <c r="DP60" i="54"/>
  <c r="DP37" i="54"/>
  <c r="DP67" i="54"/>
  <c r="DP5" i="54"/>
  <c r="DP38" i="54"/>
  <c r="DP72" i="54"/>
  <c r="DP6" i="54"/>
  <c r="DP39" i="54"/>
  <c r="DP11" i="54"/>
  <c r="DP40" i="54"/>
  <c r="DP21" i="54"/>
  <c r="DP22" i="54"/>
  <c r="DP36" i="54"/>
  <c r="DP41" i="54"/>
  <c r="DP44" i="54"/>
  <c r="DP45" i="54"/>
  <c r="DP57" i="54"/>
  <c r="DP59" i="54"/>
  <c r="DP12" i="54"/>
  <c r="DP15" i="54"/>
  <c r="DP17" i="54"/>
  <c r="DP20" i="54"/>
  <c r="DP34" i="54"/>
  <c r="DP25" i="54"/>
  <c r="DP53" i="54"/>
  <c r="DP54" i="54"/>
  <c r="DP55" i="54"/>
  <c r="DP56" i="54"/>
  <c r="DP63" i="54"/>
  <c r="DP19" i="54"/>
  <c r="CD55" i="54"/>
  <c r="EX44" i="54"/>
  <c r="DS44" i="54"/>
  <c r="CD56" i="54"/>
  <c r="CH67" i="54"/>
  <c r="FG44" i="54"/>
  <c r="EI44" i="54"/>
  <c r="DS54" i="54"/>
  <c r="EX54" i="54"/>
  <c r="FG31" i="54"/>
  <c r="EI31" i="54"/>
  <c r="DU27" i="54"/>
  <c r="EC27" i="54" s="1"/>
  <c r="ED27" i="54" s="1"/>
  <c r="EE27" i="54" s="1"/>
  <c r="BO27" i="54"/>
  <c r="GB3" i="54"/>
  <c r="FF42" i="54"/>
  <c r="EJ42" i="54"/>
  <c r="EU66" i="54"/>
  <c r="GU66" i="54" s="1"/>
  <c r="EV66" i="54"/>
  <c r="ET67" i="54"/>
  <c r="EX52" i="54"/>
  <c r="DS52" i="54"/>
  <c r="EW4" i="54"/>
  <c r="EW5" i="54" s="1"/>
  <c r="EX22" i="54"/>
  <c r="DS22" i="54"/>
  <c r="CD39" i="54"/>
  <c r="FF35" i="54"/>
  <c r="EJ35" i="54"/>
  <c r="DU30" i="54"/>
  <c r="EC30" i="54" s="1"/>
  <c r="ED30" i="54" s="1"/>
  <c r="EE30" i="54" s="1"/>
  <c r="BO30" i="54"/>
  <c r="DU51" i="54"/>
  <c r="BO51" i="54"/>
  <c r="CH66" i="54"/>
  <c r="FF27" i="54"/>
  <c r="EJ27" i="54"/>
  <c r="GR36" i="54"/>
  <c r="GX36" i="54"/>
  <c r="GY36" i="54"/>
  <c r="DS35" i="54"/>
  <c r="EX35" i="54"/>
  <c r="CD48" i="54"/>
  <c r="CH48" i="54"/>
  <c r="FG48" i="54"/>
  <c r="EI48" i="54"/>
  <c r="FG55" i="54"/>
  <c r="EI55" i="54"/>
  <c r="FF67" i="54"/>
  <c r="EJ67" i="54"/>
  <c r="EX71" i="54"/>
  <c r="DS71" i="54"/>
  <c r="DU37" i="54"/>
  <c r="EC37" i="54" s="1"/>
  <c r="ED37" i="54" s="1"/>
  <c r="EE37" i="54" s="1"/>
  <c r="BO37" i="54"/>
  <c r="CD31" i="54"/>
  <c r="FF34" i="54"/>
  <c r="EJ34" i="54"/>
  <c r="FG39" i="54"/>
  <c r="EI39" i="54"/>
  <c r="EO39" i="54" s="1"/>
  <c r="EX68" i="54"/>
  <c r="DS68" i="54"/>
  <c r="FG51" i="54"/>
  <c r="EI51" i="54"/>
  <c r="FG23" i="54"/>
  <c r="EI23" i="54"/>
  <c r="EO34" i="54"/>
  <c r="CH56" i="54"/>
  <c r="DU29" i="54"/>
  <c r="EC29" i="54" s="1"/>
  <c r="ED29" i="54" s="1"/>
  <c r="EE29" i="54" s="1"/>
  <c r="BO29" i="54"/>
  <c r="DU25" i="54"/>
  <c r="EC25" i="54" s="1"/>
  <c r="ED25" i="54" s="1"/>
  <c r="EE25" i="54" s="1"/>
  <c r="BO25" i="54"/>
  <c r="EX63" i="54"/>
  <c r="DS63" i="54"/>
  <c r="EI45" i="54"/>
  <c r="FG45" i="54"/>
  <c r="EU52" i="54"/>
  <c r="GU52" i="54" s="1"/>
  <c r="ET53" i="54"/>
  <c r="FG33" i="54"/>
  <c r="EI33" i="54"/>
  <c r="FG29" i="54"/>
  <c r="EI29" i="54"/>
  <c r="DS34" i="54"/>
  <c r="EX34" i="54"/>
  <c r="DU56" i="54"/>
  <c r="BO56" i="54"/>
  <c r="GC5" i="54"/>
  <c r="FC5" i="54"/>
  <c r="FA5" i="54"/>
  <c r="GB5" i="54" s="1"/>
  <c r="EZ5" i="54"/>
  <c r="FK5" i="54" s="1"/>
  <c r="FF21" i="54"/>
  <c r="EJ21" i="54"/>
  <c r="CH33" i="54"/>
  <c r="DS38" i="54"/>
  <c r="EX38" i="54"/>
  <c r="DU47" i="54"/>
  <c r="EC47" i="54" s="1"/>
  <c r="ED47" i="54" s="1"/>
  <c r="EE47" i="54" s="1"/>
  <c r="BO47" i="54"/>
  <c r="CH43" i="54"/>
  <c r="EX69" i="54"/>
  <c r="DS69" i="54"/>
  <c r="FF43" i="54"/>
  <c r="EJ43" i="54"/>
  <c r="DU61" i="54"/>
  <c r="BO61" i="54"/>
  <c r="CD21" i="54"/>
  <c r="CZ27" i="54"/>
  <c r="CY28" i="54"/>
  <c r="DU64" i="54"/>
  <c r="BO64" i="54"/>
  <c r="EX60" i="54"/>
  <c r="DS60" i="54"/>
  <c r="EX70" i="54"/>
  <c r="DS70" i="54"/>
  <c r="EX45" i="54"/>
  <c r="DS45" i="54"/>
  <c r="FG28" i="54"/>
  <c r="EI28" i="54"/>
  <c r="EO28" i="54" s="1"/>
  <c r="CD26" i="54"/>
  <c r="CH62" i="54"/>
  <c r="DU42" i="54"/>
  <c r="EC42" i="54" s="1"/>
  <c r="ED42" i="54" s="1"/>
  <c r="EE42" i="54" s="1"/>
  <c r="BO42" i="54"/>
  <c r="EI25" i="54"/>
  <c r="FG25" i="54"/>
  <c r="FG40" i="54"/>
  <c r="EI40" i="54"/>
  <c r="DU67" i="54"/>
  <c r="EC67" i="54" s="1"/>
  <c r="ED67" i="54" s="1"/>
  <c r="EE67" i="54" s="1"/>
  <c r="BO67" i="54"/>
  <c r="AB3" i="40" a="1"/>
  <c r="AB3" i="40" s="1"/>
  <c r="EF21" i="54"/>
  <c r="EO67" i="54"/>
  <c r="CD71" i="54"/>
  <c r="FC65" i="54"/>
  <c r="FA65" i="54"/>
  <c r="GB65" i="54" s="1"/>
  <c r="EW65" i="54"/>
  <c r="DU33" i="54"/>
  <c r="EC33" i="54" s="1"/>
  <c r="ED33" i="54" s="1"/>
  <c r="EE33" i="54" s="1"/>
  <c r="BO33" i="54"/>
  <c r="CD46" i="54"/>
  <c r="GS3" i="54"/>
  <c r="CB58" i="54"/>
  <c r="CC58" i="54" s="1"/>
  <c r="CH23" i="54"/>
  <c r="CH39" i="54"/>
  <c r="EX72" i="54"/>
  <c r="DS72" i="54"/>
  <c r="CD45" i="54"/>
  <c r="FG38" i="54"/>
  <c r="EI38" i="54"/>
  <c r="CD23" i="54"/>
  <c r="FG24" i="54"/>
  <c r="EI24" i="54"/>
  <c r="FF41" i="54"/>
  <c r="EJ41" i="54"/>
  <c r="CH50" i="54"/>
  <c r="AR3" i="40" a="1"/>
  <c r="AR3" i="40" s="1"/>
  <c r="Y16" i="42"/>
  <c r="AB8" i="42"/>
  <c r="BJ32" i="10"/>
  <c r="BL32" i="10"/>
  <c r="BK32" i="10"/>
  <c r="BN32" i="10" s="1"/>
  <c r="BM32" i="10"/>
  <c r="BM39" i="10"/>
  <c r="BL39" i="10"/>
  <c r="BK39" i="10"/>
  <c r="BN39" i="10" s="1"/>
  <c r="BJ39" i="10"/>
  <c r="BK9" i="10"/>
  <c r="BN9" i="10" s="1"/>
  <c r="BJ9" i="10"/>
  <c r="BL9" i="10"/>
  <c r="BM9" i="10"/>
  <c r="BL24" i="10"/>
  <c r="BK24" i="10"/>
  <c r="BN24" i="10" s="1"/>
  <c r="BJ24" i="10"/>
  <c r="BM24" i="10"/>
  <c r="BK36" i="10"/>
  <c r="BN36" i="10" s="1"/>
  <c r="BJ36" i="10"/>
  <c r="BL36" i="10"/>
  <c r="BM36" i="10"/>
  <c r="BM29" i="10"/>
  <c r="BL29" i="10"/>
  <c r="BK29" i="10"/>
  <c r="BN29" i="10" s="1"/>
  <c r="BJ29" i="10"/>
  <c r="BM22" i="10"/>
  <c r="BJ22" i="10"/>
  <c r="BK22" i="10"/>
  <c r="BN22" i="10" s="1"/>
  <c r="BL22" i="10"/>
  <c r="BK17" i="10"/>
  <c r="BN17" i="10" s="1"/>
  <c r="BJ17" i="10"/>
  <c r="BM17" i="10"/>
  <c r="BL17" i="10"/>
  <c r="BL18" i="10"/>
  <c r="BK18" i="10"/>
  <c r="BN18" i="10" s="1"/>
  <c r="BJ18" i="10"/>
  <c r="BM18" i="10"/>
  <c r="BM35" i="10"/>
  <c r="BL35" i="10"/>
  <c r="BK35" i="10"/>
  <c r="BN35" i="10" s="1"/>
  <c r="BJ35" i="10"/>
  <c r="BJ34" i="10"/>
  <c r="BK34" i="10"/>
  <c r="BN34" i="10" s="1"/>
  <c r="BL34" i="10"/>
  <c r="BM34" i="10"/>
  <c r="BJ11" i="10"/>
  <c r="BK11" i="10"/>
  <c r="BN11" i="10" s="1"/>
  <c r="BM11" i="10"/>
  <c r="BL11" i="10"/>
  <c r="BM10" i="10"/>
  <c r="BL10" i="10"/>
  <c r="BK10" i="10"/>
  <c r="BN10" i="10" s="1"/>
  <c r="BJ10" i="10"/>
  <c r="BK27" i="10"/>
  <c r="BN27" i="10" s="1"/>
  <c r="BM27" i="10"/>
  <c r="BL27" i="10"/>
  <c r="BJ27" i="10"/>
  <c r="BM31" i="10"/>
  <c r="BL31" i="10"/>
  <c r="BK31" i="10"/>
  <c r="BN31" i="10" s="1"/>
  <c r="BJ31" i="10"/>
  <c r="BL16" i="10"/>
  <c r="BK16" i="10"/>
  <c r="BN16" i="10" s="1"/>
  <c r="BM16" i="10"/>
  <c r="BJ16" i="10"/>
  <c r="BM21" i="10"/>
  <c r="BL21" i="10"/>
  <c r="BK21" i="10"/>
  <c r="BN21" i="10" s="1"/>
  <c r="BJ21" i="10"/>
  <c r="BM25" i="10"/>
  <c r="BL25" i="10"/>
  <c r="BK25" i="10"/>
  <c r="BN25" i="10" s="1"/>
  <c r="BJ25" i="10"/>
  <c r="BK28" i="10"/>
  <c r="BN28" i="10" s="1"/>
  <c r="BM28" i="10"/>
  <c r="BJ28" i="10"/>
  <c r="BL28" i="10"/>
  <c r="BL6" i="10"/>
  <c r="BM6" i="10"/>
  <c r="BK6" i="10"/>
  <c r="BN6" i="10" s="1"/>
  <c r="BJ6" i="10"/>
  <c r="AA28" i="42"/>
  <c r="BM14" i="10"/>
  <c r="BL14" i="10"/>
  <c r="BK14" i="10"/>
  <c r="BN14" i="10" s="1"/>
  <c r="BJ14" i="10"/>
  <c r="BM37" i="10"/>
  <c r="BL37" i="10"/>
  <c r="BK37" i="10"/>
  <c r="BN37" i="10" s="1"/>
  <c r="BJ37" i="10"/>
  <c r="BM8" i="10"/>
  <c r="BJ8" i="10"/>
  <c r="BL8" i="10"/>
  <c r="BK8" i="10"/>
  <c r="BN8" i="10" s="1"/>
  <c r="AD9" i="42"/>
  <c r="BJ26" i="10"/>
  <c r="BL26" i="10"/>
  <c r="BK26" i="10"/>
  <c r="BN26" i="10" s="1"/>
  <c r="BM26" i="10"/>
  <c r="BM7" i="10"/>
  <c r="BL7" i="10"/>
  <c r="BK7" i="10"/>
  <c r="BN7" i="10" s="1"/>
  <c r="BJ7" i="10"/>
  <c r="BK19" i="10"/>
  <c r="BN19" i="10" s="1"/>
  <c r="BM19" i="10"/>
  <c r="BL19" i="10"/>
  <c r="BJ19" i="10"/>
  <c r="BK12" i="10"/>
  <c r="BN12" i="10" s="1"/>
  <c r="BJ12" i="10"/>
  <c r="BM12" i="10"/>
  <c r="BL12" i="10"/>
  <c r="BL13" i="10"/>
  <c r="BK13" i="10"/>
  <c r="BN13" i="10" s="1"/>
  <c r="BJ13" i="10"/>
  <c r="BM13" i="10"/>
  <c r="BM15" i="10"/>
  <c r="BL15" i="10"/>
  <c r="BJ15" i="10"/>
  <c r="BK15" i="10"/>
  <c r="BN15" i="10" s="1"/>
  <c r="BK23" i="10"/>
  <c r="BN23" i="10" s="1"/>
  <c r="BM23" i="10"/>
  <c r="BL23" i="10"/>
  <c r="BJ23" i="10"/>
  <c r="AB9" i="42"/>
  <c r="BJ30" i="10"/>
  <c r="BK30" i="10"/>
  <c r="BN30" i="10" s="1"/>
  <c r="BL30" i="10"/>
  <c r="BM30" i="10"/>
  <c r="AD10" i="42"/>
  <c r="W7" i="42"/>
  <c r="X6" i="42"/>
  <c r="BL20" i="10"/>
  <c r="BK20" i="10"/>
  <c r="BN20" i="10"/>
  <c r="BJ20" i="10"/>
  <c r="BM20" i="10"/>
  <c r="BM38" i="10"/>
  <c r="BJ38" i="10"/>
  <c r="BL38" i="10"/>
  <c r="BK38" i="10"/>
  <c r="BN38" i="10" s="1"/>
  <c r="BK33" i="10"/>
  <c r="BN33" i="10" s="1"/>
  <c r="BJ33" i="10"/>
  <c r="BM33" i="10"/>
  <c r="BL33" i="10"/>
  <c r="AC68" i="42"/>
  <c r="EX31" i="54" l="1"/>
  <c r="DS30" i="54"/>
  <c r="GR30" i="54" s="1"/>
  <c r="GX30" i="54" s="1"/>
  <c r="CD29" i="54"/>
  <c r="DS40" i="54"/>
  <c r="CD22" i="54"/>
  <c r="AP3" i="40" a="1"/>
  <c r="AP3" i="40" s="1"/>
  <c r="EC55" i="54"/>
  <c r="ED55" i="54" s="1"/>
  <c r="EE55" i="54" s="1"/>
  <c r="DS49" i="54"/>
  <c r="GR35" i="54"/>
  <c r="GR29" i="54"/>
  <c r="GR26" i="54"/>
  <c r="GX26" i="54" s="1"/>
  <c r="GY26" i="54" s="1"/>
  <c r="EJ37" i="54"/>
  <c r="FF37" i="54"/>
  <c r="EO37" i="54"/>
  <c r="C5" i="59"/>
  <c r="GR46" i="54"/>
  <c r="EX33" i="54"/>
  <c r="DS33" i="54"/>
  <c r="FF33" i="54"/>
  <c r="EJ33" i="54"/>
  <c r="EO33" i="54"/>
  <c r="G6" i="57"/>
  <c r="C27" i="59"/>
  <c r="DL35" i="54"/>
  <c r="DO35" i="54" s="1"/>
  <c r="DL27" i="54"/>
  <c r="DO27" i="54" s="1"/>
  <c r="DL34" i="54"/>
  <c r="DO34" i="54" s="1"/>
  <c r="DL61" i="54"/>
  <c r="DO61" i="54" s="1"/>
  <c r="DL25" i="54"/>
  <c r="DO25" i="54" s="1"/>
  <c r="DL29" i="54"/>
  <c r="DO29" i="54" s="1"/>
  <c r="DL55" i="54"/>
  <c r="DO55" i="54" s="1"/>
  <c r="DL50" i="54"/>
  <c r="DO50" i="54" s="1"/>
  <c r="DL44" i="54"/>
  <c r="DO44" i="54" s="1"/>
  <c r="DL23" i="54"/>
  <c r="DO23" i="54" s="1"/>
  <c r="DL43" i="54"/>
  <c r="DO43" i="54" s="1"/>
  <c r="DL36" i="54"/>
  <c r="DO36" i="54" s="1"/>
  <c r="DL71" i="54"/>
  <c r="DO71" i="54" s="1"/>
  <c r="DL26" i="54"/>
  <c r="DO26" i="54" s="1"/>
  <c r="DL49" i="54"/>
  <c r="DO49" i="54" s="1"/>
  <c r="DL46" i="54"/>
  <c r="DO46" i="54" s="1"/>
  <c r="DL47" i="54"/>
  <c r="DO47" i="54" s="1"/>
  <c r="DL33" i="54"/>
  <c r="DO33" i="54" s="1"/>
  <c r="DL28" i="54"/>
  <c r="DO28" i="54" s="1"/>
  <c r="DL41" i="54"/>
  <c r="DO41" i="54" s="1"/>
  <c r="DL31" i="54"/>
  <c r="DO31" i="54" s="1"/>
  <c r="DL38" i="54"/>
  <c r="DO38" i="54" s="1"/>
  <c r="DL21" i="54"/>
  <c r="DO21" i="54" s="1"/>
  <c r="DL48" i="54"/>
  <c r="DO48" i="54" s="1"/>
  <c r="DL42" i="54"/>
  <c r="DO42" i="54" s="1"/>
  <c r="DL67" i="54"/>
  <c r="DO67" i="54" s="1"/>
  <c r="DL65" i="54"/>
  <c r="DO65" i="54" s="1"/>
  <c r="DL45" i="54"/>
  <c r="DO45" i="54" s="1"/>
  <c r="DL39" i="54"/>
  <c r="DO39" i="54" s="1"/>
  <c r="DL51" i="54"/>
  <c r="DO51" i="54" s="1"/>
  <c r="DL24" i="54"/>
  <c r="DO24" i="54" s="1"/>
  <c r="DL40" i="54"/>
  <c r="DO40" i="54" s="1"/>
  <c r="DL32" i="54"/>
  <c r="DO32" i="54" s="1"/>
  <c r="DL37" i="54"/>
  <c r="DO37" i="54" s="1"/>
  <c r="DL30" i="54"/>
  <c r="DO30" i="54" s="1"/>
  <c r="EX41" i="54"/>
  <c r="DS41" i="54"/>
  <c r="GF67" i="54"/>
  <c r="EL67" i="54"/>
  <c r="EM67" i="54" s="1"/>
  <c r="EN67" i="54" s="1"/>
  <c r="EP67" i="54" s="1"/>
  <c r="EK67" i="54"/>
  <c r="EK68" i="54" s="1"/>
  <c r="FF31" i="54"/>
  <c r="EJ31" i="54"/>
  <c r="C24" i="59"/>
  <c r="G10" i="57"/>
  <c r="CD35" i="54"/>
  <c r="CD44" i="54"/>
  <c r="CD69" i="54"/>
  <c r="CD38" i="54"/>
  <c r="CD63" i="54"/>
  <c r="CD52" i="54"/>
  <c r="CD54" i="54"/>
  <c r="CD34" i="54"/>
  <c r="CD68" i="54"/>
  <c r="CD72" i="54"/>
  <c r="CD60" i="54"/>
  <c r="CD36" i="54"/>
  <c r="CD41" i="54"/>
  <c r="EX64" i="54"/>
  <c r="DS64" i="54"/>
  <c r="GR72" i="54"/>
  <c r="GF43" i="54"/>
  <c r="EK43" i="54"/>
  <c r="EL43" i="54"/>
  <c r="FF51" i="54"/>
  <c r="EJ51" i="54"/>
  <c r="EO51" i="54"/>
  <c r="DS66" i="54"/>
  <c r="EX66" i="54"/>
  <c r="GR52" i="54"/>
  <c r="GX52" i="54"/>
  <c r="GY52" i="54" s="1"/>
  <c r="EU7" i="54"/>
  <c r="GU7" i="54" s="1"/>
  <c r="EV7" i="54"/>
  <c r="ET8" i="54"/>
  <c r="CD62" i="54"/>
  <c r="CD47" i="54"/>
  <c r="CD64" i="54"/>
  <c r="EX39" i="54"/>
  <c r="DS39" i="54"/>
  <c r="CD40" i="54"/>
  <c r="EU53" i="54"/>
  <c r="GU53" i="54" s="1"/>
  <c r="ET54" i="54"/>
  <c r="CD66" i="54"/>
  <c r="EU67" i="54"/>
  <c r="GU67" i="54" s="1"/>
  <c r="EV67" i="54"/>
  <c r="ET68" i="54"/>
  <c r="GR54" i="54"/>
  <c r="GX54" i="54"/>
  <c r="GY54" i="54" s="1"/>
  <c r="BP10" i="53" a="1"/>
  <c r="BP10" i="53" s="1"/>
  <c r="BL10" i="53" a="1"/>
  <c r="BL10" i="53" s="1"/>
  <c r="EW6" i="54"/>
  <c r="GC6" i="54"/>
  <c r="FC6" i="54"/>
  <c r="EZ6" i="54"/>
  <c r="FK6" i="54" s="1"/>
  <c r="FA6" i="54"/>
  <c r="FX3" i="54" a="1"/>
  <c r="FX3" i="54" s="1"/>
  <c r="FY3" i="54" s="1"/>
  <c r="FZ3" i="54" a="1"/>
  <c r="FZ3" i="54" s="1"/>
  <c r="GA3" i="54" s="1"/>
  <c r="FV3" i="54" a="1"/>
  <c r="FV3" i="54" s="1"/>
  <c r="FW3" i="54" s="1"/>
  <c r="FP3" i="54" a="1"/>
  <c r="FP3" i="54" s="1"/>
  <c r="FT3" i="54" a="1"/>
  <c r="FT3" i="54" s="1"/>
  <c r="FU3" i="54" s="1"/>
  <c r="FR3" i="54" a="1"/>
  <c r="FR3" i="54" s="1"/>
  <c r="FS3" i="54" s="1"/>
  <c r="CD25" i="54"/>
  <c r="CD43" i="54"/>
  <c r="EX53" i="54"/>
  <c r="DS53" i="54"/>
  <c r="EJ24" i="54"/>
  <c r="FF24" i="54"/>
  <c r="EO24" i="54"/>
  <c r="GR63" i="54"/>
  <c r="EL42" i="54"/>
  <c r="GF42" i="54"/>
  <c r="EK42" i="54"/>
  <c r="FF65" i="54"/>
  <c r="EJ65" i="54"/>
  <c r="GR44" i="54"/>
  <c r="GX44" i="54" s="1"/>
  <c r="EX51" i="54"/>
  <c r="DS51" i="54"/>
  <c r="DS56" i="54"/>
  <c r="EX56" i="54"/>
  <c r="GF30" i="54"/>
  <c r="EK30" i="54"/>
  <c r="EL30" i="54"/>
  <c r="AS3" i="40" a="1"/>
  <c r="AS3" i="40" s="1"/>
  <c r="EJ23" i="54"/>
  <c r="FF23" i="54"/>
  <c r="FF28" i="54"/>
  <c r="EJ28" i="54"/>
  <c r="GF21" i="54"/>
  <c r="EK21" i="54"/>
  <c r="EL21" i="54"/>
  <c r="GF61" i="54"/>
  <c r="EL61" i="54"/>
  <c r="EM61" i="54" s="1"/>
  <c r="EN61" i="54" s="1"/>
  <c r="EP61" i="54" s="1"/>
  <c r="EK61" i="54"/>
  <c r="EK62" i="54" s="1"/>
  <c r="EX47" i="54"/>
  <c r="DS47" i="54"/>
  <c r="W8" i="42"/>
  <c r="CD57" i="54"/>
  <c r="GV5" i="54"/>
  <c r="AR5" i="54"/>
  <c r="FF55" i="54"/>
  <c r="EJ55" i="54"/>
  <c r="EO55" i="54"/>
  <c r="EO31" i="54"/>
  <c r="FC66" i="54"/>
  <c r="FA66" i="54"/>
  <c r="GB66" i="54" s="1"/>
  <c r="EW66" i="54"/>
  <c r="C6" i="59"/>
  <c r="AZ10" i="53"/>
  <c r="C12" i="59" s="1"/>
  <c r="AS10" i="53" a="1"/>
  <c r="AS10" i="53" s="1"/>
  <c r="GU6" i="54"/>
  <c r="EJ71" i="54"/>
  <c r="FF71" i="54"/>
  <c r="GR24" i="54"/>
  <c r="CD53" i="54"/>
  <c r="FF26" i="54"/>
  <c r="EJ26" i="54"/>
  <c r="EO26" i="54"/>
  <c r="GF35" i="54"/>
  <c r="EL35" i="54"/>
  <c r="EK35" i="54"/>
  <c r="GR40" i="54"/>
  <c r="EX42" i="54"/>
  <c r="DS42" i="54"/>
  <c r="GR38" i="54"/>
  <c r="GX38" i="54"/>
  <c r="DS65" i="54"/>
  <c r="EX65" i="54"/>
  <c r="GR49" i="54"/>
  <c r="GR22" i="54"/>
  <c r="GX22" i="54"/>
  <c r="EY22" i="54"/>
  <c r="DS37" i="54"/>
  <c r="EX37" i="54"/>
  <c r="FF36" i="54"/>
  <c r="EJ36" i="54"/>
  <c r="GR31" i="54"/>
  <c r="DS50" i="54"/>
  <c r="EX50" i="54"/>
  <c r="EX23" i="54"/>
  <c r="DS23" i="54"/>
  <c r="CD49" i="54"/>
  <c r="GR45" i="54"/>
  <c r="GR69" i="54"/>
  <c r="GX69" i="54" s="1"/>
  <c r="FF44" i="54"/>
  <c r="EJ44" i="54"/>
  <c r="EO44" i="54"/>
  <c r="ED21" i="54"/>
  <c r="GR28" i="54"/>
  <c r="GX28" i="54"/>
  <c r="EX27" i="54"/>
  <c r="DS27" i="54"/>
  <c r="CD50" i="54"/>
  <c r="CD58" i="54"/>
  <c r="CH58" i="54"/>
  <c r="CD30" i="54"/>
  <c r="CD24" i="54"/>
  <c r="GR68" i="54"/>
  <c r="FF48" i="54"/>
  <c r="EJ48" i="54"/>
  <c r="EO48" i="54"/>
  <c r="CD33" i="54"/>
  <c r="A17" i="57" a="1"/>
  <c r="A17" i="57" s="1"/>
  <c r="AB3" i="56" a="1"/>
  <c r="AB3" i="56" s="1"/>
  <c r="AA3" i="56" a="1"/>
  <c r="AA3" i="56" s="1"/>
  <c r="C16" i="57" a="1"/>
  <c r="FF46" i="54"/>
  <c r="EJ46" i="54"/>
  <c r="U3" i="40" a="1"/>
  <c r="U3" i="40" s="1"/>
  <c r="GR55" i="54"/>
  <c r="GX55" i="54"/>
  <c r="GR57" i="54"/>
  <c r="CD27" i="54"/>
  <c r="GF34" i="54"/>
  <c r="EK34" i="54"/>
  <c r="EL34" i="54"/>
  <c r="GR60" i="54"/>
  <c r="FF25" i="54"/>
  <c r="EJ25" i="54"/>
  <c r="EO25" i="54"/>
  <c r="GR34" i="54"/>
  <c r="GX34" i="54"/>
  <c r="GY34" i="54" s="1"/>
  <c r="FF47" i="54"/>
  <c r="EJ47" i="54"/>
  <c r="EO47" i="54"/>
  <c r="FF38" i="54"/>
  <c r="EJ38" i="54"/>
  <c r="EO38" i="54"/>
  <c r="CY29" i="54"/>
  <c r="CZ28" i="54"/>
  <c r="EJ29" i="54"/>
  <c r="FF29" i="54"/>
  <c r="EO29" i="54"/>
  <c r="CD59" i="54"/>
  <c r="CH59" i="54"/>
  <c r="EX62" i="54"/>
  <c r="DS62" i="54"/>
  <c r="GR71" i="54"/>
  <c r="GX71" i="54"/>
  <c r="GY71" i="54" s="1"/>
  <c r="FF32" i="54"/>
  <c r="EJ32" i="54"/>
  <c r="EO32" i="54"/>
  <c r="GF27" i="54"/>
  <c r="EL27" i="54"/>
  <c r="EK27" i="54"/>
  <c r="EX25" i="54"/>
  <c r="DS25" i="54"/>
  <c r="EC61" i="54"/>
  <c r="ED61" i="54" s="1"/>
  <c r="EE61" i="54" s="1"/>
  <c r="GF41" i="54"/>
  <c r="EK41" i="54"/>
  <c r="EL41" i="54"/>
  <c r="EX43" i="54"/>
  <c r="DS43" i="54"/>
  <c r="FF45" i="54"/>
  <c r="EJ45" i="54"/>
  <c r="EO45" i="54"/>
  <c r="FF39" i="54"/>
  <c r="EJ39" i="54"/>
  <c r="EC51" i="54"/>
  <c r="ED51" i="54" s="1"/>
  <c r="EE51" i="54" s="1"/>
  <c r="EX67" i="54"/>
  <c r="DS67" i="54"/>
  <c r="EJ49" i="54"/>
  <c r="FF49" i="54"/>
  <c r="EO49" i="54"/>
  <c r="GV3" i="54"/>
  <c r="AR3" i="54"/>
  <c r="EX61" i="54"/>
  <c r="DS61" i="54"/>
  <c r="GR21" i="54"/>
  <c r="GX21" i="54"/>
  <c r="EJ40" i="54"/>
  <c r="FF40" i="54"/>
  <c r="EO40" i="54"/>
  <c r="GR70" i="54"/>
  <c r="GX70" i="54"/>
  <c r="GY70" i="54"/>
  <c r="DS48" i="54"/>
  <c r="EX48" i="54"/>
  <c r="EO23" i="54"/>
  <c r="CD67" i="54"/>
  <c r="CD28" i="54"/>
  <c r="EJ50" i="54"/>
  <c r="FF50" i="54"/>
  <c r="EX32" i="54"/>
  <c r="DS32" i="54"/>
  <c r="CD61" i="54"/>
  <c r="Y17" i="42"/>
  <c r="Z9" i="42" s="1"/>
  <c r="Z8" i="42"/>
  <c r="AD11" i="42"/>
  <c r="AC88" i="42"/>
  <c r="AD346" i="42" s="1"/>
  <c r="AA29" i="42"/>
  <c r="X7" i="42"/>
  <c r="AB10" i="42"/>
  <c r="GY69" i="54" l="1"/>
  <c r="GY22" i="54"/>
  <c r="GX49" i="54"/>
  <c r="GY49" i="54" s="1"/>
  <c r="EY54" i="54"/>
  <c r="GY38" i="54"/>
  <c r="AJ3" i="40" a="1"/>
  <c r="AJ3" i="40" s="1"/>
  <c r="BF9" i="10" s="1"/>
  <c r="GX72" i="54"/>
  <c r="GY72" i="54" s="1"/>
  <c r="GY55" i="54"/>
  <c r="FL67" i="54"/>
  <c r="FE67" i="54"/>
  <c r="FI67" i="54" s="1"/>
  <c r="EQ67" i="54"/>
  <c r="EY71" i="54"/>
  <c r="GY40" i="54"/>
  <c r="G8" i="57"/>
  <c r="C16" i="57"/>
  <c r="G7" i="57" s="1"/>
  <c r="G9" i="57"/>
  <c r="G12" i="57"/>
  <c r="EM35" i="54"/>
  <c r="EN35" i="54" s="1"/>
  <c r="EP35" i="54" s="1"/>
  <c r="GX63" i="54"/>
  <c r="GR61" i="54"/>
  <c r="GX61" i="54" s="1"/>
  <c r="EZ61" i="54"/>
  <c r="DG62" i="54"/>
  <c r="DH62" i="54" s="1"/>
  <c r="DJ62" i="54" s="1" a="1"/>
  <c r="DJ62" i="54" s="1"/>
  <c r="FG62" i="54"/>
  <c r="FF62" i="54"/>
  <c r="EK63" i="54"/>
  <c r="EL62" i="54"/>
  <c r="EM62" i="54" s="1"/>
  <c r="GF26" i="54"/>
  <c r="EK26" i="54"/>
  <c r="EL26" i="54"/>
  <c r="EY70" i="54"/>
  <c r="GF24" i="54"/>
  <c r="EL24" i="54"/>
  <c r="EK24" i="54"/>
  <c r="EM21" i="54"/>
  <c r="EE21" i="54"/>
  <c r="AO3" i="40" s="1" a="1"/>
  <c r="AO3" i="40" s="1"/>
  <c r="AA3" i="40" a="1"/>
  <c r="AA3" i="40" s="1"/>
  <c r="AD10" i="53"/>
  <c r="C26" i="59" s="1"/>
  <c r="CM69" i="54"/>
  <c r="CM22" i="54"/>
  <c r="CM43" i="54"/>
  <c r="CM38" i="54"/>
  <c r="CM59" i="54"/>
  <c r="CM49" i="54"/>
  <c r="CM34" i="54"/>
  <c r="CM48" i="54"/>
  <c r="CM32" i="54"/>
  <c r="CM37" i="54"/>
  <c r="CM64" i="54"/>
  <c r="CM65" i="54"/>
  <c r="CM33" i="54"/>
  <c r="CM66" i="54"/>
  <c r="CM53" i="54"/>
  <c r="CM50" i="54"/>
  <c r="CM68" i="54"/>
  <c r="CM72" i="54"/>
  <c r="CM36" i="54"/>
  <c r="CM67" i="54"/>
  <c r="CM29" i="54"/>
  <c r="CM39" i="54"/>
  <c r="CM26" i="54"/>
  <c r="CM63" i="54"/>
  <c r="CM31" i="54"/>
  <c r="CM44" i="54"/>
  <c r="CM42" i="54"/>
  <c r="CM55" i="54"/>
  <c r="CM70" i="54"/>
  <c r="CM57" i="54"/>
  <c r="CM45" i="54"/>
  <c r="CM51" i="54"/>
  <c r="CM35" i="54"/>
  <c r="CM46" i="54"/>
  <c r="CM56" i="54"/>
  <c r="CM23" i="54"/>
  <c r="CM41" i="54"/>
  <c r="CM47" i="54"/>
  <c r="CM58" i="54"/>
  <c r="CM27" i="54"/>
  <c r="CM28" i="54"/>
  <c r="CM54" i="54"/>
  <c r="CM30" i="54"/>
  <c r="CM21" i="54"/>
  <c r="CM61" i="54"/>
  <c r="CM60" i="54"/>
  <c r="CM71" i="54"/>
  <c r="CM24" i="54"/>
  <c r="CM62" i="54"/>
  <c r="CM25" i="54"/>
  <c r="CM40" i="54"/>
  <c r="CM52" i="54"/>
  <c r="GF49" i="54"/>
  <c r="EL49" i="54"/>
  <c r="EM49" i="54" s="1"/>
  <c r="EN49" i="54" s="1"/>
  <c r="EP49" i="54" s="1"/>
  <c r="EK49" i="54"/>
  <c r="GR25" i="54"/>
  <c r="EY55" i="54"/>
  <c r="GX68" i="54"/>
  <c r="GX31" i="54"/>
  <c r="GY31" i="54" s="1"/>
  <c r="GF39" i="54"/>
  <c r="EK39" i="54"/>
  <c r="EL39" i="54"/>
  <c r="GF29" i="54"/>
  <c r="EL29" i="54"/>
  <c r="EK29" i="54"/>
  <c r="GR37" i="54"/>
  <c r="EY37" i="54"/>
  <c r="GR42" i="54"/>
  <c r="EK23" i="54"/>
  <c r="EL23" i="54"/>
  <c r="GF23" i="54"/>
  <c r="EV68" i="54"/>
  <c r="EU68" i="54"/>
  <c r="GU68" i="54" s="1"/>
  <c r="ET69" i="54"/>
  <c r="CY30" i="54"/>
  <c r="CZ29" i="54"/>
  <c r="GF46" i="54"/>
  <c r="EK46" i="54"/>
  <c r="EL46" i="54"/>
  <c r="DS58" i="54"/>
  <c r="EX58" i="54"/>
  <c r="EY68" i="54" s="1"/>
  <c r="C7" i="59"/>
  <c r="CO42" i="54"/>
  <c r="CO40" i="54"/>
  <c r="CO43" i="54"/>
  <c r="CO53" i="54"/>
  <c r="CO41" i="54"/>
  <c r="CO21" i="54"/>
  <c r="CO72" i="54"/>
  <c r="CO38" i="54"/>
  <c r="CO48" i="54"/>
  <c r="CO60" i="54"/>
  <c r="CO37" i="54"/>
  <c r="CO34" i="54"/>
  <c r="CO33" i="54"/>
  <c r="CO52" i="54"/>
  <c r="CO32" i="54"/>
  <c r="CO35" i="54"/>
  <c r="CO66" i="54"/>
  <c r="CO30" i="54"/>
  <c r="CO63" i="54"/>
  <c r="CO31" i="54"/>
  <c r="CO24" i="54"/>
  <c r="CO57" i="54"/>
  <c r="CO28" i="54"/>
  <c r="CO62" i="54"/>
  <c r="CO36" i="54"/>
  <c r="CO45" i="54"/>
  <c r="CO44" i="54"/>
  <c r="CO64" i="54"/>
  <c r="CO46" i="54"/>
  <c r="CO69" i="54"/>
  <c r="CO49" i="54"/>
  <c r="CO67" i="54"/>
  <c r="CO68" i="54"/>
  <c r="CO51" i="54"/>
  <c r="CO23" i="54"/>
  <c r="CO50" i="54"/>
  <c r="CO55" i="54"/>
  <c r="CO58" i="54"/>
  <c r="CO39" i="54"/>
  <c r="CO70" i="54"/>
  <c r="CO54" i="54"/>
  <c r="CO71" i="54"/>
  <c r="CO27" i="54"/>
  <c r="CO56" i="54"/>
  <c r="CO26" i="54"/>
  <c r="CO61" i="54"/>
  <c r="CO29" i="54"/>
  <c r="CO59" i="54"/>
  <c r="CO65" i="54"/>
  <c r="CO25" i="54"/>
  <c r="CO22" i="54"/>
  <c r="CO47" i="54"/>
  <c r="EM30" i="54"/>
  <c r="EN30" i="54" s="1"/>
  <c r="EP30" i="54" s="1"/>
  <c r="GF33" i="54"/>
  <c r="EK33" i="54"/>
  <c r="EL33" i="54"/>
  <c r="GS21" i="54"/>
  <c r="GF32" i="54"/>
  <c r="EK32" i="54"/>
  <c r="EL32" i="54"/>
  <c r="GR64" i="54"/>
  <c r="GF31" i="54"/>
  <c r="EK31" i="54"/>
  <c r="EL31" i="54"/>
  <c r="GF38" i="54"/>
  <c r="EK38" i="54"/>
  <c r="EL38" i="54"/>
  <c r="Y10" i="53"/>
  <c r="GS22" i="54"/>
  <c r="GR47" i="54"/>
  <c r="GB6" i="54"/>
  <c r="GR66" i="54"/>
  <c r="GX66" i="54" s="1"/>
  <c r="GY66" i="54" s="1"/>
  <c r="FF68" i="54"/>
  <c r="FG68" i="54"/>
  <c r="DG68" i="54"/>
  <c r="DH68" i="54" s="1"/>
  <c r="DJ68" i="54" s="1" a="1"/>
  <c r="DJ68" i="54" s="1"/>
  <c r="EL68" i="54"/>
  <c r="EM68" i="54" s="1"/>
  <c r="EK69" i="54"/>
  <c r="GR33" i="54"/>
  <c r="GX33" i="54"/>
  <c r="GY33" i="54" s="1"/>
  <c r="W9" i="42"/>
  <c r="AT3" i="40" a="1"/>
  <c r="AT3" i="40" s="1"/>
  <c r="GR43" i="54"/>
  <c r="GX43" i="54" s="1"/>
  <c r="GY43" i="54" s="1"/>
  <c r="GR27" i="54"/>
  <c r="GX27" i="54" s="1"/>
  <c r="GY27" i="54" s="1"/>
  <c r="GR56" i="54"/>
  <c r="EY56" i="54"/>
  <c r="GY63" i="54"/>
  <c r="GR48" i="54"/>
  <c r="EY48" i="54"/>
  <c r="GF47" i="54"/>
  <c r="EL47" i="54"/>
  <c r="EK47" i="54"/>
  <c r="GR23" i="54"/>
  <c r="GS23" i="54" s="1"/>
  <c r="GX23" i="54"/>
  <c r="GY23" i="54" s="1"/>
  <c r="EY36" i="54"/>
  <c r="GY28" i="54"/>
  <c r="GR51" i="54"/>
  <c r="GX51" i="54"/>
  <c r="GY51" i="54" s="1"/>
  <c r="EY51" i="54"/>
  <c r="GR65" i="54"/>
  <c r="EY65" i="54"/>
  <c r="GR53" i="54"/>
  <c r="GX53" i="54" s="1"/>
  <c r="EY53" i="54"/>
  <c r="GF44" i="54"/>
  <c r="EK44" i="54"/>
  <c r="EL44" i="54"/>
  <c r="GX24" i="54"/>
  <c r="GY24" i="54" s="1"/>
  <c r="GF55" i="54"/>
  <c r="EL55" i="54"/>
  <c r="EM55" i="54" s="1"/>
  <c r="EN55" i="54" s="1"/>
  <c r="EP55" i="54" s="1"/>
  <c r="EK55" i="54"/>
  <c r="EK56" i="54" s="1"/>
  <c r="GF28" i="54"/>
  <c r="EK28" i="54"/>
  <c r="EL28" i="54"/>
  <c r="GF65" i="54"/>
  <c r="EL65" i="54"/>
  <c r="EM65" i="54" s="1"/>
  <c r="EN65" i="54" s="1"/>
  <c r="EP65" i="54" s="1"/>
  <c r="EK65" i="54"/>
  <c r="EK66" i="54" s="1"/>
  <c r="EZ66" i="54" s="1"/>
  <c r="C15" i="57"/>
  <c r="H15" i="57"/>
  <c r="G15" i="57"/>
  <c r="I15" i="57" s="1"/>
  <c r="J15" i="57" s="1"/>
  <c r="FE61" i="54"/>
  <c r="FI61" i="54" s="1"/>
  <c r="FL61" i="54"/>
  <c r="EQ61" i="54"/>
  <c r="GX29" i="54"/>
  <c r="GY29" i="54" s="1"/>
  <c r="EY57" i="54"/>
  <c r="GF51" i="54"/>
  <c r="EK51" i="54"/>
  <c r="EK52" i="54" s="1"/>
  <c r="EL51" i="54"/>
  <c r="EM51" i="54" s="1"/>
  <c r="EN51" i="54" s="1"/>
  <c r="EP51" i="54" s="1"/>
  <c r="GR39" i="54"/>
  <c r="GX39" i="54" s="1"/>
  <c r="GR62" i="54"/>
  <c r="GX62" i="54" s="1"/>
  <c r="EY62" i="54"/>
  <c r="EZ62" i="54"/>
  <c r="GF48" i="54"/>
  <c r="EL48" i="54"/>
  <c r="EM48" i="54" s="1"/>
  <c r="EN48" i="54" s="1"/>
  <c r="EP48" i="54" s="1"/>
  <c r="EK48" i="54"/>
  <c r="EM43" i="54"/>
  <c r="EN43" i="54" s="1"/>
  <c r="EP43" i="54" s="1"/>
  <c r="GX35" i="54"/>
  <c r="GY35" i="54" s="1"/>
  <c r="DS59" i="54"/>
  <c r="Q3" i="40" s="1" a="1"/>
  <c r="Q3" i="40" s="1"/>
  <c r="EX59" i="54"/>
  <c r="EK22" i="54"/>
  <c r="GY44" i="54"/>
  <c r="GR67" i="54"/>
  <c r="GX67" i="54" s="1"/>
  <c r="GY67" i="54" s="1"/>
  <c r="EM27" i="54"/>
  <c r="EN27" i="54" s="1"/>
  <c r="EP27" i="54" s="1"/>
  <c r="GF25" i="54"/>
  <c r="EL25" i="54"/>
  <c r="EK25" i="54"/>
  <c r="EL36" i="54"/>
  <c r="EM36" i="54" s="1"/>
  <c r="EN36" i="54" s="1"/>
  <c r="EP36" i="54" s="1"/>
  <c r="GF36" i="54"/>
  <c r="EK36" i="54"/>
  <c r="EU8" i="54"/>
  <c r="EV8" i="54"/>
  <c r="ET9" i="54"/>
  <c r="FQ3" i="54"/>
  <c r="GR32" i="54"/>
  <c r="GX32" i="54" s="1"/>
  <c r="EM42" i="54"/>
  <c r="EN42" i="54" s="1"/>
  <c r="EP42" i="54" s="1"/>
  <c r="FC67" i="54"/>
  <c r="EZ67" i="54"/>
  <c r="FA67" i="54"/>
  <c r="GB67" i="54" s="1"/>
  <c r="EW67" i="54"/>
  <c r="GY60" i="54"/>
  <c r="EY52" i="54"/>
  <c r="GF37" i="54"/>
  <c r="EL37" i="54"/>
  <c r="EM37" i="54" s="1"/>
  <c r="EN37" i="54" s="1"/>
  <c r="EP37" i="54" s="1"/>
  <c r="EK37" i="54"/>
  <c r="GF50" i="54"/>
  <c r="EK50" i="54"/>
  <c r="EL50" i="54"/>
  <c r="EM50" i="54" s="1"/>
  <c r="EN50" i="54" s="1"/>
  <c r="EP50" i="54" s="1"/>
  <c r="GF45" i="54"/>
  <c r="EL45" i="54"/>
  <c r="EK45" i="54"/>
  <c r="GX60" i="54"/>
  <c r="GX40" i="54"/>
  <c r="GY21" i="54"/>
  <c r="EM34" i="54"/>
  <c r="EN34" i="54" s="1"/>
  <c r="EP34" i="54" s="1"/>
  <c r="GX45" i="54"/>
  <c r="GY45" i="54" s="1"/>
  <c r="EU54" i="54"/>
  <c r="GU54" i="54" s="1"/>
  <c r="ET55" i="54"/>
  <c r="C79" i="56"/>
  <c r="H78" i="56" a="1"/>
  <c r="H78" i="56" s="1"/>
  <c r="C76" i="56" a="1"/>
  <c r="C76" i="56" s="1"/>
  <c r="C75" i="56" a="1"/>
  <c r="C75" i="56" s="1"/>
  <c r="C77" i="56" a="1"/>
  <c r="C77" i="56" s="1"/>
  <c r="C78" i="56" a="1"/>
  <c r="C78" i="56" s="1"/>
  <c r="AD3" i="56" a="1"/>
  <c r="AD3" i="56" s="1"/>
  <c r="H79" i="56" s="1" a="1"/>
  <c r="H79" i="56" s="1"/>
  <c r="GV6" i="54"/>
  <c r="AR6" i="54"/>
  <c r="X8" i="42"/>
  <c r="EM41" i="54"/>
  <c r="EN41" i="54" s="1"/>
  <c r="EP41" i="54" s="1"/>
  <c r="EY49" i="54"/>
  <c r="GY30" i="54"/>
  <c r="GR50" i="54"/>
  <c r="EY50" i="54"/>
  <c r="Z3" i="40" a="1"/>
  <c r="Z3" i="40" s="1"/>
  <c r="AC10" i="53"/>
  <c r="CK22" i="54"/>
  <c r="CL22" i="54" s="1"/>
  <c r="FH22" i="54" s="1"/>
  <c r="FJ22" i="54" s="1"/>
  <c r="CK43" i="54"/>
  <c r="CL43" i="54" s="1"/>
  <c r="FH43" i="54" s="1"/>
  <c r="FJ43" i="54" s="1"/>
  <c r="CK49" i="54"/>
  <c r="CL49" i="54" s="1"/>
  <c r="FH49" i="54" s="1"/>
  <c r="FJ49" i="54" s="1"/>
  <c r="CK32" i="54"/>
  <c r="CL32" i="54" s="1"/>
  <c r="FH32" i="54" s="1"/>
  <c r="FJ32" i="54" s="1"/>
  <c r="CK65" i="54"/>
  <c r="CL65" i="54" s="1"/>
  <c r="FH65" i="54" s="1"/>
  <c r="FJ65" i="54" s="1"/>
  <c r="CK29" i="54"/>
  <c r="CL29" i="54" s="1"/>
  <c r="FH29" i="54" s="1"/>
  <c r="FJ29" i="54" s="1"/>
  <c r="CK39" i="54"/>
  <c r="CL39" i="54" s="1"/>
  <c r="FH39" i="54" s="1"/>
  <c r="FJ39" i="54" s="1"/>
  <c r="CK33" i="54"/>
  <c r="CL33" i="54" s="1"/>
  <c r="FH33" i="54" s="1"/>
  <c r="FJ33" i="54" s="1"/>
  <c r="CK62" i="54"/>
  <c r="CL62" i="54" s="1"/>
  <c r="FH62" i="54" s="1"/>
  <c r="FJ62" i="54" s="1"/>
  <c r="CK21" i="54"/>
  <c r="CL21" i="54" s="1"/>
  <c r="FH21" i="54" s="1"/>
  <c r="FJ21" i="54" s="1"/>
  <c r="CK30" i="54"/>
  <c r="CL30" i="54" s="1"/>
  <c r="FH30" i="54" s="1"/>
  <c r="FJ30" i="54" s="1"/>
  <c r="CK70" i="54"/>
  <c r="CL70" i="54" s="1"/>
  <c r="FH70" i="54" s="1"/>
  <c r="FJ70" i="54" s="1"/>
  <c r="CK46" i="54"/>
  <c r="CL46" i="54" s="1"/>
  <c r="FH46" i="54" s="1"/>
  <c r="FJ46" i="54" s="1"/>
  <c r="CK51" i="54"/>
  <c r="CL51" i="54" s="1"/>
  <c r="FH51" i="54" s="1"/>
  <c r="FJ51" i="54" s="1"/>
  <c r="CK56" i="54"/>
  <c r="CL56" i="54" s="1"/>
  <c r="FH56" i="54" s="1"/>
  <c r="FJ56" i="54" s="1"/>
  <c r="CK31" i="54"/>
  <c r="CL31" i="54" s="1"/>
  <c r="FH31" i="54" s="1"/>
  <c r="FJ31" i="54" s="1"/>
  <c r="CK52" i="54"/>
  <c r="CL52" i="54" s="1"/>
  <c r="FH52" i="54" s="1"/>
  <c r="FJ52" i="54" s="1"/>
  <c r="CK23" i="54"/>
  <c r="CL23" i="54" s="1"/>
  <c r="FH23" i="54" s="1"/>
  <c r="FJ23" i="54" s="1"/>
  <c r="CK26" i="54"/>
  <c r="CL26" i="54" s="1"/>
  <c r="FH26" i="54" s="1"/>
  <c r="FJ26" i="54" s="1"/>
  <c r="CK66" i="54"/>
  <c r="CL66" i="54" s="1"/>
  <c r="FH66" i="54" s="1"/>
  <c r="FJ66" i="54" s="1"/>
  <c r="CK64" i="54"/>
  <c r="CL64" i="54" s="1"/>
  <c r="FH64" i="54" s="1"/>
  <c r="FJ64" i="54" s="1"/>
  <c r="CK68" i="54"/>
  <c r="CL68" i="54" s="1"/>
  <c r="FH68" i="54" s="1"/>
  <c r="FJ68" i="54" s="1"/>
  <c r="CK41" i="54"/>
  <c r="CL41" i="54" s="1"/>
  <c r="FH41" i="54" s="1"/>
  <c r="FJ41" i="54" s="1"/>
  <c r="CK53" i="54"/>
  <c r="CL53" i="54" s="1"/>
  <c r="FH53" i="54" s="1"/>
  <c r="FJ53" i="54" s="1"/>
  <c r="CK58" i="54"/>
  <c r="CL58" i="54" s="1"/>
  <c r="FH58" i="54" s="1"/>
  <c r="FJ58" i="54" s="1"/>
  <c r="CK61" i="54"/>
  <c r="CL61" i="54" s="1"/>
  <c r="FH61" i="54" s="1"/>
  <c r="FJ61" i="54" s="1"/>
  <c r="CK60" i="54"/>
  <c r="CL60" i="54" s="1"/>
  <c r="FH60" i="54" s="1"/>
  <c r="FJ60" i="54" s="1"/>
  <c r="CK36" i="54"/>
  <c r="CL36" i="54" s="1"/>
  <c r="FH36" i="54" s="1"/>
  <c r="FJ36" i="54" s="1"/>
  <c r="CK54" i="54"/>
  <c r="CL54" i="54" s="1"/>
  <c r="FH54" i="54" s="1"/>
  <c r="FJ54" i="54" s="1"/>
  <c r="CK40" i="54"/>
  <c r="CL40" i="54" s="1"/>
  <c r="FH40" i="54" s="1"/>
  <c r="FJ40" i="54" s="1"/>
  <c r="CK35" i="54"/>
  <c r="CL35" i="54" s="1"/>
  <c r="FH35" i="54" s="1"/>
  <c r="FJ35" i="54" s="1"/>
  <c r="CK25" i="54"/>
  <c r="CL25" i="54" s="1"/>
  <c r="FH25" i="54" s="1"/>
  <c r="FJ25" i="54" s="1"/>
  <c r="CK69" i="54"/>
  <c r="CL69" i="54" s="1"/>
  <c r="FH69" i="54" s="1"/>
  <c r="FJ69" i="54" s="1"/>
  <c r="CK27" i="54"/>
  <c r="CL27" i="54" s="1"/>
  <c r="FH27" i="54" s="1"/>
  <c r="FJ27" i="54" s="1"/>
  <c r="CK34" i="54"/>
  <c r="CL34" i="54" s="1"/>
  <c r="FH34" i="54" s="1"/>
  <c r="FJ34" i="54" s="1"/>
  <c r="CK63" i="54"/>
  <c r="CL63" i="54" s="1"/>
  <c r="FH63" i="54" s="1"/>
  <c r="FJ63" i="54" s="1"/>
  <c r="CK47" i="54"/>
  <c r="CL47" i="54" s="1"/>
  <c r="FH47" i="54" s="1"/>
  <c r="FJ47" i="54" s="1"/>
  <c r="CK42" i="54"/>
  <c r="CL42" i="54" s="1"/>
  <c r="FH42" i="54" s="1"/>
  <c r="FJ42" i="54" s="1"/>
  <c r="CK59" i="54"/>
  <c r="CL59" i="54" s="1"/>
  <c r="FH59" i="54" s="1"/>
  <c r="FJ59" i="54" s="1"/>
  <c r="CK57" i="54"/>
  <c r="CL57" i="54" s="1"/>
  <c r="FH57" i="54" s="1"/>
  <c r="FJ57" i="54" s="1"/>
  <c r="CK55" i="54"/>
  <c r="CL55" i="54" s="1"/>
  <c r="FH55" i="54" s="1"/>
  <c r="FJ55" i="54" s="1"/>
  <c r="CK28" i="54"/>
  <c r="CL28" i="54" s="1"/>
  <c r="FH28" i="54" s="1"/>
  <c r="FJ28" i="54" s="1"/>
  <c r="CK44" i="54"/>
  <c r="CL44" i="54" s="1"/>
  <c r="FH44" i="54" s="1"/>
  <c r="FJ44" i="54" s="1"/>
  <c r="CK24" i="54"/>
  <c r="CL24" i="54" s="1"/>
  <c r="FH24" i="54" s="1"/>
  <c r="FJ24" i="54" s="1"/>
  <c r="CK48" i="54"/>
  <c r="CL48" i="54" s="1"/>
  <c r="FH48" i="54" s="1"/>
  <c r="FJ48" i="54" s="1"/>
  <c r="CK72" i="54"/>
  <c r="CL72" i="54" s="1"/>
  <c r="FH72" i="54" s="1"/>
  <c r="FJ72" i="54" s="1"/>
  <c r="CK45" i="54"/>
  <c r="CL45" i="54" s="1"/>
  <c r="FH45" i="54" s="1"/>
  <c r="FJ45" i="54" s="1"/>
  <c r="CK71" i="54"/>
  <c r="CL71" i="54" s="1"/>
  <c r="FH71" i="54" s="1"/>
  <c r="FJ71" i="54" s="1"/>
  <c r="CK38" i="54"/>
  <c r="CL38" i="54" s="1"/>
  <c r="FH38" i="54" s="1"/>
  <c r="FJ38" i="54" s="1"/>
  <c r="CK50" i="54"/>
  <c r="CL50" i="54" s="1"/>
  <c r="FH50" i="54" s="1"/>
  <c r="FJ50" i="54" s="1"/>
  <c r="CK67" i="54"/>
  <c r="CL67" i="54" s="1"/>
  <c r="FH67" i="54" s="1"/>
  <c r="FJ67" i="54" s="1"/>
  <c r="CK37" i="54"/>
  <c r="CL37" i="54" s="1"/>
  <c r="FH37" i="54" s="1"/>
  <c r="FJ37" i="54" s="1"/>
  <c r="GR41" i="54"/>
  <c r="GX46" i="54"/>
  <c r="GY46" i="54" s="1"/>
  <c r="GX57" i="54"/>
  <c r="GY57" i="54" s="1"/>
  <c r="GF40" i="54"/>
  <c r="EK40" i="54"/>
  <c r="EL40" i="54"/>
  <c r="GF71" i="54"/>
  <c r="EL71" i="54"/>
  <c r="EM71" i="54" s="1"/>
  <c r="EN71" i="54" s="1"/>
  <c r="EP71" i="54" s="1"/>
  <c r="EK71" i="54"/>
  <c r="EK72" i="54" s="1"/>
  <c r="GC7" i="54"/>
  <c r="EW7" i="54"/>
  <c r="FC7" i="54"/>
  <c r="EZ7" i="54"/>
  <c r="FA7" i="54"/>
  <c r="GB7" i="54" s="1"/>
  <c r="Y18" i="42"/>
  <c r="Z10" i="42" s="1"/>
  <c r="AD103" i="42"/>
  <c r="AD239" i="42"/>
  <c r="AD195" i="42"/>
  <c r="AD197" i="42"/>
  <c r="AD265" i="42"/>
  <c r="AD96" i="42"/>
  <c r="AD161" i="42"/>
  <c r="AD493" i="42"/>
  <c r="AD151" i="42"/>
  <c r="AD188" i="42"/>
  <c r="AD140" i="42"/>
  <c r="AD150" i="42"/>
  <c r="AD311" i="42"/>
  <c r="AD219" i="42"/>
  <c r="AD33" i="42"/>
  <c r="AD333" i="42"/>
  <c r="AD452" i="42"/>
  <c r="AD99" i="42"/>
  <c r="AD233" i="42"/>
  <c r="AD17" i="42"/>
  <c r="AD467" i="42"/>
  <c r="AD190" i="42"/>
  <c r="AD115" i="42"/>
  <c r="AD92" i="42"/>
  <c r="AD125" i="42"/>
  <c r="AD248" i="42"/>
  <c r="AD158" i="42"/>
  <c r="AD152" i="42"/>
  <c r="AD391" i="42"/>
  <c r="AD417" i="42"/>
  <c r="AD462" i="42"/>
  <c r="AD110" i="42"/>
  <c r="AD357" i="42"/>
  <c r="AD166" i="42"/>
  <c r="AD81" i="42"/>
  <c r="AD258" i="42"/>
  <c r="AD367" i="42"/>
  <c r="AD90" i="42"/>
  <c r="AD341" i="42"/>
  <c r="AD221" i="42"/>
  <c r="AD348" i="42"/>
  <c r="AD259" i="42"/>
  <c r="AD381" i="42"/>
  <c r="AD209" i="42"/>
  <c r="AD457" i="42"/>
  <c r="AD392" i="42"/>
  <c r="AD385" i="42"/>
  <c r="AD376" i="42"/>
  <c r="AD339" i="42"/>
  <c r="AD55" i="42"/>
  <c r="AD251" i="42"/>
  <c r="AD74" i="42"/>
  <c r="AD327" i="42"/>
  <c r="AD20" i="42"/>
  <c r="AD47" i="42"/>
  <c r="AD275" i="42"/>
  <c r="AD64" i="42"/>
  <c r="AD488" i="42"/>
  <c r="AD164" i="42"/>
  <c r="AD87" i="42"/>
  <c r="AD12" i="42"/>
  <c r="AD482" i="42"/>
  <c r="AD330" i="42"/>
  <c r="AD236" i="42"/>
  <c r="AD210" i="42"/>
  <c r="AD61" i="42"/>
  <c r="AD463" i="42"/>
  <c r="AD232" i="42"/>
  <c r="AD362" i="42"/>
  <c r="AD50" i="42"/>
  <c r="AD415" i="42"/>
  <c r="AD326" i="42"/>
  <c r="AD286" i="42"/>
  <c r="AD220" i="42"/>
  <c r="AD388" i="42"/>
  <c r="AD252" i="42"/>
  <c r="AD182" i="42"/>
  <c r="AD260" i="42"/>
  <c r="AD93" i="42"/>
  <c r="AD85" i="42"/>
  <c r="AD323" i="42"/>
  <c r="AD484" i="42"/>
  <c r="AD382" i="42"/>
  <c r="AD118" i="42"/>
  <c r="AD351" i="42"/>
  <c r="AD322" i="42"/>
  <c r="AD423" i="42"/>
  <c r="AD353" i="42"/>
  <c r="AD263" i="42"/>
  <c r="AD363" i="42"/>
  <c r="AD69" i="42"/>
  <c r="AD435" i="42"/>
  <c r="AD302" i="42"/>
  <c r="AD94" i="42"/>
  <c r="AD235" i="42"/>
  <c r="AD418" i="42"/>
  <c r="AD159" i="42"/>
  <c r="AD441" i="42"/>
  <c r="AD358" i="42"/>
  <c r="AD284" i="42"/>
  <c r="AD22" i="42"/>
  <c r="AD194" i="42"/>
  <c r="AD288" i="42"/>
  <c r="AD35" i="42"/>
  <c r="AD273" i="42"/>
  <c r="AD183" i="42"/>
  <c r="AD36" i="42"/>
  <c r="AD316" i="42"/>
  <c r="AD203" i="42"/>
  <c r="AD414" i="42"/>
  <c r="AD491" i="42"/>
  <c r="AD228" i="42"/>
  <c r="AD390" i="42"/>
  <c r="AD397" i="42"/>
  <c r="AD89" i="42"/>
  <c r="AD406" i="42"/>
  <c r="AD375" i="42"/>
  <c r="AD256" i="42"/>
  <c r="AD19" i="42"/>
  <c r="AD466" i="42"/>
  <c r="AD136" i="42"/>
  <c r="AD379" i="42"/>
  <c r="AD137" i="42"/>
  <c r="AD40" i="42"/>
  <c r="AD218" i="42"/>
  <c r="AD226" i="42"/>
  <c r="AD287" i="42"/>
  <c r="AD162" i="42"/>
  <c r="AD310" i="42"/>
  <c r="AD477" i="42"/>
  <c r="AD212" i="42"/>
  <c r="AD483" i="42"/>
  <c r="AD460" i="42"/>
  <c r="AD470" i="42"/>
  <c r="AD216" i="42"/>
  <c r="AD172" i="42"/>
  <c r="AD430" i="42"/>
  <c r="AD468" i="42"/>
  <c r="AD485" i="42"/>
  <c r="AD76" i="42"/>
  <c r="AD189" i="42"/>
  <c r="AD243" i="42"/>
  <c r="AD32" i="42"/>
  <c r="AD454" i="42"/>
  <c r="AD495" i="42"/>
  <c r="AD307" i="42"/>
  <c r="AD143" i="42"/>
  <c r="AD459" i="42"/>
  <c r="AD199" i="42"/>
  <c r="AD487" i="42"/>
  <c r="AD267" i="42"/>
  <c r="AD245" i="42"/>
  <c r="AD271" i="42"/>
  <c r="AD407" i="42"/>
  <c r="AD313" i="42"/>
  <c r="AD438" i="42"/>
  <c r="AD123" i="42"/>
  <c r="AD114" i="42"/>
  <c r="AD445" i="42"/>
  <c r="AD108" i="42"/>
  <c r="AD45" i="42"/>
  <c r="AD173" i="42"/>
  <c r="AD84" i="42"/>
  <c r="AD431" i="42"/>
  <c r="AD361" i="42"/>
  <c r="AD70" i="42"/>
  <c r="AD98" i="42"/>
  <c r="AD181" i="42"/>
  <c r="AD368" i="42"/>
  <c r="AD337" i="42"/>
  <c r="AD112" i="42"/>
  <c r="AD178" i="42"/>
  <c r="AD126" i="42"/>
  <c r="AD448" i="42"/>
  <c r="AD409" i="42"/>
  <c r="AD471" i="42"/>
  <c r="AD278" i="42"/>
  <c r="AD14" i="42"/>
  <c r="AD82" i="42"/>
  <c r="AD204" i="42"/>
  <c r="AD276" i="42"/>
  <c r="AD187" i="42"/>
  <c r="AD270" i="42"/>
  <c r="AD298" i="42"/>
  <c r="AD128" i="42"/>
  <c r="AA30" i="42"/>
  <c r="AB12" i="42" s="1"/>
  <c r="AD249" i="42"/>
  <c r="AD400" i="42"/>
  <c r="AD334" i="42"/>
  <c r="AD160" i="42"/>
  <c r="AD274" i="42"/>
  <c r="AD439" i="42"/>
  <c r="AD496" i="42"/>
  <c r="AD408" i="42"/>
  <c r="AB11" i="42"/>
  <c r="AD306" i="42"/>
  <c r="AD56" i="42"/>
  <c r="AD23" i="42"/>
  <c r="AD26" i="42"/>
  <c r="AD280" i="42"/>
  <c r="AD347" i="42"/>
  <c r="AD340" i="42"/>
  <c r="AD398" i="42"/>
  <c r="AD386" i="42"/>
  <c r="AD365" i="42"/>
  <c r="AD377" i="42"/>
  <c r="AD473" i="42"/>
  <c r="AD478" i="42"/>
  <c r="AD133" i="42"/>
  <c r="AD492" i="42"/>
  <c r="AD200" i="42"/>
  <c r="AD440" i="42"/>
  <c r="AD291" i="42"/>
  <c r="AD31" i="42"/>
  <c r="AD399" i="42"/>
  <c r="AD207" i="42"/>
  <c r="AD122" i="42"/>
  <c r="AD254" i="42"/>
  <c r="AD142" i="42"/>
  <c r="AD49" i="42"/>
  <c r="AD174" i="42"/>
  <c r="AD86" i="42"/>
  <c r="AD383" i="42"/>
  <c r="AD428" i="42"/>
  <c r="AD486" i="42"/>
  <c r="AD169" i="42"/>
  <c r="AD328" i="42"/>
  <c r="AD66" i="42"/>
  <c r="AD139" i="42"/>
  <c r="AD335" i="42"/>
  <c r="AD405" i="42"/>
  <c r="AD192" i="42"/>
  <c r="AD54" i="42"/>
  <c r="AD497" i="42"/>
  <c r="AD359" i="42"/>
  <c r="AD147" i="42"/>
  <c r="AD421" i="42"/>
  <c r="AD420" i="42"/>
  <c r="AD127" i="42"/>
  <c r="AD262" i="42"/>
  <c r="AD229" i="42"/>
  <c r="AD134" i="42"/>
  <c r="AD58" i="42"/>
  <c r="AD308" i="42"/>
  <c r="AD268" i="42"/>
  <c r="AD309" i="42"/>
  <c r="AD434" i="42"/>
  <c r="AD432" i="42"/>
  <c r="AD141" i="42"/>
  <c r="AD106" i="42"/>
  <c r="AD145" i="42"/>
  <c r="AD149" i="42"/>
  <c r="AD44" i="42"/>
  <c r="AD450" i="42"/>
  <c r="AD237" i="42"/>
  <c r="AD176" i="42"/>
  <c r="AD422" i="42"/>
  <c r="AD111" i="42"/>
  <c r="AD231" i="42"/>
  <c r="AD364" i="42"/>
  <c r="AD205" i="42"/>
  <c r="AD53" i="42"/>
  <c r="AD279" i="42"/>
  <c r="AD332" i="42"/>
  <c r="AD394" i="42"/>
  <c r="AD177" i="42"/>
  <c r="AD30" i="42"/>
  <c r="AD297" i="42"/>
  <c r="AD294" i="42"/>
  <c r="AD331" i="42"/>
  <c r="AD479" i="42"/>
  <c r="AD352" i="42"/>
  <c r="AD208" i="42"/>
  <c r="AD224" i="42"/>
  <c r="AD474" i="42"/>
  <c r="AD246" i="42"/>
  <c r="AD384" i="42"/>
  <c r="AD193" i="42"/>
  <c r="AD261" i="42"/>
  <c r="AD13" i="42"/>
  <c r="AD105" i="42"/>
  <c r="AD404" i="42"/>
  <c r="AD285" i="42"/>
  <c r="AD191" i="42"/>
  <c r="AD312" i="42"/>
  <c r="AD345" i="42"/>
  <c r="AD469" i="42"/>
  <c r="AD21" i="42"/>
  <c r="AD292" i="42"/>
  <c r="AD372" i="42"/>
  <c r="AD329" i="42"/>
  <c r="AD217" i="42"/>
  <c r="AD242" i="42"/>
  <c r="AD59" i="42"/>
  <c r="AD303" i="42"/>
  <c r="AD366" i="42"/>
  <c r="AD250" i="42"/>
  <c r="AD100" i="42"/>
  <c r="AD403" i="42"/>
  <c r="AD107" i="42"/>
  <c r="AD80" i="42"/>
  <c r="AD119" i="42"/>
  <c r="AD272" i="42"/>
  <c r="AD163" i="42"/>
  <c r="AD124" i="42"/>
  <c r="AD121" i="42"/>
  <c r="AD62" i="42"/>
  <c r="AD113" i="42"/>
  <c r="AD68" i="42"/>
  <c r="AD154" i="42"/>
  <c r="AD449" i="42"/>
  <c r="AD255" i="42"/>
  <c r="AD413" i="42"/>
  <c r="AD490" i="42"/>
  <c r="AD295" i="42"/>
  <c r="AD342" i="42"/>
  <c r="AD52" i="42"/>
  <c r="AD138" i="42"/>
  <c r="AD97" i="42"/>
  <c r="AD472" i="42"/>
  <c r="AD451" i="42"/>
  <c r="AD447" i="42"/>
  <c r="AD378" i="42"/>
  <c r="AD67" i="42"/>
  <c r="AD446" i="42"/>
  <c r="AD185" i="42"/>
  <c r="AD165" i="42"/>
  <c r="AD153" i="42"/>
  <c r="AD117" i="42"/>
  <c r="AD389" i="42"/>
  <c r="AD102" i="42"/>
  <c r="AD75" i="42"/>
  <c r="AD299" i="42"/>
  <c r="AD344" i="42"/>
  <c r="AD130" i="42"/>
  <c r="AD281" i="42"/>
  <c r="AD34" i="42"/>
  <c r="AD317" i="42"/>
  <c r="AD500" i="42"/>
  <c r="AD41" i="42"/>
  <c r="AD146" i="42"/>
  <c r="AD349" i="42"/>
  <c r="AD39" i="42"/>
  <c r="AD320" i="42"/>
  <c r="AD444" i="42"/>
  <c r="AD131" i="42"/>
  <c r="AD455" i="42"/>
  <c r="AD371" i="42"/>
  <c r="AD215" i="42"/>
  <c r="AD481" i="42"/>
  <c r="AD336" i="42"/>
  <c r="AD290" i="42"/>
  <c r="AD25" i="42"/>
  <c r="AD419" i="42"/>
  <c r="AD489" i="42"/>
  <c r="AD240" i="42"/>
  <c r="AD465" i="42"/>
  <c r="AD476" i="42"/>
  <c r="AD101" i="42"/>
  <c r="AD225" i="42"/>
  <c r="AD296" i="42"/>
  <c r="AD234" i="42"/>
  <c r="AD132" i="42"/>
  <c r="AD79" i="42"/>
  <c r="AD15" i="42"/>
  <c r="AD175" i="42"/>
  <c r="AD453" i="42"/>
  <c r="AD412" i="42"/>
  <c r="AD120" i="42"/>
  <c r="AD315" i="42"/>
  <c r="AD83" i="42"/>
  <c r="AD318" i="42"/>
  <c r="AD129" i="42"/>
  <c r="AD499" i="42"/>
  <c r="AD480" i="42"/>
  <c r="AD369" i="42"/>
  <c r="AD360" i="42"/>
  <c r="AD247" i="42"/>
  <c r="AD464" i="42"/>
  <c r="AD401" i="42"/>
  <c r="AD304" i="42"/>
  <c r="AD319" i="42"/>
  <c r="AD424" i="42"/>
  <c r="AD65" i="42"/>
  <c r="AD206" i="42"/>
  <c r="AD148" i="42"/>
  <c r="AD167" i="42"/>
  <c r="AD63" i="42"/>
  <c r="AD411" i="42"/>
  <c r="AD91" i="42"/>
  <c r="AD494" i="42"/>
  <c r="AD380" i="42"/>
  <c r="AD433" i="42"/>
  <c r="AD456" i="42"/>
  <c r="AD442" i="42"/>
  <c r="AD73" i="42"/>
  <c r="AD144" i="42"/>
  <c r="AD354" i="42"/>
  <c r="AD43" i="42"/>
  <c r="AD393" i="42"/>
  <c r="AD168" i="42"/>
  <c r="AD241" i="42"/>
  <c r="AD27" i="42"/>
  <c r="AD29" i="42"/>
  <c r="AD230" i="42"/>
  <c r="AD186" i="42"/>
  <c r="AD201" i="42"/>
  <c r="AD116" i="42"/>
  <c r="AD355" i="42"/>
  <c r="AD42" i="42"/>
  <c r="AD88" i="42"/>
  <c r="AD57" i="42"/>
  <c r="AD51" i="42"/>
  <c r="AD437" i="42"/>
  <c r="AD343" i="42"/>
  <c r="AD373" i="42"/>
  <c r="AD458" i="42"/>
  <c r="AD198" i="42"/>
  <c r="AD387" i="42"/>
  <c r="AD222" i="42"/>
  <c r="AD78" i="42"/>
  <c r="AD264" i="42"/>
  <c r="AD396" i="42"/>
  <c r="AD135" i="42"/>
  <c r="AD443" i="42"/>
  <c r="AD16" i="42"/>
  <c r="AD416" i="42"/>
  <c r="AD180" i="42"/>
  <c r="AD321" i="42"/>
  <c r="AD38" i="42"/>
  <c r="AD60" i="42"/>
  <c r="AD356" i="42"/>
  <c r="AD289" i="42"/>
  <c r="AD95" i="42"/>
  <c r="AD324" i="42"/>
  <c r="AD475" i="42"/>
  <c r="AD196" i="42"/>
  <c r="AD170" i="42"/>
  <c r="AD244" i="42"/>
  <c r="AD71" i="42"/>
  <c r="AD213" i="42"/>
  <c r="AD410" i="42"/>
  <c r="AD214" i="42"/>
  <c r="AD238" i="42"/>
  <c r="AD28" i="42"/>
  <c r="AD24" i="42"/>
  <c r="AD223" i="42"/>
  <c r="AD370" i="42"/>
  <c r="AD277" i="42"/>
  <c r="AD184" i="42"/>
  <c r="AD253" i="42"/>
  <c r="AD211" i="42"/>
  <c r="AD269" i="42"/>
  <c r="AD283" i="42"/>
  <c r="AD257" i="42"/>
  <c r="AD427" i="42"/>
  <c r="AD109" i="42"/>
  <c r="AD395" i="42"/>
  <c r="AD156" i="42"/>
  <c r="AD314" i="42"/>
  <c r="AD18" i="42"/>
  <c r="AD300" i="42"/>
  <c r="AD429" i="42"/>
  <c r="AD72" i="42"/>
  <c r="AD171" i="42"/>
  <c r="AD179" i="42"/>
  <c r="AD46" i="42"/>
  <c r="AD436" i="42"/>
  <c r="AD350" i="42"/>
  <c r="AD48" i="42"/>
  <c r="AD104" i="42"/>
  <c r="AD155" i="42"/>
  <c r="AD325" i="42"/>
  <c r="AD157" i="42"/>
  <c r="AD305" i="42"/>
  <c r="AD301" i="42"/>
  <c r="AD37" i="42"/>
  <c r="AD266" i="42"/>
  <c r="AD77" i="42"/>
  <c r="AD338" i="42"/>
  <c r="AD461" i="42"/>
  <c r="AD293" i="42"/>
  <c r="AD426" i="42"/>
  <c r="AD282" i="42"/>
  <c r="AD202" i="42"/>
  <c r="AD402" i="42"/>
  <c r="AD498" i="42"/>
  <c r="AD227" i="42"/>
  <c r="AD425" i="42"/>
  <c r="AD374" i="42"/>
  <c r="D75" i="56" l="1" a="1"/>
  <c r="D75" i="56" s="1"/>
  <c r="D79" i="56" a="1"/>
  <c r="D79" i="56" s="1"/>
  <c r="EY64" i="54"/>
  <c r="D77" i="56" a="1"/>
  <c r="D77" i="56" s="1"/>
  <c r="EY61" i="54"/>
  <c r="H77" i="56" a="1"/>
  <c r="H77" i="56" s="1"/>
  <c r="H53" i="56" a="1"/>
  <c r="H53" i="56" s="1"/>
  <c r="FM61" i="54"/>
  <c r="FE68" i="54"/>
  <c r="FI68" i="54" s="1"/>
  <c r="H75" i="56" a="1"/>
  <c r="H75" i="56" s="1"/>
  <c r="D78" i="56" a="1"/>
  <c r="D78" i="56" s="1"/>
  <c r="GS42" i="54"/>
  <c r="GS24" i="54"/>
  <c r="GS38" i="54"/>
  <c r="GS41" i="54"/>
  <c r="EZ65" i="54"/>
  <c r="GS48" i="54"/>
  <c r="FN68" i="54"/>
  <c r="FO68" i="54" s="1"/>
  <c r="FR68" i="54" s="1" a="1"/>
  <c r="FR68" i="54" s="1"/>
  <c r="FS68" i="54" s="1"/>
  <c r="BF3" i="40" a="1"/>
  <c r="BF3" i="40" s="1"/>
  <c r="GS29" i="54"/>
  <c r="H76" i="56" a="1"/>
  <c r="H76" i="56" s="1"/>
  <c r="D76" i="56" a="1"/>
  <c r="D76" i="56" s="1"/>
  <c r="GS36" i="54"/>
  <c r="GY32" i="54"/>
  <c r="EY69" i="54"/>
  <c r="GX47" i="54"/>
  <c r="GY47" i="54" s="1"/>
  <c r="FT68" i="54" a="1"/>
  <c r="FT68" i="54" s="1"/>
  <c r="FU68" i="54" s="1"/>
  <c r="FE37" i="54"/>
  <c r="FI37" i="54" s="1"/>
  <c r="FL37" i="54"/>
  <c r="FM37" i="54" s="1"/>
  <c r="EQ37" i="54"/>
  <c r="CY31" i="54"/>
  <c r="CZ30" i="54"/>
  <c r="GS37" i="54"/>
  <c r="DN68" i="54"/>
  <c r="DL68" i="54"/>
  <c r="DO68" i="54" s="1"/>
  <c r="DK68" i="54"/>
  <c r="GS34" i="54"/>
  <c r="GY68" i="54"/>
  <c r="GY39" i="54"/>
  <c r="EY63" i="54"/>
  <c r="EM44" i="54"/>
  <c r="EN44" i="54" s="1"/>
  <c r="EP44" i="54" s="1"/>
  <c r="FL27" i="54"/>
  <c r="FM27" i="54" s="1"/>
  <c r="FE27" i="54"/>
  <c r="FI27" i="54" s="1"/>
  <c r="EQ27" i="54"/>
  <c r="GS27" i="54"/>
  <c r="EM32" i="54"/>
  <c r="EN32" i="54" s="1"/>
  <c r="EP32" i="54" s="1"/>
  <c r="EU69" i="54"/>
  <c r="GU69" i="54" s="1"/>
  <c r="EV69" i="54"/>
  <c r="ET70" i="54"/>
  <c r="FF63" i="54"/>
  <c r="DG63" i="54"/>
  <c r="DH63" i="54" s="1"/>
  <c r="DJ63" i="54" s="1" a="1"/>
  <c r="DJ63" i="54" s="1"/>
  <c r="FG63" i="54"/>
  <c r="EL63" i="54"/>
  <c r="EM63" i="54" s="1"/>
  <c r="EK64" i="54"/>
  <c r="EZ63" i="54"/>
  <c r="EY67" i="54"/>
  <c r="GS51" i="54"/>
  <c r="GS43" i="54"/>
  <c r="EM38" i="54"/>
  <c r="EN38" i="54" s="1"/>
  <c r="EP38" i="54" s="1"/>
  <c r="EN21" i="54"/>
  <c r="FE65" i="54"/>
  <c r="FI65" i="54" s="1"/>
  <c r="EQ65" i="54"/>
  <c r="FL65" i="54"/>
  <c r="FM65" i="54" s="1"/>
  <c r="EM24" i="54"/>
  <c r="EN24" i="54" s="1"/>
  <c r="EP24" i="54" s="1"/>
  <c r="EU55" i="54"/>
  <c r="GU55" i="54" s="1"/>
  <c r="ET56" i="54"/>
  <c r="GS53" i="54"/>
  <c r="GS40" i="54"/>
  <c r="FL49" i="54"/>
  <c r="FM49" i="54" s="1"/>
  <c r="EQ49" i="54"/>
  <c r="FE49" i="54"/>
  <c r="FI49" i="54" s="1"/>
  <c r="GS47" i="54"/>
  <c r="GY61" i="54"/>
  <c r="GX41" i="54"/>
  <c r="GY41" i="54" s="1"/>
  <c r="FL36" i="54"/>
  <c r="FM36" i="54" s="1"/>
  <c r="FE36" i="54"/>
  <c r="FI36" i="54" s="1"/>
  <c r="EQ36" i="54"/>
  <c r="GS35" i="54"/>
  <c r="FG56" i="54"/>
  <c r="FF56" i="54"/>
  <c r="EL56" i="54"/>
  <c r="EM56" i="54" s="1"/>
  <c r="DG56" i="54"/>
  <c r="DH56" i="54" s="1"/>
  <c r="DJ56" i="54" s="1" a="1"/>
  <c r="DJ56" i="54" s="1"/>
  <c r="EK57" i="54"/>
  <c r="EM47" i="54"/>
  <c r="EN47" i="54" s="1"/>
  <c r="EP47" i="54" s="1"/>
  <c r="FE30" i="54"/>
  <c r="FI30" i="54" s="1"/>
  <c r="FL30" i="54"/>
  <c r="FM30" i="54" s="1"/>
  <c r="EQ30" i="54"/>
  <c r="EQ34" i="54"/>
  <c r="FL34" i="54"/>
  <c r="FM34" i="54" s="1"/>
  <c r="FE34" i="54"/>
  <c r="FI34" i="54" s="1"/>
  <c r="X9" i="42"/>
  <c r="EM29" i="54"/>
  <c r="EN29" i="54" s="1"/>
  <c r="EP29" i="54" s="1"/>
  <c r="GS49" i="54"/>
  <c r="G11" i="57"/>
  <c r="C25" i="59"/>
  <c r="GS44" i="54"/>
  <c r="C13" i="59"/>
  <c r="BA10" i="53"/>
  <c r="EM39" i="54"/>
  <c r="EN39" i="54" s="1"/>
  <c r="EP39" i="54" s="1"/>
  <c r="GS55" i="54"/>
  <c r="GS46" i="54"/>
  <c r="EM45" i="54"/>
  <c r="EN45" i="54" s="1"/>
  <c r="EP45" i="54" s="1"/>
  <c r="GR58" i="54"/>
  <c r="GS58" i="54" s="1"/>
  <c r="EY58" i="54"/>
  <c r="EY60" i="54"/>
  <c r="EZ68" i="54"/>
  <c r="GC68" i="54"/>
  <c r="EW68" i="54"/>
  <c r="FA68" i="54"/>
  <c r="GB68" i="54" s="1"/>
  <c r="FC68" i="54"/>
  <c r="GS57" i="54"/>
  <c r="FM67" i="54"/>
  <c r="FN62" i="54"/>
  <c r="FO62" i="54" s="1"/>
  <c r="GC62" i="54"/>
  <c r="EM31" i="54"/>
  <c r="EN31" i="54" s="1"/>
  <c r="EP31" i="54" s="1"/>
  <c r="FL42" i="54"/>
  <c r="FM42" i="54" s="1"/>
  <c r="EQ42" i="54"/>
  <c r="FE42" i="54"/>
  <c r="FI42" i="54" s="1"/>
  <c r="GU8" i="54"/>
  <c r="EM28" i="54"/>
  <c r="EN28" i="54" s="1"/>
  <c r="EP28" i="54" s="1"/>
  <c r="FE55" i="54"/>
  <c r="FI55" i="54" s="1"/>
  <c r="EQ55" i="54"/>
  <c r="FL55" i="54"/>
  <c r="FM55" i="54" s="1"/>
  <c r="FN61" i="54"/>
  <c r="FO61" i="54" s="1"/>
  <c r="GC61" i="54"/>
  <c r="FK7" i="54"/>
  <c r="FG22" i="54"/>
  <c r="DG22" i="54"/>
  <c r="DH22" i="54" s="1"/>
  <c r="DJ22" i="54" s="1" a="1"/>
  <c r="DJ22" i="54" s="1"/>
  <c r="FF22" i="54"/>
  <c r="EL22" i="54"/>
  <c r="FL51" i="54"/>
  <c r="FM51" i="54" s="1"/>
  <c r="EQ51" i="54"/>
  <c r="FE51" i="54"/>
  <c r="FI51" i="54" s="1"/>
  <c r="GX42" i="54"/>
  <c r="GY42" i="54" s="1"/>
  <c r="GS31" i="54"/>
  <c r="FD61" i="54"/>
  <c r="FD62" i="54" s="1"/>
  <c r="FD63" i="54" s="1"/>
  <c r="FB61" i="54"/>
  <c r="GS32" i="54"/>
  <c r="EY59" i="54"/>
  <c r="GR59" i="54"/>
  <c r="GX59" i="54" s="1"/>
  <c r="GX64" i="54"/>
  <c r="GY64" i="54" s="1"/>
  <c r="GS28" i="54"/>
  <c r="GS54" i="54"/>
  <c r="GS39" i="54"/>
  <c r="GS56" i="54"/>
  <c r="GX37" i="54"/>
  <c r="GY37" i="54" s="1"/>
  <c r="GS30" i="54"/>
  <c r="FG72" i="54"/>
  <c r="EL72" i="54"/>
  <c r="EM72" i="54" s="1"/>
  <c r="FF72" i="54"/>
  <c r="DG72" i="54"/>
  <c r="DH72" i="54" s="1"/>
  <c r="DJ72" i="54" s="1" a="1"/>
  <c r="DJ72" i="54" s="1"/>
  <c r="GS45" i="54"/>
  <c r="GS25" i="54"/>
  <c r="FE43" i="54"/>
  <c r="FI43" i="54" s="1"/>
  <c r="FL43" i="54"/>
  <c r="FM43" i="54" s="1"/>
  <c r="EQ43" i="54"/>
  <c r="GX25" i="54"/>
  <c r="GY25" i="54" s="1"/>
  <c r="FB67" i="54"/>
  <c r="FD67" i="54"/>
  <c r="FD68" i="54" s="1"/>
  <c r="EM40" i="54"/>
  <c r="EN40" i="54" s="1"/>
  <c r="EP40" i="54" s="1"/>
  <c r="EY72" i="54"/>
  <c r="DG52" i="54"/>
  <c r="DH52" i="54" s="1"/>
  <c r="DJ52" i="54" s="1" a="1"/>
  <c r="DJ52" i="54" s="1"/>
  <c r="FG52" i="54"/>
  <c r="FE52" i="54"/>
  <c r="FI52" i="54" s="1"/>
  <c r="FF52" i="54"/>
  <c r="EK53" i="54"/>
  <c r="EL52" i="54"/>
  <c r="EM52" i="54" s="1"/>
  <c r="FE48" i="54"/>
  <c r="FI48" i="54" s="1"/>
  <c r="FL48" i="54"/>
  <c r="FM48" i="54" s="1"/>
  <c r="EQ48" i="54"/>
  <c r="EY66" i="54"/>
  <c r="FE62" i="54"/>
  <c r="FI62" i="54" s="1"/>
  <c r="EZ8" i="54"/>
  <c r="FK8" i="54" s="1"/>
  <c r="GC8" i="54"/>
  <c r="EW8" i="54"/>
  <c r="FC8" i="54"/>
  <c r="FA8" i="54"/>
  <c r="EM33" i="54"/>
  <c r="EN33" i="54" s="1"/>
  <c r="EP33" i="54" s="1"/>
  <c r="W10" i="42"/>
  <c r="GY62" i="54"/>
  <c r="EM26" i="54"/>
  <c r="EN26" i="54" s="1"/>
  <c r="EP26" i="54" s="1"/>
  <c r="GS33" i="54"/>
  <c r="FN65" i="54"/>
  <c r="FO65" i="54" s="1"/>
  <c r="GC65" i="54"/>
  <c r="FG69" i="54"/>
  <c r="FF69" i="54"/>
  <c r="FE69" i="54"/>
  <c r="FI69" i="54" s="1"/>
  <c r="FD69" i="54"/>
  <c r="DG69" i="54"/>
  <c r="DH69" i="54" s="1"/>
  <c r="DJ69" i="54" s="1" a="1"/>
  <c r="DJ69" i="54" s="1"/>
  <c r="EK70" i="54"/>
  <c r="EL69" i="54"/>
  <c r="EM69" i="54" s="1"/>
  <c r="FE41" i="54"/>
  <c r="FI41" i="54" s="1"/>
  <c r="FL41" i="54"/>
  <c r="FM41" i="54" s="1"/>
  <c r="EQ41" i="54"/>
  <c r="EM25" i="54"/>
  <c r="EN25" i="54" s="1"/>
  <c r="EP25" i="54" s="1"/>
  <c r="GX65" i="54"/>
  <c r="GY65" i="54" s="1"/>
  <c r="GX56" i="54"/>
  <c r="GY56" i="54" s="1"/>
  <c r="FL71" i="54"/>
  <c r="FM71" i="54" s="1"/>
  <c r="EQ71" i="54"/>
  <c r="FE71" i="54"/>
  <c r="FI71" i="54" s="1"/>
  <c r="AY3" i="40" a="1"/>
  <c r="AY3" i="40" s="1"/>
  <c r="M61" i="16" s="1"/>
  <c r="GS52" i="54"/>
  <c r="EQ35" i="54"/>
  <c r="FL35" i="54"/>
  <c r="FM35" i="54" s="1"/>
  <c r="FE35" i="54"/>
  <c r="FI35" i="54" s="1"/>
  <c r="GX50" i="54"/>
  <c r="GY50" i="54" s="1"/>
  <c r="EQ50" i="54"/>
  <c r="FL50" i="54"/>
  <c r="FM50" i="54" s="1"/>
  <c r="FE50" i="54"/>
  <c r="FI50" i="54" s="1"/>
  <c r="EU9" i="54"/>
  <c r="GU9" i="54" s="1"/>
  <c r="EV9" i="54"/>
  <c r="ET10" i="54"/>
  <c r="FG66" i="54"/>
  <c r="DG66" i="54"/>
  <c r="DH66" i="54" s="1"/>
  <c r="DJ66" i="54" s="1" a="1"/>
  <c r="DJ66" i="54" s="1"/>
  <c r="FF66" i="54"/>
  <c r="EL66" i="54"/>
  <c r="EM66" i="54" s="1"/>
  <c r="GY53" i="54"/>
  <c r="GX48" i="54"/>
  <c r="GY48" i="54" s="1"/>
  <c r="EM46" i="54"/>
  <c r="EN46" i="54" s="1"/>
  <c r="EP46" i="54" s="1"/>
  <c r="EM23" i="54"/>
  <c r="EN23" i="54" s="1"/>
  <c r="EP23" i="54" s="1"/>
  <c r="DN62" i="54"/>
  <c r="DK62" i="54"/>
  <c r="DL62" i="54"/>
  <c r="DO62" i="54" s="1"/>
  <c r="Y19" i="42"/>
  <c r="Y20" i="42" s="1"/>
  <c r="Y21" i="42" s="1"/>
  <c r="Z424" i="42" s="1"/>
  <c r="AA31" i="42"/>
  <c r="AB13" i="42"/>
  <c r="Z206" i="42"/>
  <c r="Z487" i="42"/>
  <c r="Z124" i="42"/>
  <c r="Z119" i="42"/>
  <c r="Z55" i="42"/>
  <c r="Z207" i="42"/>
  <c r="Z234" i="42"/>
  <c r="Z252" i="42"/>
  <c r="Z490" i="42"/>
  <c r="Z354" i="42"/>
  <c r="Z177" i="42"/>
  <c r="Z148" i="42"/>
  <c r="Z180" i="42"/>
  <c r="Z443" i="42"/>
  <c r="Z201" i="42"/>
  <c r="Z144" i="42"/>
  <c r="Z126" i="42"/>
  <c r="Z365" i="42"/>
  <c r="Z198" i="42"/>
  <c r="Z13" i="42"/>
  <c r="Z100" i="42"/>
  <c r="Z277" i="42"/>
  <c r="Z407" i="42"/>
  <c r="Z300" i="42"/>
  <c r="Z133" i="42"/>
  <c r="Z142" i="42"/>
  <c r="Z301" i="42"/>
  <c r="Z112" i="42"/>
  <c r="Z127" i="42"/>
  <c r="Z224" i="42"/>
  <c r="Z257" i="42"/>
  <c r="Z65" i="42"/>
  <c r="Z78" i="42"/>
  <c r="Z344" i="42"/>
  <c r="Z430" i="42"/>
  <c r="Z382" i="42"/>
  <c r="Z248" i="42"/>
  <c r="Z263" i="42"/>
  <c r="Z298" i="42"/>
  <c r="Z121" i="42"/>
  <c r="Z339" i="42"/>
  <c r="Z418" i="42"/>
  <c r="Z160" i="42"/>
  <c r="Z469" i="42"/>
  <c r="Z329" i="42"/>
  <c r="Z499" i="42"/>
  <c r="Z447" i="42"/>
  <c r="Z227" i="42"/>
  <c r="Z131" i="42"/>
  <c r="Z479" i="42"/>
  <c r="Z413" i="42"/>
  <c r="Z367" i="42"/>
  <c r="Z79" i="42"/>
  <c r="Z275" i="42"/>
  <c r="Z157" i="42"/>
  <c r="Z254" i="42"/>
  <c r="Z375" i="42"/>
  <c r="Z16" i="42"/>
  <c r="Z30" i="42"/>
  <c r="Z272" i="42"/>
  <c r="Z50" i="42"/>
  <c r="Z24" i="42"/>
  <c r="Z223" i="42"/>
  <c r="Z213" i="42"/>
  <c r="Z478" i="42"/>
  <c r="Z64" i="42"/>
  <c r="Z456" i="42"/>
  <c r="Z258" i="42"/>
  <c r="Z406" i="42"/>
  <c r="Z472" i="42"/>
  <c r="Z114" i="42"/>
  <c r="Z317" i="42"/>
  <c r="Z493" i="42"/>
  <c r="Z378" i="42"/>
  <c r="Z281" i="42"/>
  <c r="Z461" i="42"/>
  <c r="Z318" i="42"/>
  <c r="Z239" i="42"/>
  <c r="Z389" i="42"/>
  <c r="Z347" i="42"/>
  <c r="Z120" i="42"/>
  <c r="Z274" i="42"/>
  <c r="Z41" i="42"/>
  <c r="Z291" i="42"/>
  <c r="Z313" i="42"/>
  <c r="Z276" i="42"/>
  <c r="Z310" i="42"/>
  <c r="Z141" i="42"/>
  <c r="Z485" i="42"/>
  <c r="BF10" i="10"/>
  <c r="Z103" i="42"/>
  <c r="Z349" i="42"/>
  <c r="Z60" i="42"/>
  <c r="Z101" i="42"/>
  <c r="Z122" i="42"/>
  <c r="Z209" i="42"/>
  <c r="Z416" i="42"/>
  <c r="Z128" i="42"/>
  <c r="Z31" i="42"/>
  <c r="Z436" i="42"/>
  <c r="Z80" i="42"/>
  <c r="Z117" i="42"/>
  <c r="Z500" i="42"/>
  <c r="Z135" i="42"/>
  <c r="Z442" i="42"/>
  <c r="GS26" i="54" l="1"/>
  <c r="FK61" i="54"/>
  <c r="GV61" i="54" s="1"/>
  <c r="FE66" i="54"/>
  <c r="FI66" i="54" s="1"/>
  <c r="FE72" i="54"/>
  <c r="FI72" i="54" s="1"/>
  <c r="Z404" i="42"/>
  <c r="Z194" i="42"/>
  <c r="Z489" i="42"/>
  <c r="Z89" i="42"/>
  <c r="Z322" i="42"/>
  <c r="Z162" i="42"/>
  <c r="Z374" i="42"/>
  <c r="Z340" i="42"/>
  <c r="Z216" i="42"/>
  <c r="Z395" i="42"/>
  <c r="Z311" i="42"/>
  <c r="Z38" i="42"/>
  <c r="Z286" i="42"/>
  <c r="Z104" i="42"/>
  <c r="Z212" i="42"/>
  <c r="Z497" i="42"/>
  <c r="Z481" i="42"/>
  <c r="Z446" i="42"/>
  <c r="Z230" i="42"/>
  <c r="Z170" i="42"/>
  <c r="GS50" i="54"/>
  <c r="Z399" i="42"/>
  <c r="Z232" i="42"/>
  <c r="Z51" i="42"/>
  <c r="Z422" i="42"/>
  <c r="Z330" i="42"/>
  <c r="Z308" i="42"/>
  <c r="Z225" i="42"/>
  <c r="GS60" i="54"/>
  <c r="Z167" i="42"/>
  <c r="Z84" i="42"/>
  <c r="Z342" i="42"/>
  <c r="Z372" i="42"/>
  <c r="Z137" i="42"/>
  <c r="Z335" i="42"/>
  <c r="Z306" i="42"/>
  <c r="Z165" i="42"/>
  <c r="Z228" i="42"/>
  <c r="Z168" i="42"/>
  <c r="Z419" i="42"/>
  <c r="Z355" i="42"/>
  <c r="Z296" i="42"/>
  <c r="Z19" i="42"/>
  <c r="Z91" i="42"/>
  <c r="Z261" i="42"/>
  <c r="Z87" i="42"/>
  <c r="Z68" i="42"/>
  <c r="Z452" i="42"/>
  <c r="Z357" i="42"/>
  <c r="Z245" i="42"/>
  <c r="Z294" i="42"/>
  <c r="Z179" i="42"/>
  <c r="Z307" i="42"/>
  <c r="Z14" i="42"/>
  <c r="Z211" i="42"/>
  <c r="Z494" i="42"/>
  <c r="Z219" i="42"/>
  <c r="Z34" i="42"/>
  <c r="Z97" i="42"/>
  <c r="Z448" i="42"/>
  <c r="Z334" i="42"/>
  <c r="Z249" i="42"/>
  <c r="Z320" i="42"/>
  <c r="Z498" i="42"/>
  <c r="Z183" i="42"/>
  <c r="Z270" i="42"/>
  <c r="GS62" i="54"/>
  <c r="Z62" i="42"/>
  <c r="Z33" i="42"/>
  <c r="Z164" i="42"/>
  <c r="Z42" i="42"/>
  <c r="Z88" i="42"/>
  <c r="Z190" i="42"/>
  <c r="Z445" i="42"/>
  <c r="Z27" i="42"/>
  <c r="Z328" i="42"/>
  <c r="Z345" i="42"/>
  <c r="Z110" i="42"/>
  <c r="Z264" i="42"/>
  <c r="Z376" i="42"/>
  <c r="Z45" i="42"/>
  <c r="Z96" i="42"/>
  <c r="Z484" i="42"/>
  <c r="Z92" i="42"/>
  <c r="Z83" i="42"/>
  <c r="Z364" i="42"/>
  <c r="Z463" i="42"/>
  <c r="Z125" i="42"/>
  <c r="Z123" i="42"/>
  <c r="Z379" i="42"/>
  <c r="Z85" i="42"/>
  <c r="Z414" i="42"/>
  <c r="Z233" i="42"/>
  <c r="Z71" i="42"/>
  <c r="Z265" i="42"/>
  <c r="Z18" i="42"/>
  <c r="Z176" i="42"/>
  <c r="Z46" i="42"/>
  <c r="Z455" i="42"/>
  <c r="Z449" i="42"/>
  <c r="Z403" i="42"/>
  <c r="Z49" i="42"/>
  <c r="Z441" i="42"/>
  <c r="Z247" i="42"/>
  <c r="Z353" i="42"/>
  <c r="Z132" i="42"/>
  <c r="Z54" i="42"/>
  <c r="Z153" i="42"/>
  <c r="Z12" i="42"/>
  <c r="FX68" i="54" a="1"/>
  <c r="FX68" i="54" s="1"/>
  <c r="FY68" i="54" s="1"/>
  <c r="Z425" i="42"/>
  <c r="Z205" i="42"/>
  <c r="Z241" i="42"/>
  <c r="Z63" i="42"/>
  <c r="Z426" i="42"/>
  <c r="Z143" i="42"/>
  <c r="Z221" i="42"/>
  <c r="Z250" i="42"/>
  <c r="Z118" i="42"/>
  <c r="Z435" i="42"/>
  <c r="Z412" i="42"/>
  <c r="Z405" i="42"/>
  <c r="Z331" i="42"/>
  <c r="Z401" i="42"/>
  <c r="Z283" i="42"/>
  <c r="Z492" i="42"/>
  <c r="Z163" i="42"/>
  <c r="Z15" i="42"/>
  <c r="Z360" i="42"/>
  <c r="Z237" i="42"/>
  <c r="Z11" i="42"/>
  <c r="Z154" i="42"/>
  <c r="Z35" i="42"/>
  <c r="Z108" i="42"/>
  <c r="FP68" i="54" a="1"/>
  <c r="FP68" i="54" s="1"/>
  <c r="FQ68" i="54" s="1"/>
  <c r="GS71" i="54"/>
  <c r="FK67" i="54"/>
  <c r="GV67" i="54" s="1"/>
  <c r="GS64" i="54"/>
  <c r="Z393" i="42"/>
  <c r="Z44" i="42"/>
  <c r="Z86" i="42"/>
  <c r="Z210" i="42"/>
  <c r="Z417" i="42"/>
  <c r="Z423" i="42"/>
  <c r="Z251" i="42"/>
  <c r="Z69" i="42"/>
  <c r="Z244" i="42"/>
  <c r="Z451" i="42"/>
  <c r="Z138" i="42"/>
  <c r="Z218" i="42"/>
  <c r="Z292" i="42"/>
  <c r="Z338" i="42"/>
  <c r="Z105" i="42"/>
  <c r="Z217" i="42"/>
  <c r="Z115" i="42"/>
  <c r="Z149" i="42"/>
  <c r="Z67" i="42"/>
  <c r="Z465" i="42"/>
  <c r="Z256" i="42"/>
  <c r="Z169" i="42"/>
  <c r="GS68" i="54"/>
  <c r="FZ68" i="54" a="1"/>
  <c r="FZ68" i="54" s="1"/>
  <c r="GA68" i="54" s="1"/>
  <c r="GY59" i="54"/>
  <c r="Z476" i="42"/>
  <c r="Z161" i="42"/>
  <c r="Z305" i="42"/>
  <c r="Z192" i="42"/>
  <c r="Z392" i="42"/>
  <c r="Z23" i="42"/>
  <c r="Z32" i="42"/>
  <c r="Z93" i="42"/>
  <c r="Z22" i="42"/>
  <c r="Z186" i="42"/>
  <c r="Z359" i="42"/>
  <c r="Z326" i="42"/>
  <c r="Z439" i="42"/>
  <c r="Z297" i="42"/>
  <c r="Z380" i="42"/>
  <c r="Z411" i="42"/>
  <c r="Z458" i="42"/>
  <c r="Z178" i="42"/>
  <c r="Z295" i="42"/>
  <c r="Z427" i="42"/>
  <c r="Z432" i="42"/>
  <c r="Z351" i="42"/>
  <c r="Z474" i="42"/>
  <c r="Z390" i="42"/>
  <c r="Z204" i="42"/>
  <c r="Z464" i="42"/>
  <c r="Z56" i="42"/>
  <c r="Z431" i="42"/>
  <c r="Z434" i="42"/>
  <c r="Z262" i="42"/>
  <c r="Z193" i="42"/>
  <c r="Z146" i="42"/>
  <c r="Z61" i="42"/>
  <c r="Z70" i="42"/>
  <c r="Z171" i="42"/>
  <c r="Z369" i="42"/>
  <c r="Z421" i="42"/>
  <c r="Z290" i="42"/>
  <c r="Z196" i="42"/>
  <c r="Z337" i="42"/>
  <c r="Z43" i="42"/>
  <c r="Z327" i="42"/>
  <c r="Z363" i="42"/>
  <c r="Z116" i="42"/>
  <c r="Z57" i="42"/>
  <c r="FK66" i="54"/>
  <c r="GV66" i="54" s="1"/>
  <c r="GS63" i="54"/>
  <c r="FV68" i="54" a="1"/>
  <c r="FV68" i="54" s="1"/>
  <c r="FW68" i="54" s="1"/>
  <c r="GS72" i="54"/>
  <c r="Z303" i="42"/>
  <c r="Z473" i="42"/>
  <c r="Z288" i="42"/>
  <c r="Z319" i="42"/>
  <c r="Z140" i="42"/>
  <c r="Z195" i="42"/>
  <c r="Z222" i="42"/>
  <c r="Z289" i="42"/>
  <c r="Z444" i="42"/>
  <c r="Z341" i="42"/>
  <c r="Z66" i="42"/>
  <c r="Z129" i="42"/>
  <c r="Z285" i="42"/>
  <c r="Z200" i="42"/>
  <c r="Z386" i="42"/>
  <c r="Z348" i="42"/>
  <c r="Z282" i="42"/>
  <c r="Z323" i="42"/>
  <c r="Z156" i="42"/>
  <c r="Z486" i="42"/>
  <c r="Z246" i="42"/>
  <c r="Z158" i="42"/>
  <c r="Z187" i="42"/>
  <c r="Z48" i="42"/>
  <c r="Z402" i="42"/>
  <c r="Z173" i="42"/>
  <c r="DN22" i="54"/>
  <c r="DL22" i="54"/>
  <c r="DO22" i="54" s="1"/>
  <c r="DK22" i="54"/>
  <c r="FE28" i="54"/>
  <c r="FI28" i="54" s="1"/>
  <c r="FL28" i="54"/>
  <c r="FM28" i="54" s="1"/>
  <c r="EQ28" i="54"/>
  <c r="FD30" i="54"/>
  <c r="FB30" i="54"/>
  <c r="GC69" i="54"/>
  <c r="EW69" i="54"/>
  <c r="FA69" i="54"/>
  <c r="GB69" i="54" s="1"/>
  <c r="FC69" i="54"/>
  <c r="EZ69" i="54"/>
  <c r="FK69" i="54" s="1"/>
  <c r="GV69" i="54" s="1"/>
  <c r="DK66" i="54"/>
  <c r="DN66" i="54"/>
  <c r="DL66" i="54"/>
  <c r="DO66" i="54" s="1"/>
  <c r="AR66" i="54" s="1"/>
  <c r="FE70" i="54"/>
  <c r="FI70" i="54" s="1"/>
  <c r="FG70" i="54"/>
  <c r="FF70" i="54"/>
  <c r="EL70" i="54"/>
  <c r="FD70" i="54"/>
  <c r="DG70" i="54"/>
  <c r="DH70" i="54" s="1"/>
  <c r="DJ70" i="54" s="1" a="1"/>
  <c r="DJ70" i="54" s="1"/>
  <c r="EU56" i="54"/>
  <c r="GU56" i="54" s="1"/>
  <c r="ET57" i="54"/>
  <c r="X73" i="42"/>
  <c r="X311" i="42"/>
  <c r="X255" i="42"/>
  <c r="X189" i="42"/>
  <c r="X75" i="42"/>
  <c r="FG53" i="54"/>
  <c r="FE53" i="54"/>
  <c r="FI53" i="54" s="1"/>
  <c r="DG53" i="54"/>
  <c r="DH53" i="54" s="1"/>
  <c r="DJ53" i="54" s="1" a="1"/>
  <c r="DJ53" i="54" s="1"/>
  <c r="FF53" i="54"/>
  <c r="EK54" i="54"/>
  <c r="EL53" i="54"/>
  <c r="FD35" i="54"/>
  <c r="FB35" i="54"/>
  <c r="X227" i="42"/>
  <c r="X197" i="42"/>
  <c r="X87" i="42"/>
  <c r="FK63" i="54"/>
  <c r="GV63" i="54" s="1"/>
  <c r="GC9" i="54"/>
  <c r="EW9" i="54"/>
  <c r="EZ9" i="54"/>
  <c r="FC9" i="54"/>
  <c r="FA9" i="54"/>
  <c r="GB9" i="54" s="1"/>
  <c r="GV8" i="54"/>
  <c r="AR8" i="54"/>
  <c r="FL39" i="54"/>
  <c r="FM39" i="54" s="1"/>
  <c r="FE39" i="54"/>
  <c r="FI39" i="54" s="1"/>
  <c r="EQ39" i="54"/>
  <c r="X186" i="42"/>
  <c r="FL23" i="54"/>
  <c r="FM23" i="54" s="1"/>
  <c r="FE23" i="54"/>
  <c r="FI23" i="54" s="1"/>
  <c r="EQ23" i="54"/>
  <c r="FB65" i="54"/>
  <c r="FK65" i="54" s="1"/>
  <c r="GV65" i="54" s="1"/>
  <c r="FD65" i="54"/>
  <c r="FD66" i="54" s="1"/>
  <c r="GS70" i="54"/>
  <c r="GS67" i="54"/>
  <c r="X304" i="42"/>
  <c r="FD51" i="54"/>
  <c r="FD52" i="54" s="1"/>
  <c r="FD53" i="54" s="1"/>
  <c r="FB51" i="54"/>
  <c r="GX58" i="54"/>
  <c r="GY58" i="54" s="1"/>
  <c r="C16" i="59"/>
  <c r="C17" i="59" s="1"/>
  <c r="C23" i="59"/>
  <c r="FE56" i="54"/>
  <c r="FI56" i="54" s="1"/>
  <c r="FE63" i="54"/>
  <c r="FI63" i="54" s="1"/>
  <c r="FL44" i="54"/>
  <c r="FM44" i="54" s="1"/>
  <c r="FE44" i="54"/>
  <c r="FI44" i="54" s="1"/>
  <c r="EQ44" i="54"/>
  <c r="CY32" i="54"/>
  <c r="CZ31" i="54"/>
  <c r="FD48" i="54"/>
  <c r="FB48" i="54"/>
  <c r="X67" i="42"/>
  <c r="X194" i="42"/>
  <c r="DK69" i="54"/>
  <c r="DL69" i="54"/>
  <c r="DO69" i="54" s="1"/>
  <c r="DN69" i="54"/>
  <c r="EQ29" i="54"/>
  <c r="FL29" i="54"/>
  <c r="FM29" i="54" s="1"/>
  <c r="FE29" i="54"/>
  <c r="FI29" i="54" s="1"/>
  <c r="X209" i="42"/>
  <c r="X240" i="42"/>
  <c r="GB8" i="54"/>
  <c r="FE47" i="54"/>
  <c r="FI47" i="54" s="1"/>
  <c r="FL47" i="54"/>
  <c r="FM47" i="54" s="1"/>
  <c r="EQ47" i="54"/>
  <c r="FD27" i="54"/>
  <c r="FB27" i="54"/>
  <c r="FK62" i="54"/>
  <c r="GV62" i="54" s="1"/>
  <c r="X20" i="42"/>
  <c r="X63" i="42"/>
  <c r="X364" i="42"/>
  <c r="FL25" i="54"/>
  <c r="FM25" i="54" s="1"/>
  <c r="FE25" i="54"/>
  <c r="FI25" i="54" s="1"/>
  <c r="EQ25" i="54"/>
  <c r="X10" i="42"/>
  <c r="FD42" i="54"/>
  <c r="FB42" i="54"/>
  <c r="FD64" i="54"/>
  <c r="FF64" i="54"/>
  <c r="FG64" i="54"/>
  <c r="EL64" i="54"/>
  <c r="DG64" i="54"/>
  <c r="DH64" i="54" s="1"/>
  <c r="DJ64" i="54" s="1" a="1"/>
  <c r="DJ64" i="54" s="1"/>
  <c r="EZ64" i="54"/>
  <c r="FK64" i="54" s="1"/>
  <c r="GV64" i="54" s="1"/>
  <c r="X395" i="42"/>
  <c r="DN52" i="54"/>
  <c r="DK52" i="54"/>
  <c r="DL52" i="54"/>
  <c r="DO52" i="54" s="1"/>
  <c r="FR61" i="54" a="1"/>
  <c r="FR61" i="54" s="1"/>
  <c r="FS61" i="54" s="1"/>
  <c r="FX61" i="54" a="1"/>
  <c r="FX61" i="54" s="1"/>
  <c r="FY61" i="54" s="1"/>
  <c r="FT61" i="54" a="1"/>
  <c r="FT61" i="54" s="1"/>
  <c r="FU61" i="54" s="1"/>
  <c r="FP61" i="54" a="1"/>
  <c r="FP61" i="54" s="1"/>
  <c r="FQ61" i="54" s="1"/>
  <c r="FZ61" i="54" a="1"/>
  <c r="FZ61" i="54" s="1"/>
  <c r="GA61" i="54" s="1"/>
  <c r="FV61" i="54" a="1"/>
  <c r="FV61" i="54" s="1"/>
  <c r="FW61" i="54" s="1"/>
  <c r="C14" i="59"/>
  <c r="C20" i="59" s="1"/>
  <c r="Z10" i="53"/>
  <c r="C18" i="59" s="1"/>
  <c r="GS69" i="54"/>
  <c r="EQ46" i="54"/>
  <c r="FE46" i="54"/>
  <c r="FI46" i="54" s="1"/>
  <c r="FL46" i="54"/>
  <c r="FM46" i="54" s="1"/>
  <c r="BQ3" i="40" a="1"/>
  <c r="BQ3" i="40" s="1"/>
  <c r="FB55" i="54"/>
  <c r="FD55" i="54"/>
  <c r="FD56" i="54" s="1"/>
  <c r="FD57" i="54" s="1"/>
  <c r="FE31" i="54"/>
  <c r="FI31" i="54" s="1"/>
  <c r="EQ31" i="54"/>
  <c r="FL31" i="54"/>
  <c r="FM31" i="54" s="1"/>
  <c r="GS66" i="54"/>
  <c r="FD34" i="54"/>
  <c r="FB34" i="54"/>
  <c r="DL63" i="54"/>
  <c r="DO63" i="54" s="1"/>
  <c r="DN63" i="54"/>
  <c r="DK63" i="54"/>
  <c r="FN63" i="54"/>
  <c r="FO63" i="54" s="1"/>
  <c r="GC63" i="54"/>
  <c r="GS65" i="54"/>
  <c r="FL40" i="54"/>
  <c r="FM40" i="54" s="1"/>
  <c r="EQ40" i="54"/>
  <c r="FE40" i="54"/>
  <c r="FI40" i="54" s="1"/>
  <c r="FV62" i="54" a="1"/>
  <c r="FV62" i="54" s="1"/>
  <c r="FW62" i="54" s="1"/>
  <c r="FP62" i="54" a="1"/>
  <c r="FP62" i="54" s="1"/>
  <c r="FQ62" i="54" s="1"/>
  <c r="FT62" i="54" a="1"/>
  <c r="FT62" i="54" s="1"/>
  <c r="FU62" i="54" s="1"/>
  <c r="FZ62" i="54" a="1"/>
  <c r="FZ62" i="54" s="1"/>
  <c r="GA62" i="54" s="1"/>
  <c r="FX62" i="54" a="1"/>
  <c r="FX62" i="54" s="1"/>
  <c r="FY62" i="54" s="1"/>
  <c r="FR62" i="54" a="1"/>
  <c r="FR62" i="54" s="1"/>
  <c r="FS62" i="54" s="1"/>
  <c r="FL45" i="54"/>
  <c r="FM45" i="54" s="1"/>
  <c r="EQ45" i="54"/>
  <c r="FE45" i="54"/>
  <c r="FI45" i="54" s="1"/>
  <c r="EU70" i="54"/>
  <c r="GU70" i="54" s="1"/>
  <c r="EV70" i="54"/>
  <c r="ET71" i="54"/>
  <c r="X426" i="42"/>
  <c r="X103" i="42"/>
  <c r="X418" i="42"/>
  <c r="X28" i="42"/>
  <c r="X261" i="42"/>
  <c r="FL33" i="54"/>
  <c r="FM33" i="54" s="1"/>
  <c r="FE33" i="54"/>
  <c r="FI33" i="54" s="1"/>
  <c r="EQ33" i="54"/>
  <c r="GV7" i="54"/>
  <c r="AR7" i="54"/>
  <c r="AR61" i="54"/>
  <c r="X479" i="42"/>
  <c r="X228" i="42"/>
  <c r="X160" i="42"/>
  <c r="FK68" i="54"/>
  <c r="GV68" i="54" s="1"/>
  <c r="DL56" i="54"/>
  <c r="DO56" i="54" s="1"/>
  <c r="DN56" i="54"/>
  <c r="DK56" i="54"/>
  <c r="P3" i="40" a="1"/>
  <c r="P3" i="40" s="1"/>
  <c r="FD41" i="54"/>
  <c r="FB41" i="54"/>
  <c r="FE24" i="54"/>
  <c r="FI24" i="54" s="1"/>
  <c r="FL24" i="54"/>
  <c r="FM24" i="54" s="1"/>
  <c r="EQ24" i="54"/>
  <c r="X188" i="42"/>
  <c r="X314" i="42"/>
  <c r="FZ65" i="54" a="1"/>
  <c r="FZ65" i="54" s="1"/>
  <c r="GA65" i="54" s="1"/>
  <c r="FX65" i="54" a="1"/>
  <c r="FX65" i="54" s="1"/>
  <c r="FY65" i="54" s="1"/>
  <c r="FV65" i="54" a="1"/>
  <c r="FV65" i="54" s="1"/>
  <c r="FW65" i="54" s="1"/>
  <c r="FT65" i="54" a="1"/>
  <c r="FT65" i="54" s="1"/>
  <c r="FU65" i="54" s="1"/>
  <c r="FP65" i="54" a="1"/>
  <c r="FP65" i="54" s="1"/>
  <c r="FQ65" i="54" s="1"/>
  <c r="FR65" i="54" a="1"/>
  <c r="FR65" i="54" s="1"/>
  <c r="FS65" i="54" s="1"/>
  <c r="X220" i="42"/>
  <c r="X498" i="42"/>
  <c r="X130" i="42"/>
  <c r="X397" i="42"/>
  <c r="X352" i="42"/>
  <c r="FB50" i="54"/>
  <c r="FD50" i="54"/>
  <c r="FL26" i="54"/>
  <c r="FM26" i="54" s="1"/>
  <c r="EQ26" i="54"/>
  <c r="FE26" i="54"/>
  <c r="FI26" i="54" s="1"/>
  <c r="FN66" i="54"/>
  <c r="FO66" i="54" s="1"/>
  <c r="GC66" i="54"/>
  <c r="AQ3" i="40" a="1"/>
  <c r="AQ3" i="40" s="1"/>
  <c r="EP21" i="54"/>
  <c r="GN38" i="54" s="1"/>
  <c r="FN69" i="54"/>
  <c r="FO69" i="54" s="1"/>
  <c r="FE38" i="54"/>
  <c r="FI38" i="54" s="1"/>
  <c r="FL38" i="54"/>
  <c r="FM38" i="54" s="1"/>
  <c r="EQ38" i="54"/>
  <c r="X13" i="42"/>
  <c r="FN67" i="54"/>
  <c r="FO67" i="54" s="1"/>
  <c r="GC67" i="54"/>
  <c r="X113" i="42"/>
  <c r="X405" i="42"/>
  <c r="FL32" i="54"/>
  <c r="FM32" i="54" s="1"/>
  <c r="FE32" i="54"/>
  <c r="FI32" i="54" s="1"/>
  <c r="EQ32" i="54"/>
  <c r="W11" i="42"/>
  <c r="X131" i="42" s="1"/>
  <c r="FF57" i="54"/>
  <c r="FG57" i="54"/>
  <c r="DG57" i="54"/>
  <c r="DH57" i="54" s="1"/>
  <c r="DJ57" i="54" s="1" a="1"/>
  <c r="DJ57" i="54" s="1"/>
  <c r="EL57" i="54"/>
  <c r="EK58" i="54"/>
  <c r="EU10" i="54"/>
  <c r="EV10" i="54"/>
  <c r="ET11" i="54"/>
  <c r="FD43" i="54"/>
  <c r="FB43" i="54"/>
  <c r="AR68" i="54"/>
  <c r="FB49" i="54"/>
  <c r="FD49" i="54"/>
  <c r="X407" i="42"/>
  <c r="X451" i="42"/>
  <c r="X213" i="42"/>
  <c r="X339" i="42"/>
  <c r="FD71" i="54"/>
  <c r="FD72" i="54" s="1"/>
  <c r="FB71" i="54"/>
  <c r="DL72" i="54"/>
  <c r="DO72" i="54" s="1"/>
  <c r="DK72" i="54"/>
  <c r="DN72" i="54"/>
  <c r="GS59" i="54"/>
  <c r="GS61" i="54" s="1"/>
  <c r="EM22" i="54"/>
  <c r="FB36" i="54"/>
  <c r="FD36" i="54"/>
  <c r="FB37" i="54"/>
  <c r="FD37" i="54"/>
  <c r="Z462" i="42"/>
  <c r="Z21" i="42"/>
  <c r="Z109" i="42"/>
  <c r="Z420" i="42"/>
  <c r="Z268" i="42"/>
  <c r="Z495" i="42"/>
  <c r="Z437" i="42"/>
  <c r="Z333" i="42"/>
  <c r="Z238" i="42"/>
  <c r="Z324" i="42"/>
  <c r="Z471" i="42"/>
  <c r="Z175" i="42"/>
  <c r="Z25" i="42"/>
  <c r="Z152" i="42"/>
  <c r="Z215" i="42"/>
  <c r="Z136" i="42"/>
  <c r="Z332" i="42"/>
  <c r="Z203" i="42"/>
  <c r="Z400" i="42"/>
  <c r="Z17" i="42"/>
  <c r="Z188" i="42"/>
  <c r="Z429" i="42"/>
  <c r="Z102" i="42"/>
  <c r="Z52" i="42"/>
  <c r="Z273" i="42"/>
  <c r="Z397" i="42"/>
  <c r="Z371" i="42"/>
  <c r="Z368" i="42"/>
  <c r="Z95" i="42"/>
  <c r="Z47" i="42"/>
  <c r="Z202" i="42"/>
  <c r="Z316" i="42"/>
  <c r="Z383" i="42"/>
  <c r="Z113" i="42"/>
  <c r="Z240" i="42"/>
  <c r="Z28" i="42"/>
  <c r="Z483" i="42"/>
  <c r="Z460" i="42"/>
  <c r="Z182" i="42"/>
  <c r="Z299" i="42"/>
  <c r="Z454" i="42"/>
  <c r="Z280" i="42"/>
  <c r="Z373" i="42"/>
  <c r="Z302" i="42"/>
  <c r="Z267" i="42"/>
  <c r="Z482" i="42"/>
  <c r="Z477" i="42"/>
  <c r="Z325" i="42"/>
  <c r="Z467" i="42"/>
  <c r="Z236" i="42"/>
  <c r="Z350" i="42"/>
  <c r="Z59" i="42"/>
  <c r="Z271" i="42"/>
  <c r="Z235" i="42"/>
  <c r="Z396" i="42"/>
  <c r="Z150" i="42"/>
  <c r="Z450" i="42"/>
  <c r="Z259" i="42"/>
  <c r="Z470" i="42"/>
  <c r="Z496" i="42"/>
  <c r="Z174" i="42"/>
  <c r="Z26" i="42"/>
  <c r="Z387" i="42"/>
  <c r="Z457" i="42"/>
  <c r="Z491" i="42"/>
  <c r="Z377" i="42"/>
  <c r="Z279" i="42"/>
  <c r="Z346" i="42"/>
  <c r="Z172" i="42"/>
  <c r="Z480" i="42"/>
  <c r="Z75" i="42"/>
  <c r="Z253" i="42"/>
  <c r="Z384" i="42"/>
  <c r="Z214" i="42"/>
  <c r="Z398" i="42"/>
  <c r="Z304" i="42"/>
  <c r="Z314" i="42"/>
  <c r="Z391" i="42"/>
  <c r="Z459" i="42"/>
  <c r="Z77" i="42"/>
  <c r="Z197" i="42"/>
  <c r="Z184" i="42"/>
  <c r="Z208" i="42"/>
  <c r="Z82" i="42"/>
  <c r="Z145" i="42"/>
  <c r="Z358" i="42"/>
  <c r="Z475" i="42"/>
  <c r="Z39" i="42"/>
  <c r="Z147" i="42"/>
  <c r="Z388" i="42"/>
  <c r="Z139" i="42"/>
  <c r="Z453" i="42"/>
  <c r="Z74" i="42"/>
  <c r="Z408" i="42"/>
  <c r="Z231" i="42"/>
  <c r="Z20" i="42"/>
  <c r="Z99" i="42"/>
  <c r="Z155" i="42"/>
  <c r="Z284" i="42"/>
  <c r="Z255" i="42"/>
  <c r="Z130" i="42"/>
  <c r="Z243" i="42"/>
  <c r="Z438" i="42"/>
  <c r="Z370" i="42"/>
  <c r="Z229" i="42"/>
  <c r="Z410" i="42"/>
  <c r="Z336" i="42"/>
  <c r="Z394" i="42"/>
  <c r="Z37" i="42"/>
  <c r="Z181" i="42"/>
  <c r="Z134" i="42"/>
  <c r="Z381" i="42"/>
  <c r="Z433" i="42"/>
  <c r="Z76" i="42"/>
  <c r="Z356" i="42"/>
  <c r="Z53" i="42"/>
  <c r="Z72" i="42"/>
  <c r="Z111" i="42"/>
  <c r="Z81" i="42"/>
  <c r="Z278" i="42"/>
  <c r="Z199" i="42"/>
  <c r="Z73" i="42"/>
  <c r="Z107" i="42"/>
  <c r="Z287" i="42"/>
  <c r="Z266" i="42"/>
  <c r="Z352" i="42"/>
  <c r="Z385" i="42"/>
  <c r="Z361" i="42"/>
  <c r="Z309" i="42"/>
  <c r="Z242" i="42"/>
  <c r="Z36" i="42"/>
  <c r="Z321" i="42"/>
  <c r="Z343" i="42"/>
  <c r="Z220" i="42"/>
  <c r="Z29" i="42"/>
  <c r="Z269" i="42"/>
  <c r="Z189" i="42"/>
  <c r="Z40" i="42"/>
  <c r="Z468" i="42"/>
  <c r="Z58" i="42"/>
  <c r="Z415" i="42"/>
  <c r="Z166" i="42"/>
  <c r="Z191" i="42"/>
  <c r="Z260" i="42"/>
  <c r="Z312" i="42"/>
  <c r="Z293" i="42"/>
  <c r="Z409" i="42"/>
  <c r="Z90" i="42"/>
  <c r="Z226" i="42"/>
  <c r="Z185" i="42"/>
  <c r="Z440" i="42"/>
  <c r="Z428" i="42"/>
  <c r="Z466" i="42"/>
  <c r="Z366" i="42"/>
  <c r="Z488" i="42"/>
  <c r="Z315" i="42"/>
  <c r="Z151" i="42"/>
  <c r="Z362" i="42"/>
  <c r="Z98" i="42"/>
  <c r="Z159" i="42"/>
  <c r="Z94" i="42"/>
  <c r="Z106" i="42"/>
  <c r="AA32" i="42"/>
  <c r="AB49" i="42" s="1"/>
  <c r="AB481" i="42"/>
  <c r="AB395" i="42"/>
  <c r="AB352" i="42"/>
  <c r="AB259" i="42"/>
  <c r="AB474" i="42"/>
  <c r="AB168" i="42"/>
  <c r="AB478" i="42"/>
  <c r="AB39" i="42"/>
  <c r="AB161" i="42"/>
  <c r="AB285" i="42"/>
  <c r="AB38" i="42"/>
  <c r="AB284" i="42"/>
  <c r="AB62" i="42"/>
  <c r="AB331" i="42"/>
  <c r="AB370" i="42"/>
  <c r="AB280" i="42"/>
  <c r="AB63" i="42"/>
  <c r="AB354" i="42"/>
  <c r="AB444" i="42"/>
  <c r="AB369" i="42"/>
  <c r="AB347" i="42"/>
  <c r="AB226" i="42"/>
  <c r="AB78" i="42"/>
  <c r="AB44" i="42"/>
  <c r="AB206" i="42"/>
  <c r="AB392" i="42"/>
  <c r="AB466" i="42"/>
  <c r="AB434" i="42"/>
  <c r="AB464" i="42"/>
  <c r="AB468" i="42"/>
  <c r="AB105" i="42"/>
  <c r="AB454" i="42"/>
  <c r="AB99" i="42"/>
  <c r="AB463" i="42"/>
  <c r="AB343" i="42"/>
  <c r="AB120" i="42"/>
  <c r="AR67" i="54" l="1"/>
  <c r="FE57" i="54"/>
  <c r="FI57" i="54" s="1"/>
  <c r="AR63" i="54"/>
  <c r="BX3" i="40" a="1"/>
  <c r="BX3" i="40" s="1"/>
  <c r="N34" i="42" s="1"/>
  <c r="AB175" i="42"/>
  <c r="X104" i="42"/>
  <c r="X153" i="42"/>
  <c r="X56" i="42"/>
  <c r="AB66" i="42"/>
  <c r="X388" i="42"/>
  <c r="X287" i="42"/>
  <c r="AR69" i="54"/>
  <c r="AB241" i="42"/>
  <c r="AB344" i="42"/>
  <c r="AB289" i="42"/>
  <c r="AB89" i="42"/>
  <c r="AB228" i="42"/>
  <c r="X174" i="42"/>
  <c r="X362" i="42"/>
  <c r="X497" i="42"/>
  <c r="GN46" i="54"/>
  <c r="X380" i="42"/>
  <c r="X90" i="42"/>
  <c r="X296" i="42"/>
  <c r="X391" i="42"/>
  <c r="X430" i="42"/>
  <c r="X159" i="42"/>
  <c r="X64" i="42"/>
  <c r="X346" i="42"/>
  <c r="X167" i="42"/>
  <c r="X323" i="42"/>
  <c r="X354" i="42"/>
  <c r="AB17" i="42"/>
  <c r="AB281" i="42"/>
  <c r="AB337" i="42"/>
  <c r="AB20" i="42"/>
  <c r="AB195" i="42"/>
  <c r="AB456" i="42"/>
  <c r="X176" i="42"/>
  <c r="X453" i="42"/>
  <c r="X402" i="42"/>
  <c r="X109" i="42"/>
  <c r="X387" i="42"/>
  <c r="X41" i="42"/>
  <c r="X11" i="42"/>
  <c r="X143" i="42"/>
  <c r="X478" i="42"/>
  <c r="X446" i="42"/>
  <c r="X203" i="42"/>
  <c r="X337" i="42"/>
  <c r="X119" i="42"/>
  <c r="X384" i="42"/>
  <c r="X44" i="42"/>
  <c r="AB479" i="42"/>
  <c r="AB445" i="42"/>
  <c r="AB441" i="42"/>
  <c r="X424" i="42"/>
  <c r="X316" i="42"/>
  <c r="X117" i="42"/>
  <c r="X157" i="42"/>
  <c r="X164" i="42"/>
  <c r="X122" i="42"/>
  <c r="AB389" i="42"/>
  <c r="AB83" i="42"/>
  <c r="AB440" i="42"/>
  <c r="X307" i="42"/>
  <c r="AB401" i="42"/>
  <c r="AB179" i="42"/>
  <c r="AB135" i="42"/>
  <c r="X486" i="42"/>
  <c r="AB209" i="42"/>
  <c r="X183" i="42"/>
  <c r="X367" i="42"/>
  <c r="GN45" i="54"/>
  <c r="X166" i="42"/>
  <c r="BW3" i="40" a="1"/>
  <c r="BW3" i="40" s="1"/>
  <c r="N33" i="42" s="1"/>
  <c r="P33" i="42" s="1"/>
  <c r="AE33" i="42" s="1"/>
  <c r="X168" i="42"/>
  <c r="X196" i="42"/>
  <c r="X140" i="42"/>
  <c r="X123" i="42"/>
  <c r="X363" i="42"/>
  <c r="GN39" i="54"/>
  <c r="GN24" i="54"/>
  <c r="X440" i="42"/>
  <c r="AB103" i="42"/>
  <c r="AB138" i="42"/>
  <c r="AB275" i="42"/>
  <c r="AB346" i="42"/>
  <c r="AB467" i="42"/>
  <c r="X460" i="42"/>
  <c r="X356" i="42"/>
  <c r="X399" i="42"/>
  <c r="X333" i="42"/>
  <c r="AB418" i="42"/>
  <c r="AB184" i="42"/>
  <c r="X299" i="42"/>
  <c r="X30" i="42"/>
  <c r="X271" i="42"/>
  <c r="X165" i="42"/>
  <c r="AB483" i="42"/>
  <c r="X58" i="42"/>
  <c r="X180" i="42"/>
  <c r="X371" i="42"/>
  <c r="X392" i="42"/>
  <c r="X317" i="42"/>
  <c r="X65" i="42"/>
  <c r="X247" i="42"/>
  <c r="AB169" i="42"/>
  <c r="AB270" i="42"/>
  <c r="AB59" i="42"/>
  <c r="AB248" i="42"/>
  <c r="X48" i="42"/>
  <c r="X489" i="42"/>
  <c r="X259" i="42"/>
  <c r="AB267" i="42"/>
  <c r="AB498" i="42"/>
  <c r="AB427" i="42"/>
  <c r="AB167" i="42"/>
  <c r="AB171" i="42"/>
  <c r="AB218" i="42"/>
  <c r="X437" i="42"/>
  <c r="X357" i="42"/>
  <c r="X53" i="42"/>
  <c r="AB404" i="42"/>
  <c r="AB178" i="42"/>
  <c r="AB40" i="42"/>
  <c r="AB500" i="42"/>
  <c r="AB465" i="42"/>
  <c r="AB287" i="42"/>
  <c r="X379" i="42"/>
  <c r="X377" i="42"/>
  <c r="X294" i="42"/>
  <c r="X32" i="42"/>
  <c r="X361" i="42"/>
  <c r="GN33" i="54"/>
  <c r="X226" i="42"/>
  <c r="X248" i="42"/>
  <c r="X439" i="42"/>
  <c r="X193" i="42"/>
  <c r="X487" i="42"/>
  <c r="X263" i="42"/>
  <c r="X34" i="42"/>
  <c r="AB81" i="42"/>
  <c r="AB320" i="42"/>
  <c r="AB82" i="42"/>
  <c r="AB225" i="42"/>
  <c r="AB399" i="42"/>
  <c r="X291" i="42"/>
  <c r="X128" i="42"/>
  <c r="AB323" i="42"/>
  <c r="AB25" i="42"/>
  <c r="X429" i="42"/>
  <c r="AB375" i="42"/>
  <c r="AB419" i="42"/>
  <c r="AB250" i="42"/>
  <c r="AB176" i="42"/>
  <c r="AB69" i="42"/>
  <c r="AB360" i="42"/>
  <c r="AB232" i="42"/>
  <c r="X441" i="42"/>
  <c r="X340" i="42"/>
  <c r="X492" i="42"/>
  <c r="X269" i="42"/>
  <c r="X141" i="42"/>
  <c r="X208" i="42"/>
  <c r="X82" i="42"/>
  <c r="X285" i="42"/>
  <c r="DK57" i="54"/>
  <c r="DL57" i="54"/>
  <c r="DO57" i="54" s="1"/>
  <c r="DN57" i="54"/>
  <c r="AR65" i="54"/>
  <c r="FB28" i="54"/>
  <c r="FD28" i="54"/>
  <c r="X306" i="42"/>
  <c r="X156" i="42"/>
  <c r="X177" i="42"/>
  <c r="X276" i="42"/>
  <c r="X454" i="42"/>
  <c r="X495" i="42"/>
  <c r="FD31" i="54"/>
  <c r="FB31" i="54"/>
  <c r="X372" i="42"/>
  <c r="X230" i="42"/>
  <c r="X484" i="42"/>
  <c r="X328" i="42"/>
  <c r="X229" i="42"/>
  <c r="EM53" i="54"/>
  <c r="X219" i="42"/>
  <c r="X250" i="42"/>
  <c r="X406" i="42"/>
  <c r="X496" i="42"/>
  <c r="X472" i="42"/>
  <c r="FL21" i="54"/>
  <c r="FM21" i="54" s="1"/>
  <c r="GN21" i="54"/>
  <c r="GN26" i="54" s="1"/>
  <c r="EQ21" i="54"/>
  <c r="FE21" i="54"/>
  <c r="H3" i="40" a="1"/>
  <c r="H3" i="40" s="1"/>
  <c r="GN67" i="54"/>
  <c r="GN61" i="54"/>
  <c r="GN41" i="54"/>
  <c r="GN36" i="54"/>
  <c r="GN34" i="54"/>
  <c r="GN55" i="54"/>
  <c r="GN51" i="54"/>
  <c r="GN65" i="54"/>
  <c r="GN48" i="54"/>
  <c r="GN37" i="54"/>
  <c r="GN49" i="54"/>
  <c r="GN43" i="54"/>
  <c r="GN42" i="54"/>
  <c r="GN27" i="54"/>
  <c r="GN35" i="54"/>
  <c r="GN30" i="54"/>
  <c r="GN71" i="54"/>
  <c r="X264" i="42"/>
  <c r="X373" i="42"/>
  <c r="X97" i="42"/>
  <c r="X414" i="42"/>
  <c r="X55" i="42"/>
  <c r="X14" i="42"/>
  <c r="X298" i="42"/>
  <c r="X93" i="42"/>
  <c r="X151" i="42"/>
  <c r="X133" i="42"/>
  <c r="X366" i="42"/>
  <c r="X146" i="42"/>
  <c r="X386" i="42"/>
  <c r="X66" i="42"/>
  <c r="X237" i="42"/>
  <c r="GN31" i="54"/>
  <c r="DL64" i="54"/>
  <c r="DO64" i="54" s="1"/>
  <c r="AR64" i="54" s="1"/>
  <c r="DN64" i="54"/>
  <c r="DK64" i="54"/>
  <c r="X62" i="42"/>
  <c r="X393" i="42"/>
  <c r="X21" i="42"/>
  <c r="X241" i="42"/>
  <c r="X192" i="42"/>
  <c r="X482" i="42"/>
  <c r="X473" i="42"/>
  <c r="X309" i="42"/>
  <c r="X36" i="42"/>
  <c r="X139" i="42"/>
  <c r="X404" i="42"/>
  <c r="X370" i="42"/>
  <c r="X19" i="42"/>
  <c r="X190" i="42"/>
  <c r="X325" i="42"/>
  <c r="EM64" i="54"/>
  <c r="FN64" i="54"/>
  <c r="FO64" i="54" s="1"/>
  <c r="GC64" i="54"/>
  <c r="GN44" i="54"/>
  <c r="X136" i="42"/>
  <c r="X474" i="42"/>
  <c r="X336" i="42"/>
  <c r="X468" i="42"/>
  <c r="X292" i="42"/>
  <c r="X142" i="42"/>
  <c r="X253" i="42"/>
  <c r="X102" i="42"/>
  <c r="X277" i="42"/>
  <c r="X218" i="42"/>
  <c r="X83" i="42"/>
  <c r="X184" i="42"/>
  <c r="X410" i="42"/>
  <c r="X452" i="42"/>
  <c r="X46" i="42"/>
  <c r="GN47" i="54"/>
  <c r="X107" i="42"/>
  <c r="X469" i="42"/>
  <c r="X23" i="42"/>
  <c r="X344" i="42"/>
  <c r="X244" i="42"/>
  <c r="X99" i="42"/>
  <c r="X52" i="42"/>
  <c r="X401" i="42"/>
  <c r="FE64" i="54"/>
  <c r="FI64" i="54" s="1"/>
  <c r="X327" i="42"/>
  <c r="X382" i="42"/>
  <c r="X195" i="42"/>
  <c r="X172" i="42"/>
  <c r="X134" i="42"/>
  <c r="X214" i="42"/>
  <c r="X319" i="42"/>
  <c r="X422" i="42"/>
  <c r="X303" i="42"/>
  <c r="X61" i="42"/>
  <c r="X396" i="42"/>
  <c r="X207" i="42"/>
  <c r="X169" i="42"/>
  <c r="X217" i="42"/>
  <c r="X425" i="42"/>
  <c r="X355" i="42"/>
  <c r="X191" i="42"/>
  <c r="X121" i="42"/>
  <c r="FB26" i="54"/>
  <c r="FD26" i="54"/>
  <c r="X471" i="42"/>
  <c r="X403" i="42"/>
  <c r="X331" i="42"/>
  <c r="X477" i="42"/>
  <c r="X49" i="42"/>
  <c r="X42" i="42"/>
  <c r="X116" i="42"/>
  <c r="X215" i="42"/>
  <c r="X447" i="42"/>
  <c r="X466" i="42"/>
  <c r="X329" i="42"/>
  <c r="X243" i="42"/>
  <c r="X114" i="42"/>
  <c r="X286" i="42"/>
  <c r="X334" i="42"/>
  <c r="X16" i="42"/>
  <c r="X258" i="42"/>
  <c r="X476" i="42"/>
  <c r="X224" i="42"/>
  <c r="X416" i="42"/>
  <c r="DK70" i="54"/>
  <c r="DL70" i="54"/>
  <c r="DO70" i="54" s="1"/>
  <c r="DN70" i="54"/>
  <c r="X125" i="42"/>
  <c r="FX69" i="54" a="1"/>
  <c r="FX69" i="54" s="1"/>
  <c r="FY69" i="54" s="1"/>
  <c r="FZ69" i="54" a="1"/>
  <c r="FZ69" i="54" s="1"/>
  <c r="GA69" i="54" s="1"/>
  <c r="FV69" i="54" a="1"/>
  <c r="FV69" i="54" s="1"/>
  <c r="FW69" i="54" s="1"/>
  <c r="FP69" i="54" a="1"/>
  <c r="FP69" i="54" s="1"/>
  <c r="FQ69" i="54" s="1"/>
  <c r="FT69" i="54" a="1"/>
  <c r="FT69" i="54" s="1"/>
  <c r="FU69" i="54" s="1"/>
  <c r="FR69" i="54" a="1"/>
  <c r="FR69" i="54" s="1"/>
  <c r="FS69" i="54" s="1"/>
  <c r="X145" i="42"/>
  <c r="X98" i="42"/>
  <c r="X126" i="42"/>
  <c r="FD44" i="54"/>
  <c r="FB44" i="54"/>
  <c r="FB23" i="54"/>
  <c r="FD23" i="54"/>
  <c r="X124" i="42"/>
  <c r="X201" i="42"/>
  <c r="GU10" i="54"/>
  <c r="X301" i="42"/>
  <c r="X254" i="42"/>
  <c r="X181" i="42"/>
  <c r="X312" i="42"/>
  <c r="X202" i="42"/>
  <c r="X335" i="42"/>
  <c r="X242" i="42"/>
  <c r="X50" i="42"/>
  <c r="X289" i="42"/>
  <c r="X26" i="42"/>
  <c r="X435" i="42"/>
  <c r="X448" i="42"/>
  <c r="X170" i="42"/>
  <c r="X433" i="42"/>
  <c r="X33" i="42"/>
  <c r="X161" i="42"/>
  <c r="X179" i="42"/>
  <c r="GN28" i="54"/>
  <c r="X135" i="42"/>
  <c r="FB47" i="54"/>
  <c r="FD47" i="54"/>
  <c r="GN23" i="54"/>
  <c r="X206" i="42"/>
  <c r="X71" i="42"/>
  <c r="X249" i="42"/>
  <c r="FT66" i="54" a="1"/>
  <c r="FT66" i="54" s="1"/>
  <c r="FU66" i="54" s="1"/>
  <c r="FZ66" i="54" a="1"/>
  <c r="FZ66" i="54" s="1"/>
  <c r="GA66" i="54" s="1"/>
  <c r="FV66" i="54" a="1"/>
  <c r="FV66" i="54" s="1"/>
  <c r="FW66" i="54" s="1"/>
  <c r="FR66" i="54" a="1"/>
  <c r="FR66" i="54" s="1"/>
  <c r="FS66" i="54" s="1"/>
  <c r="FX66" i="54" a="1"/>
  <c r="FX66" i="54" s="1"/>
  <c r="FY66" i="54" s="1"/>
  <c r="FP66" i="54" a="1"/>
  <c r="FP66" i="54" s="1"/>
  <c r="FQ66" i="54" s="1"/>
  <c r="X491" i="42"/>
  <c r="X232" i="42"/>
  <c r="X210" i="42"/>
  <c r="X461" i="42"/>
  <c r="X342" i="42"/>
  <c r="DK53" i="54"/>
  <c r="DL53" i="54"/>
  <c r="DO53" i="54" s="1"/>
  <c r="DN53" i="54"/>
  <c r="X31" i="42"/>
  <c r="X417" i="42"/>
  <c r="X313" i="42"/>
  <c r="X365" i="42"/>
  <c r="X89" i="42"/>
  <c r="X376" i="42"/>
  <c r="X260" i="42"/>
  <c r="X198" i="42"/>
  <c r="X252" i="42"/>
  <c r="X330" i="42"/>
  <c r="EV71" i="54"/>
  <c r="EU71" i="54"/>
  <c r="GU71" i="54" s="1"/>
  <c r="ET72" i="54"/>
  <c r="FN71" i="54"/>
  <c r="FO71" i="54" s="1"/>
  <c r="GN25" i="54"/>
  <c r="X110" i="42"/>
  <c r="X326" i="42"/>
  <c r="X457" i="42"/>
  <c r="X238" i="42"/>
  <c r="X499" i="42"/>
  <c r="X279" i="42"/>
  <c r="X162" i="42"/>
  <c r="X374" i="42"/>
  <c r="X94" i="42"/>
  <c r="X12" i="42"/>
  <c r="X432" i="42"/>
  <c r="EW70" i="54"/>
  <c r="GC70" i="54"/>
  <c r="FA70" i="54"/>
  <c r="GB70" i="54" s="1"/>
  <c r="EZ70" i="54"/>
  <c r="FC70" i="54"/>
  <c r="X343" i="42"/>
  <c r="X15" i="42"/>
  <c r="X345" i="42"/>
  <c r="X341" i="42"/>
  <c r="X173" i="42"/>
  <c r="X84" i="42"/>
  <c r="X96" i="42"/>
  <c r="X149" i="42"/>
  <c r="FZ63" i="54" a="1"/>
  <c r="FZ63" i="54" s="1"/>
  <c r="GA63" i="54" s="1"/>
  <c r="FV63" i="54" a="1"/>
  <c r="FV63" i="54" s="1"/>
  <c r="FW63" i="54" s="1"/>
  <c r="FX63" i="54" a="1"/>
  <c r="FX63" i="54" s="1"/>
  <c r="FY63" i="54" s="1"/>
  <c r="FP63" i="54" a="1"/>
  <c r="FP63" i="54" s="1"/>
  <c r="FQ63" i="54" s="1"/>
  <c r="FR63" i="54" a="1"/>
  <c r="FR63" i="54" s="1"/>
  <c r="FS63" i="54" s="1"/>
  <c r="FT63" i="54" a="1"/>
  <c r="FT63" i="54" s="1"/>
  <c r="FU63" i="54" s="1"/>
  <c r="X39" i="42"/>
  <c r="X182" i="42"/>
  <c r="X390" i="42"/>
  <c r="X212" i="42"/>
  <c r="X415" i="42"/>
  <c r="X465" i="42"/>
  <c r="X223" i="42"/>
  <c r="X221" i="42"/>
  <c r="X150" i="42"/>
  <c r="X267" i="42"/>
  <c r="X293" i="42"/>
  <c r="X368" i="42"/>
  <c r="X427" i="42"/>
  <c r="BR3" i="40" a="1"/>
  <c r="BR3" i="40" s="1"/>
  <c r="FD38" i="54"/>
  <c r="FB38" i="54"/>
  <c r="FB33" i="54"/>
  <c r="FD33" i="54"/>
  <c r="FK9" i="54"/>
  <c r="CZ32" i="54"/>
  <c r="CY33" i="54"/>
  <c r="X295" i="42"/>
  <c r="N11" i="42"/>
  <c r="P11" i="42" s="1"/>
  <c r="AE11" i="42" s="1"/>
  <c r="AF11" i="42" s="1"/>
  <c r="X419" i="42"/>
  <c r="X246" i="42"/>
  <c r="X175" i="42"/>
  <c r="X74" i="42"/>
  <c r="X81" i="42"/>
  <c r="X290" i="42"/>
  <c r="X111" i="42"/>
  <c r="X349" i="42"/>
  <c r="X270" i="42"/>
  <c r="X283" i="42"/>
  <c r="X171" i="42"/>
  <c r="X320" i="42"/>
  <c r="X443" i="42"/>
  <c r="X434" i="42"/>
  <c r="X211" i="42"/>
  <c r="X305" i="42"/>
  <c r="X408" i="42"/>
  <c r="X428" i="42"/>
  <c r="X129" i="42"/>
  <c r="X112" i="42"/>
  <c r="X38" i="42"/>
  <c r="X300" i="42"/>
  <c r="X187" i="42"/>
  <c r="X490" i="42"/>
  <c r="X456" i="42"/>
  <c r="X338" i="42"/>
  <c r="X442" i="42"/>
  <c r="X350" i="42"/>
  <c r="X494" i="42"/>
  <c r="X321" i="42"/>
  <c r="X348" i="42"/>
  <c r="X222" i="42"/>
  <c r="X27" i="42"/>
  <c r="X35" i="42"/>
  <c r="X411" i="42"/>
  <c r="X245" i="42"/>
  <c r="X458" i="42"/>
  <c r="X278" i="42"/>
  <c r="X59" i="42"/>
  <c r="X37" i="42"/>
  <c r="X322" i="42"/>
  <c r="X40" i="42"/>
  <c r="X265" i="42"/>
  <c r="X347" i="42"/>
  <c r="X100" i="42"/>
  <c r="X22" i="42"/>
  <c r="X284" i="42"/>
  <c r="X185" i="42"/>
  <c r="X394" i="42"/>
  <c r="X118" i="42"/>
  <c r="X120" i="42"/>
  <c r="X231" i="42"/>
  <c r="X80" i="42"/>
  <c r="X256" i="42"/>
  <c r="X70" i="42"/>
  <c r="X69" i="42"/>
  <c r="X43" i="42"/>
  <c r="X420" i="42"/>
  <c r="X324" i="42"/>
  <c r="X78" i="42"/>
  <c r="X29" i="42"/>
  <c r="X315" i="42"/>
  <c r="FE54" i="54"/>
  <c r="FI54" i="54" s="1"/>
  <c r="FD54" i="54"/>
  <c r="FF54" i="54"/>
  <c r="EL54" i="54"/>
  <c r="FG54" i="54"/>
  <c r="DG54" i="54"/>
  <c r="DH54" i="54" s="1"/>
  <c r="DJ54" i="54" s="1" a="1"/>
  <c r="DJ54" i="54" s="1"/>
  <c r="X268" i="42"/>
  <c r="GN40" i="54"/>
  <c r="X481" i="42"/>
  <c r="FB29" i="54"/>
  <c r="FD29" i="54"/>
  <c r="X409" i="42"/>
  <c r="X88" i="42"/>
  <c r="X154" i="42"/>
  <c r="X205" i="42"/>
  <c r="GN29" i="54"/>
  <c r="X216" i="42"/>
  <c r="X144" i="42"/>
  <c r="X400" i="42"/>
  <c r="EU57" i="54"/>
  <c r="GU57" i="54" s="1"/>
  <c r="ET58" i="54"/>
  <c r="X105" i="42"/>
  <c r="FD40" i="54"/>
  <c r="FB40" i="54"/>
  <c r="X251" i="42"/>
  <c r="FB25" i="54"/>
  <c r="FD25" i="54"/>
  <c r="X235" i="42"/>
  <c r="X60" i="42"/>
  <c r="X106" i="42"/>
  <c r="X47" i="42"/>
  <c r="X77" i="42"/>
  <c r="FD32" i="54"/>
  <c r="FB32" i="54"/>
  <c r="X24" i="42"/>
  <c r="X199" i="42"/>
  <c r="X421" i="42"/>
  <c r="X18" i="42"/>
  <c r="X236" i="42"/>
  <c r="X51" i="42"/>
  <c r="FF58" i="54"/>
  <c r="FD58" i="54"/>
  <c r="FG58" i="54"/>
  <c r="EL58" i="54"/>
  <c r="DG58" i="54"/>
  <c r="DH58" i="54" s="1"/>
  <c r="DJ58" i="54" s="1" a="1"/>
  <c r="DJ58" i="54" s="1"/>
  <c r="EK59" i="54"/>
  <c r="X163" i="42"/>
  <c r="X282" i="42"/>
  <c r="X436" i="42"/>
  <c r="X266" i="42"/>
  <c r="X204" i="42"/>
  <c r="X500" i="42"/>
  <c r="X127" i="42"/>
  <c r="X280" i="42"/>
  <c r="X470" i="42"/>
  <c r="X308" i="42"/>
  <c r="X257" i="42"/>
  <c r="X353" i="42"/>
  <c r="FD45" i="54"/>
  <c r="FB45" i="54"/>
  <c r="X463" i="42"/>
  <c r="X54" i="42"/>
  <c r="X467" i="42"/>
  <c r="X423" i="42"/>
  <c r="X86" i="42"/>
  <c r="X262" i="42"/>
  <c r="X275" i="42"/>
  <c r="X480" i="42"/>
  <c r="X302" i="42"/>
  <c r="X158" i="42"/>
  <c r="X455" i="42"/>
  <c r="EM70" i="54"/>
  <c r="FN70" i="54"/>
  <c r="FO70" i="54" s="1"/>
  <c r="FB46" i="54"/>
  <c r="FD46" i="54"/>
  <c r="FB24" i="54"/>
  <c r="FD24" i="54"/>
  <c r="FD39" i="54"/>
  <c r="FB39" i="54"/>
  <c r="EV11" i="54"/>
  <c r="EU11" i="54"/>
  <c r="GU11" i="54" s="1"/>
  <c r="ET12" i="54"/>
  <c r="FC10" i="54"/>
  <c r="GC10" i="54"/>
  <c r="FA10" i="54"/>
  <c r="GB10" i="54" s="1"/>
  <c r="EW10" i="54"/>
  <c r="EZ10" i="54"/>
  <c r="FK10" i="54" s="1"/>
  <c r="X68" i="42"/>
  <c r="X274" i="42"/>
  <c r="X108" i="42"/>
  <c r="X431" i="42"/>
  <c r="X95" i="42"/>
  <c r="X464" i="42"/>
  <c r="X115" i="42"/>
  <c r="X85" i="42"/>
  <c r="X92" i="42"/>
  <c r="X138" i="42"/>
  <c r="X483" i="42"/>
  <c r="X493" i="42"/>
  <c r="X462" i="42"/>
  <c r="X273" i="42"/>
  <c r="X449" i="42"/>
  <c r="X412" i="42"/>
  <c r="X375" i="42"/>
  <c r="X91" i="42"/>
  <c r="X444" i="42"/>
  <c r="X332" i="42"/>
  <c r="X485" i="42"/>
  <c r="X17" i="42"/>
  <c r="X369" i="42"/>
  <c r="X281" i="42"/>
  <c r="X413" i="42"/>
  <c r="X288" i="42"/>
  <c r="X351" i="42"/>
  <c r="X233" i="42"/>
  <c r="X398" i="42"/>
  <c r="X378" i="42"/>
  <c r="X155" i="42"/>
  <c r="X383" i="42"/>
  <c r="X137" i="42"/>
  <c r="X76" i="42"/>
  <c r="X297" i="42"/>
  <c r="X178" i="42"/>
  <c r="X132" i="42"/>
  <c r="X25" i="42"/>
  <c r="X318" i="42"/>
  <c r="X310" i="42"/>
  <c r="X450" i="42"/>
  <c r="X272" i="42"/>
  <c r="X385" i="42"/>
  <c r="EM57" i="54"/>
  <c r="X147" i="42"/>
  <c r="GN32" i="54"/>
  <c r="FP67" i="54" a="1"/>
  <c r="FP67" i="54" s="1"/>
  <c r="FQ67" i="54" s="1"/>
  <c r="FR67" i="54" a="1"/>
  <c r="FR67" i="54" s="1"/>
  <c r="FS67" i="54" s="1"/>
  <c r="FZ67" i="54" a="1"/>
  <c r="FZ67" i="54" s="1"/>
  <c r="GA67" i="54" s="1"/>
  <c r="FX67" i="54" a="1"/>
  <c r="FX67" i="54" s="1"/>
  <c r="FY67" i="54" s="1"/>
  <c r="FV67" i="54" a="1"/>
  <c r="FV67" i="54" s="1"/>
  <c r="FW67" i="54" s="1"/>
  <c r="FT67" i="54" a="1"/>
  <c r="FT67" i="54" s="1"/>
  <c r="FU67" i="54" s="1"/>
  <c r="X358" i="42"/>
  <c r="X152" i="42"/>
  <c r="X445" i="42"/>
  <c r="X359" i="42"/>
  <c r="X200" i="42"/>
  <c r="X148" i="42"/>
  <c r="X239" i="42"/>
  <c r="X72" i="42"/>
  <c r="X101" i="42"/>
  <c r="X360" i="42"/>
  <c r="F4" i="59" a="1"/>
  <c r="F4" i="59" s="1"/>
  <c r="X459" i="42"/>
  <c r="X45" i="42"/>
  <c r="X488" i="42"/>
  <c r="X79" i="42"/>
  <c r="X389" i="42"/>
  <c r="X381" i="42"/>
  <c r="X475" i="42"/>
  <c r="X57" i="42"/>
  <c r="AR62" i="54"/>
  <c r="X234" i="42"/>
  <c r="X438" i="42"/>
  <c r="X225" i="42"/>
  <c r="AB151" i="42"/>
  <c r="AB349" i="42"/>
  <c r="AB428" i="42"/>
  <c r="AB211" i="42"/>
  <c r="AB143" i="42"/>
  <c r="AB297" i="42"/>
  <c r="AB459" i="42"/>
  <c r="AB136" i="42"/>
  <c r="AB408" i="42"/>
  <c r="AB420" i="42"/>
  <c r="AB121" i="42"/>
  <c r="AB366" i="42"/>
  <c r="AB357" i="42"/>
  <c r="AB77" i="42"/>
  <c r="AB174" i="42"/>
  <c r="AB113" i="42"/>
  <c r="AB51" i="42"/>
  <c r="AB214" i="42"/>
  <c r="AB423" i="42"/>
  <c r="AB273" i="42"/>
  <c r="AB384" i="42"/>
  <c r="AB491" i="42"/>
  <c r="AB447" i="42"/>
  <c r="AB338" i="42"/>
  <c r="AB185" i="42"/>
  <c r="AB150" i="42"/>
  <c r="AB58" i="42"/>
  <c r="AB258" i="42"/>
  <c r="AB197" i="42"/>
  <c r="AB221" i="42"/>
  <c r="AB272" i="42"/>
  <c r="AB111" i="42"/>
  <c r="AB98" i="42"/>
  <c r="AB65" i="42"/>
  <c r="AB405" i="42"/>
  <c r="AB364" i="42"/>
  <c r="AB341" i="42"/>
  <c r="AB414" i="42"/>
  <c r="AB134" i="42"/>
  <c r="AB329" i="42"/>
  <c r="AB312" i="42"/>
  <c r="AB302" i="42"/>
  <c r="AB330" i="42"/>
  <c r="AB321" i="42"/>
  <c r="AB31" i="42"/>
  <c r="AB308" i="42"/>
  <c r="AB279" i="42"/>
  <c r="AB470" i="42"/>
  <c r="AB152" i="42"/>
  <c r="AB231" i="42"/>
  <c r="AB149" i="42"/>
  <c r="AB421" i="42"/>
  <c r="AB251" i="42"/>
  <c r="AB277" i="42"/>
  <c r="AB410" i="42"/>
  <c r="AB448" i="42"/>
  <c r="AB415" i="42"/>
  <c r="AB409" i="42"/>
  <c r="AB200" i="42"/>
  <c r="AB68" i="42"/>
  <c r="AB254" i="42"/>
  <c r="AB37" i="42"/>
  <c r="AB146" i="42"/>
  <c r="AB316" i="42"/>
  <c r="AB94" i="42"/>
  <c r="AB271" i="42"/>
  <c r="AB246" i="42"/>
  <c r="AB32" i="42"/>
  <c r="AB71" i="42"/>
  <c r="AB52" i="42"/>
  <c r="AB163" i="42"/>
  <c r="AB494" i="42"/>
  <c r="AB293" i="42"/>
  <c r="AB19" i="42"/>
  <c r="AB64" i="42"/>
  <c r="AB487" i="42"/>
  <c r="AB348" i="42"/>
  <c r="AB220" i="42"/>
  <c r="AB141" i="42"/>
  <c r="AB388" i="42"/>
  <c r="AB201" i="42"/>
  <c r="AB205" i="42"/>
  <c r="AB268" i="42"/>
  <c r="AB435" i="42"/>
  <c r="AB380" i="42"/>
  <c r="AB261" i="42"/>
  <c r="AB154" i="42"/>
  <c r="AB315" i="42"/>
  <c r="AB173" i="42"/>
  <c r="AB46" i="42"/>
  <c r="AB257" i="42"/>
  <c r="AB358" i="42"/>
  <c r="AB142" i="42"/>
  <c r="AB471" i="42"/>
  <c r="AB260" i="42"/>
  <c r="AB242" i="42"/>
  <c r="AB153" i="42"/>
  <c r="AB304" i="42"/>
  <c r="AB213" i="42"/>
  <c r="AB433" i="42"/>
  <c r="AB391" i="42"/>
  <c r="AB127" i="42"/>
  <c r="AB223" i="42"/>
  <c r="AB57" i="42"/>
  <c r="AB305" i="42"/>
  <c r="AB457" i="42"/>
  <c r="AB458" i="42"/>
  <c r="AB488" i="42"/>
  <c r="AB67" i="42"/>
  <c r="AB224" i="42"/>
  <c r="AB462" i="42"/>
  <c r="AB402" i="42"/>
  <c r="AB310" i="42"/>
  <c r="AB114" i="42"/>
  <c r="AB70" i="42"/>
  <c r="AB359" i="42"/>
  <c r="AB166" i="42"/>
  <c r="AB55" i="42"/>
  <c r="AB335" i="42"/>
  <c r="AB84" i="42"/>
  <c r="AB27" i="42"/>
  <c r="AB160" i="42"/>
  <c r="AB499" i="42"/>
  <c r="AB194" i="42"/>
  <c r="AB122" i="42"/>
  <c r="AB112" i="42"/>
  <c r="AB314" i="42"/>
  <c r="AB106" i="42"/>
  <c r="AB156" i="42"/>
  <c r="AB249" i="42"/>
  <c r="AB300" i="42"/>
  <c r="AB493" i="42"/>
  <c r="AB157" i="42"/>
  <c r="AB162" i="42"/>
  <c r="AB110" i="42"/>
  <c r="AB403" i="42"/>
  <c r="AB15" i="42"/>
  <c r="AB212" i="42"/>
  <c r="AB495" i="42"/>
  <c r="AB264" i="42"/>
  <c r="AB56" i="42"/>
  <c r="AB177" i="42"/>
  <c r="AB290" i="42"/>
  <c r="AB203" i="42"/>
  <c r="AB269" i="42"/>
  <c r="AB460" i="42"/>
  <c r="AB437" i="42"/>
  <c r="AB76" i="42"/>
  <c r="AB262" i="42"/>
  <c r="AB371" i="42"/>
  <c r="AB496" i="42"/>
  <c r="AB196" i="42"/>
  <c r="AB86" i="42"/>
  <c r="AB325" i="42"/>
  <c r="AB283" i="42"/>
  <c r="AB35" i="42"/>
  <c r="AB422" i="42"/>
  <c r="AB480" i="42"/>
  <c r="AB256" i="42"/>
  <c r="AB307" i="42"/>
  <c r="AB416" i="42"/>
  <c r="AB276" i="42"/>
  <c r="AB292" i="42"/>
  <c r="AB222" i="42"/>
  <c r="AB439" i="42"/>
  <c r="AB356" i="42"/>
  <c r="AB131" i="42"/>
  <c r="AB373" i="42"/>
  <c r="AB235" i="42"/>
  <c r="AB400" i="42"/>
  <c r="AB165" i="42"/>
  <c r="AB216" i="42"/>
  <c r="AB172" i="42"/>
  <c r="AB147" i="42"/>
  <c r="AB282" i="42"/>
  <c r="AB301" i="42"/>
  <c r="AB33" i="42"/>
  <c r="AB34" i="42"/>
  <c r="AB382" i="42"/>
  <c r="AB473" i="42"/>
  <c r="AB97" i="42"/>
  <c r="AB377" i="42"/>
  <c r="AB424" i="42"/>
  <c r="AB247" i="42"/>
  <c r="AB367" i="42"/>
  <c r="AB117" i="42"/>
  <c r="AB183" i="42"/>
  <c r="AB230" i="42"/>
  <c r="AB397" i="42"/>
  <c r="AB286" i="42"/>
  <c r="AB451" i="42"/>
  <c r="AB72" i="42"/>
  <c r="AB486" i="42"/>
  <c r="AB87" i="42"/>
  <c r="AB190" i="42"/>
  <c r="AB407" i="42"/>
  <c r="AB53" i="42"/>
  <c r="AB438" i="42"/>
  <c r="AB108" i="42"/>
  <c r="AB374" i="42"/>
  <c r="AB450" i="42"/>
  <c r="AB186" i="42"/>
  <c r="AB88" i="42"/>
  <c r="AB296" i="42"/>
  <c r="AB342" i="42"/>
  <c r="AB253" i="42"/>
  <c r="AB109" i="42"/>
  <c r="AB327" i="42"/>
  <c r="AB217" i="42"/>
  <c r="AB126" i="42"/>
  <c r="AB378" i="42"/>
  <c r="AB193" i="42"/>
  <c r="AB43" i="42"/>
  <c r="AB317" i="42"/>
  <c r="AB130" i="42"/>
  <c r="AB295" i="42"/>
  <c r="AB398" i="42"/>
  <c r="AB236" i="42"/>
  <c r="AB42" i="42"/>
  <c r="AB436" i="42"/>
  <c r="AB159" i="42"/>
  <c r="AB240" i="42"/>
  <c r="AB237" i="42"/>
  <c r="AB80" i="42"/>
  <c r="AB243" i="42"/>
  <c r="AB345" i="42"/>
  <c r="AB74" i="42"/>
  <c r="AB453" i="42"/>
  <c r="AB429" i="42"/>
  <c r="AB485" i="42"/>
  <c r="AB207" i="42"/>
  <c r="AB368" i="42"/>
  <c r="AB322" i="42"/>
  <c r="AB204" i="42"/>
  <c r="AB30" i="42"/>
  <c r="AB492" i="42"/>
  <c r="AB324" i="42"/>
  <c r="AB170" i="42"/>
  <c r="AB93" i="42"/>
  <c r="AB102" i="42"/>
  <c r="AB180" i="42"/>
  <c r="AB430" i="42"/>
  <c r="AB353" i="42"/>
  <c r="AB245" i="42"/>
  <c r="AB139" i="42"/>
  <c r="AB298" i="42"/>
  <c r="AB291" i="42"/>
  <c r="AB475" i="42"/>
  <c r="AB104" i="42"/>
  <c r="AB278" i="42"/>
  <c r="AB355" i="42"/>
  <c r="AB238" i="42"/>
  <c r="AB379" i="42"/>
  <c r="AB339" i="42"/>
  <c r="AB489" i="42"/>
  <c r="AB92" i="42"/>
  <c r="AB187" i="42"/>
  <c r="AB393" i="42"/>
  <c r="AB299" i="42"/>
  <c r="AB22" i="42"/>
  <c r="AB148" i="42"/>
  <c r="AB96" i="42"/>
  <c r="AB23" i="42"/>
  <c r="AB482" i="42"/>
  <c r="AB265" i="42"/>
  <c r="AB340" i="42"/>
  <c r="AB390" i="42"/>
  <c r="AB229" i="42"/>
  <c r="AB452" i="42"/>
  <c r="AB306" i="42"/>
  <c r="AB446" i="42"/>
  <c r="AB406" i="42"/>
  <c r="AB318" i="42"/>
  <c r="AB431" i="42"/>
  <c r="AB383" i="42"/>
  <c r="AB36" i="42"/>
  <c r="AB61" i="42"/>
  <c r="AB326" i="42"/>
  <c r="AB124" i="42"/>
  <c r="AB442" i="42"/>
  <c r="AB361" i="42"/>
  <c r="AB21" i="42"/>
  <c r="AB332" i="42"/>
  <c r="AB18" i="42"/>
  <c r="AB455" i="42"/>
  <c r="AB477" i="42"/>
  <c r="AB227" i="42"/>
  <c r="AB313" i="42"/>
  <c r="AB85" i="42"/>
  <c r="AB125" i="42"/>
  <c r="AB319" i="42"/>
  <c r="AB118" i="42"/>
  <c r="AB472" i="42"/>
  <c r="AB362" i="42"/>
  <c r="AB100" i="42"/>
  <c r="AB425" i="42"/>
  <c r="AB95" i="42"/>
  <c r="AB233" i="42"/>
  <c r="AB208" i="42"/>
  <c r="AB199" i="42"/>
  <c r="AB54" i="42"/>
  <c r="AB75" i="42"/>
  <c r="AB191" i="42"/>
  <c r="AB381" i="42"/>
  <c r="AB28" i="42"/>
  <c r="AB188" i="42"/>
  <c r="AB164" i="42"/>
  <c r="AB116" i="42"/>
  <c r="AB144" i="42"/>
  <c r="AB497" i="42"/>
  <c r="AB145" i="42"/>
  <c r="AB413" i="42"/>
  <c r="AB396" i="42"/>
  <c r="AB461" i="42"/>
  <c r="AB426" i="42"/>
  <c r="AB411" i="42"/>
  <c r="AB385" i="42"/>
  <c r="AB41" i="42"/>
  <c r="AB45" i="42"/>
  <c r="AB182" i="42"/>
  <c r="AB48" i="42"/>
  <c r="AB202" i="42"/>
  <c r="AB133" i="42"/>
  <c r="AB115" i="42"/>
  <c r="AB189" i="42"/>
  <c r="AB351" i="42"/>
  <c r="AB263" i="42"/>
  <c r="AB140" i="42"/>
  <c r="AB239" i="42"/>
  <c r="AB372" i="42"/>
  <c r="AB123" i="42"/>
  <c r="AB155" i="42"/>
  <c r="AB417" i="42"/>
  <c r="AB24" i="42"/>
  <c r="AB363" i="42"/>
  <c r="AB132" i="42"/>
  <c r="AB387" i="42"/>
  <c r="AB449" i="42"/>
  <c r="AB29" i="42"/>
  <c r="AB376" i="42"/>
  <c r="AB252" i="42"/>
  <c r="AB210" i="42"/>
  <c r="AB14" i="42"/>
  <c r="AB476" i="42"/>
  <c r="AB432" i="42"/>
  <c r="AB158" i="42"/>
  <c r="AB129" i="42"/>
  <c r="AB386" i="42"/>
  <c r="AB26" i="42"/>
  <c r="AB90" i="42"/>
  <c r="AB266" i="42"/>
  <c r="AB469" i="42"/>
  <c r="AB73" i="42"/>
  <c r="AB137" i="42"/>
  <c r="AB244" i="42"/>
  <c r="AB288" i="42"/>
  <c r="AB336" i="42"/>
  <c r="AB234" i="42"/>
  <c r="AB365" i="42"/>
  <c r="AB128" i="42"/>
  <c r="AB309" i="42"/>
  <c r="AB334" i="42"/>
  <c r="AB47" i="42"/>
  <c r="AB328" i="42"/>
  <c r="AB16" i="42"/>
  <c r="AB394" i="42"/>
  <c r="AB255" i="42"/>
  <c r="AB333" i="42"/>
  <c r="AB181" i="42"/>
  <c r="AB484" i="42"/>
  <c r="AB119" i="42"/>
  <c r="AB350" i="42"/>
  <c r="AB219" i="42"/>
  <c r="AB311" i="42"/>
  <c r="AB274" i="42"/>
  <c r="AB107" i="42"/>
  <c r="AB198" i="42"/>
  <c r="AB192" i="42"/>
  <c r="AB50" i="42"/>
  <c r="AB91" i="42"/>
  <c r="AB490" i="42"/>
  <c r="AB443" i="42"/>
  <c r="AB101" i="42"/>
  <c r="AB215" i="42"/>
  <c r="AB294" i="42"/>
  <c r="AB412" i="42"/>
  <c r="AB303" i="42"/>
  <c r="AB60" i="42"/>
  <c r="AB79" i="42"/>
  <c r="M62" i="16" l="1"/>
  <c r="FE58" i="54"/>
  <c r="FI58" i="54" s="1"/>
  <c r="BF11" i="10"/>
  <c r="EU58" i="54"/>
  <c r="GU58" i="54" s="1"/>
  <c r="ET59" i="54"/>
  <c r="EU72" i="54"/>
  <c r="EV72" i="54"/>
  <c r="FN72" i="54"/>
  <c r="FO72" i="54" s="1"/>
  <c r="DL54" i="54"/>
  <c r="DO54" i="54" s="1"/>
  <c r="DK54" i="54"/>
  <c r="DN54" i="54"/>
  <c r="GC71" i="54"/>
  <c r="FC71" i="54"/>
  <c r="FA71" i="54"/>
  <c r="GB71" i="54" s="1"/>
  <c r="EZ71" i="54"/>
  <c r="FK71" i="54" s="1"/>
  <c r="EW71" i="54"/>
  <c r="EM54" i="54"/>
  <c r="GN50" i="54"/>
  <c r="BM3" i="40" s="1" a="1"/>
  <c r="BM3" i="40" s="1"/>
  <c r="FP70" i="54" a="1"/>
  <c r="FP70" i="54" s="1"/>
  <c r="FQ70" i="54" s="1"/>
  <c r="FZ70" i="54" a="1"/>
  <c r="FZ70" i="54" s="1"/>
  <c r="GA70" i="54" s="1"/>
  <c r="FV70" i="54" a="1"/>
  <c r="FV70" i="54" s="1"/>
  <c r="FW70" i="54" s="1"/>
  <c r="FX70" i="54" a="1"/>
  <c r="FX70" i="54" s="1"/>
  <c r="FY70" i="54" s="1"/>
  <c r="FR70" i="54" a="1"/>
  <c r="FR70" i="54" s="1"/>
  <c r="FS70" i="54" s="1"/>
  <c r="FT70" i="54" a="1"/>
  <c r="FT70" i="54" s="1"/>
  <c r="FU70" i="54" s="1"/>
  <c r="L51" i="16"/>
  <c r="L52" i="16"/>
  <c r="FF59" i="54"/>
  <c r="FD59" i="54"/>
  <c r="FG59" i="54"/>
  <c r="DG59" i="54"/>
  <c r="DH59" i="54" s="1"/>
  <c r="DJ59" i="54" s="1" a="1"/>
  <c r="DJ59" i="54" s="1"/>
  <c r="EL59" i="54"/>
  <c r="EK60" i="54"/>
  <c r="AG3" i="40" s="1" a="1"/>
  <c r="AG3" i="40" s="1"/>
  <c r="EM58" i="54"/>
  <c r="CY34" i="54"/>
  <c r="CZ33" i="54"/>
  <c r="EV12" i="54"/>
  <c r="EU12" i="54"/>
  <c r="GU12" i="54" s="1"/>
  <c r="ET13" i="54"/>
  <c r="FT71" i="54" a="1"/>
  <c r="FT71" i="54" s="1"/>
  <c r="FU71" i="54" s="1"/>
  <c r="FZ71" i="54" a="1"/>
  <c r="FZ71" i="54" s="1"/>
  <c r="GA71" i="54" s="1"/>
  <c r="FV71" i="54" a="1"/>
  <c r="FV71" i="54" s="1"/>
  <c r="FW71" i="54" s="1"/>
  <c r="FX71" i="54" a="1"/>
  <c r="FX71" i="54" s="1"/>
  <c r="FY71" i="54" s="1"/>
  <c r="FP71" i="54" a="1"/>
  <c r="FP71" i="54" s="1"/>
  <c r="FQ71" i="54" s="1"/>
  <c r="FR71" i="54" a="1"/>
  <c r="FR71" i="54" s="1"/>
  <c r="FS71" i="54" s="1"/>
  <c r="FB21" i="54"/>
  <c r="W3" i="40" s="1" a="1"/>
  <c r="W3" i="40" s="1"/>
  <c r="FD21" i="54"/>
  <c r="FD22" i="54" s="1"/>
  <c r="AU3" i="40" a="1"/>
  <c r="AU3" i="40" s="1"/>
  <c r="EZ11" i="54"/>
  <c r="FK11" i="54" s="1"/>
  <c r="FC11" i="54"/>
  <c r="EW11" i="54"/>
  <c r="GC11" i="54"/>
  <c r="FA11" i="54"/>
  <c r="GB11" i="54" s="1"/>
  <c r="GV9" i="54"/>
  <c r="AR9" i="54"/>
  <c r="L53" i="16"/>
  <c r="O53" i="16" s="1"/>
  <c r="N4" i="42"/>
  <c r="P4" i="42" s="1"/>
  <c r="AE4" i="42" s="1"/>
  <c r="N5" i="42"/>
  <c r="P5" i="42" s="1"/>
  <c r="AE5" i="42" s="1"/>
  <c r="AF5" i="42" s="1"/>
  <c r="N6" i="42"/>
  <c r="P6" i="42" s="1"/>
  <c r="AE6" i="42" s="1"/>
  <c r="AF6" i="42" s="1"/>
  <c r="N7" i="42"/>
  <c r="P7" i="42" s="1"/>
  <c r="AE7" i="42" s="1"/>
  <c r="AF7" i="42" s="1"/>
  <c r="N8" i="42"/>
  <c r="P8" i="42" s="1"/>
  <c r="AE8" i="42" s="1"/>
  <c r="AF8" i="42" s="1"/>
  <c r="M24" i="16"/>
  <c r="N9" i="42"/>
  <c r="P9" i="42" s="1"/>
  <c r="AE9" i="42" s="1"/>
  <c r="N10" i="42"/>
  <c r="P10" i="42" s="1"/>
  <c r="AE10" i="42" s="1"/>
  <c r="AF10" i="42" s="1"/>
  <c r="DN58" i="54"/>
  <c r="DL58" i="54"/>
  <c r="DO58" i="54" s="1"/>
  <c r="DK58" i="54"/>
  <c r="FT64" i="54" a="1"/>
  <c r="FT64" i="54" s="1"/>
  <c r="FU64" i="54" s="1"/>
  <c r="FX64" i="54" a="1"/>
  <c r="FX64" i="54" s="1"/>
  <c r="FY64" i="54" s="1"/>
  <c r="FR64" i="54" a="1"/>
  <c r="FR64" i="54" s="1"/>
  <c r="FS64" i="54" s="1"/>
  <c r="FV64" i="54" a="1"/>
  <c r="FV64" i="54" s="1"/>
  <c r="FW64" i="54" s="1"/>
  <c r="FP64" i="54" a="1"/>
  <c r="FP64" i="54" s="1"/>
  <c r="FQ64" i="54" s="1"/>
  <c r="FZ64" i="54" a="1"/>
  <c r="FZ64" i="54" s="1"/>
  <c r="GA64" i="54" s="1"/>
  <c r="GV10" i="54"/>
  <c r="AR10" i="54"/>
  <c r="FK70" i="54"/>
  <c r="GV70" i="54" s="1"/>
  <c r="FI21" i="54"/>
  <c r="FE22" i="54"/>
  <c r="FI22" i="54" s="1"/>
  <c r="P34" i="42"/>
  <c r="AE34" i="42" s="1"/>
  <c r="BF16" i="10"/>
  <c r="L58" i="16"/>
  <c r="M58" i="16" s="1"/>
  <c r="BF12" i="10"/>
  <c r="M63" i="16"/>
  <c r="FE59" i="54" l="1"/>
  <c r="FI59" i="54" s="1"/>
  <c r="L4" i="16"/>
  <c r="L13" i="16"/>
  <c r="L5" i="16"/>
  <c r="L6" i="16"/>
  <c r="L23" i="16"/>
  <c r="L8" i="16"/>
  <c r="L12" i="16"/>
  <c r="L19" i="16"/>
  <c r="L17" i="16"/>
  <c r="L18" i="16"/>
  <c r="L10" i="16"/>
  <c r="L20" i="16"/>
  <c r="L15" i="16"/>
  <c r="L16" i="16"/>
  <c r="L21" i="16"/>
  <c r="L22" i="16"/>
  <c r="L14" i="16"/>
  <c r="L11" i="16"/>
  <c r="L7" i="16"/>
  <c r="L9" i="16"/>
  <c r="GC12" i="54"/>
  <c r="FA12" i="54"/>
  <c r="GB12" i="54" s="1"/>
  <c r="FC12" i="54"/>
  <c r="EW12" i="54"/>
  <c r="EZ12" i="54"/>
  <c r="FK12" i="54" s="1"/>
  <c r="M52" i="16"/>
  <c r="N52" i="16"/>
  <c r="O52" i="16"/>
  <c r="AR70" i="54"/>
  <c r="EU13" i="54"/>
  <c r="GU13" i="54" s="1"/>
  <c r="EV13" i="54"/>
  <c r="ET14" i="54"/>
  <c r="M51" i="16"/>
  <c r="N51" i="16"/>
  <c r="O51" i="16"/>
  <c r="GV11" i="54"/>
  <c r="AR11" i="54"/>
  <c r="CZ34" i="54"/>
  <c r="CY35" i="54"/>
  <c r="FX72" i="54" a="1"/>
  <c r="FX72" i="54" s="1"/>
  <c r="FY72" i="54" s="1"/>
  <c r="FR72" i="54" a="1"/>
  <c r="FR72" i="54" s="1"/>
  <c r="FS72" i="54" s="1"/>
  <c r="FZ72" i="54" a="1"/>
  <c r="FZ72" i="54" s="1"/>
  <c r="GA72" i="54" s="1"/>
  <c r="FP72" i="54" a="1"/>
  <c r="FP72" i="54" s="1"/>
  <c r="FQ72" i="54" s="1"/>
  <c r="FT72" i="54" a="1"/>
  <c r="FT72" i="54" s="1"/>
  <c r="FU72" i="54" s="1"/>
  <c r="FV72" i="54" a="1"/>
  <c r="FV72" i="54" s="1"/>
  <c r="FW72" i="54" s="1"/>
  <c r="EZ72" i="54"/>
  <c r="FA72" i="54"/>
  <c r="GC72" i="54"/>
  <c r="FC72" i="54"/>
  <c r="EW72" i="54"/>
  <c r="GU72" i="54"/>
  <c r="FF60" i="54"/>
  <c r="FG60" i="54"/>
  <c r="FD60" i="54"/>
  <c r="EL60" i="54"/>
  <c r="DG60" i="54"/>
  <c r="DH60" i="54" s="1"/>
  <c r="DJ60" i="54" s="1" a="1"/>
  <c r="DJ60" i="54" s="1"/>
  <c r="EU59" i="54"/>
  <c r="GU59" i="54" s="1"/>
  <c r="ET60" i="54"/>
  <c r="EM59" i="54"/>
  <c r="M53" i="16"/>
  <c r="DN59" i="54"/>
  <c r="DK59" i="54"/>
  <c r="DL59" i="54"/>
  <c r="DO59" i="54" s="1"/>
  <c r="N53" i="16"/>
  <c r="GV71" i="54"/>
  <c r="AR71" i="54"/>
  <c r="L54" i="16"/>
  <c r="M54" i="16" s="1"/>
  <c r="N58" i="16"/>
  <c r="O58" i="16"/>
  <c r="L60" i="16"/>
  <c r="O60" i="16" s="1"/>
  <c r="L59" i="16"/>
  <c r="N59" i="16" s="1"/>
  <c r="L56" i="16"/>
  <c r="N56" i="16" s="1"/>
  <c r="L55" i="16"/>
  <c r="N55" i="16" s="1"/>
  <c r="L57" i="16"/>
  <c r="N57" i="16" s="1"/>
  <c r="FE60" i="54" l="1"/>
  <c r="FI60" i="54" s="1"/>
  <c r="EM60" i="54"/>
  <c r="BA3" i="40" s="1" a="1"/>
  <c r="BA3" i="40" s="1"/>
  <c r="AZ3" i="40" a="1"/>
  <c r="AZ3" i="40" s="1"/>
  <c r="M20" i="16"/>
  <c r="AG20" i="42"/>
  <c r="AH20" i="42" s="1"/>
  <c r="M15" i="16"/>
  <c r="AG15" i="42"/>
  <c r="AH15" i="42" s="1"/>
  <c r="M10" i="16"/>
  <c r="AG10" i="42"/>
  <c r="AH10" i="42" s="1"/>
  <c r="M21" i="16"/>
  <c r="AG21" i="42"/>
  <c r="AH21" i="42" s="1"/>
  <c r="M18" i="16"/>
  <c r="AG18" i="42"/>
  <c r="AH18" i="42" s="1"/>
  <c r="M17" i="16"/>
  <c r="AG17" i="42"/>
  <c r="AH17" i="42" s="1"/>
  <c r="M19" i="16"/>
  <c r="AG19" i="42"/>
  <c r="AH19" i="42" s="1"/>
  <c r="M16" i="16"/>
  <c r="AG16" i="42"/>
  <c r="AH16" i="42" s="1"/>
  <c r="GV12" i="54"/>
  <c r="AR12" i="54"/>
  <c r="M12" i="16"/>
  <c r="AG12" i="42"/>
  <c r="AH12" i="42" s="1"/>
  <c r="M8" i="16"/>
  <c r="AG8" i="42"/>
  <c r="AH8" i="42" s="1"/>
  <c r="AG23" i="42"/>
  <c r="AH23" i="42" s="1"/>
  <c r="M23" i="16"/>
  <c r="EU60" i="54"/>
  <c r="GU60" i="54" s="1"/>
  <c r="GB72" i="54"/>
  <c r="M9" i="16"/>
  <c r="AG9" i="42"/>
  <c r="AH9" i="42" s="1"/>
  <c r="M6" i="16"/>
  <c r="AG6" i="42"/>
  <c r="AH6" i="42" s="1"/>
  <c r="M7" i="16"/>
  <c r="AG7" i="42"/>
  <c r="AH7" i="42" s="1"/>
  <c r="M22" i="16"/>
  <c r="AG22" i="42"/>
  <c r="AH22" i="42" s="1"/>
  <c r="CY36" i="54"/>
  <c r="CZ35" i="54"/>
  <c r="FK72" i="54"/>
  <c r="M5" i="16"/>
  <c r="AG5" i="42"/>
  <c r="EU14" i="54"/>
  <c r="GU14" i="54" s="1"/>
  <c r="EV14" i="54"/>
  <c r="ET15" i="54"/>
  <c r="M11" i="16"/>
  <c r="AG11" i="42"/>
  <c r="AH11" i="42" s="1"/>
  <c r="AG13" i="42"/>
  <c r="AH13" i="42" s="1"/>
  <c r="M13" i="16"/>
  <c r="DN60" i="54"/>
  <c r="BQ10" i="53" s="1"/>
  <c r="BR10" i="53" s="1" a="1"/>
  <c r="BR10" i="53" s="1"/>
  <c r="DK60" i="54"/>
  <c r="AC3" i="56" s="1" a="1"/>
  <c r="AC3" i="56" s="1"/>
  <c r="DL60" i="54"/>
  <c r="DO60" i="54" s="1"/>
  <c r="FA13" i="54"/>
  <c r="GB13" i="54" s="1"/>
  <c r="EZ13" i="54"/>
  <c r="FK13" i="54" s="1"/>
  <c r="FC13" i="54"/>
  <c r="EW13" i="54"/>
  <c r="GC13" i="54"/>
  <c r="M14" i="16"/>
  <c r="AG14" i="42"/>
  <c r="AH14" i="42" s="1"/>
  <c r="AG4" i="42"/>
  <c r="AH4" i="42" s="1"/>
  <c r="M4" i="16"/>
  <c r="O57" i="16"/>
  <c r="M56" i="16"/>
  <c r="O56" i="16"/>
  <c r="O59" i="16"/>
  <c r="N54" i="16"/>
  <c r="O55" i="16"/>
  <c r="O54" i="16"/>
  <c r="M59" i="16"/>
  <c r="M55" i="16"/>
  <c r="M57" i="16"/>
  <c r="M60" i="16"/>
  <c r="N60" i="16"/>
  <c r="D20" i="56" l="1" a="1"/>
  <c r="D20" i="56" s="1"/>
  <c r="D9" i="56" a="1"/>
  <c r="D9" i="56" s="1"/>
  <c r="E9" i="56" a="1"/>
  <c r="E9" i="56" s="1"/>
  <c r="F53" i="56" a="1"/>
  <c r="F53" i="56" s="1"/>
  <c r="D53" i="56" a="1"/>
  <c r="D53" i="56" s="1"/>
  <c r="C53" i="56" a="1"/>
  <c r="C53" i="56" s="1"/>
  <c r="E53" i="56" a="1"/>
  <c r="E53" i="56" s="1"/>
  <c r="C83" i="56" a="1"/>
  <c r="C83" i="56" s="1"/>
  <c r="D42" i="56" a="1"/>
  <c r="D42" i="56" s="1"/>
  <c r="F9" i="56" a="1"/>
  <c r="F9" i="56" s="1"/>
  <c r="D31" i="56" a="1"/>
  <c r="D31" i="56" s="1"/>
  <c r="G9" i="56" a="1"/>
  <c r="G9" i="56" s="1"/>
  <c r="C5" i="56" a="1"/>
  <c r="C5" i="56" s="1"/>
  <c r="G53" i="56" a="1"/>
  <c r="G53" i="56" s="1"/>
  <c r="C42" i="56" a="1"/>
  <c r="C42" i="56" s="1"/>
  <c r="BW10" i="53"/>
  <c r="V10" i="53" s="1"/>
  <c r="EU15" i="54"/>
  <c r="EV15" i="54"/>
  <c r="ET16" i="54"/>
  <c r="FA14" i="54"/>
  <c r="GB14" i="54" s="1"/>
  <c r="EZ14" i="54"/>
  <c r="FK14" i="54" s="1"/>
  <c r="GC14" i="54"/>
  <c r="EW14" i="54"/>
  <c r="FC14" i="54"/>
  <c r="CZ36" i="54"/>
  <c r="CY37" i="54"/>
  <c r="AH5" i="42"/>
  <c r="R28" i="42" s="1"/>
  <c r="GV72" i="54"/>
  <c r="AR72" i="54"/>
  <c r="GV13" i="54"/>
  <c r="AR13" i="54"/>
  <c r="A5" i="60" l="1" a="1"/>
  <c r="A5" i="60" s="1"/>
  <c r="C31" i="56" a="1"/>
  <c r="C31" i="56" s="1"/>
  <c r="C87" i="56"/>
  <c r="C84" i="56"/>
  <c r="C85" i="56" s="1" a="1"/>
  <c r="C85" i="56" s="1"/>
  <c r="C86" i="56" s="1"/>
  <c r="GU15" i="54"/>
  <c r="CY38" i="54"/>
  <c r="CZ37" i="54"/>
  <c r="GV14" i="54"/>
  <c r="AR14" i="54"/>
  <c r="FA15" i="54"/>
  <c r="GB15" i="54" s="1"/>
  <c r="EZ15" i="54"/>
  <c r="FK15" i="54" s="1"/>
  <c r="GC15" i="54"/>
  <c r="FC15" i="54"/>
  <c r="EW15" i="54"/>
  <c r="EV16" i="54"/>
  <c r="EU16" i="54"/>
  <c r="GU16" i="54" s="1"/>
  <c r="ET17" i="54"/>
  <c r="D5" i="56"/>
  <c r="C88" i="56"/>
  <c r="C9" i="56" l="1" a="1"/>
  <c r="C9" i="56" s="1"/>
  <c r="H9" i="56" a="1"/>
  <c r="H9" i="56" s="1"/>
  <c r="C20" i="56" a="1"/>
  <c r="C20" i="56" s="1"/>
  <c r="C64" i="56" a="1"/>
  <c r="C64" i="56" s="1"/>
  <c r="EU17" i="54"/>
  <c r="EV17" i="54"/>
  <c r="ET18" i="54"/>
  <c r="EW16" i="54"/>
  <c r="EZ16" i="54"/>
  <c r="GC16" i="54"/>
  <c r="FA16" i="54"/>
  <c r="FC16" i="54"/>
  <c r="GV15" i="54"/>
  <c r="AR15" i="54"/>
  <c r="CZ38" i="54"/>
  <c r="CY39" i="54"/>
  <c r="GB16" i="54" l="1"/>
  <c r="FK16" i="54"/>
  <c r="EU18" i="54"/>
  <c r="GU18" i="54" s="1"/>
  <c r="EV18" i="54"/>
  <c r="ET19" i="54"/>
  <c r="CY40" i="54"/>
  <c r="CZ39" i="54"/>
  <c r="GU17" i="54"/>
  <c r="GC17" i="54"/>
  <c r="FC17" i="54"/>
  <c r="EW17" i="54"/>
  <c r="EZ17" i="54"/>
  <c r="FK17" i="54" s="1"/>
  <c r="FA17" i="54"/>
  <c r="GB17" i="54" s="1"/>
  <c r="CY41" i="54" l="1"/>
  <c r="CZ40" i="54"/>
  <c r="EV19" i="54"/>
  <c r="EU19" i="54"/>
  <c r="ET20" i="54"/>
  <c r="FA18" i="54"/>
  <c r="FC18" i="54"/>
  <c r="GC18" i="54"/>
  <c r="EZ18" i="54"/>
  <c r="EW18" i="54"/>
  <c r="GV16" i="54"/>
  <c r="AR16" i="54"/>
  <c r="GV17" i="54"/>
  <c r="AR17" i="54"/>
  <c r="FK18" i="54" l="1"/>
  <c r="GB18" i="54"/>
  <c r="EV20" i="54"/>
  <c r="EU20" i="54"/>
  <c r="GU20" i="54" s="1"/>
  <c r="ET21" i="54"/>
  <c r="GU19" i="54"/>
  <c r="GC19" i="54"/>
  <c r="EW19" i="54"/>
  <c r="FA19" i="54"/>
  <c r="GB19" i="54" s="1"/>
  <c r="EZ19" i="54"/>
  <c r="FK19" i="54" s="1"/>
  <c r="FC19" i="54"/>
  <c r="CZ41" i="54"/>
  <c r="CY42" i="54"/>
  <c r="CY43" i="54" l="1"/>
  <c r="CZ42" i="54"/>
  <c r="GV19" i="54"/>
  <c r="AR19" i="54"/>
  <c r="EU21" i="54"/>
  <c r="GU21" i="54" s="1"/>
  <c r="EV21" i="54"/>
  <c r="ET22" i="54"/>
  <c r="FN21" i="54"/>
  <c r="FO21" i="54" s="1"/>
  <c r="FC20" i="54"/>
  <c r="GC20" i="54"/>
  <c r="EZ20" i="54"/>
  <c r="FK20" i="54" s="1"/>
  <c r="EW20" i="54"/>
  <c r="FA20" i="54"/>
  <c r="GB20" i="54" s="1"/>
  <c r="GV18" i="54"/>
  <c r="AR18" i="54"/>
  <c r="GV20" i="54" l="1"/>
  <c r="AR20" i="54"/>
  <c r="FT21" i="54" a="1"/>
  <c r="FT21" i="54" s="1"/>
  <c r="FU21" i="54" s="1"/>
  <c r="FZ21" i="54" a="1"/>
  <c r="FZ21" i="54" s="1"/>
  <c r="GA21" i="54" s="1"/>
  <c r="FV21" i="54" a="1"/>
  <c r="FV21" i="54" s="1"/>
  <c r="FW21" i="54" s="1"/>
  <c r="FP21" i="54" a="1"/>
  <c r="FP21" i="54" s="1"/>
  <c r="FX21" i="54" a="1"/>
  <c r="FX21" i="54" s="1"/>
  <c r="FY21" i="54" s="1"/>
  <c r="FR21" i="54" a="1"/>
  <c r="FR21" i="54" s="1"/>
  <c r="FS21" i="54" s="1"/>
  <c r="EU22" i="54"/>
  <c r="GU22" i="54" s="1"/>
  <c r="EV22" i="54"/>
  <c r="ET23" i="54"/>
  <c r="FN22" i="54"/>
  <c r="FO22" i="54" s="1"/>
  <c r="EW21" i="54"/>
  <c r="GC21" i="54"/>
  <c r="EZ21" i="54"/>
  <c r="FK21" i="54" s="1"/>
  <c r="FA21" i="54"/>
  <c r="GB21" i="54" s="1"/>
  <c r="FC21" i="54"/>
  <c r="CZ43" i="54"/>
  <c r="CY44" i="54"/>
  <c r="GV21" i="54" l="1"/>
  <c r="AR21" i="54"/>
  <c r="EV23" i="54"/>
  <c r="EU23" i="54"/>
  <c r="GU23" i="54" s="1"/>
  <c r="ET24" i="54"/>
  <c r="FN23" i="54"/>
  <c r="FO23" i="54" s="1"/>
  <c r="CY45" i="54"/>
  <c r="CZ44" i="54"/>
  <c r="FR22" i="54" a="1"/>
  <c r="FR22" i="54" s="1"/>
  <c r="FS22" i="54" s="1"/>
  <c r="FP22" i="54" a="1"/>
  <c r="FP22" i="54" s="1"/>
  <c r="FQ22" i="54" s="1"/>
  <c r="FV22" i="54" a="1"/>
  <c r="FV22" i="54" s="1"/>
  <c r="FW22" i="54" s="1"/>
  <c r="FT22" i="54" a="1"/>
  <c r="FT22" i="54" s="1"/>
  <c r="FU22" i="54" s="1"/>
  <c r="FZ22" i="54" a="1"/>
  <c r="FZ22" i="54" s="1"/>
  <c r="GA22" i="54" s="1"/>
  <c r="FX22" i="54" a="1"/>
  <c r="FX22" i="54" s="1"/>
  <c r="FY22" i="54" s="1"/>
  <c r="GC22" i="54"/>
  <c r="EW22" i="54"/>
  <c r="FC22" i="54"/>
  <c r="EZ22" i="54"/>
  <c r="FK22" i="54" s="1"/>
  <c r="FA22" i="54"/>
  <c r="GB22" i="54" s="1"/>
  <c r="FQ21" i="54"/>
  <c r="CY46" i="54" l="1"/>
  <c r="CZ45" i="54"/>
  <c r="FV23" i="54" a="1"/>
  <c r="FV23" i="54" s="1"/>
  <c r="FW23" i="54" s="1"/>
  <c r="FR23" i="54" a="1"/>
  <c r="FR23" i="54" s="1"/>
  <c r="FS23" i="54" s="1"/>
  <c r="FX23" i="54" a="1"/>
  <c r="FX23" i="54" s="1"/>
  <c r="FY23" i="54" s="1"/>
  <c r="FT23" i="54" a="1"/>
  <c r="FT23" i="54" s="1"/>
  <c r="FU23" i="54" s="1"/>
  <c r="FP23" i="54" a="1"/>
  <c r="FP23" i="54" s="1"/>
  <c r="FQ23" i="54" s="1"/>
  <c r="FZ23" i="54" a="1"/>
  <c r="FZ23" i="54" s="1"/>
  <c r="GA23" i="54" s="1"/>
  <c r="EU24" i="54"/>
  <c r="GU24" i="54" s="1"/>
  <c r="EV24" i="54"/>
  <c r="ET25" i="54"/>
  <c r="FN24" i="54"/>
  <c r="FO24" i="54" s="1"/>
  <c r="GC23" i="54"/>
  <c r="FC23" i="54"/>
  <c r="FA23" i="54"/>
  <c r="GB23" i="54" s="1"/>
  <c r="EZ23" i="54"/>
  <c r="EW23" i="54"/>
  <c r="GV22" i="54"/>
  <c r="AR22" i="54"/>
  <c r="EU25" i="54" l="1"/>
  <c r="GU25" i="54" s="1"/>
  <c r="EV25" i="54"/>
  <c r="ET26" i="54"/>
  <c r="FN25" i="54"/>
  <c r="FO25" i="54" s="1"/>
  <c r="EZ24" i="54"/>
  <c r="FK24" i="54" s="1"/>
  <c r="GC24" i="54"/>
  <c r="FC24" i="54"/>
  <c r="FA24" i="54"/>
  <c r="GB24" i="54" s="1"/>
  <c r="EW24" i="54"/>
  <c r="FZ24" i="54" a="1"/>
  <c r="FZ24" i="54" s="1"/>
  <c r="GA24" i="54" s="1"/>
  <c r="FT24" i="54" a="1"/>
  <c r="FT24" i="54" s="1"/>
  <c r="FU24" i="54" s="1"/>
  <c r="FV24" i="54" a="1"/>
  <c r="FV24" i="54" s="1"/>
  <c r="FW24" i="54" s="1"/>
  <c r="FX24" i="54" a="1"/>
  <c r="FX24" i="54" s="1"/>
  <c r="FY24" i="54" s="1"/>
  <c r="FP24" i="54" a="1"/>
  <c r="FP24" i="54" s="1"/>
  <c r="FQ24" i="54" s="1"/>
  <c r="FR24" i="54" a="1"/>
  <c r="FR24" i="54" s="1"/>
  <c r="FS24" i="54" s="1"/>
  <c r="FK23" i="54"/>
  <c r="CY47" i="54"/>
  <c r="CZ46" i="54"/>
  <c r="GV24" i="54" l="1"/>
  <c r="AR24" i="54"/>
  <c r="FZ25" i="54" a="1"/>
  <c r="FZ25" i="54" s="1"/>
  <c r="GA25" i="54" s="1"/>
  <c r="FP25" i="54" a="1"/>
  <c r="FP25" i="54" s="1"/>
  <c r="FX25" i="54" a="1"/>
  <c r="FX25" i="54" s="1"/>
  <c r="FY25" i="54" s="1"/>
  <c r="FV25" i="54" a="1"/>
  <c r="FV25" i="54" s="1"/>
  <c r="FW25" i="54" s="1"/>
  <c r="FT25" i="54" a="1"/>
  <c r="FT25" i="54" s="1"/>
  <c r="FU25" i="54" s="1"/>
  <c r="FR25" i="54" a="1"/>
  <c r="FR25" i="54" s="1"/>
  <c r="FS25" i="54" s="1"/>
  <c r="EU26" i="54"/>
  <c r="GU26" i="54" s="1"/>
  <c r="EV26" i="54"/>
  <c r="ET27" i="54"/>
  <c r="FN26" i="54"/>
  <c r="FO26" i="54" s="1"/>
  <c r="CY48" i="54"/>
  <c r="CZ47" i="54"/>
  <c r="GC25" i="54"/>
  <c r="FA25" i="54"/>
  <c r="GB25" i="54" s="1"/>
  <c r="EZ25" i="54"/>
  <c r="FK25" i="54" s="1"/>
  <c r="FC25" i="54"/>
  <c r="EW25" i="54"/>
  <c r="GV23" i="54"/>
  <c r="AR23" i="54"/>
  <c r="CY49" i="54" l="1"/>
  <c r="CZ48" i="54"/>
  <c r="EU27" i="54"/>
  <c r="GU27" i="54" s="1"/>
  <c r="EV27" i="54"/>
  <c r="ET28" i="54"/>
  <c r="FN27" i="54"/>
  <c r="FO27" i="54" s="1"/>
  <c r="FC26" i="54"/>
  <c r="GC26" i="54"/>
  <c r="EW26" i="54"/>
  <c r="EZ26" i="54"/>
  <c r="FK26" i="54" s="1"/>
  <c r="FA26" i="54"/>
  <c r="GB26" i="54" s="1"/>
  <c r="FQ25" i="54"/>
  <c r="FT26" i="54" a="1"/>
  <c r="FT26" i="54" s="1"/>
  <c r="FU26" i="54" s="1"/>
  <c r="FZ26" i="54" a="1"/>
  <c r="FZ26" i="54" s="1"/>
  <c r="GA26" i="54" s="1"/>
  <c r="FX26" i="54" a="1"/>
  <c r="FX26" i="54" s="1"/>
  <c r="FY26" i="54" s="1"/>
  <c r="FR26" i="54" a="1"/>
  <c r="FR26" i="54" s="1"/>
  <c r="FS26" i="54" s="1"/>
  <c r="FP26" i="54" a="1"/>
  <c r="FP26" i="54" s="1"/>
  <c r="FQ26" i="54" s="1"/>
  <c r="FV26" i="54" a="1"/>
  <c r="FV26" i="54" s="1"/>
  <c r="FW26" i="54" s="1"/>
  <c r="GV25" i="54"/>
  <c r="AR25" i="54"/>
  <c r="GC27" i="54" l="1"/>
  <c r="EW27" i="54"/>
  <c r="EZ27" i="54"/>
  <c r="FK27" i="54" s="1"/>
  <c r="FA27" i="54"/>
  <c r="GB27" i="54" s="1"/>
  <c r="FC27" i="54"/>
  <c r="GV26" i="54"/>
  <c r="AR26" i="54"/>
  <c r="EU28" i="54"/>
  <c r="GU28" i="54" s="1"/>
  <c r="EV28" i="54"/>
  <c r="ET29" i="54"/>
  <c r="FN28" i="54"/>
  <c r="FO28" i="54" s="1"/>
  <c r="FR27" i="54" a="1"/>
  <c r="FR27" i="54" s="1"/>
  <c r="FS27" i="54" s="1"/>
  <c r="FP27" i="54" a="1"/>
  <c r="FP27" i="54" s="1"/>
  <c r="FQ27" i="54" s="1"/>
  <c r="FV27" i="54" a="1"/>
  <c r="FV27" i="54" s="1"/>
  <c r="FW27" i="54" s="1"/>
  <c r="FZ27" i="54" a="1"/>
  <c r="FZ27" i="54" s="1"/>
  <c r="GA27" i="54" s="1"/>
  <c r="FX27" i="54" a="1"/>
  <c r="FX27" i="54" s="1"/>
  <c r="FY27" i="54" s="1"/>
  <c r="FT27" i="54" a="1"/>
  <c r="FT27" i="54" s="1"/>
  <c r="FU27" i="54" s="1"/>
  <c r="CY50" i="54"/>
  <c r="CZ49" i="54"/>
  <c r="GV27" i="54" l="1"/>
  <c r="AR27" i="54"/>
  <c r="CY51" i="54"/>
  <c r="CZ50" i="54"/>
  <c r="FX28" i="54" a="1"/>
  <c r="FX28" i="54" s="1"/>
  <c r="FY28" i="54" s="1"/>
  <c r="FR28" i="54" a="1"/>
  <c r="FR28" i="54" s="1"/>
  <c r="FS28" i="54" s="1"/>
  <c r="FT28" i="54" a="1"/>
  <c r="FT28" i="54" s="1"/>
  <c r="FU28" i="54" s="1"/>
  <c r="FP28" i="54" a="1"/>
  <c r="FP28" i="54" s="1"/>
  <c r="FQ28" i="54" s="1"/>
  <c r="FV28" i="54" a="1"/>
  <c r="FV28" i="54" s="1"/>
  <c r="FW28" i="54" s="1"/>
  <c r="FZ28" i="54" a="1"/>
  <c r="FZ28" i="54" s="1"/>
  <c r="GA28" i="54" s="1"/>
  <c r="EV29" i="54"/>
  <c r="EU29" i="54"/>
  <c r="GU29" i="54" s="1"/>
  <c r="ET30" i="54"/>
  <c r="FN29" i="54"/>
  <c r="FO29" i="54" s="1"/>
  <c r="GC28" i="54"/>
  <c r="EZ28" i="54"/>
  <c r="FK28" i="54" s="1"/>
  <c r="FA28" i="54"/>
  <c r="GB28" i="54" s="1"/>
  <c r="FC28" i="54"/>
  <c r="EW28" i="54"/>
  <c r="GV28" i="54" l="1"/>
  <c r="AR28" i="54"/>
  <c r="EV30" i="54"/>
  <c r="EU30" i="54"/>
  <c r="GU30" i="54" s="1"/>
  <c r="ET31" i="54"/>
  <c r="FN30" i="54"/>
  <c r="FO30" i="54" s="1"/>
  <c r="CY52" i="54"/>
  <c r="CZ51" i="54"/>
  <c r="FA29" i="54"/>
  <c r="GB29" i="54" s="1"/>
  <c r="GC29" i="54"/>
  <c r="FC29" i="54"/>
  <c r="EZ29" i="54"/>
  <c r="FK29" i="54" s="1"/>
  <c r="EW29" i="54"/>
  <c r="FX29" i="54" a="1"/>
  <c r="FX29" i="54" s="1"/>
  <c r="FY29" i="54" s="1"/>
  <c r="FR29" i="54" a="1"/>
  <c r="FR29" i="54" s="1"/>
  <c r="FS29" i="54" s="1"/>
  <c r="FV29" i="54" a="1"/>
  <c r="FV29" i="54" s="1"/>
  <c r="FW29" i="54" s="1"/>
  <c r="FP29" i="54" a="1"/>
  <c r="FP29" i="54" s="1"/>
  <c r="FQ29" i="54" s="1"/>
  <c r="FZ29" i="54" a="1"/>
  <c r="FZ29" i="54" s="1"/>
  <c r="GA29" i="54" s="1"/>
  <c r="FT29" i="54" a="1"/>
  <c r="FT29" i="54" s="1"/>
  <c r="FU29" i="54" s="1"/>
  <c r="CZ52" i="54" l="1"/>
  <c r="CY53" i="54"/>
  <c r="EU31" i="54"/>
  <c r="GU31" i="54" s="1"/>
  <c r="EV31" i="54"/>
  <c r="ET32" i="54"/>
  <c r="FN31" i="54"/>
  <c r="FO31" i="54" s="1"/>
  <c r="FZ30" i="54" a="1"/>
  <c r="FZ30" i="54" s="1"/>
  <c r="GA30" i="54" s="1"/>
  <c r="FP30" i="54" a="1"/>
  <c r="FP30" i="54" s="1"/>
  <c r="FQ30" i="54" s="1"/>
  <c r="FR30" i="54" a="1"/>
  <c r="FR30" i="54" s="1"/>
  <c r="FS30" i="54" s="1"/>
  <c r="FT30" i="54" a="1"/>
  <c r="FT30" i="54" s="1"/>
  <c r="FU30" i="54" s="1"/>
  <c r="FX30" i="54" a="1"/>
  <c r="FX30" i="54" s="1"/>
  <c r="FY30" i="54" s="1"/>
  <c r="FV30" i="54" a="1"/>
  <c r="FV30" i="54" s="1"/>
  <c r="FW30" i="54" s="1"/>
  <c r="FA30" i="54"/>
  <c r="GB30" i="54" s="1"/>
  <c r="GC30" i="54"/>
  <c r="FC30" i="54"/>
  <c r="EW30" i="54"/>
  <c r="EZ30" i="54"/>
  <c r="GV29" i="54"/>
  <c r="AR29" i="54"/>
  <c r="FZ31" i="54" l="1" a="1"/>
  <c r="FZ31" i="54" s="1"/>
  <c r="GA31" i="54" s="1"/>
  <c r="FV31" i="54" a="1"/>
  <c r="FV31" i="54" s="1"/>
  <c r="FW31" i="54" s="1"/>
  <c r="FR31" i="54" a="1"/>
  <c r="FR31" i="54" s="1"/>
  <c r="FS31" i="54" s="1"/>
  <c r="FX31" i="54" a="1"/>
  <c r="FX31" i="54" s="1"/>
  <c r="FY31" i="54" s="1"/>
  <c r="FT31" i="54" a="1"/>
  <c r="FT31" i="54" s="1"/>
  <c r="FU31" i="54" s="1"/>
  <c r="FP31" i="54" a="1"/>
  <c r="FP31" i="54" s="1"/>
  <c r="FQ31" i="54" s="1"/>
  <c r="EV32" i="54"/>
  <c r="EU32" i="54"/>
  <c r="GU32" i="54" s="1"/>
  <c r="ET33" i="54"/>
  <c r="FN32" i="54"/>
  <c r="FO32" i="54" s="1"/>
  <c r="GC31" i="54"/>
  <c r="EW31" i="54"/>
  <c r="FC31" i="54"/>
  <c r="FA31" i="54"/>
  <c r="GB31" i="54" s="1"/>
  <c r="EZ31" i="54"/>
  <c r="FK31" i="54" s="1"/>
  <c r="CY54" i="54"/>
  <c r="CZ53" i="54"/>
  <c r="FK30" i="54"/>
  <c r="CY55" i="54" l="1"/>
  <c r="CZ54" i="54"/>
  <c r="FV32" i="54" a="1"/>
  <c r="FV32" i="54" s="1"/>
  <c r="FW32" i="54" s="1"/>
  <c r="FR32" i="54" a="1"/>
  <c r="FR32" i="54" s="1"/>
  <c r="FS32" i="54" s="1"/>
  <c r="FZ32" i="54" a="1"/>
  <c r="FZ32" i="54" s="1"/>
  <c r="GA32" i="54" s="1"/>
  <c r="FX32" i="54" a="1"/>
  <c r="FX32" i="54" s="1"/>
  <c r="FY32" i="54" s="1"/>
  <c r="FT32" i="54" a="1"/>
  <c r="FT32" i="54" s="1"/>
  <c r="FU32" i="54" s="1"/>
  <c r="FP32" i="54" a="1"/>
  <c r="FP32" i="54" s="1"/>
  <c r="FQ32" i="54" s="1"/>
  <c r="GV31" i="54"/>
  <c r="AR31" i="54"/>
  <c r="EU33" i="54"/>
  <c r="GU33" i="54" s="1"/>
  <c r="EV33" i="54"/>
  <c r="ET34" i="54"/>
  <c r="FN33" i="54"/>
  <c r="FO33" i="54" s="1"/>
  <c r="EZ32" i="54"/>
  <c r="FK32" i="54" s="1"/>
  <c r="EW32" i="54"/>
  <c r="FA32" i="54"/>
  <c r="GB32" i="54" s="1"/>
  <c r="GC32" i="54"/>
  <c r="FC32" i="54"/>
  <c r="GV30" i="54"/>
  <c r="AR30" i="54"/>
  <c r="GV32" i="54" l="1"/>
  <c r="AR32" i="54"/>
  <c r="EV34" i="54"/>
  <c r="EU34" i="54"/>
  <c r="GU34" i="54" s="1"/>
  <c r="ET35" i="54"/>
  <c r="FN34" i="54"/>
  <c r="FO34" i="54" s="1"/>
  <c r="FP33" i="54" a="1"/>
  <c r="FP33" i="54" s="1"/>
  <c r="FQ33" i="54" s="1"/>
  <c r="FV33" i="54" a="1"/>
  <c r="FV33" i="54" s="1"/>
  <c r="FW33" i="54" s="1"/>
  <c r="FZ33" i="54" a="1"/>
  <c r="FZ33" i="54" s="1"/>
  <c r="GA33" i="54" s="1"/>
  <c r="FX33" i="54" a="1"/>
  <c r="FX33" i="54" s="1"/>
  <c r="FY33" i="54" s="1"/>
  <c r="FT33" i="54" a="1"/>
  <c r="FT33" i="54" s="1"/>
  <c r="FU33" i="54" s="1"/>
  <c r="FR33" i="54" a="1"/>
  <c r="FR33" i="54" s="1"/>
  <c r="FS33" i="54" s="1"/>
  <c r="GC33" i="54"/>
  <c r="FA33" i="54"/>
  <c r="GB33" i="54" s="1"/>
  <c r="EW33" i="54"/>
  <c r="EZ33" i="54"/>
  <c r="FK33" i="54" s="1"/>
  <c r="FC33" i="54"/>
  <c r="CZ55" i="54"/>
  <c r="CY56" i="54"/>
  <c r="CY57" i="54" l="1"/>
  <c r="CZ56" i="54"/>
  <c r="GV33" i="54"/>
  <c r="AR33" i="54"/>
  <c r="FV34" i="54" a="1"/>
  <c r="FV34" i="54" s="1"/>
  <c r="FW34" i="54" s="1"/>
  <c r="FP34" i="54" a="1"/>
  <c r="FP34" i="54" s="1"/>
  <c r="FQ34" i="54" s="1"/>
  <c r="FZ34" i="54" a="1"/>
  <c r="FZ34" i="54" s="1"/>
  <c r="GA34" i="54" s="1"/>
  <c r="FX34" i="54" a="1"/>
  <c r="FX34" i="54" s="1"/>
  <c r="FY34" i="54" s="1"/>
  <c r="FR34" i="54" a="1"/>
  <c r="FR34" i="54" s="1"/>
  <c r="FS34" i="54" s="1"/>
  <c r="FT34" i="54" a="1"/>
  <c r="FT34" i="54" s="1"/>
  <c r="FU34" i="54" s="1"/>
  <c r="EU35" i="54"/>
  <c r="GU35" i="54" s="1"/>
  <c r="EV35" i="54"/>
  <c r="ET36" i="54"/>
  <c r="FN35" i="54"/>
  <c r="FO35" i="54" s="1"/>
  <c r="FA34" i="54"/>
  <c r="GB34" i="54" s="1"/>
  <c r="FC34" i="54"/>
  <c r="EW34" i="54"/>
  <c r="EZ34" i="54"/>
  <c r="GC34" i="54"/>
  <c r="FK34" i="54" l="1"/>
  <c r="AR34" i="54" s="1"/>
  <c r="FX35" i="54" a="1"/>
  <c r="FX35" i="54" s="1"/>
  <c r="FY35" i="54" s="1"/>
  <c r="FT35" i="54" a="1"/>
  <c r="FT35" i="54" s="1"/>
  <c r="FU35" i="54" s="1"/>
  <c r="FR35" i="54" a="1"/>
  <c r="FR35" i="54" s="1"/>
  <c r="FS35" i="54" s="1"/>
  <c r="FZ35" i="54" a="1"/>
  <c r="FZ35" i="54" s="1"/>
  <c r="GA35" i="54" s="1"/>
  <c r="FV35" i="54" a="1"/>
  <c r="FV35" i="54" s="1"/>
  <c r="FW35" i="54" s="1"/>
  <c r="FP35" i="54" a="1"/>
  <c r="FP35" i="54" s="1"/>
  <c r="FQ35" i="54" s="1"/>
  <c r="EV36" i="54"/>
  <c r="EU36" i="54"/>
  <c r="GU36" i="54" s="1"/>
  <c r="ET37" i="54"/>
  <c r="FN36" i="54"/>
  <c r="FO36" i="54" s="1"/>
  <c r="GC35" i="54"/>
  <c r="EZ35" i="54"/>
  <c r="FK35" i="54" s="1"/>
  <c r="FC35" i="54"/>
  <c r="EW35" i="54"/>
  <c r="FA35" i="54"/>
  <c r="GB35" i="54" s="1"/>
  <c r="CY58" i="54"/>
  <c r="CZ57" i="54"/>
  <c r="GV34" i="54" l="1"/>
  <c r="GV35" i="54"/>
  <c r="AR35" i="54"/>
  <c r="FP36" i="54" a="1"/>
  <c r="FP36" i="54" s="1"/>
  <c r="FQ36" i="54" s="1"/>
  <c r="FT36" i="54" a="1"/>
  <c r="FT36" i="54" s="1"/>
  <c r="FU36" i="54" s="1"/>
  <c r="FZ36" i="54" a="1"/>
  <c r="FZ36" i="54" s="1"/>
  <c r="GA36" i="54" s="1"/>
  <c r="FR36" i="54" a="1"/>
  <c r="FR36" i="54" s="1"/>
  <c r="FS36" i="54" s="1"/>
  <c r="FX36" i="54" a="1"/>
  <c r="FX36" i="54" s="1"/>
  <c r="FY36" i="54" s="1"/>
  <c r="FV36" i="54" a="1"/>
  <c r="FV36" i="54" s="1"/>
  <c r="FW36" i="54" s="1"/>
  <c r="EV37" i="54"/>
  <c r="EU37" i="54"/>
  <c r="GU37" i="54" s="1"/>
  <c r="ET38" i="54"/>
  <c r="FN37" i="54"/>
  <c r="FO37" i="54" s="1"/>
  <c r="GC36" i="54"/>
  <c r="EZ36" i="54"/>
  <c r="FK36" i="54" s="1"/>
  <c r="EW36" i="54"/>
  <c r="FC36" i="54"/>
  <c r="FA36" i="54"/>
  <c r="GB36" i="54" s="1"/>
  <c r="CY59" i="54"/>
  <c r="CZ58" i="54"/>
  <c r="FX37" i="54" l="1" a="1"/>
  <c r="FX37" i="54" s="1"/>
  <c r="FY37" i="54" s="1"/>
  <c r="FV37" i="54" a="1"/>
  <c r="FV37" i="54" s="1"/>
  <c r="FW37" i="54" s="1"/>
  <c r="FR37" i="54" a="1"/>
  <c r="FR37" i="54" s="1"/>
  <c r="FS37" i="54" s="1"/>
  <c r="FZ37" i="54" a="1"/>
  <c r="FZ37" i="54" s="1"/>
  <c r="GA37" i="54" s="1"/>
  <c r="FT37" i="54" a="1"/>
  <c r="FT37" i="54" s="1"/>
  <c r="FU37" i="54" s="1"/>
  <c r="FP37" i="54" a="1"/>
  <c r="FP37" i="54" s="1"/>
  <c r="FQ37" i="54" s="1"/>
  <c r="GV36" i="54"/>
  <c r="AR36" i="54"/>
  <c r="EV38" i="54"/>
  <c r="EU38" i="54"/>
  <c r="GU38" i="54" s="1"/>
  <c r="ET39" i="54"/>
  <c r="FN38" i="54"/>
  <c r="FO38" i="54" s="1"/>
  <c r="FC37" i="54"/>
  <c r="GC37" i="54"/>
  <c r="EW37" i="54"/>
  <c r="FA37" i="54"/>
  <c r="GB37" i="54" s="1"/>
  <c r="EZ37" i="54"/>
  <c r="CY60" i="54"/>
  <c r="CZ59" i="54"/>
  <c r="FK37" i="54" l="1"/>
  <c r="GV37" i="54" s="1"/>
  <c r="FT38" i="54" a="1"/>
  <c r="FT38" i="54" s="1"/>
  <c r="FU38" i="54" s="1"/>
  <c r="FR38" i="54" a="1"/>
  <c r="FR38" i="54" s="1"/>
  <c r="FS38" i="54" s="1"/>
  <c r="FZ38" i="54" a="1"/>
  <c r="FZ38" i="54" s="1"/>
  <c r="GA38" i="54" s="1"/>
  <c r="FV38" i="54" a="1"/>
  <c r="FV38" i="54" s="1"/>
  <c r="FW38" i="54" s="1"/>
  <c r="FX38" i="54" a="1"/>
  <c r="FX38" i="54" s="1"/>
  <c r="FY38" i="54" s="1"/>
  <c r="FP38" i="54" a="1"/>
  <c r="FP38" i="54" s="1"/>
  <c r="FQ38" i="54" s="1"/>
  <c r="EV39" i="54"/>
  <c r="EU39" i="54"/>
  <c r="GU39" i="54" s="1"/>
  <c r="ET40" i="54"/>
  <c r="FN39" i="54"/>
  <c r="FO39" i="54" s="1"/>
  <c r="EW38" i="54"/>
  <c r="GC38" i="54"/>
  <c r="FC38" i="54"/>
  <c r="FA38" i="54"/>
  <c r="GB38" i="54" s="1"/>
  <c r="EZ38" i="54"/>
  <c r="FK38" i="54" s="1"/>
  <c r="CZ60" i="54"/>
  <c r="CY61" i="54"/>
  <c r="AR37" i="54" l="1"/>
  <c r="GV38" i="54"/>
  <c r="AR38" i="54"/>
  <c r="EV40" i="54"/>
  <c r="EU40" i="54"/>
  <c r="GU40" i="54" s="1"/>
  <c r="ET41" i="54"/>
  <c r="FN40" i="54"/>
  <c r="FO40" i="54" s="1"/>
  <c r="GC39" i="54"/>
  <c r="EW39" i="54"/>
  <c r="EZ39" i="54"/>
  <c r="FK39" i="54" s="1"/>
  <c r="FA39" i="54"/>
  <c r="GB39" i="54" s="1"/>
  <c r="FC39" i="54"/>
  <c r="FZ39" i="54" a="1"/>
  <c r="FZ39" i="54" s="1"/>
  <c r="GA39" i="54" s="1"/>
  <c r="FT39" i="54" a="1"/>
  <c r="FT39" i="54" s="1"/>
  <c r="FU39" i="54" s="1"/>
  <c r="FP39" i="54" a="1"/>
  <c r="FP39" i="54" s="1"/>
  <c r="FQ39" i="54" s="1"/>
  <c r="FV39" i="54" a="1"/>
  <c r="FV39" i="54" s="1"/>
  <c r="FW39" i="54" s="1"/>
  <c r="FR39" i="54" a="1"/>
  <c r="FR39" i="54" s="1"/>
  <c r="FS39" i="54" s="1"/>
  <c r="FX39" i="54" a="1"/>
  <c r="FX39" i="54" s="1"/>
  <c r="FY39" i="54" s="1"/>
  <c r="CY62" i="54"/>
  <c r="CZ61" i="54"/>
  <c r="GV39" i="54" l="1"/>
  <c r="AR39" i="54"/>
  <c r="FZ40" i="54" a="1"/>
  <c r="FZ40" i="54" s="1"/>
  <c r="GA40" i="54" s="1"/>
  <c r="FP40" i="54" a="1"/>
  <c r="FP40" i="54" s="1"/>
  <c r="FQ40" i="54" s="1"/>
  <c r="FX40" i="54" a="1"/>
  <c r="FX40" i="54" s="1"/>
  <c r="FY40" i="54" s="1"/>
  <c r="FT40" i="54" a="1"/>
  <c r="FT40" i="54" s="1"/>
  <c r="FU40" i="54" s="1"/>
  <c r="FV40" i="54" a="1"/>
  <c r="FV40" i="54" s="1"/>
  <c r="FW40" i="54" s="1"/>
  <c r="FR40" i="54" a="1"/>
  <c r="FR40" i="54" s="1"/>
  <c r="FS40" i="54" s="1"/>
  <c r="EV41" i="54"/>
  <c r="EU41" i="54"/>
  <c r="GU41" i="54" s="1"/>
  <c r="ET42" i="54"/>
  <c r="FN41" i="54"/>
  <c r="FO41" i="54" s="1"/>
  <c r="EZ40" i="54"/>
  <c r="FK40" i="54" s="1"/>
  <c r="GC40" i="54"/>
  <c r="FA40" i="54"/>
  <c r="GB40" i="54" s="1"/>
  <c r="FC40" i="54"/>
  <c r="EW40" i="54"/>
  <c r="CY63" i="54"/>
  <c r="CZ62" i="54"/>
  <c r="EU42" i="54" l="1"/>
  <c r="GU42" i="54" s="1"/>
  <c r="EV42" i="54"/>
  <c r="ET43" i="54"/>
  <c r="FN42" i="54"/>
  <c r="FO42" i="54" s="1"/>
  <c r="EZ41" i="54"/>
  <c r="FK41" i="54" s="1"/>
  <c r="GC41" i="54"/>
  <c r="FC41" i="54"/>
  <c r="FA41" i="54"/>
  <c r="GB41" i="54" s="1"/>
  <c r="EW41" i="54"/>
  <c r="FZ41" i="54" a="1"/>
  <c r="FZ41" i="54" s="1"/>
  <c r="GA41" i="54" s="1"/>
  <c r="FV41" i="54" a="1"/>
  <c r="FV41" i="54" s="1"/>
  <c r="FW41" i="54" s="1"/>
  <c r="FR41" i="54" a="1"/>
  <c r="FR41" i="54" s="1"/>
  <c r="FS41" i="54" s="1"/>
  <c r="FT41" i="54" a="1"/>
  <c r="FT41" i="54" s="1"/>
  <c r="FU41" i="54" s="1"/>
  <c r="FX41" i="54" a="1"/>
  <c r="FX41" i="54" s="1"/>
  <c r="FY41" i="54" s="1"/>
  <c r="FP41" i="54" a="1"/>
  <c r="FP41" i="54" s="1"/>
  <c r="FQ41" i="54" s="1"/>
  <c r="CY64" i="54"/>
  <c r="CZ63" i="54"/>
  <c r="GV40" i="54"/>
  <c r="AR40" i="54"/>
  <c r="GV41" i="54" l="1"/>
  <c r="AR41" i="54"/>
  <c r="CY65" i="54"/>
  <c r="CZ64" i="54"/>
  <c r="FV42" i="54" a="1"/>
  <c r="FV42" i="54" s="1"/>
  <c r="FW42" i="54" s="1"/>
  <c r="FR42" i="54" a="1"/>
  <c r="FR42" i="54" s="1"/>
  <c r="FS42" i="54" s="1"/>
  <c r="FX42" i="54" a="1"/>
  <c r="FX42" i="54" s="1"/>
  <c r="FY42" i="54" s="1"/>
  <c r="FP42" i="54" a="1"/>
  <c r="FP42" i="54" s="1"/>
  <c r="FQ42" i="54" s="1"/>
  <c r="FT42" i="54" a="1"/>
  <c r="FT42" i="54" s="1"/>
  <c r="FU42" i="54" s="1"/>
  <c r="FZ42" i="54" a="1"/>
  <c r="FZ42" i="54" s="1"/>
  <c r="GA42" i="54" s="1"/>
  <c r="EV43" i="54"/>
  <c r="EU43" i="54"/>
  <c r="GU43" i="54" s="1"/>
  <c r="ET44" i="54"/>
  <c r="FN43" i="54"/>
  <c r="FO43" i="54" s="1"/>
  <c r="FC42" i="54"/>
  <c r="GC42" i="54"/>
  <c r="FA42" i="54"/>
  <c r="GB42" i="54" s="1"/>
  <c r="EZ42" i="54"/>
  <c r="EW42" i="54"/>
  <c r="FK42" i="54" l="1"/>
  <c r="GV42" i="54" s="1"/>
  <c r="EU44" i="54"/>
  <c r="GU44" i="54" s="1"/>
  <c r="EV44" i="54"/>
  <c r="ET45" i="54"/>
  <c r="FN44" i="54"/>
  <c r="FO44" i="54" s="1"/>
  <c r="GC43" i="54"/>
  <c r="FC43" i="54"/>
  <c r="EZ43" i="54"/>
  <c r="FK43" i="54" s="1"/>
  <c r="FA43" i="54"/>
  <c r="GB43" i="54" s="1"/>
  <c r="EW43" i="54"/>
  <c r="FZ43" i="54" a="1"/>
  <c r="FZ43" i="54" s="1"/>
  <c r="GA43" i="54" s="1"/>
  <c r="FX43" i="54" a="1"/>
  <c r="FX43" i="54" s="1"/>
  <c r="FY43" i="54" s="1"/>
  <c r="FV43" i="54" a="1"/>
  <c r="FV43" i="54" s="1"/>
  <c r="FW43" i="54" s="1"/>
  <c r="FT43" i="54" a="1"/>
  <c r="FT43" i="54" s="1"/>
  <c r="FU43" i="54" s="1"/>
  <c r="FP43" i="54" a="1"/>
  <c r="FP43" i="54" s="1"/>
  <c r="FQ43" i="54" s="1"/>
  <c r="FR43" i="54" a="1"/>
  <c r="FR43" i="54" s="1"/>
  <c r="FS43" i="54" s="1"/>
  <c r="CY66" i="54"/>
  <c r="CZ65" i="54"/>
  <c r="AR42" i="54" l="1"/>
  <c r="EV45" i="54"/>
  <c r="EU45" i="54"/>
  <c r="GU45" i="54" s="1"/>
  <c r="ET46" i="54"/>
  <c r="FN45" i="54"/>
  <c r="FO45" i="54" s="1"/>
  <c r="CY67" i="54"/>
  <c r="CZ66" i="54"/>
  <c r="FR44" i="54" a="1"/>
  <c r="FR44" i="54" s="1"/>
  <c r="FS44" i="54" s="1"/>
  <c r="FX44" i="54" a="1"/>
  <c r="FX44" i="54" s="1"/>
  <c r="FY44" i="54" s="1"/>
  <c r="FV44" i="54" a="1"/>
  <c r="FV44" i="54" s="1"/>
  <c r="FW44" i="54" s="1"/>
  <c r="FT44" i="54" a="1"/>
  <c r="FT44" i="54" s="1"/>
  <c r="FU44" i="54" s="1"/>
  <c r="FP44" i="54" a="1"/>
  <c r="FP44" i="54" s="1"/>
  <c r="FQ44" i="54" s="1"/>
  <c r="FZ44" i="54" a="1"/>
  <c r="FZ44" i="54" s="1"/>
  <c r="GA44" i="54" s="1"/>
  <c r="GC44" i="54"/>
  <c r="FC44" i="54"/>
  <c r="FA44" i="54"/>
  <c r="GB44" i="54" s="1"/>
  <c r="EZ44" i="54"/>
  <c r="EW44" i="54"/>
  <c r="GV43" i="54"/>
  <c r="AR43" i="54"/>
  <c r="FK44" i="54" l="1"/>
  <c r="AR44" i="54" s="1"/>
  <c r="CY68" i="54"/>
  <c r="CZ67" i="54"/>
  <c r="EU46" i="54"/>
  <c r="GU46" i="54" s="1"/>
  <c r="EV46" i="54"/>
  <c r="ET47" i="54"/>
  <c r="FN46" i="54"/>
  <c r="FO46" i="54" s="1"/>
  <c r="FP45" i="54" a="1"/>
  <c r="FP45" i="54" s="1"/>
  <c r="FQ45" i="54" s="1"/>
  <c r="FT45" i="54" a="1"/>
  <c r="FT45" i="54" s="1"/>
  <c r="FU45" i="54" s="1"/>
  <c r="FV45" i="54" a="1"/>
  <c r="FV45" i="54" s="1"/>
  <c r="FW45" i="54" s="1"/>
  <c r="FZ45" i="54" a="1"/>
  <c r="FZ45" i="54" s="1"/>
  <c r="GA45" i="54" s="1"/>
  <c r="FR45" i="54" a="1"/>
  <c r="FR45" i="54" s="1"/>
  <c r="FS45" i="54" s="1"/>
  <c r="FX45" i="54" a="1"/>
  <c r="FX45" i="54" s="1"/>
  <c r="FY45" i="54" s="1"/>
  <c r="EZ45" i="54"/>
  <c r="FK45" i="54" s="1"/>
  <c r="GC45" i="54"/>
  <c r="FC45" i="54"/>
  <c r="FA45" i="54"/>
  <c r="GB45" i="54" s="1"/>
  <c r="EW45" i="54"/>
  <c r="GV44" i="54" l="1"/>
  <c r="EU47" i="54"/>
  <c r="GU47" i="54" s="1"/>
  <c r="EV47" i="54"/>
  <c r="ET48" i="54"/>
  <c r="FN47" i="54"/>
  <c r="FO47" i="54" s="1"/>
  <c r="GC46" i="54"/>
  <c r="FA46" i="54"/>
  <c r="GB46" i="54" s="1"/>
  <c r="FC46" i="54"/>
  <c r="EZ46" i="54"/>
  <c r="FK46" i="54" s="1"/>
  <c r="EW46" i="54"/>
  <c r="FX46" i="54" a="1"/>
  <c r="FX46" i="54" s="1"/>
  <c r="FY46" i="54" s="1"/>
  <c r="FT46" i="54" a="1"/>
  <c r="FT46" i="54" s="1"/>
  <c r="FU46" i="54" s="1"/>
  <c r="FZ46" i="54" a="1"/>
  <c r="FZ46" i="54" s="1"/>
  <c r="GA46" i="54" s="1"/>
  <c r="FV46" i="54" a="1"/>
  <c r="FV46" i="54" s="1"/>
  <c r="FW46" i="54" s="1"/>
  <c r="FP46" i="54" a="1"/>
  <c r="FP46" i="54" s="1"/>
  <c r="FQ46" i="54" s="1"/>
  <c r="FR46" i="54" a="1"/>
  <c r="FR46" i="54" s="1"/>
  <c r="FS46" i="54" s="1"/>
  <c r="GV45" i="54"/>
  <c r="AR45" i="54"/>
  <c r="CZ68" i="54"/>
  <c r="CY69" i="54"/>
  <c r="GV46" i="54" l="1"/>
  <c r="AR46" i="54"/>
  <c r="FZ47" i="54" a="1"/>
  <c r="FZ47" i="54" s="1"/>
  <c r="GA47" i="54" s="1"/>
  <c r="FT47" i="54" a="1"/>
  <c r="FT47" i="54" s="1"/>
  <c r="FU47" i="54" s="1"/>
  <c r="FP47" i="54" a="1"/>
  <c r="FP47" i="54" s="1"/>
  <c r="FQ47" i="54" s="1"/>
  <c r="FV47" i="54" a="1"/>
  <c r="FV47" i="54" s="1"/>
  <c r="FW47" i="54" s="1"/>
  <c r="FX47" i="54" a="1"/>
  <c r="FX47" i="54" s="1"/>
  <c r="FY47" i="54" s="1"/>
  <c r="FR47" i="54" a="1"/>
  <c r="FR47" i="54" s="1"/>
  <c r="FS47" i="54" s="1"/>
  <c r="CZ69" i="54"/>
  <c r="CY70" i="54"/>
  <c r="EV48" i="54"/>
  <c r="EU48" i="54"/>
  <c r="GU48" i="54" s="1"/>
  <c r="ET49" i="54"/>
  <c r="FN48" i="54"/>
  <c r="FO48" i="54" s="1"/>
  <c r="FA47" i="54"/>
  <c r="GB47" i="54" s="1"/>
  <c r="GC47" i="54"/>
  <c r="FC47" i="54"/>
  <c r="EW47" i="54"/>
  <c r="EZ47" i="54"/>
  <c r="FK47" i="54" s="1"/>
  <c r="EV49" i="54" l="1"/>
  <c r="EU49" i="54"/>
  <c r="GU49" i="54" s="1"/>
  <c r="ET50" i="54"/>
  <c r="FN49" i="54"/>
  <c r="FO49" i="54" s="1"/>
  <c r="FC48" i="54"/>
  <c r="FA48" i="54"/>
  <c r="GB48" i="54" s="1"/>
  <c r="EW48" i="54"/>
  <c r="EZ48" i="54"/>
  <c r="FK48" i="54" s="1"/>
  <c r="GC48" i="54"/>
  <c r="GV47" i="54"/>
  <c r="AR47" i="54"/>
  <c r="FR48" i="54" a="1"/>
  <c r="FR48" i="54" s="1"/>
  <c r="FS48" i="54" s="1"/>
  <c r="FT48" i="54" a="1"/>
  <c r="FT48" i="54" s="1"/>
  <c r="FU48" i="54" s="1"/>
  <c r="FP48" i="54" a="1"/>
  <c r="FP48" i="54" s="1"/>
  <c r="FQ48" i="54" s="1"/>
  <c r="FX48" i="54" a="1"/>
  <c r="FX48" i="54" s="1"/>
  <c r="FY48" i="54" s="1"/>
  <c r="FZ48" i="54" a="1"/>
  <c r="FZ48" i="54" s="1"/>
  <c r="GA48" i="54" s="1"/>
  <c r="FV48" i="54" a="1"/>
  <c r="FV48" i="54" s="1"/>
  <c r="FW48" i="54" s="1"/>
  <c r="CY71" i="54"/>
  <c r="CZ70" i="54"/>
  <c r="FP49" i="54" l="1" a="1"/>
  <c r="FP49" i="54" s="1"/>
  <c r="FQ49" i="54" s="1"/>
  <c r="FX49" i="54" a="1"/>
  <c r="FX49" i="54" s="1"/>
  <c r="FY49" i="54" s="1"/>
  <c r="FT49" i="54" a="1"/>
  <c r="FT49" i="54" s="1"/>
  <c r="FU49" i="54" s="1"/>
  <c r="FZ49" i="54" a="1"/>
  <c r="FZ49" i="54" s="1"/>
  <c r="GA49" i="54" s="1"/>
  <c r="FR49" i="54" a="1"/>
  <c r="FR49" i="54" s="1"/>
  <c r="FS49" i="54" s="1"/>
  <c r="FV49" i="54" a="1"/>
  <c r="FV49" i="54" s="1"/>
  <c r="FW49" i="54" s="1"/>
  <c r="EV50" i="54"/>
  <c r="EU50" i="54"/>
  <c r="FN50" i="54"/>
  <c r="FO50" i="54" s="1"/>
  <c r="AH3" i="40" a="1"/>
  <c r="AH3" i="40" s="1"/>
  <c r="GV48" i="54"/>
  <c r="AR48" i="54"/>
  <c r="CZ71" i="54"/>
  <c r="CY72" i="54"/>
  <c r="CZ72" i="54" s="1"/>
  <c r="GC49" i="54"/>
  <c r="EW49" i="54"/>
  <c r="FA49" i="54"/>
  <c r="GB49" i="54" s="1"/>
  <c r="EZ49" i="54"/>
  <c r="FK49" i="54" s="1"/>
  <c r="FC49" i="54"/>
  <c r="BM5" i="10" l="1"/>
  <c r="FP50" i="54" a="1"/>
  <c r="FP50" i="54" s="1"/>
  <c r="FQ50" i="54" s="1"/>
  <c r="FZ50" i="54" a="1"/>
  <c r="FZ50" i="54" s="1"/>
  <c r="GA50" i="54" s="1"/>
  <c r="FR50" i="54" a="1"/>
  <c r="FR50" i="54" s="1"/>
  <c r="FS50" i="54" s="1"/>
  <c r="FV50" i="54" a="1"/>
  <c r="FV50" i="54" s="1"/>
  <c r="FW50" i="54" s="1"/>
  <c r="FT50" i="54" a="1"/>
  <c r="FT50" i="54" s="1"/>
  <c r="FU50" i="54" s="1"/>
  <c r="FX50" i="54" a="1"/>
  <c r="FX50" i="54" s="1"/>
  <c r="FY50" i="54" s="1"/>
  <c r="GU50" i="54"/>
  <c r="GU51" i="54" s="1"/>
  <c r="BT3" i="40" s="1" a="1"/>
  <c r="BT3" i="40" s="1"/>
  <c r="AI3" i="40" a="1"/>
  <c r="GC50" i="54"/>
  <c r="EZ50" i="54"/>
  <c r="EW50" i="54"/>
  <c r="EV51" i="54" s="1"/>
  <c r="FA50" i="54"/>
  <c r="GB50" i="54" s="1"/>
  <c r="FC50" i="54"/>
  <c r="GV49" i="54"/>
  <c r="AR49" i="54"/>
  <c r="FK50" i="54" l="1"/>
  <c r="GC51" i="54"/>
  <c r="EW51" i="54"/>
  <c r="EV52" i="54" s="1"/>
  <c r="EZ51" i="54"/>
  <c r="FA51" i="54"/>
  <c r="GB51" i="54" s="1"/>
  <c r="FN51" i="54"/>
  <c r="FO51" i="54" s="1"/>
  <c r="AI3" i="40"/>
  <c r="N29" i="42"/>
  <c r="P29" i="42" s="1"/>
  <c r="AE29" i="42" s="1"/>
  <c r="AF29" i="42" s="1"/>
  <c r="N23" i="42"/>
  <c r="P23" i="42" s="1"/>
  <c r="AE23" i="42" s="1"/>
  <c r="AF23" i="42" s="1"/>
  <c r="N22" i="42"/>
  <c r="P22" i="42" s="1"/>
  <c r="AE22" i="42" s="1"/>
  <c r="N25" i="42"/>
  <c r="P25" i="42" s="1"/>
  <c r="AE25" i="42" s="1"/>
  <c r="AF25" i="42" s="1"/>
  <c r="N32" i="42"/>
  <c r="P32" i="42" s="1"/>
  <c r="AE32" i="42" s="1"/>
  <c r="AF32" i="42" s="1"/>
  <c r="N26" i="42"/>
  <c r="P26" i="42" s="1"/>
  <c r="AE26" i="42" s="1"/>
  <c r="AF26" i="42" s="1"/>
  <c r="N28" i="42"/>
  <c r="P28" i="42" s="1"/>
  <c r="AE28" i="42" s="1"/>
  <c r="AF28" i="42" s="1"/>
  <c r="N31" i="42"/>
  <c r="P31" i="42" s="1"/>
  <c r="AE31" i="42" s="1"/>
  <c r="AF31" i="42" s="1"/>
  <c r="N24" i="42"/>
  <c r="P24" i="42" s="1"/>
  <c r="AE24" i="42" s="1"/>
  <c r="AF24" i="42" s="1"/>
  <c r="N30" i="42"/>
  <c r="P30" i="42" s="1"/>
  <c r="AE30" i="42" s="1"/>
  <c r="AF30" i="42" s="1"/>
  <c r="N27" i="42"/>
  <c r="P27" i="42" s="1"/>
  <c r="AE27" i="42" s="1"/>
  <c r="AF27" i="42" s="1"/>
  <c r="BJ5" i="10"/>
  <c r="BK5" i="10" s="1"/>
  <c r="L47" i="16"/>
  <c r="L46" i="16"/>
  <c r="L43" i="16"/>
  <c r="L48" i="16"/>
  <c r="L45" i="16"/>
  <c r="L44" i="16"/>
  <c r="L40" i="16"/>
  <c r="L42" i="16"/>
  <c r="L41" i="16"/>
  <c r="L39" i="16"/>
  <c r="GV50" i="54"/>
  <c r="AR50" i="54"/>
  <c r="AF99" i="42" l="1"/>
  <c r="AF92" i="42"/>
  <c r="AF12" i="42"/>
  <c r="AF53" i="42"/>
  <c r="AF54" i="42"/>
  <c r="AF97" i="42"/>
  <c r="AF90" i="42"/>
  <c r="AF70" i="42"/>
  <c r="AF69" i="42"/>
  <c r="AF87" i="42"/>
  <c r="AF96" i="42"/>
  <c r="AF63" i="42"/>
  <c r="AF55" i="42"/>
  <c r="AF78" i="42"/>
  <c r="AF52" i="42"/>
  <c r="AF74" i="42"/>
  <c r="AF42" i="42"/>
  <c r="AF79" i="42"/>
  <c r="AF56" i="42"/>
  <c r="AF43" i="42"/>
  <c r="AF95" i="42"/>
  <c r="AF50" i="42"/>
  <c r="AF75" i="42"/>
  <c r="AF66" i="42"/>
  <c r="AF64" i="42"/>
  <c r="AF39" i="42"/>
  <c r="AF41" i="42"/>
  <c r="AF61" i="42"/>
  <c r="AF59" i="42"/>
  <c r="AF57" i="42"/>
  <c r="AF93" i="42"/>
  <c r="AF72" i="42"/>
  <c r="AF67" i="42"/>
  <c r="AF83" i="42"/>
  <c r="AF86" i="42"/>
  <c r="AF62" i="42"/>
  <c r="AF73" i="42"/>
  <c r="AF76" i="42"/>
  <c r="AF85" i="42"/>
  <c r="AF65" i="42"/>
  <c r="AF9" i="42"/>
  <c r="AF82" i="42"/>
  <c r="AF71" i="42"/>
  <c r="AF60" i="42"/>
  <c r="AF77" i="42"/>
  <c r="AF100" i="42"/>
  <c r="AF35" i="42"/>
  <c r="AF51" i="42"/>
  <c r="AF98" i="42"/>
  <c r="AF46" i="42"/>
  <c r="AF36" i="42"/>
  <c r="AF45" i="42"/>
  <c r="AF47" i="42"/>
  <c r="AF37" i="42"/>
  <c r="AF91" i="42"/>
  <c r="AF44" i="42"/>
  <c r="AF84" i="42"/>
  <c r="AF58" i="42"/>
  <c r="AF89" i="42"/>
  <c r="AF81" i="42"/>
  <c r="AF88" i="42"/>
  <c r="AF94" i="42"/>
  <c r="AF33" i="42"/>
  <c r="AF34" i="42"/>
  <c r="AF80" i="42"/>
  <c r="AF22" i="42"/>
  <c r="AF48" i="42"/>
  <c r="AF4" i="42"/>
  <c r="AF40" i="42"/>
  <c r="AF38" i="42"/>
  <c r="AF68" i="42"/>
  <c r="AF49" i="42"/>
  <c r="AG40" i="42"/>
  <c r="AH40" i="42" s="1"/>
  <c r="M45" i="16"/>
  <c r="AG38" i="42"/>
  <c r="AH38" i="42" s="1"/>
  <c r="M43" i="16"/>
  <c r="M47" i="16"/>
  <c r="AG42" i="42"/>
  <c r="AH42" i="42" s="1"/>
  <c r="AG36" i="42"/>
  <c r="AH36" i="42" s="1"/>
  <c r="M41" i="16"/>
  <c r="M42" i="16"/>
  <c r="AG37" i="42"/>
  <c r="AH37" i="42" s="1"/>
  <c r="M40" i="16"/>
  <c r="AG35" i="42"/>
  <c r="AH35" i="42" s="1"/>
  <c r="AG39" i="42"/>
  <c r="AH39" i="42" s="1"/>
  <c r="M44" i="16"/>
  <c r="M48" i="16"/>
  <c r="AG43" i="42"/>
  <c r="AH43" i="42" s="1"/>
  <c r="M46" i="16"/>
  <c r="AG41" i="42"/>
  <c r="AH41" i="42" s="1"/>
  <c r="FV51" i="54" a="1"/>
  <c r="FV51" i="54" s="1"/>
  <c r="FW51" i="54" s="1"/>
  <c r="FP51" i="54" a="1"/>
  <c r="FP51" i="54" s="1"/>
  <c r="FQ51" i="54" s="1"/>
  <c r="FZ51" i="54" a="1"/>
  <c r="FZ51" i="54" s="1"/>
  <c r="GA51" i="54" s="1"/>
  <c r="FR51" i="54" a="1"/>
  <c r="FR51" i="54" s="1"/>
  <c r="FS51" i="54" s="1"/>
  <c r="FT51" i="54" a="1"/>
  <c r="FT51" i="54" s="1"/>
  <c r="FU51" i="54" s="1"/>
  <c r="FX51" i="54" a="1"/>
  <c r="FX51" i="54" s="1"/>
  <c r="FY51" i="54" s="1"/>
  <c r="FA52" i="54"/>
  <c r="GB52" i="54" s="1"/>
  <c r="EW52" i="54"/>
  <c r="EV53" i="54" s="1"/>
  <c r="GC52" i="54"/>
  <c r="EZ52" i="54"/>
  <c r="FN52" i="54"/>
  <c r="FO52" i="54" s="1"/>
  <c r="AG34" i="42"/>
  <c r="AH34" i="42" s="1"/>
  <c r="M39" i="16"/>
  <c r="R32" i="42" l="1"/>
  <c r="R29" i="42"/>
  <c r="R34" i="42"/>
  <c r="R35" i="42"/>
  <c r="R31" i="42"/>
  <c r="R33" i="42"/>
  <c r="R37" i="42"/>
  <c r="R30" i="42"/>
  <c r="R36" i="42"/>
  <c r="FX52" i="54" a="1"/>
  <c r="FX52" i="54" s="1"/>
  <c r="FY52" i="54" s="1"/>
  <c r="FZ52" i="54" a="1"/>
  <c r="FZ52" i="54" s="1"/>
  <c r="GA52" i="54" s="1"/>
  <c r="FR52" i="54" a="1"/>
  <c r="FR52" i="54" s="1"/>
  <c r="FS52" i="54" s="1"/>
  <c r="FP52" i="54" a="1"/>
  <c r="FP52" i="54" s="1"/>
  <c r="FQ52" i="54" s="1"/>
  <c r="FT52" i="54" a="1"/>
  <c r="FT52" i="54" s="1"/>
  <c r="FU52" i="54" s="1"/>
  <c r="FV52" i="54" a="1"/>
  <c r="FV52" i="54" s="1"/>
  <c r="FW52" i="54" s="1"/>
  <c r="A20" i="16"/>
  <c r="A73" i="16"/>
  <c r="A69" i="16"/>
  <c r="A78" i="16"/>
  <c r="A75" i="16"/>
  <c r="A155" i="16"/>
  <c r="A160" i="16"/>
  <c r="A129" i="16"/>
  <c r="A65" i="16"/>
  <c r="A6" i="16"/>
  <c r="A90" i="16"/>
  <c r="A135" i="16"/>
  <c r="A27" i="16"/>
  <c r="A109" i="16"/>
  <c r="A150" i="16"/>
  <c r="A4" i="16"/>
  <c r="A130" i="16"/>
  <c r="A53" i="16"/>
  <c r="A43" i="16"/>
  <c r="A67" i="16"/>
  <c r="A35" i="16"/>
  <c r="A51" i="16"/>
  <c r="A89" i="16"/>
  <c r="A119" i="16"/>
  <c r="A136" i="16"/>
  <c r="A94" i="16"/>
  <c r="A156" i="16"/>
  <c r="A46" i="16"/>
  <c r="A142" i="16"/>
  <c r="A147" i="16"/>
  <c r="A70" i="16"/>
  <c r="A131" i="16"/>
  <c r="A151" i="16"/>
  <c r="A26" i="16"/>
  <c r="A45" i="16"/>
  <c r="A121" i="16"/>
  <c r="A91" i="16"/>
  <c r="A87" i="16"/>
  <c r="A101" i="16"/>
  <c r="A140" i="16"/>
  <c r="A57" i="16"/>
  <c r="A7" i="16"/>
  <c r="A10" i="16"/>
  <c r="A34" i="16"/>
  <c r="A63" i="16"/>
  <c r="A149" i="16"/>
  <c r="A148" i="16"/>
  <c r="A49" i="16"/>
  <c r="A145" i="16"/>
  <c r="A159" i="16"/>
  <c r="A33" i="16"/>
  <c r="A22" i="16"/>
  <c r="A42" i="16"/>
  <c r="A93" i="16"/>
  <c r="A132" i="16"/>
  <c r="A56" i="16"/>
  <c r="A80" i="16"/>
  <c r="A99" i="16"/>
  <c r="A141" i="16"/>
  <c r="A123" i="16"/>
  <c r="A81" i="16"/>
  <c r="A18" i="16"/>
  <c r="A107" i="16"/>
  <c r="A115" i="16"/>
  <c r="A100" i="16"/>
  <c r="A13" i="16"/>
  <c r="A110" i="16"/>
  <c r="A116" i="16"/>
  <c r="A157" i="16"/>
  <c r="A111" i="16"/>
  <c r="A102" i="16"/>
  <c r="A38" i="16"/>
  <c r="A92" i="16"/>
  <c r="A62" i="16"/>
  <c r="A50" i="16"/>
  <c r="A105" i="16"/>
  <c r="A154" i="16"/>
  <c r="A138" i="16"/>
  <c r="A96" i="16"/>
  <c r="A59" i="16"/>
  <c r="A118" i="16"/>
  <c r="A66" i="16"/>
  <c r="A108" i="16"/>
  <c r="A71" i="16"/>
  <c r="A146" i="16"/>
  <c r="A95" i="16"/>
  <c r="A77" i="16"/>
  <c r="A88" i="16"/>
  <c r="A104" i="16"/>
  <c r="A54" i="16"/>
  <c r="A8" i="16"/>
  <c r="A32" i="16"/>
  <c r="A122" i="16"/>
  <c r="A137" i="16"/>
  <c r="A128" i="16"/>
  <c r="A29" i="16"/>
  <c r="A37" i="16"/>
  <c r="A125" i="16"/>
  <c r="A120" i="16"/>
  <c r="A112" i="16"/>
  <c r="A40" i="16"/>
  <c r="A98" i="16"/>
  <c r="A133" i="16"/>
  <c r="A9" i="16"/>
  <c r="A97" i="16"/>
  <c r="A11" i="16"/>
  <c r="A85" i="16"/>
  <c r="A72" i="16"/>
  <c r="A61" i="16"/>
  <c r="A134" i="16"/>
  <c r="A127" i="16"/>
  <c r="A31" i="16"/>
  <c r="A113" i="16"/>
  <c r="A16" i="16"/>
  <c r="A60" i="16"/>
  <c r="A24" i="16"/>
  <c r="A139" i="16"/>
  <c r="A106" i="16"/>
  <c r="A5" i="16"/>
  <c r="A126" i="16"/>
  <c r="A76" i="16"/>
  <c r="A41" i="16"/>
  <c r="A30" i="16"/>
  <c r="A15" i="16"/>
  <c r="A74" i="16"/>
  <c r="A52" i="16"/>
  <c r="A48" i="16"/>
  <c r="A153" i="16"/>
  <c r="A83" i="16"/>
  <c r="A21" i="16"/>
  <c r="A144" i="16"/>
  <c r="A84" i="16"/>
  <c r="A17" i="16"/>
  <c r="A58" i="16"/>
  <c r="A12" i="16"/>
  <c r="A36" i="16"/>
  <c r="A25" i="16"/>
  <c r="A47" i="16"/>
  <c r="A117" i="16"/>
  <c r="A82" i="16"/>
  <c r="A103" i="16"/>
  <c r="A152" i="16"/>
  <c r="A28" i="16"/>
  <c r="A79" i="16"/>
  <c r="A23" i="16"/>
  <c r="A86" i="16"/>
  <c r="A64" i="16"/>
  <c r="A39" i="16"/>
  <c r="A19" i="16"/>
  <c r="A114" i="16"/>
  <c r="A68" i="16"/>
  <c r="A158" i="16"/>
  <c r="A143" i="16"/>
  <c r="A55" i="16"/>
  <c r="A124" i="16"/>
  <c r="A14" i="16"/>
  <c r="A44" i="16"/>
  <c r="GC53" i="54"/>
  <c r="FA53" i="54"/>
  <c r="GB53" i="54" s="1"/>
  <c r="EW53" i="54"/>
  <c r="EV54" i="54" s="1"/>
  <c r="EZ53" i="54"/>
  <c r="FN53" i="54"/>
  <c r="FO53" i="54" s="1"/>
  <c r="F83" i="16" l="1"/>
  <c r="G83" i="16"/>
  <c r="B83" i="16"/>
  <c r="E83" i="16"/>
  <c r="C83" i="16"/>
  <c r="H83" i="16"/>
  <c r="E37" i="16"/>
  <c r="G37" i="16"/>
  <c r="H37" i="16"/>
  <c r="C37" i="16"/>
  <c r="F37" i="16"/>
  <c r="B37" i="16"/>
  <c r="C145" i="16"/>
  <c r="E145" i="16"/>
  <c r="F145" i="16"/>
  <c r="H145" i="16"/>
  <c r="B145" i="16"/>
  <c r="G145" i="16"/>
  <c r="G153" i="16"/>
  <c r="H153" i="16"/>
  <c r="E153" i="16"/>
  <c r="B153" i="16"/>
  <c r="F153" i="16"/>
  <c r="C153" i="16"/>
  <c r="H131" i="16"/>
  <c r="E131" i="16"/>
  <c r="G131" i="16"/>
  <c r="B131" i="16"/>
  <c r="C131" i="16"/>
  <c r="F131" i="16"/>
  <c r="H4" i="16"/>
  <c r="B4" i="16"/>
  <c r="G4" i="16"/>
  <c r="F4" i="16"/>
  <c r="C4" i="16"/>
  <c r="E4" i="16"/>
  <c r="H28" i="16"/>
  <c r="B28" i="16"/>
  <c r="F28" i="16"/>
  <c r="C28" i="16"/>
  <c r="G28" i="16"/>
  <c r="E28" i="16"/>
  <c r="B96" i="16"/>
  <c r="G96" i="16"/>
  <c r="H96" i="16"/>
  <c r="F96" i="16"/>
  <c r="E96" i="16"/>
  <c r="C96" i="16"/>
  <c r="G150" i="16"/>
  <c r="C150" i="16"/>
  <c r="H150" i="16"/>
  <c r="E150" i="16"/>
  <c r="F150" i="16"/>
  <c r="B150" i="16"/>
  <c r="G134" i="16"/>
  <c r="H134" i="16"/>
  <c r="F134" i="16"/>
  <c r="C134" i="16"/>
  <c r="B134" i="16"/>
  <c r="E134" i="16"/>
  <c r="C18" i="16"/>
  <c r="B18" i="16"/>
  <c r="G18" i="16"/>
  <c r="F18" i="16"/>
  <c r="E18" i="16"/>
  <c r="H18" i="16"/>
  <c r="E109" i="16"/>
  <c r="C109" i="16"/>
  <c r="F109" i="16"/>
  <c r="G109" i="16"/>
  <c r="B109" i="16"/>
  <c r="H109" i="16"/>
  <c r="C44" i="16"/>
  <c r="B44" i="16"/>
  <c r="G44" i="16"/>
  <c r="F44" i="16"/>
  <c r="H44" i="16"/>
  <c r="E44" i="16"/>
  <c r="C74" i="16"/>
  <c r="H74" i="16"/>
  <c r="F74" i="16"/>
  <c r="E74" i="16"/>
  <c r="B74" i="16"/>
  <c r="G74" i="16"/>
  <c r="G154" i="16"/>
  <c r="C154" i="16"/>
  <c r="H154" i="16"/>
  <c r="E154" i="16"/>
  <c r="F154" i="16"/>
  <c r="B154" i="16"/>
  <c r="H63" i="16"/>
  <c r="C63" i="16"/>
  <c r="F63" i="16"/>
  <c r="E63" i="16"/>
  <c r="B63" i="16"/>
  <c r="G63" i="16"/>
  <c r="G27" i="16"/>
  <c r="H27" i="16"/>
  <c r="C27" i="16"/>
  <c r="F27" i="16"/>
  <c r="E27" i="16"/>
  <c r="B27" i="16"/>
  <c r="E105" i="16"/>
  <c r="B105" i="16"/>
  <c r="C105" i="16"/>
  <c r="H105" i="16"/>
  <c r="F105" i="16"/>
  <c r="G105" i="16"/>
  <c r="F34" i="16"/>
  <c r="H34" i="16"/>
  <c r="G34" i="16"/>
  <c r="E34" i="16"/>
  <c r="B34" i="16"/>
  <c r="C34" i="16"/>
  <c r="F85" i="16"/>
  <c r="G85" i="16"/>
  <c r="E85" i="16"/>
  <c r="B85" i="16"/>
  <c r="C85" i="16"/>
  <c r="H85" i="16"/>
  <c r="E47" i="16"/>
  <c r="B47" i="16"/>
  <c r="F47" i="16"/>
  <c r="H47" i="16"/>
  <c r="G47" i="16"/>
  <c r="C47" i="16"/>
  <c r="C11" i="16"/>
  <c r="H11" i="16"/>
  <c r="B11" i="16"/>
  <c r="F11" i="16"/>
  <c r="G11" i="16"/>
  <c r="E11" i="16"/>
  <c r="H62" i="16"/>
  <c r="C62" i="16"/>
  <c r="G62" i="16"/>
  <c r="B62" i="16"/>
  <c r="F62" i="16"/>
  <c r="E62" i="16"/>
  <c r="G7" i="16"/>
  <c r="F7" i="16"/>
  <c r="E7" i="16"/>
  <c r="B7" i="16"/>
  <c r="H7" i="16"/>
  <c r="C7" i="16"/>
  <c r="F76" i="16"/>
  <c r="C76" i="16"/>
  <c r="E76" i="16"/>
  <c r="G76" i="16"/>
  <c r="B76" i="16"/>
  <c r="H76" i="16"/>
  <c r="F80" i="16"/>
  <c r="H80" i="16"/>
  <c r="B80" i="16"/>
  <c r="G80" i="16"/>
  <c r="C80" i="16"/>
  <c r="E80" i="16"/>
  <c r="H65" i="16"/>
  <c r="F65" i="16"/>
  <c r="C65" i="16"/>
  <c r="B65" i="16"/>
  <c r="E65" i="16"/>
  <c r="G65" i="16"/>
  <c r="G88" i="16"/>
  <c r="C88" i="16"/>
  <c r="H88" i="16"/>
  <c r="B88" i="16"/>
  <c r="F88" i="16"/>
  <c r="E88" i="16"/>
  <c r="F38" i="16"/>
  <c r="G38" i="16"/>
  <c r="H38" i="16"/>
  <c r="B38" i="16"/>
  <c r="E38" i="16"/>
  <c r="C38" i="16"/>
  <c r="E56" i="16"/>
  <c r="B56" i="16"/>
  <c r="H56" i="16"/>
  <c r="G56" i="16"/>
  <c r="C56" i="16"/>
  <c r="F56" i="16"/>
  <c r="H133" i="16"/>
  <c r="C133" i="16"/>
  <c r="B133" i="16"/>
  <c r="G133" i="16"/>
  <c r="F133" i="16"/>
  <c r="E133" i="16"/>
  <c r="B101" i="16"/>
  <c r="F101" i="16"/>
  <c r="H101" i="16"/>
  <c r="G101" i="16"/>
  <c r="C101" i="16"/>
  <c r="E101" i="16"/>
  <c r="G106" i="16"/>
  <c r="F106" i="16"/>
  <c r="H106" i="16"/>
  <c r="B106" i="16"/>
  <c r="E106" i="16"/>
  <c r="C106" i="16"/>
  <c r="H19" i="16"/>
  <c r="B19" i="16"/>
  <c r="F19" i="16"/>
  <c r="E19" i="16"/>
  <c r="C19" i="16"/>
  <c r="G19" i="16"/>
  <c r="E139" i="16"/>
  <c r="F139" i="16"/>
  <c r="B139" i="16"/>
  <c r="G139" i="16"/>
  <c r="C139" i="16"/>
  <c r="H139" i="16"/>
  <c r="E40" i="16"/>
  <c r="F40" i="16"/>
  <c r="B40" i="16"/>
  <c r="H40" i="16"/>
  <c r="C40" i="16"/>
  <c r="G40" i="16"/>
  <c r="B146" i="16"/>
  <c r="F146" i="16"/>
  <c r="E146" i="16"/>
  <c r="G146" i="16"/>
  <c r="C146" i="16"/>
  <c r="H146" i="16"/>
  <c r="C157" i="16"/>
  <c r="B157" i="16"/>
  <c r="G157" i="16"/>
  <c r="E157" i="16"/>
  <c r="F157" i="16"/>
  <c r="H157" i="16"/>
  <c r="B42" i="16"/>
  <c r="H42" i="16"/>
  <c r="E42" i="16"/>
  <c r="G42" i="16"/>
  <c r="C42" i="16"/>
  <c r="F42" i="16"/>
  <c r="C91" i="16"/>
  <c r="E91" i="16"/>
  <c r="B91" i="16"/>
  <c r="H91" i="16"/>
  <c r="F91" i="16"/>
  <c r="G91" i="16"/>
  <c r="B35" i="16"/>
  <c r="C35" i="16"/>
  <c r="G35" i="16"/>
  <c r="H35" i="16"/>
  <c r="E35" i="16"/>
  <c r="F35" i="16"/>
  <c r="C75" i="16"/>
  <c r="B75" i="16"/>
  <c r="F75" i="16"/>
  <c r="H75" i="16"/>
  <c r="E75" i="16"/>
  <c r="G75" i="16"/>
  <c r="E118" i="16"/>
  <c r="C118" i="16"/>
  <c r="B118" i="16"/>
  <c r="H118" i="16"/>
  <c r="F118" i="16"/>
  <c r="G118" i="16"/>
  <c r="E151" i="16"/>
  <c r="G151" i="16"/>
  <c r="H151" i="16"/>
  <c r="C151" i="16"/>
  <c r="F151" i="16"/>
  <c r="B151" i="16"/>
  <c r="H79" i="16"/>
  <c r="G79" i="16"/>
  <c r="C79" i="16"/>
  <c r="F79" i="16"/>
  <c r="B79" i="16"/>
  <c r="E79" i="16"/>
  <c r="G31" i="16"/>
  <c r="F31" i="16"/>
  <c r="C31" i="16"/>
  <c r="H31" i="16"/>
  <c r="E31" i="16"/>
  <c r="B31" i="16"/>
  <c r="B59" i="16"/>
  <c r="C59" i="16"/>
  <c r="G59" i="16"/>
  <c r="E59" i="16"/>
  <c r="F59" i="16"/>
  <c r="H59" i="16"/>
  <c r="C49" i="16"/>
  <c r="E49" i="16"/>
  <c r="H49" i="16"/>
  <c r="F49" i="16"/>
  <c r="B49" i="16"/>
  <c r="G49" i="16"/>
  <c r="G48" i="16"/>
  <c r="H48" i="16"/>
  <c r="F48" i="16"/>
  <c r="E48" i="16"/>
  <c r="C48" i="16"/>
  <c r="B48" i="16"/>
  <c r="C148" i="16"/>
  <c r="B148" i="16"/>
  <c r="G148" i="16"/>
  <c r="F148" i="16"/>
  <c r="E148" i="16"/>
  <c r="H148" i="16"/>
  <c r="E137" i="16"/>
  <c r="B137" i="16"/>
  <c r="F137" i="16"/>
  <c r="G137" i="16"/>
  <c r="H137" i="16"/>
  <c r="C137" i="16"/>
  <c r="G147" i="16"/>
  <c r="H147" i="16"/>
  <c r="B147" i="16"/>
  <c r="C147" i="16"/>
  <c r="F147" i="16"/>
  <c r="E147" i="16"/>
  <c r="H122" i="16"/>
  <c r="G122" i="16"/>
  <c r="F122" i="16"/>
  <c r="E122" i="16"/>
  <c r="B122" i="16"/>
  <c r="C122" i="16"/>
  <c r="F142" i="16"/>
  <c r="E142" i="16"/>
  <c r="H142" i="16"/>
  <c r="B142" i="16"/>
  <c r="C142" i="16"/>
  <c r="G142" i="16"/>
  <c r="G123" i="16"/>
  <c r="H123" i="16"/>
  <c r="B123" i="16"/>
  <c r="C123" i="16"/>
  <c r="E123" i="16"/>
  <c r="F123" i="16"/>
  <c r="F46" i="16"/>
  <c r="H46" i="16"/>
  <c r="C46" i="16"/>
  <c r="G46" i="16"/>
  <c r="B46" i="16"/>
  <c r="E46" i="16"/>
  <c r="F124" i="16"/>
  <c r="B124" i="16"/>
  <c r="G124" i="16"/>
  <c r="E124" i="16"/>
  <c r="H124" i="16"/>
  <c r="C124" i="16"/>
  <c r="B8" i="16"/>
  <c r="E8" i="16"/>
  <c r="F8" i="16"/>
  <c r="G8" i="16"/>
  <c r="C8" i="16"/>
  <c r="H8" i="16"/>
  <c r="H90" i="16"/>
  <c r="G90" i="16"/>
  <c r="F90" i="16"/>
  <c r="C90" i="16"/>
  <c r="B90" i="16"/>
  <c r="E90" i="16"/>
  <c r="C55" i="16"/>
  <c r="H55" i="16"/>
  <c r="E55" i="16"/>
  <c r="G55" i="16"/>
  <c r="B55" i="16"/>
  <c r="F55" i="16"/>
  <c r="G41" i="16"/>
  <c r="B41" i="16"/>
  <c r="F41" i="16"/>
  <c r="C41" i="16"/>
  <c r="E41" i="16"/>
  <c r="H41" i="16"/>
  <c r="E54" i="16"/>
  <c r="B54" i="16"/>
  <c r="F54" i="16"/>
  <c r="C54" i="16"/>
  <c r="H54" i="16"/>
  <c r="G54" i="16"/>
  <c r="G143" i="16"/>
  <c r="C143" i="16"/>
  <c r="E143" i="16"/>
  <c r="H143" i="16"/>
  <c r="F143" i="16"/>
  <c r="B143" i="16"/>
  <c r="B104" i="16"/>
  <c r="C104" i="16"/>
  <c r="G104" i="16"/>
  <c r="F104" i="16"/>
  <c r="H104" i="16"/>
  <c r="E104" i="16"/>
  <c r="F158" i="16"/>
  <c r="B158" i="16"/>
  <c r="E158" i="16"/>
  <c r="C158" i="16"/>
  <c r="H158" i="16"/>
  <c r="G158" i="16"/>
  <c r="C140" i="16"/>
  <c r="F140" i="16"/>
  <c r="B140" i="16"/>
  <c r="G140" i="16"/>
  <c r="E140" i="16"/>
  <c r="H140" i="16"/>
  <c r="E12" i="16"/>
  <c r="G12" i="16"/>
  <c r="F12" i="16"/>
  <c r="B12" i="16"/>
  <c r="H12" i="16"/>
  <c r="C12" i="16"/>
  <c r="H5" i="16"/>
  <c r="F5" i="16"/>
  <c r="C5" i="16"/>
  <c r="E5" i="16"/>
  <c r="G5" i="16"/>
  <c r="B5" i="16"/>
  <c r="H132" i="16"/>
  <c r="C132" i="16"/>
  <c r="F132" i="16"/>
  <c r="E132" i="16"/>
  <c r="G132" i="16"/>
  <c r="B132" i="16"/>
  <c r="H114" i="16"/>
  <c r="E114" i="16"/>
  <c r="B114" i="16"/>
  <c r="G114" i="16"/>
  <c r="C114" i="16"/>
  <c r="F114" i="16"/>
  <c r="H111" i="16"/>
  <c r="E111" i="16"/>
  <c r="F111" i="16"/>
  <c r="B111" i="16"/>
  <c r="C111" i="16"/>
  <c r="G111" i="16"/>
  <c r="C39" i="16"/>
  <c r="H39" i="16"/>
  <c r="F39" i="16"/>
  <c r="E39" i="16"/>
  <c r="B39" i="16"/>
  <c r="G39" i="16"/>
  <c r="E84" i="16"/>
  <c r="B84" i="16"/>
  <c r="F84" i="16"/>
  <c r="G84" i="16"/>
  <c r="C84" i="16"/>
  <c r="H84" i="16"/>
  <c r="H24" i="16"/>
  <c r="G24" i="16"/>
  <c r="F24" i="16"/>
  <c r="C24" i="16"/>
  <c r="B24" i="16"/>
  <c r="E24" i="16"/>
  <c r="G112" i="16"/>
  <c r="E112" i="16"/>
  <c r="B112" i="16"/>
  <c r="C112" i="16"/>
  <c r="F112" i="16"/>
  <c r="H112" i="16"/>
  <c r="C71" i="16"/>
  <c r="F71" i="16"/>
  <c r="G71" i="16"/>
  <c r="B71" i="16"/>
  <c r="E71" i="16"/>
  <c r="H71" i="16"/>
  <c r="B116" i="16"/>
  <c r="F116" i="16"/>
  <c r="E116" i="16"/>
  <c r="H116" i="16"/>
  <c r="C116" i="16"/>
  <c r="G116" i="16"/>
  <c r="G22" i="16"/>
  <c r="C22" i="16"/>
  <c r="B22" i="16"/>
  <c r="H22" i="16"/>
  <c r="F22" i="16"/>
  <c r="E22" i="16"/>
  <c r="B121" i="16"/>
  <c r="F121" i="16"/>
  <c r="G121" i="16"/>
  <c r="E121" i="16"/>
  <c r="H121" i="16"/>
  <c r="C121" i="16"/>
  <c r="F67" i="16"/>
  <c r="B67" i="16"/>
  <c r="G67" i="16"/>
  <c r="E67" i="16"/>
  <c r="C67" i="16"/>
  <c r="H67" i="16"/>
  <c r="E78" i="16"/>
  <c r="F78" i="16"/>
  <c r="H78" i="16"/>
  <c r="C78" i="16"/>
  <c r="B78" i="16"/>
  <c r="G78" i="16"/>
  <c r="E113" i="16"/>
  <c r="B113" i="16"/>
  <c r="C113" i="16"/>
  <c r="H113" i="16"/>
  <c r="F113" i="16"/>
  <c r="G113" i="16"/>
  <c r="E29" i="16"/>
  <c r="F29" i="16"/>
  <c r="G29" i="16"/>
  <c r="H29" i="16"/>
  <c r="C29" i="16"/>
  <c r="B29" i="16"/>
  <c r="C128" i="16"/>
  <c r="E128" i="16"/>
  <c r="H128" i="16"/>
  <c r="F128" i="16"/>
  <c r="B128" i="16"/>
  <c r="G128" i="16"/>
  <c r="B138" i="16"/>
  <c r="H138" i="16"/>
  <c r="E138" i="16"/>
  <c r="C138" i="16"/>
  <c r="F138" i="16"/>
  <c r="G138" i="16"/>
  <c r="C61" i="16"/>
  <c r="F61" i="16"/>
  <c r="G61" i="16"/>
  <c r="E61" i="16"/>
  <c r="B61" i="16"/>
  <c r="H61" i="16"/>
  <c r="C14" i="16"/>
  <c r="E14" i="16"/>
  <c r="F14" i="16"/>
  <c r="H14" i="16"/>
  <c r="B14" i="16"/>
  <c r="G14" i="16"/>
  <c r="B15" i="16"/>
  <c r="G15" i="16"/>
  <c r="E15" i="16"/>
  <c r="C15" i="16"/>
  <c r="F15" i="16"/>
  <c r="H15" i="16"/>
  <c r="F135" i="16"/>
  <c r="C135" i="16"/>
  <c r="G135" i="16"/>
  <c r="B135" i="16"/>
  <c r="H135" i="16"/>
  <c r="E135" i="16"/>
  <c r="G117" i="16"/>
  <c r="F117" i="16"/>
  <c r="E117" i="16"/>
  <c r="C117" i="16"/>
  <c r="H117" i="16"/>
  <c r="B117" i="16"/>
  <c r="E141" i="16"/>
  <c r="G141" i="16"/>
  <c r="C141" i="16"/>
  <c r="B141" i="16"/>
  <c r="F141" i="16"/>
  <c r="H141" i="16"/>
  <c r="F10" i="16"/>
  <c r="B10" i="16"/>
  <c r="E10" i="16"/>
  <c r="G10" i="16"/>
  <c r="H10" i="16"/>
  <c r="C10" i="16"/>
  <c r="F99" i="16"/>
  <c r="H99" i="16"/>
  <c r="C99" i="16"/>
  <c r="E99" i="16"/>
  <c r="G99" i="16"/>
  <c r="B99" i="16"/>
  <c r="E6" i="16"/>
  <c r="H6" i="16"/>
  <c r="F6" i="16"/>
  <c r="C6" i="16"/>
  <c r="G6" i="16"/>
  <c r="B6" i="16"/>
  <c r="G97" i="16"/>
  <c r="C97" i="16"/>
  <c r="F97" i="16"/>
  <c r="H97" i="16"/>
  <c r="E97" i="16"/>
  <c r="B97" i="16"/>
  <c r="B136" i="16"/>
  <c r="H136" i="16"/>
  <c r="G136" i="16"/>
  <c r="F136" i="16"/>
  <c r="E136" i="16"/>
  <c r="C136" i="16"/>
  <c r="B36" i="16"/>
  <c r="F36" i="16"/>
  <c r="C36" i="16"/>
  <c r="H36" i="16"/>
  <c r="G36" i="16"/>
  <c r="E36" i="16"/>
  <c r="E9" i="16"/>
  <c r="F9" i="16"/>
  <c r="C9" i="16"/>
  <c r="G9" i="16"/>
  <c r="H9" i="16"/>
  <c r="B9" i="16"/>
  <c r="G129" i="16"/>
  <c r="F129" i="16"/>
  <c r="C129" i="16"/>
  <c r="E129" i="16"/>
  <c r="B129" i="16"/>
  <c r="H129" i="16"/>
  <c r="F77" i="16"/>
  <c r="B77" i="16"/>
  <c r="C77" i="16"/>
  <c r="G77" i="16"/>
  <c r="H77" i="16"/>
  <c r="E77" i="16"/>
  <c r="B89" i="16"/>
  <c r="E89" i="16"/>
  <c r="G89" i="16"/>
  <c r="F89" i="16"/>
  <c r="H89" i="16"/>
  <c r="C89" i="16"/>
  <c r="H58" i="16"/>
  <c r="E58" i="16"/>
  <c r="F58" i="16"/>
  <c r="C58" i="16"/>
  <c r="G58" i="16"/>
  <c r="B58" i="16"/>
  <c r="F95" i="16"/>
  <c r="G95" i="16"/>
  <c r="C95" i="16"/>
  <c r="B95" i="16"/>
  <c r="H95" i="16"/>
  <c r="E95" i="16"/>
  <c r="H87" i="16"/>
  <c r="G87" i="16"/>
  <c r="C87" i="16"/>
  <c r="F87" i="16"/>
  <c r="E87" i="16"/>
  <c r="B87" i="16"/>
  <c r="G51" i="16"/>
  <c r="E51" i="16"/>
  <c r="H51" i="16"/>
  <c r="B51" i="16"/>
  <c r="F51" i="16"/>
  <c r="C51" i="16"/>
  <c r="B155" i="16"/>
  <c r="G155" i="16"/>
  <c r="F155" i="16"/>
  <c r="E155" i="16"/>
  <c r="C155" i="16"/>
  <c r="H155" i="16"/>
  <c r="H17" i="16"/>
  <c r="C17" i="16"/>
  <c r="B17" i="16"/>
  <c r="G17" i="16"/>
  <c r="F17" i="16"/>
  <c r="E17" i="16"/>
  <c r="FV53" i="54" a="1"/>
  <c r="FV53" i="54" s="1"/>
  <c r="FW53" i="54" s="1"/>
  <c r="FR53" i="54" a="1"/>
  <c r="FR53" i="54" s="1"/>
  <c r="FS53" i="54" s="1"/>
  <c r="FT53" i="54" a="1"/>
  <c r="FT53" i="54" s="1"/>
  <c r="FU53" i="54" s="1"/>
  <c r="FZ53" i="54" a="1"/>
  <c r="FZ53" i="54" s="1"/>
  <c r="GA53" i="54" s="1"/>
  <c r="FX53" i="54" a="1"/>
  <c r="FX53" i="54" s="1"/>
  <c r="FY53" i="54" s="1"/>
  <c r="FP53" i="54" a="1"/>
  <c r="FP53" i="54" s="1"/>
  <c r="FQ53" i="54" s="1"/>
  <c r="F64" i="16"/>
  <c r="E64" i="16"/>
  <c r="H64" i="16"/>
  <c r="B64" i="16"/>
  <c r="C64" i="16"/>
  <c r="G64" i="16"/>
  <c r="H144" i="16"/>
  <c r="B144" i="16"/>
  <c r="G144" i="16"/>
  <c r="E144" i="16"/>
  <c r="C144" i="16"/>
  <c r="F144" i="16"/>
  <c r="G60" i="16"/>
  <c r="F60" i="16"/>
  <c r="E60" i="16"/>
  <c r="C60" i="16"/>
  <c r="H60" i="16"/>
  <c r="B60" i="16"/>
  <c r="G120" i="16"/>
  <c r="H120" i="16"/>
  <c r="F120" i="16"/>
  <c r="C120" i="16"/>
  <c r="E120" i="16"/>
  <c r="B120" i="16"/>
  <c r="F108" i="16"/>
  <c r="H108" i="16"/>
  <c r="C108" i="16"/>
  <c r="G108" i="16"/>
  <c r="E108" i="16"/>
  <c r="B108" i="16"/>
  <c r="B110" i="16"/>
  <c r="H110" i="16"/>
  <c r="G110" i="16"/>
  <c r="E110" i="16"/>
  <c r="C110" i="16"/>
  <c r="F110" i="16"/>
  <c r="H33" i="16"/>
  <c r="G33" i="16"/>
  <c r="E33" i="16"/>
  <c r="F33" i="16"/>
  <c r="B33" i="16"/>
  <c r="C33" i="16"/>
  <c r="C45" i="16"/>
  <c r="E45" i="16"/>
  <c r="F45" i="16"/>
  <c r="B45" i="16"/>
  <c r="G45" i="16"/>
  <c r="H45" i="16"/>
  <c r="E43" i="16"/>
  <c r="C43" i="16"/>
  <c r="F43" i="16"/>
  <c r="H43" i="16"/>
  <c r="G43" i="16"/>
  <c r="B43" i="16"/>
  <c r="B69" i="16"/>
  <c r="H69" i="16"/>
  <c r="F69" i="16"/>
  <c r="G69" i="16"/>
  <c r="E69" i="16"/>
  <c r="C69" i="16"/>
  <c r="C1" i="16"/>
  <c r="EW54" i="54"/>
  <c r="EV55" i="54" s="1"/>
  <c r="GC54" i="54"/>
  <c r="EZ54" i="54"/>
  <c r="FA54" i="54"/>
  <c r="GB54" i="54" s="1"/>
  <c r="FN54" i="54"/>
  <c r="FO54" i="54" s="1"/>
  <c r="E23" i="16"/>
  <c r="B23" i="16"/>
  <c r="H23" i="16"/>
  <c r="G23" i="16"/>
  <c r="F23" i="16"/>
  <c r="C23" i="16"/>
  <c r="F100" i="16"/>
  <c r="C100" i="16"/>
  <c r="E100" i="16"/>
  <c r="G100" i="16"/>
  <c r="H100" i="16"/>
  <c r="B100" i="16"/>
  <c r="H130" i="16"/>
  <c r="C130" i="16"/>
  <c r="F130" i="16"/>
  <c r="E130" i="16"/>
  <c r="B130" i="16"/>
  <c r="G130" i="16"/>
  <c r="F20" i="16"/>
  <c r="E20" i="16"/>
  <c r="C20" i="16"/>
  <c r="B20" i="16"/>
  <c r="H20" i="16"/>
  <c r="G20" i="16"/>
  <c r="H115" i="16"/>
  <c r="G115" i="16"/>
  <c r="E115" i="16"/>
  <c r="B115" i="16"/>
  <c r="C115" i="16"/>
  <c r="F115" i="16"/>
  <c r="B127" i="16"/>
  <c r="F127" i="16"/>
  <c r="E127" i="16"/>
  <c r="G127" i="16"/>
  <c r="C127" i="16"/>
  <c r="H127" i="16"/>
  <c r="H107" i="16"/>
  <c r="F107" i="16"/>
  <c r="E107" i="16"/>
  <c r="B107" i="16"/>
  <c r="C107" i="16"/>
  <c r="G107" i="16"/>
  <c r="E70" i="16"/>
  <c r="C70" i="16"/>
  <c r="F70" i="16"/>
  <c r="B70" i="16"/>
  <c r="H70" i="16"/>
  <c r="G70" i="16"/>
  <c r="B152" i="16"/>
  <c r="H152" i="16"/>
  <c r="F152" i="16"/>
  <c r="C152" i="16"/>
  <c r="E152" i="16"/>
  <c r="G152" i="16"/>
  <c r="B52" i="16"/>
  <c r="G52" i="16"/>
  <c r="H52" i="16"/>
  <c r="E52" i="16"/>
  <c r="F52" i="16"/>
  <c r="C52" i="16"/>
  <c r="B149" i="16"/>
  <c r="E149" i="16"/>
  <c r="G149" i="16"/>
  <c r="C149" i="16"/>
  <c r="F149" i="16"/>
  <c r="H149" i="16"/>
  <c r="H103" i="16"/>
  <c r="F103" i="16"/>
  <c r="B103" i="16"/>
  <c r="C103" i="16"/>
  <c r="G103" i="16"/>
  <c r="E103" i="16"/>
  <c r="C81" i="16"/>
  <c r="G81" i="16"/>
  <c r="F81" i="16"/>
  <c r="H81" i="16"/>
  <c r="E81" i="16"/>
  <c r="B81" i="16"/>
  <c r="F82" i="16"/>
  <c r="B82" i="16"/>
  <c r="H82" i="16"/>
  <c r="E82" i="16"/>
  <c r="G82" i="16"/>
  <c r="C82" i="16"/>
  <c r="G72" i="16"/>
  <c r="H72" i="16"/>
  <c r="F72" i="16"/>
  <c r="E72" i="16"/>
  <c r="B72" i="16"/>
  <c r="C72" i="16"/>
  <c r="E32" i="16"/>
  <c r="B32" i="16"/>
  <c r="C32" i="16"/>
  <c r="F32" i="16"/>
  <c r="H32" i="16"/>
  <c r="G32" i="16"/>
  <c r="H30" i="16"/>
  <c r="C30" i="16"/>
  <c r="F30" i="16"/>
  <c r="B30" i="16"/>
  <c r="E30" i="16"/>
  <c r="G30" i="16"/>
  <c r="E50" i="16"/>
  <c r="B50" i="16"/>
  <c r="G50" i="16"/>
  <c r="C50" i="16"/>
  <c r="H50" i="16"/>
  <c r="F50" i="16"/>
  <c r="H156" i="16"/>
  <c r="G156" i="16"/>
  <c r="C156" i="16"/>
  <c r="B156" i="16"/>
  <c r="E156" i="16"/>
  <c r="F156" i="16"/>
  <c r="F94" i="16"/>
  <c r="C94" i="16"/>
  <c r="E94" i="16"/>
  <c r="H94" i="16"/>
  <c r="G94" i="16"/>
  <c r="B94" i="16"/>
  <c r="E25" i="16"/>
  <c r="F25" i="16"/>
  <c r="C25" i="16"/>
  <c r="G25" i="16"/>
  <c r="H25" i="16"/>
  <c r="B25" i="16"/>
  <c r="G92" i="16"/>
  <c r="F92" i="16"/>
  <c r="E92" i="16"/>
  <c r="B92" i="16"/>
  <c r="C92" i="16"/>
  <c r="H92" i="16"/>
  <c r="F57" i="16"/>
  <c r="G57" i="16"/>
  <c r="B57" i="16"/>
  <c r="C57" i="16"/>
  <c r="H57" i="16"/>
  <c r="E57" i="16"/>
  <c r="E126" i="16"/>
  <c r="H126" i="16"/>
  <c r="G126" i="16"/>
  <c r="C126" i="16"/>
  <c r="F126" i="16"/>
  <c r="B126" i="16"/>
  <c r="B119" i="16"/>
  <c r="G119" i="16"/>
  <c r="F119" i="16"/>
  <c r="E119" i="16"/>
  <c r="C119" i="16"/>
  <c r="H119" i="16"/>
  <c r="H68" i="16"/>
  <c r="C68" i="16"/>
  <c r="B68" i="16"/>
  <c r="E68" i="16"/>
  <c r="G68" i="16"/>
  <c r="F68" i="16"/>
  <c r="C102" i="16"/>
  <c r="G102" i="16"/>
  <c r="B102" i="16"/>
  <c r="E102" i="16"/>
  <c r="H102" i="16"/>
  <c r="F102" i="16"/>
  <c r="F160" i="16"/>
  <c r="C160" i="16"/>
  <c r="G160" i="16"/>
  <c r="E160" i="16"/>
  <c r="H160" i="16"/>
  <c r="B160" i="16"/>
  <c r="G98" i="16"/>
  <c r="H98" i="16"/>
  <c r="C98" i="16"/>
  <c r="E98" i="16"/>
  <c r="F98" i="16"/>
  <c r="B98" i="16"/>
  <c r="G93" i="16"/>
  <c r="E93" i="16"/>
  <c r="B93" i="16"/>
  <c r="C93" i="16"/>
  <c r="H93" i="16"/>
  <c r="F93" i="16"/>
  <c r="E86" i="16"/>
  <c r="B86" i="16"/>
  <c r="G86" i="16"/>
  <c r="C86" i="16"/>
  <c r="F86" i="16"/>
  <c r="H86" i="16"/>
  <c r="F21" i="16"/>
  <c r="H21" i="16"/>
  <c r="E21" i="16"/>
  <c r="C21" i="16"/>
  <c r="B21" i="16"/>
  <c r="G21" i="16"/>
  <c r="B16" i="16"/>
  <c r="E16" i="16"/>
  <c r="F16" i="16"/>
  <c r="G16" i="16"/>
  <c r="C16" i="16"/>
  <c r="H16" i="16"/>
  <c r="F125" i="16"/>
  <c r="H125" i="16"/>
  <c r="B125" i="16"/>
  <c r="C125" i="16"/>
  <c r="G125" i="16"/>
  <c r="E125" i="16"/>
  <c r="B66" i="16"/>
  <c r="C66" i="16"/>
  <c r="E66" i="16"/>
  <c r="G66" i="16"/>
  <c r="H66" i="16"/>
  <c r="F66" i="16"/>
  <c r="F13" i="16"/>
  <c r="E13" i="16"/>
  <c r="C13" i="16"/>
  <c r="H13" i="16"/>
  <c r="B13" i="16"/>
  <c r="G13" i="16"/>
  <c r="G159" i="16"/>
  <c r="H159" i="16"/>
  <c r="E159" i="16"/>
  <c r="F159" i="16"/>
  <c r="C159" i="16"/>
  <c r="B159" i="16"/>
  <c r="F26" i="16"/>
  <c r="C26" i="16"/>
  <c r="E26" i="16"/>
  <c r="B26" i="16"/>
  <c r="H26" i="16"/>
  <c r="G26" i="16"/>
  <c r="B53" i="16"/>
  <c r="G53" i="16"/>
  <c r="E53" i="16"/>
  <c r="F53" i="16"/>
  <c r="C53" i="16"/>
  <c r="H53" i="16"/>
  <c r="F73" i="16"/>
  <c r="B73" i="16"/>
  <c r="C73" i="16"/>
  <c r="H73" i="16"/>
  <c r="G73" i="16"/>
  <c r="E73" i="16"/>
  <c r="FZ54" i="54" l="1" a="1"/>
  <c r="FZ54" i="54" s="1"/>
  <c r="GA54" i="54" s="1"/>
  <c r="FX54" i="54" a="1"/>
  <c r="FX54" i="54" s="1"/>
  <c r="FY54" i="54" s="1"/>
  <c r="FV54" i="54" a="1"/>
  <c r="FV54" i="54" s="1"/>
  <c r="FW54" i="54" s="1"/>
  <c r="FP54" i="54" a="1"/>
  <c r="FP54" i="54" s="1"/>
  <c r="FQ54" i="54" s="1"/>
  <c r="FR54" i="54" a="1"/>
  <c r="FR54" i="54" s="1"/>
  <c r="FS54" i="54" s="1"/>
  <c r="FT54" i="54" a="1"/>
  <c r="FT54" i="54" s="1"/>
  <c r="FU54" i="54" s="1"/>
  <c r="GC55" i="54"/>
  <c r="EW55" i="54"/>
  <c r="EV56" i="54" s="1"/>
  <c r="FA55" i="54"/>
  <c r="GB55" i="54" s="1"/>
  <c r="EZ55" i="54"/>
  <c r="FN55" i="54"/>
  <c r="FO55" i="54" s="1"/>
  <c r="FT55" i="54" l="1" a="1"/>
  <c r="FT55" i="54" s="1"/>
  <c r="FU55" i="54" s="1"/>
  <c r="FX55" i="54" a="1"/>
  <c r="FX55" i="54" s="1"/>
  <c r="FY55" i="54" s="1"/>
  <c r="FZ55" i="54" a="1"/>
  <c r="FZ55" i="54" s="1"/>
  <c r="GA55" i="54" s="1"/>
  <c r="FV55" i="54" a="1"/>
  <c r="FV55" i="54" s="1"/>
  <c r="FW55" i="54" s="1"/>
  <c r="FR55" i="54" a="1"/>
  <c r="FR55" i="54" s="1"/>
  <c r="FS55" i="54" s="1"/>
  <c r="FP55" i="54" a="1"/>
  <c r="FP55" i="54" s="1"/>
  <c r="FQ55" i="54" s="1"/>
  <c r="GC56" i="54"/>
  <c r="EZ56" i="54"/>
  <c r="EW56" i="54"/>
  <c r="EV57" i="54" s="1"/>
  <c r="FA56" i="54"/>
  <c r="GB56" i="54" s="1"/>
  <c r="FN56" i="54"/>
  <c r="FO56" i="54" s="1"/>
  <c r="GC57" i="54" l="1"/>
  <c r="EW57" i="54"/>
  <c r="EV58" i="54" s="1"/>
  <c r="EZ57" i="54"/>
  <c r="FA57" i="54"/>
  <c r="GB57" i="54" s="1"/>
  <c r="FN57" i="54"/>
  <c r="FO57" i="54" s="1"/>
  <c r="FT56" i="54" a="1"/>
  <c r="FT56" i="54" s="1"/>
  <c r="FU56" i="54" s="1"/>
  <c r="FV56" i="54" a="1"/>
  <c r="FV56" i="54" s="1"/>
  <c r="FW56" i="54" s="1"/>
  <c r="FP56" i="54" a="1"/>
  <c r="FP56" i="54" s="1"/>
  <c r="FQ56" i="54" s="1"/>
  <c r="FX56" i="54" a="1"/>
  <c r="FX56" i="54" s="1"/>
  <c r="FY56" i="54" s="1"/>
  <c r="FR56" i="54" a="1"/>
  <c r="FR56" i="54" s="1"/>
  <c r="FS56" i="54" s="1"/>
  <c r="FZ56" i="54" a="1"/>
  <c r="FZ56" i="54" s="1"/>
  <c r="GA56" i="54" s="1"/>
  <c r="FR57" i="54" l="1" a="1"/>
  <c r="FR57" i="54" s="1"/>
  <c r="FS57" i="54" s="1"/>
  <c r="FP57" i="54" a="1"/>
  <c r="FP57" i="54" s="1"/>
  <c r="FQ57" i="54" s="1"/>
  <c r="FZ57" i="54" a="1"/>
  <c r="FZ57" i="54" s="1"/>
  <c r="GA57" i="54" s="1"/>
  <c r="FV57" i="54" a="1"/>
  <c r="FV57" i="54" s="1"/>
  <c r="FW57" i="54" s="1"/>
  <c r="FT57" i="54" a="1"/>
  <c r="FT57" i="54" s="1"/>
  <c r="FU57" i="54" s="1"/>
  <c r="FX57" i="54" a="1"/>
  <c r="FX57" i="54" s="1"/>
  <c r="FY57" i="54" s="1"/>
  <c r="EZ58" i="54"/>
  <c r="EW58" i="54"/>
  <c r="EV59" i="54" s="1"/>
  <c r="GC58" i="54"/>
  <c r="FA58" i="54"/>
  <c r="GB58" i="54" s="1"/>
  <c r="FN58" i="54"/>
  <c r="FO58" i="54" s="1"/>
  <c r="EZ59" i="54" l="1"/>
  <c r="FC59" i="54"/>
  <c r="GC59" i="54"/>
  <c r="FA59" i="54"/>
  <c r="GB59" i="54" s="1"/>
  <c r="EW59" i="54"/>
  <c r="EV60" i="54" s="1"/>
  <c r="FN59" i="54"/>
  <c r="FO59" i="54" s="1"/>
  <c r="FC57" i="54"/>
  <c r="FK57" i="54" s="1"/>
  <c r="FC55" i="54"/>
  <c r="FK55" i="54" s="1"/>
  <c r="FZ58" i="54" a="1"/>
  <c r="FZ58" i="54" s="1"/>
  <c r="GA58" i="54" s="1"/>
  <c r="FV58" i="54" a="1"/>
  <c r="FV58" i="54" s="1"/>
  <c r="FW58" i="54" s="1"/>
  <c r="FT58" i="54" a="1"/>
  <c r="FT58" i="54" s="1"/>
  <c r="FU58" i="54" s="1"/>
  <c r="FP58" i="54" a="1"/>
  <c r="FP58" i="54" s="1"/>
  <c r="FQ58" i="54" s="1"/>
  <c r="FX58" i="54" a="1"/>
  <c r="FX58" i="54" s="1"/>
  <c r="FY58" i="54" s="1"/>
  <c r="FR58" i="54" a="1"/>
  <c r="FR58" i="54" s="1"/>
  <c r="FS58" i="54" s="1"/>
  <c r="GV55" i="54" l="1"/>
  <c r="AR55" i="54"/>
  <c r="FR59" i="54" a="1"/>
  <c r="FR59" i="54" s="1"/>
  <c r="FS59" i="54" s="1"/>
  <c r="FP59" i="54" a="1"/>
  <c r="FP59" i="54" s="1"/>
  <c r="FQ59" i="54" s="1"/>
  <c r="FZ59" i="54" a="1"/>
  <c r="FZ59" i="54" s="1"/>
  <c r="GA59" i="54" s="1"/>
  <c r="FT59" i="54" a="1"/>
  <c r="FT59" i="54" s="1"/>
  <c r="FU59" i="54" s="1"/>
  <c r="FV59" i="54" a="1"/>
  <c r="FV59" i="54" s="1"/>
  <c r="FW59" i="54" s="1"/>
  <c r="FX59" i="54" a="1"/>
  <c r="FX59" i="54" s="1"/>
  <c r="FY59" i="54" s="1"/>
  <c r="GV57" i="54"/>
  <c r="AR57" i="54"/>
  <c r="GC60" i="54"/>
  <c r="AD3" i="40" s="1" a="1"/>
  <c r="AD3" i="40" s="1"/>
  <c r="EZ60" i="54"/>
  <c r="FA60" i="54"/>
  <c r="EW60" i="54"/>
  <c r="AX3" i="40" s="1" a="1"/>
  <c r="AX3" i="40" s="1"/>
  <c r="FC60" i="54"/>
  <c r="X3" i="40" s="1" a="1"/>
  <c r="X3" i="40" s="1"/>
  <c r="FN60" i="54"/>
  <c r="FO60" i="54" s="1"/>
  <c r="O3" i="40" a="1"/>
  <c r="FC53" i="54"/>
  <c r="FK53" i="54" s="1"/>
  <c r="FC56" i="54"/>
  <c r="FK56" i="54" s="1"/>
  <c r="FC52" i="54"/>
  <c r="FK52" i="54" s="1"/>
  <c r="FC58" i="54"/>
  <c r="FK58" i="54" s="1"/>
  <c r="FC54" i="54"/>
  <c r="FK54" i="54" s="1"/>
  <c r="FC51" i="54"/>
  <c r="FK51" i="54" s="1"/>
  <c r="FK59" i="54"/>
  <c r="GB60" i="54" l="1"/>
  <c r="AC3" i="40" s="1" a="1"/>
  <c r="AC3" i="40" s="1"/>
  <c r="M3" i="40" a="1"/>
  <c r="M3" i="40" s="1"/>
  <c r="FK60" i="54"/>
  <c r="G3" i="40" a="1"/>
  <c r="G3" i="40" s="1"/>
  <c r="GV59" i="54"/>
  <c r="AR59" i="54"/>
  <c r="GV52" i="54"/>
  <c r="AR52" i="54"/>
  <c r="GV54" i="54"/>
  <c r="AR54" i="54"/>
  <c r="GV56" i="54"/>
  <c r="AR56" i="54"/>
  <c r="GV58" i="54"/>
  <c r="AR58" i="54"/>
  <c r="GV53" i="54"/>
  <c r="AR53" i="54"/>
  <c r="FZ60" i="54" a="1"/>
  <c r="FZ60" i="54" s="1"/>
  <c r="GA60" i="54" s="1"/>
  <c r="FV60" i="54" a="1"/>
  <c r="FV60" i="54" s="1"/>
  <c r="FW60" i="54" s="1"/>
  <c r="FX60" i="54" a="1"/>
  <c r="FX60" i="54" s="1"/>
  <c r="FY60" i="54" s="1"/>
  <c r="FR60" i="54" a="1"/>
  <c r="FR60" i="54" s="1"/>
  <c r="FS60" i="54" s="1"/>
  <c r="FP60" i="54" a="1"/>
  <c r="FP60" i="54" s="1"/>
  <c r="FT60" i="54" a="1"/>
  <c r="FT60" i="54" s="1"/>
  <c r="FU60" i="54" s="1"/>
  <c r="GV51" i="54"/>
  <c r="AR51" i="54"/>
  <c r="O3" i="40"/>
  <c r="BL5" i="10"/>
  <c r="BN5" i="10" s="1"/>
  <c r="BN41" i="10" s="1"/>
  <c r="FQ60" i="54" l="1"/>
  <c r="A4" i="43" a="1"/>
  <c r="A4" i="43" s="1"/>
  <c r="GV60" i="54"/>
  <c r="BU3" i="40" s="1" a="1"/>
  <c r="BU3" i="40" s="1"/>
  <c r="AR60" i="54"/>
  <c r="AE3" i="40" a="1"/>
  <c r="AE3" i="40" s="1"/>
  <c r="AE1" i="40" l="1"/>
  <c r="BF15" i="10"/>
  <c r="BF14" i="10"/>
  <c r="A2" i="60"/>
  <c r="D5" i="60" a="1"/>
  <c r="D5" i="6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marat</author>
  </authors>
  <commentList>
    <comment ref="A9" authorId="0" shapeId="0" xr:uid="{5101EB9A-ED17-4ED6-BC44-170C49A09669}">
      <text>
        <r>
          <rPr>
            <b/>
            <sz val="9"/>
            <color indexed="81"/>
            <rFont val="Tahoma"/>
            <family val="2"/>
            <charset val="204"/>
          </rPr>
          <t>Имя щита (как в «Линии» столбец «Щит»).</t>
        </r>
      </text>
    </comment>
    <comment ref="B9" authorId="0" shapeId="0" xr:uid="{673B55B9-14E9-4F3F-80AC-89B8A8CB203C}">
      <text>
        <r>
          <rPr>
            <b/>
            <sz val="9"/>
            <color indexed="81"/>
            <rFont val="Tahoma"/>
            <family val="2"/>
            <charset val="204"/>
          </rPr>
          <t>Обычно пусто: определяется сам по линии-фидеру в «Линиях». Вписывайте, только если фидера в книге нет. Для ВРУ / ГРЩ — пусто.</t>
        </r>
      </text>
    </comment>
    <comment ref="C9" authorId="0" shapeId="0" xr:uid="{AF4FC636-8E56-4CCD-B225-429520FE9638}">
      <text>
        <r>
          <rPr>
            <b/>
            <sz val="9"/>
            <color indexed="81"/>
            <rFont val="Tahoma"/>
            <family val="2"/>
            <charset val="204"/>
          </rPr>
          <t>Число вводов 1 / 2 / 3.</t>
        </r>
      </text>
    </comment>
    <comment ref="D9" authorId="0" shapeId="0" xr:uid="{EBEFC793-50EF-4F9C-AC27-C27D29C82820}">
      <text>
        <r>
          <rPr>
            <b/>
            <sz val="9"/>
            <color indexed="81"/>
            <rFont val="Tahoma"/>
            <family val="2"/>
            <charset val="204"/>
          </rPr>
          <t>да / нет</t>
        </r>
      </text>
    </comment>
    <comment ref="E9" authorId="0" shapeId="0" xr:uid="{BF0ED6C3-6943-44FB-A82D-57DFE4201BA6}">
      <text>
        <r>
          <rPr>
            <b/>
            <sz val="9"/>
            <color indexed="81"/>
            <rFont val="Tahoma"/>
            <family val="2"/>
            <charset val="204"/>
          </rPr>
          <t>Ввод 1 / 2 / 3 — от какого ввода питается ИБП (ЩГП).</t>
        </r>
      </text>
    </comment>
    <comment ref="F9" authorId="0" shapeId="0" xr:uid="{FBDA0532-848A-456E-AD80-DD19AE8B0FBC}">
      <text>
        <r>
          <rPr>
            <b/>
            <sz val="9"/>
            <color indexed="81"/>
            <rFont val="Tahoma"/>
            <family val="2"/>
            <charset val="204"/>
          </rPr>
          <t>Первые места схемы под вводной узел (вводы, АВР, байпас) — рисуете сами. По умолчанию 15. Строки узла в схеме не рисуются (режим «рисовать» — нарисовать).</t>
        </r>
      </text>
    </comment>
    <comment ref="G9" authorId="0" shapeId="0" xr:uid="{504CEEC9-8860-4447-BC9B-76DD0AA40A22}">
      <text>
        <r>
          <rPr>
            <b/>
            <sz val="9"/>
            <color indexed="81"/>
            <rFont val="Tahoma"/>
            <family val="2"/>
            <charset val="204"/>
          </rPr>
          <t>Только для ВРУ / ГРЩ: «ТП» — щит питается от своего трансформатора; иначе — от сети (введите Iкз).</t>
        </r>
      </text>
    </comment>
    <comment ref="I9" authorId="0" shapeId="0" xr:uid="{635C7985-47A0-409A-A4AD-4E3664B7BF83}">
      <text>
        <r>
          <rPr>
            <b/>
            <sz val="9"/>
            <color indexed="81"/>
            <rFont val="Tahoma"/>
            <family val="2"/>
            <charset val="204"/>
          </rPr>
          <t>Iкз min (1ф) на вводе — от сетевой организации.</t>
        </r>
      </text>
    </comment>
    <comment ref="J9" authorId="0" shapeId="0" xr:uid="{77A88B6B-F8C8-4E53-861E-A3F4D9821DBF}">
      <text>
        <r>
          <rPr>
            <b/>
            <sz val="9"/>
            <color indexed="81"/>
            <rFont val="Tahoma"/>
            <family val="2"/>
            <charset val="204"/>
          </rPr>
          <t>Iкз max (3ф) на вводе — от сетевой организации.</t>
        </r>
      </text>
    </comment>
    <comment ref="L9" authorId="0" shapeId="0" xr:uid="{5624E008-93BD-46CA-8223-A0E41F363760}">
      <text>
        <r>
          <rPr>
            <b/>
            <sz val="9"/>
            <color indexed="81"/>
            <rFont val="Tahoma"/>
            <family val="2"/>
            <charset val="204"/>
          </rPr>
          <t>Д/Yн или Y/Yн</t>
        </r>
      </text>
    </comment>
    <comment ref="Q9" authorId="0" shapeId="0" xr:uid="{9D55EAD4-B873-441D-9AEC-83083A90C5B6}">
      <text>
        <r>
          <rPr>
            <b/>
            <sz val="9"/>
            <color indexed="81"/>
            <rFont val="Tahoma"/>
            <family val="2"/>
            <charset val="204"/>
          </rPr>
          <t>медь / алюминий</t>
        </r>
      </text>
    </comment>
    <comment ref="S9" authorId="0" shapeId="0" xr:uid="{A6FC4D89-37E4-4A37-894A-3A1A7404EBE2}">
      <text>
        <r>
          <rPr>
            <b/>
            <sz val="9"/>
            <color indexed="81"/>
            <rFont val="Tahoma"/>
            <family val="2"/>
            <charset val="204"/>
          </rPr>
          <t>B / C / D</t>
        </r>
      </text>
    </comment>
    <comment ref="T9" authorId="0" shapeId="0" xr:uid="{456ED40B-BEAA-46D2-86AA-029DD2128DC8}">
      <text>
        <r>
          <rPr>
            <b/>
            <sz val="9"/>
            <color indexed="81"/>
            <rFont val="Tahoma"/>
            <family val="2"/>
            <charset val="204"/>
          </rPr>
          <t>Для щита без вышестоящего в книге: какую категорию даёт питающая линия. Пусто — по своей схеме.</t>
        </r>
      </text>
    </comment>
    <comment ref="U9" authorId="0" shapeId="0" xr:uid="{27D93162-09EE-419E-976E-BD6CDC2233E9}">
      <text>
        <r>
          <rPr>
            <b/>
            <sz val="9"/>
            <color indexed="81"/>
            <rFont val="Tahoma"/>
            <family val="2"/>
            <charset val="204"/>
          </rPr>
          <t>Вышестоящий щит: вручную или по линии-фидеру.</t>
        </r>
      </text>
    </comment>
    <comment ref="X9" authorId="0" shapeId="0" xr:uid="{159737E2-A7C2-4390-BAC8-5B00EC7F3ED2}">
      <text>
        <r>
          <rPr>
            <b/>
            <sz val="9"/>
            <color indexed="81"/>
            <rFont val="Tahoma"/>
            <family val="2"/>
            <charset val="204"/>
          </rPr>
          <t>Сумма установленной мощности щита и всех нижестоящих (без группы «Нет»).</t>
        </r>
      </text>
    </comment>
    <comment ref="Y9" authorId="0" shapeId="0" xr:uid="{55C23924-3C26-4ECE-BF04-1C26C0D8B88C}">
      <text>
        <r>
          <rPr>
            <b/>
            <sz val="9"/>
            <color indexed="81"/>
            <rFont val="Tahoma"/>
            <family val="2"/>
            <charset val="204"/>
          </rPr>
          <t>Рр = kп.к·Руст быт·Кс + Ко·Рр сил + Руст пост + Р отоп + 0,7·Р ВНГ (СП 256 п. 7.1.10, Изм. 9).</t>
        </r>
      </text>
    </comment>
    <comment ref="Z9" authorId="0" shapeId="0" xr:uid="{7785BBC2-A234-41DC-9235-05AF816334DF}">
      <text>
        <r>
          <rPr>
            <b/>
            <sz val="9"/>
            <color indexed="81"/>
            <rFont val="Tahoma"/>
            <family val="2"/>
            <charset val="204"/>
          </rPr>
          <t>По наиболее нагруженной фазе.</t>
        </r>
      </text>
    </comment>
    <comment ref="AB9" authorId="0" shapeId="0" xr:uid="{5E8775FB-F7FD-4123-9A00-F322653BC3CF}">
      <text>
        <r>
          <rPr>
            <b/>
            <sz val="9"/>
            <color indexed="81"/>
            <rFont val="Tahoma"/>
            <family val="2"/>
            <charset val="204"/>
          </rPr>
          <t>ΔU от ВРУ до шин щита = ΔU источника + Σ ΔU фидеров на пути.</t>
        </r>
      </text>
    </comment>
    <comment ref="AE9" authorId="0" shapeId="0" xr:uid="{1CA36987-D92D-47CA-8062-A9C03C083FBD}">
      <text>
        <r>
          <rPr>
            <b/>
            <sz val="9"/>
            <color indexed="81"/>
            <rFont val="Tahoma"/>
            <family val="2"/>
            <charset val="204"/>
          </rPr>
          <t>1 ввод — III (или II, если питающая линия I/II: один кабель не даёт I, ПУЭ 1.2.19); 2+ ввода без АВР — II; с АВР — I.</t>
        </r>
      </text>
    </comment>
    <comment ref="AF9" authorId="0" shapeId="0" xr:uid="{01A65057-4CBF-49BD-92C1-C249644F6C7F}">
      <text>
        <r>
          <rPr>
            <b/>
            <sz val="9"/>
            <color indexed="81"/>
            <rFont val="Tahoma"/>
            <family val="2"/>
            <charset val="204"/>
          </rPr>
          <t>Цепочка щитов от ГРЩ до этого щита.</t>
        </r>
      </text>
    </comment>
    <comment ref="AS9" authorId="0" shapeId="0" xr:uid="{23CF9119-CFBC-40A2-8CD0-378DC48B7381}">
      <text>
        <r>
          <rPr>
            <b/>
            <sz val="9"/>
            <color indexed="81"/>
            <rFont val="Tahoma"/>
            <family val="2"/>
            <charset val="204"/>
          </rPr>
          <t>СП 256 табл. 7.2 по сумме Руст быт щита, линейная интерполяция.</t>
        </r>
      </text>
    </comment>
    <comment ref="AT9" authorId="0" shapeId="0" xr:uid="{0860F766-17D9-4F23-849A-125610660BEA}">
      <text>
        <r>
          <rPr>
            <b/>
            <sz val="9"/>
            <color indexed="81"/>
            <rFont val="Tahoma"/>
            <family val="2"/>
            <charset val="204"/>
          </rPr>
          <t>Σ P·Кс силовых линий.</t>
        </r>
      </text>
    </comment>
    <comment ref="AV9" authorId="0" shapeId="0" xr:uid="{7AA5DCE7-62BF-4F1A-B57E-4EFAF4876E95}">
      <text>
        <r>
          <rPr>
            <b/>
            <sz val="9"/>
            <color indexed="81"/>
            <rFont val="Tahoma"/>
            <family val="2"/>
            <charset val="204"/>
          </rPr>
          <t>Электроотопление, Кс = 1 (СП 256, Изм. 9).</t>
        </r>
      </text>
    </comment>
    <comment ref="AW9" authorId="0" shapeId="0" xr:uid="{855B4F65-F61B-4154-B637-34E6E9197EE9}">
      <text>
        <r>
          <rPr>
            <b/>
            <sz val="9"/>
            <color indexed="81"/>
            <rFont val="Tahoma"/>
            <family val="2"/>
            <charset val="204"/>
          </rPr>
          <t>Водонагреватели × 0,7 (СП 256, Изм. 9).</t>
        </r>
      </text>
    </comment>
    <comment ref="AY9" authorId="0" shapeId="0" xr:uid="{7DC5062F-761E-427E-B21E-0E04922F5A1A}">
      <text>
        <r>
          <rPr>
            <b/>
            <sz val="9"/>
            <color indexed="81"/>
            <rFont val="Tahoma"/>
            <family val="2"/>
            <charset val="204"/>
          </rPr>
          <t>СП 256 табл. 7.5 по числу силовых линий щита (доля сантехники 100–85 %; таблица — лист «Объект»). Применяется в режиме «нормы 2026», если Кс линии не задан.</t>
        </r>
      </text>
    </comment>
    <comment ref="AZ9" authorId="0" shapeId="0" xr:uid="{6F8C4C1E-5B3E-4BEC-8282-59615810D549}">
      <text>
        <r>
          <rPr>
            <b/>
            <sz val="9"/>
            <color indexed="81"/>
            <rFont val="Tahoma"/>
            <family val="2"/>
            <charset val="204"/>
          </rPr>
          <t>0,9 — совмещение бытовой и силовой нагрузки (СП 256 формула 6). В режиме «нормы 2026» — только если на щите есть обе.</t>
        </r>
      </text>
    </comment>
    <comment ref="BL9" authorId="0" shapeId="0" xr:uid="{918F844C-F100-43C4-88ED-825D80A2DD44}">
      <text>
        <r>
          <rPr>
            <b/>
            <sz val="9"/>
            <color indexed="81"/>
            <rFont val="Tahoma"/>
            <family val="2"/>
            <charset val="204"/>
          </rPr>
          <t>Zшин = Zсети + Σ(петля фидеров + Rпер) на пути (ГОСТ 28249).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marat</author>
  </authors>
  <commentList>
    <comment ref="A2" authorId="0" shapeId="0" xr:uid="{78294FA2-2C6B-4A44-96E5-415AEAA39C0F}">
      <text>
        <r>
          <rPr>
            <b/>
            <sz val="9"/>
            <color indexed="81"/>
            <rFont val="Tahoma"/>
            <family val="2"/>
            <charset val="204"/>
          </rPr>
          <t>Имя щита. Все места щита — подряд, в порядке мест на схеме.</t>
        </r>
      </text>
    </comment>
    <comment ref="B2" authorId="0" shapeId="0" xr:uid="{C51FD475-2664-4AD8-BEB2-FC7FC9F18E19}">
      <text>
        <r>
          <rPr>
            <b/>
            <sz val="9"/>
            <color indexed="81"/>
            <rFont val="Tahoma"/>
            <family val="2"/>
            <charset val="204"/>
          </rPr>
          <t>Колонка на схеме (шаг 20 мм). Пусто — следующее место по порядку (после вводного узла). Число — своё место (пропуск = пустая колонка). «-» — строки нет на схеме.</t>
        </r>
      </text>
    </comment>
    <comment ref="C2" authorId="0" shapeId="0" xr:uid="{B2A3635F-6490-44FA-8E67-A4500DE72173}">
      <text>
        <r>
          <rPr>
            <b/>
            <sz val="9"/>
            <color indexed="81"/>
            <rFont val="Tahoma"/>
            <family val="2"/>
            <charset val="204"/>
          </rPr>
          <t>Лист схемы A3 и место на нём (мест на лист — «Справочная»/«Таблицы_норм» BF4). «узел» — вводной узел щита.</t>
        </r>
      </text>
    </comment>
    <comment ref="D2" authorId="0" shapeId="0" xr:uid="{466F02E1-D5BF-4026-B122-7AB715362DD9}">
      <text>
        <r>
          <rPr>
            <b/>
            <sz val="9"/>
            <color indexed="81"/>
            <rFont val="Tahoma"/>
            <family val="2"/>
            <charset val="204"/>
          </rPr>
          <t>Код.Помещение.№ (пример: R.1.05.4). Код — «Справочная» P.</t>
        </r>
      </text>
    </comment>
    <comment ref="E2" authorId="0" shapeId="0" xr:uid="{D7CD40F3-5AFB-42FA-A8E2-3710C18A0AA6}">
      <text>
        <r>
          <rPr>
            <b/>
            <sz val="9"/>
            <color indexed="81"/>
            <rFont val="Tahoma"/>
            <family val="2"/>
            <charset val="204"/>
          </rPr>
          <t>Подставляется по коду автоматически. Можно переписать своим текстом. Если стереть — снова по коду (формулу можно протянуть из соседней ячейки).</t>
        </r>
      </text>
    </comment>
    <comment ref="F2" authorId="0" shapeId="0" xr:uid="{5C5AC732-636E-48E6-A063-2D6F17AED2B1}">
      <text>
        <r>
          <rPr>
            <b/>
            <sz val="9"/>
            <color indexed="81"/>
            <rFont val="Tahoma"/>
            <family val="2"/>
            <charset val="204"/>
          </rPr>
          <t>Обычно не нужно: если номер линии совпадает с именем щита на листе «Щиты», фидер определяется сам. Заполняйте, только если номер другой (пример: линия ЩСПЗ.1 питает щит ЩСПЗ).</t>
        </r>
      </text>
    </comment>
    <comment ref="I2" authorId="0" shapeId="0" xr:uid="{AF26AD6B-C82B-47CD-86B4-C8FCAC4EE8FA}">
      <text>
        <r>
          <rPr>
            <b/>
            <sz val="9"/>
            <color indexed="81"/>
            <rFont val="Tahoma"/>
            <family val="2"/>
            <charset val="204"/>
          </rPr>
          <t>1 или 3. Пусто — по коду.</t>
        </r>
      </text>
    </comment>
    <comment ref="J2" authorId="0" shapeId="0" xr:uid="{FE29E74C-BE50-4267-B632-0D9488166696}">
      <text>
        <r>
          <rPr>
            <b/>
            <sz val="9"/>
            <color indexed="81"/>
            <rFont val="Tahoma"/>
            <family val="2"/>
            <charset val="204"/>
          </rPr>
          <t>230 или 400. Пусто — по коду.</t>
        </r>
      </text>
    </comment>
    <comment ref="K2" authorId="0" shapeId="0" xr:uid="{B004A2FE-043A-40FB-96E6-D2D49E134A7A}">
      <text>
        <r>
          <rPr>
            <b/>
            <sz val="9"/>
            <color indexed="81"/>
            <rFont val="Tahoma"/>
            <family val="2"/>
            <charset val="204"/>
          </rPr>
          <t>Быт — табл. 7.2 по сумме; Сил — Кс линии или табл. 7.5; Пост — 1; Отоп — 1 и ВНГ — 0,7 отдельно (СП 256, Изм. 9); Нет — не учитывается.</t>
        </r>
      </text>
    </comment>
    <comment ref="L2" authorId="0" shapeId="0" xr:uid="{94662673-313A-4C28-B904-C1989F43F435}">
      <text>
        <r>
          <rPr>
            <b/>
            <sz val="9"/>
            <color indexed="81"/>
            <rFont val="Tahoma"/>
            <family val="2"/>
            <charset val="204"/>
          </rPr>
          <t>Кс силовой линии (СП 256 табл. 7.5). Пусто — 1.</t>
        </r>
      </text>
    </comment>
    <comment ref="M2" authorId="0" shapeId="0" xr:uid="{E40E3078-6D88-4735-9BAF-48ED13164D63}">
      <text>
        <r>
          <rPr>
            <b/>
            <sz val="9"/>
            <color indexed="81"/>
            <rFont val="Tahoma"/>
            <family val="2"/>
            <charset val="204"/>
          </rPr>
          <t>Пусто — 0,95, для двигателей по таблице.</t>
        </r>
      </text>
    </comment>
    <comment ref="O2" authorId="0" shapeId="0" xr:uid="{D2AB4839-E322-4008-8319-A44A8F527ED5}">
      <text>
        <r>
          <rPr>
            <b/>
            <sz val="9"/>
            <color indexed="81"/>
            <rFont val="Tahoma"/>
            <family val="2"/>
            <charset val="204"/>
          </rPr>
          <t>1, 2, 3 или 1,2,3. Пусто — по кругу L1→L2→L3.</t>
        </r>
      </text>
    </comment>
    <comment ref="P2" authorId="0" shapeId="0" xr:uid="{C5131ACE-E108-439B-9293-339ED5E34A49}">
      <text>
        <r>
          <rPr>
            <b/>
            <sz val="9"/>
            <color indexed="81"/>
            <rFont val="Tahoma"/>
            <family val="2"/>
            <charset val="204"/>
          </rPr>
          <t>м. Пусто — сумма длин из чертежа (DWG).</t>
        </r>
      </text>
    </comment>
    <comment ref="U2" authorId="0" shapeId="0" xr:uid="{5B1D5785-8321-4EB0-A20B-3C206C2364BB}">
      <text>
        <r>
          <rPr>
            <b/>
            <sz val="9"/>
            <color indexed="81"/>
            <rFont val="Tahoma"/>
            <family val="2"/>
            <charset val="204"/>
          </rPr>
          <t>Обозначение из «Справочная» L (мс, мфр…). Пусто — по коду.</t>
        </r>
      </text>
    </comment>
    <comment ref="W2" authorId="0" shapeId="0" xr:uid="{CB021B42-B074-4BE3-A145-44276E7F3E2A}">
      <text>
        <r>
          <rPr>
            <b/>
            <sz val="9"/>
            <color indexed="81"/>
            <rFont val="Tahoma"/>
            <family val="2"/>
            <charset val="204"/>
          </rPr>
          <t>Пусто — по коду или подбор по автомату.</t>
        </r>
      </text>
    </comment>
    <comment ref="X2" authorId="0" shapeId="0" xr:uid="{584381F9-6DBD-4A81-ABC6-DA8A3B5DA9DA}">
      <text>
        <r>
          <rPr>
            <b/>
            <sz val="9"/>
            <color indexed="81"/>
            <rFont val="Tahoma"/>
            <family val="2"/>
            <charset val="204"/>
          </rPr>
          <t>Номинал автомата линии вручную, А.</t>
        </r>
      </text>
    </comment>
    <comment ref="Z2" authorId="0" shapeId="0" xr:uid="{09446F3C-80FF-464F-B228-1C49838A3469}">
      <text>
        <r>
          <rPr>
            <b/>
            <sz val="9"/>
            <color indexed="81"/>
            <rFont val="Tahoma"/>
            <family val="2"/>
            <charset val="204"/>
          </rPr>
          <t>Строка таблицы нагрузок для пояснительной записки: рабочее освещение, розеточная сеть, вентиляция. Пусто — по коду.</t>
        </r>
      </text>
    </comment>
    <comment ref="AC2" authorId="0" shapeId="0" xr:uid="{28769001-23F8-4BFF-9FA5-DB455F634EB3}">
      <text>
        <r>
          <rPr>
            <b/>
            <sz val="9"/>
            <color indexed="81"/>
            <rFont val="Tahoma"/>
            <family val="2"/>
            <charset val="204"/>
          </rPr>
          <t>Пусто — основная шина. Пишется в строке с автоматом.</t>
        </r>
      </text>
    </comment>
    <comment ref="AD2" authorId="0" shapeId="0" xr:uid="{B00138A8-65E6-44D8-B0D9-1A2B7201B199}">
      <text>
        <r>
          <rPr>
            <b/>
            <sz val="9"/>
            <color indexed="81"/>
            <rFont val="Tahoma"/>
            <family val="2"/>
            <charset val="204"/>
          </rPr>
          <t>«авто» или текст (1P C16A) в первой строке группы.</t>
        </r>
      </text>
    </comment>
    <comment ref="AE2" authorId="0" shapeId="0" xr:uid="{CF18470C-8281-43B2-8EC5-7A75A7BF17DA}">
      <text>
        <r>
          <rPr>
            <b/>
            <sz val="9"/>
            <color indexed="81"/>
            <rFont val="Tahoma"/>
            <family val="2"/>
            <charset val="204"/>
          </rPr>
          <t>Пусто — по коду (лист «Коды», таблица УГО). Число — ток утечки: 10, 30, 100, 300. «нет» — без дифзащиты. «да» = 30 мА.</t>
        </r>
      </text>
    </comment>
    <comment ref="AI2" authorId="0" shapeId="0" xr:uid="{8F55A58F-36C7-4742-9AC0-886DC9F475B1}">
      <text>
        <r>
          <rPr>
            <b/>
            <sz val="9"/>
            <color indexed="81"/>
            <rFont val="Tahoma"/>
            <family val="2"/>
            <charset val="204"/>
          </rPr>
          <t>Модель — в первой строке модуля; следующие строки идут на его каналы. «-» — в первой строке ПОСЛЕ модуля (модуль закончился).</t>
        </r>
      </text>
    </comment>
    <comment ref="AJ2" authorId="0" shapeId="0" xr:uid="{DECD51FD-A6E9-4B63-98BB-A83965BA8789}">
      <text>
        <r>
          <rPr>
            <b/>
            <sz val="9"/>
            <color indexed="81"/>
            <rFont val="Tahoma"/>
            <family val="2"/>
            <charset val="204"/>
          </rPr>
          <t>Пусто — авто; № вручную; = параллельно; + в тот же кабель; р — резерв; б/к — без клеммы.</t>
        </r>
      </text>
    </comment>
    <comment ref="AK2" authorId="0" shapeId="0" xr:uid="{B88425CA-05EB-4176-B4B4-9C0D35C90049}">
      <text>
        <r>
          <rPr>
            <b/>
            <sz val="9"/>
            <color indexed="81"/>
            <rFont val="Tahoma"/>
            <family val="2"/>
            <charset val="204"/>
          </rPr>
          <t>Пусто — номер XT по порядку; «нет» — клемма без номера.</t>
        </r>
      </text>
    </comment>
    <comment ref="AL2" authorId="0" shapeId="0" xr:uid="{64042A2C-AA3C-4854-BBEE-1DB2ED17C17F}">
      <text>
        <r>
          <rPr>
            <b/>
            <sz val="9"/>
            <color indexed="81"/>
            <rFont val="Tahoma"/>
            <family val="2"/>
            <charset val="204"/>
          </rPr>
          <t>Пусто — как обычно. «вручную» — строка только в таблице, в схеме не рисуется. «рисовать» — нарисовать строку вводного узла (по умолчанию вводной узел не рисуется).</t>
        </r>
      </text>
    </comment>
    <comment ref="AR2" authorId="0" shapeId="0" xr:uid="{02D2D978-7193-4289-9C2A-F38AF505CD90}">
      <text>
        <r>
          <rPr>
            <b/>
            <sz val="9"/>
            <color indexed="81"/>
            <rFont val="Tahoma"/>
            <family val="2"/>
            <charset val="204"/>
          </rPr>
          <t>Все замечания по строке. Сводка по объекту — лист «Проверка».</t>
        </r>
      </text>
    </comment>
    <comment ref="BF2" authorId="0" shapeId="0" xr:uid="{020C8719-88E1-4522-83BB-D6371725E135}">
      <text>
        <r>
          <rPr>
            <b/>
            <sz val="9"/>
            <color indexed="81"/>
            <rFont val="Tahoma"/>
            <family val="2"/>
            <charset val="204"/>
          </rPr>
          <t>Мощность линии; для фидера — Руст нижестоящего щита.</t>
        </r>
      </text>
    </comment>
    <comment ref="BM2" authorId="0" shapeId="0" xr:uid="{A2A3F418-D8FC-4A10-853D-54061171CE21}">
      <text>
        <r>
          <rPr>
            <b/>
            <sz val="9"/>
            <color indexed="81"/>
            <rFont val="Tahoma"/>
            <family val="2"/>
            <charset val="204"/>
          </rPr>
          <t>Ручной; для двигателей — по мощности; иначе 0,95. В режиме «нормы 2026» силовые — 0,8 (СП 256 п. 7.1.12).</t>
        </r>
      </text>
    </comment>
    <comment ref="BN2" authorId="0" shapeId="0" xr:uid="{C5594DB1-E9DD-4F50-9077-77DDC17EFFC4}">
      <text>
        <r>
          <rPr>
            <b/>
            <sz val="9"/>
            <color indexed="81"/>
            <rFont val="Tahoma"/>
            <family val="2"/>
            <charset val="204"/>
          </rPr>
          <t>1ф: P/(Uф·cos φ); 3ф: P/(√3·Uн·cos φ). Фидер — Iр нижестоящего щита.</t>
        </r>
      </text>
    </comment>
    <comment ref="BO2" authorId="0" shapeId="0" xr:uid="{79FFDD81-4863-4792-A513-C8242133A85A}">
      <text>
        <r>
          <rPr>
            <b/>
            <sz val="9"/>
            <color indexed="81"/>
            <rFont val="Tahoma"/>
            <family val="2"/>
            <charset val="204"/>
          </rPr>
          <t>Наименьший номинал с Iр ≤ 0,9·In (ГОСТ Р 50571.4.43 п. 433.1 + запас 10 %).</t>
        </r>
      </text>
    </comment>
    <comment ref="BS2" authorId="0" shapeId="0" xr:uid="{DE775F32-6BB5-4B5C-8C81-3A6F59466F8B}">
      <text>
        <r>
          <rPr>
            <b/>
            <sz val="9"/>
            <color indexed="81"/>
            <rFont val="Tahoma"/>
            <family val="2"/>
            <charset val="204"/>
          </rPr>
          <t>Наименьшее сечение с Iдоп·k ≥ In. Таблица — ПУЭ 1.3.7 (медь, воздух), 4–5 жил ×0,92 (ПУЭ 1.3.10).</t>
        </r>
      </text>
    </comment>
    <comment ref="BW2" authorId="0" shapeId="0" xr:uid="{285598D3-6D17-45D9-B8AF-238B199678D2}">
      <text>
        <r>
          <rPr>
            <b/>
            <sz val="9"/>
            <color indexed="81"/>
            <rFont val="Tahoma"/>
            <family val="2"/>
            <charset val="204"/>
          </rPr>
          <t>Опуск·(2n−1) + длина по плану + подъём на этаж.</t>
        </r>
      </text>
    </comment>
    <comment ref="CC2" authorId="0" shapeId="0" xr:uid="{B44165DA-A65E-40C5-BF82-69FFD4B68077}">
      <text>
        <r>
          <rPr>
            <b/>
            <sz val="9"/>
            <color indexed="81"/>
            <rFont val="Tahoma"/>
            <family val="2"/>
            <charset val="204"/>
          </rPr>
          <t>ΔU = b·(ρ·L/S·cos φ + x·L·sin φ)·I (ГОСТ Р 50571.5.52 прил. G), % от Uф.</t>
        </r>
      </text>
    </comment>
    <comment ref="CE2" authorId="0" shapeId="0" xr:uid="{6D7D12D3-E7E5-49DB-8E93-95B5DB5BF677}">
      <text>
        <r>
          <rPr>
            <b/>
            <sz val="9"/>
            <color indexed="81"/>
            <rFont val="Tahoma"/>
            <family val="2"/>
            <charset val="204"/>
          </rPr>
          <t>СП 256 п. 8.23: от ВРУ до светильников ≤ 3 %, до прочих ≤ 4 %.</t>
        </r>
      </text>
    </comment>
    <comment ref="CL2" authorId="0" shapeId="0" xr:uid="{35B4AC5B-F5EA-424A-8A5A-EC1A76F88D6A}">
      <text>
        <r>
          <rPr>
            <b/>
            <sz val="9"/>
            <color indexed="81"/>
            <rFont val="Tahoma"/>
            <family val="2"/>
            <charset val="204"/>
          </rPr>
          <t>Iкз = c_min·Uф / (Zшин + 2·ρкз·L/S), ρкз = 1,5·ρ20 (ГОСТ 28249 п. 2.4.2).</t>
        </r>
      </text>
    </comment>
    <comment ref="DO2" authorId="0" shapeId="0" xr:uid="{14F598B2-DE7E-4A2F-BB1D-E9C3214AAA46}">
      <text>
        <r>
          <rPr>
            <b/>
            <sz val="9"/>
            <color indexed="81"/>
            <rFont val="Tahoma"/>
            <family val="2"/>
            <charset val="204"/>
          </rPr>
          <t>Требуемая категория выше, чем даёт схема (ПУЭ 1.2.17–1.2.21, СП 256 п. 6.13, 8.10).</t>
        </r>
      </text>
    </comment>
    <comment ref="EH2" authorId="0" shapeId="0" xr:uid="{0C0CCDB5-1533-419E-AC81-DD61CD48A39A}">
      <text>
        <r>
          <rPr>
            <b/>
            <sz val="9"/>
            <color indexed="81"/>
            <rFont val="Tahoma"/>
            <family val="2"/>
            <charset val="204"/>
          </rPr>
          <t>Самая строгая уставка среди линий группы (меньший ток утечки).</t>
        </r>
      </text>
    </comment>
    <comment ref="EP2" authorId="0" shapeId="0" xr:uid="{DBF9F6B7-BBB7-4E1E-B51F-370A40FF1F90}">
      <text>
        <r>
          <rPr>
            <b/>
            <sz val="9"/>
            <color indexed="81"/>
            <rFont val="Tahoma"/>
            <family val="2"/>
            <charset val="204"/>
          </rPr>
          <t>Групповой автомат: ток группы, мин. автомат по типу, дифзащита (мА), полюса.</t>
        </r>
      </text>
    </comment>
    <comment ref="FB2" authorId="0" shapeId="0" xr:uid="{1A93E5CD-4E8E-4D5B-ABD6-2DE1E2F16065}">
      <text>
        <r>
          <rPr>
            <b/>
            <sz val="9"/>
            <color indexed="81"/>
            <rFont val="Tahoma"/>
            <family val="2"/>
            <charset val="204"/>
          </rPr>
          <t>ПЕРЕГРУЗ: ток группы &gt; In. КАБЕЛЬ НЕ ЗАЩИЩЁН: In &gt; Iдоп кабеля (ГОСТ Р 50571.4.43 п. 433.1).</t>
        </r>
      </text>
    </comment>
    <comment ref="FJ2" authorId="0" shapeId="0" xr:uid="{406BA6DC-F616-4E7A-8757-1A597D5E7890}">
      <text>
        <r>
          <rPr>
            <b/>
            <sz val="9"/>
            <color indexed="81"/>
            <rFont val="Tahoma"/>
            <family val="2"/>
            <charset val="204"/>
          </rPr>
          <t>ПУЭ 1.7.79: ≤ 0,4 с. Iкз/In ≥ 5 (B), 10 (C), 20 (D) — ГОСТ IEC 60898-1.</t>
        </r>
      </text>
    </comment>
    <comment ref="FK2" authorId="0" shapeId="0" xr:uid="{3AD7F84B-0D25-4C19-8A61-316B4CBE71E5}">
      <text>
        <r>
          <rPr>
            <b/>
            <sz val="9"/>
            <color indexed="81"/>
            <rFont val="Tahoma"/>
            <family val="2"/>
            <charset val="204"/>
          </rPr>
          <t>Красный — ошибка (дубль, перегруз, кабель не защищён, канал, без 30 мА), жёлтый — проверить.</t>
        </r>
      </text>
    </comment>
    <comment ref="FM2" authorId="0" shapeId="0" xr:uid="{917E9D16-56B6-4341-8593-E38967A809FF}">
      <text>
        <r>
          <rPr>
            <b/>
            <sz val="9"/>
            <color indexed="81"/>
            <rFont val="Tahoma"/>
            <family val="2"/>
            <charset val="204"/>
          </rPr>
          <t>Отключающая способность автомата не меньше Iкз max на шинах (ГОСТ Р 50571.4.43, СП 256).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<sst xmlns="http://schemas.openxmlformats.org/spreadsheetml/2006/main" count="3823" uniqueCount="2066">
  <si>
    <t>Номер линии</t>
  </si>
  <si>
    <t>Мощность, кВт</t>
  </si>
  <si>
    <t>Кол-во фаз</t>
  </si>
  <si>
    <t>Сечение</t>
  </si>
  <si>
    <t>Щит</t>
  </si>
  <si>
    <t>Ток</t>
  </si>
  <si>
    <t>Наименование</t>
  </si>
  <si>
    <t>Автомат</t>
  </si>
  <si>
    <t>Не исп</t>
  </si>
  <si>
    <t>Кабель</t>
  </si>
  <si>
    <t>Обознач</t>
  </si>
  <si>
    <t>мс</t>
  </si>
  <si>
    <t>ВВГнг(А)-LS</t>
  </si>
  <si>
    <t>мфр</t>
  </si>
  <si>
    <t>Кол-во жил</t>
  </si>
  <si>
    <t>Индуктивное, Ом/км</t>
  </si>
  <si>
    <t>Сечение (ручное)</t>
  </si>
  <si>
    <t>автомат (ручное)</t>
  </si>
  <si>
    <t>кВт</t>
  </si>
  <si>
    <t>%</t>
  </si>
  <si>
    <t>А</t>
  </si>
  <si>
    <t>Маркировка кабеля</t>
  </si>
  <si>
    <t>Трасса</t>
  </si>
  <si>
    <t>Испытания</t>
  </si>
  <si>
    <t>Начало</t>
  </si>
  <si>
    <t>Конец</t>
  </si>
  <si>
    <t>По проекту</t>
  </si>
  <si>
    <t>Проложено</t>
  </si>
  <si>
    <t>Длина трассы, м</t>
  </si>
  <si>
    <t>Марка</t>
  </si>
  <si>
    <t>Длина, м</t>
  </si>
  <si>
    <t>Дата прокладки</t>
  </si>
  <si>
    <t>R</t>
  </si>
  <si>
    <t>Розеточная группа</t>
  </si>
  <si>
    <t>L</t>
  </si>
  <si>
    <t>Группа освещения</t>
  </si>
  <si>
    <t>Этаж</t>
  </si>
  <si>
    <t>Третий этаж</t>
  </si>
  <si>
    <t>Цокольный этаж</t>
  </si>
  <si>
    <t>0</t>
  </si>
  <si>
    <t>1</t>
  </si>
  <si>
    <t>2</t>
  </si>
  <si>
    <t>3</t>
  </si>
  <si>
    <t>1 - этаж/2 - шлейф</t>
  </si>
  <si>
    <t>Длина линии (по плану)</t>
  </si>
  <si>
    <t>ютп</t>
  </si>
  <si>
    <t>Поз</t>
  </si>
  <si>
    <t>Наименование и техническая характеристика</t>
  </si>
  <si>
    <t>Тип, марка, обозначение документа</t>
  </si>
  <si>
    <t>Код оборудования, изделия, материала</t>
  </si>
  <si>
    <t>Завод изготовитель</t>
  </si>
  <si>
    <t>Кол-во</t>
  </si>
  <si>
    <t>Масса</t>
  </si>
  <si>
    <t>Примечание</t>
  </si>
  <si>
    <t>Ед. измерения</t>
  </si>
  <si>
    <t>Заполнить!!!</t>
  </si>
  <si>
    <t>Помещение</t>
  </si>
  <si>
    <t>Этаж/Шлейф</t>
  </si>
  <si>
    <t>Кол-во потребителей (для длины)</t>
  </si>
  <si>
    <t>Ввод</t>
  </si>
  <si>
    <t>Ввод питающей линии</t>
  </si>
  <si>
    <t>Вытяжной вентилятор</t>
  </si>
  <si>
    <t>ре</t>
  </si>
  <si>
    <t>ПУГВ</t>
  </si>
  <si>
    <t>Потолок - 1/Пол - 2</t>
  </si>
  <si>
    <t>ПТО</t>
  </si>
  <si>
    <t>Артикул</t>
  </si>
  <si>
    <t>МСК001</t>
  </si>
  <si>
    <t>МСК002</t>
  </si>
  <si>
    <t>МСК003</t>
  </si>
  <si>
    <t>МСК004</t>
  </si>
  <si>
    <t>МСК005</t>
  </si>
  <si>
    <t>МСК006</t>
  </si>
  <si>
    <t>МСК007</t>
  </si>
  <si>
    <t>МСК008</t>
  </si>
  <si>
    <t>МСК009</t>
  </si>
  <si>
    <t>МСК010</t>
  </si>
  <si>
    <t>МСК011</t>
  </si>
  <si>
    <t>МСК012</t>
  </si>
  <si>
    <t>МСК013</t>
  </si>
  <si>
    <t>МСК014</t>
  </si>
  <si>
    <t>МСК015</t>
  </si>
  <si>
    <t>МСК016</t>
  </si>
  <si>
    <t>МСК017</t>
  </si>
  <si>
    <t>МСК018</t>
  </si>
  <si>
    <t>МСК019</t>
  </si>
  <si>
    <t>МСК020</t>
  </si>
  <si>
    <t>МСК021</t>
  </si>
  <si>
    <t>МСК022</t>
  </si>
  <si>
    <t>МСК023</t>
  </si>
  <si>
    <t>МСК024</t>
  </si>
  <si>
    <t>МСК025</t>
  </si>
  <si>
    <t>МСК026</t>
  </si>
  <si>
    <t>МСК027</t>
  </si>
  <si>
    <t>МСК028</t>
  </si>
  <si>
    <t>МСК029</t>
  </si>
  <si>
    <t>МСК030</t>
  </si>
  <si>
    <t>МСК031</t>
  </si>
  <si>
    <t>МСК032</t>
  </si>
  <si>
    <t>МСК033</t>
  </si>
  <si>
    <t>МСК034</t>
  </si>
  <si>
    <t>МСК035</t>
  </si>
  <si>
    <t>МСК036</t>
  </si>
  <si>
    <t>МСК037</t>
  </si>
  <si>
    <t>МСК038</t>
  </si>
  <si>
    <t>МСК041</t>
  </si>
  <si>
    <t>МСК042</t>
  </si>
  <si>
    <t>МСК043</t>
  </si>
  <si>
    <t>МСК044</t>
  </si>
  <si>
    <t>МСК045</t>
  </si>
  <si>
    <t>МСК046</t>
  </si>
  <si>
    <t>МСК047</t>
  </si>
  <si>
    <t>МСК048</t>
  </si>
  <si>
    <t>МСК049</t>
  </si>
  <si>
    <t>МСК050</t>
  </si>
  <si>
    <t>МСК051</t>
  </si>
  <si>
    <t>МСК052</t>
  </si>
  <si>
    <t>МСК053</t>
  </si>
  <si>
    <t>МСК054</t>
  </si>
  <si>
    <t>МСК055</t>
  </si>
  <si>
    <t>МСК056</t>
  </si>
  <si>
    <t>МСК057</t>
  </si>
  <si>
    <t>МСК058</t>
  </si>
  <si>
    <t>МСК059</t>
  </si>
  <si>
    <t>МСК060</t>
  </si>
  <si>
    <t>МСК061</t>
  </si>
  <si>
    <t>МСК062</t>
  </si>
  <si>
    <t>МСК063</t>
  </si>
  <si>
    <t>МСК064</t>
  </si>
  <si>
    <t>МСК065</t>
  </si>
  <si>
    <t>МСК066</t>
  </si>
  <si>
    <t>МСК067</t>
  </si>
  <si>
    <t>МСК068</t>
  </si>
  <si>
    <t>МСК069</t>
  </si>
  <si>
    <t>МСК070</t>
  </si>
  <si>
    <t>МСК071</t>
  </si>
  <si>
    <t>МСК072</t>
  </si>
  <si>
    <t>МСК073</t>
  </si>
  <si>
    <t>МСК074</t>
  </si>
  <si>
    <t>МСК075</t>
  </si>
  <si>
    <t>мб</t>
  </si>
  <si>
    <t>ВБШвнг(А)-LS</t>
  </si>
  <si>
    <t>МСК040</t>
  </si>
  <si>
    <t>КГВВнг(А)-LS</t>
  </si>
  <si>
    <t>кмб</t>
  </si>
  <si>
    <t>кмс</t>
  </si>
  <si>
    <t>КВБбШвнг(А)-LS 14x2.5</t>
  </si>
  <si>
    <t>ППГнг(А)-FRHF</t>
  </si>
  <si>
    <t>мшф</t>
  </si>
  <si>
    <t>ППГнг(А)-HF</t>
  </si>
  <si>
    <t>Тип кабеля</t>
  </si>
  <si>
    <t>Пол/Потолок</t>
  </si>
  <si>
    <t>ВВГнг(А)-FRLS</t>
  </si>
  <si>
    <t>ВБШВнг(А)-LS</t>
  </si>
  <si>
    <t>КВБбШвнг(А)-LS</t>
  </si>
  <si>
    <t>ТП</t>
  </si>
  <si>
    <t>В</t>
  </si>
  <si>
    <t>Д</t>
  </si>
  <si>
    <t>КПД</t>
  </si>
  <si>
    <t>Cos(ф) 3ф</t>
  </si>
  <si>
    <t>Cos(ф) 1ф</t>
  </si>
  <si>
    <t>Двигатели</t>
  </si>
  <si>
    <t>Светодиоды</t>
  </si>
  <si>
    <t>Iп/Iн, 1ф</t>
  </si>
  <si>
    <t>Iп/Iн, 3ф</t>
  </si>
  <si>
    <t>Iп, А</t>
  </si>
  <si>
    <t>Iн 220, А</t>
  </si>
  <si>
    <t>Iн 380</t>
  </si>
  <si>
    <t>Iп 380</t>
  </si>
  <si>
    <t>Iн 220</t>
  </si>
  <si>
    <t>Iп 220</t>
  </si>
  <si>
    <t>КРМ</t>
  </si>
  <si>
    <t>Кабель_диаметр</t>
  </si>
  <si>
    <t>кол-во жил</t>
  </si>
  <si>
    <t>наружный диаметр</t>
  </si>
  <si>
    <t>ПуГВ</t>
  </si>
  <si>
    <t>Дн</t>
  </si>
  <si>
    <t>Дв</t>
  </si>
  <si>
    <t>гофра_ПНД</t>
  </si>
  <si>
    <t>гофра_ПВХ</t>
  </si>
  <si>
    <t>(Серая)</t>
  </si>
  <si>
    <t>(Черная)</t>
  </si>
  <si>
    <t>Расшифровка</t>
  </si>
  <si>
    <t>тпв</t>
  </si>
  <si>
    <t>тпн</t>
  </si>
  <si>
    <t>Труба жесткая ПВХ</t>
  </si>
  <si>
    <t>Труба жесткая ПНД</t>
  </si>
  <si>
    <t>гпв</t>
  </si>
  <si>
    <t>Труба гофрированная ПВХ</t>
  </si>
  <si>
    <t>гпн</t>
  </si>
  <si>
    <t>Труба гофрированная ПНД</t>
  </si>
  <si>
    <t>Напряжение</t>
  </si>
  <si>
    <t>Мин.диам. Трубы</t>
  </si>
  <si>
    <t>Лоток</t>
  </si>
  <si>
    <t>КПСнг?</t>
  </si>
  <si>
    <t>DAXX</t>
  </si>
  <si>
    <t>КСПВГ 4х0.35</t>
  </si>
  <si>
    <t>REXANT (акустика)</t>
  </si>
  <si>
    <t>МКЭШ 2х0.35</t>
  </si>
  <si>
    <t>МКЭШ 4х0.35</t>
  </si>
  <si>
    <t>Гофра ПНД</t>
  </si>
  <si>
    <t>Гофра ПВХ</t>
  </si>
  <si>
    <t>ПВХ</t>
  </si>
  <si>
    <t>ПНД</t>
  </si>
  <si>
    <t>не исп</t>
  </si>
  <si>
    <t>АСУ</t>
  </si>
  <si>
    <t>ЩР</t>
  </si>
  <si>
    <t>кн</t>
  </si>
  <si>
    <t>SH</t>
  </si>
  <si>
    <t>J-Y(St)Y 2х2х0.8</t>
  </si>
  <si>
    <t>кф</t>
  </si>
  <si>
    <t>КИПЭВ 2х2х0.6</t>
  </si>
  <si>
    <t>кс</t>
  </si>
  <si>
    <t>На ИБП</t>
  </si>
  <si>
    <t>От ИБП</t>
  </si>
  <si>
    <t>Питание на ИБП</t>
  </si>
  <si>
    <t>Питание от ИБП</t>
  </si>
  <si>
    <t>LED</t>
  </si>
  <si>
    <t>Светодиодное освещение</t>
  </si>
  <si>
    <t>R.ШТК</t>
  </si>
  <si>
    <t>Шкаф слаботочных систем</t>
  </si>
  <si>
    <t>R.ЩОПС</t>
  </si>
  <si>
    <t>Щит охранно-пожарной сигнализации</t>
  </si>
  <si>
    <t>Питание системы автоматизации</t>
  </si>
  <si>
    <t>PS-KNX</t>
  </si>
  <si>
    <t>Блок питания шины KNX</t>
  </si>
  <si>
    <t>Шаровый электрокран</t>
  </si>
  <si>
    <t xml:space="preserve">Управление сервоприводом отопления </t>
  </si>
  <si>
    <t xml:space="preserve">Моторзированная нагрузка </t>
  </si>
  <si>
    <t>FTP-Cat.6-4х2х0.52</t>
  </si>
  <si>
    <t>КГВВнг(А)-LS (5х1)</t>
  </si>
  <si>
    <t>кмс1</t>
  </si>
  <si>
    <t>DALI</t>
  </si>
  <si>
    <t>Контролер DALI</t>
  </si>
  <si>
    <t>АПС</t>
  </si>
  <si>
    <t>Реле АПС</t>
  </si>
  <si>
    <t>Внутренний блок кондиционера</t>
  </si>
  <si>
    <t>ПВ</t>
  </si>
  <si>
    <t>Приточно-вытяжная установка</t>
  </si>
  <si>
    <t>УВ</t>
  </si>
  <si>
    <t>Увлажнитель</t>
  </si>
  <si>
    <t>ПН</t>
  </si>
  <si>
    <t>Проточный водонагреватель</t>
  </si>
  <si>
    <t>WD</t>
  </si>
  <si>
    <t>Датчик протечки</t>
  </si>
  <si>
    <t>VK</t>
  </si>
  <si>
    <t>Выключатель нажимной</t>
  </si>
  <si>
    <t>КУП</t>
  </si>
  <si>
    <t>Коробка уравнивания потенциалов</t>
  </si>
  <si>
    <t>Заземляющая шина</t>
  </si>
  <si>
    <t>R.GSM</t>
  </si>
  <si>
    <t>Щит усиления соловой связи</t>
  </si>
  <si>
    <t>Теплый пол</t>
  </si>
  <si>
    <t>Управление сервоприводом теплого пола</t>
  </si>
  <si>
    <t>TE-ТП</t>
  </si>
  <si>
    <t>TE-O</t>
  </si>
  <si>
    <t>ЭK</t>
  </si>
  <si>
    <t>K</t>
  </si>
  <si>
    <t>ПУ</t>
  </si>
  <si>
    <t>Приточная установка</t>
  </si>
  <si>
    <t>PE</t>
  </si>
  <si>
    <t>Вводнораспределительное оборудование ЩР</t>
  </si>
  <si>
    <t>Крыша и основание RAL9005 с направляющими для корпусов CQE N, ШхГ 800х400 мм, комплект RAM block</t>
  </si>
  <si>
    <t>Стойки вертикальные RAL7035 для корпусов CQE N, В=1800 мм, комплект - 4 шт. RAM block</t>
  </si>
  <si>
    <t>Панель задняя для корпусов CQE N, ВхШ 1800х800 мм RAM block</t>
  </si>
  <si>
    <t>Углы цоколя с пластиковыми заглушками для корпусов CQE &amp; CQE N, В=200 мм, RAL9005, комплект - 4 шт. RAM block</t>
  </si>
  <si>
    <t>Панели цоколя для корпусов CQE &amp; CQE N, ШхГ 800 мм, В=200 мм, RAL9005, комплект - 2 шт. RAM block</t>
  </si>
  <si>
    <t>Фиксатор панели цоколя R5NFP, R5NFPB для корпусов CQE &amp; CQE N, комплект - 4 шт. RAM block</t>
  </si>
  <si>
    <t>Комплект</t>
  </si>
  <si>
    <t>Рейка широкая поперечная для корпусов CQE &amp; CQE N, Ш=800 мм, упаковка - 4 шт. RAM block</t>
  </si>
  <si>
    <t>Рейка для фиксации кабеля для корпусов CQE N, Ш=800 мм, упаковка - 2 шт. RAM block</t>
  </si>
  <si>
    <t>Комплект кабелей заземления CQE RAM block</t>
  </si>
  <si>
    <t>П-образный профиль для защиты кромок, для дверей и панелей RAM block</t>
  </si>
  <si>
    <t>Упаковка</t>
  </si>
  <si>
    <t>Метр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</si>
  <si>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</si>
  <si>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</si>
  <si>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</si>
  <si>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</si>
  <si>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</si>
  <si>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</si>
  <si>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</si>
  <si>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</si>
  <si>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</si>
  <si>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</si>
  <si>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</si>
  <si>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</si>
  <si>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</si>
  <si>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</si>
  <si>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</si>
  <si>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</si>
  <si>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</si>
  <si>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Рейки широкие вертикальные для корпусов CQE N, В=1800 мм, упаковка - 2 шт. RAM block</t>
  </si>
  <si>
    <t>R5NPDV18</t>
  </si>
  <si>
    <t>R5NKTB84</t>
  </si>
  <si>
    <t>R5NKMN18</t>
  </si>
  <si>
    <t>R5NCRE1880</t>
  </si>
  <si>
    <t>R5NBP02B</t>
  </si>
  <si>
    <t>R5NFPB82</t>
  </si>
  <si>
    <t>R5NKFP02</t>
  </si>
  <si>
    <t>R5NPDF800</t>
  </si>
  <si>
    <t>R5NPAC800</t>
  </si>
  <si>
    <t>R5ES01</t>
  </si>
  <si>
    <t>R5PP01</t>
  </si>
  <si>
    <t>DKC</t>
  </si>
  <si>
    <t>Концевой выключатель с двумя контактами, нормально открытый + нормально закрытый (NO+NC). С поворотным регулируемым рычажным роликом</t>
  </si>
  <si>
    <t>R5MC131</t>
  </si>
  <si>
    <t>шт.</t>
  </si>
  <si>
    <t>Светодиодная лента COB-X480-4mm 24V Day4000 (4 W/m, IP20, CSP, 5m) (Arlight, -) 042031</t>
  </si>
  <si>
    <t>042031</t>
  </si>
  <si>
    <t>arlight</t>
  </si>
  <si>
    <t>Chint</t>
  </si>
  <si>
    <t>EKF</t>
  </si>
  <si>
    <t>256101</t>
  </si>
  <si>
    <t>643001</t>
  </si>
  <si>
    <t>179616</t>
  </si>
  <si>
    <t>179614</t>
  </si>
  <si>
    <t>982114</t>
  </si>
  <si>
    <t>203019</t>
  </si>
  <si>
    <t>256099</t>
  </si>
  <si>
    <t>Arlight</t>
  </si>
  <si>
    <t>028422</t>
  </si>
  <si>
    <t>Модуль защиты контактов MK-5-1</t>
  </si>
  <si>
    <t>EA06.002.001</t>
  </si>
  <si>
    <t>Россия</t>
  </si>
  <si>
    <t>5</t>
  </si>
  <si>
    <t>ZPSU640</t>
  </si>
  <si>
    <t>Zennio</t>
  </si>
  <si>
    <t>Многофункциональный актуатор KNX</t>
  </si>
  <si>
    <t>ZIOMB24V2</t>
  </si>
  <si>
    <t>ZDINDX4</t>
  </si>
  <si>
    <t>Интерфейс KNX-DALI</t>
  </si>
  <si>
    <t>ZDID64X2</t>
  </si>
  <si>
    <t>Модуль входов с 8 аналогово-цифровыми входами</t>
  </si>
  <si>
    <t>ZIO-RQUAD8</t>
  </si>
  <si>
    <t>VPR-4-GY</t>
  </si>
  <si>
    <t>Клемма проходная, зажим push-in, 2 точки подключения, 4 кв.мм, синяя</t>
  </si>
  <si>
    <t>VPR-4-BU</t>
  </si>
  <si>
    <t>Клемма заземления, зажим push-in, 2 точки подключения, 4 кв.мм</t>
  </si>
  <si>
    <t>VPR-4-PE-YG</t>
  </si>
  <si>
    <t>Изолятор торцевой для клеммы VPR-4</t>
  </si>
  <si>
    <t>D-VPR-4</t>
  </si>
  <si>
    <t>VPR-2.5-3L-GY</t>
  </si>
  <si>
    <t>Изолятор торцевой для клеммы VPR-2.5-3L</t>
  </si>
  <si>
    <t>D-VPR-2.5-3L</t>
  </si>
  <si>
    <t>Перемычка вставная, для клемм на 2.5 кв.мм, 10-и полюсная</t>
  </si>
  <si>
    <t>SBF-10-5</t>
  </si>
  <si>
    <t>Торцевой фиксатор на рейку 35мм, ширина 9,5 мм</t>
  </si>
  <si>
    <t>UK-E</t>
  </si>
  <si>
    <t xml:space="preserve">Провод ПуГВ 1,5 кв. мм красный, многопроволочный </t>
  </si>
  <si>
    <t>ПуГВ 1.5</t>
  </si>
  <si>
    <t>РЭК</t>
  </si>
  <si>
    <t>м.</t>
  </si>
  <si>
    <t>Провод ПуГВ 1,5 кв. мм белый, многопроволочный</t>
  </si>
  <si>
    <t xml:space="preserve">Провод ПуГВ 1,5 кв. мм черный, многопроволочный </t>
  </si>
  <si>
    <t xml:space="preserve">Провод ПуГВ 1,5 кв. мм синий, многопроволочный </t>
  </si>
  <si>
    <t xml:space="preserve">Провод ПуГВ 2,5 кв. мм красный, многопроволочный </t>
  </si>
  <si>
    <t>ПуГВ 2.5</t>
  </si>
  <si>
    <t>Провод ПуГВ 2,5 кв. мм белый, многопроволочный</t>
  </si>
  <si>
    <t xml:space="preserve">Провод ПуГВ 2,5 кв. мм черный, многопроволочный </t>
  </si>
  <si>
    <t xml:space="preserve">Провод ПуГВ 2,5 кв. мм синий, многопроволочный </t>
  </si>
  <si>
    <t xml:space="preserve">Провод ПуГВ 4 кв. мм красный, многопроволочный </t>
  </si>
  <si>
    <t>ПуГВ 4</t>
  </si>
  <si>
    <t>Провод ПуГВ 4 кв. мм белый, многопроволочный</t>
  </si>
  <si>
    <t xml:space="preserve">Провод ПуГВ 4 кв. мм черный, многопроволочный </t>
  </si>
  <si>
    <t xml:space="preserve">Провод ПуГВ 4 кв. мм синий, многопроволочный </t>
  </si>
  <si>
    <t>Наконечник НШВИ 1.5-12 (100шт)</t>
  </si>
  <si>
    <t>79441</t>
  </si>
  <si>
    <t>КВТ</t>
  </si>
  <si>
    <t>упак.</t>
  </si>
  <si>
    <t>Наконечник НШВИ(2) 1.5-12 (100шт)</t>
  </si>
  <si>
    <t>Наконечник НШВИ 2.5-12 (100шт)</t>
  </si>
  <si>
    <t>Наконечник НШВИ(2) 2.5-13 (100шт)</t>
  </si>
  <si>
    <t>79469</t>
  </si>
  <si>
    <t>Наконечник НШВИ 4.0–12 (100шт)</t>
  </si>
  <si>
    <t>79447</t>
  </si>
  <si>
    <t>Наконечник НШВИ(2) 4.0-12 (100шт)</t>
  </si>
  <si>
    <t>79470</t>
  </si>
  <si>
    <t>Огнетушитель порошковый самосрабатывающий</t>
  </si>
  <si>
    <t>ОСП-1</t>
  </si>
  <si>
    <t>Термостат модульный с регулируемым диапазоном температуры -10…+80°C, NO-контакт</t>
  </si>
  <si>
    <t>R5MTHNO</t>
  </si>
  <si>
    <t>Вентилятор с фильтром RV 44/46 м3/ч, 230 В, 150x150 мм, IP54</t>
  </si>
  <si>
    <t>R5RV12230</t>
  </si>
  <si>
    <t>Вентиляционная решетка с фильтром RF 150x150 мм, IP54</t>
  </si>
  <si>
    <t>R5RF12</t>
  </si>
  <si>
    <t xml:space="preserve">Расходные материалы (наконечники для кабелей ПуГВ, бирки, термоусадка 4-х цветов (Б,Ч,К,С)стяжки, изолента и т. д.) </t>
  </si>
  <si>
    <t>комп.</t>
  </si>
  <si>
    <t>040231</t>
  </si>
  <si>
    <t>Реле контроля напряжения и тока NJVA1-100 3P+N 100А</t>
  </si>
  <si>
    <t>508572</t>
  </si>
  <si>
    <t>LD</t>
  </si>
  <si>
    <t>Питание подсветок</t>
  </si>
  <si>
    <t>816139</t>
  </si>
  <si>
    <t>Шина нулевая в корпусе (4x15)</t>
  </si>
  <si>
    <t>sn0-4x15</t>
  </si>
  <si>
    <t>Шина нулевая в корпусе (4x7)</t>
  </si>
  <si>
    <t>sn0-4x7</t>
  </si>
  <si>
    <t xml:space="preserve">Провод ПуГВ 1,5 кв. мм Ж/З, многопроволочный </t>
  </si>
  <si>
    <t xml:space="preserve">Провод ПуГВ 2,5 кв. мм Ж/З, многопроволочный </t>
  </si>
  <si>
    <t xml:space="preserve">Провод ПуГВ 4 кв. мм Ж/З, многопроволочный </t>
  </si>
  <si>
    <t xml:space="preserve">Провод ПуГВ 16 кв. мм красный, многопроволочный </t>
  </si>
  <si>
    <t>Провод ПуГВ 16 кв. мм белый, многопроволочный</t>
  </si>
  <si>
    <t xml:space="preserve">Провод ПуГВ 16 кв. мм черный, многопроволочный </t>
  </si>
  <si>
    <t xml:space="preserve">Провод ПуГВ 16 кв. мм синий, многопроволочный </t>
  </si>
  <si>
    <t xml:space="preserve">Провод ПуГВ 16 кв. мм Ж/З, многопроволочный </t>
  </si>
  <si>
    <t>ПуГВ 16</t>
  </si>
  <si>
    <t>Наконечник НШВИ 16–12 (100шт)</t>
  </si>
  <si>
    <t>Наконечник НШВИ(2) 16–14 (100шт)</t>
  </si>
  <si>
    <t>203296</t>
  </si>
  <si>
    <t>VPR-6-GY</t>
  </si>
  <si>
    <t>Клемма проходная, зажим push-in, 2 точки подключения, 6 кв.мм, синяя</t>
  </si>
  <si>
    <t>VPR-6-BU</t>
  </si>
  <si>
    <t>Клемма заземления, зажим push-in, 2 точки подключения, 6 кв.мм</t>
  </si>
  <si>
    <t>VPR-6-PE-YG</t>
  </si>
  <si>
    <t>Изолятор торцевой для клеммы VPR-6</t>
  </si>
  <si>
    <t>D-VPR-6</t>
  </si>
  <si>
    <t>VPR-16-GY</t>
  </si>
  <si>
    <t>Клемма проходная, зажим push-in, 2 точки подключения, 16 кв.мм, синяя</t>
  </si>
  <si>
    <t>VPR-16-BU</t>
  </si>
  <si>
    <t>Клемма заземления, зажим push-in, 2 точки подключения, 16 кв.мм</t>
  </si>
  <si>
    <t>VPR-16-PE-YG</t>
  </si>
  <si>
    <t>Изолятор торцевой для клемм VPR-16</t>
  </si>
  <si>
    <t>D-VPR-16</t>
  </si>
  <si>
    <t>VPR-2.5-QUATTRO-GY</t>
  </si>
  <si>
    <t>Дверь стеклянная для корпусов CQE N, ВхШ 1800x800 мм RAM block</t>
  </si>
  <si>
    <t>R5NCPTE1880</t>
  </si>
  <si>
    <t>Профиль: Arlight MIC-M-2000 ANOD, алюминий, накладной, 2 м</t>
  </si>
  <si>
    <t>Рассеиватель: Arlight Экран матовый для PDS, MIC, 2 м</t>
  </si>
  <si>
    <t>044541</t>
  </si>
  <si>
    <t>012037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</si>
  <si>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</si>
  <si>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</si>
  <si>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</si>
  <si>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</si>
  <si>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</si>
  <si>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</si>
  <si>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</si>
  <si>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</si>
  <si>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</si>
  <si>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</si>
  <si>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</si>
  <si>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</si>
  <si>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</si>
  <si>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</si>
  <si>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</si>
  <si>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</si>
  <si>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</si>
  <si>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</si>
  <si>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</si>
  <si>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</si>
  <si>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</si>
  <si>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</si>
  <si>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</si>
  <si>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</si>
  <si>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</si>
  <si>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</si>
  <si>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</si>
  <si>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</si>
  <si>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</si>
  <si>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</si>
  <si>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</si>
  <si>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</si>
  <si>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</si>
  <si>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</si>
  <si>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</si>
  <si>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</si>
  <si>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</si>
  <si>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</si>
  <si>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</si>
  <si>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</si>
  <si>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</si>
  <si>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</si>
  <si>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</si>
  <si>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</si>
  <si>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</si>
  <si>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</si>
  <si>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</si>
  <si>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</si>
  <si>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</si>
  <si>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</si>
  <si>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</si>
  <si>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</si>
  <si>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1.70</t>
  </si>
  <si>
    <t>1.71</t>
  </si>
  <si>
    <t>1.72</t>
  </si>
  <si>
    <t>Блок питания ARV-DRP75-24 (24V, 3.15A, 75W)</t>
  </si>
  <si>
    <t>040232</t>
  </si>
  <si>
    <t>Блок питания ARV-DR135-12 (12V, 11.3A, 135W)</t>
  </si>
  <si>
    <t>035699</t>
  </si>
  <si>
    <t>Блок питания ARV-DR15-12 (12V, 1.25A, 15W)</t>
  </si>
  <si>
    <t>034670</t>
  </si>
  <si>
    <t>КМН</t>
  </si>
  <si>
    <t>Электрокамин</t>
  </si>
  <si>
    <t>МЕСТО</t>
  </si>
  <si>
    <t>ШИНА</t>
  </si>
  <si>
    <t>АВТОМАТ</t>
  </si>
  <si>
    <t>АППАРАТЫ (по порядку после автомата)</t>
  </si>
  <si>
    <t>МОДУЛЬ / КАНАЛ</t>
  </si>
  <si>
    <t>КЛЕММА</t>
  </si>
  <si>
    <t>КАБЕЛЬ</t>
  </si>
  <si>
    <t>ОТХОДЯЩАЯ ЛИНИЯ</t>
  </si>
  <si>
    <t>ПРОВЕРКИ</t>
  </si>
  <si>
    <t>СЛУЖЕБНОЕ — сюда можно не смотреть</t>
  </si>
  <si>
    <t>расчётные (скрыты, «+» над столбцами)</t>
  </si>
  <si>
    <t>SX_DATA</t>
  </si>
  <si>
    <t>№
места</t>
  </si>
  <si>
    <t>Лист
схемы</t>
  </si>
  <si>
    <t>Шина
(пусто =
основная)</t>
  </si>
  <si>
    <t>Автомат
«авто» или текст
(1-я строка группы)</t>
  </si>
  <si>
    <t>QF</t>
  </si>
  <si>
    <t>Аппарат 1
(МК-5-1, КМ,
T 24V 100W, БП…)</t>
  </si>
  <si>
    <t>Аппарат 2</t>
  </si>
  <si>
    <t>Аппарат 3</t>
  </si>
  <si>
    <t>Модуль
(модель в начале,
«-» = конец)</t>
  </si>
  <si>
    <t>Модуль</t>
  </si>
  <si>
    <t>Канал
(пусто = авто,
№, + = р б/к)</t>
  </si>
  <si>
    <t>Канал</t>
  </si>
  <si>
    <t>Клемма</t>
  </si>
  <si>
    <t>Линия</t>
  </si>
  <si>
    <t>Р, кВт</t>
  </si>
  <si>
    <t>Ток, А</t>
  </si>
  <si>
    <t>Фаза</t>
  </si>
  <si>
    <t>Режим
(«вручную» —
не рисовать)</t>
  </si>
  <si>
    <t>Ток
группы, А</t>
  </si>
  <si>
    <t>Номинал
по току, А</t>
  </si>
  <si>
    <t>Модель
модуля</t>
  </si>
  <si>
    <t>Цепь одной строкой</t>
  </si>
  <si>
    <t>гр.</t>
  </si>
  <si>
    <t>QF гр.</t>
  </si>
  <si>
    <t>модуль гр.</t>
  </si>
  <si>
    <t>модель гр.</t>
  </si>
  <si>
    <t>QF нач.</t>
  </si>
  <si>
    <t>фаз</t>
  </si>
  <si>
    <t>код</t>
  </si>
  <si>
    <t>30мА лин.</t>
  </si>
  <si>
    <t>в кабель выше</t>
  </si>
  <si>
    <t>по току</t>
  </si>
  <si>
    <t>мин. по кабелям</t>
  </si>
  <si>
    <t>номинал</t>
  </si>
  <si>
    <t>фаз гр.</t>
  </si>
  <si>
    <t>30мА гр.</t>
  </si>
  <si>
    <t>полюса</t>
  </si>
  <si>
    <t>номинал итог</t>
  </si>
  <si>
    <t>префикс</t>
  </si>
  <si>
    <t>модуль нач.</t>
  </si>
  <si>
    <t>посл. канал</t>
  </si>
  <si>
    <t>клемма</t>
  </si>
  <si>
    <t>аппараты гр.</t>
  </si>
  <si>
    <t>БП/тр-р</t>
  </si>
  <si>
    <t>draw</t>
  </si>
  <si>
    <t>bus2</t>
  </si>
  <si>
    <t>rcd</t>
  </si>
  <si>
    <t>chtype</t>
  </si>
  <si>
    <t>dev1</t>
  </si>
  <si>
    <t>dev2</t>
  </si>
  <si>
    <t>dev3</t>
  </si>
  <si>
    <t>sym</t>
  </si>
  <si>
    <t>hasline</t>
  </si>
  <si>
    <t>вручную</t>
  </si>
  <si>
    <t>ZIO-MB24</t>
  </si>
  <si>
    <t>ZIOMB8V3</t>
  </si>
  <si>
    <t>уточнить-Z</t>
  </si>
  <si>
    <t>уточнить-R</t>
  </si>
  <si>
    <t>Модель</t>
  </si>
  <si>
    <t>Каналов</t>
  </si>
  <si>
    <t>УГО</t>
  </si>
  <si>
    <t>SOCKET</t>
  </si>
  <si>
    <t>нет</t>
  </si>
  <si>
    <t>Мин. автомат перед БП / трансформатором, А</t>
  </si>
  <si>
    <t>ZIOMB16V3</t>
  </si>
  <si>
    <t>реле</t>
  </si>
  <si>
    <t>да</t>
  </si>
  <si>
    <t>Автоматов всего</t>
  </si>
  <si>
    <t>ZCL-8HT230</t>
  </si>
  <si>
    <t>клапаны 230В</t>
  </si>
  <si>
    <t>LAMP</t>
  </si>
  <si>
    <t xml:space="preserve">  из них с 30 мА (QFD)</t>
  </si>
  <si>
    <t>Di</t>
  </si>
  <si>
    <t>диммер</t>
  </si>
  <si>
    <t>DA</t>
  </si>
  <si>
    <t>Z</t>
  </si>
  <si>
    <t>MOTOR</t>
  </si>
  <si>
    <t>Модулей всего</t>
  </si>
  <si>
    <t>К</t>
  </si>
  <si>
    <t>HEAT</t>
  </si>
  <si>
    <t>1. Ток группы = сумма токов линий группы (линия в нескольких строках считается один раз).</t>
  </si>
  <si>
    <t>VALVE</t>
  </si>
  <si>
    <t>ЭК</t>
  </si>
  <si>
    <t>TE</t>
  </si>
  <si>
    <t>SERVO</t>
  </si>
  <si>
    <t>ТЕ</t>
  </si>
  <si>
    <t>BOX</t>
  </si>
  <si>
    <t>DWG: гофра ПВХ по плану, м</t>
  </si>
  <si>
    <t>DWG: гофра ПНД по плану, м</t>
  </si>
  <si>
    <t>DWG: хэндлы полилиний</t>
  </si>
  <si>
    <t>DWG: примечание</t>
  </si>
  <si>
    <t>авто</t>
  </si>
  <si>
    <t>XT1</t>
  </si>
  <si>
    <t>XT2</t>
  </si>
  <si>
    <t>XT3</t>
  </si>
  <si>
    <t>XT4</t>
  </si>
  <si>
    <t>XT5</t>
  </si>
  <si>
    <t>XT6</t>
  </si>
  <si>
    <t>XT7</t>
  </si>
  <si>
    <t>XT8</t>
  </si>
  <si>
    <t>XT9</t>
  </si>
  <si>
    <t>XT10</t>
  </si>
  <si>
    <t>XT11</t>
  </si>
  <si>
    <t>XT12</t>
  </si>
  <si>
    <t>XT13</t>
  </si>
  <si>
    <t>XT14</t>
  </si>
  <si>
    <t>XT15</t>
  </si>
  <si>
    <t>XT16</t>
  </si>
  <si>
    <t>XT17</t>
  </si>
  <si>
    <t>XT18</t>
  </si>
  <si>
    <t>XT19</t>
  </si>
  <si>
    <t>XT20</t>
  </si>
  <si>
    <t>XT21</t>
  </si>
  <si>
    <t>XT22</t>
  </si>
  <si>
    <t>XT23</t>
  </si>
  <si>
    <t>XT24</t>
  </si>
  <si>
    <t>Доп информация из выноски</t>
  </si>
  <si>
    <t>830ABA</t>
  </si>
  <si>
    <t>H=550</t>
  </si>
  <si>
    <t>830A6F</t>
  </si>
  <si>
    <t>светильник в одном блоке с розетками H=1200; H=200; H=1200</t>
  </si>
  <si>
    <t>8321B3</t>
  </si>
  <si>
    <t>полотенцесушители H=300</t>
  </si>
  <si>
    <t>830D88</t>
  </si>
  <si>
    <t>H=670 стиральная машина</t>
  </si>
  <si>
    <t>830D86</t>
  </si>
  <si>
    <t>H=670 сушильная машина</t>
  </si>
  <si>
    <t>830D89</t>
  </si>
  <si>
    <t>H=350</t>
  </si>
  <si>
    <t>830D8A</t>
  </si>
  <si>
    <t>H=1000</t>
  </si>
  <si>
    <t>830AB6</t>
  </si>
  <si>
    <t>83114A</t>
  </si>
  <si>
    <t>H=1450; H=350</t>
  </si>
  <si>
    <t>830B92</t>
  </si>
  <si>
    <t>H=1300</t>
  </si>
  <si>
    <t>830B94</t>
  </si>
  <si>
    <t>H=1050</t>
  </si>
  <si>
    <t>830B4A</t>
  </si>
  <si>
    <t>H=150; H=200</t>
  </si>
  <si>
    <t>830B91</t>
  </si>
  <si>
    <t>H=150; H=650</t>
  </si>
  <si>
    <t>830AB8</t>
  </si>
  <si>
    <t>H=760 вывод из пола; H=1000</t>
  </si>
  <si>
    <t>830AB9</t>
  </si>
  <si>
    <t>H=50 холодильник</t>
  </si>
  <si>
    <t>830ABB</t>
  </si>
  <si>
    <t>H=550 Духовой шкаф</t>
  </si>
  <si>
    <t>83459D</t>
  </si>
  <si>
    <t>H=550 СВЧ</t>
  </si>
  <si>
    <t>830C22</t>
  </si>
  <si>
    <t>H=700 ПММ, измельчитель</t>
  </si>
  <si>
    <t>830B48</t>
  </si>
  <si>
    <t>H=1800 вытяжка</t>
  </si>
  <si>
    <t>830B49</t>
  </si>
  <si>
    <t>запас 5 метров вывод H=550мм для варочной поверхности ВЫВОДЫ ПО КУХНЕ СМ. ПО ТЗ. ПОСТАВЩИКА</t>
  </si>
  <si>
    <t>830C23</t>
  </si>
  <si>
    <t>H=1012; H=1300; H=200</t>
  </si>
  <si>
    <t>830C24</t>
  </si>
  <si>
    <t>830A6D</t>
  </si>
  <si>
    <t>H=250; H=1600</t>
  </si>
  <si>
    <t>830A6C</t>
  </si>
  <si>
    <t>830C6C</t>
  </si>
  <si>
    <t>H=350; H=1500</t>
  </si>
  <si>
    <t>830C6D</t>
  </si>
  <si>
    <t>H=950; H=1250</t>
  </si>
  <si>
    <t>830A6E</t>
  </si>
  <si>
    <t>H=200; H=200 2 розетки H=850</t>
  </si>
  <si>
    <t>830A73</t>
  </si>
  <si>
    <t>H=200 2 розетки H=850; H=1200</t>
  </si>
  <si>
    <t>830A74</t>
  </si>
  <si>
    <t>H=200; H=1000</t>
  </si>
  <si>
    <t>R.1.05.11</t>
  </si>
  <si>
    <t>R.1.09.1</t>
  </si>
  <si>
    <t>R.1.07.3</t>
  </si>
  <si>
    <t>R.1.03.4</t>
  </si>
  <si>
    <t>R.1.03.3</t>
  </si>
  <si>
    <t>R.1.03.2</t>
  </si>
  <si>
    <t>R.1.03.1</t>
  </si>
  <si>
    <t>R.1.01.1</t>
  </si>
  <si>
    <t>R.1.02.1</t>
  </si>
  <si>
    <t>R.1.07.1</t>
  </si>
  <si>
    <t>R.1.07.2</t>
  </si>
  <si>
    <t>R.1.06.1</t>
  </si>
  <si>
    <t>R.1.06.2</t>
  </si>
  <si>
    <t>R.1.05.10</t>
  </si>
  <si>
    <t>R.1.05.7</t>
  </si>
  <si>
    <t>R.1.05.9</t>
  </si>
  <si>
    <t>R.1.05.8</t>
  </si>
  <si>
    <t>R.1.05.6</t>
  </si>
  <si>
    <t>R.1.05.5</t>
  </si>
  <si>
    <t>R.1.05.4</t>
  </si>
  <si>
    <t>R.1.05.3</t>
  </si>
  <si>
    <t>R.1.05.2</t>
  </si>
  <si>
    <t>R.1.05.1</t>
  </si>
  <si>
    <t>R.1.14.1</t>
  </si>
  <si>
    <t>R.1.10.1</t>
  </si>
  <si>
    <t>R.1.10.2</t>
  </si>
  <si>
    <t>R.1.09.2</t>
  </si>
  <si>
    <t>R.1.08.2</t>
  </si>
  <si>
    <t>R.1.08.1</t>
  </si>
  <si>
    <t>L.1.06.1</t>
  </si>
  <si>
    <t>L.1.10.2</t>
  </si>
  <si>
    <t>83249D</t>
  </si>
  <si>
    <t>Relay</t>
  </si>
  <si>
    <t>L.1.04.2</t>
  </si>
  <si>
    <t>83249E</t>
  </si>
  <si>
    <t>L.1.01.1</t>
  </si>
  <si>
    <t>83249F</t>
  </si>
  <si>
    <t>L.1.04.1</t>
  </si>
  <si>
    <t>8324C8</t>
  </si>
  <si>
    <t>L.1.08.1</t>
  </si>
  <si>
    <t>L.1.14.2</t>
  </si>
  <si>
    <t>831C17</t>
  </si>
  <si>
    <t>L.1.14.1</t>
  </si>
  <si>
    <t>831C18</t>
  </si>
  <si>
    <t>L.1.10.1</t>
  </si>
  <si>
    <t>831BEE 831BCC</t>
  </si>
  <si>
    <t>L.1.02.1</t>
  </si>
  <si>
    <t>831AEF</t>
  </si>
  <si>
    <t>L.2.13.1</t>
  </si>
  <si>
    <t>83184F</t>
  </si>
  <si>
    <t>L.2.08.1</t>
  </si>
  <si>
    <t>L.2.01.1</t>
  </si>
  <si>
    <t>L.2.05.2</t>
  </si>
  <si>
    <t>8319BD</t>
  </si>
  <si>
    <t>L.2.05.1</t>
  </si>
  <si>
    <t>8318DA</t>
  </si>
  <si>
    <t>L.2.12.1</t>
  </si>
  <si>
    <t>83184D</t>
  </si>
  <si>
    <t>L.2.12.2</t>
  </si>
  <si>
    <t>83188F</t>
  </si>
  <si>
    <t>с кнопки H=3650</t>
  </si>
  <si>
    <t>L.2.13.2</t>
  </si>
  <si>
    <t>Relay H=4000 H=3750</t>
  </si>
  <si>
    <t>L.2.09.1</t>
  </si>
  <si>
    <t>Relay H=4000</t>
  </si>
  <si>
    <t>L.1.06.2</t>
  </si>
  <si>
    <t>8324F1</t>
  </si>
  <si>
    <t>L.1.08.2</t>
  </si>
  <si>
    <t>83249C</t>
  </si>
  <si>
    <t>831C1B 831C19</t>
  </si>
  <si>
    <t>831AF0</t>
  </si>
  <si>
    <t>L.2.11.1</t>
  </si>
  <si>
    <t>Марка кабеля</t>
  </si>
  <si>
    <t>L.2.09.2</t>
  </si>
  <si>
    <t>83184E</t>
  </si>
  <si>
    <t>Розеточная группа  Пом. №03 Сушильная машина</t>
  </si>
  <si>
    <t>Розеточная группа  Пом. №03 Стиральная машина</t>
  </si>
  <si>
    <t>Розеточная группа  Пом. №05 Варочная поверхность</t>
  </si>
  <si>
    <t>Розеточная группа  Пом. №05 Вытяжка</t>
  </si>
  <si>
    <t>Розеточная группа  Пом. №05 ПММ, измельчитель</t>
  </si>
  <si>
    <t>Розеточная группа  Пом. №05 Холодильник</t>
  </si>
  <si>
    <t>Розеточная группа  Пом. №05 СВЧ</t>
  </si>
  <si>
    <t>Розеточная группа  Пом. №05 Духовой шкаф</t>
  </si>
  <si>
    <t>Розеточная группа  Пом. №07 Полотенцесушители</t>
  </si>
  <si>
    <t>Макс. автомат
по кабелю, А</t>
  </si>
  <si>
    <t>мин. по типу</t>
  </si>
  <si>
    <t>Мин. автомат, А</t>
  </si>
  <si>
    <t>Способ управления</t>
  </si>
  <si>
    <t>Ключ в выноске</t>
  </si>
  <si>
    <t>Цвет номера группы</t>
  </si>
  <si>
    <t>Реле</t>
  </si>
  <si>
    <t>кнопк</t>
  </si>
  <si>
    <t>С кнопки</t>
  </si>
  <si>
    <t>Ключ из AQ ищется в AY. Цвет AS — образец для номера в D.</t>
  </si>
  <si>
    <t>-</t>
  </si>
  <si>
    <t>МК-5-1</t>
  </si>
  <si>
    <t>Кс</t>
  </si>
  <si>
    <t>ЗНАЧКИ УГО ДЛЯ ОДНОЛИНЕЙКИ</t>
  </si>
  <si>
    <t>НАСТРОЙКИ ОДНОЛИНЕЙКИ И СВОДКА (перенесено с листа «Справочник_схемы»)</t>
  </si>
  <si>
    <t>КОЭФФИЦИЕНТ СПРОСА (СП 256.1325800.2016, расчётные нагрузки)</t>
  </si>
  <si>
    <t>ДОПУСТИМЫЙ ДЛИТЕЛЬНЫЙ ТОК, А (ПУЭ табл. 1.3.6, медь, в воздухе)</t>
  </si>
  <si>
    <t>ρ при рабочей t° (ГОСТ Р 50571.5.52 прил. G), Ом·мм²/м</t>
  </si>
  <si>
    <t>Группа Кс</t>
  </si>
  <si>
    <t>УГО (выбирается в AV)</t>
  </si>
  <si>
    <t>Блок AutoCAD (из 02_Однолинейка.dwg)</t>
  </si>
  <si>
    <t>Код программы (не менять)</t>
  </si>
  <si>
    <t>НАСТРОЙКИ (жёлтые — можно менять)</t>
  </si>
  <si>
    <t>МОДУЛИ В ПРОЕКТЕ — СВОБОДНЫЕ КАНАЛЫ</t>
  </si>
  <si>
    <t>Руст быт, кВт</t>
  </si>
  <si>
    <t>Квартиры/дома повышенной комфортности (СП 31-110-2003 табл. 6.2, те же значения в СП 256). Между точками — линейная интерполяция.</t>
  </si>
  <si>
    <t>Сечение, мм²</t>
  </si>
  <si>
    <t>Одножильные</t>
  </si>
  <si>
    <t>Двухжильные (1ф: L+N, PE не нагружен)</t>
  </si>
  <si>
    <t>Трёхжильные (3ф); 4–5 жил ×0,92</t>
  </si>
  <si>
    <t>Нет</t>
  </si>
  <si>
    <t>Розетка</t>
  </si>
  <si>
    <t>Розетка1</t>
  </si>
  <si>
    <t>Мест (столбцов схемы) на лист A3</t>
  </si>
  <si>
    <t>Занято (посл. №)</t>
  </si>
  <si>
    <t>Резерв «р»</t>
  </si>
  <si>
    <t>Свободно</t>
  </si>
  <si>
    <t>до 14 кВт — 0,8 (строка 0 кВт нужна для интерполяции)</t>
  </si>
  <si>
    <t>Рабочее освещение</t>
  </si>
  <si>
    <t>Светильник</t>
  </si>
  <si>
    <t>$RECOVER_230831092053-0</t>
  </si>
  <si>
    <t>Сервопривод</t>
  </si>
  <si>
    <t>Сервопривод-1</t>
  </si>
  <si>
    <t>Розеточная сеть и бытовые приборы</t>
  </si>
  <si>
    <t>Быт</t>
  </si>
  <si>
    <t>Клапан</t>
  </si>
  <si>
    <t>EK.1</t>
  </si>
  <si>
    <t>ИТОГИ ПО ОДНОЛИНЕЙКЕ</t>
  </si>
  <si>
    <t>Привод (двигатель)</t>
  </si>
  <si>
    <t>Привод</t>
  </si>
  <si>
    <t>Электрический тёплый пол</t>
  </si>
  <si>
    <t>Нагреватель</t>
  </si>
  <si>
    <t>(условный значок программы)</t>
  </si>
  <si>
    <t>Электроотопление (конвекторы, камины)</t>
  </si>
  <si>
    <t>Слаботочные системы, автоматизация, KNX</t>
  </si>
  <si>
    <t>Пост</t>
  </si>
  <si>
    <t>Прочее (прямоуг. с подписью)</t>
  </si>
  <si>
    <t>Клемм XT (номеров)</t>
  </si>
  <si>
    <t>Кондиционирование и увлажнение</t>
  </si>
  <si>
    <t>Системы безопасности и связи</t>
  </si>
  <si>
    <t xml:space="preserve">  трёхуровневых блоков</t>
  </si>
  <si>
    <t>70 кВт и более — 0,45</t>
  </si>
  <si>
    <t>Вентиляция</t>
  </si>
  <si>
    <t xml:space="preserve">  доп. проходных</t>
  </si>
  <si>
    <t>Водонагреватели</t>
  </si>
  <si>
    <t>НАСТРОЙКИ</t>
  </si>
  <si>
    <t>Приводы (шторы, ворота, краны)</t>
  </si>
  <si>
    <t>Строк с ошибками (красные в AE)</t>
  </si>
  <si>
    <t>Ко сил.</t>
  </si>
  <si>
    <t>Коэффициент участия силовой нагрузки в максимуме: Рр = Рр.быт + 0,9·Рр.сил (СП 256, расчёт жилого дома)</t>
  </si>
  <si>
    <t>Строк с предупреждениями (жёлтые в AE)</t>
  </si>
  <si>
    <t>ГРУППЫ</t>
  </si>
  <si>
    <t>«Исходные данные»: AZ — группа (пусто = по коду, столбец AZ этой страницы), BA — Кс для «Сил», BB — секция (1/2)</t>
  </si>
  <si>
    <t>Бытовая нагрузка дома/квартиры: розетки, свет, тёплый пол, кондиционеры, бытовые щиты ЩР. Кс — по таблице выше по СУММЕ Руст быт щита (не перемножать с Кс нижних щитов).</t>
  </si>
  <si>
    <t>КАК ПОДБИРАЕТСЯ АВТОМАТ («авто»)</t>
  </si>
  <si>
    <t>Сил</t>
  </si>
  <si>
    <t>Силовая: вентиляция, насосы, пищеблок, бассейн, хаммам… Кс — свой у каждой линии («Исходные данные» BA; пусто = 1). Вентиляция и насосы — по табл. СП 256 для сантехнического и вентиляционного оборудования (по числу двигателей, резервные не учитывать); пищеблок — по табл. для теплового оборудования.</t>
  </si>
  <si>
    <t>Постоянная, Кс = 1 и без Ко: обогрев кровли/воронок, слаботочные шкафы, АСУ, питание KNX, СПЗ.</t>
  </si>
  <si>
    <t>2. Номинал по току — по таблице «Автомат_номиналы» (эта страница, F:G).</t>
  </si>
  <si>
    <t>Не учитывается в Руст и Рр: вводы, резервные линии и двигатели, транзит.</t>
  </si>
  <si>
    <t>Сечение подбирается как наименьшее, у которого Iдоп·k ≥ In автомата (ГОСТ Р 50571.4.43: Ib ≤ In ≤ Iz); k = 0,92 для 4–5-жильных в 3ф (ПУЭ 1.3.10) × «К прокл.». 240 мм² — только одножильные (в табл. 1.3.6 для многожильных нет).</t>
  </si>
  <si>
    <t>3. Итог = наибольший из: по току, «Мин. автомат» по коду (AX: розетки 16 А, свет 10 А) и ручного автомата из «Исходных данных».</t>
  </si>
  <si>
    <t>4. «Макс. автомат по кабелю» — по сечению (I:J). Если итог больше — «КАБЕЛЬ НЕ ЗАЩИЩЁН».</t>
  </si>
  <si>
    <t>ФОРМУЛА</t>
  </si>
  <si>
    <t>5. Если после автомата БП/трансформатор — берётся ток и мин. номинал BF5.</t>
  </si>
  <si>
    <t>Рр = Руст.быт · Кс(табл.) + Ко · Σ(Pсил · Кс) + Σ Pпост;   Кс итоговый = Рр / Руст — он идёт в «Нагрузка_щитов» V9 и в «В Акад».</t>
  </si>
  <si>
    <t>Прочее</t>
  </si>
  <si>
    <t>6. Полюса: 3 фазы → 3P (4P с 30 мА), 1 фаза → 1P (2P с 30 мА).</t>
  </si>
  <si>
    <t>Iр — по наиболее нагруженной фазе: Iр = Pф.max · Кс итог / (0,22 · cos φ), но не меньше симметричного Рр / (√3 · 0,38 · cos φ).</t>
  </si>
  <si>
    <t>7. 30 мА: столбец F «Однолинейки» или по коду (AW).</t>
  </si>
  <si>
    <t>Секции: «Весь щит» = аварийный режим (все линии на одном вводе) — по нему выбирать вводные аппараты при АВР/секционном; «Секция 1» и «Секция 2» — нормальный режим.</t>
  </si>
  <si>
    <t>8. Свой текст в «Автомат» (например «2P С20А 30мА») — используется как есть и проверяется.</t>
  </si>
  <si>
    <t>Многоуровневое питание: в ВРУ/ГРЩ линия к бытовому ЩР — группа «Быт» с Руст этого щита; Кс считается заново по сумме, Кс нижних щитов не перемножается.</t>
  </si>
  <si>
    <t>НАСТРОЙКИ СЕТИ</t>
  </si>
  <si>
    <t>Uн, кВ</t>
  </si>
  <si>
    <t>Номинальное линейное напряжение (ГОСТ 29322-2014: 230/400 В). Фазное = Uн/√3. Для 380 В впишите 0,38.</t>
  </si>
  <si>
    <t>К прокл.</t>
  </si>
  <si>
    <t>Общий коэффициент снижения допустимого тока (пучок, многослойно в лотке/коробе — ПУЭ табл. 1.3.12, температура). В воздухе/лотке однорядно — 1.</t>
  </si>
  <si>
    <t>ΔU до шин щита теперь считается на листе «Питание_щита».</t>
  </si>
  <si>
    <t>Свой значок: впишите название в BA и точное имя блока в BB (код оставьте пустым) — блок возьмётся из библиотеки DWG.</t>
  </si>
  <si>
    <t>Свободных каналов всего</t>
  </si>
  <si>
    <t>Доп. коды (нет в списке P — латиница/кириллица и т.п.)</t>
  </si>
  <si>
    <t>КАТАЛОГ ОБОРУДОВАНИЯ. Спецификация собирается отсюда: N — посчитано по однолинейке, O — впишите вручную (корпус, провод, запас). Добавляйте строки вниз.</t>
  </si>
  <si>
    <t>список автоматов</t>
  </si>
  <si>
    <t>список аппаратов</t>
  </si>
  <si>
    <t>список модулей</t>
  </si>
  <si>
    <t>список произв.</t>
  </si>
  <si>
    <t>Категория (раздел)</t>
  </si>
  <si>
    <t>Производитель</t>
  </si>
  <si>
    <t>Модель (как в таблице)</t>
  </si>
  <si>
    <t>Префикс модуля</t>
  </si>
  <si>
    <t>Тип каналов</t>
  </si>
  <si>
    <t>Наименование для спецификации</t>
  </si>
  <si>
    <t>Полюса</t>
  </si>
  <si>
    <t>Номинал, А</t>
  </si>
  <si>
    <t>Ширина, мод. DIN</t>
  </si>
  <si>
    <t>Ед.</t>
  </si>
  <si>
    <t>Вручную / запас (+)</t>
  </si>
  <si>
    <t>ИТОГО в спецификацию</t>
  </si>
  <si>
    <t>Значение</t>
  </si>
  <si>
    <t>обозначение</t>
  </si>
  <si>
    <t>ключ</t>
  </si>
  <si>
    <t>№ авт.</t>
  </si>
  <si>
    <t>№ апп.</t>
  </si>
  <si>
    <t>№ мод.</t>
  </si>
  <si>
    <t>№ произв.</t>
  </si>
  <si>
    <t>(все)</t>
  </si>
  <si>
    <t>ключ сортировки</t>
  </si>
  <si>
    <t>№ в спецификации</t>
  </si>
  <si>
    <t>нет в каталоге</t>
  </si>
  <si>
    <t>№</t>
  </si>
  <si>
    <t>NB1-63 1P C10</t>
  </si>
  <si>
    <t>Автоматический выключатель NB1-63 1P 10А 6кА х-ка C (DB)</t>
  </si>
  <si>
    <t>1P</t>
  </si>
  <si>
    <t>Производитель автоматов</t>
  </si>
  <si>
    <t>NB1-63 1P C16</t>
  </si>
  <si>
    <t>Автоматический выключатель NB1-63 1P 16А 6кА х-ка C (DB)</t>
  </si>
  <si>
    <t>Производитель аппаратов</t>
  </si>
  <si>
    <t>NB1-63 3P C20</t>
  </si>
  <si>
    <t>Автоматический выключатель NB1-63 3P 20А 6кА х-ка C (DB)</t>
  </si>
  <si>
    <t>179702</t>
  </si>
  <si>
    <t>3P</t>
  </si>
  <si>
    <t>Производитель модулей</t>
  </si>
  <si>
    <t>NB1-63 4P C50</t>
  </si>
  <si>
    <t>Автоматический выключатель NB1-63 4P 50А 6кА х-ка C (DB)</t>
  </si>
  <si>
    <t>179750</t>
  </si>
  <si>
    <t>4P</t>
  </si>
  <si>
    <t>Клемма трёхуровневая (модель)</t>
  </si>
  <si>
    <t>NXB-125 3P C80</t>
  </si>
  <si>
    <t>Автоматический выключатель NXB-125 3P C80 10кА х-ка C</t>
  </si>
  <si>
    <t>Клемма проходная доп. (модель)</t>
  </si>
  <si>
    <t>Дифавтомат</t>
  </si>
  <si>
    <t>NB1L 1P+N C16 30мА</t>
  </si>
  <si>
    <t>Дифавтомат (АВДТ) NB1L 1P+N C16 30мА тип A 6кА</t>
  </si>
  <si>
    <t>2P</t>
  </si>
  <si>
    <t>Трёхуровневых на 4–5-жильную линию, если по коду не задано</t>
  </si>
  <si>
    <t>NB1L 1P+N C20 30мА</t>
  </si>
  <si>
    <t>Дифавтомат (АВДТ) NB1L 1P+N C20 30мА тип A 6кА</t>
  </si>
  <si>
    <t>NB1L 1P+N C32 30мА</t>
  </si>
  <si>
    <t>Дифавтомат (АВДТ) NB1L 1P+N C32 30мА тип A 6кА</t>
  </si>
  <si>
    <t>ПОРЯДОК РАЗДЕЛОВ СПЕЦИФИКАЦИИ (можно менять и дописывать)</t>
  </si>
  <si>
    <t>Аппарат</t>
  </si>
  <si>
    <t>Корпус</t>
  </si>
  <si>
    <t>КМ NCH8-63/40</t>
  </si>
  <si>
    <t>Контактор модульный NCH8-63/40 63А 4НО AC220/230В</t>
  </si>
  <si>
    <t>КМ NCH8-40/40</t>
  </si>
  <si>
    <t>Контактор модульный NCH8-40/40 40А 4НО AC220/230В</t>
  </si>
  <si>
    <t>NJVA1-100</t>
  </si>
  <si>
    <t>NZK1-32 2P</t>
  </si>
  <si>
    <t>Модульный переключатель NZK1-32 2P 32А 3 положения</t>
  </si>
  <si>
    <t>БП 24V 480W</t>
  </si>
  <si>
    <t>Блок питания ARV-DRP480-PFC-24 (24V, 20A, 480W)</t>
  </si>
  <si>
    <t>Шины</t>
  </si>
  <si>
    <t>БП 24V 75W</t>
  </si>
  <si>
    <t>БП 12V 135W</t>
  </si>
  <si>
    <t>Провод</t>
  </si>
  <si>
    <t>БП 12V 15W</t>
  </si>
  <si>
    <t>Универсальный источник питания KNX</t>
  </si>
  <si>
    <t>Актуатор клапанов отопления 230В</t>
  </si>
  <si>
    <t>Универсальный 4-канальный диммер 220V</t>
  </si>
  <si>
    <t>ЕСТЬ В ОДНОЛИНЕЙКЕ, НО НЕТ В КАТАЛОГЕ — добавьте строку:</t>
  </si>
  <si>
    <t>IN</t>
  </si>
  <si>
    <t>входы</t>
  </si>
  <si>
    <t>SMART-DALI-104</t>
  </si>
  <si>
    <t>диммер DALI</t>
  </si>
  <si>
    <t>Диммер SMART-DALI-104-62-ADDR-DIM-DT6-DIN White (12-24V, 4x5A)</t>
  </si>
  <si>
    <t>—</t>
  </si>
  <si>
    <t>Модель уточнить</t>
  </si>
  <si>
    <t>датчики</t>
  </si>
  <si>
    <t>Клемма трёхуровневая push-in, 6 точек, 2.5 кв.мм</t>
  </si>
  <si>
    <t>Клемма проходная push-in, 4 точки, 2.5 кв.мм, серая</t>
  </si>
  <si>
    <t>Клемма проходная push-in, 2 точки, 4 кв.мм, серая</t>
  </si>
  <si>
    <t>Клемма проходная push-in, 2 точки, 6 кв.мм, серая</t>
  </si>
  <si>
    <t>Клемма проходная push-in, 2 точки, 16 кв.мм, серая</t>
  </si>
  <si>
    <t>79467</t>
  </si>
  <si>
    <t>79444</t>
  </si>
  <si>
    <t>79452</t>
  </si>
  <si>
    <t>79473</t>
  </si>
  <si>
    <t>Расходные материалы (наконечни</t>
  </si>
  <si>
    <t>Кс (для Сил)</t>
  </si>
  <si>
    <t>Группа Кс (итог)</t>
  </si>
  <si>
    <t>ΔU от ВРУ, %</t>
  </si>
  <si>
    <t>К прокл. линии (пусто = общий)</t>
  </si>
  <si>
    <t>Iкз min в конце линии, А</t>
  </si>
  <si>
    <t>Iкз / In</t>
  </si>
  <si>
    <t>Zпетли в конце, Ом</t>
  </si>
  <si>
    <t>Iкз max в конце, кА</t>
  </si>
  <si>
    <t>Статус строки
(что проверить)</t>
  </si>
  <si>
    <t>тип автомата №</t>
  </si>
  <si>
    <t>аппарат 1 №</t>
  </si>
  <si>
    <t>аппарат 2 №</t>
  </si>
  <si>
    <t>аппарат 3 №</t>
  </si>
  <si>
    <t>кабель клеммы</t>
  </si>
  <si>
    <t>вид клеммы №</t>
  </si>
  <si>
    <t>модуль №</t>
  </si>
  <si>
    <t>модель №</t>
  </si>
  <si>
    <t>уровень</t>
  </si>
  <si>
    <t>№ линии</t>
  </si>
  <si>
    <t>3L клемм</t>
  </si>
  <si>
    <t>доп. проходных</t>
  </si>
  <si>
    <t>УГО (рус)</t>
  </si>
  <si>
    <t>кА</t>
  </si>
  <si>
    <t>кВА</t>
  </si>
  <si>
    <t>Кабелей параллельно</t>
  </si>
  <si>
    <t>Показатель</t>
  </si>
  <si>
    <t>cos φ</t>
  </si>
  <si>
    <t>ΔU питающей линии</t>
  </si>
  <si>
    <t>Iкз min (1ф) на шинах</t>
  </si>
  <si>
    <t>Iкз max (3ф) на шинах</t>
  </si>
  <si>
    <t>Руст, кВт</t>
  </si>
  <si>
    <t>Руст пост, кВт</t>
  </si>
  <si>
    <t>Iр, А</t>
  </si>
  <si>
    <t>≈ 1,5·ρ20</t>
  </si>
  <si>
    <t>Рр сил, кВт</t>
  </si>
  <si>
    <t>Секция</t>
  </si>
  <si>
    <t>Объект:</t>
  </si>
  <si>
    <t>(название и адрес объекта)</t>
  </si>
  <si>
    <t>II</t>
  </si>
  <si>
    <t>Режим:</t>
  </si>
  <si>
    <t>tg φ</t>
  </si>
  <si>
    <t>Категория</t>
  </si>
  <si>
    <t>Руст</t>
  </si>
  <si>
    <t>Рр</t>
  </si>
  <si>
    <t>Напряжение сети</t>
  </si>
  <si>
    <t>Система заземления</t>
  </si>
  <si>
    <t>TN-C-S</t>
  </si>
  <si>
    <t>Категория надёжности электроснабжения</t>
  </si>
  <si>
    <t>Установленная мощность Руст, кВт</t>
  </si>
  <si>
    <t>Расчётная мощность Рр, кВт / Sр, кВА / cos φ</t>
  </si>
  <si>
    <t>Расчётный ток Iр, А</t>
  </si>
  <si>
    <t>Компенсация реактивной мощности</t>
  </si>
  <si>
    <t>ПОДСЧЁТ ПО ЛИСТУ «ОДНОЛИНЕЙКА» (считается сам)</t>
  </si>
  <si>
    <t>Трёхуровн.</t>
  </si>
  <si>
    <t>Доп. проходных</t>
  </si>
  <si>
    <t>Автоматы и дифавтоматы (полюса, номинал, 30 мА)</t>
  </si>
  <si>
    <t xml:space="preserve">  всего автоматов</t>
  </si>
  <si>
    <t>Аппараты после автоматов (трансформаторы, БП, МК, КМ)</t>
  </si>
  <si>
    <t>Модули умного дома (по модели)</t>
  </si>
  <si>
    <t>Клеммы XT по кабелю линии (жилы × сечение)</t>
  </si>
  <si>
    <t xml:space="preserve">  всего клемм XT</t>
  </si>
  <si>
    <t>Клемма трёхуровневая (по настройке Каталога)</t>
  </si>
  <si>
    <t>Клемма проходная доп. (по настройке Каталога)</t>
  </si>
  <si>
    <t>Трёхуровневая = L/N/PE одной линии; у 5-жильных ещё 2 проходные на доп. жилы.</t>
  </si>
  <si>
    <t>Линий с необеспеченной категорией (v3.12)</t>
  </si>
  <si>
    <t>Ввод 1</t>
  </si>
  <si>
    <t>Тип шины</t>
  </si>
  <si>
    <t>Категория надёжности (ввод: I особая / I / II / III; пусто = III)</t>
  </si>
  <si>
    <t>Категория (итог)</t>
  </si>
  <si>
    <t>Пожарная (итог)</t>
  </si>
  <si>
    <t>Источник для режимов</t>
  </si>
  <si>
    <t>Категория обеспечена</t>
  </si>
  <si>
    <t>Категория: проверка</t>
  </si>
  <si>
    <t>Пожарная</t>
  </si>
  <si>
    <t>Кс быт</t>
  </si>
  <si>
    <t>Рр, кВт</t>
  </si>
  <si>
    <t>Qр, квар</t>
  </si>
  <si>
    <t>Sр, кВА</t>
  </si>
  <si>
    <t>Ввод 2</t>
  </si>
  <si>
    <t>Ввод 3</t>
  </si>
  <si>
    <t>ИБП</t>
  </si>
  <si>
    <t>ДГУ</t>
  </si>
  <si>
    <t>Итого</t>
  </si>
  <si>
    <t>Не обеспечено, линий</t>
  </si>
  <si>
    <t>I особая</t>
  </si>
  <si>
    <t>I</t>
  </si>
  <si>
    <t>III</t>
  </si>
  <si>
    <t>Шина</t>
  </si>
  <si>
    <t>Допустимая загрузка ИБП</t>
  </si>
  <si>
    <t>Проверка</t>
  </si>
  <si>
    <t>мин</t>
  </si>
  <si>
    <t>КПД инвертора</t>
  </si>
  <si>
    <t>Секция (1/2/3; пусто = 1)</t>
  </si>
  <si>
    <t>1. ТЕРМИНЫ</t>
  </si>
  <si>
    <t>Термин</t>
  </si>
  <si>
    <t>Место</t>
  </si>
  <si>
    <t>Группа</t>
  </si>
  <si>
    <t>Фидер</t>
  </si>
  <si>
    <t>2. ПРАВИЛА КНИГИ</t>
  </si>
  <si>
    <t>ВНИМАНИЕ: Перед массовой правкой сохраните копию книги. После макросов Ctrl+Z не работает.</t>
  </si>
  <si>
    <t>4. ПОРЯДОК РАБОТЫ (КРАТКО)</t>
  </si>
  <si>
    <t>4</t>
  </si>
  <si>
    <t>6</t>
  </si>
  <si>
    <t>7</t>
  </si>
  <si>
    <t>8</t>
  </si>
  <si>
    <t>5.1</t>
  </si>
  <si>
    <t>5.2</t>
  </si>
  <si>
    <t>5.3</t>
  </si>
  <si>
    <t>6.1</t>
  </si>
  <si>
    <t>6.2</t>
  </si>
  <si>
    <t>6.3</t>
  </si>
  <si>
    <t>6.4</t>
  </si>
  <si>
    <t>6.5</t>
  </si>
  <si>
    <t>7.1</t>
  </si>
  <si>
    <t>7.2</t>
  </si>
  <si>
    <t>7.3</t>
  </si>
  <si>
    <t>8.1</t>
  </si>
  <si>
    <t>8.2</t>
  </si>
  <si>
    <t>8.3</t>
  </si>
  <si>
    <t>8.4</t>
  </si>
  <si>
    <t>Что нужно</t>
  </si>
  <si>
    <t>Что ввести</t>
  </si>
  <si>
    <t>Линия со своим автоматом</t>
  </si>
  <si>
    <t>Несколько линий на одном автомате</t>
  </si>
  <si>
    <t>Вторая шина (ИБП, секция)</t>
  </si>
  <si>
    <t>10.1</t>
  </si>
  <si>
    <t>11.1</t>
  </si>
  <si>
    <t>11.2</t>
  </si>
  <si>
    <t>11.3</t>
  </si>
  <si>
    <t>12.1</t>
  </si>
  <si>
    <t>12.2</t>
  </si>
  <si>
    <t>Схема</t>
  </si>
  <si>
    <t>1 ввод, питающая линия пусто или III</t>
  </si>
  <si>
    <t>2–3 ввода без АВР</t>
  </si>
  <si>
    <t>2–3 ввода с АВР</t>
  </si>
  <si>
    <t>Режимы!C3</t>
  </si>
  <si>
    <t>13.1</t>
  </si>
  <si>
    <t>13.2</t>
  </si>
  <si>
    <t>13.3</t>
  </si>
  <si>
    <t>13.4</t>
  </si>
  <si>
    <t>14.1</t>
  </si>
  <si>
    <t>14.2</t>
  </si>
  <si>
    <t>14.3</t>
  </si>
  <si>
    <t>15.1</t>
  </si>
  <si>
    <t>15.2</t>
  </si>
  <si>
    <t>15.3</t>
  </si>
  <si>
    <t>Лист</t>
  </si>
  <si>
    <t>Режимы</t>
  </si>
  <si>
    <t>Расчёт_нагрузок</t>
  </si>
  <si>
    <t>Кабельный_журнал</t>
  </si>
  <si>
    <t>Бирки</t>
  </si>
  <si>
    <t>Каталог!A1</t>
  </si>
  <si>
    <t>ОСТОРОЖНО: «Обновить спецификацию» стирает «Спецификация» B4:J160. Ручные правки делайте в «Каталоге».</t>
  </si>
  <si>
    <t>Автомат больше допустимого тока кабеля. Увеличьте сечение или уменьшите автомат.</t>
  </si>
  <si>
    <t>ОБЪЕКТ: настройки</t>
  </si>
  <si>
    <t>Объект</t>
  </si>
  <si>
    <t>название и адрес</t>
  </si>
  <si>
    <t>ρ меди для Iкз min, Ом·мм²/м</t>
  </si>
  <si>
    <t>≈ 1,5·ρ20 (ГОСТ 28249 п. 2.4.2)</t>
  </si>
  <si>
    <t>ρ алюминия для Iкз min, Ом·мм²/м</t>
  </si>
  <si>
    <t>Переходные сопротивления на щит, Ом</t>
  </si>
  <si>
    <t>контакты и аппараты на каждый щит</t>
  </si>
  <si>
    <t>c_min для Iкз min</t>
  </si>
  <si>
    <t>МЭК 60909-0</t>
  </si>
  <si>
    <t>Методика расчёта</t>
  </si>
  <si>
    <t>нормы 2026</t>
  </si>
  <si>
    <t>v3.12 — как старая книга (для сверки); нормы 2026 — исправления по СП 256 с Изм. 9 (см. «Методика»)</t>
  </si>
  <si>
    <t>kп.к — региональный коэффициент</t>
  </si>
  <si>
    <t>СП 256 табл. 7.5а (ЦФО 0,81, СЗФО 0,91…); для частного дома по умолчанию 1</t>
  </si>
  <si>
    <t>Сеть (Uн), К прокладки, Кс быт, Ко — «Справочная» BP:BQ.</t>
  </si>
  <si>
    <t>Число силовых ЭП</t>
  </si>
  <si>
    <t>Кс (СП 256 табл. 7.5)</t>
  </si>
  <si>
    <t>КОДЫ ПОТРЕБИТЕЛЕЙ, УГО, ЭТАЖИ, КАБЕЛИ — новая строка дописывается сразу под таблицей, таблица растёт сама</t>
  </si>
  <si>
    <t>Код</t>
  </si>
  <si>
    <t>Опуск, м</t>
  </si>
  <si>
    <t>Пуск: 1 нет/2 двигатель/3 свет</t>
  </si>
  <si>
    <t>Жил</t>
  </si>
  <si>
    <t>Фаз</t>
  </si>
  <si>
    <t>Вид нагрузки</t>
  </si>
  <si>
    <t>Код (УГО)</t>
  </si>
  <si>
    <t>Дифзащита, мА (да = 30)</t>
  </si>
  <si>
    <t>3L клемм на линию</t>
  </si>
  <si>
    <t>Название этажа</t>
  </si>
  <si>
    <t>Подъём, м</t>
  </si>
  <si>
    <t>По другим этажам, м</t>
  </si>
  <si>
    <t>Обозначение</t>
  </si>
  <si>
    <t>Сечение в марке (1 да / 2 нет)</t>
  </si>
  <si>
    <t>Питается от</t>
  </si>
  <si>
    <t>Вводов</t>
  </si>
  <si>
    <t>АВР</t>
  </si>
  <si>
    <t>ИБП от</t>
  </si>
  <si>
    <t>Мест под вводной узел</t>
  </si>
  <si>
    <t>Питание: от (ТП / сеть)</t>
  </si>
  <si>
    <t>ΔU до питающего, %</t>
  </si>
  <si>
    <t>Iкз min от сети, А</t>
  </si>
  <si>
    <t>Iкз max от сети, кА</t>
  </si>
  <si>
    <t>Sтр, кВА</t>
  </si>
  <si>
    <t>Схема тр-ра</t>
  </si>
  <si>
    <t>Питающий кабель: S, мм²</t>
  </si>
  <si>
    <t>Материал</t>
  </si>
  <si>
    <t>In питающего аппарата, А</t>
  </si>
  <si>
    <t>Хар-ка аппарата</t>
  </si>
  <si>
    <t>Кат. питающей линии (ручн.)</t>
  </si>
  <si>
    <t>Питается от (итог)</t>
  </si>
  <si>
    <t>Замечания щита</t>
  </si>
  <si>
    <t>Линия фидера</t>
  </si>
  <si>
    <t>ΔU до шин, %</t>
  </si>
  <si>
    <t>Iкз min на шинах, А</t>
  </si>
  <si>
    <t>Iкз max на шинах, кА</t>
  </si>
  <si>
    <t>Категория шины «Ввод»</t>
  </si>
  <si>
    <t>Путь</t>
  </si>
  <si>
    <t>Корень</t>
  </si>
  <si>
    <t>Уровень</t>
  </si>
  <si>
    <t>_строка фидера</t>
  </si>
  <si>
    <t>_Руст собств</t>
  </si>
  <si>
    <t>_быт собств</t>
  </si>
  <si>
    <t>_сил собств</t>
  </si>
  <si>
    <t>_пост собств</t>
  </si>
  <si>
    <t>_P собств</t>
  </si>
  <si>
    <t>_Pcos собств</t>
  </si>
  <si>
    <t>_отоп собств</t>
  </si>
  <si>
    <t>_внг собств</t>
  </si>
  <si>
    <t>Р отопления, кВт</t>
  </si>
  <si>
    <t>Рр ВНГ, кВт</t>
  </si>
  <si>
    <t>_n силовых</t>
  </si>
  <si>
    <t>Кс силовых (табл. 7.5)</t>
  </si>
  <si>
    <t>Ко</t>
  </si>
  <si>
    <t>Кс итог</t>
  </si>
  <si>
    <t>P L1, кВт</t>
  </si>
  <si>
    <t>P L2, кВт</t>
  </si>
  <si>
    <t>P L3, кВт</t>
  </si>
  <si>
    <t>_ΔU фидера</t>
  </si>
  <si>
    <t>_ΔU пит. линии</t>
  </si>
  <si>
    <t>_ΔU источника</t>
  </si>
  <si>
    <t>_петля пит. кабеля</t>
  </si>
  <si>
    <t>_Zсети</t>
  </si>
  <si>
    <t>_Zисточника</t>
  </si>
  <si>
    <t>_Zфидера</t>
  </si>
  <si>
    <t>Zпетли на шинах, Ом</t>
  </si>
  <si>
    <t>_Zmax сети</t>
  </si>
  <si>
    <t>_Zmax источника</t>
  </si>
  <si>
    <t>_Zmax фидера</t>
  </si>
  <si>
    <t>Zmax на шинах, Ом</t>
  </si>
  <si>
    <t>_ранг собств</t>
  </si>
  <si>
    <t>Высшая категория нагрузки</t>
  </si>
  <si>
    <t>Категория фидера</t>
  </si>
  <si>
    <t>Iпуск max, А</t>
  </si>
  <si>
    <t>Источник фидера</t>
  </si>
  <si>
    <t>Пожарный фидер</t>
  </si>
  <si>
    <t>ШИНЫ: тип шины вручную. Без строки здесь — по имени (ИБП / ДГУ) или по секции линии (Ввод 1 / 2 / 3).</t>
  </si>
  <si>
    <t>Тип</t>
  </si>
  <si>
    <t>№ места</t>
  </si>
  <si>
    <t>Лист / место</t>
  </si>
  <si>
    <t>Питает щит</t>
  </si>
  <si>
    <t>Группа Кс (Быт/Сил/Пост/Отоп/ВНГ/Нет; пусто = по коду)</t>
  </si>
  <si>
    <t>cos φ (ручн.)</t>
  </si>
  <si>
    <t>Фаза (ручная)</t>
  </si>
  <si>
    <t>Вид нагрузки (пусто = по коду)</t>
  </si>
  <si>
    <t>Пожарная (ввод: да / нет; пусто = по коду)</t>
  </si>
  <si>
    <t>Автомат «авто» или текст</t>
  </si>
  <si>
    <t>Дифзащита, мА</t>
  </si>
  <si>
    <t>Аппарат 1</t>
  </si>
  <si>
    <t>Режим</t>
  </si>
  <si>
    <t>Замечания</t>
  </si>
  <si>
    <t>_n</t>
  </si>
  <si>
    <t>_часть1</t>
  </si>
  <si>
    <t>_часть2</t>
  </si>
  <si>
    <t>Наименование по коду</t>
  </si>
  <si>
    <t>Наименование (итог)</t>
  </si>
  <si>
    <t>_фидер</t>
  </si>
  <si>
    <t>_№ щита</t>
  </si>
  <si>
    <t>_мест узла</t>
  </si>
  <si>
    <t>_№ места (итог)</t>
  </si>
  <si>
    <t>_зона</t>
  </si>
  <si>
    <t>U, В</t>
  </si>
  <si>
    <t>Марка (итог)</t>
  </si>
  <si>
    <t>Сечение задано</t>
  </si>
  <si>
    <t>_тип пуска</t>
  </si>
  <si>
    <t>_k жил</t>
  </si>
  <si>
    <t>_К прокл</t>
  </si>
  <si>
    <t>_столбец Iдоп</t>
  </si>
  <si>
    <t>_ρ</t>
  </si>
  <si>
    <t>_x</t>
  </si>
  <si>
    <t>_Lплан</t>
  </si>
  <si>
    <t>_гофра ПВХ</t>
  </si>
  <si>
    <t>_гофра ПНД</t>
  </si>
  <si>
    <t>_b</t>
  </si>
  <si>
    <t>_sin</t>
  </si>
  <si>
    <t>_ΔU, В</t>
  </si>
  <si>
    <t>ΔU, %</t>
  </si>
  <si>
    <t>Допустимо ΔU, %</t>
  </si>
  <si>
    <t>_кабель</t>
  </si>
  <si>
    <t>_кабель с сечением</t>
  </si>
  <si>
    <t>_Zкабеля</t>
  </si>
  <si>
    <t>_Zmax кабеля</t>
  </si>
  <si>
    <t>_Руст (без Нет)</t>
  </si>
  <si>
    <t>_Руст быт</t>
  </si>
  <si>
    <t>_Рр сил</t>
  </si>
  <si>
    <t>_Руст пост</t>
  </si>
  <si>
    <t>_Р отопления</t>
  </si>
  <si>
    <t>_Рр ВНГ</t>
  </si>
  <si>
    <t>_P для cos</t>
  </si>
  <si>
    <t>_P·cos</t>
  </si>
  <si>
    <t>_фаза №</t>
  </si>
  <si>
    <t>_фаза авто</t>
  </si>
  <si>
    <t>_Iпуск двиг.</t>
  </si>
  <si>
    <t>_Iпуск LED</t>
  </si>
  <si>
    <t>Iпуск, А</t>
  </si>
  <si>
    <t>_шина группы</t>
  </si>
  <si>
    <t>Шина (итог)</t>
  </si>
  <si>
    <t>_секция №</t>
  </si>
  <si>
    <t>_ранг категории</t>
  </si>
  <si>
    <t>_ранг для фидера</t>
  </si>
  <si>
    <t>_путь щита</t>
  </si>
  <si>
    <t>Вид нагрузки (итог)</t>
  </si>
  <si>
    <t>Лист схемы</t>
  </si>
  <si>
    <t>Кабель (строкой)</t>
  </si>
  <si>
    <t>_Р схемы</t>
  </si>
  <si>
    <t>_Ток схемы</t>
  </si>
  <si>
    <t>_фаз</t>
  </si>
  <si>
    <t>_дифзащита по коду, мА</t>
  </si>
  <si>
    <t>_в кабель выше</t>
  </si>
  <si>
    <t>_гр.</t>
  </si>
  <si>
    <t>_гр. (перенос)</t>
  </si>
  <si>
    <t>_мин. по типу</t>
  </si>
  <si>
    <t>_макс. автомат по кабелю</t>
  </si>
  <si>
    <t>_ток группы</t>
  </si>
  <si>
    <t>_номинал по току</t>
  </si>
  <si>
    <t>_по току</t>
  </si>
  <si>
    <t>_мин. по кабелям</t>
  </si>
  <si>
    <t>_фаз гр.</t>
  </si>
  <si>
    <t>Дифзащита группы, мА</t>
  </si>
  <si>
    <t>_дифзащита гр. (0/1)</t>
  </si>
  <si>
    <t>_QF нач.</t>
  </si>
  <si>
    <t>_QF гр.</t>
  </si>
  <si>
    <t>_аппараты гр.</t>
  </si>
  <si>
    <t>_БП/тр-р</t>
  </si>
  <si>
    <t>_номинал</t>
  </si>
  <si>
    <t>_полюса</t>
  </si>
  <si>
    <t>Автомат (схема)</t>
  </si>
  <si>
    <t>_номинал итог</t>
  </si>
  <si>
    <t>_префикс</t>
  </si>
  <si>
    <t>_модуль нач.</t>
  </si>
  <si>
    <t>_модуль гр.</t>
  </si>
  <si>
    <t>_модель гр.</t>
  </si>
  <si>
    <t>Канал (итог)</t>
  </si>
  <si>
    <t>_посл. канал</t>
  </si>
  <si>
    <t>_клемма</t>
  </si>
  <si>
    <t>Клемма (итог)</t>
  </si>
  <si>
    <t>_Модуль (схема)</t>
  </si>
  <si>
    <t>Проверка автомата</t>
  </si>
  <si>
    <t>Проверка канала</t>
  </si>
  <si>
    <t>_In гр.</t>
  </si>
  <si>
    <t>_автомат гр.</t>
  </si>
  <si>
    <t>_дифзащита гр. (строки)</t>
  </si>
  <si>
    <t>_мА гр. (строки)</t>
  </si>
  <si>
    <t>_кратность</t>
  </si>
  <si>
    <t>Отключение ≤ 0,4 с</t>
  </si>
  <si>
    <t>Статус</t>
  </si>
  <si>
    <t>Icu автомата, кА</t>
  </si>
  <si>
    <t>Проверка Icu</t>
  </si>
  <si>
    <t>_цепь для бирок</t>
  </si>
  <si>
    <t>_цепь с кабелем</t>
  </si>
  <si>
    <t>_бирка 1</t>
  </si>
  <si>
    <t>_бирка 1 линия</t>
  </si>
  <si>
    <t>_бирка 2</t>
  </si>
  <si>
    <t>_бирка 2 линия</t>
  </si>
  <si>
    <t>_бирка 3</t>
  </si>
  <si>
    <t>_бирка 3 линия</t>
  </si>
  <si>
    <t>_бирка 4</t>
  </si>
  <si>
    <t>_бирка 4 линия</t>
  </si>
  <si>
    <t>_бирка 5</t>
  </si>
  <si>
    <t>_бирка 5 линия</t>
  </si>
  <si>
    <t>_бирка 6</t>
  </si>
  <si>
    <t>_бирка 6 линия</t>
  </si>
  <si>
    <t>_модель (схема)</t>
  </si>
  <si>
    <t>_цепь</t>
  </si>
  <si>
    <t>_draw</t>
  </si>
  <si>
    <t>_bus2</t>
  </si>
  <si>
    <t>_rcd</t>
  </si>
  <si>
    <t>_chtype</t>
  </si>
  <si>
    <t>_dev1</t>
  </si>
  <si>
    <t>_dev2</t>
  </si>
  <si>
    <t>_dev3</t>
  </si>
  <si>
    <t>_УГО (рус)</t>
  </si>
  <si>
    <t>_sym</t>
  </si>
  <si>
    <t>_hasline</t>
  </si>
  <si>
    <t>_тип автомата №</t>
  </si>
  <si>
    <t>_аппарат 1 №</t>
  </si>
  <si>
    <t>_аппарат 2 №</t>
  </si>
  <si>
    <t>_аппарат 3 №</t>
  </si>
  <si>
    <t>_кабель клеммы</t>
  </si>
  <si>
    <t>_вид клеммы №</t>
  </si>
  <si>
    <t>_модуль №</t>
  </si>
  <si>
    <t>_модель №</t>
  </si>
  <si>
    <t>_уровень</t>
  </si>
  <si>
    <t>_№ линии</t>
  </si>
  <si>
    <t>_3L клемм</t>
  </si>
  <si>
    <t>_доп. проходных</t>
  </si>
  <si>
    <t>1,2,3</t>
  </si>
  <si>
    <t>ИБП (для щитов с шиной ИБП)</t>
  </si>
  <si>
    <t>cos φ на выходе ИБП</t>
  </si>
  <si>
    <t>Автономия, мин</t>
  </si>
  <si>
    <t>Напряжение АКБ, В</t>
  </si>
  <si>
    <t>Коэффициент разряда / старения АКБ</t>
  </si>
  <si>
    <t>Заряд АКБ, доля мощности</t>
  </si>
  <si>
    <t>cos φ на входе ИБП</t>
  </si>
  <si>
    <t>Ряд типоразмеров ИБП, кВА</t>
  </si>
  <si>
    <t>РЕЖИМЫ: нагрузка выбранного щита (вместе со всеми нижестоящими) по вводам в разных режимах</t>
  </si>
  <si>
    <t>Как читать: столбцы — источники (Ввод 1/2/3, ИБП, ДГУ), блоки — режимы. На «Нормальный» и «Аварийный» проверяются вводы, аппараты и кабели (берётся больший). Пожарные — отдельно, в максимум не входят. Блок 7 — кВт по категориям для ТУ.</t>
  </si>
  <si>
    <t>Щит:</t>
  </si>
  <si>
    <t>в составе</t>
  </si>
  <si>
    <t>нижний щит</t>
  </si>
  <si>
    <t>источник</t>
  </si>
  <si>
    <t>пожарная</t>
  </si>
  <si>
    <t>категория</t>
  </si>
  <si>
    <t>Вход ИБП, кВт / квар:</t>
  </si>
  <si>
    <t>1. НОРМАЛЬНЫЙ РЕЖИМ (секционный выключатель отключён, пожарные не входят; ИБП — нагрузка на выходе, справочно)</t>
  </si>
  <si>
    <t>Итого (вводы)</t>
  </si>
  <si>
    <t>Кс (Рр / Руст)</t>
  </si>
  <si>
    <t>2. АВАРИЙНЫЙ: потерян Ввод 1 (его нагрузка и вход ИБП — на Ввод 2)</t>
  </si>
  <si>
    <t>3. АВАРИЙНЫЙ: потерян Ввод 2 (его нагрузка и вход ИБП — на Ввод 1)</t>
  </si>
  <si>
    <t>4. ПОТЕРЯНЫ ВСЕ ВВОДЫ: работают только ИБП и ДГУ</t>
  </si>
  <si>
    <t>5. ПОЖАР: пожарные нагрузки (в расчётный максимум не входят, СП 256 п. 7.1.9; Кс пожарных = 1)</t>
  </si>
  <si>
    <t>6. НОРМАЛЬНЫЙ + ПОЖАРНЫЕ (проверка вводов при пожаре)</t>
  </si>
  <si>
    <t>7. ПО КАТЕГОРИЯМ НАДЁЖНОСТИ (для ТУ и пояснительной записки; ИБП — нагрузка на выходе)</t>
  </si>
  <si>
    <t>Линий</t>
  </si>
  <si>
    <t>Пожарные: Руст, кВт</t>
  </si>
  <si>
    <t>Пожарные: Рр, кВт</t>
  </si>
  <si>
    <t>Кс быт применяется к каждому набору линий отдельно (табл. 7.2 по сумме Руст быт набора), поэтому сумма строк может отличаться от «Итого».</t>
  </si>
  <si>
    <t>8. ИБП ВЫБРАННОГО ЩИТА (нагрузка шин ИБП, без пожарных)</t>
  </si>
  <si>
    <t>P на выходе, кВт</t>
  </si>
  <si>
    <t>Требуемая S по загрузке, кВА</t>
  </si>
  <si>
    <t>Типоразмер ИБП, кВА</t>
  </si>
  <si>
    <t>Загрузка принятого ИБП</t>
  </si>
  <si>
    <t>Ёмкость АКБ, А·ч</t>
  </si>
  <si>
    <t>Вход ИБП, кВт (на ввод)</t>
  </si>
  <si>
    <t>ТАБЛИЦА НАГРУЗОК ДЛЯ ПОЯСНИТЕЛЬНОЙ ЗАПИСКИ</t>
  </si>
  <si>
    <t>Щит (ВРУ):</t>
  </si>
  <si>
    <t>Весь щит</t>
  </si>
  <si>
    <t>ОСНОВНЫЕ ПОКАЗАТЕЛИ</t>
  </si>
  <si>
    <t>ΔU от ВРУ до шин щита, %</t>
  </si>
  <si>
    <t>Iкз min (1ф) / Iкз max (3ф) на шинах</t>
  </si>
  <si>
    <t>Наименование электроприёмника (вид нагрузки)</t>
  </si>
  <si>
    <t>Итого (сумма строк)</t>
  </si>
  <si>
    <t>Расчётная нагрузка щита: Рр = kп.к·Руст быт·Кс + Ко·Рр сил + Руст пост + Р отоп + 0,7·Р ВНГ (СП 256)</t>
  </si>
  <si>
    <t>Как считается: строка = вид нагрузки (столбец «Вид нагрузки» в «Линиях», пусто — по коду). Кс бытовой нагрузки — по таблице СП 256 по сумме Руст быт ВСЕГО щита, поэтому строки складываются в «Итого». Строка «Расчётная нагрузка» учитывает Ко = 0,9 и kп.к. Пожарные нагрузки не входят (СП 256 п. 7.1.9). Для записки: выберите щит и режим, скопируйте A14:J… и вставьте как значения.</t>
  </si>
  <si>
    <t>КАБЕЛЬНЫЙ ЖУРНАЛ. Для AutoCAD — макрос «Выгрузить журнал» (лёгкий файл для Data Link).</t>
  </si>
  <si>
    <t>Количество кабелей и сечение</t>
  </si>
  <si>
    <t>Запас длины:</t>
  </si>
  <si>
    <t>Кабель (марка, сечение)</t>
  </si>
  <si>
    <t>С запасом, м</t>
  </si>
  <si>
    <t>Спецификация для щита (все — весь объект):</t>
  </si>
  <si>
    <t>все</t>
  </si>
  <si>
    <t>По однолинейке (авто; щит — «Спецификация» D1)</t>
  </si>
  <si>
    <t>ИТОГИ ПО ЩИТАМ (данные под однолинейку)</t>
  </si>
  <si>
    <t xml:space="preserve">  в т. ч. бытовая</t>
  </si>
  <si>
    <t>Кс быт (табл. 7.2)</t>
  </si>
  <si>
    <t>Рр силовой (Σ P·Кс)</t>
  </si>
  <si>
    <t>Руст постоянной</t>
  </si>
  <si>
    <t>Р отопления (Кс 1)</t>
  </si>
  <si>
    <t>Рр ВНГ (×0,7)</t>
  </si>
  <si>
    <t>Кс итог = Рр / Руст</t>
  </si>
  <si>
    <t>Qр = Рр·tg φ</t>
  </si>
  <si>
    <t>квар</t>
  </si>
  <si>
    <t>Sр</t>
  </si>
  <si>
    <t>Iр (по наиб. нагруженной фазе)</t>
  </si>
  <si>
    <t>P L1 / L2 / L3</t>
  </si>
  <si>
    <t>L1р / L2р / L3р (P·Кс итог)</t>
  </si>
  <si>
    <t>Перекос фаз (max−min)/max</t>
  </si>
  <si>
    <t>Наибольший пусковой ток</t>
  </si>
  <si>
    <t>ΔU от ВРУ до шин</t>
  </si>
  <si>
    <t>Iкз min, А</t>
  </si>
  <si>
    <t>Iкз max, кА</t>
  </si>
  <si>
    <t>Карточка слева — для таблицы под однолинейкой выбранного щита (скопируйте B4:D27 как значения). Справа — все щиты объекта.</t>
  </si>
  <si>
    <t>БИРКИ: строка на каждый провод — от автомата до устройства, от устройства до клеммы, от клеммы — кабель к потребителю</t>
  </si>
  <si>
    <t>Откуда</t>
  </si>
  <si>
    <t>Куда</t>
  </si>
  <si>
    <t>ПРОВЕРКА ОБЪЕКТА</t>
  </si>
  <si>
    <t>Перейти</t>
  </si>
  <si>
    <t>ЛИНИЯ (ввод)</t>
  </si>
  <si>
    <t>КАБЕЛЬ (ввод)</t>
  </si>
  <si>
    <t>КАТЕГОРИИ (ввод)</t>
  </si>
  <si>
    <t>СХЕМА (ввод)</t>
  </si>
  <si>
    <t>DWG (заполняет DLN)</t>
  </si>
  <si>
    <t>ЗАМЕЧАНИЯ</t>
  </si>
  <si>
    <t>КАТЕГОРИИ (расчёт)</t>
  </si>
  <si>
    <t>СХЕМА (расчёт)</t>
  </si>
  <si>
    <t>СХЕМА ЩИТА (ввод для каждого щита)</t>
  </si>
  <si>
    <t>ТОЛЬКО ДЛЯ ВРУ / ГРЩ: сеть и питающий кабель (ввод)</t>
  </si>
  <si>
    <t>РЕЗУЛЬТАТ (считается сам)</t>
  </si>
  <si>
    <t>ГАЙД ПО ОДНОЛИНЕЙКЕ v4</t>
  </si>
  <si>
    <t>Одна книга — один объект: все щиты, все линии, все расчёты. Связей между файлами нет. Текст написан по правилам ASD-STE100: одно действие в предложении, один термин — одно значение.</t>
  </si>
  <si>
    <t>Разделы 4–15 — порядок работы. На листах «Объект», «Щиты», «Шины» есть свой короткий гайд. Как и по каким нормам всё считается — лист «Методика».</t>
  </si>
  <si>
    <t>Здание или комплекс. Одна книга = один объект.</t>
  </si>
  <si>
    <t>Электрический щит объекта. Каждый щит — одна строка на листе «Щиты».</t>
  </si>
  <si>
    <t>Щиты!A10</t>
  </si>
  <si>
    <t>ВРУ (корневой щит)</t>
  </si>
  <si>
    <t>Щит без вышестоящего щита в книге: ГРЩ, ВРУ. Для него вводятся данные сети.</t>
  </si>
  <si>
    <t>Отходящая цепь щита. Одна строка на листе «Линии» = одно место схемы.</t>
  </si>
  <si>
    <t>Линии!A3</t>
  </si>
  <si>
    <t>Текст вида «Код.Помещение.№». Пример: R.1.05.4. Код ищется на листе «Коды».</t>
  </si>
  <si>
    <t>Колонка на схеме (шаг 20 мм). На листе A3 — 17 мест (настройка «Таблицы_норм» BF4).</t>
  </si>
  <si>
    <t>Вводной узел</t>
  </si>
  <si>
    <t>Первые места схемы щита (обычно 1–15): вводы, АВР, байпас. Вы рисуете их сами. Строки узла в схеме не рисуются.</t>
  </si>
  <si>
    <t>Линия, которая питает другой щит этой книги. Номер линии = имя щита — фидер найден автоматически.</t>
  </si>
  <si>
    <t>Несколько линий на одном автомате. Автомат стоит в первой строке группы.</t>
  </si>
  <si>
    <t>Дифзащита</t>
  </si>
  <si>
    <t>Ток утечки защиты (УЗО, дифавтомат): 10, 30, 100, 300 мА. Пусто — по коду.</t>
  </si>
  <si>
    <t>Жёлтый столбец</t>
  </si>
  <si>
    <t>Ввод. Вводите данные только сюда.</t>
  </si>
  <si>
    <t>Серый столбец</t>
  </si>
  <si>
    <t>Расчёт. Значение считается само. Служебные столбцы свёрнуты кнопкой «+» над таблицей.</t>
  </si>
  <si>
    <t>ОСТОРОЖНО: Не сортируйте таблицу «Линии». Порядок строк = порядок мест и групп на схеме.</t>
  </si>
  <si>
    <t>ОСТОРОЖНО: Не переименовывайте листы, таблицы и заголовки столбцов. Формулы и программы AutoCAD ищут их по имени.</t>
  </si>
  <si>
    <t>ОСТОРОЖНО: Не вводите данные в серые столбцы и на лист «Однолинейка». Лист «Однолинейка» считается сам.</t>
  </si>
  <si>
    <t>ВНИМАНИЕ: Новую строку добавляйте внутри таблицы: правая кнопка на строке → «Вставить» → «Строки таблицы выше». Формулы продлятся сами.</t>
  </si>
  <si>
    <t>3. ЛИСТЫ</t>
  </si>
  <si>
    <t>Что на нём</t>
  </si>
  <si>
    <t>Все замечания объекта одним списком. Начинайте и заканчивайте работу здесь.</t>
  </si>
  <si>
    <t>Проверка!A1</t>
  </si>
  <si>
    <t>Настройки объекта: методика, kп.к, ток КЗ, Кс силовых, ИБП. Внизу — гайд по настройке.</t>
  </si>
  <si>
    <t>Объект!B1</t>
  </si>
  <si>
    <t>Коды</t>
  </si>
  <si>
    <t>Коды потребителей, УГО, этажи, кабели. Таблицы растут сами.</t>
  </si>
  <si>
    <t>Коды!A3</t>
  </si>
  <si>
    <t>Щиты</t>
  </si>
  <si>
    <t>Щиты объекта: схема (ввод) и результат. Сверху — гайд.</t>
  </si>
  <si>
    <t>Итоги_щитов</t>
  </si>
  <si>
    <t>Карточка щита для таблицы под однолинейкой и сводка по всем щитам.</t>
  </si>
  <si>
    <t>Итоги_щитов!C3</t>
  </si>
  <si>
    <t>Тип шины вручную — только если не определяется сам. Сверху — гайд.</t>
  </si>
  <si>
    <t>Шины!A8</t>
  </si>
  <si>
    <t>Линии</t>
  </si>
  <si>
    <t>Главный лист ввода: все линии всех щитов.</t>
  </si>
  <si>
    <t>Линии!A2</t>
  </si>
  <si>
    <t>Нагрузка щита по вводам: нормальный, аварийный, пожар, категории, ИБП.</t>
  </si>
  <si>
    <t>Таблица нагрузок для пояснительной записки.</t>
  </si>
  <si>
    <t>Расчёт_нагрузок!C4</t>
  </si>
  <si>
    <t>Журнал кабелей (как в v3.12) и сводка по маркам.</t>
  </si>
  <si>
    <t>Кабельный_журнал!A2</t>
  </si>
  <si>
    <t>Однолинейка</t>
  </si>
  <si>
    <t>Расчётный лист для AutoCAD (SXDRAW, SXLAYOUT). Не изменяйте его.</t>
  </si>
  <si>
    <t>Однолинейка!A1</t>
  </si>
  <si>
    <t>Каталог, Спецификация, Спецификация_авто</t>
  </si>
  <si>
    <t>Оборудование и спецификация. Щит — «Спецификация» D1.</t>
  </si>
  <si>
    <t>Спецификация!D1</t>
  </si>
  <si>
    <t>Строка на каждый провод: откуда — куда.</t>
  </si>
  <si>
    <t>Бирки!A3</t>
  </si>
  <si>
    <t>Методика</t>
  </si>
  <si>
    <t>Как считается каждая величина и по какой норме.</t>
  </si>
  <si>
    <t>Таблицы_норм</t>
  </si>
  <si>
    <t>Допустимые токи, сопротивления, номиналы, Кс быт, настройки сети. Обычно не меняют.</t>
  </si>
  <si>
    <t>Заполните лист «Объект» (раздел 5).</t>
  </si>
  <si>
    <t>Объект!C3</t>
  </si>
  <si>
    <t>Внесите щиты на лист «Щиты» (раздел 6).</t>
  </si>
  <si>
    <t>Проверьте коды потребителей на листе «Коды» (раздел 7).</t>
  </si>
  <si>
    <t>Коды!A4</t>
  </si>
  <si>
    <t>Заполните линии на листе «Линии» (раздел 8).</t>
  </si>
  <si>
    <t>Если нужно, задайте тип шины на листе «Шины» (раздел 9).</t>
  </si>
  <si>
    <t>Шины!A9</t>
  </si>
  <si>
    <t>Откройте лист «Проверка» и устраните замечания (раздел 10).</t>
  </si>
  <si>
    <t>Возьмите результаты: «Итоги_щитов», «Режимы», «Расчёт_нагрузок», журнал, бирки (разделы 11–13).</t>
  </si>
  <si>
    <t>Нарисуйте схему в AutoCAD и выпустите спецификацию (разделы 14–15).</t>
  </si>
  <si>
    <t>5. ЛИСТ «ОБЪЕКТ»</t>
  </si>
  <si>
    <t>C3 — введите название и адрес объекта.</t>
  </si>
  <si>
    <t>C8 — методика. Для нового проекта оставьте «нормы 2026».</t>
  </si>
  <si>
    <t>Объект!C8</t>
  </si>
  <si>
    <t>C9 — kп.к. Для частного дома оставьте 1.</t>
  </si>
  <si>
    <t>Объект!C9</t>
  </si>
  <si>
    <t>ПРИМЕЧАНИЕ: Что значит каждая настройка и на что влияет — гайд внизу листа «Объект».</t>
  </si>
  <si>
    <t>6. ЛИСТ «ЩИТЫ»</t>
  </si>
  <si>
    <t>Щит — введите имя щита. Каждый щит — одна строка.</t>
  </si>
  <si>
    <t>Вводов, АВР, ИБП от — введите схему щита.</t>
  </si>
  <si>
    <t>Щиты!C10</t>
  </si>
  <si>
    <t>Мест под вводной узел — сколько первых мест схемы занимает вводной узел (обычно 15).</t>
  </si>
  <si>
    <t>«Питается от» оставьте пусто. Книга найдёт фидер сама. Заполняйте, только если фидера нет в «Линиях».</t>
  </si>
  <si>
    <t>Для ВРУ / ГРЩ введите данные сети: Iкз min и Iкз max от сетевой организации или «ТП» и Sтр.</t>
  </si>
  <si>
    <t>ОСТОРОЖНО: Без данных сети книга не считает ток КЗ и не проверяет отключение 0,4 с ни в одном щите.</t>
  </si>
  <si>
    <t>7. ЛИСТ «КОДЫ»</t>
  </si>
  <si>
    <t>Найдите код в таблице «Коды» (столбец A).</t>
  </si>
  <si>
    <t>Чтобы добавить код, введите его в первую пустую строку под таблицей. Таблица расширится сама.</t>
  </si>
  <si>
    <t>В таблице «УГО» задайте значок, дифзащиту (мА, «да» = 30), минимальный автомат, клеммы 3L.</t>
  </si>
  <si>
    <t>Коды!O4</t>
  </si>
  <si>
    <t>ВНИМАНИЕ: Один код = одно определение на весь объект. Если изменить опуск кода, изменятся длины всех его линий.</t>
  </si>
  <si>
    <t>8. ЛИСТ «ЛИНИИ»</t>
  </si>
  <si>
    <t>Строка = одно место схемы. Щиты разделены линией и цветом. Строки вводного узла подсвечены голубым.</t>
  </si>
  <si>
    <t>Щит — введите щит. Места одного щита ставьте подряд.</t>
  </si>
  <si>
    <t>№ места — оставьте пусто: место будет следующим по порядку, после вводного узла. Число — своё место (пропуск = пустая колонка). «-» — строки нет на схеме.</t>
  </si>
  <si>
    <t>Линии!B3</t>
  </si>
  <si>
    <t>«Лист / место» показывает лист схемы A3 и место на нём. «узел» — строка вводного узла.</t>
  </si>
  <si>
    <t>Линии!C3</t>
  </si>
  <si>
    <t>Номер линии — введите номер. Наименование подставится по коду. Чтобы переписать — введите свой текст в «Наименование».</t>
  </si>
  <si>
    <t>Линии!D3</t>
  </si>
  <si>
    <t>8.5</t>
  </si>
  <si>
    <t>Питает щит — заполняйте, только если номер фидера не совпадает с именем щита.</t>
  </si>
  <si>
    <t>8.6</t>
  </si>
  <si>
    <t>Мощность, кол-во, фазы, напряжение, группа Кс, длины, кабель — введите или оставьте пусто (по коду, по чертежу).</t>
  </si>
  <si>
    <t>8.7</t>
  </si>
  <si>
    <t>Категория надёжности и «Пожарная» — для линий, которым они нужны.</t>
  </si>
  <si>
    <t>8.8</t>
  </si>
  <si>
    <t>Схема: «Автомат» = «авто» в первой строке группы. Дифзащита, аппараты, модуль, канал, клемма — как в v3.12.</t>
  </si>
  <si>
    <t>Линии!AC3</t>
  </si>
  <si>
    <t>8.9</t>
  </si>
  <si>
    <t>Режим: «вручную» — строка только в таблице; «рисовать» — нарисовать строку вводного узла.</t>
  </si>
  <si>
    <t>Автомат = «авто». Клемма пусто (номер по порядку) или своя.</t>
  </si>
  <si>
    <t>Первая строка: «авто». Следующие строки: автомат пусто.</t>
  </si>
  <si>
    <t>Дифзащита 30 / 100 / 300 мА</t>
  </si>
  <si>
    <t>Дифзащита = 30 (100, 300). «нет» — без неё.</t>
  </si>
  <si>
    <t>Шина = имя шины в строке с автоматом.</t>
  </si>
  <si>
    <t>Линия на модуле</t>
  </si>
  <si>
    <t>Модуль = модель в первой строке модуля. «-» — в первой строке после модуля. Канал: пусто — авто, № — вручную.</t>
  </si>
  <si>
    <t>Параллельная линия, резерв, тот же кабель, без клеммы</t>
  </si>
  <si>
    <t>Канал = «=», «р», «+», «б/к».</t>
  </si>
  <si>
    <t>Клемма без номера</t>
  </si>
  <si>
    <t>Клемма = «нет».</t>
  </si>
  <si>
    <t>ПРИМЕЧАНИЕ: Справа серые столбцы: «Замечания», ток, автомат, сечение, ΔU, Iкз, категория. Примечание к заголовку — формула и норма.</t>
  </si>
  <si>
    <t>9. ЛИСТ «ШИНЫ»</t>
  </si>
  <si>
    <t>9.1</t>
  </si>
  <si>
    <t>Обычно лист пустой: имя шины с «ИБП» или «ДГУ» определяется само, иначе — по секции линии.</t>
  </si>
  <si>
    <t>9.2</t>
  </si>
  <si>
    <t>Заполните строку, только если имя шины не говорит о типе (пример: шина «ЩГП» от ИБП).</t>
  </si>
  <si>
    <t>10. ЛИСТ «ПРОВЕРКА»</t>
  </si>
  <si>
    <t>Слева — замечания по щитам. Справа — по линиям. «→» — перейти к строке.</t>
  </si>
  <si>
    <t>Проверка!A4</t>
  </si>
  <si>
    <t>Замечание</t>
  </si>
  <si>
    <t>Что сделать</t>
  </si>
  <si>
    <t>нет данных сети для ТКЗ</t>
  </si>
  <si>
    <t>Введите Iкз от сетевой организации или трансформатор в строке ВРУ на листе «Щиты».</t>
  </si>
  <si>
    <t>ПЕРЕГРУЗ</t>
  </si>
  <si>
    <t>Ток группы больше номинала. Увеличьте автомат или разделите группу.</t>
  </si>
  <si>
    <t>КАБЕЛЬ НЕ ЗАЩИЩЁН</t>
  </si>
  <si>
    <t>категория … не обеспечена</t>
  </si>
  <si>
    <t>Нужен второй ввод с АВР у щита или шина ИБП/ДГУ. Или снизьте требуемую категорию.</t>
  </si>
  <si>
    <t>розетка без дифзащиты до 30 мА</t>
  </si>
  <si>
    <t>Поставьте дифзащиту 30 мА (или 10 мА) на розеточную группу (ПУЭ 7.1.79).</t>
  </si>
  <si>
    <t>Icu … &lt; Iкз max</t>
  </si>
  <si>
    <t>Выберите автомат с большей отключающей способностью.</t>
  </si>
  <si>
    <t>потери … &gt; …</t>
  </si>
  <si>
    <t>Увеличьте сечение или сократите длину.</t>
  </si>
  <si>
    <t>не на схеме</t>
  </si>
  <si>
    <t>Уберите «-» из № места или удалите строку.</t>
  </si>
  <si>
    <t>11. ЛИСТЫ «ИТОГИ_ЩИТОВ» И «РЕЖИМЫ»</t>
  </si>
  <si>
    <t>«Итоги_щитов» C3 — выберите щит. Карточка B4:D27 — данные под однолинейку (Руст, Кс, Рр, cos φ, Iр, фазы).</t>
  </si>
  <si>
    <t>Справа на «Итогах_щитов» — все щиты объекта одной таблицей.</t>
  </si>
  <si>
    <t>«Режимы» C3 — выберите щит. Смотрите нормальный, аварийный, пожар; блок 7 — кВт по категориям для ТУ; блок 8 — ИБП.</t>
  </si>
  <si>
    <t>ПРИМЕЧАНИЕ: Пожарные нагрузки не входят в расчётный максимум (СП 256 п. 7.1.9).</t>
  </si>
  <si>
    <t>12. ЛИСТ «РАСЧЁТ_НАГРУЗОК» (ДЛЯ ПОЯСНИТЕЛЬНОЙ ЗАПИСКИ)</t>
  </si>
  <si>
    <t>C3 — объект. C4 — щит. C5 — режим: весь щит или секция.</t>
  </si>
  <si>
    <t>Скопируйте таблицу и основные показатели в пояснительную записку как значения.</t>
  </si>
  <si>
    <t>13. ЖУРНАЛ И БИРКИ</t>
  </si>
  <si>
    <t>«Кабельный_журнал»: маркировка, трасса, кабель по проекту. «Проложено», испытания, дата — заполняют на монтаже.</t>
  </si>
  <si>
    <t>P2 — запас длины для сводки по маркам кабеля (0,2 = 20 %).</t>
  </si>
  <si>
    <t>Кабельный_журнал!P2</t>
  </si>
  <si>
    <t>Для AutoCAD запустите макрос «Выгрузить журнал». В Data Link укажите этот лёгкий файл.</t>
  </si>
  <si>
    <t>«Бирки»: строка на каждый провод — от автомата к устройству, от устройства к клемме, от клеммы — кабель.</t>
  </si>
  <si>
    <t>14. СХЕМА В AUTOCAD</t>
  </si>
  <si>
    <t>Выполните SXDRAW. Выберите эту книгу, лист «Однолинейка», щит. Один щит — один чертёж.</t>
  </si>
  <si>
    <t>После правки книги выполните SXUPDATE. Компоновка щита — SXLAYOUT.</t>
  </si>
  <si>
    <t>Вводной узел нарисуйте сами. Строку узла можно нарисовать: Режим = «рисовать».</t>
  </si>
  <si>
    <t>15. СПЕЦИФИКАЦИЯ</t>
  </si>
  <si>
    <t>«Спецификация» D1 — выберите щит или «все».</t>
  </si>
  <si>
    <t>Проверьте «Каталог»: N — по схеме выбранного щита, O — запас вручную.</t>
  </si>
  <si>
    <t>Нажмите «Обновить спецификацию» (макрос SX_Spec). Источник — лист «Спецификация_авто».</t>
  </si>
  <si>
    <t>Спецификация_авто!A1</t>
  </si>
  <si>
    <t>16. ГДЕ ПОДРОБНЕЕ</t>
  </si>
  <si>
    <t>Лист «Методика» и документ 4_Инструкции/Методика_расчёта.md — формулы, нормы, проверка по нормам РФ. Пример со всеми случаями — «Однолинейка_v4_пример_все_случаи.xlsx».</t>
  </si>
  <si>
    <t>Методика расчёта однолинейки и проверка по нормам РФ</t>
  </si>
  <si>
    <t>Версия книги: v3.12 → v4. Дата проверки: 03.10.2026, дополнено 04.10.2026.</t>
  </si>
  <si>
    <t>Пояснительная записка (ПЗ) — текстовая часть проекта; в книге v4 сокращение «ПЗ» не используется.</t>
  </si>
  <si>
    <t>Документ описывает каждый расчёт книги: формулу, исходные данные, место в книге, норму и вердикт. Он же — техническое задание на v4: раздел «В v4» у каждого расчёта говорит, что исправить.</t>
  </si>
  <si>
    <t>Как читать вердикт у каждого расчёта:</t>
  </si>
  <si>
    <t>•  ✅ соответствует — книга считает так, как требует норма. Ничего делать не нужно.</t>
  </si>
  <si>
    <t>•  ⚠️ упрощение / уточнить — расчёт допустим, но упрощён (например, не учтено сопротивление дуги) или зависит от решения инженера (например, какой Кс принять). Что именно упрощено — в столбце «Суть», что сделано или надо сделать — в столбце «В v4». Результат пользоваться можно, но прочитайте пояснение.</t>
  </si>
  <si>
    <t>•  ❌ расхождение — книга v3.12 могла дать результат не по норме. В v4 это исправлено или вынесено в проверку (лист «Проверка»).</t>
  </si>
  <si>
    <t>Нормы и редакции, по которым проверено:</t>
  </si>
  <si>
    <t>Документ</t>
  </si>
  <si>
    <t>Редакция</t>
  </si>
  <si>
    <t>Что из него берём</t>
  </si>
  <si>
    <t>ПУЭ, 7-е изд.</t>
  </si>
  <si>
    <t>гл. 1.2, 1.3, 1.7</t>
  </si>
  <si>
    <t>категории, допустимые токи, автоматическое отключение</t>
  </si>
  <si>
    <t>СП 256.1325800.2016</t>
  </si>
  <si>
    <t>ред. 01.03.2022 (изм. 1–5) + Изменение № 6 (2023) + Изменение № 9 (введено 26.01.2026)</t>
  </si>
  <si>
    <t>расчётные нагрузки, потери напряжения, КРМ, схемы</t>
  </si>
  <si>
    <t>ГОСТ Р 50571.4.43-2012</t>
  </si>
  <si>
    <t>защита от сверхтока: Iр ≤ In ≤ Iдоп, термическая стойкость</t>
  </si>
  <si>
    <t>ГОСТ Р 50571.5.52-2011</t>
  </si>
  <si>
    <t>потери напряжения (прил. G), способы прокладки, поправочные коэффициенты</t>
  </si>
  <si>
    <t>ГОСТ 31996-2012</t>
  </si>
  <si>
    <t>допустимые токи кабелей с ПВХ-изоляцией (ВВГнг и т. п.)</t>
  </si>
  <si>
    <t>ГОСТ 28249-93</t>
  </si>
  <si>
    <t>токи КЗ в установках до 1 кВ</t>
  </si>
  <si>
    <t>ГОСТ IEC 60898-1</t>
  </si>
  <si>
    <t>зоны мгновенного расцепления B / C / D</t>
  </si>
  <si>
    <t>СП 6.13130.2021</t>
  </si>
  <si>
    <t>электроснабжение систем противопожарной защиты</t>
  </si>
  <si>
    <t>ВНИМАНИЕ: формулировки Изменения № 9 к СП 256 проверены по пересказу официального текста. Перед внедрением в v4 сверьте табл. 7.2 и подраздел 7.5 с официальной публикацией.</t>
  </si>
  <si>
    <t>---</t>
  </si>
  <si>
    <t>1. Сводка проверки</t>
  </si>
  <si>
    <t>Расчёт</t>
  </si>
  <si>
    <t>Вердикт</t>
  </si>
  <si>
    <t>Суть</t>
  </si>
  <si>
    <t>В v4</t>
  </si>
  <si>
    <t>Ток линии</t>
  </si>
  <si>
    <t>✅</t>
  </si>
  <si>
    <t>I = P / (U·cos φ)</t>
  </si>
  <si>
    <t>без изменений</t>
  </si>
  <si>
    <t>cos φ линии</t>
  </si>
  <si>
    <t>⚠️</t>
  </si>
  <si>
    <t>по умолчанию 0,95 для всех, кроме кодов «двигатель»</t>
  </si>
  <si>
    <t>cos φ по типу нагрузки (СП 256 п. 7.1.12: насосы и вентиляция 0,8)</t>
  </si>
  <si>
    <t>Автомат линии по току</t>
  </si>
  <si>
    <t>ближайший стандартный с Iр ≤ 0,9·In (запас 10 %)</t>
  </si>
  <si>
    <t>без изменений, запас вынести в настройку</t>
  </si>
  <si>
    <t>Сечение кабеля</t>
  </si>
  <si>
    <t>ПУЭ табл. 1.3.7 (подписано «1.3.6»), один общий К прокладки</t>
  </si>
  <si>
    <t>ГОСТ 31996 / паспорт производителя, способ прокладки и коэффициенты по ГОСТ Р 50571.5.52</t>
  </si>
  <si>
    <t>Согласование автомат ↔ кабель</t>
  </si>
  <si>
    <t>In ≤ Iдоп·k, проверка «кабель не защищён»</t>
  </si>
  <si>
    <t>Длина линии</t>
  </si>
  <si>
    <t>✅ (проектный приём)</t>
  </si>
  <si>
    <t>план + опуски + подъём на этаж</t>
  </si>
  <si>
    <t>Потери напряжения</t>
  </si>
  <si>
    <t>формула ГОСТ Р 50571.5.52 прил. G, пределы 3 % / 4 % СП 256 п. 8.23</t>
  </si>
  <si>
    <t>добавить +0,005 %/м после 100 м и проверку 7,5 % от ТП</t>
  </si>
  <si>
    <t>Iкз min, отключение 0,4 с</t>
  </si>
  <si>
    <t>без сопротивления дуги, PE = фазе, только медь</t>
  </si>
  <si>
    <t>дуга по ГОСТ 28249, сечение PE, алюминий</t>
  </si>
  <si>
    <t>Iкз max, отключающая способность</t>
  </si>
  <si>
    <t>❌</t>
  </si>
  <si>
    <t>Iкз max считается, но с Icu аппарата не сравнивается</t>
  </si>
  <si>
    <t>автоматическая проверка Icu ≥ Iкз max</t>
  </si>
  <si>
    <t>Кс бытовой нагрузки</t>
  </si>
  <si>
    <t>⚠️ / ❌</t>
  </si>
  <si>
    <t>табл. 7.2 верна, но отопление и тёплые полы снижаются Кс (по Изм. 9 — отдельно, Кс 1 и 0,7)</t>
  </si>
  <si>
    <t>группы «Отопление» и «ВНГ / тёплый пол»</t>
  </si>
  <si>
    <t>Кс силовой нагрузки</t>
  </si>
  <si>
    <t>вводится вручную (в объекте ЖД везде 0,5)</t>
  </si>
  <si>
    <t>автоматически по табл. 7.5 по числу электроприёмников</t>
  </si>
  <si>
    <t>Ко = 0,9</t>
  </si>
  <si>
    <t>применяется к любому щиту, в т. ч. чисто силовому</t>
  </si>
  <si>
    <t>только там, где сходятся квартиры и силовая нагрузка (ВРУ дома)</t>
  </si>
  <si>
    <t>kп.к (региональный)</t>
  </si>
  <si>
    <t>отсутствует (СП 256 формула 6, табл. 7.5а: ЦФО 0,81)</t>
  </si>
  <si>
    <t>настройка объекта + решение о применимости</t>
  </si>
  <si>
    <t>Пожарные нагрузки</t>
  </si>
  <si>
    <t>не входят в расчётный максимум (СП 256 п. 7.1.9)</t>
  </si>
  <si>
    <t>исправить ссылку (в книге — СП 31-110)</t>
  </si>
  <si>
    <t>cos φ и Iр щита</t>
  </si>
  <si>
    <t>cos φ щита — средневзвешенный по P, а не через Q</t>
  </si>
  <si>
    <t>Q = Σ P·tg φ, cos φ = P / S</t>
  </si>
  <si>
    <t>СП 256 п. 7.3.1–7.3.2: не требуется при ≤ 50 квар на ввод</t>
  </si>
  <si>
    <t>Категории надёжности</t>
  </si>
  <si>
    <t>ПУЭ 1.2.17–1.2.21, СП 256 табл. 6.1, п. 6.13, 8.10</t>
  </si>
  <si>
    <t>Питающая линия щита</t>
  </si>
  <si>
    <t>uк трансформатора 5,5 % константой, Y/Yн — «×3»</t>
  </si>
  <si>
    <t>uк и Zт(1) из паспорта трансформатора</t>
  </si>
  <si>
    <t>Лист «ТКЗ»</t>
  </si>
  <si>
    <t>старый расчёт (220 / Z, без коэффициентов), в основной не входит</t>
  </si>
  <si>
    <t>удалить, всё считает «Питание_щита»</t>
  </si>
  <si>
    <t>Запас кабеля 20 % в журнале</t>
  </si>
  <si>
    <t>не норма, проектный приём</t>
  </si>
  <si>
    <t>настройка объекта</t>
  </si>
  <si>
    <t>2. Исходные данные линии и значения «по коду»</t>
  </si>
  <si>
    <t>Одна линия = одна строка «Исходных данных». Номер линии имеет вид Код.Помещение.№ (пример: K.1.002A.1).</t>
  </si>
  <si>
    <t>Код (часть до первой точки) ищется в «Справочной» P4:P51. Из строки кода берутся значения по умолчанию:</t>
  </si>
  <si>
    <t>Что</t>
  </si>
  <si>
    <t>Столбец кода в «Справочной»</t>
  </si>
  <si>
    <t>Куда идёт</t>
  </si>
  <si>
    <t>Q</t>
  </si>
  <si>
    <t>«Исходные данные» B</t>
  </si>
  <si>
    <t>длина линии</t>
  </si>
  <si>
    <t>Этаж / шлейф</t>
  </si>
  <si>
    <t>S</t>
  </si>
  <si>
    <t>способ подписи и подъём на этаж</t>
  </si>
  <si>
    <t>Тип пускового тока: 1 — нет, 2 — двигатель, 3 — светодиоды</t>
  </si>
  <si>
    <t>T</t>
  </si>
  <si>
    <t>cos φ и Iпуск</t>
  </si>
  <si>
    <t>Марка кабеля, жилы, напряжение, фазы, сечение</t>
  </si>
  <si>
    <t>U, V, W, X, Y</t>
  </si>
  <si>
    <t>N, O, F, H, Q</t>
  </si>
  <si>
    <t>Вид нагрузки (строка таблицы для пояснительной записки)</t>
  </si>
  <si>
    <t>«Исходные данные» BE</t>
  </si>
  <si>
    <t>AZ</t>
  </si>
  <si>
    <t>«Исходные данные» BC</t>
  </si>
  <si>
    <t>BD</t>
  </si>
  <si>
    <t>«Исходные данные» BQ</t>
  </si>
  <si>
    <t>УГО, 30 мА, мин. автомат, клемм 3L</t>
  </si>
  <si>
    <t>AV, AW, AX, AY</t>
  </si>
  <si>
    <t>«Однолинейка»</t>
  </si>
  <si>
    <t>Ручной ввод в «Исходных данных» всегда важнее значения по коду.</t>
  </si>
  <si>
    <t>3. Ток линии</t>
  </si>
  <si>
    <t>Формула ('Исходные данные'!T):</t>
  </si>
  <si>
    <t>•  однофазная линия: I = P / (Uф · cos φ), где Uф = Uн / √3 = 0,4 / 1,732 = 0,231 кВ;</t>
  </si>
  <si>
    <t>•  трёхфазная линия: I = P / (√3 · Uн · cos φ), Uн = 0,4 кВ.</t>
  </si>
  <si>
    <t>P — кВт, U — кВ, I — А. Uн берётся из «Справочной» BQ29.</t>
  </si>
  <si>
    <t>Для линии, которая питает нижестоящий щит, ток берётся из файла этого щита («Нижестоящие_щиты» J).</t>
  </si>
  <si>
    <t>Норма: закон Ома для активной мощности, без особых требований. Вердикт: ✅.</t>
  </si>
  <si>
    <t>cos φ линии ('Исходные данные'!P)</t>
  </si>
  <si>
    <t>•  код с типом «двигатель» (T = 2): cos φ по мощности из «Справочная_потребители» B:K (3ф — столбец I, 1ф — столбец K);</t>
  </si>
  <si>
    <t>•  все остальные: 0,95;</t>
  </si>
  <si>
    <t>•  фидер нижестоящего щита: cos φ из его файла.</t>
  </si>
  <si>
    <t>Норма: СП 256 п. 7.1.12 даёт коэффициенты мощности питающих линий: квартиры с электроплитами 0,98 (с кондиционерами 0,93), с газовыми плитами 0,96 (0,92), хозяйственные насосы, вентиляционные установки и другие сантехнические устройства — 0,8.</t>
  </si>
  <si>
    <t>Вердикт: ⚠️. Вентиляция, ККБ и насосы с кодом не «двигатель» получают 0,95. Ток таких линий занижен до 16 % (0,95 / 0,8 = 1,19).</t>
  </si>
  <si>
    <t>В v4: cos φ по типу нагрузки из справочника кодов; значение 0,8 для вентиляции и насосов по умолчанию.</t>
  </si>
  <si>
    <t>4. Аппарат защиты</t>
  </si>
  <si>
    <t>4.1 Номинал по току линии ('Исходные данные'!U)</t>
  </si>
  <si>
    <t>In = наименьший номинал ряда, для которого Iр ≤ 0,9 · In.</t>
  </si>
  <si>
    <t>Таблица «Справочная» F4:G23: пороги тока = 0,9 × предыдущего номинала (6 А до 5,4 А; 10 А до 9 А; 16 А до 14,4 А …).</t>
  </si>
  <si>
    <t>Если введён автомат вручную (R), берётся он.</t>
  </si>
  <si>
    <t>Норма: ГОСТ Р 50571.4.43, п. 433.1: Iр ≤ In ≤ Iдоп. Запас 10 % нормой не требуется, это проектный запас.</t>
  </si>
  <si>
    <t>Вердикт: ✅ (в запас).</t>
  </si>
  <si>
    <t>4.2 Групповой автомат (Однолинейка!Z:AU)</t>
  </si>
  <si>
    <t>Если на один автомат подключено несколько линий (группа), номинал считается так:</t>
  </si>
  <si>
    <t>1. Ток группы Z = сумма токов линий группы (линии «в тот же кабель» не суммируются).</t>
  </si>
  <si>
    <t>2. Номинал по току AA — по той же таблице с запасом 10 %.</t>
  </si>
  <si>
    <t>3. Минимальный номинал по типу BB = больший из: автомат вручную («Исходные данные» R) и минимальный автомат кода («Справочная» AX).</t>
  </si>
  <si>
    <t>4. Номинал AO = max(AA, max BB по группе).</t>
  </si>
  <si>
    <t>5. Если в группе есть блок питания или трансформатор — не меньше «Справочная» BF5.</t>
  </si>
  <si>
    <t>6. Итог AU берётся из текста автомата (H), например «1P С16А» → 16.</t>
  </si>
  <si>
    <t>Проверки (Однолинейка!W):</t>
  </si>
  <si>
    <t>•  «ПЕРЕГРУЗ», если ток группы &gt; In;</t>
  </si>
  <si>
    <t>•  «КАБЕЛЬ НЕ ЗАЩИЩЁН», если In &gt; наименьшего «максимального автомата по кабелю» среди линий группы (AB, AP). Проверка не делается за БП / трансформатором.</t>
  </si>
  <si>
    <t>Вердикт: ✅. Требование Iр ≤ In ≤ Iдоп (ГОСТ Р 50571.4.43, п. 433.1) выполнено. Условие I2 ≤ 1,45·Iдоп для модульных автоматов по ГОСТ IEC 60898-1 выполняется автоматически (I2 = 1,45·In).</t>
  </si>
  <si>
    <t>ПРИМЕЧАНИЕ: сечение линии подбирается по её собственному автомату (4.1), а не по групповому. Если групповой автомат больше, сработает проверка «КАБЕЛЬ НЕ ЗАЩИЩЁН». Это правильно, но в v4 сечение лучше подбирать сразу по групповому автомату.</t>
  </si>
  <si>
    <t>4.3 Полюса и 30 мА (Однолинейка!AR:AT)</t>
  </si>
  <si>
    <t>•  30 мА: текст автомата содержит «мА», или F = «да», или хотя бы у одной линии группы код требует 30 мА («Справочная» AW); F = «нет» отменяет.</t>
  </si>
  <si>
    <t>•  Полюса: 3ф — 3P (с 30 мА 4P), 1ф — 1P (с 30 мА 2P).</t>
  </si>
  <si>
    <t>•  Предупреждение «розетка без 30 мА» для кода R.</t>
  </si>
  <si>
    <t>Норма: ПУЭ 7.1.79 и СП 256 (применение ВДТ для розеточных сетей). Вердикт: ✅.</t>
  </si>
  <si>
    <t>5. Сечение кабеля ('Исходные данные'!V)</t>
  </si>
  <si>
    <t>Алгоритм:</t>
  </si>
  <si>
    <t>1. Требуемый допустимый ток: Iтреб = In / (k_жил · К_прокл).</t>
  </si>
  <si>
    <t>•  k_жил = 0,92 для 3ф кабеля с 4–5 жилами, иначе 1;</t>
  </si>
  <si>
    <t>•  К_прокл — из «Исходные данные» BH, иначе общий («Справочная» BQ30, сейчас 1).</t>
  </si>
  <si>
    <t>2. Столбец таблицы: одножильные (O = 1), двухжильные (1ф, нагружены L и N), трёхжильные (3ф).</t>
  </si>
  <si>
    <t>3. Берётся наименьшее сечение с Iдоп ≥ Iтреб. Больше 240 мм² — «Не исп».</t>
  </si>
  <si>
    <t>4. Сечение вручную (Q) важнее расчёта.</t>
  </si>
  <si>
    <t>Таблица («Справочная» BX:CA) — медь, прокладка в воздухе. Значения совпадают с ПУЭ табл. 1.3.7 (кабели с медными жилами в ПВХ / резиновой оболочке): 1,5 мм² — 23 / 19 / 19 А; 2,5 — 30 / 27 / 25 А; 25 — 140 / 115 / 95 А и т. д. В книге таблица подписана «ПУЭ табл. 1.3.6» — это ошибка подписи. Коэффициент 0,92 для четырёхжильных кабелей — ПУЭ п. 1.3.10.</t>
  </si>
  <si>
    <t>Норма: ГОСТ Р 50571.4.43 (In ≤ Iдоп); допустимые токи кабелей с ПВХ-изоляцией по ГОСТ 31996-2012 или по документации изготовителя; поправки на способ прокладки, группу и температуру — ГОСТ Р 50571.5.52.</t>
  </si>
  <si>
    <t>Вердикт: ⚠️.</t>
  </si>
  <si>
    <t>•  Таблица ПУЭ 1.3.7 исторически для резиновой изоляции. Для ВВГнг и ППГнг первичны данные изготовителя, затем ГОСТ 31996-2012, затем ГОСТ Р 50571.5.52.</t>
  </si>
  <si>
    <t>•  Поправочные коэффициенты на совместную прокладку (группу) и температуру не учитываются: только один общий К прокладки на линию. При пучке кабелей в лотке результат может быть завышен.</t>
  </si>
  <si>
    <t>•  Алюминиевые жилы не поддерживаются.</t>
  </si>
  <si>
    <t>В v4: таблица допустимых токов по ГОСТ 31996 (медь и алюминий, воздух и земля); способ прокладки на линию; коэффициент группы и температуры по ГОСТ Р 50571.5.52; подпись источника в заголовке.</t>
  </si>
  <si>
    <t>6. Длина линии ('Исходные данные'!M)</t>
  </si>
  <si>
    <t>L = Опуск · (2·n − 1) + Lплан + Подъём_этажа + По_другим_этажам</t>
  </si>
  <si>
    <t>•  Опуск — «Справочная» R по коду (м), n — число потребителей G: к каждому потребителю кабель опускается и поднимается, кроме последнего;</t>
  </si>
  <si>
    <t>•  Lплан — «Исходные данные» I (заполняет DLN.lsp из чертежа);</t>
  </si>
  <si>
    <t>•  подъём — «Справочная» AF:AG по этажу (только для кодов «этаж»).</t>
  </si>
  <si>
    <t>Разбивка по способу прокладки: лоток J, гофра ПВХ K, гофра ПНД L (K, L — из чертежа минус 4 м на опуски).</t>
  </si>
  <si>
    <t>Норма: не нормируется, проектный приём. Вердикт: ✅.</t>
  </si>
  <si>
    <t>7. Потери напряжения ('Исходные данные'!AA:AB, BG)</t>
  </si>
  <si>
    <t>Формула (ГОСТ Р 50571.5.52, прил. G):</t>
  </si>
  <si>
    <t>ΔU = b · (ρ · L / S · cos φ + x · L · sin φ / 1000) · I, В</t>
  </si>
  <si>
    <t>•  b = 2 для однофазной линии (фаза + нейтраль), 1 для трёхфазной;</t>
  </si>
  <si>
    <t>•  ρ = 0,0225 Ом·мм²/м — медь при рабочей температуре (1,25·ρ20), «Справочная» D;</t>
  </si>
  <si>
    <t>•  x — индуктивное сопротивление, Ом/км, по сечению («Справочная» C, 0,13…0,059);</t>
  </si>
  <si>
    <t>•  L — м, S — мм², I — А.</t>
  </si>
  <si>
    <t>ΔU% = ΔU / Uф · 100 (Uф = 231 В). Для трёхфазной линии это равно отношению линейных величин.</t>
  </si>
  <si>
    <t>Итог от ВРУ (BG) = ΔU линии + ΔU от ВРУ до шин щита («Питание_щита» стр. 33).</t>
  </si>
  <si>
    <t>Пределы (BF): светильники — 3 %, прочие — 4 %.</t>
  </si>
  <si>
    <t>Норма: СП 256 п. 8.23: потери от ВРУ здания до наиболее удалённых светильников не более 3 %, до прочих потребителей не более 4 %. При длине более 100 м допускается +0,005 % на каждый метр сверх 100, но не более +0,5 %. Суммарно от шин 0,4 кВ ТП до наиболее удалённого светильника — не более 7,5 %. (ГОСТ Р 50571.5.52 табл. G.52.1 даёт 3 % / 5 % — СП 256 строже, книга берёт СП 256.)</t>
  </si>
  <si>
    <t>Вердикт: ✅ формула и пределы. Не реализованы: надбавка за длину &gt; 100 м (в запас) и проверка 7,5 % от ТП.</t>
  </si>
  <si>
    <t>В v4: надбавка 0,005 %/м; ΔU внешней сети (от ТП до ВРУ) как исходное данное объекта и проверка 7,5 %.</t>
  </si>
  <si>
    <t>8. Токи КЗ и автоматическое отключение</t>
  </si>
  <si>
    <t>8.1 Сопротивление петли на шинах щита (Питание_щита!C34)</t>
  </si>
  <si>
    <t>•  если щит связан с вышестоящим: Zшин = Zшин вышестоящего (по связи) + Rпер;</t>
  </si>
  <si>
    <t>•  если щит — ВРУ от ТП: Zт = uк · Uн² / Sт (uк = 5,5 %, для Y/Yн ×3) + петля питающего кабеля + Rпер;</t>
  </si>
  <si>
    <t>•  если известен Iкз min от сетевой организации: Z = c_min · Uф / Iкз min.</t>
  </si>
  <si>
    <t>Петля питающего кабеля: 2 · ρкз · L / (S · n), ρкз(Cu) = 0,0263, ρкз(Al) = 0,042 Ом·мм²/м (≈1,5·ρ20).</t>
  </si>
  <si>
    <t>Rпер = 0,015 Ом на каждый щит («Питание_щита» C53).</t>
  </si>
  <si>
    <t>8.2 Iкз min в конце линии ('Исходные данные'!BL, BI)</t>
  </si>
  <si>
    <t>Zпетли = Zшин + 2 · ρкз(Cu) · L / S</t>
  </si>
  <si>
    <t>Iкз min = c_min · Uф / Zпетли, c_min = 0,95.</t>
  </si>
  <si>
    <t>8.3 Проверка отключения ('Исходные данные'!BJ, BK)</t>
  </si>
  <si>
    <t>Iкз min / In ≥ 5 (характеристика B), ≥ 10 (C), ≥ 20 (D) → «ok». Иначе «ok (УЗО 30 мА)», если у группы есть 30 мА, или «мало».</t>
  </si>
  <si>
    <t>Нормы:</t>
  </si>
  <si>
    <t>•  ПУЭ п. 1.7.79, табл. 1.7.1: время автоматического отключения в системе TN при Uф = 220 В — не более 0,4 с для групповых цепей; для распределительных цепей — не более 5 с;</t>
  </si>
  <si>
    <t>•  ГОСТ IEC 60898-1: зона мгновенного расцепления B — 3…5·In, C — 5…10·In, D — 10…20·In. Книга берёт верхнюю границу (в запас);</t>
  </si>
  <si>
    <t>•  ГОСТ 28249-93: п. 2.4.2 — нагрев проводников при КЗ, коэффициент 1,5 допускается при приближённых расчётах (совпадает с ρкз); п. 1.5 — рекомендуется учитывать сопротивление дуги и нагрев; п. 2.6 — переходные сопротивления контактов: 0,1 мОм на кабельное соединение, 1,0 мОм на коммутационный аппарат.</t>
  </si>
  <si>
    <t>•  Сопротивление дуги не учитывается: расчётный Iкз min получается выше реального. Это не в запас.</t>
  </si>
  <si>
    <t>•  Rпер 15 мОм на щит взят из справочной практики, а не из ГОСТ 28249. Частично компенсирует отсутствие дуги.</t>
  </si>
  <si>
    <t>•  Сечение PE принимается равным сечению фазы. Для кабелей с уменьшенным PE (например, 4×95+1×50) петля занижена.</t>
  </si>
  <si>
    <t>•  Индуктивное сопротивление линий не учитывается (существенно только от 50–70 мм²).</t>
  </si>
  <si>
    <t>•  В линиях только медь.</t>
  </si>
  <si>
    <t>•  c_min = 0,95 взят из МЭК 60909-0 (коэффициент напряжения для минимального тока КЗ в сетях до 1 кВ), в ГОСТ 28249 такого коэффициента нет. Допустимо.</t>
  </si>
  <si>
    <t>В v4: сопротивление дуги по ГОСТ 28249; сечение PE отдельно; материал жил; x линии от 35 мм².</t>
  </si>
  <si>
    <t>8.4 Iкз max и отключающая способность ('Исходные данные'!BM, Питание_щита!C36)</t>
  </si>
  <si>
    <t>Iкз max = 1,05 · Uф / (Zшин(3ф) + ρ20 · L / S), ρ20 = 0,0175.</t>
  </si>
  <si>
    <t>Норма: ГОСТ Р 50571.4.43 и СП 256 (в линиях I категории аппараты проверяются по режиму КЗ, ГОСТ IEC 60898-2 п. 8.8): отключающая способность аппарата ≥ Iкз max в месте установки.</t>
  </si>
  <si>
    <t>Вердикт: ❌. Iкз max считается, но с отключающей способностью (Icu, например 6 кА) не сравнивается. Сравнение оставлено инженеру (подсказка на «Питание_щита» стр. 36).</t>
  </si>
  <si>
    <t>В v4: Icu аппарата в «Каталоге»; автоматическая проверка Icu ≥ Iкз max на шинах.</t>
  </si>
  <si>
    <t>8.5 Данные для ТКЗ в объекте ЖД</t>
  </si>
  <si>
    <t>ВНИМАНИЕ: в объекте ЖД ТКЗ не считаются ни в одном щите. В ГРЩ‑ЖД на «Питание_щита» не введены Iкз от сетевой организации или данные трансформатора. Поэтому Zшин пусты, и столбцы BI:BM (Iкз, отключение 0,4 с) у всех нижних щитов пустые. Запросите у сетевой организации Iкз min / max на вводе и введите их в ГРЩ, раздел 2.</t>
  </si>
  <si>
    <t>9. Расчётная нагрузка щита (Нагрузка_щитов!AE:AH)</t>
  </si>
  <si>
    <t>9.1 Группы нагрузки</t>
  </si>
  <si>
    <t>Что относится</t>
  </si>
  <si>
    <t>Как считается</t>
  </si>
  <si>
    <t>розетки, свет, кондиционеры, тёплый пол, бытовые щиты</t>
  </si>
  <si>
    <t>Кс по табл. СП 256 по сумме Руст быт щита</t>
  </si>
  <si>
    <t>вентиляция, насосы, пищеблок, бассейн, хаммам</t>
  </si>
  <si>
    <t>Кс своей линии («Исходные данные» BA; пусто = 1), затем × Ко</t>
  </si>
  <si>
    <t>обогрев кровли, слаботочные шкафы, АСУ, СПЗ</t>
  </si>
  <si>
    <t>Кс = 1, без Ко</t>
  </si>
  <si>
    <t>вводы, резерв, транзит</t>
  </si>
  <si>
    <t>не учитывается</t>
  </si>
  <si>
    <t>фидер нижестоящего щита</t>
  </si>
  <si>
    <t>составляющие берутся из файла щита</t>
  </si>
  <si>
    <t>9.2 Формула</t>
  </si>
  <si>
    <t>Рр = Руст.быт · Кс.быт + Ко · Σ(Pсил · Кс) + Руст.пост, Ко = 0,9 («Справочная» BQ14).</t>
  </si>
  <si>
    <t>Кс быт — линейная интерполяция по таблице «Справочная» BP4:BQ11:</t>
  </si>
  <si>
    <t>≤14</t>
  </si>
  <si>
    <t>0,8</t>
  </si>
  <si>
    <t>0,65</t>
  </si>
  <si>
    <t>0,6</t>
  </si>
  <si>
    <t>0,55</t>
  </si>
  <si>
    <t>Считается для всего щита (аварийный режим) и по секциям 1 и 2. «Кс итоговый» = Рр / Руст.</t>
  </si>
  <si>
    <t>•  СП 256 табл. 7.2 (Кс для квартир повышенной комфортности по заявленной мощности) — значения совпадают ✅;</t>
  </si>
  <si>
    <t>•  СП 256 табл. 7.1, прим. 4 и 11: квартиры повышенной комфортности — по заданию или по заявленной мощности с Кс (табл. 7.2) и Ко (табл. 7.3); одноквартирный дом 55–300 м² — по удельным нагрузкам табл. 7.1;</t>
  </si>
  <si>
    <t>•  СП 256 п. 7.1.10, формула (6): Рр.ж.д = kп.к · Ркв + 0,9 · Рс; kп.к — табл. 7.5а (ЦФО 0,81, СЗФО 0,91 …);</t>
  </si>
  <si>
    <t>•  СП 256 п. 7.1.8, табл. 7.5: Кс для сантехнического оборудования и холодильных машин по числу электроприёмников (доля 100–85 %: 2 — 1,0; 3 — 0,9; 5 — 0,8; 8 — 0,75; 10 — 0,7; 15–20 — 0,65; 30 — 0,6; 50–100 — 0,55; 200 — 0,5; резервные не учитываются);</t>
  </si>
  <si>
    <t>•  Изменение № 9 к СП 256 (с 26.01.2026): к нагрузке квартир (домов) повышенной комфортности электроотопление прибавляется отдельно с Кс = 1, электроводонагреватели (и, по пересказу, тёплые полы) — с коэффициентом 0,7. Новый подраздел 7.5 — расчёт для ОИЖС (формула 17, табл. 7.19: 1 дом — 12 кВт с газовой плитой, 16,2 кВт с электроплитой + отопление, ВНГ, обогрев кровли отдельными слагаемыми).</t>
  </si>
  <si>
    <t>Вердикт:</t>
  </si>
  <si>
    <t>•  Кс быт по табл. 7.2 — ✅;</t>
  </si>
  <si>
    <t>•  отопление и тёплые полы в группе «Быт» снижаются табличным Кс — ❌ по Изм. 9 (должны идти отдельно с 1 и 0,7);</t>
  </si>
  <si>
    <t>•  Кс силовой нагрузки вводится вручную — ⚠️ (в объекте ЖД у всех линий ЩОВ‑001 стоит 0,5; по табл. 7.5 для 34 электроприёмников ≈ 0,59);</t>
  </si>
  <si>
    <t>•  Ко = 0,9 применяется на любом щите — ⚠️: по формуле (6) это коэффициент совмещения квартирной и силовой нагрузки на вводе дома. На чисто силовом щите (ЩОВ) он занижает Рр на 10 %;</t>
  </si>
  <si>
    <t>•  kп.к отсутствует — ⚠️ (нужно решение: применим ли он к дому повышенной комфортности; для многоквартирных домов обязателен).</t>
  </si>
  <si>
    <t>В v4:</t>
  </si>
  <si>
    <t>•  выбор метода на объект: «квартира / дом повышенной комфортности (табл. 7.2 + 7.3)», «ОИЖС (п. 7.5)», «многоквартирный дом (табл. 7.1 + kп.к)», «общественное здание»;</t>
  </si>
  <si>
    <t>•  группы «Отопление» (Кс 1) и «ВНГ / тёплый пол» (0,7);</t>
  </si>
  <si>
    <t>•  Кс сантехники и вентиляции — автоматически по табл. 7.5 по числу работающих электроприёмников и доле;</t>
  </si>
  <si>
    <t>•  Ко только на щите, где есть и бытовая, и силовая нагрузка (флажок «ВРУ дома»).</t>
  </si>
  <si>
    <t>9.3 Ток щита, cos φ, фазы</t>
  </si>
  <si>
    <t>•  Фаза линии назначается по кругу L1 → L2 → L3 для однофазных линий, трёхфазные — на все фазы («Разбивка_по_щитам» S:T). Вручную — «Нагрузка_щитов» E.</t>
  </si>
  <si>
    <t>•  Мощность фазы = Σ однофазных этой фазы + Σ трёхфазных / 3.</t>
  </si>
  <si>
    <t>•  Iр = max( Pфазы.max · Кс.итог / (Uф · cos φ) ; Рр / (√3 · Uн · cos φ) ) — по наиболее нагруженной фазе.</t>
  </si>
  <si>
    <t>•  cos φ щита = Σ(P · cos φ) / ΣP.</t>
  </si>
  <si>
    <t>Вердикт: ⚠️. Ток по наиболее нагруженной фазе — правильный инженерный приём. cos φ щита правильнее считать через реактивную мощность: Q = Σ P·tg φ, cos φ = P / √(P² + Q²). При смеси 0,95 и 0,8 ошибка — 1–2 %.</t>
  </si>
  <si>
    <t>9.4 Пожарные нагрузки</t>
  </si>
  <si>
    <t>Пожарные линии (BO = «да» или код с признаком «пожарная») идут отдельным режимом «Пожар» и в расчётный максимум не входят.</t>
  </si>
  <si>
    <t>Норма: СП 256 п. 7.1.9: мощность электроприёмников противопожарных устройств и резервных двигателей при расчёте нагрузок питающих линий и вводов не учитывается, кроме случаев, когда она определяет выбор аппаратов и сечений; для линий одновременно работающих противопожарных устройств Кс = 1.</t>
  </si>
  <si>
    <t>Вердикт: ✅. В книге ссылка на «СП 31-110-2003 п. 6.9» — заменить на СП 256 п. 7.1.9.</t>
  </si>
  <si>
    <t>10. Питающая линия и шины щита (Питание_щита, раздел 3)</t>
  </si>
  <si>
    <t>Строка</t>
  </si>
  <si>
    <t>Величина</t>
  </si>
  <si>
    <t>Формула</t>
  </si>
  <si>
    <t>Норма</t>
  </si>
  <si>
    <t>29–31</t>
  </si>
  <si>
    <t>Рр, Iр, cos φ щита</t>
  </si>
  <si>
    <t>из «Нагрузка_щитов»</t>
  </si>
  <si>
    <t>см. разд. 9</t>
  </si>
  <si>
    <t>(ρ·L/(S·n)·cos φ + 0,08·L/n·sin φ /1000)·Iр / Uф·100, ρ = 0,0225 (Cu) / 0,036 (Al)</t>
  </si>
  <si>
    <t>ГОСТ Р 50571.5.52 прил. G (x = 0,08 мОм/м)</t>
  </si>
  <si>
    <t>ΔU вышестоящего + ΔU питающей; для ВРУ = 0</t>
  </si>
  <si>
    <t>СП 256 п. 8.23</t>
  </si>
  <si>
    <t>34–36</t>
  </si>
  <si>
    <t>Zпетли, Iкз min, Iкз max на шинах</t>
  </si>
  <si>
    <t>см. разд. 8</t>
  </si>
  <si>
    <t>ГОСТ 28249</t>
  </si>
  <si>
    <t>Iдоп питающего кабеля</t>
  </si>
  <si>
    <t>ПУЭ 1.3.7 × 0,92 (4–5 жил) × n × К прокл; для Al — «ПУЭ 1.3.7» вручную</t>
  </si>
  <si>
    <t>ГОСТ 31996</t>
  </si>
  <si>
    <t>Iр ≤ In ≤ Iдоп</t>
  </si>
  <si>
    <t>ГОСТ Р 50571.4.43 п. 433.1</t>
  </si>
  <si>
    <t>Отключение КЗ на шинах</t>
  </si>
  <si>
    <t>Iкз min ≥ 5 / 10 / 20 · In</t>
  </si>
  <si>
    <t>ПУЭ 1.7.79 (распред. цепи ≤ 5 с)</t>
  </si>
  <si>
    <t>Термическая стойкость кабеля</t>
  </si>
  <si>
    <t>t = (k·S / Iкз max)², k = 115 (Cu, ПВХ) / 76 (Al); если t &lt; 0,1 с — проверить по I²t аппарата</t>
  </si>
  <si>
    <t>ГОСТ Р 50571.4.43 п. 434.5.2</t>
  </si>
  <si>
    <t>Селективность</t>
  </si>
  <si>
    <t>In ≥ 1,6 · max In отходящих</t>
  </si>
  <si>
    <t>ориентир; подтверждать картами селективности изготовителя</t>
  </si>
  <si>
    <t>Трансформатор: Zт = uк · Uн² / Sт, uк = 5,5 % константой; для Y/Yн сопротивление петли ×3.</t>
  </si>
  <si>
    <t>Вердикт: ⚠️. ГОСТ 28249 требует сопротивления нулевой последовательности по данным изготовителя. Множитель 3 — грубая оценка.</t>
  </si>
  <si>
    <t>В v4: uк, Sт и схема из паспорта; Zт(1) / 3 по таблице изготовителя.</t>
  </si>
  <si>
    <t>11. Категории надёжности, режимы, ИБП</t>
  </si>
  <si>
    <t>Обеспечиваемая категория шины:</t>
  </si>
  <si>
    <t>1 ввод, питающая линия I особая / I / II</t>
  </si>
  <si>
    <t>шина ИБП или ДГУ</t>
  </si>
  <si>
    <t>•  ПУЭ 1.2.17–1.2.21: категория определяется последствиями перерыва питания; I — два независимых взаимно резервирующих источника, перерыв только на время автоматического восстановления (1.2.19); II — допускается перерыв на время ручного переключения (1.2.20);</t>
  </si>
  <si>
    <t>•  СП 256 табл. 6.1 — категории электроприёмников жилых и общественных зданий; п. 6.13 и 8.10 — АВР на вводе или самостоятельный щит с АВР у электроприёмников I категории;</t>
  </si>
  <si>
    <t>•  СП 6.13130.2021 — системы противопожарной защиты по I категории.</t>
  </si>
  <si>
    <t>Вердикт: ✅. Ограничение «один кабель — не выше II» соответствует ПУЭ 1.2.19 и СП 256 п. 8.10.</t>
  </si>
  <si>
    <t>Режимы («Режимы»): нормальный (СВ отключён), аварийный (потеря ввода 1 или 2), максимум аварийного, потеряны все вводы (только ИБП и ДГУ), пожар (вне максимума), нормальный + пожарные. Рр каждого набора линий считается по формуле разд. 9.2 заново (Кс быт — по сумме своего набора).</t>
  </si>
  <si>
    <t>Вердикт: ✅ (методика СП 256 п. 7.1.9 и разд. 9.2).</t>
  </si>
  <si>
    <t>ИБП («ИБП»):</t>
  </si>
  <si>
    <t>•  требуемая S = P / cos φ вых / допустимая загрузка (0,75);</t>
  </si>
  <si>
    <t>•  ёмкость АКБ, А·ч = P · 1000 · t / 60 / (U · КПД · k), k = 0,8 (разряд и старение);</t>
  </si>
  <si>
    <t>•  вход ИБП: P вх = P / КПД · (1 + заряд АКБ 10 %).</t>
  </si>
  <si>
    <t>Норма: не нормируется; время автономии для систем противопожарной защиты — по СП 6.13130 и СП 484.1311500. Вердикт: ⚠️ (инженерная методика, автономию задаёт проектировщик по нормам на конкретную систему).</t>
  </si>
  <si>
    <t>12. Таблица нагрузок для пояснительной записки и компенсация</t>
  </si>
  <si>
    <t>«Расчёт_нагрузок»: строки по видам нагрузки («Справочная» BT:BV, в v4 — столбец «Вид нагрузки»), для каждой — Руст, Кс = Рр / Руст, cos φ (средневзвешенный или из «Справочной» BU), tg φ, Рр, Qр = Рр·tg φ, Sр, Iр = Sр / (√3·Uн). Итог щита — с Ко = 0,9.</t>
  </si>
  <si>
    <t>Компенсация: Qку = Рр · (tg φ − 0,35); если &lt; 50 квар — «не требуется».</t>
  </si>
  <si>
    <t>Норма: СП 256 п. 7.3.1: для жилых и общественных зданий КРМ, как правило, не требуется; п. 7.3.2: для тепловых пунктов, насосных и т. п. — не требуется, если мощность КУ на рабочем вводе ≤ 50 квар (≈ 250 кВт нагрузки). Целевой tg φ = 0,35 — из приказа Минэнерго № 380 (предельные значения для потребителей), в СП 256 не задан.</t>
  </si>
  <si>
    <t>Вердикт: ✅.</t>
  </si>
  <si>
    <t>13. Кабельный журнал и спецификация</t>
  </si>
  <si>
    <t>•  Длина кабеля в журнале = длина трассы × (1 + запас 20 %) («Кабельный_журнал» D3). Запас — проектный приём, не норма. ⚠️ Вынести в настройку объекта.</t>
  </si>
  <si>
    <t>•  Спецификация считает автоматы, аппараты, модули, клеммы по «Однолинейке» (Каталог N) + ручной запас (O). Расчётом не является.</t>
  </si>
  <si>
    <t>14. Лист «ТКЗ»</t>
  </si>
  <si>
    <t>Старый ручной расчёт по участкам: Iкз = 220 / Zпетли, без c_min, без нагрева, свой справочник автоматов. В основной расчёт не входит (v1.04: «для тестирования»).</t>
  </si>
  <si>
    <t>Вердикт: ❌ (дублирует и противоречит «Питание_щита»). В v4: удалить.</t>
  </si>
  <si>
    <t>15. Пример: линия ККБ‑1 щита ЩОВ‑001 (объект ЖД)</t>
  </si>
  <si>
    <t>Исходные данные: P = 28 кВт, 3ф, 400 В, кабель ВВГнг(А)-LS 5×25 (сечение задано вручную), L = 34 м, автомат вручную 63 А, cos φ = 0,95, группа «Сил», Кс = 0,5.</t>
  </si>
  <si>
    <t>Шаг</t>
  </si>
  <si>
    <t>Результат</t>
  </si>
  <si>
    <t>В книге</t>
  </si>
  <si>
    <t>28 / (1,732 · 0,4 · 0,95)</t>
  </si>
  <si>
    <t>42,54 А</t>
  </si>
  <si>
    <t>T = 42,54 ✅</t>
  </si>
  <si>
    <t>Номинал по току</t>
  </si>
  <si>
    <t>42,54 &gt; 36 и ≤ 45 → 50 А (Iр ≤ 0,9·In)</t>
  </si>
  <si>
    <t>50 А</t>
  </si>
  <si>
    <t>«Однолинейка» AA = 50 ✅</t>
  </si>
  <si>
    <t>Номинал итог</t>
  </si>
  <si>
    <t>max(50; ручной 63)</t>
  </si>
  <si>
    <t>63 А</t>
  </si>
  <si>
    <t>AU = 63 ✅</t>
  </si>
  <si>
    <t>Iдоп кабеля</t>
  </si>
  <si>
    <t>ПУЭ 1.3.7, 3-жил., 25 мм² = 95 А × 0,92</t>
  </si>
  <si>
    <t>87,4 А ≥ 63 А</t>
  </si>
  <si>
    <t>«Однолинейка» AB = 80 (ближайший номинал ≤ 87,4) ✅</t>
  </si>
  <si>
    <t>ΔU</t>
  </si>
  <si>
    <t>1 · (0,0225·34/25·0,95 + 0,0662·34·0,31/1000) · 42,54 = 1,27 В</t>
  </si>
  <si>
    <t>0,55 %</t>
  </si>
  <si>
    <t>AB = 0,55 ✅</t>
  </si>
  <si>
    <t>ΔU от ВРУ</t>
  </si>
  <si>
    <t>0,55 + 0,5 (до шин ЩОВ‑001)</t>
  </si>
  <si>
    <t>1,05 % ≤ 4 %</t>
  </si>
  <si>
    <t>BG = 1,05 ✅</t>
  </si>
  <si>
    <t>Iкз, 0,4 с</t>
  </si>
  <si>
    <t>нет данных сети в ГРЩ</t>
  </si>
  <si>
    <t>пусто ⚠️ (разд. 8.5)</t>
  </si>
  <si>
    <t>Что даст проверка по нормам для этой линии:</t>
  </si>
  <si>
    <t>•  cos φ ККБ по СП 256 п. 7.1.12 — 0,8 → I = 28 / (1,732·0,4·0,8) = 50,5 А. Номинал по току с запасом 10 % → 63 А (совпадает с ручным), Iдоп 87,4 А — сечение достаточно.</t>
  </si>
  <si>
    <t>Щит ЩОВ‑001 целиком: Руст = 211,22 кВт (вся нагрузка «Сил»), Σ P·Кс = 105,61 кВт, Рр = 0,9 · 105,61 = 95,05 кВт, Iр = 146,4 А (по наиболее нагруженной фазе 71,36 кВт).</t>
  </si>
  <si>
    <t>По нормам: Кс по табл. 7.5 для 34 электроприёмников ≈ 0,59 (вместо 0,5), без Ко (щит чисто силовой), cos φ 0,8 → Рр ≈ 211,22 · 0,59 ≈ 125 кВт (+31 %), Iр ≈ 125 / (1,732·0,4·0,8) ≈ 225 А (+54 %).</t>
  </si>
  <si>
    <t>ВНИМАНИЕ: это оценка для иллюстрации. Точный Кс зависит от числа одновременно работающих электроприёмников без резервных (табл. 7.5, прим. 3) и доли сантехнической нагрузки. Решение — за инженером. Питающая линия ЩОВ‑001 защищена аппаратом 400 А, поэтому вывод по аппарату не меняется, но расчётная нагрузка объекта для ТУ вырастет.</t>
  </si>
  <si>
    <t>16. Что решить инженеру до v4</t>
  </si>
  <si>
    <t>1. Метод расчёта бытовой нагрузки объекта ЖД: дом повышенной комфортности (табл. 7.2) или ОИЖС (п. 7.5, Изм. 9).</t>
  </si>
  <si>
    <t>2. kп.к: применять ли региональный коэффициент к отдельному дому.</t>
  </si>
  <si>
    <t>3. Таблица допустимых токов: ГОСТ 31996 или данные конкретного изготовителя кабеля.</t>
  </si>
  <si>
    <t>4. cos φ вентиляции и насосов: 0,8 по СП 256 или паспортные значения.</t>
  </si>
  <si>
    <t>5. Кс силовой нагрузки: автоматически по табл. 7.5 или вручную по заданию технологов.</t>
  </si>
  <si>
    <t>6. Данные сети для ТКЗ: запросить у сетевой организации Iкз min / max на вводе ГРЩ.</t>
  </si>
  <si>
    <t>17. Что реализовано в v4</t>
  </si>
  <si>
    <t>Книга v4 — один файл на объект. Методика выбирается на листе «Объект» (C8): «v3.12» — формулы как в старой книге (для сверки), «нормы 2026» — с исправлениями ниже. Расчёт в обоих режимах одинаков, кроме перечисленного.</t>
  </si>
  <si>
    <t>v3.12</t>
  </si>
  <si>
    <t>нормы 2026 (v4)</t>
  </si>
  <si>
    <t>cos φ силовых линий без ручного значения</t>
  </si>
  <si>
    <t>0,95</t>
  </si>
  <si>
    <t>0,8 (СП 256 п. 7.1.12)</t>
  </si>
  <si>
    <t>Кс силовых линий без ручного значения</t>
  </si>
  <si>
    <t>по табл. 7.5 СП 256 по числу силовых линий щита (таблица на листе «Объект»)</t>
  </si>
  <si>
    <t>на любом щите</t>
  </si>
  <si>
    <t>только если на щите есть и бытовая, и силовая нагрузка (формула 6)</t>
  </si>
  <si>
    <t>Электроотопление</t>
  </si>
  <si>
    <t>в группе «Быт» (снижается Кс)</t>
  </si>
  <si>
    <t>группа «Отоп», Кс = 1, отдельным слагаемым (Изм. 9)</t>
  </si>
  <si>
    <t>Водонагреватели (тёплые полы)</t>
  </si>
  <si>
    <t>в группе «Быт»</t>
  </si>
  <si>
    <t>группа «ВНГ», × 0,7 отдельным слагаемым (Изм. 9)</t>
  </si>
  <si>
    <t>kп.к</t>
  </si>
  <si>
    <t>настройка объекта (C9), по умолчанию 1</t>
  </si>
  <si>
    <t>Допустимая ΔU</t>
  </si>
  <si>
    <t>3 % / 4 %</t>
  </si>
  <si>
    <t>3 % / 4 % + 0,005 %/м после 100 м, не более +0,5 % (СП 256 п. 8.23)</t>
  </si>
  <si>
    <t>Отключающая способность</t>
  </si>
  <si>
    <t>не проверялась</t>
  </si>
  <si>
    <t>Icu автомата (из «Каталога») ≥ Iкз max на шинах — замечание в «Проверке»</t>
  </si>
  <si>
    <t>Сборка нагрузки по щитам. Для каждого щита вычисляется путь от ВРУ (лист «Щиты», столбец «Путь»). Нагрузка щита = составляющие всех линий щита и нижестоящих щитов (Руст быт, Σ P·Кс силовых, Руст пост, Р отоп, 0,7·Р ВНГ, Σ P·cos φ); Кс быт и Ко применяются к сумме. ΔU до шин и Zпетли нижнего щита = ΔU / петля источника + Σ по фидерам на пути (+ Rпер на каждый щит).</t>
  </si>
  <si>
    <t>Режимы (лист «Нагрузки»): линии нижних щитов относятся к источнику своего фидера в выбранном щите; линия на шине ИБП/ДГУ нижнего щита в текущей версии относится к источнику фидера (подстановка входа ИБП нижнего щита — в следующей версии). Пожарная линия-фидер делает пожарной всю нагрузку нижнего щита.</t>
  </si>
  <si>
    <t>Сверка v4 с v3.12 на объекте ЖД (режим «v3.12»): автоматы 348/349, сечения 346/350, cos φ 350/350, длины 331/350, 12 щитов из 17 — полностью. Остальные расхождения — исправления v3.12: ошибка шаблона в формуле фаз (строки 29–127 листа «Нагрузка_щитов» брали фазу соседней строки), подключение ЩГП и ЩО‑001, учёт линии вне схемы, объединение справочников кодов.</t>
  </si>
  <si>
    <t>Источники</t>
  </si>
  <si>
    <t>•  СП 256.1325800.2016, ред. 01.03.2022 — полный текст (КонсультантПлюс, опубликован на сайте ГУ МЧС): https://22.mchs.gov.ru/uploads/resource/2023-03-02/8cd1efa9150e03022668bf3a9b3922e2.docx</t>
  </si>
  <si>
    <t>•  Изменение № 9 к СП 256.1325800.2016 (приказ Минстроя от 25.12.2025 № 846/пр): https://meganorm.ru/mega_doc/norm_update_01032026/prikaz/0/izmenenie_N_9_k_sp_256_1325800_2016_elektroustanovki_zhilykh.html</t>
  </si>
  <si>
    <t>•  Изменение № 6 к СП 256.1325800.2016: https://meganorm.ru/mega_doc/norm/prikaz/13/izmenenie_N_6_k_sp_256_1325800_2016_elektroustanovki_zhilykh.html</t>
  </si>
  <si>
    <t>•  ГОСТ 28249-93: https://dnaop.com/html/65618/doc-%D0%93%D0%9E%D0%A1%D0%A2_28249-93</t>
  </si>
  <si>
    <t>•  ГОСТ Р 50571.5.52-2011, прил. G: https://www.normacs.info/answers/5995, https://meganorm.ru/Data2/1/4293792/4293792410.htm</t>
  </si>
  <si>
    <t>•  Выбор допустимых токов кабелей (изготовитель → ГОСТ 31996 → ГОСТ Р 50571.5.52), ответ эксперта NormaCS: https://www.normacs.info/answers/6099</t>
  </si>
  <si>
    <t>•  ПУЭ 7-е изд. (табл. 1.3.7, п. 1.3.10, п. 1.7.79, п. 1.2.17–1.2.21), ГОСТ Р 50571.4.43-2012, ГОСТ IEC 60898-1 — по тексту норм, номера пунктов сверить при выпуске v4.</t>
  </si>
  <si>
    <t>КАК НАСТРАИВАТЬ ЛИСТ «ОБЪЕКТ»</t>
  </si>
  <si>
    <t>Лист задаёт настройки ВСЕГО объекта. Обычно меняют только C3 (название), C8 (методика) и C9 (kп.к). Остальное — по необходимости.</t>
  </si>
  <si>
    <t>C3 Объект — название и адрес. Идёт в таблицу для пояснительной записки.</t>
  </si>
  <si>
    <t>C4–C7 Ток КЗ: ρ меди/алюминия при нагреве, переходные сопротивления на каждый щит, c_min. Влияют на Iкз min в конце линий и проверку отключения ≤ 0,4 с. Значения по ГОСТ 28249 — не меняйте без причины.</t>
  </si>
  <si>
    <t>C8 Методика: «нормы 2026» — расчёт по СП 256 с Изм. 9 (cos φ силовых 0,8, Кс силовых по табл. 7.5, Ко только при бытовой + силовой нагрузке, отопление и ВНГ отдельно). «v3.12» — как старая книга, только для сверки.</t>
  </si>
  <si>
    <t>C9 kп.к — региональный коэффициент к бытовой нагрузке (СП 256 табл. 7.5а). Частный дом — 1. Многоквартирный дом — значение региона (ЦФО 0,81).</t>
  </si>
  <si>
    <t>F2:G14 Кс силовых по числу электроприёмников (СП 256 табл. 7.5, доля сантехники 100–85 %). Применяется к силовым линиям без ручного Кс в режиме «нормы 2026».</t>
  </si>
  <si>
    <t>B15:C22 ИБП — допустимая загрузка, cos φ, автономия, напряжение АКБ, КПД, разряд, заряд. Влияют на подбор ИБП и на нагрузку входа ИБП на вводе (лист «Режимы»).</t>
  </si>
  <si>
    <t>Где ещё настройки: Uн, общий К прокладки, таблица Кс быт, мест на лист схемы — лист «Таблицы_норм» (BF4, BQ29, BQ30, BP4:BQ11).</t>
  </si>
  <si>
    <t>КАК ЗАПОЛНЯТЬ ЛИСТ «ЩИТЫ»</t>
  </si>
  <si>
    <t>ЩИТЫ: одна строка — один щит объекта. Жёлтые столбцы — ввод, серые — результат. Свёрнутые столбцы (кнопка «+» над таблицей) — подробности расчёта.</t>
  </si>
  <si>
    <t>Для КАЖДОГО щита: Щит (имя, как в «Линиях»), Вводов (1/2/3), АВР (да/нет), ИБП от (Ввод 1/2/3), Мест под вводной узел (обычно 15).</t>
  </si>
  <si>
    <t>«Питается от» обычно НЕ заполняйте: книга сама находит линию-фидер в «Линиях» (номер линии = имя щита, или столбец «Питает щит»).</t>
  </si>
  <si>
    <t>Только для ВРУ / ГРЩ (щит без вышестоящего): данные сети — Iкз min и Iкз max от сетевой организации, или «ТП» и мощность трансформатора; питающий кабель и аппарат. Без них ток КЗ не считается ни в одном щите.</t>
  </si>
  <si>
    <t>Результат: Руст, Рр, Iр, cos φ — щит вместе со всеми нижестоящими; ΔU до шин и Iкз — от ВРУ по фидерам; «Категория шины «Ввод»» — какую категорию даёт схема; «Замечания щита» — что исправить.</t>
  </si>
  <si>
    <t>КАК ЗАПОЛНЯТЬ ЛИСТ «ШИНЫ»</t>
  </si>
  <si>
    <t>ШИНЫ: нужен, только если тип шины НЕ определяется сам. Обычно лист пустой.</t>
  </si>
  <si>
    <t>Как определяется сам: в «Линиях» в столбце «Шина» (в строке с автоматом) пишется имя шины. Имя содержит «ИБП» → шина ИБП (категория I особая); «ДГУ» → шина ДГУ; иначе — основная шина секции линии (Ввод 1/2/3 по столбцу «Секция»).</t>
  </si>
  <si>
    <t>Когда заполнять: имя шины не говорит о её типе. Пример: шина «ЩГП» питается от ИБП → строка: Шина = ЩГП, Щит = ЩР-1 (или пусто — для всех щитов), Тип = ИБП. Пример: «Шина вентиляции» без резерва → Тип = Одиночная (категория III).</t>
  </si>
  <si>
    <t>Типы: Ввод 1 / Ввод 2 / Ввод 3 — источник по секции; ИБП, ДГУ — отдельный источник (I особая); Одиночная — без резерва (III). Тип влияет на категорию линий и на режимы (лист «Режимы»).</t>
  </si>
  <si>
    <t>ТАБЛИЦЫ НОРМ: допустимые токи кабелей (BX:CA), сопротивления (B:D), номиналы автоматов (F:G), Кс быт (BP:BQ), настройки сети (BQ29:BQ31), мест на лист схемы (BF4), УГО → блоки AutoCAD (BA:BC). Коды потребителей, УГО, этажи, кабели — на листе «Коды».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</si>
</sst>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GOST 2.304 type A"/>
      <family val="2"/>
      <charset val="204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1"/>
      <color theme="1"/>
      <name val="GOST 2.304 type A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rgb="FF7F7F7F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9"/>
      <color rgb="FF0000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8"/>
      <color rgb="FF808080"/>
      <name val="Calibri"/>
      <family val="2"/>
      <scheme val="minor"/>
    </font>
    <font>
      <b/>
      <sz val="10"/>
      <color theme="1"/>
      <name val="Arial"/>
      <family val="2"/>
      <charset val="204"/>
    </font>
    <font>
      <sz val="11"/>
      <color rgb="FF808080"/>
      <name val="Calibri"/>
      <family val="2"/>
      <scheme val="minor"/>
    </font>
    <font>
      <b/>
      <sz val="12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6"/>
      <color rgb="FF002060"/>
      <name val="Arial"/>
      <family val="2"/>
      <charset val="204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10"/>
      <color theme="1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11"/>
      <color rgb="FFFFFFFF"/>
      <name val="Calibri"/>
      <family val="2"/>
      <scheme val="minor"/>
    </font>
    <font>
      <b/>
      <sz val="9"/>
      <color indexed="81"/>
      <name val="Tahoma"/>
      <family val="2"/>
      <charset val="204"/>
    </font>
    <font>
      <b/>
      <sz val="16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EB9C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E6F0FA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B0C4D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7F7F7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6" fillId="5" borderId="0" applyNumberFormat="0" applyBorder="0" applyAlignment="0" applyProtection="0"/>
    <xf numFmtId="0" fontId="5" fillId="0" borderId="0"/>
    <xf numFmtId="0" fontId="1" fillId="0" borderId="0"/>
    <xf numFmtId="0" fontId="24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2" borderId="3" xfId="0" applyFill="1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/>
    <xf numFmtId="2" fontId="0" fillId="0" borderId="0" xfId="0" applyNumberFormat="1"/>
    <xf numFmtId="1" fontId="0" fillId="0" borderId="0" xfId="0" applyNumberFormat="1"/>
    <xf numFmtId="0" fontId="0" fillId="0" borderId="4" xfId="0" applyBorder="1"/>
    <xf numFmtId="2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4" xfId="0" applyFill="1" applyBorder="1"/>
    <xf numFmtId="0" fontId="0" fillId="2" borderId="4" xfId="0" applyFill="1" applyBorder="1" applyAlignment="1">
      <alignment wrapText="1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/>
    <xf numFmtId="0" fontId="0" fillId="0" borderId="3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9" fontId="0" fillId="0" borderId="3" xfId="0" applyNumberForma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2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8" fillId="0" borderId="4" xfId="0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0" fillId="0" borderId="3" xfId="0" applyFill="1" applyBorder="1"/>
    <xf numFmtId="0" fontId="12" fillId="8" borderId="10" xfId="0" applyNumberFormat="1" applyFont="1" applyFill="1" applyBorder="1" applyAlignment="1">
      <alignment horizontal="center" vertical="center"/>
    </xf>
    <xf numFmtId="0" fontId="10" fillId="7" borderId="10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9" fillId="0" borderId="10" xfId="0" applyNumberFormat="1" applyFont="1" applyFill="1" applyBorder="1" applyAlignment="1">
      <alignment vertical="center"/>
    </xf>
    <xf numFmtId="0" fontId="9" fillId="6" borderId="10" xfId="0" applyNumberFormat="1" applyFont="1" applyFill="1" applyBorder="1" applyAlignment="1">
      <alignment vertical="center"/>
    </xf>
    <xf numFmtId="0" fontId="9" fillId="9" borderId="11" xfId="0" applyNumberFormat="1" applyFont="1" applyFill="1" applyBorder="1" applyAlignment="1">
      <alignment horizontal="center" vertical="center"/>
    </xf>
    <xf numFmtId="0" fontId="10" fillId="9" borderId="11" xfId="0" applyNumberFormat="1" applyFont="1" applyFill="1" applyBorder="1" applyAlignment="1">
      <alignment horizontal="center" vertical="center" wrapText="1"/>
    </xf>
    <xf numFmtId="0" fontId="11" fillId="9" borderId="11" xfId="0" applyNumberFormat="1" applyFont="1" applyFill="1" applyBorder="1" applyAlignment="1">
      <alignment horizontal="center" vertical="center"/>
    </xf>
    <xf numFmtId="0" fontId="9" fillId="9" borderId="10" xfId="0" applyNumberFormat="1" applyFont="1" applyFill="1" applyBorder="1" applyAlignment="1">
      <alignment horizontal="center" vertical="center"/>
    </xf>
    <xf numFmtId="0" fontId="10" fillId="9" borderId="10" xfId="0" applyNumberFormat="1" applyFont="1" applyFill="1" applyBorder="1" applyAlignment="1">
      <alignment horizontal="center" vertical="center" wrapText="1"/>
    </xf>
    <xf numFmtId="0" fontId="10" fillId="6" borderId="11" xfId="0" applyNumberFormat="1" applyFont="1" applyFill="1" applyBorder="1" applyAlignment="1">
      <alignment horizontal="center" vertical="center" wrapText="1"/>
    </xf>
    <xf numFmtId="0" fontId="11" fillId="10" borderId="11" xfId="0" applyNumberFormat="1" applyFont="1" applyFill="1" applyBorder="1" applyAlignment="1">
      <alignment horizontal="center" vertical="center"/>
    </xf>
    <xf numFmtId="0" fontId="10" fillId="6" borderId="10" xfId="0" applyNumberFormat="1" applyFont="1" applyFill="1" applyBorder="1" applyAlignment="1">
      <alignment horizontal="center" vertical="center" wrapText="1"/>
    </xf>
    <xf numFmtId="0" fontId="10" fillId="11" borderId="10" xfId="0" applyNumberFormat="1" applyFont="1" applyFill="1" applyBorder="1" applyAlignment="1">
      <alignment horizontal="center" vertical="center"/>
    </xf>
    <xf numFmtId="0" fontId="10" fillId="11" borderId="10" xfId="0" applyNumberFormat="1" applyFont="1" applyFill="1" applyBorder="1" applyAlignment="1">
      <alignment horizontal="center" vertical="center" wrapText="1"/>
    </xf>
    <xf numFmtId="0" fontId="9" fillId="13" borderId="10" xfId="0" applyNumberFormat="1" applyFont="1" applyFill="1" applyBorder="1" applyAlignment="1">
      <alignment horizontal="center" vertical="center"/>
    </xf>
    <xf numFmtId="0" fontId="10" fillId="13" borderId="10" xfId="0" applyNumberFormat="1" applyFont="1" applyFill="1" applyBorder="1" applyAlignment="1">
      <alignment horizontal="center" vertical="center" wrapText="1"/>
    </xf>
    <xf numFmtId="0" fontId="10" fillId="14" borderId="11" xfId="0" applyNumberFormat="1" applyFont="1" applyFill="1" applyBorder="1" applyAlignment="1">
      <alignment horizontal="center" vertical="center" wrapText="1"/>
    </xf>
    <xf numFmtId="0" fontId="11" fillId="14" borderId="11" xfId="0" applyNumberFormat="1" applyFont="1" applyFill="1" applyBorder="1" applyAlignment="1">
      <alignment horizontal="center" vertical="center"/>
    </xf>
    <xf numFmtId="0" fontId="9" fillId="9" borderId="11" xfId="0" applyNumberFormat="1" applyFont="1" applyFill="1" applyBorder="1" applyAlignment="1">
      <alignment vertical="center"/>
    </xf>
    <xf numFmtId="0" fontId="10" fillId="9" borderId="11" xfId="0" applyNumberFormat="1" applyFont="1" applyFill="1" applyBorder="1" applyAlignment="1">
      <alignment horizontal="center" vertical="center"/>
    </xf>
    <xf numFmtId="0" fontId="9" fillId="9" borderId="10" xfId="0" applyNumberFormat="1" applyFont="1" applyFill="1" applyBorder="1" applyAlignment="1">
      <alignment vertical="center"/>
    </xf>
    <xf numFmtId="2" fontId="9" fillId="9" borderId="10" xfId="0" applyNumberFormat="1" applyFont="1" applyFill="1" applyBorder="1" applyAlignment="1">
      <alignment horizontal="center" vertical="center"/>
    </xf>
    <xf numFmtId="0" fontId="9" fillId="0" borderId="11" xfId="0" applyNumberFormat="1" applyFont="1" applyFill="1" applyBorder="1" applyAlignment="1">
      <alignment horizontal="center" vertical="center"/>
    </xf>
    <xf numFmtId="0" fontId="9" fillId="0" borderId="10" xfId="0" applyNumberFormat="1" applyFont="1" applyFill="1" applyBorder="1" applyAlignment="1">
      <alignment horizontal="center" vertical="center"/>
    </xf>
    <xf numFmtId="2" fontId="9" fillId="15" borderId="10" xfId="0" applyNumberFormat="1" applyFont="1" applyFill="1" applyBorder="1" applyAlignment="1">
      <alignment horizontal="center" vertical="center"/>
    </xf>
    <xf numFmtId="0" fontId="10" fillId="15" borderId="10" xfId="0" applyNumberFormat="1" applyFont="1" applyFill="1" applyBorder="1" applyAlignment="1">
      <alignment horizontal="center" vertical="center" wrapText="1"/>
    </xf>
    <xf numFmtId="0" fontId="9" fillId="15" borderId="10" xfId="0" applyNumberFormat="1" applyFont="1" applyFill="1" applyBorder="1" applyAlignment="1">
      <alignment horizontal="center" vertical="center"/>
    </xf>
    <xf numFmtId="0" fontId="9" fillId="15" borderId="10" xfId="0" applyNumberFormat="1" applyFont="1" applyFill="1" applyBorder="1" applyAlignment="1">
      <alignment vertical="center"/>
    </xf>
    <xf numFmtId="0" fontId="13" fillId="2" borderId="0" xfId="0" applyFont="1" applyFill="1" applyBorder="1" applyAlignment="1">
      <alignment horizontal="center" wrapText="1"/>
    </xf>
    <xf numFmtId="0" fontId="0" fillId="2" borderId="9" xfId="0" applyFill="1" applyBorder="1"/>
    <xf numFmtId="0" fontId="0" fillId="2" borderId="9" xfId="0" applyFill="1" applyBorder="1" applyAlignment="1">
      <alignment wrapText="1"/>
    </xf>
    <xf numFmtId="0" fontId="11" fillId="15" borderId="11" xfId="0" applyNumberFormat="1" applyFont="1" applyFill="1" applyBorder="1" applyAlignment="1">
      <alignment horizontal="center" vertical="center"/>
    </xf>
    <xf numFmtId="0" fontId="14" fillId="17" borderId="0" xfId="0" applyFont="1" applyFill="1" applyAlignment="1">
      <alignment horizontal="center" wrapText="1"/>
    </xf>
    <xf numFmtId="0" fontId="15" fillId="18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16" fillId="18" borderId="0" xfId="0" applyFont="1" applyFill="1" applyAlignment="1">
      <alignment horizontal="center" wrapText="1"/>
    </xf>
    <xf numFmtId="0" fontId="14" fillId="17" borderId="0" xfId="0" applyFont="1" applyFill="1" applyAlignment="1">
      <alignment horizontal="center"/>
    </xf>
    <xf numFmtId="0" fontId="9" fillId="6" borderId="10" xfId="0" applyNumberFormat="1" applyFont="1" applyFill="1" applyBorder="1" applyAlignment="1" applyProtection="1">
      <alignment vertical="center"/>
      <protection locked="0"/>
    </xf>
    <xf numFmtId="0" fontId="9" fillId="6" borderId="11" xfId="0" applyNumberFormat="1" applyFont="1" applyFill="1" applyBorder="1" applyAlignment="1" applyProtection="1">
      <alignment horizontal="center" vertical="center"/>
      <protection locked="0"/>
    </xf>
    <xf numFmtId="0" fontId="9" fillId="6" borderId="10" xfId="0" applyNumberFormat="1" applyFont="1" applyFill="1" applyBorder="1" applyAlignment="1" applyProtection="1">
      <alignment horizontal="center" vertical="center"/>
      <protection locked="0"/>
    </xf>
    <xf numFmtId="0" fontId="9" fillId="14" borderId="11" xfId="0" applyNumberFormat="1" applyFont="1" applyFill="1" applyBorder="1" applyAlignment="1" applyProtection="1">
      <alignment horizontal="center" vertical="center"/>
      <protection locked="0"/>
    </xf>
    <xf numFmtId="0" fontId="11" fillId="11" borderId="0" xfId="0" applyFont="1" applyFill="1" applyAlignment="1">
      <alignment horizontal="center" wrapText="1"/>
    </xf>
    <xf numFmtId="0" fontId="0" fillId="22" borderId="0" xfId="0" applyFill="1" applyAlignment="1" applyProtection="1">
      <alignment horizontal="center"/>
      <protection locked="0"/>
    </xf>
    <xf numFmtId="0" fontId="18" fillId="0" borderId="0" xfId="0" applyFont="1"/>
    <xf numFmtId="0" fontId="7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7" fillId="23" borderId="0" xfId="0" applyFont="1" applyFill="1" applyAlignment="1">
      <alignment vertical="top"/>
    </xf>
    <xf numFmtId="0" fontId="21" fillId="23" borderId="0" xfId="0" applyFont="1" applyFill="1" applyAlignment="1">
      <alignment vertical="top"/>
    </xf>
    <xf numFmtId="0" fontId="19" fillId="21" borderId="12" xfId="0" applyFont="1" applyFill="1" applyBorder="1" applyAlignment="1">
      <alignment vertical="top" wrapText="1"/>
    </xf>
    <xf numFmtId="0" fontId="19" fillId="21" borderId="12" xfId="0" applyFont="1" applyFill="1" applyBorder="1" applyAlignment="1">
      <alignment vertical="top"/>
    </xf>
    <xf numFmtId="0" fontId="7" fillId="0" borderId="12" xfId="0" applyFont="1" applyBorder="1" applyAlignment="1">
      <alignment vertical="top" wrapText="1"/>
    </xf>
    <xf numFmtId="0" fontId="7" fillId="0" borderId="12" xfId="0" applyFont="1" applyBorder="1" applyAlignment="1">
      <alignment vertical="top"/>
    </xf>
    <xf numFmtId="0" fontId="19" fillId="0" borderId="0" xfId="0" quotePrefix="1" applyFont="1" applyAlignment="1">
      <alignment vertical="top"/>
    </xf>
    <xf numFmtId="0" fontId="25" fillId="0" borderId="0" xfId="5" applyFont="1" applyAlignment="1">
      <alignment vertical="top"/>
    </xf>
    <xf numFmtId="0" fontId="25" fillId="0" borderId="12" xfId="5" applyFont="1" applyBorder="1" applyAlignment="1">
      <alignment vertical="top"/>
    </xf>
    <xf numFmtId="0" fontId="7" fillId="0" borderId="0" xfId="0" applyFont="1" applyAlignment="1">
      <alignment vertical="top" wrapText="1"/>
    </xf>
    <xf numFmtId="0" fontId="0" fillId="0" borderId="0" xfId="0"/>
    <xf numFmtId="0" fontId="7" fillId="0" borderId="0" xfId="0" applyFont="1" applyAlignment="1">
      <alignment vertical="top" wrapText="1"/>
    </xf>
    <xf numFmtId="0" fontId="19" fillId="24" borderId="0" xfId="0" applyFont="1" applyFill="1" applyAlignment="1">
      <alignment vertical="top" wrapText="1"/>
    </xf>
    <xf numFmtId="0" fontId="7" fillId="25" borderId="0" xfId="0" applyFont="1" applyFill="1" applyAlignment="1">
      <alignment vertical="top" wrapText="1"/>
    </xf>
    <xf numFmtId="0" fontId="26" fillId="9" borderId="0" xfId="0" applyFont="1" applyFill="1" applyAlignment="1">
      <alignment vertical="top" wrapText="1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4" fillId="17" borderId="0" xfId="0" applyFont="1" applyFill="1" applyAlignment="1">
      <alignment horizontal="center"/>
    </xf>
    <xf numFmtId="0" fontId="17" fillId="0" borderId="0" xfId="0" applyFont="1" applyFill="1" applyAlignment="1">
      <alignment horizontal="left" wrapText="1"/>
    </xf>
    <xf numFmtId="0" fontId="11" fillId="9" borderId="11" xfId="0" applyNumberFormat="1" applyFont="1" applyFill="1" applyBorder="1" applyAlignment="1">
      <alignment horizontal="center" vertical="center"/>
    </xf>
    <xf numFmtId="0" fontId="11" fillId="9" borderId="10" xfId="0" applyNumberFormat="1" applyFont="1" applyFill="1" applyBorder="1" applyAlignment="1">
      <alignment horizontal="center" vertical="center"/>
    </xf>
    <xf numFmtId="0" fontId="11" fillId="15" borderId="11" xfId="0" applyNumberFormat="1" applyFont="1" applyFill="1" applyBorder="1" applyAlignment="1">
      <alignment horizontal="center" vertical="center"/>
    </xf>
    <xf numFmtId="0" fontId="11" fillId="15" borderId="10" xfId="0" applyNumberFormat="1" applyFont="1" applyFill="1" applyBorder="1" applyAlignment="1">
      <alignment horizontal="center" vertical="center"/>
    </xf>
    <xf numFmtId="0" fontId="11" fillId="11" borderId="11" xfId="0" applyNumberFormat="1" applyFont="1" applyFill="1" applyBorder="1" applyAlignment="1">
      <alignment horizontal="center" vertical="center"/>
    </xf>
    <xf numFmtId="0" fontId="11" fillId="11" borderId="10" xfId="0" applyNumberFormat="1" applyFont="1" applyFill="1" applyBorder="1" applyAlignment="1">
      <alignment horizontal="center" vertical="center"/>
    </xf>
    <xf numFmtId="0" fontId="11" fillId="12" borderId="11" xfId="0" applyNumberFormat="1" applyFont="1" applyFill="1" applyBorder="1" applyAlignment="1">
      <alignment horizontal="center" vertical="center"/>
    </xf>
    <xf numFmtId="0" fontId="11" fillId="12" borderId="10" xfId="0" applyNumberFormat="1" applyFont="1" applyFill="1" applyBorder="1" applyAlignment="1">
      <alignment horizontal="center" vertical="center"/>
    </xf>
    <xf numFmtId="0" fontId="11" fillId="13" borderId="11" xfId="0" applyNumberFormat="1" applyFont="1" applyFill="1" applyBorder="1" applyAlignment="1">
      <alignment horizontal="center" vertical="center"/>
    </xf>
    <xf numFmtId="0" fontId="11" fillId="13" borderId="10" xfId="0" applyNumberFormat="1" applyFont="1" applyFill="1" applyBorder="1" applyAlignment="1">
      <alignment horizontal="center" vertical="center"/>
    </xf>
    <xf numFmtId="0" fontId="27" fillId="0" borderId="0" xfId="0" applyFont="1"/>
    <xf numFmtId="0" fontId="0" fillId="22" borderId="0" xfId="0" applyFill="1"/>
    <xf numFmtId="0" fontId="0" fillId="0" borderId="0" xfId="0" quotePrefix="1"/>
    <xf numFmtId="0" fontId="20" fillId="0" borderId="0" xfId="0" applyFont="1"/>
    <xf numFmtId="0" fontId="11" fillId="21" borderId="0" xfId="0" applyFont="1" applyFill="1"/>
    <xf numFmtId="0" fontId="11" fillId="21" borderId="0" xfId="0" applyFont="1" applyFill="1" applyAlignment="1">
      <alignment horizontal="right"/>
    </xf>
    <xf numFmtId="0" fontId="11" fillId="21" borderId="0" xfId="0" applyFont="1" applyFill="1" applyAlignment="1">
      <alignment wrapText="1"/>
    </xf>
    <xf numFmtId="0" fontId="11" fillId="0" borderId="0" xfId="0" applyFont="1" applyAlignment="1">
      <alignment wrapText="1"/>
    </xf>
    <xf numFmtId="2" fontId="11" fillId="0" borderId="0" xfId="0" applyNumberFormat="1" applyFont="1"/>
    <xf numFmtId="1" fontId="11" fillId="0" borderId="0" xfId="0" applyNumberFormat="1" applyFont="1"/>
    <xf numFmtId="0" fontId="11" fillId="21" borderId="12" xfId="0" applyFont="1" applyFill="1" applyBorder="1" applyAlignment="1">
      <alignment horizontal="center" vertical="center" wrapText="1"/>
    </xf>
    <xf numFmtId="0" fontId="11" fillId="21" borderId="1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/>
    </xf>
    <xf numFmtId="0" fontId="11" fillId="22" borderId="0" xfId="0" applyFont="1" applyFill="1"/>
    <xf numFmtId="0" fontId="28" fillId="0" borderId="0" xfId="0" applyFont="1"/>
    <xf numFmtId="0" fontId="0" fillId="0" borderId="12" xfId="0" applyBorder="1"/>
    <xf numFmtId="2" fontId="0" fillId="0" borderId="12" xfId="0" applyNumberFormat="1" applyBorder="1" applyAlignment="1">
      <alignment horizontal="right"/>
    </xf>
    <xf numFmtId="0" fontId="0" fillId="22" borderId="0" xfId="0" applyFill="1" applyAlignment="1">
      <alignment wrapText="1"/>
    </xf>
    <xf numFmtId="0" fontId="0" fillId="9" borderId="0" xfId="0" applyFill="1" applyAlignment="1">
      <alignment wrapText="1"/>
    </xf>
    <xf numFmtId="0" fontId="11" fillId="26" borderId="0" xfId="0" applyFont="1" applyFill="1"/>
    <xf numFmtId="0" fontId="0" fillId="9" borderId="0" xfId="0" applyFill="1"/>
    <xf numFmtId="0" fontId="7" fillId="9" borderId="0" xfId="0" applyFont="1" applyFill="1" applyAlignment="1">
      <alignment vertical="top" wrapText="1"/>
    </xf>
    <xf numFmtId="0" fontId="30" fillId="0" borderId="0" xfId="0" applyFont="1" applyAlignment="1">
      <alignment vertical="top" wrapText="1"/>
    </xf>
    <xf numFmtId="0" fontId="21" fillId="23" borderId="0" xfId="0" applyFont="1" applyFill="1" applyAlignment="1">
      <alignment vertical="top"/>
    </xf>
    <xf numFmtId="0" fontId="22" fillId="0" borderId="0" xfId="0" applyFont="1" applyAlignment="1">
      <alignment vertical="top" wrapText="1"/>
    </xf>
    <xf numFmtId="0" fontId="31" fillId="23" borderId="0" xfId="0" applyFont="1" applyFill="1"/>
    <xf numFmtId="0" fontId="0" fillId="23" borderId="0" xfId="0" applyFill="1"/>
    <xf numFmtId="0" fontId="0" fillId="0" borderId="0" xfId="0" applyAlignment="1">
      <alignment vertical="top" wrapText="1"/>
    </xf>
    <xf numFmtId="0" fontId="32" fillId="0" borderId="0" xfId="0" applyFont="1"/>
  </cellXfs>
  <cellStyles count="6">
    <cellStyle name="Гиперссылка" xfId="5" builtinId="8"/>
    <cellStyle name="Нейтральный 2" xfId="2" xr:uid="{35B9662B-4EF6-455F-A153-998AF8988465}"/>
    <cellStyle name="Обычный" xfId="0" builtinId="0"/>
    <cellStyle name="Обычный 2" xfId="3" xr:uid="{E2F4D3BA-771E-461C-AB7D-7903C0A10092}"/>
    <cellStyle name="Обычный 3" xfId="1" xr:uid="{2CCFBF6A-55A0-40CD-AD47-3F0AAF8CDCFB}"/>
    <cellStyle name="Обычный 3 2" xfId="4" xr:uid="{BF7B6DDC-276E-4454-9BAA-41291326E95A}"/>
  </cellStyles>
  <dxfs count="91">
    <dxf>
      <font>
        <b/>
        <color rgb="FF9C0006"/>
      </font>
      <fill>
        <patternFill>
          <bgColor rgb="FFFFC7CE"/>
        </patternFill>
      </fill>
    </dxf>
    <dxf>
      <border>
        <top style="thin">
          <color rgb="FF000000"/>
        </top>
      </border>
    </dxf>
    <dxf>
      <fill>
        <patternFill>
          <bgColor rgb="FFF2F2F2"/>
        </patternFill>
      </fill>
    </dxf>
    <dxf>
      <fill>
        <patternFill>
          <bgColor rgb="FFDDEBF7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EAF2FB"/>
        </patternFill>
      </fill>
    </dxf>
    <dxf>
      <font>
        <b/>
      </font>
      <border>
        <top style="medium">
          <color rgb="FF2F5597"/>
        </top>
      </border>
    </dxf>
    <dxf>
      <font>
        <i/>
        <color rgb="FF808080"/>
      </font>
    </dxf>
    <dxf>
      <font>
        <color rgb="FF006100"/>
      </font>
      <fill>
        <patternFill>
          <bgColor rgb="FFC6EFCE"/>
        </patternFill>
      </fill>
    </dxf>
    <dxf>
      <font>
        <color rgb="FF7F60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border>
        <top style="dashed">
          <color rgb="FF808080"/>
        </top>
      </border>
    </dxf>
    <dxf>
      <border>
        <top style="thin">
          <color rgb="FF000000"/>
        </top>
      </border>
    </dxf>
    <dxf>
      <fill>
        <patternFill>
          <bgColor rgb="FFF2F2F2"/>
        </patternFill>
      </fill>
    </dxf>
    <dxf>
      <fill>
        <patternFill>
          <bgColor rgb="FFDDEBF7"/>
        </patternFill>
      </fill>
    </dxf>
    <dxf>
      <fill>
        <patternFill patternType="solid">
          <fgColor indexed="64"/>
          <bgColor rgb="FFF2F2F2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360903-BA08-47F1-8839-3B1A89244286}" name="Коды" displayName="Коды" ref="A3:M33" totalsRowShown="0" headerRowDxfId="90">
  <autoFilter ref="A3:M33" xr:uid="{7E360903-BA08-47F1-8839-3B1A89244286}"/>
  <tableColumns count="13">
    <tableColumn id="1" xr3:uid="{CFDBEA3F-4005-4544-BBBC-8510A585754C}" name="Код"/>
    <tableColumn id="2" xr3:uid="{578D5CA3-7C3B-48F1-9078-88797D4E9C4D}" name="Наименование"/>
    <tableColumn id="3" xr3:uid="{73064043-8B42-4841-9DDC-8EC61CDC60B5}" name="Опуск, м"/>
    <tableColumn id="4" xr3:uid="{1BC80AC0-1AE1-4870-816F-03B6B2BB25DD}" name="1 - этаж/2 - шлейф"/>
    <tableColumn id="5" xr3:uid="{171F57E0-7061-4C8D-A7FB-1DE889F263CD}" name="Пуск: 1 нет/2 двигатель/3 свет"/>
    <tableColumn id="6" xr3:uid="{749AB522-DB3F-4869-B949-D8AB45AAFFD6}" name="Марка кабеля"/>
    <tableColumn id="7" xr3:uid="{B473EBBF-158C-45BD-AF21-914AB371EF6D}" name="Жил"/>
    <tableColumn id="8" xr3:uid="{2FD08567-4C6C-4818-B48A-8895EFBE0EC2}" name="Напряжение"/>
    <tableColumn id="9" xr3:uid="{91442370-DD7F-44B2-B4F0-D76CA65AF277}" name="Фаз"/>
    <tableColumn id="10" xr3:uid="{97B37046-124E-4D09-BAED-1DDF1C13209F}" name="Сечение"/>
    <tableColumn id="11" xr3:uid="{5A978F53-92CB-435F-B357-12FF51653510}" name="Вид нагрузки"/>
    <tableColumn id="12" xr3:uid="{09654B7A-1C7B-40C5-8686-3B4682619A15}" name="Группа Кс"/>
    <tableColumn id="13" xr3:uid="{0012499F-C3E6-4771-8074-42C8D6861F7C}" name="Пожарная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1544F9-704D-421D-A428-C01DECA6354E}" name="УГО" displayName="УГО" ref="O3:S38" totalsRowShown="0" headerRowDxfId="89">
  <autoFilter ref="O3:S38" xr:uid="{A31544F9-704D-421D-A428-C01DECA6354E}"/>
  <tableColumns count="5">
    <tableColumn id="1" xr3:uid="{63373BB1-2058-4FF3-9B25-DC95862819C7}" name="Код (УГО)"/>
    <tableColumn id="2" xr3:uid="{910758C2-1C6B-43FE-BBD0-085E13E8D9EF}" name="УГО"/>
    <tableColumn id="3" xr3:uid="{7E6A592D-E83D-4273-997D-46F949638321}" name="Дифзащита, мА (да = 30)"/>
    <tableColumn id="4" xr3:uid="{0E79A5DC-E118-40F3-88F0-5604F2D34FD5}" name="Мин. автомат, А"/>
    <tableColumn id="5" xr3:uid="{9F1994FC-7567-43EF-AAEB-4A2D4F7129B6}" name="3L клемм на линию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E1A475-F69F-461F-ADC4-C3094FD59609}" name="Этажи" displayName="Этажи" ref="U3:X7" totalsRowShown="0" headerRowDxfId="88">
  <autoFilter ref="U3:X7" xr:uid="{D8E1A475-F69F-461F-ADC4-C3094FD59609}"/>
  <tableColumns count="4">
    <tableColumn id="1" xr3:uid="{EA19CB34-0E0F-447B-89D6-C94840602089}" name="Этаж"/>
    <tableColumn id="2" xr3:uid="{42CE4E0D-14DE-4F8A-961D-3468C04899D7}" name="Название этажа"/>
    <tableColumn id="3" xr3:uid="{C5C58EB7-3064-42E9-941F-73C3A286EFCF}" name="Подъём, м"/>
    <tableColumn id="4" xr3:uid="{8EEB06F7-CC0C-44D8-A754-02D9404657E0}" name="По другим этажам, м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0E6D4E-BAD4-4BD3-8DC3-828444911997}" name="Кабели" displayName="Кабели" ref="Z3:AB15" totalsRowShown="0" headerRowDxfId="87">
  <autoFilter ref="Z3:AB15" xr:uid="{620E6D4E-BAD4-4BD3-8DC3-828444911997}"/>
  <tableColumns count="3">
    <tableColumn id="1" xr3:uid="{D0C778F0-7C37-4C58-A5E7-13EA9ECD5D99}" name="Обозначение"/>
    <tableColumn id="2" xr3:uid="{B6617963-2931-44F3-97D3-C858082EC6C4}" name="Кабель"/>
    <tableColumn id="3" xr3:uid="{F8CCDF4B-E5B5-45B4-A406-499A09B7E83D}" name="Сечение в марке (1 да / 2 нет)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A6BB35-2DC2-4D02-A8AD-61CCBB250DBD}" name="Щиты" displayName="Щиты" ref="A9:BW10" totalsRowShown="0">
  <autoFilter ref="A9:BW10" xr:uid="{DBA6BB35-2DC2-4D02-A8AD-61CCBB250DBD}"/>
  <tableColumns count="75">
    <tableColumn id="1" xr3:uid="{B98567D9-C246-4349-89EB-E47B98678D47}" name="Щит"/>
    <tableColumn id="2" xr3:uid="{13A1FB02-3728-469C-8FC1-8C09D040F5FD}" name="Питается от"/>
    <tableColumn id="3" xr3:uid="{476D65EB-5AC0-415F-9111-9F1F19A07ABE}" name="Вводов"/>
    <tableColumn id="4" xr3:uid="{553B81F6-F018-4E79-8FE2-5891EBFF06CA}" name="АВР"/>
    <tableColumn id="5" xr3:uid="{FD4987E3-A0EF-401C-A620-5DD6E2F5D5D2}" name="ИБП от"/>
    <tableColumn id="6" xr3:uid="{1CE9F373-C971-4CF5-9218-ECEBE731E04F}" name="Мест под вводной узел"/>
    <tableColumn id="7" xr3:uid="{21463FC6-F692-48B8-9A42-5AED3003A406}" name="Питание: от (ТП / сеть)"/>
    <tableColumn id="8" xr3:uid="{8A73C8E3-7D8C-46A0-B783-78E42E2F2247}" name="ΔU до питающего, %"/>
    <tableColumn id="9" xr3:uid="{1C9A79A2-A0EA-412E-B0A7-739E72685064}" name="Iкз min от сети, А"/>
    <tableColumn id="10" xr3:uid="{9411A721-4B07-49E5-BB56-6AC8E7456195}" name="Iкз max от сети, кА"/>
    <tableColumn id="11" xr3:uid="{66AA4BD4-D731-46EC-B72F-BC88530D29B6}" name="Sтр, кВА"/>
    <tableColumn id="12" xr3:uid="{DF0F47D8-9992-41D4-8D47-2F772055C14A}" name="Схема тр-ра"/>
    <tableColumn id="13" xr3:uid="{58F09A23-8D9F-4D5E-A318-9BA3324ABD44}" name="Питающий кабель: S, мм²"/>
    <tableColumn id="14" xr3:uid="{7A90BCD2-1F09-4794-B5D0-90D2131CFADB}" name="Жил"/>
    <tableColumn id="15" xr3:uid="{FE3F9359-8A2E-4B48-81F8-43F475CDD528}" name="Кабелей параллельно"/>
    <tableColumn id="16" xr3:uid="{FA045674-DAC0-49C6-8B90-C5E51CFB7E3F}" name="Длина, м"/>
    <tableColumn id="17" xr3:uid="{ADD93A0E-7ACE-4671-AF6E-7197042B0B5E}" name="Материал"/>
    <tableColumn id="18" xr3:uid="{7388B407-0E22-43F1-98C3-6EBC915210BE}" name="In питающего аппарата, А"/>
    <tableColumn id="19" xr3:uid="{473FA74E-162A-4C27-A2E9-19B19B58FDF9}" name="Хар-ка аппарата"/>
    <tableColumn id="20" xr3:uid="{7EDCCBEA-00C5-4767-A893-B7E86F28E988}" name="Кат. питающей линии (ручн.)"/>
    <tableColumn id="21" xr3:uid="{DE5AFBEA-6921-4922-9A60-2AC1DE605092}" name="Питается от (итог)">
      <calculatedColumnFormula array="1">IF(Щиты[[#This Row],[Питается от]]&lt;&gt;"",Щиты[[#This Row],[Питается от]],IFERROR(INDEX(Линии[Щит],Щиты[[#This Row],[_строка фидера]]),""))</calculatedColumnFormula>
    </tableColumn>
    <tableColumn id="22" xr3:uid="{9CA3169F-427E-4B29-9402-2083EA10AE59}" name="Замечания щита">
      <calculatedColumnFormula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calculatedColumnFormula>
    </tableColumn>
    <tableColumn id="23" xr3:uid="{7B25A574-7D86-4194-80BB-EA9C56E51724}" name="Линия фидера">
      <calculatedColumnFormula array="1">IF(Щиты[[#This Row],[_строка фидера]]="","",INDEX(Линии[Номер линии],Щиты[[#This Row],[_строка фидера]]))</calculatedColumnFormula>
    </tableColumn>
    <tableColumn id="24" xr3:uid="{1147C7A3-5E09-48BE-BB00-C089E0AC605F}" name="Руст, кВт" dataDxfId="86">
      <calculatedColumnFormula>SUMIFS(Щиты[_Руст собств],Щиты[Путь],"*|"&amp;Щиты[[#This Row],[Щит]]&amp;"|*")</calculatedColumnFormula>
    </tableColumn>
    <tableColumn id="25" xr3:uid="{DE3A3F2A-1D7F-4050-8EB2-19C537A97DD5}" name="Рр, кВт" dataDxfId="85">
      <calculatedColumnFormula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calculatedColumnFormula>
    </tableColumn>
    <tableColumn id="26" xr3:uid="{5D6682D0-6054-4394-91E2-1F4BB1E9ADC5}" name="Iр, А" dataDxfId="84">
      <calculatedColumnFormula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calculatedColumnFormula>
    </tableColumn>
    <tableColumn id="27" xr3:uid="{E750F880-AA87-43D9-8130-F1A48C0B42E4}" name="cos φ" dataDxfId="83">
      <calculatedColumnFormula>IFERROR(SUMIFS(Щиты[_Pcos собств],Щиты[Путь],"*|"&amp;Щиты[[#This Row],[Щит]]&amp;"|*")/SUMIFS(Щиты[_P собств],Щиты[Путь],"*|"&amp;Щиты[[#This Row],[Щит]]&amp;"|*"),0.95)</calculatedColumnFormula>
    </tableColumn>
    <tableColumn id="28" xr3:uid="{D08DA4B2-56CF-469F-AFA9-67103B20A3F5}" name="ΔU до шин, %" dataDxfId="82">
      <calculatedColumnFormula array="1">SUMPRODUCT(--ISNUMBER(SEARCH("|"&amp;Щиты[Щит]&amp;"|",Щиты[[#This Row],[Путь]])),IFERROR(--Щиты[_ΔU фидера],0)+IFERROR(--Щиты[_ΔU источника],0))</calculatedColumnFormula>
    </tableColumn>
    <tableColumn id="29" xr3:uid="{951AF294-95CB-4FD4-9E8C-DE3C74536C1B}" name="Iкз min на шинах, А" dataDxfId="81">
      <calculatedColumnFormula>IF(ISNUMBER(Щиты[[#This Row],[Zпетли на шинах, Ом]]),c_min*(Uн_лин*1000/SQRT(3))/Щиты[[#This Row],[Zпетли на шинах, Ом]],"")</calculatedColumnFormula>
    </tableColumn>
    <tableColumn id="30" xr3:uid="{30BBD998-9CA6-46BA-AC95-120252C77466}" name="Iкз max на шинах, кА" dataDxfId="80">
      <calculatedColumnFormula>IF(ISNUMBER(Щиты[[#This Row],[Zmax на шинах, Ом]]),1.05*(Uн_лин*1000/SQRT(3))/Щиты[[#This Row],[Zmax на шинах, Ом]]/1000,"")</calculatedColumnFormula>
    </tableColumn>
    <tableColumn id="31" xr3:uid="{3F5D4F7B-D012-418D-956B-BBA749BAC996}" name="Категория шины «Ввод»">
      <calculatedColumnFormula array="1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calculatedColumnFormula>
    </tableColumn>
    <tableColumn id="32" xr3:uid="{C2D3B5AC-DDFB-409B-950A-652374E12287}" name="Путь">
      <calculatedColumnFormula array="1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calculatedColumnFormula>
    </tableColumn>
    <tableColumn id="33" xr3:uid="{F87099A8-2F25-47AD-BD1D-46EE7E1DF105}" name="Корень" dataDxfId="79">
      <calculatedColumnFormula>_xlfn.TEXTBEFORE(MID(Щиты[[#This Row],[Путь]],2,999),"|")</calculatedColumnFormula>
    </tableColumn>
    <tableColumn id="34" xr3:uid="{5F743E4B-CBD0-4A06-891D-E9FFCACF4F12}" name="Уровень">
      <calculatedColumnFormula>LEN(Щиты[[#This Row],[Путь]])-LEN(SUBSTITUTE(Щиты[[#This Row],[Путь]],"|",""))-2</calculatedColumnFormula>
    </tableColumn>
    <tableColumn id="35" xr3:uid="{33E88D44-7DCE-447B-8625-61796DD33B88}" name="_строка фидера">
      <calculatedColumnFormula>IFERROR(_xlfn.XMATCH(Щиты[[#This Row],[Щит]],Линии[_фидер]),"")</calculatedColumnFormula>
    </tableColumn>
    <tableColumn id="36" xr3:uid="{1480B281-FCE4-43AC-8773-9D07A0B50878}" name="_Руст собств">
      <calculatedColumnFormula>SUMIFS(Линии[_Руст (без Нет)],Линии[Щит],Щиты[[#This Row],[Щит]])</calculatedColumnFormula>
    </tableColumn>
    <tableColumn id="37" xr3:uid="{BB642DA7-89CA-4B61-AC77-986BA2FF4161}" name="_быт собств">
      <calculatedColumnFormula>SUMIFS(Линии[_Руст быт],Линии[Щит],Щиты[[#This Row],[Щит]])</calculatedColumnFormula>
    </tableColumn>
    <tableColumn id="38" xr3:uid="{937702CA-0C14-4048-A850-4E511FBF30E9}" name="_сил собств">
      <calculatedColumnFormula>SUMIFS(Линии[_Рр сил],Линии[Щит],Щиты[[#This Row],[Щит]])</calculatedColumnFormula>
    </tableColumn>
    <tableColumn id="39" xr3:uid="{1E63796E-3597-42D4-8C05-BB396816BAEC}" name="_пост собств">
      <calculatedColumnFormula>SUMIFS(Линии[_Руст пост],Линии[Щит],Щиты[[#This Row],[Щит]])</calculatedColumnFormula>
    </tableColumn>
    <tableColumn id="40" xr3:uid="{02E8AD55-E8D8-4180-941E-645834C896AD}" name="_P собств">
      <calculatedColumnFormula>SUMIFS(Линии[_P для cos],Линии[Щит],Щиты[[#This Row],[Щит]])</calculatedColumnFormula>
    </tableColumn>
    <tableColumn id="41" xr3:uid="{E4E8998E-6502-4403-819C-53BD85ABB84B}" name="_Pcos собств">
      <calculatedColumnFormula>SUMIFS(Линии[_P·cos],Линии[Щит],Щиты[[#This Row],[Щит]])</calculatedColumnFormula>
    </tableColumn>
    <tableColumn id="42" xr3:uid="{6D61E1DD-1903-40E7-AF27-51224F1E6461}" name="_отоп собств">
      <calculatedColumnFormula>SUMIFS(Линии[_Р отопления],Линии[Щит],Щиты[[#This Row],[Щит]])</calculatedColumnFormula>
    </tableColumn>
    <tableColumn id="43" xr3:uid="{0E16DED3-BB1F-4591-AA92-51580872B88F}" name="_внг собств">
      <calculatedColumnFormula>SUMIFS(Линии[_Рр ВНГ],Линии[Щит],Щиты[[#This Row],[Щит]])</calculatedColumnFormula>
    </tableColumn>
    <tableColumn id="44" xr3:uid="{23BBE96E-F9B1-4AA7-A072-CA666D8D6D23}" name="Руст быт, кВт" dataDxfId="78">
      <calculatedColumnFormula>SUMIFS(Щиты[_быт собств],Щиты[Путь],"*|"&amp;Щиты[[#This Row],[Щит]]&amp;"|*")</calculatedColumnFormula>
    </tableColumn>
    <tableColumn id="45" xr3:uid="{07F9952F-CEEA-4842-8A44-681ADE62DB9E}" name="Кс быт" dataDxfId="77">
      <calculatedColumnFormula array="1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calculatedColumnFormula>
    </tableColumn>
    <tableColumn id="46" xr3:uid="{8ED63969-2F3C-4A8D-A1AC-0BD2CE58083B}" name="Рр сил, кВт" dataDxfId="76">
      <calculatedColumnFormula>SUMIFS(Щиты[_сил собств],Щиты[Путь],"*|"&amp;Щиты[[#This Row],[Щит]]&amp;"|*")</calculatedColumnFormula>
    </tableColumn>
    <tableColumn id="47" xr3:uid="{5A180A94-4D86-4C90-9077-B4DCB0484A3A}" name="Руст пост, кВт" dataDxfId="75">
      <calculatedColumnFormula>SUMIFS(Щиты[_пост собств],Щиты[Путь],"*|"&amp;Щиты[[#This Row],[Щит]]&amp;"|*")</calculatedColumnFormula>
    </tableColumn>
    <tableColumn id="48" xr3:uid="{B5B756D2-7594-4888-9B5A-26672FF0E6CA}" name="Р отопления, кВт" dataDxfId="74">
      <calculatedColumnFormula>SUMIFS(Щиты[_отоп собств],Щиты[Путь],"*|"&amp;Щиты[[#This Row],[Щит]]&amp;"|*")</calculatedColumnFormula>
    </tableColumn>
    <tableColumn id="49" xr3:uid="{607F5E98-1C8B-455F-B411-AA743A206079}" name="Рр ВНГ, кВт" dataDxfId="73">
      <calculatedColumnFormula>SUMIFS(Щиты[_внг собств],Щиты[Путь],"*|"&amp;Щиты[[#This Row],[Щит]]&amp;"|*")</calculatedColumnFormula>
    </tableColumn>
    <tableColumn id="50" xr3:uid="{6B9B085F-987B-413E-9490-28A83CEFE5B3}" name="_n силовых">
      <calculatedColumnFormula>COUNTIFS(Линии[Щит],Щиты[[#This Row],[Щит]],Линии[Группа Кс (итог)],"Сил")</calculatedColumnFormula>
    </tableColumn>
    <tableColumn id="51" xr3:uid="{BE25F819-7424-4B17-B094-180CCCA4D604}" name="Кс силовых (табл. 7.5)" dataDxfId="72">
      <calculatedColumnFormula array="1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calculatedColumnFormula>
    </tableColumn>
    <tableColumn id="52" xr3:uid="{E73647F1-AE37-45A9-8471-C8A2BEC447C5}" name="Ко" dataDxfId="71">
      <calculatedColumnFormula>IF(Методика="нормы 2026",IF(AND(Щиты[[#This Row],[Руст быт, кВт]]&gt;0,Щиты[[#This Row],[Рр сил, кВт]]&gt;0),Ко_сил,1),Ко_сил)</calculatedColumnFormula>
    </tableColumn>
    <tableColumn id="53" xr3:uid="{5AF32F21-C364-4D6F-AB1B-77473FF48520}" name="Кс итог" dataDxfId="70">
      <calculatedColumnFormula>IF(Щиты[[#This Row],[Руст, кВт]]=0,0,Щиты[[#This Row],[Рр, кВт]]/Щиты[[#This Row],[Руст, кВт]])</calculatedColumnFormula>
    </tableColumn>
    <tableColumn id="54" xr3:uid="{DC4906E0-8374-4B67-8D13-A3D5C4E6E505}" name="P L1, кВт" dataDxfId="69">
      <calculatedColumnFormula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calculatedColumnFormula>
    </tableColumn>
    <tableColumn id="55" xr3:uid="{5DE62742-D310-489E-9454-A61A826AE1A2}" name="P L2, кВт" dataDxfId="68">
      <calculatedColumnFormula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calculatedColumnFormula>
    </tableColumn>
    <tableColumn id="56" xr3:uid="{6FAFD882-6F3D-4F9E-87EC-D55B82186DE3}" name="P L3, кВт" dataDxfId="67">
      <calculatedColumnFormula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calculatedColumnFormula>
    </tableColumn>
    <tableColumn id="57" xr3:uid="{81A938AC-E250-4D37-A3EF-1AA955B78F5E}" name="_ΔU фидера">
      <calculatedColumnFormula array="1">IF(Щиты[[#This Row],[_строка фидера]]="","",INDEX(Линии[ΔU, %],Щиты[[#This Row],[_строка фидера]]))</calculatedColumnFormula>
    </tableColumn>
    <tableColumn id="58" xr3:uid="{FABBF7E5-C338-4460-962B-2F662106A7D3}" name="_ΔU пит. линии">
      <calculatedColumnFormula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calculatedColumnFormula>
    </tableColumn>
    <tableColumn id="59" xr3:uid="{A5223433-20D1-44AD-A033-20120EF39E20}" name="_ΔU источника">
      <calculatedColumnFormula>IF(Щиты[[#This Row],[Питается от (итог)]]&lt;&gt;"",0,IF(LEFT(UPPER(TRIM(Щиты[[#This Row],[Питание: от (ТП / сеть)]])),2)="ТП",0,N(Щиты[[#This Row],[ΔU до питающего, %]])+Щиты[[#This Row],[_ΔU пит. линии]]))</calculatedColumnFormula>
    </tableColumn>
    <tableColumn id="60" xr3:uid="{BF963E4E-3C9F-49B7-BB20-34D02B1CC5CC}" name="_петля пит. кабеля">
      <calculatedColumnFormula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calculatedColumnFormula>
    </tableColumn>
    <tableColumn id="61" xr3:uid="{2B6B2232-8DFC-4B08-9D2E-530221F79662}" name="_Zсети">
      <calculatedColumnFormula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calculatedColumnFormula>
    </tableColumn>
    <tableColumn id="62" xr3:uid="{2B93AE6E-4076-48BC-848F-751C15DA5E43}" name="_Zисточника">
      <calculatedColumnFormula>IF(Щиты[[#This Row],[_Zсети]]="","",Щиты[[#This Row],[_Zсети]]+Щиты[[#This Row],[_петля пит. кабеля]])</calculatedColumnFormula>
    </tableColumn>
    <tableColumn id="63" xr3:uid="{488A93EC-A871-4E38-A507-81F527C62CAA}" name="_Zфидера">
      <calculatedColumnFormula array="1">IF(Щиты[[#This Row],[_строка фидера]]="","",INDEX(Линии[_Zкабеля],Щиты[[#This Row],[_строка фидера]]))</calculatedColumnFormula>
    </tableColumn>
    <tableColumn id="64" xr3:uid="{94E4DE06-2A56-4788-9645-2D42B30BB3FF}" name="Zпетли на шинах, Ом" dataDxfId="66">
      <calculatedColumnFormula array="1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calculatedColumnFormula>
    </tableColumn>
    <tableColumn id="65" xr3:uid="{523CD981-142B-493B-87D6-06FA598D3801}" name="_Zmax сети">
      <calculatedColumnFormula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calculatedColumnFormula>
    </tableColumn>
    <tableColumn id="66" xr3:uid="{24E41F13-B263-4BF5-A96A-FF5BA3FF450D}" name="_Zmax источника">
      <calculatedColumnFormula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calculatedColumnFormula>
    </tableColumn>
    <tableColumn id="67" xr3:uid="{3CEBEE76-5A80-4584-9D67-C8990AEF091D}" name="_Zmax фидера">
      <calculatedColumnFormula array="1">IF(Щиты[[#This Row],[_строка фидера]]="","",INDEX(Линии[_Zmax кабеля],Щиты[[#This Row],[_строка фидера]]))</calculatedColumnFormula>
    </tableColumn>
    <tableColumn id="68" xr3:uid="{B2F3F50B-636C-46F2-A96A-7E0909EE0AD8}" name="Zmax на шинах, Ом" dataDxfId="65">
      <calculatedColumnFormula array="1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calculatedColumnFormula>
    </tableColumn>
    <tableColumn id="69" xr3:uid="{4107DB0C-6EE0-45A9-BCC3-8F989E771AF9}" name="_ранг собств">
      <calculatedColumnFormula>_xlfn.MAXIFS(Линии[_ранг для фидера],Линии[Щит],Щиты[[#This Row],[Щит]])</calculatedColumnFormula>
    </tableColumn>
    <tableColumn id="70" xr3:uid="{2996FAE3-EC95-4B65-83DE-F2E3610883C6}" name="Высшая категория нагрузки">
      <calculatedColumnFormula array="1">IFERROR(INDEX({"III","II","I","I особая"},MAX(1,_xlfn.MAXIFS(Щиты[_ранг собств],Щиты[Путь],"*|"&amp;Щиты[[#This Row],[Щит]]&amp;"|*"))),"III")</calculatedColumnFormula>
    </tableColumn>
    <tableColumn id="71" xr3:uid="{1214516E-90AB-46B7-8714-AD3597209A84}" name="Категория фидера">
      <calculatedColumnFormula array="1">IF(Щиты[[#This Row],[_строка фидера]]="","",INDEX(Линии[Категория (итог)],Щиты[[#This Row],[_строка фидера]]))</calculatedColumnFormula>
    </tableColumn>
    <tableColumn id="72" xr3:uid="{CB2C2FFC-F9D8-4D6F-AA73-0EC0C117E40E}" name="Iпуск max, А" dataDxfId="64">
      <calculatedColumnFormula>_xlfn.MAXIFS(Линии[Iпуск, А],Линии[Щит],Щиты[[#This Row],[Щит]])</calculatedColumnFormula>
    </tableColumn>
    <tableColumn id="73" xr3:uid="{A3666ECA-D90C-4F93-B324-3B4A687A302B}" name="Источник фидера">
      <calculatedColumnFormula array="1">IF(Щиты[[#This Row],[_строка фидера]]="","",INDEX(Линии[Источник для режимов],Щиты[[#This Row],[_строка фидера]]))</calculatedColumnFormula>
    </tableColumn>
    <tableColumn id="74" xr3:uid="{F2F34680-5DF8-4B1B-85CF-F2AC21320B0B}" name="Пожарный фидер">
      <calculatedColumnFormula array="1">IF(Щиты[[#This Row],[_строка фидера]]="","",INDEX(Линии[Пожарная (итог)],Щиты[[#This Row],[_строка фидера]]))</calculatedColumnFormula>
    </tableColumn>
    <tableColumn id="75" xr3:uid="{9FCE18C7-C5C4-4D0C-89B9-425294CF7D58}" name="Не обеспечено, линий">
      <calculatedColumnFormula>COUNTIFS(Линии[Щит],Щиты[[#This Row],[Щит]],Линии[Категория: проверка],"НЕ ОБЕСПЕЧЕНА")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8C1774E-10C3-48A6-8BA9-A9FA7FFD2B45}" name="Шины" displayName="Шины" ref="A8:C9" totalsRowShown="0">
  <autoFilter ref="A8:C9" xr:uid="{A8C1774E-10C3-48A6-8BA9-A9FA7FFD2B45}"/>
  <tableColumns count="3">
    <tableColumn id="1" xr3:uid="{FEAF95D5-3ED5-4621-83BB-AA4632FA2683}" name="Шина"/>
    <tableColumn id="2" xr3:uid="{55F729DB-F254-48C6-A1E7-10A65604AA90}" name="Щит"/>
    <tableColumn id="3" xr3:uid="{8FCB97F9-3412-479B-9DEB-E9A5EC0F775A}" name="Тип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9B915BA-EC81-487C-B73F-7C19CFC87986}" name="Линии" displayName="Линии" ref="A2:GY72" totalsRowShown="0">
  <autoFilter ref="A2:GY72" xr:uid="{59B915BA-EC81-487C-B73F-7C19CFC87986}"/>
  <tableColumns count="207">
    <tableColumn id="1" xr3:uid="{721B4361-05F7-451F-9985-B7528D55B45F}" name="Щит"/>
    <tableColumn id="2" xr3:uid="{7808E3FB-B0C3-4427-BF17-C03CA82A7ED5}" name="№ места"/>
    <tableColumn id="3" xr3:uid="{7475C4AD-0601-45FD-95C9-6D3407C5C5EF}" name="Лист / место">
      <calculatedColumnFormula>IF(BD3="","",IF(BE3="вводной узел","узел ","")&amp;"л."&amp;(INT((BD3-1)/Столбцов_на_лист)+1)&amp;" / "&amp;(MOD(BD3-1,Столбцов_на_лист)+1))</calculatedColumnFormula>
    </tableColumn>
    <tableColumn id="4" xr3:uid="{064CF98C-F9FC-4D04-9FC6-71E13FB1529D}" name="Номер линии"/>
    <tableColumn id="5" xr3:uid="{D8634C47-A41A-4EC6-9493-774584BE4696}" name="Наименование" dataDxfId="47">
      <calculatedColumnFormula>AY3</calculatedColumnFormula>
    </tableColumn>
    <tableColumn id="6" xr3:uid="{6EFBDDEA-81A7-4933-8724-48C716105BA6}" name="Питает щит"/>
    <tableColumn id="7" xr3:uid="{917A181A-0FE3-4F76-89D0-34B7ABCB8A92}" name="Мощность, кВт"/>
    <tableColumn id="8" xr3:uid="{6B660973-045D-4381-BCEE-B6E78B603F9C}" name="Кол-во потребителей (для длины)"/>
    <tableColumn id="9" xr3:uid="{C9B7363B-A99D-49B6-AC42-305D72D4BE7F}" name="Кол-во фаз"/>
    <tableColumn id="10" xr3:uid="{E6DA38C5-A3EA-4751-A7BD-D66447EBB46F}" name="Напряжение"/>
    <tableColumn id="11" xr3:uid="{B636CA2F-65C5-40BB-8295-F239344AA3EE}" name="Группа Кс (Быт/Сил/Пост/Отоп/ВНГ/Нет; пусто = по коду)"/>
    <tableColumn id="12" xr3:uid="{5A4CEEB9-D621-41D8-875C-01B2CB71BB83}" name="Кс (для Сил)"/>
    <tableColumn id="13" xr3:uid="{6D6A568C-2688-4622-A0FA-4510AAE01B3F}" name="cos φ (ручн.)"/>
    <tableColumn id="14" xr3:uid="{AB012B10-483E-4AC7-BC48-076052B75A64}" name="Секция (1/2/3; пусто = 1)"/>
    <tableColumn id="15" xr3:uid="{7B9C3891-8D4C-4557-A54E-79B1484B9F75}" name="Фаза (ручная)"/>
    <tableColumn id="16" xr3:uid="{8E80014B-86B3-4F23-8F9C-4A57143575AC}" name="Длина линии (по плану)"/>
    <tableColumn id="17" xr3:uid="{8DE30D09-2070-43CC-9506-12937601673C}" name="Лоток"/>
    <tableColumn id="18" xr3:uid="{613E0499-FEE5-4A8F-A178-21777B2B98BC}" name="Гофра ПВХ"/>
    <tableColumn id="19" xr3:uid="{59709D61-0EF9-4D4D-8EC8-56C36786B6B4}" name="Гофра ПНД"/>
    <tableColumn id="20" xr3:uid="{57D42C02-2760-42C4-B376-4A0DFC0A6679}" name="Потолок - 1/Пол - 2"/>
    <tableColumn id="21" xr3:uid="{9E04292A-1694-4A39-968C-41DDFD97D417}" name="Марка кабеля"/>
    <tableColumn id="22" xr3:uid="{E4F50FDF-50AD-47F3-9287-6E0C0120042B}" name="Кол-во жил"/>
    <tableColumn id="23" xr3:uid="{B56B8463-FDEA-4592-B195-72AE62D2EBDA}" name="Сечение (ручное)"/>
    <tableColumn id="24" xr3:uid="{CCFED45D-06C8-4A12-A1EE-87B083A1F9E4}" name="автомат (ручное)"/>
    <tableColumn id="25" xr3:uid="{143206FD-6F07-43BB-82AA-BD3D5304B69D}" name="К прокл. линии (пусто = общий)"/>
    <tableColumn id="26" xr3:uid="{E71DA791-2ACE-4FE1-AD79-7FE7F9175D4D}" name="Вид нагрузки (пусто = по коду)"/>
    <tableColumn id="27" xr3:uid="{63DC8E2D-6E00-4F3C-8A11-BCED284E94FC}" name="Категория надёжности (ввод: I особая / I / II / III; пусто = III)"/>
    <tableColumn id="28" xr3:uid="{3606B6A4-238A-4B74-A9A7-CA0F30F26B0C}" name="Пожарная (ввод: да / нет; пусто = по коду)"/>
    <tableColumn id="29" xr3:uid="{D62D3C1C-6420-4BBF-96C8-C5362063167A}" name="Шина"/>
    <tableColumn id="30" xr3:uid="{36BBE6C1-9AF8-41EE-BE89-126263546936}" name="Автомат «авто» или текст"/>
    <tableColumn id="31" xr3:uid="{9F4518E4-32E5-45B8-AD36-357FC4DCE9F4}" name="Дифзащита, мА"/>
    <tableColumn id="32" xr3:uid="{40A59070-5E58-4E6D-B564-3421C177124E}" name="Аппарат 1"/>
    <tableColumn id="33" xr3:uid="{51315A8C-C9B9-4EEC-AD79-428FC757F426}" name="Аппарат 2"/>
    <tableColumn id="34" xr3:uid="{C73C4EA8-AFFA-49D8-B048-7F443CB93217}" name="Аппарат 3"/>
    <tableColumn id="35" xr3:uid="{5EE6F46E-190D-41CC-80B8-EE0401BA779F}" name="Модуль"/>
    <tableColumn id="36" xr3:uid="{9278F086-8EE2-4AF0-ABAB-6D2255BEE609}" name="Канал"/>
    <tableColumn id="37" xr3:uid="{1BB083C9-C801-48F7-914B-D09517AAE957}" name="Клемма"/>
    <tableColumn id="38" xr3:uid="{8BF6B15B-6E91-4460-BA1F-8D7797FCF4CA}" name="Режим"/>
    <tableColumn id="39" xr3:uid="{81BDCB94-38E6-4BD7-A858-4BA6FA1530F6}" name="DWG: гофра ПВХ по плану, м"/>
    <tableColumn id="40" xr3:uid="{FE8B297D-5B13-42BC-BC79-7D832570F89E}" name="DWG: гофра ПНД по плану, м"/>
    <tableColumn id="41" xr3:uid="{73D24768-8093-4EFF-96AE-D7C60EE4A032}" name="DWG: хэндлы полилиний"/>
    <tableColumn id="42" xr3:uid="{2931EB39-AF44-424F-8B00-3F812E6E27EE}" name="DWG: примечание"/>
    <tableColumn id="43" xr3:uid="{BBCB9C0C-46E7-4BFF-9A94-C4616A5AF800}" name="Доп информация из выноски"/>
    <tableColumn id="44" xr3:uid="{BB3CB64C-52F9-4A76-8308-8EEF86828333}" name="Замечания">
      <calculatedColumnFormula>_xlfn.TEXTJOIN("; ",TRUE,FK3,IF(DO3="НЕ ОБЕСПЕЧЕНА","категория "&amp;DE3&amp;" не обеспечена (есть "&amp;DL3&amp;")",""),IF(LEFT(FM3,3)="Icu",FM3,""),IF(AND(D3&lt;&gt;"",BS3="Не исп"),"сечение не подобрано",""))</calculatedColumnFormula>
    </tableColumn>
    <tableColumn id="45" xr3:uid="{9CED4B46-6F7C-4F33-BD44-02848CD5C1AF}" name="_n">
      <calculatedColumnFormula array="1">ROW()-ROW(Линии[#Headers])</calculatedColumnFormula>
    </tableColumn>
    <tableColumn id="46" xr3:uid="{1A7A9C8D-5000-4BAA-80B1-051D27762FB3}" name="Код" dataDxfId="63">
      <calculatedColumnFormula>IF(D3="","",IFERROR(LEFT(D3,SEARCH(".",D3)-1),D3))</calculatedColumnFormula>
    </tableColumn>
    <tableColumn id="47" xr3:uid="{3355D3C4-14D1-415C-A81A-C76C4A0A0F91}" name="_часть1">
      <calculatedColumnFormula>IFERROR(RIGHT(D3,LEN(D3)-SEARCH(".",D3)),"")</calculatedColumnFormula>
    </tableColumn>
    <tableColumn id="48" xr3:uid="{3E364427-905C-4238-8BC5-8B2B605176FE}" name="Этаж/Шлейф">
      <calculatedColumnFormula>IFERROR(LEFT(AU3,SEARCH(".",AU3)-1),AU3)</calculatedColumnFormula>
    </tableColumn>
    <tableColumn id="49" xr3:uid="{D4BAB100-EC9E-49CD-AD86-32DA66D488D2}" name="_часть2">
      <calculatedColumnFormula>IFERROR(RIGHT(AU3,LEN(AU3)-SEARCH(".",AU3)),"")</calculatedColumnFormula>
    </tableColumn>
    <tableColumn id="50" xr3:uid="{F94444F2-909A-4F7E-9DB5-D6E4862011E0}" name="Помещение">
      <calculatedColumnFormula>IFERROR(LEFT(AW3,SEARCH(".",AW3)-1),AW3)</calculatedColumnFormula>
    </tableColumn>
    <tableColumn id="51" xr3:uid="{BF123580-AF74-4D19-BE0E-AB292C27DEA7}" name="Наименование по коду">
      <calculatedColumnFormula>IF(D3="","",IF(ISERROR(SEARCH(".",D3)),IFERROR(VLOOKUP(D3,Потребители_обозначение,2,FALSE)&amp;"",""),IFERROR(IF(VLOOKUP(AT3,Потребители_обозначение,4,FALSE)=1,VLOOKUP(AT3,Потребители_обозначение,2,FALSE)&amp;" "&amp;VLOOKUP(AV3,Этаж_обозначение,2,FALSE)&amp;" Пом. №"&amp;AX3,VLOOKUP(AT3,Потребители_обозначение,2,FALSE)&amp;" Шлейф №"&amp;AV3),IFERROR(VLOOKUP(D3,Потребители_обозначение,2,FALSE),""))))</calculatedColumnFormula>
    </tableColumn>
    <tableColumn id="52" xr3:uid="{254D2D20-4842-422B-93C9-0D602E28E16D}" name="Наименование (итог)">
      <calculatedColumnFormula>IF(E3&lt;&gt;"",E3,AY3)</calculatedColumnFormula>
    </tableColumn>
    <tableColumn id="53" xr3:uid="{540EB870-DFA9-4F19-ADDB-D2451133483A}" name="_фидер">
      <calculatedColumnFormula>IF(F3&lt;&gt;"",F3,IF(AND(D3&lt;&gt;"",D3&lt;&gt;A3,ISNUMBER(_xlfn.XMATCH(D3,Щиты[Щит]))),D3,""))</calculatedColumnFormula>
    </tableColumn>
    <tableColumn id="54" xr3:uid="{91EF1A5F-6C76-4ABA-BC51-CCD42242B2D5}" name="_№ щита">
      <calculatedColumnFormula>IFERROR(_xlfn.XMATCH(A3,Щиты[Щит]),0)</calculatedColumnFormula>
    </tableColumn>
    <tableColumn id="55" xr3:uid="{C2914D92-9EC8-4608-B878-A276202F6C2B}" name="_мест узла">
      <calculatedColumnFormula>IFERROR(N(_xlfn.XLOOKUP(A3,Щиты[Щит],Щиты[Мест под вводной узел])),15)</calculatedColumnFormula>
    </tableColumn>
    <tableColumn id="56" xr3:uid="{6A2A8017-4923-42AD-A704-B8BE6B0ACCA5}" name="_№ места (итог)">
      <calculatedColumnFormula>IF(B3="-","",IF(ISNUMBER(B3),B3,_xlfn.LET(_xlpm.prev,IF(OR(AS3=1,A3&lt;&gt;A2),0,N(IF(AS3=1,"",BD2))),_xlpm.nx,_xlpm.prev+1,IF(AND(AL3&lt;&gt;"вручную",_xlpm.nx&lt;=BC3),BC3+1,_xlpm.nx))))</calculatedColumnFormula>
    </tableColumn>
    <tableColumn id="57" xr3:uid="{B9275FAD-FEE7-4AE9-9084-58328C2A1499}" name="_зона">
      <calculatedColumnFormula>IF(BD3="","",IF(BD3&lt;=BC3,"вводной узел","линии"))</calculatedColumnFormula>
    </tableColumn>
    <tableColumn id="58" xr3:uid="{8E005AC3-D919-448C-8ABD-C2A2FD192B0D}" name="Р, кВт" dataDxfId="62">
      <calculatedColumnFormula>IF(D3="","",IF(BA3&lt;&gt;"",IFERROR(_xlfn.XLOOKUP(BA3,Щиты[Щит],Щиты[Руст, кВт]),0),N(G3)))</calculatedColumnFormula>
    </tableColumn>
    <tableColumn id="59" xr3:uid="{787EC5E6-5DC2-4873-927B-52285AA8AD88}" name="U, В">
      <calculatedColumnFormula>IF(J3&lt;&gt;"",J3,IF(D3="","",IFERROR(IF(VLOOKUP(AT3,Потребители_обозначение,8,FALSE)=0,"",VLOOKUP(AT3,Потребители_обозначение,8,FALSE)),"")))</calculatedColumnFormula>
    </tableColumn>
    <tableColumn id="60" xr3:uid="{F917854E-3308-4183-9BD4-EC6A9D43F23A}" name="Фаз">
      <calculatedColumnFormula>IF(I3&lt;&gt;"",I3,IF(D3="","",IFERROR(IF(VLOOKUP(AT3,Потребители_обозначение,9,FALSE)=0,"",VLOOKUP(AT3,Потребители_обозначение,9,FALSE)),"")))</calculatedColumnFormula>
    </tableColumn>
    <tableColumn id="61" xr3:uid="{F890CA8C-30A7-4236-8ED0-DDFBFF640CF0}" name="Марка (итог)">
      <calculatedColumnFormula>IF(U3&lt;&gt;"",U3,IF(D3="","",IFERROR(IF(VLOOKUP(AT3,Потребители_обозначение,6,FALSE)=0,"",VLOOKUP(AT3,Потребители_обозначение,6,FALSE)),"")))</calculatedColumnFormula>
    </tableColumn>
    <tableColumn id="62" xr3:uid="{7092A6D6-FAA5-4E42-B1A8-8FAB6A4D118C}" name="Жил">
      <calculatedColumnFormula>IF(V3&lt;&gt;"",V3,IF(D3="","",IFERROR(IF(VLOOKUP(AT3,Потребители_обозначение,7,FALSE)=0,"",VLOOKUP(AT3,Потребители_обозначение,7,FALSE)),"")))</calculatedColumnFormula>
    </tableColumn>
    <tableColumn id="63" xr3:uid="{951B06E9-D1D9-4A87-8315-1736E0A8CC76}" name="Сечение задано">
      <calculatedColumnFormula>IF(W3&lt;&gt;"",W3,IF(D3="","",IFERROR(IF(VLOOKUP(AT3,Потребители_обозначение,10,FALSE)=0,"",VLOOKUP(AT3,Потребители_обозначение,10,FALSE)),"")))</calculatedColumnFormula>
    </tableColumn>
    <tableColumn id="64" xr3:uid="{A8505501-BB1C-4E1E-98B9-2E401847E1B2}" name="_тип пуска">
      <calculatedColumnFormula>IFERROR(VLOOKUP(AT3,Потребители_обозначение,5,FALSE),0)</calculatedColumnFormula>
    </tableColumn>
    <tableColumn id="65" xr3:uid="{C0BF08D2-D2CD-45C5-87BD-E3A26E52CF1B}" name="cos φ" dataDxfId="61">
      <calculatedColumnFormula array="1">IF(D3="","",IF(BA3&lt;&gt;"",IFERROR(_xlfn.XLOOKUP(BA3,Щиты[Щит],Щиты[cos φ]),0.95),IF(ISNUMBER(M3),M3,IFERROR(IF(BL3=2,_xlfn.IFS(BH3=3,VLOOKUP(BF3,Справочная_двигатели,8,FALSE),BH3=1,VLOOKUP(BF3,Справочная_двигатели,10,TRUE)),IF(AND(Методика="нормы 2026",CN3="Сил"),0.8,0.95)),0.95))))</calculatedColumnFormula>
    </tableColumn>
    <tableColumn id="66" xr3:uid="{0D788A35-F665-4D84-AADA-D401DA6DA8DF}" name="Ток, А" dataDxfId="60">
      <calculatedColumnFormula array="1">IF(D3="","",IF(BA3&lt;&gt;"",IFERROR(_xlfn.XLOOKUP(BA3,Щиты[Щит],Щиты[Iр, А]),""),IFERROR(_xlfn.IFS(BH3=1,BF3/((Uн_лин/SQRT(3))*BM3),BH3=3,BF3/(SQRT(3)*Uн_лин*BM3)),"")))</calculatedColumnFormula>
    </tableColumn>
    <tableColumn id="67" xr3:uid="{46A881A4-0612-48EE-BC7F-93907D3D3BFE}" name="Автомат">
      <calculatedColumnFormula>IF(D3="","",IF(N(X3)=0,IFERROR(VLOOKUP(BN3,Автомат_номиналы,2,TRUE),""),X3))</calculatedColumnFormula>
    </tableColumn>
    <tableColumn id="68" xr3:uid="{39EB9E39-F437-48A7-9C0C-D2134BA5005A}" name="_k жил">
      <calculatedColumnFormula>IF(N(BJ3)=1,1,IF(BH3=1,1,IF(N(BJ3)&gt;=4,0.92,1)))</calculatedColumnFormula>
    </tableColumn>
    <tableColumn id="69" xr3:uid="{7F6ACC50-828C-4C29-A09A-9AA291A4A543}" name="_К прокл">
      <calculatedColumnFormula>IF(ISNUMBER(Y3),Y3,К_прокл)</calculatedColumnFormula>
    </tableColumn>
    <tableColumn id="70" xr3:uid="{8F8D395A-D48D-4B1E-902F-30F39422E7D4}" name="_столбец Iдоп">
      <calculatedColumnFormula>IF(N(BJ3)=1,1,IF(BH3=1,2,3))</calculatedColumnFormula>
    </tableColumn>
    <tableColumn id="71" xr3:uid="{18C28FD0-A628-4E98-A3D5-5C3DCF7F9AC4}" name="Сечение">
      <calculatedColumnFormula array="1">IF(D3="","",IF(N(BK3)&lt;&gt;0,BK3,IFERROR(_xlfn.LET(_xlpm.need,BO3/(BP3*BQ3),_xlpm.t,CHOOSE(BR3,Iдоп_1ж,Iдоп_2ж,Iдоп_3ж),_xlpm.k,_xlfn.XMATCH(_xlpm.need,_xlpm.t,1),IF(ISNA(_xlpm.k),"Не исп",INDEX(Iдоп_S,_xlpm.k))),"Не исп")))</calculatedColumnFormula>
    </tableColumn>
    <tableColumn id="72" xr3:uid="{3D35CB57-851F-422F-AFCD-0DFF572787BC}" name="_ρ">
      <calculatedColumnFormula>IFERROR(VLOOKUP(BS3,Кабель_сопротивление,3,FALSE),"")</calculatedColumnFormula>
    </tableColumn>
    <tableColumn id="73" xr3:uid="{AD1614A8-B725-4CBB-8452-55EF20D85EE6}" name="_x">
      <calculatedColumnFormula>IFERROR(VLOOKUP(BS3,Кабель_сопротивление,2,FALSE),"")</calculatedColumnFormula>
    </tableColumn>
    <tableColumn id="74" xr3:uid="{179974BE-C6E2-4E77-BF8D-110E931D3BB7}" name="_Lплан">
      <calculatedColumnFormula>IF(P3&lt;&gt;"",P3,IF(COUNT(AM3,AN3)=0,"",ROUNDUP(SUM(AM3,AN3),0)))</calculatedColumnFormula>
    </tableColumn>
    <tableColumn id="75" xr3:uid="{643AF1C0-23A6-4D23-9411-54FB3BF8C50F}" name="Длина, м" dataDxfId="59">
      <calculatedColumnFormula>IF(D3="","",IFERROR(IF(VLOOKUP(AT3,Потребители_обозначение,4,FALSE)=1,VLOOKUP(AT3,Потребители_обозначение,3,FALSE)*(H3*2-1)+BV3+VLOOKUP(AV3,Этаж_обозначение,3,FALSE)+VLOOKUP(AV3,Этаж_обозначение,4,FALSE),VLOOKUP(AT3,Потребители_обозначение,3,FALSE)*(H3*2-1)+BV3),BV3))</calculatedColumnFormula>
    </tableColumn>
    <tableColumn id="76" xr3:uid="{E7CFC22D-096A-4506-B177-05597DBFB282}" name="_гофра ПВХ">
      <calculatedColumnFormula>IF(R3&lt;&gt;"",R3,IF(OR(BV3="",T3=""),"",IF(T3=1,MAX(0,BW3-ROUNDUP(N(AN3),0)-4),ROUNDUP(N(AM3),0))))</calculatedColumnFormula>
    </tableColumn>
    <tableColumn id="77" xr3:uid="{4171CF1D-2882-49DB-8729-3C89DC45B23E}" name="_гофра ПНД">
      <calculatedColumnFormula>IF(S3&lt;&gt;"",S3,IF(OR(BV3="",T3=""),"",IF(T3=2,MAX(0,BW3-ROUNDUP(N(AM3),0)-4),ROUNDUP(N(AN3),0))))</calculatedColumnFormula>
    </tableColumn>
    <tableColumn id="78" xr3:uid="{C60C53B7-1ABC-40F1-AA56-6D0C4A01CE67}" name="_b">
      <calculatedColumnFormula>IF(BH3=1,2,IF(BH3=3,1,""))</calculatedColumnFormula>
    </tableColumn>
    <tableColumn id="79" xr3:uid="{CC156DE6-B517-40D6-8E1A-301EA92C2A4C}" name="_sin">
      <calculatedColumnFormula>IFERROR(ROUND(SIN(ACOS(BM3)),2),"")</calculatedColumnFormula>
    </tableColumn>
    <tableColumn id="80" xr3:uid="{97339286-8B09-4EDB-9D8B-D115552F1A40}" name="_ΔU, В">
      <calculatedColumnFormula>IFERROR(BZ3*(BT3*BW3/BS3*BM3+BU3*BW3*CA3/1000)*BN3,"")</calculatedColumnFormula>
    </tableColumn>
    <tableColumn id="81" xr3:uid="{23B4CFAD-CE5C-45DE-A906-C49711C7A61F}" name="ΔU, %" dataDxfId="58">
      <calculatedColumnFormula>IFERROR(ROUNDUP(CB3/((Uн_лин/SQRT(3))*1000)*100,2),"")</calculatedColumnFormula>
    </tableColumn>
    <tableColumn id="82" xr3:uid="{4191DA73-4AC3-4EDC-9E17-2422F4AB7559}" name="ΔU от ВРУ, %" dataDxfId="57">
      <calculatedColumnFormula>IF(ISNUMBER(CC3),CC3+IFERROR(_xlfn.XLOOKUP(A3,Щиты[Щит],Щиты[ΔU до шин, %]),0),"")</calculatedColumnFormula>
    </tableColumn>
    <tableColumn id="83" xr3:uid="{773FF8FD-0BF7-4AD5-8346-D0F2C15CB5E8}" name="Допустимо ΔU, %" dataDxfId="56">
      <calculatedColumnFormula>IF(D3="","",IF(IFERROR(VLOOKUP(AT3,УГО_спр,2,FALSE),"")="Светильник",3,4)+IF(Методика="нормы 2026",MIN(0.5,MAX(0,N(BW3)-100)*0.005),0))</calculatedColumnFormula>
    </tableColumn>
    <tableColumn id="84" xr3:uid="{0ADC5ED9-24BF-4AF6-B90A-437F22782856}" name="_кабель">
      <calculatedColumnFormula>IFERROR(VLOOKUP(BI3,Кабель_обозначение,2,FALSE),"")</calculatedColumnFormula>
    </tableColumn>
    <tableColumn id="85" xr3:uid="{5D11A92A-59ED-4D2A-86EC-1F6653985B71}" name="_кабель с сечением">
      <calculatedColumnFormula>IFERROR(IF(VLOOKUP(BI3,Кабель_обозначение,3,FALSE)=1,CF3&amp;" ("&amp;BJ3&amp;"х"&amp;BS3&amp;")",CF3),"")</calculatedColumnFormula>
    </tableColumn>
    <tableColumn id="86" xr3:uid="{06890B47-F4F9-47A7-B35C-C187F5150FC8}" name="Кабель">
      <calculatedColumnFormula>IF(OR(D3="",CF3="",AND(G3&lt;&gt;"",NOT(ISNUMBER(G3)))),"",IF(BS3=0,CF3,CG3&amp;CHAR(10)&amp;"L="&amp;BW3&amp;"-"&amp;CC3&amp;"%"))</calculatedColumnFormula>
    </tableColumn>
    <tableColumn id="87" xr3:uid="{DDB360D6-C41B-4915-9D44-6779CD723F4D}" name="_Zкабеля">
      <calculatedColumnFormula>IFERROR(2*ρкз_Cu*BW3/BS3,"")</calculatedColumnFormula>
    </tableColumn>
    <tableColumn id="88" xr3:uid="{82B8E7EE-3A4E-4BCA-89D0-29601E369638}" name="_Zmax кабеля">
      <calculatedColumnFormula>IFERROR(0.0175*N(BW3)/BS3,"")</calculatedColumnFormula>
    </tableColumn>
    <tableColumn id="89" xr3:uid="{D9299883-3181-44B0-80CD-D7B34A2734DB}" name="Zпетли в конце, Ом" dataDxfId="55">
      <calculatedColumnFormula>IFERROR(IF(OR(D3="",NOT(ISNUMBER(BS3)),N(BW3)=0),"",_xlfn.XLOOKUP(A3,Щиты[Щит],Щиты[Zпетли на шинах, Ом])+CI3),"")</calculatedColumnFormula>
    </tableColumn>
    <tableColumn id="90" xr3:uid="{3380C105-2585-4D9A-9774-290DEBCC7333}" name="Iкз min в конце линии, А" dataDxfId="54">
      <calculatedColumnFormula>IF(ISNUMBER(CK3),c_min*(Uн_лин*1000/SQRT(3))/CK3,"")</calculatedColumnFormula>
    </tableColumn>
    <tableColumn id="91" xr3:uid="{3C25D2EC-88B2-4E91-AE3B-55E057A4A7F3}" name="Iкз max в конце, кА" dataDxfId="53">
      <calculatedColumnFormula>IFERROR(IF(OR(D3="",NOT(ISNUMBER(BS3))),"",1.05*(Uн_лин*1000/SQRT(3))/(_xlfn.XLOOKUP(A3,Щиты[Щит],Щиты[Zmax на шинах, Ом])+CJ3)/1000),"")</calculatedColumnFormula>
    </tableColumn>
    <tableColumn id="92" xr3:uid="{DB5861CC-502F-40FE-9446-E97EE555982A}" name="Группа Кс (итог)" dataDxfId="52">
      <calculatedColumnFormula>IF(D3="","",IF(BA3&lt;&gt;"","Щит",IF(K3&lt;&gt;"",K3,IF(ISNUMBER(L3),"Сил",IF(IFERROR(_xlfn.XLOOKUP(AT3,Коды_код,Коды_группа)&amp;"","")="","Быт",_xlfn.XLOOKUP(AT3,Коды_код,Коды_группа)&amp;"")))))</calculatedColumnFormula>
    </tableColumn>
    <tableColumn id="93" xr3:uid="{D7D44D4F-C1CF-4278-BC4C-B7CF7A4C6C14}" name="Кс" dataDxfId="51">
      <calculatedColumnFormula>IF(CN3="Щит","щит",IF(CN3="","",IF(CN3="Быт",IFERROR(_xlfn.XLOOKUP(A3,Щиты[Щит],Щиты[Кс быт]),1),IF(CN3="Сил",IF(ISNUMBER(L3),L3,IF(Методика="нормы 2026",IFERROR(_xlfn.XLOOKUP(A3,Щиты[Щит],Щиты[Кс силовых (табл. 7.5)]),1),1)),IF(OR(CN3="Пост",CN3="Отоп"),1,IF(CN3="ВНГ",0.7,0))))))</calculatedColumnFormula>
    </tableColumn>
    <tableColumn id="94" xr3:uid="{357B266F-68A7-466C-931E-49BA689CB5BA}" name="Секция">
      <calculatedColumnFormula>IF(CN3="","",IFERROR(MIN(3,MAX(1,INT(--N3))),1))</calculatedColumnFormula>
    </tableColumn>
    <tableColumn id="95" xr3:uid="{7296426C-37BE-4144-BF24-531E4BBAFC10}" name="_Руст (без Нет)">
      <calculatedColumnFormula>IF(OR(CN3="",CN3="Нет",CN3="Щит"),0,N(BF3))</calculatedColumnFormula>
    </tableColumn>
    <tableColumn id="96" xr3:uid="{7F7A22CC-DA26-4BAC-8299-661EFB37EDC7}" name="_Руст быт">
      <calculatedColumnFormula>IF(CN3="Быт",N(BF3),0)</calculatedColumnFormula>
    </tableColumn>
    <tableColumn id="97" xr3:uid="{85E542D3-354A-46F2-BEC2-79A99A59DB34}" name="_Рр сил">
      <calculatedColumnFormula>IF(CN3="Сил",N(BF3)*N(CO3),0)</calculatedColumnFormula>
    </tableColumn>
    <tableColumn id="98" xr3:uid="{9B49FF1B-67B7-440E-8011-38C5447CD34C}" name="_Руст пост">
      <calculatedColumnFormula>IF(CN3="Пост",N(BF3),0)</calculatedColumnFormula>
    </tableColumn>
    <tableColumn id="99" xr3:uid="{C39BB30B-3492-4251-9A68-B2DA990F84AD}" name="_Р отопления">
      <calculatedColumnFormula>IF(CN3="Отоп",N(BF3),0)</calculatedColumnFormula>
    </tableColumn>
    <tableColumn id="100" xr3:uid="{A8A7C3A6-64C3-4056-9A35-A5C2FB32EE8F}" name="_Рр ВНГ">
      <calculatedColumnFormula>IF(CN3="ВНГ",N(BF3)*0.7,0)</calculatedColumnFormula>
    </tableColumn>
    <tableColumn id="101" xr3:uid="{548DA629-BE13-4948-8C92-882D3CB43BED}" name="_P для cos">
      <calculatedColumnFormula>IF(OR(D3="",CN3="Щит"),0,N(BF3))</calculatedColumnFormula>
    </tableColumn>
    <tableColumn id="102" xr3:uid="{9FDA5CDC-94FC-46B2-AAA4-976CADE0B313}" name="_P·cos">
      <calculatedColumnFormula>IF(OR(D3="",CN3="Щит"),0,N(BF3)*N(BM3))</calculatedColumnFormula>
    </tableColumn>
    <tableColumn id="103" xr3:uid="{1915A6DC-93EB-4B0D-8E04-8F27C9EE9361}" name="_фаза №">
      <calculatedColumnFormula>_xlfn.LET(_xlpm.prev,IF(OR(OR(AS3=1,A3&lt;&gt;A2)),0,N(IF(AS3=1,"",CY2))),IF(OR(D3="",BH3=3),_xlpm.prev,IF(_xlpm.prev&gt;=3,1,_xlpm.prev+1)))</calculatedColumnFormula>
    </tableColumn>
    <tableColumn id="104" xr3:uid="{B4B095F8-36A1-4314-BA04-D9C75D3A04BF}" name="_фаза авто">
      <calculatedColumnFormula>IF(D3="","",IF(BH3=3,"L1,L2,L3","L"&amp;MAX(1,CY3)))</calculatedColumnFormula>
    </tableColumn>
    <tableColumn id="105" xr3:uid="{03FA7CC6-E4D2-409F-8C0F-4AF904896555}" name="_Iпуск двиг.">
      <calculatedColumnFormula array="1">IFERROR(IF(BL3=2,_xlfn.IFS(BH3=3,VLOOKUP(BF3,Справочная_двигатели,3,FALSE),BH3=1,VLOOKUP(BF3,Справочная_двигатели,5,TRUE)),0),0)</calculatedColumnFormula>
    </tableColumn>
    <tableColumn id="106" xr3:uid="{9D8D413A-F232-4541-82F0-6606CF7137B6}" name="_Iпуск LED">
      <calculatedColumnFormula>IFERROR(IF(BL3=3,VLOOKUP(BF3,Справочная_ЛЭД,2,TRUE),0),0)</calculatedColumnFormula>
    </tableColumn>
    <tableColumn id="107" xr3:uid="{0E3CE7FA-FFB8-4B28-8917-A1610B850B25}" name="Iпуск, А" dataDxfId="50">
      <calculatedColumnFormula>IF(D3="","",IF(DA3=0,DB3,DA3))</calculatedColumnFormula>
    </tableColumn>
    <tableColumn id="108" xr3:uid="{4D104A72-32C2-4D3D-906B-B3DE233B9F48}" name="Фаза">
      <calculatedColumnFormula>IF(D3="","",IF(O3="упр","",IF(O3="",CZ3,IF(O3&amp;""="1,2,3","L1,L2,L3","L"&amp;O3))))</calculatedColumnFormula>
    </tableColumn>
    <tableColumn id="109" xr3:uid="{801D66F8-4A11-4ECE-B3CE-7E4F81EF9407}" name="Категория (итог)">
      <calculatedColumnFormula array="1">IF(D3="","",IFERROR(INDEX({"I особая","I","II","III"},MATCH(TRIM(AA3&amp;""),{"I особая","I","II","III"},0)),"III"))</calculatedColumnFormula>
    </tableColumn>
    <tableColumn id="110" xr3:uid="{43CEE4BE-D9CB-4838-A8CF-CE809320F618}" name="Пожарная (итог)">
      <calculatedColumnFormula>IF(D3="","",IF(TRIM(AB3&amp;"")&lt;&gt;"",IF(LOWER(TRIM(AB3&amp;""))="да","да","нет"),IF(IFERROR(_xlfn.XLOOKUP(AT3,Коды_код,Коды_пожарная),"")="да","да","нет")))</calculatedColumnFormula>
    </tableColumn>
    <tableColumn id="111" xr3:uid="{8900A904-E3D5-43FA-94D1-765930705A06}" name="_шина группы">
      <calculatedColumnFormula>IF(AC3&lt;&gt;"",AC3,IF(AD3&lt;&gt;"","",IF(EK3="","",IF(AS3=1,"",DG2))))</calculatedColumnFormula>
    </tableColumn>
    <tableColumn id="112" xr3:uid="{CC7248C0-A445-4728-A64E-FA723EF5FC8E}" name="Шина (итог)">
      <calculatedColumnFormula>IF(D3="","",IF(DG3="","основная",DG3))</calculatedColumnFormula>
    </tableColumn>
    <tableColumn id="113" xr3:uid="{F7500E42-E059-4525-B536-62AB74CEC102}" name="_секция №">
      <calculatedColumnFormula>IFERROR(MIN(3,MAX(1,INT(--N3))),1)</calculatedColumnFormula>
    </tableColumn>
    <tableColumn id="114" xr3:uid="{229B50E4-FC91-4649-A6B0-15E32F8EB1A7}" name="Тип шины">
      <calculatedColumnFormula array="1">IF(D3="","",_xlfn.LET(_xlpm.t,IFERROR(_xlfn.XLOOKUP(1,(Шины[Шина]=DH3)*(((Шины[Щит]=A3)+(Шины[Щит]=""))&gt;0),Шины[Тип]),"")&amp;"",IF(_xlpm.t&lt;&gt;"",_xlpm.t,IF(ISNUMBER(SEARCH("ИБП",DH3)),"ИБП",IF(ISNUMBER(SEARCH("ДГУ",DH3)),"ДГУ","Ввод "&amp;DI3)))))</calculatedColumnFormula>
    </tableColumn>
    <tableColumn id="115" xr3:uid="{0D4E0D7C-F484-462C-9701-8DEF8E3026AD}" name="Источник для режимов">
      <calculatedColumnFormula>IF(D3="","",IF(OR(DJ3="ИБП",DJ3="ДГУ"),DJ3,IF(LEFT(DJ3,5)="Ввод ",DJ3,"Ввод "&amp;DI3)))</calculatedColumnFormula>
    </tableColumn>
    <tableColumn id="116" xr3:uid="{05B4A7FD-905B-4CFE-964D-1E6F139A61A0}" name="Категория обеспечена">
      <calculatedColumnFormula>IF(D3="","",IF(OR(DJ3="ИБП",DJ3="ДГУ"),"I особая",IF(DJ3="Одиночная","III",_xlfn.XLOOKUP(A3,Щиты[Щит],Щиты[Категория шины «Ввод»],"III"))))</calculatedColumnFormula>
    </tableColumn>
    <tableColumn id="117" xr3:uid="{D66A246E-D0C0-4E7D-B853-49DB97C34097}" name="_ранг категории">
      <calculatedColumnFormula>IF(D3="",0,IFERROR(MATCH(DE3,{"III","II","I","I особая"},0),1))</calculatedColumnFormula>
    </tableColumn>
    <tableColumn id="118" xr3:uid="{D80A401E-BC50-40C0-8FAE-777408F6F3B7}" name="_ранг для фидера">
      <calculatedColumnFormula>IF(OR(DJ3="ИБП",DJ3="ДГУ"),MIN(DM3,3),DM3)</calculatedColumnFormula>
    </tableColumn>
    <tableColumn id="119" xr3:uid="{20E41F1A-E4AC-4CC1-A4EA-A367448BA54B}" name="Категория: проверка">
      <calculatedColumnFormula>IF(D3="","",IF(DM3&gt;IFERROR(MATCH(DL3,{"III","II","I","I особая"},0),1),"НЕ ОБЕСПЕЧЕНА","ОК"))</calculatedColumnFormula>
    </tableColumn>
    <tableColumn id="120" xr3:uid="{86EA9166-5985-47E3-8BA1-6071CE252507}" name="_путь щита">
      <calculatedColumnFormula>IF(A3="","",_xlfn.XLOOKUP(A3,Щиты[Щит],Щиты[Путь],""))</calculatedColumnFormula>
    </tableColumn>
    <tableColumn id="121" xr3:uid="{AC0807DE-D756-48FB-A500-43824E6E65DE}" name="Вид нагрузки (итог)">
      <calculatedColumnFormula>IF(D3="","",IF(Z3&lt;&gt;"",Z3,IF(IFERROR(_xlfn.XLOOKUP(AT3,Коды_код,Коды_вид)&amp;"","")="","Прочее",_xlfn.XLOOKUP(AT3,Коды_код,Коды_вид)&amp;"")))</calculatedColumnFormula>
    </tableColumn>
    <tableColumn id="122" xr3:uid="{5B16A780-4703-40C2-9796-6441FEDD5B81}" name="Лист схемы">
      <calculatedColumnFormula>IF(BD3="","",INT((BD3-1)/Столбцов_на_лист)+1)</calculatedColumnFormula>
    </tableColumn>
    <tableColumn id="123" xr3:uid="{2D5C1042-5867-4622-AB16-54EFD2C6571B}" name="Кабель (строкой)">
      <calculatedColumnFormula>IF(D3="","",SUBSTITUTE(CH3,CHAR(10)," "))</calculatedColumnFormula>
    </tableColumn>
    <tableColumn id="124" xr3:uid="{8C81B05B-2301-4F6A-A389-EDA9FAF8160D}" name="_Р схемы">
      <calculatedColumnFormula>IF(D3="","",IFERROR(--BF3,""))</calculatedColumnFormula>
    </tableColumn>
    <tableColumn id="125" xr3:uid="{AE30A263-3EB1-471B-92DB-415D76AE41F5}" name="_Ток схемы">
      <calculatedColumnFormula>IF(D3="","",IFERROR(ROUNDUP(BN3,2),""))</calculatedColumnFormula>
    </tableColumn>
    <tableColumn id="126" xr3:uid="{92FD7481-571B-44DE-833F-51026D203560}" name="_фаз">
      <calculatedColumnFormula>IF(D3="","",IFERROR(--BH3,1))</calculatedColumnFormula>
    </tableColumn>
    <tableColumn id="127" xr3:uid="{F475D5D8-04DD-421A-A51B-BB85F681239B}" name="_дифзащита по коду, мА">
      <calculatedColumnFormula>IF(AT3="",0,_xlfn.LET(_xlpm.v,IFERROR(VLOOKUP(D3,УГО_спр,3,FALSE),IFERROR(VLOOKUP(AT3,УГО_спр,3,FALSE),IFERROR(VLOOKUP(LEFT(AT3,2),УГО_спр,3,FALSE),""))),IF(_xlpm.v="да",30,IF(ISNUMBER(_xlpm.v),_xlpm.v,0))))</calculatedColumnFormula>
    </tableColumn>
    <tableColumn id="128" xr3:uid="{285DF209-71FE-471A-BFEF-993B9EF10B1C}" name="_в кабель выше">
      <calculatedColumnFormula>IF(OR(AJ3="+",AND(D3&lt;&gt;"",D3=IF(AS3=1,"",D2))),1,0)</calculatedColumnFormula>
    </tableColumn>
    <tableColumn id="129" xr3:uid="{C38BD68A-F8BE-4FDA-96FA-7EA358F88E8E}" name="_гр.">
      <calculatedColumnFormula>IF(BD3="","",IF(AD3&lt;&gt;"",COUNTIFS(A$3:A3,A3,AD$3:AD3,"?*"),IF(OR(OR(AS3=1,A3&lt;&gt;A2),AL3="вручную"),"",IF(AS3=1,"",DZ2))))</calculatedColumnFormula>
    </tableColumn>
    <tableColumn id="130" xr3:uid="{9F18C774-D9B4-40A8-B4CB-964B6501B676}" name="_гр. (перенос)">
      <calculatedColumnFormula>IF(BD3="",IF(OR(AS3=1,A3&lt;&gt;A2),"",IF(AS3=1,"",DZ2)),DY3)</calculatedColumnFormula>
    </tableColumn>
    <tableColumn id="131" xr3:uid="{65EC0113-807D-40AF-8371-D2FFF653F9C3}" name="_мин. по типу">
      <calculatedColumnFormula>IF(D3="",0,MAX(IFERROR(--X3,0),IFERROR(--VLOOKUP(D3,УГО_спр,4,FALSE),IFERROR(--VLOOKUP(AT3,УГО_спр,4,FALSE),IFERROR(--VLOOKUP(LEFT(AT3,2),УГО_спр,4,FALSE),0)))))</calculatedColumnFormula>
    </tableColumn>
    <tableColumn id="132" xr3:uid="{705685CC-53D5-40AE-86AB-FC1CDA6C474F}" name="_макс. автомат по кабелю">
      <calculatedColumnFormula>IF(D3="","",IFERROR(LOOKUP(INDEX(CHOOSE(BR3,Iдоп_1ж,Iдоп_2ж,Iдоп_3ж),MATCH(BS3,Iдоп_S,0))*BP3*BQ3,{6,10,16,20,25,32,40,50,63,80,100,125,160,200,250,315,400,500,630}),""))</calculatedColumnFormula>
    </tableColumn>
    <tableColumn id="133" xr3:uid="{29BF6C7E-9672-4588-B2EA-009C1B0F0788}" name="_ток группы">
      <calculatedColumnFormula>IF(AD3="","",SUMIFS(Линии[_Ток схемы],Линии[_гр.],DY3,Линии[Щит],A3,Линии[_в кабель выше],0))</calculatedColumnFormula>
    </tableColumn>
    <tableColumn id="134" xr3:uid="{0DD91793-D01E-4351-A5AD-DF0BDFD7EF44}" name="_номинал по току">
      <calculatedColumnFormula>IF(AD3="","",IFERROR(VLOOKUP(EC3,Автомат_номиналы,2,TRUE),""))</calculatedColumnFormula>
    </tableColumn>
    <tableColumn id="135" xr3:uid="{3E325680-E9B0-40E2-933E-0F88BB08CD81}" name="_по току">
      <calculatedColumnFormula>IF(AD3="","",MAX(N(ED3),_xlfn.MAXIFS(Линии[_мин. по типу],Линии[_гр.],DY3,Линии[Щит],A3)))</calculatedColumnFormula>
    </tableColumn>
    <tableColumn id="136" xr3:uid="{309DDDDF-0F5E-4104-B10E-374C7208D68F}" name="_мин. по кабелям">
      <calculatedColumnFormula>IF(AD3="","",_xlfn.MINIFS(Линии[_макс. автомат по кабелю],Линии[_гр.],DY3,Линии[Щит],A3))</calculatedColumnFormula>
    </tableColumn>
    <tableColumn id="137" xr3:uid="{356C6555-62E1-4A09-95C7-856217F2BF8B}" name="_фаз гр.">
      <calculatedColumnFormula>IF(AD3="","",MAX(1,_xlfn.MAXIFS(Линии[_фаз],Линии[_гр.],DY3,Линии[Щит],A3)))</calculatedColumnFormula>
    </tableColumn>
    <tableColumn id="138" xr3:uid="{AD6BB4F9-0606-431F-AF9A-D6392B6A26D1}" name="Дифзащита группы, мА">
      <calculatedColumnFormula>IF(AD3="","",IF(AND(AD3&lt;&gt;"авто",AD3&lt;&gt;"+"),IF(ISNUMBER(SEARCH("мА",AD3)),IFERROR(--TRIM(RIGHT(SUBSTITUTE(LEFT(AD3,SEARCH("мА",AD3)-1)," ",REPT(" ",9)),6)),30),0),IF(AE3="нет",0,IF(ISNUMBER(AE3),AE3,IF(AE3="да",30,_xlfn.MINIFS(Линии[_дифзащита по коду, мА],Линии[_гр.],DY3,Линии[Щит],A3,Линии[_дифзащита по коду, мА],"&gt;0"))))))</calculatedColumnFormula>
    </tableColumn>
    <tableColumn id="139" xr3:uid="{4AB819C6-90F0-465D-A409-F93F2674E2DA}" name="_дифзащита гр. (0/1)">
      <calculatedColumnFormula>IF(AD3="","",IF(N(EH3)&gt;0,1,0))</calculatedColumnFormula>
    </tableColumn>
    <tableColumn id="140" xr3:uid="{EA664ADE-8D1D-4993-873F-1B2D5DDEF4BA}" name="_QF нач.">
      <calculatedColumnFormula>IF(AD3="","",IF(EI3=1,"QFD","QF")&amp;DY3)</calculatedColumnFormula>
    </tableColumn>
    <tableColumn id="141" xr3:uid="{A72011E6-7335-4848-AA63-123635869F76}" name="_QF гр.">
      <calculatedColumnFormula>IF(EJ3&lt;&gt;"",EJ3,IF(OR(OR(AS3=1,A3&lt;&gt;A2),AL3="вручную"),"",IF(AS3=1,"",EK2)))</calculatedColumnFormula>
    </tableColumn>
    <tableColumn id="142" xr3:uid="{F9998F04-B7A1-4E6E-B9CB-3A0A3FC49FE6}" name="_аппараты гр.">
      <calculatedColumnFormula>IF(EJ3&lt;&gt;"",_xlfn.TEXTJOIN(" → ",TRUE,AF3,AG3,AH3),IF(EK3="","",IF(AS3=1,"",EL2)))</calculatedColumnFormula>
    </tableColumn>
    <tableColumn id="143" xr3:uid="{3EB87068-3693-47DE-A65E-24DBD27F9248}" name="_БП/тр-р">
      <calculatedColumnFormula>IF(EL3="",0,IF(OR(LEFT(EL3,2)="T ",LEFT(EL3,2)="Т ",ISNUMBER(SEARCH("→ T ",EL3)),ISNUMBER(SEARCH("→ Т ",EL3)),ISNUMBER(SEARCH("БП",EL3))),1,0))</calculatedColumnFormula>
    </tableColumn>
    <tableColumn id="144" xr3:uid="{1E7420B7-1360-4C57-B1C3-231A13CA1A31}" name="_номинал">
      <calculatedColumnFormula>IF(AD3="","",IF(EM3=1,MAX(EE3,Мин_автомат_БП),EE3))</calculatedColumnFormula>
    </tableColumn>
    <tableColumn id="145" xr3:uid="{AFE32C3B-956B-4A42-B247-77D221F6D735}" name="_полюса">
      <calculatedColumnFormula>IF(AD3="","",IF(EG3&gt;=3,IF(EI3=1,"4P","3P"),IF(EI3=1,"2P","1P")))</calculatedColumnFormula>
    </tableColumn>
    <tableColumn id="146" xr3:uid="{B1D395B5-9E1B-4E3F-B01B-1F8D983A1017}" name="Автомат (схема)">
      <calculatedColumnFormula>IF(AD3="","",IF(AND(AD3&lt;&gt;"авто",AD3&lt;&gt;"+"),AD3,EO3&amp;" С"&amp;EN3&amp;"А"&amp;IF(EI3=1," "&amp;EH3&amp;"мА","")))</calculatedColumnFormula>
    </tableColumn>
    <tableColumn id="147" xr3:uid="{3DFED697-5A79-4E76-A668-BE22C33CD4C2}" name="_номинал итог">
      <calculatedColumnFormula>IF(EP3="","",_xlfn.LET(_xlpm.t,SUBSTITUTE(SUBSTITUTE(UPPER(EP3),"С","C"),"А","A"),_xlpm.c,FIND("C",_xlpm.t),IFERROR(--MID(_xlpm.t,_xlpm.c+1,FIND("A",_xlpm.t&amp;"A",_xlpm.c)-_xlpm.c-1),"")))</calculatedColumnFormula>
    </tableColumn>
    <tableColumn id="148" xr3:uid="{97FB5F41-AFDD-4C3B-97D1-3E8940935BFE}" name="_префикс">
      <calculatedColumnFormula>IF(OR(AI3="",AI3="-"),"",IFERROR(VLOOKUP(AI3,Модули_спр,2,FALSE),"R"))</calculatedColumnFormula>
    </tableColumn>
    <tableColumn id="149" xr3:uid="{A180117F-28C4-4FDA-BC8C-124CCEEA8D7C}" name="_модуль нач.">
      <calculatedColumnFormula>IF(ER3="","",ER3&amp;"."&amp;COUNTIFS(A$3:A3,A3,ER$3:ER3,ER3))</calculatedColumnFormula>
    </tableColumn>
    <tableColumn id="150" xr3:uid="{6F0A7F5E-87D7-4F5B-9816-365B17DF480F}" name="_модуль гр.">
      <calculatedColumnFormula>IF(AI3="-","",IF(ES3&lt;&gt;"",ES3,IF(OR(AS3=1,A3&lt;&gt;A2),"",IF(AS3=1,"",ET2))))</calculatedColumnFormula>
    </tableColumn>
    <tableColumn id="151" xr3:uid="{AEC061C4-41FE-420B-94AE-BFE67F8E8122}" name="_модель гр.">
      <calculatedColumnFormula>IF(ET3="","",IF(AND(AI3&lt;&gt;"",AI3&lt;&gt;"-"),AI3,IF(AS3=1,"",EU2)))</calculatedColumnFormula>
    </tableColumn>
    <tableColumn id="152" xr3:uid="{772EF0FB-498E-4779-A825-1C931A6A22FC}" name="Канал (итог)">
      <calculatedColumnFormula>IF(AJ3="=",IF(AS3=1,"",EW2),IF(ISNUMBER(AJ3),AJ3,IF(ET3="","",IF(OR(D3&lt;&gt;"",AJ3="+",AJ3="р"),IF(OR(ES3&lt;&gt;"",IF(AS3=1,"",EW2)=""),1,IF(AS3=1,"",EW2)+1),""))))</calculatedColumnFormula>
    </tableColumn>
    <tableColumn id="153" xr3:uid="{516E4852-B488-4014-AEFF-81AFE0E0C7D2}" name="_посл. канал">
      <calculatedColumnFormula>IF(EV3&lt;&gt;"",EV3,IF(OR(OR(AS3=1,A3&lt;&gt;A2),AI3="-",ES3&lt;&gt;""),"",IF(AS3=1,"",EW2)))</calculatedColumnFormula>
    </tableColumn>
    <tableColumn id="154" xr3:uid="{D53D790F-4AEE-4CA1-81B4-18DE920422E3}" name="_клемма">
      <calculatedColumnFormula>IF(AJ3="б/к",0,IF(OR(ISNUMBER(SEARCH("L=",CH3)),AJ3="+",AJ3="="),1,0))</calculatedColumnFormula>
    </tableColumn>
    <tableColumn id="155" xr3:uid="{3996F158-2F0D-4BB8-BD54-787D5C0FC89C}" name="Клемма (итог)">
      <calculatedColumnFormula>IF(AK3="нет","",IF(AK3&lt;&gt;"",AK3,IF(EX3=1,"XT"&amp;COUNTIFS(A$3:A3,A3,EX$3:EX3,1),"")))</calculatedColumnFormula>
    </tableColumn>
    <tableColumn id="156" xr3:uid="{D78A4C8B-1C6C-4087-86E8-316184D54C93}" name="QF">
      <calculatedColumnFormula>IF(OR(D3&lt;&gt;"",EV3&lt;&gt;"",EX3=1),EK3,"")</calculatedColumnFormula>
    </tableColumn>
    <tableColumn id="157" xr3:uid="{A81320BC-933E-4829-AE35-4F7E62C079B2}" name="_Модуль (схема)">
      <calculatedColumnFormula>IF(OR(EV3&lt;&gt;"",AND(AI3&lt;&gt;"",AI3&lt;&gt;"-")),ET3,"")</calculatedColumnFormula>
    </tableColumn>
    <tableColumn id="158" xr3:uid="{933F4701-E10C-456C-A85C-729FC21DB42F}" name="Проверка автомата">
      <calculatedColumnFormula>IF(AD3="","",IF(NOT(ISNUMBER(EQ3)),"",IF(EC3&gt;EQ3,"ПЕРЕГРУЗ",IF(AND(EM3=0,EF3&gt;0,EQ3&gt;EF3),"КАБЕЛЬ НЕ ЗАЩИЩЁН","ok"))))</calculatedColumnFormula>
    </tableColumn>
    <tableColumn id="159" xr3:uid="{70603D1E-EC5A-4183-B12E-D7D41BB22258}" name="Проверка канала">
      <calculatedColumnFormula>IF(OR(EV3="",ET3=""),"",IF(EV3&gt;IFERROR(VLOOKUP(EU3,Модули_спр,3,FALSE),99),"ЛИШНИЙ КАНАЛ",IF(AND(AJ3&lt;&gt;"=",COUNTIFS(Линии[_модуль гр.],ET3,Линии[Канал (итог)],EV3,Линии[Канал],"&lt;&gt;=",Линии[Щит],A3)&gt;1),"ДУБЛЬ КАНАЛА","")))</calculatedColumnFormula>
    </tableColumn>
    <tableColumn id="160" xr3:uid="{D91AD3F9-EECE-4F6B-A790-3F24A69C8910}" name="_In гр.">
      <calculatedColumnFormula>IF(AD3&lt;&gt;"",EQ3,IF(EK3="","",IF(AS3=1,"",FD2)))</calculatedColumnFormula>
    </tableColumn>
    <tableColumn id="161" xr3:uid="{912902E7-508C-40A9-9779-E01B50E2AD41}" name="_автомат гр.">
      <calculatedColumnFormula>IF(AD3&lt;&gt;"",EP3,IF(EK3="","",IF(AS3=1,"",FE2)))</calculatedColumnFormula>
    </tableColumn>
    <tableColumn id="162" xr3:uid="{6CD18AB1-F2FD-43B4-BCB8-7F89A33BCE13}" name="_дифзащита гр. (строки)">
      <calculatedColumnFormula>IF(AD3&lt;&gt;"",EI3,IF(EK3="","",IF(AS3=1,"",FF2)))</calculatedColumnFormula>
    </tableColumn>
    <tableColumn id="163" xr3:uid="{27AE6C1B-2201-4BBD-82FA-BF293C08AE15}" name="_мА гр. (строки)">
      <calculatedColumnFormula>IF(AD3&lt;&gt;"",EH3,IF(EK3="","",IF(AS3=1,"",FG2)))</calculatedColumnFormula>
    </tableColumn>
    <tableColumn id="164" xr3:uid="{9DB2693E-0396-41D3-8FFB-9D38A07900B0}" name="Iкз / In" dataDxfId="49">
      <calculatedColumnFormula>IFERROR(IF(ISNUMBER(CL3),CL3/IFERROR(--FD3,N(BO3)),""),"")</calculatedColumnFormula>
    </tableColumn>
    <tableColumn id="165" xr3:uid="{B593DA4F-8AEB-4979-8225-0D867BA52F88}" name="_кратность">
      <calculatedColumnFormula>IF(OR(ISNUMBER(SEARCH(" B"," "&amp;FE3)),ISNUMBER(SEARCH(" В"," "&amp;FE3))),5,IF(ISNUMBER(SEARCH(" D"," "&amp;FE3)),20,10))</calculatedColumnFormula>
    </tableColumn>
    <tableColumn id="166" xr3:uid="{A22937EC-E1A1-4536-AE7A-5E923AA0B449}" name="Отключение ≤ 0,4 с">
      <calculatedColumnFormula>IF(NOT(ISNUMBER(FH3)),"",IF(FH3&gt;=FI3,"ok",IF(N(FF3)=1,"ok (дифзащита "&amp;FG3&amp;" мА)","мало: Iкз &lt; "&amp;FI3&amp;"·In")))</calculatedColumnFormula>
    </tableColumn>
    <tableColumn id="167" xr3:uid="{3F86827A-4662-4B6F-9A3D-E7FEF0709C9F}" name="Статус">
      <calculatedColumnFormula>IF(AND(D3="",EZ3=""),"",_xlfn.TEXTJOIN("; ",TRUE,IF(AND(D3&lt;&gt;"",DD3=""),"нет фазы",""),IF(AND(D3&lt;&gt;"",N(DT3)=0,CN3&lt;&gt;"Нет"),"нет мощности",""),IF(AND(EY3&lt;&gt;"",COUNTIFS(Линии[Щит],A3,Линии[Клемма (итог)],EY3)&gt;1),"дубль клеммы "&amp;EY3,""),IF(AND(FB3&lt;&gt;"",FB3&lt;&gt;"ok"),FB3,""),IF(FC3&lt;&gt;"",FC3,""),IF(AND(ISNUMBER(SEARCH("(5х",DS3)),N(DV3)=1),"5 жил на 1 фазе",""),IF(AND(AT3="R",AD3&lt;&gt;"",OR(N(EH3)=0,N(EH3)&gt;30)),"розетка без дифзащиты до 30 мА",""),IFERROR(IF(AND(ISNUMBER(CD3),CD3&gt;CE3),"потери "&amp;FIXED(CD3,1)&amp;" % &gt; "&amp;CE3&amp;" %",""),""),IFERROR(IF(LEFT(FJ3,4)="мало","Iкз мало — отключение &gt; 0,4 с",""),""),IF(AND(D3&lt;&gt;"",BD3=""),"не на схеме","")))</calculatedColumnFormula>
    </tableColumn>
    <tableColumn id="168" xr3:uid="{689A0DA2-F55A-4C30-ACCD-F54D3750C9AE}" name="Icu автомата, кА" dataDxfId="48">
      <calculatedColumnFormula>IF(AD3="","",_xlfn.LET(_xlpm.t,IFERROR(_xlfn.XLOOKUP(EP3,Каталог!$U$4:$U$500,Каталог!$G$4:$G$500),""),_xlpm.k,SEARCH("кА",_xlpm.t),IFERROR(--TRIM(RIGHT(SUBSTITUTE(MID(_xlpm.t,MAX(1,_xlpm.k-4),_xlpm.k-MAX(1,_xlpm.k-4))," ",REPT(" ",9)),5)),"")))</calculatedColumnFormula>
    </tableColumn>
    <tableColumn id="169" xr3:uid="{085FCCB0-5EFB-4154-A1C8-18E5BE7597CE}" name="Проверка Icu">
      <calculatedColumnFormula>IF(OR(FL3="",AD3=""),"",IF(_xlfn.XLOOKUP(A3,Щиты[Щит],Щиты[Iкз max на шинах, кА],"")="","",IF(FL3&lt;_xlfn.XLOOKUP(A3,Щиты[Щит],Щиты[Iкз max на шинах, кА]),"Icu "&amp;FL3&amp;" кА &lt; Iкз max","ok")))</calculatedColumnFormula>
    </tableColumn>
    <tableColumn id="170" xr3:uid="{DF39A579-9B0B-4D17-8505-E06E525B1344}" name="_цепь для бирок">
      <calculatedColumnFormula>IF(OR(AL3="вручную",BD3="",AND(D3="",EY3="")),"",_xlfn.TEXTJOIN("|",TRUE,EK3,SUBSTITUTE(EL3," → ","|"),IF(ET3&lt;&gt;"",ET3&amp;IF(EV3&lt;&gt;""," к."&amp;EV3,""),""),EY3))</calculatedColumnFormula>
    </tableColumn>
    <tableColumn id="171" xr3:uid="{0A82C49D-D745-428A-9F4C-944561C355F3}" name="_цепь с кабелем">
      <calculatedColumnFormula>IF(FN3="","",FN3&amp;IF(D3&lt;&gt;"","|кабель "&amp;CG3&amp;" → "&amp;AZ3,""))</calculatedColumnFormula>
    </tableColumn>
    <tableColumn id="172" xr3:uid="{64FF8A9C-05A0-4CE9-B7DB-4CF40D5A8277}" name="_бирка 1">
      <calculatedColumnFormula array="1">IF(FO3="","",_xlfn.LET(_xlpm.nd,_xlfn.TEXTSPLIT(FO3,"|"),IF(COLUMNS(_xlpm.nd)&gt;1,A3&amp;"¦"&amp;INDEX(_xlpm.nd,1)&amp;"¦"&amp;INDEX(_xlpm.nd,2),"")))</calculatedColumnFormula>
    </tableColumn>
    <tableColumn id="173" xr3:uid="{461F40F3-EA91-4AF5-A1EA-00A47C5D2B9D}" name="_бирка 1 линия">
      <calculatedColumnFormula>IF(FP3="","",D3&amp;"¦"&amp;AZ3)</calculatedColumnFormula>
    </tableColumn>
    <tableColumn id="174" xr3:uid="{6D453583-DB25-42D6-AD57-48219D35E548}" name="_бирка 2">
      <calculatedColumnFormula array="1">IF(FO3="","",_xlfn.LET(_xlpm.nd,_xlfn.TEXTSPLIT(FO3,"|"),IF(COLUMNS(_xlpm.nd)&gt;2,A3&amp;"¦"&amp;INDEX(_xlpm.nd,2)&amp;"¦"&amp;INDEX(_xlpm.nd,3),"")))</calculatedColumnFormula>
    </tableColumn>
    <tableColumn id="175" xr3:uid="{3197A564-7857-406C-BC61-E39235741721}" name="_бирка 2 линия">
      <calculatedColumnFormula>IF(FR3="","",D3&amp;"¦"&amp;AZ3)</calculatedColumnFormula>
    </tableColumn>
    <tableColumn id="176" xr3:uid="{EB6F5BF2-D8DC-4DEC-B912-578B11F54F9F}" name="_бирка 3">
      <calculatedColumnFormula array="1">IF(FO3="","",_xlfn.LET(_xlpm.nd,_xlfn.TEXTSPLIT(FO3,"|"),IF(COLUMNS(_xlpm.nd)&gt;3,A3&amp;"¦"&amp;INDEX(_xlpm.nd,3)&amp;"¦"&amp;INDEX(_xlpm.nd,4),"")))</calculatedColumnFormula>
    </tableColumn>
    <tableColumn id="177" xr3:uid="{3EE92CDD-28F0-4EB2-BC52-16E8CB69EE1F}" name="_бирка 3 линия">
      <calculatedColumnFormula>IF(FT3="","",D3&amp;"¦"&amp;AZ3)</calculatedColumnFormula>
    </tableColumn>
    <tableColumn id="178" xr3:uid="{75ADC600-5488-416F-B721-5D093800D77A}" name="_бирка 4">
      <calculatedColumnFormula array="1">IF(FO3="","",_xlfn.LET(_xlpm.nd,_xlfn.TEXTSPLIT(FO3,"|"),IF(COLUMNS(_xlpm.nd)&gt;4,A3&amp;"¦"&amp;INDEX(_xlpm.nd,4)&amp;"¦"&amp;INDEX(_xlpm.nd,5),"")))</calculatedColumnFormula>
    </tableColumn>
    <tableColumn id="179" xr3:uid="{EA8D16EC-F11A-4BF7-8DFE-5F877DD4FF17}" name="_бирка 4 линия">
      <calculatedColumnFormula>IF(FV3="","",D3&amp;"¦"&amp;AZ3)</calculatedColumnFormula>
    </tableColumn>
    <tableColumn id="180" xr3:uid="{DC31F52C-B4C8-492B-BCB3-A6284BF0F5F9}" name="_бирка 5">
      <calculatedColumnFormula array="1">IF(FO3="","",_xlfn.LET(_xlpm.nd,_xlfn.TEXTSPLIT(FO3,"|"),IF(COLUMNS(_xlpm.nd)&gt;5,A3&amp;"¦"&amp;INDEX(_xlpm.nd,5)&amp;"¦"&amp;INDEX(_xlpm.nd,6),"")))</calculatedColumnFormula>
    </tableColumn>
    <tableColumn id="181" xr3:uid="{2CFED2E9-2F37-40B1-86A8-AD74F1FF9A97}" name="_бирка 5 линия">
      <calculatedColumnFormula>IF(FX3="","",D3&amp;"¦"&amp;AZ3)</calculatedColumnFormula>
    </tableColumn>
    <tableColumn id="182" xr3:uid="{FF6EB27B-A4F7-4C0F-8BC3-84F65C647376}" name="_бирка 6">
      <calculatedColumnFormula array="1">IF(FO3="","",_xlfn.LET(_xlpm.nd,_xlfn.TEXTSPLIT(FO3,"|"),IF(COLUMNS(_xlpm.nd)&gt;6,A3&amp;"¦"&amp;INDEX(_xlpm.nd,6)&amp;"¦"&amp;INDEX(_xlpm.nd,7),"")))</calculatedColumnFormula>
    </tableColumn>
    <tableColumn id="183" xr3:uid="{30A00D2D-CDC2-4EDC-BDE1-DEF8A5D63170}" name="_бирка 6 линия">
      <calculatedColumnFormula>IF(FZ3="","",D3&amp;"¦"&amp;AZ3)</calculatedColumnFormula>
    </tableColumn>
    <tableColumn id="184" xr3:uid="{78D532F3-1529-4F84-BA30-C744930A2B1F}" name="_модель (схема)">
      <calculatedColumnFormula>IF(FA3="","",EU3)</calculatedColumnFormula>
    </tableColumn>
    <tableColumn id="185" xr3:uid="{05134CEC-73F6-4190-9053-D6EB2A0996D3}" name="_цепь">
      <calculatedColumnFormula>IF(AND(D3="",EV3="",EY3=""),"",_xlfn.TEXTJOIN(" → ",TRUE,EK3,EL3,IF(ET3&lt;&gt;"",ET3&amp;IF(EV3&lt;&gt;""," к."&amp;EV3,""),IF(EV3&lt;&gt;"","к."&amp;EV3,"")),EY3,IF(DX3=1,"(в кабель выше)","")))</calculatedColumnFormula>
    </tableColumn>
    <tableColumn id="186" xr3:uid="{10F53B69-CEB5-40BF-BC26-1912DAA62A63}" name="_draw">
      <calculatedColumnFormula>IF(OR(BD3="",AL3="вручную",AND(BE3="вводной узел",AL3&lt;&gt;"рисовать")),0,1)</calculatedColumnFormula>
    </tableColumn>
    <tableColumn id="187" xr3:uid="{96C21688-CF12-4E9E-85CA-AA5A25C5798F}" name="_bus2">
      <calculatedColumnFormula>IF(AC3="",0,1)</calculatedColumnFormula>
    </tableColumn>
    <tableColumn id="188" xr3:uid="{3C83AD67-2535-4BCD-BDFC-FFF45FE74256}" name="_rcd">
      <calculatedColumnFormula>IF(EJ3="",0,IF(LEFT(EJ3,3)="QFD",1,0))</calculatedColumnFormula>
    </tableColumn>
    <tableColumn id="189" xr3:uid="{553FD83E-DAC4-43FB-9830-A266CB3C4849}" name="_chtype">
      <calculatedColumnFormula>IF(AJ3="=","=",IF(AJ3="+","+",IF(AJ3="р","R","")))</calculatedColumnFormula>
    </tableColumn>
    <tableColumn id="190" xr3:uid="{86C67F56-995F-4B68-8B98-1E67139A7E0E}" name="_dev1">
      <calculatedColumnFormula>IF(AF3="","",IF(OR(LEFT(AF3,1)="T",LEFT(AF3,1)="Т"),"T",IF(LEFT(UPPER(AF3),2)="БП","PS",IF(OR(LEFT(UPPER(AF3),2)="МК",LEFT(UPPER(AF3),2)="MK"),"MK",IF(OR(LEFT(UPPER(AF3),2)="КМ",LEFT(UPPER(AF3),2)="KM"),"KM","X")))))</calculatedColumnFormula>
    </tableColumn>
    <tableColumn id="191" xr3:uid="{41FB59A9-A6FE-4459-8071-A87FCADBA04F}" name="_dev2">
      <calculatedColumnFormula>IF(AG3="","",IF(OR(LEFT(AG3,1)="T",LEFT(AG3,1)="Т"),"T",IF(LEFT(UPPER(AG3),2)="БП","PS",IF(OR(LEFT(UPPER(AG3),2)="МК",LEFT(UPPER(AG3),2)="MK"),"MK",IF(OR(LEFT(UPPER(AG3),2)="КМ",LEFT(UPPER(AG3),2)="KM"),"KM","X")))))</calculatedColumnFormula>
    </tableColumn>
    <tableColumn id="192" xr3:uid="{53B5585D-B407-47DF-A7DF-1BA0E7155B14}" name="_dev3">
      <calculatedColumnFormula>IF(AH3="","",IF(OR(LEFT(AH3,1)="T",LEFT(AH3,1)="Т"),"T",IF(LEFT(UPPER(AH3),2)="БП","PS",IF(OR(LEFT(UPPER(AH3),2)="МК",LEFT(UPPER(AH3),2)="MK"),"MK",IF(OR(LEFT(UPPER(AH3),2)="КМ",LEFT(UPPER(AH3),2)="KM"),"KM","X")))))</calculatedColumnFormula>
    </tableColumn>
    <tableColumn id="193" xr3:uid="{F79C0B96-80B6-4DD5-B18B-AD3C6BCA819F}" name="_УГО (рус)">
      <calculatedColumnFormula>IF(D3="","",IFERROR(VLOOKUP(D3,УГО_спр,2,FALSE),IFERROR(VLOOKUP(AT3,УГО_спр,2,FALSE),IFERROR(VLOOKUP(LEFT(AT3,2),УГО_спр,2,FALSE),""))))</calculatedColumnFormula>
    </tableColumn>
    <tableColumn id="194" xr3:uid="{C45F3045-F950-46BD-A57F-097E1D5A950D}" name="_sym">
      <calculatedColumnFormula>IF(D3="","",IF(OR(GK3="",GK3=0),"BOX",IFERROR(IF(VLOOKUP(GK3,УГО_блоки,3,FALSE)&amp;""&lt;&gt;"",VLOOKUP(GK3,УГО_блоки,3,FALSE),VLOOKUP(GK3,УГО_блоки,2,FALSE)),GK3)))</calculatedColumnFormula>
    </tableColumn>
    <tableColumn id="195" xr3:uid="{FAA057B1-E7B2-46FE-8E40-C318EDA0DC9F}" name="_hasline">
      <calculatedColumnFormula>IF(D3="",0,1)</calculatedColumnFormula>
    </tableColumn>
    <tableColumn id="196" xr3:uid="{7392D72E-C4CE-45DD-8D35-9E85A924EE4F}" name="_тип автомата №">
      <calculatedColumnFormula>IF(EP3="","",IF(COUNTIF(EP$3:EP3,EP3)=1,MAX(GN$2:GN2)+1,""))</calculatedColumnFormula>
    </tableColumn>
    <tableColumn id="197" xr3:uid="{B9F68CA2-1F2E-41B5-AE70-8D053D6FADC2}" name="_аппарат 1 №">
      <calculatedColumnFormula>IF(AF3="","",IF(COUNTIF(AF$3:AF3,AF3)+COUNTIF(AG$2:AG2,AF3)+COUNTIF(AH$2:AH2,AF3)=1,MAX(GO$2:GQ2)+1,""))</calculatedColumnFormula>
    </tableColumn>
    <tableColumn id="198" xr3:uid="{F94CBDE8-EAF3-473C-A999-9BA081E8162C}" name="_аппарат 2 №">
      <calculatedColumnFormula>IF(AG3="","",IF(COUNTIF(AF$3:AF3,AG3)+COUNTIF(AG$3:AG3,AG3)+COUNTIF(AH$2:AH2,AG3)=1,MAX(GO$2:GQ2,GO3)+1,""))</calculatedColumnFormula>
    </tableColumn>
    <tableColumn id="199" xr3:uid="{7AF094A8-418F-4040-8663-F9DF23C2A4E9}" name="_аппарат 3 №">
      <calculatedColumnFormula>IF(AH3="","",IF(COUNTIF(AF$3:AF3,AH3)+COUNTIF(AG$3:AG3,AH3)+COUNTIF(AH$3:AH3,AH3)=1,MAX(GO$2:GQ2,GO3,GP3)+1,""))</calculatedColumnFormula>
    </tableColumn>
    <tableColumn id="200" xr3:uid="{78476D72-561A-48FA-A1B7-22545CF46DE5}" name="_кабель клеммы">
      <calculatedColumnFormula>IF(EX3=1,IFERROR(MID(DS3,FIND(" (",DS3)+2,FIND(")",DS3,FIND(" (",DS3))-FIND(" (",DS3)-2),"?"),"")</calculatedColumnFormula>
    </tableColumn>
    <tableColumn id="201" xr3:uid="{796D5B1E-1673-40DE-8AA6-FE002A284BCA}" name="_вид клеммы №">
      <calculatedColumnFormula>IF(GR3="","",IF(COUNTIF(GR$3:GR3,GR3)=1,MAX(GS$2:GS2)+1,""))</calculatedColumnFormula>
    </tableColumn>
    <tableColumn id="202" xr3:uid="{4AE76ECF-565A-4181-8C55-A23C6613780F}" name="_модуль №">
      <calculatedColumnFormula>IF(ES3="","",COUNTIF(ES$3:ES3,"?*"))</calculatedColumnFormula>
    </tableColumn>
    <tableColumn id="203" xr3:uid="{9EF1FFC6-EB56-4A4C-8A6A-BDEF450CBE9E}" name="_модель №">
      <calculatedColumnFormula>IF(OR(ES3="",EU3=""),"",IF(COUNTIFS(ES$3:ES3,"?*",EU$3:EU3,EU3)=1,MAX(GU$2:GU2)+1,""))</calculatedColumnFormula>
    </tableColumn>
    <tableColumn id="204" xr3:uid="{9648BF8E-D560-4974-A674-7D7ACD4B81C2}" name="_уровень">
      <calculatedColumnFormula>IF(FK3="",0,IF(OR(ISNUMBER(SEARCH("дубль",FK3)),ISNUMBER(SEARCH("ПЕРЕГРУЗ",FK3)),ISNUMBER(SEARCH("ЗАЩИЩ",FK3)),ISNUMBER(SEARCH("КАНАЛ",FK3)),ISNUMBER(SEARCH("без диф",FK3))),2,1))</calculatedColumnFormula>
    </tableColumn>
    <tableColumn id="205" xr3:uid="{A8AA31C3-C74B-4EE5-8CF9-09B3A006FE58}" name="_№ линии">
      <calculatedColumnFormula>IF(D3="","",COUNTIF(D$3:D3,"?*"))</calculatedColumnFormula>
    </tableColumn>
    <tableColumn id="206" xr3:uid="{BE4AF700-036F-45FD-8E15-81C38C3DA88A}" name="_3L клемм">
      <calculatedColumnFormula>IF(EX3&lt;&gt;1,0,_xlfn.LET(_xlpm.k,MAX(IFERROR(--VLOOKUP(D3,УГО_спр,5,FALSE),0),IFERROR(--VLOOKUP(AT3,УГО_спр,5,FALSE),0),IFERROR(--VLOOKUP(LEFT(AT3,2),УГО_спр,5,FALSE),0)),IF(_xlpm.k&gt;0,_xlpm.k,IF(IFERROR(--LEFT(SUBSTITUTE(GR3,"x","х"),FIND("х",SUBSTITUTE(GR3,"x","х"))-1),3)&gt;3,Каталог!$S$9,1))))</calculatedColumnFormula>
    </tableColumn>
    <tableColumn id="207" xr3:uid="{6746ABB5-B076-4ED6-BBF8-EE1B421FCF95}" name="_доп. проходных">
      <calculatedColumnFormula>IF(EX3&lt;&gt;1,0,MAX(0,IFERROR(--LEFT(SUBSTITUTE(GR3,"x","х"),FIND("х",SUBSTITUTE(GR3,"x","х"))-1),3)-3*GX3))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C8D8BBB-A61B-4833-8A81-CF3C57B8DBE8}">
  <we:reference id="wa200010215" version="1.0.0.0" store="ru-RU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7647E81-A4C7-4E54-8491-8428F71A8707}">
  <we:reference id="wa200011214" version="1.0.0.1" store="ru-RU" storeType="OMEX"/>
  <we:alternateReferences>
    <we:reference id="wa200011214" version="1.0.0.1" store="WA200011214" storeType="OMEX"/>
  </we:alternateReferences>
  <we:properties>
    <we:property name="grokConversationBinding" value="{&quot;responseId&quot;:&quot;1ff32469-886e-495e-8399-4d0ef0c9e676&quot;,&quot;title&quot;:&quot;Relay vs Dali управление&quot;,&quot;transport&quot;:&quot;gateway&quot;}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D584-FCE4-4737-BA83-1121042C56E0}">
  <sheetPr>
    <tabColor rgb="FF00B050"/>
    <pageSetUpPr fitToPage="1"/>
  </sheetPr>
  <dimension ref="A1:D140"/>
  <sheetViews>
    <sheetView showGridLines="0" tabSelected="1" workbookViewId="0"/>
  </sheetViews>
  <sheetFormatPr defaultRowHeight="13.2" x14ac:dyDescent="0.3"/>
  <cols>
    <col min="1" max="1" width="8.77734375" style="81" customWidth="1"/>
    <col min="2" max="2" width="34.77734375" style="81" customWidth="1"/>
    <col min="3" max="3" width="80.77734375" style="81" customWidth="1"/>
    <col min="4" max="4" width="24.77734375" style="81" customWidth="1"/>
    <col min="5" max="16384" width="8.88671875" style="81"/>
  </cols>
  <sheetData>
    <row r="1" spans="1:4" ht="24" customHeight="1" x14ac:dyDescent="0.3">
      <c r="A1" s="82" t="s">
        <v>1452</v>
      </c>
    </row>
    <row r="2" spans="1:4" ht="13.5" customHeight="1" x14ac:dyDescent="0.3">
      <c r="A2" s="94" t="s">
        <v>1453</v>
      </c>
      <c r="B2" s="94"/>
      <c r="C2" s="94"/>
      <c r="D2" s="94"/>
    </row>
    <row r="3" spans="1:4" ht="13.5" customHeight="1" x14ac:dyDescent="0.3">
      <c r="A3" s="94" t="s">
        <v>1454</v>
      </c>
      <c r="B3" s="94"/>
      <c r="C3" s="94"/>
      <c r="D3" s="94"/>
    </row>
    <row r="5" spans="1:4" ht="15.6" x14ac:dyDescent="0.3">
      <c r="A5" s="84" t="s">
        <v>1054</v>
      </c>
      <c r="B5" s="83"/>
      <c r="C5" s="83"/>
      <c r="D5" s="83"/>
    </row>
    <row r="6" spans="1:4" x14ac:dyDescent="0.3">
      <c r="B6" s="85" t="s">
        <v>1055</v>
      </c>
      <c r="C6" s="85" t="s">
        <v>881</v>
      </c>
      <c r="D6" s="86"/>
    </row>
    <row r="7" spans="1:4" ht="13.5" customHeight="1" x14ac:dyDescent="0.3">
      <c r="B7" s="87" t="s">
        <v>1116</v>
      </c>
      <c r="C7" s="87" t="s">
        <v>1455</v>
      </c>
      <c r="D7" s="88"/>
    </row>
    <row r="8" spans="1:4" ht="13.5" customHeight="1" x14ac:dyDescent="0.3">
      <c r="B8" s="87" t="s">
        <v>4</v>
      </c>
      <c r="C8" s="87" t="s">
        <v>1456</v>
      </c>
      <c r="D8" s="91" t="s">
        <v>1457</v>
      </c>
    </row>
    <row r="9" spans="1:4" ht="13.5" customHeight="1" x14ac:dyDescent="0.3">
      <c r="B9" s="87" t="s">
        <v>1458</v>
      </c>
      <c r="C9" s="87" t="s">
        <v>1459</v>
      </c>
      <c r="D9" s="88"/>
    </row>
    <row r="10" spans="1:4" ht="13.5" customHeight="1" x14ac:dyDescent="0.3">
      <c r="B10" s="87" t="s">
        <v>519</v>
      </c>
      <c r="C10" s="87" t="s">
        <v>1460</v>
      </c>
      <c r="D10" s="91" t="s">
        <v>1461</v>
      </c>
    </row>
    <row r="11" spans="1:4" ht="13.5" customHeight="1" x14ac:dyDescent="0.3">
      <c r="B11" s="87" t="s">
        <v>0</v>
      </c>
      <c r="C11" s="87" t="s">
        <v>1462</v>
      </c>
      <c r="D11" s="88"/>
    </row>
    <row r="12" spans="1:4" ht="27" customHeight="1" x14ac:dyDescent="0.3">
      <c r="B12" s="87" t="s">
        <v>1056</v>
      </c>
      <c r="C12" s="87" t="s">
        <v>1463</v>
      </c>
      <c r="D12" s="88"/>
    </row>
    <row r="13" spans="1:4" ht="27" customHeight="1" x14ac:dyDescent="0.3">
      <c r="B13" s="87" t="s">
        <v>1464</v>
      </c>
      <c r="C13" s="87" t="s">
        <v>1465</v>
      </c>
      <c r="D13" s="88"/>
    </row>
    <row r="14" spans="1:4" ht="27" customHeight="1" x14ac:dyDescent="0.3">
      <c r="B14" s="87" t="s">
        <v>1058</v>
      </c>
      <c r="C14" s="87" t="s">
        <v>1466</v>
      </c>
      <c r="D14" s="88"/>
    </row>
    <row r="15" spans="1:4" ht="13.5" customHeight="1" x14ac:dyDescent="0.3">
      <c r="B15" s="87" t="s">
        <v>1057</v>
      </c>
      <c r="C15" s="87" t="s">
        <v>1467</v>
      </c>
      <c r="D15" s="88"/>
    </row>
    <row r="16" spans="1:4" ht="13.5" customHeight="1" x14ac:dyDescent="0.3">
      <c r="B16" s="87" t="s">
        <v>1468</v>
      </c>
      <c r="C16" s="87" t="s">
        <v>1469</v>
      </c>
      <c r="D16" s="88"/>
    </row>
    <row r="17" spans="1:4" ht="13.5" customHeight="1" x14ac:dyDescent="0.3">
      <c r="B17" s="87" t="s">
        <v>1470</v>
      </c>
      <c r="C17" s="87" t="s">
        <v>1471</v>
      </c>
      <c r="D17" s="88"/>
    </row>
    <row r="18" spans="1:4" ht="27" customHeight="1" x14ac:dyDescent="0.3">
      <c r="B18" s="87" t="s">
        <v>1472</v>
      </c>
      <c r="C18" s="87" t="s">
        <v>1473</v>
      </c>
      <c r="D18" s="88"/>
    </row>
    <row r="20" spans="1:4" ht="15.6" x14ac:dyDescent="0.3">
      <c r="A20" s="84" t="s">
        <v>1059</v>
      </c>
      <c r="B20" s="83"/>
      <c r="C20" s="83"/>
      <c r="D20" s="83"/>
    </row>
    <row r="21" spans="1:4" ht="13.5" customHeight="1" x14ac:dyDescent="0.3">
      <c r="A21" s="95" t="s">
        <v>1474</v>
      </c>
      <c r="B21" s="95"/>
      <c r="C21" s="95"/>
      <c r="D21" s="95"/>
    </row>
    <row r="22" spans="1:4" ht="13.5" customHeight="1" x14ac:dyDescent="0.3">
      <c r="A22" s="95" t="s">
        <v>1475</v>
      </c>
      <c r="B22" s="95"/>
      <c r="C22" s="95"/>
      <c r="D22" s="95"/>
    </row>
    <row r="23" spans="1:4" ht="13.5" customHeight="1" x14ac:dyDescent="0.3">
      <c r="A23" s="95" t="s">
        <v>1476</v>
      </c>
      <c r="B23" s="95"/>
      <c r="C23" s="95"/>
      <c r="D23" s="95"/>
    </row>
    <row r="24" spans="1:4" ht="13.5" customHeight="1" x14ac:dyDescent="0.3">
      <c r="A24" s="96" t="s">
        <v>1477</v>
      </c>
      <c r="B24" s="96"/>
      <c r="C24" s="96"/>
      <c r="D24" s="96"/>
    </row>
    <row r="25" spans="1:4" ht="13.5" customHeight="1" x14ac:dyDescent="0.3">
      <c r="A25" s="96" t="s">
        <v>1060</v>
      </c>
      <c r="B25" s="96"/>
      <c r="C25" s="96"/>
      <c r="D25" s="96"/>
    </row>
    <row r="27" spans="1:4" ht="15.6" x14ac:dyDescent="0.3">
      <c r="A27" s="84" t="s">
        <v>1478</v>
      </c>
      <c r="B27" s="83"/>
      <c r="C27" s="83"/>
      <c r="D27" s="83"/>
    </row>
    <row r="28" spans="1:4" x14ac:dyDescent="0.3">
      <c r="B28" s="85" t="s">
        <v>1107</v>
      </c>
      <c r="C28" s="85" t="s">
        <v>1479</v>
      </c>
      <c r="D28" s="86"/>
    </row>
    <row r="29" spans="1:4" ht="13.5" customHeight="1" x14ac:dyDescent="0.3">
      <c r="B29" s="87" t="s">
        <v>1050</v>
      </c>
      <c r="C29" s="87" t="s">
        <v>1480</v>
      </c>
      <c r="D29" s="91" t="s">
        <v>1481</v>
      </c>
    </row>
    <row r="30" spans="1:4" ht="27" customHeight="1" x14ac:dyDescent="0.3">
      <c r="B30" s="87" t="s">
        <v>1116</v>
      </c>
      <c r="C30" s="87" t="s">
        <v>1482</v>
      </c>
      <c r="D30" s="91" t="s">
        <v>1483</v>
      </c>
    </row>
    <row r="31" spans="1:4" ht="13.5" customHeight="1" x14ac:dyDescent="0.3">
      <c r="B31" s="87" t="s">
        <v>1484</v>
      </c>
      <c r="C31" s="87" t="s">
        <v>1485</v>
      </c>
      <c r="D31" s="91" t="s">
        <v>1486</v>
      </c>
    </row>
    <row r="32" spans="1:4" ht="13.5" customHeight="1" x14ac:dyDescent="0.3">
      <c r="B32" s="87" t="s">
        <v>1487</v>
      </c>
      <c r="C32" s="87" t="s">
        <v>1488</v>
      </c>
      <c r="D32" s="91" t="s">
        <v>1457</v>
      </c>
    </row>
    <row r="33" spans="1:4" ht="13.5" customHeight="1" x14ac:dyDescent="0.3">
      <c r="B33" s="87" t="s">
        <v>1489</v>
      </c>
      <c r="C33" s="87" t="s">
        <v>1490</v>
      </c>
      <c r="D33" s="91" t="s">
        <v>1491</v>
      </c>
    </row>
    <row r="34" spans="1:4" ht="13.5" customHeight="1" x14ac:dyDescent="0.3">
      <c r="B34" s="87" t="s">
        <v>934</v>
      </c>
      <c r="C34" s="87" t="s">
        <v>1492</v>
      </c>
      <c r="D34" s="91" t="s">
        <v>1493</v>
      </c>
    </row>
    <row r="35" spans="1:4" ht="13.5" customHeight="1" x14ac:dyDescent="0.3">
      <c r="B35" s="87" t="s">
        <v>1494</v>
      </c>
      <c r="C35" s="87" t="s">
        <v>1495</v>
      </c>
      <c r="D35" s="91" t="s">
        <v>1496</v>
      </c>
    </row>
    <row r="36" spans="1:4" ht="13.5" customHeight="1" x14ac:dyDescent="0.3">
      <c r="B36" s="87" t="s">
        <v>1108</v>
      </c>
      <c r="C36" s="87" t="s">
        <v>1497</v>
      </c>
      <c r="D36" s="91" t="s">
        <v>1096</v>
      </c>
    </row>
    <row r="37" spans="1:4" ht="13.5" customHeight="1" x14ac:dyDescent="0.3">
      <c r="B37" s="87" t="s">
        <v>1109</v>
      </c>
      <c r="C37" s="87" t="s">
        <v>1498</v>
      </c>
      <c r="D37" s="91" t="s">
        <v>1499</v>
      </c>
    </row>
    <row r="38" spans="1:4" ht="13.5" customHeight="1" x14ac:dyDescent="0.3">
      <c r="B38" s="87" t="s">
        <v>1110</v>
      </c>
      <c r="C38" s="87" t="s">
        <v>1500</v>
      </c>
      <c r="D38" s="91" t="s">
        <v>1501</v>
      </c>
    </row>
    <row r="39" spans="1:4" ht="13.5" customHeight="1" x14ac:dyDescent="0.3">
      <c r="B39" s="87" t="s">
        <v>1502</v>
      </c>
      <c r="C39" s="87" t="s">
        <v>1503</v>
      </c>
      <c r="D39" s="91" t="s">
        <v>1504</v>
      </c>
    </row>
    <row r="40" spans="1:4" ht="27" customHeight="1" x14ac:dyDescent="0.3">
      <c r="B40" s="87" t="s">
        <v>1505</v>
      </c>
      <c r="C40" s="87" t="s">
        <v>1506</v>
      </c>
      <c r="D40" s="91" t="s">
        <v>1507</v>
      </c>
    </row>
    <row r="41" spans="1:4" ht="13.5" customHeight="1" x14ac:dyDescent="0.3">
      <c r="B41" s="87" t="s">
        <v>1111</v>
      </c>
      <c r="C41" s="87" t="s">
        <v>1508</v>
      </c>
      <c r="D41" s="91" t="s">
        <v>1509</v>
      </c>
    </row>
    <row r="42" spans="1:4" ht="13.5" customHeight="1" x14ac:dyDescent="0.3">
      <c r="B42" s="87" t="s">
        <v>1510</v>
      </c>
      <c r="C42" s="87" t="s">
        <v>1511</v>
      </c>
      <c r="D42" s="88"/>
    </row>
    <row r="43" spans="1:4" ht="27" customHeight="1" x14ac:dyDescent="0.3">
      <c r="B43" s="87" t="s">
        <v>1512</v>
      </c>
      <c r="C43" s="87" t="s">
        <v>1513</v>
      </c>
      <c r="D43" s="88"/>
    </row>
    <row r="45" spans="1:4" ht="15.6" x14ac:dyDescent="0.3">
      <c r="A45" s="84" t="s">
        <v>1061</v>
      </c>
      <c r="B45" s="83"/>
      <c r="C45" s="83"/>
      <c r="D45" s="83"/>
    </row>
    <row r="46" spans="1:4" ht="13.5" customHeight="1" x14ac:dyDescent="0.3">
      <c r="A46" s="89" t="s">
        <v>40</v>
      </c>
      <c r="B46" s="94" t="s">
        <v>1514</v>
      </c>
      <c r="C46" s="94"/>
      <c r="D46" s="90" t="s">
        <v>1515</v>
      </c>
    </row>
    <row r="47" spans="1:4" ht="13.5" customHeight="1" x14ac:dyDescent="0.3">
      <c r="A47" s="89" t="s">
        <v>41</v>
      </c>
      <c r="B47" s="94" t="s">
        <v>1516</v>
      </c>
      <c r="C47" s="94"/>
      <c r="D47" s="90" t="s">
        <v>1457</v>
      </c>
    </row>
    <row r="48" spans="1:4" ht="13.5" customHeight="1" x14ac:dyDescent="0.3">
      <c r="A48" s="89" t="s">
        <v>42</v>
      </c>
      <c r="B48" s="94" t="s">
        <v>1517</v>
      </c>
      <c r="C48" s="94"/>
      <c r="D48" s="90" t="s">
        <v>1518</v>
      </c>
    </row>
    <row r="49" spans="1:4" ht="13.5" customHeight="1" x14ac:dyDescent="0.3">
      <c r="A49" s="89" t="s">
        <v>1062</v>
      </c>
      <c r="B49" s="94" t="s">
        <v>1519</v>
      </c>
      <c r="C49" s="94"/>
      <c r="D49" s="90" t="s">
        <v>1461</v>
      </c>
    </row>
    <row r="50" spans="1:4" ht="13.5" customHeight="1" x14ac:dyDescent="0.3">
      <c r="A50" s="89" t="s">
        <v>325</v>
      </c>
      <c r="B50" s="94" t="s">
        <v>1520</v>
      </c>
      <c r="C50" s="94"/>
      <c r="D50" s="90" t="s">
        <v>1521</v>
      </c>
    </row>
    <row r="51" spans="1:4" ht="13.5" customHeight="1" x14ac:dyDescent="0.3">
      <c r="A51" s="89" t="s">
        <v>1063</v>
      </c>
      <c r="B51" s="94" t="s">
        <v>1522</v>
      </c>
      <c r="C51" s="94"/>
      <c r="D51" s="90" t="s">
        <v>1481</v>
      </c>
    </row>
    <row r="52" spans="1:4" ht="13.5" customHeight="1" x14ac:dyDescent="0.3">
      <c r="A52" s="89" t="s">
        <v>1064</v>
      </c>
      <c r="B52" s="94" t="s">
        <v>1523</v>
      </c>
      <c r="C52" s="94"/>
    </row>
    <row r="53" spans="1:4" ht="13.5" customHeight="1" x14ac:dyDescent="0.3">
      <c r="A53" s="89" t="s">
        <v>1065</v>
      </c>
      <c r="B53" s="94" t="s">
        <v>1524</v>
      </c>
      <c r="C53" s="94"/>
    </row>
    <row r="55" spans="1:4" ht="15.6" x14ac:dyDescent="0.3">
      <c r="A55" s="84" t="s">
        <v>1525</v>
      </c>
      <c r="B55" s="83"/>
      <c r="C55" s="83"/>
      <c r="D55" s="83"/>
    </row>
    <row r="56" spans="1:4" ht="13.5" customHeight="1" x14ac:dyDescent="0.3">
      <c r="A56" s="89" t="s">
        <v>1066</v>
      </c>
      <c r="B56" s="94" t="s">
        <v>1526</v>
      </c>
      <c r="C56" s="94"/>
      <c r="D56" s="90" t="s">
        <v>1515</v>
      </c>
    </row>
    <row r="57" spans="1:4" ht="13.5" customHeight="1" x14ac:dyDescent="0.3">
      <c r="A57" s="89" t="s">
        <v>1067</v>
      </c>
      <c r="B57" s="94" t="s">
        <v>1527</v>
      </c>
      <c r="C57" s="94"/>
      <c r="D57" s="90" t="s">
        <v>1528</v>
      </c>
    </row>
    <row r="58" spans="1:4" ht="13.5" customHeight="1" x14ac:dyDescent="0.3">
      <c r="A58" s="89" t="s">
        <v>1068</v>
      </c>
      <c r="B58" s="94" t="s">
        <v>1529</v>
      </c>
      <c r="C58" s="94"/>
      <c r="D58" s="90" t="s">
        <v>1530</v>
      </c>
    </row>
    <row r="59" spans="1:4" ht="13.5" customHeight="1" x14ac:dyDescent="0.3">
      <c r="A59" s="97" t="s">
        <v>1531</v>
      </c>
      <c r="B59" s="97"/>
      <c r="C59" s="97"/>
      <c r="D59" s="97"/>
    </row>
    <row r="61" spans="1:4" ht="15.6" x14ac:dyDescent="0.3">
      <c r="A61" s="84" t="s">
        <v>1532</v>
      </c>
      <c r="B61" s="83"/>
      <c r="C61" s="83"/>
      <c r="D61" s="83"/>
    </row>
    <row r="62" spans="1:4" ht="13.5" customHeight="1" x14ac:dyDescent="0.3">
      <c r="A62" s="89" t="s">
        <v>1069</v>
      </c>
      <c r="B62" s="94" t="s">
        <v>1533</v>
      </c>
      <c r="C62" s="94"/>
      <c r="D62" s="90" t="s">
        <v>1457</v>
      </c>
    </row>
    <row r="63" spans="1:4" ht="13.5" customHeight="1" x14ac:dyDescent="0.3">
      <c r="A63" s="89" t="s">
        <v>1070</v>
      </c>
      <c r="B63" s="94" t="s">
        <v>1534</v>
      </c>
      <c r="C63" s="94"/>
      <c r="D63" s="90" t="s">
        <v>1535</v>
      </c>
    </row>
    <row r="64" spans="1:4" ht="13.5" customHeight="1" x14ac:dyDescent="0.3">
      <c r="A64" s="89" t="s">
        <v>1071</v>
      </c>
      <c r="B64" s="94" t="s">
        <v>1536</v>
      </c>
      <c r="C64" s="94"/>
    </row>
    <row r="65" spans="1:4" ht="13.5" customHeight="1" x14ac:dyDescent="0.3">
      <c r="A65" s="89" t="s">
        <v>1072</v>
      </c>
      <c r="B65" s="94" t="s">
        <v>1537</v>
      </c>
      <c r="C65" s="94"/>
    </row>
    <row r="66" spans="1:4" ht="13.5" customHeight="1" x14ac:dyDescent="0.3">
      <c r="A66" s="89" t="s">
        <v>1073</v>
      </c>
      <c r="B66" s="94" t="s">
        <v>1538</v>
      </c>
      <c r="C66" s="94"/>
    </row>
    <row r="67" spans="1:4" ht="13.5" customHeight="1" x14ac:dyDescent="0.3">
      <c r="A67" s="95" t="s">
        <v>1539</v>
      </c>
      <c r="B67" s="95"/>
      <c r="C67" s="95"/>
      <c r="D67" s="95"/>
    </row>
    <row r="69" spans="1:4" ht="15.6" x14ac:dyDescent="0.3">
      <c r="A69" s="84" t="s">
        <v>1540</v>
      </c>
      <c r="B69" s="83"/>
      <c r="C69" s="83"/>
      <c r="D69" s="83"/>
    </row>
    <row r="70" spans="1:4" ht="13.5" customHeight="1" x14ac:dyDescent="0.3">
      <c r="A70" s="89" t="s">
        <v>1074</v>
      </c>
      <c r="B70" s="94" t="s">
        <v>1541</v>
      </c>
      <c r="C70" s="94"/>
      <c r="D70" s="90" t="s">
        <v>1518</v>
      </c>
    </row>
    <row r="71" spans="1:4" ht="13.5" customHeight="1" x14ac:dyDescent="0.3">
      <c r="A71" s="89" t="s">
        <v>1075</v>
      </c>
      <c r="B71" s="94" t="s">
        <v>1542</v>
      </c>
      <c r="C71" s="94"/>
    </row>
    <row r="72" spans="1:4" ht="13.5" customHeight="1" x14ac:dyDescent="0.3">
      <c r="A72" s="89" t="s">
        <v>1076</v>
      </c>
      <c r="B72" s="94" t="s">
        <v>1543</v>
      </c>
      <c r="C72" s="94"/>
      <c r="D72" s="90" t="s">
        <v>1544</v>
      </c>
    </row>
    <row r="73" spans="1:4" ht="13.5" customHeight="1" x14ac:dyDescent="0.3">
      <c r="A73" s="96" t="s">
        <v>1545</v>
      </c>
      <c r="B73" s="96"/>
      <c r="C73" s="96"/>
      <c r="D73" s="96"/>
    </row>
    <row r="75" spans="1:4" ht="15.6" x14ac:dyDescent="0.3">
      <c r="A75" s="84" t="s">
        <v>1546</v>
      </c>
      <c r="B75" s="83"/>
      <c r="C75" s="83"/>
      <c r="D75" s="83"/>
    </row>
    <row r="76" spans="1:4" ht="13.5" customHeight="1" x14ac:dyDescent="0.3">
      <c r="A76" s="94" t="s">
        <v>1547</v>
      </c>
      <c r="B76" s="94"/>
      <c r="C76" s="94"/>
      <c r="D76" s="94"/>
    </row>
    <row r="77" spans="1:4" ht="13.5" customHeight="1" x14ac:dyDescent="0.3">
      <c r="A77" s="89" t="s">
        <v>1077</v>
      </c>
      <c r="B77" s="94" t="s">
        <v>1548</v>
      </c>
      <c r="C77" s="94"/>
      <c r="D77" s="90" t="s">
        <v>1461</v>
      </c>
    </row>
    <row r="78" spans="1:4" ht="27" customHeight="1" x14ac:dyDescent="0.3">
      <c r="A78" s="89" t="s">
        <v>1078</v>
      </c>
      <c r="B78" s="94" t="s">
        <v>1549</v>
      </c>
      <c r="C78" s="94"/>
      <c r="D78" s="90" t="s">
        <v>1550</v>
      </c>
    </row>
    <row r="79" spans="1:4" ht="13.5" customHeight="1" x14ac:dyDescent="0.3">
      <c r="A79" s="89" t="s">
        <v>1079</v>
      </c>
      <c r="B79" s="94" t="s">
        <v>1551</v>
      </c>
      <c r="C79" s="94"/>
      <c r="D79" s="90" t="s">
        <v>1552</v>
      </c>
    </row>
    <row r="80" spans="1:4" ht="27" customHeight="1" x14ac:dyDescent="0.3">
      <c r="A80" s="89" t="s">
        <v>1080</v>
      </c>
      <c r="B80" s="94" t="s">
        <v>1553</v>
      </c>
      <c r="C80" s="94"/>
      <c r="D80" s="90" t="s">
        <v>1554</v>
      </c>
    </row>
    <row r="81" spans="1:4" ht="13.5" customHeight="1" x14ac:dyDescent="0.3">
      <c r="A81" s="89" t="s">
        <v>1555</v>
      </c>
      <c r="B81" s="94" t="s">
        <v>1556</v>
      </c>
      <c r="C81" s="94"/>
    </row>
    <row r="82" spans="1:4" ht="27" customHeight="1" x14ac:dyDescent="0.3">
      <c r="A82" s="89" t="s">
        <v>1557</v>
      </c>
      <c r="B82" s="94" t="s">
        <v>1558</v>
      </c>
      <c r="C82" s="94"/>
    </row>
    <row r="83" spans="1:4" ht="13.5" customHeight="1" x14ac:dyDescent="0.3">
      <c r="A83" s="89" t="s">
        <v>1559</v>
      </c>
      <c r="B83" s="94" t="s">
        <v>1560</v>
      </c>
      <c r="C83" s="94"/>
    </row>
    <row r="84" spans="1:4" ht="27" customHeight="1" x14ac:dyDescent="0.3">
      <c r="A84" s="89" t="s">
        <v>1561</v>
      </c>
      <c r="B84" s="94" t="s">
        <v>1562</v>
      </c>
      <c r="C84" s="94"/>
      <c r="D84" s="90" t="s">
        <v>1563</v>
      </c>
    </row>
    <row r="85" spans="1:4" ht="13.5" customHeight="1" x14ac:dyDescent="0.3">
      <c r="A85" s="89" t="s">
        <v>1564</v>
      </c>
      <c r="B85" s="94" t="s">
        <v>1565</v>
      </c>
      <c r="C85" s="94"/>
    </row>
    <row r="86" spans="1:4" x14ac:dyDescent="0.3">
      <c r="B86" s="85" t="s">
        <v>1081</v>
      </c>
      <c r="C86" s="85" t="s">
        <v>1082</v>
      </c>
      <c r="D86" s="86"/>
    </row>
    <row r="87" spans="1:4" ht="13.5" customHeight="1" x14ac:dyDescent="0.3">
      <c r="B87" s="87" t="s">
        <v>1083</v>
      </c>
      <c r="C87" s="87" t="s">
        <v>1566</v>
      </c>
      <c r="D87" s="88"/>
    </row>
    <row r="88" spans="1:4" ht="13.5" customHeight="1" x14ac:dyDescent="0.3">
      <c r="B88" s="87" t="s">
        <v>1084</v>
      </c>
      <c r="C88" s="87" t="s">
        <v>1567</v>
      </c>
      <c r="D88" s="88"/>
    </row>
    <row r="89" spans="1:4" ht="13.5" customHeight="1" x14ac:dyDescent="0.3">
      <c r="B89" s="87" t="s">
        <v>1568</v>
      </c>
      <c r="C89" s="87" t="s">
        <v>1569</v>
      </c>
      <c r="D89" s="88"/>
    </row>
    <row r="90" spans="1:4" ht="13.5" customHeight="1" x14ac:dyDescent="0.3">
      <c r="B90" s="87" t="s">
        <v>1085</v>
      </c>
      <c r="C90" s="87" t="s">
        <v>1570</v>
      </c>
      <c r="D90" s="88"/>
    </row>
    <row r="91" spans="1:4" ht="27" customHeight="1" x14ac:dyDescent="0.3">
      <c r="B91" s="87" t="s">
        <v>1571</v>
      </c>
      <c r="C91" s="87" t="s">
        <v>1572</v>
      </c>
      <c r="D91" s="88"/>
    </row>
    <row r="92" spans="1:4" ht="27" customHeight="1" x14ac:dyDescent="0.3">
      <c r="B92" s="87" t="s">
        <v>1573</v>
      </c>
      <c r="C92" s="87" t="s">
        <v>1574</v>
      </c>
      <c r="D92" s="88"/>
    </row>
    <row r="93" spans="1:4" ht="13.5" customHeight="1" x14ac:dyDescent="0.3">
      <c r="B93" s="87" t="s">
        <v>1575</v>
      </c>
      <c r="C93" s="87" t="s">
        <v>1576</v>
      </c>
      <c r="D93" s="88"/>
    </row>
    <row r="94" spans="1:4" ht="13.5" customHeight="1" x14ac:dyDescent="0.3">
      <c r="A94" s="97" t="s">
        <v>1577</v>
      </c>
      <c r="B94" s="97"/>
      <c r="C94" s="97"/>
      <c r="D94" s="97"/>
    </row>
    <row r="96" spans="1:4" ht="15.6" x14ac:dyDescent="0.3">
      <c r="A96" s="84" t="s">
        <v>1578</v>
      </c>
      <c r="B96" s="83"/>
      <c r="C96" s="83"/>
      <c r="D96" s="83"/>
    </row>
    <row r="97" spans="1:4" ht="13.5" customHeight="1" x14ac:dyDescent="0.3">
      <c r="A97" s="89" t="s">
        <v>1579</v>
      </c>
      <c r="B97" s="94" t="s">
        <v>1580</v>
      </c>
      <c r="C97" s="94"/>
    </row>
    <row r="98" spans="1:4" ht="13.5" customHeight="1" x14ac:dyDescent="0.3">
      <c r="A98" s="89" t="s">
        <v>1581</v>
      </c>
      <c r="B98" s="94" t="s">
        <v>1582</v>
      </c>
      <c r="C98" s="94"/>
      <c r="D98" s="90" t="s">
        <v>1521</v>
      </c>
    </row>
    <row r="100" spans="1:4" ht="15.6" x14ac:dyDescent="0.3">
      <c r="A100" s="84" t="s">
        <v>1583</v>
      </c>
      <c r="B100" s="83"/>
      <c r="C100" s="83"/>
      <c r="D100" s="83"/>
    </row>
    <row r="101" spans="1:4" ht="13.5" customHeight="1" x14ac:dyDescent="0.3">
      <c r="A101" s="89" t="s">
        <v>1086</v>
      </c>
      <c r="B101" s="94" t="s">
        <v>1584</v>
      </c>
      <c r="C101" s="94"/>
      <c r="D101" s="90" t="s">
        <v>1585</v>
      </c>
    </row>
    <row r="102" spans="1:4" x14ac:dyDescent="0.3">
      <c r="B102" s="85" t="s">
        <v>1586</v>
      </c>
      <c r="C102" s="85" t="s">
        <v>1587</v>
      </c>
      <c r="D102" s="86"/>
    </row>
    <row r="103" spans="1:4" ht="27" customHeight="1" x14ac:dyDescent="0.3">
      <c r="B103" s="87" t="s">
        <v>1588</v>
      </c>
      <c r="C103" s="87" t="s">
        <v>1589</v>
      </c>
      <c r="D103" s="88"/>
    </row>
    <row r="104" spans="1:4" ht="13.5" customHeight="1" x14ac:dyDescent="0.3">
      <c r="B104" s="87" t="s">
        <v>1590</v>
      </c>
      <c r="C104" s="87" t="s">
        <v>1591</v>
      </c>
      <c r="D104" s="88"/>
    </row>
    <row r="105" spans="1:4" ht="13.5" customHeight="1" x14ac:dyDescent="0.3">
      <c r="B105" s="87" t="s">
        <v>1592</v>
      </c>
      <c r="C105" s="87" t="s">
        <v>1114</v>
      </c>
      <c r="D105" s="88"/>
    </row>
    <row r="106" spans="1:4" ht="27" customHeight="1" x14ac:dyDescent="0.3">
      <c r="B106" s="87" t="s">
        <v>1593</v>
      </c>
      <c r="C106" s="87" t="s">
        <v>1594</v>
      </c>
      <c r="D106" s="88"/>
    </row>
    <row r="107" spans="1:4" ht="13.5" customHeight="1" x14ac:dyDescent="0.3">
      <c r="B107" s="87" t="s">
        <v>1595</v>
      </c>
      <c r="C107" s="87" t="s">
        <v>1596</v>
      </c>
      <c r="D107" s="88"/>
    </row>
    <row r="108" spans="1:4" ht="13.5" customHeight="1" x14ac:dyDescent="0.3">
      <c r="B108" s="87" t="s">
        <v>1597</v>
      </c>
      <c r="C108" s="87" t="s">
        <v>1598</v>
      </c>
      <c r="D108" s="88"/>
    </row>
    <row r="109" spans="1:4" ht="13.5" customHeight="1" x14ac:dyDescent="0.3">
      <c r="B109" s="87" t="s">
        <v>1599</v>
      </c>
      <c r="C109" s="87" t="s">
        <v>1600</v>
      </c>
      <c r="D109" s="88"/>
    </row>
    <row r="110" spans="1:4" ht="13.5" customHeight="1" x14ac:dyDescent="0.3">
      <c r="B110" s="87" t="s">
        <v>1601</v>
      </c>
      <c r="C110" s="87" t="s">
        <v>1602</v>
      </c>
      <c r="D110" s="88"/>
    </row>
    <row r="112" spans="1:4" ht="15.6" x14ac:dyDescent="0.3">
      <c r="A112" s="84" t="s">
        <v>1603</v>
      </c>
      <c r="B112" s="83"/>
      <c r="C112" s="83"/>
      <c r="D112" s="83"/>
    </row>
    <row r="113" spans="1:4" ht="27" customHeight="1" x14ac:dyDescent="0.3">
      <c r="A113" s="89" t="s">
        <v>1087</v>
      </c>
      <c r="B113" s="94" t="s">
        <v>1604</v>
      </c>
      <c r="C113" s="94"/>
      <c r="D113" s="90" t="s">
        <v>1491</v>
      </c>
    </row>
    <row r="114" spans="1:4" ht="13.5" customHeight="1" x14ac:dyDescent="0.3">
      <c r="A114" s="89" t="s">
        <v>1088</v>
      </c>
      <c r="B114" s="94" t="s">
        <v>1605</v>
      </c>
      <c r="C114" s="94"/>
    </row>
    <row r="115" spans="1:4" ht="27" customHeight="1" x14ac:dyDescent="0.3">
      <c r="A115" s="89" t="s">
        <v>1089</v>
      </c>
      <c r="B115" s="94" t="s">
        <v>1606</v>
      </c>
      <c r="C115" s="94"/>
      <c r="D115" s="90" t="s">
        <v>1096</v>
      </c>
    </row>
    <row r="116" spans="1:4" ht="13.5" customHeight="1" x14ac:dyDescent="0.3">
      <c r="A116" s="97" t="s">
        <v>1607</v>
      </c>
      <c r="B116" s="97"/>
      <c r="C116" s="97"/>
      <c r="D116" s="97"/>
    </row>
    <row r="118" spans="1:4" ht="15.6" x14ac:dyDescent="0.3">
      <c r="A118" s="84" t="s">
        <v>1608</v>
      </c>
      <c r="B118" s="83"/>
      <c r="C118" s="83"/>
      <c r="D118" s="83"/>
    </row>
    <row r="119" spans="1:4" ht="13.5" customHeight="1" x14ac:dyDescent="0.3">
      <c r="A119" s="89" t="s">
        <v>1090</v>
      </c>
      <c r="B119" s="94" t="s">
        <v>1609</v>
      </c>
      <c r="C119" s="94"/>
      <c r="D119" s="90" t="s">
        <v>1499</v>
      </c>
    </row>
    <row r="120" spans="1:4" ht="13.5" customHeight="1" x14ac:dyDescent="0.3">
      <c r="A120" s="89" t="s">
        <v>1091</v>
      </c>
      <c r="B120" s="94" t="s">
        <v>1610</v>
      </c>
      <c r="C120" s="94"/>
    </row>
    <row r="122" spans="1:4" ht="15.6" x14ac:dyDescent="0.3">
      <c r="A122" s="84" t="s">
        <v>1611</v>
      </c>
      <c r="B122" s="83"/>
      <c r="C122" s="83"/>
      <c r="D122" s="83"/>
    </row>
    <row r="123" spans="1:4" ht="27" customHeight="1" x14ac:dyDescent="0.3">
      <c r="A123" s="89" t="s">
        <v>1097</v>
      </c>
      <c r="B123" s="94" t="s">
        <v>1612</v>
      </c>
      <c r="C123" s="94"/>
      <c r="D123" s="90" t="s">
        <v>1501</v>
      </c>
    </row>
    <row r="124" spans="1:4" ht="13.5" customHeight="1" x14ac:dyDescent="0.3">
      <c r="A124" s="89" t="s">
        <v>1098</v>
      </c>
      <c r="B124" s="94" t="s">
        <v>1613</v>
      </c>
      <c r="C124" s="94"/>
      <c r="D124" s="90" t="s">
        <v>1614</v>
      </c>
    </row>
    <row r="125" spans="1:4" ht="13.5" customHeight="1" x14ac:dyDescent="0.3">
      <c r="A125" s="89" t="s">
        <v>1099</v>
      </c>
      <c r="B125" s="94" t="s">
        <v>1615</v>
      </c>
      <c r="C125" s="94"/>
    </row>
    <row r="126" spans="1:4" ht="13.5" customHeight="1" x14ac:dyDescent="0.3">
      <c r="A126" s="89" t="s">
        <v>1100</v>
      </c>
      <c r="B126" s="94" t="s">
        <v>1616</v>
      </c>
      <c r="C126" s="94"/>
      <c r="D126" s="90" t="s">
        <v>1509</v>
      </c>
    </row>
    <row r="128" spans="1:4" ht="15.6" x14ac:dyDescent="0.3">
      <c r="A128" s="84" t="s">
        <v>1617</v>
      </c>
      <c r="B128" s="83"/>
      <c r="C128" s="83"/>
      <c r="D128" s="83"/>
    </row>
    <row r="129" spans="1:4" ht="13.5" customHeight="1" x14ac:dyDescent="0.3">
      <c r="A129" s="89" t="s">
        <v>1101</v>
      </c>
      <c r="B129" s="94" t="s">
        <v>1618</v>
      </c>
      <c r="C129" s="94"/>
    </row>
    <row r="130" spans="1:4" ht="13.5" customHeight="1" x14ac:dyDescent="0.3">
      <c r="A130" s="89" t="s">
        <v>1102</v>
      </c>
      <c r="B130" s="94" t="s">
        <v>1619</v>
      </c>
      <c r="C130" s="94"/>
    </row>
    <row r="131" spans="1:4" ht="13.5" customHeight="1" x14ac:dyDescent="0.3">
      <c r="A131" s="89" t="s">
        <v>1103</v>
      </c>
      <c r="B131" s="94" t="s">
        <v>1620</v>
      </c>
      <c r="C131" s="94"/>
    </row>
    <row r="133" spans="1:4" ht="15.6" x14ac:dyDescent="0.3">
      <c r="A133" s="84" t="s">
        <v>1621</v>
      </c>
      <c r="B133" s="83"/>
      <c r="C133" s="83"/>
      <c r="D133" s="83"/>
    </row>
    <row r="134" spans="1:4" ht="13.5" customHeight="1" x14ac:dyDescent="0.3">
      <c r="A134" s="89" t="s">
        <v>1104</v>
      </c>
      <c r="B134" s="94" t="s">
        <v>1622</v>
      </c>
      <c r="C134" s="94"/>
      <c r="D134" s="90" t="s">
        <v>1507</v>
      </c>
    </row>
    <row r="135" spans="1:4" ht="13.5" customHeight="1" x14ac:dyDescent="0.3">
      <c r="A135" s="89" t="s">
        <v>1105</v>
      </c>
      <c r="B135" s="94" t="s">
        <v>1623</v>
      </c>
      <c r="C135" s="94"/>
      <c r="D135" s="90" t="s">
        <v>1112</v>
      </c>
    </row>
    <row r="136" spans="1:4" ht="13.5" customHeight="1" x14ac:dyDescent="0.3">
      <c r="A136" s="89" t="s">
        <v>1106</v>
      </c>
      <c r="B136" s="94" t="s">
        <v>1624</v>
      </c>
      <c r="C136" s="94"/>
      <c r="D136" s="90" t="s">
        <v>1625</v>
      </c>
    </row>
    <row r="137" spans="1:4" ht="13.5" customHeight="1" x14ac:dyDescent="0.3">
      <c r="A137" s="95" t="s">
        <v>1113</v>
      </c>
      <c r="B137" s="95"/>
      <c r="C137" s="95"/>
      <c r="D137" s="95"/>
    </row>
    <row r="139" spans="1:4" ht="15.6" x14ac:dyDescent="0.3">
      <c r="A139" s="84" t="s">
        <v>1626</v>
      </c>
      <c r="B139" s="83"/>
      <c r="C139" s="83"/>
      <c r="D139" s="83"/>
    </row>
    <row r="140" spans="1:4" ht="13.5" customHeight="1" x14ac:dyDescent="0.3">
      <c r="A140" s="94" t="s">
        <v>1627</v>
      </c>
      <c r="B140" s="94"/>
      <c r="C140" s="94"/>
      <c r="D140" s="94"/>
    </row>
  </sheetData>
  <mergeCells count="61">
    <mergeCell ref="A140:D140"/>
    <mergeCell ref="B130:C130"/>
    <mergeCell ref="B131:C131"/>
    <mergeCell ref="B134:C134"/>
    <mergeCell ref="B135:C135"/>
    <mergeCell ref="B136:C136"/>
    <mergeCell ref="A137:D137"/>
    <mergeCell ref="B120:C120"/>
    <mergeCell ref="B123:C123"/>
    <mergeCell ref="B124:C124"/>
    <mergeCell ref="B125:C125"/>
    <mergeCell ref="B126:C126"/>
    <mergeCell ref="B129:C129"/>
    <mergeCell ref="B101:C101"/>
    <mergeCell ref="B113:C113"/>
    <mergeCell ref="B114:C114"/>
    <mergeCell ref="B115:C115"/>
    <mergeCell ref="A116:D116"/>
    <mergeCell ref="B119:C119"/>
    <mergeCell ref="B83:C83"/>
    <mergeCell ref="B84:C84"/>
    <mergeCell ref="B85:C85"/>
    <mergeCell ref="A94:D94"/>
    <mergeCell ref="B97:C97"/>
    <mergeCell ref="B98:C98"/>
    <mergeCell ref="B77:C77"/>
    <mergeCell ref="B78:C78"/>
    <mergeCell ref="B79:C79"/>
    <mergeCell ref="B80:C80"/>
    <mergeCell ref="B81:C81"/>
    <mergeCell ref="B82:C82"/>
    <mergeCell ref="A67:D67"/>
    <mergeCell ref="B70:C70"/>
    <mergeCell ref="B71:C71"/>
    <mergeCell ref="B72:C72"/>
    <mergeCell ref="A73:D73"/>
    <mergeCell ref="A76:D76"/>
    <mergeCell ref="A59:D59"/>
    <mergeCell ref="B62:C62"/>
    <mergeCell ref="B63:C63"/>
    <mergeCell ref="B64:C64"/>
    <mergeCell ref="B65:C65"/>
    <mergeCell ref="B66:C66"/>
    <mergeCell ref="B51:C51"/>
    <mergeCell ref="B52:C52"/>
    <mergeCell ref="B53:C53"/>
    <mergeCell ref="B56:C56"/>
    <mergeCell ref="B57:C57"/>
    <mergeCell ref="B58:C58"/>
    <mergeCell ref="A25:D25"/>
    <mergeCell ref="B46:C46"/>
    <mergeCell ref="B47:C47"/>
    <mergeCell ref="B48:C48"/>
    <mergeCell ref="B49:C49"/>
    <mergeCell ref="B50:C50"/>
    <mergeCell ref="A2:D2"/>
    <mergeCell ref="A3:D3"/>
    <mergeCell ref="A21:D21"/>
    <mergeCell ref="A22:D22"/>
    <mergeCell ref="A23:D23"/>
    <mergeCell ref="A24:D24"/>
  </mergeCells>
  <hyperlinks>
    <hyperlink ref="D8" location="Щиты!A10" display="Щиты!A10" xr:uid="{7534EF7C-8AA4-490B-94DD-6DC5D5BEA73C}"/>
    <hyperlink ref="D10" location="Линии!A3" display="Линии!A3" xr:uid="{864C1BD8-1831-4013-878D-D3283D9E58C4}"/>
    <hyperlink ref="D29" location="Проверка!A1" display="Проверка!A1" xr:uid="{7B62BEA3-9620-4691-8A2F-4A55ABA159F0}"/>
    <hyperlink ref="D30" location="Объект!B1" display="Объект!B1" xr:uid="{101FF0FF-D925-45BC-B2B9-F2F0C2BD220F}"/>
    <hyperlink ref="D31" location="Коды!A3" display="Коды!A3" xr:uid="{C03F13C3-AE90-47B3-B3A0-4DD9CF80CA19}"/>
    <hyperlink ref="D32" location="Щиты!A10" display="Щиты!A10" xr:uid="{8AC1FE0C-7826-418B-8285-0AB7BCCC31D6}"/>
    <hyperlink ref="D33" location="Итоги_щитов!C3" display="Итоги_щитов!C3" xr:uid="{59420DC2-4257-4773-8521-3D024E66C8C1}"/>
    <hyperlink ref="D34" location="Шины!A8" display="Шины!A8" xr:uid="{5FF83201-D48A-47EB-A30B-8B3537DB6FF5}"/>
    <hyperlink ref="D35" location="Линии!A2" display="Линии!A2" xr:uid="{BC4AEA25-C0BF-4B6C-BB19-DEECD392FA52}"/>
    <hyperlink ref="D36" location="Режимы!C3" display="Режимы!C3" xr:uid="{9A19684A-FDA7-4E09-9602-E201411A13CD}"/>
    <hyperlink ref="D37" location="Расчёт_нагрузок!C4" display="Расчёт_нагрузок!C4" xr:uid="{F8E9A493-7599-4763-BD77-0E69707A31DE}"/>
    <hyperlink ref="D38" location="Кабельный_журнал!A2" display="Кабельный_журнал!A2" xr:uid="{D3D2FB58-A583-4706-9970-9EC9FEABF02B}"/>
    <hyperlink ref="D39" location="Однолинейка!A1" display="Однолинейка!A1" xr:uid="{A0D5A199-1B2B-48F1-815C-AAC49BED7EE2}"/>
    <hyperlink ref="D40" location="Спецификация!D1" display="Спецификация!D1" xr:uid="{17178306-B53A-41FE-97A8-A1948C2ADDBE}"/>
    <hyperlink ref="D41" location="Бирки!A3" display="Бирки!A3" xr:uid="{F146BB81-A5CA-412E-8A32-6F4198CC2147}"/>
    <hyperlink ref="D46" location="Объект!C3" display="Объект!C3" xr:uid="{A1EDB0AF-E936-4ED3-B1AE-6E563B2F7CAA}"/>
    <hyperlink ref="D47" location="Щиты!A10" display="Щиты!A10" xr:uid="{D3A71A17-BBAA-42D7-9813-6B72258BD932}"/>
    <hyperlink ref="D48" location="Коды!A4" display="Коды!A4" xr:uid="{349F86C4-FC22-4CE0-9432-571A286E8487}"/>
    <hyperlink ref="D49" location="Линии!A3" display="Линии!A3" xr:uid="{0B9A3C99-2540-4B64-B629-A9C649FEEF5C}"/>
    <hyperlink ref="D50" location="Шины!A9" display="Шины!A9" xr:uid="{EC674006-CAFF-4737-94CD-9F5E68FEF4C1}"/>
    <hyperlink ref="D51" location="Проверка!A1" display="Проверка!A1" xr:uid="{79611E93-AEAE-4AEE-8695-B660F382AD9D}"/>
    <hyperlink ref="D56" location="Объект!C3" display="Объект!C3" xr:uid="{760D2D97-9A89-4FA3-A218-40EE2608FF60}"/>
    <hyperlink ref="D57" location="Объект!C8" display="Объект!C8" xr:uid="{1508C708-FD4F-44BA-A23B-70F8C1766C56}"/>
    <hyperlink ref="D58" location="Объект!C9" display="Объект!C9" xr:uid="{6E4C1D7E-7EF0-4565-8344-0186CE612C4B}"/>
    <hyperlink ref="D62" location="Щиты!A10" display="Щиты!A10" xr:uid="{AAC3D3DC-85B1-454D-BA5E-F471CB5A61D3}"/>
    <hyperlink ref="D63" location="Щиты!C10" display="Щиты!C10" xr:uid="{961ABFD5-341E-4C39-8D69-0665FED508BD}"/>
    <hyperlink ref="D70" location="Коды!A4" display="Коды!A4" xr:uid="{8471FA30-427E-4C18-BE8C-EAF8041D6F17}"/>
    <hyperlink ref="D72" location="Коды!O4" display="Коды!O4" xr:uid="{9D5B7E33-F9A3-4A8C-8D27-BB83C66877C4}"/>
    <hyperlink ref="D77" location="Линии!A3" display="Линии!A3" xr:uid="{DB1545D9-F978-4DC4-908C-849058597E80}"/>
    <hyperlink ref="D78" location="Линии!B3" display="Линии!B3" xr:uid="{9B1A7ABB-507A-4899-ADBD-4632A07410BD}"/>
    <hyperlink ref="D79" location="Линии!C3" display="Линии!C3" xr:uid="{1389D309-F712-40E4-BB07-F547958A038F}"/>
    <hyperlink ref="D80" location="Линии!D3" display="Линии!D3" xr:uid="{E3D15D47-C031-45C1-8C06-DDF5C554720B}"/>
    <hyperlink ref="D84" location="Линии!AC3" display="Линии!AC3" xr:uid="{542D6C7B-650B-4150-8511-D5E7F472474A}"/>
    <hyperlink ref="D98" location="Шины!A9" display="Шины!A9" xr:uid="{B9635492-0023-4F67-81AC-84E8E6B1CA6F}"/>
    <hyperlink ref="D101" location="Проверка!A4" display="Проверка!A4" xr:uid="{FF8F7094-E730-4609-957A-D5EE6DF5F5B6}"/>
    <hyperlink ref="D113" location="Итоги_щитов!C3" display="Итоги_щитов!C3" xr:uid="{D592CF40-53D8-4000-BF25-976534507828}"/>
    <hyperlink ref="D115" location="Режимы!C3" display="Режимы!C3" xr:uid="{65BD8085-ABCC-4E53-97DC-C7038F5E9493}"/>
    <hyperlink ref="D119" location="Расчёт_нагрузок!C4" display="Расчёт_нагрузок!C4" xr:uid="{E8C7C9BD-F3AE-48EB-9884-8E6E5BD88265}"/>
    <hyperlink ref="D123" location="Кабельный_журнал!A2" display="Кабельный_журнал!A2" xr:uid="{A28D5C43-71C5-4395-80D9-9BF499ECBE4B}"/>
    <hyperlink ref="D124" location="Кабельный_журнал!P2" display="Кабельный_журнал!P2" xr:uid="{F5BE5DBD-3A2F-49E6-B03E-6B02F211B581}"/>
    <hyperlink ref="D126" location="Бирки!A3" display="Бирки!A3" xr:uid="{E3F2D33F-1EAD-4665-A938-A0E6AAF89B32}"/>
    <hyperlink ref="D134" location="Спецификация!D1" display="Спецификация!D1" xr:uid="{85D95943-0ED3-4432-B330-BB9F600233E7}"/>
    <hyperlink ref="D135" location="Каталог!A1" display="Каталог!A1" xr:uid="{393A6918-59FF-47BE-9618-82688C1E872D}"/>
    <hyperlink ref="D136" location="Спецификация_авто!A1" display="Спецификация_авто!A1" xr:uid="{66D3A336-6321-42BE-9F84-EBB69C7980A7}"/>
  </hyperlinks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1C3E4-25EF-413C-A847-99CB2FF2BCBA}">
  <sheetPr>
    <tabColor rgb="FFFF0000"/>
  </sheetPr>
  <dimension ref="A1:I33"/>
  <sheetViews>
    <sheetView workbookViewId="0"/>
  </sheetViews>
  <sheetFormatPr defaultRowHeight="14.4" x14ac:dyDescent="0.3"/>
  <cols>
    <col min="1" max="1" width="12.77734375" customWidth="1"/>
    <col min="2" max="2" width="70.77734375" style="4" customWidth="1"/>
    <col min="4" max="4" width="12.77734375" customWidth="1"/>
    <col min="5" max="5" width="8.77734375" customWidth="1"/>
    <col min="6" max="6" width="16.77734375" customWidth="1"/>
    <col min="7" max="7" width="40.77734375" customWidth="1"/>
    <col min="8" max="8" width="70.77734375" style="4" customWidth="1"/>
    <col min="9" max="9" width="8.77734375" customWidth="1"/>
  </cols>
  <sheetData>
    <row r="1" spans="1:9" ht="18" x14ac:dyDescent="0.35">
      <c r="A1" s="113" t="s">
        <v>1439</v>
      </c>
    </row>
    <row r="2" spans="1:9" x14ac:dyDescent="0.3">
      <c r="A2" t="str">
        <f>"Замечаний: щиты — "&amp;COUNTIF(Щиты[Замечания щита],"?*")&amp;", линии — "&amp;COUNTIF(Линии[Замечания],"?*")&amp;". Методика: "&amp;Методика</f>
        <v>Замечаний: щиты — 1, линии — 29. Методика: нормы 2026</v>
      </c>
    </row>
    <row r="4" spans="1:9" x14ac:dyDescent="0.3">
      <c r="A4" s="117" t="s">
        <v>4</v>
      </c>
      <c r="B4" s="119" t="s">
        <v>1165</v>
      </c>
      <c r="D4" s="117" t="s">
        <v>4</v>
      </c>
      <c r="E4" s="117" t="s">
        <v>1212</v>
      </c>
      <c r="F4" s="117" t="s">
        <v>0</v>
      </c>
      <c r="G4" s="117" t="s">
        <v>6</v>
      </c>
      <c r="H4" s="119" t="s">
        <v>1224</v>
      </c>
      <c r="I4" s="117" t="s">
        <v>1440</v>
      </c>
    </row>
    <row r="5" spans="1:9" x14ac:dyDescent="0.3">
      <c r="A5" t="str" cm="1">
        <f t="array" ref="A5:B5">_xlfn._xlws.FILTER(_xlfn.HSTACK(Щиты[Щит],Щиты[Замечания щита]),Щиты[Замечания щита]&lt;&gt;"","замечаний нет")</f>
        <v>ЩР</v>
      </c>
      <c r="B5" s="4" t="str">
        <v>нет данных сети для ТКЗ: введите Iкз от сетевой организации или трансформатор</v>
      </c>
      <c r="D5" t="str" cm="1">
        <f t="array" ref="D5:I33">_xlfn._xlws.FILTER(_xlfn.HSTACK(Линии[Щит],Линии[№ места],Линии[Номер линии],Линии[Наименование],Линии[Замечания],HYPERLINK("#'Линии'!C"&amp;(Линии[_n]+2),"→")),Линии[Замечания]&lt;&gt;"","замечаний нет")</f>
        <v>ЩР</v>
      </c>
      <c r="E5">
        <v>20</v>
      </c>
      <c r="F5" t="str">
        <v>R.1.02.1</v>
      </c>
      <c r="G5" t="str">
        <v>Розеточная группа  Пом. №02</v>
      </c>
      <c r="H5" s="4" t="str">
        <v>дубль клеммы XT2</v>
      </c>
      <c r="I5" t="str">
        <v>→</v>
      </c>
    </row>
    <row r="6" spans="1:9" x14ac:dyDescent="0.3">
      <c r="D6" t="str">
        <v>ЩР</v>
      </c>
      <c r="E6">
        <v>21</v>
      </c>
      <c r="F6" t="str">
        <v>R.1.03.1</v>
      </c>
      <c r="G6" t="str">
        <v>Розеточная группа  Пом. №03</v>
      </c>
      <c r="H6" s="4" t="str">
        <v>дубль клеммы XT2</v>
      </c>
      <c r="I6" t="str">
        <v>→</v>
      </c>
    </row>
    <row r="7" spans="1:9" x14ac:dyDescent="0.3">
      <c r="D7" t="str">
        <v>ЩР</v>
      </c>
      <c r="E7">
        <v>36</v>
      </c>
      <c r="F7" t="str">
        <v>R.1.05.10</v>
      </c>
      <c r="G7" t="str">
        <v>Розеточная группа  Пом. №05</v>
      </c>
      <c r="H7" s="4" t="str">
        <v>дубль клеммы XT16</v>
      </c>
      <c r="I7" t="str">
        <v>→</v>
      </c>
    </row>
    <row r="8" spans="1:9" x14ac:dyDescent="0.3">
      <c r="D8" t="str">
        <v>ЩР</v>
      </c>
      <c r="E8">
        <v>37</v>
      </c>
      <c r="F8" t="str">
        <v>R.1.05.11</v>
      </c>
      <c r="G8" t="str">
        <v>Розеточная группа  Пом. №05</v>
      </c>
      <c r="H8" s="4" t="str">
        <v>дубль клеммы XT17</v>
      </c>
      <c r="I8" t="str">
        <v>→</v>
      </c>
    </row>
    <row r="9" spans="1:9" x14ac:dyDescent="0.3">
      <c r="D9" t="str">
        <v>ЩР</v>
      </c>
      <c r="E9">
        <v>39</v>
      </c>
      <c r="F9" t="str">
        <v>R.1.06.2</v>
      </c>
      <c r="G9" t="str">
        <v>Розеточная группа  Пом. №06</v>
      </c>
      <c r="H9" s="4" t="str">
        <v>дубль клеммы XT16</v>
      </c>
      <c r="I9" t="str">
        <v>→</v>
      </c>
    </row>
    <row r="10" spans="1:9" x14ac:dyDescent="0.3">
      <c r="D10" t="str">
        <v>ЩР</v>
      </c>
      <c r="E10">
        <v>40</v>
      </c>
      <c r="F10" t="str">
        <v>R.1.07.1</v>
      </c>
      <c r="G10" t="str">
        <v>Розеточная группа  Пом. №07</v>
      </c>
      <c r="H10" s="4" t="str">
        <v>дубль клеммы XT17</v>
      </c>
      <c r="I10" t="str">
        <v>→</v>
      </c>
    </row>
    <row r="11" spans="1:9" x14ac:dyDescent="0.3">
      <c r="D11" t="str">
        <v>ЩР</v>
      </c>
      <c r="E11">
        <v>50</v>
      </c>
      <c r="F11" t="str">
        <v>L.1.01.1</v>
      </c>
      <c r="G11" t="str">
        <v>Группа освещения  Пом. №01</v>
      </c>
      <c r="H11" s="4" t="str">
        <v>нет мощности</v>
      </c>
      <c r="I11" t="str">
        <v>→</v>
      </c>
    </row>
    <row r="12" spans="1:9" x14ac:dyDescent="0.3">
      <c r="D12" t="str">
        <v>ЩР</v>
      </c>
      <c r="E12">
        <v>53</v>
      </c>
      <c r="F12" t="str">
        <v>L.1.04.1</v>
      </c>
      <c r="G12" t="str">
        <v>Группа освещения  Пом. №04</v>
      </c>
      <c r="H12" s="4" t="str">
        <v>нет мощности</v>
      </c>
      <c r="I12" t="str">
        <v>→</v>
      </c>
    </row>
    <row r="13" spans="1:9" x14ac:dyDescent="0.3">
      <c r="D13" t="str">
        <v>ЩР</v>
      </c>
      <c r="E13">
        <v>54</v>
      </c>
      <c r="F13" t="str">
        <v>L.1.04.2</v>
      </c>
      <c r="G13" t="str">
        <v>Группа освещения  Пом. №04</v>
      </c>
      <c r="H13" s="4" t="str">
        <v>нет мощности</v>
      </c>
      <c r="I13" t="str">
        <v>→</v>
      </c>
    </row>
    <row r="14" spans="1:9" x14ac:dyDescent="0.3">
      <c r="D14" t="str">
        <v>ЩР</v>
      </c>
      <c r="E14">
        <v>55</v>
      </c>
      <c r="F14" t="str">
        <v>L.1.06.2</v>
      </c>
      <c r="G14" t="str">
        <v>Группа освещения  Пом. №06</v>
      </c>
      <c r="H14" s="4" t="str">
        <v>нет мощности</v>
      </c>
      <c r="I14" t="str">
        <v>→</v>
      </c>
    </row>
    <row r="15" spans="1:9" x14ac:dyDescent="0.3">
      <c r="D15" t="str">
        <v>ЩР</v>
      </c>
      <c r="E15">
        <v>56</v>
      </c>
      <c r="F15" t="str">
        <v>L.1.08.2</v>
      </c>
      <c r="G15" t="str">
        <v>Группа освещения  Пом. №08</v>
      </c>
      <c r="H15" s="4" t="str">
        <v>нет мощности</v>
      </c>
      <c r="I15" t="str">
        <v>→</v>
      </c>
    </row>
    <row r="16" spans="1:9" x14ac:dyDescent="0.3">
      <c r="D16" t="str">
        <v>ЩР</v>
      </c>
      <c r="E16">
        <v>57</v>
      </c>
      <c r="F16" t="str">
        <v>L.1.10.2</v>
      </c>
      <c r="G16" t="str">
        <v>Группа освещения  Пом. №10</v>
      </c>
      <c r="H16" s="4" t="str">
        <v>нет мощности</v>
      </c>
      <c r="I16" t="str">
        <v>→</v>
      </c>
    </row>
    <row r="17" spans="4:9" x14ac:dyDescent="0.3">
      <c r="D17" t="str">
        <v>ЩР</v>
      </c>
      <c r="E17">
        <v>58</v>
      </c>
      <c r="F17" t="str">
        <v>L.1.14.1</v>
      </c>
      <c r="G17" t="str">
        <v>Группа освещения  Пом. №14</v>
      </c>
      <c r="H17" s="4" t="str">
        <v>нет мощности</v>
      </c>
      <c r="I17" t="str">
        <v>→</v>
      </c>
    </row>
    <row r="18" spans="4:9" x14ac:dyDescent="0.3">
      <c r="D18" t="str">
        <v>ЩР</v>
      </c>
      <c r="E18">
        <v>59</v>
      </c>
      <c r="F18" t="str">
        <v>L.1.14.2</v>
      </c>
      <c r="G18" t="str">
        <v>Группа освещения  Пом. №14</v>
      </c>
      <c r="H18" s="4" t="str">
        <v>нет мощности</v>
      </c>
      <c r="I18" t="str">
        <v>→</v>
      </c>
    </row>
    <row r="19" spans="4:9" x14ac:dyDescent="0.3">
      <c r="D19" t="str">
        <v>ЩР</v>
      </c>
      <c r="E19">
        <v>60</v>
      </c>
      <c r="F19" t="str">
        <v>L.2.05.2</v>
      </c>
      <c r="G19" t="str">
        <v>Группа освещения  Пом. №05</v>
      </c>
      <c r="H19" s="4" t="str">
        <v>нет мощности</v>
      </c>
      <c r="I19" t="str">
        <v>→</v>
      </c>
    </row>
    <row r="20" spans="4:9" x14ac:dyDescent="0.3">
      <c r="D20" t="str">
        <v>ЩР</v>
      </c>
      <c r="E20">
        <v>61</v>
      </c>
      <c r="F20" t="str">
        <v>L.2.09.1</v>
      </c>
      <c r="G20" t="str">
        <v>Группа освещения  Пом. №09</v>
      </c>
      <c r="H20" s="4" t="str">
        <v>нет мощности</v>
      </c>
      <c r="I20" t="str">
        <v>→</v>
      </c>
    </row>
    <row r="21" spans="4:9" x14ac:dyDescent="0.3">
      <c r="D21" t="str">
        <v>ЩР</v>
      </c>
      <c r="E21">
        <v>62</v>
      </c>
      <c r="F21" t="str">
        <v>L.2.13.2</v>
      </c>
      <c r="G21" t="str">
        <v>Группа освещения  Пом. №13</v>
      </c>
      <c r="H21" s="4" t="str">
        <v>нет мощности</v>
      </c>
      <c r="I21" t="str">
        <v>→</v>
      </c>
    </row>
    <row r="22" spans="4:9" x14ac:dyDescent="0.3">
      <c r="D22" t="str">
        <v>ЩР</v>
      </c>
      <c r="E22">
        <v>63</v>
      </c>
      <c r="F22" t="str">
        <v>L.1.02.1</v>
      </c>
      <c r="G22" t="str">
        <v>Группа освещения  Пом. №02</v>
      </c>
      <c r="H22" s="4" t="str">
        <v>нет мощности; 5 жил на 1 фазе</v>
      </c>
      <c r="I22" t="str">
        <v>→</v>
      </c>
    </row>
    <row r="23" spans="4:9" x14ac:dyDescent="0.3">
      <c r="D23" t="str">
        <v>ЩР</v>
      </c>
      <c r="E23">
        <v>64</v>
      </c>
      <c r="F23" t="str">
        <v>L.1.06.1</v>
      </c>
      <c r="G23" t="str">
        <v>Группа освещения  Пом. №06</v>
      </c>
      <c r="H23" s="4" t="str">
        <v>нет мощности; 5 жил на 1 фазе</v>
      </c>
      <c r="I23" t="str">
        <v>→</v>
      </c>
    </row>
    <row r="24" spans="4:9" x14ac:dyDescent="0.3">
      <c r="D24" t="str">
        <v>ЩР</v>
      </c>
      <c r="E24">
        <v>65</v>
      </c>
      <c r="F24" t="str">
        <v>L.1.08.1</v>
      </c>
      <c r="G24" t="str">
        <v>Группа освещения  Пом. №08</v>
      </c>
      <c r="H24" s="4" t="str">
        <v>нет мощности; 5 жил на 1 фазе</v>
      </c>
      <c r="I24" t="str">
        <v>→</v>
      </c>
    </row>
    <row r="25" spans="4:9" x14ac:dyDescent="0.3">
      <c r="D25" t="str">
        <v>ЩР</v>
      </c>
      <c r="E25">
        <v>66</v>
      </c>
      <c r="F25" t="str">
        <v>L.1.10.1</v>
      </c>
      <c r="G25" t="str">
        <v>Группа освещения  Пом. №10</v>
      </c>
      <c r="H25" s="4" t="str">
        <v>нет мощности; 5 жил на 1 фазе</v>
      </c>
      <c r="I25" t="str">
        <v>→</v>
      </c>
    </row>
    <row r="26" spans="4:9" x14ac:dyDescent="0.3">
      <c r="D26" t="str">
        <v>ЩР</v>
      </c>
      <c r="E26">
        <v>67</v>
      </c>
      <c r="F26" t="str">
        <v>L.2.01.1</v>
      </c>
      <c r="G26" t="str">
        <v>Группа освещения  Пом. №01</v>
      </c>
      <c r="H26" s="4" t="str">
        <v>нет мощности; 5 жил на 1 фазе</v>
      </c>
      <c r="I26" t="str">
        <v>→</v>
      </c>
    </row>
    <row r="27" spans="4:9" x14ac:dyDescent="0.3">
      <c r="D27" t="str">
        <v>ЩР</v>
      </c>
      <c r="E27">
        <v>70</v>
      </c>
      <c r="F27" t="str">
        <v>L.2.05.1</v>
      </c>
      <c r="G27" t="str">
        <v>Группа освещения  Пом. №05</v>
      </c>
      <c r="H27" s="4" t="str">
        <v>нет мощности; 5 жил на 1 фазе</v>
      </c>
      <c r="I27" t="str">
        <v>→</v>
      </c>
    </row>
    <row r="28" spans="4:9" x14ac:dyDescent="0.3">
      <c r="D28" t="str">
        <v>ЩР</v>
      </c>
      <c r="E28">
        <v>71</v>
      </c>
      <c r="F28" t="str">
        <v>L.2.08.1</v>
      </c>
      <c r="G28" t="str">
        <v>Группа освещения  Пом. №08</v>
      </c>
      <c r="H28" s="4" t="str">
        <v>нет мощности; 5 жил на 1 фазе</v>
      </c>
      <c r="I28" t="str">
        <v>→</v>
      </c>
    </row>
    <row r="29" spans="4:9" x14ac:dyDescent="0.3">
      <c r="D29" t="str">
        <v>ЩР</v>
      </c>
      <c r="E29">
        <v>72</v>
      </c>
      <c r="F29" t="str">
        <v>L.2.09.2</v>
      </c>
      <c r="G29" t="str">
        <v>Группа освещения  Пом. №09</v>
      </c>
      <c r="H29" s="4" t="str">
        <v>нет мощности; 5 жил на 1 фазе</v>
      </c>
      <c r="I29" t="str">
        <v>→</v>
      </c>
    </row>
    <row r="30" spans="4:9" x14ac:dyDescent="0.3">
      <c r="D30" t="str">
        <v>ЩР</v>
      </c>
      <c r="E30">
        <v>73</v>
      </c>
      <c r="F30" t="str">
        <v>L.2.11.1</v>
      </c>
      <c r="G30" t="str">
        <v>Группа освещения  Пом. №11</v>
      </c>
      <c r="H30" s="4" t="str">
        <v>нет мощности; 5 жил на 1 фазе</v>
      </c>
      <c r="I30" t="str">
        <v>→</v>
      </c>
    </row>
    <row r="31" spans="4:9" x14ac:dyDescent="0.3">
      <c r="D31" t="str">
        <v>ЩР</v>
      </c>
      <c r="E31">
        <v>74</v>
      </c>
      <c r="F31" t="str">
        <v>L.2.12.1</v>
      </c>
      <c r="G31" t="str">
        <v>Группа освещения  Пом. №12</v>
      </c>
      <c r="H31" s="4" t="str">
        <v>нет мощности; 5 жил на 1 фазе</v>
      </c>
      <c r="I31" t="str">
        <v>→</v>
      </c>
    </row>
    <row r="32" spans="4:9" x14ac:dyDescent="0.3">
      <c r="D32" t="str">
        <v>ЩР</v>
      </c>
      <c r="E32">
        <v>75</v>
      </c>
      <c r="F32" t="str">
        <v>L.2.13.1</v>
      </c>
      <c r="G32" t="str">
        <v>Группа освещения  Пом. №13</v>
      </c>
      <c r="H32" s="4" t="str">
        <v>нет мощности; 5 жил на 1 фазе</v>
      </c>
      <c r="I32" t="str">
        <v>→</v>
      </c>
    </row>
    <row r="33" spans="4:9" x14ac:dyDescent="0.3">
      <c r="D33" t="str">
        <v>ЩР</v>
      </c>
      <c r="E33">
        <v>76</v>
      </c>
      <c r="F33" t="str">
        <v>L.2.12.2</v>
      </c>
      <c r="G33" t="str">
        <v>Группа освещения  Пом. №12</v>
      </c>
      <c r="H33" s="4" t="str">
        <v>нет мощности</v>
      </c>
      <c r="I33" t="str">
        <v>→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2E313-9FAE-4DC0-91F6-2BB8B0F8F61B}">
  <sheetPr>
    <tabColor rgb="FFFFF2CC"/>
  </sheetPr>
  <dimension ref="B1:N36"/>
  <sheetViews>
    <sheetView workbookViewId="0"/>
  </sheetViews>
  <sheetFormatPr defaultRowHeight="14.4" x14ac:dyDescent="0.3"/>
  <cols>
    <col min="2" max="2" width="42.77734375" customWidth="1"/>
    <col min="3" max="3" width="18.77734375" customWidth="1"/>
    <col min="4" max="4" width="60.77734375" customWidth="1"/>
    <col min="6" max="6" width="16.77734375" customWidth="1"/>
    <col min="7" max="7" width="20.77734375" customWidth="1"/>
  </cols>
  <sheetData>
    <row r="1" spans="2:7" ht="18" x14ac:dyDescent="0.35">
      <c r="B1" s="113" t="s">
        <v>1115</v>
      </c>
    </row>
    <row r="2" spans="2:7" x14ac:dyDescent="0.3">
      <c r="F2" s="36" t="s">
        <v>1131</v>
      </c>
      <c r="G2" s="36" t="s">
        <v>1132</v>
      </c>
    </row>
    <row r="3" spans="2:7" x14ac:dyDescent="0.3">
      <c r="B3" t="s">
        <v>1116</v>
      </c>
      <c r="C3" s="114"/>
      <c r="D3" t="s">
        <v>1117</v>
      </c>
      <c r="F3" s="114">
        <v>1</v>
      </c>
      <c r="G3" s="114">
        <v>1</v>
      </c>
    </row>
    <row r="4" spans="2:7" x14ac:dyDescent="0.3">
      <c r="B4" t="s">
        <v>1118</v>
      </c>
      <c r="C4" s="114">
        <v>2.63E-2</v>
      </c>
      <c r="D4" t="s">
        <v>1119</v>
      </c>
      <c r="F4" s="114">
        <v>2</v>
      </c>
      <c r="G4" s="114">
        <v>1</v>
      </c>
    </row>
    <row r="5" spans="2:7" x14ac:dyDescent="0.3">
      <c r="B5" t="s">
        <v>1120</v>
      </c>
      <c r="C5" s="114">
        <v>4.2000000000000003E-2</v>
      </c>
      <c r="D5" t="s">
        <v>994</v>
      </c>
      <c r="F5" s="114">
        <v>3</v>
      </c>
      <c r="G5" s="114">
        <v>0.9</v>
      </c>
    </row>
    <row r="6" spans="2:7" x14ac:dyDescent="0.3">
      <c r="B6" t="s">
        <v>1121</v>
      </c>
      <c r="C6" s="114">
        <v>1.4999999999999999E-2</v>
      </c>
      <c r="D6" t="s">
        <v>1122</v>
      </c>
      <c r="F6" s="114">
        <v>5</v>
      </c>
      <c r="G6" s="114">
        <v>0.8</v>
      </c>
    </row>
    <row r="7" spans="2:7" x14ac:dyDescent="0.3">
      <c r="B7" t="s">
        <v>1123</v>
      </c>
      <c r="C7" s="114">
        <v>0.95</v>
      </c>
      <c r="D7" t="s">
        <v>1124</v>
      </c>
      <c r="F7" s="114">
        <v>8</v>
      </c>
      <c r="G7" s="114">
        <v>0.75</v>
      </c>
    </row>
    <row r="8" spans="2:7" x14ac:dyDescent="0.3">
      <c r="B8" t="s">
        <v>1125</v>
      </c>
      <c r="C8" s="114" t="s">
        <v>1126</v>
      </c>
      <c r="D8" t="s">
        <v>1127</v>
      </c>
      <c r="F8" s="114">
        <v>10</v>
      </c>
      <c r="G8" s="114">
        <v>0.7</v>
      </c>
    </row>
    <row r="9" spans="2:7" x14ac:dyDescent="0.3">
      <c r="B9" t="s">
        <v>1128</v>
      </c>
      <c r="C9" s="114">
        <v>1</v>
      </c>
      <c r="D9" t="s">
        <v>1129</v>
      </c>
      <c r="F9" s="114">
        <v>15</v>
      </c>
      <c r="G9" s="114">
        <v>0.65</v>
      </c>
    </row>
    <row r="10" spans="2:7" x14ac:dyDescent="0.3">
      <c r="F10" s="114">
        <v>20</v>
      </c>
      <c r="G10" s="114">
        <v>0.65</v>
      </c>
    </row>
    <row r="11" spans="2:7" x14ac:dyDescent="0.3">
      <c r="B11" t="s">
        <v>1130</v>
      </c>
      <c r="F11" s="114">
        <v>30</v>
      </c>
      <c r="G11" s="114">
        <v>0.6</v>
      </c>
    </row>
    <row r="12" spans="2:7" x14ac:dyDescent="0.3">
      <c r="F12" s="114">
        <v>50</v>
      </c>
      <c r="G12" s="114">
        <v>0.55000000000000004</v>
      </c>
    </row>
    <row r="13" spans="2:7" x14ac:dyDescent="0.3">
      <c r="F13" s="114">
        <v>100</v>
      </c>
      <c r="G13" s="114">
        <v>0.55000000000000004</v>
      </c>
    </row>
    <row r="14" spans="2:7" x14ac:dyDescent="0.3">
      <c r="B14" s="36" t="s">
        <v>1361</v>
      </c>
      <c r="F14" s="114">
        <v>200</v>
      </c>
      <c r="G14" s="114">
        <v>0.5</v>
      </c>
    </row>
    <row r="15" spans="2:7" x14ac:dyDescent="0.3">
      <c r="B15" t="s">
        <v>1049</v>
      </c>
      <c r="C15" s="114">
        <v>0.75</v>
      </c>
    </row>
    <row r="16" spans="2:7" x14ac:dyDescent="0.3">
      <c r="B16" t="s">
        <v>1362</v>
      </c>
      <c r="C16" s="114">
        <v>0.9</v>
      </c>
    </row>
    <row r="17" spans="2:14" x14ac:dyDescent="0.3">
      <c r="B17" t="s">
        <v>1363</v>
      </c>
      <c r="C17" s="114">
        <v>15</v>
      </c>
      <c r="D17" t="s">
        <v>1051</v>
      </c>
    </row>
    <row r="18" spans="2:14" x14ac:dyDescent="0.3">
      <c r="B18" t="s">
        <v>1364</v>
      </c>
      <c r="C18" s="114">
        <v>240</v>
      </c>
      <c r="D18" t="s">
        <v>156</v>
      </c>
    </row>
    <row r="19" spans="2:14" x14ac:dyDescent="0.3">
      <c r="B19" t="s">
        <v>1052</v>
      </c>
      <c r="C19" s="114">
        <v>0.95</v>
      </c>
    </row>
    <row r="20" spans="2:14" x14ac:dyDescent="0.3">
      <c r="B20" t="s">
        <v>1365</v>
      </c>
      <c r="C20" s="114">
        <v>0.8</v>
      </c>
    </row>
    <row r="21" spans="2:14" x14ac:dyDescent="0.3">
      <c r="B21" t="s">
        <v>1366</v>
      </c>
      <c r="C21" s="114">
        <v>0.1</v>
      </c>
    </row>
    <row r="22" spans="2:14" x14ac:dyDescent="0.3">
      <c r="B22" t="s">
        <v>1367</v>
      </c>
      <c r="C22" s="114">
        <v>0.95</v>
      </c>
    </row>
    <row r="24" spans="2:14" x14ac:dyDescent="0.3">
      <c r="B24" t="s">
        <v>1368</v>
      </c>
      <c r="C24" s="114">
        <v>6</v>
      </c>
      <c r="D24" s="114">
        <v>10</v>
      </c>
      <c r="E24" s="114">
        <v>15</v>
      </c>
      <c r="F24" s="114">
        <v>20</v>
      </c>
      <c r="G24" s="114">
        <v>30</v>
      </c>
      <c r="H24" s="114">
        <v>40</v>
      </c>
      <c r="I24" s="114">
        <v>60</v>
      </c>
      <c r="J24" s="114">
        <v>80</v>
      </c>
      <c r="K24" s="114">
        <v>100</v>
      </c>
      <c r="L24" s="114">
        <v>120</v>
      </c>
      <c r="M24" s="114">
        <v>160</v>
      </c>
      <c r="N24" s="114">
        <v>200</v>
      </c>
    </row>
    <row r="28" spans="2:14" ht="15.6" x14ac:dyDescent="0.3">
      <c r="B28" s="138" t="s">
        <v>2045</v>
      </c>
      <c r="C28" s="139"/>
      <c r="D28" s="139"/>
    </row>
    <row r="29" spans="2:14" ht="15" customHeight="1" x14ac:dyDescent="0.3">
      <c r="B29" s="140" t="s">
        <v>2046</v>
      </c>
      <c r="C29" s="140"/>
      <c r="D29" s="140"/>
    </row>
    <row r="30" spans="2:14" ht="15" customHeight="1" x14ac:dyDescent="0.3">
      <c r="B30" s="140" t="s">
        <v>2047</v>
      </c>
      <c r="C30" s="140"/>
      <c r="D30" s="140"/>
    </row>
    <row r="31" spans="2:14" ht="30" customHeight="1" x14ac:dyDescent="0.3">
      <c r="B31" s="140" t="s">
        <v>2048</v>
      </c>
      <c r="C31" s="140"/>
      <c r="D31" s="140"/>
    </row>
    <row r="32" spans="2:14" ht="30" customHeight="1" x14ac:dyDescent="0.3">
      <c r="B32" s="140" t="s">
        <v>2049</v>
      </c>
      <c r="C32" s="140"/>
      <c r="D32" s="140"/>
    </row>
    <row r="33" spans="2:4" ht="15" customHeight="1" x14ac:dyDescent="0.3">
      <c r="B33" s="140" t="s">
        <v>2050</v>
      </c>
      <c r="C33" s="140"/>
      <c r="D33" s="140"/>
    </row>
    <row r="34" spans="2:4" ht="30" customHeight="1" x14ac:dyDescent="0.3">
      <c r="B34" s="140" t="s">
        <v>2051</v>
      </c>
      <c r="C34" s="140"/>
      <c r="D34" s="140"/>
    </row>
    <row r="35" spans="2:4" ht="30" customHeight="1" x14ac:dyDescent="0.3">
      <c r="B35" s="140" t="s">
        <v>2052</v>
      </c>
      <c r="C35" s="140"/>
      <c r="D35" s="140"/>
    </row>
    <row r="36" spans="2:4" ht="15" customHeight="1" x14ac:dyDescent="0.3">
      <c r="B36" s="140" t="s">
        <v>2053</v>
      </c>
      <c r="C36" s="140"/>
      <c r="D36" s="140"/>
    </row>
  </sheetData>
  <mergeCells count="8">
    <mergeCell ref="B35:D35"/>
    <mergeCell ref="B36:D36"/>
    <mergeCell ref="B29:D29"/>
    <mergeCell ref="B30:D30"/>
    <mergeCell ref="B31:D31"/>
    <mergeCell ref="B32:D32"/>
    <mergeCell ref="B33:D33"/>
    <mergeCell ref="B34:D34"/>
  </mergeCells>
  <dataValidations count="1">
    <dataValidation type="list" allowBlank="1" showInputMessage="1" showErrorMessage="1" sqref="C8" xr:uid="{36820B7C-3951-4D85-BE7C-1F8FD18A41EB}">
      <formula1>"v3.12,нормы 2026"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FD547-135C-4A7A-997E-36F2FF145D4A}">
  <sheetPr>
    <tabColor rgb="FF00B0F0"/>
  </sheetPr>
  <dimension ref="A1:AB38"/>
  <sheetViews>
    <sheetView workbookViewId="0"/>
  </sheetViews>
  <sheetFormatPr defaultColWidth="12.77734375" defaultRowHeight="14.4" x14ac:dyDescent="0.3"/>
  <cols>
    <col min="2" max="2" width="30.77734375" customWidth="1"/>
  </cols>
  <sheetData>
    <row r="1" spans="1:28" x14ac:dyDescent="0.3">
      <c r="A1" s="36" t="s">
        <v>1133</v>
      </c>
    </row>
    <row r="3" spans="1:28" ht="45" customHeight="1" x14ac:dyDescent="0.3">
      <c r="A3" s="4" t="s">
        <v>1134</v>
      </c>
      <c r="B3" s="4" t="s">
        <v>6</v>
      </c>
      <c r="C3" s="4" t="s">
        <v>1135</v>
      </c>
      <c r="D3" s="4" t="s">
        <v>43</v>
      </c>
      <c r="E3" s="4" t="s">
        <v>1136</v>
      </c>
      <c r="F3" s="4" t="s">
        <v>750</v>
      </c>
      <c r="G3" s="4" t="s">
        <v>1137</v>
      </c>
      <c r="H3" s="4" t="s">
        <v>191</v>
      </c>
      <c r="I3" s="4" t="s">
        <v>1138</v>
      </c>
      <c r="J3" s="4" t="s">
        <v>3</v>
      </c>
      <c r="K3" s="4" t="s">
        <v>1139</v>
      </c>
      <c r="L3" s="4" t="s">
        <v>780</v>
      </c>
      <c r="M3" s="4" t="s">
        <v>1034</v>
      </c>
      <c r="O3" s="4" t="s">
        <v>1140</v>
      </c>
      <c r="P3" s="4" t="s">
        <v>566</v>
      </c>
      <c r="Q3" s="4" t="s">
        <v>1141</v>
      </c>
      <c r="R3" s="4" t="s">
        <v>764</v>
      </c>
      <c r="S3" s="4" t="s">
        <v>1142</v>
      </c>
      <c r="U3" s="4" t="s">
        <v>36</v>
      </c>
      <c r="V3" s="4" t="s">
        <v>1143</v>
      </c>
      <c r="W3" s="4" t="s">
        <v>1144</v>
      </c>
      <c r="X3" s="4" t="s">
        <v>1145</v>
      </c>
      <c r="Z3" s="4" t="s">
        <v>1146</v>
      </c>
      <c r="AA3" s="4" t="s">
        <v>9</v>
      </c>
      <c r="AB3" s="4" t="s">
        <v>1147</v>
      </c>
    </row>
    <row r="4" spans="1:28" x14ac:dyDescent="0.3">
      <c r="A4" t="s">
        <v>59</v>
      </c>
      <c r="B4" t="s">
        <v>60</v>
      </c>
      <c r="C4">
        <v>5</v>
      </c>
      <c r="D4">
        <v>1</v>
      </c>
      <c r="E4">
        <v>1</v>
      </c>
      <c r="L4" t="s">
        <v>792</v>
      </c>
      <c r="M4" t="s">
        <v>568</v>
      </c>
      <c r="O4" t="s">
        <v>59</v>
      </c>
      <c r="U4" s="115" t="s">
        <v>39</v>
      </c>
      <c r="V4" t="s">
        <v>38</v>
      </c>
      <c r="Z4" t="s">
        <v>11</v>
      </c>
      <c r="AA4" t="s">
        <v>12</v>
      </c>
      <c r="AB4">
        <v>1</v>
      </c>
    </row>
    <row r="5" spans="1:28" x14ac:dyDescent="0.3">
      <c r="A5" t="s">
        <v>213</v>
      </c>
      <c r="B5" t="s">
        <v>215</v>
      </c>
      <c r="C5">
        <v>5</v>
      </c>
      <c r="D5">
        <v>1</v>
      </c>
      <c r="E5">
        <v>1</v>
      </c>
      <c r="L5" t="s">
        <v>792</v>
      </c>
      <c r="M5" t="s">
        <v>568</v>
      </c>
      <c r="O5" t="s">
        <v>213</v>
      </c>
      <c r="U5" s="115" t="s">
        <v>40</v>
      </c>
      <c r="Z5" t="s">
        <v>13</v>
      </c>
      <c r="AA5" t="s">
        <v>152</v>
      </c>
      <c r="AB5">
        <v>1</v>
      </c>
    </row>
    <row r="6" spans="1:28" x14ac:dyDescent="0.3">
      <c r="A6" t="s">
        <v>214</v>
      </c>
      <c r="B6" t="s">
        <v>216</v>
      </c>
      <c r="C6">
        <v>5</v>
      </c>
      <c r="D6">
        <v>1</v>
      </c>
      <c r="E6">
        <v>1</v>
      </c>
      <c r="L6" t="s">
        <v>792</v>
      </c>
      <c r="M6" t="s">
        <v>568</v>
      </c>
      <c r="O6" t="s">
        <v>214</v>
      </c>
      <c r="U6" s="115" t="s">
        <v>41</v>
      </c>
      <c r="Z6" t="s">
        <v>45</v>
      </c>
      <c r="AA6" t="s">
        <v>229</v>
      </c>
      <c r="AB6">
        <v>2</v>
      </c>
    </row>
    <row r="7" spans="1:28" x14ac:dyDescent="0.3">
      <c r="A7" t="s">
        <v>32</v>
      </c>
      <c r="B7" t="s">
        <v>33</v>
      </c>
      <c r="C7">
        <v>2</v>
      </c>
      <c r="D7">
        <v>1</v>
      </c>
      <c r="E7">
        <v>1</v>
      </c>
      <c r="F7" t="s">
        <v>11</v>
      </c>
      <c r="G7">
        <v>3</v>
      </c>
      <c r="H7">
        <v>230</v>
      </c>
      <c r="I7">
        <v>1</v>
      </c>
      <c r="J7">
        <v>2.5</v>
      </c>
      <c r="K7" t="s">
        <v>805</v>
      </c>
      <c r="L7" t="s">
        <v>806</v>
      </c>
      <c r="M7" t="s">
        <v>568</v>
      </c>
      <c r="O7" t="s">
        <v>32</v>
      </c>
      <c r="P7" t="s">
        <v>793</v>
      </c>
      <c r="Q7" t="s">
        <v>572</v>
      </c>
      <c r="R7">
        <v>16</v>
      </c>
      <c r="U7" s="115" t="s">
        <v>42</v>
      </c>
      <c r="V7" t="s">
        <v>37</v>
      </c>
      <c r="Z7" t="s">
        <v>62</v>
      </c>
      <c r="AA7" t="s">
        <v>175</v>
      </c>
      <c r="AB7">
        <v>1</v>
      </c>
    </row>
    <row r="8" spans="1:28" x14ac:dyDescent="0.3">
      <c r="A8" t="s">
        <v>34</v>
      </c>
      <c r="B8" t="s">
        <v>35</v>
      </c>
      <c r="C8">
        <v>1</v>
      </c>
      <c r="D8">
        <v>1</v>
      </c>
      <c r="E8">
        <v>1</v>
      </c>
      <c r="F8" t="s">
        <v>11</v>
      </c>
      <c r="G8">
        <v>3</v>
      </c>
      <c r="H8">
        <v>230</v>
      </c>
      <c r="I8">
        <v>1</v>
      </c>
      <c r="J8">
        <v>1.5</v>
      </c>
      <c r="K8" t="s">
        <v>800</v>
      </c>
      <c r="L8" t="s">
        <v>806</v>
      </c>
      <c r="M8" t="s">
        <v>568</v>
      </c>
      <c r="O8" t="s">
        <v>34</v>
      </c>
      <c r="P8" t="s">
        <v>801</v>
      </c>
      <c r="Q8" t="s">
        <v>568</v>
      </c>
      <c r="R8">
        <v>10</v>
      </c>
      <c r="Z8" t="s">
        <v>140</v>
      </c>
      <c r="AA8" t="s">
        <v>141</v>
      </c>
      <c r="AB8">
        <v>1</v>
      </c>
    </row>
    <row r="9" spans="1:28" x14ac:dyDescent="0.3">
      <c r="A9" t="s">
        <v>217</v>
      </c>
      <c r="B9" t="s">
        <v>218</v>
      </c>
      <c r="C9">
        <v>1</v>
      </c>
      <c r="D9">
        <v>1</v>
      </c>
      <c r="E9">
        <v>1</v>
      </c>
      <c r="K9" t="s">
        <v>800</v>
      </c>
      <c r="L9" t="s">
        <v>806</v>
      </c>
      <c r="M9" t="s">
        <v>568</v>
      </c>
      <c r="O9" t="s">
        <v>217</v>
      </c>
      <c r="P9" t="s">
        <v>801</v>
      </c>
      <c r="Q9" t="s">
        <v>568</v>
      </c>
      <c r="R9">
        <v>10</v>
      </c>
      <c r="Z9" t="s">
        <v>145</v>
      </c>
      <c r="AA9" t="s">
        <v>143</v>
      </c>
      <c r="AB9">
        <v>1</v>
      </c>
    </row>
    <row r="10" spans="1:28" x14ac:dyDescent="0.3">
      <c r="A10" t="s">
        <v>219</v>
      </c>
      <c r="B10" t="s">
        <v>220</v>
      </c>
      <c r="C10">
        <v>2</v>
      </c>
      <c r="D10">
        <v>1</v>
      </c>
      <c r="E10">
        <v>1</v>
      </c>
      <c r="K10" t="s">
        <v>816</v>
      </c>
      <c r="L10" t="s">
        <v>817</v>
      </c>
      <c r="M10" t="s">
        <v>568</v>
      </c>
      <c r="O10" t="s">
        <v>219</v>
      </c>
      <c r="P10" t="s">
        <v>793</v>
      </c>
      <c r="Q10" t="s">
        <v>568</v>
      </c>
      <c r="R10">
        <v>16</v>
      </c>
      <c r="Z10" t="s">
        <v>144</v>
      </c>
      <c r="AA10" t="s">
        <v>146</v>
      </c>
      <c r="AB10">
        <v>2</v>
      </c>
    </row>
    <row r="11" spans="1:28" x14ac:dyDescent="0.3">
      <c r="A11" t="s">
        <v>221</v>
      </c>
      <c r="B11" t="s">
        <v>222</v>
      </c>
      <c r="C11">
        <v>2</v>
      </c>
      <c r="D11">
        <v>1</v>
      </c>
      <c r="E11">
        <v>1</v>
      </c>
      <c r="K11" t="s">
        <v>821</v>
      </c>
      <c r="L11" t="s">
        <v>817</v>
      </c>
      <c r="M11" t="s">
        <v>568</v>
      </c>
      <c r="O11" t="s">
        <v>221</v>
      </c>
      <c r="P11" t="s">
        <v>793</v>
      </c>
      <c r="Q11" t="s">
        <v>568</v>
      </c>
      <c r="R11">
        <v>16</v>
      </c>
      <c r="Z11" t="s">
        <v>148</v>
      </c>
      <c r="AA11" t="s">
        <v>149</v>
      </c>
      <c r="AB11">
        <v>1</v>
      </c>
    </row>
    <row r="12" spans="1:28" x14ac:dyDescent="0.3">
      <c r="A12" t="s">
        <v>205</v>
      </c>
      <c r="B12" t="s">
        <v>223</v>
      </c>
      <c r="C12">
        <v>1</v>
      </c>
      <c r="D12">
        <v>1</v>
      </c>
      <c r="E12">
        <v>1</v>
      </c>
      <c r="K12" t="s">
        <v>816</v>
      </c>
      <c r="L12" t="s">
        <v>817</v>
      </c>
      <c r="M12" t="s">
        <v>568</v>
      </c>
      <c r="O12" t="s">
        <v>205</v>
      </c>
      <c r="P12" t="s">
        <v>818</v>
      </c>
      <c r="Q12" t="s">
        <v>568</v>
      </c>
      <c r="Z12" t="s">
        <v>207</v>
      </c>
      <c r="AA12" t="s">
        <v>209</v>
      </c>
      <c r="AB12">
        <v>2</v>
      </c>
    </row>
    <row r="13" spans="1:28" x14ac:dyDescent="0.3">
      <c r="A13" t="s">
        <v>224</v>
      </c>
      <c r="B13" t="s">
        <v>225</v>
      </c>
      <c r="C13">
        <v>1</v>
      </c>
      <c r="D13">
        <v>1</v>
      </c>
      <c r="E13">
        <v>1</v>
      </c>
      <c r="K13" t="s">
        <v>816</v>
      </c>
      <c r="L13" t="s">
        <v>817</v>
      </c>
      <c r="M13" t="s">
        <v>568</v>
      </c>
      <c r="O13" t="s">
        <v>224</v>
      </c>
      <c r="Z13" t="s">
        <v>210</v>
      </c>
      <c r="AA13" t="s">
        <v>211</v>
      </c>
      <c r="AB13">
        <v>2</v>
      </c>
    </row>
    <row r="14" spans="1:28" x14ac:dyDescent="0.3">
      <c r="A14" t="s">
        <v>156</v>
      </c>
      <c r="B14" t="s">
        <v>61</v>
      </c>
      <c r="C14">
        <v>1</v>
      </c>
      <c r="D14">
        <v>1</v>
      </c>
      <c r="E14">
        <v>1</v>
      </c>
      <c r="K14" t="s">
        <v>824</v>
      </c>
      <c r="L14" t="s">
        <v>806</v>
      </c>
      <c r="M14" t="s">
        <v>568</v>
      </c>
      <c r="O14" t="s">
        <v>156</v>
      </c>
      <c r="P14" t="s">
        <v>810</v>
      </c>
      <c r="Q14" t="s">
        <v>568</v>
      </c>
      <c r="Z14" t="s">
        <v>212</v>
      </c>
      <c r="AA14" t="s">
        <v>196</v>
      </c>
      <c r="AB14">
        <v>2</v>
      </c>
    </row>
    <row r="15" spans="1:28" x14ac:dyDescent="0.3">
      <c r="A15" t="s">
        <v>155</v>
      </c>
      <c r="B15" t="s">
        <v>252</v>
      </c>
      <c r="C15">
        <v>2</v>
      </c>
      <c r="D15">
        <v>1</v>
      </c>
      <c r="E15">
        <v>1</v>
      </c>
      <c r="K15" t="s">
        <v>812</v>
      </c>
      <c r="L15" t="s">
        <v>806</v>
      </c>
      <c r="M15" t="s">
        <v>568</v>
      </c>
      <c r="O15" t="s">
        <v>155</v>
      </c>
      <c r="P15" t="s">
        <v>813</v>
      </c>
      <c r="Q15" t="s">
        <v>572</v>
      </c>
      <c r="Z15" t="s">
        <v>231</v>
      </c>
      <c r="AA15" t="s">
        <v>230</v>
      </c>
    </row>
    <row r="16" spans="1:28" x14ac:dyDescent="0.3">
      <c r="A16" t="s">
        <v>256</v>
      </c>
      <c r="B16" t="s">
        <v>226</v>
      </c>
      <c r="C16">
        <v>1</v>
      </c>
      <c r="D16">
        <v>1</v>
      </c>
      <c r="E16">
        <v>1</v>
      </c>
      <c r="K16" t="s">
        <v>828</v>
      </c>
      <c r="L16" t="s">
        <v>817</v>
      </c>
      <c r="M16" t="s">
        <v>568</v>
      </c>
      <c r="O16" t="s">
        <v>256</v>
      </c>
      <c r="P16" t="s">
        <v>807</v>
      </c>
      <c r="Q16" t="s">
        <v>568</v>
      </c>
    </row>
    <row r="17" spans="1:19" x14ac:dyDescent="0.3">
      <c r="A17" t="s">
        <v>255</v>
      </c>
      <c r="B17" t="s">
        <v>227</v>
      </c>
      <c r="C17">
        <v>1</v>
      </c>
      <c r="D17">
        <v>1</v>
      </c>
      <c r="E17">
        <v>1</v>
      </c>
      <c r="K17" t="s">
        <v>816</v>
      </c>
      <c r="L17" t="s">
        <v>817</v>
      </c>
      <c r="M17" t="s">
        <v>568</v>
      </c>
      <c r="O17" t="s">
        <v>255</v>
      </c>
    </row>
    <row r="18" spans="1:19" x14ac:dyDescent="0.3">
      <c r="A18" t="s">
        <v>208</v>
      </c>
      <c r="B18" t="s">
        <v>228</v>
      </c>
      <c r="C18">
        <v>1</v>
      </c>
      <c r="D18">
        <v>1</v>
      </c>
      <c r="E18">
        <v>1</v>
      </c>
      <c r="K18" t="s">
        <v>828</v>
      </c>
      <c r="L18" t="s">
        <v>806</v>
      </c>
      <c r="M18" t="s">
        <v>568</v>
      </c>
      <c r="O18" t="s">
        <v>208</v>
      </c>
      <c r="P18" t="s">
        <v>810</v>
      </c>
      <c r="Q18" t="s">
        <v>568</v>
      </c>
      <c r="S18">
        <v>2</v>
      </c>
    </row>
    <row r="19" spans="1:19" x14ac:dyDescent="0.3">
      <c r="A19" t="s">
        <v>232</v>
      </c>
      <c r="B19" t="s">
        <v>233</v>
      </c>
      <c r="C19">
        <v>1</v>
      </c>
      <c r="D19">
        <v>2</v>
      </c>
      <c r="E19">
        <v>1</v>
      </c>
      <c r="K19" t="s">
        <v>800</v>
      </c>
      <c r="L19" t="s">
        <v>806</v>
      </c>
      <c r="M19" t="s">
        <v>568</v>
      </c>
      <c r="O19" t="s">
        <v>232</v>
      </c>
      <c r="P19" t="s">
        <v>801</v>
      </c>
      <c r="Q19" t="s">
        <v>568</v>
      </c>
      <c r="R19">
        <v>10</v>
      </c>
    </row>
    <row r="20" spans="1:19" x14ac:dyDescent="0.3">
      <c r="A20" t="s">
        <v>234</v>
      </c>
      <c r="B20" t="s">
        <v>235</v>
      </c>
      <c r="C20">
        <v>1</v>
      </c>
      <c r="D20">
        <v>1</v>
      </c>
      <c r="E20">
        <v>1</v>
      </c>
      <c r="K20" t="s">
        <v>821</v>
      </c>
      <c r="L20" t="s">
        <v>817</v>
      </c>
      <c r="M20" t="s">
        <v>568</v>
      </c>
      <c r="O20" t="s">
        <v>234</v>
      </c>
    </row>
    <row r="21" spans="1:19" x14ac:dyDescent="0.3">
      <c r="A21" t="s">
        <v>257</v>
      </c>
      <c r="B21" t="s">
        <v>236</v>
      </c>
      <c r="C21">
        <v>1</v>
      </c>
      <c r="D21">
        <v>1</v>
      </c>
      <c r="E21">
        <v>1</v>
      </c>
      <c r="K21" t="s">
        <v>820</v>
      </c>
      <c r="L21" t="s">
        <v>806</v>
      </c>
      <c r="M21" t="s">
        <v>568</v>
      </c>
      <c r="O21" t="s">
        <v>257</v>
      </c>
      <c r="P21" t="s">
        <v>810</v>
      </c>
      <c r="Q21" t="s">
        <v>568</v>
      </c>
    </row>
    <row r="22" spans="1:19" x14ac:dyDescent="0.3">
      <c r="A22" t="s">
        <v>237</v>
      </c>
      <c r="B22" t="s">
        <v>238</v>
      </c>
      <c r="C22">
        <v>1</v>
      </c>
      <c r="D22">
        <v>1</v>
      </c>
      <c r="E22">
        <v>1</v>
      </c>
      <c r="K22" t="s">
        <v>824</v>
      </c>
      <c r="L22" t="s">
        <v>837</v>
      </c>
      <c r="M22" t="s">
        <v>568</v>
      </c>
      <c r="O22" t="s">
        <v>237</v>
      </c>
    </row>
    <row r="23" spans="1:19" x14ac:dyDescent="0.3">
      <c r="A23" t="s">
        <v>239</v>
      </c>
      <c r="B23" t="s">
        <v>240</v>
      </c>
      <c r="C23">
        <v>1</v>
      </c>
      <c r="D23">
        <v>1</v>
      </c>
      <c r="E23">
        <v>1</v>
      </c>
      <c r="K23" t="s">
        <v>820</v>
      </c>
      <c r="L23" t="s">
        <v>806</v>
      </c>
      <c r="M23" t="s">
        <v>568</v>
      </c>
      <c r="O23" t="s">
        <v>239</v>
      </c>
      <c r="P23" t="s">
        <v>810</v>
      </c>
      <c r="Q23" t="s">
        <v>568</v>
      </c>
    </row>
    <row r="24" spans="1:19" x14ac:dyDescent="0.3">
      <c r="A24" t="s">
        <v>241</v>
      </c>
      <c r="B24" t="s">
        <v>242</v>
      </c>
      <c r="C24">
        <v>1</v>
      </c>
      <c r="D24">
        <v>1</v>
      </c>
      <c r="E24">
        <v>1</v>
      </c>
      <c r="K24" t="s">
        <v>826</v>
      </c>
      <c r="L24" t="s">
        <v>806</v>
      </c>
      <c r="M24" t="s">
        <v>568</v>
      </c>
      <c r="O24" t="s">
        <v>241</v>
      </c>
      <c r="P24" t="s">
        <v>813</v>
      </c>
      <c r="Q24" t="s">
        <v>572</v>
      </c>
    </row>
    <row r="25" spans="1:19" x14ac:dyDescent="0.3">
      <c r="A25" t="s">
        <v>243</v>
      </c>
      <c r="B25" t="s">
        <v>244</v>
      </c>
      <c r="C25">
        <v>0</v>
      </c>
      <c r="D25">
        <v>1</v>
      </c>
      <c r="E25">
        <v>1</v>
      </c>
      <c r="K25" t="s">
        <v>816</v>
      </c>
      <c r="L25" t="s">
        <v>817</v>
      </c>
      <c r="M25" t="s">
        <v>568</v>
      </c>
      <c r="O25" t="s">
        <v>243</v>
      </c>
    </row>
    <row r="26" spans="1:19" x14ac:dyDescent="0.3">
      <c r="A26" t="s">
        <v>245</v>
      </c>
      <c r="B26" t="s">
        <v>246</v>
      </c>
      <c r="C26">
        <v>0</v>
      </c>
      <c r="D26">
        <v>1</v>
      </c>
      <c r="E26">
        <v>1</v>
      </c>
      <c r="K26" t="s">
        <v>816</v>
      </c>
      <c r="L26" t="s">
        <v>817</v>
      </c>
      <c r="M26" t="s">
        <v>568</v>
      </c>
      <c r="O26" t="s">
        <v>245</v>
      </c>
    </row>
    <row r="27" spans="1:19" x14ac:dyDescent="0.3">
      <c r="A27" t="s">
        <v>247</v>
      </c>
      <c r="B27" t="s">
        <v>248</v>
      </c>
      <c r="C27">
        <v>1</v>
      </c>
      <c r="D27">
        <v>1</v>
      </c>
      <c r="E27">
        <v>1</v>
      </c>
      <c r="L27" t="s">
        <v>792</v>
      </c>
      <c r="M27" t="s">
        <v>568</v>
      </c>
      <c r="O27" t="s">
        <v>247</v>
      </c>
    </row>
    <row r="28" spans="1:19" x14ac:dyDescent="0.3">
      <c r="A28" t="s">
        <v>260</v>
      </c>
      <c r="B28" t="s">
        <v>249</v>
      </c>
      <c r="C28">
        <v>1</v>
      </c>
      <c r="D28">
        <v>1</v>
      </c>
      <c r="E28">
        <v>1</v>
      </c>
      <c r="L28" t="s">
        <v>792</v>
      </c>
      <c r="M28" t="s">
        <v>568</v>
      </c>
      <c r="O28" t="s">
        <v>260</v>
      </c>
    </row>
    <row r="29" spans="1:19" x14ac:dyDescent="0.3">
      <c r="A29" t="s">
        <v>250</v>
      </c>
      <c r="B29" t="s">
        <v>251</v>
      </c>
      <c r="C29">
        <v>1</v>
      </c>
      <c r="D29">
        <v>1</v>
      </c>
      <c r="E29">
        <v>1</v>
      </c>
      <c r="K29" t="s">
        <v>821</v>
      </c>
      <c r="L29" t="s">
        <v>817</v>
      </c>
      <c r="M29" t="s">
        <v>568</v>
      </c>
      <c r="O29" t="s">
        <v>250</v>
      </c>
      <c r="P29" t="s">
        <v>793</v>
      </c>
      <c r="Q29" t="s">
        <v>568</v>
      </c>
      <c r="R29">
        <v>16</v>
      </c>
    </row>
    <row r="30" spans="1:19" x14ac:dyDescent="0.3">
      <c r="A30" t="s">
        <v>254</v>
      </c>
      <c r="B30" t="s">
        <v>253</v>
      </c>
      <c r="C30">
        <v>1</v>
      </c>
      <c r="D30">
        <v>1</v>
      </c>
      <c r="E30">
        <v>1</v>
      </c>
      <c r="K30" t="s">
        <v>816</v>
      </c>
      <c r="L30" t="s">
        <v>817</v>
      </c>
      <c r="M30" t="s">
        <v>568</v>
      </c>
      <c r="O30" t="s">
        <v>254</v>
      </c>
    </row>
    <row r="31" spans="1:19" x14ac:dyDescent="0.3">
      <c r="A31" t="s">
        <v>258</v>
      </c>
      <c r="B31" t="s">
        <v>259</v>
      </c>
      <c r="C31">
        <v>1</v>
      </c>
      <c r="D31">
        <v>1</v>
      </c>
      <c r="E31">
        <v>1</v>
      </c>
      <c r="K31" t="s">
        <v>824</v>
      </c>
      <c r="L31" t="s">
        <v>837</v>
      </c>
      <c r="M31" t="s">
        <v>568</v>
      </c>
      <c r="O31" t="s">
        <v>258</v>
      </c>
      <c r="P31" t="s">
        <v>810</v>
      </c>
      <c r="Q31" t="s">
        <v>568</v>
      </c>
    </row>
    <row r="32" spans="1:19" x14ac:dyDescent="0.3">
      <c r="A32" t="s">
        <v>391</v>
      </c>
      <c r="B32" t="s">
        <v>392</v>
      </c>
      <c r="C32">
        <v>3</v>
      </c>
      <c r="D32">
        <v>1</v>
      </c>
      <c r="E32">
        <v>1</v>
      </c>
      <c r="K32" t="s">
        <v>800</v>
      </c>
      <c r="L32" t="s">
        <v>806</v>
      </c>
      <c r="M32" t="s">
        <v>568</v>
      </c>
      <c r="O32" t="s">
        <v>391</v>
      </c>
      <c r="P32" t="s">
        <v>801</v>
      </c>
      <c r="Q32" t="s">
        <v>568</v>
      </c>
      <c r="R32">
        <v>10</v>
      </c>
    </row>
    <row r="33" spans="1:17" x14ac:dyDescent="0.3">
      <c r="A33" t="s">
        <v>492</v>
      </c>
      <c r="B33" t="s">
        <v>493</v>
      </c>
      <c r="C33">
        <v>1</v>
      </c>
      <c r="D33">
        <v>1</v>
      </c>
      <c r="E33">
        <v>1</v>
      </c>
      <c r="K33" t="s">
        <v>815</v>
      </c>
      <c r="L33" t="s">
        <v>806</v>
      </c>
      <c r="M33" t="s">
        <v>568</v>
      </c>
      <c r="O33" t="s">
        <v>492</v>
      </c>
      <c r="P33" t="s">
        <v>813</v>
      </c>
      <c r="Q33" t="s">
        <v>568</v>
      </c>
    </row>
    <row r="34" spans="1:17" x14ac:dyDescent="0.3">
      <c r="O34" t="s">
        <v>863</v>
      </c>
    </row>
    <row r="35" spans="1:17" x14ac:dyDescent="0.3">
      <c r="O35" t="s">
        <v>584</v>
      </c>
      <c r="P35" t="s">
        <v>810</v>
      </c>
      <c r="Q35" t="s">
        <v>568</v>
      </c>
    </row>
    <row r="36" spans="1:17" x14ac:dyDescent="0.3">
      <c r="O36" t="s">
        <v>588</v>
      </c>
      <c r="P36" t="s">
        <v>807</v>
      </c>
      <c r="Q36" t="s">
        <v>568</v>
      </c>
    </row>
    <row r="37" spans="1:17" x14ac:dyDescent="0.3">
      <c r="O37" t="s">
        <v>589</v>
      </c>
      <c r="P37" t="s">
        <v>803</v>
      </c>
      <c r="Q37" t="s">
        <v>568</v>
      </c>
    </row>
    <row r="38" spans="1:17" x14ac:dyDescent="0.3">
      <c r="O38" t="s">
        <v>591</v>
      </c>
      <c r="P38" t="s">
        <v>803</v>
      </c>
      <c r="Q38" t="s">
        <v>568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9B462-CA83-41DD-B9FE-738E31FC2AAA}">
  <sheetPr>
    <tabColor rgb="FFFFF2CC"/>
  </sheetPr>
  <dimension ref="A1:BX10"/>
  <sheetViews>
    <sheetView workbookViewId="0"/>
  </sheetViews>
  <sheetFormatPr defaultColWidth="11.77734375" defaultRowHeight="14.4" outlineLevelCol="1" x14ac:dyDescent="0.3"/>
  <cols>
    <col min="32" max="75" width="0" hidden="1" customWidth="1" outlineLevel="1"/>
    <col min="76" max="76" width="11.77734375" collapsed="1"/>
  </cols>
  <sheetData>
    <row r="1" spans="1:75" s="93" customFormat="1" ht="15.6" x14ac:dyDescent="0.3">
      <c r="B1" s="138" t="s">
        <v>2054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75" s="93" customFormat="1" ht="15" customHeight="1" x14ac:dyDescent="0.3">
      <c r="B2" s="140" t="s">
        <v>2055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</row>
    <row r="3" spans="1:75" s="93" customFormat="1" ht="15" customHeight="1" x14ac:dyDescent="0.3">
      <c r="B3" s="140" t="s">
        <v>2056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</row>
    <row r="4" spans="1:75" s="93" customFormat="1" ht="15" customHeight="1" x14ac:dyDescent="0.3">
      <c r="B4" s="140" t="s">
        <v>2057</v>
      </c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</row>
    <row r="5" spans="1:75" s="93" customFormat="1" ht="30" customHeight="1" x14ac:dyDescent="0.3">
      <c r="B5" s="140" t="s">
        <v>2058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</row>
    <row r="6" spans="1:75" s="93" customFormat="1" ht="30" customHeight="1" x14ac:dyDescent="0.3">
      <c r="B6" s="140" t="s">
        <v>2059</v>
      </c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</row>
    <row r="7" spans="1:75" s="93" customFormat="1" x14ac:dyDescent="0.3"/>
    <row r="8" spans="1:75" x14ac:dyDescent="0.3">
      <c r="A8" s="132" t="s">
        <v>1449</v>
      </c>
      <c r="G8" s="132" t="s">
        <v>1450</v>
      </c>
      <c r="U8" s="132" t="s">
        <v>1451</v>
      </c>
    </row>
    <row r="9" spans="1:75" ht="60" customHeight="1" x14ac:dyDescent="0.3">
      <c r="A9" s="130" t="s">
        <v>4</v>
      </c>
      <c r="B9" s="130" t="s">
        <v>1148</v>
      </c>
      <c r="C9" s="130" t="s">
        <v>1149</v>
      </c>
      <c r="D9" s="130" t="s">
        <v>1150</v>
      </c>
      <c r="E9" s="130" t="s">
        <v>1151</v>
      </c>
      <c r="F9" s="130" t="s">
        <v>1152</v>
      </c>
      <c r="G9" s="130" t="s">
        <v>1153</v>
      </c>
      <c r="H9" s="130" t="s">
        <v>1154</v>
      </c>
      <c r="I9" s="130" t="s">
        <v>1155</v>
      </c>
      <c r="J9" s="130" t="s">
        <v>1156</v>
      </c>
      <c r="K9" s="130" t="s">
        <v>1157</v>
      </c>
      <c r="L9" s="130" t="s">
        <v>1158</v>
      </c>
      <c r="M9" s="130" t="s">
        <v>1159</v>
      </c>
      <c r="N9" s="130" t="s">
        <v>1137</v>
      </c>
      <c r="O9" s="130" t="s">
        <v>985</v>
      </c>
      <c r="P9" s="130" t="s">
        <v>30</v>
      </c>
      <c r="Q9" s="130" t="s">
        <v>1160</v>
      </c>
      <c r="R9" s="130" t="s">
        <v>1161</v>
      </c>
      <c r="S9" s="130" t="s">
        <v>1162</v>
      </c>
      <c r="T9" s="130" t="s">
        <v>1163</v>
      </c>
      <c r="U9" s="131" t="s">
        <v>1164</v>
      </c>
      <c r="V9" s="131" t="s">
        <v>1165</v>
      </c>
      <c r="W9" s="131" t="s">
        <v>1166</v>
      </c>
      <c r="X9" s="131" t="s">
        <v>991</v>
      </c>
      <c r="Y9" s="131" t="s">
        <v>1036</v>
      </c>
      <c r="Z9" s="131" t="s">
        <v>993</v>
      </c>
      <c r="AA9" s="131" t="s">
        <v>987</v>
      </c>
      <c r="AB9" s="131" t="s">
        <v>1167</v>
      </c>
      <c r="AC9" s="131" t="s">
        <v>1168</v>
      </c>
      <c r="AD9" s="131" t="s">
        <v>1169</v>
      </c>
      <c r="AE9" s="131" t="s">
        <v>1170</v>
      </c>
      <c r="AF9" s="131" t="s">
        <v>1171</v>
      </c>
      <c r="AG9" s="131" t="s">
        <v>1172</v>
      </c>
      <c r="AH9" s="131" t="s">
        <v>1173</v>
      </c>
      <c r="AI9" s="131" t="s">
        <v>1174</v>
      </c>
      <c r="AJ9" s="131" t="s">
        <v>1175</v>
      </c>
      <c r="AK9" s="131" t="s">
        <v>1176</v>
      </c>
      <c r="AL9" s="131" t="s">
        <v>1177</v>
      </c>
      <c r="AM9" s="131" t="s">
        <v>1178</v>
      </c>
      <c r="AN9" s="131" t="s">
        <v>1179</v>
      </c>
      <c r="AO9" s="131" t="s">
        <v>1180</v>
      </c>
      <c r="AP9" s="131" t="s">
        <v>1181</v>
      </c>
      <c r="AQ9" s="131" t="s">
        <v>1182</v>
      </c>
      <c r="AR9" s="131" t="s">
        <v>786</v>
      </c>
      <c r="AS9" s="131" t="s">
        <v>1035</v>
      </c>
      <c r="AT9" s="131" t="s">
        <v>995</v>
      </c>
      <c r="AU9" s="131" t="s">
        <v>992</v>
      </c>
      <c r="AV9" s="131" t="s">
        <v>1183</v>
      </c>
      <c r="AW9" s="131" t="s">
        <v>1184</v>
      </c>
      <c r="AX9" s="131" t="s">
        <v>1185</v>
      </c>
      <c r="AY9" s="131" t="s">
        <v>1186</v>
      </c>
      <c r="AZ9" s="131" t="s">
        <v>1187</v>
      </c>
      <c r="BA9" s="131" t="s">
        <v>1188</v>
      </c>
      <c r="BB9" s="131" t="s">
        <v>1189</v>
      </c>
      <c r="BC9" s="131" t="s">
        <v>1190</v>
      </c>
      <c r="BD9" s="131" t="s">
        <v>1191</v>
      </c>
      <c r="BE9" s="131" t="s">
        <v>1192</v>
      </c>
      <c r="BF9" s="131" t="s">
        <v>1193</v>
      </c>
      <c r="BG9" s="131" t="s">
        <v>1194</v>
      </c>
      <c r="BH9" s="131" t="s">
        <v>1195</v>
      </c>
      <c r="BI9" s="131" t="s">
        <v>1196</v>
      </c>
      <c r="BJ9" s="131" t="s">
        <v>1197</v>
      </c>
      <c r="BK9" s="131" t="s">
        <v>1198</v>
      </c>
      <c r="BL9" s="131" t="s">
        <v>1199</v>
      </c>
      <c r="BM9" s="131" t="s">
        <v>1200</v>
      </c>
      <c r="BN9" s="131" t="s">
        <v>1201</v>
      </c>
      <c r="BO9" s="131" t="s">
        <v>1202</v>
      </c>
      <c r="BP9" s="131" t="s">
        <v>1203</v>
      </c>
      <c r="BQ9" s="131" t="s">
        <v>1204</v>
      </c>
      <c r="BR9" s="131" t="s">
        <v>1205</v>
      </c>
      <c r="BS9" s="131" t="s">
        <v>1206</v>
      </c>
      <c r="BT9" s="131" t="s">
        <v>1207</v>
      </c>
      <c r="BU9" s="131" t="s">
        <v>1208</v>
      </c>
      <c r="BV9" s="131" t="s">
        <v>1209</v>
      </c>
      <c r="BW9" s="131" t="s">
        <v>1044</v>
      </c>
    </row>
    <row r="10" spans="1:75" x14ac:dyDescent="0.3">
      <c r="A10" t="s">
        <v>206</v>
      </c>
      <c r="C10">
        <v>1</v>
      </c>
      <c r="D10" t="s">
        <v>568</v>
      </c>
      <c r="E10" t="s">
        <v>1026</v>
      </c>
      <c r="F10">
        <v>18</v>
      </c>
      <c r="U10" t="str" cm="1">
        <f t="array" ref="U10">IF(Щиты[[#This Row],[Питается от]]&lt;&gt;"",Щиты[[#This Row],[Питается от]],IFERROR(INDEX(Линии[Щит],Щиты[[#This Row],[_строка фидера]]),""))</f>
        <v/>
      </c>
      <c r="V10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>нет данных сети для ТКЗ: введите Iкз от сетевой организации или трансформатор</v>
      </c>
      <c r="W10" t="str" cm="1">
        <f t="array" ref="W10">IF(Щиты[[#This Row],[_строка фидера]]="","",INDEX(Линии[Номер линии],Щиты[[#This Row],[_строка фидера]]))</f>
        <v/>
      </c>
      <c r="X10" s="6">
        <f>SUMIFS(Щиты[_Руст собств],Щиты[Путь],"*|"&amp;Щиты[[#This Row],[Щит]]&amp;"|*")</f>
        <v>5.5200000000000005</v>
      </c>
      <c r="Y10" s="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4.4160000000000004</v>
      </c>
      <c r="Z10" s="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7.2928455055531698</v>
      </c>
      <c r="AA10" s="6">
        <f>IFERROR(SUMIFS(Щиты[_Pcos собств],Щиты[Путь],"*|"&amp;Щиты[[#This Row],[Щит]]&amp;"|*")/SUMIFS(Щиты[_P собств],Щиты[Путь],"*|"&amp;Щиты[[#This Row],[Щит]]&amp;"|*"),0.95)</f>
        <v>0.94999999999999973</v>
      </c>
      <c r="AB10" s="6" cm="1">
        <f t="array" ref="AB10">SUMPRODUCT(--ISNUMBER(SEARCH("|"&amp;Щиты[Щит]&amp;"|",Щиты[[#This Row],[Путь]])),IFERROR(--Щиты[_ΔU фидера],0)+IFERROR(--Щиты[_ΔU источника],0))</f>
        <v>0</v>
      </c>
      <c r="AC10" s="6" t="str">
        <f>IF(ISNUMBER(Щиты[[#This Row],[Zпетли на шинах, Ом]]),c_min*(Uн_лин*1000/SQRT(3))/Щиты[[#This Row],[Zпетли на шинах, Ом]],"")</f>
        <v/>
      </c>
      <c r="AD10" s="6" t="str">
        <f>IF(ISNUMBER(Щиты[[#This Row],[Zmax на шинах, Ом]]),1.05*(Uн_лин*1000/SQRT(3))/Щиты[[#This Row],[Zmax на шинах, Ом]]/1000,"")</f>
        <v/>
      </c>
      <c r="AE10" t="str" cm="1">
        <f t="array" ref="AE10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III</v>
      </c>
      <c r="AF10" t="str" cm="1">
        <f t="array" ref="AF10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|ЩР|</v>
      </c>
      <c r="AG10" s="6" t="str">
        <f>_xlfn.TEXTBEFORE(MID(Щиты[[#This Row],[Путь]],2,999),"|")</f>
        <v>ЩР</v>
      </c>
      <c r="AH10">
        <f>LEN(Щиты[[#This Row],[Путь]])-LEN(SUBSTITUTE(Щиты[[#This Row],[Путь]],"|",""))-2</f>
        <v>0</v>
      </c>
      <c r="AI10" t="str">
        <f>IFERROR(_xlfn.XMATCH(Щиты[[#This Row],[Щит]],Линии[_фидер]),"")</f>
        <v/>
      </c>
      <c r="AJ10">
        <f>SUMIFS(Линии[_Руст (без Нет)],Линии[Щит],Щиты[[#This Row],[Щит]])</f>
        <v>5.5200000000000005</v>
      </c>
      <c r="AK10">
        <f>SUMIFS(Линии[_Руст быт],Линии[Щит],Щиты[[#This Row],[Щит]])</f>
        <v>5.5200000000000005</v>
      </c>
      <c r="AL10">
        <f>SUMIFS(Линии[_Рр сил],Линии[Щит],Щиты[[#This Row],[Щит]])</f>
        <v>0</v>
      </c>
      <c r="AM10">
        <f>SUMIFS(Линии[_Руст пост],Линии[Щит],Щиты[[#This Row],[Щит]])</f>
        <v>0</v>
      </c>
      <c r="AN10">
        <f>SUMIFS(Линии[_P для cos],Линии[Щит],Щиты[[#This Row],[Щит]])</f>
        <v>5.5200000000000005</v>
      </c>
      <c r="AO10">
        <f>SUMIFS(Линии[_P·cos],Линии[Щит],Щиты[[#This Row],[Щит]])</f>
        <v>5.2439999999999989</v>
      </c>
      <c r="AP10">
        <f>SUMIFS(Линии[_Р отопления],Линии[Щит],Щиты[[#This Row],[Щит]])</f>
        <v>0</v>
      </c>
      <c r="AQ10">
        <f>SUMIFS(Линии[_Рр ВНГ],Линии[Щит],Щиты[[#This Row],[Щит]])</f>
        <v>0</v>
      </c>
      <c r="AR10" s="6">
        <f>SUMIFS(Щиты[_быт собств],Щиты[Путь],"*|"&amp;Щиты[[#This Row],[Щит]]&amp;"|*")</f>
        <v>5.5200000000000005</v>
      </c>
      <c r="AS10" s="6" cm="1">
        <f t="array" ref="AS10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10" s="6">
        <f>SUMIFS(Щиты[_сил собств],Щиты[Путь],"*|"&amp;Щиты[[#This Row],[Щит]]&amp;"|*")</f>
        <v>0</v>
      </c>
      <c r="AU10" s="6">
        <f>SUMIFS(Щиты[_пост собств],Щиты[Путь],"*|"&amp;Щиты[[#This Row],[Щит]]&amp;"|*")</f>
        <v>0</v>
      </c>
      <c r="AV10" s="6">
        <f>SUMIFS(Щиты[_отоп собств],Щиты[Путь],"*|"&amp;Щиты[[#This Row],[Щит]]&amp;"|*")</f>
        <v>0</v>
      </c>
      <c r="AW10" s="6">
        <f>SUMIFS(Щиты[_внг собств],Щиты[Путь],"*|"&amp;Щиты[[#This Row],[Щит]]&amp;"|*")</f>
        <v>0</v>
      </c>
      <c r="AX10">
        <f>COUNTIFS(Линии[Щит],Щиты[[#This Row],[Щит]],Линии[Группа Кс (итог)],"Сил")</f>
        <v>0</v>
      </c>
      <c r="AY10" s="6" cm="1">
        <f t="array" ref="AY10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1</v>
      </c>
      <c r="AZ10" s="6">
        <f>IF(Методика="нормы 2026",IF(AND(Щиты[[#This Row],[Руст быт, кВт]]&gt;0,Щиты[[#This Row],[Рр сил, кВт]]&gt;0),Ко_сил,1),Ко_сил)</f>
        <v>1</v>
      </c>
      <c r="BA10" s="6">
        <f>IF(Щиты[[#This Row],[Руст, кВт]]=0,0,Щиты[[#This Row],[Рр, кВт]]/Щиты[[#This Row],[Руст, кВт]])</f>
        <v>0.8</v>
      </c>
      <c r="BB10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1.5799999999999998</v>
      </c>
      <c r="BC10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1.9400000000000002</v>
      </c>
      <c r="BD10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2</v>
      </c>
      <c r="BE10" t="str" cm="1">
        <f t="array" ref="BE10">IF(Щиты[[#This Row],[_строка фидера]]="","",INDEX(Линии[ΔU, %],Щиты[[#This Row],[_строка фидера]]))</f>
        <v/>
      </c>
      <c r="BF10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0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0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0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0" t="str">
        <f>IF(Щиты[[#This Row],[_Zсети]]="","",Щиты[[#This Row],[_Zсети]]+Щиты[[#This Row],[_петля пит. кабеля]])</f>
        <v/>
      </c>
      <c r="BK10" t="str" cm="1">
        <f t="array" ref="BK10">IF(Щиты[[#This Row],[_строка фидера]]="","",INDEX(Линии[_Zкабеля],Щиты[[#This Row],[_строка фидера]]))</f>
        <v/>
      </c>
      <c r="BL10" s="6" t="str" cm="1">
        <f t="array" ref="BL10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/>
      </c>
      <c r="BM10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0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0" t="str" cm="1">
        <f t="array" ref="BO10">IF(Щиты[[#This Row],[_строка фидера]]="","",INDEX(Линии[_Zmax кабеля],Щиты[[#This Row],[_строка фидера]]))</f>
        <v/>
      </c>
      <c r="BP10" s="6" t="str" cm="1">
        <f t="array" ref="BP10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/>
      </c>
      <c r="BQ10">
        <f>_xlfn.MAXIFS(Линии[_ранг для фидера],Линии[Щит],Щиты[[#This Row],[Щит]])</f>
        <v>1</v>
      </c>
      <c r="BR10" t="str" cm="1">
        <f t="array" ref="BR10">IFERROR(INDEX({"III","II","I","I особая"},MAX(1,_xlfn.MAXIFS(Щиты[_ранг собств],Щиты[Путь],"*|"&amp;Щиты[[#This Row],[Щит]]&amp;"|*"))),"III")</f>
        <v>III</v>
      </c>
      <c r="BS10" t="str" cm="1">
        <f t="array" ref="BS10">IF(Щиты[[#This Row],[_строка фидера]]="","",INDEX(Линии[Категория (итог)],Щиты[[#This Row],[_строка фидера]]))</f>
        <v/>
      </c>
      <c r="BT10" s="6">
        <f>_xlfn.MAXIFS(Линии[Iпуск, А],Линии[Щит],Щиты[[#This Row],[Щит]])</f>
        <v>0</v>
      </c>
      <c r="BU10" t="str" cm="1">
        <f t="array" ref="BU10">IF(Щиты[[#This Row],[_строка фидера]]="","",INDEX(Линии[Источник для режимов],Щиты[[#This Row],[_строка фидера]]))</f>
        <v/>
      </c>
      <c r="BV10" t="str" cm="1">
        <f t="array" ref="BV10">IF(Щиты[[#This Row],[_строка фидера]]="","",INDEX(Линии[Пожарная (итог)],Щиты[[#This Row],[_строка фидера]]))</f>
        <v/>
      </c>
      <c r="BW10">
        <f>COUNTIFS(Линии[Щит],Щиты[[#This Row],[Щит]],Линии[Категория: проверка],"НЕ ОБЕСПЕЧЕНА")</f>
        <v>0</v>
      </c>
    </row>
  </sheetData>
  <mergeCells count="5">
    <mergeCell ref="B2:M2"/>
    <mergeCell ref="B3:M3"/>
    <mergeCell ref="B4:M4"/>
    <mergeCell ref="B5:M5"/>
    <mergeCell ref="B6:M6"/>
  </mergeCells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AD37-2CD3-4895-BFE9-C3A92EB396BF}">
  <sheetPr>
    <tabColor rgb="FFED7D31"/>
  </sheetPr>
  <dimension ref="B1:S300"/>
  <sheetViews>
    <sheetView workbookViewId="0"/>
  </sheetViews>
  <sheetFormatPr defaultRowHeight="14.4" x14ac:dyDescent="0.3"/>
  <cols>
    <col min="2" max="2" width="34.77734375" customWidth="1"/>
    <col min="3" max="3" width="22.77734375" customWidth="1"/>
    <col min="4" max="4" width="6.77734375" customWidth="1"/>
    <col min="6" max="19" width="11.77734375" customWidth="1"/>
  </cols>
  <sheetData>
    <row r="1" spans="2:19" ht="18" x14ac:dyDescent="0.35">
      <c r="B1" s="113" t="s">
        <v>1416</v>
      </c>
    </row>
    <row r="3" spans="2:19" ht="28.8" x14ac:dyDescent="0.3">
      <c r="B3" t="s">
        <v>1371</v>
      </c>
      <c r="C3" s="114" t="s">
        <v>206</v>
      </c>
      <c r="F3" s="119" t="s">
        <v>4</v>
      </c>
      <c r="G3" s="119" t="s">
        <v>1148</v>
      </c>
      <c r="H3" s="119" t="s">
        <v>991</v>
      </c>
      <c r="I3" s="119" t="s">
        <v>1188</v>
      </c>
      <c r="J3" s="119" t="s">
        <v>1036</v>
      </c>
      <c r="K3" s="119" t="s">
        <v>987</v>
      </c>
      <c r="L3" s="119" t="s">
        <v>993</v>
      </c>
      <c r="M3" s="119" t="s">
        <v>1189</v>
      </c>
      <c r="N3" s="119" t="s">
        <v>1190</v>
      </c>
      <c r="O3" s="119" t="s">
        <v>1191</v>
      </c>
      <c r="P3" s="119" t="s">
        <v>1167</v>
      </c>
      <c r="Q3" s="119" t="s">
        <v>1433</v>
      </c>
      <c r="R3" s="119" t="s">
        <v>1434</v>
      </c>
      <c r="S3" s="119" t="s">
        <v>1002</v>
      </c>
    </row>
    <row r="4" spans="2:19" x14ac:dyDescent="0.3">
      <c r="B4" s="128" t="s">
        <v>1148</v>
      </c>
      <c r="C4" s="129" t="str">
        <f>_xlfn.XLOOKUP($C$3,Щиты[Щит],Щиты[Питается от (итог)],"")</f>
        <v/>
      </c>
      <c r="D4" s="128"/>
      <c r="F4" t="str" cm="1">
        <f t="array" ref="F4:S4">_xlfn.HSTACK(Щиты[Щит],Щиты[Питается от (итог)],Щиты[Руст, кВт],Щиты[Кс итог],Щиты[Рр, кВт],Щиты[cos φ],Щиты[Iр, А],Щиты[P L1, кВт],Щиты[P L2, кВт],Щиты[P L3, кВт],Щиты[ΔU до шин, %],Щиты[Iкз min на шинах, А],Щиты[Iкз max на шинах, кА],Щиты[Категория шины «Ввод»])</f>
        <v>ЩР</v>
      </c>
      <c r="G4" t="str">
        <v/>
      </c>
      <c r="H4" s="6">
        <v>5.5200000000000005</v>
      </c>
      <c r="I4" s="6">
        <v>0.8</v>
      </c>
      <c r="J4" s="6">
        <v>4.4160000000000004</v>
      </c>
      <c r="K4" s="6">
        <v>0.94999999999999973</v>
      </c>
      <c r="L4" s="6">
        <v>7.2928455055531698</v>
      </c>
      <c r="M4" s="6">
        <v>1.5799999999999998</v>
      </c>
      <c r="N4" s="6">
        <v>1.9400000000000002</v>
      </c>
      <c r="O4" s="6">
        <v>2</v>
      </c>
      <c r="P4" s="6">
        <v>0</v>
      </c>
      <c r="Q4" s="6" t="str">
        <v/>
      </c>
      <c r="R4" s="6" t="str">
        <v/>
      </c>
      <c r="S4" t="str">
        <v>III</v>
      </c>
    </row>
    <row r="5" spans="2:19" x14ac:dyDescent="0.3">
      <c r="B5" s="128" t="s">
        <v>1003</v>
      </c>
      <c r="C5" s="129">
        <f>_xlfn.XLOOKUP($C$3,Щиты[Щит],Щиты[Руст, кВт],"")</f>
        <v>5.5200000000000005</v>
      </c>
      <c r="D5" s="128" t="s">
        <v>18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2:19" x14ac:dyDescent="0.3">
      <c r="B6" s="128" t="s">
        <v>1417</v>
      </c>
      <c r="C6" s="129">
        <f>_xlfn.XLOOKUP($C$3,Щиты[Щит],Щиты[Руст быт, кВт],"")</f>
        <v>5.5200000000000005</v>
      </c>
      <c r="D6" s="128" t="s">
        <v>18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9" x14ac:dyDescent="0.3">
      <c r="B7" s="128" t="s">
        <v>1418</v>
      </c>
      <c r="C7" s="129">
        <f>_xlfn.XLOOKUP($C$3,Щиты[Щит],Щиты[Кс быт],"")</f>
        <v>0.8</v>
      </c>
      <c r="D7" s="128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9" x14ac:dyDescent="0.3">
      <c r="B8" s="128" t="s">
        <v>1419</v>
      </c>
      <c r="C8" s="129">
        <f>_xlfn.XLOOKUP($C$3,Щиты[Щит],Щиты[Рр сил, кВт],"")</f>
        <v>0</v>
      </c>
      <c r="D8" s="128" t="s">
        <v>18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2:19" x14ac:dyDescent="0.3">
      <c r="B9" s="128" t="s">
        <v>1420</v>
      </c>
      <c r="C9" s="129">
        <f>_xlfn.XLOOKUP($C$3,Щиты[Щит],Щиты[Руст пост, кВт],"")</f>
        <v>0</v>
      </c>
      <c r="D9" s="128" t="s">
        <v>18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2:19" x14ac:dyDescent="0.3">
      <c r="B10" s="128" t="s">
        <v>1421</v>
      </c>
      <c r="C10" s="129">
        <f>_xlfn.XLOOKUP($C$3,Щиты[Щит],Щиты[Р отопления, кВт],"")</f>
        <v>0</v>
      </c>
      <c r="D10" s="128" t="s">
        <v>18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2:19" x14ac:dyDescent="0.3">
      <c r="B11" s="128" t="s">
        <v>1422</v>
      </c>
      <c r="C11" s="129">
        <f>_xlfn.XLOOKUP($C$3,Щиты[Щит],Щиты[Рр ВНГ, кВт],"")</f>
        <v>0</v>
      </c>
      <c r="D11" s="128" t="s">
        <v>18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2:19" x14ac:dyDescent="0.3">
      <c r="B12" s="128" t="s">
        <v>1187</v>
      </c>
      <c r="C12" s="129">
        <f>_xlfn.XLOOKUP($C$3,Щиты[Щит],Щиты[Ко],"")</f>
        <v>1</v>
      </c>
      <c r="D12" s="128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2:19" x14ac:dyDescent="0.3">
      <c r="B13" s="128" t="s">
        <v>1004</v>
      </c>
      <c r="C13" s="129">
        <f>_xlfn.XLOOKUP($C$3,Щиты[Щит],Щиты[Рр, кВт],"")</f>
        <v>4.4160000000000004</v>
      </c>
      <c r="D13" s="128" t="s">
        <v>18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2:19" x14ac:dyDescent="0.3">
      <c r="B14" s="128" t="s">
        <v>1423</v>
      </c>
      <c r="C14" s="129">
        <f>_xlfn.XLOOKUP($C$3,Щиты[Щит],Щиты[Кс итог],"")</f>
        <v>0.8</v>
      </c>
      <c r="D14" s="128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2:19" x14ac:dyDescent="0.3">
      <c r="B15" s="128" t="s">
        <v>987</v>
      </c>
      <c r="C15" s="129">
        <f>_xlfn.XLOOKUP($C$3,Щиты[Щит],Щиты[cos φ],"")</f>
        <v>0.94999999999999973</v>
      </c>
      <c r="D15" s="12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2:19" x14ac:dyDescent="0.3">
      <c r="B16" s="128" t="s">
        <v>1424</v>
      </c>
      <c r="C16" s="129">
        <f>IFERROR(C13*TAN(ACOS(C15)),"")</f>
        <v>1.4514690084698634</v>
      </c>
      <c r="D16" s="128" t="s">
        <v>1425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2:18" x14ac:dyDescent="0.3">
      <c r="B17" s="128" t="s">
        <v>1426</v>
      </c>
      <c r="C17" s="129">
        <f>IFERROR(SQRT(C13^2+C16^2),"")</f>
        <v>4.6484210526315808</v>
      </c>
      <c r="D17" s="128" t="s">
        <v>984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2:18" x14ac:dyDescent="0.3">
      <c r="B18" s="128" t="s">
        <v>1427</v>
      </c>
      <c r="C18" s="129">
        <f>_xlfn.XLOOKUP($C$3,Щиты[Щит],Щиты[Iр, А],"")</f>
        <v>7.2928455055531698</v>
      </c>
      <c r="D18" s="128" t="s">
        <v>20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2:18" x14ac:dyDescent="0.3">
      <c r="B19" s="128" t="s">
        <v>1428</v>
      </c>
      <c r="C19" s="129" t="str">
        <f>IFERROR(FIXED(_xlfn.XLOOKUP($C$3,Щиты[Щит],Щиты[P L1, кВт],""),2)&amp;" / "&amp;FIXED(_xlfn.XLOOKUP($C$3,Щиты[Щит],Щиты[P L2, кВт],""),2)&amp;" / "&amp;FIXED(_xlfn.XLOOKUP($C$3,Щиты[Щит],Щиты[P L3, кВт],""),2),"")</f>
        <v>1,58 / 1,94 / 2,00</v>
      </c>
      <c r="D19" s="128" t="s">
        <v>18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2:18" x14ac:dyDescent="0.3">
      <c r="B20" s="128" t="s">
        <v>1429</v>
      </c>
      <c r="C20" s="129" t="str">
        <f>IFERROR(FIXED(_xlfn.XLOOKUP($C$3,Щиты[Щит],Щиты[P L1, кВт],"")*C14,2)&amp;" / "&amp;FIXED(_xlfn.XLOOKUP($C$3,Щиты[Щит],Щиты[P L2, кВт],"")*C14,2)&amp;" / "&amp;FIXED(_xlfn.XLOOKUP($C$3,Щиты[Щит],Щиты[P L3, кВт],"")*C14,2),"")</f>
        <v>1,26 / 1,55 / 1,60</v>
      </c>
      <c r="D20" s="128" t="s">
        <v>18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2:18" x14ac:dyDescent="0.3">
      <c r="B21" s="128" t="s">
        <v>1430</v>
      </c>
      <c r="C21" s="129">
        <f>IFERROR(_xlfn.LET(_xlpm.a,_xlfn.XLOOKUP($C$3,Щиты[Щит],Щиты[P L1, кВт],""),_xlpm.b,_xlfn.XLOOKUP($C$3,Щиты[Щит],Щиты[P L2, кВт],""),_xlpm.cc,_xlfn.XLOOKUP($C$3,Щиты[Щит],Щиты[P L3, кВт],""),(MAX(_xlpm.a,_xlpm.b,_xlpm.cc)-MIN(_xlpm.a,_xlpm.b,_xlpm.cc))/MAX(_xlpm.a,_xlpm.b,_xlpm.cc)*100),"")</f>
        <v>21.000000000000007</v>
      </c>
      <c r="D21" s="128" t="s">
        <v>19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2:18" x14ac:dyDescent="0.3">
      <c r="B22" s="128" t="s">
        <v>1431</v>
      </c>
      <c r="C22" s="129">
        <f>_xlfn.XLOOKUP($C$3,Щиты[Щит],Щиты[Iпуск max, А],"")</f>
        <v>0</v>
      </c>
      <c r="D22" s="128" t="s">
        <v>20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2:18" x14ac:dyDescent="0.3">
      <c r="B23" s="128" t="s">
        <v>1012</v>
      </c>
      <c r="C23" s="129" t="str">
        <f>IFERROR(IF((TAN(ACOS(C15))-0.35)*C13&lt;50,"не требуется (&lt; 50 квар, СП 256 п. 7.3)",FIXED((TAN(ACOS(C15))-0.35)*C13,1)&amp;" квар"),"")</f>
        <v>не требуется (&lt; 50 квар, СП 256 п. 7.3)</v>
      </c>
      <c r="D23" s="128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2:18" x14ac:dyDescent="0.3">
      <c r="B24" s="128" t="s">
        <v>1432</v>
      </c>
      <c r="C24" s="129">
        <f>_xlfn.XLOOKUP($C$3,Щиты[Щит],Щиты[ΔU до шин, %],"")</f>
        <v>0</v>
      </c>
      <c r="D24" s="128" t="s">
        <v>19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2:18" x14ac:dyDescent="0.3">
      <c r="B25" s="128" t="s">
        <v>989</v>
      </c>
      <c r="C25" s="129" t="str">
        <f>_xlfn.XLOOKUP($C$3,Щиты[Щит],Щиты[Iкз min на шинах, А],"")</f>
        <v/>
      </c>
      <c r="D25" s="128" t="s">
        <v>20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2:18" x14ac:dyDescent="0.3">
      <c r="B26" s="128" t="s">
        <v>990</v>
      </c>
      <c r="C26" s="129" t="str">
        <f>_xlfn.XLOOKUP($C$3,Щиты[Щит],Щиты[Iкз max на шинах, кА],"")</f>
        <v/>
      </c>
      <c r="D26" s="128" t="s">
        <v>983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2:18" x14ac:dyDescent="0.3">
      <c r="B27" s="128" t="s">
        <v>1170</v>
      </c>
      <c r="C27" s="129" t="str">
        <f>_xlfn.XLOOKUP($C$3,Щиты[Щит],Щиты[Категория шины «Ввод»],"")</f>
        <v>III</v>
      </c>
      <c r="D27" s="128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2:18" x14ac:dyDescent="0.3">
      <c r="C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2:18" x14ac:dyDescent="0.3">
      <c r="B29" s="116" t="s">
        <v>1435</v>
      </c>
      <c r="C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2:18" x14ac:dyDescent="0.3">
      <c r="C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2:18" x14ac:dyDescent="0.3"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2:18" x14ac:dyDescent="0.3"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8:18" x14ac:dyDescent="0.3"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8:18" x14ac:dyDescent="0.3"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8:18" x14ac:dyDescent="0.3"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8:18" x14ac:dyDescent="0.3"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8:18" x14ac:dyDescent="0.3"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8:18" x14ac:dyDescent="0.3"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8:18" x14ac:dyDescent="0.3"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8:18" x14ac:dyDescent="0.3"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8:18" x14ac:dyDescent="0.3"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8:18" x14ac:dyDescent="0.3"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8:18" x14ac:dyDescent="0.3"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8:18" x14ac:dyDescent="0.3"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8:18" x14ac:dyDescent="0.3"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8:18" x14ac:dyDescent="0.3"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8:18" x14ac:dyDescent="0.3"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8:18" x14ac:dyDescent="0.3"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8:18" x14ac:dyDescent="0.3"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8:18" x14ac:dyDescent="0.3"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8:18" x14ac:dyDescent="0.3"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8:18" x14ac:dyDescent="0.3"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8:18" x14ac:dyDescent="0.3"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8:18" x14ac:dyDescent="0.3"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8:18" x14ac:dyDescent="0.3"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8:18" x14ac:dyDescent="0.3"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8:18" x14ac:dyDescent="0.3"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8:18" x14ac:dyDescent="0.3"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8:18" x14ac:dyDescent="0.3"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pans="8:18" x14ac:dyDescent="0.3"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pans="8:18" x14ac:dyDescent="0.3"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8:18" x14ac:dyDescent="0.3"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8:18" x14ac:dyDescent="0.3"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8:18" x14ac:dyDescent="0.3"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8:18" x14ac:dyDescent="0.3"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8:18" x14ac:dyDescent="0.3"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8:18" x14ac:dyDescent="0.3"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8:18" x14ac:dyDescent="0.3"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pans="8:18" x14ac:dyDescent="0.3"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8:18" x14ac:dyDescent="0.3"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8:18" x14ac:dyDescent="0.3"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8:18" x14ac:dyDescent="0.3"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8:18" x14ac:dyDescent="0.3"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8:18" x14ac:dyDescent="0.3"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8:18" x14ac:dyDescent="0.3"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8:18" x14ac:dyDescent="0.3"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8:18" x14ac:dyDescent="0.3"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8:18" x14ac:dyDescent="0.3"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8:18" x14ac:dyDescent="0.3"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8:18" x14ac:dyDescent="0.3"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8:18" x14ac:dyDescent="0.3"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8:18" x14ac:dyDescent="0.3"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8:18" x14ac:dyDescent="0.3"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8:18" x14ac:dyDescent="0.3"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8:18" x14ac:dyDescent="0.3"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8:18" x14ac:dyDescent="0.3"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8:18" x14ac:dyDescent="0.3"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8:18" x14ac:dyDescent="0.3"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8:18" x14ac:dyDescent="0.3"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8:18" x14ac:dyDescent="0.3"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8:18" x14ac:dyDescent="0.3"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8:18" x14ac:dyDescent="0.3"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8:18" x14ac:dyDescent="0.3"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8:18" x14ac:dyDescent="0.3"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8:18" x14ac:dyDescent="0.3"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8:18" x14ac:dyDescent="0.3"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8:18" x14ac:dyDescent="0.3"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8:18" x14ac:dyDescent="0.3"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8:18" x14ac:dyDescent="0.3"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8:18" x14ac:dyDescent="0.3"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8:18" x14ac:dyDescent="0.3"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8:18" x14ac:dyDescent="0.3"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8:18" x14ac:dyDescent="0.3"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pans="8:18" x14ac:dyDescent="0.3"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spans="8:18" x14ac:dyDescent="0.3"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8:18" x14ac:dyDescent="0.3"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spans="8:18" x14ac:dyDescent="0.3"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spans="8:18" x14ac:dyDescent="0.3"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8:18" x14ac:dyDescent="0.3"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8:18" x14ac:dyDescent="0.3"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8:18" x14ac:dyDescent="0.3"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8:18" x14ac:dyDescent="0.3"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8:18" x14ac:dyDescent="0.3"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8:18" x14ac:dyDescent="0.3"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8:18" x14ac:dyDescent="0.3"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8:18" x14ac:dyDescent="0.3"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8:18" x14ac:dyDescent="0.3"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8:18" x14ac:dyDescent="0.3"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8:18" x14ac:dyDescent="0.3"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8:18" x14ac:dyDescent="0.3"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8:18" x14ac:dyDescent="0.3"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spans="8:18" x14ac:dyDescent="0.3"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spans="8:18" x14ac:dyDescent="0.3"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spans="8:18" x14ac:dyDescent="0.3"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spans="8:18" x14ac:dyDescent="0.3"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spans="8:18" x14ac:dyDescent="0.3"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8:18" x14ac:dyDescent="0.3"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spans="8:18" x14ac:dyDescent="0.3"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spans="8:18" x14ac:dyDescent="0.3"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spans="8:18" x14ac:dyDescent="0.3"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spans="8:18" x14ac:dyDescent="0.3"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8:18" x14ac:dyDescent="0.3"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spans="8:18" x14ac:dyDescent="0.3"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spans="8:18" x14ac:dyDescent="0.3"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spans="8:18" x14ac:dyDescent="0.3"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spans="8:18" x14ac:dyDescent="0.3"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spans="8:18" x14ac:dyDescent="0.3"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spans="8:18" x14ac:dyDescent="0.3"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spans="8:18" x14ac:dyDescent="0.3"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spans="8:18" x14ac:dyDescent="0.3"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spans="8:18" x14ac:dyDescent="0.3"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spans="8:18" x14ac:dyDescent="0.3"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spans="8:18" x14ac:dyDescent="0.3"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spans="8:18" x14ac:dyDescent="0.3"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spans="8:18" x14ac:dyDescent="0.3"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spans="8:18" x14ac:dyDescent="0.3"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spans="8:18" x14ac:dyDescent="0.3"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spans="8:18" x14ac:dyDescent="0.3"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spans="8:18" x14ac:dyDescent="0.3"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spans="8:18" x14ac:dyDescent="0.3"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spans="8:18" x14ac:dyDescent="0.3"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8:18" x14ac:dyDescent="0.3"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spans="8:18" x14ac:dyDescent="0.3"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spans="8:18" x14ac:dyDescent="0.3"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spans="8:18" x14ac:dyDescent="0.3"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spans="8:18" x14ac:dyDescent="0.3"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spans="8:18" x14ac:dyDescent="0.3"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8:18" x14ac:dyDescent="0.3"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spans="8:18" x14ac:dyDescent="0.3"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spans="8:18" x14ac:dyDescent="0.3"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spans="8:18" x14ac:dyDescent="0.3"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spans="8:18" x14ac:dyDescent="0.3"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spans="8:18" x14ac:dyDescent="0.3"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spans="8:18" x14ac:dyDescent="0.3"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spans="8:18" x14ac:dyDescent="0.3"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spans="8:18" x14ac:dyDescent="0.3"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spans="8:18" x14ac:dyDescent="0.3"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spans="8:18" x14ac:dyDescent="0.3"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spans="8:18" x14ac:dyDescent="0.3"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spans="8:18" x14ac:dyDescent="0.3"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spans="8:18" x14ac:dyDescent="0.3"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spans="8:18" x14ac:dyDescent="0.3"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spans="8:18" x14ac:dyDescent="0.3"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spans="8:18" x14ac:dyDescent="0.3"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spans="8:18" x14ac:dyDescent="0.3"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spans="8:18" x14ac:dyDescent="0.3"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spans="8:18" x14ac:dyDescent="0.3"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spans="8:18" x14ac:dyDescent="0.3"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spans="8:18" x14ac:dyDescent="0.3"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spans="8:18" x14ac:dyDescent="0.3"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spans="8:18" x14ac:dyDescent="0.3"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spans="8:18" x14ac:dyDescent="0.3"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spans="8:18" x14ac:dyDescent="0.3"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spans="8:18" x14ac:dyDescent="0.3"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spans="8:18" x14ac:dyDescent="0.3"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spans="8:18" x14ac:dyDescent="0.3"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spans="8:18" x14ac:dyDescent="0.3"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spans="8:18" x14ac:dyDescent="0.3"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spans="8:18" x14ac:dyDescent="0.3"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spans="8:18" x14ac:dyDescent="0.3"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spans="8:18" x14ac:dyDescent="0.3"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spans="8:18" x14ac:dyDescent="0.3"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spans="8:18" x14ac:dyDescent="0.3"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spans="8:18" x14ac:dyDescent="0.3"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spans="8:18" x14ac:dyDescent="0.3"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spans="8:18" x14ac:dyDescent="0.3"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spans="8:18" x14ac:dyDescent="0.3"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spans="8:18" x14ac:dyDescent="0.3"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spans="8:18" x14ac:dyDescent="0.3"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spans="8:18" x14ac:dyDescent="0.3"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spans="8:18" x14ac:dyDescent="0.3"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spans="8:18" x14ac:dyDescent="0.3"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spans="8:18" x14ac:dyDescent="0.3"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spans="8:18" x14ac:dyDescent="0.3"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spans="8:18" x14ac:dyDescent="0.3"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spans="8:18" x14ac:dyDescent="0.3"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spans="8:18" x14ac:dyDescent="0.3"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spans="8:18" x14ac:dyDescent="0.3"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spans="8:18" x14ac:dyDescent="0.3"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spans="8:18" x14ac:dyDescent="0.3"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spans="8:18" x14ac:dyDescent="0.3"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spans="8:18" x14ac:dyDescent="0.3"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spans="8:18" x14ac:dyDescent="0.3"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spans="8:18" x14ac:dyDescent="0.3"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spans="8:18" x14ac:dyDescent="0.3"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spans="8:18" x14ac:dyDescent="0.3"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spans="8:18" x14ac:dyDescent="0.3"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spans="8:18" x14ac:dyDescent="0.3"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spans="8:18" x14ac:dyDescent="0.3"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spans="8:18" x14ac:dyDescent="0.3"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spans="8:18" x14ac:dyDescent="0.3"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spans="8:18" x14ac:dyDescent="0.3"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spans="8:18" x14ac:dyDescent="0.3"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spans="8:18" x14ac:dyDescent="0.3"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spans="8:18" x14ac:dyDescent="0.3"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spans="8:18" x14ac:dyDescent="0.3"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spans="8:18" x14ac:dyDescent="0.3"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spans="8:18" x14ac:dyDescent="0.3"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spans="8:18" x14ac:dyDescent="0.3"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spans="8:18" x14ac:dyDescent="0.3"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spans="8:18" x14ac:dyDescent="0.3"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spans="8:18" x14ac:dyDescent="0.3"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spans="8:18" x14ac:dyDescent="0.3"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spans="8:18" x14ac:dyDescent="0.3"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spans="8:18" x14ac:dyDescent="0.3"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spans="8:18" x14ac:dyDescent="0.3"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spans="8:18" x14ac:dyDescent="0.3"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spans="8:18" x14ac:dyDescent="0.3"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spans="8:18" x14ac:dyDescent="0.3"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spans="8:18" x14ac:dyDescent="0.3"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spans="8:18" x14ac:dyDescent="0.3"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spans="8:18" x14ac:dyDescent="0.3"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spans="8:18" x14ac:dyDescent="0.3"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spans="8:18" x14ac:dyDescent="0.3"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spans="8:18" x14ac:dyDescent="0.3"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spans="8:18" x14ac:dyDescent="0.3"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spans="8:18" x14ac:dyDescent="0.3"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spans="8:18" x14ac:dyDescent="0.3"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spans="8:18" x14ac:dyDescent="0.3"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spans="8:18" x14ac:dyDescent="0.3"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spans="8:18" x14ac:dyDescent="0.3"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spans="8:18" x14ac:dyDescent="0.3"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spans="8:18" x14ac:dyDescent="0.3"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spans="8:18" x14ac:dyDescent="0.3"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spans="8:18" x14ac:dyDescent="0.3"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spans="8:18" x14ac:dyDescent="0.3"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spans="8:18" x14ac:dyDescent="0.3"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spans="8:18" x14ac:dyDescent="0.3"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spans="8:18" x14ac:dyDescent="0.3"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spans="8:18" x14ac:dyDescent="0.3"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spans="8:18" x14ac:dyDescent="0.3"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spans="8:18" x14ac:dyDescent="0.3"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spans="8:18" x14ac:dyDescent="0.3"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spans="8:18" x14ac:dyDescent="0.3"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spans="8:18" x14ac:dyDescent="0.3"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spans="8:18" x14ac:dyDescent="0.3"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spans="8:18" x14ac:dyDescent="0.3"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spans="8:18" x14ac:dyDescent="0.3"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spans="8:18" x14ac:dyDescent="0.3"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spans="8:18" x14ac:dyDescent="0.3"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spans="8:18" x14ac:dyDescent="0.3"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spans="8:18" x14ac:dyDescent="0.3"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spans="8:18" x14ac:dyDescent="0.3"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spans="8:18" x14ac:dyDescent="0.3"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spans="8:18" x14ac:dyDescent="0.3"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spans="8:18" x14ac:dyDescent="0.3"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spans="8:18" x14ac:dyDescent="0.3"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spans="8:18" x14ac:dyDescent="0.3"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spans="8:18" x14ac:dyDescent="0.3"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spans="8:18" x14ac:dyDescent="0.3"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spans="8:18" x14ac:dyDescent="0.3"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spans="8:18" x14ac:dyDescent="0.3"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spans="8:18" x14ac:dyDescent="0.3"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spans="8:18" x14ac:dyDescent="0.3"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spans="8:18" x14ac:dyDescent="0.3"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spans="8:18" x14ac:dyDescent="0.3"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spans="8:18" x14ac:dyDescent="0.3"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spans="8:18" x14ac:dyDescent="0.3"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spans="8:18" x14ac:dyDescent="0.3"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spans="8:18" x14ac:dyDescent="0.3"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spans="8:18" x14ac:dyDescent="0.3"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spans="8:18" x14ac:dyDescent="0.3"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spans="8:18" x14ac:dyDescent="0.3"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spans="8:18" x14ac:dyDescent="0.3"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spans="8:18" x14ac:dyDescent="0.3"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spans="8:18" x14ac:dyDescent="0.3"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spans="8:18" x14ac:dyDescent="0.3"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spans="8:18" x14ac:dyDescent="0.3"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spans="8:18" x14ac:dyDescent="0.3"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spans="8:18" x14ac:dyDescent="0.3"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</sheetData>
  <dataValidations count="1">
    <dataValidation type="list" allowBlank="1" showInputMessage="1" showErrorMessage="1" sqref="C3" xr:uid="{3504A6F8-A901-489C-9D05-72572E7BC896}">
      <formula1>Список_щитов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4846F-5C7C-43E1-B547-4453B669EF01}">
  <sheetPr>
    <tabColor rgb="FFFFF2CC"/>
  </sheetPr>
  <dimension ref="A1:M8"/>
  <sheetViews>
    <sheetView workbookViewId="0"/>
  </sheetViews>
  <sheetFormatPr defaultRowHeight="14.4" x14ac:dyDescent="0.3"/>
  <cols>
    <col min="1" max="3" width="18.77734375" customWidth="1"/>
  </cols>
  <sheetData>
    <row r="1" spans="1:13" s="93" customFormat="1" ht="15.6" x14ac:dyDescent="0.3">
      <c r="B1" s="138" t="s">
        <v>2060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13" s="93" customFormat="1" ht="15" customHeight="1" x14ac:dyDescent="0.3">
      <c r="B2" s="140" t="s">
        <v>2061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</row>
    <row r="3" spans="1:13" s="93" customFormat="1" ht="30" customHeight="1" x14ac:dyDescent="0.3">
      <c r="B3" s="140" t="s">
        <v>2062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</row>
    <row r="4" spans="1:13" s="93" customFormat="1" ht="30" customHeight="1" x14ac:dyDescent="0.3">
      <c r="B4" s="140" t="s">
        <v>2063</v>
      </c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</row>
    <row r="5" spans="1:13" s="93" customFormat="1" ht="30" customHeight="1" x14ac:dyDescent="0.3">
      <c r="B5" s="140" t="s">
        <v>2064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</row>
    <row r="6" spans="1:13" s="93" customFormat="1" x14ac:dyDescent="0.3"/>
    <row r="7" spans="1:13" x14ac:dyDescent="0.3">
      <c r="A7" s="36" t="s">
        <v>1210</v>
      </c>
    </row>
    <row r="8" spans="1:13" x14ac:dyDescent="0.3">
      <c r="A8" t="s">
        <v>1048</v>
      </c>
      <c r="B8" t="s">
        <v>4</v>
      </c>
      <c r="C8" t="s">
        <v>1211</v>
      </c>
    </row>
  </sheetData>
  <mergeCells count="4">
    <mergeCell ref="B2:M2"/>
    <mergeCell ref="B3:M3"/>
    <mergeCell ref="B4:M4"/>
    <mergeCell ref="B5:M5"/>
  </mergeCells>
  <dataValidations count="1">
    <dataValidation type="list" allowBlank="1" showInputMessage="1" showErrorMessage="1" sqref="C9" xr:uid="{BCAAD3F1-46DC-4641-B705-34E8B2D21A3F}">
      <formula1>"Ввод 1,Ввод 2,Ввод 3,ИБП,ДГУ,Одиночная"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96B4-7E0C-42FE-97DF-BB9D22467CA8}">
  <sheetPr>
    <tabColor rgb="FFFFF2CC"/>
  </sheetPr>
  <dimension ref="A1:GZ72"/>
  <sheetViews>
    <sheetView workbookViewId="0">
      <pane xSplit="3" ySplit="2" topLeftCell="D3" activePane="bottomRight" state="frozenSplit"/>
      <selection pane="bottomLeft" activeCell="A3" sqref="A3"/>
      <selection pane="topRight" activeCell="D1" sqref="D1"/>
      <selection pane="bottomRight"/>
    </sheetView>
  </sheetViews>
  <sheetFormatPr defaultColWidth="11.77734375" defaultRowHeight="14.4" outlineLevelCol="1" x14ac:dyDescent="0.3"/>
  <cols>
    <col min="45" max="57" width="0" hidden="1" customWidth="1" outlineLevel="1"/>
    <col min="58" max="58" width="11.77734375" collapsed="1"/>
    <col min="59" max="59" width="0" hidden="1" customWidth="1" outlineLevel="1"/>
    <col min="60" max="60" width="11.77734375" collapsed="1"/>
    <col min="61" max="64" width="0" hidden="1" customWidth="1" outlineLevel="1"/>
    <col min="65" max="65" width="11.77734375" collapsed="1"/>
    <col min="68" max="70" width="0" hidden="1" customWidth="1" outlineLevel="1"/>
    <col min="71" max="71" width="11.77734375" collapsed="1"/>
    <col min="72" max="74" width="0" hidden="1" customWidth="1" outlineLevel="1"/>
    <col min="75" max="75" width="11.77734375" collapsed="1"/>
    <col min="76" max="80" width="0" hidden="1" customWidth="1" outlineLevel="1"/>
    <col min="81" max="81" width="11.77734375" collapsed="1"/>
    <col min="84" max="85" width="0" hidden="1" customWidth="1" outlineLevel="1"/>
    <col min="86" max="86" width="11.77734375" collapsed="1"/>
    <col min="87" max="88" width="0" hidden="1" customWidth="1" outlineLevel="1"/>
    <col min="89" max="89" width="11.77734375" collapsed="1"/>
    <col min="94" max="107" width="0" hidden="1" customWidth="1" outlineLevel="1"/>
    <col min="108" max="108" width="11.77734375" collapsed="1"/>
    <col min="111" max="111" width="0" hidden="1" customWidth="1" outlineLevel="1"/>
    <col min="112" max="112" width="11.77734375" collapsed="1"/>
    <col min="113" max="113" width="0" hidden="1" customWidth="1" outlineLevel="1"/>
    <col min="114" max="114" width="11.77734375" collapsed="1"/>
    <col min="117" max="118" width="0" hidden="1" customWidth="1" outlineLevel="1"/>
    <col min="119" max="119" width="11.77734375" collapsed="1"/>
    <col min="120" max="145" width="0" hidden="1" customWidth="1" outlineLevel="1"/>
    <col min="146" max="146" width="11.77734375" collapsed="1"/>
    <col min="147" max="155" width="0" hidden="1" customWidth="1" outlineLevel="1"/>
    <col min="156" max="156" width="11.77734375" collapsed="1"/>
    <col min="157" max="157" width="0" hidden="1" customWidth="1" outlineLevel="1"/>
    <col min="158" max="158" width="11.77734375" collapsed="1"/>
    <col min="159" max="163" width="0" hidden="1" customWidth="1" outlineLevel="1"/>
    <col min="164" max="164" width="11.77734375" collapsed="1"/>
    <col min="165" max="165" width="0" hidden="1" customWidth="1" outlineLevel="1"/>
    <col min="166" max="166" width="11.77734375" collapsed="1"/>
    <col min="168" max="168" width="0" hidden="1" customWidth="1" outlineLevel="1"/>
    <col min="169" max="169" width="11.77734375" collapsed="1"/>
    <col min="170" max="207" width="0" hidden="1" customWidth="1" outlineLevel="1"/>
    <col min="208" max="208" width="11.77734375" collapsed="1"/>
  </cols>
  <sheetData>
    <row r="1" spans="1:207" x14ac:dyDescent="0.3">
      <c r="A1" s="132" t="s">
        <v>1441</v>
      </c>
      <c r="P1" s="132" t="s">
        <v>1442</v>
      </c>
      <c r="Z1" s="132" t="s">
        <v>1443</v>
      </c>
      <c r="AC1" s="132" t="s">
        <v>1444</v>
      </c>
      <c r="AM1" s="132" t="s">
        <v>1445</v>
      </c>
      <c r="AR1" s="132" t="s">
        <v>1446</v>
      </c>
      <c r="DE1" s="132" t="s">
        <v>1447</v>
      </c>
      <c r="EP1" s="132" t="s">
        <v>1448</v>
      </c>
    </row>
    <row r="2" spans="1:207" ht="60" customHeight="1" x14ac:dyDescent="0.3">
      <c r="A2" s="130" t="s">
        <v>4</v>
      </c>
      <c r="B2" s="130" t="s">
        <v>1212</v>
      </c>
      <c r="C2" s="131" t="s">
        <v>1213</v>
      </c>
      <c r="D2" s="130" t="s">
        <v>0</v>
      </c>
      <c r="E2" s="130" t="s">
        <v>6</v>
      </c>
      <c r="F2" s="130" t="s">
        <v>1214</v>
      </c>
      <c r="G2" s="130" t="s">
        <v>1</v>
      </c>
      <c r="H2" s="130" t="s">
        <v>58</v>
      </c>
      <c r="I2" s="130" t="s">
        <v>2</v>
      </c>
      <c r="J2" s="130" t="s">
        <v>191</v>
      </c>
      <c r="K2" s="130" t="s">
        <v>1215</v>
      </c>
      <c r="L2" s="130" t="s">
        <v>961</v>
      </c>
      <c r="M2" s="130" t="s">
        <v>1216</v>
      </c>
      <c r="N2" s="130" t="s">
        <v>1053</v>
      </c>
      <c r="O2" s="130" t="s">
        <v>1217</v>
      </c>
      <c r="P2" s="130" t="s">
        <v>44</v>
      </c>
      <c r="Q2" s="130" t="s">
        <v>193</v>
      </c>
      <c r="R2" s="130" t="s">
        <v>201</v>
      </c>
      <c r="S2" s="130" t="s">
        <v>200</v>
      </c>
      <c r="T2" s="130" t="s">
        <v>64</v>
      </c>
      <c r="U2" s="130" t="s">
        <v>750</v>
      </c>
      <c r="V2" s="130" t="s">
        <v>14</v>
      </c>
      <c r="W2" s="130" t="s">
        <v>16</v>
      </c>
      <c r="X2" s="130" t="s">
        <v>17</v>
      </c>
      <c r="Y2" s="130" t="s">
        <v>964</v>
      </c>
      <c r="Z2" s="130" t="s">
        <v>1218</v>
      </c>
      <c r="AA2" s="130" t="s">
        <v>1028</v>
      </c>
      <c r="AB2" s="130" t="s">
        <v>1219</v>
      </c>
      <c r="AC2" s="130" t="s">
        <v>1048</v>
      </c>
      <c r="AD2" s="130" t="s">
        <v>1220</v>
      </c>
      <c r="AE2" s="130" t="s">
        <v>1221</v>
      </c>
      <c r="AF2" s="130" t="s">
        <v>1222</v>
      </c>
      <c r="AG2" s="130" t="s">
        <v>512</v>
      </c>
      <c r="AH2" s="130" t="s">
        <v>513</v>
      </c>
      <c r="AI2" s="130" t="s">
        <v>515</v>
      </c>
      <c r="AJ2" s="130" t="s">
        <v>517</v>
      </c>
      <c r="AK2" s="130" t="s">
        <v>518</v>
      </c>
      <c r="AL2" s="130" t="s">
        <v>1223</v>
      </c>
      <c r="AM2" s="130" t="s">
        <v>593</v>
      </c>
      <c r="AN2" s="130" t="s">
        <v>594</v>
      </c>
      <c r="AO2" s="130" t="s">
        <v>595</v>
      </c>
      <c r="AP2" s="130" t="s">
        <v>596</v>
      </c>
      <c r="AQ2" s="130" t="s">
        <v>622</v>
      </c>
      <c r="AR2" s="131" t="s">
        <v>1224</v>
      </c>
      <c r="AS2" s="131" t="s">
        <v>1225</v>
      </c>
      <c r="AT2" s="131" t="s">
        <v>1134</v>
      </c>
      <c r="AU2" s="131" t="s">
        <v>1226</v>
      </c>
      <c r="AV2" s="131" t="s">
        <v>57</v>
      </c>
      <c r="AW2" s="131" t="s">
        <v>1227</v>
      </c>
      <c r="AX2" s="131" t="s">
        <v>56</v>
      </c>
      <c r="AY2" s="131" t="s">
        <v>1228</v>
      </c>
      <c r="AZ2" s="131" t="s">
        <v>1229</v>
      </c>
      <c r="BA2" s="131" t="s">
        <v>1230</v>
      </c>
      <c r="BB2" s="131" t="s">
        <v>1231</v>
      </c>
      <c r="BC2" s="131" t="s">
        <v>1232</v>
      </c>
      <c r="BD2" s="131" t="s">
        <v>1233</v>
      </c>
      <c r="BE2" s="131" t="s">
        <v>1234</v>
      </c>
      <c r="BF2" s="131" t="s">
        <v>520</v>
      </c>
      <c r="BG2" s="131" t="s">
        <v>1235</v>
      </c>
      <c r="BH2" s="131" t="s">
        <v>1138</v>
      </c>
      <c r="BI2" s="131" t="s">
        <v>1236</v>
      </c>
      <c r="BJ2" s="131" t="s">
        <v>1137</v>
      </c>
      <c r="BK2" s="131" t="s">
        <v>1237</v>
      </c>
      <c r="BL2" s="131" t="s">
        <v>1238</v>
      </c>
      <c r="BM2" s="131" t="s">
        <v>987</v>
      </c>
      <c r="BN2" s="131" t="s">
        <v>521</v>
      </c>
      <c r="BO2" s="131" t="s">
        <v>7</v>
      </c>
      <c r="BP2" s="131" t="s">
        <v>1239</v>
      </c>
      <c r="BQ2" s="131" t="s">
        <v>1240</v>
      </c>
      <c r="BR2" s="131" t="s">
        <v>1241</v>
      </c>
      <c r="BS2" s="131" t="s">
        <v>3</v>
      </c>
      <c r="BT2" s="131" t="s">
        <v>1242</v>
      </c>
      <c r="BU2" s="131" t="s">
        <v>1243</v>
      </c>
      <c r="BV2" s="131" t="s">
        <v>1244</v>
      </c>
      <c r="BW2" s="131" t="s">
        <v>30</v>
      </c>
      <c r="BX2" s="131" t="s">
        <v>1245</v>
      </c>
      <c r="BY2" s="131" t="s">
        <v>1246</v>
      </c>
      <c r="BZ2" s="131" t="s">
        <v>1247</v>
      </c>
      <c r="CA2" s="131" t="s">
        <v>1248</v>
      </c>
      <c r="CB2" s="131" t="s">
        <v>1249</v>
      </c>
      <c r="CC2" s="131" t="s">
        <v>1250</v>
      </c>
      <c r="CD2" s="131" t="s">
        <v>963</v>
      </c>
      <c r="CE2" s="131" t="s">
        <v>1251</v>
      </c>
      <c r="CF2" s="131" t="s">
        <v>1252</v>
      </c>
      <c r="CG2" s="131" t="s">
        <v>1253</v>
      </c>
      <c r="CH2" s="131" t="s">
        <v>9</v>
      </c>
      <c r="CI2" s="131" t="s">
        <v>1254</v>
      </c>
      <c r="CJ2" s="131" t="s">
        <v>1255</v>
      </c>
      <c r="CK2" s="131" t="s">
        <v>967</v>
      </c>
      <c r="CL2" s="131" t="s">
        <v>965</v>
      </c>
      <c r="CM2" s="131" t="s">
        <v>968</v>
      </c>
      <c r="CN2" s="131" t="s">
        <v>962</v>
      </c>
      <c r="CO2" s="131" t="s">
        <v>774</v>
      </c>
      <c r="CP2" s="131" t="s">
        <v>996</v>
      </c>
      <c r="CQ2" s="131" t="s">
        <v>1256</v>
      </c>
      <c r="CR2" s="131" t="s">
        <v>1257</v>
      </c>
      <c r="CS2" s="131" t="s">
        <v>1258</v>
      </c>
      <c r="CT2" s="131" t="s">
        <v>1259</v>
      </c>
      <c r="CU2" s="131" t="s">
        <v>1260</v>
      </c>
      <c r="CV2" s="131" t="s">
        <v>1261</v>
      </c>
      <c r="CW2" s="131" t="s">
        <v>1262</v>
      </c>
      <c r="CX2" s="131" t="s">
        <v>1263</v>
      </c>
      <c r="CY2" s="131" t="s">
        <v>1264</v>
      </c>
      <c r="CZ2" s="131" t="s">
        <v>1265</v>
      </c>
      <c r="DA2" s="131" t="s">
        <v>1266</v>
      </c>
      <c r="DB2" s="131" t="s">
        <v>1267</v>
      </c>
      <c r="DC2" s="131" t="s">
        <v>1268</v>
      </c>
      <c r="DD2" s="131" t="s">
        <v>522</v>
      </c>
      <c r="DE2" s="131" t="s">
        <v>1029</v>
      </c>
      <c r="DF2" s="131" t="s">
        <v>1030</v>
      </c>
      <c r="DG2" s="131" t="s">
        <v>1269</v>
      </c>
      <c r="DH2" s="131" t="s">
        <v>1270</v>
      </c>
      <c r="DI2" s="131" t="s">
        <v>1271</v>
      </c>
      <c r="DJ2" s="131" t="s">
        <v>1027</v>
      </c>
      <c r="DK2" s="131" t="s">
        <v>1031</v>
      </c>
      <c r="DL2" s="131" t="s">
        <v>1032</v>
      </c>
      <c r="DM2" s="131" t="s">
        <v>1272</v>
      </c>
      <c r="DN2" s="131" t="s">
        <v>1273</v>
      </c>
      <c r="DO2" s="131" t="s">
        <v>1033</v>
      </c>
      <c r="DP2" s="131" t="s">
        <v>1274</v>
      </c>
      <c r="DQ2" s="131" t="s">
        <v>1275</v>
      </c>
      <c r="DR2" s="131" t="s">
        <v>1276</v>
      </c>
      <c r="DS2" s="131" t="s">
        <v>1277</v>
      </c>
      <c r="DT2" s="131" t="s">
        <v>1278</v>
      </c>
      <c r="DU2" s="131" t="s">
        <v>1279</v>
      </c>
      <c r="DV2" s="131" t="s">
        <v>1280</v>
      </c>
      <c r="DW2" s="131" t="s">
        <v>1281</v>
      </c>
      <c r="DX2" s="131" t="s">
        <v>1282</v>
      </c>
      <c r="DY2" s="131" t="s">
        <v>1283</v>
      </c>
      <c r="DZ2" s="131" t="s">
        <v>1284</v>
      </c>
      <c r="EA2" s="131" t="s">
        <v>1285</v>
      </c>
      <c r="EB2" s="131" t="s">
        <v>1286</v>
      </c>
      <c r="EC2" s="131" t="s">
        <v>1287</v>
      </c>
      <c r="ED2" s="131" t="s">
        <v>1288</v>
      </c>
      <c r="EE2" s="131" t="s">
        <v>1289</v>
      </c>
      <c r="EF2" s="131" t="s">
        <v>1290</v>
      </c>
      <c r="EG2" s="131" t="s">
        <v>1291</v>
      </c>
      <c r="EH2" s="131" t="s">
        <v>1292</v>
      </c>
      <c r="EI2" s="131" t="s">
        <v>1293</v>
      </c>
      <c r="EJ2" s="131" t="s">
        <v>1294</v>
      </c>
      <c r="EK2" s="131" t="s">
        <v>1295</v>
      </c>
      <c r="EL2" s="131" t="s">
        <v>1296</v>
      </c>
      <c r="EM2" s="131" t="s">
        <v>1297</v>
      </c>
      <c r="EN2" s="131" t="s">
        <v>1298</v>
      </c>
      <c r="EO2" s="131" t="s">
        <v>1299</v>
      </c>
      <c r="EP2" s="131" t="s">
        <v>1300</v>
      </c>
      <c r="EQ2" s="131" t="s">
        <v>1301</v>
      </c>
      <c r="ER2" s="131" t="s">
        <v>1302</v>
      </c>
      <c r="ES2" s="131" t="s">
        <v>1303</v>
      </c>
      <c r="ET2" s="131" t="s">
        <v>1304</v>
      </c>
      <c r="EU2" s="131" t="s">
        <v>1305</v>
      </c>
      <c r="EV2" s="131" t="s">
        <v>1306</v>
      </c>
      <c r="EW2" s="131" t="s">
        <v>1307</v>
      </c>
      <c r="EX2" s="131" t="s">
        <v>1308</v>
      </c>
      <c r="EY2" s="131" t="s">
        <v>1309</v>
      </c>
      <c r="EZ2" s="131" t="s">
        <v>510</v>
      </c>
      <c r="FA2" s="131" t="s">
        <v>1310</v>
      </c>
      <c r="FB2" s="131" t="s">
        <v>1311</v>
      </c>
      <c r="FC2" s="131" t="s">
        <v>1312</v>
      </c>
      <c r="FD2" s="131" t="s">
        <v>1313</v>
      </c>
      <c r="FE2" s="131" t="s">
        <v>1314</v>
      </c>
      <c r="FF2" s="131" t="s">
        <v>1315</v>
      </c>
      <c r="FG2" s="131" t="s">
        <v>1316</v>
      </c>
      <c r="FH2" s="131" t="s">
        <v>966</v>
      </c>
      <c r="FI2" s="131" t="s">
        <v>1317</v>
      </c>
      <c r="FJ2" s="131" t="s">
        <v>1318</v>
      </c>
      <c r="FK2" s="131" t="s">
        <v>1319</v>
      </c>
      <c r="FL2" s="131" t="s">
        <v>1320</v>
      </c>
      <c r="FM2" s="131" t="s">
        <v>1321</v>
      </c>
      <c r="FN2" s="131" t="s">
        <v>1322</v>
      </c>
      <c r="FO2" s="131" t="s">
        <v>1323</v>
      </c>
      <c r="FP2" s="131" t="s">
        <v>1324</v>
      </c>
      <c r="FQ2" s="131" t="s">
        <v>1325</v>
      </c>
      <c r="FR2" s="131" t="s">
        <v>1326</v>
      </c>
      <c r="FS2" s="131" t="s">
        <v>1327</v>
      </c>
      <c r="FT2" s="131" t="s">
        <v>1328</v>
      </c>
      <c r="FU2" s="131" t="s">
        <v>1329</v>
      </c>
      <c r="FV2" s="131" t="s">
        <v>1330</v>
      </c>
      <c r="FW2" s="131" t="s">
        <v>1331</v>
      </c>
      <c r="FX2" s="131" t="s">
        <v>1332</v>
      </c>
      <c r="FY2" s="131" t="s">
        <v>1333</v>
      </c>
      <c r="FZ2" s="131" t="s">
        <v>1334</v>
      </c>
      <c r="GA2" s="131" t="s">
        <v>1335</v>
      </c>
      <c r="GB2" s="131" t="s">
        <v>1336</v>
      </c>
      <c r="GC2" s="131" t="s">
        <v>1337</v>
      </c>
      <c r="GD2" s="131" t="s">
        <v>1338</v>
      </c>
      <c r="GE2" s="131" t="s">
        <v>1339</v>
      </c>
      <c r="GF2" s="131" t="s">
        <v>1340</v>
      </c>
      <c r="GG2" s="131" t="s">
        <v>1341</v>
      </c>
      <c r="GH2" s="131" t="s">
        <v>1342</v>
      </c>
      <c r="GI2" s="131" t="s">
        <v>1343</v>
      </c>
      <c r="GJ2" s="131" t="s">
        <v>1344</v>
      </c>
      <c r="GK2" s="131" t="s">
        <v>1345</v>
      </c>
      <c r="GL2" s="131" t="s">
        <v>1346</v>
      </c>
      <c r="GM2" s="131" t="s">
        <v>1347</v>
      </c>
      <c r="GN2" s="131" t="s">
        <v>1348</v>
      </c>
      <c r="GO2" s="131" t="s">
        <v>1349</v>
      </c>
      <c r="GP2" s="131" t="s">
        <v>1350</v>
      </c>
      <c r="GQ2" s="131" t="s">
        <v>1351</v>
      </c>
      <c r="GR2" s="131" t="s">
        <v>1352</v>
      </c>
      <c r="GS2" s="131" t="s">
        <v>1353</v>
      </c>
      <c r="GT2" s="131" t="s">
        <v>1354</v>
      </c>
      <c r="GU2" s="131" t="s">
        <v>1355</v>
      </c>
      <c r="GV2" s="131" t="s">
        <v>1356</v>
      </c>
      <c r="GW2" s="131" t="s">
        <v>1357</v>
      </c>
      <c r="GX2" s="131" t="s">
        <v>1358</v>
      </c>
      <c r="GY2" s="131" t="s">
        <v>1359</v>
      </c>
    </row>
    <row r="3" spans="1:207" x14ac:dyDescent="0.3">
      <c r="A3" t="s">
        <v>206</v>
      </c>
      <c r="B3">
        <v>1</v>
      </c>
      <c r="C3" t="str">
        <f>IF(BD3="","",IF(BE3="вводной узел","узел ","")&amp;"л."&amp;(INT((BD3-1)/Столбцов_на_лист)+1)&amp;" / "&amp;(MOD(BD3-1,Столбцов_на_лист)+1))</f>
        <v>узел л.1 / 1</v>
      </c>
      <c r="E3" s="133" t="str">
        <f t="shared" ref="E3:E34" si="0">AY3</f>
        <v/>
      </c>
      <c r="AL3" t="s">
        <v>559</v>
      </c>
      <c r="AR3" t="str">
        <f t="shared" ref="AR3:AR34" si="1">_xlfn.TEXTJOIN("; ",TRUE,FK3,IF(DO3="НЕ ОБЕСПЕЧЕНА","категория "&amp;DE3&amp;" не обеспечена (есть "&amp;DL3&amp;")",""),IF(LEFT(FM3,3)="Icu",FM3,""),IF(AND(D3&lt;&gt;"",BS3="Не исп"),"сечение не подобрано",""))</f>
        <v/>
      </c>
      <c r="AS3" cm="1">
        <f t="array" ref="AS3">ROW()-ROW(Линии[#Headers])</f>
        <v>1</v>
      </c>
      <c r="AT3" s="6" t="str">
        <f t="shared" ref="AT3:AT34" si="2">IF(D3="","",IFERROR(LEFT(D3,SEARCH(".",D3)-1),D3))</f>
        <v/>
      </c>
      <c r="AU3" t="str">
        <f t="shared" ref="AU3:AU34" si="3">IFERROR(RIGHT(D3,LEN(D3)-SEARCH(".",D3)),"")</f>
        <v/>
      </c>
      <c r="AV3" t="str">
        <f t="shared" ref="AV3:AV34" si="4">IFERROR(LEFT(AU3,SEARCH(".",AU3)-1),AU3)</f>
        <v/>
      </c>
      <c r="AW3" t="str">
        <f t="shared" ref="AW3:AW34" si="5">IFERROR(RIGHT(AU3,LEN(AU3)-SEARCH(".",AU3)),"")</f>
        <v/>
      </c>
      <c r="AX3" t="str">
        <f t="shared" ref="AX3:AX34" si="6">IFERROR(LEFT(AW3,SEARCH(".",AW3)-1),AW3)</f>
        <v/>
      </c>
      <c r="AY3" t="str">
        <f>IF(D3="","",IF(ISERROR(SEARCH(".",D3)),IFERROR(VLOOKUP(D3,Потребители_обозначение,2,FALSE)&amp;"",""),IFERROR(IF(VLOOKUP(AT3,Потребители_обозначение,4,FALSE)=1,VLOOKUP(AT3,Потребители_обозначение,2,FALSE)&amp;" "&amp;VLOOKUP(AV3,Этаж_обозначение,2,FALSE)&amp;" Пом. №"&amp;AX3,VLOOKUP(AT3,Потребители_обозначение,2,FALSE)&amp;" Шлейф №"&amp;AV3),IFERROR(VLOOKUP(D3,Потребители_обозначение,2,FALSE),""))))</f>
        <v/>
      </c>
      <c r="AZ3" t="str">
        <f t="shared" ref="AZ3:AZ34" si="7">IF(E3&lt;&gt;"",E3,AY3)</f>
        <v/>
      </c>
      <c r="BA3" t="str">
        <f>IF(F3&lt;&gt;"",F3,IF(AND(D3&lt;&gt;"",D3&lt;&gt;A3,ISNUMBER(_xlfn.XMATCH(D3,Щиты[Щит]))),D3,""))</f>
        <v/>
      </c>
      <c r="BB3">
        <f>IFERROR(_xlfn.XMATCH(A3,Щиты[Щит]),0)</f>
        <v>1</v>
      </c>
      <c r="BC3">
        <f>IFERROR(N(_xlfn.XLOOKUP(A3,Щиты[Щит],Щиты[Мест под вводной узел])),15)</f>
        <v>18</v>
      </c>
      <c r="BD3">
        <f t="shared" ref="BD3:BD34" si="8">IF(B3="-","",IF(ISNUMBER(B3),B3,_xlfn.LET(_xlpm.prev,IF(OR(AS3=1,A3&lt;&gt;A2),0,N(IF(AS3=1,"",BD2))),_xlpm.nx,_xlpm.prev+1,IF(AND(AL3&lt;&gt;"вручную",_xlpm.nx&lt;=BC3),BC3+1,_xlpm.nx))))</f>
        <v>1</v>
      </c>
      <c r="BE3" t="str">
        <f t="shared" ref="BE3:BE34" si="9">IF(BD3="","",IF(BD3&lt;=BC3,"вводной узел","линии"))</f>
        <v>вводной узел</v>
      </c>
      <c r="BF3" s="6" t="str">
        <f>IF(D3="","",IF(BA3&lt;&gt;"",IFERROR(_xlfn.XLOOKUP(BA3,Щиты[Щит],Щиты[Руст, кВт]),0),N(G3)))</f>
        <v/>
      </c>
      <c r="BG3" t="str">
        <f>IF(J3&lt;&gt;"",J3,IF(D3="","",IFERROR(IF(VLOOKUP(AT3,Потребители_обозначение,8,FALSE)=0,"",VLOOKUP(AT3,Потребители_обозначение,8,FALSE)),"")))</f>
        <v/>
      </c>
      <c r="BH3" t="str">
        <f>IF(I3&lt;&gt;"",I3,IF(D3="","",IFERROR(IF(VLOOKUP(AT3,Потребители_обозначение,9,FALSE)=0,"",VLOOKUP(AT3,Потребители_обозначение,9,FALSE)),"")))</f>
        <v/>
      </c>
      <c r="BI3" t="str">
        <f>IF(U3&lt;&gt;"",U3,IF(D3="","",IFERROR(IF(VLOOKUP(AT3,Потребители_обозначение,6,FALSE)=0,"",VLOOKUP(AT3,Потребители_обозначение,6,FALSE)),"")))</f>
        <v/>
      </c>
      <c r="BJ3" t="str">
        <f>IF(V3&lt;&gt;"",V3,IF(D3="","",IFERROR(IF(VLOOKUP(AT3,Потребители_обозначение,7,FALSE)=0,"",VLOOKUP(AT3,Потребители_обозначение,7,FALSE)),"")))</f>
        <v/>
      </c>
      <c r="BK3" t="str">
        <f>IF(W3&lt;&gt;"",W3,IF(D3="","",IFERROR(IF(VLOOKUP(AT3,Потребители_обозначение,10,FALSE)=0,"",VLOOKUP(AT3,Потребители_обозначение,10,FALSE)),"")))</f>
        <v/>
      </c>
      <c r="BL3">
        <f>IFERROR(VLOOKUP(AT3,Потребители_обозначение,5,FALSE),0)</f>
        <v>0</v>
      </c>
      <c r="BM3" s="6" t="str" cm="1">
        <f t="array" ref="BM3">IF(D3="","",IF(BA3&lt;&gt;"",IFERROR(_xlfn.XLOOKUP(BA3,Щиты[Щит],Щиты[cos φ]),0.95),IF(ISNUMBER(M3),M3,IFERROR(IF(BL3=2,_xlfn.IFS(BH3=3,VLOOKUP(BF3,Справочная_двигатели,8,FALSE),BH3=1,VLOOKUP(BF3,Справочная_двигатели,10,TRUE)),IF(AND(Методика="нормы 2026",CN3="Сил"),0.8,0.95)),0.95))))</f>
        <v/>
      </c>
      <c r="BN3" s="6" t="str" cm="1">
        <f t="array" ref="BN3">IF(D3="","",IF(BA3&lt;&gt;"",IFERROR(_xlfn.XLOOKUP(BA3,Щиты[Щит],Щиты[Iр, А]),""),IFERROR(_xlfn.IFS(BH3=1,BF3/((Uн_лин/SQRT(3))*BM3),BH3=3,BF3/(SQRT(3)*Uн_лин*BM3)),"")))</f>
        <v/>
      </c>
      <c r="BO3" t="str">
        <f>IF(D3="","",IF(N(X3)=0,IFERROR(VLOOKUP(BN3,Автомат_номиналы,2,TRUE),""),X3))</f>
        <v/>
      </c>
      <c r="BP3">
        <f t="shared" ref="BP3:BP34" si="10">IF(N(BJ3)=1,1,IF(BH3=1,1,IF(N(BJ3)&gt;=4,0.92,1)))</f>
        <v>1</v>
      </c>
      <c r="BQ3">
        <f>IF(ISNUMBER(Y3),Y3,К_прокл)</f>
        <v>1</v>
      </c>
      <c r="BR3">
        <f t="shared" ref="BR3:BR34" si="11">IF(N(BJ3)=1,1,IF(BH3=1,2,3))</f>
        <v>3</v>
      </c>
      <c r="BS3" t="str" cm="1">
        <f t="array" ref="BS3">IF(D3="","",IF(N(BK3)&lt;&gt;0,BK3,IFERROR(_xlfn.LET(_xlpm.need,BO3/(BP3*BQ3),_xlpm.t,CHOOSE(BR3,Iдоп_1ж,Iдоп_2ж,Iдоп_3ж),_xlpm.k,_xlfn.XMATCH(_xlpm.need,_xlpm.t,1),IF(ISNA(_xlpm.k),"Не исп",INDEX(Iдоп_S,_xlpm.k))),"Не исп")))</f>
        <v/>
      </c>
      <c r="BT3" t="str">
        <f>IFERROR(VLOOKUP(BS3,Кабель_сопротивление,3,FALSE),"")</f>
        <v/>
      </c>
      <c r="BU3" t="str">
        <f>IFERROR(VLOOKUP(BS3,Кабель_сопротивление,2,FALSE),"")</f>
        <v/>
      </c>
      <c r="BV3" t="str">
        <f t="shared" ref="BV3:BV34" si="12">IF(P3&lt;&gt;"",P3,IF(COUNT(AM3,AN3)=0,"",ROUNDUP(SUM(AM3,AN3),0)))</f>
        <v/>
      </c>
      <c r="BW3" s="6" t="str">
        <f>IF(D3="","",IFERROR(IF(VLOOKUP(AT3,Потребители_обозначение,4,FALSE)=1,VLOOKUP(AT3,Потребители_обозначение,3,FALSE)*(H3*2-1)+BV3+VLOOKUP(AV3,Этаж_обозначение,3,FALSE)+VLOOKUP(AV3,Этаж_обозначение,4,FALSE),VLOOKUP(AT3,Потребители_обозначение,3,FALSE)*(H3*2-1)+BV3),BV3))</f>
        <v/>
      </c>
      <c r="BX3" t="str">
        <f t="shared" ref="BX3:BX34" si="13">IF(R3&lt;&gt;"",R3,IF(OR(BV3="",T3=""),"",IF(T3=1,MAX(0,BW3-ROUNDUP(N(AN3),0)-4),ROUNDUP(N(AM3),0))))</f>
        <v/>
      </c>
      <c r="BY3" t="str">
        <f t="shared" ref="BY3:BY34" si="14">IF(S3&lt;&gt;"",S3,IF(OR(BV3="",T3=""),"",IF(T3=2,MAX(0,BW3-ROUNDUP(N(AM3),0)-4),ROUNDUP(N(AN3),0))))</f>
        <v/>
      </c>
      <c r="BZ3" t="str">
        <f t="shared" ref="BZ3:BZ34" si="15">IF(BH3=1,2,IF(BH3=3,1,""))</f>
        <v/>
      </c>
      <c r="CA3" t="str">
        <f t="shared" ref="CA3:CA34" si="16">IFERROR(ROUND(SIN(ACOS(BM3)),2),"")</f>
        <v/>
      </c>
      <c r="CB3" t="str">
        <f t="shared" ref="CB3:CB34" si="17">IFERROR(BZ3*(BT3*BW3/BS3*BM3+BU3*BW3*CA3/1000)*BN3,"")</f>
        <v/>
      </c>
      <c r="CC3" s="6" t="str">
        <f>IFERROR(ROUNDUP(CB3/((Uн_лин/SQRT(3))*1000)*100,2),"")</f>
        <v/>
      </c>
      <c r="CD3" s="6" t="str">
        <f>IF(ISNUMBER(CC3),CC3+IFERROR(_xlfn.XLOOKUP(A3,Щиты[Щит],Щиты[ΔU до шин, %]),0),"")</f>
        <v/>
      </c>
      <c r="CE3" s="6" t="str">
        <f>IF(D3="","",IF(IFERROR(VLOOKUP(AT3,УГО_спр,2,FALSE),"")="Светильник",3,4)+IF(Методика="нормы 2026",MIN(0.5,MAX(0,N(BW3)-100)*0.005),0))</f>
        <v/>
      </c>
      <c r="CF3" t="str">
        <f>IFERROR(VLOOKUP(BI3,Кабель_обозначение,2,FALSE),"")</f>
        <v/>
      </c>
      <c r="CG3" t="str">
        <f>IFERROR(IF(VLOOKUP(BI3,Кабель_обозначение,3,FALSE)=1,CF3&amp;" ("&amp;BJ3&amp;"х"&amp;BS3&amp;")",CF3),"")</f>
        <v/>
      </c>
      <c r="CH3" t="str">
        <f t="shared" ref="CH3:CH34" si="18">IF(OR(D3="",CF3="",AND(G3&lt;&gt;"",NOT(ISNUMBER(G3)))),"",IF(BS3=0,CF3,CG3&amp;CHAR(10)&amp;"L="&amp;BW3&amp;"-"&amp;CC3&amp;"%"))</f>
        <v/>
      </c>
      <c r="CI3" t="str">
        <f>IFERROR(2*ρкз_Cu*BW3/BS3,"")</f>
        <v/>
      </c>
      <c r="CJ3" t="str">
        <f t="shared" ref="CJ3:CJ34" si="19">IFERROR(0.0175*N(BW3)/BS3,"")</f>
        <v/>
      </c>
      <c r="CK3" s="6" t="str">
        <f>IFERROR(IF(OR(D3="",NOT(ISNUMBER(BS3)),N(BW3)=0),"",_xlfn.XLOOKUP(A3,Щиты[Щит],Щиты[Zпетли на шинах, Ом])+CI3),"")</f>
        <v/>
      </c>
      <c r="CL3" s="6" t="str">
        <f>IF(ISNUMBER(CK3),c_min*(Uн_лин*1000/SQRT(3))/CK3,"")</f>
        <v/>
      </c>
      <c r="CM3" s="6" t="str">
        <f>IFERROR(IF(OR(D3="",NOT(ISNUMBER(BS3))),"",1.05*(Uн_лин*1000/SQRT(3))/(_xlfn.XLOOKUP(A3,Щиты[Щит],Щиты[Zmax на шинах, Ом])+CJ3)/1000),"")</f>
        <v/>
      </c>
      <c r="CN3" s="6" t="str">
        <f>IF(D3="","",IF(BA3&lt;&gt;"","Щит",IF(K3&lt;&gt;"",K3,IF(ISNUMBER(L3),"Сил",IF(IFERROR(_xlfn.XLOOKUP(AT3,Коды_код,Коды_группа)&amp;"","")="","Быт",_xlfn.XLOOKUP(AT3,Коды_код,Коды_группа)&amp;"")))))</f>
        <v/>
      </c>
      <c r="CO3" s="6" t="str">
        <f>IF(CN3="Щит","щит",IF(CN3="","",IF(CN3="Быт",IFERROR(_xlfn.XLOOKUP(A3,Щиты[Щит],Щиты[Кс быт]),1),IF(CN3="Сил",IF(ISNUMBER(L3),L3,IF(Методика="нормы 2026",IFERROR(_xlfn.XLOOKUP(A3,Щиты[Щит],Щиты[Кс силовых (табл. 7.5)]),1),1)),IF(OR(CN3="Пост",CN3="Отоп"),1,IF(CN3="ВНГ",0.7,0))))))</f>
        <v/>
      </c>
      <c r="CP3" t="str">
        <f t="shared" ref="CP3:CP34" si="20">IF(CN3="","",IFERROR(MIN(3,MAX(1,INT(--N3))),1))</f>
        <v/>
      </c>
      <c r="CQ3">
        <f t="shared" ref="CQ3:CQ34" si="21">IF(OR(CN3="",CN3="Нет",CN3="Щит"),0,N(BF3))</f>
        <v>0</v>
      </c>
      <c r="CR3">
        <f t="shared" ref="CR3:CR34" si="22">IF(CN3="Быт",N(BF3),0)</f>
        <v>0</v>
      </c>
      <c r="CS3">
        <f t="shared" ref="CS3:CS34" si="23">IF(CN3="Сил",N(BF3)*N(CO3),0)</f>
        <v>0</v>
      </c>
      <c r="CT3">
        <f t="shared" ref="CT3:CT34" si="24">IF(CN3="Пост",N(BF3),0)</f>
        <v>0</v>
      </c>
      <c r="CU3">
        <f t="shared" ref="CU3:CU34" si="25">IF(CN3="Отоп",N(BF3),0)</f>
        <v>0</v>
      </c>
      <c r="CV3">
        <f t="shared" ref="CV3:CV34" si="26">IF(CN3="ВНГ",N(BF3)*0.7,0)</f>
        <v>0</v>
      </c>
      <c r="CW3">
        <f t="shared" ref="CW3:CW34" si="27">IF(OR(D3="",CN3="Щит"),0,N(BF3))</f>
        <v>0</v>
      </c>
      <c r="CX3">
        <f t="shared" ref="CX3:CX34" si="28">IF(OR(D3="",CN3="Щит"),0,N(BF3)*N(BM3))</f>
        <v>0</v>
      </c>
      <c r="CY3">
        <f t="shared" ref="CY3:CY34" si="29">_xlfn.LET(_xlpm.prev,IF(OR(OR(AS3=1,A3&lt;&gt;A2)),0,N(IF(AS3=1,"",CY2))),IF(OR(D3="",BH3=3),_xlpm.prev,IF(_xlpm.prev&gt;=3,1,_xlpm.prev+1)))</f>
        <v>0</v>
      </c>
      <c r="CZ3" t="str">
        <f t="shared" ref="CZ3:CZ34" si="30">IF(D3="","",IF(BH3=3,"L1,L2,L3","L"&amp;MAX(1,CY3)))</f>
        <v/>
      </c>
      <c r="DA3" cm="1">
        <f t="array" ref="DA3">IFERROR(IF(BL3=2,_xlfn.IFS(BH3=3,VLOOKUP(BF3,Справочная_двигатели,3,FALSE),BH3=1,VLOOKUP(BF3,Справочная_двигатели,5,TRUE)),0),0)</f>
        <v>0</v>
      </c>
      <c r="DB3">
        <f>IFERROR(IF(BL3=3,VLOOKUP(BF3,Справочная_ЛЭД,2,TRUE),0),0)</f>
        <v>0</v>
      </c>
      <c r="DC3" s="6" t="str">
        <f t="shared" ref="DC3:DC34" si="31">IF(D3="","",IF(DA3=0,DB3,DA3))</f>
        <v/>
      </c>
      <c r="DD3" t="str">
        <f t="shared" ref="DD3:DD34" si="32">IF(D3="","",IF(O3="упр","",IF(O3="",CZ3,IF(O3&amp;""="1,2,3","L1,L2,L3","L"&amp;O3))))</f>
        <v/>
      </c>
      <c r="DE3" t="str" cm="1">
        <f t="array" ref="DE3">IF(D3="","",IFERROR(INDEX({"I особая","I","II","III"},MATCH(TRIM(AA3&amp;""),{"I особая","I","II","III"},0)),"III"))</f>
        <v/>
      </c>
      <c r="DF3" t="str">
        <f>IF(D3="","",IF(TRIM(AB3&amp;"")&lt;&gt;"",IF(LOWER(TRIM(AB3&amp;""))="да","да","нет"),IF(IFERROR(_xlfn.XLOOKUP(AT3,Коды_код,Коды_пожарная),"")="да","да","нет")))</f>
        <v/>
      </c>
      <c r="DG3" t="str">
        <f t="shared" ref="DG3:DG34" si="33">IF(AC3&lt;&gt;"",AC3,IF(AD3&lt;&gt;"","",IF(EK3="","",IF(AS3=1,"",DG2))))</f>
        <v/>
      </c>
      <c r="DH3" t="str">
        <f t="shared" ref="DH3:DH34" si="34">IF(D3="","",IF(DG3="","основная",DG3))</f>
        <v/>
      </c>
      <c r="DI3">
        <f t="shared" ref="DI3:DI34" si="35">IFERROR(MIN(3,MAX(1,INT(--N3))),1)</f>
        <v>1</v>
      </c>
      <c r="DJ3" t="str" cm="1">
        <f t="array" ref="DJ3">IF(D3="","",_xlfn.LET(_xlpm.t,IFERROR(_xlfn.XLOOKUP(1,(Шины[Шина]=DH3)*(((Шины[Щит]=A3)+(Шины[Щит]=""))&gt;0),Шины[Тип]),"")&amp;"",IF(_xlpm.t&lt;&gt;"",_xlpm.t,IF(ISNUMBER(SEARCH("ИБП",DH3)),"ИБП",IF(ISNUMBER(SEARCH("ДГУ",DH3)),"ДГУ","Ввод "&amp;DI3)))))</f>
        <v/>
      </c>
      <c r="DK3" t="str">
        <f t="shared" ref="DK3:DK34" si="36">IF(D3="","",IF(OR(DJ3="ИБП",DJ3="ДГУ"),DJ3,IF(LEFT(DJ3,5)="Ввод ",DJ3,"Ввод "&amp;DI3)))</f>
        <v/>
      </c>
      <c r="DL3" t="str">
        <f>IF(D3="","",IF(OR(DJ3="ИБП",DJ3="ДГУ"),"I особая",IF(DJ3="Одиночная","III",_xlfn.XLOOKUP(A3,Щиты[Щит],Щиты[Категория шины «Ввод»],"III"))))</f>
        <v/>
      </c>
      <c r="DM3">
        <f>IF(D3="",0,IFERROR(MATCH(DE3,{"III","II","I","I особая"},0),1))</f>
        <v>0</v>
      </c>
      <c r="DN3">
        <f t="shared" ref="DN3:DN34" si="37">IF(OR(DJ3="ИБП",DJ3="ДГУ"),MIN(DM3,3),DM3)</f>
        <v>0</v>
      </c>
      <c r="DO3" t="str">
        <f>IF(D3="","",IF(DM3&gt;IFERROR(MATCH(DL3,{"III","II","I","I особая"},0),1),"НЕ ОБЕСПЕЧЕНА","ОК"))</f>
        <v/>
      </c>
      <c r="DP3" t="str">
        <f>IF(A3="","",_xlfn.XLOOKUP(A3,Щиты[Щит],Щиты[Путь],""))</f>
        <v>|ЩР|</v>
      </c>
      <c r="DQ3" t="str">
        <f>IF(D3="","",IF(Z3&lt;&gt;"",Z3,IF(IFERROR(_xlfn.XLOOKUP(AT3,Коды_код,Коды_вид)&amp;"","")="","Прочее",_xlfn.XLOOKUP(AT3,Коды_код,Коды_вид)&amp;"")))</f>
        <v/>
      </c>
      <c r="DR3">
        <f>IF(BD3="","",INT((BD3-1)/Столбцов_на_лист)+1)</f>
        <v>1</v>
      </c>
      <c r="DS3" t="str">
        <f t="shared" ref="DS3:DS34" si="38">IF(D3="","",SUBSTITUTE(CH3,CHAR(10)," "))</f>
        <v/>
      </c>
      <c r="DT3" t="str">
        <f t="shared" ref="DT3:DT34" si="39">IF(D3="","",IFERROR(--BF3,""))</f>
        <v/>
      </c>
      <c r="DU3" t="str">
        <f t="shared" ref="DU3:DU34" si="40">IF(D3="","",IFERROR(ROUNDUP(BN3,2),""))</f>
        <v/>
      </c>
      <c r="DV3" t="str">
        <f t="shared" ref="DV3:DV34" si="41">IF(D3="","",IFERROR(--BH3,1))</f>
        <v/>
      </c>
      <c r="DW3">
        <f>IF(AT3="",0,_xlfn.LET(_xlpm.v,IFERROR(VLOOKUP(D3,УГО_спр,3,FALSE),IFERROR(VLOOKUP(AT3,УГО_спр,3,FALSE),IFERROR(VLOOKUP(LEFT(AT3,2),УГО_спр,3,FALSE),""))),IF(_xlpm.v="да",30,IF(ISNUMBER(_xlpm.v),_xlpm.v,0))))</f>
        <v>0</v>
      </c>
      <c r="DX3">
        <f t="shared" ref="DX3:DX34" si="42">IF(OR(AJ3="+",AND(D3&lt;&gt;"",D3=IF(AS3=1,"",D2))),1,0)</f>
        <v>0</v>
      </c>
      <c r="DY3" t="str">
        <f>IF(BD3="","",IF(AD3&lt;&gt;"",COUNTIFS(A$3:A3,A3,AD$3:AD3,"?*"),IF(OR(OR(AS3=1,A3&lt;&gt;A2),AL3="вручную"),"",IF(AS3=1,"",DZ2))))</f>
        <v/>
      </c>
      <c r="DZ3" t="str">
        <f t="shared" ref="DZ3:DZ34" si="43">IF(BD3="",IF(OR(AS3=1,A3&lt;&gt;A2),"",IF(AS3=1,"",DZ2)),DY3)</f>
        <v/>
      </c>
      <c r="EA3">
        <f>IF(D3="",0,MAX(IFERROR(--X3,0),IFERROR(--VLOOKUP(D3,УГО_спр,4,FALSE),IFERROR(--VLOOKUP(AT3,УГО_спр,4,FALSE),IFERROR(--VLOOKUP(LEFT(AT3,2),УГО_спр,4,FALSE),0)))))</f>
        <v>0</v>
      </c>
      <c r="EB3" t="str">
        <f>IF(D3="","",IFERROR(LOOKUP(INDEX(CHOOSE(BR3,Iдоп_1ж,Iдоп_2ж,Iдоп_3ж),MATCH(BS3,Iдоп_S,0))*BP3*BQ3,{6,10,16,20,25,32,40,50,63,80,100,125,160,200,250,315,400,500,630}),""))</f>
        <v/>
      </c>
      <c r="EC3" t="str">
        <f>IF(AD3="","",SUMIFS(Линии[_Ток схемы],Линии[_гр.],DY3,Линии[Щит],A3,Линии[_в кабель выше],0))</f>
        <v/>
      </c>
      <c r="ED3" t="str">
        <f>IF(AD3="","",IFERROR(VLOOKUP(EC3,Автомат_номиналы,2,TRUE),""))</f>
        <v/>
      </c>
      <c r="EE3" t="str">
        <f>IF(AD3="","",MAX(N(ED3),_xlfn.MAXIFS(Линии[_мин. по типу],Линии[_гр.],DY3,Линии[Щит],A3)))</f>
        <v/>
      </c>
      <c r="EF3" t="str">
        <f>IF(AD3="","",_xlfn.MINIFS(Линии[_макс. автомат по кабелю],Линии[_гр.],DY3,Линии[Щит],A3))</f>
        <v/>
      </c>
      <c r="EG3" t="str">
        <f>IF(AD3="","",MAX(1,_xlfn.MAXIFS(Линии[_фаз],Линии[_гр.],DY3,Линии[Щит],A3)))</f>
        <v/>
      </c>
      <c r="EH3" t="str">
        <f>IF(AD3="","",IF(AND(AD3&lt;&gt;"авто",AD3&lt;&gt;"+"),IF(ISNUMBER(SEARCH("мА",AD3)),IFERROR(--TRIM(RIGHT(SUBSTITUTE(LEFT(AD3,SEARCH("мА",AD3)-1)," ",REPT(" ",9)),6)),30),0),IF(AE3="нет",0,IF(ISNUMBER(AE3),AE3,IF(AE3="да",30,_xlfn.MINIFS(Линии[_дифзащита по коду, мА],Линии[_гр.],DY3,Линии[Щит],A3,Линии[_дифзащита по коду, мА],"&gt;0"))))))</f>
        <v/>
      </c>
      <c r="EI3" t="str">
        <f t="shared" ref="EI3:EI34" si="44">IF(AD3="","",IF(N(EH3)&gt;0,1,0))</f>
        <v/>
      </c>
      <c r="EJ3" t="str">
        <f t="shared" ref="EJ3:EJ34" si="45">IF(AD3="","",IF(EI3=1,"QFD","QF")&amp;DY3)</f>
        <v/>
      </c>
      <c r="EK3" t="str">
        <f t="shared" ref="EK3:EK34" si="46">IF(EJ3&lt;&gt;"",EJ3,IF(OR(OR(AS3=1,A3&lt;&gt;A2),AL3="вручную"),"",IF(AS3=1,"",EK2)))</f>
        <v/>
      </c>
      <c r="EL3" t="str">
        <f t="shared" ref="EL3:EL34" si="47">IF(EJ3&lt;&gt;"",_xlfn.TEXTJOIN(" → ",TRUE,AF3,AG3,AH3),IF(EK3="","",IF(AS3=1,"",EL2)))</f>
        <v/>
      </c>
      <c r="EM3">
        <f t="shared" ref="EM3:EM34" si="48">IF(EL3="",0,IF(OR(LEFT(EL3,2)="T ",LEFT(EL3,2)="Т ",ISNUMBER(SEARCH("→ T ",EL3)),ISNUMBER(SEARCH("→ Т ",EL3)),ISNUMBER(SEARCH("БП",EL3))),1,0))</f>
        <v>0</v>
      </c>
      <c r="EN3" t="str">
        <f>IF(AD3="","",IF(EM3=1,MAX(EE3,Мин_автомат_БП),EE3))</f>
        <v/>
      </c>
      <c r="EO3" t="str">
        <f t="shared" ref="EO3:EO34" si="49">IF(AD3="","",IF(EG3&gt;=3,IF(EI3=1,"4P","3P"),IF(EI3=1,"2P","1P")))</f>
        <v/>
      </c>
      <c r="EP3" t="str">
        <f t="shared" ref="EP3:EP34" si="50">IF(AD3="","",IF(AND(AD3&lt;&gt;"авто",AD3&lt;&gt;"+"),AD3,EO3&amp;" С"&amp;EN3&amp;"А"&amp;IF(EI3=1," "&amp;EH3&amp;"мА","")))</f>
        <v/>
      </c>
      <c r="EQ3" t="str">
        <f t="shared" ref="EQ3:EQ34" si="51">IF(EP3="","",_xlfn.LET(_xlpm.t,SUBSTITUTE(SUBSTITUTE(UPPER(EP3),"С","C"),"А","A"),_xlpm.c,FIND("C",_xlpm.t),IFERROR(--MID(_xlpm.t,_xlpm.c+1,FIND("A",_xlpm.t&amp;"A",_xlpm.c)-_xlpm.c-1),"")))</f>
        <v/>
      </c>
      <c r="ER3" t="str">
        <f>IF(OR(AI3="",AI3="-"),"",IFERROR(VLOOKUP(AI3,Модули_спр,2,FALSE),"R"))</f>
        <v/>
      </c>
      <c r="ES3" t="str">
        <f>IF(ER3="","",ER3&amp;"."&amp;COUNTIFS(A$3:A3,A3,ER$3:ER3,ER3))</f>
        <v/>
      </c>
      <c r="ET3" t="str">
        <f t="shared" ref="ET3:ET34" si="52">IF(AI3="-","",IF(ES3&lt;&gt;"",ES3,IF(OR(AS3=1,A3&lt;&gt;A2),"",IF(AS3=1,"",ET2))))</f>
        <v/>
      </c>
      <c r="EU3" t="str">
        <f t="shared" ref="EU3:EU34" si="53">IF(ET3="","",IF(AND(AI3&lt;&gt;"",AI3&lt;&gt;"-"),AI3,IF(AS3=1,"",EU2)))</f>
        <v/>
      </c>
      <c r="EV3" t="str">
        <f t="shared" ref="EV3:EV34" si="54">IF(AJ3="=",IF(AS3=1,"",EW2),IF(ISNUMBER(AJ3),AJ3,IF(ET3="","",IF(OR(D3&lt;&gt;"",AJ3="+",AJ3="р"),IF(OR(ES3&lt;&gt;"",IF(AS3=1,"",EW2)=""),1,IF(AS3=1,"",EW2)+1),""))))</f>
        <v/>
      </c>
      <c r="EW3" t="str">
        <f t="shared" ref="EW3:EW34" si="55">IF(EV3&lt;&gt;"",EV3,IF(OR(OR(AS3=1,A3&lt;&gt;A2),AI3="-",ES3&lt;&gt;""),"",IF(AS3=1,"",EW2)))</f>
        <v/>
      </c>
      <c r="EX3">
        <f t="shared" ref="EX3:EX34" si="56">IF(AJ3="б/к",0,IF(OR(ISNUMBER(SEARCH("L=",CH3)),AJ3="+",AJ3="="),1,0))</f>
        <v>0</v>
      </c>
      <c r="EY3" t="str">
        <f>IF(AK3="нет","",IF(AK3&lt;&gt;"",AK3,IF(EX3=1,"XT"&amp;COUNTIFS(A$3:A3,A3,EX$3:EX3,1),"")))</f>
        <v/>
      </c>
      <c r="EZ3" t="str">
        <f t="shared" ref="EZ3:EZ34" si="57">IF(OR(D3&lt;&gt;"",EV3&lt;&gt;"",EX3=1),EK3,"")</f>
        <v/>
      </c>
      <c r="FA3" t="str">
        <f t="shared" ref="FA3:FA34" si="58">IF(OR(EV3&lt;&gt;"",AND(AI3&lt;&gt;"",AI3&lt;&gt;"-")),ET3,"")</f>
        <v/>
      </c>
      <c r="FB3" t="str">
        <f t="shared" ref="FB3:FB34" si="59">IF(AD3="","",IF(NOT(ISNUMBER(EQ3)),"",IF(EC3&gt;EQ3,"ПЕРЕГРУЗ",IF(AND(EM3=0,EF3&gt;0,EQ3&gt;EF3),"КАБЕЛЬ НЕ ЗАЩИЩЁН","ok"))))</f>
        <v/>
      </c>
      <c r="FC3" t="str">
        <f>IF(OR(EV3="",ET3=""),"",IF(EV3&gt;IFERROR(VLOOKUP(EU3,Модули_спр,3,FALSE),99),"ЛИШНИЙ КАНАЛ",IF(AND(AJ3&lt;&gt;"=",COUNTIFS(Линии[_модуль гр.],ET3,Линии[Канал (итог)],EV3,Линии[Канал],"&lt;&gt;=",Линии[Щит],A3)&gt;1),"ДУБЛЬ КАНАЛА","")))</f>
        <v/>
      </c>
      <c r="FD3" t="str">
        <f t="shared" ref="FD3:FD34" si="60">IF(AD3&lt;&gt;"",EQ3,IF(EK3="","",IF(AS3=1,"",FD2)))</f>
        <v/>
      </c>
      <c r="FE3" t="str">
        <f t="shared" ref="FE3:FE34" si="61">IF(AD3&lt;&gt;"",EP3,IF(EK3="","",IF(AS3=1,"",FE2)))</f>
        <v/>
      </c>
      <c r="FF3" t="str">
        <f t="shared" ref="FF3:FF34" si="62">IF(AD3&lt;&gt;"",EI3,IF(EK3="","",IF(AS3=1,"",FF2)))</f>
        <v/>
      </c>
      <c r="FG3" t="str">
        <f t="shared" ref="FG3:FG34" si="63">IF(AD3&lt;&gt;"",EH3,IF(EK3="","",IF(AS3=1,"",FG2)))</f>
        <v/>
      </c>
      <c r="FH3" s="6" t="str">
        <f t="shared" ref="FH3:FH34" si="64">IFERROR(IF(ISNUMBER(CL3),CL3/IFERROR(--FD3,N(BO3)),""),"")</f>
        <v/>
      </c>
      <c r="FI3">
        <f t="shared" ref="FI3:FI34" si="65">IF(OR(ISNUMBER(SEARCH(" B"," "&amp;FE3)),ISNUMBER(SEARCH(" В"," "&amp;FE3))),5,IF(ISNUMBER(SEARCH(" D"," "&amp;FE3)),20,10))</f>
        <v>10</v>
      </c>
      <c r="FJ3" t="str">
        <f t="shared" ref="FJ3:FJ34" si="66">IF(NOT(ISNUMBER(FH3)),"",IF(FH3&gt;=FI3,"ok",IF(N(FF3)=1,"ok (дифзащита "&amp;FG3&amp;" мА)","мало: Iкз &lt; "&amp;FI3&amp;"·In")))</f>
        <v/>
      </c>
      <c r="FK3" t="str">
        <f>IF(AND(D3="",EZ3=""),"",_xlfn.TEXTJOIN("; ",TRUE,IF(AND(D3&lt;&gt;"",DD3=""),"нет фазы",""),IF(AND(D3&lt;&gt;"",N(DT3)=0,CN3&lt;&gt;"Нет"),"нет мощности",""),IF(AND(EY3&lt;&gt;"",COUNTIFS(Линии[Щит],A3,Линии[Клемма (итог)],EY3)&gt;1),"дубль клеммы "&amp;EY3,""),IF(AND(FB3&lt;&gt;"",FB3&lt;&gt;"ok"),FB3,""),IF(FC3&lt;&gt;"",FC3,""),IF(AND(ISNUMBER(SEARCH("(5х",DS3)),N(DV3)=1),"5 жил на 1 фазе",""),IF(AND(AT3="R",AD3&lt;&gt;"",OR(N(EH3)=0,N(EH3)&gt;30)),"розетка без дифзащиты до 30 мА",""),IFERROR(IF(AND(ISNUMBER(CD3),CD3&gt;CE3),"потери "&amp;FIXED(CD3,1)&amp;" % &gt; "&amp;CE3&amp;" %",""),""),IFERROR(IF(LEFT(FJ3,4)="мало","Iкз мало — отключение &gt; 0,4 с",""),""),IF(AND(D3&lt;&gt;"",BD3=""),"не на схеме","")))</f>
        <v/>
      </c>
      <c r="FL3" s="6" t="str">
        <f>IF(AD3="","",_xlfn.LET(_xlpm.t,IFERROR(_xlfn.XLOOKUP(EP3,Каталог!$U$4:$U$500,Каталог!$G$4:$G$500),""),_xlpm.k,SEARCH("кА",_xlpm.t),IFERROR(--TRIM(RIGHT(SUBSTITUTE(MID(_xlpm.t,MAX(1,_xlpm.k-4),_xlpm.k-MAX(1,_xlpm.k-4))," ",REPT(" ",9)),5)),"")))</f>
        <v/>
      </c>
      <c r="FM3" t="str">
        <f>IF(OR(FL3="",AD3=""),"",IF(_xlfn.XLOOKUP(A3,Щиты[Щит],Щиты[Iкз max на шинах, кА],"")="","",IF(FL3&lt;_xlfn.XLOOKUP(A3,Щиты[Щит],Щиты[Iкз max на шинах, кА]),"Icu "&amp;FL3&amp;" кА &lt; Iкз max","ok")))</f>
        <v/>
      </c>
      <c r="FN3" t="str">
        <f t="shared" ref="FN3:FN34" si="67">IF(OR(AL3="вручную",BD3="",AND(D3="",EY3="")),"",_xlfn.TEXTJOIN("|",TRUE,EK3,SUBSTITUTE(EL3," → ","|"),IF(ET3&lt;&gt;"",ET3&amp;IF(EV3&lt;&gt;""," к."&amp;EV3,""),""),EY3))</f>
        <v/>
      </c>
      <c r="FO3" t="str">
        <f t="shared" ref="FO3:FO34" si="68">IF(FN3="","",FN3&amp;IF(D3&lt;&gt;"","|кабель "&amp;CG3&amp;" → "&amp;AZ3,""))</f>
        <v/>
      </c>
      <c r="FP3" t="str" cm="1">
        <f t="array" ref="FP3">IF(FO3="","",_xlfn.LET(_xlpm.nd,_xlfn.TEXTSPLIT(FO3,"|"),IF(COLUMNS(_xlpm.nd)&gt;1,A3&amp;"¦"&amp;INDEX(_xlpm.nd,1)&amp;"¦"&amp;INDEX(_xlpm.nd,2),"")))</f>
        <v/>
      </c>
      <c r="FQ3" t="str">
        <f t="shared" ref="FQ3:FQ34" si="69">IF(FP3="","",D3&amp;"¦"&amp;AZ3)</f>
        <v/>
      </c>
      <c r="FR3" t="str" cm="1">
        <f t="array" ref="FR3">IF(FO3="","",_xlfn.LET(_xlpm.nd,_xlfn.TEXTSPLIT(FO3,"|"),IF(COLUMNS(_xlpm.nd)&gt;2,A3&amp;"¦"&amp;INDEX(_xlpm.nd,2)&amp;"¦"&amp;INDEX(_xlpm.nd,3),"")))</f>
        <v/>
      </c>
      <c r="FS3" t="str">
        <f t="shared" ref="FS3:FS34" si="70">IF(FR3="","",D3&amp;"¦"&amp;AZ3)</f>
        <v/>
      </c>
      <c r="FT3" t="str" cm="1">
        <f t="array" ref="FT3">IF(FO3="","",_xlfn.LET(_xlpm.nd,_xlfn.TEXTSPLIT(FO3,"|"),IF(COLUMNS(_xlpm.nd)&gt;3,A3&amp;"¦"&amp;INDEX(_xlpm.nd,3)&amp;"¦"&amp;INDEX(_xlpm.nd,4),"")))</f>
        <v/>
      </c>
      <c r="FU3" t="str">
        <f t="shared" ref="FU3:FU34" si="71">IF(FT3="","",D3&amp;"¦"&amp;AZ3)</f>
        <v/>
      </c>
      <c r="FV3" t="str" cm="1">
        <f t="array" ref="FV3">IF(FO3="","",_xlfn.LET(_xlpm.nd,_xlfn.TEXTSPLIT(FO3,"|"),IF(COLUMNS(_xlpm.nd)&gt;4,A3&amp;"¦"&amp;INDEX(_xlpm.nd,4)&amp;"¦"&amp;INDEX(_xlpm.nd,5),"")))</f>
        <v/>
      </c>
      <c r="FW3" t="str">
        <f t="shared" ref="FW3:FW34" si="72">IF(FV3="","",D3&amp;"¦"&amp;AZ3)</f>
        <v/>
      </c>
      <c r="FX3" t="str" cm="1">
        <f t="array" ref="FX3">IF(FO3="","",_xlfn.LET(_xlpm.nd,_xlfn.TEXTSPLIT(FO3,"|"),IF(COLUMNS(_xlpm.nd)&gt;5,A3&amp;"¦"&amp;INDEX(_xlpm.nd,5)&amp;"¦"&amp;INDEX(_xlpm.nd,6),"")))</f>
        <v/>
      </c>
      <c r="FY3" t="str">
        <f t="shared" ref="FY3:FY34" si="73">IF(FX3="","",D3&amp;"¦"&amp;AZ3)</f>
        <v/>
      </c>
      <c r="FZ3" t="str" cm="1">
        <f t="array" ref="FZ3">IF(FO3="","",_xlfn.LET(_xlpm.nd,_xlfn.TEXTSPLIT(FO3,"|"),IF(COLUMNS(_xlpm.nd)&gt;6,A3&amp;"¦"&amp;INDEX(_xlpm.nd,6)&amp;"¦"&amp;INDEX(_xlpm.nd,7),"")))</f>
        <v/>
      </c>
      <c r="GA3" t="str">
        <f t="shared" ref="GA3:GA34" si="74">IF(FZ3="","",D3&amp;"¦"&amp;AZ3)</f>
        <v/>
      </c>
      <c r="GB3" t="str">
        <f t="shared" ref="GB3:GB34" si="75">IF(FA3="","",EU3)</f>
        <v/>
      </c>
      <c r="GC3" t="str">
        <f t="shared" ref="GC3:GC34" si="76">IF(AND(D3="",EV3="",EY3=""),"",_xlfn.TEXTJOIN(" → ",TRUE,EK3,EL3,IF(ET3&lt;&gt;"",ET3&amp;IF(EV3&lt;&gt;""," к."&amp;EV3,""),IF(EV3&lt;&gt;"","к."&amp;EV3,"")),EY3,IF(DX3=1,"(в кабель выше)","")))</f>
        <v/>
      </c>
      <c r="GD3">
        <f t="shared" ref="GD3:GD34" si="77">IF(OR(BD3="",AL3="вручную",AND(BE3="вводной узел",AL3&lt;&gt;"рисовать")),0,1)</f>
        <v>0</v>
      </c>
      <c r="GE3">
        <f t="shared" ref="GE3:GE34" si="78">IF(AC3="",0,1)</f>
        <v>0</v>
      </c>
      <c r="GF3">
        <f t="shared" ref="GF3:GF34" si="79">IF(EJ3="",0,IF(LEFT(EJ3,3)="QFD",1,0))</f>
        <v>0</v>
      </c>
      <c r="GG3" t="str">
        <f t="shared" ref="GG3:GG34" si="80">IF(AJ3="=","=",IF(AJ3="+","+",IF(AJ3="р","R","")))</f>
        <v/>
      </c>
      <c r="GH3" t="str">
        <f t="shared" ref="GH3:GH34" si="81">IF(AF3="","",IF(OR(LEFT(AF3,1)="T",LEFT(AF3,1)="Т"),"T",IF(LEFT(UPPER(AF3),2)="БП","PS",IF(OR(LEFT(UPPER(AF3),2)="МК",LEFT(UPPER(AF3),2)="MK"),"MK",IF(OR(LEFT(UPPER(AF3),2)="КМ",LEFT(UPPER(AF3),2)="KM"),"KM","X")))))</f>
        <v/>
      </c>
      <c r="GI3" t="str">
        <f t="shared" ref="GI3:GI34" si="82">IF(AG3="","",IF(OR(LEFT(AG3,1)="T",LEFT(AG3,1)="Т"),"T",IF(LEFT(UPPER(AG3),2)="БП","PS",IF(OR(LEFT(UPPER(AG3),2)="МК",LEFT(UPPER(AG3),2)="MK"),"MK",IF(OR(LEFT(UPPER(AG3),2)="КМ",LEFT(UPPER(AG3),2)="KM"),"KM","X")))))</f>
        <v/>
      </c>
      <c r="GJ3" t="str">
        <f t="shared" ref="GJ3:GJ34" si="83">IF(AH3="","",IF(OR(LEFT(AH3,1)="T",LEFT(AH3,1)="Т"),"T",IF(LEFT(UPPER(AH3),2)="БП","PS",IF(OR(LEFT(UPPER(AH3),2)="МК",LEFT(UPPER(AH3),2)="MK"),"MK",IF(OR(LEFT(UPPER(AH3),2)="КМ",LEFT(UPPER(AH3),2)="KM"),"KM","X")))))</f>
        <v/>
      </c>
      <c r="GK3" t="str">
        <f>IF(D3="","",IFERROR(VLOOKUP(D3,УГО_спр,2,FALSE),IFERROR(VLOOKUP(AT3,УГО_спр,2,FALSE),IFERROR(VLOOKUP(LEFT(AT3,2),УГО_спр,2,FALSE),""))))</f>
        <v/>
      </c>
      <c r="GL3" t="str">
        <f>IF(D3="","",IF(OR(GK3="",GK3=0),"BOX",IFERROR(IF(VLOOKUP(GK3,УГО_блоки,3,FALSE)&amp;""&lt;&gt;"",VLOOKUP(GK3,УГО_блоки,3,FALSE),VLOOKUP(GK3,УГО_блоки,2,FALSE)),GK3)))</f>
        <v/>
      </c>
      <c r="GM3">
        <f t="shared" ref="GM3:GM34" si="84">IF(D3="",0,1)</f>
        <v>0</v>
      </c>
      <c r="GN3" t="str">
        <f>IF(EP3="","",IF(COUNTIF(EP$3:EP3,EP3)=1,MAX(GN$2:GN2)+1,""))</f>
        <v/>
      </c>
      <c r="GO3" t="str">
        <f>IF(AF3="","",IF(COUNTIF(AF$3:AF3,AF3)+COUNTIF(AG$2:AG2,AF3)+COUNTIF(AH$2:AH2,AF3)=1,MAX(GO$2:GQ2)+1,""))</f>
        <v/>
      </c>
      <c r="GP3" t="str">
        <f>IF(AG3="","",IF(COUNTIF(AF$3:AF3,AG3)+COUNTIF(AG$3:AG3,AG3)+COUNTIF(AH$2:AH2,AG3)=1,MAX(GO$2:GQ2,GO3)+1,""))</f>
        <v/>
      </c>
      <c r="GQ3" t="str">
        <f>IF(AH3="","",IF(COUNTIF(AF$3:AF3,AH3)+COUNTIF(AG$3:AG3,AH3)+COUNTIF(AH$3:AH3,AH3)=1,MAX(GO$2:GQ2,GO3,GP3)+1,""))</f>
        <v/>
      </c>
      <c r="GR3" t="str">
        <f t="shared" ref="GR3:GR34" si="85">IF(EX3=1,IFERROR(MID(DS3,FIND(" (",DS3)+2,FIND(")",DS3,FIND(" (",DS3))-FIND(" (",DS3)-2),"?"),"")</f>
        <v/>
      </c>
      <c r="GS3" t="str">
        <f>IF(GR3="","",IF(COUNTIF(GR$3:GR3,GR3)=1,MAX(GS$2:GS2)+1,""))</f>
        <v/>
      </c>
      <c r="GT3" t="str">
        <f>IF(ES3="","",COUNTIF(ES$3:ES3,"?*"))</f>
        <v/>
      </c>
      <c r="GU3" t="str">
        <f>IF(OR(ES3="",EU3=""),"",IF(COUNTIFS(ES$3:ES3,"?*",EU$3:EU3,EU3)=1,MAX(GU$2:GU2)+1,""))</f>
        <v/>
      </c>
      <c r="GV3">
        <f t="shared" ref="GV3:GV34" si="86">IF(FK3="",0,IF(OR(ISNUMBER(SEARCH("дубль",FK3)),ISNUMBER(SEARCH("ПЕРЕГРУЗ",FK3)),ISNUMBER(SEARCH("ЗАЩИЩ",FK3)),ISNUMBER(SEARCH("КАНАЛ",FK3)),ISNUMBER(SEARCH("без диф",FK3))),2,1))</f>
        <v>0</v>
      </c>
      <c r="GW3" t="str">
        <f>IF(D3="","",COUNTIF(D$3:D3,"?*"))</f>
        <v/>
      </c>
      <c r="GX3">
        <f>IF(EX3&lt;&gt;1,0,_xlfn.LET(_xlpm.k,MAX(IFERROR(--VLOOKUP(D3,УГО_спр,5,FALSE),0),IFERROR(--VLOOKUP(AT3,УГО_спр,5,FALSE),0),IFERROR(--VLOOKUP(LEFT(AT3,2),УГО_спр,5,FALSE),0)),IF(_xlpm.k&gt;0,_xlpm.k,IF(IFERROR(--LEFT(SUBSTITUTE(GR3,"x","х"),FIND("х",SUBSTITUTE(GR3,"x","х"))-1),3)&gt;3,Каталог!$S$9,1))))</f>
        <v>0</v>
      </c>
      <c r="GY3">
        <f t="shared" ref="GY3:GY34" si="87">IF(EX3&lt;&gt;1,0,MAX(0,IFERROR(--LEFT(SUBSTITUTE(GR3,"x","х"),FIND("х",SUBSTITUTE(GR3,"x","х"))-1),3)-3*GX3))</f>
        <v>0</v>
      </c>
    </row>
    <row r="4" spans="1:207" x14ac:dyDescent="0.3">
      <c r="A4" t="s">
        <v>206</v>
      </c>
      <c r="B4">
        <v>2</v>
      </c>
      <c r="C4" t="str">
        <f>IF(BD4="","",IF(BE4="вводной узел","узел ","")&amp;"л."&amp;(INT((BD4-1)/Столбцов_на_лист)+1)&amp;" / "&amp;(MOD(BD4-1,Столбцов_на_лист)+1))</f>
        <v>узел л.1 / 2</v>
      </c>
      <c r="E4" s="133" t="str">
        <f t="shared" si="0"/>
        <v/>
      </c>
      <c r="AL4" t="s">
        <v>559</v>
      </c>
      <c r="AR4" t="str">
        <f t="shared" si="1"/>
        <v/>
      </c>
      <c r="AS4" cm="1">
        <f t="array" ref="AS4">ROW()-ROW(Линии[#Headers])</f>
        <v>2</v>
      </c>
      <c r="AT4" s="6" t="str">
        <f t="shared" si="2"/>
        <v/>
      </c>
      <c r="AU4" t="str">
        <f t="shared" si="3"/>
        <v/>
      </c>
      <c r="AV4" t="str">
        <f t="shared" si="4"/>
        <v/>
      </c>
      <c r="AW4" t="str">
        <f t="shared" si="5"/>
        <v/>
      </c>
      <c r="AX4" t="str">
        <f t="shared" si="6"/>
        <v/>
      </c>
      <c r="AY4" t="str">
        <f>IF(D4="","",IF(ISERROR(SEARCH(".",D4)),IFERROR(VLOOKUP(D4,Потребители_обозначение,2,FALSE)&amp;"",""),IFERROR(IF(VLOOKUP(AT4,Потребители_обозначение,4,FALSE)=1,VLOOKUP(AT4,Потребители_обозначение,2,FALSE)&amp;" "&amp;VLOOKUP(AV4,Этаж_обозначение,2,FALSE)&amp;" Пом. №"&amp;AX4,VLOOKUP(AT4,Потребители_обозначение,2,FALSE)&amp;" Шлейф №"&amp;AV4),IFERROR(VLOOKUP(D4,Потребители_обозначение,2,FALSE),""))))</f>
        <v/>
      </c>
      <c r="AZ4" t="str">
        <f t="shared" si="7"/>
        <v/>
      </c>
      <c r="BA4" t="str">
        <f>IF(F4&lt;&gt;"",F4,IF(AND(D4&lt;&gt;"",D4&lt;&gt;A4,ISNUMBER(_xlfn.XMATCH(D4,Щиты[Щит]))),D4,""))</f>
        <v/>
      </c>
      <c r="BB4">
        <f>IFERROR(_xlfn.XMATCH(A4,Щиты[Щит]),0)</f>
        <v>1</v>
      </c>
      <c r="BC4">
        <f>IFERROR(N(_xlfn.XLOOKUP(A4,Щиты[Щит],Щиты[Мест под вводной узел])),15)</f>
        <v>18</v>
      </c>
      <c r="BD4">
        <f t="shared" si="8"/>
        <v>2</v>
      </c>
      <c r="BE4" t="str">
        <f t="shared" si="9"/>
        <v>вводной узел</v>
      </c>
      <c r="BF4" s="6" t="str">
        <f>IF(D4="","",IF(BA4&lt;&gt;"",IFERROR(_xlfn.XLOOKUP(BA4,Щиты[Щит],Щиты[Руст, кВт]),0),N(G4)))</f>
        <v/>
      </c>
      <c r="BG4" t="str">
        <f>IF(J4&lt;&gt;"",J4,IF(D4="","",IFERROR(IF(VLOOKUP(AT4,Потребители_обозначение,8,FALSE)=0,"",VLOOKUP(AT4,Потребители_обозначение,8,FALSE)),"")))</f>
        <v/>
      </c>
      <c r="BH4" t="str">
        <f>IF(I4&lt;&gt;"",I4,IF(D4="","",IFERROR(IF(VLOOKUP(AT4,Потребители_обозначение,9,FALSE)=0,"",VLOOKUP(AT4,Потребители_обозначение,9,FALSE)),"")))</f>
        <v/>
      </c>
      <c r="BI4" t="str">
        <f>IF(U4&lt;&gt;"",U4,IF(D4="","",IFERROR(IF(VLOOKUP(AT4,Потребители_обозначение,6,FALSE)=0,"",VLOOKUP(AT4,Потребители_обозначение,6,FALSE)),"")))</f>
        <v/>
      </c>
      <c r="BJ4" t="str">
        <f>IF(V4&lt;&gt;"",V4,IF(D4="","",IFERROR(IF(VLOOKUP(AT4,Потребители_обозначение,7,FALSE)=0,"",VLOOKUP(AT4,Потребители_обозначение,7,FALSE)),"")))</f>
        <v/>
      </c>
      <c r="BK4" t="str">
        <f>IF(W4&lt;&gt;"",W4,IF(D4="","",IFERROR(IF(VLOOKUP(AT4,Потребители_обозначение,10,FALSE)=0,"",VLOOKUP(AT4,Потребители_обозначение,10,FALSE)),"")))</f>
        <v/>
      </c>
      <c r="BL4">
        <f>IFERROR(VLOOKUP(AT4,Потребители_обозначение,5,FALSE),0)</f>
        <v>0</v>
      </c>
      <c r="BM4" s="6" t="str" cm="1">
        <f t="array" ref="BM4">IF(D4="","",IF(BA4&lt;&gt;"",IFERROR(_xlfn.XLOOKUP(BA4,Щиты[Щит],Щиты[cos φ]),0.95),IF(ISNUMBER(M4),M4,IFERROR(IF(BL4=2,_xlfn.IFS(BH4=3,VLOOKUP(BF4,Справочная_двигатели,8,FALSE),BH4=1,VLOOKUP(BF4,Справочная_двигатели,10,TRUE)),IF(AND(Методика="нормы 2026",CN4="Сил"),0.8,0.95)),0.95))))</f>
        <v/>
      </c>
      <c r="BN4" s="6" t="str" cm="1">
        <f t="array" ref="BN4">IF(D4="","",IF(BA4&lt;&gt;"",IFERROR(_xlfn.XLOOKUP(BA4,Щиты[Щит],Щиты[Iр, А]),""),IFERROR(_xlfn.IFS(BH4=1,BF4/((Uн_лин/SQRT(3))*BM4),BH4=3,BF4/(SQRT(3)*Uн_лин*BM4)),"")))</f>
        <v/>
      </c>
      <c r="BO4" t="str">
        <f>IF(D4="","",IF(N(X4)=0,IFERROR(VLOOKUP(BN4,Автомат_номиналы,2,TRUE),""),X4))</f>
        <v/>
      </c>
      <c r="BP4">
        <f t="shared" si="10"/>
        <v>1</v>
      </c>
      <c r="BQ4">
        <f>IF(ISNUMBER(Y4),Y4,К_прокл)</f>
        <v>1</v>
      </c>
      <c r="BR4">
        <f t="shared" si="11"/>
        <v>3</v>
      </c>
      <c r="BS4" t="str" cm="1">
        <f t="array" ref="BS4">IF(D4="","",IF(N(BK4)&lt;&gt;0,BK4,IFERROR(_xlfn.LET(_xlpm.need,BO4/(BP4*BQ4),_xlpm.t,CHOOSE(BR4,Iдоп_1ж,Iдоп_2ж,Iдоп_3ж),_xlpm.k,_xlfn.XMATCH(_xlpm.need,_xlpm.t,1),IF(ISNA(_xlpm.k),"Не исп",INDEX(Iдоп_S,_xlpm.k))),"Не исп")))</f>
        <v/>
      </c>
      <c r="BT4" t="str">
        <f>IFERROR(VLOOKUP(BS4,Кабель_сопротивление,3,FALSE),"")</f>
        <v/>
      </c>
      <c r="BU4" t="str">
        <f>IFERROR(VLOOKUP(BS4,Кабель_сопротивление,2,FALSE),"")</f>
        <v/>
      </c>
      <c r="BV4" t="str">
        <f t="shared" si="12"/>
        <v/>
      </c>
      <c r="BW4" s="6" t="str">
        <f>IF(D4="","",IFERROR(IF(VLOOKUP(AT4,Потребители_обозначение,4,FALSE)=1,VLOOKUP(AT4,Потребители_обозначение,3,FALSE)*(H4*2-1)+BV4+VLOOKUP(AV4,Этаж_обозначение,3,FALSE)+VLOOKUP(AV4,Этаж_обозначение,4,FALSE),VLOOKUP(AT4,Потребители_обозначение,3,FALSE)*(H4*2-1)+BV4),BV4))</f>
        <v/>
      </c>
      <c r="BX4" t="str">
        <f t="shared" si="13"/>
        <v/>
      </c>
      <c r="BY4" t="str">
        <f t="shared" si="14"/>
        <v/>
      </c>
      <c r="BZ4" t="str">
        <f t="shared" si="15"/>
        <v/>
      </c>
      <c r="CA4" t="str">
        <f t="shared" si="16"/>
        <v/>
      </c>
      <c r="CB4" t="str">
        <f t="shared" si="17"/>
        <v/>
      </c>
      <c r="CC4" s="6" t="str">
        <f>IFERROR(ROUNDUP(CB4/((Uн_лин/SQRT(3))*1000)*100,2),"")</f>
        <v/>
      </c>
      <c r="CD4" s="6" t="str">
        <f>IF(ISNUMBER(CC4),CC4+IFERROR(_xlfn.XLOOKUP(A4,Щиты[Щит],Щиты[ΔU до шин, %]),0),"")</f>
        <v/>
      </c>
      <c r="CE4" s="6" t="str">
        <f>IF(D4="","",IF(IFERROR(VLOOKUP(AT4,УГО_спр,2,FALSE),"")="Светильник",3,4)+IF(Методика="нормы 2026",MIN(0.5,MAX(0,N(BW4)-100)*0.005),0))</f>
        <v/>
      </c>
      <c r="CF4" t="str">
        <f>IFERROR(VLOOKUP(BI4,Кабель_обозначение,2,FALSE),"")</f>
        <v/>
      </c>
      <c r="CG4" t="str">
        <f>IFERROR(IF(VLOOKUP(BI4,Кабель_обозначение,3,FALSE)=1,CF4&amp;" ("&amp;BJ4&amp;"х"&amp;BS4&amp;")",CF4),"")</f>
        <v/>
      </c>
      <c r="CH4" t="str">
        <f t="shared" si="18"/>
        <v/>
      </c>
      <c r="CI4" t="str">
        <f>IFERROR(2*ρкз_Cu*BW4/BS4,"")</f>
        <v/>
      </c>
      <c r="CJ4" t="str">
        <f t="shared" si="19"/>
        <v/>
      </c>
      <c r="CK4" s="6" t="str">
        <f>IFERROR(IF(OR(D4="",NOT(ISNUMBER(BS4)),N(BW4)=0),"",_xlfn.XLOOKUP(A4,Щиты[Щит],Щиты[Zпетли на шинах, Ом])+CI4),"")</f>
        <v/>
      </c>
      <c r="CL4" s="6" t="str">
        <f>IF(ISNUMBER(CK4),c_min*(Uн_лин*1000/SQRT(3))/CK4,"")</f>
        <v/>
      </c>
      <c r="CM4" s="6" t="str">
        <f>IFERROR(IF(OR(D4="",NOT(ISNUMBER(BS4))),"",1.05*(Uн_лин*1000/SQRT(3))/(_xlfn.XLOOKUP(A4,Щиты[Щит],Щиты[Zmax на шинах, Ом])+CJ4)/1000),"")</f>
        <v/>
      </c>
      <c r="CN4" s="6" t="str">
        <f>IF(D4="","",IF(BA4&lt;&gt;"","Щит",IF(K4&lt;&gt;"",K4,IF(ISNUMBER(L4),"Сил",IF(IFERROR(_xlfn.XLOOKUP(AT4,Коды_код,Коды_группа)&amp;"","")="","Быт",_xlfn.XLOOKUP(AT4,Коды_код,Коды_группа)&amp;"")))))</f>
        <v/>
      </c>
      <c r="CO4" s="6" t="str">
        <f>IF(CN4="Щит","щит",IF(CN4="","",IF(CN4="Быт",IFERROR(_xlfn.XLOOKUP(A4,Щиты[Щит],Щиты[Кс быт]),1),IF(CN4="Сил",IF(ISNUMBER(L4),L4,IF(Методика="нормы 2026",IFERROR(_xlfn.XLOOKUP(A4,Щиты[Щит],Щиты[Кс силовых (табл. 7.5)]),1),1)),IF(OR(CN4="Пост",CN4="Отоп"),1,IF(CN4="ВНГ",0.7,0))))))</f>
        <v/>
      </c>
      <c r="CP4" t="str">
        <f t="shared" si="20"/>
        <v/>
      </c>
      <c r="CQ4">
        <f t="shared" si="21"/>
        <v>0</v>
      </c>
      <c r="CR4">
        <f t="shared" si="22"/>
        <v>0</v>
      </c>
      <c r="CS4">
        <f t="shared" si="23"/>
        <v>0</v>
      </c>
      <c r="CT4">
        <f t="shared" si="24"/>
        <v>0</v>
      </c>
      <c r="CU4">
        <f t="shared" si="25"/>
        <v>0</v>
      </c>
      <c r="CV4">
        <f t="shared" si="26"/>
        <v>0</v>
      </c>
      <c r="CW4">
        <f t="shared" si="27"/>
        <v>0</v>
      </c>
      <c r="CX4">
        <f t="shared" si="28"/>
        <v>0</v>
      </c>
      <c r="CY4">
        <f t="shared" si="29"/>
        <v>0</v>
      </c>
      <c r="CZ4" t="str">
        <f t="shared" si="30"/>
        <v/>
      </c>
      <c r="DA4" cm="1">
        <f t="array" ref="DA4">IFERROR(IF(BL4=2,_xlfn.IFS(BH4=3,VLOOKUP(BF4,Справочная_двигатели,3,FALSE),BH4=1,VLOOKUP(BF4,Справочная_двигатели,5,TRUE)),0),0)</f>
        <v>0</v>
      </c>
      <c r="DB4">
        <f>IFERROR(IF(BL4=3,VLOOKUP(BF4,Справочная_ЛЭД,2,TRUE),0),0)</f>
        <v>0</v>
      </c>
      <c r="DC4" s="6" t="str">
        <f t="shared" si="31"/>
        <v/>
      </c>
      <c r="DD4" t="str">
        <f t="shared" si="32"/>
        <v/>
      </c>
      <c r="DE4" t="str" cm="1">
        <f t="array" ref="DE4">IF(D4="","",IFERROR(INDEX({"I особая","I","II","III"},MATCH(TRIM(AA4&amp;""),{"I особая","I","II","III"},0)),"III"))</f>
        <v/>
      </c>
      <c r="DF4" t="str">
        <f>IF(D4="","",IF(TRIM(AB4&amp;"")&lt;&gt;"",IF(LOWER(TRIM(AB4&amp;""))="да","да","нет"),IF(IFERROR(_xlfn.XLOOKUP(AT4,Коды_код,Коды_пожарная),"")="да","да","нет")))</f>
        <v/>
      </c>
      <c r="DG4" t="str">
        <f t="shared" si="33"/>
        <v/>
      </c>
      <c r="DH4" t="str">
        <f t="shared" si="34"/>
        <v/>
      </c>
      <c r="DI4">
        <f t="shared" si="35"/>
        <v>1</v>
      </c>
      <c r="DJ4" t="str" cm="1">
        <f t="array" ref="DJ4">IF(D4="","",_xlfn.LET(_xlpm.t,IFERROR(_xlfn.XLOOKUP(1,(Шины[Шина]=DH4)*(((Шины[Щит]=A4)+(Шины[Щит]=""))&gt;0),Шины[Тип]),"")&amp;"",IF(_xlpm.t&lt;&gt;"",_xlpm.t,IF(ISNUMBER(SEARCH("ИБП",DH4)),"ИБП",IF(ISNUMBER(SEARCH("ДГУ",DH4)),"ДГУ","Ввод "&amp;DI4)))))</f>
        <v/>
      </c>
      <c r="DK4" t="str">
        <f t="shared" si="36"/>
        <v/>
      </c>
      <c r="DL4" t="str">
        <f>IF(D4="","",IF(OR(DJ4="ИБП",DJ4="ДГУ"),"I особая",IF(DJ4="Одиночная","III",_xlfn.XLOOKUP(A4,Щиты[Щит],Щиты[Категория шины «Ввод»],"III"))))</f>
        <v/>
      </c>
      <c r="DM4">
        <f>IF(D4="",0,IFERROR(MATCH(DE4,{"III","II","I","I особая"},0),1))</f>
        <v>0</v>
      </c>
      <c r="DN4">
        <f t="shared" si="37"/>
        <v>0</v>
      </c>
      <c r="DO4" t="str">
        <f>IF(D4="","",IF(DM4&gt;IFERROR(MATCH(DL4,{"III","II","I","I особая"},0),1),"НЕ ОБЕСПЕЧЕНА","ОК"))</f>
        <v/>
      </c>
      <c r="DP4" t="str">
        <f>IF(A4="","",_xlfn.XLOOKUP(A4,Щиты[Щит],Щиты[Путь],""))</f>
        <v>|ЩР|</v>
      </c>
      <c r="DQ4" t="str">
        <f>IF(D4="","",IF(Z4&lt;&gt;"",Z4,IF(IFERROR(_xlfn.XLOOKUP(AT4,Коды_код,Коды_вид)&amp;"","")="","Прочее",_xlfn.XLOOKUP(AT4,Коды_код,Коды_вид)&amp;"")))</f>
        <v/>
      </c>
      <c r="DR4">
        <f>IF(BD4="","",INT((BD4-1)/Столбцов_на_лист)+1)</f>
        <v>1</v>
      </c>
      <c r="DS4" t="str">
        <f t="shared" si="38"/>
        <v/>
      </c>
      <c r="DT4" t="str">
        <f t="shared" si="39"/>
        <v/>
      </c>
      <c r="DU4" t="str">
        <f t="shared" si="40"/>
        <v/>
      </c>
      <c r="DV4" t="str">
        <f t="shared" si="41"/>
        <v/>
      </c>
      <c r="DW4">
        <f>IF(AT4="",0,_xlfn.LET(_xlpm.v,IFERROR(VLOOKUP(D4,УГО_спр,3,FALSE),IFERROR(VLOOKUP(AT4,УГО_спр,3,FALSE),IFERROR(VLOOKUP(LEFT(AT4,2),УГО_спр,3,FALSE),""))),IF(_xlpm.v="да",30,IF(ISNUMBER(_xlpm.v),_xlpm.v,0))))</f>
        <v>0</v>
      </c>
      <c r="DX4">
        <f t="shared" si="42"/>
        <v>0</v>
      </c>
      <c r="DY4" t="str">
        <f>IF(BD4="","",IF(AD4&lt;&gt;"",COUNTIFS(A$3:A4,A4,AD$3:AD4,"?*"),IF(OR(OR(AS4=1,A4&lt;&gt;A3),AL4="вручную"),"",IF(AS4=1,"",DZ3))))</f>
        <v/>
      </c>
      <c r="DZ4" t="str">
        <f t="shared" si="43"/>
        <v/>
      </c>
      <c r="EA4">
        <f>IF(D4="",0,MAX(IFERROR(--X4,0),IFERROR(--VLOOKUP(D4,УГО_спр,4,FALSE),IFERROR(--VLOOKUP(AT4,УГО_спр,4,FALSE),IFERROR(--VLOOKUP(LEFT(AT4,2),УГО_спр,4,FALSE),0)))))</f>
        <v>0</v>
      </c>
      <c r="EB4" t="str">
        <f>IF(D4="","",IFERROR(LOOKUP(INDEX(CHOOSE(BR4,Iдоп_1ж,Iдоп_2ж,Iдоп_3ж),MATCH(BS4,Iдоп_S,0))*BP4*BQ4,{6,10,16,20,25,32,40,50,63,80,100,125,160,200,250,315,400,500,630}),""))</f>
        <v/>
      </c>
      <c r="EC4" t="str">
        <f>IF(AD4="","",SUMIFS(Линии[_Ток схемы],Линии[_гр.],DY4,Линии[Щит],A4,Линии[_в кабель выше],0))</f>
        <v/>
      </c>
      <c r="ED4" t="str">
        <f>IF(AD4="","",IFERROR(VLOOKUP(EC4,Автомат_номиналы,2,TRUE),""))</f>
        <v/>
      </c>
      <c r="EE4" t="str">
        <f>IF(AD4="","",MAX(N(ED4),_xlfn.MAXIFS(Линии[_мин. по типу],Линии[_гр.],DY4,Линии[Щит],A4)))</f>
        <v/>
      </c>
      <c r="EF4" t="str">
        <f>IF(AD4="","",_xlfn.MINIFS(Линии[_макс. автомат по кабелю],Линии[_гр.],DY4,Линии[Щит],A4))</f>
        <v/>
      </c>
      <c r="EG4" t="str">
        <f>IF(AD4="","",MAX(1,_xlfn.MAXIFS(Линии[_фаз],Линии[_гр.],DY4,Линии[Щит],A4)))</f>
        <v/>
      </c>
      <c r="EH4" t="str">
        <f>IF(AD4="","",IF(AND(AD4&lt;&gt;"авто",AD4&lt;&gt;"+"),IF(ISNUMBER(SEARCH("мА",AD4)),IFERROR(--TRIM(RIGHT(SUBSTITUTE(LEFT(AD4,SEARCH("мА",AD4)-1)," ",REPT(" ",9)),6)),30),0),IF(AE4="нет",0,IF(ISNUMBER(AE4),AE4,IF(AE4="да",30,_xlfn.MINIFS(Линии[_дифзащита по коду, мА],Линии[_гр.],DY4,Линии[Щит],A4,Линии[_дифзащита по коду, мА],"&gt;0"))))))</f>
        <v/>
      </c>
      <c r="EI4" t="str">
        <f t="shared" si="44"/>
        <v/>
      </c>
      <c r="EJ4" t="str">
        <f t="shared" si="45"/>
        <v/>
      </c>
      <c r="EK4" t="str">
        <f t="shared" si="46"/>
        <v/>
      </c>
      <c r="EL4" t="str">
        <f t="shared" si="47"/>
        <v/>
      </c>
      <c r="EM4">
        <f t="shared" si="48"/>
        <v>0</v>
      </c>
      <c r="EN4" t="str">
        <f>IF(AD4="","",IF(EM4=1,MAX(EE4,Мин_автомат_БП),EE4))</f>
        <v/>
      </c>
      <c r="EO4" t="str">
        <f t="shared" si="49"/>
        <v/>
      </c>
      <c r="EP4" t="str">
        <f t="shared" si="50"/>
        <v/>
      </c>
      <c r="EQ4" t="str">
        <f t="shared" si="51"/>
        <v/>
      </c>
      <c r="ER4" t="str">
        <f>IF(OR(AI4="",AI4="-"),"",IFERROR(VLOOKUP(AI4,Модули_спр,2,FALSE),"R"))</f>
        <v/>
      </c>
      <c r="ES4" t="str">
        <f>IF(ER4="","",ER4&amp;"."&amp;COUNTIFS(A$3:A4,A4,ER$3:ER4,ER4))</f>
        <v/>
      </c>
      <c r="ET4" t="str">
        <f t="shared" si="52"/>
        <v/>
      </c>
      <c r="EU4" t="str">
        <f t="shared" si="53"/>
        <v/>
      </c>
      <c r="EV4" t="str">
        <f t="shared" si="54"/>
        <v/>
      </c>
      <c r="EW4" t="str">
        <f t="shared" si="55"/>
        <v/>
      </c>
      <c r="EX4">
        <f t="shared" si="56"/>
        <v>0</v>
      </c>
      <c r="EY4" t="str">
        <f>IF(AK4="нет","",IF(AK4&lt;&gt;"",AK4,IF(EX4=1,"XT"&amp;COUNTIFS(A$3:A4,A4,EX$3:EX4,1),"")))</f>
        <v/>
      </c>
      <c r="EZ4" t="str">
        <f t="shared" si="57"/>
        <v/>
      </c>
      <c r="FA4" t="str">
        <f t="shared" si="58"/>
        <v/>
      </c>
      <c r="FB4" t="str">
        <f t="shared" si="59"/>
        <v/>
      </c>
      <c r="FC4" t="str">
        <f>IF(OR(EV4="",ET4=""),"",IF(EV4&gt;IFERROR(VLOOKUP(EU4,Модули_спр,3,FALSE),99),"ЛИШНИЙ КАНАЛ",IF(AND(AJ4&lt;&gt;"=",COUNTIFS(Линии[_модуль гр.],ET4,Линии[Канал (итог)],EV4,Линии[Канал],"&lt;&gt;=",Линии[Щит],A4)&gt;1),"ДУБЛЬ КАНАЛА","")))</f>
        <v/>
      </c>
      <c r="FD4" t="str">
        <f t="shared" si="60"/>
        <v/>
      </c>
      <c r="FE4" t="str">
        <f t="shared" si="61"/>
        <v/>
      </c>
      <c r="FF4" t="str">
        <f t="shared" si="62"/>
        <v/>
      </c>
      <c r="FG4" t="str">
        <f t="shared" si="63"/>
        <v/>
      </c>
      <c r="FH4" s="6" t="str">
        <f t="shared" si="64"/>
        <v/>
      </c>
      <c r="FI4">
        <f t="shared" si="65"/>
        <v>10</v>
      </c>
      <c r="FJ4" t="str">
        <f t="shared" si="66"/>
        <v/>
      </c>
      <c r="FK4" t="str">
        <f>IF(AND(D4="",EZ4=""),"",_xlfn.TEXTJOIN("; ",TRUE,IF(AND(D4&lt;&gt;"",DD4=""),"нет фазы",""),IF(AND(D4&lt;&gt;"",N(DT4)=0,CN4&lt;&gt;"Нет"),"нет мощности",""),IF(AND(EY4&lt;&gt;"",COUNTIFS(Линии[Щит],A4,Линии[Клемма (итог)],EY4)&gt;1),"дубль клеммы "&amp;EY4,""),IF(AND(FB4&lt;&gt;"",FB4&lt;&gt;"ok"),FB4,""),IF(FC4&lt;&gt;"",FC4,""),IF(AND(ISNUMBER(SEARCH("(5х",DS4)),N(DV4)=1),"5 жил на 1 фазе",""),IF(AND(AT4="R",AD4&lt;&gt;"",OR(N(EH4)=0,N(EH4)&gt;30)),"розетка без дифзащиты до 30 мА",""),IFERROR(IF(AND(ISNUMBER(CD4),CD4&gt;CE4),"потери "&amp;FIXED(CD4,1)&amp;" % &gt; "&amp;CE4&amp;" %",""),""),IFERROR(IF(LEFT(FJ4,4)="мало","Iкз мало — отключение &gt; 0,4 с",""),""),IF(AND(D4&lt;&gt;"",BD4=""),"не на схеме","")))</f>
        <v/>
      </c>
      <c r="FL4" s="6" t="str">
        <f>IF(AD4="","",_xlfn.LET(_xlpm.t,IFERROR(_xlfn.XLOOKUP(EP4,Каталог!$U$4:$U$500,Каталог!$G$4:$G$500),""),_xlpm.k,SEARCH("кА",_xlpm.t),IFERROR(--TRIM(RIGHT(SUBSTITUTE(MID(_xlpm.t,MAX(1,_xlpm.k-4),_xlpm.k-MAX(1,_xlpm.k-4))," ",REPT(" ",9)),5)),"")))</f>
        <v/>
      </c>
      <c r="FM4" t="str">
        <f>IF(OR(FL4="",AD4=""),"",IF(_xlfn.XLOOKUP(A4,Щиты[Щит],Щиты[Iкз max на шинах, кА],"")="","",IF(FL4&lt;_xlfn.XLOOKUP(A4,Щиты[Щит],Щиты[Iкз max на шинах, кА]),"Icu "&amp;FL4&amp;" кА &lt; Iкз max","ok")))</f>
        <v/>
      </c>
      <c r="FN4" t="str">
        <f t="shared" si="67"/>
        <v/>
      </c>
      <c r="FO4" t="str">
        <f t="shared" si="68"/>
        <v/>
      </c>
      <c r="FP4" t="str" cm="1">
        <f t="array" ref="FP4">IF(FO4="","",_xlfn.LET(_xlpm.nd,_xlfn.TEXTSPLIT(FO4,"|"),IF(COLUMNS(_xlpm.nd)&gt;1,A4&amp;"¦"&amp;INDEX(_xlpm.nd,1)&amp;"¦"&amp;INDEX(_xlpm.nd,2),"")))</f>
        <v/>
      </c>
      <c r="FQ4" t="str">
        <f t="shared" si="69"/>
        <v/>
      </c>
      <c r="FR4" t="str" cm="1">
        <f t="array" ref="FR4">IF(FO4="","",_xlfn.LET(_xlpm.nd,_xlfn.TEXTSPLIT(FO4,"|"),IF(COLUMNS(_xlpm.nd)&gt;2,A4&amp;"¦"&amp;INDEX(_xlpm.nd,2)&amp;"¦"&amp;INDEX(_xlpm.nd,3),"")))</f>
        <v/>
      </c>
      <c r="FS4" t="str">
        <f t="shared" si="70"/>
        <v/>
      </c>
      <c r="FT4" t="str" cm="1">
        <f t="array" ref="FT4">IF(FO4="","",_xlfn.LET(_xlpm.nd,_xlfn.TEXTSPLIT(FO4,"|"),IF(COLUMNS(_xlpm.nd)&gt;3,A4&amp;"¦"&amp;INDEX(_xlpm.nd,3)&amp;"¦"&amp;INDEX(_xlpm.nd,4),"")))</f>
        <v/>
      </c>
      <c r="FU4" t="str">
        <f t="shared" si="71"/>
        <v/>
      </c>
      <c r="FV4" t="str" cm="1">
        <f t="array" ref="FV4">IF(FO4="","",_xlfn.LET(_xlpm.nd,_xlfn.TEXTSPLIT(FO4,"|"),IF(COLUMNS(_xlpm.nd)&gt;4,A4&amp;"¦"&amp;INDEX(_xlpm.nd,4)&amp;"¦"&amp;INDEX(_xlpm.nd,5),"")))</f>
        <v/>
      </c>
      <c r="FW4" t="str">
        <f t="shared" si="72"/>
        <v/>
      </c>
      <c r="FX4" t="str" cm="1">
        <f t="array" ref="FX4">IF(FO4="","",_xlfn.LET(_xlpm.nd,_xlfn.TEXTSPLIT(FO4,"|"),IF(COLUMNS(_xlpm.nd)&gt;5,A4&amp;"¦"&amp;INDEX(_xlpm.nd,5)&amp;"¦"&amp;INDEX(_xlpm.nd,6),"")))</f>
        <v/>
      </c>
      <c r="FY4" t="str">
        <f t="shared" si="73"/>
        <v/>
      </c>
      <c r="FZ4" t="str" cm="1">
        <f t="array" ref="FZ4">IF(FO4="","",_xlfn.LET(_xlpm.nd,_xlfn.TEXTSPLIT(FO4,"|"),IF(COLUMNS(_xlpm.nd)&gt;6,A4&amp;"¦"&amp;INDEX(_xlpm.nd,6)&amp;"¦"&amp;INDEX(_xlpm.nd,7),"")))</f>
        <v/>
      </c>
      <c r="GA4" t="str">
        <f t="shared" si="74"/>
        <v/>
      </c>
      <c r="GB4" t="str">
        <f t="shared" si="75"/>
        <v/>
      </c>
      <c r="GC4" t="str">
        <f t="shared" si="76"/>
        <v/>
      </c>
      <c r="GD4">
        <f t="shared" si="77"/>
        <v>0</v>
      </c>
      <c r="GE4">
        <f t="shared" si="78"/>
        <v>0</v>
      </c>
      <c r="GF4">
        <f t="shared" si="79"/>
        <v>0</v>
      </c>
      <c r="GG4" t="str">
        <f t="shared" si="80"/>
        <v/>
      </c>
      <c r="GH4" t="str">
        <f t="shared" si="81"/>
        <v/>
      </c>
      <c r="GI4" t="str">
        <f t="shared" si="82"/>
        <v/>
      </c>
      <c r="GJ4" t="str">
        <f t="shared" si="83"/>
        <v/>
      </c>
      <c r="GK4" t="str">
        <f>IF(D4="","",IFERROR(VLOOKUP(D4,УГО_спр,2,FALSE),IFERROR(VLOOKUP(AT4,УГО_спр,2,FALSE),IFERROR(VLOOKUP(LEFT(AT4,2),УГО_спр,2,FALSE),""))))</f>
        <v/>
      </c>
      <c r="GL4" t="str">
        <f>IF(D4="","",IF(OR(GK4="",GK4=0),"BOX",IFERROR(IF(VLOOKUP(GK4,УГО_блоки,3,FALSE)&amp;""&lt;&gt;"",VLOOKUP(GK4,УГО_блоки,3,FALSE),VLOOKUP(GK4,УГО_блоки,2,FALSE)),GK4)))</f>
        <v/>
      </c>
      <c r="GM4">
        <f t="shared" si="84"/>
        <v>0</v>
      </c>
      <c r="GN4" t="str">
        <f>IF(EP4="","",IF(COUNTIF(EP$3:EP4,EP4)=1,MAX(GN$2:GN3)+1,""))</f>
        <v/>
      </c>
      <c r="GO4" t="str">
        <f>IF(AF4="","",IF(COUNTIF(AF$3:AF4,AF4)+COUNTIF(AG$2:AG3,AF4)+COUNTIF(AH$2:AH3,AF4)=1,MAX(GO$2:GQ3)+1,""))</f>
        <v/>
      </c>
      <c r="GP4" t="str">
        <f>IF(AG4="","",IF(COUNTIF(AF$3:AF4,AG4)+COUNTIF(AG$3:AG4,AG4)+COUNTIF(AH$2:AH3,AG4)=1,MAX(GO$2:GQ3,GO4)+1,""))</f>
        <v/>
      </c>
      <c r="GQ4" t="str">
        <f>IF(AH4="","",IF(COUNTIF(AF$3:AF4,AH4)+COUNTIF(AG$3:AG4,AH4)+COUNTIF(AH$3:AH4,AH4)=1,MAX(GO$2:GQ3,GO4,GP4)+1,""))</f>
        <v/>
      </c>
      <c r="GR4" t="str">
        <f t="shared" si="85"/>
        <v/>
      </c>
      <c r="GS4" t="str">
        <f>IF(GR4="","",IF(COUNTIF(GR$3:GR4,GR4)=1,MAX(GS$2:GS3)+1,""))</f>
        <v/>
      </c>
      <c r="GT4" t="str">
        <f>IF(ES4="","",COUNTIF(ES$3:ES4,"?*"))</f>
        <v/>
      </c>
      <c r="GU4" t="str">
        <f>IF(OR(ES4="",EU4=""),"",IF(COUNTIFS(ES$3:ES4,"?*",EU$3:EU4,EU4)=1,MAX(GU$2:GU3)+1,""))</f>
        <v/>
      </c>
      <c r="GV4">
        <f t="shared" si="86"/>
        <v>0</v>
      </c>
      <c r="GW4" t="str">
        <f>IF(D4="","",COUNTIF(D$3:D4,"?*"))</f>
        <v/>
      </c>
      <c r="GX4">
        <f>IF(EX4&lt;&gt;1,0,_xlfn.LET(_xlpm.k,MAX(IFERROR(--VLOOKUP(D4,УГО_спр,5,FALSE),0),IFERROR(--VLOOKUP(AT4,УГО_спр,5,FALSE),0),IFERROR(--VLOOKUP(LEFT(AT4,2),УГО_спр,5,FALSE),0)),IF(_xlpm.k&gt;0,_xlpm.k,IF(IFERROR(--LEFT(SUBSTITUTE(GR4,"x","х"),FIND("х",SUBSTITUTE(GR4,"x","х"))-1),3)&gt;3,Каталог!$S$9,1))))</f>
        <v>0</v>
      </c>
      <c r="GY4">
        <f t="shared" si="87"/>
        <v>0</v>
      </c>
    </row>
    <row r="5" spans="1:207" x14ac:dyDescent="0.3">
      <c r="A5" t="s">
        <v>206</v>
      </c>
      <c r="B5">
        <v>3</v>
      </c>
      <c r="C5" t="str">
        <f>IF(BD5="","",IF(BE5="вводной узел","узел ","")&amp;"л."&amp;(INT((BD5-1)/Столбцов_на_лист)+1)&amp;" / "&amp;(MOD(BD5-1,Столбцов_на_лист)+1))</f>
        <v>узел л.1 / 3</v>
      </c>
      <c r="E5" s="133" t="str">
        <f t="shared" si="0"/>
        <v/>
      </c>
      <c r="AL5" t="s">
        <v>559</v>
      </c>
      <c r="AR5" t="str">
        <f t="shared" si="1"/>
        <v/>
      </c>
      <c r="AS5" cm="1">
        <f t="array" ref="AS5">ROW()-ROW(Линии[#Headers])</f>
        <v>3</v>
      </c>
      <c r="AT5" s="6" t="str">
        <f t="shared" si="2"/>
        <v/>
      </c>
      <c r="AU5" t="str">
        <f t="shared" si="3"/>
        <v/>
      </c>
      <c r="AV5" t="str">
        <f t="shared" si="4"/>
        <v/>
      </c>
      <c r="AW5" t="str">
        <f t="shared" si="5"/>
        <v/>
      </c>
      <c r="AX5" t="str">
        <f t="shared" si="6"/>
        <v/>
      </c>
      <c r="AY5" t="str">
        <f>IF(D5="","",IF(ISERROR(SEARCH(".",D5)),IFERROR(VLOOKUP(D5,Потребители_обозначение,2,FALSE)&amp;"",""),IFERROR(IF(VLOOKUP(AT5,Потребители_обозначение,4,FALSE)=1,VLOOKUP(AT5,Потребители_обозначение,2,FALSE)&amp;" "&amp;VLOOKUP(AV5,Этаж_обозначение,2,FALSE)&amp;" Пом. №"&amp;AX5,VLOOKUP(AT5,Потребители_обозначение,2,FALSE)&amp;" Шлейф №"&amp;AV5),IFERROR(VLOOKUP(D5,Потребители_обозначение,2,FALSE),""))))</f>
        <v/>
      </c>
      <c r="AZ5" t="str">
        <f t="shared" si="7"/>
        <v/>
      </c>
      <c r="BA5" t="str">
        <f>IF(F5&lt;&gt;"",F5,IF(AND(D5&lt;&gt;"",D5&lt;&gt;A5,ISNUMBER(_xlfn.XMATCH(D5,Щиты[Щит]))),D5,""))</f>
        <v/>
      </c>
      <c r="BB5">
        <f>IFERROR(_xlfn.XMATCH(A5,Щиты[Щит]),0)</f>
        <v>1</v>
      </c>
      <c r="BC5">
        <f>IFERROR(N(_xlfn.XLOOKUP(A5,Щиты[Щит],Щиты[Мест под вводной узел])),15)</f>
        <v>18</v>
      </c>
      <c r="BD5">
        <f t="shared" si="8"/>
        <v>3</v>
      </c>
      <c r="BE5" t="str">
        <f t="shared" si="9"/>
        <v>вводной узел</v>
      </c>
      <c r="BF5" s="6" t="str">
        <f>IF(D5="","",IF(BA5&lt;&gt;"",IFERROR(_xlfn.XLOOKUP(BA5,Щиты[Щит],Щиты[Руст, кВт]),0),N(G5)))</f>
        <v/>
      </c>
      <c r="BG5" t="str">
        <f>IF(J5&lt;&gt;"",J5,IF(D5="","",IFERROR(IF(VLOOKUP(AT5,Потребители_обозначение,8,FALSE)=0,"",VLOOKUP(AT5,Потребители_обозначение,8,FALSE)),"")))</f>
        <v/>
      </c>
      <c r="BH5" t="str">
        <f>IF(I5&lt;&gt;"",I5,IF(D5="","",IFERROR(IF(VLOOKUP(AT5,Потребители_обозначение,9,FALSE)=0,"",VLOOKUP(AT5,Потребители_обозначение,9,FALSE)),"")))</f>
        <v/>
      </c>
      <c r="BI5" t="str">
        <f>IF(U5&lt;&gt;"",U5,IF(D5="","",IFERROR(IF(VLOOKUP(AT5,Потребители_обозначение,6,FALSE)=0,"",VLOOKUP(AT5,Потребители_обозначение,6,FALSE)),"")))</f>
        <v/>
      </c>
      <c r="BJ5" t="str">
        <f>IF(V5&lt;&gt;"",V5,IF(D5="","",IFERROR(IF(VLOOKUP(AT5,Потребители_обозначение,7,FALSE)=0,"",VLOOKUP(AT5,Потребители_обозначение,7,FALSE)),"")))</f>
        <v/>
      </c>
      <c r="BK5" t="str">
        <f>IF(W5&lt;&gt;"",W5,IF(D5="","",IFERROR(IF(VLOOKUP(AT5,Потребители_обозначение,10,FALSE)=0,"",VLOOKUP(AT5,Потребители_обозначение,10,FALSE)),"")))</f>
        <v/>
      </c>
      <c r="BL5">
        <f>IFERROR(VLOOKUP(AT5,Потребители_обозначение,5,FALSE),0)</f>
        <v>0</v>
      </c>
      <c r="BM5" s="6" t="str" cm="1">
        <f t="array" ref="BM5">IF(D5="","",IF(BA5&lt;&gt;"",IFERROR(_xlfn.XLOOKUP(BA5,Щиты[Щит],Щиты[cos φ]),0.95),IF(ISNUMBER(M5),M5,IFERROR(IF(BL5=2,_xlfn.IFS(BH5=3,VLOOKUP(BF5,Справочная_двигатели,8,FALSE),BH5=1,VLOOKUP(BF5,Справочная_двигатели,10,TRUE)),IF(AND(Методика="нормы 2026",CN5="Сил"),0.8,0.95)),0.95))))</f>
        <v/>
      </c>
      <c r="BN5" s="6" t="str" cm="1">
        <f t="array" ref="BN5">IF(D5="","",IF(BA5&lt;&gt;"",IFERROR(_xlfn.XLOOKUP(BA5,Щиты[Щит],Щиты[Iр, А]),""),IFERROR(_xlfn.IFS(BH5=1,BF5/((Uн_лин/SQRT(3))*BM5),BH5=3,BF5/(SQRT(3)*Uн_лин*BM5)),"")))</f>
        <v/>
      </c>
      <c r="BO5" t="str">
        <f>IF(D5="","",IF(N(X5)=0,IFERROR(VLOOKUP(BN5,Автомат_номиналы,2,TRUE),""),X5))</f>
        <v/>
      </c>
      <c r="BP5">
        <f t="shared" si="10"/>
        <v>1</v>
      </c>
      <c r="BQ5">
        <f>IF(ISNUMBER(Y5),Y5,К_прокл)</f>
        <v>1</v>
      </c>
      <c r="BR5">
        <f t="shared" si="11"/>
        <v>3</v>
      </c>
      <c r="BS5" t="str" cm="1">
        <f t="array" ref="BS5">IF(D5="","",IF(N(BK5)&lt;&gt;0,BK5,IFERROR(_xlfn.LET(_xlpm.need,BO5/(BP5*BQ5),_xlpm.t,CHOOSE(BR5,Iдоп_1ж,Iдоп_2ж,Iдоп_3ж),_xlpm.k,_xlfn.XMATCH(_xlpm.need,_xlpm.t,1),IF(ISNA(_xlpm.k),"Не исп",INDEX(Iдоп_S,_xlpm.k))),"Не исп")))</f>
        <v/>
      </c>
      <c r="BT5" t="str">
        <f>IFERROR(VLOOKUP(BS5,Кабель_сопротивление,3,FALSE),"")</f>
        <v/>
      </c>
      <c r="BU5" t="str">
        <f>IFERROR(VLOOKUP(BS5,Кабель_сопротивление,2,FALSE),"")</f>
        <v/>
      </c>
      <c r="BV5" t="str">
        <f t="shared" si="12"/>
        <v/>
      </c>
      <c r="BW5" s="6" t="str">
        <f>IF(D5="","",IFERROR(IF(VLOOKUP(AT5,Потребители_обозначение,4,FALSE)=1,VLOOKUP(AT5,Потребители_обозначение,3,FALSE)*(H5*2-1)+BV5+VLOOKUP(AV5,Этаж_обозначение,3,FALSE)+VLOOKUP(AV5,Этаж_обозначение,4,FALSE),VLOOKUP(AT5,Потребители_обозначение,3,FALSE)*(H5*2-1)+BV5),BV5))</f>
        <v/>
      </c>
      <c r="BX5" t="str">
        <f t="shared" si="13"/>
        <v/>
      </c>
      <c r="BY5" t="str">
        <f t="shared" si="14"/>
        <v/>
      </c>
      <c r="BZ5" t="str">
        <f t="shared" si="15"/>
        <v/>
      </c>
      <c r="CA5" t="str">
        <f t="shared" si="16"/>
        <v/>
      </c>
      <c r="CB5" t="str">
        <f t="shared" si="17"/>
        <v/>
      </c>
      <c r="CC5" s="6" t="str">
        <f>IFERROR(ROUNDUP(CB5/((Uн_лин/SQRT(3))*1000)*100,2),"")</f>
        <v/>
      </c>
      <c r="CD5" s="6" t="str">
        <f>IF(ISNUMBER(CC5),CC5+IFERROR(_xlfn.XLOOKUP(A5,Щиты[Щит],Щиты[ΔU до шин, %]),0),"")</f>
        <v/>
      </c>
      <c r="CE5" s="6" t="str">
        <f>IF(D5="","",IF(IFERROR(VLOOKUP(AT5,УГО_спр,2,FALSE),"")="Светильник",3,4)+IF(Методика="нормы 2026",MIN(0.5,MAX(0,N(BW5)-100)*0.005),0))</f>
        <v/>
      </c>
      <c r="CF5" t="str">
        <f>IFERROR(VLOOKUP(BI5,Кабель_обозначение,2,FALSE),"")</f>
        <v/>
      </c>
      <c r="CG5" t="str">
        <f>IFERROR(IF(VLOOKUP(BI5,Кабель_обозначение,3,FALSE)=1,CF5&amp;" ("&amp;BJ5&amp;"х"&amp;BS5&amp;")",CF5),"")</f>
        <v/>
      </c>
      <c r="CH5" t="str">
        <f t="shared" si="18"/>
        <v/>
      </c>
      <c r="CI5" t="str">
        <f>IFERROR(2*ρкз_Cu*BW5/BS5,"")</f>
        <v/>
      </c>
      <c r="CJ5" t="str">
        <f t="shared" si="19"/>
        <v/>
      </c>
      <c r="CK5" s="6" t="str">
        <f>IFERROR(IF(OR(D5="",NOT(ISNUMBER(BS5)),N(BW5)=0),"",_xlfn.XLOOKUP(A5,Щиты[Щит],Щиты[Zпетли на шинах, Ом])+CI5),"")</f>
        <v/>
      </c>
      <c r="CL5" s="6" t="str">
        <f>IF(ISNUMBER(CK5),c_min*(Uн_лин*1000/SQRT(3))/CK5,"")</f>
        <v/>
      </c>
      <c r="CM5" s="6" t="str">
        <f>IFERROR(IF(OR(D5="",NOT(ISNUMBER(BS5))),"",1.05*(Uн_лин*1000/SQRT(3))/(_xlfn.XLOOKUP(A5,Щиты[Щит],Щиты[Zmax на шинах, Ом])+CJ5)/1000),"")</f>
        <v/>
      </c>
      <c r="CN5" s="6" t="str">
        <f>IF(D5="","",IF(BA5&lt;&gt;"","Щит",IF(K5&lt;&gt;"",K5,IF(ISNUMBER(L5),"Сил",IF(IFERROR(_xlfn.XLOOKUP(AT5,Коды_код,Коды_группа)&amp;"","")="","Быт",_xlfn.XLOOKUP(AT5,Коды_код,Коды_группа)&amp;"")))))</f>
        <v/>
      </c>
      <c r="CO5" s="6" t="str">
        <f>IF(CN5="Щит","щит",IF(CN5="","",IF(CN5="Быт",IFERROR(_xlfn.XLOOKUP(A5,Щиты[Щит],Щиты[Кс быт]),1),IF(CN5="Сил",IF(ISNUMBER(L5),L5,IF(Методика="нормы 2026",IFERROR(_xlfn.XLOOKUP(A5,Щиты[Щит],Щиты[Кс силовых (табл. 7.5)]),1),1)),IF(OR(CN5="Пост",CN5="Отоп"),1,IF(CN5="ВНГ",0.7,0))))))</f>
        <v/>
      </c>
      <c r="CP5" t="str">
        <f t="shared" si="20"/>
        <v/>
      </c>
      <c r="CQ5">
        <f t="shared" si="21"/>
        <v>0</v>
      </c>
      <c r="CR5">
        <f t="shared" si="22"/>
        <v>0</v>
      </c>
      <c r="CS5">
        <f t="shared" si="23"/>
        <v>0</v>
      </c>
      <c r="CT5">
        <f t="shared" si="24"/>
        <v>0</v>
      </c>
      <c r="CU5">
        <f t="shared" si="25"/>
        <v>0</v>
      </c>
      <c r="CV5">
        <f t="shared" si="26"/>
        <v>0</v>
      </c>
      <c r="CW5">
        <f t="shared" si="27"/>
        <v>0</v>
      </c>
      <c r="CX5">
        <f t="shared" si="28"/>
        <v>0</v>
      </c>
      <c r="CY5">
        <f t="shared" si="29"/>
        <v>0</v>
      </c>
      <c r="CZ5" t="str">
        <f t="shared" si="30"/>
        <v/>
      </c>
      <c r="DA5" cm="1">
        <f t="array" ref="DA5">IFERROR(IF(BL5=2,_xlfn.IFS(BH5=3,VLOOKUP(BF5,Справочная_двигатели,3,FALSE),BH5=1,VLOOKUP(BF5,Справочная_двигатели,5,TRUE)),0),0)</f>
        <v>0</v>
      </c>
      <c r="DB5">
        <f>IFERROR(IF(BL5=3,VLOOKUP(BF5,Справочная_ЛЭД,2,TRUE),0),0)</f>
        <v>0</v>
      </c>
      <c r="DC5" s="6" t="str">
        <f t="shared" si="31"/>
        <v/>
      </c>
      <c r="DD5" t="str">
        <f t="shared" si="32"/>
        <v/>
      </c>
      <c r="DE5" t="str" cm="1">
        <f t="array" ref="DE5">IF(D5="","",IFERROR(INDEX({"I особая","I","II","III"},MATCH(TRIM(AA5&amp;""),{"I особая","I","II","III"},0)),"III"))</f>
        <v/>
      </c>
      <c r="DF5" t="str">
        <f>IF(D5="","",IF(TRIM(AB5&amp;"")&lt;&gt;"",IF(LOWER(TRIM(AB5&amp;""))="да","да","нет"),IF(IFERROR(_xlfn.XLOOKUP(AT5,Коды_код,Коды_пожарная),"")="да","да","нет")))</f>
        <v/>
      </c>
      <c r="DG5" t="str">
        <f t="shared" si="33"/>
        <v/>
      </c>
      <c r="DH5" t="str">
        <f t="shared" si="34"/>
        <v/>
      </c>
      <c r="DI5">
        <f t="shared" si="35"/>
        <v>1</v>
      </c>
      <c r="DJ5" t="str" cm="1">
        <f t="array" ref="DJ5">IF(D5="","",_xlfn.LET(_xlpm.t,IFERROR(_xlfn.XLOOKUP(1,(Шины[Шина]=DH5)*(((Шины[Щит]=A5)+(Шины[Щит]=""))&gt;0),Шины[Тип]),"")&amp;"",IF(_xlpm.t&lt;&gt;"",_xlpm.t,IF(ISNUMBER(SEARCH("ИБП",DH5)),"ИБП",IF(ISNUMBER(SEARCH("ДГУ",DH5)),"ДГУ","Ввод "&amp;DI5)))))</f>
        <v/>
      </c>
      <c r="DK5" t="str">
        <f t="shared" si="36"/>
        <v/>
      </c>
      <c r="DL5" t="str">
        <f>IF(D5="","",IF(OR(DJ5="ИБП",DJ5="ДГУ"),"I особая",IF(DJ5="Одиночная","III",_xlfn.XLOOKUP(A5,Щиты[Щит],Щиты[Категория шины «Ввод»],"III"))))</f>
        <v/>
      </c>
      <c r="DM5">
        <f>IF(D5="",0,IFERROR(MATCH(DE5,{"III","II","I","I особая"},0),1))</f>
        <v>0</v>
      </c>
      <c r="DN5">
        <f t="shared" si="37"/>
        <v>0</v>
      </c>
      <c r="DO5" t="str">
        <f>IF(D5="","",IF(DM5&gt;IFERROR(MATCH(DL5,{"III","II","I","I особая"},0),1),"НЕ ОБЕСПЕЧЕНА","ОК"))</f>
        <v/>
      </c>
      <c r="DP5" t="str">
        <f>IF(A5="","",_xlfn.XLOOKUP(A5,Щиты[Щит],Щиты[Путь],""))</f>
        <v>|ЩР|</v>
      </c>
      <c r="DQ5" t="str">
        <f>IF(D5="","",IF(Z5&lt;&gt;"",Z5,IF(IFERROR(_xlfn.XLOOKUP(AT5,Коды_код,Коды_вид)&amp;"","")="","Прочее",_xlfn.XLOOKUP(AT5,Коды_код,Коды_вид)&amp;"")))</f>
        <v/>
      </c>
      <c r="DR5">
        <f>IF(BD5="","",INT((BD5-1)/Столбцов_на_лист)+1)</f>
        <v>1</v>
      </c>
      <c r="DS5" t="str">
        <f t="shared" si="38"/>
        <v/>
      </c>
      <c r="DT5" t="str">
        <f t="shared" si="39"/>
        <v/>
      </c>
      <c r="DU5" t="str">
        <f t="shared" si="40"/>
        <v/>
      </c>
      <c r="DV5" t="str">
        <f t="shared" si="41"/>
        <v/>
      </c>
      <c r="DW5">
        <f>IF(AT5="",0,_xlfn.LET(_xlpm.v,IFERROR(VLOOKUP(D5,УГО_спр,3,FALSE),IFERROR(VLOOKUP(AT5,УГО_спр,3,FALSE),IFERROR(VLOOKUP(LEFT(AT5,2),УГО_спр,3,FALSE),""))),IF(_xlpm.v="да",30,IF(ISNUMBER(_xlpm.v),_xlpm.v,0))))</f>
        <v>0</v>
      </c>
      <c r="DX5">
        <f t="shared" si="42"/>
        <v>0</v>
      </c>
      <c r="DY5" t="str">
        <f>IF(BD5="","",IF(AD5&lt;&gt;"",COUNTIFS(A$3:A5,A5,AD$3:AD5,"?*"),IF(OR(OR(AS5=1,A5&lt;&gt;A4),AL5="вручную"),"",IF(AS5=1,"",DZ4))))</f>
        <v/>
      </c>
      <c r="DZ5" t="str">
        <f t="shared" si="43"/>
        <v/>
      </c>
      <c r="EA5">
        <f>IF(D5="",0,MAX(IFERROR(--X5,0),IFERROR(--VLOOKUP(D5,УГО_спр,4,FALSE),IFERROR(--VLOOKUP(AT5,УГО_спр,4,FALSE),IFERROR(--VLOOKUP(LEFT(AT5,2),УГО_спр,4,FALSE),0)))))</f>
        <v>0</v>
      </c>
      <c r="EB5" t="str">
        <f>IF(D5="","",IFERROR(LOOKUP(INDEX(CHOOSE(BR5,Iдоп_1ж,Iдоп_2ж,Iдоп_3ж),MATCH(BS5,Iдоп_S,0))*BP5*BQ5,{6,10,16,20,25,32,40,50,63,80,100,125,160,200,250,315,400,500,630}),""))</f>
        <v/>
      </c>
      <c r="EC5" t="str">
        <f>IF(AD5="","",SUMIFS(Линии[_Ток схемы],Линии[_гр.],DY5,Линии[Щит],A5,Линии[_в кабель выше],0))</f>
        <v/>
      </c>
      <c r="ED5" t="str">
        <f>IF(AD5="","",IFERROR(VLOOKUP(EC5,Автомат_номиналы,2,TRUE),""))</f>
        <v/>
      </c>
      <c r="EE5" t="str">
        <f>IF(AD5="","",MAX(N(ED5),_xlfn.MAXIFS(Линии[_мин. по типу],Линии[_гр.],DY5,Линии[Щит],A5)))</f>
        <v/>
      </c>
      <c r="EF5" t="str">
        <f>IF(AD5="","",_xlfn.MINIFS(Линии[_макс. автомат по кабелю],Линии[_гр.],DY5,Линии[Щит],A5))</f>
        <v/>
      </c>
      <c r="EG5" t="str">
        <f>IF(AD5="","",MAX(1,_xlfn.MAXIFS(Линии[_фаз],Линии[_гр.],DY5,Линии[Щит],A5)))</f>
        <v/>
      </c>
      <c r="EH5" t="str">
        <f>IF(AD5="","",IF(AND(AD5&lt;&gt;"авто",AD5&lt;&gt;"+"),IF(ISNUMBER(SEARCH("мА",AD5)),IFERROR(--TRIM(RIGHT(SUBSTITUTE(LEFT(AD5,SEARCH("мА",AD5)-1)," ",REPT(" ",9)),6)),30),0),IF(AE5="нет",0,IF(ISNUMBER(AE5),AE5,IF(AE5="да",30,_xlfn.MINIFS(Линии[_дифзащита по коду, мА],Линии[_гр.],DY5,Линии[Щит],A5,Линии[_дифзащита по коду, мА],"&gt;0"))))))</f>
        <v/>
      </c>
      <c r="EI5" t="str">
        <f t="shared" si="44"/>
        <v/>
      </c>
      <c r="EJ5" t="str">
        <f t="shared" si="45"/>
        <v/>
      </c>
      <c r="EK5" t="str">
        <f t="shared" si="46"/>
        <v/>
      </c>
      <c r="EL5" t="str">
        <f t="shared" si="47"/>
        <v/>
      </c>
      <c r="EM5">
        <f t="shared" si="48"/>
        <v>0</v>
      </c>
      <c r="EN5" t="str">
        <f>IF(AD5="","",IF(EM5=1,MAX(EE5,Мин_автомат_БП),EE5))</f>
        <v/>
      </c>
      <c r="EO5" t="str">
        <f t="shared" si="49"/>
        <v/>
      </c>
      <c r="EP5" t="str">
        <f t="shared" si="50"/>
        <v/>
      </c>
      <c r="EQ5" t="str">
        <f t="shared" si="51"/>
        <v/>
      </c>
      <c r="ER5" t="str">
        <f>IF(OR(AI5="",AI5="-"),"",IFERROR(VLOOKUP(AI5,Модули_спр,2,FALSE),"R"))</f>
        <v/>
      </c>
      <c r="ES5" t="str">
        <f>IF(ER5="","",ER5&amp;"."&amp;COUNTIFS(A$3:A5,A5,ER$3:ER5,ER5))</f>
        <v/>
      </c>
      <c r="ET5" t="str">
        <f t="shared" si="52"/>
        <v/>
      </c>
      <c r="EU5" t="str">
        <f t="shared" si="53"/>
        <v/>
      </c>
      <c r="EV5" t="str">
        <f t="shared" si="54"/>
        <v/>
      </c>
      <c r="EW5" t="str">
        <f t="shared" si="55"/>
        <v/>
      </c>
      <c r="EX5">
        <f t="shared" si="56"/>
        <v>0</v>
      </c>
      <c r="EY5" t="str">
        <f>IF(AK5="нет","",IF(AK5&lt;&gt;"",AK5,IF(EX5=1,"XT"&amp;COUNTIFS(A$3:A5,A5,EX$3:EX5,1),"")))</f>
        <v/>
      </c>
      <c r="EZ5" t="str">
        <f t="shared" si="57"/>
        <v/>
      </c>
      <c r="FA5" t="str">
        <f t="shared" si="58"/>
        <v/>
      </c>
      <c r="FB5" t="str">
        <f t="shared" si="59"/>
        <v/>
      </c>
      <c r="FC5" t="str">
        <f>IF(OR(EV5="",ET5=""),"",IF(EV5&gt;IFERROR(VLOOKUP(EU5,Модули_спр,3,FALSE),99),"ЛИШНИЙ КАНАЛ",IF(AND(AJ5&lt;&gt;"=",COUNTIFS(Линии[_модуль гр.],ET5,Линии[Канал (итог)],EV5,Линии[Канал],"&lt;&gt;=",Линии[Щит],A5)&gt;1),"ДУБЛЬ КАНАЛА","")))</f>
        <v/>
      </c>
      <c r="FD5" t="str">
        <f t="shared" si="60"/>
        <v/>
      </c>
      <c r="FE5" t="str">
        <f t="shared" si="61"/>
        <v/>
      </c>
      <c r="FF5" t="str">
        <f t="shared" si="62"/>
        <v/>
      </c>
      <c r="FG5" t="str">
        <f t="shared" si="63"/>
        <v/>
      </c>
      <c r="FH5" s="6" t="str">
        <f t="shared" si="64"/>
        <v/>
      </c>
      <c r="FI5">
        <f t="shared" si="65"/>
        <v>10</v>
      </c>
      <c r="FJ5" t="str">
        <f t="shared" si="66"/>
        <v/>
      </c>
      <c r="FK5" t="str">
        <f>IF(AND(D5="",EZ5=""),"",_xlfn.TEXTJOIN("; ",TRUE,IF(AND(D5&lt;&gt;"",DD5=""),"нет фазы",""),IF(AND(D5&lt;&gt;"",N(DT5)=0,CN5&lt;&gt;"Нет"),"нет мощности",""),IF(AND(EY5&lt;&gt;"",COUNTIFS(Линии[Щит],A5,Линии[Клемма (итог)],EY5)&gt;1),"дубль клеммы "&amp;EY5,""),IF(AND(FB5&lt;&gt;"",FB5&lt;&gt;"ok"),FB5,""),IF(FC5&lt;&gt;"",FC5,""),IF(AND(ISNUMBER(SEARCH("(5х",DS5)),N(DV5)=1),"5 жил на 1 фазе",""),IF(AND(AT5="R",AD5&lt;&gt;"",OR(N(EH5)=0,N(EH5)&gt;30)),"розетка без дифзащиты до 30 мА",""),IFERROR(IF(AND(ISNUMBER(CD5),CD5&gt;CE5),"потери "&amp;FIXED(CD5,1)&amp;" % &gt; "&amp;CE5&amp;" %",""),""),IFERROR(IF(LEFT(FJ5,4)="мало","Iкз мало — отключение &gt; 0,4 с",""),""),IF(AND(D5&lt;&gt;"",BD5=""),"не на схеме","")))</f>
        <v/>
      </c>
      <c r="FL5" s="6" t="str">
        <f>IF(AD5="","",_xlfn.LET(_xlpm.t,IFERROR(_xlfn.XLOOKUP(EP5,Каталог!$U$4:$U$500,Каталог!$G$4:$G$500),""),_xlpm.k,SEARCH("кА",_xlpm.t),IFERROR(--TRIM(RIGHT(SUBSTITUTE(MID(_xlpm.t,MAX(1,_xlpm.k-4),_xlpm.k-MAX(1,_xlpm.k-4))," ",REPT(" ",9)),5)),"")))</f>
        <v/>
      </c>
      <c r="FM5" t="str">
        <f>IF(OR(FL5="",AD5=""),"",IF(_xlfn.XLOOKUP(A5,Щиты[Щит],Щиты[Iкз max на шинах, кА],"")="","",IF(FL5&lt;_xlfn.XLOOKUP(A5,Щиты[Щит],Щиты[Iкз max на шинах, кА]),"Icu "&amp;FL5&amp;" кА &lt; Iкз max","ok")))</f>
        <v/>
      </c>
      <c r="FN5" t="str">
        <f t="shared" si="67"/>
        <v/>
      </c>
      <c r="FO5" t="str">
        <f t="shared" si="68"/>
        <v/>
      </c>
      <c r="FP5" t="str" cm="1">
        <f t="array" ref="FP5">IF(FO5="","",_xlfn.LET(_xlpm.nd,_xlfn.TEXTSPLIT(FO5,"|"),IF(COLUMNS(_xlpm.nd)&gt;1,A5&amp;"¦"&amp;INDEX(_xlpm.nd,1)&amp;"¦"&amp;INDEX(_xlpm.nd,2),"")))</f>
        <v/>
      </c>
      <c r="FQ5" t="str">
        <f t="shared" si="69"/>
        <v/>
      </c>
      <c r="FR5" t="str" cm="1">
        <f t="array" ref="FR5">IF(FO5="","",_xlfn.LET(_xlpm.nd,_xlfn.TEXTSPLIT(FO5,"|"),IF(COLUMNS(_xlpm.nd)&gt;2,A5&amp;"¦"&amp;INDEX(_xlpm.nd,2)&amp;"¦"&amp;INDEX(_xlpm.nd,3),"")))</f>
        <v/>
      </c>
      <c r="FS5" t="str">
        <f t="shared" si="70"/>
        <v/>
      </c>
      <c r="FT5" t="str" cm="1">
        <f t="array" ref="FT5">IF(FO5="","",_xlfn.LET(_xlpm.nd,_xlfn.TEXTSPLIT(FO5,"|"),IF(COLUMNS(_xlpm.nd)&gt;3,A5&amp;"¦"&amp;INDEX(_xlpm.nd,3)&amp;"¦"&amp;INDEX(_xlpm.nd,4),"")))</f>
        <v/>
      </c>
      <c r="FU5" t="str">
        <f t="shared" si="71"/>
        <v/>
      </c>
      <c r="FV5" t="str" cm="1">
        <f t="array" ref="FV5">IF(FO5="","",_xlfn.LET(_xlpm.nd,_xlfn.TEXTSPLIT(FO5,"|"),IF(COLUMNS(_xlpm.nd)&gt;4,A5&amp;"¦"&amp;INDEX(_xlpm.nd,4)&amp;"¦"&amp;INDEX(_xlpm.nd,5),"")))</f>
        <v/>
      </c>
      <c r="FW5" t="str">
        <f t="shared" si="72"/>
        <v/>
      </c>
      <c r="FX5" t="str" cm="1">
        <f t="array" ref="FX5">IF(FO5="","",_xlfn.LET(_xlpm.nd,_xlfn.TEXTSPLIT(FO5,"|"),IF(COLUMNS(_xlpm.nd)&gt;5,A5&amp;"¦"&amp;INDEX(_xlpm.nd,5)&amp;"¦"&amp;INDEX(_xlpm.nd,6),"")))</f>
        <v/>
      </c>
      <c r="FY5" t="str">
        <f t="shared" si="73"/>
        <v/>
      </c>
      <c r="FZ5" t="str" cm="1">
        <f t="array" ref="FZ5">IF(FO5="","",_xlfn.LET(_xlpm.nd,_xlfn.TEXTSPLIT(FO5,"|"),IF(COLUMNS(_xlpm.nd)&gt;6,A5&amp;"¦"&amp;INDEX(_xlpm.nd,6)&amp;"¦"&amp;INDEX(_xlpm.nd,7),"")))</f>
        <v/>
      </c>
      <c r="GA5" t="str">
        <f t="shared" si="74"/>
        <v/>
      </c>
      <c r="GB5" t="str">
        <f t="shared" si="75"/>
        <v/>
      </c>
      <c r="GC5" t="str">
        <f t="shared" si="76"/>
        <v/>
      </c>
      <c r="GD5">
        <f t="shared" si="77"/>
        <v>0</v>
      </c>
      <c r="GE5">
        <f t="shared" si="78"/>
        <v>0</v>
      </c>
      <c r="GF5">
        <f t="shared" si="79"/>
        <v>0</v>
      </c>
      <c r="GG5" t="str">
        <f t="shared" si="80"/>
        <v/>
      </c>
      <c r="GH5" t="str">
        <f t="shared" si="81"/>
        <v/>
      </c>
      <c r="GI5" t="str">
        <f t="shared" si="82"/>
        <v/>
      </c>
      <c r="GJ5" t="str">
        <f t="shared" si="83"/>
        <v/>
      </c>
      <c r="GK5" t="str">
        <f>IF(D5="","",IFERROR(VLOOKUP(D5,УГО_спр,2,FALSE),IFERROR(VLOOKUP(AT5,УГО_спр,2,FALSE),IFERROR(VLOOKUP(LEFT(AT5,2),УГО_спр,2,FALSE),""))))</f>
        <v/>
      </c>
      <c r="GL5" t="str">
        <f>IF(D5="","",IF(OR(GK5="",GK5=0),"BOX",IFERROR(IF(VLOOKUP(GK5,УГО_блоки,3,FALSE)&amp;""&lt;&gt;"",VLOOKUP(GK5,УГО_блоки,3,FALSE),VLOOKUP(GK5,УГО_блоки,2,FALSE)),GK5)))</f>
        <v/>
      </c>
      <c r="GM5">
        <f t="shared" si="84"/>
        <v>0</v>
      </c>
      <c r="GN5" t="str">
        <f>IF(EP5="","",IF(COUNTIF(EP$3:EP5,EP5)=1,MAX(GN$2:GN4)+1,""))</f>
        <v/>
      </c>
      <c r="GO5" t="str">
        <f>IF(AF5="","",IF(COUNTIF(AF$3:AF5,AF5)+COUNTIF(AG$2:AG4,AF5)+COUNTIF(AH$2:AH4,AF5)=1,MAX(GO$2:GQ4)+1,""))</f>
        <v/>
      </c>
      <c r="GP5" t="str">
        <f>IF(AG5="","",IF(COUNTIF(AF$3:AF5,AG5)+COUNTIF(AG$3:AG5,AG5)+COUNTIF(AH$2:AH4,AG5)=1,MAX(GO$2:GQ4,GO5)+1,""))</f>
        <v/>
      </c>
      <c r="GQ5" t="str">
        <f>IF(AH5="","",IF(COUNTIF(AF$3:AF5,AH5)+COUNTIF(AG$3:AG5,AH5)+COUNTIF(AH$3:AH5,AH5)=1,MAX(GO$2:GQ4,GO5,GP5)+1,""))</f>
        <v/>
      </c>
      <c r="GR5" t="str">
        <f t="shared" si="85"/>
        <v/>
      </c>
      <c r="GS5" t="str">
        <f>IF(GR5="","",IF(COUNTIF(GR$3:GR5,GR5)=1,MAX(GS$2:GS4)+1,""))</f>
        <v/>
      </c>
      <c r="GT5" t="str">
        <f>IF(ES5="","",COUNTIF(ES$3:ES5,"?*"))</f>
        <v/>
      </c>
      <c r="GU5" t="str">
        <f>IF(OR(ES5="",EU5=""),"",IF(COUNTIFS(ES$3:ES5,"?*",EU$3:EU5,EU5)=1,MAX(GU$2:GU4)+1,""))</f>
        <v/>
      </c>
      <c r="GV5">
        <f t="shared" si="86"/>
        <v>0</v>
      </c>
      <c r="GW5" t="str">
        <f>IF(D5="","",COUNTIF(D$3:D5,"?*"))</f>
        <v/>
      </c>
      <c r="GX5">
        <f>IF(EX5&lt;&gt;1,0,_xlfn.LET(_xlpm.k,MAX(IFERROR(--VLOOKUP(D5,УГО_спр,5,FALSE),0),IFERROR(--VLOOKUP(AT5,УГО_спр,5,FALSE),0),IFERROR(--VLOOKUP(LEFT(AT5,2),УГО_спр,5,FALSE),0)),IF(_xlpm.k&gt;0,_xlpm.k,IF(IFERROR(--LEFT(SUBSTITUTE(GR5,"x","х"),FIND("х",SUBSTITUTE(GR5,"x","х"))-1),3)&gt;3,Каталог!$S$9,1))))</f>
        <v>0</v>
      </c>
      <c r="GY5">
        <f t="shared" si="87"/>
        <v>0</v>
      </c>
    </row>
    <row r="6" spans="1:207" x14ac:dyDescent="0.3">
      <c r="A6" t="s">
        <v>206</v>
      </c>
      <c r="B6">
        <v>4</v>
      </c>
      <c r="C6" t="str">
        <f>IF(BD6="","",IF(BE6="вводной узел","узел ","")&amp;"л."&amp;(INT((BD6-1)/Столбцов_на_лист)+1)&amp;" / "&amp;(MOD(BD6-1,Столбцов_на_лист)+1))</f>
        <v>узел л.1 / 4</v>
      </c>
      <c r="E6" s="133" t="str">
        <f t="shared" si="0"/>
        <v/>
      </c>
      <c r="AL6" t="s">
        <v>559</v>
      </c>
      <c r="AR6" t="str">
        <f t="shared" si="1"/>
        <v/>
      </c>
      <c r="AS6" cm="1">
        <f t="array" ref="AS6">ROW()-ROW(Линии[#Headers])</f>
        <v>4</v>
      </c>
      <c r="AT6" s="6" t="str">
        <f t="shared" si="2"/>
        <v/>
      </c>
      <c r="AU6" t="str">
        <f t="shared" si="3"/>
        <v/>
      </c>
      <c r="AV6" t="str">
        <f t="shared" si="4"/>
        <v/>
      </c>
      <c r="AW6" t="str">
        <f t="shared" si="5"/>
        <v/>
      </c>
      <c r="AX6" t="str">
        <f t="shared" si="6"/>
        <v/>
      </c>
      <c r="AY6" t="str">
        <f>IF(D6="","",IF(ISERROR(SEARCH(".",D6)),IFERROR(VLOOKUP(D6,Потребители_обозначение,2,FALSE)&amp;"",""),IFERROR(IF(VLOOKUP(AT6,Потребители_обозначение,4,FALSE)=1,VLOOKUP(AT6,Потребители_обозначение,2,FALSE)&amp;" "&amp;VLOOKUP(AV6,Этаж_обозначение,2,FALSE)&amp;" Пом. №"&amp;AX6,VLOOKUP(AT6,Потребители_обозначение,2,FALSE)&amp;" Шлейф №"&amp;AV6),IFERROR(VLOOKUP(D6,Потребители_обозначение,2,FALSE),""))))</f>
        <v/>
      </c>
      <c r="AZ6" t="str">
        <f t="shared" si="7"/>
        <v/>
      </c>
      <c r="BA6" t="str">
        <f>IF(F6&lt;&gt;"",F6,IF(AND(D6&lt;&gt;"",D6&lt;&gt;A6,ISNUMBER(_xlfn.XMATCH(D6,Щиты[Щит]))),D6,""))</f>
        <v/>
      </c>
      <c r="BB6">
        <f>IFERROR(_xlfn.XMATCH(A6,Щиты[Щит]),0)</f>
        <v>1</v>
      </c>
      <c r="BC6">
        <f>IFERROR(N(_xlfn.XLOOKUP(A6,Щиты[Щит],Щиты[Мест под вводной узел])),15)</f>
        <v>18</v>
      </c>
      <c r="BD6">
        <f t="shared" si="8"/>
        <v>4</v>
      </c>
      <c r="BE6" t="str">
        <f t="shared" si="9"/>
        <v>вводной узел</v>
      </c>
      <c r="BF6" s="6" t="str">
        <f>IF(D6="","",IF(BA6&lt;&gt;"",IFERROR(_xlfn.XLOOKUP(BA6,Щиты[Щит],Щиты[Руст, кВт]),0),N(G6)))</f>
        <v/>
      </c>
      <c r="BG6" t="str">
        <f>IF(J6&lt;&gt;"",J6,IF(D6="","",IFERROR(IF(VLOOKUP(AT6,Потребители_обозначение,8,FALSE)=0,"",VLOOKUP(AT6,Потребители_обозначение,8,FALSE)),"")))</f>
        <v/>
      </c>
      <c r="BH6" t="str">
        <f>IF(I6&lt;&gt;"",I6,IF(D6="","",IFERROR(IF(VLOOKUP(AT6,Потребители_обозначение,9,FALSE)=0,"",VLOOKUP(AT6,Потребители_обозначение,9,FALSE)),"")))</f>
        <v/>
      </c>
      <c r="BI6" t="str">
        <f>IF(U6&lt;&gt;"",U6,IF(D6="","",IFERROR(IF(VLOOKUP(AT6,Потребители_обозначение,6,FALSE)=0,"",VLOOKUP(AT6,Потребители_обозначение,6,FALSE)),"")))</f>
        <v/>
      </c>
      <c r="BJ6" t="str">
        <f>IF(V6&lt;&gt;"",V6,IF(D6="","",IFERROR(IF(VLOOKUP(AT6,Потребители_обозначение,7,FALSE)=0,"",VLOOKUP(AT6,Потребители_обозначение,7,FALSE)),"")))</f>
        <v/>
      </c>
      <c r="BK6" t="str">
        <f>IF(W6&lt;&gt;"",W6,IF(D6="","",IFERROR(IF(VLOOKUP(AT6,Потребители_обозначение,10,FALSE)=0,"",VLOOKUP(AT6,Потребители_обозначение,10,FALSE)),"")))</f>
        <v/>
      </c>
      <c r="BL6">
        <f>IFERROR(VLOOKUP(AT6,Потребители_обозначение,5,FALSE),0)</f>
        <v>0</v>
      </c>
      <c r="BM6" s="6" t="str" cm="1">
        <f t="array" ref="BM6">IF(D6="","",IF(BA6&lt;&gt;"",IFERROR(_xlfn.XLOOKUP(BA6,Щиты[Щит],Щиты[cos φ]),0.95),IF(ISNUMBER(M6),M6,IFERROR(IF(BL6=2,_xlfn.IFS(BH6=3,VLOOKUP(BF6,Справочная_двигатели,8,FALSE),BH6=1,VLOOKUP(BF6,Справочная_двигатели,10,TRUE)),IF(AND(Методика="нормы 2026",CN6="Сил"),0.8,0.95)),0.95))))</f>
        <v/>
      </c>
      <c r="BN6" s="6" t="str" cm="1">
        <f t="array" ref="BN6">IF(D6="","",IF(BA6&lt;&gt;"",IFERROR(_xlfn.XLOOKUP(BA6,Щиты[Щит],Щиты[Iр, А]),""),IFERROR(_xlfn.IFS(BH6=1,BF6/((Uн_лин/SQRT(3))*BM6),BH6=3,BF6/(SQRT(3)*Uн_лин*BM6)),"")))</f>
        <v/>
      </c>
      <c r="BO6" t="str">
        <f>IF(D6="","",IF(N(X6)=0,IFERROR(VLOOKUP(BN6,Автомат_номиналы,2,TRUE),""),X6))</f>
        <v/>
      </c>
      <c r="BP6">
        <f t="shared" si="10"/>
        <v>1</v>
      </c>
      <c r="BQ6">
        <f>IF(ISNUMBER(Y6),Y6,К_прокл)</f>
        <v>1</v>
      </c>
      <c r="BR6">
        <f t="shared" si="11"/>
        <v>3</v>
      </c>
      <c r="BS6" t="str" cm="1">
        <f t="array" ref="BS6">IF(D6="","",IF(N(BK6)&lt;&gt;0,BK6,IFERROR(_xlfn.LET(_xlpm.need,BO6/(BP6*BQ6),_xlpm.t,CHOOSE(BR6,Iдоп_1ж,Iдоп_2ж,Iдоп_3ж),_xlpm.k,_xlfn.XMATCH(_xlpm.need,_xlpm.t,1),IF(ISNA(_xlpm.k),"Не исп",INDEX(Iдоп_S,_xlpm.k))),"Не исп")))</f>
        <v/>
      </c>
      <c r="BT6" t="str">
        <f>IFERROR(VLOOKUP(BS6,Кабель_сопротивление,3,FALSE),"")</f>
        <v/>
      </c>
      <c r="BU6" t="str">
        <f>IFERROR(VLOOKUP(BS6,Кабель_сопротивление,2,FALSE),"")</f>
        <v/>
      </c>
      <c r="BV6" t="str">
        <f t="shared" si="12"/>
        <v/>
      </c>
      <c r="BW6" s="6" t="str">
        <f>IF(D6="","",IFERROR(IF(VLOOKUP(AT6,Потребители_обозначение,4,FALSE)=1,VLOOKUP(AT6,Потребители_обозначение,3,FALSE)*(H6*2-1)+BV6+VLOOKUP(AV6,Этаж_обозначение,3,FALSE)+VLOOKUP(AV6,Этаж_обозначение,4,FALSE),VLOOKUP(AT6,Потребители_обозначение,3,FALSE)*(H6*2-1)+BV6),BV6))</f>
        <v/>
      </c>
      <c r="BX6" t="str">
        <f t="shared" si="13"/>
        <v/>
      </c>
      <c r="BY6" t="str">
        <f t="shared" si="14"/>
        <v/>
      </c>
      <c r="BZ6" t="str">
        <f t="shared" si="15"/>
        <v/>
      </c>
      <c r="CA6" t="str">
        <f t="shared" si="16"/>
        <v/>
      </c>
      <c r="CB6" t="str">
        <f t="shared" si="17"/>
        <v/>
      </c>
      <c r="CC6" s="6" t="str">
        <f>IFERROR(ROUNDUP(CB6/((Uн_лин/SQRT(3))*1000)*100,2),"")</f>
        <v/>
      </c>
      <c r="CD6" s="6" t="str">
        <f>IF(ISNUMBER(CC6),CC6+IFERROR(_xlfn.XLOOKUP(A6,Щиты[Щит],Щиты[ΔU до шин, %]),0),"")</f>
        <v/>
      </c>
      <c r="CE6" s="6" t="str">
        <f>IF(D6="","",IF(IFERROR(VLOOKUP(AT6,УГО_спр,2,FALSE),"")="Светильник",3,4)+IF(Методика="нормы 2026",MIN(0.5,MAX(0,N(BW6)-100)*0.005),0))</f>
        <v/>
      </c>
      <c r="CF6" t="str">
        <f>IFERROR(VLOOKUP(BI6,Кабель_обозначение,2,FALSE),"")</f>
        <v/>
      </c>
      <c r="CG6" t="str">
        <f>IFERROR(IF(VLOOKUP(BI6,Кабель_обозначение,3,FALSE)=1,CF6&amp;" ("&amp;BJ6&amp;"х"&amp;BS6&amp;")",CF6),"")</f>
        <v/>
      </c>
      <c r="CH6" t="str">
        <f t="shared" si="18"/>
        <v/>
      </c>
      <c r="CI6" t="str">
        <f>IFERROR(2*ρкз_Cu*BW6/BS6,"")</f>
        <v/>
      </c>
      <c r="CJ6" t="str">
        <f t="shared" si="19"/>
        <v/>
      </c>
      <c r="CK6" s="6" t="str">
        <f>IFERROR(IF(OR(D6="",NOT(ISNUMBER(BS6)),N(BW6)=0),"",_xlfn.XLOOKUP(A6,Щиты[Щит],Щиты[Zпетли на шинах, Ом])+CI6),"")</f>
        <v/>
      </c>
      <c r="CL6" s="6" t="str">
        <f>IF(ISNUMBER(CK6),c_min*(Uн_лин*1000/SQRT(3))/CK6,"")</f>
        <v/>
      </c>
      <c r="CM6" s="6" t="str">
        <f>IFERROR(IF(OR(D6="",NOT(ISNUMBER(BS6))),"",1.05*(Uн_лин*1000/SQRT(3))/(_xlfn.XLOOKUP(A6,Щиты[Щит],Щиты[Zmax на шинах, Ом])+CJ6)/1000),"")</f>
        <v/>
      </c>
      <c r="CN6" s="6" t="str">
        <f>IF(D6="","",IF(BA6&lt;&gt;"","Щит",IF(K6&lt;&gt;"",K6,IF(ISNUMBER(L6),"Сил",IF(IFERROR(_xlfn.XLOOKUP(AT6,Коды_код,Коды_группа)&amp;"","")="","Быт",_xlfn.XLOOKUP(AT6,Коды_код,Коды_группа)&amp;"")))))</f>
        <v/>
      </c>
      <c r="CO6" s="6" t="str">
        <f>IF(CN6="Щит","щит",IF(CN6="","",IF(CN6="Быт",IFERROR(_xlfn.XLOOKUP(A6,Щиты[Щит],Щиты[Кс быт]),1),IF(CN6="Сил",IF(ISNUMBER(L6),L6,IF(Методика="нормы 2026",IFERROR(_xlfn.XLOOKUP(A6,Щиты[Щит],Щиты[Кс силовых (табл. 7.5)]),1),1)),IF(OR(CN6="Пост",CN6="Отоп"),1,IF(CN6="ВНГ",0.7,0))))))</f>
        <v/>
      </c>
      <c r="CP6" t="str">
        <f t="shared" si="20"/>
        <v/>
      </c>
      <c r="CQ6">
        <f t="shared" si="21"/>
        <v>0</v>
      </c>
      <c r="CR6">
        <f t="shared" si="22"/>
        <v>0</v>
      </c>
      <c r="CS6">
        <f t="shared" si="23"/>
        <v>0</v>
      </c>
      <c r="CT6">
        <f t="shared" si="24"/>
        <v>0</v>
      </c>
      <c r="CU6">
        <f t="shared" si="25"/>
        <v>0</v>
      </c>
      <c r="CV6">
        <f t="shared" si="26"/>
        <v>0</v>
      </c>
      <c r="CW6">
        <f t="shared" si="27"/>
        <v>0</v>
      </c>
      <c r="CX6">
        <f t="shared" si="28"/>
        <v>0</v>
      </c>
      <c r="CY6">
        <f t="shared" si="29"/>
        <v>0</v>
      </c>
      <c r="CZ6" t="str">
        <f t="shared" si="30"/>
        <v/>
      </c>
      <c r="DA6" cm="1">
        <f t="array" ref="DA6">IFERROR(IF(BL6=2,_xlfn.IFS(BH6=3,VLOOKUP(BF6,Справочная_двигатели,3,FALSE),BH6=1,VLOOKUP(BF6,Справочная_двигатели,5,TRUE)),0),0)</f>
        <v>0</v>
      </c>
      <c r="DB6">
        <f>IFERROR(IF(BL6=3,VLOOKUP(BF6,Справочная_ЛЭД,2,TRUE),0),0)</f>
        <v>0</v>
      </c>
      <c r="DC6" s="6" t="str">
        <f t="shared" si="31"/>
        <v/>
      </c>
      <c r="DD6" t="str">
        <f t="shared" si="32"/>
        <v/>
      </c>
      <c r="DE6" t="str" cm="1">
        <f t="array" ref="DE6">IF(D6="","",IFERROR(INDEX({"I особая","I","II","III"},MATCH(TRIM(AA6&amp;""),{"I особая","I","II","III"},0)),"III"))</f>
        <v/>
      </c>
      <c r="DF6" t="str">
        <f>IF(D6="","",IF(TRIM(AB6&amp;"")&lt;&gt;"",IF(LOWER(TRIM(AB6&amp;""))="да","да","нет"),IF(IFERROR(_xlfn.XLOOKUP(AT6,Коды_код,Коды_пожарная),"")="да","да","нет")))</f>
        <v/>
      </c>
      <c r="DG6" t="str">
        <f t="shared" si="33"/>
        <v/>
      </c>
      <c r="DH6" t="str">
        <f t="shared" si="34"/>
        <v/>
      </c>
      <c r="DI6">
        <f t="shared" si="35"/>
        <v>1</v>
      </c>
      <c r="DJ6" t="str" cm="1">
        <f t="array" ref="DJ6">IF(D6="","",_xlfn.LET(_xlpm.t,IFERROR(_xlfn.XLOOKUP(1,(Шины[Шина]=DH6)*(((Шины[Щит]=A6)+(Шины[Щит]=""))&gt;0),Шины[Тип]),"")&amp;"",IF(_xlpm.t&lt;&gt;"",_xlpm.t,IF(ISNUMBER(SEARCH("ИБП",DH6)),"ИБП",IF(ISNUMBER(SEARCH("ДГУ",DH6)),"ДГУ","Ввод "&amp;DI6)))))</f>
        <v/>
      </c>
      <c r="DK6" t="str">
        <f t="shared" si="36"/>
        <v/>
      </c>
      <c r="DL6" t="str">
        <f>IF(D6="","",IF(OR(DJ6="ИБП",DJ6="ДГУ"),"I особая",IF(DJ6="Одиночная","III",_xlfn.XLOOKUP(A6,Щиты[Щит],Щиты[Категория шины «Ввод»],"III"))))</f>
        <v/>
      </c>
      <c r="DM6">
        <f>IF(D6="",0,IFERROR(MATCH(DE6,{"III","II","I","I особая"},0),1))</f>
        <v>0</v>
      </c>
      <c r="DN6">
        <f t="shared" si="37"/>
        <v>0</v>
      </c>
      <c r="DO6" t="str">
        <f>IF(D6="","",IF(DM6&gt;IFERROR(MATCH(DL6,{"III","II","I","I особая"},0),1),"НЕ ОБЕСПЕЧЕНА","ОК"))</f>
        <v/>
      </c>
      <c r="DP6" t="str">
        <f>IF(A6="","",_xlfn.XLOOKUP(A6,Щиты[Щит],Щиты[Путь],""))</f>
        <v>|ЩР|</v>
      </c>
      <c r="DQ6" t="str">
        <f>IF(D6="","",IF(Z6&lt;&gt;"",Z6,IF(IFERROR(_xlfn.XLOOKUP(AT6,Коды_код,Коды_вид)&amp;"","")="","Прочее",_xlfn.XLOOKUP(AT6,Коды_код,Коды_вид)&amp;"")))</f>
        <v/>
      </c>
      <c r="DR6">
        <f>IF(BD6="","",INT((BD6-1)/Столбцов_на_лист)+1)</f>
        <v>1</v>
      </c>
      <c r="DS6" t="str">
        <f t="shared" si="38"/>
        <v/>
      </c>
      <c r="DT6" t="str">
        <f t="shared" si="39"/>
        <v/>
      </c>
      <c r="DU6" t="str">
        <f t="shared" si="40"/>
        <v/>
      </c>
      <c r="DV6" t="str">
        <f t="shared" si="41"/>
        <v/>
      </c>
      <c r="DW6">
        <f>IF(AT6="",0,_xlfn.LET(_xlpm.v,IFERROR(VLOOKUP(D6,УГО_спр,3,FALSE),IFERROR(VLOOKUP(AT6,УГО_спр,3,FALSE),IFERROR(VLOOKUP(LEFT(AT6,2),УГО_спр,3,FALSE),""))),IF(_xlpm.v="да",30,IF(ISNUMBER(_xlpm.v),_xlpm.v,0))))</f>
        <v>0</v>
      </c>
      <c r="DX6">
        <f t="shared" si="42"/>
        <v>0</v>
      </c>
      <c r="DY6" t="str">
        <f>IF(BD6="","",IF(AD6&lt;&gt;"",COUNTIFS(A$3:A6,A6,AD$3:AD6,"?*"),IF(OR(OR(AS6=1,A6&lt;&gt;A5),AL6="вручную"),"",IF(AS6=1,"",DZ5))))</f>
        <v/>
      </c>
      <c r="DZ6" t="str">
        <f t="shared" si="43"/>
        <v/>
      </c>
      <c r="EA6">
        <f>IF(D6="",0,MAX(IFERROR(--X6,0),IFERROR(--VLOOKUP(D6,УГО_спр,4,FALSE),IFERROR(--VLOOKUP(AT6,УГО_спр,4,FALSE),IFERROR(--VLOOKUP(LEFT(AT6,2),УГО_спр,4,FALSE),0)))))</f>
        <v>0</v>
      </c>
      <c r="EB6" t="str">
        <f>IF(D6="","",IFERROR(LOOKUP(INDEX(CHOOSE(BR6,Iдоп_1ж,Iдоп_2ж,Iдоп_3ж),MATCH(BS6,Iдоп_S,0))*BP6*BQ6,{6,10,16,20,25,32,40,50,63,80,100,125,160,200,250,315,400,500,630}),""))</f>
        <v/>
      </c>
      <c r="EC6" t="str">
        <f>IF(AD6="","",SUMIFS(Линии[_Ток схемы],Линии[_гр.],DY6,Линии[Щит],A6,Линии[_в кабель выше],0))</f>
        <v/>
      </c>
      <c r="ED6" t="str">
        <f>IF(AD6="","",IFERROR(VLOOKUP(EC6,Автомат_номиналы,2,TRUE),""))</f>
        <v/>
      </c>
      <c r="EE6" t="str">
        <f>IF(AD6="","",MAX(N(ED6),_xlfn.MAXIFS(Линии[_мин. по типу],Линии[_гр.],DY6,Линии[Щит],A6)))</f>
        <v/>
      </c>
      <c r="EF6" t="str">
        <f>IF(AD6="","",_xlfn.MINIFS(Линии[_макс. автомат по кабелю],Линии[_гр.],DY6,Линии[Щит],A6))</f>
        <v/>
      </c>
      <c r="EG6" t="str">
        <f>IF(AD6="","",MAX(1,_xlfn.MAXIFS(Линии[_фаз],Линии[_гр.],DY6,Линии[Щит],A6)))</f>
        <v/>
      </c>
      <c r="EH6" t="str">
        <f>IF(AD6="","",IF(AND(AD6&lt;&gt;"авто",AD6&lt;&gt;"+"),IF(ISNUMBER(SEARCH("мА",AD6)),IFERROR(--TRIM(RIGHT(SUBSTITUTE(LEFT(AD6,SEARCH("мА",AD6)-1)," ",REPT(" ",9)),6)),30),0),IF(AE6="нет",0,IF(ISNUMBER(AE6),AE6,IF(AE6="да",30,_xlfn.MINIFS(Линии[_дифзащита по коду, мА],Линии[_гр.],DY6,Линии[Щит],A6,Линии[_дифзащита по коду, мА],"&gt;0"))))))</f>
        <v/>
      </c>
      <c r="EI6" t="str">
        <f t="shared" si="44"/>
        <v/>
      </c>
      <c r="EJ6" t="str">
        <f t="shared" si="45"/>
        <v/>
      </c>
      <c r="EK6" t="str">
        <f t="shared" si="46"/>
        <v/>
      </c>
      <c r="EL6" t="str">
        <f t="shared" si="47"/>
        <v/>
      </c>
      <c r="EM6">
        <f t="shared" si="48"/>
        <v>0</v>
      </c>
      <c r="EN6" t="str">
        <f>IF(AD6="","",IF(EM6=1,MAX(EE6,Мин_автомат_БП),EE6))</f>
        <v/>
      </c>
      <c r="EO6" t="str">
        <f t="shared" si="49"/>
        <v/>
      </c>
      <c r="EP6" t="str">
        <f t="shared" si="50"/>
        <v/>
      </c>
      <c r="EQ6" t="str">
        <f t="shared" si="51"/>
        <v/>
      </c>
      <c r="ER6" t="str">
        <f>IF(OR(AI6="",AI6="-"),"",IFERROR(VLOOKUP(AI6,Модули_спр,2,FALSE),"R"))</f>
        <v/>
      </c>
      <c r="ES6" t="str">
        <f>IF(ER6="","",ER6&amp;"."&amp;COUNTIFS(A$3:A6,A6,ER$3:ER6,ER6))</f>
        <v/>
      </c>
      <c r="ET6" t="str">
        <f t="shared" si="52"/>
        <v/>
      </c>
      <c r="EU6" t="str">
        <f t="shared" si="53"/>
        <v/>
      </c>
      <c r="EV6" t="str">
        <f t="shared" si="54"/>
        <v/>
      </c>
      <c r="EW6" t="str">
        <f t="shared" si="55"/>
        <v/>
      </c>
      <c r="EX6">
        <f t="shared" si="56"/>
        <v>0</v>
      </c>
      <c r="EY6" t="str">
        <f>IF(AK6="нет","",IF(AK6&lt;&gt;"",AK6,IF(EX6=1,"XT"&amp;COUNTIFS(A$3:A6,A6,EX$3:EX6,1),"")))</f>
        <v/>
      </c>
      <c r="EZ6" t="str">
        <f t="shared" si="57"/>
        <v/>
      </c>
      <c r="FA6" t="str">
        <f t="shared" si="58"/>
        <v/>
      </c>
      <c r="FB6" t="str">
        <f t="shared" si="59"/>
        <v/>
      </c>
      <c r="FC6" t="str">
        <f>IF(OR(EV6="",ET6=""),"",IF(EV6&gt;IFERROR(VLOOKUP(EU6,Модули_спр,3,FALSE),99),"ЛИШНИЙ КАНАЛ",IF(AND(AJ6&lt;&gt;"=",COUNTIFS(Линии[_модуль гр.],ET6,Линии[Канал (итог)],EV6,Линии[Канал],"&lt;&gt;=",Линии[Щит],A6)&gt;1),"ДУБЛЬ КАНАЛА","")))</f>
        <v/>
      </c>
      <c r="FD6" t="str">
        <f t="shared" si="60"/>
        <v/>
      </c>
      <c r="FE6" t="str">
        <f t="shared" si="61"/>
        <v/>
      </c>
      <c r="FF6" t="str">
        <f t="shared" si="62"/>
        <v/>
      </c>
      <c r="FG6" t="str">
        <f t="shared" si="63"/>
        <v/>
      </c>
      <c r="FH6" s="6" t="str">
        <f t="shared" si="64"/>
        <v/>
      </c>
      <c r="FI6">
        <f t="shared" si="65"/>
        <v>10</v>
      </c>
      <c r="FJ6" t="str">
        <f t="shared" si="66"/>
        <v/>
      </c>
      <c r="FK6" t="str">
        <f>IF(AND(D6="",EZ6=""),"",_xlfn.TEXTJOIN("; ",TRUE,IF(AND(D6&lt;&gt;"",DD6=""),"нет фазы",""),IF(AND(D6&lt;&gt;"",N(DT6)=0,CN6&lt;&gt;"Нет"),"нет мощности",""),IF(AND(EY6&lt;&gt;"",COUNTIFS(Линии[Щит],A6,Линии[Клемма (итог)],EY6)&gt;1),"дубль клеммы "&amp;EY6,""),IF(AND(FB6&lt;&gt;"",FB6&lt;&gt;"ok"),FB6,""),IF(FC6&lt;&gt;"",FC6,""),IF(AND(ISNUMBER(SEARCH("(5х",DS6)),N(DV6)=1),"5 жил на 1 фазе",""),IF(AND(AT6="R",AD6&lt;&gt;"",OR(N(EH6)=0,N(EH6)&gt;30)),"розетка без дифзащиты до 30 мА",""),IFERROR(IF(AND(ISNUMBER(CD6),CD6&gt;CE6),"потери "&amp;FIXED(CD6,1)&amp;" % &gt; "&amp;CE6&amp;" %",""),""),IFERROR(IF(LEFT(FJ6,4)="мало","Iкз мало — отключение &gt; 0,4 с",""),""),IF(AND(D6&lt;&gt;"",BD6=""),"не на схеме","")))</f>
        <v/>
      </c>
      <c r="FL6" s="6" t="str">
        <f>IF(AD6="","",_xlfn.LET(_xlpm.t,IFERROR(_xlfn.XLOOKUP(EP6,Каталог!$U$4:$U$500,Каталог!$G$4:$G$500),""),_xlpm.k,SEARCH("кА",_xlpm.t),IFERROR(--TRIM(RIGHT(SUBSTITUTE(MID(_xlpm.t,MAX(1,_xlpm.k-4),_xlpm.k-MAX(1,_xlpm.k-4))," ",REPT(" ",9)),5)),"")))</f>
        <v/>
      </c>
      <c r="FM6" t="str">
        <f>IF(OR(FL6="",AD6=""),"",IF(_xlfn.XLOOKUP(A6,Щиты[Щит],Щиты[Iкз max на шинах, кА],"")="","",IF(FL6&lt;_xlfn.XLOOKUP(A6,Щиты[Щит],Щиты[Iкз max на шинах, кА]),"Icu "&amp;FL6&amp;" кА &lt; Iкз max","ok")))</f>
        <v/>
      </c>
      <c r="FN6" t="str">
        <f t="shared" si="67"/>
        <v/>
      </c>
      <c r="FO6" t="str">
        <f t="shared" si="68"/>
        <v/>
      </c>
      <c r="FP6" t="str" cm="1">
        <f t="array" ref="FP6">IF(FO6="","",_xlfn.LET(_xlpm.nd,_xlfn.TEXTSPLIT(FO6,"|"),IF(COLUMNS(_xlpm.nd)&gt;1,A6&amp;"¦"&amp;INDEX(_xlpm.nd,1)&amp;"¦"&amp;INDEX(_xlpm.nd,2),"")))</f>
        <v/>
      </c>
      <c r="FQ6" t="str">
        <f t="shared" si="69"/>
        <v/>
      </c>
      <c r="FR6" t="str" cm="1">
        <f t="array" ref="FR6">IF(FO6="","",_xlfn.LET(_xlpm.nd,_xlfn.TEXTSPLIT(FO6,"|"),IF(COLUMNS(_xlpm.nd)&gt;2,A6&amp;"¦"&amp;INDEX(_xlpm.nd,2)&amp;"¦"&amp;INDEX(_xlpm.nd,3),"")))</f>
        <v/>
      </c>
      <c r="FS6" t="str">
        <f t="shared" si="70"/>
        <v/>
      </c>
      <c r="FT6" t="str" cm="1">
        <f t="array" ref="FT6">IF(FO6="","",_xlfn.LET(_xlpm.nd,_xlfn.TEXTSPLIT(FO6,"|"),IF(COLUMNS(_xlpm.nd)&gt;3,A6&amp;"¦"&amp;INDEX(_xlpm.nd,3)&amp;"¦"&amp;INDEX(_xlpm.nd,4),"")))</f>
        <v/>
      </c>
      <c r="FU6" t="str">
        <f t="shared" si="71"/>
        <v/>
      </c>
      <c r="FV6" t="str" cm="1">
        <f t="array" ref="FV6">IF(FO6="","",_xlfn.LET(_xlpm.nd,_xlfn.TEXTSPLIT(FO6,"|"),IF(COLUMNS(_xlpm.nd)&gt;4,A6&amp;"¦"&amp;INDEX(_xlpm.nd,4)&amp;"¦"&amp;INDEX(_xlpm.nd,5),"")))</f>
        <v/>
      </c>
      <c r="FW6" t="str">
        <f t="shared" si="72"/>
        <v/>
      </c>
      <c r="FX6" t="str" cm="1">
        <f t="array" ref="FX6">IF(FO6="","",_xlfn.LET(_xlpm.nd,_xlfn.TEXTSPLIT(FO6,"|"),IF(COLUMNS(_xlpm.nd)&gt;5,A6&amp;"¦"&amp;INDEX(_xlpm.nd,5)&amp;"¦"&amp;INDEX(_xlpm.nd,6),"")))</f>
        <v/>
      </c>
      <c r="FY6" t="str">
        <f t="shared" si="73"/>
        <v/>
      </c>
      <c r="FZ6" t="str" cm="1">
        <f t="array" ref="FZ6">IF(FO6="","",_xlfn.LET(_xlpm.nd,_xlfn.TEXTSPLIT(FO6,"|"),IF(COLUMNS(_xlpm.nd)&gt;6,A6&amp;"¦"&amp;INDEX(_xlpm.nd,6)&amp;"¦"&amp;INDEX(_xlpm.nd,7),"")))</f>
        <v/>
      </c>
      <c r="GA6" t="str">
        <f t="shared" si="74"/>
        <v/>
      </c>
      <c r="GB6" t="str">
        <f t="shared" si="75"/>
        <v/>
      </c>
      <c r="GC6" t="str">
        <f t="shared" si="76"/>
        <v/>
      </c>
      <c r="GD6">
        <f t="shared" si="77"/>
        <v>0</v>
      </c>
      <c r="GE6">
        <f t="shared" si="78"/>
        <v>0</v>
      </c>
      <c r="GF6">
        <f t="shared" si="79"/>
        <v>0</v>
      </c>
      <c r="GG6" t="str">
        <f t="shared" si="80"/>
        <v/>
      </c>
      <c r="GH6" t="str">
        <f t="shared" si="81"/>
        <v/>
      </c>
      <c r="GI6" t="str">
        <f t="shared" si="82"/>
        <v/>
      </c>
      <c r="GJ6" t="str">
        <f t="shared" si="83"/>
        <v/>
      </c>
      <c r="GK6" t="str">
        <f>IF(D6="","",IFERROR(VLOOKUP(D6,УГО_спр,2,FALSE),IFERROR(VLOOKUP(AT6,УГО_спр,2,FALSE),IFERROR(VLOOKUP(LEFT(AT6,2),УГО_спр,2,FALSE),""))))</f>
        <v/>
      </c>
      <c r="GL6" t="str">
        <f>IF(D6="","",IF(OR(GK6="",GK6=0),"BOX",IFERROR(IF(VLOOKUP(GK6,УГО_блоки,3,FALSE)&amp;""&lt;&gt;"",VLOOKUP(GK6,УГО_блоки,3,FALSE),VLOOKUP(GK6,УГО_блоки,2,FALSE)),GK6)))</f>
        <v/>
      </c>
      <c r="GM6">
        <f t="shared" si="84"/>
        <v>0</v>
      </c>
      <c r="GN6" t="str">
        <f>IF(EP6="","",IF(COUNTIF(EP$3:EP6,EP6)=1,MAX(GN$2:GN5)+1,""))</f>
        <v/>
      </c>
      <c r="GO6" t="str">
        <f>IF(AF6="","",IF(COUNTIF(AF$3:AF6,AF6)+COUNTIF(AG$2:AG5,AF6)+COUNTIF(AH$2:AH5,AF6)=1,MAX(GO$2:GQ5)+1,""))</f>
        <v/>
      </c>
      <c r="GP6" t="str">
        <f>IF(AG6="","",IF(COUNTIF(AF$3:AF6,AG6)+COUNTIF(AG$3:AG6,AG6)+COUNTIF(AH$2:AH5,AG6)=1,MAX(GO$2:GQ5,GO6)+1,""))</f>
        <v/>
      </c>
      <c r="GQ6" t="str">
        <f>IF(AH6="","",IF(COUNTIF(AF$3:AF6,AH6)+COUNTIF(AG$3:AG6,AH6)+COUNTIF(AH$3:AH6,AH6)=1,MAX(GO$2:GQ5,GO6,GP6)+1,""))</f>
        <v/>
      </c>
      <c r="GR6" t="str">
        <f t="shared" si="85"/>
        <v/>
      </c>
      <c r="GS6" t="str">
        <f>IF(GR6="","",IF(COUNTIF(GR$3:GR6,GR6)=1,MAX(GS$2:GS5)+1,""))</f>
        <v/>
      </c>
      <c r="GT6" t="str">
        <f>IF(ES6="","",COUNTIF(ES$3:ES6,"?*"))</f>
        <v/>
      </c>
      <c r="GU6" t="str">
        <f>IF(OR(ES6="",EU6=""),"",IF(COUNTIFS(ES$3:ES6,"?*",EU$3:EU6,EU6)=1,MAX(GU$2:GU5)+1,""))</f>
        <v/>
      </c>
      <c r="GV6">
        <f t="shared" si="86"/>
        <v>0</v>
      </c>
      <c r="GW6" t="str">
        <f>IF(D6="","",COUNTIF(D$3:D6,"?*"))</f>
        <v/>
      </c>
      <c r="GX6">
        <f>IF(EX6&lt;&gt;1,0,_xlfn.LET(_xlpm.k,MAX(IFERROR(--VLOOKUP(D6,УГО_спр,5,FALSE),0),IFERROR(--VLOOKUP(AT6,УГО_спр,5,FALSE),0),IFERROR(--VLOOKUP(LEFT(AT6,2),УГО_спр,5,FALSE),0)),IF(_xlpm.k&gt;0,_xlpm.k,IF(IFERROR(--LEFT(SUBSTITUTE(GR6,"x","х"),FIND("х",SUBSTITUTE(GR6,"x","х"))-1),3)&gt;3,Каталог!$S$9,1))))</f>
        <v>0</v>
      </c>
      <c r="GY6">
        <f t="shared" si="87"/>
        <v>0</v>
      </c>
    </row>
    <row r="7" spans="1:207" x14ac:dyDescent="0.3">
      <c r="A7" t="s">
        <v>206</v>
      </c>
      <c r="B7">
        <v>5</v>
      </c>
      <c r="C7" t="str">
        <f>IF(BD7="","",IF(BE7="вводной узел","узел ","")&amp;"л."&amp;(INT((BD7-1)/Столбцов_на_лист)+1)&amp;" / "&amp;(MOD(BD7-1,Столбцов_на_лист)+1))</f>
        <v>узел л.1 / 5</v>
      </c>
      <c r="E7" s="133" t="str">
        <f t="shared" si="0"/>
        <v/>
      </c>
      <c r="AL7" t="s">
        <v>559</v>
      </c>
      <c r="AR7" t="str">
        <f t="shared" si="1"/>
        <v/>
      </c>
      <c r="AS7" cm="1">
        <f t="array" ref="AS7">ROW()-ROW(Линии[#Headers])</f>
        <v>5</v>
      </c>
      <c r="AT7" s="6" t="str">
        <f t="shared" si="2"/>
        <v/>
      </c>
      <c r="AU7" t="str">
        <f t="shared" si="3"/>
        <v/>
      </c>
      <c r="AV7" t="str">
        <f t="shared" si="4"/>
        <v/>
      </c>
      <c r="AW7" t="str">
        <f t="shared" si="5"/>
        <v/>
      </c>
      <c r="AX7" t="str">
        <f t="shared" si="6"/>
        <v/>
      </c>
      <c r="AY7" t="str">
        <f>IF(D7="","",IF(ISERROR(SEARCH(".",D7)),IFERROR(VLOOKUP(D7,Потребители_обозначение,2,FALSE)&amp;"",""),IFERROR(IF(VLOOKUP(AT7,Потребители_обозначение,4,FALSE)=1,VLOOKUP(AT7,Потребители_обозначение,2,FALSE)&amp;" "&amp;VLOOKUP(AV7,Этаж_обозначение,2,FALSE)&amp;" Пом. №"&amp;AX7,VLOOKUP(AT7,Потребители_обозначение,2,FALSE)&amp;" Шлейф №"&amp;AV7),IFERROR(VLOOKUP(D7,Потребители_обозначение,2,FALSE),""))))</f>
        <v/>
      </c>
      <c r="AZ7" t="str">
        <f t="shared" si="7"/>
        <v/>
      </c>
      <c r="BA7" t="str">
        <f>IF(F7&lt;&gt;"",F7,IF(AND(D7&lt;&gt;"",D7&lt;&gt;A7,ISNUMBER(_xlfn.XMATCH(D7,Щиты[Щит]))),D7,""))</f>
        <v/>
      </c>
      <c r="BB7">
        <f>IFERROR(_xlfn.XMATCH(A7,Щиты[Щит]),0)</f>
        <v>1</v>
      </c>
      <c r="BC7">
        <f>IFERROR(N(_xlfn.XLOOKUP(A7,Щиты[Щит],Щиты[Мест под вводной узел])),15)</f>
        <v>18</v>
      </c>
      <c r="BD7">
        <f t="shared" si="8"/>
        <v>5</v>
      </c>
      <c r="BE7" t="str">
        <f t="shared" si="9"/>
        <v>вводной узел</v>
      </c>
      <c r="BF7" s="6" t="str">
        <f>IF(D7="","",IF(BA7&lt;&gt;"",IFERROR(_xlfn.XLOOKUP(BA7,Щиты[Щит],Щиты[Руст, кВт]),0),N(G7)))</f>
        <v/>
      </c>
      <c r="BG7" t="str">
        <f>IF(J7&lt;&gt;"",J7,IF(D7="","",IFERROR(IF(VLOOKUP(AT7,Потребители_обозначение,8,FALSE)=0,"",VLOOKUP(AT7,Потребители_обозначение,8,FALSE)),"")))</f>
        <v/>
      </c>
      <c r="BH7" t="str">
        <f>IF(I7&lt;&gt;"",I7,IF(D7="","",IFERROR(IF(VLOOKUP(AT7,Потребители_обозначение,9,FALSE)=0,"",VLOOKUP(AT7,Потребители_обозначение,9,FALSE)),"")))</f>
        <v/>
      </c>
      <c r="BI7" t="str">
        <f>IF(U7&lt;&gt;"",U7,IF(D7="","",IFERROR(IF(VLOOKUP(AT7,Потребители_обозначение,6,FALSE)=0,"",VLOOKUP(AT7,Потребители_обозначение,6,FALSE)),"")))</f>
        <v/>
      </c>
      <c r="BJ7" t="str">
        <f>IF(V7&lt;&gt;"",V7,IF(D7="","",IFERROR(IF(VLOOKUP(AT7,Потребители_обозначение,7,FALSE)=0,"",VLOOKUP(AT7,Потребители_обозначение,7,FALSE)),"")))</f>
        <v/>
      </c>
      <c r="BK7" t="str">
        <f>IF(W7&lt;&gt;"",W7,IF(D7="","",IFERROR(IF(VLOOKUP(AT7,Потребители_обозначение,10,FALSE)=0,"",VLOOKUP(AT7,Потребители_обозначение,10,FALSE)),"")))</f>
        <v/>
      </c>
      <c r="BL7">
        <f>IFERROR(VLOOKUP(AT7,Потребители_обозначение,5,FALSE),0)</f>
        <v>0</v>
      </c>
      <c r="BM7" s="6" t="str" cm="1">
        <f t="array" ref="BM7">IF(D7="","",IF(BA7&lt;&gt;"",IFERROR(_xlfn.XLOOKUP(BA7,Щиты[Щит],Щиты[cos φ]),0.95),IF(ISNUMBER(M7),M7,IFERROR(IF(BL7=2,_xlfn.IFS(BH7=3,VLOOKUP(BF7,Справочная_двигатели,8,FALSE),BH7=1,VLOOKUP(BF7,Справочная_двигатели,10,TRUE)),IF(AND(Методика="нормы 2026",CN7="Сил"),0.8,0.95)),0.95))))</f>
        <v/>
      </c>
      <c r="BN7" s="6" t="str" cm="1">
        <f t="array" ref="BN7">IF(D7="","",IF(BA7&lt;&gt;"",IFERROR(_xlfn.XLOOKUP(BA7,Щиты[Щит],Щиты[Iр, А]),""),IFERROR(_xlfn.IFS(BH7=1,BF7/((Uн_лин/SQRT(3))*BM7),BH7=3,BF7/(SQRT(3)*Uн_лин*BM7)),"")))</f>
        <v/>
      </c>
      <c r="BO7" t="str">
        <f>IF(D7="","",IF(N(X7)=0,IFERROR(VLOOKUP(BN7,Автомат_номиналы,2,TRUE),""),X7))</f>
        <v/>
      </c>
      <c r="BP7">
        <f t="shared" si="10"/>
        <v>1</v>
      </c>
      <c r="BQ7">
        <f>IF(ISNUMBER(Y7),Y7,К_прокл)</f>
        <v>1</v>
      </c>
      <c r="BR7">
        <f t="shared" si="11"/>
        <v>3</v>
      </c>
      <c r="BS7" t="str" cm="1">
        <f t="array" ref="BS7">IF(D7="","",IF(N(BK7)&lt;&gt;0,BK7,IFERROR(_xlfn.LET(_xlpm.need,BO7/(BP7*BQ7),_xlpm.t,CHOOSE(BR7,Iдоп_1ж,Iдоп_2ж,Iдоп_3ж),_xlpm.k,_xlfn.XMATCH(_xlpm.need,_xlpm.t,1),IF(ISNA(_xlpm.k),"Не исп",INDEX(Iдоп_S,_xlpm.k))),"Не исп")))</f>
        <v/>
      </c>
      <c r="BT7" t="str">
        <f>IFERROR(VLOOKUP(BS7,Кабель_сопротивление,3,FALSE),"")</f>
        <v/>
      </c>
      <c r="BU7" t="str">
        <f>IFERROR(VLOOKUP(BS7,Кабель_сопротивление,2,FALSE),"")</f>
        <v/>
      </c>
      <c r="BV7" t="str">
        <f t="shared" si="12"/>
        <v/>
      </c>
      <c r="BW7" s="6" t="str">
        <f>IF(D7="","",IFERROR(IF(VLOOKUP(AT7,Потребители_обозначение,4,FALSE)=1,VLOOKUP(AT7,Потребители_обозначение,3,FALSE)*(H7*2-1)+BV7+VLOOKUP(AV7,Этаж_обозначение,3,FALSE)+VLOOKUP(AV7,Этаж_обозначение,4,FALSE),VLOOKUP(AT7,Потребители_обозначение,3,FALSE)*(H7*2-1)+BV7),BV7))</f>
        <v/>
      </c>
      <c r="BX7" t="str">
        <f t="shared" si="13"/>
        <v/>
      </c>
      <c r="BY7" t="str">
        <f t="shared" si="14"/>
        <v/>
      </c>
      <c r="BZ7" t="str">
        <f t="shared" si="15"/>
        <v/>
      </c>
      <c r="CA7" t="str">
        <f t="shared" si="16"/>
        <v/>
      </c>
      <c r="CB7" t="str">
        <f t="shared" si="17"/>
        <v/>
      </c>
      <c r="CC7" s="6" t="str">
        <f>IFERROR(ROUNDUP(CB7/((Uн_лин/SQRT(3))*1000)*100,2),"")</f>
        <v/>
      </c>
      <c r="CD7" s="6" t="str">
        <f>IF(ISNUMBER(CC7),CC7+IFERROR(_xlfn.XLOOKUP(A7,Щиты[Щит],Щиты[ΔU до шин, %]),0),"")</f>
        <v/>
      </c>
      <c r="CE7" s="6" t="str">
        <f>IF(D7="","",IF(IFERROR(VLOOKUP(AT7,УГО_спр,2,FALSE),"")="Светильник",3,4)+IF(Методика="нормы 2026",MIN(0.5,MAX(0,N(BW7)-100)*0.005),0))</f>
        <v/>
      </c>
      <c r="CF7" t="str">
        <f>IFERROR(VLOOKUP(BI7,Кабель_обозначение,2,FALSE),"")</f>
        <v/>
      </c>
      <c r="CG7" t="str">
        <f>IFERROR(IF(VLOOKUP(BI7,Кабель_обозначение,3,FALSE)=1,CF7&amp;" ("&amp;BJ7&amp;"х"&amp;BS7&amp;")",CF7),"")</f>
        <v/>
      </c>
      <c r="CH7" t="str">
        <f t="shared" si="18"/>
        <v/>
      </c>
      <c r="CI7" t="str">
        <f>IFERROR(2*ρкз_Cu*BW7/BS7,"")</f>
        <v/>
      </c>
      <c r="CJ7" t="str">
        <f t="shared" si="19"/>
        <v/>
      </c>
      <c r="CK7" s="6" t="str">
        <f>IFERROR(IF(OR(D7="",NOT(ISNUMBER(BS7)),N(BW7)=0),"",_xlfn.XLOOKUP(A7,Щиты[Щит],Щиты[Zпетли на шинах, Ом])+CI7),"")</f>
        <v/>
      </c>
      <c r="CL7" s="6" t="str">
        <f>IF(ISNUMBER(CK7),c_min*(Uн_лин*1000/SQRT(3))/CK7,"")</f>
        <v/>
      </c>
      <c r="CM7" s="6" t="str">
        <f>IFERROR(IF(OR(D7="",NOT(ISNUMBER(BS7))),"",1.05*(Uн_лин*1000/SQRT(3))/(_xlfn.XLOOKUP(A7,Щиты[Щит],Щиты[Zmax на шинах, Ом])+CJ7)/1000),"")</f>
        <v/>
      </c>
      <c r="CN7" s="6" t="str">
        <f>IF(D7="","",IF(BA7&lt;&gt;"","Щит",IF(K7&lt;&gt;"",K7,IF(ISNUMBER(L7),"Сил",IF(IFERROR(_xlfn.XLOOKUP(AT7,Коды_код,Коды_группа)&amp;"","")="","Быт",_xlfn.XLOOKUP(AT7,Коды_код,Коды_группа)&amp;"")))))</f>
        <v/>
      </c>
      <c r="CO7" s="6" t="str">
        <f>IF(CN7="Щит","щит",IF(CN7="","",IF(CN7="Быт",IFERROR(_xlfn.XLOOKUP(A7,Щиты[Щит],Щиты[Кс быт]),1),IF(CN7="Сил",IF(ISNUMBER(L7),L7,IF(Методика="нормы 2026",IFERROR(_xlfn.XLOOKUP(A7,Щиты[Щит],Щиты[Кс силовых (табл. 7.5)]),1),1)),IF(OR(CN7="Пост",CN7="Отоп"),1,IF(CN7="ВНГ",0.7,0))))))</f>
        <v/>
      </c>
      <c r="CP7" t="str">
        <f t="shared" si="20"/>
        <v/>
      </c>
      <c r="CQ7">
        <f t="shared" si="21"/>
        <v>0</v>
      </c>
      <c r="CR7">
        <f t="shared" si="22"/>
        <v>0</v>
      </c>
      <c r="CS7">
        <f t="shared" si="23"/>
        <v>0</v>
      </c>
      <c r="CT7">
        <f t="shared" si="24"/>
        <v>0</v>
      </c>
      <c r="CU7">
        <f t="shared" si="25"/>
        <v>0</v>
      </c>
      <c r="CV7">
        <f t="shared" si="26"/>
        <v>0</v>
      </c>
      <c r="CW7">
        <f t="shared" si="27"/>
        <v>0</v>
      </c>
      <c r="CX7">
        <f t="shared" si="28"/>
        <v>0</v>
      </c>
      <c r="CY7">
        <f t="shared" si="29"/>
        <v>0</v>
      </c>
      <c r="CZ7" t="str">
        <f t="shared" si="30"/>
        <v/>
      </c>
      <c r="DA7" cm="1">
        <f t="array" ref="DA7">IFERROR(IF(BL7=2,_xlfn.IFS(BH7=3,VLOOKUP(BF7,Справочная_двигатели,3,FALSE),BH7=1,VLOOKUP(BF7,Справочная_двигатели,5,TRUE)),0),0)</f>
        <v>0</v>
      </c>
      <c r="DB7">
        <f>IFERROR(IF(BL7=3,VLOOKUP(BF7,Справочная_ЛЭД,2,TRUE),0),0)</f>
        <v>0</v>
      </c>
      <c r="DC7" s="6" t="str">
        <f t="shared" si="31"/>
        <v/>
      </c>
      <c r="DD7" t="str">
        <f t="shared" si="32"/>
        <v/>
      </c>
      <c r="DE7" t="str" cm="1">
        <f t="array" ref="DE7">IF(D7="","",IFERROR(INDEX({"I особая","I","II","III"},MATCH(TRIM(AA7&amp;""),{"I особая","I","II","III"},0)),"III"))</f>
        <v/>
      </c>
      <c r="DF7" t="str">
        <f>IF(D7="","",IF(TRIM(AB7&amp;"")&lt;&gt;"",IF(LOWER(TRIM(AB7&amp;""))="да","да","нет"),IF(IFERROR(_xlfn.XLOOKUP(AT7,Коды_код,Коды_пожарная),"")="да","да","нет")))</f>
        <v/>
      </c>
      <c r="DG7" t="str">
        <f t="shared" si="33"/>
        <v/>
      </c>
      <c r="DH7" t="str">
        <f t="shared" si="34"/>
        <v/>
      </c>
      <c r="DI7">
        <f t="shared" si="35"/>
        <v>1</v>
      </c>
      <c r="DJ7" t="str" cm="1">
        <f t="array" ref="DJ7">IF(D7="","",_xlfn.LET(_xlpm.t,IFERROR(_xlfn.XLOOKUP(1,(Шины[Шина]=DH7)*(((Шины[Щит]=A7)+(Шины[Щит]=""))&gt;0),Шины[Тип]),"")&amp;"",IF(_xlpm.t&lt;&gt;"",_xlpm.t,IF(ISNUMBER(SEARCH("ИБП",DH7)),"ИБП",IF(ISNUMBER(SEARCH("ДГУ",DH7)),"ДГУ","Ввод "&amp;DI7)))))</f>
        <v/>
      </c>
      <c r="DK7" t="str">
        <f t="shared" si="36"/>
        <v/>
      </c>
      <c r="DL7" t="str">
        <f>IF(D7="","",IF(OR(DJ7="ИБП",DJ7="ДГУ"),"I особая",IF(DJ7="Одиночная","III",_xlfn.XLOOKUP(A7,Щиты[Щит],Щиты[Категория шины «Ввод»],"III"))))</f>
        <v/>
      </c>
      <c r="DM7">
        <f>IF(D7="",0,IFERROR(MATCH(DE7,{"III","II","I","I особая"},0),1))</f>
        <v>0</v>
      </c>
      <c r="DN7">
        <f t="shared" si="37"/>
        <v>0</v>
      </c>
      <c r="DO7" t="str">
        <f>IF(D7="","",IF(DM7&gt;IFERROR(MATCH(DL7,{"III","II","I","I особая"},0),1),"НЕ ОБЕСПЕЧЕНА","ОК"))</f>
        <v/>
      </c>
      <c r="DP7" t="str">
        <f>IF(A7="","",_xlfn.XLOOKUP(A7,Щиты[Щит],Щиты[Путь],""))</f>
        <v>|ЩР|</v>
      </c>
      <c r="DQ7" t="str">
        <f>IF(D7="","",IF(Z7&lt;&gt;"",Z7,IF(IFERROR(_xlfn.XLOOKUP(AT7,Коды_код,Коды_вид)&amp;"","")="","Прочее",_xlfn.XLOOKUP(AT7,Коды_код,Коды_вид)&amp;"")))</f>
        <v/>
      </c>
      <c r="DR7">
        <f>IF(BD7="","",INT((BD7-1)/Столбцов_на_лист)+1)</f>
        <v>1</v>
      </c>
      <c r="DS7" t="str">
        <f t="shared" si="38"/>
        <v/>
      </c>
      <c r="DT7" t="str">
        <f t="shared" si="39"/>
        <v/>
      </c>
      <c r="DU7" t="str">
        <f t="shared" si="40"/>
        <v/>
      </c>
      <c r="DV7" t="str">
        <f t="shared" si="41"/>
        <v/>
      </c>
      <c r="DW7">
        <f>IF(AT7="",0,_xlfn.LET(_xlpm.v,IFERROR(VLOOKUP(D7,УГО_спр,3,FALSE),IFERROR(VLOOKUP(AT7,УГО_спр,3,FALSE),IFERROR(VLOOKUP(LEFT(AT7,2),УГО_спр,3,FALSE),""))),IF(_xlpm.v="да",30,IF(ISNUMBER(_xlpm.v),_xlpm.v,0))))</f>
        <v>0</v>
      </c>
      <c r="DX7">
        <f t="shared" si="42"/>
        <v>0</v>
      </c>
      <c r="DY7" t="str">
        <f>IF(BD7="","",IF(AD7&lt;&gt;"",COUNTIFS(A$3:A7,A7,AD$3:AD7,"?*"),IF(OR(OR(AS7=1,A7&lt;&gt;A6),AL7="вручную"),"",IF(AS7=1,"",DZ6))))</f>
        <v/>
      </c>
      <c r="DZ7" t="str">
        <f t="shared" si="43"/>
        <v/>
      </c>
      <c r="EA7">
        <f>IF(D7="",0,MAX(IFERROR(--X7,0),IFERROR(--VLOOKUP(D7,УГО_спр,4,FALSE),IFERROR(--VLOOKUP(AT7,УГО_спр,4,FALSE),IFERROR(--VLOOKUP(LEFT(AT7,2),УГО_спр,4,FALSE),0)))))</f>
        <v>0</v>
      </c>
      <c r="EB7" t="str">
        <f>IF(D7="","",IFERROR(LOOKUP(INDEX(CHOOSE(BR7,Iдоп_1ж,Iдоп_2ж,Iдоп_3ж),MATCH(BS7,Iдоп_S,0))*BP7*BQ7,{6,10,16,20,25,32,40,50,63,80,100,125,160,200,250,315,400,500,630}),""))</f>
        <v/>
      </c>
      <c r="EC7" t="str">
        <f>IF(AD7="","",SUMIFS(Линии[_Ток схемы],Линии[_гр.],DY7,Линии[Щит],A7,Линии[_в кабель выше],0))</f>
        <v/>
      </c>
      <c r="ED7" t="str">
        <f>IF(AD7="","",IFERROR(VLOOKUP(EC7,Автомат_номиналы,2,TRUE),""))</f>
        <v/>
      </c>
      <c r="EE7" t="str">
        <f>IF(AD7="","",MAX(N(ED7),_xlfn.MAXIFS(Линии[_мин. по типу],Линии[_гр.],DY7,Линии[Щит],A7)))</f>
        <v/>
      </c>
      <c r="EF7" t="str">
        <f>IF(AD7="","",_xlfn.MINIFS(Линии[_макс. автомат по кабелю],Линии[_гр.],DY7,Линии[Щит],A7))</f>
        <v/>
      </c>
      <c r="EG7" t="str">
        <f>IF(AD7="","",MAX(1,_xlfn.MAXIFS(Линии[_фаз],Линии[_гр.],DY7,Линии[Щит],A7)))</f>
        <v/>
      </c>
      <c r="EH7" t="str">
        <f>IF(AD7="","",IF(AND(AD7&lt;&gt;"авто",AD7&lt;&gt;"+"),IF(ISNUMBER(SEARCH("мА",AD7)),IFERROR(--TRIM(RIGHT(SUBSTITUTE(LEFT(AD7,SEARCH("мА",AD7)-1)," ",REPT(" ",9)),6)),30),0),IF(AE7="нет",0,IF(ISNUMBER(AE7),AE7,IF(AE7="да",30,_xlfn.MINIFS(Линии[_дифзащита по коду, мА],Линии[_гр.],DY7,Линии[Щит],A7,Линии[_дифзащита по коду, мА],"&gt;0"))))))</f>
        <v/>
      </c>
      <c r="EI7" t="str">
        <f t="shared" si="44"/>
        <v/>
      </c>
      <c r="EJ7" t="str">
        <f t="shared" si="45"/>
        <v/>
      </c>
      <c r="EK7" t="str">
        <f t="shared" si="46"/>
        <v/>
      </c>
      <c r="EL7" t="str">
        <f t="shared" si="47"/>
        <v/>
      </c>
      <c r="EM7">
        <f t="shared" si="48"/>
        <v>0</v>
      </c>
      <c r="EN7" t="str">
        <f>IF(AD7="","",IF(EM7=1,MAX(EE7,Мин_автомат_БП),EE7))</f>
        <v/>
      </c>
      <c r="EO7" t="str">
        <f t="shared" si="49"/>
        <v/>
      </c>
      <c r="EP7" t="str">
        <f t="shared" si="50"/>
        <v/>
      </c>
      <c r="EQ7" t="str">
        <f t="shared" si="51"/>
        <v/>
      </c>
      <c r="ER7" t="str">
        <f>IF(OR(AI7="",AI7="-"),"",IFERROR(VLOOKUP(AI7,Модули_спр,2,FALSE),"R"))</f>
        <v/>
      </c>
      <c r="ES7" t="str">
        <f>IF(ER7="","",ER7&amp;"."&amp;COUNTIFS(A$3:A7,A7,ER$3:ER7,ER7))</f>
        <v/>
      </c>
      <c r="ET7" t="str">
        <f t="shared" si="52"/>
        <v/>
      </c>
      <c r="EU7" t="str">
        <f t="shared" si="53"/>
        <v/>
      </c>
      <c r="EV7" t="str">
        <f t="shared" si="54"/>
        <v/>
      </c>
      <c r="EW7" t="str">
        <f t="shared" si="55"/>
        <v/>
      </c>
      <c r="EX7">
        <f t="shared" si="56"/>
        <v>0</v>
      </c>
      <c r="EY7" t="str">
        <f>IF(AK7="нет","",IF(AK7&lt;&gt;"",AK7,IF(EX7=1,"XT"&amp;COUNTIFS(A$3:A7,A7,EX$3:EX7,1),"")))</f>
        <v/>
      </c>
      <c r="EZ7" t="str">
        <f t="shared" si="57"/>
        <v/>
      </c>
      <c r="FA7" t="str">
        <f t="shared" si="58"/>
        <v/>
      </c>
      <c r="FB7" t="str">
        <f t="shared" si="59"/>
        <v/>
      </c>
      <c r="FC7" t="str">
        <f>IF(OR(EV7="",ET7=""),"",IF(EV7&gt;IFERROR(VLOOKUP(EU7,Модули_спр,3,FALSE),99),"ЛИШНИЙ КАНАЛ",IF(AND(AJ7&lt;&gt;"=",COUNTIFS(Линии[_модуль гр.],ET7,Линии[Канал (итог)],EV7,Линии[Канал],"&lt;&gt;=",Линии[Щит],A7)&gt;1),"ДУБЛЬ КАНАЛА","")))</f>
        <v/>
      </c>
      <c r="FD7" t="str">
        <f t="shared" si="60"/>
        <v/>
      </c>
      <c r="FE7" t="str">
        <f t="shared" si="61"/>
        <v/>
      </c>
      <c r="FF7" t="str">
        <f t="shared" si="62"/>
        <v/>
      </c>
      <c r="FG7" t="str">
        <f t="shared" si="63"/>
        <v/>
      </c>
      <c r="FH7" s="6" t="str">
        <f t="shared" si="64"/>
        <v/>
      </c>
      <c r="FI7">
        <f t="shared" si="65"/>
        <v>10</v>
      </c>
      <c r="FJ7" t="str">
        <f t="shared" si="66"/>
        <v/>
      </c>
      <c r="FK7" t="str">
        <f>IF(AND(D7="",EZ7=""),"",_xlfn.TEXTJOIN("; ",TRUE,IF(AND(D7&lt;&gt;"",DD7=""),"нет фазы",""),IF(AND(D7&lt;&gt;"",N(DT7)=0,CN7&lt;&gt;"Нет"),"нет мощности",""),IF(AND(EY7&lt;&gt;"",COUNTIFS(Линии[Щит],A7,Линии[Клемма (итог)],EY7)&gt;1),"дубль клеммы "&amp;EY7,""),IF(AND(FB7&lt;&gt;"",FB7&lt;&gt;"ok"),FB7,""),IF(FC7&lt;&gt;"",FC7,""),IF(AND(ISNUMBER(SEARCH("(5х",DS7)),N(DV7)=1),"5 жил на 1 фазе",""),IF(AND(AT7="R",AD7&lt;&gt;"",OR(N(EH7)=0,N(EH7)&gt;30)),"розетка без дифзащиты до 30 мА",""),IFERROR(IF(AND(ISNUMBER(CD7),CD7&gt;CE7),"потери "&amp;FIXED(CD7,1)&amp;" % &gt; "&amp;CE7&amp;" %",""),""),IFERROR(IF(LEFT(FJ7,4)="мало","Iкз мало — отключение &gt; 0,4 с",""),""),IF(AND(D7&lt;&gt;"",BD7=""),"не на схеме","")))</f>
        <v/>
      </c>
      <c r="FL7" s="6" t="str">
        <f>IF(AD7="","",_xlfn.LET(_xlpm.t,IFERROR(_xlfn.XLOOKUP(EP7,Каталог!$U$4:$U$500,Каталог!$G$4:$G$500),""),_xlpm.k,SEARCH("кА",_xlpm.t),IFERROR(--TRIM(RIGHT(SUBSTITUTE(MID(_xlpm.t,MAX(1,_xlpm.k-4),_xlpm.k-MAX(1,_xlpm.k-4))," ",REPT(" ",9)),5)),"")))</f>
        <v/>
      </c>
      <c r="FM7" t="str">
        <f>IF(OR(FL7="",AD7=""),"",IF(_xlfn.XLOOKUP(A7,Щиты[Щит],Щиты[Iкз max на шинах, кА],"")="","",IF(FL7&lt;_xlfn.XLOOKUP(A7,Щиты[Щит],Щиты[Iкз max на шинах, кА]),"Icu "&amp;FL7&amp;" кА &lt; Iкз max","ok")))</f>
        <v/>
      </c>
      <c r="FN7" t="str">
        <f t="shared" si="67"/>
        <v/>
      </c>
      <c r="FO7" t="str">
        <f t="shared" si="68"/>
        <v/>
      </c>
      <c r="FP7" t="str" cm="1">
        <f t="array" ref="FP7">IF(FO7="","",_xlfn.LET(_xlpm.nd,_xlfn.TEXTSPLIT(FO7,"|"),IF(COLUMNS(_xlpm.nd)&gt;1,A7&amp;"¦"&amp;INDEX(_xlpm.nd,1)&amp;"¦"&amp;INDEX(_xlpm.nd,2),"")))</f>
        <v/>
      </c>
      <c r="FQ7" t="str">
        <f t="shared" si="69"/>
        <v/>
      </c>
      <c r="FR7" t="str" cm="1">
        <f t="array" ref="FR7">IF(FO7="","",_xlfn.LET(_xlpm.nd,_xlfn.TEXTSPLIT(FO7,"|"),IF(COLUMNS(_xlpm.nd)&gt;2,A7&amp;"¦"&amp;INDEX(_xlpm.nd,2)&amp;"¦"&amp;INDEX(_xlpm.nd,3),"")))</f>
        <v/>
      </c>
      <c r="FS7" t="str">
        <f t="shared" si="70"/>
        <v/>
      </c>
      <c r="FT7" t="str" cm="1">
        <f t="array" ref="FT7">IF(FO7="","",_xlfn.LET(_xlpm.nd,_xlfn.TEXTSPLIT(FO7,"|"),IF(COLUMNS(_xlpm.nd)&gt;3,A7&amp;"¦"&amp;INDEX(_xlpm.nd,3)&amp;"¦"&amp;INDEX(_xlpm.nd,4),"")))</f>
        <v/>
      </c>
      <c r="FU7" t="str">
        <f t="shared" si="71"/>
        <v/>
      </c>
      <c r="FV7" t="str" cm="1">
        <f t="array" ref="FV7">IF(FO7="","",_xlfn.LET(_xlpm.nd,_xlfn.TEXTSPLIT(FO7,"|"),IF(COLUMNS(_xlpm.nd)&gt;4,A7&amp;"¦"&amp;INDEX(_xlpm.nd,4)&amp;"¦"&amp;INDEX(_xlpm.nd,5),"")))</f>
        <v/>
      </c>
      <c r="FW7" t="str">
        <f t="shared" si="72"/>
        <v/>
      </c>
      <c r="FX7" t="str" cm="1">
        <f t="array" ref="FX7">IF(FO7="","",_xlfn.LET(_xlpm.nd,_xlfn.TEXTSPLIT(FO7,"|"),IF(COLUMNS(_xlpm.nd)&gt;5,A7&amp;"¦"&amp;INDEX(_xlpm.nd,5)&amp;"¦"&amp;INDEX(_xlpm.nd,6),"")))</f>
        <v/>
      </c>
      <c r="FY7" t="str">
        <f t="shared" si="73"/>
        <v/>
      </c>
      <c r="FZ7" t="str" cm="1">
        <f t="array" ref="FZ7">IF(FO7="","",_xlfn.LET(_xlpm.nd,_xlfn.TEXTSPLIT(FO7,"|"),IF(COLUMNS(_xlpm.nd)&gt;6,A7&amp;"¦"&amp;INDEX(_xlpm.nd,6)&amp;"¦"&amp;INDEX(_xlpm.nd,7),"")))</f>
        <v/>
      </c>
      <c r="GA7" t="str">
        <f t="shared" si="74"/>
        <v/>
      </c>
      <c r="GB7" t="str">
        <f t="shared" si="75"/>
        <v/>
      </c>
      <c r="GC7" t="str">
        <f t="shared" si="76"/>
        <v/>
      </c>
      <c r="GD7">
        <f t="shared" si="77"/>
        <v>0</v>
      </c>
      <c r="GE7">
        <f t="shared" si="78"/>
        <v>0</v>
      </c>
      <c r="GF7">
        <f t="shared" si="79"/>
        <v>0</v>
      </c>
      <c r="GG7" t="str">
        <f t="shared" si="80"/>
        <v/>
      </c>
      <c r="GH7" t="str">
        <f t="shared" si="81"/>
        <v/>
      </c>
      <c r="GI7" t="str">
        <f t="shared" si="82"/>
        <v/>
      </c>
      <c r="GJ7" t="str">
        <f t="shared" si="83"/>
        <v/>
      </c>
      <c r="GK7" t="str">
        <f>IF(D7="","",IFERROR(VLOOKUP(D7,УГО_спр,2,FALSE),IFERROR(VLOOKUP(AT7,УГО_спр,2,FALSE),IFERROR(VLOOKUP(LEFT(AT7,2),УГО_спр,2,FALSE),""))))</f>
        <v/>
      </c>
      <c r="GL7" t="str">
        <f>IF(D7="","",IF(OR(GK7="",GK7=0),"BOX",IFERROR(IF(VLOOKUP(GK7,УГО_блоки,3,FALSE)&amp;""&lt;&gt;"",VLOOKUP(GK7,УГО_блоки,3,FALSE),VLOOKUP(GK7,УГО_блоки,2,FALSE)),GK7)))</f>
        <v/>
      </c>
      <c r="GM7">
        <f t="shared" si="84"/>
        <v>0</v>
      </c>
      <c r="GN7" t="str">
        <f>IF(EP7="","",IF(COUNTIF(EP$3:EP7,EP7)=1,MAX(GN$2:GN6)+1,""))</f>
        <v/>
      </c>
      <c r="GO7" t="str">
        <f>IF(AF7="","",IF(COUNTIF(AF$3:AF7,AF7)+COUNTIF(AG$2:AG6,AF7)+COUNTIF(AH$2:AH6,AF7)=1,MAX(GO$2:GQ6)+1,""))</f>
        <v/>
      </c>
      <c r="GP7" t="str">
        <f>IF(AG7="","",IF(COUNTIF(AF$3:AF7,AG7)+COUNTIF(AG$3:AG7,AG7)+COUNTIF(AH$2:AH6,AG7)=1,MAX(GO$2:GQ6,GO7)+1,""))</f>
        <v/>
      </c>
      <c r="GQ7" t="str">
        <f>IF(AH7="","",IF(COUNTIF(AF$3:AF7,AH7)+COUNTIF(AG$3:AG7,AH7)+COUNTIF(AH$3:AH7,AH7)=1,MAX(GO$2:GQ6,GO7,GP7)+1,""))</f>
        <v/>
      </c>
      <c r="GR7" t="str">
        <f t="shared" si="85"/>
        <v/>
      </c>
      <c r="GS7" t="str">
        <f>IF(GR7="","",IF(COUNTIF(GR$3:GR7,GR7)=1,MAX(GS$2:GS6)+1,""))</f>
        <v/>
      </c>
      <c r="GT7" t="str">
        <f>IF(ES7="","",COUNTIF(ES$3:ES7,"?*"))</f>
        <v/>
      </c>
      <c r="GU7" t="str">
        <f>IF(OR(ES7="",EU7=""),"",IF(COUNTIFS(ES$3:ES7,"?*",EU$3:EU7,EU7)=1,MAX(GU$2:GU6)+1,""))</f>
        <v/>
      </c>
      <c r="GV7">
        <f t="shared" si="86"/>
        <v>0</v>
      </c>
      <c r="GW7" t="str">
        <f>IF(D7="","",COUNTIF(D$3:D7,"?*"))</f>
        <v/>
      </c>
      <c r="GX7">
        <f>IF(EX7&lt;&gt;1,0,_xlfn.LET(_xlpm.k,MAX(IFERROR(--VLOOKUP(D7,УГО_спр,5,FALSE),0),IFERROR(--VLOOKUP(AT7,УГО_спр,5,FALSE),0),IFERROR(--VLOOKUP(LEFT(AT7,2),УГО_спр,5,FALSE),0)),IF(_xlpm.k&gt;0,_xlpm.k,IF(IFERROR(--LEFT(SUBSTITUTE(GR7,"x","х"),FIND("х",SUBSTITUTE(GR7,"x","х"))-1),3)&gt;3,Каталог!$S$9,1))))</f>
        <v>0</v>
      </c>
      <c r="GY7">
        <f t="shared" si="87"/>
        <v>0</v>
      </c>
    </row>
    <row r="8" spans="1:207" x14ac:dyDescent="0.3">
      <c r="A8" t="s">
        <v>206</v>
      </c>
      <c r="B8">
        <v>6</v>
      </c>
      <c r="C8" t="str">
        <f>IF(BD8="","",IF(BE8="вводной узел","узел ","")&amp;"л."&amp;(INT((BD8-1)/Столбцов_на_лист)+1)&amp;" / "&amp;(MOD(BD8-1,Столбцов_на_лист)+1))</f>
        <v>узел л.1 / 6</v>
      </c>
      <c r="E8" s="133" t="str">
        <f t="shared" si="0"/>
        <v/>
      </c>
      <c r="AL8" t="s">
        <v>559</v>
      </c>
      <c r="AR8" t="str">
        <f t="shared" si="1"/>
        <v/>
      </c>
      <c r="AS8" cm="1">
        <f t="array" ref="AS8">ROW()-ROW(Линии[#Headers])</f>
        <v>6</v>
      </c>
      <c r="AT8" s="6" t="str">
        <f t="shared" si="2"/>
        <v/>
      </c>
      <c r="AU8" t="str">
        <f t="shared" si="3"/>
        <v/>
      </c>
      <c r="AV8" t="str">
        <f t="shared" si="4"/>
        <v/>
      </c>
      <c r="AW8" t="str">
        <f t="shared" si="5"/>
        <v/>
      </c>
      <c r="AX8" t="str">
        <f t="shared" si="6"/>
        <v/>
      </c>
      <c r="AY8" t="str">
        <f>IF(D8="","",IF(ISERROR(SEARCH(".",D8)),IFERROR(VLOOKUP(D8,Потребители_обозначение,2,FALSE)&amp;"",""),IFERROR(IF(VLOOKUP(AT8,Потребители_обозначение,4,FALSE)=1,VLOOKUP(AT8,Потребители_обозначение,2,FALSE)&amp;" "&amp;VLOOKUP(AV8,Этаж_обозначение,2,FALSE)&amp;" Пом. №"&amp;AX8,VLOOKUP(AT8,Потребители_обозначение,2,FALSE)&amp;" Шлейф №"&amp;AV8),IFERROR(VLOOKUP(D8,Потребители_обозначение,2,FALSE),""))))</f>
        <v/>
      </c>
      <c r="AZ8" t="str">
        <f t="shared" si="7"/>
        <v/>
      </c>
      <c r="BA8" t="str">
        <f>IF(F8&lt;&gt;"",F8,IF(AND(D8&lt;&gt;"",D8&lt;&gt;A8,ISNUMBER(_xlfn.XMATCH(D8,Щиты[Щит]))),D8,""))</f>
        <v/>
      </c>
      <c r="BB8">
        <f>IFERROR(_xlfn.XMATCH(A8,Щиты[Щит]),0)</f>
        <v>1</v>
      </c>
      <c r="BC8">
        <f>IFERROR(N(_xlfn.XLOOKUP(A8,Щиты[Щит],Щиты[Мест под вводной узел])),15)</f>
        <v>18</v>
      </c>
      <c r="BD8">
        <f t="shared" si="8"/>
        <v>6</v>
      </c>
      <c r="BE8" t="str">
        <f t="shared" si="9"/>
        <v>вводной узел</v>
      </c>
      <c r="BF8" s="6" t="str">
        <f>IF(D8="","",IF(BA8&lt;&gt;"",IFERROR(_xlfn.XLOOKUP(BA8,Щиты[Щит],Щиты[Руст, кВт]),0),N(G8)))</f>
        <v/>
      </c>
      <c r="BG8" t="str">
        <f>IF(J8&lt;&gt;"",J8,IF(D8="","",IFERROR(IF(VLOOKUP(AT8,Потребители_обозначение,8,FALSE)=0,"",VLOOKUP(AT8,Потребители_обозначение,8,FALSE)),"")))</f>
        <v/>
      </c>
      <c r="BH8" t="str">
        <f>IF(I8&lt;&gt;"",I8,IF(D8="","",IFERROR(IF(VLOOKUP(AT8,Потребители_обозначение,9,FALSE)=0,"",VLOOKUP(AT8,Потребители_обозначение,9,FALSE)),"")))</f>
        <v/>
      </c>
      <c r="BI8" t="str">
        <f>IF(U8&lt;&gt;"",U8,IF(D8="","",IFERROR(IF(VLOOKUP(AT8,Потребители_обозначение,6,FALSE)=0,"",VLOOKUP(AT8,Потребители_обозначение,6,FALSE)),"")))</f>
        <v/>
      </c>
      <c r="BJ8" t="str">
        <f>IF(V8&lt;&gt;"",V8,IF(D8="","",IFERROR(IF(VLOOKUP(AT8,Потребители_обозначение,7,FALSE)=0,"",VLOOKUP(AT8,Потребители_обозначение,7,FALSE)),"")))</f>
        <v/>
      </c>
      <c r="BK8" t="str">
        <f>IF(W8&lt;&gt;"",W8,IF(D8="","",IFERROR(IF(VLOOKUP(AT8,Потребители_обозначение,10,FALSE)=0,"",VLOOKUP(AT8,Потребители_обозначение,10,FALSE)),"")))</f>
        <v/>
      </c>
      <c r="BL8">
        <f>IFERROR(VLOOKUP(AT8,Потребители_обозначение,5,FALSE),0)</f>
        <v>0</v>
      </c>
      <c r="BM8" s="6" t="str" cm="1">
        <f t="array" ref="BM8">IF(D8="","",IF(BA8&lt;&gt;"",IFERROR(_xlfn.XLOOKUP(BA8,Щиты[Щит],Щиты[cos φ]),0.95),IF(ISNUMBER(M8),M8,IFERROR(IF(BL8=2,_xlfn.IFS(BH8=3,VLOOKUP(BF8,Справочная_двигатели,8,FALSE),BH8=1,VLOOKUP(BF8,Справочная_двигатели,10,TRUE)),IF(AND(Методика="нормы 2026",CN8="Сил"),0.8,0.95)),0.95))))</f>
        <v/>
      </c>
      <c r="BN8" s="6" t="str" cm="1">
        <f t="array" ref="BN8">IF(D8="","",IF(BA8&lt;&gt;"",IFERROR(_xlfn.XLOOKUP(BA8,Щиты[Щит],Щиты[Iр, А]),""),IFERROR(_xlfn.IFS(BH8=1,BF8/((Uн_лин/SQRT(3))*BM8),BH8=3,BF8/(SQRT(3)*Uн_лин*BM8)),"")))</f>
        <v/>
      </c>
      <c r="BO8" t="str">
        <f>IF(D8="","",IF(N(X8)=0,IFERROR(VLOOKUP(BN8,Автомат_номиналы,2,TRUE),""),X8))</f>
        <v/>
      </c>
      <c r="BP8">
        <f t="shared" si="10"/>
        <v>1</v>
      </c>
      <c r="BQ8">
        <f>IF(ISNUMBER(Y8),Y8,К_прокл)</f>
        <v>1</v>
      </c>
      <c r="BR8">
        <f t="shared" si="11"/>
        <v>3</v>
      </c>
      <c r="BS8" t="str" cm="1">
        <f t="array" ref="BS8">IF(D8="","",IF(N(BK8)&lt;&gt;0,BK8,IFERROR(_xlfn.LET(_xlpm.need,BO8/(BP8*BQ8),_xlpm.t,CHOOSE(BR8,Iдоп_1ж,Iдоп_2ж,Iдоп_3ж),_xlpm.k,_xlfn.XMATCH(_xlpm.need,_xlpm.t,1),IF(ISNA(_xlpm.k),"Не исп",INDEX(Iдоп_S,_xlpm.k))),"Не исп")))</f>
        <v/>
      </c>
      <c r="BT8" t="str">
        <f>IFERROR(VLOOKUP(BS8,Кабель_сопротивление,3,FALSE),"")</f>
        <v/>
      </c>
      <c r="BU8" t="str">
        <f>IFERROR(VLOOKUP(BS8,Кабель_сопротивление,2,FALSE),"")</f>
        <v/>
      </c>
      <c r="BV8" t="str">
        <f t="shared" si="12"/>
        <v/>
      </c>
      <c r="BW8" s="6" t="str">
        <f>IF(D8="","",IFERROR(IF(VLOOKUP(AT8,Потребители_обозначение,4,FALSE)=1,VLOOKUP(AT8,Потребители_обозначение,3,FALSE)*(H8*2-1)+BV8+VLOOKUP(AV8,Этаж_обозначение,3,FALSE)+VLOOKUP(AV8,Этаж_обозначение,4,FALSE),VLOOKUP(AT8,Потребители_обозначение,3,FALSE)*(H8*2-1)+BV8),BV8))</f>
        <v/>
      </c>
      <c r="BX8" t="str">
        <f t="shared" si="13"/>
        <v/>
      </c>
      <c r="BY8" t="str">
        <f t="shared" si="14"/>
        <v/>
      </c>
      <c r="BZ8" t="str">
        <f t="shared" si="15"/>
        <v/>
      </c>
      <c r="CA8" t="str">
        <f t="shared" si="16"/>
        <v/>
      </c>
      <c r="CB8" t="str">
        <f t="shared" si="17"/>
        <v/>
      </c>
      <c r="CC8" s="6" t="str">
        <f>IFERROR(ROUNDUP(CB8/((Uн_лин/SQRT(3))*1000)*100,2),"")</f>
        <v/>
      </c>
      <c r="CD8" s="6" t="str">
        <f>IF(ISNUMBER(CC8),CC8+IFERROR(_xlfn.XLOOKUP(A8,Щиты[Щит],Щиты[ΔU до шин, %]),0),"")</f>
        <v/>
      </c>
      <c r="CE8" s="6" t="str">
        <f>IF(D8="","",IF(IFERROR(VLOOKUP(AT8,УГО_спр,2,FALSE),"")="Светильник",3,4)+IF(Методика="нормы 2026",MIN(0.5,MAX(0,N(BW8)-100)*0.005),0))</f>
        <v/>
      </c>
      <c r="CF8" t="str">
        <f>IFERROR(VLOOKUP(BI8,Кабель_обозначение,2,FALSE),"")</f>
        <v/>
      </c>
      <c r="CG8" t="str">
        <f>IFERROR(IF(VLOOKUP(BI8,Кабель_обозначение,3,FALSE)=1,CF8&amp;" ("&amp;BJ8&amp;"х"&amp;BS8&amp;")",CF8),"")</f>
        <v/>
      </c>
      <c r="CH8" t="str">
        <f t="shared" si="18"/>
        <v/>
      </c>
      <c r="CI8" t="str">
        <f>IFERROR(2*ρкз_Cu*BW8/BS8,"")</f>
        <v/>
      </c>
      <c r="CJ8" t="str">
        <f t="shared" si="19"/>
        <v/>
      </c>
      <c r="CK8" s="6" t="str">
        <f>IFERROR(IF(OR(D8="",NOT(ISNUMBER(BS8)),N(BW8)=0),"",_xlfn.XLOOKUP(A8,Щиты[Щит],Щиты[Zпетли на шинах, Ом])+CI8),"")</f>
        <v/>
      </c>
      <c r="CL8" s="6" t="str">
        <f>IF(ISNUMBER(CK8),c_min*(Uн_лин*1000/SQRT(3))/CK8,"")</f>
        <v/>
      </c>
      <c r="CM8" s="6" t="str">
        <f>IFERROR(IF(OR(D8="",NOT(ISNUMBER(BS8))),"",1.05*(Uн_лин*1000/SQRT(3))/(_xlfn.XLOOKUP(A8,Щиты[Щит],Щиты[Zmax на шинах, Ом])+CJ8)/1000),"")</f>
        <v/>
      </c>
      <c r="CN8" s="6" t="str">
        <f>IF(D8="","",IF(BA8&lt;&gt;"","Щит",IF(K8&lt;&gt;"",K8,IF(ISNUMBER(L8),"Сил",IF(IFERROR(_xlfn.XLOOKUP(AT8,Коды_код,Коды_группа)&amp;"","")="","Быт",_xlfn.XLOOKUP(AT8,Коды_код,Коды_группа)&amp;"")))))</f>
        <v/>
      </c>
      <c r="CO8" s="6" t="str">
        <f>IF(CN8="Щит","щит",IF(CN8="","",IF(CN8="Быт",IFERROR(_xlfn.XLOOKUP(A8,Щиты[Щит],Щиты[Кс быт]),1),IF(CN8="Сил",IF(ISNUMBER(L8),L8,IF(Методика="нормы 2026",IFERROR(_xlfn.XLOOKUP(A8,Щиты[Щит],Щиты[Кс силовых (табл. 7.5)]),1),1)),IF(OR(CN8="Пост",CN8="Отоп"),1,IF(CN8="ВНГ",0.7,0))))))</f>
        <v/>
      </c>
      <c r="CP8" t="str">
        <f t="shared" si="20"/>
        <v/>
      </c>
      <c r="CQ8">
        <f t="shared" si="21"/>
        <v>0</v>
      </c>
      <c r="CR8">
        <f t="shared" si="22"/>
        <v>0</v>
      </c>
      <c r="CS8">
        <f t="shared" si="23"/>
        <v>0</v>
      </c>
      <c r="CT8">
        <f t="shared" si="24"/>
        <v>0</v>
      </c>
      <c r="CU8">
        <f t="shared" si="25"/>
        <v>0</v>
      </c>
      <c r="CV8">
        <f t="shared" si="26"/>
        <v>0</v>
      </c>
      <c r="CW8">
        <f t="shared" si="27"/>
        <v>0</v>
      </c>
      <c r="CX8">
        <f t="shared" si="28"/>
        <v>0</v>
      </c>
      <c r="CY8">
        <f t="shared" si="29"/>
        <v>0</v>
      </c>
      <c r="CZ8" t="str">
        <f t="shared" si="30"/>
        <v/>
      </c>
      <c r="DA8" cm="1">
        <f t="array" ref="DA8">IFERROR(IF(BL8=2,_xlfn.IFS(BH8=3,VLOOKUP(BF8,Справочная_двигатели,3,FALSE),BH8=1,VLOOKUP(BF8,Справочная_двигатели,5,TRUE)),0),0)</f>
        <v>0</v>
      </c>
      <c r="DB8">
        <f>IFERROR(IF(BL8=3,VLOOKUP(BF8,Справочная_ЛЭД,2,TRUE),0),0)</f>
        <v>0</v>
      </c>
      <c r="DC8" s="6" t="str">
        <f t="shared" si="31"/>
        <v/>
      </c>
      <c r="DD8" t="str">
        <f t="shared" si="32"/>
        <v/>
      </c>
      <c r="DE8" t="str" cm="1">
        <f t="array" ref="DE8">IF(D8="","",IFERROR(INDEX({"I особая","I","II","III"},MATCH(TRIM(AA8&amp;""),{"I особая","I","II","III"},0)),"III"))</f>
        <v/>
      </c>
      <c r="DF8" t="str">
        <f>IF(D8="","",IF(TRIM(AB8&amp;"")&lt;&gt;"",IF(LOWER(TRIM(AB8&amp;""))="да","да","нет"),IF(IFERROR(_xlfn.XLOOKUP(AT8,Коды_код,Коды_пожарная),"")="да","да","нет")))</f>
        <v/>
      </c>
      <c r="DG8" t="str">
        <f t="shared" si="33"/>
        <v/>
      </c>
      <c r="DH8" t="str">
        <f t="shared" si="34"/>
        <v/>
      </c>
      <c r="DI8">
        <f t="shared" si="35"/>
        <v>1</v>
      </c>
      <c r="DJ8" t="str" cm="1">
        <f t="array" ref="DJ8">IF(D8="","",_xlfn.LET(_xlpm.t,IFERROR(_xlfn.XLOOKUP(1,(Шины[Шина]=DH8)*(((Шины[Щит]=A8)+(Шины[Щит]=""))&gt;0),Шины[Тип]),"")&amp;"",IF(_xlpm.t&lt;&gt;"",_xlpm.t,IF(ISNUMBER(SEARCH("ИБП",DH8)),"ИБП",IF(ISNUMBER(SEARCH("ДГУ",DH8)),"ДГУ","Ввод "&amp;DI8)))))</f>
        <v/>
      </c>
      <c r="DK8" t="str">
        <f t="shared" si="36"/>
        <v/>
      </c>
      <c r="DL8" t="str">
        <f>IF(D8="","",IF(OR(DJ8="ИБП",DJ8="ДГУ"),"I особая",IF(DJ8="Одиночная","III",_xlfn.XLOOKUP(A8,Щиты[Щит],Щиты[Категория шины «Ввод»],"III"))))</f>
        <v/>
      </c>
      <c r="DM8">
        <f>IF(D8="",0,IFERROR(MATCH(DE8,{"III","II","I","I особая"},0),1))</f>
        <v>0</v>
      </c>
      <c r="DN8">
        <f t="shared" si="37"/>
        <v>0</v>
      </c>
      <c r="DO8" t="str">
        <f>IF(D8="","",IF(DM8&gt;IFERROR(MATCH(DL8,{"III","II","I","I особая"},0),1),"НЕ ОБЕСПЕЧЕНА","ОК"))</f>
        <v/>
      </c>
      <c r="DP8" t="str">
        <f>IF(A8="","",_xlfn.XLOOKUP(A8,Щиты[Щит],Щиты[Путь],""))</f>
        <v>|ЩР|</v>
      </c>
      <c r="DQ8" t="str">
        <f>IF(D8="","",IF(Z8&lt;&gt;"",Z8,IF(IFERROR(_xlfn.XLOOKUP(AT8,Коды_код,Коды_вид)&amp;"","")="","Прочее",_xlfn.XLOOKUP(AT8,Коды_код,Коды_вид)&amp;"")))</f>
        <v/>
      </c>
      <c r="DR8">
        <f>IF(BD8="","",INT((BD8-1)/Столбцов_на_лист)+1)</f>
        <v>1</v>
      </c>
      <c r="DS8" t="str">
        <f t="shared" si="38"/>
        <v/>
      </c>
      <c r="DT8" t="str">
        <f t="shared" si="39"/>
        <v/>
      </c>
      <c r="DU8" t="str">
        <f t="shared" si="40"/>
        <v/>
      </c>
      <c r="DV8" t="str">
        <f t="shared" si="41"/>
        <v/>
      </c>
      <c r="DW8">
        <f>IF(AT8="",0,_xlfn.LET(_xlpm.v,IFERROR(VLOOKUP(D8,УГО_спр,3,FALSE),IFERROR(VLOOKUP(AT8,УГО_спр,3,FALSE),IFERROR(VLOOKUP(LEFT(AT8,2),УГО_спр,3,FALSE),""))),IF(_xlpm.v="да",30,IF(ISNUMBER(_xlpm.v),_xlpm.v,0))))</f>
        <v>0</v>
      </c>
      <c r="DX8">
        <f t="shared" si="42"/>
        <v>0</v>
      </c>
      <c r="DY8" t="str">
        <f>IF(BD8="","",IF(AD8&lt;&gt;"",COUNTIFS(A$3:A8,A8,AD$3:AD8,"?*"),IF(OR(OR(AS8=1,A8&lt;&gt;A7),AL8="вручную"),"",IF(AS8=1,"",DZ7))))</f>
        <v/>
      </c>
      <c r="DZ8" t="str">
        <f t="shared" si="43"/>
        <v/>
      </c>
      <c r="EA8">
        <f>IF(D8="",0,MAX(IFERROR(--X8,0),IFERROR(--VLOOKUP(D8,УГО_спр,4,FALSE),IFERROR(--VLOOKUP(AT8,УГО_спр,4,FALSE),IFERROR(--VLOOKUP(LEFT(AT8,2),УГО_спр,4,FALSE),0)))))</f>
        <v>0</v>
      </c>
      <c r="EB8" t="str">
        <f>IF(D8="","",IFERROR(LOOKUP(INDEX(CHOOSE(BR8,Iдоп_1ж,Iдоп_2ж,Iдоп_3ж),MATCH(BS8,Iдоп_S,0))*BP8*BQ8,{6,10,16,20,25,32,40,50,63,80,100,125,160,200,250,315,400,500,630}),""))</f>
        <v/>
      </c>
      <c r="EC8" t="str">
        <f>IF(AD8="","",SUMIFS(Линии[_Ток схемы],Линии[_гр.],DY8,Линии[Щит],A8,Линии[_в кабель выше],0))</f>
        <v/>
      </c>
      <c r="ED8" t="str">
        <f>IF(AD8="","",IFERROR(VLOOKUP(EC8,Автомат_номиналы,2,TRUE),""))</f>
        <v/>
      </c>
      <c r="EE8" t="str">
        <f>IF(AD8="","",MAX(N(ED8),_xlfn.MAXIFS(Линии[_мин. по типу],Линии[_гр.],DY8,Линии[Щит],A8)))</f>
        <v/>
      </c>
      <c r="EF8" t="str">
        <f>IF(AD8="","",_xlfn.MINIFS(Линии[_макс. автомат по кабелю],Линии[_гр.],DY8,Линии[Щит],A8))</f>
        <v/>
      </c>
      <c r="EG8" t="str">
        <f>IF(AD8="","",MAX(1,_xlfn.MAXIFS(Линии[_фаз],Линии[_гр.],DY8,Линии[Щит],A8)))</f>
        <v/>
      </c>
      <c r="EH8" t="str">
        <f>IF(AD8="","",IF(AND(AD8&lt;&gt;"авто",AD8&lt;&gt;"+"),IF(ISNUMBER(SEARCH("мА",AD8)),IFERROR(--TRIM(RIGHT(SUBSTITUTE(LEFT(AD8,SEARCH("мА",AD8)-1)," ",REPT(" ",9)),6)),30),0),IF(AE8="нет",0,IF(ISNUMBER(AE8),AE8,IF(AE8="да",30,_xlfn.MINIFS(Линии[_дифзащита по коду, мА],Линии[_гр.],DY8,Линии[Щит],A8,Линии[_дифзащита по коду, мА],"&gt;0"))))))</f>
        <v/>
      </c>
      <c r="EI8" t="str">
        <f t="shared" si="44"/>
        <v/>
      </c>
      <c r="EJ8" t="str">
        <f t="shared" si="45"/>
        <v/>
      </c>
      <c r="EK8" t="str">
        <f t="shared" si="46"/>
        <v/>
      </c>
      <c r="EL8" t="str">
        <f t="shared" si="47"/>
        <v/>
      </c>
      <c r="EM8">
        <f t="shared" si="48"/>
        <v>0</v>
      </c>
      <c r="EN8" t="str">
        <f>IF(AD8="","",IF(EM8=1,MAX(EE8,Мин_автомат_БП),EE8))</f>
        <v/>
      </c>
      <c r="EO8" t="str">
        <f t="shared" si="49"/>
        <v/>
      </c>
      <c r="EP8" t="str">
        <f t="shared" si="50"/>
        <v/>
      </c>
      <c r="EQ8" t="str">
        <f t="shared" si="51"/>
        <v/>
      </c>
      <c r="ER8" t="str">
        <f>IF(OR(AI8="",AI8="-"),"",IFERROR(VLOOKUP(AI8,Модули_спр,2,FALSE),"R"))</f>
        <v/>
      </c>
      <c r="ES8" t="str">
        <f>IF(ER8="","",ER8&amp;"."&amp;COUNTIFS(A$3:A8,A8,ER$3:ER8,ER8))</f>
        <v/>
      </c>
      <c r="ET8" t="str">
        <f t="shared" si="52"/>
        <v/>
      </c>
      <c r="EU8" t="str">
        <f t="shared" si="53"/>
        <v/>
      </c>
      <c r="EV8" t="str">
        <f t="shared" si="54"/>
        <v/>
      </c>
      <c r="EW8" t="str">
        <f t="shared" si="55"/>
        <v/>
      </c>
      <c r="EX8">
        <f t="shared" si="56"/>
        <v>0</v>
      </c>
      <c r="EY8" t="str">
        <f>IF(AK8="нет","",IF(AK8&lt;&gt;"",AK8,IF(EX8=1,"XT"&amp;COUNTIFS(A$3:A8,A8,EX$3:EX8,1),"")))</f>
        <v/>
      </c>
      <c r="EZ8" t="str">
        <f t="shared" si="57"/>
        <v/>
      </c>
      <c r="FA8" t="str">
        <f t="shared" si="58"/>
        <v/>
      </c>
      <c r="FB8" t="str">
        <f t="shared" si="59"/>
        <v/>
      </c>
      <c r="FC8" t="str">
        <f>IF(OR(EV8="",ET8=""),"",IF(EV8&gt;IFERROR(VLOOKUP(EU8,Модули_спр,3,FALSE),99),"ЛИШНИЙ КАНАЛ",IF(AND(AJ8&lt;&gt;"=",COUNTIFS(Линии[_модуль гр.],ET8,Линии[Канал (итог)],EV8,Линии[Канал],"&lt;&gt;=",Линии[Щит],A8)&gt;1),"ДУБЛЬ КАНАЛА","")))</f>
        <v/>
      </c>
      <c r="FD8" t="str">
        <f t="shared" si="60"/>
        <v/>
      </c>
      <c r="FE8" t="str">
        <f t="shared" si="61"/>
        <v/>
      </c>
      <c r="FF8" t="str">
        <f t="shared" si="62"/>
        <v/>
      </c>
      <c r="FG8" t="str">
        <f t="shared" si="63"/>
        <v/>
      </c>
      <c r="FH8" s="6" t="str">
        <f t="shared" si="64"/>
        <v/>
      </c>
      <c r="FI8">
        <f t="shared" si="65"/>
        <v>10</v>
      </c>
      <c r="FJ8" t="str">
        <f t="shared" si="66"/>
        <v/>
      </c>
      <c r="FK8" t="str">
        <f>IF(AND(D8="",EZ8=""),"",_xlfn.TEXTJOIN("; ",TRUE,IF(AND(D8&lt;&gt;"",DD8=""),"нет фазы",""),IF(AND(D8&lt;&gt;"",N(DT8)=0,CN8&lt;&gt;"Нет"),"нет мощности",""),IF(AND(EY8&lt;&gt;"",COUNTIFS(Линии[Щит],A8,Линии[Клемма (итог)],EY8)&gt;1),"дубль клеммы "&amp;EY8,""),IF(AND(FB8&lt;&gt;"",FB8&lt;&gt;"ok"),FB8,""),IF(FC8&lt;&gt;"",FC8,""),IF(AND(ISNUMBER(SEARCH("(5х",DS8)),N(DV8)=1),"5 жил на 1 фазе",""),IF(AND(AT8="R",AD8&lt;&gt;"",OR(N(EH8)=0,N(EH8)&gt;30)),"розетка без дифзащиты до 30 мА",""),IFERROR(IF(AND(ISNUMBER(CD8),CD8&gt;CE8),"потери "&amp;FIXED(CD8,1)&amp;" % &gt; "&amp;CE8&amp;" %",""),""),IFERROR(IF(LEFT(FJ8,4)="мало","Iкз мало — отключение &gt; 0,4 с",""),""),IF(AND(D8&lt;&gt;"",BD8=""),"не на схеме","")))</f>
        <v/>
      </c>
      <c r="FL8" s="6" t="str">
        <f>IF(AD8="","",_xlfn.LET(_xlpm.t,IFERROR(_xlfn.XLOOKUP(EP8,Каталог!$U$4:$U$500,Каталог!$G$4:$G$500),""),_xlpm.k,SEARCH("кА",_xlpm.t),IFERROR(--TRIM(RIGHT(SUBSTITUTE(MID(_xlpm.t,MAX(1,_xlpm.k-4),_xlpm.k-MAX(1,_xlpm.k-4))," ",REPT(" ",9)),5)),"")))</f>
        <v/>
      </c>
      <c r="FM8" t="str">
        <f>IF(OR(FL8="",AD8=""),"",IF(_xlfn.XLOOKUP(A8,Щиты[Щит],Щиты[Iкз max на шинах, кА],"")="","",IF(FL8&lt;_xlfn.XLOOKUP(A8,Щиты[Щит],Щиты[Iкз max на шинах, кА]),"Icu "&amp;FL8&amp;" кА &lt; Iкз max","ok")))</f>
        <v/>
      </c>
      <c r="FN8" t="str">
        <f t="shared" si="67"/>
        <v/>
      </c>
      <c r="FO8" t="str">
        <f t="shared" si="68"/>
        <v/>
      </c>
      <c r="FP8" t="str" cm="1">
        <f t="array" ref="FP8">IF(FO8="","",_xlfn.LET(_xlpm.nd,_xlfn.TEXTSPLIT(FO8,"|"),IF(COLUMNS(_xlpm.nd)&gt;1,A8&amp;"¦"&amp;INDEX(_xlpm.nd,1)&amp;"¦"&amp;INDEX(_xlpm.nd,2),"")))</f>
        <v/>
      </c>
      <c r="FQ8" t="str">
        <f t="shared" si="69"/>
        <v/>
      </c>
      <c r="FR8" t="str" cm="1">
        <f t="array" ref="FR8">IF(FO8="","",_xlfn.LET(_xlpm.nd,_xlfn.TEXTSPLIT(FO8,"|"),IF(COLUMNS(_xlpm.nd)&gt;2,A8&amp;"¦"&amp;INDEX(_xlpm.nd,2)&amp;"¦"&amp;INDEX(_xlpm.nd,3),"")))</f>
        <v/>
      </c>
      <c r="FS8" t="str">
        <f t="shared" si="70"/>
        <v/>
      </c>
      <c r="FT8" t="str" cm="1">
        <f t="array" ref="FT8">IF(FO8="","",_xlfn.LET(_xlpm.nd,_xlfn.TEXTSPLIT(FO8,"|"),IF(COLUMNS(_xlpm.nd)&gt;3,A8&amp;"¦"&amp;INDEX(_xlpm.nd,3)&amp;"¦"&amp;INDEX(_xlpm.nd,4),"")))</f>
        <v/>
      </c>
      <c r="FU8" t="str">
        <f t="shared" si="71"/>
        <v/>
      </c>
      <c r="FV8" t="str" cm="1">
        <f t="array" ref="FV8">IF(FO8="","",_xlfn.LET(_xlpm.nd,_xlfn.TEXTSPLIT(FO8,"|"),IF(COLUMNS(_xlpm.nd)&gt;4,A8&amp;"¦"&amp;INDEX(_xlpm.nd,4)&amp;"¦"&amp;INDEX(_xlpm.nd,5),"")))</f>
        <v/>
      </c>
      <c r="FW8" t="str">
        <f t="shared" si="72"/>
        <v/>
      </c>
      <c r="FX8" t="str" cm="1">
        <f t="array" ref="FX8">IF(FO8="","",_xlfn.LET(_xlpm.nd,_xlfn.TEXTSPLIT(FO8,"|"),IF(COLUMNS(_xlpm.nd)&gt;5,A8&amp;"¦"&amp;INDEX(_xlpm.nd,5)&amp;"¦"&amp;INDEX(_xlpm.nd,6),"")))</f>
        <v/>
      </c>
      <c r="FY8" t="str">
        <f t="shared" si="73"/>
        <v/>
      </c>
      <c r="FZ8" t="str" cm="1">
        <f t="array" ref="FZ8">IF(FO8="","",_xlfn.LET(_xlpm.nd,_xlfn.TEXTSPLIT(FO8,"|"),IF(COLUMNS(_xlpm.nd)&gt;6,A8&amp;"¦"&amp;INDEX(_xlpm.nd,6)&amp;"¦"&amp;INDEX(_xlpm.nd,7),"")))</f>
        <v/>
      </c>
      <c r="GA8" t="str">
        <f t="shared" si="74"/>
        <v/>
      </c>
      <c r="GB8" t="str">
        <f t="shared" si="75"/>
        <v/>
      </c>
      <c r="GC8" t="str">
        <f t="shared" si="76"/>
        <v/>
      </c>
      <c r="GD8">
        <f t="shared" si="77"/>
        <v>0</v>
      </c>
      <c r="GE8">
        <f t="shared" si="78"/>
        <v>0</v>
      </c>
      <c r="GF8">
        <f t="shared" si="79"/>
        <v>0</v>
      </c>
      <c r="GG8" t="str">
        <f t="shared" si="80"/>
        <v/>
      </c>
      <c r="GH8" t="str">
        <f t="shared" si="81"/>
        <v/>
      </c>
      <c r="GI8" t="str">
        <f t="shared" si="82"/>
        <v/>
      </c>
      <c r="GJ8" t="str">
        <f t="shared" si="83"/>
        <v/>
      </c>
      <c r="GK8" t="str">
        <f>IF(D8="","",IFERROR(VLOOKUP(D8,УГО_спр,2,FALSE),IFERROR(VLOOKUP(AT8,УГО_спр,2,FALSE),IFERROR(VLOOKUP(LEFT(AT8,2),УГО_спр,2,FALSE),""))))</f>
        <v/>
      </c>
      <c r="GL8" t="str">
        <f>IF(D8="","",IF(OR(GK8="",GK8=0),"BOX",IFERROR(IF(VLOOKUP(GK8,УГО_блоки,3,FALSE)&amp;""&lt;&gt;"",VLOOKUP(GK8,УГО_блоки,3,FALSE),VLOOKUP(GK8,УГО_блоки,2,FALSE)),GK8)))</f>
        <v/>
      </c>
      <c r="GM8">
        <f t="shared" si="84"/>
        <v>0</v>
      </c>
      <c r="GN8" t="str">
        <f>IF(EP8="","",IF(COUNTIF(EP$3:EP8,EP8)=1,MAX(GN$2:GN7)+1,""))</f>
        <v/>
      </c>
      <c r="GO8" t="str">
        <f>IF(AF8="","",IF(COUNTIF(AF$3:AF8,AF8)+COUNTIF(AG$2:AG7,AF8)+COUNTIF(AH$2:AH7,AF8)=1,MAX(GO$2:GQ7)+1,""))</f>
        <v/>
      </c>
      <c r="GP8" t="str">
        <f>IF(AG8="","",IF(COUNTIF(AF$3:AF8,AG8)+COUNTIF(AG$3:AG8,AG8)+COUNTIF(AH$2:AH7,AG8)=1,MAX(GO$2:GQ7,GO8)+1,""))</f>
        <v/>
      </c>
      <c r="GQ8" t="str">
        <f>IF(AH8="","",IF(COUNTIF(AF$3:AF8,AH8)+COUNTIF(AG$3:AG8,AH8)+COUNTIF(AH$3:AH8,AH8)=1,MAX(GO$2:GQ7,GO8,GP8)+1,""))</f>
        <v/>
      </c>
      <c r="GR8" t="str">
        <f t="shared" si="85"/>
        <v/>
      </c>
      <c r="GS8" t="str">
        <f>IF(GR8="","",IF(COUNTIF(GR$3:GR8,GR8)=1,MAX(GS$2:GS7)+1,""))</f>
        <v/>
      </c>
      <c r="GT8" t="str">
        <f>IF(ES8="","",COUNTIF(ES$3:ES8,"?*"))</f>
        <v/>
      </c>
      <c r="GU8" t="str">
        <f>IF(OR(ES8="",EU8=""),"",IF(COUNTIFS(ES$3:ES8,"?*",EU$3:EU8,EU8)=1,MAX(GU$2:GU7)+1,""))</f>
        <v/>
      </c>
      <c r="GV8">
        <f t="shared" si="86"/>
        <v>0</v>
      </c>
      <c r="GW8" t="str">
        <f>IF(D8="","",COUNTIF(D$3:D8,"?*"))</f>
        <v/>
      </c>
      <c r="GX8">
        <f>IF(EX8&lt;&gt;1,0,_xlfn.LET(_xlpm.k,MAX(IFERROR(--VLOOKUP(D8,УГО_спр,5,FALSE),0),IFERROR(--VLOOKUP(AT8,УГО_спр,5,FALSE),0),IFERROR(--VLOOKUP(LEFT(AT8,2),УГО_спр,5,FALSE),0)),IF(_xlpm.k&gt;0,_xlpm.k,IF(IFERROR(--LEFT(SUBSTITUTE(GR8,"x","х"),FIND("х",SUBSTITUTE(GR8,"x","х"))-1),3)&gt;3,Каталог!$S$9,1))))</f>
        <v>0</v>
      </c>
      <c r="GY8">
        <f t="shared" si="87"/>
        <v>0</v>
      </c>
    </row>
    <row r="9" spans="1:207" x14ac:dyDescent="0.3">
      <c r="A9" t="s">
        <v>206</v>
      </c>
      <c r="B9">
        <v>7</v>
      </c>
      <c r="C9" t="str">
        <f>IF(BD9="","",IF(BE9="вводной узел","узел ","")&amp;"л."&amp;(INT((BD9-1)/Столбцов_на_лист)+1)&amp;" / "&amp;(MOD(BD9-1,Столбцов_на_лист)+1))</f>
        <v>узел л.1 / 7</v>
      </c>
      <c r="E9" s="133" t="str">
        <f t="shared" si="0"/>
        <v/>
      </c>
      <c r="AL9" t="s">
        <v>559</v>
      </c>
      <c r="AR9" t="str">
        <f t="shared" si="1"/>
        <v/>
      </c>
      <c r="AS9" cm="1">
        <f t="array" ref="AS9">ROW()-ROW(Линии[#Headers])</f>
        <v>7</v>
      </c>
      <c r="AT9" s="6" t="str">
        <f t="shared" si="2"/>
        <v/>
      </c>
      <c r="AU9" t="str">
        <f t="shared" si="3"/>
        <v/>
      </c>
      <c r="AV9" t="str">
        <f t="shared" si="4"/>
        <v/>
      </c>
      <c r="AW9" t="str">
        <f t="shared" si="5"/>
        <v/>
      </c>
      <c r="AX9" t="str">
        <f t="shared" si="6"/>
        <v/>
      </c>
      <c r="AY9" t="str">
        <f>IF(D9="","",IF(ISERROR(SEARCH(".",D9)),IFERROR(VLOOKUP(D9,Потребители_обозначение,2,FALSE)&amp;"",""),IFERROR(IF(VLOOKUP(AT9,Потребители_обозначение,4,FALSE)=1,VLOOKUP(AT9,Потребители_обозначение,2,FALSE)&amp;" "&amp;VLOOKUP(AV9,Этаж_обозначение,2,FALSE)&amp;" Пом. №"&amp;AX9,VLOOKUP(AT9,Потребители_обозначение,2,FALSE)&amp;" Шлейф №"&amp;AV9),IFERROR(VLOOKUP(D9,Потребители_обозначение,2,FALSE),""))))</f>
        <v/>
      </c>
      <c r="AZ9" t="str">
        <f t="shared" si="7"/>
        <v/>
      </c>
      <c r="BA9" t="str">
        <f>IF(F9&lt;&gt;"",F9,IF(AND(D9&lt;&gt;"",D9&lt;&gt;A9,ISNUMBER(_xlfn.XMATCH(D9,Щиты[Щит]))),D9,""))</f>
        <v/>
      </c>
      <c r="BB9">
        <f>IFERROR(_xlfn.XMATCH(A9,Щиты[Щит]),0)</f>
        <v>1</v>
      </c>
      <c r="BC9">
        <f>IFERROR(N(_xlfn.XLOOKUP(A9,Щиты[Щит],Щиты[Мест под вводной узел])),15)</f>
        <v>18</v>
      </c>
      <c r="BD9">
        <f t="shared" si="8"/>
        <v>7</v>
      </c>
      <c r="BE9" t="str">
        <f t="shared" si="9"/>
        <v>вводной узел</v>
      </c>
      <c r="BF9" s="6" t="str">
        <f>IF(D9="","",IF(BA9&lt;&gt;"",IFERROR(_xlfn.XLOOKUP(BA9,Щиты[Щит],Щиты[Руст, кВт]),0),N(G9)))</f>
        <v/>
      </c>
      <c r="BG9" t="str">
        <f>IF(J9&lt;&gt;"",J9,IF(D9="","",IFERROR(IF(VLOOKUP(AT9,Потребители_обозначение,8,FALSE)=0,"",VLOOKUP(AT9,Потребители_обозначение,8,FALSE)),"")))</f>
        <v/>
      </c>
      <c r="BH9" t="str">
        <f>IF(I9&lt;&gt;"",I9,IF(D9="","",IFERROR(IF(VLOOKUP(AT9,Потребители_обозначение,9,FALSE)=0,"",VLOOKUP(AT9,Потребители_обозначение,9,FALSE)),"")))</f>
        <v/>
      </c>
      <c r="BI9" t="str">
        <f>IF(U9&lt;&gt;"",U9,IF(D9="","",IFERROR(IF(VLOOKUP(AT9,Потребители_обозначение,6,FALSE)=0,"",VLOOKUP(AT9,Потребители_обозначение,6,FALSE)),"")))</f>
        <v/>
      </c>
      <c r="BJ9" t="str">
        <f>IF(V9&lt;&gt;"",V9,IF(D9="","",IFERROR(IF(VLOOKUP(AT9,Потребители_обозначение,7,FALSE)=0,"",VLOOKUP(AT9,Потребители_обозначение,7,FALSE)),"")))</f>
        <v/>
      </c>
      <c r="BK9" t="str">
        <f>IF(W9&lt;&gt;"",W9,IF(D9="","",IFERROR(IF(VLOOKUP(AT9,Потребители_обозначение,10,FALSE)=0,"",VLOOKUP(AT9,Потребители_обозначение,10,FALSE)),"")))</f>
        <v/>
      </c>
      <c r="BL9">
        <f>IFERROR(VLOOKUP(AT9,Потребители_обозначение,5,FALSE),0)</f>
        <v>0</v>
      </c>
      <c r="BM9" s="6" t="str" cm="1">
        <f t="array" ref="BM9">IF(D9="","",IF(BA9&lt;&gt;"",IFERROR(_xlfn.XLOOKUP(BA9,Щиты[Щит],Щиты[cos φ]),0.95),IF(ISNUMBER(M9),M9,IFERROR(IF(BL9=2,_xlfn.IFS(BH9=3,VLOOKUP(BF9,Справочная_двигатели,8,FALSE),BH9=1,VLOOKUP(BF9,Справочная_двигатели,10,TRUE)),IF(AND(Методика="нормы 2026",CN9="Сил"),0.8,0.95)),0.95))))</f>
        <v/>
      </c>
      <c r="BN9" s="6" t="str" cm="1">
        <f t="array" ref="BN9">IF(D9="","",IF(BA9&lt;&gt;"",IFERROR(_xlfn.XLOOKUP(BA9,Щиты[Щит],Щиты[Iр, А]),""),IFERROR(_xlfn.IFS(BH9=1,BF9/((Uн_лин/SQRT(3))*BM9),BH9=3,BF9/(SQRT(3)*Uн_лин*BM9)),"")))</f>
        <v/>
      </c>
      <c r="BO9" t="str">
        <f>IF(D9="","",IF(N(X9)=0,IFERROR(VLOOKUP(BN9,Автомат_номиналы,2,TRUE),""),X9))</f>
        <v/>
      </c>
      <c r="BP9">
        <f t="shared" si="10"/>
        <v>1</v>
      </c>
      <c r="BQ9">
        <f>IF(ISNUMBER(Y9),Y9,К_прокл)</f>
        <v>1</v>
      </c>
      <c r="BR9">
        <f t="shared" si="11"/>
        <v>3</v>
      </c>
      <c r="BS9" t="str" cm="1">
        <f t="array" ref="BS9">IF(D9="","",IF(N(BK9)&lt;&gt;0,BK9,IFERROR(_xlfn.LET(_xlpm.need,BO9/(BP9*BQ9),_xlpm.t,CHOOSE(BR9,Iдоп_1ж,Iдоп_2ж,Iдоп_3ж),_xlpm.k,_xlfn.XMATCH(_xlpm.need,_xlpm.t,1),IF(ISNA(_xlpm.k),"Не исп",INDEX(Iдоп_S,_xlpm.k))),"Не исп")))</f>
        <v/>
      </c>
      <c r="BT9" t="str">
        <f>IFERROR(VLOOKUP(BS9,Кабель_сопротивление,3,FALSE),"")</f>
        <v/>
      </c>
      <c r="BU9" t="str">
        <f>IFERROR(VLOOKUP(BS9,Кабель_сопротивление,2,FALSE),"")</f>
        <v/>
      </c>
      <c r="BV9" t="str">
        <f t="shared" si="12"/>
        <v/>
      </c>
      <c r="BW9" s="6" t="str">
        <f>IF(D9="","",IFERROR(IF(VLOOKUP(AT9,Потребители_обозначение,4,FALSE)=1,VLOOKUP(AT9,Потребители_обозначение,3,FALSE)*(H9*2-1)+BV9+VLOOKUP(AV9,Этаж_обозначение,3,FALSE)+VLOOKUP(AV9,Этаж_обозначение,4,FALSE),VLOOKUP(AT9,Потребители_обозначение,3,FALSE)*(H9*2-1)+BV9),BV9))</f>
        <v/>
      </c>
      <c r="BX9" t="str">
        <f t="shared" si="13"/>
        <v/>
      </c>
      <c r="BY9" t="str">
        <f t="shared" si="14"/>
        <v/>
      </c>
      <c r="BZ9" t="str">
        <f t="shared" si="15"/>
        <v/>
      </c>
      <c r="CA9" t="str">
        <f t="shared" si="16"/>
        <v/>
      </c>
      <c r="CB9" t="str">
        <f t="shared" si="17"/>
        <v/>
      </c>
      <c r="CC9" s="6" t="str">
        <f>IFERROR(ROUNDUP(CB9/((Uн_лин/SQRT(3))*1000)*100,2),"")</f>
        <v/>
      </c>
      <c r="CD9" s="6" t="str">
        <f>IF(ISNUMBER(CC9),CC9+IFERROR(_xlfn.XLOOKUP(A9,Щиты[Щит],Щиты[ΔU до шин, %]),0),"")</f>
        <v/>
      </c>
      <c r="CE9" s="6" t="str">
        <f>IF(D9="","",IF(IFERROR(VLOOKUP(AT9,УГО_спр,2,FALSE),"")="Светильник",3,4)+IF(Методика="нормы 2026",MIN(0.5,MAX(0,N(BW9)-100)*0.005),0))</f>
        <v/>
      </c>
      <c r="CF9" t="str">
        <f>IFERROR(VLOOKUP(BI9,Кабель_обозначение,2,FALSE),"")</f>
        <v/>
      </c>
      <c r="CG9" t="str">
        <f>IFERROR(IF(VLOOKUP(BI9,Кабель_обозначение,3,FALSE)=1,CF9&amp;" ("&amp;BJ9&amp;"х"&amp;BS9&amp;")",CF9),"")</f>
        <v/>
      </c>
      <c r="CH9" t="str">
        <f t="shared" si="18"/>
        <v/>
      </c>
      <c r="CI9" t="str">
        <f>IFERROR(2*ρкз_Cu*BW9/BS9,"")</f>
        <v/>
      </c>
      <c r="CJ9" t="str">
        <f t="shared" si="19"/>
        <v/>
      </c>
      <c r="CK9" s="6" t="str">
        <f>IFERROR(IF(OR(D9="",NOT(ISNUMBER(BS9)),N(BW9)=0),"",_xlfn.XLOOKUP(A9,Щиты[Щит],Щиты[Zпетли на шинах, Ом])+CI9),"")</f>
        <v/>
      </c>
      <c r="CL9" s="6" t="str">
        <f>IF(ISNUMBER(CK9),c_min*(Uн_лин*1000/SQRT(3))/CK9,"")</f>
        <v/>
      </c>
      <c r="CM9" s="6" t="str">
        <f>IFERROR(IF(OR(D9="",NOT(ISNUMBER(BS9))),"",1.05*(Uн_лин*1000/SQRT(3))/(_xlfn.XLOOKUP(A9,Щиты[Щит],Щиты[Zmax на шинах, Ом])+CJ9)/1000),"")</f>
        <v/>
      </c>
      <c r="CN9" s="6" t="str">
        <f>IF(D9="","",IF(BA9&lt;&gt;"","Щит",IF(K9&lt;&gt;"",K9,IF(ISNUMBER(L9),"Сил",IF(IFERROR(_xlfn.XLOOKUP(AT9,Коды_код,Коды_группа)&amp;"","")="","Быт",_xlfn.XLOOKUP(AT9,Коды_код,Коды_группа)&amp;"")))))</f>
        <v/>
      </c>
      <c r="CO9" s="6" t="str">
        <f>IF(CN9="Щит","щит",IF(CN9="","",IF(CN9="Быт",IFERROR(_xlfn.XLOOKUP(A9,Щиты[Щит],Щиты[Кс быт]),1),IF(CN9="Сил",IF(ISNUMBER(L9),L9,IF(Методика="нормы 2026",IFERROR(_xlfn.XLOOKUP(A9,Щиты[Щит],Щиты[Кс силовых (табл. 7.5)]),1),1)),IF(OR(CN9="Пост",CN9="Отоп"),1,IF(CN9="ВНГ",0.7,0))))))</f>
        <v/>
      </c>
      <c r="CP9" t="str">
        <f t="shared" si="20"/>
        <v/>
      </c>
      <c r="CQ9">
        <f t="shared" si="21"/>
        <v>0</v>
      </c>
      <c r="CR9">
        <f t="shared" si="22"/>
        <v>0</v>
      </c>
      <c r="CS9">
        <f t="shared" si="23"/>
        <v>0</v>
      </c>
      <c r="CT9">
        <f t="shared" si="24"/>
        <v>0</v>
      </c>
      <c r="CU9">
        <f t="shared" si="25"/>
        <v>0</v>
      </c>
      <c r="CV9">
        <f t="shared" si="26"/>
        <v>0</v>
      </c>
      <c r="CW9">
        <f t="shared" si="27"/>
        <v>0</v>
      </c>
      <c r="CX9">
        <f t="shared" si="28"/>
        <v>0</v>
      </c>
      <c r="CY9">
        <f t="shared" si="29"/>
        <v>0</v>
      </c>
      <c r="CZ9" t="str">
        <f t="shared" si="30"/>
        <v/>
      </c>
      <c r="DA9" cm="1">
        <f t="array" ref="DA9">IFERROR(IF(BL9=2,_xlfn.IFS(BH9=3,VLOOKUP(BF9,Справочная_двигатели,3,FALSE),BH9=1,VLOOKUP(BF9,Справочная_двигатели,5,TRUE)),0),0)</f>
        <v>0</v>
      </c>
      <c r="DB9">
        <f>IFERROR(IF(BL9=3,VLOOKUP(BF9,Справочная_ЛЭД,2,TRUE),0),0)</f>
        <v>0</v>
      </c>
      <c r="DC9" s="6" t="str">
        <f t="shared" si="31"/>
        <v/>
      </c>
      <c r="DD9" t="str">
        <f t="shared" si="32"/>
        <v/>
      </c>
      <c r="DE9" t="str" cm="1">
        <f t="array" ref="DE9">IF(D9="","",IFERROR(INDEX({"I особая","I","II","III"},MATCH(TRIM(AA9&amp;""),{"I особая","I","II","III"},0)),"III"))</f>
        <v/>
      </c>
      <c r="DF9" t="str">
        <f>IF(D9="","",IF(TRIM(AB9&amp;"")&lt;&gt;"",IF(LOWER(TRIM(AB9&amp;""))="да","да","нет"),IF(IFERROR(_xlfn.XLOOKUP(AT9,Коды_код,Коды_пожарная),"")="да","да","нет")))</f>
        <v/>
      </c>
      <c r="DG9" t="str">
        <f t="shared" si="33"/>
        <v/>
      </c>
      <c r="DH9" t="str">
        <f t="shared" si="34"/>
        <v/>
      </c>
      <c r="DI9">
        <f t="shared" si="35"/>
        <v>1</v>
      </c>
      <c r="DJ9" t="str" cm="1">
        <f t="array" ref="DJ9">IF(D9="","",_xlfn.LET(_xlpm.t,IFERROR(_xlfn.XLOOKUP(1,(Шины[Шина]=DH9)*(((Шины[Щит]=A9)+(Шины[Щит]=""))&gt;0),Шины[Тип]),"")&amp;"",IF(_xlpm.t&lt;&gt;"",_xlpm.t,IF(ISNUMBER(SEARCH("ИБП",DH9)),"ИБП",IF(ISNUMBER(SEARCH("ДГУ",DH9)),"ДГУ","Ввод "&amp;DI9)))))</f>
        <v/>
      </c>
      <c r="DK9" t="str">
        <f t="shared" si="36"/>
        <v/>
      </c>
      <c r="DL9" t="str">
        <f>IF(D9="","",IF(OR(DJ9="ИБП",DJ9="ДГУ"),"I особая",IF(DJ9="Одиночная","III",_xlfn.XLOOKUP(A9,Щиты[Щит],Щиты[Категория шины «Ввод»],"III"))))</f>
        <v/>
      </c>
      <c r="DM9">
        <f>IF(D9="",0,IFERROR(MATCH(DE9,{"III","II","I","I особая"},0),1))</f>
        <v>0</v>
      </c>
      <c r="DN9">
        <f t="shared" si="37"/>
        <v>0</v>
      </c>
      <c r="DO9" t="str">
        <f>IF(D9="","",IF(DM9&gt;IFERROR(MATCH(DL9,{"III","II","I","I особая"},0),1),"НЕ ОБЕСПЕЧЕНА","ОК"))</f>
        <v/>
      </c>
      <c r="DP9" t="str">
        <f>IF(A9="","",_xlfn.XLOOKUP(A9,Щиты[Щит],Щиты[Путь],""))</f>
        <v>|ЩР|</v>
      </c>
      <c r="DQ9" t="str">
        <f>IF(D9="","",IF(Z9&lt;&gt;"",Z9,IF(IFERROR(_xlfn.XLOOKUP(AT9,Коды_код,Коды_вид)&amp;"","")="","Прочее",_xlfn.XLOOKUP(AT9,Коды_код,Коды_вид)&amp;"")))</f>
        <v/>
      </c>
      <c r="DR9">
        <f>IF(BD9="","",INT((BD9-1)/Столбцов_на_лист)+1)</f>
        <v>1</v>
      </c>
      <c r="DS9" t="str">
        <f t="shared" si="38"/>
        <v/>
      </c>
      <c r="DT9" t="str">
        <f t="shared" si="39"/>
        <v/>
      </c>
      <c r="DU9" t="str">
        <f t="shared" si="40"/>
        <v/>
      </c>
      <c r="DV9" t="str">
        <f t="shared" si="41"/>
        <v/>
      </c>
      <c r="DW9">
        <f>IF(AT9="",0,_xlfn.LET(_xlpm.v,IFERROR(VLOOKUP(D9,УГО_спр,3,FALSE),IFERROR(VLOOKUP(AT9,УГО_спр,3,FALSE),IFERROR(VLOOKUP(LEFT(AT9,2),УГО_спр,3,FALSE),""))),IF(_xlpm.v="да",30,IF(ISNUMBER(_xlpm.v),_xlpm.v,0))))</f>
        <v>0</v>
      </c>
      <c r="DX9">
        <f t="shared" si="42"/>
        <v>0</v>
      </c>
      <c r="DY9" t="str">
        <f>IF(BD9="","",IF(AD9&lt;&gt;"",COUNTIFS(A$3:A9,A9,AD$3:AD9,"?*"),IF(OR(OR(AS9=1,A9&lt;&gt;A8),AL9="вручную"),"",IF(AS9=1,"",DZ8))))</f>
        <v/>
      </c>
      <c r="DZ9" t="str">
        <f t="shared" si="43"/>
        <v/>
      </c>
      <c r="EA9">
        <f>IF(D9="",0,MAX(IFERROR(--X9,0),IFERROR(--VLOOKUP(D9,УГО_спр,4,FALSE),IFERROR(--VLOOKUP(AT9,УГО_спр,4,FALSE),IFERROR(--VLOOKUP(LEFT(AT9,2),УГО_спр,4,FALSE),0)))))</f>
        <v>0</v>
      </c>
      <c r="EB9" t="str">
        <f>IF(D9="","",IFERROR(LOOKUP(INDEX(CHOOSE(BR9,Iдоп_1ж,Iдоп_2ж,Iдоп_3ж),MATCH(BS9,Iдоп_S,0))*BP9*BQ9,{6,10,16,20,25,32,40,50,63,80,100,125,160,200,250,315,400,500,630}),""))</f>
        <v/>
      </c>
      <c r="EC9" t="str">
        <f>IF(AD9="","",SUMIFS(Линии[_Ток схемы],Линии[_гр.],DY9,Линии[Щит],A9,Линии[_в кабель выше],0))</f>
        <v/>
      </c>
      <c r="ED9" t="str">
        <f>IF(AD9="","",IFERROR(VLOOKUP(EC9,Автомат_номиналы,2,TRUE),""))</f>
        <v/>
      </c>
      <c r="EE9" t="str">
        <f>IF(AD9="","",MAX(N(ED9),_xlfn.MAXIFS(Линии[_мин. по типу],Линии[_гр.],DY9,Линии[Щит],A9)))</f>
        <v/>
      </c>
      <c r="EF9" t="str">
        <f>IF(AD9="","",_xlfn.MINIFS(Линии[_макс. автомат по кабелю],Линии[_гр.],DY9,Линии[Щит],A9))</f>
        <v/>
      </c>
      <c r="EG9" t="str">
        <f>IF(AD9="","",MAX(1,_xlfn.MAXIFS(Линии[_фаз],Линии[_гр.],DY9,Линии[Щит],A9)))</f>
        <v/>
      </c>
      <c r="EH9" t="str">
        <f>IF(AD9="","",IF(AND(AD9&lt;&gt;"авто",AD9&lt;&gt;"+"),IF(ISNUMBER(SEARCH("мА",AD9)),IFERROR(--TRIM(RIGHT(SUBSTITUTE(LEFT(AD9,SEARCH("мА",AD9)-1)," ",REPT(" ",9)),6)),30),0),IF(AE9="нет",0,IF(ISNUMBER(AE9),AE9,IF(AE9="да",30,_xlfn.MINIFS(Линии[_дифзащита по коду, мА],Линии[_гр.],DY9,Линии[Щит],A9,Линии[_дифзащита по коду, мА],"&gt;0"))))))</f>
        <v/>
      </c>
      <c r="EI9" t="str">
        <f t="shared" si="44"/>
        <v/>
      </c>
      <c r="EJ9" t="str">
        <f t="shared" si="45"/>
        <v/>
      </c>
      <c r="EK9" t="str">
        <f t="shared" si="46"/>
        <v/>
      </c>
      <c r="EL9" t="str">
        <f t="shared" si="47"/>
        <v/>
      </c>
      <c r="EM9">
        <f t="shared" si="48"/>
        <v>0</v>
      </c>
      <c r="EN9" t="str">
        <f>IF(AD9="","",IF(EM9=1,MAX(EE9,Мин_автомат_БП),EE9))</f>
        <v/>
      </c>
      <c r="EO9" t="str">
        <f t="shared" si="49"/>
        <v/>
      </c>
      <c r="EP9" t="str">
        <f t="shared" si="50"/>
        <v/>
      </c>
      <c r="EQ9" t="str">
        <f t="shared" si="51"/>
        <v/>
      </c>
      <c r="ER9" t="str">
        <f>IF(OR(AI9="",AI9="-"),"",IFERROR(VLOOKUP(AI9,Модули_спр,2,FALSE),"R"))</f>
        <v/>
      </c>
      <c r="ES9" t="str">
        <f>IF(ER9="","",ER9&amp;"."&amp;COUNTIFS(A$3:A9,A9,ER$3:ER9,ER9))</f>
        <v/>
      </c>
      <c r="ET9" t="str">
        <f t="shared" si="52"/>
        <v/>
      </c>
      <c r="EU9" t="str">
        <f t="shared" si="53"/>
        <v/>
      </c>
      <c r="EV9" t="str">
        <f t="shared" si="54"/>
        <v/>
      </c>
      <c r="EW9" t="str">
        <f t="shared" si="55"/>
        <v/>
      </c>
      <c r="EX9">
        <f t="shared" si="56"/>
        <v>0</v>
      </c>
      <c r="EY9" t="str">
        <f>IF(AK9="нет","",IF(AK9&lt;&gt;"",AK9,IF(EX9=1,"XT"&amp;COUNTIFS(A$3:A9,A9,EX$3:EX9,1),"")))</f>
        <v/>
      </c>
      <c r="EZ9" t="str">
        <f t="shared" si="57"/>
        <v/>
      </c>
      <c r="FA9" t="str">
        <f t="shared" si="58"/>
        <v/>
      </c>
      <c r="FB9" t="str">
        <f t="shared" si="59"/>
        <v/>
      </c>
      <c r="FC9" t="str">
        <f>IF(OR(EV9="",ET9=""),"",IF(EV9&gt;IFERROR(VLOOKUP(EU9,Модули_спр,3,FALSE),99),"ЛИШНИЙ КАНАЛ",IF(AND(AJ9&lt;&gt;"=",COUNTIFS(Линии[_модуль гр.],ET9,Линии[Канал (итог)],EV9,Линии[Канал],"&lt;&gt;=",Линии[Щит],A9)&gt;1),"ДУБЛЬ КАНАЛА","")))</f>
        <v/>
      </c>
      <c r="FD9" t="str">
        <f t="shared" si="60"/>
        <v/>
      </c>
      <c r="FE9" t="str">
        <f t="shared" si="61"/>
        <v/>
      </c>
      <c r="FF9" t="str">
        <f t="shared" si="62"/>
        <v/>
      </c>
      <c r="FG9" t="str">
        <f t="shared" si="63"/>
        <v/>
      </c>
      <c r="FH9" s="6" t="str">
        <f t="shared" si="64"/>
        <v/>
      </c>
      <c r="FI9">
        <f t="shared" si="65"/>
        <v>10</v>
      </c>
      <c r="FJ9" t="str">
        <f t="shared" si="66"/>
        <v/>
      </c>
      <c r="FK9" t="str">
        <f>IF(AND(D9="",EZ9=""),"",_xlfn.TEXTJOIN("; ",TRUE,IF(AND(D9&lt;&gt;"",DD9=""),"нет фазы",""),IF(AND(D9&lt;&gt;"",N(DT9)=0,CN9&lt;&gt;"Нет"),"нет мощности",""),IF(AND(EY9&lt;&gt;"",COUNTIFS(Линии[Щит],A9,Линии[Клемма (итог)],EY9)&gt;1),"дубль клеммы "&amp;EY9,""),IF(AND(FB9&lt;&gt;"",FB9&lt;&gt;"ok"),FB9,""),IF(FC9&lt;&gt;"",FC9,""),IF(AND(ISNUMBER(SEARCH("(5х",DS9)),N(DV9)=1),"5 жил на 1 фазе",""),IF(AND(AT9="R",AD9&lt;&gt;"",OR(N(EH9)=0,N(EH9)&gt;30)),"розетка без дифзащиты до 30 мА",""),IFERROR(IF(AND(ISNUMBER(CD9),CD9&gt;CE9),"потери "&amp;FIXED(CD9,1)&amp;" % &gt; "&amp;CE9&amp;" %",""),""),IFERROR(IF(LEFT(FJ9,4)="мало","Iкз мало — отключение &gt; 0,4 с",""),""),IF(AND(D9&lt;&gt;"",BD9=""),"не на схеме","")))</f>
        <v/>
      </c>
      <c r="FL9" s="6" t="str">
        <f>IF(AD9="","",_xlfn.LET(_xlpm.t,IFERROR(_xlfn.XLOOKUP(EP9,Каталог!$U$4:$U$500,Каталог!$G$4:$G$500),""),_xlpm.k,SEARCH("кА",_xlpm.t),IFERROR(--TRIM(RIGHT(SUBSTITUTE(MID(_xlpm.t,MAX(1,_xlpm.k-4),_xlpm.k-MAX(1,_xlpm.k-4))," ",REPT(" ",9)),5)),"")))</f>
        <v/>
      </c>
      <c r="FM9" t="str">
        <f>IF(OR(FL9="",AD9=""),"",IF(_xlfn.XLOOKUP(A9,Щиты[Щит],Щиты[Iкз max на шинах, кА],"")="","",IF(FL9&lt;_xlfn.XLOOKUP(A9,Щиты[Щит],Щиты[Iкз max на шинах, кА]),"Icu "&amp;FL9&amp;" кА &lt; Iкз max","ok")))</f>
        <v/>
      </c>
      <c r="FN9" t="str">
        <f t="shared" si="67"/>
        <v/>
      </c>
      <c r="FO9" t="str">
        <f t="shared" si="68"/>
        <v/>
      </c>
      <c r="FP9" t="str" cm="1">
        <f t="array" ref="FP9">IF(FO9="","",_xlfn.LET(_xlpm.nd,_xlfn.TEXTSPLIT(FO9,"|"),IF(COLUMNS(_xlpm.nd)&gt;1,A9&amp;"¦"&amp;INDEX(_xlpm.nd,1)&amp;"¦"&amp;INDEX(_xlpm.nd,2),"")))</f>
        <v/>
      </c>
      <c r="FQ9" t="str">
        <f t="shared" si="69"/>
        <v/>
      </c>
      <c r="FR9" t="str" cm="1">
        <f t="array" ref="FR9">IF(FO9="","",_xlfn.LET(_xlpm.nd,_xlfn.TEXTSPLIT(FO9,"|"),IF(COLUMNS(_xlpm.nd)&gt;2,A9&amp;"¦"&amp;INDEX(_xlpm.nd,2)&amp;"¦"&amp;INDEX(_xlpm.nd,3),"")))</f>
        <v/>
      </c>
      <c r="FS9" t="str">
        <f t="shared" si="70"/>
        <v/>
      </c>
      <c r="FT9" t="str" cm="1">
        <f t="array" ref="FT9">IF(FO9="","",_xlfn.LET(_xlpm.nd,_xlfn.TEXTSPLIT(FO9,"|"),IF(COLUMNS(_xlpm.nd)&gt;3,A9&amp;"¦"&amp;INDEX(_xlpm.nd,3)&amp;"¦"&amp;INDEX(_xlpm.nd,4),"")))</f>
        <v/>
      </c>
      <c r="FU9" t="str">
        <f t="shared" si="71"/>
        <v/>
      </c>
      <c r="FV9" t="str" cm="1">
        <f t="array" ref="FV9">IF(FO9="","",_xlfn.LET(_xlpm.nd,_xlfn.TEXTSPLIT(FO9,"|"),IF(COLUMNS(_xlpm.nd)&gt;4,A9&amp;"¦"&amp;INDEX(_xlpm.nd,4)&amp;"¦"&amp;INDEX(_xlpm.nd,5),"")))</f>
        <v/>
      </c>
      <c r="FW9" t="str">
        <f t="shared" si="72"/>
        <v/>
      </c>
      <c r="FX9" t="str" cm="1">
        <f t="array" ref="FX9">IF(FO9="","",_xlfn.LET(_xlpm.nd,_xlfn.TEXTSPLIT(FO9,"|"),IF(COLUMNS(_xlpm.nd)&gt;5,A9&amp;"¦"&amp;INDEX(_xlpm.nd,5)&amp;"¦"&amp;INDEX(_xlpm.nd,6),"")))</f>
        <v/>
      </c>
      <c r="FY9" t="str">
        <f t="shared" si="73"/>
        <v/>
      </c>
      <c r="FZ9" t="str" cm="1">
        <f t="array" ref="FZ9">IF(FO9="","",_xlfn.LET(_xlpm.nd,_xlfn.TEXTSPLIT(FO9,"|"),IF(COLUMNS(_xlpm.nd)&gt;6,A9&amp;"¦"&amp;INDEX(_xlpm.nd,6)&amp;"¦"&amp;INDEX(_xlpm.nd,7),"")))</f>
        <v/>
      </c>
      <c r="GA9" t="str">
        <f t="shared" si="74"/>
        <v/>
      </c>
      <c r="GB9" t="str">
        <f t="shared" si="75"/>
        <v/>
      </c>
      <c r="GC9" t="str">
        <f t="shared" si="76"/>
        <v/>
      </c>
      <c r="GD9">
        <f t="shared" si="77"/>
        <v>0</v>
      </c>
      <c r="GE9">
        <f t="shared" si="78"/>
        <v>0</v>
      </c>
      <c r="GF9">
        <f t="shared" si="79"/>
        <v>0</v>
      </c>
      <c r="GG9" t="str">
        <f t="shared" si="80"/>
        <v/>
      </c>
      <c r="GH9" t="str">
        <f t="shared" si="81"/>
        <v/>
      </c>
      <c r="GI9" t="str">
        <f t="shared" si="82"/>
        <v/>
      </c>
      <c r="GJ9" t="str">
        <f t="shared" si="83"/>
        <v/>
      </c>
      <c r="GK9" t="str">
        <f>IF(D9="","",IFERROR(VLOOKUP(D9,УГО_спр,2,FALSE),IFERROR(VLOOKUP(AT9,УГО_спр,2,FALSE),IFERROR(VLOOKUP(LEFT(AT9,2),УГО_спр,2,FALSE),""))))</f>
        <v/>
      </c>
      <c r="GL9" t="str">
        <f>IF(D9="","",IF(OR(GK9="",GK9=0),"BOX",IFERROR(IF(VLOOKUP(GK9,УГО_блоки,3,FALSE)&amp;""&lt;&gt;"",VLOOKUP(GK9,УГО_блоки,3,FALSE),VLOOKUP(GK9,УГО_блоки,2,FALSE)),GK9)))</f>
        <v/>
      </c>
      <c r="GM9">
        <f t="shared" si="84"/>
        <v>0</v>
      </c>
      <c r="GN9" t="str">
        <f>IF(EP9="","",IF(COUNTIF(EP$3:EP9,EP9)=1,MAX(GN$2:GN8)+1,""))</f>
        <v/>
      </c>
      <c r="GO9" t="str">
        <f>IF(AF9="","",IF(COUNTIF(AF$3:AF9,AF9)+COUNTIF(AG$2:AG8,AF9)+COUNTIF(AH$2:AH8,AF9)=1,MAX(GO$2:GQ8)+1,""))</f>
        <v/>
      </c>
      <c r="GP9" t="str">
        <f>IF(AG9="","",IF(COUNTIF(AF$3:AF9,AG9)+COUNTIF(AG$3:AG9,AG9)+COUNTIF(AH$2:AH8,AG9)=1,MAX(GO$2:GQ8,GO9)+1,""))</f>
        <v/>
      </c>
      <c r="GQ9" t="str">
        <f>IF(AH9="","",IF(COUNTIF(AF$3:AF9,AH9)+COUNTIF(AG$3:AG9,AH9)+COUNTIF(AH$3:AH9,AH9)=1,MAX(GO$2:GQ8,GO9,GP9)+1,""))</f>
        <v/>
      </c>
      <c r="GR9" t="str">
        <f t="shared" si="85"/>
        <v/>
      </c>
      <c r="GS9" t="str">
        <f>IF(GR9="","",IF(COUNTIF(GR$3:GR9,GR9)=1,MAX(GS$2:GS8)+1,""))</f>
        <v/>
      </c>
      <c r="GT9" t="str">
        <f>IF(ES9="","",COUNTIF(ES$3:ES9,"?*"))</f>
        <v/>
      </c>
      <c r="GU9" t="str">
        <f>IF(OR(ES9="",EU9=""),"",IF(COUNTIFS(ES$3:ES9,"?*",EU$3:EU9,EU9)=1,MAX(GU$2:GU8)+1,""))</f>
        <v/>
      </c>
      <c r="GV9">
        <f t="shared" si="86"/>
        <v>0</v>
      </c>
      <c r="GW9" t="str">
        <f>IF(D9="","",COUNTIF(D$3:D9,"?*"))</f>
        <v/>
      </c>
      <c r="GX9">
        <f>IF(EX9&lt;&gt;1,0,_xlfn.LET(_xlpm.k,MAX(IFERROR(--VLOOKUP(D9,УГО_спр,5,FALSE),0),IFERROR(--VLOOKUP(AT9,УГО_спр,5,FALSE),0),IFERROR(--VLOOKUP(LEFT(AT9,2),УГО_спр,5,FALSE),0)),IF(_xlpm.k&gt;0,_xlpm.k,IF(IFERROR(--LEFT(SUBSTITUTE(GR9,"x","х"),FIND("х",SUBSTITUTE(GR9,"x","х"))-1),3)&gt;3,Каталог!$S$9,1))))</f>
        <v>0</v>
      </c>
      <c r="GY9">
        <f t="shared" si="87"/>
        <v>0</v>
      </c>
    </row>
    <row r="10" spans="1:207" x14ac:dyDescent="0.3">
      <c r="A10" t="s">
        <v>206</v>
      </c>
      <c r="B10">
        <v>8</v>
      </c>
      <c r="C10" t="str">
        <f>IF(BD10="","",IF(BE10="вводной узел","узел ","")&amp;"л."&amp;(INT((BD10-1)/Столбцов_на_лист)+1)&amp;" / "&amp;(MOD(BD10-1,Столбцов_на_лист)+1))</f>
        <v>узел л.1 / 8</v>
      </c>
      <c r="E10" s="133" t="str">
        <f t="shared" si="0"/>
        <v/>
      </c>
      <c r="AL10" t="s">
        <v>559</v>
      </c>
      <c r="AR10" t="str">
        <f t="shared" si="1"/>
        <v/>
      </c>
      <c r="AS10" cm="1">
        <f t="array" ref="AS10">ROW()-ROW(Линии[#Headers])</f>
        <v>8</v>
      </c>
      <c r="AT10" s="6" t="str">
        <f t="shared" si="2"/>
        <v/>
      </c>
      <c r="AU10" t="str">
        <f t="shared" si="3"/>
        <v/>
      </c>
      <c r="AV10" t="str">
        <f t="shared" si="4"/>
        <v/>
      </c>
      <c r="AW10" t="str">
        <f t="shared" si="5"/>
        <v/>
      </c>
      <c r="AX10" t="str">
        <f t="shared" si="6"/>
        <v/>
      </c>
      <c r="AY10" t="str">
        <f>IF(D10="","",IF(ISERROR(SEARCH(".",D10)),IFERROR(VLOOKUP(D10,Потребители_обозначение,2,FALSE)&amp;"",""),IFERROR(IF(VLOOKUP(AT10,Потребители_обозначение,4,FALSE)=1,VLOOKUP(AT10,Потребители_обозначение,2,FALSE)&amp;" "&amp;VLOOKUP(AV10,Этаж_обозначение,2,FALSE)&amp;" Пом. №"&amp;AX10,VLOOKUP(AT10,Потребители_обозначение,2,FALSE)&amp;" Шлейф №"&amp;AV10),IFERROR(VLOOKUP(D10,Потребители_обозначение,2,FALSE),""))))</f>
        <v/>
      </c>
      <c r="AZ10" t="str">
        <f t="shared" si="7"/>
        <v/>
      </c>
      <c r="BA10" t="str">
        <f>IF(F10&lt;&gt;"",F10,IF(AND(D10&lt;&gt;"",D10&lt;&gt;A10,ISNUMBER(_xlfn.XMATCH(D10,Щиты[Щит]))),D10,""))</f>
        <v/>
      </c>
      <c r="BB10">
        <f>IFERROR(_xlfn.XMATCH(A10,Щиты[Щит]),0)</f>
        <v>1</v>
      </c>
      <c r="BC10">
        <f>IFERROR(N(_xlfn.XLOOKUP(A10,Щиты[Щит],Щиты[Мест под вводной узел])),15)</f>
        <v>18</v>
      </c>
      <c r="BD10">
        <f t="shared" si="8"/>
        <v>8</v>
      </c>
      <c r="BE10" t="str">
        <f t="shared" si="9"/>
        <v>вводной узел</v>
      </c>
      <c r="BF10" s="6" t="str">
        <f>IF(D10="","",IF(BA10&lt;&gt;"",IFERROR(_xlfn.XLOOKUP(BA10,Щиты[Щит],Щиты[Руст, кВт]),0),N(G10)))</f>
        <v/>
      </c>
      <c r="BG10" t="str">
        <f>IF(J10&lt;&gt;"",J10,IF(D10="","",IFERROR(IF(VLOOKUP(AT10,Потребители_обозначение,8,FALSE)=0,"",VLOOKUP(AT10,Потребители_обозначение,8,FALSE)),"")))</f>
        <v/>
      </c>
      <c r="BH10" t="str">
        <f>IF(I10&lt;&gt;"",I10,IF(D10="","",IFERROR(IF(VLOOKUP(AT10,Потребители_обозначение,9,FALSE)=0,"",VLOOKUP(AT10,Потребители_обозначение,9,FALSE)),"")))</f>
        <v/>
      </c>
      <c r="BI10" t="str">
        <f>IF(U10&lt;&gt;"",U10,IF(D10="","",IFERROR(IF(VLOOKUP(AT10,Потребители_обозначение,6,FALSE)=0,"",VLOOKUP(AT10,Потребители_обозначение,6,FALSE)),"")))</f>
        <v/>
      </c>
      <c r="BJ10" t="str">
        <f>IF(V10&lt;&gt;"",V10,IF(D10="","",IFERROR(IF(VLOOKUP(AT10,Потребители_обозначение,7,FALSE)=0,"",VLOOKUP(AT10,Потребители_обозначение,7,FALSE)),"")))</f>
        <v/>
      </c>
      <c r="BK10" t="str">
        <f>IF(W10&lt;&gt;"",W10,IF(D10="","",IFERROR(IF(VLOOKUP(AT10,Потребители_обозначение,10,FALSE)=0,"",VLOOKUP(AT10,Потребители_обозначение,10,FALSE)),"")))</f>
        <v/>
      </c>
      <c r="BL10">
        <f>IFERROR(VLOOKUP(AT10,Потребители_обозначение,5,FALSE),0)</f>
        <v>0</v>
      </c>
      <c r="BM10" s="6" t="str" cm="1">
        <f t="array" ref="BM10">IF(D10="","",IF(BA10&lt;&gt;"",IFERROR(_xlfn.XLOOKUP(BA10,Щиты[Щит],Щиты[cos φ]),0.95),IF(ISNUMBER(M10),M10,IFERROR(IF(BL10=2,_xlfn.IFS(BH10=3,VLOOKUP(BF10,Справочная_двигатели,8,FALSE),BH10=1,VLOOKUP(BF10,Справочная_двигатели,10,TRUE)),IF(AND(Методика="нормы 2026",CN10="Сил"),0.8,0.95)),0.95))))</f>
        <v/>
      </c>
      <c r="BN10" s="6" t="str" cm="1">
        <f t="array" ref="BN10">IF(D10="","",IF(BA10&lt;&gt;"",IFERROR(_xlfn.XLOOKUP(BA10,Щиты[Щит],Щиты[Iр, А]),""),IFERROR(_xlfn.IFS(BH10=1,BF10/((Uн_лин/SQRT(3))*BM10),BH10=3,BF10/(SQRT(3)*Uн_лин*BM10)),"")))</f>
        <v/>
      </c>
      <c r="BO10" t="str">
        <f>IF(D10="","",IF(N(X10)=0,IFERROR(VLOOKUP(BN10,Автомат_номиналы,2,TRUE),""),X10))</f>
        <v/>
      </c>
      <c r="BP10">
        <f t="shared" si="10"/>
        <v>1</v>
      </c>
      <c r="BQ10">
        <f>IF(ISNUMBER(Y10),Y10,К_прокл)</f>
        <v>1</v>
      </c>
      <c r="BR10">
        <f t="shared" si="11"/>
        <v>3</v>
      </c>
      <c r="BS10" t="str" cm="1">
        <f t="array" ref="BS10">IF(D10="","",IF(N(BK10)&lt;&gt;0,BK10,IFERROR(_xlfn.LET(_xlpm.need,BO10/(BP10*BQ10),_xlpm.t,CHOOSE(BR10,Iдоп_1ж,Iдоп_2ж,Iдоп_3ж),_xlpm.k,_xlfn.XMATCH(_xlpm.need,_xlpm.t,1),IF(ISNA(_xlpm.k),"Не исп",INDEX(Iдоп_S,_xlpm.k))),"Не исп")))</f>
        <v/>
      </c>
      <c r="BT10" t="str">
        <f>IFERROR(VLOOKUP(BS10,Кабель_сопротивление,3,FALSE),"")</f>
        <v/>
      </c>
      <c r="BU10" t="str">
        <f>IFERROR(VLOOKUP(BS10,Кабель_сопротивление,2,FALSE),"")</f>
        <v/>
      </c>
      <c r="BV10" t="str">
        <f t="shared" si="12"/>
        <v/>
      </c>
      <c r="BW10" s="6" t="str">
        <f>IF(D10="","",IFERROR(IF(VLOOKUP(AT10,Потребители_обозначение,4,FALSE)=1,VLOOKUP(AT10,Потребители_обозначение,3,FALSE)*(H10*2-1)+BV10+VLOOKUP(AV10,Этаж_обозначение,3,FALSE)+VLOOKUP(AV10,Этаж_обозначение,4,FALSE),VLOOKUP(AT10,Потребители_обозначение,3,FALSE)*(H10*2-1)+BV10),BV10))</f>
        <v/>
      </c>
      <c r="BX10" t="str">
        <f t="shared" si="13"/>
        <v/>
      </c>
      <c r="BY10" t="str">
        <f t="shared" si="14"/>
        <v/>
      </c>
      <c r="BZ10" t="str">
        <f t="shared" si="15"/>
        <v/>
      </c>
      <c r="CA10" t="str">
        <f t="shared" si="16"/>
        <v/>
      </c>
      <c r="CB10" t="str">
        <f t="shared" si="17"/>
        <v/>
      </c>
      <c r="CC10" s="6" t="str">
        <f>IFERROR(ROUNDUP(CB10/((Uн_лин/SQRT(3))*1000)*100,2),"")</f>
        <v/>
      </c>
      <c r="CD10" s="6" t="str">
        <f>IF(ISNUMBER(CC10),CC10+IFERROR(_xlfn.XLOOKUP(A10,Щиты[Щит],Щиты[ΔU до шин, %]),0),"")</f>
        <v/>
      </c>
      <c r="CE10" s="6" t="str">
        <f>IF(D10="","",IF(IFERROR(VLOOKUP(AT10,УГО_спр,2,FALSE),"")="Светильник",3,4)+IF(Методика="нормы 2026",MIN(0.5,MAX(0,N(BW10)-100)*0.005),0))</f>
        <v/>
      </c>
      <c r="CF10" t="str">
        <f>IFERROR(VLOOKUP(BI10,Кабель_обозначение,2,FALSE),"")</f>
        <v/>
      </c>
      <c r="CG10" t="str">
        <f>IFERROR(IF(VLOOKUP(BI10,Кабель_обозначение,3,FALSE)=1,CF10&amp;" ("&amp;BJ10&amp;"х"&amp;BS10&amp;")",CF10),"")</f>
        <v/>
      </c>
      <c r="CH10" t="str">
        <f t="shared" si="18"/>
        <v/>
      </c>
      <c r="CI10" t="str">
        <f>IFERROR(2*ρкз_Cu*BW10/BS10,"")</f>
        <v/>
      </c>
      <c r="CJ10" t="str">
        <f t="shared" si="19"/>
        <v/>
      </c>
      <c r="CK10" s="6" t="str">
        <f>IFERROR(IF(OR(D10="",NOT(ISNUMBER(BS10)),N(BW10)=0),"",_xlfn.XLOOKUP(A10,Щиты[Щит],Щиты[Zпетли на шинах, Ом])+CI10),"")</f>
        <v/>
      </c>
      <c r="CL10" s="6" t="str">
        <f>IF(ISNUMBER(CK10),c_min*(Uн_лин*1000/SQRT(3))/CK10,"")</f>
        <v/>
      </c>
      <c r="CM10" s="6" t="str">
        <f>IFERROR(IF(OR(D10="",NOT(ISNUMBER(BS10))),"",1.05*(Uн_лин*1000/SQRT(3))/(_xlfn.XLOOKUP(A10,Щиты[Щит],Щиты[Zmax на шинах, Ом])+CJ10)/1000),"")</f>
        <v/>
      </c>
      <c r="CN10" s="6" t="str">
        <f>IF(D10="","",IF(BA10&lt;&gt;"","Щит",IF(K10&lt;&gt;"",K10,IF(ISNUMBER(L10),"Сил",IF(IFERROR(_xlfn.XLOOKUP(AT10,Коды_код,Коды_группа)&amp;"","")="","Быт",_xlfn.XLOOKUP(AT10,Коды_код,Коды_группа)&amp;"")))))</f>
        <v/>
      </c>
      <c r="CO10" s="6" t="str">
        <f>IF(CN10="Щит","щит",IF(CN10="","",IF(CN10="Быт",IFERROR(_xlfn.XLOOKUP(A10,Щиты[Щит],Щиты[Кс быт]),1),IF(CN10="Сил",IF(ISNUMBER(L10),L10,IF(Методика="нормы 2026",IFERROR(_xlfn.XLOOKUP(A10,Щиты[Щит],Щиты[Кс силовых (табл. 7.5)]),1),1)),IF(OR(CN10="Пост",CN10="Отоп"),1,IF(CN10="ВНГ",0.7,0))))))</f>
        <v/>
      </c>
      <c r="CP10" t="str">
        <f t="shared" si="20"/>
        <v/>
      </c>
      <c r="CQ10">
        <f t="shared" si="21"/>
        <v>0</v>
      </c>
      <c r="CR10">
        <f t="shared" si="22"/>
        <v>0</v>
      </c>
      <c r="CS10">
        <f t="shared" si="23"/>
        <v>0</v>
      </c>
      <c r="CT10">
        <f t="shared" si="24"/>
        <v>0</v>
      </c>
      <c r="CU10">
        <f t="shared" si="25"/>
        <v>0</v>
      </c>
      <c r="CV10">
        <f t="shared" si="26"/>
        <v>0</v>
      </c>
      <c r="CW10">
        <f t="shared" si="27"/>
        <v>0</v>
      </c>
      <c r="CX10">
        <f t="shared" si="28"/>
        <v>0</v>
      </c>
      <c r="CY10">
        <f t="shared" si="29"/>
        <v>0</v>
      </c>
      <c r="CZ10" t="str">
        <f t="shared" si="30"/>
        <v/>
      </c>
      <c r="DA10" cm="1">
        <f t="array" ref="DA10">IFERROR(IF(BL10=2,_xlfn.IFS(BH10=3,VLOOKUP(BF10,Справочная_двигатели,3,FALSE),BH10=1,VLOOKUP(BF10,Справочная_двигатели,5,TRUE)),0),0)</f>
        <v>0</v>
      </c>
      <c r="DB10">
        <f>IFERROR(IF(BL10=3,VLOOKUP(BF10,Справочная_ЛЭД,2,TRUE),0),0)</f>
        <v>0</v>
      </c>
      <c r="DC10" s="6" t="str">
        <f t="shared" si="31"/>
        <v/>
      </c>
      <c r="DD10" t="str">
        <f t="shared" si="32"/>
        <v/>
      </c>
      <c r="DE10" t="str" cm="1">
        <f t="array" ref="DE10">IF(D10="","",IFERROR(INDEX({"I особая","I","II","III"},MATCH(TRIM(AA10&amp;""),{"I особая","I","II","III"},0)),"III"))</f>
        <v/>
      </c>
      <c r="DF10" t="str">
        <f>IF(D10="","",IF(TRIM(AB10&amp;"")&lt;&gt;"",IF(LOWER(TRIM(AB10&amp;""))="да","да","нет"),IF(IFERROR(_xlfn.XLOOKUP(AT10,Коды_код,Коды_пожарная),"")="да","да","нет")))</f>
        <v/>
      </c>
      <c r="DG10" t="str">
        <f t="shared" si="33"/>
        <v/>
      </c>
      <c r="DH10" t="str">
        <f t="shared" si="34"/>
        <v/>
      </c>
      <c r="DI10">
        <f t="shared" si="35"/>
        <v>1</v>
      </c>
      <c r="DJ10" t="str" cm="1">
        <f t="array" ref="DJ10">IF(D10="","",_xlfn.LET(_xlpm.t,IFERROR(_xlfn.XLOOKUP(1,(Шины[Шина]=DH10)*(((Шины[Щит]=A10)+(Шины[Щит]=""))&gt;0),Шины[Тип]),"")&amp;"",IF(_xlpm.t&lt;&gt;"",_xlpm.t,IF(ISNUMBER(SEARCH("ИБП",DH10)),"ИБП",IF(ISNUMBER(SEARCH("ДГУ",DH10)),"ДГУ","Ввод "&amp;DI10)))))</f>
        <v/>
      </c>
      <c r="DK10" t="str">
        <f t="shared" si="36"/>
        <v/>
      </c>
      <c r="DL10" t="str">
        <f>IF(D10="","",IF(OR(DJ10="ИБП",DJ10="ДГУ"),"I особая",IF(DJ10="Одиночная","III",_xlfn.XLOOKUP(A10,Щиты[Щит],Щиты[Категория шины «Ввод»],"III"))))</f>
        <v/>
      </c>
      <c r="DM10">
        <f>IF(D10="",0,IFERROR(MATCH(DE10,{"III","II","I","I особая"},0),1))</f>
        <v>0</v>
      </c>
      <c r="DN10">
        <f t="shared" si="37"/>
        <v>0</v>
      </c>
      <c r="DO10" t="str">
        <f>IF(D10="","",IF(DM10&gt;IFERROR(MATCH(DL10,{"III","II","I","I особая"},0),1),"НЕ ОБЕСПЕЧЕНА","ОК"))</f>
        <v/>
      </c>
      <c r="DP10" t="str">
        <f>IF(A10="","",_xlfn.XLOOKUP(A10,Щиты[Щит],Щиты[Путь],""))</f>
        <v>|ЩР|</v>
      </c>
      <c r="DQ10" t="str">
        <f>IF(D10="","",IF(Z10&lt;&gt;"",Z10,IF(IFERROR(_xlfn.XLOOKUP(AT10,Коды_код,Коды_вид)&amp;"","")="","Прочее",_xlfn.XLOOKUP(AT10,Коды_код,Коды_вид)&amp;"")))</f>
        <v/>
      </c>
      <c r="DR10">
        <f>IF(BD10="","",INT((BD10-1)/Столбцов_на_лист)+1)</f>
        <v>1</v>
      </c>
      <c r="DS10" t="str">
        <f t="shared" si="38"/>
        <v/>
      </c>
      <c r="DT10" t="str">
        <f t="shared" si="39"/>
        <v/>
      </c>
      <c r="DU10" t="str">
        <f t="shared" si="40"/>
        <v/>
      </c>
      <c r="DV10" t="str">
        <f t="shared" si="41"/>
        <v/>
      </c>
      <c r="DW10">
        <f>IF(AT10="",0,_xlfn.LET(_xlpm.v,IFERROR(VLOOKUP(D10,УГО_спр,3,FALSE),IFERROR(VLOOKUP(AT10,УГО_спр,3,FALSE),IFERROR(VLOOKUP(LEFT(AT10,2),УГО_спр,3,FALSE),""))),IF(_xlpm.v="да",30,IF(ISNUMBER(_xlpm.v),_xlpm.v,0))))</f>
        <v>0</v>
      </c>
      <c r="DX10">
        <f t="shared" si="42"/>
        <v>0</v>
      </c>
      <c r="DY10" t="str">
        <f>IF(BD10="","",IF(AD10&lt;&gt;"",COUNTIFS(A$3:A10,A10,AD$3:AD10,"?*"),IF(OR(OR(AS10=1,A10&lt;&gt;A9),AL10="вручную"),"",IF(AS10=1,"",DZ9))))</f>
        <v/>
      </c>
      <c r="DZ10" t="str">
        <f t="shared" si="43"/>
        <v/>
      </c>
      <c r="EA10">
        <f>IF(D10="",0,MAX(IFERROR(--X10,0),IFERROR(--VLOOKUP(D10,УГО_спр,4,FALSE),IFERROR(--VLOOKUP(AT10,УГО_спр,4,FALSE),IFERROR(--VLOOKUP(LEFT(AT10,2),УГО_спр,4,FALSE),0)))))</f>
        <v>0</v>
      </c>
      <c r="EB10" t="str">
        <f>IF(D10="","",IFERROR(LOOKUP(INDEX(CHOOSE(BR10,Iдоп_1ж,Iдоп_2ж,Iдоп_3ж),MATCH(BS10,Iдоп_S,0))*BP10*BQ10,{6,10,16,20,25,32,40,50,63,80,100,125,160,200,250,315,400,500,630}),""))</f>
        <v/>
      </c>
      <c r="EC10" t="str">
        <f>IF(AD10="","",SUMIFS(Линии[_Ток схемы],Линии[_гр.],DY10,Линии[Щит],A10,Линии[_в кабель выше],0))</f>
        <v/>
      </c>
      <c r="ED10" t="str">
        <f>IF(AD10="","",IFERROR(VLOOKUP(EC10,Автомат_номиналы,2,TRUE),""))</f>
        <v/>
      </c>
      <c r="EE10" t="str">
        <f>IF(AD10="","",MAX(N(ED10),_xlfn.MAXIFS(Линии[_мин. по типу],Линии[_гр.],DY10,Линии[Щит],A10)))</f>
        <v/>
      </c>
      <c r="EF10" t="str">
        <f>IF(AD10="","",_xlfn.MINIFS(Линии[_макс. автомат по кабелю],Линии[_гр.],DY10,Линии[Щит],A10))</f>
        <v/>
      </c>
      <c r="EG10" t="str">
        <f>IF(AD10="","",MAX(1,_xlfn.MAXIFS(Линии[_фаз],Линии[_гр.],DY10,Линии[Щит],A10)))</f>
        <v/>
      </c>
      <c r="EH10" t="str">
        <f>IF(AD10="","",IF(AND(AD10&lt;&gt;"авто",AD10&lt;&gt;"+"),IF(ISNUMBER(SEARCH("мА",AD10)),IFERROR(--TRIM(RIGHT(SUBSTITUTE(LEFT(AD10,SEARCH("мА",AD10)-1)," ",REPT(" ",9)),6)),30),0),IF(AE10="нет",0,IF(ISNUMBER(AE10),AE10,IF(AE10="да",30,_xlfn.MINIFS(Линии[_дифзащита по коду, мА],Линии[_гр.],DY10,Линии[Щит],A10,Линии[_дифзащита по коду, мА],"&gt;0"))))))</f>
        <v/>
      </c>
      <c r="EI10" t="str">
        <f t="shared" si="44"/>
        <v/>
      </c>
      <c r="EJ10" t="str">
        <f t="shared" si="45"/>
        <v/>
      </c>
      <c r="EK10" t="str">
        <f t="shared" si="46"/>
        <v/>
      </c>
      <c r="EL10" t="str">
        <f t="shared" si="47"/>
        <v/>
      </c>
      <c r="EM10">
        <f t="shared" si="48"/>
        <v>0</v>
      </c>
      <c r="EN10" t="str">
        <f>IF(AD10="","",IF(EM10=1,MAX(EE10,Мин_автомат_БП),EE10))</f>
        <v/>
      </c>
      <c r="EO10" t="str">
        <f t="shared" si="49"/>
        <v/>
      </c>
      <c r="EP10" t="str">
        <f t="shared" si="50"/>
        <v/>
      </c>
      <c r="EQ10" t="str">
        <f t="shared" si="51"/>
        <v/>
      </c>
      <c r="ER10" t="str">
        <f>IF(OR(AI10="",AI10="-"),"",IFERROR(VLOOKUP(AI10,Модули_спр,2,FALSE),"R"))</f>
        <v/>
      </c>
      <c r="ES10" t="str">
        <f>IF(ER10="","",ER10&amp;"."&amp;COUNTIFS(A$3:A10,A10,ER$3:ER10,ER10))</f>
        <v/>
      </c>
      <c r="ET10" t="str">
        <f t="shared" si="52"/>
        <v/>
      </c>
      <c r="EU10" t="str">
        <f t="shared" si="53"/>
        <v/>
      </c>
      <c r="EV10" t="str">
        <f t="shared" si="54"/>
        <v/>
      </c>
      <c r="EW10" t="str">
        <f t="shared" si="55"/>
        <v/>
      </c>
      <c r="EX10">
        <f t="shared" si="56"/>
        <v>0</v>
      </c>
      <c r="EY10" t="str">
        <f>IF(AK10="нет","",IF(AK10&lt;&gt;"",AK10,IF(EX10=1,"XT"&amp;COUNTIFS(A$3:A10,A10,EX$3:EX10,1),"")))</f>
        <v/>
      </c>
      <c r="EZ10" t="str">
        <f t="shared" si="57"/>
        <v/>
      </c>
      <c r="FA10" t="str">
        <f t="shared" si="58"/>
        <v/>
      </c>
      <c r="FB10" t="str">
        <f t="shared" si="59"/>
        <v/>
      </c>
      <c r="FC10" t="str">
        <f>IF(OR(EV10="",ET10=""),"",IF(EV10&gt;IFERROR(VLOOKUP(EU10,Модули_спр,3,FALSE),99),"ЛИШНИЙ КАНАЛ",IF(AND(AJ10&lt;&gt;"=",COUNTIFS(Линии[_модуль гр.],ET10,Линии[Канал (итог)],EV10,Линии[Канал],"&lt;&gt;=",Линии[Щит],A10)&gt;1),"ДУБЛЬ КАНАЛА","")))</f>
        <v/>
      </c>
      <c r="FD10" t="str">
        <f t="shared" si="60"/>
        <v/>
      </c>
      <c r="FE10" t="str">
        <f t="shared" si="61"/>
        <v/>
      </c>
      <c r="FF10" t="str">
        <f t="shared" si="62"/>
        <v/>
      </c>
      <c r="FG10" t="str">
        <f t="shared" si="63"/>
        <v/>
      </c>
      <c r="FH10" s="6" t="str">
        <f t="shared" si="64"/>
        <v/>
      </c>
      <c r="FI10">
        <f t="shared" si="65"/>
        <v>10</v>
      </c>
      <c r="FJ10" t="str">
        <f t="shared" si="66"/>
        <v/>
      </c>
      <c r="FK10" t="str">
        <f>IF(AND(D10="",EZ10=""),"",_xlfn.TEXTJOIN("; ",TRUE,IF(AND(D10&lt;&gt;"",DD10=""),"нет фазы",""),IF(AND(D10&lt;&gt;"",N(DT10)=0,CN10&lt;&gt;"Нет"),"нет мощности",""),IF(AND(EY10&lt;&gt;"",COUNTIFS(Линии[Щит],A10,Линии[Клемма (итог)],EY10)&gt;1),"дубль клеммы "&amp;EY10,""),IF(AND(FB10&lt;&gt;"",FB10&lt;&gt;"ok"),FB10,""),IF(FC10&lt;&gt;"",FC10,""),IF(AND(ISNUMBER(SEARCH("(5х",DS10)),N(DV10)=1),"5 жил на 1 фазе",""),IF(AND(AT10="R",AD10&lt;&gt;"",OR(N(EH10)=0,N(EH10)&gt;30)),"розетка без дифзащиты до 30 мА",""),IFERROR(IF(AND(ISNUMBER(CD10),CD10&gt;CE10),"потери "&amp;FIXED(CD10,1)&amp;" % &gt; "&amp;CE10&amp;" %",""),""),IFERROR(IF(LEFT(FJ10,4)="мало","Iкз мало — отключение &gt; 0,4 с",""),""),IF(AND(D10&lt;&gt;"",BD10=""),"не на схеме","")))</f>
        <v/>
      </c>
      <c r="FL10" s="6" t="str">
        <f>IF(AD10="","",_xlfn.LET(_xlpm.t,IFERROR(_xlfn.XLOOKUP(EP10,Каталог!$U$4:$U$500,Каталог!$G$4:$G$500),""),_xlpm.k,SEARCH("кА",_xlpm.t),IFERROR(--TRIM(RIGHT(SUBSTITUTE(MID(_xlpm.t,MAX(1,_xlpm.k-4),_xlpm.k-MAX(1,_xlpm.k-4))," ",REPT(" ",9)),5)),"")))</f>
        <v/>
      </c>
      <c r="FM10" t="str">
        <f>IF(OR(FL10="",AD10=""),"",IF(_xlfn.XLOOKUP(A10,Щиты[Щит],Щиты[Iкз max на шинах, кА],"")="","",IF(FL10&lt;_xlfn.XLOOKUP(A10,Щиты[Щит],Щиты[Iкз max на шинах, кА]),"Icu "&amp;FL10&amp;" кА &lt; Iкз max","ok")))</f>
        <v/>
      </c>
      <c r="FN10" t="str">
        <f t="shared" si="67"/>
        <v/>
      </c>
      <c r="FO10" t="str">
        <f t="shared" si="68"/>
        <v/>
      </c>
      <c r="FP10" t="str" cm="1">
        <f t="array" ref="FP10">IF(FO10="","",_xlfn.LET(_xlpm.nd,_xlfn.TEXTSPLIT(FO10,"|"),IF(COLUMNS(_xlpm.nd)&gt;1,A10&amp;"¦"&amp;INDEX(_xlpm.nd,1)&amp;"¦"&amp;INDEX(_xlpm.nd,2),"")))</f>
        <v/>
      </c>
      <c r="FQ10" t="str">
        <f t="shared" si="69"/>
        <v/>
      </c>
      <c r="FR10" t="str" cm="1">
        <f t="array" ref="FR10">IF(FO10="","",_xlfn.LET(_xlpm.nd,_xlfn.TEXTSPLIT(FO10,"|"),IF(COLUMNS(_xlpm.nd)&gt;2,A10&amp;"¦"&amp;INDEX(_xlpm.nd,2)&amp;"¦"&amp;INDEX(_xlpm.nd,3),"")))</f>
        <v/>
      </c>
      <c r="FS10" t="str">
        <f t="shared" si="70"/>
        <v/>
      </c>
      <c r="FT10" t="str" cm="1">
        <f t="array" ref="FT10">IF(FO10="","",_xlfn.LET(_xlpm.nd,_xlfn.TEXTSPLIT(FO10,"|"),IF(COLUMNS(_xlpm.nd)&gt;3,A10&amp;"¦"&amp;INDEX(_xlpm.nd,3)&amp;"¦"&amp;INDEX(_xlpm.nd,4),"")))</f>
        <v/>
      </c>
      <c r="FU10" t="str">
        <f t="shared" si="71"/>
        <v/>
      </c>
      <c r="FV10" t="str" cm="1">
        <f t="array" ref="FV10">IF(FO10="","",_xlfn.LET(_xlpm.nd,_xlfn.TEXTSPLIT(FO10,"|"),IF(COLUMNS(_xlpm.nd)&gt;4,A10&amp;"¦"&amp;INDEX(_xlpm.nd,4)&amp;"¦"&amp;INDEX(_xlpm.nd,5),"")))</f>
        <v/>
      </c>
      <c r="FW10" t="str">
        <f t="shared" si="72"/>
        <v/>
      </c>
      <c r="FX10" t="str" cm="1">
        <f t="array" ref="FX10">IF(FO10="","",_xlfn.LET(_xlpm.nd,_xlfn.TEXTSPLIT(FO10,"|"),IF(COLUMNS(_xlpm.nd)&gt;5,A10&amp;"¦"&amp;INDEX(_xlpm.nd,5)&amp;"¦"&amp;INDEX(_xlpm.nd,6),"")))</f>
        <v/>
      </c>
      <c r="FY10" t="str">
        <f t="shared" si="73"/>
        <v/>
      </c>
      <c r="FZ10" t="str" cm="1">
        <f t="array" ref="FZ10">IF(FO10="","",_xlfn.LET(_xlpm.nd,_xlfn.TEXTSPLIT(FO10,"|"),IF(COLUMNS(_xlpm.nd)&gt;6,A10&amp;"¦"&amp;INDEX(_xlpm.nd,6)&amp;"¦"&amp;INDEX(_xlpm.nd,7),"")))</f>
        <v/>
      </c>
      <c r="GA10" t="str">
        <f t="shared" si="74"/>
        <v/>
      </c>
      <c r="GB10" t="str">
        <f t="shared" si="75"/>
        <v/>
      </c>
      <c r="GC10" t="str">
        <f t="shared" si="76"/>
        <v/>
      </c>
      <c r="GD10">
        <f t="shared" si="77"/>
        <v>0</v>
      </c>
      <c r="GE10">
        <f t="shared" si="78"/>
        <v>0</v>
      </c>
      <c r="GF10">
        <f t="shared" si="79"/>
        <v>0</v>
      </c>
      <c r="GG10" t="str">
        <f t="shared" si="80"/>
        <v/>
      </c>
      <c r="GH10" t="str">
        <f t="shared" si="81"/>
        <v/>
      </c>
      <c r="GI10" t="str">
        <f t="shared" si="82"/>
        <v/>
      </c>
      <c r="GJ10" t="str">
        <f t="shared" si="83"/>
        <v/>
      </c>
      <c r="GK10" t="str">
        <f>IF(D10="","",IFERROR(VLOOKUP(D10,УГО_спр,2,FALSE),IFERROR(VLOOKUP(AT10,УГО_спр,2,FALSE),IFERROR(VLOOKUP(LEFT(AT10,2),УГО_спр,2,FALSE),""))))</f>
        <v/>
      </c>
      <c r="GL10" t="str">
        <f>IF(D10="","",IF(OR(GK10="",GK10=0),"BOX",IFERROR(IF(VLOOKUP(GK10,УГО_блоки,3,FALSE)&amp;""&lt;&gt;"",VLOOKUP(GK10,УГО_блоки,3,FALSE),VLOOKUP(GK10,УГО_блоки,2,FALSE)),GK10)))</f>
        <v/>
      </c>
      <c r="GM10">
        <f t="shared" si="84"/>
        <v>0</v>
      </c>
      <c r="GN10" t="str">
        <f>IF(EP10="","",IF(COUNTIF(EP$3:EP10,EP10)=1,MAX(GN$2:GN9)+1,""))</f>
        <v/>
      </c>
      <c r="GO10" t="str">
        <f>IF(AF10="","",IF(COUNTIF(AF$3:AF10,AF10)+COUNTIF(AG$2:AG9,AF10)+COUNTIF(AH$2:AH9,AF10)=1,MAX(GO$2:GQ9)+1,""))</f>
        <v/>
      </c>
      <c r="GP10" t="str">
        <f>IF(AG10="","",IF(COUNTIF(AF$3:AF10,AG10)+COUNTIF(AG$3:AG10,AG10)+COUNTIF(AH$2:AH9,AG10)=1,MAX(GO$2:GQ9,GO10)+1,""))</f>
        <v/>
      </c>
      <c r="GQ10" t="str">
        <f>IF(AH10="","",IF(COUNTIF(AF$3:AF10,AH10)+COUNTIF(AG$3:AG10,AH10)+COUNTIF(AH$3:AH10,AH10)=1,MAX(GO$2:GQ9,GO10,GP10)+1,""))</f>
        <v/>
      </c>
      <c r="GR10" t="str">
        <f t="shared" si="85"/>
        <v/>
      </c>
      <c r="GS10" t="str">
        <f>IF(GR10="","",IF(COUNTIF(GR$3:GR10,GR10)=1,MAX(GS$2:GS9)+1,""))</f>
        <v/>
      </c>
      <c r="GT10" t="str">
        <f>IF(ES10="","",COUNTIF(ES$3:ES10,"?*"))</f>
        <v/>
      </c>
      <c r="GU10" t="str">
        <f>IF(OR(ES10="",EU10=""),"",IF(COUNTIFS(ES$3:ES10,"?*",EU$3:EU10,EU10)=1,MAX(GU$2:GU9)+1,""))</f>
        <v/>
      </c>
      <c r="GV10">
        <f t="shared" si="86"/>
        <v>0</v>
      </c>
      <c r="GW10" t="str">
        <f>IF(D10="","",COUNTIF(D$3:D10,"?*"))</f>
        <v/>
      </c>
      <c r="GX10">
        <f>IF(EX10&lt;&gt;1,0,_xlfn.LET(_xlpm.k,MAX(IFERROR(--VLOOKUP(D10,УГО_спр,5,FALSE),0),IFERROR(--VLOOKUP(AT10,УГО_спр,5,FALSE),0),IFERROR(--VLOOKUP(LEFT(AT10,2),УГО_спр,5,FALSE),0)),IF(_xlpm.k&gt;0,_xlpm.k,IF(IFERROR(--LEFT(SUBSTITUTE(GR10,"x","х"),FIND("х",SUBSTITUTE(GR10,"x","х"))-1),3)&gt;3,Каталог!$S$9,1))))</f>
        <v>0</v>
      </c>
      <c r="GY10">
        <f t="shared" si="87"/>
        <v>0</v>
      </c>
    </row>
    <row r="11" spans="1:207" x14ac:dyDescent="0.3">
      <c r="A11" t="s">
        <v>206</v>
      </c>
      <c r="B11">
        <v>9</v>
      </c>
      <c r="C11" t="str">
        <f>IF(BD11="","",IF(BE11="вводной узел","узел ","")&amp;"л."&amp;(INT((BD11-1)/Столбцов_на_лист)+1)&amp;" / "&amp;(MOD(BD11-1,Столбцов_на_лист)+1))</f>
        <v>узел л.1 / 9</v>
      </c>
      <c r="E11" s="133" t="str">
        <f t="shared" si="0"/>
        <v/>
      </c>
      <c r="AL11" t="s">
        <v>559</v>
      </c>
      <c r="AR11" t="str">
        <f t="shared" si="1"/>
        <v/>
      </c>
      <c r="AS11" cm="1">
        <f t="array" ref="AS11">ROW()-ROW(Линии[#Headers])</f>
        <v>9</v>
      </c>
      <c r="AT11" s="6" t="str">
        <f t="shared" si="2"/>
        <v/>
      </c>
      <c r="AU11" t="str">
        <f t="shared" si="3"/>
        <v/>
      </c>
      <c r="AV11" t="str">
        <f t="shared" si="4"/>
        <v/>
      </c>
      <c r="AW11" t="str">
        <f t="shared" si="5"/>
        <v/>
      </c>
      <c r="AX11" t="str">
        <f t="shared" si="6"/>
        <v/>
      </c>
      <c r="AY11" t="str">
        <f>IF(D11="","",IF(ISERROR(SEARCH(".",D11)),IFERROR(VLOOKUP(D11,Потребители_обозначение,2,FALSE)&amp;"",""),IFERROR(IF(VLOOKUP(AT11,Потребители_обозначение,4,FALSE)=1,VLOOKUP(AT11,Потребители_обозначение,2,FALSE)&amp;" "&amp;VLOOKUP(AV11,Этаж_обозначение,2,FALSE)&amp;" Пом. №"&amp;AX11,VLOOKUP(AT11,Потребители_обозначение,2,FALSE)&amp;" Шлейф №"&amp;AV11),IFERROR(VLOOKUP(D11,Потребители_обозначение,2,FALSE),""))))</f>
        <v/>
      </c>
      <c r="AZ11" t="str">
        <f t="shared" si="7"/>
        <v/>
      </c>
      <c r="BA11" t="str">
        <f>IF(F11&lt;&gt;"",F11,IF(AND(D11&lt;&gt;"",D11&lt;&gt;A11,ISNUMBER(_xlfn.XMATCH(D11,Щиты[Щит]))),D11,""))</f>
        <v/>
      </c>
      <c r="BB11">
        <f>IFERROR(_xlfn.XMATCH(A11,Щиты[Щит]),0)</f>
        <v>1</v>
      </c>
      <c r="BC11">
        <f>IFERROR(N(_xlfn.XLOOKUP(A11,Щиты[Щит],Щиты[Мест под вводной узел])),15)</f>
        <v>18</v>
      </c>
      <c r="BD11">
        <f t="shared" si="8"/>
        <v>9</v>
      </c>
      <c r="BE11" t="str">
        <f t="shared" si="9"/>
        <v>вводной узел</v>
      </c>
      <c r="BF11" s="6" t="str">
        <f>IF(D11="","",IF(BA11&lt;&gt;"",IFERROR(_xlfn.XLOOKUP(BA11,Щиты[Щит],Щиты[Руст, кВт]),0),N(G11)))</f>
        <v/>
      </c>
      <c r="BG11" t="str">
        <f>IF(J11&lt;&gt;"",J11,IF(D11="","",IFERROR(IF(VLOOKUP(AT11,Потребители_обозначение,8,FALSE)=0,"",VLOOKUP(AT11,Потребители_обозначение,8,FALSE)),"")))</f>
        <v/>
      </c>
      <c r="BH11" t="str">
        <f>IF(I11&lt;&gt;"",I11,IF(D11="","",IFERROR(IF(VLOOKUP(AT11,Потребители_обозначение,9,FALSE)=0,"",VLOOKUP(AT11,Потребители_обозначение,9,FALSE)),"")))</f>
        <v/>
      </c>
      <c r="BI11" t="str">
        <f>IF(U11&lt;&gt;"",U11,IF(D11="","",IFERROR(IF(VLOOKUP(AT11,Потребители_обозначение,6,FALSE)=0,"",VLOOKUP(AT11,Потребители_обозначение,6,FALSE)),"")))</f>
        <v/>
      </c>
      <c r="BJ11" t="str">
        <f>IF(V11&lt;&gt;"",V11,IF(D11="","",IFERROR(IF(VLOOKUP(AT11,Потребители_обозначение,7,FALSE)=0,"",VLOOKUP(AT11,Потребители_обозначение,7,FALSE)),"")))</f>
        <v/>
      </c>
      <c r="BK11" t="str">
        <f>IF(W11&lt;&gt;"",W11,IF(D11="","",IFERROR(IF(VLOOKUP(AT11,Потребители_обозначение,10,FALSE)=0,"",VLOOKUP(AT11,Потребители_обозначение,10,FALSE)),"")))</f>
        <v/>
      </c>
      <c r="BL11">
        <f>IFERROR(VLOOKUP(AT11,Потребители_обозначение,5,FALSE),0)</f>
        <v>0</v>
      </c>
      <c r="BM11" s="6" t="str" cm="1">
        <f t="array" ref="BM11">IF(D11="","",IF(BA11&lt;&gt;"",IFERROR(_xlfn.XLOOKUP(BA11,Щиты[Щит],Щиты[cos φ]),0.95),IF(ISNUMBER(M11),M11,IFERROR(IF(BL11=2,_xlfn.IFS(BH11=3,VLOOKUP(BF11,Справочная_двигатели,8,FALSE),BH11=1,VLOOKUP(BF11,Справочная_двигатели,10,TRUE)),IF(AND(Методика="нормы 2026",CN11="Сил"),0.8,0.95)),0.95))))</f>
        <v/>
      </c>
      <c r="BN11" s="6" t="str" cm="1">
        <f t="array" ref="BN11">IF(D11="","",IF(BA11&lt;&gt;"",IFERROR(_xlfn.XLOOKUP(BA11,Щиты[Щит],Щиты[Iр, А]),""),IFERROR(_xlfn.IFS(BH11=1,BF11/((Uн_лин/SQRT(3))*BM11),BH11=3,BF11/(SQRT(3)*Uн_лин*BM11)),"")))</f>
        <v/>
      </c>
      <c r="BO11" t="str">
        <f>IF(D11="","",IF(N(X11)=0,IFERROR(VLOOKUP(BN11,Автомат_номиналы,2,TRUE),""),X11))</f>
        <v/>
      </c>
      <c r="BP11">
        <f t="shared" si="10"/>
        <v>1</v>
      </c>
      <c r="BQ11">
        <f>IF(ISNUMBER(Y11),Y11,К_прокл)</f>
        <v>1</v>
      </c>
      <c r="BR11">
        <f t="shared" si="11"/>
        <v>3</v>
      </c>
      <c r="BS11" t="str" cm="1">
        <f t="array" ref="BS11">IF(D11="","",IF(N(BK11)&lt;&gt;0,BK11,IFERROR(_xlfn.LET(_xlpm.need,BO11/(BP11*BQ11),_xlpm.t,CHOOSE(BR11,Iдоп_1ж,Iдоп_2ж,Iдоп_3ж),_xlpm.k,_xlfn.XMATCH(_xlpm.need,_xlpm.t,1),IF(ISNA(_xlpm.k),"Не исп",INDEX(Iдоп_S,_xlpm.k))),"Не исп")))</f>
        <v/>
      </c>
      <c r="BT11" t="str">
        <f>IFERROR(VLOOKUP(BS11,Кабель_сопротивление,3,FALSE),"")</f>
        <v/>
      </c>
      <c r="BU11" t="str">
        <f>IFERROR(VLOOKUP(BS11,Кабель_сопротивление,2,FALSE),"")</f>
        <v/>
      </c>
      <c r="BV11" t="str">
        <f t="shared" si="12"/>
        <v/>
      </c>
      <c r="BW11" s="6" t="str">
        <f>IF(D11="","",IFERROR(IF(VLOOKUP(AT11,Потребители_обозначение,4,FALSE)=1,VLOOKUP(AT11,Потребители_обозначение,3,FALSE)*(H11*2-1)+BV11+VLOOKUP(AV11,Этаж_обозначение,3,FALSE)+VLOOKUP(AV11,Этаж_обозначение,4,FALSE),VLOOKUP(AT11,Потребители_обозначение,3,FALSE)*(H11*2-1)+BV11),BV11))</f>
        <v/>
      </c>
      <c r="BX11" t="str">
        <f t="shared" si="13"/>
        <v/>
      </c>
      <c r="BY11" t="str">
        <f t="shared" si="14"/>
        <v/>
      </c>
      <c r="BZ11" t="str">
        <f t="shared" si="15"/>
        <v/>
      </c>
      <c r="CA11" t="str">
        <f t="shared" si="16"/>
        <v/>
      </c>
      <c r="CB11" t="str">
        <f t="shared" si="17"/>
        <v/>
      </c>
      <c r="CC11" s="6" t="str">
        <f>IFERROR(ROUNDUP(CB11/((Uн_лин/SQRT(3))*1000)*100,2),"")</f>
        <v/>
      </c>
      <c r="CD11" s="6" t="str">
        <f>IF(ISNUMBER(CC11),CC11+IFERROR(_xlfn.XLOOKUP(A11,Щиты[Щит],Щиты[ΔU до шин, %]),0),"")</f>
        <v/>
      </c>
      <c r="CE11" s="6" t="str">
        <f>IF(D11="","",IF(IFERROR(VLOOKUP(AT11,УГО_спр,2,FALSE),"")="Светильник",3,4)+IF(Методика="нормы 2026",MIN(0.5,MAX(0,N(BW11)-100)*0.005),0))</f>
        <v/>
      </c>
      <c r="CF11" t="str">
        <f>IFERROR(VLOOKUP(BI11,Кабель_обозначение,2,FALSE),"")</f>
        <v/>
      </c>
      <c r="CG11" t="str">
        <f>IFERROR(IF(VLOOKUP(BI11,Кабель_обозначение,3,FALSE)=1,CF11&amp;" ("&amp;BJ11&amp;"х"&amp;BS11&amp;")",CF11),"")</f>
        <v/>
      </c>
      <c r="CH11" t="str">
        <f t="shared" si="18"/>
        <v/>
      </c>
      <c r="CI11" t="str">
        <f>IFERROR(2*ρкз_Cu*BW11/BS11,"")</f>
        <v/>
      </c>
      <c r="CJ11" t="str">
        <f t="shared" si="19"/>
        <v/>
      </c>
      <c r="CK11" s="6" t="str">
        <f>IFERROR(IF(OR(D11="",NOT(ISNUMBER(BS11)),N(BW11)=0),"",_xlfn.XLOOKUP(A11,Щиты[Щит],Щиты[Zпетли на шинах, Ом])+CI11),"")</f>
        <v/>
      </c>
      <c r="CL11" s="6" t="str">
        <f>IF(ISNUMBER(CK11),c_min*(Uн_лин*1000/SQRT(3))/CK11,"")</f>
        <v/>
      </c>
      <c r="CM11" s="6" t="str">
        <f>IFERROR(IF(OR(D11="",NOT(ISNUMBER(BS11))),"",1.05*(Uн_лин*1000/SQRT(3))/(_xlfn.XLOOKUP(A11,Щиты[Щит],Щиты[Zmax на шинах, Ом])+CJ11)/1000),"")</f>
        <v/>
      </c>
      <c r="CN11" s="6" t="str">
        <f>IF(D11="","",IF(BA11&lt;&gt;"","Щит",IF(K11&lt;&gt;"",K11,IF(ISNUMBER(L11),"Сил",IF(IFERROR(_xlfn.XLOOKUP(AT11,Коды_код,Коды_группа)&amp;"","")="","Быт",_xlfn.XLOOKUP(AT11,Коды_код,Коды_группа)&amp;"")))))</f>
        <v/>
      </c>
      <c r="CO11" s="6" t="str">
        <f>IF(CN11="Щит","щит",IF(CN11="","",IF(CN11="Быт",IFERROR(_xlfn.XLOOKUP(A11,Щиты[Щит],Щиты[Кс быт]),1),IF(CN11="Сил",IF(ISNUMBER(L11),L11,IF(Методика="нормы 2026",IFERROR(_xlfn.XLOOKUP(A11,Щиты[Щит],Щиты[Кс силовых (табл. 7.5)]),1),1)),IF(OR(CN11="Пост",CN11="Отоп"),1,IF(CN11="ВНГ",0.7,0))))))</f>
        <v/>
      </c>
      <c r="CP11" t="str">
        <f t="shared" si="20"/>
        <v/>
      </c>
      <c r="CQ11">
        <f t="shared" si="21"/>
        <v>0</v>
      </c>
      <c r="CR11">
        <f t="shared" si="22"/>
        <v>0</v>
      </c>
      <c r="CS11">
        <f t="shared" si="23"/>
        <v>0</v>
      </c>
      <c r="CT11">
        <f t="shared" si="24"/>
        <v>0</v>
      </c>
      <c r="CU11">
        <f t="shared" si="25"/>
        <v>0</v>
      </c>
      <c r="CV11">
        <f t="shared" si="26"/>
        <v>0</v>
      </c>
      <c r="CW11">
        <f t="shared" si="27"/>
        <v>0</v>
      </c>
      <c r="CX11">
        <f t="shared" si="28"/>
        <v>0</v>
      </c>
      <c r="CY11">
        <f t="shared" si="29"/>
        <v>0</v>
      </c>
      <c r="CZ11" t="str">
        <f t="shared" si="30"/>
        <v/>
      </c>
      <c r="DA11" cm="1">
        <f t="array" ref="DA11">IFERROR(IF(BL11=2,_xlfn.IFS(BH11=3,VLOOKUP(BF11,Справочная_двигатели,3,FALSE),BH11=1,VLOOKUP(BF11,Справочная_двигатели,5,TRUE)),0),0)</f>
        <v>0</v>
      </c>
      <c r="DB11">
        <f>IFERROR(IF(BL11=3,VLOOKUP(BF11,Справочная_ЛЭД,2,TRUE),0),0)</f>
        <v>0</v>
      </c>
      <c r="DC11" s="6" t="str">
        <f t="shared" si="31"/>
        <v/>
      </c>
      <c r="DD11" t="str">
        <f t="shared" si="32"/>
        <v/>
      </c>
      <c r="DE11" t="str" cm="1">
        <f t="array" ref="DE11">IF(D11="","",IFERROR(INDEX({"I особая","I","II","III"},MATCH(TRIM(AA11&amp;""),{"I особая","I","II","III"},0)),"III"))</f>
        <v/>
      </c>
      <c r="DF11" t="str">
        <f>IF(D11="","",IF(TRIM(AB11&amp;"")&lt;&gt;"",IF(LOWER(TRIM(AB11&amp;""))="да","да","нет"),IF(IFERROR(_xlfn.XLOOKUP(AT11,Коды_код,Коды_пожарная),"")="да","да","нет")))</f>
        <v/>
      </c>
      <c r="DG11" t="str">
        <f t="shared" si="33"/>
        <v/>
      </c>
      <c r="DH11" t="str">
        <f t="shared" si="34"/>
        <v/>
      </c>
      <c r="DI11">
        <f t="shared" si="35"/>
        <v>1</v>
      </c>
      <c r="DJ11" t="str" cm="1">
        <f t="array" ref="DJ11">IF(D11="","",_xlfn.LET(_xlpm.t,IFERROR(_xlfn.XLOOKUP(1,(Шины[Шина]=DH11)*(((Шины[Щит]=A11)+(Шины[Щит]=""))&gt;0),Шины[Тип]),"")&amp;"",IF(_xlpm.t&lt;&gt;"",_xlpm.t,IF(ISNUMBER(SEARCH("ИБП",DH11)),"ИБП",IF(ISNUMBER(SEARCH("ДГУ",DH11)),"ДГУ","Ввод "&amp;DI11)))))</f>
        <v/>
      </c>
      <c r="DK11" t="str">
        <f t="shared" si="36"/>
        <v/>
      </c>
      <c r="DL11" t="str">
        <f>IF(D11="","",IF(OR(DJ11="ИБП",DJ11="ДГУ"),"I особая",IF(DJ11="Одиночная","III",_xlfn.XLOOKUP(A11,Щиты[Щит],Щиты[Категория шины «Ввод»],"III"))))</f>
        <v/>
      </c>
      <c r="DM11">
        <f>IF(D11="",0,IFERROR(MATCH(DE11,{"III","II","I","I особая"},0),1))</f>
        <v>0</v>
      </c>
      <c r="DN11">
        <f t="shared" si="37"/>
        <v>0</v>
      </c>
      <c r="DO11" t="str">
        <f>IF(D11="","",IF(DM11&gt;IFERROR(MATCH(DL11,{"III","II","I","I особая"},0),1),"НЕ ОБЕСПЕЧЕНА","ОК"))</f>
        <v/>
      </c>
      <c r="DP11" t="str">
        <f>IF(A11="","",_xlfn.XLOOKUP(A11,Щиты[Щит],Щиты[Путь],""))</f>
        <v>|ЩР|</v>
      </c>
      <c r="DQ11" t="str">
        <f>IF(D11="","",IF(Z11&lt;&gt;"",Z11,IF(IFERROR(_xlfn.XLOOKUP(AT11,Коды_код,Коды_вид)&amp;"","")="","Прочее",_xlfn.XLOOKUP(AT11,Коды_код,Коды_вид)&amp;"")))</f>
        <v/>
      </c>
      <c r="DR11">
        <f>IF(BD11="","",INT((BD11-1)/Столбцов_на_лист)+1)</f>
        <v>1</v>
      </c>
      <c r="DS11" t="str">
        <f t="shared" si="38"/>
        <v/>
      </c>
      <c r="DT11" t="str">
        <f t="shared" si="39"/>
        <v/>
      </c>
      <c r="DU11" t="str">
        <f t="shared" si="40"/>
        <v/>
      </c>
      <c r="DV11" t="str">
        <f t="shared" si="41"/>
        <v/>
      </c>
      <c r="DW11">
        <f>IF(AT11="",0,_xlfn.LET(_xlpm.v,IFERROR(VLOOKUP(D11,УГО_спр,3,FALSE),IFERROR(VLOOKUP(AT11,УГО_спр,3,FALSE),IFERROR(VLOOKUP(LEFT(AT11,2),УГО_спр,3,FALSE),""))),IF(_xlpm.v="да",30,IF(ISNUMBER(_xlpm.v),_xlpm.v,0))))</f>
        <v>0</v>
      </c>
      <c r="DX11">
        <f t="shared" si="42"/>
        <v>0</v>
      </c>
      <c r="DY11" t="str">
        <f>IF(BD11="","",IF(AD11&lt;&gt;"",COUNTIFS(A$3:A11,A11,AD$3:AD11,"?*"),IF(OR(OR(AS11=1,A11&lt;&gt;A10),AL11="вручную"),"",IF(AS11=1,"",DZ10))))</f>
        <v/>
      </c>
      <c r="DZ11" t="str">
        <f t="shared" si="43"/>
        <v/>
      </c>
      <c r="EA11">
        <f>IF(D11="",0,MAX(IFERROR(--X11,0),IFERROR(--VLOOKUP(D11,УГО_спр,4,FALSE),IFERROR(--VLOOKUP(AT11,УГО_спр,4,FALSE),IFERROR(--VLOOKUP(LEFT(AT11,2),УГО_спр,4,FALSE),0)))))</f>
        <v>0</v>
      </c>
      <c r="EB11" t="str">
        <f>IF(D11="","",IFERROR(LOOKUP(INDEX(CHOOSE(BR11,Iдоп_1ж,Iдоп_2ж,Iдоп_3ж),MATCH(BS11,Iдоп_S,0))*BP11*BQ11,{6,10,16,20,25,32,40,50,63,80,100,125,160,200,250,315,400,500,630}),""))</f>
        <v/>
      </c>
      <c r="EC11" t="str">
        <f>IF(AD11="","",SUMIFS(Линии[_Ток схемы],Линии[_гр.],DY11,Линии[Щит],A11,Линии[_в кабель выше],0))</f>
        <v/>
      </c>
      <c r="ED11" t="str">
        <f>IF(AD11="","",IFERROR(VLOOKUP(EC11,Автомат_номиналы,2,TRUE),""))</f>
        <v/>
      </c>
      <c r="EE11" t="str">
        <f>IF(AD11="","",MAX(N(ED11),_xlfn.MAXIFS(Линии[_мин. по типу],Линии[_гр.],DY11,Линии[Щит],A11)))</f>
        <v/>
      </c>
      <c r="EF11" t="str">
        <f>IF(AD11="","",_xlfn.MINIFS(Линии[_макс. автомат по кабелю],Линии[_гр.],DY11,Линии[Щит],A11))</f>
        <v/>
      </c>
      <c r="EG11" t="str">
        <f>IF(AD11="","",MAX(1,_xlfn.MAXIFS(Линии[_фаз],Линии[_гр.],DY11,Линии[Щит],A11)))</f>
        <v/>
      </c>
      <c r="EH11" t="str">
        <f>IF(AD11="","",IF(AND(AD11&lt;&gt;"авто",AD11&lt;&gt;"+"),IF(ISNUMBER(SEARCH("мА",AD11)),IFERROR(--TRIM(RIGHT(SUBSTITUTE(LEFT(AD11,SEARCH("мА",AD11)-1)," ",REPT(" ",9)),6)),30),0),IF(AE11="нет",0,IF(ISNUMBER(AE11),AE11,IF(AE11="да",30,_xlfn.MINIFS(Линии[_дифзащита по коду, мА],Линии[_гр.],DY11,Линии[Щит],A11,Линии[_дифзащита по коду, мА],"&gt;0"))))))</f>
        <v/>
      </c>
      <c r="EI11" t="str">
        <f t="shared" si="44"/>
        <v/>
      </c>
      <c r="EJ11" t="str">
        <f t="shared" si="45"/>
        <v/>
      </c>
      <c r="EK11" t="str">
        <f t="shared" si="46"/>
        <v/>
      </c>
      <c r="EL11" t="str">
        <f t="shared" si="47"/>
        <v/>
      </c>
      <c r="EM11">
        <f t="shared" si="48"/>
        <v>0</v>
      </c>
      <c r="EN11" t="str">
        <f>IF(AD11="","",IF(EM11=1,MAX(EE11,Мин_автомат_БП),EE11))</f>
        <v/>
      </c>
      <c r="EO11" t="str">
        <f t="shared" si="49"/>
        <v/>
      </c>
      <c r="EP11" t="str">
        <f t="shared" si="50"/>
        <v/>
      </c>
      <c r="EQ11" t="str">
        <f t="shared" si="51"/>
        <v/>
      </c>
      <c r="ER11" t="str">
        <f>IF(OR(AI11="",AI11="-"),"",IFERROR(VLOOKUP(AI11,Модули_спр,2,FALSE),"R"))</f>
        <v/>
      </c>
      <c r="ES11" t="str">
        <f>IF(ER11="","",ER11&amp;"."&amp;COUNTIFS(A$3:A11,A11,ER$3:ER11,ER11))</f>
        <v/>
      </c>
      <c r="ET11" t="str">
        <f t="shared" si="52"/>
        <v/>
      </c>
      <c r="EU11" t="str">
        <f t="shared" si="53"/>
        <v/>
      </c>
      <c r="EV11" t="str">
        <f t="shared" si="54"/>
        <v/>
      </c>
      <c r="EW11" t="str">
        <f t="shared" si="55"/>
        <v/>
      </c>
      <c r="EX11">
        <f t="shared" si="56"/>
        <v>0</v>
      </c>
      <c r="EY11" t="str">
        <f>IF(AK11="нет","",IF(AK11&lt;&gt;"",AK11,IF(EX11=1,"XT"&amp;COUNTIFS(A$3:A11,A11,EX$3:EX11,1),"")))</f>
        <v/>
      </c>
      <c r="EZ11" t="str">
        <f t="shared" si="57"/>
        <v/>
      </c>
      <c r="FA11" t="str">
        <f t="shared" si="58"/>
        <v/>
      </c>
      <c r="FB11" t="str">
        <f t="shared" si="59"/>
        <v/>
      </c>
      <c r="FC11" t="str">
        <f>IF(OR(EV11="",ET11=""),"",IF(EV11&gt;IFERROR(VLOOKUP(EU11,Модули_спр,3,FALSE),99),"ЛИШНИЙ КАНАЛ",IF(AND(AJ11&lt;&gt;"=",COUNTIFS(Линии[_модуль гр.],ET11,Линии[Канал (итог)],EV11,Линии[Канал],"&lt;&gt;=",Линии[Щит],A11)&gt;1),"ДУБЛЬ КАНАЛА","")))</f>
        <v/>
      </c>
      <c r="FD11" t="str">
        <f t="shared" si="60"/>
        <v/>
      </c>
      <c r="FE11" t="str">
        <f t="shared" si="61"/>
        <v/>
      </c>
      <c r="FF11" t="str">
        <f t="shared" si="62"/>
        <v/>
      </c>
      <c r="FG11" t="str">
        <f t="shared" si="63"/>
        <v/>
      </c>
      <c r="FH11" s="6" t="str">
        <f t="shared" si="64"/>
        <v/>
      </c>
      <c r="FI11">
        <f t="shared" si="65"/>
        <v>10</v>
      </c>
      <c r="FJ11" t="str">
        <f t="shared" si="66"/>
        <v/>
      </c>
      <c r="FK11" t="str">
        <f>IF(AND(D11="",EZ11=""),"",_xlfn.TEXTJOIN("; ",TRUE,IF(AND(D11&lt;&gt;"",DD11=""),"нет фазы",""),IF(AND(D11&lt;&gt;"",N(DT11)=0,CN11&lt;&gt;"Нет"),"нет мощности",""),IF(AND(EY11&lt;&gt;"",COUNTIFS(Линии[Щит],A11,Линии[Клемма (итог)],EY11)&gt;1),"дубль клеммы "&amp;EY11,""),IF(AND(FB11&lt;&gt;"",FB11&lt;&gt;"ok"),FB11,""),IF(FC11&lt;&gt;"",FC11,""),IF(AND(ISNUMBER(SEARCH("(5х",DS11)),N(DV11)=1),"5 жил на 1 фазе",""),IF(AND(AT11="R",AD11&lt;&gt;"",OR(N(EH11)=0,N(EH11)&gt;30)),"розетка без дифзащиты до 30 мА",""),IFERROR(IF(AND(ISNUMBER(CD11),CD11&gt;CE11),"потери "&amp;FIXED(CD11,1)&amp;" % &gt; "&amp;CE11&amp;" %",""),""),IFERROR(IF(LEFT(FJ11,4)="мало","Iкз мало — отключение &gt; 0,4 с",""),""),IF(AND(D11&lt;&gt;"",BD11=""),"не на схеме","")))</f>
        <v/>
      </c>
      <c r="FL11" s="6" t="str">
        <f>IF(AD11="","",_xlfn.LET(_xlpm.t,IFERROR(_xlfn.XLOOKUP(EP11,Каталог!$U$4:$U$500,Каталог!$G$4:$G$500),""),_xlpm.k,SEARCH("кА",_xlpm.t),IFERROR(--TRIM(RIGHT(SUBSTITUTE(MID(_xlpm.t,MAX(1,_xlpm.k-4),_xlpm.k-MAX(1,_xlpm.k-4))," ",REPT(" ",9)),5)),"")))</f>
        <v/>
      </c>
      <c r="FM11" t="str">
        <f>IF(OR(FL11="",AD11=""),"",IF(_xlfn.XLOOKUP(A11,Щиты[Щит],Щиты[Iкз max на шинах, кА],"")="","",IF(FL11&lt;_xlfn.XLOOKUP(A11,Щиты[Щит],Щиты[Iкз max на шинах, кА]),"Icu "&amp;FL11&amp;" кА &lt; Iкз max","ok")))</f>
        <v/>
      </c>
      <c r="FN11" t="str">
        <f t="shared" si="67"/>
        <v/>
      </c>
      <c r="FO11" t="str">
        <f t="shared" si="68"/>
        <v/>
      </c>
      <c r="FP11" t="str" cm="1">
        <f t="array" ref="FP11">IF(FO11="","",_xlfn.LET(_xlpm.nd,_xlfn.TEXTSPLIT(FO11,"|"),IF(COLUMNS(_xlpm.nd)&gt;1,A11&amp;"¦"&amp;INDEX(_xlpm.nd,1)&amp;"¦"&amp;INDEX(_xlpm.nd,2),"")))</f>
        <v/>
      </c>
      <c r="FQ11" t="str">
        <f t="shared" si="69"/>
        <v/>
      </c>
      <c r="FR11" t="str" cm="1">
        <f t="array" ref="FR11">IF(FO11="","",_xlfn.LET(_xlpm.nd,_xlfn.TEXTSPLIT(FO11,"|"),IF(COLUMNS(_xlpm.nd)&gt;2,A11&amp;"¦"&amp;INDEX(_xlpm.nd,2)&amp;"¦"&amp;INDEX(_xlpm.nd,3),"")))</f>
        <v/>
      </c>
      <c r="FS11" t="str">
        <f t="shared" si="70"/>
        <v/>
      </c>
      <c r="FT11" t="str" cm="1">
        <f t="array" ref="FT11">IF(FO11="","",_xlfn.LET(_xlpm.nd,_xlfn.TEXTSPLIT(FO11,"|"),IF(COLUMNS(_xlpm.nd)&gt;3,A11&amp;"¦"&amp;INDEX(_xlpm.nd,3)&amp;"¦"&amp;INDEX(_xlpm.nd,4),"")))</f>
        <v/>
      </c>
      <c r="FU11" t="str">
        <f t="shared" si="71"/>
        <v/>
      </c>
      <c r="FV11" t="str" cm="1">
        <f t="array" ref="FV11">IF(FO11="","",_xlfn.LET(_xlpm.nd,_xlfn.TEXTSPLIT(FO11,"|"),IF(COLUMNS(_xlpm.nd)&gt;4,A11&amp;"¦"&amp;INDEX(_xlpm.nd,4)&amp;"¦"&amp;INDEX(_xlpm.nd,5),"")))</f>
        <v/>
      </c>
      <c r="FW11" t="str">
        <f t="shared" si="72"/>
        <v/>
      </c>
      <c r="FX11" t="str" cm="1">
        <f t="array" ref="FX11">IF(FO11="","",_xlfn.LET(_xlpm.nd,_xlfn.TEXTSPLIT(FO11,"|"),IF(COLUMNS(_xlpm.nd)&gt;5,A11&amp;"¦"&amp;INDEX(_xlpm.nd,5)&amp;"¦"&amp;INDEX(_xlpm.nd,6),"")))</f>
        <v/>
      </c>
      <c r="FY11" t="str">
        <f t="shared" si="73"/>
        <v/>
      </c>
      <c r="FZ11" t="str" cm="1">
        <f t="array" ref="FZ11">IF(FO11="","",_xlfn.LET(_xlpm.nd,_xlfn.TEXTSPLIT(FO11,"|"),IF(COLUMNS(_xlpm.nd)&gt;6,A11&amp;"¦"&amp;INDEX(_xlpm.nd,6)&amp;"¦"&amp;INDEX(_xlpm.nd,7),"")))</f>
        <v/>
      </c>
      <c r="GA11" t="str">
        <f t="shared" si="74"/>
        <v/>
      </c>
      <c r="GB11" t="str">
        <f t="shared" si="75"/>
        <v/>
      </c>
      <c r="GC11" t="str">
        <f t="shared" si="76"/>
        <v/>
      </c>
      <c r="GD11">
        <f t="shared" si="77"/>
        <v>0</v>
      </c>
      <c r="GE11">
        <f t="shared" si="78"/>
        <v>0</v>
      </c>
      <c r="GF11">
        <f t="shared" si="79"/>
        <v>0</v>
      </c>
      <c r="GG11" t="str">
        <f t="shared" si="80"/>
        <v/>
      </c>
      <c r="GH11" t="str">
        <f t="shared" si="81"/>
        <v/>
      </c>
      <c r="GI11" t="str">
        <f t="shared" si="82"/>
        <v/>
      </c>
      <c r="GJ11" t="str">
        <f t="shared" si="83"/>
        <v/>
      </c>
      <c r="GK11" t="str">
        <f>IF(D11="","",IFERROR(VLOOKUP(D11,УГО_спр,2,FALSE),IFERROR(VLOOKUP(AT11,УГО_спр,2,FALSE),IFERROR(VLOOKUP(LEFT(AT11,2),УГО_спр,2,FALSE),""))))</f>
        <v/>
      </c>
      <c r="GL11" t="str">
        <f>IF(D11="","",IF(OR(GK11="",GK11=0),"BOX",IFERROR(IF(VLOOKUP(GK11,УГО_блоки,3,FALSE)&amp;""&lt;&gt;"",VLOOKUP(GK11,УГО_блоки,3,FALSE),VLOOKUP(GK11,УГО_блоки,2,FALSE)),GK11)))</f>
        <v/>
      </c>
      <c r="GM11">
        <f t="shared" si="84"/>
        <v>0</v>
      </c>
      <c r="GN11" t="str">
        <f>IF(EP11="","",IF(COUNTIF(EP$3:EP11,EP11)=1,MAX(GN$2:GN10)+1,""))</f>
        <v/>
      </c>
      <c r="GO11" t="str">
        <f>IF(AF11="","",IF(COUNTIF(AF$3:AF11,AF11)+COUNTIF(AG$2:AG10,AF11)+COUNTIF(AH$2:AH10,AF11)=1,MAX(GO$2:GQ10)+1,""))</f>
        <v/>
      </c>
      <c r="GP11" t="str">
        <f>IF(AG11="","",IF(COUNTIF(AF$3:AF11,AG11)+COUNTIF(AG$3:AG11,AG11)+COUNTIF(AH$2:AH10,AG11)=1,MAX(GO$2:GQ10,GO11)+1,""))</f>
        <v/>
      </c>
      <c r="GQ11" t="str">
        <f>IF(AH11="","",IF(COUNTIF(AF$3:AF11,AH11)+COUNTIF(AG$3:AG11,AH11)+COUNTIF(AH$3:AH11,AH11)=1,MAX(GO$2:GQ10,GO11,GP11)+1,""))</f>
        <v/>
      </c>
      <c r="GR11" t="str">
        <f t="shared" si="85"/>
        <v/>
      </c>
      <c r="GS11" t="str">
        <f>IF(GR11="","",IF(COUNTIF(GR$3:GR11,GR11)=1,MAX(GS$2:GS10)+1,""))</f>
        <v/>
      </c>
      <c r="GT11" t="str">
        <f>IF(ES11="","",COUNTIF(ES$3:ES11,"?*"))</f>
        <v/>
      </c>
      <c r="GU11" t="str">
        <f>IF(OR(ES11="",EU11=""),"",IF(COUNTIFS(ES$3:ES11,"?*",EU$3:EU11,EU11)=1,MAX(GU$2:GU10)+1,""))</f>
        <v/>
      </c>
      <c r="GV11">
        <f t="shared" si="86"/>
        <v>0</v>
      </c>
      <c r="GW11" t="str">
        <f>IF(D11="","",COUNTIF(D$3:D11,"?*"))</f>
        <v/>
      </c>
      <c r="GX11">
        <f>IF(EX11&lt;&gt;1,0,_xlfn.LET(_xlpm.k,MAX(IFERROR(--VLOOKUP(D11,УГО_спр,5,FALSE),0),IFERROR(--VLOOKUP(AT11,УГО_спр,5,FALSE),0),IFERROR(--VLOOKUP(LEFT(AT11,2),УГО_спр,5,FALSE),0)),IF(_xlpm.k&gt;0,_xlpm.k,IF(IFERROR(--LEFT(SUBSTITUTE(GR11,"x","х"),FIND("х",SUBSTITUTE(GR11,"x","х"))-1),3)&gt;3,Каталог!$S$9,1))))</f>
        <v>0</v>
      </c>
      <c r="GY11">
        <f t="shared" si="87"/>
        <v>0</v>
      </c>
    </row>
    <row r="12" spans="1:207" x14ac:dyDescent="0.3">
      <c r="A12" t="s">
        <v>206</v>
      </c>
      <c r="B12">
        <v>10</v>
      </c>
      <c r="C12" t="str">
        <f>IF(BD12="","",IF(BE12="вводной узел","узел ","")&amp;"л."&amp;(INT((BD12-1)/Столбцов_на_лист)+1)&amp;" / "&amp;(MOD(BD12-1,Столбцов_на_лист)+1))</f>
        <v>узел л.1 / 10</v>
      </c>
      <c r="E12" s="133" t="str">
        <f t="shared" si="0"/>
        <v/>
      </c>
      <c r="AL12" t="s">
        <v>559</v>
      </c>
      <c r="AR12" t="str">
        <f t="shared" si="1"/>
        <v/>
      </c>
      <c r="AS12" cm="1">
        <f t="array" ref="AS12">ROW()-ROW(Линии[#Headers])</f>
        <v>10</v>
      </c>
      <c r="AT12" s="6" t="str">
        <f t="shared" si="2"/>
        <v/>
      </c>
      <c r="AU12" t="str">
        <f t="shared" si="3"/>
        <v/>
      </c>
      <c r="AV12" t="str">
        <f t="shared" si="4"/>
        <v/>
      </c>
      <c r="AW12" t="str">
        <f t="shared" si="5"/>
        <v/>
      </c>
      <c r="AX12" t="str">
        <f t="shared" si="6"/>
        <v/>
      </c>
      <c r="AY12" t="str">
        <f>IF(D12="","",IF(ISERROR(SEARCH(".",D12)),IFERROR(VLOOKUP(D12,Потребители_обозначение,2,FALSE)&amp;"",""),IFERROR(IF(VLOOKUP(AT12,Потребители_обозначение,4,FALSE)=1,VLOOKUP(AT12,Потребители_обозначение,2,FALSE)&amp;" "&amp;VLOOKUP(AV12,Этаж_обозначение,2,FALSE)&amp;" Пом. №"&amp;AX12,VLOOKUP(AT12,Потребители_обозначение,2,FALSE)&amp;" Шлейф №"&amp;AV12),IFERROR(VLOOKUP(D12,Потребители_обозначение,2,FALSE),""))))</f>
        <v/>
      </c>
      <c r="AZ12" t="str">
        <f t="shared" si="7"/>
        <v/>
      </c>
      <c r="BA12" t="str">
        <f>IF(F12&lt;&gt;"",F12,IF(AND(D12&lt;&gt;"",D12&lt;&gt;A12,ISNUMBER(_xlfn.XMATCH(D12,Щиты[Щит]))),D12,""))</f>
        <v/>
      </c>
      <c r="BB12">
        <f>IFERROR(_xlfn.XMATCH(A12,Щиты[Щит]),0)</f>
        <v>1</v>
      </c>
      <c r="BC12">
        <f>IFERROR(N(_xlfn.XLOOKUP(A12,Щиты[Щит],Щиты[Мест под вводной узел])),15)</f>
        <v>18</v>
      </c>
      <c r="BD12">
        <f t="shared" si="8"/>
        <v>10</v>
      </c>
      <c r="BE12" t="str">
        <f t="shared" si="9"/>
        <v>вводной узел</v>
      </c>
      <c r="BF12" s="6" t="str">
        <f>IF(D12="","",IF(BA12&lt;&gt;"",IFERROR(_xlfn.XLOOKUP(BA12,Щиты[Щит],Щиты[Руст, кВт]),0),N(G12)))</f>
        <v/>
      </c>
      <c r="BG12" t="str">
        <f>IF(J12&lt;&gt;"",J12,IF(D12="","",IFERROR(IF(VLOOKUP(AT12,Потребители_обозначение,8,FALSE)=0,"",VLOOKUP(AT12,Потребители_обозначение,8,FALSE)),"")))</f>
        <v/>
      </c>
      <c r="BH12" t="str">
        <f>IF(I12&lt;&gt;"",I12,IF(D12="","",IFERROR(IF(VLOOKUP(AT12,Потребители_обозначение,9,FALSE)=0,"",VLOOKUP(AT12,Потребители_обозначение,9,FALSE)),"")))</f>
        <v/>
      </c>
      <c r="BI12" t="str">
        <f>IF(U12&lt;&gt;"",U12,IF(D12="","",IFERROR(IF(VLOOKUP(AT12,Потребители_обозначение,6,FALSE)=0,"",VLOOKUP(AT12,Потребители_обозначение,6,FALSE)),"")))</f>
        <v/>
      </c>
      <c r="BJ12" t="str">
        <f>IF(V12&lt;&gt;"",V12,IF(D12="","",IFERROR(IF(VLOOKUP(AT12,Потребители_обозначение,7,FALSE)=0,"",VLOOKUP(AT12,Потребители_обозначение,7,FALSE)),"")))</f>
        <v/>
      </c>
      <c r="BK12" t="str">
        <f>IF(W12&lt;&gt;"",W12,IF(D12="","",IFERROR(IF(VLOOKUP(AT12,Потребители_обозначение,10,FALSE)=0,"",VLOOKUP(AT12,Потребители_обозначение,10,FALSE)),"")))</f>
        <v/>
      </c>
      <c r="BL12">
        <f>IFERROR(VLOOKUP(AT12,Потребители_обозначение,5,FALSE),0)</f>
        <v>0</v>
      </c>
      <c r="BM12" s="6" t="str" cm="1">
        <f t="array" ref="BM12">IF(D12="","",IF(BA12&lt;&gt;"",IFERROR(_xlfn.XLOOKUP(BA12,Щиты[Щит],Щиты[cos φ]),0.95),IF(ISNUMBER(M12),M12,IFERROR(IF(BL12=2,_xlfn.IFS(BH12=3,VLOOKUP(BF12,Справочная_двигатели,8,FALSE),BH12=1,VLOOKUP(BF12,Справочная_двигатели,10,TRUE)),IF(AND(Методика="нормы 2026",CN12="Сил"),0.8,0.95)),0.95))))</f>
        <v/>
      </c>
      <c r="BN12" s="6" t="str" cm="1">
        <f t="array" ref="BN12">IF(D12="","",IF(BA12&lt;&gt;"",IFERROR(_xlfn.XLOOKUP(BA12,Щиты[Щит],Щиты[Iр, А]),""),IFERROR(_xlfn.IFS(BH12=1,BF12/((Uн_лин/SQRT(3))*BM12),BH12=3,BF12/(SQRT(3)*Uн_лин*BM12)),"")))</f>
        <v/>
      </c>
      <c r="BO12" t="str">
        <f>IF(D12="","",IF(N(X12)=0,IFERROR(VLOOKUP(BN12,Автомат_номиналы,2,TRUE),""),X12))</f>
        <v/>
      </c>
      <c r="BP12">
        <f t="shared" si="10"/>
        <v>1</v>
      </c>
      <c r="BQ12">
        <f>IF(ISNUMBER(Y12),Y12,К_прокл)</f>
        <v>1</v>
      </c>
      <c r="BR12">
        <f t="shared" si="11"/>
        <v>3</v>
      </c>
      <c r="BS12" t="str" cm="1">
        <f t="array" ref="BS12">IF(D12="","",IF(N(BK12)&lt;&gt;0,BK12,IFERROR(_xlfn.LET(_xlpm.need,BO12/(BP12*BQ12),_xlpm.t,CHOOSE(BR12,Iдоп_1ж,Iдоп_2ж,Iдоп_3ж),_xlpm.k,_xlfn.XMATCH(_xlpm.need,_xlpm.t,1),IF(ISNA(_xlpm.k),"Не исп",INDEX(Iдоп_S,_xlpm.k))),"Не исп")))</f>
        <v/>
      </c>
      <c r="BT12" t="str">
        <f>IFERROR(VLOOKUP(BS12,Кабель_сопротивление,3,FALSE),"")</f>
        <v/>
      </c>
      <c r="BU12" t="str">
        <f>IFERROR(VLOOKUP(BS12,Кабель_сопротивление,2,FALSE),"")</f>
        <v/>
      </c>
      <c r="BV12" t="str">
        <f t="shared" si="12"/>
        <v/>
      </c>
      <c r="BW12" s="6" t="str">
        <f>IF(D12="","",IFERROR(IF(VLOOKUP(AT12,Потребители_обозначение,4,FALSE)=1,VLOOKUP(AT12,Потребители_обозначение,3,FALSE)*(H12*2-1)+BV12+VLOOKUP(AV12,Этаж_обозначение,3,FALSE)+VLOOKUP(AV12,Этаж_обозначение,4,FALSE),VLOOKUP(AT12,Потребители_обозначение,3,FALSE)*(H12*2-1)+BV12),BV12))</f>
        <v/>
      </c>
      <c r="BX12" t="str">
        <f t="shared" si="13"/>
        <v/>
      </c>
      <c r="BY12" t="str">
        <f t="shared" si="14"/>
        <v/>
      </c>
      <c r="BZ12" t="str">
        <f t="shared" si="15"/>
        <v/>
      </c>
      <c r="CA12" t="str">
        <f t="shared" si="16"/>
        <v/>
      </c>
      <c r="CB12" t="str">
        <f t="shared" si="17"/>
        <v/>
      </c>
      <c r="CC12" s="6" t="str">
        <f>IFERROR(ROUNDUP(CB12/((Uн_лин/SQRT(3))*1000)*100,2),"")</f>
        <v/>
      </c>
      <c r="CD12" s="6" t="str">
        <f>IF(ISNUMBER(CC12),CC12+IFERROR(_xlfn.XLOOKUP(A12,Щиты[Щит],Щиты[ΔU до шин, %]),0),"")</f>
        <v/>
      </c>
      <c r="CE12" s="6" t="str">
        <f>IF(D12="","",IF(IFERROR(VLOOKUP(AT12,УГО_спр,2,FALSE),"")="Светильник",3,4)+IF(Методика="нормы 2026",MIN(0.5,MAX(0,N(BW12)-100)*0.005),0))</f>
        <v/>
      </c>
      <c r="CF12" t="str">
        <f>IFERROR(VLOOKUP(BI12,Кабель_обозначение,2,FALSE),"")</f>
        <v/>
      </c>
      <c r="CG12" t="str">
        <f>IFERROR(IF(VLOOKUP(BI12,Кабель_обозначение,3,FALSE)=1,CF12&amp;" ("&amp;BJ12&amp;"х"&amp;BS12&amp;")",CF12),"")</f>
        <v/>
      </c>
      <c r="CH12" t="str">
        <f t="shared" si="18"/>
        <v/>
      </c>
      <c r="CI12" t="str">
        <f>IFERROR(2*ρкз_Cu*BW12/BS12,"")</f>
        <v/>
      </c>
      <c r="CJ12" t="str">
        <f t="shared" si="19"/>
        <v/>
      </c>
      <c r="CK12" s="6" t="str">
        <f>IFERROR(IF(OR(D12="",NOT(ISNUMBER(BS12)),N(BW12)=0),"",_xlfn.XLOOKUP(A12,Щиты[Щит],Щиты[Zпетли на шинах, Ом])+CI12),"")</f>
        <v/>
      </c>
      <c r="CL12" s="6" t="str">
        <f>IF(ISNUMBER(CK12),c_min*(Uн_лин*1000/SQRT(3))/CK12,"")</f>
        <v/>
      </c>
      <c r="CM12" s="6" t="str">
        <f>IFERROR(IF(OR(D12="",NOT(ISNUMBER(BS12))),"",1.05*(Uн_лин*1000/SQRT(3))/(_xlfn.XLOOKUP(A12,Щиты[Щит],Щиты[Zmax на шинах, Ом])+CJ12)/1000),"")</f>
        <v/>
      </c>
      <c r="CN12" s="6" t="str">
        <f>IF(D12="","",IF(BA12&lt;&gt;"","Щит",IF(K12&lt;&gt;"",K12,IF(ISNUMBER(L12),"Сил",IF(IFERROR(_xlfn.XLOOKUP(AT12,Коды_код,Коды_группа)&amp;"","")="","Быт",_xlfn.XLOOKUP(AT12,Коды_код,Коды_группа)&amp;"")))))</f>
        <v/>
      </c>
      <c r="CO12" s="6" t="str">
        <f>IF(CN12="Щит","щит",IF(CN12="","",IF(CN12="Быт",IFERROR(_xlfn.XLOOKUP(A12,Щиты[Щит],Щиты[Кс быт]),1),IF(CN12="Сил",IF(ISNUMBER(L12),L12,IF(Методика="нормы 2026",IFERROR(_xlfn.XLOOKUP(A12,Щиты[Щит],Щиты[Кс силовых (табл. 7.5)]),1),1)),IF(OR(CN12="Пост",CN12="Отоп"),1,IF(CN12="ВНГ",0.7,0))))))</f>
        <v/>
      </c>
      <c r="CP12" t="str">
        <f t="shared" si="20"/>
        <v/>
      </c>
      <c r="CQ12">
        <f t="shared" si="21"/>
        <v>0</v>
      </c>
      <c r="CR12">
        <f t="shared" si="22"/>
        <v>0</v>
      </c>
      <c r="CS12">
        <f t="shared" si="23"/>
        <v>0</v>
      </c>
      <c r="CT12">
        <f t="shared" si="24"/>
        <v>0</v>
      </c>
      <c r="CU12">
        <f t="shared" si="25"/>
        <v>0</v>
      </c>
      <c r="CV12">
        <f t="shared" si="26"/>
        <v>0</v>
      </c>
      <c r="CW12">
        <f t="shared" si="27"/>
        <v>0</v>
      </c>
      <c r="CX12">
        <f t="shared" si="28"/>
        <v>0</v>
      </c>
      <c r="CY12">
        <f t="shared" si="29"/>
        <v>0</v>
      </c>
      <c r="CZ12" t="str">
        <f t="shared" si="30"/>
        <v/>
      </c>
      <c r="DA12" cm="1">
        <f t="array" ref="DA12">IFERROR(IF(BL12=2,_xlfn.IFS(BH12=3,VLOOKUP(BF12,Справочная_двигатели,3,FALSE),BH12=1,VLOOKUP(BF12,Справочная_двигатели,5,TRUE)),0),0)</f>
        <v>0</v>
      </c>
      <c r="DB12">
        <f>IFERROR(IF(BL12=3,VLOOKUP(BF12,Справочная_ЛЭД,2,TRUE),0),0)</f>
        <v>0</v>
      </c>
      <c r="DC12" s="6" t="str">
        <f t="shared" si="31"/>
        <v/>
      </c>
      <c r="DD12" t="str">
        <f t="shared" si="32"/>
        <v/>
      </c>
      <c r="DE12" t="str" cm="1">
        <f t="array" ref="DE12">IF(D12="","",IFERROR(INDEX({"I особая","I","II","III"},MATCH(TRIM(AA12&amp;""),{"I особая","I","II","III"},0)),"III"))</f>
        <v/>
      </c>
      <c r="DF12" t="str">
        <f>IF(D12="","",IF(TRIM(AB12&amp;"")&lt;&gt;"",IF(LOWER(TRIM(AB12&amp;""))="да","да","нет"),IF(IFERROR(_xlfn.XLOOKUP(AT12,Коды_код,Коды_пожарная),"")="да","да","нет")))</f>
        <v/>
      </c>
      <c r="DG12" t="str">
        <f t="shared" si="33"/>
        <v/>
      </c>
      <c r="DH12" t="str">
        <f t="shared" si="34"/>
        <v/>
      </c>
      <c r="DI12">
        <f t="shared" si="35"/>
        <v>1</v>
      </c>
      <c r="DJ12" t="str" cm="1">
        <f t="array" ref="DJ12">IF(D12="","",_xlfn.LET(_xlpm.t,IFERROR(_xlfn.XLOOKUP(1,(Шины[Шина]=DH12)*(((Шины[Щит]=A12)+(Шины[Щит]=""))&gt;0),Шины[Тип]),"")&amp;"",IF(_xlpm.t&lt;&gt;"",_xlpm.t,IF(ISNUMBER(SEARCH("ИБП",DH12)),"ИБП",IF(ISNUMBER(SEARCH("ДГУ",DH12)),"ДГУ","Ввод "&amp;DI12)))))</f>
        <v/>
      </c>
      <c r="DK12" t="str">
        <f t="shared" si="36"/>
        <v/>
      </c>
      <c r="DL12" t="str">
        <f>IF(D12="","",IF(OR(DJ12="ИБП",DJ12="ДГУ"),"I особая",IF(DJ12="Одиночная","III",_xlfn.XLOOKUP(A12,Щиты[Щит],Щиты[Категория шины «Ввод»],"III"))))</f>
        <v/>
      </c>
      <c r="DM12">
        <f>IF(D12="",0,IFERROR(MATCH(DE12,{"III","II","I","I особая"},0),1))</f>
        <v>0</v>
      </c>
      <c r="DN12">
        <f t="shared" si="37"/>
        <v>0</v>
      </c>
      <c r="DO12" t="str">
        <f>IF(D12="","",IF(DM12&gt;IFERROR(MATCH(DL12,{"III","II","I","I особая"},0),1),"НЕ ОБЕСПЕЧЕНА","ОК"))</f>
        <v/>
      </c>
      <c r="DP12" t="str">
        <f>IF(A12="","",_xlfn.XLOOKUP(A12,Щиты[Щит],Щиты[Путь],""))</f>
        <v>|ЩР|</v>
      </c>
      <c r="DQ12" t="str">
        <f>IF(D12="","",IF(Z12&lt;&gt;"",Z12,IF(IFERROR(_xlfn.XLOOKUP(AT12,Коды_код,Коды_вид)&amp;"","")="","Прочее",_xlfn.XLOOKUP(AT12,Коды_код,Коды_вид)&amp;"")))</f>
        <v/>
      </c>
      <c r="DR12">
        <f>IF(BD12="","",INT((BD12-1)/Столбцов_на_лист)+1)</f>
        <v>1</v>
      </c>
      <c r="DS12" t="str">
        <f t="shared" si="38"/>
        <v/>
      </c>
      <c r="DT12" t="str">
        <f t="shared" si="39"/>
        <v/>
      </c>
      <c r="DU12" t="str">
        <f t="shared" si="40"/>
        <v/>
      </c>
      <c r="DV12" t="str">
        <f t="shared" si="41"/>
        <v/>
      </c>
      <c r="DW12">
        <f>IF(AT12="",0,_xlfn.LET(_xlpm.v,IFERROR(VLOOKUP(D12,УГО_спр,3,FALSE),IFERROR(VLOOKUP(AT12,УГО_спр,3,FALSE),IFERROR(VLOOKUP(LEFT(AT12,2),УГО_спр,3,FALSE),""))),IF(_xlpm.v="да",30,IF(ISNUMBER(_xlpm.v),_xlpm.v,0))))</f>
        <v>0</v>
      </c>
      <c r="DX12">
        <f t="shared" si="42"/>
        <v>0</v>
      </c>
      <c r="DY12" t="str">
        <f>IF(BD12="","",IF(AD12&lt;&gt;"",COUNTIFS(A$3:A12,A12,AD$3:AD12,"?*"),IF(OR(OR(AS12=1,A12&lt;&gt;A11),AL12="вручную"),"",IF(AS12=1,"",DZ11))))</f>
        <v/>
      </c>
      <c r="DZ12" t="str">
        <f t="shared" si="43"/>
        <v/>
      </c>
      <c r="EA12">
        <f>IF(D12="",0,MAX(IFERROR(--X12,0),IFERROR(--VLOOKUP(D12,УГО_спр,4,FALSE),IFERROR(--VLOOKUP(AT12,УГО_спр,4,FALSE),IFERROR(--VLOOKUP(LEFT(AT12,2),УГО_спр,4,FALSE),0)))))</f>
        <v>0</v>
      </c>
      <c r="EB12" t="str">
        <f>IF(D12="","",IFERROR(LOOKUP(INDEX(CHOOSE(BR12,Iдоп_1ж,Iдоп_2ж,Iдоп_3ж),MATCH(BS12,Iдоп_S,0))*BP12*BQ12,{6,10,16,20,25,32,40,50,63,80,100,125,160,200,250,315,400,500,630}),""))</f>
        <v/>
      </c>
      <c r="EC12" t="str">
        <f>IF(AD12="","",SUMIFS(Линии[_Ток схемы],Линии[_гр.],DY12,Линии[Щит],A12,Линии[_в кабель выше],0))</f>
        <v/>
      </c>
      <c r="ED12" t="str">
        <f>IF(AD12="","",IFERROR(VLOOKUP(EC12,Автомат_номиналы,2,TRUE),""))</f>
        <v/>
      </c>
      <c r="EE12" t="str">
        <f>IF(AD12="","",MAX(N(ED12),_xlfn.MAXIFS(Линии[_мин. по типу],Линии[_гр.],DY12,Линии[Щит],A12)))</f>
        <v/>
      </c>
      <c r="EF12" t="str">
        <f>IF(AD12="","",_xlfn.MINIFS(Линии[_макс. автомат по кабелю],Линии[_гр.],DY12,Линии[Щит],A12))</f>
        <v/>
      </c>
      <c r="EG12" t="str">
        <f>IF(AD12="","",MAX(1,_xlfn.MAXIFS(Линии[_фаз],Линии[_гр.],DY12,Линии[Щит],A12)))</f>
        <v/>
      </c>
      <c r="EH12" t="str">
        <f>IF(AD12="","",IF(AND(AD12&lt;&gt;"авто",AD12&lt;&gt;"+"),IF(ISNUMBER(SEARCH("мА",AD12)),IFERROR(--TRIM(RIGHT(SUBSTITUTE(LEFT(AD12,SEARCH("мА",AD12)-1)," ",REPT(" ",9)),6)),30),0),IF(AE12="нет",0,IF(ISNUMBER(AE12),AE12,IF(AE12="да",30,_xlfn.MINIFS(Линии[_дифзащита по коду, мА],Линии[_гр.],DY12,Линии[Щит],A12,Линии[_дифзащита по коду, мА],"&gt;0"))))))</f>
        <v/>
      </c>
      <c r="EI12" t="str">
        <f t="shared" si="44"/>
        <v/>
      </c>
      <c r="EJ12" t="str">
        <f t="shared" si="45"/>
        <v/>
      </c>
      <c r="EK12" t="str">
        <f t="shared" si="46"/>
        <v/>
      </c>
      <c r="EL12" t="str">
        <f t="shared" si="47"/>
        <v/>
      </c>
      <c r="EM12">
        <f t="shared" si="48"/>
        <v>0</v>
      </c>
      <c r="EN12" t="str">
        <f>IF(AD12="","",IF(EM12=1,MAX(EE12,Мин_автомат_БП),EE12))</f>
        <v/>
      </c>
      <c r="EO12" t="str">
        <f t="shared" si="49"/>
        <v/>
      </c>
      <c r="EP12" t="str">
        <f t="shared" si="50"/>
        <v/>
      </c>
      <c r="EQ12" t="str">
        <f t="shared" si="51"/>
        <v/>
      </c>
      <c r="ER12" t="str">
        <f>IF(OR(AI12="",AI12="-"),"",IFERROR(VLOOKUP(AI12,Модули_спр,2,FALSE),"R"))</f>
        <v/>
      </c>
      <c r="ES12" t="str">
        <f>IF(ER12="","",ER12&amp;"."&amp;COUNTIFS(A$3:A12,A12,ER$3:ER12,ER12))</f>
        <v/>
      </c>
      <c r="ET12" t="str">
        <f t="shared" si="52"/>
        <v/>
      </c>
      <c r="EU12" t="str">
        <f t="shared" si="53"/>
        <v/>
      </c>
      <c r="EV12" t="str">
        <f t="shared" si="54"/>
        <v/>
      </c>
      <c r="EW12" t="str">
        <f t="shared" si="55"/>
        <v/>
      </c>
      <c r="EX12">
        <f t="shared" si="56"/>
        <v>0</v>
      </c>
      <c r="EY12" t="str">
        <f>IF(AK12="нет","",IF(AK12&lt;&gt;"",AK12,IF(EX12=1,"XT"&amp;COUNTIFS(A$3:A12,A12,EX$3:EX12,1),"")))</f>
        <v/>
      </c>
      <c r="EZ12" t="str">
        <f t="shared" si="57"/>
        <v/>
      </c>
      <c r="FA12" t="str">
        <f t="shared" si="58"/>
        <v/>
      </c>
      <c r="FB12" t="str">
        <f t="shared" si="59"/>
        <v/>
      </c>
      <c r="FC12" t="str">
        <f>IF(OR(EV12="",ET12=""),"",IF(EV12&gt;IFERROR(VLOOKUP(EU12,Модули_спр,3,FALSE),99),"ЛИШНИЙ КАНАЛ",IF(AND(AJ12&lt;&gt;"=",COUNTIFS(Линии[_модуль гр.],ET12,Линии[Канал (итог)],EV12,Линии[Канал],"&lt;&gt;=",Линии[Щит],A12)&gt;1),"ДУБЛЬ КАНАЛА","")))</f>
        <v/>
      </c>
      <c r="FD12" t="str">
        <f t="shared" si="60"/>
        <v/>
      </c>
      <c r="FE12" t="str">
        <f t="shared" si="61"/>
        <v/>
      </c>
      <c r="FF12" t="str">
        <f t="shared" si="62"/>
        <v/>
      </c>
      <c r="FG12" t="str">
        <f t="shared" si="63"/>
        <v/>
      </c>
      <c r="FH12" s="6" t="str">
        <f t="shared" si="64"/>
        <v/>
      </c>
      <c r="FI12">
        <f t="shared" si="65"/>
        <v>10</v>
      </c>
      <c r="FJ12" t="str">
        <f t="shared" si="66"/>
        <v/>
      </c>
      <c r="FK12" t="str">
        <f>IF(AND(D12="",EZ12=""),"",_xlfn.TEXTJOIN("; ",TRUE,IF(AND(D12&lt;&gt;"",DD12=""),"нет фазы",""),IF(AND(D12&lt;&gt;"",N(DT12)=0,CN12&lt;&gt;"Нет"),"нет мощности",""),IF(AND(EY12&lt;&gt;"",COUNTIFS(Линии[Щит],A12,Линии[Клемма (итог)],EY12)&gt;1),"дубль клеммы "&amp;EY12,""),IF(AND(FB12&lt;&gt;"",FB12&lt;&gt;"ok"),FB12,""),IF(FC12&lt;&gt;"",FC12,""),IF(AND(ISNUMBER(SEARCH("(5х",DS12)),N(DV12)=1),"5 жил на 1 фазе",""),IF(AND(AT12="R",AD12&lt;&gt;"",OR(N(EH12)=0,N(EH12)&gt;30)),"розетка без дифзащиты до 30 мА",""),IFERROR(IF(AND(ISNUMBER(CD12),CD12&gt;CE12),"потери "&amp;FIXED(CD12,1)&amp;" % &gt; "&amp;CE12&amp;" %",""),""),IFERROR(IF(LEFT(FJ12,4)="мало","Iкз мало — отключение &gt; 0,4 с",""),""),IF(AND(D12&lt;&gt;"",BD12=""),"не на схеме","")))</f>
        <v/>
      </c>
      <c r="FL12" s="6" t="str">
        <f>IF(AD12="","",_xlfn.LET(_xlpm.t,IFERROR(_xlfn.XLOOKUP(EP12,Каталог!$U$4:$U$500,Каталог!$G$4:$G$500),""),_xlpm.k,SEARCH("кА",_xlpm.t),IFERROR(--TRIM(RIGHT(SUBSTITUTE(MID(_xlpm.t,MAX(1,_xlpm.k-4),_xlpm.k-MAX(1,_xlpm.k-4))," ",REPT(" ",9)),5)),"")))</f>
        <v/>
      </c>
      <c r="FM12" t="str">
        <f>IF(OR(FL12="",AD12=""),"",IF(_xlfn.XLOOKUP(A12,Щиты[Щит],Щиты[Iкз max на шинах, кА],"")="","",IF(FL12&lt;_xlfn.XLOOKUP(A12,Щиты[Щит],Щиты[Iкз max на шинах, кА]),"Icu "&amp;FL12&amp;" кА &lt; Iкз max","ok")))</f>
        <v/>
      </c>
      <c r="FN12" t="str">
        <f t="shared" si="67"/>
        <v/>
      </c>
      <c r="FO12" t="str">
        <f t="shared" si="68"/>
        <v/>
      </c>
      <c r="FP12" t="str" cm="1">
        <f t="array" ref="FP12">IF(FO12="","",_xlfn.LET(_xlpm.nd,_xlfn.TEXTSPLIT(FO12,"|"),IF(COLUMNS(_xlpm.nd)&gt;1,A12&amp;"¦"&amp;INDEX(_xlpm.nd,1)&amp;"¦"&amp;INDEX(_xlpm.nd,2),"")))</f>
        <v/>
      </c>
      <c r="FQ12" t="str">
        <f t="shared" si="69"/>
        <v/>
      </c>
      <c r="FR12" t="str" cm="1">
        <f t="array" ref="FR12">IF(FO12="","",_xlfn.LET(_xlpm.nd,_xlfn.TEXTSPLIT(FO12,"|"),IF(COLUMNS(_xlpm.nd)&gt;2,A12&amp;"¦"&amp;INDEX(_xlpm.nd,2)&amp;"¦"&amp;INDEX(_xlpm.nd,3),"")))</f>
        <v/>
      </c>
      <c r="FS12" t="str">
        <f t="shared" si="70"/>
        <v/>
      </c>
      <c r="FT12" t="str" cm="1">
        <f t="array" ref="FT12">IF(FO12="","",_xlfn.LET(_xlpm.nd,_xlfn.TEXTSPLIT(FO12,"|"),IF(COLUMNS(_xlpm.nd)&gt;3,A12&amp;"¦"&amp;INDEX(_xlpm.nd,3)&amp;"¦"&amp;INDEX(_xlpm.nd,4),"")))</f>
        <v/>
      </c>
      <c r="FU12" t="str">
        <f t="shared" si="71"/>
        <v/>
      </c>
      <c r="FV12" t="str" cm="1">
        <f t="array" ref="FV12">IF(FO12="","",_xlfn.LET(_xlpm.nd,_xlfn.TEXTSPLIT(FO12,"|"),IF(COLUMNS(_xlpm.nd)&gt;4,A12&amp;"¦"&amp;INDEX(_xlpm.nd,4)&amp;"¦"&amp;INDEX(_xlpm.nd,5),"")))</f>
        <v/>
      </c>
      <c r="FW12" t="str">
        <f t="shared" si="72"/>
        <v/>
      </c>
      <c r="FX12" t="str" cm="1">
        <f t="array" ref="FX12">IF(FO12="","",_xlfn.LET(_xlpm.nd,_xlfn.TEXTSPLIT(FO12,"|"),IF(COLUMNS(_xlpm.nd)&gt;5,A12&amp;"¦"&amp;INDEX(_xlpm.nd,5)&amp;"¦"&amp;INDEX(_xlpm.nd,6),"")))</f>
        <v/>
      </c>
      <c r="FY12" t="str">
        <f t="shared" si="73"/>
        <v/>
      </c>
      <c r="FZ12" t="str" cm="1">
        <f t="array" ref="FZ12">IF(FO12="","",_xlfn.LET(_xlpm.nd,_xlfn.TEXTSPLIT(FO12,"|"),IF(COLUMNS(_xlpm.nd)&gt;6,A12&amp;"¦"&amp;INDEX(_xlpm.nd,6)&amp;"¦"&amp;INDEX(_xlpm.nd,7),"")))</f>
        <v/>
      </c>
      <c r="GA12" t="str">
        <f t="shared" si="74"/>
        <v/>
      </c>
      <c r="GB12" t="str">
        <f t="shared" si="75"/>
        <v/>
      </c>
      <c r="GC12" t="str">
        <f t="shared" si="76"/>
        <v/>
      </c>
      <c r="GD12">
        <f t="shared" si="77"/>
        <v>0</v>
      </c>
      <c r="GE12">
        <f t="shared" si="78"/>
        <v>0</v>
      </c>
      <c r="GF12">
        <f t="shared" si="79"/>
        <v>0</v>
      </c>
      <c r="GG12" t="str">
        <f t="shared" si="80"/>
        <v/>
      </c>
      <c r="GH12" t="str">
        <f t="shared" si="81"/>
        <v/>
      </c>
      <c r="GI12" t="str">
        <f t="shared" si="82"/>
        <v/>
      </c>
      <c r="GJ12" t="str">
        <f t="shared" si="83"/>
        <v/>
      </c>
      <c r="GK12" t="str">
        <f>IF(D12="","",IFERROR(VLOOKUP(D12,УГО_спр,2,FALSE),IFERROR(VLOOKUP(AT12,УГО_спр,2,FALSE),IFERROR(VLOOKUP(LEFT(AT12,2),УГО_спр,2,FALSE),""))))</f>
        <v/>
      </c>
      <c r="GL12" t="str">
        <f>IF(D12="","",IF(OR(GK12="",GK12=0),"BOX",IFERROR(IF(VLOOKUP(GK12,УГО_блоки,3,FALSE)&amp;""&lt;&gt;"",VLOOKUP(GK12,УГО_блоки,3,FALSE),VLOOKUP(GK12,УГО_блоки,2,FALSE)),GK12)))</f>
        <v/>
      </c>
      <c r="GM12">
        <f t="shared" si="84"/>
        <v>0</v>
      </c>
      <c r="GN12" t="str">
        <f>IF(EP12="","",IF(COUNTIF(EP$3:EP12,EP12)=1,MAX(GN$2:GN11)+1,""))</f>
        <v/>
      </c>
      <c r="GO12" t="str">
        <f>IF(AF12="","",IF(COUNTIF(AF$3:AF12,AF12)+COUNTIF(AG$2:AG11,AF12)+COUNTIF(AH$2:AH11,AF12)=1,MAX(GO$2:GQ11)+1,""))</f>
        <v/>
      </c>
      <c r="GP12" t="str">
        <f>IF(AG12="","",IF(COUNTIF(AF$3:AF12,AG12)+COUNTIF(AG$3:AG12,AG12)+COUNTIF(AH$2:AH11,AG12)=1,MAX(GO$2:GQ11,GO12)+1,""))</f>
        <v/>
      </c>
      <c r="GQ12" t="str">
        <f>IF(AH12="","",IF(COUNTIF(AF$3:AF12,AH12)+COUNTIF(AG$3:AG12,AH12)+COUNTIF(AH$3:AH12,AH12)=1,MAX(GO$2:GQ11,GO12,GP12)+1,""))</f>
        <v/>
      </c>
      <c r="GR12" t="str">
        <f t="shared" si="85"/>
        <v/>
      </c>
      <c r="GS12" t="str">
        <f>IF(GR12="","",IF(COUNTIF(GR$3:GR12,GR12)=1,MAX(GS$2:GS11)+1,""))</f>
        <v/>
      </c>
      <c r="GT12" t="str">
        <f>IF(ES12="","",COUNTIF(ES$3:ES12,"?*"))</f>
        <v/>
      </c>
      <c r="GU12" t="str">
        <f>IF(OR(ES12="",EU12=""),"",IF(COUNTIFS(ES$3:ES12,"?*",EU$3:EU12,EU12)=1,MAX(GU$2:GU11)+1,""))</f>
        <v/>
      </c>
      <c r="GV12">
        <f t="shared" si="86"/>
        <v>0</v>
      </c>
      <c r="GW12" t="str">
        <f>IF(D12="","",COUNTIF(D$3:D12,"?*"))</f>
        <v/>
      </c>
      <c r="GX12">
        <f>IF(EX12&lt;&gt;1,0,_xlfn.LET(_xlpm.k,MAX(IFERROR(--VLOOKUP(D12,УГО_спр,5,FALSE),0),IFERROR(--VLOOKUP(AT12,УГО_спр,5,FALSE),0),IFERROR(--VLOOKUP(LEFT(AT12,2),УГО_спр,5,FALSE),0)),IF(_xlpm.k&gt;0,_xlpm.k,IF(IFERROR(--LEFT(SUBSTITUTE(GR12,"x","х"),FIND("х",SUBSTITUTE(GR12,"x","х"))-1),3)&gt;3,Каталог!$S$9,1))))</f>
        <v>0</v>
      </c>
      <c r="GY12">
        <f t="shared" si="87"/>
        <v>0</v>
      </c>
    </row>
    <row r="13" spans="1:207" x14ac:dyDescent="0.3">
      <c r="A13" t="s">
        <v>206</v>
      </c>
      <c r="B13">
        <v>11</v>
      </c>
      <c r="C13" t="str">
        <f>IF(BD13="","",IF(BE13="вводной узел","узел ","")&amp;"л."&amp;(INT((BD13-1)/Столбцов_на_лист)+1)&amp;" / "&amp;(MOD(BD13-1,Столбцов_на_лист)+1))</f>
        <v>узел л.1 / 11</v>
      </c>
      <c r="E13" s="133" t="str">
        <f t="shared" si="0"/>
        <v/>
      </c>
      <c r="AL13" t="s">
        <v>559</v>
      </c>
      <c r="AR13" t="str">
        <f t="shared" si="1"/>
        <v/>
      </c>
      <c r="AS13" cm="1">
        <f t="array" ref="AS13">ROW()-ROW(Линии[#Headers])</f>
        <v>11</v>
      </c>
      <c r="AT13" s="6" t="str">
        <f t="shared" si="2"/>
        <v/>
      </c>
      <c r="AU13" t="str">
        <f t="shared" si="3"/>
        <v/>
      </c>
      <c r="AV13" t="str">
        <f t="shared" si="4"/>
        <v/>
      </c>
      <c r="AW13" t="str">
        <f t="shared" si="5"/>
        <v/>
      </c>
      <c r="AX13" t="str">
        <f t="shared" si="6"/>
        <v/>
      </c>
      <c r="AY13" t="str">
        <f>IF(D13="","",IF(ISERROR(SEARCH(".",D13)),IFERROR(VLOOKUP(D13,Потребители_обозначение,2,FALSE)&amp;"",""),IFERROR(IF(VLOOKUP(AT13,Потребители_обозначение,4,FALSE)=1,VLOOKUP(AT13,Потребители_обозначение,2,FALSE)&amp;" "&amp;VLOOKUP(AV13,Этаж_обозначение,2,FALSE)&amp;" Пом. №"&amp;AX13,VLOOKUP(AT13,Потребители_обозначение,2,FALSE)&amp;" Шлейф №"&amp;AV13),IFERROR(VLOOKUP(D13,Потребители_обозначение,2,FALSE),""))))</f>
        <v/>
      </c>
      <c r="AZ13" t="str">
        <f t="shared" si="7"/>
        <v/>
      </c>
      <c r="BA13" t="str">
        <f>IF(F13&lt;&gt;"",F13,IF(AND(D13&lt;&gt;"",D13&lt;&gt;A13,ISNUMBER(_xlfn.XMATCH(D13,Щиты[Щит]))),D13,""))</f>
        <v/>
      </c>
      <c r="BB13">
        <f>IFERROR(_xlfn.XMATCH(A13,Щиты[Щит]),0)</f>
        <v>1</v>
      </c>
      <c r="BC13">
        <f>IFERROR(N(_xlfn.XLOOKUP(A13,Щиты[Щит],Щиты[Мест под вводной узел])),15)</f>
        <v>18</v>
      </c>
      <c r="BD13">
        <f t="shared" si="8"/>
        <v>11</v>
      </c>
      <c r="BE13" t="str">
        <f t="shared" si="9"/>
        <v>вводной узел</v>
      </c>
      <c r="BF13" s="6" t="str">
        <f>IF(D13="","",IF(BA13&lt;&gt;"",IFERROR(_xlfn.XLOOKUP(BA13,Щиты[Щит],Щиты[Руст, кВт]),0),N(G13)))</f>
        <v/>
      </c>
      <c r="BG13" t="str">
        <f>IF(J13&lt;&gt;"",J13,IF(D13="","",IFERROR(IF(VLOOKUP(AT13,Потребители_обозначение,8,FALSE)=0,"",VLOOKUP(AT13,Потребители_обозначение,8,FALSE)),"")))</f>
        <v/>
      </c>
      <c r="BH13" t="str">
        <f>IF(I13&lt;&gt;"",I13,IF(D13="","",IFERROR(IF(VLOOKUP(AT13,Потребители_обозначение,9,FALSE)=0,"",VLOOKUP(AT13,Потребители_обозначение,9,FALSE)),"")))</f>
        <v/>
      </c>
      <c r="BI13" t="str">
        <f>IF(U13&lt;&gt;"",U13,IF(D13="","",IFERROR(IF(VLOOKUP(AT13,Потребители_обозначение,6,FALSE)=0,"",VLOOKUP(AT13,Потребители_обозначение,6,FALSE)),"")))</f>
        <v/>
      </c>
      <c r="BJ13" t="str">
        <f>IF(V13&lt;&gt;"",V13,IF(D13="","",IFERROR(IF(VLOOKUP(AT13,Потребители_обозначение,7,FALSE)=0,"",VLOOKUP(AT13,Потребители_обозначение,7,FALSE)),"")))</f>
        <v/>
      </c>
      <c r="BK13" t="str">
        <f>IF(W13&lt;&gt;"",W13,IF(D13="","",IFERROR(IF(VLOOKUP(AT13,Потребители_обозначение,10,FALSE)=0,"",VLOOKUP(AT13,Потребители_обозначение,10,FALSE)),"")))</f>
        <v/>
      </c>
      <c r="BL13">
        <f>IFERROR(VLOOKUP(AT13,Потребители_обозначение,5,FALSE),0)</f>
        <v>0</v>
      </c>
      <c r="BM13" s="6" t="str" cm="1">
        <f t="array" ref="BM13">IF(D13="","",IF(BA13&lt;&gt;"",IFERROR(_xlfn.XLOOKUP(BA13,Щиты[Щит],Щиты[cos φ]),0.95),IF(ISNUMBER(M13),M13,IFERROR(IF(BL13=2,_xlfn.IFS(BH13=3,VLOOKUP(BF13,Справочная_двигатели,8,FALSE),BH13=1,VLOOKUP(BF13,Справочная_двигатели,10,TRUE)),IF(AND(Методика="нормы 2026",CN13="Сил"),0.8,0.95)),0.95))))</f>
        <v/>
      </c>
      <c r="BN13" s="6" t="str" cm="1">
        <f t="array" ref="BN13">IF(D13="","",IF(BA13&lt;&gt;"",IFERROR(_xlfn.XLOOKUP(BA13,Щиты[Щит],Щиты[Iр, А]),""),IFERROR(_xlfn.IFS(BH13=1,BF13/((Uн_лин/SQRT(3))*BM13),BH13=3,BF13/(SQRT(3)*Uн_лин*BM13)),"")))</f>
        <v/>
      </c>
      <c r="BO13" t="str">
        <f>IF(D13="","",IF(N(X13)=0,IFERROR(VLOOKUP(BN13,Автомат_номиналы,2,TRUE),""),X13))</f>
        <v/>
      </c>
      <c r="BP13">
        <f t="shared" si="10"/>
        <v>1</v>
      </c>
      <c r="BQ13">
        <f>IF(ISNUMBER(Y13),Y13,К_прокл)</f>
        <v>1</v>
      </c>
      <c r="BR13">
        <f t="shared" si="11"/>
        <v>3</v>
      </c>
      <c r="BS13" t="str" cm="1">
        <f t="array" ref="BS13">IF(D13="","",IF(N(BK13)&lt;&gt;0,BK13,IFERROR(_xlfn.LET(_xlpm.need,BO13/(BP13*BQ13),_xlpm.t,CHOOSE(BR13,Iдоп_1ж,Iдоп_2ж,Iдоп_3ж),_xlpm.k,_xlfn.XMATCH(_xlpm.need,_xlpm.t,1),IF(ISNA(_xlpm.k),"Не исп",INDEX(Iдоп_S,_xlpm.k))),"Не исп")))</f>
        <v/>
      </c>
      <c r="BT13" t="str">
        <f>IFERROR(VLOOKUP(BS13,Кабель_сопротивление,3,FALSE),"")</f>
        <v/>
      </c>
      <c r="BU13" t="str">
        <f>IFERROR(VLOOKUP(BS13,Кабель_сопротивление,2,FALSE),"")</f>
        <v/>
      </c>
      <c r="BV13" t="str">
        <f t="shared" si="12"/>
        <v/>
      </c>
      <c r="BW13" s="6" t="str">
        <f>IF(D13="","",IFERROR(IF(VLOOKUP(AT13,Потребители_обозначение,4,FALSE)=1,VLOOKUP(AT13,Потребители_обозначение,3,FALSE)*(H13*2-1)+BV13+VLOOKUP(AV13,Этаж_обозначение,3,FALSE)+VLOOKUP(AV13,Этаж_обозначение,4,FALSE),VLOOKUP(AT13,Потребители_обозначение,3,FALSE)*(H13*2-1)+BV13),BV13))</f>
        <v/>
      </c>
      <c r="BX13" t="str">
        <f t="shared" si="13"/>
        <v/>
      </c>
      <c r="BY13" t="str">
        <f t="shared" si="14"/>
        <v/>
      </c>
      <c r="BZ13" t="str">
        <f t="shared" si="15"/>
        <v/>
      </c>
      <c r="CA13" t="str">
        <f t="shared" si="16"/>
        <v/>
      </c>
      <c r="CB13" t="str">
        <f t="shared" si="17"/>
        <v/>
      </c>
      <c r="CC13" s="6" t="str">
        <f>IFERROR(ROUNDUP(CB13/((Uн_лин/SQRT(3))*1000)*100,2),"")</f>
        <v/>
      </c>
      <c r="CD13" s="6" t="str">
        <f>IF(ISNUMBER(CC13),CC13+IFERROR(_xlfn.XLOOKUP(A13,Щиты[Щит],Щиты[ΔU до шин, %]),0),"")</f>
        <v/>
      </c>
      <c r="CE13" s="6" t="str">
        <f>IF(D13="","",IF(IFERROR(VLOOKUP(AT13,УГО_спр,2,FALSE),"")="Светильник",3,4)+IF(Методика="нормы 2026",MIN(0.5,MAX(0,N(BW13)-100)*0.005),0))</f>
        <v/>
      </c>
      <c r="CF13" t="str">
        <f>IFERROR(VLOOKUP(BI13,Кабель_обозначение,2,FALSE),"")</f>
        <v/>
      </c>
      <c r="CG13" t="str">
        <f>IFERROR(IF(VLOOKUP(BI13,Кабель_обозначение,3,FALSE)=1,CF13&amp;" ("&amp;BJ13&amp;"х"&amp;BS13&amp;")",CF13),"")</f>
        <v/>
      </c>
      <c r="CH13" t="str">
        <f t="shared" si="18"/>
        <v/>
      </c>
      <c r="CI13" t="str">
        <f>IFERROR(2*ρкз_Cu*BW13/BS13,"")</f>
        <v/>
      </c>
      <c r="CJ13" t="str">
        <f t="shared" si="19"/>
        <v/>
      </c>
      <c r="CK13" s="6" t="str">
        <f>IFERROR(IF(OR(D13="",NOT(ISNUMBER(BS13)),N(BW13)=0),"",_xlfn.XLOOKUP(A13,Щиты[Щит],Щиты[Zпетли на шинах, Ом])+CI13),"")</f>
        <v/>
      </c>
      <c r="CL13" s="6" t="str">
        <f>IF(ISNUMBER(CK13),c_min*(Uн_лин*1000/SQRT(3))/CK13,"")</f>
        <v/>
      </c>
      <c r="CM13" s="6" t="str">
        <f>IFERROR(IF(OR(D13="",NOT(ISNUMBER(BS13))),"",1.05*(Uн_лин*1000/SQRT(3))/(_xlfn.XLOOKUP(A13,Щиты[Щит],Щиты[Zmax на шинах, Ом])+CJ13)/1000),"")</f>
        <v/>
      </c>
      <c r="CN13" s="6" t="str">
        <f>IF(D13="","",IF(BA13&lt;&gt;"","Щит",IF(K13&lt;&gt;"",K13,IF(ISNUMBER(L13),"Сил",IF(IFERROR(_xlfn.XLOOKUP(AT13,Коды_код,Коды_группа)&amp;"","")="","Быт",_xlfn.XLOOKUP(AT13,Коды_код,Коды_группа)&amp;"")))))</f>
        <v/>
      </c>
      <c r="CO13" s="6" t="str">
        <f>IF(CN13="Щит","щит",IF(CN13="","",IF(CN13="Быт",IFERROR(_xlfn.XLOOKUP(A13,Щиты[Щит],Щиты[Кс быт]),1),IF(CN13="Сил",IF(ISNUMBER(L13),L13,IF(Методика="нормы 2026",IFERROR(_xlfn.XLOOKUP(A13,Щиты[Щит],Щиты[Кс силовых (табл. 7.5)]),1),1)),IF(OR(CN13="Пост",CN13="Отоп"),1,IF(CN13="ВНГ",0.7,0))))))</f>
        <v/>
      </c>
      <c r="CP13" t="str">
        <f t="shared" si="20"/>
        <v/>
      </c>
      <c r="CQ13">
        <f t="shared" si="21"/>
        <v>0</v>
      </c>
      <c r="CR13">
        <f t="shared" si="22"/>
        <v>0</v>
      </c>
      <c r="CS13">
        <f t="shared" si="23"/>
        <v>0</v>
      </c>
      <c r="CT13">
        <f t="shared" si="24"/>
        <v>0</v>
      </c>
      <c r="CU13">
        <f t="shared" si="25"/>
        <v>0</v>
      </c>
      <c r="CV13">
        <f t="shared" si="26"/>
        <v>0</v>
      </c>
      <c r="CW13">
        <f t="shared" si="27"/>
        <v>0</v>
      </c>
      <c r="CX13">
        <f t="shared" si="28"/>
        <v>0</v>
      </c>
      <c r="CY13">
        <f t="shared" si="29"/>
        <v>0</v>
      </c>
      <c r="CZ13" t="str">
        <f t="shared" si="30"/>
        <v/>
      </c>
      <c r="DA13" cm="1">
        <f t="array" ref="DA13">IFERROR(IF(BL13=2,_xlfn.IFS(BH13=3,VLOOKUP(BF13,Справочная_двигатели,3,FALSE),BH13=1,VLOOKUP(BF13,Справочная_двигатели,5,TRUE)),0),0)</f>
        <v>0</v>
      </c>
      <c r="DB13">
        <f>IFERROR(IF(BL13=3,VLOOKUP(BF13,Справочная_ЛЭД,2,TRUE),0),0)</f>
        <v>0</v>
      </c>
      <c r="DC13" s="6" t="str">
        <f t="shared" si="31"/>
        <v/>
      </c>
      <c r="DD13" t="str">
        <f t="shared" si="32"/>
        <v/>
      </c>
      <c r="DE13" t="str" cm="1">
        <f t="array" ref="DE13">IF(D13="","",IFERROR(INDEX({"I особая","I","II","III"},MATCH(TRIM(AA13&amp;""),{"I особая","I","II","III"},0)),"III"))</f>
        <v/>
      </c>
      <c r="DF13" t="str">
        <f>IF(D13="","",IF(TRIM(AB13&amp;"")&lt;&gt;"",IF(LOWER(TRIM(AB13&amp;""))="да","да","нет"),IF(IFERROR(_xlfn.XLOOKUP(AT13,Коды_код,Коды_пожарная),"")="да","да","нет")))</f>
        <v/>
      </c>
      <c r="DG13" t="str">
        <f t="shared" si="33"/>
        <v/>
      </c>
      <c r="DH13" t="str">
        <f t="shared" si="34"/>
        <v/>
      </c>
      <c r="DI13">
        <f t="shared" si="35"/>
        <v>1</v>
      </c>
      <c r="DJ13" t="str" cm="1">
        <f t="array" ref="DJ13">IF(D13="","",_xlfn.LET(_xlpm.t,IFERROR(_xlfn.XLOOKUP(1,(Шины[Шина]=DH13)*(((Шины[Щит]=A13)+(Шины[Щит]=""))&gt;0),Шины[Тип]),"")&amp;"",IF(_xlpm.t&lt;&gt;"",_xlpm.t,IF(ISNUMBER(SEARCH("ИБП",DH13)),"ИБП",IF(ISNUMBER(SEARCH("ДГУ",DH13)),"ДГУ","Ввод "&amp;DI13)))))</f>
        <v/>
      </c>
      <c r="DK13" t="str">
        <f t="shared" si="36"/>
        <v/>
      </c>
      <c r="DL13" t="str">
        <f>IF(D13="","",IF(OR(DJ13="ИБП",DJ13="ДГУ"),"I особая",IF(DJ13="Одиночная","III",_xlfn.XLOOKUP(A13,Щиты[Щит],Щиты[Категория шины «Ввод»],"III"))))</f>
        <v/>
      </c>
      <c r="DM13">
        <f>IF(D13="",0,IFERROR(MATCH(DE13,{"III","II","I","I особая"},0),1))</f>
        <v>0</v>
      </c>
      <c r="DN13">
        <f t="shared" si="37"/>
        <v>0</v>
      </c>
      <c r="DO13" t="str">
        <f>IF(D13="","",IF(DM13&gt;IFERROR(MATCH(DL13,{"III","II","I","I особая"},0),1),"НЕ ОБЕСПЕЧЕНА","ОК"))</f>
        <v/>
      </c>
      <c r="DP13" t="str">
        <f>IF(A13="","",_xlfn.XLOOKUP(A13,Щиты[Щит],Щиты[Путь],""))</f>
        <v>|ЩР|</v>
      </c>
      <c r="DQ13" t="str">
        <f>IF(D13="","",IF(Z13&lt;&gt;"",Z13,IF(IFERROR(_xlfn.XLOOKUP(AT13,Коды_код,Коды_вид)&amp;"","")="","Прочее",_xlfn.XLOOKUP(AT13,Коды_код,Коды_вид)&amp;"")))</f>
        <v/>
      </c>
      <c r="DR13">
        <f>IF(BD13="","",INT((BD13-1)/Столбцов_на_лист)+1)</f>
        <v>1</v>
      </c>
      <c r="DS13" t="str">
        <f t="shared" si="38"/>
        <v/>
      </c>
      <c r="DT13" t="str">
        <f t="shared" si="39"/>
        <v/>
      </c>
      <c r="DU13" t="str">
        <f t="shared" si="40"/>
        <v/>
      </c>
      <c r="DV13" t="str">
        <f t="shared" si="41"/>
        <v/>
      </c>
      <c r="DW13">
        <f>IF(AT13="",0,_xlfn.LET(_xlpm.v,IFERROR(VLOOKUP(D13,УГО_спр,3,FALSE),IFERROR(VLOOKUP(AT13,УГО_спр,3,FALSE),IFERROR(VLOOKUP(LEFT(AT13,2),УГО_спр,3,FALSE),""))),IF(_xlpm.v="да",30,IF(ISNUMBER(_xlpm.v),_xlpm.v,0))))</f>
        <v>0</v>
      </c>
      <c r="DX13">
        <f t="shared" si="42"/>
        <v>0</v>
      </c>
      <c r="DY13" t="str">
        <f>IF(BD13="","",IF(AD13&lt;&gt;"",COUNTIFS(A$3:A13,A13,AD$3:AD13,"?*"),IF(OR(OR(AS13=1,A13&lt;&gt;A12),AL13="вручную"),"",IF(AS13=1,"",DZ12))))</f>
        <v/>
      </c>
      <c r="DZ13" t="str">
        <f t="shared" si="43"/>
        <v/>
      </c>
      <c r="EA13">
        <f>IF(D13="",0,MAX(IFERROR(--X13,0),IFERROR(--VLOOKUP(D13,УГО_спр,4,FALSE),IFERROR(--VLOOKUP(AT13,УГО_спр,4,FALSE),IFERROR(--VLOOKUP(LEFT(AT13,2),УГО_спр,4,FALSE),0)))))</f>
        <v>0</v>
      </c>
      <c r="EB13" t="str">
        <f>IF(D13="","",IFERROR(LOOKUP(INDEX(CHOOSE(BR13,Iдоп_1ж,Iдоп_2ж,Iдоп_3ж),MATCH(BS13,Iдоп_S,0))*BP13*BQ13,{6,10,16,20,25,32,40,50,63,80,100,125,160,200,250,315,400,500,630}),""))</f>
        <v/>
      </c>
      <c r="EC13" t="str">
        <f>IF(AD13="","",SUMIFS(Линии[_Ток схемы],Линии[_гр.],DY13,Линии[Щит],A13,Линии[_в кабель выше],0))</f>
        <v/>
      </c>
      <c r="ED13" t="str">
        <f>IF(AD13="","",IFERROR(VLOOKUP(EC13,Автомат_номиналы,2,TRUE),""))</f>
        <v/>
      </c>
      <c r="EE13" t="str">
        <f>IF(AD13="","",MAX(N(ED13),_xlfn.MAXIFS(Линии[_мин. по типу],Линии[_гр.],DY13,Линии[Щит],A13)))</f>
        <v/>
      </c>
      <c r="EF13" t="str">
        <f>IF(AD13="","",_xlfn.MINIFS(Линии[_макс. автомат по кабелю],Линии[_гр.],DY13,Линии[Щит],A13))</f>
        <v/>
      </c>
      <c r="EG13" t="str">
        <f>IF(AD13="","",MAX(1,_xlfn.MAXIFS(Линии[_фаз],Линии[_гр.],DY13,Линии[Щит],A13)))</f>
        <v/>
      </c>
      <c r="EH13" t="str">
        <f>IF(AD13="","",IF(AND(AD13&lt;&gt;"авто",AD13&lt;&gt;"+"),IF(ISNUMBER(SEARCH("мА",AD13)),IFERROR(--TRIM(RIGHT(SUBSTITUTE(LEFT(AD13,SEARCH("мА",AD13)-1)," ",REPT(" ",9)),6)),30),0),IF(AE13="нет",0,IF(ISNUMBER(AE13),AE13,IF(AE13="да",30,_xlfn.MINIFS(Линии[_дифзащита по коду, мА],Линии[_гр.],DY13,Линии[Щит],A13,Линии[_дифзащита по коду, мА],"&gt;0"))))))</f>
        <v/>
      </c>
      <c r="EI13" t="str">
        <f t="shared" si="44"/>
        <v/>
      </c>
      <c r="EJ13" t="str">
        <f t="shared" si="45"/>
        <v/>
      </c>
      <c r="EK13" t="str">
        <f t="shared" si="46"/>
        <v/>
      </c>
      <c r="EL13" t="str">
        <f t="shared" si="47"/>
        <v/>
      </c>
      <c r="EM13">
        <f t="shared" si="48"/>
        <v>0</v>
      </c>
      <c r="EN13" t="str">
        <f>IF(AD13="","",IF(EM13=1,MAX(EE13,Мин_автомат_БП),EE13))</f>
        <v/>
      </c>
      <c r="EO13" t="str">
        <f t="shared" si="49"/>
        <v/>
      </c>
      <c r="EP13" t="str">
        <f t="shared" si="50"/>
        <v/>
      </c>
      <c r="EQ13" t="str">
        <f t="shared" si="51"/>
        <v/>
      </c>
      <c r="ER13" t="str">
        <f>IF(OR(AI13="",AI13="-"),"",IFERROR(VLOOKUP(AI13,Модули_спр,2,FALSE),"R"))</f>
        <v/>
      </c>
      <c r="ES13" t="str">
        <f>IF(ER13="","",ER13&amp;"."&amp;COUNTIFS(A$3:A13,A13,ER$3:ER13,ER13))</f>
        <v/>
      </c>
      <c r="ET13" t="str">
        <f t="shared" si="52"/>
        <v/>
      </c>
      <c r="EU13" t="str">
        <f t="shared" si="53"/>
        <v/>
      </c>
      <c r="EV13" t="str">
        <f t="shared" si="54"/>
        <v/>
      </c>
      <c r="EW13" t="str">
        <f t="shared" si="55"/>
        <v/>
      </c>
      <c r="EX13">
        <f t="shared" si="56"/>
        <v>0</v>
      </c>
      <c r="EY13" t="str">
        <f>IF(AK13="нет","",IF(AK13&lt;&gt;"",AK13,IF(EX13=1,"XT"&amp;COUNTIFS(A$3:A13,A13,EX$3:EX13,1),"")))</f>
        <v/>
      </c>
      <c r="EZ13" t="str">
        <f t="shared" si="57"/>
        <v/>
      </c>
      <c r="FA13" t="str">
        <f t="shared" si="58"/>
        <v/>
      </c>
      <c r="FB13" t="str">
        <f t="shared" si="59"/>
        <v/>
      </c>
      <c r="FC13" t="str">
        <f>IF(OR(EV13="",ET13=""),"",IF(EV13&gt;IFERROR(VLOOKUP(EU13,Модули_спр,3,FALSE),99),"ЛИШНИЙ КАНАЛ",IF(AND(AJ13&lt;&gt;"=",COUNTIFS(Линии[_модуль гр.],ET13,Линии[Канал (итог)],EV13,Линии[Канал],"&lt;&gt;=",Линии[Щит],A13)&gt;1),"ДУБЛЬ КАНАЛА","")))</f>
        <v/>
      </c>
      <c r="FD13" t="str">
        <f t="shared" si="60"/>
        <v/>
      </c>
      <c r="FE13" t="str">
        <f t="shared" si="61"/>
        <v/>
      </c>
      <c r="FF13" t="str">
        <f t="shared" si="62"/>
        <v/>
      </c>
      <c r="FG13" t="str">
        <f t="shared" si="63"/>
        <v/>
      </c>
      <c r="FH13" s="6" t="str">
        <f t="shared" si="64"/>
        <v/>
      </c>
      <c r="FI13">
        <f t="shared" si="65"/>
        <v>10</v>
      </c>
      <c r="FJ13" t="str">
        <f t="shared" si="66"/>
        <v/>
      </c>
      <c r="FK13" t="str">
        <f>IF(AND(D13="",EZ13=""),"",_xlfn.TEXTJOIN("; ",TRUE,IF(AND(D13&lt;&gt;"",DD13=""),"нет фазы",""),IF(AND(D13&lt;&gt;"",N(DT13)=0,CN13&lt;&gt;"Нет"),"нет мощности",""),IF(AND(EY13&lt;&gt;"",COUNTIFS(Линии[Щит],A13,Линии[Клемма (итог)],EY13)&gt;1),"дубль клеммы "&amp;EY13,""),IF(AND(FB13&lt;&gt;"",FB13&lt;&gt;"ok"),FB13,""),IF(FC13&lt;&gt;"",FC13,""),IF(AND(ISNUMBER(SEARCH("(5х",DS13)),N(DV13)=1),"5 жил на 1 фазе",""),IF(AND(AT13="R",AD13&lt;&gt;"",OR(N(EH13)=0,N(EH13)&gt;30)),"розетка без дифзащиты до 30 мА",""),IFERROR(IF(AND(ISNUMBER(CD13),CD13&gt;CE13),"потери "&amp;FIXED(CD13,1)&amp;" % &gt; "&amp;CE13&amp;" %",""),""),IFERROR(IF(LEFT(FJ13,4)="мало","Iкз мало — отключение &gt; 0,4 с",""),""),IF(AND(D13&lt;&gt;"",BD13=""),"не на схеме","")))</f>
        <v/>
      </c>
      <c r="FL13" s="6" t="str">
        <f>IF(AD13="","",_xlfn.LET(_xlpm.t,IFERROR(_xlfn.XLOOKUP(EP13,Каталог!$U$4:$U$500,Каталог!$G$4:$G$500),""),_xlpm.k,SEARCH("кА",_xlpm.t),IFERROR(--TRIM(RIGHT(SUBSTITUTE(MID(_xlpm.t,MAX(1,_xlpm.k-4),_xlpm.k-MAX(1,_xlpm.k-4))," ",REPT(" ",9)),5)),"")))</f>
        <v/>
      </c>
      <c r="FM13" t="str">
        <f>IF(OR(FL13="",AD13=""),"",IF(_xlfn.XLOOKUP(A13,Щиты[Щит],Щиты[Iкз max на шинах, кА],"")="","",IF(FL13&lt;_xlfn.XLOOKUP(A13,Щиты[Щит],Щиты[Iкз max на шинах, кА]),"Icu "&amp;FL13&amp;" кА &lt; Iкз max","ok")))</f>
        <v/>
      </c>
      <c r="FN13" t="str">
        <f t="shared" si="67"/>
        <v/>
      </c>
      <c r="FO13" t="str">
        <f t="shared" si="68"/>
        <v/>
      </c>
      <c r="FP13" t="str" cm="1">
        <f t="array" ref="FP13">IF(FO13="","",_xlfn.LET(_xlpm.nd,_xlfn.TEXTSPLIT(FO13,"|"),IF(COLUMNS(_xlpm.nd)&gt;1,A13&amp;"¦"&amp;INDEX(_xlpm.nd,1)&amp;"¦"&amp;INDEX(_xlpm.nd,2),"")))</f>
        <v/>
      </c>
      <c r="FQ13" t="str">
        <f t="shared" si="69"/>
        <v/>
      </c>
      <c r="FR13" t="str" cm="1">
        <f t="array" ref="FR13">IF(FO13="","",_xlfn.LET(_xlpm.nd,_xlfn.TEXTSPLIT(FO13,"|"),IF(COLUMNS(_xlpm.nd)&gt;2,A13&amp;"¦"&amp;INDEX(_xlpm.nd,2)&amp;"¦"&amp;INDEX(_xlpm.nd,3),"")))</f>
        <v/>
      </c>
      <c r="FS13" t="str">
        <f t="shared" si="70"/>
        <v/>
      </c>
      <c r="FT13" t="str" cm="1">
        <f t="array" ref="FT13">IF(FO13="","",_xlfn.LET(_xlpm.nd,_xlfn.TEXTSPLIT(FO13,"|"),IF(COLUMNS(_xlpm.nd)&gt;3,A13&amp;"¦"&amp;INDEX(_xlpm.nd,3)&amp;"¦"&amp;INDEX(_xlpm.nd,4),"")))</f>
        <v/>
      </c>
      <c r="FU13" t="str">
        <f t="shared" si="71"/>
        <v/>
      </c>
      <c r="FV13" t="str" cm="1">
        <f t="array" ref="FV13">IF(FO13="","",_xlfn.LET(_xlpm.nd,_xlfn.TEXTSPLIT(FO13,"|"),IF(COLUMNS(_xlpm.nd)&gt;4,A13&amp;"¦"&amp;INDEX(_xlpm.nd,4)&amp;"¦"&amp;INDEX(_xlpm.nd,5),"")))</f>
        <v/>
      </c>
      <c r="FW13" t="str">
        <f t="shared" si="72"/>
        <v/>
      </c>
      <c r="FX13" t="str" cm="1">
        <f t="array" ref="FX13">IF(FO13="","",_xlfn.LET(_xlpm.nd,_xlfn.TEXTSPLIT(FO13,"|"),IF(COLUMNS(_xlpm.nd)&gt;5,A13&amp;"¦"&amp;INDEX(_xlpm.nd,5)&amp;"¦"&amp;INDEX(_xlpm.nd,6),"")))</f>
        <v/>
      </c>
      <c r="FY13" t="str">
        <f t="shared" si="73"/>
        <v/>
      </c>
      <c r="FZ13" t="str" cm="1">
        <f t="array" ref="FZ13">IF(FO13="","",_xlfn.LET(_xlpm.nd,_xlfn.TEXTSPLIT(FO13,"|"),IF(COLUMNS(_xlpm.nd)&gt;6,A13&amp;"¦"&amp;INDEX(_xlpm.nd,6)&amp;"¦"&amp;INDEX(_xlpm.nd,7),"")))</f>
        <v/>
      </c>
      <c r="GA13" t="str">
        <f t="shared" si="74"/>
        <v/>
      </c>
      <c r="GB13" t="str">
        <f t="shared" si="75"/>
        <v/>
      </c>
      <c r="GC13" t="str">
        <f t="shared" si="76"/>
        <v/>
      </c>
      <c r="GD13">
        <f t="shared" si="77"/>
        <v>0</v>
      </c>
      <c r="GE13">
        <f t="shared" si="78"/>
        <v>0</v>
      </c>
      <c r="GF13">
        <f t="shared" si="79"/>
        <v>0</v>
      </c>
      <c r="GG13" t="str">
        <f t="shared" si="80"/>
        <v/>
      </c>
      <c r="GH13" t="str">
        <f t="shared" si="81"/>
        <v/>
      </c>
      <c r="GI13" t="str">
        <f t="shared" si="82"/>
        <v/>
      </c>
      <c r="GJ13" t="str">
        <f t="shared" si="83"/>
        <v/>
      </c>
      <c r="GK13" t="str">
        <f>IF(D13="","",IFERROR(VLOOKUP(D13,УГО_спр,2,FALSE),IFERROR(VLOOKUP(AT13,УГО_спр,2,FALSE),IFERROR(VLOOKUP(LEFT(AT13,2),УГО_спр,2,FALSE),""))))</f>
        <v/>
      </c>
      <c r="GL13" t="str">
        <f>IF(D13="","",IF(OR(GK13="",GK13=0),"BOX",IFERROR(IF(VLOOKUP(GK13,УГО_блоки,3,FALSE)&amp;""&lt;&gt;"",VLOOKUP(GK13,УГО_блоки,3,FALSE),VLOOKUP(GK13,УГО_блоки,2,FALSE)),GK13)))</f>
        <v/>
      </c>
      <c r="GM13">
        <f t="shared" si="84"/>
        <v>0</v>
      </c>
      <c r="GN13" t="str">
        <f>IF(EP13="","",IF(COUNTIF(EP$3:EP13,EP13)=1,MAX(GN$2:GN12)+1,""))</f>
        <v/>
      </c>
      <c r="GO13" t="str">
        <f>IF(AF13="","",IF(COUNTIF(AF$3:AF13,AF13)+COUNTIF(AG$2:AG12,AF13)+COUNTIF(AH$2:AH12,AF13)=1,MAX(GO$2:GQ12)+1,""))</f>
        <v/>
      </c>
      <c r="GP13" t="str">
        <f>IF(AG13="","",IF(COUNTIF(AF$3:AF13,AG13)+COUNTIF(AG$3:AG13,AG13)+COUNTIF(AH$2:AH12,AG13)=1,MAX(GO$2:GQ12,GO13)+1,""))</f>
        <v/>
      </c>
      <c r="GQ13" t="str">
        <f>IF(AH13="","",IF(COUNTIF(AF$3:AF13,AH13)+COUNTIF(AG$3:AG13,AH13)+COUNTIF(AH$3:AH13,AH13)=1,MAX(GO$2:GQ12,GO13,GP13)+1,""))</f>
        <v/>
      </c>
      <c r="GR13" t="str">
        <f t="shared" si="85"/>
        <v/>
      </c>
      <c r="GS13" t="str">
        <f>IF(GR13="","",IF(COUNTIF(GR$3:GR13,GR13)=1,MAX(GS$2:GS12)+1,""))</f>
        <v/>
      </c>
      <c r="GT13" t="str">
        <f>IF(ES13="","",COUNTIF(ES$3:ES13,"?*"))</f>
        <v/>
      </c>
      <c r="GU13" t="str">
        <f>IF(OR(ES13="",EU13=""),"",IF(COUNTIFS(ES$3:ES13,"?*",EU$3:EU13,EU13)=1,MAX(GU$2:GU12)+1,""))</f>
        <v/>
      </c>
      <c r="GV13">
        <f t="shared" si="86"/>
        <v>0</v>
      </c>
      <c r="GW13" t="str">
        <f>IF(D13="","",COUNTIF(D$3:D13,"?*"))</f>
        <v/>
      </c>
      <c r="GX13">
        <f>IF(EX13&lt;&gt;1,0,_xlfn.LET(_xlpm.k,MAX(IFERROR(--VLOOKUP(D13,УГО_спр,5,FALSE),0),IFERROR(--VLOOKUP(AT13,УГО_спр,5,FALSE),0),IFERROR(--VLOOKUP(LEFT(AT13,2),УГО_спр,5,FALSE),0)),IF(_xlpm.k&gt;0,_xlpm.k,IF(IFERROR(--LEFT(SUBSTITUTE(GR13,"x","х"),FIND("х",SUBSTITUTE(GR13,"x","х"))-1),3)&gt;3,Каталог!$S$9,1))))</f>
        <v>0</v>
      </c>
      <c r="GY13">
        <f t="shared" si="87"/>
        <v>0</v>
      </c>
    </row>
    <row r="14" spans="1:207" x14ac:dyDescent="0.3">
      <c r="A14" t="s">
        <v>206</v>
      </c>
      <c r="B14">
        <v>12</v>
      </c>
      <c r="C14" t="str">
        <f>IF(BD14="","",IF(BE14="вводной узел","узел ","")&amp;"л."&amp;(INT((BD14-1)/Столбцов_на_лист)+1)&amp;" / "&amp;(MOD(BD14-1,Столбцов_на_лист)+1))</f>
        <v>узел л.1 / 12</v>
      </c>
      <c r="E14" s="133" t="str">
        <f t="shared" si="0"/>
        <v/>
      </c>
      <c r="AL14" t="s">
        <v>559</v>
      </c>
      <c r="AR14" t="str">
        <f t="shared" si="1"/>
        <v/>
      </c>
      <c r="AS14" cm="1">
        <f t="array" ref="AS14">ROW()-ROW(Линии[#Headers])</f>
        <v>12</v>
      </c>
      <c r="AT14" s="6" t="str">
        <f t="shared" si="2"/>
        <v/>
      </c>
      <c r="AU14" t="str">
        <f t="shared" si="3"/>
        <v/>
      </c>
      <c r="AV14" t="str">
        <f t="shared" si="4"/>
        <v/>
      </c>
      <c r="AW14" t="str">
        <f t="shared" si="5"/>
        <v/>
      </c>
      <c r="AX14" t="str">
        <f t="shared" si="6"/>
        <v/>
      </c>
      <c r="AY14" t="str">
        <f>IF(D14="","",IF(ISERROR(SEARCH(".",D14)),IFERROR(VLOOKUP(D14,Потребители_обозначение,2,FALSE)&amp;"",""),IFERROR(IF(VLOOKUP(AT14,Потребители_обозначение,4,FALSE)=1,VLOOKUP(AT14,Потребители_обозначение,2,FALSE)&amp;" "&amp;VLOOKUP(AV14,Этаж_обозначение,2,FALSE)&amp;" Пом. №"&amp;AX14,VLOOKUP(AT14,Потребители_обозначение,2,FALSE)&amp;" Шлейф №"&amp;AV14),IFERROR(VLOOKUP(D14,Потребители_обозначение,2,FALSE),""))))</f>
        <v/>
      </c>
      <c r="AZ14" t="str">
        <f t="shared" si="7"/>
        <v/>
      </c>
      <c r="BA14" t="str">
        <f>IF(F14&lt;&gt;"",F14,IF(AND(D14&lt;&gt;"",D14&lt;&gt;A14,ISNUMBER(_xlfn.XMATCH(D14,Щиты[Щит]))),D14,""))</f>
        <v/>
      </c>
      <c r="BB14">
        <f>IFERROR(_xlfn.XMATCH(A14,Щиты[Щит]),0)</f>
        <v>1</v>
      </c>
      <c r="BC14">
        <f>IFERROR(N(_xlfn.XLOOKUP(A14,Щиты[Щит],Щиты[Мест под вводной узел])),15)</f>
        <v>18</v>
      </c>
      <c r="BD14">
        <f t="shared" si="8"/>
        <v>12</v>
      </c>
      <c r="BE14" t="str">
        <f t="shared" si="9"/>
        <v>вводной узел</v>
      </c>
      <c r="BF14" s="6" t="str">
        <f>IF(D14="","",IF(BA14&lt;&gt;"",IFERROR(_xlfn.XLOOKUP(BA14,Щиты[Щит],Щиты[Руст, кВт]),0),N(G14)))</f>
        <v/>
      </c>
      <c r="BG14" t="str">
        <f>IF(J14&lt;&gt;"",J14,IF(D14="","",IFERROR(IF(VLOOKUP(AT14,Потребители_обозначение,8,FALSE)=0,"",VLOOKUP(AT14,Потребители_обозначение,8,FALSE)),"")))</f>
        <v/>
      </c>
      <c r="BH14" t="str">
        <f>IF(I14&lt;&gt;"",I14,IF(D14="","",IFERROR(IF(VLOOKUP(AT14,Потребители_обозначение,9,FALSE)=0,"",VLOOKUP(AT14,Потребители_обозначение,9,FALSE)),"")))</f>
        <v/>
      </c>
      <c r="BI14" t="str">
        <f>IF(U14&lt;&gt;"",U14,IF(D14="","",IFERROR(IF(VLOOKUP(AT14,Потребители_обозначение,6,FALSE)=0,"",VLOOKUP(AT14,Потребители_обозначение,6,FALSE)),"")))</f>
        <v/>
      </c>
      <c r="BJ14" t="str">
        <f>IF(V14&lt;&gt;"",V14,IF(D14="","",IFERROR(IF(VLOOKUP(AT14,Потребители_обозначение,7,FALSE)=0,"",VLOOKUP(AT14,Потребители_обозначение,7,FALSE)),"")))</f>
        <v/>
      </c>
      <c r="BK14" t="str">
        <f>IF(W14&lt;&gt;"",W14,IF(D14="","",IFERROR(IF(VLOOKUP(AT14,Потребители_обозначение,10,FALSE)=0,"",VLOOKUP(AT14,Потребители_обозначение,10,FALSE)),"")))</f>
        <v/>
      </c>
      <c r="BL14">
        <f>IFERROR(VLOOKUP(AT14,Потребители_обозначение,5,FALSE),0)</f>
        <v>0</v>
      </c>
      <c r="BM14" s="6" t="str" cm="1">
        <f t="array" ref="BM14">IF(D14="","",IF(BA14&lt;&gt;"",IFERROR(_xlfn.XLOOKUP(BA14,Щиты[Щит],Щиты[cos φ]),0.95),IF(ISNUMBER(M14),M14,IFERROR(IF(BL14=2,_xlfn.IFS(BH14=3,VLOOKUP(BF14,Справочная_двигатели,8,FALSE),BH14=1,VLOOKUP(BF14,Справочная_двигатели,10,TRUE)),IF(AND(Методика="нормы 2026",CN14="Сил"),0.8,0.95)),0.95))))</f>
        <v/>
      </c>
      <c r="BN14" s="6" t="str" cm="1">
        <f t="array" ref="BN14">IF(D14="","",IF(BA14&lt;&gt;"",IFERROR(_xlfn.XLOOKUP(BA14,Щиты[Щит],Щиты[Iр, А]),""),IFERROR(_xlfn.IFS(BH14=1,BF14/((Uн_лин/SQRT(3))*BM14),BH14=3,BF14/(SQRT(3)*Uн_лин*BM14)),"")))</f>
        <v/>
      </c>
      <c r="BO14" t="str">
        <f>IF(D14="","",IF(N(X14)=0,IFERROR(VLOOKUP(BN14,Автомат_номиналы,2,TRUE),""),X14))</f>
        <v/>
      </c>
      <c r="BP14">
        <f t="shared" si="10"/>
        <v>1</v>
      </c>
      <c r="BQ14">
        <f>IF(ISNUMBER(Y14),Y14,К_прокл)</f>
        <v>1</v>
      </c>
      <c r="BR14">
        <f t="shared" si="11"/>
        <v>3</v>
      </c>
      <c r="BS14" t="str" cm="1">
        <f t="array" ref="BS14">IF(D14="","",IF(N(BK14)&lt;&gt;0,BK14,IFERROR(_xlfn.LET(_xlpm.need,BO14/(BP14*BQ14),_xlpm.t,CHOOSE(BR14,Iдоп_1ж,Iдоп_2ж,Iдоп_3ж),_xlpm.k,_xlfn.XMATCH(_xlpm.need,_xlpm.t,1),IF(ISNA(_xlpm.k),"Не исп",INDEX(Iдоп_S,_xlpm.k))),"Не исп")))</f>
        <v/>
      </c>
      <c r="BT14" t="str">
        <f>IFERROR(VLOOKUP(BS14,Кабель_сопротивление,3,FALSE),"")</f>
        <v/>
      </c>
      <c r="BU14" t="str">
        <f>IFERROR(VLOOKUP(BS14,Кабель_сопротивление,2,FALSE),"")</f>
        <v/>
      </c>
      <c r="BV14" t="str">
        <f t="shared" si="12"/>
        <v/>
      </c>
      <c r="BW14" s="6" t="str">
        <f>IF(D14="","",IFERROR(IF(VLOOKUP(AT14,Потребители_обозначение,4,FALSE)=1,VLOOKUP(AT14,Потребители_обозначение,3,FALSE)*(H14*2-1)+BV14+VLOOKUP(AV14,Этаж_обозначение,3,FALSE)+VLOOKUP(AV14,Этаж_обозначение,4,FALSE),VLOOKUP(AT14,Потребители_обозначение,3,FALSE)*(H14*2-1)+BV14),BV14))</f>
        <v/>
      </c>
      <c r="BX14" t="str">
        <f t="shared" si="13"/>
        <v/>
      </c>
      <c r="BY14" t="str">
        <f t="shared" si="14"/>
        <v/>
      </c>
      <c r="BZ14" t="str">
        <f t="shared" si="15"/>
        <v/>
      </c>
      <c r="CA14" t="str">
        <f t="shared" si="16"/>
        <v/>
      </c>
      <c r="CB14" t="str">
        <f t="shared" si="17"/>
        <v/>
      </c>
      <c r="CC14" s="6" t="str">
        <f>IFERROR(ROUNDUP(CB14/((Uн_лин/SQRT(3))*1000)*100,2),"")</f>
        <v/>
      </c>
      <c r="CD14" s="6" t="str">
        <f>IF(ISNUMBER(CC14),CC14+IFERROR(_xlfn.XLOOKUP(A14,Щиты[Щит],Щиты[ΔU до шин, %]),0),"")</f>
        <v/>
      </c>
      <c r="CE14" s="6" t="str">
        <f>IF(D14="","",IF(IFERROR(VLOOKUP(AT14,УГО_спр,2,FALSE),"")="Светильник",3,4)+IF(Методика="нормы 2026",MIN(0.5,MAX(0,N(BW14)-100)*0.005),0))</f>
        <v/>
      </c>
      <c r="CF14" t="str">
        <f>IFERROR(VLOOKUP(BI14,Кабель_обозначение,2,FALSE),"")</f>
        <v/>
      </c>
      <c r="CG14" t="str">
        <f>IFERROR(IF(VLOOKUP(BI14,Кабель_обозначение,3,FALSE)=1,CF14&amp;" ("&amp;BJ14&amp;"х"&amp;BS14&amp;")",CF14),"")</f>
        <v/>
      </c>
      <c r="CH14" t="str">
        <f t="shared" si="18"/>
        <v/>
      </c>
      <c r="CI14" t="str">
        <f>IFERROR(2*ρкз_Cu*BW14/BS14,"")</f>
        <v/>
      </c>
      <c r="CJ14" t="str">
        <f t="shared" si="19"/>
        <v/>
      </c>
      <c r="CK14" s="6" t="str">
        <f>IFERROR(IF(OR(D14="",NOT(ISNUMBER(BS14)),N(BW14)=0),"",_xlfn.XLOOKUP(A14,Щиты[Щит],Щиты[Zпетли на шинах, Ом])+CI14),"")</f>
        <v/>
      </c>
      <c r="CL14" s="6" t="str">
        <f>IF(ISNUMBER(CK14),c_min*(Uн_лин*1000/SQRT(3))/CK14,"")</f>
        <v/>
      </c>
      <c r="CM14" s="6" t="str">
        <f>IFERROR(IF(OR(D14="",NOT(ISNUMBER(BS14))),"",1.05*(Uн_лин*1000/SQRT(3))/(_xlfn.XLOOKUP(A14,Щиты[Щит],Щиты[Zmax на шинах, Ом])+CJ14)/1000),"")</f>
        <v/>
      </c>
      <c r="CN14" s="6" t="str">
        <f>IF(D14="","",IF(BA14&lt;&gt;"","Щит",IF(K14&lt;&gt;"",K14,IF(ISNUMBER(L14),"Сил",IF(IFERROR(_xlfn.XLOOKUP(AT14,Коды_код,Коды_группа)&amp;"","")="","Быт",_xlfn.XLOOKUP(AT14,Коды_код,Коды_группа)&amp;"")))))</f>
        <v/>
      </c>
      <c r="CO14" s="6" t="str">
        <f>IF(CN14="Щит","щит",IF(CN14="","",IF(CN14="Быт",IFERROR(_xlfn.XLOOKUP(A14,Щиты[Щит],Щиты[Кс быт]),1),IF(CN14="Сил",IF(ISNUMBER(L14),L14,IF(Методика="нормы 2026",IFERROR(_xlfn.XLOOKUP(A14,Щиты[Щит],Щиты[Кс силовых (табл. 7.5)]),1),1)),IF(OR(CN14="Пост",CN14="Отоп"),1,IF(CN14="ВНГ",0.7,0))))))</f>
        <v/>
      </c>
      <c r="CP14" t="str">
        <f t="shared" si="20"/>
        <v/>
      </c>
      <c r="CQ14">
        <f t="shared" si="21"/>
        <v>0</v>
      </c>
      <c r="CR14">
        <f t="shared" si="22"/>
        <v>0</v>
      </c>
      <c r="CS14">
        <f t="shared" si="23"/>
        <v>0</v>
      </c>
      <c r="CT14">
        <f t="shared" si="24"/>
        <v>0</v>
      </c>
      <c r="CU14">
        <f t="shared" si="25"/>
        <v>0</v>
      </c>
      <c r="CV14">
        <f t="shared" si="26"/>
        <v>0</v>
      </c>
      <c r="CW14">
        <f t="shared" si="27"/>
        <v>0</v>
      </c>
      <c r="CX14">
        <f t="shared" si="28"/>
        <v>0</v>
      </c>
      <c r="CY14">
        <f t="shared" si="29"/>
        <v>0</v>
      </c>
      <c r="CZ14" t="str">
        <f t="shared" si="30"/>
        <v/>
      </c>
      <c r="DA14" cm="1">
        <f t="array" ref="DA14">IFERROR(IF(BL14=2,_xlfn.IFS(BH14=3,VLOOKUP(BF14,Справочная_двигатели,3,FALSE),BH14=1,VLOOKUP(BF14,Справочная_двигатели,5,TRUE)),0),0)</f>
        <v>0</v>
      </c>
      <c r="DB14">
        <f>IFERROR(IF(BL14=3,VLOOKUP(BF14,Справочная_ЛЭД,2,TRUE),0),0)</f>
        <v>0</v>
      </c>
      <c r="DC14" s="6" t="str">
        <f t="shared" si="31"/>
        <v/>
      </c>
      <c r="DD14" t="str">
        <f t="shared" si="32"/>
        <v/>
      </c>
      <c r="DE14" t="str" cm="1">
        <f t="array" ref="DE14">IF(D14="","",IFERROR(INDEX({"I особая","I","II","III"},MATCH(TRIM(AA14&amp;""),{"I особая","I","II","III"},0)),"III"))</f>
        <v/>
      </c>
      <c r="DF14" t="str">
        <f>IF(D14="","",IF(TRIM(AB14&amp;"")&lt;&gt;"",IF(LOWER(TRIM(AB14&amp;""))="да","да","нет"),IF(IFERROR(_xlfn.XLOOKUP(AT14,Коды_код,Коды_пожарная),"")="да","да","нет")))</f>
        <v/>
      </c>
      <c r="DG14" t="str">
        <f t="shared" si="33"/>
        <v/>
      </c>
      <c r="DH14" t="str">
        <f t="shared" si="34"/>
        <v/>
      </c>
      <c r="DI14">
        <f t="shared" si="35"/>
        <v>1</v>
      </c>
      <c r="DJ14" t="str" cm="1">
        <f t="array" ref="DJ14">IF(D14="","",_xlfn.LET(_xlpm.t,IFERROR(_xlfn.XLOOKUP(1,(Шины[Шина]=DH14)*(((Шины[Щит]=A14)+(Шины[Щит]=""))&gt;0),Шины[Тип]),"")&amp;"",IF(_xlpm.t&lt;&gt;"",_xlpm.t,IF(ISNUMBER(SEARCH("ИБП",DH14)),"ИБП",IF(ISNUMBER(SEARCH("ДГУ",DH14)),"ДГУ","Ввод "&amp;DI14)))))</f>
        <v/>
      </c>
      <c r="DK14" t="str">
        <f t="shared" si="36"/>
        <v/>
      </c>
      <c r="DL14" t="str">
        <f>IF(D14="","",IF(OR(DJ14="ИБП",DJ14="ДГУ"),"I особая",IF(DJ14="Одиночная","III",_xlfn.XLOOKUP(A14,Щиты[Щит],Щиты[Категория шины «Ввод»],"III"))))</f>
        <v/>
      </c>
      <c r="DM14">
        <f>IF(D14="",0,IFERROR(MATCH(DE14,{"III","II","I","I особая"},0),1))</f>
        <v>0</v>
      </c>
      <c r="DN14">
        <f t="shared" si="37"/>
        <v>0</v>
      </c>
      <c r="DO14" t="str">
        <f>IF(D14="","",IF(DM14&gt;IFERROR(MATCH(DL14,{"III","II","I","I особая"},0),1),"НЕ ОБЕСПЕЧЕНА","ОК"))</f>
        <v/>
      </c>
      <c r="DP14" t="str">
        <f>IF(A14="","",_xlfn.XLOOKUP(A14,Щиты[Щит],Щиты[Путь],""))</f>
        <v>|ЩР|</v>
      </c>
      <c r="DQ14" t="str">
        <f>IF(D14="","",IF(Z14&lt;&gt;"",Z14,IF(IFERROR(_xlfn.XLOOKUP(AT14,Коды_код,Коды_вид)&amp;"","")="","Прочее",_xlfn.XLOOKUP(AT14,Коды_код,Коды_вид)&amp;"")))</f>
        <v/>
      </c>
      <c r="DR14">
        <f>IF(BD14="","",INT((BD14-1)/Столбцов_на_лист)+1)</f>
        <v>1</v>
      </c>
      <c r="DS14" t="str">
        <f t="shared" si="38"/>
        <v/>
      </c>
      <c r="DT14" t="str">
        <f t="shared" si="39"/>
        <v/>
      </c>
      <c r="DU14" t="str">
        <f t="shared" si="40"/>
        <v/>
      </c>
      <c r="DV14" t="str">
        <f t="shared" si="41"/>
        <v/>
      </c>
      <c r="DW14">
        <f>IF(AT14="",0,_xlfn.LET(_xlpm.v,IFERROR(VLOOKUP(D14,УГО_спр,3,FALSE),IFERROR(VLOOKUP(AT14,УГО_спр,3,FALSE),IFERROR(VLOOKUP(LEFT(AT14,2),УГО_спр,3,FALSE),""))),IF(_xlpm.v="да",30,IF(ISNUMBER(_xlpm.v),_xlpm.v,0))))</f>
        <v>0</v>
      </c>
      <c r="DX14">
        <f t="shared" si="42"/>
        <v>0</v>
      </c>
      <c r="DY14" t="str">
        <f>IF(BD14="","",IF(AD14&lt;&gt;"",COUNTIFS(A$3:A14,A14,AD$3:AD14,"?*"),IF(OR(OR(AS14=1,A14&lt;&gt;A13),AL14="вручную"),"",IF(AS14=1,"",DZ13))))</f>
        <v/>
      </c>
      <c r="DZ14" t="str">
        <f t="shared" si="43"/>
        <v/>
      </c>
      <c r="EA14">
        <f>IF(D14="",0,MAX(IFERROR(--X14,0),IFERROR(--VLOOKUP(D14,УГО_спр,4,FALSE),IFERROR(--VLOOKUP(AT14,УГО_спр,4,FALSE),IFERROR(--VLOOKUP(LEFT(AT14,2),УГО_спр,4,FALSE),0)))))</f>
        <v>0</v>
      </c>
      <c r="EB14" t="str">
        <f>IF(D14="","",IFERROR(LOOKUP(INDEX(CHOOSE(BR14,Iдоп_1ж,Iдоп_2ж,Iдоп_3ж),MATCH(BS14,Iдоп_S,0))*BP14*BQ14,{6,10,16,20,25,32,40,50,63,80,100,125,160,200,250,315,400,500,630}),""))</f>
        <v/>
      </c>
      <c r="EC14" t="str">
        <f>IF(AD14="","",SUMIFS(Линии[_Ток схемы],Линии[_гр.],DY14,Линии[Щит],A14,Линии[_в кабель выше],0))</f>
        <v/>
      </c>
      <c r="ED14" t="str">
        <f>IF(AD14="","",IFERROR(VLOOKUP(EC14,Автомат_номиналы,2,TRUE),""))</f>
        <v/>
      </c>
      <c r="EE14" t="str">
        <f>IF(AD14="","",MAX(N(ED14),_xlfn.MAXIFS(Линии[_мин. по типу],Линии[_гр.],DY14,Линии[Щит],A14)))</f>
        <v/>
      </c>
      <c r="EF14" t="str">
        <f>IF(AD14="","",_xlfn.MINIFS(Линии[_макс. автомат по кабелю],Линии[_гр.],DY14,Линии[Щит],A14))</f>
        <v/>
      </c>
      <c r="EG14" t="str">
        <f>IF(AD14="","",MAX(1,_xlfn.MAXIFS(Линии[_фаз],Линии[_гр.],DY14,Линии[Щит],A14)))</f>
        <v/>
      </c>
      <c r="EH14" t="str">
        <f>IF(AD14="","",IF(AND(AD14&lt;&gt;"авто",AD14&lt;&gt;"+"),IF(ISNUMBER(SEARCH("мА",AD14)),IFERROR(--TRIM(RIGHT(SUBSTITUTE(LEFT(AD14,SEARCH("мА",AD14)-1)," ",REPT(" ",9)),6)),30),0),IF(AE14="нет",0,IF(ISNUMBER(AE14),AE14,IF(AE14="да",30,_xlfn.MINIFS(Линии[_дифзащита по коду, мА],Линии[_гр.],DY14,Линии[Щит],A14,Линии[_дифзащита по коду, мА],"&gt;0"))))))</f>
        <v/>
      </c>
      <c r="EI14" t="str">
        <f t="shared" si="44"/>
        <v/>
      </c>
      <c r="EJ14" t="str">
        <f t="shared" si="45"/>
        <v/>
      </c>
      <c r="EK14" t="str">
        <f t="shared" si="46"/>
        <v/>
      </c>
      <c r="EL14" t="str">
        <f t="shared" si="47"/>
        <v/>
      </c>
      <c r="EM14">
        <f t="shared" si="48"/>
        <v>0</v>
      </c>
      <c r="EN14" t="str">
        <f>IF(AD14="","",IF(EM14=1,MAX(EE14,Мин_автомат_БП),EE14))</f>
        <v/>
      </c>
      <c r="EO14" t="str">
        <f t="shared" si="49"/>
        <v/>
      </c>
      <c r="EP14" t="str">
        <f t="shared" si="50"/>
        <v/>
      </c>
      <c r="EQ14" t="str">
        <f t="shared" si="51"/>
        <v/>
      </c>
      <c r="ER14" t="str">
        <f>IF(OR(AI14="",AI14="-"),"",IFERROR(VLOOKUP(AI14,Модули_спр,2,FALSE),"R"))</f>
        <v/>
      </c>
      <c r="ES14" t="str">
        <f>IF(ER14="","",ER14&amp;"."&amp;COUNTIFS(A$3:A14,A14,ER$3:ER14,ER14))</f>
        <v/>
      </c>
      <c r="ET14" t="str">
        <f t="shared" si="52"/>
        <v/>
      </c>
      <c r="EU14" t="str">
        <f t="shared" si="53"/>
        <v/>
      </c>
      <c r="EV14" t="str">
        <f t="shared" si="54"/>
        <v/>
      </c>
      <c r="EW14" t="str">
        <f t="shared" si="55"/>
        <v/>
      </c>
      <c r="EX14">
        <f t="shared" si="56"/>
        <v>0</v>
      </c>
      <c r="EY14" t="str">
        <f>IF(AK14="нет","",IF(AK14&lt;&gt;"",AK14,IF(EX14=1,"XT"&amp;COUNTIFS(A$3:A14,A14,EX$3:EX14,1),"")))</f>
        <v/>
      </c>
      <c r="EZ14" t="str">
        <f t="shared" si="57"/>
        <v/>
      </c>
      <c r="FA14" t="str">
        <f t="shared" si="58"/>
        <v/>
      </c>
      <c r="FB14" t="str">
        <f t="shared" si="59"/>
        <v/>
      </c>
      <c r="FC14" t="str">
        <f>IF(OR(EV14="",ET14=""),"",IF(EV14&gt;IFERROR(VLOOKUP(EU14,Модули_спр,3,FALSE),99),"ЛИШНИЙ КАНАЛ",IF(AND(AJ14&lt;&gt;"=",COUNTIFS(Линии[_модуль гр.],ET14,Линии[Канал (итог)],EV14,Линии[Канал],"&lt;&gt;=",Линии[Щит],A14)&gt;1),"ДУБЛЬ КАНАЛА","")))</f>
        <v/>
      </c>
      <c r="FD14" t="str">
        <f t="shared" si="60"/>
        <v/>
      </c>
      <c r="FE14" t="str">
        <f t="shared" si="61"/>
        <v/>
      </c>
      <c r="FF14" t="str">
        <f t="shared" si="62"/>
        <v/>
      </c>
      <c r="FG14" t="str">
        <f t="shared" si="63"/>
        <v/>
      </c>
      <c r="FH14" s="6" t="str">
        <f t="shared" si="64"/>
        <v/>
      </c>
      <c r="FI14">
        <f t="shared" si="65"/>
        <v>10</v>
      </c>
      <c r="FJ14" t="str">
        <f t="shared" si="66"/>
        <v/>
      </c>
      <c r="FK14" t="str">
        <f>IF(AND(D14="",EZ14=""),"",_xlfn.TEXTJOIN("; ",TRUE,IF(AND(D14&lt;&gt;"",DD14=""),"нет фазы",""),IF(AND(D14&lt;&gt;"",N(DT14)=0,CN14&lt;&gt;"Нет"),"нет мощности",""),IF(AND(EY14&lt;&gt;"",COUNTIFS(Линии[Щит],A14,Линии[Клемма (итог)],EY14)&gt;1),"дубль клеммы "&amp;EY14,""),IF(AND(FB14&lt;&gt;"",FB14&lt;&gt;"ok"),FB14,""),IF(FC14&lt;&gt;"",FC14,""),IF(AND(ISNUMBER(SEARCH("(5х",DS14)),N(DV14)=1),"5 жил на 1 фазе",""),IF(AND(AT14="R",AD14&lt;&gt;"",OR(N(EH14)=0,N(EH14)&gt;30)),"розетка без дифзащиты до 30 мА",""),IFERROR(IF(AND(ISNUMBER(CD14),CD14&gt;CE14),"потери "&amp;FIXED(CD14,1)&amp;" % &gt; "&amp;CE14&amp;" %",""),""),IFERROR(IF(LEFT(FJ14,4)="мало","Iкз мало — отключение &gt; 0,4 с",""),""),IF(AND(D14&lt;&gt;"",BD14=""),"не на схеме","")))</f>
        <v/>
      </c>
      <c r="FL14" s="6" t="str">
        <f>IF(AD14="","",_xlfn.LET(_xlpm.t,IFERROR(_xlfn.XLOOKUP(EP14,Каталог!$U$4:$U$500,Каталог!$G$4:$G$500),""),_xlpm.k,SEARCH("кА",_xlpm.t),IFERROR(--TRIM(RIGHT(SUBSTITUTE(MID(_xlpm.t,MAX(1,_xlpm.k-4),_xlpm.k-MAX(1,_xlpm.k-4))," ",REPT(" ",9)),5)),"")))</f>
        <v/>
      </c>
      <c r="FM14" t="str">
        <f>IF(OR(FL14="",AD14=""),"",IF(_xlfn.XLOOKUP(A14,Щиты[Щит],Щиты[Iкз max на шинах, кА],"")="","",IF(FL14&lt;_xlfn.XLOOKUP(A14,Щиты[Щит],Щиты[Iкз max на шинах, кА]),"Icu "&amp;FL14&amp;" кА &lt; Iкз max","ok")))</f>
        <v/>
      </c>
      <c r="FN14" t="str">
        <f t="shared" si="67"/>
        <v/>
      </c>
      <c r="FO14" t="str">
        <f t="shared" si="68"/>
        <v/>
      </c>
      <c r="FP14" t="str" cm="1">
        <f t="array" ref="FP14">IF(FO14="","",_xlfn.LET(_xlpm.nd,_xlfn.TEXTSPLIT(FO14,"|"),IF(COLUMNS(_xlpm.nd)&gt;1,A14&amp;"¦"&amp;INDEX(_xlpm.nd,1)&amp;"¦"&amp;INDEX(_xlpm.nd,2),"")))</f>
        <v/>
      </c>
      <c r="FQ14" t="str">
        <f t="shared" si="69"/>
        <v/>
      </c>
      <c r="FR14" t="str" cm="1">
        <f t="array" ref="FR14">IF(FO14="","",_xlfn.LET(_xlpm.nd,_xlfn.TEXTSPLIT(FO14,"|"),IF(COLUMNS(_xlpm.nd)&gt;2,A14&amp;"¦"&amp;INDEX(_xlpm.nd,2)&amp;"¦"&amp;INDEX(_xlpm.nd,3),"")))</f>
        <v/>
      </c>
      <c r="FS14" t="str">
        <f t="shared" si="70"/>
        <v/>
      </c>
      <c r="FT14" t="str" cm="1">
        <f t="array" ref="FT14">IF(FO14="","",_xlfn.LET(_xlpm.nd,_xlfn.TEXTSPLIT(FO14,"|"),IF(COLUMNS(_xlpm.nd)&gt;3,A14&amp;"¦"&amp;INDEX(_xlpm.nd,3)&amp;"¦"&amp;INDEX(_xlpm.nd,4),"")))</f>
        <v/>
      </c>
      <c r="FU14" t="str">
        <f t="shared" si="71"/>
        <v/>
      </c>
      <c r="FV14" t="str" cm="1">
        <f t="array" ref="FV14">IF(FO14="","",_xlfn.LET(_xlpm.nd,_xlfn.TEXTSPLIT(FO14,"|"),IF(COLUMNS(_xlpm.nd)&gt;4,A14&amp;"¦"&amp;INDEX(_xlpm.nd,4)&amp;"¦"&amp;INDEX(_xlpm.nd,5),"")))</f>
        <v/>
      </c>
      <c r="FW14" t="str">
        <f t="shared" si="72"/>
        <v/>
      </c>
      <c r="FX14" t="str" cm="1">
        <f t="array" ref="FX14">IF(FO14="","",_xlfn.LET(_xlpm.nd,_xlfn.TEXTSPLIT(FO14,"|"),IF(COLUMNS(_xlpm.nd)&gt;5,A14&amp;"¦"&amp;INDEX(_xlpm.nd,5)&amp;"¦"&amp;INDEX(_xlpm.nd,6),"")))</f>
        <v/>
      </c>
      <c r="FY14" t="str">
        <f t="shared" si="73"/>
        <v/>
      </c>
      <c r="FZ14" t="str" cm="1">
        <f t="array" ref="FZ14">IF(FO14="","",_xlfn.LET(_xlpm.nd,_xlfn.TEXTSPLIT(FO14,"|"),IF(COLUMNS(_xlpm.nd)&gt;6,A14&amp;"¦"&amp;INDEX(_xlpm.nd,6)&amp;"¦"&amp;INDEX(_xlpm.nd,7),"")))</f>
        <v/>
      </c>
      <c r="GA14" t="str">
        <f t="shared" si="74"/>
        <v/>
      </c>
      <c r="GB14" t="str">
        <f t="shared" si="75"/>
        <v/>
      </c>
      <c r="GC14" t="str">
        <f t="shared" si="76"/>
        <v/>
      </c>
      <c r="GD14">
        <f t="shared" si="77"/>
        <v>0</v>
      </c>
      <c r="GE14">
        <f t="shared" si="78"/>
        <v>0</v>
      </c>
      <c r="GF14">
        <f t="shared" si="79"/>
        <v>0</v>
      </c>
      <c r="GG14" t="str">
        <f t="shared" si="80"/>
        <v/>
      </c>
      <c r="GH14" t="str">
        <f t="shared" si="81"/>
        <v/>
      </c>
      <c r="GI14" t="str">
        <f t="shared" si="82"/>
        <v/>
      </c>
      <c r="GJ14" t="str">
        <f t="shared" si="83"/>
        <v/>
      </c>
      <c r="GK14" t="str">
        <f>IF(D14="","",IFERROR(VLOOKUP(D14,УГО_спр,2,FALSE),IFERROR(VLOOKUP(AT14,УГО_спр,2,FALSE),IFERROR(VLOOKUP(LEFT(AT14,2),УГО_спр,2,FALSE),""))))</f>
        <v/>
      </c>
      <c r="GL14" t="str">
        <f>IF(D14="","",IF(OR(GK14="",GK14=0),"BOX",IFERROR(IF(VLOOKUP(GK14,УГО_блоки,3,FALSE)&amp;""&lt;&gt;"",VLOOKUP(GK14,УГО_блоки,3,FALSE),VLOOKUP(GK14,УГО_блоки,2,FALSE)),GK14)))</f>
        <v/>
      </c>
      <c r="GM14">
        <f t="shared" si="84"/>
        <v>0</v>
      </c>
      <c r="GN14" t="str">
        <f>IF(EP14="","",IF(COUNTIF(EP$3:EP14,EP14)=1,MAX(GN$2:GN13)+1,""))</f>
        <v/>
      </c>
      <c r="GO14" t="str">
        <f>IF(AF14="","",IF(COUNTIF(AF$3:AF14,AF14)+COUNTIF(AG$2:AG13,AF14)+COUNTIF(AH$2:AH13,AF14)=1,MAX(GO$2:GQ13)+1,""))</f>
        <v/>
      </c>
      <c r="GP14" t="str">
        <f>IF(AG14="","",IF(COUNTIF(AF$3:AF14,AG14)+COUNTIF(AG$3:AG14,AG14)+COUNTIF(AH$2:AH13,AG14)=1,MAX(GO$2:GQ13,GO14)+1,""))</f>
        <v/>
      </c>
      <c r="GQ14" t="str">
        <f>IF(AH14="","",IF(COUNTIF(AF$3:AF14,AH14)+COUNTIF(AG$3:AG14,AH14)+COUNTIF(AH$3:AH14,AH14)=1,MAX(GO$2:GQ13,GO14,GP14)+1,""))</f>
        <v/>
      </c>
      <c r="GR14" t="str">
        <f t="shared" si="85"/>
        <v/>
      </c>
      <c r="GS14" t="str">
        <f>IF(GR14="","",IF(COUNTIF(GR$3:GR14,GR14)=1,MAX(GS$2:GS13)+1,""))</f>
        <v/>
      </c>
      <c r="GT14" t="str">
        <f>IF(ES14="","",COUNTIF(ES$3:ES14,"?*"))</f>
        <v/>
      </c>
      <c r="GU14" t="str">
        <f>IF(OR(ES14="",EU14=""),"",IF(COUNTIFS(ES$3:ES14,"?*",EU$3:EU14,EU14)=1,MAX(GU$2:GU13)+1,""))</f>
        <v/>
      </c>
      <c r="GV14">
        <f t="shared" si="86"/>
        <v>0</v>
      </c>
      <c r="GW14" t="str">
        <f>IF(D14="","",COUNTIF(D$3:D14,"?*"))</f>
        <v/>
      </c>
      <c r="GX14">
        <f>IF(EX14&lt;&gt;1,0,_xlfn.LET(_xlpm.k,MAX(IFERROR(--VLOOKUP(D14,УГО_спр,5,FALSE),0),IFERROR(--VLOOKUP(AT14,УГО_спр,5,FALSE),0),IFERROR(--VLOOKUP(LEFT(AT14,2),УГО_спр,5,FALSE),0)),IF(_xlpm.k&gt;0,_xlpm.k,IF(IFERROR(--LEFT(SUBSTITUTE(GR14,"x","х"),FIND("х",SUBSTITUTE(GR14,"x","х"))-1),3)&gt;3,Каталог!$S$9,1))))</f>
        <v>0</v>
      </c>
      <c r="GY14">
        <f t="shared" si="87"/>
        <v>0</v>
      </c>
    </row>
    <row r="15" spans="1:207" x14ac:dyDescent="0.3">
      <c r="A15" t="s">
        <v>206</v>
      </c>
      <c r="B15">
        <v>13</v>
      </c>
      <c r="C15" t="str">
        <f>IF(BD15="","",IF(BE15="вводной узел","узел ","")&amp;"л."&amp;(INT((BD15-1)/Столбцов_на_лист)+1)&amp;" / "&amp;(MOD(BD15-1,Столбцов_на_лист)+1))</f>
        <v>узел л.1 / 13</v>
      </c>
      <c r="E15" s="133" t="str">
        <f t="shared" si="0"/>
        <v/>
      </c>
      <c r="AL15" t="s">
        <v>559</v>
      </c>
      <c r="AR15" t="str">
        <f t="shared" si="1"/>
        <v/>
      </c>
      <c r="AS15" cm="1">
        <f t="array" ref="AS15">ROW()-ROW(Линии[#Headers])</f>
        <v>13</v>
      </c>
      <c r="AT15" s="6" t="str">
        <f t="shared" si="2"/>
        <v/>
      </c>
      <c r="AU15" t="str">
        <f t="shared" si="3"/>
        <v/>
      </c>
      <c r="AV15" t="str">
        <f t="shared" si="4"/>
        <v/>
      </c>
      <c r="AW15" t="str">
        <f t="shared" si="5"/>
        <v/>
      </c>
      <c r="AX15" t="str">
        <f t="shared" si="6"/>
        <v/>
      </c>
      <c r="AY15" t="str">
        <f>IF(D15="","",IF(ISERROR(SEARCH(".",D15)),IFERROR(VLOOKUP(D15,Потребители_обозначение,2,FALSE)&amp;"",""),IFERROR(IF(VLOOKUP(AT15,Потребители_обозначение,4,FALSE)=1,VLOOKUP(AT15,Потребители_обозначение,2,FALSE)&amp;" "&amp;VLOOKUP(AV15,Этаж_обозначение,2,FALSE)&amp;" Пом. №"&amp;AX15,VLOOKUP(AT15,Потребители_обозначение,2,FALSE)&amp;" Шлейф №"&amp;AV15),IFERROR(VLOOKUP(D15,Потребители_обозначение,2,FALSE),""))))</f>
        <v/>
      </c>
      <c r="AZ15" t="str">
        <f t="shared" si="7"/>
        <v/>
      </c>
      <c r="BA15" t="str">
        <f>IF(F15&lt;&gt;"",F15,IF(AND(D15&lt;&gt;"",D15&lt;&gt;A15,ISNUMBER(_xlfn.XMATCH(D15,Щиты[Щит]))),D15,""))</f>
        <v/>
      </c>
      <c r="BB15">
        <f>IFERROR(_xlfn.XMATCH(A15,Щиты[Щит]),0)</f>
        <v>1</v>
      </c>
      <c r="BC15">
        <f>IFERROR(N(_xlfn.XLOOKUP(A15,Щиты[Щит],Щиты[Мест под вводной узел])),15)</f>
        <v>18</v>
      </c>
      <c r="BD15">
        <f t="shared" si="8"/>
        <v>13</v>
      </c>
      <c r="BE15" t="str">
        <f t="shared" si="9"/>
        <v>вводной узел</v>
      </c>
      <c r="BF15" s="6" t="str">
        <f>IF(D15="","",IF(BA15&lt;&gt;"",IFERROR(_xlfn.XLOOKUP(BA15,Щиты[Щит],Щиты[Руст, кВт]),0),N(G15)))</f>
        <v/>
      </c>
      <c r="BG15" t="str">
        <f>IF(J15&lt;&gt;"",J15,IF(D15="","",IFERROR(IF(VLOOKUP(AT15,Потребители_обозначение,8,FALSE)=0,"",VLOOKUP(AT15,Потребители_обозначение,8,FALSE)),"")))</f>
        <v/>
      </c>
      <c r="BH15" t="str">
        <f>IF(I15&lt;&gt;"",I15,IF(D15="","",IFERROR(IF(VLOOKUP(AT15,Потребители_обозначение,9,FALSE)=0,"",VLOOKUP(AT15,Потребители_обозначение,9,FALSE)),"")))</f>
        <v/>
      </c>
      <c r="BI15" t="str">
        <f>IF(U15&lt;&gt;"",U15,IF(D15="","",IFERROR(IF(VLOOKUP(AT15,Потребители_обозначение,6,FALSE)=0,"",VLOOKUP(AT15,Потребители_обозначение,6,FALSE)),"")))</f>
        <v/>
      </c>
      <c r="BJ15" t="str">
        <f>IF(V15&lt;&gt;"",V15,IF(D15="","",IFERROR(IF(VLOOKUP(AT15,Потребители_обозначение,7,FALSE)=0,"",VLOOKUP(AT15,Потребители_обозначение,7,FALSE)),"")))</f>
        <v/>
      </c>
      <c r="BK15" t="str">
        <f>IF(W15&lt;&gt;"",W15,IF(D15="","",IFERROR(IF(VLOOKUP(AT15,Потребители_обозначение,10,FALSE)=0,"",VLOOKUP(AT15,Потребители_обозначение,10,FALSE)),"")))</f>
        <v/>
      </c>
      <c r="BL15">
        <f>IFERROR(VLOOKUP(AT15,Потребители_обозначение,5,FALSE),0)</f>
        <v>0</v>
      </c>
      <c r="BM15" s="6" t="str" cm="1">
        <f t="array" ref="BM15">IF(D15="","",IF(BA15&lt;&gt;"",IFERROR(_xlfn.XLOOKUP(BA15,Щиты[Щит],Щиты[cos φ]),0.95),IF(ISNUMBER(M15),M15,IFERROR(IF(BL15=2,_xlfn.IFS(BH15=3,VLOOKUP(BF15,Справочная_двигатели,8,FALSE),BH15=1,VLOOKUP(BF15,Справочная_двигатели,10,TRUE)),IF(AND(Методика="нормы 2026",CN15="Сил"),0.8,0.95)),0.95))))</f>
        <v/>
      </c>
      <c r="BN15" s="6" t="str" cm="1">
        <f t="array" ref="BN15">IF(D15="","",IF(BA15&lt;&gt;"",IFERROR(_xlfn.XLOOKUP(BA15,Щиты[Щит],Щиты[Iр, А]),""),IFERROR(_xlfn.IFS(BH15=1,BF15/((Uн_лин/SQRT(3))*BM15),BH15=3,BF15/(SQRT(3)*Uн_лин*BM15)),"")))</f>
        <v/>
      </c>
      <c r="BO15" t="str">
        <f>IF(D15="","",IF(N(X15)=0,IFERROR(VLOOKUP(BN15,Автомат_номиналы,2,TRUE),""),X15))</f>
        <v/>
      </c>
      <c r="BP15">
        <f t="shared" si="10"/>
        <v>1</v>
      </c>
      <c r="BQ15">
        <f>IF(ISNUMBER(Y15),Y15,К_прокл)</f>
        <v>1</v>
      </c>
      <c r="BR15">
        <f t="shared" si="11"/>
        <v>3</v>
      </c>
      <c r="BS15" t="str" cm="1">
        <f t="array" ref="BS15">IF(D15="","",IF(N(BK15)&lt;&gt;0,BK15,IFERROR(_xlfn.LET(_xlpm.need,BO15/(BP15*BQ15),_xlpm.t,CHOOSE(BR15,Iдоп_1ж,Iдоп_2ж,Iдоп_3ж),_xlpm.k,_xlfn.XMATCH(_xlpm.need,_xlpm.t,1),IF(ISNA(_xlpm.k),"Не исп",INDEX(Iдоп_S,_xlpm.k))),"Не исп")))</f>
        <v/>
      </c>
      <c r="BT15" t="str">
        <f>IFERROR(VLOOKUP(BS15,Кабель_сопротивление,3,FALSE),"")</f>
        <v/>
      </c>
      <c r="BU15" t="str">
        <f>IFERROR(VLOOKUP(BS15,Кабель_сопротивление,2,FALSE),"")</f>
        <v/>
      </c>
      <c r="BV15" t="str">
        <f t="shared" si="12"/>
        <v/>
      </c>
      <c r="BW15" s="6" t="str">
        <f>IF(D15="","",IFERROR(IF(VLOOKUP(AT15,Потребители_обозначение,4,FALSE)=1,VLOOKUP(AT15,Потребители_обозначение,3,FALSE)*(H15*2-1)+BV15+VLOOKUP(AV15,Этаж_обозначение,3,FALSE)+VLOOKUP(AV15,Этаж_обозначение,4,FALSE),VLOOKUP(AT15,Потребители_обозначение,3,FALSE)*(H15*2-1)+BV15),BV15))</f>
        <v/>
      </c>
      <c r="BX15" t="str">
        <f t="shared" si="13"/>
        <v/>
      </c>
      <c r="BY15" t="str">
        <f t="shared" si="14"/>
        <v/>
      </c>
      <c r="BZ15" t="str">
        <f t="shared" si="15"/>
        <v/>
      </c>
      <c r="CA15" t="str">
        <f t="shared" si="16"/>
        <v/>
      </c>
      <c r="CB15" t="str">
        <f t="shared" si="17"/>
        <v/>
      </c>
      <c r="CC15" s="6" t="str">
        <f>IFERROR(ROUNDUP(CB15/((Uн_лин/SQRT(3))*1000)*100,2),"")</f>
        <v/>
      </c>
      <c r="CD15" s="6" t="str">
        <f>IF(ISNUMBER(CC15),CC15+IFERROR(_xlfn.XLOOKUP(A15,Щиты[Щит],Щиты[ΔU до шин, %]),0),"")</f>
        <v/>
      </c>
      <c r="CE15" s="6" t="str">
        <f>IF(D15="","",IF(IFERROR(VLOOKUP(AT15,УГО_спр,2,FALSE),"")="Светильник",3,4)+IF(Методика="нормы 2026",MIN(0.5,MAX(0,N(BW15)-100)*0.005),0))</f>
        <v/>
      </c>
      <c r="CF15" t="str">
        <f>IFERROR(VLOOKUP(BI15,Кабель_обозначение,2,FALSE),"")</f>
        <v/>
      </c>
      <c r="CG15" t="str">
        <f>IFERROR(IF(VLOOKUP(BI15,Кабель_обозначение,3,FALSE)=1,CF15&amp;" ("&amp;BJ15&amp;"х"&amp;BS15&amp;")",CF15),"")</f>
        <v/>
      </c>
      <c r="CH15" t="str">
        <f t="shared" si="18"/>
        <v/>
      </c>
      <c r="CI15" t="str">
        <f>IFERROR(2*ρкз_Cu*BW15/BS15,"")</f>
        <v/>
      </c>
      <c r="CJ15" t="str">
        <f t="shared" si="19"/>
        <v/>
      </c>
      <c r="CK15" s="6" t="str">
        <f>IFERROR(IF(OR(D15="",NOT(ISNUMBER(BS15)),N(BW15)=0),"",_xlfn.XLOOKUP(A15,Щиты[Щит],Щиты[Zпетли на шинах, Ом])+CI15),"")</f>
        <v/>
      </c>
      <c r="CL15" s="6" t="str">
        <f>IF(ISNUMBER(CK15),c_min*(Uн_лин*1000/SQRT(3))/CK15,"")</f>
        <v/>
      </c>
      <c r="CM15" s="6" t="str">
        <f>IFERROR(IF(OR(D15="",NOT(ISNUMBER(BS15))),"",1.05*(Uн_лин*1000/SQRT(3))/(_xlfn.XLOOKUP(A15,Щиты[Щит],Щиты[Zmax на шинах, Ом])+CJ15)/1000),"")</f>
        <v/>
      </c>
      <c r="CN15" s="6" t="str">
        <f>IF(D15="","",IF(BA15&lt;&gt;"","Щит",IF(K15&lt;&gt;"",K15,IF(ISNUMBER(L15),"Сил",IF(IFERROR(_xlfn.XLOOKUP(AT15,Коды_код,Коды_группа)&amp;"","")="","Быт",_xlfn.XLOOKUP(AT15,Коды_код,Коды_группа)&amp;"")))))</f>
        <v/>
      </c>
      <c r="CO15" s="6" t="str">
        <f>IF(CN15="Щит","щит",IF(CN15="","",IF(CN15="Быт",IFERROR(_xlfn.XLOOKUP(A15,Щиты[Щит],Щиты[Кс быт]),1),IF(CN15="Сил",IF(ISNUMBER(L15),L15,IF(Методика="нормы 2026",IFERROR(_xlfn.XLOOKUP(A15,Щиты[Щит],Щиты[Кс силовых (табл. 7.5)]),1),1)),IF(OR(CN15="Пост",CN15="Отоп"),1,IF(CN15="ВНГ",0.7,0))))))</f>
        <v/>
      </c>
      <c r="CP15" t="str">
        <f t="shared" si="20"/>
        <v/>
      </c>
      <c r="CQ15">
        <f t="shared" si="21"/>
        <v>0</v>
      </c>
      <c r="CR15">
        <f t="shared" si="22"/>
        <v>0</v>
      </c>
      <c r="CS15">
        <f t="shared" si="23"/>
        <v>0</v>
      </c>
      <c r="CT15">
        <f t="shared" si="24"/>
        <v>0</v>
      </c>
      <c r="CU15">
        <f t="shared" si="25"/>
        <v>0</v>
      </c>
      <c r="CV15">
        <f t="shared" si="26"/>
        <v>0</v>
      </c>
      <c r="CW15">
        <f t="shared" si="27"/>
        <v>0</v>
      </c>
      <c r="CX15">
        <f t="shared" si="28"/>
        <v>0</v>
      </c>
      <c r="CY15">
        <f t="shared" si="29"/>
        <v>0</v>
      </c>
      <c r="CZ15" t="str">
        <f t="shared" si="30"/>
        <v/>
      </c>
      <c r="DA15" cm="1">
        <f t="array" ref="DA15">IFERROR(IF(BL15=2,_xlfn.IFS(BH15=3,VLOOKUP(BF15,Справочная_двигатели,3,FALSE),BH15=1,VLOOKUP(BF15,Справочная_двигатели,5,TRUE)),0),0)</f>
        <v>0</v>
      </c>
      <c r="DB15">
        <f>IFERROR(IF(BL15=3,VLOOKUP(BF15,Справочная_ЛЭД,2,TRUE),0),0)</f>
        <v>0</v>
      </c>
      <c r="DC15" s="6" t="str">
        <f t="shared" si="31"/>
        <v/>
      </c>
      <c r="DD15" t="str">
        <f t="shared" si="32"/>
        <v/>
      </c>
      <c r="DE15" t="str" cm="1">
        <f t="array" ref="DE15">IF(D15="","",IFERROR(INDEX({"I особая","I","II","III"},MATCH(TRIM(AA15&amp;""),{"I особая","I","II","III"},0)),"III"))</f>
        <v/>
      </c>
      <c r="DF15" t="str">
        <f>IF(D15="","",IF(TRIM(AB15&amp;"")&lt;&gt;"",IF(LOWER(TRIM(AB15&amp;""))="да","да","нет"),IF(IFERROR(_xlfn.XLOOKUP(AT15,Коды_код,Коды_пожарная),"")="да","да","нет")))</f>
        <v/>
      </c>
      <c r="DG15" t="str">
        <f t="shared" si="33"/>
        <v/>
      </c>
      <c r="DH15" t="str">
        <f t="shared" si="34"/>
        <v/>
      </c>
      <c r="DI15">
        <f t="shared" si="35"/>
        <v>1</v>
      </c>
      <c r="DJ15" t="str" cm="1">
        <f t="array" ref="DJ15">IF(D15="","",_xlfn.LET(_xlpm.t,IFERROR(_xlfn.XLOOKUP(1,(Шины[Шина]=DH15)*(((Шины[Щит]=A15)+(Шины[Щит]=""))&gt;0),Шины[Тип]),"")&amp;"",IF(_xlpm.t&lt;&gt;"",_xlpm.t,IF(ISNUMBER(SEARCH("ИБП",DH15)),"ИБП",IF(ISNUMBER(SEARCH("ДГУ",DH15)),"ДГУ","Ввод "&amp;DI15)))))</f>
        <v/>
      </c>
      <c r="DK15" t="str">
        <f t="shared" si="36"/>
        <v/>
      </c>
      <c r="DL15" t="str">
        <f>IF(D15="","",IF(OR(DJ15="ИБП",DJ15="ДГУ"),"I особая",IF(DJ15="Одиночная","III",_xlfn.XLOOKUP(A15,Щиты[Щит],Щиты[Категория шины «Ввод»],"III"))))</f>
        <v/>
      </c>
      <c r="DM15">
        <f>IF(D15="",0,IFERROR(MATCH(DE15,{"III","II","I","I особая"},0),1))</f>
        <v>0</v>
      </c>
      <c r="DN15">
        <f t="shared" si="37"/>
        <v>0</v>
      </c>
      <c r="DO15" t="str">
        <f>IF(D15="","",IF(DM15&gt;IFERROR(MATCH(DL15,{"III","II","I","I особая"},0),1),"НЕ ОБЕСПЕЧЕНА","ОК"))</f>
        <v/>
      </c>
      <c r="DP15" t="str">
        <f>IF(A15="","",_xlfn.XLOOKUP(A15,Щиты[Щит],Щиты[Путь],""))</f>
        <v>|ЩР|</v>
      </c>
      <c r="DQ15" t="str">
        <f>IF(D15="","",IF(Z15&lt;&gt;"",Z15,IF(IFERROR(_xlfn.XLOOKUP(AT15,Коды_код,Коды_вид)&amp;"","")="","Прочее",_xlfn.XLOOKUP(AT15,Коды_код,Коды_вид)&amp;"")))</f>
        <v/>
      </c>
      <c r="DR15">
        <f>IF(BD15="","",INT((BD15-1)/Столбцов_на_лист)+1)</f>
        <v>1</v>
      </c>
      <c r="DS15" t="str">
        <f t="shared" si="38"/>
        <v/>
      </c>
      <c r="DT15" t="str">
        <f t="shared" si="39"/>
        <v/>
      </c>
      <c r="DU15" t="str">
        <f t="shared" si="40"/>
        <v/>
      </c>
      <c r="DV15" t="str">
        <f t="shared" si="41"/>
        <v/>
      </c>
      <c r="DW15">
        <f>IF(AT15="",0,_xlfn.LET(_xlpm.v,IFERROR(VLOOKUP(D15,УГО_спр,3,FALSE),IFERROR(VLOOKUP(AT15,УГО_спр,3,FALSE),IFERROR(VLOOKUP(LEFT(AT15,2),УГО_спр,3,FALSE),""))),IF(_xlpm.v="да",30,IF(ISNUMBER(_xlpm.v),_xlpm.v,0))))</f>
        <v>0</v>
      </c>
      <c r="DX15">
        <f t="shared" si="42"/>
        <v>0</v>
      </c>
      <c r="DY15" t="str">
        <f>IF(BD15="","",IF(AD15&lt;&gt;"",COUNTIFS(A$3:A15,A15,AD$3:AD15,"?*"),IF(OR(OR(AS15=1,A15&lt;&gt;A14),AL15="вручную"),"",IF(AS15=1,"",DZ14))))</f>
        <v/>
      </c>
      <c r="DZ15" t="str">
        <f t="shared" si="43"/>
        <v/>
      </c>
      <c r="EA15">
        <f>IF(D15="",0,MAX(IFERROR(--X15,0),IFERROR(--VLOOKUP(D15,УГО_спр,4,FALSE),IFERROR(--VLOOKUP(AT15,УГО_спр,4,FALSE),IFERROR(--VLOOKUP(LEFT(AT15,2),УГО_спр,4,FALSE),0)))))</f>
        <v>0</v>
      </c>
      <c r="EB15" t="str">
        <f>IF(D15="","",IFERROR(LOOKUP(INDEX(CHOOSE(BR15,Iдоп_1ж,Iдоп_2ж,Iдоп_3ж),MATCH(BS15,Iдоп_S,0))*BP15*BQ15,{6,10,16,20,25,32,40,50,63,80,100,125,160,200,250,315,400,500,630}),""))</f>
        <v/>
      </c>
      <c r="EC15" t="str">
        <f>IF(AD15="","",SUMIFS(Линии[_Ток схемы],Линии[_гр.],DY15,Линии[Щит],A15,Линии[_в кабель выше],0))</f>
        <v/>
      </c>
      <c r="ED15" t="str">
        <f>IF(AD15="","",IFERROR(VLOOKUP(EC15,Автомат_номиналы,2,TRUE),""))</f>
        <v/>
      </c>
      <c r="EE15" t="str">
        <f>IF(AD15="","",MAX(N(ED15),_xlfn.MAXIFS(Линии[_мин. по типу],Линии[_гр.],DY15,Линии[Щит],A15)))</f>
        <v/>
      </c>
      <c r="EF15" t="str">
        <f>IF(AD15="","",_xlfn.MINIFS(Линии[_макс. автомат по кабелю],Линии[_гр.],DY15,Линии[Щит],A15))</f>
        <v/>
      </c>
      <c r="EG15" t="str">
        <f>IF(AD15="","",MAX(1,_xlfn.MAXIFS(Линии[_фаз],Линии[_гр.],DY15,Линии[Щит],A15)))</f>
        <v/>
      </c>
      <c r="EH15" t="str">
        <f>IF(AD15="","",IF(AND(AD15&lt;&gt;"авто",AD15&lt;&gt;"+"),IF(ISNUMBER(SEARCH("мА",AD15)),IFERROR(--TRIM(RIGHT(SUBSTITUTE(LEFT(AD15,SEARCH("мА",AD15)-1)," ",REPT(" ",9)),6)),30),0),IF(AE15="нет",0,IF(ISNUMBER(AE15),AE15,IF(AE15="да",30,_xlfn.MINIFS(Линии[_дифзащита по коду, мА],Линии[_гр.],DY15,Линии[Щит],A15,Линии[_дифзащита по коду, мА],"&gt;0"))))))</f>
        <v/>
      </c>
      <c r="EI15" t="str">
        <f t="shared" si="44"/>
        <v/>
      </c>
      <c r="EJ15" t="str">
        <f t="shared" si="45"/>
        <v/>
      </c>
      <c r="EK15" t="str">
        <f t="shared" si="46"/>
        <v/>
      </c>
      <c r="EL15" t="str">
        <f t="shared" si="47"/>
        <v/>
      </c>
      <c r="EM15">
        <f t="shared" si="48"/>
        <v>0</v>
      </c>
      <c r="EN15" t="str">
        <f>IF(AD15="","",IF(EM15=1,MAX(EE15,Мин_автомат_БП),EE15))</f>
        <v/>
      </c>
      <c r="EO15" t="str">
        <f t="shared" si="49"/>
        <v/>
      </c>
      <c r="EP15" t="str">
        <f t="shared" si="50"/>
        <v/>
      </c>
      <c r="EQ15" t="str">
        <f t="shared" si="51"/>
        <v/>
      </c>
      <c r="ER15" t="str">
        <f>IF(OR(AI15="",AI15="-"),"",IFERROR(VLOOKUP(AI15,Модули_спр,2,FALSE),"R"))</f>
        <v/>
      </c>
      <c r="ES15" t="str">
        <f>IF(ER15="","",ER15&amp;"."&amp;COUNTIFS(A$3:A15,A15,ER$3:ER15,ER15))</f>
        <v/>
      </c>
      <c r="ET15" t="str">
        <f t="shared" si="52"/>
        <v/>
      </c>
      <c r="EU15" t="str">
        <f t="shared" si="53"/>
        <v/>
      </c>
      <c r="EV15" t="str">
        <f t="shared" si="54"/>
        <v/>
      </c>
      <c r="EW15" t="str">
        <f t="shared" si="55"/>
        <v/>
      </c>
      <c r="EX15">
        <f t="shared" si="56"/>
        <v>0</v>
      </c>
      <c r="EY15" t="str">
        <f>IF(AK15="нет","",IF(AK15&lt;&gt;"",AK15,IF(EX15=1,"XT"&amp;COUNTIFS(A$3:A15,A15,EX$3:EX15,1),"")))</f>
        <v/>
      </c>
      <c r="EZ15" t="str">
        <f t="shared" si="57"/>
        <v/>
      </c>
      <c r="FA15" t="str">
        <f t="shared" si="58"/>
        <v/>
      </c>
      <c r="FB15" t="str">
        <f t="shared" si="59"/>
        <v/>
      </c>
      <c r="FC15" t="str">
        <f>IF(OR(EV15="",ET15=""),"",IF(EV15&gt;IFERROR(VLOOKUP(EU15,Модули_спр,3,FALSE),99),"ЛИШНИЙ КАНАЛ",IF(AND(AJ15&lt;&gt;"=",COUNTIFS(Линии[_модуль гр.],ET15,Линии[Канал (итог)],EV15,Линии[Канал],"&lt;&gt;=",Линии[Щит],A15)&gt;1),"ДУБЛЬ КАНАЛА","")))</f>
        <v/>
      </c>
      <c r="FD15" t="str">
        <f t="shared" si="60"/>
        <v/>
      </c>
      <c r="FE15" t="str">
        <f t="shared" si="61"/>
        <v/>
      </c>
      <c r="FF15" t="str">
        <f t="shared" si="62"/>
        <v/>
      </c>
      <c r="FG15" t="str">
        <f t="shared" si="63"/>
        <v/>
      </c>
      <c r="FH15" s="6" t="str">
        <f t="shared" si="64"/>
        <v/>
      </c>
      <c r="FI15">
        <f t="shared" si="65"/>
        <v>10</v>
      </c>
      <c r="FJ15" t="str">
        <f t="shared" si="66"/>
        <v/>
      </c>
      <c r="FK15" t="str">
        <f>IF(AND(D15="",EZ15=""),"",_xlfn.TEXTJOIN("; ",TRUE,IF(AND(D15&lt;&gt;"",DD15=""),"нет фазы",""),IF(AND(D15&lt;&gt;"",N(DT15)=0,CN15&lt;&gt;"Нет"),"нет мощности",""),IF(AND(EY15&lt;&gt;"",COUNTIFS(Линии[Щит],A15,Линии[Клемма (итог)],EY15)&gt;1),"дубль клеммы "&amp;EY15,""),IF(AND(FB15&lt;&gt;"",FB15&lt;&gt;"ok"),FB15,""),IF(FC15&lt;&gt;"",FC15,""),IF(AND(ISNUMBER(SEARCH("(5х",DS15)),N(DV15)=1),"5 жил на 1 фазе",""),IF(AND(AT15="R",AD15&lt;&gt;"",OR(N(EH15)=0,N(EH15)&gt;30)),"розетка без дифзащиты до 30 мА",""),IFERROR(IF(AND(ISNUMBER(CD15),CD15&gt;CE15),"потери "&amp;FIXED(CD15,1)&amp;" % &gt; "&amp;CE15&amp;" %",""),""),IFERROR(IF(LEFT(FJ15,4)="мало","Iкз мало — отключение &gt; 0,4 с",""),""),IF(AND(D15&lt;&gt;"",BD15=""),"не на схеме","")))</f>
        <v/>
      </c>
      <c r="FL15" s="6" t="str">
        <f>IF(AD15="","",_xlfn.LET(_xlpm.t,IFERROR(_xlfn.XLOOKUP(EP15,Каталог!$U$4:$U$500,Каталог!$G$4:$G$500),""),_xlpm.k,SEARCH("кА",_xlpm.t),IFERROR(--TRIM(RIGHT(SUBSTITUTE(MID(_xlpm.t,MAX(1,_xlpm.k-4),_xlpm.k-MAX(1,_xlpm.k-4))," ",REPT(" ",9)),5)),"")))</f>
        <v/>
      </c>
      <c r="FM15" t="str">
        <f>IF(OR(FL15="",AD15=""),"",IF(_xlfn.XLOOKUP(A15,Щиты[Щит],Щиты[Iкз max на шинах, кА],"")="","",IF(FL15&lt;_xlfn.XLOOKUP(A15,Щиты[Щит],Щиты[Iкз max на шинах, кА]),"Icu "&amp;FL15&amp;" кА &lt; Iкз max","ok")))</f>
        <v/>
      </c>
      <c r="FN15" t="str">
        <f t="shared" si="67"/>
        <v/>
      </c>
      <c r="FO15" t="str">
        <f t="shared" si="68"/>
        <v/>
      </c>
      <c r="FP15" t="str" cm="1">
        <f t="array" ref="FP15">IF(FO15="","",_xlfn.LET(_xlpm.nd,_xlfn.TEXTSPLIT(FO15,"|"),IF(COLUMNS(_xlpm.nd)&gt;1,A15&amp;"¦"&amp;INDEX(_xlpm.nd,1)&amp;"¦"&amp;INDEX(_xlpm.nd,2),"")))</f>
        <v/>
      </c>
      <c r="FQ15" t="str">
        <f t="shared" si="69"/>
        <v/>
      </c>
      <c r="FR15" t="str" cm="1">
        <f t="array" ref="FR15">IF(FO15="","",_xlfn.LET(_xlpm.nd,_xlfn.TEXTSPLIT(FO15,"|"),IF(COLUMNS(_xlpm.nd)&gt;2,A15&amp;"¦"&amp;INDEX(_xlpm.nd,2)&amp;"¦"&amp;INDEX(_xlpm.nd,3),"")))</f>
        <v/>
      </c>
      <c r="FS15" t="str">
        <f t="shared" si="70"/>
        <v/>
      </c>
      <c r="FT15" t="str" cm="1">
        <f t="array" ref="FT15">IF(FO15="","",_xlfn.LET(_xlpm.nd,_xlfn.TEXTSPLIT(FO15,"|"),IF(COLUMNS(_xlpm.nd)&gt;3,A15&amp;"¦"&amp;INDEX(_xlpm.nd,3)&amp;"¦"&amp;INDEX(_xlpm.nd,4),"")))</f>
        <v/>
      </c>
      <c r="FU15" t="str">
        <f t="shared" si="71"/>
        <v/>
      </c>
      <c r="FV15" t="str" cm="1">
        <f t="array" ref="FV15">IF(FO15="","",_xlfn.LET(_xlpm.nd,_xlfn.TEXTSPLIT(FO15,"|"),IF(COLUMNS(_xlpm.nd)&gt;4,A15&amp;"¦"&amp;INDEX(_xlpm.nd,4)&amp;"¦"&amp;INDEX(_xlpm.nd,5),"")))</f>
        <v/>
      </c>
      <c r="FW15" t="str">
        <f t="shared" si="72"/>
        <v/>
      </c>
      <c r="FX15" t="str" cm="1">
        <f t="array" ref="FX15">IF(FO15="","",_xlfn.LET(_xlpm.nd,_xlfn.TEXTSPLIT(FO15,"|"),IF(COLUMNS(_xlpm.nd)&gt;5,A15&amp;"¦"&amp;INDEX(_xlpm.nd,5)&amp;"¦"&amp;INDEX(_xlpm.nd,6),"")))</f>
        <v/>
      </c>
      <c r="FY15" t="str">
        <f t="shared" si="73"/>
        <v/>
      </c>
      <c r="FZ15" t="str" cm="1">
        <f t="array" ref="FZ15">IF(FO15="","",_xlfn.LET(_xlpm.nd,_xlfn.TEXTSPLIT(FO15,"|"),IF(COLUMNS(_xlpm.nd)&gt;6,A15&amp;"¦"&amp;INDEX(_xlpm.nd,6)&amp;"¦"&amp;INDEX(_xlpm.nd,7),"")))</f>
        <v/>
      </c>
      <c r="GA15" t="str">
        <f t="shared" si="74"/>
        <v/>
      </c>
      <c r="GB15" t="str">
        <f t="shared" si="75"/>
        <v/>
      </c>
      <c r="GC15" t="str">
        <f t="shared" si="76"/>
        <v/>
      </c>
      <c r="GD15">
        <f t="shared" si="77"/>
        <v>0</v>
      </c>
      <c r="GE15">
        <f t="shared" si="78"/>
        <v>0</v>
      </c>
      <c r="GF15">
        <f t="shared" si="79"/>
        <v>0</v>
      </c>
      <c r="GG15" t="str">
        <f t="shared" si="80"/>
        <v/>
      </c>
      <c r="GH15" t="str">
        <f t="shared" si="81"/>
        <v/>
      </c>
      <c r="GI15" t="str">
        <f t="shared" si="82"/>
        <v/>
      </c>
      <c r="GJ15" t="str">
        <f t="shared" si="83"/>
        <v/>
      </c>
      <c r="GK15" t="str">
        <f>IF(D15="","",IFERROR(VLOOKUP(D15,УГО_спр,2,FALSE),IFERROR(VLOOKUP(AT15,УГО_спр,2,FALSE),IFERROR(VLOOKUP(LEFT(AT15,2),УГО_спр,2,FALSE),""))))</f>
        <v/>
      </c>
      <c r="GL15" t="str">
        <f>IF(D15="","",IF(OR(GK15="",GK15=0),"BOX",IFERROR(IF(VLOOKUP(GK15,УГО_блоки,3,FALSE)&amp;""&lt;&gt;"",VLOOKUP(GK15,УГО_блоки,3,FALSE),VLOOKUP(GK15,УГО_блоки,2,FALSE)),GK15)))</f>
        <v/>
      </c>
      <c r="GM15">
        <f t="shared" si="84"/>
        <v>0</v>
      </c>
      <c r="GN15" t="str">
        <f>IF(EP15="","",IF(COUNTIF(EP$3:EP15,EP15)=1,MAX(GN$2:GN14)+1,""))</f>
        <v/>
      </c>
      <c r="GO15" t="str">
        <f>IF(AF15="","",IF(COUNTIF(AF$3:AF15,AF15)+COUNTIF(AG$2:AG14,AF15)+COUNTIF(AH$2:AH14,AF15)=1,MAX(GO$2:GQ14)+1,""))</f>
        <v/>
      </c>
      <c r="GP15" t="str">
        <f>IF(AG15="","",IF(COUNTIF(AF$3:AF15,AG15)+COUNTIF(AG$3:AG15,AG15)+COUNTIF(AH$2:AH14,AG15)=1,MAX(GO$2:GQ14,GO15)+1,""))</f>
        <v/>
      </c>
      <c r="GQ15" t="str">
        <f>IF(AH15="","",IF(COUNTIF(AF$3:AF15,AH15)+COUNTIF(AG$3:AG15,AH15)+COUNTIF(AH$3:AH15,AH15)=1,MAX(GO$2:GQ14,GO15,GP15)+1,""))</f>
        <v/>
      </c>
      <c r="GR15" t="str">
        <f t="shared" si="85"/>
        <v/>
      </c>
      <c r="GS15" t="str">
        <f>IF(GR15="","",IF(COUNTIF(GR$3:GR15,GR15)=1,MAX(GS$2:GS14)+1,""))</f>
        <v/>
      </c>
      <c r="GT15" t="str">
        <f>IF(ES15="","",COUNTIF(ES$3:ES15,"?*"))</f>
        <v/>
      </c>
      <c r="GU15" t="str">
        <f>IF(OR(ES15="",EU15=""),"",IF(COUNTIFS(ES$3:ES15,"?*",EU$3:EU15,EU15)=1,MAX(GU$2:GU14)+1,""))</f>
        <v/>
      </c>
      <c r="GV15">
        <f t="shared" si="86"/>
        <v>0</v>
      </c>
      <c r="GW15" t="str">
        <f>IF(D15="","",COUNTIF(D$3:D15,"?*"))</f>
        <v/>
      </c>
      <c r="GX15">
        <f>IF(EX15&lt;&gt;1,0,_xlfn.LET(_xlpm.k,MAX(IFERROR(--VLOOKUP(D15,УГО_спр,5,FALSE),0),IFERROR(--VLOOKUP(AT15,УГО_спр,5,FALSE),0),IFERROR(--VLOOKUP(LEFT(AT15,2),УГО_спр,5,FALSE),0)),IF(_xlpm.k&gt;0,_xlpm.k,IF(IFERROR(--LEFT(SUBSTITUTE(GR15,"x","х"),FIND("х",SUBSTITUTE(GR15,"x","х"))-1),3)&gt;3,Каталог!$S$9,1))))</f>
        <v>0</v>
      </c>
      <c r="GY15">
        <f t="shared" si="87"/>
        <v>0</v>
      </c>
    </row>
    <row r="16" spans="1:207" x14ac:dyDescent="0.3">
      <c r="A16" t="s">
        <v>206</v>
      </c>
      <c r="B16">
        <v>14</v>
      </c>
      <c r="C16" t="str">
        <f>IF(BD16="","",IF(BE16="вводной узел","узел ","")&amp;"л."&amp;(INT((BD16-1)/Столбцов_на_лист)+1)&amp;" / "&amp;(MOD(BD16-1,Столбцов_на_лист)+1))</f>
        <v>узел л.1 / 14</v>
      </c>
      <c r="E16" s="133" t="str">
        <f t="shared" si="0"/>
        <v/>
      </c>
      <c r="AL16" t="s">
        <v>559</v>
      </c>
      <c r="AR16" t="str">
        <f t="shared" si="1"/>
        <v/>
      </c>
      <c r="AS16" cm="1">
        <f t="array" ref="AS16">ROW()-ROW(Линии[#Headers])</f>
        <v>14</v>
      </c>
      <c r="AT16" s="6" t="str">
        <f t="shared" si="2"/>
        <v/>
      </c>
      <c r="AU16" t="str">
        <f t="shared" si="3"/>
        <v/>
      </c>
      <c r="AV16" t="str">
        <f t="shared" si="4"/>
        <v/>
      </c>
      <c r="AW16" t="str">
        <f t="shared" si="5"/>
        <v/>
      </c>
      <c r="AX16" t="str">
        <f t="shared" si="6"/>
        <v/>
      </c>
      <c r="AY16" t="str">
        <f>IF(D16="","",IF(ISERROR(SEARCH(".",D16)),IFERROR(VLOOKUP(D16,Потребители_обозначение,2,FALSE)&amp;"",""),IFERROR(IF(VLOOKUP(AT16,Потребители_обозначение,4,FALSE)=1,VLOOKUP(AT16,Потребители_обозначение,2,FALSE)&amp;" "&amp;VLOOKUP(AV16,Этаж_обозначение,2,FALSE)&amp;" Пом. №"&amp;AX16,VLOOKUP(AT16,Потребители_обозначение,2,FALSE)&amp;" Шлейф №"&amp;AV16),IFERROR(VLOOKUP(D16,Потребители_обозначение,2,FALSE),""))))</f>
        <v/>
      </c>
      <c r="AZ16" t="str">
        <f t="shared" si="7"/>
        <v/>
      </c>
      <c r="BA16" t="str">
        <f>IF(F16&lt;&gt;"",F16,IF(AND(D16&lt;&gt;"",D16&lt;&gt;A16,ISNUMBER(_xlfn.XMATCH(D16,Щиты[Щит]))),D16,""))</f>
        <v/>
      </c>
      <c r="BB16">
        <f>IFERROR(_xlfn.XMATCH(A16,Щиты[Щит]),0)</f>
        <v>1</v>
      </c>
      <c r="BC16">
        <f>IFERROR(N(_xlfn.XLOOKUP(A16,Щиты[Щит],Щиты[Мест под вводной узел])),15)</f>
        <v>18</v>
      </c>
      <c r="BD16">
        <f t="shared" si="8"/>
        <v>14</v>
      </c>
      <c r="BE16" t="str">
        <f t="shared" si="9"/>
        <v>вводной узел</v>
      </c>
      <c r="BF16" s="6" t="str">
        <f>IF(D16="","",IF(BA16&lt;&gt;"",IFERROR(_xlfn.XLOOKUP(BA16,Щиты[Щит],Щиты[Руст, кВт]),0),N(G16)))</f>
        <v/>
      </c>
      <c r="BG16" t="str">
        <f>IF(J16&lt;&gt;"",J16,IF(D16="","",IFERROR(IF(VLOOKUP(AT16,Потребители_обозначение,8,FALSE)=0,"",VLOOKUP(AT16,Потребители_обозначение,8,FALSE)),"")))</f>
        <v/>
      </c>
      <c r="BH16" t="str">
        <f>IF(I16&lt;&gt;"",I16,IF(D16="","",IFERROR(IF(VLOOKUP(AT16,Потребители_обозначение,9,FALSE)=0,"",VLOOKUP(AT16,Потребители_обозначение,9,FALSE)),"")))</f>
        <v/>
      </c>
      <c r="BI16" t="str">
        <f>IF(U16&lt;&gt;"",U16,IF(D16="","",IFERROR(IF(VLOOKUP(AT16,Потребители_обозначение,6,FALSE)=0,"",VLOOKUP(AT16,Потребители_обозначение,6,FALSE)),"")))</f>
        <v/>
      </c>
      <c r="BJ16" t="str">
        <f>IF(V16&lt;&gt;"",V16,IF(D16="","",IFERROR(IF(VLOOKUP(AT16,Потребители_обозначение,7,FALSE)=0,"",VLOOKUP(AT16,Потребители_обозначение,7,FALSE)),"")))</f>
        <v/>
      </c>
      <c r="BK16" t="str">
        <f>IF(W16&lt;&gt;"",W16,IF(D16="","",IFERROR(IF(VLOOKUP(AT16,Потребители_обозначение,10,FALSE)=0,"",VLOOKUP(AT16,Потребители_обозначение,10,FALSE)),"")))</f>
        <v/>
      </c>
      <c r="BL16">
        <f>IFERROR(VLOOKUP(AT16,Потребители_обозначение,5,FALSE),0)</f>
        <v>0</v>
      </c>
      <c r="BM16" s="6" t="str" cm="1">
        <f t="array" ref="BM16">IF(D16="","",IF(BA16&lt;&gt;"",IFERROR(_xlfn.XLOOKUP(BA16,Щиты[Щит],Щиты[cos φ]),0.95),IF(ISNUMBER(M16),M16,IFERROR(IF(BL16=2,_xlfn.IFS(BH16=3,VLOOKUP(BF16,Справочная_двигатели,8,FALSE),BH16=1,VLOOKUP(BF16,Справочная_двигатели,10,TRUE)),IF(AND(Методика="нормы 2026",CN16="Сил"),0.8,0.95)),0.95))))</f>
        <v/>
      </c>
      <c r="BN16" s="6" t="str" cm="1">
        <f t="array" ref="BN16">IF(D16="","",IF(BA16&lt;&gt;"",IFERROR(_xlfn.XLOOKUP(BA16,Щиты[Щит],Щиты[Iр, А]),""),IFERROR(_xlfn.IFS(BH16=1,BF16/((Uн_лин/SQRT(3))*BM16),BH16=3,BF16/(SQRT(3)*Uн_лин*BM16)),"")))</f>
        <v/>
      </c>
      <c r="BO16" t="str">
        <f>IF(D16="","",IF(N(X16)=0,IFERROR(VLOOKUP(BN16,Автомат_номиналы,2,TRUE),""),X16))</f>
        <v/>
      </c>
      <c r="BP16">
        <f t="shared" si="10"/>
        <v>1</v>
      </c>
      <c r="BQ16">
        <f>IF(ISNUMBER(Y16),Y16,К_прокл)</f>
        <v>1</v>
      </c>
      <c r="BR16">
        <f t="shared" si="11"/>
        <v>3</v>
      </c>
      <c r="BS16" t="str" cm="1">
        <f t="array" ref="BS16">IF(D16="","",IF(N(BK16)&lt;&gt;0,BK16,IFERROR(_xlfn.LET(_xlpm.need,BO16/(BP16*BQ16),_xlpm.t,CHOOSE(BR16,Iдоп_1ж,Iдоп_2ж,Iдоп_3ж),_xlpm.k,_xlfn.XMATCH(_xlpm.need,_xlpm.t,1),IF(ISNA(_xlpm.k),"Не исп",INDEX(Iдоп_S,_xlpm.k))),"Не исп")))</f>
        <v/>
      </c>
      <c r="BT16" t="str">
        <f>IFERROR(VLOOKUP(BS16,Кабель_сопротивление,3,FALSE),"")</f>
        <v/>
      </c>
      <c r="BU16" t="str">
        <f>IFERROR(VLOOKUP(BS16,Кабель_сопротивление,2,FALSE),"")</f>
        <v/>
      </c>
      <c r="BV16" t="str">
        <f t="shared" si="12"/>
        <v/>
      </c>
      <c r="BW16" s="6" t="str">
        <f>IF(D16="","",IFERROR(IF(VLOOKUP(AT16,Потребители_обозначение,4,FALSE)=1,VLOOKUP(AT16,Потребители_обозначение,3,FALSE)*(H16*2-1)+BV16+VLOOKUP(AV16,Этаж_обозначение,3,FALSE)+VLOOKUP(AV16,Этаж_обозначение,4,FALSE),VLOOKUP(AT16,Потребители_обозначение,3,FALSE)*(H16*2-1)+BV16),BV16))</f>
        <v/>
      </c>
      <c r="BX16" t="str">
        <f t="shared" si="13"/>
        <v/>
      </c>
      <c r="BY16" t="str">
        <f t="shared" si="14"/>
        <v/>
      </c>
      <c r="BZ16" t="str">
        <f t="shared" si="15"/>
        <v/>
      </c>
      <c r="CA16" t="str">
        <f t="shared" si="16"/>
        <v/>
      </c>
      <c r="CB16" t="str">
        <f t="shared" si="17"/>
        <v/>
      </c>
      <c r="CC16" s="6" t="str">
        <f>IFERROR(ROUNDUP(CB16/((Uн_лин/SQRT(3))*1000)*100,2),"")</f>
        <v/>
      </c>
      <c r="CD16" s="6" t="str">
        <f>IF(ISNUMBER(CC16),CC16+IFERROR(_xlfn.XLOOKUP(A16,Щиты[Щит],Щиты[ΔU до шин, %]),0),"")</f>
        <v/>
      </c>
      <c r="CE16" s="6" t="str">
        <f>IF(D16="","",IF(IFERROR(VLOOKUP(AT16,УГО_спр,2,FALSE),"")="Светильник",3,4)+IF(Методика="нормы 2026",MIN(0.5,MAX(0,N(BW16)-100)*0.005),0))</f>
        <v/>
      </c>
      <c r="CF16" t="str">
        <f>IFERROR(VLOOKUP(BI16,Кабель_обозначение,2,FALSE),"")</f>
        <v/>
      </c>
      <c r="CG16" t="str">
        <f>IFERROR(IF(VLOOKUP(BI16,Кабель_обозначение,3,FALSE)=1,CF16&amp;" ("&amp;BJ16&amp;"х"&amp;BS16&amp;")",CF16),"")</f>
        <v/>
      </c>
      <c r="CH16" t="str">
        <f t="shared" si="18"/>
        <v/>
      </c>
      <c r="CI16" t="str">
        <f>IFERROR(2*ρкз_Cu*BW16/BS16,"")</f>
        <v/>
      </c>
      <c r="CJ16" t="str">
        <f t="shared" si="19"/>
        <v/>
      </c>
      <c r="CK16" s="6" t="str">
        <f>IFERROR(IF(OR(D16="",NOT(ISNUMBER(BS16)),N(BW16)=0),"",_xlfn.XLOOKUP(A16,Щиты[Щит],Щиты[Zпетли на шинах, Ом])+CI16),"")</f>
        <v/>
      </c>
      <c r="CL16" s="6" t="str">
        <f>IF(ISNUMBER(CK16),c_min*(Uн_лин*1000/SQRT(3))/CK16,"")</f>
        <v/>
      </c>
      <c r="CM16" s="6" t="str">
        <f>IFERROR(IF(OR(D16="",NOT(ISNUMBER(BS16))),"",1.05*(Uн_лин*1000/SQRT(3))/(_xlfn.XLOOKUP(A16,Щиты[Щит],Щиты[Zmax на шинах, Ом])+CJ16)/1000),"")</f>
        <v/>
      </c>
      <c r="CN16" s="6" t="str">
        <f>IF(D16="","",IF(BA16&lt;&gt;"","Щит",IF(K16&lt;&gt;"",K16,IF(ISNUMBER(L16),"Сил",IF(IFERROR(_xlfn.XLOOKUP(AT16,Коды_код,Коды_группа)&amp;"","")="","Быт",_xlfn.XLOOKUP(AT16,Коды_код,Коды_группа)&amp;"")))))</f>
        <v/>
      </c>
      <c r="CO16" s="6" t="str">
        <f>IF(CN16="Щит","щит",IF(CN16="","",IF(CN16="Быт",IFERROR(_xlfn.XLOOKUP(A16,Щиты[Щит],Щиты[Кс быт]),1),IF(CN16="Сил",IF(ISNUMBER(L16),L16,IF(Методика="нормы 2026",IFERROR(_xlfn.XLOOKUP(A16,Щиты[Щит],Щиты[Кс силовых (табл. 7.5)]),1),1)),IF(OR(CN16="Пост",CN16="Отоп"),1,IF(CN16="ВНГ",0.7,0))))))</f>
        <v/>
      </c>
      <c r="CP16" t="str">
        <f t="shared" si="20"/>
        <v/>
      </c>
      <c r="CQ16">
        <f t="shared" si="21"/>
        <v>0</v>
      </c>
      <c r="CR16">
        <f t="shared" si="22"/>
        <v>0</v>
      </c>
      <c r="CS16">
        <f t="shared" si="23"/>
        <v>0</v>
      </c>
      <c r="CT16">
        <f t="shared" si="24"/>
        <v>0</v>
      </c>
      <c r="CU16">
        <f t="shared" si="25"/>
        <v>0</v>
      </c>
      <c r="CV16">
        <f t="shared" si="26"/>
        <v>0</v>
      </c>
      <c r="CW16">
        <f t="shared" si="27"/>
        <v>0</v>
      </c>
      <c r="CX16">
        <f t="shared" si="28"/>
        <v>0</v>
      </c>
      <c r="CY16">
        <f t="shared" si="29"/>
        <v>0</v>
      </c>
      <c r="CZ16" t="str">
        <f t="shared" si="30"/>
        <v/>
      </c>
      <c r="DA16" cm="1">
        <f t="array" ref="DA16">IFERROR(IF(BL16=2,_xlfn.IFS(BH16=3,VLOOKUP(BF16,Справочная_двигатели,3,FALSE),BH16=1,VLOOKUP(BF16,Справочная_двигатели,5,TRUE)),0),0)</f>
        <v>0</v>
      </c>
      <c r="DB16">
        <f>IFERROR(IF(BL16=3,VLOOKUP(BF16,Справочная_ЛЭД,2,TRUE),0),0)</f>
        <v>0</v>
      </c>
      <c r="DC16" s="6" t="str">
        <f t="shared" si="31"/>
        <v/>
      </c>
      <c r="DD16" t="str">
        <f t="shared" si="32"/>
        <v/>
      </c>
      <c r="DE16" t="str" cm="1">
        <f t="array" ref="DE16">IF(D16="","",IFERROR(INDEX({"I особая","I","II","III"},MATCH(TRIM(AA16&amp;""),{"I особая","I","II","III"},0)),"III"))</f>
        <v/>
      </c>
      <c r="DF16" t="str">
        <f>IF(D16="","",IF(TRIM(AB16&amp;"")&lt;&gt;"",IF(LOWER(TRIM(AB16&amp;""))="да","да","нет"),IF(IFERROR(_xlfn.XLOOKUP(AT16,Коды_код,Коды_пожарная),"")="да","да","нет")))</f>
        <v/>
      </c>
      <c r="DG16" t="str">
        <f t="shared" si="33"/>
        <v/>
      </c>
      <c r="DH16" t="str">
        <f t="shared" si="34"/>
        <v/>
      </c>
      <c r="DI16">
        <f t="shared" si="35"/>
        <v>1</v>
      </c>
      <c r="DJ16" t="str" cm="1">
        <f t="array" ref="DJ16">IF(D16="","",_xlfn.LET(_xlpm.t,IFERROR(_xlfn.XLOOKUP(1,(Шины[Шина]=DH16)*(((Шины[Щит]=A16)+(Шины[Щит]=""))&gt;0),Шины[Тип]),"")&amp;"",IF(_xlpm.t&lt;&gt;"",_xlpm.t,IF(ISNUMBER(SEARCH("ИБП",DH16)),"ИБП",IF(ISNUMBER(SEARCH("ДГУ",DH16)),"ДГУ","Ввод "&amp;DI16)))))</f>
        <v/>
      </c>
      <c r="DK16" t="str">
        <f t="shared" si="36"/>
        <v/>
      </c>
      <c r="DL16" t="str">
        <f>IF(D16="","",IF(OR(DJ16="ИБП",DJ16="ДГУ"),"I особая",IF(DJ16="Одиночная","III",_xlfn.XLOOKUP(A16,Щиты[Щит],Щиты[Категория шины «Ввод»],"III"))))</f>
        <v/>
      </c>
      <c r="DM16">
        <f>IF(D16="",0,IFERROR(MATCH(DE16,{"III","II","I","I особая"},0),1))</f>
        <v>0</v>
      </c>
      <c r="DN16">
        <f t="shared" si="37"/>
        <v>0</v>
      </c>
      <c r="DO16" t="str">
        <f>IF(D16="","",IF(DM16&gt;IFERROR(MATCH(DL16,{"III","II","I","I особая"},0),1),"НЕ ОБЕСПЕЧЕНА","ОК"))</f>
        <v/>
      </c>
      <c r="DP16" t="str">
        <f>IF(A16="","",_xlfn.XLOOKUP(A16,Щиты[Щит],Щиты[Путь],""))</f>
        <v>|ЩР|</v>
      </c>
      <c r="DQ16" t="str">
        <f>IF(D16="","",IF(Z16&lt;&gt;"",Z16,IF(IFERROR(_xlfn.XLOOKUP(AT16,Коды_код,Коды_вид)&amp;"","")="","Прочее",_xlfn.XLOOKUP(AT16,Коды_код,Коды_вид)&amp;"")))</f>
        <v/>
      </c>
      <c r="DR16">
        <f>IF(BD16="","",INT((BD16-1)/Столбцов_на_лист)+1)</f>
        <v>1</v>
      </c>
      <c r="DS16" t="str">
        <f t="shared" si="38"/>
        <v/>
      </c>
      <c r="DT16" t="str">
        <f t="shared" si="39"/>
        <v/>
      </c>
      <c r="DU16" t="str">
        <f t="shared" si="40"/>
        <v/>
      </c>
      <c r="DV16" t="str">
        <f t="shared" si="41"/>
        <v/>
      </c>
      <c r="DW16">
        <f>IF(AT16="",0,_xlfn.LET(_xlpm.v,IFERROR(VLOOKUP(D16,УГО_спр,3,FALSE),IFERROR(VLOOKUP(AT16,УГО_спр,3,FALSE),IFERROR(VLOOKUP(LEFT(AT16,2),УГО_спр,3,FALSE),""))),IF(_xlpm.v="да",30,IF(ISNUMBER(_xlpm.v),_xlpm.v,0))))</f>
        <v>0</v>
      </c>
      <c r="DX16">
        <f t="shared" si="42"/>
        <v>0</v>
      </c>
      <c r="DY16" t="str">
        <f>IF(BD16="","",IF(AD16&lt;&gt;"",COUNTIFS(A$3:A16,A16,AD$3:AD16,"?*"),IF(OR(OR(AS16=1,A16&lt;&gt;A15),AL16="вручную"),"",IF(AS16=1,"",DZ15))))</f>
        <v/>
      </c>
      <c r="DZ16" t="str">
        <f t="shared" si="43"/>
        <v/>
      </c>
      <c r="EA16">
        <f>IF(D16="",0,MAX(IFERROR(--X16,0),IFERROR(--VLOOKUP(D16,УГО_спр,4,FALSE),IFERROR(--VLOOKUP(AT16,УГО_спр,4,FALSE),IFERROR(--VLOOKUP(LEFT(AT16,2),УГО_спр,4,FALSE),0)))))</f>
        <v>0</v>
      </c>
      <c r="EB16" t="str">
        <f>IF(D16="","",IFERROR(LOOKUP(INDEX(CHOOSE(BR16,Iдоп_1ж,Iдоп_2ж,Iдоп_3ж),MATCH(BS16,Iдоп_S,0))*BP16*BQ16,{6,10,16,20,25,32,40,50,63,80,100,125,160,200,250,315,400,500,630}),""))</f>
        <v/>
      </c>
      <c r="EC16" t="str">
        <f>IF(AD16="","",SUMIFS(Линии[_Ток схемы],Линии[_гр.],DY16,Линии[Щит],A16,Линии[_в кабель выше],0))</f>
        <v/>
      </c>
      <c r="ED16" t="str">
        <f>IF(AD16="","",IFERROR(VLOOKUP(EC16,Автомат_номиналы,2,TRUE),""))</f>
        <v/>
      </c>
      <c r="EE16" t="str">
        <f>IF(AD16="","",MAX(N(ED16),_xlfn.MAXIFS(Линии[_мин. по типу],Линии[_гр.],DY16,Линии[Щит],A16)))</f>
        <v/>
      </c>
      <c r="EF16" t="str">
        <f>IF(AD16="","",_xlfn.MINIFS(Линии[_макс. автомат по кабелю],Линии[_гр.],DY16,Линии[Щит],A16))</f>
        <v/>
      </c>
      <c r="EG16" t="str">
        <f>IF(AD16="","",MAX(1,_xlfn.MAXIFS(Линии[_фаз],Линии[_гр.],DY16,Линии[Щит],A16)))</f>
        <v/>
      </c>
      <c r="EH16" t="str">
        <f>IF(AD16="","",IF(AND(AD16&lt;&gt;"авто",AD16&lt;&gt;"+"),IF(ISNUMBER(SEARCH("мА",AD16)),IFERROR(--TRIM(RIGHT(SUBSTITUTE(LEFT(AD16,SEARCH("мА",AD16)-1)," ",REPT(" ",9)),6)),30),0),IF(AE16="нет",0,IF(ISNUMBER(AE16),AE16,IF(AE16="да",30,_xlfn.MINIFS(Линии[_дифзащита по коду, мА],Линии[_гр.],DY16,Линии[Щит],A16,Линии[_дифзащита по коду, мА],"&gt;0"))))))</f>
        <v/>
      </c>
      <c r="EI16" t="str">
        <f t="shared" si="44"/>
        <v/>
      </c>
      <c r="EJ16" t="str">
        <f t="shared" si="45"/>
        <v/>
      </c>
      <c r="EK16" t="str">
        <f t="shared" si="46"/>
        <v/>
      </c>
      <c r="EL16" t="str">
        <f t="shared" si="47"/>
        <v/>
      </c>
      <c r="EM16">
        <f t="shared" si="48"/>
        <v>0</v>
      </c>
      <c r="EN16" t="str">
        <f>IF(AD16="","",IF(EM16=1,MAX(EE16,Мин_автомат_БП),EE16))</f>
        <v/>
      </c>
      <c r="EO16" t="str">
        <f t="shared" si="49"/>
        <v/>
      </c>
      <c r="EP16" t="str">
        <f t="shared" si="50"/>
        <v/>
      </c>
      <c r="EQ16" t="str">
        <f t="shared" si="51"/>
        <v/>
      </c>
      <c r="ER16" t="str">
        <f>IF(OR(AI16="",AI16="-"),"",IFERROR(VLOOKUP(AI16,Модули_спр,2,FALSE),"R"))</f>
        <v/>
      </c>
      <c r="ES16" t="str">
        <f>IF(ER16="","",ER16&amp;"."&amp;COUNTIFS(A$3:A16,A16,ER$3:ER16,ER16))</f>
        <v/>
      </c>
      <c r="ET16" t="str">
        <f t="shared" si="52"/>
        <v/>
      </c>
      <c r="EU16" t="str">
        <f t="shared" si="53"/>
        <v/>
      </c>
      <c r="EV16" t="str">
        <f t="shared" si="54"/>
        <v/>
      </c>
      <c r="EW16" t="str">
        <f t="shared" si="55"/>
        <v/>
      </c>
      <c r="EX16">
        <f t="shared" si="56"/>
        <v>0</v>
      </c>
      <c r="EY16" t="str">
        <f>IF(AK16="нет","",IF(AK16&lt;&gt;"",AK16,IF(EX16=1,"XT"&amp;COUNTIFS(A$3:A16,A16,EX$3:EX16,1),"")))</f>
        <v/>
      </c>
      <c r="EZ16" t="str">
        <f t="shared" si="57"/>
        <v/>
      </c>
      <c r="FA16" t="str">
        <f t="shared" si="58"/>
        <v/>
      </c>
      <c r="FB16" t="str">
        <f t="shared" si="59"/>
        <v/>
      </c>
      <c r="FC16" t="str">
        <f>IF(OR(EV16="",ET16=""),"",IF(EV16&gt;IFERROR(VLOOKUP(EU16,Модули_спр,3,FALSE),99),"ЛИШНИЙ КАНАЛ",IF(AND(AJ16&lt;&gt;"=",COUNTIFS(Линии[_модуль гр.],ET16,Линии[Канал (итог)],EV16,Линии[Канал],"&lt;&gt;=",Линии[Щит],A16)&gt;1),"ДУБЛЬ КАНАЛА","")))</f>
        <v/>
      </c>
      <c r="FD16" t="str">
        <f t="shared" si="60"/>
        <v/>
      </c>
      <c r="FE16" t="str">
        <f t="shared" si="61"/>
        <v/>
      </c>
      <c r="FF16" t="str">
        <f t="shared" si="62"/>
        <v/>
      </c>
      <c r="FG16" t="str">
        <f t="shared" si="63"/>
        <v/>
      </c>
      <c r="FH16" s="6" t="str">
        <f t="shared" si="64"/>
        <v/>
      </c>
      <c r="FI16">
        <f t="shared" si="65"/>
        <v>10</v>
      </c>
      <c r="FJ16" t="str">
        <f t="shared" si="66"/>
        <v/>
      </c>
      <c r="FK16" t="str">
        <f>IF(AND(D16="",EZ16=""),"",_xlfn.TEXTJOIN("; ",TRUE,IF(AND(D16&lt;&gt;"",DD16=""),"нет фазы",""),IF(AND(D16&lt;&gt;"",N(DT16)=0,CN16&lt;&gt;"Нет"),"нет мощности",""),IF(AND(EY16&lt;&gt;"",COUNTIFS(Линии[Щит],A16,Линии[Клемма (итог)],EY16)&gt;1),"дубль клеммы "&amp;EY16,""),IF(AND(FB16&lt;&gt;"",FB16&lt;&gt;"ok"),FB16,""),IF(FC16&lt;&gt;"",FC16,""),IF(AND(ISNUMBER(SEARCH("(5х",DS16)),N(DV16)=1),"5 жил на 1 фазе",""),IF(AND(AT16="R",AD16&lt;&gt;"",OR(N(EH16)=0,N(EH16)&gt;30)),"розетка без дифзащиты до 30 мА",""),IFERROR(IF(AND(ISNUMBER(CD16),CD16&gt;CE16),"потери "&amp;FIXED(CD16,1)&amp;" % &gt; "&amp;CE16&amp;" %",""),""),IFERROR(IF(LEFT(FJ16,4)="мало","Iкз мало — отключение &gt; 0,4 с",""),""),IF(AND(D16&lt;&gt;"",BD16=""),"не на схеме","")))</f>
        <v/>
      </c>
      <c r="FL16" s="6" t="str">
        <f>IF(AD16="","",_xlfn.LET(_xlpm.t,IFERROR(_xlfn.XLOOKUP(EP16,Каталог!$U$4:$U$500,Каталог!$G$4:$G$500),""),_xlpm.k,SEARCH("кА",_xlpm.t),IFERROR(--TRIM(RIGHT(SUBSTITUTE(MID(_xlpm.t,MAX(1,_xlpm.k-4),_xlpm.k-MAX(1,_xlpm.k-4))," ",REPT(" ",9)),5)),"")))</f>
        <v/>
      </c>
      <c r="FM16" t="str">
        <f>IF(OR(FL16="",AD16=""),"",IF(_xlfn.XLOOKUP(A16,Щиты[Щит],Щиты[Iкз max на шинах, кА],"")="","",IF(FL16&lt;_xlfn.XLOOKUP(A16,Щиты[Щит],Щиты[Iкз max на шинах, кА]),"Icu "&amp;FL16&amp;" кА &lt; Iкз max","ok")))</f>
        <v/>
      </c>
      <c r="FN16" t="str">
        <f t="shared" si="67"/>
        <v/>
      </c>
      <c r="FO16" t="str">
        <f t="shared" si="68"/>
        <v/>
      </c>
      <c r="FP16" t="str" cm="1">
        <f t="array" ref="FP16">IF(FO16="","",_xlfn.LET(_xlpm.nd,_xlfn.TEXTSPLIT(FO16,"|"),IF(COLUMNS(_xlpm.nd)&gt;1,A16&amp;"¦"&amp;INDEX(_xlpm.nd,1)&amp;"¦"&amp;INDEX(_xlpm.nd,2),"")))</f>
        <v/>
      </c>
      <c r="FQ16" t="str">
        <f t="shared" si="69"/>
        <v/>
      </c>
      <c r="FR16" t="str" cm="1">
        <f t="array" ref="FR16">IF(FO16="","",_xlfn.LET(_xlpm.nd,_xlfn.TEXTSPLIT(FO16,"|"),IF(COLUMNS(_xlpm.nd)&gt;2,A16&amp;"¦"&amp;INDEX(_xlpm.nd,2)&amp;"¦"&amp;INDEX(_xlpm.nd,3),"")))</f>
        <v/>
      </c>
      <c r="FS16" t="str">
        <f t="shared" si="70"/>
        <v/>
      </c>
      <c r="FT16" t="str" cm="1">
        <f t="array" ref="FT16">IF(FO16="","",_xlfn.LET(_xlpm.nd,_xlfn.TEXTSPLIT(FO16,"|"),IF(COLUMNS(_xlpm.nd)&gt;3,A16&amp;"¦"&amp;INDEX(_xlpm.nd,3)&amp;"¦"&amp;INDEX(_xlpm.nd,4),"")))</f>
        <v/>
      </c>
      <c r="FU16" t="str">
        <f t="shared" si="71"/>
        <v/>
      </c>
      <c r="FV16" t="str" cm="1">
        <f t="array" ref="FV16">IF(FO16="","",_xlfn.LET(_xlpm.nd,_xlfn.TEXTSPLIT(FO16,"|"),IF(COLUMNS(_xlpm.nd)&gt;4,A16&amp;"¦"&amp;INDEX(_xlpm.nd,4)&amp;"¦"&amp;INDEX(_xlpm.nd,5),"")))</f>
        <v/>
      </c>
      <c r="FW16" t="str">
        <f t="shared" si="72"/>
        <v/>
      </c>
      <c r="FX16" t="str" cm="1">
        <f t="array" ref="FX16">IF(FO16="","",_xlfn.LET(_xlpm.nd,_xlfn.TEXTSPLIT(FO16,"|"),IF(COLUMNS(_xlpm.nd)&gt;5,A16&amp;"¦"&amp;INDEX(_xlpm.nd,5)&amp;"¦"&amp;INDEX(_xlpm.nd,6),"")))</f>
        <v/>
      </c>
      <c r="FY16" t="str">
        <f t="shared" si="73"/>
        <v/>
      </c>
      <c r="FZ16" t="str" cm="1">
        <f t="array" ref="FZ16">IF(FO16="","",_xlfn.LET(_xlpm.nd,_xlfn.TEXTSPLIT(FO16,"|"),IF(COLUMNS(_xlpm.nd)&gt;6,A16&amp;"¦"&amp;INDEX(_xlpm.nd,6)&amp;"¦"&amp;INDEX(_xlpm.nd,7),"")))</f>
        <v/>
      </c>
      <c r="GA16" t="str">
        <f t="shared" si="74"/>
        <v/>
      </c>
      <c r="GB16" t="str">
        <f t="shared" si="75"/>
        <v/>
      </c>
      <c r="GC16" t="str">
        <f t="shared" si="76"/>
        <v/>
      </c>
      <c r="GD16">
        <f t="shared" si="77"/>
        <v>0</v>
      </c>
      <c r="GE16">
        <f t="shared" si="78"/>
        <v>0</v>
      </c>
      <c r="GF16">
        <f t="shared" si="79"/>
        <v>0</v>
      </c>
      <c r="GG16" t="str">
        <f t="shared" si="80"/>
        <v/>
      </c>
      <c r="GH16" t="str">
        <f t="shared" si="81"/>
        <v/>
      </c>
      <c r="GI16" t="str">
        <f t="shared" si="82"/>
        <v/>
      </c>
      <c r="GJ16" t="str">
        <f t="shared" si="83"/>
        <v/>
      </c>
      <c r="GK16" t="str">
        <f>IF(D16="","",IFERROR(VLOOKUP(D16,УГО_спр,2,FALSE),IFERROR(VLOOKUP(AT16,УГО_спр,2,FALSE),IFERROR(VLOOKUP(LEFT(AT16,2),УГО_спр,2,FALSE),""))))</f>
        <v/>
      </c>
      <c r="GL16" t="str">
        <f>IF(D16="","",IF(OR(GK16="",GK16=0),"BOX",IFERROR(IF(VLOOKUP(GK16,УГО_блоки,3,FALSE)&amp;""&lt;&gt;"",VLOOKUP(GK16,УГО_блоки,3,FALSE),VLOOKUP(GK16,УГО_блоки,2,FALSE)),GK16)))</f>
        <v/>
      </c>
      <c r="GM16">
        <f t="shared" si="84"/>
        <v>0</v>
      </c>
      <c r="GN16" t="str">
        <f>IF(EP16="","",IF(COUNTIF(EP$3:EP16,EP16)=1,MAX(GN$2:GN15)+1,""))</f>
        <v/>
      </c>
      <c r="GO16" t="str">
        <f>IF(AF16="","",IF(COUNTIF(AF$3:AF16,AF16)+COUNTIF(AG$2:AG15,AF16)+COUNTIF(AH$2:AH15,AF16)=1,MAX(GO$2:GQ15)+1,""))</f>
        <v/>
      </c>
      <c r="GP16" t="str">
        <f>IF(AG16="","",IF(COUNTIF(AF$3:AF16,AG16)+COUNTIF(AG$3:AG16,AG16)+COUNTIF(AH$2:AH15,AG16)=1,MAX(GO$2:GQ15,GO16)+1,""))</f>
        <v/>
      </c>
      <c r="GQ16" t="str">
        <f>IF(AH16="","",IF(COUNTIF(AF$3:AF16,AH16)+COUNTIF(AG$3:AG16,AH16)+COUNTIF(AH$3:AH16,AH16)=1,MAX(GO$2:GQ15,GO16,GP16)+1,""))</f>
        <v/>
      </c>
      <c r="GR16" t="str">
        <f t="shared" si="85"/>
        <v/>
      </c>
      <c r="GS16" t="str">
        <f>IF(GR16="","",IF(COUNTIF(GR$3:GR16,GR16)=1,MAX(GS$2:GS15)+1,""))</f>
        <v/>
      </c>
      <c r="GT16" t="str">
        <f>IF(ES16="","",COUNTIF(ES$3:ES16,"?*"))</f>
        <v/>
      </c>
      <c r="GU16" t="str">
        <f>IF(OR(ES16="",EU16=""),"",IF(COUNTIFS(ES$3:ES16,"?*",EU$3:EU16,EU16)=1,MAX(GU$2:GU15)+1,""))</f>
        <v/>
      </c>
      <c r="GV16">
        <f t="shared" si="86"/>
        <v>0</v>
      </c>
      <c r="GW16" t="str">
        <f>IF(D16="","",COUNTIF(D$3:D16,"?*"))</f>
        <v/>
      </c>
      <c r="GX16">
        <f>IF(EX16&lt;&gt;1,0,_xlfn.LET(_xlpm.k,MAX(IFERROR(--VLOOKUP(D16,УГО_спр,5,FALSE),0),IFERROR(--VLOOKUP(AT16,УГО_спр,5,FALSE),0),IFERROR(--VLOOKUP(LEFT(AT16,2),УГО_спр,5,FALSE),0)),IF(_xlpm.k&gt;0,_xlpm.k,IF(IFERROR(--LEFT(SUBSTITUTE(GR16,"x","х"),FIND("х",SUBSTITUTE(GR16,"x","х"))-1),3)&gt;3,Каталог!$S$9,1))))</f>
        <v>0</v>
      </c>
      <c r="GY16">
        <f t="shared" si="87"/>
        <v>0</v>
      </c>
    </row>
    <row r="17" spans="1:207" x14ac:dyDescent="0.3">
      <c r="A17" t="s">
        <v>206</v>
      </c>
      <c r="B17">
        <v>15</v>
      </c>
      <c r="C17" t="str">
        <f>IF(BD17="","",IF(BE17="вводной узел","узел ","")&amp;"л."&amp;(INT((BD17-1)/Столбцов_на_лист)+1)&amp;" / "&amp;(MOD(BD17-1,Столбцов_на_лист)+1))</f>
        <v>узел л.1 / 15</v>
      </c>
      <c r="E17" s="133" t="str">
        <f t="shared" si="0"/>
        <v/>
      </c>
      <c r="AL17" t="s">
        <v>559</v>
      </c>
      <c r="AR17" t="str">
        <f t="shared" si="1"/>
        <v/>
      </c>
      <c r="AS17" cm="1">
        <f t="array" ref="AS17">ROW()-ROW(Линии[#Headers])</f>
        <v>15</v>
      </c>
      <c r="AT17" s="6" t="str">
        <f t="shared" si="2"/>
        <v/>
      </c>
      <c r="AU17" t="str">
        <f t="shared" si="3"/>
        <v/>
      </c>
      <c r="AV17" t="str">
        <f t="shared" si="4"/>
        <v/>
      </c>
      <c r="AW17" t="str">
        <f t="shared" si="5"/>
        <v/>
      </c>
      <c r="AX17" t="str">
        <f t="shared" si="6"/>
        <v/>
      </c>
      <c r="AY17" t="str">
        <f>IF(D17="","",IF(ISERROR(SEARCH(".",D17)),IFERROR(VLOOKUP(D17,Потребители_обозначение,2,FALSE)&amp;"",""),IFERROR(IF(VLOOKUP(AT17,Потребители_обозначение,4,FALSE)=1,VLOOKUP(AT17,Потребители_обозначение,2,FALSE)&amp;" "&amp;VLOOKUP(AV17,Этаж_обозначение,2,FALSE)&amp;" Пом. №"&amp;AX17,VLOOKUP(AT17,Потребители_обозначение,2,FALSE)&amp;" Шлейф №"&amp;AV17),IFERROR(VLOOKUP(D17,Потребители_обозначение,2,FALSE),""))))</f>
        <v/>
      </c>
      <c r="AZ17" t="str">
        <f t="shared" si="7"/>
        <v/>
      </c>
      <c r="BA17" t="str">
        <f>IF(F17&lt;&gt;"",F17,IF(AND(D17&lt;&gt;"",D17&lt;&gt;A17,ISNUMBER(_xlfn.XMATCH(D17,Щиты[Щит]))),D17,""))</f>
        <v/>
      </c>
      <c r="BB17">
        <f>IFERROR(_xlfn.XMATCH(A17,Щиты[Щит]),0)</f>
        <v>1</v>
      </c>
      <c r="BC17">
        <f>IFERROR(N(_xlfn.XLOOKUP(A17,Щиты[Щит],Щиты[Мест под вводной узел])),15)</f>
        <v>18</v>
      </c>
      <c r="BD17">
        <f t="shared" si="8"/>
        <v>15</v>
      </c>
      <c r="BE17" t="str">
        <f t="shared" si="9"/>
        <v>вводной узел</v>
      </c>
      <c r="BF17" s="6" t="str">
        <f>IF(D17="","",IF(BA17&lt;&gt;"",IFERROR(_xlfn.XLOOKUP(BA17,Щиты[Щит],Щиты[Руст, кВт]),0),N(G17)))</f>
        <v/>
      </c>
      <c r="BG17" t="str">
        <f>IF(J17&lt;&gt;"",J17,IF(D17="","",IFERROR(IF(VLOOKUP(AT17,Потребители_обозначение,8,FALSE)=0,"",VLOOKUP(AT17,Потребители_обозначение,8,FALSE)),"")))</f>
        <v/>
      </c>
      <c r="BH17" t="str">
        <f>IF(I17&lt;&gt;"",I17,IF(D17="","",IFERROR(IF(VLOOKUP(AT17,Потребители_обозначение,9,FALSE)=0,"",VLOOKUP(AT17,Потребители_обозначение,9,FALSE)),"")))</f>
        <v/>
      </c>
      <c r="BI17" t="str">
        <f>IF(U17&lt;&gt;"",U17,IF(D17="","",IFERROR(IF(VLOOKUP(AT17,Потребители_обозначение,6,FALSE)=0,"",VLOOKUP(AT17,Потребители_обозначение,6,FALSE)),"")))</f>
        <v/>
      </c>
      <c r="BJ17" t="str">
        <f>IF(V17&lt;&gt;"",V17,IF(D17="","",IFERROR(IF(VLOOKUP(AT17,Потребители_обозначение,7,FALSE)=0,"",VLOOKUP(AT17,Потребители_обозначение,7,FALSE)),"")))</f>
        <v/>
      </c>
      <c r="BK17" t="str">
        <f>IF(W17&lt;&gt;"",W17,IF(D17="","",IFERROR(IF(VLOOKUP(AT17,Потребители_обозначение,10,FALSE)=0,"",VLOOKUP(AT17,Потребители_обозначение,10,FALSE)),"")))</f>
        <v/>
      </c>
      <c r="BL17">
        <f>IFERROR(VLOOKUP(AT17,Потребители_обозначение,5,FALSE),0)</f>
        <v>0</v>
      </c>
      <c r="BM17" s="6" t="str" cm="1">
        <f t="array" ref="BM17">IF(D17="","",IF(BA17&lt;&gt;"",IFERROR(_xlfn.XLOOKUP(BA17,Щиты[Щит],Щиты[cos φ]),0.95),IF(ISNUMBER(M17),M17,IFERROR(IF(BL17=2,_xlfn.IFS(BH17=3,VLOOKUP(BF17,Справочная_двигатели,8,FALSE),BH17=1,VLOOKUP(BF17,Справочная_двигатели,10,TRUE)),IF(AND(Методика="нормы 2026",CN17="Сил"),0.8,0.95)),0.95))))</f>
        <v/>
      </c>
      <c r="BN17" s="6" t="str" cm="1">
        <f t="array" ref="BN17">IF(D17="","",IF(BA17&lt;&gt;"",IFERROR(_xlfn.XLOOKUP(BA17,Щиты[Щит],Щиты[Iр, А]),""),IFERROR(_xlfn.IFS(BH17=1,BF17/((Uн_лин/SQRT(3))*BM17),BH17=3,BF17/(SQRT(3)*Uн_лин*BM17)),"")))</f>
        <v/>
      </c>
      <c r="BO17" t="str">
        <f>IF(D17="","",IF(N(X17)=0,IFERROR(VLOOKUP(BN17,Автомат_номиналы,2,TRUE),""),X17))</f>
        <v/>
      </c>
      <c r="BP17">
        <f t="shared" si="10"/>
        <v>1</v>
      </c>
      <c r="BQ17">
        <f>IF(ISNUMBER(Y17),Y17,К_прокл)</f>
        <v>1</v>
      </c>
      <c r="BR17">
        <f t="shared" si="11"/>
        <v>3</v>
      </c>
      <c r="BS17" t="str" cm="1">
        <f t="array" ref="BS17">IF(D17="","",IF(N(BK17)&lt;&gt;0,BK17,IFERROR(_xlfn.LET(_xlpm.need,BO17/(BP17*BQ17),_xlpm.t,CHOOSE(BR17,Iдоп_1ж,Iдоп_2ж,Iдоп_3ж),_xlpm.k,_xlfn.XMATCH(_xlpm.need,_xlpm.t,1),IF(ISNA(_xlpm.k),"Не исп",INDEX(Iдоп_S,_xlpm.k))),"Не исп")))</f>
        <v/>
      </c>
      <c r="BT17" t="str">
        <f>IFERROR(VLOOKUP(BS17,Кабель_сопротивление,3,FALSE),"")</f>
        <v/>
      </c>
      <c r="BU17" t="str">
        <f>IFERROR(VLOOKUP(BS17,Кабель_сопротивление,2,FALSE),"")</f>
        <v/>
      </c>
      <c r="BV17" t="str">
        <f t="shared" si="12"/>
        <v/>
      </c>
      <c r="BW17" s="6" t="str">
        <f>IF(D17="","",IFERROR(IF(VLOOKUP(AT17,Потребители_обозначение,4,FALSE)=1,VLOOKUP(AT17,Потребители_обозначение,3,FALSE)*(H17*2-1)+BV17+VLOOKUP(AV17,Этаж_обозначение,3,FALSE)+VLOOKUP(AV17,Этаж_обозначение,4,FALSE),VLOOKUP(AT17,Потребители_обозначение,3,FALSE)*(H17*2-1)+BV17),BV17))</f>
        <v/>
      </c>
      <c r="BX17" t="str">
        <f t="shared" si="13"/>
        <v/>
      </c>
      <c r="BY17" t="str">
        <f t="shared" si="14"/>
        <v/>
      </c>
      <c r="BZ17" t="str">
        <f t="shared" si="15"/>
        <v/>
      </c>
      <c r="CA17" t="str">
        <f t="shared" si="16"/>
        <v/>
      </c>
      <c r="CB17" t="str">
        <f t="shared" si="17"/>
        <v/>
      </c>
      <c r="CC17" s="6" t="str">
        <f>IFERROR(ROUNDUP(CB17/((Uн_лин/SQRT(3))*1000)*100,2),"")</f>
        <v/>
      </c>
      <c r="CD17" s="6" t="str">
        <f>IF(ISNUMBER(CC17),CC17+IFERROR(_xlfn.XLOOKUP(A17,Щиты[Щит],Щиты[ΔU до шин, %]),0),"")</f>
        <v/>
      </c>
      <c r="CE17" s="6" t="str">
        <f>IF(D17="","",IF(IFERROR(VLOOKUP(AT17,УГО_спр,2,FALSE),"")="Светильник",3,4)+IF(Методика="нормы 2026",MIN(0.5,MAX(0,N(BW17)-100)*0.005),0))</f>
        <v/>
      </c>
      <c r="CF17" t="str">
        <f>IFERROR(VLOOKUP(BI17,Кабель_обозначение,2,FALSE),"")</f>
        <v/>
      </c>
      <c r="CG17" t="str">
        <f>IFERROR(IF(VLOOKUP(BI17,Кабель_обозначение,3,FALSE)=1,CF17&amp;" ("&amp;BJ17&amp;"х"&amp;BS17&amp;")",CF17),"")</f>
        <v/>
      </c>
      <c r="CH17" t="str">
        <f t="shared" si="18"/>
        <v/>
      </c>
      <c r="CI17" t="str">
        <f>IFERROR(2*ρкз_Cu*BW17/BS17,"")</f>
        <v/>
      </c>
      <c r="CJ17" t="str">
        <f t="shared" si="19"/>
        <v/>
      </c>
      <c r="CK17" s="6" t="str">
        <f>IFERROR(IF(OR(D17="",NOT(ISNUMBER(BS17)),N(BW17)=0),"",_xlfn.XLOOKUP(A17,Щиты[Щит],Щиты[Zпетли на шинах, Ом])+CI17),"")</f>
        <v/>
      </c>
      <c r="CL17" s="6" t="str">
        <f>IF(ISNUMBER(CK17),c_min*(Uн_лин*1000/SQRT(3))/CK17,"")</f>
        <v/>
      </c>
      <c r="CM17" s="6" t="str">
        <f>IFERROR(IF(OR(D17="",NOT(ISNUMBER(BS17))),"",1.05*(Uн_лин*1000/SQRT(3))/(_xlfn.XLOOKUP(A17,Щиты[Щит],Щиты[Zmax на шинах, Ом])+CJ17)/1000),"")</f>
        <v/>
      </c>
      <c r="CN17" s="6" t="str">
        <f>IF(D17="","",IF(BA17&lt;&gt;"","Щит",IF(K17&lt;&gt;"",K17,IF(ISNUMBER(L17),"Сил",IF(IFERROR(_xlfn.XLOOKUP(AT17,Коды_код,Коды_группа)&amp;"","")="","Быт",_xlfn.XLOOKUP(AT17,Коды_код,Коды_группа)&amp;"")))))</f>
        <v/>
      </c>
      <c r="CO17" s="6" t="str">
        <f>IF(CN17="Щит","щит",IF(CN17="","",IF(CN17="Быт",IFERROR(_xlfn.XLOOKUP(A17,Щиты[Щит],Щиты[Кс быт]),1),IF(CN17="Сил",IF(ISNUMBER(L17),L17,IF(Методика="нормы 2026",IFERROR(_xlfn.XLOOKUP(A17,Щиты[Щит],Щиты[Кс силовых (табл. 7.5)]),1),1)),IF(OR(CN17="Пост",CN17="Отоп"),1,IF(CN17="ВНГ",0.7,0))))))</f>
        <v/>
      </c>
      <c r="CP17" t="str">
        <f t="shared" si="20"/>
        <v/>
      </c>
      <c r="CQ17">
        <f t="shared" si="21"/>
        <v>0</v>
      </c>
      <c r="CR17">
        <f t="shared" si="22"/>
        <v>0</v>
      </c>
      <c r="CS17">
        <f t="shared" si="23"/>
        <v>0</v>
      </c>
      <c r="CT17">
        <f t="shared" si="24"/>
        <v>0</v>
      </c>
      <c r="CU17">
        <f t="shared" si="25"/>
        <v>0</v>
      </c>
      <c r="CV17">
        <f t="shared" si="26"/>
        <v>0</v>
      </c>
      <c r="CW17">
        <f t="shared" si="27"/>
        <v>0</v>
      </c>
      <c r="CX17">
        <f t="shared" si="28"/>
        <v>0</v>
      </c>
      <c r="CY17">
        <f t="shared" si="29"/>
        <v>0</v>
      </c>
      <c r="CZ17" t="str">
        <f t="shared" si="30"/>
        <v/>
      </c>
      <c r="DA17" cm="1">
        <f t="array" ref="DA17">IFERROR(IF(BL17=2,_xlfn.IFS(BH17=3,VLOOKUP(BF17,Справочная_двигатели,3,FALSE),BH17=1,VLOOKUP(BF17,Справочная_двигатели,5,TRUE)),0),0)</f>
        <v>0</v>
      </c>
      <c r="DB17">
        <f>IFERROR(IF(BL17=3,VLOOKUP(BF17,Справочная_ЛЭД,2,TRUE),0),0)</f>
        <v>0</v>
      </c>
      <c r="DC17" s="6" t="str">
        <f t="shared" si="31"/>
        <v/>
      </c>
      <c r="DD17" t="str">
        <f t="shared" si="32"/>
        <v/>
      </c>
      <c r="DE17" t="str" cm="1">
        <f t="array" ref="DE17">IF(D17="","",IFERROR(INDEX({"I особая","I","II","III"},MATCH(TRIM(AA17&amp;""),{"I особая","I","II","III"},0)),"III"))</f>
        <v/>
      </c>
      <c r="DF17" t="str">
        <f>IF(D17="","",IF(TRIM(AB17&amp;"")&lt;&gt;"",IF(LOWER(TRIM(AB17&amp;""))="да","да","нет"),IF(IFERROR(_xlfn.XLOOKUP(AT17,Коды_код,Коды_пожарная),"")="да","да","нет")))</f>
        <v/>
      </c>
      <c r="DG17" t="str">
        <f t="shared" si="33"/>
        <v/>
      </c>
      <c r="DH17" t="str">
        <f t="shared" si="34"/>
        <v/>
      </c>
      <c r="DI17">
        <f t="shared" si="35"/>
        <v>1</v>
      </c>
      <c r="DJ17" t="str" cm="1">
        <f t="array" ref="DJ17">IF(D17="","",_xlfn.LET(_xlpm.t,IFERROR(_xlfn.XLOOKUP(1,(Шины[Шина]=DH17)*(((Шины[Щит]=A17)+(Шины[Щит]=""))&gt;0),Шины[Тип]),"")&amp;"",IF(_xlpm.t&lt;&gt;"",_xlpm.t,IF(ISNUMBER(SEARCH("ИБП",DH17)),"ИБП",IF(ISNUMBER(SEARCH("ДГУ",DH17)),"ДГУ","Ввод "&amp;DI17)))))</f>
        <v/>
      </c>
      <c r="DK17" t="str">
        <f t="shared" si="36"/>
        <v/>
      </c>
      <c r="DL17" t="str">
        <f>IF(D17="","",IF(OR(DJ17="ИБП",DJ17="ДГУ"),"I особая",IF(DJ17="Одиночная","III",_xlfn.XLOOKUP(A17,Щиты[Щит],Щиты[Категория шины «Ввод»],"III"))))</f>
        <v/>
      </c>
      <c r="DM17">
        <f>IF(D17="",0,IFERROR(MATCH(DE17,{"III","II","I","I особая"},0),1))</f>
        <v>0</v>
      </c>
      <c r="DN17">
        <f t="shared" si="37"/>
        <v>0</v>
      </c>
      <c r="DO17" t="str">
        <f>IF(D17="","",IF(DM17&gt;IFERROR(MATCH(DL17,{"III","II","I","I особая"},0),1),"НЕ ОБЕСПЕЧЕНА","ОК"))</f>
        <v/>
      </c>
      <c r="DP17" t="str">
        <f>IF(A17="","",_xlfn.XLOOKUP(A17,Щиты[Щит],Щиты[Путь],""))</f>
        <v>|ЩР|</v>
      </c>
      <c r="DQ17" t="str">
        <f>IF(D17="","",IF(Z17&lt;&gt;"",Z17,IF(IFERROR(_xlfn.XLOOKUP(AT17,Коды_код,Коды_вид)&amp;"","")="","Прочее",_xlfn.XLOOKUP(AT17,Коды_код,Коды_вид)&amp;"")))</f>
        <v/>
      </c>
      <c r="DR17">
        <f>IF(BD17="","",INT((BD17-1)/Столбцов_на_лист)+1)</f>
        <v>1</v>
      </c>
      <c r="DS17" t="str">
        <f t="shared" si="38"/>
        <v/>
      </c>
      <c r="DT17" t="str">
        <f t="shared" si="39"/>
        <v/>
      </c>
      <c r="DU17" t="str">
        <f t="shared" si="40"/>
        <v/>
      </c>
      <c r="DV17" t="str">
        <f t="shared" si="41"/>
        <v/>
      </c>
      <c r="DW17">
        <f>IF(AT17="",0,_xlfn.LET(_xlpm.v,IFERROR(VLOOKUP(D17,УГО_спр,3,FALSE),IFERROR(VLOOKUP(AT17,УГО_спр,3,FALSE),IFERROR(VLOOKUP(LEFT(AT17,2),УГО_спр,3,FALSE),""))),IF(_xlpm.v="да",30,IF(ISNUMBER(_xlpm.v),_xlpm.v,0))))</f>
        <v>0</v>
      </c>
      <c r="DX17">
        <f t="shared" si="42"/>
        <v>0</v>
      </c>
      <c r="DY17" t="str">
        <f>IF(BD17="","",IF(AD17&lt;&gt;"",COUNTIFS(A$3:A17,A17,AD$3:AD17,"?*"),IF(OR(OR(AS17=1,A17&lt;&gt;A16),AL17="вручную"),"",IF(AS17=1,"",DZ16))))</f>
        <v/>
      </c>
      <c r="DZ17" t="str">
        <f t="shared" si="43"/>
        <v/>
      </c>
      <c r="EA17">
        <f>IF(D17="",0,MAX(IFERROR(--X17,0),IFERROR(--VLOOKUP(D17,УГО_спр,4,FALSE),IFERROR(--VLOOKUP(AT17,УГО_спр,4,FALSE),IFERROR(--VLOOKUP(LEFT(AT17,2),УГО_спр,4,FALSE),0)))))</f>
        <v>0</v>
      </c>
      <c r="EB17" t="str">
        <f>IF(D17="","",IFERROR(LOOKUP(INDEX(CHOOSE(BR17,Iдоп_1ж,Iдоп_2ж,Iдоп_3ж),MATCH(BS17,Iдоп_S,0))*BP17*BQ17,{6,10,16,20,25,32,40,50,63,80,100,125,160,200,250,315,400,500,630}),""))</f>
        <v/>
      </c>
      <c r="EC17" t="str">
        <f>IF(AD17="","",SUMIFS(Линии[_Ток схемы],Линии[_гр.],DY17,Линии[Щит],A17,Линии[_в кабель выше],0))</f>
        <v/>
      </c>
      <c r="ED17" t="str">
        <f>IF(AD17="","",IFERROR(VLOOKUP(EC17,Автомат_номиналы,2,TRUE),""))</f>
        <v/>
      </c>
      <c r="EE17" t="str">
        <f>IF(AD17="","",MAX(N(ED17),_xlfn.MAXIFS(Линии[_мин. по типу],Линии[_гр.],DY17,Линии[Щит],A17)))</f>
        <v/>
      </c>
      <c r="EF17" t="str">
        <f>IF(AD17="","",_xlfn.MINIFS(Линии[_макс. автомат по кабелю],Линии[_гр.],DY17,Линии[Щит],A17))</f>
        <v/>
      </c>
      <c r="EG17" t="str">
        <f>IF(AD17="","",MAX(1,_xlfn.MAXIFS(Линии[_фаз],Линии[_гр.],DY17,Линии[Щит],A17)))</f>
        <v/>
      </c>
      <c r="EH17" t="str">
        <f>IF(AD17="","",IF(AND(AD17&lt;&gt;"авто",AD17&lt;&gt;"+"),IF(ISNUMBER(SEARCH("мА",AD17)),IFERROR(--TRIM(RIGHT(SUBSTITUTE(LEFT(AD17,SEARCH("мА",AD17)-1)," ",REPT(" ",9)),6)),30),0),IF(AE17="нет",0,IF(ISNUMBER(AE17),AE17,IF(AE17="да",30,_xlfn.MINIFS(Линии[_дифзащита по коду, мА],Линии[_гр.],DY17,Линии[Щит],A17,Линии[_дифзащита по коду, мА],"&gt;0"))))))</f>
        <v/>
      </c>
      <c r="EI17" t="str">
        <f t="shared" si="44"/>
        <v/>
      </c>
      <c r="EJ17" t="str">
        <f t="shared" si="45"/>
        <v/>
      </c>
      <c r="EK17" t="str">
        <f t="shared" si="46"/>
        <v/>
      </c>
      <c r="EL17" t="str">
        <f t="shared" si="47"/>
        <v/>
      </c>
      <c r="EM17">
        <f t="shared" si="48"/>
        <v>0</v>
      </c>
      <c r="EN17" t="str">
        <f>IF(AD17="","",IF(EM17=1,MAX(EE17,Мин_автомат_БП),EE17))</f>
        <v/>
      </c>
      <c r="EO17" t="str">
        <f t="shared" si="49"/>
        <v/>
      </c>
      <c r="EP17" t="str">
        <f t="shared" si="50"/>
        <v/>
      </c>
      <c r="EQ17" t="str">
        <f t="shared" si="51"/>
        <v/>
      </c>
      <c r="ER17" t="str">
        <f>IF(OR(AI17="",AI17="-"),"",IFERROR(VLOOKUP(AI17,Модули_спр,2,FALSE),"R"))</f>
        <v/>
      </c>
      <c r="ES17" t="str">
        <f>IF(ER17="","",ER17&amp;"."&amp;COUNTIFS(A$3:A17,A17,ER$3:ER17,ER17))</f>
        <v/>
      </c>
      <c r="ET17" t="str">
        <f t="shared" si="52"/>
        <v/>
      </c>
      <c r="EU17" t="str">
        <f t="shared" si="53"/>
        <v/>
      </c>
      <c r="EV17" t="str">
        <f t="shared" si="54"/>
        <v/>
      </c>
      <c r="EW17" t="str">
        <f t="shared" si="55"/>
        <v/>
      </c>
      <c r="EX17">
        <f t="shared" si="56"/>
        <v>0</v>
      </c>
      <c r="EY17" t="str">
        <f>IF(AK17="нет","",IF(AK17&lt;&gt;"",AK17,IF(EX17=1,"XT"&amp;COUNTIFS(A$3:A17,A17,EX$3:EX17,1),"")))</f>
        <v/>
      </c>
      <c r="EZ17" t="str">
        <f t="shared" si="57"/>
        <v/>
      </c>
      <c r="FA17" t="str">
        <f t="shared" si="58"/>
        <v/>
      </c>
      <c r="FB17" t="str">
        <f t="shared" si="59"/>
        <v/>
      </c>
      <c r="FC17" t="str">
        <f>IF(OR(EV17="",ET17=""),"",IF(EV17&gt;IFERROR(VLOOKUP(EU17,Модули_спр,3,FALSE),99),"ЛИШНИЙ КАНАЛ",IF(AND(AJ17&lt;&gt;"=",COUNTIFS(Линии[_модуль гр.],ET17,Линии[Канал (итог)],EV17,Линии[Канал],"&lt;&gt;=",Линии[Щит],A17)&gt;1),"ДУБЛЬ КАНАЛА","")))</f>
        <v/>
      </c>
      <c r="FD17" t="str">
        <f t="shared" si="60"/>
        <v/>
      </c>
      <c r="FE17" t="str">
        <f t="shared" si="61"/>
        <v/>
      </c>
      <c r="FF17" t="str">
        <f t="shared" si="62"/>
        <v/>
      </c>
      <c r="FG17" t="str">
        <f t="shared" si="63"/>
        <v/>
      </c>
      <c r="FH17" s="6" t="str">
        <f t="shared" si="64"/>
        <v/>
      </c>
      <c r="FI17">
        <f t="shared" si="65"/>
        <v>10</v>
      </c>
      <c r="FJ17" t="str">
        <f t="shared" si="66"/>
        <v/>
      </c>
      <c r="FK17" t="str">
        <f>IF(AND(D17="",EZ17=""),"",_xlfn.TEXTJOIN("; ",TRUE,IF(AND(D17&lt;&gt;"",DD17=""),"нет фазы",""),IF(AND(D17&lt;&gt;"",N(DT17)=0,CN17&lt;&gt;"Нет"),"нет мощности",""),IF(AND(EY17&lt;&gt;"",COUNTIFS(Линии[Щит],A17,Линии[Клемма (итог)],EY17)&gt;1),"дубль клеммы "&amp;EY17,""),IF(AND(FB17&lt;&gt;"",FB17&lt;&gt;"ok"),FB17,""),IF(FC17&lt;&gt;"",FC17,""),IF(AND(ISNUMBER(SEARCH("(5х",DS17)),N(DV17)=1),"5 жил на 1 фазе",""),IF(AND(AT17="R",AD17&lt;&gt;"",OR(N(EH17)=0,N(EH17)&gt;30)),"розетка без дифзащиты до 30 мА",""),IFERROR(IF(AND(ISNUMBER(CD17),CD17&gt;CE17),"потери "&amp;FIXED(CD17,1)&amp;" % &gt; "&amp;CE17&amp;" %",""),""),IFERROR(IF(LEFT(FJ17,4)="мало","Iкз мало — отключение &gt; 0,4 с",""),""),IF(AND(D17&lt;&gt;"",BD17=""),"не на схеме","")))</f>
        <v/>
      </c>
      <c r="FL17" s="6" t="str">
        <f>IF(AD17="","",_xlfn.LET(_xlpm.t,IFERROR(_xlfn.XLOOKUP(EP17,Каталог!$U$4:$U$500,Каталог!$G$4:$G$500),""),_xlpm.k,SEARCH("кА",_xlpm.t),IFERROR(--TRIM(RIGHT(SUBSTITUTE(MID(_xlpm.t,MAX(1,_xlpm.k-4),_xlpm.k-MAX(1,_xlpm.k-4))," ",REPT(" ",9)),5)),"")))</f>
        <v/>
      </c>
      <c r="FM17" t="str">
        <f>IF(OR(FL17="",AD17=""),"",IF(_xlfn.XLOOKUP(A17,Щиты[Щит],Щиты[Iкз max на шинах, кА],"")="","",IF(FL17&lt;_xlfn.XLOOKUP(A17,Щиты[Щит],Щиты[Iкз max на шинах, кА]),"Icu "&amp;FL17&amp;" кА &lt; Iкз max","ok")))</f>
        <v/>
      </c>
      <c r="FN17" t="str">
        <f t="shared" si="67"/>
        <v/>
      </c>
      <c r="FO17" t="str">
        <f t="shared" si="68"/>
        <v/>
      </c>
      <c r="FP17" t="str" cm="1">
        <f t="array" ref="FP17">IF(FO17="","",_xlfn.LET(_xlpm.nd,_xlfn.TEXTSPLIT(FO17,"|"),IF(COLUMNS(_xlpm.nd)&gt;1,A17&amp;"¦"&amp;INDEX(_xlpm.nd,1)&amp;"¦"&amp;INDEX(_xlpm.nd,2),"")))</f>
        <v/>
      </c>
      <c r="FQ17" t="str">
        <f t="shared" si="69"/>
        <v/>
      </c>
      <c r="FR17" t="str" cm="1">
        <f t="array" ref="FR17">IF(FO17="","",_xlfn.LET(_xlpm.nd,_xlfn.TEXTSPLIT(FO17,"|"),IF(COLUMNS(_xlpm.nd)&gt;2,A17&amp;"¦"&amp;INDEX(_xlpm.nd,2)&amp;"¦"&amp;INDEX(_xlpm.nd,3),"")))</f>
        <v/>
      </c>
      <c r="FS17" t="str">
        <f t="shared" si="70"/>
        <v/>
      </c>
      <c r="FT17" t="str" cm="1">
        <f t="array" ref="FT17">IF(FO17="","",_xlfn.LET(_xlpm.nd,_xlfn.TEXTSPLIT(FO17,"|"),IF(COLUMNS(_xlpm.nd)&gt;3,A17&amp;"¦"&amp;INDEX(_xlpm.nd,3)&amp;"¦"&amp;INDEX(_xlpm.nd,4),"")))</f>
        <v/>
      </c>
      <c r="FU17" t="str">
        <f t="shared" si="71"/>
        <v/>
      </c>
      <c r="FV17" t="str" cm="1">
        <f t="array" ref="FV17">IF(FO17="","",_xlfn.LET(_xlpm.nd,_xlfn.TEXTSPLIT(FO17,"|"),IF(COLUMNS(_xlpm.nd)&gt;4,A17&amp;"¦"&amp;INDEX(_xlpm.nd,4)&amp;"¦"&amp;INDEX(_xlpm.nd,5),"")))</f>
        <v/>
      </c>
      <c r="FW17" t="str">
        <f t="shared" si="72"/>
        <v/>
      </c>
      <c r="FX17" t="str" cm="1">
        <f t="array" ref="FX17">IF(FO17="","",_xlfn.LET(_xlpm.nd,_xlfn.TEXTSPLIT(FO17,"|"),IF(COLUMNS(_xlpm.nd)&gt;5,A17&amp;"¦"&amp;INDEX(_xlpm.nd,5)&amp;"¦"&amp;INDEX(_xlpm.nd,6),"")))</f>
        <v/>
      </c>
      <c r="FY17" t="str">
        <f t="shared" si="73"/>
        <v/>
      </c>
      <c r="FZ17" t="str" cm="1">
        <f t="array" ref="FZ17">IF(FO17="","",_xlfn.LET(_xlpm.nd,_xlfn.TEXTSPLIT(FO17,"|"),IF(COLUMNS(_xlpm.nd)&gt;6,A17&amp;"¦"&amp;INDEX(_xlpm.nd,6)&amp;"¦"&amp;INDEX(_xlpm.nd,7),"")))</f>
        <v/>
      </c>
      <c r="GA17" t="str">
        <f t="shared" si="74"/>
        <v/>
      </c>
      <c r="GB17" t="str">
        <f t="shared" si="75"/>
        <v/>
      </c>
      <c r="GC17" t="str">
        <f t="shared" si="76"/>
        <v/>
      </c>
      <c r="GD17">
        <f t="shared" si="77"/>
        <v>0</v>
      </c>
      <c r="GE17">
        <f t="shared" si="78"/>
        <v>0</v>
      </c>
      <c r="GF17">
        <f t="shared" si="79"/>
        <v>0</v>
      </c>
      <c r="GG17" t="str">
        <f t="shared" si="80"/>
        <v/>
      </c>
      <c r="GH17" t="str">
        <f t="shared" si="81"/>
        <v/>
      </c>
      <c r="GI17" t="str">
        <f t="shared" si="82"/>
        <v/>
      </c>
      <c r="GJ17" t="str">
        <f t="shared" si="83"/>
        <v/>
      </c>
      <c r="GK17" t="str">
        <f>IF(D17="","",IFERROR(VLOOKUP(D17,УГО_спр,2,FALSE),IFERROR(VLOOKUP(AT17,УГО_спр,2,FALSE),IFERROR(VLOOKUP(LEFT(AT17,2),УГО_спр,2,FALSE),""))))</f>
        <v/>
      </c>
      <c r="GL17" t="str">
        <f>IF(D17="","",IF(OR(GK17="",GK17=0),"BOX",IFERROR(IF(VLOOKUP(GK17,УГО_блоки,3,FALSE)&amp;""&lt;&gt;"",VLOOKUP(GK17,УГО_блоки,3,FALSE),VLOOKUP(GK17,УГО_блоки,2,FALSE)),GK17)))</f>
        <v/>
      </c>
      <c r="GM17">
        <f t="shared" si="84"/>
        <v>0</v>
      </c>
      <c r="GN17" t="str">
        <f>IF(EP17="","",IF(COUNTIF(EP$3:EP17,EP17)=1,MAX(GN$2:GN16)+1,""))</f>
        <v/>
      </c>
      <c r="GO17" t="str">
        <f>IF(AF17="","",IF(COUNTIF(AF$3:AF17,AF17)+COUNTIF(AG$2:AG16,AF17)+COUNTIF(AH$2:AH16,AF17)=1,MAX(GO$2:GQ16)+1,""))</f>
        <v/>
      </c>
      <c r="GP17" t="str">
        <f>IF(AG17="","",IF(COUNTIF(AF$3:AF17,AG17)+COUNTIF(AG$3:AG17,AG17)+COUNTIF(AH$2:AH16,AG17)=1,MAX(GO$2:GQ16,GO17)+1,""))</f>
        <v/>
      </c>
      <c r="GQ17" t="str">
        <f>IF(AH17="","",IF(COUNTIF(AF$3:AF17,AH17)+COUNTIF(AG$3:AG17,AH17)+COUNTIF(AH$3:AH17,AH17)=1,MAX(GO$2:GQ16,GO17,GP17)+1,""))</f>
        <v/>
      </c>
      <c r="GR17" t="str">
        <f t="shared" si="85"/>
        <v/>
      </c>
      <c r="GS17" t="str">
        <f>IF(GR17="","",IF(COUNTIF(GR$3:GR17,GR17)=1,MAX(GS$2:GS16)+1,""))</f>
        <v/>
      </c>
      <c r="GT17" t="str">
        <f>IF(ES17="","",COUNTIF(ES$3:ES17,"?*"))</f>
        <v/>
      </c>
      <c r="GU17" t="str">
        <f>IF(OR(ES17="",EU17=""),"",IF(COUNTIFS(ES$3:ES17,"?*",EU$3:EU17,EU17)=1,MAX(GU$2:GU16)+1,""))</f>
        <v/>
      </c>
      <c r="GV17">
        <f t="shared" si="86"/>
        <v>0</v>
      </c>
      <c r="GW17" t="str">
        <f>IF(D17="","",COUNTIF(D$3:D17,"?*"))</f>
        <v/>
      </c>
      <c r="GX17">
        <f>IF(EX17&lt;&gt;1,0,_xlfn.LET(_xlpm.k,MAX(IFERROR(--VLOOKUP(D17,УГО_спр,5,FALSE),0),IFERROR(--VLOOKUP(AT17,УГО_спр,5,FALSE),0),IFERROR(--VLOOKUP(LEFT(AT17,2),УГО_спр,5,FALSE),0)),IF(_xlpm.k&gt;0,_xlpm.k,IF(IFERROR(--LEFT(SUBSTITUTE(GR17,"x","х"),FIND("х",SUBSTITUTE(GR17,"x","х"))-1),3)&gt;3,Каталог!$S$9,1))))</f>
        <v>0</v>
      </c>
      <c r="GY17">
        <f t="shared" si="87"/>
        <v>0</v>
      </c>
    </row>
    <row r="18" spans="1:207" x14ac:dyDescent="0.3">
      <c r="A18" t="s">
        <v>206</v>
      </c>
      <c r="B18">
        <v>16</v>
      </c>
      <c r="C18" t="str">
        <f>IF(BD18="","",IF(BE18="вводной узел","узел ","")&amp;"л."&amp;(INT((BD18-1)/Столбцов_на_лист)+1)&amp;" / "&amp;(MOD(BD18-1,Столбцов_на_лист)+1))</f>
        <v>узел л.1 / 16</v>
      </c>
      <c r="E18" s="133" t="str">
        <f t="shared" si="0"/>
        <v/>
      </c>
      <c r="AL18" t="s">
        <v>559</v>
      </c>
      <c r="AR18" t="str">
        <f t="shared" si="1"/>
        <v/>
      </c>
      <c r="AS18" cm="1">
        <f t="array" ref="AS18">ROW()-ROW(Линии[#Headers])</f>
        <v>16</v>
      </c>
      <c r="AT18" s="6" t="str">
        <f t="shared" si="2"/>
        <v/>
      </c>
      <c r="AU18" t="str">
        <f t="shared" si="3"/>
        <v/>
      </c>
      <c r="AV18" t="str">
        <f t="shared" si="4"/>
        <v/>
      </c>
      <c r="AW18" t="str">
        <f t="shared" si="5"/>
        <v/>
      </c>
      <c r="AX18" t="str">
        <f t="shared" si="6"/>
        <v/>
      </c>
      <c r="AY18" t="str">
        <f>IF(D18="","",IF(ISERROR(SEARCH(".",D18)),IFERROR(VLOOKUP(D18,Потребители_обозначение,2,FALSE)&amp;"",""),IFERROR(IF(VLOOKUP(AT18,Потребители_обозначение,4,FALSE)=1,VLOOKUP(AT18,Потребители_обозначение,2,FALSE)&amp;" "&amp;VLOOKUP(AV18,Этаж_обозначение,2,FALSE)&amp;" Пом. №"&amp;AX18,VLOOKUP(AT18,Потребители_обозначение,2,FALSE)&amp;" Шлейф №"&amp;AV18),IFERROR(VLOOKUP(D18,Потребители_обозначение,2,FALSE),""))))</f>
        <v/>
      </c>
      <c r="AZ18" t="str">
        <f t="shared" si="7"/>
        <v/>
      </c>
      <c r="BA18" t="str">
        <f>IF(F18&lt;&gt;"",F18,IF(AND(D18&lt;&gt;"",D18&lt;&gt;A18,ISNUMBER(_xlfn.XMATCH(D18,Щиты[Щит]))),D18,""))</f>
        <v/>
      </c>
      <c r="BB18">
        <f>IFERROR(_xlfn.XMATCH(A18,Щиты[Щит]),0)</f>
        <v>1</v>
      </c>
      <c r="BC18">
        <f>IFERROR(N(_xlfn.XLOOKUP(A18,Щиты[Щит],Щиты[Мест под вводной узел])),15)</f>
        <v>18</v>
      </c>
      <c r="BD18">
        <f t="shared" si="8"/>
        <v>16</v>
      </c>
      <c r="BE18" t="str">
        <f t="shared" si="9"/>
        <v>вводной узел</v>
      </c>
      <c r="BF18" s="6" t="str">
        <f>IF(D18="","",IF(BA18&lt;&gt;"",IFERROR(_xlfn.XLOOKUP(BA18,Щиты[Щит],Щиты[Руст, кВт]),0),N(G18)))</f>
        <v/>
      </c>
      <c r="BG18" t="str">
        <f>IF(J18&lt;&gt;"",J18,IF(D18="","",IFERROR(IF(VLOOKUP(AT18,Потребители_обозначение,8,FALSE)=0,"",VLOOKUP(AT18,Потребители_обозначение,8,FALSE)),"")))</f>
        <v/>
      </c>
      <c r="BH18" t="str">
        <f>IF(I18&lt;&gt;"",I18,IF(D18="","",IFERROR(IF(VLOOKUP(AT18,Потребители_обозначение,9,FALSE)=0,"",VLOOKUP(AT18,Потребители_обозначение,9,FALSE)),"")))</f>
        <v/>
      </c>
      <c r="BI18" t="str">
        <f>IF(U18&lt;&gt;"",U18,IF(D18="","",IFERROR(IF(VLOOKUP(AT18,Потребители_обозначение,6,FALSE)=0,"",VLOOKUP(AT18,Потребители_обозначение,6,FALSE)),"")))</f>
        <v/>
      </c>
      <c r="BJ18" t="str">
        <f>IF(V18&lt;&gt;"",V18,IF(D18="","",IFERROR(IF(VLOOKUP(AT18,Потребители_обозначение,7,FALSE)=0,"",VLOOKUP(AT18,Потребители_обозначение,7,FALSE)),"")))</f>
        <v/>
      </c>
      <c r="BK18" t="str">
        <f>IF(W18&lt;&gt;"",W18,IF(D18="","",IFERROR(IF(VLOOKUP(AT18,Потребители_обозначение,10,FALSE)=0,"",VLOOKUP(AT18,Потребители_обозначение,10,FALSE)),"")))</f>
        <v/>
      </c>
      <c r="BL18">
        <f>IFERROR(VLOOKUP(AT18,Потребители_обозначение,5,FALSE),0)</f>
        <v>0</v>
      </c>
      <c r="BM18" s="6" t="str" cm="1">
        <f t="array" ref="BM18">IF(D18="","",IF(BA18&lt;&gt;"",IFERROR(_xlfn.XLOOKUP(BA18,Щиты[Щит],Щиты[cos φ]),0.95),IF(ISNUMBER(M18),M18,IFERROR(IF(BL18=2,_xlfn.IFS(BH18=3,VLOOKUP(BF18,Справочная_двигатели,8,FALSE),BH18=1,VLOOKUP(BF18,Справочная_двигатели,10,TRUE)),IF(AND(Методика="нормы 2026",CN18="Сил"),0.8,0.95)),0.95))))</f>
        <v/>
      </c>
      <c r="BN18" s="6" t="str" cm="1">
        <f t="array" ref="BN18">IF(D18="","",IF(BA18&lt;&gt;"",IFERROR(_xlfn.XLOOKUP(BA18,Щиты[Щит],Щиты[Iр, А]),""),IFERROR(_xlfn.IFS(BH18=1,BF18/((Uн_лин/SQRT(3))*BM18),BH18=3,BF18/(SQRT(3)*Uн_лин*BM18)),"")))</f>
        <v/>
      </c>
      <c r="BO18" t="str">
        <f>IF(D18="","",IF(N(X18)=0,IFERROR(VLOOKUP(BN18,Автомат_номиналы,2,TRUE),""),X18))</f>
        <v/>
      </c>
      <c r="BP18">
        <f t="shared" si="10"/>
        <v>1</v>
      </c>
      <c r="BQ18">
        <f>IF(ISNUMBER(Y18),Y18,К_прокл)</f>
        <v>1</v>
      </c>
      <c r="BR18">
        <f t="shared" si="11"/>
        <v>3</v>
      </c>
      <c r="BS18" t="str" cm="1">
        <f t="array" ref="BS18">IF(D18="","",IF(N(BK18)&lt;&gt;0,BK18,IFERROR(_xlfn.LET(_xlpm.need,BO18/(BP18*BQ18),_xlpm.t,CHOOSE(BR18,Iдоп_1ж,Iдоп_2ж,Iдоп_3ж),_xlpm.k,_xlfn.XMATCH(_xlpm.need,_xlpm.t,1),IF(ISNA(_xlpm.k),"Не исп",INDEX(Iдоп_S,_xlpm.k))),"Не исп")))</f>
        <v/>
      </c>
      <c r="BT18" t="str">
        <f>IFERROR(VLOOKUP(BS18,Кабель_сопротивление,3,FALSE),"")</f>
        <v/>
      </c>
      <c r="BU18" t="str">
        <f>IFERROR(VLOOKUP(BS18,Кабель_сопротивление,2,FALSE),"")</f>
        <v/>
      </c>
      <c r="BV18" t="str">
        <f t="shared" si="12"/>
        <v/>
      </c>
      <c r="BW18" s="6" t="str">
        <f>IF(D18="","",IFERROR(IF(VLOOKUP(AT18,Потребители_обозначение,4,FALSE)=1,VLOOKUP(AT18,Потребители_обозначение,3,FALSE)*(H18*2-1)+BV18+VLOOKUP(AV18,Этаж_обозначение,3,FALSE)+VLOOKUP(AV18,Этаж_обозначение,4,FALSE),VLOOKUP(AT18,Потребители_обозначение,3,FALSE)*(H18*2-1)+BV18),BV18))</f>
        <v/>
      </c>
      <c r="BX18" t="str">
        <f t="shared" si="13"/>
        <v/>
      </c>
      <c r="BY18" t="str">
        <f t="shared" si="14"/>
        <v/>
      </c>
      <c r="BZ18" t="str">
        <f t="shared" si="15"/>
        <v/>
      </c>
      <c r="CA18" t="str">
        <f t="shared" si="16"/>
        <v/>
      </c>
      <c r="CB18" t="str">
        <f t="shared" si="17"/>
        <v/>
      </c>
      <c r="CC18" s="6" t="str">
        <f>IFERROR(ROUNDUP(CB18/((Uн_лин/SQRT(3))*1000)*100,2),"")</f>
        <v/>
      </c>
      <c r="CD18" s="6" t="str">
        <f>IF(ISNUMBER(CC18),CC18+IFERROR(_xlfn.XLOOKUP(A18,Щиты[Щит],Щиты[ΔU до шин, %]),0),"")</f>
        <v/>
      </c>
      <c r="CE18" s="6" t="str">
        <f>IF(D18="","",IF(IFERROR(VLOOKUP(AT18,УГО_спр,2,FALSE),"")="Светильник",3,4)+IF(Методика="нормы 2026",MIN(0.5,MAX(0,N(BW18)-100)*0.005),0))</f>
        <v/>
      </c>
      <c r="CF18" t="str">
        <f>IFERROR(VLOOKUP(BI18,Кабель_обозначение,2,FALSE),"")</f>
        <v/>
      </c>
      <c r="CG18" t="str">
        <f>IFERROR(IF(VLOOKUP(BI18,Кабель_обозначение,3,FALSE)=1,CF18&amp;" ("&amp;BJ18&amp;"х"&amp;BS18&amp;")",CF18),"")</f>
        <v/>
      </c>
      <c r="CH18" t="str">
        <f t="shared" si="18"/>
        <v/>
      </c>
      <c r="CI18" t="str">
        <f>IFERROR(2*ρкз_Cu*BW18/BS18,"")</f>
        <v/>
      </c>
      <c r="CJ18" t="str">
        <f t="shared" si="19"/>
        <v/>
      </c>
      <c r="CK18" s="6" t="str">
        <f>IFERROR(IF(OR(D18="",NOT(ISNUMBER(BS18)),N(BW18)=0),"",_xlfn.XLOOKUP(A18,Щиты[Щит],Щиты[Zпетли на шинах, Ом])+CI18),"")</f>
        <v/>
      </c>
      <c r="CL18" s="6" t="str">
        <f>IF(ISNUMBER(CK18),c_min*(Uн_лин*1000/SQRT(3))/CK18,"")</f>
        <v/>
      </c>
      <c r="CM18" s="6" t="str">
        <f>IFERROR(IF(OR(D18="",NOT(ISNUMBER(BS18))),"",1.05*(Uн_лин*1000/SQRT(3))/(_xlfn.XLOOKUP(A18,Щиты[Щит],Щиты[Zmax на шинах, Ом])+CJ18)/1000),"")</f>
        <v/>
      </c>
      <c r="CN18" s="6" t="str">
        <f>IF(D18="","",IF(BA18&lt;&gt;"","Щит",IF(K18&lt;&gt;"",K18,IF(ISNUMBER(L18),"Сил",IF(IFERROR(_xlfn.XLOOKUP(AT18,Коды_код,Коды_группа)&amp;"","")="","Быт",_xlfn.XLOOKUP(AT18,Коды_код,Коды_группа)&amp;"")))))</f>
        <v/>
      </c>
      <c r="CO18" s="6" t="str">
        <f>IF(CN18="Щит","щит",IF(CN18="","",IF(CN18="Быт",IFERROR(_xlfn.XLOOKUP(A18,Щиты[Щит],Щиты[Кс быт]),1),IF(CN18="Сил",IF(ISNUMBER(L18),L18,IF(Методика="нормы 2026",IFERROR(_xlfn.XLOOKUP(A18,Щиты[Щит],Щиты[Кс силовых (табл. 7.5)]),1),1)),IF(OR(CN18="Пост",CN18="Отоп"),1,IF(CN18="ВНГ",0.7,0))))))</f>
        <v/>
      </c>
      <c r="CP18" t="str">
        <f t="shared" si="20"/>
        <v/>
      </c>
      <c r="CQ18">
        <f t="shared" si="21"/>
        <v>0</v>
      </c>
      <c r="CR18">
        <f t="shared" si="22"/>
        <v>0</v>
      </c>
      <c r="CS18">
        <f t="shared" si="23"/>
        <v>0</v>
      </c>
      <c r="CT18">
        <f t="shared" si="24"/>
        <v>0</v>
      </c>
      <c r="CU18">
        <f t="shared" si="25"/>
        <v>0</v>
      </c>
      <c r="CV18">
        <f t="shared" si="26"/>
        <v>0</v>
      </c>
      <c r="CW18">
        <f t="shared" si="27"/>
        <v>0</v>
      </c>
      <c r="CX18">
        <f t="shared" si="28"/>
        <v>0</v>
      </c>
      <c r="CY18">
        <f t="shared" si="29"/>
        <v>0</v>
      </c>
      <c r="CZ18" t="str">
        <f t="shared" si="30"/>
        <v/>
      </c>
      <c r="DA18" cm="1">
        <f t="array" ref="DA18">IFERROR(IF(BL18=2,_xlfn.IFS(BH18=3,VLOOKUP(BF18,Справочная_двигатели,3,FALSE),BH18=1,VLOOKUP(BF18,Справочная_двигатели,5,TRUE)),0),0)</f>
        <v>0</v>
      </c>
      <c r="DB18">
        <f>IFERROR(IF(BL18=3,VLOOKUP(BF18,Справочная_ЛЭД,2,TRUE),0),0)</f>
        <v>0</v>
      </c>
      <c r="DC18" s="6" t="str">
        <f t="shared" si="31"/>
        <v/>
      </c>
      <c r="DD18" t="str">
        <f t="shared" si="32"/>
        <v/>
      </c>
      <c r="DE18" t="str" cm="1">
        <f t="array" ref="DE18">IF(D18="","",IFERROR(INDEX({"I особая","I","II","III"},MATCH(TRIM(AA18&amp;""),{"I особая","I","II","III"},0)),"III"))</f>
        <v/>
      </c>
      <c r="DF18" t="str">
        <f>IF(D18="","",IF(TRIM(AB18&amp;"")&lt;&gt;"",IF(LOWER(TRIM(AB18&amp;""))="да","да","нет"),IF(IFERROR(_xlfn.XLOOKUP(AT18,Коды_код,Коды_пожарная),"")="да","да","нет")))</f>
        <v/>
      </c>
      <c r="DG18" t="str">
        <f t="shared" si="33"/>
        <v/>
      </c>
      <c r="DH18" t="str">
        <f t="shared" si="34"/>
        <v/>
      </c>
      <c r="DI18">
        <f t="shared" si="35"/>
        <v>1</v>
      </c>
      <c r="DJ18" t="str" cm="1">
        <f t="array" ref="DJ18">IF(D18="","",_xlfn.LET(_xlpm.t,IFERROR(_xlfn.XLOOKUP(1,(Шины[Шина]=DH18)*(((Шины[Щит]=A18)+(Шины[Щит]=""))&gt;0),Шины[Тип]),"")&amp;"",IF(_xlpm.t&lt;&gt;"",_xlpm.t,IF(ISNUMBER(SEARCH("ИБП",DH18)),"ИБП",IF(ISNUMBER(SEARCH("ДГУ",DH18)),"ДГУ","Ввод "&amp;DI18)))))</f>
        <v/>
      </c>
      <c r="DK18" t="str">
        <f t="shared" si="36"/>
        <v/>
      </c>
      <c r="DL18" t="str">
        <f>IF(D18="","",IF(OR(DJ18="ИБП",DJ18="ДГУ"),"I особая",IF(DJ18="Одиночная","III",_xlfn.XLOOKUP(A18,Щиты[Щит],Щиты[Категория шины «Ввод»],"III"))))</f>
        <v/>
      </c>
      <c r="DM18">
        <f>IF(D18="",0,IFERROR(MATCH(DE18,{"III","II","I","I особая"},0),1))</f>
        <v>0</v>
      </c>
      <c r="DN18">
        <f t="shared" si="37"/>
        <v>0</v>
      </c>
      <c r="DO18" t="str">
        <f>IF(D18="","",IF(DM18&gt;IFERROR(MATCH(DL18,{"III","II","I","I особая"},0),1),"НЕ ОБЕСПЕЧЕНА","ОК"))</f>
        <v/>
      </c>
      <c r="DP18" t="str">
        <f>IF(A18="","",_xlfn.XLOOKUP(A18,Щиты[Щит],Щиты[Путь],""))</f>
        <v>|ЩР|</v>
      </c>
      <c r="DQ18" t="str">
        <f>IF(D18="","",IF(Z18&lt;&gt;"",Z18,IF(IFERROR(_xlfn.XLOOKUP(AT18,Коды_код,Коды_вид)&amp;"","")="","Прочее",_xlfn.XLOOKUP(AT18,Коды_код,Коды_вид)&amp;"")))</f>
        <v/>
      </c>
      <c r="DR18">
        <f>IF(BD18="","",INT((BD18-1)/Столбцов_на_лист)+1)</f>
        <v>1</v>
      </c>
      <c r="DS18" t="str">
        <f t="shared" si="38"/>
        <v/>
      </c>
      <c r="DT18" t="str">
        <f t="shared" si="39"/>
        <v/>
      </c>
      <c r="DU18" t="str">
        <f t="shared" si="40"/>
        <v/>
      </c>
      <c r="DV18" t="str">
        <f t="shared" si="41"/>
        <v/>
      </c>
      <c r="DW18">
        <f>IF(AT18="",0,_xlfn.LET(_xlpm.v,IFERROR(VLOOKUP(D18,УГО_спр,3,FALSE),IFERROR(VLOOKUP(AT18,УГО_спр,3,FALSE),IFERROR(VLOOKUP(LEFT(AT18,2),УГО_спр,3,FALSE),""))),IF(_xlpm.v="да",30,IF(ISNUMBER(_xlpm.v),_xlpm.v,0))))</f>
        <v>0</v>
      </c>
      <c r="DX18">
        <f t="shared" si="42"/>
        <v>0</v>
      </c>
      <c r="DY18" t="str">
        <f>IF(BD18="","",IF(AD18&lt;&gt;"",COUNTIFS(A$3:A18,A18,AD$3:AD18,"?*"),IF(OR(OR(AS18=1,A18&lt;&gt;A17),AL18="вручную"),"",IF(AS18=1,"",DZ17))))</f>
        <v/>
      </c>
      <c r="DZ18" t="str">
        <f t="shared" si="43"/>
        <v/>
      </c>
      <c r="EA18">
        <f>IF(D18="",0,MAX(IFERROR(--X18,0),IFERROR(--VLOOKUP(D18,УГО_спр,4,FALSE),IFERROR(--VLOOKUP(AT18,УГО_спр,4,FALSE),IFERROR(--VLOOKUP(LEFT(AT18,2),УГО_спр,4,FALSE),0)))))</f>
        <v>0</v>
      </c>
      <c r="EB18" t="str">
        <f>IF(D18="","",IFERROR(LOOKUP(INDEX(CHOOSE(BR18,Iдоп_1ж,Iдоп_2ж,Iдоп_3ж),MATCH(BS18,Iдоп_S,0))*BP18*BQ18,{6,10,16,20,25,32,40,50,63,80,100,125,160,200,250,315,400,500,630}),""))</f>
        <v/>
      </c>
      <c r="EC18" t="str">
        <f>IF(AD18="","",SUMIFS(Линии[_Ток схемы],Линии[_гр.],DY18,Линии[Щит],A18,Линии[_в кабель выше],0))</f>
        <v/>
      </c>
      <c r="ED18" t="str">
        <f>IF(AD18="","",IFERROR(VLOOKUP(EC18,Автомат_номиналы,2,TRUE),""))</f>
        <v/>
      </c>
      <c r="EE18" t="str">
        <f>IF(AD18="","",MAX(N(ED18),_xlfn.MAXIFS(Линии[_мин. по типу],Линии[_гр.],DY18,Линии[Щит],A18)))</f>
        <v/>
      </c>
      <c r="EF18" t="str">
        <f>IF(AD18="","",_xlfn.MINIFS(Линии[_макс. автомат по кабелю],Линии[_гр.],DY18,Линии[Щит],A18))</f>
        <v/>
      </c>
      <c r="EG18" t="str">
        <f>IF(AD18="","",MAX(1,_xlfn.MAXIFS(Линии[_фаз],Линии[_гр.],DY18,Линии[Щит],A18)))</f>
        <v/>
      </c>
      <c r="EH18" t="str">
        <f>IF(AD18="","",IF(AND(AD18&lt;&gt;"авто",AD18&lt;&gt;"+"),IF(ISNUMBER(SEARCH("мА",AD18)),IFERROR(--TRIM(RIGHT(SUBSTITUTE(LEFT(AD18,SEARCH("мА",AD18)-1)," ",REPT(" ",9)),6)),30),0),IF(AE18="нет",0,IF(ISNUMBER(AE18),AE18,IF(AE18="да",30,_xlfn.MINIFS(Линии[_дифзащита по коду, мА],Линии[_гр.],DY18,Линии[Щит],A18,Линии[_дифзащита по коду, мА],"&gt;0"))))))</f>
        <v/>
      </c>
      <c r="EI18" t="str">
        <f t="shared" si="44"/>
        <v/>
      </c>
      <c r="EJ18" t="str">
        <f t="shared" si="45"/>
        <v/>
      </c>
      <c r="EK18" t="str">
        <f t="shared" si="46"/>
        <v/>
      </c>
      <c r="EL18" t="str">
        <f t="shared" si="47"/>
        <v/>
      </c>
      <c r="EM18">
        <f t="shared" si="48"/>
        <v>0</v>
      </c>
      <c r="EN18" t="str">
        <f>IF(AD18="","",IF(EM18=1,MAX(EE18,Мин_автомат_БП),EE18))</f>
        <v/>
      </c>
      <c r="EO18" t="str">
        <f t="shared" si="49"/>
        <v/>
      </c>
      <c r="EP18" t="str">
        <f t="shared" si="50"/>
        <v/>
      </c>
      <c r="EQ18" t="str">
        <f t="shared" si="51"/>
        <v/>
      </c>
      <c r="ER18" t="str">
        <f>IF(OR(AI18="",AI18="-"),"",IFERROR(VLOOKUP(AI18,Модули_спр,2,FALSE),"R"))</f>
        <v/>
      </c>
      <c r="ES18" t="str">
        <f>IF(ER18="","",ER18&amp;"."&amp;COUNTIFS(A$3:A18,A18,ER$3:ER18,ER18))</f>
        <v/>
      </c>
      <c r="ET18" t="str">
        <f t="shared" si="52"/>
        <v/>
      </c>
      <c r="EU18" t="str">
        <f t="shared" si="53"/>
        <v/>
      </c>
      <c r="EV18" t="str">
        <f t="shared" si="54"/>
        <v/>
      </c>
      <c r="EW18" t="str">
        <f t="shared" si="55"/>
        <v/>
      </c>
      <c r="EX18">
        <f t="shared" si="56"/>
        <v>0</v>
      </c>
      <c r="EY18" t="str">
        <f>IF(AK18="нет","",IF(AK18&lt;&gt;"",AK18,IF(EX18=1,"XT"&amp;COUNTIFS(A$3:A18,A18,EX$3:EX18,1),"")))</f>
        <v/>
      </c>
      <c r="EZ18" t="str">
        <f t="shared" si="57"/>
        <v/>
      </c>
      <c r="FA18" t="str">
        <f t="shared" si="58"/>
        <v/>
      </c>
      <c r="FB18" t="str">
        <f t="shared" si="59"/>
        <v/>
      </c>
      <c r="FC18" t="str">
        <f>IF(OR(EV18="",ET18=""),"",IF(EV18&gt;IFERROR(VLOOKUP(EU18,Модули_спр,3,FALSE),99),"ЛИШНИЙ КАНАЛ",IF(AND(AJ18&lt;&gt;"=",COUNTIFS(Линии[_модуль гр.],ET18,Линии[Канал (итог)],EV18,Линии[Канал],"&lt;&gt;=",Линии[Щит],A18)&gt;1),"ДУБЛЬ КАНАЛА","")))</f>
        <v/>
      </c>
      <c r="FD18" t="str">
        <f t="shared" si="60"/>
        <v/>
      </c>
      <c r="FE18" t="str">
        <f t="shared" si="61"/>
        <v/>
      </c>
      <c r="FF18" t="str">
        <f t="shared" si="62"/>
        <v/>
      </c>
      <c r="FG18" t="str">
        <f t="shared" si="63"/>
        <v/>
      </c>
      <c r="FH18" s="6" t="str">
        <f t="shared" si="64"/>
        <v/>
      </c>
      <c r="FI18">
        <f t="shared" si="65"/>
        <v>10</v>
      </c>
      <c r="FJ18" t="str">
        <f t="shared" si="66"/>
        <v/>
      </c>
      <c r="FK18" t="str">
        <f>IF(AND(D18="",EZ18=""),"",_xlfn.TEXTJOIN("; ",TRUE,IF(AND(D18&lt;&gt;"",DD18=""),"нет фазы",""),IF(AND(D18&lt;&gt;"",N(DT18)=0,CN18&lt;&gt;"Нет"),"нет мощности",""),IF(AND(EY18&lt;&gt;"",COUNTIFS(Линии[Щит],A18,Линии[Клемма (итог)],EY18)&gt;1),"дубль клеммы "&amp;EY18,""),IF(AND(FB18&lt;&gt;"",FB18&lt;&gt;"ok"),FB18,""),IF(FC18&lt;&gt;"",FC18,""),IF(AND(ISNUMBER(SEARCH("(5х",DS18)),N(DV18)=1),"5 жил на 1 фазе",""),IF(AND(AT18="R",AD18&lt;&gt;"",OR(N(EH18)=0,N(EH18)&gt;30)),"розетка без дифзащиты до 30 мА",""),IFERROR(IF(AND(ISNUMBER(CD18),CD18&gt;CE18),"потери "&amp;FIXED(CD18,1)&amp;" % &gt; "&amp;CE18&amp;" %",""),""),IFERROR(IF(LEFT(FJ18,4)="мало","Iкз мало — отключение &gt; 0,4 с",""),""),IF(AND(D18&lt;&gt;"",BD18=""),"не на схеме","")))</f>
        <v/>
      </c>
      <c r="FL18" s="6" t="str">
        <f>IF(AD18="","",_xlfn.LET(_xlpm.t,IFERROR(_xlfn.XLOOKUP(EP18,Каталог!$U$4:$U$500,Каталог!$G$4:$G$500),""),_xlpm.k,SEARCH("кА",_xlpm.t),IFERROR(--TRIM(RIGHT(SUBSTITUTE(MID(_xlpm.t,MAX(1,_xlpm.k-4),_xlpm.k-MAX(1,_xlpm.k-4))," ",REPT(" ",9)),5)),"")))</f>
        <v/>
      </c>
      <c r="FM18" t="str">
        <f>IF(OR(FL18="",AD18=""),"",IF(_xlfn.XLOOKUP(A18,Щиты[Щит],Щиты[Iкз max на шинах, кА],"")="","",IF(FL18&lt;_xlfn.XLOOKUP(A18,Щиты[Щит],Щиты[Iкз max на шинах, кА]),"Icu "&amp;FL18&amp;" кА &lt; Iкз max","ok")))</f>
        <v/>
      </c>
      <c r="FN18" t="str">
        <f t="shared" si="67"/>
        <v/>
      </c>
      <c r="FO18" t="str">
        <f t="shared" si="68"/>
        <v/>
      </c>
      <c r="FP18" t="str" cm="1">
        <f t="array" ref="FP18">IF(FO18="","",_xlfn.LET(_xlpm.nd,_xlfn.TEXTSPLIT(FO18,"|"),IF(COLUMNS(_xlpm.nd)&gt;1,A18&amp;"¦"&amp;INDEX(_xlpm.nd,1)&amp;"¦"&amp;INDEX(_xlpm.nd,2),"")))</f>
        <v/>
      </c>
      <c r="FQ18" t="str">
        <f t="shared" si="69"/>
        <v/>
      </c>
      <c r="FR18" t="str" cm="1">
        <f t="array" ref="FR18">IF(FO18="","",_xlfn.LET(_xlpm.nd,_xlfn.TEXTSPLIT(FO18,"|"),IF(COLUMNS(_xlpm.nd)&gt;2,A18&amp;"¦"&amp;INDEX(_xlpm.nd,2)&amp;"¦"&amp;INDEX(_xlpm.nd,3),"")))</f>
        <v/>
      </c>
      <c r="FS18" t="str">
        <f t="shared" si="70"/>
        <v/>
      </c>
      <c r="FT18" t="str" cm="1">
        <f t="array" ref="FT18">IF(FO18="","",_xlfn.LET(_xlpm.nd,_xlfn.TEXTSPLIT(FO18,"|"),IF(COLUMNS(_xlpm.nd)&gt;3,A18&amp;"¦"&amp;INDEX(_xlpm.nd,3)&amp;"¦"&amp;INDEX(_xlpm.nd,4),"")))</f>
        <v/>
      </c>
      <c r="FU18" t="str">
        <f t="shared" si="71"/>
        <v/>
      </c>
      <c r="FV18" t="str" cm="1">
        <f t="array" ref="FV18">IF(FO18="","",_xlfn.LET(_xlpm.nd,_xlfn.TEXTSPLIT(FO18,"|"),IF(COLUMNS(_xlpm.nd)&gt;4,A18&amp;"¦"&amp;INDEX(_xlpm.nd,4)&amp;"¦"&amp;INDEX(_xlpm.nd,5),"")))</f>
        <v/>
      </c>
      <c r="FW18" t="str">
        <f t="shared" si="72"/>
        <v/>
      </c>
      <c r="FX18" t="str" cm="1">
        <f t="array" ref="FX18">IF(FO18="","",_xlfn.LET(_xlpm.nd,_xlfn.TEXTSPLIT(FO18,"|"),IF(COLUMNS(_xlpm.nd)&gt;5,A18&amp;"¦"&amp;INDEX(_xlpm.nd,5)&amp;"¦"&amp;INDEX(_xlpm.nd,6),"")))</f>
        <v/>
      </c>
      <c r="FY18" t="str">
        <f t="shared" si="73"/>
        <v/>
      </c>
      <c r="FZ18" t="str" cm="1">
        <f t="array" ref="FZ18">IF(FO18="","",_xlfn.LET(_xlpm.nd,_xlfn.TEXTSPLIT(FO18,"|"),IF(COLUMNS(_xlpm.nd)&gt;6,A18&amp;"¦"&amp;INDEX(_xlpm.nd,6)&amp;"¦"&amp;INDEX(_xlpm.nd,7),"")))</f>
        <v/>
      </c>
      <c r="GA18" t="str">
        <f t="shared" si="74"/>
        <v/>
      </c>
      <c r="GB18" t="str">
        <f t="shared" si="75"/>
        <v/>
      </c>
      <c r="GC18" t="str">
        <f t="shared" si="76"/>
        <v/>
      </c>
      <c r="GD18">
        <f t="shared" si="77"/>
        <v>0</v>
      </c>
      <c r="GE18">
        <f t="shared" si="78"/>
        <v>0</v>
      </c>
      <c r="GF18">
        <f t="shared" si="79"/>
        <v>0</v>
      </c>
      <c r="GG18" t="str">
        <f t="shared" si="80"/>
        <v/>
      </c>
      <c r="GH18" t="str">
        <f t="shared" si="81"/>
        <v/>
      </c>
      <c r="GI18" t="str">
        <f t="shared" si="82"/>
        <v/>
      </c>
      <c r="GJ18" t="str">
        <f t="shared" si="83"/>
        <v/>
      </c>
      <c r="GK18" t="str">
        <f>IF(D18="","",IFERROR(VLOOKUP(D18,УГО_спр,2,FALSE),IFERROR(VLOOKUP(AT18,УГО_спр,2,FALSE),IFERROR(VLOOKUP(LEFT(AT18,2),УГО_спр,2,FALSE),""))))</f>
        <v/>
      </c>
      <c r="GL18" t="str">
        <f>IF(D18="","",IF(OR(GK18="",GK18=0),"BOX",IFERROR(IF(VLOOKUP(GK18,УГО_блоки,3,FALSE)&amp;""&lt;&gt;"",VLOOKUP(GK18,УГО_блоки,3,FALSE),VLOOKUP(GK18,УГО_блоки,2,FALSE)),GK18)))</f>
        <v/>
      </c>
      <c r="GM18">
        <f t="shared" si="84"/>
        <v>0</v>
      </c>
      <c r="GN18" t="str">
        <f>IF(EP18="","",IF(COUNTIF(EP$3:EP18,EP18)=1,MAX(GN$2:GN17)+1,""))</f>
        <v/>
      </c>
      <c r="GO18" t="str">
        <f>IF(AF18="","",IF(COUNTIF(AF$3:AF18,AF18)+COUNTIF(AG$2:AG17,AF18)+COUNTIF(AH$2:AH17,AF18)=1,MAX(GO$2:GQ17)+1,""))</f>
        <v/>
      </c>
      <c r="GP18" t="str">
        <f>IF(AG18="","",IF(COUNTIF(AF$3:AF18,AG18)+COUNTIF(AG$3:AG18,AG18)+COUNTIF(AH$2:AH17,AG18)=1,MAX(GO$2:GQ17,GO18)+1,""))</f>
        <v/>
      </c>
      <c r="GQ18" t="str">
        <f>IF(AH18="","",IF(COUNTIF(AF$3:AF18,AH18)+COUNTIF(AG$3:AG18,AH18)+COUNTIF(AH$3:AH18,AH18)=1,MAX(GO$2:GQ17,GO18,GP18)+1,""))</f>
        <v/>
      </c>
      <c r="GR18" t="str">
        <f t="shared" si="85"/>
        <v/>
      </c>
      <c r="GS18" t="str">
        <f>IF(GR18="","",IF(COUNTIF(GR$3:GR18,GR18)=1,MAX(GS$2:GS17)+1,""))</f>
        <v/>
      </c>
      <c r="GT18" t="str">
        <f>IF(ES18="","",COUNTIF(ES$3:ES18,"?*"))</f>
        <v/>
      </c>
      <c r="GU18" t="str">
        <f>IF(OR(ES18="",EU18=""),"",IF(COUNTIFS(ES$3:ES18,"?*",EU$3:EU18,EU18)=1,MAX(GU$2:GU17)+1,""))</f>
        <v/>
      </c>
      <c r="GV18">
        <f t="shared" si="86"/>
        <v>0</v>
      </c>
      <c r="GW18" t="str">
        <f>IF(D18="","",COUNTIF(D$3:D18,"?*"))</f>
        <v/>
      </c>
      <c r="GX18">
        <f>IF(EX18&lt;&gt;1,0,_xlfn.LET(_xlpm.k,MAX(IFERROR(--VLOOKUP(D18,УГО_спр,5,FALSE),0),IFERROR(--VLOOKUP(AT18,УГО_спр,5,FALSE),0),IFERROR(--VLOOKUP(LEFT(AT18,2),УГО_спр,5,FALSE),0)),IF(_xlpm.k&gt;0,_xlpm.k,IF(IFERROR(--LEFT(SUBSTITUTE(GR18,"x","х"),FIND("х",SUBSTITUTE(GR18,"x","х"))-1),3)&gt;3,Каталог!$S$9,1))))</f>
        <v>0</v>
      </c>
      <c r="GY18">
        <f t="shared" si="87"/>
        <v>0</v>
      </c>
    </row>
    <row r="19" spans="1:207" x14ac:dyDescent="0.3">
      <c r="A19" t="s">
        <v>206</v>
      </c>
      <c r="B19">
        <v>17</v>
      </c>
      <c r="C19" t="str">
        <f>IF(BD19="","",IF(BE19="вводной узел","узел ","")&amp;"л."&amp;(INT((BD19-1)/Столбцов_на_лист)+1)&amp;" / "&amp;(MOD(BD19-1,Столбцов_на_лист)+1))</f>
        <v>узел л.1 / 17</v>
      </c>
      <c r="E19" s="133" t="str">
        <f t="shared" si="0"/>
        <v/>
      </c>
      <c r="AL19" t="s">
        <v>559</v>
      </c>
      <c r="AR19" t="str">
        <f t="shared" si="1"/>
        <v/>
      </c>
      <c r="AS19" cm="1">
        <f t="array" ref="AS19">ROW()-ROW(Линии[#Headers])</f>
        <v>17</v>
      </c>
      <c r="AT19" s="6" t="str">
        <f t="shared" si="2"/>
        <v/>
      </c>
      <c r="AU19" t="str">
        <f t="shared" si="3"/>
        <v/>
      </c>
      <c r="AV19" t="str">
        <f t="shared" si="4"/>
        <v/>
      </c>
      <c r="AW19" t="str">
        <f t="shared" si="5"/>
        <v/>
      </c>
      <c r="AX19" t="str">
        <f t="shared" si="6"/>
        <v/>
      </c>
      <c r="AY19" t="str">
        <f>IF(D19="","",IF(ISERROR(SEARCH(".",D19)),IFERROR(VLOOKUP(D19,Потребители_обозначение,2,FALSE)&amp;"",""),IFERROR(IF(VLOOKUP(AT19,Потребители_обозначение,4,FALSE)=1,VLOOKUP(AT19,Потребители_обозначение,2,FALSE)&amp;" "&amp;VLOOKUP(AV19,Этаж_обозначение,2,FALSE)&amp;" Пом. №"&amp;AX19,VLOOKUP(AT19,Потребители_обозначение,2,FALSE)&amp;" Шлейф №"&amp;AV19),IFERROR(VLOOKUP(D19,Потребители_обозначение,2,FALSE),""))))</f>
        <v/>
      </c>
      <c r="AZ19" t="str">
        <f t="shared" si="7"/>
        <v/>
      </c>
      <c r="BA19" t="str">
        <f>IF(F19&lt;&gt;"",F19,IF(AND(D19&lt;&gt;"",D19&lt;&gt;A19,ISNUMBER(_xlfn.XMATCH(D19,Щиты[Щит]))),D19,""))</f>
        <v/>
      </c>
      <c r="BB19">
        <f>IFERROR(_xlfn.XMATCH(A19,Щиты[Щит]),0)</f>
        <v>1</v>
      </c>
      <c r="BC19">
        <f>IFERROR(N(_xlfn.XLOOKUP(A19,Щиты[Щит],Щиты[Мест под вводной узел])),15)</f>
        <v>18</v>
      </c>
      <c r="BD19">
        <f t="shared" si="8"/>
        <v>17</v>
      </c>
      <c r="BE19" t="str">
        <f t="shared" si="9"/>
        <v>вводной узел</v>
      </c>
      <c r="BF19" s="6" t="str">
        <f>IF(D19="","",IF(BA19&lt;&gt;"",IFERROR(_xlfn.XLOOKUP(BA19,Щиты[Щит],Щиты[Руст, кВт]),0),N(G19)))</f>
        <v/>
      </c>
      <c r="BG19" t="str">
        <f>IF(J19&lt;&gt;"",J19,IF(D19="","",IFERROR(IF(VLOOKUP(AT19,Потребители_обозначение,8,FALSE)=0,"",VLOOKUP(AT19,Потребители_обозначение,8,FALSE)),"")))</f>
        <v/>
      </c>
      <c r="BH19" t="str">
        <f>IF(I19&lt;&gt;"",I19,IF(D19="","",IFERROR(IF(VLOOKUP(AT19,Потребители_обозначение,9,FALSE)=0,"",VLOOKUP(AT19,Потребители_обозначение,9,FALSE)),"")))</f>
        <v/>
      </c>
      <c r="BI19" t="str">
        <f>IF(U19&lt;&gt;"",U19,IF(D19="","",IFERROR(IF(VLOOKUP(AT19,Потребители_обозначение,6,FALSE)=0,"",VLOOKUP(AT19,Потребители_обозначение,6,FALSE)),"")))</f>
        <v/>
      </c>
      <c r="BJ19" t="str">
        <f>IF(V19&lt;&gt;"",V19,IF(D19="","",IFERROR(IF(VLOOKUP(AT19,Потребители_обозначение,7,FALSE)=0,"",VLOOKUP(AT19,Потребители_обозначение,7,FALSE)),"")))</f>
        <v/>
      </c>
      <c r="BK19" t="str">
        <f>IF(W19&lt;&gt;"",W19,IF(D19="","",IFERROR(IF(VLOOKUP(AT19,Потребители_обозначение,10,FALSE)=0,"",VLOOKUP(AT19,Потребители_обозначение,10,FALSE)),"")))</f>
        <v/>
      </c>
      <c r="BL19">
        <f>IFERROR(VLOOKUP(AT19,Потребители_обозначение,5,FALSE),0)</f>
        <v>0</v>
      </c>
      <c r="BM19" s="6" t="str" cm="1">
        <f t="array" ref="BM19">IF(D19="","",IF(BA19&lt;&gt;"",IFERROR(_xlfn.XLOOKUP(BA19,Щиты[Щит],Щиты[cos φ]),0.95),IF(ISNUMBER(M19),M19,IFERROR(IF(BL19=2,_xlfn.IFS(BH19=3,VLOOKUP(BF19,Справочная_двигатели,8,FALSE),BH19=1,VLOOKUP(BF19,Справочная_двигатели,10,TRUE)),IF(AND(Методика="нормы 2026",CN19="Сил"),0.8,0.95)),0.95))))</f>
        <v/>
      </c>
      <c r="BN19" s="6" t="str" cm="1">
        <f t="array" ref="BN19">IF(D19="","",IF(BA19&lt;&gt;"",IFERROR(_xlfn.XLOOKUP(BA19,Щиты[Щит],Щиты[Iр, А]),""),IFERROR(_xlfn.IFS(BH19=1,BF19/((Uн_лин/SQRT(3))*BM19),BH19=3,BF19/(SQRT(3)*Uн_лин*BM19)),"")))</f>
        <v/>
      </c>
      <c r="BO19" t="str">
        <f>IF(D19="","",IF(N(X19)=0,IFERROR(VLOOKUP(BN19,Автомат_номиналы,2,TRUE),""),X19))</f>
        <v/>
      </c>
      <c r="BP19">
        <f t="shared" si="10"/>
        <v>1</v>
      </c>
      <c r="BQ19">
        <f>IF(ISNUMBER(Y19),Y19,К_прокл)</f>
        <v>1</v>
      </c>
      <c r="BR19">
        <f t="shared" si="11"/>
        <v>3</v>
      </c>
      <c r="BS19" t="str" cm="1">
        <f t="array" ref="BS19">IF(D19="","",IF(N(BK19)&lt;&gt;0,BK19,IFERROR(_xlfn.LET(_xlpm.need,BO19/(BP19*BQ19),_xlpm.t,CHOOSE(BR19,Iдоп_1ж,Iдоп_2ж,Iдоп_3ж),_xlpm.k,_xlfn.XMATCH(_xlpm.need,_xlpm.t,1),IF(ISNA(_xlpm.k),"Не исп",INDEX(Iдоп_S,_xlpm.k))),"Не исп")))</f>
        <v/>
      </c>
      <c r="BT19" t="str">
        <f>IFERROR(VLOOKUP(BS19,Кабель_сопротивление,3,FALSE),"")</f>
        <v/>
      </c>
      <c r="BU19" t="str">
        <f>IFERROR(VLOOKUP(BS19,Кабель_сопротивление,2,FALSE),"")</f>
        <v/>
      </c>
      <c r="BV19" t="str">
        <f t="shared" si="12"/>
        <v/>
      </c>
      <c r="BW19" s="6" t="str">
        <f>IF(D19="","",IFERROR(IF(VLOOKUP(AT19,Потребители_обозначение,4,FALSE)=1,VLOOKUP(AT19,Потребители_обозначение,3,FALSE)*(H19*2-1)+BV19+VLOOKUP(AV19,Этаж_обозначение,3,FALSE)+VLOOKUP(AV19,Этаж_обозначение,4,FALSE),VLOOKUP(AT19,Потребители_обозначение,3,FALSE)*(H19*2-1)+BV19),BV19))</f>
        <v/>
      </c>
      <c r="BX19" t="str">
        <f t="shared" si="13"/>
        <v/>
      </c>
      <c r="BY19" t="str">
        <f t="shared" si="14"/>
        <v/>
      </c>
      <c r="BZ19" t="str">
        <f t="shared" si="15"/>
        <v/>
      </c>
      <c r="CA19" t="str">
        <f t="shared" si="16"/>
        <v/>
      </c>
      <c r="CB19" t="str">
        <f t="shared" si="17"/>
        <v/>
      </c>
      <c r="CC19" s="6" t="str">
        <f>IFERROR(ROUNDUP(CB19/((Uн_лин/SQRT(3))*1000)*100,2),"")</f>
        <v/>
      </c>
      <c r="CD19" s="6" t="str">
        <f>IF(ISNUMBER(CC19),CC19+IFERROR(_xlfn.XLOOKUP(A19,Щиты[Щит],Щиты[ΔU до шин, %]),0),"")</f>
        <v/>
      </c>
      <c r="CE19" s="6" t="str">
        <f>IF(D19="","",IF(IFERROR(VLOOKUP(AT19,УГО_спр,2,FALSE),"")="Светильник",3,4)+IF(Методика="нормы 2026",MIN(0.5,MAX(0,N(BW19)-100)*0.005),0))</f>
        <v/>
      </c>
      <c r="CF19" t="str">
        <f>IFERROR(VLOOKUP(BI19,Кабель_обозначение,2,FALSE),"")</f>
        <v/>
      </c>
      <c r="CG19" t="str">
        <f>IFERROR(IF(VLOOKUP(BI19,Кабель_обозначение,3,FALSE)=1,CF19&amp;" ("&amp;BJ19&amp;"х"&amp;BS19&amp;")",CF19),"")</f>
        <v/>
      </c>
      <c r="CH19" t="str">
        <f t="shared" si="18"/>
        <v/>
      </c>
      <c r="CI19" t="str">
        <f>IFERROR(2*ρкз_Cu*BW19/BS19,"")</f>
        <v/>
      </c>
      <c r="CJ19" t="str">
        <f t="shared" si="19"/>
        <v/>
      </c>
      <c r="CK19" s="6" t="str">
        <f>IFERROR(IF(OR(D19="",NOT(ISNUMBER(BS19)),N(BW19)=0),"",_xlfn.XLOOKUP(A19,Щиты[Щит],Щиты[Zпетли на шинах, Ом])+CI19),"")</f>
        <v/>
      </c>
      <c r="CL19" s="6" t="str">
        <f>IF(ISNUMBER(CK19),c_min*(Uн_лин*1000/SQRT(3))/CK19,"")</f>
        <v/>
      </c>
      <c r="CM19" s="6" t="str">
        <f>IFERROR(IF(OR(D19="",NOT(ISNUMBER(BS19))),"",1.05*(Uн_лин*1000/SQRT(3))/(_xlfn.XLOOKUP(A19,Щиты[Щит],Щиты[Zmax на шинах, Ом])+CJ19)/1000),"")</f>
        <v/>
      </c>
      <c r="CN19" s="6" t="str">
        <f>IF(D19="","",IF(BA19&lt;&gt;"","Щит",IF(K19&lt;&gt;"",K19,IF(ISNUMBER(L19),"Сил",IF(IFERROR(_xlfn.XLOOKUP(AT19,Коды_код,Коды_группа)&amp;"","")="","Быт",_xlfn.XLOOKUP(AT19,Коды_код,Коды_группа)&amp;"")))))</f>
        <v/>
      </c>
      <c r="CO19" s="6" t="str">
        <f>IF(CN19="Щит","щит",IF(CN19="","",IF(CN19="Быт",IFERROR(_xlfn.XLOOKUP(A19,Щиты[Щит],Щиты[Кс быт]),1),IF(CN19="Сил",IF(ISNUMBER(L19),L19,IF(Методика="нормы 2026",IFERROR(_xlfn.XLOOKUP(A19,Щиты[Щит],Щиты[Кс силовых (табл. 7.5)]),1),1)),IF(OR(CN19="Пост",CN19="Отоп"),1,IF(CN19="ВНГ",0.7,0))))))</f>
        <v/>
      </c>
      <c r="CP19" t="str">
        <f t="shared" si="20"/>
        <v/>
      </c>
      <c r="CQ19">
        <f t="shared" si="21"/>
        <v>0</v>
      </c>
      <c r="CR19">
        <f t="shared" si="22"/>
        <v>0</v>
      </c>
      <c r="CS19">
        <f t="shared" si="23"/>
        <v>0</v>
      </c>
      <c r="CT19">
        <f t="shared" si="24"/>
        <v>0</v>
      </c>
      <c r="CU19">
        <f t="shared" si="25"/>
        <v>0</v>
      </c>
      <c r="CV19">
        <f t="shared" si="26"/>
        <v>0</v>
      </c>
      <c r="CW19">
        <f t="shared" si="27"/>
        <v>0</v>
      </c>
      <c r="CX19">
        <f t="shared" si="28"/>
        <v>0</v>
      </c>
      <c r="CY19">
        <f t="shared" si="29"/>
        <v>0</v>
      </c>
      <c r="CZ19" t="str">
        <f t="shared" si="30"/>
        <v/>
      </c>
      <c r="DA19" cm="1">
        <f t="array" ref="DA19">IFERROR(IF(BL19=2,_xlfn.IFS(BH19=3,VLOOKUP(BF19,Справочная_двигатели,3,FALSE),BH19=1,VLOOKUP(BF19,Справочная_двигатели,5,TRUE)),0),0)</f>
        <v>0</v>
      </c>
      <c r="DB19">
        <f>IFERROR(IF(BL19=3,VLOOKUP(BF19,Справочная_ЛЭД,2,TRUE),0),0)</f>
        <v>0</v>
      </c>
      <c r="DC19" s="6" t="str">
        <f t="shared" si="31"/>
        <v/>
      </c>
      <c r="DD19" t="str">
        <f t="shared" si="32"/>
        <v/>
      </c>
      <c r="DE19" t="str" cm="1">
        <f t="array" ref="DE19">IF(D19="","",IFERROR(INDEX({"I особая","I","II","III"},MATCH(TRIM(AA19&amp;""),{"I особая","I","II","III"},0)),"III"))</f>
        <v/>
      </c>
      <c r="DF19" t="str">
        <f>IF(D19="","",IF(TRIM(AB19&amp;"")&lt;&gt;"",IF(LOWER(TRIM(AB19&amp;""))="да","да","нет"),IF(IFERROR(_xlfn.XLOOKUP(AT19,Коды_код,Коды_пожарная),"")="да","да","нет")))</f>
        <v/>
      </c>
      <c r="DG19" t="str">
        <f t="shared" si="33"/>
        <v/>
      </c>
      <c r="DH19" t="str">
        <f t="shared" si="34"/>
        <v/>
      </c>
      <c r="DI19">
        <f t="shared" si="35"/>
        <v>1</v>
      </c>
      <c r="DJ19" t="str" cm="1">
        <f t="array" ref="DJ19">IF(D19="","",_xlfn.LET(_xlpm.t,IFERROR(_xlfn.XLOOKUP(1,(Шины[Шина]=DH19)*(((Шины[Щит]=A19)+(Шины[Щит]=""))&gt;0),Шины[Тип]),"")&amp;"",IF(_xlpm.t&lt;&gt;"",_xlpm.t,IF(ISNUMBER(SEARCH("ИБП",DH19)),"ИБП",IF(ISNUMBER(SEARCH("ДГУ",DH19)),"ДГУ","Ввод "&amp;DI19)))))</f>
        <v/>
      </c>
      <c r="DK19" t="str">
        <f t="shared" si="36"/>
        <v/>
      </c>
      <c r="DL19" t="str">
        <f>IF(D19="","",IF(OR(DJ19="ИБП",DJ19="ДГУ"),"I особая",IF(DJ19="Одиночная","III",_xlfn.XLOOKUP(A19,Щиты[Щит],Щиты[Категория шины «Ввод»],"III"))))</f>
        <v/>
      </c>
      <c r="DM19">
        <f>IF(D19="",0,IFERROR(MATCH(DE19,{"III","II","I","I особая"},0),1))</f>
        <v>0</v>
      </c>
      <c r="DN19">
        <f t="shared" si="37"/>
        <v>0</v>
      </c>
      <c r="DO19" t="str">
        <f>IF(D19="","",IF(DM19&gt;IFERROR(MATCH(DL19,{"III","II","I","I особая"},0),1),"НЕ ОБЕСПЕЧЕНА","ОК"))</f>
        <v/>
      </c>
      <c r="DP19" t="str">
        <f>IF(A19="","",_xlfn.XLOOKUP(A19,Щиты[Щит],Щиты[Путь],""))</f>
        <v>|ЩР|</v>
      </c>
      <c r="DQ19" t="str">
        <f>IF(D19="","",IF(Z19&lt;&gt;"",Z19,IF(IFERROR(_xlfn.XLOOKUP(AT19,Коды_код,Коды_вид)&amp;"","")="","Прочее",_xlfn.XLOOKUP(AT19,Коды_код,Коды_вид)&amp;"")))</f>
        <v/>
      </c>
      <c r="DR19">
        <f>IF(BD19="","",INT((BD19-1)/Столбцов_на_лист)+1)</f>
        <v>1</v>
      </c>
      <c r="DS19" t="str">
        <f t="shared" si="38"/>
        <v/>
      </c>
      <c r="DT19" t="str">
        <f t="shared" si="39"/>
        <v/>
      </c>
      <c r="DU19" t="str">
        <f t="shared" si="40"/>
        <v/>
      </c>
      <c r="DV19" t="str">
        <f t="shared" si="41"/>
        <v/>
      </c>
      <c r="DW19">
        <f>IF(AT19="",0,_xlfn.LET(_xlpm.v,IFERROR(VLOOKUP(D19,УГО_спр,3,FALSE),IFERROR(VLOOKUP(AT19,УГО_спр,3,FALSE),IFERROR(VLOOKUP(LEFT(AT19,2),УГО_спр,3,FALSE),""))),IF(_xlpm.v="да",30,IF(ISNUMBER(_xlpm.v),_xlpm.v,0))))</f>
        <v>0</v>
      </c>
      <c r="DX19">
        <f t="shared" si="42"/>
        <v>0</v>
      </c>
      <c r="DY19" t="str">
        <f>IF(BD19="","",IF(AD19&lt;&gt;"",COUNTIFS(A$3:A19,A19,AD$3:AD19,"?*"),IF(OR(OR(AS19=1,A19&lt;&gt;A18),AL19="вручную"),"",IF(AS19=1,"",DZ18))))</f>
        <v/>
      </c>
      <c r="DZ19" t="str">
        <f t="shared" si="43"/>
        <v/>
      </c>
      <c r="EA19">
        <f>IF(D19="",0,MAX(IFERROR(--X19,0),IFERROR(--VLOOKUP(D19,УГО_спр,4,FALSE),IFERROR(--VLOOKUP(AT19,УГО_спр,4,FALSE),IFERROR(--VLOOKUP(LEFT(AT19,2),УГО_спр,4,FALSE),0)))))</f>
        <v>0</v>
      </c>
      <c r="EB19" t="str">
        <f>IF(D19="","",IFERROR(LOOKUP(INDEX(CHOOSE(BR19,Iдоп_1ж,Iдоп_2ж,Iдоп_3ж),MATCH(BS19,Iдоп_S,0))*BP19*BQ19,{6,10,16,20,25,32,40,50,63,80,100,125,160,200,250,315,400,500,630}),""))</f>
        <v/>
      </c>
      <c r="EC19" t="str">
        <f>IF(AD19="","",SUMIFS(Линии[_Ток схемы],Линии[_гр.],DY19,Линии[Щит],A19,Линии[_в кабель выше],0))</f>
        <v/>
      </c>
      <c r="ED19" t="str">
        <f>IF(AD19="","",IFERROR(VLOOKUP(EC19,Автомат_номиналы,2,TRUE),""))</f>
        <v/>
      </c>
      <c r="EE19" t="str">
        <f>IF(AD19="","",MAX(N(ED19),_xlfn.MAXIFS(Линии[_мин. по типу],Линии[_гр.],DY19,Линии[Щит],A19)))</f>
        <v/>
      </c>
      <c r="EF19" t="str">
        <f>IF(AD19="","",_xlfn.MINIFS(Линии[_макс. автомат по кабелю],Линии[_гр.],DY19,Линии[Щит],A19))</f>
        <v/>
      </c>
      <c r="EG19" t="str">
        <f>IF(AD19="","",MAX(1,_xlfn.MAXIFS(Линии[_фаз],Линии[_гр.],DY19,Линии[Щит],A19)))</f>
        <v/>
      </c>
      <c r="EH19" t="str">
        <f>IF(AD19="","",IF(AND(AD19&lt;&gt;"авто",AD19&lt;&gt;"+"),IF(ISNUMBER(SEARCH("мА",AD19)),IFERROR(--TRIM(RIGHT(SUBSTITUTE(LEFT(AD19,SEARCH("мА",AD19)-1)," ",REPT(" ",9)),6)),30),0),IF(AE19="нет",0,IF(ISNUMBER(AE19),AE19,IF(AE19="да",30,_xlfn.MINIFS(Линии[_дифзащита по коду, мА],Линии[_гр.],DY19,Линии[Щит],A19,Линии[_дифзащита по коду, мА],"&gt;0"))))))</f>
        <v/>
      </c>
      <c r="EI19" t="str">
        <f t="shared" si="44"/>
        <v/>
      </c>
      <c r="EJ19" t="str">
        <f t="shared" si="45"/>
        <v/>
      </c>
      <c r="EK19" t="str">
        <f t="shared" si="46"/>
        <v/>
      </c>
      <c r="EL19" t="str">
        <f t="shared" si="47"/>
        <v/>
      </c>
      <c r="EM19">
        <f t="shared" si="48"/>
        <v>0</v>
      </c>
      <c r="EN19" t="str">
        <f>IF(AD19="","",IF(EM19=1,MAX(EE19,Мин_автомат_БП),EE19))</f>
        <v/>
      </c>
      <c r="EO19" t="str">
        <f t="shared" si="49"/>
        <v/>
      </c>
      <c r="EP19" t="str">
        <f t="shared" si="50"/>
        <v/>
      </c>
      <c r="EQ19" t="str">
        <f t="shared" si="51"/>
        <v/>
      </c>
      <c r="ER19" t="str">
        <f>IF(OR(AI19="",AI19="-"),"",IFERROR(VLOOKUP(AI19,Модули_спр,2,FALSE),"R"))</f>
        <v/>
      </c>
      <c r="ES19" t="str">
        <f>IF(ER19="","",ER19&amp;"."&amp;COUNTIFS(A$3:A19,A19,ER$3:ER19,ER19))</f>
        <v/>
      </c>
      <c r="ET19" t="str">
        <f t="shared" si="52"/>
        <v/>
      </c>
      <c r="EU19" t="str">
        <f t="shared" si="53"/>
        <v/>
      </c>
      <c r="EV19" t="str">
        <f t="shared" si="54"/>
        <v/>
      </c>
      <c r="EW19" t="str">
        <f t="shared" si="55"/>
        <v/>
      </c>
      <c r="EX19">
        <f t="shared" si="56"/>
        <v>0</v>
      </c>
      <c r="EY19" t="str">
        <f>IF(AK19="нет","",IF(AK19&lt;&gt;"",AK19,IF(EX19=1,"XT"&amp;COUNTIFS(A$3:A19,A19,EX$3:EX19,1),"")))</f>
        <v/>
      </c>
      <c r="EZ19" t="str">
        <f t="shared" si="57"/>
        <v/>
      </c>
      <c r="FA19" t="str">
        <f t="shared" si="58"/>
        <v/>
      </c>
      <c r="FB19" t="str">
        <f t="shared" si="59"/>
        <v/>
      </c>
      <c r="FC19" t="str">
        <f>IF(OR(EV19="",ET19=""),"",IF(EV19&gt;IFERROR(VLOOKUP(EU19,Модули_спр,3,FALSE),99),"ЛИШНИЙ КАНАЛ",IF(AND(AJ19&lt;&gt;"=",COUNTIFS(Линии[_модуль гр.],ET19,Линии[Канал (итог)],EV19,Линии[Канал],"&lt;&gt;=",Линии[Щит],A19)&gt;1),"ДУБЛЬ КАНАЛА","")))</f>
        <v/>
      </c>
      <c r="FD19" t="str">
        <f t="shared" si="60"/>
        <v/>
      </c>
      <c r="FE19" t="str">
        <f t="shared" si="61"/>
        <v/>
      </c>
      <c r="FF19" t="str">
        <f t="shared" si="62"/>
        <v/>
      </c>
      <c r="FG19" t="str">
        <f t="shared" si="63"/>
        <v/>
      </c>
      <c r="FH19" s="6" t="str">
        <f t="shared" si="64"/>
        <v/>
      </c>
      <c r="FI19">
        <f t="shared" si="65"/>
        <v>10</v>
      </c>
      <c r="FJ19" t="str">
        <f t="shared" si="66"/>
        <v/>
      </c>
      <c r="FK19" t="str">
        <f>IF(AND(D19="",EZ19=""),"",_xlfn.TEXTJOIN("; ",TRUE,IF(AND(D19&lt;&gt;"",DD19=""),"нет фазы",""),IF(AND(D19&lt;&gt;"",N(DT19)=0,CN19&lt;&gt;"Нет"),"нет мощности",""),IF(AND(EY19&lt;&gt;"",COUNTIFS(Линии[Щит],A19,Линии[Клемма (итог)],EY19)&gt;1),"дубль клеммы "&amp;EY19,""),IF(AND(FB19&lt;&gt;"",FB19&lt;&gt;"ok"),FB19,""),IF(FC19&lt;&gt;"",FC19,""),IF(AND(ISNUMBER(SEARCH("(5х",DS19)),N(DV19)=1),"5 жил на 1 фазе",""),IF(AND(AT19="R",AD19&lt;&gt;"",OR(N(EH19)=0,N(EH19)&gt;30)),"розетка без дифзащиты до 30 мА",""),IFERROR(IF(AND(ISNUMBER(CD19),CD19&gt;CE19),"потери "&amp;FIXED(CD19,1)&amp;" % &gt; "&amp;CE19&amp;" %",""),""),IFERROR(IF(LEFT(FJ19,4)="мало","Iкз мало — отключение &gt; 0,4 с",""),""),IF(AND(D19&lt;&gt;"",BD19=""),"не на схеме","")))</f>
        <v/>
      </c>
      <c r="FL19" s="6" t="str">
        <f>IF(AD19="","",_xlfn.LET(_xlpm.t,IFERROR(_xlfn.XLOOKUP(EP19,Каталог!$U$4:$U$500,Каталог!$G$4:$G$500),""),_xlpm.k,SEARCH("кА",_xlpm.t),IFERROR(--TRIM(RIGHT(SUBSTITUTE(MID(_xlpm.t,MAX(1,_xlpm.k-4),_xlpm.k-MAX(1,_xlpm.k-4))," ",REPT(" ",9)),5)),"")))</f>
        <v/>
      </c>
      <c r="FM19" t="str">
        <f>IF(OR(FL19="",AD19=""),"",IF(_xlfn.XLOOKUP(A19,Щиты[Щит],Щиты[Iкз max на шинах, кА],"")="","",IF(FL19&lt;_xlfn.XLOOKUP(A19,Щиты[Щит],Щиты[Iкз max на шинах, кА]),"Icu "&amp;FL19&amp;" кА &lt; Iкз max","ok")))</f>
        <v/>
      </c>
      <c r="FN19" t="str">
        <f t="shared" si="67"/>
        <v/>
      </c>
      <c r="FO19" t="str">
        <f t="shared" si="68"/>
        <v/>
      </c>
      <c r="FP19" t="str" cm="1">
        <f t="array" ref="FP19">IF(FO19="","",_xlfn.LET(_xlpm.nd,_xlfn.TEXTSPLIT(FO19,"|"),IF(COLUMNS(_xlpm.nd)&gt;1,A19&amp;"¦"&amp;INDEX(_xlpm.nd,1)&amp;"¦"&amp;INDEX(_xlpm.nd,2),"")))</f>
        <v/>
      </c>
      <c r="FQ19" t="str">
        <f t="shared" si="69"/>
        <v/>
      </c>
      <c r="FR19" t="str" cm="1">
        <f t="array" ref="FR19">IF(FO19="","",_xlfn.LET(_xlpm.nd,_xlfn.TEXTSPLIT(FO19,"|"),IF(COLUMNS(_xlpm.nd)&gt;2,A19&amp;"¦"&amp;INDEX(_xlpm.nd,2)&amp;"¦"&amp;INDEX(_xlpm.nd,3),"")))</f>
        <v/>
      </c>
      <c r="FS19" t="str">
        <f t="shared" si="70"/>
        <v/>
      </c>
      <c r="FT19" t="str" cm="1">
        <f t="array" ref="FT19">IF(FO19="","",_xlfn.LET(_xlpm.nd,_xlfn.TEXTSPLIT(FO19,"|"),IF(COLUMNS(_xlpm.nd)&gt;3,A19&amp;"¦"&amp;INDEX(_xlpm.nd,3)&amp;"¦"&amp;INDEX(_xlpm.nd,4),"")))</f>
        <v/>
      </c>
      <c r="FU19" t="str">
        <f t="shared" si="71"/>
        <v/>
      </c>
      <c r="FV19" t="str" cm="1">
        <f t="array" ref="FV19">IF(FO19="","",_xlfn.LET(_xlpm.nd,_xlfn.TEXTSPLIT(FO19,"|"),IF(COLUMNS(_xlpm.nd)&gt;4,A19&amp;"¦"&amp;INDEX(_xlpm.nd,4)&amp;"¦"&amp;INDEX(_xlpm.nd,5),"")))</f>
        <v/>
      </c>
      <c r="FW19" t="str">
        <f t="shared" si="72"/>
        <v/>
      </c>
      <c r="FX19" t="str" cm="1">
        <f t="array" ref="FX19">IF(FO19="","",_xlfn.LET(_xlpm.nd,_xlfn.TEXTSPLIT(FO19,"|"),IF(COLUMNS(_xlpm.nd)&gt;5,A19&amp;"¦"&amp;INDEX(_xlpm.nd,5)&amp;"¦"&amp;INDEX(_xlpm.nd,6),"")))</f>
        <v/>
      </c>
      <c r="FY19" t="str">
        <f t="shared" si="73"/>
        <v/>
      </c>
      <c r="FZ19" t="str" cm="1">
        <f t="array" ref="FZ19">IF(FO19="","",_xlfn.LET(_xlpm.nd,_xlfn.TEXTSPLIT(FO19,"|"),IF(COLUMNS(_xlpm.nd)&gt;6,A19&amp;"¦"&amp;INDEX(_xlpm.nd,6)&amp;"¦"&amp;INDEX(_xlpm.nd,7),"")))</f>
        <v/>
      </c>
      <c r="GA19" t="str">
        <f t="shared" si="74"/>
        <v/>
      </c>
      <c r="GB19" t="str">
        <f t="shared" si="75"/>
        <v/>
      </c>
      <c r="GC19" t="str">
        <f t="shared" si="76"/>
        <v/>
      </c>
      <c r="GD19">
        <f t="shared" si="77"/>
        <v>0</v>
      </c>
      <c r="GE19">
        <f t="shared" si="78"/>
        <v>0</v>
      </c>
      <c r="GF19">
        <f t="shared" si="79"/>
        <v>0</v>
      </c>
      <c r="GG19" t="str">
        <f t="shared" si="80"/>
        <v/>
      </c>
      <c r="GH19" t="str">
        <f t="shared" si="81"/>
        <v/>
      </c>
      <c r="GI19" t="str">
        <f t="shared" si="82"/>
        <v/>
      </c>
      <c r="GJ19" t="str">
        <f t="shared" si="83"/>
        <v/>
      </c>
      <c r="GK19" t="str">
        <f>IF(D19="","",IFERROR(VLOOKUP(D19,УГО_спр,2,FALSE),IFERROR(VLOOKUP(AT19,УГО_спр,2,FALSE),IFERROR(VLOOKUP(LEFT(AT19,2),УГО_спр,2,FALSE),""))))</f>
        <v/>
      </c>
      <c r="GL19" t="str">
        <f>IF(D19="","",IF(OR(GK19="",GK19=0),"BOX",IFERROR(IF(VLOOKUP(GK19,УГО_блоки,3,FALSE)&amp;""&lt;&gt;"",VLOOKUP(GK19,УГО_блоки,3,FALSE),VLOOKUP(GK19,УГО_блоки,2,FALSE)),GK19)))</f>
        <v/>
      </c>
      <c r="GM19">
        <f t="shared" si="84"/>
        <v>0</v>
      </c>
      <c r="GN19" t="str">
        <f>IF(EP19="","",IF(COUNTIF(EP$3:EP19,EP19)=1,MAX(GN$2:GN18)+1,""))</f>
        <v/>
      </c>
      <c r="GO19" t="str">
        <f>IF(AF19="","",IF(COUNTIF(AF$3:AF19,AF19)+COUNTIF(AG$2:AG18,AF19)+COUNTIF(AH$2:AH18,AF19)=1,MAX(GO$2:GQ18)+1,""))</f>
        <v/>
      </c>
      <c r="GP19" t="str">
        <f>IF(AG19="","",IF(COUNTIF(AF$3:AF19,AG19)+COUNTIF(AG$3:AG19,AG19)+COUNTIF(AH$2:AH18,AG19)=1,MAX(GO$2:GQ18,GO19)+1,""))</f>
        <v/>
      </c>
      <c r="GQ19" t="str">
        <f>IF(AH19="","",IF(COUNTIF(AF$3:AF19,AH19)+COUNTIF(AG$3:AG19,AH19)+COUNTIF(AH$3:AH19,AH19)=1,MAX(GO$2:GQ18,GO19,GP19)+1,""))</f>
        <v/>
      </c>
      <c r="GR19" t="str">
        <f t="shared" si="85"/>
        <v/>
      </c>
      <c r="GS19" t="str">
        <f>IF(GR19="","",IF(COUNTIF(GR$3:GR19,GR19)=1,MAX(GS$2:GS18)+1,""))</f>
        <v/>
      </c>
      <c r="GT19" t="str">
        <f>IF(ES19="","",COUNTIF(ES$3:ES19,"?*"))</f>
        <v/>
      </c>
      <c r="GU19" t="str">
        <f>IF(OR(ES19="",EU19=""),"",IF(COUNTIFS(ES$3:ES19,"?*",EU$3:EU19,EU19)=1,MAX(GU$2:GU18)+1,""))</f>
        <v/>
      </c>
      <c r="GV19">
        <f t="shared" si="86"/>
        <v>0</v>
      </c>
      <c r="GW19" t="str">
        <f>IF(D19="","",COUNTIF(D$3:D19,"?*"))</f>
        <v/>
      </c>
      <c r="GX19">
        <f>IF(EX19&lt;&gt;1,0,_xlfn.LET(_xlpm.k,MAX(IFERROR(--VLOOKUP(D19,УГО_спр,5,FALSE),0),IFERROR(--VLOOKUP(AT19,УГО_спр,5,FALSE),0),IFERROR(--VLOOKUP(LEFT(AT19,2),УГО_спр,5,FALSE),0)),IF(_xlpm.k&gt;0,_xlpm.k,IF(IFERROR(--LEFT(SUBSTITUTE(GR19,"x","х"),FIND("х",SUBSTITUTE(GR19,"x","х"))-1),3)&gt;3,Каталог!$S$9,1))))</f>
        <v>0</v>
      </c>
      <c r="GY19">
        <f t="shared" si="87"/>
        <v>0</v>
      </c>
    </row>
    <row r="20" spans="1:207" x14ac:dyDescent="0.3">
      <c r="A20" t="s">
        <v>206</v>
      </c>
      <c r="B20">
        <v>18</v>
      </c>
      <c r="C20" t="str">
        <f>IF(BD20="","",IF(BE20="вводной узел","узел ","")&amp;"л."&amp;(INT((BD20-1)/Столбцов_на_лист)+1)&amp;" / "&amp;(MOD(BD20-1,Столбцов_на_лист)+1))</f>
        <v>узел л.2 / 1</v>
      </c>
      <c r="E20" s="133" t="str">
        <f t="shared" si="0"/>
        <v/>
      </c>
      <c r="AL20" t="s">
        <v>559</v>
      </c>
      <c r="AR20" t="str">
        <f t="shared" si="1"/>
        <v/>
      </c>
      <c r="AS20" cm="1">
        <f t="array" ref="AS20">ROW()-ROW(Линии[#Headers])</f>
        <v>18</v>
      </c>
      <c r="AT20" s="6" t="str">
        <f t="shared" si="2"/>
        <v/>
      </c>
      <c r="AU20" t="str">
        <f t="shared" si="3"/>
        <v/>
      </c>
      <c r="AV20" t="str">
        <f t="shared" si="4"/>
        <v/>
      </c>
      <c r="AW20" t="str">
        <f t="shared" si="5"/>
        <v/>
      </c>
      <c r="AX20" t="str">
        <f t="shared" si="6"/>
        <v/>
      </c>
      <c r="AY20" t="str">
        <f>IF(D20="","",IF(ISERROR(SEARCH(".",D20)),IFERROR(VLOOKUP(D20,Потребители_обозначение,2,FALSE)&amp;"",""),IFERROR(IF(VLOOKUP(AT20,Потребители_обозначение,4,FALSE)=1,VLOOKUP(AT20,Потребители_обозначение,2,FALSE)&amp;" "&amp;VLOOKUP(AV20,Этаж_обозначение,2,FALSE)&amp;" Пом. №"&amp;AX20,VLOOKUP(AT20,Потребители_обозначение,2,FALSE)&amp;" Шлейф №"&amp;AV20),IFERROR(VLOOKUP(D20,Потребители_обозначение,2,FALSE),""))))</f>
        <v/>
      </c>
      <c r="AZ20" t="str">
        <f t="shared" si="7"/>
        <v/>
      </c>
      <c r="BA20" t="str">
        <f>IF(F20&lt;&gt;"",F20,IF(AND(D20&lt;&gt;"",D20&lt;&gt;A20,ISNUMBER(_xlfn.XMATCH(D20,Щиты[Щит]))),D20,""))</f>
        <v/>
      </c>
      <c r="BB20">
        <f>IFERROR(_xlfn.XMATCH(A20,Щиты[Щит]),0)</f>
        <v>1</v>
      </c>
      <c r="BC20">
        <f>IFERROR(N(_xlfn.XLOOKUP(A20,Щиты[Щит],Щиты[Мест под вводной узел])),15)</f>
        <v>18</v>
      </c>
      <c r="BD20">
        <f t="shared" si="8"/>
        <v>18</v>
      </c>
      <c r="BE20" t="str">
        <f t="shared" si="9"/>
        <v>вводной узел</v>
      </c>
      <c r="BF20" s="6" t="str">
        <f>IF(D20="","",IF(BA20&lt;&gt;"",IFERROR(_xlfn.XLOOKUP(BA20,Щиты[Щит],Щиты[Руст, кВт]),0),N(G20)))</f>
        <v/>
      </c>
      <c r="BG20" t="str">
        <f>IF(J20&lt;&gt;"",J20,IF(D20="","",IFERROR(IF(VLOOKUP(AT20,Потребители_обозначение,8,FALSE)=0,"",VLOOKUP(AT20,Потребители_обозначение,8,FALSE)),"")))</f>
        <v/>
      </c>
      <c r="BH20" t="str">
        <f>IF(I20&lt;&gt;"",I20,IF(D20="","",IFERROR(IF(VLOOKUP(AT20,Потребители_обозначение,9,FALSE)=0,"",VLOOKUP(AT20,Потребители_обозначение,9,FALSE)),"")))</f>
        <v/>
      </c>
      <c r="BI20" t="str">
        <f>IF(U20&lt;&gt;"",U20,IF(D20="","",IFERROR(IF(VLOOKUP(AT20,Потребители_обозначение,6,FALSE)=0,"",VLOOKUP(AT20,Потребители_обозначение,6,FALSE)),"")))</f>
        <v/>
      </c>
      <c r="BJ20" t="str">
        <f>IF(V20&lt;&gt;"",V20,IF(D20="","",IFERROR(IF(VLOOKUP(AT20,Потребители_обозначение,7,FALSE)=0,"",VLOOKUP(AT20,Потребители_обозначение,7,FALSE)),"")))</f>
        <v/>
      </c>
      <c r="BK20" t="str">
        <f>IF(W20&lt;&gt;"",W20,IF(D20="","",IFERROR(IF(VLOOKUP(AT20,Потребители_обозначение,10,FALSE)=0,"",VLOOKUP(AT20,Потребители_обозначение,10,FALSE)),"")))</f>
        <v/>
      </c>
      <c r="BL20">
        <f>IFERROR(VLOOKUP(AT20,Потребители_обозначение,5,FALSE),0)</f>
        <v>0</v>
      </c>
      <c r="BM20" s="6" t="str" cm="1">
        <f t="array" ref="BM20">IF(D20="","",IF(BA20&lt;&gt;"",IFERROR(_xlfn.XLOOKUP(BA20,Щиты[Щит],Щиты[cos φ]),0.95),IF(ISNUMBER(M20),M20,IFERROR(IF(BL20=2,_xlfn.IFS(BH20=3,VLOOKUP(BF20,Справочная_двигатели,8,FALSE),BH20=1,VLOOKUP(BF20,Справочная_двигатели,10,TRUE)),IF(AND(Методика="нормы 2026",CN20="Сил"),0.8,0.95)),0.95))))</f>
        <v/>
      </c>
      <c r="BN20" s="6" t="str" cm="1">
        <f t="array" ref="BN20">IF(D20="","",IF(BA20&lt;&gt;"",IFERROR(_xlfn.XLOOKUP(BA20,Щиты[Щит],Щиты[Iр, А]),""),IFERROR(_xlfn.IFS(BH20=1,BF20/((Uн_лин/SQRT(3))*BM20),BH20=3,BF20/(SQRT(3)*Uн_лин*BM20)),"")))</f>
        <v/>
      </c>
      <c r="BO20" t="str">
        <f>IF(D20="","",IF(N(X20)=0,IFERROR(VLOOKUP(BN20,Автомат_номиналы,2,TRUE),""),X20))</f>
        <v/>
      </c>
      <c r="BP20">
        <f t="shared" si="10"/>
        <v>1</v>
      </c>
      <c r="BQ20">
        <f>IF(ISNUMBER(Y20),Y20,К_прокл)</f>
        <v>1</v>
      </c>
      <c r="BR20">
        <f t="shared" si="11"/>
        <v>3</v>
      </c>
      <c r="BS20" t="str" cm="1">
        <f t="array" ref="BS20">IF(D20="","",IF(N(BK20)&lt;&gt;0,BK20,IFERROR(_xlfn.LET(_xlpm.need,BO20/(BP20*BQ20),_xlpm.t,CHOOSE(BR20,Iдоп_1ж,Iдоп_2ж,Iдоп_3ж),_xlpm.k,_xlfn.XMATCH(_xlpm.need,_xlpm.t,1),IF(ISNA(_xlpm.k),"Не исп",INDEX(Iдоп_S,_xlpm.k))),"Не исп")))</f>
        <v/>
      </c>
      <c r="BT20" t="str">
        <f>IFERROR(VLOOKUP(BS20,Кабель_сопротивление,3,FALSE),"")</f>
        <v/>
      </c>
      <c r="BU20" t="str">
        <f>IFERROR(VLOOKUP(BS20,Кабель_сопротивление,2,FALSE),"")</f>
        <v/>
      </c>
      <c r="BV20" t="str">
        <f t="shared" si="12"/>
        <v/>
      </c>
      <c r="BW20" s="6" t="str">
        <f>IF(D20="","",IFERROR(IF(VLOOKUP(AT20,Потребители_обозначение,4,FALSE)=1,VLOOKUP(AT20,Потребители_обозначение,3,FALSE)*(H20*2-1)+BV20+VLOOKUP(AV20,Этаж_обозначение,3,FALSE)+VLOOKUP(AV20,Этаж_обозначение,4,FALSE),VLOOKUP(AT20,Потребители_обозначение,3,FALSE)*(H20*2-1)+BV20),BV20))</f>
        <v/>
      </c>
      <c r="BX20" t="str">
        <f t="shared" si="13"/>
        <v/>
      </c>
      <c r="BY20" t="str">
        <f t="shared" si="14"/>
        <v/>
      </c>
      <c r="BZ20" t="str">
        <f t="shared" si="15"/>
        <v/>
      </c>
      <c r="CA20" t="str">
        <f t="shared" si="16"/>
        <v/>
      </c>
      <c r="CB20" t="str">
        <f t="shared" si="17"/>
        <v/>
      </c>
      <c r="CC20" s="6" t="str">
        <f>IFERROR(ROUNDUP(CB20/((Uн_лин/SQRT(3))*1000)*100,2),"")</f>
        <v/>
      </c>
      <c r="CD20" s="6" t="str">
        <f>IF(ISNUMBER(CC20),CC20+IFERROR(_xlfn.XLOOKUP(A20,Щиты[Щит],Щиты[ΔU до шин, %]),0),"")</f>
        <v/>
      </c>
      <c r="CE20" s="6" t="str">
        <f>IF(D20="","",IF(IFERROR(VLOOKUP(AT20,УГО_спр,2,FALSE),"")="Светильник",3,4)+IF(Методика="нормы 2026",MIN(0.5,MAX(0,N(BW20)-100)*0.005),0))</f>
        <v/>
      </c>
      <c r="CF20" t="str">
        <f>IFERROR(VLOOKUP(BI20,Кабель_обозначение,2,FALSE),"")</f>
        <v/>
      </c>
      <c r="CG20" t="str">
        <f>IFERROR(IF(VLOOKUP(BI20,Кабель_обозначение,3,FALSE)=1,CF20&amp;" ("&amp;BJ20&amp;"х"&amp;BS20&amp;")",CF20),"")</f>
        <v/>
      </c>
      <c r="CH20" t="str">
        <f t="shared" si="18"/>
        <v/>
      </c>
      <c r="CI20" t="str">
        <f>IFERROR(2*ρкз_Cu*BW20/BS20,"")</f>
        <v/>
      </c>
      <c r="CJ20" t="str">
        <f t="shared" si="19"/>
        <v/>
      </c>
      <c r="CK20" s="6" t="str">
        <f>IFERROR(IF(OR(D20="",NOT(ISNUMBER(BS20)),N(BW20)=0),"",_xlfn.XLOOKUP(A20,Щиты[Щит],Щиты[Zпетли на шинах, Ом])+CI20),"")</f>
        <v/>
      </c>
      <c r="CL20" s="6" t="str">
        <f>IF(ISNUMBER(CK20),c_min*(Uн_лин*1000/SQRT(3))/CK20,"")</f>
        <v/>
      </c>
      <c r="CM20" s="6" t="str">
        <f>IFERROR(IF(OR(D20="",NOT(ISNUMBER(BS20))),"",1.05*(Uн_лин*1000/SQRT(3))/(_xlfn.XLOOKUP(A20,Щиты[Щит],Щиты[Zmax на шинах, Ом])+CJ20)/1000),"")</f>
        <v/>
      </c>
      <c r="CN20" s="6" t="str">
        <f>IF(D20="","",IF(BA20&lt;&gt;"","Щит",IF(K20&lt;&gt;"",K20,IF(ISNUMBER(L20),"Сил",IF(IFERROR(_xlfn.XLOOKUP(AT20,Коды_код,Коды_группа)&amp;"","")="","Быт",_xlfn.XLOOKUP(AT20,Коды_код,Коды_группа)&amp;"")))))</f>
        <v/>
      </c>
      <c r="CO20" s="6" t="str">
        <f>IF(CN20="Щит","щит",IF(CN20="","",IF(CN20="Быт",IFERROR(_xlfn.XLOOKUP(A20,Щиты[Щит],Щиты[Кс быт]),1),IF(CN20="Сил",IF(ISNUMBER(L20),L20,IF(Методика="нормы 2026",IFERROR(_xlfn.XLOOKUP(A20,Щиты[Щит],Щиты[Кс силовых (табл. 7.5)]),1),1)),IF(OR(CN20="Пост",CN20="Отоп"),1,IF(CN20="ВНГ",0.7,0))))))</f>
        <v/>
      </c>
      <c r="CP20" t="str">
        <f t="shared" si="20"/>
        <v/>
      </c>
      <c r="CQ20">
        <f t="shared" si="21"/>
        <v>0</v>
      </c>
      <c r="CR20">
        <f t="shared" si="22"/>
        <v>0</v>
      </c>
      <c r="CS20">
        <f t="shared" si="23"/>
        <v>0</v>
      </c>
      <c r="CT20">
        <f t="shared" si="24"/>
        <v>0</v>
      </c>
      <c r="CU20">
        <f t="shared" si="25"/>
        <v>0</v>
      </c>
      <c r="CV20">
        <f t="shared" si="26"/>
        <v>0</v>
      </c>
      <c r="CW20">
        <f t="shared" si="27"/>
        <v>0</v>
      </c>
      <c r="CX20">
        <f t="shared" si="28"/>
        <v>0</v>
      </c>
      <c r="CY20">
        <f t="shared" si="29"/>
        <v>0</v>
      </c>
      <c r="CZ20" t="str">
        <f t="shared" si="30"/>
        <v/>
      </c>
      <c r="DA20" cm="1">
        <f t="array" ref="DA20">IFERROR(IF(BL20=2,_xlfn.IFS(BH20=3,VLOOKUP(BF20,Справочная_двигатели,3,FALSE),BH20=1,VLOOKUP(BF20,Справочная_двигатели,5,TRUE)),0),0)</f>
        <v>0</v>
      </c>
      <c r="DB20">
        <f>IFERROR(IF(BL20=3,VLOOKUP(BF20,Справочная_ЛЭД,2,TRUE),0),0)</f>
        <v>0</v>
      </c>
      <c r="DC20" s="6" t="str">
        <f t="shared" si="31"/>
        <v/>
      </c>
      <c r="DD20" t="str">
        <f t="shared" si="32"/>
        <v/>
      </c>
      <c r="DE20" t="str" cm="1">
        <f t="array" ref="DE20">IF(D20="","",IFERROR(INDEX({"I особая","I","II","III"},MATCH(TRIM(AA20&amp;""),{"I особая","I","II","III"},0)),"III"))</f>
        <v/>
      </c>
      <c r="DF20" t="str">
        <f>IF(D20="","",IF(TRIM(AB20&amp;"")&lt;&gt;"",IF(LOWER(TRIM(AB20&amp;""))="да","да","нет"),IF(IFERROR(_xlfn.XLOOKUP(AT20,Коды_код,Коды_пожарная),"")="да","да","нет")))</f>
        <v/>
      </c>
      <c r="DG20" t="str">
        <f t="shared" si="33"/>
        <v/>
      </c>
      <c r="DH20" t="str">
        <f t="shared" si="34"/>
        <v/>
      </c>
      <c r="DI20">
        <f t="shared" si="35"/>
        <v>1</v>
      </c>
      <c r="DJ20" t="str" cm="1">
        <f t="array" ref="DJ20">IF(D20="","",_xlfn.LET(_xlpm.t,IFERROR(_xlfn.XLOOKUP(1,(Шины[Шина]=DH20)*(((Шины[Щит]=A20)+(Шины[Щит]=""))&gt;0),Шины[Тип]),"")&amp;"",IF(_xlpm.t&lt;&gt;"",_xlpm.t,IF(ISNUMBER(SEARCH("ИБП",DH20)),"ИБП",IF(ISNUMBER(SEARCH("ДГУ",DH20)),"ДГУ","Ввод "&amp;DI20)))))</f>
        <v/>
      </c>
      <c r="DK20" t="str">
        <f t="shared" si="36"/>
        <v/>
      </c>
      <c r="DL20" t="str">
        <f>IF(D20="","",IF(OR(DJ20="ИБП",DJ20="ДГУ"),"I особая",IF(DJ20="Одиночная","III",_xlfn.XLOOKUP(A20,Щиты[Щит],Щиты[Категория шины «Ввод»],"III"))))</f>
        <v/>
      </c>
      <c r="DM20">
        <f>IF(D20="",0,IFERROR(MATCH(DE20,{"III","II","I","I особая"},0),1))</f>
        <v>0</v>
      </c>
      <c r="DN20">
        <f t="shared" si="37"/>
        <v>0</v>
      </c>
      <c r="DO20" t="str">
        <f>IF(D20="","",IF(DM20&gt;IFERROR(MATCH(DL20,{"III","II","I","I особая"},0),1),"НЕ ОБЕСПЕЧЕНА","ОК"))</f>
        <v/>
      </c>
      <c r="DP20" t="str">
        <f>IF(A20="","",_xlfn.XLOOKUP(A20,Щиты[Щит],Щиты[Путь],""))</f>
        <v>|ЩР|</v>
      </c>
      <c r="DQ20" t="str">
        <f>IF(D20="","",IF(Z20&lt;&gt;"",Z20,IF(IFERROR(_xlfn.XLOOKUP(AT20,Коды_код,Коды_вид)&amp;"","")="","Прочее",_xlfn.XLOOKUP(AT20,Коды_код,Коды_вид)&amp;"")))</f>
        <v/>
      </c>
      <c r="DR20">
        <f>IF(BD20="","",INT((BD20-1)/Столбцов_на_лист)+1)</f>
        <v>2</v>
      </c>
      <c r="DS20" t="str">
        <f t="shared" si="38"/>
        <v/>
      </c>
      <c r="DT20" t="str">
        <f t="shared" si="39"/>
        <v/>
      </c>
      <c r="DU20" t="str">
        <f t="shared" si="40"/>
        <v/>
      </c>
      <c r="DV20" t="str">
        <f t="shared" si="41"/>
        <v/>
      </c>
      <c r="DW20">
        <f>IF(AT20="",0,_xlfn.LET(_xlpm.v,IFERROR(VLOOKUP(D20,УГО_спр,3,FALSE),IFERROR(VLOOKUP(AT20,УГО_спр,3,FALSE),IFERROR(VLOOKUP(LEFT(AT20,2),УГО_спр,3,FALSE),""))),IF(_xlpm.v="да",30,IF(ISNUMBER(_xlpm.v),_xlpm.v,0))))</f>
        <v>0</v>
      </c>
      <c r="DX20">
        <f t="shared" si="42"/>
        <v>0</v>
      </c>
      <c r="DY20" t="str">
        <f>IF(BD20="","",IF(AD20&lt;&gt;"",COUNTIFS(A$3:A20,A20,AD$3:AD20,"?*"),IF(OR(OR(AS20=1,A20&lt;&gt;A19),AL20="вручную"),"",IF(AS20=1,"",DZ19))))</f>
        <v/>
      </c>
      <c r="DZ20" t="str">
        <f t="shared" si="43"/>
        <v/>
      </c>
      <c r="EA20">
        <f>IF(D20="",0,MAX(IFERROR(--X20,0),IFERROR(--VLOOKUP(D20,УГО_спр,4,FALSE),IFERROR(--VLOOKUP(AT20,УГО_спр,4,FALSE),IFERROR(--VLOOKUP(LEFT(AT20,2),УГО_спр,4,FALSE),0)))))</f>
        <v>0</v>
      </c>
      <c r="EB20" t="str">
        <f>IF(D20="","",IFERROR(LOOKUP(INDEX(CHOOSE(BR20,Iдоп_1ж,Iдоп_2ж,Iдоп_3ж),MATCH(BS20,Iдоп_S,0))*BP20*BQ20,{6,10,16,20,25,32,40,50,63,80,100,125,160,200,250,315,400,500,630}),""))</f>
        <v/>
      </c>
      <c r="EC20" t="str">
        <f>IF(AD20="","",SUMIFS(Линии[_Ток схемы],Линии[_гр.],DY20,Линии[Щит],A20,Линии[_в кабель выше],0))</f>
        <v/>
      </c>
      <c r="ED20" t="str">
        <f>IF(AD20="","",IFERROR(VLOOKUP(EC20,Автомат_номиналы,2,TRUE),""))</f>
        <v/>
      </c>
      <c r="EE20" t="str">
        <f>IF(AD20="","",MAX(N(ED20),_xlfn.MAXIFS(Линии[_мин. по типу],Линии[_гр.],DY20,Линии[Щит],A20)))</f>
        <v/>
      </c>
      <c r="EF20" t="str">
        <f>IF(AD20="","",_xlfn.MINIFS(Линии[_макс. автомат по кабелю],Линии[_гр.],DY20,Линии[Щит],A20))</f>
        <v/>
      </c>
      <c r="EG20" t="str">
        <f>IF(AD20="","",MAX(1,_xlfn.MAXIFS(Линии[_фаз],Линии[_гр.],DY20,Линии[Щит],A20)))</f>
        <v/>
      </c>
      <c r="EH20" t="str">
        <f>IF(AD20="","",IF(AND(AD20&lt;&gt;"авто",AD20&lt;&gt;"+"),IF(ISNUMBER(SEARCH("мА",AD20)),IFERROR(--TRIM(RIGHT(SUBSTITUTE(LEFT(AD20,SEARCH("мА",AD20)-1)," ",REPT(" ",9)),6)),30),0),IF(AE20="нет",0,IF(ISNUMBER(AE20),AE20,IF(AE20="да",30,_xlfn.MINIFS(Линии[_дифзащита по коду, мА],Линии[_гр.],DY20,Линии[Щит],A20,Линии[_дифзащита по коду, мА],"&gt;0"))))))</f>
        <v/>
      </c>
      <c r="EI20" t="str">
        <f t="shared" si="44"/>
        <v/>
      </c>
      <c r="EJ20" t="str">
        <f t="shared" si="45"/>
        <v/>
      </c>
      <c r="EK20" t="str">
        <f t="shared" si="46"/>
        <v/>
      </c>
      <c r="EL20" t="str">
        <f t="shared" si="47"/>
        <v/>
      </c>
      <c r="EM20">
        <f t="shared" si="48"/>
        <v>0</v>
      </c>
      <c r="EN20" t="str">
        <f>IF(AD20="","",IF(EM20=1,MAX(EE20,Мин_автомат_БП),EE20))</f>
        <v/>
      </c>
      <c r="EO20" t="str">
        <f t="shared" si="49"/>
        <v/>
      </c>
      <c r="EP20" t="str">
        <f t="shared" si="50"/>
        <v/>
      </c>
      <c r="EQ20" t="str">
        <f t="shared" si="51"/>
        <v/>
      </c>
      <c r="ER20" t="str">
        <f>IF(OR(AI20="",AI20="-"),"",IFERROR(VLOOKUP(AI20,Модули_спр,2,FALSE),"R"))</f>
        <v/>
      </c>
      <c r="ES20" t="str">
        <f>IF(ER20="","",ER20&amp;"."&amp;COUNTIFS(A$3:A20,A20,ER$3:ER20,ER20))</f>
        <v/>
      </c>
      <c r="ET20" t="str">
        <f t="shared" si="52"/>
        <v/>
      </c>
      <c r="EU20" t="str">
        <f t="shared" si="53"/>
        <v/>
      </c>
      <c r="EV20" t="str">
        <f t="shared" si="54"/>
        <v/>
      </c>
      <c r="EW20" t="str">
        <f t="shared" si="55"/>
        <v/>
      </c>
      <c r="EX20">
        <f t="shared" si="56"/>
        <v>0</v>
      </c>
      <c r="EY20" t="str">
        <f>IF(AK20="нет","",IF(AK20&lt;&gt;"",AK20,IF(EX20=1,"XT"&amp;COUNTIFS(A$3:A20,A20,EX$3:EX20,1),"")))</f>
        <v/>
      </c>
      <c r="EZ20" t="str">
        <f t="shared" si="57"/>
        <v/>
      </c>
      <c r="FA20" t="str">
        <f t="shared" si="58"/>
        <v/>
      </c>
      <c r="FB20" t="str">
        <f t="shared" si="59"/>
        <v/>
      </c>
      <c r="FC20" t="str">
        <f>IF(OR(EV20="",ET20=""),"",IF(EV20&gt;IFERROR(VLOOKUP(EU20,Модули_спр,3,FALSE),99),"ЛИШНИЙ КАНАЛ",IF(AND(AJ20&lt;&gt;"=",COUNTIFS(Линии[_модуль гр.],ET20,Линии[Канал (итог)],EV20,Линии[Канал],"&lt;&gt;=",Линии[Щит],A20)&gt;1),"ДУБЛЬ КАНАЛА","")))</f>
        <v/>
      </c>
      <c r="FD20" t="str">
        <f t="shared" si="60"/>
        <v/>
      </c>
      <c r="FE20" t="str">
        <f t="shared" si="61"/>
        <v/>
      </c>
      <c r="FF20" t="str">
        <f t="shared" si="62"/>
        <v/>
      </c>
      <c r="FG20" t="str">
        <f t="shared" si="63"/>
        <v/>
      </c>
      <c r="FH20" s="6" t="str">
        <f t="shared" si="64"/>
        <v/>
      </c>
      <c r="FI20">
        <f t="shared" si="65"/>
        <v>10</v>
      </c>
      <c r="FJ20" t="str">
        <f t="shared" si="66"/>
        <v/>
      </c>
      <c r="FK20" t="str">
        <f>IF(AND(D20="",EZ20=""),"",_xlfn.TEXTJOIN("; ",TRUE,IF(AND(D20&lt;&gt;"",DD20=""),"нет фазы",""),IF(AND(D20&lt;&gt;"",N(DT20)=0,CN20&lt;&gt;"Нет"),"нет мощности",""),IF(AND(EY20&lt;&gt;"",COUNTIFS(Линии[Щит],A20,Линии[Клемма (итог)],EY20)&gt;1),"дубль клеммы "&amp;EY20,""),IF(AND(FB20&lt;&gt;"",FB20&lt;&gt;"ok"),FB20,""),IF(FC20&lt;&gt;"",FC20,""),IF(AND(ISNUMBER(SEARCH("(5х",DS20)),N(DV20)=1),"5 жил на 1 фазе",""),IF(AND(AT20="R",AD20&lt;&gt;"",OR(N(EH20)=0,N(EH20)&gt;30)),"розетка без дифзащиты до 30 мА",""),IFERROR(IF(AND(ISNUMBER(CD20),CD20&gt;CE20),"потери "&amp;FIXED(CD20,1)&amp;" % &gt; "&amp;CE20&amp;" %",""),""),IFERROR(IF(LEFT(FJ20,4)="мало","Iкз мало — отключение &gt; 0,4 с",""),""),IF(AND(D20&lt;&gt;"",BD20=""),"не на схеме","")))</f>
        <v/>
      </c>
      <c r="FL20" s="6" t="str">
        <f>IF(AD20="","",_xlfn.LET(_xlpm.t,IFERROR(_xlfn.XLOOKUP(EP20,Каталог!$U$4:$U$500,Каталог!$G$4:$G$500),""),_xlpm.k,SEARCH("кА",_xlpm.t),IFERROR(--TRIM(RIGHT(SUBSTITUTE(MID(_xlpm.t,MAX(1,_xlpm.k-4),_xlpm.k-MAX(1,_xlpm.k-4))," ",REPT(" ",9)),5)),"")))</f>
        <v/>
      </c>
      <c r="FM20" t="str">
        <f>IF(OR(FL20="",AD20=""),"",IF(_xlfn.XLOOKUP(A20,Щиты[Щит],Щиты[Iкз max на шинах, кА],"")="","",IF(FL20&lt;_xlfn.XLOOKUP(A20,Щиты[Щит],Щиты[Iкз max на шинах, кА]),"Icu "&amp;FL20&amp;" кА &lt; Iкз max","ok")))</f>
        <v/>
      </c>
      <c r="FN20" t="str">
        <f t="shared" si="67"/>
        <v/>
      </c>
      <c r="FO20" t="str">
        <f t="shared" si="68"/>
        <v/>
      </c>
      <c r="FP20" t="str" cm="1">
        <f t="array" ref="FP20">IF(FO20="","",_xlfn.LET(_xlpm.nd,_xlfn.TEXTSPLIT(FO20,"|"),IF(COLUMNS(_xlpm.nd)&gt;1,A20&amp;"¦"&amp;INDEX(_xlpm.nd,1)&amp;"¦"&amp;INDEX(_xlpm.nd,2),"")))</f>
        <v/>
      </c>
      <c r="FQ20" t="str">
        <f t="shared" si="69"/>
        <v/>
      </c>
      <c r="FR20" t="str" cm="1">
        <f t="array" ref="FR20">IF(FO20="","",_xlfn.LET(_xlpm.nd,_xlfn.TEXTSPLIT(FO20,"|"),IF(COLUMNS(_xlpm.nd)&gt;2,A20&amp;"¦"&amp;INDEX(_xlpm.nd,2)&amp;"¦"&amp;INDEX(_xlpm.nd,3),"")))</f>
        <v/>
      </c>
      <c r="FS20" t="str">
        <f t="shared" si="70"/>
        <v/>
      </c>
      <c r="FT20" t="str" cm="1">
        <f t="array" ref="FT20">IF(FO20="","",_xlfn.LET(_xlpm.nd,_xlfn.TEXTSPLIT(FO20,"|"),IF(COLUMNS(_xlpm.nd)&gt;3,A20&amp;"¦"&amp;INDEX(_xlpm.nd,3)&amp;"¦"&amp;INDEX(_xlpm.nd,4),"")))</f>
        <v/>
      </c>
      <c r="FU20" t="str">
        <f t="shared" si="71"/>
        <v/>
      </c>
      <c r="FV20" t="str" cm="1">
        <f t="array" ref="FV20">IF(FO20="","",_xlfn.LET(_xlpm.nd,_xlfn.TEXTSPLIT(FO20,"|"),IF(COLUMNS(_xlpm.nd)&gt;4,A20&amp;"¦"&amp;INDEX(_xlpm.nd,4)&amp;"¦"&amp;INDEX(_xlpm.nd,5),"")))</f>
        <v/>
      </c>
      <c r="FW20" t="str">
        <f t="shared" si="72"/>
        <v/>
      </c>
      <c r="FX20" t="str" cm="1">
        <f t="array" ref="FX20">IF(FO20="","",_xlfn.LET(_xlpm.nd,_xlfn.TEXTSPLIT(FO20,"|"),IF(COLUMNS(_xlpm.nd)&gt;5,A20&amp;"¦"&amp;INDEX(_xlpm.nd,5)&amp;"¦"&amp;INDEX(_xlpm.nd,6),"")))</f>
        <v/>
      </c>
      <c r="FY20" t="str">
        <f t="shared" si="73"/>
        <v/>
      </c>
      <c r="FZ20" t="str" cm="1">
        <f t="array" ref="FZ20">IF(FO20="","",_xlfn.LET(_xlpm.nd,_xlfn.TEXTSPLIT(FO20,"|"),IF(COLUMNS(_xlpm.nd)&gt;6,A20&amp;"¦"&amp;INDEX(_xlpm.nd,6)&amp;"¦"&amp;INDEX(_xlpm.nd,7),"")))</f>
        <v/>
      </c>
      <c r="GA20" t="str">
        <f t="shared" si="74"/>
        <v/>
      </c>
      <c r="GB20" t="str">
        <f t="shared" si="75"/>
        <v/>
      </c>
      <c r="GC20" t="str">
        <f t="shared" si="76"/>
        <v/>
      </c>
      <c r="GD20">
        <f t="shared" si="77"/>
        <v>0</v>
      </c>
      <c r="GE20">
        <f t="shared" si="78"/>
        <v>0</v>
      </c>
      <c r="GF20">
        <f t="shared" si="79"/>
        <v>0</v>
      </c>
      <c r="GG20" t="str">
        <f t="shared" si="80"/>
        <v/>
      </c>
      <c r="GH20" t="str">
        <f t="shared" si="81"/>
        <v/>
      </c>
      <c r="GI20" t="str">
        <f t="shared" si="82"/>
        <v/>
      </c>
      <c r="GJ20" t="str">
        <f t="shared" si="83"/>
        <v/>
      </c>
      <c r="GK20" t="str">
        <f>IF(D20="","",IFERROR(VLOOKUP(D20,УГО_спр,2,FALSE),IFERROR(VLOOKUP(AT20,УГО_спр,2,FALSE),IFERROR(VLOOKUP(LEFT(AT20,2),УГО_спр,2,FALSE),""))))</f>
        <v/>
      </c>
      <c r="GL20" t="str">
        <f>IF(D20="","",IF(OR(GK20="",GK20=0),"BOX",IFERROR(IF(VLOOKUP(GK20,УГО_блоки,3,FALSE)&amp;""&lt;&gt;"",VLOOKUP(GK20,УГО_блоки,3,FALSE),VLOOKUP(GK20,УГО_блоки,2,FALSE)),GK20)))</f>
        <v/>
      </c>
      <c r="GM20">
        <f t="shared" si="84"/>
        <v>0</v>
      </c>
      <c r="GN20" t="str">
        <f>IF(EP20="","",IF(COUNTIF(EP$3:EP20,EP20)=1,MAX(GN$2:GN19)+1,""))</f>
        <v/>
      </c>
      <c r="GO20" t="str">
        <f>IF(AF20="","",IF(COUNTIF(AF$3:AF20,AF20)+COUNTIF(AG$2:AG19,AF20)+COUNTIF(AH$2:AH19,AF20)=1,MAX(GO$2:GQ19)+1,""))</f>
        <v/>
      </c>
      <c r="GP20" t="str">
        <f>IF(AG20="","",IF(COUNTIF(AF$3:AF20,AG20)+COUNTIF(AG$3:AG20,AG20)+COUNTIF(AH$2:AH19,AG20)=1,MAX(GO$2:GQ19,GO20)+1,""))</f>
        <v/>
      </c>
      <c r="GQ20" t="str">
        <f>IF(AH20="","",IF(COUNTIF(AF$3:AF20,AH20)+COUNTIF(AG$3:AG20,AH20)+COUNTIF(AH$3:AH20,AH20)=1,MAX(GO$2:GQ19,GO20,GP20)+1,""))</f>
        <v/>
      </c>
      <c r="GR20" t="str">
        <f t="shared" si="85"/>
        <v/>
      </c>
      <c r="GS20" t="str">
        <f>IF(GR20="","",IF(COUNTIF(GR$3:GR20,GR20)=1,MAX(GS$2:GS19)+1,""))</f>
        <v/>
      </c>
      <c r="GT20" t="str">
        <f>IF(ES20="","",COUNTIF(ES$3:ES20,"?*"))</f>
        <v/>
      </c>
      <c r="GU20" t="str">
        <f>IF(OR(ES20="",EU20=""),"",IF(COUNTIFS(ES$3:ES20,"?*",EU$3:EU20,EU20)=1,MAX(GU$2:GU19)+1,""))</f>
        <v/>
      </c>
      <c r="GV20">
        <f t="shared" si="86"/>
        <v>0</v>
      </c>
      <c r="GW20" t="str">
        <f>IF(D20="","",COUNTIF(D$3:D20,"?*"))</f>
        <v/>
      </c>
      <c r="GX20">
        <f>IF(EX20&lt;&gt;1,0,_xlfn.LET(_xlpm.k,MAX(IFERROR(--VLOOKUP(D20,УГО_спр,5,FALSE),0),IFERROR(--VLOOKUP(AT20,УГО_спр,5,FALSE),0),IFERROR(--VLOOKUP(LEFT(AT20,2),УГО_спр,5,FALSE),0)),IF(_xlpm.k&gt;0,_xlpm.k,IF(IFERROR(--LEFT(SUBSTITUTE(GR20,"x","х"),FIND("х",SUBSTITUTE(GR20,"x","х"))-1),3)&gt;3,Каталог!$S$9,1))))</f>
        <v>0</v>
      </c>
      <c r="GY20">
        <f t="shared" si="87"/>
        <v>0</v>
      </c>
    </row>
    <row r="21" spans="1:207" x14ac:dyDescent="0.3">
      <c r="A21" t="s">
        <v>206</v>
      </c>
      <c r="B21">
        <v>19</v>
      </c>
      <c r="C21" t="str">
        <f>IF(BD21="","",IF(BE21="вводной узел","узел ","")&amp;"л."&amp;(INT((BD21-1)/Столбцов_на_лист)+1)&amp;" / "&amp;(MOD(BD21-1,Столбцов_на_лист)+1))</f>
        <v>л.2 / 2</v>
      </c>
      <c r="D21" t="s">
        <v>685</v>
      </c>
      <c r="E21" s="133" t="str">
        <f t="shared" si="0"/>
        <v>Розеточная группа  Пом. №01</v>
      </c>
      <c r="G21">
        <v>0.06</v>
      </c>
      <c r="H21">
        <v>1</v>
      </c>
      <c r="O21">
        <v>1</v>
      </c>
      <c r="T21">
        <v>2</v>
      </c>
      <c r="AD21" t="s">
        <v>597</v>
      </c>
      <c r="AK21" t="s">
        <v>598</v>
      </c>
      <c r="AN21">
        <v>7.37</v>
      </c>
      <c r="AO21" t="s">
        <v>637</v>
      </c>
      <c r="AQ21" t="s">
        <v>634</v>
      </c>
      <c r="AR21" t="str">
        <f t="shared" si="1"/>
        <v/>
      </c>
      <c r="AS21" cm="1">
        <f t="array" ref="AS21">ROW()-ROW(Линии[#Headers])</f>
        <v>19</v>
      </c>
      <c r="AT21" s="6" t="str">
        <f t="shared" si="2"/>
        <v>R</v>
      </c>
      <c r="AU21" t="str">
        <f t="shared" si="3"/>
        <v>1.01.1</v>
      </c>
      <c r="AV21" t="str">
        <f t="shared" si="4"/>
        <v>1</v>
      </c>
      <c r="AW21" t="str">
        <f t="shared" si="5"/>
        <v>01.1</v>
      </c>
      <c r="AX21" t="str">
        <f t="shared" si="6"/>
        <v>01</v>
      </c>
      <c r="AY21" t="str">
        <f>IF(D21="","",IF(ISERROR(SEARCH(".",D21)),IFERROR(VLOOKUP(D21,Потребители_обозначение,2,FALSE)&amp;"",""),IFERROR(IF(VLOOKUP(AT21,Потребители_обозначение,4,FALSE)=1,VLOOKUP(AT21,Потребители_обозначение,2,FALSE)&amp;" "&amp;VLOOKUP(AV21,Этаж_обозначение,2,FALSE)&amp;" Пом. №"&amp;AX21,VLOOKUP(AT21,Потребители_обозначение,2,FALSE)&amp;" Шлейф №"&amp;AV21),IFERROR(VLOOKUP(D21,Потребители_обозначение,2,FALSE),""))))</f>
        <v>Розеточная группа  Пом. №01</v>
      </c>
      <c r="AZ21" t="str">
        <f t="shared" si="7"/>
        <v>Розеточная группа  Пом. №01</v>
      </c>
      <c r="BA21" t="str">
        <f>IF(F21&lt;&gt;"",F21,IF(AND(D21&lt;&gt;"",D21&lt;&gt;A21,ISNUMBER(_xlfn.XMATCH(D21,Щиты[Щит]))),D21,""))</f>
        <v/>
      </c>
      <c r="BB21">
        <f>IFERROR(_xlfn.XMATCH(A21,Щиты[Щит]),0)</f>
        <v>1</v>
      </c>
      <c r="BC21">
        <f>IFERROR(N(_xlfn.XLOOKUP(A21,Щиты[Щит],Щиты[Мест под вводной узел])),15)</f>
        <v>18</v>
      </c>
      <c r="BD21">
        <f t="shared" si="8"/>
        <v>19</v>
      </c>
      <c r="BE21" t="str">
        <f t="shared" si="9"/>
        <v>линии</v>
      </c>
      <c r="BF21" s="6">
        <f>IF(D21="","",IF(BA21&lt;&gt;"",IFERROR(_xlfn.XLOOKUP(BA21,Щиты[Щит],Щиты[Руст, кВт]),0),N(G21)))</f>
        <v>0.06</v>
      </c>
      <c r="BG21">
        <f>IF(J21&lt;&gt;"",J21,IF(D21="","",IFERROR(IF(VLOOKUP(AT21,Потребители_обозначение,8,FALSE)=0,"",VLOOKUP(AT21,Потребители_обозначение,8,FALSE)),"")))</f>
        <v>230</v>
      </c>
      <c r="BH21">
        <f>IF(I21&lt;&gt;"",I21,IF(D21="","",IFERROR(IF(VLOOKUP(AT21,Потребители_обозначение,9,FALSE)=0,"",VLOOKUP(AT21,Потребители_обозначение,9,FALSE)),"")))</f>
        <v>1</v>
      </c>
      <c r="BI21" t="str">
        <f>IF(U21&lt;&gt;"",U21,IF(D21="","",IFERROR(IF(VLOOKUP(AT21,Потребители_обозначение,6,FALSE)=0,"",VLOOKUP(AT21,Потребители_обозначение,6,FALSE)),"")))</f>
        <v>мс</v>
      </c>
      <c r="BJ21">
        <f>IF(V21&lt;&gt;"",V21,IF(D21="","",IFERROR(IF(VLOOKUP(AT21,Потребители_обозначение,7,FALSE)=0,"",VLOOKUP(AT21,Потребители_обозначение,7,FALSE)),"")))</f>
        <v>3</v>
      </c>
      <c r="BK21">
        <f>IF(W21&lt;&gt;"",W21,IF(D21="","",IFERROR(IF(VLOOKUP(AT21,Потребители_обозначение,10,FALSE)=0,"",VLOOKUP(AT21,Потребители_обозначение,10,FALSE)),"")))</f>
        <v>2.5</v>
      </c>
      <c r="BL21">
        <f>IFERROR(VLOOKUP(AT21,Потребители_обозначение,5,FALSE),0)</f>
        <v>1</v>
      </c>
      <c r="BM21" s="6" cm="1">
        <f t="array" ref="BM21">IF(D21="","",IF(BA21&lt;&gt;"",IFERROR(_xlfn.XLOOKUP(BA21,Щиты[Щит],Щиты[cos φ]),0.95),IF(ISNUMBER(M21),M21,IFERROR(IF(BL21=2,_xlfn.IFS(BH21=3,VLOOKUP(BF21,Справочная_двигатели,8,FALSE),BH21=1,VLOOKUP(BF21,Справочная_двигатели,10,TRUE)),IF(AND(Методика="нормы 2026",CN21="Сил"),0.8,0.95)),0.95))))</f>
        <v>0.95</v>
      </c>
      <c r="BN21" s="6" cm="1">
        <f t="array" ref="BN21">IF(D21="","",IF(BA21&lt;&gt;"",IFERROR(_xlfn.XLOOKUP(BA21,Щиты[Щит],Щиты[Iр, А]),""),IFERROR(_xlfn.IFS(BH21=1,BF21/((Uн_лин/SQRT(3))*BM21),BH21=3,BF21/(SQRT(3)*Uн_лин*BM21)),"")))</f>
        <v>0.27348170645824377</v>
      </c>
      <c r="BO21">
        <f>IF(D21="","",IF(N(X21)=0,IFERROR(VLOOKUP(BN21,Автомат_номиналы,2,TRUE),""),X21))</f>
        <v>6</v>
      </c>
      <c r="BP21">
        <f t="shared" si="10"/>
        <v>1</v>
      </c>
      <c r="BQ21">
        <f>IF(ISNUMBER(Y21),Y21,К_прокл)</f>
        <v>1</v>
      </c>
      <c r="BR21">
        <f t="shared" si="11"/>
        <v>2</v>
      </c>
      <c r="BS21" cm="1">
        <f t="array" ref="BS21">IF(D21="","",IF(N(BK21)&lt;&gt;0,BK21,IFERROR(_xlfn.LET(_xlpm.need,BO21/(BP21*BQ21),_xlpm.t,CHOOSE(BR21,Iдоп_1ж,Iдоп_2ж,Iдоп_3ж),_xlpm.k,_xlfn.XMATCH(_xlpm.need,_xlpm.t,1),IF(ISNA(_xlpm.k),"Не исп",INDEX(Iдоп_S,_xlpm.k))),"Не исп")))</f>
        <v>2.5</v>
      </c>
      <c r="BT21">
        <f>IFERROR(VLOOKUP(BS21,Кабель_сопротивление,3,FALSE),"")</f>
        <v>2.2499999999999999E-2</v>
      </c>
      <c r="BU21">
        <f>IFERROR(VLOOKUP(BS21,Кабель_сопротивление,2,FALSE),"")</f>
        <v>0.1</v>
      </c>
      <c r="BV21">
        <f t="shared" si="12"/>
        <v>8</v>
      </c>
      <c r="BW21" s="6">
        <f>IF(D21="","",IFERROR(IF(VLOOKUP(AT21,Потребители_обозначение,4,FALSE)=1,VLOOKUP(AT21,Потребители_обозначение,3,FALSE)*(H21*2-1)+BV21+VLOOKUP(AV21,Этаж_обозначение,3,FALSE)+VLOOKUP(AV21,Этаж_обозначение,4,FALSE),VLOOKUP(AT21,Потребители_обозначение,3,FALSE)*(H21*2-1)+BV21),BV21))</f>
        <v>10</v>
      </c>
      <c r="BX21">
        <f t="shared" si="13"/>
        <v>0</v>
      </c>
      <c r="BY21">
        <f t="shared" si="14"/>
        <v>6</v>
      </c>
      <c r="BZ21">
        <f t="shared" si="15"/>
        <v>2</v>
      </c>
      <c r="CA21">
        <f t="shared" si="16"/>
        <v>0.31</v>
      </c>
      <c r="CB21">
        <f t="shared" si="17"/>
        <v>4.6934930462363793E-2</v>
      </c>
      <c r="CC21" s="6">
        <f>IFERROR(ROUNDUP(CB21/((Uн_лин/SQRT(3))*1000)*100,2),"")</f>
        <v>0.03</v>
      </c>
      <c r="CD21" s="6">
        <f>IF(ISNUMBER(CC21),CC21+IFERROR(_xlfn.XLOOKUP(A21,Щиты[Щит],Щиты[ΔU до шин, %]),0),"")</f>
        <v>0.03</v>
      </c>
      <c r="CE21" s="6">
        <f>IF(D21="","",IF(IFERROR(VLOOKUP(AT21,УГО_спр,2,FALSE),"")="Светильник",3,4)+IF(Методика="нормы 2026",MIN(0.5,MAX(0,N(BW21)-100)*0.005),0))</f>
        <v>4</v>
      </c>
      <c r="CF21" t="str">
        <f>IFERROR(VLOOKUP(BI21,Кабель_обозначение,2,FALSE),"")</f>
        <v>ВВГнг(А)-LS</v>
      </c>
      <c r="CG21" t="str">
        <f>IFERROR(IF(VLOOKUP(BI21,Кабель_обозначение,3,FALSE)=1,CF21&amp;" ("&amp;BJ21&amp;"х"&amp;BS21&amp;")",CF21),"")</f>
        <v>ВВГнг(А)-LS (3х2,5)</v>
      </c>
      <c r="CH21" t="str">
        <f t="shared" si="18"/>
        <v>ВВГнг(А)-LS (3х2,5)
L=10-0,03%</v>
      </c>
      <c r="CI21">
        <f>IFERROR(2*ρкз_Cu*BW21/BS21,"")</f>
        <v>0.2104</v>
      </c>
      <c r="CJ21">
        <f t="shared" si="19"/>
        <v>7.0000000000000007E-2</v>
      </c>
      <c r="CK21" s="6" t="str">
        <f>IFERROR(IF(OR(D21="",NOT(ISNUMBER(BS21)),N(BW21)=0),"",_xlfn.XLOOKUP(A21,Щиты[Щит],Щиты[Zпетли на шинах, Ом])+CI21),"")</f>
        <v/>
      </c>
      <c r="CL21" s="6" t="str">
        <f>IF(ISNUMBER(CK21),c_min*(Uн_лин*1000/SQRT(3))/CK21,"")</f>
        <v/>
      </c>
      <c r="CM21" s="6" t="str">
        <f>IFERROR(IF(OR(D21="",NOT(ISNUMBER(BS21))),"",1.05*(Uн_лин*1000/SQRT(3))/(_xlfn.XLOOKUP(A21,Щиты[Щит],Щиты[Zmax на шинах, Ом])+CJ21)/1000),"")</f>
        <v/>
      </c>
      <c r="CN21" s="6" t="str">
        <f>IF(D21="","",IF(BA21&lt;&gt;"","Щит",IF(K21&lt;&gt;"",K21,IF(ISNUMBER(L21),"Сил",IF(IFERROR(_xlfn.XLOOKUP(AT21,Коды_код,Коды_группа)&amp;"","")="","Быт",_xlfn.XLOOKUP(AT21,Коды_код,Коды_группа)&amp;"")))))</f>
        <v>Быт</v>
      </c>
      <c r="CO21" s="6">
        <f>IF(CN21="Щит","щит",IF(CN21="","",IF(CN21="Быт",IFERROR(_xlfn.XLOOKUP(A21,Щиты[Щит],Щиты[Кс быт]),1),IF(CN21="Сил",IF(ISNUMBER(L21),L21,IF(Методика="нормы 2026",IFERROR(_xlfn.XLOOKUP(A21,Щиты[Щит],Щиты[Кс силовых (табл. 7.5)]),1),1)),IF(OR(CN21="Пост",CN21="Отоп"),1,IF(CN21="ВНГ",0.7,0))))))</f>
        <v>0.8</v>
      </c>
      <c r="CP21">
        <f t="shared" si="20"/>
        <v>1</v>
      </c>
      <c r="CQ21">
        <f t="shared" si="21"/>
        <v>0.06</v>
      </c>
      <c r="CR21">
        <f t="shared" si="22"/>
        <v>0.06</v>
      </c>
      <c r="CS21">
        <f t="shared" si="23"/>
        <v>0</v>
      </c>
      <c r="CT21">
        <f t="shared" si="24"/>
        <v>0</v>
      </c>
      <c r="CU21">
        <f t="shared" si="25"/>
        <v>0</v>
      </c>
      <c r="CV21">
        <f t="shared" si="26"/>
        <v>0</v>
      </c>
      <c r="CW21">
        <f t="shared" si="27"/>
        <v>0.06</v>
      </c>
      <c r="CX21">
        <f t="shared" si="28"/>
        <v>5.6999999999999995E-2</v>
      </c>
      <c r="CY21">
        <f t="shared" si="29"/>
        <v>1</v>
      </c>
      <c r="CZ21" t="str">
        <f t="shared" si="30"/>
        <v>L1</v>
      </c>
      <c r="DA21" cm="1">
        <f t="array" ref="DA21">IFERROR(IF(BL21=2,_xlfn.IFS(BH21=3,VLOOKUP(BF21,Справочная_двигатели,3,FALSE),BH21=1,VLOOKUP(BF21,Справочная_двигатели,5,TRUE)),0),0)</f>
        <v>0</v>
      </c>
      <c r="DB21">
        <f>IFERROR(IF(BL21=3,VLOOKUP(BF21,Справочная_ЛЭД,2,TRUE),0),0)</f>
        <v>0</v>
      </c>
      <c r="DC21" s="6">
        <f t="shared" si="31"/>
        <v>0</v>
      </c>
      <c r="DD21" t="str">
        <f t="shared" si="32"/>
        <v>L1</v>
      </c>
      <c r="DE21" t="str" cm="1">
        <f t="array" ref="DE21">IF(D21="","",IFERROR(INDEX({"I особая","I","II","III"},MATCH(TRIM(AA21&amp;""),{"I особая","I","II","III"},0)),"III"))</f>
        <v>III</v>
      </c>
      <c r="DF21" t="str">
        <f>IF(D21="","",IF(TRIM(AB21&amp;"")&lt;&gt;"",IF(LOWER(TRIM(AB21&amp;""))="да","да","нет"),IF(IFERROR(_xlfn.XLOOKUP(AT21,Коды_код,Коды_пожарная),"")="да","да","нет")))</f>
        <v>нет</v>
      </c>
      <c r="DG21" t="str">
        <f t="shared" si="33"/>
        <v/>
      </c>
      <c r="DH21" t="str">
        <f t="shared" si="34"/>
        <v>основная</v>
      </c>
      <c r="DI21">
        <f t="shared" si="35"/>
        <v>1</v>
      </c>
      <c r="DJ21" t="str" cm="1">
        <f t="array" ref="DJ21">IF(D21="","",_xlfn.LET(_xlpm.t,IFERROR(_xlfn.XLOOKUP(1,(Шины[Шина]=DH21)*(((Шины[Щит]=A21)+(Шины[Щит]=""))&gt;0),Шины[Тип]),"")&amp;"",IF(_xlpm.t&lt;&gt;"",_xlpm.t,IF(ISNUMBER(SEARCH("ИБП",DH21)),"ИБП",IF(ISNUMBER(SEARCH("ДГУ",DH21)),"ДГУ","Ввод "&amp;DI21)))))</f>
        <v>Ввод 1</v>
      </c>
      <c r="DK21" t="str">
        <f t="shared" si="36"/>
        <v>Ввод 1</v>
      </c>
      <c r="DL21" t="str">
        <f>IF(D21="","",IF(OR(DJ21="ИБП",DJ21="ДГУ"),"I особая",IF(DJ21="Одиночная","III",_xlfn.XLOOKUP(A21,Щиты[Щит],Щиты[Категория шины «Ввод»],"III"))))</f>
        <v>III</v>
      </c>
      <c r="DM21">
        <f>IF(D21="",0,IFERROR(MATCH(DE21,{"III","II","I","I особая"},0),1))</f>
        <v>1</v>
      </c>
      <c r="DN21">
        <f t="shared" si="37"/>
        <v>1</v>
      </c>
      <c r="DO21" t="str">
        <f>IF(D21="","",IF(DM21&gt;IFERROR(MATCH(DL21,{"III","II","I","I особая"},0),1),"НЕ ОБЕСПЕЧЕНА","ОК"))</f>
        <v>ОК</v>
      </c>
      <c r="DP21" t="str">
        <f>IF(A21="","",_xlfn.XLOOKUP(A21,Щиты[Щит],Щиты[Путь],""))</f>
        <v>|ЩР|</v>
      </c>
      <c r="DQ21" t="str">
        <f>IF(D21="","",IF(Z21&lt;&gt;"",Z21,IF(IFERROR(_xlfn.XLOOKUP(AT21,Коды_код,Коды_вид)&amp;"","")="","Прочее",_xlfn.XLOOKUP(AT21,Коды_код,Коды_вид)&amp;"")))</f>
        <v>Розеточная сеть и бытовые приборы</v>
      </c>
      <c r="DR21">
        <f>IF(BD21="","",INT((BD21-1)/Столбцов_на_лист)+1)</f>
        <v>2</v>
      </c>
      <c r="DS21" t="str">
        <f t="shared" si="38"/>
        <v>ВВГнг(А)-LS (3х2,5) L=10-0,03%</v>
      </c>
      <c r="DT21">
        <f t="shared" si="39"/>
        <v>0.06</v>
      </c>
      <c r="DU21">
        <f t="shared" si="40"/>
        <v>0.28000000000000003</v>
      </c>
      <c r="DV21">
        <f t="shared" si="41"/>
        <v>1</v>
      </c>
      <c r="DW21">
        <f>IF(AT21="",0,_xlfn.LET(_xlpm.v,IFERROR(VLOOKUP(D21,УГО_спр,3,FALSE),IFERROR(VLOOKUP(AT21,УГО_спр,3,FALSE),IFERROR(VLOOKUP(LEFT(AT21,2),УГО_спр,3,FALSE),""))),IF(_xlpm.v="да",30,IF(ISNUMBER(_xlpm.v),_xlpm.v,0))))</f>
        <v>30</v>
      </c>
      <c r="DX21">
        <f t="shared" si="42"/>
        <v>0</v>
      </c>
      <c r="DY21">
        <f>IF(BD21="","",IF(AD21&lt;&gt;"",COUNTIFS(A$3:A21,A21,AD$3:AD21,"?*"),IF(OR(OR(AS21=1,A21&lt;&gt;A20),AL21="вручную"),"",IF(AS21=1,"",DZ20))))</f>
        <v>1</v>
      </c>
      <c r="DZ21">
        <f t="shared" si="43"/>
        <v>1</v>
      </c>
      <c r="EA21">
        <f>IF(D21="",0,MAX(IFERROR(--X21,0),IFERROR(--VLOOKUP(D21,УГО_спр,4,FALSE),IFERROR(--VLOOKUP(AT21,УГО_спр,4,FALSE),IFERROR(--VLOOKUP(LEFT(AT21,2),УГО_спр,4,FALSE),0)))))</f>
        <v>16</v>
      </c>
      <c r="EB21">
        <f>IF(D21="","",IFERROR(LOOKUP(INDEX(CHOOSE(BR21,Iдоп_1ж,Iдоп_2ж,Iдоп_3ж),MATCH(BS21,Iдоп_S,0))*BP21*BQ21,{6,10,16,20,25,32,40,50,63,80,100,125,160,200,250,315,400,500,630}),""))</f>
        <v>25</v>
      </c>
      <c r="EC21">
        <f>IF(AD21="","",SUMIFS(Линии[_Ток схемы],Линии[_гр.],DY21,Линии[Щит],A21,Линии[_в кабель выше],0))</f>
        <v>1.3800000000000001</v>
      </c>
      <c r="ED21">
        <f>IF(AD21="","",IFERROR(VLOOKUP(EC21,Автомат_номиналы,2,TRUE),""))</f>
        <v>6</v>
      </c>
      <c r="EE21">
        <f>IF(AD21="","",MAX(N(ED21),_xlfn.MAXIFS(Линии[_мин. по типу],Линии[_гр.],DY21,Линии[Щит],A21)))</f>
        <v>16</v>
      </c>
      <c r="EF21">
        <f>IF(AD21="","",_xlfn.MINIFS(Линии[_макс. автомат по кабелю],Линии[_гр.],DY21,Линии[Щит],A21))</f>
        <v>25</v>
      </c>
      <c r="EG21">
        <f>IF(AD21="","",MAX(1,_xlfn.MAXIFS(Линии[_фаз],Линии[_гр.],DY21,Линии[Щит],A21)))</f>
        <v>1</v>
      </c>
      <c r="EH21">
        <f>IF(AD21="","",IF(AND(AD21&lt;&gt;"авто",AD21&lt;&gt;"+"),IF(ISNUMBER(SEARCH("мА",AD21)),IFERROR(--TRIM(RIGHT(SUBSTITUTE(LEFT(AD21,SEARCH("мА",AD21)-1)," ",REPT(" ",9)),6)),30),0),IF(AE21="нет",0,IF(ISNUMBER(AE21),AE21,IF(AE21="да",30,_xlfn.MINIFS(Линии[_дифзащита по коду, мА],Линии[_гр.],DY21,Линии[Щит],A21,Линии[_дифзащита по коду, мА],"&gt;0"))))))</f>
        <v>30</v>
      </c>
      <c r="EI21">
        <f t="shared" si="44"/>
        <v>1</v>
      </c>
      <c r="EJ21" t="str">
        <f t="shared" si="45"/>
        <v>QFD1</v>
      </c>
      <c r="EK21" t="str">
        <f t="shared" si="46"/>
        <v>QFD1</v>
      </c>
      <c r="EL21" t="str">
        <f t="shared" si="47"/>
        <v/>
      </c>
      <c r="EM21">
        <f t="shared" si="48"/>
        <v>0</v>
      </c>
      <c r="EN21">
        <f>IF(AD21="","",IF(EM21=1,MAX(EE21,Мин_автомат_БП),EE21))</f>
        <v>16</v>
      </c>
      <c r="EO21" t="str">
        <f t="shared" si="49"/>
        <v>2P</v>
      </c>
      <c r="EP21" t="str">
        <f t="shared" si="50"/>
        <v>2P С16А 30мА</v>
      </c>
      <c r="EQ21">
        <f t="shared" si="51"/>
        <v>16</v>
      </c>
      <c r="ER21" t="str">
        <f>IF(OR(AI21="",AI21="-"),"",IFERROR(VLOOKUP(AI21,Модули_спр,2,FALSE),"R"))</f>
        <v/>
      </c>
      <c r="ES21" t="str">
        <f>IF(ER21="","",ER21&amp;"."&amp;COUNTIFS(A$3:A21,A21,ER$3:ER21,ER21))</f>
        <v/>
      </c>
      <c r="ET21" t="str">
        <f t="shared" si="52"/>
        <v/>
      </c>
      <c r="EU21" t="str">
        <f t="shared" si="53"/>
        <v/>
      </c>
      <c r="EV21" t="str">
        <f t="shared" si="54"/>
        <v/>
      </c>
      <c r="EW21" t="str">
        <f t="shared" si="55"/>
        <v/>
      </c>
      <c r="EX21">
        <f t="shared" si="56"/>
        <v>1</v>
      </c>
      <c r="EY21" t="str">
        <f>IF(AK21="нет","",IF(AK21&lt;&gt;"",AK21,IF(EX21=1,"XT"&amp;COUNTIFS(A$3:A21,A21,EX$3:EX21,1),"")))</f>
        <v>XT1</v>
      </c>
      <c r="EZ21" t="str">
        <f t="shared" si="57"/>
        <v>QFD1</v>
      </c>
      <c r="FA21" t="str">
        <f t="shared" si="58"/>
        <v/>
      </c>
      <c r="FB21" t="str">
        <f t="shared" si="59"/>
        <v>ok</v>
      </c>
      <c r="FC21" t="str">
        <f>IF(OR(EV21="",ET21=""),"",IF(EV21&gt;IFERROR(VLOOKUP(EU21,Модули_спр,3,FALSE),99),"ЛИШНИЙ КАНАЛ",IF(AND(AJ21&lt;&gt;"=",COUNTIFS(Линии[_модуль гр.],ET21,Линии[Канал (итог)],EV21,Линии[Канал],"&lt;&gt;=",Линии[Щит],A21)&gt;1),"ДУБЛЬ КАНАЛА","")))</f>
        <v/>
      </c>
      <c r="FD21">
        <f t="shared" si="60"/>
        <v>16</v>
      </c>
      <c r="FE21" t="str">
        <f t="shared" si="61"/>
        <v>2P С16А 30мА</v>
      </c>
      <c r="FF21">
        <f t="shared" si="62"/>
        <v>1</v>
      </c>
      <c r="FG21">
        <f t="shared" si="63"/>
        <v>30</v>
      </c>
      <c r="FH21" s="6" t="str">
        <f t="shared" si="64"/>
        <v/>
      </c>
      <c r="FI21">
        <f t="shared" si="65"/>
        <v>10</v>
      </c>
      <c r="FJ21" t="str">
        <f t="shared" si="66"/>
        <v/>
      </c>
      <c r="FK21" t="str">
        <f>IF(AND(D21="",EZ21=""),"",_xlfn.TEXTJOIN("; ",TRUE,IF(AND(D21&lt;&gt;"",DD21=""),"нет фазы",""),IF(AND(D21&lt;&gt;"",N(DT21)=0,CN21&lt;&gt;"Нет"),"нет мощности",""),IF(AND(EY21&lt;&gt;"",COUNTIFS(Линии[Щит],A21,Линии[Клемма (итог)],EY21)&gt;1),"дубль клеммы "&amp;EY21,""),IF(AND(FB21&lt;&gt;"",FB21&lt;&gt;"ok"),FB21,""),IF(FC21&lt;&gt;"",FC21,""),IF(AND(ISNUMBER(SEARCH("(5х",DS21)),N(DV21)=1),"5 жил на 1 фазе",""),IF(AND(AT21="R",AD21&lt;&gt;"",OR(N(EH21)=0,N(EH21)&gt;30)),"розетка без дифзащиты до 30 мА",""),IFERROR(IF(AND(ISNUMBER(CD21),CD21&gt;CE21),"потери "&amp;FIXED(CD21,1)&amp;" % &gt; "&amp;CE21&amp;" %",""),""),IFERROR(IF(LEFT(FJ21,4)="мало","Iкз мало — отключение &gt; 0,4 с",""),""),IF(AND(D21&lt;&gt;"",BD21=""),"не на схеме","")))</f>
        <v/>
      </c>
      <c r="FL21" s="6">
        <f>IF(AD21="","",_xlfn.LET(_xlpm.t,IFERROR(_xlfn.XLOOKUP(EP21,Каталог!$U$4:$U$500,Каталог!$G$4:$G$500),""),_xlpm.k,SEARCH("кА",_xlpm.t),IFERROR(--TRIM(RIGHT(SUBSTITUTE(MID(_xlpm.t,MAX(1,_xlpm.k-4),_xlpm.k-MAX(1,_xlpm.k-4))," ",REPT(" ",9)),5)),"")))</f>
        <v>6</v>
      </c>
      <c r="FM21" t="str">
        <f>IF(OR(FL21="",AD21=""),"",IF(_xlfn.XLOOKUP(A21,Щиты[Щит],Щиты[Iкз max на шинах, кА],"")="","",IF(FL21&lt;_xlfn.XLOOKUP(A21,Щиты[Щит],Щиты[Iкз max на шинах, кА]),"Icu "&amp;FL21&amp;" кА &lt; Iкз max","ok")))</f>
        <v/>
      </c>
      <c r="FN21" t="str">
        <f t="shared" si="67"/>
        <v>QFD1|XT1</v>
      </c>
      <c r="FO21" t="str">
        <f t="shared" si="68"/>
        <v>QFD1|XT1|кабель ВВГнг(А)-LS (3х2,5) → Розеточная группа  Пом. №01</v>
      </c>
      <c r="FP21" t="str" cm="1">
        <f t="array" ref="FP21">IF(FO21="","",_xlfn.LET(_xlpm.nd,_xlfn.TEXTSPLIT(FO21,"|"),IF(COLUMNS(_xlpm.nd)&gt;1,A21&amp;"¦"&amp;INDEX(_xlpm.nd,1)&amp;"¦"&amp;INDEX(_xlpm.nd,2),"")))</f>
        <v>ЩР¦QFD1¦XT1</v>
      </c>
      <c r="FQ21" t="str">
        <f t="shared" si="69"/>
        <v>R.1.01.1¦Розеточная группа  Пом. №01</v>
      </c>
      <c r="FR21" t="str" cm="1">
        <f t="array" ref="FR21">IF(FO21="","",_xlfn.LET(_xlpm.nd,_xlfn.TEXTSPLIT(FO21,"|"),IF(COLUMNS(_xlpm.nd)&gt;2,A21&amp;"¦"&amp;INDEX(_xlpm.nd,2)&amp;"¦"&amp;INDEX(_xlpm.nd,3),"")))</f>
        <v>ЩР¦XT1¦кабель ВВГнг(А)-LS (3х2,5) → Розеточная группа  Пом. №01</v>
      </c>
      <c r="FS21" t="str">
        <f t="shared" si="70"/>
        <v>R.1.01.1¦Розеточная группа  Пом. №01</v>
      </c>
      <c r="FT21" t="str" cm="1">
        <f t="array" ref="FT21">IF(FO21="","",_xlfn.LET(_xlpm.nd,_xlfn.TEXTSPLIT(FO21,"|"),IF(COLUMNS(_xlpm.nd)&gt;3,A21&amp;"¦"&amp;INDEX(_xlpm.nd,3)&amp;"¦"&amp;INDEX(_xlpm.nd,4),"")))</f>
        <v/>
      </c>
      <c r="FU21" t="str">
        <f t="shared" si="71"/>
        <v/>
      </c>
      <c r="FV21" t="str" cm="1">
        <f t="array" ref="FV21">IF(FO21="","",_xlfn.LET(_xlpm.nd,_xlfn.TEXTSPLIT(FO21,"|"),IF(COLUMNS(_xlpm.nd)&gt;4,A21&amp;"¦"&amp;INDEX(_xlpm.nd,4)&amp;"¦"&amp;INDEX(_xlpm.nd,5),"")))</f>
        <v/>
      </c>
      <c r="FW21" t="str">
        <f t="shared" si="72"/>
        <v/>
      </c>
      <c r="FX21" t="str" cm="1">
        <f t="array" ref="FX21">IF(FO21="","",_xlfn.LET(_xlpm.nd,_xlfn.TEXTSPLIT(FO21,"|"),IF(COLUMNS(_xlpm.nd)&gt;5,A21&amp;"¦"&amp;INDEX(_xlpm.nd,5)&amp;"¦"&amp;INDEX(_xlpm.nd,6),"")))</f>
        <v/>
      </c>
      <c r="FY21" t="str">
        <f t="shared" si="73"/>
        <v/>
      </c>
      <c r="FZ21" t="str" cm="1">
        <f t="array" ref="FZ21">IF(FO21="","",_xlfn.LET(_xlpm.nd,_xlfn.TEXTSPLIT(FO21,"|"),IF(COLUMNS(_xlpm.nd)&gt;6,A21&amp;"¦"&amp;INDEX(_xlpm.nd,6)&amp;"¦"&amp;INDEX(_xlpm.nd,7),"")))</f>
        <v/>
      </c>
      <c r="GA21" t="str">
        <f t="shared" si="74"/>
        <v/>
      </c>
      <c r="GB21" t="str">
        <f t="shared" si="75"/>
        <v/>
      </c>
      <c r="GC21" t="str">
        <f t="shared" si="76"/>
        <v>QFD1 → XT1</v>
      </c>
      <c r="GD21">
        <f t="shared" si="77"/>
        <v>1</v>
      </c>
      <c r="GE21">
        <f t="shared" si="78"/>
        <v>0</v>
      </c>
      <c r="GF21">
        <f t="shared" si="79"/>
        <v>1</v>
      </c>
      <c r="GG21" t="str">
        <f t="shared" si="80"/>
        <v/>
      </c>
      <c r="GH21" t="str">
        <f t="shared" si="81"/>
        <v/>
      </c>
      <c r="GI21" t="str">
        <f t="shared" si="82"/>
        <v/>
      </c>
      <c r="GJ21" t="str">
        <f t="shared" si="83"/>
        <v/>
      </c>
      <c r="GK21" t="str">
        <f>IF(D21="","",IFERROR(VLOOKUP(D21,УГО_спр,2,FALSE),IFERROR(VLOOKUP(AT21,УГО_спр,2,FALSE),IFERROR(VLOOKUP(LEFT(AT21,2),УГО_спр,2,FALSE),""))))</f>
        <v>Розетка</v>
      </c>
      <c r="GL21" t="str">
        <f>IF(D21="","",IF(OR(GK21="",GK21=0),"BOX",IFERROR(IF(VLOOKUP(GK21,УГО_блоки,3,FALSE)&amp;""&lt;&gt;"",VLOOKUP(GK21,УГО_блоки,3,FALSE),VLOOKUP(GK21,УГО_блоки,2,FALSE)),GK21)))</f>
        <v>SOCKET</v>
      </c>
      <c r="GM21">
        <f t="shared" si="84"/>
        <v>1</v>
      </c>
      <c r="GN21">
        <f>IF(EP21="","",IF(COUNTIF(EP$3:EP21,EP21)=1,MAX(GN$2:GN20)+1,""))</f>
        <v>1</v>
      </c>
      <c r="GO21" t="str">
        <f>IF(AF21="","",IF(COUNTIF(AF$3:AF21,AF21)+COUNTIF(AG$2:AG20,AF21)+COUNTIF(AH$2:AH20,AF21)=1,MAX(GO$2:GQ20)+1,""))</f>
        <v/>
      </c>
      <c r="GP21" t="str">
        <f>IF(AG21="","",IF(COUNTIF(AF$3:AF21,AG21)+COUNTIF(AG$3:AG21,AG21)+COUNTIF(AH$2:AH20,AG21)=1,MAX(GO$2:GQ20,GO21)+1,""))</f>
        <v/>
      </c>
      <c r="GQ21" t="str">
        <f>IF(AH21="","",IF(COUNTIF(AF$3:AF21,AH21)+COUNTIF(AG$3:AG21,AH21)+COUNTIF(AH$3:AH21,AH21)=1,MAX(GO$2:GQ20,GO21,GP21)+1,""))</f>
        <v/>
      </c>
      <c r="GR21" t="str">
        <f t="shared" si="85"/>
        <v>3х2,5</v>
      </c>
      <c r="GS21">
        <f>IF(GR21="","",IF(COUNTIF(GR$3:GR21,GR21)=1,MAX(GS$2:GS20)+1,""))</f>
        <v>1</v>
      </c>
      <c r="GT21" t="str">
        <f>IF(ES21="","",COUNTIF(ES$3:ES21,"?*"))</f>
        <v/>
      </c>
      <c r="GU21" t="str">
        <f>IF(OR(ES21="",EU21=""),"",IF(COUNTIFS(ES$3:ES21,"?*",EU$3:EU21,EU21)=1,MAX(GU$2:GU20)+1,""))</f>
        <v/>
      </c>
      <c r="GV21">
        <f t="shared" si="86"/>
        <v>0</v>
      </c>
      <c r="GW21">
        <f>IF(D21="","",COUNTIF(D$3:D21,"?*"))</f>
        <v>1</v>
      </c>
      <c r="GX21">
        <f>IF(EX21&lt;&gt;1,0,_xlfn.LET(_xlpm.k,MAX(IFERROR(--VLOOKUP(D21,УГО_спр,5,FALSE),0),IFERROR(--VLOOKUP(AT21,УГО_спр,5,FALSE),0),IFERROR(--VLOOKUP(LEFT(AT21,2),УГО_спр,5,FALSE),0)),IF(_xlpm.k&gt;0,_xlpm.k,IF(IFERROR(--LEFT(SUBSTITUTE(GR21,"x","х"),FIND("х",SUBSTITUTE(GR21,"x","х"))-1),3)&gt;3,Каталог!$S$9,1))))</f>
        <v>1</v>
      </c>
      <c r="GY21">
        <f t="shared" si="87"/>
        <v>0</v>
      </c>
    </row>
    <row r="22" spans="1:207" x14ac:dyDescent="0.3">
      <c r="A22" t="s">
        <v>206</v>
      </c>
      <c r="B22">
        <v>20</v>
      </c>
      <c r="C22" t="str">
        <f>IF(BD22="","",IF(BE22="вводной узел","узел ","")&amp;"л."&amp;(INT((BD22-1)/Столбцов_на_лист)+1)&amp;" / "&amp;(MOD(BD22-1,Столбцов_на_лист)+1))</f>
        <v>л.2 / 3</v>
      </c>
      <c r="D22" t="s">
        <v>686</v>
      </c>
      <c r="E22" s="133" t="str">
        <f t="shared" si="0"/>
        <v>Розеточная группа  Пом. №02</v>
      </c>
      <c r="G22">
        <v>0.24</v>
      </c>
      <c r="H22">
        <v>4</v>
      </c>
      <c r="O22">
        <v>2</v>
      </c>
      <c r="T22">
        <v>2</v>
      </c>
      <c r="AN22">
        <v>4.8600000000000003</v>
      </c>
      <c r="AO22" t="s">
        <v>638</v>
      </c>
      <c r="AQ22" t="s">
        <v>639</v>
      </c>
      <c r="AR22" t="str">
        <f t="shared" si="1"/>
        <v>дубль клеммы XT2</v>
      </c>
      <c r="AS22" cm="1">
        <f t="array" ref="AS22">ROW()-ROW(Линии[#Headers])</f>
        <v>20</v>
      </c>
      <c r="AT22" s="6" t="str">
        <f t="shared" si="2"/>
        <v>R</v>
      </c>
      <c r="AU22" t="str">
        <f t="shared" si="3"/>
        <v>1.02.1</v>
      </c>
      <c r="AV22" t="str">
        <f t="shared" si="4"/>
        <v>1</v>
      </c>
      <c r="AW22" t="str">
        <f t="shared" si="5"/>
        <v>02.1</v>
      </c>
      <c r="AX22" t="str">
        <f t="shared" si="6"/>
        <v>02</v>
      </c>
      <c r="AY22" t="str">
        <f>IF(D22="","",IF(ISERROR(SEARCH(".",D22)),IFERROR(VLOOKUP(D22,Потребители_обозначение,2,FALSE)&amp;"",""),IFERROR(IF(VLOOKUP(AT22,Потребители_обозначение,4,FALSE)=1,VLOOKUP(AT22,Потребители_обозначение,2,FALSE)&amp;" "&amp;VLOOKUP(AV22,Этаж_обозначение,2,FALSE)&amp;" Пом. №"&amp;AX22,VLOOKUP(AT22,Потребители_обозначение,2,FALSE)&amp;" Шлейф №"&amp;AV22),IFERROR(VLOOKUP(D22,Потребители_обозначение,2,FALSE),""))))</f>
        <v>Розеточная группа  Пом. №02</v>
      </c>
      <c r="AZ22" t="str">
        <f t="shared" si="7"/>
        <v>Розеточная группа  Пом. №02</v>
      </c>
      <c r="BA22" t="str">
        <f>IF(F22&lt;&gt;"",F22,IF(AND(D22&lt;&gt;"",D22&lt;&gt;A22,ISNUMBER(_xlfn.XMATCH(D22,Щиты[Щит]))),D22,""))</f>
        <v/>
      </c>
      <c r="BB22">
        <f>IFERROR(_xlfn.XMATCH(A22,Щиты[Щит]),0)</f>
        <v>1</v>
      </c>
      <c r="BC22">
        <f>IFERROR(N(_xlfn.XLOOKUP(A22,Щиты[Щит],Щиты[Мест под вводной узел])),15)</f>
        <v>18</v>
      </c>
      <c r="BD22">
        <f t="shared" si="8"/>
        <v>20</v>
      </c>
      <c r="BE22" t="str">
        <f t="shared" si="9"/>
        <v>линии</v>
      </c>
      <c r="BF22" s="6">
        <f>IF(D22="","",IF(BA22&lt;&gt;"",IFERROR(_xlfn.XLOOKUP(BA22,Щиты[Щит],Щиты[Руст, кВт]),0),N(G22)))</f>
        <v>0.24</v>
      </c>
      <c r="BG22">
        <f>IF(J22&lt;&gt;"",J22,IF(D22="","",IFERROR(IF(VLOOKUP(AT22,Потребители_обозначение,8,FALSE)=0,"",VLOOKUP(AT22,Потребители_обозначение,8,FALSE)),"")))</f>
        <v>230</v>
      </c>
      <c r="BH22">
        <f>IF(I22&lt;&gt;"",I22,IF(D22="","",IFERROR(IF(VLOOKUP(AT22,Потребители_обозначение,9,FALSE)=0,"",VLOOKUP(AT22,Потребители_обозначение,9,FALSE)),"")))</f>
        <v>1</v>
      </c>
      <c r="BI22" t="str">
        <f>IF(U22&lt;&gt;"",U22,IF(D22="","",IFERROR(IF(VLOOKUP(AT22,Потребители_обозначение,6,FALSE)=0,"",VLOOKUP(AT22,Потребители_обозначение,6,FALSE)),"")))</f>
        <v>мс</v>
      </c>
      <c r="BJ22">
        <f>IF(V22&lt;&gt;"",V22,IF(D22="","",IFERROR(IF(VLOOKUP(AT22,Потребители_обозначение,7,FALSE)=0,"",VLOOKUP(AT22,Потребители_обозначение,7,FALSE)),"")))</f>
        <v>3</v>
      </c>
      <c r="BK22">
        <f>IF(W22&lt;&gt;"",W22,IF(D22="","",IFERROR(IF(VLOOKUP(AT22,Потребители_обозначение,10,FALSE)=0,"",VLOOKUP(AT22,Потребители_обозначение,10,FALSE)),"")))</f>
        <v>2.5</v>
      </c>
      <c r="BL22">
        <f>IFERROR(VLOOKUP(AT22,Потребители_обозначение,5,FALSE),0)</f>
        <v>1</v>
      </c>
      <c r="BM22" s="6" cm="1">
        <f t="array" ref="BM22">IF(D22="","",IF(BA22&lt;&gt;"",IFERROR(_xlfn.XLOOKUP(BA22,Щиты[Щит],Щиты[cos φ]),0.95),IF(ISNUMBER(M22),M22,IFERROR(IF(BL22=2,_xlfn.IFS(BH22=3,VLOOKUP(BF22,Справочная_двигатели,8,FALSE),BH22=1,VLOOKUP(BF22,Справочная_двигатели,10,TRUE)),IF(AND(Методика="нормы 2026",CN22="Сил"),0.8,0.95)),0.95))))</f>
        <v>0.95</v>
      </c>
      <c r="BN22" s="6" cm="1">
        <f t="array" ref="BN22">IF(D22="","",IF(BA22&lt;&gt;"",IFERROR(_xlfn.XLOOKUP(BA22,Щиты[Щит],Щиты[Iр, А]),""),IFERROR(_xlfn.IFS(BH22=1,BF22/((Uн_лин/SQRT(3))*BM22),BH22=3,BF22/(SQRT(3)*Uн_лин*BM22)),"")))</f>
        <v>1.0939268258329751</v>
      </c>
      <c r="BO22">
        <f>IF(D22="","",IF(N(X22)=0,IFERROR(VLOOKUP(BN22,Автомат_номиналы,2,TRUE),""),X22))</f>
        <v>6</v>
      </c>
      <c r="BP22">
        <f t="shared" si="10"/>
        <v>1</v>
      </c>
      <c r="BQ22">
        <f>IF(ISNUMBER(Y22),Y22,К_прокл)</f>
        <v>1</v>
      </c>
      <c r="BR22">
        <f t="shared" si="11"/>
        <v>2</v>
      </c>
      <c r="BS22" cm="1">
        <f t="array" ref="BS22">IF(D22="","",IF(N(BK22)&lt;&gt;0,BK22,IFERROR(_xlfn.LET(_xlpm.need,BO22/(BP22*BQ22),_xlpm.t,CHOOSE(BR22,Iдоп_1ж,Iдоп_2ж,Iдоп_3ж),_xlpm.k,_xlfn.XMATCH(_xlpm.need,_xlpm.t,1),IF(ISNA(_xlpm.k),"Не исп",INDEX(Iдоп_S,_xlpm.k))),"Не исп")))</f>
        <v>2.5</v>
      </c>
      <c r="BT22">
        <f>IFERROR(VLOOKUP(BS22,Кабель_сопротивление,3,FALSE),"")</f>
        <v>2.2499999999999999E-2</v>
      </c>
      <c r="BU22">
        <f>IFERROR(VLOOKUP(BS22,Кабель_сопротивление,2,FALSE),"")</f>
        <v>0.1</v>
      </c>
      <c r="BV22">
        <f t="shared" si="12"/>
        <v>5</v>
      </c>
      <c r="BW22" s="6">
        <f>IF(D22="","",IFERROR(IF(VLOOKUP(AT22,Потребители_обозначение,4,FALSE)=1,VLOOKUP(AT22,Потребители_обозначение,3,FALSE)*(H22*2-1)+BV22+VLOOKUP(AV22,Этаж_обозначение,3,FALSE)+VLOOKUP(AV22,Этаж_обозначение,4,FALSE),VLOOKUP(AT22,Потребители_обозначение,3,FALSE)*(H22*2-1)+BV22),BV22))</f>
        <v>19</v>
      </c>
      <c r="BX22">
        <f t="shared" si="13"/>
        <v>0</v>
      </c>
      <c r="BY22">
        <f t="shared" si="14"/>
        <v>15</v>
      </c>
      <c r="BZ22">
        <f t="shared" si="15"/>
        <v>2</v>
      </c>
      <c r="CA22">
        <f t="shared" si="16"/>
        <v>0.31</v>
      </c>
      <c r="CB22">
        <f t="shared" si="17"/>
        <v>0.35670547151396481</v>
      </c>
      <c r="CC22" s="6">
        <f>IFERROR(ROUNDUP(CB22/((Uн_лин/SQRT(3))*1000)*100,2),"")</f>
        <v>0.16</v>
      </c>
      <c r="CD22" s="6">
        <f>IF(ISNUMBER(CC22),CC22+IFERROR(_xlfn.XLOOKUP(A22,Щиты[Щит],Щиты[ΔU до шин, %]),0),"")</f>
        <v>0.16</v>
      </c>
      <c r="CE22" s="6">
        <f>IF(D22="","",IF(IFERROR(VLOOKUP(AT22,УГО_спр,2,FALSE),"")="Светильник",3,4)+IF(Методика="нормы 2026",MIN(0.5,MAX(0,N(BW22)-100)*0.005),0))</f>
        <v>4</v>
      </c>
      <c r="CF22" t="str">
        <f>IFERROR(VLOOKUP(BI22,Кабель_обозначение,2,FALSE),"")</f>
        <v>ВВГнг(А)-LS</v>
      </c>
      <c r="CG22" t="str">
        <f>IFERROR(IF(VLOOKUP(BI22,Кабель_обозначение,3,FALSE)=1,CF22&amp;" ("&amp;BJ22&amp;"х"&amp;BS22&amp;")",CF22),"")</f>
        <v>ВВГнг(А)-LS (3х2,5)</v>
      </c>
      <c r="CH22" t="str">
        <f t="shared" si="18"/>
        <v>ВВГнг(А)-LS (3х2,5)
L=19-0,16%</v>
      </c>
      <c r="CI22">
        <f>IFERROR(2*ρкз_Cu*BW22/BS22,"")</f>
        <v>0.39976</v>
      </c>
      <c r="CJ22">
        <f t="shared" si="19"/>
        <v>0.13300000000000001</v>
      </c>
      <c r="CK22" s="6" t="str">
        <f>IFERROR(IF(OR(D22="",NOT(ISNUMBER(BS22)),N(BW22)=0),"",_xlfn.XLOOKUP(A22,Щиты[Щит],Щиты[Zпетли на шинах, Ом])+CI22),"")</f>
        <v/>
      </c>
      <c r="CL22" s="6" t="str">
        <f>IF(ISNUMBER(CK22),c_min*(Uн_лин*1000/SQRT(3))/CK22,"")</f>
        <v/>
      </c>
      <c r="CM22" s="6" t="str">
        <f>IFERROR(IF(OR(D22="",NOT(ISNUMBER(BS22))),"",1.05*(Uн_лин*1000/SQRT(3))/(_xlfn.XLOOKUP(A22,Щиты[Щит],Щиты[Zmax на шинах, Ом])+CJ22)/1000),"")</f>
        <v/>
      </c>
      <c r="CN22" s="6" t="str">
        <f>IF(D22="","",IF(BA22&lt;&gt;"","Щит",IF(K22&lt;&gt;"",K22,IF(ISNUMBER(L22),"Сил",IF(IFERROR(_xlfn.XLOOKUP(AT22,Коды_код,Коды_группа)&amp;"","")="","Быт",_xlfn.XLOOKUP(AT22,Коды_код,Коды_группа)&amp;"")))))</f>
        <v>Быт</v>
      </c>
      <c r="CO22" s="6">
        <f>IF(CN22="Щит","щит",IF(CN22="","",IF(CN22="Быт",IFERROR(_xlfn.XLOOKUP(A22,Щиты[Щит],Щиты[Кс быт]),1),IF(CN22="Сил",IF(ISNUMBER(L22),L22,IF(Методика="нормы 2026",IFERROR(_xlfn.XLOOKUP(A22,Щиты[Щит],Щиты[Кс силовых (табл. 7.5)]),1),1)),IF(OR(CN22="Пост",CN22="Отоп"),1,IF(CN22="ВНГ",0.7,0))))))</f>
        <v>0.8</v>
      </c>
      <c r="CP22">
        <f t="shared" si="20"/>
        <v>1</v>
      </c>
      <c r="CQ22">
        <f t="shared" si="21"/>
        <v>0.24</v>
      </c>
      <c r="CR22">
        <f t="shared" si="22"/>
        <v>0.24</v>
      </c>
      <c r="CS22">
        <f t="shared" si="23"/>
        <v>0</v>
      </c>
      <c r="CT22">
        <f t="shared" si="24"/>
        <v>0</v>
      </c>
      <c r="CU22">
        <f t="shared" si="25"/>
        <v>0</v>
      </c>
      <c r="CV22">
        <f t="shared" si="26"/>
        <v>0</v>
      </c>
      <c r="CW22">
        <f t="shared" si="27"/>
        <v>0.24</v>
      </c>
      <c r="CX22">
        <f t="shared" si="28"/>
        <v>0.22799999999999998</v>
      </c>
      <c r="CY22">
        <f t="shared" si="29"/>
        <v>2</v>
      </c>
      <c r="CZ22" t="str">
        <f t="shared" si="30"/>
        <v>L2</v>
      </c>
      <c r="DA22" cm="1">
        <f t="array" ref="DA22">IFERROR(IF(BL22=2,_xlfn.IFS(BH22=3,VLOOKUP(BF22,Справочная_двигатели,3,FALSE),BH22=1,VLOOKUP(BF22,Справочная_двигатели,5,TRUE)),0),0)</f>
        <v>0</v>
      </c>
      <c r="DB22">
        <f>IFERROR(IF(BL22=3,VLOOKUP(BF22,Справочная_ЛЭД,2,TRUE),0),0)</f>
        <v>0</v>
      </c>
      <c r="DC22" s="6">
        <f t="shared" si="31"/>
        <v>0</v>
      </c>
      <c r="DD22" t="str">
        <f t="shared" si="32"/>
        <v>L2</v>
      </c>
      <c r="DE22" t="str" cm="1">
        <f t="array" ref="DE22">IF(D22="","",IFERROR(INDEX({"I особая","I","II","III"},MATCH(TRIM(AA22&amp;""),{"I особая","I","II","III"},0)),"III"))</f>
        <v>III</v>
      </c>
      <c r="DF22" t="str">
        <f>IF(D22="","",IF(TRIM(AB22&amp;"")&lt;&gt;"",IF(LOWER(TRIM(AB22&amp;""))="да","да","нет"),IF(IFERROR(_xlfn.XLOOKUP(AT22,Коды_код,Коды_пожарная),"")="да","да","нет")))</f>
        <v>нет</v>
      </c>
      <c r="DG22" t="str">
        <f t="shared" si="33"/>
        <v/>
      </c>
      <c r="DH22" t="str">
        <f t="shared" si="34"/>
        <v>основная</v>
      </c>
      <c r="DI22">
        <f t="shared" si="35"/>
        <v>1</v>
      </c>
      <c r="DJ22" t="str" cm="1">
        <f t="array" ref="DJ22">IF(D22="","",_xlfn.LET(_xlpm.t,IFERROR(_xlfn.XLOOKUP(1,(Шины[Шина]=DH22)*(((Шины[Щит]=A22)+(Шины[Щит]=""))&gt;0),Шины[Тип]),"")&amp;"",IF(_xlpm.t&lt;&gt;"",_xlpm.t,IF(ISNUMBER(SEARCH("ИБП",DH22)),"ИБП",IF(ISNUMBER(SEARCH("ДГУ",DH22)),"ДГУ","Ввод "&amp;DI22)))))</f>
        <v>Ввод 1</v>
      </c>
      <c r="DK22" t="str">
        <f t="shared" si="36"/>
        <v>Ввод 1</v>
      </c>
      <c r="DL22" t="str">
        <f>IF(D22="","",IF(OR(DJ22="ИБП",DJ22="ДГУ"),"I особая",IF(DJ22="Одиночная","III",_xlfn.XLOOKUP(A22,Щиты[Щит],Щиты[Категория шины «Ввод»],"III"))))</f>
        <v>III</v>
      </c>
      <c r="DM22">
        <f>IF(D22="",0,IFERROR(MATCH(DE22,{"III","II","I","I особая"},0),1))</f>
        <v>1</v>
      </c>
      <c r="DN22">
        <f t="shared" si="37"/>
        <v>1</v>
      </c>
      <c r="DO22" t="str">
        <f>IF(D22="","",IF(DM22&gt;IFERROR(MATCH(DL22,{"III","II","I","I особая"},0),1),"НЕ ОБЕСПЕЧЕНА","ОК"))</f>
        <v>ОК</v>
      </c>
      <c r="DP22" t="str">
        <f>IF(A22="","",_xlfn.XLOOKUP(A22,Щиты[Щит],Щиты[Путь],""))</f>
        <v>|ЩР|</v>
      </c>
      <c r="DQ22" t="str">
        <f>IF(D22="","",IF(Z22&lt;&gt;"",Z22,IF(IFERROR(_xlfn.XLOOKUP(AT22,Коды_код,Коды_вид)&amp;"","")="","Прочее",_xlfn.XLOOKUP(AT22,Коды_код,Коды_вид)&amp;"")))</f>
        <v>Розеточная сеть и бытовые приборы</v>
      </c>
      <c r="DR22">
        <f>IF(BD22="","",INT((BD22-1)/Столбцов_на_лист)+1)</f>
        <v>2</v>
      </c>
      <c r="DS22" t="str">
        <f t="shared" si="38"/>
        <v>ВВГнг(А)-LS (3х2,5) L=19-0,16%</v>
      </c>
      <c r="DT22">
        <f t="shared" si="39"/>
        <v>0.24</v>
      </c>
      <c r="DU22">
        <f t="shared" si="40"/>
        <v>1.1000000000000001</v>
      </c>
      <c r="DV22">
        <f t="shared" si="41"/>
        <v>1</v>
      </c>
      <c r="DW22">
        <f>IF(AT22="",0,_xlfn.LET(_xlpm.v,IFERROR(VLOOKUP(D22,УГО_спр,3,FALSE),IFERROR(VLOOKUP(AT22,УГО_спр,3,FALSE),IFERROR(VLOOKUP(LEFT(AT22,2),УГО_спр,3,FALSE),""))),IF(_xlpm.v="да",30,IF(ISNUMBER(_xlpm.v),_xlpm.v,0))))</f>
        <v>30</v>
      </c>
      <c r="DX22">
        <f t="shared" si="42"/>
        <v>0</v>
      </c>
      <c r="DY22">
        <f>IF(BD22="","",IF(AD22&lt;&gt;"",COUNTIFS(A$3:A22,A22,AD$3:AD22,"?*"),IF(OR(OR(AS22=1,A22&lt;&gt;A21),AL22="вручную"),"",IF(AS22=1,"",DZ21))))</f>
        <v>1</v>
      </c>
      <c r="DZ22">
        <f t="shared" si="43"/>
        <v>1</v>
      </c>
      <c r="EA22">
        <f>IF(D22="",0,MAX(IFERROR(--X22,0),IFERROR(--VLOOKUP(D22,УГО_спр,4,FALSE),IFERROR(--VLOOKUP(AT22,УГО_спр,4,FALSE),IFERROR(--VLOOKUP(LEFT(AT22,2),УГО_спр,4,FALSE),0)))))</f>
        <v>16</v>
      </c>
      <c r="EB22">
        <f>IF(D22="","",IFERROR(LOOKUP(INDEX(CHOOSE(BR22,Iдоп_1ж,Iдоп_2ж,Iдоп_3ж),MATCH(BS22,Iдоп_S,0))*BP22*BQ22,{6,10,16,20,25,32,40,50,63,80,100,125,160,200,250,315,400,500,630}),""))</f>
        <v>25</v>
      </c>
      <c r="EC22" t="str">
        <f>IF(AD22="","",SUMIFS(Линии[_Ток схемы],Линии[_гр.],DY22,Линии[Щит],A22,Линии[_в кабель выше],0))</f>
        <v/>
      </c>
      <c r="ED22" t="str">
        <f>IF(AD22="","",IFERROR(VLOOKUP(EC22,Автомат_номиналы,2,TRUE),""))</f>
        <v/>
      </c>
      <c r="EE22" t="str">
        <f>IF(AD22="","",MAX(N(ED22),_xlfn.MAXIFS(Линии[_мин. по типу],Линии[_гр.],DY22,Линии[Щит],A22)))</f>
        <v/>
      </c>
      <c r="EF22" t="str">
        <f>IF(AD22="","",_xlfn.MINIFS(Линии[_макс. автомат по кабелю],Линии[_гр.],DY22,Линии[Щит],A22))</f>
        <v/>
      </c>
      <c r="EG22" t="str">
        <f>IF(AD22="","",MAX(1,_xlfn.MAXIFS(Линии[_фаз],Линии[_гр.],DY22,Линии[Щит],A22)))</f>
        <v/>
      </c>
      <c r="EH22" t="str">
        <f>IF(AD22="","",IF(AND(AD22&lt;&gt;"авто",AD22&lt;&gt;"+"),IF(ISNUMBER(SEARCH("мА",AD22)),IFERROR(--TRIM(RIGHT(SUBSTITUTE(LEFT(AD22,SEARCH("мА",AD22)-1)," ",REPT(" ",9)),6)),30),0),IF(AE22="нет",0,IF(ISNUMBER(AE22),AE22,IF(AE22="да",30,_xlfn.MINIFS(Линии[_дифзащита по коду, мА],Линии[_гр.],DY22,Линии[Щит],A22,Линии[_дифзащита по коду, мА],"&gt;0"))))))</f>
        <v/>
      </c>
      <c r="EI22" t="str">
        <f t="shared" si="44"/>
        <v/>
      </c>
      <c r="EJ22" t="str">
        <f t="shared" si="45"/>
        <v/>
      </c>
      <c r="EK22" t="str">
        <f t="shared" si="46"/>
        <v>QFD1</v>
      </c>
      <c r="EL22" t="str">
        <f t="shared" si="47"/>
        <v/>
      </c>
      <c r="EM22">
        <f t="shared" si="48"/>
        <v>0</v>
      </c>
      <c r="EN22" t="str">
        <f>IF(AD22="","",IF(EM22=1,MAX(EE22,Мин_автомат_БП),EE22))</f>
        <v/>
      </c>
      <c r="EO22" t="str">
        <f t="shared" si="49"/>
        <v/>
      </c>
      <c r="EP22" t="str">
        <f t="shared" si="50"/>
        <v/>
      </c>
      <c r="EQ22" t="str">
        <f t="shared" si="51"/>
        <v/>
      </c>
      <c r="ER22" t="str">
        <f>IF(OR(AI22="",AI22="-"),"",IFERROR(VLOOKUP(AI22,Модули_спр,2,FALSE),"R"))</f>
        <v/>
      </c>
      <c r="ES22" t="str">
        <f>IF(ER22="","",ER22&amp;"."&amp;COUNTIFS(A$3:A22,A22,ER$3:ER22,ER22))</f>
        <v/>
      </c>
      <c r="ET22" t="str">
        <f t="shared" si="52"/>
        <v/>
      </c>
      <c r="EU22" t="str">
        <f t="shared" si="53"/>
        <v/>
      </c>
      <c r="EV22" t="str">
        <f t="shared" si="54"/>
        <v/>
      </c>
      <c r="EW22" t="str">
        <f t="shared" si="55"/>
        <v/>
      </c>
      <c r="EX22">
        <f t="shared" si="56"/>
        <v>1</v>
      </c>
      <c r="EY22" t="str">
        <f>IF(AK22="нет","",IF(AK22&lt;&gt;"",AK22,IF(EX22=1,"XT"&amp;COUNTIFS(A$3:A22,A22,EX$3:EX22,1),"")))</f>
        <v>XT2</v>
      </c>
      <c r="EZ22" t="str">
        <f t="shared" si="57"/>
        <v>QFD1</v>
      </c>
      <c r="FA22" t="str">
        <f t="shared" si="58"/>
        <v/>
      </c>
      <c r="FB22" t="str">
        <f t="shared" si="59"/>
        <v/>
      </c>
      <c r="FC22" t="str">
        <f>IF(OR(EV22="",ET22=""),"",IF(EV22&gt;IFERROR(VLOOKUP(EU22,Модули_спр,3,FALSE),99),"ЛИШНИЙ КАНАЛ",IF(AND(AJ22&lt;&gt;"=",COUNTIFS(Линии[_модуль гр.],ET22,Линии[Канал (итог)],EV22,Линии[Канал],"&lt;&gt;=",Линии[Щит],A22)&gt;1),"ДУБЛЬ КАНАЛА","")))</f>
        <v/>
      </c>
      <c r="FD22">
        <f t="shared" si="60"/>
        <v>16</v>
      </c>
      <c r="FE22" t="str">
        <f t="shared" si="61"/>
        <v>2P С16А 30мА</v>
      </c>
      <c r="FF22">
        <f t="shared" si="62"/>
        <v>1</v>
      </c>
      <c r="FG22">
        <f t="shared" si="63"/>
        <v>30</v>
      </c>
      <c r="FH22" s="6" t="str">
        <f t="shared" si="64"/>
        <v/>
      </c>
      <c r="FI22">
        <f t="shared" si="65"/>
        <v>10</v>
      </c>
      <c r="FJ22" t="str">
        <f t="shared" si="66"/>
        <v/>
      </c>
      <c r="FK22" t="str">
        <f>IF(AND(D22="",EZ22=""),"",_xlfn.TEXTJOIN("; ",TRUE,IF(AND(D22&lt;&gt;"",DD22=""),"нет фазы",""),IF(AND(D22&lt;&gt;"",N(DT22)=0,CN22&lt;&gt;"Нет"),"нет мощности",""),IF(AND(EY22&lt;&gt;"",COUNTIFS(Линии[Щит],A22,Линии[Клемма (итог)],EY22)&gt;1),"дубль клеммы "&amp;EY22,""),IF(AND(FB22&lt;&gt;"",FB22&lt;&gt;"ok"),FB22,""),IF(FC22&lt;&gt;"",FC22,""),IF(AND(ISNUMBER(SEARCH("(5х",DS22)),N(DV22)=1),"5 жил на 1 фазе",""),IF(AND(AT22="R",AD22&lt;&gt;"",OR(N(EH22)=0,N(EH22)&gt;30)),"розетка без дифзащиты до 30 мА",""),IFERROR(IF(AND(ISNUMBER(CD22),CD22&gt;CE22),"потери "&amp;FIXED(CD22,1)&amp;" % &gt; "&amp;CE22&amp;" %",""),""),IFERROR(IF(LEFT(FJ22,4)="мало","Iкз мало — отключение &gt; 0,4 с",""),""),IF(AND(D22&lt;&gt;"",BD22=""),"не на схеме","")))</f>
        <v>дубль клеммы XT2</v>
      </c>
      <c r="FL22" s="6" t="str">
        <f>IF(AD22="","",_xlfn.LET(_xlpm.t,IFERROR(_xlfn.XLOOKUP(EP22,Каталог!$U$4:$U$500,Каталог!$G$4:$G$500),""),_xlpm.k,SEARCH("кА",_xlpm.t),IFERROR(--TRIM(RIGHT(SUBSTITUTE(MID(_xlpm.t,MAX(1,_xlpm.k-4),_xlpm.k-MAX(1,_xlpm.k-4))," ",REPT(" ",9)),5)),"")))</f>
        <v/>
      </c>
      <c r="FM22" t="str">
        <f>IF(OR(FL22="",AD22=""),"",IF(_xlfn.XLOOKUP(A22,Щиты[Щит],Щиты[Iкз max на шинах, кА],"")="","",IF(FL22&lt;_xlfn.XLOOKUP(A22,Щиты[Щит],Щиты[Iкз max на шинах, кА]),"Icu "&amp;FL22&amp;" кА &lt; Iкз max","ok")))</f>
        <v/>
      </c>
      <c r="FN22" t="str">
        <f t="shared" si="67"/>
        <v>QFD1|XT2</v>
      </c>
      <c r="FO22" t="str">
        <f t="shared" si="68"/>
        <v>QFD1|XT2|кабель ВВГнг(А)-LS (3х2,5) → Розеточная группа  Пом. №02</v>
      </c>
      <c r="FP22" t="str" cm="1">
        <f t="array" ref="FP22">IF(FO22="","",_xlfn.LET(_xlpm.nd,_xlfn.TEXTSPLIT(FO22,"|"),IF(COLUMNS(_xlpm.nd)&gt;1,A22&amp;"¦"&amp;INDEX(_xlpm.nd,1)&amp;"¦"&amp;INDEX(_xlpm.nd,2),"")))</f>
        <v>ЩР¦QFD1¦XT2</v>
      </c>
      <c r="FQ22" t="str">
        <f t="shared" si="69"/>
        <v>R.1.02.1¦Розеточная группа  Пом. №02</v>
      </c>
      <c r="FR22" t="str" cm="1">
        <f t="array" ref="FR22">IF(FO22="","",_xlfn.LET(_xlpm.nd,_xlfn.TEXTSPLIT(FO22,"|"),IF(COLUMNS(_xlpm.nd)&gt;2,A22&amp;"¦"&amp;INDEX(_xlpm.nd,2)&amp;"¦"&amp;INDEX(_xlpm.nd,3),"")))</f>
        <v>ЩР¦XT2¦кабель ВВГнг(А)-LS (3х2,5) → Розеточная группа  Пом. №02</v>
      </c>
      <c r="FS22" t="str">
        <f t="shared" si="70"/>
        <v>R.1.02.1¦Розеточная группа  Пом. №02</v>
      </c>
      <c r="FT22" t="str" cm="1">
        <f t="array" ref="FT22">IF(FO22="","",_xlfn.LET(_xlpm.nd,_xlfn.TEXTSPLIT(FO22,"|"),IF(COLUMNS(_xlpm.nd)&gt;3,A22&amp;"¦"&amp;INDEX(_xlpm.nd,3)&amp;"¦"&amp;INDEX(_xlpm.nd,4),"")))</f>
        <v/>
      </c>
      <c r="FU22" t="str">
        <f t="shared" si="71"/>
        <v/>
      </c>
      <c r="FV22" t="str" cm="1">
        <f t="array" ref="FV22">IF(FO22="","",_xlfn.LET(_xlpm.nd,_xlfn.TEXTSPLIT(FO22,"|"),IF(COLUMNS(_xlpm.nd)&gt;4,A22&amp;"¦"&amp;INDEX(_xlpm.nd,4)&amp;"¦"&amp;INDEX(_xlpm.nd,5),"")))</f>
        <v/>
      </c>
      <c r="FW22" t="str">
        <f t="shared" si="72"/>
        <v/>
      </c>
      <c r="FX22" t="str" cm="1">
        <f t="array" ref="FX22">IF(FO22="","",_xlfn.LET(_xlpm.nd,_xlfn.TEXTSPLIT(FO22,"|"),IF(COLUMNS(_xlpm.nd)&gt;5,A22&amp;"¦"&amp;INDEX(_xlpm.nd,5)&amp;"¦"&amp;INDEX(_xlpm.nd,6),"")))</f>
        <v/>
      </c>
      <c r="FY22" t="str">
        <f t="shared" si="73"/>
        <v/>
      </c>
      <c r="FZ22" t="str" cm="1">
        <f t="array" ref="FZ22">IF(FO22="","",_xlfn.LET(_xlpm.nd,_xlfn.TEXTSPLIT(FO22,"|"),IF(COLUMNS(_xlpm.nd)&gt;6,A22&amp;"¦"&amp;INDEX(_xlpm.nd,6)&amp;"¦"&amp;INDEX(_xlpm.nd,7),"")))</f>
        <v/>
      </c>
      <c r="GA22" t="str">
        <f t="shared" si="74"/>
        <v/>
      </c>
      <c r="GB22" t="str">
        <f t="shared" si="75"/>
        <v/>
      </c>
      <c r="GC22" t="str">
        <f t="shared" si="76"/>
        <v>QFD1 → XT2</v>
      </c>
      <c r="GD22">
        <f t="shared" si="77"/>
        <v>1</v>
      </c>
      <c r="GE22">
        <f t="shared" si="78"/>
        <v>0</v>
      </c>
      <c r="GF22">
        <f t="shared" si="79"/>
        <v>0</v>
      </c>
      <c r="GG22" t="str">
        <f t="shared" si="80"/>
        <v/>
      </c>
      <c r="GH22" t="str">
        <f t="shared" si="81"/>
        <v/>
      </c>
      <c r="GI22" t="str">
        <f t="shared" si="82"/>
        <v/>
      </c>
      <c r="GJ22" t="str">
        <f t="shared" si="83"/>
        <v/>
      </c>
      <c r="GK22" t="str">
        <f>IF(D22="","",IFERROR(VLOOKUP(D22,УГО_спр,2,FALSE),IFERROR(VLOOKUP(AT22,УГО_спр,2,FALSE),IFERROR(VLOOKUP(LEFT(AT22,2),УГО_спр,2,FALSE),""))))</f>
        <v>Розетка</v>
      </c>
      <c r="GL22" t="str">
        <f>IF(D22="","",IF(OR(GK22="",GK22=0),"BOX",IFERROR(IF(VLOOKUP(GK22,УГО_блоки,3,FALSE)&amp;""&lt;&gt;"",VLOOKUP(GK22,УГО_блоки,3,FALSE),VLOOKUP(GK22,УГО_блоки,2,FALSE)),GK22)))</f>
        <v>SOCKET</v>
      </c>
      <c r="GM22">
        <f t="shared" si="84"/>
        <v>1</v>
      </c>
      <c r="GN22" t="str">
        <f>IF(EP22="","",IF(COUNTIF(EP$3:EP22,EP22)=1,MAX(GN$2:GN21)+1,""))</f>
        <v/>
      </c>
      <c r="GO22" t="str">
        <f>IF(AF22="","",IF(COUNTIF(AF$3:AF22,AF22)+COUNTIF(AG$2:AG21,AF22)+COUNTIF(AH$2:AH21,AF22)=1,MAX(GO$2:GQ21)+1,""))</f>
        <v/>
      </c>
      <c r="GP22" t="str">
        <f>IF(AG22="","",IF(COUNTIF(AF$3:AF22,AG22)+COUNTIF(AG$3:AG22,AG22)+COUNTIF(AH$2:AH21,AG22)=1,MAX(GO$2:GQ21,GO22)+1,""))</f>
        <v/>
      </c>
      <c r="GQ22" t="str">
        <f>IF(AH22="","",IF(COUNTIF(AF$3:AF22,AH22)+COUNTIF(AG$3:AG22,AH22)+COUNTIF(AH$3:AH22,AH22)=1,MAX(GO$2:GQ21,GO22,GP22)+1,""))</f>
        <v/>
      </c>
      <c r="GR22" t="str">
        <f t="shared" si="85"/>
        <v>3х2,5</v>
      </c>
      <c r="GS22" t="str">
        <f>IF(GR22="","",IF(COUNTIF(GR$3:GR22,GR22)=1,MAX(GS$2:GS21)+1,""))</f>
        <v/>
      </c>
      <c r="GT22" t="str">
        <f>IF(ES22="","",COUNTIF(ES$3:ES22,"?*"))</f>
        <v/>
      </c>
      <c r="GU22" t="str">
        <f>IF(OR(ES22="",EU22=""),"",IF(COUNTIFS(ES$3:ES22,"?*",EU$3:EU22,EU22)=1,MAX(GU$2:GU21)+1,""))</f>
        <v/>
      </c>
      <c r="GV22">
        <f t="shared" si="86"/>
        <v>2</v>
      </c>
      <c r="GW22">
        <f>IF(D22="","",COUNTIF(D$3:D22,"?*"))</f>
        <v>2</v>
      </c>
      <c r="GX22">
        <f>IF(EX22&lt;&gt;1,0,_xlfn.LET(_xlpm.k,MAX(IFERROR(--VLOOKUP(D22,УГО_спр,5,FALSE),0),IFERROR(--VLOOKUP(AT22,УГО_спр,5,FALSE),0),IFERROR(--VLOOKUP(LEFT(AT22,2),УГО_спр,5,FALSE),0)),IF(_xlpm.k&gt;0,_xlpm.k,IF(IFERROR(--LEFT(SUBSTITUTE(GR22,"x","х"),FIND("х",SUBSTITUTE(GR22,"x","х"))-1),3)&gt;3,Каталог!$S$9,1))))</f>
        <v>1</v>
      </c>
      <c r="GY22">
        <f t="shared" si="87"/>
        <v>0</v>
      </c>
    </row>
    <row r="23" spans="1:207" x14ac:dyDescent="0.3">
      <c r="A23" t="s">
        <v>206</v>
      </c>
      <c r="B23">
        <v>21</v>
      </c>
      <c r="C23" t="str">
        <f>IF(BD23="","",IF(BE23="вводной узел","узел ","")&amp;"л."&amp;(INT((BD23-1)/Столбцов_на_лист)+1)&amp;" / "&amp;(MOD(BD23-1,Столбцов_на_лист)+1))</f>
        <v>л.2 / 4</v>
      </c>
      <c r="D23" t="s">
        <v>684</v>
      </c>
      <c r="E23" s="133" t="str">
        <f t="shared" si="0"/>
        <v>Розеточная группа  Пом. №03</v>
      </c>
      <c r="G23">
        <v>0.12</v>
      </c>
      <c r="H23">
        <v>2</v>
      </c>
      <c r="O23">
        <v>3</v>
      </c>
      <c r="T23">
        <v>2</v>
      </c>
      <c r="AD23" t="s">
        <v>597</v>
      </c>
      <c r="AK23" t="s">
        <v>599</v>
      </c>
      <c r="AN23">
        <v>9.34</v>
      </c>
      <c r="AO23" t="s">
        <v>635</v>
      </c>
      <c r="AQ23" t="s">
        <v>636</v>
      </c>
      <c r="AR23" t="str">
        <f t="shared" si="1"/>
        <v>дубль клеммы XT2</v>
      </c>
      <c r="AS23" cm="1">
        <f t="array" ref="AS23">ROW()-ROW(Линии[#Headers])</f>
        <v>21</v>
      </c>
      <c r="AT23" s="6" t="str">
        <f t="shared" si="2"/>
        <v>R</v>
      </c>
      <c r="AU23" t="str">
        <f t="shared" si="3"/>
        <v>1.03.1</v>
      </c>
      <c r="AV23" t="str">
        <f t="shared" si="4"/>
        <v>1</v>
      </c>
      <c r="AW23" t="str">
        <f t="shared" si="5"/>
        <v>03.1</v>
      </c>
      <c r="AX23" t="str">
        <f t="shared" si="6"/>
        <v>03</v>
      </c>
      <c r="AY23" t="str">
        <f>IF(D23="","",IF(ISERROR(SEARCH(".",D23)),IFERROR(VLOOKUP(D23,Потребители_обозначение,2,FALSE)&amp;"",""),IFERROR(IF(VLOOKUP(AT23,Потребители_обозначение,4,FALSE)=1,VLOOKUP(AT23,Потребители_обозначение,2,FALSE)&amp;" "&amp;VLOOKUP(AV23,Этаж_обозначение,2,FALSE)&amp;" Пом. №"&amp;AX23,VLOOKUP(AT23,Потребители_обозначение,2,FALSE)&amp;" Шлейф №"&amp;AV23),IFERROR(VLOOKUP(D23,Потребители_обозначение,2,FALSE),""))))</f>
        <v>Розеточная группа  Пом. №03</v>
      </c>
      <c r="AZ23" t="str">
        <f t="shared" si="7"/>
        <v>Розеточная группа  Пом. №03</v>
      </c>
      <c r="BA23" t="str">
        <f>IF(F23&lt;&gt;"",F23,IF(AND(D23&lt;&gt;"",D23&lt;&gt;A23,ISNUMBER(_xlfn.XMATCH(D23,Щиты[Щит]))),D23,""))</f>
        <v/>
      </c>
      <c r="BB23">
        <f>IFERROR(_xlfn.XMATCH(A23,Щиты[Щит]),0)</f>
        <v>1</v>
      </c>
      <c r="BC23">
        <f>IFERROR(N(_xlfn.XLOOKUP(A23,Щиты[Щит],Щиты[Мест под вводной узел])),15)</f>
        <v>18</v>
      </c>
      <c r="BD23">
        <f t="shared" si="8"/>
        <v>21</v>
      </c>
      <c r="BE23" t="str">
        <f t="shared" si="9"/>
        <v>линии</v>
      </c>
      <c r="BF23" s="6">
        <f>IF(D23="","",IF(BA23&lt;&gt;"",IFERROR(_xlfn.XLOOKUP(BA23,Щиты[Щит],Щиты[Руст, кВт]),0),N(G23)))</f>
        <v>0.12</v>
      </c>
      <c r="BG23">
        <f>IF(J23&lt;&gt;"",J23,IF(D23="","",IFERROR(IF(VLOOKUP(AT23,Потребители_обозначение,8,FALSE)=0,"",VLOOKUP(AT23,Потребители_обозначение,8,FALSE)),"")))</f>
        <v>230</v>
      </c>
      <c r="BH23">
        <f>IF(I23&lt;&gt;"",I23,IF(D23="","",IFERROR(IF(VLOOKUP(AT23,Потребители_обозначение,9,FALSE)=0,"",VLOOKUP(AT23,Потребители_обозначение,9,FALSE)),"")))</f>
        <v>1</v>
      </c>
      <c r="BI23" t="str">
        <f>IF(U23&lt;&gt;"",U23,IF(D23="","",IFERROR(IF(VLOOKUP(AT23,Потребители_обозначение,6,FALSE)=0,"",VLOOKUP(AT23,Потребители_обозначение,6,FALSE)),"")))</f>
        <v>мс</v>
      </c>
      <c r="BJ23">
        <f>IF(V23&lt;&gt;"",V23,IF(D23="","",IFERROR(IF(VLOOKUP(AT23,Потребители_обозначение,7,FALSE)=0,"",VLOOKUP(AT23,Потребители_обозначение,7,FALSE)),"")))</f>
        <v>3</v>
      </c>
      <c r="BK23">
        <f>IF(W23&lt;&gt;"",W23,IF(D23="","",IFERROR(IF(VLOOKUP(AT23,Потребители_обозначение,10,FALSE)=0,"",VLOOKUP(AT23,Потребители_обозначение,10,FALSE)),"")))</f>
        <v>2.5</v>
      </c>
      <c r="BL23">
        <f>IFERROR(VLOOKUP(AT23,Потребители_обозначение,5,FALSE),0)</f>
        <v>1</v>
      </c>
      <c r="BM23" s="6" cm="1">
        <f t="array" ref="BM23">IF(D23="","",IF(BA23&lt;&gt;"",IFERROR(_xlfn.XLOOKUP(BA23,Щиты[Щит],Щиты[cos φ]),0.95),IF(ISNUMBER(M23),M23,IFERROR(IF(BL23=2,_xlfn.IFS(BH23=3,VLOOKUP(BF23,Справочная_двигатели,8,FALSE),BH23=1,VLOOKUP(BF23,Справочная_двигатели,10,TRUE)),IF(AND(Методика="нормы 2026",CN23="Сил"),0.8,0.95)),0.95))))</f>
        <v>0.95</v>
      </c>
      <c r="BN23" s="6" cm="1">
        <f t="array" ref="BN23">IF(D23="","",IF(BA23&lt;&gt;"",IFERROR(_xlfn.XLOOKUP(BA23,Щиты[Щит],Щиты[Iр, А]),""),IFERROR(_xlfn.IFS(BH23=1,BF23/((Uн_лин/SQRT(3))*BM23),BH23=3,BF23/(SQRT(3)*Uн_лин*BM23)),"")))</f>
        <v>0.54696341291648753</v>
      </c>
      <c r="BO23">
        <f>IF(D23="","",IF(N(X23)=0,IFERROR(VLOOKUP(BN23,Автомат_номиналы,2,TRUE),""),X23))</f>
        <v>6</v>
      </c>
      <c r="BP23">
        <f t="shared" si="10"/>
        <v>1</v>
      </c>
      <c r="BQ23">
        <f>IF(ISNUMBER(Y23),Y23,К_прокл)</f>
        <v>1</v>
      </c>
      <c r="BR23">
        <f t="shared" si="11"/>
        <v>2</v>
      </c>
      <c r="BS23" cm="1">
        <f t="array" ref="BS23">IF(D23="","",IF(N(BK23)&lt;&gt;0,BK23,IFERROR(_xlfn.LET(_xlpm.need,BO23/(BP23*BQ23),_xlpm.t,CHOOSE(BR23,Iдоп_1ж,Iдоп_2ж,Iдоп_3ж),_xlpm.k,_xlfn.XMATCH(_xlpm.need,_xlpm.t,1),IF(ISNA(_xlpm.k),"Не исп",INDEX(Iдоп_S,_xlpm.k))),"Не исп")))</f>
        <v>2.5</v>
      </c>
      <c r="BT23">
        <f>IFERROR(VLOOKUP(BS23,Кабель_сопротивление,3,FALSE),"")</f>
        <v>2.2499999999999999E-2</v>
      </c>
      <c r="BU23">
        <f>IFERROR(VLOOKUP(BS23,Кабель_сопротивление,2,FALSE),"")</f>
        <v>0.1</v>
      </c>
      <c r="BV23">
        <f t="shared" si="12"/>
        <v>10</v>
      </c>
      <c r="BW23" s="6">
        <f>IF(D23="","",IFERROR(IF(VLOOKUP(AT23,Потребители_обозначение,4,FALSE)=1,VLOOKUP(AT23,Потребители_обозначение,3,FALSE)*(H23*2-1)+BV23+VLOOKUP(AV23,Этаж_обозначение,3,FALSE)+VLOOKUP(AV23,Этаж_обозначение,4,FALSE),VLOOKUP(AT23,Потребители_обозначение,3,FALSE)*(H23*2-1)+BV23),BV23))</f>
        <v>16</v>
      </c>
      <c r="BX23">
        <f t="shared" si="13"/>
        <v>0</v>
      </c>
      <c r="BY23">
        <f t="shared" si="14"/>
        <v>12</v>
      </c>
      <c r="BZ23">
        <f t="shared" si="15"/>
        <v>2</v>
      </c>
      <c r="CA23">
        <f t="shared" si="16"/>
        <v>0.31</v>
      </c>
      <c r="CB23">
        <f t="shared" si="17"/>
        <v>0.15019177747956411</v>
      </c>
      <c r="CC23" s="6">
        <f>IFERROR(ROUNDUP(CB23/((Uн_лин/SQRT(3))*1000)*100,2),"")</f>
        <v>6.9999999999999993E-2</v>
      </c>
      <c r="CD23" s="6">
        <f>IF(ISNUMBER(CC23),CC23+IFERROR(_xlfn.XLOOKUP(A23,Щиты[Щит],Щиты[ΔU до шин, %]),0),"")</f>
        <v>6.9999999999999993E-2</v>
      </c>
      <c r="CE23" s="6">
        <f>IF(D23="","",IF(IFERROR(VLOOKUP(AT23,УГО_спр,2,FALSE),"")="Светильник",3,4)+IF(Методика="нормы 2026",MIN(0.5,MAX(0,N(BW23)-100)*0.005),0))</f>
        <v>4</v>
      </c>
      <c r="CF23" t="str">
        <f>IFERROR(VLOOKUP(BI23,Кабель_обозначение,2,FALSE),"")</f>
        <v>ВВГнг(А)-LS</v>
      </c>
      <c r="CG23" t="str">
        <f>IFERROR(IF(VLOOKUP(BI23,Кабель_обозначение,3,FALSE)=1,CF23&amp;" ("&amp;BJ23&amp;"х"&amp;BS23&amp;")",CF23),"")</f>
        <v>ВВГнг(А)-LS (3х2,5)</v>
      </c>
      <c r="CH23" t="str">
        <f t="shared" si="18"/>
        <v>ВВГнг(А)-LS (3х2,5)
L=16-0,07%</v>
      </c>
      <c r="CI23">
        <f>IFERROR(2*ρкз_Cu*BW23/BS23,"")</f>
        <v>0.33663999999999999</v>
      </c>
      <c r="CJ23">
        <f t="shared" si="19"/>
        <v>0.11200000000000002</v>
      </c>
      <c r="CK23" s="6" t="str">
        <f>IFERROR(IF(OR(D23="",NOT(ISNUMBER(BS23)),N(BW23)=0),"",_xlfn.XLOOKUP(A23,Щиты[Щит],Щиты[Zпетли на шинах, Ом])+CI23),"")</f>
        <v/>
      </c>
      <c r="CL23" s="6" t="str">
        <f>IF(ISNUMBER(CK23),c_min*(Uн_лин*1000/SQRT(3))/CK23,"")</f>
        <v/>
      </c>
      <c r="CM23" s="6" t="str">
        <f>IFERROR(IF(OR(D23="",NOT(ISNUMBER(BS23))),"",1.05*(Uн_лин*1000/SQRT(3))/(_xlfn.XLOOKUP(A23,Щиты[Щит],Щиты[Zmax на шинах, Ом])+CJ23)/1000),"")</f>
        <v/>
      </c>
      <c r="CN23" s="6" t="str">
        <f>IF(D23="","",IF(BA23&lt;&gt;"","Щит",IF(K23&lt;&gt;"",K23,IF(ISNUMBER(L23),"Сил",IF(IFERROR(_xlfn.XLOOKUP(AT23,Коды_код,Коды_группа)&amp;"","")="","Быт",_xlfn.XLOOKUP(AT23,Коды_код,Коды_группа)&amp;"")))))</f>
        <v>Быт</v>
      </c>
      <c r="CO23" s="6">
        <f>IF(CN23="Щит","щит",IF(CN23="","",IF(CN23="Быт",IFERROR(_xlfn.XLOOKUP(A23,Щиты[Щит],Щиты[Кс быт]),1),IF(CN23="Сил",IF(ISNUMBER(L23),L23,IF(Методика="нормы 2026",IFERROR(_xlfn.XLOOKUP(A23,Щиты[Щит],Щиты[Кс силовых (табл. 7.5)]),1),1)),IF(OR(CN23="Пост",CN23="Отоп"),1,IF(CN23="ВНГ",0.7,0))))))</f>
        <v>0.8</v>
      </c>
      <c r="CP23">
        <f t="shared" si="20"/>
        <v>1</v>
      </c>
      <c r="CQ23">
        <f t="shared" si="21"/>
        <v>0.12</v>
      </c>
      <c r="CR23">
        <f t="shared" si="22"/>
        <v>0.12</v>
      </c>
      <c r="CS23">
        <f t="shared" si="23"/>
        <v>0</v>
      </c>
      <c r="CT23">
        <f t="shared" si="24"/>
        <v>0</v>
      </c>
      <c r="CU23">
        <f t="shared" si="25"/>
        <v>0</v>
      </c>
      <c r="CV23">
        <f t="shared" si="26"/>
        <v>0</v>
      </c>
      <c r="CW23">
        <f t="shared" si="27"/>
        <v>0.12</v>
      </c>
      <c r="CX23">
        <f t="shared" si="28"/>
        <v>0.11399999999999999</v>
      </c>
      <c r="CY23">
        <f t="shared" si="29"/>
        <v>3</v>
      </c>
      <c r="CZ23" t="str">
        <f t="shared" si="30"/>
        <v>L3</v>
      </c>
      <c r="DA23" cm="1">
        <f t="array" ref="DA23">IFERROR(IF(BL23=2,_xlfn.IFS(BH23=3,VLOOKUP(BF23,Справочная_двигатели,3,FALSE),BH23=1,VLOOKUP(BF23,Справочная_двигатели,5,TRUE)),0),0)</f>
        <v>0</v>
      </c>
      <c r="DB23">
        <f>IFERROR(IF(BL23=3,VLOOKUP(BF23,Справочная_ЛЭД,2,TRUE),0),0)</f>
        <v>0</v>
      </c>
      <c r="DC23" s="6">
        <f t="shared" si="31"/>
        <v>0</v>
      </c>
      <c r="DD23" t="str">
        <f t="shared" si="32"/>
        <v>L3</v>
      </c>
      <c r="DE23" t="str" cm="1">
        <f t="array" ref="DE23">IF(D23="","",IFERROR(INDEX({"I особая","I","II","III"},MATCH(TRIM(AA23&amp;""),{"I особая","I","II","III"},0)),"III"))</f>
        <v>III</v>
      </c>
      <c r="DF23" t="str">
        <f>IF(D23="","",IF(TRIM(AB23&amp;"")&lt;&gt;"",IF(LOWER(TRIM(AB23&amp;""))="да","да","нет"),IF(IFERROR(_xlfn.XLOOKUP(AT23,Коды_код,Коды_пожарная),"")="да","да","нет")))</f>
        <v>нет</v>
      </c>
      <c r="DG23" t="str">
        <f t="shared" si="33"/>
        <v/>
      </c>
      <c r="DH23" t="str">
        <f t="shared" si="34"/>
        <v>основная</v>
      </c>
      <c r="DI23">
        <f t="shared" si="35"/>
        <v>1</v>
      </c>
      <c r="DJ23" t="str" cm="1">
        <f t="array" ref="DJ23">IF(D23="","",_xlfn.LET(_xlpm.t,IFERROR(_xlfn.XLOOKUP(1,(Шины[Шина]=DH23)*(((Шины[Щит]=A23)+(Шины[Щит]=""))&gt;0),Шины[Тип]),"")&amp;"",IF(_xlpm.t&lt;&gt;"",_xlpm.t,IF(ISNUMBER(SEARCH("ИБП",DH23)),"ИБП",IF(ISNUMBER(SEARCH("ДГУ",DH23)),"ДГУ","Ввод "&amp;DI23)))))</f>
        <v>Ввод 1</v>
      </c>
      <c r="DK23" t="str">
        <f t="shared" si="36"/>
        <v>Ввод 1</v>
      </c>
      <c r="DL23" t="str">
        <f>IF(D23="","",IF(OR(DJ23="ИБП",DJ23="ДГУ"),"I особая",IF(DJ23="Одиночная","III",_xlfn.XLOOKUP(A23,Щиты[Щит],Щиты[Категория шины «Ввод»],"III"))))</f>
        <v>III</v>
      </c>
      <c r="DM23">
        <f>IF(D23="",0,IFERROR(MATCH(DE23,{"III","II","I","I особая"},0),1))</f>
        <v>1</v>
      </c>
      <c r="DN23">
        <f t="shared" si="37"/>
        <v>1</v>
      </c>
      <c r="DO23" t="str">
        <f>IF(D23="","",IF(DM23&gt;IFERROR(MATCH(DL23,{"III","II","I","I особая"},0),1),"НЕ ОБЕСПЕЧЕНА","ОК"))</f>
        <v>ОК</v>
      </c>
      <c r="DP23" t="str">
        <f>IF(A23="","",_xlfn.XLOOKUP(A23,Щиты[Щит],Щиты[Путь],""))</f>
        <v>|ЩР|</v>
      </c>
      <c r="DQ23" t="str">
        <f>IF(D23="","",IF(Z23&lt;&gt;"",Z23,IF(IFERROR(_xlfn.XLOOKUP(AT23,Коды_код,Коды_вид)&amp;"","")="","Прочее",_xlfn.XLOOKUP(AT23,Коды_код,Коды_вид)&amp;"")))</f>
        <v>Розеточная сеть и бытовые приборы</v>
      </c>
      <c r="DR23">
        <f>IF(BD23="","",INT((BD23-1)/Столбцов_на_лист)+1)</f>
        <v>2</v>
      </c>
      <c r="DS23" t="str">
        <f t="shared" si="38"/>
        <v>ВВГнг(А)-LS (3х2,5) L=16-0,07%</v>
      </c>
      <c r="DT23">
        <f t="shared" si="39"/>
        <v>0.12</v>
      </c>
      <c r="DU23">
        <f t="shared" si="40"/>
        <v>0.55000000000000004</v>
      </c>
      <c r="DV23">
        <f t="shared" si="41"/>
        <v>1</v>
      </c>
      <c r="DW23">
        <f>IF(AT23="",0,_xlfn.LET(_xlpm.v,IFERROR(VLOOKUP(D23,УГО_спр,3,FALSE),IFERROR(VLOOKUP(AT23,УГО_спр,3,FALSE),IFERROR(VLOOKUP(LEFT(AT23,2),УГО_спр,3,FALSE),""))),IF(_xlpm.v="да",30,IF(ISNUMBER(_xlpm.v),_xlpm.v,0))))</f>
        <v>30</v>
      </c>
      <c r="DX23">
        <f t="shared" si="42"/>
        <v>0</v>
      </c>
      <c r="DY23">
        <f>IF(BD23="","",IF(AD23&lt;&gt;"",COUNTIFS(A$3:A23,A23,AD$3:AD23,"?*"),IF(OR(OR(AS23=1,A23&lt;&gt;A22),AL23="вручную"),"",IF(AS23=1,"",DZ22))))</f>
        <v>2</v>
      </c>
      <c r="DZ23">
        <f t="shared" si="43"/>
        <v>2</v>
      </c>
      <c r="EA23">
        <f>IF(D23="",0,MAX(IFERROR(--X23,0),IFERROR(--VLOOKUP(D23,УГО_спр,4,FALSE),IFERROR(--VLOOKUP(AT23,УГО_спр,4,FALSE),IFERROR(--VLOOKUP(LEFT(AT23,2),УГО_спр,4,FALSE),0)))))</f>
        <v>16</v>
      </c>
      <c r="EB23">
        <f>IF(D23="","",IFERROR(LOOKUP(INDEX(CHOOSE(BR23,Iдоп_1ж,Iдоп_2ж,Iдоп_3ж),MATCH(BS23,Iдоп_S,0))*BP23*BQ23,{6,10,16,20,25,32,40,50,63,80,100,125,160,200,250,315,400,500,630}),""))</f>
        <v>25</v>
      </c>
      <c r="EC23">
        <f>IF(AD23="","",SUMIFS(Линии[_Ток схемы],Линии[_гр.],DY23,Линии[Щит],A23,Линии[_в кабель выше],0))</f>
        <v>0.55000000000000004</v>
      </c>
      <c r="ED23">
        <f>IF(AD23="","",IFERROR(VLOOKUP(EC23,Автомат_номиналы,2,TRUE),""))</f>
        <v>6</v>
      </c>
      <c r="EE23">
        <f>IF(AD23="","",MAX(N(ED23),_xlfn.MAXIFS(Линии[_мин. по типу],Линии[_гр.],DY23,Линии[Щит],A23)))</f>
        <v>16</v>
      </c>
      <c r="EF23">
        <f>IF(AD23="","",_xlfn.MINIFS(Линии[_макс. автомат по кабелю],Линии[_гр.],DY23,Линии[Щит],A23))</f>
        <v>25</v>
      </c>
      <c r="EG23">
        <f>IF(AD23="","",MAX(1,_xlfn.MAXIFS(Линии[_фаз],Линии[_гр.],DY23,Линии[Щит],A23)))</f>
        <v>1</v>
      </c>
      <c r="EH23">
        <f>IF(AD23="","",IF(AND(AD23&lt;&gt;"авто",AD23&lt;&gt;"+"),IF(ISNUMBER(SEARCH("мА",AD23)),IFERROR(--TRIM(RIGHT(SUBSTITUTE(LEFT(AD23,SEARCH("мА",AD23)-1)," ",REPT(" ",9)),6)),30),0),IF(AE23="нет",0,IF(ISNUMBER(AE23),AE23,IF(AE23="да",30,_xlfn.MINIFS(Линии[_дифзащита по коду, мА],Линии[_гр.],DY23,Линии[Щит],A23,Линии[_дифзащита по коду, мА],"&gt;0"))))))</f>
        <v>30</v>
      </c>
      <c r="EI23">
        <f t="shared" si="44"/>
        <v>1</v>
      </c>
      <c r="EJ23" t="str">
        <f t="shared" si="45"/>
        <v>QFD2</v>
      </c>
      <c r="EK23" t="str">
        <f t="shared" si="46"/>
        <v>QFD2</v>
      </c>
      <c r="EL23" t="str">
        <f t="shared" si="47"/>
        <v/>
      </c>
      <c r="EM23">
        <f t="shared" si="48"/>
        <v>0</v>
      </c>
      <c r="EN23">
        <f>IF(AD23="","",IF(EM23=1,MAX(EE23,Мин_автомат_БП),EE23))</f>
        <v>16</v>
      </c>
      <c r="EO23" t="str">
        <f t="shared" si="49"/>
        <v>2P</v>
      </c>
      <c r="EP23" t="str">
        <f t="shared" si="50"/>
        <v>2P С16А 30мА</v>
      </c>
      <c r="EQ23">
        <f t="shared" si="51"/>
        <v>16</v>
      </c>
      <c r="ER23" t="str">
        <f>IF(OR(AI23="",AI23="-"),"",IFERROR(VLOOKUP(AI23,Модули_спр,2,FALSE),"R"))</f>
        <v/>
      </c>
      <c r="ES23" t="str">
        <f>IF(ER23="","",ER23&amp;"."&amp;COUNTIFS(A$3:A23,A23,ER$3:ER23,ER23))</f>
        <v/>
      </c>
      <c r="ET23" t="str">
        <f t="shared" si="52"/>
        <v/>
      </c>
      <c r="EU23" t="str">
        <f t="shared" si="53"/>
        <v/>
      </c>
      <c r="EV23" t="str">
        <f t="shared" si="54"/>
        <v/>
      </c>
      <c r="EW23" t="str">
        <f t="shared" si="55"/>
        <v/>
      </c>
      <c r="EX23">
        <f t="shared" si="56"/>
        <v>1</v>
      </c>
      <c r="EY23" t="str">
        <f>IF(AK23="нет","",IF(AK23&lt;&gt;"",AK23,IF(EX23=1,"XT"&amp;COUNTIFS(A$3:A23,A23,EX$3:EX23,1),"")))</f>
        <v>XT2</v>
      </c>
      <c r="EZ23" t="str">
        <f t="shared" si="57"/>
        <v>QFD2</v>
      </c>
      <c r="FA23" t="str">
        <f t="shared" si="58"/>
        <v/>
      </c>
      <c r="FB23" t="str">
        <f t="shared" si="59"/>
        <v>ok</v>
      </c>
      <c r="FC23" t="str">
        <f>IF(OR(EV23="",ET23=""),"",IF(EV23&gt;IFERROR(VLOOKUP(EU23,Модули_спр,3,FALSE),99),"ЛИШНИЙ КАНАЛ",IF(AND(AJ23&lt;&gt;"=",COUNTIFS(Линии[_модуль гр.],ET23,Линии[Канал (итог)],EV23,Линии[Канал],"&lt;&gt;=",Линии[Щит],A23)&gt;1),"ДУБЛЬ КАНАЛА","")))</f>
        <v/>
      </c>
      <c r="FD23">
        <f t="shared" si="60"/>
        <v>16</v>
      </c>
      <c r="FE23" t="str">
        <f t="shared" si="61"/>
        <v>2P С16А 30мА</v>
      </c>
      <c r="FF23">
        <f t="shared" si="62"/>
        <v>1</v>
      </c>
      <c r="FG23">
        <f t="shared" si="63"/>
        <v>30</v>
      </c>
      <c r="FH23" s="6" t="str">
        <f t="shared" si="64"/>
        <v/>
      </c>
      <c r="FI23">
        <f t="shared" si="65"/>
        <v>10</v>
      </c>
      <c r="FJ23" t="str">
        <f t="shared" si="66"/>
        <v/>
      </c>
      <c r="FK23" t="str">
        <f>IF(AND(D23="",EZ23=""),"",_xlfn.TEXTJOIN("; ",TRUE,IF(AND(D23&lt;&gt;"",DD23=""),"нет фазы",""),IF(AND(D23&lt;&gt;"",N(DT23)=0,CN23&lt;&gt;"Нет"),"нет мощности",""),IF(AND(EY23&lt;&gt;"",COUNTIFS(Линии[Щит],A23,Линии[Клемма (итог)],EY23)&gt;1),"дубль клеммы "&amp;EY23,""),IF(AND(FB23&lt;&gt;"",FB23&lt;&gt;"ok"),FB23,""),IF(FC23&lt;&gt;"",FC23,""),IF(AND(ISNUMBER(SEARCH("(5х",DS23)),N(DV23)=1),"5 жил на 1 фазе",""),IF(AND(AT23="R",AD23&lt;&gt;"",OR(N(EH23)=0,N(EH23)&gt;30)),"розетка без дифзащиты до 30 мА",""),IFERROR(IF(AND(ISNUMBER(CD23),CD23&gt;CE23),"потери "&amp;FIXED(CD23,1)&amp;" % &gt; "&amp;CE23&amp;" %",""),""),IFERROR(IF(LEFT(FJ23,4)="мало","Iкз мало — отключение &gt; 0,4 с",""),""),IF(AND(D23&lt;&gt;"",BD23=""),"не на схеме","")))</f>
        <v>дубль клеммы XT2</v>
      </c>
      <c r="FL23" s="6">
        <f>IF(AD23="","",_xlfn.LET(_xlpm.t,IFERROR(_xlfn.XLOOKUP(EP23,Каталог!$U$4:$U$500,Каталог!$G$4:$G$500),""),_xlpm.k,SEARCH("кА",_xlpm.t),IFERROR(--TRIM(RIGHT(SUBSTITUTE(MID(_xlpm.t,MAX(1,_xlpm.k-4),_xlpm.k-MAX(1,_xlpm.k-4))," ",REPT(" ",9)),5)),"")))</f>
        <v>6</v>
      </c>
      <c r="FM23" t="str">
        <f>IF(OR(FL23="",AD23=""),"",IF(_xlfn.XLOOKUP(A23,Щиты[Щит],Щиты[Iкз max на шинах, кА],"")="","",IF(FL23&lt;_xlfn.XLOOKUP(A23,Щиты[Щит],Щиты[Iкз max на шинах, кА]),"Icu "&amp;FL23&amp;" кА &lt; Iкз max","ok")))</f>
        <v/>
      </c>
      <c r="FN23" t="str">
        <f t="shared" si="67"/>
        <v>QFD2|XT2</v>
      </c>
      <c r="FO23" t="str">
        <f t="shared" si="68"/>
        <v>QFD2|XT2|кабель ВВГнг(А)-LS (3х2,5) → Розеточная группа  Пом. №03</v>
      </c>
      <c r="FP23" t="str" cm="1">
        <f t="array" ref="FP23">IF(FO23="","",_xlfn.LET(_xlpm.nd,_xlfn.TEXTSPLIT(FO23,"|"),IF(COLUMNS(_xlpm.nd)&gt;1,A23&amp;"¦"&amp;INDEX(_xlpm.nd,1)&amp;"¦"&amp;INDEX(_xlpm.nd,2),"")))</f>
        <v>ЩР¦QFD2¦XT2</v>
      </c>
      <c r="FQ23" t="str">
        <f t="shared" si="69"/>
        <v>R.1.03.1¦Розеточная группа  Пом. №03</v>
      </c>
      <c r="FR23" t="str" cm="1">
        <f t="array" ref="FR23">IF(FO23="","",_xlfn.LET(_xlpm.nd,_xlfn.TEXTSPLIT(FO23,"|"),IF(COLUMNS(_xlpm.nd)&gt;2,A23&amp;"¦"&amp;INDEX(_xlpm.nd,2)&amp;"¦"&amp;INDEX(_xlpm.nd,3),"")))</f>
        <v>ЩР¦XT2¦кабель ВВГнг(А)-LS (3х2,5) → Розеточная группа  Пом. №03</v>
      </c>
      <c r="FS23" t="str">
        <f t="shared" si="70"/>
        <v>R.1.03.1¦Розеточная группа  Пом. №03</v>
      </c>
      <c r="FT23" t="str" cm="1">
        <f t="array" ref="FT23">IF(FO23="","",_xlfn.LET(_xlpm.nd,_xlfn.TEXTSPLIT(FO23,"|"),IF(COLUMNS(_xlpm.nd)&gt;3,A23&amp;"¦"&amp;INDEX(_xlpm.nd,3)&amp;"¦"&amp;INDEX(_xlpm.nd,4),"")))</f>
        <v/>
      </c>
      <c r="FU23" t="str">
        <f t="shared" si="71"/>
        <v/>
      </c>
      <c r="FV23" t="str" cm="1">
        <f t="array" ref="FV23">IF(FO23="","",_xlfn.LET(_xlpm.nd,_xlfn.TEXTSPLIT(FO23,"|"),IF(COLUMNS(_xlpm.nd)&gt;4,A23&amp;"¦"&amp;INDEX(_xlpm.nd,4)&amp;"¦"&amp;INDEX(_xlpm.nd,5),"")))</f>
        <v/>
      </c>
      <c r="FW23" t="str">
        <f t="shared" si="72"/>
        <v/>
      </c>
      <c r="FX23" t="str" cm="1">
        <f t="array" ref="FX23">IF(FO23="","",_xlfn.LET(_xlpm.nd,_xlfn.TEXTSPLIT(FO23,"|"),IF(COLUMNS(_xlpm.nd)&gt;5,A23&amp;"¦"&amp;INDEX(_xlpm.nd,5)&amp;"¦"&amp;INDEX(_xlpm.nd,6),"")))</f>
        <v/>
      </c>
      <c r="FY23" t="str">
        <f t="shared" si="73"/>
        <v/>
      </c>
      <c r="FZ23" t="str" cm="1">
        <f t="array" ref="FZ23">IF(FO23="","",_xlfn.LET(_xlpm.nd,_xlfn.TEXTSPLIT(FO23,"|"),IF(COLUMNS(_xlpm.nd)&gt;6,A23&amp;"¦"&amp;INDEX(_xlpm.nd,6)&amp;"¦"&amp;INDEX(_xlpm.nd,7),"")))</f>
        <v/>
      </c>
      <c r="GA23" t="str">
        <f t="shared" si="74"/>
        <v/>
      </c>
      <c r="GB23" t="str">
        <f t="shared" si="75"/>
        <v/>
      </c>
      <c r="GC23" t="str">
        <f t="shared" si="76"/>
        <v>QFD2 → XT2</v>
      </c>
      <c r="GD23">
        <f t="shared" si="77"/>
        <v>1</v>
      </c>
      <c r="GE23">
        <f t="shared" si="78"/>
        <v>0</v>
      </c>
      <c r="GF23">
        <f t="shared" si="79"/>
        <v>1</v>
      </c>
      <c r="GG23" t="str">
        <f t="shared" si="80"/>
        <v/>
      </c>
      <c r="GH23" t="str">
        <f t="shared" si="81"/>
        <v/>
      </c>
      <c r="GI23" t="str">
        <f t="shared" si="82"/>
        <v/>
      </c>
      <c r="GJ23" t="str">
        <f t="shared" si="83"/>
        <v/>
      </c>
      <c r="GK23" t="str">
        <f>IF(D23="","",IFERROR(VLOOKUP(D23,УГО_спр,2,FALSE),IFERROR(VLOOKUP(AT23,УГО_спр,2,FALSE),IFERROR(VLOOKUP(LEFT(AT23,2),УГО_спр,2,FALSE),""))))</f>
        <v>Розетка</v>
      </c>
      <c r="GL23" t="str">
        <f>IF(D23="","",IF(OR(GK23="",GK23=0),"BOX",IFERROR(IF(VLOOKUP(GK23,УГО_блоки,3,FALSE)&amp;""&lt;&gt;"",VLOOKUP(GK23,УГО_блоки,3,FALSE),VLOOKUP(GK23,УГО_блоки,2,FALSE)),GK23)))</f>
        <v>SOCKET</v>
      </c>
      <c r="GM23">
        <f t="shared" si="84"/>
        <v>1</v>
      </c>
      <c r="GN23" t="str">
        <f>IF(EP23="","",IF(COUNTIF(EP$3:EP23,EP23)=1,MAX(GN$2:GN22)+1,""))</f>
        <v/>
      </c>
      <c r="GO23" t="str">
        <f>IF(AF23="","",IF(COUNTIF(AF$3:AF23,AF23)+COUNTIF(AG$2:AG22,AF23)+COUNTIF(AH$2:AH22,AF23)=1,MAX(GO$2:GQ22)+1,""))</f>
        <v/>
      </c>
      <c r="GP23" t="str">
        <f>IF(AG23="","",IF(COUNTIF(AF$3:AF23,AG23)+COUNTIF(AG$3:AG23,AG23)+COUNTIF(AH$2:AH22,AG23)=1,MAX(GO$2:GQ22,GO23)+1,""))</f>
        <v/>
      </c>
      <c r="GQ23" t="str">
        <f>IF(AH23="","",IF(COUNTIF(AF$3:AF23,AH23)+COUNTIF(AG$3:AG23,AH23)+COUNTIF(AH$3:AH23,AH23)=1,MAX(GO$2:GQ22,GO23,GP23)+1,""))</f>
        <v/>
      </c>
      <c r="GR23" t="str">
        <f t="shared" si="85"/>
        <v>3х2,5</v>
      </c>
      <c r="GS23" t="str">
        <f>IF(GR23="","",IF(COUNTIF(GR$3:GR23,GR23)=1,MAX(GS$2:GS22)+1,""))</f>
        <v/>
      </c>
      <c r="GT23" t="str">
        <f>IF(ES23="","",COUNTIF(ES$3:ES23,"?*"))</f>
        <v/>
      </c>
      <c r="GU23" t="str">
        <f>IF(OR(ES23="",EU23=""),"",IF(COUNTIFS(ES$3:ES23,"?*",EU$3:EU23,EU23)=1,MAX(GU$2:GU22)+1,""))</f>
        <v/>
      </c>
      <c r="GV23">
        <f t="shared" si="86"/>
        <v>2</v>
      </c>
      <c r="GW23">
        <f>IF(D23="","",COUNTIF(D$3:D23,"?*"))</f>
        <v>3</v>
      </c>
      <c r="GX23">
        <f>IF(EX23&lt;&gt;1,0,_xlfn.LET(_xlpm.k,MAX(IFERROR(--VLOOKUP(D23,УГО_спр,5,FALSE),0),IFERROR(--VLOOKUP(AT23,УГО_спр,5,FALSE),0),IFERROR(--VLOOKUP(LEFT(AT23,2),УГО_спр,5,FALSE),0)),IF(_xlpm.k&gt;0,_xlpm.k,IF(IFERROR(--LEFT(SUBSTITUTE(GR23,"x","х"),FIND("х",SUBSTITUTE(GR23,"x","х"))-1),3)&gt;3,Каталог!$S$9,1))))</f>
        <v>1</v>
      </c>
      <c r="GY23">
        <f t="shared" si="87"/>
        <v>0</v>
      </c>
    </row>
    <row r="24" spans="1:207" x14ac:dyDescent="0.3">
      <c r="A24" t="s">
        <v>206</v>
      </c>
      <c r="B24">
        <v>22</v>
      </c>
      <c r="C24" t="str">
        <f>IF(BD24="","",IF(BE24="вводной узел","узел ","")&amp;"л."&amp;(INT((BD24-1)/Столбцов_на_лист)+1)&amp;" / "&amp;(MOD(BD24-1,Столбцов_на_лист)+1))</f>
        <v>л.2 / 5</v>
      </c>
      <c r="D24" t="s">
        <v>683</v>
      </c>
      <c r="E24" s="133" t="str">
        <f t="shared" si="0"/>
        <v>Розеточная группа  Пом. №03</v>
      </c>
      <c r="G24">
        <v>0.12</v>
      </c>
      <c r="H24">
        <v>2</v>
      </c>
      <c r="O24">
        <v>1</v>
      </c>
      <c r="T24">
        <v>2</v>
      </c>
      <c r="AD24" t="s">
        <v>597</v>
      </c>
      <c r="AK24" t="s">
        <v>600</v>
      </c>
      <c r="AN24">
        <v>11.89</v>
      </c>
      <c r="AO24" t="s">
        <v>633</v>
      </c>
      <c r="AQ24" t="s">
        <v>634</v>
      </c>
      <c r="AR24" t="str">
        <f t="shared" si="1"/>
        <v/>
      </c>
      <c r="AS24" cm="1">
        <f t="array" ref="AS24">ROW()-ROW(Линии[#Headers])</f>
        <v>22</v>
      </c>
      <c r="AT24" s="6" t="str">
        <f t="shared" si="2"/>
        <v>R</v>
      </c>
      <c r="AU24" t="str">
        <f t="shared" si="3"/>
        <v>1.03.2</v>
      </c>
      <c r="AV24" t="str">
        <f t="shared" si="4"/>
        <v>1</v>
      </c>
      <c r="AW24" t="str">
        <f t="shared" si="5"/>
        <v>03.2</v>
      </c>
      <c r="AX24" t="str">
        <f t="shared" si="6"/>
        <v>03</v>
      </c>
      <c r="AY24" t="str">
        <f>IF(D24="","",IF(ISERROR(SEARCH(".",D24)),IFERROR(VLOOKUP(D24,Потребители_обозначение,2,FALSE)&amp;"",""),IFERROR(IF(VLOOKUP(AT24,Потребители_обозначение,4,FALSE)=1,VLOOKUP(AT24,Потребители_обозначение,2,FALSE)&amp;" "&amp;VLOOKUP(AV24,Этаж_обозначение,2,FALSE)&amp;" Пом. №"&amp;AX24,VLOOKUP(AT24,Потребители_обозначение,2,FALSE)&amp;" Шлейф №"&amp;AV24),IFERROR(VLOOKUP(D24,Потребители_обозначение,2,FALSE),""))))</f>
        <v>Розеточная группа  Пом. №03</v>
      </c>
      <c r="AZ24" t="str">
        <f t="shared" si="7"/>
        <v>Розеточная группа  Пом. №03</v>
      </c>
      <c r="BA24" t="str">
        <f>IF(F24&lt;&gt;"",F24,IF(AND(D24&lt;&gt;"",D24&lt;&gt;A24,ISNUMBER(_xlfn.XMATCH(D24,Щиты[Щит]))),D24,""))</f>
        <v/>
      </c>
      <c r="BB24">
        <f>IFERROR(_xlfn.XMATCH(A24,Щиты[Щит]),0)</f>
        <v>1</v>
      </c>
      <c r="BC24">
        <f>IFERROR(N(_xlfn.XLOOKUP(A24,Щиты[Щит],Щиты[Мест под вводной узел])),15)</f>
        <v>18</v>
      </c>
      <c r="BD24">
        <f t="shared" si="8"/>
        <v>22</v>
      </c>
      <c r="BE24" t="str">
        <f t="shared" si="9"/>
        <v>линии</v>
      </c>
      <c r="BF24" s="6">
        <f>IF(D24="","",IF(BA24&lt;&gt;"",IFERROR(_xlfn.XLOOKUP(BA24,Щиты[Щит],Щиты[Руст, кВт]),0),N(G24)))</f>
        <v>0.12</v>
      </c>
      <c r="BG24">
        <f>IF(J24&lt;&gt;"",J24,IF(D24="","",IFERROR(IF(VLOOKUP(AT24,Потребители_обозначение,8,FALSE)=0,"",VLOOKUP(AT24,Потребители_обозначение,8,FALSE)),"")))</f>
        <v>230</v>
      </c>
      <c r="BH24">
        <f>IF(I24&lt;&gt;"",I24,IF(D24="","",IFERROR(IF(VLOOKUP(AT24,Потребители_обозначение,9,FALSE)=0,"",VLOOKUP(AT24,Потребители_обозначение,9,FALSE)),"")))</f>
        <v>1</v>
      </c>
      <c r="BI24" t="str">
        <f>IF(U24&lt;&gt;"",U24,IF(D24="","",IFERROR(IF(VLOOKUP(AT24,Потребители_обозначение,6,FALSE)=0,"",VLOOKUP(AT24,Потребители_обозначение,6,FALSE)),"")))</f>
        <v>мс</v>
      </c>
      <c r="BJ24">
        <f>IF(V24&lt;&gt;"",V24,IF(D24="","",IFERROR(IF(VLOOKUP(AT24,Потребители_обозначение,7,FALSE)=0,"",VLOOKUP(AT24,Потребители_обозначение,7,FALSE)),"")))</f>
        <v>3</v>
      </c>
      <c r="BK24">
        <f>IF(W24&lt;&gt;"",W24,IF(D24="","",IFERROR(IF(VLOOKUP(AT24,Потребители_обозначение,10,FALSE)=0,"",VLOOKUP(AT24,Потребители_обозначение,10,FALSE)),"")))</f>
        <v>2.5</v>
      </c>
      <c r="BL24">
        <f>IFERROR(VLOOKUP(AT24,Потребители_обозначение,5,FALSE),0)</f>
        <v>1</v>
      </c>
      <c r="BM24" s="6" cm="1">
        <f t="array" ref="BM24">IF(D24="","",IF(BA24&lt;&gt;"",IFERROR(_xlfn.XLOOKUP(BA24,Щиты[Щит],Щиты[cos φ]),0.95),IF(ISNUMBER(M24),M24,IFERROR(IF(BL24=2,_xlfn.IFS(BH24=3,VLOOKUP(BF24,Справочная_двигатели,8,FALSE),BH24=1,VLOOKUP(BF24,Справочная_двигатели,10,TRUE)),IF(AND(Методика="нормы 2026",CN24="Сил"),0.8,0.95)),0.95))))</f>
        <v>0.95</v>
      </c>
      <c r="BN24" s="6" cm="1">
        <f t="array" ref="BN24">IF(D24="","",IF(BA24&lt;&gt;"",IFERROR(_xlfn.XLOOKUP(BA24,Щиты[Щит],Щиты[Iр, А]),""),IFERROR(_xlfn.IFS(BH24=1,BF24/((Uн_лин/SQRT(3))*BM24),BH24=3,BF24/(SQRT(3)*Uн_лин*BM24)),"")))</f>
        <v>0.54696341291648753</v>
      </c>
      <c r="BO24">
        <f>IF(D24="","",IF(N(X24)=0,IFERROR(VLOOKUP(BN24,Автомат_номиналы,2,TRUE),""),X24))</f>
        <v>6</v>
      </c>
      <c r="BP24">
        <f t="shared" si="10"/>
        <v>1</v>
      </c>
      <c r="BQ24">
        <f>IF(ISNUMBER(Y24),Y24,К_прокл)</f>
        <v>1</v>
      </c>
      <c r="BR24">
        <f t="shared" si="11"/>
        <v>2</v>
      </c>
      <c r="BS24" cm="1">
        <f t="array" ref="BS24">IF(D24="","",IF(N(BK24)&lt;&gt;0,BK24,IFERROR(_xlfn.LET(_xlpm.need,BO24/(BP24*BQ24),_xlpm.t,CHOOSE(BR24,Iдоп_1ж,Iдоп_2ж,Iдоп_3ж),_xlpm.k,_xlfn.XMATCH(_xlpm.need,_xlpm.t,1),IF(ISNA(_xlpm.k),"Не исп",INDEX(Iдоп_S,_xlpm.k))),"Не исп")))</f>
        <v>2.5</v>
      </c>
      <c r="BT24">
        <f>IFERROR(VLOOKUP(BS24,Кабель_сопротивление,3,FALSE),"")</f>
        <v>2.2499999999999999E-2</v>
      </c>
      <c r="BU24">
        <f>IFERROR(VLOOKUP(BS24,Кабель_сопротивление,2,FALSE),"")</f>
        <v>0.1</v>
      </c>
      <c r="BV24">
        <f t="shared" si="12"/>
        <v>12</v>
      </c>
      <c r="BW24" s="6">
        <f>IF(D24="","",IFERROR(IF(VLOOKUP(AT24,Потребители_обозначение,4,FALSE)=1,VLOOKUP(AT24,Потребители_обозначение,3,FALSE)*(H24*2-1)+BV24+VLOOKUP(AV24,Этаж_обозначение,3,FALSE)+VLOOKUP(AV24,Этаж_обозначение,4,FALSE),VLOOKUP(AT24,Потребители_обозначение,3,FALSE)*(H24*2-1)+BV24),BV24))</f>
        <v>18</v>
      </c>
      <c r="BX24">
        <f t="shared" si="13"/>
        <v>0</v>
      </c>
      <c r="BY24">
        <f t="shared" si="14"/>
        <v>14</v>
      </c>
      <c r="BZ24">
        <f t="shared" si="15"/>
        <v>2</v>
      </c>
      <c r="CA24">
        <f t="shared" si="16"/>
        <v>0.31</v>
      </c>
      <c r="CB24">
        <f t="shared" si="17"/>
        <v>0.16896574966450964</v>
      </c>
      <c r="CC24" s="6">
        <f>IFERROR(ROUNDUP(CB24/((Uн_лин/SQRT(3))*1000)*100,2),"")</f>
        <v>0.08</v>
      </c>
      <c r="CD24" s="6">
        <f>IF(ISNUMBER(CC24),CC24+IFERROR(_xlfn.XLOOKUP(A24,Щиты[Щит],Щиты[ΔU до шин, %]),0),"")</f>
        <v>0.08</v>
      </c>
      <c r="CE24" s="6">
        <f>IF(D24="","",IF(IFERROR(VLOOKUP(AT24,УГО_спр,2,FALSE),"")="Светильник",3,4)+IF(Методика="нормы 2026",MIN(0.5,MAX(0,N(BW24)-100)*0.005),0))</f>
        <v>4</v>
      </c>
      <c r="CF24" t="str">
        <f>IFERROR(VLOOKUP(BI24,Кабель_обозначение,2,FALSE),"")</f>
        <v>ВВГнг(А)-LS</v>
      </c>
      <c r="CG24" t="str">
        <f>IFERROR(IF(VLOOKUP(BI24,Кабель_обозначение,3,FALSE)=1,CF24&amp;" ("&amp;BJ24&amp;"х"&amp;BS24&amp;")",CF24),"")</f>
        <v>ВВГнг(А)-LS (3х2,5)</v>
      </c>
      <c r="CH24" t="str">
        <f t="shared" si="18"/>
        <v>ВВГнг(А)-LS (3х2,5)
L=18-0,08%</v>
      </c>
      <c r="CI24">
        <f>IFERROR(2*ρкз_Cu*BW24/BS24,"")</f>
        <v>0.37872</v>
      </c>
      <c r="CJ24">
        <f t="shared" si="19"/>
        <v>0.12600000000000003</v>
      </c>
      <c r="CK24" s="6" t="str">
        <f>IFERROR(IF(OR(D24="",NOT(ISNUMBER(BS24)),N(BW24)=0),"",_xlfn.XLOOKUP(A24,Щиты[Щит],Щиты[Zпетли на шинах, Ом])+CI24),"")</f>
        <v/>
      </c>
      <c r="CL24" s="6" t="str">
        <f>IF(ISNUMBER(CK24),c_min*(Uн_лин*1000/SQRT(3))/CK24,"")</f>
        <v/>
      </c>
      <c r="CM24" s="6" t="str">
        <f>IFERROR(IF(OR(D24="",NOT(ISNUMBER(BS24))),"",1.05*(Uн_лин*1000/SQRT(3))/(_xlfn.XLOOKUP(A24,Щиты[Щит],Щиты[Zmax на шинах, Ом])+CJ24)/1000),"")</f>
        <v/>
      </c>
      <c r="CN24" s="6" t="str">
        <f>IF(D24="","",IF(BA24&lt;&gt;"","Щит",IF(K24&lt;&gt;"",K24,IF(ISNUMBER(L24),"Сил",IF(IFERROR(_xlfn.XLOOKUP(AT24,Коды_код,Коды_группа)&amp;"","")="","Быт",_xlfn.XLOOKUP(AT24,Коды_код,Коды_группа)&amp;"")))))</f>
        <v>Быт</v>
      </c>
      <c r="CO24" s="6">
        <f>IF(CN24="Щит","щит",IF(CN24="","",IF(CN24="Быт",IFERROR(_xlfn.XLOOKUP(A24,Щиты[Щит],Щиты[Кс быт]),1),IF(CN24="Сил",IF(ISNUMBER(L24),L24,IF(Методика="нормы 2026",IFERROR(_xlfn.XLOOKUP(A24,Щиты[Щит],Щиты[Кс силовых (табл. 7.5)]),1),1)),IF(OR(CN24="Пост",CN24="Отоп"),1,IF(CN24="ВНГ",0.7,0))))))</f>
        <v>0.8</v>
      </c>
      <c r="CP24">
        <f t="shared" si="20"/>
        <v>1</v>
      </c>
      <c r="CQ24">
        <f t="shared" si="21"/>
        <v>0.12</v>
      </c>
      <c r="CR24">
        <f t="shared" si="22"/>
        <v>0.12</v>
      </c>
      <c r="CS24">
        <f t="shared" si="23"/>
        <v>0</v>
      </c>
      <c r="CT24">
        <f t="shared" si="24"/>
        <v>0</v>
      </c>
      <c r="CU24">
        <f t="shared" si="25"/>
        <v>0</v>
      </c>
      <c r="CV24">
        <f t="shared" si="26"/>
        <v>0</v>
      </c>
      <c r="CW24">
        <f t="shared" si="27"/>
        <v>0.12</v>
      </c>
      <c r="CX24">
        <f t="shared" si="28"/>
        <v>0.11399999999999999</v>
      </c>
      <c r="CY24">
        <f t="shared" si="29"/>
        <v>1</v>
      </c>
      <c r="CZ24" t="str">
        <f t="shared" si="30"/>
        <v>L1</v>
      </c>
      <c r="DA24" cm="1">
        <f t="array" ref="DA24">IFERROR(IF(BL24=2,_xlfn.IFS(BH24=3,VLOOKUP(BF24,Справочная_двигатели,3,FALSE),BH24=1,VLOOKUP(BF24,Справочная_двигатели,5,TRUE)),0),0)</f>
        <v>0</v>
      </c>
      <c r="DB24">
        <f>IFERROR(IF(BL24=3,VLOOKUP(BF24,Справочная_ЛЭД,2,TRUE),0),0)</f>
        <v>0</v>
      </c>
      <c r="DC24" s="6">
        <f t="shared" si="31"/>
        <v>0</v>
      </c>
      <c r="DD24" t="str">
        <f t="shared" si="32"/>
        <v>L1</v>
      </c>
      <c r="DE24" t="str" cm="1">
        <f t="array" ref="DE24">IF(D24="","",IFERROR(INDEX({"I особая","I","II","III"},MATCH(TRIM(AA24&amp;""),{"I особая","I","II","III"},0)),"III"))</f>
        <v>III</v>
      </c>
      <c r="DF24" t="str">
        <f>IF(D24="","",IF(TRIM(AB24&amp;"")&lt;&gt;"",IF(LOWER(TRIM(AB24&amp;""))="да","да","нет"),IF(IFERROR(_xlfn.XLOOKUP(AT24,Коды_код,Коды_пожарная),"")="да","да","нет")))</f>
        <v>нет</v>
      </c>
      <c r="DG24" t="str">
        <f t="shared" si="33"/>
        <v/>
      </c>
      <c r="DH24" t="str">
        <f t="shared" si="34"/>
        <v>основная</v>
      </c>
      <c r="DI24">
        <f t="shared" si="35"/>
        <v>1</v>
      </c>
      <c r="DJ24" t="str" cm="1">
        <f t="array" ref="DJ24">IF(D24="","",_xlfn.LET(_xlpm.t,IFERROR(_xlfn.XLOOKUP(1,(Шины[Шина]=DH24)*(((Шины[Щит]=A24)+(Шины[Щит]=""))&gt;0),Шины[Тип]),"")&amp;"",IF(_xlpm.t&lt;&gt;"",_xlpm.t,IF(ISNUMBER(SEARCH("ИБП",DH24)),"ИБП",IF(ISNUMBER(SEARCH("ДГУ",DH24)),"ДГУ","Ввод "&amp;DI24)))))</f>
        <v>Ввод 1</v>
      </c>
      <c r="DK24" t="str">
        <f t="shared" si="36"/>
        <v>Ввод 1</v>
      </c>
      <c r="DL24" t="str">
        <f>IF(D24="","",IF(OR(DJ24="ИБП",DJ24="ДГУ"),"I особая",IF(DJ24="Одиночная","III",_xlfn.XLOOKUP(A24,Щиты[Щит],Щиты[Категория шины «Ввод»],"III"))))</f>
        <v>III</v>
      </c>
      <c r="DM24">
        <f>IF(D24="",0,IFERROR(MATCH(DE24,{"III","II","I","I особая"},0),1))</f>
        <v>1</v>
      </c>
      <c r="DN24">
        <f t="shared" si="37"/>
        <v>1</v>
      </c>
      <c r="DO24" t="str">
        <f>IF(D24="","",IF(DM24&gt;IFERROR(MATCH(DL24,{"III","II","I","I особая"},0),1),"НЕ ОБЕСПЕЧЕНА","ОК"))</f>
        <v>ОК</v>
      </c>
      <c r="DP24" t="str">
        <f>IF(A24="","",_xlfn.XLOOKUP(A24,Щиты[Щит],Щиты[Путь],""))</f>
        <v>|ЩР|</v>
      </c>
      <c r="DQ24" t="str">
        <f>IF(D24="","",IF(Z24&lt;&gt;"",Z24,IF(IFERROR(_xlfn.XLOOKUP(AT24,Коды_код,Коды_вид)&amp;"","")="","Прочее",_xlfn.XLOOKUP(AT24,Коды_код,Коды_вид)&amp;"")))</f>
        <v>Розеточная сеть и бытовые приборы</v>
      </c>
      <c r="DR24">
        <f>IF(BD24="","",INT((BD24-1)/Столбцов_на_лист)+1)</f>
        <v>2</v>
      </c>
      <c r="DS24" t="str">
        <f t="shared" si="38"/>
        <v>ВВГнг(А)-LS (3х2,5) L=18-0,08%</v>
      </c>
      <c r="DT24">
        <f t="shared" si="39"/>
        <v>0.12</v>
      </c>
      <c r="DU24">
        <f t="shared" si="40"/>
        <v>0.55000000000000004</v>
      </c>
      <c r="DV24">
        <f t="shared" si="41"/>
        <v>1</v>
      </c>
      <c r="DW24">
        <f>IF(AT24="",0,_xlfn.LET(_xlpm.v,IFERROR(VLOOKUP(D24,УГО_спр,3,FALSE),IFERROR(VLOOKUP(AT24,УГО_спр,3,FALSE),IFERROR(VLOOKUP(LEFT(AT24,2),УГО_спр,3,FALSE),""))),IF(_xlpm.v="да",30,IF(ISNUMBER(_xlpm.v),_xlpm.v,0))))</f>
        <v>30</v>
      </c>
      <c r="DX24">
        <f t="shared" si="42"/>
        <v>0</v>
      </c>
      <c r="DY24">
        <f>IF(BD24="","",IF(AD24&lt;&gt;"",COUNTIFS(A$3:A24,A24,AD$3:AD24,"?*"),IF(OR(OR(AS24=1,A24&lt;&gt;A23),AL24="вручную"),"",IF(AS24=1,"",DZ23))))</f>
        <v>3</v>
      </c>
      <c r="DZ24">
        <f t="shared" si="43"/>
        <v>3</v>
      </c>
      <c r="EA24">
        <f>IF(D24="",0,MAX(IFERROR(--X24,0),IFERROR(--VLOOKUP(D24,УГО_спр,4,FALSE),IFERROR(--VLOOKUP(AT24,УГО_спр,4,FALSE),IFERROR(--VLOOKUP(LEFT(AT24,2),УГО_спр,4,FALSE),0)))))</f>
        <v>16</v>
      </c>
      <c r="EB24">
        <f>IF(D24="","",IFERROR(LOOKUP(INDEX(CHOOSE(BR24,Iдоп_1ж,Iдоп_2ж,Iдоп_3ж),MATCH(BS24,Iдоп_S,0))*BP24*BQ24,{6,10,16,20,25,32,40,50,63,80,100,125,160,200,250,315,400,500,630}),""))</f>
        <v>25</v>
      </c>
      <c r="EC24">
        <f>IF(AD24="","",SUMIFS(Линии[_Ток схемы],Линии[_гр.],DY24,Линии[Щит],A24,Линии[_в кабель выше],0))</f>
        <v>0.55000000000000004</v>
      </c>
      <c r="ED24">
        <f>IF(AD24="","",IFERROR(VLOOKUP(EC24,Автомат_номиналы,2,TRUE),""))</f>
        <v>6</v>
      </c>
      <c r="EE24">
        <f>IF(AD24="","",MAX(N(ED24),_xlfn.MAXIFS(Линии[_мин. по типу],Линии[_гр.],DY24,Линии[Щит],A24)))</f>
        <v>16</v>
      </c>
      <c r="EF24">
        <f>IF(AD24="","",_xlfn.MINIFS(Линии[_макс. автомат по кабелю],Линии[_гр.],DY24,Линии[Щит],A24))</f>
        <v>25</v>
      </c>
      <c r="EG24">
        <f>IF(AD24="","",MAX(1,_xlfn.MAXIFS(Линии[_фаз],Линии[_гр.],DY24,Линии[Щит],A24)))</f>
        <v>1</v>
      </c>
      <c r="EH24">
        <f>IF(AD24="","",IF(AND(AD24&lt;&gt;"авто",AD24&lt;&gt;"+"),IF(ISNUMBER(SEARCH("мА",AD24)),IFERROR(--TRIM(RIGHT(SUBSTITUTE(LEFT(AD24,SEARCH("мА",AD24)-1)," ",REPT(" ",9)),6)),30),0),IF(AE24="нет",0,IF(ISNUMBER(AE24),AE24,IF(AE24="да",30,_xlfn.MINIFS(Линии[_дифзащита по коду, мА],Линии[_гр.],DY24,Линии[Щит],A24,Линии[_дифзащита по коду, мА],"&gt;0"))))))</f>
        <v>30</v>
      </c>
      <c r="EI24">
        <f t="shared" si="44"/>
        <v>1</v>
      </c>
      <c r="EJ24" t="str">
        <f t="shared" si="45"/>
        <v>QFD3</v>
      </c>
      <c r="EK24" t="str">
        <f t="shared" si="46"/>
        <v>QFD3</v>
      </c>
      <c r="EL24" t="str">
        <f t="shared" si="47"/>
        <v/>
      </c>
      <c r="EM24">
        <f t="shared" si="48"/>
        <v>0</v>
      </c>
      <c r="EN24">
        <f>IF(AD24="","",IF(EM24=1,MAX(EE24,Мин_автомат_БП),EE24))</f>
        <v>16</v>
      </c>
      <c r="EO24" t="str">
        <f t="shared" si="49"/>
        <v>2P</v>
      </c>
      <c r="EP24" t="str">
        <f t="shared" si="50"/>
        <v>2P С16А 30мА</v>
      </c>
      <c r="EQ24">
        <f t="shared" si="51"/>
        <v>16</v>
      </c>
      <c r="ER24" t="str">
        <f>IF(OR(AI24="",AI24="-"),"",IFERROR(VLOOKUP(AI24,Модули_спр,2,FALSE),"R"))</f>
        <v/>
      </c>
      <c r="ES24" t="str">
        <f>IF(ER24="","",ER24&amp;"."&amp;COUNTIFS(A$3:A24,A24,ER$3:ER24,ER24))</f>
        <v/>
      </c>
      <c r="ET24" t="str">
        <f t="shared" si="52"/>
        <v/>
      </c>
      <c r="EU24" t="str">
        <f t="shared" si="53"/>
        <v/>
      </c>
      <c r="EV24" t="str">
        <f t="shared" si="54"/>
        <v/>
      </c>
      <c r="EW24" t="str">
        <f t="shared" si="55"/>
        <v/>
      </c>
      <c r="EX24">
        <f t="shared" si="56"/>
        <v>1</v>
      </c>
      <c r="EY24" t="str">
        <f>IF(AK24="нет","",IF(AK24&lt;&gt;"",AK24,IF(EX24=1,"XT"&amp;COUNTIFS(A$3:A24,A24,EX$3:EX24,1),"")))</f>
        <v>XT3</v>
      </c>
      <c r="EZ24" t="str">
        <f t="shared" si="57"/>
        <v>QFD3</v>
      </c>
      <c r="FA24" t="str">
        <f t="shared" si="58"/>
        <v/>
      </c>
      <c r="FB24" t="str">
        <f t="shared" si="59"/>
        <v>ok</v>
      </c>
      <c r="FC24" t="str">
        <f>IF(OR(EV24="",ET24=""),"",IF(EV24&gt;IFERROR(VLOOKUP(EU24,Модули_спр,3,FALSE),99),"ЛИШНИЙ КАНАЛ",IF(AND(AJ24&lt;&gt;"=",COUNTIFS(Линии[_модуль гр.],ET24,Линии[Канал (итог)],EV24,Линии[Канал],"&lt;&gt;=",Линии[Щит],A24)&gt;1),"ДУБЛЬ КАНАЛА","")))</f>
        <v/>
      </c>
      <c r="FD24">
        <f t="shared" si="60"/>
        <v>16</v>
      </c>
      <c r="FE24" t="str">
        <f t="shared" si="61"/>
        <v>2P С16А 30мА</v>
      </c>
      <c r="FF24">
        <f t="shared" si="62"/>
        <v>1</v>
      </c>
      <c r="FG24">
        <f t="shared" si="63"/>
        <v>30</v>
      </c>
      <c r="FH24" s="6" t="str">
        <f t="shared" si="64"/>
        <v/>
      </c>
      <c r="FI24">
        <f t="shared" si="65"/>
        <v>10</v>
      </c>
      <c r="FJ24" t="str">
        <f t="shared" si="66"/>
        <v/>
      </c>
      <c r="FK24" t="str">
        <f>IF(AND(D24="",EZ24=""),"",_xlfn.TEXTJOIN("; ",TRUE,IF(AND(D24&lt;&gt;"",DD24=""),"нет фазы",""),IF(AND(D24&lt;&gt;"",N(DT24)=0,CN24&lt;&gt;"Нет"),"нет мощности",""),IF(AND(EY24&lt;&gt;"",COUNTIFS(Линии[Щит],A24,Линии[Клемма (итог)],EY24)&gt;1),"дубль клеммы "&amp;EY24,""),IF(AND(FB24&lt;&gt;"",FB24&lt;&gt;"ok"),FB24,""),IF(FC24&lt;&gt;"",FC24,""),IF(AND(ISNUMBER(SEARCH("(5х",DS24)),N(DV24)=1),"5 жил на 1 фазе",""),IF(AND(AT24="R",AD24&lt;&gt;"",OR(N(EH24)=0,N(EH24)&gt;30)),"розетка без дифзащиты до 30 мА",""),IFERROR(IF(AND(ISNUMBER(CD24),CD24&gt;CE24),"потери "&amp;FIXED(CD24,1)&amp;" % &gt; "&amp;CE24&amp;" %",""),""),IFERROR(IF(LEFT(FJ24,4)="мало","Iкз мало — отключение &gt; 0,4 с",""),""),IF(AND(D24&lt;&gt;"",BD24=""),"не на схеме","")))</f>
        <v/>
      </c>
      <c r="FL24" s="6">
        <f>IF(AD24="","",_xlfn.LET(_xlpm.t,IFERROR(_xlfn.XLOOKUP(EP24,Каталог!$U$4:$U$500,Каталог!$G$4:$G$500),""),_xlpm.k,SEARCH("кА",_xlpm.t),IFERROR(--TRIM(RIGHT(SUBSTITUTE(MID(_xlpm.t,MAX(1,_xlpm.k-4),_xlpm.k-MAX(1,_xlpm.k-4))," ",REPT(" ",9)),5)),"")))</f>
        <v>6</v>
      </c>
      <c r="FM24" t="str">
        <f>IF(OR(FL24="",AD24=""),"",IF(_xlfn.XLOOKUP(A24,Щиты[Щит],Щиты[Iкз max на шинах, кА],"")="","",IF(FL24&lt;_xlfn.XLOOKUP(A24,Щиты[Щит],Щиты[Iкз max на шинах, кА]),"Icu "&amp;FL24&amp;" кА &lt; Iкз max","ok")))</f>
        <v/>
      </c>
      <c r="FN24" t="str">
        <f t="shared" si="67"/>
        <v>QFD3|XT3</v>
      </c>
      <c r="FO24" t="str">
        <f t="shared" si="68"/>
        <v>QFD3|XT3|кабель ВВГнг(А)-LS (3х2,5) → Розеточная группа  Пом. №03</v>
      </c>
      <c r="FP24" t="str" cm="1">
        <f t="array" ref="FP24">IF(FO24="","",_xlfn.LET(_xlpm.nd,_xlfn.TEXTSPLIT(FO24,"|"),IF(COLUMNS(_xlpm.nd)&gt;1,A24&amp;"¦"&amp;INDEX(_xlpm.nd,1)&amp;"¦"&amp;INDEX(_xlpm.nd,2),"")))</f>
        <v>ЩР¦QFD3¦XT3</v>
      </c>
      <c r="FQ24" t="str">
        <f t="shared" si="69"/>
        <v>R.1.03.2¦Розеточная группа  Пом. №03</v>
      </c>
      <c r="FR24" t="str" cm="1">
        <f t="array" ref="FR24">IF(FO24="","",_xlfn.LET(_xlpm.nd,_xlfn.TEXTSPLIT(FO24,"|"),IF(COLUMNS(_xlpm.nd)&gt;2,A24&amp;"¦"&amp;INDEX(_xlpm.nd,2)&amp;"¦"&amp;INDEX(_xlpm.nd,3),"")))</f>
        <v>ЩР¦XT3¦кабель ВВГнг(А)-LS (3х2,5) → Розеточная группа  Пом. №03</v>
      </c>
      <c r="FS24" t="str">
        <f t="shared" si="70"/>
        <v>R.1.03.2¦Розеточная группа  Пом. №03</v>
      </c>
      <c r="FT24" t="str" cm="1">
        <f t="array" ref="FT24">IF(FO24="","",_xlfn.LET(_xlpm.nd,_xlfn.TEXTSPLIT(FO24,"|"),IF(COLUMNS(_xlpm.nd)&gt;3,A24&amp;"¦"&amp;INDEX(_xlpm.nd,3)&amp;"¦"&amp;INDEX(_xlpm.nd,4),"")))</f>
        <v/>
      </c>
      <c r="FU24" t="str">
        <f t="shared" si="71"/>
        <v/>
      </c>
      <c r="FV24" t="str" cm="1">
        <f t="array" ref="FV24">IF(FO24="","",_xlfn.LET(_xlpm.nd,_xlfn.TEXTSPLIT(FO24,"|"),IF(COLUMNS(_xlpm.nd)&gt;4,A24&amp;"¦"&amp;INDEX(_xlpm.nd,4)&amp;"¦"&amp;INDEX(_xlpm.nd,5),"")))</f>
        <v/>
      </c>
      <c r="FW24" t="str">
        <f t="shared" si="72"/>
        <v/>
      </c>
      <c r="FX24" t="str" cm="1">
        <f t="array" ref="FX24">IF(FO24="","",_xlfn.LET(_xlpm.nd,_xlfn.TEXTSPLIT(FO24,"|"),IF(COLUMNS(_xlpm.nd)&gt;5,A24&amp;"¦"&amp;INDEX(_xlpm.nd,5)&amp;"¦"&amp;INDEX(_xlpm.nd,6),"")))</f>
        <v/>
      </c>
      <c r="FY24" t="str">
        <f t="shared" si="73"/>
        <v/>
      </c>
      <c r="FZ24" t="str" cm="1">
        <f t="array" ref="FZ24">IF(FO24="","",_xlfn.LET(_xlpm.nd,_xlfn.TEXTSPLIT(FO24,"|"),IF(COLUMNS(_xlpm.nd)&gt;6,A24&amp;"¦"&amp;INDEX(_xlpm.nd,6)&amp;"¦"&amp;INDEX(_xlpm.nd,7),"")))</f>
        <v/>
      </c>
      <c r="GA24" t="str">
        <f t="shared" si="74"/>
        <v/>
      </c>
      <c r="GB24" t="str">
        <f t="shared" si="75"/>
        <v/>
      </c>
      <c r="GC24" t="str">
        <f t="shared" si="76"/>
        <v>QFD3 → XT3</v>
      </c>
      <c r="GD24">
        <f t="shared" si="77"/>
        <v>1</v>
      </c>
      <c r="GE24">
        <f t="shared" si="78"/>
        <v>0</v>
      </c>
      <c r="GF24">
        <f t="shared" si="79"/>
        <v>1</v>
      </c>
      <c r="GG24" t="str">
        <f t="shared" si="80"/>
        <v/>
      </c>
      <c r="GH24" t="str">
        <f t="shared" si="81"/>
        <v/>
      </c>
      <c r="GI24" t="str">
        <f t="shared" si="82"/>
        <v/>
      </c>
      <c r="GJ24" t="str">
        <f t="shared" si="83"/>
        <v/>
      </c>
      <c r="GK24" t="str">
        <f>IF(D24="","",IFERROR(VLOOKUP(D24,УГО_спр,2,FALSE),IFERROR(VLOOKUP(AT24,УГО_спр,2,FALSE),IFERROR(VLOOKUP(LEFT(AT24,2),УГО_спр,2,FALSE),""))))</f>
        <v>Розетка</v>
      </c>
      <c r="GL24" t="str">
        <f>IF(D24="","",IF(OR(GK24="",GK24=0),"BOX",IFERROR(IF(VLOOKUP(GK24,УГО_блоки,3,FALSE)&amp;""&lt;&gt;"",VLOOKUP(GK24,УГО_блоки,3,FALSE),VLOOKUP(GK24,УГО_блоки,2,FALSE)),GK24)))</f>
        <v>SOCKET</v>
      </c>
      <c r="GM24">
        <f t="shared" si="84"/>
        <v>1</v>
      </c>
      <c r="GN24" t="str">
        <f>IF(EP24="","",IF(COUNTIF(EP$3:EP24,EP24)=1,MAX(GN$2:GN23)+1,""))</f>
        <v/>
      </c>
      <c r="GO24" t="str">
        <f>IF(AF24="","",IF(COUNTIF(AF$3:AF24,AF24)+COUNTIF(AG$2:AG23,AF24)+COUNTIF(AH$2:AH23,AF24)=1,MAX(GO$2:GQ23)+1,""))</f>
        <v/>
      </c>
      <c r="GP24" t="str">
        <f>IF(AG24="","",IF(COUNTIF(AF$3:AF24,AG24)+COUNTIF(AG$3:AG24,AG24)+COUNTIF(AH$2:AH23,AG24)=1,MAX(GO$2:GQ23,GO24)+1,""))</f>
        <v/>
      </c>
      <c r="GQ24" t="str">
        <f>IF(AH24="","",IF(COUNTIF(AF$3:AF24,AH24)+COUNTIF(AG$3:AG24,AH24)+COUNTIF(AH$3:AH24,AH24)=1,MAX(GO$2:GQ23,GO24,GP24)+1,""))</f>
        <v/>
      </c>
      <c r="GR24" t="str">
        <f t="shared" si="85"/>
        <v>3х2,5</v>
      </c>
      <c r="GS24" t="str">
        <f>IF(GR24="","",IF(COUNTIF(GR$3:GR24,GR24)=1,MAX(GS$2:GS23)+1,""))</f>
        <v/>
      </c>
      <c r="GT24" t="str">
        <f>IF(ES24="","",COUNTIF(ES$3:ES24,"?*"))</f>
        <v/>
      </c>
      <c r="GU24" t="str">
        <f>IF(OR(ES24="",EU24=""),"",IF(COUNTIFS(ES$3:ES24,"?*",EU$3:EU24,EU24)=1,MAX(GU$2:GU23)+1,""))</f>
        <v/>
      </c>
      <c r="GV24">
        <f t="shared" si="86"/>
        <v>0</v>
      </c>
      <c r="GW24">
        <f>IF(D24="","",COUNTIF(D$3:D24,"?*"))</f>
        <v>4</v>
      </c>
      <c r="GX24">
        <f>IF(EX24&lt;&gt;1,0,_xlfn.LET(_xlpm.k,MAX(IFERROR(--VLOOKUP(D24,УГО_спр,5,FALSE),0),IFERROR(--VLOOKUP(AT24,УГО_спр,5,FALSE),0),IFERROR(--VLOOKUP(LEFT(AT24,2),УГО_спр,5,FALSE),0)),IF(_xlpm.k&gt;0,_xlpm.k,IF(IFERROR(--LEFT(SUBSTITUTE(GR24,"x","х"),FIND("х",SUBSTITUTE(GR24,"x","х"))-1),3)&gt;3,Каталог!$S$9,1))))</f>
        <v>1</v>
      </c>
      <c r="GY24">
        <f t="shared" si="87"/>
        <v>0</v>
      </c>
    </row>
    <row r="25" spans="1:207" x14ac:dyDescent="0.3">
      <c r="A25" t="s">
        <v>206</v>
      </c>
      <c r="B25">
        <v>23</v>
      </c>
      <c r="C25" t="str">
        <f>IF(BD25="","",IF(BE25="вводной узел","узел ","")&amp;"л."&amp;(INT((BD25-1)/Столбцов_на_лист)+1)&amp;" / "&amp;(MOD(BD25-1,Столбцов_на_лист)+1))</f>
        <v>л.2 / 6</v>
      </c>
      <c r="D25" t="s">
        <v>682</v>
      </c>
      <c r="E25" s="133" t="s">
        <v>753</v>
      </c>
      <c r="G25">
        <v>0.06</v>
      </c>
      <c r="H25">
        <v>1</v>
      </c>
      <c r="O25">
        <v>1</v>
      </c>
      <c r="T25">
        <v>2</v>
      </c>
      <c r="AD25" t="s">
        <v>597</v>
      </c>
      <c r="AK25" t="s">
        <v>601</v>
      </c>
      <c r="AN25">
        <v>12.11</v>
      </c>
      <c r="AO25" t="s">
        <v>631</v>
      </c>
      <c r="AQ25" t="s">
        <v>632</v>
      </c>
      <c r="AR25" t="str">
        <f t="shared" si="1"/>
        <v/>
      </c>
      <c r="AS25" cm="1">
        <f t="array" ref="AS25">ROW()-ROW(Линии[#Headers])</f>
        <v>23</v>
      </c>
      <c r="AT25" s="6" t="str">
        <f t="shared" si="2"/>
        <v>R</v>
      </c>
      <c r="AU25" t="str">
        <f t="shared" si="3"/>
        <v>1.03.3</v>
      </c>
      <c r="AV25" t="str">
        <f t="shared" si="4"/>
        <v>1</v>
      </c>
      <c r="AW25" t="str">
        <f t="shared" si="5"/>
        <v>03.3</v>
      </c>
      <c r="AX25" t="str">
        <f t="shared" si="6"/>
        <v>03</v>
      </c>
      <c r="AY25" t="str">
        <f>IF(D25="","",IF(ISERROR(SEARCH(".",D25)),IFERROR(VLOOKUP(D25,Потребители_обозначение,2,FALSE)&amp;"",""),IFERROR(IF(VLOOKUP(AT25,Потребители_обозначение,4,FALSE)=1,VLOOKUP(AT25,Потребители_обозначение,2,FALSE)&amp;" "&amp;VLOOKUP(AV25,Этаж_обозначение,2,FALSE)&amp;" Пом. №"&amp;AX25,VLOOKUP(AT25,Потребители_обозначение,2,FALSE)&amp;" Шлейф №"&amp;AV25),IFERROR(VLOOKUP(D25,Потребители_обозначение,2,FALSE),""))))</f>
        <v>Розеточная группа  Пом. №03</v>
      </c>
      <c r="AZ25" t="str">
        <f t="shared" si="7"/>
        <v>Розеточная группа  Пом. №03 Сушильная машина</v>
      </c>
      <c r="BA25" t="str">
        <f>IF(F25&lt;&gt;"",F25,IF(AND(D25&lt;&gt;"",D25&lt;&gt;A25,ISNUMBER(_xlfn.XMATCH(D25,Щиты[Щит]))),D25,""))</f>
        <v/>
      </c>
      <c r="BB25">
        <f>IFERROR(_xlfn.XMATCH(A25,Щиты[Щит]),0)</f>
        <v>1</v>
      </c>
      <c r="BC25">
        <f>IFERROR(N(_xlfn.XLOOKUP(A25,Щиты[Щит],Щиты[Мест под вводной узел])),15)</f>
        <v>18</v>
      </c>
      <c r="BD25">
        <f t="shared" si="8"/>
        <v>23</v>
      </c>
      <c r="BE25" t="str">
        <f t="shared" si="9"/>
        <v>линии</v>
      </c>
      <c r="BF25" s="6">
        <f>IF(D25="","",IF(BA25&lt;&gt;"",IFERROR(_xlfn.XLOOKUP(BA25,Щиты[Щит],Щиты[Руст, кВт]),0),N(G25)))</f>
        <v>0.06</v>
      </c>
      <c r="BG25">
        <f>IF(J25&lt;&gt;"",J25,IF(D25="","",IFERROR(IF(VLOOKUP(AT25,Потребители_обозначение,8,FALSE)=0,"",VLOOKUP(AT25,Потребители_обозначение,8,FALSE)),"")))</f>
        <v>230</v>
      </c>
      <c r="BH25">
        <f>IF(I25&lt;&gt;"",I25,IF(D25="","",IFERROR(IF(VLOOKUP(AT25,Потребители_обозначение,9,FALSE)=0,"",VLOOKUP(AT25,Потребители_обозначение,9,FALSE)),"")))</f>
        <v>1</v>
      </c>
      <c r="BI25" t="str">
        <f>IF(U25&lt;&gt;"",U25,IF(D25="","",IFERROR(IF(VLOOKUP(AT25,Потребители_обозначение,6,FALSE)=0,"",VLOOKUP(AT25,Потребители_обозначение,6,FALSE)),"")))</f>
        <v>мс</v>
      </c>
      <c r="BJ25">
        <f>IF(V25&lt;&gt;"",V25,IF(D25="","",IFERROR(IF(VLOOKUP(AT25,Потребители_обозначение,7,FALSE)=0,"",VLOOKUP(AT25,Потребители_обозначение,7,FALSE)),"")))</f>
        <v>3</v>
      </c>
      <c r="BK25">
        <f>IF(W25&lt;&gt;"",W25,IF(D25="","",IFERROR(IF(VLOOKUP(AT25,Потребители_обозначение,10,FALSE)=0,"",VLOOKUP(AT25,Потребители_обозначение,10,FALSE)),"")))</f>
        <v>2.5</v>
      </c>
      <c r="BL25">
        <f>IFERROR(VLOOKUP(AT25,Потребители_обозначение,5,FALSE),0)</f>
        <v>1</v>
      </c>
      <c r="BM25" s="6" cm="1">
        <f t="array" ref="BM25">IF(D25="","",IF(BA25&lt;&gt;"",IFERROR(_xlfn.XLOOKUP(BA25,Щиты[Щит],Щиты[cos φ]),0.95),IF(ISNUMBER(M25),M25,IFERROR(IF(BL25=2,_xlfn.IFS(BH25=3,VLOOKUP(BF25,Справочная_двигатели,8,FALSE),BH25=1,VLOOKUP(BF25,Справочная_двигатели,10,TRUE)),IF(AND(Методика="нормы 2026",CN25="Сил"),0.8,0.95)),0.95))))</f>
        <v>0.95</v>
      </c>
      <c r="BN25" s="6" cm="1">
        <f t="array" ref="BN25">IF(D25="","",IF(BA25&lt;&gt;"",IFERROR(_xlfn.XLOOKUP(BA25,Щиты[Щит],Щиты[Iр, А]),""),IFERROR(_xlfn.IFS(BH25=1,BF25/((Uн_лин/SQRT(3))*BM25),BH25=3,BF25/(SQRT(3)*Uн_лин*BM25)),"")))</f>
        <v>0.27348170645824377</v>
      </c>
      <c r="BO25">
        <f>IF(D25="","",IF(N(X25)=0,IFERROR(VLOOKUP(BN25,Автомат_номиналы,2,TRUE),""),X25))</f>
        <v>6</v>
      </c>
      <c r="BP25">
        <f t="shared" si="10"/>
        <v>1</v>
      </c>
      <c r="BQ25">
        <f>IF(ISNUMBER(Y25),Y25,К_прокл)</f>
        <v>1</v>
      </c>
      <c r="BR25">
        <f t="shared" si="11"/>
        <v>2</v>
      </c>
      <c r="BS25" cm="1">
        <f t="array" ref="BS25">IF(D25="","",IF(N(BK25)&lt;&gt;0,BK25,IFERROR(_xlfn.LET(_xlpm.need,BO25/(BP25*BQ25),_xlpm.t,CHOOSE(BR25,Iдоп_1ж,Iдоп_2ж,Iдоп_3ж),_xlpm.k,_xlfn.XMATCH(_xlpm.need,_xlpm.t,1),IF(ISNA(_xlpm.k),"Не исп",INDEX(Iдоп_S,_xlpm.k))),"Не исп")))</f>
        <v>2.5</v>
      </c>
      <c r="BT25">
        <f>IFERROR(VLOOKUP(BS25,Кабель_сопротивление,3,FALSE),"")</f>
        <v>2.2499999999999999E-2</v>
      </c>
      <c r="BU25">
        <f>IFERROR(VLOOKUP(BS25,Кабель_сопротивление,2,FALSE),"")</f>
        <v>0.1</v>
      </c>
      <c r="BV25">
        <f t="shared" si="12"/>
        <v>13</v>
      </c>
      <c r="BW25" s="6">
        <f>IF(D25="","",IFERROR(IF(VLOOKUP(AT25,Потребители_обозначение,4,FALSE)=1,VLOOKUP(AT25,Потребители_обозначение,3,FALSE)*(H25*2-1)+BV25+VLOOKUP(AV25,Этаж_обозначение,3,FALSE)+VLOOKUP(AV25,Этаж_обозначение,4,FALSE),VLOOKUP(AT25,Потребители_обозначение,3,FALSE)*(H25*2-1)+BV25),BV25))</f>
        <v>15</v>
      </c>
      <c r="BX25">
        <f t="shared" si="13"/>
        <v>0</v>
      </c>
      <c r="BY25">
        <f t="shared" si="14"/>
        <v>11</v>
      </c>
      <c r="BZ25">
        <f t="shared" si="15"/>
        <v>2</v>
      </c>
      <c r="CA25">
        <f t="shared" si="16"/>
        <v>0.31</v>
      </c>
      <c r="CB25">
        <f t="shared" si="17"/>
        <v>7.0402395693545672E-2</v>
      </c>
      <c r="CC25" s="6">
        <f>IFERROR(ROUNDUP(CB25/((Uн_лин/SQRT(3))*1000)*100,2),"")</f>
        <v>0.04</v>
      </c>
      <c r="CD25" s="6">
        <f>IF(ISNUMBER(CC25),CC25+IFERROR(_xlfn.XLOOKUP(A25,Щиты[Щит],Щиты[ΔU до шин, %]),0),"")</f>
        <v>0.04</v>
      </c>
      <c r="CE25" s="6">
        <f>IF(D25="","",IF(IFERROR(VLOOKUP(AT25,УГО_спр,2,FALSE),"")="Светильник",3,4)+IF(Методика="нормы 2026",MIN(0.5,MAX(0,N(BW25)-100)*0.005),0))</f>
        <v>4</v>
      </c>
      <c r="CF25" t="str">
        <f>IFERROR(VLOOKUP(BI25,Кабель_обозначение,2,FALSE),"")</f>
        <v>ВВГнг(А)-LS</v>
      </c>
      <c r="CG25" t="str">
        <f>IFERROR(IF(VLOOKUP(BI25,Кабель_обозначение,3,FALSE)=1,CF25&amp;" ("&amp;BJ25&amp;"х"&amp;BS25&amp;")",CF25),"")</f>
        <v>ВВГнг(А)-LS (3х2,5)</v>
      </c>
      <c r="CH25" t="str">
        <f t="shared" si="18"/>
        <v>ВВГнг(А)-LS (3х2,5)
L=15-0,04%</v>
      </c>
      <c r="CI25">
        <f>IFERROR(2*ρкз_Cu*BW25/BS25,"")</f>
        <v>0.31559999999999999</v>
      </c>
      <c r="CJ25">
        <f t="shared" si="19"/>
        <v>0.10500000000000001</v>
      </c>
      <c r="CK25" s="6" t="str">
        <f>IFERROR(IF(OR(D25="",NOT(ISNUMBER(BS25)),N(BW25)=0),"",_xlfn.XLOOKUP(A25,Щиты[Щит],Щиты[Zпетли на шинах, Ом])+CI25),"")</f>
        <v/>
      </c>
      <c r="CL25" s="6" t="str">
        <f>IF(ISNUMBER(CK25),c_min*(Uн_лин*1000/SQRT(3))/CK25,"")</f>
        <v/>
      </c>
      <c r="CM25" s="6" t="str">
        <f>IFERROR(IF(OR(D25="",NOT(ISNUMBER(BS25))),"",1.05*(Uн_лин*1000/SQRT(3))/(_xlfn.XLOOKUP(A25,Щиты[Щит],Щиты[Zmax на шинах, Ом])+CJ25)/1000),"")</f>
        <v/>
      </c>
      <c r="CN25" s="6" t="str">
        <f>IF(D25="","",IF(BA25&lt;&gt;"","Щит",IF(K25&lt;&gt;"",K25,IF(ISNUMBER(L25),"Сил",IF(IFERROR(_xlfn.XLOOKUP(AT25,Коды_код,Коды_группа)&amp;"","")="","Быт",_xlfn.XLOOKUP(AT25,Коды_код,Коды_группа)&amp;"")))))</f>
        <v>Быт</v>
      </c>
      <c r="CO25" s="6">
        <f>IF(CN25="Щит","щит",IF(CN25="","",IF(CN25="Быт",IFERROR(_xlfn.XLOOKUP(A25,Щиты[Щит],Щиты[Кс быт]),1),IF(CN25="Сил",IF(ISNUMBER(L25),L25,IF(Методика="нормы 2026",IFERROR(_xlfn.XLOOKUP(A25,Щиты[Щит],Щиты[Кс силовых (табл. 7.5)]),1),1)),IF(OR(CN25="Пост",CN25="Отоп"),1,IF(CN25="ВНГ",0.7,0))))))</f>
        <v>0.8</v>
      </c>
      <c r="CP25">
        <f t="shared" si="20"/>
        <v>1</v>
      </c>
      <c r="CQ25">
        <f t="shared" si="21"/>
        <v>0.06</v>
      </c>
      <c r="CR25">
        <f t="shared" si="22"/>
        <v>0.06</v>
      </c>
      <c r="CS25">
        <f t="shared" si="23"/>
        <v>0</v>
      </c>
      <c r="CT25">
        <f t="shared" si="24"/>
        <v>0</v>
      </c>
      <c r="CU25">
        <f t="shared" si="25"/>
        <v>0</v>
      </c>
      <c r="CV25">
        <f t="shared" si="26"/>
        <v>0</v>
      </c>
      <c r="CW25">
        <f t="shared" si="27"/>
        <v>0.06</v>
      </c>
      <c r="CX25">
        <f t="shared" si="28"/>
        <v>5.6999999999999995E-2</v>
      </c>
      <c r="CY25">
        <f t="shared" si="29"/>
        <v>2</v>
      </c>
      <c r="CZ25" t="str">
        <f t="shared" si="30"/>
        <v>L2</v>
      </c>
      <c r="DA25" cm="1">
        <f t="array" ref="DA25">IFERROR(IF(BL25=2,_xlfn.IFS(BH25=3,VLOOKUP(BF25,Справочная_двигатели,3,FALSE),BH25=1,VLOOKUP(BF25,Справочная_двигатели,5,TRUE)),0),0)</f>
        <v>0</v>
      </c>
      <c r="DB25">
        <f>IFERROR(IF(BL25=3,VLOOKUP(BF25,Справочная_ЛЭД,2,TRUE),0),0)</f>
        <v>0</v>
      </c>
      <c r="DC25" s="6">
        <f t="shared" si="31"/>
        <v>0</v>
      </c>
      <c r="DD25" t="str">
        <f t="shared" si="32"/>
        <v>L1</v>
      </c>
      <c r="DE25" t="str" cm="1">
        <f t="array" ref="DE25">IF(D25="","",IFERROR(INDEX({"I особая","I","II","III"},MATCH(TRIM(AA25&amp;""),{"I особая","I","II","III"},0)),"III"))</f>
        <v>III</v>
      </c>
      <c r="DF25" t="str">
        <f>IF(D25="","",IF(TRIM(AB25&amp;"")&lt;&gt;"",IF(LOWER(TRIM(AB25&amp;""))="да","да","нет"),IF(IFERROR(_xlfn.XLOOKUP(AT25,Коды_код,Коды_пожарная),"")="да","да","нет")))</f>
        <v>нет</v>
      </c>
      <c r="DG25" t="str">
        <f t="shared" si="33"/>
        <v/>
      </c>
      <c r="DH25" t="str">
        <f t="shared" si="34"/>
        <v>основная</v>
      </c>
      <c r="DI25">
        <f t="shared" si="35"/>
        <v>1</v>
      </c>
      <c r="DJ25" t="str" cm="1">
        <f t="array" ref="DJ25">IF(D25="","",_xlfn.LET(_xlpm.t,IFERROR(_xlfn.XLOOKUP(1,(Шины[Шина]=DH25)*(((Шины[Щит]=A25)+(Шины[Щит]=""))&gt;0),Шины[Тип]),"")&amp;"",IF(_xlpm.t&lt;&gt;"",_xlpm.t,IF(ISNUMBER(SEARCH("ИБП",DH25)),"ИБП",IF(ISNUMBER(SEARCH("ДГУ",DH25)),"ДГУ","Ввод "&amp;DI25)))))</f>
        <v>Ввод 1</v>
      </c>
      <c r="DK25" t="str">
        <f t="shared" si="36"/>
        <v>Ввод 1</v>
      </c>
      <c r="DL25" t="str">
        <f>IF(D25="","",IF(OR(DJ25="ИБП",DJ25="ДГУ"),"I особая",IF(DJ25="Одиночная","III",_xlfn.XLOOKUP(A25,Щиты[Щит],Щиты[Категория шины «Ввод»],"III"))))</f>
        <v>III</v>
      </c>
      <c r="DM25">
        <f>IF(D25="",0,IFERROR(MATCH(DE25,{"III","II","I","I особая"},0),1))</f>
        <v>1</v>
      </c>
      <c r="DN25">
        <f t="shared" si="37"/>
        <v>1</v>
      </c>
      <c r="DO25" t="str">
        <f>IF(D25="","",IF(DM25&gt;IFERROR(MATCH(DL25,{"III","II","I","I особая"},0),1),"НЕ ОБЕСПЕЧЕНА","ОК"))</f>
        <v>ОК</v>
      </c>
      <c r="DP25" t="str">
        <f>IF(A25="","",_xlfn.XLOOKUP(A25,Щиты[Щит],Щиты[Путь],""))</f>
        <v>|ЩР|</v>
      </c>
      <c r="DQ25" t="str">
        <f>IF(D25="","",IF(Z25&lt;&gt;"",Z25,IF(IFERROR(_xlfn.XLOOKUP(AT25,Коды_код,Коды_вид)&amp;"","")="","Прочее",_xlfn.XLOOKUP(AT25,Коды_код,Коды_вид)&amp;"")))</f>
        <v>Розеточная сеть и бытовые приборы</v>
      </c>
      <c r="DR25">
        <f>IF(BD25="","",INT((BD25-1)/Столбцов_на_лист)+1)</f>
        <v>2</v>
      </c>
      <c r="DS25" t="str">
        <f t="shared" si="38"/>
        <v>ВВГнг(А)-LS (3х2,5) L=15-0,04%</v>
      </c>
      <c r="DT25">
        <f t="shared" si="39"/>
        <v>0.06</v>
      </c>
      <c r="DU25">
        <f t="shared" si="40"/>
        <v>0.28000000000000003</v>
      </c>
      <c r="DV25">
        <f t="shared" si="41"/>
        <v>1</v>
      </c>
      <c r="DW25">
        <f>IF(AT25="",0,_xlfn.LET(_xlpm.v,IFERROR(VLOOKUP(D25,УГО_спр,3,FALSE),IFERROR(VLOOKUP(AT25,УГО_спр,3,FALSE),IFERROR(VLOOKUP(LEFT(AT25,2),УГО_спр,3,FALSE),""))),IF(_xlpm.v="да",30,IF(ISNUMBER(_xlpm.v),_xlpm.v,0))))</f>
        <v>30</v>
      </c>
      <c r="DX25">
        <f t="shared" si="42"/>
        <v>0</v>
      </c>
      <c r="DY25">
        <f>IF(BD25="","",IF(AD25&lt;&gt;"",COUNTIFS(A$3:A25,A25,AD$3:AD25,"?*"),IF(OR(OR(AS25=1,A25&lt;&gt;A24),AL25="вручную"),"",IF(AS25=1,"",DZ24))))</f>
        <v>4</v>
      </c>
      <c r="DZ25">
        <f t="shared" si="43"/>
        <v>4</v>
      </c>
      <c r="EA25">
        <f>IF(D25="",0,MAX(IFERROR(--X25,0),IFERROR(--VLOOKUP(D25,УГО_спр,4,FALSE),IFERROR(--VLOOKUP(AT25,УГО_спр,4,FALSE),IFERROR(--VLOOKUP(LEFT(AT25,2),УГО_спр,4,FALSE),0)))))</f>
        <v>16</v>
      </c>
      <c r="EB25">
        <f>IF(D25="","",IFERROR(LOOKUP(INDEX(CHOOSE(BR25,Iдоп_1ж,Iдоп_2ж,Iдоп_3ж),MATCH(BS25,Iдоп_S,0))*BP25*BQ25,{6,10,16,20,25,32,40,50,63,80,100,125,160,200,250,315,400,500,630}),""))</f>
        <v>25</v>
      </c>
      <c r="EC25">
        <f>IF(AD25="","",SUMIFS(Линии[_Ток схемы],Линии[_гр.],DY25,Линии[Щит],A25,Линии[_в кабель выше],0))</f>
        <v>0.28000000000000003</v>
      </c>
      <c r="ED25">
        <f>IF(AD25="","",IFERROR(VLOOKUP(EC25,Автомат_номиналы,2,TRUE),""))</f>
        <v>6</v>
      </c>
      <c r="EE25">
        <f>IF(AD25="","",MAX(N(ED25),_xlfn.MAXIFS(Линии[_мин. по типу],Линии[_гр.],DY25,Линии[Щит],A25)))</f>
        <v>16</v>
      </c>
      <c r="EF25">
        <f>IF(AD25="","",_xlfn.MINIFS(Линии[_макс. автомат по кабелю],Линии[_гр.],DY25,Линии[Щит],A25))</f>
        <v>25</v>
      </c>
      <c r="EG25">
        <f>IF(AD25="","",MAX(1,_xlfn.MAXIFS(Линии[_фаз],Линии[_гр.],DY25,Линии[Щит],A25)))</f>
        <v>1</v>
      </c>
      <c r="EH25">
        <f>IF(AD25="","",IF(AND(AD25&lt;&gt;"авто",AD25&lt;&gt;"+"),IF(ISNUMBER(SEARCH("мА",AD25)),IFERROR(--TRIM(RIGHT(SUBSTITUTE(LEFT(AD25,SEARCH("мА",AD25)-1)," ",REPT(" ",9)),6)),30),0),IF(AE25="нет",0,IF(ISNUMBER(AE25),AE25,IF(AE25="да",30,_xlfn.MINIFS(Линии[_дифзащита по коду, мА],Линии[_гр.],DY25,Линии[Щит],A25,Линии[_дифзащита по коду, мА],"&gt;0"))))))</f>
        <v>30</v>
      </c>
      <c r="EI25">
        <f t="shared" si="44"/>
        <v>1</v>
      </c>
      <c r="EJ25" t="str">
        <f t="shared" si="45"/>
        <v>QFD4</v>
      </c>
      <c r="EK25" t="str">
        <f t="shared" si="46"/>
        <v>QFD4</v>
      </c>
      <c r="EL25" t="str">
        <f t="shared" si="47"/>
        <v/>
      </c>
      <c r="EM25">
        <f t="shared" si="48"/>
        <v>0</v>
      </c>
      <c r="EN25">
        <f>IF(AD25="","",IF(EM25=1,MAX(EE25,Мин_автомат_БП),EE25))</f>
        <v>16</v>
      </c>
      <c r="EO25" t="str">
        <f t="shared" si="49"/>
        <v>2P</v>
      </c>
      <c r="EP25" t="str">
        <f t="shared" si="50"/>
        <v>2P С16А 30мА</v>
      </c>
      <c r="EQ25">
        <f t="shared" si="51"/>
        <v>16</v>
      </c>
      <c r="ER25" t="str">
        <f>IF(OR(AI25="",AI25="-"),"",IFERROR(VLOOKUP(AI25,Модули_спр,2,FALSE),"R"))</f>
        <v/>
      </c>
      <c r="ES25" t="str">
        <f>IF(ER25="","",ER25&amp;"."&amp;COUNTIFS(A$3:A25,A25,ER$3:ER25,ER25))</f>
        <v/>
      </c>
      <c r="ET25" t="str">
        <f t="shared" si="52"/>
        <v/>
      </c>
      <c r="EU25" t="str">
        <f t="shared" si="53"/>
        <v/>
      </c>
      <c r="EV25" t="str">
        <f t="shared" si="54"/>
        <v/>
      </c>
      <c r="EW25" t="str">
        <f t="shared" si="55"/>
        <v/>
      </c>
      <c r="EX25">
        <f t="shared" si="56"/>
        <v>1</v>
      </c>
      <c r="EY25" t="str">
        <f>IF(AK25="нет","",IF(AK25&lt;&gt;"",AK25,IF(EX25=1,"XT"&amp;COUNTIFS(A$3:A25,A25,EX$3:EX25,1),"")))</f>
        <v>XT4</v>
      </c>
      <c r="EZ25" t="str">
        <f t="shared" si="57"/>
        <v>QFD4</v>
      </c>
      <c r="FA25" t="str">
        <f t="shared" si="58"/>
        <v/>
      </c>
      <c r="FB25" t="str">
        <f t="shared" si="59"/>
        <v>ok</v>
      </c>
      <c r="FC25" t="str">
        <f>IF(OR(EV25="",ET25=""),"",IF(EV25&gt;IFERROR(VLOOKUP(EU25,Модули_спр,3,FALSE),99),"ЛИШНИЙ КАНАЛ",IF(AND(AJ25&lt;&gt;"=",COUNTIFS(Линии[_модуль гр.],ET25,Линии[Канал (итог)],EV25,Линии[Канал],"&lt;&gt;=",Линии[Щит],A25)&gt;1),"ДУБЛЬ КАНАЛА","")))</f>
        <v/>
      </c>
      <c r="FD25">
        <f t="shared" si="60"/>
        <v>16</v>
      </c>
      <c r="FE25" t="str">
        <f t="shared" si="61"/>
        <v>2P С16А 30мА</v>
      </c>
      <c r="FF25">
        <f t="shared" si="62"/>
        <v>1</v>
      </c>
      <c r="FG25">
        <f t="shared" si="63"/>
        <v>30</v>
      </c>
      <c r="FH25" s="6" t="str">
        <f t="shared" si="64"/>
        <v/>
      </c>
      <c r="FI25">
        <f t="shared" si="65"/>
        <v>10</v>
      </c>
      <c r="FJ25" t="str">
        <f t="shared" si="66"/>
        <v/>
      </c>
      <c r="FK25" t="str">
        <f>IF(AND(D25="",EZ25=""),"",_xlfn.TEXTJOIN("; ",TRUE,IF(AND(D25&lt;&gt;"",DD25=""),"нет фазы",""),IF(AND(D25&lt;&gt;"",N(DT25)=0,CN25&lt;&gt;"Нет"),"нет мощности",""),IF(AND(EY25&lt;&gt;"",COUNTIFS(Линии[Щит],A25,Линии[Клемма (итог)],EY25)&gt;1),"дубль клеммы "&amp;EY25,""),IF(AND(FB25&lt;&gt;"",FB25&lt;&gt;"ok"),FB25,""),IF(FC25&lt;&gt;"",FC25,""),IF(AND(ISNUMBER(SEARCH("(5х",DS25)),N(DV25)=1),"5 жил на 1 фазе",""),IF(AND(AT25="R",AD25&lt;&gt;"",OR(N(EH25)=0,N(EH25)&gt;30)),"розетка без дифзащиты до 30 мА",""),IFERROR(IF(AND(ISNUMBER(CD25),CD25&gt;CE25),"потери "&amp;FIXED(CD25,1)&amp;" % &gt; "&amp;CE25&amp;" %",""),""),IFERROR(IF(LEFT(FJ25,4)="мало","Iкз мало — отключение &gt; 0,4 с",""),""),IF(AND(D25&lt;&gt;"",BD25=""),"не на схеме","")))</f>
        <v/>
      </c>
      <c r="FL25" s="6">
        <f>IF(AD25="","",_xlfn.LET(_xlpm.t,IFERROR(_xlfn.XLOOKUP(EP25,Каталог!$U$4:$U$500,Каталог!$G$4:$G$500),""),_xlpm.k,SEARCH("кА",_xlpm.t),IFERROR(--TRIM(RIGHT(SUBSTITUTE(MID(_xlpm.t,MAX(1,_xlpm.k-4),_xlpm.k-MAX(1,_xlpm.k-4))," ",REPT(" ",9)),5)),"")))</f>
        <v>6</v>
      </c>
      <c r="FM25" t="str">
        <f>IF(OR(FL25="",AD25=""),"",IF(_xlfn.XLOOKUP(A25,Щиты[Щит],Щиты[Iкз max на шинах, кА],"")="","",IF(FL25&lt;_xlfn.XLOOKUP(A25,Щиты[Щит],Щиты[Iкз max на шинах, кА]),"Icu "&amp;FL25&amp;" кА &lt; Iкз max","ok")))</f>
        <v/>
      </c>
      <c r="FN25" t="str">
        <f t="shared" si="67"/>
        <v>QFD4|XT4</v>
      </c>
      <c r="FO25" t="str">
        <f t="shared" si="68"/>
        <v>QFD4|XT4|кабель ВВГнг(А)-LS (3х2,5) → Розеточная группа  Пом. №03 Сушильная машина</v>
      </c>
      <c r="FP25" t="str" cm="1">
        <f t="array" ref="FP25">IF(FO25="","",_xlfn.LET(_xlpm.nd,_xlfn.TEXTSPLIT(FO25,"|"),IF(COLUMNS(_xlpm.nd)&gt;1,A25&amp;"¦"&amp;INDEX(_xlpm.nd,1)&amp;"¦"&amp;INDEX(_xlpm.nd,2),"")))</f>
        <v>ЩР¦QFD4¦XT4</v>
      </c>
      <c r="FQ25" t="str">
        <f t="shared" si="69"/>
        <v>R.1.03.3¦Розеточная группа  Пом. №03 Сушильная машина</v>
      </c>
      <c r="FR25" t="str" cm="1">
        <f t="array" ref="FR25">IF(FO25="","",_xlfn.LET(_xlpm.nd,_xlfn.TEXTSPLIT(FO25,"|"),IF(COLUMNS(_xlpm.nd)&gt;2,A25&amp;"¦"&amp;INDEX(_xlpm.nd,2)&amp;"¦"&amp;INDEX(_xlpm.nd,3),"")))</f>
        <v>ЩР¦XT4¦кабель ВВГнг(А)-LS (3х2,5) → Розеточная группа  Пом. №03 Сушильная машина</v>
      </c>
      <c r="FS25" t="str">
        <f t="shared" si="70"/>
        <v>R.1.03.3¦Розеточная группа  Пом. №03 Сушильная машина</v>
      </c>
      <c r="FT25" t="str" cm="1">
        <f t="array" ref="FT25">IF(FO25="","",_xlfn.LET(_xlpm.nd,_xlfn.TEXTSPLIT(FO25,"|"),IF(COLUMNS(_xlpm.nd)&gt;3,A25&amp;"¦"&amp;INDEX(_xlpm.nd,3)&amp;"¦"&amp;INDEX(_xlpm.nd,4),"")))</f>
        <v/>
      </c>
      <c r="FU25" t="str">
        <f t="shared" si="71"/>
        <v/>
      </c>
      <c r="FV25" t="str" cm="1">
        <f t="array" ref="FV25">IF(FO25="","",_xlfn.LET(_xlpm.nd,_xlfn.TEXTSPLIT(FO25,"|"),IF(COLUMNS(_xlpm.nd)&gt;4,A25&amp;"¦"&amp;INDEX(_xlpm.nd,4)&amp;"¦"&amp;INDEX(_xlpm.nd,5),"")))</f>
        <v/>
      </c>
      <c r="FW25" t="str">
        <f t="shared" si="72"/>
        <v/>
      </c>
      <c r="FX25" t="str" cm="1">
        <f t="array" ref="FX25">IF(FO25="","",_xlfn.LET(_xlpm.nd,_xlfn.TEXTSPLIT(FO25,"|"),IF(COLUMNS(_xlpm.nd)&gt;5,A25&amp;"¦"&amp;INDEX(_xlpm.nd,5)&amp;"¦"&amp;INDEX(_xlpm.nd,6),"")))</f>
        <v/>
      </c>
      <c r="FY25" t="str">
        <f t="shared" si="73"/>
        <v/>
      </c>
      <c r="FZ25" t="str" cm="1">
        <f t="array" ref="FZ25">IF(FO25="","",_xlfn.LET(_xlpm.nd,_xlfn.TEXTSPLIT(FO25,"|"),IF(COLUMNS(_xlpm.nd)&gt;6,A25&amp;"¦"&amp;INDEX(_xlpm.nd,6)&amp;"¦"&amp;INDEX(_xlpm.nd,7),"")))</f>
        <v/>
      </c>
      <c r="GA25" t="str">
        <f t="shared" si="74"/>
        <v/>
      </c>
      <c r="GB25" t="str">
        <f t="shared" si="75"/>
        <v/>
      </c>
      <c r="GC25" t="str">
        <f t="shared" si="76"/>
        <v>QFD4 → XT4</v>
      </c>
      <c r="GD25">
        <f t="shared" si="77"/>
        <v>1</v>
      </c>
      <c r="GE25">
        <f t="shared" si="78"/>
        <v>0</v>
      </c>
      <c r="GF25">
        <f t="shared" si="79"/>
        <v>1</v>
      </c>
      <c r="GG25" t="str">
        <f t="shared" si="80"/>
        <v/>
      </c>
      <c r="GH25" t="str">
        <f t="shared" si="81"/>
        <v/>
      </c>
      <c r="GI25" t="str">
        <f t="shared" si="82"/>
        <v/>
      </c>
      <c r="GJ25" t="str">
        <f t="shared" si="83"/>
        <v/>
      </c>
      <c r="GK25" t="str">
        <f>IF(D25="","",IFERROR(VLOOKUP(D25,УГО_спр,2,FALSE),IFERROR(VLOOKUP(AT25,УГО_спр,2,FALSE),IFERROR(VLOOKUP(LEFT(AT25,2),УГО_спр,2,FALSE),""))))</f>
        <v>Розетка</v>
      </c>
      <c r="GL25" t="str">
        <f>IF(D25="","",IF(OR(GK25="",GK25=0),"BOX",IFERROR(IF(VLOOKUP(GK25,УГО_блоки,3,FALSE)&amp;""&lt;&gt;"",VLOOKUP(GK25,УГО_блоки,3,FALSE),VLOOKUP(GK25,УГО_блоки,2,FALSE)),GK25)))</f>
        <v>SOCKET</v>
      </c>
      <c r="GM25">
        <f t="shared" si="84"/>
        <v>1</v>
      </c>
      <c r="GN25" t="str">
        <f>IF(EP25="","",IF(COUNTIF(EP$3:EP25,EP25)=1,MAX(GN$2:GN24)+1,""))</f>
        <v/>
      </c>
      <c r="GO25" t="str">
        <f>IF(AF25="","",IF(COUNTIF(AF$3:AF25,AF25)+COUNTIF(AG$2:AG24,AF25)+COUNTIF(AH$2:AH24,AF25)=1,MAX(GO$2:GQ24)+1,""))</f>
        <v/>
      </c>
      <c r="GP25" t="str">
        <f>IF(AG25="","",IF(COUNTIF(AF$3:AF25,AG25)+COUNTIF(AG$3:AG25,AG25)+COUNTIF(AH$2:AH24,AG25)=1,MAX(GO$2:GQ24,GO25)+1,""))</f>
        <v/>
      </c>
      <c r="GQ25" t="str">
        <f>IF(AH25="","",IF(COUNTIF(AF$3:AF25,AH25)+COUNTIF(AG$3:AG25,AH25)+COUNTIF(AH$3:AH25,AH25)=1,MAX(GO$2:GQ24,GO25,GP25)+1,""))</f>
        <v/>
      </c>
      <c r="GR25" t="str">
        <f t="shared" si="85"/>
        <v>3х2,5</v>
      </c>
      <c r="GS25" t="str">
        <f>IF(GR25="","",IF(COUNTIF(GR$3:GR25,GR25)=1,MAX(GS$2:GS24)+1,""))</f>
        <v/>
      </c>
      <c r="GT25" t="str">
        <f>IF(ES25="","",COUNTIF(ES$3:ES25,"?*"))</f>
        <v/>
      </c>
      <c r="GU25" t="str">
        <f>IF(OR(ES25="",EU25=""),"",IF(COUNTIFS(ES$3:ES25,"?*",EU$3:EU25,EU25)=1,MAX(GU$2:GU24)+1,""))</f>
        <v/>
      </c>
      <c r="GV25">
        <f t="shared" si="86"/>
        <v>0</v>
      </c>
      <c r="GW25">
        <f>IF(D25="","",COUNTIF(D$3:D25,"?*"))</f>
        <v>5</v>
      </c>
      <c r="GX25">
        <f>IF(EX25&lt;&gt;1,0,_xlfn.LET(_xlpm.k,MAX(IFERROR(--VLOOKUP(D25,УГО_спр,5,FALSE),0),IFERROR(--VLOOKUP(AT25,УГО_спр,5,FALSE),0),IFERROR(--VLOOKUP(LEFT(AT25,2),УГО_спр,5,FALSE),0)),IF(_xlpm.k&gt;0,_xlpm.k,IF(IFERROR(--LEFT(SUBSTITUTE(GR25,"x","х"),FIND("х",SUBSTITUTE(GR25,"x","х"))-1),3)&gt;3,Каталог!$S$9,1))))</f>
        <v>1</v>
      </c>
      <c r="GY25">
        <f t="shared" si="87"/>
        <v>0</v>
      </c>
    </row>
    <row r="26" spans="1:207" x14ac:dyDescent="0.3">
      <c r="A26" t="s">
        <v>206</v>
      </c>
      <c r="B26">
        <v>24</v>
      </c>
      <c r="C26" t="str">
        <f>IF(BD26="","",IF(BE26="вводной узел","узел ","")&amp;"л."&amp;(INT((BD26-1)/Столбцов_на_лист)+1)&amp;" / "&amp;(MOD(BD26-1,Столбцов_на_лист)+1))</f>
        <v>л.2 / 7</v>
      </c>
      <c r="D26" t="s">
        <v>681</v>
      </c>
      <c r="E26" s="133" t="s">
        <v>754</v>
      </c>
      <c r="G26">
        <v>0.06</v>
      </c>
      <c r="H26">
        <v>1</v>
      </c>
      <c r="I26">
        <v>3</v>
      </c>
      <c r="J26">
        <v>400</v>
      </c>
      <c r="O26" t="s">
        <v>1360</v>
      </c>
      <c r="T26">
        <v>2</v>
      </c>
      <c r="V26">
        <v>5</v>
      </c>
      <c r="AD26" t="s">
        <v>597</v>
      </c>
      <c r="AK26" t="s">
        <v>602</v>
      </c>
      <c r="AN26">
        <v>11.73</v>
      </c>
      <c r="AO26" t="s">
        <v>629</v>
      </c>
      <c r="AQ26" t="s">
        <v>630</v>
      </c>
      <c r="AR26" t="str">
        <f t="shared" si="1"/>
        <v/>
      </c>
      <c r="AS26" cm="1">
        <f t="array" ref="AS26">ROW()-ROW(Линии[#Headers])</f>
        <v>24</v>
      </c>
      <c r="AT26" s="6" t="str">
        <f t="shared" si="2"/>
        <v>R</v>
      </c>
      <c r="AU26" t="str">
        <f t="shared" si="3"/>
        <v>1.03.4</v>
      </c>
      <c r="AV26" t="str">
        <f t="shared" si="4"/>
        <v>1</v>
      </c>
      <c r="AW26" t="str">
        <f t="shared" si="5"/>
        <v>03.4</v>
      </c>
      <c r="AX26" t="str">
        <f t="shared" si="6"/>
        <v>03</v>
      </c>
      <c r="AY26" t="str">
        <f>IF(D26="","",IF(ISERROR(SEARCH(".",D26)),IFERROR(VLOOKUP(D26,Потребители_обозначение,2,FALSE)&amp;"",""),IFERROR(IF(VLOOKUP(AT26,Потребители_обозначение,4,FALSE)=1,VLOOKUP(AT26,Потребители_обозначение,2,FALSE)&amp;" "&amp;VLOOKUP(AV26,Этаж_обозначение,2,FALSE)&amp;" Пом. №"&amp;AX26,VLOOKUP(AT26,Потребители_обозначение,2,FALSE)&amp;" Шлейф №"&amp;AV26),IFERROR(VLOOKUP(D26,Потребители_обозначение,2,FALSE),""))))</f>
        <v>Розеточная группа  Пом. №03</v>
      </c>
      <c r="AZ26" t="str">
        <f t="shared" si="7"/>
        <v>Розеточная группа  Пом. №03 Стиральная машина</v>
      </c>
      <c r="BA26" t="str">
        <f>IF(F26&lt;&gt;"",F26,IF(AND(D26&lt;&gt;"",D26&lt;&gt;A26,ISNUMBER(_xlfn.XMATCH(D26,Щиты[Щит]))),D26,""))</f>
        <v/>
      </c>
      <c r="BB26">
        <f>IFERROR(_xlfn.XMATCH(A26,Щиты[Щит]),0)</f>
        <v>1</v>
      </c>
      <c r="BC26">
        <f>IFERROR(N(_xlfn.XLOOKUP(A26,Щиты[Щит],Щиты[Мест под вводной узел])),15)</f>
        <v>18</v>
      </c>
      <c r="BD26">
        <f t="shared" si="8"/>
        <v>24</v>
      </c>
      <c r="BE26" t="str">
        <f t="shared" si="9"/>
        <v>линии</v>
      </c>
      <c r="BF26" s="6">
        <f>IF(D26="","",IF(BA26&lt;&gt;"",IFERROR(_xlfn.XLOOKUP(BA26,Щиты[Щит],Щиты[Руст, кВт]),0),N(G26)))</f>
        <v>0.06</v>
      </c>
      <c r="BG26">
        <f>IF(J26&lt;&gt;"",J26,IF(D26="","",IFERROR(IF(VLOOKUP(AT26,Потребители_обозначение,8,FALSE)=0,"",VLOOKUP(AT26,Потребители_обозначение,8,FALSE)),"")))</f>
        <v>400</v>
      </c>
      <c r="BH26">
        <f>IF(I26&lt;&gt;"",I26,IF(D26="","",IFERROR(IF(VLOOKUP(AT26,Потребители_обозначение,9,FALSE)=0,"",VLOOKUP(AT26,Потребители_обозначение,9,FALSE)),"")))</f>
        <v>3</v>
      </c>
      <c r="BI26" t="str">
        <f>IF(U26&lt;&gt;"",U26,IF(D26="","",IFERROR(IF(VLOOKUP(AT26,Потребители_обозначение,6,FALSE)=0,"",VLOOKUP(AT26,Потребители_обозначение,6,FALSE)),"")))</f>
        <v>мс</v>
      </c>
      <c r="BJ26">
        <f>IF(V26&lt;&gt;"",V26,IF(D26="","",IFERROR(IF(VLOOKUP(AT26,Потребители_обозначение,7,FALSE)=0,"",VLOOKUP(AT26,Потребители_обозначение,7,FALSE)),"")))</f>
        <v>5</v>
      </c>
      <c r="BK26">
        <f>IF(W26&lt;&gt;"",W26,IF(D26="","",IFERROR(IF(VLOOKUP(AT26,Потребители_обозначение,10,FALSE)=0,"",VLOOKUP(AT26,Потребители_обозначение,10,FALSE)),"")))</f>
        <v>2.5</v>
      </c>
      <c r="BL26">
        <f>IFERROR(VLOOKUP(AT26,Потребители_обозначение,5,FALSE),0)</f>
        <v>1</v>
      </c>
      <c r="BM26" s="6" cm="1">
        <f t="array" ref="BM26">IF(D26="","",IF(BA26&lt;&gt;"",IFERROR(_xlfn.XLOOKUP(BA26,Щиты[Щит],Щиты[cos φ]),0.95),IF(ISNUMBER(M26),M26,IFERROR(IF(BL26=2,_xlfn.IFS(BH26=3,VLOOKUP(BF26,Справочная_двигатели,8,FALSE),BH26=1,VLOOKUP(BF26,Справочная_двигатели,10,TRUE)),IF(AND(Методика="нормы 2026",CN26="Сил"),0.8,0.95)),0.95))))</f>
        <v>0.95</v>
      </c>
      <c r="BN26" s="6" cm="1">
        <f t="array" ref="BN26">IF(D26="","",IF(BA26&lt;&gt;"",IFERROR(_xlfn.XLOOKUP(BA26,Щиты[Щит],Щиты[Iр, А]),""),IFERROR(_xlfn.IFS(BH26=1,BF26/((Uн_лин/SQRT(3))*BM26),BH26=3,BF26/(SQRT(3)*Uн_лин*BM26)),"")))</f>
        <v>9.1160568819414603E-2</v>
      </c>
      <c r="BO26">
        <f>IF(D26="","",IF(N(X26)=0,IFERROR(VLOOKUP(BN26,Автомат_номиналы,2,TRUE),""),X26))</f>
        <v>6</v>
      </c>
      <c r="BP26">
        <f t="shared" si="10"/>
        <v>0.92</v>
      </c>
      <c r="BQ26">
        <f>IF(ISNUMBER(Y26),Y26,К_прокл)</f>
        <v>1</v>
      </c>
      <c r="BR26">
        <f t="shared" si="11"/>
        <v>3</v>
      </c>
      <c r="BS26" cm="1">
        <f t="array" ref="BS26">IF(D26="","",IF(N(BK26)&lt;&gt;0,BK26,IFERROR(_xlfn.LET(_xlpm.need,BO26/(BP26*BQ26),_xlpm.t,CHOOSE(BR26,Iдоп_1ж,Iдоп_2ж,Iдоп_3ж),_xlpm.k,_xlfn.XMATCH(_xlpm.need,_xlpm.t,1),IF(ISNA(_xlpm.k),"Не исп",INDEX(Iдоп_S,_xlpm.k))),"Не исп")))</f>
        <v>2.5</v>
      </c>
      <c r="BT26">
        <f>IFERROR(VLOOKUP(BS26,Кабель_сопротивление,3,FALSE),"")</f>
        <v>2.2499999999999999E-2</v>
      </c>
      <c r="BU26">
        <f>IFERROR(VLOOKUP(BS26,Кабель_сопротивление,2,FALSE),"")</f>
        <v>0.1</v>
      </c>
      <c r="BV26">
        <f t="shared" si="12"/>
        <v>12</v>
      </c>
      <c r="BW26" s="6">
        <f>IF(D26="","",IFERROR(IF(VLOOKUP(AT26,Потребители_обозначение,4,FALSE)=1,VLOOKUP(AT26,Потребители_обозначение,3,FALSE)*(H26*2-1)+BV26+VLOOKUP(AV26,Этаж_обозначение,3,FALSE)+VLOOKUP(AV26,Этаж_обозначение,4,FALSE),VLOOKUP(AT26,Потребители_обозначение,3,FALSE)*(H26*2-1)+BV26),BV26))</f>
        <v>14</v>
      </c>
      <c r="BX26">
        <f t="shared" si="13"/>
        <v>0</v>
      </c>
      <c r="BY26">
        <f t="shared" si="14"/>
        <v>10</v>
      </c>
      <c r="BZ26">
        <f t="shared" si="15"/>
        <v>1</v>
      </c>
      <c r="CA26">
        <f t="shared" si="16"/>
        <v>0.31</v>
      </c>
      <c r="CB26">
        <f t="shared" si="17"/>
        <v>1.0951483774551555E-2</v>
      </c>
      <c r="CC26" s="6">
        <f>IFERROR(ROUNDUP(CB26/((Uн_лин/SQRT(3))*1000)*100,2),"")</f>
        <v>0.01</v>
      </c>
      <c r="CD26" s="6">
        <f>IF(ISNUMBER(CC26),CC26+IFERROR(_xlfn.XLOOKUP(A26,Щиты[Щит],Щиты[ΔU до шин, %]),0),"")</f>
        <v>0.01</v>
      </c>
      <c r="CE26" s="6">
        <f>IF(D26="","",IF(IFERROR(VLOOKUP(AT26,УГО_спр,2,FALSE),"")="Светильник",3,4)+IF(Методика="нормы 2026",MIN(0.5,MAX(0,N(BW26)-100)*0.005),0))</f>
        <v>4</v>
      </c>
      <c r="CF26" t="str">
        <f>IFERROR(VLOOKUP(BI26,Кабель_обозначение,2,FALSE),"")</f>
        <v>ВВГнг(А)-LS</v>
      </c>
      <c r="CG26" t="str">
        <f>IFERROR(IF(VLOOKUP(BI26,Кабель_обозначение,3,FALSE)=1,CF26&amp;" ("&amp;BJ26&amp;"х"&amp;BS26&amp;")",CF26),"")</f>
        <v>ВВГнг(А)-LS (5х2,5)</v>
      </c>
      <c r="CH26" t="str">
        <f t="shared" si="18"/>
        <v>ВВГнг(А)-LS (5х2,5)
L=14-0,01%</v>
      </c>
      <c r="CI26">
        <f>IFERROR(2*ρкз_Cu*BW26/BS26,"")</f>
        <v>0.29456000000000004</v>
      </c>
      <c r="CJ26">
        <f t="shared" si="19"/>
        <v>9.8000000000000004E-2</v>
      </c>
      <c r="CK26" s="6" t="str">
        <f>IFERROR(IF(OR(D26="",NOT(ISNUMBER(BS26)),N(BW26)=0),"",_xlfn.XLOOKUP(A26,Щиты[Щит],Щиты[Zпетли на шинах, Ом])+CI26),"")</f>
        <v/>
      </c>
      <c r="CL26" s="6" t="str">
        <f>IF(ISNUMBER(CK26),c_min*(Uн_лин*1000/SQRT(3))/CK26,"")</f>
        <v/>
      </c>
      <c r="CM26" s="6" t="str">
        <f>IFERROR(IF(OR(D26="",NOT(ISNUMBER(BS26))),"",1.05*(Uн_лин*1000/SQRT(3))/(_xlfn.XLOOKUP(A26,Щиты[Щит],Щиты[Zmax на шинах, Ом])+CJ26)/1000),"")</f>
        <v/>
      </c>
      <c r="CN26" s="6" t="str">
        <f>IF(D26="","",IF(BA26&lt;&gt;"","Щит",IF(K26&lt;&gt;"",K26,IF(ISNUMBER(L26),"Сил",IF(IFERROR(_xlfn.XLOOKUP(AT26,Коды_код,Коды_группа)&amp;"","")="","Быт",_xlfn.XLOOKUP(AT26,Коды_код,Коды_группа)&amp;"")))))</f>
        <v>Быт</v>
      </c>
      <c r="CO26" s="6">
        <f>IF(CN26="Щит","щит",IF(CN26="","",IF(CN26="Быт",IFERROR(_xlfn.XLOOKUP(A26,Щиты[Щит],Щиты[Кс быт]),1),IF(CN26="Сил",IF(ISNUMBER(L26),L26,IF(Методика="нормы 2026",IFERROR(_xlfn.XLOOKUP(A26,Щиты[Щит],Щиты[Кс силовых (табл. 7.5)]),1),1)),IF(OR(CN26="Пост",CN26="Отоп"),1,IF(CN26="ВНГ",0.7,0))))))</f>
        <v>0.8</v>
      </c>
      <c r="CP26">
        <f t="shared" si="20"/>
        <v>1</v>
      </c>
      <c r="CQ26">
        <f t="shared" si="21"/>
        <v>0.06</v>
      </c>
      <c r="CR26">
        <f t="shared" si="22"/>
        <v>0.06</v>
      </c>
      <c r="CS26">
        <f t="shared" si="23"/>
        <v>0</v>
      </c>
      <c r="CT26">
        <f t="shared" si="24"/>
        <v>0</v>
      </c>
      <c r="CU26">
        <f t="shared" si="25"/>
        <v>0</v>
      </c>
      <c r="CV26">
        <f t="shared" si="26"/>
        <v>0</v>
      </c>
      <c r="CW26">
        <f t="shared" si="27"/>
        <v>0.06</v>
      </c>
      <c r="CX26">
        <f t="shared" si="28"/>
        <v>5.6999999999999995E-2</v>
      </c>
      <c r="CY26">
        <f t="shared" si="29"/>
        <v>2</v>
      </c>
      <c r="CZ26" t="str">
        <f t="shared" si="30"/>
        <v>L1,L2,L3</v>
      </c>
      <c r="DA26" cm="1">
        <f t="array" ref="DA26">IFERROR(IF(BL26=2,_xlfn.IFS(BH26=3,VLOOKUP(BF26,Справочная_двигатели,3,FALSE),BH26=1,VLOOKUP(BF26,Справочная_двигатели,5,TRUE)),0),0)</f>
        <v>0</v>
      </c>
      <c r="DB26">
        <f>IFERROR(IF(BL26=3,VLOOKUP(BF26,Справочная_ЛЭД,2,TRUE),0),0)</f>
        <v>0</v>
      </c>
      <c r="DC26" s="6">
        <f t="shared" si="31"/>
        <v>0</v>
      </c>
      <c r="DD26" t="str">
        <f t="shared" si="32"/>
        <v>L1,L2,L3</v>
      </c>
      <c r="DE26" t="str" cm="1">
        <f t="array" ref="DE26">IF(D26="","",IFERROR(INDEX({"I особая","I","II","III"},MATCH(TRIM(AA26&amp;""),{"I особая","I","II","III"},0)),"III"))</f>
        <v>III</v>
      </c>
      <c r="DF26" t="str">
        <f>IF(D26="","",IF(TRIM(AB26&amp;"")&lt;&gt;"",IF(LOWER(TRIM(AB26&amp;""))="да","да","нет"),IF(IFERROR(_xlfn.XLOOKUP(AT26,Коды_код,Коды_пожарная),"")="да","да","нет")))</f>
        <v>нет</v>
      </c>
      <c r="DG26" t="str">
        <f t="shared" si="33"/>
        <v/>
      </c>
      <c r="DH26" t="str">
        <f t="shared" si="34"/>
        <v>основная</v>
      </c>
      <c r="DI26">
        <f t="shared" si="35"/>
        <v>1</v>
      </c>
      <c r="DJ26" t="str" cm="1">
        <f t="array" ref="DJ26">IF(D26="","",_xlfn.LET(_xlpm.t,IFERROR(_xlfn.XLOOKUP(1,(Шины[Шина]=DH26)*(((Шины[Щит]=A26)+(Шины[Щит]=""))&gt;0),Шины[Тип]),"")&amp;"",IF(_xlpm.t&lt;&gt;"",_xlpm.t,IF(ISNUMBER(SEARCH("ИБП",DH26)),"ИБП",IF(ISNUMBER(SEARCH("ДГУ",DH26)),"ДГУ","Ввод "&amp;DI26)))))</f>
        <v>Ввод 1</v>
      </c>
      <c r="DK26" t="str">
        <f t="shared" si="36"/>
        <v>Ввод 1</v>
      </c>
      <c r="DL26" t="str">
        <f>IF(D26="","",IF(OR(DJ26="ИБП",DJ26="ДГУ"),"I особая",IF(DJ26="Одиночная","III",_xlfn.XLOOKUP(A26,Щиты[Щит],Щиты[Категория шины «Ввод»],"III"))))</f>
        <v>III</v>
      </c>
      <c r="DM26">
        <f>IF(D26="",0,IFERROR(MATCH(DE26,{"III","II","I","I особая"},0),1))</f>
        <v>1</v>
      </c>
      <c r="DN26">
        <f t="shared" si="37"/>
        <v>1</v>
      </c>
      <c r="DO26" t="str">
        <f>IF(D26="","",IF(DM26&gt;IFERROR(MATCH(DL26,{"III","II","I","I особая"},0),1),"НЕ ОБЕСПЕЧЕНА","ОК"))</f>
        <v>ОК</v>
      </c>
      <c r="DP26" t="str">
        <f>IF(A26="","",_xlfn.XLOOKUP(A26,Щиты[Щит],Щиты[Путь],""))</f>
        <v>|ЩР|</v>
      </c>
      <c r="DQ26" t="str">
        <f>IF(D26="","",IF(Z26&lt;&gt;"",Z26,IF(IFERROR(_xlfn.XLOOKUP(AT26,Коды_код,Коды_вид)&amp;"","")="","Прочее",_xlfn.XLOOKUP(AT26,Коды_код,Коды_вид)&amp;"")))</f>
        <v>Розеточная сеть и бытовые приборы</v>
      </c>
      <c r="DR26">
        <f>IF(BD26="","",INT((BD26-1)/Столбцов_на_лист)+1)</f>
        <v>2</v>
      </c>
      <c r="DS26" t="str">
        <f t="shared" si="38"/>
        <v>ВВГнг(А)-LS (5х2,5) L=14-0,01%</v>
      </c>
      <c r="DT26">
        <f t="shared" si="39"/>
        <v>0.06</v>
      </c>
      <c r="DU26">
        <f t="shared" si="40"/>
        <v>9.9999999999999992E-2</v>
      </c>
      <c r="DV26">
        <f t="shared" si="41"/>
        <v>3</v>
      </c>
      <c r="DW26">
        <f>IF(AT26="",0,_xlfn.LET(_xlpm.v,IFERROR(VLOOKUP(D26,УГО_спр,3,FALSE),IFERROR(VLOOKUP(AT26,УГО_спр,3,FALSE),IFERROR(VLOOKUP(LEFT(AT26,2),УГО_спр,3,FALSE),""))),IF(_xlpm.v="да",30,IF(ISNUMBER(_xlpm.v),_xlpm.v,0))))</f>
        <v>30</v>
      </c>
      <c r="DX26">
        <f t="shared" si="42"/>
        <v>0</v>
      </c>
      <c r="DY26">
        <f>IF(BD26="","",IF(AD26&lt;&gt;"",COUNTIFS(A$3:A26,A26,AD$3:AD26,"?*"),IF(OR(OR(AS26=1,A26&lt;&gt;A25),AL26="вручную"),"",IF(AS26=1,"",DZ25))))</f>
        <v>5</v>
      </c>
      <c r="DZ26">
        <f t="shared" si="43"/>
        <v>5</v>
      </c>
      <c r="EA26">
        <f>IF(D26="",0,MAX(IFERROR(--X26,0),IFERROR(--VLOOKUP(D26,УГО_спр,4,FALSE),IFERROR(--VLOOKUP(AT26,УГО_спр,4,FALSE),IFERROR(--VLOOKUP(LEFT(AT26,2),УГО_спр,4,FALSE),0)))))</f>
        <v>16</v>
      </c>
      <c r="EB26">
        <f>IF(D26="","",IFERROR(LOOKUP(INDEX(CHOOSE(BR26,Iдоп_1ж,Iдоп_2ж,Iдоп_3ж),MATCH(BS26,Iдоп_S,0))*BP26*BQ26,{6,10,16,20,25,32,40,50,63,80,100,125,160,200,250,315,400,500,630}),""))</f>
        <v>20</v>
      </c>
      <c r="EC26">
        <f>IF(AD26="","",SUMIFS(Линии[_Ток схемы],Линии[_гр.],DY26,Линии[Щит],A26,Линии[_в кабель выше],0))</f>
        <v>9.9999999999999992E-2</v>
      </c>
      <c r="ED26">
        <f>IF(AD26="","",IFERROR(VLOOKUP(EC26,Автомат_номиналы,2,TRUE),""))</f>
        <v>6</v>
      </c>
      <c r="EE26">
        <f>IF(AD26="","",MAX(N(ED26),_xlfn.MAXIFS(Линии[_мин. по типу],Линии[_гр.],DY26,Линии[Щит],A26)))</f>
        <v>16</v>
      </c>
      <c r="EF26">
        <f>IF(AD26="","",_xlfn.MINIFS(Линии[_макс. автомат по кабелю],Линии[_гр.],DY26,Линии[Щит],A26))</f>
        <v>20</v>
      </c>
      <c r="EG26">
        <f>IF(AD26="","",MAX(1,_xlfn.MAXIFS(Линии[_фаз],Линии[_гр.],DY26,Линии[Щит],A26)))</f>
        <v>3</v>
      </c>
      <c r="EH26">
        <f>IF(AD26="","",IF(AND(AD26&lt;&gt;"авто",AD26&lt;&gt;"+"),IF(ISNUMBER(SEARCH("мА",AD26)),IFERROR(--TRIM(RIGHT(SUBSTITUTE(LEFT(AD26,SEARCH("мА",AD26)-1)," ",REPT(" ",9)),6)),30),0),IF(AE26="нет",0,IF(ISNUMBER(AE26),AE26,IF(AE26="да",30,_xlfn.MINIFS(Линии[_дифзащита по коду, мА],Линии[_гр.],DY26,Линии[Щит],A26,Линии[_дифзащита по коду, мА],"&gt;0"))))))</f>
        <v>30</v>
      </c>
      <c r="EI26">
        <f t="shared" si="44"/>
        <v>1</v>
      </c>
      <c r="EJ26" t="str">
        <f t="shared" si="45"/>
        <v>QFD5</v>
      </c>
      <c r="EK26" t="str">
        <f t="shared" si="46"/>
        <v>QFD5</v>
      </c>
      <c r="EL26" t="str">
        <f t="shared" si="47"/>
        <v/>
      </c>
      <c r="EM26">
        <f t="shared" si="48"/>
        <v>0</v>
      </c>
      <c r="EN26">
        <f>IF(AD26="","",IF(EM26=1,MAX(EE26,Мин_автомат_БП),EE26))</f>
        <v>16</v>
      </c>
      <c r="EO26" t="str">
        <f t="shared" si="49"/>
        <v>4P</v>
      </c>
      <c r="EP26" t="str">
        <f t="shared" si="50"/>
        <v>4P С16А 30мА</v>
      </c>
      <c r="EQ26">
        <f t="shared" si="51"/>
        <v>16</v>
      </c>
      <c r="ER26" t="str">
        <f>IF(OR(AI26="",AI26="-"),"",IFERROR(VLOOKUP(AI26,Модули_спр,2,FALSE),"R"))</f>
        <v/>
      </c>
      <c r="ES26" t="str">
        <f>IF(ER26="","",ER26&amp;"."&amp;COUNTIFS(A$3:A26,A26,ER$3:ER26,ER26))</f>
        <v/>
      </c>
      <c r="ET26" t="str">
        <f t="shared" si="52"/>
        <v/>
      </c>
      <c r="EU26" t="str">
        <f t="shared" si="53"/>
        <v/>
      </c>
      <c r="EV26" t="str">
        <f t="shared" si="54"/>
        <v/>
      </c>
      <c r="EW26" t="str">
        <f t="shared" si="55"/>
        <v/>
      </c>
      <c r="EX26">
        <f t="shared" si="56"/>
        <v>1</v>
      </c>
      <c r="EY26" t="str">
        <f>IF(AK26="нет","",IF(AK26&lt;&gt;"",AK26,IF(EX26=1,"XT"&amp;COUNTIFS(A$3:A26,A26,EX$3:EX26,1),"")))</f>
        <v>XT5</v>
      </c>
      <c r="EZ26" t="str">
        <f t="shared" si="57"/>
        <v>QFD5</v>
      </c>
      <c r="FA26" t="str">
        <f t="shared" si="58"/>
        <v/>
      </c>
      <c r="FB26" t="str">
        <f t="shared" si="59"/>
        <v>ok</v>
      </c>
      <c r="FC26" t="str">
        <f>IF(OR(EV26="",ET26=""),"",IF(EV26&gt;IFERROR(VLOOKUP(EU26,Модули_спр,3,FALSE),99),"ЛИШНИЙ КАНАЛ",IF(AND(AJ26&lt;&gt;"=",COUNTIFS(Линии[_модуль гр.],ET26,Линии[Канал (итог)],EV26,Линии[Канал],"&lt;&gt;=",Линии[Щит],A26)&gt;1),"ДУБЛЬ КАНАЛА","")))</f>
        <v/>
      </c>
      <c r="FD26">
        <f t="shared" si="60"/>
        <v>16</v>
      </c>
      <c r="FE26" t="str">
        <f t="shared" si="61"/>
        <v>4P С16А 30мА</v>
      </c>
      <c r="FF26">
        <f t="shared" si="62"/>
        <v>1</v>
      </c>
      <c r="FG26">
        <f t="shared" si="63"/>
        <v>30</v>
      </c>
      <c r="FH26" s="6" t="str">
        <f t="shared" si="64"/>
        <v/>
      </c>
      <c r="FI26">
        <f t="shared" si="65"/>
        <v>10</v>
      </c>
      <c r="FJ26" t="str">
        <f t="shared" si="66"/>
        <v/>
      </c>
      <c r="FK26" t="str">
        <f>IF(AND(D26="",EZ26=""),"",_xlfn.TEXTJOIN("; ",TRUE,IF(AND(D26&lt;&gt;"",DD26=""),"нет фазы",""),IF(AND(D26&lt;&gt;"",N(DT26)=0,CN26&lt;&gt;"Нет"),"нет мощности",""),IF(AND(EY26&lt;&gt;"",COUNTIFS(Линии[Щит],A26,Линии[Клемма (итог)],EY26)&gt;1),"дубль клеммы "&amp;EY26,""),IF(AND(FB26&lt;&gt;"",FB26&lt;&gt;"ok"),FB26,""),IF(FC26&lt;&gt;"",FC26,""),IF(AND(ISNUMBER(SEARCH("(5х",DS26)),N(DV26)=1),"5 жил на 1 фазе",""),IF(AND(AT26="R",AD26&lt;&gt;"",OR(N(EH26)=0,N(EH26)&gt;30)),"розетка без дифзащиты до 30 мА",""),IFERROR(IF(AND(ISNUMBER(CD26),CD26&gt;CE26),"потери "&amp;FIXED(CD26,1)&amp;" % &gt; "&amp;CE26&amp;" %",""),""),IFERROR(IF(LEFT(FJ26,4)="мало","Iкз мало — отключение &gt; 0,4 с",""),""),IF(AND(D26&lt;&gt;"",BD26=""),"не на схеме","")))</f>
        <v/>
      </c>
      <c r="FL26" s="6" t="str">
        <f>IF(AD26="","",_xlfn.LET(_xlpm.t,IFERROR(_xlfn.XLOOKUP(EP26,Каталог!$U$4:$U$500,Каталог!$G$4:$G$500),""),_xlpm.k,SEARCH("кА",_xlpm.t),IFERROR(--TRIM(RIGHT(SUBSTITUTE(MID(_xlpm.t,MAX(1,_xlpm.k-4),_xlpm.k-MAX(1,_xlpm.k-4))," ",REPT(" ",9)),5)),"")))</f>
        <v/>
      </c>
      <c r="FM26" t="str">
        <f>IF(OR(FL26="",AD26=""),"",IF(_xlfn.XLOOKUP(A26,Щиты[Щит],Щиты[Iкз max на шинах, кА],"")="","",IF(FL26&lt;_xlfn.XLOOKUP(A26,Щиты[Щит],Щиты[Iкз max на шинах, кА]),"Icu "&amp;FL26&amp;" кА &lt; Iкз max","ok")))</f>
        <v/>
      </c>
      <c r="FN26" t="str">
        <f t="shared" si="67"/>
        <v>QFD5|XT5</v>
      </c>
      <c r="FO26" t="str">
        <f t="shared" si="68"/>
        <v>QFD5|XT5|кабель ВВГнг(А)-LS (5х2,5) → Розеточная группа  Пом. №03 Стиральная машина</v>
      </c>
      <c r="FP26" t="str" cm="1">
        <f t="array" ref="FP26">IF(FO26="","",_xlfn.LET(_xlpm.nd,_xlfn.TEXTSPLIT(FO26,"|"),IF(COLUMNS(_xlpm.nd)&gt;1,A26&amp;"¦"&amp;INDEX(_xlpm.nd,1)&amp;"¦"&amp;INDEX(_xlpm.nd,2),"")))</f>
        <v>ЩР¦QFD5¦XT5</v>
      </c>
      <c r="FQ26" t="str">
        <f t="shared" si="69"/>
        <v>R.1.03.4¦Розеточная группа  Пом. №03 Стиральная машина</v>
      </c>
      <c r="FR26" t="str" cm="1">
        <f t="array" ref="FR26">IF(FO26="","",_xlfn.LET(_xlpm.nd,_xlfn.TEXTSPLIT(FO26,"|"),IF(COLUMNS(_xlpm.nd)&gt;2,A26&amp;"¦"&amp;INDEX(_xlpm.nd,2)&amp;"¦"&amp;INDEX(_xlpm.nd,3),"")))</f>
        <v>ЩР¦XT5¦кабель ВВГнг(А)-LS (5х2,5) → Розеточная группа  Пом. №03 Стиральная машина</v>
      </c>
      <c r="FS26" t="str">
        <f t="shared" si="70"/>
        <v>R.1.03.4¦Розеточная группа  Пом. №03 Стиральная машина</v>
      </c>
      <c r="FT26" t="str" cm="1">
        <f t="array" ref="FT26">IF(FO26="","",_xlfn.LET(_xlpm.nd,_xlfn.TEXTSPLIT(FO26,"|"),IF(COLUMNS(_xlpm.nd)&gt;3,A26&amp;"¦"&amp;INDEX(_xlpm.nd,3)&amp;"¦"&amp;INDEX(_xlpm.nd,4),"")))</f>
        <v/>
      </c>
      <c r="FU26" t="str">
        <f t="shared" si="71"/>
        <v/>
      </c>
      <c r="FV26" t="str" cm="1">
        <f t="array" ref="FV26">IF(FO26="","",_xlfn.LET(_xlpm.nd,_xlfn.TEXTSPLIT(FO26,"|"),IF(COLUMNS(_xlpm.nd)&gt;4,A26&amp;"¦"&amp;INDEX(_xlpm.nd,4)&amp;"¦"&amp;INDEX(_xlpm.nd,5),"")))</f>
        <v/>
      </c>
      <c r="FW26" t="str">
        <f t="shared" si="72"/>
        <v/>
      </c>
      <c r="FX26" t="str" cm="1">
        <f t="array" ref="FX26">IF(FO26="","",_xlfn.LET(_xlpm.nd,_xlfn.TEXTSPLIT(FO26,"|"),IF(COLUMNS(_xlpm.nd)&gt;5,A26&amp;"¦"&amp;INDEX(_xlpm.nd,5)&amp;"¦"&amp;INDEX(_xlpm.nd,6),"")))</f>
        <v/>
      </c>
      <c r="FY26" t="str">
        <f t="shared" si="73"/>
        <v/>
      </c>
      <c r="FZ26" t="str" cm="1">
        <f t="array" ref="FZ26">IF(FO26="","",_xlfn.LET(_xlpm.nd,_xlfn.TEXTSPLIT(FO26,"|"),IF(COLUMNS(_xlpm.nd)&gt;6,A26&amp;"¦"&amp;INDEX(_xlpm.nd,6)&amp;"¦"&amp;INDEX(_xlpm.nd,7),"")))</f>
        <v/>
      </c>
      <c r="GA26" t="str">
        <f t="shared" si="74"/>
        <v/>
      </c>
      <c r="GB26" t="str">
        <f t="shared" si="75"/>
        <v/>
      </c>
      <c r="GC26" t="str">
        <f t="shared" si="76"/>
        <v>QFD5 → XT5</v>
      </c>
      <c r="GD26">
        <f t="shared" si="77"/>
        <v>1</v>
      </c>
      <c r="GE26">
        <f t="shared" si="78"/>
        <v>0</v>
      </c>
      <c r="GF26">
        <f t="shared" si="79"/>
        <v>1</v>
      </c>
      <c r="GG26" t="str">
        <f t="shared" si="80"/>
        <v/>
      </c>
      <c r="GH26" t="str">
        <f t="shared" si="81"/>
        <v/>
      </c>
      <c r="GI26" t="str">
        <f t="shared" si="82"/>
        <v/>
      </c>
      <c r="GJ26" t="str">
        <f t="shared" si="83"/>
        <v/>
      </c>
      <c r="GK26" t="str">
        <f>IF(D26="","",IFERROR(VLOOKUP(D26,УГО_спр,2,FALSE),IFERROR(VLOOKUP(AT26,УГО_спр,2,FALSE),IFERROR(VLOOKUP(LEFT(AT26,2),УГО_спр,2,FALSE),""))))</f>
        <v>Розетка</v>
      </c>
      <c r="GL26" t="str">
        <f>IF(D26="","",IF(OR(GK26="",GK26=0),"BOX",IFERROR(IF(VLOOKUP(GK26,УГО_блоки,3,FALSE)&amp;""&lt;&gt;"",VLOOKUP(GK26,УГО_блоки,3,FALSE),VLOOKUP(GK26,УГО_блоки,2,FALSE)),GK26)))</f>
        <v>SOCKET</v>
      </c>
      <c r="GM26">
        <f t="shared" si="84"/>
        <v>1</v>
      </c>
      <c r="GN26">
        <f>IF(EP26="","",IF(COUNTIF(EP$3:EP26,EP26)=1,MAX(GN$2:GN25)+1,""))</f>
        <v>2</v>
      </c>
      <c r="GO26" t="str">
        <f>IF(AF26="","",IF(COUNTIF(AF$3:AF26,AF26)+COUNTIF(AG$2:AG25,AF26)+COUNTIF(AH$2:AH25,AF26)=1,MAX(GO$2:GQ25)+1,""))</f>
        <v/>
      </c>
      <c r="GP26" t="str">
        <f>IF(AG26="","",IF(COUNTIF(AF$3:AF26,AG26)+COUNTIF(AG$3:AG26,AG26)+COUNTIF(AH$2:AH25,AG26)=1,MAX(GO$2:GQ25,GO26)+1,""))</f>
        <v/>
      </c>
      <c r="GQ26" t="str">
        <f>IF(AH26="","",IF(COUNTIF(AF$3:AF26,AH26)+COUNTIF(AG$3:AG26,AH26)+COUNTIF(AH$3:AH26,AH26)=1,MAX(GO$2:GQ25,GO26,GP26)+1,""))</f>
        <v/>
      </c>
      <c r="GR26" t="str">
        <f t="shared" si="85"/>
        <v>5х2,5</v>
      </c>
      <c r="GS26">
        <f>IF(GR26="","",IF(COUNTIF(GR$3:GR26,GR26)=1,MAX(GS$2:GS25)+1,""))</f>
        <v>2</v>
      </c>
      <c r="GT26" t="str">
        <f>IF(ES26="","",COUNTIF(ES$3:ES26,"?*"))</f>
        <v/>
      </c>
      <c r="GU26" t="str">
        <f>IF(OR(ES26="",EU26=""),"",IF(COUNTIFS(ES$3:ES26,"?*",EU$3:EU26,EU26)=1,MAX(GU$2:GU25)+1,""))</f>
        <v/>
      </c>
      <c r="GV26">
        <f t="shared" si="86"/>
        <v>0</v>
      </c>
      <c r="GW26">
        <f>IF(D26="","",COUNTIF(D$3:D26,"?*"))</f>
        <v>6</v>
      </c>
      <c r="GX26">
        <f>IF(EX26&lt;&gt;1,0,_xlfn.LET(_xlpm.k,MAX(IFERROR(--VLOOKUP(D26,УГО_спр,5,FALSE),0),IFERROR(--VLOOKUP(AT26,УГО_спр,5,FALSE),0),IFERROR(--VLOOKUP(LEFT(AT26,2),УГО_спр,5,FALSE),0)),IF(_xlpm.k&gt;0,_xlpm.k,IF(IFERROR(--LEFT(SUBSTITUTE(GR26,"x","х"),FIND("х",SUBSTITUTE(GR26,"x","х"))-1),3)&gt;3,Каталог!$S$9,1))))</f>
        <v>1</v>
      </c>
      <c r="GY26">
        <f t="shared" si="87"/>
        <v>2</v>
      </c>
    </row>
    <row r="27" spans="1:207" x14ac:dyDescent="0.3">
      <c r="A27" t="s">
        <v>206</v>
      </c>
      <c r="B27">
        <v>25</v>
      </c>
      <c r="C27" t="str">
        <f>IF(BD27="","",IF(BE27="вводной узел","узел ","")&amp;"л."&amp;(INT((BD27-1)/Столбцов_на_лист)+1)&amp;" / "&amp;(MOD(BD27-1,Столбцов_на_лист)+1))</f>
        <v>л.2 / 8</v>
      </c>
      <c r="D27" t="s">
        <v>700</v>
      </c>
      <c r="E27" s="133" t="str">
        <f t="shared" si="0"/>
        <v>Розеточная группа  Пом. №05</v>
      </c>
      <c r="G27">
        <v>0.42</v>
      </c>
      <c r="H27">
        <v>7</v>
      </c>
      <c r="O27">
        <v>3</v>
      </c>
      <c r="T27">
        <v>2</v>
      </c>
      <c r="AD27" t="s">
        <v>597</v>
      </c>
      <c r="AK27" t="s">
        <v>603</v>
      </c>
      <c r="AN27">
        <v>20.49</v>
      </c>
      <c r="AO27" t="s">
        <v>665</v>
      </c>
      <c r="AQ27" t="s">
        <v>666</v>
      </c>
      <c r="AR27" t="str">
        <f t="shared" si="1"/>
        <v/>
      </c>
      <c r="AS27" cm="1">
        <f t="array" ref="AS27">ROW()-ROW(Линии[#Headers])</f>
        <v>25</v>
      </c>
      <c r="AT27" s="6" t="str">
        <f t="shared" si="2"/>
        <v>R</v>
      </c>
      <c r="AU27" t="str">
        <f t="shared" si="3"/>
        <v>1.05.1</v>
      </c>
      <c r="AV27" t="str">
        <f t="shared" si="4"/>
        <v>1</v>
      </c>
      <c r="AW27" t="str">
        <f t="shared" si="5"/>
        <v>05.1</v>
      </c>
      <c r="AX27" t="str">
        <f t="shared" si="6"/>
        <v>05</v>
      </c>
      <c r="AY27" t="str">
        <f>IF(D27="","",IF(ISERROR(SEARCH(".",D27)),IFERROR(VLOOKUP(D27,Потребители_обозначение,2,FALSE)&amp;"",""),IFERROR(IF(VLOOKUP(AT27,Потребители_обозначение,4,FALSE)=1,VLOOKUP(AT27,Потребители_обозначение,2,FALSE)&amp;" "&amp;VLOOKUP(AV27,Этаж_обозначение,2,FALSE)&amp;" Пом. №"&amp;AX27,VLOOKUP(AT27,Потребители_обозначение,2,FALSE)&amp;" Шлейф №"&amp;AV27),IFERROR(VLOOKUP(D27,Потребители_обозначение,2,FALSE),""))))</f>
        <v>Розеточная группа  Пом. №05</v>
      </c>
      <c r="AZ27" t="str">
        <f t="shared" si="7"/>
        <v>Розеточная группа  Пом. №05</v>
      </c>
      <c r="BA27" t="str">
        <f>IF(F27&lt;&gt;"",F27,IF(AND(D27&lt;&gt;"",D27&lt;&gt;A27,ISNUMBER(_xlfn.XMATCH(D27,Щиты[Щит]))),D27,""))</f>
        <v/>
      </c>
      <c r="BB27">
        <f>IFERROR(_xlfn.XMATCH(A27,Щиты[Щит]),0)</f>
        <v>1</v>
      </c>
      <c r="BC27">
        <f>IFERROR(N(_xlfn.XLOOKUP(A27,Щиты[Щит],Щиты[Мест под вводной узел])),15)</f>
        <v>18</v>
      </c>
      <c r="BD27">
        <f t="shared" si="8"/>
        <v>25</v>
      </c>
      <c r="BE27" t="str">
        <f t="shared" si="9"/>
        <v>линии</v>
      </c>
      <c r="BF27" s="6">
        <f>IF(D27="","",IF(BA27&lt;&gt;"",IFERROR(_xlfn.XLOOKUP(BA27,Щиты[Щит],Щиты[Руст, кВт]),0),N(G27)))</f>
        <v>0.42</v>
      </c>
      <c r="BG27">
        <f>IF(J27&lt;&gt;"",J27,IF(D27="","",IFERROR(IF(VLOOKUP(AT27,Потребители_обозначение,8,FALSE)=0,"",VLOOKUP(AT27,Потребители_обозначение,8,FALSE)),"")))</f>
        <v>230</v>
      </c>
      <c r="BH27">
        <f>IF(I27&lt;&gt;"",I27,IF(D27="","",IFERROR(IF(VLOOKUP(AT27,Потребители_обозначение,9,FALSE)=0,"",VLOOKUP(AT27,Потребители_обозначение,9,FALSE)),"")))</f>
        <v>1</v>
      </c>
      <c r="BI27" t="str">
        <f>IF(U27&lt;&gt;"",U27,IF(D27="","",IFERROR(IF(VLOOKUP(AT27,Потребители_обозначение,6,FALSE)=0,"",VLOOKUP(AT27,Потребители_обозначение,6,FALSE)),"")))</f>
        <v>мс</v>
      </c>
      <c r="BJ27">
        <f>IF(V27&lt;&gt;"",V27,IF(D27="","",IFERROR(IF(VLOOKUP(AT27,Потребители_обозначение,7,FALSE)=0,"",VLOOKUP(AT27,Потребители_обозначение,7,FALSE)),"")))</f>
        <v>3</v>
      </c>
      <c r="BK27">
        <f>IF(W27&lt;&gt;"",W27,IF(D27="","",IFERROR(IF(VLOOKUP(AT27,Потребители_обозначение,10,FALSE)=0,"",VLOOKUP(AT27,Потребители_обозначение,10,FALSE)),"")))</f>
        <v>2.5</v>
      </c>
      <c r="BL27">
        <f>IFERROR(VLOOKUP(AT27,Потребители_обозначение,5,FALSE),0)</f>
        <v>1</v>
      </c>
      <c r="BM27" s="6" cm="1">
        <f t="array" ref="BM27">IF(D27="","",IF(BA27&lt;&gt;"",IFERROR(_xlfn.XLOOKUP(BA27,Щиты[Щит],Щиты[cos φ]),0.95),IF(ISNUMBER(M27),M27,IFERROR(IF(BL27=2,_xlfn.IFS(BH27=3,VLOOKUP(BF27,Справочная_двигатели,8,FALSE),BH27=1,VLOOKUP(BF27,Справочная_двигатели,10,TRUE)),IF(AND(Методика="нормы 2026",CN27="Сил"),0.8,0.95)),0.95))))</f>
        <v>0.95</v>
      </c>
      <c r="BN27" s="6" cm="1">
        <f t="array" ref="BN27">IF(D27="","",IF(BA27&lt;&gt;"",IFERROR(_xlfn.XLOOKUP(BA27,Щиты[Щит],Щиты[Iр, А]),""),IFERROR(_xlfn.IFS(BH27=1,BF27/((Uн_лин/SQRT(3))*BM27),BH27=3,BF27/(SQRT(3)*Uн_лин*BM27)),"")))</f>
        <v>1.9143719452077064</v>
      </c>
      <c r="BO27">
        <f>IF(D27="","",IF(N(X27)=0,IFERROR(VLOOKUP(BN27,Автомат_номиналы,2,TRUE),""),X27))</f>
        <v>6</v>
      </c>
      <c r="BP27">
        <f t="shared" si="10"/>
        <v>1</v>
      </c>
      <c r="BQ27">
        <f>IF(ISNUMBER(Y27),Y27,К_прокл)</f>
        <v>1</v>
      </c>
      <c r="BR27">
        <f t="shared" si="11"/>
        <v>2</v>
      </c>
      <c r="BS27" cm="1">
        <f t="array" ref="BS27">IF(D27="","",IF(N(BK27)&lt;&gt;0,BK27,IFERROR(_xlfn.LET(_xlpm.need,BO27/(BP27*BQ27),_xlpm.t,CHOOSE(BR27,Iдоп_1ж,Iдоп_2ж,Iдоп_3ж),_xlpm.k,_xlfn.XMATCH(_xlpm.need,_xlpm.t,1),IF(ISNA(_xlpm.k),"Не исп",INDEX(Iдоп_S,_xlpm.k))),"Не исп")))</f>
        <v>2.5</v>
      </c>
      <c r="BT27">
        <f>IFERROR(VLOOKUP(BS27,Кабель_сопротивление,3,FALSE),"")</f>
        <v>2.2499999999999999E-2</v>
      </c>
      <c r="BU27">
        <f>IFERROR(VLOOKUP(BS27,Кабель_сопротивление,2,FALSE),"")</f>
        <v>0.1</v>
      </c>
      <c r="BV27">
        <f t="shared" si="12"/>
        <v>21</v>
      </c>
      <c r="BW27" s="6">
        <f>IF(D27="","",IFERROR(IF(VLOOKUP(AT27,Потребители_обозначение,4,FALSE)=1,VLOOKUP(AT27,Потребители_обозначение,3,FALSE)*(H27*2-1)+BV27+VLOOKUP(AV27,Этаж_обозначение,3,FALSE)+VLOOKUP(AV27,Этаж_обозначение,4,FALSE),VLOOKUP(AT27,Потребители_обозначение,3,FALSE)*(H27*2-1)+BV27),BV27))</f>
        <v>47</v>
      </c>
      <c r="BX27">
        <f t="shared" si="13"/>
        <v>0</v>
      </c>
      <c r="BY27">
        <f t="shared" si="14"/>
        <v>43</v>
      </c>
      <c r="BZ27">
        <f t="shared" si="15"/>
        <v>2</v>
      </c>
      <c r="CA27">
        <f t="shared" si="16"/>
        <v>0.31</v>
      </c>
      <c r="CB27">
        <f t="shared" si="17"/>
        <v>1.5441592122117684</v>
      </c>
      <c r="CC27" s="6">
        <f>IFERROR(ROUNDUP(CB27/((Uн_лин/SQRT(3))*1000)*100,2),"")</f>
        <v>0.67</v>
      </c>
      <c r="CD27" s="6">
        <f>IF(ISNUMBER(CC27),CC27+IFERROR(_xlfn.XLOOKUP(A27,Щиты[Щит],Щиты[ΔU до шин, %]),0),"")</f>
        <v>0.67</v>
      </c>
      <c r="CE27" s="6">
        <f>IF(D27="","",IF(IFERROR(VLOOKUP(AT27,УГО_спр,2,FALSE),"")="Светильник",3,4)+IF(Методика="нормы 2026",MIN(0.5,MAX(0,N(BW27)-100)*0.005),0))</f>
        <v>4</v>
      </c>
      <c r="CF27" t="str">
        <f>IFERROR(VLOOKUP(BI27,Кабель_обозначение,2,FALSE),"")</f>
        <v>ВВГнг(А)-LS</v>
      </c>
      <c r="CG27" t="str">
        <f>IFERROR(IF(VLOOKUP(BI27,Кабель_обозначение,3,FALSE)=1,CF27&amp;" ("&amp;BJ27&amp;"х"&amp;BS27&amp;")",CF27),"")</f>
        <v>ВВГнг(А)-LS (3х2,5)</v>
      </c>
      <c r="CH27" t="str">
        <f t="shared" si="18"/>
        <v>ВВГнг(А)-LS (3х2,5)
L=47-0,67%</v>
      </c>
      <c r="CI27">
        <f>IFERROR(2*ρкз_Cu*BW27/BS27,"")</f>
        <v>0.98887999999999998</v>
      </c>
      <c r="CJ27">
        <f t="shared" si="19"/>
        <v>0.32900000000000007</v>
      </c>
      <c r="CK27" s="6" t="str">
        <f>IFERROR(IF(OR(D27="",NOT(ISNUMBER(BS27)),N(BW27)=0),"",_xlfn.XLOOKUP(A27,Щиты[Щит],Щиты[Zпетли на шинах, Ом])+CI27),"")</f>
        <v/>
      </c>
      <c r="CL27" s="6" t="str">
        <f>IF(ISNUMBER(CK27),c_min*(Uн_лин*1000/SQRT(3))/CK27,"")</f>
        <v/>
      </c>
      <c r="CM27" s="6" t="str">
        <f>IFERROR(IF(OR(D27="",NOT(ISNUMBER(BS27))),"",1.05*(Uн_лин*1000/SQRT(3))/(_xlfn.XLOOKUP(A27,Щиты[Щит],Щиты[Zmax на шинах, Ом])+CJ27)/1000),"")</f>
        <v/>
      </c>
      <c r="CN27" s="6" t="str">
        <f>IF(D27="","",IF(BA27&lt;&gt;"","Щит",IF(K27&lt;&gt;"",K27,IF(ISNUMBER(L27),"Сил",IF(IFERROR(_xlfn.XLOOKUP(AT27,Коды_код,Коды_группа)&amp;"","")="","Быт",_xlfn.XLOOKUP(AT27,Коды_код,Коды_группа)&amp;"")))))</f>
        <v>Быт</v>
      </c>
      <c r="CO27" s="6">
        <f>IF(CN27="Щит","щит",IF(CN27="","",IF(CN27="Быт",IFERROR(_xlfn.XLOOKUP(A27,Щиты[Щит],Щиты[Кс быт]),1),IF(CN27="Сил",IF(ISNUMBER(L27),L27,IF(Методика="нормы 2026",IFERROR(_xlfn.XLOOKUP(A27,Щиты[Щит],Щиты[Кс силовых (табл. 7.5)]),1),1)),IF(OR(CN27="Пост",CN27="Отоп"),1,IF(CN27="ВНГ",0.7,0))))))</f>
        <v>0.8</v>
      </c>
      <c r="CP27">
        <f t="shared" si="20"/>
        <v>1</v>
      </c>
      <c r="CQ27">
        <f t="shared" si="21"/>
        <v>0.42</v>
      </c>
      <c r="CR27">
        <f t="shared" si="22"/>
        <v>0.42</v>
      </c>
      <c r="CS27">
        <f t="shared" si="23"/>
        <v>0</v>
      </c>
      <c r="CT27">
        <f t="shared" si="24"/>
        <v>0</v>
      </c>
      <c r="CU27">
        <f t="shared" si="25"/>
        <v>0</v>
      </c>
      <c r="CV27">
        <f t="shared" si="26"/>
        <v>0</v>
      </c>
      <c r="CW27">
        <f t="shared" si="27"/>
        <v>0.42</v>
      </c>
      <c r="CX27">
        <f t="shared" si="28"/>
        <v>0.39899999999999997</v>
      </c>
      <c r="CY27">
        <f t="shared" si="29"/>
        <v>3</v>
      </c>
      <c r="CZ27" t="str">
        <f t="shared" si="30"/>
        <v>L3</v>
      </c>
      <c r="DA27" cm="1">
        <f t="array" ref="DA27">IFERROR(IF(BL27=2,_xlfn.IFS(BH27=3,VLOOKUP(BF27,Справочная_двигатели,3,FALSE),BH27=1,VLOOKUP(BF27,Справочная_двигатели,5,TRUE)),0),0)</f>
        <v>0</v>
      </c>
      <c r="DB27">
        <f>IFERROR(IF(BL27=3,VLOOKUP(BF27,Справочная_ЛЭД,2,TRUE),0),0)</f>
        <v>0</v>
      </c>
      <c r="DC27" s="6">
        <f t="shared" si="31"/>
        <v>0</v>
      </c>
      <c r="DD27" t="str">
        <f t="shared" si="32"/>
        <v>L3</v>
      </c>
      <c r="DE27" t="str" cm="1">
        <f t="array" ref="DE27">IF(D27="","",IFERROR(INDEX({"I особая","I","II","III"},MATCH(TRIM(AA27&amp;""),{"I особая","I","II","III"},0)),"III"))</f>
        <v>III</v>
      </c>
      <c r="DF27" t="str">
        <f>IF(D27="","",IF(TRIM(AB27&amp;"")&lt;&gt;"",IF(LOWER(TRIM(AB27&amp;""))="да","да","нет"),IF(IFERROR(_xlfn.XLOOKUP(AT27,Коды_код,Коды_пожарная),"")="да","да","нет")))</f>
        <v>нет</v>
      </c>
      <c r="DG27" t="str">
        <f t="shared" si="33"/>
        <v/>
      </c>
      <c r="DH27" t="str">
        <f t="shared" si="34"/>
        <v>основная</v>
      </c>
      <c r="DI27">
        <f t="shared" si="35"/>
        <v>1</v>
      </c>
      <c r="DJ27" t="str" cm="1">
        <f t="array" ref="DJ27">IF(D27="","",_xlfn.LET(_xlpm.t,IFERROR(_xlfn.XLOOKUP(1,(Шины[Шина]=DH27)*(((Шины[Щит]=A27)+(Шины[Щит]=""))&gt;0),Шины[Тип]),"")&amp;"",IF(_xlpm.t&lt;&gt;"",_xlpm.t,IF(ISNUMBER(SEARCH("ИБП",DH27)),"ИБП",IF(ISNUMBER(SEARCH("ДГУ",DH27)),"ДГУ","Ввод "&amp;DI27)))))</f>
        <v>Ввод 1</v>
      </c>
      <c r="DK27" t="str">
        <f t="shared" si="36"/>
        <v>Ввод 1</v>
      </c>
      <c r="DL27" t="str">
        <f>IF(D27="","",IF(OR(DJ27="ИБП",DJ27="ДГУ"),"I особая",IF(DJ27="Одиночная","III",_xlfn.XLOOKUP(A27,Щиты[Щит],Щиты[Категория шины «Ввод»],"III"))))</f>
        <v>III</v>
      </c>
      <c r="DM27">
        <f>IF(D27="",0,IFERROR(MATCH(DE27,{"III","II","I","I особая"},0),1))</f>
        <v>1</v>
      </c>
      <c r="DN27">
        <f t="shared" si="37"/>
        <v>1</v>
      </c>
      <c r="DO27" t="str">
        <f>IF(D27="","",IF(DM27&gt;IFERROR(MATCH(DL27,{"III","II","I","I особая"},0),1),"НЕ ОБЕСПЕЧЕНА","ОК"))</f>
        <v>ОК</v>
      </c>
      <c r="DP27" t="str">
        <f>IF(A27="","",_xlfn.XLOOKUP(A27,Щиты[Щит],Щиты[Путь],""))</f>
        <v>|ЩР|</v>
      </c>
      <c r="DQ27" t="str">
        <f>IF(D27="","",IF(Z27&lt;&gt;"",Z27,IF(IFERROR(_xlfn.XLOOKUP(AT27,Коды_код,Коды_вид)&amp;"","")="","Прочее",_xlfn.XLOOKUP(AT27,Коды_код,Коды_вид)&amp;"")))</f>
        <v>Розеточная сеть и бытовые приборы</v>
      </c>
      <c r="DR27">
        <f>IF(BD27="","",INT((BD27-1)/Столбцов_на_лист)+1)</f>
        <v>2</v>
      </c>
      <c r="DS27" t="str">
        <f t="shared" si="38"/>
        <v>ВВГнг(А)-LS (3х2,5) L=47-0,67%</v>
      </c>
      <c r="DT27">
        <f t="shared" si="39"/>
        <v>0.42</v>
      </c>
      <c r="DU27">
        <f t="shared" si="40"/>
        <v>1.92</v>
      </c>
      <c r="DV27">
        <f t="shared" si="41"/>
        <v>1</v>
      </c>
      <c r="DW27">
        <f>IF(AT27="",0,_xlfn.LET(_xlpm.v,IFERROR(VLOOKUP(D27,УГО_спр,3,FALSE),IFERROR(VLOOKUP(AT27,УГО_спр,3,FALSE),IFERROR(VLOOKUP(LEFT(AT27,2),УГО_спр,3,FALSE),""))),IF(_xlpm.v="да",30,IF(ISNUMBER(_xlpm.v),_xlpm.v,0))))</f>
        <v>30</v>
      </c>
      <c r="DX27">
        <f t="shared" si="42"/>
        <v>0</v>
      </c>
      <c r="DY27">
        <f>IF(BD27="","",IF(AD27&lt;&gt;"",COUNTIFS(A$3:A27,A27,AD$3:AD27,"?*"),IF(OR(OR(AS27=1,A27&lt;&gt;A26),AL27="вручную"),"",IF(AS27=1,"",DZ26))))</f>
        <v>6</v>
      </c>
      <c r="DZ27">
        <f t="shared" si="43"/>
        <v>6</v>
      </c>
      <c r="EA27">
        <f>IF(D27="",0,MAX(IFERROR(--X27,0),IFERROR(--VLOOKUP(D27,УГО_спр,4,FALSE),IFERROR(--VLOOKUP(AT27,УГО_спр,4,FALSE),IFERROR(--VLOOKUP(LEFT(AT27,2),УГО_спр,4,FALSE),0)))))</f>
        <v>16</v>
      </c>
      <c r="EB27">
        <f>IF(D27="","",IFERROR(LOOKUP(INDEX(CHOOSE(BR27,Iдоп_1ж,Iдоп_2ж,Iдоп_3ж),MATCH(BS27,Iдоп_S,0))*BP27*BQ27,{6,10,16,20,25,32,40,50,63,80,100,125,160,200,250,315,400,500,630}),""))</f>
        <v>25</v>
      </c>
      <c r="EC27">
        <f>IF(AD27="","",SUMIFS(Линии[_Ток схемы],Линии[_гр.],DY27,Линии[Щит],A27,Линии[_в кабель выше],0))</f>
        <v>1.92</v>
      </c>
      <c r="ED27">
        <f>IF(AD27="","",IFERROR(VLOOKUP(EC27,Автомат_номиналы,2,TRUE),""))</f>
        <v>6</v>
      </c>
      <c r="EE27">
        <f>IF(AD27="","",MAX(N(ED27),_xlfn.MAXIFS(Линии[_мин. по типу],Линии[_гр.],DY27,Линии[Щит],A27)))</f>
        <v>16</v>
      </c>
      <c r="EF27">
        <f>IF(AD27="","",_xlfn.MINIFS(Линии[_макс. автомат по кабелю],Линии[_гр.],DY27,Линии[Щит],A27))</f>
        <v>25</v>
      </c>
      <c r="EG27">
        <f>IF(AD27="","",MAX(1,_xlfn.MAXIFS(Линии[_фаз],Линии[_гр.],DY27,Линии[Щит],A27)))</f>
        <v>1</v>
      </c>
      <c r="EH27">
        <f>IF(AD27="","",IF(AND(AD27&lt;&gt;"авто",AD27&lt;&gt;"+"),IF(ISNUMBER(SEARCH("мА",AD27)),IFERROR(--TRIM(RIGHT(SUBSTITUTE(LEFT(AD27,SEARCH("мА",AD27)-1)," ",REPT(" ",9)),6)),30),0),IF(AE27="нет",0,IF(ISNUMBER(AE27),AE27,IF(AE27="да",30,_xlfn.MINIFS(Линии[_дифзащита по коду, мА],Линии[_гр.],DY27,Линии[Щит],A27,Линии[_дифзащита по коду, мА],"&gt;0"))))))</f>
        <v>30</v>
      </c>
      <c r="EI27">
        <f t="shared" si="44"/>
        <v>1</v>
      </c>
      <c r="EJ27" t="str">
        <f t="shared" si="45"/>
        <v>QFD6</v>
      </c>
      <c r="EK27" t="str">
        <f t="shared" si="46"/>
        <v>QFD6</v>
      </c>
      <c r="EL27" t="str">
        <f t="shared" si="47"/>
        <v/>
      </c>
      <c r="EM27">
        <f t="shared" si="48"/>
        <v>0</v>
      </c>
      <c r="EN27">
        <f>IF(AD27="","",IF(EM27=1,MAX(EE27,Мин_автомат_БП),EE27))</f>
        <v>16</v>
      </c>
      <c r="EO27" t="str">
        <f t="shared" si="49"/>
        <v>2P</v>
      </c>
      <c r="EP27" t="str">
        <f t="shared" si="50"/>
        <v>2P С16А 30мА</v>
      </c>
      <c r="EQ27">
        <f t="shared" si="51"/>
        <v>16</v>
      </c>
      <c r="ER27" t="str">
        <f>IF(OR(AI27="",AI27="-"),"",IFERROR(VLOOKUP(AI27,Модули_спр,2,FALSE),"R"))</f>
        <v/>
      </c>
      <c r="ES27" t="str">
        <f>IF(ER27="","",ER27&amp;"."&amp;COUNTIFS(A$3:A27,A27,ER$3:ER27,ER27))</f>
        <v/>
      </c>
      <c r="ET27" t="str">
        <f t="shared" si="52"/>
        <v/>
      </c>
      <c r="EU27" t="str">
        <f t="shared" si="53"/>
        <v/>
      </c>
      <c r="EV27" t="str">
        <f t="shared" si="54"/>
        <v/>
      </c>
      <c r="EW27" t="str">
        <f t="shared" si="55"/>
        <v/>
      </c>
      <c r="EX27">
        <f t="shared" si="56"/>
        <v>1</v>
      </c>
      <c r="EY27" t="str">
        <f>IF(AK27="нет","",IF(AK27&lt;&gt;"",AK27,IF(EX27=1,"XT"&amp;COUNTIFS(A$3:A27,A27,EX$3:EX27,1),"")))</f>
        <v>XT6</v>
      </c>
      <c r="EZ27" t="str">
        <f t="shared" si="57"/>
        <v>QFD6</v>
      </c>
      <c r="FA27" t="str">
        <f t="shared" si="58"/>
        <v/>
      </c>
      <c r="FB27" t="str">
        <f t="shared" si="59"/>
        <v>ok</v>
      </c>
      <c r="FC27" t="str">
        <f>IF(OR(EV27="",ET27=""),"",IF(EV27&gt;IFERROR(VLOOKUP(EU27,Модули_спр,3,FALSE),99),"ЛИШНИЙ КАНАЛ",IF(AND(AJ27&lt;&gt;"=",COUNTIFS(Линии[_модуль гр.],ET27,Линии[Канал (итог)],EV27,Линии[Канал],"&lt;&gt;=",Линии[Щит],A27)&gt;1),"ДУБЛЬ КАНАЛА","")))</f>
        <v/>
      </c>
      <c r="FD27">
        <f t="shared" si="60"/>
        <v>16</v>
      </c>
      <c r="FE27" t="str">
        <f t="shared" si="61"/>
        <v>2P С16А 30мА</v>
      </c>
      <c r="FF27">
        <f t="shared" si="62"/>
        <v>1</v>
      </c>
      <c r="FG27">
        <f t="shared" si="63"/>
        <v>30</v>
      </c>
      <c r="FH27" s="6" t="str">
        <f t="shared" si="64"/>
        <v/>
      </c>
      <c r="FI27">
        <f t="shared" si="65"/>
        <v>10</v>
      </c>
      <c r="FJ27" t="str">
        <f t="shared" si="66"/>
        <v/>
      </c>
      <c r="FK27" t="str">
        <f>IF(AND(D27="",EZ27=""),"",_xlfn.TEXTJOIN("; ",TRUE,IF(AND(D27&lt;&gt;"",DD27=""),"нет фазы",""),IF(AND(D27&lt;&gt;"",N(DT27)=0,CN27&lt;&gt;"Нет"),"нет мощности",""),IF(AND(EY27&lt;&gt;"",COUNTIFS(Линии[Щит],A27,Линии[Клемма (итог)],EY27)&gt;1),"дубль клеммы "&amp;EY27,""),IF(AND(FB27&lt;&gt;"",FB27&lt;&gt;"ok"),FB27,""),IF(FC27&lt;&gt;"",FC27,""),IF(AND(ISNUMBER(SEARCH("(5х",DS27)),N(DV27)=1),"5 жил на 1 фазе",""),IF(AND(AT27="R",AD27&lt;&gt;"",OR(N(EH27)=0,N(EH27)&gt;30)),"розетка без дифзащиты до 30 мА",""),IFERROR(IF(AND(ISNUMBER(CD27),CD27&gt;CE27),"потери "&amp;FIXED(CD27,1)&amp;" % &gt; "&amp;CE27&amp;" %",""),""),IFERROR(IF(LEFT(FJ27,4)="мало","Iкз мало — отключение &gt; 0,4 с",""),""),IF(AND(D27&lt;&gt;"",BD27=""),"не на схеме","")))</f>
        <v/>
      </c>
      <c r="FL27" s="6">
        <f>IF(AD27="","",_xlfn.LET(_xlpm.t,IFERROR(_xlfn.XLOOKUP(EP27,Каталог!$U$4:$U$500,Каталог!$G$4:$G$500),""),_xlpm.k,SEARCH("кА",_xlpm.t),IFERROR(--TRIM(RIGHT(SUBSTITUTE(MID(_xlpm.t,MAX(1,_xlpm.k-4),_xlpm.k-MAX(1,_xlpm.k-4))," ",REPT(" ",9)),5)),"")))</f>
        <v>6</v>
      </c>
      <c r="FM27" t="str">
        <f>IF(OR(FL27="",AD27=""),"",IF(_xlfn.XLOOKUP(A27,Щиты[Щит],Щиты[Iкз max на шинах, кА],"")="","",IF(FL27&lt;_xlfn.XLOOKUP(A27,Щиты[Щит],Щиты[Iкз max на шинах, кА]),"Icu "&amp;FL27&amp;" кА &lt; Iкз max","ok")))</f>
        <v/>
      </c>
      <c r="FN27" t="str">
        <f t="shared" si="67"/>
        <v>QFD6|XT6</v>
      </c>
      <c r="FO27" t="str">
        <f t="shared" si="68"/>
        <v>QFD6|XT6|кабель ВВГнг(А)-LS (3х2,5) → Розеточная группа  Пом. №05</v>
      </c>
      <c r="FP27" t="str" cm="1">
        <f t="array" ref="FP27">IF(FO27="","",_xlfn.LET(_xlpm.nd,_xlfn.TEXTSPLIT(FO27,"|"),IF(COLUMNS(_xlpm.nd)&gt;1,A27&amp;"¦"&amp;INDEX(_xlpm.nd,1)&amp;"¦"&amp;INDEX(_xlpm.nd,2),"")))</f>
        <v>ЩР¦QFD6¦XT6</v>
      </c>
      <c r="FQ27" t="str">
        <f t="shared" si="69"/>
        <v>R.1.05.1¦Розеточная группа  Пом. №05</v>
      </c>
      <c r="FR27" t="str" cm="1">
        <f t="array" ref="FR27">IF(FO27="","",_xlfn.LET(_xlpm.nd,_xlfn.TEXTSPLIT(FO27,"|"),IF(COLUMNS(_xlpm.nd)&gt;2,A27&amp;"¦"&amp;INDEX(_xlpm.nd,2)&amp;"¦"&amp;INDEX(_xlpm.nd,3),"")))</f>
        <v>ЩР¦XT6¦кабель ВВГнг(А)-LS (3х2,5) → Розеточная группа  Пом. №05</v>
      </c>
      <c r="FS27" t="str">
        <f t="shared" si="70"/>
        <v>R.1.05.1¦Розеточная группа  Пом. №05</v>
      </c>
      <c r="FT27" t="str" cm="1">
        <f t="array" ref="FT27">IF(FO27="","",_xlfn.LET(_xlpm.nd,_xlfn.TEXTSPLIT(FO27,"|"),IF(COLUMNS(_xlpm.nd)&gt;3,A27&amp;"¦"&amp;INDEX(_xlpm.nd,3)&amp;"¦"&amp;INDEX(_xlpm.nd,4),"")))</f>
        <v/>
      </c>
      <c r="FU27" t="str">
        <f t="shared" si="71"/>
        <v/>
      </c>
      <c r="FV27" t="str" cm="1">
        <f t="array" ref="FV27">IF(FO27="","",_xlfn.LET(_xlpm.nd,_xlfn.TEXTSPLIT(FO27,"|"),IF(COLUMNS(_xlpm.nd)&gt;4,A27&amp;"¦"&amp;INDEX(_xlpm.nd,4)&amp;"¦"&amp;INDEX(_xlpm.nd,5),"")))</f>
        <v/>
      </c>
      <c r="FW27" t="str">
        <f t="shared" si="72"/>
        <v/>
      </c>
      <c r="FX27" t="str" cm="1">
        <f t="array" ref="FX27">IF(FO27="","",_xlfn.LET(_xlpm.nd,_xlfn.TEXTSPLIT(FO27,"|"),IF(COLUMNS(_xlpm.nd)&gt;5,A27&amp;"¦"&amp;INDEX(_xlpm.nd,5)&amp;"¦"&amp;INDEX(_xlpm.nd,6),"")))</f>
        <v/>
      </c>
      <c r="FY27" t="str">
        <f t="shared" si="73"/>
        <v/>
      </c>
      <c r="FZ27" t="str" cm="1">
        <f t="array" ref="FZ27">IF(FO27="","",_xlfn.LET(_xlpm.nd,_xlfn.TEXTSPLIT(FO27,"|"),IF(COLUMNS(_xlpm.nd)&gt;6,A27&amp;"¦"&amp;INDEX(_xlpm.nd,6)&amp;"¦"&amp;INDEX(_xlpm.nd,7),"")))</f>
        <v/>
      </c>
      <c r="GA27" t="str">
        <f t="shared" si="74"/>
        <v/>
      </c>
      <c r="GB27" t="str">
        <f t="shared" si="75"/>
        <v/>
      </c>
      <c r="GC27" t="str">
        <f t="shared" si="76"/>
        <v>QFD6 → XT6</v>
      </c>
      <c r="GD27">
        <f t="shared" si="77"/>
        <v>1</v>
      </c>
      <c r="GE27">
        <f t="shared" si="78"/>
        <v>0</v>
      </c>
      <c r="GF27">
        <f t="shared" si="79"/>
        <v>1</v>
      </c>
      <c r="GG27" t="str">
        <f t="shared" si="80"/>
        <v/>
      </c>
      <c r="GH27" t="str">
        <f t="shared" si="81"/>
        <v/>
      </c>
      <c r="GI27" t="str">
        <f t="shared" si="82"/>
        <v/>
      </c>
      <c r="GJ27" t="str">
        <f t="shared" si="83"/>
        <v/>
      </c>
      <c r="GK27" t="str">
        <f>IF(D27="","",IFERROR(VLOOKUP(D27,УГО_спр,2,FALSE),IFERROR(VLOOKUP(AT27,УГО_спр,2,FALSE),IFERROR(VLOOKUP(LEFT(AT27,2),УГО_спр,2,FALSE),""))))</f>
        <v>Розетка</v>
      </c>
      <c r="GL27" t="str">
        <f>IF(D27="","",IF(OR(GK27="",GK27=0),"BOX",IFERROR(IF(VLOOKUP(GK27,УГО_блоки,3,FALSE)&amp;""&lt;&gt;"",VLOOKUP(GK27,УГО_блоки,3,FALSE),VLOOKUP(GK27,УГО_блоки,2,FALSE)),GK27)))</f>
        <v>SOCKET</v>
      </c>
      <c r="GM27">
        <f t="shared" si="84"/>
        <v>1</v>
      </c>
      <c r="GN27" t="str">
        <f>IF(EP27="","",IF(COUNTIF(EP$3:EP27,EP27)=1,MAX(GN$2:GN26)+1,""))</f>
        <v/>
      </c>
      <c r="GO27" t="str">
        <f>IF(AF27="","",IF(COUNTIF(AF$3:AF27,AF27)+COUNTIF(AG$2:AG26,AF27)+COUNTIF(AH$2:AH26,AF27)=1,MAX(GO$2:GQ26)+1,""))</f>
        <v/>
      </c>
      <c r="GP27" t="str">
        <f>IF(AG27="","",IF(COUNTIF(AF$3:AF27,AG27)+COUNTIF(AG$3:AG27,AG27)+COUNTIF(AH$2:AH26,AG27)=1,MAX(GO$2:GQ26,GO27)+1,""))</f>
        <v/>
      </c>
      <c r="GQ27" t="str">
        <f>IF(AH27="","",IF(COUNTIF(AF$3:AF27,AH27)+COUNTIF(AG$3:AG27,AH27)+COUNTIF(AH$3:AH27,AH27)=1,MAX(GO$2:GQ26,GO27,GP27)+1,""))</f>
        <v/>
      </c>
      <c r="GR27" t="str">
        <f t="shared" si="85"/>
        <v>3х2,5</v>
      </c>
      <c r="GS27" t="str">
        <f>IF(GR27="","",IF(COUNTIF(GR$3:GR27,GR27)=1,MAX(GS$2:GS26)+1,""))</f>
        <v/>
      </c>
      <c r="GT27" t="str">
        <f>IF(ES27="","",COUNTIF(ES$3:ES27,"?*"))</f>
        <v/>
      </c>
      <c r="GU27" t="str">
        <f>IF(OR(ES27="",EU27=""),"",IF(COUNTIFS(ES$3:ES27,"?*",EU$3:EU27,EU27)=1,MAX(GU$2:GU26)+1,""))</f>
        <v/>
      </c>
      <c r="GV27">
        <f t="shared" si="86"/>
        <v>0</v>
      </c>
      <c r="GW27">
        <f>IF(D27="","",COUNTIF(D$3:D27,"?*"))</f>
        <v>7</v>
      </c>
      <c r="GX27">
        <f>IF(EX27&lt;&gt;1,0,_xlfn.LET(_xlpm.k,MAX(IFERROR(--VLOOKUP(D27,УГО_спр,5,FALSE),0),IFERROR(--VLOOKUP(AT27,УГО_спр,5,FALSE),0),IFERROR(--VLOOKUP(LEFT(AT27,2),УГО_спр,5,FALSE),0)),IF(_xlpm.k&gt;0,_xlpm.k,IF(IFERROR(--LEFT(SUBSTITUTE(GR27,"x","х"),FIND("х",SUBSTITUTE(GR27,"x","х"))-1),3)&gt;3,Каталог!$S$9,1))))</f>
        <v>1</v>
      </c>
      <c r="GY27">
        <f t="shared" si="87"/>
        <v>0</v>
      </c>
    </row>
    <row r="28" spans="1:207" x14ac:dyDescent="0.3">
      <c r="A28" t="s">
        <v>206</v>
      </c>
      <c r="B28">
        <v>26</v>
      </c>
      <c r="C28" t="str">
        <f>IF(BD28="","",IF(BE28="вводной узел","узел ","")&amp;"л."&amp;(INT((BD28-1)/Столбцов_на_лист)+1)&amp;" / "&amp;(MOD(BD28-1,Столбцов_на_лист)+1))</f>
        <v>л.2 / 9</v>
      </c>
      <c r="D28" t="s">
        <v>699</v>
      </c>
      <c r="E28" s="133" t="str">
        <f t="shared" si="0"/>
        <v>Розеточная группа  Пом. №05</v>
      </c>
      <c r="G28">
        <v>0.06</v>
      </c>
      <c r="H28">
        <v>1</v>
      </c>
      <c r="O28">
        <v>1</v>
      </c>
      <c r="T28">
        <v>2</v>
      </c>
      <c r="AD28" t="s">
        <v>597</v>
      </c>
      <c r="AK28" t="s">
        <v>604</v>
      </c>
      <c r="AN28">
        <v>19.45</v>
      </c>
      <c r="AO28" t="s">
        <v>664</v>
      </c>
      <c r="AR28" t="str">
        <f t="shared" si="1"/>
        <v/>
      </c>
      <c r="AS28" cm="1">
        <f t="array" ref="AS28">ROW()-ROW(Линии[#Headers])</f>
        <v>26</v>
      </c>
      <c r="AT28" s="6" t="str">
        <f t="shared" si="2"/>
        <v>R</v>
      </c>
      <c r="AU28" t="str">
        <f t="shared" si="3"/>
        <v>1.05.2</v>
      </c>
      <c r="AV28" t="str">
        <f t="shared" si="4"/>
        <v>1</v>
      </c>
      <c r="AW28" t="str">
        <f t="shared" si="5"/>
        <v>05.2</v>
      </c>
      <c r="AX28" t="str">
        <f t="shared" si="6"/>
        <v>05</v>
      </c>
      <c r="AY28" t="str">
        <f>IF(D28="","",IF(ISERROR(SEARCH(".",D28)),IFERROR(VLOOKUP(D28,Потребители_обозначение,2,FALSE)&amp;"",""),IFERROR(IF(VLOOKUP(AT28,Потребители_обозначение,4,FALSE)=1,VLOOKUP(AT28,Потребители_обозначение,2,FALSE)&amp;" "&amp;VLOOKUP(AV28,Этаж_обозначение,2,FALSE)&amp;" Пом. №"&amp;AX28,VLOOKUP(AT28,Потребители_обозначение,2,FALSE)&amp;" Шлейф №"&amp;AV28),IFERROR(VLOOKUP(D28,Потребители_обозначение,2,FALSE),""))))</f>
        <v>Розеточная группа  Пом. №05</v>
      </c>
      <c r="AZ28" t="str">
        <f t="shared" si="7"/>
        <v>Розеточная группа  Пом. №05</v>
      </c>
      <c r="BA28" t="str">
        <f>IF(F28&lt;&gt;"",F28,IF(AND(D28&lt;&gt;"",D28&lt;&gt;A28,ISNUMBER(_xlfn.XMATCH(D28,Щиты[Щит]))),D28,""))</f>
        <v/>
      </c>
      <c r="BB28">
        <f>IFERROR(_xlfn.XMATCH(A28,Щиты[Щит]),0)</f>
        <v>1</v>
      </c>
      <c r="BC28">
        <f>IFERROR(N(_xlfn.XLOOKUP(A28,Щиты[Щит],Щиты[Мест под вводной узел])),15)</f>
        <v>18</v>
      </c>
      <c r="BD28">
        <f t="shared" si="8"/>
        <v>26</v>
      </c>
      <c r="BE28" t="str">
        <f t="shared" si="9"/>
        <v>линии</v>
      </c>
      <c r="BF28" s="6">
        <f>IF(D28="","",IF(BA28&lt;&gt;"",IFERROR(_xlfn.XLOOKUP(BA28,Щиты[Щит],Щиты[Руст, кВт]),0),N(G28)))</f>
        <v>0.06</v>
      </c>
      <c r="BG28">
        <f>IF(J28&lt;&gt;"",J28,IF(D28="","",IFERROR(IF(VLOOKUP(AT28,Потребители_обозначение,8,FALSE)=0,"",VLOOKUP(AT28,Потребители_обозначение,8,FALSE)),"")))</f>
        <v>230</v>
      </c>
      <c r="BH28">
        <f>IF(I28&lt;&gt;"",I28,IF(D28="","",IFERROR(IF(VLOOKUP(AT28,Потребители_обозначение,9,FALSE)=0,"",VLOOKUP(AT28,Потребители_обозначение,9,FALSE)),"")))</f>
        <v>1</v>
      </c>
      <c r="BI28" t="str">
        <f>IF(U28&lt;&gt;"",U28,IF(D28="","",IFERROR(IF(VLOOKUP(AT28,Потребители_обозначение,6,FALSE)=0,"",VLOOKUP(AT28,Потребители_обозначение,6,FALSE)),"")))</f>
        <v>мс</v>
      </c>
      <c r="BJ28">
        <f>IF(V28&lt;&gt;"",V28,IF(D28="","",IFERROR(IF(VLOOKUP(AT28,Потребители_обозначение,7,FALSE)=0,"",VLOOKUP(AT28,Потребители_обозначение,7,FALSE)),"")))</f>
        <v>3</v>
      </c>
      <c r="BK28">
        <f>IF(W28&lt;&gt;"",W28,IF(D28="","",IFERROR(IF(VLOOKUP(AT28,Потребители_обозначение,10,FALSE)=0,"",VLOOKUP(AT28,Потребители_обозначение,10,FALSE)),"")))</f>
        <v>2.5</v>
      </c>
      <c r="BL28">
        <f>IFERROR(VLOOKUP(AT28,Потребители_обозначение,5,FALSE),0)</f>
        <v>1</v>
      </c>
      <c r="BM28" s="6" cm="1">
        <f t="array" ref="BM28">IF(D28="","",IF(BA28&lt;&gt;"",IFERROR(_xlfn.XLOOKUP(BA28,Щиты[Щит],Щиты[cos φ]),0.95),IF(ISNUMBER(M28),M28,IFERROR(IF(BL28=2,_xlfn.IFS(BH28=3,VLOOKUP(BF28,Справочная_двигатели,8,FALSE),BH28=1,VLOOKUP(BF28,Справочная_двигатели,10,TRUE)),IF(AND(Методика="нормы 2026",CN28="Сил"),0.8,0.95)),0.95))))</f>
        <v>0.95</v>
      </c>
      <c r="BN28" s="6" cm="1">
        <f t="array" ref="BN28">IF(D28="","",IF(BA28&lt;&gt;"",IFERROR(_xlfn.XLOOKUP(BA28,Щиты[Щит],Щиты[Iр, А]),""),IFERROR(_xlfn.IFS(BH28=1,BF28/((Uн_лин/SQRT(3))*BM28),BH28=3,BF28/(SQRT(3)*Uн_лин*BM28)),"")))</f>
        <v>0.27348170645824377</v>
      </c>
      <c r="BO28">
        <f>IF(D28="","",IF(N(X28)=0,IFERROR(VLOOKUP(BN28,Автомат_номиналы,2,TRUE),""),X28))</f>
        <v>6</v>
      </c>
      <c r="BP28">
        <f t="shared" si="10"/>
        <v>1</v>
      </c>
      <c r="BQ28">
        <f>IF(ISNUMBER(Y28),Y28,К_прокл)</f>
        <v>1</v>
      </c>
      <c r="BR28">
        <f t="shared" si="11"/>
        <v>2</v>
      </c>
      <c r="BS28" cm="1">
        <f t="array" ref="BS28">IF(D28="","",IF(N(BK28)&lt;&gt;0,BK28,IFERROR(_xlfn.LET(_xlpm.need,BO28/(BP28*BQ28),_xlpm.t,CHOOSE(BR28,Iдоп_1ж,Iдоп_2ж,Iдоп_3ж),_xlpm.k,_xlfn.XMATCH(_xlpm.need,_xlpm.t,1),IF(ISNA(_xlpm.k),"Не исп",INDEX(Iдоп_S,_xlpm.k))),"Не исп")))</f>
        <v>2.5</v>
      </c>
      <c r="BT28">
        <f>IFERROR(VLOOKUP(BS28,Кабель_сопротивление,3,FALSE),"")</f>
        <v>2.2499999999999999E-2</v>
      </c>
      <c r="BU28">
        <f>IFERROR(VLOOKUP(BS28,Кабель_сопротивление,2,FALSE),"")</f>
        <v>0.1</v>
      </c>
      <c r="BV28">
        <f t="shared" si="12"/>
        <v>20</v>
      </c>
      <c r="BW28" s="6">
        <f>IF(D28="","",IFERROR(IF(VLOOKUP(AT28,Потребители_обозначение,4,FALSE)=1,VLOOKUP(AT28,Потребители_обозначение,3,FALSE)*(H28*2-1)+BV28+VLOOKUP(AV28,Этаж_обозначение,3,FALSE)+VLOOKUP(AV28,Этаж_обозначение,4,FALSE),VLOOKUP(AT28,Потребители_обозначение,3,FALSE)*(H28*2-1)+BV28),BV28))</f>
        <v>22</v>
      </c>
      <c r="BX28">
        <f t="shared" si="13"/>
        <v>0</v>
      </c>
      <c r="BY28">
        <f t="shared" si="14"/>
        <v>18</v>
      </c>
      <c r="BZ28">
        <f t="shared" si="15"/>
        <v>2</v>
      </c>
      <c r="CA28">
        <f t="shared" si="16"/>
        <v>0.31</v>
      </c>
      <c r="CB28">
        <f t="shared" si="17"/>
        <v>0.10325684701720034</v>
      </c>
      <c r="CC28" s="6">
        <f>IFERROR(ROUNDUP(CB28/((Uн_лин/SQRT(3))*1000)*100,2),"")</f>
        <v>0.05</v>
      </c>
      <c r="CD28" s="6">
        <f>IF(ISNUMBER(CC28),CC28+IFERROR(_xlfn.XLOOKUP(A28,Щиты[Щит],Щиты[ΔU до шин, %]),0),"")</f>
        <v>0.05</v>
      </c>
      <c r="CE28" s="6">
        <f>IF(D28="","",IF(IFERROR(VLOOKUP(AT28,УГО_спр,2,FALSE),"")="Светильник",3,4)+IF(Методика="нормы 2026",MIN(0.5,MAX(0,N(BW28)-100)*0.005),0))</f>
        <v>4</v>
      </c>
      <c r="CF28" t="str">
        <f>IFERROR(VLOOKUP(BI28,Кабель_обозначение,2,FALSE),"")</f>
        <v>ВВГнг(А)-LS</v>
      </c>
      <c r="CG28" t="str">
        <f>IFERROR(IF(VLOOKUP(BI28,Кабель_обозначение,3,FALSE)=1,CF28&amp;" ("&amp;BJ28&amp;"х"&amp;BS28&amp;")",CF28),"")</f>
        <v>ВВГнг(А)-LS (3х2,5)</v>
      </c>
      <c r="CH28" t="str">
        <f t="shared" si="18"/>
        <v>ВВГнг(А)-LS (3х2,5)
L=22-0,05%</v>
      </c>
      <c r="CI28">
        <f>IFERROR(2*ρкз_Cu*BW28/BS28,"")</f>
        <v>0.46288000000000001</v>
      </c>
      <c r="CJ28">
        <f t="shared" si="19"/>
        <v>0.154</v>
      </c>
      <c r="CK28" s="6" t="str">
        <f>IFERROR(IF(OR(D28="",NOT(ISNUMBER(BS28)),N(BW28)=0),"",_xlfn.XLOOKUP(A28,Щиты[Щит],Щиты[Zпетли на шинах, Ом])+CI28),"")</f>
        <v/>
      </c>
      <c r="CL28" s="6" t="str">
        <f>IF(ISNUMBER(CK28),c_min*(Uн_лин*1000/SQRT(3))/CK28,"")</f>
        <v/>
      </c>
      <c r="CM28" s="6" t="str">
        <f>IFERROR(IF(OR(D28="",NOT(ISNUMBER(BS28))),"",1.05*(Uн_лин*1000/SQRT(3))/(_xlfn.XLOOKUP(A28,Щиты[Щит],Щиты[Zmax на шинах, Ом])+CJ28)/1000),"")</f>
        <v/>
      </c>
      <c r="CN28" s="6" t="str">
        <f>IF(D28="","",IF(BA28&lt;&gt;"","Щит",IF(K28&lt;&gt;"",K28,IF(ISNUMBER(L28),"Сил",IF(IFERROR(_xlfn.XLOOKUP(AT28,Коды_код,Коды_группа)&amp;"","")="","Быт",_xlfn.XLOOKUP(AT28,Коды_код,Коды_группа)&amp;"")))))</f>
        <v>Быт</v>
      </c>
      <c r="CO28" s="6">
        <f>IF(CN28="Щит","щит",IF(CN28="","",IF(CN28="Быт",IFERROR(_xlfn.XLOOKUP(A28,Щиты[Щит],Щиты[Кс быт]),1),IF(CN28="Сил",IF(ISNUMBER(L28),L28,IF(Методика="нормы 2026",IFERROR(_xlfn.XLOOKUP(A28,Щиты[Щит],Щиты[Кс силовых (табл. 7.5)]),1),1)),IF(OR(CN28="Пост",CN28="Отоп"),1,IF(CN28="ВНГ",0.7,0))))))</f>
        <v>0.8</v>
      </c>
      <c r="CP28">
        <f t="shared" si="20"/>
        <v>1</v>
      </c>
      <c r="CQ28">
        <f t="shared" si="21"/>
        <v>0.06</v>
      </c>
      <c r="CR28">
        <f t="shared" si="22"/>
        <v>0.06</v>
      </c>
      <c r="CS28">
        <f t="shared" si="23"/>
        <v>0</v>
      </c>
      <c r="CT28">
        <f t="shared" si="24"/>
        <v>0</v>
      </c>
      <c r="CU28">
        <f t="shared" si="25"/>
        <v>0</v>
      </c>
      <c r="CV28">
        <f t="shared" si="26"/>
        <v>0</v>
      </c>
      <c r="CW28">
        <f t="shared" si="27"/>
        <v>0.06</v>
      </c>
      <c r="CX28">
        <f t="shared" si="28"/>
        <v>5.6999999999999995E-2</v>
      </c>
      <c r="CY28">
        <f t="shared" si="29"/>
        <v>1</v>
      </c>
      <c r="CZ28" t="str">
        <f t="shared" si="30"/>
        <v>L1</v>
      </c>
      <c r="DA28" cm="1">
        <f t="array" ref="DA28">IFERROR(IF(BL28=2,_xlfn.IFS(BH28=3,VLOOKUP(BF28,Справочная_двигатели,3,FALSE),BH28=1,VLOOKUP(BF28,Справочная_двигатели,5,TRUE)),0),0)</f>
        <v>0</v>
      </c>
      <c r="DB28">
        <f>IFERROR(IF(BL28=3,VLOOKUP(BF28,Справочная_ЛЭД,2,TRUE),0),0)</f>
        <v>0</v>
      </c>
      <c r="DC28" s="6">
        <f t="shared" si="31"/>
        <v>0</v>
      </c>
      <c r="DD28" t="str">
        <f t="shared" si="32"/>
        <v>L1</v>
      </c>
      <c r="DE28" t="str" cm="1">
        <f t="array" ref="DE28">IF(D28="","",IFERROR(INDEX({"I особая","I","II","III"},MATCH(TRIM(AA28&amp;""),{"I особая","I","II","III"},0)),"III"))</f>
        <v>III</v>
      </c>
      <c r="DF28" t="str">
        <f>IF(D28="","",IF(TRIM(AB28&amp;"")&lt;&gt;"",IF(LOWER(TRIM(AB28&amp;""))="да","да","нет"),IF(IFERROR(_xlfn.XLOOKUP(AT28,Коды_код,Коды_пожарная),"")="да","да","нет")))</f>
        <v>нет</v>
      </c>
      <c r="DG28" t="str">
        <f t="shared" si="33"/>
        <v/>
      </c>
      <c r="DH28" t="str">
        <f t="shared" si="34"/>
        <v>основная</v>
      </c>
      <c r="DI28">
        <f t="shared" si="35"/>
        <v>1</v>
      </c>
      <c r="DJ28" t="str" cm="1">
        <f t="array" ref="DJ28">IF(D28="","",_xlfn.LET(_xlpm.t,IFERROR(_xlfn.XLOOKUP(1,(Шины[Шина]=DH28)*(((Шины[Щит]=A28)+(Шины[Щит]=""))&gt;0),Шины[Тип]),"")&amp;"",IF(_xlpm.t&lt;&gt;"",_xlpm.t,IF(ISNUMBER(SEARCH("ИБП",DH28)),"ИБП",IF(ISNUMBER(SEARCH("ДГУ",DH28)),"ДГУ","Ввод "&amp;DI28)))))</f>
        <v>Ввод 1</v>
      </c>
      <c r="DK28" t="str">
        <f t="shared" si="36"/>
        <v>Ввод 1</v>
      </c>
      <c r="DL28" t="str">
        <f>IF(D28="","",IF(OR(DJ28="ИБП",DJ28="ДГУ"),"I особая",IF(DJ28="Одиночная","III",_xlfn.XLOOKUP(A28,Щиты[Щит],Щиты[Категория шины «Ввод»],"III"))))</f>
        <v>III</v>
      </c>
      <c r="DM28">
        <f>IF(D28="",0,IFERROR(MATCH(DE28,{"III","II","I","I особая"},0),1))</f>
        <v>1</v>
      </c>
      <c r="DN28">
        <f t="shared" si="37"/>
        <v>1</v>
      </c>
      <c r="DO28" t="str">
        <f>IF(D28="","",IF(DM28&gt;IFERROR(MATCH(DL28,{"III","II","I","I особая"},0),1),"НЕ ОБЕСПЕЧЕНА","ОК"))</f>
        <v>ОК</v>
      </c>
      <c r="DP28" t="str">
        <f>IF(A28="","",_xlfn.XLOOKUP(A28,Щиты[Щит],Щиты[Путь],""))</f>
        <v>|ЩР|</v>
      </c>
      <c r="DQ28" t="str">
        <f>IF(D28="","",IF(Z28&lt;&gt;"",Z28,IF(IFERROR(_xlfn.XLOOKUP(AT28,Коды_код,Коды_вид)&amp;"","")="","Прочее",_xlfn.XLOOKUP(AT28,Коды_код,Коды_вид)&amp;"")))</f>
        <v>Розеточная сеть и бытовые приборы</v>
      </c>
      <c r="DR28">
        <f>IF(BD28="","",INT((BD28-1)/Столбцов_на_лист)+1)</f>
        <v>2</v>
      </c>
      <c r="DS28" t="str">
        <f t="shared" si="38"/>
        <v>ВВГнг(А)-LS (3х2,5) L=22-0,05%</v>
      </c>
      <c r="DT28">
        <f t="shared" si="39"/>
        <v>0.06</v>
      </c>
      <c r="DU28">
        <f t="shared" si="40"/>
        <v>0.28000000000000003</v>
      </c>
      <c r="DV28">
        <f t="shared" si="41"/>
        <v>1</v>
      </c>
      <c r="DW28">
        <f>IF(AT28="",0,_xlfn.LET(_xlpm.v,IFERROR(VLOOKUP(D28,УГО_спр,3,FALSE),IFERROR(VLOOKUP(AT28,УГО_спр,3,FALSE),IFERROR(VLOOKUP(LEFT(AT28,2),УГО_спр,3,FALSE),""))),IF(_xlpm.v="да",30,IF(ISNUMBER(_xlpm.v),_xlpm.v,0))))</f>
        <v>30</v>
      </c>
      <c r="DX28">
        <f t="shared" si="42"/>
        <v>0</v>
      </c>
      <c r="DY28">
        <f>IF(BD28="","",IF(AD28&lt;&gt;"",COUNTIFS(A$3:A28,A28,AD$3:AD28,"?*"),IF(OR(OR(AS28=1,A28&lt;&gt;A27),AL28="вручную"),"",IF(AS28=1,"",DZ27))))</f>
        <v>7</v>
      </c>
      <c r="DZ28">
        <f t="shared" si="43"/>
        <v>7</v>
      </c>
      <c r="EA28">
        <f>IF(D28="",0,MAX(IFERROR(--X28,0),IFERROR(--VLOOKUP(D28,УГО_спр,4,FALSE),IFERROR(--VLOOKUP(AT28,УГО_спр,4,FALSE),IFERROR(--VLOOKUP(LEFT(AT28,2),УГО_спр,4,FALSE),0)))))</f>
        <v>16</v>
      </c>
      <c r="EB28">
        <f>IF(D28="","",IFERROR(LOOKUP(INDEX(CHOOSE(BR28,Iдоп_1ж,Iдоп_2ж,Iдоп_3ж),MATCH(BS28,Iдоп_S,0))*BP28*BQ28,{6,10,16,20,25,32,40,50,63,80,100,125,160,200,250,315,400,500,630}),""))</f>
        <v>25</v>
      </c>
      <c r="EC28">
        <f>IF(AD28="","",SUMIFS(Линии[_Ток схемы],Линии[_гр.],DY28,Линии[Щит],A28,Линии[_в кабель выше],0))</f>
        <v>0.28000000000000003</v>
      </c>
      <c r="ED28">
        <f>IF(AD28="","",IFERROR(VLOOKUP(EC28,Автомат_номиналы,2,TRUE),""))</f>
        <v>6</v>
      </c>
      <c r="EE28">
        <f>IF(AD28="","",MAX(N(ED28),_xlfn.MAXIFS(Линии[_мин. по типу],Линии[_гр.],DY28,Линии[Щит],A28)))</f>
        <v>16</v>
      </c>
      <c r="EF28">
        <f>IF(AD28="","",_xlfn.MINIFS(Линии[_макс. автомат по кабелю],Линии[_гр.],DY28,Линии[Щит],A28))</f>
        <v>25</v>
      </c>
      <c r="EG28">
        <f>IF(AD28="","",MAX(1,_xlfn.MAXIFS(Линии[_фаз],Линии[_гр.],DY28,Линии[Щит],A28)))</f>
        <v>1</v>
      </c>
      <c r="EH28">
        <f>IF(AD28="","",IF(AND(AD28&lt;&gt;"авто",AD28&lt;&gt;"+"),IF(ISNUMBER(SEARCH("мА",AD28)),IFERROR(--TRIM(RIGHT(SUBSTITUTE(LEFT(AD28,SEARCH("мА",AD28)-1)," ",REPT(" ",9)),6)),30),0),IF(AE28="нет",0,IF(ISNUMBER(AE28),AE28,IF(AE28="да",30,_xlfn.MINIFS(Линии[_дифзащита по коду, мА],Линии[_гр.],DY28,Линии[Щит],A28,Линии[_дифзащита по коду, мА],"&gt;0"))))))</f>
        <v>30</v>
      </c>
      <c r="EI28">
        <f t="shared" si="44"/>
        <v>1</v>
      </c>
      <c r="EJ28" t="str">
        <f t="shared" si="45"/>
        <v>QFD7</v>
      </c>
      <c r="EK28" t="str">
        <f t="shared" si="46"/>
        <v>QFD7</v>
      </c>
      <c r="EL28" t="str">
        <f t="shared" si="47"/>
        <v/>
      </c>
      <c r="EM28">
        <f t="shared" si="48"/>
        <v>0</v>
      </c>
      <c r="EN28">
        <f>IF(AD28="","",IF(EM28=1,MAX(EE28,Мин_автомат_БП),EE28))</f>
        <v>16</v>
      </c>
      <c r="EO28" t="str">
        <f t="shared" si="49"/>
        <v>2P</v>
      </c>
      <c r="EP28" t="str">
        <f t="shared" si="50"/>
        <v>2P С16А 30мА</v>
      </c>
      <c r="EQ28">
        <f t="shared" si="51"/>
        <v>16</v>
      </c>
      <c r="ER28" t="str">
        <f>IF(OR(AI28="",AI28="-"),"",IFERROR(VLOOKUP(AI28,Модули_спр,2,FALSE),"R"))</f>
        <v/>
      </c>
      <c r="ES28" t="str">
        <f>IF(ER28="","",ER28&amp;"."&amp;COUNTIFS(A$3:A28,A28,ER$3:ER28,ER28))</f>
        <v/>
      </c>
      <c r="ET28" t="str">
        <f t="shared" si="52"/>
        <v/>
      </c>
      <c r="EU28" t="str">
        <f t="shared" si="53"/>
        <v/>
      </c>
      <c r="EV28" t="str">
        <f t="shared" si="54"/>
        <v/>
      </c>
      <c r="EW28" t="str">
        <f t="shared" si="55"/>
        <v/>
      </c>
      <c r="EX28">
        <f t="shared" si="56"/>
        <v>1</v>
      </c>
      <c r="EY28" t="str">
        <f>IF(AK28="нет","",IF(AK28&lt;&gt;"",AK28,IF(EX28=1,"XT"&amp;COUNTIFS(A$3:A28,A28,EX$3:EX28,1),"")))</f>
        <v>XT7</v>
      </c>
      <c r="EZ28" t="str">
        <f t="shared" si="57"/>
        <v>QFD7</v>
      </c>
      <c r="FA28" t="str">
        <f t="shared" si="58"/>
        <v/>
      </c>
      <c r="FB28" t="str">
        <f t="shared" si="59"/>
        <v>ok</v>
      </c>
      <c r="FC28" t="str">
        <f>IF(OR(EV28="",ET28=""),"",IF(EV28&gt;IFERROR(VLOOKUP(EU28,Модули_спр,3,FALSE),99),"ЛИШНИЙ КАНАЛ",IF(AND(AJ28&lt;&gt;"=",COUNTIFS(Линии[_модуль гр.],ET28,Линии[Канал (итог)],EV28,Линии[Канал],"&lt;&gt;=",Линии[Щит],A28)&gt;1),"ДУБЛЬ КАНАЛА","")))</f>
        <v/>
      </c>
      <c r="FD28">
        <f t="shared" si="60"/>
        <v>16</v>
      </c>
      <c r="FE28" t="str">
        <f t="shared" si="61"/>
        <v>2P С16А 30мА</v>
      </c>
      <c r="FF28">
        <f t="shared" si="62"/>
        <v>1</v>
      </c>
      <c r="FG28">
        <f t="shared" si="63"/>
        <v>30</v>
      </c>
      <c r="FH28" s="6" t="str">
        <f t="shared" si="64"/>
        <v/>
      </c>
      <c r="FI28">
        <f t="shared" si="65"/>
        <v>10</v>
      </c>
      <c r="FJ28" t="str">
        <f t="shared" si="66"/>
        <v/>
      </c>
      <c r="FK28" t="str">
        <f>IF(AND(D28="",EZ28=""),"",_xlfn.TEXTJOIN("; ",TRUE,IF(AND(D28&lt;&gt;"",DD28=""),"нет фазы",""),IF(AND(D28&lt;&gt;"",N(DT28)=0,CN28&lt;&gt;"Нет"),"нет мощности",""),IF(AND(EY28&lt;&gt;"",COUNTIFS(Линии[Щит],A28,Линии[Клемма (итог)],EY28)&gt;1),"дубль клеммы "&amp;EY28,""),IF(AND(FB28&lt;&gt;"",FB28&lt;&gt;"ok"),FB28,""),IF(FC28&lt;&gt;"",FC28,""),IF(AND(ISNUMBER(SEARCH("(5х",DS28)),N(DV28)=1),"5 жил на 1 фазе",""),IF(AND(AT28="R",AD28&lt;&gt;"",OR(N(EH28)=0,N(EH28)&gt;30)),"розетка без дифзащиты до 30 мА",""),IFERROR(IF(AND(ISNUMBER(CD28),CD28&gt;CE28),"потери "&amp;FIXED(CD28,1)&amp;" % &gt; "&amp;CE28&amp;" %",""),""),IFERROR(IF(LEFT(FJ28,4)="мало","Iкз мало — отключение &gt; 0,4 с",""),""),IF(AND(D28&lt;&gt;"",BD28=""),"не на схеме","")))</f>
        <v/>
      </c>
      <c r="FL28" s="6">
        <f>IF(AD28="","",_xlfn.LET(_xlpm.t,IFERROR(_xlfn.XLOOKUP(EP28,Каталог!$U$4:$U$500,Каталог!$G$4:$G$500),""),_xlpm.k,SEARCH("кА",_xlpm.t),IFERROR(--TRIM(RIGHT(SUBSTITUTE(MID(_xlpm.t,MAX(1,_xlpm.k-4),_xlpm.k-MAX(1,_xlpm.k-4))," ",REPT(" ",9)),5)),"")))</f>
        <v>6</v>
      </c>
      <c r="FM28" t="str">
        <f>IF(OR(FL28="",AD28=""),"",IF(_xlfn.XLOOKUP(A28,Щиты[Щит],Щиты[Iкз max на шинах, кА],"")="","",IF(FL28&lt;_xlfn.XLOOKUP(A28,Щиты[Щит],Щиты[Iкз max на шинах, кА]),"Icu "&amp;FL28&amp;" кА &lt; Iкз max","ok")))</f>
        <v/>
      </c>
      <c r="FN28" t="str">
        <f t="shared" si="67"/>
        <v>QFD7|XT7</v>
      </c>
      <c r="FO28" t="str">
        <f t="shared" si="68"/>
        <v>QFD7|XT7|кабель ВВГнг(А)-LS (3х2,5) → Розеточная группа  Пом. №05</v>
      </c>
      <c r="FP28" t="str" cm="1">
        <f t="array" ref="FP28">IF(FO28="","",_xlfn.LET(_xlpm.nd,_xlfn.TEXTSPLIT(FO28,"|"),IF(COLUMNS(_xlpm.nd)&gt;1,A28&amp;"¦"&amp;INDEX(_xlpm.nd,1)&amp;"¦"&amp;INDEX(_xlpm.nd,2),"")))</f>
        <v>ЩР¦QFD7¦XT7</v>
      </c>
      <c r="FQ28" t="str">
        <f t="shared" si="69"/>
        <v>R.1.05.2¦Розеточная группа  Пом. №05</v>
      </c>
      <c r="FR28" t="str" cm="1">
        <f t="array" ref="FR28">IF(FO28="","",_xlfn.LET(_xlpm.nd,_xlfn.TEXTSPLIT(FO28,"|"),IF(COLUMNS(_xlpm.nd)&gt;2,A28&amp;"¦"&amp;INDEX(_xlpm.nd,2)&amp;"¦"&amp;INDEX(_xlpm.nd,3),"")))</f>
        <v>ЩР¦XT7¦кабель ВВГнг(А)-LS (3х2,5) → Розеточная группа  Пом. №05</v>
      </c>
      <c r="FS28" t="str">
        <f t="shared" si="70"/>
        <v>R.1.05.2¦Розеточная группа  Пом. №05</v>
      </c>
      <c r="FT28" t="str" cm="1">
        <f t="array" ref="FT28">IF(FO28="","",_xlfn.LET(_xlpm.nd,_xlfn.TEXTSPLIT(FO28,"|"),IF(COLUMNS(_xlpm.nd)&gt;3,A28&amp;"¦"&amp;INDEX(_xlpm.nd,3)&amp;"¦"&amp;INDEX(_xlpm.nd,4),"")))</f>
        <v/>
      </c>
      <c r="FU28" t="str">
        <f t="shared" si="71"/>
        <v/>
      </c>
      <c r="FV28" t="str" cm="1">
        <f t="array" ref="FV28">IF(FO28="","",_xlfn.LET(_xlpm.nd,_xlfn.TEXTSPLIT(FO28,"|"),IF(COLUMNS(_xlpm.nd)&gt;4,A28&amp;"¦"&amp;INDEX(_xlpm.nd,4)&amp;"¦"&amp;INDEX(_xlpm.nd,5),"")))</f>
        <v/>
      </c>
      <c r="FW28" t="str">
        <f t="shared" si="72"/>
        <v/>
      </c>
      <c r="FX28" t="str" cm="1">
        <f t="array" ref="FX28">IF(FO28="","",_xlfn.LET(_xlpm.nd,_xlfn.TEXTSPLIT(FO28,"|"),IF(COLUMNS(_xlpm.nd)&gt;5,A28&amp;"¦"&amp;INDEX(_xlpm.nd,5)&amp;"¦"&amp;INDEX(_xlpm.nd,6),"")))</f>
        <v/>
      </c>
      <c r="FY28" t="str">
        <f t="shared" si="73"/>
        <v/>
      </c>
      <c r="FZ28" t="str" cm="1">
        <f t="array" ref="FZ28">IF(FO28="","",_xlfn.LET(_xlpm.nd,_xlfn.TEXTSPLIT(FO28,"|"),IF(COLUMNS(_xlpm.nd)&gt;6,A28&amp;"¦"&amp;INDEX(_xlpm.nd,6)&amp;"¦"&amp;INDEX(_xlpm.nd,7),"")))</f>
        <v/>
      </c>
      <c r="GA28" t="str">
        <f t="shared" si="74"/>
        <v/>
      </c>
      <c r="GB28" t="str">
        <f t="shared" si="75"/>
        <v/>
      </c>
      <c r="GC28" t="str">
        <f t="shared" si="76"/>
        <v>QFD7 → XT7</v>
      </c>
      <c r="GD28">
        <f t="shared" si="77"/>
        <v>1</v>
      </c>
      <c r="GE28">
        <f t="shared" si="78"/>
        <v>0</v>
      </c>
      <c r="GF28">
        <f t="shared" si="79"/>
        <v>1</v>
      </c>
      <c r="GG28" t="str">
        <f t="shared" si="80"/>
        <v/>
      </c>
      <c r="GH28" t="str">
        <f t="shared" si="81"/>
        <v/>
      </c>
      <c r="GI28" t="str">
        <f t="shared" si="82"/>
        <v/>
      </c>
      <c r="GJ28" t="str">
        <f t="shared" si="83"/>
        <v/>
      </c>
      <c r="GK28" t="str">
        <f>IF(D28="","",IFERROR(VLOOKUP(D28,УГО_спр,2,FALSE),IFERROR(VLOOKUP(AT28,УГО_спр,2,FALSE),IFERROR(VLOOKUP(LEFT(AT28,2),УГО_спр,2,FALSE),""))))</f>
        <v>Розетка</v>
      </c>
      <c r="GL28" t="str">
        <f>IF(D28="","",IF(OR(GK28="",GK28=0),"BOX",IFERROR(IF(VLOOKUP(GK28,УГО_блоки,3,FALSE)&amp;""&lt;&gt;"",VLOOKUP(GK28,УГО_блоки,3,FALSE),VLOOKUP(GK28,УГО_блоки,2,FALSE)),GK28)))</f>
        <v>SOCKET</v>
      </c>
      <c r="GM28">
        <f t="shared" si="84"/>
        <v>1</v>
      </c>
      <c r="GN28" t="str">
        <f>IF(EP28="","",IF(COUNTIF(EP$3:EP28,EP28)=1,MAX(GN$2:GN27)+1,""))</f>
        <v/>
      </c>
      <c r="GO28" t="str">
        <f>IF(AF28="","",IF(COUNTIF(AF$3:AF28,AF28)+COUNTIF(AG$2:AG27,AF28)+COUNTIF(AH$2:AH27,AF28)=1,MAX(GO$2:GQ27)+1,""))</f>
        <v/>
      </c>
      <c r="GP28" t="str">
        <f>IF(AG28="","",IF(COUNTIF(AF$3:AF28,AG28)+COUNTIF(AG$3:AG28,AG28)+COUNTIF(AH$2:AH27,AG28)=1,MAX(GO$2:GQ27,GO28)+1,""))</f>
        <v/>
      </c>
      <c r="GQ28" t="str">
        <f>IF(AH28="","",IF(COUNTIF(AF$3:AF28,AH28)+COUNTIF(AG$3:AG28,AH28)+COUNTIF(AH$3:AH28,AH28)=1,MAX(GO$2:GQ27,GO28,GP28)+1,""))</f>
        <v/>
      </c>
      <c r="GR28" t="str">
        <f t="shared" si="85"/>
        <v>3х2,5</v>
      </c>
      <c r="GS28" t="str">
        <f>IF(GR28="","",IF(COUNTIF(GR$3:GR28,GR28)=1,MAX(GS$2:GS27)+1,""))</f>
        <v/>
      </c>
      <c r="GT28" t="str">
        <f>IF(ES28="","",COUNTIF(ES$3:ES28,"?*"))</f>
        <v/>
      </c>
      <c r="GU28" t="str">
        <f>IF(OR(ES28="",EU28=""),"",IF(COUNTIFS(ES$3:ES28,"?*",EU$3:EU28,EU28)=1,MAX(GU$2:GU27)+1,""))</f>
        <v/>
      </c>
      <c r="GV28">
        <f t="shared" si="86"/>
        <v>0</v>
      </c>
      <c r="GW28">
        <f>IF(D28="","",COUNTIF(D$3:D28,"?*"))</f>
        <v>8</v>
      </c>
      <c r="GX28">
        <f>IF(EX28&lt;&gt;1,0,_xlfn.LET(_xlpm.k,MAX(IFERROR(--VLOOKUP(D28,УГО_спр,5,FALSE),0),IFERROR(--VLOOKUP(AT28,УГО_спр,5,FALSE),0),IFERROR(--VLOOKUP(LEFT(AT28,2),УГО_спр,5,FALSE),0)),IF(_xlpm.k&gt;0,_xlpm.k,IF(IFERROR(--LEFT(SUBSTITUTE(GR28,"x","х"),FIND("х",SUBSTITUTE(GR28,"x","х"))-1),3)&gt;3,Каталог!$S$9,1))))</f>
        <v>1</v>
      </c>
      <c r="GY28">
        <f t="shared" si="87"/>
        <v>0</v>
      </c>
    </row>
    <row r="29" spans="1:207" x14ac:dyDescent="0.3">
      <c r="A29" t="s">
        <v>206</v>
      </c>
      <c r="B29">
        <v>27</v>
      </c>
      <c r="C29" t="str">
        <f>IF(BD29="","",IF(BE29="вводной узел","узел ","")&amp;"л."&amp;(INT((BD29-1)/Столбцов_на_лист)+1)&amp;" / "&amp;(MOD(BD29-1,Столбцов_на_лист)+1))</f>
        <v>л.2 / 10</v>
      </c>
      <c r="D29" t="s">
        <v>698</v>
      </c>
      <c r="E29" s="133" t="str">
        <f t="shared" si="0"/>
        <v>Розеточная группа  Пом. №05</v>
      </c>
      <c r="G29">
        <v>0.36</v>
      </c>
      <c r="H29">
        <v>6</v>
      </c>
      <c r="O29">
        <v>2</v>
      </c>
      <c r="T29">
        <v>2</v>
      </c>
      <c r="AD29" t="s">
        <v>597</v>
      </c>
      <c r="AK29" t="s">
        <v>605</v>
      </c>
      <c r="AN29">
        <v>22.01</v>
      </c>
      <c r="AO29" t="s">
        <v>662</v>
      </c>
      <c r="AQ29" t="s">
        <v>663</v>
      </c>
      <c r="AR29" t="str">
        <f t="shared" si="1"/>
        <v/>
      </c>
      <c r="AS29" cm="1">
        <f t="array" ref="AS29">ROW()-ROW(Линии[#Headers])</f>
        <v>27</v>
      </c>
      <c r="AT29" s="6" t="str">
        <f t="shared" si="2"/>
        <v>R</v>
      </c>
      <c r="AU29" t="str">
        <f t="shared" si="3"/>
        <v>1.05.3</v>
      </c>
      <c r="AV29" t="str">
        <f t="shared" si="4"/>
        <v>1</v>
      </c>
      <c r="AW29" t="str">
        <f t="shared" si="5"/>
        <v>05.3</v>
      </c>
      <c r="AX29" t="str">
        <f t="shared" si="6"/>
        <v>05</v>
      </c>
      <c r="AY29" t="str">
        <f>IF(D29="","",IF(ISERROR(SEARCH(".",D29)),IFERROR(VLOOKUP(D29,Потребители_обозначение,2,FALSE)&amp;"",""),IFERROR(IF(VLOOKUP(AT29,Потребители_обозначение,4,FALSE)=1,VLOOKUP(AT29,Потребители_обозначение,2,FALSE)&amp;" "&amp;VLOOKUP(AV29,Этаж_обозначение,2,FALSE)&amp;" Пом. №"&amp;AX29,VLOOKUP(AT29,Потребители_обозначение,2,FALSE)&amp;" Шлейф №"&amp;AV29),IFERROR(VLOOKUP(D29,Потребители_обозначение,2,FALSE),""))))</f>
        <v>Розеточная группа  Пом. №05</v>
      </c>
      <c r="AZ29" t="str">
        <f t="shared" si="7"/>
        <v>Розеточная группа  Пом. №05</v>
      </c>
      <c r="BA29" t="str">
        <f>IF(F29&lt;&gt;"",F29,IF(AND(D29&lt;&gt;"",D29&lt;&gt;A29,ISNUMBER(_xlfn.XMATCH(D29,Щиты[Щит]))),D29,""))</f>
        <v/>
      </c>
      <c r="BB29">
        <f>IFERROR(_xlfn.XMATCH(A29,Щиты[Щит]),0)</f>
        <v>1</v>
      </c>
      <c r="BC29">
        <f>IFERROR(N(_xlfn.XLOOKUP(A29,Щиты[Щит],Щиты[Мест под вводной узел])),15)</f>
        <v>18</v>
      </c>
      <c r="BD29">
        <f t="shared" si="8"/>
        <v>27</v>
      </c>
      <c r="BE29" t="str">
        <f t="shared" si="9"/>
        <v>линии</v>
      </c>
      <c r="BF29" s="6">
        <f>IF(D29="","",IF(BA29&lt;&gt;"",IFERROR(_xlfn.XLOOKUP(BA29,Щиты[Щит],Щиты[Руст, кВт]),0),N(G29)))</f>
        <v>0.36</v>
      </c>
      <c r="BG29">
        <f>IF(J29&lt;&gt;"",J29,IF(D29="","",IFERROR(IF(VLOOKUP(AT29,Потребители_обозначение,8,FALSE)=0,"",VLOOKUP(AT29,Потребители_обозначение,8,FALSE)),"")))</f>
        <v>230</v>
      </c>
      <c r="BH29">
        <f>IF(I29&lt;&gt;"",I29,IF(D29="","",IFERROR(IF(VLOOKUP(AT29,Потребители_обозначение,9,FALSE)=0,"",VLOOKUP(AT29,Потребители_обозначение,9,FALSE)),"")))</f>
        <v>1</v>
      </c>
      <c r="BI29" t="str">
        <f>IF(U29&lt;&gt;"",U29,IF(D29="","",IFERROR(IF(VLOOKUP(AT29,Потребители_обозначение,6,FALSE)=0,"",VLOOKUP(AT29,Потребители_обозначение,6,FALSE)),"")))</f>
        <v>мс</v>
      </c>
      <c r="BJ29">
        <f>IF(V29&lt;&gt;"",V29,IF(D29="","",IFERROR(IF(VLOOKUP(AT29,Потребители_обозначение,7,FALSE)=0,"",VLOOKUP(AT29,Потребители_обозначение,7,FALSE)),"")))</f>
        <v>3</v>
      </c>
      <c r="BK29">
        <f>IF(W29&lt;&gt;"",W29,IF(D29="","",IFERROR(IF(VLOOKUP(AT29,Потребители_обозначение,10,FALSE)=0,"",VLOOKUP(AT29,Потребители_обозначение,10,FALSE)),"")))</f>
        <v>2.5</v>
      </c>
      <c r="BL29">
        <f>IFERROR(VLOOKUP(AT29,Потребители_обозначение,5,FALSE),0)</f>
        <v>1</v>
      </c>
      <c r="BM29" s="6" cm="1">
        <f t="array" ref="BM29">IF(D29="","",IF(BA29&lt;&gt;"",IFERROR(_xlfn.XLOOKUP(BA29,Щиты[Щит],Щиты[cos φ]),0.95),IF(ISNUMBER(M29),M29,IFERROR(IF(BL29=2,_xlfn.IFS(BH29=3,VLOOKUP(BF29,Справочная_двигатели,8,FALSE),BH29=1,VLOOKUP(BF29,Справочная_двигатели,10,TRUE)),IF(AND(Методика="нормы 2026",CN29="Сил"),0.8,0.95)),0.95))))</f>
        <v>0.95</v>
      </c>
      <c r="BN29" s="6" cm="1">
        <f t="array" ref="BN29">IF(D29="","",IF(BA29&lt;&gt;"",IFERROR(_xlfn.XLOOKUP(BA29,Щиты[Щит],Щиты[Iр, А]),""),IFERROR(_xlfn.IFS(BH29=1,BF29/((Uн_лин/SQRT(3))*BM29),BH29=3,BF29/(SQRT(3)*Uн_лин*BM29)),"")))</f>
        <v>1.6408902387494626</v>
      </c>
      <c r="BO29">
        <f>IF(D29="","",IF(N(X29)=0,IFERROR(VLOOKUP(BN29,Автомат_номиналы,2,TRUE),""),X29))</f>
        <v>6</v>
      </c>
      <c r="BP29">
        <f t="shared" si="10"/>
        <v>1</v>
      </c>
      <c r="BQ29">
        <f>IF(ISNUMBER(Y29),Y29,К_прокл)</f>
        <v>1</v>
      </c>
      <c r="BR29">
        <f t="shared" si="11"/>
        <v>2</v>
      </c>
      <c r="BS29" cm="1">
        <f t="array" ref="BS29">IF(D29="","",IF(N(BK29)&lt;&gt;0,BK29,IFERROR(_xlfn.LET(_xlpm.need,BO29/(BP29*BQ29),_xlpm.t,CHOOSE(BR29,Iдоп_1ж,Iдоп_2ж,Iдоп_3ж),_xlpm.k,_xlfn.XMATCH(_xlpm.need,_xlpm.t,1),IF(ISNA(_xlpm.k),"Не исп",INDEX(Iдоп_S,_xlpm.k))),"Не исп")))</f>
        <v>2.5</v>
      </c>
      <c r="BT29">
        <f>IFERROR(VLOOKUP(BS29,Кабель_сопротивление,3,FALSE),"")</f>
        <v>2.2499999999999999E-2</v>
      </c>
      <c r="BU29">
        <f>IFERROR(VLOOKUP(BS29,Кабель_сопротивление,2,FALSE),"")</f>
        <v>0.1</v>
      </c>
      <c r="BV29">
        <f t="shared" si="12"/>
        <v>23</v>
      </c>
      <c r="BW29" s="6">
        <f>IF(D29="","",IFERROR(IF(VLOOKUP(AT29,Потребители_обозначение,4,FALSE)=1,VLOOKUP(AT29,Потребители_обозначение,3,FALSE)*(H29*2-1)+BV29+VLOOKUP(AV29,Этаж_обозначение,3,FALSE)+VLOOKUP(AV29,Этаж_обозначение,4,FALSE),VLOOKUP(AT29,Потребители_обозначение,3,FALSE)*(H29*2-1)+BV29),BV29))</f>
        <v>45</v>
      </c>
      <c r="BX29">
        <f t="shared" si="13"/>
        <v>0</v>
      </c>
      <c r="BY29">
        <f t="shared" si="14"/>
        <v>41</v>
      </c>
      <c r="BZ29">
        <f t="shared" si="15"/>
        <v>2</v>
      </c>
      <c r="CA29">
        <f t="shared" si="16"/>
        <v>0.31</v>
      </c>
      <c r="CB29">
        <f t="shared" si="17"/>
        <v>1.2672431224838223</v>
      </c>
      <c r="CC29" s="6">
        <f>IFERROR(ROUNDUP(CB29/((Uн_лин/SQRT(3))*1000)*100,2),"")</f>
        <v>0.55000000000000004</v>
      </c>
      <c r="CD29" s="6">
        <f>IF(ISNUMBER(CC29),CC29+IFERROR(_xlfn.XLOOKUP(A29,Щиты[Щит],Щиты[ΔU до шин, %]),0),"")</f>
        <v>0.55000000000000004</v>
      </c>
      <c r="CE29" s="6">
        <f>IF(D29="","",IF(IFERROR(VLOOKUP(AT29,УГО_спр,2,FALSE),"")="Светильник",3,4)+IF(Методика="нормы 2026",MIN(0.5,MAX(0,N(BW29)-100)*0.005),0))</f>
        <v>4</v>
      </c>
      <c r="CF29" t="str">
        <f>IFERROR(VLOOKUP(BI29,Кабель_обозначение,2,FALSE),"")</f>
        <v>ВВГнг(А)-LS</v>
      </c>
      <c r="CG29" t="str">
        <f>IFERROR(IF(VLOOKUP(BI29,Кабель_обозначение,3,FALSE)=1,CF29&amp;" ("&amp;BJ29&amp;"х"&amp;BS29&amp;")",CF29),"")</f>
        <v>ВВГнг(А)-LS (3х2,5)</v>
      </c>
      <c r="CH29" t="str">
        <f t="shared" si="18"/>
        <v>ВВГнг(А)-LS (3х2,5)
L=45-0,55%</v>
      </c>
      <c r="CI29">
        <f>IFERROR(2*ρкз_Cu*BW29/BS29,"")</f>
        <v>0.94679999999999997</v>
      </c>
      <c r="CJ29">
        <f t="shared" si="19"/>
        <v>0.31500000000000006</v>
      </c>
      <c r="CK29" s="6" t="str">
        <f>IFERROR(IF(OR(D29="",NOT(ISNUMBER(BS29)),N(BW29)=0),"",_xlfn.XLOOKUP(A29,Щиты[Щит],Щиты[Zпетли на шинах, Ом])+CI29),"")</f>
        <v/>
      </c>
      <c r="CL29" s="6" t="str">
        <f>IF(ISNUMBER(CK29),c_min*(Uн_лин*1000/SQRT(3))/CK29,"")</f>
        <v/>
      </c>
      <c r="CM29" s="6" t="str">
        <f>IFERROR(IF(OR(D29="",NOT(ISNUMBER(BS29))),"",1.05*(Uн_лин*1000/SQRT(3))/(_xlfn.XLOOKUP(A29,Щиты[Щит],Щиты[Zmax на шинах, Ом])+CJ29)/1000),"")</f>
        <v/>
      </c>
      <c r="CN29" s="6" t="str">
        <f>IF(D29="","",IF(BA29&lt;&gt;"","Щит",IF(K29&lt;&gt;"",K29,IF(ISNUMBER(L29),"Сил",IF(IFERROR(_xlfn.XLOOKUP(AT29,Коды_код,Коды_группа)&amp;"","")="","Быт",_xlfn.XLOOKUP(AT29,Коды_код,Коды_группа)&amp;"")))))</f>
        <v>Быт</v>
      </c>
      <c r="CO29" s="6">
        <f>IF(CN29="Щит","щит",IF(CN29="","",IF(CN29="Быт",IFERROR(_xlfn.XLOOKUP(A29,Щиты[Щит],Щиты[Кс быт]),1),IF(CN29="Сил",IF(ISNUMBER(L29),L29,IF(Методика="нормы 2026",IFERROR(_xlfn.XLOOKUP(A29,Щиты[Щит],Щиты[Кс силовых (табл. 7.5)]),1),1)),IF(OR(CN29="Пост",CN29="Отоп"),1,IF(CN29="ВНГ",0.7,0))))))</f>
        <v>0.8</v>
      </c>
      <c r="CP29">
        <f t="shared" si="20"/>
        <v>1</v>
      </c>
      <c r="CQ29">
        <f t="shared" si="21"/>
        <v>0.36</v>
      </c>
      <c r="CR29">
        <f t="shared" si="22"/>
        <v>0.36</v>
      </c>
      <c r="CS29">
        <f t="shared" si="23"/>
        <v>0</v>
      </c>
      <c r="CT29">
        <f t="shared" si="24"/>
        <v>0</v>
      </c>
      <c r="CU29">
        <f t="shared" si="25"/>
        <v>0</v>
      </c>
      <c r="CV29">
        <f t="shared" si="26"/>
        <v>0</v>
      </c>
      <c r="CW29">
        <f t="shared" si="27"/>
        <v>0.36</v>
      </c>
      <c r="CX29">
        <f t="shared" si="28"/>
        <v>0.34199999999999997</v>
      </c>
      <c r="CY29">
        <f t="shared" si="29"/>
        <v>2</v>
      </c>
      <c r="CZ29" t="str">
        <f t="shared" si="30"/>
        <v>L2</v>
      </c>
      <c r="DA29" cm="1">
        <f t="array" ref="DA29">IFERROR(IF(BL29=2,_xlfn.IFS(BH29=3,VLOOKUP(BF29,Справочная_двигатели,3,FALSE),BH29=1,VLOOKUP(BF29,Справочная_двигатели,5,TRUE)),0),0)</f>
        <v>0</v>
      </c>
      <c r="DB29">
        <f>IFERROR(IF(BL29=3,VLOOKUP(BF29,Справочная_ЛЭД,2,TRUE),0),0)</f>
        <v>0</v>
      </c>
      <c r="DC29" s="6">
        <f t="shared" si="31"/>
        <v>0</v>
      </c>
      <c r="DD29" t="str">
        <f t="shared" si="32"/>
        <v>L2</v>
      </c>
      <c r="DE29" t="str" cm="1">
        <f t="array" ref="DE29">IF(D29="","",IFERROR(INDEX({"I особая","I","II","III"},MATCH(TRIM(AA29&amp;""),{"I особая","I","II","III"},0)),"III"))</f>
        <v>III</v>
      </c>
      <c r="DF29" t="str">
        <f>IF(D29="","",IF(TRIM(AB29&amp;"")&lt;&gt;"",IF(LOWER(TRIM(AB29&amp;""))="да","да","нет"),IF(IFERROR(_xlfn.XLOOKUP(AT29,Коды_код,Коды_пожарная),"")="да","да","нет")))</f>
        <v>нет</v>
      </c>
      <c r="DG29" t="str">
        <f t="shared" si="33"/>
        <v/>
      </c>
      <c r="DH29" t="str">
        <f t="shared" si="34"/>
        <v>основная</v>
      </c>
      <c r="DI29">
        <f t="shared" si="35"/>
        <v>1</v>
      </c>
      <c r="DJ29" t="str" cm="1">
        <f t="array" ref="DJ29">IF(D29="","",_xlfn.LET(_xlpm.t,IFERROR(_xlfn.XLOOKUP(1,(Шины[Шина]=DH29)*(((Шины[Щит]=A29)+(Шины[Щит]=""))&gt;0),Шины[Тип]),"")&amp;"",IF(_xlpm.t&lt;&gt;"",_xlpm.t,IF(ISNUMBER(SEARCH("ИБП",DH29)),"ИБП",IF(ISNUMBER(SEARCH("ДГУ",DH29)),"ДГУ","Ввод "&amp;DI29)))))</f>
        <v>Ввод 1</v>
      </c>
      <c r="DK29" t="str">
        <f t="shared" si="36"/>
        <v>Ввод 1</v>
      </c>
      <c r="DL29" t="str">
        <f>IF(D29="","",IF(OR(DJ29="ИБП",DJ29="ДГУ"),"I особая",IF(DJ29="Одиночная","III",_xlfn.XLOOKUP(A29,Щиты[Щит],Щиты[Категория шины «Ввод»],"III"))))</f>
        <v>III</v>
      </c>
      <c r="DM29">
        <f>IF(D29="",0,IFERROR(MATCH(DE29,{"III","II","I","I особая"},0),1))</f>
        <v>1</v>
      </c>
      <c r="DN29">
        <f t="shared" si="37"/>
        <v>1</v>
      </c>
      <c r="DO29" t="str">
        <f>IF(D29="","",IF(DM29&gt;IFERROR(MATCH(DL29,{"III","II","I","I особая"},0),1),"НЕ ОБЕСПЕЧЕНА","ОК"))</f>
        <v>ОК</v>
      </c>
      <c r="DP29" t="str">
        <f>IF(A29="","",_xlfn.XLOOKUP(A29,Щиты[Щит],Щиты[Путь],""))</f>
        <v>|ЩР|</v>
      </c>
      <c r="DQ29" t="str">
        <f>IF(D29="","",IF(Z29&lt;&gt;"",Z29,IF(IFERROR(_xlfn.XLOOKUP(AT29,Коды_код,Коды_вид)&amp;"","")="","Прочее",_xlfn.XLOOKUP(AT29,Коды_код,Коды_вид)&amp;"")))</f>
        <v>Розеточная сеть и бытовые приборы</v>
      </c>
      <c r="DR29">
        <f>IF(BD29="","",INT((BD29-1)/Столбцов_на_лист)+1)</f>
        <v>2</v>
      </c>
      <c r="DS29" t="str">
        <f t="shared" si="38"/>
        <v>ВВГнг(А)-LS (3х2,5) L=45-0,55%</v>
      </c>
      <c r="DT29">
        <f t="shared" si="39"/>
        <v>0.36</v>
      </c>
      <c r="DU29">
        <f t="shared" si="40"/>
        <v>1.65</v>
      </c>
      <c r="DV29">
        <f t="shared" si="41"/>
        <v>1</v>
      </c>
      <c r="DW29">
        <f>IF(AT29="",0,_xlfn.LET(_xlpm.v,IFERROR(VLOOKUP(D29,УГО_спр,3,FALSE),IFERROR(VLOOKUP(AT29,УГО_спр,3,FALSE),IFERROR(VLOOKUP(LEFT(AT29,2),УГО_спр,3,FALSE),""))),IF(_xlpm.v="да",30,IF(ISNUMBER(_xlpm.v),_xlpm.v,0))))</f>
        <v>30</v>
      </c>
      <c r="DX29">
        <f t="shared" si="42"/>
        <v>0</v>
      </c>
      <c r="DY29">
        <f>IF(BD29="","",IF(AD29&lt;&gt;"",COUNTIFS(A$3:A29,A29,AD$3:AD29,"?*"),IF(OR(OR(AS29=1,A29&lt;&gt;A28),AL29="вручную"),"",IF(AS29=1,"",DZ28))))</f>
        <v>8</v>
      </c>
      <c r="DZ29">
        <f t="shared" si="43"/>
        <v>8</v>
      </c>
      <c r="EA29">
        <f>IF(D29="",0,MAX(IFERROR(--X29,0),IFERROR(--VLOOKUP(D29,УГО_спр,4,FALSE),IFERROR(--VLOOKUP(AT29,УГО_спр,4,FALSE),IFERROR(--VLOOKUP(LEFT(AT29,2),УГО_спр,4,FALSE),0)))))</f>
        <v>16</v>
      </c>
      <c r="EB29">
        <f>IF(D29="","",IFERROR(LOOKUP(INDEX(CHOOSE(BR29,Iдоп_1ж,Iдоп_2ж,Iдоп_3ж),MATCH(BS29,Iдоп_S,0))*BP29*BQ29,{6,10,16,20,25,32,40,50,63,80,100,125,160,200,250,315,400,500,630}),""))</f>
        <v>25</v>
      </c>
      <c r="EC29">
        <f>IF(AD29="","",SUMIFS(Линии[_Ток схемы],Линии[_гр.],DY29,Линии[Щит],A29,Линии[_в кабель выше],0))</f>
        <v>1.65</v>
      </c>
      <c r="ED29">
        <f>IF(AD29="","",IFERROR(VLOOKUP(EC29,Автомат_номиналы,2,TRUE),""))</f>
        <v>6</v>
      </c>
      <c r="EE29">
        <f>IF(AD29="","",MAX(N(ED29),_xlfn.MAXIFS(Линии[_мин. по типу],Линии[_гр.],DY29,Линии[Щит],A29)))</f>
        <v>16</v>
      </c>
      <c r="EF29">
        <f>IF(AD29="","",_xlfn.MINIFS(Линии[_макс. автомат по кабелю],Линии[_гр.],DY29,Линии[Щит],A29))</f>
        <v>25</v>
      </c>
      <c r="EG29">
        <f>IF(AD29="","",MAX(1,_xlfn.MAXIFS(Линии[_фаз],Линии[_гр.],DY29,Линии[Щит],A29)))</f>
        <v>1</v>
      </c>
      <c r="EH29">
        <f>IF(AD29="","",IF(AND(AD29&lt;&gt;"авто",AD29&lt;&gt;"+"),IF(ISNUMBER(SEARCH("мА",AD29)),IFERROR(--TRIM(RIGHT(SUBSTITUTE(LEFT(AD29,SEARCH("мА",AD29)-1)," ",REPT(" ",9)),6)),30),0),IF(AE29="нет",0,IF(ISNUMBER(AE29),AE29,IF(AE29="да",30,_xlfn.MINIFS(Линии[_дифзащита по коду, мА],Линии[_гр.],DY29,Линии[Щит],A29,Линии[_дифзащита по коду, мА],"&gt;0"))))))</f>
        <v>30</v>
      </c>
      <c r="EI29">
        <f t="shared" si="44"/>
        <v>1</v>
      </c>
      <c r="EJ29" t="str">
        <f t="shared" si="45"/>
        <v>QFD8</v>
      </c>
      <c r="EK29" t="str">
        <f t="shared" si="46"/>
        <v>QFD8</v>
      </c>
      <c r="EL29" t="str">
        <f t="shared" si="47"/>
        <v/>
      </c>
      <c r="EM29">
        <f t="shared" si="48"/>
        <v>0</v>
      </c>
      <c r="EN29">
        <f>IF(AD29="","",IF(EM29=1,MAX(EE29,Мин_автомат_БП),EE29))</f>
        <v>16</v>
      </c>
      <c r="EO29" t="str">
        <f t="shared" si="49"/>
        <v>2P</v>
      </c>
      <c r="EP29" t="str">
        <f t="shared" si="50"/>
        <v>2P С16А 30мА</v>
      </c>
      <c r="EQ29">
        <f t="shared" si="51"/>
        <v>16</v>
      </c>
      <c r="ER29" t="str">
        <f>IF(OR(AI29="",AI29="-"),"",IFERROR(VLOOKUP(AI29,Модули_спр,2,FALSE),"R"))</f>
        <v/>
      </c>
      <c r="ES29" t="str">
        <f>IF(ER29="","",ER29&amp;"."&amp;COUNTIFS(A$3:A29,A29,ER$3:ER29,ER29))</f>
        <v/>
      </c>
      <c r="ET29" t="str">
        <f t="shared" si="52"/>
        <v/>
      </c>
      <c r="EU29" t="str">
        <f t="shared" si="53"/>
        <v/>
      </c>
      <c r="EV29" t="str">
        <f t="shared" si="54"/>
        <v/>
      </c>
      <c r="EW29" t="str">
        <f t="shared" si="55"/>
        <v/>
      </c>
      <c r="EX29">
        <f t="shared" si="56"/>
        <v>1</v>
      </c>
      <c r="EY29" t="str">
        <f>IF(AK29="нет","",IF(AK29&lt;&gt;"",AK29,IF(EX29=1,"XT"&amp;COUNTIFS(A$3:A29,A29,EX$3:EX29,1),"")))</f>
        <v>XT8</v>
      </c>
      <c r="EZ29" t="str">
        <f t="shared" si="57"/>
        <v>QFD8</v>
      </c>
      <c r="FA29" t="str">
        <f t="shared" si="58"/>
        <v/>
      </c>
      <c r="FB29" t="str">
        <f t="shared" si="59"/>
        <v>ok</v>
      </c>
      <c r="FC29" t="str">
        <f>IF(OR(EV29="",ET29=""),"",IF(EV29&gt;IFERROR(VLOOKUP(EU29,Модули_спр,3,FALSE),99),"ЛИШНИЙ КАНАЛ",IF(AND(AJ29&lt;&gt;"=",COUNTIFS(Линии[_модуль гр.],ET29,Линии[Канал (итог)],EV29,Линии[Канал],"&lt;&gt;=",Линии[Щит],A29)&gt;1),"ДУБЛЬ КАНАЛА","")))</f>
        <v/>
      </c>
      <c r="FD29">
        <f t="shared" si="60"/>
        <v>16</v>
      </c>
      <c r="FE29" t="str">
        <f t="shared" si="61"/>
        <v>2P С16А 30мА</v>
      </c>
      <c r="FF29">
        <f t="shared" si="62"/>
        <v>1</v>
      </c>
      <c r="FG29">
        <f t="shared" si="63"/>
        <v>30</v>
      </c>
      <c r="FH29" s="6" t="str">
        <f t="shared" si="64"/>
        <v/>
      </c>
      <c r="FI29">
        <f t="shared" si="65"/>
        <v>10</v>
      </c>
      <c r="FJ29" t="str">
        <f t="shared" si="66"/>
        <v/>
      </c>
      <c r="FK29" t="str">
        <f>IF(AND(D29="",EZ29=""),"",_xlfn.TEXTJOIN("; ",TRUE,IF(AND(D29&lt;&gt;"",DD29=""),"нет фазы",""),IF(AND(D29&lt;&gt;"",N(DT29)=0,CN29&lt;&gt;"Нет"),"нет мощности",""),IF(AND(EY29&lt;&gt;"",COUNTIFS(Линии[Щит],A29,Линии[Клемма (итог)],EY29)&gt;1),"дубль клеммы "&amp;EY29,""),IF(AND(FB29&lt;&gt;"",FB29&lt;&gt;"ok"),FB29,""),IF(FC29&lt;&gt;"",FC29,""),IF(AND(ISNUMBER(SEARCH("(5х",DS29)),N(DV29)=1),"5 жил на 1 фазе",""),IF(AND(AT29="R",AD29&lt;&gt;"",OR(N(EH29)=0,N(EH29)&gt;30)),"розетка без дифзащиты до 30 мА",""),IFERROR(IF(AND(ISNUMBER(CD29),CD29&gt;CE29),"потери "&amp;FIXED(CD29,1)&amp;" % &gt; "&amp;CE29&amp;" %",""),""),IFERROR(IF(LEFT(FJ29,4)="мало","Iкз мало — отключение &gt; 0,4 с",""),""),IF(AND(D29&lt;&gt;"",BD29=""),"не на схеме","")))</f>
        <v/>
      </c>
      <c r="FL29" s="6">
        <f>IF(AD29="","",_xlfn.LET(_xlpm.t,IFERROR(_xlfn.XLOOKUP(EP29,Каталог!$U$4:$U$500,Каталог!$G$4:$G$500),""),_xlpm.k,SEARCH("кА",_xlpm.t),IFERROR(--TRIM(RIGHT(SUBSTITUTE(MID(_xlpm.t,MAX(1,_xlpm.k-4),_xlpm.k-MAX(1,_xlpm.k-4))," ",REPT(" ",9)),5)),"")))</f>
        <v>6</v>
      </c>
      <c r="FM29" t="str">
        <f>IF(OR(FL29="",AD29=""),"",IF(_xlfn.XLOOKUP(A29,Щиты[Щит],Щиты[Iкз max на шинах, кА],"")="","",IF(FL29&lt;_xlfn.XLOOKUP(A29,Щиты[Щит],Щиты[Iкз max на шинах, кА]),"Icu "&amp;FL29&amp;" кА &lt; Iкз max","ok")))</f>
        <v/>
      </c>
      <c r="FN29" t="str">
        <f t="shared" si="67"/>
        <v>QFD8|XT8</v>
      </c>
      <c r="FO29" t="str">
        <f t="shared" si="68"/>
        <v>QFD8|XT8|кабель ВВГнг(А)-LS (3х2,5) → Розеточная группа  Пом. №05</v>
      </c>
      <c r="FP29" t="str" cm="1">
        <f t="array" ref="FP29">IF(FO29="","",_xlfn.LET(_xlpm.nd,_xlfn.TEXTSPLIT(FO29,"|"),IF(COLUMNS(_xlpm.nd)&gt;1,A29&amp;"¦"&amp;INDEX(_xlpm.nd,1)&amp;"¦"&amp;INDEX(_xlpm.nd,2),"")))</f>
        <v>ЩР¦QFD8¦XT8</v>
      </c>
      <c r="FQ29" t="str">
        <f t="shared" si="69"/>
        <v>R.1.05.3¦Розеточная группа  Пом. №05</v>
      </c>
      <c r="FR29" t="str" cm="1">
        <f t="array" ref="FR29">IF(FO29="","",_xlfn.LET(_xlpm.nd,_xlfn.TEXTSPLIT(FO29,"|"),IF(COLUMNS(_xlpm.nd)&gt;2,A29&amp;"¦"&amp;INDEX(_xlpm.nd,2)&amp;"¦"&amp;INDEX(_xlpm.nd,3),"")))</f>
        <v>ЩР¦XT8¦кабель ВВГнг(А)-LS (3х2,5) → Розеточная группа  Пом. №05</v>
      </c>
      <c r="FS29" t="str">
        <f t="shared" si="70"/>
        <v>R.1.05.3¦Розеточная группа  Пом. №05</v>
      </c>
      <c r="FT29" t="str" cm="1">
        <f t="array" ref="FT29">IF(FO29="","",_xlfn.LET(_xlpm.nd,_xlfn.TEXTSPLIT(FO29,"|"),IF(COLUMNS(_xlpm.nd)&gt;3,A29&amp;"¦"&amp;INDEX(_xlpm.nd,3)&amp;"¦"&amp;INDEX(_xlpm.nd,4),"")))</f>
        <v/>
      </c>
      <c r="FU29" t="str">
        <f t="shared" si="71"/>
        <v/>
      </c>
      <c r="FV29" t="str" cm="1">
        <f t="array" ref="FV29">IF(FO29="","",_xlfn.LET(_xlpm.nd,_xlfn.TEXTSPLIT(FO29,"|"),IF(COLUMNS(_xlpm.nd)&gt;4,A29&amp;"¦"&amp;INDEX(_xlpm.nd,4)&amp;"¦"&amp;INDEX(_xlpm.nd,5),"")))</f>
        <v/>
      </c>
      <c r="FW29" t="str">
        <f t="shared" si="72"/>
        <v/>
      </c>
      <c r="FX29" t="str" cm="1">
        <f t="array" ref="FX29">IF(FO29="","",_xlfn.LET(_xlpm.nd,_xlfn.TEXTSPLIT(FO29,"|"),IF(COLUMNS(_xlpm.nd)&gt;5,A29&amp;"¦"&amp;INDEX(_xlpm.nd,5)&amp;"¦"&amp;INDEX(_xlpm.nd,6),"")))</f>
        <v/>
      </c>
      <c r="FY29" t="str">
        <f t="shared" si="73"/>
        <v/>
      </c>
      <c r="FZ29" t="str" cm="1">
        <f t="array" ref="FZ29">IF(FO29="","",_xlfn.LET(_xlpm.nd,_xlfn.TEXTSPLIT(FO29,"|"),IF(COLUMNS(_xlpm.nd)&gt;6,A29&amp;"¦"&amp;INDEX(_xlpm.nd,6)&amp;"¦"&amp;INDEX(_xlpm.nd,7),"")))</f>
        <v/>
      </c>
      <c r="GA29" t="str">
        <f t="shared" si="74"/>
        <v/>
      </c>
      <c r="GB29" t="str">
        <f t="shared" si="75"/>
        <v/>
      </c>
      <c r="GC29" t="str">
        <f t="shared" si="76"/>
        <v>QFD8 → XT8</v>
      </c>
      <c r="GD29">
        <f t="shared" si="77"/>
        <v>1</v>
      </c>
      <c r="GE29">
        <f t="shared" si="78"/>
        <v>0</v>
      </c>
      <c r="GF29">
        <f t="shared" si="79"/>
        <v>1</v>
      </c>
      <c r="GG29" t="str">
        <f t="shared" si="80"/>
        <v/>
      </c>
      <c r="GH29" t="str">
        <f t="shared" si="81"/>
        <v/>
      </c>
      <c r="GI29" t="str">
        <f t="shared" si="82"/>
        <v/>
      </c>
      <c r="GJ29" t="str">
        <f t="shared" si="83"/>
        <v/>
      </c>
      <c r="GK29" t="str">
        <f>IF(D29="","",IFERROR(VLOOKUP(D29,УГО_спр,2,FALSE),IFERROR(VLOOKUP(AT29,УГО_спр,2,FALSE),IFERROR(VLOOKUP(LEFT(AT29,2),УГО_спр,2,FALSE),""))))</f>
        <v>Розетка</v>
      </c>
      <c r="GL29" t="str">
        <f>IF(D29="","",IF(OR(GK29="",GK29=0),"BOX",IFERROR(IF(VLOOKUP(GK29,УГО_блоки,3,FALSE)&amp;""&lt;&gt;"",VLOOKUP(GK29,УГО_блоки,3,FALSE),VLOOKUP(GK29,УГО_блоки,2,FALSE)),GK29)))</f>
        <v>SOCKET</v>
      </c>
      <c r="GM29">
        <f t="shared" si="84"/>
        <v>1</v>
      </c>
      <c r="GN29" t="str">
        <f>IF(EP29="","",IF(COUNTIF(EP$3:EP29,EP29)=1,MAX(GN$2:GN28)+1,""))</f>
        <v/>
      </c>
      <c r="GO29" t="str">
        <f>IF(AF29="","",IF(COUNTIF(AF$3:AF29,AF29)+COUNTIF(AG$2:AG28,AF29)+COUNTIF(AH$2:AH28,AF29)=1,MAX(GO$2:GQ28)+1,""))</f>
        <v/>
      </c>
      <c r="GP29" t="str">
        <f>IF(AG29="","",IF(COUNTIF(AF$3:AF29,AG29)+COUNTIF(AG$3:AG29,AG29)+COUNTIF(AH$2:AH28,AG29)=1,MAX(GO$2:GQ28,GO29)+1,""))</f>
        <v/>
      </c>
      <c r="GQ29" t="str">
        <f>IF(AH29="","",IF(COUNTIF(AF$3:AF29,AH29)+COUNTIF(AG$3:AG29,AH29)+COUNTIF(AH$3:AH29,AH29)=1,MAX(GO$2:GQ28,GO29,GP29)+1,""))</f>
        <v/>
      </c>
      <c r="GR29" t="str">
        <f t="shared" si="85"/>
        <v>3х2,5</v>
      </c>
      <c r="GS29" t="str">
        <f>IF(GR29="","",IF(COUNTIF(GR$3:GR29,GR29)=1,MAX(GS$2:GS28)+1,""))</f>
        <v/>
      </c>
      <c r="GT29" t="str">
        <f>IF(ES29="","",COUNTIF(ES$3:ES29,"?*"))</f>
        <v/>
      </c>
      <c r="GU29" t="str">
        <f>IF(OR(ES29="",EU29=""),"",IF(COUNTIFS(ES$3:ES29,"?*",EU$3:EU29,EU29)=1,MAX(GU$2:GU28)+1,""))</f>
        <v/>
      </c>
      <c r="GV29">
        <f t="shared" si="86"/>
        <v>0</v>
      </c>
      <c r="GW29">
        <f>IF(D29="","",COUNTIF(D$3:D29,"?*"))</f>
        <v>9</v>
      </c>
      <c r="GX29">
        <f>IF(EX29&lt;&gt;1,0,_xlfn.LET(_xlpm.k,MAX(IFERROR(--VLOOKUP(D29,УГО_спр,5,FALSE),0),IFERROR(--VLOOKUP(AT29,УГО_спр,5,FALSE),0),IFERROR(--VLOOKUP(LEFT(AT29,2),УГО_спр,5,FALSE),0)),IF(_xlpm.k&gt;0,_xlpm.k,IF(IFERROR(--LEFT(SUBSTITUTE(GR29,"x","х"),FIND("х",SUBSTITUTE(GR29,"x","х"))-1),3)&gt;3,Каталог!$S$9,1))))</f>
        <v>1</v>
      </c>
      <c r="GY29">
        <f t="shared" si="87"/>
        <v>0</v>
      </c>
    </row>
    <row r="30" spans="1:207" x14ac:dyDescent="0.3">
      <c r="A30" t="s">
        <v>206</v>
      </c>
      <c r="B30">
        <v>28</v>
      </c>
      <c r="C30" t="str">
        <f>IF(BD30="","",IF(BE30="вводной узел","узел ","")&amp;"л."&amp;(INT((BD30-1)/Столбцов_на_лист)+1)&amp;" / "&amp;(MOD(BD30-1,Столбцов_на_лист)+1))</f>
        <v>л.2 / 11</v>
      </c>
      <c r="D30" t="s">
        <v>697</v>
      </c>
      <c r="E30" s="133" t="s">
        <v>755</v>
      </c>
      <c r="G30">
        <v>0.06</v>
      </c>
      <c r="H30">
        <v>1</v>
      </c>
      <c r="O30">
        <v>3</v>
      </c>
      <c r="T30">
        <v>2</v>
      </c>
      <c r="AD30" t="s">
        <v>597</v>
      </c>
      <c r="AK30" t="s">
        <v>606</v>
      </c>
      <c r="AN30">
        <v>15.22</v>
      </c>
      <c r="AO30" t="s">
        <v>660</v>
      </c>
      <c r="AQ30" t="s">
        <v>661</v>
      </c>
      <c r="AR30" t="str">
        <f t="shared" si="1"/>
        <v/>
      </c>
      <c r="AS30" cm="1">
        <f t="array" ref="AS30">ROW()-ROW(Линии[#Headers])</f>
        <v>28</v>
      </c>
      <c r="AT30" s="6" t="str">
        <f t="shared" si="2"/>
        <v>R</v>
      </c>
      <c r="AU30" t="str">
        <f t="shared" si="3"/>
        <v>1.05.4</v>
      </c>
      <c r="AV30" t="str">
        <f t="shared" si="4"/>
        <v>1</v>
      </c>
      <c r="AW30" t="str">
        <f t="shared" si="5"/>
        <v>05.4</v>
      </c>
      <c r="AX30" t="str">
        <f t="shared" si="6"/>
        <v>05</v>
      </c>
      <c r="AY30" t="str">
        <f>IF(D30="","",IF(ISERROR(SEARCH(".",D30)),IFERROR(VLOOKUP(D30,Потребители_обозначение,2,FALSE)&amp;"",""),IFERROR(IF(VLOOKUP(AT30,Потребители_обозначение,4,FALSE)=1,VLOOKUP(AT30,Потребители_обозначение,2,FALSE)&amp;" "&amp;VLOOKUP(AV30,Этаж_обозначение,2,FALSE)&amp;" Пом. №"&amp;AX30,VLOOKUP(AT30,Потребители_обозначение,2,FALSE)&amp;" Шлейф №"&amp;AV30),IFERROR(VLOOKUP(D30,Потребители_обозначение,2,FALSE),""))))</f>
        <v>Розеточная группа  Пом. №05</v>
      </c>
      <c r="AZ30" t="str">
        <f t="shared" si="7"/>
        <v>Розеточная группа  Пом. №05 Варочная поверхность</v>
      </c>
      <c r="BA30" t="str">
        <f>IF(F30&lt;&gt;"",F30,IF(AND(D30&lt;&gt;"",D30&lt;&gt;A30,ISNUMBER(_xlfn.XMATCH(D30,Щиты[Щит]))),D30,""))</f>
        <v/>
      </c>
      <c r="BB30">
        <f>IFERROR(_xlfn.XMATCH(A30,Щиты[Щит]),0)</f>
        <v>1</v>
      </c>
      <c r="BC30">
        <f>IFERROR(N(_xlfn.XLOOKUP(A30,Щиты[Щит],Щиты[Мест под вводной узел])),15)</f>
        <v>18</v>
      </c>
      <c r="BD30">
        <f t="shared" si="8"/>
        <v>28</v>
      </c>
      <c r="BE30" t="str">
        <f t="shared" si="9"/>
        <v>линии</v>
      </c>
      <c r="BF30" s="6">
        <f>IF(D30="","",IF(BA30&lt;&gt;"",IFERROR(_xlfn.XLOOKUP(BA30,Щиты[Щит],Щиты[Руст, кВт]),0),N(G30)))</f>
        <v>0.06</v>
      </c>
      <c r="BG30">
        <f>IF(J30&lt;&gt;"",J30,IF(D30="","",IFERROR(IF(VLOOKUP(AT30,Потребители_обозначение,8,FALSE)=0,"",VLOOKUP(AT30,Потребители_обозначение,8,FALSE)),"")))</f>
        <v>230</v>
      </c>
      <c r="BH30">
        <f>IF(I30&lt;&gt;"",I30,IF(D30="","",IFERROR(IF(VLOOKUP(AT30,Потребители_обозначение,9,FALSE)=0,"",VLOOKUP(AT30,Потребители_обозначение,9,FALSE)),"")))</f>
        <v>1</v>
      </c>
      <c r="BI30" t="str">
        <f>IF(U30&lt;&gt;"",U30,IF(D30="","",IFERROR(IF(VLOOKUP(AT30,Потребители_обозначение,6,FALSE)=0,"",VLOOKUP(AT30,Потребители_обозначение,6,FALSE)),"")))</f>
        <v>мс</v>
      </c>
      <c r="BJ30">
        <f>IF(V30&lt;&gt;"",V30,IF(D30="","",IFERROR(IF(VLOOKUP(AT30,Потребители_обозначение,7,FALSE)=0,"",VLOOKUP(AT30,Потребители_обозначение,7,FALSE)),"")))</f>
        <v>3</v>
      </c>
      <c r="BK30">
        <f>IF(W30&lt;&gt;"",W30,IF(D30="","",IFERROR(IF(VLOOKUP(AT30,Потребители_обозначение,10,FALSE)=0,"",VLOOKUP(AT30,Потребители_обозначение,10,FALSE)),"")))</f>
        <v>2.5</v>
      </c>
      <c r="BL30">
        <f>IFERROR(VLOOKUP(AT30,Потребители_обозначение,5,FALSE),0)</f>
        <v>1</v>
      </c>
      <c r="BM30" s="6" cm="1">
        <f t="array" ref="BM30">IF(D30="","",IF(BA30&lt;&gt;"",IFERROR(_xlfn.XLOOKUP(BA30,Щиты[Щит],Щиты[cos φ]),0.95),IF(ISNUMBER(M30),M30,IFERROR(IF(BL30=2,_xlfn.IFS(BH30=3,VLOOKUP(BF30,Справочная_двигатели,8,FALSE),BH30=1,VLOOKUP(BF30,Справочная_двигатели,10,TRUE)),IF(AND(Методика="нормы 2026",CN30="Сил"),0.8,0.95)),0.95))))</f>
        <v>0.95</v>
      </c>
      <c r="BN30" s="6" cm="1">
        <f t="array" ref="BN30">IF(D30="","",IF(BA30&lt;&gt;"",IFERROR(_xlfn.XLOOKUP(BA30,Щиты[Щит],Щиты[Iр, А]),""),IFERROR(_xlfn.IFS(BH30=1,BF30/((Uн_лин/SQRT(3))*BM30),BH30=3,BF30/(SQRT(3)*Uн_лин*BM30)),"")))</f>
        <v>0.27348170645824377</v>
      </c>
      <c r="BO30">
        <f>IF(D30="","",IF(N(X30)=0,IFERROR(VLOOKUP(BN30,Автомат_номиналы,2,TRUE),""),X30))</f>
        <v>6</v>
      </c>
      <c r="BP30">
        <f t="shared" si="10"/>
        <v>1</v>
      </c>
      <c r="BQ30">
        <f>IF(ISNUMBER(Y30),Y30,К_прокл)</f>
        <v>1</v>
      </c>
      <c r="BR30">
        <f t="shared" si="11"/>
        <v>2</v>
      </c>
      <c r="BS30" cm="1">
        <f t="array" ref="BS30">IF(D30="","",IF(N(BK30)&lt;&gt;0,BK30,IFERROR(_xlfn.LET(_xlpm.need,BO30/(BP30*BQ30),_xlpm.t,CHOOSE(BR30,Iдоп_1ж,Iдоп_2ж,Iдоп_3ж),_xlpm.k,_xlfn.XMATCH(_xlpm.need,_xlpm.t,1),IF(ISNA(_xlpm.k),"Не исп",INDEX(Iдоп_S,_xlpm.k))),"Не исп")))</f>
        <v>2.5</v>
      </c>
      <c r="BT30">
        <f>IFERROR(VLOOKUP(BS30,Кабель_сопротивление,3,FALSE),"")</f>
        <v>2.2499999999999999E-2</v>
      </c>
      <c r="BU30">
        <f>IFERROR(VLOOKUP(BS30,Кабель_сопротивление,2,FALSE),"")</f>
        <v>0.1</v>
      </c>
      <c r="BV30">
        <f t="shared" si="12"/>
        <v>16</v>
      </c>
      <c r="BW30" s="6">
        <f>IF(D30="","",IFERROR(IF(VLOOKUP(AT30,Потребители_обозначение,4,FALSE)=1,VLOOKUP(AT30,Потребители_обозначение,3,FALSE)*(H30*2-1)+BV30+VLOOKUP(AV30,Этаж_обозначение,3,FALSE)+VLOOKUP(AV30,Этаж_обозначение,4,FALSE),VLOOKUP(AT30,Потребители_обозначение,3,FALSE)*(H30*2-1)+BV30),BV30))</f>
        <v>18</v>
      </c>
      <c r="BX30">
        <f t="shared" si="13"/>
        <v>0</v>
      </c>
      <c r="BY30">
        <f t="shared" si="14"/>
        <v>14</v>
      </c>
      <c r="BZ30">
        <f t="shared" si="15"/>
        <v>2</v>
      </c>
      <c r="CA30">
        <f t="shared" si="16"/>
        <v>0.31</v>
      </c>
      <c r="CB30">
        <f t="shared" si="17"/>
        <v>8.448287483225482E-2</v>
      </c>
      <c r="CC30" s="6">
        <f>IFERROR(ROUNDUP(CB30/((Uн_лин/SQRT(3))*1000)*100,2),"")</f>
        <v>0.04</v>
      </c>
      <c r="CD30" s="6">
        <f>IF(ISNUMBER(CC30),CC30+IFERROR(_xlfn.XLOOKUP(A30,Щиты[Щит],Щиты[ΔU до шин, %]),0),"")</f>
        <v>0.04</v>
      </c>
      <c r="CE30" s="6">
        <f>IF(D30="","",IF(IFERROR(VLOOKUP(AT30,УГО_спр,2,FALSE),"")="Светильник",3,4)+IF(Методика="нормы 2026",MIN(0.5,MAX(0,N(BW30)-100)*0.005),0))</f>
        <v>4</v>
      </c>
      <c r="CF30" t="str">
        <f>IFERROR(VLOOKUP(BI30,Кабель_обозначение,2,FALSE),"")</f>
        <v>ВВГнг(А)-LS</v>
      </c>
      <c r="CG30" t="str">
        <f>IFERROR(IF(VLOOKUP(BI30,Кабель_обозначение,3,FALSE)=1,CF30&amp;" ("&amp;BJ30&amp;"х"&amp;BS30&amp;")",CF30),"")</f>
        <v>ВВГнг(А)-LS (3х2,5)</v>
      </c>
      <c r="CH30" t="str">
        <f t="shared" si="18"/>
        <v>ВВГнг(А)-LS (3х2,5)
L=18-0,04%</v>
      </c>
      <c r="CI30">
        <f>IFERROR(2*ρкз_Cu*BW30/BS30,"")</f>
        <v>0.37872</v>
      </c>
      <c r="CJ30">
        <f t="shared" si="19"/>
        <v>0.12600000000000003</v>
      </c>
      <c r="CK30" s="6" t="str">
        <f>IFERROR(IF(OR(D30="",NOT(ISNUMBER(BS30)),N(BW30)=0),"",_xlfn.XLOOKUP(A30,Щиты[Щит],Щиты[Zпетли на шинах, Ом])+CI30),"")</f>
        <v/>
      </c>
      <c r="CL30" s="6" t="str">
        <f>IF(ISNUMBER(CK30),c_min*(Uн_лин*1000/SQRT(3))/CK30,"")</f>
        <v/>
      </c>
      <c r="CM30" s="6" t="str">
        <f>IFERROR(IF(OR(D30="",NOT(ISNUMBER(BS30))),"",1.05*(Uн_лин*1000/SQRT(3))/(_xlfn.XLOOKUP(A30,Щиты[Щит],Щиты[Zmax на шинах, Ом])+CJ30)/1000),"")</f>
        <v/>
      </c>
      <c r="CN30" s="6" t="str">
        <f>IF(D30="","",IF(BA30&lt;&gt;"","Щит",IF(K30&lt;&gt;"",K30,IF(ISNUMBER(L30),"Сил",IF(IFERROR(_xlfn.XLOOKUP(AT30,Коды_код,Коды_группа)&amp;"","")="","Быт",_xlfn.XLOOKUP(AT30,Коды_код,Коды_группа)&amp;"")))))</f>
        <v>Быт</v>
      </c>
      <c r="CO30" s="6">
        <f>IF(CN30="Щит","щит",IF(CN30="","",IF(CN30="Быт",IFERROR(_xlfn.XLOOKUP(A30,Щиты[Щит],Щиты[Кс быт]),1),IF(CN30="Сил",IF(ISNUMBER(L30),L30,IF(Методика="нормы 2026",IFERROR(_xlfn.XLOOKUP(A30,Щиты[Щит],Щиты[Кс силовых (табл. 7.5)]),1),1)),IF(OR(CN30="Пост",CN30="Отоп"),1,IF(CN30="ВНГ",0.7,0))))))</f>
        <v>0.8</v>
      </c>
      <c r="CP30">
        <f t="shared" si="20"/>
        <v>1</v>
      </c>
      <c r="CQ30">
        <f t="shared" si="21"/>
        <v>0.06</v>
      </c>
      <c r="CR30">
        <f t="shared" si="22"/>
        <v>0.06</v>
      </c>
      <c r="CS30">
        <f t="shared" si="23"/>
        <v>0</v>
      </c>
      <c r="CT30">
        <f t="shared" si="24"/>
        <v>0</v>
      </c>
      <c r="CU30">
        <f t="shared" si="25"/>
        <v>0</v>
      </c>
      <c r="CV30">
        <f t="shared" si="26"/>
        <v>0</v>
      </c>
      <c r="CW30">
        <f t="shared" si="27"/>
        <v>0.06</v>
      </c>
      <c r="CX30">
        <f t="shared" si="28"/>
        <v>5.6999999999999995E-2</v>
      </c>
      <c r="CY30">
        <f t="shared" si="29"/>
        <v>3</v>
      </c>
      <c r="CZ30" t="str">
        <f t="shared" si="30"/>
        <v>L3</v>
      </c>
      <c r="DA30" cm="1">
        <f t="array" ref="DA30">IFERROR(IF(BL30=2,_xlfn.IFS(BH30=3,VLOOKUP(BF30,Справочная_двигатели,3,FALSE),BH30=1,VLOOKUP(BF30,Справочная_двигатели,5,TRUE)),0),0)</f>
        <v>0</v>
      </c>
      <c r="DB30">
        <f>IFERROR(IF(BL30=3,VLOOKUP(BF30,Справочная_ЛЭД,2,TRUE),0),0)</f>
        <v>0</v>
      </c>
      <c r="DC30" s="6">
        <f t="shared" si="31"/>
        <v>0</v>
      </c>
      <c r="DD30" t="str">
        <f t="shared" si="32"/>
        <v>L3</v>
      </c>
      <c r="DE30" t="str" cm="1">
        <f t="array" ref="DE30">IF(D30="","",IFERROR(INDEX({"I особая","I","II","III"},MATCH(TRIM(AA30&amp;""),{"I особая","I","II","III"},0)),"III"))</f>
        <v>III</v>
      </c>
      <c r="DF30" t="str">
        <f>IF(D30="","",IF(TRIM(AB30&amp;"")&lt;&gt;"",IF(LOWER(TRIM(AB30&amp;""))="да","да","нет"),IF(IFERROR(_xlfn.XLOOKUP(AT30,Коды_код,Коды_пожарная),"")="да","да","нет")))</f>
        <v>нет</v>
      </c>
      <c r="DG30" t="str">
        <f t="shared" si="33"/>
        <v/>
      </c>
      <c r="DH30" t="str">
        <f t="shared" si="34"/>
        <v>основная</v>
      </c>
      <c r="DI30">
        <f t="shared" si="35"/>
        <v>1</v>
      </c>
      <c r="DJ30" t="str" cm="1">
        <f t="array" ref="DJ30">IF(D30="","",_xlfn.LET(_xlpm.t,IFERROR(_xlfn.XLOOKUP(1,(Шины[Шина]=DH30)*(((Шины[Щит]=A30)+(Шины[Щит]=""))&gt;0),Шины[Тип]),"")&amp;"",IF(_xlpm.t&lt;&gt;"",_xlpm.t,IF(ISNUMBER(SEARCH("ИБП",DH30)),"ИБП",IF(ISNUMBER(SEARCH("ДГУ",DH30)),"ДГУ","Ввод "&amp;DI30)))))</f>
        <v>Ввод 1</v>
      </c>
      <c r="DK30" t="str">
        <f t="shared" si="36"/>
        <v>Ввод 1</v>
      </c>
      <c r="DL30" t="str">
        <f>IF(D30="","",IF(OR(DJ30="ИБП",DJ30="ДГУ"),"I особая",IF(DJ30="Одиночная","III",_xlfn.XLOOKUP(A30,Щиты[Щит],Щиты[Категория шины «Ввод»],"III"))))</f>
        <v>III</v>
      </c>
      <c r="DM30">
        <f>IF(D30="",0,IFERROR(MATCH(DE30,{"III","II","I","I особая"},0),1))</f>
        <v>1</v>
      </c>
      <c r="DN30">
        <f t="shared" si="37"/>
        <v>1</v>
      </c>
      <c r="DO30" t="str">
        <f>IF(D30="","",IF(DM30&gt;IFERROR(MATCH(DL30,{"III","II","I","I особая"},0),1),"НЕ ОБЕСПЕЧЕНА","ОК"))</f>
        <v>ОК</v>
      </c>
      <c r="DP30" t="str">
        <f>IF(A30="","",_xlfn.XLOOKUP(A30,Щиты[Щит],Щиты[Путь],""))</f>
        <v>|ЩР|</v>
      </c>
      <c r="DQ30" t="str">
        <f>IF(D30="","",IF(Z30&lt;&gt;"",Z30,IF(IFERROR(_xlfn.XLOOKUP(AT30,Коды_код,Коды_вид)&amp;"","")="","Прочее",_xlfn.XLOOKUP(AT30,Коды_код,Коды_вид)&amp;"")))</f>
        <v>Розеточная сеть и бытовые приборы</v>
      </c>
      <c r="DR30">
        <f>IF(BD30="","",INT((BD30-1)/Столбцов_на_лист)+1)</f>
        <v>2</v>
      </c>
      <c r="DS30" t="str">
        <f t="shared" si="38"/>
        <v>ВВГнг(А)-LS (3х2,5) L=18-0,04%</v>
      </c>
      <c r="DT30">
        <f t="shared" si="39"/>
        <v>0.06</v>
      </c>
      <c r="DU30">
        <f t="shared" si="40"/>
        <v>0.28000000000000003</v>
      </c>
      <c r="DV30">
        <f t="shared" si="41"/>
        <v>1</v>
      </c>
      <c r="DW30">
        <f>IF(AT30="",0,_xlfn.LET(_xlpm.v,IFERROR(VLOOKUP(D30,УГО_спр,3,FALSE),IFERROR(VLOOKUP(AT30,УГО_спр,3,FALSE),IFERROR(VLOOKUP(LEFT(AT30,2),УГО_спр,3,FALSE),""))),IF(_xlpm.v="да",30,IF(ISNUMBER(_xlpm.v),_xlpm.v,0))))</f>
        <v>30</v>
      </c>
      <c r="DX30">
        <f t="shared" si="42"/>
        <v>0</v>
      </c>
      <c r="DY30">
        <f>IF(BD30="","",IF(AD30&lt;&gt;"",COUNTIFS(A$3:A30,A30,AD$3:AD30,"?*"),IF(OR(OR(AS30=1,A30&lt;&gt;A29),AL30="вручную"),"",IF(AS30=1,"",DZ29))))</f>
        <v>9</v>
      </c>
      <c r="DZ30">
        <f t="shared" si="43"/>
        <v>9</v>
      </c>
      <c r="EA30">
        <f>IF(D30="",0,MAX(IFERROR(--X30,0),IFERROR(--VLOOKUP(D30,УГО_спр,4,FALSE),IFERROR(--VLOOKUP(AT30,УГО_спр,4,FALSE),IFERROR(--VLOOKUP(LEFT(AT30,2),УГО_спр,4,FALSE),0)))))</f>
        <v>16</v>
      </c>
      <c r="EB30">
        <f>IF(D30="","",IFERROR(LOOKUP(INDEX(CHOOSE(BR30,Iдоп_1ж,Iдоп_2ж,Iдоп_3ж),MATCH(BS30,Iдоп_S,0))*BP30*BQ30,{6,10,16,20,25,32,40,50,63,80,100,125,160,200,250,315,400,500,630}),""))</f>
        <v>25</v>
      </c>
      <c r="EC30">
        <f>IF(AD30="","",SUMIFS(Линии[_Ток схемы],Линии[_гр.],DY30,Линии[Щит],A30,Линии[_в кабель выше],0))</f>
        <v>0.28000000000000003</v>
      </c>
      <c r="ED30">
        <f>IF(AD30="","",IFERROR(VLOOKUP(EC30,Автомат_номиналы,2,TRUE),""))</f>
        <v>6</v>
      </c>
      <c r="EE30">
        <f>IF(AD30="","",MAX(N(ED30),_xlfn.MAXIFS(Линии[_мин. по типу],Линии[_гр.],DY30,Линии[Щит],A30)))</f>
        <v>16</v>
      </c>
      <c r="EF30">
        <f>IF(AD30="","",_xlfn.MINIFS(Линии[_макс. автомат по кабелю],Линии[_гр.],DY30,Линии[Щит],A30))</f>
        <v>25</v>
      </c>
      <c r="EG30">
        <f>IF(AD30="","",MAX(1,_xlfn.MAXIFS(Линии[_фаз],Линии[_гр.],DY30,Линии[Щит],A30)))</f>
        <v>1</v>
      </c>
      <c r="EH30">
        <f>IF(AD30="","",IF(AND(AD30&lt;&gt;"авто",AD30&lt;&gt;"+"),IF(ISNUMBER(SEARCH("мА",AD30)),IFERROR(--TRIM(RIGHT(SUBSTITUTE(LEFT(AD30,SEARCH("мА",AD30)-1)," ",REPT(" ",9)),6)),30),0),IF(AE30="нет",0,IF(ISNUMBER(AE30),AE30,IF(AE30="да",30,_xlfn.MINIFS(Линии[_дифзащита по коду, мА],Линии[_гр.],DY30,Линии[Щит],A30,Линии[_дифзащита по коду, мА],"&gt;0"))))))</f>
        <v>30</v>
      </c>
      <c r="EI30">
        <f t="shared" si="44"/>
        <v>1</v>
      </c>
      <c r="EJ30" t="str">
        <f t="shared" si="45"/>
        <v>QFD9</v>
      </c>
      <c r="EK30" t="str">
        <f t="shared" si="46"/>
        <v>QFD9</v>
      </c>
      <c r="EL30" t="str">
        <f t="shared" si="47"/>
        <v/>
      </c>
      <c r="EM30">
        <f t="shared" si="48"/>
        <v>0</v>
      </c>
      <c r="EN30">
        <f>IF(AD30="","",IF(EM30=1,MAX(EE30,Мин_автомат_БП),EE30))</f>
        <v>16</v>
      </c>
      <c r="EO30" t="str">
        <f t="shared" si="49"/>
        <v>2P</v>
      </c>
      <c r="EP30" t="str">
        <f t="shared" si="50"/>
        <v>2P С16А 30мА</v>
      </c>
      <c r="EQ30">
        <f t="shared" si="51"/>
        <v>16</v>
      </c>
      <c r="ER30" t="str">
        <f>IF(OR(AI30="",AI30="-"),"",IFERROR(VLOOKUP(AI30,Модули_спр,2,FALSE),"R"))</f>
        <v/>
      </c>
      <c r="ES30" t="str">
        <f>IF(ER30="","",ER30&amp;"."&amp;COUNTIFS(A$3:A30,A30,ER$3:ER30,ER30))</f>
        <v/>
      </c>
      <c r="ET30" t="str">
        <f t="shared" si="52"/>
        <v/>
      </c>
      <c r="EU30" t="str">
        <f t="shared" si="53"/>
        <v/>
      </c>
      <c r="EV30" t="str">
        <f t="shared" si="54"/>
        <v/>
      </c>
      <c r="EW30" t="str">
        <f t="shared" si="55"/>
        <v/>
      </c>
      <c r="EX30">
        <f t="shared" si="56"/>
        <v>1</v>
      </c>
      <c r="EY30" t="str">
        <f>IF(AK30="нет","",IF(AK30&lt;&gt;"",AK30,IF(EX30=1,"XT"&amp;COUNTIFS(A$3:A30,A30,EX$3:EX30,1),"")))</f>
        <v>XT9</v>
      </c>
      <c r="EZ30" t="str">
        <f t="shared" si="57"/>
        <v>QFD9</v>
      </c>
      <c r="FA30" t="str">
        <f t="shared" si="58"/>
        <v/>
      </c>
      <c r="FB30" t="str">
        <f t="shared" si="59"/>
        <v>ok</v>
      </c>
      <c r="FC30" t="str">
        <f>IF(OR(EV30="",ET30=""),"",IF(EV30&gt;IFERROR(VLOOKUP(EU30,Модули_спр,3,FALSE),99),"ЛИШНИЙ КАНАЛ",IF(AND(AJ30&lt;&gt;"=",COUNTIFS(Линии[_модуль гр.],ET30,Линии[Канал (итог)],EV30,Линии[Канал],"&lt;&gt;=",Линии[Щит],A30)&gt;1),"ДУБЛЬ КАНАЛА","")))</f>
        <v/>
      </c>
      <c r="FD30">
        <f t="shared" si="60"/>
        <v>16</v>
      </c>
      <c r="FE30" t="str">
        <f t="shared" si="61"/>
        <v>2P С16А 30мА</v>
      </c>
      <c r="FF30">
        <f t="shared" si="62"/>
        <v>1</v>
      </c>
      <c r="FG30">
        <f t="shared" si="63"/>
        <v>30</v>
      </c>
      <c r="FH30" s="6" t="str">
        <f t="shared" si="64"/>
        <v/>
      </c>
      <c r="FI30">
        <f t="shared" si="65"/>
        <v>10</v>
      </c>
      <c r="FJ30" t="str">
        <f t="shared" si="66"/>
        <v/>
      </c>
      <c r="FK30" t="str">
        <f>IF(AND(D30="",EZ30=""),"",_xlfn.TEXTJOIN("; ",TRUE,IF(AND(D30&lt;&gt;"",DD30=""),"нет фазы",""),IF(AND(D30&lt;&gt;"",N(DT30)=0,CN30&lt;&gt;"Нет"),"нет мощности",""),IF(AND(EY30&lt;&gt;"",COUNTIFS(Линии[Щит],A30,Линии[Клемма (итог)],EY30)&gt;1),"дубль клеммы "&amp;EY30,""),IF(AND(FB30&lt;&gt;"",FB30&lt;&gt;"ok"),FB30,""),IF(FC30&lt;&gt;"",FC30,""),IF(AND(ISNUMBER(SEARCH("(5х",DS30)),N(DV30)=1),"5 жил на 1 фазе",""),IF(AND(AT30="R",AD30&lt;&gt;"",OR(N(EH30)=0,N(EH30)&gt;30)),"розетка без дифзащиты до 30 мА",""),IFERROR(IF(AND(ISNUMBER(CD30),CD30&gt;CE30),"потери "&amp;FIXED(CD30,1)&amp;" % &gt; "&amp;CE30&amp;" %",""),""),IFERROR(IF(LEFT(FJ30,4)="мало","Iкз мало — отключение &gt; 0,4 с",""),""),IF(AND(D30&lt;&gt;"",BD30=""),"не на схеме","")))</f>
        <v/>
      </c>
      <c r="FL30" s="6">
        <f>IF(AD30="","",_xlfn.LET(_xlpm.t,IFERROR(_xlfn.XLOOKUP(EP30,Каталог!$U$4:$U$500,Каталог!$G$4:$G$500),""),_xlpm.k,SEARCH("кА",_xlpm.t),IFERROR(--TRIM(RIGHT(SUBSTITUTE(MID(_xlpm.t,MAX(1,_xlpm.k-4),_xlpm.k-MAX(1,_xlpm.k-4))," ",REPT(" ",9)),5)),"")))</f>
        <v>6</v>
      </c>
      <c r="FM30" t="str">
        <f>IF(OR(FL30="",AD30=""),"",IF(_xlfn.XLOOKUP(A30,Щиты[Щит],Щиты[Iкз max на шинах, кА],"")="","",IF(FL30&lt;_xlfn.XLOOKUP(A30,Щиты[Щит],Щиты[Iкз max на шинах, кА]),"Icu "&amp;FL30&amp;" кА &lt; Iкз max","ok")))</f>
        <v/>
      </c>
      <c r="FN30" t="str">
        <f t="shared" si="67"/>
        <v>QFD9|XT9</v>
      </c>
      <c r="FO30" t="str">
        <f t="shared" si="68"/>
        <v>QFD9|XT9|кабель ВВГнг(А)-LS (3х2,5) → Розеточная группа  Пом. №05 Варочная поверхность</v>
      </c>
      <c r="FP30" t="str" cm="1">
        <f t="array" ref="FP30">IF(FO30="","",_xlfn.LET(_xlpm.nd,_xlfn.TEXTSPLIT(FO30,"|"),IF(COLUMNS(_xlpm.nd)&gt;1,A30&amp;"¦"&amp;INDEX(_xlpm.nd,1)&amp;"¦"&amp;INDEX(_xlpm.nd,2),"")))</f>
        <v>ЩР¦QFD9¦XT9</v>
      </c>
      <c r="FQ30" t="str">
        <f t="shared" si="69"/>
        <v>R.1.05.4¦Розеточная группа  Пом. №05 Варочная поверхность</v>
      </c>
      <c r="FR30" t="str" cm="1">
        <f t="array" ref="FR30">IF(FO30="","",_xlfn.LET(_xlpm.nd,_xlfn.TEXTSPLIT(FO30,"|"),IF(COLUMNS(_xlpm.nd)&gt;2,A30&amp;"¦"&amp;INDEX(_xlpm.nd,2)&amp;"¦"&amp;INDEX(_xlpm.nd,3),"")))</f>
        <v>ЩР¦XT9¦кабель ВВГнг(А)-LS (3х2,5) → Розеточная группа  Пом. №05 Варочная поверхность</v>
      </c>
      <c r="FS30" t="str">
        <f t="shared" si="70"/>
        <v>R.1.05.4¦Розеточная группа  Пом. №05 Варочная поверхность</v>
      </c>
      <c r="FT30" t="str" cm="1">
        <f t="array" ref="FT30">IF(FO30="","",_xlfn.LET(_xlpm.nd,_xlfn.TEXTSPLIT(FO30,"|"),IF(COLUMNS(_xlpm.nd)&gt;3,A30&amp;"¦"&amp;INDEX(_xlpm.nd,3)&amp;"¦"&amp;INDEX(_xlpm.nd,4),"")))</f>
        <v/>
      </c>
      <c r="FU30" t="str">
        <f t="shared" si="71"/>
        <v/>
      </c>
      <c r="FV30" t="str" cm="1">
        <f t="array" ref="FV30">IF(FO30="","",_xlfn.LET(_xlpm.nd,_xlfn.TEXTSPLIT(FO30,"|"),IF(COLUMNS(_xlpm.nd)&gt;4,A30&amp;"¦"&amp;INDEX(_xlpm.nd,4)&amp;"¦"&amp;INDEX(_xlpm.nd,5),"")))</f>
        <v/>
      </c>
      <c r="FW30" t="str">
        <f t="shared" si="72"/>
        <v/>
      </c>
      <c r="FX30" t="str" cm="1">
        <f t="array" ref="FX30">IF(FO30="","",_xlfn.LET(_xlpm.nd,_xlfn.TEXTSPLIT(FO30,"|"),IF(COLUMNS(_xlpm.nd)&gt;5,A30&amp;"¦"&amp;INDEX(_xlpm.nd,5)&amp;"¦"&amp;INDEX(_xlpm.nd,6),"")))</f>
        <v/>
      </c>
      <c r="FY30" t="str">
        <f t="shared" si="73"/>
        <v/>
      </c>
      <c r="FZ30" t="str" cm="1">
        <f t="array" ref="FZ30">IF(FO30="","",_xlfn.LET(_xlpm.nd,_xlfn.TEXTSPLIT(FO30,"|"),IF(COLUMNS(_xlpm.nd)&gt;6,A30&amp;"¦"&amp;INDEX(_xlpm.nd,6)&amp;"¦"&amp;INDEX(_xlpm.nd,7),"")))</f>
        <v/>
      </c>
      <c r="GA30" t="str">
        <f t="shared" si="74"/>
        <v/>
      </c>
      <c r="GB30" t="str">
        <f t="shared" si="75"/>
        <v/>
      </c>
      <c r="GC30" t="str">
        <f t="shared" si="76"/>
        <v>QFD9 → XT9</v>
      </c>
      <c r="GD30">
        <f t="shared" si="77"/>
        <v>1</v>
      </c>
      <c r="GE30">
        <f t="shared" si="78"/>
        <v>0</v>
      </c>
      <c r="GF30">
        <f t="shared" si="79"/>
        <v>1</v>
      </c>
      <c r="GG30" t="str">
        <f t="shared" si="80"/>
        <v/>
      </c>
      <c r="GH30" t="str">
        <f t="shared" si="81"/>
        <v/>
      </c>
      <c r="GI30" t="str">
        <f t="shared" si="82"/>
        <v/>
      </c>
      <c r="GJ30" t="str">
        <f t="shared" si="83"/>
        <v/>
      </c>
      <c r="GK30" t="str">
        <f>IF(D30="","",IFERROR(VLOOKUP(D30,УГО_спр,2,FALSE),IFERROR(VLOOKUP(AT30,УГО_спр,2,FALSE),IFERROR(VLOOKUP(LEFT(AT30,2),УГО_спр,2,FALSE),""))))</f>
        <v>Розетка</v>
      </c>
      <c r="GL30" t="str">
        <f>IF(D30="","",IF(OR(GK30="",GK30=0),"BOX",IFERROR(IF(VLOOKUP(GK30,УГО_блоки,3,FALSE)&amp;""&lt;&gt;"",VLOOKUP(GK30,УГО_блоки,3,FALSE),VLOOKUP(GK30,УГО_блоки,2,FALSE)),GK30)))</f>
        <v>SOCKET</v>
      </c>
      <c r="GM30">
        <f t="shared" si="84"/>
        <v>1</v>
      </c>
      <c r="GN30" t="str">
        <f>IF(EP30="","",IF(COUNTIF(EP$3:EP30,EP30)=1,MAX(GN$2:GN29)+1,""))</f>
        <v/>
      </c>
      <c r="GO30" t="str">
        <f>IF(AF30="","",IF(COUNTIF(AF$3:AF30,AF30)+COUNTIF(AG$2:AG29,AF30)+COUNTIF(AH$2:AH29,AF30)=1,MAX(GO$2:GQ29)+1,""))</f>
        <v/>
      </c>
      <c r="GP30" t="str">
        <f>IF(AG30="","",IF(COUNTIF(AF$3:AF30,AG30)+COUNTIF(AG$3:AG30,AG30)+COUNTIF(AH$2:AH29,AG30)=1,MAX(GO$2:GQ29,GO30)+1,""))</f>
        <v/>
      </c>
      <c r="GQ30" t="str">
        <f>IF(AH30="","",IF(COUNTIF(AF$3:AF30,AH30)+COUNTIF(AG$3:AG30,AH30)+COUNTIF(AH$3:AH30,AH30)=1,MAX(GO$2:GQ29,GO30,GP30)+1,""))</f>
        <v/>
      </c>
      <c r="GR30" t="str">
        <f t="shared" si="85"/>
        <v>3х2,5</v>
      </c>
      <c r="GS30" t="str">
        <f>IF(GR30="","",IF(COUNTIF(GR$3:GR30,GR30)=1,MAX(GS$2:GS29)+1,""))</f>
        <v/>
      </c>
      <c r="GT30" t="str">
        <f>IF(ES30="","",COUNTIF(ES$3:ES30,"?*"))</f>
        <v/>
      </c>
      <c r="GU30" t="str">
        <f>IF(OR(ES30="",EU30=""),"",IF(COUNTIFS(ES$3:ES30,"?*",EU$3:EU30,EU30)=1,MAX(GU$2:GU29)+1,""))</f>
        <v/>
      </c>
      <c r="GV30">
        <f t="shared" si="86"/>
        <v>0</v>
      </c>
      <c r="GW30">
        <f>IF(D30="","",COUNTIF(D$3:D30,"?*"))</f>
        <v>10</v>
      </c>
      <c r="GX30">
        <f>IF(EX30&lt;&gt;1,0,_xlfn.LET(_xlpm.k,MAX(IFERROR(--VLOOKUP(D30,УГО_спр,5,FALSE),0),IFERROR(--VLOOKUP(AT30,УГО_спр,5,FALSE),0),IFERROR(--VLOOKUP(LEFT(AT30,2),УГО_спр,5,FALSE),0)),IF(_xlpm.k&gt;0,_xlpm.k,IF(IFERROR(--LEFT(SUBSTITUTE(GR30,"x","х"),FIND("х",SUBSTITUTE(GR30,"x","х"))-1),3)&gt;3,Каталог!$S$9,1))))</f>
        <v>1</v>
      </c>
      <c r="GY30">
        <f t="shared" si="87"/>
        <v>0</v>
      </c>
    </row>
    <row r="31" spans="1:207" x14ac:dyDescent="0.3">
      <c r="A31" t="s">
        <v>206</v>
      </c>
      <c r="B31">
        <v>29</v>
      </c>
      <c r="C31" t="str">
        <f>IF(BD31="","",IF(BE31="вводной узел","узел ","")&amp;"л."&amp;(INT((BD31-1)/Столбцов_на_лист)+1)&amp;" / "&amp;(MOD(BD31-1,Столбцов_на_лист)+1))</f>
        <v>л.2 / 12</v>
      </c>
      <c r="D31" t="s">
        <v>696</v>
      </c>
      <c r="E31" s="133" t="s">
        <v>756</v>
      </c>
      <c r="G31">
        <v>0.06</v>
      </c>
      <c r="H31">
        <v>1</v>
      </c>
      <c r="O31">
        <v>1</v>
      </c>
      <c r="T31">
        <v>2</v>
      </c>
      <c r="AD31" t="s">
        <v>597</v>
      </c>
      <c r="AK31" t="s">
        <v>607</v>
      </c>
      <c r="AN31">
        <v>15.05</v>
      </c>
      <c r="AO31" t="s">
        <v>658</v>
      </c>
      <c r="AQ31" t="s">
        <v>659</v>
      </c>
      <c r="AR31" t="str">
        <f t="shared" si="1"/>
        <v/>
      </c>
      <c r="AS31" cm="1">
        <f t="array" ref="AS31">ROW()-ROW(Линии[#Headers])</f>
        <v>29</v>
      </c>
      <c r="AT31" s="6" t="str">
        <f t="shared" si="2"/>
        <v>R</v>
      </c>
      <c r="AU31" t="str">
        <f t="shared" si="3"/>
        <v>1.05.5</v>
      </c>
      <c r="AV31" t="str">
        <f t="shared" si="4"/>
        <v>1</v>
      </c>
      <c r="AW31" t="str">
        <f t="shared" si="5"/>
        <v>05.5</v>
      </c>
      <c r="AX31" t="str">
        <f t="shared" si="6"/>
        <v>05</v>
      </c>
      <c r="AY31" t="str">
        <f>IF(D31="","",IF(ISERROR(SEARCH(".",D31)),IFERROR(VLOOKUP(D31,Потребители_обозначение,2,FALSE)&amp;"",""),IFERROR(IF(VLOOKUP(AT31,Потребители_обозначение,4,FALSE)=1,VLOOKUP(AT31,Потребители_обозначение,2,FALSE)&amp;" "&amp;VLOOKUP(AV31,Этаж_обозначение,2,FALSE)&amp;" Пом. №"&amp;AX31,VLOOKUP(AT31,Потребители_обозначение,2,FALSE)&amp;" Шлейф №"&amp;AV31),IFERROR(VLOOKUP(D31,Потребители_обозначение,2,FALSE),""))))</f>
        <v>Розеточная группа  Пом. №05</v>
      </c>
      <c r="AZ31" t="str">
        <f t="shared" si="7"/>
        <v>Розеточная группа  Пом. №05 Вытяжка</v>
      </c>
      <c r="BA31" t="str">
        <f>IF(F31&lt;&gt;"",F31,IF(AND(D31&lt;&gt;"",D31&lt;&gt;A31,ISNUMBER(_xlfn.XMATCH(D31,Щиты[Щит]))),D31,""))</f>
        <v/>
      </c>
      <c r="BB31">
        <f>IFERROR(_xlfn.XMATCH(A31,Щиты[Щит]),0)</f>
        <v>1</v>
      </c>
      <c r="BC31">
        <f>IFERROR(N(_xlfn.XLOOKUP(A31,Щиты[Щит],Щиты[Мест под вводной узел])),15)</f>
        <v>18</v>
      </c>
      <c r="BD31">
        <f t="shared" si="8"/>
        <v>29</v>
      </c>
      <c r="BE31" t="str">
        <f t="shared" si="9"/>
        <v>линии</v>
      </c>
      <c r="BF31" s="6">
        <f>IF(D31="","",IF(BA31&lt;&gt;"",IFERROR(_xlfn.XLOOKUP(BA31,Щиты[Щит],Щиты[Руст, кВт]),0),N(G31)))</f>
        <v>0.06</v>
      </c>
      <c r="BG31">
        <f>IF(J31&lt;&gt;"",J31,IF(D31="","",IFERROR(IF(VLOOKUP(AT31,Потребители_обозначение,8,FALSE)=0,"",VLOOKUP(AT31,Потребители_обозначение,8,FALSE)),"")))</f>
        <v>230</v>
      </c>
      <c r="BH31">
        <f>IF(I31&lt;&gt;"",I31,IF(D31="","",IFERROR(IF(VLOOKUP(AT31,Потребители_обозначение,9,FALSE)=0,"",VLOOKUP(AT31,Потребители_обозначение,9,FALSE)),"")))</f>
        <v>1</v>
      </c>
      <c r="BI31" t="str">
        <f>IF(U31&lt;&gt;"",U31,IF(D31="","",IFERROR(IF(VLOOKUP(AT31,Потребители_обозначение,6,FALSE)=0,"",VLOOKUP(AT31,Потребители_обозначение,6,FALSE)),"")))</f>
        <v>мс</v>
      </c>
      <c r="BJ31">
        <f>IF(V31&lt;&gt;"",V31,IF(D31="","",IFERROR(IF(VLOOKUP(AT31,Потребители_обозначение,7,FALSE)=0,"",VLOOKUP(AT31,Потребители_обозначение,7,FALSE)),"")))</f>
        <v>3</v>
      </c>
      <c r="BK31">
        <f>IF(W31&lt;&gt;"",W31,IF(D31="","",IFERROR(IF(VLOOKUP(AT31,Потребители_обозначение,10,FALSE)=0,"",VLOOKUP(AT31,Потребители_обозначение,10,FALSE)),"")))</f>
        <v>2.5</v>
      </c>
      <c r="BL31">
        <f>IFERROR(VLOOKUP(AT31,Потребители_обозначение,5,FALSE),0)</f>
        <v>1</v>
      </c>
      <c r="BM31" s="6" cm="1">
        <f t="array" ref="BM31">IF(D31="","",IF(BA31&lt;&gt;"",IFERROR(_xlfn.XLOOKUP(BA31,Щиты[Щит],Щиты[cos φ]),0.95),IF(ISNUMBER(M31),M31,IFERROR(IF(BL31=2,_xlfn.IFS(BH31=3,VLOOKUP(BF31,Справочная_двигатели,8,FALSE),BH31=1,VLOOKUP(BF31,Справочная_двигатели,10,TRUE)),IF(AND(Методика="нормы 2026",CN31="Сил"),0.8,0.95)),0.95))))</f>
        <v>0.95</v>
      </c>
      <c r="BN31" s="6" cm="1">
        <f t="array" ref="BN31">IF(D31="","",IF(BA31&lt;&gt;"",IFERROR(_xlfn.XLOOKUP(BA31,Щиты[Щит],Щиты[Iр, А]),""),IFERROR(_xlfn.IFS(BH31=1,BF31/((Uн_лин/SQRT(3))*BM31),BH31=3,BF31/(SQRT(3)*Uн_лин*BM31)),"")))</f>
        <v>0.27348170645824377</v>
      </c>
      <c r="BO31">
        <f>IF(D31="","",IF(N(X31)=0,IFERROR(VLOOKUP(BN31,Автомат_номиналы,2,TRUE),""),X31))</f>
        <v>6</v>
      </c>
      <c r="BP31">
        <f t="shared" si="10"/>
        <v>1</v>
      </c>
      <c r="BQ31">
        <f>IF(ISNUMBER(Y31),Y31,К_прокл)</f>
        <v>1</v>
      </c>
      <c r="BR31">
        <f t="shared" si="11"/>
        <v>2</v>
      </c>
      <c r="BS31" cm="1">
        <f t="array" ref="BS31">IF(D31="","",IF(N(BK31)&lt;&gt;0,BK31,IFERROR(_xlfn.LET(_xlpm.need,BO31/(BP31*BQ31),_xlpm.t,CHOOSE(BR31,Iдоп_1ж,Iдоп_2ж,Iдоп_3ж),_xlpm.k,_xlfn.XMATCH(_xlpm.need,_xlpm.t,1),IF(ISNA(_xlpm.k),"Не исп",INDEX(Iдоп_S,_xlpm.k))),"Не исп")))</f>
        <v>2.5</v>
      </c>
      <c r="BT31">
        <f>IFERROR(VLOOKUP(BS31,Кабель_сопротивление,3,FALSE),"")</f>
        <v>2.2499999999999999E-2</v>
      </c>
      <c r="BU31">
        <f>IFERROR(VLOOKUP(BS31,Кабель_сопротивление,2,FALSE),"")</f>
        <v>0.1</v>
      </c>
      <c r="BV31">
        <f t="shared" si="12"/>
        <v>16</v>
      </c>
      <c r="BW31" s="6">
        <f>IF(D31="","",IFERROR(IF(VLOOKUP(AT31,Потребители_обозначение,4,FALSE)=1,VLOOKUP(AT31,Потребители_обозначение,3,FALSE)*(H31*2-1)+BV31+VLOOKUP(AV31,Этаж_обозначение,3,FALSE)+VLOOKUP(AV31,Этаж_обозначение,4,FALSE),VLOOKUP(AT31,Потребители_обозначение,3,FALSE)*(H31*2-1)+BV31),BV31))</f>
        <v>18</v>
      </c>
      <c r="BX31">
        <f t="shared" si="13"/>
        <v>0</v>
      </c>
      <c r="BY31">
        <f t="shared" si="14"/>
        <v>14</v>
      </c>
      <c r="BZ31">
        <f t="shared" si="15"/>
        <v>2</v>
      </c>
      <c r="CA31">
        <f t="shared" si="16"/>
        <v>0.31</v>
      </c>
      <c r="CB31">
        <f t="shared" si="17"/>
        <v>8.448287483225482E-2</v>
      </c>
      <c r="CC31" s="6">
        <f>IFERROR(ROUNDUP(CB31/((Uн_лин/SQRT(3))*1000)*100,2),"")</f>
        <v>0.04</v>
      </c>
      <c r="CD31" s="6">
        <f>IF(ISNUMBER(CC31),CC31+IFERROR(_xlfn.XLOOKUP(A31,Щиты[Щит],Щиты[ΔU до шин, %]),0),"")</f>
        <v>0.04</v>
      </c>
      <c r="CE31" s="6">
        <f>IF(D31="","",IF(IFERROR(VLOOKUP(AT31,УГО_спр,2,FALSE),"")="Светильник",3,4)+IF(Методика="нормы 2026",MIN(0.5,MAX(0,N(BW31)-100)*0.005),0))</f>
        <v>4</v>
      </c>
      <c r="CF31" t="str">
        <f>IFERROR(VLOOKUP(BI31,Кабель_обозначение,2,FALSE),"")</f>
        <v>ВВГнг(А)-LS</v>
      </c>
      <c r="CG31" t="str">
        <f>IFERROR(IF(VLOOKUP(BI31,Кабель_обозначение,3,FALSE)=1,CF31&amp;" ("&amp;BJ31&amp;"х"&amp;BS31&amp;")",CF31),"")</f>
        <v>ВВГнг(А)-LS (3х2,5)</v>
      </c>
      <c r="CH31" t="str">
        <f t="shared" si="18"/>
        <v>ВВГнг(А)-LS (3х2,5)
L=18-0,04%</v>
      </c>
      <c r="CI31">
        <f>IFERROR(2*ρкз_Cu*BW31/BS31,"")</f>
        <v>0.37872</v>
      </c>
      <c r="CJ31">
        <f t="shared" si="19"/>
        <v>0.12600000000000003</v>
      </c>
      <c r="CK31" s="6" t="str">
        <f>IFERROR(IF(OR(D31="",NOT(ISNUMBER(BS31)),N(BW31)=0),"",_xlfn.XLOOKUP(A31,Щиты[Щит],Щиты[Zпетли на шинах, Ом])+CI31),"")</f>
        <v/>
      </c>
      <c r="CL31" s="6" t="str">
        <f>IF(ISNUMBER(CK31),c_min*(Uн_лин*1000/SQRT(3))/CK31,"")</f>
        <v/>
      </c>
      <c r="CM31" s="6" t="str">
        <f>IFERROR(IF(OR(D31="",NOT(ISNUMBER(BS31))),"",1.05*(Uн_лин*1000/SQRT(3))/(_xlfn.XLOOKUP(A31,Щиты[Щит],Щиты[Zmax на шинах, Ом])+CJ31)/1000),"")</f>
        <v/>
      </c>
      <c r="CN31" s="6" t="str">
        <f>IF(D31="","",IF(BA31&lt;&gt;"","Щит",IF(K31&lt;&gt;"",K31,IF(ISNUMBER(L31),"Сил",IF(IFERROR(_xlfn.XLOOKUP(AT31,Коды_код,Коды_группа)&amp;"","")="","Быт",_xlfn.XLOOKUP(AT31,Коды_код,Коды_группа)&amp;"")))))</f>
        <v>Быт</v>
      </c>
      <c r="CO31" s="6">
        <f>IF(CN31="Щит","щит",IF(CN31="","",IF(CN31="Быт",IFERROR(_xlfn.XLOOKUP(A31,Щиты[Щит],Щиты[Кс быт]),1),IF(CN31="Сил",IF(ISNUMBER(L31),L31,IF(Методика="нормы 2026",IFERROR(_xlfn.XLOOKUP(A31,Щиты[Щит],Щиты[Кс силовых (табл. 7.5)]),1),1)),IF(OR(CN31="Пост",CN31="Отоп"),1,IF(CN31="ВНГ",0.7,0))))))</f>
        <v>0.8</v>
      </c>
      <c r="CP31">
        <f t="shared" si="20"/>
        <v>1</v>
      </c>
      <c r="CQ31">
        <f t="shared" si="21"/>
        <v>0.06</v>
      </c>
      <c r="CR31">
        <f t="shared" si="22"/>
        <v>0.06</v>
      </c>
      <c r="CS31">
        <f t="shared" si="23"/>
        <v>0</v>
      </c>
      <c r="CT31">
        <f t="shared" si="24"/>
        <v>0</v>
      </c>
      <c r="CU31">
        <f t="shared" si="25"/>
        <v>0</v>
      </c>
      <c r="CV31">
        <f t="shared" si="26"/>
        <v>0</v>
      </c>
      <c r="CW31">
        <f t="shared" si="27"/>
        <v>0.06</v>
      </c>
      <c r="CX31">
        <f t="shared" si="28"/>
        <v>5.6999999999999995E-2</v>
      </c>
      <c r="CY31">
        <f t="shared" si="29"/>
        <v>1</v>
      </c>
      <c r="CZ31" t="str">
        <f t="shared" si="30"/>
        <v>L1</v>
      </c>
      <c r="DA31" cm="1">
        <f t="array" ref="DA31">IFERROR(IF(BL31=2,_xlfn.IFS(BH31=3,VLOOKUP(BF31,Справочная_двигатели,3,FALSE),BH31=1,VLOOKUP(BF31,Справочная_двигатели,5,TRUE)),0),0)</f>
        <v>0</v>
      </c>
      <c r="DB31">
        <f>IFERROR(IF(BL31=3,VLOOKUP(BF31,Справочная_ЛЭД,2,TRUE),0),0)</f>
        <v>0</v>
      </c>
      <c r="DC31" s="6">
        <f t="shared" si="31"/>
        <v>0</v>
      </c>
      <c r="DD31" t="str">
        <f t="shared" si="32"/>
        <v>L1</v>
      </c>
      <c r="DE31" t="str" cm="1">
        <f t="array" ref="DE31">IF(D31="","",IFERROR(INDEX({"I особая","I","II","III"},MATCH(TRIM(AA31&amp;""),{"I особая","I","II","III"},0)),"III"))</f>
        <v>III</v>
      </c>
      <c r="DF31" t="str">
        <f>IF(D31="","",IF(TRIM(AB31&amp;"")&lt;&gt;"",IF(LOWER(TRIM(AB31&amp;""))="да","да","нет"),IF(IFERROR(_xlfn.XLOOKUP(AT31,Коды_код,Коды_пожарная),"")="да","да","нет")))</f>
        <v>нет</v>
      </c>
      <c r="DG31" t="str">
        <f t="shared" si="33"/>
        <v/>
      </c>
      <c r="DH31" t="str">
        <f t="shared" si="34"/>
        <v>основная</v>
      </c>
      <c r="DI31">
        <f t="shared" si="35"/>
        <v>1</v>
      </c>
      <c r="DJ31" t="str" cm="1">
        <f t="array" ref="DJ31">IF(D31="","",_xlfn.LET(_xlpm.t,IFERROR(_xlfn.XLOOKUP(1,(Шины[Шина]=DH31)*(((Шины[Щит]=A31)+(Шины[Щит]=""))&gt;0),Шины[Тип]),"")&amp;"",IF(_xlpm.t&lt;&gt;"",_xlpm.t,IF(ISNUMBER(SEARCH("ИБП",DH31)),"ИБП",IF(ISNUMBER(SEARCH("ДГУ",DH31)),"ДГУ","Ввод "&amp;DI31)))))</f>
        <v>Ввод 1</v>
      </c>
      <c r="DK31" t="str">
        <f t="shared" si="36"/>
        <v>Ввод 1</v>
      </c>
      <c r="DL31" t="str">
        <f>IF(D31="","",IF(OR(DJ31="ИБП",DJ31="ДГУ"),"I особая",IF(DJ31="Одиночная","III",_xlfn.XLOOKUP(A31,Щиты[Щит],Щиты[Категория шины «Ввод»],"III"))))</f>
        <v>III</v>
      </c>
      <c r="DM31">
        <f>IF(D31="",0,IFERROR(MATCH(DE31,{"III","II","I","I особая"},0),1))</f>
        <v>1</v>
      </c>
      <c r="DN31">
        <f t="shared" si="37"/>
        <v>1</v>
      </c>
      <c r="DO31" t="str">
        <f>IF(D31="","",IF(DM31&gt;IFERROR(MATCH(DL31,{"III","II","I","I особая"},0),1),"НЕ ОБЕСПЕЧЕНА","ОК"))</f>
        <v>ОК</v>
      </c>
      <c r="DP31" t="str">
        <f>IF(A31="","",_xlfn.XLOOKUP(A31,Щиты[Щит],Щиты[Путь],""))</f>
        <v>|ЩР|</v>
      </c>
      <c r="DQ31" t="str">
        <f>IF(D31="","",IF(Z31&lt;&gt;"",Z31,IF(IFERROR(_xlfn.XLOOKUP(AT31,Коды_код,Коды_вид)&amp;"","")="","Прочее",_xlfn.XLOOKUP(AT31,Коды_код,Коды_вид)&amp;"")))</f>
        <v>Розеточная сеть и бытовые приборы</v>
      </c>
      <c r="DR31">
        <f>IF(BD31="","",INT((BD31-1)/Столбцов_на_лист)+1)</f>
        <v>2</v>
      </c>
      <c r="DS31" t="str">
        <f t="shared" si="38"/>
        <v>ВВГнг(А)-LS (3х2,5) L=18-0,04%</v>
      </c>
      <c r="DT31">
        <f t="shared" si="39"/>
        <v>0.06</v>
      </c>
      <c r="DU31">
        <f t="shared" si="40"/>
        <v>0.28000000000000003</v>
      </c>
      <c r="DV31">
        <f t="shared" si="41"/>
        <v>1</v>
      </c>
      <c r="DW31">
        <f>IF(AT31="",0,_xlfn.LET(_xlpm.v,IFERROR(VLOOKUP(D31,УГО_спр,3,FALSE),IFERROR(VLOOKUP(AT31,УГО_спр,3,FALSE),IFERROR(VLOOKUP(LEFT(AT31,2),УГО_спр,3,FALSE),""))),IF(_xlpm.v="да",30,IF(ISNUMBER(_xlpm.v),_xlpm.v,0))))</f>
        <v>30</v>
      </c>
      <c r="DX31">
        <f t="shared" si="42"/>
        <v>0</v>
      </c>
      <c r="DY31">
        <f>IF(BD31="","",IF(AD31&lt;&gt;"",COUNTIFS(A$3:A31,A31,AD$3:AD31,"?*"),IF(OR(OR(AS31=1,A31&lt;&gt;A30),AL31="вручную"),"",IF(AS31=1,"",DZ30))))</f>
        <v>10</v>
      </c>
      <c r="DZ31">
        <f t="shared" si="43"/>
        <v>10</v>
      </c>
      <c r="EA31">
        <f>IF(D31="",0,MAX(IFERROR(--X31,0),IFERROR(--VLOOKUP(D31,УГО_спр,4,FALSE),IFERROR(--VLOOKUP(AT31,УГО_спр,4,FALSE),IFERROR(--VLOOKUP(LEFT(AT31,2),УГО_спр,4,FALSE),0)))))</f>
        <v>16</v>
      </c>
      <c r="EB31">
        <f>IF(D31="","",IFERROR(LOOKUP(INDEX(CHOOSE(BR31,Iдоп_1ж,Iдоп_2ж,Iдоп_3ж),MATCH(BS31,Iдоп_S,0))*BP31*BQ31,{6,10,16,20,25,32,40,50,63,80,100,125,160,200,250,315,400,500,630}),""))</f>
        <v>25</v>
      </c>
      <c r="EC31">
        <f>IF(AD31="","",SUMIFS(Линии[_Ток схемы],Линии[_гр.],DY31,Линии[Щит],A31,Линии[_в кабель выше],0))</f>
        <v>0.28000000000000003</v>
      </c>
      <c r="ED31">
        <f>IF(AD31="","",IFERROR(VLOOKUP(EC31,Автомат_номиналы,2,TRUE),""))</f>
        <v>6</v>
      </c>
      <c r="EE31">
        <f>IF(AD31="","",MAX(N(ED31),_xlfn.MAXIFS(Линии[_мин. по типу],Линии[_гр.],DY31,Линии[Щит],A31)))</f>
        <v>16</v>
      </c>
      <c r="EF31">
        <f>IF(AD31="","",_xlfn.MINIFS(Линии[_макс. автомат по кабелю],Линии[_гр.],DY31,Линии[Щит],A31))</f>
        <v>25</v>
      </c>
      <c r="EG31">
        <f>IF(AD31="","",MAX(1,_xlfn.MAXIFS(Линии[_фаз],Линии[_гр.],DY31,Линии[Щит],A31)))</f>
        <v>1</v>
      </c>
      <c r="EH31">
        <f>IF(AD31="","",IF(AND(AD31&lt;&gt;"авто",AD31&lt;&gt;"+"),IF(ISNUMBER(SEARCH("мА",AD31)),IFERROR(--TRIM(RIGHT(SUBSTITUTE(LEFT(AD31,SEARCH("мА",AD31)-1)," ",REPT(" ",9)),6)),30),0),IF(AE31="нет",0,IF(ISNUMBER(AE31),AE31,IF(AE31="да",30,_xlfn.MINIFS(Линии[_дифзащита по коду, мА],Линии[_гр.],DY31,Линии[Щит],A31,Линии[_дифзащита по коду, мА],"&gt;0"))))))</f>
        <v>30</v>
      </c>
      <c r="EI31">
        <f t="shared" si="44"/>
        <v>1</v>
      </c>
      <c r="EJ31" t="str">
        <f t="shared" si="45"/>
        <v>QFD10</v>
      </c>
      <c r="EK31" t="str">
        <f t="shared" si="46"/>
        <v>QFD10</v>
      </c>
      <c r="EL31" t="str">
        <f t="shared" si="47"/>
        <v/>
      </c>
      <c r="EM31">
        <f t="shared" si="48"/>
        <v>0</v>
      </c>
      <c r="EN31">
        <f>IF(AD31="","",IF(EM31=1,MAX(EE31,Мин_автомат_БП),EE31))</f>
        <v>16</v>
      </c>
      <c r="EO31" t="str">
        <f t="shared" si="49"/>
        <v>2P</v>
      </c>
      <c r="EP31" t="str">
        <f t="shared" si="50"/>
        <v>2P С16А 30мА</v>
      </c>
      <c r="EQ31">
        <f t="shared" si="51"/>
        <v>16</v>
      </c>
      <c r="ER31" t="str">
        <f>IF(OR(AI31="",AI31="-"),"",IFERROR(VLOOKUP(AI31,Модули_спр,2,FALSE),"R"))</f>
        <v/>
      </c>
      <c r="ES31" t="str">
        <f>IF(ER31="","",ER31&amp;"."&amp;COUNTIFS(A$3:A31,A31,ER$3:ER31,ER31))</f>
        <v/>
      </c>
      <c r="ET31" t="str">
        <f t="shared" si="52"/>
        <v/>
      </c>
      <c r="EU31" t="str">
        <f t="shared" si="53"/>
        <v/>
      </c>
      <c r="EV31" t="str">
        <f t="shared" si="54"/>
        <v/>
      </c>
      <c r="EW31" t="str">
        <f t="shared" si="55"/>
        <v/>
      </c>
      <c r="EX31">
        <f t="shared" si="56"/>
        <v>1</v>
      </c>
      <c r="EY31" t="str">
        <f>IF(AK31="нет","",IF(AK31&lt;&gt;"",AK31,IF(EX31=1,"XT"&amp;COUNTIFS(A$3:A31,A31,EX$3:EX31,1),"")))</f>
        <v>XT10</v>
      </c>
      <c r="EZ31" t="str">
        <f t="shared" si="57"/>
        <v>QFD10</v>
      </c>
      <c r="FA31" t="str">
        <f t="shared" si="58"/>
        <v/>
      </c>
      <c r="FB31" t="str">
        <f t="shared" si="59"/>
        <v>ok</v>
      </c>
      <c r="FC31" t="str">
        <f>IF(OR(EV31="",ET31=""),"",IF(EV31&gt;IFERROR(VLOOKUP(EU31,Модули_спр,3,FALSE),99),"ЛИШНИЙ КАНАЛ",IF(AND(AJ31&lt;&gt;"=",COUNTIFS(Линии[_модуль гр.],ET31,Линии[Канал (итог)],EV31,Линии[Канал],"&lt;&gt;=",Линии[Щит],A31)&gt;1),"ДУБЛЬ КАНАЛА","")))</f>
        <v/>
      </c>
      <c r="FD31">
        <f t="shared" si="60"/>
        <v>16</v>
      </c>
      <c r="FE31" t="str">
        <f t="shared" si="61"/>
        <v>2P С16А 30мА</v>
      </c>
      <c r="FF31">
        <f t="shared" si="62"/>
        <v>1</v>
      </c>
      <c r="FG31">
        <f t="shared" si="63"/>
        <v>30</v>
      </c>
      <c r="FH31" s="6" t="str">
        <f t="shared" si="64"/>
        <v/>
      </c>
      <c r="FI31">
        <f t="shared" si="65"/>
        <v>10</v>
      </c>
      <c r="FJ31" t="str">
        <f t="shared" si="66"/>
        <v/>
      </c>
      <c r="FK31" t="str">
        <f>IF(AND(D31="",EZ31=""),"",_xlfn.TEXTJOIN("; ",TRUE,IF(AND(D31&lt;&gt;"",DD31=""),"нет фазы",""),IF(AND(D31&lt;&gt;"",N(DT31)=0,CN31&lt;&gt;"Нет"),"нет мощности",""),IF(AND(EY31&lt;&gt;"",COUNTIFS(Линии[Щит],A31,Линии[Клемма (итог)],EY31)&gt;1),"дубль клеммы "&amp;EY31,""),IF(AND(FB31&lt;&gt;"",FB31&lt;&gt;"ok"),FB31,""),IF(FC31&lt;&gt;"",FC31,""),IF(AND(ISNUMBER(SEARCH("(5х",DS31)),N(DV31)=1),"5 жил на 1 фазе",""),IF(AND(AT31="R",AD31&lt;&gt;"",OR(N(EH31)=0,N(EH31)&gt;30)),"розетка без дифзащиты до 30 мА",""),IFERROR(IF(AND(ISNUMBER(CD31),CD31&gt;CE31),"потери "&amp;FIXED(CD31,1)&amp;" % &gt; "&amp;CE31&amp;" %",""),""),IFERROR(IF(LEFT(FJ31,4)="мало","Iкз мало — отключение &gt; 0,4 с",""),""),IF(AND(D31&lt;&gt;"",BD31=""),"не на схеме","")))</f>
        <v/>
      </c>
      <c r="FL31" s="6">
        <f>IF(AD31="","",_xlfn.LET(_xlpm.t,IFERROR(_xlfn.XLOOKUP(EP31,Каталог!$U$4:$U$500,Каталог!$G$4:$G$500),""),_xlpm.k,SEARCH("кА",_xlpm.t),IFERROR(--TRIM(RIGHT(SUBSTITUTE(MID(_xlpm.t,MAX(1,_xlpm.k-4),_xlpm.k-MAX(1,_xlpm.k-4))," ",REPT(" ",9)),5)),"")))</f>
        <v>6</v>
      </c>
      <c r="FM31" t="str">
        <f>IF(OR(FL31="",AD31=""),"",IF(_xlfn.XLOOKUP(A31,Щиты[Щит],Щиты[Iкз max на шинах, кА],"")="","",IF(FL31&lt;_xlfn.XLOOKUP(A31,Щиты[Щит],Щиты[Iкз max на шинах, кА]),"Icu "&amp;FL31&amp;" кА &lt; Iкз max","ok")))</f>
        <v/>
      </c>
      <c r="FN31" t="str">
        <f t="shared" si="67"/>
        <v>QFD10|XT10</v>
      </c>
      <c r="FO31" t="str">
        <f t="shared" si="68"/>
        <v>QFD10|XT10|кабель ВВГнг(А)-LS (3х2,5) → Розеточная группа  Пом. №05 Вытяжка</v>
      </c>
      <c r="FP31" t="str" cm="1">
        <f t="array" ref="FP31">IF(FO31="","",_xlfn.LET(_xlpm.nd,_xlfn.TEXTSPLIT(FO31,"|"),IF(COLUMNS(_xlpm.nd)&gt;1,A31&amp;"¦"&amp;INDEX(_xlpm.nd,1)&amp;"¦"&amp;INDEX(_xlpm.nd,2),"")))</f>
        <v>ЩР¦QFD10¦XT10</v>
      </c>
      <c r="FQ31" t="str">
        <f t="shared" si="69"/>
        <v>R.1.05.5¦Розеточная группа  Пом. №05 Вытяжка</v>
      </c>
      <c r="FR31" t="str" cm="1">
        <f t="array" ref="FR31">IF(FO31="","",_xlfn.LET(_xlpm.nd,_xlfn.TEXTSPLIT(FO31,"|"),IF(COLUMNS(_xlpm.nd)&gt;2,A31&amp;"¦"&amp;INDEX(_xlpm.nd,2)&amp;"¦"&amp;INDEX(_xlpm.nd,3),"")))</f>
        <v>ЩР¦XT10¦кабель ВВГнг(А)-LS (3х2,5) → Розеточная группа  Пом. №05 Вытяжка</v>
      </c>
      <c r="FS31" t="str">
        <f t="shared" si="70"/>
        <v>R.1.05.5¦Розеточная группа  Пом. №05 Вытяжка</v>
      </c>
      <c r="FT31" t="str" cm="1">
        <f t="array" ref="FT31">IF(FO31="","",_xlfn.LET(_xlpm.nd,_xlfn.TEXTSPLIT(FO31,"|"),IF(COLUMNS(_xlpm.nd)&gt;3,A31&amp;"¦"&amp;INDEX(_xlpm.nd,3)&amp;"¦"&amp;INDEX(_xlpm.nd,4),"")))</f>
        <v/>
      </c>
      <c r="FU31" t="str">
        <f t="shared" si="71"/>
        <v/>
      </c>
      <c r="FV31" t="str" cm="1">
        <f t="array" ref="FV31">IF(FO31="","",_xlfn.LET(_xlpm.nd,_xlfn.TEXTSPLIT(FO31,"|"),IF(COLUMNS(_xlpm.nd)&gt;4,A31&amp;"¦"&amp;INDEX(_xlpm.nd,4)&amp;"¦"&amp;INDEX(_xlpm.nd,5),"")))</f>
        <v/>
      </c>
      <c r="FW31" t="str">
        <f t="shared" si="72"/>
        <v/>
      </c>
      <c r="FX31" t="str" cm="1">
        <f t="array" ref="FX31">IF(FO31="","",_xlfn.LET(_xlpm.nd,_xlfn.TEXTSPLIT(FO31,"|"),IF(COLUMNS(_xlpm.nd)&gt;5,A31&amp;"¦"&amp;INDEX(_xlpm.nd,5)&amp;"¦"&amp;INDEX(_xlpm.nd,6),"")))</f>
        <v/>
      </c>
      <c r="FY31" t="str">
        <f t="shared" si="73"/>
        <v/>
      </c>
      <c r="FZ31" t="str" cm="1">
        <f t="array" ref="FZ31">IF(FO31="","",_xlfn.LET(_xlpm.nd,_xlfn.TEXTSPLIT(FO31,"|"),IF(COLUMNS(_xlpm.nd)&gt;6,A31&amp;"¦"&amp;INDEX(_xlpm.nd,6)&amp;"¦"&amp;INDEX(_xlpm.nd,7),"")))</f>
        <v/>
      </c>
      <c r="GA31" t="str">
        <f t="shared" si="74"/>
        <v/>
      </c>
      <c r="GB31" t="str">
        <f t="shared" si="75"/>
        <v/>
      </c>
      <c r="GC31" t="str">
        <f t="shared" si="76"/>
        <v>QFD10 → XT10</v>
      </c>
      <c r="GD31">
        <f t="shared" si="77"/>
        <v>1</v>
      </c>
      <c r="GE31">
        <f t="shared" si="78"/>
        <v>0</v>
      </c>
      <c r="GF31">
        <f t="shared" si="79"/>
        <v>1</v>
      </c>
      <c r="GG31" t="str">
        <f t="shared" si="80"/>
        <v/>
      </c>
      <c r="GH31" t="str">
        <f t="shared" si="81"/>
        <v/>
      </c>
      <c r="GI31" t="str">
        <f t="shared" si="82"/>
        <v/>
      </c>
      <c r="GJ31" t="str">
        <f t="shared" si="83"/>
        <v/>
      </c>
      <c r="GK31" t="str">
        <f>IF(D31="","",IFERROR(VLOOKUP(D31,УГО_спр,2,FALSE),IFERROR(VLOOKUP(AT31,УГО_спр,2,FALSE),IFERROR(VLOOKUP(LEFT(AT31,2),УГО_спр,2,FALSE),""))))</f>
        <v>Розетка</v>
      </c>
      <c r="GL31" t="str">
        <f>IF(D31="","",IF(OR(GK31="",GK31=0),"BOX",IFERROR(IF(VLOOKUP(GK31,УГО_блоки,3,FALSE)&amp;""&lt;&gt;"",VLOOKUP(GK31,УГО_блоки,3,FALSE),VLOOKUP(GK31,УГО_блоки,2,FALSE)),GK31)))</f>
        <v>SOCKET</v>
      </c>
      <c r="GM31">
        <f t="shared" si="84"/>
        <v>1</v>
      </c>
      <c r="GN31" t="str">
        <f>IF(EP31="","",IF(COUNTIF(EP$3:EP31,EP31)=1,MAX(GN$2:GN30)+1,""))</f>
        <v/>
      </c>
      <c r="GO31" t="str">
        <f>IF(AF31="","",IF(COUNTIF(AF$3:AF31,AF31)+COUNTIF(AG$2:AG30,AF31)+COUNTIF(AH$2:AH30,AF31)=1,MAX(GO$2:GQ30)+1,""))</f>
        <v/>
      </c>
      <c r="GP31" t="str">
        <f>IF(AG31="","",IF(COUNTIF(AF$3:AF31,AG31)+COUNTIF(AG$3:AG31,AG31)+COUNTIF(AH$2:AH30,AG31)=1,MAX(GO$2:GQ30,GO31)+1,""))</f>
        <v/>
      </c>
      <c r="GQ31" t="str">
        <f>IF(AH31="","",IF(COUNTIF(AF$3:AF31,AH31)+COUNTIF(AG$3:AG31,AH31)+COUNTIF(AH$3:AH31,AH31)=1,MAX(GO$2:GQ30,GO31,GP31)+1,""))</f>
        <v/>
      </c>
      <c r="GR31" t="str">
        <f t="shared" si="85"/>
        <v>3х2,5</v>
      </c>
      <c r="GS31" t="str">
        <f>IF(GR31="","",IF(COUNTIF(GR$3:GR31,GR31)=1,MAX(GS$2:GS30)+1,""))</f>
        <v/>
      </c>
      <c r="GT31" t="str">
        <f>IF(ES31="","",COUNTIF(ES$3:ES31,"?*"))</f>
        <v/>
      </c>
      <c r="GU31" t="str">
        <f>IF(OR(ES31="",EU31=""),"",IF(COUNTIFS(ES$3:ES31,"?*",EU$3:EU31,EU31)=1,MAX(GU$2:GU30)+1,""))</f>
        <v/>
      </c>
      <c r="GV31">
        <f t="shared" si="86"/>
        <v>0</v>
      </c>
      <c r="GW31">
        <f>IF(D31="","",COUNTIF(D$3:D31,"?*"))</f>
        <v>11</v>
      </c>
      <c r="GX31">
        <f>IF(EX31&lt;&gt;1,0,_xlfn.LET(_xlpm.k,MAX(IFERROR(--VLOOKUP(D31,УГО_спр,5,FALSE),0),IFERROR(--VLOOKUP(AT31,УГО_спр,5,FALSE),0),IFERROR(--VLOOKUP(LEFT(AT31,2),УГО_спр,5,FALSE),0)),IF(_xlpm.k&gt;0,_xlpm.k,IF(IFERROR(--LEFT(SUBSTITUTE(GR31,"x","х"),FIND("х",SUBSTITUTE(GR31,"x","х"))-1),3)&gt;3,Каталог!$S$9,1))))</f>
        <v>1</v>
      </c>
      <c r="GY31">
        <f t="shared" si="87"/>
        <v>0</v>
      </c>
    </row>
    <row r="32" spans="1:207" x14ac:dyDescent="0.3">
      <c r="A32" t="s">
        <v>206</v>
      </c>
      <c r="B32">
        <v>30</v>
      </c>
      <c r="C32" t="str">
        <f>IF(BD32="","",IF(BE32="вводной узел","узел ","")&amp;"л."&amp;(INT((BD32-1)/Столбцов_на_лист)+1)&amp;" / "&amp;(MOD(BD32-1,Столбцов_на_лист)+1))</f>
        <v>л.2 / 13</v>
      </c>
      <c r="D32" t="s">
        <v>695</v>
      </c>
      <c r="E32" s="133" t="s">
        <v>757</v>
      </c>
      <c r="G32">
        <v>0.12</v>
      </c>
      <c r="H32">
        <v>2</v>
      </c>
      <c r="O32">
        <v>2</v>
      </c>
      <c r="T32">
        <v>2</v>
      </c>
      <c r="AD32" t="s">
        <v>597</v>
      </c>
      <c r="AK32" t="s">
        <v>608</v>
      </c>
      <c r="AN32">
        <v>14.92</v>
      </c>
      <c r="AO32" t="s">
        <v>656</v>
      </c>
      <c r="AQ32" t="s">
        <v>657</v>
      </c>
      <c r="AR32" t="str">
        <f t="shared" si="1"/>
        <v/>
      </c>
      <c r="AS32" cm="1">
        <f t="array" ref="AS32">ROW()-ROW(Линии[#Headers])</f>
        <v>30</v>
      </c>
      <c r="AT32" s="6" t="str">
        <f t="shared" si="2"/>
        <v>R</v>
      </c>
      <c r="AU32" t="str">
        <f t="shared" si="3"/>
        <v>1.05.6</v>
      </c>
      <c r="AV32" t="str">
        <f t="shared" si="4"/>
        <v>1</v>
      </c>
      <c r="AW32" t="str">
        <f t="shared" si="5"/>
        <v>05.6</v>
      </c>
      <c r="AX32" t="str">
        <f t="shared" si="6"/>
        <v>05</v>
      </c>
      <c r="AY32" t="str">
        <f>IF(D32="","",IF(ISERROR(SEARCH(".",D32)),IFERROR(VLOOKUP(D32,Потребители_обозначение,2,FALSE)&amp;"",""),IFERROR(IF(VLOOKUP(AT32,Потребители_обозначение,4,FALSE)=1,VLOOKUP(AT32,Потребители_обозначение,2,FALSE)&amp;" "&amp;VLOOKUP(AV32,Этаж_обозначение,2,FALSE)&amp;" Пом. №"&amp;AX32,VLOOKUP(AT32,Потребители_обозначение,2,FALSE)&amp;" Шлейф №"&amp;AV32),IFERROR(VLOOKUP(D32,Потребители_обозначение,2,FALSE),""))))</f>
        <v>Розеточная группа  Пом. №05</v>
      </c>
      <c r="AZ32" t="str">
        <f t="shared" si="7"/>
        <v>Розеточная группа  Пом. №05 ПММ, измельчитель</v>
      </c>
      <c r="BA32" t="str">
        <f>IF(F32&lt;&gt;"",F32,IF(AND(D32&lt;&gt;"",D32&lt;&gt;A32,ISNUMBER(_xlfn.XMATCH(D32,Щиты[Щит]))),D32,""))</f>
        <v/>
      </c>
      <c r="BB32">
        <f>IFERROR(_xlfn.XMATCH(A32,Щиты[Щит]),0)</f>
        <v>1</v>
      </c>
      <c r="BC32">
        <f>IFERROR(N(_xlfn.XLOOKUP(A32,Щиты[Щит],Щиты[Мест под вводной узел])),15)</f>
        <v>18</v>
      </c>
      <c r="BD32">
        <f t="shared" si="8"/>
        <v>30</v>
      </c>
      <c r="BE32" t="str">
        <f t="shared" si="9"/>
        <v>линии</v>
      </c>
      <c r="BF32" s="6">
        <f>IF(D32="","",IF(BA32&lt;&gt;"",IFERROR(_xlfn.XLOOKUP(BA32,Щиты[Щит],Щиты[Руст, кВт]),0),N(G32)))</f>
        <v>0.12</v>
      </c>
      <c r="BG32">
        <f>IF(J32&lt;&gt;"",J32,IF(D32="","",IFERROR(IF(VLOOKUP(AT32,Потребители_обозначение,8,FALSE)=0,"",VLOOKUP(AT32,Потребители_обозначение,8,FALSE)),"")))</f>
        <v>230</v>
      </c>
      <c r="BH32">
        <f>IF(I32&lt;&gt;"",I32,IF(D32="","",IFERROR(IF(VLOOKUP(AT32,Потребители_обозначение,9,FALSE)=0,"",VLOOKUP(AT32,Потребители_обозначение,9,FALSE)),"")))</f>
        <v>1</v>
      </c>
      <c r="BI32" t="str">
        <f>IF(U32&lt;&gt;"",U32,IF(D32="","",IFERROR(IF(VLOOKUP(AT32,Потребители_обозначение,6,FALSE)=0,"",VLOOKUP(AT32,Потребители_обозначение,6,FALSE)),"")))</f>
        <v>мс</v>
      </c>
      <c r="BJ32">
        <f>IF(V32&lt;&gt;"",V32,IF(D32="","",IFERROR(IF(VLOOKUP(AT32,Потребители_обозначение,7,FALSE)=0,"",VLOOKUP(AT32,Потребители_обозначение,7,FALSE)),"")))</f>
        <v>3</v>
      </c>
      <c r="BK32">
        <f>IF(W32&lt;&gt;"",W32,IF(D32="","",IFERROR(IF(VLOOKUP(AT32,Потребители_обозначение,10,FALSE)=0,"",VLOOKUP(AT32,Потребители_обозначение,10,FALSE)),"")))</f>
        <v>2.5</v>
      </c>
      <c r="BL32">
        <f>IFERROR(VLOOKUP(AT32,Потребители_обозначение,5,FALSE),0)</f>
        <v>1</v>
      </c>
      <c r="BM32" s="6" cm="1">
        <f t="array" ref="BM32">IF(D32="","",IF(BA32&lt;&gt;"",IFERROR(_xlfn.XLOOKUP(BA32,Щиты[Щит],Щиты[cos φ]),0.95),IF(ISNUMBER(M32),M32,IFERROR(IF(BL32=2,_xlfn.IFS(BH32=3,VLOOKUP(BF32,Справочная_двигатели,8,FALSE),BH32=1,VLOOKUP(BF32,Справочная_двигатели,10,TRUE)),IF(AND(Методика="нормы 2026",CN32="Сил"),0.8,0.95)),0.95))))</f>
        <v>0.95</v>
      </c>
      <c r="BN32" s="6" cm="1">
        <f t="array" ref="BN32">IF(D32="","",IF(BA32&lt;&gt;"",IFERROR(_xlfn.XLOOKUP(BA32,Щиты[Щит],Щиты[Iр, А]),""),IFERROR(_xlfn.IFS(BH32=1,BF32/((Uн_лин/SQRT(3))*BM32),BH32=3,BF32/(SQRT(3)*Uн_лин*BM32)),"")))</f>
        <v>0.54696341291648753</v>
      </c>
      <c r="BO32">
        <f>IF(D32="","",IF(N(X32)=0,IFERROR(VLOOKUP(BN32,Автомат_номиналы,2,TRUE),""),X32))</f>
        <v>6</v>
      </c>
      <c r="BP32">
        <f t="shared" si="10"/>
        <v>1</v>
      </c>
      <c r="BQ32">
        <f>IF(ISNUMBER(Y32),Y32,К_прокл)</f>
        <v>1</v>
      </c>
      <c r="BR32">
        <f t="shared" si="11"/>
        <v>2</v>
      </c>
      <c r="BS32" cm="1">
        <f t="array" ref="BS32">IF(D32="","",IF(N(BK32)&lt;&gt;0,BK32,IFERROR(_xlfn.LET(_xlpm.need,BO32/(BP32*BQ32),_xlpm.t,CHOOSE(BR32,Iдоп_1ж,Iдоп_2ж,Iдоп_3ж),_xlpm.k,_xlfn.XMATCH(_xlpm.need,_xlpm.t,1),IF(ISNA(_xlpm.k),"Не исп",INDEX(Iдоп_S,_xlpm.k))),"Не исп")))</f>
        <v>2.5</v>
      </c>
      <c r="BT32">
        <f>IFERROR(VLOOKUP(BS32,Кабель_сопротивление,3,FALSE),"")</f>
        <v>2.2499999999999999E-2</v>
      </c>
      <c r="BU32">
        <f>IFERROR(VLOOKUP(BS32,Кабель_сопротивление,2,FALSE),"")</f>
        <v>0.1</v>
      </c>
      <c r="BV32">
        <f t="shared" si="12"/>
        <v>15</v>
      </c>
      <c r="BW32" s="6">
        <f>IF(D32="","",IFERROR(IF(VLOOKUP(AT32,Потребители_обозначение,4,FALSE)=1,VLOOKUP(AT32,Потребители_обозначение,3,FALSE)*(H32*2-1)+BV32+VLOOKUP(AV32,Этаж_обозначение,3,FALSE)+VLOOKUP(AV32,Этаж_обозначение,4,FALSE),VLOOKUP(AT32,Потребители_обозначение,3,FALSE)*(H32*2-1)+BV32),BV32))</f>
        <v>21</v>
      </c>
      <c r="BX32">
        <f t="shared" si="13"/>
        <v>0</v>
      </c>
      <c r="BY32">
        <f t="shared" si="14"/>
        <v>17</v>
      </c>
      <c r="BZ32">
        <f t="shared" si="15"/>
        <v>2</v>
      </c>
      <c r="CA32">
        <f t="shared" si="16"/>
        <v>0.31</v>
      </c>
      <c r="CB32">
        <f t="shared" si="17"/>
        <v>0.19712670794192794</v>
      </c>
      <c r="CC32" s="6">
        <f>IFERROR(ROUNDUP(CB32/((Uн_лин/SQRT(3))*1000)*100,2),"")</f>
        <v>0.09</v>
      </c>
      <c r="CD32" s="6">
        <f>IF(ISNUMBER(CC32),CC32+IFERROR(_xlfn.XLOOKUP(A32,Щиты[Щит],Щиты[ΔU до шин, %]),0),"")</f>
        <v>0.09</v>
      </c>
      <c r="CE32" s="6">
        <f>IF(D32="","",IF(IFERROR(VLOOKUP(AT32,УГО_спр,2,FALSE),"")="Светильник",3,4)+IF(Методика="нормы 2026",MIN(0.5,MAX(0,N(BW32)-100)*0.005),0))</f>
        <v>4</v>
      </c>
      <c r="CF32" t="str">
        <f>IFERROR(VLOOKUP(BI32,Кабель_обозначение,2,FALSE),"")</f>
        <v>ВВГнг(А)-LS</v>
      </c>
      <c r="CG32" t="str">
        <f>IFERROR(IF(VLOOKUP(BI32,Кабель_обозначение,3,FALSE)=1,CF32&amp;" ("&amp;BJ32&amp;"х"&amp;BS32&amp;")",CF32),"")</f>
        <v>ВВГнг(А)-LS (3х2,5)</v>
      </c>
      <c r="CH32" t="str">
        <f t="shared" si="18"/>
        <v>ВВГнг(А)-LS (3х2,5)
L=21-0,09%</v>
      </c>
      <c r="CI32">
        <f>IFERROR(2*ρкз_Cu*BW32/BS32,"")</f>
        <v>0.44184000000000001</v>
      </c>
      <c r="CJ32">
        <f t="shared" si="19"/>
        <v>0.14700000000000002</v>
      </c>
      <c r="CK32" s="6" t="str">
        <f>IFERROR(IF(OR(D32="",NOT(ISNUMBER(BS32)),N(BW32)=0),"",_xlfn.XLOOKUP(A32,Щиты[Щит],Щиты[Zпетли на шинах, Ом])+CI32),"")</f>
        <v/>
      </c>
      <c r="CL32" s="6" t="str">
        <f>IF(ISNUMBER(CK32),c_min*(Uн_лин*1000/SQRT(3))/CK32,"")</f>
        <v/>
      </c>
      <c r="CM32" s="6" t="str">
        <f>IFERROR(IF(OR(D32="",NOT(ISNUMBER(BS32))),"",1.05*(Uн_лин*1000/SQRT(3))/(_xlfn.XLOOKUP(A32,Щиты[Щит],Щиты[Zmax на шинах, Ом])+CJ32)/1000),"")</f>
        <v/>
      </c>
      <c r="CN32" s="6" t="str">
        <f>IF(D32="","",IF(BA32&lt;&gt;"","Щит",IF(K32&lt;&gt;"",K32,IF(ISNUMBER(L32),"Сил",IF(IFERROR(_xlfn.XLOOKUP(AT32,Коды_код,Коды_группа)&amp;"","")="","Быт",_xlfn.XLOOKUP(AT32,Коды_код,Коды_группа)&amp;"")))))</f>
        <v>Быт</v>
      </c>
      <c r="CO32" s="6">
        <f>IF(CN32="Щит","щит",IF(CN32="","",IF(CN32="Быт",IFERROR(_xlfn.XLOOKUP(A32,Щиты[Щит],Щиты[Кс быт]),1),IF(CN32="Сил",IF(ISNUMBER(L32),L32,IF(Методика="нормы 2026",IFERROR(_xlfn.XLOOKUP(A32,Щиты[Щит],Щиты[Кс силовых (табл. 7.5)]),1),1)),IF(OR(CN32="Пост",CN32="Отоп"),1,IF(CN32="ВНГ",0.7,0))))))</f>
        <v>0.8</v>
      </c>
      <c r="CP32">
        <f t="shared" si="20"/>
        <v>1</v>
      </c>
      <c r="CQ32">
        <f t="shared" si="21"/>
        <v>0.12</v>
      </c>
      <c r="CR32">
        <f t="shared" si="22"/>
        <v>0.12</v>
      </c>
      <c r="CS32">
        <f t="shared" si="23"/>
        <v>0</v>
      </c>
      <c r="CT32">
        <f t="shared" si="24"/>
        <v>0</v>
      </c>
      <c r="CU32">
        <f t="shared" si="25"/>
        <v>0</v>
      </c>
      <c r="CV32">
        <f t="shared" si="26"/>
        <v>0</v>
      </c>
      <c r="CW32">
        <f t="shared" si="27"/>
        <v>0.12</v>
      </c>
      <c r="CX32">
        <f t="shared" si="28"/>
        <v>0.11399999999999999</v>
      </c>
      <c r="CY32">
        <f t="shared" si="29"/>
        <v>2</v>
      </c>
      <c r="CZ32" t="str">
        <f t="shared" si="30"/>
        <v>L2</v>
      </c>
      <c r="DA32" cm="1">
        <f t="array" ref="DA32">IFERROR(IF(BL32=2,_xlfn.IFS(BH32=3,VLOOKUP(BF32,Справочная_двигатели,3,FALSE),BH32=1,VLOOKUP(BF32,Справочная_двигатели,5,TRUE)),0),0)</f>
        <v>0</v>
      </c>
      <c r="DB32">
        <f>IFERROR(IF(BL32=3,VLOOKUP(BF32,Справочная_ЛЭД,2,TRUE),0),0)</f>
        <v>0</v>
      </c>
      <c r="DC32" s="6">
        <f t="shared" si="31"/>
        <v>0</v>
      </c>
      <c r="DD32" t="str">
        <f t="shared" si="32"/>
        <v>L2</v>
      </c>
      <c r="DE32" t="str" cm="1">
        <f t="array" ref="DE32">IF(D32="","",IFERROR(INDEX({"I особая","I","II","III"},MATCH(TRIM(AA32&amp;""),{"I особая","I","II","III"},0)),"III"))</f>
        <v>III</v>
      </c>
      <c r="DF32" t="str">
        <f>IF(D32="","",IF(TRIM(AB32&amp;"")&lt;&gt;"",IF(LOWER(TRIM(AB32&amp;""))="да","да","нет"),IF(IFERROR(_xlfn.XLOOKUP(AT32,Коды_код,Коды_пожарная),"")="да","да","нет")))</f>
        <v>нет</v>
      </c>
      <c r="DG32" t="str">
        <f t="shared" si="33"/>
        <v/>
      </c>
      <c r="DH32" t="str">
        <f t="shared" si="34"/>
        <v>основная</v>
      </c>
      <c r="DI32">
        <f t="shared" si="35"/>
        <v>1</v>
      </c>
      <c r="DJ32" t="str" cm="1">
        <f t="array" ref="DJ32">IF(D32="","",_xlfn.LET(_xlpm.t,IFERROR(_xlfn.XLOOKUP(1,(Шины[Шина]=DH32)*(((Шины[Щит]=A32)+(Шины[Щит]=""))&gt;0),Шины[Тип]),"")&amp;"",IF(_xlpm.t&lt;&gt;"",_xlpm.t,IF(ISNUMBER(SEARCH("ИБП",DH32)),"ИБП",IF(ISNUMBER(SEARCH("ДГУ",DH32)),"ДГУ","Ввод "&amp;DI32)))))</f>
        <v>Ввод 1</v>
      </c>
      <c r="DK32" t="str">
        <f t="shared" si="36"/>
        <v>Ввод 1</v>
      </c>
      <c r="DL32" t="str">
        <f>IF(D32="","",IF(OR(DJ32="ИБП",DJ32="ДГУ"),"I особая",IF(DJ32="Одиночная","III",_xlfn.XLOOKUP(A32,Щиты[Щит],Щиты[Категория шины «Ввод»],"III"))))</f>
        <v>III</v>
      </c>
      <c r="DM32">
        <f>IF(D32="",0,IFERROR(MATCH(DE32,{"III","II","I","I особая"},0),1))</f>
        <v>1</v>
      </c>
      <c r="DN32">
        <f t="shared" si="37"/>
        <v>1</v>
      </c>
      <c r="DO32" t="str">
        <f>IF(D32="","",IF(DM32&gt;IFERROR(MATCH(DL32,{"III","II","I","I особая"},0),1),"НЕ ОБЕСПЕЧЕНА","ОК"))</f>
        <v>ОК</v>
      </c>
      <c r="DP32" t="str">
        <f>IF(A32="","",_xlfn.XLOOKUP(A32,Щиты[Щит],Щиты[Путь],""))</f>
        <v>|ЩР|</v>
      </c>
      <c r="DQ32" t="str">
        <f>IF(D32="","",IF(Z32&lt;&gt;"",Z32,IF(IFERROR(_xlfn.XLOOKUP(AT32,Коды_код,Коды_вид)&amp;"","")="","Прочее",_xlfn.XLOOKUP(AT32,Коды_код,Коды_вид)&amp;"")))</f>
        <v>Розеточная сеть и бытовые приборы</v>
      </c>
      <c r="DR32">
        <f>IF(BD32="","",INT((BD32-1)/Столбцов_на_лист)+1)</f>
        <v>2</v>
      </c>
      <c r="DS32" t="str">
        <f t="shared" si="38"/>
        <v>ВВГнг(А)-LS (3х2,5) L=21-0,09%</v>
      </c>
      <c r="DT32">
        <f t="shared" si="39"/>
        <v>0.12</v>
      </c>
      <c r="DU32">
        <f t="shared" si="40"/>
        <v>0.55000000000000004</v>
      </c>
      <c r="DV32">
        <f t="shared" si="41"/>
        <v>1</v>
      </c>
      <c r="DW32">
        <f>IF(AT32="",0,_xlfn.LET(_xlpm.v,IFERROR(VLOOKUP(D32,УГО_спр,3,FALSE),IFERROR(VLOOKUP(AT32,УГО_спр,3,FALSE),IFERROR(VLOOKUP(LEFT(AT32,2),УГО_спр,3,FALSE),""))),IF(_xlpm.v="да",30,IF(ISNUMBER(_xlpm.v),_xlpm.v,0))))</f>
        <v>30</v>
      </c>
      <c r="DX32">
        <f t="shared" si="42"/>
        <v>0</v>
      </c>
      <c r="DY32">
        <f>IF(BD32="","",IF(AD32&lt;&gt;"",COUNTIFS(A$3:A32,A32,AD$3:AD32,"?*"),IF(OR(OR(AS32=1,A32&lt;&gt;A31),AL32="вручную"),"",IF(AS32=1,"",DZ31))))</f>
        <v>11</v>
      </c>
      <c r="DZ32">
        <f t="shared" si="43"/>
        <v>11</v>
      </c>
      <c r="EA32">
        <f>IF(D32="",0,MAX(IFERROR(--X32,0),IFERROR(--VLOOKUP(D32,УГО_спр,4,FALSE),IFERROR(--VLOOKUP(AT32,УГО_спр,4,FALSE),IFERROR(--VLOOKUP(LEFT(AT32,2),УГО_спр,4,FALSE),0)))))</f>
        <v>16</v>
      </c>
      <c r="EB32">
        <f>IF(D32="","",IFERROR(LOOKUP(INDEX(CHOOSE(BR32,Iдоп_1ж,Iдоп_2ж,Iдоп_3ж),MATCH(BS32,Iдоп_S,0))*BP32*BQ32,{6,10,16,20,25,32,40,50,63,80,100,125,160,200,250,315,400,500,630}),""))</f>
        <v>25</v>
      </c>
      <c r="EC32">
        <f>IF(AD32="","",SUMIFS(Линии[_Ток схемы],Линии[_гр.],DY32,Линии[Щит],A32,Линии[_в кабель выше],0))</f>
        <v>0.55000000000000004</v>
      </c>
      <c r="ED32">
        <f>IF(AD32="","",IFERROR(VLOOKUP(EC32,Автомат_номиналы,2,TRUE),""))</f>
        <v>6</v>
      </c>
      <c r="EE32">
        <f>IF(AD32="","",MAX(N(ED32),_xlfn.MAXIFS(Линии[_мин. по типу],Линии[_гр.],DY32,Линии[Щит],A32)))</f>
        <v>16</v>
      </c>
      <c r="EF32">
        <f>IF(AD32="","",_xlfn.MINIFS(Линии[_макс. автомат по кабелю],Линии[_гр.],DY32,Линии[Щит],A32))</f>
        <v>25</v>
      </c>
      <c r="EG32">
        <f>IF(AD32="","",MAX(1,_xlfn.MAXIFS(Линии[_фаз],Линии[_гр.],DY32,Линии[Щит],A32)))</f>
        <v>1</v>
      </c>
      <c r="EH32">
        <f>IF(AD32="","",IF(AND(AD32&lt;&gt;"авто",AD32&lt;&gt;"+"),IF(ISNUMBER(SEARCH("мА",AD32)),IFERROR(--TRIM(RIGHT(SUBSTITUTE(LEFT(AD32,SEARCH("мА",AD32)-1)," ",REPT(" ",9)),6)),30),0),IF(AE32="нет",0,IF(ISNUMBER(AE32),AE32,IF(AE32="да",30,_xlfn.MINIFS(Линии[_дифзащита по коду, мА],Линии[_гр.],DY32,Линии[Щит],A32,Линии[_дифзащита по коду, мА],"&gt;0"))))))</f>
        <v>30</v>
      </c>
      <c r="EI32">
        <f t="shared" si="44"/>
        <v>1</v>
      </c>
      <c r="EJ32" t="str">
        <f t="shared" si="45"/>
        <v>QFD11</v>
      </c>
      <c r="EK32" t="str">
        <f t="shared" si="46"/>
        <v>QFD11</v>
      </c>
      <c r="EL32" t="str">
        <f t="shared" si="47"/>
        <v/>
      </c>
      <c r="EM32">
        <f t="shared" si="48"/>
        <v>0</v>
      </c>
      <c r="EN32">
        <f>IF(AD32="","",IF(EM32=1,MAX(EE32,Мин_автомат_БП),EE32))</f>
        <v>16</v>
      </c>
      <c r="EO32" t="str">
        <f t="shared" si="49"/>
        <v>2P</v>
      </c>
      <c r="EP32" t="str">
        <f t="shared" si="50"/>
        <v>2P С16А 30мА</v>
      </c>
      <c r="EQ32">
        <f t="shared" si="51"/>
        <v>16</v>
      </c>
      <c r="ER32" t="str">
        <f>IF(OR(AI32="",AI32="-"),"",IFERROR(VLOOKUP(AI32,Модули_спр,2,FALSE),"R"))</f>
        <v/>
      </c>
      <c r="ES32" t="str">
        <f>IF(ER32="","",ER32&amp;"."&amp;COUNTIFS(A$3:A32,A32,ER$3:ER32,ER32))</f>
        <v/>
      </c>
      <c r="ET32" t="str">
        <f t="shared" si="52"/>
        <v/>
      </c>
      <c r="EU32" t="str">
        <f t="shared" si="53"/>
        <v/>
      </c>
      <c r="EV32" t="str">
        <f t="shared" si="54"/>
        <v/>
      </c>
      <c r="EW32" t="str">
        <f t="shared" si="55"/>
        <v/>
      </c>
      <c r="EX32">
        <f t="shared" si="56"/>
        <v>1</v>
      </c>
      <c r="EY32" t="str">
        <f>IF(AK32="нет","",IF(AK32&lt;&gt;"",AK32,IF(EX32=1,"XT"&amp;COUNTIFS(A$3:A32,A32,EX$3:EX32,1),"")))</f>
        <v>XT11</v>
      </c>
      <c r="EZ32" t="str">
        <f t="shared" si="57"/>
        <v>QFD11</v>
      </c>
      <c r="FA32" t="str">
        <f t="shared" si="58"/>
        <v/>
      </c>
      <c r="FB32" t="str">
        <f t="shared" si="59"/>
        <v>ok</v>
      </c>
      <c r="FC32" t="str">
        <f>IF(OR(EV32="",ET32=""),"",IF(EV32&gt;IFERROR(VLOOKUP(EU32,Модули_спр,3,FALSE),99),"ЛИШНИЙ КАНАЛ",IF(AND(AJ32&lt;&gt;"=",COUNTIFS(Линии[_модуль гр.],ET32,Линии[Канал (итог)],EV32,Линии[Канал],"&lt;&gt;=",Линии[Щит],A32)&gt;1),"ДУБЛЬ КАНАЛА","")))</f>
        <v/>
      </c>
      <c r="FD32">
        <f t="shared" si="60"/>
        <v>16</v>
      </c>
      <c r="FE32" t="str">
        <f t="shared" si="61"/>
        <v>2P С16А 30мА</v>
      </c>
      <c r="FF32">
        <f t="shared" si="62"/>
        <v>1</v>
      </c>
      <c r="FG32">
        <f t="shared" si="63"/>
        <v>30</v>
      </c>
      <c r="FH32" s="6" t="str">
        <f t="shared" si="64"/>
        <v/>
      </c>
      <c r="FI32">
        <f t="shared" si="65"/>
        <v>10</v>
      </c>
      <c r="FJ32" t="str">
        <f t="shared" si="66"/>
        <v/>
      </c>
      <c r="FK32" t="str">
        <f>IF(AND(D32="",EZ32=""),"",_xlfn.TEXTJOIN("; ",TRUE,IF(AND(D32&lt;&gt;"",DD32=""),"нет фазы",""),IF(AND(D32&lt;&gt;"",N(DT32)=0,CN32&lt;&gt;"Нет"),"нет мощности",""),IF(AND(EY32&lt;&gt;"",COUNTIFS(Линии[Щит],A32,Линии[Клемма (итог)],EY32)&gt;1),"дубль клеммы "&amp;EY32,""),IF(AND(FB32&lt;&gt;"",FB32&lt;&gt;"ok"),FB32,""),IF(FC32&lt;&gt;"",FC32,""),IF(AND(ISNUMBER(SEARCH("(5х",DS32)),N(DV32)=1),"5 жил на 1 фазе",""),IF(AND(AT32="R",AD32&lt;&gt;"",OR(N(EH32)=0,N(EH32)&gt;30)),"розетка без дифзащиты до 30 мА",""),IFERROR(IF(AND(ISNUMBER(CD32),CD32&gt;CE32),"потери "&amp;FIXED(CD32,1)&amp;" % &gt; "&amp;CE32&amp;" %",""),""),IFERROR(IF(LEFT(FJ32,4)="мало","Iкз мало — отключение &gt; 0,4 с",""),""),IF(AND(D32&lt;&gt;"",BD32=""),"не на схеме","")))</f>
        <v/>
      </c>
      <c r="FL32" s="6">
        <f>IF(AD32="","",_xlfn.LET(_xlpm.t,IFERROR(_xlfn.XLOOKUP(EP32,Каталог!$U$4:$U$500,Каталог!$G$4:$G$500),""),_xlpm.k,SEARCH("кА",_xlpm.t),IFERROR(--TRIM(RIGHT(SUBSTITUTE(MID(_xlpm.t,MAX(1,_xlpm.k-4),_xlpm.k-MAX(1,_xlpm.k-4))," ",REPT(" ",9)),5)),"")))</f>
        <v>6</v>
      </c>
      <c r="FM32" t="str">
        <f>IF(OR(FL32="",AD32=""),"",IF(_xlfn.XLOOKUP(A32,Щиты[Щит],Щиты[Iкз max на шинах, кА],"")="","",IF(FL32&lt;_xlfn.XLOOKUP(A32,Щиты[Щит],Щиты[Iкз max на шинах, кА]),"Icu "&amp;FL32&amp;" кА &lt; Iкз max","ok")))</f>
        <v/>
      </c>
      <c r="FN32" t="str">
        <f t="shared" si="67"/>
        <v>QFD11|XT11</v>
      </c>
      <c r="FO32" t="str">
        <f t="shared" si="68"/>
        <v>QFD11|XT11|кабель ВВГнг(А)-LS (3х2,5) → Розеточная группа  Пом. №05 ПММ, измельчитель</v>
      </c>
      <c r="FP32" t="str" cm="1">
        <f t="array" ref="FP32">IF(FO32="","",_xlfn.LET(_xlpm.nd,_xlfn.TEXTSPLIT(FO32,"|"),IF(COLUMNS(_xlpm.nd)&gt;1,A32&amp;"¦"&amp;INDEX(_xlpm.nd,1)&amp;"¦"&amp;INDEX(_xlpm.nd,2),"")))</f>
        <v>ЩР¦QFD11¦XT11</v>
      </c>
      <c r="FQ32" t="str">
        <f t="shared" si="69"/>
        <v>R.1.05.6¦Розеточная группа  Пом. №05 ПММ, измельчитель</v>
      </c>
      <c r="FR32" t="str" cm="1">
        <f t="array" ref="FR32">IF(FO32="","",_xlfn.LET(_xlpm.nd,_xlfn.TEXTSPLIT(FO32,"|"),IF(COLUMNS(_xlpm.nd)&gt;2,A32&amp;"¦"&amp;INDEX(_xlpm.nd,2)&amp;"¦"&amp;INDEX(_xlpm.nd,3),"")))</f>
        <v>ЩР¦XT11¦кабель ВВГнг(А)-LS (3х2,5) → Розеточная группа  Пом. №05 ПММ, измельчитель</v>
      </c>
      <c r="FS32" t="str">
        <f t="shared" si="70"/>
        <v>R.1.05.6¦Розеточная группа  Пом. №05 ПММ, измельчитель</v>
      </c>
      <c r="FT32" t="str" cm="1">
        <f t="array" ref="FT32">IF(FO32="","",_xlfn.LET(_xlpm.nd,_xlfn.TEXTSPLIT(FO32,"|"),IF(COLUMNS(_xlpm.nd)&gt;3,A32&amp;"¦"&amp;INDEX(_xlpm.nd,3)&amp;"¦"&amp;INDEX(_xlpm.nd,4),"")))</f>
        <v/>
      </c>
      <c r="FU32" t="str">
        <f t="shared" si="71"/>
        <v/>
      </c>
      <c r="FV32" t="str" cm="1">
        <f t="array" ref="FV32">IF(FO32="","",_xlfn.LET(_xlpm.nd,_xlfn.TEXTSPLIT(FO32,"|"),IF(COLUMNS(_xlpm.nd)&gt;4,A32&amp;"¦"&amp;INDEX(_xlpm.nd,4)&amp;"¦"&amp;INDEX(_xlpm.nd,5),"")))</f>
        <v/>
      </c>
      <c r="FW32" t="str">
        <f t="shared" si="72"/>
        <v/>
      </c>
      <c r="FX32" t="str" cm="1">
        <f t="array" ref="FX32">IF(FO32="","",_xlfn.LET(_xlpm.nd,_xlfn.TEXTSPLIT(FO32,"|"),IF(COLUMNS(_xlpm.nd)&gt;5,A32&amp;"¦"&amp;INDEX(_xlpm.nd,5)&amp;"¦"&amp;INDEX(_xlpm.nd,6),"")))</f>
        <v/>
      </c>
      <c r="FY32" t="str">
        <f t="shared" si="73"/>
        <v/>
      </c>
      <c r="FZ32" t="str" cm="1">
        <f t="array" ref="FZ32">IF(FO32="","",_xlfn.LET(_xlpm.nd,_xlfn.TEXTSPLIT(FO32,"|"),IF(COLUMNS(_xlpm.nd)&gt;6,A32&amp;"¦"&amp;INDEX(_xlpm.nd,6)&amp;"¦"&amp;INDEX(_xlpm.nd,7),"")))</f>
        <v/>
      </c>
      <c r="GA32" t="str">
        <f t="shared" si="74"/>
        <v/>
      </c>
      <c r="GB32" t="str">
        <f t="shared" si="75"/>
        <v/>
      </c>
      <c r="GC32" t="str">
        <f t="shared" si="76"/>
        <v>QFD11 → XT11</v>
      </c>
      <c r="GD32">
        <f t="shared" si="77"/>
        <v>1</v>
      </c>
      <c r="GE32">
        <f t="shared" si="78"/>
        <v>0</v>
      </c>
      <c r="GF32">
        <f t="shared" si="79"/>
        <v>1</v>
      </c>
      <c r="GG32" t="str">
        <f t="shared" si="80"/>
        <v/>
      </c>
      <c r="GH32" t="str">
        <f t="shared" si="81"/>
        <v/>
      </c>
      <c r="GI32" t="str">
        <f t="shared" si="82"/>
        <v/>
      </c>
      <c r="GJ32" t="str">
        <f t="shared" si="83"/>
        <v/>
      </c>
      <c r="GK32" t="str">
        <f>IF(D32="","",IFERROR(VLOOKUP(D32,УГО_спр,2,FALSE),IFERROR(VLOOKUP(AT32,УГО_спр,2,FALSE),IFERROR(VLOOKUP(LEFT(AT32,2),УГО_спр,2,FALSE),""))))</f>
        <v>Розетка</v>
      </c>
      <c r="GL32" t="str">
        <f>IF(D32="","",IF(OR(GK32="",GK32=0),"BOX",IFERROR(IF(VLOOKUP(GK32,УГО_блоки,3,FALSE)&amp;""&lt;&gt;"",VLOOKUP(GK32,УГО_блоки,3,FALSE),VLOOKUP(GK32,УГО_блоки,2,FALSE)),GK32)))</f>
        <v>SOCKET</v>
      </c>
      <c r="GM32">
        <f t="shared" si="84"/>
        <v>1</v>
      </c>
      <c r="GN32" t="str">
        <f>IF(EP32="","",IF(COUNTIF(EP$3:EP32,EP32)=1,MAX(GN$2:GN31)+1,""))</f>
        <v/>
      </c>
      <c r="GO32" t="str">
        <f>IF(AF32="","",IF(COUNTIF(AF$3:AF32,AF32)+COUNTIF(AG$2:AG31,AF32)+COUNTIF(AH$2:AH31,AF32)=1,MAX(GO$2:GQ31)+1,""))</f>
        <v/>
      </c>
      <c r="GP32" t="str">
        <f>IF(AG32="","",IF(COUNTIF(AF$3:AF32,AG32)+COUNTIF(AG$3:AG32,AG32)+COUNTIF(AH$2:AH31,AG32)=1,MAX(GO$2:GQ31,GO32)+1,""))</f>
        <v/>
      </c>
      <c r="GQ32" t="str">
        <f>IF(AH32="","",IF(COUNTIF(AF$3:AF32,AH32)+COUNTIF(AG$3:AG32,AH32)+COUNTIF(AH$3:AH32,AH32)=1,MAX(GO$2:GQ31,GO32,GP32)+1,""))</f>
        <v/>
      </c>
      <c r="GR32" t="str">
        <f t="shared" si="85"/>
        <v>3х2,5</v>
      </c>
      <c r="GS32" t="str">
        <f>IF(GR32="","",IF(COUNTIF(GR$3:GR32,GR32)=1,MAX(GS$2:GS31)+1,""))</f>
        <v/>
      </c>
      <c r="GT32" t="str">
        <f>IF(ES32="","",COUNTIF(ES$3:ES32,"?*"))</f>
        <v/>
      </c>
      <c r="GU32" t="str">
        <f>IF(OR(ES32="",EU32=""),"",IF(COUNTIFS(ES$3:ES32,"?*",EU$3:EU32,EU32)=1,MAX(GU$2:GU31)+1,""))</f>
        <v/>
      </c>
      <c r="GV32">
        <f t="shared" si="86"/>
        <v>0</v>
      </c>
      <c r="GW32">
        <f>IF(D32="","",COUNTIF(D$3:D32,"?*"))</f>
        <v>12</v>
      </c>
      <c r="GX32">
        <f>IF(EX32&lt;&gt;1,0,_xlfn.LET(_xlpm.k,MAX(IFERROR(--VLOOKUP(D32,УГО_спр,5,FALSE),0),IFERROR(--VLOOKUP(AT32,УГО_спр,5,FALSE),0),IFERROR(--VLOOKUP(LEFT(AT32,2),УГО_спр,5,FALSE),0)),IF(_xlpm.k&gt;0,_xlpm.k,IF(IFERROR(--LEFT(SUBSTITUTE(GR32,"x","х"),FIND("х",SUBSTITUTE(GR32,"x","х"))-1),3)&gt;3,Каталог!$S$9,1))))</f>
        <v>1</v>
      </c>
      <c r="GY32">
        <f t="shared" si="87"/>
        <v>0</v>
      </c>
    </row>
    <row r="33" spans="1:207" x14ac:dyDescent="0.3">
      <c r="A33" t="s">
        <v>206</v>
      </c>
      <c r="B33">
        <v>31</v>
      </c>
      <c r="C33" t="str">
        <f>IF(BD33="","",IF(BE33="вводной узел","узел ","")&amp;"л."&amp;(INT((BD33-1)/Столбцов_на_лист)+1)&amp;" / "&amp;(MOD(BD33-1,Столбцов_на_лист)+1))</f>
        <v>л.2 / 14</v>
      </c>
      <c r="D33" t="s">
        <v>692</v>
      </c>
      <c r="E33" s="133" t="s">
        <v>758</v>
      </c>
      <c r="G33">
        <v>0.12</v>
      </c>
      <c r="H33">
        <v>2</v>
      </c>
      <c r="O33">
        <v>3</v>
      </c>
      <c r="T33">
        <v>2</v>
      </c>
      <c r="AD33" t="s">
        <v>597</v>
      </c>
      <c r="AK33" t="s">
        <v>609</v>
      </c>
      <c r="AN33">
        <v>14.99</v>
      </c>
      <c r="AO33" t="s">
        <v>650</v>
      </c>
      <c r="AQ33" t="s">
        <v>651</v>
      </c>
      <c r="AR33" t="str">
        <f t="shared" si="1"/>
        <v/>
      </c>
      <c r="AS33" cm="1">
        <f t="array" ref="AS33">ROW()-ROW(Линии[#Headers])</f>
        <v>31</v>
      </c>
      <c r="AT33" s="6" t="str">
        <f t="shared" si="2"/>
        <v>R</v>
      </c>
      <c r="AU33" t="str">
        <f t="shared" si="3"/>
        <v>1.05.7</v>
      </c>
      <c r="AV33" t="str">
        <f t="shared" si="4"/>
        <v>1</v>
      </c>
      <c r="AW33" t="str">
        <f t="shared" si="5"/>
        <v>05.7</v>
      </c>
      <c r="AX33" t="str">
        <f t="shared" si="6"/>
        <v>05</v>
      </c>
      <c r="AY33" t="str">
        <f>IF(D33="","",IF(ISERROR(SEARCH(".",D33)),IFERROR(VLOOKUP(D33,Потребители_обозначение,2,FALSE)&amp;"",""),IFERROR(IF(VLOOKUP(AT33,Потребители_обозначение,4,FALSE)=1,VLOOKUP(AT33,Потребители_обозначение,2,FALSE)&amp;" "&amp;VLOOKUP(AV33,Этаж_обозначение,2,FALSE)&amp;" Пом. №"&amp;AX33,VLOOKUP(AT33,Потребители_обозначение,2,FALSE)&amp;" Шлейф №"&amp;AV33),IFERROR(VLOOKUP(D33,Потребители_обозначение,2,FALSE),""))))</f>
        <v>Розеточная группа  Пом. №05</v>
      </c>
      <c r="AZ33" t="str">
        <f t="shared" si="7"/>
        <v>Розеточная группа  Пом. №05 Холодильник</v>
      </c>
      <c r="BA33" t="str">
        <f>IF(F33&lt;&gt;"",F33,IF(AND(D33&lt;&gt;"",D33&lt;&gt;A33,ISNUMBER(_xlfn.XMATCH(D33,Щиты[Щит]))),D33,""))</f>
        <v/>
      </c>
      <c r="BB33">
        <f>IFERROR(_xlfn.XMATCH(A33,Щиты[Щит]),0)</f>
        <v>1</v>
      </c>
      <c r="BC33">
        <f>IFERROR(N(_xlfn.XLOOKUP(A33,Щиты[Щит],Щиты[Мест под вводной узел])),15)</f>
        <v>18</v>
      </c>
      <c r="BD33">
        <f t="shared" si="8"/>
        <v>31</v>
      </c>
      <c r="BE33" t="str">
        <f t="shared" si="9"/>
        <v>линии</v>
      </c>
      <c r="BF33" s="6">
        <f>IF(D33="","",IF(BA33&lt;&gt;"",IFERROR(_xlfn.XLOOKUP(BA33,Щиты[Щит],Щиты[Руст, кВт]),0),N(G33)))</f>
        <v>0.12</v>
      </c>
      <c r="BG33">
        <f>IF(J33&lt;&gt;"",J33,IF(D33="","",IFERROR(IF(VLOOKUP(AT33,Потребители_обозначение,8,FALSE)=0,"",VLOOKUP(AT33,Потребители_обозначение,8,FALSE)),"")))</f>
        <v>230</v>
      </c>
      <c r="BH33">
        <f>IF(I33&lt;&gt;"",I33,IF(D33="","",IFERROR(IF(VLOOKUP(AT33,Потребители_обозначение,9,FALSE)=0,"",VLOOKUP(AT33,Потребители_обозначение,9,FALSE)),"")))</f>
        <v>1</v>
      </c>
      <c r="BI33" t="str">
        <f>IF(U33&lt;&gt;"",U33,IF(D33="","",IFERROR(IF(VLOOKUP(AT33,Потребители_обозначение,6,FALSE)=0,"",VLOOKUP(AT33,Потребители_обозначение,6,FALSE)),"")))</f>
        <v>мс</v>
      </c>
      <c r="BJ33">
        <f>IF(V33&lt;&gt;"",V33,IF(D33="","",IFERROR(IF(VLOOKUP(AT33,Потребители_обозначение,7,FALSE)=0,"",VLOOKUP(AT33,Потребители_обозначение,7,FALSE)),"")))</f>
        <v>3</v>
      </c>
      <c r="BK33">
        <f>IF(W33&lt;&gt;"",W33,IF(D33="","",IFERROR(IF(VLOOKUP(AT33,Потребители_обозначение,10,FALSE)=0,"",VLOOKUP(AT33,Потребители_обозначение,10,FALSE)),"")))</f>
        <v>2.5</v>
      </c>
      <c r="BL33">
        <f>IFERROR(VLOOKUP(AT33,Потребители_обозначение,5,FALSE),0)</f>
        <v>1</v>
      </c>
      <c r="BM33" s="6" cm="1">
        <f t="array" ref="BM33">IF(D33="","",IF(BA33&lt;&gt;"",IFERROR(_xlfn.XLOOKUP(BA33,Щиты[Щит],Щиты[cos φ]),0.95),IF(ISNUMBER(M33),M33,IFERROR(IF(BL33=2,_xlfn.IFS(BH33=3,VLOOKUP(BF33,Справочная_двигатели,8,FALSE),BH33=1,VLOOKUP(BF33,Справочная_двигатели,10,TRUE)),IF(AND(Методика="нормы 2026",CN33="Сил"),0.8,0.95)),0.95))))</f>
        <v>0.95</v>
      </c>
      <c r="BN33" s="6" cm="1">
        <f t="array" ref="BN33">IF(D33="","",IF(BA33&lt;&gt;"",IFERROR(_xlfn.XLOOKUP(BA33,Щиты[Щит],Щиты[Iр, А]),""),IFERROR(_xlfn.IFS(BH33=1,BF33/((Uн_лин/SQRT(3))*BM33),BH33=3,BF33/(SQRT(3)*Uн_лин*BM33)),"")))</f>
        <v>0.54696341291648753</v>
      </c>
      <c r="BO33">
        <f>IF(D33="","",IF(N(X33)=0,IFERROR(VLOOKUP(BN33,Автомат_номиналы,2,TRUE),""),X33))</f>
        <v>6</v>
      </c>
      <c r="BP33">
        <f t="shared" si="10"/>
        <v>1</v>
      </c>
      <c r="BQ33">
        <f>IF(ISNUMBER(Y33),Y33,К_прокл)</f>
        <v>1</v>
      </c>
      <c r="BR33">
        <f t="shared" si="11"/>
        <v>2</v>
      </c>
      <c r="BS33" cm="1">
        <f t="array" ref="BS33">IF(D33="","",IF(N(BK33)&lt;&gt;0,BK33,IFERROR(_xlfn.LET(_xlpm.need,BO33/(BP33*BQ33),_xlpm.t,CHOOSE(BR33,Iдоп_1ж,Iдоп_2ж,Iдоп_3ж),_xlpm.k,_xlfn.XMATCH(_xlpm.need,_xlpm.t,1),IF(ISNA(_xlpm.k),"Не исп",INDEX(Iдоп_S,_xlpm.k))),"Не исп")))</f>
        <v>2.5</v>
      </c>
      <c r="BT33">
        <f>IFERROR(VLOOKUP(BS33,Кабель_сопротивление,3,FALSE),"")</f>
        <v>2.2499999999999999E-2</v>
      </c>
      <c r="BU33">
        <f>IFERROR(VLOOKUP(BS33,Кабель_сопротивление,2,FALSE),"")</f>
        <v>0.1</v>
      </c>
      <c r="BV33">
        <f t="shared" si="12"/>
        <v>15</v>
      </c>
      <c r="BW33" s="6">
        <f>IF(D33="","",IFERROR(IF(VLOOKUP(AT33,Потребители_обозначение,4,FALSE)=1,VLOOKUP(AT33,Потребители_обозначение,3,FALSE)*(H33*2-1)+BV33+VLOOKUP(AV33,Этаж_обозначение,3,FALSE)+VLOOKUP(AV33,Этаж_обозначение,4,FALSE),VLOOKUP(AT33,Потребители_обозначение,3,FALSE)*(H33*2-1)+BV33),BV33))</f>
        <v>21</v>
      </c>
      <c r="BX33">
        <f t="shared" si="13"/>
        <v>0</v>
      </c>
      <c r="BY33">
        <f t="shared" si="14"/>
        <v>17</v>
      </c>
      <c r="BZ33">
        <f t="shared" si="15"/>
        <v>2</v>
      </c>
      <c r="CA33">
        <f t="shared" si="16"/>
        <v>0.31</v>
      </c>
      <c r="CB33">
        <f t="shared" si="17"/>
        <v>0.19712670794192794</v>
      </c>
      <c r="CC33" s="6">
        <f>IFERROR(ROUNDUP(CB33/((Uн_лин/SQRT(3))*1000)*100,2),"")</f>
        <v>0.09</v>
      </c>
      <c r="CD33" s="6">
        <f>IF(ISNUMBER(CC33),CC33+IFERROR(_xlfn.XLOOKUP(A33,Щиты[Щит],Щиты[ΔU до шин, %]),0),"")</f>
        <v>0.09</v>
      </c>
      <c r="CE33" s="6">
        <f>IF(D33="","",IF(IFERROR(VLOOKUP(AT33,УГО_спр,2,FALSE),"")="Светильник",3,4)+IF(Методика="нормы 2026",MIN(0.5,MAX(0,N(BW33)-100)*0.005),0))</f>
        <v>4</v>
      </c>
      <c r="CF33" t="str">
        <f>IFERROR(VLOOKUP(BI33,Кабель_обозначение,2,FALSE),"")</f>
        <v>ВВГнг(А)-LS</v>
      </c>
      <c r="CG33" t="str">
        <f>IFERROR(IF(VLOOKUP(BI33,Кабель_обозначение,3,FALSE)=1,CF33&amp;" ("&amp;BJ33&amp;"х"&amp;BS33&amp;")",CF33),"")</f>
        <v>ВВГнг(А)-LS (3х2,5)</v>
      </c>
      <c r="CH33" t="str">
        <f t="shared" si="18"/>
        <v>ВВГнг(А)-LS (3х2,5)
L=21-0,09%</v>
      </c>
      <c r="CI33">
        <f>IFERROR(2*ρкз_Cu*BW33/BS33,"")</f>
        <v>0.44184000000000001</v>
      </c>
      <c r="CJ33">
        <f t="shared" si="19"/>
        <v>0.14700000000000002</v>
      </c>
      <c r="CK33" s="6" t="str">
        <f>IFERROR(IF(OR(D33="",NOT(ISNUMBER(BS33)),N(BW33)=0),"",_xlfn.XLOOKUP(A33,Щиты[Щит],Щиты[Zпетли на шинах, Ом])+CI33),"")</f>
        <v/>
      </c>
      <c r="CL33" s="6" t="str">
        <f>IF(ISNUMBER(CK33),c_min*(Uн_лин*1000/SQRT(3))/CK33,"")</f>
        <v/>
      </c>
      <c r="CM33" s="6" t="str">
        <f>IFERROR(IF(OR(D33="",NOT(ISNUMBER(BS33))),"",1.05*(Uн_лин*1000/SQRT(3))/(_xlfn.XLOOKUP(A33,Щиты[Щит],Щиты[Zmax на шинах, Ом])+CJ33)/1000),"")</f>
        <v/>
      </c>
      <c r="CN33" s="6" t="str">
        <f>IF(D33="","",IF(BA33&lt;&gt;"","Щит",IF(K33&lt;&gt;"",K33,IF(ISNUMBER(L33),"Сил",IF(IFERROR(_xlfn.XLOOKUP(AT33,Коды_код,Коды_группа)&amp;"","")="","Быт",_xlfn.XLOOKUP(AT33,Коды_код,Коды_группа)&amp;"")))))</f>
        <v>Быт</v>
      </c>
      <c r="CO33" s="6">
        <f>IF(CN33="Щит","щит",IF(CN33="","",IF(CN33="Быт",IFERROR(_xlfn.XLOOKUP(A33,Щиты[Щит],Щиты[Кс быт]),1),IF(CN33="Сил",IF(ISNUMBER(L33),L33,IF(Методика="нормы 2026",IFERROR(_xlfn.XLOOKUP(A33,Щиты[Щит],Щиты[Кс силовых (табл. 7.5)]),1),1)),IF(OR(CN33="Пост",CN33="Отоп"),1,IF(CN33="ВНГ",0.7,0))))))</f>
        <v>0.8</v>
      </c>
      <c r="CP33">
        <f t="shared" si="20"/>
        <v>1</v>
      </c>
      <c r="CQ33">
        <f t="shared" si="21"/>
        <v>0.12</v>
      </c>
      <c r="CR33">
        <f t="shared" si="22"/>
        <v>0.12</v>
      </c>
      <c r="CS33">
        <f t="shared" si="23"/>
        <v>0</v>
      </c>
      <c r="CT33">
        <f t="shared" si="24"/>
        <v>0</v>
      </c>
      <c r="CU33">
        <f t="shared" si="25"/>
        <v>0</v>
      </c>
      <c r="CV33">
        <f t="shared" si="26"/>
        <v>0</v>
      </c>
      <c r="CW33">
        <f t="shared" si="27"/>
        <v>0.12</v>
      </c>
      <c r="CX33">
        <f t="shared" si="28"/>
        <v>0.11399999999999999</v>
      </c>
      <c r="CY33">
        <f t="shared" si="29"/>
        <v>3</v>
      </c>
      <c r="CZ33" t="str">
        <f t="shared" si="30"/>
        <v>L3</v>
      </c>
      <c r="DA33" cm="1">
        <f t="array" ref="DA33">IFERROR(IF(BL33=2,_xlfn.IFS(BH33=3,VLOOKUP(BF33,Справочная_двигатели,3,FALSE),BH33=1,VLOOKUP(BF33,Справочная_двигатели,5,TRUE)),0),0)</f>
        <v>0</v>
      </c>
      <c r="DB33">
        <f>IFERROR(IF(BL33=3,VLOOKUP(BF33,Справочная_ЛЭД,2,TRUE),0),0)</f>
        <v>0</v>
      </c>
      <c r="DC33" s="6">
        <f t="shared" si="31"/>
        <v>0</v>
      </c>
      <c r="DD33" t="str">
        <f t="shared" si="32"/>
        <v>L3</v>
      </c>
      <c r="DE33" t="str" cm="1">
        <f t="array" ref="DE33">IF(D33="","",IFERROR(INDEX({"I особая","I","II","III"},MATCH(TRIM(AA33&amp;""),{"I особая","I","II","III"},0)),"III"))</f>
        <v>III</v>
      </c>
      <c r="DF33" t="str">
        <f>IF(D33="","",IF(TRIM(AB33&amp;"")&lt;&gt;"",IF(LOWER(TRIM(AB33&amp;""))="да","да","нет"),IF(IFERROR(_xlfn.XLOOKUP(AT33,Коды_код,Коды_пожарная),"")="да","да","нет")))</f>
        <v>нет</v>
      </c>
      <c r="DG33" t="str">
        <f t="shared" si="33"/>
        <v/>
      </c>
      <c r="DH33" t="str">
        <f t="shared" si="34"/>
        <v>основная</v>
      </c>
      <c r="DI33">
        <f t="shared" si="35"/>
        <v>1</v>
      </c>
      <c r="DJ33" t="str" cm="1">
        <f t="array" ref="DJ33">IF(D33="","",_xlfn.LET(_xlpm.t,IFERROR(_xlfn.XLOOKUP(1,(Шины[Шина]=DH33)*(((Шины[Щит]=A33)+(Шины[Щит]=""))&gt;0),Шины[Тип]),"")&amp;"",IF(_xlpm.t&lt;&gt;"",_xlpm.t,IF(ISNUMBER(SEARCH("ИБП",DH33)),"ИБП",IF(ISNUMBER(SEARCH("ДГУ",DH33)),"ДГУ","Ввод "&amp;DI33)))))</f>
        <v>Ввод 1</v>
      </c>
      <c r="DK33" t="str">
        <f t="shared" si="36"/>
        <v>Ввод 1</v>
      </c>
      <c r="DL33" t="str">
        <f>IF(D33="","",IF(OR(DJ33="ИБП",DJ33="ДГУ"),"I особая",IF(DJ33="Одиночная","III",_xlfn.XLOOKUP(A33,Щиты[Щит],Щиты[Категория шины «Ввод»],"III"))))</f>
        <v>III</v>
      </c>
      <c r="DM33">
        <f>IF(D33="",0,IFERROR(MATCH(DE33,{"III","II","I","I особая"},0),1))</f>
        <v>1</v>
      </c>
      <c r="DN33">
        <f t="shared" si="37"/>
        <v>1</v>
      </c>
      <c r="DO33" t="str">
        <f>IF(D33="","",IF(DM33&gt;IFERROR(MATCH(DL33,{"III","II","I","I особая"},0),1),"НЕ ОБЕСПЕЧЕНА","ОК"))</f>
        <v>ОК</v>
      </c>
      <c r="DP33" t="str">
        <f>IF(A33="","",_xlfn.XLOOKUP(A33,Щиты[Щит],Щиты[Путь],""))</f>
        <v>|ЩР|</v>
      </c>
      <c r="DQ33" t="str">
        <f>IF(D33="","",IF(Z33&lt;&gt;"",Z33,IF(IFERROR(_xlfn.XLOOKUP(AT33,Коды_код,Коды_вид)&amp;"","")="","Прочее",_xlfn.XLOOKUP(AT33,Коды_код,Коды_вид)&amp;"")))</f>
        <v>Розеточная сеть и бытовые приборы</v>
      </c>
      <c r="DR33">
        <f>IF(BD33="","",INT((BD33-1)/Столбцов_на_лист)+1)</f>
        <v>2</v>
      </c>
      <c r="DS33" t="str">
        <f t="shared" si="38"/>
        <v>ВВГнг(А)-LS (3х2,5) L=21-0,09%</v>
      </c>
      <c r="DT33">
        <f t="shared" si="39"/>
        <v>0.12</v>
      </c>
      <c r="DU33">
        <f t="shared" si="40"/>
        <v>0.55000000000000004</v>
      </c>
      <c r="DV33">
        <f t="shared" si="41"/>
        <v>1</v>
      </c>
      <c r="DW33">
        <f>IF(AT33="",0,_xlfn.LET(_xlpm.v,IFERROR(VLOOKUP(D33,УГО_спр,3,FALSE),IFERROR(VLOOKUP(AT33,УГО_спр,3,FALSE),IFERROR(VLOOKUP(LEFT(AT33,2),УГО_спр,3,FALSE),""))),IF(_xlpm.v="да",30,IF(ISNUMBER(_xlpm.v),_xlpm.v,0))))</f>
        <v>30</v>
      </c>
      <c r="DX33">
        <f t="shared" si="42"/>
        <v>0</v>
      </c>
      <c r="DY33">
        <f>IF(BD33="","",IF(AD33&lt;&gt;"",COUNTIFS(A$3:A33,A33,AD$3:AD33,"?*"),IF(OR(OR(AS33=1,A33&lt;&gt;A32),AL33="вручную"),"",IF(AS33=1,"",DZ32))))</f>
        <v>12</v>
      </c>
      <c r="DZ33">
        <f t="shared" si="43"/>
        <v>12</v>
      </c>
      <c r="EA33">
        <f>IF(D33="",0,MAX(IFERROR(--X33,0),IFERROR(--VLOOKUP(D33,УГО_спр,4,FALSE),IFERROR(--VLOOKUP(AT33,УГО_спр,4,FALSE),IFERROR(--VLOOKUP(LEFT(AT33,2),УГО_спр,4,FALSE),0)))))</f>
        <v>16</v>
      </c>
      <c r="EB33">
        <f>IF(D33="","",IFERROR(LOOKUP(INDEX(CHOOSE(BR33,Iдоп_1ж,Iдоп_2ж,Iдоп_3ж),MATCH(BS33,Iдоп_S,0))*BP33*BQ33,{6,10,16,20,25,32,40,50,63,80,100,125,160,200,250,315,400,500,630}),""))</f>
        <v>25</v>
      </c>
      <c r="EC33">
        <f>IF(AD33="","",SUMIFS(Линии[_Ток схемы],Линии[_гр.],DY33,Линии[Щит],A33,Линии[_в кабель выше],0))</f>
        <v>0.55000000000000004</v>
      </c>
      <c r="ED33">
        <f>IF(AD33="","",IFERROR(VLOOKUP(EC33,Автомат_номиналы,2,TRUE),""))</f>
        <v>6</v>
      </c>
      <c r="EE33">
        <f>IF(AD33="","",MAX(N(ED33),_xlfn.MAXIFS(Линии[_мин. по типу],Линии[_гр.],DY33,Линии[Щит],A33)))</f>
        <v>16</v>
      </c>
      <c r="EF33">
        <f>IF(AD33="","",_xlfn.MINIFS(Линии[_макс. автомат по кабелю],Линии[_гр.],DY33,Линии[Щит],A33))</f>
        <v>25</v>
      </c>
      <c r="EG33">
        <f>IF(AD33="","",MAX(1,_xlfn.MAXIFS(Линии[_фаз],Линии[_гр.],DY33,Линии[Щит],A33)))</f>
        <v>1</v>
      </c>
      <c r="EH33">
        <f>IF(AD33="","",IF(AND(AD33&lt;&gt;"авто",AD33&lt;&gt;"+"),IF(ISNUMBER(SEARCH("мА",AD33)),IFERROR(--TRIM(RIGHT(SUBSTITUTE(LEFT(AD33,SEARCH("мА",AD33)-1)," ",REPT(" ",9)),6)),30),0),IF(AE33="нет",0,IF(ISNUMBER(AE33),AE33,IF(AE33="да",30,_xlfn.MINIFS(Линии[_дифзащита по коду, мА],Линии[_гр.],DY33,Линии[Щит],A33,Линии[_дифзащита по коду, мА],"&gt;0"))))))</f>
        <v>30</v>
      </c>
      <c r="EI33">
        <f t="shared" si="44"/>
        <v>1</v>
      </c>
      <c r="EJ33" t="str">
        <f t="shared" si="45"/>
        <v>QFD12</v>
      </c>
      <c r="EK33" t="str">
        <f t="shared" si="46"/>
        <v>QFD12</v>
      </c>
      <c r="EL33" t="str">
        <f t="shared" si="47"/>
        <v/>
      </c>
      <c r="EM33">
        <f t="shared" si="48"/>
        <v>0</v>
      </c>
      <c r="EN33">
        <f>IF(AD33="","",IF(EM33=1,MAX(EE33,Мин_автомат_БП),EE33))</f>
        <v>16</v>
      </c>
      <c r="EO33" t="str">
        <f t="shared" si="49"/>
        <v>2P</v>
      </c>
      <c r="EP33" t="str">
        <f t="shared" si="50"/>
        <v>2P С16А 30мА</v>
      </c>
      <c r="EQ33">
        <f t="shared" si="51"/>
        <v>16</v>
      </c>
      <c r="ER33" t="str">
        <f>IF(OR(AI33="",AI33="-"),"",IFERROR(VLOOKUP(AI33,Модули_спр,2,FALSE),"R"))</f>
        <v/>
      </c>
      <c r="ES33" t="str">
        <f>IF(ER33="","",ER33&amp;"."&amp;COUNTIFS(A$3:A33,A33,ER$3:ER33,ER33))</f>
        <v/>
      </c>
      <c r="ET33" t="str">
        <f t="shared" si="52"/>
        <v/>
      </c>
      <c r="EU33" t="str">
        <f t="shared" si="53"/>
        <v/>
      </c>
      <c r="EV33" t="str">
        <f t="shared" si="54"/>
        <v/>
      </c>
      <c r="EW33" t="str">
        <f t="shared" si="55"/>
        <v/>
      </c>
      <c r="EX33">
        <f t="shared" si="56"/>
        <v>1</v>
      </c>
      <c r="EY33" t="str">
        <f>IF(AK33="нет","",IF(AK33&lt;&gt;"",AK33,IF(EX33=1,"XT"&amp;COUNTIFS(A$3:A33,A33,EX$3:EX33,1),"")))</f>
        <v>XT12</v>
      </c>
      <c r="EZ33" t="str">
        <f t="shared" si="57"/>
        <v>QFD12</v>
      </c>
      <c r="FA33" t="str">
        <f t="shared" si="58"/>
        <v/>
      </c>
      <c r="FB33" t="str">
        <f t="shared" si="59"/>
        <v>ok</v>
      </c>
      <c r="FC33" t="str">
        <f>IF(OR(EV33="",ET33=""),"",IF(EV33&gt;IFERROR(VLOOKUP(EU33,Модули_спр,3,FALSE),99),"ЛИШНИЙ КАНАЛ",IF(AND(AJ33&lt;&gt;"=",COUNTIFS(Линии[_модуль гр.],ET33,Линии[Канал (итог)],EV33,Линии[Канал],"&lt;&gt;=",Линии[Щит],A33)&gt;1),"ДУБЛЬ КАНАЛА","")))</f>
        <v/>
      </c>
      <c r="FD33">
        <f t="shared" si="60"/>
        <v>16</v>
      </c>
      <c r="FE33" t="str">
        <f t="shared" si="61"/>
        <v>2P С16А 30мА</v>
      </c>
      <c r="FF33">
        <f t="shared" si="62"/>
        <v>1</v>
      </c>
      <c r="FG33">
        <f t="shared" si="63"/>
        <v>30</v>
      </c>
      <c r="FH33" s="6" t="str">
        <f t="shared" si="64"/>
        <v/>
      </c>
      <c r="FI33">
        <f t="shared" si="65"/>
        <v>10</v>
      </c>
      <c r="FJ33" t="str">
        <f t="shared" si="66"/>
        <v/>
      </c>
      <c r="FK33" t="str">
        <f>IF(AND(D33="",EZ33=""),"",_xlfn.TEXTJOIN("; ",TRUE,IF(AND(D33&lt;&gt;"",DD33=""),"нет фазы",""),IF(AND(D33&lt;&gt;"",N(DT33)=0,CN33&lt;&gt;"Нет"),"нет мощности",""),IF(AND(EY33&lt;&gt;"",COUNTIFS(Линии[Щит],A33,Линии[Клемма (итог)],EY33)&gt;1),"дубль клеммы "&amp;EY33,""),IF(AND(FB33&lt;&gt;"",FB33&lt;&gt;"ok"),FB33,""),IF(FC33&lt;&gt;"",FC33,""),IF(AND(ISNUMBER(SEARCH("(5х",DS33)),N(DV33)=1),"5 жил на 1 фазе",""),IF(AND(AT33="R",AD33&lt;&gt;"",OR(N(EH33)=0,N(EH33)&gt;30)),"розетка без дифзащиты до 30 мА",""),IFERROR(IF(AND(ISNUMBER(CD33),CD33&gt;CE33),"потери "&amp;FIXED(CD33,1)&amp;" % &gt; "&amp;CE33&amp;" %",""),""),IFERROR(IF(LEFT(FJ33,4)="мало","Iкз мало — отключение &gt; 0,4 с",""),""),IF(AND(D33&lt;&gt;"",BD33=""),"не на схеме","")))</f>
        <v/>
      </c>
      <c r="FL33" s="6">
        <f>IF(AD33="","",_xlfn.LET(_xlpm.t,IFERROR(_xlfn.XLOOKUP(EP33,Каталог!$U$4:$U$500,Каталог!$G$4:$G$500),""),_xlpm.k,SEARCH("кА",_xlpm.t),IFERROR(--TRIM(RIGHT(SUBSTITUTE(MID(_xlpm.t,MAX(1,_xlpm.k-4),_xlpm.k-MAX(1,_xlpm.k-4))," ",REPT(" ",9)),5)),"")))</f>
        <v>6</v>
      </c>
      <c r="FM33" t="str">
        <f>IF(OR(FL33="",AD33=""),"",IF(_xlfn.XLOOKUP(A33,Щиты[Щит],Щиты[Iкз max на шинах, кА],"")="","",IF(FL33&lt;_xlfn.XLOOKUP(A33,Щиты[Щит],Щиты[Iкз max на шинах, кА]),"Icu "&amp;FL33&amp;" кА &lt; Iкз max","ok")))</f>
        <v/>
      </c>
      <c r="FN33" t="str">
        <f t="shared" si="67"/>
        <v>QFD12|XT12</v>
      </c>
      <c r="FO33" t="str">
        <f t="shared" si="68"/>
        <v>QFD12|XT12|кабель ВВГнг(А)-LS (3х2,5) → Розеточная группа  Пом. №05 Холодильник</v>
      </c>
      <c r="FP33" t="str" cm="1">
        <f t="array" ref="FP33">IF(FO33="","",_xlfn.LET(_xlpm.nd,_xlfn.TEXTSPLIT(FO33,"|"),IF(COLUMNS(_xlpm.nd)&gt;1,A33&amp;"¦"&amp;INDEX(_xlpm.nd,1)&amp;"¦"&amp;INDEX(_xlpm.nd,2),"")))</f>
        <v>ЩР¦QFD12¦XT12</v>
      </c>
      <c r="FQ33" t="str">
        <f t="shared" si="69"/>
        <v>R.1.05.7¦Розеточная группа  Пом. №05 Холодильник</v>
      </c>
      <c r="FR33" t="str" cm="1">
        <f t="array" ref="FR33">IF(FO33="","",_xlfn.LET(_xlpm.nd,_xlfn.TEXTSPLIT(FO33,"|"),IF(COLUMNS(_xlpm.nd)&gt;2,A33&amp;"¦"&amp;INDEX(_xlpm.nd,2)&amp;"¦"&amp;INDEX(_xlpm.nd,3),"")))</f>
        <v>ЩР¦XT12¦кабель ВВГнг(А)-LS (3х2,5) → Розеточная группа  Пом. №05 Холодильник</v>
      </c>
      <c r="FS33" t="str">
        <f t="shared" si="70"/>
        <v>R.1.05.7¦Розеточная группа  Пом. №05 Холодильник</v>
      </c>
      <c r="FT33" t="str" cm="1">
        <f t="array" ref="FT33">IF(FO33="","",_xlfn.LET(_xlpm.nd,_xlfn.TEXTSPLIT(FO33,"|"),IF(COLUMNS(_xlpm.nd)&gt;3,A33&amp;"¦"&amp;INDEX(_xlpm.nd,3)&amp;"¦"&amp;INDEX(_xlpm.nd,4),"")))</f>
        <v/>
      </c>
      <c r="FU33" t="str">
        <f t="shared" si="71"/>
        <v/>
      </c>
      <c r="FV33" t="str" cm="1">
        <f t="array" ref="FV33">IF(FO33="","",_xlfn.LET(_xlpm.nd,_xlfn.TEXTSPLIT(FO33,"|"),IF(COLUMNS(_xlpm.nd)&gt;4,A33&amp;"¦"&amp;INDEX(_xlpm.nd,4)&amp;"¦"&amp;INDEX(_xlpm.nd,5),"")))</f>
        <v/>
      </c>
      <c r="FW33" t="str">
        <f t="shared" si="72"/>
        <v/>
      </c>
      <c r="FX33" t="str" cm="1">
        <f t="array" ref="FX33">IF(FO33="","",_xlfn.LET(_xlpm.nd,_xlfn.TEXTSPLIT(FO33,"|"),IF(COLUMNS(_xlpm.nd)&gt;5,A33&amp;"¦"&amp;INDEX(_xlpm.nd,5)&amp;"¦"&amp;INDEX(_xlpm.nd,6),"")))</f>
        <v/>
      </c>
      <c r="FY33" t="str">
        <f t="shared" si="73"/>
        <v/>
      </c>
      <c r="FZ33" t="str" cm="1">
        <f t="array" ref="FZ33">IF(FO33="","",_xlfn.LET(_xlpm.nd,_xlfn.TEXTSPLIT(FO33,"|"),IF(COLUMNS(_xlpm.nd)&gt;6,A33&amp;"¦"&amp;INDEX(_xlpm.nd,6)&amp;"¦"&amp;INDEX(_xlpm.nd,7),"")))</f>
        <v/>
      </c>
      <c r="GA33" t="str">
        <f t="shared" si="74"/>
        <v/>
      </c>
      <c r="GB33" t="str">
        <f t="shared" si="75"/>
        <v/>
      </c>
      <c r="GC33" t="str">
        <f t="shared" si="76"/>
        <v>QFD12 → XT12</v>
      </c>
      <c r="GD33">
        <f t="shared" si="77"/>
        <v>1</v>
      </c>
      <c r="GE33">
        <f t="shared" si="78"/>
        <v>0</v>
      </c>
      <c r="GF33">
        <f t="shared" si="79"/>
        <v>1</v>
      </c>
      <c r="GG33" t="str">
        <f t="shared" si="80"/>
        <v/>
      </c>
      <c r="GH33" t="str">
        <f t="shared" si="81"/>
        <v/>
      </c>
      <c r="GI33" t="str">
        <f t="shared" si="82"/>
        <v/>
      </c>
      <c r="GJ33" t="str">
        <f t="shared" si="83"/>
        <v/>
      </c>
      <c r="GK33" t="str">
        <f>IF(D33="","",IFERROR(VLOOKUP(D33,УГО_спр,2,FALSE),IFERROR(VLOOKUP(AT33,УГО_спр,2,FALSE),IFERROR(VLOOKUP(LEFT(AT33,2),УГО_спр,2,FALSE),""))))</f>
        <v>Розетка</v>
      </c>
      <c r="GL33" t="str">
        <f>IF(D33="","",IF(OR(GK33="",GK33=0),"BOX",IFERROR(IF(VLOOKUP(GK33,УГО_блоки,3,FALSE)&amp;""&lt;&gt;"",VLOOKUP(GK33,УГО_блоки,3,FALSE),VLOOKUP(GK33,УГО_блоки,2,FALSE)),GK33)))</f>
        <v>SOCKET</v>
      </c>
      <c r="GM33">
        <f t="shared" si="84"/>
        <v>1</v>
      </c>
      <c r="GN33" t="str">
        <f>IF(EP33="","",IF(COUNTIF(EP$3:EP33,EP33)=1,MAX(GN$2:GN32)+1,""))</f>
        <v/>
      </c>
      <c r="GO33" t="str">
        <f>IF(AF33="","",IF(COUNTIF(AF$3:AF33,AF33)+COUNTIF(AG$2:AG32,AF33)+COUNTIF(AH$2:AH32,AF33)=1,MAX(GO$2:GQ32)+1,""))</f>
        <v/>
      </c>
      <c r="GP33" t="str">
        <f>IF(AG33="","",IF(COUNTIF(AF$3:AF33,AG33)+COUNTIF(AG$3:AG33,AG33)+COUNTIF(AH$2:AH32,AG33)=1,MAX(GO$2:GQ32,GO33)+1,""))</f>
        <v/>
      </c>
      <c r="GQ33" t="str">
        <f>IF(AH33="","",IF(COUNTIF(AF$3:AF33,AH33)+COUNTIF(AG$3:AG33,AH33)+COUNTIF(AH$3:AH33,AH33)=1,MAX(GO$2:GQ32,GO33,GP33)+1,""))</f>
        <v/>
      </c>
      <c r="GR33" t="str">
        <f t="shared" si="85"/>
        <v>3х2,5</v>
      </c>
      <c r="GS33" t="str">
        <f>IF(GR33="","",IF(COUNTIF(GR$3:GR33,GR33)=1,MAX(GS$2:GS32)+1,""))</f>
        <v/>
      </c>
      <c r="GT33" t="str">
        <f>IF(ES33="","",COUNTIF(ES$3:ES33,"?*"))</f>
        <v/>
      </c>
      <c r="GU33" t="str">
        <f>IF(OR(ES33="",EU33=""),"",IF(COUNTIFS(ES$3:ES33,"?*",EU$3:EU33,EU33)=1,MAX(GU$2:GU32)+1,""))</f>
        <v/>
      </c>
      <c r="GV33">
        <f t="shared" si="86"/>
        <v>0</v>
      </c>
      <c r="GW33">
        <f>IF(D33="","",COUNTIF(D$3:D33,"?*"))</f>
        <v>13</v>
      </c>
      <c r="GX33">
        <f>IF(EX33&lt;&gt;1,0,_xlfn.LET(_xlpm.k,MAX(IFERROR(--VLOOKUP(D33,УГО_спр,5,FALSE),0),IFERROR(--VLOOKUP(AT33,УГО_спр,5,FALSE),0),IFERROR(--VLOOKUP(LEFT(AT33,2),УГО_спр,5,FALSE),0)),IF(_xlpm.k&gt;0,_xlpm.k,IF(IFERROR(--LEFT(SUBSTITUTE(GR33,"x","х"),FIND("х",SUBSTITUTE(GR33,"x","х"))-1),3)&gt;3,Каталог!$S$9,1))))</f>
        <v>1</v>
      </c>
      <c r="GY33">
        <f t="shared" si="87"/>
        <v>0</v>
      </c>
    </row>
    <row r="34" spans="1:207" x14ac:dyDescent="0.3">
      <c r="A34" t="s">
        <v>206</v>
      </c>
      <c r="B34">
        <v>32</v>
      </c>
      <c r="C34" t="str">
        <f>IF(BD34="","",IF(BE34="вводной узел","узел ","")&amp;"л."&amp;(INT((BD34-1)/Столбцов_на_лист)+1)&amp;" / "&amp;(MOD(BD34-1,Столбцов_на_лист)+1))</f>
        <v>л.2 / 15</v>
      </c>
      <c r="D34" t="s">
        <v>694</v>
      </c>
      <c r="E34" s="133" t="s">
        <v>759</v>
      </c>
      <c r="G34">
        <v>0.06</v>
      </c>
      <c r="H34">
        <v>1</v>
      </c>
      <c r="O34">
        <v>1</v>
      </c>
      <c r="T34">
        <v>2</v>
      </c>
      <c r="AD34" t="s">
        <v>597</v>
      </c>
      <c r="AK34" t="s">
        <v>610</v>
      </c>
      <c r="AN34">
        <v>13.25</v>
      </c>
      <c r="AO34" t="s">
        <v>654</v>
      </c>
      <c r="AQ34" t="s">
        <v>655</v>
      </c>
      <c r="AR34" t="str">
        <f t="shared" si="1"/>
        <v/>
      </c>
      <c r="AS34" cm="1">
        <f t="array" ref="AS34">ROW()-ROW(Линии[#Headers])</f>
        <v>32</v>
      </c>
      <c r="AT34" s="6" t="str">
        <f t="shared" si="2"/>
        <v>R</v>
      </c>
      <c r="AU34" t="str">
        <f t="shared" si="3"/>
        <v>1.05.8</v>
      </c>
      <c r="AV34" t="str">
        <f t="shared" si="4"/>
        <v>1</v>
      </c>
      <c r="AW34" t="str">
        <f t="shared" si="5"/>
        <v>05.8</v>
      </c>
      <c r="AX34" t="str">
        <f t="shared" si="6"/>
        <v>05</v>
      </c>
      <c r="AY34" t="str">
        <f>IF(D34="","",IF(ISERROR(SEARCH(".",D34)),IFERROR(VLOOKUP(D34,Потребители_обозначение,2,FALSE)&amp;"",""),IFERROR(IF(VLOOKUP(AT34,Потребители_обозначение,4,FALSE)=1,VLOOKUP(AT34,Потребители_обозначение,2,FALSE)&amp;" "&amp;VLOOKUP(AV34,Этаж_обозначение,2,FALSE)&amp;" Пом. №"&amp;AX34,VLOOKUP(AT34,Потребители_обозначение,2,FALSE)&amp;" Шлейф №"&amp;AV34),IFERROR(VLOOKUP(D34,Потребители_обозначение,2,FALSE),""))))</f>
        <v>Розеточная группа  Пом. №05</v>
      </c>
      <c r="AZ34" t="str">
        <f t="shared" si="7"/>
        <v>Розеточная группа  Пом. №05 СВЧ</v>
      </c>
      <c r="BA34" t="str">
        <f>IF(F34&lt;&gt;"",F34,IF(AND(D34&lt;&gt;"",D34&lt;&gt;A34,ISNUMBER(_xlfn.XMATCH(D34,Щиты[Щит]))),D34,""))</f>
        <v/>
      </c>
      <c r="BB34">
        <f>IFERROR(_xlfn.XMATCH(A34,Щиты[Щит]),0)</f>
        <v>1</v>
      </c>
      <c r="BC34">
        <f>IFERROR(N(_xlfn.XLOOKUP(A34,Щиты[Щит],Щиты[Мест под вводной узел])),15)</f>
        <v>18</v>
      </c>
      <c r="BD34">
        <f t="shared" si="8"/>
        <v>32</v>
      </c>
      <c r="BE34" t="str">
        <f t="shared" si="9"/>
        <v>линии</v>
      </c>
      <c r="BF34" s="6">
        <f>IF(D34="","",IF(BA34&lt;&gt;"",IFERROR(_xlfn.XLOOKUP(BA34,Щиты[Щит],Щиты[Руст, кВт]),0),N(G34)))</f>
        <v>0.06</v>
      </c>
      <c r="BG34">
        <f>IF(J34&lt;&gt;"",J34,IF(D34="","",IFERROR(IF(VLOOKUP(AT34,Потребители_обозначение,8,FALSE)=0,"",VLOOKUP(AT34,Потребители_обозначение,8,FALSE)),"")))</f>
        <v>230</v>
      </c>
      <c r="BH34">
        <f>IF(I34&lt;&gt;"",I34,IF(D34="","",IFERROR(IF(VLOOKUP(AT34,Потребители_обозначение,9,FALSE)=0,"",VLOOKUP(AT34,Потребители_обозначение,9,FALSE)),"")))</f>
        <v>1</v>
      </c>
      <c r="BI34" t="str">
        <f>IF(U34&lt;&gt;"",U34,IF(D34="","",IFERROR(IF(VLOOKUP(AT34,Потребители_обозначение,6,FALSE)=0,"",VLOOKUP(AT34,Потребители_обозначение,6,FALSE)),"")))</f>
        <v>мс</v>
      </c>
      <c r="BJ34">
        <f>IF(V34&lt;&gt;"",V34,IF(D34="","",IFERROR(IF(VLOOKUP(AT34,Потребители_обозначение,7,FALSE)=0,"",VLOOKUP(AT34,Потребители_обозначение,7,FALSE)),"")))</f>
        <v>3</v>
      </c>
      <c r="BK34">
        <f>IF(W34&lt;&gt;"",W34,IF(D34="","",IFERROR(IF(VLOOKUP(AT34,Потребители_обозначение,10,FALSE)=0,"",VLOOKUP(AT34,Потребители_обозначение,10,FALSE)),"")))</f>
        <v>2.5</v>
      </c>
      <c r="BL34">
        <f>IFERROR(VLOOKUP(AT34,Потребители_обозначение,5,FALSE),0)</f>
        <v>1</v>
      </c>
      <c r="BM34" s="6" cm="1">
        <f t="array" ref="BM34">IF(D34="","",IF(BA34&lt;&gt;"",IFERROR(_xlfn.XLOOKUP(BA34,Щиты[Щит],Щиты[cos φ]),0.95),IF(ISNUMBER(M34),M34,IFERROR(IF(BL34=2,_xlfn.IFS(BH34=3,VLOOKUP(BF34,Справочная_двигатели,8,FALSE),BH34=1,VLOOKUP(BF34,Справочная_двигатели,10,TRUE)),IF(AND(Методика="нормы 2026",CN34="Сил"),0.8,0.95)),0.95))))</f>
        <v>0.95</v>
      </c>
      <c r="BN34" s="6" cm="1">
        <f t="array" ref="BN34">IF(D34="","",IF(BA34&lt;&gt;"",IFERROR(_xlfn.XLOOKUP(BA34,Щиты[Щит],Щиты[Iр, А]),""),IFERROR(_xlfn.IFS(BH34=1,BF34/((Uн_лин/SQRT(3))*BM34),BH34=3,BF34/(SQRT(3)*Uн_лин*BM34)),"")))</f>
        <v>0.27348170645824377</v>
      </c>
      <c r="BO34">
        <f>IF(D34="","",IF(N(X34)=0,IFERROR(VLOOKUP(BN34,Автомат_номиналы,2,TRUE),""),X34))</f>
        <v>6</v>
      </c>
      <c r="BP34">
        <f t="shared" si="10"/>
        <v>1</v>
      </c>
      <c r="BQ34">
        <f>IF(ISNUMBER(Y34),Y34,К_прокл)</f>
        <v>1</v>
      </c>
      <c r="BR34">
        <f t="shared" si="11"/>
        <v>2</v>
      </c>
      <c r="BS34" cm="1">
        <f t="array" ref="BS34">IF(D34="","",IF(N(BK34)&lt;&gt;0,BK34,IFERROR(_xlfn.LET(_xlpm.need,BO34/(BP34*BQ34),_xlpm.t,CHOOSE(BR34,Iдоп_1ж,Iдоп_2ж,Iдоп_3ж),_xlpm.k,_xlfn.XMATCH(_xlpm.need,_xlpm.t,1),IF(ISNA(_xlpm.k),"Не исп",INDEX(Iдоп_S,_xlpm.k))),"Не исп")))</f>
        <v>2.5</v>
      </c>
      <c r="BT34">
        <f>IFERROR(VLOOKUP(BS34,Кабель_сопротивление,3,FALSE),"")</f>
        <v>2.2499999999999999E-2</v>
      </c>
      <c r="BU34">
        <f>IFERROR(VLOOKUP(BS34,Кабель_сопротивление,2,FALSE),"")</f>
        <v>0.1</v>
      </c>
      <c r="BV34">
        <f t="shared" si="12"/>
        <v>14</v>
      </c>
      <c r="BW34" s="6">
        <f>IF(D34="","",IFERROR(IF(VLOOKUP(AT34,Потребители_обозначение,4,FALSE)=1,VLOOKUP(AT34,Потребители_обозначение,3,FALSE)*(H34*2-1)+BV34+VLOOKUP(AV34,Этаж_обозначение,3,FALSE)+VLOOKUP(AV34,Этаж_обозначение,4,FALSE),VLOOKUP(AT34,Потребители_обозначение,3,FALSE)*(H34*2-1)+BV34),BV34))</f>
        <v>16</v>
      </c>
      <c r="BX34">
        <f t="shared" si="13"/>
        <v>0</v>
      </c>
      <c r="BY34">
        <f t="shared" si="14"/>
        <v>12</v>
      </c>
      <c r="BZ34">
        <f t="shared" si="15"/>
        <v>2</v>
      </c>
      <c r="CA34">
        <f t="shared" si="16"/>
        <v>0.31</v>
      </c>
      <c r="CB34">
        <f t="shared" si="17"/>
        <v>7.5095888739782055E-2</v>
      </c>
      <c r="CC34" s="6">
        <f>IFERROR(ROUNDUP(CB34/((Uн_лин/SQRT(3))*1000)*100,2),"")</f>
        <v>0.04</v>
      </c>
      <c r="CD34" s="6">
        <f>IF(ISNUMBER(CC34),CC34+IFERROR(_xlfn.XLOOKUP(A34,Щиты[Щит],Щиты[ΔU до шин, %]),0),"")</f>
        <v>0.04</v>
      </c>
      <c r="CE34" s="6">
        <f>IF(D34="","",IF(IFERROR(VLOOKUP(AT34,УГО_спр,2,FALSE),"")="Светильник",3,4)+IF(Методика="нормы 2026",MIN(0.5,MAX(0,N(BW34)-100)*0.005),0))</f>
        <v>4</v>
      </c>
      <c r="CF34" t="str">
        <f>IFERROR(VLOOKUP(BI34,Кабель_обозначение,2,FALSE),"")</f>
        <v>ВВГнг(А)-LS</v>
      </c>
      <c r="CG34" t="str">
        <f>IFERROR(IF(VLOOKUP(BI34,Кабель_обозначение,3,FALSE)=1,CF34&amp;" ("&amp;BJ34&amp;"х"&amp;BS34&amp;")",CF34),"")</f>
        <v>ВВГнг(А)-LS (3х2,5)</v>
      </c>
      <c r="CH34" t="str">
        <f t="shared" si="18"/>
        <v>ВВГнг(А)-LS (3х2,5)
L=16-0,04%</v>
      </c>
      <c r="CI34">
        <f>IFERROR(2*ρкз_Cu*BW34/BS34,"")</f>
        <v>0.33663999999999999</v>
      </c>
      <c r="CJ34">
        <f t="shared" si="19"/>
        <v>0.11200000000000002</v>
      </c>
      <c r="CK34" s="6" t="str">
        <f>IFERROR(IF(OR(D34="",NOT(ISNUMBER(BS34)),N(BW34)=0),"",_xlfn.XLOOKUP(A34,Щиты[Щит],Щиты[Zпетли на шинах, Ом])+CI34),"")</f>
        <v/>
      </c>
      <c r="CL34" s="6" t="str">
        <f>IF(ISNUMBER(CK34),c_min*(Uн_лин*1000/SQRT(3))/CK34,"")</f>
        <v/>
      </c>
      <c r="CM34" s="6" t="str">
        <f>IFERROR(IF(OR(D34="",NOT(ISNUMBER(BS34))),"",1.05*(Uн_лин*1000/SQRT(3))/(_xlfn.XLOOKUP(A34,Щиты[Щит],Щиты[Zmax на шинах, Ом])+CJ34)/1000),"")</f>
        <v/>
      </c>
      <c r="CN34" s="6" t="str">
        <f>IF(D34="","",IF(BA34&lt;&gt;"","Щит",IF(K34&lt;&gt;"",K34,IF(ISNUMBER(L34),"Сил",IF(IFERROR(_xlfn.XLOOKUP(AT34,Коды_код,Коды_группа)&amp;"","")="","Быт",_xlfn.XLOOKUP(AT34,Коды_код,Коды_группа)&amp;"")))))</f>
        <v>Быт</v>
      </c>
      <c r="CO34" s="6">
        <f>IF(CN34="Щит","щит",IF(CN34="","",IF(CN34="Быт",IFERROR(_xlfn.XLOOKUP(A34,Щиты[Щит],Щиты[Кс быт]),1),IF(CN34="Сил",IF(ISNUMBER(L34),L34,IF(Методика="нормы 2026",IFERROR(_xlfn.XLOOKUP(A34,Щиты[Щит],Щиты[Кс силовых (табл. 7.5)]),1),1)),IF(OR(CN34="Пост",CN34="Отоп"),1,IF(CN34="ВНГ",0.7,0))))))</f>
        <v>0.8</v>
      </c>
      <c r="CP34">
        <f t="shared" si="20"/>
        <v>1</v>
      </c>
      <c r="CQ34">
        <f t="shared" si="21"/>
        <v>0.06</v>
      </c>
      <c r="CR34">
        <f t="shared" si="22"/>
        <v>0.06</v>
      </c>
      <c r="CS34">
        <f t="shared" si="23"/>
        <v>0</v>
      </c>
      <c r="CT34">
        <f t="shared" si="24"/>
        <v>0</v>
      </c>
      <c r="CU34">
        <f t="shared" si="25"/>
        <v>0</v>
      </c>
      <c r="CV34">
        <f t="shared" si="26"/>
        <v>0</v>
      </c>
      <c r="CW34">
        <f t="shared" si="27"/>
        <v>0.06</v>
      </c>
      <c r="CX34">
        <f t="shared" si="28"/>
        <v>5.6999999999999995E-2</v>
      </c>
      <c r="CY34">
        <f t="shared" si="29"/>
        <v>1</v>
      </c>
      <c r="CZ34" t="str">
        <f t="shared" si="30"/>
        <v>L1</v>
      </c>
      <c r="DA34" cm="1">
        <f t="array" ref="DA34">IFERROR(IF(BL34=2,_xlfn.IFS(BH34=3,VLOOKUP(BF34,Справочная_двигатели,3,FALSE),BH34=1,VLOOKUP(BF34,Справочная_двигатели,5,TRUE)),0),0)</f>
        <v>0</v>
      </c>
      <c r="DB34">
        <f>IFERROR(IF(BL34=3,VLOOKUP(BF34,Справочная_ЛЭД,2,TRUE),0),0)</f>
        <v>0</v>
      </c>
      <c r="DC34" s="6">
        <f t="shared" si="31"/>
        <v>0</v>
      </c>
      <c r="DD34" t="str">
        <f t="shared" si="32"/>
        <v>L1</v>
      </c>
      <c r="DE34" t="str" cm="1">
        <f t="array" ref="DE34">IF(D34="","",IFERROR(INDEX({"I особая","I","II","III"},MATCH(TRIM(AA34&amp;""),{"I особая","I","II","III"},0)),"III"))</f>
        <v>III</v>
      </c>
      <c r="DF34" t="str">
        <f>IF(D34="","",IF(TRIM(AB34&amp;"")&lt;&gt;"",IF(LOWER(TRIM(AB34&amp;""))="да","да","нет"),IF(IFERROR(_xlfn.XLOOKUP(AT34,Коды_код,Коды_пожарная),"")="да","да","нет")))</f>
        <v>нет</v>
      </c>
      <c r="DG34" t="str">
        <f t="shared" si="33"/>
        <v/>
      </c>
      <c r="DH34" t="str">
        <f t="shared" si="34"/>
        <v>основная</v>
      </c>
      <c r="DI34">
        <f t="shared" si="35"/>
        <v>1</v>
      </c>
      <c r="DJ34" t="str" cm="1">
        <f t="array" ref="DJ34">IF(D34="","",_xlfn.LET(_xlpm.t,IFERROR(_xlfn.XLOOKUP(1,(Шины[Шина]=DH34)*(((Шины[Щит]=A34)+(Шины[Щит]=""))&gt;0),Шины[Тип]),"")&amp;"",IF(_xlpm.t&lt;&gt;"",_xlpm.t,IF(ISNUMBER(SEARCH("ИБП",DH34)),"ИБП",IF(ISNUMBER(SEARCH("ДГУ",DH34)),"ДГУ","Ввод "&amp;DI34)))))</f>
        <v>Ввод 1</v>
      </c>
      <c r="DK34" t="str">
        <f t="shared" si="36"/>
        <v>Ввод 1</v>
      </c>
      <c r="DL34" t="str">
        <f>IF(D34="","",IF(OR(DJ34="ИБП",DJ34="ДГУ"),"I особая",IF(DJ34="Одиночная","III",_xlfn.XLOOKUP(A34,Щиты[Щит],Щиты[Категория шины «Ввод»],"III"))))</f>
        <v>III</v>
      </c>
      <c r="DM34">
        <f>IF(D34="",0,IFERROR(MATCH(DE34,{"III","II","I","I особая"},0),1))</f>
        <v>1</v>
      </c>
      <c r="DN34">
        <f t="shared" si="37"/>
        <v>1</v>
      </c>
      <c r="DO34" t="str">
        <f>IF(D34="","",IF(DM34&gt;IFERROR(MATCH(DL34,{"III","II","I","I особая"},0),1),"НЕ ОБЕСПЕЧЕНА","ОК"))</f>
        <v>ОК</v>
      </c>
      <c r="DP34" t="str">
        <f>IF(A34="","",_xlfn.XLOOKUP(A34,Щиты[Щит],Щиты[Путь],""))</f>
        <v>|ЩР|</v>
      </c>
      <c r="DQ34" t="str">
        <f>IF(D34="","",IF(Z34&lt;&gt;"",Z34,IF(IFERROR(_xlfn.XLOOKUP(AT34,Коды_код,Коды_вид)&amp;"","")="","Прочее",_xlfn.XLOOKUP(AT34,Коды_код,Коды_вид)&amp;"")))</f>
        <v>Розеточная сеть и бытовые приборы</v>
      </c>
      <c r="DR34">
        <f>IF(BD34="","",INT((BD34-1)/Столбцов_на_лист)+1)</f>
        <v>2</v>
      </c>
      <c r="DS34" t="str">
        <f t="shared" si="38"/>
        <v>ВВГнг(А)-LS (3х2,5) L=16-0,04%</v>
      </c>
      <c r="DT34">
        <f t="shared" si="39"/>
        <v>0.06</v>
      </c>
      <c r="DU34">
        <f t="shared" si="40"/>
        <v>0.28000000000000003</v>
      </c>
      <c r="DV34">
        <f t="shared" si="41"/>
        <v>1</v>
      </c>
      <c r="DW34">
        <f>IF(AT34="",0,_xlfn.LET(_xlpm.v,IFERROR(VLOOKUP(D34,УГО_спр,3,FALSE),IFERROR(VLOOKUP(AT34,УГО_спр,3,FALSE),IFERROR(VLOOKUP(LEFT(AT34,2),УГО_спр,3,FALSE),""))),IF(_xlpm.v="да",30,IF(ISNUMBER(_xlpm.v),_xlpm.v,0))))</f>
        <v>30</v>
      </c>
      <c r="DX34">
        <f t="shared" si="42"/>
        <v>0</v>
      </c>
      <c r="DY34">
        <f>IF(BD34="","",IF(AD34&lt;&gt;"",COUNTIFS(A$3:A34,A34,AD$3:AD34,"?*"),IF(OR(OR(AS34=1,A34&lt;&gt;A33),AL34="вручную"),"",IF(AS34=1,"",DZ33))))</f>
        <v>13</v>
      </c>
      <c r="DZ34">
        <f t="shared" si="43"/>
        <v>13</v>
      </c>
      <c r="EA34">
        <f>IF(D34="",0,MAX(IFERROR(--X34,0),IFERROR(--VLOOKUP(D34,УГО_спр,4,FALSE),IFERROR(--VLOOKUP(AT34,УГО_спр,4,FALSE),IFERROR(--VLOOKUP(LEFT(AT34,2),УГО_спр,4,FALSE),0)))))</f>
        <v>16</v>
      </c>
      <c r="EB34">
        <f>IF(D34="","",IFERROR(LOOKUP(INDEX(CHOOSE(BR34,Iдоп_1ж,Iдоп_2ж,Iдоп_3ж),MATCH(BS34,Iдоп_S,0))*BP34*BQ34,{6,10,16,20,25,32,40,50,63,80,100,125,160,200,250,315,400,500,630}),""))</f>
        <v>25</v>
      </c>
      <c r="EC34">
        <f>IF(AD34="","",SUMIFS(Линии[_Ток схемы],Линии[_гр.],DY34,Линии[Щит],A34,Линии[_в кабель выше],0))</f>
        <v>0.28000000000000003</v>
      </c>
      <c r="ED34">
        <f>IF(AD34="","",IFERROR(VLOOKUP(EC34,Автомат_номиналы,2,TRUE),""))</f>
        <v>6</v>
      </c>
      <c r="EE34">
        <f>IF(AD34="","",MAX(N(ED34),_xlfn.MAXIFS(Линии[_мин. по типу],Линии[_гр.],DY34,Линии[Щит],A34)))</f>
        <v>16</v>
      </c>
      <c r="EF34">
        <f>IF(AD34="","",_xlfn.MINIFS(Линии[_макс. автомат по кабелю],Линии[_гр.],DY34,Линии[Щит],A34))</f>
        <v>25</v>
      </c>
      <c r="EG34">
        <f>IF(AD34="","",MAX(1,_xlfn.MAXIFS(Линии[_фаз],Линии[_гр.],DY34,Линии[Щит],A34)))</f>
        <v>1</v>
      </c>
      <c r="EH34">
        <f>IF(AD34="","",IF(AND(AD34&lt;&gt;"авто",AD34&lt;&gt;"+"),IF(ISNUMBER(SEARCH("мА",AD34)),IFERROR(--TRIM(RIGHT(SUBSTITUTE(LEFT(AD34,SEARCH("мА",AD34)-1)," ",REPT(" ",9)),6)),30),0),IF(AE34="нет",0,IF(ISNUMBER(AE34),AE34,IF(AE34="да",30,_xlfn.MINIFS(Линии[_дифзащита по коду, мА],Линии[_гр.],DY34,Линии[Щит],A34,Линии[_дифзащита по коду, мА],"&gt;0"))))))</f>
        <v>30</v>
      </c>
      <c r="EI34">
        <f t="shared" si="44"/>
        <v>1</v>
      </c>
      <c r="EJ34" t="str">
        <f t="shared" si="45"/>
        <v>QFD13</v>
      </c>
      <c r="EK34" t="str">
        <f t="shared" si="46"/>
        <v>QFD13</v>
      </c>
      <c r="EL34" t="str">
        <f t="shared" si="47"/>
        <v/>
      </c>
      <c r="EM34">
        <f t="shared" si="48"/>
        <v>0</v>
      </c>
      <c r="EN34">
        <f>IF(AD34="","",IF(EM34=1,MAX(EE34,Мин_автомат_БП),EE34))</f>
        <v>16</v>
      </c>
      <c r="EO34" t="str">
        <f t="shared" si="49"/>
        <v>2P</v>
      </c>
      <c r="EP34" t="str">
        <f t="shared" si="50"/>
        <v>2P С16А 30мА</v>
      </c>
      <c r="EQ34">
        <f t="shared" si="51"/>
        <v>16</v>
      </c>
      <c r="ER34" t="str">
        <f>IF(OR(AI34="",AI34="-"),"",IFERROR(VLOOKUP(AI34,Модули_спр,2,FALSE),"R"))</f>
        <v/>
      </c>
      <c r="ES34" t="str">
        <f>IF(ER34="","",ER34&amp;"."&amp;COUNTIFS(A$3:A34,A34,ER$3:ER34,ER34))</f>
        <v/>
      </c>
      <c r="ET34" t="str">
        <f t="shared" si="52"/>
        <v/>
      </c>
      <c r="EU34" t="str">
        <f t="shared" si="53"/>
        <v/>
      </c>
      <c r="EV34" t="str">
        <f t="shared" si="54"/>
        <v/>
      </c>
      <c r="EW34" t="str">
        <f t="shared" si="55"/>
        <v/>
      </c>
      <c r="EX34">
        <f t="shared" si="56"/>
        <v>1</v>
      </c>
      <c r="EY34" t="str">
        <f>IF(AK34="нет","",IF(AK34&lt;&gt;"",AK34,IF(EX34=1,"XT"&amp;COUNTIFS(A$3:A34,A34,EX$3:EX34,1),"")))</f>
        <v>XT13</v>
      </c>
      <c r="EZ34" t="str">
        <f t="shared" si="57"/>
        <v>QFD13</v>
      </c>
      <c r="FA34" t="str">
        <f t="shared" si="58"/>
        <v/>
      </c>
      <c r="FB34" t="str">
        <f t="shared" si="59"/>
        <v>ok</v>
      </c>
      <c r="FC34" t="str">
        <f>IF(OR(EV34="",ET34=""),"",IF(EV34&gt;IFERROR(VLOOKUP(EU34,Модули_спр,3,FALSE),99),"ЛИШНИЙ КАНАЛ",IF(AND(AJ34&lt;&gt;"=",COUNTIFS(Линии[_модуль гр.],ET34,Линии[Канал (итог)],EV34,Линии[Канал],"&lt;&gt;=",Линии[Щит],A34)&gt;1),"ДУБЛЬ КАНАЛА","")))</f>
        <v/>
      </c>
      <c r="FD34">
        <f t="shared" si="60"/>
        <v>16</v>
      </c>
      <c r="FE34" t="str">
        <f t="shared" si="61"/>
        <v>2P С16А 30мА</v>
      </c>
      <c r="FF34">
        <f t="shared" si="62"/>
        <v>1</v>
      </c>
      <c r="FG34">
        <f t="shared" si="63"/>
        <v>30</v>
      </c>
      <c r="FH34" s="6" t="str">
        <f t="shared" si="64"/>
        <v/>
      </c>
      <c r="FI34">
        <f t="shared" si="65"/>
        <v>10</v>
      </c>
      <c r="FJ34" t="str">
        <f t="shared" si="66"/>
        <v/>
      </c>
      <c r="FK34" t="str">
        <f>IF(AND(D34="",EZ34=""),"",_xlfn.TEXTJOIN("; ",TRUE,IF(AND(D34&lt;&gt;"",DD34=""),"нет фазы",""),IF(AND(D34&lt;&gt;"",N(DT34)=0,CN34&lt;&gt;"Нет"),"нет мощности",""),IF(AND(EY34&lt;&gt;"",COUNTIFS(Линии[Щит],A34,Линии[Клемма (итог)],EY34)&gt;1),"дубль клеммы "&amp;EY34,""),IF(AND(FB34&lt;&gt;"",FB34&lt;&gt;"ok"),FB34,""),IF(FC34&lt;&gt;"",FC34,""),IF(AND(ISNUMBER(SEARCH("(5х",DS34)),N(DV34)=1),"5 жил на 1 фазе",""),IF(AND(AT34="R",AD34&lt;&gt;"",OR(N(EH34)=0,N(EH34)&gt;30)),"розетка без дифзащиты до 30 мА",""),IFERROR(IF(AND(ISNUMBER(CD34),CD34&gt;CE34),"потери "&amp;FIXED(CD34,1)&amp;" % &gt; "&amp;CE34&amp;" %",""),""),IFERROR(IF(LEFT(FJ34,4)="мало","Iкз мало — отключение &gt; 0,4 с",""),""),IF(AND(D34&lt;&gt;"",BD34=""),"не на схеме","")))</f>
        <v/>
      </c>
      <c r="FL34" s="6">
        <f>IF(AD34="","",_xlfn.LET(_xlpm.t,IFERROR(_xlfn.XLOOKUP(EP34,Каталог!$U$4:$U$500,Каталог!$G$4:$G$500),""),_xlpm.k,SEARCH("кА",_xlpm.t),IFERROR(--TRIM(RIGHT(SUBSTITUTE(MID(_xlpm.t,MAX(1,_xlpm.k-4),_xlpm.k-MAX(1,_xlpm.k-4))," ",REPT(" ",9)),5)),"")))</f>
        <v>6</v>
      </c>
      <c r="FM34" t="str">
        <f>IF(OR(FL34="",AD34=""),"",IF(_xlfn.XLOOKUP(A34,Щиты[Щит],Щиты[Iкз max на шинах, кА],"")="","",IF(FL34&lt;_xlfn.XLOOKUP(A34,Щиты[Щит],Щиты[Iкз max на шинах, кА]),"Icu "&amp;FL34&amp;" кА &lt; Iкз max","ok")))</f>
        <v/>
      </c>
      <c r="FN34" t="str">
        <f t="shared" si="67"/>
        <v>QFD13|XT13</v>
      </c>
      <c r="FO34" t="str">
        <f t="shared" si="68"/>
        <v>QFD13|XT13|кабель ВВГнг(А)-LS (3х2,5) → Розеточная группа  Пом. №05 СВЧ</v>
      </c>
      <c r="FP34" t="str" cm="1">
        <f t="array" ref="FP34">IF(FO34="","",_xlfn.LET(_xlpm.nd,_xlfn.TEXTSPLIT(FO34,"|"),IF(COLUMNS(_xlpm.nd)&gt;1,A34&amp;"¦"&amp;INDEX(_xlpm.nd,1)&amp;"¦"&amp;INDEX(_xlpm.nd,2),"")))</f>
        <v>ЩР¦QFD13¦XT13</v>
      </c>
      <c r="FQ34" t="str">
        <f t="shared" si="69"/>
        <v>R.1.05.8¦Розеточная группа  Пом. №05 СВЧ</v>
      </c>
      <c r="FR34" t="str" cm="1">
        <f t="array" ref="FR34">IF(FO34="","",_xlfn.LET(_xlpm.nd,_xlfn.TEXTSPLIT(FO34,"|"),IF(COLUMNS(_xlpm.nd)&gt;2,A34&amp;"¦"&amp;INDEX(_xlpm.nd,2)&amp;"¦"&amp;INDEX(_xlpm.nd,3),"")))</f>
        <v>ЩР¦XT13¦кабель ВВГнг(А)-LS (3х2,5) → Розеточная группа  Пом. №05 СВЧ</v>
      </c>
      <c r="FS34" t="str">
        <f t="shared" si="70"/>
        <v>R.1.05.8¦Розеточная группа  Пом. №05 СВЧ</v>
      </c>
      <c r="FT34" t="str" cm="1">
        <f t="array" ref="FT34">IF(FO34="","",_xlfn.LET(_xlpm.nd,_xlfn.TEXTSPLIT(FO34,"|"),IF(COLUMNS(_xlpm.nd)&gt;3,A34&amp;"¦"&amp;INDEX(_xlpm.nd,3)&amp;"¦"&amp;INDEX(_xlpm.nd,4),"")))</f>
        <v/>
      </c>
      <c r="FU34" t="str">
        <f t="shared" si="71"/>
        <v/>
      </c>
      <c r="FV34" t="str" cm="1">
        <f t="array" ref="FV34">IF(FO34="","",_xlfn.LET(_xlpm.nd,_xlfn.TEXTSPLIT(FO34,"|"),IF(COLUMNS(_xlpm.nd)&gt;4,A34&amp;"¦"&amp;INDEX(_xlpm.nd,4)&amp;"¦"&amp;INDEX(_xlpm.nd,5),"")))</f>
        <v/>
      </c>
      <c r="FW34" t="str">
        <f t="shared" si="72"/>
        <v/>
      </c>
      <c r="FX34" t="str" cm="1">
        <f t="array" ref="FX34">IF(FO34="","",_xlfn.LET(_xlpm.nd,_xlfn.TEXTSPLIT(FO34,"|"),IF(COLUMNS(_xlpm.nd)&gt;5,A34&amp;"¦"&amp;INDEX(_xlpm.nd,5)&amp;"¦"&amp;INDEX(_xlpm.nd,6),"")))</f>
        <v/>
      </c>
      <c r="FY34" t="str">
        <f t="shared" si="73"/>
        <v/>
      </c>
      <c r="FZ34" t="str" cm="1">
        <f t="array" ref="FZ34">IF(FO34="","",_xlfn.LET(_xlpm.nd,_xlfn.TEXTSPLIT(FO34,"|"),IF(COLUMNS(_xlpm.nd)&gt;6,A34&amp;"¦"&amp;INDEX(_xlpm.nd,6)&amp;"¦"&amp;INDEX(_xlpm.nd,7),"")))</f>
        <v/>
      </c>
      <c r="GA34" t="str">
        <f t="shared" si="74"/>
        <v/>
      </c>
      <c r="GB34" t="str">
        <f t="shared" si="75"/>
        <v/>
      </c>
      <c r="GC34" t="str">
        <f t="shared" si="76"/>
        <v>QFD13 → XT13</v>
      </c>
      <c r="GD34">
        <f t="shared" si="77"/>
        <v>1</v>
      </c>
      <c r="GE34">
        <f t="shared" si="78"/>
        <v>0</v>
      </c>
      <c r="GF34">
        <f t="shared" si="79"/>
        <v>1</v>
      </c>
      <c r="GG34" t="str">
        <f t="shared" si="80"/>
        <v/>
      </c>
      <c r="GH34" t="str">
        <f t="shared" si="81"/>
        <v/>
      </c>
      <c r="GI34" t="str">
        <f t="shared" si="82"/>
        <v/>
      </c>
      <c r="GJ34" t="str">
        <f t="shared" si="83"/>
        <v/>
      </c>
      <c r="GK34" t="str">
        <f>IF(D34="","",IFERROR(VLOOKUP(D34,УГО_спр,2,FALSE),IFERROR(VLOOKUP(AT34,УГО_спр,2,FALSE),IFERROR(VLOOKUP(LEFT(AT34,2),УГО_спр,2,FALSE),""))))</f>
        <v>Розетка</v>
      </c>
      <c r="GL34" t="str">
        <f>IF(D34="","",IF(OR(GK34="",GK34=0),"BOX",IFERROR(IF(VLOOKUP(GK34,УГО_блоки,3,FALSE)&amp;""&lt;&gt;"",VLOOKUP(GK34,УГО_блоки,3,FALSE),VLOOKUP(GK34,УГО_блоки,2,FALSE)),GK34)))</f>
        <v>SOCKET</v>
      </c>
      <c r="GM34">
        <f t="shared" si="84"/>
        <v>1</v>
      </c>
      <c r="GN34" t="str">
        <f>IF(EP34="","",IF(COUNTIF(EP$3:EP34,EP34)=1,MAX(GN$2:GN33)+1,""))</f>
        <v/>
      </c>
      <c r="GO34" t="str">
        <f>IF(AF34="","",IF(COUNTIF(AF$3:AF34,AF34)+COUNTIF(AG$2:AG33,AF34)+COUNTIF(AH$2:AH33,AF34)=1,MAX(GO$2:GQ33)+1,""))</f>
        <v/>
      </c>
      <c r="GP34" t="str">
        <f>IF(AG34="","",IF(COUNTIF(AF$3:AF34,AG34)+COUNTIF(AG$3:AG34,AG34)+COUNTIF(AH$2:AH33,AG34)=1,MAX(GO$2:GQ33,GO34)+1,""))</f>
        <v/>
      </c>
      <c r="GQ34" t="str">
        <f>IF(AH34="","",IF(COUNTIF(AF$3:AF34,AH34)+COUNTIF(AG$3:AG34,AH34)+COUNTIF(AH$3:AH34,AH34)=1,MAX(GO$2:GQ33,GO34,GP34)+1,""))</f>
        <v/>
      </c>
      <c r="GR34" t="str">
        <f t="shared" si="85"/>
        <v>3х2,5</v>
      </c>
      <c r="GS34" t="str">
        <f>IF(GR34="","",IF(COUNTIF(GR$3:GR34,GR34)=1,MAX(GS$2:GS33)+1,""))</f>
        <v/>
      </c>
      <c r="GT34" t="str">
        <f>IF(ES34="","",COUNTIF(ES$3:ES34,"?*"))</f>
        <v/>
      </c>
      <c r="GU34" t="str">
        <f>IF(OR(ES34="",EU34=""),"",IF(COUNTIFS(ES$3:ES34,"?*",EU$3:EU34,EU34)=1,MAX(GU$2:GU33)+1,""))</f>
        <v/>
      </c>
      <c r="GV34">
        <f t="shared" si="86"/>
        <v>0</v>
      </c>
      <c r="GW34">
        <f>IF(D34="","",COUNTIF(D$3:D34,"?*"))</f>
        <v>14</v>
      </c>
      <c r="GX34">
        <f>IF(EX34&lt;&gt;1,0,_xlfn.LET(_xlpm.k,MAX(IFERROR(--VLOOKUP(D34,УГО_спр,5,FALSE),0),IFERROR(--VLOOKUP(AT34,УГО_спр,5,FALSE),0),IFERROR(--VLOOKUP(LEFT(AT34,2),УГО_спр,5,FALSE),0)),IF(_xlpm.k&gt;0,_xlpm.k,IF(IFERROR(--LEFT(SUBSTITUTE(GR34,"x","х"),FIND("х",SUBSTITUTE(GR34,"x","х"))-1),3)&gt;3,Каталог!$S$9,1))))</f>
        <v>1</v>
      </c>
      <c r="GY34">
        <f t="shared" si="87"/>
        <v>0</v>
      </c>
    </row>
    <row r="35" spans="1:207" x14ac:dyDescent="0.3">
      <c r="A35" t="s">
        <v>206</v>
      </c>
      <c r="B35">
        <v>33</v>
      </c>
      <c r="C35" t="str">
        <f>IF(BD35="","",IF(BE35="вводной узел","узел ","")&amp;"л."&amp;(INT((BD35-1)/Столбцов_на_лист)+1)&amp;" / "&amp;(MOD(BD35-1,Столбцов_на_лист)+1))</f>
        <v>л.2 / 16</v>
      </c>
      <c r="D35" t="s">
        <v>693</v>
      </c>
      <c r="E35" s="133" t="s">
        <v>760</v>
      </c>
      <c r="G35">
        <v>0.06</v>
      </c>
      <c r="H35">
        <v>1</v>
      </c>
      <c r="O35">
        <v>2</v>
      </c>
      <c r="T35">
        <v>2</v>
      </c>
      <c r="AD35" t="s">
        <v>597</v>
      </c>
      <c r="AK35" t="s">
        <v>611</v>
      </c>
      <c r="AN35">
        <v>13</v>
      </c>
      <c r="AO35" t="s">
        <v>652</v>
      </c>
      <c r="AQ35" t="s">
        <v>653</v>
      </c>
      <c r="AR35" t="str">
        <f t="shared" ref="AR35:AR66" si="88">_xlfn.TEXTJOIN("; ",TRUE,FK35,IF(DO35="НЕ ОБЕСПЕЧЕНА","категория "&amp;DE35&amp;" не обеспечена (есть "&amp;DL35&amp;")",""),IF(LEFT(FM35,3)="Icu",FM35,""),IF(AND(D35&lt;&gt;"",BS35="Не исп"),"сечение не подобрано",""))</f>
        <v/>
      </c>
      <c r="AS35" cm="1">
        <f t="array" ref="AS35">ROW()-ROW(Линии[#Headers])</f>
        <v>33</v>
      </c>
      <c r="AT35" s="6" t="str">
        <f t="shared" ref="AT35:AT66" si="89">IF(D35="","",IFERROR(LEFT(D35,SEARCH(".",D35)-1),D35))</f>
        <v>R</v>
      </c>
      <c r="AU35" t="str">
        <f t="shared" ref="AU35:AU66" si="90">IFERROR(RIGHT(D35,LEN(D35)-SEARCH(".",D35)),"")</f>
        <v>1.05.9</v>
      </c>
      <c r="AV35" t="str">
        <f t="shared" ref="AV35:AV66" si="91">IFERROR(LEFT(AU35,SEARCH(".",AU35)-1),AU35)</f>
        <v>1</v>
      </c>
      <c r="AW35" t="str">
        <f t="shared" ref="AW35:AW66" si="92">IFERROR(RIGHT(AU35,LEN(AU35)-SEARCH(".",AU35)),"")</f>
        <v>05.9</v>
      </c>
      <c r="AX35" t="str">
        <f t="shared" ref="AX35:AX66" si="93">IFERROR(LEFT(AW35,SEARCH(".",AW35)-1),AW35)</f>
        <v>05</v>
      </c>
      <c r="AY35" t="str">
        <f>IF(D35="","",IF(ISERROR(SEARCH(".",D35)),IFERROR(VLOOKUP(D35,Потребители_обозначение,2,FALSE)&amp;"",""),IFERROR(IF(VLOOKUP(AT35,Потребители_обозначение,4,FALSE)=1,VLOOKUP(AT35,Потребители_обозначение,2,FALSE)&amp;" "&amp;VLOOKUP(AV35,Этаж_обозначение,2,FALSE)&amp;" Пом. №"&amp;AX35,VLOOKUP(AT35,Потребители_обозначение,2,FALSE)&amp;" Шлейф №"&amp;AV35),IFERROR(VLOOKUP(D35,Потребители_обозначение,2,FALSE),""))))</f>
        <v>Розеточная группа  Пом. №05</v>
      </c>
      <c r="AZ35" t="str">
        <f t="shared" ref="AZ35:AZ66" si="94">IF(E35&lt;&gt;"",E35,AY35)</f>
        <v>Розеточная группа  Пом. №05 Духовой шкаф</v>
      </c>
      <c r="BA35" t="str">
        <f>IF(F35&lt;&gt;"",F35,IF(AND(D35&lt;&gt;"",D35&lt;&gt;A35,ISNUMBER(_xlfn.XMATCH(D35,Щиты[Щит]))),D35,""))</f>
        <v/>
      </c>
      <c r="BB35">
        <f>IFERROR(_xlfn.XMATCH(A35,Щиты[Щит]),0)</f>
        <v>1</v>
      </c>
      <c r="BC35">
        <f>IFERROR(N(_xlfn.XLOOKUP(A35,Щиты[Щит],Щиты[Мест под вводной узел])),15)</f>
        <v>18</v>
      </c>
      <c r="BD35">
        <f t="shared" ref="BD35:BD66" si="95">IF(B35="-","",IF(ISNUMBER(B35),B35,_xlfn.LET(_xlpm.prev,IF(OR(AS35=1,A35&lt;&gt;A34),0,N(IF(AS35=1,"",BD34))),_xlpm.nx,_xlpm.prev+1,IF(AND(AL35&lt;&gt;"вручную",_xlpm.nx&lt;=BC35),BC35+1,_xlpm.nx))))</f>
        <v>33</v>
      </c>
      <c r="BE35" t="str">
        <f t="shared" ref="BE35:BE66" si="96">IF(BD35="","",IF(BD35&lt;=BC35,"вводной узел","линии"))</f>
        <v>линии</v>
      </c>
      <c r="BF35" s="6">
        <f>IF(D35="","",IF(BA35&lt;&gt;"",IFERROR(_xlfn.XLOOKUP(BA35,Щиты[Щит],Щиты[Руст, кВт]),0),N(G35)))</f>
        <v>0.06</v>
      </c>
      <c r="BG35">
        <f>IF(J35&lt;&gt;"",J35,IF(D35="","",IFERROR(IF(VLOOKUP(AT35,Потребители_обозначение,8,FALSE)=0,"",VLOOKUP(AT35,Потребители_обозначение,8,FALSE)),"")))</f>
        <v>230</v>
      </c>
      <c r="BH35">
        <f>IF(I35&lt;&gt;"",I35,IF(D35="","",IFERROR(IF(VLOOKUP(AT35,Потребители_обозначение,9,FALSE)=0,"",VLOOKUP(AT35,Потребители_обозначение,9,FALSE)),"")))</f>
        <v>1</v>
      </c>
      <c r="BI35" t="str">
        <f>IF(U35&lt;&gt;"",U35,IF(D35="","",IFERROR(IF(VLOOKUP(AT35,Потребители_обозначение,6,FALSE)=0,"",VLOOKUP(AT35,Потребители_обозначение,6,FALSE)),"")))</f>
        <v>мс</v>
      </c>
      <c r="BJ35">
        <f>IF(V35&lt;&gt;"",V35,IF(D35="","",IFERROR(IF(VLOOKUP(AT35,Потребители_обозначение,7,FALSE)=0,"",VLOOKUP(AT35,Потребители_обозначение,7,FALSE)),"")))</f>
        <v>3</v>
      </c>
      <c r="BK35">
        <f>IF(W35&lt;&gt;"",W35,IF(D35="","",IFERROR(IF(VLOOKUP(AT35,Потребители_обозначение,10,FALSE)=0,"",VLOOKUP(AT35,Потребители_обозначение,10,FALSE)),"")))</f>
        <v>2.5</v>
      </c>
      <c r="BL35">
        <f>IFERROR(VLOOKUP(AT35,Потребители_обозначение,5,FALSE),0)</f>
        <v>1</v>
      </c>
      <c r="BM35" s="6" cm="1">
        <f t="array" ref="BM35">IF(D35="","",IF(BA35&lt;&gt;"",IFERROR(_xlfn.XLOOKUP(BA35,Щиты[Щит],Щиты[cos φ]),0.95),IF(ISNUMBER(M35),M35,IFERROR(IF(BL35=2,_xlfn.IFS(BH35=3,VLOOKUP(BF35,Справочная_двигатели,8,FALSE),BH35=1,VLOOKUP(BF35,Справочная_двигатели,10,TRUE)),IF(AND(Методика="нормы 2026",CN35="Сил"),0.8,0.95)),0.95))))</f>
        <v>0.95</v>
      </c>
      <c r="BN35" s="6" cm="1">
        <f t="array" ref="BN35">IF(D35="","",IF(BA35&lt;&gt;"",IFERROR(_xlfn.XLOOKUP(BA35,Щиты[Щит],Щиты[Iр, А]),""),IFERROR(_xlfn.IFS(BH35=1,BF35/((Uн_лин/SQRT(3))*BM35),BH35=3,BF35/(SQRT(3)*Uн_лин*BM35)),"")))</f>
        <v>0.27348170645824377</v>
      </c>
      <c r="BO35">
        <f>IF(D35="","",IF(N(X35)=0,IFERROR(VLOOKUP(BN35,Автомат_номиналы,2,TRUE),""),X35))</f>
        <v>6</v>
      </c>
      <c r="BP35">
        <f t="shared" ref="BP35:BP66" si="97">IF(N(BJ35)=1,1,IF(BH35=1,1,IF(N(BJ35)&gt;=4,0.92,1)))</f>
        <v>1</v>
      </c>
      <c r="BQ35">
        <f>IF(ISNUMBER(Y35),Y35,К_прокл)</f>
        <v>1</v>
      </c>
      <c r="BR35">
        <f t="shared" ref="BR35:BR66" si="98">IF(N(BJ35)=1,1,IF(BH35=1,2,3))</f>
        <v>2</v>
      </c>
      <c r="BS35" cm="1">
        <f t="array" ref="BS35">IF(D35="","",IF(N(BK35)&lt;&gt;0,BK35,IFERROR(_xlfn.LET(_xlpm.need,BO35/(BP35*BQ35),_xlpm.t,CHOOSE(BR35,Iдоп_1ж,Iдоп_2ж,Iдоп_3ж),_xlpm.k,_xlfn.XMATCH(_xlpm.need,_xlpm.t,1),IF(ISNA(_xlpm.k),"Не исп",INDEX(Iдоп_S,_xlpm.k))),"Не исп")))</f>
        <v>2.5</v>
      </c>
      <c r="BT35">
        <f>IFERROR(VLOOKUP(BS35,Кабель_сопротивление,3,FALSE),"")</f>
        <v>2.2499999999999999E-2</v>
      </c>
      <c r="BU35">
        <f>IFERROR(VLOOKUP(BS35,Кабель_сопротивление,2,FALSE),"")</f>
        <v>0.1</v>
      </c>
      <c r="BV35">
        <f t="shared" ref="BV35:BV66" si="99">IF(P35&lt;&gt;"",P35,IF(COUNT(AM35,AN35)=0,"",ROUNDUP(SUM(AM35,AN35),0)))</f>
        <v>13</v>
      </c>
      <c r="BW35" s="6">
        <f>IF(D35="","",IFERROR(IF(VLOOKUP(AT35,Потребители_обозначение,4,FALSE)=1,VLOOKUP(AT35,Потребители_обозначение,3,FALSE)*(H35*2-1)+BV35+VLOOKUP(AV35,Этаж_обозначение,3,FALSE)+VLOOKUP(AV35,Этаж_обозначение,4,FALSE),VLOOKUP(AT35,Потребители_обозначение,3,FALSE)*(H35*2-1)+BV35),BV35))</f>
        <v>15</v>
      </c>
      <c r="BX35">
        <f t="shared" ref="BX35:BX66" si="100">IF(R35&lt;&gt;"",R35,IF(OR(BV35="",T35=""),"",IF(T35=1,MAX(0,BW35-ROUNDUP(N(AN35),0)-4),ROUNDUP(N(AM35),0))))</f>
        <v>0</v>
      </c>
      <c r="BY35">
        <f t="shared" ref="BY35:BY66" si="101">IF(S35&lt;&gt;"",S35,IF(OR(BV35="",T35=""),"",IF(T35=2,MAX(0,BW35-ROUNDUP(N(AM35),0)-4),ROUNDUP(N(AN35),0))))</f>
        <v>11</v>
      </c>
      <c r="BZ35">
        <f t="shared" ref="BZ35:BZ66" si="102">IF(BH35=1,2,IF(BH35=3,1,""))</f>
        <v>2</v>
      </c>
      <c r="CA35">
        <f t="shared" ref="CA35:CA66" si="103">IFERROR(ROUND(SIN(ACOS(BM35)),2),"")</f>
        <v>0.31</v>
      </c>
      <c r="CB35">
        <f t="shared" ref="CB35:CB66" si="104">IFERROR(BZ35*(BT35*BW35/BS35*BM35+BU35*BW35*CA35/1000)*BN35,"")</f>
        <v>7.0402395693545672E-2</v>
      </c>
      <c r="CC35" s="6">
        <f>IFERROR(ROUNDUP(CB35/((Uн_лин/SQRT(3))*1000)*100,2),"")</f>
        <v>0.04</v>
      </c>
      <c r="CD35" s="6">
        <f>IF(ISNUMBER(CC35),CC35+IFERROR(_xlfn.XLOOKUP(A35,Щиты[Щит],Щиты[ΔU до шин, %]),0),"")</f>
        <v>0.04</v>
      </c>
      <c r="CE35" s="6">
        <f>IF(D35="","",IF(IFERROR(VLOOKUP(AT35,УГО_спр,2,FALSE),"")="Светильник",3,4)+IF(Методика="нормы 2026",MIN(0.5,MAX(0,N(BW35)-100)*0.005),0))</f>
        <v>4</v>
      </c>
      <c r="CF35" t="str">
        <f>IFERROR(VLOOKUP(BI35,Кабель_обозначение,2,FALSE),"")</f>
        <v>ВВГнг(А)-LS</v>
      </c>
      <c r="CG35" t="str">
        <f>IFERROR(IF(VLOOKUP(BI35,Кабель_обозначение,3,FALSE)=1,CF35&amp;" ("&amp;BJ35&amp;"х"&amp;BS35&amp;")",CF35),"")</f>
        <v>ВВГнг(А)-LS (3х2,5)</v>
      </c>
      <c r="CH35" t="str">
        <f t="shared" ref="CH35:CH66" si="105">IF(OR(D35="",CF35="",AND(G35&lt;&gt;"",NOT(ISNUMBER(G35)))),"",IF(BS35=0,CF35,CG35&amp;CHAR(10)&amp;"L="&amp;BW35&amp;"-"&amp;CC35&amp;"%"))</f>
        <v>ВВГнг(А)-LS (3х2,5)
L=15-0,04%</v>
      </c>
      <c r="CI35">
        <f>IFERROR(2*ρкз_Cu*BW35/BS35,"")</f>
        <v>0.31559999999999999</v>
      </c>
      <c r="CJ35">
        <f t="shared" ref="CJ35:CJ66" si="106">IFERROR(0.0175*N(BW35)/BS35,"")</f>
        <v>0.10500000000000001</v>
      </c>
      <c r="CK35" s="6" t="str">
        <f>IFERROR(IF(OR(D35="",NOT(ISNUMBER(BS35)),N(BW35)=0),"",_xlfn.XLOOKUP(A35,Щиты[Щит],Щиты[Zпетли на шинах, Ом])+CI35),"")</f>
        <v/>
      </c>
      <c r="CL35" s="6" t="str">
        <f>IF(ISNUMBER(CK35),c_min*(Uн_лин*1000/SQRT(3))/CK35,"")</f>
        <v/>
      </c>
      <c r="CM35" s="6" t="str">
        <f>IFERROR(IF(OR(D35="",NOT(ISNUMBER(BS35))),"",1.05*(Uн_лин*1000/SQRT(3))/(_xlfn.XLOOKUP(A35,Щиты[Щит],Щиты[Zmax на шинах, Ом])+CJ35)/1000),"")</f>
        <v/>
      </c>
      <c r="CN35" s="6" t="str">
        <f>IF(D35="","",IF(BA35&lt;&gt;"","Щит",IF(K35&lt;&gt;"",K35,IF(ISNUMBER(L35),"Сил",IF(IFERROR(_xlfn.XLOOKUP(AT35,Коды_код,Коды_группа)&amp;"","")="","Быт",_xlfn.XLOOKUP(AT35,Коды_код,Коды_группа)&amp;"")))))</f>
        <v>Быт</v>
      </c>
      <c r="CO35" s="6">
        <f>IF(CN35="Щит","щит",IF(CN35="","",IF(CN35="Быт",IFERROR(_xlfn.XLOOKUP(A35,Щиты[Щит],Щиты[Кс быт]),1),IF(CN35="Сил",IF(ISNUMBER(L35),L35,IF(Методика="нормы 2026",IFERROR(_xlfn.XLOOKUP(A35,Щиты[Щит],Щиты[Кс силовых (табл. 7.5)]),1),1)),IF(OR(CN35="Пост",CN35="Отоп"),1,IF(CN35="ВНГ",0.7,0))))))</f>
        <v>0.8</v>
      </c>
      <c r="CP35">
        <f t="shared" ref="CP35:CP66" si="107">IF(CN35="","",IFERROR(MIN(3,MAX(1,INT(--N35))),1))</f>
        <v>1</v>
      </c>
      <c r="CQ35">
        <f t="shared" ref="CQ35:CQ66" si="108">IF(OR(CN35="",CN35="Нет",CN35="Щит"),0,N(BF35))</f>
        <v>0.06</v>
      </c>
      <c r="CR35">
        <f t="shared" ref="CR35:CR66" si="109">IF(CN35="Быт",N(BF35),0)</f>
        <v>0.06</v>
      </c>
      <c r="CS35">
        <f t="shared" ref="CS35:CS66" si="110">IF(CN35="Сил",N(BF35)*N(CO35),0)</f>
        <v>0</v>
      </c>
      <c r="CT35">
        <f t="shared" ref="CT35:CT66" si="111">IF(CN35="Пост",N(BF35),0)</f>
        <v>0</v>
      </c>
      <c r="CU35">
        <f t="shared" ref="CU35:CU66" si="112">IF(CN35="Отоп",N(BF35),0)</f>
        <v>0</v>
      </c>
      <c r="CV35">
        <f t="shared" ref="CV35:CV66" si="113">IF(CN35="ВНГ",N(BF35)*0.7,0)</f>
        <v>0</v>
      </c>
      <c r="CW35">
        <f t="shared" ref="CW35:CW66" si="114">IF(OR(D35="",CN35="Щит"),0,N(BF35))</f>
        <v>0.06</v>
      </c>
      <c r="CX35">
        <f t="shared" ref="CX35:CX66" si="115">IF(OR(D35="",CN35="Щит"),0,N(BF35)*N(BM35))</f>
        <v>5.6999999999999995E-2</v>
      </c>
      <c r="CY35">
        <f t="shared" ref="CY35:CY66" si="116">_xlfn.LET(_xlpm.prev,IF(OR(OR(AS35=1,A35&lt;&gt;A34)),0,N(IF(AS35=1,"",CY34))),IF(OR(D35="",BH35=3),_xlpm.prev,IF(_xlpm.prev&gt;=3,1,_xlpm.prev+1)))</f>
        <v>2</v>
      </c>
      <c r="CZ35" t="str">
        <f t="shared" ref="CZ35:CZ66" si="117">IF(D35="","",IF(BH35=3,"L1,L2,L3","L"&amp;MAX(1,CY35)))</f>
        <v>L2</v>
      </c>
      <c r="DA35" cm="1">
        <f t="array" ref="DA35">IFERROR(IF(BL35=2,_xlfn.IFS(BH35=3,VLOOKUP(BF35,Справочная_двигатели,3,FALSE),BH35=1,VLOOKUP(BF35,Справочная_двигатели,5,TRUE)),0),0)</f>
        <v>0</v>
      </c>
      <c r="DB35">
        <f>IFERROR(IF(BL35=3,VLOOKUP(BF35,Справочная_ЛЭД,2,TRUE),0),0)</f>
        <v>0</v>
      </c>
      <c r="DC35" s="6">
        <f t="shared" ref="DC35:DC66" si="118">IF(D35="","",IF(DA35=0,DB35,DA35))</f>
        <v>0</v>
      </c>
      <c r="DD35" t="str">
        <f t="shared" ref="DD35:DD66" si="119">IF(D35="","",IF(O35="упр","",IF(O35="",CZ35,IF(O35&amp;""="1,2,3","L1,L2,L3","L"&amp;O35))))</f>
        <v>L2</v>
      </c>
      <c r="DE35" t="str" cm="1">
        <f t="array" ref="DE35">IF(D35="","",IFERROR(INDEX({"I особая","I","II","III"},MATCH(TRIM(AA35&amp;""),{"I особая","I","II","III"},0)),"III"))</f>
        <v>III</v>
      </c>
      <c r="DF35" t="str">
        <f>IF(D35="","",IF(TRIM(AB35&amp;"")&lt;&gt;"",IF(LOWER(TRIM(AB35&amp;""))="да","да","нет"),IF(IFERROR(_xlfn.XLOOKUP(AT35,Коды_код,Коды_пожарная),"")="да","да","нет")))</f>
        <v>нет</v>
      </c>
      <c r="DG35" t="str">
        <f t="shared" ref="DG35:DG66" si="120">IF(AC35&lt;&gt;"",AC35,IF(AD35&lt;&gt;"","",IF(EK35="","",IF(AS35=1,"",DG34))))</f>
        <v/>
      </c>
      <c r="DH35" t="str">
        <f t="shared" ref="DH35:DH66" si="121">IF(D35="","",IF(DG35="","основная",DG35))</f>
        <v>основная</v>
      </c>
      <c r="DI35">
        <f t="shared" ref="DI35:DI66" si="122">IFERROR(MIN(3,MAX(1,INT(--N35))),1)</f>
        <v>1</v>
      </c>
      <c r="DJ35" t="str" cm="1">
        <f t="array" ref="DJ35">IF(D35="","",_xlfn.LET(_xlpm.t,IFERROR(_xlfn.XLOOKUP(1,(Шины[Шина]=DH35)*(((Шины[Щит]=A35)+(Шины[Щит]=""))&gt;0),Шины[Тип]),"")&amp;"",IF(_xlpm.t&lt;&gt;"",_xlpm.t,IF(ISNUMBER(SEARCH("ИБП",DH35)),"ИБП",IF(ISNUMBER(SEARCH("ДГУ",DH35)),"ДГУ","Ввод "&amp;DI35)))))</f>
        <v>Ввод 1</v>
      </c>
      <c r="DK35" t="str">
        <f t="shared" ref="DK35:DK66" si="123">IF(D35="","",IF(OR(DJ35="ИБП",DJ35="ДГУ"),DJ35,IF(LEFT(DJ35,5)="Ввод ",DJ35,"Ввод "&amp;DI35)))</f>
        <v>Ввод 1</v>
      </c>
      <c r="DL35" t="str">
        <f>IF(D35="","",IF(OR(DJ35="ИБП",DJ35="ДГУ"),"I особая",IF(DJ35="Одиночная","III",_xlfn.XLOOKUP(A35,Щиты[Щит],Щиты[Категория шины «Ввод»],"III"))))</f>
        <v>III</v>
      </c>
      <c r="DM35">
        <f>IF(D35="",0,IFERROR(MATCH(DE35,{"III","II","I","I особая"},0),1))</f>
        <v>1</v>
      </c>
      <c r="DN35">
        <f t="shared" ref="DN35:DN66" si="124">IF(OR(DJ35="ИБП",DJ35="ДГУ"),MIN(DM35,3),DM35)</f>
        <v>1</v>
      </c>
      <c r="DO35" t="str">
        <f>IF(D35="","",IF(DM35&gt;IFERROR(MATCH(DL35,{"III","II","I","I особая"},0),1),"НЕ ОБЕСПЕЧЕНА","ОК"))</f>
        <v>ОК</v>
      </c>
      <c r="DP35" t="str">
        <f>IF(A35="","",_xlfn.XLOOKUP(A35,Щиты[Щит],Щиты[Путь],""))</f>
        <v>|ЩР|</v>
      </c>
      <c r="DQ35" t="str">
        <f>IF(D35="","",IF(Z35&lt;&gt;"",Z35,IF(IFERROR(_xlfn.XLOOKUP(AT35,Коды_код,Коды_вид)&amp;"","")="","Прочее",_xlfn.XLOOKUP(AT35,Коды_код,Коды_вид)&amp;"")))</f>
        <v>Розеточная сеть и бытовые приборы</v>
      </c>
      <c r="DR35">
        <f>IF(BD35="","",INT((BD35-1)/Столбцов_на_лист)+1)</f>
        <v>2</v>
      </c>
      <c r="DS35" t="str">
        <f t="shared" ref="DS35:DS66" si="125">IF(D35="","",SUBSTITUTE(CH35,CHAR(10)," "))</f>
        <v>ВВГнг(А)-LS (3х2,5) L=15-0,04%</v>
      </c>
      <c r="DT35">
        <f t="shared" ref="DT35:DT66" si="126">IF(D35="","",IFERROR(--BF35,""))</f>
        <v>0.06</v>
      </c>
      <c r="DU35">
        <f t="shared" ref="DU35:DU66" si="127">IF(D35="","",IFERROR(ROUNDUP(BN35,2),""))</f>
        <v>0.28000000000000003</v>
      </c>
      <c r="DV35">
        <f t="shared" ref="DV35:DV66" si="128">IF(D35="","",IFERROR(--BH35,1))</f>
        <v>1</v>
      </c>
      <c r="DW35">
        <f>IF(AT35="",0,_xlfn.LET(_xlpm.v,IFERROR(VLOOKUP(D35,УГО_спр,3,FALSE),IFERROR(VLOOKUP(AT35,УГО_спр,3,FALSE),IFERROR(VLOOKUP(LEFT(AT35,2),УГО_спр,3,FALSE),""))),IF(_xlpm.v="да",30,IF(ISNUMBER(_xlpm.v),_xlpm.v,0))))</f>
        <v>30</v>
      </c>
      <c r="DX35">
        <f t="shared" ref="DX35:DX66" si="129">IF(OR(AJ35="+",AND(D35&lt;&gt;"",D35=IF(AS35=1,"",D34))),1,0)</f>
        <v>0</v>
      </c>
      <c r="DY35">
        <f>IF(BD35="","",IF(AD35&lt;&gt;"",COUNTIFS(A$3:A35,A35,AD$3:AD35,"?*"),IF(OR(OR(AS35=1,A35&lt;&gt;A34),AL35="вручную"),"",IF(AS35=1,"",DZ34))))</f>
        <v>14</v>
      </c>
      <c r="DZ35">
        <f t="shared" ref="DZ35:DZ66" si="130">IF(BD35="",IF(OR(AS35=1,A35&lt;&gt;A34),"",IF(AS35=1,"",DZ34)),DY35)</f>
        <v>14</v>
      </c>
      <c r="EA35">
        <f>IF(D35="",0,MAX(IFERROR(--X35,0),IFERROR(--VLOOKUP(D35,УГО_спр,4,FALSE),IFERROR(--VLOOKUP(AT35,УГО_спр,4,FALSE),IFERROR(--VLOOKUP(LEFT(AT35,2),УГО_спр,4,FALSE),0)))))</f>
        <v>16</v>
      </c>
      <c r="EB35">
        <f>IF(D35="","",IFERROR(LOOKUP(INDEX(CHOOSE(BR35,Iдоп_1ж,Iдоп_2ж,Iдоп_3ж),MATCH(BS35,Iдоп_S,0))*BP35*BQ35,{6,10,16,20,25,32,40,50,63,80,100,125,160,200,250,315,400,500,630}),""))</f>
        <v>25</v>
      </c>
      <c r="EC35">
        <f>IF(AD35="","",SUMIFS(Линии[_Ток схемы],Линии[_гр.],DY35,Линии[Щит],A35,Линии[_в кабель выше],0))</f>
        <v>0.28000000000000003</v>
      </c>
      <c r="ED35">
        <f>IF(AD35="","",IFERROR(VLOOKUP(EC35,Автомат_номиналы,2,TRUE),""))</f>
        <v>6</v>
      </c>
      <c r="EE35">
        <f>IF(AD35="","",MAX(N(ED35),_xlfn.MAXIFS(Линии[_мин. по типу],Линии[_гр.],DY35,Линии[Щит],A35)))</f>
        <v>16</v>
      </c>
      <c r="EF35">
        <f>IF(AD35="","",_xlfn.MINIFS(Линии[_макс. автомат по кабелю],Линии[_гр.],DY35,Линии[Щит],A35))</f>
        <v>25</v>
      </c>
      <c r="EG35">
        <f>IF(AD35="","",MAX(1,_xlfn.MAXIFS(Линии[_фаз],Линии[_гр.],DY35,Линии[Щит],A35)))</f>
        <v>1</v>
      </c>
      <c r="EH35">
        <f>IF(AD35="","",IF(AND(AD35&lt;&gt;"авто",AD35&lt;&gt;"+"),IF(ISNUMBER(SEARCH("мА",AD35)),IFERROR(--TRIM(RIGHT(SUBSTITUTE(LEFT(AD35,SEARCH("мА",AD35)-1)," ",REPT(" ",9)),6)),30),0),IF(AE35="нет",0,IF(ISNUMBER(AE35),AE35,IF(AE35="да",30,_xlfn.MINIFS(Линии[_дифзащита по коду, мА],Линии[_гр.],DY35,Линии[Щит],A35,Линии[_дифзащита по коду, мА],"&gt;0"))))))</f>
        <v>30</v>
      </c>
      <c r="EI35">
        <f t="shared" ref="EI35:EI66" si="131">IF(AD35="","",IF(N(EH35)&gt;0,1,0))</f>
        <v>1</v>
      </c>
      <c r="EJ35" t="str">
        <f t="shared" ref="EJ35:EJ66" si="132">IF(AD35="","",IF(EI35=1,"QFD","QF")&amp;DY35)</f>
        <v>QFD14</v>
      </c>
      <c r="EK35" t="str">
        <f t="shared" ref="EK35:EK66" si="133">IF(EJ35&lt;&gt;"",EJ35,IF(OR(OR(AS35=1,A35&lt;&gt;A34),AL35="вручную"),"",IF(AS35=1,"",EK34)))</f>
        <v>QFD14</v>
      </c>
      <c r="EL35" t="str">
        <f t="shared" ref="EL35:EL66" si="134">IF(EJ35&lt;&gt;"",_xlfn.TEXTJOIN(" → ",TRUE,AF35,AG35,AH35),IF(EK35="","",IF(AS35=1,"",EL34)))</f>
        <v/>
      </c>
      <c r="EM35">
        <f t="shared" ref="EM35:EM66" si="135">IF(EL35="",0,IF(OR(LEFT(EL35,2)="T ",LEFT(EL35,2)="Т ",ISNUMBER(SEARCH("→ T ",EL35)),ISNUMBER(SEARCH("→ Т ",EL35)),ISNUMBER(SEARCH("БП",EL35))),1,0))</f>
        <v>0</v>
      </c>
      <c r="EN35">
        <f>IF(AD35="","",IF(EM35=1,MAX(EE35,Мин_автомат_БП),EE35))</f>
        <v>16</v>
      </c>
      <c r="EO35" t="str">
        <f t="shared" ref="EO35:EO66" si="136">IF(AD35="","",IF(EG35&gt;=3,IF(EI35=1,"4P","3P"),IF(EI35=1,"2P","1P")))</f>
        <v>2P</v>
      </c>
      <c r="EP35" t="str">
        <f t="shared" ref="EP35:EP66" si="137">IF(AD35="","",IF(AND(AD35&lt;&gt;"авто",AD35&lt;&gt;"+"),AD35,EO35&amp;" С"&amp;EN35&amp;"А"&amp;IF(EI35=1," "&amp;EH35&amp;"мА","")))</f>
        <v>2P С16А 30мА</v>
      </c>
      <c r="EQ35">
        <f t="shared" ref="EQ35:EQ66" si="138">IF(EP35="","",_xlfn.LET(_xlpm.t,SUBSTITUTE(SUBSTITUTE(UPPER(EP35),"С","C"),"А","A"),_xlpm.c,FIND("C",_xlpm.t),IFERROR(--MID(_xlpm.t,_xlpm.c+1,FIND("A",_xlpm.t&amp;"A",_xlpm.c)-_xlpm.c-1),"")))</f>
        <v>16</v>
      </c>
      <c r="ER35" t="str">
        <f>IF(OR(AI35="",AI35="-"),"",IFERROR(VLOOKUP(AI35,Модули_спр,2,FALSE),"R"))</f>
        <v/>
      </c>
      <c r="ES35" t="str">
        <f>IF(ER35="","",ER35&amp;"."&amp;COUNTIFS(A$3:A35,A35,ER$3:ER35,ER35))</f>
        <v/>
      </c>
      <c r="ET35" t="str">
        <f t="shared" ref="ET35:ET66" si="139">IF(AI35="-","",IF(ES35&lt;&gt;"",ES35,IF(OR(AS35=1,A35&lt;&gt;A34),"",IF(AS35=1,"",ET34))))</f>
        <v/>
      </c>
      <c r="EU35" t="str">
        <f t="shared" ref="EU35:EU66" si="140">IF(ET35="","",IF(AND(AI35&lt;&gt;"",AI35&lt;&gt;"-"),AI35,IF(AS35=1,"",EU34)))</f>
        <v/>
      </c>
      <c r="EV35" t="str">
        <f t="shared" ref="EV35:EV66" si="141">IF(AJ35="=",IF(AS35=1,"",EW34),IF(ISNUMBER(AJ35),AJ35,IF(ET35="","",IF(OR(D35&lt;&gt;"",AJ35="+",AJ35="р"),IF(OR(ES35&lt;&gt;"",IF(AS35=1,"",EW34)=""),1,IF(AS35=1,"",EW34)+1),""))))</f>
        <v/>
      </c>
      <c r="EW35" t="str">
        <f t="shared" ref="EW35:EW66" si="142">IF(EV35&lt;&gt;"",EV35,IF(OR(OR(AS35=1,A35&lt;&gt;A34),AI35="-",ES35&lt;&gt;""),"",IF(AS35=1,"",EW34)))</f>
        <v/>
      </c>
      <c r="EX35">
        <f t="shared" ref="EX35:EX66" si="143">IF(AJ35="б/к",0,IF(OR(ISNUMBER(SEARCH("L=",CH35)),AJ35="+",AJ35="="),1,0))</f>
        <v>1</v>
      </c>
      <c r="EY35" t="str">
        <f>IF(AK35="нет","",IF(AK35&lt;&gt;"",AK35,IF(EX35=1,"XT"&amp;COUNTIFS(A$3:A35,A35,EX$3:EX35,1),"")))</f>
        <v>XT14</v>
      </c>
      <c r="EZ35" t="str">
        <f t="shared" ref="EZ35:EZ66" si="144">IF(OR(D35&lt;&gt;"",EV35&lt;&gt;"",EX35=1),EK35,"")</f>
        <v>QFD14</v>
      </c>
      <c r="FA35" t="str">
        <f t="shared" ref="FA35:FA66" si="145">IF(OR(EV35&lt;&gt;"",AND(AI35&lt;&gt;"",AI35&lt;&gt;"-")),ET35,"")</f>
        <v/>
      </c>
      <c r="FB35" t="str">
        <f t="shared" ref="FB35:FB66" si="146">IF(AD35="","",IF(NOT(ISNUMBER(EQ35)),"",IF(EC35&gt;EQ35,"ПЕРЕГРУЗ",IF(AND(EM35=0,EF35&gt;0,EQ35&gt;EF35),"КАБЕЛЬ НЕ ЗАЩИЩЁН","ok"))))</f>
        <v>ok</v>
      </c>
      <c r="FC35" t="str">
        <f>IF(OR(EV35="",ET35=""),"",IF(EV35&gt;IFERROR(VLOOKUP(EU35,Модули_спр,3,FALSE),99),"ЛИШНИЙ КАНАЛ",IF(AND(AJ35&lt;&gt;"=",COUNTIFS(Линии[_модуль гр.],ET35,Линии[Канал (итог)],EV35,Линии[Канал],"&lt;&gt;=",Линии[Щит],A35)&gt;1),"ДУБЛЬ КАНАЛА","")))</f>
        <v/>
      </c>
      <c r="FD35">
        <f t="shared" ref="FD35:FD66" si="147">IF(AD35&lt;&gt;"",EQ35,IF(EK35="","",IF(AS35=1,"",FD34)))</f>
        <v>16</v>
      </c>
      <c r="FE35" t="str">
        <f t="shared" ref="FE35:FE66" si="148">IF(AD35&lt;&gt;"",EP35,IF(EK35="","",IF(AS35=1,"",FE34)))</f>
        <v>2P С16А 30мА</v>
      </c>
      <c r="FF35">
        <f t="shared" ref="FF35:FF66" si="149">IF(AD35&lt;&gt;"",EI35,IF(EK35="","",IF(AS35=1,"",FF34)))</f>
        <v>1</v>
      </c>
      <c r="FG35">
        <f t="shared" ref="FG35:FG66" si="150">IF(AD35&lt;&gt;"",EH35,IF(EK35="","",IF(AS35=1,"",FG34)))</f>
        <v>30</v>
      </c>
      <c r="FH35" s="6" t="str">
        <f t="shared" ref="FH35:FH66" si="151">IFERROR(IF(ISNUMBER(CL35),CL35/IFERROR(--FD35,N(BO35)),""),"")</f>
        <v/>
      </c>
      <c r="FI35">
        <f t="shared" ref="FI35:FI66" si="152">IF(OR(ISNUMBER(SEARCH(" B"," "&amp;FE35)),ISNUMBER(SEARCH(" В"," "&amp;FE35))),5,IF(ISNUMBER(SEARCH(" D"," "&amp;FE35)),20,10))</f>
        <v>10</v>
      </c>
      <c r="FJ35" t="str">
        <f t="shared" ref="FJ35:FJ66" si="153">IF(NOT(ISNUMBER(FH35)),"",IF(FH35&gt;=FI35,"ok",IF(N(FF35)=1,"ok (дифзащита "&amp;FG35&amp;" мА)","мало: Iкз &lt; "&amp;FI35&amp;"·In")))</f>
        <v/>
      </c>
      <c r="FK35" t="str">
        <f>IF(AND(D35="",EZ35=""),"",_xlfn.TEXTJOIN("; ",TRUE,IF(AND(D35&lt;&gt;"",DD35=""),"нет фазы",""),IF(AND(D35&lt;&gt;"",N(DT35)=0,CN35&lt;&gt;"Нет"),"нет мощности",""),IF(AND(EY35&lt;&gt;"",COUNTIFS(Линии[Щит],A35,Линии[Клемма (итог)],EY35)&gt;1),"дубль клеммы "&amp;EY35,""),IF(AND(FB35&lt;&gt;"",FB35&lt;&gt;"ok"),FB35,""),IF(FC35&lt;&gt;"",FC35,""),IF(AND(ISNUMBER(SEARCH("(5х",DS35)),N(DV35)=1),"5 жил на 1 фазе",""),IF(AND(AT35="R",AD35&lt;&gt;"",OR(N(EH35)=0,N(EH35)&gt;30)),"розетка без дифзащиты до 30 мА",""),IFERROR(IF(AND(ISNUMBER(CD35),CD35&gt;CE35),"потери "&amp;FIXED(CD35,1)&amp;" % &gt; "&amp;CE35&amp;" %",""),""),IFERROR(IF(LEFT(FJ35,4)="мало","Iкз мало — отключение &gt; 0,4 с",""),""),IF(AND(D35&lt;&gt;"",BD35=""),"не на схеме","")))</f>
        <v/>
      </c>
      <c r="FL35" s="6">
        <f>IF(AD35="","",_xlfn.LET(_xlpm.t,IFERROR(_xlfn.XLOOKUP(EP35,Каталог!$U$4:$U$500,Каталог!$G$4:$G$500),""),_xlpm.k,SEARCH("кА",_xlpm.t),IFERROR(--TRIM(RIGHT(SUBSTITUTE(MID(_xlpm.t,MAX(1,_xlpm.k-4),_xlpm.k-MAX(1,_xlpm.k-4))," ",REPT(" ",9)),5)),"")))</f>
        <v>6</v>
      </c>
      <c r="FM35" t="str">
        <f>IF(OR(FL35="",AD35=""),"",IF(_xlfn.XLOOKUP(A35,Щиты[Щит],Щиты[Iкз max на шинах, кА],"")="","",IF(FL35&lt;_xlfn.XLOOKUP(A35,Щиты[Щит],Щиты[Iкз max на шинах, кА]),"Icu "&amp;FL35&amp;" кА &lt; Iкз max","ok")))</f>
        <v/>
      </c>
      <c r="FN35" t="str">
        <f t="shared" ref="FN35:FN66" si="154">IF(OR(AL35="вручную",BD35="",AND(D35="",EY35="")),"",_xlfn.TEXTJOIN("|",TRUE,EK35,SUBSTITUTE(EL35," → ","|"),IF(ET35&lt;&gt;"",ET35&amp;IF(EV35&lt;&gt;""," к."&amp;EV35,""),""),EY35))</f>
        <v>QFD14|XT14</v>
      </c>
      <c r="FO35" t="str">
        <f t="shared" ref="FO35:FO66" si="155">IF(FN35="","",FN35&amp;IF(D35&lt;&gt;"","|кабель "&amp;CG35&amp;" → "&amp;AZ35,""))</f>
        <v>QFD14|XT14|кабель ВВГнг(А)-LS (3х2,5) → Розеточная группа  Пом. №05 Духовой шкаф</v>
      </c>
      <c r="FP35" t="str" cm="1">
        <f t="array" ref="FP35">IF(FO35="","",_xlfn.LET(_xlpm.nd,_xlfn.TEXTSPLIT(FO35,"|"),IF(COLUMNS(_xlpm.nd)&gt;1,A35&amp;"¦"&amp;INDEX(_xlpm.nd,1)&amp;"¦"&amp;INDEX(_xlpm.nd,2),"")))</f>
        <v>ЩР¦QFD14¦XT14</v>
      </c>
      <c r="FQ35" t="str">
        <f t="shared" ref="FQ35:FQ66" si="156">IF(FP35="","",D35&amp;"¦"&amp;AZ35)</f>
        <v>R.1.05.9¦Розеточная группа  Пом. №05 Духовой шкаф</v>
      </c>
      <c r="FR35" t="str" cm="1">
        <f t="array" ref="FR35">IF(FO35="","",_xlfn.LET(_xlpm.nd,_xlfn.TEXTSPLIT(FO35,"|"),IF(COLUMNS(_xlpm.nd)&gt;2,A35&amp;"¦"&amp;INDEX(_xlpm.nd,2)&amp;"¦"&amp;INDEX(_xlpm.nd,3),"")))</f>
        <v>ЩР¦XT14¦кабель ВВГнг(А)-LS (3х2,5) → Розеточная группа  Пом. №05 Духовой шкаф</v>
      </c>
      <c r="FS35" t="str">
        <f t="shared" ref="FS35:FS66" si="157">IF(FR35="","",D35&amp;"¦"&amp;AZ35)</f>
        <v>R.1.05.9¦Розеточная группа  Пом. №05 Духовой шкаф</v>
      </c>
      <c r="FT35" t="str" cm="1">
        <f t="array" ref="FT35">IF(FO35="","",_xlfn.LET(_xlpm.nd,_xlfn.TEXTSPLIT(FO35,"|"),IF(COLUMNS(_xlpm.nd)&gt;3,A35&amp;"¦"&amp;INDEX(_xlpm.nd,3)&amp;"¦"&amp;INDEX(_xlpm.nd,4),"")))</f>
        <v/>
      </c>
      <c r="FU35" t="str">
        <f t="shared" ref="FU35:FU66" si="158">IF(FT35="","",D35&amp;"¦"&amp;AZ35)</f>
        <v/>
      </c>
      <c r="FV35" t="str" cm="1">
        <f t="array" ref="FV35">IF(FO35="","",_xlfn.LET(_xlpm.nd,_xlfn.TEXTSPLIT(FO35,"|"),IF(COLUMNS(_xlpm.nd)&gt;4,A35&amp;"¦"&amp;INDEX(_xlpm.nd,4)&amp;"¦"&amp;INDEX(_xlpm.nd,5),"")))</f>
        <v/>
      </c>
      <c r="FW35" t="str">
        <f t="shared" ref="FW35:FW66" si="159">IF(FV35="","",D35&amp;"¦"&amp;AZ35)</f>
        <v/>
      </c>
      <c r="FX35" t="str" cm="1">
        <f t="array" ref="FX35">IF(FO35="","",_xlfn.LET(_xlpm.nd,_xlfn.TEXTSPLIT(FO35,"|"),IF(COLUMNS(_xlpm.nd)&gt;5,A35&amp;"¦"&amp;INDEX(_xlpm.nd,5)&amp;"¦"&amp;INDEX(_xlpm.nd,6),"")))</f>
        <v/>
      </c>
      <c r="FY35" t="str">
        <f t="shared" ref="FY35:FY66" si="160">IF(FX35="","",D35&amp;"¦"&amp;AZ35)</f>
        <v/>
      </c>
      <c r="FZ35" t="str" cm="1">
        <f t="array" ref="FZ35">IF(FO35="","",_xlfn.LET(_xlpm.nd,_xlfn.TEXTSPLIT(FO35,"|"),IF(COLUMNS(_xlpm.nd)&gt;6,A35&amp;"¦"&amp;INDEX(_xlpm.nd,6)&amp;"¦"&amp;INDEX(_xlpm.nd,7),"")))</f>
        <v/>
      </c>
      <c r="GA35" t="str">
        <f t="shared" ref="GA35:GA66" si="161">IF(FZ35="","",D35&amp;"¦"&amp;AZ35)</f>
        <v/>
      </c>
      <c r="GB35" t="str">
        <f t="shared" ref="GB35:GB66" si="162">IF(FA35="","",EU35)</f>
        <v/>
      </c>
      <c r="GC35" t="str">
        <f t="shared" ref="GC35:GC66" si="163">IF(AND(D35="",EV35="",EY35=""),"",_xlfn.TEXTJOIN(" → ",TRUE,EK35,EL35,IF(ET35&lt;&gt;"",ET35&amp;IF(EV35&lt;&gt;""," к."&amp;EV35,""),IF(EV35&lt;&gt;"","к."&amp;EV35,"")),EY35,IF(DX35=1,"(в кабель выше)","")))</f>
        <v>QFD14 → XT14</v>
      </c>
      <c r="GD35">
        <f t="shared" ref="GD35:GD66" si="164">IF(OR(BD35="",AL35="вручную",AND(BE35="вводной узел",AL35&lt;&gt;"рисовать")),0,1)</f>
        <v>1</v>
      </c>
      <c r="GE35">
        <f t="shared" ref="GE35:GE66" si="165">IF(AC35="",0,1)</f>
        <v>0</v>
      </c>
      <c r="GF35">
        <f t="shared" ref="GF35:GF66" si="166">IF(EJ35="",0,IF(LEFT(EJ35,3)="QFD",1,0))</f>
        <v>1</v>
      </c>
      <c r="GG35" t="str">
        <f t="shared" ref="GG35:GG66" si="167">IF(AJ35="=","=",IF(AJ35="+","+",IF(AJ35="р","R","")))</f>
        <v/>
      </c>
      <c r="GH35" t="str">
        <f t="shared" ref="GH35:GH66" si="168">IF(AF35="","",IF(OR(LEFT(AF35,1)="T",LEFT(AF35,1)="Т"),"T",IF(LEFT(UPPER(AF35),2)="БП","PS",IF(OR(LEFT(UPPER(AF35),2)="МК",LEFT(UPPER(AF35),2)="MK"),"MK",IF(OR(LEFT(UPPER(AF35),2)="КМ",LEFT(UPPER(AF35),2)="KM"),"KM","X")))))</f>
        <v/>
      </c>
      <c r="GI35" t="str">
        <f t="shared" ref="GI35:GI66" si="169">IF(AG35="","",IF(OR(LEFT(AG35,1)="T",LEFT(AG35,1)="Т"),"T",IF(LEFT(UPPER(AG35),2)="БП","PS",IF(OR(LEFT(UPPER(AG35),2)="МК",LEFT(UPPER(AG35),2)="MK"),"MK",IF(OR(LEFT(UPPER(AG35),2)="КМ",LEFT(UPPER(AG35),2)="KM"),"KM","X")))))</f>
        <v/>
      </c>
      <c r="GJ35" t="str">
        <f t="shared" ref="GJ35:GJ66" si="170">IF(AH35="","",IF(OR(LEFT(AH35,1)="T",LEFT(AH35,1)="Т"),"T",IF(LEFT(UPPER(AH35),2)="БП","PS",IF(OR(LEFT(UPPER(AH35),2)="МК",LEFT(UPPER(AH35),2)="MK"),"MK",IF(OR(LEFT(UPPER(AH35),2)="КМ",LEFT(UPPER(AH35),2)="KM"),"KM","X")))))</f>
        <v/>
      </c>
      <c r="GK35" t="str">
        <f>IF(D35="","",IFERROR(VLOOKUP(D35,УГО_спр,2,FALSE),IFERROR(VLOOKUP(AT35,УГО_спр,2,FALSE),IFERROR(VLOOKUP(LEFT(AT35,2),УГО_спр,2,FALSE),""))))</f>
        <v>Розетка</v>
      </c>
      <c r="GL35" t="str">
        <f>IF(D35="","",IF(OR(GK35="",GK35=0),"BOX",IFERROR(IF(VLOOKUP(GK35,УГО_блоки,3,FALSE)&amp;""&lt;&gt;"",VLOOKUP(GK35,УГО_блоки,3,FALSE),VLOOKUP(GK35,УГО_блоки,2,FALSE)),GK35)))</f>
        <v>SOCKET</v>
      </c>
      <c r="GM35">
        <f t="shared" ref="GM35:GM66" si="171">IF(D35="",0,1)</f>
        <v>1</v>
      </c>
      <c r="GN35" t="str">
        <f>IF(EP35="","",IF(COUNTIF(EP$3:EP35,EP35)=1,MAX(GN$2:GN34)+1,""))</f>
        <v/>
      </c>
      <c r="GO35" t="str">
        <f>IF(AF35="","",IF(COUNTIF(AF$3:AF35,AF35)+COUNTIF(AG$2:AG34,AF35)+COUNTIF(AH$2:AH34,AF35)=1,MAX(GO$2:GQ34)+1,""))</f>
        <v/>
      </c>
      <c r="GP35" t="str">
        <f>IF(AG35="","",IF(COUNTIF(AF$3:AF35,AG35)+COUNTIF(AG$3:AG35,AG35)+COUNTIF(AH$2:AH34,AG35)=1,MAX(GO$2:GQ34,GO35)+1,""))</f>
        <v/>
      </c>
      <c r="GQ35" t="str">
        <f>IF(AH35="","",IF(COUNTIF(AF$3:AF35,AH35)+COUNTIF(AG$3:AG35,AH35)+COUNTIF(AH$3:AH35,AH35)=1,MAX(GO$2:GQ34,GO35,GP35)+1,""))</f>
        <v/>
      </c>
      <c r="GR35" t="str">
        <f t="shared" ref="GR35:GR66" si="172">IF(EX35=1,IFERROR(MID(DS35,FIND(" (",DS35)+2,FIND(")",DS35,FIND(" (",DS35))-FIND(" (",DS35)-2),"?"),"")</f>
        <v>3х2,5</v>
      </c>
      <c r="GS35" t="str">
        <f>IF(GR35="","",IF(COUNTIF(GR$3:GR35,GR35)=1,MAX(GS$2:GS34)+1,""))</f>
        <v/>
      </c>
      <c r="GT35" t="str">
        <f>IF(ES35="","",COUNTIF(ES$3:ES35,"?*"))</f>
        <v/>
      </c>
      <c r="GU35" t="str">
        <f>IF(OR(ES35="",EU35=""),"",IF(COUNTIFS(ES$3:ES35,"?*",EU$3:EU35,EU35)=1,MAX(GU$2:GU34)+1,""))</f>
        <v/>
      </c>
      <c r="GV35">
        <f t="shared" ref="GV35:GV66" si="173">IF(FK35="",0,IF(OR(ISNUMBER(SEARCH("дубль",FK35)),ISNUMBER(SEARCH("ПЕРЕГРУЗ",FK35)),ISNUMBER(SEARCH("ЗАЩИЩ",FK35)),ISNUMBER(SEARCH("КАНАЛ",FK35)),ISNUMBER(SEARCH("без диф",FK35))),2,1))</f>
        <v>0</v>
      </c>
      <c r="GW35">
        <f>IF(D35="","",COUNTIF(D$3:D35,"?*"))</f>
        <v>15</v>
      </c>
      <c r="GX35">
        <f>IF(EX35&lt;&gt;1,0,_xlfn.LET(_xlpm.k,MAX(IFERROR(--VLOOKUP(D35,УГО_спр,5,FALSE),0),IFERROR(--VLOOKUP(AT35,УГО_спр,5,FALSE),0),IFERROR(--VLOOKUP(LEFT(AT35,2),УГО_спр,5,FALSE),0)),IF(_xlpm.k&gt;0,_xlpm.k,IF(IFERROR(--LEFT(SUBSTITUTE(GR35,"x","х"),FIND("х",SUBSTITUTE(GR35,"x","х"))-1),3)&gt;3,Каталог!$S$9,1))))</f>
        <v>1</v>
      </c>
      <c r="GY35">
        <f t="shared" ref="GY35:GY66" si="174">IF(EX35&lt;&gt;1,0,MAX(0,IFERROR(--LEFT(SUBSTITUTE(GR35,"x","х"),FIND("х",SUBSTITUTE(GR35,"x","х"))-1),3)-3*GX35))</f>
        <v>0</v>
      </c>
    </row>
    <row r="36" spans="1:207" x14ac:dyDescent="0.3">
      <c r="A36" t="s">
        <v>206</v>
      </c>
      <c r="B36">
        <v>36</v>
      </c>
      <c r="C36" t="str">
        <f>IF(BD36="","",IF(BE36="вводной узел","узел ","")&amp;"л."&amp;(INT((BD36-1)/Столбцов_на_лист)+1)&amp;" / "&amp;(MOD(BD36-1,Столбцов_на_лист)+1))</f>
        <v>л.3 / 2</v>
      </c>
      <c r="D36" t="s">
        <v>691</v>
      </c>
      <c r="E36" s="133" t="str">
        <f t="shared" ref="E35:E66" si="175">AY36</f>
        <v>Розеточная группа  Пом. №05</v>
      </c>
      <c r="G36">
        <v>0.12</v>
      </c>
      <c r="H36">
        <v>2</v>
      </c>
      <c r="O36">
        <v>2</v>
      </c>
      <c r="T36">
        <v>2</v>
      </c>
      <c r="AD36" t="s">
        <v>597</v>
      </c>
      <c r="AN36">
        <v>9.84</v>
      </c>
      <c r="AO36" t="s">
        <v>648</v>
      </c>
      <c r="AQ36" t="s">
        <v>649</v>
      </c>
      <c r="AR36" t="str">
        <f t="shared" si="88"/>
        <v>дубль клеммы XT16</v>
      </c>
      <c r="AS36" cm="1">
        <f t="array" ref="AS36">ROW()-ROW(Линии[#Headers])</f>
        <v>34</v>
      </c>
      <c r="AT36" s="6" t="str">
        <f t="shared" si="89"/>
        <v>R</v>
      </c>
      <c r="AU36" t="str">
        <f t="shared" si="90"/>
        <v>1.05.10</v>
      </c>
      <c r="AV36" t="str">
        <f t="shared" si="91"/>
        <v>1</v>
      </c>
      <c r="AW36" t="str">
        <f t="shared" si="92"/>
        <v>05.10</v>
      </c>
      <c r="AX36" t="str">
        <f t="shared" si="93"/>
        <v>05</v>
      </c>
      <c r="AY36" t="str">
        <f>IF(D36="","",IF(ISERROR(SEARCH(".",D36)),IFERROR(VLOOKUP(D36,Потребители_обозначение,2,FALSE)&amp;"",""),IFERROR(IF(VLOOKUP(AT36,Потребители_обозначение,4,FALSE)=1,VLOOKUP(AT36,Потребители_обозначение,2,FALSE)&amp;" "&amp;VLOOKUP(AV36,Этаж_обозначение,2,FALSE)&amp;" Пом. №"&amp;AX36,VLOOKUP(AT36,Потребители_обозначение,2,FALSE)&amp;" Шлейф №"&amp;AV36),IFERROR(VLOOKUP(D36,Потребители_обозначение,2,FALSE),""))))</f>
        <v>Розеточная группа  Пом. №05</v>
      </c>
      <c r="AZ36" t="str">
        <f t="shared" si="94"/>
        <v>Розеточная группа  Пом. №05</v>
      </c>
      <c r="BA36" t="str">
        <f>IF(F36&lt;&gt;"",F36,IF(AND(D36&lt;&gt;"",D36&lt;&gt;A36,ISNUMBER(_xlfn.XMATCH(D36,Щиты[Щит]))),D36,""))</f>
        <v/>
      </c>
      <c r="BB36">
        <f>IFERROR(_xlfn.XMATCH(A36,Щиты[Щит]),0)</f>
        <v>1</v>
      </c>
      <c r="BC36">
        <f>IFERROR(N(_xlfn.XLOOKUP(A36,Щиты[Щит],Щиты[Мест под вводной узел])),15)</f>
        <v>18</v>
      </c>
      <c r="BD36">
        <f t="shared" si="95"/>
        <v>36</v>
      </c>
      <c r="BE36" t="str">
        <f t="shared" si="96"/>
        <v>линии</v>
      </c>
      <c r="BF36" s="6">
        <f>IF(D36="","",IF(BA36&lt;&gt;"",IFERROR(_xlfn.XLOOKUP(BA36,Щиты[Щит],Щиты[Руст, кВт]),0),N(G36)))</f>
        <v>0.12</v>
      </c>
      <c r="BG36">
        <f>IF(J36&lt;&gt;"",J36,IF(D36="","",IFERROR(IF(VLOOKUP(AT36,Потребители_обозначение,8,FALSE)=0,"",VLOOKUP(AT36,Потребители_обозначение,8,FALSE)),"")))</f>
        <v>230</v>
      </c>
      <c r="BH36">
        <f>IF(I36&lt;&gt;"",I36,IF(D36="","",IFERROR(IF(VLOOKUP(AT36,Потребители_обозначение,9,FALSE)=0,"",VLOOKUP(AT36,Потребители_обозначение,9,FALSE)),"")))</f>
        <v>1</v>
      </c>
      <c r="BI36" t="str">
        <f>IF(U36&lt;&gt;"",U36,IF(D36="","",IFERROR(IF(VLOOKUP(AT36,Потребители_обозначение,6,FALSE)=0,"",VLOOKUP(AT36,Потребители_обозначение,6,FALSE)),"")))</f>
        <v>мс</v>
      </c>
      <c r="BJ36">
        <f>IF(V36&lt;&gt;"",V36,IF(D36="","",IFERROR(IF(VLOOKUP(AT36,Потребители_обозначение,7,FALSE)=0,"",VLOOKUP(AT36,Потребители_обозначение,7,FALSE)),"")))</f>
        <v>3</v>
      </c>
      <c r="BK36">
        <f>IF(W36&lt;&gt;"",W36,IF(D36="","",IFERROR(IF(VLOOKUP(AT36,Потребители_обозначение,10,FALSE)=0,"",VLOOKUP(AT36,Потребители_обозначение,10,FALSE)),"")))</f>
        <v>2.5</v>
      </c>
      <c r="BL36">
        <f>IFERROR(VLOOKUP(AT36,Потребители_обозначение,5,FALSE),0)</f>
        <v>1</v>
      </c>
      <c r="BM36" s="6" cm="1">
        <f t="array" ref="BM36">IF(D36="","",IF(BA36&lt;&gt;"",IFERROR(_xlfn.XLOOKUP(BA36,Щиты[Щит],Щиты[cos φ]),0.95),IF(ISNUMBER(M36),M36,IFERROR(IF(BL36=2,_xlfn.IFS(BH36=3,VLOOKUP(BF36,Справочная_двигатели,8,FALSE),BH36=1,VLOOKUP(BF36,Справочная_двигатели,10,TRUE)),IF(AND(Методика="нормы 2026",CN36="Сил"),0.8,0.95)),0.95))))</f>
        <v>0.95</v>
      </c>
      <c r="BN36" s="6" cm="1">
        <f t="array" ref="BN36">IF(D36="","",IF(BA36&lt;&gt;"",IFERROR(_xlfn.XLOOKUP(BA36,Щиты[Щит],Щиты[Iр, А]),""),IFERROR(_xlfn.IFS(BH36=1,BF36/((Uн_лин/SQRT(3))*BM36),BH36=3,BF36/(SQRT(3)*Uн_лин*BM36)),"")))</f>
        <v>0.54696341291648753</v>
      </c>
      <c r="BO36">
        <f>IF(D36="","",IF(N(X36)=0,IFERROR(VLOOKUP(BN36,Автомат_номиналы,2,TRUE),""),X36))</f>
        <v>6</v>
      </c>
      <c r="BP36">
        <f t="shared" si="97"/>
        <v>1</v>
      </c>
      <c r="BQ36">
        <f>IF(ISNUMBER(Y36),Y36,К_прокл)</f>
        <v>1</v>
      </c>
      <c r="BR36">
        <f t="shared" si="98"/>
        <v>2</v>
      </c>
      <c r="BS36" cm="1">
        <f t="array" ref="BS36">IF(D36="","",IF(N(BK36)&lt;&gt;0,BK36,IFERROR(_xlfn.LET(_xlpm.need,BO36/(BP36*BQ36),_xlpm.t,CHOOSE(BR36,Iдоп_1ж,Iдоп_2ж,Iдоп_3ж),_xlpm.k,_xlfn.XMATCH(_xlpm.need,_xlpm.t,1),IF(ISNA(_xlpm.k),"Не исп",INDEX(Iдоп_S,_xlpm.k))),"Не исп")))</f>
        <v>2.5</v>
      </c>
      <c r="BT36">
        <f>IFERROR(VLOOKUP(BS36,Кабель_сопротивление,3,FALSE),"")</f>
        <v>2.2499999999999999E-2</v>
      </c>
      <c r="BU36">
        <f>IFERROR(VLOOKUP(BS36,Кабель_сопротивление,2,FALSE),"")</f>
        <v>0.1</v>
      </c>
      <c r="BV36">
        <f t="shared" si="99"/>
        <v>10</v>
      </c>
      <c r="BW36" s="6">
        <f>IF(D36="","",IFERROR(IF(VLOOKUP(AT36,Потребители_обозначение,4,FALSE)=1,VLOOKUP(AT36,Потребители_обозначение,3,FALSE)*(H36*2-1)+BV36+VLOOKUP(AV36,Этаж_обозначение,3,FALSE)+VLOOKUP(AV36,Этаж_обозначение,4,FALSE),VLOOKUP(AT36,Потребители_обозначение,3,FALSE)*(H36*2-1)+BV36),BV36))</f>
        <v>16</v>
      </c>
      <c r="BX36">
        <f t="shared" si="100"/>
        <v>0</v>
      </c>
      <c r="BY36">
        <f t="shared" si="101"/>
        <v>12</v>
      </c>
      <c r="BZ36">
        <f t="shared" si="102"/>
        <v>2</v>
      </c>
      <c r="CA36">
        <f t="shared" si="103"/>
        <v>0.31</v>
      </c>
      <c r="CB36">
        <f t="shared" si="104"/>
        <v>0.15019177747956411</v>
      </c>
      <c r="CC36" s="6">
        <f>IFERROR(ROUNDUP(CB36/((Uн_лин/SQRT(3))*1000)*100,2),"")</f>
        <v>6.9999999999999993E-2</v>
      </c>
      <c r="CD36" s="6">
        <f>IF(ISNUMBER(CC36),CC36+IFERROR(_xlfn.XLOOKUP(A36,Щиты[Щит],Щиты[ΔU до шин, %]),0),"")</f>
        <v>6.9999999999999993E-2</v>
      </c>
      <c r="CE36" s="6">
        <f>IF(D36="","",IF(IFERROR(VLOOKUP(AT36,УГО_спр,2,FALSE),"")="Светильник",3,4)+IF(Методика="нормы 2026",MIN(0.5,MAX(0,N(BW36)-100)*0.005),0))</f>
        <v>4</v>
      </c>
      <c r="CF36" t="str">
        <f>IFERROR(VLOOKUP(BI36,Кабель_обозначение,2,FALSE),"")</f>
        <v>ВВГнг(А)-LS</v>
      </c>
      <c r="CG36" t="str">
        <f>IFERROR(IF(VLOOKUP(BI36,Кабель_обозначение,3,FALSE)=1,CF36&amp;" ("&amp;BJ36&amp;"х"&amp;BS36&amp;")",CF36),"")</f>
        <v>ВВГнг(А)-LS (3х2,5)</v>
      </c>
      <c r="CH36" t="str">
        <f t="shared" si="105"/>
        <v>ВВГнг(А)-LS (3х2,5)
L=16-0,07%</v>
      </c>
      <c r="CI36">
        <f>IFERROR(2*ρкз_Cu*BW36/BS36,"")</f>
        <v>0.33663999999999999</v>
      </c>
      <c r="CJ36">
        <f t="shared" si="106"/>
        <v>0.11200000000000002</v>
      </c>
      <c r="CK36" s="6" t="str">
        <f>IFERROR(IF(OR(D36="",NOT(ISNUMBER(BS36)),N(BW36)=0),"",_xlfn.XLOOKUP(A36,Щиты[Щит],Щиты[Zпетли на шинах, Ом])+CI36),"")</f>
        <v/>
      </c>
      <c r="CL36" s="6" t="str">
        <f>IF(ISNUMBER(CK36),c_min*(Uн_лин*1000/SQRT(3))/CK36,"")</f>
        <v/>
      </c>
      <c r="CM36" s="6" t="str">
        <f>IFERROR(IF(OR(D36="",NOT(ISNUMBER(BS36))),"",1.05*(Uн_лин*1000/SQRT(3))/(_xlfn.XLOOKUP(A36,Щиты[Щит],Щиты[Zmax на шинах, Ом])+CJ36)/1000),"")</f>
        <v/>
      </c>
      <c r="CN36" s="6" t="str">
        <f>IF(D36="","",IF(BA36&lt;&gt;"","Щит",IF(K36&lt;&gt;"",K36,IF(ISNUMBER(L36),"Сил",IF(IFERROR(_xlfn.XLOOKUP(AT36,Коды_код,Коды_группа)&amp;"","")="","Быт",_xlfn.XLOOKUP(AT36,Коды_код,Коды_группа)&amp;"")))))</f>
        <v>Быт</v>
      </c>
      <c r="CO36" s="6">
        <f>IF(CN36="Щит","щит",IF(CN36="","",IF(CN36="Быт",IFERROR(_xlfn.XLOOKUP(A36,Щиты[Щит],Щиты[Кс быт]),1),IF(CN36="Сил",IF(ISNUMBER(L36),L36,IF(Методика="нормы 2026",IFERROR(_xlfn.XLOOKUP(A36,Щиты[Щит],Щиты[Кс силовых (табл. 7.5)]),1),1)),IF(OR(CN36="Пост",CN36="Отоп"),1,IF(CN36="ВНГ",0.7,0))))))</f>
        <v>0.8</v>
      </c>
      <c r="CP36">
        <f t="shared" si="107"/>
        <v>1</v>
      </c>
      <c r="CQ36">
        <f t="shared" si="108"/>
        <v>0.12</v>
      </c>
      <c r="CR36">
        <f t="shared" si="109"/>
        <v>0.12</v>
      </c>
      <c r="CS36">
        <f t="shared" si="110"/>
        <v>0</v>
      </c>
      <c r="CT36">
        <f t="shared" si="111"/>
        <v>0</v>
      </c>
      <c r="CU36">
        <f t="shared" si="112"/>
        <v>0</v>
      </c>
      <c r="CV36">
        <f t="shared" si="113"/>
        <v>0</v>
      </c>
      <c r="CW36">
        <f t="shared" si="114"/>
        <v>0.12</v>
      </c>
      <c r="CX36">
        <f t="shared" si="115"/>
        <v>0.11399999999999999</v>
      </c>
      <c r="CY36">
        <f t="shared" si="116"/>
        <v>3</v>
      </c>
      <c r="CZ36" t="str">
        <f t="shared" si="117"/>
        <v>L3</v>
      </c>
      <c r="DA36" cm="1">
        <f t="array" ref="DA36">IFERROR(IF(BL36=2,_xlfn.IFS(BH36=3,VLOOKUP(BF36,Справочная_двигатели,3,FALSE),BH36=1,VLOOKUP(BF36,Справочная_двигатели,5,TRUE)),0),0)</f>
        <v>0</v>
      </c>
      <c r="DB36">
        <f>IFERROR(IF(BL36=3,VLOOKUP(BF36,Справочная_ЛЭД,2,TRUE),0),0)</f>
        <v>0</v>
      </c>
      <c r="DC36" s="6">
        <f t="shared" si="118"/>
        <v>0</v>
      </c>
      <c r="DD36" t="str">
        <f t="shared" si="119"/>
        <v>L2</v>
      </c>
      <c r="DE36" t="str" cm="1">
        <f t="array" ref="DE36">IF(D36="","",IFERROR(INDEX({"I особая","I","II","III"},MATCH(TRIM(AA36&amp;""),{"I особая","I","II","III"},0)),"III"))</f>
        <v>III</v>
      </c>
      <c r="DF36" t="str">
        <f>IF(D36="","",IF(TRIM(AB36&amp;"")&lt;&gt;"",IF(LOWER(TRIM(AB36&amp;""))="да","да","нет"),IF(IFERROR(_xlfn.XLOOKUP(AT36,Коды_код,Коды_пожарная),"")="да","да","нет")))</f>
        <v>нет</v>
      </c>
      <c r="DG36" t="str">
        <f t="shared" si="120"/>
        <v/>
      </c>
      <c r="DH36" t="str">
        <f t="shared" si="121"/>
        <v>основная</v>
      </c>
      <c r="DI36">
        <f t="shared" si="122"/>
        <v>1</v>
      </c>
      <c r="DJ36" t="str" cm="1">
        <f t="array" ref="DJ36">IF(D36="","",_xlfn.LET(_xlpm.t,IFERROR(_xlfn.XLOOKUP(1,(Шины[Шина]=DH36)*(((Шины[Щит]=A36)+(Шины[Щит]=""))&gt;0),Шины[Тип]),"")&amp;"",IF(_xlpm.t&lt;&gt;"",_xlpm.t,IF(ISNUMBER(SEARCH("ИБП",DH36)),"ИБП",IF(ISNUMBER(SEARCH("ДГУ",DH36)),"ДГУ","Ввод "&amp;DI36)))))</f>
        <v>Ввод 1</v>
      </c>
      <c r="DK36" t="str">
        <f t="shared" si="123"/>
        <v>Ввод 1</v>
      </c>
      <c r="DL36" t="str">
        <f>IF(D36="","",IF(OR(DJ36="ИБП",DJ36="ДГУ"),"I особая",IF(DJ36="Одиночная","III",_xlfn.XLOOKUP(A36,Щиты[Щит],Щиты[Категория шины «Ввод»],"III"))))</f>
        <v>III</v>
      </c>
      <c r="DM36">
        <f>IF(D36="",0,IFERROR(MATCH(DE36,{"III","II","I","I особая"},0),1))</f>
        <v>1</v>
      </c>
      <c r="DN36">
        <f t="shared" si="124"/>
        <v>1</v>
      </c>
      <c r="DO36" t="str">
        <f>IF(D36="","",IF(DM36&gt;IFERROR(MATCH(DL36,{"III","II","I","I особая"},0),1),"НЕ ОБЕСПЕЧЕНА","ОК"))</f>
        <v>ОК</v>
      </c>
      <c r="DP36" t="str">
        <f>IF(A36="","",_xlfn.XLOOKUP(A36,Щиты[Щит],Щиты[Путь],""))</f>
        <v>|ЩР|</v>
      </c>
      <c r="DQ36" t="str">
        <f>IF(D36="","",IF(Z36&lt;&gt;"",Z36,IF(IFERROR(_xlfn.XLOOKUP(AT36,Коды_код,Коды_вид)&amp;"","")="","Прочее",_xlfn.XLOOKUP(AT36,Коды_код,Коды_вид)&amp;"")))</f>
        <v>Розеточная сеть и бытовые приборы</v>
      </c>
      <c r="DR36">
        <f>IF(BD36="","",INT((BD36-1)/Столбцов_на_лист)+1)</f>
        <v>3</v>
      </c>
      <c r="DS36" t="str">
        <f t="shared" si="125"/>
        <v>ВВГнг(А)-LS (3х2,5) L=16-0,07%</v>
      </c>
      <c r="DT36">
        <f t="shared" si="126"/>
        <v>0.12</v>
      </c>
      <c r="DU36">
        <f t="shared" si="127"/>
        <v>0.55000000000000004</v>
      </c>
      <c r="DV36">
        <f t="shared" si="128"/>
        <v>1</v>
      </c>
      <c r="DW36">
        <f>IF(AT36="",0,_xlfn.LET(_xlpm.v,IFERROR(VLOOKUP(D36,УГО_спр,3,FALSE),IFERROR(VLOOKUP(AT36,УГО_спр,3,FALSE),IFERROR(VLOOKUP(LEFT(AT36,2),УГО_спр,3,FALSE),""))),IF(_xlpm.v="да",30,IF(ISNUMBER(_xlpm.v),_xlpm.v,0))))</f>
        <v>30</v>
      </c>
      <c r="DX36">
        <f t="shared" si="129"/>
        <v>0</v>
      </c>
      <c r="DY36">
        <f>IF(BD36="","",IF(AD36&lt;&gt;"",COUNTIFS(A$3:A36,A36,AD$3:AD36,"?*"),IF(OR(OR(AS36=1,A36&lt;&gt;A35),AL36="вручную"),"",IF(AS36=1,"",DZ35))))</f>
        <v>15</v>
      </c>
      <c r="DZ36">
        <f t="shared" si="130"/>
        <v>15</v>
      </c>
      <c r="EA36">
        <f>IF(D36="",0,MAX(IFERROR(--X36,0),IFERROR(--VLOOKUP(D36,УГО_спр,4,FALSE),IFERROR(--VLOOKUP(AT36,УГО_спр,4,FALSE),IFERROR(--VLOOKUP(LEFT(AT36,2),УГО_спр,4,FALSE),0)))))</f>
        <v>16</v>
      </c>
      <c r="EB36">
        <f>IF(D36="","",IFERROR(LOOKUP(INDEX(CHOOSE(BR36,Iдоп_1ж,Iдоп_2ж,Iдоп_3ж),MATCH(BS36,Iдоп_S,0))*BP36*BQ36,{6,10,16,20,25,32,40,50,63,80,100,125,160,200,250,315,400,500,630}),""))</f>
        <v>25</v>
      </c>
      <c r="EC36">
        <f>IF(AD36="","",SUMIFS(Линии[_Ток схемы],Линии[_гр.],DY36,Линии[Щит],A36,Линии[_в кабель выше],0))</f>
        <v>0.55000000000000004</v>
      </c>
      <c r="ED36">
        <f>IF(AD36="","",IFERROR(VLOOKUP(EC36,Автомат_номиналы,2,TRUE),""))</f>
        <v>6</v>
      </c>
      <c r="EE36">
        <f>IF(AD36="","",MAX(N(ED36),_xlfn.MAXIFS(Линии[_мин. по типу],Линии[_гр.],DY36,Линии[Щит],A36)))</f>
        <v>16</v>
      </c>
      <c r="EF36">
        <f>IF(AD36="","",_xlfn.MINIFS(Линии[_макс. автомат по кабелю],Линии[_гр.],DY36,Линии[Щит],A36))</f>
        <v>25</v>
      </c>
      <c r="EG36">
        <f>IF(AD36="","",MAX(1,_xlfn.MAXIFS(Линии[_фаз],Линии[_гр.],DY36,Линии[Щит],A36)))</f>
        <v>1</v>
      </c>
      <c r="EH36">
        <f>IF(AD36="","",IF(AND(AD36&lt;&gt;"авто",AD36&lt;&gt;"+"),IF(ISNUMBER(SEARCH("мА",AD36)),IFERROR(--TRIM(RIGHT(SUBSTITUTE(LEFT(AD36,SEARCH("мА",AD36)-1)," ",REPT(" ",9)),6)),30),0),IF(AE36="нет",0,IF(ISNUMBER(AE36),AE36,IF(AE36="да",30,_xlfn.MINIFS(Линии[_дифзащита по коду, мА],Линии[_гр.],DY36,Линии[Щит],A36,Линии[_дифзащита по коду, мА],"&gt;0"))))))</f>
        <v>30</v>
      </c>
      <c r="EI36">
        <f t="shared" si="131"/>
        <v>1</v>
      </c>
      <c r="EJ36" t="str">
        <f t="shared" si="132"/>
        <v>QFD15</v>
      </c>
      <c r="EK36" t="str">
        <f t="shared" si="133"/>
        <v>QFD15</v>
      </c>
      <c r="EL36" t="str">
        <f t="shared" si="134"/>
        <v/>
      </c>
      <c r="EM36">
        <f t="shared" si="135"/>
        <v>0</v>
      </c>
      <c r="EN36">
        <f>IF(AD36="","",IF(EM36=1,MAX(EE36,Мин_автомат_БП),EE36))</f>
        <v>16</v>
      </c>
      <c r="EO36" t="str">
        <f t="shared" si="136"/>
        <v>2P</v>
      </c>
      <c r="EP36" t="str">
        <f t="shared" si="137"/>
        <v>2P С16А 30мА</v>
      </c>
      <c r="EQ36">
        <f t="shared" si="138"/>
        <v>16</v>
      </c>
      <c r="ER36" t="str">
        <f>IF(OR(AI36="",AI36="-"),"",IFERROR(VLOOKUP(AI36,Модули_спр,2,FALSE),"R"))</f>
        <v/>
      </c>
      <c r="ES36" t="str">
        <f>IF(ER36="","",ER36&amp;"."&amp;COUNTIFS(A$3:A36,A36,ER$3:ER36,ER36))</f>
        <v/>
      </c>
      <c r="ET36" t="str">
        <f t="shared" si="139"/>
        <v/>
      </c>
      <c r="EU36" t="str">
        <f t="shared" si="140"/>
        <v/>
      </c>
      <c r="EV36" t="str">
        <f t="shared" si="141"/>
        <v/>
      </c>
      <c r="EW36" t="str">
        <f t="shared" si="142"/>
        <v/>
      </c>
      <c r="EX36">
        <f t="shared" si="143"/>
        <v>1</v>
      </c>
      <c r="EY36" t="str">
        <f>IF(AK36="нет","",IF(AK36&lt;&gt;"",AK36,IF(EX36=1,"XT"&amp;COUNTIFS(A$3:A36,A36,EX$3:EX36,1),"")))</f>
        <v>XT16</v>
      </c>
      <c r="EZ36" t="str">
        <f t="shared" si="144"/>
        <v>QFD15</v>
      </c>
      <c r="FA36" t="str">
        <f t="shared" si="145"/>
        <v/>
      </c>
      <c r="FB36" t="str">
        <f t="shared" si="146"/>
        <v>ok</v>
      </c>
      <c r="FC36" t="str">
        <f>IF(OR(EV36="",ET36=""),"",IF(EV36&gt;IFERROR(VLOOKUP(EU36,Модули_спр,3,FALSE),99),"ЛИШНИЙ КАНАЛ",IF(AND(AJ36&lt;&gt;"=",COUNTIFS(Линии[_модуль гр.],ET36,Линии[Канал (итог)],EV36,Линии[Канал],"&lt;&gt;=",Линии[Щит],A36)&gt;1),"ДУБЛЬ КАНАЛА","")))</f>
        <v/>
      </c>
      <c r="FD36">
        <f t="shared" si="147"/>
        <v>16</v>
      </c>
      <c r="FE36" t="str">
        <f t="shared" si="148"/>
        <v>2P С16А 30мА</v>
      </c>
      <c r="FF36">
        <f t="shared" si="149"/>
        <v>1</v>
      </c>
      <c r="FG36">
        <f t="shared" si="150"/>
        <v>30</v>
      </c>
      <c r="FH36" s="6" t="str">
        <f t="shared" si="151"/>
        <v/>
      </c>
      <c r="FI36">
        <f t="shared" si="152"/>
        <v>10</v>
      </c>
      <c r="FJ36" t="str">
        <f t="shared" si="153"/>
        <v/>
      </c>
      <c r="FK36" t="str">
        <f>IF(AND(D36="",EZ36=""),"",_xlfn.TEXTJOIN("; ",TRUE,IF(AND(D36&lt;&gt;"",DD36=""),"нет фазы",""),IF(AND(D36&lt;&gt;"",N(DT36)=0,CN36&lt;&gt;"Нет"),"нет мощности",""),IF(AND(EY36&lt;&gt;"",COUNTIFS(Линии[Щит],A36,Линии[Клемма (итог)],EY36)&gt;1),"дубль клеммы "&amp;EY36,""),IF(AND(FB36&lt;&gt;"",FB36&lt;&gt;"ok"),FB36,""),IF(FC36&lt;&gt;"",FC36,""),IF(AND(ISNUMBER(SEARCH("(5х",DS36)),N(DV36)=1),"5 жил на 1 фазе",""),IF(AND(AT36="R",AD36&lt;&gt;"",OR(N(EH36)=0,N(EH36)&gt;30)),"розетка без дифзащиты до 30 мА",""),IFERROR(IF(AND(ISNUMBER(CD36),CD36&gt;CE36),"потери "&amp;FIXED(CD36,1)&amp;" % &gt; "&amp;CE36&amp;" %",""),""),IFERROR(IF(LEFT(FJ36,4)="мало","Iкз мало — отключение &gt; 0,4 с",""),""),IF(AND(D36&lt;&gt;"",BD36=""),"не на схеме","")))</f>
        <v>дубль клеммы XT16</v>
      </c>
      <c r="FL36" s="6">
        <f>IF(AD36="","",_xlfn.LET(_xlpm.t,IFERROR(_xlfn.XLOOKUP(EP36,Каталог!$U$4:$U$500,Каталог!$G$4:$G$500),""),_xlpm.k,SEARCH("кА",_xlpm.t),IFERROR(--TRIM(RIGHT(SUBSTITUTE(MID(_xlpm.t,MAX(1,_xlpm.k-4),_xlpm.k-MAX(1,_xlpm.k-4))," ",REPT(" ",9)),5)),"")))</f>
        <v>6</v>
      </c>
      <c r="FM36" t="str">
        <f>IF(OR(FL36="",AD36=""),"",IF(_xlfn.XLOOKUP(A36,Щиты[Щит],Щиты[Iкз max на шинах, кА],"")="","",IF(FL36&lt;_xlfn.XLOOKUP(A36,Щиты[Щит],Щиты[Iкз max на шинах, кА]),"Icu "&amp;FL36&amp;" кА &lt; Iкз max","ok")))</f>
        <v/>
      </c>
      <c r="FN36" t="str">
        <f t="shared" si="154"/>
        <v>QFD15|XT16</v>
      </c>
      <c r="FO36" t="str">
        <f t="shared" si="155"/>
        <v>QFD15|XT16|кабель ВВГнг(А)-LS (3х2,5) → Розеточная группа  Пом. №05</v>
      </c>
      <c r="FP36" t="str" cm="1">
        <f t="array" ref="FP36">IF(FO36="","",_xlfn.LET(_xlpm.nd,_xlfn.TEXTSPLIT(FO36,"|"),IF(COLUMNS(_xlpm.nd)&gt;1,A36&amp;"¦"&amp;INDEX(_xlpm.nd,1)&amp;"¦"&amp;INDEX(_xlpm.nd,2),"")))</f>
        <v>ЩР¦QFD15¦XT16</v>
      </c>
      <c r="FQ36" t="str">
        <f t="shared" si="156"/>
        <v>R.1.05.10¦Розеточная группа  Пом. №05</v>
      </c>
      <c r="FR36" t="str" cm="1">
        <f t="array" ref="FR36">IF(FO36="","",_xlfn.LET(_xlpm.nd,_xlfn.TEXTSPLIT(FO36,"|"),IF(COLUMNS(_xlpm.nd)&gt;2,A36&amp;"¦"&amp;INDEX(_xlpm.nd,2)&amp;"¦"&amp;INDEX(_xlpm.nd,3),"")))</f>
        <v>ЩР¦XT16¦кабель ВВГнг(А)-LS (3х2,5) → Розеточная группа  Пом. №05</v>
      </c>
      <c r="FS36" t="str">
        <f t="shared" si="157"/>
        <v>R.1.05.10¦Розеточная группа  Пом. №05</v>
      </c>
      <c r="FT36" t="str" cm="1">
        <f t="array" ref="FT36">IF(FO36="","",_xlfn.LET(_xlpm.nd,_xlfn.TEXTSPLIT(FO36,"|"),IF(COLUMNS(_xlpm.nd)&gt;3,A36&amp;"¦"&amp;INDEX(_xlpm.nd,3)&amp;"¦"&amp;INDEX(_xlpm.nd,4),"")))</f>
        <v/>
      </c>
      <c r="FU36" t="str">
        <f t="shared" si="158"/>
        <v/>
      </c>
      <c r="FV36" t="str" cm="1">
        <f t="array" ref="FV36">IF(FO36="","",_xlfn.LET(_xlpm.nd,_xlfn.TEXTSPLIT(FO36,"|"),IF(COLUMNS(_xlpm.nd)&gt;4,A36&amp;"¦"&amp;INDEX(_xlpm.nd,4)&amp;"¦"&amp;INDEX(_xlpm.nd,5),"")))</f>
        <v/>
      </c>
      <c r="FW36" t="str">
        <f t="shared" si="159"/>
        <v/>
      </c>
      <c r="FX36" t="str" cm="1">
        <f t="array" ref="FX36">IF(FO36="","",_xlfn.LET(_xlpm.nd,_xlfn.TEXTSPLIT(FO36,"|"),IF(COLUMNS(_xlpm.nd)&gt;5,A36&amp;"¦"&amp;INDEX(_xlpm.nd,5)&amp;"¦"&amp;INDEX(_xlpm.nd,6),"")))</f>
        <v/>
      </c>
      <c r="FY36" t="str">
        <f t="shared" si="160"/>
        <v/>
      </c>
      <c r="FZ36" t="str" cm="1">
        <f t="array" ref="FZ36">IF(FO36="","",_xlfn.LET(_xlpm.nd,_xlfn.TEXTSPLIT(FO36,"|"),IF(COLUMNS(_xlpm.nd)&gt;6,A36&amp;"¦"&amp;INDEX(_xlpm.nd,6)&amp;"¦"&amp;INDEX(_xlpm.nd,7),"")))</f>
        <v/>
      </c>
      <c r="GA36" t="str">
        <f t="shared" si="161"/>
        <v/>
      </c>
      <c r="GB36" t="str">
        <f t="shared" si="162"/>
        <v/>
      </c>
      <c r="GC36" t="str">
        <f t="shared" si="163"/>
        <v>QFD15 → XT16</v>
      </c>
      <c r="GD36">
        <f t="shared" si="164"/>
        <v>1</v>
      </c>
      <c r="GE36">
        <f t="shared" si="165"/>
        <v>0</v>
      </c>
      <c r="GF36">
        <f t="shared" si="166"/>
        <v>1</v>
      </c>
      <c r="GG36" t="str">
        <f t="shared" si="167"/>
        <v/>
      </c>
      <c r="GH36" t="str">
        <f t="shared" si="168"/>
        <v/>
      </c>
      <c r="GI36" t="str">
        <f t="shared" si="169"/>
        <v/>
      </c>
      <c r="GJ36" t="str">
        <f t="shared" si="170"/>
        <v/>
      </c>
      <c r="GK36" t="str">
        <f>IF(D36="","",IFERROR(VLOOKUP(D36,УГО_спр,2,FALSE),IFERROR(VLOOKUP(AT36,УГО_спр,2,FALSE),IFERROR(VLOOKUP(LEFT(AT36,2),УГО_спр,2,FALSE),""))))</f>
        <v>Розетка</v>
      </c>
      <c r="GL36" t="str">
        <f>IF(D36="","",IF(OR(GK36="",GK36=0),"BOX",IFERROR(IF(VLOOKUP(GK36,УГО_блоки,3,FALSE)&amp;""&lt;&gt;"",VLOOKUP(GK36,УГО_блоки,3,FALSE),VLOOKUP(GK36,УГО_блоки,2,FALSE)),GK36)))</f>
        <v>SOCKET</v>
      </c>
      <c r="GM36">
        <f t="shared" si="171"/>
        <v>1</v>
      </c>
      <c r="GN36" t="str">
        <f>IF(EP36="","",IF(COUNTIF(EP$3:EP36,EP36)=1,MAX(GN$2:GN35)+1,""))</f>
        <v/>
      </c>
      <c r="GO36" t="str">
        <f>IF(AF36="","",IF(COUNTIF(AF$3:AF36,AF36)+COUNTIF(AG$2:AG35,AF36)+COUNTIF(AH$2:AH35,AF36)=1,MAX(GO$2:GQ35)+1,""))</f>
        <v/>
      </c>
      <c r="GP36" t="str">
        <f>IF(AG36="","",IF(COUNTIF(AF$3:AF36,AG36)+COUNTIF(AG$3:AG36,AG36)+COUNTIF(AH$2:AH35,AG36)=1,MAX(GO$2:GQ35,GO36)+1,""))</f>
        <v/>
      </c>
      <c r="GQ36" t="str">
        <f>IF(AH36="","",IF(COUNTIF(AF$3:AF36,AH36)+COUNTIF(AG$3:AG36,AH36)+COUNTIF(AH$3:AH36,AH36)=1,MAX(GO$2:GQ35,GO36,GP36)+1,""))</f>
        <v/>
      </c>
      <c r="GR36" t="str">
        <f t="shared" si="172"/>
        <v>3х2,5</v>
      </c>
      <c r="GS36" t="str">
        <f>IF(GR36="","",IF(COUNTIF(GR$3:GR36,GR36)=1,MAX(GS$2:GS35)+1,""))</f>
        <v/>
      </c>
      <c r="GT36" t="str">
        <f>IF(ES36="","",COUNTIF(ES$3:ES36,"?*"))</f>
        <v/>
      </c>
      <c r="GU36" t="str">
        <f>IF(OR(ES36="",EU36=""),"",IF(COUNTIFS(ES$3:ES36,"?*",EU$3:EU36,EU36)=1,MAX(GU$2:GU35)+1,""))</f>
        <v/>
      </c>
      <c r="GV36">
        <f t="shared" si="173"/>
        <v>2</v>
      </c>
      <c r="GW36">
        <f>IF(D36="","",COUNTIF(D$3:D36,"?*"))</f>
        <v>16</v>
      </c>
      <c r="GX36">
        <f>IF(EX36&lt;&gt;1,0,_xlfn.LET(_xlpm.k,MAX(IFERROR(--VLOOKUP(D36,УГО_спр,5,FALSE),0),IFERROR(--VLOOKUP(AT36,УГО_спр,5,FALSE),0),IFERROR(--VLOOKUP(LEFT(AT36,2),УГО_спр,5,FALSE),0)),IF(_xlpm.k&gt;0,_xlpm.k,IF(IFERROR(--LEFT(SUBSTITUTE(GR36,"x","х"),FIND("х",SUBSTITUTE(GR36,"x","х"))-1),3)&gt;3,Каталог!$S$9,1))))</f>
        <v>1</v>
      </c>
      <c r="GY36">
        <f t="shared" si="174"/>
        <v>0</v>
      </c>
    </row>
    <row r="37" spans="1:207" x14ac:dyDescent="0.3">
      <c r="A37" t="s">
        <v>206</v>
      </c>
      <c r="B37">
        <v>37</v>
      </c>
      <c r="C37" t="str">
        <f>IF(BD37="","",IF(BE37="вводной узел","узел ","")&amp;"л."&amp;(INT((BD37-1)/Столбцов_на_лист)+1)&amp;" / "&amp;(MOD(BD37-1,Столбцов_на_лист)+1))</f>
        <v>л.3 / 3</v>
      </c>
      <c r="D37" t="s">
        <v>678</v>
      </c>
      <c r="E37" s="133" t="str">
        <f t="shared" si="175"/>
        <v>Розеточная группа  Пом. №05</v>
      </c>
      <c r="G37">
        <v>0.06</v>
      </c>
      <c r="H37">
        <v>1</v>
      </c>
      <c r="O37">
        <v>3</v>
      </c>
      <c r="T37">
        <v>2</v>
      </c>
      <c r="AD37" t="s">
        <v>597</v>
      </c>
      <c r="AN37">
        <v>12.74</v>
      </c>
      <c r="AO37" t="s">
        <v>623</v>
      </c>
      <c r="AQ37" t="s">
        <v>624</v>
      </c>
      <c r="AR37" t="str">
        <f t="shared" si="88"/>
        <v>дубль клеммы XT17</v>
      </c>
      <c r="AS37" cm="1">
        <f t="array" ref="AS37">ROW()-ROW(Линии[#Headers])</f>
        <v>35</v>
      </c>
      <c r="AT37" s="6" t="str">
        <f t="shared" si="89"/>
        <v>R</v>
      </c>
      <c r="AU37" t="str">
        <f t="shared" si="90"/>
        <v>1.05.11</v>
      </c>
      <c r="AV37" t="str">
        <f t="shared" si="91"/>
        <v>1</v>
      </c>
      <c r="AW37" t="str">
        <f t="shared" si="92"/>
        <v>05.11</v>
      </c>
      <c r="AX37" t="str">
        <f t="shared" si="93"/>
        <v>05</v>
      </c>
      <c r="AY37" t="str">
        <f>IF(D37="","",IF(ISERROR(SEARCH(".",D37)),IFERROR(VLOOKUP(D37,Потребители_обозначение,2,FALSE)&amp;"",""),IFERROR(IF(VLOOKUP(AT37,Потребители_обозначение,4,FALSE)=1,VLOOKUP(AT37,Потребители_обозначение,2,FALSE)&amp;" "&amp;VLOOKUP(AV37,Этаж_обозначение,2,FALSE)&amp;" Пом. №"&amp;AX37,VLOOKUP(AT37,Потребители_обозначение,2,FALSE)&amp;" Шлейф №"&amp;AV37),IFERROR(VLOOKUP(D37,Потребители_обозначение,2,FALSE),""))))</f>
        <v>Розеточная группа  Пом. №05</v>
      </c>
      <c r="AZ37" t="str">
        <f t="shared" si="94"/>
        <v>Розеточная группа  Пом. №05</v>
      </c>
      <c r="BA37" t="str">
        <f>IF(F37&lt;&gt;"",F37,IF(AND(D37&lt;&gt;"",D37&lt;&gt;A37,ISNUMBER(_xlfn.XMATCH(D37,Щиты[Щит]))),D37,""))</f>
        <v/>
      </c>
      <c r="BB37">
        <f>IFERROR(_xlfn.XMATCH(A37,Щиты[Щит]),0)</f>
        <v>1</v>
      </c>
      <c r="BC37">
        <f>IFERROR(N(_xlfn.XLOOKUP(A37,Щиты[Щит],Щиты[Мест под вводной узел])),15)</f>
        <v>18</v>
      </c>
      <c r="BD37">
        <f t="shared" si="95"/>
        <v>37</v>
      </c>
      <c r="BE37" t="str">
        <f t="shared" si="96"/>
        <v>линии</v>
      </c>
      <c r="BF37" s="6">
        <f>IF(D37="","",IF(BA37&lt;&gt;"",IFERROR(_xlfn.XLOOKUP(BA37,Щиты[Щит],Щиты[Руст, кВт]),0),N(G37)))</f>
        <v>0.06</v>
      </c>
      <c r="BG37">
        <f>IF(J37&lt;&gt;"",J37,IF(D37="","",IFERROR(IF(VLOOKUP(AT37,Потребители_обозначение,8,FALSE)=0,"",VLOOKUP(AT37,Потребители_обозначение,8,FALSE)),"")))</f>
        <v>230</v>
      </c>
      <c r="BH37">
        <f>IF(I37&lt;&gt;"",I37,IF(D37="","",IFERROR(IF(VLOOKUP(AT37,Потребители_обозначение,9,FALSE)=0,"",VLOOKUP(AT37,Потребители_обозначение,9,FALSE)),"")))</f>
        <v>1</v>
      </c>
      <c r="BI37" t="str">
        <f>IF(U37&lt;&gt;"",U37,IF(D37="","",IFERROR(IF(VLOOKUP(AT37,Потребители_обозначение,6,FALSE)=0,"",VLOOKUP(AT37,Потребители_обозначение,6,FALSE)),"")))</f>
        <v>мс</v>
      </c>
      <c r="BJ37">
        <f>IF(V37&lt;&gt;"",V37,IF(D37="","",IFERROR(IF(VLOOKUP(AT37,Потребители_обозначение,7,FALSE)=0,"",VLOOKUP(AT37,Потребители_обозначение,7,FALSE)),"")))</f>
        <v>3</v>
      </c>
      <c r="BK37">
        <f>IF(W37&lt;&gt;"",W37,IF(D37="","",IFERROR(IF(VLOOKUP(AT37,Потребители_обозначение,10,FALSE)=0,"",VLOOKUP(AT37,Потребители_обозначение,10,FALSE)),"")))</f>
        <v>2.5</v>
      </c>
      <c r="BL37">
        <f>IFERROR(VLOOKUP(AT37,Потребители_обозначение,5,FALSE),0)</f>
        <v>1</v>
      </c>
      <c r="BM37" s="6" cm="1">
        <f t="array" ref="BM37">IF(D37="","",IF(BA37&lt;&gt;"",IFERROR(_xlfn.XLOOKUP(BA37,Щиты[Щит],Щиты[cos φ]),0.95),IF(ISNUMBER(M37),M37,IFERROR(IF(BL37=2,_xlfn.IFS(BH37=3,VLOOKUP(BF37,Справочная_двигатели,8,FALSE),BH37=1,VLOOKUP(BF37,Справочная_двигатели,10,TRUE)),IF(AND(Методика="нормы 2026",CN37="Сил"),0.8,0.95)),0.95))))</f>
        <v>0.95</v>
      </c>
      <c r="BN37" s="6" cm="1">
        <f t="array" ref="BN37">IF(D37="","",IF(BA37&lt;&gt;"",IFERROR(_xlfn.XLOOKUP(BA37,Щиты[Щит],Щиты[Iр, А]),""),IFERROR(_xlfn.IFS(BH37=1,BF37/((Uн_лин/SQRT(3))*BM37),BH37=3,BF37/(SQRT(3)*Uн_лин*BM37)),"")))</f>
        <v>0.27348170645824377</v>
      </c>
      <c r="BO37">
        <f>IF(D37="","",IF(N(X37)=0,IFERROR(VLOOKUP(BN37,Автомат_номиналы,2,TRUE),""),X37))</f>
        <v>6</v>
      </c>
      <c r="BP37">
        <f t="shared" si="97"/>
        <v>1</v>
      </c>
      <c r="BQ37">
        <f>IF(ISNUMBER(Y37),Y37,К_прокл)</f>
        <v>1</v>
      </c>
      <c r="BR37">
        <f t="shared" si="98"/>
        <v>2</v>
      </c>
      <c r="BS37" cm="1">
        <f t="array" ref="BS37">IF(D37="","",IF(N(BK37)&lt;&gt;0,BK37,IFERROR(_xlfn.LET(_xlpm.need,BO37/(BP37*BQ37),_xlpm.t,CHOOSE(BR37,Iдоп_1ж,Iдоп_2ж,Iдоп_3ж),_xlpm.k,_xlfn.XMATCH(_xlpm.need,_xlpm.t,1),IF(ISNA(_xlpm.k),"Не исп",INDEX(Iдоп_S,_xlpm.k))),"Не исп")))</f>
        <v>2.5</v>
      </c>
      <c r="BT37">
        <f>IFERROR(VLOOKUP(BS37,Кабель_сопротивление,3,FALSE),"")</f>
        <v>2.2499999999999999E-2</v>
      </c>
      <c r="BU37">
        <f>IFERROR(VLOOKUP(BS37,Кабель_сопротивление,2,FALSE),"")</f>
        <v>0.1</v>
      </c>
      <c r="BV37">
        <f t="shared" si="99"/>
        <v>13</v>
      </c>
      <c r="BW37" s="6">
        <f>IF(D37="","",IFERROR(IF(VLOOKUP(AT37,Потребители_обозначение,4,FALSE)=1,VLOOKUP(AT37,Потребители_обозначение,3,FALSE)*(H37*2-1)+BV37+VLOOKUP(AV37,Этаж_обозначение,3,FALSE)+VLOOKUP(AV37,Этаж_обозначение,4,FALSE),VLOOKUP(AT37,Потребители_обозначение,3,FALSE)*(H37*2-1)+BV37),BV37))</f>
        <v>15</v>
      </c>
      <c r="BX37">
        <f t="shared" si="100"/>
        <v>0</v>
      </c>
      <c r="BY37">
        <f t="shared" si="101"/>
        <v>11</v>
      </c>
      <c r="BZ37">
        <f t="shared" si="102"/>
        <v>2</v>
      </c>
      <c r="CA37">
        <f t="shared" si="103"/>
        <v>0.31</v>
      </c>
      <c r="CB37">
        <f t="shared" si="104"/>
        <v>7.0402395693545672E-2</v>
      </c>
      <c r="CC37" s="6">
        <f>IFERROR(ROUNDUP(CB37/((Uн_лин/SQRT(3))*1000)*100,2),"")</f>
        <v>0.04</v>
      </c>
      <c r="CD37" s="6">
        <f>IF(ISNUMBER(CC37),CC37+IFERROR(_xlfn.XLOOKUP(A37,Щиты[Щит],Щиты[ΔU до шин, %]),0),"")</f>
        <v>0.04</v>
      </c>
      <c r="CE37" s="6">
        <f>IF(D37="","",IF(IFERROR(VLOOKUP(AT37,УГО_спр,2,FALSE),"")="Светильник",3,4)+IF(Методика="нормы 2026",MIN(0.5,MAX(0,N(BW37)-100)*0.005),0))</f>
        <v>4</v>
      </c>
      <c r="CF37" t="str">
        <f>IFERROR(VLOOKUP(BI37,Кабель_обозначение,2,FALSE),"")</f>
        <v>ВВГнг(А)-LS</v>
      </c>
      <c r="CG37" t="str">
        <f>IFERROR(IF(VLOOKUP(BI37,Кабель_обозначение,3,FALSE)=1,CF37&amp;" ("&amp;BJ37&amp;"х"&amp;BS37&amp;")",CF37),"")</f>
        <v>ВВГнг(А)-LS (3х2,5)</v>
      </c>
      <c r="CH37" t="str">
        <f t="shared" si="105"/>
        <v>ВВГнг(А)-LS (3х2,5)
L=15-0,04%</v>
      </c>
      <c r="CI37">
        <f>IFERROR(2*ρкз_Cu*BW37/BS37,"")</f>
        <v>0.31559999999999999</v>
      </c>
      <c r="CJ37">
        <f t="shared" si="106"/>
        <v>0.10500000000000001</v>
      </c>
      <c r="CK37" s="6" t="str">
        <f>IFERROR(IF(OR(D37="",NOT(ISNUMBER(BS37)),N(BW37)=0),"",_xlfn.XLOOKUP(A37,Щиты[Щит],Щиты[Zпетли на шинах, Ом])+CI37),"")</f>
        <v/>
      </c>
      <c r="CL37" s="6" t="str">
        <f>IF(ISNUMBER(CK37),c_min*(Uн_лин*1000/SQRT(3))/CK37,"")</f>
        <v/>
      </c>
      <c r="CM37" s="6" t="str">
        <f>IFERROR(IF(OR(D37="",NOT(ISNUMBER(BS37))),"",1.05*(Uн_лин*1000/SQRT(3))/(_xlfn.XLOOKUP(A37,Щиты[Щит],Щиты[Zmax на шинах, Ом])+CJ37)/1000),"")</f>
        <v/>
      </c>
      <c r="CN37" s="6" t="str">
        <f>IF(D37="","",IF(BA37&lt;&gt;"","Щит",IF(K37&lt;&gt;"",K37,IF(ISNUMBER(L37),"Сил",IF(IFERROR(_xlfn.XLOOKUP(AT37,Коды_код,Коды_группа)&amp;"","")="","Быт",_xlfn.XLOOKUP(AT37,Коды_код,Коды_группа)&amp;"")))))</f>
        <v>Быт</v>
      </c>
      <c r="CO37" s="6">
        <f>IF(CN37="Щит","щит",IF(CN37="","",IF(CN37="Быт",IFERROR(_xlfn.XLOOKUP(A37,Щиты[Щит],Щиты[Кс быт]),1),IF(CN37="Сил",IF(ISNUMBER(L37),L37,IF(Методика="нормы 2026",IFERROR(_xlfn.XLOOKUP(A37,Щиты[Щит],Щиты[Кс силовых (табл. 7.5)]),1),1)),IF(OR(CN37="Пост",CN37="Отоп"),1,IF(CN37="ВНГ",0.7,0))))))</f>
        <v>0.8</v>
      </c>
      <c r="CP37">
        <f t="shared" si="107"/>
        <v>1</v>
      </c>
      <c r="CQ37">
        <f t="shared" si="108"/>
        <v>0.06</v>
      </c>
      <c r="CR37">
        <f t="shared" si="109"/>
        <v>0.06</v>
      </c>
      <c r="CS37">
        <f t="shared" si="110"/>
        <v>0</v>
      </c>
      <c r="CT37">
        <f t="shared" si="111"/>
        <v>0</v>
      </c>
      <c r="CU37">
        <f t="shared" si="112"/>
        <v>0</v>
      </c>
      <c r="CV37">
        <f t="shared" si="113"/>
        <v>0</v>
      </c>
      <c r="CW37">
        <f t="shared" si="114"/>
        <v>0.06</v>
      </c>
      <c r="CX37">
        <f t="shared" si="115"/>
        <v>5.6999999999999995E-2</v>
      </c>
      <c r="CY37">
        <f t="shared" si="116"/>
        <v>1</v>
      </c>
      <c r="CZ37" t="str">
        <f t="shared" si="117"/>
        <v>L1</v>
      </c>
      <c r="DA37" cm="1">
        <f t="array" ref="DA37">IFERROR(IF(BL37=2,_xlfn.IFS(BH37=3,VLOOKUP(BF37,Справочная_двигатели,3,FALSE),BH37=1,VLOOKUP(BF37,Справочная_двигатели,5,TRUE)),0),0)</f>
        <v>0</v>
      </c>
      <c r="DB37">
        <f>IFERROR(IF(BL37=3,VLOOKUP(BF37,Справочная_ЛЭД,2,TRUE),0),0)</f>
        <v>0</v>
      </c>
      <c r="DC37" s="6">
        <f t="shared" si="118"/>
        <v>0</v>
      </c>
      <c r="DD37" t="str">
        <f t="shared" si="119"/>
        <v>L3</v>
      </c>
      <c r="DE37" t="str" cm="1">
        <f t="array" ref="DE37">IF(D37="","",IFERROR(INDEX({"I особая","I","II","III"},MATCH(TRIM(AA37&amp;""),{"I особая","I","II","III"},0)),"III"))</f>
        <v>III</v>
      </c>
      <c r="DF37" t="str">
        <f>IF(D37="","",IF(TRIM(AB37&amp;"")&lt;&gt;"",IF(LOWER(TRIM(AB37&amp;""))="да","да","нет"),IF(IFERROR(_xlfn.XLOOKUP(AT37,Коды_код,Коды_пожарная),"")="да","да","нет")))</f>
        <v>нет</v>
      </c>
      <c r="DG37" t="str">
        <f t="shared" si="120"/>
        <v/>
      </c>
      <c r="DH37" t="str">
        <f t="shared" si="121"/>
        <v>основная</v>
      </c>
      <c r="DI37">
        <f t="shared" si="122"/>
        <v>1</v>
      </c>
      <c r="DJ37" t="str" cm="1">
        <f t="array" ref="DJ37">IF(D37="","",_xlfn.LET(_xlpm.t,IFERROR(_xlfn.XLOOKUP(1,(Шины[Шина]=DH37)*(((Шины[Щит]=A37)+(Шины[Щит]=""))&gt;0),Шины[Тип]),"")&amp;"",IF(_xlpm.t&lt;&gt;"",_xlpm.t,IF(ISNUMBER(SEARCH("ИБП",DH37)),"ИБП",IF(ISNUMBER(SEARCH("ДГУ",DH37)),"ДГУ","Ввод "&amp;DI37)))))</f>
        <v>Ввод 1</v>
      </c>
      <c r="DK37" t="str">
        <f t="shared" si="123"/>
        <v>Ввод 1</v>
      </c>
      <c r="DL37" t="str">
        <f>IF(D37="","",IF(OR(DJ37="ИБП",DJ37="ДГУ"),"I особая",IF(DJ37="Одиночная","III",_xlfn.XLOOKUP(A37,Щиты[Щит],Щиты[Категория шины «Ввод»],"III"))))</f>
        <v>III</v>
      </c>
      <c r="DM37">
        <f>IF(D37="",0,IFERROR(MATCH(DE37,{"III","II","I","I особая"},0),1))</f>
        <v>1</v>
      </c>
      <c r="DN37">
        <f t="shared" si="124"/>
        <v>1</v>
      </c>
      <c r="DO37" t="str">
        <f>IF(D37="","",IF(DM37&gt;IFERROR(MATCH(DL37,{"III","II","I","I особая"},0),1),"НЕ ОБЕСПЕЧЕНА","ОК"))</f>
        <v>ОК</v>
      </c>
      <c r="DP37" t="str">
        <f>IF(A37="","",_xlfn.XLOOKUP(A37,Щиты[Щит],Щиты[Путь],""))</f>
        <v>|ЩР|</v>
      </c>
      <c r="DQ37" t="str">
        <f>IF(D37="","",IF(Z37&lt;&gt;"",Z37,IF(IFERROR(_xlfn.XLOOKUP(AT37,Коды_код,Коды_вид)&amp;"","")="","Прочее",_xlfn.XLOOKUP(AT37,Коды_код,Коды_вид)&amp;"")))</f>
        <v>Розеточная сеть и бытовые приборы</v>
      </c>
      <c r="DR37">
        <f>IF(BD37="","",INT((BD37-1)/Столбцов_на_лист)+1)</f>
        <v>3</v>
      </c>
      <c r="DS37" t="str">
        <f t="shared" si="125"/>
        <v>ВВГнг(А)-LS (3х2,5) L=15-0,04%</v>
      </c>
      <c r="DT37">
        <f t="shared" si="126"/>
        <v>0.06</v>
      </c>
      <c r="DU37">
        <f t="shared" si="127"/>
        <v>0.28000000000000003</v>
      </c>
      <c r="DV37">
        <f t="shared" si="128"/>
        <v>1</v>
      </c>
      <c r="DW37">
        <f>IF(AT37="",0,_xlfn.LET(_xlpm.v,IFERROR(VLOOKUP(D37,УГО_спр,3,FALSE),IFERROR(VLOOKUP(AT37,УГО_спр,3,FALSE),IFERROR(VLOOKUP(LEFT(AT37,2),УГО_спр,3,FALSE),""))),IF(_xlpm.v="да",30,IF(ISNUMBER(_xlpm.v),_xlpm.v,0))))</f>
        <v>30</v>
      </c>
      <c r="DX37">
        <f t="shared" si="129"/>
        <v>0</v>
      </c>
      <c r="DY37">
        <f>IF(BD37="","",IF(AD37&lt;&gt;"",COUNTIFS(A$3:A37,A37,AD$3:AD37,"?*"),IF(OR(OR(AS37=1,A37&lt;&gt;A36),AL37="вручную"),"",IF(AS37=1,"",DZ36))))</f>
        <v>16</v>
      </c>
      <c r="DZ37">
        <f t="shared" si="130"/>
        <v>16</v>
      </c>
      <c r="EA37">
        <f>IF(D37="",0,MAX(IFERROR(--X37,0),IFERROR(--VLOOKUP(D37,УГО_спр,4,FALSE),IFERROR(--VLOOKUP(AT37,УГО_спр,4,FALSE),IFERROR(--VLOOKUP(LEFT(AT37,2),УГО_спр,4,FALSE),0)))))</f>
        <v>16</v>
      </c>
      <c r="EB37">
        <f>IF(D37="","",IFERROR(LOOKUP(INDEX(CHOOSE(BR37,Iдоп_1ж,Iдоп_2ж,Iдоп_3ж),MATCH(BS37,Iдоп_S,0))*BP37*BQ37,{6,10,16,20,25,32,40,50,63,80,100,125,160,200,250,315,400,500,630}),""))</f>
        <v>25</v>
      </c>
      <c r="EC37">
        <f>IF(AD37="","",SUMIFS(Линии[_Ток схемы],Линии[_гр.],DY37,Линии[Щит],A37,Линии[_в кабель выше],0))</f>
        <v>0.28000000000000003</v>
      </c>
      <c r="ED37">
        <f>IF(AD37="","",IFERROR(VLOOKUP(EC37,Автомат_номиналы,2,TRUE),""))</f>
        <v>6</v>
      </c>
      <c r="EE37">
        <f>IF(AD37="","",MAX(N(ED37),_xlfn.MAXIFS(Линии[_мин. по типу],Линии[_гр.],DY37,Линии[Щит],A37)))</f>
        <v>16</v>
      </c>
      <c r="EF37">
        <f>IF(AD37="","",_xlfn.MINIFS(Линии[_макс. автомат по кабелю],Линии[_гр.],DY37,Линии[Щит],A37))</f>
        <v>25</v>
      </c>
      <c r="EG37">
        <f>IF(AD37="","",MAX(1,_xlfn.MAXIFS(Линии[_фаз],Линии[_гр.],DY37,Линии[Щит],A37)))</f>
        <v>1</v>
      </c>
      <c r="EH37">
        <f>IF(AD37="","",IF(AND(AD37&lt;&gt;"авто",AD37&lt;&gt;"+"),IF(ISNUMBER(SEARCH("мА",AD37)),IFERROR(--TRIM(RIGHT(SUBSTITUTE(LEFT(AD37,SEARCH("мА",AD37)-1)," ",REPT(" ",9)),6)),30),0),IF(AE37="нет",0,IF(ISNUMBER(AE37),AE37,IF(AE37="да",30,_xlfn.MINIFS(Линии[_дифзащита по коду, мА],Линии[_гр.],DY37,Линии[Щит],A37,Линии[_дифзащита по коду, мА],"&gt;0"))))))</f>
        <v>30</v>
      </c>
      <c r="EI37">
        <f t="shared" si="131"/>
        <v>1</v>
      </c>
      <c r="EJ37" t="str">
        <f t="shared" si="132"/>
        <v>QFD16</v>
      </c>
      <c r="EK37" t="str">
        <f t="shared" si="133"/>
        <v>QFD16</v>
      </c>
      <c r="EL37" t="str">
        <f t="shared" si="134"/>
        <v/>
      </c>
      <c r="EM37">
        <f t="shared" si="135"/>
        <v>0</v>
      </c>
      <c r="EN37">
        <f>IF(AD37="","",IF(EM37=1,MAX(EE37,Мин_автомат_БП),EE37))</f>
        <v>16</v>
      </c>
      <c r="EO37" t="str">
        <f t="shared" si="136"/>
        <v>2P</v>
      </c>
      <c r="EP37" t="str">
        <f t="shared" si="137"/>
        <v>2P С16А 30мА</v>
      </c>
      <c r="EQ37">
        <f t="shared" si="138"/>
        <v>16</v>
      </c>
      <c r="ER37" t="str">
        <f>IF(OR(AI37="",AI37="-"),"",IFERROR(VLOOKUP(AI37,Модули_спр,2,FALSE),"R"))</f>
        <v/>
      </c>
      <c r="ES37" t="str">
        <f>IF(ER37="","",ER37&amp;"."&amp;COUNTIFS(A$3:A37,A37,ER$3:ER37,ER37))</f>
        <v/>
      </c>
      <c r="ET37" t="str">
        <f t="shared" si="139"/>
        <v/>
      </c>
      <c r="EU37" t="str">
        <f t="shared" si="140"/>
        <v/>
      </c>
      <c r="EV37" t="str">
        <f t="shared" si="141"/>
        <v/>
      </c>
      <c r="EW37" t="str">
        <f t="shared" si="142"/>
        <v/>
      </c>
      <c r="EX37">
        <f t="shared" si="143"/>
        <v>1</v>
      </c>
      <c r="EY37" t="str">
        <f>IF(AK37="нет","",IF(AK37&lt;&gt;"",AK37,IF(EX37=1,"XT"&amp;COUNTIFS(A$3:A37,A37,EX$3:EX37,1),"")))</f>
        <v>XT17</v>
      </c>
      <c r="EZ37" t="str">
        <f t="shared" si="144"/>
        <v>QFD16</v>
      </c>
      <c r="FA37" t="str">
        <f t="shared" si="145"/>
        <v/>
      </c>
      <c r="FB37" t="str">
        <f t="shared" si="146"/>
        <v>ok</v>
      </c>
      <c r="FC37" t="str">
        <f>IF(OR(EV37="",ET37=""),"",IF(EV37&gt;IFERROR(VLOOKUP(EU37,Модули_спр,3,FALSE),99),"ЛИШНИЙ КАНАЛ",IF(AND(AJ37&lt;&gt;"=",COUNTIFS(Линии[_модуль гр.],ET37,Линии[Канал (итог)],EV37,Линии[Канал],"&lt;&gt;=",Линии[Щит],A37)&gt;1),"ДУБЛЬ КАНАЛА","")))</f>
        <v/>
      </c>
      <c r="FD37">
        <f t="shared" si="147"/>
        <v>16</v>
      </c>
      <c r="FE37" t="str">
        <f t="shared" si="148"/>
        <v>2P С16А 30мА</v>
      </c>
      <c r="FF37">
        <f t="shared" si="149"/>
        <v>1</v>
      </c>
      <c r="FG37">
        <f t="shared" si="150"/>
        <v>30</v>
      </c>
      <c r="FH37" s="6" t="str">
        <f t="shared" si="151"/>
        <v/>
      </c>
      <c r="FI37">
        <f t="shared" si="152"/>
        <v>10</v>
      </c>
      <c r="FJ37" t="str">
        <f t="shared" si="153"/>
        <v/>
      </c>
      <c r="FK37" t="str">
        <f>IF(AND(D37="",EZ37=""),"",_xlfn.TEXTJOIN("; ",TRUE,IF(AND(D37&lt;&gt;"",DD37=""),"нет фазы",""),IF(AND(D37&lt;&gt;"",N(DT37)=0,CN37&lt;&gt;"Нет"),"нет мощности",""),IF(AND(EY37&lt;&gt;"",COUNTIFS(Линии[Щит],A37,Линии[Клемма (итог)],EY37)&gt;1),"дубль клеммы "&amp;EY37,""),IF(AND(FB37&lt;&gt;"",FB37&lt;&gt;"ok"),FB37,""),IF(FC37&lt;&gt;"",FC37,""),IF(AND(ISNUMBER(SEARCH("(5х",DS37)),N(DV37)=1),"5 жил на 1 фазе",""),IF(AND(AT37="R",AD37&lt;&gt;"",OR(N(EH37)=0,N(EH37)&gt;30)),"розетка без дифзащиты до 30 мА",""),IFERROR(IF(AND(ISNUMBER(CD37),CD37&gt;CE37),"потери "&amp;FIXED(CD37,1)&amp;" % &gt; "&amp;CE37&amp;" %",""),""),IFERROR(IF(LEFT(FJ37,4)="мало","Iкз мало — отключение &gt; 0,4 с",""),""),IF(AND(D37&lt;&gt;"",BD37=""),"не на схеме","")))</f>
        <v>дубль клеммы XT17</v>
      </c>
      <c r="FL37" s="6">
        <f>IF(AD37="","",_xlfn.LET(_xlpm.t,IFERROR(_xlfn.XLOOKUP(EP37,Каталог!$U$4:$U$500,Каталог!$G$4:$G$500),""),_xlpm.k,SEARCH("кА",_xlpm.t),IFERROR(--TRIM(RIGHT(SUBSTITUTE(MID(_xlpm.t,MAX(1,_xlpm.k-4),_xlpm.k-MAX(1,_xlpm.k-4))," ",REPT(" ",9)),5)),"")))</f>
        <v>6</v>
      </c>
      <c r="FM37" t="str">
        <f>IF(OR(FL37="",AD37=""),"",IF(_xlfn.XLOOKUP(A37,Щиты[Щит],Щиты[Iкз max на шинах, кА],"")="","",IF(FL37&lt;_xlfn.XLOOKUP(A37,Щиты[Щит],Щиты[Iкз max на шинах, кА]),"Icu "&amp;FL37&amp;" кА &lt; Iкз max","ok")))</f>
        <v/>
      </c>
      <c r="FN37" t="str">
        <f t="shared" si="154"/>
        <v>QFD16|XT17</v>
      </c>
      <c r="FO37" t="str">
        <f t="shared" si="155"/>
        <v>QFD16|XT17|кабель ВВГнг(А)-LS (3х2,5) → Розеточная группа  Пом. №05</v>
      </c>
      <c r="FP37" t="str" cm="1">
        <f t="array" ref="FP37">IF(FO37="","",_xlfn.LET(_xlpm.nd,_xlfn.TEXTSPLIT(FO37,"|"),IF(COLUMNS(_xlpm.nd)&gt;1,A37&amp;"¦"&amp;INDEX(_xlpm.nd,1)&amp;"¦"&amp;INDEX(_xlpm.nd,2),"")))</f>
        <v>ЩР¦QFD16¦XT17</v>
      </c>
      <c r="FQ37" t="str">
        <f t="shared" si="156"/>
        <v>R.1.05.11¦Розеточная группа  Пом. №05</v>
      </c>
      <c r="FR37" t="str" cm="1">
        <f t="array" ref="FR37">IF(FO37="","",_xlfn.LET(_xlpm.nd,_xlfn.TEXTSPLIT(FO37,"|"),IF(COLUMNS(_xlpm.nd)&gt;2,A37&amp;"¦"&amp;INDEX(_xlpm.nd,2)&amp;"¦"&amp;INDEX(_xlpm.nd,3),"")))</f>
        <v>ЩР¦XT17¦кабель ВВГнг(А)-LS (3х2,5) → Розеточная группа  Пом. №05</v>
      </c>
      <c r="FS37" t="str">
        <f t="shared" si="157"/>
        <v>R.1.05.11¦Розеточная группа  Пом. №05</v>
      </c>
      <c r="FT37" t="str" cm="1">
        <f t="array" ref="FT37">IF(FO37="","",_xlfn.LET(_xlpm.nd,_xlfn.TEXTSPLIT(FO37,"|"),IF(COLUMNS(_xlpm.nd)&gt;3,A37&amp;"¦"&amp;INDEX(_xlpm.nd,3)&amp;"¦"&amp;INDEX(_xlpm.nd,4),"")))</f>
        <v/>
      </c>
      <c r="FU37" t="str">
        <f t="shared" si="158"/>
        <v/>
      </c>
      <c r="FV37" t="str" cm="1">
        <f t="array" ref="FV37">IF(FO37="","",_xlfn.LET(_xlpm.nd,_xlfn.TEXTSPLIT(FO37,"|"),IF(COLUMNS(_xlpm.nd)&gt;4,A37&amp;"¦"&amp;INDEX(_xlpm.nd,4)&amp;"¦"&amp;INDEX(_xlpm.nd,5),"")))</f>
        <v/>
      </c>
      <c r="FW37" t="str">
        <f t="shared" si="159"/>
        <v/>
      </c>
      <c r="FX37" t="str" cm="1">
        <f t="array" ref="FX37">IF(FO37="","",_xlfn.LET(_xlpm.nd,_xlfn.TEXTSPLIT(FO37,"|"),IF(COLUMNS(_xlpm.nd)&gt;5,A37&amp;"¦"&amp;INDEX(_xlpm.nd,5)&amp;"¦"&amp;INDEX(_xlpm.nd,6),"")))</f>
        <v/>
      </c>
      <c r="FY37" t="str">
        <f t="shared" si="160"/>
        <v/>
      </c>
      <c r="FZ37" t="str" cm="1">
        <f t="array" ref="FZ37">IF(FO37="","",_xlfn.LET(_xlpm.nd,_xlfn.TEXTSPLIT(FO37,"|"),IF(COLUMNS(_xlpm.nd)&gt;6,A37&amp;"¦"&amp;INDEX(_xlpm.nd,6)&amp;"¦"&amp;INDEX(_xlpm.nd,7),"")))</f>
        <v/>
      </c>
      <c r="GA37" t="str">
        <f t="shared" si="161"/>
        <v/>
      </c>
      <c r="GB37" t="str">
        <f t="shared" si="162"/>
        <v/>
      </c>
      <c r="GC37" t="str">
        <f t="shared" si="163"/>
        <v>QFD16 → XT17</v>
      </c>
      <c r="GD37">
        <f t="shared" si="164"/>
        <v>1</v>
      </c>
      <c r="GE37">
        <f t="shared" si="165"/>
        <v>0</v>
      </c>
      <c r="GF37">
        <f t="shared" si="166"/>
        <v>1</v>
      </c>
      <c r="GG37" t="str">
        <f t="shared" si="167"/>
        <v/>
      </c>
      <c r="GH37" t="str">
        <f t="shared" si="168"/>
        <v/>
      </c>
      <c r="GI37" t="str">
        <f t="shared" si="169"/>
        <v/>
      </c>
      <c r="GJ37" t="str">
        <f t="shared" si="170"/>
        <v/>
      </c>
      <c r="GK37" t="str">
        <f>IF(D37="","",IFERROR(VLOOKUP(D37,УГО_спр,2,FALSE),IFERROR(VLOOKUP(AT37,УГО_спр,2,FALSE),IFERROR(VLOOKUP(LEFT(AT37,2),УГО_спр,2,FALSE),""))))</f>
        <v>Розетка</v>
      </c>
      <c r="GL37" t="str">
        <f>IF(D37="","",IF(OR(GK37="",GK37=0),"BOX",IFERROR(IF(VLOOKUP(GK37,УГО_блоки,3,FALSE)&amp;""&lt;&gt;"",VLOOKUP(GK37,УГО_блоки,3,FALSE),VLOOKUP(GK37,УГО_блоки,2,FALSE)),GK37)))</f>
        <v>SOCKET</v>
      </c>
      <c r="GM37">
        <f t="shared" si="171"/>
        <v>1</v>
      </c>
      <c r="GN37" t="str">
        <f>IF(EP37="","",IF(COUNTIF(EP$3:EP37,EP37)=1,MAX(GN$2:GN36)+1,""))</f>
        <v/>
      </c>
      <c r="GO37" t="str">
        <f>IF(AF37="","",IF(COUNTIF(AF$3:AF37,AF37)+COUNTIF(AG$2:AG36,AF37)+COUNTIF(AH$2:AH36,AF37)=1,MAX(GO$2:GQ36)+1,""))</f>
        <v/>
      </c>
      <c r="GP37" t="str">
        <f>IF(AG37="","",IF(COUNTIF(AF$3:AF37,AG37)+COUNTIF(AG$3:AG37,AG37)+COUNTIF(AH$2:AH36,AG37)=1,MAX(GO$2:GQ36,GO37)+1,""))</f>
        <v/>
      </c>
      <c r="GQ37" t="str">
        <f>IF(AH37="","",IF(COUNTIF(AF$3:AF37,AH37)+COUNTIF(AG$3:AG37,AH37)+COUNTIF(AH$3:AH37,AH37)=1,MAX(GO$2:GQ36,GO37,GP37)+1,""))</f>
        <v/>
      </c>
      <c r="GR37" t="str">
        <f t="shared" si="172"/>
        <v>3х2,5</v>
      </c>
      <c r="GS37" t="str">
        <f>IF(GR37="","",IF(COUNTIF(GR$3:GR37,GR37)=1,MAX(GS$2:GS36)+1,""))</f>
        <v/>
      </c>
      <c r="GT37" t="str">
        <f>IF(ES37="","",COUNTIF(ES$3:ES37,"?*"))</f>
        <v/>
      </c>
      <c r="GU37" t="str">
        <f>IF(OR(ES37="",EU37=""),"",IF(COUNTIFS(ES$3:ES37,"?*",EU$3:EU37,EU37)=1,MAX(GU$2:GU36)+1,""))</f>
        <v/>
      </c>
      <c r="GV37">
        <f t="shared" si="173"/>
        <v>2</v>
      </c>
      <c r="GW37">
        <f>IF(D37="","",COUNTIF(D$3:D37,"?*"))</f>
        <v>17</v>
      </c>
      <c r="GX37">
        <f>IF(EX37&lt;&gt;1,0,_xlfn.LET(_xlpm.k,MAX(IFERROR(--VLOOKUP(D37,УГО_спр,5,FALSE),0),IFERROR(--VLOOKUP(AT37,УГО_спр,5,FALSE),0),IFERROR(--VLOOKUP(LEFT(AT37,2),УГО_спр,5,FALSE),0)),IF(_xlpm.k&gt;0,_xlpm.k,IF(IFERROR(--LEFT(SUBSTITUTE(GR37,"x","х"),FIND("х",SUBSTITUTE(GR37,"x","х"))-1),3)&gt;3,Каталог!$S$9,1))))</f>
        <v>1</v>
      </c>
      <c r="GY37">
        <f t="shared" si="174"/>
        <v>0</v>
      </c>
    </row>
    <row r="38" spans="1:207" x14ac:dyDescent="0.3">
      <c r="A38" t="s">
        <v>206</v>
      </c>
      <c r="B38">
        <v>38</v>
      </c>
      <c r="C38" t="str">
        <f>IF(BD38="","",IF(BE38="вводной узел","узел ","")&amp;"л."&amp;(INT((BD38-1)/Столбцов_на_лист)+1)&amp;" / "&amp;(MOD(BD38-1,Столбцов_на_лист)+1))</f>
        <v>л.3 / 4</v>
      </c>
      <c r="D38" t="s">
        <v>689</v>
      </c>
      <c r="E38" s="133" t="str">
        <f t="shared" si="175"/>
        <v>Розеточная группа  Пом. №06</v>
      </c>
      <c r="G38">
        <v>0.24</v>
      </c>
      <c r="H38">
        <v>4</v>
      </c>
      <c r="O38">
        <v>1</v>
      </c>
      <c r="T38">
        <v>2</v>
      </c>
      <c r="AD38" t="s">
        <v>597</v>
      </c>
      <c r="AK38" t="s">
        <v>612</v>
      </c>
      <c r="AN38">
        <v>23.77</v>
      </c>
      <c r="AO38" t="s">
        <v>644</v>
      </c>
      <c r="AQ38" t="s">
        <v>645</v>
      </c>
      <c r="AR38" t="str">
        <f t="shared" si="88"/>
        <v/>
      </c>
      <c r="AS38" cm="1">
        <f t="array" ref="AS38">ROW()-ROW(Линии[#Headers])</f>
        <v>36</v>
      </c>
      <c r="AT38" s="6" t="str">
        <f t="shared" si="89"/>
        <v>R</v>
      </c>
      <c r="AU38" t="str">
        <f t="shared" si="90"/>
        <v>1.06.1</v>
      </c>
      <c r="AV38" t="str">
        <f t="shared" si="91"/>
        <v>1</v>
      </c>
      <c r="AW38" t="str">
        <f t="shared" si="92"/>
        <v>06.1</v>
      </c>
      <c r="AX38" t="str">
        <f t="shared" si="93"/>
        <v>06</v>
      </c>
      <c r="AY38" t="str">
        <f>IF(D38="","",IF(ISERROR(SEARCH(".",D38)),IFERROR(VLOOKUP(D38,Потребители_обозначение,2,FALSE)&amp;"",""),IFERROR(IF(VLOOKUP(AT38,Потребители_обозначение,4,FALSE)=1,VLOOKUP(AT38,Потребители_обозначение,2,FALSE)&amp;" "&amp;VLOOKUP(AV38,Этаж_обозначение,2,FALSE)&amp;" Пом. №"&amp;AX38,VLOOKUP(AT38,Потребители_обозначение,2,FALSE)&amp;" Шлейф №"&amp;AV38),IFERROR(VLOOKUP(D38,Потребители_обозначение,2,FALSE),""))))</f>
        <v>Розеточная группа  Пом. №06</v>
      </c>
      <c r="AZ38" t="str">
        <f t="shared" si="94"/>
        <v>Розеточная группа  Пом. №06</v>
      </c>
      <c r="BA38" t="str">
        <f>IF(F38&lt;&gt;"",F38,IF(AND(D38&lt;&gt;"",D38&lt;&gt;A38,ISNUMBER(_xlfn.XMATCH(D38,Щиты[Щит]))),D38,""))</f>
        <v/>
      </c>
      <c r="BB38">
        <f>IFERROR(_xlfn.XMATCH(A38,Щиты[Щит]),0)</f>
        <v>1</v>
      </c>
      <c r="BC38">
        <f>IFERROR(N(_xlfn.XLOOKUP(A38,Щиты[Щит],Щиты[Мест под вводной узел])),15)</f>
        <v>18</v>
      </c>
      <c r="BD38">
        <f t="shared" si="95"/>
        <v>38</v>
      </c>
      <c r="BE38" t="str">
        <f t="shared" si="96"/>
        <v>линии</v>
      </c>
      <c r="BF38" s="6">
        <f>IF(D38="","",IF(BA38&lt;&gt;"",IFERROR(_xlfn.XLOOKUP(BA38,Щиты[Щит],Щиты[Руст, кВт]),0),N(G38)))</f>
        <v>0.24</v>
      </c>
      <c r="BG38">
        <f>IF(J38&lt;&gt;"",J38,IF(D38="","",IFERROR(IF(VLOOKUP(AT38,Потребители_обозначение,8,FALSE)=0,"",VLOOKUP(AT38,Потребители_обозначение,8,FALSE)),"")))</f>
        <v>230</v>
      </c>
      <c r="BH38">
        <f>IF(I38&lt;&gt;"",I38,IF(D38="","",IFERROR(IF(VLOOKUP(AT38,Потребители_обозначение,9,FALSE)=0,"",VLOOKUP(AT38,Потребители_обозначение,9,FALSE)),"")))</f>
        <v>1</v>
      </c>
      <c r="BI38" t="str">
        <f>IF(U38&lt;&gt;"",U38,IF(D38="","",IFERROR(IF(VLOOKUP(AT38,Потребители_обозначение,6,FALSE)=0,"",VLOOKUP(AT38,Потребители_обозначение,6,FALSE)),"")))</f>
        <v>мс</v>
      </c>
      <c r="BJ38">
        <f>IF(V38&lt;&gt;"",V38,IF(D38="","",IFERROR(IF(VLOOKUP(AT38,Потребители_обозначение,7,FALSE)=0,"",VLOOKUP(AT38,Потребители_обозначение,7,FALSE)),"")))</f>
        <v>3</v>
      </c>
      <c r="BK38">
        <f>IF(W38&lt;&gt;"",W38,IF(D38="","",IFERROR(IF(VLOOKUP(AT38,Потребители_обозначение,10,FALSE)=0,"",VLOOKUP(AT38,Потребители_обозначение,10,FALSE)),"")))</f>
        <v>2.5</v>
      </c>
      <c r="BL38">
        <f>IFERROR(VLOOKUP(AT38,Потребители_обозначение,5,FALSE),0)</f>
        <v>1</v>
      </c>
      <c r="BM38" s="6" cm="1">
        <f t="array" ref="BM38">IF(D38="","",IF(BA38&lt;&gt;"",IFERROR(_xlfn.XLOOKUP(BA38,Щиты[Щит],Щиты[cos φ]),0.95),IF(ISNUMBER(M38),M38,IFERROR(IF(BL38=2,_xlfn.IFS(BH38=3,VLOOKUP(BF38,Справочная_двигатели,8,FALSE),BH38=1,VLOOKUP(BF38,Справочная_двигатели,10,TRUE)),IF(AND(Методика="нормы 2026",CN38="Сил"),0.8,0.95)),0.95))))</f>
        <v>0.95</v>
      </c>
      <c r="BN38" s="6" cm="1">
        <f t="array" ref="BN38">IF(D38="","",IF(BA38&lt;&gt;"",IFERROR(_xlfn.XLOOKUP(BA38,Щиты[Щит],Щиты[Iр, А]),""),IFERROR(_xlfn.IFS(BH38=1,BF38/((Uн_лин/SQRT(3))*BM38),BH38=3,BF38/(SQRT(3)*Uн_лин*BM38)),"")))</f>
        <v>1.0939268258329751</v>
      </c>
      <c r="BO38">
        <f>IF(D38="","",IF(N(X38)=0,IFERROR(VLOOKUP(BN38,Автомат_номиналы,2,TRUE),""),X38))</f>
        <v>6</v>
      </c>
      <c r="BP38">
        <f t="shared" si="97"/>
        <v>1</v>
      </c>
      <c r="BQ38">
        <f>IF(ISNUMBER(Y38),Y38,К_прокл)</f>
        <v>1</v>
      </c>
      <c r="BR38">
        <f t="shared" si="98"/>
        <v>2</v>
      </c>
      <c r="BS38" cm="1">
        <f t="array" ref="BS38">IF(D38="","",IF(N(BK38)&lt;&gt;0,BK38,IFERROR(_xlfn.LET(_xlpm.need,BO38/(BP38*BQ38),_xlpm.t,CHOOSE(BR38,Iдоп_1ж,Iдоп_2ж,Iдоп_3ж),_xlpm.k,_xlfn.XMATCH(_xlpm.need,_xlpm.t,1),IF(ISNA(_xlpm.k),"Не исп",INDEX(Iдоп_S,_xlpm.k))),"Не исп")))</f>
        <v>2.5</v>
      </c>
      <c r="BT38">
        <f>IFERROR(VLOOKUP(BS38,Кабель_сопротивление,3,FALSE),"")</f>
        <v>2.2499999999999999E-2</v>
      </c>
      <c r="BU38">
        <f>IFERROR(VLOOKUP(BS38,Кабель_сопротивление,2,FALSE),"")</f>
        <v>0.1</v>
      </c>
      <c r="BV38">
        <f t="shared" si="99"/>
        <v>24</v>
      </c>
      <c r="BW38" s="6">
        <f>IF(D38="","",IFERROR(IF(VLOOKUP(AT38,Потребители_обозначение,4,FALSE)=1,VLOOKUP(AT38,Потребители_обозначение,3,FALSE)*(H38*2-1)+BV38+VLOOKUP(AV38,Этаж_обозначение,3,FALSE)+VLOOKUP(AV38,Этаж_обозначение,4,FALSE),VLOOKUP(AT38,Потребители_обозначение,3,FALSE)*(H38*2-1)+BV38),BV38))</f>
        <v>38</v>
      </c>
      <c r="BX38">
        <f t="shared" si="100"/>
        <v>0</v>
      </c>
      <c r="BY38">
        <f t="shared" si="101"/>
        <v>34</v>
      </c>
      <c r="BZ38">
        <f t="shared" si="102"/>
        <v>2</v>
      </c>
      <c r="CA38">
        <f t="shared" si="103"/>
        <v>0.31</v>
      </c>
      <c r="CB38">
        <f t="shared" si="104"/>
        <v>0.71341094302792962</v>
      </c>
      <c r="CC38" s="6">
        <f>IFERROR(ROUNDUP(CB38/((Uн_лин/SQRT(3))*1000)*100,2),"")</f>
        <v>0.31</v>
      </c>
      <c r="CD38" s="6">
        <f>IF(ISNUMBER(CC38),CC38+IFERROR(_xlfn.XLOOKUP(A38,Щиты[Щит],Щиты[ΔU до шин, %]),0),"")</f>
        <v>0.31</v>
      </c>
      <c r="CE38" s="6">
        <f>IF(D38="","",IF(IFERROR(VLOOKUP(AT38,УГО_спр,2,FALSE),"")="Светильник",3,4)+IF(Методика="нормы 2026",MIN(0.5,MAX(0,N(BW38)-100)*0.005),0))</f>
        <v>4</v>
      </c>
      <c r="CF38" t="str">
        <f>IFERROR(VLOOKUP(BI38,Кабель_обозначение,2,FALSE),"")</f>
        <v>ВВГнг(А)-LS</v>
      </c>
      <c r="CG38" t="str">
        <f>IFERROR(IF(VLOOKUP(BI38,Кабель_обозначение,3,FALSE)=1,CF38&amp;" ("&amp;BJ38&amp;"х"&amp;BS38&amp;")",CF38),"")</f>
        <v>ВВГнг(А)-LS (3х2,5)</v>
      </c>
      <c r="CH38" t="str">
        <f t="shared" si="105"/>
        <v>ВВГнг(А)-LS (3х2,5)
L=38-0,31%</v>
      </c>
      <c r="CI38">
        <f>IFERROR(2*ρкз_Cu*BW38/BS38,"")</f>
        <v>0.79952000000000001</v>
      </c>
      <c r="CJ38">
        <f t="shared" si="106"/>
        <v>0.26600000000000001</v>
      </c>
      <c r="CK38" s="6" t="str">
        <f>IFERROR(IF(OR(D38="",NOT(ISNUMBER(BS38)),N(BW38)=0),"",_xlfn.XLOOKUP(A38,Щиты[Щит],Щиты[Zпетли на шинах, Ом])+CI38),"")</f>
        <v/>
      </c>
      <c r="CL38" s="6" t="str">
        <f>IF(ISNUMBER(CK38),c_min*(Uн_лин*1000/SQRT(3))/CK38,"")</f>
        <v/>
      </c>
      <c r="CM38" s="6" t="str">
        <f>IFERROR(IF(OR(D38="",NOT(ISNUMBER(BS38))),"",1.05*(Uн_лин*1000/SQRT(3))/(_xlfn.XLOOKUP(A38,Щиты[Щит],Щиты[Zmax на шинах, Ом])+CJ38)/1000),"")</f>
        <v/>
      </c>
      <c r="CN38" s="6" t="str">
        <f>IF(D38="","",IF(BA38&lt;&gt;"","Щит",IF(K38&lt;&gt;"",K38,IF(ISNUMBER(L38),"Сил",IF(IFERROR(_xlfn.XLOOKUP(AT38,Коды_код,Коды_группа)&amp;"","")="","Быт",_xlfn.XLOOKUP(AT38,Коды_код,Коды_группа)&amp;"")))))</f>
        <v>Быт</v>
      </c>
      <c r="CO38" s="6">
        <f>IF(CN38="Щит","щит",IF(CN38="","",IF(CN38="Быт",IFERROR(_xlfn.XLOOKUP(A38,Щиты[Щит],Щиты[Кс быт]),1),IF(CN38="Сил",IF(ISNUMBER(L38),L38,IF(Методика="нормы 2026",IFERROR(_xlfn.XLOOKUP(A38,Щиты[Щит],Щиты[Кс силовых (табл. 7.5)]),1),1)),IF(OR(CN38="Пост",CN38="Отоп"),1,IF(CN38="ВНГ",0.7,0))))))</f>
        <v>0.8</v>
      </c>
      <c r="CP38">
        <f t="shared" si="107"/>
        <v>1</v>
      </c>
      <c r="CQ38">
        <f t="shared" si="108"/>
        <v>0.24</v>
      </c>
      <c r="CR38">
        <f t="shared" si="109"/>
        <v>0.24</v>
      </c>
      <c r="CS38">
        <f t="shared" si="110"/>
        <v>0</v>
      </c>
      <c r="CT38">
        <f t="shared" si="111"/>
        <v>0</v>
      </c>
      <c r="CU38">
        <f t="shared" si="112"/>
        <v>0</v>
      </c>
      <c r="CV38">
        <f t="shared" si="113"/>
        <v>0</v>
      </c>
      <c r="CW38">
        <f t="shared" si="114"/>
        <v>0.24</v>
      </c>
      <c r="CX38">
        <f t="shared" si="115"/>
        <v>0.22799999999999998</v>
      </c>
      <c r="CY38">
        <f t="shared" si="116"/>
        <v>2</v>
      </c>
      <c r="CZ38" t="str">
        <f t="shared" si="117"/>
        <v>L2</v>
      </c>
      <c r="DA38" cm="1">
        <f t="array" ref="DA38">IFERROR(IF(BL38=2,_xlfn.IFS(BH38=3,VLOOKUP(BF38,Справочная_двигатели,3,FALSE),BH38=1,VLOOKUP(BF38,Справочная_двигатели,5,TRUE)),0),0)</f>
        <v>0</v>
      </c>
      <c r="DB38">
        <f>IFERROR(IF(BL38=3,VLOOKUP(BF38,Справочная_ЛЭД,2,TRUE),0),0)</f>
        <v>0</v>
      </c>
      <c r="DC38" s="6">
        <f t="shared" si="118"/>
        <v>0</v>
      </c>
      <c r="DD38" t="str">
        <f t="shared" si="119"/>
        <v>L1</v>
      </c>
      <c r="DE38" t="str" cm="1">
        <f t="array" ref="DE38">IF(D38="","",IFERROR(INDEX({"I особая","I","II","III"},MATCH(TRIM(AA38&amp;""),{"I особая","I","II","III"},0)),"III"))</f>
        <v>III</v>
      </c>
      <c r="DF38" t="str">
        <f>IF(D38="","",IF(TRIM(AB38&amp;"")&lt;&gt;"",IF(LOWER(TRIM(AB38&amp;""))="да","да","нет"),IF(IFERROR(_xlfn.XLOOKUP(AT38,Коды_код,Коды_пожарная),"")="да","да","нет")))</f>
        <v>нет</v>
      </c>
      <c r="DG38" t="str">
        <f t="shared" si="120"/>
        <v/>
      </c>
      <c r="DH38" t="str">
        <f t="shared" si="121"/>
        <v>основная</v>
      </c>
      <c r="DI38">
        <f t="shared" si="122"/>
        <v>1</v>
      </c>
      <c r="DJ38" t="str" cm="1">
        <f t="array" ref="DJ38">IF(D38="","",_xlfn.LET(_xlpm.t,IFERROR(_xlfn.XLOOKUP(1,(Шины[Шина]=DH38)*(((Шины[Щит]=A38)+(Шины[Щит]=""))&gt;0),Шины[Тип]),"")&amp;"",IF(_xlpm.t&lt;&gt;"",_xlpm.t,IF(ISNUMBER(SEARCH("ИБП",DH38)),"ИБП",IF(ISNUMBER(SEARCH("ДГУ",DH38)),"ДГУ","Ввод "&amp;DI38)))))</f>
        <v>Ввод 1</v>
      </c>
      <c r="DK38" t="str">
        <f t="shared" si="123"/>
        <v>Ввод 1</v>
      </c>
      <c r="DL38" t="str">
        <f>IF(D38="","",IF(OR(DJ38="ИБП",DJ38="ДГУ"),"I особая",IF(DJ38="Одиночная","III",_xlfn.XLOOKUP(A38,Щиты[Щит],Щиты[Категория шины «Ввод»],"III"))))</f>
        <v>III</v>
      </c>
      <c r="DM38">
        <f>IF(D38="",0,IFERROR(MATCH(DE38,{"III","II","I","I особая"},0),1))</f>
        <v>1</v>
      </c>
      <c r="DN38">
        <f t="shared" si="124"/>
        <v>1</v>
      </c>
      <c r="DO38" t="str">
        <f>IF(D38="","",IF(DM38&gt;IFERROR(MATCH(DL38,{"III","II","I","I особая"},0),1),"НЕ ОБЕСПЕЧЕНА","ОК"))</f>
        <v>ОК</v>
      </c>
      <c r="DP38" t="str">
        <f>IF(A38="","",_xlfn.XLOOKUP(A38,Щиты[Щит],Щиты[Путь],""))</f>
        <v>|ЩР|</v>
      </c>
      <c r="DQ38" t="str">
        <f>IF(D38="","",IF(Z38&lt;&gt;"",Z38,IF(IFERROR(_xlfn.XLOOKUP(AT38,Коды_код,Коды_вид)&amp;"","")="","Прочее",_xlfn.XLOOKUP(AT38,Коды_код,Коды_вид)&amp;"")))</f>
        <v>Розеточная сеть и бытовые приборы</v>
      </c>
      <c r="DR38">
        <f>IF(BD38="","",INT((BD38-1)/Столбцов_на_лист)+1)</f>
        <v>3</v>
      </c>
      <c r="DS38" t="str">
        <f t="shared" si="125"/>
        <v>ВВГнг(А)-LS (3х2,5) L=38-0,31%</v>
      </c>
      <c r="DT38">
        <f t="shared" si="126"/>
        <v>0.24</v>
      </c>
      <c r="DU38">
        <f t="shared" si="127"/>
        <v>1.1000000000000001</v>
      </c>
      <c r="DV38">
        <f t="shared" si="128"/>
        <v>1</v>
      </c>
      <c r="DW38">
        <f>IF(AT38="",0,_xlfn.LET(_xlpm.v,IFERROR(VLOOKUP(D38,УГО_спр,3,FALSE),IFERROR(VLOOKUP(AT38,УГО_спр,3,FALSE),IFERROR(VLOOKUP(LEFT(AT38,2),УГО_спр,3,FALSE),""))),IF(_xlpm.v="да",30,IF(ISNUMBER(_xlpm.v),_xlpm.v,0))))</f>
        <v>30</v>
      </c>
      <c r="DX38">
        <f t="shared" si="129"/>
        <v>0</v>
      </c>
      <c r="DY38">
        <f>IF(BD38="","",IF(AD38&lt;&gt;"",COUNTIFS(A$3:A38,A38,AD$3:AD38,"?*"),IF(OR(OR(AS38=1,A38&lt;&gt;A37),AL38="вручную"),"",IF(AS38=1,"",DZ37))))</f>
        <v>17</v>
      </c>
      <c r="DZ38">
        <f t="shared" si="130"/>
        <v>17</v>
      </c>
      <c r="EA38">
        <f>IF(D38="",0,MAX(IFERROR(--X38,0),IFERROR(--VLOOKUP(D38,УГО_спр,4,FALSE),IFERROR(--VLOOKUP(AT38,УГО_спр,4,FALSE),IFERROR(--VLOOKUP(LEFT(AT38,2),УГО_спр,4,FALSE),0)))))</f>
        <v>16</v>
      </c>
      <c r="EB38">
        <f>IF(D38="","",IFERROR(LOOKUP(INDEX(CHOOSE(BR38,Iдоп_1ж,Iдоп_2ж,Iдоп_3ж),MATCH(BS38,Iдоп_S,0))*BP38*BQ38,{6,10,16,20,25,32,40,50,63,80,100,125,160,200,250,315,400,500,630}),""))</f>
        <v>25</v>
      </c>
      <c r="EC38">
        <f>IF(AD38="","",SUMIFS(Линии[_Ток схемы],Линии[_гр.],DY38,Линии[Щит],A38,Линии[_в кабель выше],0))</f>
        <v>1.1000000000000001</v>
      </c>
      <c r="ED38">
        <f>IF(AD38="","",IFERROR(VLOOKUP(EC38,Автомат_номиналы,2,TRUE),""))</f>
        <v>6</v>
      </c>
      <c r="EE38">
        <f>IF(AD38="","",MAX(N(ED38),_xlfn.MAXIFS(Линии[_мин. по типу],Линии[_гр.],DY38,Линии[Щит],A38)))</f>
        <v>16</v>
      </c>
      <c r="EF38">
        <f>IF(AD38="","",_xlfn.MINIFS(Линии[_макс. автомат по кабелю],Линии[_гр.],DY38,Линии[Щит],A38))</f>
        <v>25</v>
      </c>
      <c r="EG38">
        <f>IF(AD38="","",MAX(1,_xlfn.MAXIFS(Линии[_фаз],Линии[_гр.],DY38,Линии[Щит],A38)))</f>
        <v>1</v>
      </c>
      <c r="EH38">
        <f>IF(AD38="","",IF(AND(AD38&lt;&gt;"авто",AD38&lt;&gt;"+"),IF(ISNUMBER(SEARCH("мА",AD38)),IFERROR(--TRIM(RIGHT(SUBSTITUTE(LEFT(AD38,SEARCH("мА",AD38)-1)," ",REPT(" ",9)),6)),30),0),IF(AE38="нет",0,IF(ISNUMBER(AE38),AE38,IF(AE38="да",30,_xlfn.MINIFS(Линии[_дифзащита по коду, мА],Линии[_гр.],DY38,Линии[Щит],A38,Линии[_дифзащита по коду, мА],"&gt;0"))))))</f>
        <v>30</v>
      </c>
      <c r="EI38">
        <f t="shared" si="131"/>
        <v>1</v>
      </c>
      <c r="EJ38" t="str">
        <f t="shared" si="132"/>
        <v>QFD17</v>
      </c>
      <c r="EK38" t="str">
        <f t="shared" si="133"/>
        <v>QFD17</v>
      </c>
      <c r="EL38" t="str">
        <f t="shared" si="134"/>
        <v/>
      </c>
      <c r="EM38">
        <f t="shared" si="135"/>
        <v>0</v>
      </c>
      <c r="EN38">
        <f>IF(AD38="","",IF(EM38=1,MAX(EE38,Мин_автомат_БП),EE38))</f>
        <v>16</v>
      </c>
      <c r="EO38" t="str">
        <f t="shared" si="136"/>
        <v>2P</v>
      </c>
      <c r="EP38" t="str">
        <f t="shared" si="137"/>
        <v>2P С16А 30мА</v>
      </c>
      <c r="EQ38">
        <f t="shared" si="138"/>
        <v>16</v>
      </c>
      <c r="ER38" t="str">
        <f>IF(OR(AI38="",AI38="-"),"",IFERROR(VLOOKUP(AI38,Модули_спр,2,FALSE),"R"))</f>
        <v/>
      </c>
      <c r="ES38" t="str">
        <f>IF(ER38="","",ER38&amp;"."&amp;COUNTIFS(A$3:A38,A38,ER$3:ER38,ER38))</f>
        <v/>
      </c>
      <c r="ET38" t="str">
        <f t="shared" si="139"/>
        <v/>
      </c>
      <c r="EU38" t="str">
        <f t="shared" si="140"/>
        <v/>
      </c>
      <c r="EV38" t="str">
        <f t="shared" si="141"/>
        <v/>
      </c>
      <c r="EW38" t="str">
        <f t="shared" si="142"/>
        <v/>
      </c>
      <c r="EX38">
        <f t="shared" si="143"/>
        <v>1</v>
      </c>
      <c r="EY38" t="str">
        <f>IF(AK38="нет","",IF(AK38&lt;&gt;"",AK38,IF(EX38=1,"XT"&amp;COUNTIFS(A$3:A38,A38,EX$3:EX38,1),"")))</f>
        <v>XT15</v>
      </c>
      <c r="EZ38" t="str">
        <f t="shared" si="144"/>
        <v>QFD17</v>
      </c>
      <c r="FA38" t="str">
        <f t="shared" si="145"/>
        <v/>
      </c>
      <c r="FB38" t="str">
        <f t="shared" si="146"/>
        <v>ok</v>
      </c>
      <c r="FC38" t="str">
        <f>IF(OR(EV38="",ET38=""),"",IF(EV38&gt;IFERROR(VLOOKUP(EU38,Модули_спр,3,FALSE),99),"ЛИШНИЙ КАНАЛ",IF(AND(AJ38&lt;&gt;"=",COUNTIFS(Линии[_модуль гр.],ET38,Линии[Канал (итог)],EV38,Линии[Канал],"&lt;&gt;=",Линии[Щит],A38)&gt;1),"ДУБЛЬ КАНАЛА","")))</f>
        <v/>
      </c>
      <c r="FD38">
        <f t="shared" si="147"/>
        <v>16</v>
      </c>
      <c r="FE38" t="str">
        <f t="shared" si="148"/>
        <v>2P С16А 30мА</v>
      </c>
      <c r="FF38">
        <f t="shared" si="149"/>
        <v>1</v>
      </c>
      <c r="FG38">
        <f t="shared" si="150"/>
        <v>30</v>
      </c>
      <c r="FH38" s="6" t="str">
        <f t="shared" si="151"/>
        <v/>
      </c>
      <c r="FI38">
        <f t="shared" si="152"/>
        <v>10</v>
      </c>
      <c r="FJ38" t="str">
        <f t="shared" si="153"/>
        <v/>
      </c>
      <c r="FK38" t="str">
        <f>IF(AND(D38="",EZ38=""),"",_xlfn.TEXTJOIN("; ",TRUE,IF(AND(D38&lt;&gt;"",DD38=""),"нет фазы",""),IF(AND(D38&lt;&gt;"",N(DT38)=0,CN38&lt;&gt;"Нет"),"нет мощности",""),IF(AND(EY38&lt;&gt;"",COUNTIFS(Линии[Щит],A38,Линии[Клемма (итог)],EY38)&gt;1),"дубль клеммы "&amp;EY38,""),IF(AND(FB38&lt;&gt;"",FB38&lt;&gt;"ok"),FB38,""),IF(FC38&lt;&gt;"",FC38,""),IF(AND(ISNUMBER(SEARCH("(5х",DS38)),N(DV38)=1),"5 жил на 1 фазе",""),IF(AND(AT38="R",AD38&lt;&gt;"",OR(N(EH38)=0,N(EH38)&gt;30)),"розетка без дифзащиты до 30 мА",""),IFERROR(IF(AND(ISNUMBER(CD38),CD38&gt;CE38),"потери "&amp;FIXED(CD38,1)&amp;" % &gt; "&amp;CE38&amp;" %",""),""),IFERROR(IF(LEFT(FJ38,4)="мало","Iкз мало — отключение &gt; 0,4 с",""),""),IF(AND(D38&lt;&gt;"",BD38=""),"не на схеме","")))</f>
        <v/>
      </c>
      <c r="FL38" s="6">
        <f>IF(AD38="","",_xlfn.LET(_xlpm.t,IFERROR(_xlfn.XLOOKUP(EP38,Каталог!$U$4:$U$500,Каталог!$G$4:$G$500),""),_xlpm.k,SEARCH("кА",_xlpm.t),IFERROR(--TRIM(RIGHT(SUBSTITUTE(MID(_xlpm.t,MAX(1,_xlpm.k-4),_xlpm.k-MAX(1,_xlpm.k-4))," ",REPT(" ",9)),5)),"")))</f>
        <v>6</v>
      </c>
      <c r="FM38" t="str">
        <f>IF(OR(FL38="",AD38=""),"",IF(_xlfn.XLOOKUP(A38,Щиты[Щит],Щиты[Iкз max на шинах, кА],"")="","",IF(FL38&lt;_xlfn.XLOOKUP(A38,Щиты[Щит],Щиты[Iкз max на шинах, кА]),"Icu "&amp;FL38&amp;" кА &lt; Iкз max","ok")))</f>
        <v/>
      </c>
      <c r="FN38" t="str">
        <f t="shared" si="154"/>
        <v>QFD17|XT15</v>
      </c>
      <c r="FO38" t="str">
        <f t="shared" si="155"/>
        <v>QFD17|XT15|кабель ВВГнг(А)-LS (3х2,5) → Розеточная группа  Пом. №06</v>
      </c>
      <c r="FP38" t="str" cm="1">
        <f t="array" ref="FP38">IF(FO38="","",_xlfn.LET(_xlpm.nd,_xlfn.TEXTSPLIT(FO38,"|"),IF(COLUMNS(_xlpm.nd)&gt;1,A38&amp;"¦"&amp;INDEX(_xlpm.nd,1)&amp;"¦"&amp;INDEX(_xlpm.nd,2),"")))</f>
        <v>ЩР¦QFD17¦XT15</v>
      </c>
      <c r="FQ38" t="str">
        <f t="shared" si="156"/>
        <v>R.1.06.1¦Розеточная группа  Пом. №06</v>
      </c>
      <c r="FR38" t="str" cm="1">
        <f t="array" ref="FR38">IF(FO38="","",_xlfn.LET(_xlpm.nd,_xlfn.TEXTSPLIT(FO38,"|"),IF(COLUMNS(_xlpm.nd)&gt;2,A38&amp;"¦"&amp;INDEX(_xlpm.nd,2)&amp;"¦"&amp;INDEX(_xlpm.nd,3),"")))</f>
        <v>ЩР¦XT15¦кабель ВВГнг(А)-LS (3х2,5) → Розеточная группа  Пом. №06</v>
      </c>
      <c r="FS38" t="str">
        <f t="shared" si="157"/>
        <v>R.1.06.1¦Розеточная группа  Пом. №06</v>
      </c>
      <c r="FT38" t="str" cm="1">
        <f t="array" ref="FT38">IF(FO38="","",_xlfn.LET(_xlpm.nd,_xlfn.TEXTSPLIT(FO38,"|"),IF(COLUMNS(_xlpm.nd)&gt;3,A38&amp;"¦"&amp;INDEX(_xlpm.nd,3)&amp;"¦"&amp;INDEX(_xlpm.nd,4),"")))</f>
        <v/>
      </c>
      <c r="FU38" t="str">
        <f t="shared" si="158"/>
        <v/>
      </c>
      <c r="FV38" t="str" cm="1">
        <f t="array" ref="FV38">IF(FO38="","",_xlfn.LET(_xlpm.nd,_xlfn.TEXTSPLIT(FO38,"|"),IF(COLUMNS(_xlpm.nd)&gt;4,A38&amp;"¦"&amp;INDEX(_xlpm.nd,4)&amp;"¦"&amp;INDEX(_xlpm.nd,5),"")))</f>
        <v/>
      </c>
      <c r="FW38" t="str">
        <f t="shared" si="159"/>
        <v/>
      </c>
      <c r="FX38" t="str" cm="1">
        <f t="array" ref="FX38">IF(FO38="","",_xlfn.LET(_xlpm.nd,_xlfn.TEXTSPLIT(FO38,"|"),IF(COLUMNS(_xlpm.nd)&gt;5,A38&amp;"¦"&amp;INDEX(_xlpm.nd,5)&amp;"¦"&amp;INDEX(_xlpm.nd,6),"")))</f>
        <v/>
      </c>
      <c r="FY38" t="str">
        <f t="shared" si="160"/>
        <v/>
      </c>
      <c r="FZ38" t="str" cm="1">
        <f t="array" ref="FZ38">IF(FO38="","",_xlfn.LET(_xlpm.nd,_xlfn.TEXTSPLIT(FO38,"|"),IF(COLUMNS(_xlpm.nd)&gt;6,A38&amp;"¦"&amp;INDEX(_xlpm.nd,6)&amp;"¦"&amp;INDEX(_xlpm.nd,7),"")))</f>
        <v/>
      </c>
      <c r="GA38" t="str">
        <f t="shared" si="161"/>
        <v/>
      </c>
      <c r="GB38" t="str">
        <f t="shared" si="162"/>
        <v/>
      </c>
      <c r="GC38" t="str">
        <f t="shared" si="163"/>
        <v>QFD17 → XT15</v>
      </c>
      <c r="GD38">
        <f t="shared" si="164"/>
        <v>1</v>
      </c>
      <c r="GE38">
        <f t="shared" si="165"/>
        <v>0</v>
      </c>
      <c r="GF38">
        <f t="shared" si="166"/>
        <v>1</v>
      </c>
      <c r="GG38" t="str">
        <f t="shared" si="167"/>
        <v/>
      </c>
      <c r="GH38" t="str">
        <f t="shared" si="168"/>
        <v/>
      </c>
      <c r="GI38" t="str">
        <f t="shared" si="169"/>
        <v/>
      </c>
      <c r="GJ38" t="str">
        <f t="shared" si="170"/>
        <v/>
      </c>
      <c r="GK38" t="str">
        <f>IF(D38="","",IFERROR(VLOOKUP(D38,УГО_спр,2,FALSE),IFERROR(VLOOKUP(AT38,УГО_спр,2,FALSE),IFERROR(VLOOKUP(LEFT(AT38,2),УГО_спр,2,FALSE),""))))</f>
        <v>Розетка</v>
      </c>
      <c r="GL38" t="str">
        <f>IF(D38="","",IF(OR(GK38="",GK38=0),"BOX",IFERROR(IF(VLOOKUP(GK38,УГО_блоки,3,FALSE)&amp;""&lt;&gt;"",VLOOKUP(GK38,УГО_блоки,3,FALSE),VLOOKUP(GK38,УГО_блоки,2,FALSE)),GK38)))</f>
        <v>SOCKET</v>
      </c>
      <c r="GM38">
        <f t="shared" si="171"/>
        <v>1</v>
      </c>
      <c r="GN38" t="str">
        <f>IF(EP38="","",IF(COUNTIF(EP$3:EP38,EP38)=1,MAX(GN$2:GN37)+1,""))</f>
        <v/>
      </c>
      <c r="GO38" t="str">
        <f>IF(AF38="","",IF(COUNTIF(AF$3:AF38,AF38)+COUNTIF(AG$2:AG37,AF38)+COUNTIF(AH$2:AH37,AF38)=1,MAX(GO$2:GQ37)+1,""))</f>
        <v/>
      </c>
      <c r="GP38" t="str">
        <f>IF(AG38="","",IF(COUNTIF(AF$3:AF38,AG38)+COUNTIF(AG$3:AG38,AG38)+COUNTIF(AH$2:AH37,AG38)=1,MAX(GO$2:GQ37,GO38)+1,""))</f>
        <v/>
      </c>
      <c r="GQ38" t="str">
        <f>IF(AH38="","",IF(COUNTIF(AF$3:AF38,AH38)+COUNTIF(AG$3:AG38,AH38)+COUNTIF(AH$3:AH38,AH38)=1,MAX(GO$2:GQ37,GO38,GP38)+1,""))</f>
        <v/>
      </c>
      <c r="GR38" t="str">
        <f t="shared" si="172"/>
        <v>3х2,5</v>
      </c>
      <c r="GS38" t="str">
        <f>IF(GR38="","",IF(COUNTIF(GR$3:GR38,GR38)=1,MAX(GS$2:GS37)+1,""))</f>
        <v/>
      </c>
      <c r="GT38" t="str">
        <f>IF(ES38="","",COUNTIF(ES$3:ES38,"?*"))</f>
        <v/>
      </c>
      <c r="GU38" t="str">
        <f>IF(OR(ES38="",EU38=""),"",IF(COUNTIFS(ES$3:ES38,"?*",EU$3:EU38,EU38)=1,MAX(GU$2:GU37)+1,""))</f>
        <v/>
      </c>
      <c r="GV38">
        <f t="shared" si="173"/>
        <v>0</v>
      </c>
      <c r="GW38">
        <f>IF(D38="","",COUNTIF(D$3:D38,"?*"))</f>
        <v>18</v>
      </c>
      <c r="GX38">
        <f>IF(EX38&lt;&gt;1,0,_xlfn.LET(_xlpm.k,MAX(IFERROR(--VLOOKUP(D38,УГО_спр,5,FALSE),0),IFERROR(--VLOOKUP(AT38,УГО_спр,5,FALSE),0),IFERROR(--VLOOKUP(LEFT(AT38,2),УГО_спр,5,FALSE),0)),IF(_xlpm.k&gt;0,_xlpm.k,IF(IFERROR(--LEFT(SUBSTITUTE(GR38,"x","х"),FIND("х",SUBSTITUTE(GR38,"x","х"))-1),3)&gt;3,Каталог!$S$9,1))))</f>
        <v>1</v>
      </c>
      <c r="GY38">
        <f t="shared" si="174"/>
        <v>0</v>
      </c>
    </row>
    <row r="39" spans="1:207" x14ac:dyDescent="0.3">
      <c r="A39" t="s">
        <v>206</v>
      </c>
      <c r="B39">
        <v>39</v>
      </c>
      <c r="C39" t="str">
        <f>IF(BD39="","",IF(BE39="вводной узел","узел ","")&amp;"л."&amp;(INT((BD39-1)/Столбцов_на_лист)+1)&amp;" / "&amp;(MOD(BD39-1,Столбцов_на_лист)+1))</f>
        <v>л.3 / 5</v>
      </c>
      <c r="D39" t="s">
        <v>690</v>
      </c>
      <c r="E39" s="133" t="str">
        <f t="shared" si="175"/>
        <v>Розеточная группа  Пом. №06</v>
      </c>
      <c r="G39">
        <v>0.48</v>
      </c>
      <c r="H39">
        <v>8</v>
      </c>
      <c r="O39">
        <v>2</v>
      </c>
      <c r="T39">
        <v>2</v>
      </c>
      <c r="AD39" t="s">
        <v>597</v>
      </c>
      <c r="AK39" t="s">
        <v>613</v>
      </c>
      <c r="AN39">
        <v>24.4</v>
      </c>
      <c r="AO39" t="s">
        <v>646</v>
      </c>
      <c r="AQ39" t="s">
        <v>647</v>
      </c>
      <c r="AR39" t="str">
        <f t="shared" si="88"/>
        <v>дубль клеммы XT16</v>
      </c>
      <c r="AS39" cm="1">
        <f t="array" ref="AS39">ROW()-ROW(Линии[#Headers])</f>
        <v>37</v>
      </c>
      <c r="AT39" s="6" t="str">
        <f t="shared" si="89"/>
        <v>R</v>
      </c>
      <c r="AU39" t="str">
        <f t="shared" si="90"/>
        <v>1.06.2</v>
      </c>
      <c r="AV39" t="str">
        <f t="shared" si="91"/>
        <v>1</v>
      </c>
      <c r="AW39" t="str">
        <f t="shared" si="92"/>
        <v>06.2</v>
      </c>
      <c r="AX39" t="str">
        <f t="shared" si="93"/>
        <v>06</v>
      </c>
      <c r="AY39" t="str">
        <f>IF(D39="","",IF(ISERROR(SEARCH(".",D39)),IFERROR(VLOOKUP(D39,Потребители_обозначение,2,FALSE)&amp;"",""),IFERROR(IF(VLOOKUP(AT39,Потребители_обозначение,4,FALSE)=1,VLOOKUP(AT39,Потребители_обозначение,2,FALSE)&amp;" "&amp;VLOOKUP(AV39,Этаж_обозначение,2,FALSE)&amp;" Пом. №"&amp;AX39,VLOOKUP(AT39,Потребители_обозначение,2,FALSE)&amp;" Шлейф №"&amp;AV39),IFERROR(VLOOKUP(D39,Потребители_обозначение,2,FALSE),""))))</f>
        <v>Розеточная группа  Пом. №06</v>
      </c>
      <c r="AZ39" t="str">
        <f t="shared" si="94"/>
        <v>Розеточная группа  Пом. №06</v>
      </c>
      <c r="BA39" t="str">
        <f>IF(F39&lt;&gt;"",F39,IF(AND(D39&lt;&gt;"",D39&lt;&gt;A39,ISNUMBER(_xlfn.XMATCH(D39,Щиты[Щит]))),D39,""))</f>
        <v/>
      </c>
      <c r="BB39">
        <f>IFERROR(_xlfn.XMATCH(A39,Щиты[Щит]),0)</f>
        <v>1</v>
      </c>
      <c r="BC39">
        <f>IFERROR(N(_xlfn.XLOOKUP(A39,Щиты[Щит],Щиты[Мест под вводной узел])),15)</f>
        <v>18</v>
      </c>
      <c r="BD39">
        <f t="shared" si="95"/>
        <v>39</v>
      </c>
      <c r="BE39" t="str">
        <f t="shared" si="96"/>
        <v>линии</v>
      </c>
      <c r="BF39" s="6">
        <f>IF(D39="","",IF(BA39&lt;&gt;"",IFERROR(_xlfn.XLOOKUP(BA39,Щиты[Щит],Щиты[Руст, кВт]),0),N(G39)))</f>
        <v>0.48</v>
      </c>
      <c r="BG39">
        <f>IF(J39&lt;&gt;"",J39,IF(D39="","",IFERROR(IF(VLOOKUP(AT39,Потребители_обозначение,8,FALSE)=0,"",VLOOKUP(AT39,Потребители_обозначение,8,FALSE)),"")))</f>
        <v>230</v>
      </c>
      <c r="BH39">
        <f>IF(I39&lt;&gt;"",I39,IF(D39="","",IFERROR(IF(VLOOKUP(AT39,Потребители_обозначение,9,FALSE)=0,"",VLOOKUP(AT39,Потребители_обозначение,9,FALSE)),"")))</f>
        <v>1</v>
      </c>
      <c r="BI39" t="str">
        <f>IF(U39&lt;&gt;"",U39,IF(D39="","",IFERROR(IF(VLOOKUP(AT39,Потребители_обозначение,6,FALSE)=0,"",VLOOKUP(AT39,Потребители_обозначение,6,FALSE)),"")))</f>
        <v>мс</v>
      </c>
      <c r="BJ39">
        <f>IF(V39&lt;&gt;"",V39,IF(D39="","",IFERROR(IF(VLOOKUP(AT39,Потребители_обозначение,7,FALSE)=0,"",VLOOKUP(AT39,Потребители_обозначение,7,FALSE)),"")))</f>
        <v>3</v>
      </c>
      <c r="BK39">
        <f>IF(W39&lt;&gt;"",W39,IF(D39="","",IFERROR(IF(VLOOKUP(AT39,Потребители_обозначение,10,FALSE)=0,"",VLOOKUP(AT39,Потребители_обозначение,10,FALSE)),"")))</f>
        <v>2.5</v>
      </c>
      <c r="BL39">
        <f>IFERROR(VLOOKUP(AT39,Потребители_обозначение,5,FALSE),0)</f>
        <v>1</v>
      </c>
      <c r="BM39" s="6" cm="1">
        <f t="array" ref="BM39">IF(D39="","",IF(BA39&lt;&gt;"",IFERROR(_xlfn.XLOOKUP(BA39,Щиты[Щит],Щиты[cos φ]),0.95),IF(ISNUMBER(M39),M39,IFERROR(IF(BL39=2,_xlfn.IFS(BH39=3,VLOOKUP(BF39,Справочная_двигатели,8,FALSE),BH39=1,VLOOKUP(BF39,Справочная_двигатели,10,TRUE)),IF(AND(Методика="нормы 2026",CN39="Сил"),0.8,0.95)),0.95))))</f>
        <v>0.95</v>
      </c>
      <c r="BN39" s="6" cm="1">
        <f t="array" ref="BN39">IF(D39="","",IF(BA39&lt;&gt;"",IFERROR(_xlfn.XLOOKUP(BA39,Щиты[Щит],Щиты[Iр, А]),""),IFERROR(_xlfn.IFS(BH39=1,BF39/((Uн_лин/SQRT(3))*BM39),BH39=3,BF39/(SQRT(3)*Uн_лин*BM39)),"")))</f>
        <v>2.1878536516659501</v>
      </c>
      <c r="BO39">
        <f>IF(D39="","",IF(N(X39)=0,IFERROR(VLOOKUP(BN39,Автомат_номиналы,2,TRUE),""),X39))</f>
        <v>6</v>
      </c>
      <c r="BP39">
        <f t="shared" si="97"/>
        <v>1</v>
      </c>
      <c r="BQ39">
        <f>IF(ISNUMBER(Y39),Y39,К_прокл)</f>
        <v>1</v>
      </c>
      <c r="BR39">
        <f t="shared" si="98"/>
        <v>2</v>
      </c>
      <c r="BS39" cm="1">
        <f t="array" ref="BS39">IF(D39="","",IF(N(BK39)&lt;&gt;0,BK39,IFERROR(_xlfn.LET(_xlpm.need,BO39/(BP39*BQ39),_xlpm.t,CHOOSE(BR39,Iдоп_1ж,Iдоп_2ж,Iдоп_3ж),_xlpm.k,_xlfn.XMATCH(_xlpm.need,_xlpm.t,1),IF(ISNA(_xlpm.k),"Не исп",INDEX(Iдоп_S,_xlpm.k))),"Не исп")))</f>
        <v>2.5</v>
      </c>
      <c r="BT39">
        <f>IFERROR(VLOOKUP(BS39,Кабель_сопротивление,3,FALSE),"")</f>
        <v>2.2499999999999999E-2</v>
      </c>
      <c r="BU39">
        <f>IFERROR(VLOOKUP(BS39,Кабель_сопротивление,2,FALSE),"")</f>
        <v>0.1</v>
      </c>
      <c r="BV39">
        <f t="shared" si="99"/>
        <v>25</v>
      </c>
      <c r="BW39" s="6">
        <f>IF(D39="","",IFERROR(IF(VLOOKUP(AT39,Потребители_обозначение,4,FALSE)=1,VLOOKUP(AT39,Потребители_обозначение,3,FALSE)*(H39*2-1)+BV39+VLOOKUP(AV39,Этаж_обозначение,3,FALSE)+VLOOKUP(AV39,Этаж_обозначение,4,FALSE),VLOOKUP(AT39,Потребители_обозначение,3,FALSE)*(H39*2-1)+BV39),BV39))</f>
        <v>55</v>
      </c>
      <c r="BX39">
        <f t="shared" si="100"/>
        <v>0</v>
      </c>
      <c r="BY39">
        <f t="shared" si="101"/>
        <v>51</v>
      </c>
      <c r="BZ39">
        <f t="shared" si="102"/>
        <v>2</v>
      </c>
      <c r="CA39">
        <f t="shared" si="103"/>
        <v>0.31</v>
      </c>
      <c r="CB39">
        <f t="shared" si="104"/>
        <v>2.065136940344007</v>
      </c>
      <c r="CC39" s="6">
        <f>IFERROR(ROUNDUP(CB39/((Uн_лин/SQRT(3))*1000)*100,2),"")</f>
        <v>0.9</v>
      </c>
      <c r="CD39" s="6">
        <f>IF(ISNUMBER(CC39),CC39+IFERROR(_xlfn.XLOOKUP(A39,Щиты[Щит],Щиты[ΔU до шин, %]),0),"")</f>
        <v>0.9</v>
      </c>
      <c r="CE39" s="6">
        <f>IF(D39="","",IF(IFERROR(VLOOKUP(AT39,УГО_спр,2,FALSE),"")="Светильник",3,4)+IF(Методика="нормы 2026",MIN(0.5,MAX(0,N(BW39)-100)*0.005),0))</f>
        <v>4</v>
      </c>
      <c r="CF39" t="str">
        <f>IFERROR(VLOOKUP(BI39,Кабель_обозначение,2,FALSE),"")</f>
        <v>ВВГнг(А)-LS</v>
      </c>
      <c r="CG39" t="str">
        <f>IFERROR(IF(VLOOKUP(BI39,Кабель_обозначение,3,FALSE)=1,CF39&amp;" ("&amp;BJ39&amp;"х"&amp;BS39&amp;")",CF39),"")</f>
        <v>ВВГнг(А)-LS (3х2,5)</v>
      </c>
      <c r="CH39" t="str">
        <f t="shared" si="105"/>
        <v>ВВГнг(А)-LS (3х2,5)
L=55-0,9%</v>
      </c>
      <c r="CI39">
        <f>IFERROR(2*ρкз_Cu*BW39/BS39,"")</f>
        <v>1.1572</v>
      </c>
      <c r="CJ39">
        <f t="shared" si="106"/>
        <v>0.38500000000000006</v>
      </c>
      <c r="CK39" s="6" t="str">
        <f>IFERROR(IF(OR(D39="",NOT(ISNUMBER(BS39)),N(BW39)=0),"",_xlfn.XLOOKUP(A39,Щиты[Щит],Щиты[Zпетли на шинах, Ом])+CI39),"")</f>
        <v/>
      </c>
      <c r="CL39" s="6" t="str">
        <f>IF(ISNUMBER(CK39),c_min*(Uн_лин*1000/SQRT(3))/CK39,"")</f>
        <v/>
      </c>
      <c r="CM39" s="6" t="str">
        <f>IFERROR(IF(OR(D39="",NOT(ISNUMBER(BS39))),"",1.05*(Uн_лин*1000/SQRT(3))/(_xlfn.XLOOKUP(A39,Щиты[Щит],Щиты[Zmax на шинах, Ом])+CJ39)/1000),"")</f>
        <v/>
      </c>
      <c r="CN39" s="6" t="str">
        <f>IF(D39="","",IF(BA39&lt;&gt;"","Щит",IF(K39&lt;&gt;"",K39,IF(ISNUMBER(L39),"Сил",IF(IFERROR(_xlfn.XLOOKUP(AT39,Коды_код,Коды_группа)&amp;"","")="","Быт",_xlfn.XLOOKUP(AT39,Коды_код,Коды_группа)&amp;"")))))</f>
        <v>Быт</v>
      </c>
      <c r="CO39" s="6">
        <f>IF(CN39="Щит","щит",IF(CN39="","",IF(CN39="Быт",IFERROR(_xlfn.XLOOKUP(A39,Щиты[Щит],Щиты[Кс быт]),1),IF(CN39="Сил",IF(ISNUMBER(L39),L39,IF(Методика="нормы 2026",IFERROR(_xlfn.XLOOKUP(A39,Щиты[Щит],Щиты[Кс силовых (табл. 7.5)]),1),1)),IF(OR(CN39="Пост",CN39="Отоп"),1,IF(CN39="ВНГ",0.7,0))))))</f>
        <v>0.8</v>
      </c>
      <c r="CP39">
        <f t="shared" si="107"/>
        <v>1</v>
      </c>
      <c r="CQ39">
        <f t="shared" si="108"/>
        <v>0.48</v>
      </c>
      <c r="CR39">
        <f t="shared" si="109"/>
        <v>0.48</v>
      </c>
      <c r="CS39">
        <f t="shared" si="110"/>
        <v>0</v>
      </c>
      <c r="CT39">
        <f t="shared" si="111"/>
        <v>0</v>
      </c>
      <c r="CU39">
        <f t="shared" si="112"/>
        <v>0</v>
      </c>
      <c r="CV39">
        <f t="shared" si="113"/>
        <v>0</v>
      </c>
      <c r="CW39">
        <f t="shared" si="114"/>
        <v>0.48</v>
      </c>
      <c r="CX39">
        <f t="shared" si="115"/>
        <v>0.45599999999999996</v>
      </c>
      <c r="CY39">
        <f t="shared" si="116"/>
        <v>3</v>
      </c>
      <c r="CZ39" t="str">
        <f t="shared" si="117"/>
        <v>L3</v>
      </c>
      <c r="DA39" cm="1">
        <f t="array" ref="DA39">IFERROR(IF(BL39=2,_xlfn.IFS(BH39=3,VLOOKUP(BF39,Справочная_двигатели,3,FALSE),BH39=1,VLOOKUP(BF39,Справочная_двигатели,5,TRUE)),0),0)</f>
        <v>0</v>
      </c>
      <c r="DB39">
        <f>IFERROR(IF(BL39=3,VLOOKUP(BF39,Справочная_ЛЭД,2,TRUE),0),0)</f>
        <v>0</v>
      </c>
      <c r="DC39" s="6">
        <f t="shared" si="118"/>
        <v>0</v>
      </c>
      <c r="DD39" t="str">
        <f t="shared" si="119"/>
        <v>L2</v>
      </c>
      <c r="DE39" t="str" cm="1">
        <f t="array" ref="DE39">IF(D39="","",IFERROR(INDEX({"I особая","I","II","III"},MATCH(TRIM(AA39&amp;""),{"I особая","I","II","III"},0)),"III"))</f>
        <v>III</v>
      </c>
      <c r="DF39" t="str">
        <f>IF(D39="","",IF(TRIM(AB39&amp;"")&lt;&gt;"",IF(LOWER(TRIM(AB39&amp;""))="да","да","нет"),IF(IFERROR(_xlfn.XLOOKUP(AT39,Коды_код,Коды_пожарная),"")="да","да","нет")))</f>
        <v>нет</v>
      </c>
      <c r="DG39" t="str">
        <f t="shared" si="120"/>
        <v/>
      </c>
      <c r="DH39" t="str">
        <f t="shared" si="121"/>
        <v>основная</v>
      </c>
      <c r="DI39">
        <f t="shared" si="122"/>
        <v>1</v>
      </c>
      <c r="DJ39" t="str" cm="1">
        <f t="array" ref="DJ39">IF(D39="","",_xlfn.LET(_xlpm.t,IFERROR(_xlfn.XLOOKUP(1,(Шины[Шина]=DH39)*(((Шины[Щит]=A39)+(Шины[Щит]=""))&gt;0),Шины[Тип]),"")&amp;"",IF(_xlpm.t&lt;&gt;"",_xlpm.t,IF(ISNUMBER(SEARCH("ИБП",DH39)),"ИБП",IF(ISNUMBER(SEARCH("ДГУ",DH39)),"ДГУ","Ввод "&amp;DI39)))))</f>
        <v>Ввод 1</v>
      </c>
      <c r="DK39" t="str">
        <f t="shared" si="123"/>
        <v>Ввод 1</v>
      </c>
      <c r="DL39" t="str">
        <f>IF(D39="","",IF(OR(DJ39="ИБП",DJ39="ДГУ"),"I особая",IF(DJ39="Одиночная","III",_xlfn.XLOOKUP(A39,Щиты[Щит],Щиты[Категория шины «Ввод»],"III"))))</f>
        <v>III</v>
      </c>
      <c r="DM39">
        <f>IF(D39="",0,IFERROR(MATCH(DE39,{"III","II","I","I особая"},0),1))</f>
        <v>1</v>
      </c>
      <c r="DN39">
        <f t="shared" si="124"/>
        <v>1</v>
      </c>
      <c r="DO39" t="str">
        <f>IF(D39="","",IF(DM39&gt;IFERROR(MATCH(DL39,{"III","II","I","I особая"},0),1),"НЕ ОБЕСПЕЧЕНА","ОК"))</f>
        <v>ОК</v>
      </c>
      <c r="DP39" t="str">
        <f>IF(A39="","",_xlfn.XLOOKUP(A39,Щиты[Щит],Щиты[Путь],""))</f>
        <v>|ЩР|</v>
      </c>
      <c r="DQ39" t="str">
        <f>IF(D39="","",IF(Z39&lt;&gt;"",Z39,IF(IFERROR(_xlfn.XLOOKUP(AT39,Коды_код,Коды_вид)&amp;"","")="","Прочее",_xlfn.XLOOKUP(AT39,Коды_код,Коды_вид)&amp;"")))</f>
        <v>Розеточная сеть и бытовые приборы</v>
      </c>
      <c r="DR39">
        <f>IF(BD39="","",INT((BD39-1)/Столбцов_на_лист)+1)</f>
        <v>3</v>
      </c>
      <c r="DS39" t="str">
        <f t="shared" si="125"/>
        <v>ВВГнг(А)-LS (3х2,5) L=55-0,9%</v>
      </c>
      <c r="DT39">
        <f t="shared" si="126"/>
        <v>0.48</v>
      </c>
      <c r="DU39">
        <f t="shared" si="127"/>
        <v>2.19</v>
      </c>
      <c r="DV39">
        <f t="shared" si="128"/>
        <v>1</v>
      </c>
      <c r="DW39">
        <f>IF(AT39="",0,_xlfn.LET(_xlpm.v,IFERROR(VLOOKUP(D39,УГО_спр,3,FALSE),IFERROR(VLOOKUP(AT39,УГО_спр,3,FALSE),IFERROR(VLOOKUP(LEFT(AT39,2),УГО_спр,3,FALSE),""))),IF(_xlpm.v="да",30,IF(ISNUMBER(_xlpm.v),_xlpm.v,0))))</f>
        <v>30</v>
      </c>
      <c r="DX39">
        <f t="shared" si="129"/>
        <v>0</v>
      </c>
      <c r="DY39">
        <f>IF(BD39="","",IF(AD39&lt;&gt;"",COUNTIFS(A$3:A39,A39,AD$3:AD39,"?*"),IF(OR(OR(AS39=1,A39&lt;&gt;A38),AL39="вручную"),"",IF(AS39=1,"",DZ38))))</f>
        <v>18</v>
      </c>
      <c r="DZ39">
        <f t="shared" si="130"/>
        <v>18</v>
      </c>
      <c r="EA39">
        <f>IF(D39="",0,MAX(IFERROR(--X39,0),IFERROR(--VLOOKUP(D39,УГО_спр,4,FALSE),IFERROR(--VLOOKUP(AT39,УГО_спр,4,FALSE),IFERROR(--VLOOKUP(LEFT(AT39,2),УГО_спр,4,FALSE),0)))))</f>
        <v>16</v>
      </c>
      <c r="EB39">
        <f>IF(D39="","",IFERROR(LOOKUP(INDEX(CHOOSE(BR39,Iдоп_1ж,Iдоп_2ж,Iдоп_3ж),MATCH(BS39,Iдоп_S,0))*BP39*BQ39,{6,10,16,20,25,32,40,50,63,80,100,125,160,200,250,315,400,500,630}),""))</f>
        <v>25</v>
      </c>
      <c r="EC39">
        <f>IF(AD39="","",SUMIFS(Линии[_Ток схемы],Линии[_гр.],DY39,Линии[Щит],A39,Линии[_в кабель выше],0))</f>
        <v>2.19</v>
      </c>
      <c r="ED39">
        <f>IF(AD39="","",IFERROR(VLOOKUP(EC39,Автомат_номиналы,2,TRUE),""))</f>
        <v>6</v>
      </c>
      <c r="EE39">
        <f>IF(AD39="","",MAX(N(ED39),_xlfn.MAXIFS(Линии[_мин. по типу],Линии[_гр.],DY39,Линии[Щит],A39)))</f>
        <v>16</v>
      </c>
      <c r="EF39">
        <f>IF(AD39="","",_xlfn.MINIFS(Линии[_макс. автомат по кабелю],Линии[_гр.],DY39,Линии[Щит],A39))</f>
        <v>25</v>
      </c>
      <c r="EG39">
        <f>IF(AD39="","",MAX(1,_xlfn.MAXIFS(Линии[_фаз],Линии[_гр.],DY39,Линии[Щит],A39)))</f>
        <v>1</v>
      </c>
      <c r="EH39">
        <f>IF(AD39="","",IF(AND(AD39&lt;&gt;"авто",AD39&lt;&gt;"+"),IF(ISNUMBER(SEARCH("мА",AD39)),IFERROR(--TRIM(RIGHT(SUBSTITUTE(LEFT(AD39,SEARCH("мА",AD39)-1)," ",REPT(" ",9)),6)),30),0),IF(AE39="нет",0,IF(ISNUMBER(AE39),AE39,IF(AE39="да",30,_xlfn.MINIFS(Линии[_дифзащита по коду, мА],Линии[_гр.],DY39,Линии[Щит],A39,Линии[_дифзащита по коду, мА],"&gt;0"))))))</f>
        <v>30</v>
      </c>
      <c r="EI39">
        <f t="shared" si="131"/>
        <v>1</v>
      </c>
      <c r="EJ39" t="str">
        <f t="shared" si="132"/>
        <v>QFD18</v>
      </c>
      <c r="EK39" t="str">
        <f t="shared" si="133"/>
        <v>QFD18</v>
      </c>
      <c r="EL39" t="str">
        <f t="shared" si="134"/>
        <v/>
      </c>
      <c r="EM39">
        <f t="shared" si="135"/>
        <v>0</v>
      </c>
      <c r="EN39">
        <f>IF(AD39="","",IF(EM39=1,MAX(EE39,Мин_автомат_БП),EE39))</f>
        <v>16</v>
      </c>
      <c r="EO39" t="str">
        <f t="shared" si="136"/>
        <v>2P</v>
      </c>
      <c r="EP39" t="str">
        <f t="shared" si="137"/>
        <v>2P С16А 30мА</v>
      </c>
      <c r="EQ39">
        <f t="shared" si="138"/>
        <v>16</v>
      </c>
      <c r="ER39" t="str">
        <f>IF(OR(AI39="",AI39="-"),"",IFERROR(VLOOKUP(AI39,Модули_спр,2,FALSE),"R"))</f>
        <v/>
      </c>
      <c r="ES39" t="str">
        <f>IF(ER39="","",ER39&amp;"."&amp;COUNTIFS(A$3:A39,A39,ER$3:ER39,ER39))</f>
        <v/>
      </c>
      <c r="ET39" t="str">
        <f t="shared" si="139"/>
        <v/>
      </c>
      <c r="EU39" t="str">
        <f t="shared" si="140"/>
        <v/>
      </c>
      <c r="EV39" t="str">
        <f t="shared" si="141"/>
        <v/>
      </c>
      <c r="EW39" t="str">
        <f t="shared" si="142"/>
        <v/>
      </c>
      <c r="EX39">
        <f t="shared" si="143"/>
        <v>1</v>
      </c>
      <c r="EY39" t="str">
        <f>IF(AK39="нет","",IF(AK39&lt;&gt;"",AK39,IF(EX39=1,"XT"&amp;COUNTIFS(A$3:A39,A39,EX$3:EX39,1),"")))</f>
        <v>XT16</v>
      </c>
      <c r="EZ39" t="str">
        <f t="shared" si="144"/>
        <v>QFD18</v>
      </c>
      <c r="FA39" t="str">
        <f t="shared" si="145"/>
        <v/>
      </c>
      <c r="FB39" t="str">
        <f t="shared" si="146"/>
        <v>ok</v>
      </c>
      <c r="FC39" t="str">
        <f>IF(OR(EV39="",ET39=""),"",IF(EV39&gt;IFERROR(VLOOKUP(EU39,Модули_спр,3,FALSE),99),"ЛИШНИЙ КАНАЛ",IF(AND(AJ39&lt;&gt;"=",COUNTIFS(Линии[_модуль гр.],ET39,Линии[Канал (итог)],EV39,Линии[Канал],"&lt;&gt;=",Линии[Щит],A39)&gt;1),"ДУБЛЬ КАНАЛА","")))</f>
        <v/>
      </c>
      <c r="FD39">
        <f t="shared" si="147"/>
        <v>16</v>
      </c>
      <c r="FE39" t="str">
        <f t="shared" si="148"/>
        <v>2P С16А 30мА</v>
      </c>
      <c r="FF39">
        <f t="shared" si="149"/>
        <v>1</v>
      </c>
      <c r="FG39">
        <f t="shared" si="150"/>
        <v>30</v>
      </c>
      <c r="FH39" s="6" t="str">
        <f t="shared" si="151"/>
        <v/>
      </c>
      <c r="FI39">
        <f t="shared" si="152"/>
        <v>10</v>
      </c>
      <c r="FJ39" t="str">
        <f t="shared" si="153"/>
        <v/>
      </c>
      <c r="FK39" t="str">
        <f>IF(AND(D39="",EZ39=""),"",_xlfn.TEXTJOIN("; ",TRUE,IF(AND(D39&lt;&gt;"",DD39=""),"нет фазы",""),IF(AND(D39&lt;&gt;"",N(DT39)=0,CN39&lt;&gt;"Нет"),"нет мощности",""),IF(AND(EY39&lt;&gt;"",COUNTIFS(Линии[Щит],A39,Линии[Клемма (итог)],EY39)&gt;1),"дубль клеммы "&amp;EY39,""),IF(AND(FB39&lt;&gt;"",FB39&lt;&gt;"ok"),FB39,""),IF(FC39&lt;&gt;"",FC39,""),IF(AND(ISNUMBER(SEARCH("(5х",DS39)),N(DV39)=1),"5 жил на 1 фазе",""),IF(AND(AT39="R",AD39&lt;&gt;"",OR(N(EH39)=0,N(EH39)&gt;30)),"розетка без дифзащиты до 30 мА",""),IFERROR(IF(AND(ISNUMBER(CD39),CD39&gt;CE39),"потери "&amp;FIXED(CD39,1)&amp;" % &gt; "&amp;CE39&amp;" %",""),""),IFERROR(IF(LEFT(FJ39,4)="мало","Iкз мало — отключение &gt; 0,4 с",""),""),IF(AND(D39&lt;&gt;"",BD39=""),"не на схеме","")))</f>
        <v>дубль клеммы XT16</v>
      </c>
      <c r="FL39" s="6">
        <f>IF(AD39="","",_xlfn.LET(_xlpm.t,IFERROR(_xlfn.XLOOKUP(EP39,Каталог!$U$4:$U$500,Каталог!$G$4:$G$500),""),_xlpm.k,SEARCH("кА",_xlpm.t),IFERROR(--TRIM(RIGHT(SUBSTITUTE(MID(_xlpm.t,MAX(1,_xlpm.k-4),_xlpm.k-MAX(1,_xlpm.k-4))," ",REPT(" ",9)),5)),"")))</f>
        <v>6</v>
      </c>
      <c r="FM39" t="str">
        <f>IF(OR(FL39="",AD39=""),"",IF(_xlfn.XLOOKUP(A39,Щиты[Щит],Щиты[Iкз max на шинах, кА],"")="","",IF(FL39&lt;_xlfn.XLOOKUP(A39,Щиты[Щит],Щиты[Iкз max на шинах, кА]),"Icu "&amp;FL39&amp;" кА &lt; Iкз max","ok")))</f>
        <v/>
      </c>
      <c r="FN39" t="str">
        <f t="shared" si="154"/>
        <v>QFD18|XT16</v>
      </c>
      <c r="FO39" t="str">
        <f t="shared" si="155"/>
        <v>QFD18|XT16|кабель ВВГнг(А)-LS (3х2,5) → Розеточная группа  Пом. №06</v>
      </c>
      <c r="FP39" t="str" cm="1">
        <f t="array" ref="FP39">IF(FO39="","",_xlfn.LET(_xlpm.nd,_xlfn.TEXTSPLIT(FO39,"|"),IF(COLUMNS(_xlpm.nd)&gt;1,A39&amp;"¦"&amp;INDEX(_xlpm.nd,1)&amp;"¦"&amp;INDEX(_xlpm.nd,2),"")))</f>
        <v>ЩР¦QFD18¦XT16</v>
      </c>
      <c r="FQ39" t="str">
        <f t="shared" si="156"/>
        <v>R.1.06.2¦Розеточная группа  Пом. №06</v>
      </c>
      <c r="FR39" t="str" cm="1">
        <f t="array" ref="FR39">IF(FO39="","",_xlfn.LET(_xlpm.nd,_xlfn.TEXTSPLIT(FO39,"|"),IF(COLUMNS(_xlpm.nd)&gt;2,A39&amp;"¦"&amp;INDEX(_xlpm.nd,2)&amp;"¦"&amp;INDEX(_xlpm.nd,3),"")))</f>
        <v>ЩР¦XT16¦кабель ВВГнг(А)-LS (3х2,5) → Розеточная группа  Пом. №06</v>
      </c>
      <c r="FS39" t="str">
        <f t="shared" si="157"/>
        <v>R.1.06.2¦Розеточная группа  Пом. №06</v>
      </c>
      <c r="FT39" t="str" cm="1">
        <f t="array" ref="FT39">IF(FO39="","",_xlfn.LET(_xlpm.nd,_xlfn.TEXTSPLIT(FO39,"|"),IF(COLUMNS(_xlpm.nd)&gt;3,A39&amp;"¦"&amp;INDEX(_xlpm.nd,3)&amp;"¦"&amp;INDEX(_xlpm.nd,4),"")))</f>
        <v/>
      </c>
      <c r="FU39" t="str">
        <f t="shared" si="158"/>
        <v/>
      </c>
      <c r="FV39" t="str" cm="1">
        <f t="array" ref="FV39">IF(FO39="","",_xlfn.LET(_xlpm.nd,_xlfn.TEXTSPLIT(FO39,"|"),IF(COLUMNS(_xlpm.nd)&gt;4,A39&amp;"¦"&amp;INDEX(_xlpm.nd,4)&amp;"¦"&amp;INDEX(_xlpm.nd,5),"")))</f>
        <v/>
      </c>
      <c r="FW39" t="str">
        <f t="shared" si="159"/>
        <v/>
      </c>
      <c r="FX39" t="str" cm="1">
        <f t="array" ref="FX39">IF(FO39="","",_xlfn.LET(_xlpm.nd,_xlfn.TEXTSPLIT(FO39,"|"),IF(COLUMNS(_xlpm.nd)&gt;5,A39&amp;"¦"&amp;INDEX(_xlpm.nd,5)&amp;"¦"&amp;INDEX(_xlpm.nd,6),"")))</f>
        <v/>
      </c>
      <c r="FY39" t="str">
        <f t="shared" si="160"/>
        <v/>
      </c>
      <c r="FZ39" t="str" cm="1">
        <f t="array" ref="FZ39">IF(FO39="","",_xlfn.LET(_xlpm.nd,_xlfn.TEXTSPLIT(FO39,"|"),IF(COLUMNS(_xlpm.nd)&gt;6,A39&amp;"¦"&amp;INDEX(_xlpm.nd,6)&amp;"¦"&amp;INDEX(_xlpm.nd,7),"")))</f>
        <v/>
      </c>
      <c r="GA39" t="str">
        <f t="shared" si="161"/>
        <v/>
      </c>
      <c r="GB39" t="str">
        <f t="shared" si="162"/>
        <v/>
      </c>
      <c r="GC39" t="str">
        <f t="shared" si="163"/>
        <v>QFD18 → XT16</v>
      </c>
      <c r="GD39">
        <f t="shared" si="164"/>
        <v>1</v>
      </c>
      <c r="GE39">
        <f t="shared" si="165"/>
        <v>0</v>
      </c>
      <c r="GF39">
        <f t="shared" si="166"/>
        <v>1</v>
      </c>
      <c r="GG39" t="str">
        <f t="shared" si="167"/>
        <v/>
      </c>
      <c r="GH39" t="str">
        <f t="shared" si="168"/>
        <v/>
      </c>
      <c r="GI39" t="str">
        <f t="shared" si="169"/>
        <v/>
      </c>
      <c r="GJ39" t="str">
        <f t="shared" si="170"/>
        <v/>
      </c>
      <c r="GK39" t="str">
        <f>IF(D39="","",IFERROR(VLOOKUP(D39,УГО_спр,2,FALSE),IFERROR(VLOOKUP(AT39,УГО_спр,2,FALSE),IFERROR(VLOOKUP(LEFT(AT39,2),УГО_спр,2,FALSE),""))))</f>
        <v>Розетка</v>
      </c>
      <c r="GL39" t="str">
        <f>IF(D39="","",IF(OR(GK39="",GK39=0),"BOX",IFERROR(IF(VLOOKUP(GK39,УГО_блоки,3,FALSE)&amp;""&lt;&gt;"",VLOOKUP(GK39,УГО_блоки,3,FALSE),VLOOKUP(GK39,УГО_блоки,2,FALSE)),GK39)))</f>
        <v>SOCKET</v>
      </c>
      <c r="GM39">
        <f t="shared" si="171"/>
        <v>1</v>
      </c>
      <c r="GN39" t="str">
        <f>IF(EP39="","",IF(COUNTIF(EP$3:EP39,EP39)=1,MAX(GN$2:GN38)+1,""))</f>
        <v/>
      </c>
      <c r="GO39" t="str">
        <f>IF(AF39="","",IF(COUNTIF(AF$3:AF39,AF39)+COUNTIF(AG$2:AG38,AF39)+COUNTIF(AH$2:AH38,AF39)=1,MAX(GO$2:GQ38)+1,""))</f>
        <v/>
      </c>
      <c r="GP39" t="str">
        <f>IF(AG39="","",IF(COUNTIF(AF$3:AF39,AG39)+COUNTIF(AG$3:AG39,AG39)+COUNTIF(AH$2:AH38,AG39)=1,MAX(GO$2:GQ38,GO39)+1,""))</f>
        <v/>
      </c>
      <c r="GQ39" t="str">
        <f>IF(AH39="","",IF(COUNTIF(AF$3:AF39,AH39)+COUNTIF(AG$3:AG39,AH39)+COUNTIF(AH$3:AH39,AH39)=1,MAX(GO$2:GQ38,GO39,GP39)+1,""))</f>
        <v/>
      </c>
      <c r="GR39" t="str">
        <f t="shared" si="172"/>
        <v>3х2,5</v>
      </c>
      <c r="GS39" t="str">
        <f>IF(GR39="","",IF(COUNTIF(GR$3:GR39,GR39)=1,MAX(GS$2:GS38)+1,""))</f>
        <v/>
      </c>
      <c r="GT39" t="str">
        <f>IF(ES39="","",COUNTIF(ES$3:ES39,"?*"))</f>
        <v/>
      </c>
      <c r="GU39" t="str">
        <f>IF(OR(ES39="",EU39=""),"",IF(COUNTIFS(ES$3:ES39,"?*",EU$3:EU39,EU39)=1,MAX(GU$2:GU38)+1,""))</f>
        <v/>
      </c>
      <c r="GV39">
        <f t="shared" si="173"/>
        <v>2</v>
      </c>
      <c r="GW39">
        <f>IF(D39="","",COUNTIF(D$3:D39,"?*"))</f>
        <v>19</v>
      </c>
      <c r="GX39">
        <f>IF(EX39&lt;&gt;1,0,_xlfn.LET(_xlpm.k,MAX(IFERROR(--VLOOKUP(D39,УГО_спр,5,FALSE),0),IFERROR(--VLOOKUP(AT39,УГО_спр,5,FALSE),0),IFERROR(--VLOOKUP(LEFT(AT39,2),УГО_спр,5,FALSE),0)),IF(_xlpm.k&gt;0,_xlpm.k,IF(IFERROR(--LEFT(SUBSTITUTE(GR39,"x","х"),FIND("х",SUBSTITUTE(GR39,"x","х"))-1),3)&gt;3,Каталог!$S$9,1))))</f>
        <v>1</v>
      </c>
      <c r="GY39">
        <f t="shared" si="174"/>
        <v>0</v>
      </c>
    </row>
    <row r="40" spans="1:207" x14ac:dyDescent="0.3">
      <c r="A40" t="s">
        <v>206</v>
      </c>
      <c r="B40">
        <v>40</v>
      </c>
      <c r="C40" t="str">
        <f>IF(BD40="","",IF(BE40="вводной узел","узел ","")&amp;"л."&amp;(INT((BD40-1)/Столбцов_на_лист)+1)&amp;" / "&amp;(MOD(BD40-1,Столбцов_на_лист)+1))</f>
        <v>л.3 / 6</v>
      </c>
      <c r="D40" t="s">
        <v>687</v>
      </c>
      <c r="E40" s="133" t="str">
        <f t="shared" si="175"/>
        <v>Розеточная группа  Пом. №07</v>
      </c>
      <c r="G40">
        <v>0.18</v>
      </c>
      <c r="H40">
        <v>3</v>
      </c>
      <c r="O40">
        <v>3</v>
      </c>
      <c r="T40">
        <v>2</v>
      </c>
      <c r="AD40" t="s">
        <v>597</v>
      </c>
      <c r="AK40" t="s">
        <v>614</v>
      </c>
      <c r="AN40">
        <v>22.07</v>
      </c>
      <c r="AO40" t="s">
        <v>640</v>
      </c>
      <c r="AQ40" t="s">
        <v>641</v>
      </c>
      <c r="AR40" t="str">
        <f t="shared" si="88"/>
        <v>дубль клеммы XT17</v>
      </c>
      <c r="AS40" cm="1">
        <f t="array" ref="AS40">ROW()-ROW(Линии[#Headers])</f>
        <v>38</v>
      </c>
      <c r="AT40" s="6" t="str">
        <f t="shared" si="89"/>
        <v>R</v>
      </c>
      <c r="AU40" t="str">
        <f t="shared" si="90"/>
        <v>1.07.1</v>
      </c>
      <c r="AV40" t="str">
        <f t="shared" si="91"/>
        <v>1</v>
      </c>
      <c r="AW40" t="str">
        <f t="shared" si="92"/>
        <v>07.1</v>
      </c>
      <c r="AX40" t="str">
        <f t="shared" si="93"/>
        <v>07</v>
      </c>
      <c r="AY40" t="str">
        <f>IF(D40="","",IF(ISERROR(SEARCH(".",D40)),IFERROR(VLOOKUP(D40,Потребители_обозначение,2,FALSE)&amp;"",""),IFERROR(IF(VLOOKUP(AT40,Потребители_обозначение,4,FALSE)=1,VLOOKUP(AT40,Потребители_обозначение,2,FALSE)&amp;" "&amp;VLOOKUP(AV40,Этаж_обозначение,2,FALSE)&amp;" Пом. №"&amp;AX40,VLOOKUP(AT40,Потребители_обозначение,2,FALSE)&amp;" Шлейф №"&amp;AV40),IFERROR(VLOOKUP(D40,Потребители_обозначение,2,FALSE),""))))</f>
        <v>Розеточная группа  Пом. №07</v>
      </c>
      <c r="AZ40" t="str">
        <f t="shared" si="94"/>
        <v>Розеточная группа  Пом. №07</v>
      </c>
      <c r="BA40" t="str">
        <f>IF(F40&lt;&gt;"",F40,IF(AND(D40&lt;&gt;"",D40&lt;&gt;A40,ISNUMBER(_xlfn.XMATCH(D40,Щиты[Щит]))),D40,""))</f>
        <v/>
      </c>
      <c r="BB40">
        <f>IFERROR(_xlfn.XMATCH(A40,Щиты[Щит]),0)</f>
        <v>1</v>
      </c>
      <c r="BC40">
        <f>IFERROR(N(_xlfn.XLOOKUP(A40,Щиты[Щит],Щиты[Мест под вводной узел])),15)</f>
        <v>18</v>
      </c>
      <c r="BD40">
        <f t="shared" si="95"/>
        <v>40</v>
      </c>
      <c r="BE40" t="str">
        <f t="shared" si="96"/>
        <v>линии</v>
      </c>
      <c r="BF40" s="6">
        <f>IF(D40="","",IF(BA40&lt;&gt;"",IFERROR(_xlfn.XLOOKUP(BA40,Щиты[Щит],Щиты[Руст, кВт]),0),N(G40)))</f>
        <v>0.18</v>
      </c>
      <c r="BG40">
        <f>IF(J40&lt;&gt;"",J40,IF(D40="","",IFERROR(IF(VLOOKUP(AT40,Потребители_обозначение,8,FALSE)=0,"",VLOOKUP(AT40,Потребители_обозначение,8,FALSE)),"")))</f>
        <v>230</v>
      </c>
      <c r="BH40">
        <f>IF(I40&lt;&gt;"",I40,IF(D40="","",IFERROR(IF(VLOOKUP(AT40,Потребители_обозначение,9,FALSE)=0,"",VLOOKUP(AT40,Потребители_обозначение,9,FALSE)),"")))</f>
        <v>1</v>
      </c>
      <c r="BI40" t="str">
        <f>IF(U40&lt;&gt;"",U40,IF(D40="","",IFERROR(IF(VLOOKUP(AT40,Потребители_обозначение,6,FALSE)=0,"",VLOOKUP(AT40,Потребители_обозначение,6,FALSE)),"")))</f>
        <v>мс</v>
      </c>
      <c r="BJ40">
        <f>IF(V40&lt;&gt;"",V40,IF(D40="","",IFERROR(IF(VLOOKUP(AT40,Потребители_обозначение,7,FALSE)=0,"",VLOOKUP(AT40,Потребители_обозначение,7,FALSE)),"")))</f>
        <v>3</v>
      </c>
      <c r="BK40">
        <f>IF(W40&lt;&gt;"",W40,IF(D40="","",IFERROR(IF(VLOOKUP(AT40,Потребители_обозначение,10,FALSE)=0,"",VLOOKUP(AT40,Потребители_обозначение,10,FALSE)),"")))</f>
        <v>2.5</v>
      </c>
      <c r="BL40">
        <f>IFERROR(VLOOKUP(AT40,Потребители_обозначение,5,FALSE),0)</f>
        <v>1</v>
      </c>
      <c r="BM40" s="6" cm="1">
        <f t="array" ref="BM40">IF(D40="","",IF(BA40&lt;&gt;"",IFERROR(_xlfn.XLOOKUP(BA40,Щиты[Щит],Щиты[cos φ]),0.95),IF(ISNUMBER(M40),M40,IFERROR(IF(BL40=2,_xlfn.IFS(BH40=3,VLOOKUP(BF40,Справочная_двигатели,8,FALSE),BH40=1,VLOOKUP(BF40,Справочная_двигатели,10,TRUE)),IF(AND(Методика="нормы 2026",CN40="Сил"),0.8,0.95)),0.95))))</f>
        <v>0.95</v>
      </c>
      <c r="BN40" s="6" cm="1">
        <f t="array" ref="BN40">IF(D40="","",IF(BA40&lt;&gt;"",IFERROR(_xlfn.XLOOKUP(BA40,Щиты[Щит],Щиты[Iр, А]),""),IFERROR(_xlfn.IFS(BH40=1,BF40/((Uн_лин/SQRT(3))*BM40),BH40=3,BF40/(SQRT(3)*Uн_лин*BM40)),"")))</f>
        <v>0.8204451193747313</v>
      </c>
      <c r="BO40">
        <f>IF(D40="","",IF(N(X40)=0,IFERROR(VLOOKUP(BN40,Автомат_номиналы,2,TRUE),""),X40))</f>
        <v>6</v>
      </c>
      <c r="BP40">
        <f t="shared" si="97"/>
        <v>1</v>
      </c>
      <c r="BQ40">
        <f>IF(ISNUMBER(Y40),Y40,К_прокл)</f>
        <v>1</v>
      </c>
      <c r="BR40">
        <f t="shared" si="98"/>
        <v>2</v>
      </c>
      <c r="BS40" cm="1">
        <f t="array" ref="BS40">IF(D40="","",IF(N(BK40)&lt;&gt;0,BK40,IFERROR(_xlfn.LET(_xlpm.need,BO40/(BP40*BQ40),_xlpm.t,CHOOSE(BR40,Iдоп_1ж,Iдоп_2ж,Iдоп_3ж),_xlpm.k,_xlfn.XMATCH(_xlpm.need,_xlpm.t,1),IF(ISNA(_xlpm.k),"Не исп",INDEX(Iдоп_S,_xlpm.k))),"Не исп")))</f>
        <v>2.5</v>
      </c>
      <c r="BT40">
        <f>IFERROR(VLOOKUP(BS40,Кабель_сопротивление,3,FALSE),"")</f>
        <v>2.2499999999999999E-2</v>
      </c>
      <c r="BU40">
        <f>IFERROR(VLOOKUP(BS40,Кабель_сопротивление,2,FALSE),"")</f>
        <v>0.1</v>
      </c>
      <c r="BV40">
        <f t="shared" si="99"/>
        <v>23</v>
      </c>
      <c r="BW40" s="6">
        <f>IF(D40="","",IFERROR(IF(VLOOKUP(AT40,Потребители_обозначение,4,FALSE)=1,VLOOKUP(AT40,Потребители_обозначение,3,FALSE)*(H40*2-1)+BV40+VLOOKUP(AV40,Этаж_обозначение,3,FALSE)+VLOOKUP(AV40,Этаж_обозначение,4,FALSE),VLOOKUP(AT40,Потребители_обозначение,3,FALSE)*(H40*2-1)+BV40),BV40))</f>
        <v>33</v>
      </c>
      <c r="BX40">
        <f t="shared" si="100"/>
        <v>0</v>
      </c>
      <c r="BY40">
        <f t="shared" si="101"/>
        <v>29</v>
      </c>
      <c r="BZ40">
        <f t="shared" si="102"/>
        <v>2</v>
      </c>
      <c r="CA40">
        <f t="shared" si="103"/>
        <v>0.31</v>
      </c>
      <c r="CB40">
        <f t="shared" si="104"/>
        <v>0.46465581157740149</v>
      </c>
      <c r="CC40" s="6">
        <f>IFERROR(ROUNDUP(CB40/((Uн_лин/SQRT(3))*1000)*100,2),"")</f>
        <v>0.21000000000000002</v>
      </c>
      <c r="CD40" s="6">
        <f>IF(ISNUMBER(CC40),CC40+IFERROR(_xlfn.XLOOKUP(A40,Щиты[Щит],Щиты[ΔU до шин, %]),0),"")</f>
        <v>0.21000000000000002</v>
      </c>
      <c r="CE40" s="6">
        <f>IF(D40="","",IF(IFERROR(VLOOKUP(AT40,УГО_спр,2,FALSE),"")="Светильник",3,4)+IF(Методика="нормы 2026",MIN(0.5,MAX(0,N(BW40)-100)*0.005),0))</f>
        <v>4</v>
      </c>
      <c r="CF40" t="str">
        <f>IFERROR(VLOOKUP(BI40,Кабель_обозначение,2,FALSE),"")</f>
        <v>ВВГнг(А)-LS</v>
      </c>
      <c r="CG40" t="str">
        <f>IFERROR(IF(VLOOKUP(BI40,Кабель_обозначение,3,FALSE)=1,CF40&amp;" ("&amp;BJ40&amp;"х"&amp;BS40&amp;")",CF40),"")</f>
        <v>ВВГнг(А)-LS (3х2,5)</v>
      </c>
      <c r="CH40" t="str">
        <f t="shared" si="105"/>
        <v>ВВГнг(А)-LS (3х2,5)
L=33-0,21%</v>
      </c>
      <c r="CI40">
        <f>IFERROR(2*ρкз_Cu*BW40/BS40,"")</f>
        <v>0.69432000000000005</v>
      </c>
      <c r="CJ40">
        <f t="shared" si="106"/>
        <v>0.23100000000000001</v>
      </c>
      <c r="CK40" s="6" t="str">
        <f>IFERROR(IF(OR(D40="",NOT(ISNUMBER(BS40)),N(BW40)=0),"",_xlfn.XLOOKUP(A40,Щиты[Щит],Щиты[Zпетли на шинах, Ом])+CI40),"")</f>
        <v/>
      </c>
      <c r="CL40" s="6" t="str">
        <f>IF(ISNUMBER(CK40),c_min*(Uн_лин*1000/SQRT(3))/CK40,"")</f>
        <v/>
      </c>
      <c r="CM40" s="6" t="str">
        <f>IFERROR(IF(OR(D40="",NOT(ISNUMBER(BS40))),"",1.05*(Uн_лин*1000/SQRT(3))/(_xlfn.XLOOKUP(A40,Щиты[Щит],Щиты[Zmax на шинах, Ом])+CJ40)/1000),"")</f>
        <v/>
      </c>
      <c r="CN40" s="6" t="str">
        <f>IF(D40="","",IF(BA40&lt;&gt;"","Щит",IF(K40&lt;&gt;"",K40,IF(ISNUMBER(L40),"Сил",IF(IFERROR(_xlfn.XLOOKUP(AT40,Коды_код,Коды_группа)&amp;"","")="","Быт",_xlfn.XLOOKUP(AT40,Коды_код,Коды_группа)&amp;"")))))</f>
        <v>Быт</v>
      </c>
      <c r="CO40" s="6">
        <f>IF(CN40="Щит","щит",IF(CN40="","",IF(CN40="Быт",IFERROR(_xlfn.XLOOKUP(A40,Щиты[Щит],Щиты[Кс быт]),1),IF(CN40="Сил",IF(ISNUMBER(L40),L40,IF(Методика="нормы 2026",IFERROR(_xlfn.XLOOKUP(A40,Щиты[Щит],Щиты[Кс силовых (табл. 7.5)]),1),1)),IF(OR(CN40="Пост",CN40="Отоп"),1,IF(CN40="ВНГ",0.7,0))))))</f>
        <v>0.8</v>
      </c>
      <c r="CP40">
        <f t="shared" si="107"/>
        <v>1</v>
      </c>
      <c r="CQ40">
        <f t="shared" si="108"/>
        <v>0.18</v>
      </c>
      <c r="CR40">
        <f t="shared" si="109"/>
        <v>0.18</v>
      </c>
      <c r="CS40">
        <f t="shared" si="110"/>
        <v>0</v>
      </c>
      <c r="CT40">
        <f t="shared" si="111"/>
        <v>0</v>
      </c>
      <c r="CU40">
        <f t="shared" si="112"/>
        <v>0</v>
      </c>
      <c r="CV40">
        <f t="shared" si="113"/>
        <v>0</v>
      </c>
      <c r="CW40">
        <f t="shared" si="114"/>
        <v>0.18</v>
      </c>
      <c r="CX40">
        <f t="shared" si="115"/>
        <v>0.17099999999999999</v>
      </c>
      <c r="CY40">
        <f t="shared" si="116"/>
        <v>1</v>
      </c>
      <c r="CZ40" t="str">
        <f t="shared" si="117"/>
        <v>L1</v>
      </c>
      <c r="DA40" cm="1">
        <f t="array" ref="DA40">IFERROR(IF(BL40=2,_xlfn.IFS(BH40=3,VLOOKUP(BF40,Справочная_двигатели,3,FALSE),BH40=1,VLOOKUP(BF40,Справочная_двигатели,5,TRUE)),0),0)</f>
        <v>0</v>
      </c>
      <c r="DB40">
        <f>IFERROR(IF(BL40=3,VLOOKUP(BF40,Справочная_ЛЭД,2,TRUE),0),0)</f>
        <v>0</v>
      </c>
      <c r="DC40" s="6">
        <f t="shared" si="118"/>
        <v>0</v>
      </c>
      <c r="DD40" t="str">
        <f t="shared" si="119"/>
        <v>L3</v>
      </c>
      <c r="DE40" t="str" cm="1">
        <f t="array" ref="DE40">IF(D40="","",IFERROR(INDEX({"I особая","I","II","III"},MATCH(TRIM(AA40&amp;""),{"I особая","I","II","III"},0)),"III"))</f>
        <v>III</v>
      </c>
      <c r="DF40" t="str">
        <f>IF(D40="","",IF(TRIM(AB40&amp;"")&lt;&gt;"",IF(LOWER(TRIM(AB40&amp;""))="да","да","нет"),IF(IFERROR(_xlfn.XLOOKUP(AT40,Коды_код,Коды_пожарная),"")="да","да","нет")))</f>
        <v>нет</v>
      </c>
      <c r="DG40" t="str">
        <f t="shared" si="120"/>
        <v/>
      </c>
      <c r="DH40" t="str">
        <f t="shared" si="121"/>
        <v>основная</v>
      </c>
      <c r="DI40">
        <f t="shared" si="122"/>
        <v>1</v>
      </c>
      <c r="DJ40" t="str" cm="1">
        <f t="array" ref="DJ40">IF(D40="","",_xlfn.LET(_xlpm.t,IFERROR(_xlfn.XLOOKUP(1,(Шины[Шина]=DH40)*(((Шины[Щит]=A40)+(Шины[Щит]=""))&gt;0),Шины[Тип]),"")&amp;"",IF(_xlpm.t&lt;&gt;"",_xlpm.t,IF(ISNUMBER(SEARCH("ИБП",DH40)),"ИБП",IF(ISNUMBER(SEARCH("ДГУ",DH40)),"ДГУ","Ввод "&amp;DI40)))))</f>
        <v>Ввод 1</v>
      </c>
      <c r="DK40" t="str">
        <f t="shared" si="123"/>
        <v>Ввод 1</v>
      </c>
      <c r="DL40" t="str">
        <f>IF(D40="","",IF(OR(DJ40="ИБП",DJ40="ДГУ"),"I особая",IF(DJ40="Одиночная","III",_xlfn.XLOOKUP(A40,Щиты[Щит],Щиты[Категория шины «Ввод»],"III"))))</f>
        <v>III</v>
      </c>
      <c r="DM40">
        <f>IF(D40="",0,IFERROR(MATCH(DE40,{"III","II","I","I особая"},0),1))</f>
        <v>1</v>
      </c>
      <c r="DN40">
        <f t="shared" si="124"/>
        <v>1</v>
      </c>
      <c r="DO40" t="str">
        <f>IF(D40="","",IF(DM40&gt;IFERROR(MATCH(DL40,{"III","II","I","I особая"},0),1),"НЕ ОБЕСПЕЧЕНА","ОК"))</f>
        <v>ОК</v>
      </c>
      <c r="DP40" t="str">
        <f>IF(A40="","",_xlfn.XLOOKUP(A40,Щиты[Щит],Щиты[Путь],""))</f>
        <v>|ЩР|</v>
      </c>
      <c r="DQ40" t="str">
        <f>IF(D40="","",IF(Z40&lt;&gt;"",Z40,IF(IFERROR(_xlfn.XLOOKUP(AT40,Коды_код,Коды_вид)&amp;"","")="","Прочее",_xlfn.XLOOKUP(AT40,Коды_код,Коды_вид)&amp;"")))</f>
        <v>Розеточная сеть и бытовые приборы</v>
      </c>
      <c r="DR40">
        <f>IF(BD40="","",INT((BD40-1)/Столбцов_на_лист)+1)</f>
        <v>3</v>
      </c>
      <c r="DS40" t="str">
        <f t="shared" si="125"/>
        <v>ВВГнг(А)-LS (3х2,5) L=33-0,21%</v>
      </c>
      <c r="DT40">
        <f t="shared" si="126"/>
        <v>0.18</v>
      </c>
      <c r="DU40">
        <f t="shared" si="127"/>
        <v>0.83</v>
      </c>
      <c r="DV40">
        <f t="shared" si="128"/>
        <v>1</v>
      </c>
      <c r="DW40">
        <f>IF(AT40="",0,_xlfn.LET(_xlpm.v,IFERROR(VLOOKUP(D40,УГО_спр,3,FALSE),IFERROR(VLOOKUP(AT40,УГО_спр,3,FALSE),IFERROR(VLOOKUP(LEFT(AT40,2),УГО_спр,3,FALSE),""))),IF(_xlpm.v="да",30,IF(ISNUMBER(_xlpm.v),_xlpm.v,0))))</f>
        <v>30</v>
      </c>
      <c r="DX40">
        <f t="shared" si="129"/>
        <v>0</v>
      </c>
      <c r="DY40">
        <f>IF(BD40="","",IF(AD40&lt;&gt;"",COUNTIFS(A$3:A40,A40,AD$3:AD40,"?*"),IF(OR(OR(AS40=1,A40&lt;&gt;A39),AL40="вручную"),"",IF(AS40=1,"",DZ39))))</f>
        <v>19</v>
      </c>
      <c r="DZ40">
        <f t="shared" si="130"/>
        <v>19</v>
      </c>
      <c r="EA40">
        <f>IF(D40="",0,MAX(IFERROR(--X40,0),IFERROR(--VLOOKUP(D40,УГО_спр,4,FALSE),IFERROR(--VLOOKUP(AT40,УГО_спр,4,FALSE),IFERROR(--VLOOKUP(LEFT(AT40,2),УГО_спр,4,FALSE),0)))))</f>
        <v>16</v>
      </c>
      <c r="EB40">
        <f>IF(D40="","",IFERROR(LOOKUP(INDEX(CHOOSE(BR40,Iдоп_1ж,Iдоп_2ж,Iдоп_3ж),MATCH(BS40,Iдоп_S,0))*BP40*BQ40,{6,10,16,20,25,32,40,50,63,80,100,125,160,200,250,315,400,500,630}),""))</f>
        <v>25</v>
      </c>
      <c r="EC40">
        <f>IF(AD40="","",SUMIFS(Линии[_Ток схемы],Линии[_гр.],DY40,Линии[Щит],A40,Линии[_в кабель выше],0))</f>
        <v>0.83</v>
      </c>
      <c r="ED40">
        <f>IF(AD40="","",IFERROR(VLOOKUP(EC40,Автомат_номиналы,2,TRUE),""))</f>
        <v>6</v>
      </c>
      <c r="EE40">
        <f>IF(AD40="","",MAX(N(ED40),_xlfn.MAXIFS(Линии[_мин. по типу],Линии[_гр.],DY40,Линии[Щит],A40)))</f>
        <v>16</v>
      </c>
      <c r="EF40">
        <f>IF(AD40="","",_xlfn.MINIFS(Линии[_макс. автомат по кабелю],Линии[_гр.],DY40,Линии[Щит],A40))</f>
        <v>25</v>
      </c>
      <c r="EG40">
        <f>IF(AD40="","",MAX(1,_xlfn.MAXIFS(Линии[_фаз],Линии[_гр.],DY40,Линии[Щит],A40)))</f>
        <v>1</v>
      </c>
      <c r="EH40">
        <f>IF(AD40="","",IF(AND(AD40&lt;&gt;"авто",AD40&lt;&gt;"+"),IF(ISNUMBER(SEARCH("мА",AD40)),IFERROR(--TRIM(RIGHT(SUBSTITUTE(LEFT(AD40,SEARCH("мА",AD40)-1)," ",REPT(" ",9)),6)),30),0),IF(AE40="нет",0,IF(ISNUMBER(AE40),AE40,IF(AE40="да",30,_xlfn.MINIFS(Линии[_дифзащита по коду, мА],Линии[_гр.],DY40,Линии[Щит],A40,Линии[_дифзащита по коду, мА],"&gt;0"))))))</f>
        <v>30</v>
      </c>
      <c r="EI40">
        <f t="shared" si="131"/>
        <v>1</v>
      </c>
      <c r="EJ40" t="str">
        <f t="shared" si="132"/>
        <v>QFD19</v>
      </c>
      <c r="EK40" t="str">
        <f t="shared" si="133"/>
        <v>QFD19</v>
      </c>
      <c r="EL40" t="str">
        <f t="shared" si="134"/>
        <v/>
      </c>
      <c r="EM40">
        <f t="shared" si="135"/>
        <v>0</v>
      </c>
      <c r="EN40">
        <f>IF(AD40="","",IF(EM40=1,MAX(EE40,Мин_автомат_БП),EE40))</f>
        <v>16</v>
      </c>
      <c r="EO40" t="str">
        <f t="shared" si="136"/>
        <v>2P</v>
      </c>
      <c r="EP40" t="str">
        <f t="shared" si="137"/>
        <v>2P С16А 30мА</v>
      </c>
      <c r="EQ40">
        <f t="shared" si="138"/>
        <v>16</v>
      </c>
      <c r="ER40" t="str">
        <f>IF(OR(AI40="",AI40="-"),"",IFERROR(VLOOKUP(AI40,Модули_спр,2,FALSE),"R"))</f>
        <v/>
      </c>
      <c r="ES40" t="str">
        <f>IF(ER40="","",ER40&amp;"."&amp;COUNTIFS(A$3:A40,A40,ER$3:ER40,ER40))</f>
        <v/>
      </c>
      <c r="ET40" t="str">
        <f t="shared" si="139"/>
        <v/>
      </c>
      <c r="EU40" t="str">
        <f t="shared" si="140"/>
        <v/>
      </c>
      <c r="EV40" t="str">
        <f t="shared" si="141"/>
        <v/>
      </c>
      <c r="EW40" t="str">
        <f t="shared" si="142"/>
        <v/>
      </c>
      <c r="EX40">
        <f t="shared" si="143"/>
        <v>1</v>
      </c>
      <c r="EY40" t="str">
        <f>IF(AK40="нет","",IF(AK40&lt;&gt;"",AK40,IF(EX40=1,"XT"&amp;COUNTIFS(A$3:A40,A40,EX$3:EX40,1),"")))</f>
        <v>XT17</v>
      </c>
      <c r="EZ40" t="str">
        <f t="shared" si="144"/>
        <v>QFD19</v>
      </c>
      <c r="FA40" t="str">
        <f t="shared" si="145"/>
        <v/>
      </c>
      <c r="FB40" t="str">
        <f t="shared" si="146"/>
        <v>ok</v>
      </c>
      <c r="FC40" t="str">
        <f>IF(OR(EV40="",ET40=""),"",IF(EV40&gt;IFERROR(VLOOKUP(EU40,Модули_спр,3,FALSE),99),"ЛИШНИЙ КАНАЛ",IF(AND(AJ40&lt;&gt;"=",COUNTIFS(Линии[_модуль гр.],ET40,Линии[Канал (итог)],EV40,Линии[Канал],"&lt;&gt;=",Линии[Щит],A40)&gt;1),"ДУБЛЬ КАНАЛА","")))</f>
        <v/>
      </c>
      <c r="FD40">
        <f t="shared" si="147"/>
        <v>16</v>
      </c>
      <c r="FE40" t="str">
        <f t="shared" si="148"/>
        <v>2P С16А 30мА</v>
      </c>
      <c r="FF40">
        <f t="shared" si="149"/>
        <v>1</v>
      </c>
      <c r="FG40">
        <f t="shared" si="150"/>
        <v>30</v>
      </c>
      <c r="FH40" s="6" t="str">
        <f t="shared" si="151"/>
        <v/>
      </c>
      <c r="FI40">
        <f t="shared" si="152"/>
        <v>10</v>
      </c>
      <c r="FJ40" t="str">
        <f t="shared" si="153"/>
        <v/>
      </c>
      <c r="FK40" t="str">
        <f>IF(AND(D40="",EZ40=""),"",_xlfn.TEXTJOIN("; ",TRUE,IF(AND(D40&lt;&gt;"",DD40=""),"нет фазы",""),IF(AND(D40&lt;&gt;"",N(DT40)=0,CN40&lt;&gt;"Нет"),"нет мощности",""),IF(AND(EY40&lt;&gt;"",COUNTIFS(Линии[Щит],A40,Линии[Клемма (итог)],EY40)&gt;1),"дубль клеммы "&amp;EY40,""),IF(AND(FB40&lt;&gt;"",FB40&lt;&gt;"ok"),FB40,""),IF(FC40&lt;&gt;"",FC40,""),IF(AND(ISNUMBER(SEARCH("(5х",DS40)),N(DV40)=1),"5 жил на 1 фазе",""),IF(AND(AT40="R",AD40&lt;&gt;"",OR(N(EH40)=0,N(EH40)&gt;30)),"розетка без дифзащиты до 30 мА",""),IFERROR(IF(AND(ISNUMBER(CD40),CD40&gt;CE40),"потери "&amp;FIXED(CD40,1)&amp;" % &gt; "&amp;CE40&amp;" %",""),""),IFERROR(IF(LEFT(FJ40,4)="мало","Iкз мало — отключение &gt; 0,4 с",""),""),IF(AND(D40&lt;&gt;"",BD40=""),"не на схеме","")))</f>
        <v>дубль клеммы XT17</v>
      </c>
      <c r="FL40" s="6">
        <f>IF(AD40="","",_xlfn.LET(_xlpm.t,IFERROR(_xlfn.XLOOKUP(EP40,Каталог!$U$4:$U$500,Каталог!$G$4:$G$500),""),_xlpm.k,SEARCH("кА",_xlpm.t),IFERROR(--TRIM(RIGHT(SUBSTITUTE(MID(_xlpm.t,MAX(1,_xlpm.k-4),_xlpm.k-MAX(1,_xlpm.k-4))," ",REPT(" ",9)),5)),"")))</f>
        <v>6</v>
      </c>
      <c r="FM40" t="str">
        <f>IF(OR(FL40="",AD40=""),"",IF(_xlfn.XLOOKUP(A40,Щиты[Щит],Щиты[Iкз max на шинах, кА],"")="","",IF(FL40&lt;_xlfn.XLOOKUP(A40,Щиты[Щит],Щиты[Iкз max на шинах, кА]),"Icu "&amp;FL40&amp;" кА &lt; Iкз max","ok")))</f>
        <v/>
      </c>
      <c r="FN40" t="str">
        <f t="shared" si="154"/>
        <v>QFD19|XT17</v>
      </c>
      <c r="FO40" t="str">
        <f t="shared" si="155"/>
        <v>QFD19|XT17|кабель ВВГнг(А)-LS (3х2,5) → Розеточная группа  Пом. №07</v>
      </c>
      <c r="FP40" t="str" cm="1">
        <f t="array" ref="FP40">IF(FO40="","",_xlfn.LET(_xlpm.nd,_xlfn.TEXTSPLIT(FO40,"|"),IF(COLUMNS(_xlpm.nd)&gt;1,A40&amp;"¦"&amp;INDEX(_xlpm.nd,1)&amp;"¦"&amp;INDEX(_xlpm.nd,2),"")))</f>
        <v>ЩР¦QFD19¦XT17</v>
      </c>
      <c r="FQ40" t="str">
        <f t="shared" si="156"/>
        <v>R.1.07.1¦Розеточная группа  Пом. №07</v>
      </c>
      <c r="FR40" t="str" cm="1">
        <f t="array" ref="FR40">IF(FO40="","",_xlfn.LET(_xlpm.nd,_xlfn.TEXTSPLIT(FO40,"|"),IF(COLUMNS(_xlpm.nd)&gt;2,A40&amp;"¦"&amp;INDEX(_xlpm.nd,2)&amp;"¦"&amp;INDEX(_xlpm.nd,3),"")))</f>
        <v>ЩР¦XT17¦кабель ВВГнг(А)-LS (3х2,5) → Розеточная группа  Пом. №07</v>
      </c>
      <c r="FS40" t="str">
        <f t="shared" si="157"/>
        <v>R.1.07.1¦Розеточная группа  Пом. №07</v>
      </c>
      <c r="FT40" t="str" cm="1">
        <f t="array" ref="FT40">IF(FO40="","",_xlfn.LET(_xlpm.nd,_xlfn.TEXTSPLIT(FO40,"|"),IF(COLUMNS(_xlpm.nd)&gt;3,A40&amp;"¦"&amp;INDEX(_xlpm.nd,3)&amp;"¦"&amp;INDEX(_xlpm.nd,4),"")))</f>
        <v/>
      </c>
      <c r="FU40" t="str">
        <f t="shared" si="158"/>
        <v/>
      </c>
      <c r="FV40" t="str" cm="1">
        <f t="array" ref="FV40">IF(FO40="","",_xlfn.LET(_xlpm.nd,_xlfn.TEXTSPLIT(FO40,"|"),IF(COLUMNS(_xlpm.nd)&gt;4,A40&amp;"¦"&amp;INDEX(_xlpm.nd,4)&amp;"¦"&amp;INDEX(_xlpm.nd,5),"")))</f>
        <v/>
      </c>
      <c r="FW40" t="str">
        <f t="shared" si="159"/>
        <v/>
      </c>
      <c r="FX40" t="str" cm="1">
        <f t="array" ref="FX40">IF(FO40="","",_xlfn.LET(_xlpm.nd,_xlfn.TEXTSPLIT(FO40,"|"),IF(COLUMNS(_xlpm.nd)&gt;5,A40&amp;"¦"&amp;INDEX(_xlpm.nd,5)&amp;"¦"&amp;INDEX(_xlpm.nd,6),"")))</f>
        <v/>
      </c>
      <c r="FY40" t="str">
        <f t="shared" si="160"/>
        <v/>
      </c>
      <c r="FZ40" t="str" cm="1">
        <f t="array" ref="FZ40">IF(FO40="","",_xlfn.LET(_xlpm.nd,_xlfn.TEXTSPLIT(FO40,"|"),IF(COLUMNS(_xlpm.nd)&gt;6,A40&amp;"¦"&amp;INDEX(_xlpm.nd,6)&amp;"¦"&amp;INDEX(_xlpm.nd,7),"")))</f>
        <v/>
      </c>
      <c r="GA40" t="str">
        <f t="shared" si="161"/>
        <v/>
      </c>
      <c r="GB40" t="str">
        <f t="shared" si="162"/>
        <v/>
      </c>
      <c r="GC40" t="str">
        <f t="shared" si="163"/>
        <v>QFD19 → XT17</v>
      </c>
      <c r="GD40">
        <f t="shared" si="164"/>
        <v>1</v>
      </c>
      <c r="GE40">
        <f t="shared" si="165"/>
        <v>0</v>
      </c>
      <c r="GF40">
        <f t="shared" si="166"/>
        <v>1</v>
      </c>
      <c r="GG40" t="str">
        <f t="shared" si="167"/>
        <v/>
      </c>
      <c r="GH40" t="str">
        <f t="shared" si="168"/>
        <v/>
      </c>
      <c r="GI40" t="str">
        <f t="shared" si="169"/>
        <v/>
      </c>
      <c r="GJ40" t="str">
        <f t="shared" si="170"/>
        <v/>
      </c>
      <c r="GK40" t="str">
        <f>IF(D40="","",IFERROR(VLOOKUP(D40,УГО_спр,2,FALSE),IFERROR(VLOOKUP(AT40,УГО_спр,2,FALSE),IFERROR(VLOOKUP(LEFT(AT40,2),УГО_спр,2,FALSE),""))))</f>
        <v>Розетка</v>
      </c>
      <c r="GL40" t="str">
        <f>IF(D40="","",IF(OR(GK40="",GK40=0),"BOX",IFERROR(IF(VLOOKUP(GK40,УГО_блоки,3,FALSE)&amp;""&lt;&gt;"",VLOOKUP(GK40,УГО_блоки,3,FALSE),VLOOKUP(GK40,УГО_блоки,2,FALSE)),GK40)))</f>
        <v>SOCKET</v>
      </c>
      <c r="GM40">
        <f t="shared" si="171"/>
        <v>1</v>
      </c>
      <c r="GN40" t="str">
        <f>IF(EP40="","",IF(COUNTIF(EP$3:EP40,EP40)=1,MAX(GN$2:GN39)+1,""))</f>
        <v/>
      </c>
      <c r="GO40" t="str">
        <f>IF(AF40="","",IF(COUNTIF(AF$3:AF40,AF40)+COUNTIF(AG$2:AG39,AF40)+COUNTIF(AH$2:AH39,AF40)=1,MAX(GO$2:GQ39)+1,""))</f>
        <v/>
      </c>
      <c r="GP40" t="str">
        <f>IF(AG40="","",IF(COUNTIF(AF$3:AF40,AG40)+COUNTIF(AG$3:AG40,AG40)+COUNTIF(AH$2:AH39,AG40)=1,MAX(GO$2:GQ39,GO40)+1,""))</f>
        <v/>
      </c>
      <c r="GQ40" t="str">
        <f>IF(AH40="","",IF(COUNTIF(AF$3:AF40,AH40)+COUNTIF(AG$3:AG40,AH40)+COUNTIF(AH$3:AH40,AH40)=1,MAX(GO$2:GQ39,GO40,GP40)+1,""))</f>
        <v/>
      </c>
      <c r="GR40" t="str">
        <f t="shared" si="172"/>
        <v>3х2,5</v>
      </c>
      <c r="GS40" t="str">
        <f>IF(GR40="","",IF(COUNTIF(GR$3:GR40,GR40)=1,MAX(GS$2:GS39)+1,""))</f>
        <v/>
      </c>
      <c r="GT40" t="str">
        <f>IF(ES40="","",COUNTIF(ES$3:ES40,"?*"))</f>
        <v/>
      </c>
      <c r="GU40" t="str">
        <f>IF(OR(ES40="",EU40=""),"",IF(COUNTIFS(ES$3:ES40,"?*",EU$3:EU40,EU40)=1,MAX(GU$2:GU39)+1,""))</f>
        <v/>
      </c>
      <c r="GV40">
        <f t="shared" si="173"/>
        <v>2</v>
      </c>
      <c r="GW40">
        <f>IF(D40="","",COUNTIF(D$3:D40,"?*"))</f>
        <v>20</v>
      </c>
      <c r="GX40">
        <f>IF(EX40&lt;&gt;1,0,_xlfn.LET(_xlpm.k,MAX(IFERROR(--VLOOKUP(D40,УГО_спр,5,FALSE),0),IFERROR(--VLOOKUP(AT40,УГО_спр,5,FALSE),0),IFERROR(--VLOOKUP(LEFT(AT40,2),УГО_спр,5,FALSE),0)),IF(_xlpm.k&gt;0,_xlpm.k,IF(IFERROR(--LEFT(SUBSTITUTE(GR40,"x","х"),FIND("х",SUBSTITUTE(GR40,"x","х"))-1),3)&gt;3,Каталог!$S$9,1))))</f>
        <v>1</v>
      </c>
      <c r="GY40">
        <f t="shared" si="174"/>
        <v>0</v>
      </c>
    </row>
    <row r="41" spans="1:207" x14ac:dyDescent="0.3">
      <c r="A41" t="s">
        <v>206</v>
      </c>
      <c r="B41">
        <v>41</v>
      </c>
      <c r="C41" t="str">
        <f>IF(BD41="","",IF(BE41="вводной узел","узел ","")&amp;"л."&amp;(INT((BD41-1)/Столбцов_на_лист)+1)&amp;" / "&amp;(MOD(BD41-1,Столбцов_на_лист)+1))</f>
        <v>л.3 / 7</v>
      </c>
      <c r="D41" t="s">
        <v>688</v>
      </c>
      <c r="E41" s="133" t="str">
        <f t="shared" si="175"/>
        <v>Розеточная группа  Пом. №07</v>
      </c>
      <c r="G41">
        <v>0.24</v>
      </c>
      <c r="H41">
        <v>4</v>
      </c>
      <c r="O41">
        <v>1</v>
      </c>
      <c r="T41">
        <v>2</v>
      </c>
      <c r="AD41" t="s">
        <v>597</v>
      </c>
      <c r="AK41" t="s">
        <v>615</v>
      </c>
      <c r="AN41">
        <v>21.77</v>
      </c>
      <c r="AO41" t="s">
        <v>642</v>
      </c>
      <c r="AQ41" t="s">
        <v>643</v>
      </c>
      <c r="AR41" t="str">
        <f t="shared" si="88"/>
        <v/>
      </c>
      <c r="AS41" cm="1">
        <f t="array" ref="AS41">ROW()-ROW(Линии[#Headers])</f>
        <v>39</v>
      </c>
      <c r="AT41" s="6" t="str">
        <f t="shared" si="89"/>
        <v>R</v>
      </c>
      <c r="AU41" t="str">
        <f t="shared" si="90"/>
        <v>1.07.2</v>
      </c>
      <c r="AV41" t="str">
        <f t="shared" si="91"/>
        <v>1</v>
      </c>
      <c r="AW41" t="str">
        <f t="shared" si="92"/>
        <v>07.2</v>
      </c>
      <c r="AX41" t="str">
        <f t="shared" si="93"/>
        <v>07</v>
      </c>
      <c r="AY41" t="str">
        <f>IF(D41="","",IF(ISERROR(SEARCH(".",D41)),IFERROR(VLOOKUP(D41,Потребители_обозначение,2,FALSE)&amp;"",""),IFERROR(IF(VLOOKUP(AT41,Потребители_обозначение,4,FALSE)=1,VLOOKUP(AT41,Потребители_обозначение,2,FALSE)&amp;" "&amp;VLOOKUP(AV41,Этаж_обозначение,2,FALSE)&amp;" Пом. №"&amp;AX41,VLOOKUP(AT41,Потребители_обозначение,2,FALSE)&amp;" Шлейф №"&amp;AV41),IFERROR(VLOOKUP(D41,Потребители_обозначение,2,FALSE),""))))</f>
        <v>Розеточная группа  Пом. №07</v>
      </c>
      <c r="AZ41" t="str">
        <f t="shared" si="94"/>
        <v>Розеточная группа  Пом. №07</v>
      </c>
      <c r="BA41" t="str">
        <f>IF(F41&lt;&gt;"",F41,IF(AND(D41&lt;&gt;"",D41&lt;&gt;A41,ISNUMBER(_xlfn.XMATCH(D41,Щиты[Щит]))),D41,""))</f>
        <v/>
      </c>
      <c r="BB41">
        <f>IFERROR(_xlfn.XMATCH(A41,Щиты[Щит]),0)</f>
        <v>1</v>
      </c>
      <c r="BC41">
        <f>IFERROR(N(_xlfn.XLOOKUP(A41,Щиты[Щит],Щиты[Мест под вводной узел])),15)</f>
        <v>18</v>
      </c>
      <c r="BD41">
        <f t="shared" si="95"/>
        <v>41</v>
      </c>
      <c r="BE41" t="str">
        <f t="shared" si="96"/>
        <v>линии</v>
      </c>
      <c r="BF41" s="6">
        <f>IF(D41="","",IF(BA41&lt;&gt;"",IFERROR(_xlfn.XLOOKUP(BA41,Щиты[Щит],Щиты[Руст, кВт]),0),N(G41)))</f>
        <v>0.24</v>
      </c>
      <c r="BG41">
        <f>IF(J41&lt;&gt;"",J41,IF(D41="","",IFERROR(IF(VLOOKUP(AT41,Потребители_обозначение,8,FALSE)=0,"",VLOOKUP(AT41,Потребители_обозначение,8,FALSE)),"")))</f>
        <v>230</v>
      </c>
      <c r="BH41">
        <f>IF(I41&lt;&gt;"",I41,IF(D41="","",IFERROR(IF(VLOOKUP(AT41,Потребители_обозначение,9,FALSE)=0,"",VLOOKUP(AT41,Потребители_обозначение,9,FALSE)),"")))</f>
        <v>1</v>
      </c>
      <c r="BI41" t="str">
        <f>IF(U41&lt;&gt;"",U41,IF(D41="","",IFERROR(IF(VLOOKUP(AT41,Потребители_обозначение,6,FALSE)=0,"",VLOOKUP(AT41,Потребители_обозначение,6,FALSE)),"")))</f>
        <v>мс</v>
      </c>
      <c r="BJ41">
        <f>IF(V41&lt;&gt;"",V41,IF(D41="","",IFERROR(IF(VLOOKUP(AT41,Потребители_обозначение,7,FALSE)=0,"",VLOOKUP(AT41,Потребители_обозначение,7,FALSE)),"")))</f>
        <v>3</v>
      </c>
      <c r="BK41">
        <f>IF(W41&lt;&gt;"",W41,IF(D41="","",IFERROR(IF(VLOOKUP(AT41,Потребители_обозначение,10,FALSE)=0,"",VLOOKUP(AT41,Потребители_обозначение,10,FALSE)),"")))</f>
        <v>2.5</v>
      </c>
      <c r="BL41">
        <f>IFERROR(VLOOKUP(AT41,Потребители_обозначение,5,FALSE),0)</f>
        <v>1</v>
      </c>
      <c r="BM41" s="6" cm="1">
        <f t="array" ref="BM41">IF(D41="","",IF(BA41&lt;&gt;"",IFERROR(_xlfn.XLOOKUP(BA41,Щиты[Щит],Щиты[cos φ]),0.95),IF(ISNUMBER(M41),M41,IFERROR(IF(BL41=2,_xlfn.IFS(BH41=3,VLOOKUP(BF41,Справочная_двигатели,8,FALSE),BH41=1,VLOOKUP(BF41,Справочная_двигатели,10,TRUE)),IF(AND(Методика="нормы 2026",CN41="Сил"),0.8,0.95)),0.95))))</f>
        <v>0.95</v>
      </c>
      <c r="BN41" s="6" cm="1">
        <f t="array" ref="BN41">IF(D41="","",IF(BA41&lt;&gt;"",IFERROR(_xlfn.XLOOKUP(BA41,Щиты[Щит],Щиты[Iр, А]),""),IFERROR(_xlfn.IFS(BH41=1,BF41/((Uн_лин/SQRT(3))*BM41),BH41=3,BF41/(SQRT(3)*Uн_лин*BM41)),"")))</f>
        <v>1.0939268258329751</v>
      </c>
      <c r="BO41">
        <f>IF(D41="","",IF(N(X41)=0,IFERROR(VLOOKUP(BN41,Автомат_номиналы,2,TRUE),""),X41))</f>
        <v>6</v>
      </c>
      <c r="BP41">
        <f t="shared" si="97"/>
        <v>1</v>
      </c>
      <c r="BQ41">
        <f>IF(ISNUMBER(Y41),Y41,К_прокл)</f>
        <v>1</v>
      </c>
      <c r="BR41">
        <f t="shared" si="98"/>
        <v>2</v>
      </c>
      <c r="BS41" cm="1">
        <f t="array" ref="BS41">IF(D41="","",IF(N(BK41)&lt;&gt;0,BK41,IFERROR(_xlfn.LET(_xlpm.need,BO41/(BP41*BQ41),_xlpm.t,CHOOSE(BR41,Iдоп_1ж,Iдоп_2ж,Iдоп_3ж),_xlpm.k,_xlfn.XMATCH(_xlpm.need,_xlpm.t,1),IF(ISNA(_xlpm.k),"Не исп",INDEX(Iдоп_S,_xlpm.k))),"Не исп")))</f>
        <v>2.5</v>
      </c>
      <c r="BT41">
        <f>IFERROR(VLOOKUP(BS41,Кабель_сопротивление,3,FALSE),"")</f>
        <v>2.2499999999999999E-2</v>
      </c>
      <c r="BU41">
        <f>IFERROR(VLOOKUP(BS41,Кабель_сопротивление,2,FALSE),"")</f>
        <v>0.1</v>
      </c>
      <c r="BV41">
        <f t="shared" si="99"/>
        <v>22</v>
      </c>
      <c r="BW41" s="6">
        <f>IF(D41="","",IFERROR(IF(VLOOKUP(AT41,Потребители_обозначение,4,FALSE)=1,VLOOKUP(AT41,Потребители_обозначение,3,FALSE)*(H41*2-1)+BV41+VLOOKUP(AV41,Этаж_обозначение,3,FALSE)+VLOOKUP(AV41,Этаж_обозначение,4,FALSE),VLOOKUP(AT41,Потребители_обозначение,3,FALSE)*(H41*2-1)+BV41),BV41))</f>
        <v>36</v>
      </c>
      <c r="BX41">
        <f t="shared" si="100"/>
        <v>0</v>
      </c>
      <c r="BY41">
        <f t="shared" si="101"/>
        <v>32</v>
      </c>
      <c r="BZ41">
        <f t="shared" si="102"/>
        <v>2</v>
      </c>
      <c r="CA41">
        <f t="shared" si="103"/>
        <v>0.31</v>
      </c>
      <c r="CB41">
        <f t="shared" si="104"/>
        <v>0.67586299865803856</v>
      </c>
      <c r="CC41" s="6">
        <f>IFERROR(ROUNDUP(CB41/((Uн_лин/SQRT(3))*1000)*100,2),"")</f>
        <v>0.3</v>
      </c>
      <c r="CD41" s="6">
        <f>IF(ISNUMBER(CC41),CC41+IFERROR(_xlfn.XLOOKUP(A41,Щиты[Щит],Щиты[ΔU до шин, %]),0),"")</f>
        <v>0.3</v>
      </c>
      <c r="CE41" s="6">
        <f>IF(D41="","",IF(IFERROR(VLOOKUP(AT41,УГО_спр,2,FALSE),"")="Светильник",3,4)+IF(Методика="нормы 2026",MIN(0.5,MAX(0,N(BW41)-100)*0.005),0))</f>
        <v>4</v>
      </c>
      <c r="CF41" t="str">
        <f>IFERROR(VLOOKUP(BI41,Кабель_обозначение,2,FALSE),"")</f>
        <v>ВВГнг(А)-LS</v>
      </c>
      <c r="CG41" t="str">
        <f>IFERROR(IF(VLOOKUP(BI41,Кабель_обозначение,3,FALSE)=1,CF41&amp;" ("&amp;BJ41&amp;"х"&amp;BS41&amp;")",CF41),"")</f>
        <v>ВВГнг(А)-LS (3х2,5)</v>
      </c>
      <c r="CH41" t="str">
        <f t="shared" si="105"/>
        <v>ВВГнг(А)-LS (3х2,5)
L=36-0,3%</v>
      </c>
      <c r="CI41">
        <f>IFERROR(2*ρкз_Cu*BW41/BS41,"")</f>
        <v>0.75744</v>
      </c>
      <c r="CJ41">
        <f t="shared" si="106"/>
        <v>0.25200000000000006</v>
      </c>
      <c r="CK41" s="6" t="str">
        <f>IFERROR(IF(OR(D41="",NOT(ISNUMBER(BS41)),N(BW41)=0),"",_xlfn.XLOOKUP(A41,Щиты[Щит],Щиты[Zпетли на шинах, Ом])+CI41),"")</f>
        <v/>
      </c>
      <c r="CL41" s="6" t="str">
        <f>IF(ISNUMBER(CK41),c_min*(Uн_лин*1000/SQRT(3))/CK41,"")</f>
        <v/>
      </c>
      <c r="CM41" s="6" t="str">
        <f>IFERROR(IF(OR(D41="",NOT(ISNUMBER(BS41))),"",1.05*(Uн_лин*1000/SQRT(3))/(_xlfn.XLOOKUP(A41,Щиты[Щит],Щиты[Zmax на шинах, Ом])+CJ41)/1000),"")</f>
        <v/>
      </c>
      <c r="CN41" s="6" t="str">
        <f>IF(D41="","",IF(BA41&lt;&gt;"","Щит",IF(K41&lt;&gt;"",K41,IF(ISNUMBER(L41),"Сил",IF(IFERROR(_xlfn.XLOOKUP(AT41,Коды_код,Коды_группа)&amp;"","")="","Быт",_xlfn.XLOOKUP(AT41,Коды_код,Коды_группа)&amp;"")))))</f>
        <v>Быт</v>
      </c>
      <c r="CO41" s="6">
        <f>IF(CN41="Щит","щит",IF(CN41="","",IF(CN41="Быт",IFERROR(_xlfn.XLOOKUP(A41,Щиты[Щит],Щиты[Кс быт]),1),IF(CN41="Сил",IF(ISNUMBER(L41),L41,IF(Методика="нормы 2026",IFERROR(_xlfn.XLOOKUP(A41,Щиты[Щит],Щиты[Кс силовых (табл. 7.5)]),1),1)),IF(OR(CN41="Пост",CN41="Отоп"),1,IF(CN41="ВНГ",0.7,0))))))</f>
        <v>0.8</v>
      </c>
      <c r="CP41">
        <f t="shared" si="107"/>
        <v>1</v>
      </c>
      <c r="CQ41">
        <f t="shared" si="108"/>
        <v>0.24</v>
      </c>
      <c r="CR41">
        <f t="shared" si="109"/>
        <v>0.24</v>
      </c>
      <c r="CS41">
        <f t="shared" si="110"/>
        <v>0</v>
      </c>
      <c r="CT41">
        <f t="shared" si="111"/>
        <v>0</v>
      </c>
      <c r="CU41">
        <f t="shared" si="112"/>
        <v>0</v>
      </c>
      <c r="CV41">
        <f t="shared" si="113"/>
        <v>0</v>
      </c>
      <c r="CW41">
        <f t="shared" si="114"/>
        <v>0.24</v>
      </c>
      <c r="CX41">
        <f t="shared" si="115"/>
        <v>0.22799999999999998</v>
      </c>
      <c r="CY41">
        <f t="shared" si="116"/>
        <v>2</v>
      </c>
      <c r="CZ41" t="str">
        <f t="shared" si="117"/>
        <v>L2</v>
      </c>
      <c r="DA41" cm="1">
        <f t="array" ref="DA41">IFERROR(IF(BL41=2,_xlfn.IFS(BH41=3,VLOOKUP(BF41,Справочная_двигатели,3,FALSE),BH41=1,VLOOKUP(BF41,Справочная_двигатели,5,TRUE)),0),0)</f>
        <v>0</v>
      </c>
      <c r="DB41">
        <f>IFERROR(IF(BL41=3,VLOOKUP(BF41,Справочная_ЛЭД,2,TRUE),0),0)</f>
        <v>0</v>
      </c>
      <c r="DC41" s="6">
        <f t="shared" si="118"/>
        <v>0</v>
      </c>
      <c r="DD41" t="str">
        <f t="shared" si="119"/>
        <v>L1</v>
      </c>
      <c r="DE41" t="str" cm="1">
        <f t="array" ref="DE41">IF(D41="","",IFERROR(INDEX({"I особая","I","II","III"},MATCH(TRIM(AA41&amp;""),{"I особая","I","II","III"},0)),"III"))</f>
        <v>III</v>
      </c>
      <c r="DF41" t="str">
        <f>IF(D41="","",IF(TRIM(AB41&amp;"")&lt;&gt;"",IF(LOWER(TRIM(AB41&amp;""))="да","да","нет"),IF(IFERROR(_xlfn.XLOOKUP(AT41,Коды_код,Коды_пожарная),"")="да","да","нет")))</f>
        <v>нет</v>
      </c>
      <c r="DG41" t="str">
        <f t="shared" si="120"/>
        <v/>
      </c>
      <c r="DH41" t="str">
        <f t="shared" si="121"/>
        <v>основная</v>
      </c>
      <c r="DI41">
        <f t="shared" si="122"/>
        <v>1</v>
      </c>
      <c r="DJ41" t="str" cm="1">
        <f t="array" ref="DJ41">IF(D41="","",_xlfn.LET(_xlpm.t,IFERROR(_xlfn.XLOOKUP(1,(Шины[Шина]=DH41)*(((Шины[Щит]=A41)+(Шины[Щит]=""))&gt;0),Шины[Тип]),"")&amp;"",IF(_xlpm.t&lt;&gt;"",_xlpm.t,IF(ISNUMBER(SEARCH("ИБП",DH41)),"ИБП",IF(ISNUMBER(SEARCH("ДГУ",DH41)),"ДГУ","Ввод "&amp;DI41)))))</f>
        <v>Ввод 1</v>
      </c>
      <c r="DK41" t="str">
        <f t="shared" si="123"/>
        <v>Ввод 1</v>
      </c>
      <c r="DL41" t="str">
        <f>IF(D41="","",IF(OR(DJ41="ИБП",DJ41="ДГУ"),"I особая",IF(DJ41="Одиночная","III",_xlfn.XLOOKUP(A41,Щиты[Щит],Щиты[Категория шины «Ввод»],"III"))))</f>
        <v>III</v>
      </c>
      <c r="DM41">
        <f>IF(D41="",0,IFERROR(MATCH(DE41,{"III","II","I","I особая"},0),1))</f>
        <v>1</v>
      </c>
      <c r="DN41">
        <f t="shared" si="124"/>
        <v>1</v>
      </c>
      <c r="DO41" t="str">
        <f>IF(D41="","",IF(DM41&gt;IFERROR(MATCH(DL41,{"III","II","I","I особая"},0),1),"НЕ ОБЕСПЕЧЕНА","ОК"))</f>
        <v>ОК</v>
      </c>
      <c r="DP41" t="str">
        <f>IF(A41="","",_xlfn.XLOOKUP(A41,Щиты[Щит],Щиты[Путь],""))</f>
        <v>|ЩР|</v>
      </c>
      <c r="DQ41" t="str">
        <f>IF(D41="","",IF(Z41&lt;&gt;"",Z41,IF(IFERROR(_xlfn.XLOOKUP(AT41,Коды_код,Коды_вид)&amp;"","")="","Прочее",_xlfn.XLOOKUP(AT41,Коды_код,Коды_вид)&amp;"")))</f>
        <v>Розеточная сеть и бытовые приборы</v>
      </c>
      <c r="DR41">
        <f>IF(BD41="","",INT((BD41-1)/Столбцов_на_лист)+1)</f>
        <v>3</v>
      </c>
      <c r="DS41" t="str">
        <f t="shared" si="125"/>
        <v>ВВГнг(А)-LS (3х2,5) L=36-0,3%</v>
      </c>
      <c r="DT41">
        <f t="shared" si="126"/>
        <v>0.24</v>
      </c>
      <c r="DU41">
        <f t="shared" si="127"/>
        <v>1.1000000000000001</v>
      </c>
      <c r="DV41">
        <f t="shared" si="128"/>
        <v>1</v>
      </c>
      <c r="DW41">
        <f>IF(AT41="",0,_xlfn.LET(_xlpm.v,IFERROR(VLOOKUP(D41,УГО_спр,3,FALSE),IFERROR(VLOOKUP(AT41,УГО_спр,3,FALSE),IFERROR(VLOOKUP(LEFT(AT41,2),УГО_спр,3,FALSE),""))),IF(_xlpm.v="да",30,IF(ISNUMBER(_xlpm.v),_xlpm.v,0))))</f>
        <v>30</v>
      </c>
      <c r="DX41">
        <f t="shared" si="129"/>
        <v>0</v>
      </c>
      <c r="DY41">
        <f>IF(BD41="","",IF(AD41&lt;&gt;"",COUNTIFS(A$3:A41,A41,AD$3:AD41,"?*"),IF(OR(OR(AS41=1,A41&lt;&gt;A40),AL41="вручную"),"",IF(AS41=1,"",DZ40))))</f>
        <v>20</v>
      </c>
      <c r="DZ41">
        <f t="shared" si="130"/>
        <v>20</v>
      </c>
      <c r="EA41">
        <f>IF(D41="",0,MAX(IFERROR(--X41,0),IFERROR(--VLOOKUP(D41,УГО_спр,4,FALSE),IFERROR(--VLOOKUP(AT41,УГО_спр,4,FALSE),IFERROR(--VLOOKUP(LEFT(AT41,2),УГО_спр,4,FALSE),0)))))</f>
        <v>16</v>
      </c>
      <c r="EB41">
        <f>IF(D41="","",IFERROR(LOOKUP(INDEX(CHOOSE(BR41,Iдоп_1ж,Iдоп_2ж,Iдоп_3ж),MATCH(BS41,Iдоп_S,0))*BP41*BQ41,{6,10,16,20,25,32,40,50,63,80,100,125,160,200,250,315,400,500,630}),""))</f>
        <v>25</v>
      </c>
      <c r="EC41">
        <f>IF(AD41="","",SUMIFS(Линии[_Ток схемы],Линии[_гр.],DY41,Линии[Щит],A41,Линии[_в кабель выше],0))</f>
        <v>1.1000000000000001</v>
      </c>
      <c r="ED41">
        <f>IF(AD41="","",IFERROR(VLOOKUP(EC41,Автомат_номиналы,2,TRUE),""))</f>
        <v>6</v>
      </c>
      <c r="EE41">
        <f>IF(AD41="","",MAX(N(ED41),_xlfn.MAXIFS(Линии[_мин. по типу],Линии[_гр.],DY41,Линии[Щит],A41)))</f>
        <v>16</v>
      </c>
      <c r="EF41">
        <f>IF(AD41="","",_xlfn.MINIFS(Линии[_макс. автомат по кабелю],Линии[_гр.],DY41,Линии[Щит],A41))</f>
        <v>25</v>
      </c>
      <c r="EG41">
        <f>IF(AD41="","",MAX(1,_xlfn.MAXIFS(Линии[_фаз],Линии[_гр.],DY41,Линии[Щит],A41)))</f>
        <v>1</v>
      </c>
      <c r="EH41">
        <f>IF(AD41="","",IF(AND(AD41&lt;&gt;"авто",AD41&lt;&gt;"+"),IF(ISNUMBER(SEARCH("мА",AD41)),IFERROR(--TRIM(RIGHT(SUBSTITUTE(LEFT(AD41,SEARCH("мА",AD41)-1)," ",REPT(" ",9)),6)),30),0),IF(AE41="нет",0,IF(ISNUMBER(AE41),AE41,IF(AE41="да",30,_xlfn.MINIFS(Линии[_дифзащита по коду, мА],Линии[_гр.],DY41,Линии[Щит],A41,Линии[_дифзащита по коду, мА],"&gt;0"))))))</f>
        <v>30</v>
      </c>
      <c r="EI41">
        <f t="shared" si="131"/>
        <v>1</v>
      </c>
      <c r="EJ41" t="str">
        <f t="shared" si="132"/>
        <v>QFD20</v>
      </c>
      <c r="EK41" t="str">
        <f t="shared" si="133"/>
        <v>QFD20</v>
      </c>
      <c r="EL41" t="str">
        <f t="shared" si="134"/>
        <v/>
      </c>
      <c r="EM41">
        <f t="shared" si="135"/>
        <v>0</v>
      </c>
      <c r="EN41">
        <f>IF(AD41="","",IF(EM41=1,MAX(EE41,Мин_автомат_БП),EE41))</f>
        <v>16</v>
      </c>
      <c r="EO41" t="str">
        <f t="shared" si="136"/>
        <v>2P</v>
      </c>
      <c r="EP41" t="str">
        <f t="shared" si="137"/>
        <v>2P С16А 30мА</v>
      </c>
      <c r="EQ41">
        <f t="shared" si="138"/>
        <v>16</v>
      </c>
      <c r="ER41" t="str">
        <f>IF(OR(AI41="",AI41="-"),"",IFERROR(VLOOKUP(AI41,Модули_спр,2,FALSE),"R"))</f>
        <v/>
      </c>
      <c r="ES41" t="str">
        <f>IF(ER41="","",ER41&amp;"."&amp;COUNTIFS(A$3:A41,A41,ER$3:ER41,ER41))</f>
        <v/>
      </c>
      <c r="ET41" t="str">
        <f t="shared" si="139"/>
        <v/>
      </c>
      <c r="EU41" t="str">
        <f t="shared" si="140"/>
        <v/>
      </c>
      <c r="EV41" t="str">
        <f t="shared" si="141"/>
        <v/>
      </c>
      <c r="EW41" t="str">
        <f t="shared" si="142"/>
        <v/>
      </c>
      <c r="EX41">
        <f t="shared" si="143"/>
        <v>1</v>
      </c>
      <c r="EY41" t="str">
        <f>IF(AK41="нет","",IF(AK41&lt;&gt;"",AK41,IF(EX41=1,"XT"&amp;COUNTIFS(A$3:A41,A41,EX$3:EX41,1),"")))</f>
        <v>XT18</v>
      </c>
      <c r="EZ41" t="str">
        <f t="shared" si="144"/>
        <v>QFD20</v>
      </c>
      <c r="FA41" t="str">
        <f t="shared" si="145"/>
        <v/>
      </c>
      <c r="FB41" t="str">
        <f t="shared" si="146"/>
        <v>ok</v>
      </c>
      <c r="FC41" t="str">
        <f>IF(OR(EV41="",ET41=""),"",IF(EV41&gt;IFERROR(VLOOKUP(EU41,Модули_спр,3,FALSE),99),"ЛИШНИЙ КАНАЛ",IF(AND(AJ41&lt;&gt;"=",COUNTIFS(Линии[_модуль гр.],ET41,Линии[Канал (итог)],EV41,Линии[Канал],"&lt;&gt;=",Линии[Щит],A41)&gt;1),"ДУБЛЬ КАНАЛА","")))</f>
        <v/>
      </c>
      <c r="FD41">
        <f t="shared" si="147"/>
        <v>16</v>
      </c>
      <c r="FE41" t="str">
        <f t="shared" si="148"/>
        <v>2P С16А 30мА</v>
      </c>
      <c r="FF41">
        <f t="shared" si="149"/>
        <v>1</v>
      </c>
      <c r="FG41">
        <f t="shared" si="150"/>
        <v>30</v>
      </c>
      <c r="FH41" s="6" t="str">
        <f t="shared" si="151"/>
        <v/>
      </c>
      <c r="FI41">
        <f t="shared" si="152"/>
        <v>10</v>
      </c>
      <c r="FJ41" t="str">
        <f t="shared" si="153"/>
        <v/>
      </c>
      <c r="FK41" t="str">
        <f>IF(AND(D41="",EZ41=""),"",_xlfn.TEXTJOIN("; ",TRUE,IF(AND(D41&lt;&gt;"",DD41=""),"нет фазы",""),IF(AND(D41&lt;&gt;"",N(DT41)=0,CN41&lt;&gt;"Нет"),"нет мощности",""),IF(AND(EY41&lt;&gt;"",COUNTIFS(Линии[Щит],A41,Линии[Клемма (итог)],EY41)&gt;1),"дубль клеммы "&amp;EY41,""),IF(AND(FB41&lt;&gt;"",FB41&lt;&gt;"ok"),FB41,""),IF(FC41&lt;&gt;"",FC41,""),IF(AND(ISNUMBER(SEARCH("(5х",DS41)),N(DV41)=1),"5 жил на 1 фазе",""),IF(AND(AT41="R",AD41&lt;&gt;"",OR(N(EH41)=0,N(EH41)&gt;30)),"розетка без дифзащиты до 30 мА",""),IFERROR(IF(AND(ISNUMBER(CD41),CD41&gt;CE41),"потери "&amp;FIXED(CD41,1)&amp;" % &gt; "&amp;CE41&amp;" %",""),""),IFERROR(IF(LEFT(FJ41,4)="мало","Iкз мало — отключение &gt; 0,4 с",""),""),IF(AND(D41&lt;&gt;"",BD41=""),"не на схеме","")))</f>
        <v/>
      </c>
      <c r="FL41" s="6">
        <f>IF(AD41="","",_xlfn.LET(_xlpm.t,IFERROR(_xlfn.XLOOKUP(EP41,Каталог!$U$4:$U$500,Каталог!$G$4:$G$500),""),_xlpm.k,SEARCH("кА",_xlpm.t),IFERROR(--TRIM(RIGHT(SUBSTITUTE(MID(_xlpm.t,MAX(1,_xlpm.k-4),_xlpm.k-MAX(1,_xlpm.k-4))," ",REPT(" ",9)),5)),"")))</f>
        <v>6</v>
      </c>
      <c r="FM41" t="str">
        <f>IF(OR(FL41="",AD41=""),"",IF(_xlfn.XLOOKUP(A41,Щиты[Щит],Щиты[Iкз max на шинах, кА],"")="","",IF(FL41&lt;_xlfn.XLOOKUP(A41,Щиты[Щит],Щиты[Iкз max на шинах, кА]),"Icu "&amp;FL41&amp;" кА &lt; Iкз max","ok")))</f>
        <v/>
      </c>
      <c r="FN41" t="str">
        <f t="shared" si="154"/>
        <v>QFD20|XT18</v>
      </c>
      <c r="FO41" t="str">
        <f t="shared" si="155"/>
        <v>QFD20|XT18|кабель ВВГнг(А)-LS (3х2,5) → Розеточная группа  Пом. №07</v>
      </c>
      <c r="FP41" t="str" cm="1">
        <f t="array" ref="FP41">IF(FO41="","",_xlfn.LET(_xlpm.nd,_xlfn.TEXTSPLIT(FO41,"|"),IF(COLUMNS(_xlpm.nd)&gt;1,A41&amp;"¦"&amp;INDEX(_xlpm.nd,1)&amp;"¦"&amp;INDEX(_xlpm.nd,2),"")))</f>
        <v>ЩР¦QFD20¦XT18</v>
      </c>
      <c r="FQ41" t="str">
        <f t="shared" si="156"/>
        <v>R.1.07.2¦Розеточная группа  Пом. №07</v>
      </c>
      <c r="FR41" t="str" cm="1">
        <f t="array" ref="FR41">IF(FO41="","",_xlfn.LET(_xlpm.nd,_xlfn.TEXTSPLIT(FO41,"|"),IF(COLUMNS(_xlpm.nd)&gt;2,A41&amp;"¦"&amp;INDEX(_xlpm.nd,2)&amp;"¦"&amp;INDEX(_xlpm.nd,3),"")))</f>
        <v>ЩР¦XT18¦кабель ВВГнг(А)-LS (3х2,5) → Розеточная группа  Пом. №07</v>
      </c>
      <c r="FS41" t="str">
        <f t="shared" si="157"/>
        <v>R.1.07.2¦Розеточная группа  Пом. №07</v>
      </c>
      <c r="FT41" t="str" cm="1">
        <f t="array" ref="FT41">IF(FO41="","",_xlfn.LET(_xlpm.nd,_xlfn.TEXTSPLIT(FO41,"|"),IF(COLUMNS(_xlpm.nd)&gt;3,A41&amp;"¦"&amp;INDEX(_xlpm.nd,3)&amp;"¦"&amp;INDEX(_xlpm.nd,4),"")))</f>
        <v/>
      </c>
      <c r="FU41" t="str">
        <f t="shared" si="158"/>
        <v/>
      </c>
      <c r="FV41" t="str" cm="1">
        <f t="array" ref="FV41">IF(FO41="","",_xlfn.LET(_xlpm.nd,_xlfn.TEXTSPLIT(FO41,"|"),IF(COLUMNS(_xlpm.nd)&gt;4,A41&amp;"¦"&amp;INDEX(_xlpm.nd,4)&amp;"¦"&amp;INDEX(_xlpm.nd,5),"")))</f>
        <v/>
      </c>
      <c r="FW41" t="str">
        <f t="shared" si="159"/>
        <v/>
      </c>
      <c r="FX41" t="str" cm="1">
        <f t="array" ref="FX41">IF(FO41="","",_xlfn.LET(_xlpm.nd,_xlfn.TEXTSPLIT(FO41,"|"),IF(COLUMNS(_xlpm.nd)&gt;5,A41&amp;"¦"&amp;INDEX(_xlpm.nd,5)&amp;"¦"&amp;INDEX(_xlpm.nd,6),"")))</f>
        <v/>
      </c>
      <c r="FY41" t="str">
        <f t="shared" si="160"/>
        <v/>
      </c>
      <c r="FZ41" t="str" cm="1">
        <f t="array" ref="FZ41">IF(FO41="","",_xlfn.LET(_xlpm.nd,_xlfn.TEXTSPLIT(FO41,"|"),IF(COLUMNS(_xlpm.nd)&gt;6,A41&amp;"¦"&amp;INDEX(_xlpm.nd,6)&amp;"¦"&amp;INDEX(_xlpm.nd,7),"")))</f>
        <v/>
      </c>
      <c r="GA41" t="str">
        <f t="shared" si="161"/>
        <v/>
      </c>
      <c r="GB41" t="str">
        <f t="shared" si="162"/>
        <v/>
      </c>
      <c r="GC41" t="str">
        <f t="shared" si="163"/>
        <v>QFD20 → XT18</v>
      </c>
      <c r="GD41">
        <f t="shared" si="164"/>
        <v>1</v>
      </c>
      <c r="GE41">
        <f t="shared" si="165"/>
        <v>0</v>
      </c>
      <c r="GF41">
        <f t="shared" si="166"/>
        <v>1</v>
      </c>
      <c r="GG41" t="str">
        <f t="shared" si="167"/>
        <v/>
      </c>
      <c r="GH41" t="str">
        <f t="shared" si="168"/>
        <v/>
      </c>
      <c r="GI41" t="str">
        <f t="shared" si="169"/>
        <v/>
      </c>
      <c r="GJ41" t="str">
        <f t="shared" si="170"/>
        <v/>
      </c>
      <c r="GK41" t="str">
        <f>IF(D41="","",IFERROR(VLOOKUP(D41,УГО_спр,2,FALSE),IFERROR(VLOOKUP(AT41,УГО_спр,2,FALSE),IFERROR(VLOOKUP(LEFT(AT41,2),УГО_спр,2,FALSE),""))))</f>
        <v>Розетка</v>
      </c>
      <c r="GL41" t="str">
        <f>IF(D41="","",IF(OR(GK41="",GK41=0),"BOX",IFERROR(IF(VLOOKUP(GK41,УГО_блоки,3,FALSE)&amp;""&lt;&gt;"",VLOOKUP(GK41,УГО_блоки,3,FALSE),VLOOKUP(GK41,УГО_блоки,2,FALSE)),GK41)))</f>
        <v>SOCKET</v>
      </c>
      <c r="GM41">
        <f t="shared" si="171"/>
        <v>1</v>
      </c>
      <c r="GN41" t="str">
        <f>IF(EP41="","",IF(COUNTIF(EP$3:EP41,EP41)=1,MAX(GN$2:GN40)+1,""))</f>
        <v/>
      </c>
      <c r="GO41" t="str">
        <f>IF(AF41="","",IF(COUNTIF(AF$3:AF41,AF41)+COUNTIF(AG$2:AG40,AF41)+COUNTIF(AH$2:AH40,AF41)=1,MAX(GO$2:GQ40)+1,""))</f>
        <v/>
      </c>
      <c r="GP41" t="str">
        <f>IF(AG41="","",IF(COUNTIF(AF$3:AF41,AG41)+COUNTIF(AG$3:AG41,AG41)+COUNTIF(AH$2:AH40,AG41)=1,MAX(GO$2:GQ40,GO41)+1,""))</f>
        <v/>
      </c>
      <c r="GQ41" t="str">
        <f>IF(AH41="","",IF(COUNTIF(AF$3:AF41,AH41)+COUNTIF(AG$3:AG41,AH41)+COUNTIF(AH$3:AH41,AH41)=1,MAX(GO$2:GQ40,GO41,GP41)+1,""))</f>
        <v/>
      </c>
      <c r="GR41" t="str">
        <f t="shared" si="172"/>
        <v>3х2,5</v>
      </c>
      <c r="GS41" t="str">
        <f>IF(GR41="","",IF(COUNTIF(GR$3:GR41,GR41)=1,MAX(GS$2:GS40)+1,""))</f>
        <v/>
      </c>
      <c r="GT41" t="str">
        <f>IF(ES41="","",COUNTIF(ES$3:ES41,"?*"))</f>
        <v/>
      </c>
      <c r="GU41" t="str">
        <f>IF(OR(ES41="",EU41=""),"",IF(COUNTIFS(ES$3:ES41,"?*",EU$3:EU41,EU41)=1,MAX(GU$2:GU40)+1,""))</f>
        <v/>
      </c>
      <c r="GV41">
        <f t="shared" si="173"/>
        <v>0</v>
      </c>
      <c r="GW41">
        <f>IF(D41="","",COUNTIF(D$3:D41,"?*"))</f>
        <v>21</v>
      </c>
      <c r="GX41">
        <f>IF(EX41&lt;&gt;1,0,_xlfn.LET(_xlpm.k,MAX(IFERROR(--VLOOKUP(D41,УГО_спр,5,FALSE),0),IFERROR(--VLOOKUP(AT41,УГО_спр,5,FALSE),0),IFERROR(--VLOOKUP(LEFT(AT41,2),УГО_спр,5,FALSE),0)),IF(_xlpm.k&gt;0,_xlpm.k,IF(IFERROR(--LEFT(SUBSTITUTE(GR41,"x","х"),FIND("х",SUBSTITUTE(GR41,"x","х"))-1),3)&gt;3,Каталог!$S$9,1))))</f>
        <v>1</v>
      </c>
      <c r="GY41">
        <f t="shared" si="174"/>
        <v>0</v>
      </c>
    </row>
    <row r="42" spans="1:207" x14ac:dyDescent="0.3">
      <c r="A42" t="s">
        <v>206</v>
      </c>
      <c r="B42">
        <v>42</v>
      </c>
      <c r="C42" t="str">
        <f>IF(BD42="","",IF(BE42="вводной узел","узел ","")&amp;"л."&amp;(INT((BD42-1)/Столбцов_на_лист)+1)&amp;" / "&amp;(MOD(BD42-1,Столбцов_на_лист)+1))</f>
        <v>л.3 / 8</v>
      </c>
      <c r="D42" t="s">
        <v>680</v>
      </c>
      <c r="E42" s="133" t="s">
        <v>761</v>
      </c>
      <c r="G42">
        <v>0.12</v>
      </c>
      <c r="H42">
        <v>2</v>
      </c>
      <c r="O42">
        <v>2</v>
      </c>
      <c r="T42">
        <v>2</v>
      </c>
      <c r="AD42" t="s">
        <v>597</v>
      </c>
      <c r="AK42" t="s">
        <v>616</v>
      </c>
      <c r="AN42">
        <v>21.94</v>
      </c>
      <c r="AO42" t="s">
        <v>627</v>
      </c>
      <c r="AQ42" t="s">
        <v>628</v>
      </c>
      <c r="AR42" t="str">
        <f t="shared" si="88"/>
        <v/>
      </c>
      <c r="AS42" cm="1">
        <f t="array" ref="AS42">ROW()-ROW(Линии[#Headers])</f>
        <v>40</v>
      </c>
      <c r="AT42" s="6" t="str">
        <f t="shared" si="89"/>
        <v>R</v>
      </c>
      <c r="AU42" t="str">
        <f t="shared" si="90"/>
        <v>1.07.3</v>
      </c>
      <c r="AV42" t="str">
        <f t="shared" si="91"/>
        <v>1</v>
      </c>
      <c r="AW42" t="str">
        <f t="shared" si="92"/>
        <v>07.3</v>
      </c>
      <c r="AX42" t="str">
        <f t="shared" si="93"/>
        <v>07</v>
      </c>
      <c r="AY42" t="str">
        <f>IF(D42="","",IF(ISERROR(SEARCH(".",D42)),IFERROR(VLOOKUP(D42,Потребители_обозначение,2,FALSE)&amp;"",""),IFERROR(IF(VLOOKUP(AT42,Потребители_обозначение,4,FALSE)=1,VLOOKUP(AT42,Потребители_обозначение,2,FALSE)&amp;" "&amp;VLOOKUP(AV42,Этаж_обозначение,2,FALSE)&amp;" Пом. №"&amp;AX42,VLOOKUP(AT42,Потребители_обозначение,2,FALSE)&amp;" Шлейф №"&amp;AV42),IFERROR(VLOOKUP(D42,Потребители_обозначение,2,FALSE),""))))</f>
        <v>Розеточная группа  Пом. №07</v>
      </c>
      <c r="AZ42" t="str">
        <f t="shared" si="94"/>
        <v>Розеточная группа  Пом. №07 Полотенцесушители</v>
      </c>
      <c r="BA42" t="str">
        <f>IF(F42&lt;&gt;"",F42,IF(AND(D42&lt;&gt;"",D42&lt;&gt;A42,ISNUMBER(_xlfn.XMATCH(D42,Щиты[Щит]))),D42,""))</f>
        <v/>
      </c>
      <c r="BB42">
        <f>IFERROR(_xlfn.XMATCH(A42,Щиты[Щит]),0)</f>
        <v>1</v>
      </c>
      <c r="BC42">
        <f>IFERROR(N(_xlfn.XLOOKUP(A42,Щиты[Щит],Щиты[Мест под вводной узел])),15)</f>
        <v>18</v>
      </c>
      <c r="BD42">
        <f t="shared" si="95"/>
        <v>42</v>
      </c>
      <c r="BE42" t="str">
        <f t="shared" si="96"/>
        <v>линии</v>
      </c>
      <c r="BF42" s="6">
        <f>IF(D42="","",IF(BA42&lt;&gt;"",IFERROR(_xlfn.XLOOKUP(BA42,Щиты[Щит],Щиты[Руст, кВт]),0),N(G42)))</f>
        <v>0.12</v>
      </c>
      <c r="BG42">
        <f>IF(J42&lt;&gt;"",J42,IF(D42="","",IFERROR(IF(VLOOKUP(AT42,Потребители_обозначение,8,FALSE)=0,"",VLOOKUP(AT42,Потребители_обозначение,8,FALSE)),"")))</f>
        <v>230</v>
      </c>
      <c r="BH42">
        <f>IF(I42&lt;&gt;"",I42,IF(D42="","",IFERROR(IF(VLOOKUP(AT42,Потребители_обозначение,9,FALSE)=0,"",VLOOKUP(AT42,Потребители_обозначение,9,FALSE)),"")))</f>
        <v>1</v>
      </c>
      <c r="BI42" t="str">
        <f>IF(U42&lt;&gt;"",U42,IF(D42="","",IFERROR(IF(VLOOKUP(AT42,Потребители_обозначение,6,FALSE)=0,"",VLOOKUP(AT42,Потребители_обозначение,6,FALSE)),"")))</f>
        <v>мс</v>
      </c>
      <c r="BJ42">
        <f>IF(V42&lt;&gt;"",V42,IF(D42="","",IFERROR(IF(VLOOKUP(AT42,Потребители_обозначение,7,FALSE)=0,"",VLOOKUP(AT42,Потребители_обозначение,7,FALSE)),"")))</f>
        <v>3</v>
      </c>
      <c r="BK42">
        <f>IF(W42&lt;&gt;"",W42,IF(D42="","",IFERROR(IF(VLOOKUP(AT42,Потребители_обозначение,10,FALSE)=0,"",VLOOKUP(AT42,Потребители_обозначение,10,FALSE)),"")))</f>
        <v>2.5</v>
      </c>
      <c r="BL42">
        <f>IFERROR(VLOOKUP(AT42,Потребители_обозначение,5,FALSE),0)</f>
        <v>1</v>
      </c>
      <c r="BM42" s="6" cm="1">
        <f t="array" ref="BM42">IF(D42="","",IF(BA42&lt;&gt;"",IFERROR(_xlfn.XLOOKUP(BA42,Щиты[Щит],Щиты[cos φ]),0.95),IF(ISNUMBER(M42),M42,IFERROR(IF(BL42=2,_xlfn.IFS(BH42=3,VLOOKUP(BF42,Справочная_двигатели,8,FALSE),BH42=1,VLOOKUP(BF42,Справочная_двигатели,10,TRUE)),IF(AND(Методика="нормы 2026",CN42="Сил"),0.8,0.95)),0.95))))</f>
        <v>0.95</v>
      </c>
      <c r="BN42" s="6" cm="1">
        <f t="array" ref="BN42">IF(D42="","",IF(BA42&lt;&gt;"",IFERROR(_xlfn.XLOOKUP(BA42,Щиты[Щит],Щиты[Iр, А]),""),IFERROR(_xlfn.IFS(BH42=1,BF42/((Uн_лин/SQRT(3))*BM42),BH42=3,BF42/(SQRT(3)*Uн_лин*BM42)),"")))</f>
        <v>0.54696341291648753</v>
      </c>
      <c r="BO42">
        <f>IF(D42="","",IF(N(X42)=0,IFERROR(VLOOKUP(BN42,Автомат_номиналы,2,TRUE),""),X42))</f>
        <v>6</v>
      </c>
      <c r="BP42">
        <f t="shared" si="97"/>
        <v>1</v>
      </c>
      <c r="BQ42">
        <f>IF(ISNUMBER(Y42),Y42,К_прокл)</f>
        <v>1</v>
      </c>
      <c r="BR42">
        <f t="shared" si="98"/>
        <v>2</v>
      </c>
      <c r="BS42" cm="1">
        <f t="array" ref="BS42">IF(D42="","",IF(N(BK42)&lt;&gt;0,BK42,IFERROR(_xlfn.LET(_xlpm.need,BO42/(BP42*BQ42),_xlpm.t,CHOOSE(BR42,Iдоп_1ж,Iдоп_2ж,Iдоп_3ж),_xlpm.k,_xlfn.XMATCH(_xlpm.need,_xlpm.t,1),IF(ISNA(_xlpm.k),"Не исп",INDEX(Iдоп_S,_xlpm.k))),"Не исп")))</f>
        <v>2.5</v>
      </c>
      <c r="BT42">
        <f>IFERROR(VLOOKUP(BS42,Кабель_сопротивление,3,FALSE),"")</f>
        <v>2.2499999999999999E-2</v>
      </c>
      <c r="BU42">
        <f>IFERROR(VLOOKUP(BS42,Кабель_сопротивление,2,FALSE),"")</f>
        <v>0.1</v>
      </c>
      <c r="BV42">
        <f t="shared" si="99"/>
        <v>22</v>
      </c>
      <c r="BW42" s="6">
        <f>IF(D42="","",IFERROR(IF(VLOOKUP(AT42,Потребители_обозначение,4,FALSE)=1,VLOOKUP(AT42,Потребители_обозначение,3,FALSE)*(H42*2-1)+BV42+VLOOKUP(AV42,Этаж_обозначение,3,FALSE)+VLOOKUP(AV42,Этаж_обозначение,4,FALSE),VLOOKUP(AT42,Потребители_обозначение,3,FALSE)*(H42*2-1)+BV42),BV42))</f>
        <v>28</v>
      </c>
      <c r="BX42">
        <f t="shared" si="100"/>
        <v>0</v>
      </c>
      <c r="BY42">
        <f t="shared" si="101"/>
        <v>24</v>
      </c>
      <c r="BZ42">
        <f t="shared" si="102"/>
        <v>2</v>
      </c>
      <c r="CA42">
        <f t="shared" si="103"/>
        <v>0.31</v>
      </c>
      <c r="CB42">
        <f t="shared" si="104"/>
        <v>0.26283561058923727</v>
      </c>
      <c r="CC42" s="6">
        <f>IFERROR(ROUNDUP(CB42/((Uн_лин/SQRT(3))*1000)*100,2),"")</f>
        <v>0.12</v>
      </c>
      <c r="CD42" s="6">
        <f>IF(ISNUMBER(CC42),CC42+IFERROR(_xlfn.XLOOKUP(A42,Щиты[Щит],Щиты[ΔU до шин, %]),0),"")</f>
        <v>0.12</v>
      </c>
      <c r="CE42" s="6">
        <f>IF(D42="","",IF(IFERROR(VLOOKUP(AT42,УГО_спр,2,FALSE),"")="Светильник",3,4)+IF(Методика="нормы 2026",MIN(0.5,MAX(0,N(BW42)-100)*0.005),0))</f>
        <v>4</v>
      </c>
      <c r="CF42" t="str">
        <f>IFERROR(VLOOKUP(BI42,Кабель_обозначение,2,FALSE),"")</f>
        <v>ВВГнг(А)-LS</v>
      </c>
      <c r="CG42" t="str">
        <f>IFERROR(IF(VLOOKUP(BI42,Кабель_обозначение,3,FALSE)=1,CF42&amp;" ("&amp;BJ42&amp;"х"&amp;BS42&amp;")",CF42),"")</f>
        <v>ВВГнг(А)-LS (3х2,5)</v>
      </c>
      <c r="CH42" t="str">
        <f t="shared" si="105"/>
        <v>ВВГнг(А)-LS (3х2,5)
L=28-0,12%</v>
      </c>
      <c r="CI42">
        <f>IFERROR(2*ρкз_Cu*BW42/BS42,"")</f>
        <v>0.58912000000000009</v>
      </c>
      <c r="CJ42">
        <f t="shared" si="106"/>
        <v>0.19600000000000001</v>
      </c>
      <c r="CK42" s="6" t="str">
        <f>IFERROR(IF(OR(D42="",NOT(ISNUMBER(BS42)),N(BW42)=0),"",_xlfn.XLOOKUP(A42,Щиты[Щит],Щиты[Zпетли на шинах, Ом])+CI42),"")</f>
        <v/>
      </c>
      <c r="CL42" s="6" t="str">
        <f>IF(ISNUMBER(CK42),c_min*(Uн_лин*1000/SQRT(3))/CK42,"")</f>
        <v/>
      </c>
      <c r="CM42" s="6" t="str">
        <f>IFERROR(IF(OR(D42="",NOT(ISNUMBER(BS42))),"",1.05*(Uн_лин*1000/SQRT(3))/(_xlfn.XLOOKUP(A42,Щиты[Щит],Щиты[Zmax на шинах, Ом])+CJ42)/1000),"")</f>
        <v/>
      </c>
      <c r="CN42" s="6" t="str">
        <f>IF(D42="","",IF(BA42&lt;&gt;"","Щит",IF(K42&lt;&gt;"",K42,IF(ISNUMBER(L42),"Сил",IF(IFERROR(_xlfn.XLOOKUP(AT42,Коды_код,Коды_группа)&amp;"","")="","Быт",_xlfn.XLOOKUP(AT42,Коды_код,Коды_группа)&amp;"")))))</f>
        <v>Быт</v>
      </c>
      <c r="CO42" s="6">
        <f>IF(CN42="Щит","щит",IF(CN42="","",IF(CN42="Быт",IFERROR(_xlfn.XLOOKUP(A42,Щиты[Щит],Щиты[Кс быт]),1),IF(CN42="Сил",IF(ISNUMBER(L42),L42,IF(Методика="нормы 2026",IFERROR(_xlfn.XLOOKUP(A42,Щиты[Щит],Щиты[Кс силовых (табл. 7.5)]),1),1)),IF(OR(CN42="Пост",CN42="Отоп"),1,IF(CN42="ВНГ",0.7,0))))))</f>
        <v>0.8</v>
      </c>
      <c r="CP42">
        <f t="shared" si="107"/>
        <v>1</v>
      </c>
      <c r="CQ42">
        <f t="shared" si="108"/>
        <v>0.12</v>
      </c>
      <c r="CR42">
        <f t="shared" si="109"/>
        <v>0.12</v>
      </c>
      <c r="CS42">
        <f t="shared" si="110"/>
        <v>0</v>
      </c>
      <c r="CT42">
        <f t="shared" si="111"/>
        <v>0</v>
      </c>
      <c r="CU42">
        <f t="shared" si="112"/>
        <v>0</v>
      </c>
      <c r="CV42">
        <f t="shared" si="113"/>
        <v>0</v>
      </c>
      <c r="CW42">
        <f t="shared" si="114"/>
        <v>0.12</v>
      </c>
      <c r="CX42">
        <f t="shared" si="115"/>
        <v>0.11399999999999999</v>
      </c>
      <c r="CY42">
        <f t="shared" si="116"/>
        <v>3</v>
      </c>
      <c r="CZ42" t="str">
        <f t="shared" si="117"/>
        <v>L3</v>
      </c>
      <c r="DA42" cm="1">
        <f t="array" ref="DA42">IFERROR(IF(BL42=2,_xlfn.IFS(BH42=3,VLOOKUP(BF42,Справочная_двигатели,3,FALSE),BH42=1,VLOOKUP(BF42,Справочная_двигатели,5,TRUE)),0),0)</f>
        <v>0</v>
      </c>
      <c r="DB42">
        <f>IFERROR(IF(BL42=3,VLOOKUP(BF42,Справочная_ЛЭД,2,TRUE),0),0)</f>
        <v>0</v>
      </c>
      <c r="DC42" s="6">
        <f t="shared" si="118"/>
        <v>0</v>
      </c>
      <c r="DD42" t="str">
        <f t="shared" si="119"/>
        <v>L2</v>
      </c>
      <c r="DE42" t="str" cm="1">
        <f t="array" ref="DE42">IF(D42="","",IFERROR(INDEX({"I особая","I","II","III"},MATCH(TRIM(AA42&amp;""),{"I особая","I","II","III"},0)),"III"))</f>
        <v>III</v>
      </c>
      <c r="DF42" t="str">
        <f>IF(D42="","",IF(TRIM(AB42&amp;"")&lt;&gt;"",IF(LOWER(TRIM(AB42&amp;""))="да","да","нет"),IF(IFERROR(_xlfn.XLOOKUP(AT42,Коды_код,Коды_пожарная),"")="да","да","нет")))</f>
        <v>нет</v>
      </c>
      <c r="DG42" t="str">
        <f t="shared" si="120"/>
        <v/>
      </c>
      <c r="DH42" t="str">
        <f t="shared" si="121"/>
        <v>основная</v>
      </c>
      <c r="DI42">
        <f t="shared" si="122"/>
        <v>1</v>
      </c>
      <c r="DJ42" t="str" cm="1">
        <f t="array" ref="DJ42">IF(D42="","",_xlfn.LET(_xlpm.t,IFERROR(_xlfn.XLOOKUP(1,(Шины[Шина]=DH42)*(((Шины[Щит]=A42)+(Шины[Щит]=""))&gt;0),Шины[Тип]),"")&amp;"",IF(_xlpm.t&lt;&gt;"",_xlpm.t,IF(ISNUMBER(SEARCH("ИБП",DH42)),"ИБП",IF(ISNUMBER(SEARCH("ДГУ",DH42)),"ДГУ","Ввод "&amp;DI42)))))</f>
        <v>Ввод 1</v>
      </c>
      <c r="DK42" t="str">
        <f t="shared" si="123"/>
        <v>Ввод 1</v>
      </c>
      <c r="DL42" t="str">
        <f>IF(D42="","",IF(OR(DJ42="ИБП",DJ42="ДГУ"),"I особая",IF(DJ42="Одиночная","III",_xlfn.XLOOKUP(A42,Щиты[Щит],Щиты[Категория шины «Ввод»],"III"))))</f>
        <v>III</v>
      </c>
      <c r="DM42">
        <f>IF(D42="",0,IFERROR(MATCH(DE42,{"III","II","I","I особая"},0),1))</f>
        <v>1</v>
      </c>
      <c r="DN42">
        <f t="shared" si="124"/>
        <v>1</v>
      </c>
      <c r="DO42" t="str">
        <f>IF(D42="","",IF(DM42&gt;IFERROR(MATCH(DL42,{"III","II","I","I особая"},0),1),"НЕ ОБЕСПЕЧЕНА","ОК"))</f>
        <v>ОК</v>
      </c>
      <c r="DP42" t="str">
        <f>IF(A42="","",_xlfn.XLOOKUP(A42,Щиты[Щит],Щиты[Путь],""))</f>
        <v>|ЩР|</v>
      </c>
      <c r="DQ42" t="str">
        <f>IF(D42="","",IF(Z42&lt;&gt;"",Z42,IF(IFERROR(_xlfn.XLOOKUP(AT42,Коды_код,Коды_вид)&amp;"","")="","Прочее",_xlfn.XLOOKUP(AT42,Коды_код,Коды_вид)&amp;"")))</f>
        <v>Розеточная сеть и бытовые приборы</v>
      </c>
      <c r="DR42">
        <f>IF(BD42="","",INT((BD42-1)/Столбцов_на_лист)+1)</f>
        <v>3</v>
      </c>
      <c r="DS42" t="str">
        <f t="shared" si="125"/>
        <v>ВВГнг(А)-LS (3х2,5) L=28-0,12%</v>
      </c>
      <c r="DT42">
        <f t="shared" si="126"/>
        <v>0.12</v>
      </c>
      <c r="DU42">
        <f t="shared" si="127"/>
        <v>0.55000000000000004</v>
      </c>
      <c r="DV42">
        <f t="shared" si="128"/>
        <v>1</v>
      </c>
      <c r="DW42">
        <f>IF(AT42="",0,_xlfn.LET(_xlpm.v,IFERROR(VLOOKUP(D42,УГО_спр,3,FALSE),IFERROR(VLOOKUP(AT42,УГО_спр,3,FALSE),IFERROR(VLOOKUP(LEFT(AT42,2),УГО_спр,3,FALSE),""))),IF(_xlpm.v="да",30,IF(ISNUMBER(_xlpm.v),_xlpm.v,0))))</f>
        <v>30</v>
      </c>
      <c r="DX42">
        <f t="shared" si="129"/>
        <v>0</v>
      </c>
      <c r="DY42">
        <f>IF(BD42="","",IF(AD42&lt;&gt;"",COUNTIFS(A$3:A42,A42,AD$3:AD42,"?*"),IF(OR(OR(AS42=1,A42&lt;&gt;A41),AL42="вручную"),"",IF(AS42=1,"",DZ41))))</f>
        <v>21</v>
      </c>
      <c r="DZ42">
        <f t="shared" si="130"/>
        <v>21</v>
      </c>
      <c r="EA42">
        <f>IF(D42="",0,MAX(IFERROR(--X42,0),IFERROR(--VLOOKUP(D42,УГО_спр,4,FALSE),IFERROR(--VLOOKUP(AT42,УГО_спр,4,FALSE),IFERROR(--VLOOKUP(LEFT(AT42,2),УГО_спр,4,FALSE),0)))))</f>
        <v>16</v>
      </c>
      <c r="EB42">
        <f>IF(D42="","",IFERROR(LOOKUP(INDEX(CHOOSE(BR42,Iдоп_1ж,Iдоп_2ж,Iдоп_3ж),MATCH(BS42,Iдоп_S,0))*BP42*BQ42,{6,10,16,20,25,32,40,50,63,80,100,125,160,200,250,315,400,500,630}),""))</f>
        <v>25</v>
      </c>
      <c r="EC42">
        <f>IF(AD42="","",SUMIFS(Линии[_Ток схемы],Линии[_гр.],DY42,Линии[Щит],A42,Линии[_в кабель выше],0))</f>
        <v>0.55000000000000004</v>
      </c>
      <c r="ED42">
        <f>IF(AD42="","",IFERROR(VLOOKUP(EC42,Автомат_номиналы,2,TRUE),""))</f>
        <v>6</v>
      </c>
      <c r="EE42">
        <f>IF(AD42="","",MAX(N(ED42),_xlfn.MAXIFS(Линии[_мин. по типу],Линии[_гр.],DY42,Линии[Щит],A42)))</f>
        <v>16</v>
      </c>
      <c r="EF42">
        <f>IF(AD42="","",_xlfn.MINIFS(Линии[_макс. автомат по кабелю],Линии[_гр.],DY42,Линии[Щит],A42))</f>
        <v>25</v>
      </c>
      <c r="EG42">
        <f>IF(AD42="","",MAX(1,_xlfn.MAXIFS(Линии[_фаз],Линии[_гр.],DY42,Линии[Щит],A42)))</f>
        <v>1</v>
      </c>
      <c r="EH42">
        <f>IF(AD42="","",IF(AND(AD42&lt;&gt;"авто",AD42&lt;&gt;"+"),IF(ISNUMBER(SEARCH("мА",AD42)),IFERROR(--TRIM(RIGHT(SUBSTITUTE(LEFT(AD42,SEARCH("мА",AD42)-1)," ",REPT(" ",9)),6)),30),0),IF(AE42="нет",0,IF(ISNUMBER(AE42),AE42,IF(AE42="да",30,_xlfn.MINIFS(Линии[_дифзащита по коду, мА],Линии[_гр.],DY42,Линии[Щит],A42,Линии[_дифзащита по коду, мА],"&gt;0"))))))</f>
        <v>30</v>
      </c>
      <c r="EI42">
        <f t="shared" si="131"/>
        <v>1</v>
      </c>
      <c r="EJ42" t="str">
        <f t="shared" si="132"/>
        <v>QFD21</v>
      </c>
      <c r="EK42" t="str">
        <f t="shared" si="133"/>
        <v>QFD21</v>
      </c>
      <c r="EL42" t="str">
        <f t="shared" si="134"/>
        <v/>
      </c>
      <c r="EM42">
        <f t="shared" si="135"/>
        <v>0</v>
      </c>
      <c r="EN42">
        <f>IF(AD42="","",IF(EM42=1,MAX(EE42,Мин_автомат_БП),EE42))</f>
        <v>16</v>
      </c>
      <c r="EO42" t="str">
        <f t="shared" si="136"/>
        <v>2P</v>
      </c>
      <c r="EP42" t="str">
        <f t="shared" si="137"/>
        <v>2P С16А 30мА</v>
      </c>
      <c r="EQ42">
        <f t="shared" si="138"/>
        <v>16</v>
      </c>
      <c r="ER42" t="str">
        <f>IF(OR(AI42="",AI42="-"),"",IFERROR(VLOOKUP(AI42,Модули_спр,2,FALSE),"R"))</f>
        <v/>
      </c>
      <c r="ES42" t="str">
        <f>IF(ER42="","",ER42&amp;"."&amp;COUNTIFS(A$3:A42,A42,ER$3:ER42,ER42))</f>
        <v/>
      </c>
      <c r="ET42" t="str">
        <f t="shared" si="139"/>
        <v/>
      </c>
      <c r="EU42" t="str">
        <f t="shared" si="140"/>
        <v/>
      </c>
      <c r="EV42" t="str">
        <f t="shared" si="141"/>
        <v/>
      </c>
      <c r="EW42" t="str">
        <f t="shared" si="142"/>
        <v/>
      </c>
      <c r="EX42">
        <f t="shared" si="143"/>
        <v>1</v>
      </c>
      <c r="EY42" t="str">
        <f>IF(AK42="нет","",IF(AK42&lt;&gt;"",AK42,IF(EX42=1,"XT"&amp;COUNTIFS(A$3:A42,A42,EX$3:EX42,1),"")))</f>
        <v>XT19</v>
      </c>
      <c r="EZ42" t="str">
        <f t="shared" si="144"/>
        <v>QFD21</v>
      </c>
      <c r="FA42" t="str">
        <f t="shared" si="145"/>
        <v/>
      </c>
      <c r="FB42" t="str">
        <f t="shared" si="146"/>
        <v>ok</v>
      </c>
      <c r="FC42" t="str">
        <f>IF(OR(EV42="",ET42=""),"",IF(EV42&gt;IFERROR(VLOOKUP(EU42,Модули_спр,3,FALSE),99),"ЛИШНИЙ КАНАЛ",IF(AND(AJ42&lt;&gt;"=",COUNTIFS(Линии[_модуль гр.],ET42,Линии[Канал (итог)],EV42,Линии[Канал],"&lt;&gt;=",Линии[Щит],A42)&gt;1),"ДУБЛЬ КАНАЛА","")))</f>
        <v/>
      </c>
      <c r="FD42">
        <f t="shared" si="147"/>
        <v>16</v>
      </c>
      <c r="FE42" t="str">
        <f t="shared" si="148"/>
        <v>2P С16А 30мА</v>
      </c>
      <c r="FF42">
        <f t="shared" si="149"/>
        <v>1</v>
      </c>
      <c r="FG42">
        <f t="shared" si="150"/>
        <v>30</v>
      </c>
      <c r="FH42" s="6" t="str">
        <f t="shared" si="151"/>
        <v/>
      </c>
      <c r="FI42">
        <f t="shared" si="152"/>
        <v>10</v>
      </c>
      <c r="FJ42" t="str">
        <f t="shared" si="153"/>
        <v/>
      </c>
      <c r="FK42" t="str">
        <f>IF(AND(D42="",EZ42=""),"",_xlfn.TEXTJOIN("; ",TRUE,IF(AND(D42&lt;&gt;"",DD42=""),"нет фазы",""),IF(AND(D42&lt;&gt;"",N(DT42)=0,CN42&lt;&gt;"Нет"),"нет мощности",""),IF(AND(EY42&lt;&gt;"",COUNTIFS(Линии[Щит],A42,Линии[Клемма (итог)],EY42)&gt;1),"дубль клеммы "&amp;EY42,""),IF(AND(FB42&lt;&gt;"",FB42&lt;&gt;"ok"),FB42,""),IF(FC42&lt;&gt;"",FC42,""),IF(AND(ISNUMBER(SEARCH("(5х",DS42)),N(DV42)=1),"5 жил на 1 фазе",""),IF(AND(AT42="R",AD42&lt;&gt;"",OR(N(EH42)=0,N(EH42)&gt;30)),"розетка без дифзащиты до 30 мА",""),IFERROR(IF(AND(ISNUMBER(CD42),CD42&gt;CE42),"потери "&amp;FIXED(CD42,1)&amp;" % &gt; "&amp;CE42&amp;" %",""),""),IFERROR(IF(LEFT(FJ42,4)="мало","Iкз мало — отключение &gt; 0,4 с",""),""),IF(AND(D42&lt;&gt;"",BD42=""),"не на схеме","")))</f>
        <v/>
      </c>
      <c r="FL42" s="6">
        <f>IF(AD42="","",_xlfn.LET(_xlpm.t,IFERROR(_xlfn.XLOOKUP(EP42,Каталог!$U$4:$U$500,Каталог!$G$4:$G$500),""),_xlpm.k,SEARCH("кА",_xlpm.t),IFERROR(--TRIM(RIGHT(SUBSTITUTE(MID(_xlpm.t,MAX(1,_xlpm.k-4),_xlpm.k-MAX(1,_xlpm.k-4))," ",REPT(" ",9)),5)),"")))</f>
        <v>6</v>
      </c>
      <c r="FM42" t="str">
        <f>IF(OR(FL42="",AD42=""),"",IF(_xlfn.XLOOKUP(A42,Щиты[Щит],Щиты[Iкз max на шинах, кА],"")="","",IF(FL42&lt;_xlfn.XLOOKUP(A42,Щиты[Щит],Щиты[Iкз max на шинах, кА]),"Icu "&amp;FL42&amp;" кА &lt; Iкз max","ok")))</f>
        <v/>
      </c>
      <c r="FN42" t="str">
        <f t="shared" si="154"/>
        <v>QFD21|XT19</v>
      </c>
      <c r="FO42" t="str">
        <f t="shared" si="155"/>
        <v>QFD21|XT19|кабель ВВГнг(А)-LS (3х2,5) → Розеточная группа  Пом. №07 Полотенцесушители</v>
      </c>
      <c r="FP42" t="str" cm="1">
        <f t="array" ref="FP42">IF(FO42="","",_xlfn.LET(_xlpm.nd,_xlfn.TEXTSPLIT(FO42,"|"),IF(COLUMNS(_xlpm.nd)&gt;1,A42&amp;"¦"&amp;INDEX(_xlpm.nd,1)&amp;"¦"&amp;INDEX(_xlpm.nd,2),"")))</f>
        <v>ЩР¦QFD21¦XT19</v>
      </c>
      <c r="FQ42" t="str">
        <f t="shared" si="156"/>
        <v>R.1.07.3¦Розеточная группа  Пом. №07 Полотенцесушители</v>
      </c>
      <c r="FR42" t="str" cm="1">
        <f t="array" ref="FR42">IF(FO42="","",_xlfn.LET(_xlpm.nd,_xlfn.TEXTSPLIT(FO42,"|"),IF(COLUMNS(_xlpm.nd)&gt;2,A42&amp;"¦"&amp;INDEX(_xlpm.nd,2)&amp;"¦"&amp;INDEX(_xlpm.nd,3),"")))</f>
        <v>ЩР¦XT19¦кабель ВВГнг(А)-LS (3х2,5) → Розеточная группа  Пом. №07 Полотенцесушители</v>
      </c>
      <c r="FS42" t="str">
        <f t="shared" si="157"/>
        <v>R.1.07.3¦Розеточная группа  Пом. №07 Полотенцесушители</v>
      </c>
      <c r="FT42" t="str" cm="1">
        <f t="array" ref="FT42">IF(FO42="","",_xlfn.LET(_xlpm.nd,_xlfn.TEXTSPLIT(FO42,"|"),IF(COLUMNS(_xlpm.nd)&gt;3,A42&amp;"¦"&amp;INDEX(_xlpm.nd,3)&amp;"¦"&amp;INDEX(_xlpm.nd,4),"")))</f>
        <v/>
      </c>
      <c r="FU42" t="str">
        <f t="shared" si="158"/>
        <v/>
      </c>
      <c r="FV42" t="str" cm="1">
        <f t="array" ref="FV42">IF(FO42="","",_xlfn.LET(_xlpm.nd,_xlfn.TEXTSPLIT(FO42,"|"),IF(COLUMNS(_xlpm.nd)&gt;4,A42&amp;"¦"&amp;INDEX(_xlpm.nd,4)&amp;"¦"&amp;INDEX(_xlpm.nd,5),"")))</f>
        <v/>
      </c>
      <c r="FW42" t="str">
        <f t="shared" si="159"/>
        <v/>
      </c>
      <c r="FX42" t="str" cm="1">
        <f t="array" ref="FX42">IF(FO42="","",_xlfn.LET(_xlpm.nd,_xlfn.TEXTSPLIT(FO42,"|"),IF(COLUMNS(_xlpm.nd)&gt;5,A42&amp;"¦"&amp;INDEX(_xlpm.nd,5)&amp;"¦"&amp;INDEX(_xlpm.nd,6),"")))</f>
        <v/>
      </c>
      <c r="FY42" t="str">
        <f t="shared" si="160"/>
        <v/>
      </c>
      <c r="FZ42" t="str" cm="1">
        <f t="array" ref="FZ42">IF(FO42="","",_xlfn.LET(_xlpm.nd,_xlfn.TEXTSPLIT(FO42,"|"),IF(COLUMNS(_xlpm.nd)&gt;6,A42&amp;"¦"&amp;INDEX(_xlpm.nd,6)&amp;"¦"&amp;INDEX(_xlpm.nd,7),"")))</f>
        <v/>
      </c>
      <c r="GA42" t="str">
        <f t="shared" si="161"/>
        <v/>
      </c>
      <c r="GB42" t="str">
        <f t="shared" si="162"/>
        <v/>
      </c>
      <c r="GC42" t="str">
        <f t="shared" si="163"/>
        <v>QFD21 → XT19</v>
      </c>
      <c r="GD42">
        <f t="shared" si="164"/>
        <v>1</v>
      </c>
      <c r="GE42">
        <f t="shared" si="165"/>
        <v>0</v>
      </c>
      <c r="GF42">
        <f t="shared" si="166"/>
        <v>1</v>
      </c>
      <c r="GG42" t="str">
        <f t="shared" si="167"/>
        <v/>
      </c>
      <c r="GH42" t="str">
        <f t="shared" si="168"/>
        <v/>
      </c>
      <c r="GI42" t="str">
        <f t="shared" si="169"/>
        <v/>
      </c>
      <c r="GJ42" t="str">
        <f t="shared" si="170"/>
        <v/>
      </c>
      <c r="GK42" t="str">
        <f>IF(D42="","",IFERROR(VLOOKUP(D42,УГО_спр,2,FALSE),IFERROR(VLOOKUP(AT42,УГО_спр,2,FALSE),IFERROR(VLOOKUP(LEFT(AT42,2),УГО_спр,2,FALSE),""))))</f>
        <v>Розетка</v>
      </c>
      <c r="GL42" t="str">
        <f>IF(D42="","",IF(OR(GK42="",GK42=0),"BOX",IFERROR(IF(VLOOKUP(GK42,УГО_блоки,3,FALSE)&amp;""&lt;&gt;"",VLOOKUP(GK42,УГО_блоки,3,FALSE),VLOOKUP(GK42,УГО_блоки,2,FALSE)),GK42)))</f>
        <v>SOCKET</v>
      </c>
      <c r="GM42">
        <f t="shared" si="171"/>
        <v>1</v>
      </c>
      <c r="GN42" t="str">
        <f>IF(EP42="","",IF(COUNTIF(EP$3:EP42,EP42)=1,MAX(GN$2:GN41)+1,""))</f>
        <v/>
      </c>
      <c r="GO42" t="str">
        <f>IF(AF42="","",IF(COUNTIF(AF$3:AF42,AF42)+COUNTIF(AG$2:AG41,AF42)+COUNTIF(AH$2:AH41,AF42)=1,MAX(GO$2:GQ41)+1,""))</f>
        <v/>
      </c>
      <c r="GP42" t="str">
        <f>IF(AG42="","",IF(COUNTIF(AF$3:AF42,AG42)+COUNTIF(AG$3:AG42,AG42)+COUNTIF(AH$2:AH41,AG42)=1,MAX(GO$2:GQ41,GO42)+1,""))</f>
        <v/>
      </c>
      <c r="GQ42" t="str">
        <f>IF(AH42="","",IF(COUNTIF(AF$3:AF42,AH42)+COUNTIF(AG$3:AG42,AH42)+COUNTIF(AH$3:AH42,AH42)=1,MAX(GO$2:GQ41,GO42,GP42)+1,""))</f>
        <v/>
      </c>
      <c r="GR42" t="str">
        <f t="shared" si="172"/>
        <v>3х2,5</v>
      </c>
      <c r="GS42" t="str">
        <f>IF(GR42="","",IF(COUNTIF(GR$3:GR42,GR42)=1,MAX(GS$2:GS41)+1,""))</f>
        <v/>
      </c>
      <c r="GT42" t="str">
        <f>IF(ES42="","",COUNTIF(ES$3:ES42,"?*"))</f>
        <v/>
      </c>
      <c r="GU42" t="str">
        <f>IF(OR(ES42="",EU42=""),"",IF(COUNTIFS(ES$3:ES42,"?*",EU$3:EU42,EU42)=1,MAX(GU$2:GU41)+1,""))</f>
        <v/>
      </c>
      <c r="GV42">
        <f t="shared" si="173"/>
        <v>0</v>
      </c>
      <c r="GW42">
        <f>IF(D42="","",COUNTIF(D$3:D42,"?*"))</f>
        <v>22</v>
      </c>
      <c r="GX42">
        <f>IF(EX42&lt;&gt;1,0,_xlfn.LET(_xlpm.k,MAX(IFERROR(--VLOOKUP(D42,УГО_спр,5,FALSE),0),IFERROR(--VLOOKUP(AT42,УГО_спр,5,FALSE),0),IFERROR(--VLOOKUP(LEFT(AT42,2),УГО_спр,5,FALSE),0)),IF(_xlpm.k&gt;0,_xlpm.k,IF(IFERROR(--LEFT(SUBSTITUTE(GR42,"x","х"),FIND("х",SUBSTITUTE(GR42,"x","х"))-1),3)&gt;3,Каталог!$S$9,1))))</f>
        <v>1</v>
      </c>
      <c r="GY42">
        <f t="shared" si="174"/>
        <v>0</v>
      </c>
    </row>
    <row r="43" spans="1:207" x14ac:dyDescent="0.3">
      <c r="A43" t="s">
        <v>206</v>
      </c>
      <c r="B43">
        <v>43</v>
      </c>
      <c r="C43" t="str">
        <f>IF(BD43="","",IF(BE43="вводной узел","узел ","")&amp;"л."&amp;(INT((BD43-1)/Столбцов_на_лист)+1)&amp;" / "&amp;(MOD(BD43-1,Столбцов_на_лист)+1))</f>
        <v>л.3 / 9</v>
      </c>
      <c r="D43" t="s">
        <v>706</v>
      </c>
      <c r="E43" s="133" t="str">
        <f t="shared" si="175"/>
        <v>Розеточная группа  Пом. №08</v>
      </c>
      <c r="G43">
        <v>0.36</v>
      </c>
      <c r="H43">
        <v>6</v>
      </c>
      <c r="O43">
        <v>3</v>
      </c>
      <c r="T43">
        <v>2</v>
      </c>
      <c r="AD43" t="s">
        <v>597</v>
      </c>
      <c r="AK43" t="s">
        <v>617</v>
      </c>
      <c r="AN43">
        <v>15.24</v>
      </c>
      <c r="AO43" t="s">
        <v>676</v>
      </c>
      <c r="AQ43" t="s">
        <v>677</v>
      </c>
      <c r="AR43" t="str">
        <f t="shared" si="88"/>
        <v/>
      </c>
      <c r="AS43" cm="1">
        <f t="array" ref="AS43">ROW()-ROW(Линии[#Headers])</f>
        <v>41</v>
      </c>
      <c r="AT43" s="6" t="str">
        <f t="shared" si="89"/>
        <v>R</v>
      </c>
      <c r="AU43" t="str">
        <f t="shared" si="90"/>
        <v>1.08.1</v>
      </c>
      <c r="AV43" t="str">
        <f t="shared" si="91"/>
        <v>1</v>
      </c>
      <c r="AW43" t="str">
        <f t="shared" si="92"/>
        <v>08.1</v>
      </c>
      <c r="AX43" t="str">
        <f t="shared" si="93"/>
        <v>08</v>
      </c>
      <c r="AY43" t="str">
        <f>IF(D43="","",IF(ISERROR(SEARCH(".",D43)),IFERROR(VLOOKUP(D43,Потребители_обозначение,2,FALSE)&amp;"",""),IFERROR(IF(VLOOKUP(AT43,Потребители_обозначение,4,FALSE)=1,VLOOKUP(AT43,Потребители_обозначение,2,FALSE)&amp;" "&amp;VLOOKUP(AV43,Этаж_обозначение,2,FALSE)&amp;" Пом. №"&amp;AX43,VLOOKUP(AT43,Потребители_обозначение,2,FALSE)&amp;" Шлейф №"&amp;AV43),IFERROR(VLOOKUP(D43,Потребители_обозначение,2,FALSE),""))))</f>
        <v>Розеточная группа  Пом. №08</v>
      </c>
      <c r="AZ43" t="str">
        <f t="shared" si="94"/>
        <v>Розеточная группа  Пом. №08</v>
      </c>
      <c r="BA43" t="str">
        <f>IF(F43&lt;&gt;"",F43,IF(AND(D43&lt;&gt;"",D43&lt;&gt;A43,ISNUMBER(_xlfn.XMATCH(D43,Щиты[Щит]))),D43,""))</f>
        <v/>
      </c>
      <c r="BB43">
        <f>IFERROR(_xlfn.XMATCH(A43,Щиты[Щит]),0)</f>
        <v>1</v>
      </c>
      <c r="BC43">
        <f>IFERROR(N(_xlfn.XLOOKUP(A43,Щиты[Щит],Щиты[Мест под вводной узел])),15)</f>
        <v>18</v>
      </c>
      <c r="BD43">
        <f t="shared" si="95"/>
        <v>43</v>
      </c>
      <c r="BE43" t="str">
        <f t="shared" si="96"/>
        <v>линии</v>
      </c>
      <c r="BF43" s="6">
        <f>IF(D43="","",IF(BA43&lt;&gt;"",IFERROR(_xlfn.XLOOKUP(BA43,Щиты[Щит],Щиты[Руст, кВт]),0),N(G43)))</f>
        <v>0.36</v>
      </c>
      <c r="BG43">
        <f>IF(J43&lt;&gt;"",J43,IF(D43="","",IFERROR(IF(VLOOKUP(AT43,Потребители_обозначение,8,FALSE)=0,"",VLOOKUP(AT43,Потребители_обозначение,8,FALSE)),"")))</f>
        <v>230</v>
      </c>
      <c r="BH43">
        <f>IF(I43&lt;&gt;"",I43,IF(D43="","",IFERROR(IF(VLOOKUP(AT43,Потребители_обозначение,9,FALSE)=0,"",VLOOKUP(AT43,Потребители_обозначение,9,FALSE)),"")))</f>
        <v>1</v>
      </c>
      <c r="BI43" t="str">
        <f>IF(U43&lt;&gt;"",U43,IF(D43="","",IFERROR(IF(VLOOKUP(AT43,Потребители_обозначение,6,FALSE)=0,"",VLOOKUP(AT43,Потребители_обозначение,6,FALSE)),"")))</f>
        <v>мс</v>
      </c>
      <c r="BJ43">
        <f>IF(V43&lt;&gt;"",V43,IF(D43="","",IFERROR(IF(VLOOKUP(AT43,Потребители_обозначение,7,FALSE)=0,"",VLOOKUP(AT43,Потребители_обозначение,7,FALSE)),"")))</f>
        <v>3</v>
      </c>
      <c r="BK43">
        <f>IF(W43&lt;&gt;"",W43,IF(D43="","",IFERROR(IF(VLOOKUP(AT43,Потребители_обозначение,10,FALSE)=0,"",VLOOKUP(AT43,Потребители_обозначение,10,FALSE)),"")))</f>
        <v>2.5</v>
      </c>
      <c r="BL43">
        <f>IFERROR(VLOOKUP(AT43,Потребители_обозначение,5,FALSE),0)</f>
        <v>1</v>
      </c>
      <c r="BM43" s="6" cm="1">
        <f t="array" ref="BM43">IF(D43="","",IF(BA43&lt;&gt;"",IFERROR(_xlfn.XLOOKUP(BA43,Щиты[Щит],Щиты[cos φ]),0.95),IF(ISNUMBER(M43),M43,IFERROR(IF(BL43=2,_xlfn.IFS(BH43=3,VLOOKUP(BF43,Справочная_двигатели,8,FALSE),BH43=1,VLOOKUP(BF43,Справочная_двигатели,10,TRUE)),IF(AND(Методика="нормы 2026",CN43="Сил"),0.8,0.95)),0.95))))</f>
        <v>0.95</v>
      </c>
      <c r="BN43" s="6" cm="1">
        <f t="array" ref="BN43">IF(D43="","",IF(BA43&lt;&gt;"",IFERROR(_xlfn.XLOOKUP(BA43,Щиты[Щит],Щиты[Iр, А]),""),IFERROR(_xlfn.IFS(BH43=1,BF43/((Uн_лин/SQRT(3))*BM43),BH43=3,BF43/(SQRT(3)*Uн_лин*BM43)),"")))</f>
        <v>1.6408902387494626</v>
      </c>
      <c r="BO43">
        <f>IF(D43="","",IF(N(X43)=0,IFERROR(VLOOKUP(BN43,Автомат_номиналы,2,TRUE),""),X43))</f>
        <v>6</v>
      </c>
      <c r="BP43">
        <f t="shared" si="97"/>
        <v>1</v>
      </c>
      <c r="BQ43">
        <f>IF(ISNUMBER(Y43),Y43,К_прокл)</f>
        <v>1</v>
      </c>
      <c r="BR43">
        <f t="shared" si="98"/>
        <v>2</v>
      </c>
      <c r="BS43" cm="1">
        <f t="array" ref="BS43">IF(D43="","",IF(N(BK43)&lt;&gt;0,BK43,IFERROR(_xlfn.LET(_xlpm.need,BO43/(BP43*BQ43),_xlpm.t,CHOOSE(BR43,Iдоп_1ж,Iдоп_2ж,Iдоп_3ж),_xlpm.k,_xlfn.XMATCH(_xlpm.need,_xlpm.t,1),IF(ISNA(_xlpm.k),"Не исп",INDEX(Iдоп_S,_xlpm.k))),"Не исп")))</f>
        <v>2.5</v>
      </c>
      <c r="BT43">
        <f>IFERROR(VLOOKUP(BS43,Кабель_сопротивление,3,FALSE),"")</f>
        <v>2.2499999999999999E-2</v>
      </c>
      <c r="BU43">
        <f>IFERROR(VLOOKUP(BS43,Кабель_сопротивление,2,FALSE),"")</f>
        <v>0.1</v>
      </c>
      <c r="BV43">
        <f t="shared" si="99"/>
        <v>16</v>
      </c>
      <c r="BW43" s="6">
        <f>IF(D43="","",IFERROR(IF(VLOOKUP(AT43,Потребители_обозначение,4,FALSE)=1,VLOOKUP(AT43,Потребители_обозначение,3,FALSE)*(H43*2-1)+BV43+VLOOKUP(AV43,Этаж_обозначение,3,FALSE)+VLOOKUP(AV43,Этаж_обозначение,4,FALSE),VLOOKUP(AT43,Потребители_обозначение,3,FALSE)*(H43*2-1)+BV43),BV43))</f>
        <v>38</v>
      </c>
      <c r="BX43">
        <f t="shared" si="100"/>
        <v>0</v>
      </c>
      <c r="BY43">
        <f t="shared" si="101"/>
        <v>34</v>
      </c>
      <c r="BZ43">
        <f t="shared" si="102"/>
        <v>2</v>
      </c>
      <c r="CA43">
        <f t="shared" si="103"/>
        <v>0.31</v>
      </c>
      <c r="CB43">
        <f t="shared" si="104"/>
        <v>1.0701164145418944</v>
      </c>
      <c r="CC43" s="6">
        <f>IFERROR(ROUNDUP(CB43/((Uн_лин/SQRT(3))*1000)*100,2),"")</f>
        <v>0.47000000000000003</v>
      </c>
      <c r="CD43" s="6">
        <f>IF(ISNUMBER(CC43),CC43+IFERROR(_xlfn.XLOOKUP(A43,Щиты[Щит],Щиты[ΔU до шин, %]),0),"")</f>
        <v>0.47000000000000003</v>
      </c>
      <c r="CE43" s="6">
        <f>IF(D43="","",IF(IFERROR(VLOOKUP(AT43,УГО_спр,2,FALSE),"")="Светильник",3,4)+IF(Методика="нормы 2026",MIN(0.5,MAX(0,N(BW43)-100)*0.005),0))</f>
        <v>4</v>
      </c>
      <c r="CF43" t="str">
        <f>IFERROR(VLOOKUP(BI43,Кабель_обозначение,2,FALSE),"")</f>
        <v>ВВГнг(А)-LS</v>
      </c>
      <c r="CG43" t="str">
        <f>IFERROR(IF(VLOOKUP(BI43,Кабель_обозначение,3,FALSE)=1,CF43&amp;" ("&amp;BJ43&amp;"х"&amp;BS43&amp;")",CF43),"")</f>
        <v>ВВГнг(А)-LS (3х2,5)</v>
      </c>
      <c r="CH43" t="str">
        <f t="shared" si="105"/>
        <v>ВВГнг(А)-LS (3х2,5)
L=38-0,47%</v>
      </c>
      <c r="CI43">
        <f>IFERROR(2*ρкз_Cu*BW43/BS43,"")</f>
        <v>0.79952000000000001</v>
      </c>
      <c r="CJ43">
        <f t="shared" si="106"/>
        <v>0.26600000000000001</v>
      </c>
      <c r="CK43" s="6" t="str">
        <f>IFERROR(IF(OR(D43="",NOT(ISNUMBER(BS43)),N(BW43)=0),"",_xlfn.XLOOKUP(A43,Щиты[Щит],Щиты[Zпетли на шинах, Ом])+CI43),"")</f>
        <v/>
      </c>
      <c r="CL43" s="6" t="str">
        <f>IF(ISNUMBER(CK43),c_min*(Uн_лин*1000/SQRT(3))/CK43,"")</f>
        <v/>
      </c>
      <c r="CM43" s="6" t="str">
        <f>IFERROR(IF(OR(D43="",NOT(ISNUMBER(BS43))),"",1.05*(Uн_лин*1000/SQRT(3))/(_xlfn.XLOOKUP(A43,Щиты[Щит],Щиты[Zmax на шинах, Ом])+CJ43)/1000),"")</f>
        <v/>
      </c>
      <c r="CN43" s="6" t="str">
        <f>IF(D43="","",IF(BA43&lt;&gt;"","Щит",IF(K43&lt;&gt;"",K43,IF(ISNUMBER(L43),"Сил",IF(IFERROR(_xlfn.XLOOKUP(AT43,Коды_код,Коды_группа)&amp;"","")="","Быт",_xlfn.XLOOKUP(AT43,Коды_код,Коды_группа)&amp;"")))))</f>
        <v>Быт</v>
      </c>
      <c r="CO43" s="6">
        <f>IF(CN43="Щит","щит",IF(CN43="","",IF(CN43="Быт",IFERROR(_xlfn.XLOOKUP(A43,Щиты[Щит],Щиты[Кс быт]),1),IF(CN43="Сил",IF(ISNUMBER(L43),L43,IF(Методика="нормы 2026",IFERROR(_xlfn.XLOOKUP(A43,Щиты[Щит],Щиты[Кс силовых (табл. 7.5)]),1),1)),IF(OR(CN43="Пост",CN43="Отоп"),1,IF(CN43="ВНГ",0.7,0))))))</f>
        <v>0.8</v>
      </c>
      <c r="CP43">
        <f t="shared" si="107"/>
        <v>1</v>
      </c>
      <c r="CQ43">
        <f t="shared" si="108"/>
        <v>0.36</v>
      </c>
      <c r="CR43">
        <f t="shared" si="109"/>
        <v>0.36</v>
      </c>
      <c r="CS43">
        <f t="shared" si="110"/>
        <v>0</v>
      </c>
      <c r="CT43">
        <f t="shared" si="111"/>
        <v>0</v>
      </c>
      <c r="CU43">
        <f t="shared" si="112"/>
        <v>0</v>
      </c>
      <c r="CV43">
        <f t="shared" si="113"/>
        <v>0</v>
      </c>
      <c r="CW43">
        <f t="shared" si="114"/>
        <v>0.36</v>
      </c>
      <c r="CX43">
        <f t="shared" si="115"/>
        <v>0.34199999999999997</v>
      </c>
      <c r="CY43">
        <f t="shared" si="116"/>
        <v>1</v>
      </c>
      <c r="CZ43" t="str">
        <f t="shared" si="117"/>
        <v>L1</v>
      </c>
      <c r="DA43" cm="1">
        <f t="array" ref="DA43">IFERROR(IF(BL43=2,_xlfn.IFS(BH43=3,VLOOKUP(BF43,Справочная_двигатели,3,FALSE),BH43=1,VLOOKUP(BF43,Справочная_двигатели,5,TRUE)),0),0)</f>
        <v>0</v>
      </c>
      <c r="DB43">
        <f>IFERROR(IF(BL43=3,VLOOKUP(BF43,Справочная_ЛЭД,2,TRUE),0),0)</f>
        <v>0</v>
      </c>
      <c r="DC43" s="6">
        <f t="shared" si="118"/>
        <v>0</v>
      </c>
      <c r="DD43" t="str">
        <f t="shared" si="119"/>
        <v>L3</v>
      </c>
      <c r="DE43" t="str" cm="1">
        <f t="array" ref="DE43">IF(D43="","",IFERROR(INDEX({"I особая","I","II","III"},MATCH(TRIM(AA43&amp;""),{"I особая","I","II","III"},0)),"III"))</f>
        <v>III</v>
      </c>
      <c r="DF43" t="str">
        <f>IF(D43="","",IF(TRIM(AB43&amp;"")&lt;&gt;"",IF(LOWER(TRIM(AB43&amp;""))="да","да","нет"),IF(IFERROR(_xlfn.XLOOKUP(AT43,Коды_код,Коды_пожарная),"")="да","да","нет")))</f>
        <v>нет</v>
      </c>
      <c r="DG43" t="str">
        <f t="shared" si="120"/>
        <v/>
      </c>
      <c r="DH43" t="str">
        <f t="shared" si="121"/>
        <v>основная</v>
      </c>
      <c r="DI43">
        <f t="shared" si="122"/>
        <v>1</v>
      </c>
      <c r="DJ43" t="str" cm="1">
        <f t="array" ref="DJ43">IF(D43="","",_xlfn.LET(_xlpm.t,IFERROR(_xlfn.XLOOKUP(1,(Шины[Шина]=DH43)*(((Шины[Щит]=A43)+(Шины[Щит]=""))&gt;0),Шины[Тип]),"")&amp;"",IF(_xlpm.t&lt;&gt;"",_xlpm.t,IF(ISNUMBER(SEARCH("ИБП",DH43)),"ИБП",IF(ISNUMBER(SEARCH("ДГУ",DH43)),"ДГУ","Ввод "&amp;DI43)))))</f>
        <v>Ввод 1</v>
      </c>
      <c r="DK43" t="str">
        <f t="shared" si="123"/>
        <v>Ввод 1</v>
      </c>
      <c r="DL43" t="str">
        <f>IF(D43="","",IF(OR(DJ43="ИБП",DJ43="ДГУ"),"I особая",IF(DJ43="Одиночная","III",_xlfn.XLOOKUP(A43,Щиты[Щит],Щиты[Категория шины «Ввод»],"III"))))</f>
        <v>III</v>
      </c>
      <c r="DM43">
        <f>IF(D43="",0,IFERROR(MATCH(DE43,{"III","II","I","I особая"},0),1))</f>
        <v>1</v>
      </c>
      <c r="DN43">
        <f t="shared" si="124"/>
        <v>1</v>
      </c>
      <c r="DO43" t="str">
        <f>IF(D43="","",IF(DM43&gt;IFERROR(MATCH(DL43,{"III","II","I","I особая"},0),1),"НЕ ОБЕСПЕЧЕНА","ОК"))</f>
        <v>ОК</v>
      </c>
      <c r="DP43" t="str">
        <f>IF(A43="","",_xlfn.XLOOKUP(A43,Щиты[Щит],Щиты[Путь],""))</f>
        <v>|ЩР|</v>
      </c>
      <c r="DQ43" t="str">
        <f>IF(D43="","",IF(Z43&lt;&gt;"",Z43,IF(IFERROR(_xlfn.XLOOKUP(AT43,Коды_код,Коды_вид)&amp;"","")="","Прочее",_xlfn.XLOOKUP(AT43,Коды_код,Коды_вид)&amp;"")))</f>
        <v>Розеточная сеть и бытовые приборы</v>
      </c>
      <c r="DR43">
        <f>IF(BD43="","",INT((BD43-1)/Столбцов_на_лист)+1)</f>
        <v>3</v>
      </c>
      <c r="DS43" t="str">
        <f t="shared" si="125"/>
        <v>ВВГнг(А)-LS (3х2,5) L=38-0,47%</v>
      </c>
      <c r="DT43">
        <f t="shared" si="126"/>
        <v>0.36</v>
      </c>
      <c r="DU43">
        <f t="shared" si="127"/>
        <v>1.65</v>
      </c>
      <c r="DV43">
        <f t="shared" si="128"/>
        <v>1</v>
      </c>
      <c r="DW43">
        <f>IF(AT43="",0,_xlfn.LET(_xlpm.v,IFERROR(VLOOKUP(D43,УГО_спр,3,FALSE),IFERROR(VLOOKUP(AT43,УГО_спр,3,FALSE),IFERROR(VLOOKUP(LEFT(AT43,2),УГО_спр,3,FALSE),""))),IF(_xlpm.v="да",30,IF(ISNUMBER(_xlpm.v),_xlpm.v,0))))</f>
        <v>30</v>
      </c>
      <c r="DX43">
        <f t="shared" si="129"/>
        <v>0</v>
      </c>
      <c r="DY43">
        <f>IF(BD43="","",IF(AD43&lt;&gt;"",COUNTIFS(A$3:A43,A43,AD$3:AD43,"?*"),IF(OR(OR(AS43=1,A43&lt;&gt;A42),AL43="вручную"),"",IF(AS43=1,"",DZ42))))</f>
        <v>22</v>
      </c>
      <c r="DZ43">
        <f t="shared" si="130"/>
        <v>22</v>
      </c>
      <c r="EA43">
        <f>IF(D43="",0,MAX(IFERROR(--X43,0),IFERROR(--VLOOKUP(D43,УГО_спр,4,FALSE),IFERROR(--VLOOKUP(AT43,УГО_спр,4,FALSE),IFERROR(--VLOOKUP(LEFT(AT43,2),УГО_спр,4,FALSE),0)))))</f>
        <v>16</v>
      </c>
      <c r="EB43">
        <f>IF(D43="","",IFERROR(LOOKUP(INDEX(CHOOSE(BR43,Iдоп_1ж,Iдоп_2ж,Iдоп_3ж),MATCH(BS43,Iдоп_S,0))*BP43*BQ43,{6,10,16,20,25,32,40,50,63,80,100,125,160,200,250,315,400,500,630}),""))</f>
        <v>25</v>
      </c>
      <c r="EC43">
        <f>IF(AD43="","",SUMIFS(Линии[_Ток схемы],Линии[_гр.],DY43,Линии[Щит],A43,Линии[_в кабель выше],0))</f>
        <v>1.65</v>
      </c>
      <c r="ED43">
        <f>IF(AD43="","",IFERROR(VLOOKUP(EC43,Автомат_номиналы,2,TRUE),""))</f>
        <v>6</v>
      </c>
      <c r="EE43">
        <f>IF(AD43="","",MAX(N(ED43),_xlfn.MAXIFS(Линии[_мин. по типу],Линии[_гр.],DY43,Линии[Щит],A43)))</f>
        <v>16</v>
      </c>
      <c r="EF43">
        <f>IF(AD43="","",_xlfn.MINIFS(Линии[_макс. автомат по кабелю],Линии[_гр.],DY43,Линии[Щит],A43))</f>
        <v>25</v>
      </c>
      <c r="EG43">
        <f>IF(AD43="","",MAX(1,_xlfn.MAXIFS(Линии[_фаз],Линии[_гр.],DY43,Линии[Щит],A43)))</f>
        <v>1</v>
      </c>
      <c r="EH43">
        <f>IF(AD43="","",IF(AND(AD43&lt;&gt;"авто",AD43&lt;&gt;"+"),IF(ISNUMBER(SEARCH("мА",AD43)),IFERROR(--TRIM(RIGHT(SUBSTITUTE(LEFT(AD43,SEARCH("мА",AD43)-1)," ",REPT(" ",9)),6)),30),0),IF(AE43="нет",0,IF(ISNUMBER(AE43),AE43,IF(AE43="да",30,_xlfn.MINIFS(Линии[_дифзащита по коду, мА],Линии[_гр.],DY43,Линии[Щит],A43,Линии[_дифзащита по коду, мА],"&gt;0"))))))</f>
        <v>30</v>
      </c>
      <c r="EI43">
        <f t="shared" si="131"/>
        <v>1</v>
      </c>
      <c r="EJ43" t="str">
        <f t="shared" si="132"/>
        <v>QFD22</v>
      </c>
      <c r="EK43" t="str">
        <f t="shared" si="133"/>
        <v>QFD22</v>
      </c>
      <c r="EL43" t="str">
        <f t="shared" si="134"/>
        <v/>
      </c>
      <c r="EM43">
        <f t="shared" si="135"/>
        <v>0</v>
      </c>
      <c r="EN43">
        <f>IF(AD43="","",IF(EM43=1,MAX(EE43,Мин_автомат_БП),EE43))</f>
        <v>16</v>
      </c>
      <c r="EO43" t="str">
        <f t="shared" si="136"/>
        <v>2P</v>
      </c>
      <c r="EP43" t="str">
        <f t="shared" si="137"/>
        <v>2P С16А 30мА</v>
      </c>
      <c r="EQ43">
        <f t="shared" si="138"/>
        <v>16</v>
      </c>
      <c r="ER43" t="str">
        <f>IF(OR(AI43="",AI43="-"),"",IFERROR(VLOOKUP(AI43,Модули_спр,2,FALSE),"R"))</f>
        <v/>
      </c>
      <c r="ES43" t="str">
        <f>IF(ER43="","",ER43&amp;"."&amp;COUNTIFS(A$3:A43,A43,ER$3:ER43,ER43))</f>
        <v/>
      </c>
      <c r="ET43" t="str">
        <f t="shared" si="139"/>
        <v/>
      </c>
      <c r="EU43" t="str">
        <f t="shared" si="140"/>
        <v/>
      </c>
      <c r="EV43" t="str">
        <f t="shared" si="141"/>
        <v/>
      </c>
      <c r="EW43" t="str">
        <f t="shared" si="142"/>
        <v/>
      </c>
      <c r="EX43">
        <f t="shared" si="143"/>
        <v>1</v>
      </c>
      <c r="EY43" t="str">
        <f>IF(AK43="нет","",IF(AK43&lt;&gt;"",AK43,IF(EX43=1,"XT"&amp;COUNTIFS(A$3:A43,A43,EX$3:EX43,1),"")))</f>
        <v>XT20</v>
      </c>
      <c r="EZ43" t="str">
        <f t="shared" si="144"/>
        <v>QFD22</v>
      </c>
      <c r="FA43" t="str">
        <f t="shared" si="145"/>
        <v/>
      </c>
      <c r="FB43" t="str">
        <f t="shared" si="146"/>
        <v>ok</v>
      </c>
      <c r="FC43" t="str">
        <f>IF(OR(EV43="",ET43=""),"",IF(EV43&gt;IFERROR(VLOOKUP(EU43,Модули_спр,3,FALSE),99),"ЛИШНИЙ КАНАЛ",IF(AND(AJ43&lt;&gt;"=",COUNTIFS(Линии[_модуль гр.],ET43,Линии[Канал (итог)],EV43,Линии[Канал],"&lt;&gt;=",Линии[Щит],A43)&gt;1),"ДУБЛЬ КАНАЛА","")))</f>
        <v/>
      </c>
      <c r="FD43">
        <f t="shared" si="147"/>
        <v>16</v>
      </c>
      <c r="FE43" t="str">
        <f t="shared" si="148"/>
        <v>2P С16А 30мА</v>
      </c>
      <c r="FF43">
        <f t="shared" si="149"/>
        <v>1</v>
      </c>
      <c r="FG43">
        <f t="shared" si="150"/>
        <v>30</v>
      </c>
      <c r="FH43" s="6" t="str">
        <f t="shared" si="151"/>
        <v/>
      </c>
      <c r="FI43">
        <f t="shared" si="152"/>
        <v>10</v>
      </c>
      <c r="FJ43" t="str">
        <f t="shared" si="153"/>
        <v/>
      </c>
      <c r="FK43" t="str">
        <f>IF(AND(D43="",EZ43=""),"",_xlfn.TEXTJOIN("; ",TRUE,IF(AND(D43&lt;&gt;"",DD43=""),"нет фазы",""),IF(AND(D43&lt;&gt;"",N(DT43)=0,CN43&lt;&gt;"Нет"),"нет мощности",""),IF(AND(EY43&lt;&gt;"",COUNTIFS(Линии[Щит],A43,Линии[Клемма (итог)],EY43)&gt;1),"дубль клеммы "&amp;EY43,""),IF(AND(FB43&lt;&gt;"",FB43&lt;&gt;"ok"),FB43,""),IF(FC43&lt;&gt;"",FC43,""),IF(AND(ISNUMBER(SEARCH("(5х",DS43)),N(DV43)=1),"5 жил на 1 фазе",""),IF(AND(AT43="R",AD43&lt;&gt;"",OR(N(EH43)=0,N(EH43)&gt;30)),"розетка без дифзащиты до 30 мА",""),IFERROR(IF(AND(ISNUMBER(CD43),CD43&gt;CE43),"потери "&amp;FIXED(CD43,1)&amp;" % &gt; "&amp;CE43&amp;" %",""),""),IFERROR(IF(LEFT(FJ43,4)="мало","Iкз мало — отключение &gt; 0,4 с",""),""),IF(AND(D43&lt;&gt;"",BD43=""),"не на схеме","")))</f>
        <v/>
      </c>
      <c r="FL43" s="6">
        <f>IF(AD43="","",_xlfn.LET(_xlpm.t,IFERROR(_xlfn.XLOOKUP(EP43,Каталог!$U$4:$U$500,Каталог!$G$4:$G$500),""),_xlpm.k,SEARCH("кА",_xlpm.t),IFERROR(--TRIM(RIGHT(SUBSTITUTE(MID(_xlpm.t,MAX(1,_xlpm.k-4),_xlpm.k-MAX(1,_xlpm.k-4))," ",REPT(" ",9)),5)),"")))</f>
        <v>6</v>
      </c>
      <c r="FM43" t="str">
        <f>IF(OR(FL43="",AD43=""),"",IF(_xlfn.XLOOKUP(A43,Щиты[Щит],Щиты[Iкз max на шинах, кА],"")="","",IF(FL43&lt;_xlfn.XLOOKUP(A43,Щиты[Щит],Щиты[Iкз max на шинах, кА]),"Icu "&amp;FL43&amp;" кА &lt; Iкз max","ok")))</f>
        <v/>
      </c>
      <c r="FN43" t="str">
        <f t="shared" si="154"/>
        <v>QFD22|XT20</v>
      </c>
      <c r="FO43" t="str">
        <f t="shared" si="155"/>
        <v>QFD22|XT20|кабель ВВГнг(А)-LS (3х2,5) → Розеточная группа  Пом. №08</v>
      </c>
      <c r="FP43" t="str" cm="1">
        <f t="array" ref="FP43">IF(FO43="","",_xlfn.LET(_xlpm.nd,_xlfn.TEXTSPLIT(FO43,"|"),IF(COLUMNS(_xlpm.nd)&gt;1,A43&amp;"¦"&amp;INDEX(_xlpm.nd,1)&amp;"¦"&amp;INDEX(_xlpm.nd,2),"")))</f>
        <v>ЩР¦QFD22¦XT20</v>
      </c>
      <c r="FQ43" t="str">
        <f t="shared" si="156"/>
        <v>R.1.08.1¦Розеточная группа  Пом. №08</v>
      </c>
      <c r="FR43" t="str" cm="1">
        <f t="array" ref="FR43">IF(FO43="","",_xlfn.LET(_xlpm.nd,_xlfn.TEXTSPLIT(FO43,"|"),IF(COLUMNS(_xlpm.nd)&gt;2,A43&amp;"¦"&amp;INDEX(_xlpm.nd,2)&amp;"¦"&amp;INDEX(_xlpm.nd,3),"")))</f>
        <v>ЩР¦XT20¦кабель ВВГнг(А)-LS (3х2,5) → Розеточная группа  Пом. №08</v>
      </c>
      <c r="FS43" t="str">
        <f t="shared" si="157"/>
        <v>R.1.08.1¦Розеточная группа  Пом. №08</v>
      </c>
      <c r="FT43" t="str" cm="1">
        <f t="array" ref="FT43">IF(FO43="","",_xlfn.LET(_xlpm.nd,_xlfn.TEXTSPLIT(FO43,"|"),IF(COLUMNS(_xlpm.nd)&gt;3,A43&amp;"¦"&amp;INDEX(_xlpm.nd,3)&amp;"¦"&amp;INDEX(_xlpm.nd,4),"")))</f>
        <v/>
      </c>
      <c r="FU43" t="str">
        <f t="shared" si="158"/>
        <v/>
      </c>
      <c r="FV43" t="str" cm="1">
        <f t="array" ref="FV43">IF(FO43="","",_xlfn.LET(_xlpm.nd,_xlfn.TEXTSPLIT(FO43,"|"),IF(COLUMNS(_xlpm.nd)&gt;4,A43&amp;"¦"&amp;INDEX(_xlpm.nd,4)&amp;"¦"&amp;INDEX(_xlpm.nd,5),"")))</f>
        <v/>
      </c>
      <c r="FW43" t="str">
        <f t="shared" si="159"/>
        <v/>
      </c>
      <c r="FX43" t="str" cm="1">
        <f t="array" ref="FX43">IF(FO43="","",_xlfn.LET(_xlpm.nd,_xlfn.TEXTSPLIT(FO43,"|"),IF(COLUMNS(_xlpm.nd)&gt;5,A43&amp;"¦"&amp;INDEX(_xlpm.nd,5)&amp;"¦"&amp;INDEX(_xlpm.nd,6),"")))</f>
        <v/>
      </c>
      <c r="FY43" t="str">
        <f t="shared" si="160"/>
        <v/>
      </c>
      <c r="FZ43" t="str" cm="1">
        <f t="array" ref="FZ43">IF(FO43="","",_xlfn.LET(_xlpm.nd,_xlfn.TEXTSPLIT(FO43,"|"),IF(COLUMNS(_xlpm.nd)&gt;6,A43&amp;"¦"&amp;INDEX(_xlpm.nd,6)&amp;"¦"&amp;INDEX(_xlpm.nd,7),"")))</f>
        <v/>
      </c>
      <c r="GA43" t="str">
        <f t="shared" si="161"/>
        <v/>
      </c>
      <c r="GB43" t="str">
        <f t="shared" si="162"/>
        <v/>
      </c>
      <c r="GC43" t="str">
        <f t="shared" si="163"/>
        <v>QFD22 → XT20</v>
      </c>
      <c r="GD43">
        <f t="shared" si="164"/>
        <v>1</v>
      </c>
      <c r="GE43">
        <f t="shared" si="165"/>
        <v>0</v>
      </c>
      <c r="GF43">
        <f t="shared" si="166"/>
        <v>1</v>
      </c>
      <c r="GG43" t="str">
        <f t="shared" si="167"/>
        <v/>
      </c>
      <c r="GH43" t="str">
        <f t="shared" si="168"/>
        <v/>
      </c>
      <c r="GI43" t="str">
        <f t="shared" si="169"/>
        <v/>
      </c>
      <c r="GJ43" t="str">
        <f t="shared" si="170"/>
        <v/>
      </c>
      <c r="GK43" t="str">
        <f>IF(D43="","",IFERROR(VLOOKUP(D43,УГО_спр,2,FALSE),IFERROR(VLOOKUP(AT43,УГО_спр,2,FALSE),IFERROR(VLOOKUP(LEFT(AT43,2),УГО_спр,2,FALSE),""))))</f>
        <v>Розетка</v>
      </c>
      <c r="GL43" t="str">
        <f>IF(D43="","",IF(OR(GK43="",GK43=0),"BOX",IFERROR(IF(VLOOKUP(GK43,УГО_блоки,3,FALSE)&amp;""&lt;&gt;"",VLOOKUP(GK43,УГО_блоки,3,FALSE),VLOOKUP(GK43,УГО_блоки,2,FALSE)),GK43)))</f>
        <v>SOCKET</v>
      </c>
      <c r="GM43">
        <f t="shared" si="171"/>
        <v>1</v>
      </c>
      <c r="GN43" t="str">
        <f>IF(EP43="","",IF(COUNTIF(EP$3:EP43,EP43)=1,MAX(GN$2:GN42)+1,""))</f>
        <v/>
      </c>
      <c r="GO43" t="str">
        <f>IF(AF43="","",IF(COUNTIF(AF$3:AF43,AF43)+COUNTIF(AG$2:AG42,AF43)+COUNTIF(AH$2:AH42,AF43)=1,MAX(GO$2:GQ42)+1,""))</f>
        <v/>
      </c>
      <c r="GP43" t="str">
        <f>IF(AG43="","",IF(COUNTIF(AF$3:AF43,AG43)+COUNTIF(AG$3:AG43,AG43)+COUNTIF(AH$2:AH42,AG43)=1,MAX(GO$2:GQ42,GO43)+1,""))</f>
        <v/>
      </c>
      <c r="GQ43" t="str">
        <f>IF(AH43="","",IF(COUNTIF(AF$3:AF43,AH43)+COUNTIF(AG$3:AG43,AH43)+COUNTIF(AH$3:AH43,AH43)=1,MAX(GO$2:GQ42,GO43,GP43)+1,""))</f>
        <v/>
      </c>
      <c r="GR43" t="str">
        <f t="shared" si="172"/>
        <v>3х2,5</v>
      </c>
      <c r="GS43" t="str">
        <f>IF(GR43="","",IF(COUNTIF(GR$3:GR43,GR43)=1,MAX(GS$2:GS42)+1,""))</f>
        <v/>
      </c>
      <c r="GT43" t="str">
        <f>IF(ES43="","",COUNTIF(ES$3:ES43,"?*"))</f>
        <v/>
      </c>
      <c r="GU43" t="str">
        <f>IF(OR(ES43="",EU43=""),"",IF(COUNTIFS(ES$3:ES43,"?*",EU$3:EU43,EU43)=1,MAX(GU$2:GU42)+1,""))</f>
        <v/>
      </c>
      <c r="GV43">
        <f t="shared" si="173"/>
        <v>0</v>
      </c>
      <c r="GW43">
        <f>IF(D43="","",COUNTIF(D$3:D43,"?*"))</f>
        <v>23</v>
      </c>
      <c r="GX43">
        <f>IF(EX43&lt;&gt;1,0,_xlfn.LET(_xlpm.k,MAX(IFERROR(--VLOOKUP(D43,УГО_спр,5,FALSE),0),IFERROR(--VLOOKUP(AT43,УГО_спр,5,FALSE),0),IFERROR(--VLOOKUP(LEFT(AT43,2),УГО_спр,5,FALSE),0)),IF(_xlpm.k&gt;0,_xlpm.k,IF(IFERROR(--LEFT(SUBSTITUTE(GR43,"x","х"),FIND("х",SUBSTITUTE(GR43,"x","х"))-1),3)&gt;3,Каталог!$S$9,1))))</f>
        <v>1</v>
      </c>
      <c r="GY43">
        <f t="shared" si="174"/>
        <v>0</v>
      </c>
    </row>
    <row r="44" spans="1:207" x14ac:dyDescent="0.3">
      <c r="A44" t="s">
        <v>206</v>
      </c>
      <c r="B44">
        <v>44</v>
      </c>
      <c r="C44" t="str">
        <f>IF(BD44="","",IF(BE44="вводной узел","узел ","")&amp;"л."&amp;(INT((BD44-1)/Столбцов_на_лист)+1)&amp;" / "&amp;(MOD(BD44-1,Столбцов_на_лист)+1))</f>
        <v>л.3 / 10</v>
      </c>
      <c r="D44" t="s">
        <v>705</v>
      </c>
      <c r="E44" s="133" t="str">
        <f t="shared" si="175"/>
        <v>Розеточная группа  Пом. №08</v>
      </c>
      <c r="G44">
        <v>0.36</v>
      </c>
      <c r="H44">
        <v>6</v>
      </c>
      <c r="O44">
        <v>1</v>
      </c>
      <c r="T44">
        <v>2</v>
      </c>
      <c r="AD44" t="s">
        <v>597</v>
      </c>
      <c r="AK44" t="s">
        <v>618</v>
      </c>
      <c r="AN44">
        <v>14.99</v>
      </c>
      <c r="AO44" t="s">
        <v>674</v>
      </c>
      <c r="AQ44" t="s">
        <v>675</v>
      </c>
      <c r="AR44" t="str">
        <f t="shared" si="88"/>
        <v/>
      </c>
      <c r="AS44" cm="1">
        <f t="array" ref="AS44">ROW()-ROW(Линии[#Headers])</f>
        <v>42</v>
      </c>
      <c r="AT44" s="6" t="str">
        <f t="shared" si="89"/>
        <v>R</v>
      </c>
      <c r="AU44" t="str">
        <f t="shared" si="90"/>
        <v>1.08.2</v>
      </c>
      <c r="AV44" t="str">
        <f t="shared" si="91"/>
        <v>1</v>
      </c>
      <c r="AW44" t="str">
        <f t="shared" si="92"/>
        <v>08.2</v>
      </c>
      <c r="AX44" t="str">
        <f t="shared" si="93"/>
        <v>08</v>
      </c>
      <c r="AY44" t="str">
        <f>IF(D44="","",IF(ISERROR(SEARCH(".",D44)),IFERROR(VLOOKUP(D44,Потребители_обозначение,2,FALSE)&amp;"",""),IFERROR(IF(VLOOKUP(AT44,Потребители_обозначение,4,FALSE)=1,VLOOKUP(AT44,Потребители_обозначение,2,FALSE)&amp;" "&amp;VLOOKUP(AV44,Этаж_обозначение,2,FALSE)&amp;" Пом. №"&amp;AX44,VLOOKUP(AT44,Потребители_обозначение,2,FALSE)&amp;" Шлейф №"&amp;AV44),IFERROR(VLOOKUP(D44,Потребители_обозначение,2,FALSE),""))))</f>
        <v>Розеточная группа  Пом. №08</v>
      </c>
      <c r="AZ44" t="str">
        <f t="shared" si="94"/>
        <v>Розеточная группа  Пом. №08</v>
      </c>
      <c r="BA44" t="str">
        <f>IF(F44&lt;&gt;"",F44,IF(AND(D44&lt;&gt;"",D44&lt;&gt;A44,ISNUMBER(_xlfn.XMATCH(D44,Щиты[Щит]))),D44,""))</f>
        <v/>
      </c>
      <c r="BB44">
        <f>IFERROR(_xlfn.XMATCH(A44,Щиты[Щит]),0)</f>
        <v>1</v>
      </c>
      <c r="BC44">
        <f>IFERROR(N(_xlfn.XLOOKUP(A44,Щиты[Щит],Щиты[Мест под вводной узел])),15)</f>
        <v>18</v>
      </c>
      <c r="BD44">
        <f t="shared" si="95"/>
        <v>44</v>
      </c>
      <c r="BE44" t="str">
        <f t="shared" si="96"/>
        <v>линии</v>
      </c>
      <c r="BF44" s="6">
        <f>IF(D44="","",IF(BA44&lt;&gt;"",IFERROR(_xlfn.XLOOKUP(BA44,Щиты[Щит],Щиты[Руст, кВт]),0),N(G44)))</f>
        <v>0.36</v>
      </c>
      <c r="BG44">
        <f>IF(J44&lt;&gt;"",J44,IF(D44="","",IFERROR(IF(VLOOKUP(AT44,Потребители_обозначение,8,FALSE)=0,"",VLOOKUP(AT44,Потребители_обозначение,8,FALSE)),"")))</f>
        <v>230</v>
      </c>
      <c r="BH44">
        <f>IF(I44&lt;&gt;"",I44,IF(D44="","",IFERROR(IF(VLOOKUP(AT44,Потребители_обозначение,9,FALSE)=0,"",VLOOKUP(AT44,Потребители_обозначение,9,FALSE)),"")))</f>
        <v>1</v>
      </c>
      <c r="BI44" t="str">
        <f>IF(U44&lt;&gt;"",U44,IF(D44="","",IFERROR(IF(VLOOKUP(AT44,Потребители_обозначение,6,FALSE)=0,"",VLOOKUP(AT44,Потребители_обозначение,6,FALSE)),"")))</f>
        <v>мс</v>
      </c>
      <c r="BJ44">
        <f>IF(V44&lt;&gt;"",V44,IF(D44="","",IFERROR(IF(VLOOKUP(AT44,Потребители_обозначение,7,FALSE)=0,"",VLOOKUP(AT44,Потребители_обозначение,7,FALSE)),"")))</f>
        <v>3</v>
      </c>
      <c r="BK44">
        <f>IF(W44&lt;&gt;"",W44,IF(D44="","",IFERROR(IF(VLOOKUP(AT44,Потребители_обозначение,10,FALSE)=0,"",VLOOKUP(AT44,Потребители_обозначение,10,FALSE)),"")))</f>
        <v>2.5</v>
      </c>
      <c r="BL44">
        <f>IFERROR(VLOOKUP(AT44,Потребители_обозначение,5,FALSE),0)</f>
        <v>1</v>
      </c>
      <c r="BM44" s="6" cm="1">
        <f t="array" ref="BM44">IF(D44="","",IF(BA44&lt;&gt;"",IFERROR(_xlfn.XLOOKUP(BA44,Щиты[Щит],Щиты[cos φ]),0.95),IF(ISNUMBER(M44),M44,IFERROR(IF(BL44=2,_xlfn.IFS(BH44=3,VLOOKUP(BF44,Справочная_двигатели,8,FALSE),BH44=1,VLOOKUP(BF44,Справочная_двигатели,10,TRUE)),IF(AND(Методика="нормы 2026",CN44="Сил"),0.8,0.95)),0.95))))</f>
        <v>0.95</v>
      </c>
      <c r="BN44" s="6" cm="1">
        <f t="array" ref="BN44">IF(D44="","",IF(BA44&lt;&gt;"",IFERROR(_xlfn.XLOOKUP(BA44,Щиты[Щит],Щиты[Iр, А]),""),IFERROR(_xlfn.IFS(BH44=1,BF44/((Uн_лин/SQRT(3))*BM44),BH44=3,BF44/(SQRT(3)*Uн_лин*BM44)),"")))</f>
        <v>1.6408902387494626</v>
      </c>
      <c r="BO44">
        <f>IF(D44="","",IF(N(X44)=0,IFERROR(VLOOKUP(BN44,Автомат_номиналы,2,TRUE),""),X44))</f>
        <v>6</v>
      </c>
      <c r="BP44">
        <f t="shared" si="97"/>
        <v>1</v>
      </c>
      <c r="BQ44">
        <f>IF(ISNUMBER(Y44),Y44,К_прокл)</f>
        <v>1</v>
      </c>
      <c r="BR44">
        <f t="shared" si="98"/>
        <v>2</v>
      </c>
      <c r="BS44" cm="1">
        <f t="array" ref="BS44">IF(D44="","",IF(N(BK44)&lt;&gt;0,BK44,IFERROR(_xlfn.LET(_xlpm.need,BO44/(BP44*BQ44),_xlpm.t,CHOOSE(BR44,Iдоп_1ж,Iдоп_2ж,Iдоп_3ж),_xlpm.k,_xlfn.XMATCH(_xlpm.need,_xlpm.t,1),IF(ISNA(_xlpm.k),"Не исп",INDEX(Iдоп_S,_xlpm.k))),"Не исп")))</f>
        <v>2.5</v>
      </c>
      <c r="BT44">
        <f>IFERROR(VLOOKUP(BS44,Кабель_сопротивление,3,FALSE),"")</f>
        <v>2.2499999999999999E-2</v>
      </c>
      <c r="BU44">
        <f>IFERROR(VLOOKUP(BS44,Кабель_сопротивление,2,FALSE),"")</f>
        <v>0.1</v>
      </c>
      <c r="BV44">
        <f t="shared" si="99"/>
        <v>15</v>
      </c>
      <c r="BW44" s="6">
        <f>IF(D44="","",IFERROR(IF(VLOOKUP(AT44,Потребители_обозначение,4,FALSE)=1,VLOOKUP(AT44,Потребители_обозначение,3,FALSE)*(H44*2-1)+BV44+VLOOKUP(AV44,Этаж_обозначение,3,FALSE)+VLOOKUP(AV44,Этаж_обозначение,4,FALSE),VLOOKUP(AT44,Потребители_обозначение,3,FALSE)*(H44*2-1)+BV44),BV44))</f>
        <v>37</v>
      </c>
      <c r="BX44">
        <f t="shared" si="100"/>
        <v>0</v>
      </c>
      <c r="BY44">
        <f t="shared" si="101"/>
        <v>33</v>
      </c>
      <c r="BZ44">
        <f t="shared" si="102"/>
        <v>2</v>
      </c>
      <c r="CA44">
        <f t="shared" si="103"/>
        <v>0.31</v>
      </c>
      <c r="CB44">
        <f t="shared" si="104"/>
        <v>1.0419554562644764</v>
      </c>
      <c r="CC44" s="6">
        <f>IFERROR(ROUNDUP(CB44/((Uн_лин/SQRT(3))*1000)*100,2),"")</f>
        <v>0.46</v>
      </c>
      <c r="CD44" s="6">
        <f>IF(ISNUMBER(CC44),CC44+IFERROR(_xlfn.XLOOKUP(A44,Щиты[Щит],Щиты[ΔU до шин, %]),0),"")</f>
        <v>0.46</v>
      </c>
      <c r="CE44" s="6">
        <f>IF(D44="","",IF(IFERROR(VLOOKUP(AT44,УГО_спр,2,FALSE),"")="Светильник",3,4)+IF(Методика="нормы 2026",MIN(0.5,MAX(0,N(BW44)-100)*0.005),0))</f>
        <v>4</v>
      </c>
      <c r="CF44" t="str">
        <f>IFERROR(VLOOKUP(BI44,Кабель_обозначение,2,FALSE),"")</f>
        <v>ВВГнг(А)-LS</v>
      </c>
      <c r="CG44" t="str">
        <f>IFERROR(IF(VLOOKUP(BI44,Кабель_обозначение,3,FALSE)=1,CF44&amp;" ("&amp;BJ44&amp;"х"&amp;BS44&amp;")",CF44),"")</f>
        <v>ВВГнг(А)-LS (3х2,5)</v>
      </c>
      <c r="CH44" t="str">
        <f t="shared" si="105"/>
        <v>ВВГнг(А)-LS (3х2,5)
L=37-0,46%</v>
      </c>
      <c r="CI44">
        <f>IFERROR(2*ρкз_Cu*BW44/BS44,"")</f>
        <v>0.77847999999999995</v>
      </c>
      <c r="CJ44">
        <f t="shared" si="106"/>
        <v>0.25900000000000001</v>
      </c>
      <c r="CK44" s="6" t="str">
        <f>IFERROR(IF(OR(D44="",NOT(ISNUMBER(BS44)),N(BW44)=0),"",_xlfn.XLOOKUP(A44,Щиты[Щит],Щиты[Zпетли на шинах, Ом])+CI44),"")</f>
        <v/>
      </c>
      <c r="CL44" s="6" t="str">
        <f>IF(ISNUMBER(CK44),c_min*(Uн_лин*1000/SQRT(3))/CK44,"")</f>
        <v/>
      </c>
      <c r="CM44" s="6" t="str">
        <f>IFERROR(IF(OR(D44="",NOT(ISNUMBER(BS44))),"",1.05*(Uн_лин*1000/SQRT(3))/(_xlfn.XLOOKUP(A44,Щиты[Щит],Щиты[Zmax на шинах, Ом])+CJ44)/1000),"")</f>
        <v/>
      </c>
      <c r="CN44" s="6" t="str">
        <f>IF(D44="","",IF(BA44&lt;&gt;"","Щит",IF(K44&lt;&gt;"",K44,IF(ISNUMBER(L44),"Сил",IF(IFERROR(_xlfn.XLOOKUP(AT44,Коды_код,Коды_группа)&amp;"","")="","Быт",_xlfn.XLOOKUP(AT44,Коды_код,Коды_группа)&amp;"")))))</f>
        <v>Быт</v>
      </c>
      <c r="CO44" s="6">
        <f>IF(CN44="Щит","щит",IF(CN44="","",IF(CN44="Быт",IFERROR(_xlfn.XLOOKUP(A44,Щиты[Щит],Щиты[Кс быт]),1),IF(CN44="Сил",IF(ISNUMBER(L44),L44,IF(Методика="нормы 2026",IFERROR(_xlfn.XLOOKUP(A44,Щиты[Щит],Щиты[Кс силовых (табл. 7.5)]),1),1)),IF(OR(CN44="Пост",CN44="Отоп"),1,IF(CN44="ВНГ",0.7,0))))))</f>
        <v>0.8</v>
      </c>
      <c r="CP44">
        <f t="shared" si="107"/>
        <v>1</v>
      </c>
      <c r="CQ44">
        <f t="shared" si="108"/>
        <v>0.36</v>
      </c>
      <c r="CR44">
        <f t="shared" si="109"/>
        <v>0.36</v>
      </c>
      <c r="CS44">
        <f t="shared" si="110"/>
        <v>0</v>
      </c>
      <c r="CT44">
        <f t="shared" si="111"/>
        <v>0</v>
      </c>
      <c r="CU44">
        <f t="shared" si="112"/>
        <v>0</v>
      </c>
      <c r="CV44">
        <f t="shared" si="113"/>
        <v>0</v>
      </c>
      <c r="CW44">
        <f t="shared" si="114"/>
        <v>0.36</v>
      </c>
      <c r="CX44">
        <f t="shared" si="115"/>
        <v>0.34199999999999997</v>
      </c>
      <c r="CY44">
        <f t="shared" si="116"/>
        <v>2</v>
      </c>
      <c r="CZ44" t="str">
        <f t="shared" si="117"/>
        <v>L2</v>
      </c>
      <c r="DA44" cm="1">
        <f t="array" ref="DA44">IFERROR(IF(BL44=2,_xlfn.IFS(BH44=3,VLOOKUP(BF44,Справочная_двигатели,3,FALSE),BH44=1,VLOOKUP(BF44,Справочная_двигатели,5,TRUE)),0),0)</f>
        <v>0</v>
      </c>
      <c r="DB44">
        <f>IFERROR(IF(BL44=3,VLOOKUP(BF44,Справочная_ЛЭД,2,TRUE),0),0)</f>
        <v>0</v>
      </c>
      <c r="DC44" s="6">
        <f t="shared" si="118"/>
        <v>0</v>
      </c>
      <c r="DD44" t="str">
        <f t="shared" si="119"/>
        <v>L1</v>
      </c>
      <c r="DE44" t="str" cm="1">
        <f t="array" ref="DE44">IF(D44="","",IFERROR(INDEX({"I особая","I","II","III"},MATCH(TRIM(AA44&amp;""),{"I особая","I","II","III"},0)),"III"))</f>
        <v>III</v>
      </c>
      <c r="DF44" t="str">
        <f>IF(D44="","",IF(TRIM(AB44&amp;"")&lt;&gt;"",IF(LOWER(TRIM(AB44&amp;""))="да","да","нет"),IF(IFERROR(_xlfn.XLOOKUP(AT44,Коды_код,Коды_пожарная),"")="да","да","нет")))</f>
        <v>нет</v>
      </c>
      <c r="DG44" t="str">
        <f t="shared" si="120"/>
        <v/>
      </c>
      <c r="DH44" t="str">
        <f t="shared" si="121"/>
        <v>основная</v>
      </c>
      <c r="DI44">
        <f t="shared" si="122"/>
        <v>1</v>
      </c>
      <c r="DJ44" t="str" cm="1">
        <f t="array" ref="DJ44">IF(D44="","",_xlfn.LET(_xlpm.t,IFERROR(_xlfn.XLOOKUP(1,(Шины[Шина]=DH44)*(((Шины[Щит]=A44)+(Шины[Щит]=""))&gt;0),Шины[Тип]),"")&amp;"",IF(_xlpm.t&lt;&gt;"",_xlpm.t,IF(ISNUMBER(SEARCH("ИБП",DH44)),"ИБП",IF(ISNUMBER(SEARCH("ДГУ",DH44)),"ДГУ","Ввод "&amp;DI44)))))</f>
        <v>Ввод 1</v>
      </c>
      <c r="DK44" t="str">
        <f t="shared" si="123"/>
        <v>Ввод 1</v>
      </c>
      <c r="DL44" t="str">
        <f>IF(D44="","",IF(OR(DJ44="ИБП",DJ44="ДГУ"),"I особая",IF(DJ44="Одиночная","III",_xlfn.XLOOKUP(A44,Щиты[Щит],Щиты[Категория шины «Ввод»],"III"))))</f>
        <v>III</v>
      </c>
      <c r="DM44">
        <f>IF(D44="",0,IFERROR(MATCH(DE44,{"III","II","I","I особая"},0),1))</f>
        <v>1</v>
      </c>
      <c r="DN44">
        <f t="shared" si="124"/>
        <v>1</v>
      </c>
      <c r="DO44" t="str">
        <f>IF(D44="","",IF(DM44&gt;IFERROR(MATCH(DL44,{"III","II","I","I особая"},0),1),"НЕ ОБЕСПЕЧЕНА","ОК"))</f>
        <v>ОК</v>
      </c>
      <c r="DP44" t="str">
        <f>IF(A44="","",_xlfn.XLOOKUP(A44,Щиты[Щит],Щиты[Путь],""))</f>
        <v>|ЩР|</v>
      </c>
      <c r="DQ44" t="str">
        <f>IF(D44="","",IF(Z44&lt;&gt;"",Z44,IF(IFERROR(_xlfn.XLOOKUP(AT44,Коды_код,Коды_вид)&amp;"","")="","Прочее",_xlfn.XLOOKUP(AT44,Коды_код,Коды_вид)&amp;"")))</f>
        <v>Розеточная сеть и бытовые приборы</v>
      </c>
      <c r="DR44">
        <f>IF(BD44="","",INT((BD44-1)/Столбцов_на_лист)+1)</f>
        <v>3</v>
      </c>
      <c r="DS44" t="str">
        <f t="shared" si="125"/>
        <v>ВВГнг(А)-LS (3х2,5) L=37-0,46%</v>
      </c>
      <c r="DT44">
        <f t="shared" si="126"/>
        <v>0.36</v>
      </c>
      <c r="DU44">
        <f t="shared" si="127"/>
        <v>1.65</v>
      </c>
      <c r="DV44">
        <f t="shared" si="128"/>
        <v>1</v>
      </c>
      <c r="DW44">
        <f>IF(AT44="",0,_xlfn.LET(_xlpm.v,IFERROR(VLOOKUP(D44,УГО_спр,3,FALSE),IFERROR(VLOOKUP(AT44,УГО_спр,3,FALSE),IFERROR(VLOOKUP(LEFT(AT44,2),УГО_спр,3,FALSE),""))),IF(_xlpm.v="да",30,IF(ISNUMBER(_xlpm.v),_xlpm.v,0))))</f>
        <v>30</v>
      </c>
      <c r="DX44">
        <f t="shared" si="129"/>
        <v>0</v>
      </c>
      <c r="DY44">
        <f>IF(BD44="","",IF(AD44&lt;&gt;"",COUNTIFS(A$3:A44,A44,AD$3:AD44,"?*"),IF(OR(OR(AS44=1,A44&lt;&gt;A43),AL44="вручную"),"",IF(AS44=1,"",DZ43))))</f>
        <v>23</v>
      </c>
      <c r="DZ44">
        <f t="shared" si="130"/>
        <v>23</v>
      </c>
      <c r="EA44">
        <f>IF(D44="",0,MAX(IFERROR(--X44,0),IFERROR(--VLOOKUP(D44,УГО_спр,4,FALSE),IFERROR(--VLOOKUP(AT44,УГО_спр,4,FALSE),IFERROR(--VLOOKUP(LEFT(AT44,2),УГО_спр,4,FALSE),0)))))</f>
        <v>16</v>
      </c>
      <c r="EB44">
        <f>IF(D44="","",IFERROR(LOOKUP(INDEX(CHOOSE(BR44,Iдоп_1ж,Iдоп_2ж,Iдоп_3ж),MATCH(BS44,Iдоп_S,0))*BP44*BQ44,{6,10,16,20,25,32,40,50,63,80,100,125,160,200,250,315,400,500,630}),""))</f>
        <v>25</v>
      </c>
      <c r="EC44">
        <f>IF(AD44="","",SUMIFS(Линии[_Ток схемы],Линии[_гр.],DY44,Линии[Щит],A44,Линии[_в кабель выше],0))</f>
        <v>1.65</v>
      </c>
      <c r="ED44">
        <f>IF(AD44="","",IFERROR(VLOOKUP(EC44,Автомат_номиналы,2,TRUE),""))</f>
        <v>6</v>
      </c>
      <c r="EE44">
        <f>IF(AD44="","",MAX(N(ED44),_xlfn.MAXIFS(Линии[_мин. по типу],Линии[_гр.],DY44,Линии[Щит],A44)))</f>
        <v>16</v>
      </c>
      <c r="EF44">
        <f>IF(AD44="","",_xlfn.MINIFS(Линии[_макс. автомат по кабелю],Линии[_гр.],DY44,Линии[Щит],A44))</f>
        <v>25</v>
      </c>
      <c r="EG44">
        <f>IF(AD44="","",MAX(1,_xlfn.MAXIFS(Линии[_фаз],Линии[_гр.],DY44,Линии[Щит],A44)))</f>
        <v>1</v>
      </c>
      <c r="EH44">
        <f>IF(AD44="","",IF(AND(AD44&lt;&gt;"авто",AD44&lt;&gt;"+"),IF(ISNUMBER(SEARCH("мА",AD44)),IFERROR(--TRIM(RIGHT(SUBSTITUTE(LEFT(AD44,SEARCH("мА",AD44)-1)," ",REPT(" ",9)),6)),30),0),IF(AE44="нет",0,IF(ISNUMBER(AE44),AE44,IF(AE44="да",30,_xlfn.MINIFS(Линии[_дифзащита по коду, мА],Линии[_гр.],DY44,Линии[Щит],A44,Линии[_дифзащита по коду, мА],"&gt;0"))))))</f>
        <v>30</v>
      </c>
      <c r="EI44">
        <f t="shared" si="131"/>
        <v>1</v>
      </c>
      <c r="EJ44" t="str">
        <f t="shared" si="132"/>
        <v>QFD23</v>
      </c>
      <c r="EK44" t="str">
        <f t="shared" si="133"/>
        <v>QFD23</v>
      </c>
      <c r="EL44" t="str">
        <f t="shared" si="134"/>
        <v/>
      </c>
      <c r="EM44">
        <f t="shared" si="135"/>
        <v>0</v>
      </c>
      <c r="EN44">
        <f>IF(AD44="","",IF(EM44=1,MAX(EE44,Мин_автомат_БП),EE44))</f>
        <v>16</v>
      </c>
      <c r="EO44" t="str">
        <f t="shared" si="136"/>
        <v>2P</v>
      </c>
      <c r="EP44" t="str">
        <f t="shared" si="137"/>
        <v>2P С16А 30мА</v>
      </c>
      <c r="EQ44">
        <f t="shared" si="138"/>
        <v>16</v>
      </c>
      <c r="ER44" t="str">
        <f>IF(OR(AI44="",AI44="-"),"",IFERROR(VLOOKUP(AI44,Модули_спр,2,FALSE),"R"))</f>
        <v/>
      </c>
      <c r="ES44" t="str">
        <f>IF(ER44="","",ER44&amp;"."&amp;COUNTIFS(A$3:A44,A44,ER$3:ER44,ER44))</f>
        <v/>
      </c>
      <c r="ET44" t="str">
        <f t="shared" si="139"/>
        <v/>
      </c>
      <c r="EU44" t="str">
        <f t="shared" si="140"/>
        <v/>
      </c>
      <c r="EV44" t="str">
        <f t="shared" si="141"/>
        <v/>
      </c>
      <c r="EW44" t="str">
        <f t="shared" si="142"/>
        <v/>
      </c>
      <c r="EX44">
        <f t="shared" si="143"/>
        <v>1</v>
      </c>
      <c r="EY44" t="str">
        <f>IF(AK44="нет","",IF(AK44&lt;&gt;"",AK44,IF(EX44=1,"XT"&amp;COUNTIFS(A$3:A44,A44,EX$3:EX44,1),"")))</f>
        <v>XT21</v>
      </c>
      <c r="EZ44" t="str">
        <f t="shared" si="144"/>
        <v>QFD23</v>
      </c>
      <c r="FA44" t="str">
        <f t="shared" si="145"/>
        <v/>
      </c>
      <c r="FB44" t="str">
        <f t="shared" si="146"/>
        <v>ok</v>
      </c>
      <c r="FC44" t="str">
        <f>IF(OR(EV44="",ET44=""),"",IF(EV44&gt;IFERROR(VLOOKUP(EU44,Модули_спр,3,FALSE),99),"ЛИШНИЙ КАНАЛ",IF(AND(AJ44&lt;&gt;"=",COUNTIFS(Линии[_модуль гр.],ET44,Линии[Канал (итог)],EV44,Линии[Канал],"&lt;&gt;=",Линии[Щит],A44)&gt;1),"ДУБЛЬ КАНАЛА","")))</f>
        <v/>
      </c>
      <c r="FD44">
        <f t="shared" si="147"/>
        <v>16</v>
      </c>
      <c r="FE44" t="str">
        <f t="shared" si="148"/>
        <v>2P С16А 30мА</v>
      </c>
      <c r="FF44">
        <f t="shared" si="149"/>
        <v>1</v>
      </c>
      <c r="FG44">
        <f t="shared" si="150"/>
        <v>30</v>
      </c>
      <c r="FH44" s="6" t="str">
        <f t="shared" si="151"/>
        <v/>
      </c>
      <c r="FI44">
        <f t="shared" si="152"/>
        <v>10</v>
      </c>
      <c r="FJ44" t="str">
        <f t="shared" si="153"/>
        <v/>
      </c>
      <c r="FK44" t="str">
        <f>IF(AND(D44="",EZ44=""),"",_xlfn.TEXTJOIN("; ",TRUE,IF(AND(D44&lt;&gt;"",DD44=""),"нет фазы",""),IF(AND(D44&lt;&gt;"",N(DT44)=0,CN44&lt;&gt;"Нет"),"нет мощности",""),IF(AND(EY44&lt;&gt;"",COUNTIFS(Линии[Щит],A44,Линии[Клемма (итог)],EY44)&gt;1),"дубль клеммы "&amp;EY44,""),IF(AND(FB44&lt;&gt;"",FB44&lt;&gt;"ok"),FB44,""),IF(FC44&lt;&gt;"",FC44,""),IF(AND(ISNUMBER(SEARCH("(5х",DS44)),N(DV44)=1),"5 жил на 1 фазе",""),IF(AND(AT44="R",AD44&lt;&gt;"",OR(N(EH44)=0,N(EH44)&gt;30)),"розетка без дифзащиты до 30 мА",""),IFERROR(IF(AND(ISNUMBER(CD44),CD44&gt;CE44),"потери "&amp;FIXED(CD44,1)&amp;" % &gt; "&amp;CE44&amp;" %",""),""),IFERROR(IF(LEFT(FJ44,4)="мало","Iкз мало — отключение &gt; 0,4 с",""),""),IF(AND(D44&lt;&gt;"",BD44=""),"не на схеме","")))</f>
        <v/>
      </c>
      <c r="FL44" s="6">
        <f>IF(AD44="","",_xlfn.LET(_xlpm.t,IFERROR(_xlfn.XLOOKUP(EP44,Каталог!$U$4:$U$500,Каталог!$G$4:$G$500),""),_xlpm.k,SEARCH("кА",_xlpm.t),IFERROR(--TRIM(RIGHT(SUBSTITUTE(MID(_xlpm.t,MAX(1,_xlpm.k-4),_xlpm.k-MAX(1,_xlpm.k-4))," ",REPT(" ",9)),5)),"")))</f>
        <v>6</v>
      </c>
      <c r="FM44" t="str">
        <f>IF(OR(FL44="",AD44=""),"",IF(_xlfn.XLOOKUP(A44,Щиты[Щит],Щиты[Iкз max на шинах, кА],"")="","",IF(FL44&lt;_xlfn.XLOOKUP(A44,Щиты[Щит],Щиты[Iкз max на шинах, кА]),"Icu "&amp;FL44&amp;" кА &lt; Iкз max","ok")))</f>
        <v/>
      </c>
      <c r="FN44" t="str">
        <f t="shared" si="154"/>
        <v>QFD23|XT21</v>
      </c>
      <c r="FO44" t="str">
        <f t="shared" si="155"/>
        <v>QFD23|XT21|кабель ВВГнг(А)-LS (3х2,5) → Розеточная группа  Пом. №08</v>
      </c>
      <c r="FP44" t="str" cm="1">
        <f t="array" ref="FP44">IF(FO44="","",_xlfn.LET(_xlpm.nd,_xlfn.TEXTSPLIT(FO44,"|"),IF(COLUMNS(_xlpm.nd)&gt;1,A44&amp;"¦"&amp;INDEX(_xlpm.nd,1)&amp;"¦"&amp;INDEX(_xlpm.nd,2),"")))</f>
        <v>ЩР¦QFD23¦XT21</v>
      </c>
      <c r="FQ44" t="str">
        <f t="shared" si="156"/>
        <v>R.1.08.2¦Розеточная группа  Пом. №08</v>
      </c>
      <c r="FR44" t="str" cm="1">
        <f t="array" ref="FR44">IF(FO44="","",_xlfn.LET(_xlpm.nd,_xlfn.TEXTSPLIT(FO44,"|"),IF(COLUMNS(_xlpm.nd)&gt;2,A44&amp;"¦"&amp;INDEX(_xlpm.nd,2)&amp;"¦"&amp;INDEX(_xlpm.nd,3),"")))</f>
        <v>ЩР¦XT21¦кабель ВВГнг(А)-LS (3х2,5) → Розеточная группа  Пом. №08</v>
      </c>
      <c r="FS44" t="str">
        <f t="shared" si="157"/>
        <v>R.1.08.2¦Розеточная группа  Пом. №08</v>
      </c>
      <c r="FT44" t="str" cm="1">
        <f t="array" ref="FT44">IF(FO44="","",_xlfn.LET(_xlpm.nd,_xlfn.TEXTSPLIT(FO44,"|"),IF(COLUMNS(_xlpm.nd)&gt;3,A44&amp;"¦"&amp;INDEX(_xlpm.nd,3)&amp;"¦"&amp;INDEX(_xlpm.nd,4),"")))</f>
        <v/>
      </c>
      <c r="FU44" t="str">
        <f t="shared" si="158"/>
        <v/>
      </c>
      <c r="FV44" t="str" cm="1">
        <f t="array" ref="FV44">IF(FO44="","",_xlfn.LET(_xlpm.nd,_xlfn.TEXTSPLIT(FO44,"|"),IF(COLUMNS(_xlpm.nd)&gt;4,A44&amp;"¦"&amp;INDEX(_xlpm.nd,4)&amp;"¦"&amp;INDEX(_xlpm.nd,5),"")))</f>
        <v/>
      </c>
      <c r="FW44" t="str">
        <f t="shared" si="159"/>
        <v/>
      </c>
      <c r="FX44" t="str" cm="1">
        <f t="array" ref="FX44">IF(FO44="","",_xlfn.LET(_xlpm.nd,_xlfn.TEXTSPLIT(FO44,"|"),IF(COLUMNS(_xlpm.nd)&gt;5,A44&amp;"¦"&amp;INDEX(_xlpm.nd,5)&amp;"¦"&amp;INDEX(_xlpm.nd,6),"")))</f>
        <v/>
      </c>
      <c r="FY44" t="str">
        <f t="shared" si="160"/>
        <v/>
      </c>
      <c r="FZ44" t="str" cm="1">
        <f t="array" ref="FZ44">IF(FO44="","",_xlfn.LET(_xlpm.nd,_xlfn.TEXTSPLIT(FO44,"|"),IF(COLUMNS(_xlpm.nd)&gt;6,A44&amp;"¦"&amp;INDEX(_xlpm.nd,6)&amp;"¦"&amp;INDEX(_xlpm.nd,7),"")))</f>
        <v/>
      </c>
      <c r="GA44" t="str">
        <f t="shared" si="161"/>
        <v/>
      </c>
      <c r="GB44" t="str">
        <f t="shared" si="162"/>
        <v/>
      </c>
      <c r="GC44" t="str">
        <f t="shared" si="163"/>
        <v>QFD23 → XT21</v>
      </c>
      <c r="GD44">
        <f t="shared" si="164"/>
        <v>1</v>
      </c>
      <c r="GE44">
        <f t="shared" si="165"/>
        <v>0</v>
      </c>
      <c r="GF44">
        <f t="shared" si="166"/>
        <v>1</v>
      </c>
      <c r="GG44" t="str">
        <f t="shared" si="167"/>
        <v/>
      </c>
      <c r="GH44" t="str">
        <f t="shared" si="168"/>
        <v/>
      </c>
      <c r="GI44" t="str">
        <f t="shared" si="169"/>
        <v/>
      </c>
      <c r="GJ44" t="str">
        <f t="shared" si="170"/>
        <v/>
      </c>
      <c r="GK44" t="str">
        <f>IF(D44="","",IFERROR(VLOOKUP(D44,УГО_спр,2,FALSE),IFERROR(VLOOKUP(AT44,УГО_спр,2,FALSE),IFERROR(VLOOKUP(LEFT(AT44,2),УГО_спр,2,FALSE),""))))</f>
        <v>Розетка</v>
      </c>
      <c r="GL44" t="str">
        <f>IF(D44="","",IF(OR(GK44="",GK44=0),"BOX",IFERROR(IF(VLOOKUP(GK44,УГО_блоки,3,FALSE)&amp;""&lt;&gt;"",VLOOKUP(GK44,УГО_блоки,3,FALSE),VLOOKUP(GK44,УГО_блоки,2,FALSE)),GK44)))</f>
        <v>SOCKET</v>
      </c>
      <c r="GM44">
        <f t="shared" si="171"/>
        <v>1</v>
      </c>
      <c r="GN44" t="str">
        <f>IF(EP44="","",IF(COUNTIF(EP$3:EP44,EP44)=1,MAX(GN$2:GN43)+1,""))</f>
        <v/>
      </c>
      <c r="GO44" t="str">
        <f>IF(AF44="","",IF(COUNTIF(AF$3:AF44,AF44)+COUNTIF(AG$2:AG43,AF44)+COUNTIF(AH$2:AH43,AF44)=1,MAX(GO$2:GQ43)+1,""))</f>
        <v/>
      </c>
      <c r="GP44" t="str">
        <f>IF(AG44="","",IF(COUNTIF(AF$3:AF44,AG44)+COUNTIF(AG$3:AG44,AG44)+COUNTIF(AH$2:AH43,AG44)=1,MAX(GO$2:GQ43,GO44)+1,""))</f>
        <v/>
      </c>
      <c r="GQ44" t="str">
        <f>IF(AH44="","",IF(COUNTIF(AF$3:AF44,AH44)+COUNTIF(AG$3:AG44,AH44)+COUNTIF(AH$3:AH44,AH44)=1,MAX(GO$2:GQ43,GO44,GP44)+1,""))</f>
        <v/>
      </c>
      <c r="GR44" t="str">
        <f t="shared" si="172"/>
        <v>3х2,5</v>
      </c>
      <c r="GS44" t="str">
        <f>IF(GR44="","",IF(COUNTIF(GR$3:GR44,GR44)=1,MAX(GS$2:GS43)+1,""))</f>
        <v/>
      </c>
      <c r="GT44" t="str">
        <f>IF(ES44="","",COUNTIF(ES$3:ES44,"?*"))</f>
        <v/>
      </c>
      <c r="GU44" t="str">
        <f>IF(OR(ES44="",EU44=""),"",IF(COUNTIFS(ES$3:ES44,"?*",EU$3:EU44,EU44)=1,MAX(GU$2:GU43)+1,""))</f>
        <v/>
      </c>
      <c r="GV44">
        <f t="shared" si="173"/>
        <v>0</v>
      </c>
      <c r="GW44">
        <f>IF(D44="","",COUNTIF(D$3:D44,"?*"))</f>
        <v>24</v>
      </c>
      <c r="GX44">
        <f>IF(EX44&lt;&gt;1,0,_xlfn.LET(_xlpm.k,MAX(IFERROR(--VLOOKUP(D44,УГО_спр,5,FALSE),0),IFERROR(--VLOOKUP(AT44,УГО_спр,5,FALSE),0),IFERROR(--VLOOKUP(LEFT(AT44,2),УГО_спр,5,FALSE),0)),IF(_xlpm.k&gt;0,_xlpm.k,IF(IFERROR(--LEFT(SUBSTITUTE(GR44,"x","х"),FIND("х",SUBSTITUTE(GR44,"x","х"))-1),3)&gt;3,Каталог!$S$9,1))))</f>
        <v>1</v>
      </c>
      <c r="GY44">
        <f t="shared" si="174"/>
        <v>0</v>
      </c>
    </row>
    <row r="45" spans="1:207" x14ac:dyDescent="0.3">
      <c r="A45" t="s">
        <v>206</v>
      </c>
      <c r="B45">
        <v>45</v>
      </c>
      <c r="C45" t="str">
        <f>IF(BD45="","",IF(BE45="вводной узел","узел ","")&amp;"л."&amp;(INT((BD45-1)/Столбцов_на_лист)+1)&amp;" / "&amp;(MOD(BD45-1,Столбцов_на_лист)+1))</f>
        <v>л.3 / 11</v>
      </c>
      <c r="D45" t="s">
        <v>679</v>
      </c>
      <c r="E45" s="133" t="str">
        <f t="shared" si="175"/>
        <v>Розеточная группа  Пом. №09</v>
      </c>
      <c r="G45">
        <v>0.12</v>
      </c>
      <c r="H45">
        <v>2</v>
      </c>
      <c r="O45">
        <v>2</v>
      </c>
      <c r="T45">
        <v>2</v>
      </c>
      <c r="AD45" t="s">
        <v>597</v>
      </c>
      <c r="AK45" t="s">
        <v>619</v>
      </c>
      <c r="AN45">
        <v>11.7</v>
      </c>
      <c r="AO45" t="s">
        <v>625</v>
      </c>
      <c r="AQ45" t="s">
        <v>626</v>
      </c>
      <c r="AR45" t="str">
        <f t="shared" si="88"/>
        <v/>
      </c>
      <c r="AS45" cm="1">
        <f t="array" ref="AS45">ROW()-ROW(Линии[#Headers])</f>
        <v>43</v>
      </c>
      <c r="AT45" s="6" t="str">
        <f t="shared" si="89"/>
        <v>R</v>
      </c>
      <c r="AU45" t="str">
        <f t="shared" si="90"/>
        <v>1.09.1</v>
      </c>
      <c r="AV45" t="str">
        <f t="shared" si="91"/>
        <v>1</v>
      </c>
      <c r="AW45" t="str">
        <f t="shared" si="92"/>
        <v>09.1</v>
      </c>
      <c r="AX45" t="str">
        <f t="shared" si="93"/>
        <v>09</v>
      </c>
      <c r="AY45" t="str">
        <f>IF(D45="","",IF(ISERROR(SEARCH(".",D45)),IFERROR(VLOOKUP(D45,Потребители_обозначение,2,FALSE)&amp;"",""),IFERROR(IF(VLOOKUP(AT45,Потребители_обозначение,4,FALSE)=1,VLOOKUP(AT45,Потребители_обозначение,2,FALSE)&amp;" "&amp;VLOOKUP(AV45,Этаж_обозначение,2,FALSE)&amp;" Пом. №"&amp;AX45,VLOOKUP(AT45,Потребители_обозначение,2,FALSE)&amp;" Шлейф №"&amp;AV45),IFERROR(VLOOKUP(D45,Потребители_обозначение,2,FALSE),""))))</f>
        <v>Розеточная группа  Пом. №09</v>
      </c>
      <c r="AZ45" t="str">
        <f t="shared" si="94"/>
        <v>Розеточная группа  Пом. №09</v>
      </c>
      <c r="BA45" t="str">
        <f>IF(F45&lt;&gt;"",F45,IF(AND(D45&lt;&gt;"",D45&lt;&gt;A45,ISNUMBER(_xlfn.XMATCH(D45,Щиты[Щит]))),D45,""))</f>
        <v/>
      </c>
      <c r="BB45">
        <f>IFERROR(_xlfn.XMATCH(A45,Щиты[Щит]),0)</f>
        <v>1</v>
      </c>
      <c r="BC45">
        <f>IFERROR(N(_xlfn.XLOOKUP(A45,Щиты[Щит],Щиты[Мест под вводной узел])),15)</f>
        <v>18</v>
      </c>
      <c r="BD45">
        <f t="shared" si="95"/>
        <v>45</v>
      </c>
      <c r="BE45" t="str">
        <f t="shared" si="96"/>
        <v>линии</v>
      </c>
      <c r="BF45" s="6">
        <f>IF(D45="","",IF(BA45&lt;&gt;"",IFERROR(_xlfn.XLOOKUP(BA45,Щиты[Щит],Щиты[Руст, кВт]),0),N(G45)))</f>
        <v>0.12</v>
      </c>
      <c r="BG45">
        <f>IF(J45&lt;&gt;"",J45,IF(D45="","",IFERROR(IF(VLOOKUP(AT45,Потребители_обозначение,8,FALSE)=0,"",VLOOKUP(AT45,Потребители_обозначение,8,FALSE)),"")))</f>
        <v>230</v>
      </c>
      <c r="BH45">
        <f>IF(I45&lt;&gt;"",I45,IF(D45="","",IFERROR(IF(VLOOKUP(AT45,Потребители_обозначение,9,FALSE)=0,"",VLOOKUP(AT45,Потребители_обозначение,9,FALSE)),"")))</f>
        <v>1</v>
      </c>
      <c r="BI45" t="str">
        <f>IF(U45&lt;&gt;"",U45,IF(D45="","",IFERROR(IF(VLOOKUP(AT45,Потребители_обозначение,6,FALSE)=0,"",VLOOKUP(AT45,Потребители_обозначение,6,FALSE)),"")))</f>
        <v>мс</v>
      </c>
      <c r="BJ45">
        <f>IF(V45&lt;&gt;"",V45,IF(D45="","",IFERROR(IF(VLOOKUP(AT45,Потребители_обозначение,7,FALSE)=0,"",VLOOKUP(AT45,Потребители_обозначение,7,FALSE)),"")))</f>
        <v>3</v>
      </c>
      <c r="BK45">
        <f>IF(W45&lt;&gt;"",W45,IF(D45="","",IFERROR(IF(VLOOKUP(AT45,Потребители_обозначение,10,FALSE)=0,"",VLOOKUP(AT45,Потребители_обозначение,10,FALSE)),"")))</f>
        <v>2.5</v>
      </c>
      <c r="BL45">
        <f>IFERROR(VLOOKUP(AT45,Потребители_обозначение,5,FALSE),0)</f>
        <v>1</v>
      </c>
      <c r="BM45" s="6" cm="1">
        <f t="array" ref="BM45">IF(D45="","",IF(BA45&lt;&gt;"",IFERROR(_xlfn.XLOOKUP(BA45,Щиты[Щит],Щиты[cos φ]),0.95),IF(ISNUMBER(M45),M45,IFERROR(IF(BL45=2,_xlfn.IFS(BH45=3,VLOOKUP(BF45,Справочная_двигатели,8,FALSE),BH45=1,VLOOKUP(BF45,Справочная_двигатели,10,TRUE)),IF(AND(Методика="нормы 2026",CN45="Сил"),0.8,0.95)),0.95))))</f>
        <v>0.95</v>
      </c>
      <c r="BN45" s="6" cm="1">
        <f t="array" ref="BN45">IF(D45="","",IF(BA45&lt;&gt;"",IFERROR(_xlfn.XLOOKUP(BA45,Щиты[Щит],Щиты[Iр, А]),""),IFERROR(_xlfn.IFS(BH45=1,BF45/((Uн_лин/SQRT(3))*BM45),BH45=3,BF45/(SQRT(3)*Uн_лин*BM45)),"")))</f>
        <v>0.54696341291648753</v>
      </c>
      <c r="BO45">
        <f>IF(D45="","",IF(N(X45)=0,IFERROR(VLOOKUP(BN45,Автомат_номиналы,2,TRUE),""),X45))</f>
        <v>6</v>
      </c>
      <c r="BP45">
        <f t="shared" si="97"/>
        <v>1</v>
      </c>
      <c r="BQ45">
        <f>IF(ISNUMBER(Y45),Y45,К_прокл)</f>
        <v>1</v>
      </c>
      <c r="BR45">
        <f t="shared" si="98"/>
        <v>2</v>
      </c>
      <c r="BS45" cm="1">
        <f t="array" ref="BS45">IF(D45="","",IF(N(BK45)&lt;&gt;0,BK45,IFERROR(_xlfn.LET(_xlpm.need,BO45/(BP45*BQ45),_xlpm.t,CHOOSE(BR45,Iдоп_1ж,Iдоп_2ж,Iдоп_3ж),_xlpm.k,_xlfn.XMATCH(_xlpm.need,_xlpm.t,1),IF(ISNA(_xlpm.k),"Не исп",INDEX(Iдоп_S,_xlpm.k))),"Не исп")))</f>
        <v>2.5</v>
      </c>
      <c r="BT45">
        <f>IFERROR(VLOOKUP(BS45,Кабель_сопротивление,3,FALSE),"")</f>
        <v>2.2499999999999999E-2</v>
      </c>
      <c r="BU45">
        <f>IFERROR(VLOOKUP(BS45,Кабель_сопротивление,2,FALSE),"")</f>
        <v>0.1</v>
      </c>
      <c r="BV45">
        <f t="shared" si="99"/>
        <v>12</v>
      </c>
      <c r="BW45" s="6">
        <f>IF(D45="","",IFERROR(IF(VLOOKUP(AT45,Потребители_обозначение,4,FALSE)=1,VLOOKUP(AT45,Потребители_обозначение,3,FALSE)*(H45*2-1)+BV45+VLOOKUP(AV45,Этаж_обозначение,3,FALSE)+VLOOKUP(AV45,Этаж_обозначение,4,FALSE),VLOOKUP(AT45,Потребители_обозначение,3,FALSE)*(H45*2-1)+BV45),BV45))</f>
        <v>18</v>
      </c>
      <c r="BX45">
        <f t="shared" si="100"/>
        <v>0</v>
      </c>
      <c r="BY45">
        <f t="shared" si="101"/>
        <v>14</v>
      </c>
      <c r="BZ45">
        <f t="shared" si="102"/>
        <v>2</v>
      </c>
      <c r="CA45">
        <f t="shared" si="103"/>
        <v>0.31</v>
      </c>
      <c r="CB45">
        <f t="shared" si="104"/>
        <v>0.16896574966450964</v>
      </c>
      <c r="CC45" s="6">
        <f>IFERROR(ROUNDUP(CB45/((Uн_лин/SQRT(3))*1000)*100,2),"")</f>
        <v>0.08</v>
      </c>
      <c r="CD45" s="6">
        <f>IF(ISNUMBER(CC45),CC45+IFERROR(_xlfn.XLOOKUP(A45,Щиты[Щит],Щиты[ΔU до шин, %]),0),"")</f>
        <v>0.08</v>
      </c>
      <c r="CE45" s="6">
        <f>IF(D45="","",IF(IFERROR(VLOOKUP(AT45,УГО_спр,2,FALSE),"")="Светильник",3,4)+IF(Методика="нормы 2026",MIN(0.5,MAX(0,N(BW45)-100)*0.005),0))</f>
        <v>4</v>
      </c>
      <c r="CF45" t="str">
        <f>IFERROR(VLOOKUP(BI45,Кабель_обозначение,2,FALSE),"")</f>
        <v>ВВГнг(А)-LS</v>
      </c>
      <c r="CG45" t="str">
        <f>IFERROR(IF(VLOOKUP(BI45,Кабель_обозначение,3,FALSE)=1,CF45&amp;" ("&amp;BJ45&amp;"х"&amp;BS45&amp;")",CF45),"")</f>
        <v>ВВГнг(А)-LS (3х2,5)</v>
      </c>
      <c r="CH45" t="str">
        <f t="shared" si="105"/>
        <v>ВВГнг(А)-LS (3х2,5)
L=18-0,08%</v>
      </c>
      <c r="CI45">
        <f>IFERROR(2*ρкз_Cu*BW45/BS45,"")</f>
        <v>0.37872</v>
      </c>
      <c r="CJ45">
        <f t="shared" si="106"/>
        <v>0.12600000000000003</v>
      </c>
      <c r="CK45" s="6" t="str">
        <f>IFERROR(IF(OR(D45="",NOT(ISNUMBER(BS45)),N(BW45)=0),"",_xlfn.XLOOKUP(A45,Щиты[Щит],Щиты[Zпетли на шинах, Ом])+CI45),"")</f>
        <v/>
      </c>
      <c r="CL45" s="6" t="str">
        <f>IF(ISNUMBER(CK45),c_min*(Uн_лин*1000/SQRT(3))/CK45,"")</f>
        <v/>
      </c>
      <c r="CM45" s="6" t="str">
        <f>IFERROR(IF(OR(D45="",NOT(ISNUMBER(BS45))),"",1.05*(Uн_лин*1000/SQRT(3))/(_xlfn.XLOOKUP(A45,Щиты[Щит],Щиты[Zmax на шинах, Ом])+CJ45)/1000),"")</f>
        <v/>
      </c>
      <c r="CN45" s="6" t="str">
        <f>IF(D45="","",IF(BA45&lt;&gt;"","Щит",IF(K45&lt;&gt;"",K45,IF(ISNUMBER(L45),"Сил",IF(IFERROR(_xlfn.XLOOKUP(AT45,Коды_код,Коды_группа)&amp;"","")="","Быт",_xlfn.XLOOKUP(AT45,Коды_код,Коды_группа)&amp;"")))))</f>
        <v>Быт</v>
      </c>
      <c r="CO45" s="6">
        <f>IF(CN45="Щит","щит",IF(CN45="","",IF(CN45="Быт",IFERROR(_xlfn.XLOOKUP(A45,Щиты[Щит],Щиты[Кс быт]),1),IF(CN45="Сил",IF(ISNUMBER(L45),L45,IF(Методика="нормы 2026",IFERROR(_xlfn.XLOOKUP(A45,Щиты[Щит],Щиты[Кс силовых (табл. 7.5)]),1),1)),IF(OR(CN45="Пост",CN45="Отоп"),1,IF(CN45="ВНГ",0.7,0))))))</f>
        <v>0.8</v>
      </c>
      <c r="CP45">
        <f t="shared" si="107"/>
        <v>1</v>
      </c>
      <c r="CQ45">
        <f t="shared" si="108"/>
        <v>0.12</v>
      </c>
      <c r="CR45">
        <f t="shared" si="109"/>
        <v>0.12</v>
      </c>
      <c r="CS45">
        <f t="shared" si="110"/>
        <v>0</v>
      </c>
      <c r="CT45">
        <f t="shared" si="111"/>
        <v>0</v>
      </c>
      <c r="CU45">
        <f t="shared" si="112"/>
        <v>0</v>
      </c>
      <c r="CV45">
        <f t="shared" si="113"/>
        <v>0</v>
      </c>
      <c r="CW45">
        <f t="shared" si="114"/>
        <v>0.12</v>
      </c>
      <c r="CX45">
        <f t="shared" si="115"/>
        <v>0.11399999999999999</v>
      </c>
      <c r="CY45">
        <f t="shared" si="116"/>
        <v>3</v>
      </c>
      <c r="CZ45" t="str">
        <f t="shared" si="117"/>
        <v>L3</v>
      </c>
      <c r="DA45" cm="1">
        <f t="array" ref="DA45">IFERROR(IF(BL45=2,_xlfn.IFS(BH45=3,VLOOKUP(BF45,Справочная_двигатели,3,FALSE),BH45=1,VLOOKUP(BF45,Справочная_двигатели,5,TRUE)),0),0)</f>
        <v>0</v>
      </c>
      <c r="DB45">
        <f>IFERROR(IF(BL45=3,VLOOKUP(BF45,Справочная_ЛЭД,2,TRUE),0),0)</f>
        <v>0</v>
      </c>
      <c r="DC45" s="6">
        <f t="shared" si="118"/>
        <v>0</v>
      </c>
      <c r="DD45" t="str">
        <f t="shared" si="119"/>
        <v>L2</v>
      </c>
      <c r="DE45" t="str" cm="1">
        <f t="array" ref="DE45">IF(D45="","",IFERROR(INDEX({"I особая","I","II","III"},MATCH(TRIM(AA45&amp;""),{"I особая","I","II","III"},0)),"III"))</f>
        <v>III</v>
      </c>
      <c r="DF45" t="str">
        <f>IF(D45="","",IF(TRIM(AB45&amp;"")&lt;&gt;"",IF(LOWER(TRIM(AB45&amp;""))="да","да","нет"),IF(IFERROR(_xlfn.XLOOKUP(AT45,Коды_код,Коды_пожарная),"")="да","да","нет")))</f>
        <v>нет</v>
      </c>
      <c r="DG45" t="str">
        <f t="shared" si="120"/>
        <v/>
      </c>
      <c r="DH45" t="str">
        <f t="shared" si="121"/>
        <v>основная</v>
      </c>
      <c r="DI45">
        <f t="shared" si="122"/>
        <v>1</v>
      </c>
      <c r="DJ45" t="str" cm="1">
        <f t="array" ref="DJ45">IF(D45="","",_xlfn.LET(_xlpm.t,IFERROR(_xlfn.XLOOKUP(1,(Шины[Шина]=DH45)*(((Шины[Щит]=A45)+(Шины[Щит]=""))&gt;0),Шины[Тип]),"")&amp;"",IF(_xlpm.t&lt;&gt;"",_xlpm.t,IF(ISNUMBER(SEARCH("ИБП",DH45)),"ИБП",IF(ISNUMBER(SEARCH("ДГУ",DH45)),"ДГУ","Ввод "&amp;DI45)))))</f>
        <v>Ввод 1</v>
      </c>
      <c r="DK45" t="str">
        <f t="shared" si="123"/>
        <v>Ввод 1</v>
      </c>
      <c r="DL45" t="str">
        <f>IF(D45="","",IF(OR(DJ45="ИБП",DJ45="ДГУ"),"I особая",IF(DJ45="Одиночная","III",_xlfn.XLOOKUP(A45,Щиты[Щит],Щиты[Категория шины «Ввод»],"III"))))</f>
        <v>III</v>
      </c>
      <c r="DM45">
        <f>IF(D45="",0,IFERROR(MATCH(DE45,{"III","II","I","I особая"},0),1))</f>
        <v>1</v>
      </c>
      <c r="DN45">
        <f t="shared" si="124"/>
        <v>1</v>
      </c>
      <c r="DO45" t="str">
        <f>IF(D45="","",IF(DM45&gt;IFERROR(MATCH(DL45,{"III","II","I","I особая"},0),1),"НЕ ОБЕСПЕЧЕНА","ОК"))</f>
        <v>ОК</v>
      </c>
      <c r="DP45" t="str">
        <f>IF(A45="","",_xlfn.XLOOKUP(A45,Щиты[Щит],Щиты[Путь],""))</f>
        <v>|ЩР|</v>
      </c>
      <c r="DQ45" t="str">
        <f>IF(D45="","",IF(Z45&lt;&gt;"",Z45,IF(IFERROR(_xlfn.XLOOKUP(AT45,Коды_код,Коды_вид)&amp;"","")="","Прочее",_xlfn.XLOOKUP(AT45,Коды_код,Коды_вид)&amp;"")))</f>
        <v>Розеточная сеть и бытовые приборы</v>
      </c>
      <c r="DR45">
        <f>IF(BD45="","",INT((BD45-1)/Столбцов_на_лист)+1)</f>
        <v>3</v>
      </c>
      <c r="DS45" t="str">
        <f t="shared" si="125"/>
        <v>ВВГнг(А)-LS (3х2,5) L=18-0,08%</v>
      </c>
      <c r="DT45">
        <f t="shared" si="126"/>
        <v>0.12</v>
      </c>
      <c r="DU45">
        <f t="shared" si="127"/>
        <v>0.55000000000000004</v>
      </c>
      <c r="DV45">
        <f t="shared" si="128"/>
        <v>1</v>
      </c>
      <c r="DW45">
        <f>IF(AT45="",0,_xlfn.LET(_xlpm.v,IFERROR(VLOOKUP(D45,УГО_спр,3,FALSE),IFERROR(VLOOKUP(AT45,УГО_спр,3,FALSE),IFERROR(VLOOKUP(LEFT(AT45,2),УГО_спр,3,FALSE),""))),IF(_xlpm.v="да",30,IF(ISNUMBER(_xlpm.v),_xlpm.v,0))))</f>
        <v>30</v>
      </c>
      <c r="DX45">
        <f t="shared" si="129"/>
        <v>0</v>
      </c>
      <c r="DY45">
        <f>IF(BD45="","",IF(AD45&lt;&gt;"",COUNTIFS(A$3:A45,A45,AD$3:AD45,"?*"),IF(OR(OR(AS45=1,A45&lt;&gt;A44),AL45="вручную"),"",IF(AS45=1,"",DZ44))))</f>
        <v>24</v>
      </c>
      <c r="DZ45">
        <f t="shared" si="130"/>
        <v>24</v>
      </c>
      <c r="EA45">
        <f>IF(D45="",0,MAX(IFERROR(--X45,0),IFERROR(--VLOOKUP(D45,УГО_спр,4,FALSE),IFERROR(--VLOOKUP(AT45,УГО_спр,4,FALSE),IFERROR(--VLOOKUP(LEFT(AT45,2),УГО_спр,4,FALSE),0)))))</f>
        <v>16</v>
      </c>
      <c r="EB45">
        <f>IF(D45="","",IFERROR(LOOKUP(INDEX(CHOOSE(BR45,Iдоп_1ж,Iдоп_2ж,Iдоп_3ж),MATCH(BS45,Iдоп_S,0))*BP45*BQ45,{6,10,16,20,25,32,40,50,63,80,100,125,160,200,250,315,400,500,630}),""))</f>
        <v>25</v>
      </c>
      <c r="EC45">
        <f>IF(AD45="","",SUMIFS(Линии[_Ток схемы],Линии[_гр.],DY45,Линии[Щит],A45,Линии[_в кабель выше],0))</f>
        <v>0.55000000000000004</v>
      </c>
      <c r="ED45">
        <f>IF(AD45="","",IFERROR(VLOOKUP(EC45,Автомат_номиналы,2,TRUE),""))</f>
        <v>6</v>
      </c>
      <c r="EE45">
        <f>IF(AD45="","",MAX(N(ED45),_xlfn.MAXIFS(Линии[_мин. по типу],Линии[_гр.],DY45,Линии[Щит],A45)))</f>
        <v>16</v>
      </c>
      <c r="EF45">
        <f>IF(AD45="","",_xlfn.MINIFS(Линии[_макс. автомат по кабелю],Линии[_гр.],DY45,Линии[Щит],A45))</f>
        <v>25</v>
      </c>
      <c r="EG45">
        <f>IF(AD45="","",MAX(1,_xlfn.MAXIFS(Линии[_фаз],Линии[_гр.],DY45,Линии[Щит],A45)))</f>
        <v>1</v>
      </c>
      <c r="EH45">
        <f>IF(AD45="","",IF(AND(AD45&lt;&gt;"авто",AD45&lt;&gt;"+"),IF(ISNUMBER(SEARCH("мА",AD45)),IFERROR(--TRIM(RIGHT(SUBSTITUTE(LEFT(AD45,SEARCH("мА",AD45)-1)," ",REPT(" ",9)),6)),30),0),IF(AE45="нет",0,IF(ISNUMBER(AE45),AE45,IF(AE45="да",30,_xlfn.MINIFS(Линии[_дифзащита по коду, мА],Линии[_гр.],DY45,Линии[Щит],A45,Линии[_дифзащита по коду, мА],"&gt;0"))))))</f>
        <v>30</v>
      </c>
      <c r="EI45">
        <f t="shared" si="131"/>
        <v>1</v>
      </c>
      <c r="EJ45" t="str">
        <f t="shared" si="132"/>
        <v>QFD24</v>
      </c>
      <c r="EK45" t="str">
        <f t="shared" si="133"/>
        <v>QFD24</v>
      </c>
      <c r="EL45" t="str">
        <f t="shared" si="134"/>
        <v/>
      </c>
      <c r="EM45">
        <f t="shared" si="135"/>
        <v>0</v>
      </c>
      <c r="EN45">
        <f>IF(AD45="","",IF(EM45=1,MAX(EE45,Мин_автомат_БП),EE45))</f>
        <v>16</v>
      </c>
      <c r="EO45" t="str">
        <f t="shared" si="136"/>
        <v>2P</v>
      </c>
      <c r="EP45" t="str">
        <f t="shared" si="137"/>
        <v>2P С16А 30мА</v>
      </c>
      <c r="EQ45">
        <f t="shared" si="138"/>
        <v>16</v>
      </c>
      <c r="ER45" t="str">
        <f>IF(OR(AI45="",AI45="-"),"",IFERROR(VLOOKUP(AI45,Модули_спр,2,FALSE),"R"))</f>
        <v/>
      </c>
      <c r="ES45" t="str">
        <f>IF(ER45="","",ER45&amp;"."&amp;COUNTIFS(A$3:A45,A45,ER$3:ER45,ER45))</f>
        <v/>
      </c>
      <c r="ET45" t="str">
        <f t="shared" si="139"/>
        <v/>
      </c>
      <c r="EU45" t="str">
        <f t="shared" si="140"/>
        <v/>
      </c>
      <c r="EV45" t="str">
        <f t="shared" si="141"/>
        <v/>
      </c>
      <c r="EW45" t="str">
        <f t="shared" si="142"/>
        <v/>
      </c>
      <c r="EX45">
        <f t="shared" si="143"/>
        <v>1</v>
      </c>
      <c r="EY45" t="str">
        <f>IF(AK45="нет","",IF(AK45&lt;&gt;"",AK45,IF(EX45=1,"XT"&amp;COUNTIFS(A$3:A45,A45,EX$3:EX45,1),"")))</f>
        <v>XT22</v>
      </c>
      <c r="EZ45" t="str">
        <f t="shared" si="144"/>
        <v>QFD24</v>
      </c>
      <c r="FA45" t="str">
        <f t="shared" si="145"/>
        <v/>
      </c>
      <c r="FB45" t="str">
        <f t="shared" si="146"/>
        <v>ok</v>
      </c>
      <c r="FC45" t="str">
        <f>IF(OR(EV45="",ET45=""),"",IF(EV45&gt;IFERROR(VLOOKUP(EU45,Модули_спр,3,FALSE),99),"ЛИШНИЙ КАНАЛ",IF(AND(AJ45&lt;&gt;"=",COUNTIFS(Линии[_модуль гр.],ET45,Линии[Канал (итог)],EV45,Линии[Канал],"&lt;&gt;=",Линии[Щит],A45)&gt;1),"ДУБЛЬ КАНАЛА","")))</f>
        <v/>
      </c>
      <c r="FD45">
        <f t="shared" si="147"/>
        <v>16</v>
      </c>
      <c r="FE45" t="str">
        <f t="shared" si="148"/>
        <v>2P С16А 30мА</v>
      </c>
      <c r="FF45">
        <f t="shared" si="149"/>
        <v>1</v>
      </c>
      <c r="FG45">
        <f t="shared" si="150"/>
        <v>30</v>
      </c>
      <c r="FH45" s="6" t="str">
        <f t="shared" si="151"/>
        <v/>
      </c>
      <c r="FI45">
        <f t="shared" si="152"/>
        <v>10</v>
      </c>
      <c r="FJ45" t="str">
        <f t="shared" si="153"/>
        <v/>
      </c>
      <c r="FK45" t="str">
        <f>IF(AND(D45="",EZ45=""),"",_xlfn.TEXTJOIN("; ",TRUE,IF(AND(D45&lt;&gt;"",DD45=""),"нет фазы",""),IF(AND(D45&lt;&gt;"",N(DT45)=0,CN45&lt;&gt;"Нет"),"нет мощности",""),IF(AND(EY45&lt;&gt;"",COUNTIFS(Линии[Щит],A45,Линии[Клемма (итог)],EY45)&gt;1),"дубль клеммы "&amp;EY45,""),IF(AND(FB45&lt;&gt;"",FB45&lt;&gt;"ok"),FB45,""),IF(FC45&lt;&gt;"",FC45,""),IF(AND(ISNUMBER(SEARCH("(5х",DS45)),N(DV45)=1),"5 жил на 1 фазе",""),IF(AND(AT45="R",AD45&lt;&gt;"",OR(N(EH45)=0,N(EH45)&gt;30)),"розетка без дифзащиты до 30 мА",""),IFERROR(IF(AND(ISNUMBER(CD45),CD45&gt;CE45),"потери "&amp;FIXED(CD45,1)&amp;" % &gt; "&amp;CE45&amp;" %",""),""),IFERROR(IF(LEFT(FJ45,4)="мало","Iкз мало — отключение &gt; 0,4 с",""),""),IF(AND(D45&lt;&gt;"",BD45=""),"не на схеме","")))</f>
        <v/>
      </c>
      <c r="FL45" s="6">
        <f>IF(AD45="","",_xlfn.LET(_xlpm.t,IFERROR(_xlfn.XLOOKUP(EP45,Каталог!$U$4:$U$500,Каталог!$G$4:$G$500),""),_xlpm.k,SEARCH("кА",_xlpm.t),IFERROR(--TRIM(RIGHT(SUBSTITUTE(MID(_xlpm.t,MAX(1,_xlpm.k-4),_xlpm.k-MAX(1,_xlpm.k-4))," ",REPT(" ",9)),5)),"")))</f>
        <v>6</v>
      </c>
      <c r="FM45" t="str">
        <f>IF(OR(FL45="",AD45=""),"",IF(_xlfn.XLOOKUP(A45,Щиты[Щит],Щиты[Iкз max на шинах, кА],"")="","",IF(FL45&lt;_xlfn.XLOOKUP(A45,Щиты[Щит],Щиты[Iкз max на шинах, кА]),"Icu "&amp;FL45&amp;" кА &lt; Iкз max","ok")))</f>
        <v/>
      </c>
      <c r="FN45" t="str">
        <f t="shared" si="154"/>
        <v>QFD24|XT22</v>
      </c>
      <c r="FO45" t="str">
        <f t="shared" si="155"/>
        <v>QFD24|XT22|кабель ВВГнг(А)-LS (3х2,5) → Розеточная группа  Пом. №09</v>
      </c>
      <c r="FP45" t="str" cm="1">
        <f t="array" ref="FP45">IF(FO45="","",_xlfn.LET(_xlpm.nd,_xlfn.TEXTSPLIT(FO45,"|"),IF(COLUMNS(_xlpm.nd)&gt;1,A45&amp;"¦"&amp;INDEX(_xlpm.nd,1)&amp;"¦"&amp;INDEX(_xlpm.nd,2),"")))</f>
        <v>ЩР¦QFD24¦XT22</v>
      </c>
      <c r="FQ45" t="str">
        <f t="shared" si="156"/>
        <v>R.1.09.1¦Розеточная группа  Пом. №09</v>
      </c>
      <c r="FR45" t="str" cm="1">
        <f t="array" ref="FR45">IF(FO45="","",_xlfn.LET(_xlpm.nd,_xlfn.TEXTSPLIT(FO45,"|"),IF(COLUMNS(_xlpm.nd)&gt;2,A45&amp;"¦"&amp;INDEX(_xlpm.nd,2)&amp;"¦"&amp;INDEX(_xlpm.nd,3),"")))</f>
        <v>ЩР¦XT22¦кабель ВВГнг(А)-LS (3х2,5) → Розеточная группа  Пом. №09</v>
      </c>
      <c r="FS45" t="str">
        <f t="shared" si="157"/>
        <v>R.1.09.1¦Розеточная группа  Пом. №09</v>
      </c>
      <c r="FT45" t="str" cm="1">
        <f t="array" ref="FT45">IF(FO45="","",_xlfn.LET(_xlpm.nd,_xlfn.TEXTSPLIT(FO45,"|"),IF(COLUMNS(_xlpm.nd)&gt;3,A45&amp;"¦"&amp;INDEX(_xlpm.nd,3)&amp;"¦"&amp;INDEX(_xlpm.nd,4),"")))</f>
        <v/>
      </c>
      <c r="FU45" t="str">
        <f t="shared" si="158"/>
        <v/>
      </c>
      <c r="FV45" t="str" cm="1">
        <f t="array" ref="FV45">IF(FO45="","",_xlfn.LET(_xlpm.nd,_xlfn.TEXTSPLIT(FO45,"|"),IF(COLUMNS(_xlpm.nd)&gt;4,A45&amp;"¦"&amp;INDEX(_xlpm.nd,4)&amp;"¦"&amp;INDEX(_xlpm.nd,5),"")))</f>
        <v/>
      </c>
      <c r="FW45" t="str">
        <f t="shared" si="159"/>
        <v/>
      </c>
      <c r="FX45" t="str" cm="1">
        <f t="array" ref="FX45">IF(FO45="","",_xlfn.LET(_xlpm.nd,_xlfn.TEXTSPLIT(FO45,"|"),IF(COLUMNS(_xlpm.nd)&gt;5,A45&amp;"¦"&amp;INDEX(_xlpm.nd,5)&amp;"¦"&amp;INDEX(_xlpm.nd,6),"")))</f>
        <v/>
      </c>
      <c r="FY45" t="str">
        <f t="shared" si="160"/>
        <v/>
      </c>
      <c r="FZ45" t="str" cm="1">
        <f t="array" ref="FZ45">IF(FO45="","",_xlfn.LET(_xlpm.nd,_xlfn.TEXTSPLIT(FO45,"|"),IF(COLUMNS(_xlpm.nd)&gt;6,A45&amp;"¦"&amp;INDEX(_xlpm.nd,6)&amp;"¦"&amp;INDEX(_xlpm.nd,7),"")))</f>
        <v/>
      </c>
      <c r="GA45" t="str">
        <f t="shared" si="161"/>
        <v/>
      </c>
      <c r="GB45" t="str">
        <f t="shared" si="162"/>
        <v/>
      </c>
      <c r="GC45" t="str">
        <f t="shared" si="163"/>
        <v>QFD24 → XT22</v>
      </c>
      <c r="GD45">
        <f t="shared" si="164"/>
        <v>1</v>
      </c>
      <c r="GE45">
        <f t="shared" si="165"/>
        <v>0</v>
      </c>
      <c r="GF45">
        <f t="shared" si="166"/>
        <v>1</v>
      </c>
      <c r="GG45" t="str">
        <f t="shared" si="167"/>
        <v/>
      </c>
      <c r="GH45" t="str">
        <f t="shared" si="168"/>
        <v/>
      </c>
      <c r="GI45" t="str">
        <f t="shared" si="169"/>
        <v/>
      </c>
      <c r="GJ45" t="str">
        <f t="shared" si="170"/>
        <v/>
      </c>
      <c r="GK45" t="str">
        <f>IF(D45="","",IFERROR(VLOOKUP(D45,УГО_спр,2,FALSE),IFERROR(VLOOKUP(AT45,УГО_спр,2,FALSE),IFERROR(VLOOKUP(LEFT(AT45,2),УГО_спр,2,FALSE),""))))</f>
        <v>Розетка</v>
      </c>
      <c r="GL45" t="str">
        <f>IF(D45="","",IF(OR(GK45="",GK45=0),"BOX",IFERROR(IF(VLOOKUP(GK45,УГО_блоки,3,FALSE)&amp;""&lt;&gt;"",VLOOKUP(GK45,УГО_блоки,3,FALSE),VLOOKUP(GK45,УГО_блоки,2,FALSE)),GK45)))</f>
        <v>SOCKET</v>
      </c>
      <c r="GM45">
        <f t="shared" si="171"/>
        <v>1</v>
      </c>
      <c r="GN45" t="str">
        <f>IF(EP45="","",IF(COUNTIF(EP$3:EP45,EP45)=1,MAX(GN$2:GN44)+1,""))</f>
        <v/>
      </c>
      <c r="GO45" t="str">
        <f>IF(AF45="","",IF(COUNTIF(AF$3:AF45,AF45)+COUNTIF(AG$2:AG44,AF45)+COUNTIF(AH$2:AH44,AF45)=1,MAX(GO$2:GQ44)+1,""))</f>
        <v/>
      </c>
      <c r="GP45" t="str">
        <f>IF(AG45="","",IF(COUNTIF(AF$3:AF45,AG45)+COUNTIF(AG$3:AG45,AG45)+COUNTIF(AH$2:AH44,AG45)=1,MAX(GO$2:GQ44,GO45)+1,""))</f>
        <v/>
      </c>
      <c r="GQ45" t="str">
        <f>IF(AH45="","",IF(COUNTIF(AF$3:AF45,AH45)+COUNTIF(AG$3:AG45,AH45)+COUNTIF(AH$3:AH45,AH45)=1,MAX(GO$2:GQ44,GO45,GP45)+1,""))</f>
        <v/>
      </c>
      <c r="GR45" t="str">
        <f t="shared" si="172"/>
        <v>3х2,5</v>
      </c>
      <c r="GS45" t="str">
        <f>IF(GR45="","",IF(COUNTIF(GR$3:GR45,GR45)=1,MAX(GS$2:GS44)+1,""))</f>
        <v/>
      </c>
      <c r="GT45" t="str">
        <f>IF(ES45="","",COUNTIF(ES$3:ES45,"?*"))</f>
        <v/>
      </c>
      <c r="GU45" t="str">
        <f>IF(OR(ES45="",EU45=""),"",IF(COUNTIFS(ES$3:ES45,"?*",EU$3:EU45,EU45)=1,MAX(GU$2:GU44)+1,""))</f>
        <v/>
      </c>
      <c r="GV45">
        <f t="shared" si="173"/>
        <v>0</v>
      </c>
      <c r="GW45">
        <f>IF(D45="","",COUNTIF(D$3:D45,"?*"))</f>
        <v>25</v>
      </c>
      <c r="GX45">
        <f>IF(EX45&lt;&gt;1,0,_xlfn.LET(_xlpm.k,MAX(IFERROR(--VLOOKUP(D45,УГО_спр,5,FALSE),0),IFERROR(--VLOOKUP(AT45,УГО_спр,5,FALSE),0),IFERROR(--VLOOKUP(LEFT(AT45,2),УГО_спр,5,FALSE),0)),IF(_xlpm.k&gt;0,_xlpm.k,IF(IFERROR(--LEFT(SUBSTITUTE(GR45,"x","х"),FIND("х",SUBSTITUTE(GR45,"x","х"))-1),3)&gt;3,Каталог!$S$9,1))))</f>
        <v>1</v>
      </c>
      <c r="GY45">
        <f t="shared" si="174"/>
        <v>0</v>
      </c>
    </row>
    <row r="46" spans="1:207" x14ac:dyDescent="0.3">
      <c r="A46" t="s">
        <v>206</v>
      </c>
      <c r="B46">
        <v>46</v>
      </c>
      <c r="C46" t="str">
        <f>IF(BD46="","",IF(BE46="вводной узел","узел ","")&amp;"л."&amp;(INT((BD46-1)/Столбцов_на_лист)+1)&amp;" / "&amp;(MOD(BD46-1,Столбцов_на_лист)+1))</f>
        <v>л.3 / 12</v>
      </c>
      <c r="D46" t="s">
        <v>704</v>
      </c>
      <c r="E46" s="133" t="str">
        <f t="shared" si="175"/>
        <v>Розеточная группа  Пом. №09</v>
      </c>
      <c r="G46">
        <v>0.54</v>
      </c>
      <c r="H46">
        <v>9</v>
      </c>
      <c r="O46">
        <v>3</v>
      </c>
      <c r="T46">
        <v>2</v>
      </c>
      <c r="AD46" t="s">
        <v>597</v>
      </c>
      <c r="AK46" t="s">
        <v>620</v>
      </c>
      <c r="AN46">
        <v>14.68</v>
      </c>
      <c r="AO46" t="s">
        <v>672</v>
      </c>
      <c r="AQ46" t="s">
        <v>673</v>
      </c>
      <c r="AR46" t="str">
        <f t="shared" si="88"/>
        <v/>
      </c>
      <c r="AS46" cm="1">
        <f t="array" ref="AS46">ROW()-ROW(Линии[#Headers])</f>
        <v>44</v>
      </c>
      <c r="AT46" s="6" t="str">
        <f t="shared" si="89"/>
        <v>R</v>
      </c>
      <c r="AU46" t="str">
        <f t="shared" si="90"/>
        <v>1.09.2</v>
      </c>
      <c r="AV46" t="str">
        <f t="shared" si="91"/>
        <v>1</v>
      </c>
      <c r="AW46" t="str">
        <f t="shared" si="92"/>
        <v>09.2</v>
      </c>
      <c r="AX46" t="str">
        <f t="shared" si="93"/>
        <v>09</v>
      </c>
      <c r="AY46" t="str">
        <f>IF(D46="","",IF(ISERROR(SEARCH(".",D46)),IFERROR(VLOOKUP(D46,Потребители_обозначение,2,FALSE)&amp;"",""),IFERROR(IF(VLOOKUP(AT46,Потребители_обозначение,4,FALSE)=1,VLOOKUP(AT46,Потребители_обозначение,2,FALSE)&amp;" "&amp;VLOOKUP(AV46,Этаж_обозначение,2,FALSE)&amp;" Пом. №"&amp;AX46,VLOOKUP(AT46,Потребители_обозначение,2,FALSE)&amp;" Шлейф №"&amp;AV46),IFERROR(VLOOKUP(D46,Потребители_обозначение,2,FALSE),""))))</f>
        <v>Розеточная группа  Пом. №09</v>
      </c>
      <c r="AZ46" t="str">
        <f t="shared" si="94"/>
        <v>Розеточная группа  Пом. №09</v>
      </c>
      <c r="BA46" t="str">
        <f>IF(F46&lt;&gt;"",F46,IF(AND(D46&lt;&gt;"",D46&lt;&gt;A46,ISNUMBER(_xlfn.XMATCH(D46,Щиты[Щит]))),D46,""))</f>
        <v/>
      </c>
      <c r="BB46">
        <f>IFERROR(_xlfn.XMATCH(A46,Щиты[Щит]),0)</f>
        <v>1</v>
      </c>
      <c r="BC46">
        <f>IFERROR(N(_xlfn.XLOOKUP(A46,Щиты[Щит],Щиты[Мест под вводной узел])),15)</f>
        <v>18</v>
      </c>
      <c r="BD46">
        <f t="shared" si="95"/>
        <v>46</v>
      </c>
      <c r="BE46" t="str">
        <f t="shared" si="96"/>
        <v>линии</v>
      </c>
      <c r="BF46" s="6">
        <f>IF(D46="","",IF(BA46&lt;&gt;"",IFERROR(_xlfn.XLOOKUP(BA46,Щиты[Щит],Щиты[Руст, кВт]),0),N(G46)))</f>
        <v>0.54</v>
      </c>
      <c r="BG46">
        <f>IF(J46&lt;&gt;"",J46,IF(D46="","",IFERROR(IF(VLOOKUP(AT46,Потребители_обозначение,8,FALSE)=0,"",VLOOKUP(AT46,Потребители_обозначение,8,FALSE)),"")))</f>
        <v>230</v>
      </c>
      <c r="BH46">
        <f>IF(I46&lt;&gt;"",I46,IF(D46="","",IFERROR(IF(VLOOKUP(AT46,Потребители_обозначение,9,FALSE)=0,"",VLOOKUP(AT46,Потребители_обозначение,9,FALSE)),"")))</f>
        <v>1</v>
      </c>
      <c r="BI46" t="str">
        <f>IF(U46&lt;&gt;"",U46,IF(D46="","",IFERROR(IF(VLOOKUP(AT46,Потребители_обозначение,6,FALSE)=0,"",VLOOKUP(AT46,Потребители_обозначение,6,FALSE)),"")))</f>
        <v>мс</v>
      </c>
      <c r="BJ46">
        <f>IF(V46&lt;&gt;"",V46,IF(D46="","",IFERROR(IF(VLOOKUP(AT46,Потребители_обозначение,7,FALSE)=0,"",VLOOKUP(AT46,Потребители_обозначение,7,FALSE)),"")))</f>
        <v>3</v>
      </c>
      <c r="BK46">
        <f>IF(W46&lt;&gt;"",W46,IF(D46="","",IFERROR(IF(VLOOKUP(AT46,Потребители_обозначение,10,FALSE)=0,"",VLOOKUP(AT46,Потребители_обозначение,10,FALSE)),"")))</f>
        <v>2.5</v>
      </c>
      <c r="BL46">
        <f>IFERROR(VLOOKUP(AT46,Потребители_обозначение,5,FALSE),0)</f>
        <v>1</v>
      </c>
      <c r="BM46" s="6" cm="1">
        <f t="array" ref="BM46">IF(D46="","",IF(BA46&lt;&gt;"",IFERROR(_xlfn.XLOOKUP(BA46,Щиты[Щит],Щиты[cos φ]),0.95),IF(ISNUMBER(M46),M46,IFERROR(IF(BL46=2,_xlfn.IFS(BH46=3,VLOOKUP(BF46,Справочная_двигатели,8,FALSE),BH46=1,VLOOKUP(BF46,Справочная_двигатели,10,TRUE)),IF(AND(Методика="нормы 2026",CN46="Сил"),0.8,0.95)),0.95))))</f>
        <v>0.95</v>
      </c>
      <c r="BN46" s="6" cm="1">
        <f t="array" ref="BN46">IF(D46="","",IF(BA46&lt;&gt;"",IFERROR(_xlfn.XLOOKUP(BA46,Щиты[Щит],Щиты[Iр, А]),""),IFERROR(_xlfn.IFS(BH46=1,BF46/((Uн_лин/SQRT(3))*BM46),BH46=3,BF46/(SQRT(3)*Uн_лин*BM46)),"")))</f>
        <v>2.4613353581241939</v>
      </c>
      <c r="BO46">
        <f>IF(D46="","",IF(N(X46)=0,IFERROR(VLOOKUP(BN46,Автомат_номиналы,2,TRUE),""),X46))</f>
        <v>6</v>
      </c>
      <c r="BP46">
        <f t="shared" si="97"/>
        <v>1</v>
      </c>
      <c r="BQ46">
        <f>IF(ISNUMBER(Y46),Y46,К_прокл)</f>
        <v>1</v>
      </c>
      <c r="BR46">
        <f t="shared" si="98"/>
        <v>2</v>
      </c>
      <c r="BS46" cm="1">
        <f t="array" ref="BS46">IF(D46="","",IF(N(BK46)&lt;&gt;0,BK46,IFERROR(_xlfn.LET(_xlpm.need,BO46/(BP46*BQ46),_xlpm.t,CHOOSE(BR46,Iдоп_1ж,Iдоп_2ж,Iдоп_3ж),_xlpm.k,_xlfn.XMATCH(_xlpm.need,_xlpm.t,1),IF(ISNA(_xlpm.k),"Не исп",INDEX(Iдоп_S,_xlpm.k))),"Не исп")))</f>
        <v>2.5</v>
      </c>
      <c r="BT46">
        <f>IFERROR(VLOOKUP(BS46,Кабель_сопротивление,3,FALSE),"")</f>
        <v>2.2499999999999999E-2</v>
      </c>
      <c r="BU46">
        <f>IFERROR(VLOOKUP(BS46,Кабель_сопротивление,2,FALSE),"")</f>
        <v>0.1</v>
      </c>
      <c r="BV46">
        <f t="shared" si="99"/>
        <v>15</v>
      </c>
      <c r="BW46" s="6">
        <f>IF(D46="","",IFERROR(IF(VLOOKUP(AT46,Потребители_обозначение,4,FALSE)=1,VLOOKUP(AT46,Потребители_обозначение,3,FALSE)*(H46*2-1)+BV46+VLOOKUP(AV46,Этаж_обозначение,3,FALSE)+VLOOKUP(AV46,Этаж_обозначение,4,FALSE),VLOOKUP(AT46,Потребители_обозначение,3,FALSE)*(H46*2-1)+BV46),BV46))</f>
        <v>49</v>
      </c>
      <c r="BX46">
        <f t="shared" si="100"/>
        <v>0</v>
      </c>
      <c r="BY46">
        <f t="shared" si="101"/>
        <v>45</v>
      </c>
      <c r="BZ46">
        <f t="shared" si="102"/>
        <v>2</v>
      </c>
      <c r="CA46">
        <f t="shared" si="103"/>
        <v>0.31</v>
      </c>
      <c r="CB46">
        <f t="shared" si="104"/>
        <v>2.0698304333902433</v>
      </c>
      <c r="CC46" s="6">
        <f>IFERROR(ROUNDUP(CB46/((Uн_лин/SQRT(3))*1000)*100,2),"")</f>
        <v>0.9</v>
      </c>
      <c r="CD46" s="6">
        <f>IF(ISNUMBER(CC46),CC46+IFERROR(_xlfn.XLOOKUP(A46,Щиты[Щит],Щиты[ΔU до шин, %]),0),"")</f>
        <v>0.9</v>
      </c>
      <c r="CE46" s="6">
        <f>IF(D46="","",IF(IFERROR(VLOOKUP(AT46,УГО_спр,2,FALSE),"")="Светильник",3,4)+IF(Методика="нормы 2026",MIN(0.5,MAX(0,N(BW46)-100)*0.005),0))</f>
        <v>4</v>
      </c>
      <c r="CF46" t="str">
        <f>IFERROR(VLOOKUP(BI46,Кабель_обозначение,2,FALSE),"")</f>
        <v>ВВГнг(А)-LS</v>
      </c>
      <c r="CG46" t="str">
        <f>IFERROR(IF(VLOOKUP(BI46,Кабель_обозначение,3,FALSE)=1,CF46&amp;" ("&amp;BJ46&amp;"х"&amp;BS46&amp;")",CF46),"")</f>
        <v>ВВГнг(А)-LS (3х2,5)</v>
      </c>
      <c r="CH46" t="str">
        <f t="shared" si="105"/>
        <v>ВВГнг(А)-LS (3х2,5)
L=49-0,9%</v>
      </c>
      <c r="CI46">
        <f>IFERROR(2*ρкз_Cu*BW46/BS46,"")</f>
        <v>1.0309599999999999</v>
      </c>
      <c r="CJ46">
        <f t="shared" si="106"/>
        <v>0.34300000000000003</v>
      </c>
      <c r="CK46" s="6" t="str">
        <f>IFERROR(IF(OR(D46="",NOT(ISNUMBER(BS46)),N(BW46)=0),"",_xlfn.XLOOKUP(A46,Щиты[Щит],Щиты[Zпетли на шинах, Ом])+CI46),"")</f>
        <v/>
      </c>
      <c r="CL46" s="6" t="str">
        <f>IF(ISNUMBER(CK46),c_min*(Uн_лин*1000/SQRT(3))/CK46,"")</f>
        <v/>
      </c>
      <c r="CM46" s="6" t="str">
        <f>IFERROR(IF(OR(D46="",NOT(ISNUMBER(BS46))),"",1.05*(Uн_лин*1000/SQRT(3))/(_xlfn.XLOOKUP(A46,Щиты[Щит],Щиты[Zmax на шинах, Ом])+CJ46)/1000),"")</f>
        <v/>
      </c>
      <c r="CN46" s="6" t="str">
        <f>IF(D46="","",IF(BA46&lt;&gt;"","Щит",IF(K46&lt;&gt;"",K46,IF(ISNUMBER(L46),"Сил",IF(IFERROR(_xlfn.XLOOKUP(AT46,Коды_код,Коды_группа)&amp;"","")="","Быт",_xlfn.XLOOKUP(AT46,Коды_код,Коды_группа)&amp;"")))))</f>
        <v>Быт</v>
      </c>
      <c r="CO46" s="6">
        <f>IF(CN46="Щит","щит",IF(CN46="","",IF(CN46="Быт",IFERROR(_xlfn.XLOOKUP(A46,Щиты[Щит],Щиты[Кс быт]),1),IF(CN46="Сил",IF(ISNUMBER(L46),L46,IF(Методика="нормы 2026",IFERROR(_xlfn.XLOOKUP(A46,Щиты[Щит],Щиты[Кс силовых (табл. 7.5)]),1),1)),IF(OR(CN46="Пост",CN46="Отоп"),1,IF(CN46="ВНГ",0.7,0))))))</f>
        <v>0.8</v>
      </c>
      <c r="CP46">
        <f t="shared" si="107"/>
        <v>1</v>
      </c>
      <c r="CQ46">
        <f t="shared" si="108"/>
        <v>0.54</v>
      </c>
      <c r="CR46">
        <f t="shared" si="109"/>
        <v>0.54</v>
      </c>
      <c r="CS46">
        <f t="shared" si="110"/>
        <v>0</v>
      </c>
      <c r="CT46">
        <f t="shared" si="111"/>
        <v>0</v>
      </c>
      <c r="CU46">
        <f t="shared" si="112"/>
        <v>0</v>
      </c>
      <c r="CV46">
        <f t="shared" si="113"/>
        <v>0</v>
      </c>
      <c r="CW46">
        <f t="shared" si="114"/>
        <v>0.54</v>
      </c>
      <c r="CX46">
        <f t="shared" si="115"/>
        <v>0.51300000000000001</v>
      </c>
      <c r="CY46">
        <f t="shared" si="116"/>
        <v>1</v>
      </c>
      <c r="CZ46" t="str">
        <f t="shared" si="117"/>
        <v>L1</v>
      </c>
      <c r="DA46" cm="1">
        <f t="array" ref="DA46">IFERROR(IF(BL46=2,_xlfn.IFS(BH46=3,VLOOKUP(BF46,Справочная_двигатели,3,FALSE),BH46=1,VLOOKUP(BF46,Справочная_двигатели,5,TRUE)),0),0)</f>
        <v>0</v>
      </c>
      <c r="DB46">
        <f>IFERROR(IF(BL46=3,VLOOKUP(BF46,Справочная_ЛЭД,2,TRUE),0),0)</f>
        <v>0</v>
      </c>
      <c r="DC46" s="6">
        <f t="shared" si="118"/>
        <v>0</v>
      </c>
      <c r="DD46" t="str">
        <f t="shared" si="119"/>
        <v>L3</v>
      </c>
      <c r="DE46" t="str" cm="1">
        <f t="array" ref="DE46">IF(D46="","",IFERROR(INDEX({"I особая","I","II","III"},MATCH(TRIM(AA46&amp;""),{"I особая","I","II","III"},0)),"III"))</f>
        <v>III</v>
      </c>
      <c r="DF46" t="str">
        <f>IF(D46="","",IF(TRIM(AB46&amp;"")&lt;&gt;"",IF(LOWER(TRIM(AB46&amp;""))="да","да","нет"),IF(IFERROR(_xlfn.XLOOKUP(AT46,Коды_код,Коды_пожарная),"")="да","да","нет")))</f>
        <v>нет</v>
      </c>
      <c r="DG46" t="str">
        <f t="shared" si="120"/>
        <v/>
      </c>
      <c r="DH46" t="str">
        <f t="shared" si="121"/>
        <v>основная</v>
      </c>
      <c r="DI46">
        <f t="shared" si="122"/>
        <v>1</v>
      </c>
      <c r="DJ46" t="str" cm="1">
        <f t="array" ref="DJ46">IF(D46="","",_xlfn.LET(_xlpm.t,IFERROR(_xlfn.XLOOKUP(1,(Шины[Шина]=DH46)*(((Шины[Щит]=A46)+(Шины[Щит]=""))&gt;0),Шины[Тип]),"")&amp;"",IF(_xlpm.t&lt;&gt;"",_xlpm.t,IF(ISNUMBER(SEARCH("ИБП",DH46)),"ИБП",IF(ISNUMBER(SEARCH("ДГУ",DH46)),"ДГУ","Ввод "&amp;DI46)))))</f>
        <v>Ввод 1</v>
      </c>
      <c r="DK46" t="str">
        <f t="shared" si="123"/>
        <v>Ввод 1</v>
      </c>
      <c r="DL46" t="str">
        <f>IF(D46="","",IF(OR(DJ46="ИБП",DJ46="ДГУ"),"I особая",IF(DJ46="Одиночная","III",_xlfn.XLOOKUP(A46,Щиты[Щит],Щиты[Категория шины «Ввод»],"III"))))</f>
        <v>III</v>
      </c>
      <c r="DM46">
        <f>IF(D46="",0,IFERROR(MATCH(DE46,{"III","II","I","I особая"},0),1))</f>
        <v>1</v>
      </c>
      <c r="DN46">
        <f t="shared" si="124"/>
        <v>1</v>
      </c>
      <c r="DO46" t="str">
        <f>IF(D46="","",IF(DM46&gt;IFERROR(MATCH(DL46,{"III","II","I","I особая"},0),1),"НЕ ОБЕСПЕЧЕНА","ОК"))</f>
        <v>ОК</v>
      </c>
      <c r="DP46" t="str">
        <f>IF(A46="","",_xlfn.XLOOKUP(A46,Щиты[Щит],Щиты[Путь],""))</f>
        <v>|ЩР|</v>
      </c>
      <c r="DQ46" t="str">
        <f>IF(D46="","",IF(Z46&lt;&gt;"",Z46,IF(IFERROR(_xlfn.XLOOKUP(AT46,Коды_код,Коды_вид)&amp;"","")="","Прочее",_xlfn.XLOOKUP(AT46,Коды_код,Коды_вид)&amp;"")))</f>
        <v>Розеточная сеть и бытовые приборы</v>
      </c>
      <c r="DR46">
        <f>IF(BD46="","",INT((BD46-1)/Столбцов_на_лист)+1)</f>
        <v>3</v>
      </c>
      <c r="DS46" t="str">
        <f t="shared" si="125"/>
        <v>ВВГнг(А)-LS (3х2,5) L=49-0,9%</v>
      </c>
      <c r="DT46">
        <f t="shared" si="126"/>
        <v>0.54</v>
      </c>
      <c r="DU46">
        <f t="shared" si="127"/>
        <v>2.4699999999999998</v>
      </c>
      <c r="DV46">
        <f t="shared" si="128"/>
        <v>1</v>
      </c>
      <c r="DW46">
        <f>IF(AT46="",0,_xlfn.LET(_xlpm.v,IFERROR(VLOOKUP(D46,УГО_спр,3,FALSE),IFERROR(VLOOKUP(AT46,УГО_спр,3,FALSE),IFERROR(VLOOKUP(LEFT(AT46,2),УГО_спр,3,FALSE),""))),IF(_xlpm.v="да",30,IF(ISNUMBER(_xlpm.v),_xlpm.v,0))))</f>
        <v>30</v>
      </c>
      <c r="DX46">
        <f t="shared" si="129"/>
        <v>0</v>
      </c>
      <c r="DY46">
        <f>IF(BD46="","",IF(AD46&lt;&gt;"",COUNTIFS(A$3:A46,A46,AD$3:AD46,"?*"),IF(OR(OR(AS46=1,A46&lt;&gt;A45),AL46="вручную"),"",IF(AS46=1,"",DZ45))))</f>
        <v>25</v>
      </c>
      <c r="DZ46">
        <f t="shared" si="130"/>
        <v>25</v>
      </c>
      <c r="EA46">
        <f>IF(D46="",0,MAX(IFERROR(--X46,0),IFERROR(--VLOOKUP(D46,УГО_спр,4,FALSE),IFERROR(--VLOOKUP(AT46,УГО_спр,4,FALSE),IFERROR(--VLOOKUP(LEFT(AT46,2),УГО_спр,4,FALSE),0)))))</f>
        <v>16</v>
      </c>
      <c r="EB46">
        <f>IF(D46="","",IFERROR(LOOKUP(INDEX(CHOOSE(BR46,Iдоп_1ж,Iдоп_2ж,Iдоп_3ж),MATCH(BS46,Iдоп_S,0))*BP46*BQ46,{6,10,16,20,25,32,40,50,63,80,100,125,160,200,250,315,400,500,630}),""))</f>
        <v>25</v>
      </c>
      <c r="EC46">
        <f>IF(AD46="","",SUMIFS(Линии[_Ток схемы],Линии[_гр.],DY46,Линии[Щит],A46,Линии[_в кабель выше],0))</f>
        <v>2.4699999999999998</v>
      </c>
      <c r="ED46">
        <f>IF(AD46="","",IFERROR(VLOOKUP(EC46,Автомат_номиналы,2,TRUE),""))</f>
        <v>6</v>
      </c>
      <c r="EE46">
        <f>IF(AD46="","",MAX(N(ED46),_xlfn.MAXIFS(Линии[_мин. по типу],Линии[_гр.],DY46,Линии[Щит],A46)))</f>
        <v>16</v>
      </c>
      <c r="EF46">
        <f>IF(AD46="","",_xlfn.MINIFS(Линии[_макс. автомат по кабелю],Линии[_гр.],DY46,Линии[Щит],A46))</f>
        <v>25</v>
      </c>
      <c r="EG46">
        <f>IF(AD46="","",MAX(1,_xlfn.MAXIFS(Линии[_фаз],Линии[_гр.],DY46,Линии[Щит],A46)))</f>
        <v>1</v>
      </c>
      <c r="EH46">
        <f>IF(AD46="","",IF(AND(AD46&lt;&gt;"авто",AD46&lt;&gt;"+"),IF(ISNUMBER(SEARCH("мА",AD46)),IFERROR(--TRIM(RIGHT(SUBSTITUTE(LEFT(AD46,SEARCH("мА",AD46)-1)," ",REPT(" ",9)),6)),30),0),IF(AE46="нет",0,IF(ISNUMBER(AE46),AE46,IF(AE46="да",30,_xlfn.MINIFS(Линии[_дифзащита по коду, мА],Линии[_гр.],DY46,Линии[Щит],A46,Линии[_дифзащита по коду, мА],"&gt;0"))))))</f>
        <v>30</v>
      </c>
      <c r="EI46">
        <f t="shared" si="131"/>
        <v>1</v>
      </c>
      <c r="EJ46" t="str">
        <f t="shared" si="132"/>
        <v>QFD25</v>
      </c>
      <c r="EK46" t="str">
        <f t="shared" si="133"/>
        <v>QFD25</v>
      </c>
      <c r="EL46" t="str">
        <f t="shared" si="134"/>
        <v/>
      </c>
      <c r="EM46">
        <f t="shared" si="135"/>
        <v>0</v>
      </c>
      <c r="EN46">
        <f>IF(AD46="","",IF(EM46=1,MAX(EE46,Мин_автомат_БП),EE46))</f>
        <v>16</v>
      </c>
      <c r="EO46" t="str">
        <f t="shared" si="136"/>
        <v>2P</v>
      </c>
      <c r="EP46" t="str">
        <f t="shared" si="137"/>
        <v>2P С16А 30мА</v>
      </c>
      <c r="EQ46">
        <f t="shared" si="138"/>
        <v>16</v>
      </c>
      <c r="ER46" t="str">
        <f>IF(OR(AI46="",AI46="-"),"",IFERROR(VLOOKUP(AI46,Модули_спр,2,FALSE),"R"))</f>
        <v/>
      </c>
      <c r="ES46" t="str">
        <f>IF(ER46="","",ER46&amp;"."&amp;COUNTIFS(A$3:A46,A46,ER$3:ER46,ER46))</f>
        <v/>
      </c>
      <c r="ET46" t="str">
        <f t="shared" si="139"/>
        <v/>
      </c>
      <c r="EU46" t="str">
        <f t="shared" si="140"/>
        <v/>
      </c>
      <c r="EV46" t="str">
        <f t="shared" si="141"/>
        <v/>
      </c>
      <c r="EW46" t="str">
        <f t="shared" si="142"/>
        <v/>
      </c>
      <c r="EX46">
        <f t="shared" si="143"/>
        <v>1</v>
      </c>
      <c r="EY46" t="str">
        <f>IF(AK46="нет","",IF(AK46&lt;&gt;"",AK46,IF(EX46=1,"XT"&amp;COUNTIFS(A$3:A46,A46,EX$3:EX46,1),"")))</f>
        <v>XT23</v>
      </c>
      <c r="EZ46" t="str">
        <f t="shared" si="144"/>
        <v>QFD25</v>
      </c>
      <c r="FA46" t="str">
        <f t="shared" si="145"/>
        <v/>
      </c>
      <c r="FB46" t="str">
        <f t="shared" si="146"/>
        <v>ok</v>
      </c>
      <c r="FC46" t="str">
        <f>IF(OR(EV46="",ET46=""),"",IF(EV46&gt;IFERROR(VLOOKUP(EU46,Модули_спр,3,FALSE),99),"ЛИШНИЙ КАНАЛ",IF(AND(AJ46&lt;&gt;"=",COUNTIFS(Линии[_модуль гр.],ET46,Линии[Канал (итог)],EV46,Линии[Канал],"&lt;&gt;=",Линии[Щит],A46)&gt;1),"ДУБЛЬ КАНАЛА","")))</f>
        <v/>
      </c>
      <c r="FD46">
        <f t="shared" si="147"/>
        <v>16</v>
      </c>
      <c r="FE46" t="str">
        <f t="shared" si="148"/>
        <v>2P С16А 30мА</v>
      </c>
      <c r="FF46">
        <f t="shared" si="149"/>
        <v>1</v>
      </c>
      <c r="FG46">
        <f t="shared" si="150"/>
        <v>30</v>
      </c>
      <c r="FH46" s="6" t="str">
        <f t="shared" si="151"/>
        <v/>
      </c>
      <c r="FI46">
        <f t="shared" si="152"/>
        <v>10</v>
      </c>
      <c r="FJ46" t="str">
        <f t="shared" si="153"/>
        <v/>
      </c>
      <c r="FK46" t="str">
        <f>IF(AND(D46="",EZ46=""),"",_xlfn.TEXTJOIN("; ",TRUE,IF(AND(D46&lt;&gt;"",DD46=""),"нет фазы",""),IF(AND(D46&lt;&gt;"",N(DT46)=0,CN46&lt;&gt;"Нет"),"нет мощности",""),IF(AND(EY46&lt;&gt;"",COUNTIFS(Линии[Щит],A46,Линии[Клемма (итог)],EY46)&gt;1),"дубль клеммы "&amp;EY46,""),IF(AND(FB46&lt;&gt;"",FB46&lt;&gt;"ok"),FB46,""),IF(FC46&lt;&gt;"",FC46,""),IF(AND(ISNUMBER(SEARCH("(5х",DS46)),N(DV46)=1),"5 жил на 1 фазе",""),IF(AND(AT46="R",AD46&lt;&gt;"",OR(N(EH46)=0,N(EH46)&gt;30)),"розетка без дифзащиты до 30 мА",""),IFERROR(IF(AND(ISNUMBER(CD46),CD46&gt;CE46),"потери "&amp;FIXED(CD46,1)&amp;" % &gt; "&amp;CE46&amp;" %",""),""),IFERROR(IF(LEFT(FJ46,4)="мало","Iкз мало — отключение &gt; 0,4 с",""),""),IF(AND(D46&lt;&gt;"",BD46=""),"не на схеме","")))</f>
        <v/>
      </c>
      <c r="FL46" s="6">
        <f>IF(AD46="","",_xlfn.LET(_xlpm.t,IFERROR(_xlfn.XLOOKUP(EP46,Каталог!$U$4:$U$500,Каталог!$G$4:$G$500),""),_xlpm.k,SEARCH("кА",_xlpm.t),IFERROR(--TRIM(RIGHT(SUBSTITUTE(MID(_xlpm.t,MAX(1,_xlpm.k-4),_xlpm.k-MAX(1,_xlpm.k-4))," ",REPT(" ",9)),5)),"")))</f>
        <v>6</v>
      </c>
      <c r="FM46" t="str">
        <f>IF(OR(FL46="",AD46=""),"",IF(_xlfn.XLOOKUP(A46,Щиты[Щит],Щиты[Iкз max на шинах, кА],"")="","",IF(FL46&lt;_xlfn.XLOOKUP(A46,Щиты[Щит],Щиты[Iкз max на шинах, кА]),"Icu "&amp;FL46&amp;" кА &lt; Iкз max","ok")))</f>
        <v/>
      </c>
      <c r="FN46" t="str">
        <f t="shared" si="154"/>
        <v>QFD25|XT23</v>
      </c>
      <c r="FO46" t="str">
        <f t="shared" si="155"/>
        <v>QFD25|XT23|кабель ВВГнг(А)-LS (3х2,5) → Розеточная группа  Пом. №09</v>
      </c>
      <c r="FP46" t="str" cm="1">
        <f t="array" ref="FP46">IF(FO46="","",_xlfn.LET(_xlpm.nd,_xlfn.TEXTSPLIT(FO46,"|"),IF(COLUMNS(_xlpm.nd)&gt;1,A46&amp;"¦"&amp;INDEX(_xlpm.nd,1)&amp;"¦"&amp;INDEX(_xlpm.nd,2),"")))</f>
        <v>ЩР¦QFD25¦XT23</v>
      </c>
      <c r="FQ46" t="str">
        <f t="shared" si="156"/>
        <v>R.1.09.2¦Розеточная группа  Пом. №09</v>
      </c>
      <c r="FR46" t="str" cm="1">
        <f t="array" ref="FR46">IF(FO46="","",_xlfn.LET(_xlpm.nd,_xlfn.TEXTSPLIT(FO46,"|"),IF(COLUMNS(_xlpm.nd)&gt;2,A46&amp;"¦"&amp;INDEX(_xlpm.nd,2)&amp;"¦"&amp;INDEX(_xlpm.nd,3),"")))</f>
        <v>ЩР¦XT23¦кабель ВВГнг(А)-LS (3х2,5) → Розеточная группа  Пом. №09</v>
      </c>
      <c r="FS46" t="str">
        <f t="shared" si="157"/>
        <v>R.1.09.2¦Розеточная группа  Пом. №09</v>
      </c>
      <c r="FT46" t="str" cm="1">
        <f t="array" ref="FT46">IF(FO46="","",_xlfn.LET(_xlpm.nd,_xlfn.TEXTSPLIT(FO46,"|"),IF(COLUMNS(_xlpm.nd)&gt;3,A46&amp;"¦"&amp;INDEX(_xlpm.nd,3)&amp;"¦"&amp;INDEX(_xlpm.nd,4),"")))</f>
        <v/>
      </c>
      <c r="FU46" t="str">
        <f t="shared" si="158"/>
        <v/>
      </c>
      <c r="FV46" t="str" cm="1">
        <f t="array" ref="FV46">IF(FO46="","",_xlfn.LET(_xlpm.nd,_xlfn.TEXTSPLIT(FO46,"|"),IF(COLUMNS(_xlpm.nd)&gt;4,A46&amp;"¦"&amp;INDEX(_xlpm.nd,4)&amp;"¦"&amp;INDEX(_xlpm.nd,5),"")))</f>
        <v/>
      </c>
      <c r="FW46" t="str">
        <f t="shared" si="159"/>
        <v/>
      </c>
      <c r="FX46" t="str" cm="1">
        <f t="array" ref="FX46">IF(FO46="","",_xlfn.LET(_xlpm.nd,_xlfn.TEXTSPLIT(FO46,"|"),IF(COLUMNS(_xlpm.nd)&gt;5,A46&amp;"¦"&amp;INDEX(_xlpm.nd,5)&amp;"¦"&amp;INDEX(_xlpm.nd,6),"")))</f>
        <v/>
      </c>
      <c r="FY46" t="str">
        <f t="shared" si="160"/>
        <v/>
      </c>
      <c r="FZ46" t="str" cm="1">
        <f t="array" ref="FZ46">IF(FO46="","",_xlfn.LET(_xlpm.nd,_xlfn.TEXTSPLIT(FO46,"|"),IF(COLUMNS(_xlpm.nd)&gt;6,A46&amp;"¦"&amp;INDEX(_xlpm.nd,6)&amp;"¦"&amp;INDEX(_xlpm.nd,7),"")))</f>
        <v/>
      </c>
      <c r="GA46" t="str">
        <f t="shared" si="161"/>
        <v/>
      </c>
      <c r="GB46" t="str">
        <f t="shared" si="162"/>
        <v/>
      </c>
      <c r="GC46" t="str">
        <f t="shared" si="163"/>
        <v>QFD25 → XT23</v>
      </c>
      <c r="GD46">
        <f t="shared" si="164"/>
        <v>1</v>
      </c>
      <c r="GE46">
        <f t="shared" si="165"/>
        <v>0</v>
      </c>
      <c r="GF46">
        <f t="shared" si="166"/>
        <v>1</v>
      </c>
      <c r="GG46" t="str">
        <f t="shared" si="167"/>
        <v/>
      </c>
      <c r="GH46" t="str">
        <f t="shared" si="168"/>
        <v/>
      </c>
      <c r="GI46" t="str">
        <f t="shared" si="169"/>
        <v/>
      </c>
      <c r="GJ46" t="str">
        <f t="shared" si="170"/>
        <v/>
      </c>
      <c r="GK46" t="str">
        <f>IF(D46="","",IFERROR(VLOOKUP(D46,УГО_спр,2,FALSE),IFERROR(VLOOKUP(AT46,УГО_спр,2,FALSE),IFERROR(VLOOKUP(LEFT(AT46,2),УГО_спр,2,FALSE),""))))</f>
        <v>Розетка</v>
      </c>
      <c r="GL46" t="str">
        <f>IF(D46="","",IF(OR(GK46="",GK46=0),"BOX",IFERROR(IF(VLOOKUP(GK46,УГО_блоки,3,FALSE)&amp;""&lt;&gt;"",VLOOKUP(GK46,УГО_блоки,3,FALSE),VLOOKUP(GK46,УГО_блоки,2,FALSE)),GK46)))</f>
        <v>SOCKET</v>
      </c>
      <c r="GM46">
        <f t="shared" si="171"/>
        <v>1</v>
      </c>
      <c r="GN46" t="str">
        <f>IF(EP46="","",IF(COUNTIF(EP$3:EP46,EP46)=1,MAX(GN$2:GN45)+1,""))</f>
        <v/>
      </c>
      <c r="GO46" t="str">
        <f>IF(AF46="","",IF(COUNTIF(AF$3:AF46,AF46)+COUNTIF(AG$2:AG45,AF46)+COUNTIF(AH$2:AH45,AF46)=1,MAX(GO$2:GQ45)+1,""))</f>
        <v/>
      </c>
      <c r="GP46" t="str">
        <f>IF(AG46="","",IF(COUNTIF(AF$3:AF46,AG46)+COUNTIF(AG$3:AG46,AG46)+COUNTIF(AH$2:AH45,AG46)=1,MAX(GO$2:GQ45,GO46)+1,""))</f>
        <v/>
      </c>
      <c r="GQ46" t="str">
        <f>IF(AH46="","",IF(COUNTIF(AF$3:AF46,AH46)+COUNTIF(AG$3:AG46,AH46)+COUNTIF(AH$3:AH46,AH46)=1,MAX(GO$2:GQ45,GO46,GP46)+1,""))</f>
        <v/>
      </c>
      <c r="GR46" t="str">
        <f t="shared" si="172"/>
        <v>3х2,5</v>
      </c>
      <c r="GS46" t="str">
        <f>IF(GR46="","",IF(COUNTIF(GR$3:GR46,GR46)=1,MAX(GS$2:GS45)+1,""))</f>
        <v/>
      </c>
      <c r="GT46" t="str">
        <f>IF(ES46="","",COUNTIF(ES$3:ES46,"?*"))</f>
        <v/>
      </c>
      <c r="GU46" t="str">
        <f>IF(OR(ES46="",EU46=""),"",IF(COUNTIFS(ES$3:ES46,"?*",EU$3:EU46,EU46)=1,MAX(GU$2:GU45)+1,""))</f>
        <v/>
      </c>
      <c r="GV46">
        <f t="shared" si="173"/>
        <v>0</v>
      </c>
      <c r="GW46">
        <f>IF(D46="","",COUNTIF(D$3:D46,"?*"))</f>
        <v>26</v>
      </c>
      <c r="GX46">
        <f>IF(EX46&lt;&gt;1,0,_xlfn.LET(_xlpm.k,MAX(IFERROR(--VLOOKUP(D46,УГО_спр,5,FALSE),0),IFERROR(--VLOOKUP(AT46,УГО_спр,5,FALSE),0),IFERROR(--VLOOKUP(LEFT(AT46,2),УГО_спр,5,FALSE),0)),IF(_xlpm.k&gt;0,_xlpm.k,IF(IFERROR(--LEFT(SUBSTITUTE(GR46,"x","х"),FIND("х",SUBSTITUTE(GR46,"x","х"))-1),3)&gt;3,Каталог!$S$9,1))))</f>
        <v>1</v>
      </c>
      <c r="GY46">
        <f t="shared" si="174"/>
        <v>0</v>
      </c>
    </row>
    <row r="47" spans="1:207" x14ac:dyDescent="0.3">
      <c r="A47" t="s">
        <v>206</v>
      </c>
      <c r="B47">
        <v>47</v>
      </c>
      <c r="C47" t="str">
        <f>IF(BD47="","",IF(BE47="вводной узел","узел ","")&amp;"л."&amp;(INT((BD47-1)/Столбцов_на_лист)+1)&amp;" / "&amp;(MOD(BD47-1,Столбцов_на_лист)+1))</f>
        <v>л.3 / 13</v>
      </c>
      <c r="D47" t="s">
        <v>702</v>
      </c>
      <c r="E47" s="133" t="str">
        <f t="shared" si="175"/>
        <v>Розеточная группа  Пом. №10</v>
      </c>
      <c r="G47">
        <v>0.3</v>
      </c>
      <c r="H47">
        <v>5</v>
      </c>
      <c r="O47">
        <v>1</v>
      </c>
      <c r="T47">
        <v>2</v>
      </c>
      <c r="AD47" t="s">
        <v>597</v>
      </c>
      <c r="AK47" t="s">
        <v>621</v>
      </c>
      <c r="AN47">
        <v>17.29</v>
      </c>
      <c r="AO47" t="s">
        <v>668</v>
      </c>
      <c r="AQ47" t="s">
        <v>669</v>
      </c>
      <c r="AR47" t="str">
        <f t="shared" si="88"/>
        <v/>
      </c>
      <c r="AS47" cm="1">
        <f t="array" ref="AS47">ROW()-ROW(Линии[#Headers])</f>
        <v>45</v>
      </c>
      <c r="AT47" s="6" t="str">
        <f t="shared" si="89"/>
        <v>R</v>
      </c>
      <c r="AU47" t="str">
        <f t="shared" si="90"/>
        <v>1.10.1</v>
      </c>
      <c r="AV47" t="str">
        <f t="shared" si="91"/>
        <v>1</v>
      </c>
      <c r="AW47" t="str">
        <f t="shared" si="92"/>
        <v>10.1</v>
      </c>
      <c r="AX47" t="str">
        <f t="shared" si="93"/>
        <v>10</v>
      </c>
      <c r="AY47" t="str">
        <f>IF(D47="","",IF(ISERROR(SEARCH(".",D47)),IFERROR(VLOOKUP(D47,Потребители_обозначение,2,FALSE)&amp;"",""),IFERROR(IF(VLOOKUP(AT47,Потребители_обозначение,4,FALSE)=1,VLOOKUP(AT47,Потребители_обозначение,2,FALSE)&amp;" "&amp;VLOOKUP(AV47,Этаж_обозначение,2,FALSE)&amp;" Пом. №"&amp;AX47,VLOOKUP(AT47,Потребители_обозначение,2,FALSE)&amp;" Шлейф №"&amp;AV47),IFERROR(VLOOKUP(D47,Потребители_обозначение,2,FALSE),""))))</f>
        <v>Розеточная группа  Пом. №10</v>
      </c>
      <c r="AZ47" t="str">
        <f t="shared" si="94"/>
        <v>Розеточная группа  Пом. №10</v>
      </c>
      <c r="BA47" t="str">
        <f>IF(F47&lt;&gt;"",F47,IF(AND(D47&lt;&gt;"",D47&lt;&gt;A47,ISNUMBER(_xlfn.XMATCH(D47,Щиты[Щит]))),D47,""))</f>
        <v/>
      </c>
      <c r="BB47">
        <f>IFERROR(_xlfn.XMATCH(A47,Щиты[Щит]),0)</f>
        <v>1</v>
      </c>
      <c r="BC47">
        <f>IFERROR(N(_xlfn.XLOOKUP(A47,Щиты[Щит],Щиты[Мест под вводной узел])),15)</f>
        <v>18</v>
      </c>
      <c r="BD47">
        <f t="shared" si="95"/>
        <v>47</v>
      </c>
      <c r="BE47" t="str">
        <f t="shared" si="96"/>
        <v>линии</v>
      </c>
      <c r="BF47" s="6">
        <f>IF(D47="","",IF(BA47&lt;&gt;"",IFERROR(_xlfn.XLOOKUP(BA47,Щиты[Щит],Щиты[Руст, кВт]),0),N(G47)))</f>
        <v>0.3</v>
      </c>
      <c r="BG47">
        <f>IF(J47&lt;&gt;"",J47,IF(D47="","",IFERROR(IF(VLOOKUP(AT47,Потребители_обозначение,8,FALSE)=0,"",VLOOKUP(AT47,Потребители_обозначение,8,FALSE)),"")))</f>
        <v>230</v>
      </c>
      <c r="BH47">
        <f>IF(I47&lt;&gt;"",I47,IF(D47="","",IFERROR(IF(VLOOKUP(AT47,Потребители_обозначение,9,FALSE)=0,"",VLOOKUP(AT47,Потребители_обозначение,9,FALSE)),"")))</f>
        <v>1</v>
      </c>
      <c r="BI47" t="str">
        <f>IF(U47&lt;&gt;"",U47,IF(D47="","",IFERROR(IF(VLOOKUP(AT47,Потребители_обозначение,6,FALSE)=0,"",VLOOKUP(AT47,Потребители_обозначение,6,FALSE)),"")))</f>
        <v>мс</v>
      </c>
      <c r="BJ47">
        <f>IF(V47&lt;&gt;"",V47,IF(D47="","",IFERROR(IF(VLOOKUP(AT47,Потребители_обозначение,7,FALSE)=0,"",VLOOKUP(AT47,Потребители_обозначение,7,FALSE)),"")))</f>
        <v>3</v>
      </c>
      <c r="BK47">
        <f>IF(W47&lt;&gt;"",W47,IF(D47="","",IFERROR(IF(VLOOKUP(AT47,Потребители_обозначение,10,FALSE)=0,"",VLOOKUP(AT47,Потребители_обозначение,10,FALSE)),"")))</f>
        <v>2.5</v>
      </c>
      <c r="BL47">
        <f>IFERROR(VLOOKUP(AT47,Потребители_обозначение,5,FALSE),0)</f>
        <v>1</v>
      </c>
      <c r="BM47" s="6" cm="1">
        <f t="array" ref="BM47">IF(D47="","",IF(BA47&lt;&gt;"",IFERROR(_xlfn.XLOOKUP(BA47,Щиты[Щит],Щиты[cos φ]),0.95),IF(ISNUMBER(M47),M47,IFERROR(IF(BL47=2,_xlfn.IFS(BH47=3,VLOOKUP(BF47,Справочная_двигатели,8,FALSE),BH47=1,VLOOKUP(BF47,Справочная_двигатели,10,TRUE)),IF(AND(Методика="нормы 2026",CN47="Сил"),0.8,0.95)),0.95))))</f>
        <v>0.95</v>
      </c>
      <c r="BN47" s="6" cm="1">
        <f t="array" ref="BN47">IF(D47="","",IF(BA47&lt;&gt;"",IFERROR(_xlfn.XLOOKUP(BA47,Щиты[Щит],Щиты[Iр, А]),""),IFERROR(_xlfn.IFS(BH47=1,BF47/((Uн_лин/SQRT(3))*BM47),BH47=3,BF47/(SQRT(3)*Uн_лин*BM47)),"")))</f>
        <v>1.3674085322912188</v>
      </c>
      <c r="BO47">
        <f>IF(D47="","",IF(N(X47)=0,IFERROR(VLOOKUP(BN47,Автомат_номиналы,2,TRUE),""),X47))</f>
        <v>6</v>
      </c>
      <c r="BP47">
        <f t="shared" si="97"/>
        <v>1</v>
      </c>
      <c r="BQ47">
        <f>IF(ISNUMBER(Y47),Y47,К_прокл)</f>
        <v>1</v>
      </c>
      <c r="BR47">
        <f t="shared" si="98"/>
        <v>2</v>
      </c>
      <c r="BS47" cm="1">
        <f t="array" ref="BS47">IF(D47="","",IF(N(BK47)&lt;&gt;0,BK47,IFERROR(_xlfn.LET(_xlpm.need,BO47/(BP47*BQ47),_xlpm.t,CHOOSE(BR47,Iдоп_1ж,Iдоп_2ж,Iдоп_3ж),_xlpm.k,_xlfn.XMATCH(_xlpm.need,_xlpm.t,1),IF(ISNA(_xlpm.k),"Не исп",INDEX(Iдоп_S,_xlpm.k))),"Не исп")))</f>
        <v>2.5</v>
      </c>
      <c r="BT47">
        <f>IFERROR(VLOOKUP(BS47,Кабель_сопротивление,3,FALSE),"")</f>
        <v>2.2499999999999999E-2</v>
      </c>
      <c r="BU47">
        <f>IFERROR(VLOOKUP(BS47,Кабель_сопротивление,2,FALSE),"")</f>
        <v>0.1</v>
      </c>
      <c r="BV47">
        <f t="shared" si="99"/>
        <v>18</v>
      </c>
      <c r="BW47" s="6">
        <f>IF(D47="","",IFERROR(IF(VLOOKUP(AT47,Потребители_обозначение,4,FALSE)=1,VLOOKUP(AT47,Потребители_обозначение,3,FALSE)*(H47*2-1)+BV47+VLOOKUP(AV47,Этаж_обозначение,3,FALSE)+VLOOKUP(AV47,Этаж_обозначение,4,FALSE),VLOOKUP(AT47,Потребители_обозначение,3,FALSE)*(H47*2-1)+BV47),BV47))</f>
        <v>36</v>
      </c>
      <c r="BX47">
        <f t="shared" si="100"/>
        <v>0</v>
      </c>
      <c r="BY47">
        <f t="shared" si="101"/>
        <v>32</v>
      </c>
      <c r="BZ47">
        <f t="shared" si="102"/>
        <v>2</v>
      </c>
      <c r="CA47">
        <f t="shared" si="103"/>
        <v>0.31</v>
      </c>
      <c r="CB47">
        <f t="shared" si="104"/>
        <v>0.84482874832254828</v>
      </c>
      <c r="CC47" s="6">
        <f>IFERROR(ROUNDUP(CB47/((Uн_лин/SQRT(3))*1000)*100,2),"")</f>
        <v>0.37</v>
      </c>
      <c r="CD47" s="6">
        <f>IF(ISNUMBER(CC47),CC47+IFERROR(_xlfn.XLOOKUP(A47,Щиты[Щит],Щиты[ΔU до шин, %]),0),"")</f>
        <v>0.37</v>
      </c>
      <c r="CE47" s="6">
        <f>IF(D47="","",IF(IFERROR(VLOOKUP(AT47,УГО_спр,2,FALSE),"")="Светильник",3,4)+IF(Методика="нормы 2026",MIN(0.5,MAX(0,N(BW47)-100)*0.005),0))</f>
        <v>4</v>
      </c>
      <c r="CF47" t="str">
        <f>IFERROR(VLOOKUP(BI47,Кабель_обозначение,2,FALSE),"")</f>
        <v>ВВГнг(А)-LS</v>
      </c>
      <c r="CG47" t="str">
        <f>IFERROR(IF(VLOOKUP(BI47,Кабель_обозначение,3,FALSE)=1,CF47&amp;" ("&amp;BJ47&amp;"х"&amp;BS47&amp;")",CF47),"")</f>
        <v>ВВГнг(А)-LS (3х2,5)</v>
      </c>
      <c r="CH47" t="str">
        <f t="shared" si="105"/>
        <v>ВВГнг(А)-LS (3х2,5)
L=36-0,37%</v>
      </c>
      <c r="CI47">
        <f>IFERROR(2*ρкз_Cu*BW47/BS47,"")</f>
        <v>0.75744</v>
      </c>
      <c r="CJ47">
        <f t="shared" si="106"/>
        <v>0.25200000000000006</v>
      </c>
      <c r="CK47" s="6" t="str">
        <f>IFERROR(IF(OR(D47="",NOT(ISNUMBER(BS47)),N(BW47)=0),"",_xlfn.XLOOKUP(A47,Щиты[Щит],Щиты[Zпетли на шинах, Ом])+CI47),"")</f>
        <v/>
      </c>
      <c r="CL47" s="6" t="str">
        <f>IF(ISNUMBER(CK47),c_min*(Uн_лин*1000/SQRT(3))/CK47,"")</f>
        <v/>
      </c>
      <c r="CM47" s="6" t="str">
        <f>IFERROR(IF(OR(D47="",NOT(ISNUMBER(BS47))),"",1.05*(Uн_лин*1000/SQRT(3))/(_xlfn.XLOOKUP(A47,Щиты[Щит],Щиты[Zmax на шинах, Ом])+CJ47)/1000),"")</f>
        <v/>
      </c>
      <c r="CN47" s="6" t="str">
        <f>IF(D47="","",IF(BA47&lt;&gt;"","Щит",IF(K47&lt;&gt;"",K47,IF(ISNUMBER(L47),"Сил",IF(IFERROR(_xlfn.XLOOKUP(AT47,Коды_код,Коды_группа)&amp;"","")="","Быт",_xlfn.XLOOKUP(AT47,Коды_код,Коды_группа)&amp;"")))))</f>
        <v>Быт</v>
      </c>
      <c r="CO47" s="6">
        <f>IF(CN47="Щит","щит",IF(CN47="","",IF(CN47="Быт",IFERROR(_xlfn.XLOOKUP(A47,Щиты[Щит],Щиты[Кс быт]),1),IF(CN47="Сил",IF(ISNUMBER(L47),L47,IF(Методика="нормы 2026",IFERROR(_xlfn.XLOOKUP(A47,Щиты[Щит],Щиты[Кс силовых (табл. 7.5)]),1),1)),IF(OR(CN47="Пост",CN47="Отоп"),1,IF(CN47="ВНГ",0.7,0))))))</f>
        <v>0.8</v>
      </c>
      <c r="CP47">
        <f t="shared" si="107"/>
        <v>1</v>
      </c>
      <c r="CQ47">
        <f t="shared" si="108"/>
        <v>0.3</v>
      </c>
      <c r="CR47">
        <f t="shared" si="109"/>
        <v>0.3</v>
      </c>
      <c r="CS47">
        <f t="shared" si="110"/>
        <v>0</v>
      </c>
      <c r="CT47">
        <f t="shared" si="111"/>
        <v>0</v>
      </c>
      <c r="CU47">
        <f t="shared" si="112"/>
        <v>0</v>
      </c>
      <c r="CV47">
        <f t="shared" si="113"/>
        <v>0</v>
      </c>
      <c r="CW47">
        <f t="shared" si="114"/>
        <v>0.3</v>
      </c>
      <c r="CX47">
        <f t="shared" si="115"/>
        <v>0.28499999999999998</v>
      </c>
      <c r="CY47">
        <f t="shared" si="116"/>
        <v>2</v>
      </c>
      <c r="CZ47" t="str">
        <f t="shared" si="117"/>
        <v>L2</v>
      </c>
      <c r="DA47" cm="1">
        <f t="array" ref="DA47">IFERROR(IF(BL47=2,_xlfn.IFS(BH47=3,VLOOKUP(BF47,Справочная_двигатели,3,FALSE),BH47=1,VLOOKUP(BF47,Справочная_двигатели,5,TRUE)),0),0)</f>
        <v>0</v>
      </c>
      <c r="DB47">
        <f>IFERROR(IF(BL47=3,VLOOKUP(BF47,Справочная_ЛЭД,2,TRUE),0),0)</f>
        <v>0</v>
      </c>
      <c r="DC47" s="6">
        <f t="shared" si="118"/>
        <v>0</v>
      </c>
      <c r="DD47" t="str">
        <f t="shared" si="119"/>
        <v>L1</v>
      </c>
      <c r="DE47" t="str" cm="1">
        <f t="array" ref="DE47">IF(D47="","",IFERROR(INDEX({"I особая","I","II","III"},MATCH(TRIM(AA47&amp;""),{"I особая","I","II","III"},0)),"III"))</f>
        <v>III</v>
      </c>
      <c r="DF47" t="str">
        <f>IF(D47="","",IF(TRIM(AB47&amp;"")&lt;&gt;"",IF(LOWER(TRIM(AB47&amp;""))="да","да","нет"),IF(IFERROR(_xlfn.XLOOKUP(AT47,Коды_код,Коды_пожарная),"")="да","да","нет")))</f>
        <v>нет</v>
      </c>
      <c r="DG47" t="str">
        <f t="shared" si="120"/>
        <v/>
      </c>
      <c r="DH47" t="str">
        <f t="shared" si="121"/>
        <v>основная</v>
      </c>
      <c r="DI47">
        <f t="shared" si="122"/>
        <v>1</v>
      </c>
      <c r="DJ47" t="str" cm="1">
        <f t="array" ref="DJ47">IF(D47="","",_xlfn.LET(_xlpm.t,IFERROR(_xlfn.XLOOKUP(1,(Шины[Шина]=DH47)*(((Шины[Щит]=A47)+(Шины[Щит]=""))&gt;0),Шины[Тип]),"")&amp;"",IF(_xlpm.t&lt;&gt;"",_xlpm.t,IF(ISNUMBER(SEARCH("ИБП",DH47)),"ИБП",IF(ISNUMBER(SEARCH("ДГУ",DH47)),"ДГУ","Ввод "&amp;DI47)))))</f>
        <v>Ввод 1</v>
      </c>
      <c r="DK47" t="str">
        <f t="shared" si="123"/>
        <v>Ввод 1</v>
      </c>
      <c r="DL47" t="str">
        <f>IF(D47="","",IF(OR(DJ47="ИБП",DJ47="ДГУ"),"I особая",IF(DJ47="Одиночная","III",_xlfn.XLOOKUP(A47,Щиты[Щит],Щиты[Категория шины «Ввод»],"III"))))</f>
        <v>III</v>
      </c>
      <c r="DM47">
        <f>IF(D47="",0,IFERROR(MATCH(DE47,{"III","II","I","I особая"},0),1))</f>
        <v>1</v>
      </c>
      <c r="DN47">
        <f t="shared" si="124"/>
        <v>1</v>
      </c>
      <c r="DO47" t="str">
        <f>IF(D47="","",IF(DM47&gt;IFERROR(MATCH(DL47,{"III","II","I","I особая"},0),1),"НЕ ОБЕСПЕЧЕНА","ОК"))</f>
        <v>ОК</v>
      </c>
      <c r="DP47" t="str">
        <f>IF(A47="","",_xlfn.XLOOKUP(A47,Щиты[Щит],Щиты[Путь],""))</f>
        <v>|ЩР|</v>
      </c>
      <c r="DQ47" t="str">
        <f>IF(D47="","",IF(Z47&lt;&gt;"",Z47,IF(IFERROR(_xlfn.XLOOKUP(AT47,Коды_код,Коды_вид)&amp;"","")="","Прочее",_xlfn.XLOOKUP(AT47,Коды_код,Коды_вид)&amp;"")))</f>
        <v>Розеточная сеть и бытовые приборы</v>
      </c>
      <c r="DR47">
        <f>IF(BD47="","",INT((BD47-1)/Столбцов_на_лист)+1)</f>
        <v>3</v>
      </c>
      <c r="DS47" t="str">
        <f t="shared" si="125"/>
        <v>ВВГнг(А)-LS (3х2,5) L=36-0,37%</v>
      </c>
      <c r="DT47">
        <f t="shared" si="126"/>
        <v>0.3</v>
      </c>
      <c r="DU47">
        <f t="shared" si="127"/>
        <v>1.37</v>
      </c>
      <c r="DV47">
        <f t="shared" si="128"/>
        <v>1</v>
      </c>
      <c r="DW47">
        <f>IF(AT47="",0,_xlfn.LET(_xlpm.v,IFERROR(VLOOKUP(D47,УГО_спр,3,FALSE),IFERROR(VLOOKUP(AT47,УГО_спр,3,FALSE),IFERROR(VLOOKUP(LEFT(AT47,2),УГО_спр,3,FALSE),""))),IF(_xlpm.v="да",30,IF(ISNUMBER(_xlpm.v),_xlpm.v,0))))</f>
        <v>30</v>
      </c>
      <c r="DX47">
        <f t="shared" si="129"/>
        <v>0</v>
      </c>
      <c r="DY47">
        <f>IF(BD47="","",IF(AD47&lt;&gt;"",COUNTIFS(A$3:A47,A47,AD$3:AD47,"?*"),IF(OR(OR(AS47=1,A47&lt;&gt;A46),AL47="вручную"),"",IF(AS47=1,"",DZ46))))</f>
        <v>26</v>
      </c>
      <c r="DZ47">
        <f t="shared" si="130"/>
        <v>26</v>
      </c>
      <c r="EA47">
        <f>IF(D47="",0,MAX(IFERROR(--X47,0),IFERROR(--VLOOKUP(D47,УГО_спр,4,FALSE),IFERROR(--VLOOKUP(AT47,УГО_спр,4,FALSE),IFERROR(--VLOOKUP(LEFT(AT47,2),УГО_спр,4,FALSE),0)))))</f>
        <v>16</v>
      </c>
      <c r="EB47">
        <f>IF(D47="","",IFERROR(LOOKUP(INDEX(CHOOSE(BR47,Iдоп_1ж,Iдоп_2ж,Iдоп_3ж),MATCH(BS47,Iдоп_S,0))*BP47*BQ47,{6,10,16,20,25,32,40,50,63,80,100,125,160,200,250,315,400,500,630}),""))</f>
        <v>25</v>
      </c>
      <c r="EC47">
        <f>IF(AD47="","",SUMIFS(Линии[_Ток схемы],Линии[_гр.],DY47,Линии[Щит],A47,Линии[_в кабель выше],0))</f>
        <v>1.37</v>
      </c>
      <c r="ED47">
        <f>IF(AD47="","",IFERROR(VLOOKUP(EC47,Автомат_номиналы,2,TRUE),""))</f>
        <v>6</v>
      </c>
      <c r="EE47">
        <f>IF(AD47="","",MAX(N(ED47),_xlfn.MAXIFS(Линии[_мин. по типу],Линии[_гр.],DY47,Линии[Щит],A47)))</f>
        <v>16</v>
      </c>
      <c r="EF47">
        <f>IF(AD47="","",_xlfn.MINIFS(Линии[_макс. автомат по кабелю],Линии[_гр.],DY47,Линии[Щит],A47))</f>
        <v>25</v>
      </c>
      <c r="EG47">
        <f>IF(AD47="","",MAX(1,_xlfn.MAXIFS(Линии[_фаз],Линии[_гр.],DY47,Линии[Щит],A47)))</f>
        <v>1</v>
      </c>
      <c r="EH47">
        <f>IF(AD47="","",IF(AND(AD47&lt;&gt;"авто",AD47&lt;&gt;"+"),IF(ISNUMBER(SEARCH("мА",AD47)),IFERROR(--TRIM(RIGHT(SUBSTITUTE(LEFT(AD47,SEARCH("мА",AD47)-1)," ",REPT(" ",9)),6)),30),0),IF(AE47="нет",0,IF(ISNUMBER(AE47),AE47,IF(AE47="да",30,_xlfn.MINIFS(Линии[_дифзащита по коду, мА],Линии[_гр.],DY47,Линии[Щит],A47,Линии[_дифзащита по коду, мА],"&gt;0"))))))</f>
        <v>30</v>
      </c>
      <c r="EI47">
        <f t="shared" si="131"/>
        <v>1</v>
      </c>
      <c r="EJ47" t="str">
        <f t="shared" si="132"/>
        <v>QFD26</v>
      </c>
      <c r="EK47" t="str">
        <f t="shared" si="133"/>
        <v>QFD26</v>
      </c>
      <c r="EL47" t="str">
        <f t="shared" si="134"/>
        <v/>
      </c>
      <c r="EM47">
        <f t="shared" si="135"/>
        <v>0</v>
      </c>
      <c r="EN47">
        <f>IF(AD47="","",IF(EM47=1,MAX(EE47,Мин_автомат_БП),EE47))</f>
        <v>16</v>
      </c>
      <c r="EO47" t="str">
        <f t="shared" si="136"/>
        <v>2P</v>
      </c>
      <c r="EP47" t="str">
        <f t="shared" si="137"/>
        <v>2P С16А 30мА</v>
      </c>
      <c r="EQ47">
        <f t="shared" si="138"/>
        <v>16</v>
      </c>
      <c r="ER47" t="str">
        <f>IF(OR(AI47="",AI47="-"),"",IFERROR(VLOOKUP(AI47,Модули_спр,2,FALSE),"R"))</f>
        <v/>
      </c>
      <c r="ES47" t="str">
        <f>IF(ER47="","",ER47&amp;"."&amp;COUNTIFS(A$3:A47,A47,ER$3:ER47,ER47))</f>
        <v/>
      </c>
      <c r="ET47" t="str">
        <f t="shared" si="139"/>
        <v/>
      </c>
      <c r="EU47" t="str">
        <f t="shared" si="140"/>
        <v/>
      </c>
      <c r="EV47" t="str">
        <f t="shared" si="141"/>
        <v/>
      </c>
      <c r="EW47" t="str">
        <f t="shared" si="142"/>
        <v/>
      </c>
      <c r="EX47">
        <f t="shared" si="143"/>
        <v>1</v>
      </c>
      <c r="EY47" t="str">
        <f>IF(AK47="нет","",IF(AK47&lt;&gt;"",AK47,IF(EX47=1,"XT"&amp;COUNTIFS(A$3:A47,A47,EX$3:EX47,1),"")))</f>
        <v>XT24</v>
      </c>
      <c r="EZ47" t="str">
        <f t="shared" si="144"/>
        <v>QFD26</v>
      </c>
      <c r="FA47" t="str">
        <f t="shared" si="145"/>
        <v/>
      </c>
      <c r="FB47" t="str">
        <f t="shared" si="146"/>
        <v>ok</v>
      </c>
      <c r="FC47" t="str">
        <f>IF(OR(EV47="",ET47=""),"",IF(EV47&gt;IFERROR(VLOOKUP(EU47,Модули_спр,3,FALSE),99),"ЛИШНИЙ КАНАЛ",IF(AND(AJ47&lt;&gt;"=",COUNTIFS(Линии[_модуль гр.],ET47,Линии[Канал (итог)],EV47,Линии[Канал],"&lt;&gt;=",Линии[Щит],A47)&gt;1),"ДУБЛЬ КАНАЛА","")))</f>
        <v/>
      </c>
      <c r="FD47">
        <f t="shared" si="147"/>
        <v>16</v>
      </c>
      <c r="FE47" t="str">
        <f t="shared" si="148"/>
        <v>2P С16А 30мА</v>
      </c>
      <c r="FF47">
        <f t="shared" si="149"/>
        <v>1</v>
      </c>
      <c r="FG47">
        <f t="shared" si="150"/>
        <v>30</v>
      </c>
      <c r="FH47" s="6" t="str">
        <f t="shared" si="151"/>
        <v/>
      </c>
      <c r="FI47">
        <f t="shared" si="152"/>
        <v>10</v>
      </c>
      <c r="FJ47" t="str">
        <f t="shared" si="153"/>
        <v/>
      </c>
      <c r="FK47" t="str">
        <f>IF(AND(D47="",EZ47=""),"",_xlfn.TEXTJOIN("; ",TRUE,IF(AND(D47&lt;&gt;"",DD47=""),"нет фазы",""),IF(AND(D47&lt;&gt;"",N(DT47)=0,CN47&lt;&gt;"Нет"),"нет мощности",""),IF(AND(EY47&lt;&gt;"",COUNTIFS(Линии[Щит],A47,Линии[Клемма (итог)],EY47)&gt;1),"дубль клеммы "&amp;EY47,""),IF(AND(FB47&lt;&gt;"",FB47&lt;&gt;"ok"),FB47,""),IF(FC47&lt;&gt;"",FC47,""),IF(AND(ISNUMBER(SEARCH("(5х",DS47)),N(DV47)=1),"5 жил на 1 фазе",""),IF(AND(AT47="R",AD47&lt;&gt;"",OR(N(EH47)=0,N(EH47)&gt;30)),"розетка без дифзащиты до 30 мА",""),IFERROR(IF(AND(ISNUMBER(CD47),CD47&gt;CE47),"потери "&amp;FIXED(CD47,1)&amp;" % &gt; "&amp;CE47&amp;" %",""),""),IFERROR(IF(LEFT(FJ47,4)="мало","Iкз мало — отключение &gt; 0,4 с",""),""),IF(AND(D47&lt;&gt;"",BD47=""),"не на схеме","")))</f>
        <v/>
      </c>
      <c r="FL47" s="6">
        <f>IF(AD47="","",_xlfn.LET(_xlpm.t,IFERROR(_xlfn.XLOOKUP(EP47,Каталог!$U$4:$U$500,Каталог!$G$4:$G$500),""),_xlpm.k,SEARCH("кА",_xlpm.t),IFERROR(--TRIM(RIGHT(SUBSTITUTE(MID(_xlpm.t,MAX(1,_xlpm.k-4),_xlpm.k-MAX(1,_xlpm.k-4))," ",REPT(" ",9)),5)),"")))</f>
        <v>6</v>
      </c>
      <c r="FM47" t="str">
        <f>IF(OR(FL47="",AD47=""),"",IF(_xlfn.XLOOKUP(A47,Щиты[Щит],Щиты[Iкз max на шинах, кА],"")="","",IF(FL47&lt;_xlfn.XLOOKUP(A47,Щиты[Щит],Щиты[Iкз max на шинах, кА]),"Icu "&amp;FL47&amp;" кА &lt; Iкз max","ok")))</f>
        <v/>
      </c>
      <c r="FN47" t="str">
        <f t="shared" si="154"/>
        <v>QFD26|XT24</v>
      </c>
      <c r="FO47" t="str">
        <f t="shared" si="155"/>
        <v>QFD26|XT24|кабель ВВГнг(А)-LS (3х2,5) → Розеточная группа  Пом. №10</v>
      </c>
      <c r="FP47" t="str" cm="1">
        <f t="array" ref="FP47">IF(FO47="","",_xlfn.LET(_xlpm.nd,_xlfn.TEXTSPLIT(FO47,"|"),IF(COLUMNS(_xlpm.nd)&gt;1,A47&amp;"¦"&amp;INDEX(_xlpm.nd,1)&amp;"¦"&amp;INDEX(_xlpm.nd,2),"")))</f>
        <v>ЩР¦QFD26¦XT24</v>
      </c>
      <c r="FQ47" t="str">
        <f t="shared" si="156"/>
        <v>R.1.10.1¦Розеточная группа  Пом. №10</v>
      </c>
      <c r="FR47" t="str" cm="1">
        <f t="array" ref="FR47">IF(FO47="","",_xlfn.LET(_xlpm.nd,_xlfn.TEXTSPLIT(FO47,"|"),IF(COLUMNS(_xlpm.nd)&gt;2,A47&amp;"¦"&amp;INDEX(_xlpm.nd,2)&amp;"¦"&amp;INDEX(_xlpm.nd,3),"")))</f>
        <v>ЩР¦XT24¦кабель ВВГнг(А)-LS (3х2,5) → Розеточная группа  Пом. №10</v>
      </c>
      <c r="FS47" t="str">
        <f t="shared" si="157"/>
        <v>R.1.10.1¦Розеточная группа  Пом. №10</v>
      </c>
      <c r="FT47" t="str" cm="1">
        <f t="array" ref="FT47">IF(FO47="","",_xlfn.LET(_xlpm.nd,_xlfn.TEXTSPLIT(FO47,"|"),IF(COLUMNS(_xlpm.nd)&gt;3,A47&amp;"¦"&amp;INDEX(_xlpm.nd,3)&amp;"¦"&amp;INDEX(_xlpm.nd,4),"")))</f>
        <v/>
      </c>
      <c r="FU47" t="str">
        <f t="shared" si="158"/>
        <v/>
      </c>
      <c r="FV47" t="str" cm="1">
        <f t="array" ref="FV47">IF(FO47="","",_xlfn.LET(_xlpm.nd,_xlfn.TEXTSPLIT(FO47,"|"),IF(COLUMNS(_xlpm.nd)&gt;4,A47&amp;"¦"&amp;INDEX(_xlpm.nd,4)&amp;"¦"&amp;INDEX(_xlpm.nd,5),"")))</f>
        <v/>
      </c>
      <c r="FW47" t="str">
        <f t="shared" si="159"/>
        <v/>
      </c>
      <c r="FX47" t="str" cm="1">
        <f t="array" ref="FX47">IF(FO47="","",_xlfn.LET(_xlpm.nd,_xlfn.TEXTSPLIT(FO47,"|"),IF(COLUMNS(_xlpm.nd)&gt;5,A47&amp;"¦"&amp;INDEX(_xlpm.nd,5)&amp;"¦"&amp;INDEX(_xlpm.nd,6),"")))</f>
        <v/>
      </c>
      <c r="FY47" t="str">
        <f t="shared" si="160"/>
        <v/>
      </c>
      <c r="FZ47" t="str" cm="1">
        <f t="array" ref="FZ47">IF(FO47="","",_xlfn.LET(_xlpm.nd,_xlfn.TEXTSPLIT(FO47,"|"),IF(COLUMNS(_xlpm.nd)&gt;6,A47&amp;"¦"&amp;INDEX(_xlpm.nd,6)&amp;"¦"&amp;INDEX(_xlpm.nd,7),"")))</f>
        <v/>
      </c>
      <c r="GA47" t="str">
        <f t="shared" si="161"/>
        <v/>
      </c>
      <c r="GB47" t="str">
        <f t="shared" si="162"/>
        <v/>
      </c>
      <c r="GC47" t="str">
        <f t="shared" si="163"/>
        <v>QFD26 → XT24</v>
      </c>
      <c r="GD47">
        <f t="shared" si="164"/>
        <v>1</v>
      </c>
      <c r="GE47">
        <f t="shared" si="165"/>
        <v>0</v>
      </c>
      <c r="GF47">
        <f t="shared" si="166"/>
        <v>1</v>
      </c>
      <c r="GG47" t="str">
        <f t="shared" si="167"/>
        <v/>
      </c>
      <c r="GH47" t="str">
        <f t="shared" si="168"/>
        <v/>
      </c>
      <c r="GI47" t="str">
        <f t="shared" si="169"/>
        <v/>
      </c>
      <c r="GJ47" t="str">
        <f t="shared" si="170"/>
        <v/>
      </c>
      <c r="GK47" t="str">
        <f>IF(D47="","",IFERROR(VLOOKUP(D47,УГО_спр,2,FALSE),IFERROR(VLOOKUP(AT47,УГО_спр,2,FALSE),IFERROR(VLOOKUP(LEFT(AT47,2),УГО_спр,2,FALSE),""))))</f>
        <v>Розетка</v>
      </c>
      <c r="GL47" t="str">
        <f>IF(D47="","",IF(OR(GK47="",GK47=0),"BOX",IFERROR(IF(VLOOKUP(GK47,УГО_блоки,3,FALSE)&amp;""&lt;&gt;"",VLOOKUP(GK47,УГО_блоки,3,FALSE),VLOOKUP(GK47,УГО_блоки,2,FALSE)),GK47)))</f>
        <v>SOCKET</v>
      </c>
      <c r="GM47">
        <f t="shared" si="171"/>
        <v>1</v>
      </c>
      <c r="GN47" t="str">
        <f>IF(EP47="","",IF(COUNTIF(EP$3:EP47,EP47)=1,MAX(GN$2:GN46)+1,""))</f>
        <v/>
      </c>
      <c r="GO47" t="str">
        <f>IF(AF47="","",IF(COUNTIF(AF$3:AF47,AF47)+COUNTIF(AG$2:AG46,AF47)+COUNTIF(AH$2:AH46,AF47)=1,MAX(GO$2:GQ46)+1,""))</f>
        <v/>
      </c>
      <c r="GP47" t="str">
        <f>IF(AG47="","",IF(COUNTIF(AF$3:AF47,AG47)+COUNTIF(AG$3:AG47,AG47)+COUNTIF(AH$2:AH46,AG47)=1,MAX(GO$2:GQ46,GO47)+1,""))</f>
        <v/>
      </c>
      <c r="GQ47" t="str">
        <f>IF(AH47="","",IF(COUNTIF(AF$3:AF47,AH47)+COUNTIF(AG$3:AG47,AH47)+COUNTIF(AH$3:AH47,AH47)=1,MAX(GO$2:GQ46,GO47,GP47)+1,""))</f>
        <v/>
      </c>
      <c r="GR47" t="str">
        <f t="shared" si="172"/>
        <v>3х2,5</v>
      </c>
      <c r="GS47" t="str">
        <f>IF(GR47="","",IF(COUNTIF(GR$3:GR47,GR47)=1,MAX(GS$2:GS46)+1,""))</f>
        <v/>
      </c>
      <c r="GT47" t="str">
        <f>IF(ES47="","",COUNTIF(ES$3:ES47,"?*"))</f>
        <v/>
      </c>
      <c r="GU47" t="str">
        <f>IF(OR(ES47="",EU47=""),"",IF(COUNTIFS(ES$3:ES47,"?*",EU$3:EU47,EU47)=1,MAX(GU$2:GU46)+1,""))</f>
        <v/>
      </c>
      <c r="GV47">
        <f t="shared" si="173"/>
        <v>0</v>
      </c>
      <c r="GW47">
        <f>IF(D47="","",COUNTIF(D$3:D47,"?*"))</f>
        <v>27</v>
      </c>
      <c r="GX47">
        <f>IF(EX47&lt;&gt;1,0,_xlfn.LET(_xlpm.k,MAX(IFERROR(--VLOOKUP(D47,УГО_спр,5,FALSE),0),IFERROR(--VLOOKUP(AT47,УГО_спр,5,FALSE),0),IFERROR(--VLOOKUP(LEFT(AT47,2),УГО_спр,5,FALSE),0)),IF(_xlpm.k&gt;0,_xlpm.k,IF(IFERROR(--LEFT(SUBSTITUTE(GR47,"x","х"),FIND("х",SUBSTITUTE(GR47,"x","х"))-1),3)&gt;3,Каталог!$S$9,1))))</f>
        <v>1</v>
      </c>
      <c r="GY47">
        <f t="shared" si="174"/>
        <v>0</v>
      </c>
    </row>
    <row r="48" spans="1:207" x14ac:dyDescent="0.3">
      <c r="A48" t="s">
        <v>206</v>
      </c>
      <c r="B48">
        <v>48</v>
      </c>
      <c r="C48" t="str">
        <f>IF(BD48="","",IF(BE48="вводной узел","узел ","")&amp;"л."&amp;(INT((BD48-1)/Столбцов_на_лист)+1)&amp;" / "&amp;(MOD(BD48-1,Столбцов_на_лист)+1))</f>
        <v>л.3 / 14</v>
      </c>
      <c r="D48" t="s">
        <v>703</v>
      </c>
      <c r="E48" s="133" t="str">
        <f t="shared" si="175"/>
        <v>Розеточная группа  Пом. №10</v>
      </c>
      <c r="G48">
        <v>0.3</v>
      </c>
      <c r="H48">
        <v>5</v>
      </c>
      <c r="O48">
        <v>2</v>
      </c>
      <c r="T48">
        <v>2</v>
      </c>
      <c r="AD48" t="s">
        <v>597</v>
      </c>
      <c r="AN48">
        <v>13.55</v>
      </c>
      <c r="AO48" t="s">
        <v>670</v>
      </c>
      <c r="AQ48" t="s">
        <v>671</v>
      </c>
      <c r="AR48" t="str">
        <f t="shared" si="88"/>
        <v/>
      </c>
      <c r="AS48" cm="1">
        <f t="array" ref="AS48">ROW()-ROW(Линии[#Headers])</f>
        <v>46</v>
      </c>
      <c r="AT48" s="6" t="str">
        <f t="shared" si="89"/>
        <v>R</v>
      </c>
      <c r="AU48" t="str">
        <f t="shared" si="90"/>
        <v>1.10.2</v>
      </c>
      <c r="AV48" t="str">
        <f t="shared" si="91"/>
        <v>1</v>
      </c>
      <c r="AW48" t="str">
        <f t="shared" si="92"/>
        <v>10.2</v>
      </c>
      <c r="AX48" t="str">
        <f t="shared" si="93"/>
        <v>10</v>
      </c>
      <c r="AY48" t="str">
        <f>IF(D48="","",IF(ISERROR(SEARCH(".",D48)),IFERROR(VLOOKUP(D48,Потребители_обозначение,2,FALSE)&amp;"",""),IFERROR(IF(VLOOKUP(AT48,Потребители_обозначение,4,FALSE)=1,VLOOKUP(AT48,Потребители_обозначение,2,FALSE)&amp;" "&amp;VLOOKUP(AV48,Этаж_обозначение,2,FALSE)&amp;" Пом. №"&amp;AX48,VLOOKUP(AT48,Потребители_обозначение,2,FALSE)&amp;" Шлейф №"&amp;AV48),IFERROR(VLOOKUP(D48,Потребители_обозначение,2,FALSE),""))))</f>
        <v>Розеточная группа  Пом. №10</v>
      </c>
      <c r="AZ48" t="str">
        <f t="shared" si="94"/>
        <v>Розеточная группа  Пом. №10</v>
      </c>
      <c r="BA48" t="str">
        <f>IF(F48&lt;&gt;"",F48,IF(AND(D48&lt;&gt;"",D48&lt;&gt;A48,ISNUMBER(_xlfn.XMATCH(D48,Щиты[Щит]))),D48,""))</f>
        <v/>
      </c>
      <c r="BB48">
        <f>IFERROR(_xlfn.XMATCH(A48,Щиты[Щит]),0)</f>
        <v>1</v>
      </c>
      <c r="BC48">
        <f>IFERROR(N(_xlfn.XLOOKUP(A48,Щиты[Щит],Щиты[Мест под вводной узел])),15)</f>
        <v>18</v>
      </c>
      <c r="BD48">
        <f t="shared" si="95"/>
        <v>48</v>
      </c>
      <c r="BE48" t="str">
        <f t="shared" si="96"/>
        <v>линии</v>
      </c>
      <c r="BF48" s="6">
        <f>IF(D48="","",IF(BA48&lt;&gt;"",IFERROR(_xlfn.XLOOKUP(BA48,Щиты[Щит],Щиты[Руст, кВт]),0),N(G48)))</f>
        <v>0.3</v>
      </c>
      <c r="BG48">
        <f>IF(J48&lt;&gt;"",J48,IF(D48="","",IFERROR(IF(VLOOKUP(AT48,Потребители_обозначение,8,FALSE)=0,"",VLOOKUP(AT48,Потребители_обозначение,8,FALSE)),"")))</f>
        <v>230</v>
      </c>
      <c r="BH48">
        <f>IF(I48&lt;&gt;"",I48,IF(D48="","",IFERROR(IF(VLOOKUP(AT48,Потребители_обозначение,9,FALSE)=0,"",VLOOKUP(AT48,Потребители_обозначение,9,FALSE)),"")))</f>
        <v>1</v>
      </c>
      <c r="BI48" t="str">
        <f>IF(U48&lt;&gt;"",U48,IF(D48="","",IFERROR(IF(VLOOKUP(AT48,Потребители_обозначение,6,FALSE)=0,"",VLOOKUP(AT48,Потребители_обозначение,6,FALSE)),"")))</f>
        <v>мс</v>
      </c>
      <c r="BJ48">
        <f>IF(V48&lt;&gt;"",V48,IF(D48="","",IFERROR(IF(VLOOKUP(AT48,Потребители_обозначение,7,FALSE)=0,"",VLOOKUP(AT48,Потребители_обозначение,7,FALSE)),"")))</f>
        <v>3</v>
      </c>
      <c r="BK48">
        <f>IF(W48&lt;&gt;"",W48,IF(D48="","",IFERROR(IF(VLOOKUP(AT48,Потребители_обозначение,10,FALSE)=0,"",VLOOKUP(AT48,Потребители_обозначение,10,FALSE)),"")))</f>
        <v>2.5</v>
      </c>
      <c r="BL48">
        <f>IFERROR(VLOOKUP(AT48,Потребители_обозначение,5,FALSE),0)</f>
        <v>1</v>
      </c>
      <c r="BM48" s="6" cm="1">
        <f t="array" ref="BM48">IF(D48="","",IF(BA48&lt;&gt;"",IFERROR(_xlfn.XLOOKUP(BA48,Щиты[Щит],Щиты[cos φ]),0.95),IF(ISNUMBER(M48),M48,IFERROR(IF(BL48=2,_xlfn.IFS(BH48=3,VLOOKUP(BF48,Справочная_двигатели,8,FALSE),BH48=1,VLOOKUP(BF48,Справочная_двигатели,10,TRUE)),IF(AND(Методика="нормы 2026",CN48="Сил"),0.8,0.95)),0.95))))</f>
        <v>0.95</v>
      </c>
      <c r="BN48" s="6" cm="1">
        <f t="array" ref="BN48">IF(D48="","",IF(BA48&lt;&gt;"",IFERROR(_xlfn.XLOOKUP(BA48,Щиты[Щит],Щиты[Iр, А]),""),IFERROR(_xlfn.IFS(BH48=1,BF48/((Uн_лин/SQRT(3))*BM48),BH48=3,BF48/(SQRT(3)*Uн_лин*BM48)),"")))</f>
        <v>1.3674085322912188</v>
      </c>
      <c r="BO48">
        <f>IF(D48="","",IF(N(X48)=0,IFERROR(VLOOKUP(BN48,Автомат_номиналы,2,TRUE),""),X48))</f>
        <v>6</v>
      </c>
      <c r="BP48">
        <f t="shared" si="97"/>
        <v>1</v>
      </c>
      <c r="BQ48">
        <f>IF(ISNUMBER(Y48),Y48,К_прокл)</f>
        <v>1</v>
      </c>
      <c r="BR48">
        <f t="shared" si="98"/>
        <v>2</v>
      </c>
      <c r="BS48" cm="1">
        <f t="array" ref="BS48">IF(D48="","",IF(N(BK48)&lt;&gt;0,BK48,IFERROR(_xlfn.LET(_xlpm.need,BO48/(BP48*BQ48),_xlpm.t,CHOOSE(BR48,Iдоп_1ж,Iдоп_2ж,Iдоп_3ж),_xlpm.k,_xlfn.XMATCH(_xlpm.need,_xlpm.t,1),IF(ISNA(_xlpm.k),"Не исп",INDEX(Iдоп_S,_xlpm.k))),"Не исп")))</f>
        <v>2.5</v>
      </c>
      <c r="BT48">
        <f>IFERROR(VLOOKUP(BS48,Кабель_сопротивление,3,FALSE),"")</f>
        <v>2.2499999999999999E-2</v>
      </c>
      <c r="BU48">
        <f>IFERROR(VLOOKUP(BS48,Кабель_сопротивление,2,FALSE),"")</f>
        <v>0.1</v>
      </c>
      <c r="BV48">
        <f t="shared" si="99"/>
        <v>14</v>
      </c>
      <c r="BW48" s="6">
        <f>IF(D48="","",IFERROR(IF(VLOOKUP(AT48,Потребители_обозначение,4,FALSE)=1,VLOOKUP(AT48,Потребители_обозначение,3,FALSE)*(H48*2-1)+BV48+VLOOKUP(AV48,Этаж_обозначение,3,FALSE)+VLOOKUP(AV48,Этаж_обозначение,4,FALSE),VLOOKUP(AT48,Потребители_обозначение,3,FALSE)*(H48*2-1)+BV48),BV48))</f>
        <v>32</v>
      </c>
      <c r="BX48">
        <f t="shared" si="100"/>
        <v>0</v>
      </c>
      <c r="BY48">
        <f t="shared" si="101"/>
        <v>28</v>
      </c>
      <c r="BZ48">
        <f t="shared" si="102"/>
        <v>2</v>
      </c>
      <c r="CA48">
        <f t="shared" si="103"/>
        <v>0.31</v>
      </c>
      <c r="CB48">
        <f t="shared" si="104"/>
        <v>0.75095888739782057</v>
      </c>
      <c r="CC48" s="6">
        <f>IFERROR(ROUNDUP(CB48/((Uн_лин/SQRT(3))*1000)*100,2),"")</f>
        <v>0.33</v>
      </c>
      <c r="CD48" s="6">
        <f>IF(ISNUMBER(CC48),CC48+IFERROR(_xlfn.XLOOKUP(A48,Щиты[Щит],Щиты[ΔU до шин, %]),0),"")</f>
        <v>0.33</v>
      </c>
      <c r="CE48" s="6">
        <f>IF(D48="","",IF(IFERROR(VLOOKUP(AT48,УГО_спр,2,FALSE),"")="Светильник",3,4)+IF(Методика="нормы 2026",MIN(0.5,MAX(0,N(BW48)-100)*0.005),0))</f>
        <v>4</v>
      </c>
      <c r="CF48" t="str">
        <f>IFERROR(VLOOKUP(BI48,Кабель_обозначение,2,FALSE),"")</f>
        <v>ВВГнг(А)-LS</v>
      </c>
      <c r="CG48" t="str">
        <f>IFERROR(IF(VLOOKUP(BI48,Кабель_обозначение,3,FALSE)=1,CF48&amp;" ("&amp;BJ48&amp;"х"&amp;BS48&amp;")",CF48),"")</f>
        <v>ВВГнг(А)-LS (3х2,5)</v>
      </c>
      <c r="CH48" t="str">
        <f t="shared" si="105"/>
        <v>ВВГнг(А)-LS (3х2,5)
L=32-0,33%</v>
      </c>
      <c r="CI48">
        <f>IFERROR(2*ρкз_Cu*BW48/BS48,"")</f>
        <v>0.67327999999999999</v>
      </c>
      <c r="CJ48">
        <f t="shared" si="106"/>
        <v>0.22400000000000003</v>
      </c>
      <c r="CK48" s="6" t="str">
        <f>IFERROR(IF(OR(D48="",NOT(ISNUMBER(BS48)),N(BW48)=0),"",_xlfn.XLOOKUP(A48,Щиты[Щит],Щиты[Zпетли на шинах, Ом])+CI48),"")</f>
        <v/>
      </c>
      <c r="CL48" s="6" t="str">
        <f>IF(ISNUMBER(CK48),c_min*(Uн_лин*1000/SQRT(3))/CK48,"")</f>
        <v/>
      </c>
      <c r="CM48" s="6" t="str">
        <f>IFERROR(IF(OR(D48="",NOT(ISNUMBER(BS48))),"",1.05*(Uн_лин*1000/SQRT(3))/(_xlfn.XLOOKUP(A48,Щиты[Щит],Щиты[Zmax на шинах, Ом])+CJ48)/1000),"")</f>
        <v/>
      </c>
      <c r="CN48" s="6" t="str">
        <f>IF(D48="","",IF(BA48&lt;&gt;"","Щит",IF(K48&lt;&gt;"",K48,IF(ISNUMBER(L48),"Сил",IF(IFERROR(_xlfn.XLOOKUP(AT48,Коды_код,Коды_группа)&amp;"","")="","Быт",_xlfn.XLOOKUP(AT48,Коды_код,Коды_группа)&amp;"")))))</f>
        <v>Быт</v>
      </c>
      <c r="CO48" s="6">
        <f>IF(CN48="Щит","щит",IF(CN48="","",IF(CN48="Быт",IFERROR(_xlfn.XLOOKUP(A48,Щиты[Щит],Щиты[Кс быт]),1),IF(CN48="Сил",IF(ISNUMBER(L48),L48,IF(Методика="нормы 2026",IFERROR(_xlfn.XLOOKUP(A48,Щиты[Щит],Щиты[Кс силовых (табл. 7.5)]),1),1)),IF(OR(CN48="Пост",CN48="Отоп"),1,IF(CN48="ВНГ",0.7,0))))))</f>
        <v>0.8</v>
      </c>
      <c r="CP48">
        <f t="shared" si="107"/>
        <v>1</v>
      </c>
      <c r="CQ48">
        <f t="shared" si="108"/>
        <v>0.3</v>
      </c>
      <c r="CR48">
        <f t="shared" si="109"/>
        <v>0.3</v>
      </c>
      <c r="CS48">
        <f t="shared" si="110"/>
        <v>0</v>
      </c>
      <c r="CT48">
        <f t="shared" si="111"/>
        <v>0</v>
      </c>
      <c r="CU48">
        <f t="shared" si="112"/>
        <v>0</v>
      </c>
      <c r="CV48">
        <f t="shared" si="113"/>
        <v>0</v>
      </c>
      <c r="CW48">
        <f t="shared" si="114"/>
        <v>0.3</v>
      </c>
      <c r="CX48">
        <f t="shared" si="115"/>
        <v>0.28499999999999998</v>
      </c>
      <c r="CY48">
        <f t="shared" si="116"/>
        <v>3</v>
      </c>
      <c r="CZ48" t="str">
        <f t="shared" si="117"/>
        <v>L3</v>
      </c>
      <c r="DA48" cm="1">
        <f t="array" ref="DA48">IFERROR(IF(BL48=2,_xlfn.IFS(BH48=3,VLOOKUP(BF48,Справочная_двигатели,3,FALSE),BH48=1,VLOOKUP(BF48,Справочная_двигатели,5,TRUE)),0),0)</f>
        <v>0</v>
      </c>
      <c r="DB48">
        <f>IFERROR(IF(BL48=3,VLOOKUP(BF48,Справочная_ЛЭД,2,TRUE),0),0)</f>
        <v>0</v>
      </c>
      <c r="DC48" s="6">
        <f t="shared" si="118"/>
        <v>0</v>
      </c>
      <c r="DD48" t="str">
        <f t="shared" si="119"/>
        <v>L2</v>
      </c>
      <c r="DE48" t="str" cm="1">
        <f t="array" ref="DE48">IF(D48="","",IFERROR(INDEX({"I особая","I","II","III"},MATCH(TRIM(AA48&amp;""),{"I особая","I","II","III"},0)),"III"))</f>
        <v>III</v>
      </c>
      <c r="DF48" t="str">
        <f>IF(D48="","",IF(TRIM(AB48&amp;"")&lt;&gt;"",IF(LOWER(TRIM(AB48&amp;""))="да","да","нет"),IF(IFERROR(_xlfn.XLOOKUP(AT48,Коды_код,Коды_пожарная),"")="да","да","нет")))</f>
        <v>нет</v>
      </c>
      <c r="DG48" t="str">
        <f t="shared" si="120"/>
        <v/>
      </c>
      <c r="DH48" t="str">
        <f t="shared" si="121"/>
        <v>основная</v>
      </c>
      <c r="DI48">
        <f t="shared" si="122"/>
        <v>1</v>
      </c>
      <c r="DJ48" t="str" cm="1">
        <f t="array" ref="DJ48">IF(D48="","",_xlfn.LET(_xlpm.t,IFERROR(_xlfn.XLOOKUP(1,(Шины[Шина]=DH48)*(((Шины[Щит]=A48)+(Шины[Щит]=""))&gt;0),Шины[Тип]),"")&amp;"",IF(_xlpm.t&lt;&gt;"",_xlpm.t,IF(ISNUMBER(SEARCH("ИБП",DH48)),"ИБП",IF(ISNUMBER(SEARCH("ДГУ",DH48)),"ДГУ","Ввод "&amp;DI48)))))</f>
        <v>Ввод 1</v>
      </c>
      <c r="DK48" t="str">
        <f t="shared" si="123"/>
        <v>Ввод 1</v>
      </c>
      <c r="DL48" t="str">
        <f>IF(D48="","",IF(OR(DJ48="ИБП",DJ48="ДГУ"),"I особая",IF(DJ48="Одиночная","III",_xlfn.XLOOKUP(A48,Щиты[Щит],Щиты[Категория шины «Ввод»],"III"))))</f>
        <v>III</v>
      </c>
      <c r="DM48">
        <f>IF(D48="",0,IFERROR(MATCH(DE48,{"III","II","I","I особая"},0),1))</f>
        <v>1</v>
      </c>
      <c r="DN48">
        <f t="shared" si="124"/>
        <v>1</v>
      </c>
      <c r="DO48" t="str">
        <f>IF(D48="","",IF(DM48&gt;IFERROR(MATCH(DL48,{"III","II","I","I особая"},0),1),"НЕ ОБЕСПЕЧЕНА","ОК"))</f>
        <v>ОК</v>
      </c>
      <c r="DP48" t="str">
        <f>IF(A48="","",_xlfn.XLOOKUP(A48,Щиты[Щит],Щиты[Путь],""))</f>
        <v>|ЩР|</v>
      </c>
      <c r="DQ48" t="str">
        <f>IF(D48="","",IF(Z48&lt;&gt;"",Z48,IF(IFERROR(_xlfn.XLOOKUP(AT48,Коды_код,Коды_вид)&amp;"","")="","Прочее",_xlfn.XLOOKUP(AT48,Коды_код,Коды_вид)&amp;"")))</f>
        <v>Розеточная сеть и бытовые приборы</v>
      </c>
      <c r="DR48">
        <f>IF(BD48="","",INT((BD48-1)/Столбцов_на_лист)+1)</f>
        <v>3</v>
      </c>
      <c r="DS48" t="str">
        <f t="shared" si="125"/>
        <v>ВВГнг(А)-LS (3х2,5) L=32-0,33%</v>
      </c>
      <c r="DT48">
        <f t="shared" si="126"/>
        <v>0.3</v>
      </c>
      <c r="DU48">
        <f t="shared" si="127"/>
        <v>1.37</v>
      </c>
      <c r="DV48">
        <f t="shared" si="128"/>
        <v>1</v>
      </c>
      <c r="DW48">
        <f>IF(AT48="",0,_xlfn.LET(_xlpm.v,IFERROR(VLOOKUP(D48,УГО_спр,3,FALSE),IFERROR(VLOOKUP(AT48,УГО_спр,3,FALSE),IFERROR(VLOOKUP(LEFT(AT48,2),УГО_спр,3,FALSE),""))),IF(_xlpm.v="да",30,IF(ISNUMBER(_xlpm.v),_xlpm.v,0))))</f>
        <v>30</v>
      </c>
      <c r="DX48">
        <f t="shared" si="129"/>
        <v>0</v>
      </c>
      <c r="DY48">
        <f>IF(BD48="","",IF(AD48&lt;&gt;"",COUNTIFS(A$3:A48,A48,AD$3:AD48,"?*"),IF(OR(OR(AS48=1,A48&lt;&gt;A47),AL48="вручную"),"",IF(AS48=1,"",DZ47))))</f>
        <v>27</v>
      </c>
      <c r="DZ48">
        <f t="shared" si="130"/>
        <v>27</v>
      </c>
      <c r="EA48">
        <f>IF(D48="",0,MAX(IFERROR(--X48,0),IFERROR(--VLOOKUP(D48,УГО_спр,4,FALSE),IFERROR(--VLOOKUP(AT48,УГО_спр,4,FALSE),IFERROR(--VLOOKUP(LEFT(AT48,2),УГО_спр,4,FALSE),0)))))</f>
        <v>16</v>
      </c>
      <c r="EB48">
        <f>IF(D48="","",IFERROR(LOOKUP(INDEX(CHOOSE(BR48,Iдоп_1ж,Iдоп_2ж,Iдоп_3ж),MATCH(BS48,Iдоп_S,0))*BP48*BQ48,{6,10,16,20,25,32,40,50,63,80,100,125,160,200,250,315,400,500,630}),""))</f>
        <v>25</v>
      </c>
      <c r="EC48">
        <f>IF(AD48="","",SUMIFS(Линии[_Ток схемы],Линии[_гр.],DY48,Линии[Щит],A48,Линии[_в кабель выше],0))</f>
        <v>1.37</v>
      </c>
      <c r="ED48">
        <f>IF(AD48="","",IFERROR(VLOOKUP(EC48,Автомат_номиналы,2,TRUE),""))</f>
        <v>6</v>
      </c>
      <c r="EE48">
        <f>IF(AD48="","",MAX(N(ED48),_xlfn.MAXIFS(Линии[_мин. по типу],Линии[_гр.],DY48,Линии[Щит],A48)))</f>
        <v>16</v>
      </c>
      <c r="EF48">
        <f>IF(AD48="","",_xlfn.MINIFS(Линии[_макс. автомат по кабелю],Линии[_гр.],DY48,Линии[Щит],A48))</f>
        <v>25</v>
      </c>
      <c r="EG48">
        <f>IF(AD48="","",MAX(1,_xlfn.MAXIFS(Линии[_фаз],Линии[_гр.],DY48,Линии[Щит],A48)))</f>
        <v>1</v>
      </c>
      <c r="EH48">
        <f>IF(AD48="","",IF(AND(AD48&lt;&gt;"авто",AD48&lt;&gt;"+"),IF(ISNUMBER(SEARCH("мА",AD48)),IFERROR(--TRIM(RIGHT(SUBSTITUTE(LEFT(AD48,SEARCH("мА",AD48)-1)," ",REPT(" ",9)),6)),30),0),IF(AE48="нет",0,IF(ISNUMBER(AE48),AE48,IF(AE48="да",30,_xlfn.MINIFS(Линии[_дифзащита по коду, мА],Линии[_гр.],DY48,Линии[Щит],A48,Линии[_дифзащита по коду, мА],"&gt;0"))))))</f>
        <v>30</v>
      </c>
      <c r="EI48">
        <f t="shared" si="131"/>
        <v>1</v>
      </c>
      <c r="EJ48" t="str">
        <f t="shared" si="132"/>
        <v>QFD27</v>
      </c>
      <c r="EK48" t="str">
        <f t="shared" si="133"/>
        <v>QFD27</v>
      </c>
      <c r="EL48" t="str">
        <f t="shared" si="134"/>
        <v/>
      </c>
      <c r="EM48">
        <f t="shared" si="135"/>
        <v>0</v>
      </c>
      <c r="EN48">
        <f>IF(AD48="","",IF(EM48=1,MAX(EE48,Мин_автомат_БП),EE48))</f>
        <v>16</v>
      </c>
      <c r="EO48" t="str">
        <f t="shared" si="136"/>
        <v>2P</v>
      </c>
      <c r="EP48" t="str">
        <f t="shared" si="137"/>
        <v>2P С16А 30мА</v>
      </c>
      <c r="EQ48">
        <f t="shared" si="138"/>
        <v>16</v>
      </c>
      <c r="ER48" t="str">
        <f>IF(OR(AI48="",AI48="-"),"",IFERROR(VLOOKUP(AI48,Модули_спр,2,FALSE),"R"))</f>
        <v/>
      </c>
      <c r="ES48" t="str">
        <f>IF(ER48="","",ER48&amp;"."&amp;COUNTIFS(A$3:A48,A48,ER$3:ER48,ER48))</f>
        <v/>
      </c>
      <c r="ET48" t="str">
        <f t="shared" si="139"/>
        <v/>
      </c>
      <c r="EU48" t="str">
        <f t="shared" si="140"/>
        <v/>
      </c>
      <c r="EV48" t="str">
        <f t="shared" si="141"/>
        <v/>
      </c>
      <c r="EW48" t="str">
        <f t="shared" si="142"/>
        <v/>
      </c>
      <c r="EX48">
        <f t="shared" si="143"/>
        <v>1</v>
      </c>
      <c r="EY48" t="str">
        <f>IF(AK48="нет","",IF(AK48&lt;&gt;"",AK48,IF(EX48=1,"XT"&amp;COUNTIFS(A$3:A48,A48,EX$3:EX48,1),"")))</f>
        <v>XT28</v>
      </c>
      <c r="EZ48" t="str">
        <f t="shared" si="144"/>
        <v>QFD27</v>
      </c>
      <c r="FA48" t="str">
        <f t="shared" si="145"/>
        <v/>
      </c>
      <c r="FB48" t="str">
        <f t="shared" si="146"/>
        <v>ok</v>
      </c>
      <c r="FC48" t="str">
        <f>IF(OR(EV48="",ET48=""),"",IF(EV48&gt;IFERROR(VLOOKUP(EU48,Модули_спр,3,FALSE),99),"ЛИШНИЙ КАНАЛ",IF(AND(AJ48&lt;&gt;"=",COUNTIFS(Линии[_модуль гр.],ET48,Линии[Канал (итог)],EV48,Линии[Канал],"&lt;&gt;=",Линии[Щит],A48)&gt;1),"ДУБЛЬ КАНАЛА","")))</f>
        <v/>
      </c>
      <c r="FD48">
        <f t="shared" si="147"/>
        <v>16</v>
      </c>
      <c r="FE48" t="str">
        <f t="shared" si="148"/>
        <v>2P С16А 30мА</v>
      </c>
      <c r="FF48">
        <f t="shared" si="149"/>
        <v>1</v>
      </c>
      <c r="FG48">
        <f t="shared" si="150"/>
        <v>30</v>
      </c>
      <c r="FH48" s="6" t="str">
        <f t="shared" si="151"/>
        <v/>
      </c>
      <c r="FI48">
        <f t="shared" si="152"/>
        <v>10</v>
      </c>
      <c r="FJ48" t="str">
        <f t="shared" si="153"/>
        <v/>
      </c>
      <c r="FK48" t="str">
        <f>IF(AND(D48="",EZ48=""),"",_xlfn.TEXTJOIN("; ",TRUE,IF(AND(D48&lt;&gt;"",DD48=""),"нет фазы",""),IF(AND(D48&lt;&gt;"",N(DT48)=0,CN48&lt;&gt;"Нет"),"нет мощности",""),IF(AND(EY48&lt;&gt;"",COUNTIFS(Линии[Щит],A48,Линии[Клемма (итог)],EY48)&gt;1),"дубль клеммы "&amp;EY48,""),IF(AND(FB48&lt;&gt;"",FB48&lt;&gt;"ok"),FB48,""),IF(FC48&lt;&gt;"",FC48,""),IF(AND(ISNUMBER(SEARCH("(5х",DS48)),N(DV48)=1),"5 жил на 1 фазе",""),IF(AND(AT48="R",AD48&lt;&gt;"",OR(N(EH48)=0,N(EH48)&gt;30)),"розетка без дифзащиты до 30 мА",""),IFERROR(IF(AND(ISNUMBER(CD48),CD48&gt;CE48),"потери "&amp;FIXED(CD48,1)&amp;" % &gt; "&amp;CE48&amp;" %",""),""),IFERROR(IF(LEFT(FJ48,4)="мало","Iкз мало — отключение &gt; 0,4 с",""),""),IF(AND(D48&lt;&gt;"",BD48=""),"не на схеме","")))</f>
        <v/>
      </c>
      <c r="FL48" s="6">
        <f>IF(AD48="","",_xlfn.LET(_xlpm.t,IFERROR(_xlfn.XLOOKUP(EP48,Каталог!$U$4:$U$500,Каталог!$G$4:$G$500),""),_xlpm.k,SEARCH("кА",_xlpm.t),IFERROR(--TRIM(RIGHT(SUBSTITUTE(MID(_xlpm.t,MAX(1,_xlpm.k-4),_xlpm.k-MAX(1,_xlpm.k-4))," ",REPT(" ",9)),5)),"")))</f>
        <v>6</v>
      </c>
      <c r="FM48" t="str">
        <f>IF(OR(FL48="",AD48=""),"",IF(_xlfn.XLOOKUP(A48,Щиты[Щит],Щиты[Iкз max на шинах, кА],"")="","",IF(FL48&lt;_xlfn.XLOOKUP(A48,Щиты[Щит],Щиты[Iкз max на шинах, кА]),"Icu "&amp;FL48&amp;" кА &lt; Iкз max","ok")))</f>
        <v/>
      </c>
      <c r="FN48" t="str">
        <f t="shared" si="154"/>
        <v>QFD27|XT28</v>
      </c>
      <c r="FO48" t="str">
        <f t="shared" si="155"/>
        <v>QFD27|XT28|кабель ВВГнг(А)-LS (3х2,5) → Розеточная группа  Пом. №10</v>
      </c>
      <c r="FP48" t="str" cm="1">
        <f t="array" ref="FP48">IF(FO48="","",_xlfn.LET(_xlpm.nd,_xlfn.TEXTSPLIT(FO48,"|"),IF(COLUMNS(_xlpm.nd)&gt;1,A48&amp;"¦"&amp;INDEX(_xlpm.nd,1)&amp;"¦"&amp;INDEX(_xlpm.nd,2),"")))</f>
        <v>ЩР¦QFD27¦XT28</v>
      </c>
      <c r="FQ48" t="str">
        <f t="shared" si="156"/>
        <v>R.1.10.2¦Розеточная группа  Пом. №10</v>
      </c>
      <c r="FR48" t="str" cm="1">
        <f t="array" ref="FR48">IF(FO48="","",_xlfn.LET(_xlpm.nd,_xlfn.TEXTSPLIT(FO48,"|"),IF(COLUMNS(_xlpm.nd)&gt;2,A48&amp;"¦"&amp;INDEX(_xlpm.nd,2)&amp;"¦"&amp;INDEX(_xlpm.nd,3),"")))</f>
        <v>ЩР¦XT28¦кабель ВВГнг(А)-LS (3х2,5) → Розеточная группа  Пом. №10</v>
      </c>
      <c r="FS48" t="str">
        <f t="shared" si="157"/>
        <v>R.1.10.2¦Розеточная группа  Пом. №10</v>
      </c>
      <c r="FT48" t="str" cm="1">
        <f t="array" ref="FT48">IF(FO48="","",_xlfn.LET(_xlpm.nd,_xlfn.TEXTSPLIT(FO48,"|"),IF(COLUMNS(_xlpm.nd)&gt;3,A48&amp;"¦"&amp;INDEX(_xlpm.nd,3)&amp;"¦"&amp;INDEX(_xlpm.nd,4),"")))</f>
        <v/>
      </c>
      <c r="FU48" t="str">
        <f t="shared" si="158"/>
        <v/>
      </c>
      <c r="FV48" t="str" cm="1">
        <f t="array" ref="FV48">IF(FO48="","",_xlfn.LET(_xlpm.nd,_xlfn.TEXTSPLIT(FO48,"|"),IF(COLUMNS(_xlpm.nd)&gt;4,A48&amp;"¦"&amp;INDEX(_xlpm.nd,4)&amp;"¦"&amp;INDEX(_xlpm.nd,5),"")))</f>
        <v/>
      </c>
      <c r="FW48" t="str">
        <f t="shared" si="159"/>
        <v/>
      </c>
      <c r="FX48" t="str" cm="1">
        <f t="array" ref="FX48">IF(FO48="","",_xlfn.LET(_xlpm.nd,_xlfn.TEXTSPLIT(FO48,"|"),IF(COLUMNS(_xlpm.nd)&gt;5,A48&amp;"¦"&amp;INDEX(_xlpm.nd,5)&amp;"¦"&amp;INDEX(_xlpm.nd,6),"")))</f>
        <v/>
      </c>
      <c r="FY48" t="str">
        <f t="shared" si="160"/>
        <v/>
      </c>
      <c r="FZ48" t="str" cm="1">
        <f t="array" ref="FZ48">IF(FO48="","",_xlfn.LET(_xlpm.nd,_xlfn.TEXTSPLIT(FO48,"|"),IF(COLUMNS(_xlpm.nd)&gt;6,A48&amp;"¦"&amp;INDEX(_xlpm.nd,6)&amp;"¦"&amp;INDEX(_xlpm.nd,7),"")))</f>
        <v/>
      </c>
      <c r="GA48" t="str">
        <f t="shared" si="161"/>
        <v/>
      </c>
      <c r="GB48" t="str">
        <f t="shared" si="162"/>
        <v/>
      </c>
      <c r="GC48" t="str">
        <f t="shared" si="163"/>
        <v>QFD27 → XT28</v>
      </c>
      <c r="GD48">
        <f t="shared" si="164"/>
        <v>1</v>
      </c>
      <c r="GE48">
        <f t="shared" si="165"/>
        <v>0</v>
      </c>
      <c r="GF48">
        <f t="shared" si="166"/>
        <v>1</v>
      </c>
      <c r="GG48" t="str">
        <f t="shared" si="167"/>
        <v/>
      </c>
      <c r="GH48" t="str">
        <f t="shared" si="168"/>
        <v/>
      </c>
      <c r="GI48" t="str">
        <f t="shared" si="169"/>
        <v/>
      </c>
      <c r="GJ48" t="str">
        <f t="shared" si="170"/>
        <v/>
      </c>
      <c r="GK48" t="str">
        <f>IF(D48="","",IFERROR(VLOOKUP(D48,УГО_спр,2,FALSE),IFERROR(VLOOKUP(AT48,УГО_спр,2,FALSE),IFERROR(VLOOKUP(LEFT(AT48,2),УГО_спр,2,FALSE),""))))</f>
        <v>Розетка</v>
      </c>
      <c r="GL48" t="str">
        <f>IF(D48="","",IF(OR(GK48="",GK48=0),"BOX",IFERROR(IF(VLOOKUP(GK48,УГО_блоки,3,FALSE)&amp;""&lt;&gt;"",VLOOKUP(GK48,УГО_блоки,3,FALSE),VLOOKUP(GK48,УГО_блоки,2,FALSE)),GK48)))</f>
        <v>SOCKET</v>
      </c>
      <c r="GM48">
        <f t="shared" si="171"/>
        <v>1</v>
      </c>
      <c r="GN48" t="str">
        <f>IF(EP48="","",IF(COUNTIF(EP$3:EP48,EP48)=1,MAX(GN$2:GN47)+1,""))</f>
        <v/>
      </c>
      <c r="GO48" t="str">
        <f>IF(AF48="","",IF(COUNTIF(AF$3:AF48,AF48)+COUNTIF(AG$2:AG47,AF48)+COUNTIF(AH$2:AH47,AF48)=1,MAX(GO$2:GQ47)+1,""))</f>
        <v/>
      </c>
      <c r="GP48" t="str">
        <f>IF(AG48="","",IF(COUNTIF(AF$3:AF48,AG48)+COUNTIF(AG$3:AG48,AG48)+COUNTIF(AH$2:AH47,AG48)=1,MAX(GO$2:GQ47,GO48)+1,""))</f>
        <v/>
      </c>
      <c r="GQ48" t="str">
        <f>IF(AH48="","",IF(COUNTIF(AF$3:AF48,AH48)+COUNTIF(AG$3:AG48,AH48)+COUNTIF(AH$3:AH48,AH48)=1,MAX(GO$2:GQ47,GO48,GP48)+1,""))</f>
        <v/>
      </c>
      <c r="GR48" t="str">
        <f t="shared" si="172"/>
        <v>3х2,5</v>
      </c>
      <c r="GS48" t="str">
        <f>IF(GR48="","",IF(COUNTIF(GR$3:GR48,GR48)=1,MAX(GS$2:GS47)+1,""))</f>
        <v/>
      </c>
      <c r="GT48" t="str">
        <f>IF(ES48="","",COUNTIF(ES$3:ES48,"?*"))</f>
        <v/>
      </c>
      <c r="GU48" t="str">
        <f>IF(OR(ES48="",EU48=""),"",IF(COUNTIFS(ES$3:ES48,"?*",EU$3:EU48,EU48)=1,MAX(GU$2:GU47)+1,""))</f>
        <v/>
      </c>
      <c r="GV48">
        <f t="shared" si="173"/>
        <v>0</v>
      </c>
      <c r="GW48">
        <f>IF(D48="","",COUNTIF(D$3:D48,"?*"))</f>
        <v>28</v>
      </c>
      <c r="GX48">
        <f>IF(EX48&lt;&gt;1,0,_xlfn.LET(_xlpm.k,MAX(IFERROR(--VLOOKUP(D48,УГО_спр,5,FALSE),0),IFERROR(--VLOOKUP(AT48,УГО_спр,5,FALSE),0),IFERROR(--VLOOKUP(LEFT(AT48,2),УГО_спр,5,FALSE),0)),IF(_xlpm.k&gt;0,_xlpm.k,IF(IFERROR(--LEFT(SUBSTITUTE(GR48,"x","х"),FIND("х",SUBSTITUTE(GR48,"x","х"))-1),3)&gt;3,Каталог!$S$9,1))))</f>
        <v>1</v>
      </c>
      <c r="GY48">
        <f t="shared" si="174"/>
        <v>0</v>
      </c>
    </row>
    <row r="49" spans="1:207" x14ac:dyDescent="0.3">
      <c r="A49" t="s">
        <v>206</v>
      </c>
      <c r="B49">
        <v>49</v>
      </c>
      <c r="C49" t="str">
        <f>IF(BD49="","",IF(BE49="вводной узел","узел ","")&amp;"л."&amp;(INT((BD49-1)/Столбцов_на_лист)+1)&amp;" / "&amp;(MOD(BD49-1,Столбцов_на_лист)+1))</f>
        <v>л.3 / 15</v>
      </c>
      <c r="D49" t="s">
        <v>701</v>
      </c>
      <c r="E49" s="133" t="str">
        <f t="shared" si="175"/>
        <v>Розеточная группа  Пом. №14</v>
      </c>
      <c r="G49">
        <v>0.12</v>
      </c>
      <c r="H49">
        <v>2</v>
      </c>
      <c r="O49">
        <v>3</v>
      </c>
      <c r="T49">
        <v>2</v>
      </c>
      <c r="AD49" t="s">
        <v>597</v>
      </c>
      <c r="AN49">
        <v>22.07</v>
      </c>
      <c r="AO49" t="s">
        <v>667</v>
      </c>
      <c r="AQ49" t="s">
        <v>634</v>
      </c>
      <c r="AR49" t="str">
        <f t="shared" si="88"/>
        <v/>
      </c>
      <c r="AS49" cm="1">
        <f t="array" ref="AS49">ROW()-ROW(Линии[#Headers])</f>
        <v>47</v>
      </c>
      <c r="AT49" s="6" t="str">
        <f t="shared" si="89"/>
        <v>R</v>
      </c>
      <c r="AU49" t="str">
        <f t="shared" si="90"/>
        <v>1.14.1</v>
      </c>
      <c r="AV49" t="str">
        <f t="shared" si="91"/>
        <v>1</v>
      </c>
      <c r="AW49" t="str">
        <f t="shared" si="92"/>
        <v>14.1</v>
      </c>
      <c r="AX49" t="str">
        <f t="shared" si="93"/>
        <v>14</v>
      </c>
      <c r="AY49" t="str">
        <f>IF(D49="","",IF(ISERROR(SEARCH(".",D49)),IFERROR(VLOOKUP(D49,Потребители_обозначение,2,FALSE)&amp;"",""),IFERROR(IF(VLOOKUP(AT49,Потребители_обозначение,4,FALSE)=1,VLOOKUP(AT49,Потребители_обозначение,2,FALSE)&amp;" "&amp;VLOOKUP(AV49,Этаж_обозначение,2,FALSE)&amp;" Пом. №"&amp;AX49,VLOOKUP(AT49,Потребители_обозначение,2,FALSE)&amp;" Шлейф №"&amp;AV49),IFERROR(VLOOKUP(D49,Потребители_обозначение,2,FALSE),""))))</f>
        <v>Розеточная группа  Пом. №14</v>
      </c>
      <c r="AZ49" t="str">
        <f t="shared" si="94"/>
        <v>Розеточная группа  Пом. №14</v>
      </c>
      <c r="BA49" t="str">
        <f>IF(F49&lt;&gt;"",F49,IF(AND(D49&lt;&gt;"",D49&lt;&gt;A49,ISNUMBER(_xlfn.XMATCH(D49,Щиты[Щит]))),D49,""))</f>
        <v/>
      </c>
      <c r="BB49">
        <f>IFERROR(_xlfn.XMATCH(A49,Щиты[Щит]),0)</f>
        <v>1</v>
      </c>
      <c r="BC49">
        <f>IFERROR(N(_xlfn.XLOOKUP(A49,Щиты[Щит],Щиты[Мест под вводной узел])),15)</f>
        <v>18</v>
      </c>
      <c r="BD49">
        <f t="shared" si="95"/>
        <v>49</v>
      </c>
      <c r="BE49" t="str">
        <f t="shared" si="96"/>
        <v>линии</v>
      </c>
      <c r="BF49" s="6">
        <f>IF(D49="","",IF(BA49&lt;&gt;"",IFERROR(_xlfn.XLOOKUP(BA49,Щиты[Щит],Щиты[Руст, кВт]),0),N(G49)))</f>
        <v>0.12</v>
      </c>
      <c r="BG49">
        <f>IF(J49&lt;&gt;"",J49,IF(D49="","",IFERROR(IF(VLOOKUP(AT49,Потребители_обозначение,8,FALSE)=0,"",VLOOKUP(AT49,Потребители_обозначение,8,FALSE)),"")))</f>
        <v>230</v>
      </c>
      <c r="BH49">
        <f>IF(I49&lt;&gt;"",I49,IF(D49="","",IFERROR(IF(VLOOKUP(AT49,Потребители_обозначение,9,FALSE)=0,"",VLOOKUP(AT49,Потребители_обозначение,9,FALSE)),"")))</f>
        <v>1</v>
      </c>
      <c r="BI49" t="str">
        <f>IF(U49&lt;&gt;"",U49,IF(D49="","",IFERROR(IF(VLOOKUP(AT49,Потребители_обозначение,6,FALSE)=0,"",VLOOKUP(AT49,Потребители_обозначение,6,FALSE)),"")))</f>
        <v>мс</v>
      </c>
      <c r="BJ49">
        <f>IF(V49&lt;&gt;"",V49,IF(D49="","",IFERROR(IF(VLOOKUP(AT49,Потребители_обозначение,7,FALSE)=0,"",VLOOKUP(AT49,Потребители_обозначение,7,FALSE)),"")))</f>
        <v>3</v>
      </c>
      <c r="BK49">
        <f>IF(W49&lt;&gt;"",W49,IF(D49="","",IFERROR(IF(VLOOKUP(AT49,Потребители_обозначение,10,FALSE)=0,"",VLOOKUP(AT49,Потребители_обозначение,10,FALSE)),"")))</f>
        <v>2.5</v>
      </c>
      <c r="BL49">
        <f>IFERROR(VLOOKUP(AT49,Потребители_обозначение,5,FALSE),0)</f>
        <v>1</v>
      </c>
      <c r="BM49" s="6" cm="1">
        <f t="array" ref="BM49">IF(D49="","",IF(BA49&lt;&gt;"",IFERROR(_xlfn.XLOOKUP(BA49,Щиты[Щит],Щиты[cos φ]),0.95),IF(ISNUMBER(M49),M49,IFERROR(IF(BL49=2,_xlfn.IFS(BH49=3,VLOOKUP(BF49,Справочная_двигатели,8,FALSE),BH49=1,VLOOKUP(BF49,Справочная_двигатели,10,TRUE)),IF(AND(Методика="нормы 2026",CN49="Сил"),0.8,0.95)),0.95))))</f>
        <v>0.95</v>
      </c>
      <c r="BN49" s="6" cm="1">
        <f t="array" ref="BN49">IF(D49="","",IF(BA49&lt;&gt;"",IFERROR(_xlfn.XLOOKUP(BA49,Щиты[Щит],Щиты[Iр, А]),""),IFERROR(_xlfn.IFS(BH49=1,BF49/((Uн_лин/SQRT(3))*BM49),BH49=3,BF49/(SQRT(3)*Uн_лин*BM49)),"")))</f>
        <v>0.54696341291648753</v>
      </c>
      <c r="BO49">
        <f>IF(D49="","",IF(N(X49)=0,IFERROR(VLOOKUP(BN49,Автомат_номиналы,2,TRUE),""),X49))</f>
        <v>6</v>
      </c>
      <c r="BP49">
        <f t="shared" si="97"/>
        <v>1</v>
      </c>
      <c r="BQ49">
        <f>IF(ISNUMBER(Y49),Y49,К_прокл)</f>
        <v>1</v>
      </c>
      <c r="BR49">
        <f t="shared" si="98"/>
        <v>2</v>
      </c>
      <c r="BS49" cm="1">
        <f t="array" ref="BS49">IF(D49="","",IF(N(BK49)&lt;&gt;0,BK49,IFERROR(_xlfn.LET(_xlpm.need,BO49/(BP49*BQ49),_xlpm.t,CHOOSE(BR49,Iдоп_1ж,Iдоп_2ж,Iдоп_3ж),_xlpm.k,_xlfn.XMATCH(_xlpm.need,_xlpm.t,1),IF(ISNA(_xlpm.k),"Не исп",INDEX(Iдоп_S,_xlpm.k))),"Не исп")))</f>
        <v>2.5</v>
      </c>
      <c r="BT49">
        <f>IFERROR(VLOOKUP(BS49,Кабель_сопротивление,3,FALSE),"")</f>
        <v>2.2499999999999999E-2</v>
      </c>
      <c r="BU49">
        <f>IFERROR(VLOOKUP(BS49,Кабель_сопротивление,2,FALSE),"")</f>
        <v>0.1</v>
      </c>
      <c r="BV49">
        <f t="shared" si="99"/>
        <v>23</v>
      </c>
      <c r="BW49" s="6">
        <f>IF(D49="","",IFERROR(IF(VLOOKUP(AT49,Потребители_обозначение,4,FALSE)=1,VLOOKUP(AT49,Потребители_обозначение,3,FALSE)*(H49*2-1)+BV49+VLOOKUP(AV49,Этаж_обозначение,3,FALSE)+VLOOKUP(AV49,Этаж_обозначение,4,FALSE),VLOOKUP(AT49,Потребители_обозначение,3,FALSE)*(H49*2-1)+BV49),BV49))</f>
        <v>29</v>
      </c>
      <c r="BX49">
        <f t="shared" si="100"/>
        <v>0</v>
      </c>
      <c r="BY49">
        <f t="shared" si="101"/>
        <v>25</v>
      </c>
      <c r="BZ49">
        <f t="shared" si="102"/>
        <v>2</v>
      </c>
      <c r="CA49">
        <f t="shared" si="103"/>
        <v>0.31</v>
      </c>
      <c r="CB49">
        <f t="shared" si="104"/>
        <v>0.27222259668171001</v>
      </c>
      <c r="CC49" s="6">
        <f>IFERROR(ROUNDUP(CB49/((Uн_лин/SQRT(3))*1000)*100,2),"")</f>
        <v>0.12</v>
      </c>
      <c r="CD49" s="6">
        <f>IF(ISNUMBER(CC49),CC49+IFERROR(_xlfn.XLOOKUP(A49,Щиты[Щит],Щиты[ΔU до шин, %]),0),"")</f>
        <v>0.12</v>
      </c>
      <c r="CE49" s="6">
        <f>IF(D49="","",IF(IFERROR(VLOOKUP(AT49,УГО_спр,2,FALSE),"")="Светильник",3,4)+IF(Методика="нормы 2026",MIN(0.5,MAX(0,N(BW49)-100)*0.005),0))</f>
        <v>4</v>
      </c>
      <c r="CF49" t="str">
        <f>IFERROR(VLOOKUP(BI49,Кабель_обозначение,2,FALSE),"")</f>
        <v>ВВГнг(А)-LS</v>
      </c>
      <c r="CG49" t="str">
        <f>IFERROR(IF(VLOOKUP(BI49,Кабель_обозначение,3,FALSE)=1,CF49&amp;" ("&amp;BJ49&amp;"х"&amp;BS49&amp;")",CF49),"")</f>
        <v>ВВГнг(А)-LS (3х2,5)</v>
      </c>
      <c r="CH49" t="str">
        <f t="shared" si="105"/>
        <v>ВВГнг(А)-LS (3х2,5)
L=29-0,12%</v>
      </c>
      <c r="CI49">
        <f>IFERROR(2*ρкз_Cu*BW49/BS49,"")</f>
        <v>0.61016000000000004</v>
      </c>
      <c r="CJ49">
        <f t="shared" si="106"/>
        <v>0.20300000000000001</v>
      </c>
      <c r="CK49" s="6" t="str">
        <f>IFERROR(IF(OR(D49="",NOT(ISNUMBER(BS49)),N(BW49)=0),"",_xlfn.XLOOKUP(A49,Щиты[Щит],Щиты[Zпетли на шинах, Ом])+CI49),"")</f>
        <v/>
      </c>
      <c r="CL49" s="6" t="str">
        <f>IF(ISNUMBER(CK49),c_min*(Uн_лин*1000/SQRT(3))/CK49,"")</f>
        <v/>
      </c>
      <c r="CM49" s="6" t="str">
        <f>IFERROR(IF(OR(D49="",NOT(ISNUMBER(BS49))),"",1.05*(Uн_лин*1000/SQRT(3))/(_xlfn.XLOOKUP(A49,Щиты[Щит],Щиты[Zmax на шинах, Ом])+CJ49)/1000),"")</f>
        <v/>
      </c>
      <c r="CN49" s="6" t="str">
        <f>IF(D49="","",IF(BA49&lt;&gt;"","Щит",IF(K49&lt;&gt;"",K49,IF(ISNUMBER(L49),"Сил",IF(IFERROR(_xlfn.XLOOKUP(AT49,Коды_код,Коды_группа)&amp;"","")="","Быт",_xlfn.XLOOKUP(AT49,Коды_код,Коды_группа)&amp;"")))))</f>
        <v>Быт</v>
      </c>
      <c r="CO49" s="6">
        <f>IF(CN49="Щит","щит",IF(CN49="","",IF(CN49="Быт",IFERROR(_xlfn.XLOOKUP(A49,Щиты[Щит],Щиты[Кс быт]),1),IF(CN49="Сил",IF(ISNUMBER(L49),L49,IF(Методика="нормы 2026",IFERROR(_xlfn.XLOOKUP(A49,Щиты[Щит],Щиты[Кс силовых (табл. 7.5)]),1),1)),IF(OR(CN49="Пост",CN49="Отоп"),1,IF(CN49="ВНГ",0.7,0))))))</f>
        <v>0.8</v>
      </c>
      <c r="CP49">
        <f t="shared" si="107"/>
        <v>1</v>
      </c>
      <c r="CQ49">
        <f t="shared" si="108"/>
        <v>0.12</v>
      </c>
      <c r="CR49">
        <f t="shared" si="109"/>
        <v>0.12</v>
      </c>
      <c r="CS49">
        <f t="shared" si="110"/>
        <v>0</v>
      </c>
      <c r="CT49">
        <f t="shared" si="111"/>
        <v>0</v>
      </c>
      <c r="CU49">
        <f t="shared" si="112"/>
        <v>0</v>
      </c>
      <c r="CV49">
        <f t="shared" si="113"/>
        <v>0</v>
      </c>
      <c r="CW49">
        <f t="shared" si="114"/>
        <v>0.12</v>
      </c>
      <c r="CX49">
        <f t="shared" si="115"/>
        <v>0.11399999999999999</v>
      </c>
      <c r="CY49">
        <f t="shared" si="116"/>
        <v>1</v>
      </c>
      <c r="CZ49" t="str">
        <f t="shared" si="117"/>
        <v>L1</v>
      </c>
      <c r="DA49" cm="1">
        <f t="array" ref="DA49">IFERROR(IF(BL49=2,_xlfn.IFS(BH49=3,VLOOKUP(BF49,Справочная_двигатели,3,FALSE),BH49=1,VLOOKUP(BF49,Справочная_двигатели,5,TRUE)),0),0)</f>
        <v>0</v>
      </c>
      <c r="DB49">
        <f>IFERROR(IF(BL49=3,VLOOKUP(BF49,Справочная_ЛЭД,2,TRUE),0),0)</f>
        <v>0</v>
      </c>
      <c r="DC49" s="6">
        <f t="shared" si="118"/>
        <v>0</v>
      </c>
      <c r="DD49" t="str">
        <f t="shared" si="119"/>
        <v>L3</v>
      </c>
      <c r="DE49" t="str" cm="1">
        <f t="array" ref="DE49">IF(D49="","",IFERROR(INDEX({"I особая","I","II","III"},MATCH(TRIM(AA49&amp;""),{"I особая","I","II","III"},0)),"III"))</f>
        <v>III</v>
      </c>
      <c r="DF49" t="str">
        <f>IF(D49="","",IF(TRIM(AB49&amp;"")&lt;&gt;"",IF(LOWER(TRIM(AB49&amp;""))="да","да","нет"),IF(IFERROR(_xlfn.XLOOKUP(AT49,Коды_код,Коды_пожарная),"")="да","да","нет")))</f>
        <v>нет</v>
      </c>
      <c r="DG49" t="str">
        <f t="shared" si="120"/>
        <v/>
      </c>
      <c r="DH49" t="str">
        <f t="shared" si="121"/>
        <v>основная</v>
      </c>
      <c r="DI49">
        <f t="shared" si="122"/>
        <v>1</v>
      </c>
      <c r="DJ49" t="str" cm="1">
        <f t="array" ref="DJ49">IF(D49="","",_xlfn.LET(_xlpm.t,IFERROR(_xlfn.XLOOKUP(1,(Шины[Шина]=DH49)*(((Шины[Щит]=A49)+(Шины[Щит]=""))&gt;0),Шины[Тип]),"")&amp;"",IF(_xlpm.t&lt;&gt;"",_xlpm.t,IF(ISNUMBER(SEARCH("ИБП",DH49)),"ИБП",IF(ISNUMBER(SEARCH("ДГУ",DH49)),"ДГУ","Ввод "&amp;DI49)))))</f>
        <v>Ввод 1</v>
      </c>
      <c r="DK49" t="str">
        <f t="shared" si="123"/>
        <v>Ввод 1</v>
      </c>
      <c r="DL49" t="str">
        <f>IF(D49="","",IF(OR(DJ49="ИБП",DJ49="ДГУ"),"I особая",IF(DJ49="Одиночная","III",_xlfn.XLOOKUP(A49,Щиты[Щит],Щиты[Категория шины «Ввод»],"III"))))</f>
        <v>III</v>
      </c>
      <c r="DM49">
        <f>IF(D49="",0,IFERROR(MATCH(DE49,{"III","II","I","I особая"},0),1))</f>
        <v>1</v>
      </c>
      <c r="DN49">
        <f t="shared" si="124"/>
        <v>1</v>
      </c>
      <c r="DO49" t="str">
        <f>IF(D49="","",IF(DM49&gt;IFERROR(MATCH(DL49,{"III","II","I","I особая"},0),1),"НЕ ОБЕСПЕЧЕНА","ОК"))</f>
        <v>ОК</v>
      </c>
      <c r="DP49" t="str">
        <f>IF(A49="","",_xlfn.XLOOKUP(A49,Щиты[Щит],Щиты[Путь],""))</f>
        <v>|ЩР|</v>
      </c>
      <c r="DQ49" t="str">
        <f>IF(D49="","",IF(Z49&lt;&gt;"",Z49,IF(IFERROR(_xlfn.XLOOKUP(AT49,Коды_код,Коды_вид)&amp;"","")="","Прочее",_xlfn.XLOOKUP(AT49,Коды_код,Коды_вид)&amp;"")))</f>
        <v>Розеточная сеть и бытовые приборы</v>
      </c>
      <c r="DR49">
        <f>IF(BD49="","",INT((BD49-1)/Столбцов_на_лист)+1)</f>
        <v>3</v>
      </c>
      <c r="DS49" t="str">
        <f t="shared" si="125"/>
        <v>ВВГнг(А)-LS (3х2,5) L=29-0,12%</v>
      </c>
      <c r="DT49">
        <f t="shared" si="126"/>
        <v>0.12</v>
      </c>
      <c r="DU49">
        <f t="shared" si="127"/>
        <v>0.55000000000000004</v>
      </c>
      <c r="DV49">
        <f t="shared" si="128"/>
        <v>1</v>
      </c>
      <c r="DW49">
        <f>IF(AT49="",0,_xlfn.LET(_xlpm.v,IFERROR(VLOOKUP(D49,УГО_спр,3,FALSE),IFERROR(VLOOKUP(AT49,УГО_спр,3,FALSE),IFERROR(VLOOKUP(LEFT(AT49,2),УГО_спр,3,FALSE),""))),IF(_xlpm.v="да",30,IF(ISNUMBER(_xlpm.v),_xlpm.v,0))))</f>
        <v>30</v>
      </c>
      <c r="DX49">
        <f t="shared" si="129"/>
        <v>0</v>
      </c>
      <c r="DY49">
        <f>IF(BD49="","",IF(AD49&lt;&gt;"",COUNTIFS(A$3:A49,A49,AD$3:AD49,"?*"),IF(OR(OR(AS49=1,A49&lt;&gt;A48),AL49="вручную"),"",IF(AS49=1,"",DZ48))))</f>
        <v>28</v>
      </c>
      <c r="DZ49">
        <f t="shared" si="130"/>
        <v>28</v>
      </c>
      <c r="EA49">
        <f>IF(D49="",0,MAX(IFERROR(--X49,0),IFERROR(--VLOOKUP(D49,УГО_спр,4,FALSE),IFERROR(--VLOOKUP(AT49,УГО_спр,4,FALSE),IFERROR(--VLOOKUP(LEFT(AT49,2),УГО_спр,4,FALSE),0)))))</f>
        <v>16</v>
      </c>
      <c r="EB49">
        <f>IF(D49="","",IFERROR(LOOKUP(INDEX(CHOOSE(BR49,Iдоп_1ж,Iдоп_2ж,Iдоп_3ж),MATCH(BS49,Iдоп_S,0))*BP49*BQ49,{6,10,16,20,25,32,40,50,63,80,100,125,160,200,250,315,400,500,630}),""))</f>
        <v>25</v>
      </c>
      <c r="EC49">
        <f>IF(AD49="","",SUMIFS(Линии[_Ток схемы],Линии[_гр.],DY49,Линии[Щит],A49,Линии[_в кабель выше],0))</f>
        <v>0.55000000000000004</v>
      </c>
      <c r="ED49">
        <f>IF(AD49="","",IFERROR(VLOOKUP(EC49,Автомат_номиналы,2,TRUE),""))</f>
        <v>6</v>
      </c>
      <c r="EE49">
        <f>IF(AD49="","",MAX(N(ED49),_xlfn.MAXIFS(Линии[_мин. по типу],Линии[_гр.],DY49,Линии[Щит],A49)))</f>
        <v>16</v>
      </c>
      <c r="EF49">
        <f>IF(AD49="","",_xlfn.MINIFS(Линии[_макс. автомат по кабелю],Линии[_гр.],DY49,Линии[Щит],A49))</f>
        <v>25</v>
      </c>
      <c r="EG49">
        <f>IF(AD49="","",MAX(1,_xlfn.MAXIFS(Линии[_фаз],Линии[_гр.],DY49,Линии[Щит],A49)))</f>
        <v>1</v>
      </c>
      <c r="EH49">
        <f>IF(AD49="","",IF(AND(AD49&lt;&gt;"авто",AD49&lt;&gt;"+"),IF(ISNUMBER(SEARCH("мА",AD49)),IFERROR(--TRIM(RIGHT(SUBSTITUTE(LEFT(AD49,SEARCH("мА",AD49)-1)," ",REPT(" ",9)),6)),30),0),IF(AE49="нет",0,IF(ISNUMBER(AE49),AE49,IF(AE49="да",30,_xlfn.MINIFS(Линии[_дифзащита по коду, мА],Линии[_гр.],DY49,Линии[Щит],A49,Линии[_дифзащита по коду, мА],"&gt;0"))))))</f>
        <v>30</v>
      </c>
      <c r="EI49">
        <f t="shared" si="131"/>
        <v>1</v>
      </c>
      <c r="EJ49" t="str">
        <f t="shared" si="132"/>
        <v>QFD28</v>
      </c>
      <c r="EK49" t="str">
        <f t="shared" si="133"/>
        <v>QFD28</v>
      </c>
      <c r="EL49" t="str">
        <f t="shared" si="134"/>
        <v/>
      </c>
      <c r="EM49">
        <f t="shared" si="135"/>
        <v>0</v>
      </c>
      <c r="EN49">
        <f>IF(AD49="","",IF(EM49=1,MAX(EE49,Мин_автомат_БП),EE49))</f>
        <v>16</v>
      </c>
      <c r="EO49" t="str">
        <f t="shared" si="136"/>
        <v>2P</v>
      </c>
      <c r="EP49" t="str">
        <f t="shared" si="137"/>
        <v>2P С16А 30мА</v>
      </c>
      <c r="EQ49">
        <f t="shared" si="138"/>
        <v>16</v>
      </c>
      <c r="ER49" t="str">
        <f>IF(OR(AI49="",AI49="-"),"",IFERROR(VLOOKUP(AI49,Модули_спр,2,FALSE),"R"))</f>
        <v/>
      </c>
      <c r="ES49" t="str">
        <f>IF(ER49="","",ER49&amp;"."&amp;COUNTIFS(A$3:A49,A49,ER$3:ER49,ER49))</f>
        <v/>
      </c>
      <c r="ET49" t="str">
        <f t="shared" si="139"/>
        <v/>
      </c>
      <c r="EU49" t="str">
        <f t="shared" si="140"/>
        <v/>
      </c>
      <c r="EV49" t="str">
        <f t="shared" si="141"/>
        <v/>
      </c>
      <c r="EW49" t="str">
        <f t="shared" si="142"/>
        <v/>
      </c>
      <c r="EX49">
        <f t="shared" si="143"/>
        <v>1</v>
      </c>
      <c r="EY49" t="str">
        <f>IF(AK49="нет","",IF(AK49&lt;&gt;"",AK49,IF(EX49=1,"XT"&amp;COUNTIFS(A$3:A49,A49,EX$3:EX49,1),"")))</f>
        <v>XT29</v>
      </c>
      <c r="EZ49" t="str">
        <f t="shared" si="144"/>
        <v>QFD28</v>
      </c>
      <c r="FA49" t="str">
        <f t="shared" si="145"/>
        <v/>
      </c>
      <c r="FB49" t="str">
        <f t="shared" si="146"/>
        <v>ok</v>
      </c>
      <c r="FC49" t="str">
        <f>IF(OR(EV49="",ET49=""),"",IF(EV49&gt;IFERROR(VLOOKUP(EU49,Модули_спр,3,FALSE),99),"ЛИШНИЙ КАНАЛ",IF(AND(AJ49&lt;&gt;"=",COUNTIFS(Линии[_модуль гр.],ET49,Линии[Канал (итог)],EV49,Линии[Канал],"&lt;&gt;=",Линии[Щит],A49)&gt;1),"ДУБЛЬ КАНАЛА","")))</f>
        <v/>
      </c>
      <c r="FD49">
        <f t="shared" si="147"/>
        <v>16</v>
      </c>
      <c r="FE49" t="str">
        <f t="shared" si="148"/>
        <v>2P С16А 30мА</v>
      </c>
      <c r="FF49">
        <f t="shared" si="149"/>
        <v>1</v>
      </c>
      <c r="FG49">
        <f t="shared" si="150"/>
        <v>30</v>
      </c>
      <c r="FH49" s="6" t="str">
        <f t="shared" si="151"/>
        <v/>
      </c>
      <c r="FI49">
        <f t="shared" si="152"/>
        <v>10</v>
      </c>
      <c r="FJ49" t="str">
        <f t="shared" si="153"/>
        <v/>
      </c>
      <c r="FK49" t="str">
        <f>IF(AND(D49="",EZ49=""),"",_xlfn.TEXTJOIN("; ",TRUE,IF(AND(D49&lt;&gt;"",DD49=""),"нет фазы",""),IF(AND(D49&lt;&gt;"",N(DT49)=0,CN49&lt;&gt;"Нет"),"нет мощности",""),IF(AND(EY49&lt;&gt;"",COUNTIFS(Линии[Щит],A49,Линии[Клемма (итог)],EY49)&gt;1),"дубль клеммы "&amp;EY49,""),IF(AND(FB49&lt;&gt;"",FB49&lt;&gt;"ok"),FB49,""),IF(FC49&lt;&gt;"",FC49,""),IF(AND(ISNUMBER(SEARCH("(5х",DS49)),N(DV49)=1),"5 жил на 1 фазе",""),IF(AND(AT49="R",AD49&lt;&gt;"",OR(N(EH49)=0,N(EH49)&gt;30)),"розетка без дифзащиты до 30 мА",""),IFERROR(IF(AND(ISNUMBER(CD49),CD49&gt;CE49),"потери "&amp;FIXED(CD49,1)&amp;" % &gt; "&amp;CE49&amp;" %",""),""),IFERROR(IF(LEFT(FJ49,4)="мало","Iкз мало — отключение &gt; 0,4 с",""),""),IF(AND(D49&lt;&gt;"",BD49=""),"не на схеме","")))</f>
        <v/>
      </c>
      <c r="FL49" s="6">
        <f>IF(AD49="","",_xlfn.LET(_xlpm.t,IFERROR(_xlfn.XLOOKUP(EP49,Каталог!$U$4:$U$500,Каталог!$G$4:$G$500),""),_xlpm.k,SEARCH("кА",_xlpm.t),IFERROR(--TRIM(RIGHT(SUBSTITUTE(MID(_xlpm.t,MAX(1,_xlpm.k-4),_xlpm.k-MAX(1,_xlpm.k-4))," ",REPT(" ",9)),5)),"")))</f>
        <v>6</v>
      </c>
      <c r="FM49" t="str">
        <f>IF(OR(FL49="",AD49=""),"",IF(_xlfn.XLOOKUP(A49,Щиты[Щит],Щиты[Iкз max на шинах, кА],"")="","",IF(FL49&lt;_xlfn.XLOOKUP(A49,Щиты[Щит],Щиты[Iкз max на шинах, кА]),"Icu "&amp;FL49&amp;" кА &lt; Iкз max","ok")))</f>
        <v/>
      </c>
      <c r="FN49" t="str">
        <f t="shared" si="154"/>
        <v>QFD28|XT29</v>
      </c>
      <c r="FO49" t="str">
        <f t="shared" si="155"/>
        <v>QFD28|XT29|кабель ВВГнг(А)-LS (3х2,5) → Розеточная группа  Пом. №14</v>
      </c>
      <c r="FP49" t="str" cm="1">
        <f t="array" ref="FP49">IF(FO49="","",_xlfn.LET(_xlpm.nd,_xlfn.TEXTSPLIT(FO49,"|"),IF(COLUMNS(_xlpm.nd)&gt;1,A49&amp;"¦"&amp;INDEX(_xlpm.nd,1)&amp;"¦"&amp;INDEX(_xlpm.nd,2),"")))</f>
        <v>ЩР¦QFD28¦XT29</v>
      </c>
      <c r="FQ49" t="str">
        <f t="shared" si="156"/>
        <v>R.1.14.1¦Розеточная группа  Пом. №14</v>
      </c>
      <c r="FR49" t="str" cm="1">
        <f t="array" ref="FR49">IF(FO49="","",_xlfn.LET(_xlpm.nd,_xlfn.TEXTSPLIT(FO49,"|"),IF(COLUMNS(_xlpm.nd)&gt;2,A49&amp;"¦"&amp;INDEX(_xlpm.nd,2)&amp;"¦"&amp;INDEX(_xlpm.nd,3),"")))</f>
        <v>ЩР¦XT29¦кабель ВВГнг(А)-LS (3х2,5) → Розеточная группа  Пом. №14</v>
      </c>
      <c r="FS49" t="str">
        <f t="shared" si="157"/>
        <v>R.1.14.1¦Розеточная группа  Пом. №14</v>
      </c>
      <c r="FT49" t="str" cm="1">
        <f t="array" ref="FT49">IF(FO49="","",_xlfn.LET(_xlpm.nd,_xlfn.TEXTSPLIT(FO49,"|"),IF(COLUMNS(_xlpm.nd)&gt;3,A49&amp;"¦"&amp;INDEX(_xlpm.nd,3)&amp;"¦"&amp;INDEX(_xlpm.nd,4),"")))</f>
        <v/>
      </c>
      <c r="FU49" t="str">
        <f t="shared" si="158"/>
        <v/>
      </c>
      <c r="FV49" t="str" cm="1">
        <f t="array" ref="FV49">IF(FO49="","",_xlfn.LET(_xlpm.nd,_xlfn.TEXTSPLIT(FO49,"|"),IF(COLUMNS(_xlpm.nd)&gt;4,A49&amp;"¦"&amp;INDEX(_xlpm.nd,4)&amp;"¦"&amp;INDEX(_xlpm.nd,5),"")))</f>
        <v/>
      </c>
      <c r="FW49" t="str">
        <f t="shared" si="159"/>
        <v/>
      </c>
      <c r="FX49" t="str" cm="1">
        <f t="array" ref="FX49">IF(FO49="","",_xlfn.LET(_xlpm.nd,_xlfn.TEXTSPLIT(FO49,"|"),IF(COLUMNS(_xlpm.nd)&gt;5,A49&amp;"¦"&amp;INDEX(_xlpm.nd,5)&amp;"¦"&amp;INDEX(_xlpm.nd,6),"")))</f>
        <v/>
      </c>
      <c r="FY49" t="str">
        <f t="shared" si="160"/>
        <v/>
      </c>
      <c r="FZ49" t="str" cm="1">
        <f t="array" ref="FZ49">IF(FO49="","",_xlfn.LET(_xlpm.nd,_xlfn.TEXTSPLIT(FO49,"|"),IF(COLUMNS(_xlpm.nd)&gt;6,A49&amp;"¦"&amp;INDEX(_xlpm.nd,6)&amp;"¦"&amp;INDEX(_xlpm.nd,7),"")))</f>
        <v/>
      </c>
      <c r="GA49" t="str">
        <f t="shared" si="161"/>
        <v/>
      </c>
      <c r="GB49" t="str">
        <f t="shared" si="162"/>
        <v/>
      </c>
      <c r="GC49" t="str">
        <f t="shared" si="163"/>
        <v>QFD28 → XT29</v>
      </c>
      <c r="GD49">
        <f t="shared" si="164"/>
        <v>1</v>
      </c>
      <c r="GE49">
        <f t="shared" si="165"/>
        <v>0</v>
      </c>
      <c r="GF49">
        <f t="shared" si="166"/>
        <v>1</v>
      </c>
      <c r="GG49" t="str">
        <f t="shared" si="167"/>
        <v/>
      </c>
      <c r="GH49" t="str">
        <f t="shared" si="168"/>
        <v/>
      </c>
      <c r="GI49" t="str">
        <f t="shared" si="169"/>
        <v/>
      </c>
      <c r="GJ49" t="str">
        <f t="shared" si="170"/>
        <v/>
      </c>
      <c r="GK49" t="str">
        <f>IF(D49="","",IFERROR(VLOOKUP(D49,УГО_спр,2,FALSE),IFERROR(VLOOKUP(AT49,УГО_спр,2,FALSE),IFERROR(VLOOKUP(LEFT(AT49,2),УГО_спр,2,FALSE),""))))</f>
        <v>Розетка</v>
      </c>
      <c r="GL49" t="str">
        <f>IF(D49="","",IF(OR(GK49="",GK49=0),"BOX",IFERROR(IF(VLOOKUP(GK49,УГО_блоки,3,FALSE)&amp;""&lt;&gt;"",VLOOKUP(GK49,УГО_блоки,3,FALSE),VLOOKUP(GK49,УГО_блоки,2,FALSE)),GK49)))</f>
        <v>SOCKET</v>
      </c>
      <c r="GM49">
        <f t="shared" si="171"/>
        <v>1</v>
      </c>
      <c r="GN49" t="str">
        <f>IF(EP49="","",IF(COUNTIF(EP$3:EP49,EP49)=1,MAX(GN$2:GN48)+1,""))</f>
        <v/>
      </c>
      <c r="GO49" t="str">
        <f>IF(AF49="","",IF(COUNTIF(AF$3:AF49,AF49)+COUNTIF(AG$2:AG48,AF49)+COUNTIF(AH$2:AH48,AF49)=1,MAX(GO$2:GQ48)+1,""))</f>
        <v/>
      </c>
      <c r="GP49" t="str">
        <f>IF(AG49="","",IF(COUNTIF(AF$3:AF49,AG49)+COUNTIF(AG$3:AG49,AG49)+COUNTIF(AH$2:AH48,AG49)=1,MAX(GO$2:GQ48,GO49)+1,""))</f>
        <v/>
      </c>
      <c r="GQ49" t="str">
        <f>IF(AH49="","",IF(COUNTIF(AF$3:AF49,AH49)+COUNTIF(AG$3:AG49,AH49)+COUNTIF(AH$3:AH49,AH49)=1,MAX(GO$2:GQ48,GO49,GP49)+1,""))</f>
        <v/>
      </c>
      <c r="GR49" t="str">
        <f t="shared" si="172"/>
        <v>3х2,5</v>
      </c>
      <c r="GS49" t="str">
        <f>IF(GR49="","",IF(COUNTIF(GR$3:GR49,GR49)=1,MAX(GS$2:GS48)+1,""))</f>
        <v/>
      </c>
      <c r="GT49" t="str">
        <f>IF(ES49="","",COUNTIF(ES$3:ES49,"?*"))</f>
        <v/>
      </c>
      <c r="GU49" t="str">
        <f>IF(OR(ES49="",EU49=""),"",IF(COUNTIFS(ES$3:ES49,"?*",EU$3:EU49,EU49)=1,MAX(GU$2:GU48)+1,""))</f>
        <v/>
      </c>
      <c r="GV49">
        <f t="shared" si="173"/>
        <v>0</v>
      </c>
      <c r="GW49">
        <f>IF(D49="","",COUNTIF(D$3:D49,"?*"))</f>
        <v>29</v>
      </c>
      <c r="GX49">
        <f>IF(EX49&lt;&gt;1,0,_xlfn.LET(_xlpm.k,MAX(IFERROR(--VLOOKUP(D49,УГО_спр,5,FALSE),0),IFERROR(--VLOOKUP(AT49,УГО_спр,5,FALSE),0),IFERROR(--VLOOKUP(LEFT(AT49,2),УГО_спр,5,FALSE),0)),IF(_xlpm.k&gt;0,_xlpm.k,IF(IFERROR(--LEFT(SUBSTITUTE(GR49,"x","х"),FIND("х",SUBSTITUTE(GR49,"x","х"))-1),3)&gt;3,Каталог!$S$9,1))))</f>
        <v>1</v>
      </c>
      <c r="GY49">
        <f t="shared" si="174"/>
        <v>0</v>
      </c>
    </row>
    <row r="50" spans="1:207" x14ac:dyDescent="0.3">
      <c r="A50" t="s">
        <v>206</v>
      </c>
      <c r="B50">
        <v>50</v>
      </c>
      <c r="C50" t="str">
        <f>IF(BD50="","",IF(BE50="вводной узел","узел ","")&amp;"л."&amp;(INT((BD50-1)/Столбцов_на_лист)+1)&amp;" / "&amp;(MOD(BD50-1,Столбцов_на_лист)+1))</f>
        <v>л.3 / 16</v>
      </c>
      <c r="D50" t="s">
        <v>713</v>
      </c>
      <c r="E50" s="133" t="str">
        <f t="shared" si="175"/>
        <v>Группа освещения  Пом. №01</v>
      </c>
      <c r="H50">
        <v>1</v>
      </c>
      <c r="O50">
        <v>1</v>
      </c>
      <c r="T50">
        <v>2</v>
      </c>
      <c r="V50">
        <v>3</v>
      </c>
      <c r="AD50" t="s">
        <v>597</v>
      </c>
      <c r="AN50">
        <v>7.4</v>
      </c>
      <c r="AO50" t="s">
        <v>714</v>
      </c>
      <c r="AQ50" t="s">
        <v>710</v>
      </c>
      <c r="AR50" t="str">
        <f t="shared" si="88"/>
        <v>нет мощности</v>
      </c>
      <c r="AS50" cm="1">
        <f t="array" ref="AS50">ROW()-ROW(Линии[#Headers])</f>
        <v>48</v>
      </c>
      <c r="AT50" s="6" t="str">
        <f t="shared" si="89"/>
        <v>L</v>
      </c>
      <c r="AU50" t="str">
        <f t="shared" si="90"/>
        <v>1.01.1</v>
      </c>
      <c r="AV50" t="str">
        <f t="shared" si="91"/>
        <v>1</v>
      </c>
      <c r="AW50" t="str">
        <f t="shared" si="92"/>
        <v>01.1</v>
      </c>
      <c r="AX50" t="str">
        <f t="shared" si="93"/>
        <v>01</v>
      </c>
      <c r="AY50" t="str">
        <f>IF(D50="","",IF(ISERROR(SEARCH(".",D50)),IFERROR(VLOOKUP(D50,Потребители_обозначение,2,FALSE)&amp;"",""),IFERROR(IF(VLOOKUP(AT50,Потребители_обозначение,4,FALSE)=1,VLOOKUP(AT50,Потребители_обозначение,2,FALSE)&amp;" "&amp;VLOOKUP(AV50,Этаж_обозначение,2,FALSE)&amp;" Пом. №"&amp;AX50,VLOOKUP(AT50,Потребители_обозначение,2,FALSE)&amp;" Шлейф №"&amp;AV50),IFERROR(VLOOKUP(D50,Потребители_обозначение,2,FALSE),""))))</f>
        <v>Группа освещения  Пом. №01</v>
      </c>
      <c r="AZ50" t="str">
        <f t="shared" si="94"/>
        <v>Группа освещения  Пом. №01</v>
      </c>
      <c r="BA50" t="str">
        <f>IF(F50&lt;&gt;"",F50,IF(AND(D50&lt;&gt;"",D50&lt;&gt;A50,ISNUMBER(_xlfn.XMATCH(D50,Щиты[Щит]))),D50,""))</f>
        <v/>
      </c>
      <c r="BB50">
        <f>IFERROR(_xlfn.XMATCH(A50,Щиты[Щит]),0)</f>
        <v>1</v>
      </c>
      <c r="BC50">
        <f>IFERROR(N(_xlfn.XLOOKUP(A50,Щиты[Щит],Щиты[Мест под вводной узел])),15)</f>
        <v>18</v>
      </c>
      <c r="BD50">
        <f t="shared" si="95"/>
        <v>50</v>
      </c>
      <c r="BE50" t="str">
        <f t="shared" si="96"/>
        <v>линии</v>
      </c>
      <c r="BF50" s="6">
        <f>IF(D50="","",IF(BA50&lt;&gt;"",IFERROR(_xlfn.XLOOKUP(BA50,Щиты[Щит],Щиты[Руст, кВт]),0),N(G50)))</f>
        <v>0</v>
      </c>
      <c r="BG50">
        <f>IF(J50&lt;&gt;"",J50,IF(D50="","",IFERROR(IF(VLOOKUP(AT50,Потребители_обозначение,8,FALSE)=0,"",VLOOKUP(AT50,Потребители_обозначение,8,FALSE)),"")))</f>
        <v>230</v>
      </c>
      <c r="BH50">
        <f>IF(I50&lt;&gt;"",I50,IF(D50="","",IFERROR(IF(VLOOKUP(AT50,Потребители_обозначение,9,FALSE)=0,"",VLOOKUP(AT50,Потребители_обозначение,9,FALSE)),"")))</f>
        <v>1</v>
      </c>
      <c r="BI50" t="str">
        <f>IF(U50&lt;&gt;"",U50,IF(D50="","",IFERROR(IF(VLOOKUP(AT50,Потребители_обозначение,6,FALSE)=0,"",VLOOKUP(AT50,Потребители_обозначение,6,FALSE)),"")))</f>
        <v>мс</v>
      </c>
      <c r="BJ50">
        <f>IF(V50&lt;&gt;"",V50,IF(D50="","",IFERROR(IF(VLOOKUP(AT50,Потребители_обозначение,7,FALSE)=0,"",VLOOKUP(AT50,Потребители_обозначение,7,FALSE)),"")))</f>
        <v>3</v>
      </c>
      <c r="BK50">
        <f>IF(W50&lt;&gt;"",W50,IF(D50="","",IFERROR(IF(VLOOKUP(AT50,Потребители_обозначение,10,FALSE)=0,"",VLOOKUP(AT50,Потребители_обозначение,10,FALSE)),"")))</f>
        <v>1.5</v>
      </c>
      <c r="BL50">
        <f>IFERROR(VLOOKUP(AT50,Потребители_обозначение,5,FALSE),0)</f>
        <v>1</v>
      </c>
      <c r="BM50" s="6" cm="1">
        <f t="array" ref="BM50">IF(D50="","",IF(BA50&lt;&gt;"",IFERROR(_xlfn.XLOOKUP(BA50,Щиты[Щит],Щиты[cos φ]),0.95),IF(ISNUMBER(M50),M50,IFERROR(IF(BL50=2,_xlfn.IFS(BH50=3,VLOOKUP(BF50,Справочная_двигатели,8,FALSE),BH50=1,VLOOKUP(BF50,Справочная_двигатели,10,TRUE)),IF(AND(Методика="нормы 2026",CN50="Сил"),0.8,0.95)),0.95))))</f>
        <v>0.95</v>
      </c>
      <c r="BN50" s="6" cm="1">
        <f t="array" ref="BN50">IF(D50="","",IF(BA50&lt;&gt;"",IFERROR(_xlfn.XLOOKUP(BA50,Щиты[Щит],Щиты[Iр, А]),""),IFERROR(_xlfn.IFS(BH50=1,BF50/((Uн_лин/SQRT(3))*BM50),BH50=3,BF50/(SQRT(3)*Uн_лин*BM50)),"")))</f>
        <v>0</v>
      </c>
      <c r="BO50">
        <f>IF(D50="","",IF(N(X50)=0,IFERROR(VLOOKUP(BN50,Автомат_номиналы,2,TRUE),""),X50))</f>
        <v>6</v>
      </c>
      <c r="BP50">
        <f t="shared" si="97"/>
        <v>1</v>
      </c>
      <c r="BQ50">
        <f>IF(ISNUMBER(Y50),Y50,К_прокл)</f>
        <v>1</v>
      </c>
      <c r="BR50">
        <f t="shared" si="98"/>
        <v>2</v>
      </c>
      <c r="BS50" cm="1">
        <f t="array" ref="BS50">IF(D50="","",IF(N(BK50)&lt;&gt;0,BK50,IFERROR(_xlfn.LET(_xlpm.need,BO50/(BP50*BQ50),_xlpm.t,CHOOSE(BR50,Iдоп_1ж,Iдоп_2ж,Iдоп_3ж),_xlpm.k,_xlfn.XMATCH(_xlpm.need,_xlpm.t,1),IF(ISNA(_xlpm.k),"Не исп",INDEX(Iдоп_S,_xlpm.k))),"Не исп")))</f>
        <v>1.5</v>
      </c>
      <c r="BT50">
        <f>IFERROR(VLOOKUP(BS50,Кабель_сопротивление,3,FALSE),"")</f>
        <v>2.2499999999999999E-2</v>
      </c>
      <c r="BU50">
        <f>IFERROR(VLOOKUP(BS50,Кабель_сопротивление,2,FALSE),"")</f>
        <v>0.11</v>
      </c>
      <c r="BV50">
        <f t="shared" si="99"/>
        <v>8</v>
      </c>
      <c r="BW50" s="6">
        <f>IF(D50="","",IFERROR(IF(VLOOKUP(AT50,Потребители_обозначение,4,FALSE)=1,VLOOKUP(AT50,Потребители_обозначение,3,FALSE)*(H50*2-1)+BV50+VLOOKUP(AV50,Этаж_обозначение,3,FALSE)+VLOOKUP(AV50,Этаж_обозначение,4,FALSE),VLOOKUP(AT50,Потребители_обозначение,3,FALSE)*(H50*2-1)+BV50),BV50))</f>
        <v>9</v>
      </c>
      <c r="BX50">
        <f t="shared" si="100"/>
        <v>0</v>
      </c>
      <c r="BY50">
        <f t="shared" si="101"/>
        <v>5</v>
      </c>
      <c r="BZ50">
        <f t="shared" si="102"/>
        <v>2</v>
      </c>
      <c r="CA50">
        <f t="shared" si="103"/>
        <v>0.31</v>
      </c>
      <c r="CB50">
        <f t="shared" si="104"/>
        <v>0</v>
      </c>
      <c r="CC50" s="6">
        <f>IFERROR(ROUNDUP(CB50/((Uн_лин/SQRT(3))*1000)*100,2),"")</f>
        <v>0</v>
      </c>
      <c r="CD50" s="6">
        <f>IF(ISNUMBER(CC50),CC50+IFERROR(_xlfn.XLOOKUP(A50,Щиты[Щит],Щиты[ΔU до шин, %]),0),"")</f>
        <v>0</v>
      </c>
      <c r="CE50" s="6">
        <f>IF(D50="","",IF(IFERROR(VLOOKUP(AT50,УГО_спр,2,FALSE),"")="Светильник",3,4)+IF(Методика="нормы 2026",MIN(0.5,MAX(0,N(BW50)-100)*0.005),0))</f>
        <v>3</v>
      </c>
      <c r="CF50" t="str">
        <f>IFERROR(VLOOKUP(BI50,Кабель_обозначение,2,FALSE),"")</f>
        <v>ВВГнг(А)-LS</v>
      </c>
      <c r="CG50" t="str">
        <f>IFERROR(IF(VLOOKUP(BI50,Кабель_обозначение,3,FALSE)=1,CF50&amp;" ("&amp;BJ50&amp;"х"&amp;BS50&amp;")",CF50),"")</f>
        <v>ВВГнг(А)-LS (3х1,5)</v>
      </c>
      <c r="CH50" t="str">
        <f t="shared" si="105"/>
        <v>ВВГнг(А)-LS (3х1,5)
L=9-0%</v>
      </c>
      <c r="CI50">
        <f>IFERROR(2*ρкз_Cu*BW50/BS50,"")</f>
        <v>0.31559999999999999</v>
      </c>
      <c r="CJ50">
        <f t="shared" si="106"/>
        <v>0.10500000000000002</v>
      </c>
      <c r="CK50" s="6" t="str">
        <f>IFERROR(IF(OR(D50="",NOT(ISNUMBER(BS50)),N(BW50)=0),"",_xlfn.XLOOKUP(A50,Щиты[Щит],Щиты[Zпетли на шинах, Ом])+CI50),"")</f>
        <v/>
      </c>
      <c r="CL50" s="6" t="str">
        <f>IF(ISNUMBER(CK50),c_min*(Uн_лин*1000/SQRT(3))/CK50,"")</f>
        <v/>
      </c>
      <c r="CM50" s="6" t="str">
        <f>IFERROR(IF(OR(D50="",NOT(ISNUMBER(BS50))),"",1.05*(Uн_лин*1000/SQRT(3))/(_xlfn.XLOOKUP(A50,Щиты[Щит],Щиты[Zmax на шинах, Ом])+CJ50)/1000),"")</f>
        <v/>
      </c>
      <c r="CN50" s="6" t="str">
        <f>IF(D50="","",IF(BA50&lt;&gt;"","Щит",IF(K50&lt;&gt;"",K50,IF(ISNUMBER(L50),"Сил",IF(IFERROR(_xlfn.XLOOKUP(AT50,Коды_код,Коды_группа)&amp;"","")="","Быт",_xlfn.XLOOKUP(AT50,Коды_код,Коды_группа)&amp;"")))))</f>
        <v>Быт</v>
      </c>
      <c r="CO50" s="6">
        <f>IF(CN50="Щит","щит",IF(CN50="","",IF(CN50="Быт",IFERROR(_xlfn.XLOOKUP(A50,Щиты[Щит],Щиты[Кс быт]),1),IF(CN50="Сил",IF(ISNUMBER(L50),L50,IF(Методика="нормы 2026",IFERROR(_xlfn.XLOOKUP(A50,Щиты[Щит],Щиты[Кс силовых (табл. 7.5)]),1),1)),IF(OR(CN50="Пост",CN50="Отоп"),1,IF(CN50="ВНГ",0.7,0))))))</f>
        <v>0.8</v>
      </c>
      <c r="CP50">
        <f t="shared" si="107"/>
        <v>1</v>
      </c>
      <c r="CQ50">
        <f t="shared" si="108"/>
        <v>0</v>
      </c>
      <c r="CR50">
        <f t="shared" si="109"/>
        <v>0</v>
      </c>
      <c r="CS50">
        <f t="shared" si="110"/>
        <v>0</v>
      </c>
      <c r="CT50">
        <f t="shared" si="111"/>
        <v>0</v>
      </c>
      <c r="CU50">
        <f t="shared" si="112"/>
        <v>0</v>
      </c>
      <c r="CV50">
        <f t="shared" si="113"/>
        <v>0</v>
      </c>
      <c r="CW50">
        <f t="shared" si="114"/>
        <v>0</v>
      </c>
      <c r="CX50">
        <f t="shared" si="115"/>
        <v>0</v>
      </c>
      <c r="CY50">
        <f t="shared" si="116"/>
        <v>2</v>
      </c>
      <c r="CZ50" t="str">
        <f t="shared" si="117"/>
        <v>L2</v>
      </c>
      <c r="DA50" cm="1">
        <f t="array" ref="DA50">IFERROR(IF(BL50=2,_xlfn.IFS(BH50=3,VLOOKUP(BF50,Справочная_двигатели,3,FALSE),BH50=1,VLOOKUP(BF50,Справочная_двигатели,5,TRUE)),0),0)</f>
        <v>0</v>
      </c>
      <c r="DB50">
        <f>IFERROR(IF(BL50=3,VLOOKUP(BF50,Справочная_ЛЭД,2,TRUE),0),0)</f>
        <v>0</v>
      </c>
      <c r="DC50" s="6">
        <f t="shared" si="118"/>
        <v>0</v>
      </c>
      <c r="DD50" t="str">
        <f t="shared" si="119"/>
        <v>L1</v>
      </c>
      <c r="DE50" t="str" cm="1">
        <f t="array" ref="DE50">IF(D50="","",IFERROR(INDEX({"I особая","I","II","III"},MATCH(TRIM(AA50&amp;""),{"I особая","I","II","III"},0)),"III"))</f>
        <v>III</v>
      </c>
      <c r="DF50" t="str">
        <f>IF(D50="","",IF(TRIM(AB50&amp;"")&lt;&gt;"",IF(LOWER(TRIM(AB50&amp;""))="да","да","нет"),IF(IFERROR(_xlfn.XLOOKUP(AT50,Коды_код,Коды_пожарная),"")="да","да","нет")))</f>
        <v>нет</v>
      </c>
      <c r="DG50" t="str">
        <f t="shared" si="120"/>
        <v/>
      </c>
      <c r="DH50" t="str">
        <f t="shared" si="121"/>
        <v>основная</v>
      </c>
      <c r="DI50">
        <f t="shared" si="122"/>
        <v>1</v>
      </c>
      <c r="DJ50" t="str" cm="1">
        <f t="array" ref="DJ50">IF(D50="","",_xlfn.LET(_xlpm.t,IFERROR(_xlfn.XLOOKUP(1,(Шины[Шина]=DH50)*(((Шины[Щит]=A50)+(Шины[Щит]=""))&gt;0),Шины[Тип]),"")&amp;"",IF(_xlpm.t&lt;&gt;"",_xlpm.t,IF(ISNUMBER(SEARCH("ИБП",DH50)),"ИБП",IF(ISNUMBER(SEARCH("ДГУ",DH50)),"ДГУ","Ввод "&amp;DI50)))))</f>
        <v>Ввод 1</v>
      </c>
      <c r="DK50" t="str">
        <f t="shared" si="123"/>
        <v>Ввод 1</v>
      </c>
      <c r="DL50" t="str">
        <f>IF(D50="","",IF(OR(DJ50="ИБП",DJ50="ДГУ"),"I особая",IF(DJ50="Одиночная","III",_xlfn.XLOOKUP(A50,Щиты[Щит],Щиты[Категория шины «Ввод»],"III"))))</f>
        <v>III</v>
      </c>
      <c r="DM50">
        <f>IF(D50="",0,IFERROR(MATCH(DE50,{"III","II","I","I особая"},0),1))</f>
        <v>1</v>
      </c>
      <c r="DN50">
        <f t="shared" si="124"/>
        <v>1</v>
      </c>
      <c r="DO50" t="str">
        <f>IF(D50="","",IF(DM50&gt;IFERROR(MATCH(DL50,{"III","II","I","I особая"},0),1),"НЕ ОБЕСПЕЧЕНА","ОК"))</f>
        <v>ОК</v>
      </c>
      <c r="DP50" t="str">
        <f>IF(A50="","",_xlfn.XLOOKUP(A50,Щиты[Щит],Щиты[Путь],""))</f>
        <v>|ЩР|</v>
      </c>
      <c r="DQ50" t="str">
        <f>IF(D50="","",IF(Z50&lt;&gt;"",Z50,IF(IFERROR(_xlfn.XLOOKUP(AT50,Коды_код,Коды_вид)&amp;"","")="","Прочее",_xlfn.XLOOKUP(AT50,Коды_код,Коды_вид)&amp;"")))</f>
        <v>Рабочее освещение</v>
      </c>
      <c r="DR50">
        <f>IF(BD50="","",INT((BD50-1)/Столбцов_на_лист)+1)</f>
        <v>3</v>
      </c>
      <c r="DS50" t="str">
        <f t="shared" si="125"/>
        <v>ВВГнг(А)-LS (3х1,5) L=9-0%</v>
      </c>
      <c r="DT50">
        <f t="shared" si="126"/>
        <v>0</v>
      </c>
      <c r="DU50">
        <f t="shared" si="127"/>
        <v>0</v>
      </c>
      <c r="DV50">
        <f t="shared" si="128"/>
        <v>1</v>
      </c>
      <c r="DW50">
        <f>IF(AT50="",0,_xlfn.LET(_xlpm.v,IFERROR(VLOOKUP(D50,УГО_спр,3,FALSE),IFERROR(VLOOKUP(AT50,УГО_спр,3,FALSE),IFERROR(VLOOKUP(LEFT(AT50,2),УГО_спр,3,FALSE),""))),IF(_xlpm.v="да",30,IF(ISNUMBER(_xlpm.v),_xlpm.v,0))))</f>
        <v>0</v>
      </c>
      <c r="DX50">
        <f t="shared" si="129"/>
        <v>0</v>
      </c>
      <c r="DY50">
        <f>IF(BD50="","",IF(AD50&lt;&gt;"",COUNTIFS(A$3:A50,A50,AD$3:AD50,"?*"),IF(OR(OR(AS50=1,A50&lt;&gt;A49),AL50="вручную"),"",IF(AS50=1,"",DZ49))))</f>
        <v>29</v>
      </c>
      <c r="DZ50">
        <f t="shared" si="130"/>
        <v>29</v>
      </c>
      <c r="EA50">
        <f>IF(D50="",0,MAX(IFERROR(--X50,0),IFERROR(--VLOOKUP(D50,УГО_спр,4,FALSE),IFERROR(--VLOOKUP(AT50,УГО_спр,4,FALSE),IFERROR(--VLOOKUP(LEFT(AT50,2),УГО_спр,4,FALSE),0)))))</f>
        <v>10</v>
      </c>
      <c r="EB50">
        <f>IF(D50="","",IFERROR(LOOKUP(INDEX(CHOOSE(BR50,Iдоп_1ж,Iдоп_2ж,Iдоп_3ж),MATCH(BS50,Iдоп_S,0))*BP50*BQ50,{6,10,16,20,25,32,40,50,63,80,100,125,160,200,250,315,400,500,630}),""))</f>
        <v>16</v>
      </c>
      <c r="EC50">
        <f>IF(AD50="","",SUMIFS(Линии[_Ток схемы],Линии[_гр.],DY50,Линии[Щит],A50,Линии[_в кабель выше],0))</f>
        <v>0</v>
      </c>
      <c r="ED50">
        <f>IF(AD50="","",IFERROR(VLOOKUP(EC50,Автомат_номиналы,2,TRUE),""))</f>
        <v>6</v>
      </c>
      <c r="EE50">
        <f>IF(AD50="","",MAX(N(ED50),_xlfn.MAXIFS(Линии[_мин. по типу],Линии[_гр.],DY50,Линии[Щит],A50)))</f>
        <v>10</v>
      </c>
      <c r="EF50">
        <f>IF(AD50="","",_xlfn.MINIFS(Линии[_макс. автомат по кабелю],Линии[_гр.],DY50,Линии[Щит],A50))</f>
        <v>16</v>
      </c>
      <c r="EG50">
        <f>IF(AD50="","",MAX(1,_xlfn.MAXIFS(Линии[_фаз],Линии[_гр.],DY50,Линии[Щит],A50)))</f>
        <v>1</v>
      </c>
      <c r="EH50">
        <f>IF(AD50="","",IF(AND(AD50&lt;&gt;"авто",AD50&lt;&gt;"+"),IF(ISNUMBER(SEARCH("мА",AD50)),IFERROR(--TRIM(RIGHT(SUBSTITUTE(LEFT(AD50,SEARCH("мА",AD50)-1)," ",REPT(" ",9)),6)),30),0),IF(AE50="нет",0,IF(ISNUMBER(AE50),AE50,IF(AE50="да",30,_xlfn.MINIFS(Линии[_дифзащита по коду, мА],Линии[_гр.],DY50,Линии[Щит],A50,Линии[_дифзащита по коду, мА],"&gt;0"))))))</f>
        <v>0</v>
      </c>
      <c r="EI50">
        <f t="shared" si="131"/>
        <v>0</v>
      </c>
      <c r="EJ50" t="str">
        <f t="shared" si="132"/>
        <v>QF29</v>
      </c>
      <c r="EK50" t="str">
        <f t="shared" si="133"/>
        <v>QF29</v>
      </c>
      <c r="EL50" t="str">
        <f t="shared" si="134"/>
        <v/>
      </c>
      <c r="EM50">
        <f t="shared" si="135"/>
        <v>0</v>
      </c>
      <c r="EN50">
        <f>IF(AD50="","",IF(EM50=1,MAX(EE50,Мин_автомат_БП),EE50))</f>
        <v>10</v>
      </c>
      <c r="EO50" t="str">
        <f t="shared" si="136"/>
        <v>1P</v>
      </c>
      <c r="EP50" t="str">
        <f t="shared" si="137"/>
        <v>1P С10А</v>
      </c>
      <c r="EQ50">
        <f t="shared" si="138"/>
        <v>10</v>
      </c>
      <c r="ER50" t="str">
        <f>IF(OR(AI50="",AI50="-"),"",IFERROR(VLOOKUP(AI50,Модули_спр,2,FALSE),"R"))</f>
        <v/>
      </c>
      <c r="ES50" t="str">
        <f>IF(ER50="","",ER50&amp;"."&amp;COUNTIFS(A$3:A50,A50,ER$3:ER50,ER50))</f>
        <v/>
      </c>
      <c r="ET50" t="str">
        <f t="shared" si="139"/>
        <v/>
      </c>
      <c r="EU50" t="str">
        <f t="shared" si="140"/>
        <v/>
      </c>
      <c r="EV50" t="str">
        <f t="shared" si="141"/>
        <v/>
      </c>
      <c r="EW50" t="str">
        <f t="shared" si="142"/>
        <v/>
      </c>
      <c r="EX50">
        <f t="shared" si="143"/>
        <v>1</v>
      </c>
      <c r="EY50" t="str">
        <f>IF(AK50="нет","",IF(AK50&lt;&gt;"",AK50,IF(EX50=1,"XT"&amp;COUNTIFS(A$3:A50,A50,EX$3:EX50,1),"")))</f>
        <v>XT30</v>
      </c>
      <c r="EZ50" t="str">
        <f t="shared" si="144"/>
        <v>QF29</v>
      </c>
      <c r="FA50" t="str">
        <f t="shared" si="145"/>
        <v/>
      </c>
      <c r="FB50" t="str">
        <f t="shared" si="146"/>
        <v>ok</v>
      </c>
      <c r="FC50" t="str">
        <f>IF(OR(EV50="",ET50=""),"",IF(EV50&gt;IFERROR(VLOOKUP(EU50,Модули_спр,3,FALSE),99),"ЛИШНИЙ КАНАЛ",IF(AND(AJ50&lt;&gt;"=",COUNTIFS(Линии[_модуль гр.],ET50,Линии[Канал (итог)],EV50,Линии[Канал],"&lt;&gt;=",Линии[Щит],A50)&gt;1),"ДУБЛЬ КАНАЛА","")))</f>
        <v/>
      </c>
      <c r="FD50">
        <f t="shared" si="147"/>
        <v>10</v>
      </c>
      <c r="FE50" t="str">
        <f t="shared" si="148"/>
        <v>1P С10А</v>
      </c>
      <c r="FF50">
        <f t="shared" si="149"/>
        <v>0</v>
      </c>
      <c r="FG50">
        <f t="shared" si="150"/>
        <v>0</v>
      </c>
      <c r="FH50" s="6" t="str">
        <f t="shared" si="151"/>
        <v/>
      </c>
      <c r="FI50">
        <f t="shared" si="152"/>
        <v>10</v>
      </c>
      <c r="FJ50" t="str">
        <f t="shared" si="153"/>
        <v/>
      </c>
      <c r="FK50" t="str">
        <f>IF(AND(D50="",EZ50=""),"",_xlfn.TEXTJOIN("; ",TRUE,IF(AND(D50&lt;&gt;"",DD50=""),"нет фазы",""),IF(AND(D50&lt;&gt;"",N(DT50)=0,CN50&lt;&gt;"Нет"),"нет мощности",""),IF(AND(EY50&lt;&gt;"",COUNTIFS(Линии[Щит],A50,Линии[Клемма (итог)],EY50)&gt;1),"дубль клеммы "&amp;EY50,""),IF(AND(FB50&lt;&gt;"",FB50&lt;&gt;"ok"),FB50,""),IF(FC50&lt;&gt;"",FC50,""),IF(AND(ISNUMBER(SEARCH("(5х",DS50)),N(DV50)=1),"5 жил на 1 фазе",""),IF(AND(AT50="R",AD50&lt;&gt;"",OR(N(EH50)=0,N(EH50)&gt;30)),"розетка без дифзащиты до 30 мА",""),IFERROR(IF(AND(ISNUMBER(CD50),CD50&gt;CE50),"потери "&amp;FIXED(CD50,1)&amp;" % &gt; "&amp;CE50&amp;" %",""),""),IFERROR(IF(LEFT(FJ50,4)="мало","Iкз мало — отключение &gt; 0,4 с",""),""),IF(AND(D50&lt;&gt;"",BD50=""),"не на схеме","")))</f>
        <v>нет мощности</v>
      </c>
      <c r="FL50" s="6">
        <f>IF(AD50="","",_xlfn.LET(_xlpm.t,IFERROR(_xlfn.XLOOKUP(EP50,Каталог!$U$4:$U$500,Каталог!$G$4:$G$500),""),_xlpm.k,SEARCH("кА",_xlpm.t),IFERROR(--TRIM(RIGHT(SUBSTITUTE(MID(_xlpm.t,MAX(1,_xlpm.k-4),_xlpm.k-MAX(1,_xlpm.k-4))," ",REPT(" ",9)),5)),"")))</f>
        <v>6</v>
      </c>
      <c r="FM50" t="str">
        <f>IF(OR(FL50="",AD50=""),"",IF(_xlfn.XLOOKUP(A50,Щиты[Щит],Щиты[Iкз max на шинах, кА],"")="","",IF(FL50&lt;_xlfn.XLOOKUP(A50,Щиты[Щит],Щиты[Iкз max на шинах, кА]),"Icu "&amp;FL50&amp;" кА &lt; Iкз max","ok")))</f>
        <v/>
      </c>
      <c r="FN50" t="str">
        <f t="shared" si="154"/>
        <v>QF29|XT30</v>
      </c>
      <c r="FO50" t="str">
        <f t="shared" si="155"/>
        <v>QF29|XT30|кабель ВВГнг(А)-LS (3х1,5) → Группа освещения  Пом. №01</v>
      </c>
      <c r="FP50" t="str" cm="1">
        <f t="array" ref="FP50">IF(FO50="","",_xlfn.LET(_xlpm.nd,_xlfn.TEXTSPLIT(FO50,"|"),IF(COLUMNS(_xlpm.nd)&gt;1,A50&amp;"¦"&amp;INDEX(_xlpm.nd,1)&amp;"¦"&amp;INDEX(_xlpm.nd,2),"")))</f>
        <v>ЩР¦QF29¦XT30</v>
      </c>
      <c r="FQ50" t="str">
        <f t="shared" si="156"/>
        <v>L.1.01.1¦Группа освещения  Пом. №01</v>
      </c>
      <c r="FR50" t="str" cm="1">
        <f t="array" ref="FR50">IF(FO50="","",_xlfn.LET(_xlpm.nd,_xlfn.TEXTSPLIT(FO50,"|"),IF(COLUMNS(_xlpm.nd)&gt;2,A50&amp;"¦"&amp;INDEX(_xlpm.nd,2)&amp;"¦"&amp;INDEX(_xlpm.nd,3),"")))</f>
        <v>ЩР¦XT30¦кабель ВВГнг(А)-LS (3х1,5) → Группа освещения  Пом. №01</v>
      </c>
      <c r="FS50" t="str">
        <f t="shared" si="157"/>
        <v>L.1.01.1¦Группа освещения  Пом. №01</v>
      </c>
      <c r="FT50" t="str" cm="1">
        <f t="array" ref="FT50">IF(FO50="","",_xlfn.LET(_xlpm.nd,_xlfn.TEXTSPLIT(FO50,"|"),IF(COLUMNS(_xlpm.nd)&gt;3,A50&amp;"¦"&amp;INDEX(_xlpm.nd,3)&amp;"¦"&amp;INDEX(_xlpm.nd,4),"")))</f>
        <v/>
      </c>
      <c r="FU50" t="str">
        <f t="shared" si="158"/>
        <v/>
      </c>
      <c r="FV50" t="str" cm="1">
        <f t="array" ref="FV50">IF(FO50="","",_xlfn.LET(_xlpm.nd,_xlfn.TEXTSPLIT(FO50,"|"),IF(COLUMNS(_xlpm.nd)&gt;4,A50&amp;"¦"&amp;INDEX(_xlpm.nd,4)&amp;"¦"&amp;INDEX(_xlpm.nd,5),"")))</f>
        <v/>
      </c>
      <c r="FW50" t="str">
        <f t="shared" si="159"/>
        <v/>
      </c>
      <c r="FX50" t="str" cm="1">
        <f t="array" ref="FX50">IF(FO50="","",_xlfn.LET(_xlpm.nd,_xlfn.TEXTSPLIT(FO50,"|"),IF(COLUMNS(_xlpm.nd)&gt;5,A50&amp;"¦"&amp;INDEX(_xlpm.nd,5)&amp;"¦"&amp;INDEX(_xlpm.nd,6),"")))</f>
        <v/>
      </c>
      <c r="FY50" t="str">
        <f t="shared" si="160"/>
        <v/>
      </c>
      <c r="FZ50" t="str" cm="1">
        <f t="array" ref="FZ50">IF(FO50="","",_xlfn.LET(_xlpm.nd,_xlfn.TEXTSPLIT(FO50,"|"),IF(COLUMNS(_xlpm.nd)&gt;6,A50&amp;"¦"&amp;INDEX(_xlpm.nd,6)&amp;"¦"&amp;INDEX(_xlpm.nd,7),"")))</f>
        <v/>
      </c>
      <c r="GA50" t="str">
        <f t="shared" si="161"/>
        <v/>
      </c>
      <c r="GB50" t="str">
        <f t="shared" si="162"/>
        <v/>
      </c>
      <c r="GC50" t="str">
        <f t="shared" si="163"/>
        <v>QF29 → XT30</v>
      </c>
      <c r="GD50">
        <f t="shared" si="164"/>
        <v>1</v>
      </c>
      <c r="GE50">
        <f t="shared" si="165"/>
        <v>0</v>
      </c>
      <c r="GF50">
        <f t="shared" si="166"/>
        <v>0</v>
      </c>
      <c r="GG50" t="str">
        <f t="shared" si="167"/>
        <v/>
      </c>
      <c r="GH50" t="str">
        <f t="shared" si="168"/>
        <v/>
      </c>
      <c r="GI50" t="str">
        <f t="shared" si="169"/>
        <v/>
      </c>
      <c r="GJ50" t="str">
        <f t="shared" si="170"/>
        <v/>
      </c>
      <c r="GK50" t="str">
        <f>IF(D50="","",IFERROR(VLOOKUP(D50,УГО_спр,2,FALSE),IFERROR(VLOOKUP(AT50,УГО_спр,2,FALSE),IFERROR(VLOOKUP(LEFT(AT50,2),УГО_спр,2,FALSE),""))))</f>
        <v>Светильник</v>
      </c>
      <c r="GL50" t="str">
        <f>IF(D50="","",IF(OR(GK50="",GK50=0),"BOX",IFERROR(IF(VLOOKUP(GK50,УГО_блоки,3,FALSE)&amp;""&lt;&gt;"",VLOOKUP(GK50,УГО_блоки,3,FALSE),VLOOKUP(GK50,УГО_блоки,2,FALSE)),GK50)))</f>
        <v>LAMP</v>
      </c>
      <c r="GM50">
        <f t="shared" si="171"/>
        <v>1</v>
      </c>
      <c r="GN50">
        <f>IF(EP50="","",IF(COUNTIF(EP$3:EP50,EP50)=1,MAX(GN$2:GN49)+1,""))</f>
        <v>3</v>
      </c>
      <c r="GO50" t="str">
        <f>IF(AF50="","",IF(COUNTIF(AF$3:AF50,AF50)+COUNTIF(AG$2:AG49,AF50)+COUNTIF(AH$2:AH49,AF50)=1,MAX(GO$2:GQ49)+1,""))</f>
        <v/>
      </c>
      <c r="GP50" t="str">
        <f>IF(AG50="","",IF(COUNTIF(AF$3:AF50,AG50)+COUNTIF(AG$3:AG50,AG50)+COUNTIF(AH$2:AH49,AG50)=1,MAX(GO$2:GQ49,GO50)+1,""))</f>
        <v/>
      </c>
      <c r="GQ50" t="str">
        <f>IF(AH50="","",IF(COUNTIF(AF$3:AF50,AH50)+COUNTIF(AG$3:AG50,AH50)+COUNTIF(AH$3:AH50,AH50)=1,MAX(GO$2:GQ49,GO50,GP50)+1,""))</f>
        <v/>
      </c>
      <c r="GR50" t="str">
        <f t="shared" si="172"/>
        <v>3х1,5</v>
      </c>
      <c r="GS50">
        <f>IF(GR50="","",IF(COUNTIF(GR$3:GR50,GR50)=1,MAX(GS$2:GS49)+1,""))</f>
        <v>3</v>
      </c>
      <c r="GT50" t="str">
        <f>IF(ES50="","",COUNTIF(ES$3:ES50,"?*"))</f>
        <v/>
      </c>
      <c r="GU50" t="str">
        <f>IF(OR(ES50="",EU50=""),"",IF(COUNTIFS(ES$3:ES50,"?*",EU$3:EU50,EU50)=1,MAX(GU$2:GU49)+1,""))</f>
        <v/>
      </c>
      <c r="GV50">
        <f t="shared" si="173"/>
        <v>1</v>
      </c>
      <c r="GW50">
        <f>IF(D50="","",COUNTIF(D$3:D50,"?*"))</f>
        <v>30</v>
      </c>
      <c r="GX50">
        <f>IF(EX50&lt;&gt;1,0,_xlfn.LET(_xlpm.k,MAX(IFERROR(--VLOOKUP(D50,УГО_спр,5,FALSE),0),IFERROR(--VLOOKUP(AT50,УГО_спр,5,FALSE),0),IFERROR(--VLOOKUP(LEFT(AT50,2),УГО_спр,5,FALSE),0)),IF(_xlpm.k&gt;0,_xlpm.k,IF(IFERROR(--LEFT(SUBSTITUTE(GR50,"x","х"),FIND("х",SUBSTITUTE(GR50,"x","х"))-1),3)&gt;3,Каталог!$S$9,1))))</f>
        <v>1</v>
      </c>
      <c r="GY50">
        <f t="shared" si="174"/>
        <v>0</v>
      </c>
    </row>
    <row r="51" spans="1:207" x14ac:dyDescent="0.3">
      <c r="A51" t="s">
        <v>206</v>
      </c>
      <c r="B51">
        <v>53</v>
      </c>
      <c r="C51" t="str">
        <f>IF(BD51="","",IF(BE51="вводной узел","узел ","")&amp;"л."&amp;(INT((BD51-1)/Столбцов_на_лист)+1)&amp;" / "&amp;(MOD(BD51-1,Столбцов_на_лист)+1))</f>
        <v>л.4 / 2</v>
      </c>
      <c r="D51" t="s">
        <v>715</v>
      </c>
      <c r="E51" s="133" t="str">
        <f t="shared" si="175"/>
        <v>Группа освещения  Пом. №04</v>
      </c>
      <c r="H51">
        <v>2</v>
      </c>
      <c r="O51">
        <v>1</v>
      </c>
      <c r="T51">
        <v>2</v>
      </c>
      <c r="V51">
        <v>3</v>
      </c>
      <c r="AD51" t="s">
        <v>597</v>
      </c>
      <c r="AI51" t="s">
        <v>329</v>
      </c>
      <c r="AN51">
        <v>9.7799999999999994</v>
      </c>
      <c r="AO51" t="s">
        <v>716</v>
      </c>
      <c r="AQ51" t="s">
        <v>710</v>
      </c>
      <c r="AR51" t="str">
        <f t="shared" si="88"/>
        <v>нет мощности</v>
      </c>
      <c r="AS51" cm="1">
        <f t="array" ref="AS51">ROW()-ROW(Линии[#Headers])</f>
        <v>49</v>
      </c>
      <c r="AT51" s="6" t="str">
        <f t="shared" si="89"/>
        <v>L</v>
      </c>
      <c r="AU51" t="str">
        <f t="shared" si="90"/>
        <v>1.04.1</v>
      </c>
      <c r="AV51" t="str">
        <f t="shared" si="91"/>
        <v>1</v>
      </c>
      <c r="AW51" t="str">
        <f t="shared" si="92"/>
        <v>04.1</v>
      </c>
      <c r="AX51" t="str">
        <f t="shared" si="93"/>
        <v>04</v>
      </c>
      <c r="AY51" t="str">
        <f>IF(D51="","",IF(ISERROR(SEARCH(".",D51)),IFERROR(VLOOKUP(D51,Потребители_обозначение,2,FALSE)&amp;"",""),IFERROR(IF(VLOOKUP(AT51,Потребители_обозначение,4,FALSE)=1,VLOOKUP(AT51,Потребители_обозначение,2,FALSE)&amp;" "&amp;VLOOKUP(AV51,Этаж_обозначение,2,FALSE)&amp;" Пом. №"&amp;AX51,VLOOKUP(AT51,Потребители_обозначение,2,FALSE)&amp;" Шлейф №"&amp;AV51),IFERROR(VLOOKUP(D51,Потребители_обозначение,2,FALSE),""))))</f>
        <v>Группа освещения  Пом. №04</v>
      </c>
      <c r="AZ51" t="str">
        <f t="shared" si="94"/>
        <v>Группа освещения  Пом. №04</v>
      </c>
      <c r="BA51" t="str">
        <f>IF(F51&lt;&gt;"",F51,IF(AND(D51&lt;&gt;"",D51&lt;&gt;A51,ISNUMBER(_xlfn.XMATCH(D51,Щиты[Щит]))),D51,""))</f>
        <v/>
      </c>
      <c r="BB51">
        <f>IFERROR(_xlfn.XMATCH(A51,Щиты[Щит]),0)</f>
        <v>1</v>
      </c>
      <c r="BC51">
        <f>IFERROR(N(_xlfn.XLOOKUP(A51,Щиты[Щит],Щиты[Мест под вводной узел])),15)</f>
        <v>18</v>
      </c>
      <c r="BD51">
        <f t="shared" si="95"/>
        <v>53</v>
      </c>
      <c r="BE51" t="str">
        <f t="shared" si="96"/>
        <v>линии</v>
      </c>
      <c r="BF51" s="6">
        <f>IF(D51="","",IF(BA51&lt;&gt;"",IFERROR(_xlfn.XLOOKUP(BA51,Щиты[Щит],Щиты[Руст, кВт]),0),N(G51)))</f>
        <v>0</v>
      </c>
      <c r="BG51">
        <f>IF(J51&lt;&gt;"",J51,IF(D51="","",IFERROR(IF(VLOOKUP(AT51,Потребители_обозначение,8,FALSE)=0,"",VLOOKUP(AT51,Потребители_обозначение,8,FALSE)),"")))</f>
        <v>230</v>
      </c>
      <c r="BH51">
        <f>IF(I51&lt;&gt;"",I51,IF(D51="","",IFERROR(IF(VLOOKUP(AT51,Потребители_обозначение,9,FALSE)=0,"",VLOOKUP(AT51,Потребители_обозначение,9,FALSE)),"")))</f>
        <v>1</v>
      </c>
      <c r="BI51" t="str">
        <f>IF(U51&lt;&gt;"",U51,IF(D51="","",IFERROR(IF(VLOOKUP(AT51,Потребители_обозначение,6,FALSE)=0,"",VLOOKUP(AT51,Потребители_обозначение,6,FALSE)),"")))</f>
        <v>мс</v>
      </c>
      <c r="BJ51">
        <f>IF(V51&lt;&gt;"",V51,IF(D51="","",IFERROR(IF(VLOOKUP(AT51,Потребители_обозначение,7,FALSE)=0,"",VLOOKUP(AT51,Потребители_обозначение,7,FALSE)),"")))</f>
        <v>3</v>
      </c>
      <c r="BK51">
        <f>IF(W51&lt;&gt;"",W51,IF(D51="","",IFERROR(IF(VLOOKUP(AT51,Потребители_обозначение,10,FALSE)=0,"",VLOOKUP(AT51,Потребители_обозначение,10,FALSE)),"")))</f>
        <v>1.5</v>
      </c>
      <c r="BL51">
        <f>IFERROR(VLOOKUP(AT51,Потребители_обозначение,5,FALSE),0)</f>
        <v>1</v>
      </c>
      <c r="BM51" s="6" cm="1">
        <f t="array" ref="BM51">IF(D51="","",IF(BA51&lt;&gt;"",IFERROR(_xlfn.XLOOKUP(BA51,Щиты[Щит],Щиты[cos φ]),0.95),IF(ISNUMBER(M51),M51,IFERROR(IF(BL51=2,_xlfn.IFS(BH51=3,VLOOKUP(BF51,Справочная_двигатели,8,FALSE),BH51=1,VLOOKUP(BF51,Справочная_двигатели,10,TRUE)),IF(AND(Методика="нормы 2026",CN51="Сил"),0.8,0.95)),0.95))))</f>
        <v>0.95</v>
      </c>
      <c r="BN51" s="6" cm="1">
        <f t="array" ref="BN51">IF(D51="","",IF(BA51&lt;&gt;"",IFERROR(_xlfn.XLOOKUP(BA51,Щиты[Щит],Щиты[Iр, А]),""),IFERROR(_xlfn.IFS(BH51=1,BF51/((Uн_лин/SQRT(3))*BM51),BH51=3,BF51/(SQRT(3)*Uн_лин*BM51)),"")))</f>
        <v>0</v>
      </c>
      <c r="BO51">
        <f>IF(D51="","",IF(N(X51)=0,IFERROR(VLOOKUP(BN51,Автомат_номиналы,2,TRUE),""),X51))</f>
        <v>6</v>
      </c>
      <c r="BP51">
        <f t="shared" si="97"/>
        <v>1</v>
      </c>
      <c r="BQ51">
        <f>IF(ISNUMBER(Y51),Y51,К_прокл)</f>
        <v>1</v>
      </c>
      <c r="BR51">
        <f t="shared" si="98"/>
        <v>2</v>
      </c>
      <c r="BS51" cm="1">
        <f t="array" ref="BS51">IF(D51="","",IF(N(BK51)&lt;&gt;0,BK51,IFERROR(_xlfn.LET(_xlpm.need,BO51/(BP51*BQ51),_xlpm.t,CHOOSE(BR51,Iдоп_1ж,Iдоп_2ж,Iдоп_3ж),_xlpm.k,_xlfn.XMATCH(_xlpm.need,_xlpm.t,1),IF(ISNA(_xlpm.k),"Не исп",INDEX(Iдоп_S,_xlpm.k))),"Не исп")))</f>
        <v>1.5</v>
      </c>
      <c r="BT51">
        <f>IFERROR(VLOOKUP(BS51,Кабель_сопротивление,3,FALSE),"")</f>
        <v>2.2499999999999999E-2</v>
      </c>
      <c r="BU51">
        <f>IFERROR(VLOOKUP(BS51,Кабель_сопротивление,2,FALSE),"")</f>
        <v>0.11</v>
      </c>
      <c r="BV51">
        <f t="shared" si="99"/>
        <v>10</v>
      </c>
      <c r="BW51" s="6">
        <f>IF(D51="","",IFERROR(IF(VLOOKUP(AT51,Потребители_обозначение,4,FALSE)=1,VLOOKUP(AT51,Потребители_обозначение,3,FALSE)*(H51*2-1)+BV51+VLOOKUP(AV51,Этаж_обозначение,3,FALSE)+VLOOKUP(AV51,Этаж_обозначение,4,FALSE),VLOOKUP(AT51,Потребители_обозначение,3,FALSE)*(H51*2-1)+BV51),BV51))</f>
        <v>13</v>
      </c>
      <c r="BX51">
        <f t="shared" si="100"/>
        <v>0</v>
      </c>
      <c r="BY51">
        <f t="shared" si="101"/>
        <v>9</v>
      </c>
      <c r="BZ51">
        <f t="shared" si="102"/>
        <v>2</v>
      </c>
      <c r="CA51">
        <f t="shared" si="103"/>
        <v>0.31</v>
      </c>
      <c r="CB51">
        <f t="shared" si="104"/>
        <v>0</v>
      </c>
      <c r="CC51" s="6">
        <f>IFERROR(ROUNDUP(CB51/((Uн_лин/SQRT(3))*1000)*100,2),"")</f>
        <v>0</v>
      </c>
      <c r="CD51" s="6">
        <f>IF(ISNUMBER(CC51),CC51+IFERROR(_xlfn.XLOOKUP(A51,Щиты[Щит],Щиты[ΔU до шин, %]),0),"")</f>
        <v>0</v>
      </c>
      <c r="CE51" s="6">
        <f>IF(D51="","",IF(IFERROR(VLOOKUP(AT51,УГО_спр,2,FALSE),"")="Светильник",3,4)+IF(Методика="нормы 2026",MIN(0.5,MAX(0,N(BW51)-100)*0.005),0))</f>
        <v>3</v>
      </c>
      <c r="CF51" t="str">
        <f>IFERROR(VLOOKUP(BI51,Кабель_обозначение,2,FALSE),"")</f>
        <v>ВВГнг(А)-LS</v>
      </c>
      <c r="CG51" t="str">
        <f>IFERROR(IF(VLOOKUP(BI51,Кабель_обозначение,3,FALSE)=1,CF51&amp;" ("&amp;BJ51&amp;"х"&amp;BS51&amp;")",CF51),"")</f>
        <v>ВВГнг(А)-LS (3х1,5)</v>
      </c>
      <c r="CH51" t="str">
        <f t="shared" si="105"/>
        <v>ВВГнг(А)-LS (3х1,5)
L=13-0%</v>
      </c>
      <c r="CI51">
        <f>IFERROR(2*ρкз_Cu*BW51/BS51,"")</f>
        <v>0.45586666666666664</v>
      </c>
      <c r="CJ51">
        <f t="shared" si="106"/>
        <v>0.1516666666666667</v>
      </c>
      <c r="CK51" s="6" t="str">
        <f>IFERROR(IF(OR(D51="",NOT(ISNUMBER(BS51)),N(BW51)=0),"",_xlfn.XLOOKUP(A51,Щиты[Щит],Щиты[Zпетли на шинах, Ом])+CI51),"")</f>
        <v/>
      </c>
      <c r="CL51" s="6" t="str">
        <f>IF(ISNUMBER(CK51),c_min*(Uн_лин*1000/SQRT(3))/CK51,"")</f>
        <v/>
      </c>
      <c r="CM51" s="6" t="str">
        <f>IFERROR(IF(OR(D51="",NOT(ISNUMBER(BS51))),"",1.05*(Uн_лин*1000/SQRT(3))/(_xlfn.XLOOKUP(A51,Щиты[Щит],Щиты[Zmax на шинах, Ом])+CJ51)/1000),"")</f>
        <v/>
      </c>
      <c r="CN51" s="6" t="str">
        <f>IF(D51="","",IF(BA51&lt;&gt;"","Щит",IF(K51&lt;&gt;"",K51,IF(ISNUMBER(L51),"Сил",IF(IFERROR(_xlfn.XLOOKUP(AT51,Коды_код,Коды_группа)&amp;"","")="","Быт",_xlfn.XLOOKUP(AT51,Коды_код,Коды_группа)&amp;"")))))</f>
        <v>Быт</v>
      </c>
      <c r="CO51" s="6">
        <f>IF(CN51="Щит","щит",IF(CN51="","",IF(CN51="Быт",IFERROR(_xlfn.XLOOKUP(A51,Щиты[Щит],Щиты[Кс быт]),1),IF(CN51="Сил",IF(ISNUMBER(L51),L51,IF(Методика="нормы 2026",IFERROR(_xlfn.XLOOKUP(A51,Щиты[Щит],Щиты[Кс силовых (табл. 7.5)]),1),1)),IF(OR(CN51="Пост",CN51="Отоп"),1,IF(CN51="ВНГ",0.7,0))))))</f>
        <v>0.8</v>
      </c>
      <c r="CP51">
        <f t="shared" si="107"/>
        <v>1</v>
      </c>
      <c r="CQ51">
        <f t="shared" si="108"/>
        <v>0</v>
      </c>
      <c r="CR51">
        <f t="shared" si="109"/>
        <v>0</v>
      </c>
      <c r="CS51">
        <f t="shared" si="110"/>
        <v>0</v>
      </c>
      <c r="CT51">
        <f t="shared" si="111"/>
        <v>0</v>
      </c>
      <c r="CU51">
        <f t="shared" si="112"/>
        <v>0</v>
      </c>
      <c r="CV51">
        <f t="shared" si="113"/>
        <v>0</v>
      </c>
      <c r="CW51">
        <f t="shared" si="114"/>
        <v>0</v>
      </c>
      <c r="CX51">
        <f t="shared" si="115"/>
        <v>0</v>
      </c>
      <c r="CY51">
        <f t="shared" si="116"/>
        <v>3</v>
      </c>
      <c r="CZ51" t="str">
        <f t="shared" si="117"/>
        <v>L3</v>
      </c>
      <c r="DA51" cm="1">
        <f t="array" ref="DA51">IFERROR(IF(BL51=2,_xlfn.IFS(BH51=3,VLOOKUP(BF51,Справочная_двигатели,3,FALSE),BH51=1,VLOOKUP(BF51,Справочная_двигатели,5,TRUE)),0),0)</f>
        <v>0</v>
      </c>
      <c r="DB51">
        <f>IFERROR(IF(BL51=3,VLOOKUP(BF51,Справочная_ЛЭД,2,TRUE),0),0)</f>
        <v>0</v>
      </c>
      <c r="DC51" s="6">
        <f t="shared" si="118"/>
        <v>0</v>
      </c>
      <c r="DD51" t="str">
        <f t="shared" si="119"/>
        <v>L1</v>
      </c>
      <c r="DE51" t="str" cm="1">
        <f t="array" ref="DE51">IF(D51="","",IFERROR(INDEX({"I особая","I","II","III"},MATCH(TRIM(AA51&amp;""),{"I особая","I","II","III"},0)),"III"))</f>
        <v>III</v>
      </c>
      <c r="DF51" t="str">
        <f>IF(D51="","",IF(TRIM(AB51&amp;"")&lt;&gt;"",IF(LOWER(TRIM(AB51&amp;""))="да","да","нет"),IF(IFERROR(_xlfn.XLOOKUP(AT51,Коды_код,Коды_пожарная),"")="да","да","нет")))</f>
        <v>нет</v>
      </c>
      <c r="DG51" t="str">
        <f t="shared" si="120"/>
        <v/>
      </c>
      <c r="DH51" t="str">
        <f t="shared" si="121"/>
        <v>основная</v>
      </c>
      <c r="DI51">
        <f t="shared" si="122"/>
        <v>1</v>
      </c>
      <c r="DJ51" t="str" cm="1">
        <f t="array" ref="DJ51">IF(D51="","",_xlfn.LET(_xlpm.t,IFERROR(_xlfn.XLOOKUP(1,(Шины[Шина]=DH51)*(((Шины[Щит]=A51)+(Шины[Щит]=""))&gt;0),Шины[Тип]),"")&amp;"",IF(_xlpm.t&lt;&gt;"",_xlpm.t,IF(ISNUMBER(SEARCH("ИБП",DH51)),"ИБП",IF(ISNUMBER(SEARCH("ДГУ",DH51)),"ДГУ","Ввод "&amp;DI51)))))</f>
        <v>Ввод 1</v>
      </c>
      <c r="DK51" t="str">
        <f t="shared" si="123"/>
        <v>Ввод 1</v>
      </c>
      <c r="DL51" t="str">
        <f>IF(D51="","",IF(OR(DJ51="ИБП",DJ51="ДГУ"),"I особая",IF(DJ51="Одиночная","III",_xlfn.XLOOKUP(A51,Щиты[Щит],Щиты[Категория шины «Ввод»],"III"))))</f>
        <v>III</v>
      </c>
      <c r="DM51">
        <f>IF(D51="",0,IFERROR(MATCH(DE51,{"III","II","I","I особая"},0),1))</f>
        <v>1</v>
      </c>
      <c r="DN51">
        <f t="shared" si="124"/>
        <v>1</v>
      </c>
      <c r="DO51" t="str">
        <f>IF(D51="","",IF(DM51&gt;IFERROR(MATCH(DL51,{"III","II","I","I особая"},0),1),"НЕ ОБЕСПЕЧЕНА","ОК"))</f>
        <v>ОК</v>
      </c>
      <c r="DP51" t="str">
        <f>IF(A51="","",_xlfn.XLOOKUP(A51,Щиты[Щит],Щиты[Путь],""))</f>
        <v>|ЩР|</v>
      </c>
      <c r="DQ51" t="str">
        <f>IF(D51="","",IF(Z51&lt;&gt;"",Z51,IF(IFERROR(_xlfn.XLOOKUP(AT51,Коды_код,Коды_вид)&amp;"","")="","Прочее",_xlfn.XLOOKUP(AT51,Коды_код,Коды_вид)&amp;"")))</f>
        <v>Рабочее освещение</v>
      </c>
      <c r="DR51">
        <f>IF(BD51="","",INT((BD51-1)/Столбцов_на_лист)+1)</f>
        <v>4</v>
      </c>
      <c r="DS51" t="str">
        <f t="shared" si="125"/>
        <v>ВВГнг(А)-LS (3х1,5) L=13-0%</v>
      </c>
      <c r="DT51">
        <f t="shared" si="126"/>
        <v>0</v>
      </c>
      <c r="DU51">
        <f t="shared" si="127"/>
        <v>0</v>
      </c>
      <c r="DV51">
        <f t="shared" si="128"/>
        <v>1</v>
      </c>
      <c r="DW51">
        <f>IF(AT51="",0,_xlfn.LET(_xlpm.v,IFERROR(VLOOKUP(D51,УГО_спр,3,FALSE),IFERROR(VLOOKUP(AT51,УГО_спр,3,FALSE),IFERROR(VLOOKUP(LEFT(AT51,2),УГО_спр,3,FALSE),""))),IF(_xlpm.v="да",30,IF(ISNUMBER(_xlpm.v),_xlpm.v,0))))</f>
        <v>0</v>
      </c>
      <c r="DX51">
        <f t="shared" si="129"/>
        <v>0</v>
      </c>
      <c r="DY51">
        <f>IF(BD51="","",IF(AD51&lt;&gt;"",COUNTIFS(A$3:A51,A51,AD$3:AD51,"?*"),IF(OR(OR(AS51=1,A51&lt;&gt;A50),AL51="вручную"),"",IF(AS51=1,"",DZ50))))</f>
        <v>30</v>
      </c>
      <c r="DZ51">
        <f t="shared" si="130"/>
        <v>30</v>
      </c>
      <c r="EA51">
        <f>IF(D51="",0,MAX(IFERROR(--X51,0),IFERROR(--VLOOKUP(D51,УГО_спр,4,FALSE),IFERROR(--VLOOKUP(AT51,УГО_спр,4,FALSE),IFERROR(--VLOOKUP(LEFT(AT51,2),УГО_спр,4,FALSE),0)))))</f>
        <v>10</v>
      </c>
      <c r="EB51">
        <f>IF(D51="","",IFERROR(LOOKUP(INDEX(CHOOSE(BR51,Iдоп_1ж,Iдоп_2ж,Iдоп_3ж),MATCH(BS51,Iдоп_S,0))*BP51*BQ51,{6,10,16,20,25,32,40,50,63,80,100,125,160,200,250,315,400,500,630}),""))</f>
        <v>16</v>
      </c>
      <c r="EC51">
        <f>IF(AD51="","",SUMIFS(Линии[_Ток схемы],Линии[_гр.],DY51,Линии[Щит],A51,Линии[_в кабель выше],0))</f>
        <v>0</v>
      </c>
      <c r="ED51">
        <f>IF(AD51="","",IFERROR(VLOOKUP(EC51,Автомат_номиналы,2,TRUE),""))</f>
        <v>6</v>
      </c>
      <c r="EE51">
        <f>IF(AD51="","",MAX(N(ED51),_xlfn.MAXIFS(Линии[_мин. по типу],Линии[_гр.],DY51,Линии[Щит],A51)))</f>
        <v>10</v>
      </c>
      <c r="EF51">
        <f>IF(AD51="","",_xlfn.MINIFS(Линии[_макс. автомат по кабелю],Линии[_гр.],DY51,Линии[Щит],A51))</f>
        <v>16</v>
      </c>
      <c r="EG51">
        <f>IF(AD51="","",MAX(1,_xlfn.MAXIFS(Линии[_фаз],Линии[_гр.],DY51,Линии[Щит],A51)))</f>
        <v>1</v>
      </c>
      <c r="EH51">
        <f>IF(AD51="","",IF(AND(AD51&lt;&gt;"авто",AD51&lt;&gt;"+"),IF(ISNUMBER(SEARCH("мА",AD51)),IFERROR(--TRIM(RIGHT(SUBSTITUTE(LEFT(AD51,SEARCH("мА",AD51)-1)," ",REPT(" ",9)),6)),30),0),IF(AE51="нет",0,IF(ISNUMBER(AE51),AE51,IF(AE51="да",30,_xlfn.MINIFS(Линии[_дифзащита по коду, мА],Линии[_гр.],DY51,Линии[Щит],A51,Линии[_дифзащита по коду, мА],"&gt;0"))))))</f>
        <v>0</v>
      </c>
      <c r="EI51">
        <f t="shared" si="131"/>
        <v>0</v>
      </c>
      <c r="EJ51" t="str">
        <f t="shared" si="132"/>
        <v>QF30</v>
      </c>
      <c r="EK51" t="str">
        <f t="shared" si="133"/>
        <v>QF30</v>
      </c>
      <c r="EL51" t="str">
        <f t="shared" si="134"/>
        <v/>
      </c>
      <c r="EM51">
        <f t="shared" si="135"/>
        <v>0</v>
      </c>
      <c r="EN51">
        <f>IF(AD51="","",IF(EM51=1,MAX(EE51,Мин_автомат_БП),EE51))</f>
        <v>10</v>
      </c>
      <c r="EO51" t="str">
        <f t="shared" si="136"/>
        <v>1P</v>
      </c>
      <c r="EP51" t="str">
        <f t="shared" si="137"/>
        <v>1P С10А</v>
      </c>
      <c r="EQ51">
        <f t="shared" si="138"/>
        <v>10</v>
      </c>
      <c r="ER51" t="str">
        <f>IF(OR(AI51="",AI51="-"),"",IFERROR(VLOOKUP(AI51,Модули_спр,2,FALSE),"R"))</f>
        <v>R</v>
      </c>
      <c r="ES51" t="str">
        <f>IF(ER51="","",ER51&amp;"."&amp;COUNTIFS(A$3:A51,A51,ER$3:ER51,ER51))</f>
        <v>R.1</v>
      </c>
      <c r="ET51" t="str">
        <f t="shared" si="139"/>
        <v>R.1</v>
      </c>
      <c r="EU51" t="str">
        <f t="shared" si="140"/>
        <v>ZIOMB24V2</v>
      </c>
      <c r="EV51">
        <f t="shared" si="141"/>
        <v>1</v>
      </c>
      <c r="EW51">
        <f t="shared" si="142"/>
        <v>1</v>
      </c>
      <c r="EX51">
        <f t="shared" si="143"/>
        <v>1</v>
      </c>
      <c r="EY51" t="str">
        <f>IF(AK51="нет","",IF(AK51&lt;&gt;"",AK51,IF(EX51=1,"XT"&amp;COUNTIFS(A$3:A51,A51,EX$3:EX51,1),"")))</f>
        <v>XT31</v>
      </c>
      <c r="EZ51" t="str">
        <f t="shared" si="144"/>
        <v>QF30</v>
      </c>
      <c r="FA51" t="str">
        <f t="shared" si="145"/>
        <v>R.1</v>
      </c>
      <c r="FB51" t="str">
        <f t="shared" si="146"/>
        <v>ok</v>
      </c>
      <c r="FC51" t="str">
        <f>IF(OR(EV51="",ET51=""),"",IF(EV51&gt;IFERROR(VLOOKUP(EU51,Модули_спр,3,FALSE),99),"ЛИШНИЙ КАНАЛ",IF(AND(AJ51&lt;&gt;"=",COUNTIFS(Линии[_модуль гр.],ET51,Линии[Канал (итог)],EV51,Линии[Канал],"&lt;&gt;=",Линии[Щит],A51)&gt;1),"ДУБЛЬ КАНАЛА","")))</f>
        <v/>
      </c>
      <c r="FD51">
        <f t="shared" si="147"/>
        <v>10</v>
      </c>
      <c r="FE51" t="str">
        <f t="shared" si="148"/>
        <v>1P С10А</v>
      </c>
      <c r="FF51">
        <f t="shared" si="149"/>
        <v>0</v>
      </c>
      <c r="FG51">
        <f t="shared" si="150"/>
        <v>0</v>
      </c>
      <c r="FH51" s="6" t="str">
        <f t="shared" si="151"/>
        <v/>
      </c>
      <c r="FI51">
        <f t="shared" si="152"/>
        <v>10</v>
      </c>
      <c r="FJ51" t="str">
        <f t="shared" si="153"/>
        <v/>
      </c>
      <c r="FK51" t="str">
        <f>IF(AND(D51="",EZ51=""),"",_xlfn.TEXTJOIN("; ",TRUE,IF(AND(D51&lt;&gt;"",DD51=""),"нет фазы",""),IF(AND(D51&lt;&gt;"",N(DT51)=0,CN51&lt;&gt;"Нет"),"нет мощности",""),IF(AND(EY51&lt;&gt;"",COUNTIFS(Линии[Щит],A51,Линии[Клемма (итог)],EY51)&gt;1),"дубль клеммы "&amp;EY51,""),IF(AND(FB51&lt;&gt;"",FB51&lt;&gt;"ok"),FB51,""),IF(FC51&lt;&gt;"",FC51,""),IF(AND(ISNUMBER(SEARCH("(5х",DS51)),N(DV51)=1),"5 жил на 1 фазе",""),IF(AND(AT51="R",AD51&lt;&gt;"",OR(N(EH51)=0,N(EH51)&gt;30)),"розетка без дифзащиты до 30 мА",""),IFERROR(IF(AND(ISNUMBER(CD51),CD51&gt;CE51),"потери "&amp;FIXED(CD51,1)&amp;" % &gt; "&amp;CE51&amp;" %",""),""),IFERROR(IF(LEFT(FJ51,4)="мало","Iкз мало — отключение &gt; 0,4 с",""),""),IF(AND(D51&lt;&gt;"",BD51=""),"не на схеме","")))</f>
        <v>нет мощности</v>
      </c>
      <c r="FL51" s="6">
        <f>IF(AD51="","",_xlfn.LET(_xlpm.t,IFERROR(_xlfn.XLOOKUP(EP51,Каталог!$U$4:$U$500,Каталог!$G$4:$G$500),""),_xlpm.k,SEARCH("кА",_xlpm.t),IFERROR(--TRIM(RIGHT(SUBSTITUTE(MID(_xlpm.t,MAX(1,_xlpm.k-4),_xlpm.k-MAX(1,_xlpm.k-4))," ",REPT(" ",9)),5)),"")))</f>
        <v>6</v>
      </c>
      <c r="FM51" t="str">
        <f>IF(OR(FL51="",AD51=""),"",IF(_xlfn.XLOOKUP(A51,Щиты[Щит],Щиты[Iкз max на шинах, кА],"")="","",IF(FL51&lt;_xlfn.XLOOKUP(A51,Щиты[Щит],Щиты[Iкз max на шинах, кА]),"Icu "&amp;FL51&amp;" кА &lt; Iкз max","ok")))</f>
        <v/>
      </c>
      <c r="FN51" t="str">
        <f t="shared" si="154"/>
        <v>QF30|R.1 к.1|XT31</v>
      </c>
      <c r="FO51" t="str">
        <f t="shared" si="155"/>
        <v>QF30|R.1 к.1|XT31|кабель ВВГнг(А)-LS (3х1,5) → Группа освещения  Пом. №04</v>
      </c>
      <c r="FP51" t="str" cm="1">
        <f t="array" ref="FP51">IF(FO51="","",_xlfn.LET(_xlpm.nd,_xlfn.TEXTSPLIT(FO51,"|"),IF(COLUMNS(_xlpm.nd)&gt;1,A51&amp;"¦"&amp;INDEX(_xlpm.nd,1)&amp;"¦"&amp;INDEX(_xlpm.nd,2),"")))</f>
        <v>ЩР¦QF30¦R.1 к.1</v>
      </c>
      <c r="FQ51" t="str">
        <f t="shared" si="156"/>
        <v>L.1.04.1¦Группа освещения  Пом. №04</v>
      </c>
      <c r="FR51" t="str" cm="1">
        <f t="array" ref="FR51">IF(FO51="","",_xlfn.LET(_xlpm.nd,_xlfn.TEXTSPLIT(FO51,"|"),IF(COLUMNS(_xlpm.nd)&gt;2,A51&amp;"¦"&amp;INDEX(_xlpm.nd,2)&amp;"¦"&amp;INDEX(_xlpm.nd,3),"")))</f>
        <v>ЩР¦R.1 к.1¦XT31</v>
      </c>
      <c r="FS51" t="str">
        <f t="shared" si="157"/>
        <v>L.1.04.1¦Группа освещения  Пом. №04</v>
      </c>
      <c r="FT51" t="str" cm="1">
        <f t="array" ref="FT51">IF(FO51="","",_xlfn.LET(_xlpm.nd,_xlfn.TEXTSPLIT(FO51,"|"),IF(COLUMNS(_xlpm.nd)&gt;3,A51&amp;"¦"&amp;INDEX(_xlpm.nd,3)&amp;"¦"&amp;INDEX(_xlpm.nd,4),"")))</f>
        <v>ЩР¦XT31¦кабель ВВГнг(А)-LS (3х1,5) → Группа освещения  Пом. №04</v>
      </c>
      <c r="FU51" t="str">
        <f t="shared" si="158"/>
        <v>L.1.04.1¦Группа освещения  Пом. №04</v>
      </c>
      <c r="FV51" t="str" cm="1">
        <f t="array" ref="FV51">IF(FO51="","",_xlfn.LET(_xlpm.nd,_xlfn.TEXTSPLIT(FO51,"|"),IF(COLUMNS(_xlpm.nd)&gt;4,A51&amp;"¦"&amp;INDEX(_xlpm.nd,4)&amp;"¦"&amp;INDEX(_xlpm.nd,5),"")))</f>
        <v/>
      </c>
      <c r="FW51" t="str">
        <f t="shared" si="159"/>
        <v/>
      </c>
      <c r="FX51" t="str" cm="1">
        <f t="array" ref="FX51">IF(FO51="","",_xlfn.LET(_xlpm.nd,_xlfn.TEXTSPLIT(FO51,"|"),IF(COLUMNS(_xlpm.nd)&gt;5,A51&amp;"¦"&amp;INDEX(_xlpm.nd,5)&amp;"¦"&amp;INDEX(_xlpm.nd,6),"")))</f>
        <v/>
      </c>
      <c r="FY51" t="str">
        <f t="shared" si="160"/>
        <v/>
      </c>
      <c r="FZ51" t="str" cm="1">
        <f t="array" ref="FZ51">IF(FO51="","",_xlfn.LET(_xlpm.nd,_xlfn.TEXTSPLIT(FO51,"|"),IF(COLUMNS(_xlpm.nd)&gt;6,A51&amp;"¦"&amp;INDEX(_xlpm.nd,6)&amp;"¦"&amp;INDEX(_xlpm.nd,7),"")))</f>
        <v/>
      </c>
      <c r="GA51" t="str">
        <f t="shared" si="161"/>
        <v/>
      </c>
      <c r="GB51" t="str">
        <f t="shared" si="162"/>
        <v>ZIOMB24V2</v>
      </c>
      <c r="GC51" t="str">
        <f t="shared" si="163"/>
        <v>QF30 → R.1 к.1 → XT31</v>
      </c>
      <c r="GD51">
        <f t="shared" si="164"/>
        <v>1</v>
      </c>
      <c r="GE51">
        <f t="shared" si="165"/>
        <v>0</v>
      </c>
      <c r="GF51">
        <f t="shared" si="166"/>
        <v>0</v>
      </c>
      <c r="GG51" t="str">
        <f t="shared" si="167"/>
        <v/>
      </c>
      <c r="GH51" t="str">
        <f t="shared" si="168"/>
        <v/>
      </c>
      <c r="GI51" t="str">
        <f t="shared" si="169"/>
        <v/>
      </c>
      <c r="GJ51" t="str">
        <f t="shared" si="170"/>
        <v/>
      </c>
      <c r="GK51" t="str">
        <f>IF(D51="","",IFERROR(VLOOKUP(D51,УГО_спр,2,FALSE),IFERROR(VLOOKUP(AT51,УГО_спр,2,FALSE),IFERROR(VLOOKUP(LEFT(AT51,2),УГО_спр,2,FALSE),""))))</f>
        <v>Светильник</v>
      </c>
      <c r="GL51" t="str">
        <f>IF(D51="","",IF(OR(GK51="",GK51=0),"BOX",IFERROR(IF(VLOOKUP(GK51,УГО_блоки,3,FALSE)&amp;""&lt;&gt;"",VLOOKUP(GK51,УГО_блоки,3,FALSE),VLOOKUP(GK51,УГО_блоки,2,FALSE)),GK51)))</f>
        <v>LAMP</v>
      </c>
      <c r="GM51">
        <f t="shared" si="171"/>
        <v>1</v>
      </c>
      <c r="GN51" t="str">
        <f>IF(EP51="","",IF(COUNTIF(EP$3:EP51,EP51)=1,MAX(GN$2:GN50)+1,""))</f>
        <v/>
      </c>
      <c r="GO51" t="str">
        <f>IF(AF51="","",IF(COUNTIF(AF$3:AF51,AF51)+COUNTIF(AG$2:AG50,AF51)+COUNTIF(AH$2:AH50,AF51)=1,MAX(GO$2:GQ50)+1,""))</f>
        <v/>
      </c>
      <c r="GP51" t="str">
        <f>IF(AG51="","",IF(COUNTIF(AF$3:AF51,AG51)+COUNTIF(AG$3:AG51,AG51)+COUNTIF(AH$2:AH50,AG51)=1,MAX(GO$2:GQ50,GO51)+1,""))</f>
        <v/>
      </c>
      <c r="GQ51" t="str">
        <f>IF(AH51="","",IF(COUNTIF(AF$3:AF51,AH51)+COUNTIF(AG$3:AG51,AH51)+COUNTIF(AH$3:AH51,AH51)=1,MAX(GO$2:GQ50,GO51,GP51)+1,""))</f>
        <v/>
      </c>
      <c r="GR51" t="str">
        <f t="shared" si="172"/>
        <v>3х1,5</v>
      </c>
      <c r="GS51" t="str">
        <f>IF(GR51="","",IF(COUNTIF(GR$3:GR51,GR51)=1,MAX(GS$2:GS50)+1,""))</f>
        <v/>
      </c>
      <c r="GT51">
        <f>IF(ES51="","",COUNTIF(ES$3:ES51,"?*"))</f>
        <v>1</v>
      </c>
      <c r="GU51">
        <f>IF(OR(ES51="",EU51=""),"",IF(COUNTIFS(ES$3:ES51,"?*",EU$3:EU51,EU51)=1,MAX(GU$2:GU50)+1,""))</f>
        <v>1</v>
      </c>
      <c r="GV51">
        <f t="shared" si="173"/>
        <v>1</v>
      </c>
      <c r="GW51">
        <f>IF(D51="","",COUNTIF(D$3:D51,"?*"))</f>
        <v>31</v>
      </c>
      <c r="GX51">
        <f>IF(EX51&lt;&gt;1,0,_xlfn.LET(_xlpm.k,MAX(IFERROR(--VLOOKUP(D51,УГО_спр,5,FALSE),0),IFERROR(--VLOOKUP(AT51,УГО_спр,5,FALSE),0),IFERROR(--VLOOKUP(LEFT(AT51,2),УГО_спр,5,FALSE),0)),IF(_xlpm.k&gt;0,_xlpm.k,IF(IFERROR(--LEFT(SUBSTITUTE(GR51,"x","х"),FIND("х",SUBSTITUTE(GR51,"x","х"))-1),3)&gt;3,Каталог!$S$9,1))))</f>
        <v>1</v>
      </c>
      <c r="GY51">
        <f t="shared" si="174"/>
        <v>0</v>
      </c>
    </row>
    <row r="52" spans="1:207" x14ac:dyDescent="0.3">
      <c r="A52" t="s">
        <v>206</v>
      </c>
      <c r="B52">
        <v>54</v>
      </c>
      <c r="C52" t="str">
        <f>IF(BD52="","",IF(BE52="вводной узел","узел ","")&amp;"л."&amp;(INT((BD52-1)/Столбцов_на_лист)+1)&amp;" / "&amp;(MOD(BD52-1,Столбцов_на_лист)+1))</f>
        <v>л.4 / 3</v>
      </c>
      <c r="D52" t="s">
        <v>711</v>
      </c>
      <c r="E52" s="133" t="str">
        <f t="shared" si="175"/>
        <v>Группа освещения  Пом. №04</v>
      </c>
      <c r="H52">
        <v>2</v>
      </c>
      <c r="O52">
        <v>2</v>
      </c>
      <c r="T52">
        <v>2</v>
      </c>
      <c r="V52">
        <v>3</v>
      </c>
      <c r="AN52">
        <v>10.01</v>
      </c>
      <c r="AO52" t="s">
        <v>712</v>
      </c>
      <c r="AQ52" t="s">
        <v>710</v>
      </c>
      <c r="AR52" t="str">
        <f t="shared" si="88"/>
        <v>нет мощности</v>
      </c>
      <c r="AS52" cm="1">
        <f t="array" ref="AS52">ROW()-ROW(Линии[#Headers])</f>
        <v>50</v>
      </c>
      <c r="AT52" s="6" t="str">
        <f t="shared" si="89"/>
        <v>L</v>
      </c>
      <c r="AU52" t="str">
        <f t="shared" si="90"/>
        <v>1.04.2</v>
      </c>
      <c r="AV52" t="str">
        <f t="shared" si="91"/>
        <v>1</v>
      </c>
      <c r="AW52" t="str">
        <f t="shared" si="92"/>
        <v>04.2</v>
      </c>
      <c r="AX52" t="str">
        <f t="shared" si="93"/>
        <v>04</v>
      </c>
      <c r="AY52" t="str">
        <f>IF(D52="","",IF(ISERROR(SEARCH(".",D52)),IFERROR(VLOOKUP(D52,Потребители_обозначение,2,FALSE)&amp;"",""),IFERROR(IF(VLOOKUP(AT52,Потребители_обозначение,4,FALSE)=1,VLOOKUP(AT52,Потребители_обозначение,2,FALSE)&amp;" "&amp;VLOOKUP(AV52,Этаж_обозначение,2,FALSE)&amp;" Пом. №"&amp;AX52,VLOOKUP(AT52,Потребители_обозначение,2,FALSE)&amp;" Шлейф №"&amp;AV52),IFERROR(VLOOKUP(D52,Потребители_обозначение,2,FALSE),""))))</f>
        <v>Группа освещения  Пом. №04</v>
      </c>
      <c r="AZ52" t="str">
        <f t="shared" si="94"/>
        <v>Группа освещения  Пом. №04</v>
      </c>
      <c r="BA52" t="str">
        <f>IF(F52&lt;&gt;"",F52,IF(AND(D52&lt;&gt;"",D52&lt;&gt;A52,ISNUMBER(_xlfn.XMATCH(D52,Щиты[Щит]))),D52,""))</f>
        <v/>
      </c>
      <c r="BB52">
        <f>IFERROR(_xlfn.XMATCH(A52,Щиты[Щит]),0)</f>
        <v>1</v>
      </c>
      <c r="BC52">
        <f>IFERROR(N(_xlfn.XLOOKUP(A52,Щиты[Щит],Щиты[Мест под вводной узел])),15)</f>
        <v>18</v>
      </c>
      <c r="BD52">
        <f t="shared" si="95"/>
        <v>54</v>
      </c>
      <c r="BE52" t="str">
        <f t="shared" si="96"/>
        <v>линии</v>
      </c>
      <c r="BF52" s="6">
        <f>IF(D52="","",IF(BA52&lt;&gt;"",IFERROR(_xlfn.XLOOKUP(BA52,Щиты[Щит],Щиты[Руст, кВт]),0),N(G52)))</f>
        <v>0</v>
      </c>
      <c r="BG52">
        <f>IF(J52&lt;&gt;"",J52,IF(D52="","",IFERROR(IF(VLOOKUP(AT52,Потребители_обозначение,8,FALSE)=0,"",VLOOKUP(AT52,Потребители_обозначение,8,FALSE)),"")))</f>
        <v>230</v>
      </c>
      <c r="BH52">
        <f>IF(I52&lt;&gt;"",I52,IF(D52="","",IFERROR(IF(VLOOKUP(AT52,Потребители_обозначение,9,FALSE)=0,"",VLOOKUP(AT52,Потребители_обозначение,9,FALSE)),"")))</f>
        <v>1</v>
      </c>
      <c r="BI52" t="str">
        <f>IF(U52&lt;&gt;"",U52,IF(D52="","",IFERROR(IF(VLOOKUP(AT52,Потребители_обозначение,6,FALSE)=0,"",VLOOKUP(AT52,Потребители_обозначение,6,FALSE)),"")))</f>
        <v>мс</v>
      </c>
      <c r="BJ52">
        <f>IF(V52&lt;&gt;"",V52,IF(D52="","",IFERROR(IF(VLOOKUP(AT52,Потребители_обозначение,7,FALSE)=0,"",VLOOKUP(AT52,Потребители_обозначение,7,FALSE)),"")))</f>
        <v>3</v>
      </c>
      <c r="BK52">
        <f>IF(W52&lt;&gt;"",W52,IF(D52="","",IFERROR(IF(VLOOKUP(AT52,Потребители_обозначение,10,FALSE)=0,"",VLOOKUP(AT52,Потребители_обозначение,10,FALSE)),"")))</f>
        <v>1.5</v>
      </c>
      <c r="BL52">
        <f>IFERROR(VLOOKUP(AT52,Потребители_обозначение,5,FALSE),0)</f>
        <v>1</v>
      </c>
      <c r="BM52" s="6" cm="1">
        <f t="array" ref="BM52">IF(D52="","",IF(BA52&lt;&gt;"",IFERROR(_xlfn.XLOOKUP(BA52,Щиты[Щит],Щиты[cos φ]),0.95),IF(ISNUMBER(M52),M52,IFERROR(IF(BL52=2,_xlfn.IFS(BH52=3,VLOOKUP(BF52,Справочная_двигатели,8,FALSE),BH52=1,VLOOKUP(BF52,Справочная_двигатели,10,TRUE)),IF(AND(Методика="нормы 2026",CN52="Сил"),0.8,0.95)),0.95))))</f>
        <v>0.95</v>
      </c>
      <c r="BN52" s="6" cm="1">
        <f t="array" ref="BN52">IF(D52="","",IF(BA52&lt;&gt;"",IFERROR(_xlfn.XLOOKUP(BA52,Щиты[Щит],Щиты[Iр, А]),""),IFERROR(_xlfn.IFS(BH52=1,BF52/((Uн_лин/SQRT(3))*BM52),BH52=3,BF52/(SQRT(3)*Uн_лин*BM52)),"")))</f>
        <v>0</v>
      </c>
      <c r="BO52">
        <f>IF(D52="","",IF(N(X52)=0,IFERROR(VLOOKUP(BN52,Автомат_номиналы,2,TRUE),""),X52))</f>
        <v>6</v>
      </c>
      <c r="BP52">
        <f t="shared" si="97"/>
        <v>1</v>
      </c>
      <c r="BQ52">
        <f>IF(ISNUMBER(Y52),Y52,К_прокл)</f>
        <v>1</v>
      </c>
      <c r="BR52">
        <f t="shared" si="98"/>
        <v>2</v>
      </c>
      <c r="BS52" cm="1">
        <f t="array" ref="BS52">IF(D52="","",IF(N(BK52)&lt;&gt;0,BK52,IFERROR(_xlfn.LET(_xlpm.need,BO52/(BP52*BQ52),_xlpm.t,CHOOSE(BR52,Iдоп_1ж,Iдоп_2ж,Iдоп_3ж),_xlpm.k,_xlfn.XMATCH(_xlpm.need,_xlpm.t,1),IF(ISNA(_xlpm.k),"Не исп",INDEX(Iдоп_S,_xlpm.k))),"Не исп")))</f>
        <v>1.5</v>
      </c>
      <c r="BT52">
        <f>IFERROR(VLOOKUP(BS52,Кабель_сопротивление,3,FALSE),"")</f>
        <v>2.2499999999999999E-2</v>
      </c>
      <c r="BU52">
        <f>IFERROR(VLOOKUP(BS52,Кабель_сопротивление,2,FALSE),"")</f>
        <v>0.11</v>
      </c>
      <c r="BV52">
        <f t="shared" si="99"/>
        <v>11</v>
      </c>
      <c r="BW52" s="6">
        <f>IF(D52="","",IFERROR(IF(VLOOKUP(AT52,Потребители_обозначение,4,FALSE)=1,VLOOKUP(AT52,Потребители_обозначение,3,FALSE)*(H52*2-1)+BV52+VLOOKUP(AV52,Этаж_обозначение,3,FALSE)+VLOOKUP(AV52,Этаж_обозначение,4,FALSE),VLOOKUP(AT52,Потребители_обозначение,3,FALSE)*(H52*2-1)+BV52),BV52))</f>
        <v>14</v>
      </c>
      <c r="BX52">
        <f t="shared" si="100"/>
        <v>0</v>
      </c>
      <c r="BY52">
        <f t="shared" si="101"/>
        <v>10</v>
      </c>
      <c r="BZ52">
        <f t="shared" si="102"/>
        <v>2</v>
      </c>
      <c r="CA52">
        <f t="shared" si="103"/>
        <v>0.31</v>
      </c>
      <c r="CB52">
        <f t="shared" si="104"/>
        <v>0</v>
      </c>
      <c r="CC52" s="6">
        <f>IFERROR(ROUNDUP(CB52/((Uн_лин/SQRT(3))*1000)*100,2),"")</f>
        <v>0</v>
      </c>
      <c r="CD52" s="6">
        <f>IF(ISNUMBER(CC52),CC52+IFERROR(_xlfn.XLOOKUP(A52,Щиты[Щит],Щиты[ΔU до шин, %]),0),"")</f>
        <v>0</v>
      </c>
      <c r="CE52" s="6">
        <f>IF(D52="","",IF(IFERROR(VLOOKUP(AT52,УГО_спр,2,FALSE),"")="Светильник",3,4)+IF(Методика="нормы 2026",MIN(0.5,MAX(0,N(BW52)-100)*0.005),0))</f>
        <v>3</v>
      </c>
      <c r="CF52" t="str">
        <f>IFERROR(VLOOKUP(BI52,Кабель_обозначение,2,FALSE),"")</f>
        <v>ВВГнг(А)-LS</v>
      </c>
      <c r="CG52" t="str">
        <f>IFERROR(IF(VLOOKUP(BI52,Кабель_обозначение,3,FALSE)=1,CF52&amp;" ("&amp;BJ52&amp;"х"&amp;BS52&amp;")",CF52),"")</f>
        <v>ВВГнг(А)-LS (3х1,5)</v>
      </c>
      <c r="CH52" t="str">
        <f t="shared" si="105"/>
        <v>ВВГнг(А)-LS (3х1,5)
L=14-0%</v>
      </c>
      <c r="CI52">
        <f>IFERROR(2*ρкз_Cu*BW52/BS52,"")</f>
        <v>0.49093333333333339</v>
      </c>
      <c r="CJ52">
        <f t="shared" si="106"/>
        <v>0.16333333333333336</v>
      </c>
      <c r="CK52" s="6" t="str">
        <f>IFERROR(IF(OR(D52="",NOT(ISNUMBER(BS52)),N(BW52)=0),"",_xlfn.XLOOKUP(A52,Щиты[Щит],Щиты[Zпетли на шинах, Ом])+CI52),"")</f>
        <v/>
      </c>
      <c r="CL52" s="6" t="str">
        <f>IF(ISNUMBER(CK52),c_min*(Uн_лин*1000/SQRT(3))/CK52,"")</f>
        <v/>
      </c>
      <c r="CM52" s="6" t="str">
        <f>IFERROR(IF(OR(D52="",NOT(ISNUMBER(BS52))),"",1.05*(Uн_лин*1000/SQRT(3))/(_xlfn.XLOOKUP(A52,Щиты[Щит],Щиты[Zmax на шинах, Ом])+CJ52)/1000),"")</f>
        <v/>
      </c>
      <c r="CN52" s="6" t="str">
        <f>IF(D52="","",IF(BA52&lt;&gt;"","Щит",IF(K52&lt;&gt;"",K52,IF(ISNUMBER(L52),"Сил",IF(IFERROR(_xlfn.XLOOKUP(AT52,Коды_код,Коды_группа)&amp;"","")="","Быт",_xlfn.XLOOKUP(AT52,Коды_код,Коды_группа)&amp;"")))))</f>
        <v>Быт</v>
      </c>
      <c r="CO52" s="6">
        <f>IF(CN52="Щит","щит",IF(CN52="","",IF(CN52="Быт",IFERROR(_xlfn.XLOOKUP(A52,Щиты[Щит],Щиты[Кс быт]),1),IF(CN52="Сил",IF(ISNUMBER(L52),L52,IF(Методика="нормы 2026",IFERROR(_xlfn.XLOOKUP(A52,Щиты[Щит],Щиты[Кс силовых (табл. 7.5)]),1),1)),IF(OR(CN52="Пост",CN52="Отоп"),1,IF(CN52="ВНГ",0.7,0))))))</f>
        <v>0.8</v>
      </c>
      <c r="CP52">
        <f t="shared" si="107"/>
        <v>1</v>
      </c>
      <c r="CQ52">
        <f t="shared" si="108"/>
        <v>0</v>
      </c>
      <c r="CR52">
        <f t="shared" si="109"/>
        <v>0</v>
      </c>
      <c r="CS52">
        <f t="shared" si="110"/>
        <v>0</v>
      </c>
      <c r="CT52">
        <f t="shared" si="111"/>
        <v>0</v>
      </c>
      <c r="CU52">
        <f t="shared" si="112"/>
        <v>0</v>
      </c>
      <c r="CV52">
        <f t="shared" si="113"/>
        <v>0</v>
      </c>
      <c r="CW52">
        <f t="shared" si="114"/>
        <v>0</v>
      </c>
      <c r="CX52">
        <f t="shared" si="115"/>
        <v>0</v>
      </c>
      <c r="CY52">
        <f t="shared" si="116"/>
        <v>1</v>
      </c>
      <c r="CZ52" t="str">
        <f t="shared" si="117"/>
        <v>L1</v>
      </c>
      <c r="DA52" cm="1">
        <f t="array" ref="DA52">IFERROR(IF(BL52=2,_xlfn.IFS(BH52=3,VLOOKUP(BF52,Справочная_двигатели,3,FALSE),BH52=1,VLOOKUP(BF52,Справочная_двигатели,5,TRUE)),0),0)</f>
        <v>0</v>
      </c>
      <c r="DB52">
        <f>IFERROR(IF(BL52=3,VLOOKUP(BF52,Справочная_ЛЭД,2,TRUE),0),0)</f>
        <v>0</v>
      </c>
      <c r="DC52" s="6">
        <f t="shared" si="118"/>
        <v>0</v>
      </c>
      <c r="DD52" t="str">
        <f t="shared" si="119"/>
        <v>L2</v>
      </c>
      <c r="DE52" t="str" cm="1">
        <f t="array" ref="DE52">IF(D52="","",IFERROR(INDEX({"I особая","I","II","III"},MATCH(TRIM(AA52&amp;""),{"I особая","I","II","III"},0)),"III"))</f>
        <v>III</v>
      </c>
      <c r="DF52" t="str">
        <f>IF(D52="","",IF(TRIM(AB52&amp;"")&lt;&gt;"",IF(LOWER(TRIM(AB52&amp;""))="да","да","нет"),IF(IFERROR(_xlfn.XLOOKUP(AT52,Коды_код,Коды_пожарная),"")="да","да","нет")))</f>
        <v>нет</v>
      </c>
      <c r="DG52" t="str">
        <f t="shared" si="120"/>
        <v/>
      </c>
      <c r="DH52" t="str">
        <f t="shared" si="121"/>
        <v>основная</v>
      </c>
      <c r="DI52">
        <f t="shared" si="122"/>
        <v>1</v>
      </c>
      <c r="DJ52" t="str" cm="1">
        <f t="array" ref="DJ52">IF(D52="","",_xlfn.LET(_xlpm.t,IFERROR(_xlfn.XLOOKUP(1,(Шины[Шина]=DH52)*(((Шины[Щит]=A52)+(Шины[Щит]=""))&gt;0),Шины[Тип]),"")&amp;"",IF(_xlpm.t&lt;&gt;"",_xlpm.t,IF(ISNUMBER(SEARCH("ИБП",DH52)),"ИБП",IF(ISNUMBER(SEARCH("ДГУ",DH52)),"ДГУ","Ввод "&amp;DI52)))))</f>
        <v>Ввод 1</v>
      </c>
      <c r="DK52" t="str">
        <f t="shared" si="123"/>
        <v>Ввод 1</v>
      </c>
      <c r="DL52" t="str">
        <f>IF(D52="","",IF(OR(DJ52="ИБП",DJ52="ДГУ"),"I особая",IF(DJ52="Одиночная","III",_xlfn.XLOOKUP(A52,Щиты[Щит],Щиты[Категория шины «Ввод»],"III"))))</f>
        <v>III</v>
      </c>
      <c r="DM52">
        <f>IF(D52="",0,IFERROR(MATCH(DE52,{"III","II","I","I особая"},0),1))</f>
        <v>1</v>
      </c>
      <c r="DN52">
        <f t="shared" si="124"/>
        <v>1</v>
      </c>
      <c r="DO52" t="str">
        <f>IF(D52="","",IF(DM52&gt;IFERROR(MATCH(DL52,{"III","II","I","I особая"},0),1),"НЕ ОБЕСПЕЧЕНА","ОК"))</f>
        <v>ОК</v>
      </c>
      <c r="DP52" t="str">
        <f>IF(A52="","",_xlfn.XLOOKUP(A52,Щиты[Щит],Щиты[Путь],""))</f>
        <v>|ЩР|</v>
      </c>
      <c r="DQ52" t="str">
        <f>IF(D52="","",IF(Z52&lt;&gt;"",Z52,IF(IFERROR(_xlfn.XLOOKUP(AT52,Коды_код,Коды_вид)&amp;"","")="","Прочее",_xlfn.XLOOKUP(AT52,Коды_код,Коды_вид)&amp;"")))</f>
        <v>Рабочее освещение</v>
      </c>
      <c r="DR52">
        <f>IF(BD52="","",INT((BD52-1)/Столбцов_на_лист)+1)</f>
        <v>4</v>
      </c>
      <c r="DS52" t="str">
        <f t="shared" si="125"/>
        <v>ВВГнг(А)-LS (3х1,5) L=14-0%</v>
      </c>
      <c r="DT52">
        <f t="shared" si="126"/>
        <v>0</v>
      </c>
      <c r="DU52">
        <f t="shared" si="127"/>
        <v>0</v>
      </c>
      <c r="DV52">
        <f t="shared" si="128"/>
        <v>1</v>
      </c>
      <c r="DW52">
        <f>IF(AT52="",0,_xlfn.LET(_xlpm.v,IFERROR(VLOOKUP(D52,УГО_спр,3,FALSE),IFERROR(VLOOKUP(AT52,УГО_спр,3,FALSE),IFERROR(VLOOKUP(LEFT(AT52,2),УГО_спр,3,FALSE),""))),IF(_xlpm.v="да",30,IF(ISNUMBER(_xlpm.v),_xlpm.v,0))))</f>
        <v>0</v>
      </c>
      <c r="DX52">
        <f t="shared" si="129"/>
        <v>0</v>
      </c>
      <c r="DY52">
        <f>IF(BD52="","",IF(AD52&lt;&gt;"",COUNTIFS(A$3:A52,A52,AD$3:AD52,"?*"),IF(OR(OR(AS52=1,A52&lt;&gt;A51),AL52="вручную"),"",IF(AS52=1,"",DZ51))))</f>
        <v>30</v>
      </c>
      <c r="DZ52">
        <f t="shared" si="130"/>
        <v>30</v>
      </c>
      <c r="EA52">
        <f>IF(D52="",0,MAX(IFERROR(--X52,0),IFERROR(--VLOOKUP(D52,УГО_спр,4,FALSE),IFERROR(--VLOOKUP(AT52,УГО_спр,4,FALSE),IFERROR(--VLOOKUP(LEFT(AT52,2),УГО_спр,4,FALSE),0)))))</f>
        <v>10</v>
      </c>
      <c r="EB52">
        <f>IF(D52="","",IFERROR(LOOKUP(INDEX(CHOOSE(BR52,Iдоп_1ж,Iдоп_2ж,Iдоп_3ж),MATCH(BS52,Iдоп_S,0))*BP52*BQ52,{6,10,16,20,25,32,40,50,63,80,100,125,160,200,250,315,400,500,630}),""))</f>
        <v>16</v>
      </c>
      <c r="EC52" t="str">
        <f>IF(AD52="","",SUMIFS(Линии[_Ток схемы],Линии[_гр.],DY52,Линии[Щит],A52,Линии[_в кабель выше],0))</f>
        <v/>
      </c>
      <c r="ED52" t="str">
        <f>IF(AD52="","",IFERROR(VLOOKUP(EC52,Автомат_номиналы,2,TRUE),""))</f>
        <v/>
      </c>
      <c r="EE52" t="str">
        <f>IF(AD52="","",MAX(N(ED52),_xlfn.MAXIFS(Линии[_мин. по типу],Линии[_гр.],DY52,Линии[Щит],A52)))</f>
        <v/>
      </c>
      <c r="EF52" t="str">
        <f>IF(AD52="","",_xlfn.MINIFS(Линии[_макс. автомат по кабелю],Линии[_гр.],DY52,Линии[Щит],A52))</f>
        <v/>
      </c>
      <c r="EG52" t="str">
        <f>IF(AD52="","",MAX(1,_xlfn.MAXIFS(Линии[_фаз],Линии[_гр.],DY52,Линии[Щит],A52)))</f>
        <v/>
      </c>
      <c r="EH52" t="str">
        <f>IF(AD52="","",IF(AND(AD52&lt;&gt;"авто",AD52&lt;&gt;"+"),IF(ISNUMBER(SEARCH("мА",AD52)),IFERROR(--TRIM(RIGHT(SUBSTITUTE(LEFT(AD52,SEARCH("мА",AD52)-1)," ",REPT(" ",9)),6)),30),0),IF(AE52="нет",0,IF(ISNUMBER(AE52),AE52,IF(AE52="да",30,_xlfn.MINIFS(Линии[_дифзащита по коду, мА],Линии[_гр.],DY52,Линии[Щит],A52,Линии[_дифзащита по коду, мА],"&gt;0"))))))</f>
        <v/>
      </c>
      <c r="EI52" t="str">
        <f t="shared" si="131"/>
        <v/>
      </c>
      <c r="EJ52" t="str">
        <f t="shared" si="132"/>
        <v/>
      </c>
      <c r="EK52" t="str">
        <f t="shared" si="133"/>
        <v>QF30</v>
      </c>
      <c r="EL52" t="str">
        <f t="shared" si="134"/>
        <v/>
      </c>
      <c r="EM52">
        <f t="shared" si="135"/>
        <v>0</v>
      </c>
      <c r="EN52" t="str">
        <f>IF(AD52="","",IF(EM52=1,MAX(EE52,Мин_автомат_БП),EE52))</f>
        <v/>
      </c>
      <c r="EO52" t="str">
        <f t="shared" si="136"/>
        <v/>
      </c>
      <c r="EP52" t="str">
        <f t="shared" si="137"/>
        <v/>
      </c>
      <c r="EQ52" t="str">
        <f t="shared" si="138"/>
        <v/>
      </c>
      <c r="ER52" t="str">
        <f>IF(OR(AI52="",AI52="-"),"",IFERROR(VLOOKUP(AI52,Модули_спр,2,FALSE),"R"))</f>
        <v/>
      </c>
      <c r="ES52" t="str">
        <f>IF(ER52="","",ER52&amp;"."&amp;COUNTIFS(A$3:A52,A52,ER$3:ER52,ER52))</f>
        <v/>
      </c>
      <c r="ET52" t="str">
        <f t="shared" si="139"/>
        <v>R.1</v>
      </c>
      <c r="EU52" t="str">
        <f t="shared" si="140"/>
        <v>ZIOMB24V2</v>
      </c>
      <c r="EV52">
        <f t="shared" si="141"/>
        <v>2</v>
      </c>
      <c r="EW52">
        <f t="shared" si="142"/>
        <v>2</v>
      </c>
      <c r="EX52">
        <f t="shared" si="143"/>
        <v>1</v>
      </c>
      <c r="EY52" t="str">
        <f>IF(AK52="нет","",IF(AK52&lt;&gt;"",AK52,IF(EX52=1,"XT"&amp;COUNTIFS(A$3:A52,A52,EX$3:EX52,1),"")))</f>
        <v>XT32</v>
      </c>
      <c r="EZ52" t="str">
        <f t="shared" si="144"/>
        <v>QF30</v>
      </c>
      <c r="FA52" t="str">
        <f t="shared" si="145"/>
        <v>R.1</v>
      </c>
      <c r="FB52" t="str">
        <f t="shared" si="146"/>
        <v/>
      </c>
      <c r="FC52" t="str">
        <f>IF(OR(EV52="",ET52=""),"",IF(EV52&gt;IFERROR(VLOOKUP(EU52,Модули_спр,3,FALSE),99),"ЛИШНИЙ КАНАЛ",IF(AND(AJ52&lt;&gt;"=",COUNTIFS(Линии[_модуль гр.],ET52,Линии[Канал (итог)],EV52,Линии[Канал],"&lt;&gt;=",Линии[Щит],A52)&gt;1),"ДУБЛЬ КАНАЛА","")))</f>
        <v/>
      </c>
      <c r="FD52">
        <f t="shared" si="147"/>
        <v>10</v>
      </c>
      <c r="FE52" t="str">
        <f t="shared" si="148"/>
        <v>1P С10А</v>
      </c>
      <c r="FF52">
        <f t="shared" si="149"/>
        <v>0</v>
      </c>
      <c r="FG52">
        <f t="shared" si="150"/>
        <v>0</v>
      </c>
      <c r="FH52" s="6" t="str">
        <f t="shared" si="151"/>
        <v/>
      </c>
      <c r="FI52">
        <f t="shared" si="152"/>
        <v>10</v>
      </c>
      <c r="FJ52" t="str">
        <f t="shared" si="153"/>
        <v/>
      </c>
      <c r="FK52" t="str">
        <f>IF(AND(D52="",EZ52=""),"",_xlfn.TEXTJOIN("; ",TRUE,IF(AND(D52&lt;&gt;"",DD52=""),"нет фазы",""),IF(AND(D52&lt;&gt;"",N(DT52)=0,CN52&lt;&gt;"Нет"),"нет мощности",""),IF(AND(EY52&lt;&gt;"",COUNTIFS(Линии[Щит],A52,Линии[Клемма (итог)],EY52)&gt;1),"дубль клеммы "&amp;EY52,""),IF(AND(FB52&lt;&gt;"",FB52&lt;&gt;"ok"),FB52,""),IF(FC52&lt;&gt;"",FC52,""),IF(AND(ISNUMBER(SEARCH("(5х",DS52)),N(DV52)=1),"5 жил на 1 фазе",""),IF(AND(AT52="R",AD52&lt;&gt;"",OR(N(EH52)=0,N(EH52)&gt;30)),"розетка без дифзащиты до 30 мА",""),IFERROR(IF(AND(ISNUMBER(CD52),CD52&gt;CE52),"потери "&amp;FIXED(CD52,1)&amp;" % &gt; "&amp;CE52&amp;" %",""),""),IFERROR(IF(LEFT(FJ52,4)="мало","Iкз мало — отключение &gt; 0,4 с",""),""),IF(AND(D52&lt;&gt;"",BD52=""),"не на схеме","")))</f>
        <v>нет мощности</v>
      </c>
      <c r="FL52" s="6" t="str">
        <f>IF(AD52="","",_xlfn.LET(_xlpm.t,IFERROR(_xlfn.XLOOKUP(EP52,Каталог!$U$4:$U$500,Каталог!$G$4:$G$500),""),_xlpm.k,SEARCH("кА",_xlpm.t),IFERROR(--TRIM(RIGHT(SUBSTITUTE(MID(_xlpm.t,MAX(1,_xlpm.k-4),_xlpm.k-MAX(1,_xlpm.k-4))," ",REPT(" ",9)),5)),"")))</f>
        <v/>
      </c>
      <c r="FM52" t="str">
        <f>IF(OR(FL52="",AD52=""),"",IF(_xlfn.XLOOKUP(A52,Щиты[Щит],Щиты[Iкз max на шинах, кА],"")="","",IF(FL52&lt;_xlfn.XLOOKUP(A52,Щиты[Щит],Щиты[Iкз max на шинах, кА]),"Icu "&amp;FL52&amp;" кА &lt; Iкз max","ok")))</f>
        <v/>
      </c>
      <c r="FN52" t="str">
        <f t="shared" si="154"/>
        <v>QF30|R.1 к.2|XT32</v>
      </c>
      <c r="FO52" t="str">
        <f t="shared" si="155"/>
        <v>QF30|R.1 к.2|XT32|кабель ВВГнг(А)-LS (3х1,5) → Группа освещения  Пом. №04</v>
      </c>
      <c r="FP52" t="str" cm="1">
        <f t="array" ref="FP52">IF(FO52="","",_xlfn.LET(_xlpm.nd,_xlfn.TEXTSPLIT(FO52,"|"),IF(COLUMNS(_xlpm.nd)&gt;1,A52&amp;"¦"&amp;INDEX(_xlpm.nd,1)&amp;"¦"&amp;INDEX(_xlpm.nd,2),"")))</f>
        <v>ЩР¦QF30¦R.1 к.2</v>
      </c>
      <c r="FQ52" t="str">
        <f t="shared" si="156"/>
        <v>L.1.04.2¦Группа освещения  Пом. №04</v>
      </c>
      <c r="FR52" t="str" cm="1">
        <f t="array" ref="FR52">IF(FO52="","",_xlfn.LET(_xlpm.nd,_xlfn.TEXTSPLIT(FO52,"|"),IF(COLUMNS(_xlpm.nd)&gt;2,A52&amp;"¦"&amp;INDEX(_xlpm.nd,2)&amp;"¦"&amp;INDEX(_xlpm.nd,3),"")))</f>
        <v>ЩР¦R.1 к.2¦XT32</v>
      </c>
      <c r="FS52" t="str">
        <f t="shared" si="157"/>
        <v>L.1.04.2¦Группа освещения  Пом. №04</v>
      </c>
      <c r="FT52" t="str" cm="1">
        <f t="array" ref="FT52">IF(FO52="","",_xlfn.LET(_xlpm.nd,_xlfn.TEXTSPLIT(FO52,"|"),IF(COLUMNS(_xlpm.nd)&gt;3,A52&amp;"¦"&amp;INDEX(_xlpm.nd,3)&amp;"¦"&amp;INDEX(_xlpm.nd,4),"")))</f>
        <v>ЩР¦XT32¦кабель ВВГнг(А)-LS (3х1,5) → Группа освещения  Пом. №04</v>
      </c>
      <c r="FU52" t="str">
        <f t="shared" si="158"/>
        <v>L.1.04.2¦Группа освещения  Пом. №04</v>
      </c>
      <c r="FV52" t="str" cm="1">
        <f t="array" ref="FV52">IF(FO52="","",_xlfn.LET(_xlpm.nd,_xlfn.TEXTSPLIT(FO52,"|"),IF(COLUMNS(_xlpm.nd)&gt;4,A52&amp;"¦"&amp;INDEX(_xlpm.nd,4)&amp;"¦"&amp;INDEX(_xlpm.nd,5),"")))</f>
        <v/>
      </c>
      <c r="FW52" t="str">
        <f t="shared" si="159"/>
        <v/>
      </c>
      <c r="FX52" t="str" cm="1">
        <f t="array" ref="FX52">IF(FO52="","",_xlfn.LET(_xlpm.nd,_xlfn.TEXTSPLIT(FO52,"|"),IF(COLUMNS(_xlpm.nd)&gt;5,A52&amp;"¦"&amp;INDEX(_xlpm.nd,5)&amp;"¦"&amp;INDEX(_xlpm.nd,6),"")))</f>
        <v/>
      </c>
      <c r="FY52" t="str">
        <f t="shared" si="160"/>
        <v/>
      </c>
      <c r="FZ52" t="str" cm="1">
        <f t="array" ref="FZ52">IF(FO52="","",_xlfn.LET(_xlpm.nd,_xlfn.TEXTSPLIT(FO52,"|"),IF(COLUMNS(_xlpm.nd)&gt;6,A52&amp;"¦"&amp;INDEX(_xlpm.nd,6)&amp;"¦"&amp;INDEX(_xlpm.nd,7),"")))</f>
        <v/>
      </c>
      <c r="GA52" t="str">
        <f t="shared" si="161"/>
        <v/>
      </c>
      <c r="GB52" t="str">
        <f t="shared" si="162"/>
        <v>ZIOMB24V2</v>
      </c>
      <c r="GC52" t="str">
        <f t="shared" si="163"/>
        <v>QF30 → R.1 к.2 → XT32</v>
      </c>
      <c r="GD52">
        <f t="shared" si="164"/>
        <v>1</v>
      </c>
      <c r="GE52">
        <f t="shared" si="165"/>
        <v>0</v>
      </c>
      <c r="GF52">
        <f t="shared" si="166"/>
        <v>0</v>
      </c>
      <c r="GG52" t="str">
        <f t="shared" si="167"/>
        <v/>
      </c>
      <c r="GH52" t="str">
        <f t="shared" si="168"/>
        <v/>
      </c>
      <c r="GI52" t="str">
        <f t="shared" si="169"/>
        <v/>
      </c>
      <c r="GJ52" t="str">
        <f t="shared" si="170"/>
        <v/>
      </c>
      <c r="GK52" t="str">
        <f>IF(D52="","",IFERROR(VLOOKUP(D52,УГО_спр,2,FALSE),IFERROR(VLOOKUP(AT52,УГО_спр,2,FALSE),IFERROR(VLOOKUP(LEFT(AT52,2),УГО_спр,2,FALSE),""))))</f>
        <v>Светильник</v>
      </c>
      <c r="GL52" t="str">
        <f>IF(D52="","",IF(OR(GK52="",GK52=0),"BOX",IFERROR(IF(VLOOKUP(GK52,УГО_блоки,3,FALSE)&amp;""&lt;&gt;"",VLOOKUP(GK52,УГО_блоки,3,FALSE),VLOOKUP(GK52,УГО_блоки,2,FALSE)),GK52)))</f>
        <v>LAMP</v>
      </c>
      <c r="GM52">
        <f t="shared" si="171"/>
        <v>1</v>
      </c>
      <c r="GN52" t="str">
        <f>IF(EP52="","",IF(COUNTIF(EP$3:EP52,EP52)=1,MAX(GN$2:GN51)+1,""))</f>
        <v/>
      </c>
      <c r="GO52" t="str">
        <f>IF(AF52="","",IF(COUNTIF(AF$3:AF52,AF52)+COUNTIF(AG$2:AG51,AF52)+COUNTIF(AH$2:AH51,AF52)=1,MAX(GO$2:GQ51)+1,""))</f>
        <v/>
      </c>
      <c r="GP52" t="str">
        <f>IF(AG52="","",IF(COUNTIF(AF$3:AF52,AG52)+COUNTIF(AG$3:AG52,AG52)+COUNTIF(AH$2:AH51,AG52)=1,MAX(GO$2:GQ51,GO52)+1,""))</f>
        <v/>
      </c>
      <c r="GQ52" t="str">
        <f>IF(AH52="","",IF(COUNTIF(AF$3:AF52,AH52)+COUNTIF(AG$3:AG52,AH52)+COUNTIF(AH$3:AH52,AH52)=1,MAX(GO$2:GQ51,GO52,GP52)+1,""))</f>
        <v/>
      </c>
      <c r="GR52" t="str">
        <f t="shared" si="172"/>
        <v>3х1,5</v>
      </c>
      <c r="GS52" t="str">
        <f>IF(GR52="","",IF(COUNTIF(GR$3:GR52,GR52)=1,MAX(GS$2:GS51)+1,""))</f>
        <v/>
      </c>
      <c r="GT52" t="str">
        <f>IF(ES52="","",COUNTIF(ES$3:ES52,"?*"))</f>
        <v/>
      </c>
      <c r="GU52" t="str">
        <f>IF(OR(ES52="",EU52=""),"",IF(COUNTIFS(ES$3:ES52,"?*",EU$3:EU52,EU52)=1,MAX(GU$2:GU51)+1,""))</f>
        <v/>
      </c>
      <c r="GV52">
        <f t="shared" si="173"/>
        <v>1</v>
      </c>
      <c r="GW52">
        <f>IF(D52="","",COUNTIF(D$3:D52,"?*"))</f>
        <v>32</v>
      </c>
      <c r="GX52">
        <f>IF(EX52&lt;&gt;1,0,_xlfn.LET(_xlpm.k,MAX(IFERROR(--VLOOKUP(D52,УГО_спр,5,FALSE),0),IFERROR(--VLOOKUP(AT52,УГО_спр,5,FALSE),0),IFERROR(--VLOOKUP(LEFT(AT52,2),УГО_спр,5,FALSE),0)),IF(_xlpm.k&gt;0,_xlpm.k,IF(IFERROR(--LEFT(SUBSTITUTE(GR52,"x","х"),FIND("х",SUBSTITUTE(GR52,"x","х"))-1),3)&gt;3,Каталог!$S$9,1))))</f>
        <v>1</v>
      </c>
      <c r="GY52">
        <f t="shared" si="174"/>
        <v>0</v>
      </c>
    </row>
    <row r="53" spans="1:207" x14ac:dyDescent="0.3">
      <c r="A53" t="s">
        <v>206</v>
      </c>
      <c r="B53">
        <v>55</v>
      </c>
      <c r="C53" t="str">
        <f>IF(BD53="","",IF(BE53="вводной узел","узел ","")&amp;"л."&amp;(INT((BD53-1)/Столбцов_на_лист)+1)&amp;" / "&amp;(MOD(BD53-1,Столбцов_на_лист)+1))</f>
        <v>л.4 / 4</v>
      </c>
      <c r="D53" t="s">
        <v>743</v>
      </c>
      <c r="E53" s="133" t="str">
        <f t="shared" si="175"/>
        <v>Группа освещения  Пом. №06</v>
      </c>
      <c r="H53">
        <v>1</v>
      </c>
      <c r="O53">
        <v>3</v>
      </c>
      <c r="T53">
        <v>2</v>
      </c>
      <c r="V53">
        <v>3</v>
      </c>
      <c r="AN53">
        <v>19.21</v>
      </c>
      <c r="AO53" t="s">
        <v>744</v>
      </c>
      <c r="AQ53" t="s">
        <v>710</v>
      </c>
      <c r="AR53" t="str">
        <f t="shared" si="88"/>
        <v>нет мощности</v>
      </c>
      <c r="AS53" cm="1">
        <f t="array" ref="AS53">ROW()-ROW(Линии[#Headers])</f>
        <v>51</v>
      </c>
      <c r="AT53" s="6" t="str">
        <f t="shared" si="89"/>
        <v>L</v>
      </c>
      <c r="AU53" t="str">
        <f t="shared" si="90"/>
        <v>1.06.2</v>
      </c>
      <c r="AV53" t="str">
        <f t="shared" si="91"/>
        <v>1</v>
      </c>
      <c r="AW53" t="str">
        <f t="shared" si="92"/>
        <v>06.2</v>
      </c>
      <c r="AX53" t="str">
        <f t="shared" si="93"/>
        <v>06</v>
      </c>
      <c r="AY53" t="str">
        <f>IF(D53="","",IF(ISERROR(SEARCH(".",D53)),IFERROR(VLOOKUP(D53,Потребители_обозначение,2,FALSE)&amp;"",""),IFERROR(IF(VLOOKUP(AT53,Потребители_обозначение,4,FALSE)=1,VLOOKUP(AT53,Потребители_обозначение,2,FALSE)&amp;" "&amp;VLOOKUP(AV53,Этаж_обозначение,2,FALSE)&amp;" Пом. №"&amp;AX53,VLOOKUP(AT53,Потребители_обозначение,2,FALSE)&amp;" Шлейф №"&amp;AV53),IFERROR(VLOOKUP(D53,Потребители_обозначение,2,FALSE),""))))</f>
        <v>Группа освещения  Пом. №06</v>
      </c>
      <c r="AZ53" t="str">
        <f t="shared" si="94"/>
        <v>Группа освещения  Пом. №06</v>
      </c>
      <c r="BA53" t="str">
        <f>IF(F53&lt;&gt;"",F53,IF(AND(D53&lt;&gt;"",D53&lt;&gt;A53,ISNUMBER(_xlfn.XMATCH(D53,Щиты[Щит]))),D53,""))</f>
        <v/>
      </c>
      <c r="BB53">
        <f>IFERROR(_xlfn.XMATCH(A53,Щиты[Щит]),0)</f>
        <v>1</v>
      </c>
      <c r="BC53">
        <f>IFERROR(N(_xlfn.XLOOKUP(A53,Щиты[Щит],Щиты[Мест под вводной узел])),15)</f>
        <v>18</v>
      </c>
      <c r="BD53">
        <f t="shared" si="95"/>
        <v>55</v>
      </c>
      <c r="BE53" t="str">
        <f t="shared" si="96"/>
        <v>линии</v>
      </c>
      <c r="BF53" s="6">
        <f>IF(D53="","",IF(BA53&lt;&gt;"",IFERROR(_xlfn.XLOOKUP(BA53,Щиты[Щит],Щиты[Руст, кВт]),0),N(G53)))</f>
        <v>0</v>
      </c>
      <c r="BG53">
        <f>IF(J53&lt;&gt;"",J53,IF(D53="","",IFERROR(IF(VLOOKUP(AT53,Потребители_обозначение,8,FALSE)=0,"",VLOOKUP(AT53,Потребители_обозначение,8,FALSE)),"")))</f>
        <v>230</v>
      </c>
      <c r="BH53">
        <f>IF(I53&lt;&gt;"",I53,IF(D53="","",IFERROR(IF(VLOOKUP(AT53,Потребители_обозначение,9,FALSE)=0,"",VLOOKUP(AT53,Потребители_обозначение,9,FALSE)),"")))</f>
        <v>1</v>
      </c>
      <c r="BI53" t="str">
        <f>IF(U53&lt;&gt;"",U53,IF(D53="","",IFERROR(IF(VLOOKUP(AT53,Потребители_обозначение,6,FALSE)=0,"",VLOOKUP(AT53,Потребители_обозначение,6,FALSE)),"")))</f>
        <v>мс</v>
      </c>
      <c r="BJ53">
        <f>IF(V53&lt;&gt;"",V53,IF(D53="","",IFERROR(IF(VLOOKUP(AT53,Потребители_обозначение,7,FALSE)=0,"",VLOOKUP(AT53,Потребители_обозначение,7,FALSE)),"")))</f>
        <v>3</v>
      </c>
      <c r="BK53">
        <f>IF(W53&lt;&gt;"",W53,IF(D53="","",IFERROR(IF(VLOOKUP(AT53,Потребители_обозначение,10,FALSE)=0,"",VLOOKUP(AT53,Потребители_обозначение,10,FALSE)),"")))</f>
        <v>1.5</v>
      </c>
      <c r="BL53">
        <f>IFERROR(VLOOKUP(AT53,Потребители_обозначение,5,FALSE),0)</f>
        <v>1</v>
      </c>
      <c r="BM53" s="6" cm="1">
        <f t="array" ref="BM53">IF(D53="","",IF(BA53&lt;&gt;"",IFERROR(_xlfn.XLOOKUP(BA53,Щиты[Щит],Щиты[cos φ]),0.95),IF(ISNUMBER(M53),M53,IFERROR(IF(BL53=2,_xlfn.IFS(BH53=3,VLOOKUP(BF53,Справочная_двигатели,8,FALSE),BH53=1,VLOOKUP(BF53,Справочная_двигатели,10,TRUE)),IF(AND(Методика="нормы 2026",CN53="Сил"),0.8,0.95)),0.95))))</f>
        <v>0.95</v>
      </c>
      <c r="BN53" s="6" cm="1">
        <f t="array" ref="BN53">IF(D53="","",IF(BA53&lt;&gt;"",IFERROR(_xlfn.XLOOKUP(BA53,Щиты[Щит],Щиты[Iр, А]),""),IFERROR(_xlfn.IFS(BH53=1,BF53/((Uн_лин/SQRT(3))*BM53),BH53=3,BF53/(SQRT(3)*Uн_лин*BM53)),"")))</f>
        <v>0</v>
      </c>
      <c r="BO53">
        <f>IF(D53="","",IF(N(X53)=0,IFERROR(VLOOKUP(BN53,Автомат_номиналы,2,TRUE),""),X53))</f>
        <v>6</v>
      </c>
      <c r="BP53">
        <f t="shared" si="97"/>
        <v>1</v>
      </c>
      <c r="BQ53">
        <f>IF(ISNUMBER(Y53),Y53,К_прокл)</f>
        <v>1</v>
      </c>
      <c r="BR53">
        <f t="shared" si="98"/>
        <v>2</v>
      </c>
      <c r="BS53" cm="1">
        <f t="array" ref="BS53">IF(D53="","",IF(N(BK53)&lt;&gt;0,BK53,IFERROR(_xlfn.LET(_xlpm.need,BO53/(BP53*BQ53),_xlpm.t,CHOOSE(BR53,Iдоп_1ж,Iдоп_2ж,Iдоп_3ж),_xlpm.k,_xlfn.XMATCH(_xlpm.need,_xlpm.t,1),IF(ISNA(_xlpm.k),"Не исп",INDEX(Iдоп_S,_xlpm.k))),"Не исп")))</f>
        <v>1.5</v>
      </c>
      <c r="BT53">
        <f>IFERROR(VLOOKUP(BS53,Кабель_сопротивление,3,FALSE),"")</f>
        <v>2.2499999999999999E-2</v>
      </c>
      <c r="BU53">
        <f>IFERROR(VLOOKUP(BS53,Кабель_сопротивление,2,FALSE),"")</f>
        <v>0.11</v>
      </c>
      <c r="BV53">
        <f t="shared" si="99"/>
        <v>20</v>
      </c>
      <c r="BW53" s="6">
        <f>IF(D53="","",IFERROR(IF(VLOOKUP(AT53,Потребители_обозначение,4,FALSE)=1,VLOOKUP(AT53,Потребители_обозначение,3,FALSE)*(H53*2-1)+BV53+VLOOKUP(AV53,Этаж_обозначение,3,FALSE)+VLOOKUP(AV53,Этаж_обозначение,4,FALSE),VLOOKUP(AT53,Потребители_обозначение,3,FALSE)*(H53*2-1)+BV53),BV53))</f>
        <v>21</v>
      </c>
      <c r="BX53">
        <f t="shared" si="100"/>
        <v>0</v>
      </c>
      <c r="BY53">
        <f t="shared" si="101"/>
        <v>17</v>
      </c>
      <c r="BZ53">
        <f t="shared" si="102"/>
        <v>2</v>
      </c>
      <c r="CA53">
        <f t="shared" si="103"/>
        <v>0.31</v>
      </c>
      <c r="CB53">
        <f t="shared" si="104"/>
        <v>0</v>
      </c>
      <c r="CC53" s="6">
        <f>IFERROR(ROUNDUP(CB53/((Uн_лин/SQRT(3))*1000)*100,2),"")</f>
        <v>0</v>
      </c>
      <c r="CD53" s="6">
        <f>IF(ISNUMBER(CC53),CC53+IFERROR(_xlfn.XLOOKUP(A53,Щиты[Щит],Щиты[ΔU до шин, %]),0),"")</f>
        <v>0</v>
      </c>
      <c r="CE53" s="6">
        <f>IF(D53="","",IF(IFERROR(VLOOKUP(AT53,УГО_спр,2,FALSE),"")="Светильник",3,4)+IF(Методика="нормы 2026",MIN(0.5,MAX(0,N(BW53)-100)*0.005),0))</f>
        <v>3</v>
      </c>
      <c r="CF53" t="str">
        <f>IFERROR(VLOOKUP(BI53,Кабель_обозначение,2,FALSE),"")</f>
        <v>ВВГнг(А)-LS</v>
      </c>
      <c r="CG53" t="str">
        <f>IFERROR(IF(VLOOKUP(BI53,Кабель_обозначение,3,FALSE)=1,CF53&amp;" ("&amp;BJ53&amp;"х"&amp;BS53&amp;")",CF53),"")</f>
        <v>ВВГнг(А)-LS (3х1,5)</v>
      </c>
      <c r="CH53" t="str">
        <f t="shared" si="105"/>
        <v>ВВГнг(А)-LS (3х1,5)
L=21-0%</v>
      </c>
      <c r="CI53">
        <f>IFERROR(2*ρкз_Cu*BW53/BS53,"")</f>
        <v>0.73640000000000005</v>
      </c>
      <c r="CJ53">
        <f t="shared" si="106"/>
        <v>0.24500000000000002</v>
      </c>
      <c r="CK53" s="6" t="str">
        <f>IFERROR(IF(OR(D53="",NOT(ISNUMBER(BS53)),N(BW53)=0),"",_xlfn.XLOOKUP(A53,Щиты[Щит],Щиты[Zпетли на шинах, Ом])+CI53),"")</f>
        <v/>
      </c>
      <c r="CL53" s="6" t="str">
        <f>IF(ISNUMBER(CK53),c_min*(Uн_лин*1000/SQRT(3))/CK53,"")</f>
        <v/>
      </c>
      <c r="CM53" s="6" t="str">
        <f>IFERROR(IF(OR(D53="",NOT(ISNUMBER(BS53))),"",1.05*(Uн_лин*1000/SQRT(3))/(_xlfn.XLOOKUP(A53,Щиты[Щит],Щиты[Zmax на шинах, Ом])+CJ53)/1000),"")</f>
        <v/>
      </c>
      <c r="CN53" s="6" t="str">
        <f>IF(D53="","",IF(BA53&lt;&gt;"","Щит",IF(K53&lt;&gt;"",K53,IF(ISNUMBER(L53),"Сил",IF(IFERROR(_xlfn.XLOOKUP(AT53,Коды_код,Коды_группа)&amp;"","")="","Быт",_xlfn.XLOOKUP(AT53,Коды_код,Коды_группа)&amp;"")))))</f>
        <v>Быт</v>
      </c>
      <c r="CO53" s="6">
        <f>IF(CN53="Щит","щит",IF(CN53="","",IF(CN53="Быт",IFERROR(_xlfn.XLOOKUP(A53,Щиты[Щит],Щиты[Кс быт]),1),IF(CN53="Сил",IF(ISNUMBER(L53),L53,IF(Методика="нормы 2026",IFERROR(_xlfn.XLOOKUP(A53,Щиты[Щит],Щиты[Кс силовых (табл. 7.5)]),1),1)),IF(OR(CN53="Пост",CN53="Отоп"),1,IF(CN53="ВНГ",0.7,0))))))</f>
        <v>0.8</v>
      </c>
      <c r="CP53">
        <f t="shared" si="107"/>
        <v>1</v>
      </c>
      <c r="CQ53">
        <f t="shared" si="108"/>
        <v>0</v>
      </c>
      <c r="CR53">
        <f t="shared" si="109"/>
        <v>0</v>
      </c>
      <c r="CS53">
        <f t="shared" si="110"/>
        <v>0</v>
      </c>
      <c r="CT53">
        <f t="shared" si="111"/>
        <v>0</v>
      </c>
      <c r="CU53">
        <f t="shared" si="112"/>
        <v>0</v>
      </c>
      <c r="CV53">
        <f t="shared" si="113"/>
        <v>0</v>
      </c>
      <c r="CW53">
        <f t="shared" si="114"/>
        <v>0</v>
      </c>
      <c r="CX53">
        <f t="shared" si="115"/>
        <v>0</v>
      </c>
      <c r="CY53">
        <f t="shared" si="116"/>
        <v>2</v>
      </c>
      <c r="CZ53" t="str">
        <f t="shared" si="117"/>
        <v>L2</v>
      </c>
      <c r="DA53" cm="1">
        <f t="array" ref="DA53">IFERROR(IF(BL53=2,_xlfn.IFS(BH53=3,VLOOKUP(BF53,Справочная_двигатели,3,FALSE),BH53=1,VLOOKUP(BF53,Справочная_двигатели,5,TRUE)),0),0)</f>
        <v>0</v>
      </c>
      <c r="DB53">
        <f>IFERROR(IF(BL53=3,VLOOKUP(BF53,Справочная_ЛЭД,2,TRUE),0),0)</f>
        <v>0</v>
      </c>
      <c r="DC53" s="6">
        <f t="shared" si="118"/>
        <v>0</v>
      </c>
      <c r="DD53" t="str">
        <f t="shared" si="119"/>
        <v>L3</v>
      </c>
      <c r="DE53" t="str" cm="1">
        <f t="array" ref="DE53">IF(D53="","",IFERROR(INDEX({"I особая","I","II","III"},MATCH(TRIM(AA53&amp;""),{"I особая","I","II","III"},0)),"III"))</f>
        <v>III</v>
      </c>
      <c r="DF53" t="str">
        <f>IF(D53="","",IF(TRIM(AB53&amp;"")&lt;&gt;"",IF(LOWER(TRIM(AB53&amp;""))="да","да","нет"),IF(IFERROR(_xlfn.XLOOKUP(AT53,Коды_код,Коды_пожарная),"")="да","да","нет")))</f>
        <v>нет</v>
      </c>
      <c r="DG53" t="str">
        <f t="shared" si="120"/>
        <v/>
      </c>
      <c r="DH53" t="str">
        <f t="shared" si="121"/>
        <v>основная</v>
      </c>
      <c r="DI53">
        <f t="shared" si="122"/>
        <v>1</v>
      </c>
      <c r="DJ53" t="str" cm="1">
        <f t="array" ref="DJ53">IF(D53="","",_xlfn.LET(_xlpm.t,IFERROR(_xlfn.XLOOKUP(1,(Шины[Шина]=DH53)*(((Шины[Щит]=A53)+(Шины[Щит]=""))&gt;0),Шины[Тип]),"")&amp;"",IF(_xlpm.t&lt;&gt;"",_xlpm.t,IF(ISNUMBER(SEARCH("ИБП",DH53)),"ИБП",IF(ISNUMBER(SEARCH("ДГУ",DH53)),"ДГУ","Ввод "&amp;DI53)))))</f>
        <v>Ввод 1</v>
      </c>
      <c r="DK53" t="str">
        <f t="shared" si="123"/>
        <v>Ввод 1</v>
      </c>
      <c r="DL53" t="str">
        <f>IF(D53="","",IF(OR(DJ53="ИБП",DJ53="ДГУ"),"I особая",IF(DJ53="Одиночная","III",_xlfn.XLOOKUP(A53,Щиты[Щит],Щиты[Категория шины «Ввод»],"III"))))</f>
        <v>III</v>
      </c>
      <c r="DM53">
        <f>IF(D53="",0,IFERROR(MATCH(DE53,{"III","II","I","I особая"},0),1))</f>
        <v>1</v>
      </c>
      <c r="DN53">
        <f t="shared" si="124"/>
        <v>1</v>
      </c>
      <c r="DO53" t="str">
        <f>IF(D53="","",IF(DM53&gt;IFERROR(MATCH(DL53,{"III","II","I","I особая"},0),1),"НЕ ОБЕСПЕЧЕНА","ОК"))</f>
        <v>ОК</v>
      </c>
      <c r="DP53" t="str">
        <f>IF(A53="","",_xlfn.XLOOKUP(A53,Щиты[Щит],Щиты[Путь],""))</f>
        <v>|ЩР|</v>
      </c>
      <c r="DQ53" t="str">
        <f>IF(D53="","",IF(Z53&lt;&gt;"",Z53,IF(IFERROR(_xlfn.XLOOKUP(AT53,Коды_код,Коды_вид)&amp;"","")="","Прочее",_xlfn.XLOOKUP(AT53,Коды_код,Коды_вид)&amp;"")))</f>
        <v>Рабочее освещение</v>
      </c>
      <c r="DR53">
        <f>IF(BD53="","",INT((BD53-1)/Столбцов_на_лист)+1)</f>
        <v>4</v>
      </c>
      <c r="DS53" t="str">
        <f t="shared" si="125"/>
        <v>ВВГнг(А)-LS (3х1,5) L=21-0%</v>
      </c>
      <c r="DT53">
        <f t="shared" si="126"/>
        <v>0</v>
      </c>
      <c r="DU53">
        <f t="shared" si="127"/>
        <v>0</v>
      </c>
      <c r="DV53">
        <f t="shared" si="128"/>
        <v>1</v>
      </c>
      <c r="DW53">
        <f>IF(AT53="",0,_xlfn.LET(_xlpm.v,IFERROR(VLOOKUP(D53,УГО_спр,3,FALSE),IFERROR(VLOOKUP(AT53,УГО_спр,3,FALSE),IFERROR(VLOOKUP(LEFT(AT53,2),УГО_спр,3,FALSE),""))),IF(_xlpm.v="да",30,IF(ISNUMBER(_xlpm.v),_xlpm.v,0))))</f>
        <v>0</v>
      </c>
      <c r="DX53">
        <f t="shared" si="129"/>
        <v>0</v>
      </c>
      <c r="DY53">
        <f>IF(BD53="","",IF(AD53&lt;&gt;"",COUNTIFS(A$3:A53,A53,AD$3:AD53,"?*"),IF(OR(OR(AS53=1,A53&lt;&gt;A52),AL53="вручную"),"",IF(AS53=1,"",DZ52))))</f>
        <v>30</v>
      </c>
      <c r="DZ53">
        <f t="shared" si="130"/>
        <v>30</v>
      </c>
      <c r="EA53">
        <f>IF(D53="",0,MAX(IFERROR(--X53,0),IFERROR(--VLOOKUP(D53,УГО_спр,4,FALSE),IFERROR(--VLOOKUP(AT53,УГО_спр,4,FALSE),IFERROR(--VLOOKUP(LEFT(AT53,2),УГО_спр,4,FALSE),0)))))</f>
        <v>10</v>
      </c>
      <c r="EB53">
        <f>IF(D53="","",IFERROR(LOOKUP(INDEX(CHOOSE(BR53,Iдоп_1ж,Iдоп_2ж,Iдоп_3ж),MATCH(BS53,Iдоп_S,0))*BP53*BQ53,{6,10,16,20,25,32,40,50,63,80,100,125,160,200,250,315,400,500,630}),""))</f>
        <v>16</v>
      </c>
      <c r="EC53" t="str">
        <f>IF(AD53="","",SUMIFS(Линии[_Ток схемы],Линии[_гр.],DY53,Линии[Щит],A53,Линии[_в кабель выше],0))</f>
        <v/>
      </c>
      <c r="ED53" t="str">
        <f>IF(AD53="","",IFERROR(VLOOKUP(EC53,Автомат_номиналы,2,TRUE),""))</f>
        <v/>
      </c>
      <c r="EE53" t="str">
        <f>IF(AD53="","",MAX(N(ED53),_xlfn.MAXIFS(Линии[_мин. по типу],Линии[_гр.],DY53,Линии[Щит],A53)))</f>
        <v/>
      </c>
      <c r="EF53" t="str">
        <f>IF(AD53="","",_xlfn.MINIFS(Линии[_макс. автомат по кабелю],Линии[_гр.],DY53,Линии[Щит],A53))</f>
        <v/>
      </c>
      <c r="EG53" t="str">
        <f>IF(AD53="","",MAX(1,_xlfn.MAXIFS(Линии[_фаз],Линии[_гр.],DY53,Линии[Щит],A53)))</f>
        <v/>
      </c>
      <c r="EH53" t="str">
        <f>IF(AD53="","",IF(AND(AD53&lt;&gt;"авто",AD53&lt;&gt;"+"),IF(ISNUMBER(SEARCH("мА",AD53)),IFERROR(--TRIM(RIGHT(SUBSTITUTE(LEFT(AD53,SEARCH("мА",AD53)-1)," ",REPT(" ",9)),6)),30),0),IF(AE53="нет",0,IF(ISNUMBER(AE53),AE53,IF(AE53="да",30,_xlfn.MINIFS(Линии[_дифзащита по коду, мА],Линии[_гр.],DY53,Линии[Щит],A53,Линии[_дифзащита по коду, мА],"&gt;0"))))))</f>
        <v/>
      </c>
      <c r="EI53" t="str">
        <f t="shared" si="131"/>
        <v/>
      </c>
      <c r="EJ53" t="str">
        <f t="shared" si="132"/>
        <v/>
      </c>
      <c r="EK53" t="str">
        <f t="shared" si="133"/>
        <v>QF30</v>
      </c>
      <c r="EL53" t="str">
        <f t="shared" si="134"/>
        <v/>
      </c>
      <c r="EM53">
        <f t="shared" si="135"/>
        <v>0</v>
      </c>
      <c r="EN53" t="str">
        <f>IF(AD53="","",IF(EM53=1,MAX(EE53,Мин_автомат_БП),EE53))</f>
        <v/>
      </c>
      <c r="EO53" t="str">
        <f t="shared" si="136"/>
        <v/>
      </c>
      <c r="EP53" t="str">
        <f t="shared" si="137"/>
        <v/>
      </c>
      <c r="EQ53" t="str">
        <f t="shared" si="138"/>
        <v/>
      </c>
      <c r="ER53" t="str">
        <f>IF(OR(AI53="",AI53="-"),"",IFERROR(VLOOKUP(AI53,Модули_спр,2,FALSE),"R"))</f>
        <v/>
      </c>
      <c r="ES53" t="str">
        <f>IF(ER53="","",ER53&amp;"."&amp;COUNTIFS(A$3:A53,A53,ER$3:ER53,ER53))</f>
        <v/>
      </c>
      <c r="ET53" t="str">
        <f t="shared" si="139"/>
        <v>R.1</v>
      </c>
      <c r="EU53" t="str">
        <f t="shared" si="140"/>
        <v>ZIOMB24V2</v>
      </c>
      <c r="EV53">
        <f t="shared" si="141"/>
        <v>3</v>
      </c>
      <c r="EW53">
        <f t="shared" si="142"/>
        <v>3</v>
      </c>
      <c r="EX53">
        <f t="shared" si="143"/>
        <v>1</v>
      </c>
      <c r="EY53" t="str">
        <f>IF(AK53="нет","",IF(AK53&lt;&gt;"",AK53,IF(EX53=1,"XT"&amp;COUNTIFS(A$3:A53,A53,EX$3:EX53,1),"")))</f>
        <v>XT33</v>
      </c>
      <c r="EZ53" t="str">
        <f t="shared" si="144"/>
        <v>QF30</v>
      </c>
      <c r="FA53" t="str">
        <f t="shared" si="145"/>
        <v>R.1</v>
      </c>
      <c r="FB53" t="str">
        <f t="shared" si="146"/>
        <v/>
      </c>
      <c r="FC53" t="str">
        <f>IF(OR(EV53="",ET53=""),"",IF(EV53&gt;IFERROR(VLOOKUP(EU53,Модули_спр,3,FALSE),99),"ЛИШНИЙ КАНАЛ",IF(AND(AJ53&lt;&gt;"=",COUNTIFS(Линии[_модуль гр.],ET53,Линии[Канал (итог)],EV53,Линии[Канал],"&lt;&gt;=",Линии[Щит],A53)&gt;1),"ДУБЛЬ КАНАЛА","")))</f>
        <v/>
      </c>
      <c r="FD53">
        <f t="shared" si="147"/>
        <v>10</v>
      </c>
      <c r="FE53" t="str">
        <f t="shared" si="148"/>
        <v>1P С10А</v>
      </c>
      <c r="FF53">
        <f t="shared" si="149"/>
        <v>0</v>
      </c>
      <c r="FG53">
        <f t="shared" si="150"/>
        <v>0</v>
      </c>
      <c r="FH53" s="6" t="str">
        <f t="shared" si="151"/>
        <v/>
      </c>
      <c r="FI53">
        <f t="shared" si="152"/>
        <v>10</v>
      </c>
      <c r="FJ53" t="str">
        <f t="shared" si="153"/>
        <v/>
      </c>
      <c r="FK53" t="str">
        <f>IF(AND(D53="",EZ53=""),"",_xlfn.TEXTJOIN("; ",TRUE,IF(AND(D53&lt;&gt;"",DD53=""),"нет фазы",""),IF(AND(D53&lt;&gt;"",N(DT53)=0,CN53&lt;&gt;"Нет"),"нет мощности",""),IF(AND(EY53&lt;&gt;"",COUNTIFS(Линии[Щит],A53,Линии[Клемма (итог)],EY53)&gt;1),"дубль клеммы "&amp;EY53,""),IF(AND(FB53&lt;&gt;"",FB53&lt;&gt;"ok"),FB53,""),IF(FC53&lt;&gt;"",FC53,""),IF(AND(ISNUMBER(SEARCH("(5х",DS53)),N(DV53)=1),"5 жил на 1 фазе",""),IF(AND(AT53="R",AD53&lt;&gt;"",OR(N(EH53)=0,N(EH53)&gt;30)),"розетка без дифзащиты до 30 мА",""),IFERROR(IF(AND(ISNUMBER(CD53),CD53&gt;CE53),"потери "&amp;FIXED(CD53,1)&amp;" % &gt; "&amp;CE53&amp;" %",""),""),IFERROR(IF(LEFT(FJ53,4)="мало","Iкз мало — отключение &gt; 0,4 с",""),""),IF(AND(D53&lt;&gt;"",BD53=""),"не на схеме","")))</f>
        <v>нет мощности</v>
      </c>
      <c r="FL53" s="6" t="str">
        <f>IF(AD53="","",_xlfn.LET(_xlpm.t,IFERROR(_xlfn.XLOOKUP(EP53,Каталог!$U$4:$U$500,Каталог!$G$4:$G$500),""),_xlpm.k,SEARCH("кА",_xlpm.t),IFERROR(--TRIM(RIGHT(SUBSTITUTE(MID(_xlpm.t,MAX(1,_xlpm.k-4),_xlpm.k-MAX(1,_xlpm.k-4))," ",REPT(" ",9)),5)),"")))</f>
        <v/>
      </c>
      <c r="FM53" t="str">
        <f>IF(OR(FL53="",AD53=""),"",IF(_xlfn.XLOOKUP(A53,Щиты[Щит],Щиты[Iкз max на шинах, кА],"")="","",IF(FL53&lt;_xlfn.XLOOKUP(A53,Щиты[Щит],Щиты[Iкз max на шинах, кА]),"Icu "&amp;FL53&amp;" кА &lt; Iкз max","ok")))</f>
        <v/>
      </c>
      <c r="FN53" t="str">
        <f t="shared" si="154"/>
        <v>QF30|R.1 к.3|XT33</v>
      </c>
      <c r="FO53" t="str">
        <f t="shared" si="155"/>
        <v>QF30|R.1 к.3|XT33|кабель ВВГнг(А)-LS (3х1,5) → Группа освещения  Пом. №06</v>
      </c>
      <c r="FP53" t="str" cm="1">
        <f t="array" ref="FP53">IF(FO53="","",_xlfn.LET(_xlpm.nd,_xlfn.TEXTSPLIT(FO53,"|"),IF(COLUMNS(_xlpm.nd)&gt;1,A53&amp;"¦"&amp;INDEX(_xlpm.nd,1)&amp;"¦"&amp;INDEX(_xlpm.nd,2),"")))</f>
        <v>ЩР¦QF30¦R.1 к.3</v>
      </c>
      <c r="FQ53" t="str">
        <f t="shared" si="156"/>
        <v>L.1.06.2¦Группа освещения  Пом. №06</v>
      </c>
      <c r="FR53" t="str" cm="1">
        <f t="array" ref="FR53">IF(FO53="","",_xlfn.LET(_xlpm.nd,_xlfn.TEXTSPLIT(FO53,"|"),IF(COLUMNS(_xlpm.nd)&gt;2,A53&amp;"¦"&amp;INDEX(_xlpm.nd,2)&amp;"¦"&amp;INDEX(_xlpm.nd,3),"")))</f>
        <v>ЩР¦R.1 к.3¦XT33</v>
      </c>
      <c r="FS53" t="str">
        <f t="shared" si="157"/>
        <v>L.1.06.2¦Группа освещения  Пом. №06</v>
      </c>
      <c r="FT53" t="str" cm="1">
        <f t="array" ref="FT53">IF(FO53="","",_xlfn.LET(_xlpm.nd,_xlfn.TEXTSPLIT(FO53,"|"),IF(COLUMNS(_xlpm.nd)&gt;3,A53&amp;"¦"&amp;INDEX(_xlpm.nd,3)&amp;"¦"&amp;INDEX(_xlpm.nd,4),"")))</f>
        <v>ЩР¦XT33¦кабель ВВГнг(А)-LS (3х1,5) → Группа освещения  Пом. №06</v>
      </c>
      <c r="FU53" t="str">
        <f t="shared" si="158"/>
        <v>L.1.06.2¦Группа освещения  Пом. №06</v>
      </c>
      <c r="FV53" t="str" cm="1">
        <f t="array" ref="FV53">IF(FO53="","",_xlfn.LET(_xlpm.nd,_xlfn.TEXTSPLIT(FO53,"|"),IF(COLUMNS(_xlpm.nd)&gt;4,A53&amp;"¦"&amp;INDEX(_xlpm.nd,4)&amp;"¦"&amp;INDEX(_xlpm.nd,5),"")))</f>
        <v/>
      </c>
      <c r="FW53" t="str">
        <f t="shared" si="159"/>
        <v/>
      </c>
      <c r="FX53" t="str" cm="1">
        <f t="array" ref="FX53">IF(FO53="","",_xlfn.LET(_xlpm.nd,_xlfn.TEXTSPLIT(FO53,"|"),IF(COLUMNS(_xlpm.nd)&gt;5,A53&amp;"¦"&amp;INDEX(_xlpm.nd,5)&amp;"¦"&amp;INDEX(_xlpm.nd,6),"")))</f>
        <v/>
      </c>
      <c r="FY53" t="str">
        <f t="shared" si="160"/>
        <v/>
      </c>
      <c r="FZ53" t="str" cm="1">
        <f t="array" ref="FZ53">IF(FO53="","",_xlfn.LET(_xlpm.nd,_xlfn.TEXTSPLIT(FO53,"|"),IF(COLUMNS(_xlpm.nd)&gt;6,A53&amp;"¦"&amp;INDEX(_xlpm.nd,6)&amp;"¦"&amp;INDEX(_xlpm.nd,7),"")))</f>
        <v/>
      </c>
      <c r="GA53" t="str">
        <f t="shared" si="161"/>
        <v/>
      </c>
      <c r="GB53" t="str">
        <f t="shared" si="162"/>
        <v>ZIOMB24V2</v>
      </c>
      <c r="GC53" t="str">
        <f t="shared" si="163"/>
        <v>QF30 → R.1 к.3 → XT33</v>
      </c>
      <c r="GD53">
        <f t="shared" si="164"/>
        <v>1</v>
      </c>
      <c r="GE53">
        <f t="shared" si="165"/>
        <v>0</v>
      </c>
      <c r="GF53">
        <f t="shared" si="166"/>
        <v>0</v>
      </c>
      <c r="GG53" t="str">
        <f t="shared" si="167"/>
        <v/>
      </c>
      <c r="GH53" t="str">
        <f t="shared" si="168"/>
        <v/>
      </c>
      <c r="GI53" t="str">
        <f t="shared" si="169"/>
        <v/>
      </c>
      <c r="GJ53" t="str">
        <f t="shared" si="170"/>
        <v/>
      </c>
      <c r="GK53" t="str">
        <f>IF(D53="","",IFERROR(VLOOKUP(D53,УГО_спр,2,FALSE),IFERROR(VLOOKUP(AT53,УГО_спр,2,FALSE),IFERROR(VLOOKUP(LEFT(AT53,2),УГО_спр,2,FALSE),""))))</f>
        <v>Светильник</v>
      </c>
      <c r="GL53" t="str">
        <f>IF(D53="","",IF(OR(GK53="",GK53=0),"BOX",IFERROR(IF(VLOOKUP(GK53,УГО_блоки,3,FALSE)&amp;""&lt;&gt;"",VLOOKUP(GK53,УГО_блоки,3,FALSE),VLOOKUP(GK53,УГО_блоки,2,FALSE)),GK53)))</f>
        <v>LAMP</v>
      </c>
      <c r="GM53">
        <f t="shared" si="171"/>
        <v>1</v>
      </c>
      <c r="GN53" t="str">
        <f>IF(EP53="","",IF(COUNTIF(EP$3:EP53,EP53)=1,MAX(GN$2:GN52)+1,""))</f>
        <v/>
      </c>
      <c r="GO53" t="str">
        <f>IF(AF53="","",IF(COUNTIF(AF$3:AF53,AF53)+COUNTIF(AG$2:AG52,AF53)+COUNTIF(AH$2:AH52,AF53)=1,MAX(GO$2:GQ52)+1,""))</f>
        <v/>
      </c>
      <c r="GP53" t="str">
        <f>IF(AG53="","",IF(COUNTIF(AF$3:AF53,AG53)+COUNTIF(AG$3:AG53,AG53)+COUNTIF(AH$2:AH52,AG53)=1,MAX(GO$2:GQ52,GO53)+1,""))</f>
        <v/>
      </c>
      <c r="GQ53" t="str">
        <f>IF(AH53="","",IF(COUNTIF(AF$3:AF53,AH53)+COUNTIF(AG$3:AG53,AH53)+COUNTIF(AH$3:AH53,AH53)=1,MAX(GO$2:GQ52,GO53,GP53)+1,""))</f>
        <v/>
      </c>
      <c r="GR53" t="str">
        <f t="shared" si="172"/>
        <v>3х1,5</v>
      </c>
      <c r="GS53" t="str">
        <f>IF(GR53="","",IF(COUNTIF(GR$3:GR53,GR53)=1,MAX(GS$2:GS52)+1,""))</f>
        <v/>
      </c>
      <c r="GT53" t="str">
        <f>IF(ES53="","",COUNTIF(ES$3:ES53,"?*"))</f>
        <v/>
      </c>
      <c r="GU53" t="str">
        <f>IF(OR(ES53="",EU53=""),"",IF(COUNTIFS(ES$3:ES53,"?*",EU$3:EU53,EU53)=1,MAX(GU$2:GU52)+1,""))</f>
        <v/>
      </c>
      <c r="GV53">
        <f t="shared" si="173"/>
        <v>1</v>
      </c>
      <c r="GW53">
        <f>IF(D53="","",COUNTIF(D$3:D53,"?*"))</f>
        <v>33</v>
      </c>
      <c r="GX53">
        <f>IF(EX53&lt;&gt;1,0,_xlfn.LET(_xlpm.k,MAX(IFERROR(--VLOOKUP(D53,УГО_спр,5,FALSE),0),IFERROR(--VLOOKUP(AT53,УГО_спр,5,FALSE),0),IFERROR(--VLOOKUP(LEFT(AT53,2),УГО_спр,5,FALSE),0)),IF(_xlpm.k&gt;0,_xlpm.k,IF(IFERROR(--LEFT(SUBSTITUTE(GR53,"x","х"),FIND("х",SUBSTITUTE(GR53,"x","х"))-1),3)&gt;3,Каталог!$S$9,1))))</f>
        <v>1</v>
      </c>
      <c r="GY53">
        <f t="shared" si="174"/>
        <v>0</v>
      </c>
    </row>
    <row r="54" spans="1:207" x14ac:dyDescent="0.3">
      <c r="A54" t="s">
        <v>206</v>
      </c>
      <c r="B54">
        <v>56</v>
      </c>
      <c r="C54" t="str">
        <f>IF(BD54="","",IF(BE54="вводной узел","узел ","")&amp;"л."&amp;(INT((BD54-1)/Столбцов_на_лист)+1)&amp;" / "&amp;(MOD(BD54-1,Столбцов_на_лист)+1))</f>
        <v>л.4 / 5</v>
      </c>
      <c r="D54" t="s">
        <v>745</v>
      </c>
      <c r="E54" s="133" t="str">
        <f t="shared" si="175"/>
        <v>Группа освещения  Пом. №08</v>
      </c>
      <c r="H54">
        <v>1</v>
      </c>
      <c r="O54">
        <v>1</v>
      </c>
      <c r="T54">
        <v>2</v>
      </c>
      <c r="V54">
        <v>3</v>
      </c>
      <c r="AN54">
        <v>10.99</v>
      </c>
      <c r="AO54" t="s">
        <v>746</v>
      </c>
      <c r="AQ54" t="s">
        <v>710</v>
      </c>
      <c r="AR54" t="str">
        <f t="shared" si="88"/>
        <v>нет мощности</v>
      </c>
      <c r="AS54" cm="1">
        <f t="array" ref="AS54">ROW()-ROW(Линии[#Headers])</f>
        <v>52</v>
      </c>
      <c r="AT54" s="6" t="str">
        <f t="shared" si="89"/>
        <v>L</v>
      </c>
      <c r="AU54" t="str">
        <f t="shared" si="90"/>
        <v>1.08.2</v>
      </c>
      <c r="AV54" t="str">
        <f t="shared" si="91"/>
        <v>1</v>
      </c>
      <c r="AW54" t="str">
        <f t="shared" si="92"/>
        <v>08.2</v>
      </c>
      <c r="AX54" t="str">
        <f t="shared" si="93"/>
        <v>08</v>
      </c>
      <c r="AY54" t="str">
        <f>IF(D54="","",IF(ISERROR(SEARCH(".",D54)),IFERROR(VLOOKUP(D54,Потребители_обозначение,2,FALSE)&amp;"",""),IFERROR(IF(VLOOKUP(AT54,Потребители_обозначение,4,FALSE)=1,VLOOKUP(AT54,Потребители_обозначение,2,FALSE)&amp;" "&amp;VLOOKUP(AV54,Этаж_обозначение,2,FALSE)&amp;" Пом. №"&amp;AX54,VLOOKUP(AT54,Потребители_обозначение,2,FALSE)&amp;" Шлейф №"&amp;AV54),IFERROR(VLOOKUP(D54,Потребители_обозначение,2,FALSE),""))))</f>
        <v>Группа освещения  Пом. №08</v>
      </c>
      <c r="AZ54" t="str">
        <f t="shared" si="94"/>
        <v>Группа освещения  Пом. №08</v>
      </c>
      <c r="BA54" t="str">
        <f>IF(F54&lt;&gt;"",F54,IF(AND(D54&lt;&gt;"",D54&lt;&gt;A54,ISNUMBER(_xlfn.XMATCH(D54,Щиты[Щит]))),D54,""))</f>
        <v/>
      </c>
      <c r="BB54">
        <f>IFERROR(_xlfn.XMATCH(A54,Щиты[Щит]),0)</f>
        <v>1</v>
      </c>
      <c r="BC54">
        <f>IFERROR(N(_xlfn.XLOOKUP(A54,Щиты[Щит],Щиты[Мест под вводной узел])),15)</f>
        <v>18</v>
      </c>
      <c r="BD54">
        <f t="shared" si="95"/>
        <v>56</v>
      </c>
      <c r="BE54" t="str">
        <f t="shared" si="96"/>
        <v>линии</v>
      </c>
      <c r="BF54" s="6">
        <f>IF(D54="","",IF(BA54&lt;&gt;"",IFERROR(_xlfn.XLOOKUP(BA54,Щиты[Щит],Щиты[Руст, кВт]),0),N(G54)))</f>
        <v>0</v>
      </c>
      <c r="BG54">
        <f>IF(J54&lt;&gt;"",J54,IF(D54="","",IFERROR(IF(VLOOKUP(AT54,Потребители_обозначение,8,FALSE)=0,"",VLOOKUP(AT54,Потребители_обозначение,8,FALSE)),"")))</f>
        <v>230</v>
      </c>
      <c r="BH54">
        <f>IF(I54&lt;&gt;"",I54,IF(D54="","",IFERROR(IF(VLOOKUP(AT54,Потребители_обозначение,9,FALSE)=0,"",VLOOKUP(AT54,Потребители_обозначение,9,FALSE)),"")))</f>
        <v>1</v>
      </c>
      <c r="BI54" t="str">
        <f>IF(U54&lt;&gt;"",U54,IF(D54="","",IFERROR(IF(VLOOKUP(AT54,Потребители_обозначение,6,FALSE)=0,"",VLOOKUP(AT54,Потребители_обозначение,6,FALSE)),"")))</f>
        <v>мс</v>
      </c>
      <c r="BJ54">
        <f>IF(V54&lt;&gt;"",V54,IF(D54="","",IFERROR(IF(VLOOKUP(AT54,Потребители_обозначение,7,FALSE)=0,"",VLOOKUP(AT54,Потребители_обозначение,7,FALSE)),"")))</f>
        <v>3</v>
      </c>
      <c r="BK54">
        <f>IF(W54&lt;&gt;"",W54,IF(D54="","",IFERROR(IF(VLOOKUP(AT54,Потребители_обозначение,10,FALSE)=0,"",VLOOKUP(AT54,Потребители_обозначение,10,FALSE)),"")))</f>
        <v>1.5</v>
      </c>
      <c r="BL54">
        <f>IFERROR(VLOOKUP(AT54,Потребители_обозначение,5,FALSE),0)</f>
        <v>1</v>
      </c>
      <c r="BM54" s="6" cm="1">
        <f t="array" ref="BM54">IF(D54="","",IF(BA54&lt;&gt;"",IFERROR(_xlfn.XLOOKUP(BA54,Щиты[Щит],Щиты[cos φ]),0.95),IF(ISNUMBER(M54),M54,IFERROR(IF(BL54=2,_xlfn.IFS(BH54=3,VLOOKUP(BF54,Справочная_двигатели,8,FALSE),BH54=1,VLOOKUP(BF54,Справочная_двигатели,10,TRUE)),IF(AND(Методика="нормы 2026",CN54="Сил"),0.8,0.95)),0.95))))</f>
        <v>0.95</v>
      </c>
      <c r="BN54" s="6" cm="1">
        <f t="array" ref="BN54">IF(D54="","",IF(BA54&lt;&gt;"",IFERROR(_xlfn.XLOOKUP(BA54,Щиты[Щит],Щиты[Iр, А]),""),IFERROR(_xlfn.IFS(BH54=1,BF54/((Uн_лин/SQRT(3))*BM54),BH54=3,BF54/(SQRT(3)*Uн_лин*BM54)),"")))</f>
        <v>0</v>
      </c>
      <c r="BO54">
        <f>IF(D54="","",IF(N(X54)=0,IFERROR(VLOOKUP(BN54,Автомат_номиналы,2,TRUE),""),X54))</f>
        <v>6</v>
      </c>
      <c r="BP54">
        <f t="shared" si="97"/>
        <v>1</v>
      </c>
      <c r="BQ54">
        <f>IF(ISNUMBER(Y54),Y54,К_прокл)</f>
        <v>1</v>
      </c>
      <c r="BR54">
        <f t="shared" si="98"/>
        <v>2</v>
      </c>
      <c r="BS54" cm="1">
        <f t="array" ref="BS54">IF(D54="","",IF(N(BK54)&lt;&gt;0,BK54,IFERROR(_xlfn.LET(_xlpm.need,BO54/(BP54*BQ54),_xlpm.t,CHOOSE(BR54,Iдоп_1ж,Iдоп_2ж,Iдоп_3ж),_xlpm.k,_xlfn.XMATCH(_xlpm.need,_xlpm.t,1),IF(ISNA(_xlpm.k),"Не исп",INDEX(Iдоп_S,_xlpm.k))),"Не исп")))</f>
        <v>1.5</v>
      </c>
      <c r="BT54">
        <f>IFERROR(VLOOKUP(BS54,Кабель_сопротивление,3,FALSE),"")</f>
        <v>2.2499999999999999E-2</v>
      </c>
      <c r="BU54">
        <f>IFERROR(VLOOKUP(BS54,Кабель_сопротивление,2,FALSE),"")</f>
        <v>0.11</v>
      </c>
      <c r="BV54">
        <f t="shared" si="99"/>
        <v>11</v>
      </c>
      <c r="BW54" s="6">
        <f>IF(D54="","",IFERROR(IF(VLOOKUP(AT54,Потребители_обозначение,4,FALSE)=1,VLOOKUP(AT54,Потребители_обозначение,3,FALSE)*(H54*2-1)+BV54+VLOOKUP(AV54,Этаж_обозначение,3,FALSE)+VLOOKUP(AV54,Этаж_обозначение,4,FALSE),VLOOKUP(AT54,Потребители_обозначение,3,FALSE)*(H54*2-1)+BV54),BV54))</f>
        <v>12</v>
      </c>
      <c r="BX54">
        <f t="shared" si="100"/>
        <v>0</v>
      </c>
      <c r="BY54">
        <f t="shared" si="101"/>
        <v>8</v>
      </c>
      <c r="BZ54">
        <f t="shared" si="102"/>
        <v>2</v>
      </c>
      <c r="CA54">
        <f t="shared" si="103"/>
        <v>0.31</v>
      </c>
      <c r="CB54">
        <f t="shared" si="104"/>
        <v>0</v>
      </c>
      <c r="CC54" s="6">
        <f>IFERROR(ROUNDUP(CB54/((Uн_лин/SQRT(3))*1000)*100,2),"")</f>
        <v>0</v>
      </c>
      <c r="CD54" s="6">
        <f>IF(ISNUMBER(CC54),CC54+IFERROR(_xlfn.XLOOKUP(A54,Щиты[Щит],Щиты[ΔU до шин, %]),0),"")</f>
        <v>0</v>
      </c>
      <c r="CE54" s="6">
        <f>IF(D54="","",IF(IFERROR(VLOOKUP(AT54,УГО_спр,2,FALSE),"")="Светильник",3,4)+IF(Методика="нормы 2026",MIN(0.5,MAX(0,N(BW54)-100)*0.005),0))</f>
        <v>3</v>
      </c>
      <c r="CF54" t="str">
        <f>IFERROR(VLOOKUP(BI54,Кабель_обозначение,2,FALSE),"")</f>
        <v>ВВГнг(А)-LS</v>
      </c>
      <c r="CG54" t="str">
        <f>IFERROR(IF(VLOOKUP(BI54,Кабель_обозначение,3,FALSE)=1,CF54&amp;" ("&amp;BJ54&amp;"х"&amp;BS54&amp;")",CF54),"")</f>
        <v>ВВГнг(А)-LS (3х1,5)</v>
      </c>
      <c r="CH54" t="str">
        <f t="shared" si="105"/>
        <v>ВВГнг(А)-LS (3х1,5)
L=12-0%</v>
      </c>
      <c r="CI54">
        <f>IFERROR(2*ρкз_Cu*BW54/BS54,"")</f>
        <v>0.42080000000000001</v>
      </c>
      <c r="CJ54">
        <f t="shared" si="106"/>
        <v>0.14000000000000001</v>
      </c>
      <c r="CK54" s="6" t="str">
        <f>IFERROR(IF(OR(D54="",NOT(ISNUMBER(BS54)),N(BW54)=0),"",_xlfn.XLOOKUP(A54,Щиты[Щит],Щиты[Zпетли на шинах, Ом])+CI54),"")</f>
        <v/>
      </c>
      <c r="CL54" s="6" t="str">
        <f>IF(ISNUMBER(CK54),c_min*(Uн_лин*1000/SQRT(3))/CK54,"")</f>
        <v/>
      </c>
      <c r="CM54" s="6" t="str">
        <f>IFERROR(IF(OR(D54="",NOT(ISNUMBER(BS54))),"",1.05*(Uн_лин*1000/SQRT(3))/(_xlfn.XLOOKUP(A54,Щиты[Щит],Щиты[Zmax на шинах, Ом])+CJ54)/1000),"")</f>
        <v/>
      </c>
      <c r="CN54" s="6" t="str">
        <f>IF(D54="","",IF(BA54&lt;&gt;"","Щит",IF(K54&lt;&gt;"",K54,IF(ISNUMBER(L54),"Сил",IF(IFERROR(_xlfn.XLOOKUP(AT54,Коды_код,Коды_группа)&amp;"","")="","Быт",_xlfn.XLOOKUP(AT54,Коды_код,Коды_группа)&amp;"")))))</f>
        <v>Быт</v>
      </c>
      <c r="CO54" s="6">
        <f>IF(CN54="Щит","щит",IF(CN54="","",IF(CN54="Быт",IFERROR(_xlfn.XLOOKUP(A54,Щиты[Щит],Щиты[Кс быт]),1),IF(CN54="Сил",IF(ISNUMBER(L54),L54,IF(Методика="нормы 2026",IFERROR(_xlfn.XLOOKUP(A54,Щиты[Щит],Щиты[Кс силовых (табл. 7.5)]),1),1)),IF(OR(CN54="Пост",CN54="Отоп"),1,IF(CN54="ВНГ",0.7,0))))))</f>
        <v>0.8</v>
      </c>
      <c r="CP54">
        <f t="shared" si="107"/>
        <v>1</v>
      </c>
      <c r="CQ54">
        <f t="shared" si="108"/>
        <v>0</v>
      </c>
      <c r="CR54">
        <f t="shared" si="109"/>
        <v>0</v>
      </c>
      <c r="CS54">
        <f t="shared" si="110"/>
        <v>0</v>
      </c>
      <c r="CT54">
        <f t="shared" si="111"/>
        <v>0</v>
      </c>
      <c r="CU54">
        <f t="shared" si="112"/>
        <v>0</v>
      </c>
      <c r="CV54">
        <f t="shared" si="113"/>
        <v>0</v>
      </c>
      <c r="CW54">
        <f t="shared" si="114"/>
        <v>0</v>
      </c>
      <c r="CX54">
        <f t="shared" si="115"/>
        <v>0</v>
      </c>
      <c r="CY54">
        <f t="shared" si="116"/>
        <v>3</v>
      </c>
      <c r="CZ54" t="str">
        <f t="shared" si="117"/>
        <v>L3</v>
      </c>
      <c r="DA54" cm="1">
        <f t="array" ref="DA54">IFERROR(IF(BL54=2,_xlfn.IFS(BH54=3,VLOOKUP(BF54,Справочная_двигатели,3,FALSE),BH54=1,VLOOKUP(BF54,Справочная_двигатели,5,TRUE)),0),0)</f>
        <v>0</v>
      </c>
      <c r="DB54">
        <f>IFERROR(IF(BL54=3,VLOOKUP(BF54,Справочная_ЛЭД,2,TRUE),0),0)</f>
        <v>0</v>
      </c>
      <c r="DC54" s="6">
        <f t="shared" si="118"/>
        <v>0</v>
      </c>
      <c r="DD54" t="str">
        <f t="shared" si="119"/>
        <v>L1</v>
      </c>
      <c r="DE54" t="str" cm="1">
        <f t="array" ref="DE54">IF(D54="","",IFERROR(INDEX({"I особая","I","II","III"},MATCH(TRIM(AA54&amp;""),{"I особая","I","II","III"},0)),"III"))</f>
        <v>III</v>
      </c>
      <c r="DF54" t="str">
        <f>IF(D54="","",IF(TRIM(AB54&amp;"")&lt;&gt;"",IF(LOWER(TRIM(AB54&amp;""))="да","да","нет"),IF(IFERROR(_xlfn.XLOOKUP(AT54,Коды_код,Коды_пожарная),"")="да","да","нет")))</f>
        <v>нет</v>
      </c>
      <c r="DG54" t="str">
        <f t="shared" si="120"/>
        <v/>
      </c>
      <c r="DH54" t="str">
        <f t="shared" si="121"/>
        <v>основная</v>
      </c>
      <c r="DI54">
        <f t="shared" si="122"/>
        <v>1</v>
      </c>
      <c r="DJ54" t="str" cm="1">
        <f t="array" ref="DJ54">IF(D54="","",_xlfn.LET(_xlpm.t,IFERROR(_xlfn.XLOOKUP(1,(Шины[Шина]=DH54)*(((Шины[Щит]=A54)+(Шины[Щит]=""))&gt;0),Шины[Тип]),"")&amp;"",IF(_xlpm.t&lt;&gt;"",_xlpm.t,IF(ISNUMBER(SEARCH("ИБП",DH54)),"ИБП",IF(ISNUMBER(SEARCH("ДГУ",DH54)),"ДГУ","Ввод "&amp;DI54)))))</f>
        <v>Ввод 1</v>
      </c>
      <c r="DK54" t="str">
        <f t="shared" si="123"/>
        <v>Ввод 1</v>
      </c>
      <c r="DL54" t="str">
        <f>IF(D54="","",IF(OR(DJ54="ИБП",DJ54="ДГУ"),"I особая",IF(DJ54="Одиночная","III",_xlfn.XLOOKUP(A54,Щиты[Щит],Щиты[Категория шины «Ввод»],"III"))))</f>
        <v>III</v>
      </c>
      <c r="DM54">
        <f>IF(D54="",0,IFERROR(MATCH(DE54,{"III","II","I","I особая"},0),1))</f>
        <v>1</v>
      </c>
      <c r="DN54">
        <f t="shared" si="124"/>
        <v>1</v>
      </c>
      <c r="DO54" t="str">
        <f>IF(D54="","",IF(DM54&gt;IFERROR(MATCH(DL54,{"III","II","I","I особая"},0),1),"НЕ ОБЕСПЕЧЕНА","ОК"))</f>
        <v>ОК</v>
      </c>
      <c r="DP54" t="str">
        <f>IF(A54="","",_xlfn.XLOOKUP(A54,Щиты[Щит],Щиты[Путь],""))</f>
        <v>|ЩР|</v>
      </c>
      <c r="DQ54" t="str">
        <f>IF(D54="","",IF(Z54&lt;&gt;"",Z54,IF(IFERROR(_xlfn.XLOOKUP(AT54,Коды_код,Коды_вид)&amp;"","")="","Прочее",_xlfn.XLOOKUP(AT54,Коды_код,Коды_вид)&amp;"")))</f>
        <v>Рабочее освещение</v>
      </c>
      <c r="DR54">
        <f>IF(BD54="","",INT((BD54-1)/Столбцов_на_лист)+1)</f>
        <v>4</v>
      </c>
      <c r="DS54" t="str">
        <f t="shared" si="125"/>
        <v>ВВГнг(А)-LS (3х1,5) L=12-0%</v>
      </c>
      <c r="DT54">
        <f t="shared" si="126"/>
        <v>0</v>
      </c>
      <c r="DU54">
        <f t="shared" si="127"/>
        <v>0</v>
      </c>
      <c r="DV54">
        <f t="shared" si="128"/>
        <v>1</v>
      </c>
      <c r="DW54">
        <f>IF(AT54="",0,_xlfn.LET(_xlpm.v,IFERROR(VLOOKUP(D54,УГО_спр,3,FALSE),IFERROR(VLOOKUP(AT54,УГО_спр,3,FALSE),IFERROR(VLOOKUP(LEFT(AT54,2),УГО_спр,3,FALSE),""))),IF(_xlpm.v="да",30,IF(ISNUMBER(_xlpm.v),_xlpm.v,0))))</f>
        <v>0</v>
      </c>
      <c r="DX54">
        <f t="shared" si="129"/>
        <v>0</v>
      </c>
      <c r="DY54">
        <f>IF(BD54="","",IF(AD54&lt;&gt;"",COUNTIFS(A$3:A54,A54,AD$3:AD54,"?*"),IF(OR(OR(AS54=1,A54&lt;&gt;A53),AL54="вручную"),"",IF(AS54=1,"",DZ53))))</f>
        <v>30</v>
      </c>
      <c r="DZ54">
        <f t="shared" si="130"/>
        <v>30</v>
      </c>
      <c r="EA54">
        <f>IF(D54="",0,MAX(IFERROR(--X54,0),IFERROR(--VLOOKUP(D54,УГО_спр,4,FALSE),IFERROR(--VLOOKUP(AT54,УГО_спр,4,FALSE),IFERROR(--VLOOKUP(LEFT(AT54,2),УГО_спр,4,FALSE),0)))))</f>
        <v>10</v>
      </c>
      <c r="EB54">
        <f>IF(D54="","",IFERROR(LOOKUP(INDEX(CHOOSE(BR54,Iдоп_1ж,Iдоп_2ж,Iдоп_3ж),MATCH(BS54,Iдоп_S,0))*BP54*BQ54,{6,10,16,20,25,32,40,50,63,80,100,125,160,200,250,315,400,500,630}),""))</f>
        <v>16</v>
      </c>
      <c r="EC54" t="str">
        <f>IF(AD54="","",SUMIFS(Линии[_Ток схемы],Линии[_гр.],DY54,Линии[Щит],A54,Линии[_в кабель выше],0))</f>
        <v/>
      </c>
      <c r="ED54" t="str">
        <f>IF(AD54="","",IFERROR(VLOOKUP(EC54,Автомат_номиналы,2,TRUE),""))</f>
        <v/>
      </c>
      <c r="EE54" t="str">
        <f>IF(AD54="","",MAX(N(ED54),_xlfn.MAXIFS(Линии[_мин. по типу],Линии[_гр.],DY54,Линии[Щит],A54)))</f>
        <v/>
      </c>
      <c r="EF54" t="str">
        <f>IF(AD54="","",_xlfn.MINIFS(Линии[_макс. автомат по кабелю],Линии[_гр.],DY54,Линии[Щит],A54))</f>
        <v/>
      </c>
      <c r="EG54" t="str">
        <f>IF(AD54="","",MAX(1,_xlfn.MAXIFS(Линии[_фаз],Линии[_гр.],DY54,Линии[Щит],A54)))</f>
        <v/>
      </c>
      <c r="EH54" t="str">
        <f>IF(AD54="","",IF(AND(AD54&lt;&gt;"авто",AD54&lt;&gt;"+"),IF(ISNUMBER(SEARCH("мА",AD54)),IFERROR(--TRIM(RIGHT(SUBSTITUTE(LEFT(AD54,SEARCH("мА",AD54)-1)," ",REPT(" ",9)),6)),30),0),IF(AE54="нет",0,IF(ISNUMBER(AE54),AE54,IF(AE54="да",30,_xlfn.MINIFS(Линии[_дифзащита по коду, мА],Линии[_гр.],DY54,Линии[Щит],A54,Линии[_дифзащита по коду, мА],"&gt;0"))))))</f>
        <v/>
      </c>
      <c r="EI54" t="str">
        <f t="shared" si="131"/>
        <v/>
      </c>
      <c r="EJ54" t="str">
        <f t="shared" si="132"/>
        <v/>
      </c>
      <c r="EK54" t="str">
        <f t="shared" si="133"/>
        <v>QF30</v>
      </c>
      <c r="EL54" t="str">
        <f t="shared" si="134"/>
        <v/>
      </c>
      <c r="EM54">
        <f t="shared" si="135"/>
        <v>0</v>
      </c>
      <c r="EN54" t="str">
        <f>IF(AD54="","",IF(EM54=1,MAX(EE54,Мин_автомат_БП),EE54))</f>
        <v/>
      </c>
      <c r="EO54" t="str">
        <f t="shared" si="136"/>
        <v/>
      </c>
      <c r="EP54" t="str">
        <f t="shared" si="137"/>
        <v/>
      </c>
      <c r="EQ54" t="str">
        <f t="shared" si="138"/>
        <v/>
      </c>
      <c r="ER54" t="str">
        <f>IF(OR(AI54="",AI54="-"),"",IFERROR(VLOOKUP(AI54,Модули_спр,2,FALSE),"R"))</f>
        <v/>
      </c>
      <c r="ES54" t="str">
        <f>IF(ER54="","",ER54&amp;"."&amp;COUNTIFS(A$3:A54,A54,ER$3:ER54,ER54))</f>
        <v/>
      </c>
      <c r="ET54" t="str">
        <f t="shared" si="139"/>
        <v>R.1</v>
      </c>
      <c r="EU54" t="str">
        <f t="shared" si="140"/>
        <v>ZIOMB24V2</v>
      </c>
      <c r="EV54">
        <f t="shared" si="141"/>
        <v>4</v>
      </c>
      <c r="EW54">
        <f t="shared" si="142"/>
        <v>4</v>
      </c>
      <c r="EX54">
        <f t="shared" si="143"/>
        <v>1</v>
      </c>
      <c r="EY54" t="str">
        <f>IF(AK54="нет","",IF(AK54&lt;&gt;"",AK54,IF(EX54=1,"XT"&amp;COUNTIFS(A$3:A54,A54,EX$3:EX54,1),"")))</f>
        <v>XT34</v>
      </c>
      <c r="EZ54" t="str">
        <f t="shared" si="144"/>
        <v>QF30</v>
      </c>
      <c r="FA54" t="str">
        <f t="shared" si="145"/>
        <v>R.1</v>
      </c>
      <c r="FB54" t="str">
        <f t="shared" si="146"/>
        <v/>
      </c>
      <c r="FC54" t="str">
        <f>IF(OR(EV54="",ET54=""),"",IF(EV54&gt;IFERROR(VLOOKUP(EU54,Модули_спр,3,FALSE),99),"ЛИШНИЙ КАНАЛ",IF(AND(AJ54&lt;&gt;"=",COUNTIFS(Линии[_модуль гр.],ET54,Линии[Канал (итог)],EV54,Линии[Канал],"&lt;&gt;=",Линии[Щит],A54)&gt;1),"ДУБЛЬ КАНАЛА","")))</f>
        <v/>
      </c>
      <c r="FD54">
        <f t="shared" si="147"/>
        <v>10</v>
      </c>
      <c r="FE54" t="str">
        <f t="shared" si="148"/>
        <v>1P С10А</v>
      </c>
      <c r="FF54">
        <f t="shared" si="149"/>
        <v>0</v>
      </c>
      <c r="FG54">
        <f t="shared" si="150"/>
        <v>0</v>
      </c>
      <c r="FH54" s="6" t="str">
        <f t="shared" si="151"/>
        <v/>
      </c>
      <c r="FI54">
        <f t="shared" si="152"/>
        <v>10</v>
      </c>
      <c r="FJ54" t="str">
        <f t="shared" si="153"/>
        <v/>
      </c>
      <c r="FK54" t="str">
        <f>IF(AND(D54="",EZ54=""),"",_xlfn.TEXTJOIN("; ",TRUE,IF(AND(D54&lt;&gt;"",DD54=""),"нет фазы",""),IF(AND(D54&lt;&gt;"",N(DT54)=0,CN54&lt;&gt;"Нет"),"нет мощности",""),IF(AND(EY54&lt;&gt;"",COUNTIFS(Линии[Щит],A54,Линии[Клемма (итог)],EY54)&gt;1),"дубль клеммы "&amp;EY54,""),IF(AND(FB54&lt;&gt;"",FB54&lt;&gt;"ok"),FB54,""),IF(FC54&lt;&gt;"",FC54,""),IF(AND(ISNUMBER(SEARCH("(5х",DS54)),N(DV54)=1),"5 жил на 1 фазе",""),IF(AND(AT54="R",AD54&lt;&gt;"",OR(N(EH54)=0,N(EH54)&gt;30)),"розетка без дифзащиты до 30 мА",""),IFERROR(IF(AND(ISNUMBER(CD54),CD54&gt;CE54),"потери "&amp;FIXED(CD54,1)&amp;" % &gt; "&amp;CE54&amp;" %",""),""),IFERROR(IF(LEFT(FJ54,4)="мало","Iкз мало — отключение &gt; 0,4 с",""),""),IF(AND(D54&lt;&gt;"",BD54=""),"не на схеме","")))</f>
        <v>нет мощности</v>
      </c>
      <c r="FL54" s="6" t="str">
        <f>IF(AD54="","",_xlfn.LET(_xlpm.t,IFERROR(_xlfn.XLOOKUP(EP54,Каталог!$U$4:$U$500,Каталог!$G$4:$G$500),""),_xlpm.k,SEARCH("кА",_xlpm.t),IFERROR(--TRIM(RIGHT(SUBSTITUTE(MID(_xlpm.t,MAX(1,_xlpm.k-4),_xlpm.k-MAX(1,_xlpm.k-4))," ",REPT(" ",9)),5)),"")))</f>
        <v/>
      </c>
      <c r="FM54" t="str">
        <f>IF(OR(FL54="",AD54=""),"",IF(_xlfn.XLOOKUP(A54,Щиты[Щит],Щиты[Iкз max на шинах, кА],"")="","",IF(FL54&lt;_xlfn.XLOOKUP(A54,Щиты[Щит],Щиты[Iкз max на шинах, кА]),"Icu "&amp;FL54&amp;" кА &lt; Iкз max","ok")))</f>
        <v/>
      </c>
      <c r="FN54" t="str">
        <f t="shared" si="154"/>
        <v>QF30|R.1 к.4|XT34</v>
      </c>
      <c r="FO54" t="str">
        <f t="shared" si="155"/>
        <v>QF30|R.1 к.4|XT34|кабель ВВГнг(А)-LS (3х1,5) → Группа освещения  Пом. №08</v>
      </c>
      <c r="FP54" t="str" cm="1">
        <f t="array" ref="FP54">IF(FO54="","",_xlfn.LET(_xlpm.nd,_xlfn.TEXTSPLIT(FO54,"|"),IF(COLUMNS(_xlpm.nd)&gt;1,A54&amp;"¦"&amp;INDEX(_xlpm.nd,1)&amp;"¦"&amp;INDEX(_xlpm.nd,2),"")))</f>
        <v>ЩР¦QF30¦R.1 к.4</v>
      </c>
      <c r="FQ54" t="str">
        <f t="shared" si="156"/>
        <v>L.1.08.2¦Группа освещения  Пом. №08</v>
      </c>
      <c r="FR54" t="str" cm="1">
        <f t="array" ref="FR54">IF(FO54="","",_xlfn.LET(_xlpm.nd,_xlfn.TEXTSPLIT(FO54,"|"),IF(COLUMNS(_xlpm.nd)&gt;2,A54&amp;"¦"&amp;INDEX(_xlpm.nd,2)&amp;"¦"&amp;INDEX(_xlpm.nd,3),"")))</f>
        <v>ЩР¦R.1 к.4¦XT34</v>
      </c>
      <c r="FS54" t="str">
        <f t="shared" si="157"/>
        <v>L.1.08.2¦Группа освещения  Пом. №08</v>
      </c>
      <c r="FT54" t="str" cm="1">
        <f t="array" ref="FT54">IF(FO54="","",_xlfn.LET(_xlpm.nd,_xlfn.TEXTSPLIT(FO54,"|"),IF(COLUMNS(_xlpm.nd)&gt;3,A54&amp;"¦"&amp;INDEX(_xlpm.nd,3)&amp;"¦"&amp;INDEX(_xlpm.nd,4),"")))</f>
        <v>ЩР¦XT34¦кабель ВВГнг(А)-LS (3х1,5) → Группа освещения  Пом. №08</v>
      </c>
      <c r="FU54" t="str">
        <f t="shared" si="158"/>
        <v>L.1.08.2¦Группа освещения  Пом. №08</v>
      </c>
      <c r="FV54" t="str" cm="1">
        <f t="array" ref="FV54">IF(FO54="","",_xlfn.LET(_xlpm.nd,_xlfn.TEXTSPLIT(FO54,"|"),IF(COLUMNS(_xlpm.nd)&gt;4,A54&amp;"¦"&amp;INDEX(_xlpm.nd,4)&amp;"¦"&amp;INDEX(_xlpm.nd,5),"")))</f>
        <v/>
      </c>
      <c r="FW54" t="str">
        <f t="shared" si="159"/>
        <v/>
      </c>
      <c r="FX54" t="str" cm="1">
        <f t="array" ref="FX54">IF(FO54="","",_xlfn.LET(_xlpm.nd,_xlfn.TEXTSPLIT(FO54,"|"),IF(COLUMNS(_xlpm.nd)&gt;5,A54&amp;"¦"&amp;INDEX(_xlpm.nd,5)&amp;"¦"&amp;INDEX(_xlpm.nd,6),"")))</f>
        <v/>
      </c>
      <c r="FY54" t="str">
        <f t="shared" si="160"/>
        <v/>
      </c>
      <c r="FZ54" t="str" cm="1">
        <f t="array" ref="FZ54">IF(FO54="","",_xlfn.LET(_xlpm.nd,_xlfn.TEXTSPLIT(FO54,"|"),IF(COLUMNS(_xlpm.nd)&gt;6,A54&amp;"¦"&amp;INDEX(_xlpm.nd,6)&amp;"¦"&amp;INDEX(_xlpm.nd,7),"")))</f>
        <v/>
      </c>
      <c r="GA54" t="str">
        <f t="shared" si="161"/>
        <v/>
      </c>
      <c r="GB54" t="str">
        <f t="shared" si="162"/>
        <v>ZIOMB24V2</v>
      </c>
      <c r="GC54" t="str">
        <f t="shared" si="163"/>
        <v>QF30 → R.1 к.4 → XT34</v>
      </c>
      <c r="GD54">
        <f t="shared" si="164"/>
        <v>1</v>
      </c>
      <c r="GE54">
        <f t="shared" si="165"/>
        <v>0</v>
      </c>
      <c r="GF54">
        <f t="shared" si="166"/>
        <v>0</v>
      </c>
      <c r="GG54" t="str">
        <f t="shared" si="167"/>
        <v/>
      </c>
      <c r="GH54" t="str">
        <f t="shared" si="168"/>
        <v/>
      </c>
      <c r="GI54" t="str">
        <f t="shared" si="169"/>
        <v/>
      </c>
      <c r="GJ54" t="str">
        <f t="shared" si="170"/>
        <v/>
      </c>
      <c r="GK54" t="str">
        <f>IF(D54="","",IFERROR(VLOOKUP(D54,УГО_спр,2,FALSE),IFERROR(VLOOKUP(AT54,УГО_спр,2,FALSE),IFERROR(VLOOKUP(LEFT(AT54,2),УГО_спр,2,FALSE),""))))</f>
        <v>Светильник</v>
      </c>
      <c r="GL54" t="str">
        <f>IF(D54="","",IF(OR(GK54="",GK54=0),"BOX",IFERROR(IF(VLOOKUP(GK54,УГО_блоки,3,FALSE)&amp;""&lt;&gt;"",VLOOKUP(GK54,УГО_блоки,3,FALSE),VLOOKUP(GK54,УГО_блоки,2,FALSE)),GK54)))</f>
        <v>LAMP</v>
      </c>
      <c r="GM54">
        <f t="shared" si="171"/>
        <v>1</v>
      </c>
      <c r="GN54" t="str">
        <f>IF(EP54="","",IF(COUNTIF(EP$3:EP54,EP54)=1,MAX(GN$2:GN53)+1,""))</f>
        <v/>
      </c>
      <c r="GO54" t="str">
        <f>IF(AF54="","",IF(COUNTIF(AF$3:AF54,AF54)+COUNTIF(AG$2:AG53,AF54)+COUNTIF(AH$2:AH53,AF54)=1,MAX(GO$2:GQ53)+1,""))</f>
        <v/>
      </c>
      <c r="GP54" t="str">
        <f>IF(AG54="","",IF(COUNTIF(AF$3:AF54,AG54)+COUNTIF(AG$3:AG54,AG54)+COUNTIF(AH$2:AH53,AG54)=1,MAX(GO$2:GQ53,GO54)+1,""))</f>
        <v/>
      </c>
      <c r="GQ54" t="str">
        <f>IF(AH54="","",IF(COUNTIF(AF$3:AF54,AH54)+COUNTIF(AG$3:AG54,AH54)+COUNTIF(AH$3:AH54,AH54)=1,MAX(GO$2:GQ53,GO54,GP54)+1,""))</f>
        <v/>
      </c>
      <c r="GR54" t="str">
        <f t="shared" si="172"/>
        <v>3х1,5</v>
      </c>
      <c r="GS54" t="str">
        <f>IF(GR54="","",IF(COUNTIF(GR$3:GR54,GR54)=1,MAX(GS$2:GS53)+1,""))</f>
        <v/>
      </c>
      <c r="GT54" t="str">
        <f>IF(ES54="","",COUNTIF(ES$3:ES54,"?*"))</f>
        <v/>
      </c>
      <c r="GU54" t="str">
        <f>IF(OR(ES54="",EU54=""),"",IF(COUNTIFS(ES$3:ES54,"?*",EU$3:EU54,EU54)=1,MAX(GU$2:GU53)+1,""))</f>
        <v/>
      </c>
      <c r="GV54">
        <f t="shared" si="173"/>
        <v>1</v>
      </c>
      <c r="GW54">
        <f>IF(D54="","",COUNTIF(D$3:D54,"?*"))</f>
        <v>34</v>
      </c>
      <c r="GX54">
        <f>IF(EX54&lt;&gt;1,0,_xlfn.LET(_xlpm.k,MAX(IFERROR(--VLOOKUP(D54,УГО_спр,5,FALSE),0),IFERROR(--VLOOKUP(AT54,УГО_спр,5,FALSE),0),IFERROR(--VLOOKUP(LEFT(AT54,2),УГО_спр,5,FALSE),0)),IF(_xlpm.k&gt;0,_xlpm.k,IF(IFERROR(--LEFT(SUBSTITUTE(GR54,"x","х"),FIND("х",SUBSTITUTE(GR54,"x","х"))-1),3)&gt;3,Каталог!$S$9,1))))</f>
        <v>1</v>
      </c>
      <c r="GY54">
        <f t="shared" si="174"/>
        <v>0</v>
      </c>
    </row>
    <row r="55" spans="1:207" x14ac:dyDescent="0.3">
      <c r="A55" t="s">
        <v>206</v>
      </c>
      <c r="B55">
        <v>57</v>
      </c>
      <c r="C55" t="str">
        <f>IF(BD55="","",IF(BE55="вводной узел","узел ","")&amp;"л."&amp;(INT((BD55-1)/Столбцов_на_лист)+1)&amp;" / "&amp;(MOD(BD55-1,Столбцов_на_лист)+1))</f>
        <v>л.4 / 6</v>
      </c>
      <c r="D55" t="s">
        <v>708</v>
      </c>
      <c r="E55" s="133" t="str">
        <f t="shared" si="175"/>
        <v>Группа освещения  Пом. №10</v>
      </c>
      <c r="H55">
        <v>2</v>
      </c>
      <c r="O55">
        <v>2</v>
      </c>
      <c r="T55">
        <v>2</v>
      </c>
      <c r="V55">
        <v>3</v>
      </c>
      <c r="AD55" t="s">
        <v>597</v>
      </c>
      <c r="AN55">
        <v>12.69</v>
      </c>
      <c r="AO55" t="s">
        <v>709</v>
      </c>
      <c r="AQ55" t="s">
        <v>710</v>
      </c>
      <c r="AR55" t="str">
        <f t="shared" si="88"/>
        <v>нет мощности</v>
      </c>
      <c r="AS55" cm="1">
        <f t="array" ref="AS55">ROW()-ROW(Линии[#Headers])</f>
        <v>53</v>
      </c>
      <c r="AT55" s="6" t="str">
        <f t="shared" si="89"/>
        <v>L</v>
      </c>
      <c r="AU55" t="str">
        <f t="shared" si="90"/>
        <v>1.10.2</v>
      </c>
      <c r="AV55" t="str">
        <f t="shared" si="91"/>
        <v>1</v>
      </c>
      <c r="AW55" t="str">
        <f t="shared" si="92"/>
        <v>10.2</v>
      </c>
      <c r="AX55" t="str">
        <f t="shared" si="93"/>
        <v>10</v>
      </c>
      <c r="AY55" t="str">
        <f>IF(D55="","",IF(ISERROR(SEARCH(".",D55)),IFERROR(VLOOKUP(D55,Потребители_обозначение,2,FALSE)&amp;"",""),IFERROR(IF(VLOOKUP(AT55,Потребители_обозначение,4,FALSE)=1,VLOOKUP(AT55,Потребители_обозначение,2,FALSE)&amp;" "&amp;VLOOKUP(AV55,Этаж_обозначение,2,FALSE)&amp;" Пом. №"&amp;AX55,VLOOKUP(AT55,Потребители_обозначение,2,FALSE)&amp;" Шлейф №"&amp;AV55),IFERROR(VLOOKUP(D55,Потребители_обозначение,2,FALSE),""))))</f>
        <v>Группа освещения  Пом. №10</v>
      </c>
      <c r="AZ55" t="str">
        <f t="shared" si="94"/>
        <v>Группа освещения  Пом. №10</v>
      </c>
      <c r="BA55" t="str">
        <f>IF(F55&lt;&gt;"",F55,IF(AND(D55&lt;&gt;"",D55&lt;&gt;A55,ISNUMBER(_xlfn.XMATCH(D55,Щиты[Щит]))),D55,""))</f>
        <v/>
      </c>
      <c r="BB55">
        <f>IFERROR(_xlfn.XMATCH(A55,Щиты[Щит]),0)</f>
        <v>1</v>
      </c>
      <c r="BC55">
        <f>IFERROR(N(_xlfn.XLOOKUP(A55,Щиты[Щит],Щиты[Мест под вводной узел])),15)</f>
        <v>18</v>
      </c>
      <c r="BD55">
        <f t="shared" si="95"/>
        <v>57</v>
      </c>
      <c r="BE55" t="str">
        <f t="shared" si="96"/>
        <v>линии</v>
      </c>
      <c r="BF55" s="6">
        <f>IF(D55="","",IF(BA55&lt;&gt;"",IFERROR(_xlfn.XLOOKUP(BA55,Щиты[Щит],Щиты[Руст, кВт]),0),N(G55)))</f>
        <v>0</v>
      </c>
      <c r="BG55">
        <f>IF(J55&lt;&gt;"",J55,IF(D55="","",IFERROR(IF(VLOOKUP(AT55,Потребители_обозначение,8,FALSE)=0,"",VLOOKUP(AT55,Потребители_обозначение,8,FALSE)),"")))</f>
        <v>230</v>
      </c>
      <c r="BH55">
        <f>IF(I55&lt;&gt;"",I55,IF(D55="","",IFERROR(IF(VLOOKUP(AT55,Потребители_обозначение,9,FALSE)=0,"",VLOOKUP(AT55,Потребители_обозначение,9,FALSE)),"")))</f>
        <v>1</v>
      </c>
      <c r="BI55" t="str">
        <f>IF(U55&lt;&gt;"",U55,IF(D55="","",IFERROR(IF(VLOOKUP(AT55,Потребители_обозначение,6,FALSE)=0,"",VLOOKUP(AT55,Потребители_обозначение,6,FALSE)),"")))</f>
        <v>мс</v>
      </c>
      <c r="BJ55">
        <f>IF(V55&lt;&gt;"",V55,IF(D55="","",IFERROR(IF(VLOOKUP(AT55,Потребители_обозначение,7,FALSE)=0,"",VLOOKUP(AT55,Потребители_обозначение,7,FALSE)),"")))</f>
        <v>3</v>
      </c>
      <c r="BK55">
        <f>IF(W55&lt;&gt;"",W55,IF(D55="","",IFERROR(IF(VLOOKUP(AT55,Потребители_обозначение,10,FALSE)=0,"",VLOOKUP(AT55,Потребители_обозначение,10,FALSE)),"")))</f>
        <v>1.5</v>
      </c>
      <c r="BL55">
        <f>IFERROR(VLOOKUP(AT55,Потребители_обозначение,5,FALSE),0)</f>
        <v>1</v>
      </c>
      <c r="BM55" s="6" cm="1">
        <f t="array" ref="BM55">IF(D55="","",IF(BA55&lt;&gt;"",IFERROR(_xlfn.XLOOKUP(BA55,Щиты[Щит],Щиты[cos φ]),0.95),IF(ISNUMBER(M55),M55,IFERROR(IF(BL55=2,_xlfn.IFS(BH55=3,VLOOKUP(BF55,Справочная_двигатели,8,FALSE),BH55=1,VLOOKUP(BF55,Справочная_двигатели,10,TRUE)),IF(AND(Методика="нормы 2026",CN55="Сил"),0.8,0.95)),0.95))))</f>
        <v>0.95</v>
      </c>
      <c r="BN55" s="6" cm="1">
        <f t="array" ref="BN55">IF(D55="","",IF(BA55&lt;&gt;"",IFERROR(_xlfn.XLOOKUP(BA55,Щиты[Щит],Щиты[Iр, А]),""),IFERROR(_xlfn.IFS(BH55=1,BF55/((Uн_лин/SQRT(3))*BM55),BH55=3,BF55/(SQRT(3)*Uн_лин*BM55)),"")))</f>
        <v>0</v>
      </c>
      <c r="BO55">
        <f>IF(D55="","",IF(N(X55)=0,IFERROR(VLOOKUP(BN55,Автомат_номиналы,2,TRUE),""),X55))</f>
        <v>6</v>
      </c>
      <c r="BP55">
        <f t="shared" si="97"/>
        <v>1</v>
      </c>
      <c r="BQ55">
        <f>IF(ISNUMBER(Y55),Y55,К_прокл)</f>
        <v>1</v>
      </c>
      <c r="BR55">
        <f t="shared" si="98"/>
        <v>2</v>
      </c>
      <c r="BS55" cm="1">
        <f t="array" ref="BS55">IF(D55="","",IF(N(BK55)&lt;&gt;0,BK55,IFERROR(_xlfn.LET(_xlpm.need,BO55/(BP55*BQ55),_xlpm.t,CHOOSE(BR55,Iдоп_1ж,Iдоп_2ж,Iдоп_3ж),_xlpm.k,_xlfn.XMATCH(_xlpm.need,_xlpm.t,1),IF(ISNA(_xlpm.k),"Не исп",INDEX(Iдоп_S,_xlpm.k))),"Не исп")))</f>
        <v>1.5</v>
      </c>
      <c r="BT55">
        <f>IFERROR(VLOOKUP(BS55,Кабель_сопротивление,3,FALSE),"")</f>
        <v>2.2499999999999999E-2</v>
      </c>
      <c r="BU55">
        <f>IFERROR(VLOOKUP(BS55,Кабель_сопротивление,2,FALSE),"")</f>
        <v>0.11</v>
      </c>
      <c r="BV55">
        <f t="shared" si="99"/>
        <v>13</v>
      </c>
      <c r="BW55" s="6">
        <f>IF(D55="","",IFERROR(IF(VLOOKUP(AT55,Потребители_обозначение,4,FALSE)=1,VLOOKUP(AT55,Потребители_обозначение,3,FALSE)*(H55*2-1)+BV55+VLOOKUP(AV55,Этаж_обозначение,3,FALSE)+VLOOKUP(AV55,Этаж_обозначение,4,FALSE),VLOOKUP(AT55,Потребители_обозначение,3,FALSE)*(H55*2-1)+BV55),BV55))</f>
        <v>16</v>
      </c>
      <c r="BX55">
        <f t="shared" si="100"/>
        <v>0</v>
      </c>
      <c r="BY55">
        <f t="shared" si="101"/>
        <v>12</v>
      </c>
      <c r="BZ55">
        <f t="shared" si="102"/>
        <v>2</v>
      </c>
      <c r="CA55">
        <f t="shared" si="103"/>
        <v>0.31</v>
      </c>
      <c r="CB55">
        <f t="shared" si="104"/>
        <v>0</v>
      </c>
      <c r="CC55" s="6">
        <f>IFERROR(ROUNDUP(CB55/((Uн_лин/SQRT(3))*1000)*100,2),"")</f>
        <v>0</v>
      </c>
      <c r="CD55" s="6">
        <f>IF(ISNUMBER(CC55),CC55+IFERROR(_xlfn.XLOOKUP(A55,Щиты[Щит],Щиты[ΔU до шин, %]),0),"")</f>
        <v>0</v>
      </c>
      <c r="CE55" s="6">
        <f>IF(D55="","",IF(IFERROR(VLOOKUP(AT55,УГО_спр,2,FALSE),"")="Светильник",3,4)+IF(Методика="нормы 2026",MIN(0.5,MAX(0,N(BW55)-100)*0.005),0))</f>
        <v>3</v>
      </c>
      <c r="CF55" t="str">
        <f>IFERROR(VLOOKUP(BI55,Кабель_обозначение,2,FALSE),"")</f>
        <v>ВВГнг(А)-LS</v>
      </c>
      <c r="CG55" t="str">
        <f>IFERROR(IF(VLOOKUP(BI55,Кабель_обозначение,3,FALSE)=1,CF55&amp;" ("&amp;BJ55&amp;"х"&amp;BS55&amp;")",CF55),"")</f>
        <v>ВВГнг(А)-LS (3х1,5)</v>
      </c>
      <c r="CH55" t="str">
        <f t="shared" si="105"/>
        <v>ВВГнг(А)-LS (3х1,5)
L=16-0%</v>
      </c>
      <c r="CI55">
        <f>IFERROR(2*ρкз_Cu*BW55/BS55,"")</f>
        <v>0.56106666666666671</v>
      </c>
      <c r="CJ55">
        <f t="shared" si="106"/>
        <v>0.18666666666666668</v>
      </c>
      <c r="CK55" s="6" t="str">
        <f>IFERROR(IF(OR(D55="",NOT(ISNUMBER(BS55)),N(BW55)=0),"",_xlfn.XLOOKUP(A55,Щиты[Щит],Щиты[Zпетли на шинах, Ом])+CI55),"")</f>
        <v/>
      </c>
      <c r="CL55" s="6" t="str">
        <f>IF(ISNUMBER(CK55),c_min*(Uн_лин*1000/SQRT(3))/CK55,"")</f>
        <v/>
      </c>
      <c r="CM55" s="6" t="str">
        <f>IFERROR(IF(OR(D55="",NOT(ISNUMBER(BS55))),"",1.05*(Uн_лин*1000/SQRT(3))/(_xlfn.XLOOKUP(A55,Щиты[Щит],Щиты[Zmax на шинах, Ом])+CJ55)/1000),"")</f>
        <v/>
      </c>
      <c r="CN55" s="6" t="str">
        <f>IF(D55="","",IF(BA55&lt;&gt;"","Щит",IF(K55&lt;&gt;"",K55,IF(ISNUMBER(L55),"Сил",IF(IFERROR(_xlfn.XLOOKUP(AT55,Коды_код,Коды_группа)&amp;"","")="","Быт",_xlfn.XLOOKUP(AT55,Коды_код,Коды_группа)&amp;"")))))</f>
        <v>Быт</v>
      </c>
      <c r="CO55" s="6">
        <f>IF(CN55="Щит","щит",IF(CN55="","",IF(CN55="Быт",IFERROR(_xlfn.XLOOKUP(A55,Щиты[Щит],Щиты[Кс быт]),1),IF(CN55="Сил",IF(ISNUMBER(L55),L55,IF(Методика="нормы 2026",IFERROR(_xlfn.XLOOKUP(A55,Щиты[Щит],Щиты[Кс силовых (табл. 7.5)]),1),1)),IF(OR(CN55="Пост",CN55="Отоп"),1,IF(CN55="ВНГ",0.7,0))))))</f>
        <v>0.8</v>
      </c>
      <c r="CP55">
        <f t="shared" si="107"/>
        <v>1</v>
      </c>
      <c r="CQ55">
        <f t="shared" si="108"/>
        <v>0</v>
      </c>
      <c r="CR55">
        <f t="shared" si="109"/>
        <v>0</v>
      </c>
      <c r="CS55">
        <f t="shared" si="110"/>
        <v>0</v>
      </c>
      <c r="CT55">
        <f t="shared" si="111"/>
        <v>0</v>
      </c>
      <c r="CU55">
        <f t="shared" si="112"/>
        <v>0</v>
      </c>
      <c r="CV55">
        <f t="shared" si="113"/>
        <v>0</v>
      </c>
      <c r="CW55">
        <f t="shared" si="114"/>
        <v>0</v>
      </c>
      <c r="CX55">
        <f t="shared" si="115"/>
        <v>0</v>
      </c>
      <c r="CY55">
        <f t="shared" si="116"/>
        <v>1</v>
      </c>
      <c r="CZ55" t="str">
        <f t="shared" si="117"/>
        <v>L1</v>
      </c>
      <c r="DA55" cm="1">
        <f t="array" ref="DA55">IFERROR(IF(BL55=2,_xlfn.IFS(BH55=3,VLOOKUP(BF55,Справочная_двигатели,3,FALSE),BH55=1,VLOOKUP(BF55,Справочная_двигатели,5,TRUE)),0),0)</f>
        <v>0</v>
      </c>
      <c r="DB55">
        <f>IFERROR(IF(BL55=3,VLOOKUP(BF55,Справочная_ЛЭД,2,TRUE),0),0)</f>
        <v>0</v>
      </c>
      <c r="DC55" s="6">
        <f t="shared" si="118"/>
        <v>0</v>
      </c>
      <c r="DD55" t="str">
        <f t="shared" si="119"/>
        <v>L2</v>
      </c>
      <c r="DE55" t="str" cm="1">
        <f t="array" ref="DE55">IF(D55="","",IFERROR(INDEX({"I особая","I","II","III"},MATCH(TRIM(AA55&amp;""),{"I особая","I","II","III"},0)),"III"))</f>
        <v>III</v>
      </c>
      <c r="DF55" t="str">
        <f>IF(D55="","",IF(TRIM(AB55&amp;"")&lt;&gt;"",IF(LOWER(TRIM(AB55&amp;""))="да","да","нет"),IF(IFERROR(_xlfn.XLOOKUP(AT55,Коды_код,Коды_пожарная),"")="да","да","нет")))</f>
        <v>нет</v>
      </c>
      <c r="DG55" t="str">
        <f t="shared" si="120"/>
        <v/>
      </c>
      <c r="DH55" t="str">
        <f t="shared" si="121"/>
        <v>основная</v>
      </c>
      <c r="DI55">
        <f t="shared" si="122"/>
        <v>1</v>
      </c>
      <c r="DJ55" t="str" cm="1">
        <f t="array" ref="DJ55">IF(D55="","",_xlfn.LET(_xlpm.t,IFERROR(_xlfn.XLOOKUP(1,(Шины[Шина]=DH55)*(((Шины[Щит]=A55)+(Шины[Щит]=""))&gt;0),Шины[Тип]),"")&amp;"",IF(_xlpm.t&lt;&gt;"",_xlpm.t,IF(ISNUMBER(SEARCH("ИБП",DH55)),"ИБП",IF(ISNUMBER(SEARCH("ДГУ",DH55)),"ДГУ","Ввод "&amp;DI55)))))</f>
        <v>Ввод 1</v>
      </c>
      <c r="DK55" t="str">
        <f t="shared" si="123"/>
        <v>Ввод 1</v>
      </c>
      <c r="DL55" t="str">
        <f>IF(D55="","",IF(OR(DJ55="ИБП",DJ55="ДГУ"),"I особая",IF(DJ55="Одиночная","III",_xlfn.XLOOKUP(A55,Щиты[Щит],Щиты[Категория шины «Ввод»],"III"))))</f>
        <v>III</v>
      </c>
      <c r="DM55">
        <f>IF(D55="",0,IFERROR(MATCH(DE55,{"III","II","I","I особая"},0),1))</f>
        <v>1</v>
      </c>
      <c r="DN55">
        <f t="shared" si="124"/>
        <v>1</v>
      </c>
      <c r="DO55" t="str">
        <f>IF(D55="","",IF(DM55&gt;IFERROR(MATCH(DL55,{"III","II","I","I особая"},0),1),"НЕ ОБЕСПЕЧЕНА","ОК"))</f>
        <v>ОК</v>
      </c>
      <c r="DP55" t="str">
        <f>IF(A55="","",_xlfn.XLOOKUP(A55,Щиты[Щит],Щиты[Путь],""))</f>
        <v>|ЩР|</v>
      </c>
      <c r="DQ55" t="str">
        <f>IF(D55="","",IF(Z55&lt;&gt;"",Z55,IF(IFERROR(_xlfn.XLOOKUP(AT55,Коды_код,Коды_вид)&amp;"","")="","Прочее",_xlfn.XLOOKUP(AT55,Коды_код,Коды_вид)&amp;"")))</f>
        <v>Рабочее освещение</v>
      </c>
      <c r="DR55">
        <f>IF(BD55="","",INT((BD55-1)/Столбцов_на_лист)+1)</f>
        <v>4</v>
      </c>
      <c r="DS55" t="str">
        <f t="shared" si="125"/>
        <v>ВВГнг(А)-LS (3х1,5) L=16-0%</v>
      </c>
      <c r="DT55">
        <f t="shared" si="126"/>
        <v>0</v>
      </c>
      <c r="DU55">
        <f t="shared" si="127"/>
        <v>0</v>
      </c>
      <c r="DV55">
        <f t="shared" si="128"/>
        <v>1</v>
      </c>
      <c r="DW55">
        <f>IF(AT55="",0,_xlfn.LET(_xlpm.v,IFERROR(VLOOKUP(D55,УГО_спр,3,FALSE),IFERROR(VLOOKUP(AT55,УГО_спр,3,FALSE),IFERROR(VLOOKUP(LEFT(AT55,2),УГО_спр,3,FALSE),""))),IF(_xlpm.v="да",30,IF(ISNUMBER(_xlpm.v),_xlpm.v,0))))</f>
        <v>0</v>
      </c>
      <c r="DX55">
        <f t="shared" si="129"/>
        <v>0</v>
      </c>
      <c r="DY55">
        <f>IF(BD55="","",IF(AD55&lt;&gt;"",COUNTIFS(A$3:A55,A55,AD$3:AD55,"?*"),IF(OR(OR(AS55=1,A55&lt;&gt;A54),AL55="вручную"),"",IF(AS55=1,"",DZ54))))</f>
        <v>31</v>
      </c>
      <c r="DZ55">
        <f t="shared" si="130"/>
        <v>31</v>
      </c>
      <c r="EA55">
        <f>IF(D55="",0,MAX(IFERROR(--X55,0),IFERROR(--VLOOKUP(D55,УГО_спр,4,FALSE),IFERROR(--VLOOKUP(AT55,УГО_спр,4,FALSE),IFERROR(--VLOOKUP(LEFT(AT55,2),УГО_спр,4,FALSE),0)))))</f>
        <v>10</v>
      </c>
      <c r="EB55">
        <f>IF(D55="","",IFERROR(LOOKUP(INDEX(CHOOSE(BR55,Iдоп_1ж,Iдоп_2ж,Iдоп_3ж),MATCH(BS55,Iдоп_S,0))*BP55*BQ55,{6,10,16,20,25,32,40,50,63,80,100,125,160,200,250,315,400,500,630}),""))</f>
        <v>16</v>
      </c>
      <c r="EC55">
        <f>IF(AD55="","",SUMIFS(Линии[_Ток схемы],Линии[_гр.],DY55,Линии[Щит],A55,Линии[_в кабель выше],0))</f>
        <v>0</v>
      </c>
      <c r="ED55">
        <f>IF(AD55="","",IFERROR(VLOOKUP(EC55,Автомат_номиналы,2,TRUE),""))</f>
        <v>6</v>
      </c>
      <c r="EE55">
        <f>IF(AD55="","",MAX(N(ED55),_xlfn.MAXIFS(Линии[_мин. по типу],Линии[_гр.],DY55,Линии[Щит],A55)))</f>
        <v>10</v>
      </c>
      <c r="EF55">
        <f>IF(AD55="","",_xlfn.MINIFS(Линии[_макс. автомат по кабелю],Линии[_гр.],DY55,Линии[Щит],A55))</f>
        <v>16</v>
      </c>
      <c r="EG55">
        <f>IF(AD55="","",MAX(1,_xlfn.MAXIFS(Линии[_фаз],Линии[_гр.],DY55,Линии[Щит],A55)))</f>
        <v>1</v>
      </c>
      <c r="EH55">
        <f>IF(AD55="","",IF(AND(AD55&lt;&gt;"авто",AD55&lt;&gt;"+"),IF(ISNUMBER(SEARCH("мА",AD55)),IFERROR(--TRIM(RIGHT(SUBSTITUTE(LEFT(AD55,SEARCH("мА",AD55)-1)," ",REPT(" ",9)),6)),30),0),IF(AE55="нет",0,IF(ISNUMBER(AE55),AE55,IF(AE55="да",30,_xlfn.MINIFS(Линии[_дифзащита по коду, мА],Линии[_гр.],DY55,Линии[Щит],A55,Линии[_дифзащита по коду, мА],"&gt;0"))))))</f>
        <v>0</v>
      </c>
      <c r="EI55">
        <f t="shared" si="131"/>
        <v>0</v>
      </c>
      <c r="EJ55" t="str">
        <f t="shared" si="132"/>
        <v>QF31</v>
      </c>
      <c r="EK55" t="str">
        <f t="shared" si="133"/>
        <v>QF31</v>
      </c>
      <c r="EL55" t="str">
        <f t="shared" si="134"/>
        <v/>
      </c>
      <c r="EM55">
        <f t="shared" si="135"/>
        <v>0</v>
      </c>
      <c r="EN55">
        <f>IF(AD55="","",IF(EM55=1,MAX(EE55,Мин_автомат_БП),EE55))</f>
        <v>10</v>
      </c>
      <c r="EO55" t="str">
        <f t="shared" si="136"/>
        <v>1P</v>
      </c>
      <c r="EP55" t="str">
        <f t="shared" si="137"/>
        <v>1P С10А</v>
      </c>
      <c r="EQ55">
        <f t="shared" si="138"/>
        <v>10</v>
      </c>
      <c r="ER55" t="str">
        <f>IF(OR(AI55="",AI55="-"),"",IFERROR(VLOOKUP(AI55,Модули_спр,2,FALSE),"R"))</f>
        <v/>
      </c>
      <c r="ES55" t="str">
        <f>IF(ER55="","",ER55&amp;"."&amp;COUNTIFS(A$3:A55,A55,ER$3:ER55,ER55))</f>
        <v/>
      </c>
      <c r="ET55" t="str">
        <f t="shared" si="139"/>
        <v>R.1</v>
      </c>
      <c r="EU55" t="str">
        <f t="shared" si="140"/>
        <v>ZIOMB24V2</v>
      </c>
      <c r="EV55">
        <f t="shared" si="141"/>
        <v>5</v>
      </c>
      <c r="EW55">
        <f t="shared" si="142"/>
        <v>5</v>
      </c>
      <c r="EX55">
        <f t="shared" si="143"/>
        <v>1</v>
      </c>
      <c r="EY55" t="str">
        <f>IF(AK55="нет","",IF(AK55&lt;&gt;"",AK55,IF(EX55=1,"XT"&amp;COUNTIFS(A$3:A55,A55,EX$3:EX55,1),"")))</f>
        <v>XT35</v>
      </c>
      <c r="EZ55" t="str">
        <f t="shared" si="144"/>
        <v>QF31</v>
      </c>
      <c r="FA55" t="str">
        <f t="shared" si="145"/>
        <v>R.1</v>
      </c>
      <c r="FB55" t="str">
        <f t="shared" si="146"/>
        <v>ok</v>
      </c>
      <c r="FC55" t="str">
        <f>IF(OR(EV55="",ET55=""),"",IF(EV55&gt;IFERROR(VLOOKUP(EU55,Модули_спр,3,FALSE),99),"ЛИШНИЙ КАНАЛ",IF(AND(AJ55&lt;&gt;"=",COUNTIFS(Линии[_модуль гр.],ET55,Линии[Канал (итог)],EV55,Линии[Канал],"&lt;&gt;=",Линии[Щит],A55)&gt;1),"ДУБЛЬ КАНАЛА","")))</f>
        <v/>
      </c>
      <c r="FD55">
        <f t="shared" si="147"/>
        <v>10</v>
      </c>
      <c r="FE55" t="str">
        <f t="shared" si="148"/>
        <v>1P С10А</v>
      </c>
      <c r="FF55">
        <f t="shared" si="149"/>
        <v>0</v>
      </c>
      <c r="FG55">
        <f t="shared" si="150"/>
        <v>0</v>
      </c>
      <c r="FH55" s="6" t="str">
        <f t="shared" si="151"/>
        <v/>
      </c>
      <c r="FI55">
        <f t="shared" si="152"/>
        <v>10</v>
      </c>
      <c r="FJ55" t="str">
        <f t="shared" si="153"/>
        <v/>
      </c>
      <c r="FK55" t="str">
        <f>IF(AND(D55="",EZ55=""),"",_xlfn.TEXTJOIN("; ",TRUE,IF(AND(D55&lt;&gt;"",DD55=""),"нет фазы",""),IF(AND(D55&lt;&gt;"",N(DT55)=0,CN55&lt;&gt;"Нет"),"нет мощности",""),IF(AND(EY55&lt;&gt;"",COUNTIFS(Линии[Щит],A55,Линии[Клемма (итог)],EY55)&gt;1),"дубль клеммы "&amp;EY55,""),IF(AND(FB55&lt;&gt;"",FB55&lt;&gt;"ok"),FB55,""),IF(FC55&lt;&gt;"",FC55,""),IF(AND(ISNUMBER(SEARCH("(5х",DS55)),N(DV55)=1),"5 жил на 1 фазе",""),IF(AND(AT55="R",AD55&lt;&gt;"",OR(N(EH55)=0,N(EH55)&gt;30)),"розетка без дифзащиты до 30 мА",""),IFERROR(IF(AND(ISNUMBER(CD55),CD55&gt;CE55),"потери "&amp;FIXED(CD55,1)&amp;" % &gt; "&amp;CE55&amp;" %",""),""),IFERROR(IF(LEFT(FJ55,4)="мало","Iкз мало — отключение &gt; 0,4 с",""),""),IF(AND(D55&lt;&gt;"",BD55=""),"не на схеме","")))</f>
        <v>нет мощности</v>
      </c>
      <c r="FL55" s="6">
        <f>IF(AD55="","",_xlfn.LET(_xlpm.t,IFERROR(_xlfn.XLOOKUP(EP55,Каталог!$U$4:$U$500,Каталог!$G$4:$G$500),""),_xlpm.k,SEARCH("кА",_xlpm.t),IFERROR(--TRIM(RIGHT(SUBSTITUTE(MID(_xlpm.t,MAX(1,_xlpm.k-4),_xlpm.k-MAX(1,_xlpm.k-4))," ",REPT(" ",9)),5)),"")))</f>
        <v>6</v>
      </c>
      <c r="FM55" t="str">
        <f>IF(OR(FL55="",AD55=""),"",IF(_xlfn.XLOOKUP(A55,Щиты[Щит],Щиты[Iкз max на шинах, кА],"")="","",IF(FL55&lt;_xlfn.XLOOKUP(A55,Щиты[Щит],Щиты[Iкз max на шинах, кА]),"Icu "&amp;FL55&amp;" кА &lt; Iкз max","ok")))</f>
        <v/>
      </c>
      <c r="FN55" t="str">
        <f t="shared" si="154"/>
        <v>QF31|R.1 к.5|XT35</v>
      </c>
      <c r="FO55" t="str">
        <f t="shared" si="155"/>
        <v>QF31|R.1 к.5|XT35|кабель ВВГнг(А)-LS (3х1,5) → Группа освещения  Пом. №10</v>
      </c>
      <c r="FP55" t="str" cm="1">
        <f t="array" ref="FP55">IF(FO55="","",_xlfn.LET(_xlpm.nd,_xlfn.TEXTSPLIT(FO55,"|"),IF(COLUMNS(_xlpm.nd)&gt;1,A55&amp;"¦"&amp;INDEX(_xlpm.nd,1)&amp;"¦"&amp;INDEX(_xlpm.nd,2),"")))</f>
        <v>ЩР¦QF31¦R.1 к.5</v>
      </c>
      <c r="FQ55" t="str">
        <f t="shared" si="156"/>
        <v>L.1.10.2¦Группа освещения  Пом. №10</v>
      </c>
      <c r="FR55" t="str" cm="1">
        <f t="array" ref="FR55">IF(FO55="","",_xlfn.LET(_xlpm.nd,_xlfn.TEXTSPLIT(FO55,"|"),IF(COLUMNS(_xlpm.nd)&gt;2,A55&amp;"¦"&amp;INDEX(_xlpm.nd,2)&amp;"¦"&amp;INDEX(_xlpm.nd,3),"")))</f>
        <v>ЩР¦R.1 к.5¦XT35</v>
      </c>
      <c r="FS55" t="str">
        <f t="shared" si="157"/>
        <v>L.1.10.2¦Группа освещения  Пом. №10</v>
      </c>
      <c r="FT55" t="str" cm="1">
        <f t="array" ref="FT55">IF(FO55="","",_xlfn.LET(_xlpm.nd,_xlfn.TEXTSPLIT(FO55,"|"),IF(COLUMNS(_xlpm.nd)&gt;3,A55&amp;"¦"&amp;INDEX(_xlpm.nd,3)&amp;"¦"&amp;INDEX(_xlpm.nd,4),"")))</f>
        <v>ЩР¦XT35¦кабель ВВГнг(А)-LS (3х1,5) → Группа освещения  Пом. №10</v>
      </c>
      <c r="FU55" t="str">
        <f t="shared" si="158"/>
        <v>L.1.10.2¦Группа освещения  Пом. №10</v>
      </c>
      <c r="FV55" t="str" cm="1">
        <f t="array" ref="FV55">IF(FO55="","",_xlfn.LET(_xlpm.nd,_xlfn.TEXTSPLIT(FO55,"|"),IF(COLUMNS(_xlpm.nd)&gt;4,A55&amp;"¦"&amp;INDEX(_xlpm.nd,4)&amp;"¦"&amp;INDEX(_xlpm.nd,5),"")))</f>
        <v/>
      </c>
      <c r="FW55" t="str">
        <f t="shared" si="159"/>
        <v/>
      </c>
      <c r="FX55" t="str" cm="1">
        <f t="array" ref="FX55">IF(FO55="","",_xlfn.LET(_xlpm.nd,_xlfn.TEXTSPLIT(FO55,"|"),IF(COLUMNS(_xlpm.nd)&gt;5,A55&amp;"¦"&amp;INDEX(_xlpm.nd,5)&amp;"¦"&amp;INDEX(_xlpm.nd,6),"")))</f>
        <v/>
      </c>
      <c r="FY55" t="str">
        <f t="shared" si="160"/>
        <v/>
      </c>
      <c r="FZ55" t="str" cm="1">
        <f t="array" ref="FZ55">IF(FO55="","",_xlfn.LET(_xlpm.nd,_xlfn.TEXTSPLIT(FO55,"|"),IF(COLUMNS(_xlpm.nd)&gt;6,A55&amp;"¦"&amp;INDEX(_xlpm.nd,6)&amp;"¦"&amp;INDEX(_xlpm.nd,7),"")))</f>
        <v/>
      </c>
      <c r="GA55" t="str">
        <f t="shared" si="161"/>
        <v/>
      </c>
      <c r="GB55" t="str">
        <f t="shared" si="162"/>
        <v>ZIOMB24V2</v>
      </c>
      <c r="GC55" t="str">
        <f t="shared" si="163"/>
        <v>QF31 → R.1 к.5 → XT35</v>
      </c>
      <c r="GD55">
        <f t="shared" si="164"/>
        <v>1</v>
      </c>
      <c r="GE55">
        <f t="shared" si="165"/>
        <v>0</v>
      </c>
      <c r="GF55">
        <f t="shared" si="166"/>
        <v>0</v>
      </c>
      <c r="GG55" t="str">
        <f t="shared" si="167"/>
        <v/>
      </c>
      <c r="GH55" t="str">
        <f t="shared" si="168"/>
        <v/>
      </c>
      <c r="GI55" t="str">
        <f t="shared" si="169"/>
        <v/>
      </c>
      <c r="GJ55" t="str">
        <f t="shared" si="170"/>
        <v/>
      </c>
      <c r="GK55" t="str">
        <f>IF(D55="","",IFERROR(VLOOKUP(D55,УГО_спр,2,FALSE),IFERROR(VLOOKUP(AT55,УГО_спр,2,FALSE),IFERROR(VLOOKUP(LEFT(AT55,2),УГО_спр,2,FALSE),""))))</f>
        <v>Светильник</v>
      </c>
      <c r="GL55" t="str">
        <f>IF(D55="","",IF(OR(GK55="",GK55=0),"BOX",IFERROR(IF(VLOOKUP(GK55,УГО_блоки,3,FALSE)&amp;""&lt;&gt;"",VLOOKUP(GK55,УГО_блоки,3,FALSE),VLOOKUP(GK55,УГО_блоки,2,FALSE)),GK55)))</f>
        <v>LAMP</v>
      </c>
      <c r="GM55">
        <f t="shared" si="171"/>
        <v>1</v>
      </c>
      <c r="GN55" t="str">
        <f>IF(EP55="","",IF(COUNTIF(EP$3:EP55,EP55)=1,MAX(GN$2:GN54)+1,""))</f>
        <v/>
      </c>
      <c r="GO55" t="str">
        <f>IF(AF55="","",IF(COUNTIF(AF$3:AF55,AF55)+COUNTIF(AG$2:AG54,AF55)+COUNTIF(AH$2:AH54,AF55)=1,MAX(GO$2:GQ54)+1,""))</f>
        <v/>
      </c>
      <c r="GP55" t="str">
        <f>IF(AG55="","",IF(COUNTIF(AF$3:AF55,AG55)+COUNTIF(AG$3:AG55,AG55)+COUNTIF(AH$2:AH54,AG55)=1,MAX(GO$2:GQ54,GO55)+1,""))</f>
        <v/>
      </c>
      <c r="GQ55" t="str">
        <f>IF(AH55="","",IF(COUNTIF(AF$3:AF55,AH55)+COUNTIF(AG$3:AG55,AH55)+COUNTIF(AH$3:AH55,AH55)=1,MAX(GO$2:GQ54,GO55,GP55)+1,""))</f>
        <v/>
      </c>
      <c r="GR55" t="str">
        <f t="shared" si="172"/>
        <v>3х1,5</v>
      </c>
      <c r="GS55" t="str">
        <f>IF(GR55="","",IF(COUNTIF(GR$3:GR55,GR55)=1,MAX(GS$2:GS54)+1,""))</f>
        <v/>
      </c>
      <c r="GT55" t="str">
        <f>IF(ES55="","",COUNTIF(ES$3:ES55,"?*"))</f>
        <v/>
      </c>
      <c r="GU55" t="str">
        <f>IF(OR(ES55="",EU55=""),"",IF(COUNTIFS(ES$3:ES55,"?*",EU$3:EU55,EU55)=1,MAX(GU$2:GU54)+1,""))</f>
        <v/>
      </c>
      <c r="GV55">
        <f t="shared" si="173"/>
        <v>1</v>
      </c>
      <c r="GW55">
        <f>IF(D55="","",COUNTIF(D$3:D55,"?*"))</f>
        <v>35</v>
      </c>
      <c r="GX55">
        <f>IF(EX55&lt;&gt;1,0,_xlfn.LET(_xlpm.k,MAX(IFERROR(--VLOOKUP(D55,УГО_спр,5,FALSE),0),IFERROR(--VLOOKUP(AT55,УГО_спр,5,FALSE),0),IFERROR(--VLOOKUP(LEFT(AT55,2),УГО_спр,5,FALSE),0)),IF(_xlpm.k&gt;0,_xlpm.k,IF(IFERROR(--LEFT(SUBSTITUTE(GR55,"x","х"),FIND("х",SUBSTITUTE(GR55,"x","х"))-1),3)&gt;3,Каталог!$S$9,1))))</f>
        <v>1</v>
      </c>
      <c r="GY55">
        <f t="shared" si="174"/>
        <v>0</v>
      </c>
    </row>
    <row r="56" spans="1:207" x14ac:dyDescent="0.3">
      <c r="A56" t="s">
        <v>206</v>
      </c>
      <c r="B56">
        <v>58</v>
      </c>
      <c r="C56" t="str">
        <f>IF(BD56="","",IF(BE56="вводной узел","узел ","")&amp;"л."&amp;(INT((BD56-1)/Столбцов_на_лист)+1)&amp;" / "&amp;(MOD(BD56-1,Столбцов_на_лист)+1))</f>
        <v>л.4 / 7</v>
      </c>
      <c r="D56" t="s">
        <v>720</v>
      </c>
      <c r="E56" s="133" t="str">
        <f t="shared" si="175"/>
        <v>Группа освещения  Пом. №14</v>
      </c>
      <c r="H56">
        <v>1</v>
      </c>
      <c r="O56">
        <v>3</v>
      </c>
      <c r="T56">
        <v>2</v>
      </c>
      <c r="V56">
        <v>3</v>
      </c>
      <c r="AN56">
        <v>16.940000000000001</v>
      </c>
      <c r="AO56" t="s">
        <v>721</v>
      </c>
      <c r="AQ56" t="s">
        <v>710</v>
      </c>
      <c r="AR56" t="str">
        <f t="shared" si="88"/>
        <v>нет мощности</v>
      </c>
      <c r="AS56" cm="1">
        <f t="array" ref="AS56">ROW()-ROW(Линии[#Headers])</f>
        <v>54</v>
      </c>
      <c r="AT56" s="6" t="str">
        <f t="shared" si="89"/>
        <v>L</v>
      </c>
      <c r="AU56" t="str">
        <f t="shared" si="90"/>
        <v>1.14.1</v>
      </c>
      <c r="AV56" t="str">
        <f t="shared" si="91"/>
        <v>1</v>
      </c>
      <c r="AW56" t="str">
        <f t="shared" si="92"/>
        <v>14.1</v>
      </c>
      <c r="AX56" t="str">
        <f t="shared" si="93"/>
        <v>14</v>
      </c>
      <c r="AY56" t="str">
        <f>IF(D56="","",IF(ISERROR(SEARCH(".",D56)),IFERROR(VLOOKUP(D56,Потребители_обозначение,2,FALSE)&amp;"",""),IFERROR(IF(VLOOKUP(AT56,Потребители_обозначение,4,FALSE)=1,VLOOKUP(AT56,Потребители_обозначение,2,FALSE)&amp;" "&amp;VLOOKUP(AV56,Этаж_обозначение,2,FALSE)&amp;" Пом. №"&amp;AX56,VLOOKUP(AT56,Потребители_обозначение,2,FALSE)&amp;" Шлейф №"&amp;AV56),IFERROR(VLOOKUP(D56,Потребители_обозначение,2,FALSE),""))))</f>
        <v>Группа освещения  Пом. №14</v>
      </c>
      <c r="AZ56" t="str">
        <f t="shared" si="94"/>
        <v>Группа освещения  Пом. №14</v>
      </c>
      <c r="BA56" t="str">
        <f>IF(F56&lt;&gt;"",F56,IF(AND(D56&lt;&gt;"",D56&lt;&gt;A56,ISNUMBER(_xlfn.XMATCH(D56,Щиты[Щит]))),D56,""))</f>
        <v/>
      </c>
      <c r="BB56">
        <f>IFERROR(_xlfn.XMATCH(A56,Щиты[Щит]),0)</f>
        <v>1</v>
      </c>
      <c r="BC56">
        <f>IFERROR(N(_xlfn.XLOOKUP(A56,Щиты[Щит],Щиты[Мест под вводной узел])),15)</f>
        <v>18</v>
      </c>
      <c r="BD56">
        <f t="shared" si="95"/>
        <v>58</v>
      </c>
      <c r="BE56" t="str">
        <f t="shared" si="96"/>
        <v>линии</v>
      </c>
      <c r="BF56" s="6">
        <f>IF(D56="","",IF(BA56&lt;&gt;"",IFERROR(_xlfn.XLOOKUP(BA56,Щиты[Щит],Щиты[Руст, кВт]),0),N(G56)))</f>
        <v>0</v>
      </c>
      <c r="BG56">
        <f>IF(J56&lt;&gt;"",J56,IF(D56="","",IFERROR(IF(VLOOKUP(AT56,Потребители_обозначение,8,FALSE)=0,"",VLOOKUP(AT56,Потребители_обозначение,8,FALSE)),"")))</f>
        <v>230</v>
      </c>
      <c r="BH56">
        <f>IF(I56&lt;&gt;"",I56,IF(D56="","",IFERROR(IF(VLOOKUP(AT56,Потребители_обозначение,9,FALSE)=0,"",VLOOKUP(AT56,Потребители_обозначение,9,FALSE)),"")))</f>
        <v>1</v>
      </c>
      <c r="BI56" t="str">
        <f>IF(U56&lt;&gt;"",U56,IF(D56="","",IFERROR(IF(VLOOKUP(AT56,Потребители_обозначение,6,FALSE)=0,"",VLOOKUP(AT56,Потребители_обозначение,6,FALSE)),"")))</f>
        <v>мс</v>
      </c>
      <c r="BJ56">
        <f>IF(V56&lt;&gt;"",V56,IF(D56="","",IFERROR(IF(VLOOKUP(AT56,Потребители_обозначение,7,FALSE)=0,"",VLOOKUP(AT56,Потребители_обозначение,7,FALSE)),"")))</f>
        <v>3</v>
      </c>
      <c r="BK56">
        <f>IF(W56&lt;&gt;"",W56,IF(D56="","",IFERROR(IF(VLOOKUP(AT56,Потребители_обозначение,10,FALSE)=0,"",VLOOKUP(AT56,Потребители_обозначение,10,FALSE)),"")))</f>
        <v>1.5</v>
      </c>
      <c r="BL56">
        <f>IFERROR(VLOOKUP(AT56,Потребители_обозначение,5,FALSE),0)</f>
        <v>1</v>
      </c>
      <c r="BM56" s="6" cm="1">
        <f t="array" ref="BM56">IF(D56="","",IF(BA56&lt;&gt;"",IFERROR(_xlfn.XLOOKUP(BA56,Щиты[Щит],Щиты[cos φ]),0.95),IF(ISNUMBER(M56),M56,IFERROR(IF(BL56=2,_xlfn.IFS(BH56=3,VLOOKUP(BF56,Справочная_двигатели,8,FALSE),BH56=1,VLOOKUP(BF56,Справочная_двигатели,10,TRUE)),IF(AND(Методика="нормы 2026",CN56="Сил"),0.8,0.95)),0.95))))</f>
        <v>0.95</v>
      </c>
      <c r="BN56" s="6" cm="1">
        <f t="array" ref="BN56">IF(D56="","",IF(BA56&lt;&gt;"",IFERROR(_xlfn.XLOOKUP(BA56,Щиты[Щит],Щиты[Iр, А]),""),IFERROR(_xlfn.IFS(BH56=1,BF56/((Uн_лин/SQRT(3))*BM56),BH56=3,BF56/(SQRT(3)*Uн_лин*BM56)),"")))</f>
        <v>0</v>
      </c>
      <c r="BO56">
        <f>IF(D56="","",IF(N(X56)=0,IFERROR(VLOOKUP(BN56,Автомат_номиналы,2,TRUE),""),X56))</f>
        <v>6</v>
      </c>
      <c r="BP56">
        <f t="shared" si="97"/>
        <v>1</v>
      </c>
      <c r="BQ56">
        <f>IF(ISNUMBER(Y56),Y56,К_прокл)</f>
        <v>1</v>
      </c>
      <c r="BR56">
        <f t="shared" si="98"/>
        <v>2</v>
      </c>
      <c r="BS56" cm="1">
        <f t="array" ref="BS56">IF(D56="","",IF(N(BK56)&lt;&gt;0,BK56,IFERROR(_xlfn.LET(_xlpm.need,BO56/(BP56*BQ56),_xlpm.t,CHOOSE(BR56,Iдоп_1ж,Iдоп_2ж,Iдоп_3ж),_xlpm.k,_xlfn.XMATCH(_xlpm.need,_xlpm.t,1),IF(ISNA(_xlpm.k),"Не исп",INDEX(Iдоп_S,_xlpm.k))),"Не исп")))</f>
        <v>1.5</v>
      </c>
      <c r="BT56">
        <f>IFERROR(VLOOKUP(BS56,Кабель_сопротивление,3,FALSE),"")</f>
        <v>2.2499999999999999E-2</v>
      </c>
      <c r="BU56">
        <f>IFERROR(VLOOKUP(BS56,Кабель_сопротивление,2,FALSE),"")</f>
        <v>0.11</v>
      </c>
      <c r="BV56">
        <f t="shared" si="99"/>
        <v>17</v>
      </c>
      <c r="BW56" s="6">
        <f>IF(D56="","",IFERROR(IF(VLOOKUP(AT56,Потребители_обозначение,4,FALSE)=1,VLOOKUP(AT56,Потребители_обозначение,3,FALSE)*(H56*2-1)+BV56+VLOOKUP(AV56,Этаж_обозначение,3,FALSE)+VLOOKUP(AV56,Этаж_обозначение,4,FALSE),VLOOKUP(AT56,Потребители_обозначение,3,FALSE)*(H56*2-1)+BV56),BV56))</f>
        <v>18</v>
      </c>
      <c r="BX56">
        <f t="shared" si="100"/>
        <v>0</v>
      </c>
      <c r="BY56">
        <f t="shared" si="101"/>
        <v>14</v>
      </c>
      <c r="BZ56">
        <f t="shared" si="102"/>
        <v>2</v>
      </c>
      <c r="CA56">
        <f t="shared" si="103"/>
        <v>0.31</v>
      </c>
      <c r="CB56">
        <f t="shared" si="104"/>
        <v>0</v>
      </c>
      <c r="CC56" s="6">
        <f>IFERROR(ROUNDUP(CB56/((Uн_лин/SQRT(3))*1000)*100,2),"")</f>
        <v>0</v>
      </c>
      <c r="CD56" s="6">
        <f>IF(ISNUMBER(CC56),CC56+IFERROR(_xlfn.XLOOKUP(A56,Щиты[Щит],Щиты[ΔU до шин, %]),0),"")</f>
        <v>0</v>
      </c>
      <c r="CE56" s="6">
        <f>IF(D56="","",IF(IFERROR(VLOOKUP(AT56,УГО_спр,2,FALSE),"")="Светильник",3,4)+IF(Методика="нормы 2026",MIN(0.5,MAX(0,N(BW56)-100)*0.005),0))</f>
        <v>3</v>
      </c>
      <c r="CF56" t="str">
        <f>IFERROR(VLOOKUP(BI56,Кабель_обозначение,2,FALSE),"")</f>
        <v>ВВГнг(А)-LS</v>
      </c>
      <c r="CG56" t="str">
        <f>IFERROR(IF(VLOOKUP(BI56,Кабель_обозначение,3,FALSE)=1,CF56&amp;" ("&amp;BJ56&amp;"х"&amp;BS56&amp;")",CF56),"")</f>
        <v>ВВГнг(А)-LS (3х1,5)</v>
      </c>
      <c r="CH56" t="str">
        <f t="shared" si="105"/>
        <v>ВВГнг(А)-LS (3х1,5)
L=18-0%</v>
      </c>
      <c r="CI56">
        <f>IFERROR(2*ρкз_Cu*BW56/BS56,"")</f>
        <v>0.63119999999999998</v>
      </c>
      <c r="CJ56">
        <f t="shared" si="106"/>
        <v>0.21000000000000005</v>
      </c>
      <c r="CK56" s="6" t="str">
        <f>IFERROR(IF(OR(D56="",NOT(ISNUMBER(BS56)),N(BW56)=0),"",_xlfn.XLOOKUP(A56,Щиты[Щит],Щиты[Zпетли на шинах, Ом])+CI56),"")</f>
        <v/>
      </c>
      <c r="CL56" s="6" t="str">
        <f>IF(ISNUMBER(CK56),c_min*(Uн_лин*1000/SQRT(3))/CK56,"")</f>
        <v/>
      </c>
      <c r="CM56" s="6" t="str">
        <f>IFERROR(IF(OR(D56="",NOT(ISNUMBER(BS56))),"",1.05*(Uн_лин*1000/SQRT(3))/(_xlfn.XLOOKUP(A56,Щиты[Щит],Щиты[Zmax на шинах, Ом])+CJ56)/1000),"")</f>
        <v/>
      </c>
      <c r="CN56" s="6" t="str">
        <f>IF(D56="","",IF(BA56&lt;&gt;"","Щит",IF(K56&lt;&gt;"",K56,IF(ISNUMBER(L56),"Сил",IF(IFERROR(_xlfn.XLOOKUP(AT56,Коды_код,Коды_группа)&amp;"","")="","Быт",_xlfn.XLOOKUP(AT56,Коды_код,Коды_группа)&amp;"")))))</f>
        <v>Быт</v>
      </c>
      <c r="CO56" s="6">
        <f>IF(CN56="Щит","щит",IF(CN56="","",IF(CN56="Быт",IFERROR(_xlfn.XLOOKUP(A56,Щиты[Щит],Щиты[Кс быт]),1),IF(CN56="Сил",IF(ISNUMBER(L56),L56,IF(Методика="нормы 2026",IFERROR(_xlfn.XLOOKUP(A56,Щиты[Щит],Щиты[Кс силовых (табл. 7.5)]),1),1)),IF(OR(CN56="Пост",CN56="Отоп"),1,IF(CN56="ВНГ",0.7,0))))))</f>
        <v>0.8</v>
      </c>
      <c r="CP56">
        <f t="shared" si="107"/>
        <v>1</v>
      </c>
      <c r="CQ56">
        <f t="shared" si="108"/>
        <v>0</v>
      </c>
      <c r="CR56">
        <f t="shared" si="109"/>
        <v>0</v>
      </c>
      <c r="CS56">
        <f t="shared" si="110"/>
        <v>0</v>
      </c>
      <c r="CT56">
        <f t="shared" si="111"/>
        <v>0</v>
      </c>
      <c r="CU56">
        <f t="shared" si="112"/>
        <v>0</v>
      </c>
      <c r="CV56">
        <f t="shared" si="113"/>
        <v>0</v>
      </c>
      <c r="CW56">
        <f t="shared" si="114"/>
        <v>0</v>
      </c>
      <c r="CX56">
        <f t="shared" si="115"/>
        <v>0</v>
      </c>
      <c r="CY56">
        <f t="shared" si="116"/>
        <v>2</v>
      </c>
      <c r="CZ56" t="str">
        <f t="shared" si="117"/>
        <v>L2</v>
      </c>
      <c r="DA56" cm="1">
        <f t="array" ref="DA56">IFERROR(IF(BL56=2,_xlfn.IFS(BH56=3,VLOOKUP(BF56,Справочная_двигатели,3,FALSE),BH56=1,VLOOKUP(BF56,Справочная_двигатели,5,TRUE)),0),0)</f>
        <v>0</v>
      </c>
      <c r="DB56">
        <f>IFERROR(IF(BL56=3,VLOOKUP(BF56,Справочная_ЛЭД,2,TRUE),0),0)</f>
        <v>0</v>
      </c>
      <c r="DC56" s="6">
        <f t="shared" si="118"/>
        <v>0</v>
      </c>
      <c r="DD56" t="str">
        <f t="shared" si="119"/>
        <v>L3</v>
      </c>
      <c r="DE56" t="str" cm="1">
        <f t="array" ref="DE56">IF(D56="","",IFERROR(INDEX({"I особая","I","II","III"},MATCH(TRIM(AA56&amp;""),{"I особая","I","II","III"},0)),"III"))</f>
        <v>III</v>
      </c>
      <c r="DF56" t="str">
        <f>IF(D56="","",IF(TRIM(AB56&amp;"")&lt;&gt;"",IF(LOWER(TRIM(AB56&amp;""))="да","да","нет"),IF(IFERROR(_xlfn.XLOOKUP(AT56,Коды_код,Коды_пожарная),"")="да","да","нет")))</f>
        <v>нет</v>
      </c>
      <c r="DG56" t="str">
        <f t="shared" si="120"/>
        <v/>
      </c>
      <c r="DH56" t="str">
        <f t="shared" si="121"/>
        <v>основная</v>
      </c>
      <c r="DI56">
        <f t="shared" si="122"/>
        <v>1</v>
      </c>
      <c r="DJ56" t="str" cm="1">
        <f t="array" ref="DJ56">IF(D56="","",_xlfn.LET(_xlpm.t,IFERROR(_xlfn.XLOOKUP(1,(Шины[Шина]=DH56)*(((Шины[Щит]=A56)+(Шины[Щит]=""))&gt;0),Шины[Тип]),"")&amp;"",IF(_xlpm.t&lt;&gt;"",_xlpm.t,IF(ISNUMBER(SEARCH("ИБП",DH56)),"ИБП",IF(ISNUMBER(SEARCH("ДГУ",DH56)),"ДГУ","Ввод "&amp;DI56)))))</f>
        <v>Ввод 1</v>
      </c>
      <c r="DK56" t="str">
        <f t="shared" si="123"/>
        <v>Ввод 1</v>
      </c>
      <c r="DL56" t="str">
        <f>IF(D56="","",IF(OR(DJ56="ИБП",DJ56="ДГУ"),"I особая",IF(DJ56="Одиночная","III",_xlfn.XLOOKUP(A56,Щиты[Щит],Щиты[Категория шины «Ввод»],"III"))))</f>
        <v>III</v>
      </c>
      <c r="DM56">
        <f>IF(D56="",0,IFERROR(MATCH(DE56,{"III","II","I","I особая"},0),1))</f>
        <v>1</v>
      </c>
      <c r="DN56">
        <f t="shared" si="124"/>
        <v>1</v>
      </c>
      <c r="DO56" t="str">
        <f>IF(D56="","",IF(DM56&gt;IFERROR(MATCH(DL56,{"III","II","I","I особая"},0),1),"НЕ ОБЕСПЕЧЕНА","ОК"))</f>
        <v>ОК</v>
      </c>
      <c r="DP56" t="str">
        <f>IF(A56="","",_xlfn.XLOOKUP(A56,Щиты[Щит],Щиты[Путь],""))</f>
        <v>|ЩР|</v>
      </c>
      <c r="DQ56" t="str">
        <f>IF(D56="","",IF(Z56&lt;&gt;"",Z56,IF(IFERROR(_xlfn.XLOOKUP(AT56,Коды_код,Коды_вид)&amp;"","")="","Прочее",_xlfn.XLOOKUP(AT56,Коды_код,Коды_вид)&amp;"")))</f>
        <v>Рабочее освещение</v>
      </c>
      <c r="DR56">
        <f>IF(BD56="","",INT((BD56-1)/Столбцов_на_лист)+1)</f>
        <v>4</v>
      </c>
      <c r="DS56" t="str">
        <f t="shared" si="125"/>
        <v>ВВГнг(А)-LS (3х1,5) L=18-0%</v>
      </c>
      <c r="DT56">
        <f t="shared" si="126"/>
        <v>0</v>
      </c>
      <c r="DU56">
        <f t="shared" si="127"/>
        <v>0</v>
      </c>
      <c r="DV56">
        <f t="shared" si="128"/>
        <v>1</v>
      </c>
      <c r="DW56">
        <f>IF(AT56="",0,_xlfn.LET(_xlpm.v,IFERROR(VLOOKUP(D56,УГО_спр,3,FALSE),IFERROR(VLOOKUP(AT56,УГО_спр,3,FALSE),IFERROR(VLOOKUP(LEFT(AT56,2),УГО_спр,3,FALSE),""))),IF(_xlpm.v="да",30,IF(ISNUMBER(_xlpm.v),_xlpm.v,0))))</f>
        <v>0</v>
      </c>
      <c r="DX56">
        <f t="shared" si="129"/>
        <v>0</v>
      </c>
      <c r="DY56">
        <f>IF(BD56="","",IF(AD56&lt;&gt;"",COUNTIFS(A$3:A56,A56,AD$3:AD56,"?*"),IF(OR(OR(AS56=1,A56&lt;&gt;A55),AL56="вручную"),"",IF(AS56=1,"",DZ55))))</f>
        <v>31</v>
      </c>
      <c r="DZ56">
        <f t="shared" si="130"/>
        <v>31</v>
      </c>
      <c r="EA56">
        <f>IF(D56="",0,MAX(IFERROR(--X56,0),IFERROR(--VLOOKUP(D56,УГО_спр,4,FALSE),IFERROR(--VLOOKUP(AT56,УГО_спр,4,FALSE),IFERROR(--VLOOKUP(LEFT(AT56,2),УГО_спр,4,FALSE),0)))))</f>
        <v>10</v>
      </c>
      <c r="EB56">
        <f>IF(D56="","",IFERROR(LOOKUP(INDEX(CHOOSE(BR56,Iдоп_1ж,Iдоп_2ж,Iдоп_3ж),MATCH(BS56,Iдоп_S,0))*BP56*BQ56,{6,10,16,20,25,32,40,50,63,80,100,125,160,200,250,315,400,500,630}),""))</f>
        <v>16</v>
      </c>
      <c r="EC56" t="str">
        <f>IF(AD56="","",SUMIFS(Линии[_Ток схемы],Линии[_гр.],DY56,Линии[Щит],A56,Линии[_в кабель выше],0))</f>
        <v/>
      </c>
      <c r="ED56" t="str">
        <f>IF(AD56="","",IFERROR(VLOOKUP(EC56,Автомат_номиналы,2,TRUE),""))</f>
        <v/>
      </c>
      <c r="EE56" t="str">
        <f>IF(AD56="","",MAX(N(ED56),_xlfn.MAXIFS(Линии[_мин. по типу],Линии[_гр.],DY56,Линии[Щит],A56)))</f>
        <v/>
      </c>
      <c r="EF56" t="str">
        <f>IF(AD56="","",_xlfn.MINIFS(Линии[_макс. автомат по кабелю],Линии[_гр.],DY56,Линии[Щит],A56))</f>
        <v/>
      </c>
      <c r="EG56" t="str">
        <f>IF(AD56="","",MAX(1,_xlfn.MAXIFS(Линии[_фаз],Линии[_гр.],DY56,Линии[Щит],A56)))</f>
        <v/>
      </c>
      <c r="EH56" t="str">
        <f>IF(AD56="","",IF(AND(AD56&lt;&gt;"авто",AD56&lt;&gt;"+"),IF(ISNUMBER(SEARCH("мА",AD56)),IFERROR(--TRIM(RIGHT(SUBSTITUTE(LEFT(AD56,SEARCH("мА",AD56)-1)," ",REPT(" ",9)),6)),30),0),IF(AE56="нет",0,IF(ISNUMBER(AE56),AE56,IF(AE56="да",30,_xlfn.MINIFS(Линии[_дифзащита по коду, мА],Линии[_гр.],DY56,Линии[Щит],A56,Линии[_дифзащита по коду, мА],"&gt;0"))))))</f>
        <v/>
      </c>
      <c r="EI56" t="str">
        <f t="shared" si="131"/>
        <v/>
      </c>
      <c r="EJ56" t="str">
        <f t="shared" si="132"/>
        <v/>
      </c>
      <c r="EK56" t="str">
        <f t="shared" si="133"/>
        <v>QF31</v>
      </c>
      <c r="EL56" t="str">
        <f t="shared" si="134"/>
        <v/>
      </c>
      <c r="EM56">
        <f t="shared" si="135"/>
        <v>0</v>
      </c>
      <c r="EN56" t="str">
        <f>IF(AD56="","",IF(EM56=1,MAX(EE56,Мин_автомат_БП),EE56))</f>
        <v/>
      </c>
      <c r="EO56" t="str">
        <f t="shared" si="136"/>
        <v/>
      </c>
      <c r="EP56" t="str">
        <f t="shared" si="137"/>
        <v/>
      </c>
      <c r="EQ56" t="str">
        <f t="shared" si="138"/>
        <v/>
      </c>
      <c r="ER56" t="str">
        <f>IF(OR(AI56="",AI56="-"),"",IFERROR(VLOOKUP(AI56,Модули_спр,2,FALSE),"R"))</f>
        <v/>
      </c>
      <c r="ES56" t="str">
        <f>IF(ER56="","",ER56&amp;"."&amp;COUNTIFS(A$3:A56,A56,ER$3:ER56,ER56))</f>
        <v/>
      </c>
      <c r="ET56" t="str">
        <f t="shared" si="139"/>
        <v>R.1</v>
      </c>
      <c r="EU56" t="str">
        <f t="shared" si="140"/>
        <v>ZIOMB24V2</v>
      </c>
      <c r="EV56">
        <f t="shared" si="141"/>
        <v>6</v>
      </c>
      <c r="EW56">
        <f t="shared" si="142"/>
        <v>6</v>
      </c>
      <c r="EX56">
        <f t="shared" si="143"/>
        <v>1</v>
      </c>
      <c r="EY56" t="str">
        <f>IF(AK56="нет","",IF(AK56&lt;&gt;"",AK56,IF(EX56=1,"XT"&amp;COUNTIFS(A$3:A56,A56,EX$3:EX56,1),"")))</f>
        <v>XT36</v>
      </c>
      <c r="EZ56" t="str">
        <f t="shared" si="144"/>
        <v>QF31</v>
      </c>
      <c r="FA56" t="str">
        <f t="shared" si="145"/>
        <v>R.1</v>
      </c>
      <c r="FB56" t="str">
        <f t="shared" si="146"/>
        <v/>
      </c>
      <c r="FC56" t="str">
        <f>IF(OR(EV56="",ET56=""),"",IF(EV56&gt;IFERROR(VLOOKUP(EU56,Модули_спр,3,FALSE),99),"ЛИШНИЙ КАНАЛ",IF(AND(AJ56&lt;&gt;"=",COUNTIFS(Линии[_модуль гр.],ET56,Линии[Канал (итог)],EV56,Линии[Канал],"&lt;&gt;=",Линии[Щит],A56)&gt;1),"ДУБЛЬ КАНАЛА","")))</f>
        <v/>
      </c>
      <c r="FD56">
        <f t="shared" si="147"/>
        <v>10</v>
      </c>
      <c r="FE56" t="str">
        <f t="shared" si="148"/>
        <v>1P С10А</v>
      </c>
      <c r="FF56">
        <f t="shared" si="149"/>
        <v>0</v>
      </c>
      <c r="FG56">
        <f t="shared" si="150"/>
        <v>0</v>
      </c>
      <c r="FH56" s="6" t="str">
        <f t="shared" si="151"/>
        <v/>
      </c>
      <c r="FI56">
        <f t="shared" si="152"/>
        <v>10</v>
      </c>
      <c r="FJ56" t="str">
        <f t="shared" si="153"/>
        <v/>
      </c>
      <c r="FK56" t="str">
        <f>IF(AND(D56="",EZ56=""),"",_xlfn.TEXTJOIN("; ",TRUE,IF(AND(D56&lt;&gt;"",DD56=""),"нет фазы",""),IF(AND(D56&lt;&gt;"",N(DT56)=0,CN56&lt;&gt;"Нет"),"нет мощности",""),IF(AND(EY56&lt;&gt;"",COUNTIFS(Линии[Щит],A56,Линии[Клемма (итог)],EY56)&gt;1),"дубль клеммы "&amp;EY56,""),IF(AND(FB56&lt;&gt;"",FB56&lt;&gt;"ok"),FB56,""),IF(FC56&lt;&gt;"",FC56,""),IF(AND(ISNUMBER(SEARCH("(5х",DS56)),N(DV56)=1),"5 жил на 1 фазе",""),IF(AND(AT56="R",AD56&lt;&gt;"",OR(N(EH56)=0,N(EH56)&gt;30)),"розетка без дифзащиты до 30 мА",""),IFERROR(IF(AND(ISNUMBER(CD56),CD56&gt;CE56),"потери "&amp;FIXED(CD56,1)&amp;" % &gt; "&amp;CE56&amp;" %",""),""),IFERROR(IF(LEFT(FJ56,4)="мало","Iкз мало — отключение &gt; 0,4 с",""),""),IF(AND(D56&lt;&gt;"",BD56=""),"не на схеме","")))</f>
        <v>нет мощности</v>
      </c>
      <c r="FL56" s="6" t="str">
        <f>IF(AD56="","",_xlfn.LET(_xlpm.t,IFERROR(_xlfn.XLOOKUP(EP56,Каталог!$U$4:$U$500,Каталог!$G$4:$G$500),""),_xlpm.k,SEARCH("кА",_xlpm.t),IFERROR(--TRIM(RIGHT(SUBSTITUTE(MID(_xlpm.t,MAX(1,_xlpm.k-4),_xlpm.k-MAX(1,_xlpm.k-4))," ",REPT(" ",9)),5)),"")))</f>
        <v/>
      </c>
      <c r="FM56" t="str">
        <f>IF(OR(FL56="",AD56=""),"",IF(_xlfn.XLOOKUP(A56,Щиты[Щит],Щиты[Iкз max на шинах, кА],"")="","",IF(FL56&lt;_xlfn.XLOOKUP(A56,Щиты[Щит],Щиты[Iкз max на шинах, кА]),"Icu "&amp;FL56&amp;" кА &lt; Iкз max","ok")))</f>
        <v/>
      </c>
      <c r="FN56" t="str">
        <f t="shared" si="154"/>
        <v>QF31|R.1 к.6|XT36</v>
      </c>
      <c r="FO56" t="str">
        <f t="shared" si="155"/>
        <v>QF31|R.1 к.6|XT36|кабель ВВГнг(А)-LS (3х1,5) → Группа освещения  Пом. №14</v>
      </c>
      <c r="FP56" t="str" cm="1">
        <f t="array" ref="FP56">IF(FO56="","",_xlfn.LET(_xlpm.nd,_xlfn.TEXTSPLIT(FO56,"|"),IF(COLUMNS(_xlpm.nd)&gt;1,A56&amp;"¦"&amp;INDEX(_xlpm.nd,1)&amp;"¦"&amp;INDEX(_xlpm.nd,2),"")))</f>
        <v>ЩР¦QF31¦R.1 к.6</v>
      </c>
      <c r="FQ56" t="str">
        <f t="shared" si="156"/>
        <v>L.1.14.1¦Группа освещения  Пом. №14</v>
      </c>
      <c r="FR56" t="str" cm="1">
        <f t="array" ref="FR56">IF(FO56="","",_xlfn.LET(_xlpm.nd,_xlfn.TEXTSPLIT(FO56,"|"),IF(COLUMNS(_xlpm.nd)&gt;2,A56&amp;"¦"&amp;INDEX(_xlpm.nd,2)&amp;"¦"&amp;INDEX(_xlpm.nd,3),"")))</f>
        <v>ЩР¦R.1 к.6¦XT36</v>
      </c>
      <c r="FS56" t="str">
        <f t="shared" si="157"/>
        <v>L.1.14.1¦Группа освещения  Пом. №14</v>
      </c>
      <c r="FT56" t="str" cm="1">
        <f t="array" ref="FT56">IF(FO56="","",_xlfn.LET(_xlpm.nd,_xlfn.TEXTSPLIT(FO56,"|"),IF(COLUMNS(_xlpm.nd)&gt;3,A56&amp;"¦"&amp;INDEX(_xlpm.nd,3)&amp;"¦"&amp;INDEX(_xlpm.nd,4),"")))</f>
        <v>ЩР¦XT36¦кабель ВВГнг(А)-LS (3х1,5) → Группа освещения  Пом. №14</v>
      </c>
      <c r="FU56" t="str">
        <f t="shared" si="158"/>
        <v>L.1.14.1¦Группа освещения  Пом. №14</v>
      </c>
      <c r="FV56" t="str" cm="1">
        <f t="array" ref="FV56">IF(FO56="","",_xlfn.LET(_xlpm.nd,_xlfn.TEXTSPLIT(FO56,"|"),IF(COLUMNS(_xlpm.nd)&gt;4,A56&amp;"¦"&amp;INDEX(_xlpm.nd,4)&amp;"¦"&amp;INDEX(_xlpm.nd,5),"")))</f>
        <v/>
      </c>
      <c r="FW56" t="str">
        <f t="shared" si="159"/>
        <v/>
      </c>
      <c r="FX56" t="str" cm="1">
        <f t="array" ref="FX56">IF(FO56="","",_xlfn.LET(_xlpm.nd,_xlfn.TEXTSPLIT(FO56,"|"),IF(COLUMNS(_xlpm.nd)&gt;5,A56&amp;"¦"&amp;INDEX(_xlpm.nd,5)&amp;"¦"&amp;INDEX(_xlpm.nd,6),"")))</f>
        <v/>
      </c>
      <c r="FY56" t="str">
        <f t="shared" si="160"/>
        <v/>
      </c>
      <c r="FZ56" t="str" cm="1">
        <f t="array" ref="FZ56">IF(FO56="","",_xlfn.LET(_xlpm.nd,_xlfn.TEXTSPLIT(FO56,"|"),IF(COLUMNS(_xlpm.nd)&gt;6,A56&amp;"¦"&amp;INDEX(_xlpm.nd,6)&amp;"¦"&amp;INDEX(_xlpm.nd,7),"")))</f>
        <v/>
      </c>
      <c r="GA56" t="str">
        <f t="shared" si="161"/>
        <v/>
      </c>
      <c r="GB56" t="str">
        <f t="shared" si="162"/>
        <v>ZIOMB24V2</v>
      </c>
      <c r="GC56" t="str">
        <f t="shared" si="163"/>
        <v>QF31 → R.1 к.6 → XT36</v>
      </c>
      <c r="GD56">
        <f t="shared" si="164"/>
        <v>1</v>
      </c>
      <c r="GE56">
        <f t="shared" si="165"/>
        <v>0</v>
      </c>
      <c r="GF56">
        <f t="shared" si="166"/>
        <v>0</v>
      </c>
      <c r="GG56" t="str">
        <f t="shared" si="167"/>
        <v/>
      </c>
      <c r="GH56" t="str">
        <f t="shared" si="168"/>
        <v/>
      </c>
      <c r="GI56" t="str">
        <f t="shared" si="169"/>
        <v/>
      </c>
      <c r="GJ56" t="str">
        <f t="shared" si="170"/>
        <v/>
      </c>
      <c r="GK56" t="str">
        <f>IF(D56="","",IFERROR(VLOOKUP(D56,УГО_спр,2,FALSE),IFERROR(VLOOKUP(AT56,УГО_спр,2,FALSE),IFERROR(VLOOKUP(LEFT(AT56,2),УГО_спр,2,FALSE),""))))</f>
        <v>Светильник</v>
      </c>
      <c r="GL56" t="str">
        <f>IF(D56="","",IF(OR(GK56="",GK56=0),"BOX",IFERROR(IF(VLOOKUP(GK56,УГО_блоки,3,FALSE)&amp;""&lt;&gt;"",VLOOKUP(GK56,УГО_блоки,3,FALSE),VLOOKUP(GK56,УГО_блоки,2,FALSE)),GK56)))</f>
        <v>LAMP</v>
      </c>
      <c r="GM56">
        <f t="shared" si="171"/>
        <v>1</v>
      </c>
      <c r="GN56" t="str">
        <f>IF(EP56="","",IF(COUNTIF(EP$3:EP56,EP56)=1,MAX(GN$2:GN55)+1,""))</f>
        <v/>
      </c>
      <c r="GO56" t="str">
        <f>IF(AF56="","",IF(COUNTIF(AF$3:AF56,AF56)+COUNTIF(AG$2:AG55,AF56)+COUNTIF(AH$2:AH55,AF56)=1,MAX(GO$2:GQ55)+1,""))</f>
        <v/>
      </c>
      <c r="GP56" t="str">
        <f>IF(AG56="","",IF(COUNTIF(AF$3:AF56,AG56)+COUNTIF(AG$3:AG56,AG56)+COUNTIF(AH$2:AH55,AG56)=1,MAX(GO$2:GQ55,GO56)+1,""))</f>
        <v/>
      </c>
      <c r="GQ56" t="str">
        <f>IF(AH56="","",IF(COUNTIF(AF$3:AF56,AH56)+COUNTIF(AG$3:AG56,AH56)+COUNTIF(AH$3:AH56,AH56)=1,MAX(GO$2:GQ55,GO56,GP56)+1,""))</f>
        <v/>
      </c>
      <c r="GR56" t="str">
        <f t="shared" si="172"/>
        <v>3х1,5</v>
      </c>
      <c r="GS56" t="str">
        <f>IF(GR56="","",IF(COUNTIF(GR$3:GR56,GR56)=1,MAX(GS$2:GS55)+1,""))</f>
        <v/>
      </c>
      <c r="GT56" t="str">
        <f>IF(ES56="","",COUNTIF(ES$3:ES56,"?*"))</f>
        <v/>
      </c>
      <c r="GU56" t="str">
        <f>IF(OR(ES56="",EU56=""),"",IF(COUNTIFS(ES$3:ES56,"?*",EU$3:EU56,EU56)=1,MAX(GU$2:GU55)+1,""))</f>
        <v/>
      </c>
      <c r="GV56">
        <f t="shared" si="173"/>
        <v>1</v>
      </c>
      <c r="GW56">
        <f>IF(D56="","",COUNTIF(D$3:D56,"?*"))</f>
        <v>36</v>
      </c>
      <c r="GX56">
        <f>IF(EX56&lt;&gt;1,0,_xlfn.LET(_xlpm.k,MAX(IFERROR(--VLOOKUP(D56,УГО_спр,5,FALSE),0),IFERROR(--VLOOKUP(AT56,УГО_спр,5,FALSE),0),IFERROR(--VLOOKUP(LEFT(AT56,2),УГО_спр,5,FALSE),0)),IF(_xlpm.k&gt;0,_xlpm.k,IF(IFERROR(--LEFT(SUBSTITUTE(GR56,"x","х"),FIND("х",SUBSTITUTE(GR56,"x","х"))-1),3)&gt;3,Каталог!$S$9,1))))</f>
        <v>1</v>
      </c>
      <c r="GY56">
        <f t="shared" si="174"/>
        <v>0</v>
      </c>
    </row>
    <row r="57" spans="1:207" x14ac:dyDescent="0.3">
      <c r="A57" t="s">
        <v>206</v>
      </c>
      <c r="B57">
        <v>59</v>
      </c>
      <c r="C57" t="str">
        <f>IF(BD57="","",IF(BE57="вводной узел","узел ","")&amp;"л."&amp;(INT((BD57-1)/Столбцов_на_лист)+1)&amp;" / "&amp;(MOD(BD57-1,Столбцов_на_лист)+1))</f>
        <v>л.4 / 8</v>
      </c>
      <c r="D57" t="s">
        <v>718</v>
      </c>
      <c r="E57" s="133" t="str">
        <f t="shared" si="175"/>
        <v>Группа освещения  Пом. №14</v>
      </c>
      <c r="H57">
        <v>1</v>
      </c>
      <c r="O57">
        <v>1</v>
      </c>
      <c r="T57">
        <v>2</v>
      </c>
      <c r="V57">
        <v>3</v>
      </c>
      <c r="AN57">
        <v>21.61</v>
      </c>
      <c r="AO57" t="s">
        <v>719</v>
      </c>
      <c r="AQ57" t="s">
        <v>710</v>
      </c>
      <c r="AR57" t="str">
        <f t="shared" si="88"/>
        <v>нет мощности</v>
      </c>
      <c r="AS57" cm="1">
        <f t="array" ref="AS57">ROW()-ROW(Линии[#Headers])</f>
        <v>55</v>
      </c>
      <c r="AT57" s="6" t="str">
        <f t="shared" si="89"/>
        <v>L</v>
      </c>
      <c r="AU57" t="str">
        <f t="shared" si="90"/>
        <v>1.14.2</v>
      </c>
      <c r="AV57" t="str">
        <f t="shared" si="91"/>
        <v>1</v>
      </c>
      <c r="AW57" t="str">
        <f t="shared" si="92"/>
        <v>14.2</v>
      </c>
      <c r="AX57" t="str">
        <f t="shared" si="93"/>
        <v>14</v>
      </c>
      <c r="AY57" t="str">
        <f>IF(D57="","",IF(ISERROR(SEARCH(".",D57)),IFERROR(VLOOKUP(D57,Потребители_обозначение,2,FALSE)&amp;"",""),IFERROR(IF(VLOOKUP(AT57,Потребители_обозначение,4,FALSE)=1,VLOOKUP(AT57,Потребители_обозначение,2,FALSE)&amp;" "&amp;VLOOKUP(AV57,Этаж_обозначение,2,FALSE)&amp;" Пом. №"&amp;AX57,VLOOKUP(AT57,Потребители_обозначение,2,FALSE)&amp;" Шлейф №"&amp;AV57),IFERROR(VLOOKUP(D57,Потребители_обозначение,2,FALSE),""))))</f>
        <v>Группа освещения  Пом. №14</v>
      </c>
      <c r="AZ57" t="str">
        <f t="shared" si="94"/>
        <v>Группа освещения  Пом. №14</v>
      </c>
      <c r="BA57" t="str">
        <f>IF(F57&lt;&gt;"",F57,IF(AND(D57&lt;&gt;"",D57&lt;&gt;A57,ISNUMBER(_xlfn.XMATCH(D57,Щиты[Щит]))),D57,""))</f>
        <v/>
      </c>
      <c r="BB57">
        <f>IFERROR(_xlfn.XMATCH(A57,Щиты[Щит]),0)</f>
        <v>1</v>
      </c>
      <c r="BC57">
        <f>IFERROR(N(_xlfn.XLOOKUP(A57,Щиты[Щит],Щиты[Мест под вводной узел])),15)</f>
        <v>18</v>
      </c>
      <c r="BD57">
        <f t="shared" si="95"/>
        <v>59</v>
      </c>
      <c r="BE57" t="str">
        <f t="shared" si="96"/>
        <v>линии</v>
      </c>
      <c r="BF57" s="6">
        <f>IF(D57="","",IF(BA57&lt;&gt;"",IFERROR(_xlfn.XLOOKUP(BA57,Щиты[Щит],Щиты[Руст, кВт]),0),N(G57)))</f>
        <v>0</v>
      </c>
      <c r="BG57">
        <f>IF(J57&lt;&gt;"",J57,IF(D57="","",IFERROR(IF(VLOOKUP(AT57,Потребители_обозначение,8,FALSE)=0,"",VLOOKUP(AT57,Потребители_обозначение,8,FALSE)),"")))</f>
        <v>230</v>
      </c>
      <c r="BH57">
        <f>IF(I57&lt;&gt;"",I57,IF(D57="","",IFERROR(IF(VLOOKUP(AT57,Потребители_обозначение,9,FALSE)=0,"",VLOOKUP(AT57,Потребители_обозначение,9,FALSE)),"")))</f>
        <v>1</v>
      </c>
      <c r="BI57" t="str">
        <f>IF(U57&lt;&gt;"",U57,IF(D57="","",IFERROR(IF(VLOOKUP(AT57,Потребители_обозначение,6,FALSE)=0,"",VLOOKUP(AT57,Потребители_обозначение,6,FALSE)),"")))</f>
        <v>мс</v>
      </c>
      <c r="BJ57">
        <f>IF(V57&lt;&gt;"",V57,IF(D57="","",IFERROR(IF(VLOOKUP(AT57,Потребители_обозначение,7,FALSE)=0,"",VLOOKUP(AT57,Потребители_обозначение,7,FALSE)),"")))</f>
        <v>3</v>
      </c>
      <c r="BK57">
        <f>IF(W57&lt;&gt;"",W57,IF(D57="","",IFERROR(IF(VLOOKUP(AT57,Потребители_обозначение,10,FALSE)=0,"",VLOOKUP(AT57,Потребители_обозначение,10,FALSE)),"")))</f>
        <v>1.5</v>
      </c>
      <c r="BL57">
        <f>IFERROR(VLOOKUP(AT57,Потребители_обозначение,5,FALSE),0)</f>
        <v>1</v>
      </c>
      <c r="BM57" s="6" cm="1">
        <f t="array" ref="BM57">IF(D57="","",IF(BA57&lt;&gt;"",IFERROR(_xlfn.XLOOKUP(BA57,Щиты[Щит],Щиты[cos φ]),0.95),IF(ISNUMBER(M57),M57,IFERROR(IF(BL57=2,_xlfn.IFS(BH57=3,VLOOKUP(BF57,Справочная_двигатели,8,FALSE),BH57=1,VLOOKUP(BF57,Справочная_двигатели,10,TRUE)),IF(AND(Методика="нормы 2026",CN57="Сил"),0.8,0.95)),0.95))))</f>
        <v>0.95</v>
      </c>
      <c r="BN57" s="6" cm="1">
        <f t="array" ref="BN57">IF(D57="","",IF(BA57&lt;&gt;"",IFERROR(_xlfn.XLOOKUP(BA57,Щиты[Щит],Щиты[Iр, А]),""),IFERROR(_xlfn.IFS(BH57=1,BF57/((Uн_лин/SQRT(3))*BM57),BH57=3,BF57/(SQRT(3)*Uн_лин*BM57)),"")))</f>
        <v>0</v>
      </c>
      <c r="BO57">
        <f>IF(D57="","",IF(N(X57)=0,IFERROR(VLOOKUP(BN57,Автомат_номиналы,2,TRUE),""),X57))</f>
        <v>6</v>
      </c>
      <c r="BP57">
        <f t="shared" si="97"/>
        <v>1</v>
      </c>
      <c r="BQ57">
        <f>IF(ISNUMBER(Y57),Y57,К_прокл)</f>
        <v>1</v>
      </c>
      <c r="BR57">
        <f t="shared" si="98"/>
        <v>2</v>
      </c>
      <c r="BS57" cm="1">
        <f t="array" ref="BS57">IF(D57="","",IF(N(BK57)&lt;&gt;0,BK57,IFERROR(_xlfn.LET(_xlpm.need,BO57/(BP57*BQ57),_xlpm.t,CHOOSE(BR57,Iдоп_1ж,Iдоп_2ж,Iдоп_3ж),_xlpm.k,_xlfn.XMATCH(_xlpm.need,_xlpm.t,1),IF(ISNA(_xlpm.k),"Не исп",INDEX(Iдоп_S,_xlpm.k))),"Не исп")))</f>
        <v>1.5</v>
      </c>
      <c r="BT57">
        <f>IFERROR(VLOOKUP(BS57,Кабель_сопротивление,3,FALSE),"")</f>
        <v>2.2499999999999999E-2</v>
      </c>
      <c r="BU57">
        <f>IFERROR(VLOOKUP(BS57,Кабель_сопротивление,2,FALSE),"")</f>
        <v>0.11</v>
      </c>
      <c r="BV57">
        <f t="shared" si="99"/>
        <v>22</v>
      </c>
      <c r="BW57" s="6">
        <f>IF(D57="","",IFERROR(IF(VLOOKUP(AT57,Потребители_обозначение,4,FALSE)=1,VLOOKUP(AT57,Потребители_обозначение,3,FALSE)*(H57*2-1)+BV57+VLOOKUP(AV57,Этаж_обозначение,3,FALSE)+VLOOKUP(AV57,Этаж_обозначение,4,FALSE),VLOOKUP(AT57,Потребители_обозначение,3,FALSE)*(H57*2-1)+BV57),BV57))</f>
        <v>23</v>
      </c>
      <c r="BX57">
        <f t="shared" si="100"/>
        <v>0</v>
      </c>
      <c r="BY57">
        <f t="shared" si="101"/>
        <v>19</v>
      </c>
      <c r="BZ57">
        <f t="shared" si="102"/>
        <v>2</v>
      </c>
      <c r="CA57">
        <f t="shared" si="103"/>
        <v>0.31</v>
      </c>
      <c r="CB57">
        <f t="shared" si="104"/>
        <v>0</v>
      </c>
      <c r="CC57" s="6">
        <f>IFERROR(ROUNDUP(CB57/((Uн_лин/SQRT(3))*1000)*100,2),"")</f>
        <v>0</v>
      </c>
      <c r="CD57" s="6">
        <f>IF(ISNUMBER(CC57),CC57+IFERROR(_xlfn.XLOOKUP(A57,Щиты[Щит],Щиты[ΔU до шин, %]),0),"")</f>
        <v>0</v>
      </c>
      <c r="CE57" s="6">
        <f>IF(D57="","",IF(IFERROR(VLOOKUP(AT57,УГО_спр,2,FALSE),"")="Светильник",3,4)+IF(Методика="нормы 2026",MIN(0.5,MAX(0,N(BW57)-100)*0.005),0))</f>
        <v>3</v>
      </c>
      <c r="CF57" t="str">
        <f>IFERROR(VLOOKUP(BI57,Кабель_обозначение,2,FALSE),"")</f>
        <v>ВВГнг(А)-LS</v>
      </c>
      <c r="CG57" t="str">
        <f>IFERROR(IF(VLOOKUP(BI57,Кабель_обозначение,3,FALSE)=1,CF57&amp;" ("&amp;BJ57&amp;"х"&amp;BS57&amp;")",CF57),"")</f>
        <v>ВВГнг(А)-LS (3х1,5)</v>
      </c>
      <c r="CH57" t="str">
        <f t="shared" si="105"/>
        <v>ВВГнг(А)-LS (3х1,5)
L=23-0%</v>
      </c>
      <c r="CI57">
        <f>IFERROR(2*ρкз_Cu*BW57/BS57,"")</f>
        <v>0.80653333333333332</v>
      </c>
      <c r="CJ57">
        <f t="shared" si="106"/>
        <v>0.26833333333333337</v>
      </c>
      <c r="CK57" s="6" t="str">
        <f>IFERROR(IF(OR(D57="",NOT(ISNUMBER(BS57)),N(BW57)=0),"",_xlfn.XLOOKUP(A57,Щиты[Щит],Щиты[Zпетли на шинах, Ом])+CI57),"")</f>
        <v/>
      </c>
      <c r="CL57" s="6" t="str">
        <f>IF(ISNUMBER(CK57),c_min*(Uн_лин*1000/SQRT(3))/CK57,"")</f>
        <v/>
      </c>
      <c r="CM57" s="6" t="str">
        <f>IFERROR(IF(OR(D57="",NOT(ISNUMBER(BS57))),"",1.05*(Uн_лин*1000/SQRT(3))/(_xlfn.XLOOKUP(A57,Щиты[Щит],Щиты[Zmax на шинах, Ом])+CJ57)/1000),"")</f>
        <v/>
      </c>
      <c r="CN57" s="6" t="str">
        <f>IF(D57="","",IF(BA57&lt;&gt;"","Щит",IF(K57&lt;&gt;"",K57,IF(ISNUMBER(L57),"Сил",IF(IFERROR(_xlfn.XLOOKUP(AT57,Коды_код,Коды_группа)&amp;"","")="","Быт",_xlfn.XLOOKUP(AT57,Коды_код,Коды_группа)&amp;"")))))</f>
        <v>Быт</v>
      </c>
      <c r="CO57" s="6">
        <f>IF(CN57="Щит","щит",IF(CN57="","",IF(CN57="Быт",IFERROR(_xlfn.XLOOKUP(A57,Щиты[Щит],Щиты[Кс быт]),1),IF(CN57="Сил",IF(ISNUMBER(L57),L57,IF(Методика="нормы 2026",IFERROR(_xlfn.XLOOKUP(A57,Щиты[Щит],Щиты[Кс силовых (табл. 7.5)]),1),1)),IF(OR(CN57="Пост",CN57="Отоп"),1,IF(CN57="ВНГ",0.7,0))))))</f>
        <v>0.8</v>
      </c>
      <c r="CP57">
        <f t="shared" si="107"/>
        <v>1</v>
      </c>
      <c r="CQ57">
        <f t="shared" si="108"/>
        <v>0</v>
      </c>
      <c r="CR57">
        <f t="shared" si="109"/>
        <v>0</v>
      </c>
      <c r="CS57">
        <f t="shared" si="110"/>
        <v>0</v>
      </c>
      <c r="CT57">
        <f t="shared" si="111"/>
        <v>0</v>
      </c>
      <c r="CU57">
        <f t="shared" si="112"/>
        <v>0</v>
      </c>
      <c r="CV57">
        <f t="shared" si="113"/>
        <v>0</v>
      </c>
      <c r="CW57">
        <f t="shared" si="114"/>
        <v>0</v>
      </c>
      <c r="CX57">
        <f t="shared" si="115"/>
        <v>0</v>
      </c>
      <c r="CY57">
        <f t="shared" si="116"/>
        <v>3</v>
      </c>
      <c r="CZ57" t="str">
        <f t="shared" si="117"/>
        <v>L3</v>
      </c>
      <c r="DA57" cm="1">
        <f t="array" ref="DA57">IFERROR(IF(BL57=2,_xlfn.IFS(BH57=3,VLOOKUP(BF57,Справочная_двигатели,3,FALSE),BH57=1,VLOOKUP(BF57,Справочная_двигатели,5,TRUE)),0),0)</f>
        <v>0</v>
      </c>
      <c r="DB57">
        <f>IFERROR(IF(BL57=3,VLOOKUP(BF57,Справочная_ЛЭД,2,TRUE),0),0)</f>
        <v>0</v>
      </c>
      <c r="DC57" s="6">
        <f t="shared" si="118"/>
        <v>0</v>
      </c>
      <c r="DD57" t="str">
        <f t="shared" si="119"/>
        <v>L1</v>
      </c>
      <c r="DE57" t="str" cm="1">
        <f t="array" ref="DE57">IF(D57="","",IFERROR(INDEX({"I особая","I","II","III"},MATCH(TRIM(AA57&amp;""),{"I особая","I","II","III"},0)),"III"))</f>
        <v>III</v>
      </c>
      <c r="DF57" t="str">
        <f>IF(D57="","",IF(TRIM(AB57&amp;"")&lt;&gt;"",IF(LOWER(TRIM(AB57&amp;""))="да","да","нет"),IF(IFERROR(_xlfn.XLOOKUP(AT57,Коды_код,Коды_пожарная),"")="да","да","нет")))</f>
        <v>нет</v>
      </c>
      <c r="DG57" t="str">
        <f t="shared" si="120"/>
        <v/>
      </c>
      <c r="DH57" t="str">
        <f t="shared" si="121"/>
        <v>основная</v>
      </c>
      <c r="DI57">
        <f t="shared" si="122"/>
        <v>1</v>
      </c>
      <c r="DJ57" t="str" cm="1">
        <f t="array" ref="DJ57">IF(D57="","",_xlfn.LET(_xlpm.t,IFERROR(_xlfn.XLOOKUP(1,(Шины[Шина]=DH57)*(((Шины[Щит]=A57)+(Шины[Щит]=""))&gt;0),Шины[Тип]),"")&amp;"",IF(_xlpm.t&lt;&gt;"",_xlpm.t,IF(ISNUMBER(SEARCH("ИБП",DH57)),"ИБП",IF(ISNUMBER(SEARCH("ДГУ",DH57)),"ДГУ","Ввод "&amp;DI57)))))</f>
        <v>Ввод 1</v>
      </c>
      <c r="DK57" t="str">
        <f t="shared" si="123"/>
        <v>Ввод 1</v>
      </c>
      <c r="DL57" t="str">
        <f>IF(D57="","",IF(OR(DJ57="ИБП",DJ57="ДГУ"),"I особая",IF(DJ57="Одиночная","III",_xlfn.XLOOKUP(A57,Щиты[Щит],Щиты[Категория шины «Ввод»],"III"))))</f>
        <v>III</v>
      </c>
      <c r="DM57">
        <f>IF(D57="",0,IFERROR(MATCH(DE57,{"III","II","I","I особая"},0),1))</f>
        <v>1</v>
      </c>
      <c r="DN57">
        <f t="shared" si="124"/>
        <v>1</v>
      </c>
      <c r="DO57" t="str">
        <f>IF(D57="","",IF(DM57&gt;IFERROR(MATCH(DL57,{"III","II","I","I особая"},0),1),"НЕ ОБЕСПЕЧЕНА","ОК"))</f>
        <v>ОК</v>
      </c>
      <c r="DP57" t="str">
        <f>IF(A57="","",_xlfn.XLOOKUP(A57,Щиты[Щит],Щиты[Путь],""))</f>
        <v>|ЩР|</v>
      </c>
      <c r="DQ57" t="str">
        <f>IF(D57="","",IF(Z57&lt;&gt;"",Z57,IF(IFERROR(_xlfn.XLOOKUP(AT57,Коды_код,Коды_вид)&amp;"","")="","Прочее",_xlfn.XLOOKUP(AT57,Коды_код,Коды_вид)&amp;"")))</f>
        <v>Рабочее освещение</v>
      </c>
      <c r="DR57">
        <f>IF(BD57="","",INT((BD57-1)/Столбцов_на_лист)+1)</f>
        <v>4</v>
      </c>
      <c r="DS57" t="str">
        <f t="shared" si="125"/>
        <v>ВВГнг(А)-LS (3х1,5) L=23-0%</v>
      </c>
      <c r="DT57">
        <f t="shared" si="126"/>
        <v>0</v>
      </c>
      <c r="DU57">
        <f t="shared" si="127"/>
        <v>0</v>
      </c>
      <c r="DV57">
        <f t="shared" si="128"/>
        <v>1</v>
      </c>
      <c r="DW57">
        <f>IF(AT57="",0,_xlfn.LET(_xlpm.v,IFERROR(VLOOKUP(D57,УГО_спр,3,FALSE),IFERROR(VLOOKUP(AT57,УГО_спр,3,FALSE),IFERROR(VLOOKUP(LEFT(AT57,2),УГО_спр,3,FALSE),""))),IF(_xlpm.v="да",30,IF(ISNUMBER(_xlpm.v),_xlpm.v,0))))</f>
        <v>0</v>
      </c>
      <c r="DX57">
        <f t="shared" si="129"/>
        <v>0</v>
      </c>
      <c r="DY57">
        <f>IF(BD57="","",IF(AD57&lt;&gt;"",COUNTIFS(A$3:A57,A57,AD$3:AD57,"?*"),IF(OR(OR(AS57=1,A57&lt;&gt;A56),AL57="вручную"),"",IF(AS57=1,"",DZ56))))</f>
        <v>31</v>
      </c>
      <c r="DZ57">
        <f t="shared" si="130"/>
        <v>31</v>
      </c>
      <c r="EA57">
        <f>IF(D57="",0,MAX(IFERROR(--X57,0),IFERROR(--VLOOKUP(D57,УГО_спр,4,FALSE),IFERROR(--VLOOKUP(AT57,УГО_спр,4,FALSE),IFERROR(--VLOOKUP(LEFT(AT57,2),УГО_спр,4,FALSE),0)))))</f>
        <v>10</v>
      </c>
      <c r="EB57">
        <f>IF(D57="","",IFERROR(LOOKUP(INDEX(CHOOSE(BR57,Iдоп_1ж,Iдоп_2ж,Iдоп_3ж),MATCH(BS57,Iдоп_S,0))*BP57*BQ57,{6,10,16,20,25,32,40,50,63,80,100,125,160,200,250,315,400,500,630}),""))</f>
        <v>16</v>
      </c>
      <c r="EC57" t="str">
        <f>IF(AD57="","",SUMIFS(Линии[_Ток схемы],Линии[_гр.],DY57,Линии[Щит],A57,Линии[_в кабель выше],0))</f>
        <v/>
      </c>
      <c r="ED57" t="str">
        <f>IF(AD57="","",IFERROR(VLOOKUP(EC57,Автомат_номиналы,2,TRUE),""))</f>
        <v/>
      </c>
      <c r="EE57" t="str">
        <f>IF(AD57="","",MAX(N(ED57),_xlfn.MAXIFS(Линии[_мин. по типу],Линии[_гр.],DY57,Линии[Щит],A57)))</f>
        <v/>
      </c>
      <c r="EF57" t="str">
        <f>IF(AD57="","",_xlfn.MINIFS(Линии[_макс. автомат по кабелю],Линии[_гр.],DY57,Линии[Щит],A57))</f>
        <v/>
      </c>
      <c r="EG57" t="str">
        <f>IF(AD57="","",MAX(1,_xlfn.MAXIFS(Линии[_фаз],Линии[_гр.],DY57,Линии[Щит],A57)))</f>
        <v/>
      </c>
      <c r="EH57" t="str">
        <f>IF(AD57="","",IF(AND(AD57&lt;&gt;"авто",AD57&lt;&gt;"+"),IF(ISNUMBER(SEARCH("мА",AD57)),IFERROR(--TRIM(RIGHT(SUBSTITUTE(LEFT(AD57,SEARCH("мА",AD57)-1)," ",REPT(" ",9)),6)),30),0),IF(AE57="нет",0,IF(ISNUMBER(AE57),AE57,IF(AE57="да",30,_xlfn.MINIFS(Линии[_дифзащита по коду, мА],Линии[_гр.],DY57,Линии[Щит],A57,Линии[_дифзащита по коду, мА],"&gt;0"))))))</f>
        <v/>
      </c>
      <c r="EI57" t="str">
        <f t="shared" si="131"/>
        <v/>
      </c>
      <c r="EJ57" t="str">
        <f t="shared" si="132"/>
        <v/>
      </c>
      <c r="EK57" t="str">
        <f t="shared" si="133"/>
        <v>QF31</v>
      </c>
      <c r="EL57" t="str">
        <f t="shared" si="134"/>
        <v/>
      </c>
      <c r="EM57">
        <f t="shared" si="135"/>
        <v>0</v>
      </c>
      <c r="EN57" t="str">
        <f>IF(AD57="","",IF(EM57=1,MAX(EE57,Мин_автомат_БП),EE57))</f>
        <v/>
      </c>
      <c r="EO57" t="str">
        <f t="shared" si="136"/>
        <v/>
      </c>
      <c r="EP57" t="str">
        <f t="shared" si="137"/>
        <v/>
      </c>
      <c r="EQ57" t="str">
        <f t="shared" si="138"/>
        <v/>
      </c>
      <c r="ER57" t="str">
        <f>IF(OR(AI57="",AI57="-"),"",IFERROR(VLOOKUP(AI57,Модули_спр,2,FALSE),"R"))</f>
        <v/>
      </c>
      <c r="ES57" t="str">
        <f>IF(ER57="","",ER57&amp;"."&amp;COUNTIFS(A$3:A57,A57,ER$3:ER57,ER57))</f>
        <v/>
      </c>
      <c r="ET57" t="str">
        <f t="shared" si="139"/>
        <v>R.1</v>
      </c>
      <c r="EU57" t="str">
        <f t="shared" si="140"/>
        <v>ZIOMB24V2</v>
      </c>
      <c r="EV57">
        <f t="shared" si="141"/>
        <v>7</v>
      </c>
      <c r="EW57">
        <f t="shared" si="142"/>
        <v>7</v>
      </c>
      <c r="EX57">
        <f t="shared" si="143"/>
        <v>1</v>
      </c>
      <c r="EY57" t="str">
        <f>IF(AK57="нет","",IF(AK57&lt;&gt;"",AK57,IF(EX57=1,"XT"&amp;COUNTIFS(A$3:A57,A57,EX$3:EX57,1),"")))</f>
        <v>XT37</v>
      </c>
      <c r="EZ57" t="str">
        <f t="shared" si="144"/>
        <v>QF31</v>
      </c>
      <c r="FA57" t="str">
        <f t="shared" si="145"/>
        <v>R.1</v>
      </c>
      <c r="FB57" t="str">
        <f t="shared" si="146"/>
        <v/>
      </c>
      <c r="FC57" t="str">
        <f>IF(OR(EV57="",ET57=""),"",IF(EV57&gt;IFERROR(VLOOKUP(EU57,Модули_спр,3,FALSE),99),"ЛИШНИЙ КАНАЛ",IF(AND(AJ57&lt;&gt;"=",COUNTIFS(Линии[_модуль гр.],ET57,Линии[Канал (итог)],EV57,Линии[Канал],"&lt;&gt;=",Линии[Щит],A57)&gt;1),"ДУБЛЬ КАНАЛА","")))</f>
        <v/>
      </c>
      <c r="FD57">
        <f t="shared" si="147"/>
        <v>10</v>
      </c>
      <c r="FE57" t="str">
        <f t="shared" si="148"/>
        <v>1P С10А</v>
      </c>
      <c r="FF57">
        <f t="shared" si="149"/>
        <v>0</v>
      </c>
      <c r="FG57">
        <f t="shared" si="150"/>
        <v>0</v>
      </c>
      <c r="FH57" s="6" t="str">
        <f t="shared" si="151"/>
        <v/>
      </c>
      <c r="FI57">
        <f t="shared" si="152"/>
        <v>10</v>
      </c>
      <c r="FJ57" t="str">
        <f t="shared" si="153"/>
        <v/>
      </c>
      <c r="FK57" t="str">
        <f>IF(AND(D57="",EZ57=""),"",_xlfn.TEXTJOIN("; ",TRUE,IF(AND(D57&lt;&gt;"",DD57=""),"нет фазы",""),IF(AND(D57&lt;&gt;"",N(DT57)=0,CN57&lt;&gt;"Нет"),"нет мощности",""),IF(AND(EY57&lt;&gt;"",COUNTIFS(Линии[Щит],A57,Линии[Клемма (итог)],EY57)&gt;1),"дубль клеммы "&amp;EY57,""),IF(AND(FB57&lt;&gt;"",FB57&lt;&gt;"ok"),FB57,""),IF(FC57&lt;&gt;"",FC57,""),IF(AND(ISNUMBER(SEARCH("(5х",DS57)),N(DV57)=1),"5 жил на 1 фазе",""),IF(AND(AT57="R",AD57&lt;&gt;"",OR(N(EH57)=0,N(EH57)&gt;30)),"розетка без дифзащиты до 30 мА",""),IFERROR(IF(AND(ISNUMBER(CD57),CD57&gt;CE57),"потери "&amp;FIXED(CD57,1)&amp;" % &gt; "&amp;CE57&amp;" %",""),""),IFERROR(IF(LEFT(FJ57,4)="мало","Iкз мало — отключение &gt; 0,4 с",""),""),IF(AND(D57&lt;&gt;"",BD57=""),"не на схеме","")))</f>
        <v>нет мощности</v>
      </c>
      <c r="FL57" s="6" t="str">
        <f>IF(AD57="","",_xlfn.LET(_xlpm.t,IFERROR(_xlfn.XLOOKUP(EP57,Каталог!$U$4:$U$500,Каталог!$G$4:$G$500),""),_xlpm.k,SEARCH("кА",_xlpm.t),IFERROR(--TRIM(RIGHT(SUBSTITUTE(MID(_xlpm.t,MAX(1,_xlpm.k-4),_xlpm.k-MAX(1,_xlpm.k-4))," ",REPT(" ",9)),5)),"")))</f>
        <v/>
      </c>
      <c r="FM57" t="str">
        <f>IF(OR(FL57="",AD57=""),"",IF(_xlfn.XLOOKUP(A57,Щиты[Щит],Щиты[Iкз max на шинах, кА],"")="","",IF(FL57&lt;_xlfn.XLOOKUP(A57,Щиты[Щит],Щиты[Iкз max на шинах, кА]),"Icu "&amp;FL57&amp;" кА &lt; Iкз max","ok")))</f>
        <v/>
      </c>
      <c r="FN57" t="str">
        <f t="shared" si="154"/>
        <v>QF31|R.1 к.7|XT37</v>
      </c>
      <c r="FO57" t="str">
        <f t="shared" si="155"/>
        <v>QF31|R.1 к.7|XT37|кабель ВВГнг(А)-LS (3х1,5) → Группа освещения  Пом. №14</v>
      </c>
      <c r="FP57" t="str" cm="1">
        <f t="array" ref="FP57">IF(FO57="","",_xlfn.LET(_xlpm.nd,_xlfn.TEXTSPLIT(FO57,"|"),IF(COLUMNS(_xlpm.nd)&gt;1,A57&amp;"¦"&amp;INDEX(_xlpm.nd,1)&amp;"¦"&amp;INDEX(_xlpm.nd,2),"")))</f>
        <v>ЩР¦QF31¦R.1 к.7</v>
      </c>
      <c r="FQ57" t="str">
        <f t="shared" si="156"/>
        <v>L.1.14.2¦Группа освещения  Пом. №14</v>
      </c>
      <c r="FR57" t="str" cm="1">
        <f t="array" ref="FR57">IF(FO57="","",_xlfn.LET(_xlpm.nd,_xlfn.TEXTSPLIT(FO57,"|"),IF(COLUMNS(_xlpm.nd)&gt;2,A57&amp;"¦"&amp;INDEX(_xlpm.nd,2)&amp;"¦"&amp;INDEX(_xlpm.nd,3),"")))</f>
        <v>ЩР¦R.1 к.7¦XT37</v>
      </c>
      <c r="FS57" t="str">
        <f t="shared" si="157"/>
        <v>L.1.14.2¦Группа освещения  Пом. №14</v>
      </c>
      <c r="FT57" t="str" cm="1">
        <f t="array" ref="FT57">IF(FO57="","",_xlfn.LET(_xlpm.nd,_xlfn.TEXTSPLIT(FO57,"|"),IF(COLUMNS(_xlpm.nd)&gt;3,A57&amp;"¦"&amp;INDEX(_xlpm.nd,3)&amp;"¦"&amp;INDEX(_xlpm.nd,4),"")))</f>
        <v>ЩР¦XT37¦кабель ВВГнг(А)-LS (3х1,5) → Группа освещения  Пом. №14</v>
      </c>
      <c r="FU57" t="str">
        <f t="shared" si="158"/>
        <v>L.1.14.2¦Группа освещения  Пом. №14</v>
      </c>
      <c r="FV57" t="str" cm="1">
        <f t="array" ref="FV57">IF(FO57="","",_xlfn.LET(_xlpm.nd,_xlfn.TEXTSPLIT(FO57,"|"),IF(COLUMNS(_xlpm.nd)&gt;4,A57&amp;"¦"&amp;INDEX(_xlpm.nd,4)&amp;"¦"&amp;INDEX(_xlpm.nd,5),"")))</f>
        <v/>
      </c>
      <c r="FW57" t="str">
        <f t="shared" si="159"/>
        <v/>
      </c>
      <c r="FX57" t="str" cm="1">
        <f t="array" ref="FX57">IF(FO57="","",_xlfn.LET(_xlpm.nd,_xlfn.TEXTSPLIT(FO57,"|"),IF(COLUMNS(_xlpm.nd)&gt;5,A57&amp;"¦"&amp;INDEX(_xlpm.nd,5)&amp;"¦"&amp;INDEX(_xlpm.nd,6),"")))</f>
        <v/>
      </c>
      <c r="FY57" t="str">
        <f t="shared" si="160"/>
        <v/>
      </c>
      <c r="FZ57" t="str" cm="1">
        <f t="array" ref="FZ57">IF(FO57="","",_xlfn.LET(_xlpm.nd,_xlfn.TEXTSPLIT(FO57,"|"),IF(COLUMNS(_xlpm.nd)&gt;6,A57&amp;"¦"&amp;INDEX(_xlpm.nd,6)&amp;"¦"&amp;INDEX(_xlpm.nd,7),"")))</f>
        <v/>
      </c>
      <c r="GA57" t="str">
        <f t="shared" si="161"/>
        <v/>
      </c>
      <c r="GB57" t="str">
        <f t="shared" si="162"/>
        <v>ZIOMB24V2</v>
      </c>
      <c r="GC57" t="str">
        <f t="shared" si="163"/>
        <v>QF31 → R.1 к.7 → XT37</v>
      </c>
      <c r="GD57">
        <f t="shared" si="164"/>
        <v>1</v>
      </c>
      <c r="GE57">
        <f t="shared" si="165"/>
        <v>0</v>
      </c>
      <c r="GF57">
        <f t="shared" si="166"/>
        <v>0</v>
      </c>
      <c r="GG57" t="str">
        <f t="shared" si="167"/>
        <v/>
      </c>
      <c r="GH57" t="str">
        <f t="shared" si="168"/>
        <v/>
      </c>
      <c r="GI57" t="str">
        <f t="shared" si="169"/>
        <v/>
      </c>
      <c r="GJ57" t="str">
        <f t="shared" si="170"/>
        <v/>
      </c>
      <c r="GK57" t="str">
        <f>IF(D57="","",IFERROR(VLOOKUP(D57,УГО_спр,2,FALSE),IFERROR(VLOOKUP(AT57,УГО_спр,2,FALSE),IFERROR(VLOOKUP(LEFT(AT57,2),УГО_спр,2,FALSE),""))))</f>
        <v>Светильник</v>
      </c>
      <c r="GL57" t="str">
        <f>IF(D57="","",IF(OR(GK57="",GK57=0),"BOX",IFERROR(IF(VLOOKUP(GK57,УГО_блоки,3,FALSE)&amp;""&lt;&gt;"",VLOOKUP(GK57,УГО_блоки,3,FALSE),VLOOKUP(GK57,УГО_блоки,2,FALSE)),GK57)))</f>
        <v>LAMP</v>
      </c>
      <c r="GM57">
        <f t="shared" si="171"/>
        <v>1</v>
      </c>
      <c r="GN57" t="str">
        <f>IF(EP57="","",IF(COUNTIF(EP$3:EP57,EP57)=1,MAX(GN$2:GN56)+1,""))</f>
        <v/>
      </c>
      <c r="GO57" t="str">
        <f>IF(AF57="","",IF(COUNTIF(AF$3:AF57,AF57)+COUNTIF(AG$2:AG56,AF57)+COUNTIF(AH$2:AH56,AF57)=1,MAX(GO$2:GQ56)+1,""))</f>
        <v/>
      </c>
      <c r="GP57" t="str">
        <f>IF(AG57="","",IF(COUNTIF(AF$3:AF57,AG57)+COUNTIF(AG$3:AG57,AG57)+COUNTIF(AH$2:AH56,AG57)=1,MAX(GO$2:GQ56,GO57)+1,""))</f>
        <v/>
      </c>
      <c r="GQ57" t="str">
        <f>IF(AH57="","",IF(COUNTIF(AF$3:AF57,AH57)+COUNTIF(AG$3:AG57,AH57)+COUNTIF(AH$3:AH57,AH57)=1,MAX(GO$2:GQ56,GO57,GP57)+1,""))</f>
        <v/>
      </c>
      <c r="GR57" t="str">
        <f t="shared" si="172"/>
        <v>3х1,5</v>
      </c>
      <c r="GS57" t="str">
        <f>IF(GR57="","",IF(COUNTIF(GR$3:GR57,GR57)=1,MAX(GS$2:GS56)+1,""))</f>
        <v/>
      </c>
      <c r="GT57" t="str">
        <f>IF(ES57="","",COUNTIF(ES$3:ES57,"?*"))</f>
        <v/>
      </c>
      <c r="GU57" t="str">
        <f>IF(OR(ES57="",EU57=""),"",IF(COUNTIFS(ES$3:ES57,"?*",EU$3:EU57,EU57)=1,MAX(GU$2:GU56)+1,""))</f>
        <v/>
      </c>
      <c r="GV57">
        <f t="shared" si="173"/>
        <v>1</v>
      </c>
      <c r="GW57">
        <f>IF(D57="","",COUNTIF(D$3:D57,"?*"))</f>
        <v>37</v>
      </c>
      <c r="GX57">
        <f>IF(EX57&lt;&gt;1,0,_xlfn.LET(_xlpm.k,MAX(IFERROR(--VLOOKUP(D57,УГО_спр,5,FALSE),0),IFERROR(--VLOOKUP(AT57,УГО_спр,5,FALSE),0),IFERROR(--VLOOKUP(LEFT(AT57,2),УГО_спр,5,FALSE),0)),IF(_xlpm.k&gt;0,_xlpm.k,IF(IFERROR(--LEFT(SUBSTITUTE(GR57,"x","х"),FIND("х",SUBSTITUTE(GR57,"x","х"))-1),3)&gt;3,Каталог!$S$9,1))))</f>
        <v>1</v>
      </c>
      <c r="GY57">
        <f t="shared" si="174"/>
        <v>0</v>
      </c>
    </row>
    <row r="58" spans="1:207" x14ac:dyDescent="0.3">
      <c r="A58" t="s">
        <v>206</v>
      </c>
      <c r="B58">
        <v>60</v>
      </c>
      <c r="C58" t="str">
        <f>IF(BD58="","",IF(BE58="вводной узел","узел ","")&amp;"л."&amp;(INT((BD58-1)/Столбцов_на_лист)+1)&amp;" / "&amp;(MOD(BD58-1,Столбцов_на_лист)+1))</f>
        <v>л.4 / 9</v>
      </c>
      <c r="D58" t="s">
        <v>730</v>
      </c>
      <c r="E58" s="133" t="str">
        <f t="shared" si="175"/>
        <v>Группа освещения  Пом. №05</v>
      </c>
      <c r="H58">
        <v>2</v>
      </c>
      <c r="O58">
        <v>2</v>
      </c>
      <c r="T58">
        <v>1</v>
      </c>
      <c r="V58">
        <v>3</v>
      </c>
      <c r="AM58">
        <v>15.45</v>
      </c>
      <c r="AO58" t="s">
        <v>731</v>
      </c>
      <c r="AQ58" t="s">
        <v>710</v>
      </c>
      <c r="AR58" t="str">
        <f t="shared" si="88"/>
        <v>нет мощности</v>
      </c>
      <c r="AS58" cm="1">
        <f t="array" ref="AS58">ROW()-ROW(Линии[#Headers])</f>
        <v>56</v>
      </c>
      <c r="AT58" s="6" t="str">
        <f t="shared" si="89"/>
        <v>L</v>
      </c>
      <c r="AU58" t="str">
        <f t="shared" si="90"/>
        <v>2.05.2</v>
      </c>
      <c r="AV58" t="str">
        <f t="shared" si="91"/>
        <v>2</v>
      </c>
      <c r="AW58" t="str">
        <f t="shared" si="92"/>
        <v>05.2</v>
      </c>
      <c r="AX58" t="str">
        <f t="shared" si="93"/>
        <v>05</v>
      </c>
      <c r="AY58" t="str">
        <f>IF(D58="","",IF(ISERROR(SEARCH(".",D58)),IFERROR(VLOOKUP(D58,Потребители_обозначение,2,FALSE)&amp;"",""),IFERROR(IF(VLOOKUP(AT58,Потребители_обозначение,4,FALSE)=1,VLOOKUP(AT58,Потребители_обозначение,2,FALSE)&amp;" "&amp;VLOOKUP(AV58,Этаж_обозначение,2,FALSE)&amp;" Пом. №"&amp;AX58,VLOOKUP(AT58,Потребители_обозначение,2,FALSE)&amp;" Шлейф №"&amp;AV58),IFERROR(VLOOKUP(D58,Потребители_обозначение,2,FALSE),""))))</f>
        <v>Группа освещения  Пом. №05</v>
      </c>
      <c r="AZ58" t="str">
        <f t="shared" si="94"/>
        <v>Группа освещения  Пом. №05</v>
      </c>
      <c r="BA58" t="str">
        <f>IF(F58&lt;&gt;"",F58,IF(AND(D58&lt;&gt;"",D58&lt;&gt;A58,ISNUMBER(_xlfn.XMATCH(D58,Щиты[Щит]))),D58,""))</f>
        <v/>
      </c>
      <c r="BB58">
        <f>IFERROR(_xlfn.XMATCH(A58,Щиты[Щит]),0)</f>
        <v>1</v>
      </c>
      <c r="BC58">
        <f>IFERROR(N(_xlfn.XLOOKUP(A58,Щиты[Щит],Щиты[Мест под вводной узел])),15)</f>
        <v>18</v>
      </c>
      <c r="BD58">
        <f t="shared" si="95"/>
        <v>60</v>
      </c>
      <c r="BE58" t="str">
        <f t="shared" si="96"/>
        <v>линии</v>
      </c>
      <c r="BF58" s="6">
        <f>IF(D58="","",IF(BA58&lt;&gt;"",IFERROR(_xlfn.XLOOKUP(BA58,Щиты[Щит],Щиты[Руст, кВт]),0),N(G58)))</f>
        <v>0</v>
      </c>
      <c r="BG58">
        <f>IF(J58&lt;&gt;"",J58,IF(D58="","",IFERROR(IF(VLOOKUP(AT58,Потребители_обозначение,8,FALSE)=0,"",VLOOKUP(AT58,Потребители_обозначение,8,FALSE)),"")))</f>
        <v>230</v>
      </c>
      <c r="BH58">
        <f>IF(I58&lt;&gt;"",I58,IF(D58="","",IFERROR(IF(VLOOKUP(AT58,Потребители_обозначение,9,FALSE)=0,"",VLOOKUP(AT58,Потребители_обозначение,9,FALSE)),"")))</f>
        <v>1</v>
      </c>
      <c r="BI58" t="str">
        <f>IF(U58&lt;&gt;"",U58,IF(D58="","",IFERROR(IF(VLOOKUP(AT58,Потребители_обозначение,6,FALSE)=0,"",VLOOKUP(AT58,Потребители_обозначение,6,FALSE)),"")))</f>
        <v>мс</v>
      </c>
      <c r="BJ58">
        <f>IF(V58&lt;&gt;"",V58,IF(D58="","",IFERROR(IF(VLOOKUP(AT58,Потребители_обозначение,7,FALSE)=0,"",VLOOKUP(AT58,Потребители_обозначение,7,FALSE)),"")))</f>
        <v>3</v>
      </c>
      <c r="BK58">
        <f>IF(W58&lt;&gt;"",W58,IF(D58="","",IFERROR(IF(VLOOKUP(AT58,Потребители_обозначение,10,FALSE)=0,"",VLOOKUP(AT58,Потребители_обозначение,10,FALSE)),"")))</f>
        <v>1.5</v>
      </c>
      <c r="BL58">
        <f>IFERROR(VLOOKUP(AT58,Потребители_обозначение,5,FALSE),0)</f>
        <v>1</v>
      </c>
      <c r="BM58" s="6" cm="1">
        <f t="array" ref="BM58">IF(D58="","",IF(BA58&lt;&gt;"",IFERROR(_xlfn.XLOOKUP(BA58,Щиты[Щит],Щиты[cos φ]),0.95),IF(ISNUMBER(M58),M58,IFERROR(IF(BL58=2,_xlfn.IFS(BH58=3,VLOOKUP(BF58,Справочная_двигатели,8,FALSE),BH58=1,VLOOKUP(BF58,Справочная_двигатели,10,TRUE)),IF(AND(Методика="нормы 2026",CN58="Сил"),0.8,0.95)),0.95))))</f>
        <v>0.95</v>
      </c>
      <c r="BN58" s="6" cm="1">
        <f t="array" ref="BN58">IF(D58="","",IF(BA58&lt;&gt;"",IFERROR(_xlfn.XLOOKUP(BA58,Щиты[Щит],Щиты[Iр, А]),""),IFERROR(_xlfn.IFS(BH58=1,BF58/((Uн_лин/SQRT(3))*BM58),BH58=3,BF58/(SQRT(3)*Uн_лин*BM58)),"")))</f>
        <v>0</v>
      </c>
      <c r="BO58">
        <f>IF(D58="","",IF(N(X58)=0,IFERROR(VLOOKUP(BN58,Автомат_номиналы,2,TRUE),""),X58))</f>
        <v>6</v>
      </c>
      <c r="BP58">
        <f t="shared" si="97"/>
        <v>1</v>
      </c>
      <c r="BQ58">
        <f>IF(ISNUMBER(Y58),Y58,К_прокл)</f>
        <v>1</v>
      </c>
      <c r="BR58">
        <f t="shared" si="98"/>
        <v>2</v>
      </c>
      <c r="BS58" cm="1">
        <f t="array" ref="BS58">IF(D58="","",IF(N(BK58)&lt;&gt;0,BK58,IFERROR(_xlfn.LET(_xlpm.need,BO58/(BP58*BQ58),_xlpm.t,CHOOSE(BR58,Iдоп_1ж,Iдоп_2ж,Iдоп_3ж),_xlpm.k,_xlfn.XMATCH(_xlpm.need,_xlpm.t,1),IF(ISNA(_xlpm.k),"Не исп",INDEX(Iдоп_S,_xlpm.k))),"Не исп")))</f>
        <v>1.5</v>
      </c>
      <c r="BT58">
        <f>IFERROR(VLOOKUP(BS58,Кабель_сопротивление,3,FALSE),"")</f>
        <v>2.2499999999999999E-2</v>
      </c>
      <c r="BU58">
        <f>IFERROR(VLOOKUP(BS58,Кабель_сопротивление,2,FALSE),"")</f>
        <v>0.11</v>
      </c>
      <c r="BV58">
        <f t="shared" si="99"/>
        <v>16</v>
      </c>
      <c r="BW58" s="6">
        <f>IF(D58="","",IFERROR(IF(VLOOKUP(AT58,Потребители_обозначение,4,FALSE)=1,VLOOKUP(AT58,Потребители_обозначение,3,FALSE)*(H58*2-1)+BV58+VLOOKUP(AV58,Этаж_обозначение,3,FALSE)+VLOOKUP(AV58,Этаж_обозначение,4,FALSE),VLOOKUP(AT58,Потребители_обозначение,3,FALSE)*(H58*2-1)+BV58),BV58))</f>
        <v>19</v>
      </c>
      <c r="BX58">
        <f t="shared" si="100"/>
        <v>15</v>
      </c>
      <c r="BY58">
        <f t="shared" si="101"/>
        <v>0</v>
      </c>
      <c r="BZ58">
        <f t="shared" si="102"/>
        <v>2</v>
      </c>
      <c r="CA58">
        <f t="shared" si="103"/>
        <v>0.31</v>
      </c>
      <c r="CB58">
        <f t="shared" si="104"/>
        <v>0</v>
      </c>
      <c r="CC58" s="6">
        <f>IFERROR(ROUNDUP(CB58/((Uн_лин/SQRT(3))*1000)*100,2),"")</f>
        <v>0</v>
      </c>
      <c r="CD58" s="6">
        <f>IF(ISNUMBER(CC58),CC58+IFERROR(_xlfn.XLOOKUP(A58,Щиты[Щит],Щиты[ΔU до шин, %]),0),"")</f>
        <v>0</v>
      </c>
      <c r="CE58" s="6">
        <f>IF(D58="","",IF(IFERROR(VLOOKUP(AT58,УГО_спр,2,FALSE),"")="Светильник",3,4)+IF(Методика="нормы 2026",MIN(0.5,MAX(0,N(BW58)-100)*0.005),0))</f>
        <v>3</v>
      </c>
      <c r="CF58" t="str">
        <f>IFERROR(VLOOKUP(BI58,Кабель_обозначение,2,FALSE),"")</f>
        <v>ВВГнг(А)-LS</v>
      </c>
      <c r="CG58" t="str">
        <f>IFERROR(IF(VLOOKUP(BI58,Кабель_обозначение,3,FALSE)=1,CF58&amp;" ("&amp;BJ58&amp;"х"&amp;BS58&amp;")",CF58),"")</f>
        <v>ВВГнг(А)-LS (3х1,5)</v>
      </c>
      <c r="CH58" t="str">
        <f t="shared" si="105"/>
        <v>ВВГнг(А)-LS (3х1,5)
L=19-0%</v>
      </c>
      <c r="CI58">
        <f>IFERROR(2*ρкз_Cu*BW58/BS58,"")</f>
        <v>0.66626666666666667</v>
      </c>
      <c r="CJ58">
        <f t="shared" si="106"/>
        <v>0.22166666666666668</v>
      </c>
      <c r="CK58" s="6" t="str">
        <f>IFERROR(IF(OR(D58="",NOT(ISNUMBER(BS58)),N(BW58)=0),"",_xlfn.XLOOKUP(A58,Щиты[Щит],Щиты[Zпетли на шинах, Ом])+CI58),"")</f>
        <v/>
      </c>
      <c r="CL58" s="6" t="str">
        <f>IF(ISNUMBER(CK58),c_min*(Uн_лин*1000/SQRT(3))/CK58,"")</f>
        <v/>
      </c>
      <c r="CM58" s="6" t="str">
        <f>IFERROR(IF(OR(D58="",NOT(ISNUMBER(BS58))),"",1.05*(Uн_лин*1000/SQRT(3))/(_xlfn.XLOOKUP(A58,Щиты[Щит],Щиты[Zmax на шинах, Ом])+CJ58)/1000),"")</f>
        <v/>
      </c>
      <c r="CN58" s="6" t="str">
        <f>IF(D58="","",IF(BA58&lt;&gt;"","Щит",IF(K58&lt;&gt;"",K58,IF(ISNUMBER(L58),"Сил",IF(IFERROR(_xlfn.XLOOKUP(AT58,Коды_код,Коды_группа)&amp;"","")="","Быт",_xlfn.XLOOKUP(AT58,Коды_код,Коды_группа)&amp;"")))))</f>
        <v>Быт</v>
      </c>
      <c r="CO58" s="6">
        <f>IF(CN58="Щит","щит",IF(CN58="","",IF(CN58="Быт",IFERROR(_xlfn.XLOOKUP(A58,Щиты[Щит],Щиты[Кс быт]),1),IF(CN58="Сил",IF(ISNUMBER(L58),L58,IF(Методика="нормы 2026",IFERROR(_xlfn.XLOOKUP(A58,Щиты[Щит],Щиты[Кс силовых (табл. 7.5)]),1),1)),IF(OR(CN58="Пост",CN58="Отоп"),1,IF(CN58="ВНГ",0.7,0))))))</f>
        <v>0.8</v>
      </c>
      <c r="CP58">
        <f t="shared" si="107"/>
        <v>1</v>
      </c>
      <c r="CQ58">
        <f t="shared" si="108"/>
        <v>0</v>
      </c>
      <c r="CR58">
        <f t="shared" si="109"/>
        <v>0</v>
      </c>
      <c r="CS58">
        <f t="shared" si="110"/>
        <v>0</v>
      </c>
      <c r="CT58">
        <f t="shared" si="111"/>
        <v>0</v>
      </c>
      <c r="CU58">
        <f t="shared" si="112"/>
        <v>0</v>
      </c>
      <c r="CV58">
        <f t="shared" si="113"/>
        <v>0</v>
      </c>
      <c r="CW58">
        <f t="shared" si="114"/>
        <v>0</v>
      </c>
      <c r="CX58">
        <f t="shared" si="115"/>
        <v>0</v>
      </c>
      <c r="CY58">
        <f t="shared" si="116"/>
        <v>1</v>
      </c>
      <c r="CZ58" t="str">
        <f t="shared" si="117"/>
        <v>L1</v>
      </c>
      <c r="DA58" cm="1">
        <f t="array" ref="DA58">IFERROR(IF(BL58=2,_xlfn.IFS(BH58=3,VLOOKUP(BF58,Справочная_двигатели,3,FALSE),BH58=1,VLOOKUP(BF58,Справочная_двигатели,5,TRUE)),0),0)</f>
        <v>0</v>
      </c>
      <c r="DB58">
        <f>IFERROR(IF(BL58=3,VLOOKUP(BF58,Справочная_ЛЭД,2,TRUE),0),0)</f>
        <v>0</v>
      </c>
      <c r="DC58" s="6">
        <f t="shared" si="118"/>
        <v>0</v>
      </c>
      <c r="DD58" t="str">
        <f t="shared" si="119"/>
        <v>L2</v>
      </c>
      <c r="DE58" t="str" cm="1">
        <f t="array" ref="DE58">IF(D58="","",IFERROR(INDEX({"I особая","I","II","III"},MATCH(TRIM(AA58&amp;""),{"I особая","I","II","III"},0)),"III"))</f>
        <v>III</v>
      </c>
      <c r="DF58" t="str">
        <f>IF(D58="","",IF(TRIM(AB58&amp;"")&lt;&gt;"",IF(LOWER(TRIM(AB58&amp;""))="да","да","нет"),IF(IFERROR(_xlfn.XLOOKUP(AT58,Коды_код,Коды_пожарная),"")="да","да","нет")))</f>
        <v>нет</v>
      </c>
      <c r="DG58" t="str">
        <f t="shared" si="120"/>
        <v/>
      </c>
      <c r="DH58" t="str">
        <f t="shared" si="121"/>
        <v>основная</v>
      </c>
      <c r="DI58">
        <f t="shared" si="122"/>
        <v>1</v>
      </c>
      <c r="DJ58" t="str" cm="1">
        <f t="array" ref="DJ58">IF(D58="","",_xlfn.LET(_xlpm.t,IFERROR(_xlfn.XLOOKUP(1,(Шины[Шина]=DH58)*(((Шины[Щит]=A58)+(Шины[Щит]=""))&gt;0),Шины[Тип]),"")&amp;"",IF(_xlpm.t&lt;&gt;"",_xlpm.t,IF(ISNUMBER(SEARCH("ИБП",DH58)),"ИБП",IF(ISNUMBER(SEARCH("ДГУ",DH58)),"ДГУ","Ввод "&amp;DI58)))))</f>
        <v>Ввод 1</v>
      </c>
      <c r="DK58" t="str">
        <f t="shared" si="123"/>
        <v>Ввод 1</v>
      </c>
      <c r="DL58" t="str">
        <f>IF(D58="","",IF(OR(DJ58="ИБП",DJ58="ДГУ"),"I особая",IF(DJ58="Одиночная","III",_xlfn.XLOOKUP(A58,Щиты[Щит],Щиты[Категория шины «Ввод»],"III"))))</f>
        <v>III</v>
      </c>
      <c r="DM58">
        <f>IF(D58="",0,IFERROR(MATCH(DE58,{"III","II","I","I особая"},0),1))</f>
        <v>1</v>
      </c>
      <c r="DN58">
        <f t="shared" si="124"/>
        <v>1</v>
      </c>
      <c r="DO58" t="str">
        <f>IF(D58="","",IF(DM58&gt;IFERROR(MATCH(DL58,{"III","II","I","I особая"},0),1),"НЕ ОБЕСПЕЧЕНА","ОК"))</f>
        <v>ОК</v>
      </c>
      <c r="DP58" t="str">
        <f>IF(A58="","",_xlfn.XLOOKUP(A58,Щиты[Щит],Щиты[Путь],""))</f>
        <v>|ЩР|</v>
      </c>
      <c r="DQ58" t="str">
        <f>IF(D58="","",IF(Z58&lt;&gt;"",Z58,IF(IFERROR(_xlfn.XLOOKUP(AT58,Коды_код,Коды_вид)&amp;"","")="","Прочее",_xlfn.XLOOKUP(AT58,Коды_код,Коды_вид)&amp;"")))</f>
        <v>Рабочее освещение</v>
      </c>
      <c r="DR58">
        <f>IF(BD58="","",INT((BD58-1)/Столбцов_на_лист)+1)</f>
        <v>4</v>
      </c>
      <c r="DS58" t="str">
        <f t="shared" si="125"/>
        <v>ВВГнг(А)-LS (3х1,5) L=19-0%</v>
      </c>
      <c r="DT58">
        <f t="shared" si="126"/>
        <v>0</v>
      </c>
      <c r="DU58">
        <f t="shared" si="127"/>
        <v>0</v>
      </c>
      <c r="DV58">
        <f t="shared" si="128"/>
        <v>1</v>
      </c>
      <c r="DW58">
        <f>IF(AT58="",0,_xlfn.LET(_xlpm.v,IFERROR(VLOOKUP(D58,УГО_спр,3,FALSE),IFERROR(VLOOKUP(AT58,УГО_спр,3,FALSE),IFERROR(VLOOKUP(LEFT(AT58,2),УГО_спр,3,FALSE),""))),IF(_xlpm.v="да",30,IF(ISNUMBER(_xlpm.v),_xlpm.v,0))))</f>
        <v>0</v>
      </c>
      <c r="DX58">
        <f t="shared" si="129"/>
        <v>0</v>
      </c>
      <c r="DY58">
        <f>IF(BD58="","",IF(AD58&lt;&gt;"",COUNTIFS(A$3:A58,A58,AD$3:AD58,"?*"),IF(OR(OR(AS58=1,A58&lt;&gt;A57),AL58="вручную"),"",IF(AS58=1,"",DZ57))))</f>
        <v>31</v>
      </c>
      <c r="DZ58">
        <f t="shared" si="130"/>
        <v>31</v>
      </c>
      <c r="EA58">
        <f>IF(D58="",0,MAX(IFERROR(--X58,0),IFERROR(--VLOOKUP(D58,УГО_спр,4,FALSE),IFERROR(--VLOOKUP(AT58,УГО_спр,4,FALSE),IFERROR(--VLOOKUP(LEFT(AT58,2),УГО_спр,4,FALSE),0)))))</f>
        <v>10</v>
      </c>
      <c r="EB58">
        <f>IF(D58="","",IFERROR(LOOKUP(INDEX(CHOOSE(BR58,Iдоп_1ж,Iдоп_2ж,Iдоп_3ж),MATCH(BS58,Iдоп_S,0))*BP58*BQ58,{6,10,16,20,25,32,40,50,63,80,100,125,160,200,250,315,400,500,630}),""))</f>
        <v>16</v>
      </c>
      <c r="EC58" t="str">
        <f>IF(AD58="","",SUMIFS(Линии[_Ток схемы],Линии[_гр.],DY58,Линии[Щит],A58,Линии[_в кабель выше],0))</f>
        <v/>
      </c>
      <c r="ED58" t="str">
        <f>IF(AD58="","",IFERROR(VLOOKUP(EC58,Автомат_номиналы,2,TRUE),""))</f>
        <v/>
      </c>
      <c r="EE58" t="str">
        <f>IF(AD58="","",MAX(N(ED58),_xlfn.MAXIFS(Линии[_мин. по типу],Линии[_гр.],DY58,Линии[Щит],A58)))</f>
        <v/>
      </c>
      <c r="EF58" t="str">
        <f>IF(AD58="","",_xlfn.MINIFS(Линии[_макс. автомат по кабелю],Линии[_гр.],DY58,Линии[Щит],A58))</f>
        <v/>
      </c>
      <c r="EG58" t="str">
        <f>IF(AD58="","",MAX(1,_xlfn.MAXIFS(Линии[_фаз],Линии[_гр.],DY58,Линии[Щит],A58)))</f>
        <v/>
      </c>
      <c r="EH58" t="str">
        <f>IF(AD58="","",IF(AND(AD58&lt;&gt;"авто",AD58&lt;&gt;"+"),IF(ISNUMBER(SEARCH("мА",AD58)),IFERROR(--TRIM(RIGHT(SUBSTITUTE(LEFT(AD58,SEARCH("мА",AD58)-1)," ",REPT(" ",9)),6)),30),0),IF(AE58="нет",0,IF(ISNUMBER(AE58),AE58,IF(AE58="да",30,_xlfn.MINIFS(Линии[_дифзащита по коду, мА],Линии[_гр.],DY58,Линии[Щит],A58,Линии[_дифзащита по коду, мА],"&gt;0"))))))</f>
        <v/>
      </c>
      <c r="EI58" t="str">
        <f t="shared" si="131"/>
        <v/>
      </c>
      <c r="EJ58" t="str">
        <f t="shared" si="132"/>
        <v/>
      </c>
      <c r="EK58" t="str">
        <f t="shared" si="133"/>
        <v>QF31</v>
      </c>
      <c r="EL58" t="str">
        <f t="shared" si="134"/>
        <v/>
      </c>
      <c r="EM58">
        <f t="shared" si="135"/>
        <v>0</v>
      </c>
      <c r="EN58" t="str">
        <f>IF(AD58="","",IF(EM58=1,MAX(EE58,Мин_автомат_БП),EE58))</f>
        <v/>
      </c>
      <c r="EO58" t="str">
        <f t="shared" si="136"/>
        <v/>
      </c>
      <c r="EP58" t="str">
        <f t="shared" si="137"/>
        <v/>
      </c>
      <c r="EQ58" t="str">
        <f t="shared" si="138"/>
        <v/>
      </c>
      <c r="ER58" t="str">
        <f>IF(OR(AI58="",AI58="-"),"",IFERROR(VLOOKUP(AI58,Модули_спр,2,FALSE),"R"))</f>
        <v/>
      </c>
      <c r="ES58" t="str">
        <f>IF(ER58="","",ER58&amp;"."&amp;COUNTIFS(A$3:A58,A58,ER$3:ER58,ER58))</f>
        <v/>
      </c>
      <c r="ET58" t="str">
        <f t="shared" si="139"/>
        <v>R.1</v>
      </c>
      <c r="EU58" t="str">
        <f t="shared" si="140"/>
        <v>ZIOMB24V2</v>
      </c>
      <c r="EV58">
        <f t="shared" si="141"/>
        <v>8</v>
      </c>
      <c r="EW58">
        <f t="shared" si="142"/>
        <v>8</v>
      </c>
      <c r="EX58">
        <f t="shared" si="143"/>
        <v>1</v>
      </c>
      <c r="EY58" t="str">
        <f>IF(AK58="нет","",IF(AK58&lt;&gt;"",AK58,IF(EX58=1,"XT"&amp;COUNTIFS(A$3:A58,A58,EX$3:EX58,1),"")))</f>
        <v>XT38</v>
      </c>
      <c r="EZ58" t="str">
        <f t="shared" si="144"/>
        <v>QF31</v>
      </c>
      <c r="FA58" t="str">
        <f t="shared" si="145"/>
        <v>R.1</v>
      </c>
      <c r="FB58" t="str">
        <f t="shared" si="146"/>
        <v/>
      </c>
      <c r="FC58" t="str">
        <f>IF(OR(EV58="",ET58=""),"",IF(EV58&gt;IFERROR(VLOOKUP(EU58,Модули_спр,3,FALSE),99),"ЛИШНИЙ КАНАЛ",IF(AND(AJ58&lt;&gt;"=",COUNTIFS(Линии[_модуль гр.],ET58,Линии[Канал (итог)],EV58,Линии[Канал],"&lt;&gt;=",Линии[Щит],A58)&gt;1),"ДУБЛЬ КАНАЛА","")))</f>
        <v/>
      </c>
      <c r="FD58">
        <f t="shared" si="147"/>
        <v>10</v>
      </c>
      <c r="FE58" t="str">
        <f t="shared" si="148"/>
        <v>1P С10А</v>
      </c>
      <c r="FF58">
        <f t="shared" si="149"/>
        <v>0</v>
      </c>
      <c r="FG58">
        <f t="shared" si="150"/>
        <v>0</v>
      </c>
      <c r="FH58" s="6" t="str">
        <f t="shared" si="151"/>
        <v/>
      </c>
      <c r="FI58">
        <f t="shared" si="152"/>
        <v>10</v>
      </c>
      <c r="FJ58" t="str">
        <f t="shared" si="153"/>
        <v/>
      </c>
      <c r="FK58" t="str">
        <f>IF(AND(D58="",EZ58=""),"",_xlfn.TEXTJOIN("; ",TRUE,IF(AND(D58&lt;&gt;"",DD58=""),"нет фазы",""),IF(AND(D58&lt;&gt;"",N(DT58)=0,CN58&lt;&gt;"Нет"),"нет мощности",""),IF(AND(EY58&lt;&gt;"",COUNTIFS(Линии[Щит],A58,Линии[Клемма (итог)],EY58)&gt;1),"дубль клеммы "&amp;EY58,""),IF(AND(FB58&lt;&gt;"",FB58&lt;&gt;"ok"),FB58,""),IF(FC58&lt;&gt;"",FC58,""),IF(AND(ISNUMBER(SEARCH("(5х",DS58)),N(DV58)=1),"5 жил на 1 фазе",""),IF(AND(AT58="R",AD58&lt;&gt;"",OR(N(EH58)=0,N(EH58)&gt;30)),"розетка без дифзащиты до 30 мА",""),IFERROR(IF(AND(ISNUMBER(CD58),CD58&gt;CE58),"потери "&amp;FIXED(CD58,1)&amp;" % &gt; "&amp;CE58&amp;" %",""),""),IFERROR(IF(LEFT(FJ58,4)="мало","Iкз мало — отключение &gt; 0,4 с",""),""),IF(AND(D58&lt;&gt;"",BD58=""),"не на схеме","")))</f>
        <v>нет мощности</v>
      </c>
      <c r="FL58" s="6" t="str">
        <f>IF(AD58="","",_xlfn.LET(_xlpm.t,IFERROR(_xlfn.XLOOKUP(EP58,Каталог!$U$4:$U$500,Каталог!$G$4:$G$500),""),_xlpm.k,SEARCH("кА",_xlpm.t),IFERROR(--TRIM(RIGHT(SUBSTITUTE(MID(_xlpm.t,MAX(1,_xlpm.k-4),_xlpm.k-MAX(1,_xlpm.k-4))," ",REPT(" ",9)),5)),"")))</f>
        <v/>
      </c>
      <c r="FM58" t="str">
        <f>IF(OR(FL58="",AD58=""),"",IF(_xlfn.XLOOKUP(A58,Щиты[Щит],Щиты[Iкз max на шинах, кА],"")="","",IF(FL58&lt;_xlfn.XLOOKUP(A58,Щиты[Щит],Щиты[Iкз max на шинах, кА]),"Icu "&amp;FL58&amp;" кА &lt; Iкз max","ok")))</f>
        <v/>
      </c>
      <c r="FN58" t="str">
        <f t="shared" si="154"/>
        <v>QF31|R.1 к.8|XT38</v>
      </c>
      <c r="FO58" t="str">
        <f t="shared" si="155"/>
        <v>QF31|R.1 к.8|XT38|кабель ВВГнг(А)-LS (3х1,5) → Группа освещения  Пом. №05</v>
      </c>
      <c r="FP58" t="str" cm="1">
        <f t="array" ref="FP58">IF(FO58="","",_xlfn.LET(_xlpm.nd,_xlfn.TEXTSPLIT(FO58,"|"),IF(COLUMNS(_xlpm.nd)&gt;1,A58&amp;"¦"&amp;INDEX(_xlpm.nd,1)&amp;"¦"&amp;INDEX(_xlpm.nd,2),"")))</f>
        <v>ЩР¦QF31¦R.1 к.8</v>
      </c>
      <c r="FQ58" t="str">
        <f t="shared" si="156"/>
        <v>L.2.05.2¦Группа освещения  Пом. №05</v>
      </c>
      <c r="FR58" t="str" cm="1">
        <f t="array" ref="FR58">IF(FO58="","",_xlfn.LET(_xlpm.nd,_xlfn.TEXTSPLIT(FO58,"|"),IF(COLUMNS(_xlpm.nd)&gt;2,A58&amp;"¦"&amp;INDEX(_xlpm.nd,2)&amp;"¦"&amp;INDEX(_xlpm.nd,3),"")))</f>
        <v>ЩР¦R.1 к.8¦XT38</v>
      </c>
      <c r="FS58" t="str">
        <f t="shared" si="157"/>
        <v>L.2.05.2¦Группа освещения  Пом. №05</v>
      </c>
      <c r="FT58" t="str" cm="1">
        <f t="array" ref="FT58">IF(FO58="","",_xlfn.LET(_xlpm.nd,_xlfn.TEXTSPLIT(FO58,"|"),IF(COLUMNS(_xlpm.nd)&gt;3,A58&amp;"¦"&amp;INDEX(_xlpm.nd,3)&amp;"¦"&amp;INDEX(_xlpm.nd,4),"")))</f>
        <v>ЩР¦XT38¦кабель ВВГнг(А)-LS (3х1,5) → Группа освещения  Пом. №05</v>
      </c>
      <c r="FU58" t="str">
        <f t="shared" si="158"/>
        <v>L.2.05.2¦Группа освещения  Пом. №05</v>
      </c>
      <c r="FV58" t="str" cm="1">
        <f t="array" ref="FV58">IF(FO58="","",_xlfn.LET(_xlpm.nd,_xlfn.TEXTSPLIT(FO58,"|"),IF(COLUMNS(_xlpm.nd)&gt;4,A58&amp;"¦"&amp;INDEX(_xlpm.nd,4)&amp;"¦"&amp;INDEX(_xlpm.nd,5),"")))</f>
        <v/>
      </c>
      <c r="FW58" t="str">
        <f t="shared" si="159"/>
        <v/>
      </c>
      <c r="FX58" t="str" cm="1">
        <f t="array" ref="FX58">IF(FO58="","",_xlfn.LET(_xlpm.nd,_xlfn.TEXTSPLIT(FO58,"|"),IF(COLUMNS(_xlpm.nd)&gt;5,A58&amp;"¦"&amp;INDEX(_xlpm.nd,5)&amp;"¦"&amp;INDEX(_xlpm.nd,6),"")))</f>
        <v/>
      </c>
      <c r="FY58" t="str">
        <f t="shared" si="160"/>
        <v/>
      </c>
      <c r="FZ58" t="str" cm="1">
        <f t="array" ref="FZ58">IF(FO58="","",_xlfn.LET(_xlpm.nd,_xlfn.TEXTSPLIT(FO58,"|"),IF(COLUMNS(_xlpm.nd)&gt;6,A58&amp;"¦"&amp;INDEX(_xlpm.nd,6)&amp;"¦"&amp;INDEX(_xlpm.nd,7),"")))</f>
        <v/>
      </c>
      <c r="GA58" t="str">
        <f t="shared" si="161"/>
        <v/>
      </c>
      <c r="GB58" t="str">
        <f t="shared" si="162"/>
        <v>ZIOMB24V2</v>
      </c>
      <c r="GC58" t="str">
        <f t="shared" si="163"/>
        <v>QF31 → R.1 к.8 → XT38</v>
      </c>
      <c r="GD58">
        <f t="shared" si="164"/>
        <v>1</v>
      </c>
      <c r="GE58">
        <f t="shared" si="165"/>
        <v>0</v>
      </c>
      <c r="GF58">
        <f t="shared" si="166"/>
        <v>0</v>
      </c>
      <c r="GG58" t="str">
        <f t="shared" si="167"/>
        <v/>
      </c>
      <c r="GH58" t="str">
        <f t="shared" si="168"/>
        <v/>
      </c>
      <c r="GI58" t="str">
        <f t="shared" si="169"/>
        <v/>
      </c>
      <c r="GJ58" t="str">
        <f t="shared" si="170"/>
        <v/>
      </c>
      <c r="GK58" t="str">
        <f>IF(D58="","",IFERROR(VLOOKUP(D58,УГО_спр,2,FALSE),IFERROR(VLOOKUP(AT58,УГО_спр,2,FALSE),IFERROR(VLOOKUP(LEFT(AT58,2),УГО_спр,2,FALSE),""))))</f>
        <v>Светильник</v>
      </c>
      <c r="GL58" t="str">
        <f>IF(D58="","",IF(OR(GK58="",GK58=0),"BOX",IFERROR(IF(VLOOKUP(GK58,УГО_блоки,3,FALSE)&amp;""&lt;&gt;"",VLOOKUP(GK58,УГО_блоки,3,FALSE),VLOOKUP(GK58,УГО_блоки,2,FALSE)),GK58)))</f>
        <v>LAMP</v>
      </c>
      <c r="GM58">
        <f t="shared" si="171"/>
        <v>1</v>
      </c>
      <c r="GN58" t="str">
        <f>IF(EP58="","",IF(COUNTIF(EP$3:EP58,EP58)=1,MAX(GN$2:GN57)+1,""))</f>
        <v/>
      </c>
      <c r="GO58" t="str">
        <f>IF(AF58="","",IF(COUNTIF(AF$3:AF58,AF58)+COUNTIF(AG$2:AG57,AF58)+COUNTIF(AH$2:AH57,AF58)=1,MAX(GO$2:GQ57)+1,""))</f>
        <v/>
      </c>
      <c r="GP58" t="str">
        <f>IF(AG58="","",IF(COUNTIF(AF$3:AF58,AG58)+COUNTIF(AG$3:AG58,AG58)+COUNTIF(AH$2:AH57,AG58)=1,MAX(GO$2:GQ57,GO58)+1,""))</f>
        <v/>
      </c>
      <c r="GQ58" t="str">
        <f>IF(AH58="","",IF(COUNTIF(AF$3:AF58,AH58)+COUNTIF(AG$3:AG58,AH58)+COUNTIF(AH$3:AH58,AH58)=1,MAX(GO$2:GQ57,GO58,GP58)+1,""))</f>
        <v/>
      </c>
      <c r="GR58" t="str">
        <f t="shared" si="172"/>
        <v>3х1,5</v>
      </c>
      <c r="GS58" t="str">
        <f>IF(GR58="","",IF(COUNTIF(GR$3:GR58,GR58)=1,MAX(GS$2:GS57)+1,""))</f>
        <v/>
      </c>
      <c r="GT58" t="str">
        <f>IF(ES58="","",COUNTIF(ES$3:ES58,"?*"))</f>
        <v/>
      </c>
      <c r="GU58" t="str">
        <f>IF(OR(ES58="",EU58=""),"",IF(COUNTIFS(ES$3:ES58,"?*",EU$3:EU58,EU58)=1,MAX(GU$2:GU57)+1,""))</f>
        <v/>
      </c>
      <c r="GV58">
        <f t="shared" si="173"/>
        <v>1</v>
      </c>
      <c r="GW58">
        <f>IF(D58="","",COUNTIF(D$3:D58,"?*"))</f>
        <v>38</v>
      </c>
      <c r="GX58">
        <f>IF(EX58&lt;&gt;1,0,_xlfn.LET(_xlpm.k,MAX(IFERROR(--VLOOKUP(D58,УГО_спр,5,FALSE),0),IFERROR(--VLOOKUP(AT58,УГО_спр,5,FALSE),0),IFERROR(--VLOOKUP(LEFT(AT58,2),УГО_спр,5,FALSE),0)),IF(_xlpm.k&gt;0,_xlpm.k,IF(IFERROR(--LEFT(SUBSTITUTE(GR58,"x","х"),FIND("х",SUBSTITUTE(GR58,"x","х"))-1),3)&gt;3,Каталог!$S$9,1))))</f>
        <v>1</v>
      </c>
      <c r="GY58">
        <f t="shared" si="174"/>
        <v>0</v>
      </c>
    </row>
    <row r="59" spans="1:207" x14ac:dyDescent="0.3">
      <c r="A59" t="s">
        <v>206</v>
      </c>
      <c r="B59">
        <v>61</v>
      </c>
      <c r="C59" t="str">
        <f>IF(BD59="","",IF(BE59="вводной узел","узел ","")&amp;"л."&amp;(INT((BD59-1)/Столбцов_на_лист)+1)&amp;" / "&amp;(MOD(BD59-1,Столбцов_на_лист)+1))</f>
        <v>л.4 / 10</v>
      </c>
      <c r="D59" t="s">
        <v>741</v>
      </c>
      <c r="E59" s="133" t="str">
        <f t="shared" si="175"/>
        <v>Группа освещения  Пом. №09</v>
      </c>
      <c r="H59">
        <v>1</v>
      </c>
      <c r="O59">
        <v>3</v>
      </c>
      <c r="T59">
        <v>1</v>
      </c>
      <c r="V59">
        <v>3</v>
      </c>
      <c r="AM59">
        <v>10.66</v>
      </c>
      <c r="AO59">
        <v>831890</v>
      </c>
      <c r="AQ59" t="s">
        <v>742</v>
      </c>
      <c r="AR59" t="str">
        <f t="shared" si="88"/>
        <v>нет мощности</v>
      </c>
      <c r="AS59" cm="1">
        <f t="array" ref="AS59">ROW()-ROW(Линии[#Headers])</f>
        <v>57</v>
      </c>
      <c r="AT59" s="6" t="str">
        <f t="shared" si="89"/>
        <v>L</v>
      </c>
      <c r="AU59" t="str">
        <f t="shared" si="90"/>
        <v>2.09.1</v>
      </c>
      <c r="AV59" t="str">
        <f t="shared" si="91"/>
        <v>2</v>
      </c>
      <c r="AW59" t="str">
        <f t="shared" si="92"/>
        <v>09.1</v>
      </c>
      <c r="AX59" t="str">
        <f t="shared" si="93"/>
        <v>09</v>
      </c>
      <c r="AY59" t="str">
        <f>IF(D59="","",IF(ISERROR(SEARCH(".",D59)),IFERROR(VLOOKUP(D59,Потребители_обозначение,2,FALSE)&amp;"",""),IFERROR(IF(VLOOKUP(AT59,Потребители_обозначение,4,FALSE)=1,VLOOKUP(AT59,Потребители_обозначение,2,FALSE)&amp;" "&amp;VLOOKUP(AV59,Этаж_обозначение,2,FALSE)&amp;" Пом. №"&amp;AX59,VLOOKUP(AT59,Потребители_обозначение,2,FALSE)&amp;" Шлейф №"&amp;AV59),IFERROR(VLOOKUP(D59,Потребители_обозначение,2,FALSE),""))))</f>
        <v>Группа освещения  Пом. №09</v>
      </c>
      <c r="AZ59" t="str">
        <f t="shared" si="94"/>
        <v>Группа освещения  Пом. №09</v>
      </c>
      <c r="BA59" t="str">
        <f>IF(F59&lt;&gt;"",F59,IF(AND(D59&lt;&gt;"",D59&lt;&gt;A59,ISNUMBER(_xlfn.XMATCH(D59,Щиты[Щит]))),D59,""))</f>
        <v/>
      </c>
      <c r="BB59">
        <f>IFERROR(_xlfn.XMATCH(A59,Щиты[Щит]),0)</f>
        <v>1</v>
      </c>
      <c r="BC59">
        <f>IFERROR(N(_xlfn.XLOOKUP(A59,Щиты[Щит],Щиты[Мест под вводной узел])),15)</f>
        <v>18</v>
      </c>
      <c r="BD59">
        <f t="shared" si="95"/>
        <v>61</v>
      </c>
      <c r="BE59" t="str">
        <f t="shared" si="96"/>
        <v>линии</v>
      </c>
      <c r="BF59" s="6">
        <f>IF(D59="","",IF(BA59&lt;&gt;"",IFERROR(_xlfn.XLOOKUP(BA59,Щиты[Щит],Щиты[Руст, кВт]),0),N(G59)))</f>
        <v>0</v>
      </c>
      <c r="BG59">
        <f>IF(J59&lt;&gt;"",J59,IF(D59="","",IFERROR(IF(VLOOKUP(AT59,Потребители_обозначение,8,FALSE)=0,"",VLOOKUP(AT59,Потребители_обозначение,8,FALSE)),"")))</f>
        <v>230</v>
      </c>
      <c r="BH59">
        <f>IF(I59&lt;&gt;"",I59,IF(D59="","",IFERROR(IF(VLOOKUP(AT59,Потребители_обозначение,9,FALSE)=0,"",VLOOKUP(AT59,Потребители_обозначение,9,FALSE)),"")))</f>
        <v>1</v>
      </c>
      <c r="BI59" t="str">
        <f>IF(U59&lt;&gt;"",U59,IF(D59="","",IFERROR(IF(VLOOKUP(AT59,Потребители_обозначение,6,FALSE)=0,"",VLOOKUP(AT59,Потребители_обозначение,6,FALSE)),"")))</f>
        <v>мс</v>
      </c>
      <c r="BJ59">
        <f>IF(V59&lt;&gt;"",V59,IF(D59="","",IFERROR(IF(VLOOKUP(AT59,Потребители_обозначение,7,FALSE)=0,"",VLOOKUP(AT59,Потребители_обозначение,7,FALSE)),"")))</f>
        <v>3</v>
      </c>
      <c r="BK59">
        <f>IF(W59&lt;&gt;"",W59,IF(D59="","",IFERROR(IF(VLOOKUP(AT59,Потребители_обозначение,10,FALSE)=0,"",VLOOKUP(AT59,Потребители_обозначение,10,FALSE)),"")))</f>
        <v>1.5</v>
      </c>
      <c r="BL59">
        <f>IFERROR(VLOOKUP(AT59,Потребители_обозначение,5,FALSE),0)</f>
        <v>1</v>
      </c>
      <c r="BM59" s="6" cm="1">
        <f t="array" ref="BM59">IF(D59="","",IF(BA59&lt;&gt;"",IFERROR(_xlfn.XLOOKUP(BA59,Щиты[Щит],Щиты[cos φ]),0.95),IF(ISNUMBER(M59),M59,IFERROR(IF(BL59=2,_xlfn.IFS(BH59=3,VLOOKUP(BF59,Справочная_двигатели,8,FALSE),BH59=1,VLOOKUP(BF59,Справочная_двигатели,10,TRUE)),IF(AND(Методика="нормы 2026",CN59="Сил"),0.8,0.95)),0.95))))</f>
        <v>0.95</v>
      </c>
      <c r="BN59" s="6" cm="1">
        <f t="array" ref="BN59">IF(D59="","",IF(BA59&lt;&gt;"",IFERROR(_xlfn.XLOOKUP(BA59,Щиты[Щит],Щиты[Iр, А]),""),IFERROR(_xlfn.IFS(BH59=1,BF59/((Uн_лин/SQRT(3))*BM59),BH59=3,BF59/(SQRT(3)*Uн_лин*BM59)),"")))</f>
        <v>0</v>
      </c>
      <c r="BO59">
        <f>IF(D59="","",IF(N(X59)=0,IFERROR(VLOOKUP(BN59,Автомат_номиналы,2,TRUE),""),X59))</f>
        <v>6</v>
      </c>
      <c r="BP59">
        <f t="shared" si="97"/>
        <v>1</v>
      </c>
      <c r="BQ59">
        <f>IF(ISNUMBER(Y59),Y59,К_прокл)</f>
        <v>1</v>
      </c>
      <c r="BR59">
        <f t="shared" si="98"/>
        <v>2</v>
      </c>
      <c r="BS59" cm="1">
        <f t="array" ref="BS59">IF(D59="","",IF(N(BK59)&lt;&gt;0,BK59,IFERROR(_xlfn.LET(_xlpm.need,BO59/(BP59*BQ59),_xlpm.t,CHOOSE(BR59,Iдоп_1ж,Iдоп_2ж,Iдоп_3ж),_xlpm.k,_xlfn.XMATCH(_xlpm.need,_xlpm.t,1),IF(ISNA(_xlpm.k),"Не исп",INDEX(Iдоп_S,_xlpm.k))),"Не исп")))</f>
        <v>1.5</v>
      </c>
      <c r="BT59">
        <f>IFERROR(VLOOKUP(BS59,Кабель_сопротивление,3,FALSE),"")</f>
        <v>2.2499999999999999E-2</v>
      </c>
      <c r="BU59">
        <f>IFERROR(VLOOKUP(BS59,Кабель_сопротивление,2,FALSE),"")</f>
        <v>0.11</v>
      </c>
      <c r="BV59">
        <f t="shared" si="99"/>
        <v>11</v>
      </c>
      <c r="BW59" s="6">
        <f>IF(D59="","",IFERROR(IF(VLOOKUP(AT59,Потребители_обозначение,4,FALSE)=1,VLOOKUP(AT59,Потребители_обозначение,3,FALSE)*(H59*2-1)+BV59+VLOOKUP(AV59,Этаж_обозначение,3,FALSE)+VLOOKUP(AV59,Этаж_обозначение,4,FALSE),VLOOKUP(AT59,Потребители_обозначение,3,FALSE)*(H59*2-1)+BV59),BV59))</f>
        <v>12</v>
      </c>
      <c r="BX59">
        <f t="shared" si="100"/>
        <v>8</v>
      </c>
      <c r="BY59">
        <f t="shared" si="101"/>
        <v>0</v>
      </c>
      <c r="BZ59">
        <f t="shared" si="102"/>
        <v>2</v>
      </c>
      <c r="CA59">
        <f t="shared" si="103"/>
        <v>0.31</v>
      </c>
      <c r="CB59">
        <f t="shared" si="104"/>
        <v>0</v>
      </c>
      <c r="CC59" s="6">
        <f>IFERROR(ROUNDUP(CB59/((Uн_лин/SQRT(3))*1000)*100,2),"")</f>
        <v>0</v>
      </c>
      <c r="CD59" s="6">
        <f>IF(ISNUMBER(CC59),CC59+IFERROR(_xlfn.XLOOKUP(A59,Щиты[Щит],Щиты[ΔU до шин, %]),0),"")</f>
        <v>0</v>
      </c>
      <c r="CE59" s="6">
        <f>IF(D59="","",IF(IFERROR(VLOOKUP(AT59,УГО_спр,2,FALSE),"")="Светильник",3,4)+IF(Методика="нормы 2026",MIN(0.5,MAX(0,N(BW59)-100)*0.005),0))</f>
        <v>3</v>
      </c>
      <c r="CF59" t="str">
        <f>IFERROR(VLOOKUP(BI59,Кабель_обозначение,2,FALSE),"")</f>
        <v>ВВГнг(А)-LS</v>
      </c>
      <c r="CG59" t="str">
        <f>IFERROR(IF(VLOOKUP(BI59,Кабель_обозначение,3,FALSE)=1,CF59&amp;" ("&amp;BJ59&amp;"х"&amp;BS59&amp;")",CF59),"")</f>
        <v>ВВГнг(А)-LS (3х1,5)</v>
      </c>
      <c r="CH59" t="str">
        <f t="shared" si="105"/>
        <v>ВВГнг(А)-LS (3х1,5)
L=12-0%</v>
      </c>
      <c r="CI59">
        <f>IFERROR(2*ρкз_Cu*BW59/BS59,"")</f>
        <v>0.42080000000000001</v>
      </c>
      <c r="CJ59">
        <f t="shared" si="106"/>
        <v>0.14000000000000001</v>
      </c>
      <c r="CK59" s="6" t="str">
        <f>IFERROR(IF(OR(D59="",NOT(ISNUMBER(BS59)),N(BW59)=0),"",_xlfn.XLOOKUP(A59,Щиты[Щит],Щиты[Zпетли на шинах, Ом])+CI59),"")</f>
        <v/>
      </c>
      <c r="CL59" s="6" t="str">
        <f>IF(ISNUMBER(CK59),c_min*(Uн_лин*1000/SQRT(3))/CK59,"")</f>
        <v/>
      </c>
      <c r="CM59" s="6" t="str">
        <f>IFERROR(IF(OR(D59="",NOT(ISNUMBER(BS59))),"",1.05*(Uн_лин*1000/SQRT(3))/(_xlfn.XLOOKUP(A59,Щиты[Щит],Щиты[Zmax на шинах, Ом])+CJ59)/1000),"")</f>
        <v/>
      </c>
      <c r="CN59" s="6" t="str">
        <f>IF(D59="","",IF(BA59&lt;&gt;"","Щит",IF(K59&lt;&gt;"",K59,IF(ISNUMBER(L59),"Сил",IF(IFERROR(_xlfn.XLOOKUP(AT59,Коды_код,Коды_группа)&amp;"","")="","Быт",_xlfn.XLOOKUP(AT59,Коды_код,Коды_группа)&amp;"")))))</f>
        <v>Быт</v>
      </c>
      <c r="CO59" s="6">
        <f>IF(CN59="Щит","щит",IF(CN59="","",IF(CN59="Быт",IFERROR(_xlfn.XLOOKUP(A59,Щиты[Щит],Щиты[Кс быт]),1),IF(CN59="Сил",IF(ISNUMBER(L59),L59,IF(Методика="нормы 2026",IFERROR(_xlfn.XLOOKUP(A59,Щиты[Щит],Щиты[Кс силовых (табл. 7.5)]),1),1)),IF(OR(CN59="Пост",CN59="Отоп"),1,IF(CN59="ВНГ",0.7,0))))))</f>
        <v>0.8</v>
      </c>
      <c r="CP59">
        <f t="shared" si="107"/>
        <v>1</v>
      </c>
      <c r="CQ59">
        <f t="shared" si="108"/>
        <v>0</v>
      </c>
      <c r="CR59">
        <f t="shared" si="109"/>
        <v>0</v>
      </c>
      <c r="CS59">
        <f t="shared" si="110"/>
        <v>0</v>
      </c>
      <c r="CT59">
        <f t="shared" si="111"/>
        <v>0</v>
      </c>
      <c r="CU59">
        <f t="shared" si="112"/>
        <v>0</v>
      </c>
      <c r="CV59">
        <f t="shared" si="113"/>
        <v>0</v>
      </c>
      <c r="CW59">
        <f t="shared" si="114"/>
        <v>0</v>
      </c>
      <c r="CX59">
        <f t="shared" si="115"/>
        <v>0</v>
      </c>
      <c r="CY59">
        <f t="shared" si="116"/>
        <v>2</v>
      </c>
      <c r="CZ59" t="str">
        <f t="shared" si="117"/>
        <v>L2</v>
      </c>
      <c r="DA59" cm="1">
        <f t="array" ref="DA59">IFERROR(IF(BL59=2,_xlfn.IFS(BH59=3,VLOOKUP(BF59,Справочная_двигатели,3,FALSE),BH59=1,VLOOKUP(BF59,Справочная_двигатели,5,TRUE)),0),0)</f>
        <v>0</v>
      </c>
      <c r="DB59">
        <f>IFERROR(IF(BL59=3,VLOOKUP(BF59,Справочная_ЛЭД,2,TRUE),0),0)</f>
        <v>0</v>
      </c>
      <c r="DC59" s="6">
        <f t="shared" si="118"/>
        <v>0</v>
      </c>
      <c r="DD59" t="str">
        <f t="shared" si="119"/>
        <v>L3</v>
      </c>
      <c r="DE59" t="str" cm="1">
        <f t="array" ref="DE59">IF(D59="","",IFERROR(INDEX({"I особая","I","II","III"},MATCH(TRIM(AA59&amp;""),{"I особая","I","II","III"},0)),"III"))</f>
        <v>III</v>
      </c>
      <c r="DF59" t="str">
        <f>IF(D59="","",IF(TRIM(AB59&amp;"")&lt;&gt;"",IF(LOWER(TRIM(AB59&amp;""))="да","да","нет"),IF(IFERROR(_xlfn.XLOOKUP(AT59,Коды_код,Коды_пожарная),"")="да","да","нет")))</f>
        <v>нет</v>
      </c>
      <c r="DG59" t="str">
        <f t="shared" si="120"/>
        <v/>
      </c>
      <c r="DH59" t="str">
        <f t="shared" si="121"/>
        <v>основная</v>
      </c>
      <c r="DI59">
        <f t="shared" si="122"/>
        <v>1</v>
      </c>
      <c r="DJ59" t="str" cm="1">
        <f t="array" ref="DJ59">IF(D59="","",_xlfn.LET(_xlpm.t,IFERROR(_xlfn.XLOOKUP(1,(Шины[Шина]=DH59)*(((Шины[Щит]=A59)+(Шины[Щит]=""))&gt;0),Шины[Тип]),"")&amp;"",IF(_xlpm.t&lt;&gt;"",_xlpm.t,IF(ISNUMBER(SEARCH("ИБП",DH59)),"ИБП",IF(ISNUMBER(SEARCH("ДГУ",DH59)),"ДГУ","Ввод "&amp;DI59)))))</f>
        <v>Ввод 1</v>
      </c>
      <c r="DK59" t="str">
        <f t="shared" si="123"/>
        <v>Ввод 1</v>
      </c>
      <c r="DL59" t="str">
        <f>IF(D59="","",IF(OR(DJ59="ИБП",DJ59="ДГУ"),"I особая",IF(DJ59="Одиночная","III",_xlfn.XLOOKUP(A59,Щиты[Щит],Щиты[Категория шины «Ввод»],"III"))))</f>
        <v>III</v>
      </c>
      <c r="DM59">
        <f>IF(D59="",0,IFERROR(MATCH(DE59,{"III","II","I","I особая"},0),1))</f>
        <v>1</v>
      </c>
      <c r="DN59">
        <f t="shared" si="124"/>
        <v>1</v>
      </c>
      <c r="DO59" t="str">
        <f>IF(D59="","",IF(DM59&gt;IFERROR(MATCH(DL59,{"III","II","I","I особая"},0),1),"НЕ ОБЕСПЕЧЕНА","ОК"))</f>
        <v>ОК</v>
      </c>
      <c r="DP59" t="str">
        <f>IF(A59="","",_xlfn.XLOOKUP(A59,Щиты[Щит],Щиты[Путь],""))</f>
        <v>|ЩР|</v>
      </c>
      <c r="DQ59" t="str">
        <f>IF(D59="","",IF(Z59&lt;&gt;"",Z59,IF(IFERROR(_xlfn.XLOOKUP(AT59,Коды_код,Коды_вид)&amp;"","")="","Прочее",_xlfn.XLOOKUP(AT59,Коды_код,Коды_вид)&amp;"")))</f>
        <v>Рабочее освещение</v>
      </c>
      <c r="DR59">
        <f>IF(BD59="","",INT((BD59-1)/Столбцов_на_лист)+1)</f>
        <v>4</v>
      </c>
      <c r="DS59" t="str">
        <f t="shared" si="125"/>
        <v>ВВГнг(А)-LS (3х1,5) L=12-0%</v>
      </c>
      <c r="DT59">
        <f t="shared" si="126"/>
        <v>0</v>
      </c>
      <c r="DU59">
        <f t="shared" si="127"/>
        <v>0</v>
      </c>
      <c r="DV59">
        <f t="shared" si="128"/>
        <v>1</v>
      </c>
      <c r="DW59">
        <f>IF(AT59="",0,_xlfn.LET(_xlpm.v,IFERROR(VLOOKUP(D59,УГО_спр,3,FALSE),IFERROR(VLOOKUP(AT59,УГО_спр,3,FALSE),IFERROR(VLOOKUP(LEFT(AT59,2),УГО_спр,3,FALSE),""))),IF(_xlpm.v="да",30,IF(ISNUMBER(_xlpm.v),_xlpm.v,0))))</f>
        <v>0</v>
      </c>
      <c r="DX59">
        <f t="shared" si="129"/>
        <v>0</v>
      </c>
      <c r="DY59">
        <f>IF(BD59="","",IF(AD59&lt;&gt;"",COUNTIFS(A$3:A59,A59,AD$3:AD59,"?*"),IF(OR(OR(AS59=1,A59&lt;&gt;A58),AL59="вручную"),"",IF(AS59=1,"",DZ58))))</f>
        <v>31</v>
      </c>
      <c r="DZ59">
        <f t="shared" si="130"/>
        <v>31</v>
      </c>
      <c r="EA59">
        <f>IF(D59="",0,MAX(IFERROR(--X59,0),IFERROR(--VLOOKUP(D59,УГО_спр,4,FALSE),IFERROR(--VLOOKUP(AT59,УГО_спр,4,FALSE),IFERROR(--VLOOKUP(LEFT(AT59,2),УГО_спр,4,FALSE),0)))))</f>
        <v>10</v>
      </c>
      <c r="EB59">
        <f>IF(D59="","",IFERROR(LOOKUP(INDEX(CHOOSE(BR59,Iдоп_1ж,Iдоп_2ж,Iдоп_3ж),MATCH(BS59,Iдоп_S,0))*BP59*BQ59,{6,10,16,20,25,32,40,50,63,80,100,125,160,200,250,315,400,500,630}),""))</f>
        <v>16</v>
      </c>
      <c r="EC59" t="str">
        <f>IF(AD59="","",SUMIFS(Линии[_Ток схемы],Линии[_гр.],DY59,Линии[Щит],A59,Линии[_в кабель выше],0))</f>
        <v/>
      </c>
      <c r="ED59" t="str">
        <f>IF(AD59="","",IFERROR(VLOOKUP(EC59,Автомат_номиналы,2,TRUE),""))</f>
        <v/>
      </c>
      <c r="EE59" t="str">
        <f>IF(AD59="","",MAX(N(ED59),_xlfn.MAXIFS(Линии[_мин. по типу],Линии[_гр.],DY59,Линии[Щит],A59)))</f>
        <v/>
      </c>
      <c r="EF59" t="str">
        <f>IF(AD59="","",_xlfn.MINIFS(Линии[_макс. автомат по кабелю],Линии[_гр.],DY59,Линии[Щит],A59))</f>
        <v/>
      </c>
      <c r="EG59" t="str">
        <f>IF(AD59="","",MAX(1,_xlfn.MAXIFS(Линии[_фаз],Линии[_гр.],DY59,Линии[Щит],A59)))</f>
        <v/>
      </c>
      <c r="EH59" t="str">
        <f>IF(AD59="","",IF(AND(AD59&lt;&gt;"авто",AD59&lt;&gt;"+"),IF(ISNUMBER(SEARCH("мА",AD59)),IFERROR(--TRIM(RIGHT(SUBSTITUTE(LEFT(AD59,SEARCH("мА",AD59)-1)," ",REPT(" ",9)),6)),30),0),IF(AE59="нет",0,IF(ISNUMBER(AE59),AE59,IF(AE59="да",30,_xlfn.MINIFS(Линии[_дифзащита по коду, мА],Линии[_гр.],DY59,Линии[Щит],A59,Линии[_дифзащита по коду, мА],"&gt;0"))))))</f>
        <v/>
      </c>
      <c r="EI59" t="str">
        <f t="shared" si="131"/>
        <v/>
      </c>
      <c r="EJ59" t="str">
        <f t="shared" si="132"/>
        <v/>
      </c>
      <c r="EK59" t="str">
        <f t="shared" si="133"/>
        <v>QF31</v>
      </c>
      <c r="EL59" t="str">
        <f t="shared" si="134"/>
        <v/>
      </c>
      <c r="EM59">
        <f t="shared" si="135"/>
        <v>0</v>
      </c>
      <c r="EN59" t="str">
        <f>IF(AD59="","",IF(EM59=1,MAX(EE59,Мин_автомат_БП),EE59))</f>
        <v/>
      </c>
      <c r="EO59" t="str">
        <f t="shared" si="136"/>
        <v/>
      </c>
      <c r="EP59" t="str">
        <f t="shared" si="137"/>
        <v/>
      </c>
      <c r="EQ59" t="str">
        <f t="shared" si="138"/>
        <v/>
      </c>
      <c r="ER59" t="str">
        <f>IF(OR(AI59="",AI59="-"),"",IFERROR(VLOOKUP(AI59,Модули_спр,2,FALSE),"R"))</f>
        <v/>
      </c>
      <c r="ES59" t="str">
        <f>IF(ER59="","",ER59&amp;"."&amp;COUNTIFS(A$3:A59,A59,ER$3:ER59,ER59))</f>
        <v/>
      </c>
      <c r="ET59" t="str">
        <f t="shared" si="139"/>
        <v>R.1</v>
      </c>
      <c r="EU59" t="str">
        <f t="shared" si="140"/>
        <v>ZIOMB24V2</v>
      </c>
      <c r="EV59">
        <f t="shared" si="141"/>
        <v>9</v>
      </c>
      <c r="EW59">
        <f t="shared" si="142"/>
        <v>9</v>
      </c>
      <c r="EX59">
        <f t="shared" si="143"/>
        <v>1</v>
      </c>
      <c r="EY59" t="str">
        <f>IF(AK59="нет","",IF(AK59&lt;&gt;"",AK59,IF(EX59=1,"XT"&amp;COUNTIFS(A$3:A59,A59,EX$3:EX59,1),"")))</f>
        <v>XT39</v>
      </c>
      <c r="EZ59" t="str">
        <f t="shared" si="144"/>
        <v>QF31</v>
      </c>
      <c r="FA59" t="str">
        <f t="shared" si="145"/>
        <v>R.1</v>
      </c>
      <c r="FB59" t="str">
        <f t="shared" si="146"/>
        <v/>
      </c>
      <c r="FC59" t="str">
        <f>IF(OR(EV59="",ET59=""),"",IF(EV59&gt;IFERROR(VLOOKUP(EU59,Модули_спр,3,FALSE),99),"ЛИШНИЙ КАНАЛ",IF(AND(AJ59&lt;&gt;"=",COUNTIFS(Линии[_модуль гр.],ET59,Линии[Канал (итог)],EV59,Линии[Канал],"&lt;&gt;=",Линии[Щит],A59)&gt;1),"ДУБЛЬ КАНАЛА","")))</f>
        <v/>
      </c>
      <c r="FD59">
        <f t="shared" si="147"/>
        <v>10</v>
      </c>
      <c r="FE59" t="str">
        <f t="shared" si="148"/>
        <v>1P С10А</v>
      </c>
      <c r="FF59">
        <f t="shared" si="149"/>
        <v>0</v>
      </c>
      <c r="FG59">
        <f t="shared" si="150"/>
        <v>0</v>
      </c>
      <c r="FH59" s="6" t="str">
        <f t="shared" si="151"/>
        <v/>
      </c>
      <c r="FI59">
        <f t="shared" si="152"/>
        <v>10</v>
      </c>
      <c r="FJ59" t="str">
        <f t="shared" si="153"/>
        <v/>
      </c>
      <c r="FK59" t="str">
        <f>IF(AND(D59="",EZ59=""),"",_xlfn.TEXTJOIN("; ",TRUE,IF(AND(D59&lt;&gt;"",DD59=""),"нет фазы",""),IF(AND(D59&lt;&gt;"",N(DT59)=0,CN59&lt;&gt;"Нет"),"нет мощности",""),IF(AND(EY59&lt;&gt;"",COUNTIFS(Линии[Щит],A59,Линии[Клемма (итог)],EY59)&gt;1),"дубль клеммы "&amp;EY59,""),IF(AND(FB59&lt;&gt;"",FB59&lt;&gt;"ok"),FB59,""),IF(FC59&lt;&gt;"",FC59,""),IF(AND(ISNUMBER(SEARCH("(5х",DS59)),N(DV59)=1),"5 жил на 1 фазе",""),IF(AND(AT59="R",AD59&lt;&gt;"",OR(N(EH59)=0,N(EH59)&gt;30)),"розетка без дифзащиты до 30 мА",""),IFERROR(IF(AND(ISNUMBER(CD59),CD59&gt;CE59),"потери "&amp;FIXED(CD59,1)&amp;" % &gt; "&amp;CE59&amp;" %",""),""),IFERROR(IF(LEFT(FJ59,4)="мало","Iкз мало — отключение &gt; 0,4 с",""),""),IF(AND(D59&lt;&gt;"",BD59=""),"не на схеме","")))</f>
        <v>нет мощности</v>
      </c>
      <c r="FL59" s="6" t="str">
        <f>IF(AD59="","",_xlfn.LET(_xlpm.t,IFERROR(_xlfn.XLOOKUP(EP59,Каталог!$U$4:$U$500,Каталог!$G$4:$G$500),""),_xlpm.k,SEARCH("кА",_xlpm.t),IFERROR(--TRIM(RIGHT(SUBSTITUTE(MID(_xlpm.t,MAX(1,_xlpm.k-4),_xlpm.k-MAX(1,_xlpm.k-4))," ",REPT(" ",9)),5)),"")))</f>
        <v/>
      </c>
      <c r="FM59" t="str">
        <f>IF(OR(FL59="",AD59=""),"",IF(_xlfn.XLOOKUP(A59,Щиты[Щит],Щиты[Iкз max на шинах, кА],"")="","",IF(FL59&lt;_xlfn.XLOOKUP(A59,Щиты[Щит],Щиты[Iкз max на шинах, кА]),"Icu "&amp;FL59&amp;" кА &lt; Iкз max","ok")))</f>
        <v/>
      </c>
      <c r="FN59" t="str">
        <f t="shared" si="154"/>
        <v>QF31|R.1 к.9|XT39</v>
      </c>
      <c r="FO59" t="str">
        <f t="shared" si="155"/>
        <v>QF31|R.1 к.9|XT39|кабель ВВГнг(А)-LS (3х1,5) → Группа освещения  Пом. №09</v>
      </c>
      <c r="FP59" t="str" cm="1">
        <f t="array" ref="FP59">IF(FO59="","",_xlfn.LET(_xlpm.nd,_xlfn.TEXTSPLIT(FO59,"|"),IF(COLUMNS(_xlpm.nd)&gt;1,A59&amp;"¦"&amp;INDEX(_xlpm.nd,1)&amp;"¦"&amp;INDEX(_xlpm.nd,2),"")))</f>
        <v>ЩР¦QF31¦R.1 к.9</v>
      </c>
      <c r="FQ59" t="str">
        <f t="shared" si="156"/>
        <v>L.2.09.1¦Группа освещения  Пом. №09</v>
      </c>
      <c r="FR59" t="str" cm="1">
        <f t="array" ref="FR59">IF(FO59="","",_xlfn.LET(_xlpm.nd,_xlfn.TEXTSPLIT(FO59,"|"),IF(COLUMNS(_xlpm.nd)&gt;2,A59&amp;"¦"&amp;INDEX(_xlpm.nd,2)&amp;"¦"&amp;INDEX(_xlpm.nd,3),"")))</f>
        <v>ЩР¦R.1 к.9¦XT39</v>
      </c>
      <c r="FS59" t="str">
        <f t="shared" si="157"/>
        <v>L.2.09.1¦Группа освещения  Пом. №09</v>
      </c>
      <c r="FT59" t="str" cm="1">
        <f t="array" ref="FT59">IF(FO59="","",_xlfn.LET(_xlpm.nd,_xlfn.TEXTSPLIT(FO59,"|"),IF(COLUMNS(_xlpm.nd)&gt;3,A59&amp;"¦"&amp;INDEX(_xlpm.nd,3)&amp;"¦"&amp;INDEX(_xlpm.nd,4),"")))</f>
        <v>ЩР¦XT39¦кабель ВВГнг(А)-LS (3х1,5) → Группа освещения  Пом. №09</v>
      </c>
      <c r="FU59" t="str">
        <f t="shared" si="158"/>
        <v>L.2.09.1¦Группа освещения  Пом. №09</v>
      </c>
      <c r="FV59" t="str" cm="1">
        <f t="array" ref="FV59">IF(FO59="","",_xlfn.LET(_xlpm.nd,_xlfn.TEXTSPLIT(FO59,"|"),IF(COLUMNS(_xlpm.nd)&gt;4,A59&amp;"¦"&amp;INDEX(_xlpm.nd,4)&amp;"¦"&amp;INDEX(_xlpm.nd,5),"")))</f>
        <v/>
      </c>
      <c r="FW59" t="str">
        <f t="shared" si="159"/>
        <v/>
      </c>
      <c r="FX59" t="str" cm="1">
        <f t="array" ref="FX59">IF(FO59="","",_xlfn.LET(_xlpm.nd,_xlfn.TEXTSPLIT(FO59,"|"),IF(COLUMNS(_xlpm.nd)&gt;5,A59&amp;"¦"&amp;INDEX(_xlpm.nd,5)&amp;"¦"&amp;INDEX(_xlpm.nd,6),"")))</f>
        <v/>
      </c>
      <c r="FY59" t="str">
        <f t="shared" si="160"/>
        <v/>
      </c>
      <c r="FZ59" t="str" cm="1">
        <f t="array" ref="FZ59">IF(FO59="","",_xlfn.LET(_xlpm.nd,_xlfn.TEXTSPLIT(FO59,"|"),IF(COLUMNS(_xlpm.nd)&gt;6,A59&amp;"¦"&amp;INDEX(_xlpm.nd,6)&amp;"¦"&amp;INDEX(_xlpm.nd,7),"")))</f>
        <v/>
      </c>
      <c r="GA59" t="str">
        <f t="shared" si="161"/>
        <v/>
      </c>
      <c r="GB59" t="str">
        <f t="shared" si="162"/>
        <v>ZIOMB24V2</v>
      </c>
      <c r="GC59" t="str">
        <f t="shared" si="163"/>
        <v>QF31 → R.1 к.9 → XT39</v>
      </c>
      <c r="GD59">
        <f t="shared" si="164"/>
        <v>1</v>
      </c>
      <c r="GE59">
        <f t="shared" si="165"/>
        <v>0</v>
      </c>
      <c r="GF59">
        <f t="shared" si="166"/>
        <v>0</v>
      </c>
      <c r="GG59" t="str">
        <f t="shared" si="167"/>
        <v/>
      </c>
      <c r="GH59" t="str">
        <f t="shared" si="168"/>
        <v/>
      </c>
      <c r="GI59" t="str">
        <f t="shared" si="169"/>
        <v/>
      </c>
      <c r="GJ59" t="str">
        <f t="shared" si="170"/>
        <v/>
      </c>
      <c r="GK59" t="str">
        <f>IF(D59="","",IFERROR(VLOOKUP(D59,УГО_спр,2,FALSE),IFERROR(VLOOKUP(AT59,УГО_спр,2,FALSE),IFERROR(VLOOKUP(LEFT(AT59,2),УГО_спр,2,FALSE),""))))</f>
        <v>Светильник</v>
      </c>
      <c r="GL59" t="str">
        <f>IF(D59="","",IF(OR(GK59="",GK59=0),"BOX",IFERROR(IF(VLOOKUP(GK59,УГО_блоки,3,FALSE)&amp;""&lt;&gt;"",VLOOKUP(GK59,УГО_блоки,3,FALSE),VLOOKUP(GK59,УГО_блоки,2,FALSE)),GK59)))</f>
        <v>LAMP</v>
      </c>
      <c r="GM59">
        <f t="shared" si="171"/>
        <v>1</v>
      </c>
      <c r="GN59" t="str">
        <f>IF(EP59="","",IF(COUNTIF(EP$3:EP59,EP59)=1,MAX(GN$2:GN58)+1,""))</f>
        <v/>
      </c>
      <c r="GO59" t="str">
        <f>IF(AF59="","",IF(COUNTIF(AF$3:AF59,AF59)+COUNTIF(AG$2:AG58,AF59)+COUNTIF(AH$2:AH58,AF59)=1,MAX(GO$2:GQ58)+1,""))</f>
        <v/>
      </c>
      <c r="GP59" t="str">
        <f>IF(AG59="","",IF(COUNTIF(AF$3:AF59,AG59)+COUNTIF(AG$3:AG59,AG59)+COUNTIF(AH$2:AH58,AG59)=1,MAX(GO$2:GQ58,GO59)+1,""))</f>
        <v/>
      </c>
      <c r="GQ59" t="str">
        <f>IF(AH59="","",IF(COUNTIF(AF$3:AF59,AH59)+COUNTIF(AG$3:AG59,AH59)+COUNTIF(AH$3:AH59,AH59)=1,MAX(GO$2:GQ58,GO59,GP59)+1,""))</f>
        <v/>
      </c>
      <c r="GR59" t="str">
        <f t="shared" si="172"/>
        <v>3х1,5</v>
      </c>
      <c r="GS59" t="str">
        <f>IF(GR59="","",IF(COUNTIF(GR$3:GR59,GR59)=1,MAX(GS$2:GS58)+1,""))</f>
        <v/>
      </c>
      <c r="GT59" t="str">
        <f>IF(ES59="","",COUNTIF(ES$3:ES59,"?*"))</f>
        <v/>
      </c>
      <c r="GU59" t="str">
        <f>IF(OR(ES59="",EU59=""),"",IF(COUNTIFS(ES$3:ES59,"?*",EU$3:EU59,EU59)=1,MAX(GU$2:GU58)+1,""))</f>
        <v/>
      </c>
      <c r="GV59">
        <f t="shared" si="173"/>
        <v>1</v>
      </c>
      <c r="GW59">
        <f>IF(D59="","",COUNTIF(D$3:D59,"?*"))</f>
        <v>39</v>
      </c>
      <c r="GX59">
        <f>IF(EX59&lt;&gt;1,0,_xlfn.LET(_xlpm.k,MAX(IFERROR(--VLOOKUP(D59,УГО_спр,5,FALSE),0),IFERROR(--VLOOKUP(AT59,УГО_спр,5,FALSE),0),IFERROR(--VLOOKUP(LEFT(AT59,2),УГО_спр,5,FALSE),0)),IF(_xlpm.k&gt;0,_xlpm.k,IF(IFERROR(--LEFT(SUBSTITUTE(GR59,"x","х"),FIND("х",SUBSTITUTE(GR59,"x","х"))-1),3)&gt;3,Каталог!$S$9,1))))</f>
        <v>1</v>
      </c>
      <c r="GY59">
        <f t="shared" si="174"/>
        <v>0</v>
      </c>
    </row>
    <row r="60" spans="1:207" x14ac:dyDescent="0.3">
      <c r="A60" t="s">
        <v>206</v>
      </c>
      <c r="B60">
        <v>62</v>
      </c>
      <c r="C60" t="str">
        <f>IF(BD60="","",IF(BE60="вводной узел","узел ","")&amp;"л."&amp;(INT((BD60-1)/Столбцов_на_лист)+1)&amp;" / "&amp;(MOD(BD60-1,Столбцов_на_лист)+1))</f>
        <v>л.4 / 11</v>
      </c>
      <c r="D60" t="s">
        <v>739</v>
      </c>
      <c r="E60" s="133" t="str">
        <f t="shared" si="175"/>
        <v>Группа освещения  Пом. №13</v>
      </c>
      <c r="H60">
        <v>2</v>
      </c>
      <c r="O60">
        <v>1</v>
      </c>
      <c r="T60">
        <v>1</v>
      </c>
      <c r="V60">
        <v>3</v>
      </c>
      <c r="AM60">
        <v>14.05</v>
      </c>
      <c r="AO60">
        <v>831891</v>
      </c>
      <c r="AQ60" t="s">
        <v>740</v>
      </c>
      <c r="AR60" t="str">
        <f t="shared" si="88"/>
        <v>нет мощности</v>
      </c>
      <c r="AS60" cm="1">
        <f t="array" ref="AS60">ROW()-ROW(Линии[#Headers])</f>
        <v>58</v>
      </c>
      <c r="AT60" s="6" t="str">
        <f t="shared" si="89"/>
        <v>L</v>
      </c>
      <c r="AU60" t="str">
        <f t="shared" si="90"/>
        <v>2.13.2</v>
      </c>
      <c r="AV60" t="str">
        <f t="shared" si="91"/>
        <v>2</v>
      </c>
      <c r="AW60" t="str">
        <f t="shared" si="92"/>
        <v>13.2</v>
      </c>
      <c r="AX60" t="str">
        <f t="shared" si="93"/>
        <v>13</v>
      </c>
      <c r="AY60" t="str">
        <f>IF(D60="","",IF(ISERROR(SEARCH(".",D60)),IFERROR(VLOOKUP(D60,Потребители_обозначение,2,FALSE)&amp;"",""),IFERROR(IF(VLOOKUP(AT60,Потребители_обозначение,4,FALSE)=1,VLOOKUP(AT60,Потребители_обозначение,2,FALSE)&amp;" "&amp;VLOOKUP(AV60,Этаж_обозначение,2,FALSE)&amp;" Пом. №"&amp;AX60,VLOOKUP(AT60,Потребители_обозначение,2,FALSE)&amp;" Шлейф №"&amp;AV60),IFERROR(VLOOKUP(D60,Потребители_обозначение,2,FALSE),""))))</f>
        <v>Группа освещения  Пом. №13</v>
      </c>
      <c r="AZ60" t="str">
        <f t="shared" si="94"/>
        <v>Группа освещения  Пом. №13</v>
      </c>
      <c r="BA60" t="str">
        <f>IF(F60&lt;&gt;"",F60,IF(AND(D60&lt;&gt;"",D60&lt;&gt;A60,ISNUMBER(_xlfn.XMATCH(D60,Щиты[Щит]))),D60,""))</f>
        <v/>
      </c>
      <c r="BB60">
        <f>IFERROR(_xlfn.XMATCH(A60,Щиты[Щит]),0)</f>
        <v>1</v>
      </c>
      <c r="BC60">
        <f>IFERROR(N(_xlfn.XLOOKUP(A60,Щиты[Щит],Щиты[Мест под вводной узел])),15)</f>
        <v>18</v>
      </c>
      <c r="BD60">
        <f t="shared" si="95"/>
        <v>62</v>
      </c>
      <c r="BE60" t="str">
        <f t="shared" si="96"/>
        <v>линии</v>
      </c>
      <c r="BF60" s="6">
        <f>IF(D60="","",IF(BA60&lt;&gt;"",IFERROR(_xlfn.XLOOKUP(BA60,Щиты[Щит],Щиты[Руст, кВт]),0),N(G60)))</f>
        <v>0</v>
      </c>
      <c r="BG60">
        <f>IF(J60&lt;&gt;"",J60,IF(D60="","",IFERROR(IF(VLOOKUP(AT60,Потребители_обозначение,8,FALSE)=0,"",VLOOKUP(AT60,Потребители_обозначение,8,FALSE)),"")))</f>
        <v>230</v>
      </c>
      <c r="BH60">
        <f>IF(I60&lt;&gt;"",I60,IF(D60="","",IFERROR(IF(VLOOKUP(AT60,Потребители_обозначение,9,FALSE)=0,"",VLOOKUP(AT60,Потребители_обозначение,9,FALSE)),"")))</f>
        <v>1</v>
      </c>
      <c r="BI60" t="str">
        <f>IF(U60&lt;&gt;"",U60,IF(D60="","",IFERROR(IF(VLOOKUP(AT60,Потребители_обозначение,6,FALSE)=0,"",VLOOKUP(AT60,Потребители_обозначение,6,FALSE)),"")))</f>
        <v>мс</v>
      </c>
      <c r="BJ60">
        <f>IF(V60&lt;&gt;"",V60,IF(D60="","",IFERROR(IF(VLOOKUP(AT60,Потребители_обозначение,7,FALSE)=0,"",VLOOKUP(AT60,Потребители_обозначение,7,FALSE)),"")))</f>
        <v>3</v>
      </c>
      <c r="BK60">
        <f>IF(W60&lt;&gt;"",W60,IF(D60="","",IFERROR(IF(VLOOKUP(AT60,Потребители_обозначение,10,FALSE)=0,"",VLOOKUP(AT60,Потребители_обозначение,10,FALSE)),"")))</f>
        <v>1.5</v>
      </c>
      <c r="BL60">
        <f>IFERROR(VLOOKUP(AT60,Потребители_обозначение,5,FALSE),0)</f>
        <v>1</v>
      </c>
      <c r="BM60" s="6" cm="1">
        <f t="array" ref="BM60">IF(D60="","",IF(BA60&lt;&gt;"",IFERROR(_xlfn.XLOOKUP(BA60,Щиты[Щит],Щиты[cos φ]),0.95),IF(ISNUMBER(M60),M60,IFERROR(IF(BL60=2,_xlfn.IFS(BH60=3,VLOOKUP(BF60,Справочная_двигатели,8,FALSE),BH60=1,VLOOKUP(BF60,Справочная_двигатели,10,TRUE)),IF(AND(Методика="нормы 2026",CN60="Сил"),0.8,0.95)),0.95))))</f>
        <v>0.95</v>
      </c>
      <c r="BN60" s="6" cm="1">
        <f t="array" ref="BN60">IF(D60="","",IF(BA60&lt;&gt;"",IFERROR(_xlfn.XLOOKUP(BA60,Щиты[Щит],Щиты[Iр, А]),""),IFERROR(_xlfn.IFS(BH60=1,BF60/((Uн_лин/SQRT(3))*BM60),BH60=3,BF60/(SQRT(3)*Uн_лин*BM60)),"")))</f>
        <v>0</v>
      </c>
      <c r="BO60">
        <f>IF(D60="","",IF(N(X60)=0,IFERROR(VLOOKUP(BN60,Автомат_номиналы,2,TRUE),""),X60))</f>
        <v>6</v>
      </c>
      <c r="BP60">
        <f t="shared" si="97"/>
        <v>1</v>
      </c>
      <c r="BQ60">
        <f>IF(ISNUMBER(Y60),Y60,К_прокл)</f>
        <v>1</v>
      </c>
      <c r="BR60">
        <f t="shared" si="98"/>
        <v>2</v>
      </c>
      <c r="BS60" cm="1">
        <f t="array" ref="BS60">IF(D60="","",IF(N(BK60)&lt;&gt;0,BK60,IFERROR(_xlfn.LET(_xlpm.need,BO60/(BP60*BQ60),_xlpm.t,CHOOSE(BR60,Iдоп_1ж,Iдоп_2ж,Iдоп_3ж),_xlpm.k,_xlfn.XMATCH(_xlpm.need,_xlpm.t,1),IF(ISNA(_xlpm.k),"Не исп",INDEX(Iдоп_S,_xlpm.k))),"Не исп")))</f>
        <v>1.5</v>
      </c>
      <c r="BT60">
        <f>IFERROR(VLOOKUP(BS60,Кабель_сопротивление,3,FALSE),"")</f>
        <v>2.2499999999999999E-2</v>
      </c>
      <c r="BU60">
        <f>IFERROR(VLOOKUP(BS60,Кабель_сопротивление,2,FALSE),"")</f>
        <v>0.11</v>
      </c>
      <c r="BV60">
        <f t="shared" si="99"/>
        <v>15</v>
      </c>
      <c r="BW60" s="6">
        <f>IF(D60="","",IFERROR(IF(VLOOKUP(AT60,Потребители_обозначение,4,FALSE)=1,VLOOKUP(AT60,Потребители_обозначение,3,FALSE)*(H60*2-1)+BV60+VLOOKUP(AV60,Этаж_обозначение,3,FALSE)+VLOOKUP(AV60,Этаж_обозначение,4,FALSE),VLOOKUP(AT60,Потребители_обозначение,3,FALSE)*(H60*2-1)+BV60),BV60))</f>
        <v>18</v>
      </c>
      <c r="BX60">
        <f t="shared" si="100"/>
        <v>14</v>
      </c>
      <c r="BY60">
        <f t="shared" si="101"/>
        <v>0</v>
      </c>
      <c r="BZ60">
        <f t="shared" si="102"/>
        <v>2</v>
      </c>
      <c r="CA60">
        <f t="shared" si="103"/>
        <v>0.31</v>
      </c>
      <c r="CB60">
        <f t="shared" si="104"/>
        <v>0</v>
      </c>
      <c r="CC60" s="6">
        <f>IFERROR(ROUNDUP(CB60/((Uн_лин/SQRT(3))*1000)*100,2),"")</f>
        <v>0</v>
      </c>
      <c r="CD60" s="6">
        <f>IF(ISNUMBER(CC60),CC60+IFERROR(_xlfn.XLOOKUP(A60,Щиты[Щит],Щиты[ΔU до шин, %]),0),"")</f>
        <v>0</v>
      </c>
      <c r="CE60" s="6">
        <f>IF(D60="","",IF(IFERROR(VLOOKUP(AT60,УГО_спр,2,FALSE),"")="Светильник",3,4)+IF(Методика="нормы 2026",MIN(0.5,MAX(0,N(BW60)-100)*0.005),0))</f>
        <v>3</v>
      </c>
      <c r="CF60" t="str">
        <f>IFERROR(VLOOKUP(BI60,Кабель_обозначение,2,FALSE),"")</f>
        <v>ВВГнг(А)-LS</v>
      </c>
      <c r="CG60" t="str">
        <f>IFERROR(IF(VLOOKUP(BI60,Кабель_обозначение,3,FALSE)=1,CF60&amp;" ("&amp;BJ60&amp;"х"&amp;BS60&amp;")",CF60),"")</f>
        <v>ВВГнг(А)-LS (3х1,5)</v>
      </c>
      <c r="CH60" t="str">
        <f t="shared" si="105"/>
        <v>ВВГнг(А)-LS (3х1,5)
L=18-0%</v>
      </c>
      <c r="CI60">
        <f>IFERROR(2*ρкз_Cu*BW60/BS60,"")</f>
        <v>0.63119999999999998</v>
      </c>
      <c r="CJ60">
        <f t="shared" si="106"/>
        <v>0.21000000000000005</v>
      </c>
      <c r="CK60" s="6" t="str">
        <f>IFERROR(IF(OR(D60="",NOT(ISNUMBER(BS60)),N(BW60)=0),"",_xlfn.XLOOKUP(A60,Щиты[Щит],Щиты[Zпетли на шинах, Ом])+CI60),"")</f>
        <v/>
      </c>
      <c r="CL60" s="6" t="str">
        <f>IF(ISNUMBER(CK60),c_min*(Uн_лин*1000/SQRT(3))/CK60,"")</f>
        <v/>
      </c>
      <c r="CM60" s="6" t="str">
        <f>IFERROR(IF(OR(D60="",NOT(ISNUMBER(BS60))),"",1.05*(Uн_лин*1000/SQRT(3))/(_xlfn.XLOOKUP(A60,Щиты[Щит],Щиты[Zmax на шинах, Ом])+CJ60)/1000),"")</f>
        <v/>
      </c>
      <c r="CN60" s="6" t="str">
        <f>IF(D60="","",IF(BA60&lt;&gt;"","Щит",IF(K60&lt;&gt;"",K60,IF(ISNUMBER(L60),"Сил",IF(IFERROR(_xlfn.XLOOKUP(AT60,Коды_код,Коды_группа)&amp;"","")="","Быт",_xlfn.XLOOKUP(AT60,Коды_код,Коды_группа)&amp;"")))))</f>
        <v>Быт</v>
      </c>
      <c r="CO60" s="6">
        <f>IF(CN60="Щит","щит",IF(CN60="","",IF(CN60="Быт",IFERROR(_xlfn.XLOOKUP(A60,Щиты[Щит],Щиты[Кс быт]),1),IF(CN60="Сил",IF(ISNUMBER(L60),L60,IF(Методика="нормы 2026",IFERROR(_xlfn.XLOOKUP(A60,Щиты[Щит],Щиты[Кс силовых (табл. 7.5)]),1),1)),IF(OR(CN60="Пост",CN60="Отоп"),1,IF(CN60="ВНГ",0.7,0))))))</f>
        <v>0.8</v>
      </c>
      <c r="CP60">
        <f t="shared" si="107"/>
        <v>1</v>
      </c>
      <c r="CQ60">
        <f t="shared" si="108"/>
        <v>0</v>
      </c>
      <c r="CR60">
        <f t="shared" si="109"/>
        <v>0</v>
      </c>
      <c r="CS60">
        <f t="shared" si="110"/>
        <v>0</v>
      </c>
      <c r="CT60">
        <f t="shared" si="111"/>
        <v>0</v>
      </c>
      <c r="CU60">
        <f t="shared" si="112"/>
        <v>0</v>
      </c>
      <c r="CV60">
        <f t="shared" si="113"/>
        <v>0</v>
      </c>
      <c r="CW60">
        <f t="shared" si="114"/>
        <v>0</v>
      </c>
      <c r="CX60">
        <f t="shared" si="115"/>
        <v>0</v>
      </c>
      <c r="CY60">
        <f t="shared" si="116"/>
        <v>3</v>
      </c>
      <c r="CZ60" t="str">
        <f t="shared" si="117"/>
        <v>L3</v>
      </c>
      <c r="DA60" cm="1">
        <f t="array" ref="DA60">IFERROR(IF(BL60=2,_xlfn.IFS(BH60=3,VLOOKUP(BF60,Справочная_двигатели,3,FALSE),BH60=1,VLOOKUP(BF60,Справочная_двигатели,5,TRUE)),0),0)</f>
        <v>0</v>
      </c>
      <c r="DB60">
        <f>IFERROR(IF(BL60=3,VLOOKUP(BF60,Справочная_ЛЭД,2,TRUE),0),0)</f>
        <v>0</v>
      </c>
      <c r="DC60" s="6">
        <f t="shared" si="118"/>
        <v>0</v>
      </c>
      <c r="DD60" t="str">
        <f t="shared" si="119"/>
        <v>L1</v>
      </c>
      <c r="DE60" t="str" cm="1">
        <f t="array" ref="DE60">IF(D60="","",IFERROR(INDEX({"I особая","I","II","III"},MATCH(TRIM(AA60&amp;""),{"I особая","I","II","III"},0)),"III"))</f>
        <v>III</v>
      </c>
      <c r="DF60" t="str">
        <f>IF(D60="","",IF(TRIM(AB60&amp;"")&lt;&gt;"",IF(LOWER(TRIM(AB60&amp;""))="да","да","нет"),IF(IFERROR(_xlfn.XLOOKUP(AT60,Коды_код,Коды_пожарная),"")="да","да","нет")))</f>
        <v>нет</v>
      </c>
      <c r="DG60" t="str">
        <f t="shared" si="120"/>
        <v/>
      </c>
      <c r="DH60" t="str">
        <f t="shared" si="121"/>
        <v>основная</v>
      </c>
      <c r="DI60">
        <f t="shared" si="122"/>
        <v>1</v>
      </c>
      <c r="DJ60" t="str" cm="1">
        <f t="array" ref="DJ60">IF(D60="","",_xlfn.LET(_xlpm.t,IFERROR(_xlfn.XLOOKUP(1,(Шины[Шина]=DH60)*(((Шины[Щит]=A60)+(Шины[Щит]=""))&gt;0),Шины[Тип]),"")&amp;"",IF(_xlpm.t&lt;&gt;"",_xlpm.t,IF(ISNUMBER(SEARCH("ИБП",DH60)),"ИБП",IF(ISNUMBER(SEARCH("ДГУ",DH60)),"ДГУ","Ввод "&amp;DI60)))))</f>
        <v>Ввод 1</v>
      </c>
      <c r="DK60" t="str">
        <f t="shared" si="123"/>
        <v>Ввод 1</v>
      </c>
      <c r="DL60" t="str">
        <f>IF(D60="","",IF(OR(DJ60="ИБП",DJ60="ДГУ"),"I особая",IF(DJ60="Одиночная","III",_xlfn.XLOOKUP(A60,Щиты[Щит],Щиты[Категория шины «Ввод»],"III"))))</f>
        <v>III</v>
      </c>
      <c r="DM60">
        <f>IF(D60="",0,IFERROR(MATCH(DE60,{"III","II","I","I особая"},0),1))</f>
        <v>1</v>
      </c>
      <c r="DN60">
        <f t="shared" si="124"/>
        <v>1</v>
      </c>
      <c r="DO60" t="str">
        <f>IF(D60="","",IF(DM60&gt;IFERROR(MATCH(DL60,{"III","II","I","I особая"},0),1),"НЕ ОБЕСПЕЧЕНА","ОК"))</f>
        <v>ОК</v>
      </c>
      <c r="DP60" t="str">
        <f>IF(A60="","",_xlfn.XLOOKUP(A60,Щиты[Щит],Щиты[Путь],""))</f>
        <v>|ЩР|</v>
      </c>
      <c r="DQ60" t="str">
        <f>IF(D60="","",IF(Z60&lt;&gt;"",Z60,IF(IFERROR(_xlfn.XLOOKUP(AT60,Коды_код,Коды_вид)&amp;"","")="","Прочее",_xlfn.XLOOKUP(AT60,Коды_код,Коды_вид)&amp;"")))</f>
        <v>Рабочее освещение</v>
      </c>
      <c r="DR60">
        <f>IF(BD60="","",INT((BD60-1)/Столбцов_на_лист)+1)</f>
        <v>4</v>
      </c>
      <c r="DS60" t="str">
        <f t="shared" si="125"/>
        <v>ВВГнг(А)-LS (3х1,5) L=18-0%</v>
      </c>
      <c r="DT60">
        <f t="shared" si="126"/>
        <v>0</v>
      </c>
      <c r="DU60">
        <f t="shared" si="127"/>
        <v>0</v>
      </c>
      <c r="DV60">
        <f t="shared" si="128"/>
        <v>1</v>
      </c>
      <c r="DW60">
        <f>IF(AT60="",0,_xlfn.LET(_xlpm.v,IFERROR(VLOOKUP(D60,УГО_спр,3,FALSE),IFERROR(VLOOKUP(AT60,УГО_спр,3,FALSE),IFERROR(VLOOKUP(LEFT(AT60,2),УГО_спр,3,FALSE),""))),IF(_xlpm.v="да",30,IF(ISNUMBER(_xlpm.v),_xlpm.v,0))))</f>
        <v>0</v>
      </c>
      <c r="DX60">
        <f t="shared" si="129"/>
        <v>0</v>
      </c>
      <c r="DY60">
        <f>IF(BD60="","",IF(AD60&lt;&gt;"",COUNTIFS(A$3:A60,A60,AD$3:AD60,"?*"),IF(OR(OR(AS60=1,A60&lt;&gt;A59),AL60="вручную"),"",IF(AS60=1,"",DZ59))))</f>
        <v>31</v>
      </c>
      <c r="DZ60">
        <f t="shared" si="130"/>
        <v>31</v>
      </c>
      <c r="EA60">
        <f>IF(D60="",0,MAX(IFERROR(--X60,0),IFERROR(--VLOOKUP(D60,УГО_спр,4,FALSE),IFERROR(--VLOOKUP(AT60,УГО_спр,4,FALSE),IFERROR(--VLOOKUP(LEFT(AT60,2),УГО_спр,4,FALSE),0)))))</f>
        <v>10</v>
      </c>
      <c r="EB60">
        <f>IF(D60="","",IFERROR(LOOKUP(INDEX(CHOOSE(BR60,Iдоп_1ж,Iдоп_2ж,Iдоп_3ж),MATCH(BS60,Iдоп_S,0))*BP60*BQ60,{6,10,16,20,25,32,40,50,63,80,100,125,160,200,250,315,400,500,630}),""))</f>
        <v>16</v>
      </c>
      <c r="EC60" t="str">
        <f>IF(AD60="","",SUMIFS(Линии[_Ток схемы],Линии[_гр.],DY60,Линии[Щит],A60,Линии[_в кабель выше],0))</f>
        <v/>
      </c>
      <c r="ED60" t="str">
        <f>IF(AD60="","",IFERROR(VLOOKUP(EC60,Автомат_номиналы,2,TRUE),""))</f>
        <v/>
      </c>
      <c r="EE60" t="str">
        <f>IF(AD60="","",MAX(N(ED60),_xlfn.MAXIFS(Линии[_мин. по типу],Линии[_гр.],DY60,Линии[Щит],A60)))</f>
        <v/>
      </c>
      <c r="EF60" t="str">
        <f>IF(AD60="","",_xlfn.MINIFS(Линии[_макс. автомат по кабелю],Линии[_гр.],DY60,Линии[Щит],A60))</f>
        <v/>
      </c>
      <c r="EG60" t="str">
        <f>IF(AD60="","",MAX(1,_xlfn.MAXIFS(Линии[_фаз],Линии[_гр.],DY60,Линии[Щит],A60)))</f>
        <v/>
      </c>
      <c r="EH60" t="str">
        <f>IF(AD60="","",IF(AND(AD60&lt;&gt;"авто",AD60&lt;&gt;"+"),IF(ISNUMBER(SEARCH("мА",AD60)),IFERROR(--TRIM(RIGHT(SUBSTITUTE(LEFT(AD60,SEARCH("мА",AD60)-1)," ",REPT(" ",9)),6)),30),0),IF(AE60="нет",0,IF(ISNUMBER(AE60),AE60,IF(AE60="да",30,_xlfn.MINIFS(Линии[_дифзащита по коду, мА],Линии[_гр.],DY60,Линии[Щит],A60,Линии[_дифзащита по коду, мА],"&gt;0"))))))</f>
        <v/>
      </c>
      <c r="EI60" t="str">
        <f t="shared" si="131"/>
        <v/>
      </c>
      <c r="EJ60" t="str">
        <f t="shared" si="132"/>
        <v/>
      </c>
      <c r="EK60" t="str">
        <f t="shared" si="133"/>
        <v>QF31</v>
      </c>
      <c r="EL60" t="str">
        <f t="shared" si="134"/>
        <v/>
      </c>
      <c r="EM60">
        <f t="shared" si="135"/>
        <v>0</v>
      </c>
      <c r="EN60" t="str">
        <f>IF(AD60="","",IF(EM60=1,MAX(EE60,Мин_автомат_БП),EE60))</f>
        <v/>
      </c>
      <c r="EO60" t="str">
        <f t="shared" si="136"/>
        <v/>
      </c>
      <c r="EP60" t="str">
        <f t="shared" si="137"/>
        <v/>
      </c>
      <c r="EQ60" t="str">
        <f t="shared" si="138"/>
        <v/>
      </c>
      <c r="ER60" t="str">
        <f>IF(OR(AI60="",AI60="-"),"",IFERROR(VLOOKUP(AI60,Модули_спр,2,FALSE),"R"))</f>
        <v/>
      </c>
      <c r="ES60" t="str">
        <f>IF(ER60="","",ER60&amp;"."&amp;COUNTIFS(A$3:A60,A60,ER$3:ER60,ER60))</f>
        <v/>
      </c>
      <c r="ET60" t="str">
        <f t="shared" si="139"/>
        <v>R.1</v>
      </c>
      <c r="EU60" t="str">
        <f t="shared" si="140"/>
        <v>ZIOMB24V2</v>
      </c>
      <c r="EV60">
        <f t="shared" si="141"/>
        <v>10</v>
      </c>
      <c r="EW60">
        <f t="shared" si="142"/>
        <v>10</v>
      </c>
      <c r="EX60">
        <f t="shared" si="143"/>
        <v>1</v>
      </c>
      <c r="EY60" t="str">
        <f>IF(AK60="нет","",IF(AK60&lt;&gt;"",AK60,IF(EX60=1,"XT"&amp;COUNTIFS(A$3:A60,A60,EX$3:EX60,1),"")))</f>
        <v>XT40</v>
      </c>
      <c r="EZ60" t="str">
        <f t="shared" si="144"/>
        <v>QF31</v>
      </c>
      <c r="FA60" t="str">
        <f t="shared" si="145"/>
        <v>R.1</v>
      </c>
      <c r="FB60" t="str">
        <f t="shared" si="146"/>
        <v/>
      </c>
      <c r="FC60" t="str">
        <f>IF(OR(EV60="",ET60=""),"",IF(EV60&gt;IFERROR(VLOOKUP(EU60,Модули_спр,3,FALSE),99),"ЛИШНИЙ КАНАЛ",IF(AND(AJ60&lt;&gt;"=",COUNTIFS(Линии[_модуль гр.],ET60,Линии[Канал (итог)],EV60,Линии[Канал],"&lt;&gt;=",Линии[Щит],A60)&gt;1),"ДУБЛЬ КАНАЛА","")))</f>
        <v/>
      </c>
      <c r="FD60">
        <f t="shared" si="147"/>
        <v>10</v>
      </c>
      <c r="FE60" t="str">
        <f t="shared" si="148"/>
        <v>1P С10А</v>
      </c>
      <c r="FF60">
        <f t="shared" si="149"/>
        <v>0</v>
      </c>
      <c r="FG60">
        <f t="shared" si="150"/>
        <v>0</v>
      </c>
      <c r="FH60" s="6" t="str">
        <f t="shared" si="151"/>
        <v/>
      </c>
      <c r="FI60">
        <f t="shared" si="152"/>
        <v>10</v>
      </c>
      <c r="FJ60" t="str">
        <f t="shared" si="153"/>
        <v/>
      </c>
      <c r="FK60" t="str">
        <f>IF(AND(D60="",EZ60=""),"",_xlfn.TEXTJOIN("; ",TRUE,IF(AND(D60&lt;&gt;"",DD60=""),"нет фазы",""),IF(AND(D60&lt;&gt;"",N(DT60)=0,CN60&lt;&gt;"Нет"),"нет мощности",""),IF(AND(EY60&lt;&gt;"",COUNTIFS(Линии[Щит],A60,Линии[Клемма (итог)],EY60)&gt;1),"дубль клеммы "&amp;EY60,""),IF(AND(FB60&lt;&gt;"",FB60&lt;&gt;"ok"),FB60,""),IF(FC60&lt;&gt;"",FC60,""),IF(AND(ISNUMBER(SEARCH("(5х",DS60)),N(DV60)=1),"5 жил на 1 фазе",""),IF(AND(AT60="R",AD60&lt;&gt;"",OR(N(EH60)=0,N(EH60)&gt;30)),"розетка без дифзащиты до 30 мА",""),IFERROR(IF(AND(ISNUMBER(CD60),CD60&gt;CE60),"потери "&amp;FIXED(CD60,1)&amp;" % &gt; "&amp;CE60&amp;" %",""),""),IFERROR(IF(LEFT(FJ60,4)="мало","Iкз мало — отключение &gt; 0,4 с",""),""),IF(AND(D60&lt;&gt;"",BD60=""),"не на схеме","")))</f>
        <v>нет мощности</v>
      </c>
      <c r="FL60" s="6" t="str">
        <f>IF(AD60="","",_xlfn.LET(_xlpm.t,IFERROR(_xlfn.XLOOKUP(EP60,Каталог!$U$4:$U$500,Каталог!$G$4:$G$500),""),_xlpm.k,SEARCH("кА",_xlpm.t),IFERROR(--TRIM(RIGHT(SUBSTITUTE(MID(_xlpm.t,MAX(1,_xlpm.k-4),_xlpm.k-MAX(1,_xlpm.k-4))," ",REPT(" ",9)),5)),"")))</f>
        <v/>
      </c>
      <c r="FM60" t="str">
        <f>IF(OR(FL60="",AD60=""),"",IF(_xlfn.XLOOKUP(A60,Щиты[Щит],Щиты[Iкз max на шинах, кА],"")="","",IF(FL60&lt;_xlfn.XLOOKUP(A60,Щиты[Щит],Щиты[Iкз max на шинах, кА]),"Icu "&amp;FL60&amp;" кА &lt; Iкз max","ok")))</f>
        <v/>
      </c>
      <c r="FN60" t="str">
        <f t="shared" si="154"/>
        <v>QF31|R.1 к.10|XT40</v>
      </c>
      <c r="FO60" t="str">
        <f t="shared" si="155"/>
        <v>QF31|R.1 к.10|XT40|кабель ВВГнг(А)-LS (3х1,5) → Группа освещения  Пом. №13</v>
      </c>
      <c r="FP60" t="str" cm="1">
        <f t="array" ref="FP60">IF(FO60="","",_xlfn.LET(_xlpm.nd,_xlfn.TEXTSPLIT(FO60,"|"),IF(COLUMNS(_xlpm.nd)&gt;1,A60&amp;"¦"&amp;INDEX(_xlpm.nd,1)&amp;"¦"&amp;INDEX(_xlpm.nd,2),"")))</f>
        <v>ЩР¦QF31¦R.1 к.10</v>
      </c>
      <c r="FQ60" t="str">
        <f t="shared" si="156"/>
        <v>L.2.13.2¦Группа освещения  Пом. №13</v>
      </c>
      <c r="FR60" t="str" cm="1">
        <f t="array" ref="FR60">IF(FO60="","",_xlfn.LET(_xlpm.nd,_xlfn.TEXTSPLIT(FO60,"|"),IF(COLUMNS(_xlpm.nd)&gt;2,A60&amp;"¦"&amp;INDEX(_xlpm.nd,2)&amp;"¦"&amp;INDEX(_xlpm.nd,3),"")))</f>
        <v>ЩР¦R.1 к.10¦XT40</v>
      </c>
      <c r="FS60" t="str">
        <f t="shared" si="157"/>
        <v>L.2.13.2¦Группа освещения  Пом. №13</v>
      </c>
      <c r="FT60" t="str" cm="1">
        <f t="array" ref="FT60">IF(FO60="","",_xlfn.LET(_xlpm.nd,_xlfn.TEXTSPLIT(FO60,"|"),IF(COLUMNS(_xlpm.nd)&gt;3,A60&amp;"¦"&amp;INDEX(_xlpm.nd,3)&amp;"¦"&amp;INDEX(_xlpm.nd,4),"")))</f>
        <v>ЩР¦XT40¦кабель ВВГнг(А)-LS (3х1,5) → Группа освещения  Пом. №13</v>
      </c>
      <c r="FU60" t="str">
        <f t="shared" si="158"/>
        <v>L.2.13.2¦Группа освещения  Пом. №13</v>
      </c>
      <c r="FV60" t="str" cm="1">
        <f t="array" ref="FV60">IF(FO60="","",_xlfn.LET(_xlpm.nd,_xlfn.TEXTSPLIT(FO60,"|"),IF(COLUMNS(_xlpm.nd)&gt;4,A60&amp;"¦"&amp;INDEX(_xlpm.nd,4)&amp;"¦"&amp;INDEX(_xlpm.nd,5),"")))</f>
        <v/>
      </c>
      <c r="FW60" t="str">
        <f t="shared" si="159"/>
        <v/>
      </c>
      <c r="FX60" t="str" cm="1">
        <f t="array" ref="FX60">IF(FO60="","",_xlfn.LET(_xlpm.nd,_xlfn.TEXTSPLIT(FO60,"|"),IF(COLUMNS(_xlpm.nd)&gt;5,A60&amp;"¦"&amp;INDEX(_xlpm.nd,5)&amp;"¦"&amp;INDEX(_xlpm.nd,6),"")))</f>
        <v/>
      </c>
      <c r="FY60" t="str">
        <f t="shared" si="160"/>
        <v/>
      </c>
      <c r="FZ60" t="str" cm="1">
        <f t="array" ref="FZ60">IF(FO60="","",_xlfn.LET(_xlpm.nd,_xlfn.TEXTSPLIT(FO60,"|"),IF(COLUMNS(_xlpm.nd)&gt;6,A60&amp;"¦"&amp;INDEX(_xlpm.nd,6)&amp;"¦"&amp;INDEX(_xlpm.nd,7),"")))</f>
        <v/>
      </c>
      <c r="GA60" t="str">
        <f t="shared" si="161"/>
        <v/>
      </c>
      <c r="GB60" t="str">
        <f t="shared" si="162"/>
        <v>ZIOMB24V2</v>
      </c>
      <c r="GC60" t="str">
        <f t="shared" si="163"/>
        <v>QF31 → R.1 к.10 → XT40</v>
      </c>
      <c r="GD60">
        <f t="shared" si="164"/>
        <v>1</v>
      </c>
      <c r="GE60">
        <f t="shared" si="165"/>
        <v>0</v>
      </c>
      <c r="GF60">
        <f t="shared" si="166"/>
        <v>0</v>
      </c>
      <c r="GG60" t="str">
        <f t="shared" si="167"/>
        <v/>
      </c>
      <c r="GH60" t="str">
        <f t="shared" si="168"/>
        <v/>
      </c>
      <c r="GI60" t="str">
        <f t="shared" si="169"/>
        <v/>
      </c>
      <c r="GJ60" t="str">
        <f t="shared" si="170"/>
        <v/>
      </c>
      <c r="GK60" t="str">
        <f>IF(D60="","",IFERROR(VLOOKUP(D60,УГО_спр,2,FALSE),IFERROR(VLOOKUP(AT60,УГО_спр,2,FALSE),IFERROR(VLOOKUP(LEFT(AT60,2),УГО_спр,2,FALSE),""))))</f>
        <v>Светильник</v>
      </c>
      <c r="GL60" t="str">
        <f>IF(D60="","",IF(OR(GK60="",GK60=0),"BOX",IFERROR(IF(VLOOKUP(GK60,УГО_блоки,3,FALSE)&amp;""&lt;&gt;"",VLOOKUP(GK60,УГО_блоки,3,FALSE),VLOOKUP(GK60,УГО_блоки,2,FALSE)),GK60)))</f>
        <v>LAMP</v>
      </c>
      <c r="GM60">
        <f t="shared" si="171"/>
        <v>1</v>
      </c>
      <c r="GN60" t="str">
        <f>IF(EP60="","",IF(COUNTIF(EP$3:EP60,EP60)=1,MAX(GN$2:GN59)+1,""))</f>
        <v/>
      </c>
      <c r="GO60" t="str">
        <f>IF(AF60="","",IF(COUNTIF(AF$3:AF60,AF60)+COUNTIF(AG$2:AG59,AF60)+COUNTIF(AH$2:AH59,AF60)=1,MAX(GO$2:GQ59)+1,""))</f>
        <v/>
      </c>
      <c r="GP60" t="str">
        <f>IF(AG60="","",IF(COUNTIF(AF$3:AF60,AG60)+COUNTIF(AG$3:AG60,AG60)+COUNTIF(AH$2:AH59,AG60)=1,MAX(GO$2:GQ59,GO60)+1,""))</f>
        <v/>
      </c>
      <c r="GQ60" t="str">
        <f>IF(AH60="","",IF(COUNTIF(AF$3:AF60,AH60)+COUNTIF(AG$3:AG60,AH60)+COUNTIF(AH$3:AH60,AH60)=1,MAX(GO$2:GQ59,GO60,GP60)+1,""))</f>
        <v/>
      </c>
      <c r="GR60" t="str">
        <f t="shared" si="172"/>
        <v>3х1,5</v>
      </c>
      <c r="GS60" t="str">
        <f>IF(GR60="","",IF(COUNTIF(GR$3:GR60,GR60)=1,MAX(GS$2:GS59)+1,""))</f>
        <v/>
      </c>
      <c r="GT60" t="str">
        <f>IF(ES60="","",COUNTIF(ES$3:ES60,"?*"))</f>
        <v/>
      </c>
      <c r="GU60" t="str">
        <f>IF(OR(ES60="",EU60=""),"",IF(COUNTIFS(ES$3:ES60,"?*",EU$3:EU60,EU60)=1,MAX(GU$2:GU59)+1,""))</f>
        <v/>
      </c>
      <c r="GV60">
        <f t="shared" si="173"/>
        <v>1</v>
      </c>
      <c r="GW60">
        <f>IF(D60="","",COUNTIF(D$3:D60,"?*"))</f>
        <v>40</v>
      </c>
      <c r="GX60">
        <f>IF(EX60&lt;&gt;1,0,_xlfn.LET(_xlpm.k,MAX(IFERROR(--VLOOKUP(D60,УГО_спр,5,FALSE),0),IFERROR(--VLOOKUP(AT60,УГО_спр,5,FALSE),0),IFERROR(--VLOOKUP(LEFT(AT60,2),УГО_спр,5,FALSE),0)),IF(_xlpm.k&gt;0,_xlpm.k,IF(IFERROR(--LEFT(SUBSTITUTE(GR60,"x","х"),FIND("х",SUBSTITUTE(GR60,"x","х"))-1),3)&gt;3,Каталог!$S$9,1))))</f>
        <v>1</v>
      </c>
      <c r="GY60">
        <f t="shared" si="174"/>
        <v>0</v>
      </c>
    </row>
    <row r="61" spans="1:207" x14ac:dyDescent="0.3">
      <c r="A61" t="s">
        <v>206</v>
      </c>
      <c r="B61">
        <v>63</v>
      </c>
      <c r="C61" t="str">
        <f>IF(BD61="","",IF(BE61="вводной узел","узел ","")&amp;"л."&amp;(INT((BD61-1)/Столбцов_на_лист)+1)&amp;" / "&amp;(MOD(BD61-1,Столбцов_на_лист)+1))</f>
        <v>л.4 / 12</v>
      </c>
      <c r="D61" t="s">
        <v>724</v>
      </c>
      <c r="E61" s="133" t="str">
        <f t="shared" si="175"/>
        <v>Группа освещения  Пом. №02</v>
      </c>
      <c r="H61">
        <v>1</v>
      </c>
      <c r="O61">
        <v>2</v>
      </c>
      <c r="T61">
        <v>1</v>
      </c>
      <c r="V61">
        <v>5</v>
      </c>
      <c r="AD61" t="s">
        <v>597</v>
      </c>
      <c r="AF61" t="s">
        <v>773</v>
      </c>
      <c r="AI61" t="s">
        <v>772</v>
      </c>
      <c r="AM61">
        <v>3.8</v>
      </c>
      <c r="AO61" t="s">
        <v>725</v>
      </c>
      <c r="AQ61" t="s">
        <v>232</v>
      </c>
      <c r="AR61" t="str">
        <f t="shared" si="88"/>
        <v>нет мощности; 5 жил на 1 фазе</v>
      </c>
      <c r="AS61" cm="1">
        <f t="array" ref="AS61">ROW()-ROW(Линии[#Headers])</f>
        <v>59</v>
      </c>
      <c r="AT61" s="6" t="str">
        <f t="shared" si="89"/>
        <v>L</v>
      </c>
      <c r="AU61" t="str">
        <f t="shared" si="90"/>
        <v>1.02.1</v>
      </c>
      <c r="AV61" t="str">
        <f t="shared" si="91"/>
        <v>1</v>
      </c>
      <c r="AW61" t="str">
        <f t="shared" si="92"/>
        <v>02.1</v>
      </c>
      <c r="AX61" t="str">
        <f t="shared" si="93"/>
        <v>02</v>
      </c>
      <c r="AY61" t="str">
        <f>IF(D61="","",IF(ISERROR(SEARCH(".",D61)),IFERROR(VLOOKUP(D61,Потребители_обозначение,2,FALSE)&amp;"",""),IFERROR(IF(VLOOKUP(AT61,Потребители_обозначение,4,FALSE)=1,VLOOKUP(AT61,Потребители_обозначение,2,FALSE)&amp;" "&amp;VLOOKUP(AV61,Этаж_обозначение,2,FALSE)&amp;" Пом. №"&amp;AX61,VLOOKUP(AT61,Потребители_обозначение,2,FALSE)&amp;" Шлейф №"&amp;AV61),IFERROR(VLOOKUP(D61,Потребители_обозначение,2,FALSE),""))))</f>
        <v>Группа освещения  Пом. №02</v>
      </c>
      <c r="AZ61" t="str">
        <f t="shared" si="94"/>
        <v>Группа освещения  Пом. №02</v>
      </c>
      <c r="BA61" t="str">
        <f>IF(F61&lt;&gt;"",F61,IF(AND(D61&lt;&gt;"",D61&lt;&gt;A61,ISNUMBER(_xlfn.XMATCH(D61,Щиты[Щит]))),D61,""))</f>
        <v/>
      </c>
      <c r="BB61">
        <f>IFERROR(_xlfn.XMATCH(A61,Щиты[Щит]),0)</f>
        <v>1</v>
      </c>
      <c r="BC61">
        <f>IFERROR(N(_xlfn.XLOOKUP(A61,Щиты[Щит],Щиты[Мест под вводной узел])),15)</f>
        <v>18</v>
      </c>
      <c r="BD61">
        <f t="shared" si="95"/>
        <v>63</v>
      </c>
      <c r="BE61" t="str">
        <f t="shared" si="96"/>
        <v>линии</v>
      </c>
      <c r="BF61" s="6">
        <f>IF(D61="","",IF(BA61&lt;&gt;"",IFERROR(_xlfn.XLOOKUP(BA61,Щиты[Щит],Щиты[Руст, кВт]),0),N(G61)))</f>
        <v>0</v>
      </c>
      <c r="BG61">
        <f>IF(J61&lt;&gt;"",J61,IF(D61="","",IFERROR(IF(VLOOKUP(AT61,Потребители_обозначение,8,FALSE)=0,"",VLOOKUP(AT61,Потребители_обозначение,8,FALSE)),"")))</f>
        <v>230</v>
      </c>
      <c r="BH61">
        <f>IF(I61&lt;&gt;"",I61,IF(D61="","",IFERROR(IF(VLOOKUP(AT61,Потребители_обозначение,9,FALSE)=0,"",VLOOKUP(AT61,Потребители_обозначение,9,FALSE)),"")))</f>
        <v>1</v>
      </c>
      <c r="BI61" t="str">
        <f>IF(U61&lt;&gt;"",U61,IF(D61="","",IFERROR(IF(VLOOKUP(AT61,Потребители_обозначение,6,FALSE)=0,"",VLOOKUP(AT61,Потребители_обозначение,6,FALSE)),"")))</f>
        <v>мс</v>
      </c>
      <c r="BJ61">
        <f>IF(V61&lt;&gt;"",V61,IF(D61="","",IFERROR(IF(VLOOKUP(AT61,Потребители_обозначение,7,FALSE)=0,"",VLOOKUP(AT61,Потребители_обозначение,7,FALSE)),"")))</f>
        <v>5</v>
      </c>
      <c r="BK61">
        <f>IF(W61&lt;&gt;"",W61,IF(D61="","",IFERROR(IF(VLOOKUP(AT61,Потребители_обозначение,10,FALSE)=0,"",VLOOKUP(AT61,Потребители_обозначение,10,FALSE)),"")))</f>
        <v>1.5</v>
      </c>
      <c r="BL61">
        <f>IFERROR(VLOOKUP(AT61,Потребители_обозначение,5,FALSE),0)</f>
        <v>1</v>
      </c>
      <c r="BM61" s="6" cm="1">
        <f t="array" ref="BM61">IF(D61="","",IF(BA61&lt;&gt;"",IFERROR(_xlfn.XLOOKUP(BA61,Щиты[Щит],Щиты[cos φ]),0.95),IF(ISNUMBER(M61),M61,IFERROR(IF(BL61=2,_xlfn.IFS(BH61=3,VLOOKUP(BF61,Справочная_двигатели,8,FALSE),BH61=1,VLOOKUP(BF61,Справочная_двигатели,10,TRUE)),IF(AND(Методика="нормы 2026",CN61="Сил"),0.8,0.95)),0.95))))</f>
        <v>0.95</v>
      </c>
      <c r="BN61" s="6" cm="1">
        <f t="array" ref="BN61">IF(D61="","",IF(BA61&lt;&gt;"",IFERROR(_xlfn.XLOOKUP(BA61,Щиты[Щит],Щиты[Iр, А]),""),IFERROR(_xlfn.IFS(BH61=1,BF61/((Uн_лин/SQRT(3))*BM61),BH61=3,BF61/(SQRT(3)*Uн_лин*BM61)),"")))</f>
        <v>0</v>
      </c>
      <c r="BO61">
        <f>IF(D61="","",IF(N(X61)=0,IFERROR(VLOOKUP(BN61,Автомат_номиналы,2,TRUE),""),X61))</f>
        <v>6</v>
      </c>
      <c r="BP61">
        <f t="shared" si="97"/>
        <v>1</v>
      </c>
      <c r="BQ61">
        <f>IF(ISNUMBER(Y61),Y61,К_прокл)</f>
        <v>1</v>
      </c>
      <c r="BR61">
        <f t="shared" si="98"/>
        <v>2</v>
      </c>
      <c r="BS61" cm="1">
        <f t="array" ref="BS61">IF(D61="","",IF(N(BK61)&lt;&gt;0,BK61,IFERROR(_xlfn.LET(_xlpm.need,BO61/(BP61*BQ61),_xlpm.t,CHOOSE(BR61,Iдоп_1ж,Iдоп_2ж,Iдоп_3ж),_xlpm.k,_xlfn.XMATCH(_xlpm.need,_xlpm.t,1),IF(ISNA(_xlpm.k),"Не исп",INDEX(Iдоп_S,_xlpm.k))),"Не исп")))</f>
        <v>1.5</v>
      </c>
      <c r="BT61">
        <f>IFERROR(VLOOKUP(BS61,Кабель_сопротивление,3,FALSE),"")</f>
        <v>2.2499999999999999E-2</v>
      </c>
      <c r="BU61">
        <f>IFERROR(VLOOKUP(BS61,Кабель_сопротивление,2,FALSE),"")</f>
        <v>0.11</v>
      </c>
      <c r="BV61">
        <f t="shared" si="99"/>
        <v>4</v>
      </c>
      <c r="BW61" s="6">
        <f>IF(D61="","",IFERROR(IF(VLOOKUP(AT61,Потребители_обозначение,4,FALSE)=1,VLOOKUP(AT61,Потребители_обозначение,3,FALSE)*(H61*2-1)+BV61+VLOOKUP(AV61,Этаж_обозначение,3,FALSE)+VLOOKUP(AV61,Этаж_обозначение,4,FALSE),VLOOKUP(AT61,Потребители_обозначение,3,FALSE)*(H61*2-1)+BV61),BV61))</f>
        <v>5</v>
      </c>
      <c r="BX61">
        <f t="shared" si="100"/>
        <v>1</v>
      </c>
      <c r="BY61">
        <f t="shared" si="101"/>
        <v>0</v>
      </c>
      <c r="BZ61">
        <f t="shared" si="102"/>
        <v>2</v>
      </c>
      <c r="CA61">
        <f t="shared" si="103"/>
        <v>0.31</v>
      </c>
      <c r="CB61">
        <f t="shared" si="104"/>
        <v>0</v>
      </c>
      <c r="CC61" s="6">
        <f>IFERROR(ROUNDUP(CB61/((Uн_лин/SQRT(3))*1000)*100,2),"")</f>
        <v>0</v>
      </c>
      <c r="CD61" s="6">
        <f>IF(ISNUMBER(CC61),CC61+IFERROR(_xlfn.XLOOKUP(A61,Щиты[Щит],Щиты[ΔU до шин, %]),0),"")</f>
        <v>0</v>
      </c>
      <c r="CE61" s="6">
        <f>IF(D61="","",IF(IFERROR(VLOOKUP(AT61,УГО_спр,2,FALSE),"")="Светильник",3,4)+IF(Методика="нормы 2026",MIN(0.5,MAX(0,N(BW61)-100)*0.005),0))</f>
        <v>3</v>
      </c>
      <c r="CF61" t="str">
        <f>IFERROR(VLOOKUP(BI61,Кабель_обозначение,2,FALSE),"")</f>
        <v>ВВГнг(А)-LS</v>
      </c>
      <c r="CG61" t="str">
        <f>IFERROR(IF(VLOOKUP(BI61,Кабель_обозначение,3,FALSE)=1,CF61&amp;" ("&amp;BJ61&amp;"х"&amp;BS61&amp;")",CF61),"")</f>
        <v>ВВГнг(А)-LS (5х1,5)</v>
      </c>
      <c r="CH61" t="str">
        <f t="shared" si="105"/>
        <v>ВВГнг(А)-LS (5х1,5)
L=5-0%</v>
      </c>
      <c r="CI61">
        <f>IFERROR(2*ρкз_Cu*BW61/BS61,"")</f>
        <v>0.17533333333333334</v>
      </c>
      <c r="CJ61">
        <f t="shared" si="106"/>
        <v>5.8333333333333341E-2</v>
      </c>
      <c r="CK61" s="6" t="str">
        <f>IFERROR(IF(OR(D61="",NOT(ISNUMBER(BS61)),N(BW61)=0),"",_xlfn.XLOOKUP(A61,Щиты[Щит],Щиты[Zпетли на шинах, Ом])+CI61),"")</f>
        <v/>
      </c>
      <c r="CL61" s="6" t="str">
        <f>IF(ISNUMBER(CK61),c_min*(Uн_лин*1000/SQRT(3))/CK61,"")</f>
        <v/>
      </c>
      <c r="CM61" s="6" t="str">
        <f>IFERROR(IF(OR(D61="",NOT(ISNUMBER(BS61))),"",1.05*(Uн_лин*1000/SQRT(3))/(_xlfn.XLOOKUP(A61,Щиты[Щит],Щиты[Zmax на шинах, Ом])+CJ61)/1000),"")</f>
        <v/>
      </c>
      <c r="CN61" s="6" t="str">
        <f>IF(D61="","",IF(BA61&lt;&gt;"","Щит",IF(K61&lt;&gt;"",K61,IF(ISNUMBER(L61),"Сил",IF(IFERROR(_xlfn.XLOOKUP(AT61,Коды_код,Коды_группа)&amp;"","")="","Быт",_xlfn.XLOOKUP(AT61,Коды_код,Коды_группа)&amp;"")))))</f>
        <v>Быт</v>
      </c>
      <c r="CO61" s="6">
        <f>IF(CN61="Щит","щит",IF(CN61="","",IF(CN61="Быт",IFERROR(_xlfn.XLOOKUP(A61,Щиты[Щит],Щиты[Кс быт]),1),IF(CN61="Сил",IF(ISNUMBER(L61),L61,IF(Методика="нормы 2026",IFERROR(_xlfn.XLOOKUP(A61,Щиты[Щит],Щиты[Кс силовых (табл. 7.5)]),1),1)),IF(OR(CN61="Пост",CN61="Отоп"),1,IF(CN61="ВНГ",0.7,0))))))</f>
        <v>0.8</v>
      </c>
      <c r="CP61">
        <f t="shared" si="107"/>
        <v>1</v>
      </c>
      <c r="CQ61">
        <f t="shared" si="108"/>
        <v>0</v>
      </c>
      <c r="CR61">
        <f t="shared" si="109"/>
        <v>0</v>
      </c>
      <c r="CS61">
        <f t="shared" si="110"/>
        <v>0</v>
      </c>
      <c r="CT61">
        <f t="shared" si="111"/>
        <v>0</v>
      </c>
      <c r="CU61">
        <f t="shared" si="112"/>
        <v>0</v>
      </c>
      <c r="CV61">
        <f t="shared" si="113"/>
        <v>0</v>
      </c>
      <c r="CW61">
        <f t="shared" si="114"/>
        <v>0</v>
      </c>
      <c r="CX61">
        <f t="shared" si="115"/>
        <v>0</v>
      </c>
      <c r="CY61">
        <f t="shared" si="116"/>
        <v>1</v>
      </c>
      <c r="CZ61" t="str">
        <f t="shared" si="117"/>
        <v>L1</v>
      </c>
      <c r="DA61" cm="1">
        <f t="array" ref="DA61">IFERROR(IF(BL61=2,_xlfn.IFS(BH61=3,VLOOKUP(BF61,Справочная_двигатели,3,FALSE),BH61=1,VLOOKUP(BF61,Справочная_двигатели,5,TRUE)),0),0)</f>
        <v>0</v>
      </c>
      <c r="DB61">
        <f>IFERROR(IF(BL61=3,VLOOKUP(BF61,Справочная_ЛЭД,2,TRUE),0),0)</f>
        <v>0</v>
      </c>
      <c r="DC61" s="6">
        <f t="shared" si="118"/>
        <v>0</v>
      </c>
      <c r="DD61" t="str">
        <f t="shared" si="119"/>
        <v>L2</v>
      </c>
      <c r="DE61" t="str" cm="1">
        <f t="array" ref="DE61">IF(D61="","",IFERROR(INDEX({"I особая","I","II","III"},MATCH(TRIM(AA61&amp;""),{"I особая","I","II","III"},0)),"III"))</f>
        <v>III</v>
      </c>
      <c r="DF61" t="str">
        <f>IF(D61="","",IF(TRIM(AB61&amp;"")&lt;&gt;"",IF(LOWER(TRIM(AB61&amp;""))="да","да","нет"),IF(IFERROR(_xlfn.XLOOKUP(AT61,Коды_код,Коды_пожарная),"")="да","да","нет")))</f>
        <v>нет</v>
      </c>
      <c r="DG61" t="str">
        <f t="shared" si="120"/>
        <v/>
      </c>
      <c r="DH61" t="str">
        <f t="shared" si="121"/>
        <v>основная</v>
      </c>
      <c r="DI61">
        <f t="shared" si="122"/>
        <v>1</v>
      </c>
      <c r="DJ61" t="str" cm="1">
        <f t="array" ref="DJ61">IF(D61="","",_xlfn.LET(_xlpm.t,IFERROR(_xlfn.XLOOKUP(1,(Шины[Шина]=DH61)*(((Шины[Щит]=A61)+(Шины[Щит]=""))&gt;0),Шины[Тип]),"")&amp;"",IF(_xlpm.t&lt;&gt;"",_xlpm.t,IF(ISNUMBER(SEARCH("ИБП",DH61)),"ИБП",IF(ISNUMBER(SEARCH("ДГУ",DH61)),"ДГУ","Ввод "&amp;DI61)))))</f>
        <v>Ввод 1</v>
      </c>
      <c r="DK61" t="str">
        <f t="shared" si="123"/>
        <v>Ввод 1</v>
      </c>
      <c r="DL61" t="str">
        <f>IF(D61="","",IF(OR(DJ61="ИБП",DJ61="ДГУ"),"I особая",IF(DJ61="Одиночная","III",_xlfn.XLOOKUP(A61,Щиты[Щит],Щиты[Категория шины «Ввод»],"III"))))</f>
        <v>III</v>
      </c>
      <c r="DM61">
        <f>IF(D61="",0,IFERROR(MATCH(DE61,{"III","II","I","I особая"},0),1))</f>
        <v>1</v>
      </c>
      <c r="DN61">
        <f t="shared" si="124"/>
        <v>1</v>
      </c>
      <c r="DO61" t="str">
        <f>IF(D61="","",IF(DM61&gt;IFERROR(MATCH(DL61,{"III","II","I","I особая"},0),1),"НЕ ОБЕСПЕЧЕНА","ОК"))</f>
        <v>ОК</v>
      </c>
      <c r="DP61" t="str">
        <f>IF(A61="","",_xlfn.XLOOKUP(A61,Щиты[Щит],Щиты[Путь],""))</f>
        <v>|ЩР|</v>
      </c>
      <c r="DQ61" t="str">
        <f>IF(D61="","",IF(Z61&lt;&gt;"",Z61,IF(IFERROR(_xlfn.XLOOKUP(AT61,Коды_код,Коды_вид)&amp;"","")="","Прочее",_xlfn.XLOOKUP(AT61,Коды_код,Коды_вид)&amp;"")))</f>
        <v>Рабочее освещение</v>
      </c>
      <c r="DR61">
        <f>IF(BD61="","",INT((BD61-1)/Столбцов_на_лист)+1)</f>
        <v>4</v>
      </c>
      <c r="DS61" t="str">
        <f t="shared" si="125"/>
        <v>ВВГнг(А)-LS (5х1,5) L=5-0%</v>
      </c>
      <c r="DT61">
        <f t="shared" si="126"/>
        <v>0</v>
      </c>
      <c r="DU61">
        <f t="shared" si="127"/>
        <v>0</v>
      </c>
      <c r="DV61">
        <f t="shared" si="128"/>
        <v>1</v>
      </c>
      <c r="DW61">
        <f>IF(AT61="",0,_xlfn.LET(_xlpm.v,IFERROR(VLOOKUP(D61,УГО_спр,3,FALSE),IFERROR(VLOOKUP(AT61,УГО_спр,3,FALSE),IFERROR(VLOOKUP(LEFT(AT61,2),УГО_спр,3,FALSE),""))),IF(_xlpm.v="да",30,IF(ISNUMBER(_xlpm.v),_xlpm.v,0))))</f>
        <v>0</v>
      </c>
      <c r="DX61">
        <f t="shared" si="129"/>
        <v>0</v>
      </c>
      <c r="DY61">
        <f>IF(BD61="","",IF(AD61&lt;&gt;"",COUNTIFS(A$3:A61,A61,AD$3:AD61,"?*"),IF(OR(OR(AS61=1,A61&lt;&gt;A60),AL61="вручную"),"",IF(AS61=1,"",DZ60))))</f>
        <v>32</v>
      </c>
      <c r="DZ61">
        <f t="shared" si="130"/>
        <v>32</v>
      </c>
      <c r="EA61">
        <f>IF(D61="",0,MAX(IFERROR(--X61,0),IFERROR(--VLOOKUP(D61,УГО_спр,4,FALSE),IFERROR(--VLOOKUP(AT61,УГО_спр,4,FALSE),IFERROR(--VLOOKUP(LEFT(AT61,2),УГО_спр,4,FALSE),0)))))</f>
        <v>10</v>
      </c>
      <c r="EB61">
        <f>IF(D61="","",IFERROR(LOOKUP(INDEX(CHOOSE(BR61,Iдоп_1ж,Iдоп_2ж,Iдоп_3ж),MATCH(BS61,Iдоп_S,0))*BP61*BQ61,{6,10,16,20,25,32,40,50,63,80,100,125,160,200,250,315,400,500,630}),""))</f>
        <v>16</v>
      </c>
      <c r="EC61">
        <f>IF(AD61="","",SUMIFS(Линии[_Ток схемы],Линии[_гр.],DY61,Линии[Щит],A61,Линии[_в кабель выше],0))</f>
        <v>0</v>
      </c>
      <c r="ED61">
        <f>IF(AD61="","",IFERROR(VLOOKUP(EC61,Автомат_номиналы,2,TRUE),""))</f>
        <v>6</v>
      </c>
      <c r="EE61">
        <f>IF(AD61="","",MAX(N(ED61),_xlfn.MAXIFS(Линии[_мин. по типу],Линии[_гр.],DY61,Линии[Щит],A61)))</f>
        <v>10</v>
      </c>
      <c r="EF61">
        <f>IF(AD61="","",_xlfn.MINIFS(Линии[_макс. автомат по кабелю],Линии[_гр.],DY61,Линии[Щит],A61))</f>
        <v>16</v>
      </c>
      <c r="EG61">
        <f>IF(AD61="","",MAX(1,_xlfn.MAXIFS(Линии[_фаз],Линии[_гр.],DY61,Линии[Щит],A61)))</f>
        <v>1</v>
      </c>
      <c r="EH61">
        <f>IF(AD61="","",IF(AND(AD61&lt;&gt;"авто",AD61&lt;&gt;"+"),IF(ISNUMBER(SEARCH("мА",AD61)),IFERROR(--TRIM(RIGHT(SUBSTITUTE(LEFT(AD61,SEARCH("мА",AD61)-1)," ",REPT(" ",9)),6)),30),0),IF(AE61="нет",0,IF(ISNUMBER(AE61),AE61,IF(AE61="да",30,_xlfn.MINIFS(Линии[_дифзащита по коду, мА],Линии[_гр.],DY61,Линии[Щит],A61,Линии[_дифзащита по коду, мА],"&gt;0"))))))</f>
        <v>0</v>
      </c>
      <c r="EI61">
        <f t="shared" si="131"/>
        <v>0</v>
      </c>
      <c r="EJ61" t="str">
        <f t="shared" si="132"/>
        <v>QF32</v>
      </c>
      <c r="EK61" t="str">
        <f t="shared" si="133"/>
        <v>QF32</v>
      </c>
      <c r="EL61" t="str">
        <f t="shared" si="134"/>
        <v>МК-5-1</v>
      </c>
      <c r="EM61">
        <f t="shared" si="135"/>
        <v>0</v>
      </c>
      <c r="EN61">
        <f>IF(AD61="","",IF(EM61=1,MAX(EE61,Мин_автомат_БП),EE61))</f>
        <v>10</v>
      </c>
      <c r="EO61" t="str">
        <f t="shared" si="136"/>
        <v>1P</v>
      </c>
      <c r="EP61" t="str">
        <f t="shared" si="137"/>
        <v>1P С10А</v>
      </c>
      <c r="EQ61">
        <f t="shared" si="138"/>
        <v>10</v>
      </c>
      <c r="ER61" t="str">
        <f>IF(OR(AI61="",AI61="-"),"",IFERROR(VLOOKUP(AI61,Модули_спр,2,FALSE),"R"))</f>
        <v/>
      </c>
      <c r="ES61" t="str">
        <f>IF(ER61="","",ER61&amp;"."&amp;COUNTIFS(A$3:A61,A61,ER$3:ER61,ER61))</f>
        <v/>
      </c>
      <c r="ET61" t="str">
        <f t="shared" si="139"/>
        <v/>
      </c>
      <c r="EU61" t="str">
        <f t="shared" si="140"/>
        <v/>
      </c>
      <c r="EV61" t="str">
        <f t="shared" si="141"/>
        <v/>
      </c>
      <c r="EW61" t="str">
        <f t="shared" si="142"/>
        <v/>
      </c>
      <c r="EX61">
        <f t="shared" si="143"/>
        <v>1</v>
      </c>
      <c r="EY61" t="str">
        <f>IF(AK61="нет","",IF(AK61&lt;&gt;"",AK61,IF(EX61=1,"XT"&amp;COUNTIFS(A$3:A61,A61,EX$3:EX61,1),"")))</f>
        <v>XT41</v>
      </c>
      <c r="EZ61" t="str">
        <f t="shared" si="144"/>
        <v>QF32</v>
      </c>
      <c r="FA61" t="str">
        <f t="shared" si="145"/>
        <v/>
      </c>
      <c r="FB61" t="str">
        <f t="shared" si="146"/>
        <v>ok</v>
      </c>
      <c r="FC61" t="str">
        <f>IF(OR(EV61="",ET61=""),"",IF(EV61&gt;IFERROR(VLOOKUP(EU61,Модули_спр,3,FALSE),99),"ЛИШНИЙ КАНАЛ",IF(AND(AJ61&lt;&gt;"=",COUNTIFS(Линии[_модуль гр.],ET61,Линии[Канал (итог)],EV61,Линии[Канал],"&lt;&gt;=",Линии[Щит],A61)&gt;1),"ДУБЛЬ КАНАЛА","")))</f>
        <v/>
      </c>
      <c r="FD61">
        <f t="shared" si="147"/>
        <v>10</v>
      </c>
      <c r="FE61" t="str">
        <f t="shared" si="148"/>
        <v>1P С10А</v>
      </c>
      <c r="FF61">
        <f t="shared" si="149"/>
        <v>0</v>
      </c>
      <c r="FG61">
        <f t="shared" si="150"/>
        <v>0</v>
      </c>
      <c r="FH61" s="6" t="str">
        <f t="shared" si="151"/>
        <v/>
      </c>
      <c r="FI61">
        <f t="shared" si="152"/>
        <v>10</v>
      </c>
      <c r="FJ61" t="str">
        <f t="shared" si="153"/>
        <v/>
      </c>
      <c r="FK61" t="str">
        <f>IF(AND(D61="",EZ61=""),"",_xlfn.TEXTJOIN("; ",TRUE,IF(AND(D61&lt;&gt;"",DD61=""),"нет фазы",""),IF(AND(D61&lt;&gt;"",N(DT61)=0,CN61&lt;&gt;"Нет"),"нет мощности",""),IF(AND(EY61&lt;&gt;"",COUNTIFS(Линии[Щит],A61,Линии[Клемма (итог)],EY61)&gt;1),"дубль клеммы "&amp;EY61,""),IF(AND(FB61&lt;&gt;"",FB61&lt;&gt;"ok"),FB61,""),IF(FC61&lt;&gt;"",FC61,""),IF(AND(ISNUMBER(SEARCH("(5х",DS61)),N(DV61)=1),"5 жил на 1 фазе",""),IF(AND(AT61="R",AD61&lt;&gt;"",OR(N(EH61)=0,N(EH61)&gt;30)),"розетка без дифзащиты до 30 мА",""),IFERROR(IF(AND(ISNUMBER(CD61),CD61&gt;CE61),"потери "&amp;FIXED(CD61,1)&amp;" % &gt; "&amp;CE61&amp;" %",""),""),IFERROR(IF(LEFT(FJ61,4)="мало","Iкз мало — отключение &gt; 0,4 с",""),""),IF(AND(D61&lt;&gt;"",BD61=""),"не на схеме","")))</f>
        <v>нет мощности; 5 жил на 1 фазе</v>
      </c>
      <c r="FL61" s="6">
        <f>IF(AD61="","",_xlfn.LET(_xlpm.t,IFERROR(_xlfn.XLOOKUP(EP61,Каталог!$U$4:$U$500,Каталог!$G$4:$G$500),""),_xlpm.k,SEARCH("кА",_xlpm.t),IFERROR(--TRIM(RIGHT(SUBSTITUTE(MID(_xlpm.t,MAX(1,_xlpm.k-4),_xlpm.k-MAX(1,_xlpm.k-4))," ",REPT(" ",9)),5)),"")))</f>
        <v>6</v>
      </c>
      <c r="FM61" t="str">
        <f>IF(OR(FL61="",AD61=""),"",IF(_xlfn.XLOOKUP(A61,Щиты[Щит],Щиты[Iкз max на шинах, кА],"")="","",IF(FL61&lt;_xlfn.XLOOKUP(A61,Щиты[Щит],Щиты[Iкз max на шинах, кА]),"Icu "&amp;FL61&amp;" кА &lt; Iкз max","ok")))</f>
        <v/>
      </c>
      <c r="FN61" t="str">
        <f t="shared" si="154"/>
        <v>QF32|МК-5-1|XT41</v>
      </c>
      <c r="FO61" t="str">
        <f t="shared" si="155"/>
        <v>QF32|МК-5-1|XT41|кабель ВВГнг(А)-LS (5х1,5) → Группа освещения  Пом. №02</v>
      </c>
      <c r="FP61" t="str" cm="1">
        <f t="array" ref="FP61">IF(FO61="","",_xlfn.LET(_xlpm.nd,_xlfn.TEXTSPLIT(FO61,"|"),IF(COLUMNS(_xlpm.nd)&gt;1,A61&amp;"¦"&amp;INDEX(_xlpm.nd,1)&amp;"¦"&amp;INDEX(_xlpm.nd,2),"")))</f>
        <v>ЩР¦QF32¦МК-5-1</v>
      </c>
      <c r="FQ61" t="str">
        <f t="shared" si="156"/>
        <v>L.1.02.1¦Группа освещения  Пом. №02</v>
      </c>
      <c r="FR61" t="str" cm="1">
        <f t="array" ref="FR61">IF(FO61="","",_xlfn.LET(_xlpm.nd,_xlfn.TEXTSPLIT(FO61,"|"),IF(COLUMNS(_xlpm.nd)&gt;2,A61&amp;"¦"&amp;INDEX(_xlpm.nd,2)&amp;"¦"&amp;INDEX(_xlpm.nd,3),"")))</f>
        <v>ЩР¦МК-5-1¦XT41</v>
      </c>
      <c r="FS61" t="str">
        <f t="shared" si="157"/>
        <v>L.1.02.1¦Группа освещения  Пом. №02</v>
      </c>
      <c r="FT61" t="str" cm="1">
        <f t="array" ref="FT61">IF(FO61="","",_xlfn.LET(_xlpm.nd,_xlfn.TEXTSPLIT(FO61,"|"),IF(COLUMNS(_xlpm.nd)&gt;3,A61&amp;"¦"&amp;INDEX(_xlpm.nd,3)&amp;"¦"&amp;INDEX(_xlpm.nd,4),"")))</f>
        <v>ЩР¦XT41¦кабель ВВГнг(А)-LS (5х1,5) → Группа освещения  Пом. №02</v>
      </c>
      <c r="FU61" t="str">
        <f t="shared" si="158"/>
        <v>L.1.02.1¦Группа освещения  Пом. №02</v>
      </c>
      <c r="FV61" t="str" cm="1">
        <f t="array" ref="FV61">IF(FO61="","",_xlfn.LET(_xlpm.nd,_xlfn.TEXTSPLIT(FO61,"|"),IF(COLUMNS(_xlpm.nd)&gt;4,A61&amp;"¦"&amp;INDEX(_xlpm.nd,4)&amp;"¦"&amp;INDEX(_xlpm.nd,5),"")))</f>
        <v/>
      </c>
      <c r="FW61" t="str">
        <f t="shared" si="159"/>
        <v/>
      </c>
      <c r="FX61" t="str" cm="1">
        <f t="array" ref="FX61">IF(FO61="","",_xlfn.LET(_xlpm.nd,_xlfn.TEXTSPLIT(FO61,"|"),IF(COLUMNS(_xlpm.nd)&gt;5,A61&amp;"¦"&amp;INDEX(_xlpm.nd,5)&amp;"¦"&amp;INDEX(_xlpm.nd,6),"")))</f>
        <v/>
      </c>
      <c r="FY61" t="str">
        <f t="shared" si="160"/>
        <v/>
      </c>
      <c r="FZ61" t="str" cm="1">
        <f t="array" ref="FZ61">IF(FO61="","",_xlfn.LET(_xlpm.nd,_xlfn.TEXTSPLIT(FO61,"|"),IF(COLUMNS(_xlpm.nd)&gt;6,A61&amp;"¦"&amp;INDEX(_xlpm.nd,6)&amp;"¦"&amp;INDEX(_xlpm.nd,7),"")))</f>
        <v/>
      </c>
      <c r="GA61" t="str">
        <f t="shared" si="161"/>
        <v/>
      </c>
      <c r="GB61" t="str">
        <f t="shared" si="162"/>
        <v/>
      </c>
      <c r="GC61" t="str">
        <f t="shared" si="163"/>
        <v>QF32 → МК-5-1 → XT41</v>
      </c>
      <c r="GD61">
        <f t="shared" si="164"/>
        <v>1</v>
      </c>
      <c r="GE61">
        <f t="shared" si="165"/>
        <v>0</v>
      </c>
      <c r="GF61">
        <f t="shared" si="166"/>
        <v>0</v>
      </c>
      <c r="GG61" t="str">
        <f t="shared" si="167"/>
        <v/>
      </c>
      <c r="GH61" t="str">
        <f t="shared" si="168"/>
        <v>MK</v>
      </c>
      <c r="GI61" t="str">
        <f t="shared" si="169"/>
        <v/>
      </c>
      <c r="GJ61" t="str">
        <f t="shared" si="170"/>
        <v/>
      </c>
      <c r="GK61" t="str">
        <f>IF(D61="","",IFERROR(VLOOKUP(D61,УГО_спр,2,FALSE),IFERROR(VLOOKUP(AT61,УГО_спр,2,FALSE),IFERROR(VLOOKUP(LEFT(AT61,2),УГО_спр,2,FALSE),""))))</f>
        <v>Светильник</v>
      </c>
      <c r="GL61" t="str">
        <f>IF(D61="","",IF(OR(GK61="",GK61=0),"BOX",IFERROR(IF(VLOOKUP(GK61,УГО_блоки,3,FALSE)&amp;""&lt;&gt;"",VLOOKUP(GK61,УГО_блоки,3,FALSE),VLOOKUP(GK61,УГО_блоки,2,FALSE)),GK61)))</f>
        <v>LAMP</v>
      </c>
      <c r="GM61">
        <f t="shared" si="171"/>
        <v>1</v>
      </c>
      <c r="GN61" t="str">
        <f>IF(EP61="","",IF(COUNTIF(EP$3:EP61,EP61)=1,MAX(GN$2:GN60)+1,""))</f>
        <v/>
      </c>
      <c r="GO61">
        <f>IF(AF61="","",IF(COUNTIF(AF$3:AF61,AF61)+COUNTIF(AG$2:AG60,AF61)+COUNTIF(AH$2:AH60,AF61)=1,MAX(GO$2:GQ60)+1,""))</f>
        <v>1</v>
      </c>
      <c r="GP61" t="str">
        <f>IF(AG61="","",IF(COUNTIF(AF$3:AF61,AG61)+COUNTIF(AG$3:AG61,AG61)+COUNTIF(AH$2:AH60,AG61)=1,MAX(GO$2:GQ60,GO61)+1,""))</f>
        <v/>
      </c>
      <c r="GQ61" t="str">
        <f>IF(AH61="","",IF(COUNTIF(AF$3:AF61,AH61)+COUNTIF(AG$3:AG61,AH61)+COUNTIF(AH$3:AH61,AH61)=1,MAX(GO$2:GQ60,GO61,GP61)+1,""))</f>
        <v/>
      </c>
      <c r="GR61" t="str">
        <f t="shared" si="172"/>
        <v>5х1,5</v>
      </c>
      <c r="GS61">
        <f>IF(GR61="","",IF(COUNTIF(GR$3:GR61,GR61)=1,MAX(GS$2:GS60)+1,""))</f>
        <v>4</v>
      </c>
      <c r="GT61" t="str">
        <f>IF(ES61="","",COUNTIF(ES$3:ES61,"?*"))</f>
        <v/>
      </c>
      <c r="GU61" t="str">
        <f>IF(OR(ES61="",EU61=""),"",IF(COUNTIFS(ES$3:ES61,"?*",EU$3:EU61,EU61)=1,MAX(GU$2:GU60)+1,""))</f>
        <v/>
      </c>
      <c r="GV61">
        <f t="shared" si="173"/>
        <v>1</v>
      </c>
      <c r="GW61">
        <f>IF(D61="","",COUNTIF(D$3:D61,"?*"))</f>
        <v>41</v>
      </c>
      <c r="GX61">
        <f>IF(EX61&lt;&gt;1,0,_xlfn.LET(_xlpm.k,MAX(IFERROR(--VLOOKUP(D61,УГО_спр,5,FALSE),0),IFERROR(--VLOOKUP(AT61,УГО_спр,5,FALSE),0),IFERROR(--VLOOKUP(LEFT(AT61,2),УГО_спр,5,FALSE),0)),IF(_xlpm.k&gt;0,_xlpm.k,IF(IFERROR(--LEFT(SUBSTITUTE(GR61,"x","х"),FIND("х",SUBSTITUTE(GR61,"x","х"))-1),3)&gt;3,Каталог!$S$9,1))))</f>
        <v>1</v>
      </c>
      <c r="GY61">
        <f t="shared" si="174"/>
        <v>2</v>
      </c>
    </row>
    <row r="62" spans="1:207" x14ac:dyDescent="0.3">
      <c r="A62" t="s">
        <v>206</v>
      </c>
      <c r="B62">
        <v>64</v>
      </c>
      <c r="C62" t="str">
        <f>IF(BD62="","",IF(BE62="вводной узел","узел ","")&amp;"л."&amp;(INT((BD62-1)/Столбцов_на_лист)+1)&amp;" / "&amp;(MOD(BD62-1,Столбцов_на_лист)+1))</f>
        <v>л.4 / 13</v>
      </c>
      <c r="D62" t="s">
        <v>707</v>
      </c>
      <c r="E62" s="133" t="str">
        <f t="shared" si="175"/>
        <v>Группа освещения  Пом. №06</v>
      </c>
      <c r="H62">
        <v>14</v>
      </c>
      <c r="O62">
        <v>3</v>
      </c>
      <c r="T62">
        <v>2</v>
      </c>
      <c r="V62">
        <v>5</v>
      </c>
      <c r="AM62">
        <v>11.32</v>
      </c>
      <c r="AN62">
        <v>18.309999999999999</v>
      </c>
      <c r="AO62" t="s">
        <v>747</v>
      </c>
      <c r="AQ62" t="s">
        <v>232</v>
      </c>
      <c r="AR62" t="str">
        <f t="shared" si="88"/>
        <v>нет мощности; 5 жил на 1 фазе</v>
      </c>
      <c r="AS62" cm="1">
        <f t="array" ref="AS62">ROW()-ROW(Линии[#Headers])</f>
        <v>60</v>
      </c>
      <c r="AT62" s="6" t="str">
        <f t="shared" si="89"/>
        <v>L</v>
      </c>
      <c r="AU62" t="str">
        <f t="shared" si="90"/>
        <v>1.06.1</v>
      </c>
      <c r="AV62" t="str">
        <f t="shared" si="91"/>
        <v>1</v>
      </c>
      <c r="AW62" t="str">
        <f t="shared" si="92"/>
        <v>06.1</v>
      </c>
      <c r="AX62" t="str">
        <f t="shared" si="93"/>
        <v>06</v>
      </c>
      <c r="AY62" t="str">
        <f>IF(D62="","",IF(ISERROR(SEARCH(".",D62)),IFERROR(VLOOKUP(D62,Потребители_обозначение,2,FALSE)&amp;"",""),IFERROR(IF(VLOOKUP(AT62,Потребители_обозначение,4,FALSE)=1,VLOOKUP(AT62,Потребители_обозначение,2,FALSE)&amp;" "&amp;VLOOKUP(AV62,Этаж_обозначение,2,FALSE)&amp;" Пом. №"&amp;AX62,VLOOKUP(AT62,Потребители_обозначение,2,FALSE)&amp;" Шлейф №"&amp;AV62),IFERROR(VLOOKUP(D62,Потребители_обозначение,2,FALSE),""))))</f>
        <v>Группа освещения  Пом. №06</v>
      </c>
      <c r="AZ62" t="str">
        <f t="shared" si="94"/>
        <v>Группа освещения  Пом. №06</v>
      </c>
      <c r="BA62" t="str">
        <f>IF(F62&lt;&gt;"",F62,IF(AND(D62&lt;&gt;"",D62&lt;&gt;A62,ISNUMBER(_xlfn.XMATCH(D62,Щиты[Щит]))),D62,""))</f>
        <v/>
      </c>
      <c r="BB62">
        <f>IFERROR(_xlfn.XMATCH(A62,Щиты[Щит]),0)</f>
        <v>1</v>
      </c>
      <c r="BC62">
        <f>IFERROR(N(_xlfn.XLOOKUP(A62,Щиты[Щит],Щиты[Мест под вводной узел])),15)</f>
        <v>18</v>
      </c>
      <c r="BD62">
        <f t="shared" si="95"/>
        <v>64</v>
      </c>
      <c r="BE62" t="str">
        <f t="shared" si="96"/>
        <v>линии</v>
      </c>
      <c r="BF62" s="6">
        <f>IF(D62="","",IF(BA62&lt;&gt;"",IFERROR(_xlfn.XLOOKUP(BA62,Щиты[Щит],Щиты[Руст, кВт]),0),N(G62)))</f>
        <v>0</v>
      </c>
      <c r="BG62">
        <f>IF(J62&lt;&gt;"",J62,IF(D62="","",IFERROR(IF(VLOOKUP(AT62,Потребители_обозначение,8,FALSE)=0,"",VLOOKUP(AT62,Потребители_обозначение,8,FALSE)),"")))</f>
        <v>230</v>
      </c>
      <c r="BH62">
        <f>IF(I62&lt;&gt;"",I62,IF(D62="","",IFERROR(IF(VLOOKUP(AT62,Потребители_обозначение,9,FALSE)=0,"",VLOOKUP(AT62,Потребители_обозначение,9,FALSE)),"")))</f>
        <v>1</v>
      </c>
      <c r="BI62" t="str">
        <f>IF(U62&lt;&gt;"",U62,IF(D62="","",IFERROR(IF(VLOOKUP(AT62,Потребители_обозначение,6,FALSE)=0,"",VLOOKUP(AT62,Потребители_обозначение,6,FALSE)),"")))</f>
        <v>мс</v>
      </c>
      <c r="BJ62">
        <f>IF(V62&lt;&gt;"",V62,IF(D62="","",IFERROR(IF(VLOOKUP(AT62,Потребители_обозначение,7,FALSE)=0,"",VLOOKUP(AT62,Потребители_обозначение,7,FALSE)),"")))</f>
        <v>5</v>
      </c>
      <c r="BK62">
        <f>IF(W62&lt;&gt;"",W62,IF(D62="","",IFERROR(IF(VLOOKUP(AT62,Потребители_обозначение,10,FALSE)=0,"",VLOOKUP(AT62,Потребители_обозначение,10,FALSE)),"")))</f>
        <v>1.5</v>
      </c>
      <c r="BL62">
        <f>IFERROR(VLOOKUP(AT62,Потребители_обозначение,5,FALSE),0)</f>
        <v>1</v>
      </c>
      <c r="BM62" s="6" cm="1">
        <f t="array" ref="BM62">IF(D62="","",IF(BA62&lt;&gt;"",IFERROR(_xlfn.XLOOKUP(BA62,Щиты[Щит],Щиты[cos φ]),0.95),IF(ISNUMBER(M62),M62,IFERROR(IF(BL62=2,_xlfn.IFS(BH62=3,VLOOKUP(BF62,Справочная_двигатели,8,FALSE),BH62=1,VLOOKUP(BF62,Справочная_двигатели,10,TRUE)),IF(AND(Методика="нормы 2026",CN62="Сил"),0.8,0.95)),0.95))))</f>
        <v>0.95</v>
      </c>
      <c r="BN62" s="6" cm="1">
        <f t="array" ref="BN62">IF(D62="","",IF(BA62&lt;&gt;"",IFERROR(_xlfn.XLOOKUP(BA62,Щиты[Щит],Щиты[Iр, А]),""),IFERROR(_xlfn.IFS(BH62=1,BF62/((Uн_лин/SQRT(3))*BM62),BH62=3,BF62/(SQRT(3)*Uн_лин*BM62)),"")))</f>
        <v>0</v>
      </c>
      <c r="BO62">
        <f>IF(D62="","",IF(N(X62)=0,IFERROR(VLOOKUP(BN62,Автомат_номиналы,2,TRUE),""),X62))</f>
        <v>6</v>
      </c>
      <c r="BP62">
        <f t="shared" si="97"/>
        <v>1</v>
      </c>
      <c r="BQ62">
        <f>IF(ISNUMBER(Y62),Y62,К_прокл)</f>
        <v>1</v>
      </c>
      <c r="BR62">
        <f t="shared" si="98"/>
        <v>2</v>
      </c>
      <c r="BS62" cm="1">
        <f t="array" ref="BS62">IF(D62="","",IF(N(BK62)&lt;&gt;0,BK62,IFERROR(_xlfn.LET(_xlpm.need,BO62/(BP62*BQ62),_xlpm.t,CHOOSE(BR62,Iдоп_1ж,Iдоп_2ж,Iдоп_3ж),_xlpm.k,_xlfn.XMATCH(_xlpm.need,_xlpm.t,1),IF(ISNA(_xlpm.k),"Не исп",INDEX(Iдоп_S,_xlpm.k))),"Не исп")))</f>
        <v>1.5</v>
      </c>
      <c r="BT62">
        <f>IFERROR(VLOOKUP(BS62,Кабель_сопротивление,3,FALSE),"")</f>
        <v>2.2499999999999999E-2</v>
      </c>
      <c r="BU62">
        <f>IFERROR(VLOOKUP(BS62,Кабель_сопротивление,2,FALSE),"")</f>
        <v>0.11</v>
      </c>
      <c r="BV62">
        <f t="shared" si="99"/>
        <v>30</v>
      </c>
      <c r="BW62" s="6">
        <f>IF(D62="","",IFERROR(IF(VLOOKUP(AT62,Потребители_обозначение,4,FALSE)=1,VLOOKUP(AT62,Потребители_обозначение,3,FALSE)*(H62*2-1)+BV62+VLOOKUP(AV62,Этаж_обозначение,3,FALSE)+VLOOKUP(AV62,Этаж_обозначение,4,FALSE),VLOOKUP(AT62,Потребители_обозначение,3,FALSE)*(H62*2-1)+BV62),BV62))</f>
        <v>57</v>
      </c>
      <c r="BX62">
        <f t="shared" si="100"/>
        <v>12</v>
      </c>
      <c r="BY62">
        <f t="shared" si="101"/>
        <v>41</v>
      </c>
      <c r="BZ62">
        <f t="shared" si="102"/>
        <v>2</v>
      </c>
      <c r="CA62">
        <f t="shared" si="103"/>
        <v>0.31</v>
      </c>
      <c r="CB62">
        <f t="shared" si="104"/>
        <v>0</v>
      </c>
      <c r="CC62" s="6">
        <f>IFERROR(ROUNDUP(CB62/((Uн_лин/SQRT(3))*1000)*100,2),"")</f>
        <v>0</v>
      </c>
      <c r="CD62" s="6">
        <f>IF(ISNUMBER(CC62),CC62+IFERROR(_xlfn.XLOOKUP(A62,Щиты[Щит],Щиты[ΔU до шин, %]),0),"")</f>
        <v>0</v>
      </c>
      <c r="CE62" s="6">
        <f>IF(D62="","",IF(IFERROR(VLOOKUP(AT62,УГО_спр,2,FALSE),"")="Светильник",3,4)+IF(Методика="нормы 2026",MIN(0.5,MAX(0,N(BW62)-100)*0.005),0))</f>
        <v>3</v>
      </c>
      <c r="CF62" t="str">
        <f>IFERROR(VLOOKUP(BI62,Кабель_обозначение,2,FALSE),"")</f>
        <v>ВВГнг(А)-LS</v>
      </c>
      <c r="CG62" t="str">
        <f>IFERROR(IF(VLOOKUP(BI62,Кабель_обозначение,3,FALSE)=1,CF62&amp;" ("&amp;BJ62&amp;"х"&amp;BS62&amp;")",CF62),"")</f>
        <v>ВВГнг(А)-LS (5х1,5)</v>
      </c>
      <c r="CH62" t="str">
        <f t="shared" si="105"/>
        <v>ВВГнг(А)-LS (5х1,5)
L=57-0%</v>
      </c>
      <c r="CI62">
        <f>IFERROR(2*ρкз_Cu*BW62/BS62,"")</f>
        <v>1.9988000000000001</v>
      </c>
      <c r="CJ62">
        <f t="shared" si="106"/>
        <v>0.66500000000000004</v>
      </c>
      <c r="CK62" s="6" t="str">
        <f>IFERROR(IF(OR(D62="",NOT(ISNUMBER(BS62)),N(BW62)=0),"",_xlfn.XLOOKUP(A62,Щиты[Щит],Щиты[Zпетли на шинах, Ом])+CI62),"")</f>
        <v/>
      </c>
      <c r="CL62" s="6" t="str">
        <f>IF(ISNUMBER(CK62),c_min*(Uн_лин*1000/SQRT(3))/CK62,"")</f>
        <v/>
      </c>
      <c r="CM62" s="6" t="str">
        <f>IFERROR(IF(OR(D62="",NOT(ISNUMBER(BS62))),"",1.05*(Uн_лин*1000/SQRT(3))/(_xlfn.XLOOKUP(A62,Щиты[Щит],Щиты[Zmax на шинах, Ом])+CJ62)/1000),"")</f>
        <v/>
      </c>
      <c r="CN62" s="6" t="str">
        <f>IF(D62="","",IF(BA62&lt;&gt;"","Щит",IF(K62&lt;&gt;"",K62,IF(ISNUMBER(L62),"Сил",IF(IFERROR(_xlfn.XLOOKUP(AT62,Коды_код,Коды_группа)&amp;"","")="","Быт",_xlfn.XLOOKUP(AT62,Коды_код,Коды_группа)&amp;"")))))</f>
        <v>Быт</v>
      </c>
      <c r="CO62" s="6">
        <f>IF(CN62="Щит","щит",IF(CN62="","",IF(CN62="Быт",IFERROR(_xlfn.XLOOKUP(A62,Щиты[Щит],Щиты[Кс быт]),1),IF(CN62="Сил",IF(ISNUMBER(L62),L62,IF(Методика="нормы 2026",IFERROR(_xlfn.XLOOKUP(A62,Щиты[Щит],Щиты[Кс силовых (табл. 7.5)]),1),1)),IF(OR(CN62="Пост",CN62="Отоп"),1,IF(CN62="ВНГ",0.7,0))))))</f>
        <v>0.8</v>
      </c>
      <c r="CP62">
        <f t="shared" si="107"/>
        <v>1</v>
      </c>
      <c r="CQ62">
        <f t="shared" si="108"/>
        <v>0</v>
      </c>
      <c r="CR62">
        <f t="shared" si="109"/>
        <v>0</v>
      </c>
      <c r="CS62">
        <f t="shared" si="110"/>
        <v>0</v>
      </c>
      <c r="CT62">
        <f t="shared" si="111"/>
        <v>0</v>
      </c>
      <c r="CU62">
        <f t="shared" si="112"/>
        <v>0</v>
      </c>
      <c r="CV62">
        <f t="shared" si="113"/>
        <v>0</v>
      </c>
      <c r="CW62">
        <f t="shared" si="114"/>
        <v>0</v>
      </c>
      <c r="CX62">
        <f t="shared" si="115"/>
        <v>0</v>
      </c>
      <c r="CY62">
        <f t="shared" si="116"/>
        <v>2</v>
      </c>
      <c r="CZ62" t="str">
        <f t="shared" si="117"/>
        <v>L2</v>
      </c>
      <c r="DA62" cm="1">
        <f t="array" ref="DA62">IFERROR(IF(BL62=2,_xlfn.IFS(BH62=3,VLOOKUP(BF62,Справочная_двигатели,3,FALSE),BH62=1,VLOOKUP(BF62,Справочная_двигатели,5,TRUE)),0),0)</f>
        <v>0</v>
      </c>
      <c r="DB62">
        <f>IFERROR(IF(BL62=3,VLOOKUP(BF62,Справочная_ЛЭД,2,TRUE),0),0)</f>
        <v>0</v>
      </c>
      <c r="DC62" s="6">
        <f t="shared" si="118"/>
        <v>0</v>
      </c>
      <c r="DD62" t="str">
        <f t="shared" si="119"/>
        <v>L3</v>
      </c>
      <c r="DE62" t="str" cm="1">
        <f t="array" ref="DE62">IF(D62="","",IFERROR(INDEX({"I особая","I","II","III"},MATCH(TRIM(AA62&amp;""),{"I особая","I","II","III"},0)),"III"))</f>
        <v>III</v>
      </c>
      <c r="DF62" t="str">
        <f>IF(D62="","",IF(TRIM(AB62&amp;"")&lt;&gt;"",IF(LOWER(TRIM(AB62&amp;""))="да","да","нет"),IF(IFERROR(_xlfn.XLOOKUP(AT62,Коды_код,Коды_пожарная),"")="да","да","нет")))</f>
        <v>нет</v>
      </c>
      <c r="DG62" t="str">
        <f t="shared" si="120"/>
        <v/>
      </c>
      <c r="DH62" t="str">
        <f t="shared" si="121"/>
        <v>основная</v>
      </c>
      <c r="DI62">
        <f t="shared" si="122"/>
        <v>1</v>
      </c>
      <c r="DJ62" t="str" cm="1">
        <f t="array" ref="DJ62">IF(D62="","",_xlfn.LET(_xlpm.t,IFERROR(_xlfn.XLOOKUP(1,(Шины[Шина]=DH62)*(((Шины[Щит]=A62)+(Шины[Щит]=""))&gt;0),Шины[Тип]),"")&amp;"",IF(_xlpm.t&lt;&gt;"",_xlpm.t,IF(ISNUMBER(SEARCH("ИБП",DH62)),"ИБП",IF(ISNUMBER(SEARCH("ДГУ",DH62)),"ДГУ","Ввод "&amp;DI62)))))</f>
        <v>Ввод 1</v>
      </c>
      <c r="DK62" t="str">
        <f t="shared" si="123"/>
        <v>Ввод 1</v>
      </c>
      <c r="DL62" t="str">
        <f>IF(D62="","",IF(OR(DJ62="ИБП",DJ62="ДГУ"),"I особая",IF(DJ62="Одиночная","III",_xlfn.XLOOKUP(A62,Щиты[Щит],Щиты[Категория шины «Ввод»],"III"))))</f>
        <v>III</v>
      </c>
      <c r="DM62">
        <f>IF(D62="",0,IFERROR(MATCH(DE62,{"III","II","I","I особая"},0),1))</f>
        <v>1</v>
      </c>
      <c r="DN62">
        <f t="shared" si="124"/>
        <v>1</v>
      </c>
      <c r="DO62" t="str">
        <f>IF(D62="","",IF(DM62&gt;IFERROR(MATCH(DL62,{"III","II","I","I особая"},0),1),"НЕ ОБЕСПЕЧЕНА","ОК"))</f>
        <v>ОК</v>
      </c>
      <c r="DP62" t="str">
        <f>IF(A62="","",_xlfn.XLOOKUP(A62,Щиты[Щит],Щиты[Путь],""))</f>
        <v>|ЩР|</v>
      </c>
      <c r="DQ62" t="str">
        <f>IF(D62="","",IF(Z62&lt;&gt;"",Z62,IF(IFERROR(_xlfn.XLOOKUP(AT62,Коды_код,Коды_вид)&amp;"","")="","Прочее",_xlfn.XLOOKUP(AT62,Коды_код,Коды_вид)&amp;"")))</f>
        <v>Рабочее освещение</v>
      </c>
      <c r="DR62">
        <f>IF(BD62="","",INT((BD62-1)/Столбцов_на_лист)+1)</f>
        <v>4</v>
      </c>
      <c r="DS62" t="str">
        <f t="shared" si="125"/>
        <v>ВВГнг(А)-LS (5х1,5) L=57-0%</v>
      </c>
      <c r="DT62">
        <f t="shared" si="126"/>
        <v>0</v>
      </c>
      <c r="DU62">
        <f t="shared" si="127"/>
        <v>0</v>
      </c>
      <c r="DV62">
        <f t="shared" si="128"/>
        <v>1</v>
      </c>
      <c r="DW62">
        <f>IF(AT62="",0,_xlfn.LET(_xlpm.v,IFERROR(VLOOKUP(D62,УГО_спр,3,FALSE),IFERROR(VLOOKUP(AT62,УГО_спр,3,FALSE),IFERROR(VLOOKUP(LEFT(AT62,2),УГО_спр,3,FALSE),""))),IF(_xlpm.v="да",30,IF(ISNUMBER(_xlpm.v),_xlpm.v,0))))</f>
        <v>0</v>
      </c>
      <c r="DX62">
        <f t="shared" si="129"/>
        <v>0</v>
      </c>
      <c r="DY62">
        <f>IF(BD62="","",IF(AD62&lt;&gt;"",COUNTIFS(A$3:A62,A62,AD$3:AD62,"?*"),IF(OR(OR(AS62=1,A62&lt;&gt;A61),AL62="вручную"),"",IF(AS62=1,"",DZ61))))</f>
        <v>32</v>
      </c>
      <c r="DZ62">
        <f t="shared" si="130"/>
        <v>32</v>
      </c>
      <c r="EA62">
        <f>IF(D62="",0,MAX(IFERROR(--X62,0),IFERROR(--VLOOKUP(D62,УГО_спр,4,FALSE),IFERROR(--VLOOKUP(AT62,УГО_спр,4,FALSE),IFERROR(--VLOOKUP(LEFT(AT62,2),УГО_спр,4,FALSE),0)))))</f>
        <v>10</v>
      </c>
      <c r="EB62">
        <f>IF(D62="","",IFERROR(LOOKUP(INDEX(CHOOSE(BR62,Iдоп_1ж,Iдоп_2ж,Iдоп_3ж),MATCH(BS62,Iдоп_S,0))*BP62*BQ62,{6,10,16,20,25,32,40,50,63,80,100,125,160,200,250,315,400,500,630}),""))</f>
        <v>16</v>
      </c>
      <c r="EC62" t="str">
        <f>IF(AD62="","",SUMIFS(Линии[_Ток схемы],Линии[_гр.],DY62,Линии[Щит],A62,Линии[_в кабель выше],0))</f>
        <v/>
      </c>
      <c r="ED62" t="str">
        <f>IF(AD62="","",IFERROR(VLOOKUP(EC62,Автомат_номиналы,2,TRUE),""))</f>
        <v/>
      </c>
      <c r="EE62" t="str">
        <f>IF(AD62="","",MAX(N(ED62),_xlfn.MAXIFS(Линии[_мин. по типу],Линии[_гр.],DY62,Линии[Щит],A62)))</f>
        <v/>
      </c>
      <c r="EF62" t="str">
        <f>IF(AD62="","",_xlfn.MINIFS(Линии[_макс. автомат по кабелю],Линии[_гр.],DY62,Линии[Щит],A62))</f>
        <v/>
      </c>
      <c r="EG62" t="str">
        <f>IF(AD62="","",MAX(1,_xlfn.MAXIFS(Линии[_фаз],Линии[_гр.],DY62,Линии[Щит],A62)))</f>
        <v/>
      </c>
      <c r="EH62" t="str">
        <f>IF(AD62="","",IF(AND(AD62&lt;&gt;"авто",AD62&lt;&gt;"+"),IF(ISNUMBER(SEARCH("мА",AD62)),IFERROR(--TRIM(RIGHT(SUBSTITUTE(LEFT(AD62,SEARCH("мА",AD62)-1)," ",REPT(" ",9)),6)),30),0),IF(AE62="нет",0,IF(ISNUMBER(AE62),AE62,IF(AE62="да",30,_xlfn.MINIFS(Линии[_дифзащита по коду, мА],Линии[_гр.],DY62,Линии[Щит],A62,Линии[_дифзащита по коду, мА],"&gt;0"))))))</f>
        <v/>
      </c>
      <c r="EI62" t="str">
        <f t="shared" si="131"/>
        <v/>
      </c>
      <c r="EJ62" t="str">
        <f t="shared" si="132"/>
        <v/>
      </c>
      <c r="EK62" t="str">
        <f t="shared" si="133"/>
        <v>QF32</v>
      </c>
      <c r="EL62" t="str">
        <f t="shared" si="134"/>
        <v>МК-5-1</v>
      </c>
      <c r="EM62">
        <f t="shared" si="135"/>
        <v>0</v>
      </c>
      <c r="EN62" t="str">
        <f>IF(AD62="","",IF(EM62=1,MAX(EE62,Мин_автомат_БП),EE62))</f>
        <v/>
      </c>
      <c r="EO62" t="str">
        <f t="shared" si="136"/>
        <v/>
      </c>
      <c r="EP62" t="str">
        <f t="shared" si="137"/>
        <v/>
      </c>
      <c r="EQ62" t="str">
        <f t="shared" si="138"/>
        <v/>
      </c>
      <c r="ER62" t="str">
        <f>IF(OR(AI62="",AI62="-"),"",IFERROR(VLOOKUP(AI62,Модули_спр,2,FALSE),"R"))</f>
        <v/>
      </c>
      <c r="ES62" t="str">
        <f>IF(ER62="","",ER62&amp;"."&amp;COUNTIFS(A$3:A62,A62,ER$3:ER62,ER62))</f>
        <v/>
      </c>
      <c r="ET62" t="str">
        <f t="shared" si="139"/>
        <v/>
      </c>
      <c r="EU62" t="str">
        <f t="shared" si="140"/>
        <v/>
      </c>
      <c r="EV62" t="str">
        <f t="shared" si="141"/>
        <v/>
      </c>
      <c r="EW62" t="str">
        <f t="shared" si="142"/>
        <v/>
      </c>
      <c r="EX62">
        <f t="shared" si="143"/>
        <v>1</v>
      </c>
      <c r="EY62" t="str">
        <f>IF(AK62="нет","",IF(AK62&lt;&gt;"",AK62,IF(EX62=1,"XT"&amp;COUNTIFS(A$3:A62,A62,EX$3:EX62,1),"")))</f>
        <v>XT42</v>
      </c>
      <c r="EZ62" t="str">
        <f t="shared" si="144"/>
        <v>QF32</v>
      </c>
      <c r="FA62" t="str">
        <f t="shared" si="145"/>
        <v/>
      </c>
      <c r="FB62" t="str">
        <f t="shared" si="146"/>
        <v/>
      </c>
      <c r="FC62" t="str">
        <f>IF(OR(EV62="",ET62=""),"",IF(EV62&gt;IFERROR(VLOOKUP(EU62,Модули_спр,3,FALSE),99),"ЛИШНИЙ КАНАЛ",IF(AND(AJ62&lt;&gt;"=",COUNTIFS(Линии[_модуль гр.],ET62,Линии[Канал (итог)],EV62,Линии[Канал],"&lt;&gt;=",Линии[Щит],A62)&gt;1),"ДУБЛЬ КАНАЛА","")))</f>
        <v/>
      </c>
      <c r="FD62">
        <f t="shared" si="147"/>
        <v>10</v>
      </c>
      <c r="FE62" t="str">
        <f t="shared" si="148"/>
        <v>1P С10А</v>
      </c>
      <c r="FF62">
        <f t="shared" si="149"/>
        <v>0</v>
      </c>
      <c r="FG62">
        <f t="shared" si="150"/>
        <v>0</v>
      </c>
      <c r="FH62" s="6" t="str">
        <f t="shared" si="151"/>
        <v/>
      </c>
      <c r="FI62">
        <f t="shared" si="152"/>
        <v>10</v>
      </c>
      <c r="FJ62" t="str">
        <f t="shared" si="153"/>
        <v/>
      </c>
      <c r="FK62" t="str">
        <f>IF(AND(D62="",EZ62=""),"",_xlfn.TEXTJOIN("; ",TRUE,IF(AND(D62&lt;&gt;"",DD62=""),"нет фазы",""),IF(AND(D62&lt;&gt;"",N(DT62)=0,CN62&lt;&gt;"Нет"),"нет мощности",""),IF(AND(EY62&lt;&gt;"",COUNTIFS(Линии[Щит],A62,Линии[Клемма (итог)],EY62)&gt;1),"дубль клеммы "&amp;EY62,""),IF(AND(FB62&lt;&gt;"",FB62&lt;&gt;"ok"),FB62,""),IF(FC62&lt;&gt;"",FC62,""),IF(AND(ISNUMBER(SEARCH("(5х",DS62)),N(DV62)=1),"5 жил на 1 фазе",""),IF(AND(AT62="R",AD62&lt;&gt;"",OR(N(EH62)=0,N(EH62)&gt;30)),"розетка без дифзащиты до 30 мА",""),IFERROR(IF(AND(ISNUMBER(CD62),CD62&gt;CE62),"потери "&amp;FIXED(CD62,1)&amp;" % &gt; "&amp;CE62&amp;" %",""),""),IFERROR(IF(LEFT(FJ62,4)="мало","Iкз мало — отключение &gt; 0,4 с",""),""),IF(AND(D62&lt;&gt;"",BD62=""),"не на схеме","")))</f>
        <v>нет мощности; 5 жил на 1 фазе</v>
      </c>
      <c r="FL62" s="6" t="str">
        <f>IF(AD62="","",_xlfn.LET(_xlpm.t,IFERROR(_xlfn.XLOOKUP(EP62,Каталог!$U$4:$U$500,Каталог!$G$4:$G$500),""),_xlpm.k,SEARCH("кА",_xlpm.t),IFERROR(--TRIM(RIGHT(SUBSTITUTE(MID(_xlpm.t,MAX(1,_xlpm.k-4),_xlpm.k-MAX(1,_xlpm.k-4))," ",REPT(" ",9)),5)),"")))</f>
        <v/>
      </c>
      <c r="FM62" t="str">
        <f>IF(OR(FL62="",AD62=""),"",IF(_xlfn.XLOOKUP(A62,Щиты[Щит],Щиты[Iкз max на шинах, кА],"")="","",IF(FL62&lt;_xlfn.XLOOKUP(A62,Щиты[Щит],Щиты[Iкз max на шинах, кА]),"Icu "&amp;FL62&amp;" кА &lt; Iкз max","ok")))</f>
        <v/>
      </c>
      <c r="FN62" t="str">
        <f t="shared" si="154"/>
        <v>QF32|МК-5-1|XT42</v>
      </c>
      <c r="FO62" t="str">
        <f t="shared" si="155"/>
        <v>QF32|МК-5-1|XT42|кабель ВВГнг(А)-LS (5х1,5) → Группа освещения  Пом. №06</v>
      </c>
      <c r="FP62" t="str" cm="1">
        <f t="array" ref="FP62">IF(FO62="","",_xlfn.LET(_xlpm.nd,_xlfn.TEXTSPLIT(FO62,"|"),IF(COLUMNS(_xlpm.nd)&gt;1,A62&amp;"¦"&amp;INDEX(_xlpm.nd,1)&amp;"¦"&amp;INDEX(_xlpm.nd,2),"")))</f>
        <v>ЩР¦QF32¦МК-5-1</v>
      </c>
      <c r="FQ62" t="str">
        <f t="shared" si="156"/>
        <v>L.1.06.1¦Группа освещения  Пом. №06</v>
      </c>
      <c r="FR62" t="str" cm="1">
        <f t="array" ref="FR62">IF(FO62="","",_xlfn.LET(_xlpm.nd,_xlfn.TEXTSPLIT(FO62,"|"),IF(COLUMNS(_xlpm.nd)&gt;2,A62&amp;"¦"&amp;INDEX(_xlpm.nd,2)&amp;"¦"&amp;INDEX(_xlpm.nd,3),"")))</f>
        <v>ЩР¦МК-5-1¦XT42</v>
      </c>
      <c r="FS62" t="str">
        <f t="shared" si="157"/>
        <v>L.1.06.1¦Группа освещения  Пом. №06</v>
      </c>
      <c r="FT62" t="str" cm="1">
        <f t="array" ref="FT62">IF(FO62="","",_xlfn.LET(_xlpm.nd,_xlfn.TEXTSPLIT(FO62,"|"),IF(COLUMNS(_xlpm.nd)&gt;3,A62&amp;"¦"&amp;INDEX(_xlpm.nd,3)&amp;"¦"&amp;INDEX(_xlpm.nd,4),"")))</f>
        <v>ЩР¦XT42¦кабель ВВГнг(А)-LS (5х1,5) → Группа освещения  Пом. №06</v>
      </c>
      <c r="FU62" t="str">
        <f t="shared" si="158"/>
        <v>L.1.06.1¦Группа освещения  Пом. №06</v>
      </c>
      <c r="FV62" t="str" cm="1">
        <f t="array" ref="FV62">IF(FO62="","",_xlfn.LET(_xlpm.nd,_xlfn.TEXTSPLIT(FO62,"|"),IF(COLUMNS(_xlpm.nd)&gt;4,A62&amp;"¦"&amp;INDEX(_xlpm.nd,4)&amp;"¦"&amp;INDEX(_xlpm.nd,5),"")))</f>
        <v/>
      </c>
      <c r="FW62" t="str">
        <f t="shared" si="159"/>
        <v/>
      </c>
      <c r="FX62" t="str" cm="1">
        <f t="array" ref="FX62">IF(FO62="","",_xlfn.LET(_xlpm.nd,_xlfn.TEXTSPLIT(FO62,"|"),IF(COLUMNS(_xlpm.nd)&gt;5,A62&amp;"¦"&amp;INDEX(_xlpm.nd,5)&amp;"¦"&amp;INDEX(_xlpm.nd,6),"")))</f>
        <v/>
      </c>
      <c r="FY62" t="str">
        <f t="shared" si="160"/>
        <v/>
      </c>
      <c r="FZ62" t="str" cm="1">
        <f t="array" ref="FZ62">IF(FO62="","",_xlfn.LET(_xlpm.nd,_xlfn.TEXTSPLIT(FO62,"|"),IF(COLUMNS(_xlpm.nd)&gt;6,A62&amp;"¦"&amp;INDEX(_xlpm.nd,6)&amp;"¦"&amp;INDEX(_xlpm.nd,7),"")))</f>
        <v/>
      </c>
      <c r="GA62" t="str">
        <f t="shared" si="161"/>
        <v/>
      </c>
      <c r="GB62" t="str">
        <f t="shared" si="162"/>
        <v/>
      </c>
      <c r="GC62" t="str">
        <f t="shared" si="163"/>
        <v>QF32 → МК-5-1 → XT42</v>
      </c>
      <c r="GD62">
        <f t="shared" si="164"/>
        <v>1</v>
      </c>
      <c r="GE62">
        <f t="shared" si="165"/>
        <v>0</v>
      </c>
      <c r="GF62">
        <f t="shared" si="166"/>
        <v>0</v>
      </c>
      <c r="GG62" t="str">
        <f t="shared" si="167"/>
        <v/>
      </c>
      <c r="GH62" t="str">
        <f t="shared" si="168"/>
        <v/>
      </c>
      <c r="GI62" t="str">
        <f t="shared" si="169"/>
        <v/>
      </c>
      <c r="GJ62" t="str">
        <f t="shared" si="170"/>
        <v/>
      </c>
      <c r="GK62" t="str">
        <f>IF(D62="","",IFERROR(VLOOKUP(D62,УГО_спр,2,FALSE),IFERROR(VLOOKUP(AT62,УГО_спр,2,FALSE),IFERROR(VLOOKUP(LEFT(AT62,2),УГО_спр,2,FALSE),""))))</f>
        <v>Светильник</v>
      </c>
      <c r="GL62" t="str">
        <f>IF(D62="","",IF(OR(GK62="",GK62=0),"BOX",IFERROR(IF(VLOOKUP(GK62,УГО_блоки,3,FALSE)&amp;""&lt;&gt;"",VLOOKUP(GK62,УГО_блоки,3,FALSE),VLOOKUP(GK62,УГО_блоки,2,FALSE)),GK62)))</f>
        <v>LAMP</v>
      </c>
      <c r="GM62">
        <f t="shared" si="171"/>
        <v>1</v>
      </c>
      <c r="GN62" t="str">
        <f>IF(EP62="","",IF(COUNTIF(EP$3:EP62,EP62)=1,MAX(GN$2:GN61)+1,""))</f>
        <v/>
      </c>
      <c r="GO62" t="str">
        <f>IF(AF62="","",IF(COUNTIF(AF$3:AF62,AF62)+COUNTIF(AG$2:AG61,AF62)+COUNTIF(AH$2:AH61,AF62)=1,MAX(GO$2:GQ61)+1,""))</f>
        <v/>
      </c>
      <c r="GP62" t="str">
        <f>IF(AG62="","",IF(COUNTIF(AF$3:AF62,AG62)+COUNTIF(AG$3:AG62,AG62)+COUNTIF(AH$2:AH61,AG62)=1,MAX(GO$2:GQ61,GO62)+1,""))</f>
        <v/>
      </c>
      <c r="GQ62" t="str">
        <f>IF(AH62="","",IF(COUNTIF(AF$3:AF62,AH62)+COUNTIF(AG$3:AG62,AH62)+COUNTIF(AH$3:AH62,AH62)=1,MAX(GO$2:GQ61,GO62,GP62)+1,""))</f>
        <v/>
      </c>
      <c r="GR62" t="str">
        <f t="shared" si="172"/>
        <v>5х1,5</v>
      </c>
      <c r="GS62" t="str">
        <f>IF(GR62="","",IF(COUNTIF(GR$3:GR62,GR62)=1,MAX(GS$2:GS61)+1,""))</f>
        <v/>
      </c>
      <c r="GT62" t="str">
        <f>IF(ES62="","",COUNTIF(ES$3:ES62,"?*"))</f>
        <v/>
      </c>
      <c r="GU62" t="str">
        <f>IF(OR(ES62="",EU62=""),"",IF(COUNTIFS(ES$3:ES62,"?*",EU$3:EU62,EU62)=1,MAX(GU$2:GU61)+1,""))</f>
        <v/>
      </c>
      <c r="GV62">
        <f t="shared" si="173"/>
        <v>1</v>
      </c>
      <c r="GW62">
        <f>IF(D62="","",COUNTIF(D$3:D62,"?*"))</f>
        <v>42</v>
      </c>
      <c r="GX62">
        <f>IF(EX62&lt;&gt;1,0,_xlfn.LET(_xlpm.k,MAX(IFERROR(--VLOOKUP(D62,УГО_спр,5,FALSE),0),IFERROR(--VLOOKUP(AT62,УГО_спр,5,FALSE),0),IFERROR(--VLOOKUP(LEFT(AT62,2),УГО_спр,5,FALSE),0)),IF(_xlpm.k&gt;0,_xlpm.k,IF(IFERROR(--LEFT(SUBSTITUTE(GR62,"x","х"),FIND("х",SUBSTITUTE(GR62,"x","х"))-1),3)&gt;3,Каталог!$S$9,1))))</f>
        <v>1</v>
      </c>
      <c r="GY62">
        <f t="shared" si="174"/>
        <v>2</v>
      </c>
    </row>
    <row r="63" spans="1:207" x14ac:dyDescent="0.3">
      <c r="A63" t="s">
        <v>206</v>
      </c>
      <c r="B63">
        <v>65</v>
      </c>
      <c r="C63" t="str">
        <f>IF(BD63="","",IF(BE63="вводной узел","узел ","")&amp;"л."&amp;(INT((BD63-1)/Столбцов_на_лист)+1)&amp;" / "&amp;(MOD(BD63-1,Столбцов_на_лист)+1))</f>
        <v>л.4 / 14</v>
      </c>
      <c r="D63" t="s">
        <v>717</v>
      </c>
      <c r="E63" s="133" t="str">
        <f t="shared" si="175"/>
        <v>Группа освещения  Пом. №08</v>
      </c>
      <c r="H63">
        <v>6</v>
      </c>
      <c r="O63">
        <v>1</v>
      </c>
      <c r="T63">
        <v>2</v>
      </c>
      <c r="V63">
        <v>5</v>
      </c>
      <c r="AM63">
        <v>7.13</v>
      </c>
      <c r="AO63" t="s">
        <v>748</v>
      </c>
      <c r="AQ63" t="s">
        <v>232</v>
      </c>
      <c r="AR63" t="str">
        <f t="shared" si="88"/>
        <v>нет мощности; 5 жил на 1 фазе</v>
      </c>
      <c r="AS63" cm="1">
        <f t="array" ref="AS63">ROW()-ROW(Линии[#Headers])</f>
        <v>61</v>
      </c>
      <c r="AT63" s="6" t="str">
        <f t="shared" si="89"/>
        <v>L</v>
      </c>
      <c r="AU63" t="str">
        <f t="shared" si="90"/>
        <v>1.08.1</v>
      </c>
      <c r="AV63" t="str">
        <f t="shared" si="91"/>
        <v>1</v>
      </c>
      <c r="AW63" t="str">
        <f t="shared" si="92"/>
        <v>08.1</v>
      </c>
      <c r="AX63" t="str">
        <f t="shared" si="93"/>
        <v>08</v>
      </c>
      <c r="AY63" t="str">
        <f>IF(D63="","",IF(ISERROR(SEARCH(".",D63)),IFERROR(VLOOKUP(D63,Потребители_обозначение,2,FALSE)&amp;"",""),IFERROR(IF(VLOOKUP(AT63,Потребители_обозначение,4,FALSE)=1,VLOOKUP(AT63,Потребители_обозначение,2,FALSE)&amp;" "&amp;VLOOKUP(AV63,Этаж_обозначение,2,FALSE)&amp;" Пом. №"&amp;AX63,VLOOKUP(AT63,Потребители_обозначение,2,FALSE)&amp;" Шлейф №"&amp;AV63),IFERROR(VLOOKUP(D63,Потребители_обозначение,2,FALSE),""))))</f>
        <v>Группа освещения  Пом. №08</v>
      </c>
      <c r="AZ63" t="str">
        <f t="shared" si="94"/>
        <v>Группа освещения  Пом. №08</v>
      </c>
      <c r="BA63" t="str">
        <f>IF(F63&lt;&gt;"",F63,IF(AND(D63&lt;&gt;"",D63&lt;&gt;A63,ISNUMBER(_xlfn.XMATCH(D63,Щиты[Щит]))),D63,""))</f>
        <v/>
      </c>
      <c r="BB63">
        <f>IFERROR(_xlfn.XMATCH(A63,Щиты[Щит]),0)</f>
        <v>1</v>
      </c>
      <c r="BC63">
        <f>IFERROR(N(_xlfn.XLOOKUP(A63,Щиты[Щит],Щиты[Мест под вводной узел])),15)</f>
        <v>18</v>
      </c>
      <c r="BD63">
        <f t="shared" si="95"/>
        <v>65</v>
      </c>
      <c r="BE63" t="str">
        <f t="shared" si="96"/>
        <v>линии</v>
      </c>
      <c r="BF63" s="6">
        <f>IF(D63="","",IF(BA63&lt;&gt;"",IFERROR(_xlfn.XLOOKUP(BA63,Щиты[Щит],Щиты[Руст, кВт]),0),N(G63)))</f>
        <v>0</v>
      </c>
      <c r="BG63">
        <f>IF(J63&lt;&gt;"",J63,IF(D63="","",IFERROR(IF(VLOOKUP(AT63,Потребители_обозначение,8,FALSE)=0,"",VLOOKUP(AT63,Потребители_обозначение,8,FALSE)),"")))</f>
        <v>230</v>
      </c>
      <c r="BH63">
        <f>IF(I63&lt;&gt;"",I63,IF(D63="","",IFERROR(IF(VLOOKUP(AT63,Потребители_обозначение,9,FALSE)=0,"",VLOOKUP(AT63,Потребители_обозначение,9,FALSE)),"")))</f>
        <v>1</v>
      </c>
      <c r="BI63" t="str">
        <f>IF(U63&lt;&gt;"",U63,IF(D63="","",IFERROR(IF(VLOOKUP(AT63,Потребители_обозначение,6,FALSE)=0,"",VLOOKUP(AT63,Потребители_обозначение,6,FALSE)),"")))</f>
        <v>мс</v>
      </c>
      <c r="BJ63">
        <f>IF(V63&lt;&gt;"",V63,IF(D63="","",IFERROR(IF(VLOOKUP(AT63,Потребители_обозначение,7,FALSE)=0,"",VLOOKUP(AT63,Потребители_обозначение,7,FALSE)),"")))</f>
        <v>5</v>
      </c>
      <c r="BK63">
        <f>IF(W63&lt;&gt;"",W63,IF(D63="","",IFERROR(IF(VLOOKUP(AT63,Потребители_обозначение,10,FALSE)=0,"",VLOOKUP(AT63,Потребители_обозначение,10,FALSE)),"")))</f>
        <v>1.5</v>
      </c>
      <c r="BL63">
        <f>IFERROR(VLOOKUP(AT63,Потребители_обозначение,5,FALSE),0)</f>
        <v>1</v>
      </c>
      <c r="BM63" s="6" cm="1">
        <f t="array" ref="BM63">IF(D63="","",IF(BA63&lt;&gt;"",IFERROR(_xlfn.XLOOKUP(BA63,Щиты[Щит],Щиты[cos φ]),0.95),IF(ISNUMBER(M63),M63,IFERROR(IF(BL63=2,_xlfn.IFS(BH63=3,VLOOKUP(BF63,Справочная_двигатели,8,FALSE),BH63=1,VLOOKUP(BF63,Справочная_двигатели,10,TRUE)),IF(AND(Методика="нормы 2026",CN63="Сил"),0.8,0.95)),0.95))))</f>
        <v>0.95</v>
      </c>
      <c r="BN63" s="6" cm="1">
        <f t="array" ref="BN63">IF(D63="","",IF(BA63&lt;&gt;"",IFERROR(_xlfn.XLOOKUP(BA63,Щиты[Щит],Щиты[Iр, А]),""),IFERROR(_xlfn.IFS(BH63=1,BF63/((Uн_лин/SQRT(3))*BM63),BH63=3,BF63/(SQRT(3)*Uн_лин*BM63)),"")))</f>
        <v>0</v>
      </c>
      <c r="BO63">
        <f>IF(D63="","",IF(N(X63)=0,IFERROR(VLOOKUP(BN63,Автомат_номиналы,2,TRUE),""),X63))</f>
        <v>6</v>
      </c>
      <c r="BP63">
        <f t="shared" si="97"/>
        <v>1</v>
      </c>
      <c r="BQ63">
        <f>IF(ISNUMBER(Y63),Y63,К_прокл)</f>
        <v>1</v>
      </c>
      <c r="BR63">
        <f t="shared" si="98"/>
        <v>2</v>
      </c>
      <c r="BS63" cm="1">
        <f t="array" ref="BS63">IF(D63="","",IF(N(BK63)&lt;&gt;0,BK63,IFERROR(_xlfn.LET(_xlpm.need,BO63/(BP63*BQ63),_xlpm.t,CHOOSE(BR63,Iдоп_1ж,Iдоп_2ж,Iдоп_3ж),_xlpm.k,_xlfn.XMATCH(_xlpm.need,_xlpm.t,1),IF(ISNA(_xlpm.k),"Не исп",INDEX(Iдоп_S,_xlpm.k))),"Не исп")))</f>
        <v>1.5</v>
      </c>
      <c r="BT63">
        <f>IFERROR(VLOOKUP(BS63,Кабель_сопротивление,3,FALSE),"")</f>
        <v>2.2499999999999999E-2</v>
      </c>
      <c r="BU63">
        <f>IFERROR(VLOOKUP(BS63,Кабель_сопротивление,2,FALSE),"")</f>
        <v>0.11</v>
      </c>
      <c r="BV63">
        <f t="shared" si="99"/>
        <v>8</v>
      </c>
      <c r="BW63" s="6">
        <f>IF(D63="","",IFERROR(IF(VLOOKUP(AT63,Потребители_обозначение,4,FALSE)=1,VLOOKUP(AT63,Потребители_обозначение,3,FALSE)*(H63*2-1)+BV63+VLOOKUP(AV63,Этаж_обозначение,3,FALSE)+VLOOKUP(AV63,Этаж_обозначение,4,FALSE),VLOOKUP(AT63,Потребители_обозначение,3,FALSE)*(H63*2-1)+BV63),BV63))</f>
        <v>19</v>
      </c>
      <c r="BX63">
        <f t="shared" si="100"/>
        <v>8</v>
      </c>
      <c r="BY63">
        <f t="shared" si="101"/>
        <v>7</v>
      </c>
      <c r="BZ63">
        <f t="shared" si="102"/>
        <v>2</v>
      </c>
      <c r="CA63">
        <f t="shared" si="103"/>
        <v>0.31</v>
      </c>
      <c r="CB63">
        <f t="shared" si="104"/>
        <v>0</v>
      </c>
      <c r="CC63" s="6">
        <f>IFERROR(ROUNDUP(CB63/((Uн_лин/SQRT(3))*1000)*100,2),"")</f>
        <v>0</v>
      </c>
      <c r="CD63" s="6">
        <f>IF(ISNUMBER(CC63),CC63+IFERROR(_xlfn.XLOOKUP(A63,Щиты[Щит],Щиты[ΔU до шин, %]),0),"")</f>
        <v>0</v>
      </c>
      <c r="CE63" s="6">
        <f>IF(D63="","",IF(IFERROR(VLOOKUP(AT63,УГО_спр,2,FALSE),"")="Светильник",3,4)+IF(Методика="нормы 2026",MIN(0.5,MAX(0,N(BW63)-100)*0.005),0))</f>
        <v>3</v>
      </c>
      <c r="CF63" t="str">
        <f>IFERROR(VLOOKUP(BI63,Кабель_обозначение,2,FALSE),"")</f>
        <v>ВВГнг(А)-LS</v>
      </c>
      <c r="CG63" t="str">
        <f>IFERROR(IF(VLOOKUP(BI63,Кабель_обозначение,3,FALSE)=1,CF63&amp;" ("&amp;BJ63&amp;"х"&amp;BS63&amp;")",CF63),"")</f>
        <v>ВВГнг(А)-LS (5х1,5)</v>
      </c>
      <c r="CH63" t="str">
        <f t="shared" si="105"/>
        <v>ВВГнг(А)-LS (5х1,5)
L=19-0%</v>
      </c>
      <c r="CI63">
        <f>IFERROR(2*ρкз_Cu*BW63/BS63,"")</f>
        <v>0.66626666666666667</v>
      </c>
      <c r="CJ63">
        <f t="shared" si="106"/>
        <v>0.22166666666666668</v>
      </c>
      <c r="CK63" s="6" t="str">
        <f>IFERROR(IF(OR(D63="",NOT(ISNUMBER(BS63)),N(BW63)=0),"",_xlfn.XLOOKUP(A63,Щиты[Щит],Щиты[Zпетли на шинах, Ом])+CI63),"")</f>
        <v/>
      </c>
      <c r="CL63" s="6" t="str">
        <f>IF(ISNUMBER(CK63),c_min*(Uн_лин*1000/SQRT(3))/CK63,"")</f>
        <v/>
      </c>
      <c r="CM63" s="6" t="str">
        <f>IFERROR(IF(OR(D63="",NOT(ISNUMBER(BS63))),"",1.05*(Uн_лин*1000/SQRT(3))/(_xlfn.XLOOKUP(A63,Щиты[Щит],Щиты[Zmax на шинах, Ом])+CJ63)/1000),"")</f>
        <v/>
      </c>
      <c r="CN63" s="6" t="str">
        <f>IF(D63="","",IF(BA63&lt;&gt;"","Щит",IF(K63&lt;&gt;"",K63,IF(ISNUMBER(L63),"Сил",IF(IFERROR(_xlfn.XLOOKUP(AT63,Коды_код,Коды_группа)&amp;"","")="","Быт",_xlfn.XLOOKUP(AT63,Коды_код,Коды_группа)&amp;"")))))</f>
        <v>Быт</v>
      </c>
      <c r="CO63" s="6">
        <f>IF(CN63="Щит","щит",IF(CN63="","",IF(CN63="Быт",IFERROR(_xlfn.XLOOKUP(A63,Щиты[Щит],Щиты[Кс быт]),1),IF(CN63="Сил",IF(ISNUMBER(L63),L63,IF(Методика="нормы 2026",IFERROR(_xlfn.XLOOKUP(A63,Щиты[Щит],Щиты[Кс силовых (табл. 7.5)]),1),1)),IF(OR(CN63="Пост",CN63="Отоп"),1,IF(CN63="ВНГ",0.7,0))))))</f>
        <v>0.8</v>
      </c>
      <c r="CP63">
        <f t="shared" si="107"/>
        <v>1</v>
      </c>
      <c r="CQ63">
        <f t="shared" si="108"/>
        <v>0</v>
      </c>
      <c r="CR63">
        <f t="shared" si="109"/>
        <v>0</v>
      </c>
      <c r="CS63">
        <f t="shared" si="110"/>
        <v>0</v>
      </c>
      <c r="CT63">
        <f t="shared" si="111"/>
        <v>0</v>
      </c>
      <c r="CU63">
        <f t="shared" si="112"/>
        <v>0</v>
      </c>
      <c r="CV63">
        <f t="shared" si="113"/>
        <v>0</v>
      </c>
      <c r="CW63">
        <f t="shared" si="114"/>
        <v>0</v>
      </c>
      <c r="CX63">
        <f t="shared" si="115"/>
        <v>0</v>
      </c>
      <c r="CY63">
        <f t="shared" si="116"/>
        <v>3</v>
      </c>
      <c r="CZ63" t="str">
        <f t="shared" si="117"/>
        <v>L3</v>
      </c>
      <c r="DA63" cm="1">
        <f t="array" ref="DA63">IFERROR(IF(BL63=2,_xlfn.IFS(BH63=3,VLOOKUP(BF63,Справочная_двигатели,3,FALSE),BH63=1,VLOOKUP(BF63,Справочная_двигатели,5,TRUE)),0),0)</f>
        <v>0</v>
      </c>
      <c r="DB63">
        <f>IFERROR(IF(BL63=3,VLOOKUP(BF63,Справочная_ЛЭД,2,TRUE),0),0)</f>
        <v>0</v>
      </c>
      <c r="DC63" s="6">
        <f t="shared" si="118"/>
        <v>0</v>
      </c>
      <c r="DD63" t="str">
        <f t="shared" si="119"/>
        <v>L1</v>
      </c>
      <c r="DE63" t="str" cm="1">
        <f t="array" ref="DE63">IF(D63="","",IFERROR(INDEX({"I особая","I","II","III"},MATCH(TRIM(AA63&amp;""),{"I особая","I","II","III"},0)),"III"))</f>
        <v>III</v>
      </c>
      <c r="DF63" t="str">
        <f>IF(D63="","",IF(TRIM(AB63&amp;"")&lt;&gt;"",IF(LOWER(TRIM(AB63&amp;""))="да","да","нет"),IF(IFERROR(_xlfn.XLOOKUP(AT63,Коды_код,Коды_пожарная),"")="да","да","нет")))</f>
        <v>нет</v>
      </c>
      <c r="DG63" t="str">
        <f t="shared" si="120"/>
        <v/>
      </c>
      <c r="DH63" t="str">
        <f t="shared" si="121"/>
        <v>основная</v>
      </c>
      <c r="DI63">
        <f t="shared" si="122"/>
        <v>1</v>
      </c>
      <c r="DJ63" t="str" cm="1">
        <f t="array" ref="DJ63">IF(D63="","",_xlfn.LET(_xlpm.t,IFERROR(_xlfn.XLOOKUP(1,(Шины[Шина]=DH63)*(((Шины[Щит]=A63)+(Шины[Щит]=""))&gt;0),Шины[Тип]),"")&amp;"",IF(_xlpm.t&lt;&gt;"",_xlpm.t,IF(ISNUMBER(SEARCH("ИБП",DH63)),"ИБП",IF(ISNUMBER(SEARCH("ДГУ",DH63)),"ДГУ","Ввод "&amp;DI63)))))</f>
        <v>Ввод 1</v>
      </c>
      <c r="DK63" t="str">
        <f t="shared" si="123"/>
        <v>Ввод 1</v>
      </c>
      <c r="DL63" t="str">
        <f>IF(D63="","",IF(OR(DJ63="ИБП",DJ63="ДГУ"),"I особая",IF(DJ63="Одиночная","III",_xlfn.XLOOKUP(A63,Щиты[Щит],Щиты[Категория шины «Ввод»],"III"))))</f>
        <v>III</v>
      </c>
      <c r="DM63">
        <f>IF(D63="",0,IFERROR(MATCH(DE63,{"III","II","I","I особая"},0),1))</f>
        <v>1</v>
      </c>
      <c r="DN63">
        <f t="shared" si="124"/>
        <v>1</v>
      </c>
      <c r="DO63" t="str">
        <f>IF(D63="","",IF(DM63&gt;IFERROR(MATCH(DL63,{"III","II","I","I особая"},0),1),"НЕ ОБЕСПЕЧЕНА","ОК"))</f>
        <v>ОК</v>
      </c>
      <c r="DP63" t="str">
        <f>IF(A63="","",_xlfn.XLOOKUP(A63,Щиты[Щит],Щиты[Путь],""))</f>
        <v>|ЩР|</v>
      </c>
      <c r="DQ63" t="str">
        <f>IF(D63="","",IF(Z63&lt;&gt;"",Z63,IF(IFERROR(_xlfn.XLOOKUP(AT63,Коды_код,Коды_вид)&amp;"","")="","Прочее",_xlfn.XLOOKUP(AT63,Коды_код,Коды_вид)&amp;"")))</f>
        <v>Рабочее освещение</v>
      </c>
      <c r="DR63">
        <f>IF(BD63="","",INT((BD63-1)/Столбцов_на_лист)+1)</f>
        <v>4</v>
      </c>
      <c r="DS63" t="str">
        <f t="shared" si="125"/>
        <v>ВВГнг(А)-LS (5х1,5) L=19-0%</v>
      </c>
      <c r="DT63">
        <f t="shared" si="126"/>
        <v>0</v>
      </c>
      <c r="DU63">
        <f t="shared" si="127"/>
        <v>0</v>
      </c>
      <c r="DV63">
        <f t="shared" si="128"/>
        <v>1</v>
      </c>
      <c r="DW63">
        <f>IF(AT63="",0,_xlfn.LET(_xlpm.v,IFERROR(VLOOKUP(D63,УГО_спр,3,FALSE),IFERROR(VLOOKUP(AT63,УГО_спр,3,FALSE),IFERROR(VLOOKUP(LEFT(AT63,2),УГО_спр,3,FALSE),""))),IF(_xlpm.v="да",30,IF(ISNUMBER(_xlpm.v),_xlpm.v,0))))</f>
        <v>0</v>
      </c>
      <c r="DX63">
        <f t="shared" si="129"/>
        <v>0</v>
      </c>
      <c r="DY63">
        <f>IF(BD63="","",IF(AD63&lt;&gt;"",COUNTIFS(A$3:A63,A63,AD$3:AD63,"?*"),IF(OR(OR(AS63=1,A63&lt;&gt;A62),AL63="вручную"),"",IF(AS63=1,"",DZ62))))</f>
        <v>32</v>
      </c>
      <c r="DZ63">
        <f t="shared" si="130"/>
        <v>32</v>
      </c>
      <c r="EA63">
        <f>IF(D63="",0,MAX(IFERROR(--X63,0),IFERROR(--VLOOKUP(D63,УГО_спр,4,FALSE),IFERROR(--VLOOKUP(AT63,УГО_спр,4,FALSE),IFERROR(--VLOOKUP(LEFT(AT63,2),УГО_спр,4,FALSE),0)))))</f>
        <v>10</v>
      </c>
      <c r="EB63">
        <f>IF(D63="","",IFERROR(LOOKUP(INDEX(CHOOSE(BR63,Iдоп_1ж,Iдоп_2ж,Iдоп_3ж),MATCH(BS63,Iдоп_S,0))*BP63*BQ63,{6,10,16,20,25,32,40,50,63,80,100,125,160,200,250,315,400,500,630}),""))</f>
        <v>16</v>
      </c>
      <c r="EC63" t="str">
        <f>IF(AD63="","",SUMIFS(Линии[_Ток схемы],Линии[_гр.],DY63,Линии[Щит],A63,Линии[_в кабель выше],0))</f>
        <v/>
      </c>
      <c r="ED63" t="str">
        <f>IF(AD63="","",IFERROR(VLOOKUP(EC63,Автомат_номиналы,2,TRUE),""))</f>
        <v/>
      </c>
      <c r="EE63" t="str">
        <f>IF(AD63="","",MAX(N(ED63),_xlfn.MAXIFS(Линии[_мин. по типу],Линии[_гр.],DY63,Линии[Щит],A63)))</f>
        <v/>
      </c>
      <c r="EF63" t="str">
        <f>IF(AD63="","",_xlfn.MINIFS(Линии[_макс. автомат по кабелю],Линии[_гр.],DY63,Линии[Щит],A63))</f>
        <v/>
      </c>
      <c r="EG63" t="str">
        <f>IF(AD63="","",MAX(1,_xlfn.MAXIFS(Линии[_фаз],Линии[_гр.],DY63,Линии[Щит],A63)))</f>
        <v/>
      </c>
      <c r="EH63" t="str">
        <f>IF(AD63="","",IF(AND(AD63&lt;&gt;"авто",AD63&lt;&gt;"+"),IF(ISNUMBER(SEARCH("мА",AD63)),IFERROR(--TRIM(RIGHT(SUBSTITUTE(LEFT(AD63,SEARCH("мА",AD63)-1)," ",REPT(" ",9)),6)),30),0),IF(AE63="нет",0,IF(ISNUMBER(AE63),AE63,IF(AE63="да",30,_xlfn.MINIFS(Линии[_дифзащита по коду, мА],Линии[_гр.],DY63,Линии[Щит],A63,Линии[_дифзащита по коду, мА],"&gt;0"))))))</f>
        <v/>
      </c>
      <c r="EI63" t="str">
        <f t="shared" si="131"/>
        <v/>
      </c>
      <c r="EJ63" t="str">
        <f t="shared" si="132"/>
        <v/>
      </c>
      <c r="EK63" t="str">
        <f t="shared" si="133"/>
        <v>QF32</v>
      </c>
      <c r="EL63" t="str">
        <f t="shared" si="134"/>
        <v>МК-5-1</v>
      </c>
      <c r="EM63">
        <f t="shared" si="135"/>
        <v>0</v>
      </c>
      <c r="EN63" t="str">
        <f>IF(AD63="","",IF(EM63=1,MAX(EE63,Мин_автомат_БП),EE63))</f>
        <v/>
      </c>
      <c r="EO63" t="str">
        <f t="shared" si="136"/>
        <v/>
      </c>
      <c r="EP63" t="str">
        <f t="shared" si="137"/>
        <v/>
      </c>
      <c r="EQ63" t="str">
        <f t="shared" si="138"/>
        <v/>
      </c>
      <c r="ER63" t="str">
        <f>IF(OR(AI63="",AI63="-"),"",IFERROR(VLOOKUP(AI63,Модули_спр,2,FALSE),"R"))</f>
        <v/>
      </c>
      <c r="ES63" t="str">
        <f>IF(ER63="","",ER63&amp;"."&amp;COUNTIFS(A$3:A63,A63,ER$3:ER63,ER63))</f>
        <v/>
      </c>
      <c r="ET63" t="str">
        <f t="shared" si="139"/>
        <v/>
      </c>
      <c r="EU63" t="str">
        <f t="shared" si="140"/>
        <v/>
      </c>
      <c r="EV63" t="str">
        <f t="shared" si="141"/>
        <v/>
      </c>
      <c r="EW63" t="str">
        <f t="shared" si="142"/>
        <v/>
      </c>
      <c r="EX63">
        <f t="shared" si="143"/>
        <v>1</v>
      </c>
      <c r="EY63" t="str">
        <f>IF(AK63="нет","",IF(AK63&lt;&gt;"",AK63,IF(EX63=1,"XT"&amp;COUNTIFS(A$3:A63,A63,EX$3:EX63,1),"")))</f>
        <v>XT43</v>
      </c>
      <c r="EZ63" t="str">
        <f t="shared" si="144"/>
        <v>QF32</v>
      </c>
      <c r="FA63" t="str">
        <f t="shared" si="145"/>
        <v/>
      </c>
      <c r="FB63" t="str">
        <f t="shared" si="146"/>
        <v/>
      </c>
      <c r="FC63" t="str">
        <f>IF(OR(EV63="",ET63=""),"",IF(EV63&gt;IFERROR(VLOOKUP(EU63,Модули_спр,3,FALSE),99),"ЛИШНИЙ КАНАЛ",IF(AND(AJ63&lt;&gt;"=",COUNTIFS(Линии[_модуль гр.],ET63,Линии[Канал (итог)],EV63,Линии[Канал],"&lt;&gt;=",Линии[Щит],A63)&gt;1),"ДУБЛЬ КАНАЛА","")))</f>
        <v/>
      </c>
      <c r="FD63">
        <f t="shared" si="147"/>
        <v>10</v>
      </c>
      <c r="FE63" t="str">
        <f t="shared" si="148"/>
        <v>1P С10А</v>
      </c>
      <c r="FF63">
        <f t="shared" si="149"/>
        <v>0</v>
      </c>
      <c r="FG63">
        <f t="shared" si="150"/>
        <v>0</v>
      </c>
      <c r="FH63" s="6" t="str">
        <f t="shared" si="151"/>
        <v/>
      </c>
      <c r="FI63">
        <f t="shared" si="152"/>
        <v>10</v>
      </c>
      <c r="FJ63" t="str">
        <f t="shared" si="153"/>
        <v/>
      </c>
      <c r="FK63" t="str">
        <f>IF(AND(D63="",EZ63=""),"",_xlfn.TEXTJOIN("; ",TRUE,IF(AND(D63&lt;&gt;"",DD63=""),"нет фазы",""),IF(AND(D63&lt;&gt;"",N(DT63)=0,CN63&lt;&gt;"Нет"),"нет мощности",""),IF(AND(EY63&lt;&gt;"",COUNTIFS(Линии[Щит],A63,Линии[Клемма (итог)],EY63)&gt;1),"дубль клеммы "&amp;EY63,""),IF(AND(FB63&lt;&gt;"",FB63&lt;&gt;"ok"),FB63,""),IF(FC63&lt;&gt;"",FC63,""),IF(AND(ISNUMBER(SEARCH("(5х",DS63)),N(DV63)=1),"5 жил на 1 фазе",""),IF(AND(AT63="R",AD63&lt;&gt;"",OR(N(EH63)=0,N(EH63)&gt;30)),"розетка без дифзащиты до 30 мА",""),IFERROR(IF(AND(ISNUMBER(CD63),CD63&gt;CE63),"потери "&amp;FIXED(CD63,1)&amp;" % &gt; "&amp;CE63&amp;" %",""),""),IFERROR(IF(LEFT(FJ63,4)="мало","Iкз мало — отключение &gt; 0,4 с",""),""),IF(AND(D63&lt;&gt;"",BD63=""),"не на схеме","")))</f>
        <v>нет мощности; 5 жил на 1 фазе</v>
      </c>
      <c r="FL63" s="6" t="str">
        <f>IF(AD63="","",_xlfn.LET(_xlpm.t,IFERROR(_xlfn.XLOOKUP(EP63,Каталог!$U$4:$U$500,Каталог!$G$4:$G$500),""),_xlpm.k,SEARCH("кА",_xlpm.t),IFERROR(--TRIM(RIGHT(SUBSTITUTE(MID(_xlpm.t,MAX(1,_xlpm.k-4),_xlpm.k-MAX(1,_xlpm.k-4))," ",REPT(" ",9)),5)),"")))</f>
        <v/>
      </c>
      <c r="FM63" t="str">
        <f>IF(OR(FL63="",AD63=""),"",IF(_xlfn.XLOOKUP(A63,Щиты[Щит],Щиты[Iкз max на шинах, кА],"")="","",IF(FL63&lt;_xlfn.XLOOKUP(A63,Щиты[Щит],Щиты[Iкз max на шинах, кА]),"Icu "&amp;FL63&amp;" кА &lt; Iкз max","ok")))</f>
        <v/>
      </c>
      <c r="FN63" t="str">
        <f t="shared" si="154"/>
        <v>QF32|МК-5-1|XT43</v>
      </c>
      <c r="FO63" t="str">
        <f t="shared" si="155"/>
        <v>QF32|МК-5-1|XT43|кабель ВВГнг(А)-LS (5х1,5) → Группа освещения  Пом. №08</v>
      </c>
      <c r="FP63" t="str" cm="1">
        <f t="array" ref="FP63">IF(FO63="","",_xlfn.LET(_xlpm.nd,_xlfn.TEXTSPLIT(FO63,"|"),IF(COLUMNS(_xlpm.nd)&gt;1,A63&amp;"¦"&amp;INDEX(_xlpm.nd,1)&amp;"¦"&amp;INDEX(_xlpm.nd,2),"")))</f>
        <v>ЩР¦QF32¦МК-5-1</v>
      </c>
      <c r="FQ63" t="str">
        <f t="shared" si="156"/>
        <v>L.1.08.1¦Группа освещения  Пом. №08</v>
      </c>
      <c r="FR63" t="str" cm="1">
        <f t="array" ref="FR63">IF(FO63="","",_xlfn.LET(_xlpm.nd,_xlfn.TEXTSPLIT(FO63,"|"),IF(COLUMNS(_xlpm.nd)&gt;2,A63&amp;"¦"&amp;INDEX(_xlpm.nd,2)&amp;"¦"&amp;INDEX(_xlpm.nd,3),"")))</f>
        <v>ЩР¦МК-5-1¦XT43</v>
      </c>
      <c r="FS63" t="str">
        <f t="shared" si="157"/>
        <v>L.1.08.1¦Группа освещения  Пом. №08</v>
      </c>
      <c r="FT63" t="str" cm="1">
        <f t="array" ref="FT63">IF(FO63="","",_xlfn.LET(_xlpm.nd,_xlfn.TEXTSPLIT(FO63,"|"),IF(COLUMNS(_xlpm.nd)&gt;3,A63&amp;"¦"&amp;INDEX(_xlpm.nd,3)&amp;"¦"&amp;INDEX(_xlpm.nd,4),"")))</f>
        <v>ЩР¦XT43¦кабель ВВГнг(А)-LS (5х1,5) → Группа освещения  Пом. №08</v>
      </c>
      <c r="FU63" t="str">
        <f t="shared" si="158"/>
        <v>L.1.08.1¦Группа освещения  Пом. №08</v>
      </c>
      <c r="FV63" t="str" cm="1">
        <f t="array" ref="FV63">IF(FO63="","",_xlfn.LET(_xlpm.nd,_xlfn.TEXTSPLIT(FO63,"|"),IF(COLUMNS(_xlpm.nd)&gt;4,A63&amp;"¦"&amp;INDEX(_xlpm.nd,4)&amp;"¦"&amp;INDEX(_xlpm.nd,5),"")))</f>
        <v/>
      </c>
      <c r="FW63" t="str">
        <f t="shared" si="159"/>
        <v/>
      </c>
      <c r="FX63" t="str" cm="1">
        <f t="array" ref="FX63">IF(FO63="","",_xlfn.LET(_xlpm.nd,_xlfn.TEXTSPLIT(FO63,"|"),IF(COLUMNS(_xlpm.nd)&gt;5,A63&amp;"¦"&amp;INDEX(_xlpm.nd,5)&amp;"¦"&amp;INDEX(_xlpm.nd,6),"")))</f>
        <v/>
      </c>
      <c r="FY63" t="str">
        <f t="shared" si="160"/>
        <v/>
      </c>
      <c r="FZ63" t="str" cm="1">
        <f t="array" ref="FZ63">IF(FO63="","",_xlfn.LET(_xlpm.nd,_xlfn.TEXTSPLIT(FO63,"|"),IF(COLUMNS(_xlpm.nd)&gt;6,A63&amp;"¦"&amp;INDEX(_xlpm.nd,6)&amp;"¦"&amp;INDEX(_xlpm.nd,7),"")))</f>
        <v/>
      </c>
      <c r="GA63" t="str">
        <f t="shared" si="161"/>
        <v/>
      </c>
      <c r="GB63" t="str">
        <f t="shared" si="162"/>
        <v/>
      </c>
      <c r="GC63" t="str">
        <f t="shared" si="163"/>
        <v>QF32 → МК-5-1 → XT43</v>
      </c>
      <c r="GD63">
        <f t="shared" si="164"/>
        <v>1</v>
      </c>
      <c r="GE63">
        <f t="shared" si="165"/>
        <v>0</v>
      </c>
      <c r="GF63">
        <f t="shared" si="166"/>
        <v>0</v>
      </c>
      <c r="GG63" t="str">
        <f t="shared" si="167"/>
        <v/>
      </c>
      <c r="GH63" t="str">
        <f t="shared" si="168"/>
        <v/>
      </c>
      <c r="GI63" t="str">
        <f t="shared" si="169"/>
        <v/>
      </c>
      <c r="GJ63" t="str">
        <f t="shared" si="170"/>
        <v/>
      </c>
      <c r="GK63" t="str">
        <f>IF(D63="","",IFERROR(VLOOKUP(D63,УГО_спр,2,FALSE),IFERROR(VLOOKUP(AT63,УГО_спр,2,FALSE),IFERROR(VLOOKUP(LEFT(AT63,2),УГО_спр,2,FALSE),""))))</f>
        <v>Светильник</v>
      </c>
      <c r="GL63" t="str">
        <f>IF(D63="","",IF(OR(GK63="",GK63=0),"BOX",IFERROR(IF(VLOOKUP(GK63,УГО_блоки,3,FALSE)&amp;""&lt;&gt;"",VLOOKUP(GK63,УГО_блоки,3,FALSE),VLOOKUP(GK63,УГО_блоки,2,FALSE)),GK63)))</f>
        <v>LAMP</v>
      </c>
      <c r="GM63">
        <f t="shared" si="171"/>
        <v>1</v>
      </c>
      <c r="GN63" t="str">
        <f>IF(EP63="","",IF(COUNTIF(EP$3:EP63,EP63)=1,MAX(GN$2:GN62)+1,""))</f>
        <v/>
      </c>
      <c r="GO63" t="str">
        <f>IF(AF63="","",IF(COUNTIF(AF$3:AF63,AF63)+COUNTIF(AG$2:AG62,AF63)+COUNTIF(AH$2:AH62,AF63)=1,MAX(GO$2:GQ62)+1,""))</f>
        <v/>
      </c>
      <c r="GP63" t="str">
        <f>IF(AG63="","",IF(COUNTIF(AF$3:AF63,AG63)+COUNTIF(AG$3:AG63,AG63)+COUNTIF(AH$2:AH62,AG63)=1,MAX(GO$2:GQ62,GO63)+1,""))</f>
        <v/>
      </c>
      <c r="GQ63" t="str">
        <f>IF(AH63="","",IF(COUNTIF(AF$3:AF63,AH63)+COUNTIF(AG$3:AG63,AH63)+COUNTIF(AH$3:AH63,AH63)=1,MAX(GO$2:GQ62,GO63,GP63)+1,""))</f>
        <v/>
      </c>
      <c r="GR63" t="str">
        <f t="shared" si="172"/>
        <v>5х1,5</v>
      </c>
      <c r="GS63" t="str">
        <f>IF(GR63="","",IF(COUNTIF(GR$3:GR63,GR63)=1,MAX(GS$2:GS62)+1,""))</f>
        <v/>
      </c>
      <c r="GT63" t="str">
        <f>IF(ES63="","",COUNTIF(ES$3:ES63,"?*"))</f>
        <v/>
      </c>
      <c r="GU63" t="str">
        <f>IF(OR(ES63="",EU63=""),"",IF(COUNTIFS(ES$3:ES63,"?*",EU$3:EU63,EU63)=1,MAX(GU$2:GU62)+1,""))</f>
        <v/>
      </c>
      <c r="GV63">
        <f t="shared" si="173"/>
        <v>1</v>
      </c>
      <c r="GW63">
        <f>IF(D63="","",COUNTIF(D$3:D63,"?*"))</f>
        <v>43</v>
      </c>
      <c r="GX63">
        <f>IF(EX63&lt;&gt;1,0,_xlfn.LET(_xlpm.k,MAX(IFERROR(--VLOOKUP(D63,УГО_спр,5,FALSE),0),IFERROR(--VLOOKUP(AT63,УГО_спр,5,FALSE),0),IFERROR(--VLOOKUP(LEFT(AT63,2),УГО_спр,5,FALSE),0)),IF(_xlpm.k&gt;0,_xlpm.k,IF(IFERROR(--LEFT(SUBSTITUTE(GR63,"x","х"),FIND("х",SUBSTITUTE(GR63,"x","х"))-1),3)&gt;3,Каталог!$S$9,1))))</f>
        <v>1</v>
      </c>
      <c r="GY63">
        <f t="shared" si="174"/>
        <v>2</v>
      </c>
    </row>
    <row r="64" spans="1:207" x14ac:dyDescent="0.3">
      <c r="A64" t="s">
        <v>206</v>
      </c>
      <c r="B64">
        <v>66</v>
      </c>
      <c r="C64" t="str">
        <f>IF(BD64="","",IF(BE64="вводной узел","узел ","")&amp;"л."&amp;(INT((BD64-1)/Столбцов_на_лист)+1)&amp;" / "&amp;(MOD(BD64-1,Столбцов_на_лист)+1))</f>
        <v>л.4 / 15</v>
      </c>
      <c r="D64" t="s">
        <v>722</v>
      </c>
      <c r="E64" s="133" t="str">
        <f t="shared" si="175"/>
        <v>Группа освещения  Пом. №10</v>
      </c>
      <c r="H64">
        <v>8</v>
      </c>
      <c r="O64">
        <v>2</v>
      </c>
      <c r="T64">
        <v>2</v>
      </c>
      <c r="V64">
        <v>5</v>
      </c>
      <c r="AM64">
        <v>9.34</v>
      </c>
      <c r="AN64">
        <v>11.76</v>
      </c>
      <c r="AO64" t="s">
        <v>723</v>
      </c>
      <c r="AQ64" t="s">
        <v>232</v>
      </c>
      <c r="AR64" t="str">
        <f t="shared" si="88"/>
        <v>нет мощности; 5 жил на 1 фазе</v>
      </c>
      <c r="AS64" cm="1">
        <f t="array" ref="AS64">ROW()-ROW(Линии[#Headers])</f>
        <v>62</v>
      </c>
      <c r="AT64" s="6" t="str">
        <f t="shared" si="89"/>
        <v>L</v>
      </c>
      <c r="AU64" t="str">
        <f t="shared" si="90"/>
        <v>1.10.1</v>
      </c>
      <c r="AV64" t="str">
        <f t="shared" si="91"/>
        <v>1</v>
      </c>
      <c r="AW64" t="str">
        <f t="shared" si="92"/>
        <v>10.1</v>
      </c>
      <c r="AX64" t="str">
        <f t="shared" si="93"/>
        <v>10</v>
      </c>
      <c r="AY64" t="str">
        <f>IF(D64="","",IF(ISERROR(SEARCH(".",D64)),IFERROR(VLOOKUP(D64,Потребители_обозначение,2,FALSE)&amp;"",""),IFERROR(IF(VLOOKUP(AT64,Потребители_обозначение,4,FALSE)=1,VLOOKUP(AT64,Потребители_обозначение,2,FALSE)&amp;" "&amp;VLOOKUP(AV64,Этаж_обозначение,2,FALSE)&amp;" Пом. №"&amp;AX64,VLOOKUP(AT64,Потребители_обозначение,2,FALSE)&amp;" Шлейф №"&amp;AV64),IFERROR(VLOOKUP(D64,Потребители_обозначение,2,FALSE),""))))</f>
        <v>Группа освещения  Пом. №10</v>
      </c>
      <c r="AZ64" t="str">
        <f t="shared" si="94"/>
        <v>Группа освещения  Пом. №10</v>
      </c>
      <c r="BA64" t="str">
        <f>IF(F64&lt;&gt;"",F64,IF(AND(D64&lt;&gt;"",D64&lt;&gt;A64,ISNUMBER(_xlfn.XMATCH(D64,Щиты[Щит]))),D64,""))</f>
        <v/>
      </c>
      <c r="BB64">
        <f>IFERROR(_xlfn.XMATCH(A64,Щиты[Щит]),0)</f>
        <v>1</v>
      </c>
      <c r="BC64">
        <f>IFERROR(N(_xlfn.XLOOKUP(A64,Щиты[Щит],Щиты[Мест под вводной узел])),15)</f>
        <v>18</v>
      </c>
      <c r="BD64">
        <f t="shared" si="95"/>
        <v>66</v>
      </c>
      <c r="BE64" t="str">
        <f t="shared" si="96"/>
        <v>линии</v>
      </c>
      <c r="BF64" s="6">
        <f>IF(D64="","",IF(BA64&lt;&gt;"",IFERROR(_xlfn.XLOOKUP(BA64,Щиты[Щит],Щиты[Руст, кВт]),0),N(G64)))</f>
        <v>0</v>
      </c>
      <c r="BG64">
        <f>IF(J64&lt;&gt;"",J64,IF(D64="","",IFERROR(IF(VLOOKUP(AT64,Потребители_обозначение,8,FALSE)=0,"",VLOOKUP(AT64,Потребители_обозначение,8,FALSE)),"")))</f>
        <v>230</v>
      </c>
      <c r="BH64">
        <f>IF(I64&lt;&gt;"",I64,IF(D64="","",IFERROR(IF(VLOOKUP(AT64,Потребители_обозначение,9,FALSE)=0,"",VLOOKUP(AT64,Потребители_обозначение,9,FALSE)),"")))</f>
        <v>1</v>
      </c>
      <c r="BI64" t="str">
        <f>IF(U64&lt;&gt;"",U64,IF(D64="","",IFERROR(IF(VLOOKUP(AT64,Потребители_обозначение,6,FALSE)=0,"",VLOOKUP(AT64,Потребители_обозначение,6,FALSE)),"")))</f>
        <v>мс</v>
      </c>
      <c r="BJ64">
        <f>IF(V64&lt;&gt;"",V64,IF(D64="","",IFERROR(IF(VLOOKUP(AT64,Потребители_обозначение,7,FALSE)=0,"",VLOOKUP(AT64,Потребители_обозначение,7,FALSE)),"")))</f>
        <v>5</v>
      </c>
      <c r="BK64">
        <f>IF(W64&lt;&gt;"",W64,IF(D64="","",IFERROR(IF(VLOOKUP(AT64,Потребители_обозначение,10,FALSE)=0,"",VLOOKUP(AT64,Потребители_обозначение,10,FALSE)),"")))</f>
        <v>1.5</v>
      </c>
      <c r="BL64">
        <f>IFERROR(VLOOKUP(AT64,Потребители_обозначение,5,FALSE),0)</f>
        <v>1</v>
      </c>
      <c r="BM64" s="6" cm="1">
        <f t="array" ref="BM64">IF(D64="","",IF(BA64&lt;&gt;"",IFERROR(_xlfn.XLOOKUP(BA64,Щиты[Щит],Щиты[cos φ]),0.95),IF(ISNUMBER(M64),M64,IFERROR(IF(BL64=2,_xlfn.IFS(BH64=3,VLOOKUP(BF64,Справочная_двигатели,8,FALSE),BH64=1,VLOOKUP(BF64,Справочная_двигатели,10,TRUE)),IF(AND(Методика="нормы 2026",CN64="Сил"),0.8,0.95)),0.95))))</f>
        <v>0.95</v>
      </c>
      <c r="BN64" s="6" cm="1">
        <f t="array" ref="BN64">IF(D64="","",IF(BA64&lt;&gt;"",IFERROR(_xlfn.XLOOKUP(BA64,Щиты[Щит],Щиты[Iр, А]),""),IFERROR(_xlfn.IFS(BH64=1,BF64/((Uн_лин/SQRT(3))*BM64),BH64=3,BF64/(SQRT(3)*Uн_лин*BM64)),"")))</f>
        <v>0</v>
      </c>
      <c r="BO64">
        <f>IF(D64="","",IF(N(X64)=0,IFERROR(VLOOKUP(BN64,Автомат_номиналы,2,TRUE),""),X64))</f>
        <v>6</v>
      </c>
      <c r="BP64">
        <f t="shared" si="97"/>
        <v>1</v>
      </c>
      <c r="BQ64">
        <f>IF(ISNUMBER(Y64),Y64,К_прокл)</f>
        <v>1</v>
      </c>
      <c r="BR64">
        <f t="shared" si="98"/>
        <v>2</v>
      </c>
      <c r="BS64" cm="1">
        <f t="array" ref="BS64">IF(D64="","",IF(N(BK64)&lt;&gt;0,BK64,IFERROR(_xlfn.LET(_xlpm.need,BO64/(BP64*BQ64),_xlpm.t,CHOOSE(BR64,Iдоп_1ж,Iдоп_2ж,Iдоп_3ж),_xlpm.k,_xlfn.XMATCH(_xlpm.need,_xlpm.t,1),IF(ISNA(_xlpm.k),"Не исп",INDEX(Iдоп_S,_xlpm.k))),"Не исп")))</f>
        <v>1.5</v>
      </c>
      <c r="BT64">
        <f>IFERROR(VLOOKUP(BS64,Кабель_сопротивление,3,FALSE),"")</f>
        <v>2.2499999999999999E-2</v>
      </c>
      <c r="BU64">
        <f>IFERROR(VLOOKUP(BS64,Кабель_сопротивление,2,FALSE),"")</f>
        <v>0.11</v>
      </c>
      <c r="BV64">
        <f t="shared" si="99"/>
        <v>22</v>
      </c>
      <c r="BW64" s="6">
        <f>IF(D64="","",IFERROR(IF(VLOOKUP(AT64,Потребители_обозначение,4,FALSE)=1,VLOOKUP(AT64,Потребители_обозначение,3,FALSE)*(H64*2-1)+BV64+VLOOKUP(AV64,Этаж_обозначение,3,FALSE)+VLOOKUP(AV64,Этаж_обозначение,4,FALSE),VLOOKUP(AT64,Потребители_обозначение,3,FALSE)*(H64*2-1)+BV64),BV64))</f>
        <v>37</v>
      </c>
      <c r="BX64">
        <f t="shared" si="100"/>
        <v>10</v>
      </c>
      <c r="BY64">
        <f t="shared" si="101"/>
        <v>23</v>
      </c>
      <c r="BZ64">
        <f t="shared" si="102"/>
        <v>2</v>
      </c>
      <c r="CA64">
        <f t="shared" si="103"/>
        <v>0.31</v>
      </c>
      <c r="CB64">
        <f t="shared" si="104"/>
        <v>0</v>
      </c>
      <c r="CC64" s="6">
        <f>IFERROR(ROUNDUP(CB64/((Uн_лин/SQRT(3))*1000)*100,2),"")</f>
        <v>0</v>
      </c>
      <c r="CD64" s="6">
        <f>IF(ISNUMBER(CC64),CC64+IFERROR(_xlfn.XLOOKUP(A64,Щиты[Щит],Щиты[ΔU до шин, %]),0),"")</f>
        <v>0</v>
      </c>
      <c r="CE64" s="6">
        <f>IF(D64="","",IF(IFERROR(VLOOKUP(AT64,УГО_спр,2,FALSE),"")="Светильник",3,4)+IF(Методика="нормы 2026",MIN(0.5,MAX(0,N(BW64)-100)*0.005),0))</f>
        <v>3</v>
      </c>
      <c r="CF64" t="str">
        <f>IFERROR(VLOOKUP(BI64,Кабель_обозначение,2,FALSE),"")</f>
        <v>ВВГнг(А)-LS</v>
      </c>
      <c r="CG64" t="str">
        <f>IFERROR(IF(VLOOKUP(BI64,Кабель_обозначение,3,FALSE)=1,CF64&amp;" ("&amp;BJ64&amp;"х"&amp;BS64&amp;")",CF64),"")</f>
        <v>ВВГнг(А)-LS (5х1,5)</v>
      </c>
      <c r="CH64" t="str">
        <f t="shared" si="105"/>
        <v>ВВГнг(А)-LS (5х1,5)
L=37-0%</v>
      </c>
      <c r="CI64">
        <f>IFERROR(2*ρкз_Cu*BW64/BS64,"")</f>
        <v>1.2974666666666665</v>
      </c>
      <c r="CJ64">
        <f t="shared" si="106"/>
        <v>0.4316666666666667</v>
      </c>
      <c r="CK64" s="6" t="str">
        <f>IFERROR(IF(OR(D64="",NOT(ISNUMBER(BS64)),N(BW64)=0),"",_xlfn.XLOOKUP(A64,Щиты[Щит],Щиты[Zпетли на шинах, Ом])+CI64),"")</f>
        <v/>
      </c>
      <c r="CL64" s="6" t="str">
        <f>IF(ISNUMBER(CK64),c_min*(Uн_лин*1000/SQRT(3))/CK64,"")</f>
        <v/>
      </c>
      <c r="CM64" s="6" t="str">
        <f>IFERROR(IF(OR(D64="",NOT(ISNUMBER(BS64))),"",1.05*(Uн_лин*1000/SQRT(3))/(_xlfn.XLOOKUP(A64,Щиты[Щит],Щиты[Zmax на шинах, Ом])+CJ64)/1000),"")</f>
        <v/>
      </c>
      <c r="CN64" s="6" t="str">
        <f>IF(D64="","",IF(BA64&lt;&gt;"","Щит",IF(K64&lt;&gt;"",K64,IF(ISNUMBER(L64),"Сил",IF(IFERROR(_xlfn.XLOOKUP(AT64,Коды_код,Коды_группа)&amp;"","")="","Быт",_xlfn.XLOOKUP(AT64,Коды_код,Коды_группа)&amp;"")))))</f>
        <v>Быт</v>
      </c>
      <c r="CO64" s="6">
        <f>IF(CN64="Щит","щит",IF(CN64="","",IF(CN64="Быт",IFERROR(_xlfn.XLOOKUP(A64,Щиты[Щит],Щиты[Кс быт]),1),IF(CN64="Сил",IF(ISNUMBER(L64),L64,IF(Методика="нормы 2026",IFERROR(_xlfn.XLOOKUP(A64,Щиты[Щит],Щиты[Кс силовых (табл. 7.5)]),1),1)),IF(OR(CN64="Пост",CN64="Отоп"),1,IF(CN64="ВНГ",0.7,0))))))</f>
        <v>0.8</v>
      </c>
      <c r="CP64">
        <f t="shared" si="107"/>
        <v>1</v>
      </c>
      <c r="CQ64">
        <f t="shared" si="108"/>
        <v>0</v>
      </c>
      <c r="CR64">
        <f t="shared" si="109"/>
        <v>0</v>
      </c>
      <c r="CS64">
        <f t="shared" si="110"/>
        <v>0</v>
      </c>
      <c r="CT64">
        <f t="shared" si="111"/>
        <v>0</v>
      </c>
      <c r="CU64">
        <f t="shared" si="112"/>
        <v>0</v>
      </c>
      <c r="CV64">
        <f t="shared" si="113"/>
        <v>0</v>
      </c>
      <c r="CW64">
        <f t="shared" si="114"/>
        <v>0</v>
      </c>
      <c r="CX64">
        <f t="shared" si="115"/>
        <v>0</v>
      </c>
      <c r="CY64">
        <f t="shared" si="116"/>
        <v>1</v>
      </c>
      <c r="CZ64" t="str">
        <f t="shared" si="117"/>
        <v>L1</v>
      </c>
      <c r="DA64" cm="1">
        <f t="array" ref="DA64">IFERROR(IF(BL64=2,_xlfn.IFS(BH64=3,VLOOKUP(BF64,Справочная_двигатели,3,FALSE),BH64=1,VLOOKUP(BF64,Справочная_двигатели,5,TRUE)),0),0)</f>
        <v>0</v>
      </c>
      <c r="DB64">
        <f>IFERROR(IF(BL64=3,VLOOKUP(BF64,Справочная_ЛЭД,2,TRUE),0),0)</f>
        <v>0</v>
      </c>
      <c r="DC64" s="6">
        <f t="shared" si="118"/>
        <v>0</v>
      </c>
      <c r="DD64" t="str">
        <f t="shared" si="119"/>
        <v>L2</v>
      </c>
      <c r="DE64" t="str" cm="1">
        <f t="array" ref="DE64">IF(D64="","",IFERROR(INDEX({"I особая","I","II","III"},MATCH(TRIM(AA64&amp;""),{"I особая","I","II","III"},0)),"III"))</f>
        <v>III</v>
      </c>
      <c r="DF64" t="str">
        <f>IF(D64="","",IF(TRIM(AB64&amp;"")&lt;&gt;"",IF(LOWER(TRIM(AB64&amp;""))="да","да","нет"),IF(IFERROR(_xlfn.XLOOKUP(AT64,Коды_код,Коды_пожарная),"")="да","да","нет")))</f>
        <v>нет</v>
      </c>
      <c r="DG64" t="str">
        <f t="shared" si="120"/>
        <v/>
      </c>
      <c r="DH64" t="str">
        <f t="shared" si="121"/>
        <v>основная</v>
      </c>
      <c r="DI64">
        <f t="shared" si="122"/>
        <v>1</v>
      </c>
      <c r="DJ64" t="str" cm="1">
        <f t="array" ref="DJ64">IF(D64="","",_xlfn.LET(_xlpm.t,IFERROR(_xlfn.XLOOKUP(1,(Шины[Шина]=DH64)*(((Шины[Щит]=A64)+(Шины[Щит]=""))&gt;0),Шины[Тип]),"")&amp;"",IF(_xlpm.t&lt;&gt;"",_xlpm.t,IF(ISNUMBER(SEARCH("ИБП",DH64)),"ИБП",IF(ISNUMBER(SEARCH("ДГУ",DH64)),"ДГУ","Ввод "&amp;DI64)))))</f>
        <v>Ввод 1</v>
      </c>
      <c r="DK64" t="str">
        <f t="shared" si="123"/>
        <v>Ввод 1</v>
      </c>
      <c r="DL64" t="str">
        <f>IF(D64="","",IF(OR(DJ64="ИБП",DJ64="ДГУ"),"I особая",IF(DJ64="Одиночная","III",_xlfn.XLOOKUP(A64,Щиты[Щит],Щиты[Категория шины «Ввод»],"III"))))</f>
        <v>III</v>
      </c>
      <c r="DM64">
        <f>IF(D64="",0,IFERROR(MATCH(DE64,{"III","II","I","I особая"},0),1))</f>
        <v>1</v>
      </c>
      <c r="DN64">
        <f t="shared" si="124"/>
        <v>1</v>
      </c>
      <c r="DO64" t="str">
        <f>IF(D64="","",IF(DM64&gt;IFERROR(MATCH(DL64,{"III","II","I","I особая"},0),1),"НЕ ОБЕСПЕЧЕНА","ОК"))</f>
        <v>ОК</v>
      </c>
      <c r="DP64" t="str">
        <f>IF(A64="","",_xlfn.XLOOKUP(A64,Щиты[Щит],Щиты[Путь],""))</f>
        <v>|ЩР|</v>
      </c>
      <c r="DQ64" t="str">
        <f>IF(D64="","",IF(Z64&lt;&gt;"",Z64,IF(IFERROR(_xlfn.XLOOKUP(AT64,Коды_код,Коды_вид)&amp;"","")="","Прочее",_xlfn.XLOOKUP(AT64,Коды_код,Коды_вид)&amp;"")))</f>
        <v>Рабочее освещение</v>
      </c>
      <c r="DR64">
        <f>IF(BD64="","",INT((BD64-1)/Столбцов_на_лист)+1)</f>
        <v>4</v>
      </c>
      <c r="DS64" t="str">
        <f t="shared" si="125"/>
        <v>ВВГнг(А)-LS (5х1,5) L=37-0%</v>
      </c>
      <c r="DT64">
        <f t="shared" si="126"/>
        <v>0</v>
      </c>
      <c r="DU64">
        <f t="shared" si="127"/>
        <v>0</v>
      </c>
      <c r="DV64">
        <f t="shared" si="128"/>
        <v>1</v>
      </c>
      <c r="DW64">
        <f>IF(AT64="",0,_xlfn.LET(_xlpm.v,IFERROR(VLOOKUP(D64,УГО_спр,3,FALSE),IFERROR(VLOOKUP(AT64,УГО_спр,3,FALSE),IFERROR(VLOOKUP(LEFT(AT64,2),УГО_спр,3,FALSE),""))),IF(_xlpm.v="да",30,IF(ISNUMBER(_xlpm.v),_xlpm.v,0))))</f>
        <v>0</v>
      </c>
      <c r="DX64">
        <f t="shared" si="129"/>
        <v>0</v>
      </c>
      <c r="DY64">
        <f>IF(BD64="","",IF(AD64&lt;&gt;"",COUNTIFS(A$3:A64,A64,AD$3:AD64,"?*"),IF(OR(OR(AS64=1,A64&lt;&gt;A63),AL64="вручную"),"",IF(AS64=1,"",DZ63))))</f>
        <v>32</v>
      </c>
      <c r="DZ64">
        <f t="shared" si="130"/>
        <v>32</v>
      </c>
      <c r="EA64">
        <f>IF(D64="",0,MAX(IFERROR(--X64,0),IFERROR(--VLOOKUP(D64,УГО_спр,4,FALSE),IFERROR(--VLOOKUP(AT64,УГО_спр,4,FALSE),IFERROR(--VLOOKUP(LEFT(AT64,2),УГО_спр,4,FALSE),0)))))</f>
        <v>10</v>
      </c>
      <c r="EB64">
        <f>IF(D64="","",IFERROR(LOOKUP(INDEX(CHOOSE(BR64,Iдоп_1ж,Iдоп_2ж,Iдоп_3ж),MATCH(BS64,Iдоп_S,0))*BP64*BQ64,{6,10,16,20,25,32,40,50,63,80,100,125,160,200,250,315,400,500,630}),""))</f>
        <v>16</v>
      </c>
      <c r="EC64" t="str">
        <f>IF(AD64="","",SUMIFS(Линии[_Ток схемы],Линии[_гр.],DY64,Линии[Щит],A64,Линии[_в кабель выше],0))</f>
        <v/>
      </c>
      <c r="ED64" t="str">
        <f>IF(AD64="","",IFERROR(VLOOKUP(EC64,Автомат_номиналы,2,TRUE),""))</f>
        <v/>
      </c>
      <c r="EE64" t="str">
        <f>IF(AD64="","",MAX(N(ED64),_xlfn.MAXIFS(Линии[_мин. по типу],Линии[_гр.],DY64,Линии[Щит],A64)))</f>
        <v/>
      </c>
      <c r="EF64" t="str">
        <f>IF(AD64="","",_xlfn.MINIFS(Линии[_макс. автомат по кабелю],Линии[_гр.],DY64,Линии[Щит],A64))</f>
        <v/>
      </c>
      <c r="EG64" t="str">
        <f>IF(AD64="","",MAX(1,_xlfn.MAXIFS(Линии[_фаз],Линии[_гр.],DY64,Линии[Щит],A64)))</f>
        <v/>
      </c>
      <c r="EH64" t="str">
        <f>IF(AD64="","",IF(AND(AD64&lt;&gt;"авто",AD64&lt;&gt;"+"),IF(ISNUMBER(SEARCH("мА",AD64)),IFERROR(--TRIM(RIGHT(SUBSTITUTE(LEFT(AD64,SEARCH("мА",AD64)-1)," ",REPT(" ",9)),6)),30),0),IF(AE64="нет",0,IF(ISNUMBER(AE64),AE64,IF(AE64="да",30,_xlfn.MINIFS(Линии[_дифзащита по коду, мА],Линии[_гр.],DY64,Линии[Щит],A64,Линии[_дифзащита по коду, мА],"&gt;0"))))))</f>
        <v/>
      </c>
      <c r="EI64" t="str">
        <f t="shared" si="131"/>
        <v/>
      </c>
      <c r="EJ64" t="str">
        <f t="shared" si="132"/>
        <v/>
      </c>
      <c r="EK64" t="str">
        <f t="shared" si="133"/>
        <v>QF32</v>
      </c>
      <c r="EL64" t="str">
        <f t="shared" si="134"/>
        <v>МК-5-1</v>
      </c>
      <c r="EM64">
        <f t="shared" si="135"/>
        <v>0</v>
      </c>
      <c r="EN64" t="str">
        <f>IF(AD64="","",IF(EM64=1,MAX(EE64,Мин_автомат_БП),EE64))</f>
        <v/>
      </c>
      <c r="EO64" t="str">
        <f t="shared" si="136"/>
        <v/>
      </c>
      <c r="EP64" t="str">
        <f t="shared" si="137"/>
        <v/>
      </c>
      <c r="EQ64" t="str">
        <f t="shared" si="138"/>
        <v/>
      </c>
      <c r="ER64" t="str">
        <f>IF(OR(AI64="",AI64="-"),"",IFERROR(VLOOKUP(AI64,Модули_спр,2,FALSE),"R"))</f>
        <v/>
      </c>
      <c r="ES64" t="str">
        <f>IF(ER64="","",ER64&amp;"."&amp;COUNTIFS(A$3:A64,A64,ER$3:ER64,ER64))</f>
        <v/>
      </c>
      <c r="ET64" t="str">
        <f t="shared" si="139"/>
        <v/>
      </c>
      <c r="EU64" t="str">
        <f t="shared" si="140"/>
        <v/>
      </c>
      <c r="EV64" t="str">
        <f t="shared" si="141"/>
        <v/>
      </c>
      <c r="EW64" t="str">
        <f t="shared" si="142"/>
        <v/>
      </c>
      <c r="EX64">
        <f t="shared" si="143"/>
        <v>1</v>
      </c>
      <c r="EY64" t="str">
        <f>IF(AK64="нет","",IF(AK64&lt;&gt;"",AK64,IF(EX64=1,"XT"&amp;COUNTIFS(A$3:A64,A64,EX$3:EX64,1),"")))</f>
        <v>XT44</v>
      </c>
      <c r="EZ64" t="str">
        <f t="shared" si="144"/>
        <v>QF32</v>
      </c>
      <c r="FA64" t="str">
        <f t="shared" si="145"/>
        <v/>
      </c>
      <c r="FB64" t="str">
        <f t="shared" si="146"/>
        <v/>
      </c>
      <c r="FC64" t="str">
        <f>IF(OR(EV64="",ET64=""),"",IF(EV64&gt;IFERROR(VLOOKUP(EU64,Модули_спр,3,FALSE),99),"ЛИШНИЙ КАНАЛ",IF(AND(AJ64&lt;&gt;"=",COUNTIFS(Линии[_модуль гр.],ET64,Линии[Канал (итог)],EV64,Линии[Канал],"&lt;&gt;=",Линии[Щит],A64)&gt;1),"ДУБЛЬ КАНАЛА","")))</f>
        <v/>
      </c>
      <c r="FD64">
        <f t="shared" si="147"/>
        <v>10</v>
      </c>
      <c r="FE64" t="str">
        <f t="shared" si="148"/>
        <v>1P С10А</v>
      </c>
      <c r="FF64">
        <f t="shared" si="149"/>
        <v>0</v>
      </c>
      <c r="FG64">
        <f t="shared" si="150"/>
        <v>0</v>
      </c>
      <c r="FH64" s="6" t="str">
        <f t="shared" si="151"/>
        <v/>
      </c>
      <c r="FI64">
        <f t="shared" si="152"/>
        <v>10</v>
      </c>
      <c r="FJ64" t="str">
        <f t="shared" si="153"/>
        <v/>
      </c>
      <c r="FK64" t="str">
        <f>IF(AND(D64="",EZ64=""),"",_xlfn.TEXTJOIN("; ",TRUE,IF(AND(D64&lt;&gt;"",DD64=""),"нет фазы",""),IF(AND(D64&lt;&gt;"",N(DT64)=0,CN64&lt;&gt;"Нет"),"нет мощности",""),IF(AND(EY64&lt;&gt;"",COUNTIFS(Линии[Щит],A64,Линии[Клемма (итог)],EY64)&gt;1),"дубль клеммы "&amp;EY64,""),IF(AND(FB64&lt;&gt;"",FB64&lt;&gt;"ok"),FB64,""),IF(FC64&lt;&gt;"",FC64,""),IF(AND(ISNUMBER(SEARCH("(5х",DS64)),N(DV64)=1),"5 жил на 1 фазе",""),IF(AND(AT64="R",AD64&lt;&gt;"",OR(N(EH64)=0,N(EH64)&gt;30)),"розетка без дифзащиты до 30 мА",""),IFERROR(IF(AND(ISNUMBER(CD64),CD64&gt;CE64),"потери "&amp;FIXED(CD64,1)&amp;" % &gt; "&amp;CE64&amp;" %",""),""),IFERROR(IF(LEFT(FJ64,4)="мало","Iкз мало — отключение &gt; 0,4 с",""),""),IF(AND(D64&lt;&gt;"",BD64=""),"не на схеме","")))</f>
        <v>нет мощности; 5 жил на 1 фазе</v>
      </c>
      <c r="FL64" s="6" t="str">
        <f>IF(AD64="","",_xlfn.LET(_xlpm.t,IFERROR(_xlfn.XLOOKUP(EP64,Каталог!$U$4:$U$500,Каталог!$G$4:$G$500),""),_xlpm.k,SEARCH("кА",_xlpm.t),IFERROR(--TRIM(RIGHT(SUBSTITUTE(MID(_xlpm.t,MAX(1,_xlpm.k-4),_xlpm.k-MAX(1,_xlpm.k-4))," ",REPT(" ",9)),5)),"")))</f>
        <v/>
      </c>
      <c r="FM64" t="str">
        <f>IF(OR(FL64="",AD64=""),"",IF(_xlfn.XLOOKUP(A64,Щиты[Щит],Щиты[Iкз max на шинах, кА],"")="","",IF(FL64&lt;_xlfn.XLOOKUP(A64,Щиты[Щит],Щиты[Iкз max на шинах, кА]),"Icu "&amp;FL64&amp;" кА &lt; Iкз max","ok")))</f>
        <v/>
      </c>
      <c r="FN64" t="str">
        <f t="shared" si="154"/>
        <v>QF32|МК-5-1|XT44</v>
      </c>
      <c r="FO64" t="str">
        <f t="shared" si="155"/>
        <v>QF32|МК-5-1|XT44|кабель ВВГнг(А)-LS (5х1,5) → Группа освещения  Пом. №10</v>
      </c>
      <c r="FP64" t="str" cm="1">
        <f t="array" ref="FP64">IF(FO64="","",_xlfn.LET(_xlpm.nd,_xlfn.TEXTSPLIT(FO64,"|"),IF(COLUMNS(_xlpm.nd)&gt;1,A64&amp;"¦"&amp;INDEX(_xlpm.nd,1)&amp;"¦"&amp;INDEX(_xlpm.nd,2),"")))</f>
        <v>ЩР¦QF32¦МК-5-1</v>
      </c>
      <c r="FQ64" t="str">
        <f t="shared" si="156"/>
        <v>L.1.10.1¦Группа освещения  Пом. №10</v>
      </c>
      <c r="FR64" t="str" cm="1">
        <f t="array" ref="FR64">IF(FO64="","",_xlfn.LET(_xlpm.nd,_xlfn.TEXTSPLIT(FO64,"|"),IF(COLUMNS(_xlpm.nd)&gt;2,A64&amp;"¦"&amp;INDEX(_xlpm.nd,2)&amp;"¦"&amp;INDEX(_xlpm.nd,3),"")))</f>
        <v>ЩР¦МК-5-1¦XT44</v>
      </c>
      <c r="FS64" t="str">
        <f t="shared" si="157"/>
        <v>L.1.10.1¦Группа освещения  Пом. №10</v>
      </c>
      <c r="FT64" t="str" cm="1">
        <f t="array" ref="FT64">IF(FO64="","",_xlfn.LET(_xlpm.nd,_xlfn.TEXTSPLIT(FO64,"|"),IF(COLUMNS(_xlpm.nd)&gt;3,A64&amp;"¦"&amp;INDEX(_xlpm.nd,3)&amp;"¦"&amp;INDEX(_xlpm.nd,4),"")))</f>
        <v>ЩР¦XT44¦кабель ВВГнг(А)-LS (5х1,5) → Группа освещения  Пом. №10</v>
      </c>
      <c r="FU64" t="str">
        <f t="shared" si="158"/>
        <v>L.1.10.1¦Группа освещения  Пом. №10</v>
      </c>
      <c r="FV64" t="str" cm="1">
        <f t="array" ref="FV64">IF(FO64="","",_xlfn.LET(_xlpm.nd,_xlfn.TEXTSPLIT(FO64,"|"),IF(COLUMNS(_xlpm.nd)&gt;4,A64&amp;"¦"&amp;INDEX(_xlpm.nd,4)&amp;"¦"&amp;INDEX(_xlpm.nd,5),"")))</f>
        <v/>
      </c>
      <c r="FW64" t="str">
        <f t="shared" si="159"/>
        <v/>
      </c>
      <c r="FX64" t="str" cm="1">
        <f t="array" ref="FX64">IF(FO64="","",_xlfn.LET(_xlpm.nd,_xlfn.TEXTSPLIT(FO64,"|"),IF(COLUMNS(_xlpm.nd)&gt;5,A64&amp;"¦"&amp;INDEX(_xlpm.nd,5)&amp;"¦"&amp;INDEX(_xlpm.nd,6),"")))</f>
        <v/>
      </c>
      <c r="FY64" t="str">
        <f t="shared" si="160"/>
        <v/>
      </c>
      <c r="FZ64" t="str" cm="1">
        <f t="array" ref="FZ64">IF(FO64="","",_xlfn.LET(_xlpm.nd,_xlfn.TEXTSPLIT(FO64,"|"),IF(COLUMNS(_xlpm.nd)&gt;6,A64&amp;"¦"&amp;INDEX(_xlpm.nd,6)&amp;"¦"&amp;INDEX(_xlpm.nd,7),"")))</f>
        <v/>
      </c>
      <c r="GA64" t="str">
        <f t="shared" si="161"/>
        <v/>
      </c>
      <c r="GB64" t="str">
        <f t="shared" si="162"/>
        <v/>
      </c>
      <c r="GC64" t="str">
        <f t="shared" si="163"/>
        <v>QF32 → МК-5-1 → XT44</v>
      </c>
      <c r="GD64">
        <f t="shared" si="164"/>
        <v>1</v>
      </c>
      <c r="GE64">
        <f t="shared" si="165"/>
        <v>0</v>
      </c>
      <c r="GF64">
        <f t="shared" si="166"/>
        <v>0</v>
      </c>
      <c r="GG64" t="str">
        <f t="shared" si="167"/>
        <v/>
      </c>
      <c r="GH64" t="str">
        <f t="shared" si="168"/>
        <v/>
      </c>
      <c r="GI64" t="str">
        <f t="shared" si="169"/>
        <v/>
      </c>
      <c r="GJ64" t="str">
        <f t="shared" si="170"/>
        <v/>
      </c>
      <c r="GK64" t="str">
        <f>IF(D64="","",IFERROR(VLOOKUP(D64,УГО_спр,2,FALSE),IFERROR(VLOOKUP(AT64,УГО_спр,2,FALSE),IFERROR(VLOOKUP(LEFT(AT64,2),УГО_спр,2,FALSE),""))))</f>
        <v>Светильник</v>
      </c>
      <c r="GL64" t="str">
        <f>IF(D64="","",IF(OR(GK64="",GK64=0),"BOX",IFERROR(IF(VLOOKUP(GK64,УГО_блоки,3,FALSE)&amp;""&lt;&gt;"",VLOOKUP(GK64,УГО_блоки,3,FALSE),VLOOKUP(GK64,УГО_блоки,2,FALSE)),GK64)))</f>
        <v>LAMP</v>
      </c>
      <c r="GM64">
        <f t="shared" si="171"/>
        <v>1</v>
      </c>
      <c r="GN64" t="str">
        <f>IF(EP64="","",IF(COUNTIF(EP$3:EP64,EP64)=1,MAX(GN$2:GN63)+1,""))</f>
        <v/>
      </c>
      <c r="GO64" t="str">
        <f>IF(AF64="","",IF(COUNTIF(AF$3:AF64,AF64)+COUNTIF(AG$2:AG63,AF64)+COUNTIF(AH$2:AH63,AF64)=1,MAX(GO$2:GQ63)+1,""))</f>
        <v/>
      </c>
      <c r="GP64" t="str">
        <f>IF(AG64="","",IF(COUNTIF(AF$3:AF64,AG64)+COUNTIF(AG$3:AG64,AG64)+COUNTIF(AH$2:AH63,AG64)=1,MAX(GO$2:GQ63,GO64)+1,""))</f>
        <v/>
      </c>
      <c r="GQ64" t="str">
        <f>IF(AH64="","",IF(COUNTIF(AF$3:AF64,AH64)+COUNTIF(AG$3:AG64,AH64)+COUNTIF(AH$3:AH64,AH64)=1,MAX(GO$2:GQ63,GO64,GP64)+1,""))</f>
        <v/>
      </c>
      <c r="GR64" t="str">
        <f t="shared" si="172"/>
        <v>5х1,5</v>
      </c>
      <c r="GS64" t="str">
        <f>IF(GR64="","",IF(COUNTIF(GR$3:GR64,GR64)=1,MAX(GS$2:GS63)+1,""))</f>
        <v/>
      </c>
      <c r="GT64" t="str">
        <f>IF(ES64="","",COUNTIF(ES$3:ES64,"?*"))</f>
        <v/>
      </c>
      <c r="GU64" t="str">
        <f>IF(OR(ES64="",EU64=""),"",IF(COUNTIFS(ES$3:ES64,"?*",EU$3:EU64,EU64)=1,MAX(GU$2:GU63)+1,""))</f>
        <v/>
      </c>
      <c r="GV64">
        <f t="shared" si="173"/>
        <v>1</v>
      </c>
      <c r="GW64">
        <f>IF(D64="","",COUNTIF(D$3:D64,"?*"))</f>
        <v>44</v>
      </c>
      <c r="GX64">
        <f>IF(EX64&lt;&gt;1,0,_xlfn.LET(_xlpm.k,MAX(IFERROR(--VLOOKUP(D64,УГО_спр,5,FALSE),0),IFERROR(--VLOOKUP(AT64,УГО_спр,5,FALSE),0),IFERROR(--VLOOKUP(LEFT(AT64,2),УГО_спр,5,FALSE),0)),IF(_xlpm.k&gt;0,_xlpm.k,IF(IFERROR(--LEFT(SUBSTITUTE(GR64,"x","х"),FIND("х",SUBSTITUTE(GR64,"x","х"))-1),3)&gt;3,Каталог!$S$9,1))))</f>
        <v>1</v>
      </c>
      <c r="GY64">
        <f t="shared" si="174"/>
        <v>2</v>
      </c>
    </row>
    <row r="65" spans="1:207" x14ac:dyDescent="0.3">
      <c r="A65" t="s">
        <v>206</v>
      </c>
      <c r="B65">
        <v>67</v>
      </c>
      <c r="C65" t="str">
        <f>IF(BD65="","",IF(BE65="вводной узел","узел ","")&amp;"л."&amp;(INT((BD65-1)/Столбцов_на_лист)+1)&amp;" / "&amp;(MOD(BD65-1,Столбцов_на_лист)+1))</f>
        <v>л.4 / 16</v>
      </c>
      <c r="D65" t="s">
        <v>729</v>
      </c>
      <c r="E65" s="133" t="str">
        <f t="shared" si="175"/>
        <v>Группа освещения  Пом. №01</v>
      </c>
      <c r="H65">
        <v>8</v>
      </c>
      <c r="O65">
        <v>3</v>
      </c>
      <c r="T65">
        <v>1</v>
      </c>
      <c r="V65">
        <v>5</v>
      </c>
      <c r="AD65" t="s">
        <v>597</v>
      </c>
      <c r="AF65" t="s">
        <v>773</v>
      </c>
      <c r="AM65">
        <v>11.3</v>
      </c>
      <c r="AO65">
        <v>831930</v>
      </c>
      <c r="AQ65" t="s">
        <v>232</v>
      </c>
      <c r="AR65" t="str">
        <f t="shared" si="88"/>
        <v>нет мощности; 5 жил на 1 фазе</v>
      </c>
      <c r="AS65" cm="1">
        <f t="array" ref="AS65">ROW()-ROW(Линии[#Headers])</f>
        <v>63</v>
      </c>
      <c r="AT65" s="6" t="str">
        <f t="shared" si="89"/>
        <v>L</v>
      </c>
      <c r="AU65" t="str">
        <f t="shared" si="90"/>
        <v>2.01.1</v>
      </c>
      <c r="AV65" t="str">
        <f t="shared" si="91"/>
        <v>2</v>
      </c>
      <c r="AW65" t="str">
        <f t="shared" si="92"/>
        <v>01.1</v>
      </c>
      <c r="AX65" t="str">
        <f t="shared" si="93"/>
        <v>01</v>
      </c>
      <c r="AY65" t="str">
        <f>IF(D65="","",IF(ISERROR(SEARCH(".",D65)),IFERROR(VLOOKUP(D65,Потребители_обозначение,2,FALSE)&amp;"",""),IFERROR(IF(VLOOKUP(AT65,Потребители_обозначение,4,FALSE)=1,VLOOKUP(AT65,Потребители_обозначение,2,FALSE)&amp;" "&amp;VLOOKUP(AV65,Этаж_обозначение,2,FALSE)&amp;" Пом. №"&amp;AX65,VLOOKUP(AT65,Потребители_обозначение,2,FALSE)&amp;" Шлейф №"&amp;AV65),IFERROR(VLOOKUP(D65,Потребители_обозначение,2,FALSE),""))))</f>
        <v>Группа освещения  Пом. №01</v>
      </c>
      <c r="AZ65" t="str">
        <f t="shared" si="94"/>
        <v>Группа освещения  Пом. №01</v>
      </c>
      <c r="BA65" t="str">
        <f>IF(F65&lt;&gt;"",F65,IF(AND(D65&lt;&gt;"",D65&lt;&gt;A65,ISNUMBER(_xlfn.XMATCH(D65,Щиты[Щит]))),D65,""))</f>
        <v/>
      </c>
      <c r="BB65">
        <f>IFERROR(_xlfn.XMATCH(A65,Щиты[Щит]),0)</f>
        <v>1</v>
      </c>
      <c r="BC65">
        <f>IFERROR(N(_xlfn.XLOOKUP(A65,Щиты[Щит],Щиты[Мест под вводной узел])),15)</f>
        <v>18</v>
      </c>
      <c r="BD65">
        <f t="shared" si="95"/>
        <v>67</v>
      </c>
      <c r="BE65" t="str">
        <f t="shared" si="96"/>
        <v>линии</v>
      </c>
      <c r="BF65" s="6">
        <f>IF(D65="","",IF(BA65&lt;&gt;"",IFERROR(_xlfn.XLOOKUP(BA65,Щиты[Щит],Щиты[Руст, кВт]),0),N(G65)))</f>
        <v>0</v>
      </c>
      <c r="BG65">
        <f>IF(J65&lt;&gt;"",J65,IF(D65="","",IFERROR(IF(VLOOKUP(AT65,Потребители_обозначение,8,FALSE)=0,"",VLOOKUP(AT65,Потребители_обозначение,8,FALSE)),"")))</f>
        <v>230</v>
      </c>
      <c r="BH65">
        <f>IF(I65&lt;&gt;"",I65,IF(D65="","",IFERROR(IF(VLOOKUP(AT65,Потребители_обозначение,9,FALSE)=0,"",VLOOKUP(AT65,Потребители_обозначение,9,FALSE)),"")))</f>
        <v>1</v>
      </c>
      <c r="BI65" t="str">
        <f>IF(U65&lt;&gt;"",U65,IF(D65="","",IFERROR(IF(VLOOKUP(AT65,Потребители_обозначение,6,FALSE)=0,"",VLOOKUP(AT65,Потребители_обозначение,6,FALSE)),"")))</f>
        <v>мс</v>
      </c>
      <c r="BJ65">
        <f>IF(V65&lt;&gt;"",V65,IF(D65="","",IFERROR(IF(VLOOKUP(AT65,Потребители_обозначение,7,FALSE)=0,"",VLOOKUP(AT65,Потребители_обозначение,7,FALSE)),"")))</f>
        <v>5</v>
      </c>
      <c r="BK65">
        <f>IF(W65&lt;&gt;"",W65,IF(D65="","",IFERROR(IF(VLOOKUP(AT65,Потребители_обозначение,10,FALSE)=0,"",VLOOKUP(AT65,Потребители_обозначение,10,FALSE)),"")))</f>
        <v>1.5</v>
      </c>
      <c r="BL65">
        <f>IFERROR(VLOOKUP(AT65,Потребители_обозначение,5,FALSE),0)</f>
        <v>1</v>
      </c>
      <c r="BM65" s="6" cm="1">
        <f t="array" ref="BM65">IF(D65="","",IF(BA65&lt;&gt;"",IFERROR(_xlfn.XLOOKUP(BA65,Щиты[Щит],Щиты[cos φ]),0.95),IF(ISNUMBER(M65),M65,IFERROR(IF(BL65=2,_xlfn.IFS(BH65=3,VLOOKUP(BF65,Справочная_двигатели,8,FALSE),BH65=1,VLOOKUP(BF65,Справочная_двигатели,10,TRUE)),IF(AND(Методика="нормы 2026",CN65="Сил"),0.8,0.95)),0.95))))</f>
        <v>0.95</v>
      </c>
      <c r="BN65" s="6" cm="1">
        <f t="array" ref="BN65">IF(D65="","",IF(BA65&lt;&gt;"",IFERROR(_xlfn.XLOOKUP(BA65,Щиты[Щит],Щиты[Iр, А]),""),IFERROR(_xlfn.IFS(BH65=1,BF65/((Uн_лин/SQRT(3))*BM65),BH65=3,BF65/(SQRT(3)*Uн_лин*BM65)),"")))</f>
        <v>0</v>
      </c>
      <c r="BO65">
        <f>IF(D65="","",IF(N(X65)=0,IFERROR(VLOOKUP(BN65,Автомат_номиналы,2,TRUE),""),X65))</f>
        <v>6</v>
      </c>
      <c r="BP65">
        <f t="shared" si="97"/>
        <v>1</v>
      </c>
      <c r="BQ65">
        <f>IF(ISNUMBER(Y65),Y65,К_прокл)</f>
        <v>1</v>
      </c>
      <c r="BR65">
        <f t="shared" si="98"/>
        <v>2</v>
      </c>
      <c r="BS65" cm="1">
        <f t="array" ref="BS65">IF(D65="","",IF(N(BK65)&lt;&gt;0,BK65,IFERROR(_xlfn.LET(_xlpm.need,BO65/(BP65*BQ65),_xlpm.t,CHOOSE(BR65,Iдоп_1ж,Iдоп_2ж,Iдоп_3ж),_xlpm.k,_xlfn.XMATCH(_xlpm.need,_xlpm.t,1),IF(ISNA(_xlpm.k),"Не исп",INDEX(Iдоп_S,_xlpm.k))),"Не исп")))</f>
        <v>1.5</v>
      </c>
      <c r="BT65">
        <f>IFERROR(VLOOKUP(BS65,Кабель_сопротивление,3,FALSE),"")</f>
        <v>2.2499999999999999E-2</v>
      </c>
      <c r="BU65">
        <f>IFERROR(VLOOKUP(BS65,Кабель_сопротивление,2,FALSE),"")</f>
        <v>0.11</v>
      </c>
      <c r="BV65">
        <f t="shared" si="99"/>
        <v>12</v>
      </c>
      <c r="BW65" s="6">
        <f>IF(D65="","",IFERROR(IF(VLOOKUP(AT65,Потребители_обозначение,4,FALSE)=1,VLOOKUP(AT65,Потребители_обозначение,3,FALSE)*(H65*2-1)+BV65+VLOOKUP(AV65,Этаж_обозначение,3,FALSE)+VLOOKUP(AV65,Этаж_обозначение,4,FALSE),VLOOKUP(AT65,Потребители_обозначение,3,FALSE)*(H65*2-1)+BV65),BV65))</f>
        <v>27</v>
      </c>
      <c r="BX65">
        <f t="shared" si="100"/>
        <v>23</v>
      </c>
      <c r="BY65">
        <f t="shared" si="101"/>
        <v>0</v>
      </c>
      <c r="BZ65">
        <f t="shared" si="102"/>
        <v>2</v>
      </c>
      <c r="CA65">
        <f t="shared" si="103"/>
        <v>0.31</v>
      </c>
      <c r="CB65">
        <f t="shared" si="104"/>
        <v>0</v>
      </c>
      <c r="CC65" s="6">
        <f>IFERROR(ROUNDUP(CB65/((Uн_лин/SQRT(3))*1000)*100,2),"")</f>
        <v>0</v>
      </c>
      <c r="CD65" s="6">
        <f>IF(ISNUMBER(CC65),CC65+IFERROR(_xlfn.XLOOKUP(A65,Щиты[Щит],Щиты[ΔU до шин, %]),0),"")</f>
        <v>0</v>
      </c>
      <c r="CE65" s="6">
        <f>IF(D65="","",IF(IFERROR(VLOOKUP(AT65,УГО_спр,2,FALSE),"")="Светильник",3,4)+IF(Методика="нормы 2026",MIN(0.5,MAX(0,N(BW65)-100)*0.005),0))</f>
        <v>3</v>
      </c>
      <c r="CF65" t="str">
        <f>IFERROR(VLOOKUP(BI65,Кабель_обозначение,2,FALSE),"")</f>
        <v>ВВГнг(А)-LS</v>
      </c>
      <c r="CG65" t="str">
        <f>IFERROR(IF(VLOOKUP(BI65,Кабель_обозначение,3,FALSE)=1,CF65&amp;" ("&amp;BJ65&amp;"х"&amp;BS65&amp;")",CF65),"")</f>
        <v>ВВГнг(А)-LS (5х1,5)</v>
      </c>
      <c r="CH65" t="str">
        <f t="shared" si="105"/>
        <v>ВВГнг(А)-LS (5х1,5)
L=27-0%</v>
      </c>
      <c r="CI65">
        <f>IFERROR(2*ρкз_Cu*BW65/BS65,"")</f>
        <v>0.94680000000000009</v>
      </c>
      <c r="CJ65">
        <f t="shared" si="106"/>
        <v>0.315</v>
      </c>
      <c r="CK65" s="6" t="str">
        <f>IFERROR(IF(OR(D65="",NOT(ISNUMBER(BS65)),N(BW65)=0),"",_xlfn.XLOOKUP(A65,Щиты[Щит],Щиты[Zпетли на шинах, Ом])+CI65),"")</f>
        <v/>
      </c>
      <c r="CL65" s="6" t="str">
        <f>IF(ISNUMBER(CK65),c_min*(Uн_лин*1000/SQRT(3))/CK65,"")</f>
        <v/>
      </c>
      <c r="CM65" s="6" t="str">
        <f>IFERROR(IF(OR(D65="",NOT(ISNUMBER(BS65))),"",1.05*(Uн_лин*1000/SQRT(3))/(_xlfn.XLOOKUP(A65,Щиты[Щит],Щиты[Zmax на шинах, Ом])+CJ65)/1000),"")</f>
        <v/>
      </c>
      <c r="CN65" s="6" t="str">
        <f>IF(D65="","",IF(BA65&lt;&gt;"","Щит",IF(K65&lt;&gt;"",K65,IF(ISNUMBER(L65),"Сил",IF(IFERROR(_xlfn.XLOOKUP(AT65,Коды_код,Коды_группа)&amp;"","")="","Быт",_xlfn.XLOOKUP(AT65,Коды_код,Коды_группа)&amp;"")))))</f>
        <v>Быт</v>
      </c>
      <c r="CO65" s="6">
        <f>IF(CN65="Щит","щит",IF(CN65="","",IF(CN65="Быт",IFERROR(_xlfn.XLOOKUP(A65,Щиты[Щит],Щиты[Кс быт]),1),IF(CN65="Сил",IF(ISNUMBER(L65),L65,IF(Методика="нормы 2026",IFERROR(_xlfn.XLOOKUP(A65,Щиты[Щит],Щиты[Кс силовых (табл. 7.5)]),1),1)),IF(OR(CN65="Пост",CN65="Отоп"),1,IF(CN65="ВНГ",0.7,0))))))</f>
        <v>0.8</v>
      </c>
      <c r="CP65">
        <f t="shared" si="107"/>
        <v>1</v>
      </c>
      <c r="CQ65">
        <f t="shared" si="108"/>
        <v>0</v>
      </c>
      <c r="CR65">
        <f t="shared" si="109"/>
        <v>0</v>
      </c>
      <c r="CS65">
        <f t="shared" si="110"/>
        <v>0</v>
      </c>
      <c r="CT65">
        <f t="shared" si="111"/>
        <v>0</v>
      </c>
      <c r="CU65">
        <f t="shared" si="112"/>
        <v>0</v>
      </c>
      <c r="CV65">
        <f t="shared" si="113"/>
        <v>0</v>
      </c>
      <c r="CW65">
        <f t="shared" si="114"/>
        <v>0</v>
      </c>
      <c r="CX65">
        <f t="shared" si="115"/>
        <v>0</v>
      </c>
      <c r="CY65">
        <f t="shared" si="116"/>
        <v>2</v>
      </c>
      <c r="CZ65" t="str">
        <f t="shared" si="117"/>
        <v>L2</v>
      </c>
      <c r="DA65" cm="1">
        <f t="array" ref="DA65">IFERROR(IF(BL65=2,_xlfn.IFS(BH65=3,VLOOKUP(BF65,Справочная_двигатели,3,FALSE),BH65=1,VLOOKUP(BF65,Справочная_двигатели,5,TRUE)),0),0)</f>
        <v>0</v>
      </c>
      <c r="DB65">
        <f>IFERROR(IF(BL65=3,VLOOKUP(BF65,Справочная_ЛЭД,2,TRUE),0),0)</f>
        <v>0</v>
      </c>
      <c r="DC65" s="6">
        <f t="shared" si="118"/>
        <v>0</v>
      </c>
      <c r="DD65" t="str">
        <f t="shared" si="119"/>
        <v>L3</v>
      </c>
      <c r="DE65" t="str" cm="1">
        <f t="array" ref="DE65">IF(D65="","",IFERROR(INDEX({"I особая","I","II","III"},MATCH(TRIM(AA65&amp;""),{"I особая","I","II","III"},0)),"III"))</f>
        <v>III</v>
      </c>
      <c r="DF65" t="str">
        <f>IF(D65="","",IF(TRIM(AB65&amp;"")&lt;&gt;"",IF(LOWER(TRIM(AB65&amp;""))="да","да","нет"),IF(IFERROR(_xlfn.XLOOKUP(AT65,Коды_код,Коды_пожарная),"")="да","да","нет")))</f>
        <v>нет</v>
      </c>
      <c r="DG65" t="str">
        <f t="shared" si="120"/>
        <v/>
      </c>
      <c r="DH65" t="str">
        <f t="shared" si="121"/>
        <v>основная</v>
      </c>
      <c r="DI65">
        <f t="shared" si="122"/>
        <v>1</v>
      </c>
      <c r="DJ65" t="str" cm="1">
        <f t="array" ref="DJ65">IF(D65="","",_xlfn.LET(_xlpm.t,IFERROR(_xlfn.XLOOKUP(1,(Шины[Шина]=DH65)*(((Шины[Щит]=A65)+(Шины[Щит]=""))&gt;0),Шины[Тип]),"")&amp;"",IF(_xlpm.t&lt;&gt;"",_xlpm.t,IF(ISNUMBER(SEARCH("ИБП",DH65)),"ИБП",IF(ISNUMBER(SEARCH("ДГУ",DH65)),"ДГУ","Ввод "&amp;DI65)))))</f>
        <v>Ввод 1</v>
      </c>
      <c r="DK65" t="str">
        <f t="shared" si="123"/>
        <v>Ввод 1</v>
      </c>
      <c r="DL65" t="str">
        <f>IF(D65="","",IF(OR(DJ65="ИБП",DJ65="ДГУ"),"I особая",IF(DJ65="Одиночная","III",_xlfn.XLOOKUP(A65,Щиты[Щит],Щиты[Категория шины «Ввод»],"III"))))</f>
        <v>III</v>
      </c>
      <c r="DM65">
        <f>IF(D65="",0,IFERROR(MATCH(DE65,{"III","II","I","I особая"},0),1))</f>
        <v>1</v>
      </c>
      <c r="DN65">
        <f t="shared" si="124"/>
        <v>1</v>
      </c>
      <c r="DO65" t="str">
        <f>IF(D65="","",IF(DM65&gt;IFERROR(MATCH(DL65,{"III","II","I","I особая"},0),1),"НЕ ОБЕСПЕЧЕНА","ОК"))</f>
        <v>ОК</v>
      </c>
      <c r="DP65" t="str">
        <f>IF(A65="","",_xlfn.XLOOKUP(A65,Щиты[Щит],Щиты[Путь],""))</f>
        <v>|ЩР|</v>
      </c>
      <c r="DQ65" t="str">
        <f>IF(D65="","",IF(Z65&lt;&gt;"",Z65,IF(IFERROR(_xlfn.XLOOKUP(AT65,Коды_код,Коды_вид)&amp;"","")="","Прочее",_xlfn.XLOOKUP(AT65,Коды_код,Коды_вид)&amp;"")))</f>
        <v>Рабочее освещение</v>
      </c>
      <c r="DR65">
        <f>IF(BD65="","",INT((BD65-1)/Столбцов_на_лист)+1)</f>
        <v>4</v>
      </c>
      <c r="DS65" t="str">
        <f t="shared" si="125"/>
        <v>ВВГнг(А)-LS (5х1,5) L=27-0%</v>
      </c>
      <c r="DT65">
        <f t="shared" si="126"/>
        <v>0</v>
      </c>
      <c r="DU65">
        <f t="shared" si="127"/>
        <v>0</v>
      </c>
      <c r="DV65">
        <f t="shared" si="128"/>
        <v>1</v>
      </c>
      <c r="DW65">
        <f>IF(AT65="",0,_xlfn.LET(_xlpm.v,IFERROR(VLOOKUP(D65,УГО_спр,3,FALSE),IFERROR(VLOOKUP(AT65,УГО_спр,3,FALSE),IFERROR(VLOOKUP(LEFT(AT65,2),УГО_спр,3,FALSE),""))),IF(_xlpm.v="да",30,IF(ISNUMBER(_xlpm.v),_xlpm.v,0))))</f>
        <v>0</v>
      </c>
      <c r="DX65">
        <f t="shared" si="129"/>
        <v>0</v>
      </c>
      <c r="DY65">
        <f>IF(BD65="","",IF(AD65&lt;&gt;"",COUNTIFS(A$3:A65,A65,AD$3:AD65,"?*"),IF(OR(OR(AS65=1,A65&lt;&gt;A64),AL65="вручную"),"",IF(AS65=1,"",DZ64))))</f>
        <v>33</v>
      </c>
      <c r="DZ65">
        <f t="shared" si="130"/>
        <v>33</v>
      </c>
      <c r="EA65">
        <f>IF(D65="",0,MAX(IFERROR(--X65,0),IFERROR(--VLOOKUP(D65,УГО_спр,4,FALSE),IFERROR(--VLOOKUP(AT65,УГО_спр,4,FALSE),IFERROR(--VLOOKUP(LEFT(AT65,2),УГО_спр,4,FALSE),0)))))</f>
        <v>10</v>
      </c>
      <c r="EB65">
        <f>IF(D65="","",IFERROR(LOOKUP(INDEX(CHOOSE(BR65,Iдоп_1ж,Iдоп_2ж,Iдоп_3ж),MATCH(BS65,Iдоп_S,0))*BP65*BQ65,{6,10,16,20,25,32,40,50,63,80,100,125,160,200,250,315,400,500,630}),""))</f>
        <v>16</v>
      </c>
      <c r="EC65">
        <f>IF(AD65="","",SUMIFS(Линии[_Ток схемы],Линии[_гр.],DY65,Линии[Щит],A65,Линии[_в кабель выше],0))</f>
        <v>0</v>
      </c>
      <c r="ED65">
        <f>IF(AD65="","",IFERROR(VLOOKUP(EC65,Автомат_номиналы,2,TRUE),""))</f>
        <v>6</v>
      </c>
      <c r="EE65">
        <f>IF(AD65="","",MAX(N(ED65),_xlfn.MAXIFS(Линии[_мин. по типу],Линии[_гр.],DY65,Линии[Щит],A65)))</f>
        <v>10</v>
      </c>
      <c r="EF65">
        <f>IF(AD65="","",_xlfn.MINIFS(Линии[_макс. автомат по кабелю],Линии[_гр.],DY65,Линии[Щит],A65))</f>
        <v>16</v>
      </c>
      <c r="EG65">
        <f>IF(AD65="","",MAX(1,_xlfn.MAXIFS(Линии[_фаз],Линии[_гр.],DY65,Линии[Щит],A65)))</f>
        <v>1</v>
      </c>
      <c r="EH65">
        <f>IF(AD65="","",IF(AND(AD65&lt;&gt;"авто",AD65&lt;&gt;"+"),IF(ISNUMBER(SEARCH("мА",AD65)),IFERROR(--TRIM(RIGHT(SUBSTITUTE(LEFT(AD65,SEARCH("мА",AD65)-1)," ",REPT(" ",9)),6)),30),0),IF(AE65="нет",0,IF(ISNUMBER(AE65),AE65,IF(AE65="да",30,_xlfn.MINIFS(Линии[_дифзащита по коду, мА],Линии[_гр.],DY65,Линии[Щит],A65,Линии[_дифзащита по коду, мА],"&gt;0"))))))</f>
        <v>0</v>
      </c>
      <c r="EI65">
        <f t="shared" si="131"/>
        <v>0</v>
      </c>
      <c r="EJ65" t="str">
        <f t="shared" si="132"/>
        <v>QF33</v>
      </c>
      <c r="EK65" t="str">
        <f t="shared" si="133"/>
        <v>QF33</v>
      </c>
      <c r="EL65" t="str">
        <f t="shared" si="134"/>
        <v>МК-5-1</v>
      </c>
      <c r="EM65">
        <f t="shared" si="135"/>
        <v>0</v>
      </c>
      <c r="EN65">
        <f>IF(AD65="","",IF(EM65=1,MAX(EE65,Мин_автомат_БП),EE65))</f>
        <v>10</v>
      </c>
      <c r="EO65" t="str">
        <f t="shared" si="136"/>
        <v>1P</v>
      </c>
      <c r="EP65" t="str">
        <f t="shared" si="137"/>
        <v>1P С10А</v>
      </c>
      <c r="EQ65">
        <f t="shared" si="138"/>
        <v>10</v>
      </c>
      <c r="ER65" t="str">
        <f>IF(OR(AI65="",AI65="-"),"",IFERROR(VLOOKUP(AI65,Модули_спр,2,FALSE),"R"))</f>
        <v/>
      </c>
      <c r="ES65" t="str">
        <f>IF(ER65="","",ER65&amp;"."&amp;COUNTIFS(A$3:A65,A65,ER$3:ER65,ER65))</f>
        <v/>
      </c>
      <c r="ET65" t="str">
        <f t="shared" si="139"/>
        <v/>
      </c>
      <c r="EU65" t="str">
        <f t="shared" si="140"/>
        <v/>
      </c>
      <c r="EV65" t="str">
        <f t="shared" si="141"/>
        <v/>
      </c>
      <c r="EW65" t="str">
        <f t="shared" si="142"/>
        <v/>
      </c>
      <c r="EX65">
        <f t="shared" si="143"/>
        <v>1</v>
      </c>
      <c r="EY65" t="str">
        <f>IF(AK65="нет","",IF(AK65&lt;&gt;"",AK65,IF(EX65=1,"XT"&amp;COUNTIFS(A$3:A65,A65,EX$3:EX65,1),"")))</f>
        <v>XT45</v>
      </c>
      <c r="EZ65" t="str">
        <f t="shared" si="144"/>
        <v>QF33</v>
      </c>
      <c r="FA65" t="str">
        <f t="shared" si="145"/>
        <v/>
      </c>
      <c r="FB65" t="str">
        <f t="shared" si="146"/>
        <v>ok</v>
      </c>
      <c r="FC65" t="str">
        <f>IF(OR(EV65="",ET65=""),"",IF(EV65&gt;IFERROR(VLOOKUP(EU65,Модули_спр,3,FALSE),99),"ЛИШНИЙ КАНАЛ",IF(AND(AJ65&lt;&gt;"=",COUNTIFS(Линии[_модуль гр.],ET65,Линии[Канал (итог)],EV65,Линии[Канал],"&lt;&gt;=",Линии[Щит],A65)&gt;1),"ДУБЛЬ КАНАЛА","")))</f>
        <v/>
      </c>
      <c r="FD65">
        <f t="shared" si="147"/>
        <v>10</v>
      </c>
      <c r="FE65" t="str">
        <f t="shared" si="148"/>
        <v>1P С10А</v>
      </c>
      <c r="FF65">
        <f t="shared" si="149"/>
        <v>0</v>
      </c>
      <c r="FG65">
        <f t="shared" si="150"/>
        <v>0</v>
      </c>
      <c r="FH65" s="6" t="str">
        <f t="shared" si="151"/>
        <v/>
      </c>
      <c r="FI65">
        <f t="shared" si="152"/>
        <v>10</v>
      </c>
      <c r="FJ65" t="str">
        <f t="shared" si="153"/>
        <v/>
      </c>
      <c r="FK65" t="str">
        <f>IF(AND(D65="",EZ65=""),"",_xlfn.TEXTJOIN("; ",TRUE,IF(AND(D65&lt;&gt;"",DD65=""),"нет фазы",""),IF(AND(D65&lt;&gt;"",N(DT65)=0,CN65&lt;&gt;"Нет"),"нет мощности",""),IF(AND(EY65&lt;&gt;"",COUNTIFS(Линии[Щит],A65,Линии[Клемма (итог)],EY65)&gt;1),"дубль клеммы "&amp;EY65,""),IF(AND(FB65&lt;&gt;"",FB65&lt;&gt;"ok"),FB65,""),IF(FC65&lt;&gt;"",FC65,""),IF(AND(ISNUMBER(SEARCH("(5х",DS65)),N(DV65)=1),"5 жил на 1 фазе",""),IF(AND(AT65="R",AD65&lt;&gt;"",OR(N(EH65)=0,N(EH65)&gt;30)),"розетка без дифзащиты до 30 мА",""),IFERROR(IF(AND(ISNUMBER(CD65),CD65&gt;CE65),"потери "&amp;FIXED(CD65,1)&amp;" % &gt; "&amp;CE65&amp;" %",""),""),IFERROR(IF(LEFT(FJ65,4)="мало","Iкз мало — отключение &gt; 0,4 с",""),""),IF(AND(D65&lt;&gt;"",BD65=""),"не на схеме","")))</f>
        <v>нет мощности; 5 жил на 1 фазе</v>
      </c>
      <c r="FL65" s="6">
        <f>IF(AD65="","",_xlfn.LET(_xlpm.t,IFERROR(_xlfn.XLOOKUP(EP65,Каталог!$U$4:$U$500,Каталог!$G$4:$G$500),""),_xlpm.k,SEARCH("кА",_xlpm.t),IFERROR(--TRIM(RIGHT(SUBSTITUTE(MID(_xlpm.t,MAX(1,_xlpm.k-4),_xlpm.k-MAX(1,_xlpm.k-4))," ",REPT(" ",9)),5)),"")))</f>
        <v>6</v>
      </c>
      <c r="FM65" t="str">
        <f>IF(OR(FL65="",AD65=""),"",IF(_xlfn.XLOOKUP(A65,Щиты[Щит],Щиты[Iкз max на шинах, кА],"")="","",IF(FL65&lt;_xlfn.XLOOKUP(A65,Щиты[Щит],Щиты[Iкз max на шинах, кА]),"Icu "&amp;FL65&amp;" кА &lt; Iкз max","ok")))</f>
        <v/>
      </c>
      <c r="FN65" t="str">
        <f t="shared" si="154"/>
        <v>QF33|МК-5-1|XT45</v>
      </c>
      <c r="FO65" t="str">
        <f t="shared" si="155"/>
        <v>QF33|МК-5-1|XT45|кабель ВВГнг(А)-LS (5х1,5) → Группа освещения  Пом. №01</v>
      </c>
      <c r="FP65" t="str" cm="1">
        <f t="array" ref="FP65">IF(FO65="","",_xlfn.LET(_xlpm.nd,_xlfn.TEXTSPLIT(FO65,"|"),IF(COLUMNS(_xlpm.nd)&gt;1,A65&amp;"¦"&amp;INDEX(_xlpm.nd,1)&amp;"¦"&amp;INDEX(_xlpm.nd,2),"")))</f>
        <v>ЩР¦QF33¦МК-5-1</v>
      </c>
      <c r="FQ65" t="str">
        <f t="shared" si="156"/>
        <v>L.2.01.1¦Группа освещения  Пом. №01</v>
      </c>
      <c r="FR65" t="str" cm="1">
        <f t="array" ref="FR65">IF(FO65="","",_xlfn.LET(_xlpm.nd,_xlfn.TEXTSPLIT(FO65,"|"),IF(COLUMNS(_xlpm.nd)&gt;2,A65&amp;"¦"&amp;INDEX(_xlpm.nd,2)&amp;"¦"&amp;INDEX(_xlpm.nd,3),"")))</f>
        <v>ЩР¦МК-5-1¦XT45</v>
      </c>
      <c r="FS65" t="str">
        <f t="shared" si="157"/>
        <v>L.2.01.1¦Группа освещения  Пом. №01</v>
      </c>
      <c r="FT65" t="str" cm="1">
        <f t="array" ref="FT65">IF(FO65="","",_xlfn.LET(_xlpm.nd,_xlfn.TEXTSPLIT(FO65,"|"),IF(COLUMNS(_xlpm.nd)&gt;3,A65&amp;"¦"&amp;INDEX(_xlpm.nd,3)&amp;"¦"&amp;INDEX(_xlpm.nd,4),"")))</f>
        <v>ЩР¦XT45¦кабель ВВГнг(А)-LS (5х1,5) → Группа освещения  Пом. №01</v>
      </c>
      <c r="FU65" t="str">
        <f t="shared" si="158"/>
        <v>L.2.01.1¦Группа освещения  Пом. №01</v>
      </c>
      <c r="FV65" t="str" cm="1">
        <f t="array" ref="FV65">IF(FO65="","",_xlfn.LET(_xlpm.nd,_xlfn.TEXTSPLIT(FO65,"|"),IF(COLUMNS(_xlpm.nd)&gt;4,A65&amp;"¦"&amp;INDEX(_xlpm.nd,4)&amp;"¦"&amp;INDEX(_xlpm.nd,5),"")))</f>
        <v/>
      </c>
      <c r="FW65" t="str">
        <f t="shared" si="159"/>
        <v/>
      </c>
      <c r="FX65" t="str" cm="1">
        <f t="array" ref="FX65">IF(FO65="","",_xlfn.LET(_xlpm.nd,_xlfn.TEXTSPLIT(FO65,"|"),IF(COLUMNS(_xlpm.nd)&gt;5,A65&amp;"¦"&amp;INDEX(_xlpm.nd,5)&amp;"¦"&amp;INDEX(_xlpm.nd,6),"")))</f>
        <v/>
      </c>
      <c r="FY65" t="str">
        <f t="shared" si="160"/>
        <v/>
      </c>
      <c r="FZ65" t="str" cm="1">
        <f t="array" ref="FZ65">IF(FO65="","",_xlfn.LET(_xlpm.nd,_xlfn.TEXTSPLIT(FO65,"|"),IF(COLUMNS(_xlpm.nd)&gt;6,A65&amp;"¦"&amp;INDEX(_xlpm.nd,6)&amp;"¦"&amp;INDEX(_xlpm.nd,7),"")))</f>
        <v/>
      </c>
      <c r="GA65" t="str">
        <f t="shared" si="161"/>
        <v/>
      </c>
      <c r="GB65" t="str">
        <f t="shared" si="162"/>
        <v/>
      </c>
      <c r="GC65" t="str">
        <f t="shared" si="163"/>
        <v>QF33 → МК-5-1 → XT45</v>
      </c>
      <c r="GD65">
        <f t="shared" si="164"/>
        <v>1</v>
      </c>
      <c r="GE65">
        <f t="shared" si="165"/>
        <v>0</v>
      </c>
      <c r="GF65">
        <f t="shared" si="166"/>
        <v>0</v>
      </c>
      <c r="GG65" t="str">
        <f t="shared" si="167"/>
        <v/>
      </c>
      <c r="GH65" t="str">
        <f t="shared" si="168"/>
        <v>MK</v>
      </c>
      <c r="GI65" t="str">
        <f t="shared" si="169"/>
        <v/>
      </c>
      <c r="GJ65" t="str">
        <f t="shared" si="170"/>
        <v/>
      </c>
      <c r="GK65" t="str">
        <f>IF(D65="","",IFERROR(VLOOKUP(D65,УГО_спр,2,FALSE),IFERROR(VLOOKUP(AT65,УГО_спр,2,FALSE),IFERROR(VLOOKUP(LEFT(AT65,2),УГО_спр,2,FALSE),""))))</f>
        <v>Светильник</v>
      </c>
      <c r="GL65" t="str">
        <f>IF(D65="","",IF(OR(GK65="",GK65=0),"BOX",IFERROR(IF(VLOOKUP(GK65,УГО_блоки,3,FALSE)&amp;""&lt;&gt;"",VLOOKUP(GK65,УГО_блоки,3,FALSE),VLOOKUP(GK65,УГО_блоки,2,FALSE)),GK65)))</f>
        <v>LAMP</v>
      </c>
      <c r="GM65">
        <f t="shared" si="171"/>
        <v>1</v>
      </c>
      <c r="GN65" t="str">
        <f>IF(EP65="","",IF(COUNTIF(EP$3:EP65,EP65)=1,MAX(GN$2:GN64)+1,""))</f>
        <v/>
      </c>
      <c r="GO65" t="str">
        <f>IF(AF65="","",IF(COUNTIF(AF$3:AF65,AF65)+COUNTIF(AG$2:AG64,AF65)+COUNTIF(AH$2:AH64,AF65)=1,MAX(GO$2:GQ64)+1,""))</f>
        <v/>
      </c>
      <c r="GP65" t="str">
        <f>IF(AG65="","",IF(COUNTIF(AF$3:AF65,AG65)+COUNTIF(AG$3:AG65,AG65)+COUNTIF(AH$2:AH64,AG65)=1,MAX(GO$2:GQ64,GO65)+1,""))</f>
        <v/>
      </c>
      <c r="GQ65" t="str">
        <f>IF(AH65="","",IF(COUNTIF(AF$3:AF65,AH65)+COUNTIF(AG$3:AG65,AH65)+COUNTIF(AH$3:AH65,AH65)=1,MAX(GO$2:GQ64,GO65,GP65)+1,""))</f>
        <v/>
      </c>
      <c r="GR65" t="str">
        <f t="shared" si="172"/>
        <v>5х1,5</v>
      </c>
      <c r="GS65" t="str">
        <f>IF(GR65="","",IF(COUNTIF(GR$3:GR65,GR65)=1,MAX(GS$2:GS64)+1,""))</f>
        <v/>
      </c>
      <c r="GT65" t="str">
        <f>IF(ES65="","",COUNTIF(ES$3:ES65,"?*"))</f>
        <v/>
      </c>
      <c r="GU65" t="str">
        <f>IF(OR(ES65="",EU65=""),"",IF(COUNTIFS(ES$3:ES65,"?*",EU$3:EU65,EU65)=1,MAX(GU$2:GU64)+1,""))</f>
        <v/>
      </c>
      <c r="GV65">
        <f t="shared" si="173"/>
        <v>1</v>
      </c>
      <c r="GW65">
        <f>IF(D65="","",COUNTIF(D$3:D65,"?*"))</f>
        <v>45</v>
      </c>
      <c r="GX65">
        <f>IF(EX65&lt;&gt;1,0,_xlfn.LET(_xlpm.k,MAX(IFERROR(--VLOOKUP(D65,УГО_спр,5,FALSE),0),IFERROR(--VLOOKUP(AT65,УГО_спр,5,FALSE),0),IFERROR(--VLOOKUP(LEFT(AT65,2),УГО_спр,5,FALSE),0)),IF(_xlpm.k&gt;0,_xlpm.k,IF(IFERROR(--LEFT(SUBSTITUTE(GR65,"x","х"),FIND("х",SUBSTITUTE(GR65,"x","х"))-1),3)&gt;3,Каталог!$S$9,1))))</f>
        <v>1</v>
      </c>
      <c r="GY65">
        <f t="shared" si="174"/>
        <v>2</v>
      </c>
    </row>
    <row r="66" spans="1:207" x14ac:dyDescent="0.3">
      <c r="A66" t="s">
        <v>206</v>
      </c>
      <c r="B66">
        <v>70</v>
      </c>
      <c r="C66" t="str">
        <f>IF(BD66="","",IF(BE66="вводной узел","узел ","")&amp;"л."&amp;(INT((BD66-1)/Столбцов_на_лист)+1)&amp;" / "&amp;(MOD(BD66-1,Столбцов_на_лист)+1))</f>
        <v>л.5 / 2</v>
      </c>
      <c r="D66" t="s">
        <v>732</v>
      </c>
      <c r="E66" s="133" t="str">
        <f t="shared" si="175"/>
        <v>Группа освещения  Пом. №05</v>
      </c>
      <c r="H66">
        <v>30</v>
      </c>
      <c r="O66">
        <v>3</v>
      </c>
      <c r="T66">
        <v>1</v>
      </c>
      <c r="V66">
        <v>5</v>
      </c>
      <c r="AM66">
        <v>40.14</v>
      </c>
      <c r="AO66" t="s">
        <v>733</v>
      </c>
      <c r="AQ66" t="s">
        <v>232</v>
      </c>
      <c r="AR66" t="str">
        <f t="shared" si="88"/>
        <v>нет мощности; 5 жил на 1 фазе</v>
      </c>
      <c r="AS66" cm="1">
        <f t="array" ref="AS66">ROW()-ROW(Линии[#Headers])</f>
        <v>64</v>
      </c>
      <c r="AT66" s="6" t="str">
        <f t="shared" si="89"/>
        <v>L</v>
      </c>
      <c r="AU66" t="str">
        <f t="shared" si="90"/>
        <v>2.05.1</v>
      </c>
      <c r="AV66" t="str">
        <f t="shared" si="91"/>
        <v>2</v>
      </c>
      <c r="AW66" t="str">
        <f t="shared" si="92"/>
        <v>05.1</v>
      </c>
      <c r="AX66" t="str">
        <f t="shared" si="93"/>
        <v>05</v>
      </c>
      <c r="AY66" t="str">
        <f>IF(D66="","",IF(ISERROR(SEARCH(".",D66)),IFERROR(VLOOKUP(D66,Потребители_обозначение,2,FALSE)&amp;"",""),IFERROR(IF(VLOOKUP(AT66,Потребители_обозначение,4,FALSE)=1,VLOOKUP(AT66,Потребители_обозначение,2,FALSE)&amp;" "&amp;VLOOKUP(AV66,Этаж_обозначение,2,FALSE)&amp;" Пом. №"&amp;AX66,VLOOKUP(AT66,Потребители_обозначение,2,FALSE)&amp;" Шлейф №"&amp;AV66),IFERROR(VLOOKUP(D66,Потребители_обозначение,2,FALSE),""))))</f>
        <v>Группа освещения  Пом. №05</v>
      </c>
      <c r="AZ66" t="str">
        <f t="shared" si="94"/>
        <v>Группа освещения  Пом. №05</v>
      </c>
      <c r="BA66" t="str">
        <f>IF(F66&lt;&gt;"",F66,IF(AND(D66&lt;&gt;"",D66&lt;&gt;A66,ISNUMBER(_xlfn.XMATCH(D66,Щиты[Щит]))),D66,""))</f>
        <v/>
      </c>
      <c r="BB66">
        <f>IFERROR(_xlfn.XMATCH(A66,Щиты[Щит]),0)</f>
        <v>1</v>
      </c>
      <c r="BC66">
        <f>IFERROR(N(_xlfn.XLOOKUP(A66,Щиты[Щит],Щиты[Мест под вводной узел])),15)</f>
        <v>18</v>
      </c>
      <c r="BD66">
        <f t="shared" si="95"/>
        <v>70</v>
      </c>
      <c r="BE66" t="str">
        <f t="shared" si="96"/>
        <v>линии</v>
      </c>
      <c r="BF66" s="6">
        <f>IF(D66="","",IF(BA66&lt;&gt;"",IFERROR(_xlfn.XLOOKUP(BA66,Щиты[Щит],Щиты[Руст, кВт]),0),N(G66)))</f>
        <v>0</v>
      </c>
      <c r="BG66">
        <f>IF(J66&lt;&gt;"",J66,IF(D66="","",IFERROR(IF(VLOOKUP(AT66,Потребители_обозначение,8,FALSE)=0,"",VLOOKUP(AT66,Потребители_обозначение,8,FALSE)),"")))</f>
        <v>230</v>
      </c>
      <c r="BH66">
        <f>IF(I66&lt;&gt;"",I66,IF(D66="","",IFERROR(IF(VLOOKUP(AT66,Потребители_обозначение,9,FALSE)=0,"",VLOOKUP(AT66,Потребители_обозначение,9,FALSE)),"")))</f>
        <v>1</v>
      </c>
      <c r="BI66" t="str">
        <f>IF(U66&lt;&gt;"",U66,IF(D66="","",IFERROR(IF(VLOOKUP(AT66,Потребители_обозначение,6,FALSE)=0,"",VLOOKUP(AT66,Потребители_обозначение,6,FALSE)),"")))</f>
        <v>мс</v>
      </c>
      <c r="BJ66">
        <f>IF(V66&lt;&gt;"",V66,IF(D66="","",IFERROR(IF(VLOOKUP(AT66,Потребители_обозначение,7,FALSE)=0,"",VLOOKUP(AT66,Потребители_обозначение,7,FALSE)),"")))</f>
        <v>5</v>
      </c>
      <c r="BK66">
        <f>IF(W66&lt;&gt;"",W66,IF(D66="","",IFERROR(IF(VLOOKUP(AT66,Потребители_обозначение,10,FALSE)=0,"",VLOOKUP(AT66,Потребители_обозначение,10,FALSE)),"")))</f>
        <v>1.5</v>
      </c>
      <c r="BL66">
        <f>IFERROR(VLOOKUP(AT66,Потребители_обозначение,5,FALSE),0)</f>
        <v>1</v>
      </c>
      <c r="BM66" s="6" cm="1">
        <f t="array" ref="BM66">IF(D66="","",IF(BA66&lt;&gt;"",IFERROR(_xlfn.XLOOKUP(BA66,Щиты[Щит],Щиты[cos φ]),0.95),IF(ISNUMBER(M66),M66,IFERROR(IF(BL66=2,_xlfn.IFS(BH66=3,VLOOKUP(BF66,Справочная_двигатели,8,FALSE),BH66=1,VLOOKUP(BF66,Справочная_двигатели,10,TRUE)),IF(AND(Методика="нормы 2026",CN66="Сил"),0.8,0.95)),0.95))))</f>
        <v>0.95</v>
      </c>
      <c r="BN66" s="6" cm="1">
        <f t="array" ref="BN66">IF(D66="","",IF(BA66&lt;&gt;"",IFERROR(_xlfn.XLOOKUP(BA66,Щиты[Щит],Щиты[Iр, А]),""),IFERROR(_xlfn.IFS(BH66=1,BF66/((Uн_лин/SQRT(3))*BM66),BH66=3,BF66/(SQRT(3)*Uн_лин*BM66)),"")))</f>
        <v>0</v>
      </c>
      <c r="BO66">
        <f>IF(D66="","",IF(N(X66)=0,IFERROR(VLOOKUP(BN66,Автомат_номиналы,2,TRUE),""),X66))</f>
        <v>6</v>
      </c>
      <c r="BP66">
        <f t="shared" si="97"/>
        <v>1</v>
      </c>
      <c r="BQ66">
        <f>IF(ISNUMBER(Y66),Y66,К_прокл)</f>
        <v>1</v>
      </c>
      <c r="BR66">
        <f t="shared" si="98"/>
        <v>2</v>
      </c>
      <c r="BS66" cm="1">
        <f t="array" ref="BS66">IF(D66="","",IF(N(BK66)&lt;&gt;0,BK66,IFERROR(_xlfn.LET(_xlpm.need,BO66/(BP66*BQ66),_xlpm.t,CHOOSE(BR66,Iдоп_1ж,Iдоп_2ж,Iдоп_3ж),_xlpm.k,_xlfn.XMATCH(_xlpm.need,_xlpm.t,1),IF(ISNA(_xlpm.k),"Не исп",INDEX(Iдоп_S,_xlpm.k))),"Не исп")))</f>
        <v>1.5</v>
      </c>
      <c r="BT66">
        <f>IFERROR(VLOOKUP(BS66,Кабель_сопротивление,3,FALSE),"")</f>
        <v>2.2499999999999999E-2</v>
      </c>
      <c r="BU66">
        <f>IFERROR(VLOOKUP(BS66,Кабель_сопротивление,2,FALSE),"")</f>
        <v>0.11</v>
      </c>
      <c r="BV66">
        <f t="shared" si="99"/>
        <v>41</v>
      </c>
      <c r="BW66" s="6">
        <f>IF(D66="","",IFERROR(IF(VLOOKUP(AT66,Потребители_обозначение,4,FALSE)=1,VLOOKUP(AT66,Потребители_обозначение,3,FALSE)*(H66*2-1)+BV66+VLOOKUP(AV66,Этаж_обозначение,3,FALSE)+VLOOKUP(AV66,Этаж_обозначение,4,FALSE),VLOOKUP(AT66,Потребители_обозначение,3,FALSE)*(H66*2-1)+BV66),BV66))</f>
        <v>100</v>
      </c>
      <c r="BX66">
        <f t="shared" si="100"/>
        <v>96</v>
      </c>
      <c r="BY66">
        <f t="shared" si="101"/>
        <v>0</v>
      </c>
      <c r="BZ66">
        <f t="shared" si="102"/>
        <v>2</v>
      </c>
      <c r="CA66">
        <f t="shared" si="103"/>
        <v>0.31</v>
      </c>
      <c r="CB66">
        <f t="shared" si="104"/>
        <v>0</v>
      </c>
      <c r="CC66" s="6">
        <f>IFERROR(ROUNDUP(CB66/((Uн_лин/SQRT(3))*1000)*100,2),"")</f>
        <v>0</v>
      </c>
      <c r="CD66" s="6">
        <f>IF(ISNUMBER(CC66),CC66+IFERROR(_xlfn.XLOOKUP(A66,Щиты[Щит],Щиты[ΔU до шин, %]),0),"")</f>
        <v>0</v>
      </c>
      <c r="CE66" s="6">
        <f>IF(D66="","",IF(IFERROR(VLOOKUP(AT66,УГО_спр,2,FALSE),"")="Светильник",3,4)+IF(Методика="нормы 2026",MIN(0.5,MAX(0,N(BW66)-100)*0.005),0))</f>
        <v>3</v>
      </c>
      <c r="CF66" t="str">
        <f>IFERROR(VLOOKUP(BI66,Кабель_обозначение,2,FALSE),"")</f>
        <v>ВВГнг(А)-LS</v>
      </c>
      <c r="CG66" t="str">
        <f>IFERROR(IF(VLOOKUP(BI66,Кабель_обозначение,3,FALSE)=1,CF66&amp;" ("&amp;BJ66&amp;"х"&amp;BS66&amp;")",CF66),"")</f>
        <v>ВВГнг(А)-LS (5х1,5)</v>
      </c>
      <c r="CH66" t="str">
        <f t="shared" si="105"/>
        <v>ВВГнг(А)-LS (5х1,5)
L=100-0%</v>
      </c>
      <c r="CI66">
        <f>IFERROR(2*ρкз_Cu*BW66/BS66,"")</f>
        <v>3.5066666666666664</v>
      </c>
      <c r="CJ66">
        <f t="shared" si="106"/>
        <v>1.1666666666666667</v>
      </c>
      <c r="CK66" s="6" t="str">
        <f>IFERROR(IF(OR(D66="",NOT(ISNUMBER(BS66)),N(BW66)=0),"",_xlfn.XLOOKUP(A66,Щиты[Щит],Щиты[Zпетли на шинах, Ом])+CI66),"")</f>
        <v/>
      </c>
      <c r="CL66" s="6" t="str">
        <f>IF(ISNUMBER(CK66),c_min*(Uн_лин*1000/SQRT(3))/CK66,"")</f>
        <v/>
      </c>
      <c r="CM66" s="6" t="str">
        <f>IFERROR(IF(OR(D66="",NOT(ISNUMBER(BS66))),"",1.05*(Uн_лин*1000/SQRT(3))/(_xlfn.XLOOKUP(A66,Щиты[Щит],Щиты[Zmax на шинах, Ом])+CJ66)/1000),"")</f>
        <v/>
      </c>
      <c r="CN66" s="6" t="str">
        <f>IF(D66="","",IF(BA66&lt;&gt;"","Щит",IF(K66&lt;&gt;"",K66,IF(ISNUMBER(L66),"Сил",IF(IFERROR(_xlfn.XLOOKUP(AT66,Коды_код,Коды_группа)&amp;"","")="","Быт",_xlfn.XLOOKUP(AT66,Коды_код,Коды_группа)&amp;"")))))</f>
        <v>Быт</v>
      </c>
      <c r="CO66" s="6">
        <f>IF(CN66="Щит","щит",IF(CN66="","",IF(CN66="Быт",IFERROR(_xlfn.XLOOKUP(A66,Щиты[Щит],Щиты[Кс быт]),1),IF(CN66="Сил",IF(ISNUMBER(L66),L66,IF(Методика="нормы 2026",IFERROR(_xlfn.XLOOKUP(A66,Щиты[Щит],Щиты[Кс силовых (табл. 7.5)]),1),1)),IF(OR(CN66="Пост",CN66="Отоп"),1,IF(CN66="ВНГ",0.7,0))))))</f>
        <v>0.8</v>
      </c>
      <c r="CP66">
        <f t="shared" si="107"/>
        <v>1</v>
      </c>
      <c r="CQ66">
        <f t="shared" si="108"/>
        <v>0</v>
      </c>
      <c r="CR66">
        <f t="shared" si="109"/>
        <v>0</v>
      </c>
      <c r="CS66">
        <f t="shared" si="110"/>
        <v>0</v>
      </c>
      <c r="CT66">
        <f t="shared" si="111"/>
        <v>0</v>
      </c>
      <c r="CU66">
        <f t="shared" si="112"/>
        <v>0</v>
      </c>
      <c r="CV66">
        <f t="shared" si="113"/>
        <v>0</v>
      </c>
      <c r="CW66">
        <f t="shared" si="114"/>
        <v>0</v>
      </c>
      <c r="CX66">
        <f t="shared" si="115"/>
        <v>0</v>
      </c>
      <c r="CY66">
        <f t="shared" si="116"/>
        <v>3</v>
      </c>
      <c r="CZ66" t="str">
        <f t="shared" si="117"/>
        <v>L3</v>
      </c>
      <c r="DA66" cm="1">
        <f t="array" ref="DA66">IFERROR(IF(BL66=2,_xlfn.IFS(BH66=3,VLOOKUP(BF66,Справочная_двигатели,3,FALSE),BH66=1,VLOOKUP(BF66,Справочная_двигатели,5,TRUE)),0),0)</f>
        <v>0</v>
      </c>
      <c r="DB66">
        <f>IFERROR(IF(BL66=3,VLOOKUP(BF66,Справочная_ЛЭД,2,TRUE),0),0)</f>
        <v>0</v>
      </c>
      <c r="DC66" s="6">
        <f t="shared" si="118"/>
        <v>0</v>
      </c>
      <c r="DD66" t="str">
        <f t="shared" si="119"/>
        <v>L3</v>
      </c>
      <c r="DE66" t="str" cm="1">
        <f t="array" ref="DE66">IF(D66="","",IFERROR(INDEX({"I особая","I","II","III"},MATCH(TRIM(AA66&amp;""),{"I особая","I","II","III"},0)),"III"))</f>
        <v>III</v>
      </c>
      <c r="DF66" t="str">
        <f>IF(D66="","",IF(TRIM(AB66&amp;"")&lt;&gt;"",IF(LOWER(TRIM(AB66&amp;""))="да","да","нет"),IF(IFERROR(_xlfn.XLOOKUP(AT66,Коды_код,Коды_пожарная),"")="да","да","нет")))</f>
        <v>нет</v>
      </c>
      <c r="DG66" t="str">
        <f t="shared" si="120"/>
        <v/>
      </c>
      <c r="DH66" t="str">
        <f t="shared" si="121"/>
        <v>основная</v>
      </c>
      <c r="DI66">
        <f t="shared" si="122"/>
        <v>1</v>
      </c>
      <c r="DJ66" t="str" cm="1">
        <f t="array" ref="DJ66">IF(D66="","",_xlfn.LET(_xlpm.t,IFERROR(_xlfn.XLOOKUP(1,(Шины[Шина]=DH66)*(((Шины[Щит]=A66)+(Шины[Щит]=""))&gt;0),Шины[Тип]),"")&amp;"",IF(_xlpm.t&lt;&gt;"",_xlpm.t,IF(ISNUMBER(SEARCH("ИБП",DH66)),"ИБП",IF(ISNUMBER(SEARCH("ДГУ",DH66)),"ДГУ","Ввод "&amp;DI66)))))</f>
        <v>Ввод 1</v>
      </c>
      <c r="DK66" t="str">
        <f t="shared" si="123"/>
        <v>Ввод 1</v>
      </c>
      <c r="DL66" t="str">
        <f>IF(D66="","",IF(OR(DJ66="ИБП",DJ66="ДГУ"),"I особая",IF(DJ66="Одиночная","III",_xlfn.XLOOKUP(A66,Щиты[Щит],Щиты[Категория шины «Ввод»],"III"))))</f>
        <v>III</v>
      </c>
      <c r="DM66">
        <f>IF(D66="",0,IFERROR(MATCH(DE66,{"III","II","I","I особая"},0),1))</f>
        <v>1</v>
      </c>
      <c r="DN66">
        <f t="shared" si="124"/>
        <v>1</v>
      </c>
      <c r="DO66" t="str">
        <f>IF(D66="","",IF(DM66&gt;IFERROR(MATCH(DL66,{"III","II","I","I особая"},0),1),"НЕ ОБЕСПЕЧЕНА","ОК"))</f>
        <v>ОК</v>
      </c>
      <c r="DP66" t="str">
        <f>IF(A66="","",_xlfn.XLOOKUP(A66,Щиты[Щит],Щиты[Путь],""))</f>
        <v>|ЩР|</v>
      </c>
      <c r="DQ66" t="str">
        <f>IF(D66="","",IF(Z66&lt;&gt;"",Z66,IF(IFERROR(_xlfn.XLOOKUP(AT66,Коды_код,Коды_вид)&amp;"","")="","Прочее",_xlfn.XLOOKUP(AT66,Коды_код,Коды_вид)&amp;"")))</f>
        <v>Рабочее освещение</v>
      </c>
      <c r="DR66">
        <f>IF(BD66="","",INT((BD66-1)/Столбцов_на_лист)+1)</f>
        <v>5</v>
      </c>
      <c r="DS66" t="str">
        <f t="shared" si="125"/>
        <v>ВВГнг(А)-LS (5х1,5) L=100-0%</v>
      </c>
      <c r="DT66">
        <f t="shared" si="126"/>
        <v>0</v>
      </c>
      <c r="DU66">
        <f t="shared" si="127"/>
        <v>0</v>
      </c>
      <c r="DV66">
        <f t="shared" si="128"/>
        <v>1</v>
      </c>
      <c r="DW66">
        <f>IF(AT66="",0,_xlfn.LET(_xlpm.v,IFERROR(VLOOKUP(D66,УГО_спр,3,FALSE),IFERROR(VLOOKUP(AT66,УГО_спр,3,FALSE),IFERROR(VLOOKUP(LEFT(AT66,2),УГО_спр,3,FALSE),""))),IF(_xlpm.v="да",30,IF(ISNUMBER(_xlpm.v),_xlpm.v,0))))</f>
        <v>0</v>
      </c>
      <c r="DX66">
        <f t="shared" si="129"/>
        <v>0</v>
      </c>
      <c r="DY66">
        <f>IF(BD66="","",IF(AD66&lt;&gt;"",COUNTIFS(A$3:A66,A66,AD$3:AD66,"?*"),IF(OR(OR(AS66=1,A66&lt;&gt;A65),AL66="вручную"),"",IF(AS66=1,"",DZ65))))</f>
        <v>33</v>
      </c>
      <c r="DZ66">
        <f t="shared" si="130"/>
        <v>33</v>
      </c>
      <c r="EA66">
        <f>IF(D66="",0,MAX(IFERROR(--X66,0),IFERROR(--VLOOKUP(D66,УГО_спр,4,FALSE),IFERROR(--VLOOKUP(AT66,УГО_спр,4,FALSE),IFERROR(--VLOOKUP(LEFT(AT66,2),УГО_спр,4,FALSE),0)))))</f>
        <v>10</v>
      </c>
      <c r="EB66">
        <f>IF(D66="","",IFERROR(LOOKUP(INDEX(CHOOSE(BR66,Iдоп_1ж,Iдоп_2ж,Iдоп_3ж),MATCH(BS66,Iдоп_S,0))*BP66*BQ66,{6,10,16,20,25,32,40,50,63,80,100,125,160,200,250,315,400,500,630}),""))</f>
        <v>16</v>
      </c>
      <c r="EC66" t="str">
        <f>IF(AD66="","",SUMIFS(Линии[_Ток схемы],Линии[_гр.],DY66,Линии[Щит],A66,Линии[_в кабель выше],0))</f>
        <v/>
      </c>
      <c r="ED66" t="str">
        <f>IF(AD66="","",IFERROR(VLOOKUP(EC66,Автомат_номиналы,2,TRUE),""))</f>
        <v/>
      </c>
      <c r="EE66" t="str">
        <f>IF(AD66="","",MAX(N(ED66),_xlfn.MAXIFS(Линии[_мин. по типу],Линии[_гр.],DY66,Линии[Щит],A66)))</f>
        <v/>
      </c>
      <c r="EF66" t="str">
        <f>IF(AD66="","",_xlfn.MINIFS(Линии[_макс. автомат по кабелю],Линии[_гр.],DY66,Линии[Щит],A66))</f>
        <v/>
      </c>
      <c r="EG66" t="str">
        <f>IF(AD66="","",MAX(1,_xlfn.MAXIFS(Линии[_фаз],Линии[_гр.],DY66,Линии[Щит],A66)))</f>
        <v/>
      </c>
      <c r="EH66" t="str">
        <f>IF(AD66="","",IF(AND(AD66&lt;&gt;"авто",AD66&lt;&gt;"+"),IF(ISNUMBER(SEARCH("мА",AD66)),IFERROR(--TRIM(RIGHT(SUBSTITUTE(LEFT(AD66,SEARCH("мА",AD66)-1)," ",REPT(" ",9)),6)),30),0),IF(AE66="нет",0,IF(ISNUMBER(AE66),AE66,IF(AE66="да",30,_xlfn.MINIFS(Линии[_дифзащита по коду, мА],Линии[_гр.],DY66,Линии[Щит],A66,Линии[_дифзащита по коду, мА],"&gt;0"))))))</f>
        <v/>
      </c>
      <c r="EI66" t="str">
        <f t="shared" si="131"/>
        <v/>
      </c>
      <c r="EJ66" t="str">
        <f t="shared" si="132"/>
        <v/>
      </c>
      <c r="EK66" t="str">
        <f t="shared" si="133"/>
        <v>QF33</v>
      </c>
      <c r="EL66" t="str">
        <f t="shared" si="134"/>
        <v>МК-5-1</v>
      </c>
      <c r="EM66">
        <f t="shared" si="135"/>
        <v>0</v>
      </c>
      <c r="EN66" t="str">
        <f>IF(AD66="","",IF(EM66=1,MAX(EE66,Мин_автомат_БП),EE66))</f>
        <v/>
      </c>
      <c r="EO66" t="str">
        <f t="shared" si="136"/>
        <v/>
      </c>
      <c r="EP66" t="str">
        <f t="shared" si="137"/>
        <v/>
      </c>
      <c r="EQ66" t="str">
        <f t="shared" si="138"/>
        <v/>
      </c>
      <c r="ER66" t="str">
        <f>IF(OR(AI66="",AI66="-"),"",IFERROR(VLOOKUP(AI66,Модули_спр,2,FALSE),"R"))</f>
        <v/>
      </c>
      <c r="ES66" t="str">
        <f>IF(ER66="","",ER66&amp;"."&amp;COUNTIFS(A$3:A66,A66,ER$3:ER66,ER66))</f>
        <v/>
      </c>
      <c r="ET66" t="str">
        <f t="shared" si="139"/>
        <v/>
      </c>
      <c r="EU66" t="str">
        <f t="shared" si="140"/>
        <v/>
      </c>
      <c r="EV66" t="str">
        <f t="shared" si="141"/>
        <v/>
      </c>
      <c r="EW66" t="str">
        <f t="shared" si="142"/>
        <v/>
      </c>
      <c r="EX66">
        <f t="shared" si="143"/>
        <v>1</v>
      </c>
      <c r="EY66" t="str">
        <f>IF(AK66="нет","",IF(AK66&lt;&gt;"",AK66,IF(EX66=1,"XT"&amp;COUNTIFS(A$3:A66,A66,EX$3:EX66,1),"")))</f>
        <v>XT46</v>
      </c>
      <c r="EZ66" t="str">
        <f t="shared" si="144"/>
        <v>QF33</v>
      </c>
      <c r="FA66" t="str">
        <f t="shared" si="145"/>
        <v/>
      </c>
      <c r="FB66" t="str">
        <f t="shared" si="146"/>
        <v/>
      </c>
      <c r="FC66" t="str">
        <f>IF(OR(EV66="",ET66=""),"",IF(EV66&gt;IFERROR(VLOOKUP(EU66,Модули_спр,3,FALSE),99),"ЛИШНИЙ КАНАЛ",IF(AND(AJ66&lt;&gt;"=",COUNTIFS(Линии[_модуль гр.],ET66,Линии[Канал (итог)],EV66,Линии[Канал],"&lt;&gt;=",Линии[Щит],A66)&gt;1),"ДУБЛЬ КАНАЛА","")))</f>
        <v/>
      </c>
      <c r="FD66">
        <f t="shared" si="147"/>
        <v>10</v>
      </c>
      <c r="FE66" t="str">
        <f t="shared" si="148"/>
        <v>1P С10А</v>
      </c>
      <c r="FF66">
        <f t="shared" si="149"/>
        <v>0</v>
      </c>
      <c r="FG66">
        <f t="shared" si="150"/>
        <v>0</v>
      </c>
      <c r="FH66" s="6" t="str">
        <f t="shared" si="151"/>
        <v/>
      </c>
      <c r="FI66">
        <f t="shared" si="152"/>
        <v>10</v>
      </c>
      <c r="FJ66" t="str">
        <f t="shared" si="153"/>
        <v/>
      </c>
      <c r="FK66" t="str">
        <f>IF(AND(D66="",EZ66=""),"",_xlfn.TEXTJOIN("; ",TRUE,IF(AND(D66&lt;&gt;"",DD66=""),"нет фазы",""),IF(AND(D66&lt;&gt;"",N(DT66)=0,CN66&lt;&gt;"Нет"),"нет мощности",""),IF(AND(EY66&lt;&gt;"",COUNTIFS(Линии[Щит],A66,Линии[Клемма (итог)],EY66)&gt;1),"дубль клеммы "&amp;EY66,""),IF(AND(FB66&lt;&gt;"",FB66&lt;&gt;"ok"),FB66,""),IF(FC66&lt;&gt;"",FC66,""),IF(AND(ISNUMBER(SEARCH("(5х",DS66)),N(DV66)=1),"5 жил на 1 фазе",""),IF(AND(AT66="R",AD66&lt;&gt;"",OR(N(EH66)=0,N(EH66)&gt;30)),"розетка без дифзащиты до 30 мА",""),IFERROR(IF(AND(ISNUMBER(CD66),CD66&gt;CE66),"потери "&amp;FIXED(CD66,1)&amp;" % &gt; "&amp;CE66&amp;" %",""),""),IFERROR(IF(LEFT(FJ66,4)="мало","Iкз мало — отключение &gt; 0,4 с",""),""),IF(AND(D66&lt;&gt;"",BD66=""),"не на схеме","")))</f>
        <v>нет мощности; 5 жил на 1 фазе</v>
      </c>
      <c r="FL66" s="6" t="str">
        <f>IF(AD66="","",_xlfn.LET(_xlpm.t,IFERROR(_xlfn.XLOOKUP(EP66,Каталог!$U$4:$U$500,Каталог!$G$4:$G$500),""),_xlpm.k,SEARCH("кА",_xlpm.t),IFERROR(--TRIM(RIGHT(SUBSTITUTE(MID(_xlpm.t,MAX(1,_xlpm.k-4),_xlpm.k-MAX(1,_xlpm.k-4))," ",REPT(" ",9)),5)),"")))</f>
        <v/>
      </c>
      <c r="FM66" t="str">
        <f>IF(OR(FL66="",AD66=""),"",IF(_xlfn.XLOOKUP(A66,Щиты[Щит],Щиты[Iкз max на шинах, кА],"")="","",IF(FL66&lt;_xlfn.XLOOKUP(A66,Щиты[Щит],Щиты[Iкз max на шинах, кА]),"Icu "&amp;FL66&amp;" кА &lt; Iкз max","ok")))</f>
        <v/>
      </c>
      <c r="FN66" t="str">
        <f t="shared" si="154"/>
        <v>QF33|МК-5-1|XT46</v>
      </c>
      <c r="FO66" t="str">
        <f t="shared" si="155"/>
        <v>QF33|МК-5-1|XT46|кабель ВВГнг(А)-LS (5х1,5) → Группа освещения  Пом. №05</v>
      </c>
      <c r="FP66" t="str" cm="1">
        <f t="array" ref="FP66">IF(FO66="","",_xlfn.LET(_xlpm.nd,_xlfn.TEXTSPLIT(FO66,"|"),IF(COLUMNS(_xlpm.nd)&gt;1,A66&amp;"¦"&amp;INDEX(_xlpm.nd,1)&amp;"¦"&amp;INDEX(_xlpm.nd,2),"")))</f>
        <v>ЩР¦QF33¦МК-5-1</v>
      </c>
      <c r="FQ66" t="str">
        <f t="shared" si="156"/>
        <v>L.2.05.1¦Группа освещения  Пом. №05</v>
      </c>
      <c r="FR66" t="str" cm="1">
        <f t="array" ref="FR66">IF(FO66="","",_xlfn.LET(_xlpm.nd,_xlfn.TEXTSPLIT(FO66,"|"),IF(COLUMNS(_xlpm.nd)&gt;2,A66&amp;"¦"&amp;INDEX(_xlpm.nd,2)&amp;"¦"&amp;INDEX(_xlpm.nd,3),"")))</f>
        <v>ЩР¦МК-5-1¦XT46</v>
      </c>
      <c r="FS66" t="str">
        <f t="shared" si="157"/>
        <v>L.2.05.1¦Группа освещения  Пом. №05</v>
      </c>
      <c r="FT66" t="str" cm="1">
        <f t="array" ref="FT66">IF(FO66="","",_xlfn.LET(_xlpm.nd,_xlfn.TEXTSPLIT(FO66,"|"),IF(COLUMNS(_xlpm.nd)&gt;3,A66&amp;"¦"&amp;INDEX(_xlpm.nd,3)&amp;"¦"&amp;INDEX(_xlpm.nd,4),"")))</f>
        <v>ЩР¦XT46¦кабель ВВГнг(А)-LS (5х1,5) → Группа освещения  Пом. №05</v>
      </c>
      <c r="FU66" t="str">
        <f t="shared" si="158"/>
        <v>L.2.05.1¦Группа освещения  Пом. №05</v>
      </c>
      <c r="FV66" t="str" cm="1">
        <f t="array" ref="FV66">IF(FO66="","",_xlfn.LET(_xlpm.nd,_xlfn.TEXTSPLIT(FO66,"|"),IF(COLUMNS(_xlpm.nd)&gt;4,A66&amp;"¦"&amp;INDEX(_xlpm.nd,4)&amp;"¦"&amp;INDEX(_xlpm.nd,5),"")))</f>
        <v/>
      </c>
      <c r="FW66" t="str">
        <f t="shared" si="159"/>
        <v/>
      </c>
      <c r="FX66" t="str" cm="1">
        <f t="array" ref="FX66">IF(FO66="","",_xlfn.LET(_xlpm.nd,_xlfn.TEXTSPLIT(FO66,"|"),IF(COLUMNS(_xlpm.nd)&gt;5,A66&amp;"¦"&amp;INDEX(_xlpm.nd,5)&amp;"¦"&amp;INDEX(_xlpm.nd,6),"")))</f>
        <v/>
      </c>
      <c r="FY66" t="str">
        <f t="shared" si="160"/>
        <v/>
      </c>
      <c r="FZ66" t="str" cm="1">
        <f t="array" ref="FZ66">IF(FO66="","",_xlfn.LET(_xlpm.nd,_xlfn.TEXTSPLIT(FO66,"|"),IF(COLUMNS(_xlpm.nd)&gt;6,A66&amp;"¦"&amp;INDEX(_xlpm.nd,6)&amp;"¦"&amp;INDEX(_xlpm.nd,7),"")))</f>
        <v/>
      </c>
      <c r="GA66" t="str">
        <f t="shared" si="161"/>
        <v/>
      </c>
      <c r="GB66" t="str">
        <f t="shared" si="162"/>
        <v/>
      </c>
      <c r="GC66" t="str">
        <f t="shared" si="163"/>
        <v>QF33 → МК-5-1 → XT46</v>
      </c>
      <c r="GD66">
        <f t="shared" si="164"/>
        <v>1</v>
      </c>
      <c r="GE66">
        <f t="shared" si="165"/>
        <v>0</v>
      </c>
      <c r="GF66">
        <f t="shared" si="166"/>
        <v>0</v>
      </c>
      <c r="GG66" t="str">
        <f t="shared" si="167"/>
        <v/>
      </c>
      <c r="GH66" t="str">
        <f t="shared" si="168"/>
        <v/>
      </c>
      <c r="GI66" t="str">
        <f t="shared" si="169"/>
        <v/>
      </c>
      <c r="GJ66" t="str">
        <f t="shared" si="170"/>
        <v/>
      </c>
      <c r="GK66" t="str">
        <f>IF(D66="","",IFERROR(VLOOKUP(D66,УГО_спр,2,FALSE),IFERROR(VLOOKUP(AT66,УГО_спр,2,FALSE),IFERROR(VLOOKUP(LEFT(AT66,2),УГО_спр,2,FALSE),""))))</f>
        <v>Светильник</v>
      </c>
      <c r="GL66" t="str">
        <f>IF(D66="","",IF(OR(GK66="",GK66=0),"BOX",IFERROR(IF(VLOOKUP(GK66,УГО_блоки,3,FALSE)&amp;""&lt;&gt;"",VLOOKUP(GK66,УГО_блоки,3,FALSE),VLOOKUP(GK66,УГО_блоки,2,FALSE)),GK66)))</f>
        <v>LAMP</v>
      </c>
      <c r="GM66">
        <f t="shared" si="171"/>
        <v>1</v>
      </c>
      <c r="GN66" t="str">
        <f>IF(EP66="","",IF(COUNTIF(EP$3:EP66,EP66)=1,MAX(GN$2:GN65)+1,""))</f>
        <v/>
      </c>
      <c r="GO66" t="str">
        <f>IF(AF66="","",IF(COUNTIF(AF$3:AF66,AF66)+COUNTIF(AG$2:AG65,AF66)+COUNTIF(AH$2:AH65,AF66)=1,MAX(GO$2:GQ65)+1,""))</f>
        <v/>
      </c>
      <c r="GP66" t="str">
        <f>IF(AG66="","",IF(COUNTIF(AF$3:AF66,AG66)+COUNTIF(AG$3:AG66,AG66)+COUNTIF(AH$2:AH65,AG66)=1,MAX(GO$2:GQ65,GO66)+1,""))</f>
        <v/>
      </c>
      <c r="GQ66" t="str">
        <f>IF(AH66="","",IF(COUNTIF(AF$3:AF66,AH66)+COUNTIF(AG$3:AG66,AH66)+COUNTIF(AH$3:AH66,AH66)=1,MAX(GO$2:GQ65,GO66,GP66)+1,""))</f>
        <v/>
      </c>
      <c r="GR66" t="str">
        <f t="shared" si="172"/>
        <v>5х1,5</v>
      </c>
      <c r="GS66" t="str">
        <f>IF(GR66="","",IF(COUNTIF(GR$3:GR66,GR66)=1,MAX(GS$2:GS65)+1,""))</f>
        <v/>
      </c>
      <c r="GT66" t="str">
        <f>IF(ES66="","",COUNTIF(ES$3:ES66,"?*"))</f>
        <v/>
      </c>
      <c r="GU66" t="str">
        <f>IF(OR(ES66="",EU66=""),"",IF(COUNTIFS(ES$3:ES66,"?*",EU$3:EU66,EU66)=1,MAX(GU$2:GU65)+1,""))</f>
        <v/>
      </c>
      <c r="GV66">
        <f t="shared" si="173"/>
        <v>1</v>
      </c>
      <c r="GW66">
        <f>IF(D66="","",COUNTIF(D$3:D66,"?*"))</f>
        <v>46</v>
      </c>
      <c r="GX66">
        <f>IF(EX66&lt;&gt;1,0,_xlfn.LET(_xlpm.k,MAX(IFERROR(--VLOOKUP(D66,УГО_спр,5,FALSE),0),IFERROR(--VLOOKUP(AT66,УГО_спр,5,FALSE),0),IFERROR(--VLOOKUP(LEFT(AT66,2),УГО_спр,5,FALSE),0)),IF(_xlpm.k&gt;0,_xlpm.k,IF(IFERROR(--LEFT(SUBSTITUTE(GR66,"x","х"),FIND("х",SUBSTITUTE(GR66,"x","х"))-1),3)&gt;3,Каталог!$S$9,1))))</f>
        <v>1</v>
      </c>
      <c r="GY66">
        <f t="shared" si="174"/>
        <v>2</v>
      </c>
    </row>
    <row r="67" spans="1:207" x14ac:dyDescent="0.3">
      <c r="A67" t="s">
        <v>206</v>
      </c>
      <c r="B67">
        <v>71</v>
      </c>
      <c r="C67" t="str">
        <f>IF(BD67="","",IF(BE67="вводной узел","узел ","")&amp;"л."&amp;(INT((BD67-1)/Столбцов_на_лист)+1)&amp;" / "&amp;(MOD(BD67-1,Столбцов_на_лист)+1))</f>
        <v>л.5 / 3</v>
      </c>
      <c r="D67" t="s">
        <v>728</v>
      </c>
      <c r="E67" s="133" t="str">
        <f t="shared" ref="E67:E72" si="176">AY67</f>
        <v>Группа освещения  Пом. №08</v>
      </c>
      <c r="H67">
        <v>8</v>
      </c>
      <c r="O67">
        <v>1</v>
      </c>
      <c r="T67">
        <v>1</v>
      </c>
      <c r="V67">
        <v>5</v>
      </c>
      <c r="AD67" t="s">
        <v>597</v>
      </c>
      <c r="AF67" t="s">
        <v>773</v>
      </c>
      <c r="AM67">
        <v>12.3</v>
      </c>
      <c r="AO67">
        <v>831411</v>
      </c>
      <c r="AQ67" t="s">
        <v>232</v>
      </c>
      <c r="AR67" t="str">
        <f t="shared" ref="AR67:AR72" si="177">_xlfn.TEXTJOIN("; ",TRUE,FK67,IF(DO67="НЕ ОБЕСПЕЧЕНА","категория "&amp;DE67&amp;" не обеспечена (есть "&amp;DL67&amp;")",""),IF(LEFT(FM67,3)="Icu",FM67,""),IF(AND(D67&lt;&gt;"",BS67="Не исп"),"сечение не подобрано",""))</f>
        <v>нет мощности; 5 жил на 1 фазе</v>
      </c>
      <c r="AS67" cm="1">
        <f t="array" ref="AS67">ROW()-ROW(Линии[#Headers])</f>
        <v>65</v>
      </c>
      <c r="AT67" s="6" t="str">
        <f t="shared" ref="AT67:AT72" si="178">IF(D67="","",IFERROR(LEFT(D67,SEARCH(".",D67)-1),D67))</f>
        <v>L</v>
      </c>
      <c r="AU67" t="str">
        <f t="shared" ref="AU67:AU72" si="179">IFERROR(RIGHT(D67,LEN(D67)-SEARCH(".",D67)),"")</f>
        <v>2.08.1</v>
      </c>
      <c r="AV67" t="str">
        <f t="shared" ref="AV67:AV98" si="180">IFERROR(LEFT(AU67,SEARCH(".",AU67)-1),AU67)</f>
        <v>2</v>
      </c>
      <c r="AW67" t="str">
        <f t="shared" ref="AW67:AW72" si="181">IFERROR(RIGHT(AU67,LEN(AU67)-SEARCH(".",AU67)),"")</f>
        <v>08.1</v>
      </c>
      <c r="AX67" t="str">
        <f t="shared" ref="AX67:AX98" si="182">IFERROR(LEFT(AW67,SEARCH(".",AW67)-1),AW67)</f>
        <v>08</v>
      </c>
      <c r="AY67" t="str">
        <f>IF(D67="","",IF(ISERROR(SEARCH(".",D67)),IFERROR(VLOOKUP(D67,Потребители_обозначение,2,FALSE)&amp;"",""),IFERROR(IF(VLOOKUP(AT67,Потребители_обозначение,4,FALSE)=1,VLOOKUP(AT67,Потребители_обозначение,2,FALSE)&amp;" "&amp;VLOOKUP(AV67,Этаж_обозначение,2,FALSE)&amp;" Пом. №"&amp;AX67,VLOOKUP(AT67,Потребители_обозначение,2,FALSE)&amp;" Шлейф №"&amp;AV67),IFERROR(VLOOKUP(D67,Потребители_обозначение,2,FALSE),""))))</f>
        <v>Группа освещения  Пом. №08</v>
      </c>
      <c r="AZ67" t="str">
        <f t="shared" ref="AZ67:AZ98" si="183">IF(E67&lt;&gt;"",E67,AY67)</f>
        <v>Группа освещения  Пом. №08</v>
      </c>
      <c r="BA67" t="str">
        <f>IF(F67&lt;&gt;"",F67,IF(AND(D67&lt;&gt;"",D67&lt;&gt;A67,ISNUMBER(_xlfn.XMATCH(D67,Щиты[Щит]))),D67,""))</f>
        <v/>
      </c>
      <c r="BB67">
        <f>IFERROR(_xlfn.XMATCH(A67,Щиты[Щит]),0)</f>
        <v>1</v>
      </c>
      <c r="BC67">
        <f>IFERROR(N(_xlfn.XLOOKUP(A67,Щиты[Щит],Щиты[Мест под вводной узел])),15)</f>
        <v>18</v>
      </c>
      <c r="BD67">
        <f t="shared" ref="BD67:BD98" si="184">IF(B67="-","",IF(ISNUMBER(B67),B67,_xlfn.LET(_xlpm.prev,IF(OR(AS67=1,A67&lt;&gt;A66),0,N(IF(AS67=1,"",BD66))),_xlpm.nx,_xlpm.prev+1,IF(AND(AL67&lt;&gt;"вручную",_xlpm.nx&lt;=BC67),BC67+1,_xlpm.nx))))</f>
        <v>71</v>
      </c>
      <c r="BE67" t="str">
        <f t="shared" ref="BE67:BE98" si="185">IF(BD67="","",IF(BD67&lt;=BC67,"вводной узел","линии"))</f>
        <v>линии</v>
      </c>
      <c r="BF67" s="6">
        <f>IF(D67="","",IF(BA67&lt;&gt;"",IFERROR(_xlfn.XLOOKUP(BA67,Щиты[Щит],Щиты[Руст, кВт]),0),N(G67)))</f>
        <v>0</v>
      </c>
      <c r="BG67">
        <f>IF(J67&lt;&gt;"",J67,IF(D67="","",IFERROR(IF(VLOOKUP(AT67,Потребители_обозначение,8,FALSE)=0,"",VLOOKUP(AT67,Потребители_обозначение,8,FALSE)),"")))</f>
        <v>230</v>
      </c>
      <c r="BH67">
        <f>IF(I67&lt;&gt;"",I67,IF(D67="","",IFERROR(IF(VLOOKUP(AT67,Потребители_обозначение,9,FALSE)=0,"",VLOOKUP(AT67,Потребители_обозначение,9,FALSE)),"")))</f>
        <v>1</v>
      </c>
      <c r="BI67" t="str">
        <f>IF(U67&lt;&gt;"",U67,IF(D67="","",IFERROR(IF(VLOOKUP(AT67,Потребители_обозначение,6,FALSE)=0,"",VLOOKUP(AT67,Потребители_обозначение,6,FALSE)),"")))</f>
        <v>мс</v>
      </c>
      <c r="BJ67">
        <f>IF(V67&lt;&gt;"",V67,IF(D67="","",IFERROR(IF(VLOOKUP(AT67,Потребители_обозначение,7,FALSE)=0,"",VLOOKUP(AT67,Потребители_обозначение,7,FALSE)),"")))</f>
        <v>5</v>
      </c>
      <c r="BK67">
        <f>IF(W67&lt;&gt;"",W67,IF(D67="","",IFERROR(IF(VLOOKUP(AT67,Потребители_обозначение,10,FALSE)=0,"",VLOOKUP(AT67,Потребители_обозначение,10,FALSE)),"")))</f>
        <v>1.5</v>
      </c>
      <c r="BL67">
        <f>IFERROR(VLOOKUP(AT67,Потребители_обозначение,5,FALSE),0)</f>
        <v>1</v>
      </c>
      <c r="BM67" s="6" cm="1">
        <f t="array" ref="BM67">IF(D67="","",IF(BA67&lt;&gt;"",IFERROR(_xlfn.XLOOKUP(BA67,Щиты[Щит],Щиты[cos φ]),0.95),IF(ISNUMBER(M67),M67,IFERROR(IF(BL67=2,_xlfn.IFS(BH67=3,VLOOKUP(BF67,Справочная_двигатели,8,FALSE),BH67=1,VLOOKUP(BF67,Справочная_двигатели,10,TRUE)),IF(AND(Методика="нормы 2026",CN67="Сил"),0.8,0.95)),0.95))))</f>
        <v>0.95</v>
      </c>
      <c r="BN67" s="6" cm="1">
        <f t="array" ref="BN67">IF(D67="","",IF(BA67&lt;&gt;"",IFERROR(_xlfn.XLOOKUP(BA67,Щиты[Щит],Щиты[Iр, А]),""),IFERROR(_xlfn.IFS(BH67=1,BF67/((Uн_лин/SQRT(3))*BM67),BH67=3,BF67/(SQRT(3)*Uн_лин*BM67)),"")))</f>
        <v>0</v>
      </c>
      <c r="BO67">
        <f>IF(D67="","",IF(N(X67)=0,IFERROR(VLOOKUP(BN67,Автомат_номиналы,2,TRUE),""),X67))</f>
        <v>6</v>
      </c>
      <c r="BP67">
        <f t="shared" ref="BP67:BP72" si="186">IF(N(BJ67)=1,1,IF(BH67=1,1,IF(N(BJ67)&gt;=4,0.92,1)))</f>
        <v>1</v>
      </c>
      <c r="BQ67">
        <f>IF(ISNUMBER(Y67),Y67,К_прокл)</f>
        <v>1</v>
      </c>
      <c r="BR67">
        <f t="shared" ref="BR67:BR72" si="187">IF(N(BJ67)=1,1,IF(BH67=1,2,3))</f>
        <v>2</v>
      </c>
      <c r="BS67" cm="1">
        <f t="array" ref="BS67">IF(D67="","",IF(N(BK67)&lt;&gt;0,BK67,IFERROR(_xlfn.LET(_xlpm.need,BO67/(BP67*BQ67),_xlpm.t,CHOOSE(BR67,Iдоп_1ж,Iдоп_2ж,Iдоп_3ж),_xlpm.k,_xlfn.XMATCH(_xlpm.need,_xlpm.t,1),IF(ISNA(_xlpm.k),"Не исп",INDEX(Iдоп_S,_xlpm.k))),"Не исп")))</f>
        <v>1.5</v>
      </c>
      <c r="BT67">
        <f>IFERROR(VLOOKUP(BS67,Кабель_сопротивление,3,FALSE),"")</f>
        <v>2.2499999999999999E-2</v>
      </c>
      <c r="BU67">
        <f>IFERROR(VLOOKUP(BS67,Кабель_сопротивление,2,FALSE),"")</f>
        <v>0.11</v>
      </c>
      <c r="BV67">
        <f t="shared" ref="BV67:BV72" si="188">IF(P67&lt;&gt;"",P67,IF(COUNT(AM67,AN67)=0,"",ROUNDUP(SUM(AM67,AN67),0)))</f>
        <v>13</v>
      </c>
      <c r="BW67" s="6">
        <f>IF(D67="","",IFERROR(IF(VLOOKUP(AT67,Потребители_обозначение,4,FALSE)=1,VLOOKUP(AT67,Потребители_обозначение,3,FALSE)*(H67*2-1)+BV67+VLOOKUP(AV67,Этаж_обозначение,3,FALSE)+VLOOKUP(AV67,Этаж_обозначение,4,FALSE),VLOOKUP(AT67,Потребители_обозначение,3,FALSE)*(H67*2-1)+BV67),BV67))</f>
        <v>28</v>
      </c>
      <c r="BX67">
        <f t="shared" ref="BX67:BX98" si="189">IF(R67&lt;&gt;"",R67,IF(OR(BV67="",T67=""),"",IF(T67=1,MAX(0,BW67-ROUNDUP(N(AN67),0)-4),ROUNDUP(N(AM67),0))))</f>
        <v>24</v>
      </c>
      <c r="BY67">
        <f t="shared" ref="BY67:BY72" si="190">IF(S67&lt;&gt;"",S67,IF(OR(BV67="",T67=""),"",IF(T67=2,MAX(0,BW67-ROUNDUP(N(AM67),0)-4),ROUNDUP(N(AN67),0))))</f>
        <v>0</v>
      </c>
      <c r="BZ67">
        <f t="shared" ref="BZ67:BZ72" si="191">IF(BH67=1,2,IF(BH67=3,1,""))</f>
        <v>2</v>
      </c>
      <c r="CA67">
        <f t="shared" ref="CA67:CA72" si="192">IFERROR(ROUND(SIN(ACOS(BM67)),2),"")</f>
        <v>0.31</v>
      </c>
      <c r="CB67">
        <f t="shared" ref="CB67:CB98" si="193">IFERROR(BZ67*(BT67*BW67/BS67*BM67+BU67*BW67*CA67/1000)*BN67,"")</f>
        <v>0</v>
      </c>
      <c r="CC67" s="6">
        <f>IFERROR(ROUNDUP(CB67/((Uн_лин/SQRT(3))*1000)*100,2),"")</f>
        <v>0</v>
      </c>
      <c r="CD67" s="6">
        <f>IF(ISNUMBER(CC67),CC67+IFERROR(_xlfn.XLOOKUP(A67,Щиты[Щит],Щиты[ΔU до шин, %]),0),"")</f>
        <v>0</v>
      </c>
      <c r="CE67" s="6">
        <f>IF(D67="","",IF(IFERROR(VLOOKUP(AT67,УГО_спр,2,FALSE),"")="Светильник",3,4)+IF(Методика="нормы 2026",MIN(0.5,MAX(0,N(BW67)-100)*0.005),0))</f>
        <v>3</v>
      </c>
      <c r="CF67" t="str">
        <f>IFERROR(VLOOKUP(BI67,Кабель_обозначение,2,FALSE),"")</f>
        <v>ВВГнг(А)-LS</v>
      </c>
      <c r="CG67" t="str">
        <f>IFERROR(IF(VLOOKUP(BI67,Кабель_обозначение,3,FALSE)=1,CF67&amp;" ("&amp;BJ67&amp;"х"&amp;BS67&amp;")",CF67),"")</f>
        <v>ВВГнг(А)-LS (5х1,5)</v>
      </c>
      <c r="CH67" t="str">
        <f t="shared" ref="CH67:CH98" si="194">IF(OR(D67="",CF67="",AND(G67&lt;&gt;"",NOT(ISNUMBER(G67)))),"",IF(BS67=0,CF67,CG67&amp;CHAR(10)&amp;"L="&amp;BW67&amp;"-"&amp;CC67&amp;"%"))</f>
        <v>ВВГнг(А)-LS (5х1,5)
L=28-0%</v>
      </c>
      <c r="CI67">
        <f>IFERROR(2*ρкз_Cu*BW67/BS67,"")</f>
        <v>0.98186666666666678</v>
      </c>
      <c r="CJ67">
        <f t="shared" ref="CJ67:CJ72" si="195">IFERROR(0.0175*N(BW67)/BS67,"")</f>
        <v>0.32666666666666672</v>
      </c>
      <c r="CK67" s="6" t="str">
        <f>IFERROR(IF(OR(D67="",NOT(ISNUMBER(BS67)),N(BW67)=0),"",_xlfn.XLOOKUP(A67,Щиты[Щит],Щиты[Zпетли на шинах, Ом])+CI67),"")</f>
        <v/>
      </c>
      <c r="CL67" s="6" t="str">
        <f>IF(ISNUMBER(CK67),c_min*(Uн_лин*1000/SQRT(3))/CK67,"")</f>
        <v/>
      </c>
      <c r="CM67" s="6" t="str">
        <f>IFERROR(IF(OR(D67="",NOT(ISNUMBER(BS67))),"",1.05*(Uн_лин*1000/SQRT(3))/(_xlfn.XLOOKUP(A67,Щиты[Щит],Щиты[Zmax на шинах, Ом])+CJ67)/1000),"")</f>
        <v/>
      </c>
      <c r="CN67" s="6" t="str">
        <f>IF(D67="","",IF(BA67&lt;&gt;"","Щит",IF(K67&lt;&gt;"",K67,IF(ISNUMBER(L67),"Сил",IF(IFERROR(_xlfn.XLOOKUP(AT67,Коды_код,Коды_группа)&amp;"","")="","Быт",_xlfn.XLOOKUP(AT67,Коды_код,Коды_группа)&amp;"")))))</f>
        <v>Быт</v>
      </c>
      <c r="CO67" s="6">
        <f>IF(CN67="Щит","щит",IF(CN67="","",IF(CN67="Быт",IFERROR(_xlfn.XLOOKUP(A67,Щиты[Щит],Щиты[Кс быт]),1),IF(CN67="Сил",IF(ISNUMBER(L67),L67,IF(Методика="нормы 2026",IFERROR(_xlfn.XLOOKUP(A67,Щиты[Щит],Щиты[Кс силовых (табл. 7.5)]),1),1)),IF(OR(CN67="Пост",CN67="Отоп"),1,IF(CN67="ВНГ",0.7,0))))))</f>
        <v>0.8</v>
      </c>
      <c r="CP67">
        <f t="shared" ref="CP67:CP72" si="196">IF(CN67="","",IFERROR(MIN(3,MAX(1,INT(--N67))),1))</f>
        <v>1</v>
      </c>
      <c r="CQ67">
        <f t="shared" ref="CQ67:CQ72" si="197">IF(OR(CN67="",CN67="Нет",CN67="Щит"),0,N(BF67))</f>
        <v>0</v>
      </c>
      <c r="CR67">
        <f t="shared" ref="CR67:CR72" si="198">IF(CN67="Быт",N(BF67),0)</f>
        <v>0</v>
      </c>
      <c r="CS67">
        <f t="shared" ref="CS67:CS72" si="199">IF(CN67="Сил",N(BF67)*N(CO67),0)</f>
        <v>0</v>
      </c>
      <c r="CT67">
        <f t="shared" ref="CT67:CT72" si="200">IF(CN67="Пост",N(BF67),0)</f>
        <v>0</v>
      </c>
      <c r="CU67">
        <f t="shared" ref="CU67:CU72" si="201">IF(CN67="Отоп",N(BF67),0)</f>
        <v>0</v>
      </c>
      <c r="CV67">
        <f t="shared" ref="CV67:CV72" si="202">IF(CN67="ВНГ",N(BF67)*0.7,0)</f>
        <v>0</v>
      </c>
      <c r="CW67">
        <f t="shared" ref="CW67:CW72" si="203">IF(OR(D67="",CN67="Щит"),0,N(BF67))</f>
        <v>0</v>
      </c>
      <c r="CX67">
        <f t="shared" ref="CX67:CX72" si="204">IF(OR(D67="",CN67="Щит"),0,N(BF67)*N(BM67))</f>
        <v>0</v>
      </c>
      <c r="CY67">
        <f t="shared" ref="CY67:CY72" si="205">_xlfn.LET(_xlpm.prev,IF(OR(OR(AS67=1,A67&lt;&gt;A66)),0,N(IF(AS67=1,"",CY66))),IF(OR(D67="",BH67=3),_xlpm.prev,IF(_xlpm.prev&gt;=3,1,_xlpm.prev+1)))</f>
        <v>1</v>
      </c>
      <c r="CZ67" t="str">
        <f t="shared" ref="CZ67:CZ98" si="206">IF(D67="","",IF(BH67=3,"L1,L2,L3","L"&amp;MAX(1,CY67)))</f>
        <v>L1</v>
      </c>
      <c r="DA67" cm="1">
        <f t="array" ref="DA67">IFERROR(IF(BL67=2,_xlfn.IFS(BH67=3,VLOOKUP(BF67,Справочная_двигатели,3,FALSE),BH67=1,VLOOKUP(BF67,Справочная_двигатели,5,TRUE)),0),0)</f>
        <v>0</v>
      </c>
      <c r="DB67">
        <f>IFERROR(IF(BL67=3,VLOOKUP(BF67,Справочная_ЛЭД,2,TRUE),0),0)</f>
        <v>0</v>
      </c>
      <c r="DC67" s="6">
        <f t="shared" ref="DC67:DC98" si="207">IF(D67="","",IF(DA67=0,DB67,DA67))</f>
        <v>0</v>
      </c>
      <c r="DD67" t="str">
        <f t="shared" ref="DD67:DD72" si="208">IF(D67="","",IF(O67="упр","",IF(O67="",CZ67,IF(O67&amp;""="1,2,3","L1,L2,L3","L"&amp;O67))))</f>
        <v>L1</v>
      </c>
      <c r="DE67" t="str" cm="1">
        <f t="array" ref="DE67">IF(D67="","",IFERROR(INDEX({"I особая","I","II","III"},MATCH(TRIM(AA67&amp;""),{"I особая","I","II","III"},0)),"III"))</f>
        <v>III</v>
      </c>
      <c r="DF67" t="str">
        <f>IF(D67="","",IF(TRIM(AB67&amp;"")&lt;&gt;"",IF(LOWER(TRIM(AB67&amp;""))="да","да","нет"),IF(IFERROR(_xlfn.XLOOKUP(AT67,Коды_код,Коды_пожарная),"")="да","да","нет")))</f>
        <v>нет</v>
      </c>
      <c r="DG67" t="str">
        <f t="shared" ref="DG67:DG72" si="209">IF(AC67&lt;&gt;"",AC67,IF(AD67&lt;&gt;"","",IF(EK67="","",IF(AS67=1,"",DG66))))</f>
        <v/>
      </c>
      <c r="DH67" t="str">
        <f t="shared" ref="DH67:DH98" si="210">IF(D67="","",IF(DG67="","основная",DG67))</f>
        <v>основная</v>
      </c>
      <c r="DI67">
        <f t="shared" ref="DI67:DI72" si="211">IFERROR(MIN(3,MAX(1,INT(--N67))),1)</f>
        <v>1</v>
      </c>
      <c r="DJ67" t="str" cm="1">
        <f t="array" ref="DJ67">IF(D67="","",_xlfn.LET(_xlpm.t,IFERROR(_xlfn.XLOOKUP(1,(Шины[Шина]=DH67)*(((Шины[Щит]=A67)+(Шины[Щит]=""))&gt;0),Шины[Тип]),"")&amp;"",IF(_xlpm.t&lt;&gt;"",_xlpm.t,IF(ISNUMBER(SEARCH("ИБП",DH67)),"ИБП",IF(ISNUMBER(SEARCH("ДГУ",DH67)),"ДГУ","Ввод "&amp;DI67)))))</f>
        <v>Ввод 1</v>
      </c>
      <c r="DK67" t="str">
        <f t="shared" ref="DK67:DK98" si="212">IF(D67="","",IF(OR(DJ67="ИБП",DJ67="ДГУ"),DJ67,IF(LEFT(DJ67,5)="Ввод ",DJ67,"Ввод "&amp;DI67)))</f>
        <v>Ввод 1</v>
      </c>
      <c r="DL67" t="str">
        <f>IF(D67="","",IF(OR(DJ67="ИБП",DJ67="ДГУ"),"I особая",IF(DJ67="Одиночная","III",_xlfn.XLOOKUP(A67,Щиты[Щит],Щиты[Категория шины «Ввод»],"III"))))</f>
        <v>III</v>
      </c>
      <c r="DM67">
        <f>IF(D67="",0,IFERROR(MATCH(DE67,{"III","II","I","I особая"},0),1))</f>
        <v>1</v>
      </c>
      <c r="DN67">
        <f t="shared" ref="DN67:DN98" si="213">IF(OR(DJ67="ИБП",DJ67="ДГУ"),MIN(DM67,3),DM67)</f>
        <v>1</v>
      </c>
      <c r="DO67" t="str">
        <f>IF(D67="","",IF(DM67&gt;IFERROR(MATCH(DL67,{"III","II","I","I особая"},0),1),"НЕ ОБЕСПЕЧЕНА","ОК"))</f>
        <v>ОК</v>
      </c>
      <c r="DP67" t="str">
        <f>IF(A67="","",_xlfn.XLOOKUP(A67,Щиты[Щит],Щиты[Путь],""))</f>
        <v>|ЩР|</v>
      </c>
      <c r="DQ67" t="str">
        <f>IF(D67="","",IF(Z67&lt;&gt;"",Z67,IF(IFERROR(_xlfn.XLOOKUP(AT67,Коды_код,Коды_вид)&amp;"","")="","Прочее",_xlfn.XLOOKUP(AT67,Коды_код,Коды_вид)&amp;"")))</f>
        <v>Рабочее освещение</v>
      </c>
      <c r="DR67">
        <f>IF(BD67="","",INT((BD67-1)/Столбцов_на_лист)+1)</f>
        <v>5</v>
      </c>
      <c r="DS67" t="str">
        <f t="shared" ref="DS67:DS72" si="214">IF(D67="","",SUBSTITUTE(CH67,CHAR(10)," "))</f>
        <v>ВВГнг(А)-LS (5х1,5) L=28-0%</v>
      </c>
      <c r="DT67">
        <f t="shared" ref="DT67:DT72" si="215">IF(D67="","",IFERROR(--BF67,""))</f>
        <v>0</v>
      </c>
      <c r="DU67">
        <f t="shared" ref="DU67:DU72" si="216">IF(D67="","",IFERROR(ROUNDUP(BN67,2),""))</f>
        <v>0</v>
      </c>
      <c r="DV67">
        <f t="shared" ref="DV67:DV72" si="217">IF(D67="","",IFERROR(--BH67,1))</f>
        <v>1</v>
      </c>
      <c r="DW67">
        <f>IF(AT67="",0,_xlfn.LET(_xlpm.v,IFERROR(VLOOKUP(D67,УГО_спр,3,FALSE),IFERROR(VLOOKUP(AT67,УГО_спр,3,FALSE),IFERROR(VLOOKUP(LEFT(AT67,2),УГО_спр,3,FALSE),""))),IF(_xlpm.v="да",30,IF(ISNUMBER(_xlpm.v),_xlpm.v,0))))</f>
        <v>0</v>
      </c>
      <c r="DX67">
        <f t="shared" ref="DX67:DX72" si="218">IF(OR(AJ67="+",AND(D67&lt;&gt;"",D67=IF(AS67=1,"",D66))),1,0)</f>
        <v>0</v>
      </c>
      <c r="DY67">
        <f>IF(BD67="","",IF(AD67&lt;&gt;"",COUNTIFS(A$3:A67,A67,AD$3:AD67,"?*"),IF(OR(OR(AS67=1,A67&lt;&gt;A66),AL67="вручную"),"",IF(AS67=1,"",DZ66))))</f>
        <v>34</v>
      </c>
      <c r="DZ67">
        <f t="shared" ref="DZ67:DZ98" si="219">IF(BD67="",IF(OR(AS67=1,A67&lt;&gt;A66),"",IF(AS67=1,"",DZ66)),DY67)</f>
        <v>34</v>
      </c>
      <c r="EA67">
        <f>IF(D67="",0,MAX(IFERROR(--X67,0),IFERROR(--VLOOKUP(D67,УГО_спр,4,FALSE),IFERROR(--VLOOKUP(AT67,УГО_спр,4,FALSE),IFERROR(--VLOOKUP(LEFT(AT67,2),УГО_спр,4,FALSE),0)))))</f>
        <v>10</v>
      </c>
      <c r="EB67">
        <f>IF(D67="","",IFERROR(LOOKUP(INDEX(CHOOSE(BR67,Iдоп_1ж,Iдоп_2ж,Iдоп_3ж),MATCH(BS67,Iдоп_S,0))*BP67*BQ67,{6,10,16,20,25,32,40,50,63,80,100,125,160,200,250,315,400,500,630}),""))</f>
        <v>16</v>
      </c>
      <c r="EC67">
        <f>IF(AD67="","",SUMIFS(Линии[_Ток схемы],Линии[_гр.],DY67,Линии[Щит],A67,Линии[_в кабель выше],0))</f>
        <v>0</v>
      </c>
      <c r="ED67">
        <f>IF(AD67="","",IFERROR(VLOOKUP(EC67,Автомат_номиналы,2,TRUE),""))</f>
        <v>6</v>
      </c>
      <c r="EE67">
        <f>IF(AD67="","",MAX(N(ED67),_xlfn.MAXIFS(Линии[_мин. по типу],Линии[_гр.],DY67,Линии[Щит],A67)))</f>
        <v>10</v>
      </c>
      <c r="EF67">
        <f>IF(AD67="","",_xlfn.MINIFS(Линии[_макс. автомат по кабелю],Линии[_гр.],DY67,Линии[Щит],A67))</f>
        <v>16</v>
      </c>
      <c r="EG67">
        <f>IF(AD67="","",MAX(1,_xlfn.MAXIFS(Линии[_фаз],Линии[_гр.],DY67,Линии[Щит],A67)))</f>
        <v>1</v>
      </c>
      <c r="EH67">
        <f>IF(AD67="","",IF(AND(AD67&lt;&gt;"авто",AD67&lt;&gt;"+"),IF(ISNUMBER(SEARCH("мА",AD67)),IFERROR(--TRIM(RIGHT(SUBSTITUTE(LEFT(AD67,SEARCH("мА",AD67)-1)," ",REPT(" ",9)),6)),30),0),IF(AE67="нет",0,IF(ISNUMBER(AE67),AE67,IF(AE67="да",30,_xlfn.MINIFS(Линии[_дифзащита по коду, мА],Линии[_гр.],DY67,Линии[Щит],A67,Линии[_дифзащита по коду, мА],"&gt;0"))))))</f>
        <v>0</v>
      </c>
      <c r="EI67">
        <f t="shared" ref="EI67:EI98" si="220">IF(AD67="","",IF(N(EH67)&gt;0,1,0))</f>
        <v>0</v>
      </c>
      <c r="EJ67" t="str">
        <f t="shared" ref="EJ67:EJ98" si="221">IF(AD67="","",IF(EI67=1,"QFD","QF")&amp;DY67)</f>
        <v>QF34</v>
      </c>
      <c r="EK67" t="str">
        <f t="shared" ref="EK67:EK98" si="222">IF(EJ67&lt;&gt;"",EJ67,IF(OR(OR(AS67=1,A67&lt;&gt;A66),AL67="вручную"),"",IF(AS67=1,"",EK66)))</f>
        <v>QF34</v>
      </c>
      <c r="EL67" t="str">
        <f t="shared" ref="EL67:EL98" si="223">IF(EJ67&lt;&gt;"",_xlfn.TEXTJOIN(" → ",TRUE,AF67,AG67,AH67),IF(EK67="","",IF(AS67=1,"",EL66)))</f>
        <v>МК-5-1</v>
      </c>
      <c r="EM67">
        <f t="shared" ref="EM67:EM98" si="224">IF(EL67="",0,IF(OR(LEFT(EL67,2)="T ",LEFT(EL67,2)="Т ",ISNUMBER(SEARCH("→ T ",EL67)),ISNUMBER(SEARCH("→ Т ",EL67)),ISNUMBER(SEARCH("БП",EL67))),1,0))</f>
        <v>0</v>
      </c>
      <c r="EN67">
        <f>IF(AD67="","",IF(EM67=1,MAX(EE67,Мин_автомат_БП),EE67))</f>
        <v>10</v>
      </c>
      <c r="EO67" t="str">
        <f t="shared" ref="EO67:EO72" si="225">IF(AD67="","",IF(EG67&gt;=3,IF(EI67=1,"4P","3P"),IF(EI67=1,"2P","1P")))</f>
        <v>1P</v>
      </c>
      <c r="EP67" t="str">
        <f t="shared" ref="EP67:EP98" si="226">IF(AD67="","",IF(AND(AD67&lt;&gt;"авто",AD67&lt;&gt;"+"),AD67,EO67&amp;" С"&amp;EN67&amp;"А"&amp;IF(EI67=1," "&amp;EH67&amp;"мА","")))</f>
        <v>1P С10А</v>
      </c>
      <c r="EQ67">
        <f t="shared" ref="EQ67:EQ98" si="227">IF(EP67="","",_xlfn.LET(_xlpm.t,SUBSTITUTE(SUBSTITUTE(UPPER(EP67),"С","C"),"А","A"),_xlpm.c,FIND("C",_xlpm.t),IFERROR(--MID(_xlpm.t,_xlpm.c+1,FIND("A",_xlpm.t&amp;"A",_xlpm.c)-_xlpm.c-1),"")))</f>
        <v>10</v>
      </c>
      <c r="ER67" t="str">
        <f>IF(OR(AI67="",AI67="-"),"",IFERROR(VLOOKUP(AI67,Модули_спр,2,FALSE),"R"))</f>
        <v/>
      </c>
      <c r="ES67" t="str">
        <f>IF(ER67="","",ER67&amp;"."&amp;COUNTIFS(A$3:A67,A67,ER$3:ER67,ER67))</f>
        <v/>
      </c>
      <c r="ET67" t="str">
        <f t="shared" ref="ET67:ET98" si="228">IF(AI67="-","",IF(ES67&lt;&gt;"",ES67,IF(OR(AS67=1,A67&lt;&gt;A66),"",IF(AS67=1,"",ET66))))</f>
        <v/>
      </c>
      <c r="EU67" t="str">
        <f t="shared" ref="EU67:EU98" si="229">IF(ET67="","",IF(AND(AI67&lt;&gt;"",AI67&lt;&gt;"-"),AI67,IF(AS67=1,"",EU66)))</f>
        <v/>
      </c>
      <c r="EV67" t="str">
        <f t="shared" ref="EV67:EV72" si="230">IF(AJ67="=",IF(AS67=1,"",EW66),IF(ISNUMBER(AJ67),AJ67,IF(ET67="","",IF(OR(D67&lt;&gt;"",AJ67="+",AJ67="р"),IF(OR(ES67&lt;&gt;"",IF(AS67=1,"",EW66)=""),1,IF(AS67=1,"",EW66)+1),""))))</f>
        <v/>
      </c>
      <c r="EW67" t="str">
        <f t="shared" ref="EW67:EW98" si="231">IF(EV67&lt;&gt;"",EV67,IF(OR(OR(AS67=1,A67&lt;&gt;A66),AI67="-",ES67&lt;&gt;""),"",IF(AS67=1,"",EW66)))</f>
        <v/>
      </c>
      <c r="EX67">
        <f t="shared" ref="EX67:EX72" si="232">IF(AJ67="б/к",0,IF(OR(ISNUMBER(SEARCH("L=",CH67)),AJ67="+",AJ67="="),1,0))</f>
        <v>1</v>
      </c>
      <c r="EY67" t="str">
        <f>IF(AK67="нет","",IF(AK67&lt;&gt;"",AK67,IF(EX67=1,"XT"&amp;COUNTIFS(A$3:A67,A67,EX$3:EX67,1),"")))</f>
        <v>XT47</v>
      </c>
      <c r="EZ67" t="str">
        <f t="shared" ref="EZ67:EZ72" si="233">IF(OR(D67&lt;&gt;"",EV67&lt;&gt;"",EX67=1),EK67,"")</f>
        <v>QF34</v>
      </c>
      <c r="FA67" t="str">
        <f t="shared" ref="FA67:FA72" si="234">IF(OR(EV67&lt;&gt;"",AND(AI67&lt;&gt;"",AI67&lt;&gt;"-")),ET67,"")</f>
        <v/>
      </c>
      <c r="FB67" t="str">
        <f t="shared" ref="FB67:FB72" si="235">IF(AD67="","",IF(NOT(ISNUMBER(EQ67)),"",IF(EC67&gt;EQ67,"ПЕРЕГРУЗ",IF(AND(EM67=0,EF67&gt;0,EQ67&gt;EF67),"КАБЕЛЬ НЕ ЗАЩИЩЁН","ok"))))</f>
        <v>ok</v>
      </c>
      <c r="FC67" t="str">
        <f>IF(OR(EV67="",ET67=""),"",IF(EV67&gt;IFERROR(VLOOKUP(EU67,Модули_спр,3,FALSE),99),"ЛИШНИЙ КАНАЛ",IF(AND(AJ67&lt;&gt;"=",COUNTIFS(Линии[_модуль гр.],ET67,Линии[Канал (итог)],EV67,Линии[Канал],"&lt;&gt;=",Линии[Щит],A67)&gt;1),"ДУБЛЬ КАНАЛА","")))</f>
        <v/>
      </c>
      <c r="FD67">
        <f t="shared" ref="FD67:FD72" si="236">IF(AD67&lt;&gt;"",EQ67,IF(EK67="","",IF(AS67=1,"",FD66)))</f>
        <v>10</v>
      </c>
      <c r="FE67" t="str">
        <f t="shared" ref="FE67:FE72" si="237">IF(AD67&lt;&gt;"",EP67,IF(EK67="","",IF(AS67=1,"",FE66)))</f>
        <v>1P С10А</v>
      </c>
      <c r="FF67">
        <f t="shared" ref="FF67:FF72" si="238">IF(AD67&lt;&gt;"",EI67,IF(EK67="","",IF(AS67=1,"",FF66)))</f>
        <v>0</v>
      </c>
      <c r="FG67">
        <f t="shared" ref="FG67:FG72" si="239">IF(AD67&lt;&gt;"",EH67,IF(EK67="","",IF(AS67=1,"",FG66)))</f>
        <v>0</v>
      </c>
      <c r="FH67" s="6" t="str">
        <f t="shared" ref="FH67:FH72" si="240">IFERROR(IF(ISNUMBER(CL67),CL67/IFERROR(--FD67,N(BO67)),""),"")</f>
        <v/>
      </c>
      <c r="FI67">
        <f t="shared" ref="FI67:FI72" si="241">IF(OR(ISNUMBER(SEARCH(" B"," "&amp;FE67)),ISNUMBER(SEARCH(" В"," "&amp;FE67))),5,IF(ISNUMBER(SEARCH(" D"," "&amp;FE67)),20,10))</f>
        <v>10</v>
      </c>
      <c r="FJ67" t="str">
        <f t="shared" ref="FJ67:FJ98" si="242">IF(NOT(ISNUMBER(FH67)),"",IF(FH67&gt;=FI67,"ok",IF(N(FF67)=1,"ok (дифзащита "&amp;FG67&amp;" мА)","мало: Iкз &lt; "&amp;FI67&amp;"·In")))</f>
        <v/>
      </c>
      <c r="FK67" t="str">
        <f>IF(AND(D67="",EZ67=""),"",_xlfn.TEXTJOIN("; ",TRUE,IF(AND(D67&lt;&gt;"",DD67=""),"нет фазы",""),IF(AND(D67&lt;&gt;"",N(DT67)=0,CN67&lt;&gt;"Нет"),"нет мощности",""),IF(AND(EY67&lt;&gt;"",COUNTIFS(Линии[Щит],A67,Линии[Клемма (итог)],EY67)&gt;1),"дубль клеммы "&amp;EY67,""),IF(AND(FB67&lt;&gt;"",FB67&lt;&gt;"ok"),FB67,""),IF(FC67&lt;&gt;"",FC67,""),IF(AND(ISNUMBER(SEARCH("(5х",DS67)),N(DV67)=1),"5 жил на 1 фазе",""),IF(AND(AT67="R",AD67&lt;&gt;"",OR(N(EH67)=0,N(EH67)&gt;30)),"розетка без дифзащиты до 30 мА",""),IFERROR(IF(AND(ISNUMBER(CD67),CD67&gt;CE67),"потери "&amp;FIXED(CD67,1)&amp;" % &gt; "&amp;CE67&amp;" %",""),""),IFERROR(IF(LEFT(FJ67,4)="мало","Iкз мало — отключение &gt; 0,4 с",""),""),IF(AND(D67&lt;&gt;"",BD67=""),"не на схеме","")))</f>
        <v>нет мощности; 5 жил на 1 фазе</v>
      </c>
      <c r="FL67" s="6">
        <f>IF(AD67="","",_xlfn.LET(_xlpm.t,IFERROR(_xlfn.XLOOKUP(EP67,Каталог!$U$4:$U$500,Каталог!$G$4:$G$500),""),_xlpm.k,SEARCH("кА",_xlpm.t),IFERROR(--TRIM(RIGHT(SUBSTITUTE(MID(_xlpm.t,MAX(1,_xlpm.k-4),_xlpm.k-MAX(1,_xlpm.k-4))," ",REPT(" ",9)),5)),"")))</f>
        <v>6</v>
      </c>
      <c r="FM67" t="str">
        <f>IF(OR(FL67="",AD67=""),"",IF(_xlfn.XLOOKUP(A67,Щиты[Щит],Щиты[Iкз max на шинах, кА],"")="","",IF(FL67&lt;_xlfn.XLOOKUP(A67,Щиты[Щит],Щиты[Iкз max на шинах, кА]),"Icu "&amp;FL67&amp;" кА &lt; Iкз max","ok")))</f>
        <v/>
      </c>
      <c r="FN67" t="str">
        <f t="shared" ref="FN67:FN72" si="243">IF(OR(AL67="вручную",BD67="",AND(D67="",EY67="")),"",_xlfn.TEXTJOIN("|",TRUE,EK67,SUBSTITUTE(EL67," → ","|"),IF(ET67&lt;&gt;"",ET67&amp;IF(EV67&lt;&gt;""," к."&amp;EV67,""),""),EY67))</f>
        <v>QF34|МК-5-1|XT47</v>
      </c>
      <c r="FO67" t="str">
        <f t="shared" ref="FO67:FO98" si="244">IF(FN67="","",FN67&amp;IF(D67&lt;&gt;"","|кабель "&amp;CG67&amp;" → "&amp;AZ67,""))</f>
        <v>QF34|МК-5-1|XT47|кабель ВВГнг(А)-LS (5х1,5) → Группа освещения  Пом. №08</v>
      </c>
      <c r="FP67" t="str" cm="1">
        <f t="array" ref="FP67">IF(FO67="","",_xlfn.LET(_xlpm.nd,_xlfn.TEXTSPLIT(FO67,"|"),IF(COLUMNS(_xlpm.nd)&gt;1,A67&amp;"¦"&amp;INDEX(_xlpm.nd,1)&amp;"¦"&amp;INDEX(_xlpm.nd,2),"")))</f>
        <v>ЩР¦QF34¦МК-5-1</v>
      </c>
      <c r="FQ67" t="str">
        <f t="shared" ref="FQ67:FQ98" si="245">IF(FP67="","",D67&amp;"¦"&amp;AZ67)</f>
        <v>L.2.08.1¦Группа освещения  Пом. №08</v>
      </c>
      <c r="FR67" t="str" cm="1">
        <f t="array" ref="FR67">IF(FO67="","",_xlfn.LET(_xlpm.nd,_xlfn.TEXTSPLIT(FO67,"|"),IF(COLUMNS(_xlpm.nd)&gt;2,A67&amp;"¦"&amp;INDEX(_xlpm.nd,2)&amp;"¦"&amp;INDEX(_xlpm.nd,3),"")))</f>
        <v>ЩР¦МК-5-1¦XT47</v>
      </c>
      <c r="FS67" t="str">
        <f t="shared" ref="FS67:FS98" si="246">IF(FR67="","",D67&amp;"¦"&amp;AZ67)</f>
        <v>L.2.08.1¦Группа освещения  Пом. №08</v>
      </c>
      <c r="FT67" t="str" cm="1">
        <f t="array" ref="FT67">IF(FO67="","",_xlfn.LET(_xlpm.nd,_xlfn.TEXTSPLIT(FO67,"|"),IF(COLUMNS(_xlpm.nd)&gt;3,A67&amp;"¦"&amp;INDEX(_xlpm.nd,3)&amp;"¦"&amp;INDEX(_xlpm.nd,4),"")))</f>
        <v>ЩР¦XT47¦кабель ВВГнг(А)-LS (5х1,5) → Группа освещения  Пом. №08</v>
      </c>
      <c r="FU67" t="str">
        <f t="shared" ref="FU67:FU98" si="247">IF(FT67="","",D67&amp;"¦"&amp;AZ67)</f>
        <v>L.2.08.1¦Группа освещения  Пом. №08</v>
      </c>
      <c r="FV67" t="str" cm="1">
        <f t="array" ref="FV67">IF(FO67="","",_xlfn.LET(_xlpm.nd,_xlfn.TEXTSPLIT(FO67,"|"),IF(COLUMNS(_xlpm.nd)&gt;4,A67&amp;"¦"&amp;INDEX(_xlpm.nd,4)&amp;"¦"&amp;INDEX(_xlpm.nd,5),"")))</f>
        <v/>
      </c>
      <c r="FW67" t="str">
        <f t="shared" ref="FW67:FW98" si="248">IF(FV67="","",D67&amp;"¦"&amp;AZ67)</f>
        <v/>
      </c>
      <c r="FX67" t="str" cm="1">
        <f t="array" ref="FX67">IF(FO67="","",_xlfn.LET(_xlpm.nd,_xlfn.TEXTSPLIT(FO67,"|"),IF(COLUMNS(_xlpm.nd)&gt;5,A67&amp;"¦"&amp;INDEX(_xlpm.nd,5)&amp;"¦"&amp;INDEX(_xlpm.nd,6),"")))</f>
        <v/>
      </c>
      <c r="FY67" t="str">
        <f t="shared" ref="FY67:FY98" si="249">IF(FX67="","",D67&amp;"¦"&amp;AZ67)</f>
        <v/>
      </c>
      <c r="FZ67" t="str" cm="1">
        <f t="array" ref="FZ67">IF(FO67="","",_xlfn.LET(_xlpm.nd,_xlfn.TEXTSPLIT(FO67,"|"),IF(COLUMNS(_xlpm.nd)&gt;6,A67&amp;"¦"&amp;INDEX(_xlpm.nd,6)&amp;"¦"&amp;INDEX(_xlpm.nd,7),"")))</f>
        <v/>
      </c>
      <c r="GA67" t="str">
        <f t="shared" ref="GA67:GA98" si="250">IF(FZ67="","",D67&amp;"¦"&amp;AZ67)</f>
        <v/>
      </c>
      <c r="GB67" t="str">
        <f t="shared" ref="GB67:GB72" si="251">IF(FA67="","",EU67)</f>
        <v/>
      </c>
      <c r="GC67" t="str">
        <f t="shared" ref="GC67:GC72" si="252">IF(AND(D67="",EV67="",EY67=""),"",_xlfn.TEXTJOIN(" → ",TRUE,EK67,EL67,IF(ET67&lt;&gt;"",ET67&amp;IF(EV67&lt;&gt;""," к."&amp;EV67,""),IF(EV67&lt;&gt;"","к."&amp;EV67,"")),EY67,IF(DX67=1,"(в кабель выше)","")))</f>
        <v>QF34 → МК-5-1 → XT47</v>
      </c>
      <c r="GD67">
        <f t="shared" ref="GD67:GD72" si="253">IF(OR(BD67="",AL67="вручную",AND(BE67="вводной узел",AL67&lt;&gt;"рисовать")),0,1)</f>
        <v>1</v>
      </c>
      <c r="GE67">
        <f t="shared" ref="GE67:GE72" si="254">IF(AC67="",0,1)</f>
        <v>0</v>
      </c>
      <c r="GF67">
        <f t="shared" ref="GF67:GF72" si="255">IF(EJ67="",0,IF(LEFT(EJ67,3)="QFD",1,0))</f>
        <v>0</v>
      </c>
      <c r="GG67" t="str">
        <f t="shared" ref="GG67:GG72" si="256">IF(AJ67="=","=",IF(AJ67="+","+",IF(AJ67="р","R","")))</f>
        <v/>
      </c>
      <c r="GH67" t="str">
        <f t="shared" ref="GH67:GH72" si="257">IF(AF67="","",IF(OR(LEFT(AF67,1)="T",LEFT(AF67,1)="Т"),"T",IF(LEFT(UPPER(AF67),2)="БП","PS",IF(OR(LEFT(UPPER(AF67),2)="МК",LEFT(UPPER(AF67),2)="MK"),"MK",IF(OR(LEFT(UPPER(AF67),2)="КМ",LEFT(UPPER(AF67),2)="KM"),"KM","X")))))</f>
        <v>MK</v>
      </c>
      <c r="GI67" t="str">
        <f t="shared" ref="GI67:GI72" si="258">IF(AG67="","",IF(OR(LEFT(AG67,1)="T",LEFT(AG67,1)="Т"),"T",IF(LEFT(UPPER(AG67),2)="БП","PS",IF(OR(LEFT(UPPER(AG67),2)="МК",LEFT(UPPER(AG67),2)="MK"),"MK",IF(OR(LEFT(UPPER(AG67),2)="КМ",LEFT(UPPER(AG67),2)="KM"),"KM","X")))))</f>
        <v/>
      </c>
      <c r="GJ67" t="str">
        <f t="shared" ref="GJ67:GJ72" si="259">IF(AH67="","",IF(OR(LEFT(AH67,1)="T",LEFT(AH67,1)="Т"),"T",IF(LEFT(UPPER(AH67),2)="БП","PS",IF(OR(LEFT(UPPER(AH67),2)="МК",LEFT(UPPER(AH67),2)="MK"),"MK",IF(OR(LEFT(UPPER(AH67),2)="КМ",LEFT(UPPER(AH67),2)="KM"),"KM","X")))))</f>
        <v/>
      </c>
      <c r="GK67" t="str">
        <f>IF(D67="","",IFERROR(VLOOKUP(D67,УГО_спр,2,FALSE),IFERROR(VLOOKUP(AT67,УГО_спр,2,FALSE),IFERROR(VLOOKUP(LEFT(AT67,2),УГО_спр,2,FALSE),""))))</f>
        <v>Светильник</v>
      </c>
      <c r="GL67" t="str">
        <f>IF(D67="","",IF(OR(GK67="",GK67=0),"BOX",IFERROR(IF(VLOOKUP(GK67,УГО_блоки,3,FALSE)&amp;""&lt;&gt;"",VLOOKUP(GK67,УГО_блоки,3,FALSE),VLOOKUP(GK67,УГО_блоки,2,FALSE)),GK67)))</f>
        <v>LAMP</v>
      </c>
      <c r="GM67">
        <f t="shared" ref="GM67:GM72" si="260">IF(D67="",0,1)</f>
        <v>1</v>
      </c>
      <c r="GN67" t="str">
        <f>IF(EP67="","",IF(COUNTIF(EP$3:EP67,EP67)=1,MAX(GN$2:GN66)+1,""))</f>
        <v/>
      </c>
      <c r="GO67" t="str">
        <f>IF(AF67="","",IF(COUNTIF(AF$3:AF67,AF67)+COUNTIF(AG$2:AG66,AF67)+COUNTIF(AH$2:AH66,AF67)=1,MAX(GO$2:GQ66)+1,""))</f>
        <v/>
      </c>
      <c r="GP67" t="str">
        <f>IF(AG67="","",IF(COUNTIF(AF$3:AF67,AG67)+COUNTIF(AG$3:AG67,AG67)+COUNTIF(AH$2:AH66,AG67)=1,MAX(GO$2:GQ66,GO67)+1,""))</f>
        <v/>
      </c>
      <c r="GQ67" t="str">
        <f>IF(AH67="","",IF(COUNTIF(AF$3:AF67,AH67)+COUNTIF(AG$3:AG67,AH67)+COUNTIF(AH$3:AH67,AH67)=1,MAX(GO$2:GQ66,GO67,GP67)+1,""))</f>
        <v/>
      </c>
      <c r="GR67" t="str">
        <f t="shared" ref="GR67:GR72" si="261">IF(EX67=1,IFERROR(MID(DS67,FIND(" (",DS67)+2,FIND(")",DS67,FIND(" (",DS67))-FIND(" (",DS67)-2),"?"),"")</f>
        <v>5х1,5</v>
      </c>
      <c r="GS67" t="str">
        <f>IF(GR67="","",IF(COUNTIF(GR$3:GR67,GR67)=1,MAX(GS$2:GS66)+1,""))</f>
        <v/>
      </c>
      <c r="GT67" t="str">
        <f>IF(ES67="","",COUNTIF(ES$3:ES67,"?*"))</f>
        <v/>
      </c>
      <c r="GU67" t="str">
        <f>IF(OR(ES67="",EU67=""),"",IF(COUNTIFS(ES$3:ES67,"?*",EU$3:EU67,EU67)=1,MAX(GU$2:GU66)+1,""))</f>
        <v/>
      </c>
      <c r="GV67">
        <f t="shared" ref="GV67:GV72" si="262">IF(FK67="",0,IF(OR(ISNUMBER(SEARCH("дубль",FK67)),ISNUMBER(SEARCH("ПЕРЕГРУЗ",FK67)),ISNUMBER(SEARCH("ЗАЩИЩ",FK67)),ISNUMBER(SEARCH("КАНАЛ",FK67)),ISNUMBER(SEARCH("без диф",FK67))),2,1))</f>
        <v>1</v>
      </c>
      <c r="GW67">
        <f>IF(D67="","",COUNTIF(D$3:D67,"?*"))</f>
        <v>47</v>
      </c>
      <c r="GX67">
        <f>IF(EX67&lt;&gt;1,0,_xlfn.LET(_xlpm.k,MAX(IFERROR(--VLOOKUP(D67,УГО_спр,5,FALSE),0),IFERROR(--VLOOKUP(AT67,УГО_спр,5,FALSE),0),IFERROR(--VLOOKUP(LEFT(AT67,2),УГО_спр,5,FALSE),0)),IF(_xlpm.k&gt;0,_xlpm.k,IF(IFERROR(--LEFT(SUBSTITUTE(GR67,"x","х"),FIND("х",SUBSTITUTE(GR67,"x","х"))-1),3)&gt;3,Каталог!$S$9,1))))</f>
        <v>1</v>
      </c>
      <c r="GY67">
        <f t="shared" ref="GY67:GY98" si="263">IF(EX67&lt;&gt;1,0,MAX(0,IFERROR(--LEFT(SUBSTITUTE(GR67,"x","х"),FIND("х",SUBSTITUTE(GR67,"x","х"))-1),3)-3*GX67))</f>
        <v>2</v>
      </c>
    </row>
    <row r="68" spans="1:207" x14ac:dyDescent="0.3">
      <c r="A68" t="s">
        <v>206</v>
      </c>
      <c r="B68">
        <v>72</v>
      </c>
      <c r="C68" t="str">
        <f>IF(BD68="","",IF(BE68="вводной узел","узел ","")&amp;"л."&amp;(INT((BD68-1)/Столбцов_на_лист)+1)&amp;" / "&amp;(MOD(BD68-1,Столбцов_на_лист)+1))</f>
        <v>л.5 / 4</v>
      </c>
      <c r="D68" t="s">
        <v>751</v>
      </c>
      <c r="E68" s="133" t="str">
        <f t="shared" si="176"/>
        <v>Группа освещения  Пом. №09</v>
      </c>
      <c r="H68">
        <v>8</v>
      </c>
      <c r="O68">
        <v>2</v>
      </c>
      <c r="T68">
        <v>1</v>
      </c>
      <c r="V68">
        <v>5</v>
      </c>
      <c r="AM68">
        <v>14.65</v>
      </c>
      <c r="AO68" t="s">
        <v>752</v>
      </c>
      <c r="AQ68" t="s">
        <v>232</v>
      </c>
      <c r="AR68" t="str">
        <f t="shared" si="177"/>
        <v>нет мощности; 5 жил на 1 фазе</v>
      </c>
      <c r="AS68" cm="1">
        <f t="array" ref="AS68">ROW()-ROW(Линии[#Headers])</f>
        <v>66</v>
      </c>
      <c r="AT68" s="6" t="str">
        <f t="shared" si="178"/>
        <v>L</v>
      </c>
      <c r="AU68" t="str">
        <f t="shared" si="179"/>
        <v>2.09.2</v>
      </c>
      <c r="AV68" t="str">
        <f t="shared" si="180"/>
        <v>2</v>
      </c>
      <c r="AW68" t="str">
        <f t="shared" si="181"/>
        <v>09.2</v>
      </c>
      <c r="AX68" t="str">
        <f t="shared" si="182"/>
        <v>09</v>
      </c>
      <c r="AY68" t="str">
        <f>IF(D68="","",IF(ISERROR(SEARCH(".",D68)),IFERROR(VLOOKUP(D68,Потребители_обозначение,2,FALSE)&amp;"",""),IFERROR(IF(VLOOKUP(AT68,Потребители_обозначение,4,FALSE)=1,VLOOKUP(AT68,Потребители_обозначение,2,FALSE)&amp;" "&amp;VLOOKUP(AV68,Этаж_обозначение,2,FALSE)&amp;" Пом. №"&amp;AX68,VLOOKUP(AT68,Потребители_обозначение,2,FALSE)&amp;" Шлейф №"&amp;AV68),IFERROR(VLOOKUP(D68,Потребители_обозначение,2,FALSE),""))))</f>
        <v>Группа освещения  Пом. №09</v>
      </c>
      <c r="AZ68" t="str">
        <f t="shared" si="183"/>
        <v>Группа освещения  Пом. №09</v>
      </c>
      <c r="BA68" t="str">
        <f>IF(F68&lt;&gt;"",F68,IF(AND(D68&lt;&gt;"",D68&lt;&gt;A68,ISNUMBER(_xlfn.XMATCH(D68,Щиты[Щит]))),D68,""))</f>
        <v/>
      </c>
      <c r="BB68">
        <f>IFERROR(_xlfn.XMATCH(A68,Щиты[Щит]),0)</f>
        <v>1</v>
      </c>
      <c r="BC68">
        <f>IFERROR(N(_xlfn.XLOOKUP(A68,Щиты[Щит],Щиты[Мест под вводной узел])),15)</f>
        <v>18</v>
      </c>
      <c r="BD68">
        <f t="shared" si="184"/>
        <v>72</v>
      </c>
      <c r="BE68" t="str">
        <f t="shared" si="185"/>
        <v>линии</v>
      </c>
      <c r="BF68" s="6">
        <f>IF(D68="","",IF(BA68&lt;&gt;"",IFERROR(_xlfn.XLOOKUP(BA68,Щиты[Щит],Щиты[Руст, кВт]),0),N(G68)))</f>
        <v>0</v>
      </c>
      <c r="BG68">
        <f>IF(J68&lt;&gt;"",J68,IF(D68="","",IFERROR(IF(VLOOKUP(AT68,Потребители_обозначение,8,FALSE)=0,"",VLOOKUP(AT68,Потребители_обозначение,8,FALSE)),"")))</f>
        <v>230</v>
      </c>
      <c r="BH68">
        <f>IF(I68&lt;&gt;"",I68,IF(D68="","",IFERROR(IF(VLOOKUP(AT68,Потребители_обозначение,9,FALSE)=0,"",VLOOKUP(AT68,Потребители_обозначение,9,FALSE)),"")))</f>
        <v>1</v>
      </c>
      <c r="BI68" t="str">
        <f>IF(U68&lt;&gt;"",U68,IF(D68="","",IFERROR(IF(VLOOKUP(AT68,Потребители_обозначение,6,FALSE)=0,"",VLOOKUP(AT68,Потребители_обозначение,6,FALSE)),"")))</f>
        <v>мс</v>
      </c>
      <c r="BJ68">
        <f>IF(V68&lt;&gt;"",V68,IF(D68="","",IFERROR(IF(VLOOKUP(AT68,Потребители_обозначение,7,FALSE)=0,"",VLOOKUP(AT68,Потребители_обозначение,7,FALSE)),"")))</f>
        <v>5</v>
      </c>
      <c r="BK68">
        <f>IF(W68&lt;&gt;"",W68,IF(D68="","",IFERROR(IF(VLOOKUP(AT68,Потребители_обозначение,10,FALSE)=0,"",VLOOKUP(AT68,Потребители_обозначение,10,FALSE)),"")))</f>
        <v>1.5</v>
      </c>
      <c r="BL68">
        <f>IFERROR(VLOOKUP(AT68,Потребители_обозначение,5,FALSE),0)</f>
        <v>1</v>
      </c>
      <c r="BM68" s="6" cm="1">
        <f t="array" ref="BM68">IF(D68="","",IF(BA68&lt;&gt;"",IFERROR(_xlfn.XLOOKUP(BA68,Щиты[Щит],Щиты[cos φ]),0.95),IF(ISNUMBER(M68),M68,IFERROR(IF(BL68=2,_xlfn.IFS(BH68=3,VLOOKUP(BF68,Справочная_двигатели,8,FALSE),BH68=1,VLOOKUP(BF68,Справочная_двигатели,10,TRUE)),IF(AND(Методика="нормы 2026",CN68="Сил"),0.8,0.95)),0.95))))</f>
        <v>0.95</v>
      </c>
      <c r="BN68" s="6" cm="1">
        <f t="array" ref="BN68">IF(D68="","",IF(BA68&lt;&gt;"",IFERROR(_xlfn.XLOOKUP(BA68,Щиты[Щит],Щиты[Iр, А]),""),IFERROR(_xlfn.IFS(BH68=1,BF68/((Uн_лин/SQRT(3))*BM68),BH68=3,BF68/(SQRT(3)*Uн_лин*BM68)),"")))</f>
        <v>0</v>
      </c>
      <c r="BO68">
        <f>IF(D68="","",IF(N(X68)=0,IFERROR(VLOOKUP(BN68,Автомат_номиналы,2,TRUE),""),X68))</f>
        <v>6</v>
      </c>
      <c r="BP68">
        <f t="shared" si="186"/>
        <v>1</v>
      </c>
      <c r="BQ68">
        <f>IF(ISNUMBER(Y68),Y68,К_прокл)</f>
        <v>1</v>
      </c>
      <c r="BR68">
        <f t="shared" si="187"/>
        <v>2</v>
      </c>
      <c r="BS68" cm="1">
        <f t="array" ref="BS68">IF(D68="","",IF(N(BK68)&lt;&gt;0,BK68,IFERROR(_xlfn.LET(_xlpm.need,BO68/(BP68*BQ68),_xlpm.t,CHOOSE(BR68,Iдоп_1ж,Iдоп_2ж,Iдоп_3ж),_xlpm.k,_xlfn.XMATCH(_xlpm.need,_xlpm.t,1),IF(ISNA(_xlpm.k),"Не исп",INDEX(Iдоп_S,_xlpm.k))),"Не исп")))</f>
        <v>1.5</v>
      </c>
      <c r="BT68">
        <f>IFERROR(VLOOKUP(BS68,Кабель_сопротивление,3,FALSE),"")</f>
        <v>2.2499999999999999E-2</v>
      </c>
      <c r="BU68">
        <f>IFERROR(VLOOKUP(BS68,Кабель_сопротивление,2,FALSE),"")</f>
        <v>0.11</v>
      </c>
      <c r="BV68">
        <f t="shared" si="188"/>
        <v>15</v>
      </c>
      <c r="BW68" s="6">
        <f>IF(D68="","",IFERROR(IF(VLOOKUP(AT68,Потребители_обозначение,4,FALSE)=1,VLOOKUP(AT68,Потребители_обозначение,3,FALSE)*(H68*2-1)+BV68+VLOOKUP(AV68,Этаж_обозначение,3,FALSE)+VLOOKUP(AV68,Этаж_обозначение,4,FALSE),VLOOKUP(AT68,Потребители_обозначение,3,FALSE)*(H68*2-1)+BV68),BV68))</f>
        <v>30</v>
      </c>
      <c r="BX68">
        <f t="shared" si="189"/>
        <v>26</v>
      </c>
      <c r="BY68">
        <f t="shared" si="190"/>
        <v>0</v>
      </c>
      <c r="BZ68">
        <f t="shared" si="191"/>
        <v>2</v>
      </c>
      <c r="CA68">
        <f t="shared" si="192"/>
        <v>0.31</v>
      </c>
      <c r="CB68">
        <f t="shared" si="193"/>
        <v>0</v>
      </c>
      <c r="CC68" s="6">
        <f>IFERROR(ROUNDUP(CB68/((Uн_лин/SQRT(3))*1000)*100,2),"")</f>
        <v>0</v>
      </c>
      <c r="CD68" s="6">
        <f>IF(ISNUMBER(CC68),CC68+IFERROR(_xlfn.XLOOKUP(A68,Щиты[Щит],Щиты[ΔU до шин, %]),0),"")</f>
        <v>0</v>
      </c>
      <c r="CE68" s="6">
        <f>IF(D68="","",IF(IFERROR(VLOOKUP(AT68,УГО_спр,2,FALSE),"")="Светильник",3,4)+IF(Методика="нормы 2026",MIN(0.5,MAX(0,N(BW68)-100)*0.005),0))</f>
        <v>3</v>
      </c>
      <c r="CF68" t="str">
        <f>IFERROR(VLOOKUP(BI68,Кабель_обозначение,2,FALSE),"")</f>
        <v>ВВГнг(А)-LS</v>
      </c>
      <c r="CG68" t="str">
        <f>IFERROR(IF(VLOOKUP(BI68,Кабель_обозначение,3,FALSE)=1,CF68&amp;" ("&amp;BJ68&amp;"х"&amp;BS68&amp;")",CF68),"")</f>
        <v>ВВГнг(А)-LS (5х1,5)</v>
      </c>
      <c r="CH68" t="str">
        <f t="shared" si="194"/>
        <v>ВВГнг(А)-LS (5х1,5)
L=30-0%</v>
      </c>
      <c r="CI68">
        <f>IFERROR(2*ρкз_Cu*BW68/BS68,"")</f>
        <v>1.052</v>
      </c>
      <c r="CJ68">
        <f t="shared" si="195"/>
        <v>0.35000000000000003</v>
      </c>
      <c r="CK68" s="6" t="str">
        <f>IFERROR(IF(OR(D68="",NOT(ISNUMBER(BS68)),N(BW68)=0),"",_xlfn.XLOOKUP(A68,Щиты[Щит],Щиты[Zпетли на шинах, Ом])+CI68),"")</f>
        <v/>
      </c>
      <c r="CL68" s="6" t="str">
        <f>IF(ISNUMBER(CK68),c_min*(Uн_лин*1000/SQRT(3))/CK68,"")</f>
        <v/>
      </c>
      <c r="CM68" s="6" t="str">
        <f>IFERROR(IF(OR(D68="",NOT(ISNUMBER(BS68))),"",1.05*(Uн_лин*1000/SQRT(3))/(_xlfn.XLOOKUP(A68,Щиты[Щит],Щиты[Zmax на шинах, Ом])+CJ68)/1000),"")</f>
        <v/>
      </c>
      <c r="CN68" s="6" t="str">
        <f>IF(D68="","",IF(BA68&lt;&gt;"","Щит",IF(K68&lt;&gt;"",K68,IF(ISNUMBER(L68),"Сил",IF(IFERROR(_xlfn.XLOOKUP(AT68,Коды_код,Коды_группа)&amp;"","")="","Быт",_xlfn.XLOOKUP(AT68,Коды_код,Коды_группа)&amp;"")))))</f>
        <v>Быт</v>
      </c>
      <c r="CO68" s="6">
        <f>IF(CN68="Щит","щит",IF(CN68="","",IF(CN68="Быт",IFERROR(_xlfn.XLOOKUP(A68,Щиты[Щит],Щиты[Кс быт]),1),IF(CN68="Сил",IF(ISNUMBER(L68),L68,IF(Методика="нормы 2026",IFERROR(_xlfn.XLOOKUP(A68,Щиты[Щит],Щиты[Кс силовых (табл. 7.5)]),1),1)),IF(OR(CN68="Пост",CN68="Отоп"),1,IF(CN68="ВНГ",0.7,0))))))</f>
        <v>0.8</v>
      </c>
      <c r="CP68">
        <f t="shared" si="196"/>
        <v>1</v>
      </c>
      <c r="CQ68">
        <f t="shared" si="197"/>
        <v>0</v>
      </c>
      <c r="CR68">
        <f t="shared" si="198"/>
        <v>0</v>
      </c>
      <c r="CS68">
        <f t="shared" si="199"/>
        <v>0</v>
      </c>
      <c r="CT68">
        <f t="shared" si="200"/>
        <v>0</v>
      </c>
      <c r="CU68">
        <f t="shared" si="201"/>
        <v>0</v>
      </c>
      <c r="CV68">
        <f t="shared" si="202"/>
        <v>0</v>
      </c>
      <c r="CW68">
        <f t="shared" si="203"/>
        <v>0</v>
      </c>
      <c r="CX68">
        <f t="shared" si="204"/>
        <v>0</v>
      </c>
      <c r="CY68">
        <f t="shared" si="205"/>
        <v>2</v>
      </c>
      <c r="CZ68" t="str">
        <f t="shared" si="206"/>
        <v>L2</v>
      </c>
      <c r="DA68" cm="1">
        <f t="array" ref="DA68">IFERROR(IF(BL68=2,_xlfn.IFS(BH68=3,VLOOKUP(BF68,Справочная_двигатели,3,FALSE),BH68=1,VLOOKUP(BF68,Справочная_двигатели,5,TRUE)),0),0)</f>
        <v>0</v>
      </c>
      <c r="DB68">
        <f>IFERROR(IF(BL68=3,VLOOKUP(BF68,Справочная_ЛЭД,2,TRUE),0),0)</f>
        <v>0</v>
      </c>
      <c r="DC68" s="6">
        <f t="shared" si="207"/>
        <v>0</v>
      </c>
      <c r="DD68" t="str">
        <f t="shared" si="208"/>
        <v>L2</v>
      </c>
      <c r="DE68" t="str" cm="1">
        <f t="array" ref="DE68">IF(D68="","",IFERROR(INDEX({"I особая","I","II","III"},MATCH(TRIM(AA68&amp;""),{"I особая","I","II","III"},0)),"III"))</f>
        <v>III</v>
      </c>
      <c r="DF68" t="str">
        <f>IF(D68="","",IF(TRIM(AB68&amp;"")&lt;&gt;"",IF(LOWER(TRIM(AB68&amp;""))="да","да","нет"),IF(IFERROR(_xlfn.XLOOKUP(AT68,Коды_код,Коды_пожарная),"")="да","да","нет")))</f>
        <v>нет</v>
      </c>
      <c r="DG68" t="str">
        <f t="shared" si="209"/>
        <v/>
      </c>
      <c r="DH68" t="str">
        <f t="shared" si="210"/>
        <v>основная</v>
      </c>
      <c r="DI68">
        <f t="shared" si="211"/>
        <v>1</v>
      </c>
      <c r="DJ68" t="str" cm="1">
        <f t="array" ref="DJ68">IF(D68="","",_xlfn.LET(_xlpm.t,IFERROR(_xlfn.XLOOKUP(1,(Шины[Шина]=DH68)*(((Шины[Щит]=A68)+(Шины[Щит]=""))&gt;0),Шины[Тип]),"")&amp;"",IF(_xlpm.t&lt;&gt;"",_xlpm.t,IF(ISNUMBER(SEARCH("ИБП",DH68)),"ИБП",IF(ISNUMBER(SEARCH("ДГУ",DH68)),"ДГУ","Ввод "&amp;DI68)))))</f>
        <v>Ввод 1</v>
      </c>
      <c r="DK68" t="str">
        <f t="shared" si="212"/>
        <v>Ввод 1</v>
      </c>
      <c r="DL68" t="str">
        <f>IF(D68="","",IF(OR(DJ68="ИБП",DJ68="ДГУ"),"I особая",IF(DJ68="Одиночная","III",_xlfn.XLOOKUP(A68,Щиты[Щит],Щиты[Категория шины «Ввод»],"III"))))</f>
        <v>III</v>
      </c>
      <c r="DM68">
        <f>IF(D68="",0,IFERROR(MATCH(DE68,{"III","II","I","I особая"},0),1))</f>
        <v>1</v>
      </c>
      <c r="DN68">
        <f t="shared" si="213"/>
        <v>1</v>
      </c>
      <c r="DO68" t="str">
        <f>IF(D68="","",IF(DM68&gt;IFERROR(MATCH(DL68,{"III","II","I","I особая"},0),1),"НЕ ОБЕСПЕЧЕНА","ОК"))</f>
        <v>ОК</v>
      </c>
      <c r="DP68" t="str">
        <f>IF(A68="","",_xlfn.XLOOKUP(A68,Щиты[Щит],Щиты[Путь],""))</f>
        <v>|ЩР|</v>
      </c>
      <c r="DQ68" t="str">
        <f>IF(D68="","",IF(Z68&lt;&gt;"",Z68,IF(IFERROR(_xlfn.XLOOKUP(AT68,Коды_код,Коды_вид)&amp;"","")="","Прочее",_xlfn.XLOOKUP(AT68,Коды_код,Коды_вид)&amp;"")))</f>
        <v>Рабочее освещение</v>
      </c>
      <c r="DR68">
        <f>IF(BD68="","",INT((BD68-1)/Столбцов_на_лист)+1)</f>
        <v>5</v>
      </c>
      <c r="DS68" t="str">
        <f t="shared" si="214"/>
        <v>ВВГнг(А)-LS (5х1,5) L=30-0%</v>
      </c>
      <c r="DT68">
        <f t="shared" si="215"/>
        <v>0</v>
      </c>
      <c r="DU68">
        <f t="shared" si="216"/>
        <v>0</v>
      </c>
      <c r="DV68">
        <f t="shared" si="217"/>
        <v>1</v>
      </c>
      <c r="DW68">
        <f>IF(AT68="",0,_xlfn.LET(_xlpm.v,IFERROR(VLOOKUP(D68,УГО_спр,3,FALSE),IFERROR(VLOOKUP(AT68,УГО_спр,3,FALSE),IFERROR(VLOOKUP(LEFT(AT68,2),УГО_спр,3,FALSE),""))),IF(_xlpm.v="да",30,IF(ISNUMBER(_xlpm.v),_xlpm.v,0))))</f>
        <v>0</v>
      </c>
      <c r="DX68">
        <f t="shared" si="218"/>
        <v>0</v>
      </c>
      <c r="DY68">
        <f>IF(BD68="","",IF(AD68&lt;&gt;"",COUNTIFS(A$3:A68,A68,AD$3:AD68,"?*"),IF(OR(OR(AS68=1,A68&lt;&gt;A67),AL68="вручную"),"",IF(AS68=1,"",DZ67))))</f>
        <v>34</v>
      </c>
      <c r="DZ68">
        <f t="shared" si="219"/>
        <v>34</v>
      </c>
      <c r="EA68">
        <f>IF(D68="",0,MAX(IFERROR(--X68,0),IFERROR(--VLOOKUP(D68,УГО_спр,4,FALSE),IFERROR(--VLOOKUP(AT68,УГО_спр,4,FALSE),IFERROR(--VLOOKUP(LEFT(AT68,2),УГО_спр,4,FALSE),0)))))</f>
        <v>10</v>
      </c>
      <c r="EB68">
        <f>IF(D68="","",IFERROR(LOOKUP(INDEX(CHOOSE(BR68,Iдоп_1ж,Iдоп_2ж,Iдоп_3ж),MATCH(BS68,Iдоп_S,0))*BP68*BQ68,{6,10,16,20,25,32,40,50,63,80,100,125,160,200,250,315,400,500,630}),""))</f>
        <v>16</v>
      </c>
      <c r="EC68" t="str">
        <f>IF(AD68="","",SUMIFS(Линии[_Ток схемы],Линии[_гр.],DY68,Линии[Щит],A68,Линии[_в кабель выше],0))</f>
        <v/>
      </c>
      <c r="ED68" t="str">
        <f>IF(AD68="","",IFERROR(VLOOKUP(EC68,Автомат_номиналы,2,TRUE),""))</f>
        <v/>
      </c>
      <c r="EE68" t="str">
        <f>IF(AD68="","",MAX(N(ED68),_xlfn.MAXIFS(Линии[_мин. по типу],Линии[_гр.],DY68,Линии[Щит],A68)))</f>
        <v/>
      </c>
      <c r="EF68" t="str">
        <f>IF(AD68="","",_xlfn.MINIFS(Линии[_макс. автомат по кабелю],Линии[_гр.],DY68,Линии[Щит],A68))</f>
        <v/>
      </c>
      <c r="EG68" t="str">
        <f>IF(AD68="","",MAX(1,_xlfn.MAXIFS(Линии[_фаз],Линии[_гр.],DY68,Линии[Щит],A68)))</f>
        <v/>
      </c>
      <c r="EH68" t="str">
        <f>IF(AD68="","",IF(AND(AD68&lt;&gt;"авто",AD68&lt;&gt;"+"),IF(ISNUMBER(SEARCH("мА",AD68)),IFERROR(--TRIM(RIGHT(SUBSTITUTE(LEFT(AD68,SEARCH("мА",AD68)-1)," ",REPT(" ",9)),6)),30),0),IF(AE68="нет",0,IF(ISNUMBER(AE68),AE68,IF(AE68="да",30,_xlfn.MINIFS(Линии[_дифзащита по коду, мА],Линии[_гр.],DY68,Линии[Щит],A68,Линии[_дифзащита по коду, мА],"&gt;0"))))))</f>
        <v/>
      </c>
      <c r="EI68" t="str">
        <f t="shared" si="220"/>
        <v/>
      </c>
      <c r="EJ68" t="str">
        <f t="shared" si="221"/>
        <v/>
      </c>
      <c r="EK68" t="str">
        <f t="shared" si="222"/>
        <v>QF34</v>
      </c>
      <c r="EL68" t="str">
        <f t="shared" si="223"/>
        <v>МК-5-1</v>
      </c>
      <c r="EM68">
        <f t="shared" si="224"/>
        <v>0</v>
      </c>
      <c r="EN68" t="str">
        <f>IF(AD68="","",IF(EM68=1,MAX(EE68,Мин_автомат_БП),EE68))</f>
        <v/>
      </c>
      <c r="EO68" t="str">
        <f t="shared" si="225"/>
        <v/>
      </c>
      <c r="EP68" t="str">
        <f t="shared" si="226"/>
        <v/>
      </c>
      <c r="EQ68" t="str">
        <f t="shared" si="227"/>
        <v/>
      </c>
      <c r="ER68" t="str">
        <f>IF(OR(AI68="",AI68="-"),"",IFERROR(VLOOKUP(AI68,Модули_спр,2,FALSE),"R"))</f>
        <v/>
      </c>
      <c r="ES68" t="str">
        <f>IF(ER68="","",ER68&amp;"."&amp;COUNTIFS(A$3:A68,A68,ER$3:ER68,ER68))</f>
        <v/>
      </c>
      <c r="ET68" t="str">
        <f t="shared" si="228"/>
        <v/>
      </c>
      <c r="EU68" t="str">
        <f t="shared" si="229"/>
        <v/>
      </c>
      <c r="EV68" t="str">
        <f t="shared" si="230"/>
        <v/>
      </c>
      <c r="EW68" t="str">
        <f t="shared" si="231"/>
        <v/>
      </c>
      <c r="EX68">
        <f t="shared" si="232"/>
        <v>1</v>
      </c>
      <c r="EY68" t="str">
        <f>IF(AK68="нет","",IF(AK68&lt;&gt;"",AK68,IF(EX68=1,"XT"&amp;COUNTIFS(A$3:A68,A68,EX$3:EX68,1),"")))</f>
        <v>XT48</v>
      </c>
      <c r="EZ68" t="str">
        <f t="shared" si="233"/>
        <v>QF34</v>
      </c>
      <c r="FA68" t="str">
        <f t="shared" si="234"/>
        <v/>
      </c>
      <c r="FB68" t="str">
        <f t="shared" si="235"/>
        <v/>
      </c>
      <c r="FC68" t="str">
        <f>IF(OR(EV68="",ET68=""),"",IF(EV68&gt;IFERROR(VLOOKUP(EU68,Модули_спр,3,FALSE),99),"ЛИШНИЙ КАНАЛ",IF(AND(AJ68&lt;&gt;"=",COUNTIFS(Линии[_модуль гр.],ET68,Линии[Канал (итог)],EV68,Линии[Канал],"&lt;&gt;=",Линии[Щит],A68)&gt;1),"ДУБЛЬ КАНАЛА","")))</f>
        <v/>
      </c>
      <c r="FD68">
        <f t="shared" si="236"/>
        <v>10</v>
      </c>
      <c r="FE68" t="str">
        <f t="shared" si="237"/>
        <v>1P С10А</v>
      </c>
      <c r="FF68">
        <f t="shared" si="238"/>
        <v>0</v>
      </c>
      <c r="FG68">
        <f t="shared" si="239"/>
        <v>0</v>
      </c>
      <c r="FH68" s="6" t="str">
        <f t="shared" si="240"/>
        <v/>
      </c>
      <c r="FI68">
        <f t="shared" si="241"/>
        <v>10</v>
      </c>
      <c r="FJ68" t="str">
        <f t="shared" si="242"/>
        <v/>
      </c>
      <c r="FK68" t="str">
        <f>IF(AND(D68="",EZ68=""),"",_xlfn.TEXTJOIN("; ",TRUE,IF(AND(D68&lt;&gt;"",DD68=""),"нет фазы",""),IF(AND(D68&lt;&gt;"",N(DT68)=0,CN68&lt;&gt;"Нет"),"нет мощности",""),IF(AND(EY68&lt;&gt;"",COUNTIFS(Линии[Щит],A68,Линии[Клемма (итог)],EY68)&gt;1),"дубль клеммы "&amp;EY68,""),IF(AND(FB68&lt;&gt;"",FB68&lt;&gt;"ok"),FB68,""),IF(FC68&lt;&gt;"",FC68,""),IF(AND(ISNUMBER(SEARCH("(5х",DS68)),N(DV68)=1),"5 жил на 1 фазе",""),IF(AND(AT68="R",AD68&lt;&gt;"",OR(N(EH68)=0,N(EH68)&gt;30)),"розетка без дифзащиты до 30 мА",""),IFERROR(IF(AND(ISNUMBER(CD68),CD68&gt;CE68),"потери "&amp;FIXED(CD68,1)&amp;" % &gt; "&amp;CE68&amp;" %",""),""),IFERROR(IF(LEFT(FJ68,4)="мало","Iкз мало — отключение &gt; 0,4 с",""),""),IF(AND(D68&lt;&gt;"",BD68=""),"не на схеме","")))</f>
        <v>нет мощности; 5 жил на 1 фазе</v>
      </c>
      <c r="FL68" s="6" t="str">
        <f>IF(AD68="","",_xlfn.LET(_xlpm.t,IFERROR(_xlfn.XLOOKUP(EP68,Каталог!$U$4:$U$500,Каталог!$G$4:$G$500),""),_xlpm.k,SEARCH("кА",_xlpm.t),IFERROR(--TRIM(RIGHT(SUBSTITUTE(MID(_xlpm.t,MAX(1,_xlpm.k-4),_xlpm.k-MAX(1,_xlpm.k-4))," ",REPT(" ",9)),5)),"")))</f>
        <v/>
      </c>
      <c r="FM68" t="str">
        <f>IF(OR(FL68="",AD68=""),"",IF(_xlfn.XLOOKUP(A68,Щиты[Щит],Щиты[Iкз max на шинах, кА],"")="","",IF(FL68&lt;_xlfn.XLOOKUP(A68,Щиты[Щит],Щиты[Iкз max на шинах, кА]),"Icu "&amp;FL68&amp;" кА &lt; Iкз max","ok")))</f>
        <v/>
      </c>
      <c r="FN68" t="str">
        <f t="shared" si="243"/>
        <v>QF34|МК-5-1|XT48</v>
      </c>
      <c r="FO68" t="str">
        <f t="shared" si="244"/>
        <v>QF34|МК-5-1|XT48|кабель ВВГнг(А)-LS (5х1,5) → Группа освещения  Пом. №09</v>
      </c>
      <c r="FP68" t="str" cm="1">
        <f t="array" ref="FP68">IF(FO68="","",_xlfn.LET(_xlpm.nd,_xlfn.TEXTSPLIT(FO68,"|"),IF(COLUMNS(_xlpm.nd)&gt;1,A68&amp;"¦"&amp;INDEX(_xlpm.nd,1)&amp;"¦"&amp;INDEX(_xlpm.nd,2),"")))</f>
        <v>ЩР¦QF34¦МК-5-1</v>
      </c>
      <c r="FQ68" t="str">
        <f t="shared" si="245"/>
        <v>L.2.09.2¦Группа освещения  Пом. №09</v>
      </c>
      <c r="FR68" t="str" cm="1">
        <f t="array" ref="FR68">IF(FO68="","",_xlfn.LET(_xlpm.nd,_xlfn.TEXTSPLIT(FO68,"|"),IF(COLUMNS(_xlpm.nd)&gt;2,A68&amp;"¦"&amp;INDEX(_xlpm.nd,2)&amp;"¦"&amp;INDEX(_xlpm.nd,3),"")))</f>
        <v>ЩР¦МК-5-1¦XT48</v>
      </c>
      <c r="FS68" t="str">
        <f t="shared" si="246"/>
        <v>L.2.09.2¦Группа освещения  Пом. №09</v>
      </c>
      <c r="FT68" t="str" cm="1">
        <f t="array" ref="FT68">IF(FO68="","",_xlfn.LET(_xlpm.nd,_xlfn.TEXTSPLIT(FO68,"|"),IF(COLUMNS(_xlpm.nd)&gt;3,A68&amp;"¦"&amp;INDEX(_xlpm.nd,3)&amp;"¦"&amp;INDEX(_xlpm.nd,4),"")))</f>
        <v>ЩР¦XT48¦кабель ВВГнг(А)-LS (5х1,5) → Группа освещения  Пом. №09</v>
      </c>
      <c r="FU68" t="str">
        <f t="shared" si="247"/>
        <v>L.2.09.2¦Группа освещения  Пом. №09</v>
      </c>
      <c r="FV68" t="str" cm="1">
        <f t="array" ref="FV68">IF(FO68="","",_xlfn.LET(_xlpm.nd,_xlfn.TEXTSPLIT(FO68,"|"),IF(COLUMNS(_xlpm.nd)&gt;4,A68&amp;"¦"&amp;INDEX(_xlpm.nd,4)&amp;"¦"&amp;INDEX(_xlpm.nd,5),"")))</f>
        <v/>
      </c>
      <c r="FW68" t="str">
        <f t="shared" si="248"/>
        <v/>
      </c>
      <c r="FX68" t="str" cm="1">
        <f t="array" ref="FX68">IF(FO68="","",_xlfn.LET(_xlpm.nd,_xlfn.TEXTSPLIT(FO68,"|"),IF(COLUMNS(_xlpm.nd)&gt;5,A68&amp;"¦"&amp;INDEX(_xlpm.nd,5)&amp;"¦"&amp;INDEX(_xlpm.nd,6),"")))</f>
        <v/>
      </c>
      <c r="FY68" t="str">
        <f t="shared" si="249"/>
        <v/>
      </c>
      <c r="FZ68" t="str" cm="1">
        <f t="array" ref="FZ68">IF(FO68="","",_xlfn.LET(_xlpm.nd,_xlfn.TEXTSPLIT(FO68,"|"),IF(COLUMNS(_xlpm.nd)&gt;6,A68&amp;"¦"&amp;INDEX(_xlpm.nd,6)&amp;"¦"&amp;INDEX(_xlpm.nd,7),"")))</f>
        <v/>
      </c>
      <c r="GA68" t="str">
        <f t="shared" si="250"/>
        <v/>
      </c>
      <c r="GB68" t="str">
        <f t="shared" si="251"/>
        <v/>
      </c>
      <c r="GC68" t="str">
        <f t="shared" si="252"/>
        <v>QF34 → МК-5-1 → XT48</v>
      </c>
      <c r="GD68">
        <f t="shared" si="253"/>
        <v>1</v>
      </c>
      <c r="GE68">
        <f t="shared" si="254"/>
        <v>0</v>
      </c>
      <c r="GF68">
        <f t="shared" si="255"/>
        <v>0</v>
      </c>
      <c r="GG68" t="str">
        <f t="shared" si="256"/>
        <v/>
      </c>
      <c r="GH68" t="str">
        <f t="shared" si="257"/>
        <v/>
      </c>
      <c r="GI68" t="str">
        <f t="shared" si="258"/>
        <v/>
      </c>
      <c r="GJ68" t="str">
        <f t="shared" si="259"/>
        <v/>
      </c>
      <c r="GK68" t="str">
        <f>IF(D68="","",IFERROR(VLOOKUP(D68,УГО_спр,2,FALSE),IFERROR(VLOOKUP(AT68,УГО_спр,2,FALSE),IFERROR(VLOOKUP(LEFT(AT68,2),УГО_спр,2,FALSE),""))))</f>
        <v>Светильник</v>
      </c>
      <c r="GL68" t="str">
        <f>IF(D68="","",IF(OR(GK68="",GK68=0),"BOX",IFERROR(IF(VLOOKUP(GK68,УГО_блоки,3,FALSE)&amp;""&lt;&gt;"",VLOOKUP(GK68,УГО_блоки,3,FALSE),VLOOKUP(GK68,УГО_блоки,2,FALSE)),GK68)))</f>
        <v>LAMP</v>
      </c>
      <c r="GM68">
        <f t="shared" si="260"/>
        <v>1</v>
      </c>
      <c r="GN68" t="str">
        <f>IF(EP68="","",IF(COUNTIF(EP$3:EP68,EP68)=1,MAX(GN$2:GN67)+1,""))</f>
        <v/>
      </c>
      <c r="GO68" t="str">
        <f>IF(AF68="","",IF(COUNTIF(AF$3:AF68,AF68)+COUNTIF(AG$2:AG67,AF68)+COUNTIF(AH$2:AH67,AF68)=1,MAX(GO$2:GQ67)+1,""))</f>
        <v/>
      </c>
      <c r="GP68" t="str">
        <f>IF(AG68="","",IF(COUNTIF(AF$3:AF68,AG68)+COUNTIF(AG$3:AG68,AG68)+COUNTIF(AH$2:AH67,AG68)=1,MAX(GO$2:GQ67,GO68)+1,""))</f>
        <v/>
      </c>
      <c r="GQ68" t="str">
        <f>IF(AH68="","",IF(COUNTIF(AF$3:AF68,AH68)+COUNTIF(AG$3:AG68,AH68)+COUNTIF(AH$3:AH68,AH68)=1,MAX(GO$2:GQ67,GO68,GP68)+1,""))</f>
        <v/>
      </c>
      <c r="GR68" t="str">
        <f t="shared" si="261"/>
        <v>5х1,5</v>
      </c>
      <c r="GS68" t="str">
        <f>IF(GR68="","",IF(COUNTIF(GR$3:GR68,GR68)=1,MAX(GS$2:GS67)+1,""))</f>
        <v/>
      </c>
      <c r="GT68" t="str">
        <f>IF(ES68="","",COUNTIF(ES$3:ES68,"?*"))</f>
        <v/>
      </c>
      <c r="GU68" t="str">
        <f>IF(OR(ES68="",EU68=""),"",IF(COUNTIFS(ES$3:ES68,"?*",EU$3:EU68,EU68)=1,MAX(GU$2:GU67)+1,""))</f>
        <v/>
      </c>
      <c r="GV68">
        <f t="shared" si="262"/>
        <v>1</v>
      </c>
      <c r="GW68">
        <f>IF(D68="","",COUNTIF(D$3:D68,"?*"))</f>
        <v>48</v>
      </c>
      <c r="GX68">
        <f>IF(EX68&lt;&gt;1,0,_xlfn.LET(_xlpm.k,MAX(IFERROR(--VLOOKUP(D68,УГО_спр,5,FALSE),0),IFERROR(--VLOOKUP(AT68,УГО_спр,5,FALSE),0),IFERROR(--VLOOKUP(LEFT(AT68,2),УГО_спр,5,FALSE),0)),IF(_xlpm.k&gt;0,_xlpm.k,IF(IFERROR(--LEFT(SUBSTITUTE(GR68,"x","х"),FIND("х",SUBSTITUTE(GR68,"x","х"))-1),3)&gt;3,Каталог!$S$9,1))))</f>
        <v>1</v>
      </c>
      <c r="GY68">
        <f t="shared" si="263"/>
        <v>2</v>
      </c>
    </row>
    <row r="69" spans="1:207" x14ac:dyDescent="0.3">
      <c r="A69" t="s">
        <v>206</v>
      </c>
      <c r="B69">
        <v>73</v>
      </c>
      <c r="C69" t="str">
        <f>IF(BD69="","",IF(BE69="вводной узел","узел ","")&amp;"л."&amp;(INT((BD69-1)/Столбцов_на_лист)+1)&amp;" / "&amp;(MOD(BD69-1,Столбцов_на_лист)+1))</f>
        <v>л.5 / 5</v>
      </c>
      <c r="D69" t="s">
        <v>749</v>
      </c>
      <c r="E69" s="133" t="str">
        <f t="shared" si="176"/>
        <v>Группа освещения  Пом. №11</v>
      </c>
      <c r="H69">
        <v>9</v>
      </c>
      <c r="O69">
        <v>3</v>
      </c>
      <c r="T69">
        <v>1</v>
      </c>
      <c r="V69">
        <v>5</v>
      </c>
      <c r="AM69">
        <v>20.95</v>
      </c>
      <c r="AO69">
        <v>831410</v>
      </c>
      <c r="AQ69" t="s">
        <v>232</v>
      </c>
      <c r="AR69" t="str">
        <f t="shared" si="177"/>
        <v>нет мощности; 5 жил на 1 фазе</v>
      </c>
      <c r="AS69" cm="1">
        <f t="array" ref="AS69">ROW()-ROW(Линии[#Headers])</f>
        <v>67</v>
      </c>
      <c r="AT69" s="6" t="str">
        <f t="shared" si="178"/>
        <v>L</v>
      </c>
      <c r="AU69" t="str">
        <f t="shared" si="179"/>
        <v>2.11.1</v>
      </c>
      <c r="AV69" t="str">
        <f t="shared" si="180"/>
        <v>2</v>
      </c>
      <c r="AW69" t="str">
        <f t="shared" si="181"/>
        <v>11.1</v>
      </c>
      <c r="AX69" t="str">
        <f t="shared" si="182"/>
        <v>11</v>
      </c>
      <c r="AY69" t="str">
        <f>IF(D69="","",IF(ISERROR(SEARCH(".",D69)),IFERROR(VLOOKUP(D69,Потребители_обозначение,2,FALSE)&amp;"",""),IFERROR(IF(VLOOKUP(AT69,Потребители_обозначение,4,FALSE)=1,VLOOKUP(AT69,Потребители_обозначение,2,FALSE)&amp;" "&amp;VLOOKUP(AV69,Этаж_обозначение,2,FALSE)&amp;" Пом. №"&amp;AX69,VLOOKUP(AT69,Потребители_обозначение,2,FALSE)&amp;" Шлейф №"&amp;AV69),IFERROR(VLOOKUP(D69,Потребители_обозначение,2,FALSE),""))))</f>
        <v>Группа освещения  Пом. №11</v>
      </c>
      <c r="AZ69" t="str">
        <f t="shared" si="183"/>
        <v>Группа освещения  Пом. №11</v>
      </c>
      <c r="BA69" t="str">
        <f>IF(F69&lt;&gt;"",F69,IF(AND(D69&lt;&gt;"",D69&lt;&gt;A69,ISNUMBER(_xlfn.XMATCH(D69,Щиты[Щит]))),D69,""))</f>
        <v/>
      </c>
      <c r="BB69">
        <f>IFERROR(_xlfn.XMATCH(A69,Щиты[Щит]),0)</f>
        <v>1</v>
      </c>
      <c r="BC69">
        <f>IFERROR(N(_xlfn.XLOOKUP(A69,Щиты[Щит],Щиты[Мест под вводной узел])),15)</f>
        <v>18</v>
      </c>
      <c r="BD69">
        <f t="shared" si="184"/>
        <v>73</v>
      </c>
      <c r="BE69" t="str">
        <f t="shared" si="185"/>
        <v>линии</v>
      </c>
      <c r="BF69" s="6">
        <f>IF(D69="","",IF(BA69&lt;&gt;"",IFERROR(_xlfn.XLOOKUP(BA69,Щиты[Щит],Щиты[Руст, кВт]),0),N(G69)))</f>
        <v>0</v>
      </c>
      <c r="BG69">
        <f>IF(J69&lt;&gt;"",J69,IF(D69="","",IFERROR(IF(VLOOKUP(AT69,Потребители_обозначение,8,FALSE)=0,"",VLOOKUP(AT69,Потребители_обозначение,8,FALSE)),"")))</f>
        <v>230</v>
      </c>
      <c r="BH69">
        <f>IF(I69&lt;&gt;"",I69,IF(D69="","",IFERROR(IF(VLOOKUP(AT69,Потребители_обозначение,9,FALSE)=0,"",VLOOKUP(AT69,Потребители_обозначение,9,FALSE)),"")))</f>
        <v>1</v>
      </c>
      <c r="BI69" t="str">
        <f>IF(U69&lt;&gt;"",U69,IF(D69="","",IFERROR(IF(VLOOKUP(AT69,Потребители_обозначение,6,FALSE)=0,"",VLOOKUP(AT69,Потребители_обозначение,6,FALSE)),"")))</f>
        <v>мс</v>
      </c>
      <c r="BJ69">
        <f>IF(V69&lt;&gt;"",V69,IF(D69="","",IFERROR(IF(VLOOKUP(AT69,Потребители_обозначение,7,FALSE)=0,"",VLOOKUP(AT69,Потребители_обозначение,7,FALSE)),"")))</f>
        <v>5</v>
      </c>
      <c r="BK69">
        <f>IF(W69&lt;&gt;"",W69,IF(D69="","",IFERROR(IF(VLOOKUP(AT69,Потребители_обозначение,10,FALSE)=0,"",VLOOKUP(AT69,Потребители_обозначение,10,FALSE)),"")))</f>
        <v>1.5</v>
      </c>
      <c r="BL69">
        <f>IFERROR(VLOOKUP(AT69,Потребители_обозначение,5,FALSE),0)</f>
        <v>1</v>
      </c>
      <c r="BM69" s="6" cm="1">
        <f t="array" ref="BM69">IF(D69="","",IF(BA69&lt;&gt;"",IFERROR(_xlfn.XLOOKUP(BA69,Щиты[Щит],Щиты[cos φ]),0.95),IF(ISNUMBER(M69),M69,IFERROR(IF(BL69=2,_xlfn.IFS(BH69=3,VLOOKUP(BF69,Справочная_двигатели,8,FALSE),BH69=1,VLOOKUP(BF69,Справочная_двигатели,10,TRUE)),IF(AND(Методика="нормы 2026",CN69="Сил"),0.8,0.95)),0.95))))</f>
        <v>0.95</v>
      </c>
      <c r="BN69" s="6" cm="1">
        <f t="array" ref="BN69">IF(D69="","",IF(BA69&lt;&gt;"",IFERROR(_xlfn.XLOOKUP(BA69,Щиты[Щит],Щиты[Iр, А]),""),IFERROR(_xlfn.IFS(BH69=1,BF69/((Uн_лин/SQRT(3))*BM69),BH69=3,BF69/(SQRT(3)*Uн_лин*BM69)),"")))</f>
        <v>0</v>
      </c>
      <c r="BO69">
        <f>IF(D69="","",IF(N(X69)=0,IFERROR(VLOOKUP(BN69,Автомат_номиналы,2,TRUE),""),X69))</f>
        <v>6</v>
      </c>
      <c r="BP69">
        <f t="shared" si="186"/>
        <v>1</v>
      </c>
      <c r="BQ69">
        <f>IF(ISNUMBER(Y69),Y69,К_прокл)</f>
        <v>1</v>
      </c>
      <c r="BR69">
        <f t="shared" si="187"/>
        <v>2</v>
      </c>
      <c r="BS69" cm="1">
        <f t="array" ref="BS69">IF(D69="","",IF(N(BK69)&lt;&gt;0,BK69,IFERROR(_xlfn.LET(_xlpm.need,BO69/(BP69*BQ69),_xlpm.t,CHOOSE(BR69,Iдоп_1ж,Iдоп_2ж,Iдоп_3ж),_xlpm.k,_xlfn.XMATCH(_xlpm.need,_xlpm.t,1),IF(ISNA(_xlpm.k),"Не исп",INDEX(Iдоп_S,_xlpm.k))),"Не исп")))</f>
        <v>1.5</v>
      </c>
      <c r="BT69">
        <f>IFERROR(VLOOKUP(BS69,Кабель_сопротивление,3,FALSE),"")</f>
        <v>2.2499999999999999E-2</v>
      </c>
      <c r="BU69">
        <f>IFERROR(VLOOKUP(BS69,Кабель_сопротивление,2,FALSE),"")</f>
        <v>0.11</v>
      </c>
      <c r="BV69">
        <f t="shared" si="188"/>
        <v>21</v>
      </c>
      <c r="BW69" s="6">
        <f>IF(D69="","",IFERROR(IF(VLOOKUP(AT69,Потребители_обозначение,4,FALSE)=1,VLOOKUP(AT69,Потребители_обозначение,3,FALSE)*(H69*2-1)+BV69+VLOOKUP(AV69,Этаж_обозначение,3,FALSE)+VLOOKUP(AV69,Этаж_обозначение,4,FALSE),VLOOKUP(AT69,Потребители_обозначение,3,FALSE)*(H69*2-1)+BV69),BV69))</f>
        <v>38</v>
      </c>
      <c r="BX69">
        <f t="shared" si="189"/>
        <v>34</v>
      </c>
      <c r="BY69">
        <f t="shared" si="190"/>
        <v>0</v>
      </c>
      <c r="BZ69">
        <f t="shared" si="191"/>
        <v>2</v>
      </c>
      <c r="CA69">
        <f t="shared" si="192"/>
        <v>0.31</v>
      </c>
      <c r="CB69">
        <f t="shared" si="193"/>
        <v>0</v>
      </c>
      <c r="CC69" s="6">
        <f>IFERROR(ROUNDUP(CB69/((Uн_лин/SQRT(3))*1000)*100,2),"")</f>
        <v>0</v>
      </c>
      <c r="CD69" s="6">
        <f>IF(ISNUMBER(CC69),CC69+IFERROR(_xlfn.XLOOKUP(A69,Щиты[Щит],Щиты[ΔU до шин, %]),0),"")</f>
        <v>0</v>
      </c>
      <c r="CE69" s="6">
        <f>IF(D69="","",IF(IFERROR(VLOOKUP(AT69,УГО_спр,2,FALSE),"")="Светильник",3,4)+IF(Методика="нормы 2026",MIN(0.5,MAX(0,N(BW69)-100)*0.005),0))</f>
        <v>3</v>
      </c>
      <c r="CF69" t="str">
        <f>IFERROR(VLOOKUP(BI69,Кабель_обозначение,2,FALSE),"")</f>
        <v>ВВГнг(А)-LS</v>
      </c>
      <c r="CG69" t="str">
        <f>IFERROR(IF(VLOOKUP(BI69,Кабель_обозначение,3,FALSE)=1,CF69&amp;" ("&amp;BJ69&amp;"х"&amp;BS69&amp;")",CF69),"")</f>
        <v>ВВГнг(А)-LS (5х1,5)</v>
      </c>
      <c r="CH69" t="str">
        <f t="shared" si="194"/>
        <v>ВВГнг(А)-LS (5х1,5)
L=38-0%</v>
      </c>
      <c r="CI69">
        <f>IFERROR(2*ρкз_Cu*BW69/BS69,"")</f>
        <v>1.3325333333333333</v>
      </c>
      <c r="CJ69">
        <f t="shared" si="195"/>
        <v>0.44333333333333336</v>
      </c>
      <c r="CK69" s="6" t="str">
        <f>IFERROR(IF(OR(D69="",NOT(ISNUMBER(BS69)),N(BW69)=0),"",_xlfn.XLOOKUP(A69,Щиты[Щит],Щиты[Zпетли на шинах, Ом])+CI69),"")</f>
        <v/>
      </c>
      <c r="CL69" s="6" t="str">
        <f>IF(ISNUMBER(CK69),c_min*(Uн_лин*1000/SQRT(3))/CK69,"")</f>
        <v/>
      </c>
      <c r="CM69" s="6" t="str">
        <f>IFERROR(IF(OR(D69="",NOT(ISNUMBER(BS69))),"",1.05*(Uн_лин*1000/SQRT(3))/(_xlfn.XLOOKUP(A69,Щиты[Щит],Щиты[Zmax на шинах, Ом])+CJ69)/1000),"")</f>
        <v/>
      </c>
      <c r="CN69" s="6" t="str">
        <f>IF(D69="","",IF(BA69&lt;&gt;"","Щит",IF(K69&lt;&gt;"",K69,IF(ISNUMBER(L69),"Сил",IF(IFERROR(_xlfn.XLOOKUP(AT69,Коды_код,Коды_группа)&amp;"","")="","Быт",_xlfn.XLOOKUP(AT69,Коды_код,Коды_группа)&amp;"")))))</f>
        <v>Быт</v>
      </c>
      <c r="CO69" s="6">
        <f>IF(CN69="Щит","щит",IF(CN69="","",IF(CN69="Быт",IFERROR(_xlfn.XLOOKUP(A69,Щиты[Щит],Щиты[Кс быт]),1),IF(CN69="Сил",IF(ISNUMBER(L69),L69,IF(Методика="нормы 2026",IFERROR(_xlfn.XLOOKUP(A69,Щиты[Щит],Щиты[Кс силовых (табл. 7.5)]),1),1)),IF(OR(CN69="Пост",CN69="Отоп"),1,IF(CN69="ВНГ",0.7,0))))))</f>
        <v>0.8</v>
      </c>
      <c r="CP69">
        <f t="shared" si="196"/>
        <v>1</v>
      </c>
      <c r="CQ69">
        <f t="shared" si="197"/>
        <v>0</v>
      </c>
      <c r="CR69">
        <f t="shared" si="198"/>
        <v>0</v>
      </c>
      <c r="CS69">
        <f t="shared" si="199"/>
        <v>0</v>
      </c>
      <c r="CT69">
        <f t="shared" si="200"/>
        <v>0</v>
      </c>
      <c r="CU69">
        <f t="shared" si="201"/>
        <v>0</v>
      </c>
      <c r="CV69">
        <f t="shared" si="202"/>
        <v>0</v>
      </c>
      <c r="CW69">
        <f t="shared" si="203"/>
        <v>0</v>
      </c>
      <c r="CX69">
        <f t="shared" si="204"/>
        <v>0</v>
      </c>
      <c r="CY69">
        <f t="shared" si="205"/>
        <v>3</v>
      </c>
      <c r="CZ69" t="str">
        <f t="shared" si="206"/>
        <v>L3</v>
      </c>
      <c r="DA69" cm="1">
        <f t="array" ref="DA69">IFERROR(IF(BL69=2,_xlfn.IFS(BH69=3,VLOOKUP(BF69,Справочная_двигатели,3,FALSE),BH69=1,VLOOKUP(BF69,Справочная_двигатели,5,TRUE)),0),0)</f>
        <v>0</v>
      </c>
      <c r="DB69">
        <f>IFERROR(IF(BL69=3,VLOOKUP(BF69,Справочная_ЛЭД,2,TRUE),0),0)</f>
        <v>0</v>
      </c>
      <c r="DC69" s="6">
        <f t="shared" si="207"/>
        <v>0</v>
      </c>
      <c r="DD69" t="str">
        <f t="shared" si="208"/>
        <v>L3</v>
      </c>
      <c r="DE69" t="str" cm="1">
        <f t="array" ref="DE69">IF(D69="","",IFERROR(INDEX({"I особая","I","II","III"},MATCH(TRIM(AA69&amp;""),{"I особая","I","II","III"},0)),"III"))</f>
        <v>III</v>
      </c>
      <c r="DF69" t="str">
        <f>IF(D69="","",IF(TRIM(AB69&amp;"")&lt;&gt;"",IF(LOWER(TRIM(AB69&amp;""))="да","да","нет"),IF(IFERROR(_xlfn.XLOOKUP(AT69,Коды_код,Коды_пожарная),"")="да","да","нет")))</f>
        <v>нет</v>
      </c>
      <c r="DG69" t="str">
        <f t="shared" si="209"/>
        <v/>
      </c>
      <c r="DH69" t="str">
        <f t="shared" si="210"/>
        <v>основная</v>
      </c>
      <c r="DI69">
        <f t="shared" si="211"/>
        <v>1</v>
      </c>
      <c r="DJ69" t="str" cm="1">
        <f t="array" ref="DJ69">IF(D69="","",_xlfn.LET(_xlpm.t,IFERROR(_xlfn.XLOOKUP(1,(Шины[Шина]=DH69)*(((Шины[Щит]=A69)+(Шины[Щит]=""))&gt;0),Шины[Тип]),"")&amp;"",IF(_xlpm.t&lt;&gt;"",_xlpm.t,IF(ISNUMBER(SEARCH("ИБП",DH69)),"ИБП",IF(ISNUMBER(SEARCH("ДГУ",DH69)),"ДГУ","Ввод "&amp;DI69)))))</f>
        <v>Ввод 1</v>
      </c>
      <c r="DK69" t="str">
        <f t="shared" si="212"/>
        <v>Ввод 1</v>
      </c>
      <c r="DL69" t="str">
        <f>IF(D69="","",IF(OR(DJ69="ИБП",DJ69="ДГУ"),"I особая",IF(DJ69="Одиночная","III",_xlfn.XLOOKUP(A69,Щиты[Щит],Щиты[Категория шины «Ввод»],"III"))))</f>
        <v>III</v>
      </c>
      <c r="DM69">
        <f>IF(D69="",0,IFERROR(MATCH(DE69,{"III","II","I","I особая"},0),1))</f>
        <v>1</v>
      </c>
      <c r="DN69">
        <f t="shared" si="213"/>
        <v>1</v>
      </c>
      <c r="DO69" t="str">
        <f>IF(D69="","",IF(DM69&gt;IFERROR(MATCH(DL69,{"III","II","I","I особая"},0),1),"НЕ ОБЕСПЕЧЕНА","ОК"))</f>
        <v>ОК</v>
      </c>
      <c r="DP69" t="str">
        <f>IF(A69="","",_xlfn.XLOOKUP(A69,Щиты[Щит],Щиты[Путь],""))</f>
        <v>|ЩР|</v>
      </c>
      <c r="DQ69" t="str">
        <f>IF(D69="","",IF(Z69&lt;&gt;"",Z69,IF(IFERROR(_xlfn.XLOOKUP(AT69,Коды_код,Коды_вид)&amp;"","")="","Прочее",_xlfn.XLOOKUP(AT69,Коды_код,Коды_вид)&amp;"")))</f>
        <v>Рабочее освещение</v>
      </c>
      <c r="DR69">
        <f>IF(BD69="","",INT((BD69-1)/Столбцов_на_лист)+1)</f>
        <v>5</v>
      </c>
      <c r="DS69" t="str">
        <f t="shared" si="214"/>
        <v>ВВГнг(А)-LS (5х1,5) L=38-0%</v>
      </c>
      <c r="DT69">
        <f t="shared" si="215"/>
        <v>0</v>
      </c>
      <c r="DU69">
        <f t="shared" si="216"/>
        <v>0</v>
      </c>
      <c r="DV69">
        <f t="shared" si="217"/>
        <v>1</v>
      </c>
      <c r="DW69">
        <f>IF(AT69="",0,_xlfn.LET(_xlpm.v,IFERROR(VLOOKUP(D69,УГО_спр,3,FALSE),IFERROR(VLOOKUP(AT69,УГО_спр,3,FALSE),IFERROR(VLOOKUP(LEFT(AT69,2),УГО_спр,3,FALSE),""))),IF(_xlpm.v="да",30,IF(ISNUMBER(_xlpm.v),_xlpm.v,0))))</f>
        <v>0</v>
      </c>
      <c r="DX69">
        <f t="shared" si="218"/>
        <v>0</v>
      </c>
      <c r="DY69">
        <f>IF(BD69="","",IF(AD69&lt;&gt;"",COUNTIFS(A$3:A69,A69,AD$3:AD69,"?*"),IF(OR(OR(AS69=1,A69&lt;&gt;A68),AL69="вручную"),"",IF(AS69=1,"",DZ68))))</f>
        <v>34</v>
      </c>
      <c r="DZ69">
        <f t="shared" si="219"/>
        <v>34</v>
      </c>
      <c r="EA69">
        <f>IF(D69="",0,MAX(IFERROR(--X69,0),IFERROR(--VLOOKUP(D69,УГО_спр,4,FALSE),IFERROR(--VLOOKUP(AT69,УГО_спр,4,FALSE),IFERROR(--VLOOKUP(LEFT(AT69,2),УГО_спр,4,FALSE),0)))))</f>
        <v>10</v>
      </c>
      <c r="EB69">
        <f>IF(D69="","",IFERROR(LOOKUP(INDEX(CHOOSE(BR69,Iдоп_1ж,Iдоп_2ж,Iдоп_3ж),MATCH(BS69,Iдоп_S,0))*BP69*BQ69,{6,10,16,20,25,32,40,50,63,80,100,125,160,200,250,315,400,500,630}),""))</f>
        <v>16</v>
      </c>
      <c r="EC69" t="str">
        <f>IF(AD69="","",SUMIFS(Линии[_Ток схемы],Линии[_гр.],DY69,Линии[Щит],A69,Линии[_в кабель выше],0))</f>
        <v/>
      </c>
      <c r="ED69" t="str">
        <f>IF(AD69="","",IFERROR(VLOOKUP(EC69,Автомат_номиналы,2,TRUE),""))</f>
        <v/>
      </c>
      <c r="EE69" t="str">
        <f>IF(AD69="","",MAX(N(ED69),_xlfn.MAXIFS(Линии[_мин. по типу],Линии[_гр.],DY69,Линии[Щит],A69)))</f>
        <v/>
      </c>
      <c r="EF69" t="str">
        <f>IF(AD69="","",_xlfn.MINIFS(Линии[_макс. автомат по кабелю],Линии[_гр.],DY69,Линии[Щит],A69))</f>
        <v/>
      </c>
      <c r="EG69" t="str">
        <f>IF(AD69="","",MAX(1,_xlfn.MAXIFS(Линии[_фаз],Линии[_гр.],DY69,Линии[Щит],A69)))</f>
        <v/>
      </c>
      <c r="EH69" t="str">
        <f>IF(AD69="","",IF(AND(AD69&lt;&gt;"авто",AD69&lt;&gt;"+"),IF(ISNUMBER(SEARCH("мА",AD69)),IFERROR(--TRIM(RIGHT(SUBSTITUTE(LEFT(AD69,SEARCH("мА",AD69)-1)," ",REPT(" ",9)),6)),30),0),IF(AE69="нет",0,IF(ISNUMBER(AE69),AE69,IF(AE69="да",30,_xlfn.MINIFS(Линии[_дифзащита по коду, мА],Линии[_гр.],DY69,Линии[Щит],A69,Линии[_дифзащита по коду, мА],"&gt;0"))))))</f>
        <v/>
      </c>
      <c r="EI69" t="str">
        <f t="shared" si="220"/>
        <v/>
      </c>
      <c r="EJ69" t="str">
        <f t="shared" si="221"/>
        <v/>
      </c>
      <c r="EK69" t="str">
        <f t="shared" si="222"/>
        <v>QF34</v>
      </c>
      <c r="EL69" t="str">
        <f t="shared" si="223"/>
        <v>МК-5-1</v>
      </c>
      <c r="EM69">
        <f t="shared" si="224"/>
        <v>0</v>
      </c>
      <c r="EN69" t="str">
        <f>IF(AD69="","",IF(EM69=1,MAX(EE69,Мин_автомат_БП),EE69))</f>
        <v/>
      </c>
      <c r="EO69" t="str">
        <f t="shared" si="225"/>
        <v/>
      </c>
      <c r="EP69" t="str">
        <f t="shared" si="226"/>
        <v/>
      </c>
      <c r="EQ69" t="str">
        <f t="shared" si="227"/>
        <v/>
      </c>
      <c r="ER69" t="str">
        <f>IF(OR(AI69="",AI69="-"),"",IFERROR(VLOOKUP(AI69,Модули_спр,2,FALSE),"R"))</f>
        <v/>
      </c>
      <c r="ES69" t="str">
        <f>IF(ER69="","",ER69&amp;"."&amp;COUNTIFS(A$3:A69,A69,ER$3:ER69,ER69))</f>
        <v/>
      </c>
      <c r="ET69" t="str">
        <f t="shared" si="228"/>
        <v/>
      </c>
      <c r="EU69" t="str">
        <f t="shared" si="229"/>
        <v/>
      </c>
      <c r="EV69" t="str">
        <f t="shared" si="230"/>
        <v/>
      </c>
      <c r="EW69" t="str">
        <f t="shared" si="231"/>
        <v/>
      </c>
      <c r="EX69">
        <f t="shared" si="232"/>
        <v>1</v>
      </c>
      <c r="EY69" t="str">
        <f>IF(AK69="нет","",IF(AK69&lt;&gt;"",AK69,IF(EX69=1,"XT"&amp;COUNTIFS(A$3:A69,A69,EX$3:EX69,1),"")))</f>
        <v>XT49</v>
      </c>
      <c r="EZ69" t="str">
        <f t="shared" si="233"/>
        <v>QF34</v>
      </c>
      <c r="FA69" t="str">
        <f t="shared" si="234"/>
        <v/>
      </c>
      <c r="FB69" t="str">
        <f t="shared" si="235"/>
        <v/>
      </c>
      <c r="FC69" t="str">
        <f>IF(OR(EV69="",ET69=""),"",IF(EV69&gt;IFERROR(VLOOKUP(EU69,Модули_спр,3,FALSE),99),"ЛИШНИЙ КАНАЛ",IF(AND(AJ69&lt;&gt;"=",COUNTIFS(Линии[_модуль гр.],ET69,Линии[Канал (итог)],EV69,Линии[Канал],"&lt;&gt;=",Линии[Щит],A69)&gt;1),"ДУБЛЬ КАНАЛА","")))</f>
        <v/>
      </c>
      <c r="FD69">
        <f t="shared" si="236"/>
        <v>10</v>
      </c>
      <c r="FE69" t="str">
        <f t="shared" si="237"/>
        <v>1P С10А</v>
      </c>
      <c r="FF69">
        <f t="shared" si="238"/>
        <v>0</v>
      </c>
      <c r="FG69">
        <f t="shared" si="239"/>
        <v>0</v>
      </c>
      <c r="FH69" s="6" t="str">
        <f t="shared" si="240"/>
        <v/>
      </c>
      <c r="FI69">
        <f t="shared" si="241"/>
        <v>10</v>
      </c>
      <c r="FJ69" t="str">
        <f t="shared" si="242"/>
        <v/>
      </c>
      <c r="FK69" t="str">
        <f>IF(AND(D69="",EZ69=""),"",_xlfn.TEXTJOIN("; ",TRUE,IF(AND(D69&lt;&gt;"",DD69=""),"нет фазы",""),IF(AND(D69&lt;&gt;"",N(DT69)=0,CN69&lt;&gt;"Нет"),"нет мощности",""),IF(AND(EY69&lt;&gt;"",COUNTIFS(Линии[Щит],A69,Линии[Клемма (итог)],EY69)&gt;1),"дубль клеммы "&amp;EY69,""),IF(AND(FB69&lt;&gt;"",FB69&lt;&gt;"ok"),FB69,""),IF(FC69&lt;&gt;"",FC69,""),IF(AND(ISNUMBER(SEARCH("(5х",DS69)),N(DV69)=1),"5 жил на 1 фазе",""),IF(AND(AT69="R",AD69&lt;&gt;"",OR(N(EH69)=0,N(EH69)&gt;30)),"розетка без дифзащиты до 30 мА",""),IFERROR(IF(AND(ISNUMBER(CD69),CD69&gt;CE69),"потери "&amp;FIXED(CD69,1)&amp;" % &gt; "&amp;CE69&amp;" %",""),""),IFERROR(IF(LEFT(FJ69,4)="мало","Iкз мало — отключение &gt; 0,4 с",""),""),IF(AND(D69&lt;&gt;"",BD69=""),"не на схеме","")))</f>
        <v>нет мощности; 5 жил на 1 фазе</v>
      </c>
      <c r="FL69" s="6" t="str">
        <f>IF(AD69="","",_xlfn.LET(_xlpm.t,IFERROR(_xlfn.XLOOKUP(EP69,Каталог!$U$4:$U$500,Каталог!$G$4:$G$500),""),_xlpm.k,SEARCH("кА",_xlpm.t),IFERROR(--TRIM(RIGHT(SUBSTITUTE(MID(_xlpm.t,MAX(1,_xlpm.k-4),_xlpm.k-MAX(1,_xlpm.k-4))," ",REPT(" ",9)),5)),"")))</f>
        <v/>
      </c>
      <c r="FM69" t="str">
        <f>IF(OR(FL69="",AD69=""),"",IF(_xlfn.XLOOKUP(A69,Щиты[Щит],Щиты[Iкз max на шинах, кА],"")="","",IF(FL69&lt;_xlfn.XLOOKUP(A69,Щиты[Щит],Щиты[Iкз max на шинах, кА]),"Icu "&amp;FL69&amp;" кА &lt; Iкз max","ok")))</f>
        <v/>
      </c>
      <c r="FN69" t="str">
        <f t="shared" si="243"/>
        <v>QF34|МК-5-1|XT49</v>
      </c>
      <c r="FO69" t="str">
        <f t="shared" si="244"/>
        <v>QF34|МК-5-1|XT49|кабель ВВГнг(А)-LS (5х1,5) → Группа освещения  Пом. №11</v>
      </c>
      <c r="FP69" t="str" cm="1">
        <f t="array" ref="FP69">IF(FO69="","",_xlfn.LET(_xlpm.nd,_xlfn.TEXTSPLIT(FO69,"|"),IF(COLUMNS(_xlpm.nd)&gt;1,A69&amp;"¦"&amp;INDEX(_xlpm.nd,1)&amp;"¦"&amp;INDEX(_xlpm.nd,2),"")))</f>
        <v>ЩР¦QF34¦МК-5-1</v>
      </c>
      <c r="FQ69" t="str">
        <f t="shared" si="245"/>
        <v>L.2.11.1¦Группа освещения  Пом. №11</v>
      </c>
      <c r="FR69" t="str" cm="1">
        <f t="array" ref="FR69">IF(FO69="","",_xlfn.LET(_xlpm.nd,_xlfn.TEXTSPLIT(FO69,"|"),IF(COLUMNS(_xlpm.nd)&gt;2,A69&amp;"¦"&amp;INDEX(_xlpm.nd,2)&amp;"¦"&amp;INDEX(_xlpm.nd,3),"")))</f>
        <v>ЩР¦МК-5-1¦XT49</v>
      </c>
      <c r="FS69" t="str">
        <f t="shared" si="246"/>
        <v>L.2.11.1¦Группа освещения  Пом. №11</v>
      </c>
      <c r="FT69" t="str" cm="1">
        <f t="array" ref="FT69">IF(FO69="","",_xlfn.LET(_xlpm.nd,_xlfn.TEXTSPLIT(FO69,"|"),IF(COLUMNS(_xlpm.nd)&gt;3,A69&amp;"¦"&amp;INDEX(_xlpm.nd,3)&amp;"¦"&amp;INDEX(_xlpm.nd,4),"")))</f>
        <v>ЩР¦XT49¦кабель ВВГнг(А)-LS (5х1,5) → Группа освещения  Пом. №11</v>
      </c>
      <c r="FU69" t="str">
        <f t="shared" si="247"/>
        <v>L.2.11.1¦Группа освещения  Пом. №11</v>
      </c>
      <c r="FV69" t="str" cm="1">
        <f t="array" ref="FV69">IF(FO69="","",_xlfn.LET(_xlpm.nd,_xlfn.TEXTSPLIT(FO69,"|"),IF(COLUMNS(_xlpm.nd)&gt;4,A69&amp;"¦"&amp;INDEX(_xlpm.nd,4)&amp;"¦"&amp;INDEX(_xlpm.nd,5),"")))</f>
        <v/>
      </c>
      <c r="FW69" t="str">
        <f t="shared" si="248"/>
        <v/>
      </c>
      <c r="FX69" t="str" cm="1">
        <f t="array" ref="FX69">IF(FO69="","",_xlfn.LET(_xlpm.nd,_xlfn.TEXTSPLIT(FO69,"|"),IF(COLUMNS(_xlpm.nd)&gt;5,A69&amp;"¦"&amp;INDEX(_xlpm.nd,5)&amp;"¦"&amp;INDEX(_xlpm.nd,6),"")))</f>
        <v/>
      </c>
      <c r="FY69" t="str">
        <f t="shared" si="249"/>
        <v/>
      </c>
      <c r="FZ69" t="str" cm="1">
        <f t="array" ref="FZ69">IF(FO69="","",_xlfn.LET(_xlpm.nd,_xlfn.TEXTSPLIT(FO69,"|"),IF(COLUMNS(_xlpm.nd)&gt;6,A69&amp;"¦"&amp;INDEX(_xlpm.nd,6)&amp;"¦"&amp;INDEX(_xlpm.nd,7),"")))</f>
        <v/>
      </c>
      <c r="GA69" t="str">
        <f t="shared" si="250"/>
        <v/>
      </c>
      <c r="GB69" t="str">
        <f t="shared" si="251"/>
        <v/>
      </c>
      <c r="GC69" t="str">
        <f t="shared" si="252"/>
        <v>QF34 → МК-5-1 → XT49</v>
      </c>
      <c r="GD69">
        <f t="shared" si="253"/>
        <v>1</v>
      </c>
      <c r="GE69">
        <f t="shared" si="254"/>
        <v>0</v>
      </c>
      <c r="GF69">
        <f t="shared" si="255"/>
        <v>0</v>
      </c>
      <c r="GG69" t="str">
        <f t="shared" si="256"/>
        <v/>
      </c>
      <c r="GH69" t="str">
        <f t="shared" si="257"/>
        <v/>
      </c>
      <c r="GI69" t="str">
        <f t="shared" si="258"/>
        <v/>
      </c>
      <c r="GJ69" t="str">
        <f t="shared" si="259"/>
        <v/>
      </c>
      <c r="GK69" t="str">
        <f>IF(D69="","",IFERROR(VLOOKUP(D69,УГО_спр,2,FALSE),IFERROR(VLOOKUP(AT69,УГО_спр,2,FALSE),IFERROR(VLOOKUP(LEFT(AT69,2),УГО_спр,2,FALSE),""))))</f>
        <v>Светильник</v>
      </c>
      <c r="GL69" t="str">
        <f>IF(D69="","",IF(OR(GK69="",GK69=0),"BOX",IFERROR(IF(VLOOKUP(GK69,УГО_блоки,3,FALSE)&amp;""&lt;&gt;"",VLOOKUP(GK69,УГО_блоки,3,FALSE),VLOOKUP(GK69,УГО_блоки,2,FALSE)),GK69)))</f>
        <v>LAMP</v>
      </c>
      <c r="GM69">
        <f t="shared" si="260"/>
        <v>1</v>
      </c>
      <c r="GN69" t="str">
        <f>IF(EP69="","",IF(COUNTIF(EP$3:EP69,EP69)=1,MAX(GN$2:GN68)+1,""))</f>
        <v/>
      </c>
      <c r="GO69" t="str">
        <f>IF(AF69="","",IF(COUNTIF(AF$3:AF69,AF69)+COUNTIF(AG$2:AG68,AF69)+COUNTIF(AH$2:AH68,AF69)=1,MAX(GO$2:GQ68)+1,""))</f>
        <v/>
      </c>
      <c r="GP69" t="str">
        <f>IF(AG69="","",IF(COUNTIF(AF$3:AF69,AG69)+COUNTIF(AG$3:AG69,AG69)+COUNTIF(AH$2:AH68,AG69)=1,MAX(GO$2:GQ68,GO69)+1,""))</f>
        <v/>
      </c>
      <c r="GQ69" t="str">
        <f>IF(AH69="","",IF(COUNTIF(AF$3:AF69,AH69)+COUNTIF(AG$3:AG69,AH69)+COUNTIF(AH$3:AH69,AH69)=1,MAX(GO$2:GQ68,GO69,GP69)+1,""))</f>
        <v/>
      </c>
      <c r="GR69" t="str">
        <f t="shared" si="261"/>
        <v>5х1,5</v>
      </c>
      <c r="GS69" t="str">
        <f>IF(GR69="","",IF(COUNTIF(GR$3:GR69,GR69)=1,MAX(GS$2:GS68)+1,""))</f>
        <v/>
      </c>
      <c r="GT69" t="str">
        <f>IF(ES69="","",COUNTIF(ES$3:ES69,"?*"))</f>
        <v/>
      </c>
      <c r="GU69" t="str">
        <f>IF(OR(ES69="",EU69=""),"",IF(COUNTIFS(ES$3:ES69,"?*",EU$3:EU69,EU69)=1,MAX(GU$2:GU68)+1,""))</f>
        <v/>
      </c>
      <c r="GV69">
        <f t="shared" si="262"/>
        <v>1</v>
      </c>
      <c r="GW69">
        <f>IF(D69="","",COUNTIF(D$3:D69,"?*"))</f>
        <v>49</v>
      </c>
      <c r="GX69">
        <f>IF(EX69&lt;&gt;1,0,_xlfn.LET(_xlpm.k,MAX(IFERROR(--VLOOKUP(D69,УГО_спр,5,FALSE),0),IFERROR(--VLOOKUP(AT69,УГО_спр,5,FALSE),0),IFERROR(--VLOOKUP(LEFT(AT69,2),УГО_спр,5,FALSE),0)),IF(_xlpm.k&gt;0,_xlpm.k,IF(IFERROR(--LEFT(SUBSTITUTE(GR69,"x","х"),FIND("х",SUBSTITUTE(GR69,"x","х"))-1),3)&gt;3,Каталог!$S$9,1))))</f>
        <v>1</v>
      </c>
      <c r="GY69">
        <f t="shared" si="263"/>
        <v>2</v>
      </c>
    </row>
    <row r="70" spans="1:207" x14ac:dyDescent="0.3">
      <c r="A70" t="s">
        <v>206</v>
      </c>
      <c r="B70">
        <v>74</v>
      </c>
      <c r="C70" t="str">
        <f>IF(BD70="","",IF(BE70="вводной узел","узел ","")&amp;"л."&amp;(INT((BD70-1)/Столбцов_на_лист)+1)&amp;" / "&amp;(MOD(BD70-1,Столбцов_на_лист)+1))</f>
        <v>л.5 / 6</v>
      </c>
      <c r="D70" t="s">
        <v>734</v>
      </c>
      <c r="E70" s="133" t="str">
        <f t="shared" si="176"/>
        <v>Группа освещения  Пом. №12</v>
      </c>
      <c r="H70">
        <v>6</v>
      </c>
      <c r="O70">
        <v>1</v>
      </c>
      <c r="T70">
        <v>1</v>
      </c>
      <c r="V70">
        <v>5</v>
      </c>
      <c r="AM70">
        <v>7.46</v>
      </c>
      <c r="AO70" t="s">
        <v>735</v>
      </c>
      <c r="AQ70" t="s">
        <v>232</v>
      </c>
      <c r="AR70" t="str">
        <f t="shared" si="177"/>
        <v>нет мощности; 5 жил на 1 фазе</v>
      </c>
      <c r="AS70" cm="1">
        <f t="array" ref="AS70">ROW()-ROW(Линии[#Headers])</f>
        <v>68</v>
      </c>
      <c r="AT70" s="6" t="str">
        <f t="shared" si="178"/>
        <v>L</v>
      </c>
      <c r="AU70" t="str">
        <f t="shared" si="179"/>
        <v>2.12.1</v>
      </c>
      <c r="AV70" t="str">
        <f t="shared" si="180"/>
        <v>2</v>
      </c>
      <c r="AW70" t="str">
        <f t="shared" si="181"/>
        <v>12.1</v>
      </c>
      <c r="AX70" t="str">
        <f t="shared" si="182"/>
        <v>12</v>
      </c>
      <c r="AY70" t="str">
        <f>IF(D70="","",IF(ISERROR(SEARCH(".",D70)),IFERROR(VLOOKUP(D70,Потребители_обозначение,2,FALSE)&amp;"",""),IFERROR(IF(VLOOKUP(AT70,Потребители_обозначение,4,FALSE)=1,VLOOKUP(AT70,Потребители_обозначение,2,FALSE)&amp;" "&amp;VLOOKUP(AV70,Этаж_обозначение,2,FALSE)&amp;" Пом. №"&amp;AX70,VLOOKUP(AT70,Потребители_обозначение,2,FALSE)&amp;" Шлейф №"&amp;AV70),IFERROR(VLOOKUP(D70,Потребители_обозначение,2,FALSE),""))))</f>
        <v>Группа освещения  Пом. №12</v>
      </c>
      <c r="AZ70" t="str">
        <f t="shared" si="183"/>
        <v>Группа освещения  Пом. №12</v>
      </c>
      <c r="BA70" t="str">
        <f>IF(F70&lt;&gt;"",F70,IF(AND(D70&lt;&gt;"",D70&lt;&gt;A70,ISNUMBER(_xlfn.XMATCH(D70,Щиты[Щит]))),D70,""))</f>
        <v/>
      </c>
      <c r="BB70">
        <f>IFERROR(_xlfn.XMATCH(A70,Щиты[Щит]),0)</f>
        <v>1</v>
      </c>
      <c r="BC70">
        <f>IFERROR(N(_xlfn.XLOOKUP(A70,Щиты[Щит],Щиты[Мест под вводной узел])),15)</f>
        <v>18</v>
      </c>
      <c r="BD70">
        <f t="shared" si="184"/>
        <v>74</v>
      </c>
      <c r="BE70" t="str">
        <f t="shared" si="185"/>
        <v>линии</v>
      </c>
      <c r="BF70" s="6">
        <f>IF(D70="","",IF(BA70&lt;&gt;"",IFERROR(_xlfn.XLOOKUP(BA70,Щиты[Щит],Щиты[Руст, кВт]),0),N(G70)))</f>
        <v>0</v>
      </c>
      <c r="BG70">
        <f>IF(J70&lt;&gt;"",J70,IF(D70="","",IFERROR(IF(VLOOKUP(AT70,Потребители_обозначение,8,FALSE)=0,"",VLOOKUP(AT70,Потребители_обозначение,8,FALSE)),"")))</f>
        <v>230</v>
      </c>
      <c r="BH70">
        <f>IF(I70&lt;&gt;"",I70,IF(D70="","",IFERROR(IF(VLOOKUP(AT70,Потребители_обозначение,9,FALSE)=0,"",VLOOKUP(AT70,Потребители_обозначение,9,FALSE)),"")))</f>
        <v>1</v>
      </c>
      <c r="BI70" t="str">
        <f>IF(U70&lt;&gt;"",U70,IF(D70="","",IFERROR(IF(VLOOKUP(AT70,Потребители_обозначение,6,FALSE)=0,"",VLOOKUP(AT70,Потребители_обозначение,6,FALSE)),"")))</f>
        <v>мс</v>
      </c>
      <c r="BJ70">
        <f>IF(V70&lt;&gt;"",V70,IF(D70="","",IFERROR(IF(VLOOKUP(AT70,Потребители_обозначение,7,FALSE)=0,"",VLOOKUP(AT70,Потребители_обозначение,7,FALSE)),"")))</f>
        <v>5</v>
      </c>
      <c r="BK70">
        <f>IF(W70&lt;&gt;"",W70,IF(D70="","",IFERROR(IF(VLOOKUP(AT70,Потребители_обозначение,10,FALSE)=0,"",VLOOKUP(AT70,Потребители_обозначение,10,FALSE)),"")))</f>
        <v>1.5</v>
      </c>
      <c r="BL70">
        <f>IFERROR(VLOOKUP(AT70,Потребители_обозначение,5,FALSE),0)</f>
        <v>1</v>
      </c>
      <c r="BM70" s="6" cm="1">
        <f t="array" ref="BM70">IF(D70="","",IF(BA70&lt;&gt;"",IFERROR(_xlfn.XLOOKUP(BA70,Щиты[Щит],Щиты[cos φ]),0.95),IF(ISNUMBER(M70),M70,IFERROR(IF(BL70=2,_xlfn.IFS(BH70=3,VLOOKUP(BF70,Справочная_двигатели,8,FALSE),BH70=1,VLOOKUP(BF70,Справочная_двигатели,10,TRUE)),IF(AND(Методика="нормы 2026",CN70="Сил"),0.8,0.95)),0.95))))</f>
        <v>0.95</v>
      </c>
      <c r="BN70" s="6" cm="1">
        <f t="array" ref="BN70">IF(D70="","",IF(BA70&lt;&gt;"",IFERROR(_xlfn.XLOOKUP(BA70,Щиты[Щит],Щиты[Iр, А]),""),IFERROR(_xlfn.IFS(BH70=1,BF70/((Uн_лин/SQRT(3))*BM70),BH70=3,BF70/(SQRT(3)*Uн_лин*BM70)),"")))</f>
        <v>0</v>
      </c>
      <c r="BO70">
        <f>IF(D70="","",IF(N(X70)=0,IFERROR(VLOOKUP(BN70,Автомат_номиналы,2,TRUE),""),X70))</f>
        <v>6</v>
      </c>
      <c r="BP70">
        <f t="shared" si="186"/>
        <v>1</v>
      </c>
      <c r="BQ70">
        <f>IF(ISNUMBER(Y70),Y70,К_прокл)</f>
        <v>1</v>
      </c>
      <c r="BR70">
        <f t="shared" si="187"/>
        <v>2</v>
      </c>
      <c r="BS70" cm="1">
        <f t="array" ref="BS70">IF(D70="","",IF(N(BK70)&lt;&gt;0,BK70,IFERROR(_xlfn.LET(_xlpm.need,BO70/(BP70*BQ70),_xlpm.t,CHOOSE(BR70,Iдоп_1ж,Iдоп_2ж,Iдоп_3ж),_xlpm.k,_xlfn.XMATCH(_xlpm.need,_xlpm.t,1),IF(ISNA(_xlpm.k),"Не исп",INDEX(Iдоп_S,_xlpm.k))),"Не исп")))</f>
        <v>1.5</v>
      </c>
      <c r="BT70">
        <f>IFERROR(VLOOKUP(BS70,Кабель_сопротивление,3,FALSE),"")</f>
        <v>2.2499999999999999E-2</v>
      </c>
      <c r="BU70">
        <f>IFERROR(VLOOKUP(BS70,Кабель_сопротивление,2,FALSE),"")</f>
        <v>0.11</v>
      </c>
      <c r="BV70">
        <f t="shared" si="188"/>
        <v>8</v>
      </c>
      <c r="BW70" s="6">
        <f>IF(D70="","",IFERROR(IF(VLOOKUP(AT70,Потребители_обозначение,4,FALSE)=1,VLOOKUP(AT70,Потребители_обозначение,3,FALSE)*(H70*2-1)+BV70+VLOOKUP(AV70,Этаж_обозначение,3,FALSE)+VLOOKUP(AV70,Этаж_обозначение,4,FALSE),VLOOKUP(AT70,Потребители_обозначение,3,FALSE)*(H70*2-1)+BV70),BV70))</f>
        <v>19</v>
      </c>
      <c r="BX70">
        <f t="shared" si="189"/>
        <v>15</v>
      </c>
      <c r="BY70">
        <f t="shared" si="190"/>
        <v>0</v>
      </c>
      <c r="BZ70">
        <f t="shared" si="191"/>
        <v>2</v>
      </c>
      <c r="CA70">
        <f t="shared" si="192"/>
        <v>0.31</v>
      </c>
      <c r="CB70">
        <f t="shared" si="193"/>
        <v>0</v>
      </c>
      <c r="CC70" s="6">
        <f>IFERROR(ROUNDUP(CB70/((Uн_лин/SQRT(3))*1000)*100,2),"")</f>
        <v>0</v>
      </c>
      <c r="CD70" s="6">
        <f>IF(ISNUMBER(CC70),CC70+IFERROR(_xlfn.XLOOKUP(A70,Щиты[Щит],Щиты[ΔU до шин, %]),0),"")</f>
        <v>0</v>
      </c>
      <c r="CE70" s="6">
        <f>IF(D70="","",IF(IFERROR(VLOOKUP(AT70,УГО_спр,2,FALSE),"")="Светильник",3,4)+IF(Методика="нормы 2026",MIN(0.5,MAX(0,N(BW70)-100)*0.005),0))</f>
        <v>3</v>
      </c>
      <c r="CF70" t="str">
        <f>IFERROR(VLOOKUP(BI70,Кабель_обозначение,2,FALSE),"")</f>
        <v>ВВГнг(А)-LS</v>
      </c>
      <c r="CG70" t="str">
        <f>IFERROR(IF(VLOOKUP(BI70,Кабель_обозначение,3,FALSE)=1,CF70&amp;" ("&amp;BJ70&amp;"х"&amp;BS70&amp;")",CF70),"")</f>
        <v>ВВГнг(А)-LS (5х1,5)</v>
      </c>
      <c r="CH70" t="str">
        <f t="shared" si="194"/>
        <v>ВВГнг(А)-LS (5х1,5)
L=19-0%</v>
      </c>
      <c r="CI70">
        <f>IFERROR(2*ρкз_Cu*BW70/BS70,"")</f>
        <v>0.66626666666666667</v>
      </c>
      <c r="CJ70">
        <f t="shared" si="195"/>
        <v>0.22166666666666668</v>
      </c>
      <c r="CK70" s="6" t="str">
        <f>IFERROR(IF(OR(D70="",NOT(ISNUMBER(BS70)),N(BW70)=0),"",_xlfn.XLOOKUP(A70,Щиты[Щит],Щиты[Zпетли на шинах, Ом])+CI70),"")</f>
        <v/>
      </c>
      <c r="CL70" s="6" t="str">
        <f>IF(ISNUMBER(CK70),c_min*(Uн_лин*1000/SQRT(3))/CK70,"")</f>
        <v/>
      </c>
      <c r="CM70" s="6" t="str">
        <f>IFERROR(IF(OR(D70="",NOT(ISNUMBER(BS70))),"",1.05*(Uн_лин*1000/SQRT(3))/(_xlfn.XLOOKUP(A70,Щиты[Щит],Щиты[Zmax на шинах, Ом])+CJ70)/1000),"")</f>
        <v/>
      </c>
      <c r="CN70" s="6" t="str">
        <f>IF(D70="","",IF(BA70&lt;&gt;"","Щит",IF(K70&lt;&gt;"",K70,IF(ISNUMBER(L70),"Сил",IF(IFERROR(_xlfn.XLOOKUP(AT70,Коды_код,Коды_группа)&amp;"","")="","Быт",_xlfn.XLOOKUP(AT70,Коды_код,Коды_группа)&amp;"")))))</f>
        <v>Быт</v>
      </c>
      <c r="CO70" s="6">
        <f>IF(CN70="Щит","щит",IF(CN70="","",IF(CN70="Быт",IFERROR(_xlfn.XLOOKUP(A70,Щиты[Щит],Щиты[Кс быт]),1),IF(CN70="Сил",IF(ISNUMBER(L70),L70,IF(Методика="нормы 2026",IFERROR(_xlfn.XLOOKUP(A70,Щиты[Щит],Щиты[Кс силовых (табл. 7.5)]),1),1)),IF(OR(CN70="Пост",CN70="Отоп"),1,IF(CN70="ВНГ",0.7,0))))))</f>
        <v>0.8</v>
      </c>
      <c r="CP70">
        <f t="shared" si="196"/>
        <v>1</v>
      </c>
      <c r="CQ70">
        <f t="shared" si="197"/>
        <v>0</v>
      </c>
      <c r="CR70">
        <f t="shared" si="198"/>
        <v>0</v>
      </c>
      <c r="CS70">
        <f t="shared" si="199"/>
        <v>0</v>
      </c>
      <c r="CT70">
        <f t="shared" si="200"/>
        <v>0</v>
      </c>
      <c r="CU70">
        <f t="shared" si="201"/>
        <v>0</v>
      </c>
      <c r="CV70">
        <f t="shared" si="202"/>
        <v>0</v>
      </c>
      <c r="CW70">
        <f t="shared" si="203"/>
        <v>0</v>
      </c>
      <c r="CX70">
        <f t="shared" si="204"/>
        <v>0</v>
      </c>
      <c r="CY70">
        <f t="shared" si="205"/>
        <v>1</v>
      </c>
      <c r="CZ70" t="str">
        <f t="shared" si="206"/>
        <v>L1</v>
      </c>
      <c r="DA70" cm="1">
        <f t="array" ref="DA70">IFERROR(IF(BL70=2,_xlfn.IFS(BH70=3,VLOOKUP(BF70,Справочная_двигатели,3,FALSE),BH70=1,VLOOKUP(BF70,Справочная_двигатели,5,TRUE)),0),0)</f>
        <v>0</v>
      </c>
      <c r="DB70">
        <f>IFERROR(IF(BL70=3,VLOOKUP(BF70,Справочная_ЛЭД,2,TRUE),0),0)</f>
        <v>0</v>
      </c>
      <c r="DC70" s="6">
        <f t="shared" si="207"/>
        <v>0</v>
      </c>
      <c r="DD70" t="str">
        <f t="shared" si="208"/>
        <v>L1</v>
      </c>
      <c r="DE70" t="str" cm="1">
        <f t="array" ref="DE70">IF(D70="","",IFERROR(INDEX({"I особая","I","II","III"},MATCH(TRIM(AA70&amp;""),{"I особая","I","II","III"},0)),"III"))</f>
        <v>III</v>
      </c>
      <c r="DF70" t="str">
        <f>IF(D70="","",IF(TRIM(AB70&amp;"")&lt;&gt;"",IF(LOWER(TRIM(AB70&amp;""))="да","да","нет"),IF(IFERROR(_xlfn.XLOOKUP(AT70,Коды_код,Коды_пожарная),"")="да","да","нет")))</f>
        <v>нет</v>
      </c>
      <c r="DG70" t="str">
        <f t="shared" si="209"/>
        <v/>
      </c>
      <c r="DH70" t="str">
        <f t="shared" si="210"/>
        <v>основная</v>
      </c>
      <c r="DI70">
        <f t="shared" si="211"/>
        <v>1</v>
      </c>
      <c r="DJ70" t="str" cm="1">
        <f t="array" ref="DJ70">IF(D70="","",_xlfn.LET(_xlpm.t,IFERROR(_xlfn.XLOOKUP(1,(Шины[Шина]=DH70)*(((Шины[Щит]=A70)+(Шины[Щит]=""))&gt;0),Шины[Тип]),"")&amp;"",IF(_xlpm.t&lt;&gt;"",_xlpm.t,IF(ISNUMBER(SEARCH("ИБП",DH70)),"ИБП",IF(ISNUMBER(SEARCH("ДГУ",DH70)),"ДГУ","Ввод "&amp;DI70)))))</f>
        <v>Ввод 1</v>
      </c>
      <c r="DK70" t="str">
        <f t="shared" si="212"/>
        <v>Ввод 1</v>
      </c>
      <c r="DL70" t="str">
        <f>IF(D70="","",IF(OR(DJ70="ИБП",DJ70="ДГУ"),"I особая",IF(DJ70="Одиночная","III",_xlfn.XLOOKUP(A70,Щиты[Щит],Щиты[Категория шины «Ввод»],"III"))))</f>
        <v>III</v>
      </c>
      <c r="DM70">
        <f>IF(D70="",0,IFERROR(MATCH(DE70,{"III","II","I","I особая"},0),1))</f>
        <v>1</v>
      </c>
      <c r="DN70">
        <f t="shared" si="213"/>
        <v>1</v>
      </c>
      <c r="DO70" t="str">
        <f>IF(D70="","",IF(DM70&gt;IFERROR(MATCH(DL70,{"III","II","I","I особая"},0),1),"НЕ ОБЕСПЕЧЕНА","ОК"))</f>
        <v>ОК</v>
      </c>
      <c r="DP70" t="str">
        <f>IF(A70="","",_xlfn.XLOOKUP(A70,Щиты[Щит],Щиты[Путь],""))</f>
        <v>|ЩР|</v>
      </c>
      <c r="DQ70" t="str">
        <f>IF(D70="","",IF(Z70&lt;&gt;"",Z70,IF(IFERROR(_xlfn.XLOOKUP(AT70,Коды_код,Коды_вид)&amp;"","")="","Прочее",_xlfn.XLOOKUP(AT70,Коды_код,Коды_вид)&amp;"")))</f>
        <v>Рабочее освещение</v>
      </c>
      <c r="DR70">
        <f>IF(BD70="","",INT((BD70-1)/Столбцов_на_лист)+1)</f>
        <v>5</v>
      </c>
      <c r="DS70" t="str">
        <f t="shared" si="214"/>
        <v>ВВГнг(А)-LS (5х1,5) L=19-0%</v>
      </c>
      <c r="DT70">
        <f t="shared" si="215"/>
        <v>0</v>
      </c>
      <c r="DU70">
        <f t="shared" si="216"/>
        <v>0</v>
      </c>
      <c r="DV70">
        <f t="shared" si="217"/>
        <v>1</v>
      </c>
      <c r="DW70">
        <f>IF(AT70="",0,_xlfn.LET(_xlpm.v,IFERROR(VLOOKUP(D70,УГО_спр,3,FALSE),IFERROR(VLOOKUP(AT70,УГО_спр,3,FALSE),IFERROR(VLOOKUP(LEFT(AT70,2),УГО_спр,3,FALSE),""))),IF(_xlpm.v="да",30,IF(ISNUMBER(_xlpm.v),_xlpm.v,0))))</f>
        <v>0</v>
      </c>
      <c r="DX70">
        <f t="shared" si="218"/>
        <v>0</v>
      </c>
      <c r="DY70">
        <f>IF(BD70="","",IF(AD70&lt;&gt;"",COUNTIFS(A$3:A70,A70,AD$3:AD70,"?*"),IF(OR(OR(AS70=1,A70&lt;&gt;A69),AL70="вручную"),"",IF(AS70=1,"",DZ69))))</f>
        <v>34</v>
      </c>
      <c r="DZ70">
        <f t="shared" si="219"/>
        <v>34</v>
      </c>
      <c r="EA70">
        <f>IF(D70="",0,MAX(IFERROR(--X70,0),IFERROR(--VLOOKUP(D70,УГО_спр,4,FALSE),IFERROR(--VLOOKUP(AT70,УГО_спр,4,FALSE),IFERROR(--VLOOKUP(LEFT(AT70,2),УГО_спр,4,FALSE),0)))))</f>
        <v>10</v>
      </c>
      <c r="EB70">
        <f>IF(D70="","",IFERROR(LOOKUP(INDEX(CHOOSE(BR70,Iдоп_1ж,Iдоп_2ж,Iдоп_3ж),MATCH(BS70,Iдоп_S,0))*BP70*BQ70,{6,10,16,20,25,32,40,50,63,80,100,125,160,200,250,315,400,500,630}),""))</f>
        <v>16</v>
      </c>
      <c r="EC70" t="str">
        <f>IF(AD70="","",SUMIFS(Линии[_Ток схемы],Линии[_гр.],DY70,Линии[Щит],A70,Линии[_в кабель выше],0))</f>
        <v/>
      </c>
      <c r="ED70" t="str">
        <f>IF(AD70="","",IFERROR(VLOOKUP(EC70,Автомат_номиналы,2,TRUE),""))</f>
        <v/>
      </c>
      <c r="EE70" t="str">
        <f>IF(AD70="","",MAX(N(ED70),_xlfn.MAXIFS(Линии[_мин. по типу],Линии[_гр.],DY70,Линии[Щит],A70)))</f>
        <v/>
      </c>
      <c r="EF70" t="str">
        <f>IF(AD70="","",_xlfn.MINIFS(Линии[_макс. автомат по кабелю],Линии[_гр.],DY70,Линии[Щит],A70))</f>
        <v/>
      </c>
      <c r="EG70" t="str">
        <f>IF(AD70="","",MAX(1,_xlfn.MAXIFS(Линии[_фаз],Линии[_гр.],DY70,Линии[Щит],A70)))</f>
        <v/>
      </c>
      <c r="EH70" t="str">
        <f>IF(AD70="","",IF(AND(AD70&lt;&gt;"авто",AD70&lt;&gt;"+"),IF(ISNUMBER(SEARCH("мА",AD70)),IFERROR(--TRIM(RIGHT(SUBSTITUTE(LEFT(AD70,SEARCH("мА",AD70)-1)," ",REPT(" ",9)),6)),30),0),IF(AE70="нет",0,IF(ISNUMBER(AE70),AE70,IF(AE70="да",30,_xlfn.MINIFS(Линии[_дифзащита по коду, мА],Линии[_гр.],DY70,Линии[Щит],A70,Линии[_дифзащита по коду, мА],"&gt;0"))))))</f>
        <v/>
      </c>
      <c r="EI70" t="str">
        <f t="shared" si="220"/>
        <v/>
      </c>
      <c r="EJ70" t="str">
        <f t="shared" si="221"/>
        <v/>
      </c>
      <c r="EK70" t="str">
        <f t="shared" si="222"/>
        <v>QF34</v>
      </c>
      <c r="EL70" t="str">
        <f t="shared" si="223"/>
        <v>МК-5-1</v>
      </c>
      <c r="EM70">
        <f t="shared" si="224"/>
        <v>0</v>
      </c>
      <c r="EN70" t="str">
        <f>IF(AD70="","",IF(EM70=1,MAX(EE70,Мин_автомат_БП),EE70))</f>
        <v/>
      </c>
      <c r="EO70" t="str">
        <f t="shared" si="225"/>
        <v/>
      </c>
      <c r="EP70" t="str">
        <f t="shared" si="226"/>
        <v/>
      </c>
      <c r="EQ70" t="str">
        <f t="shared" si="227"/>
        <v/>
      </c>
      <c r="ER70" t="str">
        <f>IF(OR(AI70="",AI70="-"),"",IFERROR(VLOOKUP(AI70,Модули_спр,2,FALSE),"R"))</f>
        <v/>
      </c>
      <c r="ES70" t="str">
        <f>IF(ER70="","",ER70&amp;"."&amp;COUNTIFS(A$3:A70,A70,ER$3:ER70,ER70))</f>
        <v/>
      </c>
      <c r="ET70" t="str">
        <f t="shared" si="228"/>
        <v/>
      </c>
      <c r="EU70" t="str">
        <f t="shared" si="229"/>
        <v/>
      </c>
      <c r="EV70" t="str">
        <f t="shared" si="230"/>
        <v/>
      </c>
      <c r="EW70" t="str">
        <f t="shared" si="231"/>
        <v/>
      </c>
      <c r="EX70">
        <f t="shared" si="232"/>
        <v>1</v>
      </c>
      <c r="EY70" t="str">
        <f>IF(AK70="нет","",IF(AK70&lt;&gt;"",AK70,IF(EX70=1,"XT"&amp;COUNTIFS(A$3:A70,A70,EX$3:EX70,1),"")))</f>
        <v>XT50</v>
      </c>
      <c r="EZ70" t="str">
        <f t="shared" si="233"/>
        <v>QF34</v>
      </c>
      <c r="FA70" t="str">
        <f t="shared" si="234"/>
        <v/>
      </c>
      <c r="FB70" t="str">
        <f t="shared" si="235"/>
        <v/>
      </c>
      <c r="FC70" t="str">
        <f>IF(OR(EV70="",ET70=""),"",IF(EV70&gt;IFERROR(VLOOKUP(EU70,Модули_спр,3,FALSE),99),"ЛИШНИЙ КАНАЛ",IF(AND(AJ70&lt;&gt;"=",COUNTIFS(Линии[_модуль гр.],ET70,Линии[Канал (итог)],EV70,Линии[Канал],"&lt;&gt;=",Линии[Щит],A70)&gt;1),"ДУБЛЬ КАНАЛА","")))</f>
        <v/>
      </c>
      <c r="FD70">
        <f t="shared" si="236"/>
        <v>10</v>
      </c>
      <c r="FE70" t="str">
        <f t="shared" si="237"/>
        <v>1P С10А</v>
      </c>
      <c r="FF70">
        <f t="shared" si="238"/>
        <v>0</v>
      </c>
      <c r="FG70">
        <f t="shared" si="239"/>
        <v>0</v>
      </c>
      <c r="FH70" s="6" t="str">
        <f t="shared" si="240"/>
        <v/>
      </c>
      <c r="FI70">
        <f t="shared" si="241"/>
        <v>10</v>
      </c>
      <c r="FJ70" t="str">
        <f t="shared" si="242"/>
        <v/>
      </c>
      <c r="FK70" t="str">
        <f>IF(AND(D70="",EZ70=""),"",_xlfn.TEXTJOIN("; ",TRUE,IF(AND(D70&lt;&gt;"",DD70=""),"нет фазы",""),IF(AND(D70&lt;&gt;"",N(DT70)=0,CN70&lt;&gt;"Нет"),"нет мощности",""),IF(AND(EY70&lt;&gt;"",COUNTIFS(Линии[Щит],A70,Линии[Клемма (итог)],EY70)&gt;1),"дубль клеммы "&amp;EY70,""),IF(AND(FB70&lt;&gt;"",FB70&lt;&gt;"ok"),FB70,""),IF(FC70&lt;&gt;"",FC70,""),IF(AND(ISNUMBER(SEARCH("(5х",DS70)),N(DV70)=1),"5 жил на 1 фазе",""),IF(AND(AT70="R",AD70&lt;&gt;"",OR(N(EH70)=0,N(EH70)&gt;30)),"розетка без дифзащиты до 30 мА",""),IFERROR(IF(AND(ISNUMBER(CD70),CD70&gt;CE70),"потери "&amp;FIXED(CD70,1)&amp;" % &gt; "&amp;CE70&amp;" %",""),""),IFERROR(IF(LEFT(FJ70,4)="мало","Iкз мало — отключение &gt; 0,4 с",""),""),IF(AND(D70&lt;&gt;"",BD70=""),"не на схеме","")))</f>
        <v>нет мощности; 5 жил на 1 фазе</v>
      </c>
      <c r="FL70" s="6" t="str">
        <f>IF(AD70="","",_xlfn.LET(_xlpm.t,IFERROR(_xlfn.XLOOKUP(EP70,Каталог!$U$4:$U$500,Каталог!$G$4:$G$500),""),_xlpm.k,SEARCH("кА",_xlpm.t),IFERROR(--TRIM(RIGHT(SUBSTITUTE(MID(_xlpm.t,MAX(1,_xlpm.k-4),_xlpm.k-MAX(1,_xlpm.k-4))," ",REPT(" ",9)),5)),"")))</f>
        <v/>
      </c>
      <c r="FM70" t="str">
        <f>IF(OR(FL70="",AD70=""),"",IF(_xlfn.XLOOKUP(A70,Щиты[Щит],Щиты[Iкз max на шинах, кА],"")="","",IF(FL70&lt;_xlfn.XLOOKUP(A70,Щиты[Щит],Щиты[Iкз max на шинах, кА]),"Icu "&amp;FL70&amp;" кА &lt; Iкз max","ok")))</f>
        <v/>
      </c>
      <c r="FN70" t="str">
        <f t="shared" si="243"/>
        <v>QF34|МК-5-1|XT50</v>
      </c>
      <c r="FO70" t="str">
        <f t="shared" si="244"/>
        <v>QF34|МК-5-1|XT50|кабель ВВГнг(А)-LS (5х1,5) → Группа освещения  Пом. №12</v>
      </c>
      <c r="FP70" t="str" cm="1">
        <f t="array" ref="FP70">IF(FO70="","",_xlfn.LET(_xlpm.nd,_xlfn.TEXTSPLIT(FO70,"|"),IF(COLUMNS(_xlpm.nd)&gt;1,A70&amp;"¦"&amp;INDEX(_xlpm.nd,1)&amp;"¦"&amp;INDEX(_xlpm.nd,2),"")))</f>
        <v>ЩР¦QF34¦МК-5-1</v>
      </c>
      <c r="FQ70" t="str">
        <f t="shared" si="245"/>
        <v>L.2.12.1¦Группа освещения  Пом. №12</v>
      </c>
      <c r="FR70" t="str" cm="1">
        <f t="array" ref="FR70">IF(FO70="","",_xlfn.LET(_xlpm.nd,_xlfn.TEXTSPLIT(FO70,"|"),IF(COLUMNS(_xlpm.nd)&gt;2,A70&amp;"¦"&amp;INDEX(_xlpm.nd,2)&amp;"¦"&amp;INDEX(_xlpm.nd,3),"")))</f>
        <v>ЩР¦МК-5-1¦XT50</v>
      </c>
      <c r="FS70" t="str">
        <f t="shared" si="246"/>
        <v>L.2.12.1¦Группа освещения  Пом. №12</v>
      </c>
      <c r="FT70" t="str" cm="1">
        <f t="array" ref="FT70">IF(FO70="","",_xlfn.LET(_xlpm.nd,_xlfn.TEXTSPLIT(FO70,"|"),IF(COLUMNS(_xlpm.nd)&gt;3,A70&amp;"¦"&amp;INDEX(_xlpm.nd,3)&amp;"¦"&amp;INDEX(_xlpm.nd,4),"")))</f>
        <v>ЩР¦XT50¦кабель ВВГнг(А)-LS (5х1,5) → Группа освещения  Пом. №12</v>
      </c>
      <c r="FU70" t="str">
        <f t="shared" si="247"/>
        <v>L.2.12.1¦Группа освещения  Пом. №12</v>
      </c>
      <c r="FV70" t="str" cm="1">
        <f t="array" ref="FV70">IF(FO70="","",_xlfn.LET(_xlpm.nd,_xlfn.TEXTSPLIT(FO70,"|"),IF(COLUMNS(_xlpm.nd)&gt;4,A70&amp;"¦"&amp;INDEX(_xlpm.nd,4)&amp;"¦"&amp;INDEX(_xlpm.nd,5),"")))</f>
        <v/>
      </c>
      <c r="FW70" t="str">
        <f t="shared" si="248"/>
        <v/>
      </c>
      <c r="FX70" t="str" cm="1">
        <f t="array" ref="FX70">IF(FO70="","",_xlfn.LET(_xlpm.nd,_xlfn.TEXTSPLIT(FO70,"|"),IF(COLUMNS(_xlpm.nd)&gt;5,A70&amp;"¦"&amp;INDEX(_xlpm.nd,5)&amp;"¦"&amp;INDEX(_xlpm.nd,6),"")))</f>
        <v/>
      </c>
      <c r="FY70" t="str">
        <f t="shared" si="249"/>
        <v/>
      </c>
      <c r="FZ70" t="str" cm="1">
        <f t="array" ref="FZ70">IF(FO70="","",_xlfn.LET(_xlpm.nd,_xlfn.TEXTSPLIT(FO70,"|"),IF(COLUMNS(_xlpm.nd)&gt;6,A70&amp;"¦"&amp;INDEX(_xlpm.nd,6)&amp;"¦"&amp;INDEX(_xlpm.nd,7),"")))</f>
        <v/>
      </c>
      <c r="GA70" t="str">
        <f t="shared" si="250"/>
        <v/>
      </c>
      <c r="GB70" t="str">
        <f t="shared" si="251"/>
        <v/>
      </c>
      <c r="GC70" t="str">
        <f t="shared" si="252"/>
        <v>QF34 → МК-5-1 → XT50</v>
      </c>
      <c r="GD70">
        <f t="shared" si="253"/>
        <v>1</v>
      </c>
      <c r="GE70">
        <f t="shared" si="254"/>
        <v>0</v>
      </c>
      <c r="GF70">
        <f t="shared" si="255"/>
        <v>0</v>
      </c>
      <c r="GG70" t="str">
        <f t="shared" si="256"/>
        <v/>
      </c>
      <c r="GH70" t="str">
        <f t="shared" si="257"/>
        <v/>
      </c>
      <c r="GI70" t="str">
        <f t="shared" si="258"/>
        <v/>
      </c>
      <c r="GJ70" t="str">
        <f t="shared" si="259"/>
        <v/>
      </c>
      <c r="GK70" t="str">
        <f>IF(D70="","",IFERROR(VLOOKUP(D70,УГО_спр,2,FALSE),IFERROR(VLOOKUP(AT70,УГО_спр,2,FALSE),IFERROR(VLOOKUP(LEFT(AT70,2),УГО_спр,2,FALSE),""))))</f>
        <v>Светильник</v>
      </c>
      <c r="GL70" t="str">
        <f>IF(D70="","",IF(OR(GK70="",GK70=0),"BOX",IFERROR(IF(VLOOKUP(GK70,УГО_блоки,3,FALSE)&amp;""&lt;&gt;"",VLOOKUP(GK70,УГО_блоки,3,FALSE),VLOOKUP(GK70,УГО_блоки,2,FALSE)),GK70)))</f>
        <v>LAMP</v>
      </c>
      <c r="GM70">
        <f t="shared" si="260"/>
        <v>1</v>
      </c>
      <c r="GN70" t="str">
        <f>IF(EP70="","",IF(COUNTIF(EP$3:EP70,EP70)=1,MAX(GN$2:GN69)+1,""))</f>
        <v/>
      </c>
      <c r="GO70" t="str">
        <f>IF(AF70="","",IF(COUNTIF(AF$3:AF70,AF70)+COUNTIF(AG$2:AG69,AF70)+COUNTIF(AH$2:AH69,AF70)=1,MAX(GO$2:GQ69)+1,""))</f>
        <v/>
      </c>
      <c r="GP70" t="str">
        <f>IF(AG70="","",IF(COUNTIF(AF$3:AF70,AG70)+COUNTIF(AG$3:AG70,AG70)+COUNTIF(AH$2:AH69,AG70)=1,MAX(GO$2:GQ69,GO70)+1,""))</f>
        <v/>
      </c>
      <c r="GQ70" t="str">
        <f>IF(AH70="","",IF(COUNTIF(AF$3:AF70,AH70)+COUNTIF(AG$3:AG70,AH70)+COUNTIF(AH$3:AH70,AH70)=1,MAX(GO$2:GQ69,GO70,GP70)+1,""))</f>
        <v/>
      </c>
      <c r="GR70" t="str">
        <f t="shared" si="261"/>
        <v>5х1,5</v>
      </c>
      <c r="GS70" t="str">
        <f>IF(GR70="","",IF(COUNTIF(GR$3:GR70,GR70)=1,MAX(GS$2:GS69)+1,""))</f>
        <v/>
      </c>
      <c r="GT70" t="str">
        <f>IF(ES70="","",COUNTIF(ES$3:ES70,"?*"))</f>
        <v/>
      </c>
      <c r="GU70" t="str">
        <f>IF(OR(ES70="",EU70=""),"",IF(COUNTIFS(ES$3:ES70,"?*",EU$3:EU70,EU70)=1,MAX(GU$2:GU69)+1,""))</f>
        <v/>
      </c>
      <c r="GV70">
        <f t="shared" si="262"/>
        <v>1</v>
      </c>
      <c r="GW70">
        <f>IF(D70="","",COUNTIF(D$3:D70,"?*"))</f>
        <v>50</v>
      </c>
      <c r="GX70">
        <f>IF(EX70&lt;&gt;1,0,_xlfn.LET(_xlpm.k,MAX(IFERROR(--VLOOKUP(D70,УГО_спр,5,FALSE),0),IFERROR(--VLOOKUP(AT70,УГО_спр,5,FALSE),0),IFERROR(--VLOOKUP(LEFT(AT70,2),УГО_спр,5,FALSE),0)),IF(_xlpm.k&gt;0,_xlpm.k,IF(IFERROR(--LEFT(SUBSTITUTE(GR70,"x","х"),FIND("х",SUBSTITUTE(GR70,"x","х"))-1),3)&gt;3,Каталог!$S$9,1))))</f>
        <v>1</v>
      </c>
      <c r="GY70">
        <f t="shared" si="263"/>
        <v>2</v>
      </c>
    </row>
    <row r="71" spans="1:207" x14ac:dyDescent="0.3">
      <c r="A71" t="s">
        <v>206</v>
      </c>
      <c r="B71">
        <v>75</v>
      </c>
      <c r="C71" t="str">
        <f>IF(BD71="","",IF(BE71="вводной узел","узел ","")&amp;"л."&amp;(INT((BD71-1)/Столбцов_на_лист)+1)&amp;" / "&amp;(MOD(BD71-1,Столбцов_на_лист)+1))</f>
        <v>л.5 / 7</v>
      </c>
      <c r="D71" t="s">
        <v>726</v>
      </c>
      <c r="E71" s="133" t="str">
        <f t="shared" si="176"/>
        <v>Группа освещения  Пом. №13</v>
      </c>
      <c r="H71">
        <v>7</v>
      </c>
      <c r="O71">
        <v>2</v>
      </c>
      <c r="T71">
        <v>1</v>
      </c>
      <c r="V71">
        <v>5</v>
      </c>
      <c r="AD71" t="s">
        <v>597</v>
      </c>
      <c r="AF71" t="s">
        <v>773</v>
      </c>
      <c r="AM71">
        <v>18.52</v>
      </c>
      <c r="AO71" t="s">
        <v>727</v>
      </c>
      <c r="AQ71" t="s">
        <v>232</v>
      </c>
      <c r="AR71" t="str">
        <f t="shared" si="177"/>
        <v>нет мощности; 5 жил на 1 фазе</v>
      </c>
      <c r="AS71" cm="1">
        <f t="array" ref="AS71">ROW()-ROW(Линии[#Headers])</f>
        <v>69</v>
      </c>
      <c r="AT71" s="6" t="str">
        <f t="shared" si="178"/>
        <v>L</v>
      </c>
      <c r="AU71" t="str">
        <f t="shared" si="179"/>
        <v>2.13.1</v>
      </c>
      <c r="AV71" t="str">
        <f t="shared" si="180"/>
        <v>2</v>
      </c>
      <c r="AW71" t="str">
        <f t="shared" si="181"/>
        <v>13.1</v>
      </c>
      <c r="AX71" t="str">
        <f t="shared" si="182"/>
        <v>13</v>
      </c>
      <c r="AY71" t="str">
        <f>IF(D71="","",IF(ISERROR(SEARCH(".",D71)),IFERROR(VLOOKUP(D71,Потребители_обозначение,2,FALSE)&amp;"",""),IFERROR(IF(VLOOKUP(AT71,Потребители_обозначение,4,FALSE)=1,VLOOKUP(AT71,Потребители_обозначение,2,FALSE)&amp;" "&amp;VLOOKUP(AV71,Этаж_обозначение,2,FALSE)&amp;" Пом. №"&amp;AX71,VLOOKUP(AT71,Потребители_обозначение,2,FALSE)&amp;" Шлейф №"&amp;AV71),IFERROR(VLOOKUP(D71,Потребители_обозначение,2,FALSE),""))))</f>
        <v>Группа освещения  Пом. №13</v>
      </c>
      <c r="AZ71" t="str">
        <f t="shared" si="183"/>
        <v>Группа освещения  Пом. №13</v>
      </c>
      <c r="BA71" t="str">
        <f>IF(F71&lt;&gt;"",F71,IF(AND(D71&lt;&gt;"",D71&lt;&gt;A71,ISNUMBER(_xlfn.XMATCH(D71,Щиты[Щит]))),D71,""))</f>
        <v/>
      </c>
      <c r="BB71">
        <f>IFERROR(_xlfn.XMATCH(A71,Щиты[Щит]),0)</f>
        <v>1</v>
      </c>
      <c r="BC71">
        <f>IFERROR(N(_xlfn.XLOOKUP(A71,Щиты[Щит],Щиты[Мест под вводной узел])),15)</f>
        <v>18</v>
      </c>
      <c r="BD71">
        <f t="shared" si="184"/>
        <v>75</v>
      </c>
      <c r="BE71" t="str">
        <f t="shared" si="185"/>
        <v>линии</v>
      </c>
      <c r="BF71" s="6">
        <f>IF(D71="","",IF(BA71&lt;&gt;"",IFERROR(_xlfn.XLOOKUP(BA71,Щиты[Щит],Щиты[Руст, кВт]),0),N(G71)))</f>
        <v>0</v>
      </c>
      <c r="BG71">
        <f>IF(J71&lt;&gt;"",J71,IF(D71="","",IFERROR(IF(VLOOKUP(AT71,Потребители_обозначение,8,FALSE)=0,"",VLOOKUP(AT71,Потребители_обозначение,8,FALSE)),"")))</f>
        <v>230</v>
      </c>
      <c r="BH71">
        <f>IF(I71&lt;&gt;"",I71,IF(D71="","",IFERROR(IF(VLOOKUP(AT71,Потребители_обозначение,9,FALSE)=0,"",VLOOKUP(AT71,Потребители_обозначение,9,FALSE)),"")))</f>
        <v>1</v>
      </c>
      <c r="BI71" t="str">
        <f>IF(U71&lt;&gt;"",U71,IF(D71="","",IFERROR(IF(VLOOKUP(AT71,Потребители_обозначение,6,FALSE)=0,"",VLOOKUP(AT71,Потребители_обозначение,6,FALSE)),"")))</f>
        <v>мс</v>
      </c>
      <c r="BJ71">
        <f>IF(V71&lt;&gt;"",V71,IF(D71="","",IFERROR(IF(VLOOKUP(AT71,Потребители_обозначение,7,FALSE)=0,"",VLOOKUP(AT71,Потребители_обозначение,7,FALSE)),"")))</f>
        <v>5</v>
      </c>
      <c r="BK71">
        <f>IF(W71&lt;&gt;"",W71,IF(D71="","",IFERROR(IF(VLOOKUP(AT71,Потребители_обозначение,10,FALSE)=0,"",VLOOKUP(AT71,Потребители_обозначение,10,FALSE)),"")))</f>
        <v>1.5</v>
      </c>
      <c r="BL71">
        <f>IFERROR(VLOOKUP(AT71,Потребители_обозначение,5,FALSE),0)</f>
        <v>1</v>
      </c>
      <c r="BM71" s="6" cm="1">
        <f t="array" ref="BM71">IF(D71="","",IF(BA71&lt;&gt;"",IFERROR(_xlfn.XLOOKUP(BA71,Щиты[Щит],Щиты[cos φ]),0.95),IF(ISNUMBER(M71),M71,IFERROR(IF(BL71=2,_xlfn.IFS(BH71=3,VLOOKUP(BF71,Справочная_двигатели,8,FALSE),BH71=1,VLOOKUP(BF71,Справочная_двигатели,10,TRUE)),IF(AND(Методика="нормы 2026",CN71="Сил"),0.8,0.95)),0.95))))</f>
        <v>0.95</v>
      </c>
      <c r="BN71" s="6" cm="1">
        <f t="array" ref="BN71">IF(D71="","",IF(BA71&lt;&gt;"",IFERROR(_xlfn.XLOOKUP(BA71,Щиты[Щит],Щиты[Iр, А]),""),IFERROR(_xlfn.IFS(BH71=1,BF71/((Uн_лин/SQRT(3))*BM71),BH71=3,BF71/(SQRT(3)*Uн_лин*BM71)),"")))</f>
        <v>0</v>
      </c>
      <c r="BO71">
        <f>IF(D71="","",IF(N(X71)=0,IFERROR(VLOOKUP(BN71,Автомат_номиналы,2,TRUE),""),X71))</f>
        <v>6</v>
      </c>
      <c r="BP71">
        <f t="shared" si="186"/>
        <v>1</v>
      </c>
      <c r="BQ71">
        <f>IF(ISNUMBER(Y71),Y71,К_прокл)</f>
        <v>1</v>
      </c>
      <c r="BR71">
        <f t="shared" si="187"/>
        <v>2</v>
      </c>
      <c r="BS71" cm="1">
        <f t="array" ref="BS71">IF(D71="","",IF(N(BK71)&lt;&gt;0,BK71,IFERROR(_xlfn.LET(_xlpm.need,BO71/(BP71*BQ71),_xlpm.t,CHOOSE(BR71,Iдоп_1ж,Iдоп_2ж,Iдоп_3ж),_xlpm.k,_xlfn.XMATCH(_xlpm.need,_xlpm.t,1),IF(ISNA(_xlpm.k),"Не исп",INDEX(Iдоп_S,_xlpm.k))),"Не исп")))</f>
        <v>1.5</v>
      </c>
      <c r="BT71">
        <f>IFERROR(VLOOKUP(BS71,Кабель_сопротивление,3,FALSE),"")</f>
        <v>2.2499999999999999E-2</v>
      </c>
      <c r="BU71">
        <f>IFERROR(VLOOKUP(BS71,Кабель_сопротивление,2,FALSE),"")</f>
        <v>0.11</v>
      </c>
      <c r="BV71">
        <f t="shared" si="188"/>
        <v>19</v>
      </c>
      <c r="BW71" s="6">
        <f>IF(D71="","",IFERROR(IF(VLOOKUP(AT71,Потребители_обозначение,4,FALSE)=1,VLOOKUP(AT71,Потребители_обозначение,3,FALSE)*(H71*2-1)+BV71+VLOOKUP(AV71,Этаж_обозначение,3,FALSE)+VLOOKUP(AV71,Этаж_обозначение,4,FALSE),VLOOKUP(AT71,Потребители_обозначение,3,FALSE)*(H71*2-1)+BV71),BV71))</f>
        <v>32</v>
      </c>
      <c r="BX71">
        <f t="shared" si="189"/>
        <v>28</v>
      </c>
      <c r="BY71">
        <f t="shared" si="190"/>
        <v>0</v>
      </c>
      <c r="BZ71">
        <f t="shared" si="191"/>
        <v>2</v>
      </c>
      <c r="CA71">
        <f t="shared" si="192"/>
        <v>0.31</v>
      </c>
      <c r="CB71">
        <f t="shared" si="193"/>
        <v>0</v>
      </c>
      <c r="CC71" s="6">
        <f>IFERROR(ROUNDUP(CB71/((Uн_лин/SQRT(3))*1000)*100,2),"")</f>
        <v>0</v>
      </c>
      <c r="CD71" s="6">
        <f>IF(ISNUMBER(CC71),CC71+IFERROR(_xlfn.XLOOKUP(A71,Щиты[Щит],Щиты[ΔU до шин, %]),0),"")</f>
        <v>0</v>
      </c>
      <c r="CE71" s="6">
        <f>IF(D71="","",IF(IFERROR(VLOOKUP(AT71,УГО_спр,2,FALSE),"")="Светильник",3,4)+IF(Методика="нормы 2026",MIN(0.5,MAX(0,N(BW71)-100)*0.005),0))</f>
        <v>3</v>
      </c>
      <c r="CF71" t="str">
        <f>IFERROR(VLOOKUP(BI71,Кабель_обозначение,2,FALSE),"")</f>
        <v>ВВГнг(А)-LS</v>
      </c>
      <c r="CG71" t="str">
        <f>IFERROR(IF(VLOOKUP(BI71,Кабель_обозначение,3,FALSE)=1,CF71&amp;" ("&amp;BJ71&amp;"х"&amp;BS71&amp;")",CF71),"")</f>
        <v>ВВГнг(А)-LS (5х1,5)</v>
      </c>
      <c r="CH71" t="str">
        <f t="shared" si="194"/>
        <v>ВВГнг(А)-LS (5х1,5)
L=32-0%</v>
      </c>
      <c r="CI71">
        <f>IFERROR(2*ρкз_Cu*BW71/BS71,"")</f>
        <v>1.1221333333333334</v>
      </c>
      <c r="CJ71">
        <f t="shared" si="195"/>
        <v>0.37333333333333335</v>
      </c>
      <c r="CK71" s="6" t="str">
        <f>IFERROR(IF(OR(D71="",NOT(ISNUMBER(BS71)),N(BW71)=0),"",_xlfn.XLOOKUP(A71,Щиты[Щит],Щиты[Zпетли на шинах, Ом])+CI71),"")</f>
        <v/>
      </c>
      <c r="CL71" s="6" t="str">
        <f>IF(ISNUMBER(CK71),c_min*(Uн_лин*1000/SQRT(3))/CK71,"")</f>
        <v/>
      </c>
      <c r="CM71" s="6" t="str">
        <f>IFERROR(IF(OR(D71="",NOT(ISNUMBER(BS71))),"",1.05*(Uн_лин*1000/SQRT(3))/(_xlfn.XLOOKUP(A71,Щиты[Щит],Щиты[Zmax на шинах, Ом])+CJ71)/1000),"")</f>
        <v/>
      </c>
      <c r="CN71" s="6" t="str">
        <f>IF(D71="","",IF(BA71&lt;&gt;"","Щит",IF(K71&lt;&gt;"",K71,IF(ISNUMBER(L71),"Сил",IF(IFERROR(_xlfn.XLOOKUP(AT71,Коды_код,Коды_группа)&amp;"","")="","Быт",_xlfn.XLOOKUP(AT71,Коды_код,Коды_группа)&amp;"")))))</f>
        <v>Быт</v>
      </c>
      <c r="CO71" s="6">
        <f>IF(CN71="Щит","щит",IF(CN71="","",IF(CN71="Быт",IFERROR(_xlfn.XLOOKUP(A71,Щиты[Щит],Щиты[Кс быт]),1),IF(CN71="Сил",IF(ISNUMBER(L71),L71,IF(Методика="нормы 2026",IFERROR(_xlfn.XLOOKUP(A71,Щиты[Щит],Щиты[Кс силовых (табл. 7.5)]),1),1)),IF(OR(CN71="Пост",CN71="Отоп"),1,IF(CN71="ВНГ",0.7,0))))))</f>
        <v>0.8</v>
      </c>
      <c r="CP71">
        <f t="shared" si="196"/>
        <v>1</v>
      </c>
      <c r="CQ71">
        <f t="shared" si="197"/>
        <v>0</v>
      </c>
      <c r="CR71">
        <f t="shared" si="198"/>
        <v>0</v>
      </c>
      <c r="CS71">
        <f t="shared" si="199"/>
        <v>0</v>
      </c>
      <c r="CT71">
        <f t="shared" si="200"/>
        <v>0</v>
      </c>
      <c r="CU71">
        <f t="shared" si="201"/>
        <v>0</v>
      </c>
      <c r="CV71">
        <f t="shared" si="202"/>
        <v>0</v>
      </c>
      <c r="CW71">
        <f t="shared" si="203"/>
        <v>0</v>
      </c>
      <c r="CX71">
        <f t="shared" si="204"/>
        <v>0</v>
      </c>
      <c r="CY71">
        <f t="shared" si="205"/>
        <v>2</v>
      </c>
      <c r="CZ71" t="str">
        <f t="shared" si="206"/>
        <v>L2</v>
      </c>
      <c r="DA71" cm="1">
        <f t="array" ref="DA71">IFERROR(IF(BL71=2,_xlfn.IFS(BH71=3,VLOOKUP(BF71,Справочная_двигатели,3,FALSE),BH71=1,VLOOKUP(BF71,Справочная_двигатели,5,TRUE)),0),0)</f>
        <v>0</v>
      </c>
      <c r="DB71">
        <f>IFERROR(IF(BL71=3,VLOOKUP(BF71,Справочная_ЛЭД,2,TRUE),0),0)</f>
        <v>0</v>
      </c>
      <c r="DC71" s="6">
        <f t="shared" si="207"/>
        <v>0</v>
      </c>
      <c r="DD71" t="str">
        <f t="shared" si="208"/>
        <v>L2</v>
      </c>
      <c r="DE71" t="str" cm="1">
        <f t="array" ref="DE71">IF(D71="","",IFERROR(INDEX({"I особая","I","II","III"},MATCH(TRIM(AA71&amp;""),{"I особая","I","II","III"},0)),"III"))</f>
        <v>III</v>
      </c>
      <c r="DF71" t="str">
        <f>IF(D71="","",IF(TRIM(AB71&amp;"")&lt;&gt;"",IF(LOWER(TRIM(AB71&amp;""))="да","да","нет"),IF(IFERROR(_xlfn.XLOOKUP(AT71,Коды_код,Коды_пожарная),"")="да","да","нет")))</f>
        <v>нет</v>
      </c>
      <c r="DG71" t="str">
        <f t="shared" si="209"/>
        <v/>
      </c>
      <c r="DH71" t="str">
        <f t="shared" si="210"/>
        <v>основная</v>
      </c>
      <c r="DI71">
        <f t="shared" si="211"/>
        <v>1</v>
      </c>
      <c r="DJ71" t="str" cm="1">
        <f t="array" ref="DJ71">IF(D71="","",_xlfn.LET(_xlpm.t,IFERROR(_xlfn.XLOOKUP(1,(Шины[Шина]=DH71)*(((Шины[Щит]=A71)+(Шины[Щит]=""))&gt;0),Шины[Тип]),"")&amp;"",IF(_xlpm.t&lt;&gt;"",_xlpm.t,IF(ISNUMBER(SEARCH("ИБП",DH71)),"ИБП",IF(ISNUMBER(SEARCH("ДГУ",DH71)),"ДГУ","Ввод "&amp;DI71)))))</f>
        <v>Ввод 1</v>
      </c>
      <c r="DK71" t="str">
        <f t="shared" si="212"/>
        <v>Ввод 1</v>
      </c>
      <c r="DL71" t="str">
        <f>IF(D71="","",IF(OR(DJ71="ИБП",DJ71="ДГУ"),"I особая",IF(DJ71="Одиночная","III",_xlfn.XLOOKUP(A71,Щиты[Щит],Щиты[Категория шины «Ввод»],"III"))))</f>
        <v>III</v>
      </c>
      <c r="DM71">
        <f>IF(D71="",0,IFERROR(MATCH(DE71,{"III","II","I","I особая"},0),1))</f>
        <v>1</v>
      </c>
      <c r="DN71">
        <f t="shared" si="213"/>
        <v>1</v>
      </c>
      <c r="DO71" t="str">
        <f>IF(D71="","",IF(DM71&gt;IFERROR(MATCH(DL71,{"III","II","I","I особая"},0),1),"НЕ ОБЕСПЕЧЕНА","ОК"))</f>
        <v>ОК</v>
      </c>
      <c r="DP71" t="str">
        <f>IF(A71="","",_xlfn.XLOOKUP(A71,Щиты[Щит],Щиты[Путь],""))</f>
        <v>|ЩР|</v>
      </c>
      <c r="DQ71" t="str">
        <f>IF(D71="","",IF(Z71&lt;&gt;"",Z71,IF(IFERROR(_xlfn.XLOOKUP(AT71,Коды_код,Коды_вид)&amp;"","")="","Прочее",_xlfn.XLOOKUP(AT71,Коды_код,Коды_вид)&amp;"")))</f>
        <v>Рабочее освещение</v>
      </c>
      <c r="DR71">
        <f>IF(BD71="","",INT((BD71-1)/Столбцов_на_лист)+1)</f>
        <v>5</v>
      </c>
      <c r="DS71" t="str">
        <f t="shared" si="214"/>
        <v>ВВГнг(А)-LS (5х1,5) L=32-0%</v>
      </c>
      <c r="DT71">
        <f t="shared" si="215"/>
        <v>0</v>
      </c>
      <c r="DU71">
        <f t="shared" si="216"/>
        <v>0</v>
      </c>
      <c r="DV71">
        <f t="shared" si="217"/>
        <v>1</v>
      </c>
      <c r="DW71">
        <f>IF(AT71="",0,_xlfn.LET(_xlpm.v,IFERROR(VLOOKUP(D71,УГО_спр,3,FALSE),IFERROR(VLOOKUP(AT71,УГО_спр,3,FALSE),IFERROR(VLOOKUP(LEFT(AT71,2),УГО_спр,3,FALSE),""))),IF(_xlpm.v="да",30,IF(ISNUMBER(_xlpm.v),_xlpm.v,0))))</f>
        <v>0</v>
      </c>
      <c r="DX71">
        <f t="shared" si="218"/>
        <v>0</v>
      </c>
      <c r="DY71">
        <f>IF(BD71="","",IF(AD71&lt;&gt;"",COUNTIFS(A$3:A71,A71,AD$3:AD71,"?*"),IF(OR(OR(AS71=1,A71&lt;&gt;A70),AL71="вручную"),"",IF(AS71=1,"",DZ70))))</f>
        <v>35</v>
      </c>
      <c r="DZ71">
        <f t="shared" si="219"/>
        <v>35</v>
      </c>
      <c r="EA71">
        <f>IF(D71="",0,MAX(IFERROR(--X71,0),IFERROR(--VLOOKUP(D71,УГО_спр,4,FALSE),IFERROR(--VLOOKUP(AT71,УГО_спр,4,FALSE),IFERROR(--VLOOKUP(LEFT(AT71,2),УГО_спр,4,FALSE),0)))))</f>
        <v>10</v>
      </c>
      <c r="EB71">
        <f>IF(D71="","",IFERROR(LOOKUP(INDEX(CHOOSE(BR71,Iдоп_1ж,Iдоп_2ж,Iдоп_3ж),MATCH(BS71,Iдоп_S,0))*BP71*BQ71,{6,10,16,20,25,32,40,50,63,80,100,125,160,200,250,315,400,500,630}),""))</f>
        <v>16</v>
      </c>
      <c r="EC71">
        <f>IF(AD71="","",SUMIFS(Линии[_Ток схемы],Линии[_гр.],DY71,Линии[Щит],A71,Линии[_в кабель выше],0))</f>
        <v>0</v>
      </c>
      <c r="ED71">
        <f>IF(AD71="","",IFERROR(VLOOKUP(EC71,Автомат_номиналы,2,TRUE),""))</f>
        <v>6</v>
      </c>
      <c r="EE71">
        <f>IF(AD71="","",MAX(N(ED71),_xlfn.MAXIFS(Линии[_мин. по типу],Линии[_гр.],DY71,Линии[Щит],A71)))</f>
        <v>10</v>
      </c>
      <c r="EF71">
        <f>IF(AD71="","",_xlfn.MINIFS(Линии[_макс. автомат по кабелю],Линии[_гр.],DY71,Линии[Щит],A71))</f>
        <v>16</v>
      </c>
      <c r="EG71">
        <f>IF(AD71="","",MAX(1,_xlfn.MAXIFS(Линии[_фаз],Линии[_гр.],DY71,Линии[Щит],A71)))</f>
        <v>1</v>
      </c>
      <c r="EH71">
        <f>IF(AD71="","",IF(AND(AD71&lt;&gt;"авто",AD71&lt;&gt;"+"),IF(ISNUMBER(SEARCH("мА",AD71)),IFERROR(--TRIM(RIGHT(SUBSTITUTE(LEFT(AD71,SEARCH("мА",AD71)-1)," ",REPT(" ",9)),6)),30),0),IF(AE71="нет",0,IF(ISNUMBER(AE71),AE71,IF(AE71="да",30,_xlfn.MINIFS(Линии[_дифзащита по коду, мА],Линии[_гр.],DY71,Линии[Щит],A71,Линии[_дифзащита по коду, мА],"&gt;0"))))))</f>
        <v>0</v>
      </c>
      <c r="EI71">
        <f t="shared" si="220"/>
        <v>0</v>
      </c>
      <c r="EJ71" t="str">
        <f t="shared" si="221"/>
        <v>QF35</v>
      </c>
      <c r="EK71" t="str">
        <f t="shared" si="222"/>
        <v>QF35</v>
      </c>
      <c r="EL71" t="str">
        <f t="shared" si="223"/>
        <v>МК-5-1</v>
      </c>
      <c r="EM71">
        <f t="shared" si="224"/>
        <v>0</v>
      </c>
      <c r="EN71">
        <f>IF(AD71="","",IF(EM71=1,MAX(EE71,Мин_автомат_БП),EE71))</f>
        <v>10</v>
      </c>
      <c r="EO71" t="str">
        <f t="shared" si="225"/>
        <v>1P</v>
      </c>
      <c r="EP71" t="str">
        <f t="shared" si="226"/>
        <v>1P С10А</v>
      </c>
      <c r="EQ71">
        <f t="shared" si="227"/>
        <v>10</v>
      </c>
      <c r="ER71" t="str">
        <f>IF(OR(AI71="",AI71="-"),"",IFERROR(VLOOKUP(AI71,Модули_спр,2,FALSE),"R"))</f>
        <v/>
      </c>
      <c r="ES71" t="str">
        <f>IF(ER71="","",ER71&amp;"."&amp;COUNTIFS(A$3:A71,A71,ER$3:ER71,ER71))</f>
        <v/>
      </c>
      <c r="ET71" t="str">
        <f t="shared" si="228"/>
        <v/>
      </c>
      <c r="EU71" t="str">
        <f t="shared" si="229"/>
        <v/>
      </c>
      <c r="EV71" t="str">
        <f t="shared" si="230"/>
        <v/>
      </c>
      <c r="EW71" t="str">
        <f t="shared" si="231"/>
        <v/>
      </c>
      <c r="EX71">
        <f t="shared" si="232"/>
        <v>1</v>
      </c>
      <c r="EY71" t="str">
        <f>IF(AK71="нет","",IF(AK71&lt;&gt;"",AK71,IF(EX71=1,"XT"&amp;COUNTIFS(A$3:A71,A71,EX$3:EX71,1),"")))</f>
        <v>XT51</v>
      </c>
      <c r="EZ71" t="str">
        <f t="shared" si="233"/>
        <v>QF35</v>
      </c>
      <c r="FA71" t="str">
        <f t="shared" si="234"/>
        <v/>
      </c>
      <c r="FB71" t="str">
        <f t="shared" si="235"/>
        <v>ok</v>
      </c>
      <c r="FC71" t="str">
        <f>IF(OR(EV71="",ET71=""),"",IF(EV71&gt;IFERROR(VLOOKUP(EU71,Модули_спр,3,FALSE),99),"ЛИШНИЙ КАНАЛ",IF(AND(AJ71&lt;&gt;"=",COUNTIFS(Линии[_модуль гр.],ET71,Линии[Канал (итог)],EV71,Линии[Канал],"&lt;&gt;=",Линии[Щит],A71)&gt;1),"ДУБЛЬ КАНАЛА","")))</f>
        <v/>
      </c>
      <c r="FD71">
        <f t="shared" si="236"/>
        <v>10</v>
      </c>
      <c r="FE71" t="str">
        <f t="shared" si="237"/>
        <v>1P С10А</v>
      </c>
      <c r="FF71">
        <f t="shared" si="238"/>
        <v>0</v>
      </c>
      <c r="FG71">
        <f t="shared" si="239"/>
        <v>0</v>
      </c>
      <c r="FH71" s="6" t="str">
        <f t="shared" si="240"/>
        <v/>
      </c>
      <c r="FI71">
        <f t="shared" si="241"/>
        <v>10</v>
      </c>
      <c r="FJ71" t="str">
        <f t="shared" si="242"/>
        <v/>
      </c>
      <c r="FK71" t="str">
        <f>IF(AND(D71="",EZ71=""),"",_xlfn.TEXTJOIN("; ",TRUE,IF(AND(D71&lt;&gt;"",DD71=""),"нет фазы",""),IF(AND(D71&lt;&gt;"",N(DT71)=0,CN71&lt;&gt;"Нет"),"нет мощности",""),IF(AND(EY71&lt;&gt;"",COUNTIFS(Линии[Щит],A71,Линии[Клемма (итог)],EY71)&gt;1),"дубль клеммы "&amp;EY71,""),IF(AND(FB71&lt;&gt;"",FB71&lt;&gt;"ok"),FB71,""),IF(FC71&lt;&gt;"",FC71,""),IF(AND(ISNUMBER(SEARCH("(5х",DS71)),N(DV71)=1),"5 жил на 1 фазе",""),IF(AND(AT71="R",AD71&lt;&gt;"",OR(N(EH71)=0,N(EH71)&gt;30)),"розетка без дифзащиты до 30 мА",""),IFERROR(IF(AND(ISNUMBER(CD71),CD71&gt;CE71),"потери "&amp;FIXED(CD71,1)&amp;" % &gt; "&amp;CE71&amp;" %",""),""),IFERROR(IF(LEFT(FJ71,4)="мало","Iкз мало — отключение &gt; 0,4 с",""),""),IF(AND(D71&lt;&gt;"",BD71=""),"не на схеме","")))</f>
        <v>нет мощности; 5 жил на 1 фазе</v>
      </c>
      <c r="FL71" s="6">
        <f>IF(AD71="","",_xlfn.LET(_xlpm.t,IFERROR(_xlfn.XLOOKUP(EP71,Каталог!$U$4:$U$500,Каталог!$G$4:$G$500),""),_xlpm.k,SEARCH("кА",_xlpm.t),IFERROR(--TRIM(RIGHT(SUBSTITUTE(MID(_xlpm.t,MAX(1,_xlpm.k-4),_xlpm.k-MAX(1,_xlpm.k-4))," ",REPT(" ",9)),5)),"")))</f>
        <v>6</v>
      </c>
      <c r="FM71" t="str">
        <f>IF(OR(FL71="",AD71=""),"",IF(_xlfn.XLOOKUP(A71,Щиты[Щит],Щиты[Iкз max на шинах, кА],"")="","",IF(FL71&lt;_xlfn.XLOOKUP(A71,Щиты[Щит],Щиты[Iкз max на шинах, кА]),"Icu "&amp;FL71&amp;" кА &lt; Iкз max","ok")))</f>
        <v/>
      </c>
      <c r="FN71" t="str">
        <f t="shared" si="243"/>
        <v>QF35|МК-5-1|XT51</v>
      </c>
      <c r="FO71" t="str">
        <f t="shared" si="244"/>
        <v>QF35|МК-5-1|XT51|кабель ВВГнг(А)-LS (5х1,5) → Группа освещения  Пом. №13</v>
      </c>
      <c r="FP71" t="str" cm="1">
        <f t="array" ref="FP71">IF(FO71="","",_xlfn.LET(_xlpm.nd,_xlfn.TEXTSPLIT(FO71,"|"),IF(COLUMNS(_xlpm.nd)&gt;1,A71&amp;"¦"&amp;INDEX(_xlpm.nd,1)&amp;"¦"&amp;INDEX(_xlpm.nd,2),"")))</f>
        <v>ЩР¦QF35¦МК-5-1</v>
      </c>
      <c r="FQ71" t="str">
        <f t="shared" si="245"/>
        <v>L.2.13.1¦Группа освещения  Пом. №13</v>
      </c>
      <c r="FR71" t="str" cm="1">
        <f t="array" ref="FR71">IF(FO71="","",_xlfn.LET(_xlpm.nd,_xlfn.TEXTSPLIT(FO71,"|"),IF(COLUMNS(_xlpm.nd)&gt;2,A71&amp;"¦"&amp;INDEX(_xlpm.nd,2)&amp;"¦"&amp;INDEX(_xlpm.nd,3),"")))</f>
        <v>ЩР¦МК-5-1¦XT51</v>
      </c>
      <c r="FS71" t="str">
        <f t="shared" si="246"/>
        <v>L.2.13.1¦Группа освещения  Пом. №13</v>
      </c>
      <c r="FT71" t="str" cm="1">
        <f t="array" ref="FT71">IF(FO71="","",_xlfn.LET(_xlpm.nd,_xlfn.TEXTSPLIT(FO71,"|"),IF(COLUMNS(_xlpm.nd)&gt;3,A71&amp;"¦"&amp;INDEX(_xlpm.nd,3)&amp;"¦"&amp;INDEX(_xlpm.nd,4),"")))</f>
        <v>ЩР¦XT51¦кабель ВВГнг(А)-LS (5х1,5) → Группа освещения  Пом. №13</v>
      </c>
      <c r="FU71" t="str">
        <f t="shared" si="247"/>
        <v>L.2.13.1¦Группа освещения  Пом. №13</v>
      </c>
      <c r="FV71" t="str" cm="1">
        <f t="array" ref="FV71">IF(FO71="","",_xlfn.LET(_xlpm.nd,_xlfn.TEXTSPLIT(FO71,"|"),IF(COLUMNS(_xlpm.nd)&gt;4,A71&amp;"¦"&amp;INDEX(_xlpm.nd,4)&amp;"¦"&amp;INDEX(_xlpm.nd,5),"")))</f>
        <v/>
      </c>
      <c r="FW71" t="str">
        <f t="shared" si="248"/>
        <v/>
      </c>
      <c r="FX71" t="str" cm="1">
        <f t="array" ref="FX71">IF(FO71="","",_xlfn.LET(_xlpm.nd,_xlfn.TEXTSPLIT(FO71,"|"),IF(COLUMNS(_xlpm.nd)&gt;5,A71&amp;"¦"&amp;INDEX(_xlpm.nd,5)&amp;"¦"&amp;INDEX(_xlpm.nd,6),"")))</f>
        <v/>
      </c>
      <c r="FY71" t="str">
        <f t="shared" si="249"/>
        <v/>
      </c>
      <c r="FZ71" t="str" cm="1">
        <f t="array" ref="FZ71">IF(FO71="","",_xlfn.LET(_xlpm.nd,_xlfn.TEXTSPLIT(FO71,"|"),IF(COLUMNS(_xlpm.nd)&gt;6,A71&amp;"¦"&amp;INDEX(_xlpm.nd,6)&amp;"¦"&amp;INDEX(_xlpm.nd,7),"")))</f>
        <v/>
      </c>
      <c r="GA71" t="str">
        <f t="shared" si="250"/>
        <v/>
      </c>
      <c r="GB71" t="str">
        <f t="shared" si="251"/>
        <v/>
      </c>
      <c r="GC71" t="str">
        <f t="shared" si="252"/>
        <v>QF35 → МК-5-1 → XT51</v>
      </c>
      <c r="GD71">
        <f t="shared" si="253"/>
        <v>1</v>
      </c>
      <c r="GE71">
        <f t="shared" si="254"/>
        <v>0</v>
      </c>
      <c r="GF71">
        <f t="shared" si="255"/>
        <v>0</v>
      </c>
      <c r="GG71" t="str">
        <f t="shared" si="256"/>
        <v/>
      </c>
      <c r="GH71" t="str">
        <f t="shared" si="257"/>
        <v>MK</v>
      </c>
      <c r="GI71" t="str">
        <f t="shared" si="258"/>
        <v/>
      </c>
      <c r="GJ71" t="str">
        <f t="shared" si="259"/>
        <v/>
      </c>
      <c r="GK71" t="str">
        <f>IF(D71="","",IFERROR(VLOOKUP(D71,УГО_спр,2,FALSE),IFERROR(VLOOKUP(AT71,УГО_спр,2,FALSE),IFERROR(VLOOKUP(LEFT(AT71,2),УГО_спр,2,FALSE),""))))</f>
        <v>Светильник</v>
      </c>
      <c r="GL71" t="str">
        <f>IF(D71="","",IF(OR(GK71="",GK71=0),"BOX",IFERROR(IF(VLOOKUP(GK71,УГО_блоки,3,FALSE)&amp;""&lt;&gt;"",VLOOKUP(GK71,УГО_блоки,3,FALSE),VLOOKUP(GK71,УГО_блоки,2,FALSE)),GK71)))</f>
        <v>LAMP</v>
      </c>
      <c r="GM71">
        <f t="shared" si="260"/>
        <v>1</v>
      </c>
      <c r="GN71" t="str">
        <f>IF(EP71="","",IF(COUNTIF(EP$3:EP71,EP71)=1,MAX(GN$2:GN70)+1,""))</f>
        <v/>
      </c>
      <c r="GO71" t="str">
        <f>IF(AF71="","",IF(COUNTIF(AF$3:AF71,AF71)+COUNTIF(AG$2:AG70,AF71)+COUNTIF(AH$2:AH70,AF71)=1,MAX(GO$2:GQ70)+1,""))</f>
        <v/>
      </c>
      <c r="GP71" t="str">
        <f>IF(AG71="","",IF(COUNTIF(AF$3:AF71,AG71)+COUNTIF(AG$3:AG71,AG71)+COUNTIF(AH$2:AH70,AG71)=1,MAX(GO$2:GQ70,GO71)+1,""))</f>
        <v/>
      </c>
      <c r="GQ71" t="str">
        <f>IF(AH71="","",IF(COUNTIF(AF$3:AF71,AH71)+COUNTIF(AG$3:AG71,AH71)+COUNTIF(AH$3:AH71,AH71)=1,MAX(GO$2:GQ70,GO71,GP71)+1,""))</f>
        <v/>
      </c>
      <c r="GR71" t="str">
        <f t="shared" si="261"/>
        <v>5х1,5</v>
      </c>
      <c r="GS71" t="str">
        <f>IF(GR71="","",IF(COUNTIF(GR$3:GR71,GR71)=1,MAX(GS$2:GS70)+1,""))</f>
        <v/>
      </c>
      <c r="GT71" t="str">
        <f>IF(ES71="","",COUNTIF(ES$3:ES71,"?*"))</f>
        <v/>
      </c>
      <c r="GU71" t="str">
        <f>IF(OR(ES71="",EU71=""),"",IF(COUNTIFS(ES$3:ES71,"?*",EU$3:EU71,EU71)=1,MAX(GU$2:GU70)+1,""))</f>
        <v/>
      </c>
      <c r="GV71">
        <f t="shared" si="262"/>
        <v>1</v>
      </c>
      <c r="GW71">
        <f>IF(D71="","",COUNTIF(D$3:D71,"?*"))</f>
        <v>51</v>
      </c>
      <c r="GX71">
        <f>IF(EX71&lt;&gt;1,0,_xlfn.LET(_xlpm.k,MAX(IFERROR(--VLOOKUP(D71,УГО_спр,5,FALSE),0),IFERROR(--VLOOKUP(AT71,УГО_спр,5,FALSE),0),IFERROR(--VLOOKUP(LEFT(AT71,2),УГО_спр,5,FALSE),0)),IF(_xlpm.k&gt;0,_xlpm.k,IF(IFERROR(--LEFT(SUBSTITUTE(GR71,"x","х"),FIND("х",SUBSTITUTE(GR71,"x","х"))-1),3)&gt;3,Каталог!$S$9,1))))</f>
        <v>1</v>
      </c>
      <c r="GY71">
        <f t="shared" si="263"/>
        <v>2</v>
      </c>
    </row>
    <row r="72" spans="1:207" x14ac:dyDescent="0.3">
      <c r="A72" t="s">
        <v>206</v>
      </c>
      <c r="B72">
        <v>76</v>
      </c>
      <c r="C72" t="str">
        <f>IF(BD72="","",IF(BE72="вводной узел","узел ","")&amp;"л."&amp;(INT((BD72-1)/Столбцов_на_лист)+1)&amp;" / "&amp;(MOD(BD72-1,Столбцов_на_лист)+1))</f>
        <v>л.5 / 8</v>
      </c>
      <c r="D72" t="s">
        <v>736</v>
      </c>
      <c r="E72" s="133" t="str">
        <f t="shared" si="176"/>
        <v>Группа освещения  Пом. №12</v>
      </c>
      <c r="H72">
        <v>1</v>
      </c>
      <c r="O72">
        <v>3</v>
      </c>
      <c r="T72">
        <v>1</v>
      </c>
      <c r="V72">
        <v>3</v>
      </c>
      <c r="AM72">
        <v>6.25</v>
      </c>
      <c r="AO72" t="s">
        <v>737</v>
      </c>
      <c r="AQ72" t="s">
        <v>738</v>
      </c>
      <c r="AR72" t="str">
        <f t="shared" si="177"/>
        <v>нет мощности</v>
      </c>
      <c r="AS72" cm="1">
        <f t="array" ref="AS72">ROW()-ROW(Линии[#Headers])</f>
        <v>70</v>
      </c>
      <c r="AT72" s="6" t="str">
        <f t="shared" si="178"/>
        <v>L</v>
      </c>
      <c r="AU72" t="str">
        <f t="shared" si="179"/>
        <v>2.12.2</v>
      </c>
      <c r="AV72" t="str">
        <f t="shared" si="180"/>
        <v>2</v>
      </c>
      <c r="AW72" t="str">
        <f t="shared" si="181"/>
        <v>12.2</v>
      </c>
      <c r="AX72" t="str">
        <f t="shared" si="182"/>
        <v>12</v>
      </c>
      <c r="AY72" t="str">
        <f>IF(D72="","",IF(ISERROR(SEARCH(".",D72)),IFERROR(VLOOKUP(D72,Потребители_обозначение,2,FALSE)&amp;"",""),IFERROR(IF(VLOOKUP(AT72,Потребители_обозначение,4,FALSE)=1,VLOOKUP(AT72,Потребители_обозначение,2,FALSE)&amp;" "&amp;VLOOKUP(AV72,Этаж_обозначение,2,FALSE)&amp;" Пом. №"&amp;AX72,VLOOKUP(AT72,Потребители_обозначение,2,FALSE)&amp;" Шлейф №"&amp;AV72),IFERROR(VLOOKUP(D72,Потребители_обозначение,2,FALSE),""))))</f>
        <v>Группа освещения  Пом. №12</v>
      </c>
      <c r="AZ72" t="str">
        <f t="shared" si="183"/>
        <v>Группа освещения  Пом. №12</v>
      </c>
      <c r="BA72" t="str">
        <f>IF(F72&lt;&gt;"",F72,IF(AND(D72&lt;&gt;"",D72&lt;&gt;A72,ISNUMBER(_xlfn.XMATCH(D72,Щиты[Щит]))),D72,""))</f>
        <v/>
      </c>
      <c r="BB72">
        <f>IFERROR(_xlfn.XMATCH(A72,Щиты[Щит]),0)</f>
        <v>1</v>
      </c>
      <c r="BC72">
        <f>IFERROR(N(_xlfn.XLOOKUP(A72,Щиты[Щит],Щиты[Мест под вводной узел])),15)</f>
        <v>18</v>
      </c>
      <c r="BD72">
        <f t="shared" si="184"/>
        <v>76</v>
      </c>
      <c r="BE72" t="str">
        <f t="shared" si="185"/>
        <v>линии</v>
      </c>
      <c r="BF72" s="6">
        <f>IF(D72="","",IF(BA72&lt;&gt;"",IFERROR(_xlfn.XLOOKUP(BA72,Щиты[Щит],Щиты[Руст, кВт]),0),N(G72)))</f>
        <v>0</v>
      </c>
      <c r="BG72">
        <f>IF(J72&lt;&gt;"",J72,IF(D72="","",IFERROR(IF(VLOOKUP(AT72,Потребители_обозначение,8,FALSE)=0,"",VLOOKUP(AT72,Потребители_обозначение,8,FALSE)),"")))</f>
        <v>230</v>
      </c>
      <c r="BH72">
        <f>IF(I72&lt;&gt;"",I72,IF(D72="","",IFERROR(IF(VLOOKUP(AT72,Потребители_обозначение,9,FALSE)=0,"",VLOOKUP(AT72,Потребители_обозначение,9,FALSE)),"")))</f>
        <v>1</v>
      </c>
      <c r="BI72" t="str">
        <f>IF(U72&lt;&gt;"",U72,IF(D72="","",IFERROR(IF(VLOOKUP(AT72,Потребители_обозначение,6,FALSE)=0,"",VLOOKUP(AT72,Потребители_обозначение,6,FALSE)),"")))</f>
        <v>мс</v>
      </c>
      <c r="BJ72">
        <f>IF(V72&lt;&gt;"",V72,IF(D72="","",IFERROR(IF(VLOOKUP(AT72,Потребители_обозначение,7,FALSE)=0,"",VLOOKUP(AT72,Потребители_обозначение,7,FALSE)),"")))</f>
        <v>3</v>
      </c>
      <c r="BK72">
        <f>IF(W72&lt;&gt;"",W72,IF(D72="","",IFERROR(IF(VLOOKUP(AT72,Потребители_обозначение,10,FALSE)=0,"",VLOOKUP(AT72,Потребители_обозначение,10,FALSE)),"")))</f>
        <v>1.5</v>
      </c>
      <c r="BL72">
        <f>IFERROR(VLOOKUP(AT72,Потребители_обозначение,5,FALSE),0)</f>
        <v>1</v>
      </c>
      <c r="BM72" s="6" cm="1">
        <f t="array" ref="BM72">IF(D72="","",IF(BA72&lt;&gt;"",IFERROR(_xlfn.XLOOKUP(BA72,Щиты[Щит],Щиты[cos φ]),0.95),IF(ISNUMBER(M72),M72,IFERROR(IF(BL72=2,_xlfn.IFS(BH72=3,VLOOKUP(BF72,Справочная_двигатели,8,FALSE),BH72=1,VLOOKUP(BF72,Справочная_двигатели,10,TRUE)),IF(AND(Методика="нормы 2026",CN72="Сил"),0.8,0.95)),0.95))))</f>
        <v>0.95</v>
      </c>
      <c r="BN72" s="6" cm="1">
        <f t="array" ref="BN72">IF(D72="","",IF(BA72&lt;&gt;"",IFERROR(_xlfn.XLOOKUP(BA72,Щиты[Щит],Щиты[Iр, А]),""),IFERROR(_xlfn.IFS(BH72=1,BF72/((Uн_лин/SQRT(3))*BM72),BH72=3,BF72/(SQRT(3)*Uн_лин*BM72)),"")))</f>
        <v>0</v>
      </c>
      <c r="BO72">
        <f>IF(D72="","",IF(N(X72)=0,IFERROR(VLOOKUP(BN72,Автомат_номиналы,2,TRUE),""),X72))</f>
        <v>6</v>
      </c>
      <c r="BP72">
        <f t="shared" si="186"/>
        <v>1</v>
      </c>
      <c r="BQ72">
        <f>IF(ISNUMBER(Y72),Y72,К_прокл)</f>
        <v>1</v>
      </c>
      <c r="BR72">
        <f t="shared" si="187"/>
        <v>2</v>
      </c>
      <c r="BS72" cm="1">
        <f t="array" ref="BS72">IF(D72="","",IF(N(BK72)&lt;&gt;0,BK72,IFERROR(_xlfn.LET(_xlpm.need,BO72/(BP72*BQ72),_xlpm.t,CHOOSE(BR72,Iдоп_1ж,Iдоп_2ж,Iдоп_3ж),_xlpm.k,_xlfn.XMATCH(_xlpm.need,_xlpm.t,1),IF(ISNA(_xlpm.k),"Не исп",INDEX(Iдоп_S,_xlpm.k))),"Не исп")))</f>
        <v>1.5</v>
      </c>
      <c r="BT72">
        <f>IFERROR(VLOOKUP(BS72,Кабель_сопротивление,3,FALSE),"")</f>
        <v>2.2499999999999999E-2</v>
      </c>
      <c r="BU72">
        <f>IFERROR(VLOOKUP(BS72,Кабель_сопротивление,2,FALSE),"")</f>
        <v>0.11</v>
      </c>
      <c r="BV72">
        <f t="shared" si="188"/>
        <v>7</v>
      </c>
      <c r="BW72" s="6">
        <f>IF(D72="","",IFERROR(IF(VLOOKUP(AT72,Потребители_обозначение,4,FALSE)=1,VLOOKUP(AT72,Потребители_обозначение,3,FALSE)*(H72*2-1)+BV72+VLOOKUP(AV72,Этаж_обозначение,3,FALSE)+VLOOKUP(AV72,Этаж_обозначение,4,FALSE),VLOOKUP(AT72,Потребители_обозначение,3,FALSE)*(H72*2-1)+BV72),BV72))</f>
        <v>8</v>
      </c>
      <c r="BX72">
        <f t="shared" si="189"/>
        <v>4</v>
      </c>
      <c r="BY72">
        <f t="shared" si="190"/>
        <v>0</v>
      </c>
      <c r="BZ72">
        <f t="shared" si="191"/>
        <v>2</v>
      </c>
      <c r="CA72">
        <f t="shared" si="192"/>
        <v>0.31</v>
      </c>
      <c r="CB72">
        <f t="shared" si="193"/>
        <v>0</v>
      </c>
      <c r="CC72" s="6">
        <f>IFERROR(ROUNDUP(CB72/((Uн_лин/SQRT(3))*1000)*100,2),"")</f>
        <v>0</v>
      </c>
      <c r="CD72" s="6">
        <f>IF(ISNUMBER(CC72),CC72+IFERROR(_xlfn.XLOOKUP(A72,Щиты[Щит],Щиты[ΔU до шин, %]),0),"")</f>
        <v>0</v>
      </c>
      <c r="CE72" s="6">
        <f>IF(D72="","",IF(IFERROR(VLOOKUP(AT72,УГО_спр,2,FALSE),"")="Светильник",3,4)+IF(Методика="нормы 2026",MIN(0.5,MAX(0,N(BW72)-100)*0.005),0))</f>
        <v>3</v>
      </c>
      <c r="CF72" t="str">
        <f>IFERROR(VLOOKUP(BI72,Кабель_обозначение,2,FALSE),"")</f>
        <v>ВВГнг(А)-LS</v>
      </c>
      <c r="CG72" t="str">
        <f>IFERROR(IF(VLOOKUP(BI72,Кабель_обозначение,3,FALSE)=1,CF72&amp;" ("&amp;BJ72&amp;"х"&amp;BS72&amp;")",CF72),"")</f>
        <v>ВВГнг(А)-LS (3х1,5)</v>
      </c>
      <c r="CH72" t="str">
        <f t="shared" si="194"/>
        <v>ВВГнг(А)-LS (3х1,5)
L=8-0%</v>
      </c>
      <c r="CI72">
        <f>IFERROR(2*ρкз_Cu*BW72/BS72,"")</f>
        <v>0.28053333333333336</v>
      </c>
      <c r="CJ72">
        <f t="shared" si="195"/>
        <v>9.3333333333333338E-2</v>
      </c>
      <c r="CK72" s="6" t="str">
        <f>IFERROR(IF(OR(D72="",NOT(ISNUMBER(BS72)),N(BW72)=0),"",_xlfn.XLOOKUP(A72,Щиты[Щит],Щиты[Zпетли на шинах, Ом])+CI72),"")</f>
        <v/>
      </c>
      <c r="CL72" s="6" t="str">
        <f>IF(ISNUMBER(CK72),c_min*(Uн_лин*1000/SQRT(3))/CK72,"")</f>
        <v/>
      </c>
      <c r="CM72" s="6" t="str">
        <f>IFERROR(IF(OR(D72="",NOT(ISNUMBER(BS72))),"",1.05*(Uн_лин*1000/SQRT(3))/(_xlfn.XLOOKUP(A72,Щиты[Щит],Щиты[Zmax на шинах, Ом])+CJ72)/1000),"")</f>
        <v/>
      </c>
      <c r="CN72" s="6" t="str">
        <f>IF(D72="","",IF(BA72&lt;&gt;"","Щит",IF(K72&lt;&gt;"",K72,IF(ISNUMBER(L72),"Сил",IF(IFERROR(_xlfn.XLOOKUP(AT72,Коды_код,Коды_группа)&amp;"","")="","Быт",_xlfn.XLOOKUP(AT72,Коды_код,Коды_группа)&amp;"")))))</f>
        <v>Быт</v>
      </c>
      <c r="CO72" s="6">
        <f>IF(CN72="Щит","щит",IF(CN72="","",IF(CN72="Быт",IFERROR(_xlfn.XLOOKUP(A72,Щиты[Щит],Щиты[Кс быт]),1),IF(CN72="Сил",IF(ISNUMBER(L72),L72,IF(Методика="нормы 2026",IFERROR(_xlfn.XLOOKUP(A72,Щиты[Щит],Щиты[Кс силовых (табл. 7.5)]),1),1)),IF(OR(CN72="Пост",CN72="Отоп"),1,IF(CN72="ВНГ",0.7,0))))))</f>
        <v>0.8</v>
      </c>
      <c r="CP72">
        <f t="shared" si="196"/>
        <v>1</v>
      </c>
      <c r="CQ72">
        <f t="shared" si="197"/>
        <v>0</v>
      </c>
      <c r="CR72">
        <f t="shared" si="198"/>
        <v>0</v>
      </c>
      <c r="CS72">
        <f t="shared" si="199"/>
        <v>0</v>
      </c>
      <c r="CT72">
        <f t="shared" si="200"/>
        <v>0</v>
      </c>
      <c r="CU72">
        <f t="shared" si="201"/>
        <v>0</v>
      </c>
      <c r="CV72">
        <f t="shared" si="202"/>
        <v>0</v>
      </c>
      <c r="CW72">
        <f t="shared" si="203"/>
        <v>0</v>
      </c>
      <c r="CX72">
        <f t="shared" si="204"/>
        <v>0</v>
      </c>
      <c r="CY72">
        <f t="shared" si="205"/>
        <v>3</v>
      </c>
      <c r="CZ72" t="str">
        <f t="shared" si="206"/>
        <v>L3</v>
      </c>
      <c r="DA72" cm="1">
        <f t="array" ref="DA72">IFERROR(IF(BL72=2,_xlfn.IFS(BH72=3,VLOOKUP(BF72,Справочная_двигатели,3,FALSE),BH72=1,VLOOKUP(BF72,Справочная_двигатели,5,TRUE)),0),0)</f>
        <v>0</v>
      </c>
      <c r="DB72">
        <f>IFERROR(IF(BL72=3,VLOOKUP(BF72,Справочная_ЛЭД,2,TRUE),0),0)</f>
        <v>0</v>
      </c>
      <c r="DC72" s="6">
        <f t="shared" si="207"/>
        <v>0</v>
      </c>
      <c r="DD72" t="str">
        <f t="shared" si="208"/>
        <v>L3</v>
      </c>
      <c r="DE72" t="str" cm="1">
        <f t="array" ref="DE72">IF(D72="","",IFERROR(INDEX({"I особая","I","II","III"},MATCH(TRIM(AA72&amp;""),{"I особая","I","II","III"},0)),"III"))</f>
        <v>III</v>
      </c>
      <c r="DF72" t="str">
        <f>IF(D72="","",IF(TRIM(AB72&amp;"")&lt;&gt;"",IF(LOWER(TRIM(AB72&amp;""))="да","да","нет"),IF(IFERROR(_xlfn.XLOOKUP(AT72,Коды_код,Коды_пожарная),"")="да","да","нет")))</f>
        <v>нет</v>
      </c>
      <c r="DG72" t="str">
        <f t="shared" si="209"/>
        <v/>
      </c>
      <c r="DH72" t="str">
        <f t="shared" si="210"/>
        <v>основная</v>
      </c>
      <c r="DI72">
        <f t="shared" si="211"/>
        <v>1</v>
      </c>
      <c r="DJ72" t="str" cm="1">
        <f t="array" ref="DJ72">IF(D72="","",_xlfn.LET(_xlpm.t,IFERROR(_xlfn.XLOOKUP(1,(Шины[Шина]=DH72)*(((Шины[Щит]=A72)+(Шины[Щит]=""))&gt;0),Шины[Тип]),"")&amp;"",IF(_xlpm.t&lt;&gt;"",_xlpm.t,IF(ISNUMBER(SEARCH("ИБП",DH72)),"ИБП",IF(ISNUMBER(SEARCH("ДГУ",DH72)),"ДГУ","Ввод "&amp;DI72)))))</f>
        <v>Ввод 1</v>
      </c>
      <c r="DK72" t="str">
        <f t="shared" si="212"/>
        <v>Ввод 1</v>
      </c>
      <c r="DL72" t="str">
        <f>IF(D72="","",IF(OR(DJ72="ИБП",DJ72="ДГУ"),"I особая",IF(DJ72="Одиночная","III",_xlfn.XLOOKUP(A72,Щиты[Щит],Щиты[Категория шины «Ввод»],"III"))))</f>
        <v>III</v>
      </c>
      <c r="DM72">
        <f>IF(D72="",0,IFERROR(MATCH(DE72,{"III","II","I","I особая"},0),1))</f>
        <v>1</v>
      </c>
      <c r="DN72">
        <f t="shared" si="213"/>
        <v>1</v>
      </c>
      <c r="DO72" t="str">
        <f>IF(D72="","",IF(DM72&gt;IFERROR(MATCH(DL72,{"III","II","I","I особая"},0),1),"НЕ ОБЕСПЕЧЕНА","ОК"))</f>
        <v>ОК</v>
      </c>
      <c r="DP72" t="str">
        <f>IF(A72="","",_xlfn.XLOOKUP(A72,Щиты[Щит],Щиты[Путь],""))</f>
        <v>|ЩР|</v>
      </c>
      <c r="DQ72" t="str">
        <f>IF(D72="","",IF(Z72&lt;&gt;"",Z72,IF(IFERROR(_xlfn.XLOOKUP(AT72,Коды_код,Коды_вид)&amp;"","")="","Прочее",_xlfn.XLOOKUP(AT72,Коды_код,Коды_вид)&amp;"")))</f>
        <v>Рабочее освещение</v>
      </c>
      <c r="DR72">
        <f>IF(BD72="","",INT((BD72-1)/Столбцов_на_лист)+1)</f>
        <v>5</v>
      </c>
      <c r="DS72" t="str">
        <f t="shared" si="214"/>
        <v>ВВГнг(А)-LS (3х1,5) L=8-0%</v>
      </c>
      <c r="DT72">
        <f t="shared" si="215"/>
        <v>0</v>
      </c>
      <c r="DU72">
        <f t="shared" si="216"/>
        <v>0</v>
      </c>
      <c r="DV72">
        <f t="shared" si="217"/>
        <v>1</v>
      </c>
      <c r="DW72">
        <f>IF(AT72="",0,_xlfn.LET(_xlpm.v,IFERROR(VLOOKUP(D72,УГО_спр,3,FALSE),IFERROR(VLOOKUP(AT72,УГО_спр,3,FALSE),IFERROR(VLOOKUP(LEFT(AT72,2),УГО_спр,3,FALSE),""))),IF(_xlpm.v="да",30,IF(ISNUMBER(_xlpm.v),_xlpm.v,0))))</f>
        <v>0</v>
      </c>
      <c r="DX72">
        <f t="shared" si="218"/>
        <v>0</v>
      </c>
      <c r="DY72">
        <f>IF(BD72="","",IF(AD72&lt;&gt;"",COUNTIFS(A$3:A72,A72,AD$3:AD72,"?*"),IF(OR(OR(AS72=1,A72&lt;&gt;A71),AL72="вручную"),"",IF(AS72=1,"",DZ71))))</f>
        <v>35</v>
      </c>
      <c r="DZ72">
        <f t="shared" si="219"/>
        <v>35</v>
      </c>
      <c r="EA72">
        <f>IF(D72="",0,MAX(IFERROR(--X72,0),IFERROR(--VLOOKUP(D72,УГО_спр,4,FALSE),IFERROR(--VLOOKUP(AT72,УГО_спр,4,FALSE),IFERROR(--VLOOKUP(LEFT(AT72,2),УГО_спр,4,FALSE),0)))))</f>
        <v>10</v>
      </c>
      <c r="EB72">
        <f>IF(D72="","",IFERROR(LOOKUP(INDEX(CHOOSE(BR72,Iдоп_1ж,Iдоп_2ж,Iдоп_3ж),MATCH(BS72,Iдоп_S,0))*BP72*BQ72,{6,10,16,20,25,32,40,50,63,80,100,125,160,200,250,315,400,500,630}),""))</f>
        <v>16</v>
      </c>
      <c r="EC72" t="str">
        <f>IF(AD72="","",SUMIFS(Линии[_Ток схемы],Линии[_гр.],DY72,Линии[Щит],A72,Линии[_в кабель выше],0))</f>
        <v/>
      </c>
      <c r="ED72" t="str">
        <f>IF(AD72="","",IFERROR(VLOOKUP(EC72,Автомат_номиналы,2,TRUE),""))</f>
        <v/>
      </c>
      <c r="EE72" t="str">
        <f>IF(AD72="","",MAX(N(ED72),_xlfn.MAXIFS(Линии[_мин. по типу],Линии[_гр.],DY72,Линии[Щит],A72)))</f>
        <v/>
      </c>
      <c r="EF72" t="str">
        <f>IF(AD72="","",_xlfn.MINIFS(Линии[_макс. автомат по кабелю],Линии[_гр.],DY72,Линии[Щит],A72))</f>
        <v/>
      </c>
      <c r="EG72" t="str">
        <f>IF(AD72="","",MAX(1,_xlfn.MAXIFS(Линии[_фаз],Линии[_гр.],DY72,Линии[Щит],A72)))</f>
        <v/>
      </c>
      <c r="EH72" t="str">
        <f>IF(AD72="","",IF(AND(AD72&lt;&gt;"авто",AD72&lt;&gt;"+"),IF(ISNUMBER(SEARCH("мА",AD72)),IFERROR(--TRIM(RIGHT(SUBSTITUTE(LEFT(AD72,SEARCH("мА",AD72)-1)," ",REPT(" ",9)),6)),30),0),IF(AE72="нет",0,IF(ISNUMBER(AE72),AE72,IF(AE72="да",30,_xlfn.MINIFS(Линии[_дифзащита по коду, мА],Линии[_гр.],DY72,Линии[Щит],A72,Линии[_дифзащита по коду, мА],"&gt;0"))))))</f>
        <v/>
      </c>
      <c r="EI72" t="str">
        <f t="shared" si="220"/>
        <v/>
      </c>
      <c r="EJ72" t="str">
        <f t="shared" si="221"/>
        <v/>
      </c>
      <c r="EK72" t="str">
        <f t="shared" si="222"/>
        <v>QF35</v>
      </c>
      <c r="EL72" t="str">
        <f t="shared" si="223"/>
        <v>МК-5-1</v>
      </c>
      <c r="EM72">
        <f t="shared" si="224"/>
        <v>0</v>
      </c>
      <c r="EN72" t="str">
        <f>IF(AD72="","",IF(EM72=1,MAX(EE72,Мин_автомат_БП),EE72))</f>
        <v/>
      </c>
      <c r="EO72" t="str">
        <f t="shared" si="225"/>
        <v/>
      </c>
      <c r="EP72" t="str">
        <f t="shared" si="226"/>
        <v/>
      </c>
      <c r="EQ72" t="str">
        <f t="shared" si="227"/>
        <v/>
      </c>
      <c r="ER72" t="str">
        <f>IF(OR(AI72="",AI72="-"),"",IFERROR(VLOOKUP(AI72,Модули_спр,2,FALSE),"R"))</f>
        <v/>
      </c>
      <c r="ES72" t="str">
        <f>IF(ER72="","",ER72&amp;"."&amp;COUNTIFS(A$3:A72,A72,ER$3:ER72,ER72))</f>
        <v/>
      </c>
      <c r="ET72" t="str">
        <f t="shared" si="228"/>
        <v/>
      </c>
      <c r="EU72" t="str">
        <f t="shared" si="229"/>
        <v/>
      </c>
      <c r="EV72" t="str">
        <f t="shared" si="230"/>
        <v/>
      </c>
      <c r="EW72" t="str">
        <f t="shared" si="231"/>
        <v/>
      </c>
      <c r="EX72">
        <f t="shared" si="232"/>
        <v>1</v>
      </c>
      <c r="EY72" t="str">
        <f>IF(AK72="нет","",IF(AK72&lt;&gt;"",AK72,IF(EX72=1,"XT"&amp;COUNTIFS(A$3:A72,A72,EX$3:EX72,1),"")))</f>
        <v>XT52</v>
      </c>
      <c r="EZ72" t="str">
        <f t="shared" si="233"/>
        <v>QF35</v>
      </c>
      <c r="FA72" t="str">
        <f t="shared" si="234"/>
        <v/>
      </c>
      <c r="FB72" t="str">
        <f t="shared" si="235"/>
        <v/>
      </c>
      <c r="FC72" t="str">
        <f>IF(OR(EV72="",ET72=""),"",IF(EV72&gt;IFERROR(VLOOKUP(EU72,Модули_спр,3,FALSE),99),"ЛИШНИЙ КАНАЛ",IF(AND(AJ72&lt;&gt;"=",COUNTIFS(Линии[_модуль гр.],ET72,Линии[Канал (итог)],EV72,Линии[Канал],"&lt;&gt;=",Линии[Щит],A72)&gt;1),"ДУБЛЬ КАНАЛА","")))</f>
        <v/>
      </c>
      <c r="FD72">
        <f t="shared" si="236"/>
        <v>10</v>
      </c>
      <c r="FE72" t="str">
        <f t="shared" si="237"/>
        <v>1P С10А</v>
      </c>
      <c r="FF72">
        <f t="shared" si="238"/>
        <v>0</v>
      </c>
      <c r="FG72">
        <f t="shared" si="239"/>
        <v>0</v>
      </c>
      <c r="FH72" s="6" t="str">
        <f t="shared" si="240"/>
        <v/>
      </c>
      <c r="FI72">
        <f t="shared" si="241"/>
        <v>10</v>
      </c>
      <c r="FJ72" t="str">
        <f t="shared" si="242"/>
        <v/>
      </c>
      <c r="FK72" t="str">
        <f>IF(AND(D72="",EZ72=""),"",_xlfn.TEXTJOIN("; ",TRUE,IF(AND(D72&lt;&gt;"",DD72=""),"нет фазы",""),IF(AND(D72&lt;&gt;"",N(DT72)=0,CN72&lt;&gt;"Нет"),"нет мощности",""),IF(AND(EY72&lt;&gt;"",COUNTIFS(Линии[Щит],A72,Линии[Клемма (итог)],EY72)&gt;1),"дубль клеммы "&amp;EY72,""),IF(AND(FB72&lt;&gt;"",FB72&lt;&gt;"ok"),FB72,""),IF(FC72&lt;&gt;"",FC72,""),IF(AND(ISNUMBER(SEARCH("(5х",DS72)),N(DV72)=1),"5 жил на 1 фазе",""),IF(AND(AT72="R",AD72&lt;&gt;"",OR(N(EH72)=0,N(EH72)&gt;30)),"розетка без дифзащиты до 30 мА",""),IFERROR(IF(AND(ISNUMBER(CD72),CD72&gt;CE72),"потери "&amp;FIXED(CD72,1)&amp;" % &gt; "&amp;CE72&amp;" %",""),""),IFERROR(IF(LEFT(FJ72,4)="мало","Iкз мало — отключение &gt; 0,4 с",""),""),IF(AND(D72&lt;&gt;"",BD72=""),"не на схеме","")))</f>
        <v>нет мощности</v>
      </c>
      <c r="FL72" s="6" t="str">
        <f>IF(AD72="","",_xlfn.LET(_xlpm.t,IFERROR(_xlfn.XLOOKUP(EP72,Каталог!$U$4:$U$500,Каталог!$G$4:$G$500),""),_xlpm.k,SEARCH("кА",_xlpm.t),IFERROR(--TRIM(RIGHT(SUBSTITUTE(MID(_xlpm.t,MAX(1,_xlpm.k-4),_xlpm.k-MAX(1,_xlpm.k-4))," ",REPT(" ",9)),5)),"")))</f>
        <v/>
      </c>
      <c r="FM72" t="str">
        <f>IF(OR(FL72="",AD72=""),"",IF(_xlfn.XLOOKUP(A72,Щиты[Щит],Щиты[Iкз max на шинах, кА],"")="","",IF(FL72&lt;_xlfn.XLOOKUP(A72,Щиты[Щит],Щиты[Iкз max на шинах, кА]),"Icu "&amp;FL72&amp;" кА &lt; Iкз max","ok")))</f>
        <v/>
      </c>
      <c r="FN72" t="str">
        <f t="shared" si="243"/>
        <v>QF35|МК-5-1|XT52</v>
      </c>
      <c r="FO72" t="str">
        <f t="shared" si="244"/>
        <v>QF35|МК-5-1|XT52|кабель ВВГнг(А)-LS (3х1,5) → Группа освещения  Пом. №12</v>
      </c>
      <c r="FP72" t="str" cm="1">
        <f t="array" ref="FP72">IF(FO72="","",_xlfn.LET(_xlpm.nd,_xlfn.TEXTSPLIT(FO72,"|"),IF(COLUMNS(_xlpm.nd)&gt;1,A72&amp;"¦"&amp;INDEX(_xlpm.nd,1)&amp;"¦"&amp;INDEX(_xlpm.nd,2),"")))</f>
        <v>ЩР¦QF35¦МК-5-1</v>
      </c>
      <c r="FQ72" t="str">
        <f t="shared" si="245"/>
        <v>L.2.12.2¦Группа освещения  Пом. №12</v>
      </c>
      <c r="FR72" t="str" cm="1">
        <f t="array" ref="FR72">IF(FO72="","",_xlfn.LET(_xlpm.nd,_xlfn.TEXTSPLIT(FO72,"|"),IF(COLUMNS(_xlpm.nd)&gt;2,A72&amp;"¦"&amp;INDEX(_xlpm.nd,2)&amp;"¦"&amp;INDEX(_xlpm.nd,3),"")))</f>
        <v>ЩР¦МК-5-1¦XT52</v>
      </c>
      <c r="FS72" t="str">
        <f t="shared" si="246"/>
        <v>L.2.12.2¦Группа освещения  Пом. №12</v>
      </c>
      <c r="FT72" t="str" cm="1">
        <f t="array" ref="FT72">IF(FO72="","",_xlfn.LET(_xlpm.nd,_xlfn.TEXTSPLIT(FO72,"|"),IF(COLUMNS(_xlpm.nd)&gt;3,A72&amp;"¦"&amp;INDEX(_xlpm.nd,3)&amp;"¦"&amp;INDEX(_xlpm.nd,4),"")))</f>
        <v>ЩР¦XT52¦кабель ВВГнг(А)-LS (3х1,5) → Группа освещения  Пом. №12</v>
      </c>
      <c r="FU72" t="str">
        <f t="shared" si="247"/>
        <v>L.2.12.2¦Группа освещения  Пом. №12</v>
      </c>
      <c r="FV72" t="str" cm="1">
        <f t="array" ref="FV72">IF(FO72="","",_xlfn.LET(_xlpm.nd,_xlfn.TEXTSPLIT(FO72,"|"),IF(COLUMNS(_xlpm.nd)&gt;4,A72&amp;"¦"&amp;INDEX(_xlpm.nd,4)&amp;"¦"&amp;INDEX(_xlpm.nd,5),"")))</f>
        <v/>
      </c>
      <c r="FW72" t="str">
        <f t="shared" si="248"/>
        <v/>
      </c>
      <c r="FX72" t="str" cm="1">
        <f t="array" ref="FX72">IF(FO72="","",_xlfn.LET(_xlpm.nd,_xlfn.TEXTSPLIT(FO72,"|"),IF(COLUMNS(_xlpm.nd)&gt;5,A72&amp;"¦"&amp;INDEX(_xlpm.nd,5)&amp;"¦"&amp;INDEX(_xlpm.nd,6),"")))</f>
        <v/>
      </c>
      <c r="FY72" t="str">
        <f t="shared" si="249"/>
        <v/>
      </c>
      <c r="FZ72" t="str" cm="1">
        <f t="array" ref="FZ72">IF(FO72="","",_xlfn.LET(_xlpm.nd,_xlfn.TEXTSPLIT(FO72,"|"),IF(COLUMNS(_xlpm.nd)&gt;6,A72&amp;"¦"&amp;INDEX(_xlpm.nd,6)&amp;"¦"&amp;INDEX(_xlpm.nd,7),"")))</f>
        <v/>
      </c>
      <c r="GA72" t="str">
        <f t="shared" si="250"/>
        <v/>
      </c>
      <c r="GB72" t="str">
        <f t="shared" si="251"/>
        <v/>
      </c>
      <c r="GC72" t="str">
        <f t="shared" si="252"/>
        <v>QF35 → МК-5-1 → XT52</v>
      </c>
      <c r="GD72">
        <f t="shared" si="253"/>
        <v>1</v>
      </c>
      <c r="GE72">
        <f t="shared" si="254"/>
        <v>0</v>
      </c>
      <c r="GF72">
        <f t="shared" si="255"/>
        <v>0</v>
      </c>
      <c r="GG72" t="str">
        <f t="shared" si="256"/>
        <v/>
      </c>
      <c r="GH72" t="str">
        <f t="shared" si="257"/>
        <v/>
      </c>
      <c r="GI72" t="str">
        <f t="shared" si="258"/>
        <v/>
      </c>
      <c r="GJ72" t="str">
        <f t="shared" si="259"/>
        <v/>
      </c>
      <c r="GK72" t="str">
        <f>IF(D72="","",IFERROR(VLOOKUP(D72,УГО_спр,2,FALSE),IFERROR(VLOOKUP(AT72,УГО_спр,2,FALSE),IFERROR(VLOOKUP(LEFT(AT72,2),УГО_спр,2,FALSE),""))))</f>
        <v>Светильник</v>
      </c>
      <c r="GL72" t="str">
        <f>IF(D72="","",IF(OR(GK72="",GK72=0),"BOX",IFERROR(IF(VLOOKUP(GK72,УГО_блоки,3,FALSE)&amp;""&lt;&gt;"",VLOOKUP(GK72,УГО_блоки,3,FALSE),VLOOKUP(GK72,УГО_блоки,2,FALSE)),GK72)))</f>
        <v>LAMP</v>
      </c>
      <c r="GM72">
        <f t="shared" si="260"/>
        <v>1</v>
      </c>
      <c r="GN72" t="str">
        <f>IF(EP72="","",IF(COUNTIF(EP$3:EP72,EP72)=1,MAX(GN$2:GN71)+1,""))</f>
        <v/>
      </c>
      <c r="GO72" t="str">
        <f>IF(AF72="","",IF(COUNTIF(AF$3:AF72,AF72)+COUNTIF(AG$2:AG71,AF72)+COUNTIF(AH$2:AH71,AF72)=1,MAX(GO$2:GQ71)+1,""))</f>
        <v/>
      </c>
      <c r="GP72" t="str">
        <f>IF(AG72="","",IF(COUNTIF(AF$3:AF72,AG72)+COUNTIF(AG$3:AG72,AG72)+COUNTIF(AH$2:AH71,AG72)=1,MAX(GO$2:GQ71,GO72)+1,""))</f>
        <v/>
      </c>
      <c r="GQ72" t="str">
        <f>IF(AH72="","",IF(COUNTIF(AF$3:AF72,AH72)+COUNTIF(AG$3:AG72,AH72)+COUNTIF(AH$3:AH72,AH72)=1,MAX(GO$2:GQ71,GO72,GP72)+1,""))</f>
        <v/>
      </c>
      <c r="GR72" t="str">
        <f t="shared" si="261"/>
        <v>3х1,5</v>
      </c>
      <c r="GS72" t="str">
        <f>IF(GR72="","",IF(COUNTIF(GR$3:GR72,GR72)=1,MAX(GS$2:GS71)+1,""))</f>
        <v/>
      </c>
      <c r="GT72" t="str">
        <f>IF(ES72="","",COUNTIF(ES$3:ES72,"?*"))</f>
        <v/>
      </c>
      <c r="GU72" t="str">
        <f>IF(OR(ES72="",EU72=""),"",IF(COUNTIFS(ES$3:ES72,"?*",EU$3:EU72,EU72)=1,MAX(GU$2:GU71)+1,""))</f>
        <v/>
      </c>
      <c r="GV72">
        <f t="shared" si="262"/>
        <v>1</v>
      </c>
      <c r="GW72">
        <f>IF(D72="","",COUNTIF(D$3:D72,"?*"))</f>
        <v>52</v>
      </c>
      <c r="GX72">
        <f>IF(EX72&lt;&gt;1,0,_xlfn.LET(_xlpm.k,MAX(IFERROR(--VLOOKUP(D72,УГО_спр,5,FALSE),0),IFERROR(--VLOOKUP(AT72,УГО_спр,5,FALSE),0),IFERROR(--VLOOKUP(LEFT(AT72,2),УГО_спр,5,FALSE),0)),IF(_xlpm.k&gt;0,_xlpm.k,IF(IFERROR(--LEFT(SUBSTITUTE(GR72,"x","х"),FIND("х",SUBSTITUTE(GR72,"x","х"))-1),3)&gt;3,Каталог!$S$9,1))))</f>
        <v>1</v>
      </c>
      <c r="GY72">
        <f t="shared" si="263"/>
        <v>0</v>
      </c>
    </row>
  </sheetData>
  <conditionalFormatting sqref="A3:GY373">
    <cfRule type="expression" dxfId="46" priority="1" stopIfTrue="1">
      <formula>$BE3="вводной узел"</formula>
    </cfRule>
    <cfRule type="expression" dxfId="45" priority="2" stopIfTrue="1">
      <formula>ODD($BB3)</formula>
    </cfRule>
    <cfRule type="expression" dxfId="44" priority="3" stopIfTrue="1">
      <formula>AND($AS3&gt;1,$A3&lt;&gt;$A2)</formula>
    </cfRule>
    <cfRule type="expression" dxfId="43" priority="4" stopIfTrue="1">
      <formula>AND($A3=$A2,$DR3&lt;&gt;$DR2,$DR3&lt;&gt;"")</formula>
    </cfRule>
  </conditionalFormatting>
  <dataValidations count="1">
    <dataValidation type="list" allowBlank="1" showInputMessage="1" sqref="AL3:AL72" xr:uid="{892EB345-3552-474C-B094-37D555DCDA5B}">
      <formula1>"вручную,рисовать"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724F-4F61-4F9B-8692-D5B44255F884}">
  <sheetPr>
    <tabColor rgb="FFED7D31"/>
  </sheetPr>
  <dimension ref="B1:AE88"/>
  <sheetViews>
    <sheetView workbookViewId="0"/>
  </sheetViews>
  <sheetFormatPr defaultRowHeight="14.4" x14ac:dyDescent="0.3"/>
  <cols>
    <col min="2" max="2" width="34.77734375" customWidth="1"/>
    <col min="3" max="9" width="13.77734375" customWidth="1"/>
    <col min="27" max="31" width="0" hidden="1" customWidth="1"/>
  </cols>
  <sheetData>
    <row r="1" spans="2:31" ht="18" x14ac:dyDescent="0.35">
      <c r="B1" s="113" t="s">
        <v>1369</v>
      </c>
    </row>
    <row r="2" spans="2:31" x14ac:dyDescent="0.3">
      <c r="AA2" t="s">
        <v>1372</v>
      </c>
      <c r="AB2" t="s">
        <v>1373</v>
      </c>
      <c r="AC2" t="s">
        <v>1374</v>
      </c>
      <c r="AD2" t="s">
        <v>1375</v>
      </c>
      <c r="AE2" t="s">
        <v>1376</v>
      </c>
    </row>
    <row r="3" spans="2:31" x14ac:dyDescent="0.3">
      <c r="B3" t="s">
        <v>1371</v>
      </c>
      <c r="C3" s="114" t="s">
        <v>206</v>
      </c>
      <c r="D3" t="str">
        <f>"Вводов: "&amp;_xlfn.XLOOKUP($C$3,Щиты[Щит],Щиты[Вводов],"")&amp;", АВР: "&amp;_xlfn.XLOOKUP($C$3,Щиты[Щит],Щиты[АВР],"")&amp;", ИБП питается от: "&amp;_xlfn.XLOOKUP($C$3,Щиты[Щит],Щиты[ИБП от],"Ввод 1")</f>
        <v>Вводов: 1, АВР: нет, ИБП питается от: Ввод 1</v>
      </c>
      <c r="E3" t="s">
        <v>1370</v>
      </c>
      <c r="AA3" cm="1">
        <f t="array" ref="AA3:AA72">--(ISNUMBER(SEARCH("|"&amp;$C$3&amp;"|",Линии[_путь щита]))*(Линии[Номер линии]&lt;&gt;""))</f>
        <v>0</v>
      </c>
      <c r="AB3" t="str" cm="1">
        <f t="array" ref="AB3:AB72">IFERROR(_xlfn.TEXTBEFORE(_xlfn.TEXTAFTER(Линии[_путь щита],"|"&amp;$C$3&amp;"|"),"|"),"")</f>
        <v/>
      </c>
      <c r="AC3" t="str" cm="1">
        <f t="array" ref="AC3:AC72">IF(_xlfn.ANCHORARRAY(AB3)="",Линии[Источник для режимов],_xlfn.XLOOKUP(_xlfn.ANCHORARRAY(AB3),Щиты[Щит],Щиты[Источник фидера],"Ввод 1"))</f>
        <v/>
      </c>
      <c r="AD3" t="str" cm="1">
        <f t="array" ref="AD3:AD72">IF(_xlfn.ANCHORARRAY(AB3)="",Линии[Пожарная (итог)],IF(_xlfn.XLOOKUP(_xlfn.ANCHORARRAY(AB3),Щиты[Щит],Щиты[Пожарный фидер],"нет")="да","да",Линии[Пожарная (итог)]))</f>
        <v/>
      </c>
      <c r="AE3" t="str" cm="1">
        <f t="array" ref="AE3:AE72">Линии[Категория (итог)]</f>
        <v/>
      </c>
    </row>
    <row r="4" spans="2:31" x14ac:dyDescent="0.3">
      <c r="AA4">
        <v>0</v>
      </c>
      <c r="AB4" t="str">
        <v/>
      </c>
      <c r="AC4" t="str">
        <v/>
      </c>
      <c r="AD4" t="str">
        <v/>
      </c>
      <c r="AE4" t="str">
        <v/>
      </c>
    </row>
    <row r="5" spans="2:31" x14ac:dyDescent="0.3">
      <c r="B5" t="s">
        <v>1377</v>
      </c>
      <c r="C5" cm="1">
        <f t="array" ref="C5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r,_xlpm.РАСЧЁТ(_xlfn.ANCHORARRAY(AA3)*(_xlfn.ANCHORARRAY(AC3)="ИБП")*(_xlfn.ANCHORARRAY(AD3)="нет"),0,0),INDEX(_xlpm.r,5)/ИБП_КПД*(1+ИБП_заряд)))</f>
        <v>0</v>
      </c>
      <c r="D5">
        <f>C5*TAN(ACOS(ИБП_cos_вх))</f>
        <v>0</v>
      </c>
      <c r="E5" s="116" t="str">
        <f>_xlfn.XLOOKUP($C$3,Щиты[Щит],Щиты[ИБП от],"Ввод 1")&amp;""</f>
        <v>Ввод 1</v>
      </c>
      <c r="AA5">
        <v>0</v>
      </c>
      <c r="AB5" t="str">
        <v/>
      </c>
      <c r="AC5" t="str">
        <v/>
      </c>
      <c r="AD5" t="str">
        <v/>
      </c>
      <c r="AE5" t="str">
        <v/>
      </c>
    </row>
    <row r="6" spans="2:31" x14ac:dyDescent="0.3">
      <c r="AA6">
        <v>0</v>
      </c>
      <c r="AB6" t="str">
        <v/>
      </c>
      <c r="AC6" t="str">
        <v/>
      </c>
      <c r="AD6" t="str">
        <v/>
      </c>
      <c r="AE6" t="str">
        <v/>
      </c>
    </row>
    <row r="7" spans="2:31" x14ac:dyDescent="0.3">
      <c r="B7" s="36" t="s">
        <v>1378</v>
      </c>
      <c r="AA7">
        <v>0</v>
      </c>
      <c r="AB7" t="str">
        <v/>
      </c>
      <c r="AC7" t="str">
        <v/>
      </c>
      <c r="AD7" t="str">
        <v/>
      </c>
      <c r="AE7" t="str">
        <v/>
      </c>
    </row>
    <row r="8" spans="2:31" x14ac:dyDescent="0.3">
      <c r="B8" s="117" t="s">
        <v>986</v>
      </c>
      <c r="C8" s="118" t="s">
        <v>1026</v>
      </c>
      <c r="D8" s="118" t="s">
        <v>1039</v>
      </c>
      <c r="E8" s="118" t="s">
        <v>1040</v>
      </c>
      <c r="F8" s="118" t="s">
        <v>1041</v>
      </c>
      <c r="G8" s="118" t="s">
        <v>1042</v>
      </c>
      <c r="H8" s="118" t="s">
        <v>1379</v>
      </c>
      <c r="AA8">
        <v>0</v>
      </c>
      <c r="AB8" t="str">
        <v/>
      </c>
      <c r="AC8" t="str">
        <v/>
      </c>
      <c r="AD8" t="str">
        <v/>
      </c>
      <c r="AE8" t="str">
        <v/>
      </c>
    </row>
    <row r="9" spans="2:31" x14ac:dyDescent="0.3">
      <c r="B9" t="s">
        <v>991</v>
      </c>
      <c r="C9" s="6" cm="1">
        <f t="array" ref="C9:C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1")*(_xlfn.ANCHORARRAY(AD3)="нет"),IF(OR($E$5="Ввод 1"),$C$5,0),IF(OR($E$5="Ввод 1"),$D$5,0)))</f>
        <v>5.5200000000000005</v>
      </c>
      <c r="D9" s="6" cm="1">
        <f t="array" ref="D9:D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2")*(_xlfn.ANCHORARRAY(AD3)="нет"),IF(OR($E$5="Ввод 2"),$C$5,0),IF(OR($E$5="Ввод 2"),$D$5,0)))</f>
        <v>0</v>
      </c>
      <c r="E9" s="6" cm="1">
        <f t="array" ref="E9:E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3")*(_xlfn.ANCHORARRAY(AD3)="нет"),IF(OR($E$5="Ввод 3"),$C$5,0),IF(OR($E$5="Ввод 3"),$D$5,0)))</f>
        <v>0</v>
      </c>
      <c r="F9" s="6" cm="1">
        <f t="array" ref="F9:F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ИБП")*(_xlfn.ANCHORARRAY(AD3)="нет"),0,0))</f>
        <v>0</v>
      </c>
      <c r="G9" s="6" cm="1">
        <f t="array" ref="G9:G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ДГУ")*(_xlfn.ANCHORARRAY(AD3)="нет"),0,0))</f>
        <v>0</v>
      </c>
      <c r="H9" s="6" cm="1">
        <f t="array" ref="H9:H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(_xlfn.ANCHORARRAY(AC3)="Ввод 1")+(_xlfn.ANCHORARRAY(AC3)="Ввод 2")+(_xlfn.ANCHORARRAY(AC3)="Ввод 3"))*(_xlfn.ANCHORARRAY(AD3)="нет"),IF(OR($E$5="Ввод 1",$E$5="Ввод 2",$E$5="Ввод 3"),$C$5,0),IF(OR($E$5="Ввод 1",$E$5="Ввод 2",$E$5="Ввод 3"),$D$5,0)))</f>
        <v>5.5200000000000005</v>
      </c>
      <c r="AA9">
        <v>0</v>
      </c>
      <c r="AB9" t="str">
        <v/>
      </c>
      <c r="AC9" t="str">
        <v/>
      </c>
      <c r="AD9" t="str">
        <v/>
      </c>
      <c r="AE9" t="str">
        <v/>
      </c>
    </row>
    <row r="10" spans="2:31" x14ac:dyDescent="0.3">
      <c r="B10" t="s">
        <v>1380</v>
      </c>
      <c r="C10" s="6">
        <v>0.8</v>
      </c>
      <c r="D10" s="6">
        <v>0</v>
      </c>
      <c r="E10" s="6">
        <v>0</v>
      </c>
      <c r="F10" s="6">
        <v>0</v>
      </c>
      <c r="G10" s="6">
        <v>0</v>
      </c>
      <c r="H10" s="6">
        <v>0.8</v>
      </c>
      <c r="AA10">
        <v>0</v>
      </c>
      <c r="AB10" t="str">
        <v/>
      </c>
      <c r="AC10" t="str">
        <v/>
      </c>
      <c r="AD10" t="str">
        <v/>
      </c>
      <c r="AE10" t="str">
        <v/>
      </c>
    </row>
    <row r="11" spans="2:31" x14ac:dyDescent="0.3">
      <c r="B11" t="s">
        <v>987</v>
      </c>
      <c r="C11" s="6">
        <v>0.94999999999999973</v>
      </c>
      <c r="D11" s="6">
        <v>0</v>
      </c>
      <c r="E11" s="6">
        <v>0</v>
      </c>
      <c r="F11" s="6">
        <v>0</v>
      </c>
      <c r="G11" s="6">
        <v>0</v>
      </c>
      <c r="H11" s="6">
        <v>0.94999999999999973</v>
      </c>
      <c r="AA11">
        <v>0</v>
      </c>
      <c r="AB11" t="str">
        <v/>
      </c>
      <c r="AC11" t="str">
        <v/>
      </c>
      <c r="AD11" t="str">
        <v/>
      </c>
      <c r="AE11" t="str">
        <v/>
      </c>
    </row>
    <row r="12" spans="2:31" x14ac:dyDescent="0.3">
      <c r="B12" t="s">
        <v>1001</v>
      </c>
      <c r="C12" s="6">
        <v>0.32868410517886398</v>
      </c>
      <c r="D12" s="6">
        <v>0</v>
      </c>
      <c r="E12" s="6">
        <v>0</v>
      </c>
      <c r="F12" s="6">
        <v>0</v>
      </c>
      <c r="G12" s="6">
        <v>0</v>
      </c>
      <c r="H12" s="6">
        <v>0.32868410517886398</v>
      </c>
      <c r="AA12">
        <v>0</v>
      </c>
      <c r="AB12" t="str">
        <v/>
      </c>
      <c r="AC12" t="str">
        <v/>
      </c>
      <c r="AD12" t="str">
        <v/>
      </c>
      <c r="AE12" t="str">
        <v/>
      </c>
    </row>
    <row r="13" spans="2:31" x14ac:dyDescent="0.3">
      <c r="B13" t="s">
        <v>1036</v>
      </c>
      <c r="C13" s="6">
        <v>4.4160000000000004</v>
      </c>
      <c r="D13" s="6">
        <v>0</v>
      </c>
      <c r="E13" s="6">
        <v>0</v>
      </c>
      <c r="F13" s="6">
        <v>0</v>
      </c>
      <c r="G13" s="6">
        <v>0</v>
      </c>
      <c r="H13" s="6">
        <v>4.4160000000000004</v>
      </c>
      <c r="AA13">
        <v>0</v>
      </c>
      <c r="AB13" t="str">
        <v/>
      </c>
      <c r="AC13" t="str">
        <v/>
      </c>
      <c r="AD13" t="str">
        <v/>
      </c>
      <c r="AE13" t="str">
        <v/>
      </c>
    </row>
    <row r="14" spans="2:31" x14ac:dyDescent="0.3">
      <c r="B14" t="s">
        <v>1037</v>
      </c>
      <c r="C14" s="6">
        <v>1.4514690084698634</v>
      </c>
      <c r="D14" s="6">
        <v>0</v>
      </c>
      <c r="E14" s="6">
        <v>0</v>
      </c>
      <c r="F14" s="6">
        <v>0</v>
      </c>
      <c r="G14" s="6">
        <v>0</v>
      </c>
      <c r="H14" s="6">
        <v>1.4514690084698634</v>
      </c>
      <c r="AA14">
        <v>0</v>
      </c>
      <c r="AB14" t="str">
        <v/>
      </c>
      <c r="AC14" t="str">
        <v/>
      </c>
      <c r="AD14" t="str">
        <v/>
      </c>
      <c r="AE14" t="str">
        <v/>
      </c>
    </row>
    <row r="15" spans="2:31" x14ac:dyDescent="0.3">
      <c r="B15" t="s">
        <v>1038</v>
      </c>
      <c r="C15" s="6">
        <v>4.6484210526315808</v>
      </c>
      <c r="D15" s="6">
        <v>0</v>
      </c>
      <c r="E15" s="6">
        <v>0</v>
      </c>
      <c r="F15" s="6">
        <v>0</v>
      </c>
      <c r="G15" s="6">
        <v>0</v>
      </c>
      <c r="H15" s="6">
        <v>4.6484210526315808</v>
      </c>
      <c r="AA15">
        <v>0</v>
      </c>
      <c r="AB15" t="str">
        <v/>
      </c>
      <c r="AC15" t="str">
        <v/>
      </c>
      <c r="AD15" t="str">
        <v/>
      </c>
      <c r="AE15" t="str">
        <v/>
      </c>
    </row>
    <row r="16" spans="2:31" x14ac:dyDescent="0.3">
      <c r="B16" t="s">
        <v>993</v>
      </c>
      <c r="C16" s="6">
        <v>6.7094178651089171</v>
      </c>
      <c r="D16" s="6">
        <v>0</v>
      </c>
      <c r="E16" s="6">
        <v>0</v>
      </c>
      <c r="F16" s="6">
        <v>0</v>
      </c>
      <c r="G16" s="6">
        <v>0</v>
      </c>
      <c r="H16" s="6">
        <v>6.7094178651089171</v>
      </c>
      <c r="AA16">
        <v>0</v>
      </c>
      <c r="AB16" t="str">
        <v/>
      </c>
      <c r="AC16" t="str">
        <v/>
      </c>
      <c r="AD16" t="str">
        <v/>
      </c>
      <c r="AE16" t="str">
        <v/>
      </c>
    </row>
    <row r="17" spans="2:31" x14ac:dyDescent="0.3">
      <c r="AA17">
        <v>0</v>
      </c>
      <c r="AB17" t="str">
        <v/>
      </c>
      <c r="AC17" t="str">
        <v/>
      </c>
      <c r="AD17" t="str">
        <v/>
      </c>
      <c r="AE17" t="str">
        <v/>
      </c>
    </row>
    <row r="18" spans="2:31" x14ac:dyDescent="0.3">
      <c r="B18" s="36" t="s">
        <v>1381</v>
      </c>
      <c r="AA18">
        <v>0</v>
      </c>
      <c r="AB18" t="str">
        <v/>
      </c>
      <c r="AC18" t="str">
        <v/>
      </c>
      <c r="AD18" t="str">
        <v/>
      </c>
      <c r="AE18" t="str">
        <v/>
      </c>
    </row>
    <row r="19" spans="2:31" x14ac:dyDescent="0.3">
      <c r="B19" s="117" t="s">
        <v>986</v>
      </c>
      <c r="C19" s="118" t="s">
        <v>1039</v>
      </c>
      <c r="D19" s="118" t="s">
        <v>1040</v>
      </c>
      <c r="AA19">
        <v>0</v>
      </c>
      <c r="AB19" t="str">
        <v/>
      </c>
      <c r="AC19" t="str">
        <v/>
      </c>
      <c r="AD19" t="str">
        <v/>
      </c>
      <c r="AE19" t="str">
        <v/>
      </c>
    </row>
    <row r="20" spans="2:31" x14ac:dyDescent="0.3">
      <c r="B20" t="s">
        <v>991</v>
      </c>
      <c r="C20" s="6" cm="1">
        <f t="array" ref="C20:C27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(_xlfn.ANCHORARRAY(AC3)="Ввод 1")+(_xlfn.ANCHORARRAY(AC3)="Ввод 2"))*(_xlfn.ANCHORARRAY(AD3)="нет"),IF(OR($E$5="Ввод 1",$E$5="Ввод 2"),$C$5,0),IF(OR($E$5="Ввод 1",$E$5="Ввод 2"),$D$5,0)))</f>
        <v>5.5200000000000005</v>
      </c>
      <c r="D20" s="6" cm="1">
        <f t="array" ref="D20:D27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3")*(_xlfn.ANCHORARRAY(AD3)="нет"),IF(OR($E$5="Ввод 3"),$C$5,0),IF(OR($E$5="Ввод 3"),$D$5,0)))</f>
        <v>0</v>
      </c>
      <c r="AA20">
        <v>0</v>
      </c>
      <c r="AB20" t="str">
        <v/>
      </c>
      <c r="AC20" t="str">
        <v/>
      </c>
      <c r="AD20" t="str">
        <v/>
      </c>
      <c r="AE20" t="str">
        <v/>
      </c>
    </row>
    <row r="21" spans="2:31" x14ac:dyDescent="0.3">
      <c r="B21" t="s">
        <v>1380</v>
      </c>
      <c r="C21" s="6">
        <v>0.8</v>
      </c>
      <c r="D21" s="6">
        <v>0</v>
      </c>
      <c r="AA21">
        <v>1</v>
      </c>
      <c r="AB21" t="str">
        <v/>
      </c>
      <c r="AC21" t="str">
        <v>Ввод 1</v>
      </c>
      <c r="AD21" t="str">
        <v>нет</v>
      </c>
      <c r="AE21" t="str">
        <v>III</v>
      </c>
    </row>
    <row r="22" spans="2:31" x14ac:dyDescent="0.3">
      <c r="B22" t="s">
        <v>987</v>
      </c>
      <c r="C22" s="6">
        <v>0.94999999999999973</v>
      </c>
      <c r="D22" s="6">
        <v>0</v>
      </c>
      <c r="AA22">
        <v>1</v>
      </c>
      <c r="AB22" t="str">
        <v/>
      </c>
      <c r="AC22" t="str">
        <v>Ввод 1</v>
      </c>
      <c r="AD22" t="str">
        <v>нет</v>
      </c>
      <c r="AE22" t="str">
        <v>III</v>
      </c>
    </row>
    <row r="23" spans="2:31" x14ac:dyDescent="0.3">
      <c r="B23" t="s">
        <v>1001</v>
      </c>
      <c r="C23" s="6">
        <v>0.32868410517886398</v>
      </c>
      <c r="D23" s="6">
        <v>0</v>
      </c>
      <c r="AA23">
        <v>1</v>
      </c>
      <c r="AB23" t="str">
        <v/>
      </c>
      <c r="AC23" t="str">
        <v>Ввод 1</v>
      </c>
      <c r="AD23" t="str">
        <v>нет</v>
      </c>
      <c r="AE23" t="str">
        <v>III</v>
      </c>
    </row>
    <row r="24" spans="2:31" x14ac:dyDescent="0.3">
      <c r="B24" t="s">
        <v>1036</v>
      </c>
      <c r="C24" s="6">
        <v>4.4160000000000004</v>
      </c>
      <c r="D24" s="6">
        <v>0</v>
      </c>
      <c r="AA24">
        <v>1</v>
      </c>
      <c r="AB24" t="str">
        <v/>
      </c>
      <c r="AC24" t="str">
        <v>Ввод 1</v>
      </c>
      <c r="AD24" t="str">
        <v>нет</v>
      </c>
      <c r="AE24" t="str">
        <v>III</v>
      </c>
    </row>
    <row r="25" spans="2:31" x14ac:dyDescent="0.3">
      <c r="B25" t="s">
        <v>1037</v>
      </c>
      <c r="C25" s="6">
        <v>1.4514690084698634</v>
      </c>
      <c r="D25" s="6">
        <v>0</v>
      </c>
      <c r="AA25">
        <v>1</v>
      </c>
      <c r="AB25" t="str">
        <v/>
      </c>
      <c r="AC25" t="str">
        <v>Ввод 1</v>
      </c>
      <c r="AD25" t="str">
        <v>нет</v>
      </c>
      <c r="AE25" t="str">
        <v>III</v>
      </c>
    </row>
    <row r="26" spans="2:31" x14ac:dyDescent="0.3">
      <c r="B26" t="s">
        <v>1038</v>
      </c>
      <c r="C26" s="6">
        <v>4.6484210526315808</v>
      </c>
      <c r="D26" s="6">
        <v>0</v>
      </c>
      <c r="AA26">
        <v>1</v>
      </c>
      <c r="AB26" t="str">
        <v/>
      </c>
      <c r="AC26" t="str">
        <v>Ввод 1</v>
      </c>
      <c r="AD26" t="str">
        <v>нет</v>
      </c>
      <c r="AE26" t="str">
        <v>III</v>
      </c>
    </row>
    <row r="27" spans="2:31" x14ac:dyDescent="0.3">
      <c r="B27" t="s">
        <v>993</v>
      </c>
      <c r="C27" s="6">
        <v>6.7094178651089171</v>
      </c>
      <c r="D27" s="6">
        <v>0</v>
      </c>
      <c r="AA27">
        <v>1</v>
      </c>
      <c r="AB27" t="str">
        <v/>
      </c>
      <c r="AC27" t="str">
        <v>Ввод 1</v>
      </c>
      <c r="AD27" t="str">
        <v>нет</v>
      </c>
      <c r="AE27" t="str">
        <v>III</v>
      </c>
    </row>
    <row r="28" spans="2:31" x14ac:dyDescent="0.3">
      <c r="AA28">
        <v>1</v>
      </c>
      <c r="AB28" t="str">
        <v/>
      </c>
      <c r="AC28" t="str">
        <v>Ввод 1</v>
      </c>
      <c r="AD28" t="str">
        <v>нет</v>
      </c>
      <c r="AE28" t="str">
        <v>III</v>
      </c>
    </row>
    <row r="29" spans="2:31" x14ac:dyDescent="0.3">
      <c r="B29" s="36" t="s">
        <v>1382</v>
      </c>
      <c r="AA29">
        <v>1</v>
      </c>
      <c r="AB29" t="str">
        <v/>
      </c>
      <c r="AC29" t="str">
        <v>Ввод 1</v>
      </c>
      <c r="AD29" t="str">
        <v>нет</v>
      </c>
      <c r="AE29" t="str">
        <v>III</v>
      </c>
    </row>
    <row r="30" spans="2:31" x14ac:dyDescent="0.3">
      <c r="B30" s="117" t="s">
        <v>986</v>
      </c>
      <c r="C30" s="118" t="s">
        <v>1026</v>
      </c>
      <c r="D30" s="118" t="s">
        <v>1040</v>
      </c>
      <c r="AA30">
        <v>1</v>
      </c>
      <c r="AB30" t="str">
        <v/>
      </c>
      <c r="AC30" t="str">
        <v>Ввод 1</v>
      </c>
      <c r="AD30" t="str">
        <v>нет</v>
      </c>
      <c r="AE30" t="str">
        <v>III</v>
      </c>
    </row>
    <row r="31" spans="2:31" x14ac:dyDescent="0.3">
      <c r="B31" t="s">
        <v>991</v>
      </c>
      <c r="C31" s="6" cm="1">
        <f t="array" ref="C31:C38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(_xlfn.ANCHORARRAY(AC3)="Ввод 1")+(_xlfn.ANCHORARRAY(AC3)="Ввод 2"))*(_xlfn.ANCHORARRAY(AD3)="нет"),IF(OR($E$5="Ввод 1",$E$5="Ввод 2"),$C$5,0),IF(OR($E$5="Ввод 1",$E$5="Ввод 2"),$D$5,0)))</f>
        <v>5.5200000000000005</v>
      </c>
      <c r="D31" s="6" cm="1">
        <f t="array" ref="D31:D38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3")*(_xlfn.ANCHORARRAY(AD3)="нет"),IF(OR($E$5="Ввод 3"),$C$5,0),IF(OR($E$5="Ввод 3"),$D$5,0)))</f>
        <v>0</v>
      </c>
      <c r="AA31">
        <v>1</v>
      </c>
      <c r="AB31" t="str">
        <v/>
      </c>
      <c r="AC31" t="str">
        <v>Ввод 1</v>
      </c>
      <c r="AD31" t="str">
        <v>нет</v>
      </c>
      <c r="AE31" t="str">
        <v>III</v>
      </c>
    </row>
    <row r="32" spans="2:31" x14ac:dyDescent="0.3">
      <c r="B32" t="s">
        <v>1380</v>
      </c>
      <c r="C32" s="6">
        <v>0.8</v>
      </c>
      <c r="D32" s="6">
        <v>0</v>
      </c>
      <c r="AA32">
        <v>1</v>
      </c>
      <c r="AB32" t="str">
        <v/>
      </c>
      <c r="AC32" t="str">
        <v>Ввод 1</v>
      </c>
      <c r="AD32" t="str">
        <v>нет</v>
      </c>
      <c r="AE32" t="str">
        <v>III</v>
      </c>
    </row>
    <row r="33" spans="2:31" x14ac:dyDescent="0.3">
      <c r="B33" t="s">
        <v>987</v>
      </c>
      <c r="C33" s="6">
        <v>0.94999999999999973</v>
      </c>
      <c r="D33" s="6">
        <v>0</v>
      </c>
      <c r="AA33">
        <v>1</v>
      </c>
      <c r="AB33" t="str">
        <v/>
      </c>
      <c r="AC33" t="str">
        <v>Ввод 1</v>
      </c>
      <c r="AD33" t="str">
        <v>нет</v>
      </c>
      <c r="AE33" t="str">
        <v>III</v>
      </c>
    </row>
    <row r="34" spans="2:31" x14ac:dyDescent="0.3">
      <c r="B34" t="s">
        <v>1001</v>
      </c>
      <c r="C34" s="6">
        <v>0.32868410517886398</v>
      </c>
      <c r="D34" s="6">
        <v>0</v>
      </c>
      <c r="AA34">
        <v>1</v>
      </c>
      <c r="AB34" t="str">
        <v/>
      </c>
      <c r="AC34" t="str">
        <v>Ввод 1</v>
      </c>
      <c r="AD34" t="str">
        <v>нет</v>
      </c>
      <c r="AE34" t="str">
        <v>III</v>
      </c>
    </row>
    <row r="35" spans="2:31" x14ac:dyDescent="0.3">
      <c r="B35" t="s">
        <v>1036</v>
      </c>
      <c r="C35" s="6">
        <v>4.4160000000000004</v>
      </c>
      <c r="D35" s="6">
        <v>0</v>
      </c>
      <c r="AA35">
        <v>1</v>
      </c>
      <c r="AB35" t="str">
        <v/>
      </c>
      <c r="AC35" t="str">
        <v>Ввод 1</v>
      </c>
      <c r="AD35" t="str">
        <v>нет</v>
      </c>
      <c r="AE35" t="str">
        <v>III</v>
      </c>
    </row>
    <row r="36" spans="2:31" x14ac:dyDescent="0.3">
      <c r="B36" t="s">
        <v>1037</v>
      </c>
      <c r="C36" s="6">
        <v>1.4514690084698634</v>
      </c>
      <c r="D36" s="6">
        <v>0</v>
      </c>
      <c r="AA36">
        <v>1</v>
      </c>
      <c r="AB36" t="str">
        <v/>
      </c>
      <c r="AC36" t="str">
        <v>Ввод 1</v>
      </c>
      <c r="AD36" t="str">
        <v>нет</v>
      </c>
      <c r="AE36" t="str">
        <v>III</v>
      </c>
    </row>
    <row r="37" spans="2:31" x14ac:dyDescent="0.3">
      <c r="B37" t="s">
        <v>1038</v>
      </c>
      <c r="C37" s="6">
        <v>4.6484210526315808</v>
      </c>
      <c r="D37" s="6">
        <v>0</v>
      </c>
      <c r="AA37">
        <v>1</v>
      </c>
      <c r="AB37" t="str">
        <v/>
      </c>
      <c r="AC37" t="str">
        <v>Ввод 1</v>
      </c>
      <c r="AD37" t="str">
        <v>нет</v>
      </c>
      <c r="AE37" t="str">
        <v>III</v>
      </c>
    </row>
    <row r="38" spans="2:31" x14ac:dyDescent="0.3">
      <c r="B38" t="s">
        <v>993</v>
      </c>
      <c r="C38" s="6">
        <v>6.7094178651089171</v>
      </c>
      <c r="D38" s="6">
        <v>0</v>
      </c>
      <c r="AA38">
        <v>1</v>
      </c>
      <c r="AB38" t="str">
        <v/>
      </c>
      <c r="AC38" t="str">
        <v>Ввод 1</v>
      </c>
      <c r="AD38" t="str">
        <v>нет</v>
      </c>
      <c r="AE38" t="str">
        <v>III</v>
      </c>
    </row>
    <row r="39" spans="2:31" x14ac:dyDescent="0.3">
      <c r="AA39">
        <v>1</v>
      </c>
      <c r="AB39" t="str">
        <v/>
      </c>
      <c r="AC39" t="str">
        <v>Ввод 1</v>
      </c>
      <c r="AD39" t="str">
        <v>нет</v>
      </c>
      <c r="AE39" t="str">
        <v>III</v>
      </c>
    </row>
    <row r="40" spans="2:31" x14ac:dyDescent="0.3">
      <c r="B40" s="36" t="s">
        <v>1383</v>
      </c>
      <c r="AA40">
        <v>1</v>
      </c>
      <c r="AB40" t="str">
        <v/>
      </c>
      <c r="AC40" t="str">
        <v>Ввод 1</v>
      </c>
      <c r="AD40" t="str">
        <v>нет</v>
      </c>
      <c r="AE40" t="str">
        <v>III</v>
      </c>
    </row>
    <row r="41" spans="2:31" x14ac:dyDescent="0.3">
      <c r="B41" s="117" t="s">
        <v>986</v>
      </c>
      <c r="C41" s="118" t="s">
        <v>1041</v>
      </c>
      <c r="D41" s="118" t="s">
        <v>1042</v>
      </c>
      <c r="AA41">
        <v>1</v>
      </c>
      <c r="AB41" t="str">
        <v/>
      </c>
      <c r="AC41" t="str">
        <v>Ввод 1</v>
      </c>
      <c r="AD41" t="str">
        <v>нет</v>
      </c>
      <c r="AE41" t="str">
        <v>III</v>
      </c>
    </row>
    <row r="42" spans="2:31" x14ac:dyDescent="0.3">
      <c r="B42" t="s">
        <v>991</v>
      </c>
      <c r="C42" s="6" cm="1">
        <f t="array" ref="C42:C49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ИБП")*(_xlfn.ANCHORARRAY(AD3)="нет"),0,0))</f>
        <v>0</v>
      </c>
      <c r="D42" s="6" cm="1">
        <f t="array" ref="D42:D49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ДГУ")*(_xlfn.ANCHORARRAY(AD3)="нет"),0,0))</f>
        <v>0</v>
      </c>
      <c r="AA42">
        <v>1</v>
      </c>
      <c r="AB42" t="str">
        <v/>
      </c>
      <c r="AC42" t="str">
        <v>Ввод 1</v>
      </c>
      <c r="AD42" t="str">
        <v>нет</v>
      </c>
      <c r="AE42" t="str">
        <v>III</v>
      </c>
    </row>
    <row r="43" spans="2:31" x14ac:dyDescent="0.3">
      <c r="B43" t="s">
        <v>1380</v>
      </c>
      <c r="C43" s="6">
        <v>0</v>
      </c>
      <c r="D43" s="6">
        <v>0</v>
      </c>
      <c r="AA43">
        <v>1</v>
      </c>
      <c r="AB43" t="str">
        <v/>
      </c>
      <c r="AC43" t="str">
        <v>Ввод 1</v>
      </c>
      <c r="AD43" t="str">
        <v>нет</v>
      </c>
      <c r="AE43" t="str">
        <v>III</v>
      </c>
    </row>
    <row r="44" spans="2:31" x14ac:dyDescent="0.3">
      <c r="B44" t="s">
        <v>987</v>
      </c>
      <c r="C44" s="6">
        <v>0</v>
      </c>
      <c r="D44" s="6">
        <v>0</v>
      </c>
      <c r="AA44">
        <v>1</v>
      </c>
      <c r="AB44" t="str">
        <v/>
      </c>
      <c r="AC44" t="str">
        <v>Ввод 1</v>
      </c>
      <c r="AD44" t="str">
        <v>нет</v>
      </c>
      <c r="AE44" t="str">
        <v>III</v>
      </c>
    </row>
    <row r="45" spans="2:31" x14ac:dyDescent="0.3">
      <c r="B45" t="s">
        <v>1001</v>
      </c>
      <c r="C45" s="6">
        <v>0</v>
      </c>
      <c r="D45" s="6">
        <v>0</v>
      </c>
      <c r="AA45">
        <v>1</v>
      </c>
      <c r="AB45" t="str">
        <v/>
      </c>
      <c r="AC45" t="str">
        <v>Ввод 1</v>
      </c>
      <c r="AD45" t="str">
        <v>нет</v>
      </c>
      <c r="AE45" t="str">
        <v>III</v>
      </c>
    </row>
    <row r="46" spans="2:31" x14ac:dyDescent="0.3">
      <c r="B46" t="s">
        <v>1036</v>
      </c>
      <c r="C46" s="6">
        <v>0</v>
      </c>
      <c r="D46" s="6">
        <v>0</v>
      </c>
      <c r="AA46">
        <v>1</v>
      </c>
      <c r="AB46" t="str">
        <v/>
      </c>
      <c r="AC46" t="str">
        <v>Ввод 1</v>
      </c>
      <c r="AD46" t="str">
        <v>нет</v>
      </c>
      <c r="AE46" t="str">
        <v>III</v>
      </c>
    </row>
    <row r="47" spans="2:31" x14ac:dyDescent="0.3">
      <c r="B47" t="s">
        <v>1037</v>
      </c>
      <c r="C47" s="6">
        <v>0</v>
      </c>
      <c r="D47" s="6">
        <v>0</v>
      </c>
      <c r="AA47">
        <v>1</v>
      </c>
      <c r="AB47" t="str">
        <v/>
      </c>
      <c r="AC47" t="str">
        <v>Ввод 1</v>
      </c>
      <c r="AD47" t="str">
        <v>нет</v>
      </c>
      <c r="AE47" t="str">
        <v>III</v>
      </c>
    </row>
    <row r="48" spans="2:31" x14ac:dyDescent="0.3">
      <c r="B48" t="s">
        <v>1038</v>
      </c>
      <c r="C48" s="6">
        <v>0</v>
      </c>
      <c r="D48" s="6">
        <v>0</v>
      </c>
      <c r="AA48">
        <v>1</v>
      </c>
      <c r="AB48" t="str">
        <v/>
      </c>
      <c r="AC48" t="str">
        <v>Ввод 1</v>
      </c>
      <c r="AD48" t="str">
        <v>нет</v>
      </c>
      <c r="AE48" t="str">
        <v>III</v>
      </c>
    </row>
    <row r="49" spans="2:31" x14ac:dyDescent="0.3">
      <c r="B49" t="s">
        <v>993</v>
      </c>
      <c r="C49" s="6">
        <v>0</v>
      </c>
      <c r="D49" s="6">
        <v>0</v>
      </c>
      <c r="AA49">
        <v>1</v>
      </c>
      <c r="AB49" t="str">
        <v/>
      </c>
      <c r="AC49" t="str">
        <v>Ввод 1</v>
      </c>
      <c r="AD49" t="str">
        <v>нет</v>
      </c>
      <c r="AE49" t="str">
        <v>III</v>
      </c>
    </row>
    <row r="50" spans="2:31" x14ac:dyDescent="0.3">
      <c r="AA50">
        <v>1</v>
      </c>
      <c r="AB50" t="str">
        <v/>
      </c>
      <c r="AC50" t="str">
        <v>Ввод 1</v>
      </c>
      <c r="AD50" t="str">
        <v>нет</v>
      </c>
      <c r="AE50" t="str">
        <v>III</v>
      </c>
    </row>
    <row r="51" spans="2:31" x14ac:dyDescent="0.3">
      <c r="B51" s="36" t="s">
        <v>1384</v>
      </c>
      <c r="AA51">
        <v>1</v>
      </c>
      <c r="AB51" t="str">
        <v/>
      </c>
      <c r="AC51" t="str">
        <v>Ввод 1</v>
      </c>
      <c r="AD51" t="str">
        <v>нет</v>
      </c>
      <c r="AE51" t="str">
        <v>III</v>
      </c>
    </row>
    <row r="52" spans="2:31" x14ac:dyDescent="0.3">
      <c r="B52" s="117" t="s">
        <v>986</v>
      </c>
      <c r="C52" s="118" t="s">
        <v>1026</v>
      </c>
      <c r="D52" s="118" t="s">
        <v>1039</v>
      </c>
      <c r="E52" s="118" t="s">
        <v>1040</v>
      </c>
      <c r="F52" s="118" t="s">
        <v>1041</v>
      </c>
      <c r="G52" s="118" t="s">
        <v>1042</v>
      </c>
      <c r="H52" s="118" t="s">
        <v>1043</v>
      </c>
      <c r="AA52">
        <v>1</v>
      </c>
      <c r="AB52" t="str">
        <v/>
      </c>
      <c r="AC52" t="str">
        <v>Ввод 1</v>
      </c>
      <c r="AD52" t="str">
        <v>нет</v>
      </c>
      <c r="AE52" t="str">
        <v>III</v>
      </c>
    </row>
    <row r="53" spans="2:31" x14ac:dyDescent="0.3">
      <c r="B53" t="s">
        <v>991</v>
      </c>
      <c r="C53" s="6" cm="1">
        <f t="array" ref="C53:C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1")*(_xlfn.ANCHORARRAY(AD3)="да"),0,0))</f>
        <v>0</v>
      </c>
      <c r="D53" s="6" cm="1">
        <f t="array" ref="D53:D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2")*(_xlfn.ANCHORARRAY(AD3)="да"),0,0))</f>
        <v>0</v>
      </c>
      <c r="E53" s="6" cm="1">
        <f t="array" ref="E53:E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3")*(_xlfn.ANCHORARRAY(AD3)="да"),0,0))</f>
        <v>0</v>
      </c>
      <c r="F53" s="6" cm="1">
        <f t="array" ref="F53:F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ИБП")*(_xlfn.ANCHORARRAY(AD3)="да"),0,0))</f>
        <v>0</v>
      </c>
      <c r="G53" s="6" cm="1">
        <f t="array" ref="G53:G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ДГУ")*(_xlfn.ANCHORARRAY(AD3)="да"),0,0))</f>
        <v>0</v>
      </c>
      <c r="H53" s="6" cm="1">
        <f t="array" ref="H53:H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D3)="да"),0,0))</f>
        <v>0</v>
      </c>
      <c r="AA53">
        <v>1</v>
      </c>
      <c r="AB53" t="str">
        <v/>
      </c>
      <c r="AC53" t="str">
        <v>Ввод 1</v>
      </c>
      <c r="AD53" t="str">
        <v>нет</v>
      </c>
      <c r="AE53" t="str">
        <v>III</v>
      </c>
    </row>
    <row r="54" spans="2:31" x14ac:dyDescent="0.3">
      <c r="B54" t="s">
        <v>1380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AA54">
        <v>1</v>
      </c>
      <c r="AB54" t="str">
        <v/>
      </c>
      <c r="AC54" t="str">
        <v>Ввод 1</v>
      </c>
      <c r="AD54" t="str">
        <v>нет</v>
      </c>
      <c r="AE54" t="str">
        <v>III</v>
      </c>
    </row>
    <row r="55" spans="2:31" x14ac:dyDescent="0.3">
      <c r="B55" t="s">
        <v>987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AA55">
        <v>1</v>
      </c>
      <c r="AB55" t="str">
        <v/>
      </c>
      <c r="AC55" t="str">
        <v>Ввод 1</v>
      </c>
      <c r="AD55" t="str">
        <v>нет</v>
      </c>
      <c r="AE55" t="str">
        <v>III</v>
      </c>
    </row>
    <row r="56" spans="2:31" x14ac:dyDescent="0.3">
      <c r="B56" t="s">
        <v>1001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AA56">
        <v>1</v>
      </c>
      <c r="AB56" t="str">
        <v/>
      </c>
      <c r="AC56" t="str">
        <v>Ввод 1</v>
      </c>
      <c r="AD56" t="str">
        <v>нет</v>
      </c>
      <c r="AE56" t="str">
        <v>III</v>
      </c>
    </row>
    <row r="57" spans="2:31" x14ac:dyDescent="0.3">
      <c r="B57" t="s">
        <v>1036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AA57">
        <v>1</v>
      </c>
      <c r="AB57" t="str">
        <v/>
      </c>
      <c r="AC57" t="str">
        <v>Ввод 1</v>
      </c>
      <c r="AD57" t="str">
        <v>нет</v>
      </c>
      <c r="AE57" t="str">
        <v>III</v>
      </c>
    </row>
    <row r="58" spans="2:31" x14ac:dyDescent="0.3">
      <c r="B58" t="s">
        <v>1037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AA58">
        <v>1</v>
      </c>
      <c r="AB58" t="str">
        <v/>
      </c>
      <c r="AC58" t="str">
        <v>Ввод 1</v>
      </c>
      <c r="AD58" t="str">
        <v>нет</v>
      </c>
      <c r="AE58" t="str">
        <v>III</v>
      </c>
    </row>
    <row r="59" spans="2:31" x14ac:dyDescent="0.3">
      <c r="B59" t="s">
        <v>1038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AA59">
        <v>1</v>
      </c>
      <c r="AB59" t="str">
        <v/>
      </c>
      <c r="AC59" t="str">
        <v>Ввод 1</v>
      </c>
      <c r="AD59" t="str">
        <v>нет</v>
      </c>
      <c r="AE59" t="str">
        <v>III</v>
      </c>
    </row>
    <row r="60" spans="2:31" x14ac:dyDescent="0.3">
      <c r="B60" t="s">
        <v>993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AA60">
        <v>1</v>
      </c>
      <c r="AB60" t="str">
        <v/>
      </c>
      <c r="AC60" t="str">
        <v>Ввод 1</v>
      </c>
      <c r="AD60" t="str">
        <v>нет</v>
      </c>
      <c r="AE60" t="str">
        <v>III</v>
      </c>
    </row>
    <row r="61" spans="2:31" x14ac:dyDescent="0.3">
      <c r="AA61">
        <v>1</v>
      </c>
      <c r="AB61" t="str">
        <v/>
      </c>
      <c r="AC61" t="str">
        <v>Ввод 1</v>
      </c>
      <c r="AD61" t="str">
        <v>нет</v>
      </c>
      <c r="AE61" t="str">
        <v>III</v>
      </c>
    </row>
    <row r="62" spans="2:31" x14ac:dyDescent="0.3">
      <c r="B62" s="36" t="s">
        <v>1385</v>
      </c>
      <c r="AA62">
        <v>1</v>
      </c>
      <c r="AB62" t="str">
        <v/>
      </c>
      <c r="AC62" t="str">
        <v>Ввод 1</v>
      </c>
      <c r="AD62" t="str">
        <v>нет</v>
      </c>
      <c r="AE62" t="str">
        <v>III</v>
      </c>
    </row>
    <row r="63" spans="2:31" x14ac:dyDescent="0.3">
      <c r="B63" s="117" t="s">
        <v>986</v>
      </c>
      <c r="C63" s="118" t="s">
        <v>1379</v>
      </c>
      <c r="AA63">
        <v>1</v>
      </c>
      <c r="AB63" t="str">
        <v/>
      </c>
      <c r="AC63" t="str">
        <v>Ввод 1</v>
      </c>
      <c r="AD63" t="str">
        <v>нет</v>
      </c>
      <c r="AE63" t="str">
        <v>III</v>
      </c>
    </row>
    <row r="64" spans="2:31" x14ac:dyDescent="0.3">
      <c r="B64" t="s">
        <v>991</v>
      </c>
      <c r="C64" s="6" cm="1">
        <f t="array" ref="C64:C71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(_xlfn.ANCHORARRAY(AC3)="Ввод 1")+(_xlfn.ANCHORARRAY(AC3)="Ввод 2")+(_xlfn.ANCHORARRAY(AC3)="Ввод 3")),IF(OR($E$5="Ввод 1",$E$5="Ввод 2",$E$5="Ввод 3"),$C$5,0),IF(OR($E$5="Ввод 1",$E$5="Ввод 2",$E$5="Ввод 3"),$D$5,0)))</f>
        <v>5.5200000000000005</v>
      </c>
      <c r="AA64">
        <v>1</v>
      </c>
      <c r="AB64" t="str">
        <v/>
      </c>
      <c r="AC64" t="str">
        <v>Ввод 1</v>
      </c>
      <c r="AD64" t="str">
        <v>нет</v>
      </c>
      <c r="AE64" t="str">
        <v>III</v>
      </c>
    </row>
    <row r="65" spans="2:31" x14ac:dyDescent="0.3">
      <c r="B65" t="s">
        <v>1380</v>
      </c>
      <c r="C65" s="6">
        <v>0.8</v>
      </c>
      <c r="AA65">
        <v>1</v>
      </c>
      <c r="AB65" t="str">
        <v/>
      </c>
      <c r="AC65" t="str">
        <v>Ввод 1</v>
      </c>
      <c r="AD65" t="str">
        <v>нет</v>
      </c>
      <c r="AE65" t="str">
        <v>III</v>
      </c>
    </row>
    <row r="66" spans="2:31" x14ac:dyDescent="0.3">
      <c r="B66" t="s">
        <v>987</v>
      </c>
      <c r="C66" s="6">
        <v>0.94999999999999973</v>
      </c>
      <c r="AA66">
        <v>1</v>
      </c>
      <c r="AB66" t="str">
        <v/>
      </c>
      <c r="AC66" t="str">
        <v>Ввод 1</v>
      </c>
      <c r="AD66" t="str">
        <v>нет</v>
      </c>
      <c r="AE66" t="str">
        <v>III</v>
      </c>
    </row>
    <row r="67" spans="2:31" x14ac:dyDescent="0.3">
      <c r="B67" t="s">
        <v>1001</v>
      </c>
      <c r="C67" s="6">
        <v>0.32868410517886398</v>
      </c>
      <c r="AA67">
        <v>1</v>
      </c>
      <c r="AB67" t="str">
        <v/>
      </c>
      <c r="AC67" t="str">
        <v>Ввод 1</v>
      </c>
      <c r="AD67" t="str">
        <v>нет</v>
      </c>
      <c r="AE67" t="str">
        <v>III</v>
      </c>
    </row>
    <row r="68" spans="2:31" x14ac:dyDescent="0.3">
      <c r="B68" t="s">
        <v>1036</v>
      </c>
      <c r="C68" s="6">
        <v>4.4160000000000004</v>
      </c>
      <c r="AA68">
        <v>1</v>
      </c>
      <c r="AB68" t="str">
        <v/>
      </c>
      <c r="AC68" t="str">
        <v>Ввод 1</v>
      </c>
      <c r="AD68" t="str">
        <v>нет</v>
      </c>
      <c r="AE68" t="str">
        <v>III</v>
      </c>
    </row>
    <row r="69" spans="2:31" x14ac:dyDescent="0.3">
      <c r="B69" t="s">
        <v>1037</v>
      </c>
      <c r="C69" s="6">
        <v>1.4514690084698634</v>
      </c>
      <c r="AA69">
        <v>1</v>
      </c>
      <c r="AB69" t="str">
        <v/>
      </c>
      <c r="AC69" t="str">
        <v>Ввод 1</v>
      </c>
      <c r="AD69" t="str">
        <v>нет</v>
      </c>
      <c r="AE69" t="str">
        <v>III</v>
      </c>
    </row>
    <row r="70" spans="2:31" x14ac:dyDescent="0.3">
      <c r="B70" t="s">
        <v>1038</v>
      </c>
      <c r="C70" s="6">
        <v>4.6484210526315808</v>
      </c>
      <c r="AA70">
        <v>1</v>
      </c>
      <c r="AB70" t="str">
        <v/>
      </c>
      <c r="AC70" t="str">
        <v>Ввод 1</v>
      </c>
      <c r="AD70" t="str">
        <v>нет</v>
      </c>
      <c r="AE70" t="str">
        <v>III</v>
      </c>
    </row>
    <row r="71" spans="2:31" x14ac:dyDescent="0.3">
      <c r="B71" t="s">
        <v>993</v>
      </c>
      <c r="C71" s="6">
        <v>6.7094178651089171</v>
      </c>
      <c r="AA71">
        <v>1</v>
      </c>
      <c r="AB71" t="str">
        <v/>
      </c>
      <c r="AC71" t="str">
        <v>Ввод 1</v>
      </c>
      <c r="AD71" t="str">
        <v>нет</v>
      </c>
      <c r="AE71" t="str">
        <v>III</v>
      </c>
    </row>
    <row r="72" spans="2:31" x14ac:dyDescent="0.3">
      <c r="AA72">
        <v>1</v>
      </c>
      <c r="AB72" t="str">
        <v/>
      </c>
      <c r="AC72" t="str">
        <v>Ввод 1</v>
      </c>
      <c r="AD72" t="str">
        <v>нет</v>
      </c>
      <c r="AE72" t="str">
        <v>III</v>
      </c>
    </row>
    <row r="73" spans="2:31" x14ac:dyDescent="0.3">
      <c r="B73" s="36" t="s">
        <v>1386</v>
      </c>
    </row>
    <row r="74" spans="2:31" x14ac:dyDescent="0.3">
      <c r="B74" s="117" t="s">
        <v>1002</v>
      </c>
      <c r="C74" s="117" t="s">
        <v>1387</v>
      </c>
      <c r="D74" s="117" t="s">
        <v>991</v>
      </c>
      <c r="E74" s="117" t="s">
        <v>1036</v>
      </c>
      <c r="F74" s="117" t="s">
        <v>1037</v>
      </c>
      <c r="G74" s="117" t="s">
        <v>1038</v>
      </c>
      <c r="H74" s="117" t="s">
        <v>1388</v>
      </c>
      <c r="I74" s="117" t="s">
        <v>1389</v>
      </c>
    </row>
    <row r="75" spans="2:31" x14ac:dyDescent="0.3">
      <c r="B75" t="s">
        <v>1045</v>
      </c>
      <c r="C75" cm="1">
        <f t="array" ref="C75">SUM(_xlfn.ANCHORARRAY(AA3)*(_xlfn.ANCHORARRAY(AE3)="I особая"))</f>
        <v>0</v>
      </c>
      <c r="D75" s="6" cm="1">
        <f t="array" ref="D75:G75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 особая")*(_xlfn.ANCHORARRAY(AD3)="нет"),0,0),_xlfn.HSTACK(INDEX(_xlpm.x,1),INDEX(_xlpm.x,5),INDEX(_xlpm.x,6),INDEX(_xlpm.x,7))))</f>
        <v>0</v>
      </c>
      <c r="E75" s="6">
        <v>0</v>
      </c>
      <c r="F75" s="6">
        <v>0</v>
      </c>
      <c r="G75" s="6">
        <v>0</v>
      </c>
      <c r="H75" s="6" cm="1">
        <f t="array" ref="H75:I75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 особая")*(_xlfn.ANCHORARRAY(AD3)="да"),0,0),_xlfn.HSTACK(INDEX(_xlpm.x,1),INDEX(_xlpm.x,5))))</f>
        <v>0</v>
      </c>
      <c r="I75" s="6">
        <v>0</v>
      </c>
    </row>
    <row r="76" spans="2:31" x14ac:dyDescent="0.3">
      <c r="B76" t="s">
        <v>1046</v>
      </c>
      <c r="C76" cm="1">
        <f t="array" ref="C76">SUM(_xlfn.ANCHORARRAY(AA3)*(_xlfn.ANCHORARRAY(AE3)="I"))</f>
        <v>0</v>
      </c>
      <c r="D76" s="6" cm="1">
        <f t="array" ref="D76:G7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")*(_xlfn.ANCHORARRAY(AD3)="нет"),0,0),_xlfn.HSTACK(INDEX(_xlpm.x,1),INDEX(_xlpm.x,5),INDEX(_xlpm.x,6),INDEX(_xlpm.x,7))))</f>
        <v>0</v>
      </c>
      <c r="E76" s="6">
        <v>0</v>
      </c>
      <c r="F76" s="6">
        <v>0</v>
      </c>
      <c r="G76" s="6">
        <v>0</v>
      </c>
      <c r="H76" s="6" cm="1">
        <f t="array" ref="H76:I7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")*(_xlfn.ANCHORARRAY(AD3)="да"),0,0),_xlfn.HSTACK(INDEX(_xlpm.x,1),INDEX(_xlpm.x,5))))</f>
        <v>0</v>
      </c>
      <c r="I76" s="6">
        <v>0</v>
      </c>
    </row>
    <row r="77" spans="2:31" x14ac:dyDescent="0.3">
      <c r="B77" t="s">
        <v>999</v>
      </c>
      <c r="C77" cm="1">
        <f t="array" ref="C77">SUM(_xlfn.ANCHORARRAY(AA3)*(_xlfn.ANCHORARRAY(AE3)="II"))</f>
        <v>0</v>
      </c>
      <c r="D77" s="6" cm="1">
        <f t="array" ref="D77:G77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I")*(_xlfn.ANCHORARRAY(AD3)="нет"),0,0),_xlfn.HSTACK(INDEX(_xlpm.x,1),INDEX(_xlpm.x,5),INDEX(_xlpm.x,6),INDEX(_xlpm.x,7))))</f>
        <v>0</v>
      </c>
      <c r="E77" s="6">
        <v>0</v>
      </c>
      <c r="F77" s="6">
        <v>0</v>
      </c>
      <c r="G77" s="6">
        <v>0</v>
      </c>
      <c r="H77" s="6" cm="1">
        <f t="array" ref="H77:I77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I")*(_xlfn.ANCHORARRAY(AD3)="да"),0,0),_xlfn.HSTACK(INDEX(_xlpm.x,1),INDEX(_xlpm.x,5))))</f>
        <v>0</v>
      </c>
      <c r="I77" s="6">
        <v>0</v>
      </c>
    </row>
    <row r="78" spans="2:31" x14ac:dyDescent="0.3">
      <c r="B78" t="s">
        <v>1047</v>
      </c>
      <c r="C78" cm="1">
        <f t="array" ref="C78">SUM(_xlfn.ANCHORARRAY(AA3)*(_xlfn.ANCHORARRAY(AE3)="III"))</f>
        <v>52</v>
      </c>
      <c r="D78" s="6" cm="1">
        <f t="array" ref="D78:G78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II")*(_xlfn.ANCHORARRAY(AD3)="нет"),0,0),_xlfn.HSTACK(INDEX(_xlpm.x,1),INDEX(_xlpm.x,5),INDEX(_xlpm.x,6),INDEX(_xlpm.x,7))))</f>
        <v>5.5200000000000005</v>
      </c>
      <c r="E78" s="6">
        <v>4.4160000000000004</v>
      </c>
      <c r="F78" s="6">
        <v>1.4514690084698634</v>
      </c>
      <c r="G78" s="6">
        <v>4.6484210526315808</v>
      </c>
      <c r="H78" s="6" cm="1">
        <f t="array" ref="H78:I78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II")*(_xlfn.ANCHORARRAY(AD3)="да"),0,0),_xlfn.HSTACK(INDEX(_xlpm.x,1),INDEX(_xlpm.x,5))))</f>
        <v>0</v>
      </c>
      <c r="I78" s="6">
        <v>0</v>
      </c>
    </row>
    <row r="79" spans="2:31" x14ac:dyDescent="0.3">
      <c r="B79" t="s">
        <v>1043</v>
      </c>
      <c r="C79">
        <f>SUM(_xlfn.ANCHORARRAY(AA3))</f>
        <v>52</v>
      </c>
      <c r="D79" s="6" cm="1">
        <f t="array" ref="D79:G79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D3)="нет"),0,0),_xlfn.HSTACK(INDEX(_xlpm.x,1),INDEX(_xlpm.x,5),INDEX(_xlpm.x,6),INDEX(_xlpm.x,7))))</f>
        <v>5.5200000000000005</v>
      </c>
      <c r="E79" s="6">
        <v>4.4160000000000004</v>
      </c>
      <c r="F79" s="6">
        <v>1.4514690084698634</v>
      </c>
      <c r="G79" s="6">
        <v>4.6484210526315808</v>
      </c>
      <c r="H79" s="6" cm="1">
        <f t="array" ref="H79:I79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D3)="да"),0,0),_xlfn.HSTACK(INDEX(_xlpm.x,1),INDEX(_xlpm.x,5))))</f>
        <v>0</v>
      </c>
      <c r="I79" s="6">
        <v>0</v>
      </c>
    </row>
    <row r="80" spans="2:31" x14ac:dyDescent="0.3">
      <c r="B80" s="116" t="s">
        <v>1390</v>
      </c>
    </row>
    <row r="82" spans="2:3" x14ac:dyDescent="0.3">
      <c r="B82" s="36" t="s">
        <v>1391</v>
      </c>
    </row>
    <row r="83" spans="2:3" x14ac:dyDescent="0.3">
      <c r="B83" t="s">
        <v>1392</v>
      </c>
      <c r="C83" s="6" cm="1">
        <f t="array" ref="C83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INDEX(_xlpm.РАСЧЁТ(_xlfn.ANCHORARRAY(AA3)*(_xlfn.ANCHORARRAY(AC3)="ИБП")*(_xlfn.ANCHORARRAY(AD3)="нет"),0,0),5))</f>
        <v>0</v>
      </c>
    </row>
    <row r="84" spans="2:3" x14ac:dyDescent="0.3">
      <c r="B84" t="s">
        <v>1393</v>
      </c>
      <c r="C84" s="6">
        <f>C83/ИБП_cos_вых/ИБП_загрузка</f>
        <v>0</v>
      </c>
    </row>
    <row r="85" spans="2:3" x14ac:dyDescent="0.3">
      <c r="B85" t="s">
        <v>1394</v>
      </c>
      <c r="C85" s="6" cm="1">
        <f t="array" ref="C85">IFERROR(MIN(_xlfn._xlws.FILTER(ИБП_ряд,ИБП_ряд&gt;=C84)),"больше ряда")</f>
        <v>6</v>
      </c>
    </row>
    <row r="86" spans="2:3" x14ac:dyDescent="0.3">
      <c r="B86" t="s">
        <v>1395</v>
      </c>
      <c r="C86" s="6">
        <f>IFERROR(C83/ИБП_cos_вых/C85,"")</f>
        <v>0</v>
      </c>
    </row>
    <row r="87" spans="2:3" x14ac:dyDescent="0.3">
      <c r="B87" t="s">
        <v>1396</v>
      </c>
      <c r="C87" s="6">
        <f>C83*1000*ИБП_t/60/(ИБП_U*ИБП_КПД*ИБП_k)</f>
        <v>0</v>
      </c>
    </row>
    <row r="88" spans="2:3" x14ac:dyDescent="0.3">
      <c r="B88" t="s">
        <v>1397</v>
      </c>
      <c r="C88" s="6">
        <f>C5</f>
        <v>0</v>
      </c>
    </row>
  </sheetData>
  <dataValidations count="1">
    <dataValidation type="list" allowBlank="1" showInputMessage="1" showErrorMessage="1" sqref="C3" xr:uid="{B3D53D0F-850E-4FEC-947D-6558D8079A6D}">
      <formula1>Список_щитов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46F85-0EF0-4FEF-A0D1-84BF850DCCDD}">
  <sheetPr>
    <tabColor rgb="FFED7D31"/>
  </sheetPr>
  <dimension ref="A1:L200"/>
  <sheetViews>
    <sheetView workbookViewId="0"/>
  </sheetViews>
  <sheetFormatPr defaultRowHeight="14.4" x14ac:dyDescent="0.3"/>
  <cols>
    <col min="1" max="1" width="5.77734375" customWidth="1"/>
    <col min="2" max="2" width="48.77734375" customWidth="1"/>
    <col min="3" max="3" width="11.77734375" customWidth="1"/>
    <col min="4" max="6" width="8.77734375" customWidth="1"/>
    <col min="7" max="10" width="11.77734375" customWidth="1"/>
    <col min="12" max="12" width="60.77734375" customWidth="1"/>
  </cols>
  <sheetData>
    <row r="1" spans="1:12" ht="18" x14ac:dyDescent="0.35">
      <c r="A1" s="113" t="s">
        <v>1398</v>
      </c>
    </row>
    <row r="3" spans="1:12" ht="409.6" x14ac:dyDescent="0.3">
      <c r="B3" t="s">
        <v>997</v>
      </c>
      <c r="C3" s="114" t="s">
        <v>998</v>
      </c>
      <c r="E3" s="36" t="s">
        <v>1401</v>
      </c>
      <c r="L3" s="4" t="s">
        <v>1407</v>
      </c>
    </row>
    <row r="4" spans="1:12" x14ac:dyDescent="0.3">
      <c r="B4" t="s">
        <v>1399</v>
      </c>
      <c r="C4" s="114" t="s">
        <v>206</v>
      </c>
      <c r="E4" t="s">
        <v>1005</v>
      </c>
      <c r="G4" t="str">
        <f>"~"&amp;FIXED(Uн_лин*1000,0)&amp;"/"&amp;FIXED(Uн_лин*1000/SQRT(3),0)&amp;" В, 50 Гц"</f>
        <v>~400/231 В, 50 Гц</v>
      </c>
    </row>
    <row r="5" spans="1:12" x14ac:dyDescent="0.3">
      <c r="B5" t="s">
        <v>1000</v>
      </c>
      <c r="C5" s="114" t="s">
        <v>1400</v>
      </c>
      <c r="E5" t="s">
        <v>1006</v>
      </c>
      <c r="G5" t="s">
        <v>1007</v>
      </c>
    </row>
    <row r="6" spans="1:12" x14ac:dyDescent="0.3">
      <c r="E6" t="s">
        <v>1008</v>
      </c>
      <c r="G6" t="str">
        <f>_xlfn.XLOOKUP($C$4,Щиты[Щит],Щиты[Категория шины «Ввод»],"")</f>
        <v>III</v>
      </c>
    </row>
    <row r="7" spans="1:12" x14ac:dyDescent="0.3">
      <c r="E7" t="s">
        <v>1009</v>
      </c>
      <c r="G7" t="str">
        <f>FIXED(C16,2)</f>
        <v>5,52</v>
      </c>
    </row>
    <row r="8" spans="1:12" x14ac:dyDescent="0.3">
      <c r="E8" t="s">
        <v>1010</v>
      </c>
      <c r="G8" t="str">
        <f>FIXED(G16,2)&amp;" / "&amp;FIXED(I16,2)&amp;" / "&amp;FIXED(IF(I16=0,0,G16/I16),2)</f>
        <v>4,42 / 4,65 / 0,95</v>
      </c>
    </row>
    <row r="9" spans="1:12" x14ac:dyDescent="0.3">
      <c r="E9" t="s">
        <v>1011</v>
      </c>
      <c r="G9" t="str">
        <f>FIXED(J16,1)</f>
        <v>6,7</v>
      </c>
    </row>
    <row r="10" spans="1:12" x14ac:dyDescent="0.3">
      <c r="E10" t="s">
        <v>1402</v>
      </c>
      <c r="G10" t="str">
        <f>IFERROR(FIXED(_xlfn.XLOOKUP($C$4,Щиты[Щит],Щиты[ΔU до шин, %]),2),"—")</f>
        <v>0,00</v>
      </c>
    </row>
    <row r="11" spans="1:12" x14ac:dyDescent="0.3">
      <c r="E11" t="s">
        <v>1403</v>
      </c>
      <c r="G11" t="str">
        <f>IFERROR(FIXED(_xlfn.XLOOKUP($C$4,Щиты[Щит],Щиты[Iкз min на шинах, А]),0)&amp;" А / "&amp;FIXED(_xlfn.XLOOKUP($C$4,Щиты[Щит],Щиты[Iкз max на шинах, кА]),1)&amp;" кА","нет данных сети")</f>
        <v>нет данных сети</v>
      </c>
    </row>
    <row r="12" spans="1:12" x14ac:dyDescent="0.3">
      <c r="E12" t="s">
        <v>1012</v>
      </c>
      <c r="G12" t="str">
        <f>IF(N(G16)=0,"",IF(G16*(IF(G16=0,0,H16/G16)-0.35)&lt;50,"не требуется (&lt; 50 квар на ввод, СП 256 п. 7.3)",ROUND(G16*(H16/G16-0.35),1)&amp;" квар"))</f>
        <v>не требуется (&lt; 50 квар на ввод, СП 256 п. 7.3)</v>
      </c>
    </row>
    <row r="14" spans="1:12" ht="100.8" x14ac:dyDescent="0.3">
      <c r="A14" s="119" t="s">
        <v>892</v>
      </c>
      <c r="B14" s="119" t="s">
        <v>1404</v>
      </c>
      <c r="C14" s="119" t="s">
        <v>991</v>
      </c>
      <c r="D14" s="119" t="s">
        <v>774</v>
      </c>
      <c r="E14" s="119" t="s">
        <v>987</v>
      </c>
      <c r="F14" s="119" t="s">
        <v>1001</v>
      </c>
      <c r="G14" s="119" t="s">
        <v>1036</v>
      </c>
      <c r="H14" s="119" t="s">
        <v>1037</v>
      </c>
      <c r="I14" s="119" t="s">
        <v>1038</v>
      </c>
      <c r="J14" s="119" t="s">
        <v>993</v>
      </c>
    </row>
    <row r="15" spans="1:12" x14ac:dyDescent="0.3">
      <c r="A15" s="122"/>
      <c r="B15" s="36" t="s">
        <v>1405</v>
      </c>
      <c r="C15" s="121">
        <f>IFERROR(SUM(INDEX(_xlfn.ANCHORARRAY(A17),0,3)),0)</f>
        <v>5.5200000000000005</v>
      </c>
      <c r="D15" s="121"/>
      <c r="E15" s="121"/>
      <c r="F15" s="121"/>
      <c r="G15" s="121">
        <f>IFERROR(SUM(INDEX(_xlfn.ANCHORARRAY(A17),0,7)),0)</f>
        <v>4.4160000000000004</v>
      </c>
      <c r="H15" s="121">
        <f>IFERROR(SUM(INDEX(_xlfn.ANCHORARRAY(A17),0,8)),0)</f>
        <v>1.4514690084698634</v>
      </c>
      <c r="I15" s="121">
        <f>SQRT(G15^2+H15^2)</f>
        <v>4.6484210526315808</v>
      </c>
      <c r="J15" s="121">
        <f>I15/(SQRT(3)*Uн_лин)</f>
        <v>6.7094178651089171</v>
      </c>
    </row>
    <row r="16" spans="1:12" ht="201.6" x14ac:dyDescent="0.3">
      <c r="A16" s="122"/>
      <c r="B16" s="120" t="s">
        <v>1406</v>
      </c>
      <c r="C16" s="121" cm="1">
        <f t="array" ref="C16:J16">_xlfn.LET(_xlpm.щит_,$C$4,_xlpm.pth,Линии[_путь щита],_xlpm.m0,--ISNUMBER(SEARCH("|"&amp;_xlpm.щит_&amp;"|",_xlpm.pth))*(Линии[Номер линии]&lt;&gt;""),_xlpm.ch,IFERROR(_xlfn.TEXTBEFORE(_xlfn.TEXTAFTER(_xlpm.pth,"|"&amp;_xlpm.щит_&amp;"|"),"|"),""),_xlpm.src,IF(_xlpm.ch="",Линии[Источник для режимов],_xlfn.XLOOKUP(_xlpm.ch,Щиты[Щит],Щиты[Источник фидера],"Ввод 1")),_xlpm.fire,IF(_xlpm.ch="",Линии[Пожарная (итог)],IF(_xlfn.XLOOKUP(_xlpm.ch,Щиты[Щит],Щиты[Пожарный фидер],"нет")="да","да",Линии[Пожарная (итог)])),_xlpm.m,_xlpm.m0*(_xlpm.fire="нет")*IF($C$5="Весь щит",1,_xlpm.src=("Ввод "&amp;RIGHT($C$5,1))),_xlpm.byt,SUM(_xlpm.m*Линии[_Руст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cs_,IF(_xlpm.pw=0,0.95,_xlpm.pc/_xlpm.pw),_xlpm.pr,k_пк*_xlpm.byt*_xlpm.kc+_xlpm.ko*_xlpm.sil+_xlpm.post+_xlpm.otop+_xlpm.vng,_xlpm.qv_,_xlpm.pr*TAN(ACOS(_xlpm.cs_)),_xlfn.HSTACK(_xlpm.pall,IF(_xlpm.pall=0,0,_xlpm.pr/_xlpm.pall),_xlpm.cs_,TAN(ACOS(_xlpm.cs_)),_xlpm.pr,_xlpm.qv_,SQRT(_xlpm.pr^2+_xlpm.qv_^2),SQRT(_xlpm.pr^2+_xlpm.qv_^2)/(SQRT(3)*Uн_лин)))</f>
        <v>5.5200000000000005</v>
      </c>
      <c r="D16" s="121">
        <v>0.8</v>
      </c>
      <c r="E16" s="121">
        <v>0.94999999999999973</v>
      </c>
      <c r="F16" s="121">
        <v>0.32868410517886398</v>
      </c>
      <c r="G16" s="121">
        <v>4.4160000000000004</v>
      </c>
      <c r="H16" s="121">
        <v>1.4514690084698634</v>
      </c>
      <c r="I16" s="121">
        <v>4.6484210526315808</v>
      </c>
      <c r="J16" s="121">
        <v>6.7094178651089171</v>
      </c>
    </row>
    <row r="17" spans="1:10" x14ac:dyDescent="0.3">
      <c r="A17" s="7" cm="1">
        <f t="array" ref="A17:J17">_xlfn.LET(_xlpm.щит_,$C$4,_xlpm.pth,Линии[_путь щита],_xlpm.m0,--ISNUMBER(SEARCH("|"&amp;_xlpm.щит_&amp;"|",_xlpm.pth))*(Линии[Номер линии]&lt;&gt;""),_xlpm.ch,IFERROR(_xlfn.TEXTBEFORE(_xlfn.TEXTAFTER(_xlpm.pth,"|"&amp;_xlpm.щит_&amp;"|"),"|"),""),_xlpm.src,IF(_xlpm.ch="",Линии[Источник для режимов],_xlfn.XLOOKUP(_xlpm.ch,Щиты[Щит],Щиты[Источник фидера],"Ввод 1")),_xlpm.fire,IF(_xlpm.ch="",Линии[Пожарная (итог)],IF(_xlfn.XLOOKUP(_xlpm.ch,Щиты[Щит],Щиты[Пожарный фидер],"нет")="да","да",Линии[Пожарная (итог)])),_xlpm.m,_xlpm.m0*(_xlpm.fire="нет")*IF($C$5="Весь щит",1,_xlpm.src=("Ввод "&amp;RIGHT($C$5,1))),_xlpm.byt,SUM(_xlpm.m*Линии[_Руст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2026",IF(AND(_xlpm.byt&gt;0,_xlpm.sil&gt;0),Ко_сил,1),Ко_сил),_xlpm.cs_,IF(_xlpm.pw=0,0.95,_xlpm.pc/_xlpm.pw),_xlpm.kinds,_xlfn.UNIQUE(_xlfn._xlws.FILTER(Линии[Вид нагрузки (итог)],_xlpm.m,"")),_xlpm.rows,_xlfn.REDUCE("",_xlpm.kinds,_xlfn.LAMBDA(_xlpm.acc,_xlpm.k,_xlfn.LET(_xlpm.mk,_xlpm.m*(Линии[Вид нагрузки (итог)]=_xlpm.k),_xlpm.bb_,SUM(_xlpm.mk*Линии[_Руст быт]),_xlpm.ss_,SUM(_xlpm.mk*Линии[_Рр сил]),_xlpm.pp_,SUM(_xlpm.mk*Линии[_Руст пост]),_xlpm.oo_,SUM(_xlpm.mk*Линии[_Р отопления]),_xlpm.vv_,SUM(_xlpm.mk*Линии[_Рр ВНГ]),_xlpm.aa_,SUM(_xlpm.mk*Линии[_Руст (без Нет)]),_xlpm.ww_,SUM(_xlpm.mk*Линии[_P для cos]),_xlpm.cc_,SUM(_xlpm.mk*Линии[_P·cos]),_xlpm.cs,IF(_xlpm.ww_=0,0.95,_xlpm.cc_/_xlpm.ww_),_xlpm.prr_,k_пк*_xlpm.bb_*_xlpm.kc+_xlpm.ss_+_xlpm.pp_+_xlpm.oo_+_xlpm.vv_,_xlpm.qq_,_xlpm.prr_*TAN(ACOS(_xlpm.cs)),_xlfn.VSTACK(_xlpm.acc,_xlfn.HSTACK(_xlpm.k,_xlpm.aa_,IF(_xlpm.aa_=0,0,_xlpm.prr_/_xlpm.aa_),_xlpm.cs,TAN(ACOS(_xlpm.cs)),_xlpm.prr_,_xlpm.qq_,SQRT(_xlpm.prr_^2+_xlpm.qq_^2),SQRT(_xlpm.prr_^2+_xlpm.qq_^2)/(SQRT(3)*Uн_лин)))))),_xlpm.b0,_xlfn.DROP(_xlpm.rows,1),_xlpm.body,_xlfn._xlws.FILTER(_xlpm.b0,(_xlfn.CHOOSECOLS(_xlpm.b0,2)&lt;&gt;0)+(_xlfn.CHOOSECOLS(_xlpm.b0,6)&lt;&gt;0),_xlpm.b0),_xlfn.HSTACK(_xlfn.SEQUENCE(ROWS(_xlpm.body)),_xlpm.body))</f>
        <v>1</v>
      </c>
      <c r="B17" t="str">
        <v>Розеточная сеть и бытовые приборы</v>
      </c>
      <c r="C17" s="6">
        <v>5.5200000000000005</v>
      </c>
      <c r="D17" s="6">
        <v>0.8</v>
      </c>
      <c r="E17" s="6">
        <v>0.94999999999999973</v>
      </c>
      <c r="F17" s="6">
        <v>0.32868410517886398</v>
      </c>
      <c r="G17" s="6">
        <v>4.4160000000000004</v>
      </c>
      <c r="H17" s="6">
        <v>1.4514690084698634</v>
      </c>
      <c r="I17" s="6">
        <v>4.6484210526315808</v>
      </c>
      <c r="J17" s="6">
        <v>6.7094178651089171</v>
      </c>
    </row>
    <row r="18" spans="1:10" x14ac:dyDescent="0.3">
      <c r="A18" s="7"/>
      <c r="C18" s="6"/>
      <c r="D18" s="6"/>
      <c r="E18" s="6"/>
      <c r="F18" s="6"/>
      <c r="G18" s="6"/>
      <c r="H18" s="6"/>
      <c r="I18" s="6"/>
      <c r="J18" s="6"/>
    </row>
    <row r="19" spans="1:10" x14ac:dyDescent="0.3">
      <c r="A19" s="7"/>
      <c r="C19" s="6"/>
      <c r="D19" s="6"/>
      <c r="E19" s="6"/>
      <c r="F19" s="6"/>
      <c r="G19" s="6"/>
      <c r="H19" s="6"/>
      <c r="I19" s="6"/>
      <c r="J19" s="6"/>
    </row>
    <row r="20" spans="1:10" x14ac:dyDescent="0.3">
      <c r="A20" s="7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7"/>
      <c r="C21" s="6"/>
      <c r="D21" s="6"/>
      <c r="E21" s="6"/>
      <c r="F21" s="6"/>
      <c r="G21" s="6"/>
      <c r="H21" s="6"/>
      <c r="I21" s="6"/>
      <c r="J21" s="6"/>
    </row>
    <row r="22" spans="1:10" x14ac:dyDescent="0.3">
      <c r="A22" s="7"/>
      <c r="C22" s="6"/>
      <c r="D22" s="6"/>
      <c r="E22" s="6"/>
      <c r="F22" s="6"/>
      <c r="G22" s="6"/>
      <c r="H22" s="6"/>
      <c r="I22" s="6"/>
      <c r="J22" s="6"/>
    </row>
    <row r="23" spans="1:10" x14ac:dyDescent="0.3">
      <c r="A23" s="7"/>
      <c r="C23" s="6"/>
      <c r="D23" s="6"/>
      <c r="E23" s="6"/>
      <c r="F23" s="6"/>
      <c r="G23" s="6"/>
      <c r="H23" s="6"/>
      <c r="I23" s="6"/>
      <c r="J23" s="6"/>
    </row>
    <row r="24" spans="1:10" x14ac:dyDescent="0.3">
      <c r="A24" s="7"/>
      <c r="C24" s="6"/>
      <c r="D24" s="6"/>
      <c r="E24" s="6"/>
      <c r="F24" s="6"/>
      <c r="G24" s="6"/>
      <c r="H24" s="6"/>
      <c r="I24" s="6"/>
      <c r="J24" s="6"/>
    </row>
    <row r="25" spans="1:10" x14ac:dyDescent="0.3">
      <c r="A25" s="7"/>
      <c r="C25" s="6"/>
      <c r="D25" s="6"/>
      <c r="E25" s="6"/>
      <c r="F25" s="6"/>
      <c r="G25" s="6"/>
      <c r="H25" s="6"/>
      <c r="I25" s="6"/>
      <c r="J25" s="6"/>
    </row>
    <row r="26" spans="1:10" x14ac:dyDescent="0.3">
      <c r="A26" s="7"/>
      <c r="C26" s="6"/>
      <c r="D26" s="6"/>
      <c r="E26" s="6"/>
      <c r="F26" s="6"/>
      <c r="G26" s="6"/>
      <c r="H26" s="6"/>
      <c r="I26" s="6"/>
      <c r="J26" s="6"/>
    </row>
    <row r="27" spans="1:10" x14ac:dyDescent="0.3">
      <c r="A27" s="7"/>
      <c r="C27" s="6"/>
      <c r="D27" s="6"/>
      <c r="E27" s="6"/>
      <c r="F27" s="6"/>
      <c r="G27" s="6"/>
      <c r="H27" s="6"/>
      <c r="I27" s="6"/>
      <c r="J27" s="6"/>
    </row>
    <row r="28" spans="1:10" x14ac:dyDescent="0.3">
      <c r="A28" s="7"/>
      <c r="C28" s="6"/>
      <c r="D28" s="6"/>
      <c r="E28" s="6"/>
      <c r="F28" s="6"/>
      <c r="G28" s="6"/>
      <c r="H28" s="6"/>
      <c r="I28" s="6"/>
      <c r="J28" s="6"/>
    </row>
    <row r="29" spans="1:10" x14ac:dyDescent="0.3">
      <c r="A29" s="7"/>
      <c r="C29" s="6"/>
      <c r="D29" s="6"/>
      <c r="E29" s="6"/>
      <c r="F29" s="6"/>
      <c r="G29" s="6"/>
      <c r="H29" s="6"/>
      <c r="I29" s="6"/>
      <c r="J29" s="6"/>
    </row>
    <row r="30" spans="1:10" x14ac:dyDescent="0.3">
      <c r="A30" s="7"/>
      <c r="C30" s="6"/>
      <c r="D30" s="6"/>
      <c r="E30" s="6"/>
      <c r="F30" s="6"/>
      <c r="G30" s="6"/>
      <c r="H30" s="6"/>
      <c r="I30" s="6"/>
      <c r="J30" s="6"/>
    </row>
    <row r="31" spans="1:10" x14ac:dyDescent="0.3">
      <c r="A31" s="7"/>
      <c r="C31" s="6"/>
      <c r="D31" s="6"/>
      <c r="E31" s="6"/>
      <c r="F31" s="6"/>
      <c r="G31" s="6"/>
      <c r="H31" s="6"/>
      <c r="I31" s="6"/>
      <c r="J31" s="6"/>
    </row>
    <row r="32" spans="1:10" x14ac:dyDescent="0.3">
      <c r="A32" s="7"/>
      <c r="C32" s="6"/>
      <c r="D32" s="6"/>
      <c r="E32" s="6"/>
      <c r="F32" s="6"/>
      <c r="G32" s="6"/>
      <c r="H32" s="6"/>
      <c r="I32" s="6"/>
      <c r="J32" s="6"/>
    </row>
    <row r="33" spans="1:10" x14ac:dyDescent="0.3">
      <c r="A33" s="7"/>
      <c r="C33" s="6"/>
      <c r="D33" s="6"/>
      <c r="E33" s="6"/>
      <c r="F33" s="6"/>
      <c r="G33" s="6"/>
      <c r="H33" s="6"/>
      <c r="I33" s="6"/>
      <c r="J33" s="6"/>
    </row>
    <row r="34" spans="1:10" x14ac:dyDescent="0.3">
      <c r="A34" s="7"/>
      <c r="C34" s="6"/>
      <c r="D34" s="6"/>
      <c r="E34" s="6"/>
      <c r="F34" s="6"/>
      <c r="G34" s="6"/>
      <c r="H34" s="6"/>
      <c r="I34" s="6"/>
      <c r="J34" s="6"/>
    </row>
    <row r="35" spans="1:10" x14ac:dyDescent="0.3">
      <c r="A35" s="7"/>
      <c r="C35" s="6"/>
      <c r="D35" s="6"/>
      <c r="E35" s="6"/>
      <c r="F35" s="6"/>
      <c r="G35" s="6"/>
      <c r="H35" s="6"/>
      <c r="I35" s="6"/>
      <c r="J35" s="6"/>
    </row>
    <row r="36" spans="1:10" x14ac:dyDescent="0.3">
      <c r="A36" s="7"/>
      <c r="C36" s="6"/>
      <c r="D36" s="6"/>
      <c r="E36" s="6"/>
      <c r="F36" s="6"/>
      <c r="G36" s="6"/>
      <c r="H36" s="6"/>
      <c r="I36" s="6"/>
      <c r="J36" s="6"/>
    </row>
    <row r="37" spans="1:10" x14ac:dyDescent="0.3">
      <c r="A37" s="7"/>
      <c r="C37" s="6"/>
      <c r="D37" s="6"/>
      <c r="E37" s="6"/>
      <c r="F37" s="6"/>
      <c r="G37" s="6"/>
      <c r="H37" s="6"/>
      <c r="I37" s="6"/>
      <c r="J37" s="6"/>
    </row>
    <row r="38" spans="1:10" x14ac:dyDescent="0.3">
      <c r="A38" s="7"/>
      <c r="C38" s="6"/>
      <c r="D38" s="6"/>
      <c r="E38" s="6"/>
      <c r="F38" s="6"/>
      <c r="G38" s="6"/>
      <c r="H38" s="6"/>
      <c r="I38" s="6"/>
      <c r="J38" s="6"/>
    </row>
    <row r="39" spans="1:10" x14ac:dyDescent="0.3">
      <c r="A39" s="7"/>
      <c r="C39" s="6"/>
      <c r="D39" s="6"/>
      <c r="E39" s="6"/>
      <c r="F39" s="6"/>
      <c r="G39" s="6"/>
      <c r="H39" s="6"/>
      <c r="I39" s="6"/>
      <c r="J39" s="6"/>
    </row>
    <row r="40" spans="1:10" x14ac:dyDescent="0.3">
      <c r="A40" s="7"/>
      <c r="C40" s="6"/>
      <c r="D40" s="6"/>
      <c r="E40" s="6"/>
      <c r="F40" s="6"/>
      <c r="G40" s="6"/>
      <c r="H40" s="6"/>
      <c r="I40" s="6"/>
      <c r="J40" s="6"/>
    </row>
    <row r="41" spans="1:10" x14ac:dyDescent="0.3">
      <c r="A41" s="7"/>
      <c r="C41" s="6"/>
      <c r="D41" s="6"/>
      <c r="E41" s="6"/>
      <c r="F41" s="6"/>
      <c r="G41" s="6"/>
      <c r="H41" s="6"/>
      <c r="I41" s="6"/>
      <c r="J41" s="6"/>
    </row>
    <row r="42" spans="1:10" x14ac:dyDescent="0.3">
      <c r="A42" s="7"/>
      <c r="C42" s="6"/>
      <c r="D42" s="6"/>
      <c r="E42" s="6"/>
      <c r="F42" s="6"/>
      <c r="G42" s="6"/>
      <c r="H42" s="6"/>
      <c r="I42" s="6"/>
      <c r="J42" s="6"/>
    </row>
    <row r="43" spans="1:10" x14ac:dyDescent="0.3">
      <c r="A43" s="7"/>
      <c r="C43" s="6"/>
      <c r="D43" s="6"/>
      <c r="E43" s="6"/>
      <c r="F43" s="6"/>
      <c r="G43" s="6"/>
      <c r="H43" s="6"/>
      <c r="I43" s="6"/>
      <c r="J43" s="6"/>
    </row>
    <row r="44" spans="1:10" x14ac:dyDescent="0.3">
      <c r="A44" s="7"/>
      <c r="C44" s="6"/>
      <c r="D44" s="6"/>
      <c r="E44" s="6"/>
      <c r="F44" s="6"/>
      <c r="G44" s="6"/>
      <c r="H44" s="6"/>
      <c r="I44" s="6"/>
      <c r="J44" s="6"/>
    </row>
    <row r="45" spans="1:10" x14ac:dyDescent="0.3">
      <c r="A45" s="7"/>
      <c r="C45" s="6"/>
      <c r="D45" s="6"/>
      <c r="E45" s="6"/>
      <c r="F45" s="6"/>
      <c r="G45" s="6"/>
      <c r="H45" s="6"/>
      <c r="I45" s="6"/>
      <c r="J45" s="6"/>
    </row>
    <row r="46" spans="1:10" x14ac:dyDescent="0.3">
      <c r="A46" s="7"/>
      <c r="C46" s="6"/>
      <c r="D46" s="6"/>
      <c r="E46" s="6"/>
      <c r="F46" s="6"/>
      <c r="G46" s="6"/>
      <c r="H46" s="6"/>
      <c r="I46" s="6"/>
      <c r="J46" s="6"/>
    </row>
    <row r="47" spans="1:10" x14ac:dyDescent="0.3">
      <c r="A47" s="7"/>
      <c r="C47" s="6"/>
      <c r="D47" s="6"/>
      <c r="E47" s="6"/>
      <c r="F47" s="6"/>
      <c r="G47" s="6"/>
      <c r="H47" s="6"/>
      <c r="I47" s="6"/>
      <c r="J47" s="6"/>
    </row>
    <row r="48" spans="1:10" x14ac:dyDescent="0.3">
      <c r="A48" s="7"/>
      <c r="C48" s="6"/>
      <c r="D48" s="6"/>
      <c r="E48" s="6"/>
      <c r="F48" s="6"/>
      <c r="G48" s="6"/>
      <c r="H48" s="6"/>
      <c r="I48" s="6"/>
      <c r="J48" s="6"/>
    </row>
    <row r="49" spans="1:10" x14ac:dyDescent="0.3">
      <c r="A49" s="7"/>
      <c r="C49" s="6"/>
      <c r="D49" s="6"/>
      <c r="E49" s="6"/>
      <c r="F49" s="6"/>
      <c r="G49" s="6"/>
      <c r="H49" s="6"/>
      <c r="I49" s="6"/>
      <c r="J49" s="6"/>
    </row>
    <row r="50" spans="1:10" x14ac:dyDescent="0.3">
      <c r="A50" s="7"/>
      <c r="C50" s="6"/>
      <c r="D50" s="6"/>
      <c r="E50" s="6"/>
      <c r="F50" s="6"/>
      <c r="G50" s="6"/>
      <c r="H50" s="6"/>
      <c r="I50" s="6"/>
      <c r="J50" s="6"/>
    </row>
    <row r="51" spans="1:10" x14ac:dyDescent="0.3">
      <c r="A51" s="7"/>
      <c r="C51" s="6"/>
      <c r="D51" s="6"/>
      <c r="E51" s="6"/>
      <c r="F51" s="6"/>
      <c r="G51" s="6"/>
      <c r="H51" s="6"/>
      <c r="I51" s="6"/>
      <c r="J51" s="6"/>
    </row>
    <row r="52" spans="1:10" x14ac:dyDescent="0.3">
      <c r="A52" s="7"/>
      <c r="C52" s="6"/>
      <c r="D52" s="6"/>
      <c r="E52" s="6"/>
      <c r="F52" s="6"/>
      <c r="G52" s="6"/>
      <c r="H52" s="6"/>
      <c r="I52" s="6"/>
      <c r="J52" s="6"/>
    </row>
    <row r="53" spans="1:10" x14ac:dyDescent="0.3">
      <c r="A53" s="7"/>
      <c r="C53" s="6"/>
      <c r="D53" s="6"/>
      <c r="E53" s="6"/>
      <c r="F53" s="6"/>
      <c r="G53" s="6"/>
      <c r="H53" s="6"/>
      <c r="I53" s="6"/>
      <c r="J53" s="6"/>
    </row>
    <row r="54" spans="1:10" x14ac:dyDescent="0.3">
      <c r="A54" s="7"/>
      <c r="C54" s="6"/>
      <c r="D54" s="6"/>
      <c r="E54" s="6"/>
      <c r="F54" s="6"/>
      <c r="G54" s="6"/>
      <c r="H54" s="6"/>
      <c r="I54" s="6"/>
      <c r="J54" s="6"/>
    </row>
    <row r="55" spans="1:10" x14ac:dyDescent="0.3">
      <c r="A55" s="7"/>
      <c r="C55" s="6"/>
      <c r="D55" s="6"/>
      <c r="E55" s="6"/>
      <c r="F55" s="6"/>
      <c r="G55" s="6"/>
      <c r="H55" s="6"/>
      <c r="I55" s="6"/>
      <c r="J55" s="6"/>
    </row>
    <row r="56" spans="1:10" x14ac:dyDescent="0.3">
      <c r="A56" s="7"/>
      <c r="C56" s="6"/>
      <c r="D56" s="6"/>
      <c r="E56" s="6"/>
      <c r="F56" s="6"/>
      <c r="G56" s="6"/>
      <c r="H56" s="6"/>
      <c r="I56" s="6"/>
      <c r="J56" s="6"/>
    </row>
    <row r="57" spans="1:10" x14ac:dyDescent="0.3">
      <c r="A57" s="7"/>
      <c r="C57" s="6"/>
      <c r="D57" s="6"/>
      <c r="E57" s="6"/>
      <c r="F57" s="6"/>
      <c r="G57" s="6"/>
      <c r="H57" s="6"/>
      <c r="I57" s="6"/>
      <c r="J57" s="6"/>
    </row>
    <row r="58" spans="1:10" x14ac:dyDescent="0.3">
      <c r="A58" s="7"/>
      <c r="C58" s="6"/>
      <c r="D58" s="6"/>
      <c r="E58" s="6"/>
      <c r="F58" s="6"/>
      <c r="G58" s="6"/>
      <c r="H58" s="6"/>
      <c r="I58" s="6"/>
      <c r="J58" s="6"/>
    </row>
    <row r="59" spans="1:10" x14ac:dyDescent="0.3">
      <c r="A59" s="7"/>
      <c r="C59" s="6"/>
      <c r="D59" s="6"/>
      <c r="E59" s="6"/>
      <c r="F59" s="6"/>
      <c r="G59" s="6"/>
      <c r="H59" s="6"/>
      <c r="I59" s="6"/>
      <c r="J59" s="6"/>
    </row>
    <row r="60" spans="1:10" x14ac:dyDescent="0.3">
      <c r="A60" s="7"/>
      <c r="C60" s="6"/>
      <c r="D60" s="6"/>
      <c r="E60" s="6"/>
      <c r="F60" s="6"/>
      <c r="G60" s="6"/>
      <c r="H60" s="6"/>
      <c r="I60" s="6"/>
      <c r="J60" s="6"/>
    </row>
    <row r="61" spans="1:10" x14ac:dyDescent="0.3">
      <c r="A61" s="7"/>
      <c r="C61" s="6"/>
      <c r="D61" s="6"/>
      <c r="E61" s="6"/>
      <c r="F61" s="6"/>
      <c r="G61" s="6"/>
      <c r="H61" s="6"/>
      <c r="I61" s="6"/>
      <c r="J61" s="6"/>
    </row>
    <row r="62" spans="1:10" x14ac:dyDescent="0.3">
      <c r="A62" s="7"/>
      <c r="C62" s="6"/>
      <c r="D62" s="6"/>
      <c r="E62" s="6"/>
      <c r="F62" s="6"/>
      <c r="G62" s="6"/>
      <c r="H62" s="6"/>
      <c r="I62" s="6"/>
      <c r="J62" s="6"/>
    </row>
    <row r="63" spans="1:10" x14ac:dyDescent="0.3">
      <c r="A63" s="7"/>
      <c r="C63" s="6"/>
      <c r="D63" s="6"/>
      <c r="E63" s="6"/>
      <c r="F63" s="6"/>
      <c r="G63" s="6"/>
      <c r="H63" s="6"/>
      <c r="I63" s="6"/>
      <c r="J63" s="6"/>
    </row>
    <row r="64" spans="1:10" x14ac:dyDescent="0.3">
      <c r="A64" s="7"/>
      <c r="C64" s="6"/>
      <c r="D64" s="6"/>
      <c r="E64" s="6"/>
      <c r="F64" s="6"/>
      <c r="G64" s="6"/>
      <c r="H64" s="6"/>
      <c r="I64" s="6"/>
      <c r="J64" s="6"/>
    </row>
    <row r="65" spans="1:10" x14ac:dyDescent="0.3">
      <c r="A65" s="7"/>
      <c r="C65" s="6"/>
      <c r="D65" s="6"/>
      <c r="E65" s="6"/>
      <c r="F65" s="6"/>
      <c r="G65" s="6"/>
      <c r="H65" s="6"/>
      <c r="I65" s="6"/>
      <c r="J65" s="6"/>
    </row>
    <row r="66" spans="1:10" x14ac:dyDescent="0.3">
      <c r="A66" s="7"/>
      <c r="C66" s="6"/>
      <c r="D66" s="6"/>
      <c r="E66" s="6"/>
      <c r="F66" s="6"/>
      <c r="G66" s="6"/>
      <c r="H66" s="6"/>
      <c r="I66" s="6"/>
      <c r="J66" s="6"/>
    </row>
    <row r="67" spans="1:10" x14ac:dyDescent="0.3">
      <c r="A67" s="7"/>
      <c r="C67" s="6"/>
      <c r="D67" s="6"/>
      <c r="E67" s="6"/>
      <c r="F67" s="6"/>
      <c r="G67" s="6"/>
      <c r="H67" s="6"/>
      <c r="I67" s="6"/>
      <c r="J67" s="6"/>
    </row>
    <row r="68" spans="1:10" x14ac:dyDescent="0.3">
      <c r="A68" s="7"/>
      <c r="C68" s="6"/>
      <c r="D68" s="6"/>
      <c r="E68" s="6"/>
      <c r="F68" s="6"/>
      <c r="G68" s="6"/>
      <c r="H68" s="6"/>
      <c r="I68" s="6"/>
      <c r="J68" s="6"/>
    </row>
    <row r="69" spans="1:10" x14ac:dyDescent="0.3">
      <c r="A69" s="7"/>
      <c r="C69" s="6"/>
      <c r="D69" s="6"/>
      <c r="E69" s="6"/>
      <c r="F69" s="6"/>
      <c r="G69" s="6"/>
      <c r="H69" s="6"/>
      <c r="I69" s="6"/>
      <c r="J69" s="6"/>
    </row>
    <row r="70" spans="1:10" x14ac:dyDescent="0.3">
      <c r="A70" s="7"/>
      <c r="C70" s="6"/>
      <c r="D70" s="6"/>
      <c r="E70" s="6"/>
      <c r="F70" s="6"/>
      <c r="G70" s="6"/>
      <c r="H70" s="6"/>
      <c r="I70" s="6"/>
      <c r="J70" s="6"/>
    </row>
    <row r="71" spans="1:10" x14ac:dyDescent="0.3">
      <c r="A71" s="7"/>
      <c r="C71" s="6"/>
      <c r="D71" s="6"/>
      <c r="E71" s="6"/>
      <c r="F71" s="6"/>
      <c r="G71" s="6"/>
      <c r="H71" s="6"/>
      <c r="I71" s="6"/>
      <c r="J71" s="6"/>
    </row>
    <row r="72" spans="1:10" x14ac:dyDescent="0.3">
      <c r="A72" s="7"/>
      <c r="C72" s="6"/>
      <c r="D72" s="6"/>
      <c r="E72" s="6"/>
      <c r="F72" s="6"/>
      <c r="G72" s="6"/>
      <c r="H72" s="6"/>
      <c r="I72" s="6"/>
      <c r="J72" s="6"/>
    </row>
    <row r="73" spans="1:10" x14ac:dyDescent="0.3">
      <c r="A73" s="7"/>
      <c r="C73" s="6"/>
      <c r="D73" s="6"/>
      <c r="E73" s="6"/>
      <c r="F73" s="6"/>
      <c r="G73" s="6"/>
      <c r="H73" s="6"/>
      <c r="I73" s="6"/>
      <c r="J73" s="6"/>
    </row>
    <row r="74" spans="1:10" x14ac:dyDescent="0.3">
      <c r="A74" s="7"/>
      <c r="C74" s="6"/>
      <c r="D74" s="6"/>
      <c r="E74" s="6"/>
      <c r="F74" s="6"/>
      <c r="G74" s="6"/>
      <c r="H74" s="6"/>
      <c r="I74" s="6"/>
      <c r="J74" s="6"/>
    </row>
    <row r="75" spans="1:10" x14ac:dyDescent="0.3">
      <c r="A75" s="7"/>
      <c r="C75" s="6"/>
      <c r="D75" s="6"/>
      <c r="E75" s="6"/>
      <c r="F75" s="6"/>
      <c r="G75" s="6"/>
      <c r="H75" s="6"/>
      <c r="I75" s="6"/>
      <c r="J75" s="6"/>
    </row>
    <row r="76" spans="1:10" x14ac:dyDescent="0.3">
      <c r="A76" s="7"/>
      <c r="C76" s="6"/>
      <c r="D76" s="6"/>
      <c r="E76" s="6"/>
      <c r="F76" s="6"/>
      <c r="G76" s="6"/>
      <c r="H76" s="6"/>
      <c r="I76" s="6"/>
      <c r="J76" s="6"/>
    </row>
    <row r="77" spans="1:10" x14ac:dyDescent="0.3">
      <c r="A77" s="7"/>
      <c r="C77" s="6"/>
      <c r="D77" s="6"/>
      <c r="E77" s="6"/>
      <c r="F77" s="6"/>
      <c r="G77" s="6"/>
      <c r="H77" s="6"/>
      <c r="I77" s="6"/>
      <c r="J77" s="6"/>
    </row>
    <row r="78" spans="1:10" x14ac:dyDescent="0.3">
      <c r="A78" s="7"/>
      <c r="C78" s="6"/>
      <c r="D78" s="6"/>
      <c r="E78" s="6"/>
      <c r="F78" s="6"/>
      <c r="G78" s="6"/>
      <c r="H78" s="6"/>
      <c r="I78" s="6"/>
      <c r="J78" s="6"/>
    </row>
    <row r="79" spans="1:10" x14ac:dyDescent="0.3">
      <c r="A79" s="7"/>
      <c r="C79" s="6"/>
      <c r="D79" s="6"/>
      <c r="E79" s="6"/>
      <c r="F79" s="6"/>
      <c r="G79" s="6"/>
      <c r="H79" s="6"/>
      <c r="I79" s="6"/>
      <c r="J79" s="6"/>
    </row>
    <row r="80" spans="1:10" x14ac:dyDescent="0.3">
      <c r="A80" s="7"/>
      <c r="C80" s="6"/>
      <c r="D80" s="6"/>
      <c r="E80" s="6"/>
      <c r="F80" s="6"/>
      <c r="G80" s="6"/>
      <c r="H80" s="6"/>
      <c r="I80" s="6"/>
      <c r="J80" s="6"/>
    </row>
    <row r="81" spans="1:10" x14ac:dyDescent="0.3">
      <c r="A81" s="7"/>
      <c r="C81" s="6"/>
      <c r="D81" s="6"/>
      <c r="E81" s="6"/>
      <c r="F81" s="6"/>
      <c r="G81" s="6"/>
      <c r="H81" s="6"/>
      <c r="I81" s="6"/>
      <c r="J81" s="6"/>
    </row>
    <row r="82" spans="1:10" x14ac:dyDescent="0.3">
      <c r="A82" s="7"/>
      <c r="C82" s="6"/>
      <c r="D82" s="6"/>
      <c r="E82" s="6"/>
      <c r="F82" s="6"/>
      <c r="G82" s="6"/>
      <c r="H82" s="6"/>
      <c r="I82" s="6"/>
      <c r="J82" s="6"/>
    </row>
    <row r="83" spans="1:10" x14ac:dyDescent="0.3">
      <c r="A83" s="7"/>
      <c r="C83" s="6"/>
      <c r="D83" s="6"/>
      <c r="E83" s="6"/>
      <c r="F83" s="6"/>
      <c r="G83" s="6"/>
      <c r="H83" s="6"/>
      <c r="I83" s="6"/>
      <c r="J83" s="6"/>
    </row>
    <row r="84" spans="1:10" x14ac:dyDescent="0.3">
      <c r="A84" s="7"/>
      <c r="C84" s="6"/>
      <c r="D84" s="6"/>
      <c r="E84" s="6"/>
      <c r="F84" s="6"/>
      <c r="G84" s="6"/>
      <c r="H84" s="6"/>
      <c r="I84" s="6"/>
      <c r="J84" s="6"/>
    </row>
    <row r="85" spans="1:10" x14ac:dyDescent="0.3">
      <c r="A85" s="7"/>
      <c r="C85" s="6"/>
      <c r="D85" s="6"/>
      <c r="E85" s="6"/>
      <c r="F85" s="6"/>
      <c r="G85" s="6"/>
      <c r="H85" s="6"/>
      <c r="I85" s="6"/>
      <c r="J85" s="6"/>
    </row>
    <row r="86" spans="1:10" x14ac:dyDescent="0.3">
      <c r="A86" s="7"/>
      <c r="C86" s="6"/>
      <c r="D86" s="6"/>
      <c r="E86" s="6"/>
      <c r="F86" s="6"/>
      <c r="G86" s="6"/>
      <c r="H86" s="6"/>
      <c r="I86" s="6"/>
      <c r="J86" s="6"/>
    </row>
    <row r="87" spans="1:10" x14ac:dyDescent="0.3">
      <c r="A87" s="7"/>
      <c r="C87" s="6"/>
      <c r="D87" s="6"/>
      <c r="E87" s="6"/>
      <c r="F87" s="6"/>
      <c r="G87" s="6"/>
      <c r="H87" s="6"/>
      <c r="I87" s="6"/>
      <c r="J87" s="6"/>
    </row>
    <row r="88" spans="1:10" x14ac:dyDescent="0.3">
      <c r="A88" s="7"/>
      <c r="C88" s="6"/>
      <c r="D88" s="6"/>
      <c r="E88" s="6"/>
      <c r="F88" s="6"/>
      <c r="G88" s="6"/>
      <c r="H88" s="6"/>
      <c r="I88" s="6"/>
      <c r="J88" s="6"/>
    </row>
    <row r="89" spans="1:10" x14ac:dyDescent="0.3">
      <c r="A89" s="7"/>
      <c r="C89" s="6"/>
      <c r="D89" s="6"/>
      <c r="E89" s="6"/>
      <c r="F89" s="6"/>
      <c r="G89" s="6"/>
      <c r="H89" s="6"/>
      <c r="I89" s="6"/>
      <c r="J89" s="6"/>
    </row>
    <row r="90" spans="1:10" x14ac:dyDescent="0.3">
      <c r="A90" s="7"/>
      <c r="C90" s="6"/>
      <c r="D90" s="6"/>
      <c r="E90" s="6"/>
      <c r="F90" s="6"/>
      <c r="G90" s="6"/>
      <c r="H90" s="6"/>
      <c r="I90" s="6"/>
      <c r="J90" s="6"/>
    </row>
    <row r="91" spans="1:10" x14ac:dyDescent="0.3">
      <c r="A91" s="7"/>
      <c r="C91" s="6"/>
      <c r="D91" s="6"/>
      <c r="E91" s="6"/>
      <c r="F91" s="6"/>
      <c r="G91" s="6"/>
      <c r="H91" s="6"/>
      <c r="I91" s="6"/>
      <c r="J91" s="6"/>
    </row>
    <row r="92" spans="1:10" x14ac:dyDescent="0.3">
      <c r="A92" s="7"/>
      <c r="C92" s="6"/>
      <c r="D92" s="6"/>
      <c r="E92" s="6"/>
      <c r="F92" s="6"/>
      <c r="G92" s="6"/>
      <c r="H92" s="6"/>
      <c r="I92" s="6"/>
      <c r="J92" s="6"/>
    </row>
    <row r="93" spans="1:10" x14ac:dyDescent="0.3">
      <c r="A93" s="7"/>
      <c r="C93" s="6"/>
      <c r="D93" s="6"/>
      <c r="E93" s="6"/>
      <c r="F93" s="6"/>
      <c r="G93" s="6"/>
      <c r="H93" s="6"/>
      <c r="I93" s="6"/>
      <c r="J93" s="6"/>
    </row>
    <row r="94" spans="1:10" x14ac:dyDescent="0.3">
      <c r="A94" s="7"/>
      <c r="C94" s="6"/>
      <c r="D94" s="6"/>
      <c r="E94" s="6"/>
      <c r="F94" s="6"/>
      <c r="G94" s="6"/>
      <c r="H94" s="6"/>
      <c r="I94" s="6"/>
      <c r="J94" s="6"/>
    </row>
    <row r="95" spans="1:10" x14ac:dyDescent="0.3">
      <c r="A95" s="7"/>
      <c r="C95" s="6"/>
      <c r="D95" s="6"/>
      <c r="E95" s="6"/>
      <c r="F95" s="6"/>
      <c r="G95" s="6"/>
      <c r="H95" s="6"/>
      <c r="I95" s="6"/>
      <c r="J95" s="6"/>
    </row>
    <row r="96" spans="1:10" x14ac:dyDescent="0.3">
      <c r="A96" s="7"/>
      <c r="C96" s="6"/>
      <c r="D96" s="6"/>
      <c r="E96" s="6"/>
      <c r="F96" s="6"/>
      <c r="G96" s="6"/>
      <c r="H96" s="6"/>
      <c r="I96" s="6"/>
      <c r="J96" s="6"/>
    </row>
    <row r="97" spans="1:10" x14ac:dyDescent="0.3">
      <c r="A97" s="7"/>
      <c r="C97" s="6"/>
      <c r="D97" s="6"/>
      <c r="E97" s="6"/>
      <c r="F97" s="6"/>
      <c r="G97" s="6"/>
      <c r="H97" s="6"/>
      <c r="I97" s="6"/>
      <c r="J97" s="6"/>
    </row>
    <row r="98" spans="1:10" x14ac:dyDescent="0.3">
      <c r="A98" s="7"/>
      <c r="C98" s="6"/>
      <c r="D98" s="6"/>
      <c r="E98" s="6"/>
      <c r="F98" s="6"/>
      <c r="G98" s="6"/>
      <c r="H98" s="6"/>
      <c r="I98" s="6"/>
      <c r="J98" s="6"/>
    </row>
    <row r="99" spans="1:10" x14ac:dyDescent="0.3">
      <c r="A99" s="7"/>
      <c r="C99" s="6"/>
      <c r="D99" s="6"/>
      <c r="E99" s="6"/>
      <c r="F99" s="6"/>
      <c r="G99" s="6"/>
      <c r="H99" s="6"/>
      <c r="I99" s="6"/>
      <c r="J99" s="6"/>
    </row>
    <row r="100" spans="1:10" x14ac:dyDescent="0.3">
      <c r="A100" s="7"/>
      <c r="C100" s="6"/>
      <c r="D100" s="6"/>
      <c r="E100" s="6"/>
      <c r="F100" s="6"/>
      <c r="G100" s="6"/>
      <c r="H100" s="6"/>
      <c r="I100" s="6"/>
      <c r="J100" s="6"/>
    </row>
    <row r="101" spans="1:10" x14ac:dyDescent="0.3">
      <c r="A101" s="7"/>
      <c r="C101" s="6"/>
      <c r="D101" s="6"/>
      <c r="E101" s="6"/>
      <c r="F101" s="6"/>
      <c r="G101" s="6"/>
      <c r="H101" s="6"/>
      <c r="I101" s="6"/>
      <c r="J101" s="6"/>
    </row>
    <row r="102" spans="1:10" x14ac:dyDescent="0.3">
      <c r="A102" s="7"/>
      <c r="C102" s="6"/>
      <c r="D102" s="6"/>
      <c r="E102" s="6"/>
      <c r="F102" s="6"/>
      <c r="G102" s="6"/>
      <c r="H102" s="6"/>
      <c r="I102" s="6"/>
      <c r="J102" s="6"/>
    </row>
    <row r="103" spans="1:10" x14ac:dyDescent="0.3">
      <c r="A103" s="7"/>
      <c r="C103" s="6"/>
      <c r="D103" s="6"/>
      <c r="E103" s="6"/>
      <c r="F103" s="6"/>
      <c r="G103" s="6"/>
      <c r="H103" s="6"/>
      <c r="I103" s="6"/>
      <c r="J103" s="6"/>
    </row>
    <row r="104" spans="1:10" x14ac:dyDescent="0.3">
      <c r="A104" s="7"/>
      <c r="C104" s="6"/>
      <c r="D104" s="6"/>
      <c r="E104" s="6"/>
      <c r="F104" s="6"/>
      <c r="G104" s="6"/>
      <c r="H104" s="6"/>
      <c r="I104" s="6"/>
      <c r="J104" s="6"/>
    </row>
    <row r="105" spans="1:10" x14ac:dyDescent="0.3">
      <c r="A105" s="7"/>
      <c r="C105" s="6"/>
      <c r="D105" s="6"/>
      <c r="E105" s="6"/>
      <c r="F105" s="6"/>
      <c r="G105" s="6"/>
      <c r="H105" s="6"/>
      <c r="I105" s="6"/>
      <c r="J105" s="6"/>
    </row>
    <row r="106" spans="1:10" x14ac:dyDescent="0.3">
      <c r="A106" s="7"/>
      <c r="C106" s="6"/>
      <c r="D106" s="6"/>
      <c r="E106" s="6"/>
      <c r="F106" s="6"/>
      <c r="G106" s="6"/>
      <c r="H106" s="6"/>
      <c r="I106" s="6"/>
      <c r="J106" s="6"/>
    </row>
    <row r="107" spans="1:10" x14ac:dyDescent="0.3">
      <c r="A107" s="7"/>
      <c r="C107" s="6"/>
      <c r="D107" s="6"/>
      <c r="E107" s="6"/>
      <c r="F107" s="6"/>
      <c r="G107" s="6"/>
      <c r="H107" s="6"/>
      <c r="I107" s="6"/>
      <c r="J107" s="6"/>
    </row>
    <row r="108" spans="1:10" x14ac:dyDescent="0.3">
      <c r="A108" s="7"/>
      <c r="C108" s="6"/>
      <c r="D108" s="6"/>
      <c r="E108" s="6"/>
      <c r="F108" s="6"/>
      <c r="G108" s="6"/>
      <c r="H108" s="6"/>
      <c r="I108" s="6"/>
      <c r="J108" s="6"/>
    </row>
    <row r="109" spans="1:10" x14ac:dyDescent="0.3">
      <c r="A109" s="7"/>
      <c r="C109" s="6"/>
      <c r="D109" s="6"/>
      <c r="E109" s="6"/>
      <c r="F109" s="6"/>
      <c r="G109" s="6"/>
      <c r="H109" s="6"/>
      <c r="I109" s="6"/>
      <c r="J109" s="6"/>
    </row>
    <row r="110" spans="1:10" x14ac:dyDescent="0.3">
      <c r="A110" s="7"/>
      <c r="C110" s="6"/>
      <c r="D110" s="6"/>
      <c r="E110" s="6"/>
      <c r="F110" s="6"/>
      <c r="G110" s="6"/>
      <c r="H110" s="6"/>
      <c r="I110" s="6"/>
      <c r="J110" s="6"/>
    </row>
    <row r="111" spans="1:10" x14ac:dyDescent="0.3">
      <c r="A111" s="7"/>
      <c r="C111" s="6"/>
      <c r="D111" s="6"/>
      <c r="E111" s="6"/>
      <c r="F111" s="6"/>
      <c r="G111" s="6"/>
      <c r="H111" s="6"/>
      <c r="I111" s="6"/>
      <c r="J111" s="6"/>
    </row>
    <row r="112" spans="1:10" x14ac:dyDescent="0.3">
      <c r="A112" s="7"/>
      <c r="C112" s="6"/>
      <c r="D112" s="6"/>
      <c r="E112" s="6"/>
      <c r="F112" s="6"/>
      <c r="G112" s="6"/>
      <c r="H112" s="6"/>
      <c r="I112" s="6"/>
      <c r="J112" s="6"/>
    </row>
    <row r="113" spans="1:10" x14ac:dyDescent="0.3">
      <c r="A113" s="7"/>
      <c r="C113" s="6"/>
      <c r="D113" s="6"/>
      <c r="E113" s="6"/>
      <c r="F113" s="6"/>
      <c r="G113" s="6"/>
      <c r="H113" s="6"/>
      <c r="I113" s="6"/>
      <c r="J113" s="6"/>
    </row>
    <row r="114" spans="1:10" x14ac:dyDescent="0.3">
      <c r="A114" s="7"/>
      <c r="C114" s="6"/>
      <c r="D114" s="6"/>
      <c r="E114" s="6"/>
      <c r="F114" s="6"/>
      <c r="G114" s="6"/>
      <c r="H114" s="6"/>
      <c r="I114" s="6"/>
      <c r="J114" s="6"/>
    </row>
    <row r="115" spans="1:10" x14ac:dyDescent="0.3">
      <c r="A115" s="7"/>
      <c r="C115" s="6"/>
      <c r="D115" s="6"/>
      <c r="E115" s="6"/>
      <c r="F115" s="6"/>
      <c r="G115" s="6"/>
      <c r="H115" s="6"/>
      <c r="I115" s="6"/>
      <c r="J115" s="6"/>
    </row>
    <row r="116" spans="1:10" x14ac:dyDescent="0.3">
      <c r="A116" s="7"/>
      <c r="C116" s="6"/>
      <c r="D116" s="6"/>
      <c r="E116" s="6"/>
      <c r="F116" s="6"/>
      <c r="G116" s="6"/>
      <c r="H116" s="6"/>
      <c r="I116" s="6"/>
      <c r="J116" s="6"/>
    </row>
    <row r="117" spans="1:10" x14ac:dyDescent="0.3">
      <c r="A117" s="7"/>
      <c r="C117" s="6"/>
      <c r="D117" s="6"/>
      <c r="E117" s="6"/>
      <c r="F117" s="6"/>
      <c r="G117" s="6"/>
      <c r="H117" s="6"/>
      <c r="I117" s="6"/>
      <c r="J117" s="6"/>
    </row>
    <row r="118" spans="1:10" x14ac:dyDescent="0.3">
      <c r="A118" s="7"/>
      <c r="C118" s="6"/>
      <c r="D118" s="6"/>
      <c r="E118" s="6"/>
      <c r="F118" s="6"/>
      <c r="G118" s="6"/>
      <c r="H118" s="6"/>
      <c r="I118" s="6"/>
      <c r="J118" s="6"/>
    </row>
    <row r="119" spans="1:10" x14ac:dyDescent="0.3">
      <c r="A119" s="7"/>
      <c r="C119" s="6"/>
      <c r="D119" s="6"/>
      <c r="E119" s="6"/>
      <c r="F119" s="6"/>
      <c r="G119" s="6"/>
      <c r="H119" s="6"/>
      <c r="I119" s="6"/>
      <c r="J119" s="6"/>
    </row>
    <row r="120" spans="1:10" x14ac:dyDescent="0.3">
      <c r="A120" s="7"/>
      <c r="C120" s="6"/>
      <c r="D120" s="6"/>
      <c r="E120" s="6"/>
      <c r="F120" s="6"/>
      <c r="G120" s="6"/>
      <c r="H120" s="6"/>
      <c r="I120" s="6"/>
      <c r="J120" s="6"/>
    </row>
    <row r="121" spans="1:10" x14ac:dyDescent="0.3">
      <c r="A121" s="7"/>
      <c r="C121" s="6"/>
      <c r="D121" s="6"/>
      <c r="E121" s="6"/>
      <c r="F121" s="6"/>
      <c r="G121" s="6"/>
      <c r="H121" s="6"/>
      <c r="I121" s="6"/>
      <c r="J121" s="6"/>
    </row>
    <row r="122" spans="1:10" x14ac:dyDescent="0.3">
      <c r="A122" s="7"/>
      <c r="C122" s="6"/>
      <c r="D122" s="6"/>
      <c r="E122" s="6"/>
      <c r="F122" s="6"/>
      <c r="G122" s="6"/>
      <c r="H122" s="6"/>
      <c r="I122" s="6"/>
      <c r="J122" s="6"/>
    </row>
    <row r="123" spans="1:10" x14ac:dyDescent="0.3">
      <c r="A123" s="7"/>
      <c r="C123" s="6"/>
      <c r="D123" s="6"/>
      <c r="E123" s="6"/>
      <c r="F123" s="6"/>
      <c r="G123" s="6"/>
      <c r="H123" s="6"/>
      <c r="I123" s="6"/>
      <c r="J123" s="6"/>
    </row>
    <row r="124" spans="1:10" x14ac:dyDescent="0.3">
      <c r="A124" s="7"/>
      <c r="C124" s="6"/>
      <c r="D124" s="6"/>
      <c r="E124" s="6"/>
      <c r="F124" s="6"/>
      <c r="G124" s="6"/>
      <c r="H124" s="6"/>
      <c r="I124" s="6"/>
      <c r="J124" s="6"/>
    </row>
    <row r="125" spans="1:10" x14ac:dyDescent="0.3">
      <c r="A125" s="7"/>
      <c r="C125" s="6"/>
      <c r="D125" s="6"/>
      <c r="E125" s="6"/>
      <c r="F125" s="6"/>
      <c r="G125" s="6"/>
      <c r="H125" s="6"/>
      <c r="I125" s="6"/>
      <c r="J125" s="6"/>
    </row>
    <row r="126" spans="1:10" x14ac:dyDescent="0.3">
      <c r="A126" s="7"/>
      <c r="C126" s="6"/>
      <c r="D126" s="6"/>
      <c r="E126" s="6"/>
      <c r="F126" s="6"/>
      <c r="G126" s="6"/>
      <c r="H126" s="6"/>
      <c r="I126" s="6"/>
      <c r="J126" s="6"/>
    </row>
    <row r="127" spans="1:10" x14ac:dyDescent="0.3">
      <c r="A127" s="7"/>
      <c r="C127" s="6"/>
      <c r="D127" s="6"/>
      <c r="E127" s="6"/>
      <c r="F127" s="6"/>
      <c r="G127" s="6"/>
      <c r="H127" s="6"/>
      <c r="I127" s="6"/>
      <c r="J127" s="6"/>
    </row>
    <row r="128" spans="1:10" x14ac:dyDescent="0.3">
      <c r="A128" s="7"/>
      <c r="C128" s="6"/>
      <c r="D128" s="6"/>
      <c r="E128" s="6"/>
      <c r="F128" s="6"/>
      <c r="G128" s="6"/>
      <c r="H128" s="6"/>
      <c r="I128" s="6"/>
      <c r="J128" s="6"/>
    </row>
    <row r="129" spans="1:10" x14ac:dyDescent="0.3">
      <c r="A129" s="7"/>
      <c r="C129" s="6"/>
      <c r="D129" s="6"/>
      <c r="E129" s="6"/>
      <c r="F129" s="6"/>
      <c r="G129" s="6"/>
      <c r="H129" s="6"/>
      <c r="I129" s="6"/>
      <c r="J129" s="6"/>
    </row>
    <row r="130" spans="1:10" x14ac:dyDescent="0.3">
      <c r="A130" s="7"/>
      <c r="C130" s="6"/>
      <c r="D130" s="6"/>
      <c r="E130" s="6"/>
      <c r="F130" s="6"/>
      <c r="G130" s="6"/>
      <c r="H130" s="6"/>
      <c r="I130" s="6"/>
      <c r="J130" s="6"/>
    </row>
    <row r="131" spans="1:10" x14ac:dyDescent="0.3">
      <c r="A131" s="7"/>
      <c r="C131" s="6"/>
      <c r="D131" s="6"/>
      <c r="E131" s="6"/>
      <c r="F131" s="6"/>
      <c r="G131" s="6"/>
      <c r="H131" s="6"/>
      <c r="I131" s="6"/>
      <c r="J131" s="6"/>
    </row>
    <row r="132" spans="1:10" x14ac:dyDescent="0.3">
      <c r="A132" s="7"/>
      <c r="C132" s="6"/>
      <c r="D132" s="6"/>
      <c r="E132" s="6"/>
      <c r="F132" s="6"/>
      <c r="G132" s="6"/>
      <c r="H132" s="6"/>
      <c r="I132" s="6"/>
      <c r="J132" s="6"/>
    </row>
    <row r="133" spans="1:10" x14ac:dyDescent="0.3">
      <c r="A133" s="7"/>
      <c r="C133" s="6"/>
      <c r="D133" s="6"/>
      <c r="E133" s="6"/>
      <c r="F133" s="6"/>
      <c r="G133" s="6"/>
      <c r="H133" s="6"/>
      <c r="I133" s="6"/>
      <c r="J133" s="6"/>
    </row>
    <row r="134" spans="1:10" x14ac:dyDescent="0.3">
      <c r="A134" s="7"/>
      <c r="C134" s="6"/>
      <c r="D134" s="6"/>
      <c r="E134" s="6"/>
      <c r="F134" s="6"/>
      <c r="G134" s="6"/>
      <c r="H134" s="6"/>
      <c r="I134" s="6"/>
      <c r="J134" s="6"/>
    </row>
    <row r="135" spans="1:10" x14ac:dyDescent="0.3">
      <c r="A135" s="7"/>
      <c r="C135" s="6"/>
      <c r="D135" s="6"/>
      <c r="E135" s="6"/>
      <c r="F135" s="6"/>
      <c r="G135" s="6"/>
      <c r="H135" s="6"/>
      <c r="I135" s="6"/>
      <c r="J135" s="6"/>
    </row>
    <row r="136" spans="1:10" x14ac:dyDescent="0.3">
      <c r="A136" s="7"/>
      <c r="C136" s="6"/>
      <c r="D136" s="6"/>
      <c r="E136" s="6"/>
      <c r="F136" s="6"/>
      <c r="G136" s="6"/>
      <c r="H136" s="6"/>
      <c r="I136" s="6"/>
      <c r="J136" s="6"/>
    </row>
    <row r="137" spans="1:10" x14ac:dyDescent="0.3">
      <c r="A137" s="7"/>
      <c r="C137" s="6"/>
      <c r="D137" s="6"/>
      <c r="E137" s="6"/>
      <c r="F137" s="6"/>
      <c r="G137" s="6"/>
      <c r="H137" s="6"/>
      <c r="I137" s="6"/>
      <c r="J137" s="6"/>
    </row>
    <row r="138" spans="1:10" x14ac:dyDescent="0.3">
      <c r="A138" s="7"/>
      <c r="C138" s="6"/>
      <c r="D138" s="6"/>
      <c r="E138" s="6"/>
      <c r="F138" s="6"/>
      <c r="G138" s="6"/>
      <c r="H138" s="6"/>
      <c r="I138" s="6"/>
      <c r="J138" s="6"/>
    </row>
    <row r="139" spans="1:10" x14ac:dyDescent="0.3">
      <c r="A139" s="7"/>
      <c r="C139" s="6"/>
      <c r="D139" s="6"/>
      <c r="E139" s="6"/>
      <c r="F139" s="6"/>
      <c r="G139" s="6"/>
      <c r="H139" s="6"/>
      <c r="I139" s="6"/>
      <c r="J139" s="6"/>
    </row>
    <row r="140" spans="1:10" x14ac:dyDescent="0.3">
      <c r="A140" s="7"/>
      <c r="C140" s="6"/>
      <c r="D140" s="6"/>
      <c r="E140" s="6"/>
      <c r="F140" s="6"/>
      <c r="G140" s="6"/>
      <c r="H140" s="6"/>
      <c r="I140" s="6"/>
      <c r="J140" s="6"/>
    </row>
    <row r="141" spans="1:10" x14ac:dyDescent="0.3">
      <c r="A141" s="7"/>
      <c r="C141" s="6"/>
      <c r="D141" s="6"/>
      <c r="E141" s="6"/>
      <c r="F141" s="6"/>
      <c r="G141" s="6"/>
      <c r="H141" s="6"/>
      <c r="I141" s="6"/>
      <c r="J141" s="6"/>
    </row>
    <row r="142" spans="1:10" x14ac:dyDescent="0.3">
      <c r="A142" s="7"/>
      <c r="C142" s="6"/>
      <c r="D142" s="6"/>
      <c r="E142" s="6"/>
      <c r="F142" s="6"/>
      <c r="G142" s="6"/>
      <c r="H142" s="6"/>
      <c r="I142" s="6"/>
      <c r="J142" s="6"/>
    </row>
    <row r="143" spans="1:10" x14ac:dyDescent="0.3">
      <c r="A143" s="7"/>
      <c r="C143" s="6"/>
      <c r="D143" s="6"/>
      <c r="E143" s="6"/>
      <c r="F143" s="6"/>
      <c r="G143" s="6"/>
      <c r="H143" s="6"/>
      <c r="I143" s="6"/>
      <c r="J143" s="6"/>
    </row>
    <row r="144" spans="1:10" x14ac:dyDescent="0.3">
      <c r="A144" s="7"/>
      <c r="C144" s="6"/>
      <c r="D144" s="6"/>
      <c r="E144" s="6"/>
      <c r="F144" s="6"/>
      <c r="G144" s="6"/>
      <c r="H144" s="6"/>
      <c r="I144" s="6"/>
      <c r="J144" s="6"/>
    </row>
    <row r="145" spans="1:10" x14ac:dyDescent="0.3">
      <c r="A145" s="7"/>
      <c r="C145" s="6"/>
      <c r="D145" s="6"/>
      <c r="E145" s="6"/>
      <c r="F145" s="6"/>
      <c r="G145" s="6"/>
      <c r="H145" s="6"/>
      <c r="I145" s="6"/>
      <c r="J145" s="6"/>
    </row>
    <row r="146" spans="1:10" x14ac:dyDescent="0.3">
      <c r="A146" s="7"/>
      <c r="C146" s="6"/>
      <c r="D146" s="6"/>
      <c r="E146" s="6"/>
      <c r="F146" s="6"/>
      <c r="G146" s="6"/>
      <c r="H146" s="6"/>
      <c r="I146" s="6"/>
      <c r="J146" s="6"/>
    </row>
    <row r="147" spans="1:10" x14ac:dyDescent="0.3">
      <c r="A147" s="7"/>
      <c r="C147" s="6"/>
      <c r="D147" s="6"/>
      <c r="E147" s="6"/>
      <c r="F147" s="6"/>
      <c r="G147" s="6"/>
      <c r="H147" s="6"/>
      <c r="I147" s="6"/>
      <c r="J147" s="6"/>
    </row>
    <row r="148" spans="1:10" x14ac:dyDescent="0.3">
      <c r="A148" s="7"/>
      <c r="C148" s="6"/>
      <c r="D148" s="6"/>
      <c r="E148" s="6"/>
      <c r="F148" s="6"/>
      <c r="G148" s="6"/>
      <c r="H148" s="6"/>
      <c r="I148" s="6"/>
      <c r="J148" s="6"/>
    </row>
    <row r="149" spans="1:10" x14ac:dyDescent="0.3">
      <c r="A149" s="7"/>
      <c r="C149" s="6"/>
      <c r="D149" s="6"/>
      <c r="E149" s="6"/>
      <c r="F149" s="6"/>
      <c r="G149" s="6"/>
      <c r="H149" s="6"/>
      <c r="I149" s="6"/>
      <c r="J149" s="6"/>
    </row>
    <row r="150" spans="1:10" x14ac:dyDescent="0.3">
      <c r="A150" s="7"/>
      <c r="C150" s="6"/>
      <c r="D150" s="6"/>
      <c r="E150" s="6"/>
      <c r="F150" s="6"/>
      <c r="G150" s="6"/>
      <c r="H150" s="6"/>
      <c r="I150" s="6"/>
      <c r="J150" s="6"/>
    </row>
    <row r="151" spans="1:10" x14ac:dyDescent="0.3">
      <c r="A151" s="7"/>
      <c r="C151" s="6"/>
      <c r="D151" s="6"/>
      <c r="E151" s="6"/>
      <c r="F151" s="6"/>
      <c r="G151" s="6"/>
      <c r="H151" s="6"/>
      <c r="I151" s="6"/>
      <c r="J151" s="6"/>
    </row>
    <row r="152" spans="1:10" x14ac:dyDescent="0.3">
      <c r="A152" s="7"/>
      <c r="C152" s="6"/>
      <c r="D152" s="6"/>
      <c r="E152" s="6"/>
      <c r="F152" s="6"/>
      <c r="G152" s="6"/>
      <c r="H152" s="6"/>
      <c r="I152" s="6"/>
      <c r="J152" s="6"/>
    </row>
    <row r="153" spans="1:10" x14ac:dyDescent="0.3">
      <c r="A153" s="7"/>
      <c r="C153" s="6"/>
      <c r="D153" s="6"/>
      <c r="E153" s="6"/>
      <c r="F153" s="6"/>
      <c r="G153" s="6"/>
      <c r="H153" s="6"/>
      <c r="I153" s="6"/>
      <c r="J153" s="6"/>
    </row>
    <row r="154" spans="1:10" x14ac:dyDescent="0.3">
      <c r="A154" s="7"/>
      <c r="C154" s="6"/>
      <c r="D154" s="6"/>
      <c r="E154" s="6"/>
      <c r="F154" s="6"/>
      <c r="G154" s="6"/>
      <c r="H154" s="6"/>
      <c r="I154" s="6"/>
      <c r="J154" s="6"/>
    </row>
    <row r="155" spans="1:10" x14ac:dyDescent="0.3">
      <c r="A155" s="7"/>
      <c r="C155" s="6"/>
      <c r="D155" s="6"/>
      <c r="E155" s="6"/>
      <c r="F155" s="6"/>
      <c r="G155" s="6"/>
      <c r="H155" s="6"/>
      <c r="I155" s="6"/>
      <c r="J155" s="6"/>
    </row>
    <row r="156" spans="1:10" x14ac:dyDescent="0.3">
      <c r="A156" s="7"/>
      <c r="C156" s="6"/>
      <c r="D156" s="6"/>
      <c r="E156" s="6"/>
      <c r="F156" s="6"/>
      <c r="G156" s="6"/>
      <c r="H156" s="6"/>
      <c r="I156" s="6"/>
      <c r="J156" s="6"/>
    </row>
    <row r="157" spans="1:10" x14ac:dyDescent="0.3">
      <c r="A157" s="7"/>
      <c r="C157" s="6"/>
      <c r="D157" s="6"/>
      <c r="E157" s="6"/>
      <c r="F157" s="6"/>
      <c r="G157" s="6"/>
      <c r="H157" s="6"/>
      <c r="I157" s="6"/>
      <c r="J157" s="6"/>
    </row>
    <row r="158" spans="1:10" x14ac:dyDescent="0.3">
      <c r="A158" s="7"/>
      <c r="C158" s="6"/>
      <c r="D158" s="6"/>
      <c r="E158" s="6"/>
      <c r="F158" s="6"/>
      <c r="G158" s="6"/>
      <c r="H158" s="6"/>
      <c r="I158" s="6"/>
      <c r="J158" s="6"/>
    </row>
    <row r="159" spans="1:10" x14ac:dyDescent="0.3">
      <c r="A159" s="7"/>
      <c r="C159" s="6"/>
      <c r="D159" s="6"/>
      <c r="E159" s="6"/>
      <c r="F159" s="6"/>
      <c r="G159" s="6"/>
      <c r="H159" s="6"/>
      <c r="I159" s="6"/>
      <c r="J159" s="6"/>
    </row>
    <row r="160" spans="1:10" x14ac:dyDescent="0.3">
      <c r="A160" s="7"/>
      <c r="C160" s="6"/>
      <c r="D160" s="6"/>
      <c r="E160" s="6"/>
      <c r="F160" s="6"/>
      <c r="G160" s="6"/>
      <c r="H160" s="6"/>
      <c r="I160" s="6"/>
      <c r="J160" s="6"/>
    </row>
    <row r="161" spans="1:10" x14ac:dyDescent="0.3">
      <c r="A161" s="7"/>
      <c r="C161" s="6"/>
      <c r="D161" s="6"/>
      <c r="E161" s="6"/>
      <c r="F161" s="6"/>
      <c r="G161" s="6"/>
      <c r="H161" s="6"/>
      <c r="I161" s="6"/>
      <c r="J161" s="6"/>
    </row>
    <row r="162" spans="1:10" x14ac:dyDescent="0.3">
      <c r="A162" s="7"/>
      <c r="C162" s="6"/>
      <c r="D162" s="6"/>
      <c r="E162" s="6"/>
      <c r="F162" s="6"/>
      <c r="G162" s="6"/>
      <c r="H162" s="6"/>
      <c r="I162" s="6"/>
      <c r="J162" s="6"/>
    </row>
    <row r="163" spans="1:10" x14ac:dyDescent="0.3">
      <c r="A163" s="7"/>
      <c r="C163" s="6"/>
      <c r="D163" s="6"/>
      <c r="E163" s="6"/>
      <c r="F163" s="6"/>
      <c r="G163" s="6"/>
      <c r="H163" s="6"/>
      <c r="I163" s="6"/>
      <c r="J163" s="6"/>
    </row>
    <row r="164" spans="1:10" x14ac:dyDescent="0.3">
      <c r="A164" s="7"/>
      <c r="C164" s="6"/>
      <c r="D164" s="6"/>
      <c r="E164" s="6"/>
      <c r="F164" s="6"/>
      <c r="G164" s="6"/>
      <c r="H164" s="6"/>
      <c r="I164" s="6"/>
      <c r="J164" s="6"/>
    </row>
    <row r="165" spans="1:10" x14ac:dyDescent="0.3">
      <c r="A165" s="7"/>
      <c r="C165" s="6"/>
      <c r="D165" s="6"/>
      <c r="E165" s="6"/>
      <c r="F165" s="6"/>
      <c r="G165" s="6"/>
      <c r="H165" s="6"/>
      <c r="I165" s="6"/>
      <c r="J165" s="6"/>
    </row>
    <row r="166" spans="1:10" x14ac:dyDescent="0.3">
      <c r="A166" s="7"/>
      <c r="C166" s="6"/>
      <c r="D166" s="6"/>
      <c r="E166" s="6"/>
      <c r="F166" s="6"/>
      <c r="G166" s="6"/>
      <c r="H166" s="6"/>
      <c r="I166" s="6"/>
      <c r="J166" s="6"/>
    </row>
    <row r="167" spans="1:10" x14ac:dyDescent="0.3">
      <c r="A167" s="7"/>
      <c r="C167" s="6"/>
      <c r="D167" s="6"/>
      <c r="E167" s="6"/>
      <c r="F167" s="6"/>
      <c r="G167" s="6"/>
      <c r="H167" s="6"/>
      <c r="I167" s="6"/>
      <c r="J167" s="6"/>
    </row>
    <row r="168" spans="1:10" x14ac:dyDescent="0.3">
      <c r="A168" s="7"/>
      <c r="C168" s="6"/>
      <c r="D168" s="6"/>
      <c r="E168" s="6"/>
      <c r="F168" s="6"/>
      <c r="G168" s="6"/>
      <c r="H168" s="6"/>
      <c r="I168" s="6"/>
      <c r="J168" s="6"/>
    </row>
    <row r="169" spans="1:10" x14ac:dyDescent="0.3">
      <c r="A169" s="7"/>
      <c r="C169" s="6"/>
      <c r="D169" s="6"/>
      <c r="E169" s="6"/>
      <c r="F169" s="6"/>
      <c r="G169" s="6"/>
      <c r="H169" s="6"/>
      <c r="I169" s="6"/>
      <c r="J169" s="6"/>
    </row>
    <row r="170" spans="1:10" x14ac:dyDescent="0.3">
      <c r="A170" s="7"/>
      <c r="C170" s="6"/>
      <c r="D170" s="6"/>
      <c r="E170" s="6"/>
      <c r="F170" s="6"/>
      <c r="G170" s="6"/>
      <c r="H170" s="6"/>
      <c r="I170" s="6"/>
      <c r="J170" s="6"/>
    </row>
    <row r="171" spans="1:10" x14ac:dyDescent="0.3">
      <c r="A171" s="7"/>
      <c r="C171" s="6"/>
      <c r="D171" s="6"/>
      <c r="E171" s="6"/>
      <c r="F171" s="6"/>
      <c r="G171" s="6"/>
      <c r="H171" s="6"/>
      <c r="I171" s="6"/>
      <c r="J171" s="6"/>
    </row>
    <row r="172" spans="1:10" x14ac:dyDescent="0.3">
      <c r="A172" s="7"/>
      <c r="C172" s="6"/>
      <c r="D172" s="6"/>
      <c r="E172" s="6"/>
      <c r="F172" s="6"/>
      <c r="G172" s="6"/>
      <c r="H172" s="6"/>
      <c r="I172" s="6"/>
      <c r="J172" s="6"/>
    </row>
    <row r="173" spans="1:10" x14ac:dyDescent="0.3">
      <c r="A173" s="7"/>
      <c r="C173" s="6"/>
      <c r="D173" s="6"/>
      <c r="E173" s="6"/>
      <c r="F173" s="6"/>
      <c r="G173" s="6"/>
      <c r="H173" s="6"/>
      <c r="I173" s="6"/>
      <c r="J173" s="6"/>
    </row>
    <row r="174" spans="1:10" x14ac:dyDescent="0.3">
      <c r="A174" s="7"/>
      <c r="C174" s="6"/>
      <c r="D174" s="6"/>
      <c r="E174" s="6"/>
      <c r="F174" s="6"/>
      <c r="G174" s="6"/>
      <c r="H174" s="6"/>
      <c r="I174" s="6"/>
      <c r="J174" s="6"/>
    </row>
    <row r="175" spans="1:10" x14ac:dyDescent="0.3">
      <c r="A175" s="7"/>
      <c r="C175" s="6"/>
      <c r="D175" s="6"/>
      <c r="E175" s="6"/>
      <c r="F175" s="6"/>
      <c r="G175" s="6"/>
      <c r="H175" s="6"/>
      <c r="I175" s="6"/>
      <c r="J175" s="6"/>
    </row>
    <row r="176" spans="1:10" x14ac:dyDescent="0.3">
      <c r="A176" s="7"/>
      <c r="C176" s="6"/>
      <c r="D176" s="6"/>
      <c r="E176" s="6"/>
      <c r="F176" s="6"/>
      <c r="G176" s="6"/>
      <c r="H176" s="6"/>
      <c r="I176" s="6"/>
      <c r="J176" s="6"/>
    </row>
    <row r="177" spans="1:10" x14ac:dyDescent="0.3">
      <c r="A177" s="7"/>
      <c r="C177" s="6"/>
      <c r="D177" s="6"/>
      <c r="E177" s="6"/>
      <c r="F177" s="6"/>
      <c r="G177" s="6"/>
      <c r="H177" s="6"/>
      <c r="I177" s="6"/>
      <c r="J177" s="6"/>
    </row>
    <row r="178" spans="1:10" x14ac:dyDescent="0.3">
      <c r="A178" s="7"/>
      <c r="C178" s="6"/>
      <c r="D178" s="6"/>
      <c r="E178" s="6"/>
      <c r="F178" s="6"/>
      <c r="G178" s="6"/>
      <c r="H178" s="6"/>
      <c r="I178" s="6"/>
      <c r="J178" s="6"/>
    </row>
    <row r="179" spans="1:10" x14ac:dyDescent="0.3">
      <c r="A179" s="7"/>
      <c r="C179" s="6"/>
      <c r="D179" s="6"/>
      <c r="E179" s="6"/>
      <c r="F179" s="6"/>
      <c r="G179" s="6"/>
      <c r="H179" s="6"/>
      <c r="I179" s="6"/>
      <c r="J179" s="6"/>
    </row>
    <row r="180" spans="1:10" x14ac:dyDescent="0.3">
      <c r="A180" s="7"/>
      <c r="C180" s="6"/>
      <c r="D180" s="6"/>
      <c r="E180" s="6"/>
      <c r="F180" s="6"/>
      <c r="G180" s="6"/>
      <c r="H180" s="6"/>
      <c r="I180" s="6"/>
      <c r="J180" s="6"/>
    </row>
    <row r="181" spans="1:10" x14ac:dyDescent="0.3">
      <c r="A181" s="7"/>
      <c r="C181" s="6"/>
      <c r="D181" s="6"/>
      <c r="E181" s="6"/>
      <c r="F181" s="6"/>
      <c r="G181" s="6"/>
      <c r="H181" s="6"/>
      <c r="I181" s="6"/>
      <c r="J181" s="6"/>
    </row>
    <row r="182" spans="1:10" x14ac:dyDescent="0.3">
      <c r="A182" s="7"/>
      <c r="C182" s="6"/>
      <c r="D182" s="6"/>
      <c r="E182" s="6"/>
      <c r="F182" s="6"/>
      <c r="G182" s="6"/>
      <c r="H182" s="6"/>
      <c r="I182" s="6"/>
      <c r="J182" s="6"/>
    </row>
    <row r="183" spans="1:10" x14ac:dyDescent="0.3">
      <c r="A183" s="7"/>
      <c r="C183" s="6"/>
      <c r="D183" s="6"/>
      <c r="E183" s="6"/>
      <c r="F183" s="6"/>
      <c r="G183" s="6"/>
      <c r="H183" s="6"/>
      <c r="I183" s="6"/>
      <c r="J183" s="6"/>
    </row>
    <row r="184" spans="1:10" x14ac:dyDescent="0.3">
      <c r="A184" s="7"/>
      <c r="C184" s="6"/>
      <c r="D184" s="6"/>
      <c r="E184" s="6"/>
      <c r="F184" s="6"/>
      <c r="G184" s="6"/>
      <c r="H184" s="6"/>
      <c r="I184" s="6"/>
      <c r="J184" s="6"/>
    </row>
    <row r="185" spans="1:10" x14ac:dyDescent="0.3">
      <c r="A185" s="7"/>
      <c r="C185" s="6"/>
      <c r="D185" s="6"/>
      <c r="E185" s="6"/>
      <c r="F185" s="6"/>
      <c r="G185" s="6"/>
      <c r="H185" s="6"/>
      <c r="I185" s="6"/>
      <c r="J185" s="6"/>
    </row>
    <row r="186" spans="1:10" x14ac:dyDescent="0.3">
      <c r="A186" s="7"/>
      <c r="C186" s="6"/>
      <c r="D186" s="6"/>
      <c r="E186" s="6"/>
      <c r="F186" s="6"/>
      <c r="G186" s="6"/>
      <c r="H186" s="6"/>
      <c r="I186" s="6"/>
      <c r="J186" s="6"/>
    </row>
    <row r="187" spans="1:10" x14ac:dyDescent="0.3">
      <c r="A187" s="7"/>
      <c r="C187" s="6"/>
      <c r="D187" s="6"/>
      <c r="E187" s="6"/>
      <c r="F187" s="6"/>
      <c r="G187" s="6"/>
      <c r="H187" s="6"/>
      <c r="I187" s="6"/>
      <c r="J187" s="6"/>
    </row>
    <row r="188" spans="1:10" x14ac:dyDescent="0.3">
      <c r="A188" s="7"/>
      <c r="C188" s="6"/>
      <c r="D188" s="6"/>
      <c r="E188" s="6"/>
      <c r="F188" s="6"/>
      <c r="G188" s="6"/>
      <c r="H188" s="6"/>
      <c r="I188" s="6"/>
      <c r="J188" s="6"/>
    </row>
    <row r="189" spans="1:10" x14ac:dyDescent="0.3">
      <c r="A189" s="7"/>
      <c r="C189" s="6"/>
      <c r="D189" s="6"/>
      <c r="E189" s="6"/>
      <c r="F189" s="6"/>
      <c r="G189" s="6"/>
      <c r="H189" s="6"/>
      <c r="I189" s="6"/>
      <c r="J189" s="6"/>
    </row>
    <row r="190" spans="1:10" x14ac:dyDescent="0.3">
      <c r="A190" s="7"/>
      <c r="C190" s="6"/>
      <c r="D190" s="6"/>
      <c r="E190" s="6"/>
      <c r="F190" s="6"/>
      <c r="G190" s="6"/>
      <c r="H190" s="6"/>
      <c r="I190" s="6"/>
      <c r="J190" s="6"/>
    </row>
    <row r="191" spans="1:10" x14ac:dyDescent="0.3">
      <c r="A191" s="7"/>
      <c r="C191" s="6"/>
      <c r="D191" s="6"/>
      <c r="E191" s="6"/>
      <c r="F191" s="6"/>
      <c r="G191" s="6"/>
      <c r="H191" s="6"/>
      <c r="I191" s="6"/>
      <c r="J191" s="6"/>
    </row>
    <row r="192" spans="1:10" x14ac:dyDescent="0.3">
      <c r="A192" s="7"/>
      <c r="C192" s="6"/>
      <c r="D192" s="6"/>
      <c r="E192" s="6"/>
      <c r="F192" s="6"/>
      <c r="G192" s="6"/>
      <c r="H192" s="6"/>
      <c r="I192" s="6"/>
      <c r="J192" s="6"/>
    </row>
    <row r="193" spans="1:10" x14ac:dyDescent="0.3">
      <c r="A193" s="7"/>
      <c r="C193" s="6"/>
      <c r="D193" s="6"/>
      <c r="E193" s="6"/>
      <c r="F193" s="6"/>
      <c r="G193" s="6"/>
      <c r="H193" s="6"/>
      <c r="I193" s="6"/>
      <c r="J193" s="6"/>
    </row>
    <row r="194" spans="1:10" x14ac:dyDescent="0.3">
      <c r="A194" s="7"/>
      <c r="C194" s="6"/>
      <c r="D194" s="6"/>
      <c r="E194" s="6"/>
      <c r="F194" s="6"/>
      <c r="G194" s="6"/>
      <c r="H194" s="6"/>
      <c r="I194" s="6"/>
      <c r="J194" s="6"/>
    </row>
    <row r="195" spans="1:10" x14ac:dyDescent="0.3">
      <c r="A195" s="7"/>
      <c r="C195" s="6"/>
      <c r="D195" s="6"/>
      <c r="E195" s="6"/>
      <c r="F195" s="6"/>
      <c r="G195" s="6"/>
      <c r="H195" s="6"/>
      <c r="I195" s="6"/>
      <c r="J195" s="6"/>
    </row>
    <row r="196" spans="1:10" x14ac:dyDescent="0.3">
      <c r="A196" s="7"/>
      <c r="C196" s="6"/>
      <c r="D196" s="6"/>
      <c r="E196" s="6"/>
      <c r="F196" s="6"/>
      <c r="G196" s="6"/>
      <c r="H196" s="6"/>
      <c r="I196" s="6"/>
      <c r="J196" s="6"/>
    </row>
    <row r="197" spans="1:10" x14ac:dyDescent="0.3">
      <c r="A197" s="7"/>
      <c r="C197" s="6"/>
      <c r="D197" s="6"/>
      <c r="E197" s="6"/>
      <c r="F197" s="6"/>
      <c r="G197" s="6"/>
      <c r="H197" s="6"/>
      <c r="I197" s="6"/>
      <c r="J197" s="6"/>
    </row>
    <row r="198" spans="1:10" x14ac:dyDescent="0.3">
      <c r="A198" s="7"/>
      <c r="C198" s="6"/>
      <c r="D198" s="6"/>
      <c r="E198" s="6"/>
      <c r="F198" s="6"/>
      <c r="G198" s="6"/>
      <c r="H198" s="6"/>
      <c r="I198" s="6"/>
      <c r="J198" s="6"/>
    </row>
    <row r="199" spans="1:10" x14ac:dyDescent="0.3">
      <c r="A199" s="7"/>
      <c r="C199" s="6"/>
      <c r="D199" s="6"/>
      <c r="E199" s="6"/>
      <c r="F199" s="6"/>
      <c r="G199" s="6"/>
      <c r="H199" s="6"/>
      <c r="I199" s="6"/>
      <c r="J199" s="6"/>
    </row>
    <row r="200" spans="1:10" x14ac:dyDescent="0.3">
      <c r="A200" s="7"/>
      <c r="C200" s="6"/>
      <c r="D200" s="6"/>
      <c r="E200" s="6"/>
      <c r="F200" s="6"/>
      <c r="G200" s="6"/>
      <c r="H200" s="6"/>
      <c r="I200" s="6"/>
      <c r="J200" s="6"/>
    </row>
  </sheetData>
  <dataValidations count="2">
    <dataValidation type="list" allowBlank="1" showInputMessage="1" showErrorMessage="1" sqref="C4" xr:uid="{8E456741-C88B-4374-920E-CCD02AF3309F}">
      <formula1>Список_щитов</formula1>
    </dataValidation>
    <dataValidation type="list" allowBlank="1" showInputMessage="1" showErrorMessage="1" sqref="C5" xr:uid="{0392D632-A60C-4150-9828-C6ED783D8B7A}">
      <formula1>"Весь щит,Секция 1,Секция 2,Секция 3"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748C5-D671-4BD9-ADA2-C6FE8B693585}">
  <sheetPr>
    <tabColor rgb="FFED7D31"/>
  </sheetPr>
  <dimension ref="A1:Q56"/>
  <sheetViews>
    <sheetView workbookViewId="0"/>
  </sheetViews>
  <sheetFormatPr defaultRowHeight="14.4" x14ac:dyDescent="0.3"/>
  <cols>
    <col min="1" max="1" width="16.77734375" customWidth="1"/>
    <col min="2" max="2" width="12.77734375" customWidth="1"/>
    <col min="3" max="3" width="40.77734375" customWidth="1"/>
    <col min="4" max="4" width="26.77734375" customWidth="1"/>
    <col min="5" max="5" width="9.77734375" customWidth="1"/>
    <col min="6" max="7" width="14.77734375" customWidth="1"/>
    <col min="8" max="8" width="9.77734375" customWidth="1"/>
    <col min="9" max="9" width="12.77734375" customWidth="1"/>
    <col min="10" max="10" width="14.77734375" customWidth="1"/>
    <col min="11" max="11" width="9.77734375" customWidth="1"/>
    <col min="12" max="13" width="11.77734375" customWidth="1"/>
    <col min="15" max="15" width="28.77734375" customWidth="1"/>
    <col min="16" max="17" width="12.77734375" customWidth="1"/>
  </cols>
  <sheetData>
    <row r="1" spans="1:17" x14ac:dyDescent="0.3">
      <c r="A1" s="36" t="s">
        <v>1408</v>
      </c>
    </row>
    <row r="2" spans="1:17" x14ac:dyDescent="0.3">
      <c r="A2" s="123" t="s">
        <v>21</v>
      </c>
      <c r="B2" s="123" t="s">
        <v>22</v>
      </c>
      <c r="C2" s="123"/>
      <c r="D2" s="123" t="s">
        <v>9</v>
      </c>
      <c r="E2" s="123"/>
      <c r="F2" s="123"/>
      <c r="G2" s="123"/>
      <c r="H2" s="123"/>
      <c r="I2" s="123" t="s">
        <v>9</v>
      </c>
      <c r="J2" s="123"/>
      <c r="K2" s="123"/>
      <c r="L2" s="123" t="s">
        <v>23</v>
      </c>
      <c r="M2" s="123" t="s">
        <v>31</v>
      </c>
      <c r="O2" t="s">
        <v>1410</v>
      </c>
      <c r="P2" s="114">
        <v>0.2</v>
      </c>
    </row>
    <row r="3" spans="1:17" x14ac:dyDescent="0.3">
      <c r="A3" s="123"/>
      <c r="B3" s="123" t="s">
        <v>24</v>
      </c>
      <c r="C3" s="123" t="s">
        <v>25</v>
      </c>
      <c r="D3" s="123" t="s">
        <v>26</v>
      </c>
      <c r="E3" s="123"/>
      <c r="F3" s="123"/>
      <c r="G3" s="123"/>
      <c r="H3" s="123"/>
      <c r="I3" s="123" t="s">
        <v>27</v>
      </c>
      <c r="J3" s="123"/>
      <c r="K3" s="123"/>
      <c r="L3" s="123"/>
      <c r="M3" s="123"/>
    </row>
    <row r="4" spans="1:17" ht="72" x14ac:dyDescent="0.3">
      <c r="A4" s="123"/>
      <c r="B4" s="123"/>
      <c r="C4" s="123"/>
      <c r="D4" s="124" t="s">
        <v>1409</v>
      </c>
      <c r="E4" s="124" t="s">
        <v>193</v>
      </c>
      <c r="F4" s="124" t="s">
        <v>188</v>
      </c>
      <c r="G4" s="124" t="s">
        <v>190</v>
      </c>
      <c r="H4" s="124" t="s">
        <v>28</v>
      </c>
      <c r="I4" s="124" t="s">
        <v>29</v>
      </c>
      <c r="J4" s="124" t="s">
        <v>1409</v>
      </c>
      <c r="K4" s="124" t="s">
        <v>30</v>
      </c>
      <c r="L4" s="123"/>
      <c r="M4" s="123"/>
      <c r="O4" s="117" t="s">
        <v>1411</v>
      </c>
      <c r="P4" s="117" t="s">
        <v>28</v>
      </c>
      <c r="Q4" s="117" t="s">
        <v>1412</v>
      </c>
    </row>
    <row r="5" spans="1:17" x14ac:dyDescent="0.3">
      <c r="A5" t="str" cm="1">
        <f t="array" ref="A5:H56">_xlfn.LET(_xlpm.m,(Линии[Номер линии]&lt;&gt;"")*(Линии[_кабель]&lt;&gt;""),_xlpm.n,SUM(_xlpm.m),_xlpm.cs,_xlfn._xlws.FILTER(Линии[_кабель с сечением],_xlpm.m),_xlpm.tr,_xlfn._xlws.FILTER(IFERROR(--Линии[Лоток],0),_xlpm.m),_xlpm.pv,_xlfn._xlws.FILTER(IFERROR(--Линии[_гофра ПВХ],0),_xlpm.m),_xlpm.pn,_xlfn._xlws.FILTER(IFERROR(--Линии[_гофра ПНД],0),_xlpm.m),_xlpm.dpv,IFERROR(VLOOKUP(_xlpm.cs,Кабель_диаметр,4,FALSE),""),_xlpm.dpn,IFERROR(VLOOKUP(_xlpm.cs,Кабель_диаметр,5,FALSE),""),IF(_xlpm.n=0,"нет линий",_xlfn.HSTACK(_xlfn._xlws.FILTER(Линии[Номер линии],_xlpm.m),_xlfn._xlws.FILTER(Линии[Щит],_xlpm.m),_xlfn._xlws.FILTER(Линии[Наименование (итог)],_xlpm.m),_xlpm.cs,IF(_xlpm.tr=0,"","L="&amp;_xlpm.tr),IF(_xlpm.pv=0,"",_xlpm.dpv&amp;" L="&amp;_xlpm.pv),IF(_xlpm.pn=0,"",_xlpm.dpn&amp;" L="&amp;_xlpm.pn),_xlfn._xlws.FILTER(Линии[Длина, м],_xlpm.m))))</f>
        <v>R.1.01.1</v>
      </c>
      <c r="B5" t="str">
        <v>ЩР</v>
      </c>
      <c r="C5" t="str">
        <v>Розеточная группа  Пом. №01</v>
      </c>
      <c r="D5" t="str">
        <v>ВВГнг(А)-LS (3х2,5)</v>
      </c>
      <c r="E5" t="str">
        <v/>
      </c>
      <c r="F5" t="str">
        <v/>
      </c>
      <c r="G5" t="str">
        <v>Ø20 L=6</v>
      </c>
      <c r="H5">
        <v>10</v>
      </c>
      <c r="O5" t="str" cm="1">
        <f t="array" ref="O5:Q8">_xlfn.LET(_xlpm.k,Линии[_кабель с сечением],_xlpm.m,(Линии[Номер линии]&lt;&gt;"")*(Линии[_кабель]&lt;&gt;""),_xlpm.u,_xlfn.UNIQUE(_xlfn._xlws.FILTER(_xlpm.k,_xlpm.m,"")),_xlpm.l,_xlfn.MAP(_xlpm.u,_xlfn.LAMBDA(_xlpm.x,SUM(_xlpm.m*(_xlpm.k=_xlpm.x)*IFERROR(--Линии[Длина, м],0)))),_xlfn.HSTACK(_xlpm.u,_xlpm.l,ROUNDUP(_xlpm.l*(1+Запас_кабеля),0)))</f>
        <v>ВВГнг(А)-LS (3х2,5)</v>
      </c>
      <c r="P5">
        <v>761</v>
      </c>
      <c r="Q5">
        <v>914</v>
      </c>
    </row>
    <row r="6" spans="1:17" x14ac:dyDescent="0.3">
      <c r="A6" t="str">
        <v>R.1.02.1</v>
      </c>
      <c r="B6" t="str">
        <v>ЩР</v>
      </c>
      <c r="C6" t="str">
        <v>Розеточная группа  Пом. №02</v>
      </c>
      <c r="D6" t="str">
        <v>ВВГнг(А)-LS (3х2,5)</v>
      </c>
      <c r="E6" t="str">
        <v/>
      </c>
      <c r="F6" t="str">
        <v/>
      </c>
      <c r="G6" t="str">
        <v>Ø20 L=15</v>
      </c>
      <c r="H6">
        <v>19</v>
      </c>
      <c r="O6" t="str">
        <v>ВВГнг(А)-LS (5х2,5)</v>
      </c>
      <c r="P6">
        <v>14</v>
      </c>
      <c r="Q6">
        <v>17</v>
      </c>
    </row>
    <row r="7" spans="1:17" x14ac:dyDescent="0.3">
      <c r="A7" t="str">
        <v>R.1.03.1</v>
      </c>
      <c r="B7" t="str">
        <v>ЩР</v>
      </c>
      <c r="C7" t="str">
        <v>Розеточная группа  Пом. №03</v>
      </c>
      <c r="D7" t="str">
        <v>ВВГнг(А)-LS (3х2,5)</v>
      </c>
      <c r="E7" t="str">
        <v/>
      </c>
      <c r="F7" t="str">
        <v/>
      </c>
      <c r="G7" t="str">
        <v>Ø20 L=12</v>
      </c>
      <c r="H7">
        <v>16</v>
      </c>
      <c r="O7" t="str">
        <v>ВВГнг(А)-LS (3х1,5)</v>
      </c>
      <c r="P7">
        <v>183</v>
      </c>
      <c r="Q7">
        <v>220</v>
      </c>
    </row>
    <row r="8" spans="1:17" x14ac:dyDescent="0.3">
      <c r="A8" t="str">
        <v>R.1.03.2</v>
      </c>
      <c r="B8" t="str">
        <v>ЩР</v>
      </c>
      <c r="C8" t="str">
        <v>Розеточная группа  Пом. №03</v>
      </c>
      <c r="D8" t="str">
        <v>ВВГнг(А)-LS (3х2,5)</v>
      </c>
      <c r="E8" t="str">
        <v/>
      </c>
      <c r="F8" t="str">
        <v/>
      </c>
      <c r="G8" t="str">
        <v>Ø20 L=14</v>
      </c>
      <c r="H8">
        <v>18</v>
      </c>
      <c r="O8" t="str">
        <v>ВВГнг(А)-LS (5х1,5)</v>
      </c>
      <c r="P8">
        <v>392</v>
      </c>
      <c r="Q8">
        <v>471</v>
      </c>
    </row>
    <row r="9" spans="1:17" x14ac:dyDescent="0.3">
      <c r="A9" t="str">
        <v>R.1.03.3</v>
      </c>
      <c r="B9" t="str">
        <v>ЩР</v>
      </c>
      <c r="C9" t="str">
        <v>Розеточная группа  Пом. №03 Сушильная машина</v>
      </c>
      <c r="D9" t="str">
        <v>ВВГнг(А)-LS (3х2,5)</v>
      </c>
      <c r="E9" t="str">
        <v/>
      </c>
      <c r="F9" t="str">
        <v/>
      </c>
      <c r="G9" t="str">
        <v>Ø20 L=11</v>
      </c>
      <c r="H9">
        <v>15</v>
      </c>
    </row>
    <row r="10" spans="1:17" x14ac:dyDescent="0.3">
      <c r="A10" t="str">
        <v>R.1.03.4</v>
      </c>
      <c r="B10" t="str">
        <v>ЩР</v>
      </c>
      <c r="C10" t="str">
        <v>Розеточная группа  Пом. №03 Стиральная машина</v>
      </c>
      <c r="D10" t="str">
        <v>ВВГнг(А)-LS (5х2,5)</v>
      </c>
      <c r="E10" t="str">
        <v/>
      </c>
      <c r="F10" t="str">
        <v/>
      </c>
      <c r="G10" t="str">
        <v>Ø20 L=10</v>
      </c>
      <c r="H10">
        <v>14</v>
      </c>
    </row>
    <row r="11" spans="1:17" x14ac:dyDescent="0.3">
      <c r="A11" t="str">
        <v>R.1.05.1</v>
      </c>
      <c r="B11" t="str">
        <v>ЩР</v>
      </c>
      <c r="C11" t="str">
        <v>Розеточная группа  Пом. №05</v>
      </c>
      <c r="D11" t="str">
        <v>ВВГнг(А)-LS (3х2,5)</v>
      </c>
      <c r="E11" t="str">
        <v/>
      </c>
      <c r="F11" t="str">
        <v/>
      </c>
      <c r="G11" t="str">
        <v>Ø20 L=43</v>
      </c>
      <c r="H11">
        <v>47</v>
      </c>
    </row>
    <row r="12" spans="1:17" x14ac:dyDescent="0.3">
      <c r="A12" t="str">
        <v>R.1.05.2</v>
      </c>
      <c r="B12" t="str">
        <v>ЩР</v>
      </c>
      <c r="C12" t="str">
        <v>Розеточная группа  Пом. №05</v>
      </c>
      <c r="D12" t="str">
        <v>ВВГнг(А)-LS (3х2,5)</v>
      </c>
      <c r="E12" t="str">
        <v/>
      </c>
      <c r="F12" t="str">
        <v/>
      </c>
      <c r="G12" t="str">
        <v>Ø20 L=18</v>
      </c>
      <c r="H12">
        <v>22</v>
      </c>
    </row>
    <row r="13" spans="1:17" x14ac:dyDescent="0.3">
      <c r="A13" t="str">
        <v>R.1.05.3</v>
      </c>
      <c r="B13" t="str">
        <v>ЩР</v>
      </c>
      <c r="C13" t="str">
        <v>Розеточная группа  Пом. №05</v>
      </c>
      <c r="D13" t="str">
        <v>ВВГнг(А)-LS (3х2,5)</v>
      </c>
      <c r="E13" t="str">
        <v/>
      </c>
      <c r="F13" t="str">
        <v/>
      </c>
      <c r="G13" t="str">
        <v>Ø20 L=41</v>
      </c>
      <c r="H13">
        <v>45</v>
      </c>
    </row>
    <row r="14" spans="1:17" x14ac:dyDescent="0.3">
      <c r="A14" t="str">
        <v>R.1.05.4</v>
      </c>
      <c r="B14" t="str">
        <v>ЩР</v>
      </c>
      <c r="C14" t="str">
        <v>Розеточная группа  Пом. №05 Варочная поверхность</v>
      </c>
      <c r="D14" t="str">
        <v>ВВГнг(А)-LS (3х2,5)</v>
      </c>
      <c r="E14" t="str">
        <v/>
      </c>
      <c r="F14" t="str">
        <v/>
      </c>
      <c r="G14" t="str">
        <v>Ø20 L=14</v>
      </c>
      <c r="H14">
        <v>18</v>
      </c>
    </row>
    <row r="15" spans="1:17" x14ac:dyDescent="0.3">
      <c r="A15" t="str">
        <v>R.1.05.5</v>
      </c>
      <c r="B15" t="str">
        <v>ЩР</v>
      </c>
      <c r="C15" t="str">
        <v>Розеточная группа  Пом. №05 Вытяжка</v>
      </c>
      <c r="D15" t="str">
        <v>ВВГнг(А)-LS (3х2,5)</v>
      </c>
      <c r="E15" t="str">
        <v/>
      </c>
      <c r="F15" t="str">
        <v/>
      </c>
      <c r="G15" t="str">
        <v>Ø20 L=14</v>
      </c>
      <c r="H15">
        <v>18</v>
      </c>
    </row>
    <row r="16" spans="1:17" x14ac:dyDescent="0.3">
      <c r="A16" t="str">
        <v>R.1.05.6</v>
      </c>
      <c r="B16" t="str">
        <v>ЩР</v>
      </c>
      <c r="C16" t="str">
        <v>Розеточная группа  Пом. №05 ПММ, измельчитель</v>
      </c>
      <c r="D16" t="str">
        <v>ВВГнг(А)-LS (3х2,5)</v>
      </c>
      <c r="E16" t="str">
        <v/>
      </c>
      <c r="F16" t="str">
        <v/>
      </c>
      <c r="G16" t="str">
        <v>Ø20 L=17</v>
      </c>
      <c r="H16">
        <v>21</v>
      </c>
    </row>
    <row r="17" spans="1:8" x14ac:dyDescent="0.3">
      <c r="A17" t="str">
        <v>R.1.05.7</v>
      </c>
      <c r="B17" t="str">
        <v>ЩР</v>
      </c>
      <c r="C17" t="str">
        <v>Розеточная группа  Пом. №05 Холодильник</v>
      </c>
      <c r="D17" t="str">
        <v>ВВГнг(А)-LS (3х2,5)</v>
      </c>
      <c r="E17" t="str">
        <v/>
      </c>
      <c r="F17" t="str">
        <v/>
      </c>
      <c r="G17" t="str">
        <v>Ø20 L=17</v>
      </c>
      <c r="H17">
        <v>21</v>
      </c>
    </row>
    <row r="18" spans="1:8" x14ac:dyDescent="0.3">
      <c r="A18" t="str">
        <v>R.1.05.8</v>
      </c>
      <c r="B18" t="str">
        <v>ЩР</v>
      </c>
      <c r="C18" t="str">
        <v>Розеточная группа  Пом. №05 СВЧ</v>
      </c>
      <c r="D18" t="str">
        <v>ВВГнг(А)-LS (3х2,5)</v>
      </c>
      <c r="E18" t="str">
        <v/>
      </c>
      <c r="F18" t="str">
        <v/>
      </c>
      <c r="G18" t="str">
        <v>Ø20 L=12</v>
      </c>
      <c r="H18">
        <v>16</v>
      </c>
    </row>
    <row r="19" spans="1:8" x14ac:dyDescent="0.3">
      <c r="A19" t="str">
        <v>R.1.05.9</v>
      </c>
      <c r="B19" t="str">
        <v>ЩР</v>
      </c>
      <c r="C19" t="str">
        <v>Розеточная группа  Пом. №05 Духовой шкаф</v>
      </c>
      <c r="D19" t="str">
        <v>ВВГнг(А)-LS (3х2,5)</v>
      </c>
      <c r="E19" t="str">
        <v/>
      </c>
      <c r="F19" t="str">
        <v/>
      </c>
      <c r="G19" t="str">
        <v>Ø20 L=11</v>
      </c>
      <c r="H19">
        <v>15</v>
      </c>
    </row>
    <row r="20" spans="1:8" x14ac:dyDescent="0.3">
      <c r="A20" t="str">
        <v>R.1.05.10</v>
      </c>
      <c r="B20" t="str">
        <v>ЩР</v>
      </c>
      <c r="C20" t="str">
        <v>Розеточная группа  Пом. №05</v>
      </c>
      <c r="D20" t="str">
        <v>ВВГнг(А)-LS (3х2,5)</v>
      </c>
      <c r="E20" t="str">
        <v/>
      </c>
      <c r="F20" t="str">
        <v/>
      </c>
      <c r="G20" t="str">
        <v>Ø20 L=12</v>
      </c>
      <c r="H20">
        <v>16</v>
      </c>
    </row>
    <row r="21" spans="1:8" x14ac:dyDescent="0.3">
      <c r="A21" t="str">
        <v>R.1.05.11</v>
      </c>
      <c r="B21" t="str">
        <v>ЩР</v>
      </c>
      <c r="C21" t="str">
        <v>Розеточная группа  Пом. №05</v>
      </c>
      <c r="D21" t="str">
        <v>ВВГнг(А)-LS (3х2,5)</v>
      </c>
      <c r="E21" t="str">
        <v/>
      </c>
      <c r="F21" t="str">
        <v/>
      </c>
      <c r="G21" t="str">
        <v>Ø20 L=11</v>
      </c>
      <c r="H21">
        <v>15</v>
      </c>
    </row>
    <row r="22" spans="1:8" x14ac:dyDescent="0.3">
      <c r="A22" t="str">
        <v>R.1.06.1</v>
      </c>
      <c r="B22" t="str">
        <v>ЩР</v>
      </c>
      <c r="C22" t="str">
        <v>Розеточная группа  Пом. №06</v>
      </c>
      <c r="D22" t="str">
        <v>ВВГнг(А)-LS (3х2,5)</v>
      </c>
      <c r="E22" t="str">
        <v/>
      </c>
      <c r="F22" t="str">
        <v/>
      </c>
      <c r="G22" t="str">
        <v>Ø20 L=34</v>
      </c>
      <c r="H22">
        <v>38</v>
      </c>
    </row>
    <row r="23" spans="1:8" x14ac:dyDescent="0.3">
      <c r="A23" t="str">
        <v>R.1.06.2</v>
      </c>
      <c r="B23" t="str">
        <v>ЩР</v>
      </c>
      <c r="C23" t="str">
        <v>Розеточная группа  Пом. №06</v>
      </c>
      <c r="D23" t="str">
        <v>ВВГнг(А)-LS (3х2,5)</v>
      </c>
      <c r="E23" t="str">
        <v/>
      </c>
      <c r="F23" t="str">
        <v/>
      </c>
      <c r="G23" t="str">
        <v>Ø20 L=51</v>
      </c>
      <c r="H23">
        <v>55</v>
      </c>
    </row>
    <row r="24" spans="1:8" x14ac:dyDescent="0.3">
      <c r="A24" t="str">
        <v>R.1.07.1</v>
      </c>
      <c r="B24" t="str">
        <v>ЩР</v>
      </c>
      <c r="C24" t="str">
        <v>Розеточная группа  Пом. №07</v>
      </c>
      <c r="D24" t="str">
        <v>ВВГнг(А)-LS (3х2,5)</v>
      </c>
      <c r="E24" t="str">
        <v/>
      </c>
      <c r="F24" t="str">
        <v/>
      </c>
      <c r="G24" t="str">
        <v>Ø20 L=29</v>
      </c>
      <c r="H24">
        <v>33</v>
      </c>
    </row>
    <row r="25" spans="1:8" x14ac:dyDescent="0.3">
      <c r="A25" t="str">
        <v>R.1.07.2</v>
      </c>
      <c r="B25" t="str">
        <v>ЩР</v>
      </c>
      <c r="C25" t="str">
        <v>Розеточная группа  Пом. №07</v>
      </c>
      <c r="D25" t="str">
        <v>ВВГнг(А)-LS (3х2,5)</v>
      </c>
      <c r="E25" t="str">
        <v/>
      </c>
      <c r="F25" t="str">
        <v/>
      </c>
      <c r="G25" t="str">
        <v>Ø20 L=32</v>
      </c>
      <c r="H25">
        <v>36</v>
      </c>
    </row>
    <row r="26" spans="1:8" x14ac:dyDescent="0.3">
      <c r="A26" t="str">
        <v>R.1.07.3</v>
      </c>
      <c r="B26" t="str">
        <v>ЩР</v>
      </c>
      <c r="C26" t="str">
        <v>Розеточная группа  Пом. №07 Полотенцесушители</v>
      </c>
      <c r="D26" t="str">
        <v>ВВГнг(А)-LS (3х2,5)</v>
      </c>
      <c r="E26" t="str">
        <v/>
      </c>
      <c r="F26" t="str">
        <v/>
      </c>
      <c r="G26" t="str">
        <v>Ø20 L=24</v>
      </c>
      <c r="H26">
        <v>28</v>
      </c>
    </row>
    <row r="27" spans="1:8" x14ac:dyDescent="0.3">
      <c r="A27" t="str">
        <v>R.1.08.1</v>
      </c>
      <c r="B27" t="str">
        <v>ЩР</v>
      </c>
      <c r="C27" t="str">
        <v>Розеточная группа  Пом. №08</v>
      </c>
      <c r="D27" t="str">
        <v>ВВГнг(А)-LS (3х2,5)</v>
      </c>
      <c r="E27" t="str">
        <v/>
      </c>
      <c r="F27" t="str">
        <v/>
      </c>
      <c r="G27" t="str">
        <v>Ø20 L=34</v>
      </c>
      <c r="H27">
        <v>38</v>
      </c>
    </row>
    <row r="28" spans="1:8" x14ac:dyDescent="0.3">
      <c r="A28" t="str">
        <v>R.1.08.2</v>
      </c>
      <c r="B28" t="str">
        <v>ЩР</v>
      </c>
      <c r="C28" t="str">
        <v>Розеточная группа  Пом. №08</v>
      </c>
      <c r="D28" t="str">
        <v>ВВГнг(А)-LS (3х2,5)</v>
      </c>
      <c r="E28" t="str">
        <v/>
      </c>
      <c r="F28" t="str">
        <v/>
      </c>
      <c r="G28" t="str">
        <v>Ø20 L=33</v>
      </c>
      <c r="H28">
        <v>37</v>
      </c>
    </row>
    <row r="29" spans="1:8" x14ac:dyDescent="0.3">
      <c r="A29" t="str">
        <v>R.1.09.1</v>
      </c>
      <c r="B29" t="str">
        <v>ЩР</v>
      </c>
      <c r="C29" t="str">
        <v>Розеточная группа  Пом. №09</v>
      </c>
      <c r="D29" t="str">
        <v>ВВГнг(А)-LS (3х2,5)</v>
      </c>
      <c r="E29" t="str">
        <v/>
      </c>
      <c r="F29" t="str">
        <v/>
      </c>
      <c r="G29" t="str">
        <v>Ø20 L=14</v>
      </c>
      <c r="H29">
        <v>18</v>
      </c>
    </row>
    <row r="30" spans="1:8" x14ac:dyDescent="0.3">
      <c r="A30" t="str">
        <v>R.1.09.2</v>
      </c>
      <c r="B30" t="str">
        <v>ЩР</v>
      </c>
      <c r="C30" t="str">
        <v>Розеточная группа  Пом. №09</v>
      </c>
      <c r="D30" t="str">
        <v>ВВГнг(А)-LS (3х2,5)</v>
      </c>
      <c r="E30" t="str">
        <v/>
      </c>
      <c r="F30" t="str">
        <v/>
      </c>
      <c r="G30" t="str">
        <v>Ø20 L=45</v>
      </c>
      <c r="H30">
        <v>49</v>
      </c>
    </row>
    <row r="31" spans="1:8" x14ac:dyDescent="0.3">
      <c r="A31" t="str">
        <v>R.1.10.1</v>
      </c>
      <c r="B31" t="str">
        <v>ЩР</v>
      </c>
      <c r="C31" t="str">
        <v>Розеточная группа  Пом. №10</v>
      </c>
      <c r="D31" t="str">
        <v>ВВГнг(А)-LS (3х2,5)</v>
      </c>
      <c r="E31" t="str">
        <v/>
      </c>
      <c r="F31" t="str">
        <v/>
      </c>
      <c r="G31" t="str">
        <v>Ø20 L=32</v>
      </c>
      <c r="H31">
        <v>36</v>
      </c>
    </row>
    <row r="32" spans="1:8" x14ac:dyDescent="0.3">
      <c r="A32" t="str">
        <v>R.1.10.2</v>
      </c>
      <c r="B32" t="str">
        <v>ЩР</v>
      </c>
      <c r="C32" t="str">
        <v>Розеточная группа  Пом. №10</v>
      </c>
      <c r="D32" t="str">
        <v>ВВГнг(А)-LS (3х2,5)</v>
      </c>
      <c r="E32" t="str">
        <v/>
      </c>
      <c r="F32" t="str">
        <v/>
      </c>
      <c r="G32" t="str">
        <v>Ø20 L=28</v>
      </c>
      <c r="H32">
        <v>32</v>
      </c>
    </row>
    <row r="33" spans="1:8" x14ac:dyDescent="0.3">
      <c r="A33" t="str">
        <v>R.1.14.1</v>
      </c>
      <c r="B33" t="str">
        <v>ЩР</v>
      </c>
      <c r="C33" t="str">
        <v>Розеточная группа  Пом. №14</v>
      </c>
      <c r="D33" t="str">
        <v>ВВГнг(А)-LS (3х2,5)</v>
      </c>
      <c r="E33" t="str">
        <v/>
      </c>
      <c r="F33" t="str">
        <v/>
      </c>
      <c r="G33" t="str">
        <v>Ø20 L=25</v>
      </c>
      <c r="H33">
        <v>29</v>
      </c>
    </row>
    <row r="34" spans="1:8" x14ac:dyDescent="0.3">
      <c r="A34" t="str">
        <v>L.1.01.1</v>
      </c>
      <c r="B34" t="str">
        <v>ЩР</v>
      </c>
      <c r="C34" t="str">
        <v>Группа освещения  Пом. №01</v>
      </c>
      <c r="D34" t="str">
        <v>ВВГнг(А)-LS (3х1,5)</v>
      </c>
      <c r="E34" t="str">
        <v/>
      </c>
      <c r="F34" t="str">
        <v/>
      </c>
      <c r="G34" t="str">
        <v>Ø20 L=5</v>
      </c>
      <c r="H34">
        <v>9</v>
      </c>
    </row>
    <row r="35" spans="1:8" x14ac:dyDescent="0.3">
      <c r="A35" t="str">
        <v>L.1.04.1</v>
      </c>
      <c r="B35" t="str">
        <v>ЩР</v>
      </c>
      <c r="C35" t="str">
        <v>Группа освещения  Пом. №04</v>
      </c>
      <c r="D35" t="str">
        <v>ВВГнг(А)-LS (3х1,5)</v>
      </c>
      <c r="E35" t="str">
        <v/>
      </c>
      <c r="F35" t="str">
        <v/>
      </c>
      <c r="G35" t="str">
        <v>Ø20 L=9</v>
      </c>
      <c r="H35">
        <v>13</v>
      </c>
    </row>
    <row r="36" spans="1:8" x14ac:dyDescent="0.3">
      <c r="A36" t="str">
        <v>L.1.04.2</v>
      </c>
      <c r="B36" t="str">
        <v>ЩР</v>
      </c>
      <c r="C36" t="str">
        <v>Группа освещения  Пом. №04</v>
      </c>
      <c r="D36" t="str">
        <v>ВВГнг(А)-LS (3х1,5)</v>
      </c>
      <c r="E36" t="str">
        <v/>
      </c>
      <c r="F36" t="str">
        <v/>
      </c>
      <c r="G36" t="str">
        <v>Ø20 L=10</v>
      </c>
      <c r="H36">
        <v>14</v>
      </c>
    </row>
    <row r="37" spans="1:8" x14ac:dyDescent="0.3">
      <c r="A37" t="str">
        <v>L.1.06.2</v>
      </c>
      <c r="B37" t="str">
        <v>ЩР</v>
      </c>
      <c r="C37" t="str">
        <v>Группа освещения  Пом. №06</v>
      </c>
      <c r="D37" t="str">
        <v>ВВГнг(А)-LS (3х1,5)</v>
      </c>
      <c r="E37" t="str">
        <v/>
      </c>
      <c r="F37" t="str">
        <v/>
      </c>
      <c r="G37" t="str">
        <v>Ø20 L=17</v>
      </c>
      <c r="H37">
        <v>21</v>
      </c>
    </row>
    <row r="38" spans="1:8" x14ac:dyDescent="0.3">
      <c r="A38" t="str">
        <v>L.1.08.2</v>
      </c>
      <c r="B38" t="str">
        <v>ЩР</v>
      </c>
      <c r="C38" t="str">
        <v>Группа освещения  Пом. №08</v>
      </c>
      <c r="D38" t="str">
        <v>ВВГнг(А)-LS (3х1,5)</v>
      </c>
      <c r="E38" t="str">
        <v/>
      </c>
      <c r="F38" t="str">
        <v/>
      </c>
      <c r="G38" t="str">
        <v>Ø20 L=8</v>
      </c>
      <c r="H38">
        <v>12</v>
      </c>
    </row>
    <row r="39" spans="1:8" x14ac:dyDescent="0.3">
      <c r="A39" t="str">
        <v>L.1.10.2</v>
      </c>
      <c r="B39" t="str">
        <v>ЩР</v>
      </c>
      <c r="C39" t="str">
        <v>Группа освещения  Пом. №10</v>
      </c>
      <c r="D39" t="str">
        <v>ВВГнг(А)-LS (3х1,5)</v>
      </c>
      <c r="E39" t="str">
        <v/>
      </c>
      <c r="F39" t="str">
        <v/>
      </c>
      <c r="G39" t="str">
        <v>Ø20 L=12</v>
      </c>
      <c r="H39">
        <v>16</v>
      </c>
    </row>
    <row r="40" spans="1:8" x14ac:dyDescent="0.3">
      <c r="A40" t="str">
        <v>L.1.14.1</v>
      </c>
      <c r="B40" t="str">
        <v>ЩР</v>
      </c>
      <c r="C40" t="str">
        <v>Группа освещения  Пом. №14</v>
      </c>
      <c r="D40" t="str">
        <v>ВВГнг(А)-LS (3х1,5)</v>
      </c>
      <c r="E40" t="str">
        <v/>
      </c>
      <c r="F40" t="str">
        <v/>
      </c>
      <c r="G40" t="str">
        <v>Ø20 L=14</v>
      </c>
      <c r="H40">
        <v>18</v>
      </c>
    </row>
    <row r="41" spans="1:8" x14ac:dyDescent="0.3">
      <c r="A41" t="str">
        <v>L.1.14.2</v>
      </c>
      <c r="B41" t="str">
        <v>ЩР</v>
      </c>
      <c r="C41" t="str">
        <v>Группа освещения  Пом. №14</v>
      </c>
      <c r="D41" t="str">
        <v>ВВГнг(А)-LS (3х1,5)</v>
      </c>
      <c r="E41" t="str">
        <v/>
      </c>
      <c r="F41" t="str">
        <v/>
      </c>
      <c r="G41" t="str">
        <v>Ø20 L=19</v>
      </c>
      <c r="H41">
        <v>23</v>
      </c>
    </row>
    <row r="42" spans="1:8" x14ac:dyDescent="0.3">
      <c r="A42" t="str">
        <v>L.2.05.2</v>
      </c>
      <c r="B42" t="str">
        <v>ЩР</v>
      </c>
      <c r="C42" t="str">
        <v>Группа освещения  Пом. №05</v>
      </c>
      <c r="D42" t="str">
        <v>ВВГнг(А)-LS (3х1,5)</v>
      </c>
      <c r="E42" t="str">
        <v/>
      </c>
      <c r="F42" t="str">
        <v>Ø20 L=15</v>
      </c>
      <c r="G42" t="str">
        <v/>
      </c>
      <c r="H42">
        <v>19</v>
      </c>
    </row>
    <row r="43" spans="1:8" x14ac:dyDescent="0.3">
      <c r="A43" t="str">
        <v>L.2.09.1</v>
      </c>
      <c r="B43" t="str">
        <v>ЩР</v>
      </c>
      <c r="C43" t="str">
        <v>Группа освещения  Пом. №09</v>
      </c>
      <c r="D43" t="str">
        <v>ВВГнг(А)-LS (3х1,5)</v>
      </c>
      <c r="E43" t="str">
        <v/>
      </c>
      <c r="F43" t="str">
        <v>Ø20 L=8</v>
      </c>
      <c r="G43" t="str">
        <v/>
      </c>
      <c r="H43">
        <v>12</v>
      </c>
    </row>
    <row r="44" spans="1:8" x14ac:dyDescent="0.3">
      <c r="A44" t="str">
        <v>L.2.13.2</v>
      </c>
      <c r="B44" t="str">
        <v>ЩР</v>
      </c>
      <c r="C44" t="str">
        <v>Группа освещения  Пом. №13</v>
      </c>
      <c r="D44" t="str">
        <v>ВВГнг(А)-LS (3х1,5)</v>
      </c>
      <c r="E44" t="str">
        <v/>
      </c>
      <c r="F44" t="str">
        <v>Ø20 L=14</v>
      </c>
      <c r="G44" t="str">
        <v/>
      </c>
      <c r="H44">
        <v>18</v>
      </c>
    </row>
    <row r="45" spans="1:8" x14ac:dyDescent="0.3">
      <c r="A45" t="str">
        <v>L.1.02.1</v>
      </c>
      <c r="B45" t="str">
        <v>ЩР</v>
      </c>
      <c r="C45" t="str">
        <v>Группа освещения  Пом. №02</v>
      </c>
      <c r="D45" t="str">
        <v>ВВГнг(А)-LS (5х1,5)</v>
      </c>
      <c r="E45" t="str">
        <v/>
      </c>
      <c r="F45" t="str">
        <v>Ø20 L=1</v>
      </c>
      <c r="G45" t="str">
        <v/>
      </c>
      <c r="H45">
        <v>5</v>
      </c>
    </row>
    <row r="46" spans="1:8" x14ac:dyDescent="0.3">
      <c r="A46" t="str">
        <v>L.1.06.1</v>
      </c>
      <c r="B46" t="str">
        <v>ЩР</v>
      </c>
      <c r="C46" t="str">
        <v>Группа освещения  Пом. №06</v>
      </c>
      <c r="D46" t="str">
        <v>ВВГнг(А)-LS (5х1,5)</v>
      </c>
      <c r="E46" t="str">
        <v/>
      </c>
      <c r="F46" t="str">
        <v>Ø20 L=12</v>
      </c>
      <c r="G46" t="str">
        <v>Ø20 L=41</v>
      </c>
      <c r="H46">
        <v>57</v>
      </c>
    </row>
    <row r="47" spans="1:8" x14ac:dyDescent="0.3">
      <c r="A47" t="str">
        <v>L.1.08.1</v>
      </c>
      <c r="B47" t="str">
        <v>ЩР</v>
      </c>
      <c r="C47" t="str">
        <v>Группа освещения  Пом. №08</v>
      </c>
      <c r="D47" t="str">
        <v>ВВГнг(А)-LS (5х1,5)</v>
      </c>
      <c r="E47" t="str">
        <v/>
      </c>
      <c r="F47" t="str">
        <v>Ø20 L=8</v>
      </c>
      <c r="G47" t="str">
        <v>Ø20 L=7</v>
      </c>
      <c r="H47">
        <v>19</v>
      </c>
    </row>
    <row r="48" spans="1:8" x14ac:dyDescent="0.3">
      <c r="A48" t="str">
        <v>L.1.10.1</v>
      </c>
      <c r="B48" t="str">
        <v>ЩР</v>
      </c>
      <c r="C48" t="str">
        <v>Группа освещения  Пом. №10</v>
      </c>
      <c r="D48" t="str">
        <v>ВВГнг(А)-LS (5х1,5)</v>
      </c>
      <c r="E48" t="str">
        <v/>
      </c>
      <c r="F48" t="str">
        <v>Ø20 L=10</v>
      </c>
      <c r="G48" t="str">
        <v>Ø20 L=23</v>
      </c>
      <c r="H48">
        <v>37</v>
      </c>
    </row>
    <row r="49" spans="1:8" x14ac:dyDescent="0.3">
      <c r="A49" t="str">
        <v>L.2.01.1</v>
      </c>
      <c r="B49" t="str">
        <v>ЩР</v>
      </c>
      <c r="C49" t="str">
        <v>Группа освещения  Пом. №01</v>
      </c>
      <c r="D49" t="str">
        <v>ВВГнг(А)-LS (5х1,5)</v>
      </c>
      <c r="E49" t="str">
        <v/>
      </c>
      <c r="F49" t="str">
        <v>Ø20 L=23</v>
      </c>
      <c r="G49" t="str">
        <v/>
      </c>
      <c r="H49">
        <v>27</v>
      </c>
    </row>
    <row r="50" spans="1:8" x14ac:dyDescent="0.3">
      <c r="A50" t="str">
        <v>L.2.05.1</v>
      </c>
      <c r="B50" t="str">
        <v>ЩР</v>
      </c>
      <c r="C50" t="str">
        <v>Группа освещения  Пом. №05</v>
      </c>
      <c r="D50" t="str">
        <v>ВВГнг(А)-LS (5х1,5)</v>
      </c>
      <c r="E50" t="str">
        <v/>
      </c>
      <c r="F50" t="str">
        <v>Ø20 L=96</v>
      </c>
      <c r="G50" t="str">
        <v/>
      </c>
      <c r="H50">
        <v>100</v>
      </c>
    </row>
    <row r="51" spans="1:8" x14ac:dyDescent="0.3">
      <c r="A51" t="str">
        <v>L.2.08.1</v>
      </c>
      <c r="B51" t="str">
        <v>ЩР</v>
      </c>
      <c r="C51" t="str">
        <v>Группа освещения  Пом. №08</v>
      </c>
      <c r="D51" t="str">
        <v>ВВГнг(А)-LS (5х1,5)</v>
      </c>
      <c r="E51" t="str">
        <v/>
      </c>
      <c r="F51" t="str">
        <v>Ø20 L=24</v>
      </c>
      <c r="G51" t="str">
        <v/>
      </c>
      <c r="H51">
        <v>28</v>
      </c>
    </row>
    <row r="52" spans="1:8" x14ac:dyDescent="0.3">
      <c r="A52" t="str">
        <v>L.2.09.2</v>
      </c>
      <c r="B52" t="str">
        <v>ЩР</v>
      </c>
      <c r="C52" t="str">
        <v>Группа освещения  Пом. №09</v>
      </c>
      <c r="D52" t="str">
        <v>ВВГнг(А)-LS (5х1,5)</v>
      </c>
      <c r="E52" t="str">
        <v/>
      </c>
      <c r="F52" t="str">
        <v>Ø20 L=26</v>
      </c>
      <c r="G52" t="str">
        <v/>
      </c>
      <c r="H52">
        <v>30</v>
      </c>
    </row>
    <row r="53" spans="1:8" x14ac:dyDescent="0.3">
      <c r="A53" t="str">
        <v>L.2.11.1</v>
      </c>
      <c r="B53" t="str">
        <v>ЩР</v>
      </c>
      <c r="C53" t="str">
        <v>Группа освещения  Пом. №11</v>
      </c>
      <c r="D53" t="str">
        <v>ВВГнг(А)-LS (5х1,5)</v>
      </c>
      <c r="E53" t="str">
        <v/>
      </c>
      <c r="F53" t="str">
        <v>Ø20 L=34</v>
      </c>
      <c r="G53" t="str">
        <v/>
      </c>
      <c r="H53">
        <v>38</v>
      </c>
    </row>
    <row r="54" spans="1:8" x14ac:dyDescent="0.3">
      <c r="A54" t="str">
        <v>L.2.12.1</v>
      </c>
      <c r="B54" t="str">
        <v>ЩР</v>
      </c>
      <c r="C54" t="str">
        <v>Группа освещения  Пом. №12</v>
      </c>
      <c r="D54" t="str">
        <v>ВВГнг(А)-LS (5х1,5)</v>
      </c>
      <c r="E54" t="str">
        <v/>
      </c>
      <c r="F54" t="str">
        <v>Ø20 L=15</v>
      </c>
      <c r="G54" t="str">
        <v/>
      </c>
      <c r="H54">
        <v>19</v>
      </c>
    </row>
    <row r="55" spans="1:8" x14ac:dyDescent="0.3">
      <c r="A55" t="str">
        <v>L.2.13.1</v>
      </c>
      <c r="B55" t="str">
        <v>ЩР</v>
      </c>
      <c r="C55" t="str">
        <v>Группа освещения  Пом. №13</v>
      </c>
      <c r="D55" t="str">
        <v>ВВГнг(А)-LS (5х1,5)</v>
      </c>
      <c r="E55" t="str">
        <v/>
      </c>
      <c r="F55" t="str">
        <v>Ø20 L=28</v>
      </c>
      <c r="G55" t="str">
        <v/>
      </c>
      <c r="H55">
        <v>32</v>
      </c>
    </row>
    <row r="56" spans="1:8" x14ac:dyDescent="0.3">
      <c r="A56" t="str">
        <v>L.2.12.2</v>
      </c>
      <c r="B56" t="str">
        <v>ЩР</v>
      </c>
      <c r="C56" t="str">
        <v>Группа освещения  Пом. №12</v>
      </c>
      <c r="D56" t="str">
        <v>ВВГнг(А)-LS (3х1,5)</v>
      </c>
      <c r="E56" t="str">
        <v/>
      </c>
      <c r="F56" t="str">
        <v>Ø20 L=4</v>
      </c>
      <c r="G56" t="str">
        <v/>
      </c>
      <c r="H56">
        <v>8</v>
      </c>
    </row>
  </sheetData>
  <mergeCells count="10">
    <mergeCell ref="I3:K3"/>
    <mergeCell ref="I2:K2"/>
    <mergeCell ref="L2:L4"/>
    <mergeCell ref="M2:M4"/>
    <mergeCell ref="A2:A4"/>
    <mergeCell ref="B2:C2"/>
    <mergeCell ref="B3:B4"/>
    <mergeCell ref="C3:C4"/>
    <mergeCell ref="D2:H2"/>
    <mergeCell ref="D3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8080"/>
    <outlinePr summaryBelow="0" summaryRight="0"/>
  </sheetPr>
  <dimension ref="A1:CA1000"/>
  <sheetViews>
    <sheetView zoomScale="85" zoomScaleNormal="85" workbookViewId="0">
      <pane xSplit="3" ySplit="2" topLeftCell="D54" activePane="bottomRight" state="frozen"/>
      <selection pane="topRight"/>
      <selection pane="bottomLeft"/>
      <selection pane="bottomRight" activeCell="N64" sqref="N64"/>
    </sheetView>
  </sheetViews>
  <sheetFormatPr defaultRowHeight="14.4" outlineLevelCol="1" x14ac:dyDescent="0.3"/>
  <cols>
    <col min="1" max="3" width="6" customWidth="1"/>
    <col min="4" max="4" width="9" customWidth="1"/>
    <col min="5" max="5" width="15" customWidth="1"/>
    <col min="6" max="7" width="8" customWidth="1"/>
    <col min="8" max="8" width="15" customWidth="1"/>
    <col min="9" max="9" width="15.33203125" customWidth="1"/>
    <col min="10" max="10" width="17.88671875" customWidth="1"/>
    <col min="11" max="11" width="20.5546875" customWidth="1"/>
    <col min="12" max="12" width="12" customWidth="1"/>
    <col min="13" max="13" width="7" customWidth="1"/>
    <col min="14" max="14" width="9" customWidth="1"/>
    <col min="15" max="15" width="6" customWidth="1"/>
    <col min="16" max="16" width="14" customWidth="1"/>
    <col min="17" max="17" width="26" customWidth="1"/>
    <col min="18" max="18" width="16" customWidth="1"/>
    <col min="19" max="19" width="40" customWidth="1"/>
    <col min="20" max="21" width="7" customWidth="1"/>
    <col min="22" max="22" width="6" customWidth="1" collapsed="1"/>
    <col min="23" max="23" width="17" hidden="1" customWidth="1" outlineLevel="1"/>
    <col min="24" max="24" width="14" hidden="1" customWidth="1" outlineLevel="1"/>
    <col min="25" max="25" width="11" customWidth="1" collapsed="1"/>
    <col min="26" max="27" width="8" hidden="1" customWidth="1" outlineLevel="1"/>
    <col min="28" max="28" width="9" hidden="1" customWidth="1" outlineLevel="1"/>
    <col min="29" max="29" width="11" hidden="1" customWidth="1" outlineLevel="1"/>
    <col min="30" max="30" width="50" hidden="1" customWidth="1" outlineLevel="1"/>
    <col min="31" max="31" width="3" customWidth="1" collapsed="1"/>
    <col min="32" max="53" width="9" hidden="1" customWidth="1" outlineLevel="1"/>
    <col min="54" max="64" width="6" hidden="1" customWidth="1" outlineLevel="1"/>
    <col min="65" max="77" width="8" hidden="1" customWidth="1" outlineLevel="1"/>
    <col min="78" max="79" width="0" hidden="1" customWidth="1" outlineLevel="1"/>
  </cols>
  <sheetData>
    <row r="1" spans="1:79" ht="21.6" customHeight="1" x14ac:dyDescent="0.3">
      <c r="A1" s="103" t="s">
        <v>494</v>
      </c>
      <c r="B1" s="104"/>
      <c r="C1" s="104"/>
      <c r="D1" s="45" t="s">
        <v>495</v>
      </c>
      <c r="E1" s="107" t="s">
        <v>496</v>
      </c>
      <c r="F1" s="108"/>
      <c r="G1" s="108"/>
      <c r="H1" s="108"/>
      <c r="I1" s="109" t="s">
        <v>497</v>
      </c>
      <c r="J1" s="110"/>
      <c r="K1" s="110"/>
      <c r="L1" s="111" t="s">
        <v>498</v>
      </c>
      <c r="M1" s="112"/>
      <c r="N1" s="112"/>
      <c r="O1" s="112"/>
      <c r="P1" s="52" t="s">
        <v>499</v>
      </c>
      <c r="Q1" s="41" t="s">
        <v>500</v>
      </c>
      <c r="R1" s="103" t="s">
        <v>501</v>
      </c>
      <c r="S1" s="104"/>
      <c r="T1" s="104"/>
      <c r="U1" s="104"/>
      <c r="V1" s="104"/>
      <c r="W1" s="103" t="s">
        <v>502</v>
      </c>
      <c r="X1" s="104"/>
      <c r="Y1" s="105" t="s">
        <v>503</v>
      </c>
      <c r="Z1" s="106"/>
      <c r="AA1" s="106"/>
      <c r="AB1" s="106"/>
      <c r="AC1" s="106"/>
      <c r="AD1" s="106"/>
      <c r="AE1" s="66" t="str">
        <f>"Ошибок: "&amp;COUNTIF($BU$3:$BU$3000,2)&amp;"   Предупреждений: "&amp;COUNTIF($BU$3:$BU$3000,1)</f>
        <v>Ошибок: 6   Предупреждений: 23</v>
      </c>
      <c r="AF1" s="36" t="s">
        <v>504</v>
      </c>
      <c r="BC1" s="34" t="s">
        <v>505</v>
      </c>
    </row>
    <row r="2" spans="1:79" ht="84" customHeight="1" x14ac:dyDescent="0.3">
      <c r="A2" s="40" t="s">
        <v>4</v>
      </c>
      <c r="B2" s="43" t="s">
        <v>506</v>
      </c>
      <c r="C2" s="43" t="s">
        <v>507</v>
      </c>
      <c r="D2" s="44" t="s">
        <v>508</v>
      </c>
      <c r="E2" s="44" t="s">
        <v>509</v>
      </c>
      <c r="F2" s="46" t="s">
        <v>1221</v>
      </c>
      <c r="G2" s="48" t="s">
        <v>510</v>
      </c>
      <c r="H2" s="48" t="s">
        <v>7</v>
      </c>
      <c r="I2" s="44" t="s">
        <v>511</v>
      </c>
      <c r="J2" s="46" t="s">
        <v>512</v>
      </c>
      <c r="K2" s="46" t="s">
        <v>513</v>
      </c>
      <c r="L2" s="44" t="s">
        <v>514</v>
      </c>
      <c r="M2" s="50" t="s">
        <v>515</v>
      </c>
      <c r="N2" s="46" t="s">
        <v>516</v>
      </c>
      <c r="O2" s="50" t="s">
        <v>517</v>
      </c>
      <c r="P2" s="51" t="s">
        <v>518</v>
      </c>
      <c r="Q2" s="40" t="s">
        <v>9</v>
      </c>
      <c r="R2" s="40" t="s">
        <v>519</v>
      </c>
      <c r="S2" s="43" t="s">
        <v>6</v>
      </c>
      <c r="T2" s="43" t="s">
        <v>520</v>
      </c>
      <c r="U2" s="43" t="s">
        <v>521</v>
      </c>
      <c r="V2" s="43" t="s">
        <v>522</v>
      </c>
      <c r="W2" s="40" t="s">
        <v>7</v>
      </c>
      <c r="X2" s="43" t="s">
        <v>517</v>
      </c>
      <c r="Y2" s="44" t="s">
        <v>523</v>
      </c>
      <c r="Z2" s="60" t="s">
        <v>524</v>
      </c>
      <c r="AA2" s="60" t="s">
        <v>525</v>
      </c>
      <c r="AB2" s="60" t="s">
        <v>762</v>
      </c>
      <c r="AC2" s="60" t="s">
        <v>526</v>
      </c>
      <c r="AD2" s="60" t="s">
        <v>527</v>
      </c>
      <c r="AE2" s="60" t="s">
        <v>969</v>
      </c>
      <c r="AF2" s="35" t="s">
        <v>528</v>
      </c>
      <c r="AG2" s="35" t="s">
        <v>529</v>
      </c>
      <c r="AH2" s="35" t="s">
        <v>530</v>
      </c>
      <c r="AI2" s="35" t="s">
        <v>531</v>
      </c>
      <c r="AJ2" s="35" t="s">
        <v>532</v>
      </c>
      <c r="AK2" s="35" t="s">
        <v>533</v>
      </c>
      <c r="AL2" s="35" t="s">
        <v>534</v>
      </c>
      <c r="AM2" s="35" t="s">
        <v>535</v>
      </c>
      <c r="AN2" s="35" t="s">
        <v>536</v>
      </c>
      <c r="AO2" s="35" t="s">
        <v>537</v>
      </c>
      <c r="AP2" s="35" t="s">
        <v>538</v>
      </c>
      <c r="AQ2" s="35" t="s">
        <v>539</v>
      </c>
      <c r="AR2" s="35" t="s">
        <v>540</v>
      </c>
      <c r="AS2" s="35" t="s">
        <v>541</v>
      </c>
      <c r="AT2" s="35" t="s">
        <v>542</v>
      </c>
      <c r="AU2" s="35" t="s">
        <v>543</v>
      </c>
      <c r="AV2" s="35" t="s">
        <v>544</v>
      </c>
      <c r="AW2" s="35" t="s">
        <v>545</v>
      </c>
      <c r="AX2" s="35" t="s">
        <v>546</v>
      </c>
      <c r="AY2" s="35" t="s">
        <v>547</v>
      </c>
      <c r="AZ2" s="35" t="s">
        <v>548</v>
      </c>
      <c r="BA2" s="35" t="s">
        <v>549</v>
      </c>
      <c r="BB2" s="35" t="s">
        <v>763</v>
      </c>
      <c r="BD2" s="35" t="s">
        <v>550</v>
      </c>
      <c r="BE2" s="35" t="s">
        <v>551</v>
      </c>
      <c r="BF2" s="35" t="s">
        <v>552</v>
      </c>
      <c r="BG2" s="35" t="s">
        <v>553</v>
      </c>
      <c r="BH2" s="35" t="s">
        <v>554</v>
      </c>
      <c r="BI2" s="35" t="s">
        <v>555</v>
      </c>
      <c r="BJ2" s="35" t="s">
        <v>556</v>
      </c>
      <c r="BK2" s="35" t="s">
        <v>557</v>
      </c>
      <c r="BL2" s="35" t="s">
        <v>558</v>
      </c>
      <c r="BM2" s="35" t="s">
        <v>970</v>
      </c>
      <c r="BN2" s="35" t="s">
        <v>971</v>
      </c>
      <c r="BO2" s="35" t="s">
        <v>972</v>
      </c>
      <c r="BP2" s="35" t="s">
        <v>973</v>
      </c>
      <c r="BQ2" s="35" t="s">
        <v>974</v>
      </c>
      <c r="BR2" s="35" t="s">
        <v>975</v>
      </c>
      <c r="BS2" s="35" t="s">
        <v>976</v>
      </c>
      <c r="BT2" s="35" t="s">
        <v>977</v>
      </c>
      <c r="BU2" s="35" t="s">
        <v>978</v>
      </c>
      <c r="BV2" s="35" t="s">
        <v>979</v>
      </c>
      <c r="BW2" s="35" t="s">
        <v>980</v>
      </c>
      <c r="BX2" s="35" t="s">
        <v>981</v>
      </c>
      <c r="BY2" s="35" t="s">
        <v>982</v>
      </c>
      <c r="BZ2" t="s">
        <v>1231</v>
      </c>
      <c r="CA2" t="s">
        <v>1234</v>
      </c>
    </row>
    <row r="3" spans="1:79" x14ac:dyDescent="0.3">
      <c r="A3" s="39" t="str" cm="1">
        <f t="array" ref="A3:A72">_xlfn.LET(_xlpm.v,_xlfn._xlws.FILTER(Линии[Щит],Линии[_№ места (итог)]&lt;&gt;""),IF(_xlpm.v="","",_xlpm.v))</f>
        <v>ЩР</v>
      </c>
      <c r="B3" s="42" cm="1">
        <f t="array" ref="B3:B72">_xlfn.LET(_xlpm.v,_xlfn._xlws.FILTER(Линии[_№ места (итог)],Линии[_№ места (итог)]&lt;&gt;""),IF(_xlpm.v="","",_xlpm.v))</f>
        <v>1</v>
      </c>
      <c r="C3" s="42" cm="1">
        <f t="array" ref="C3:C72">_xlfn.LET(_xlpm.v,_xlfn._xlws.FILTER(Линии[Лист схемы],Линии[_№ места (итог)]&lt;&gt;""),IF(_xlpm.v="","",_xlpm.v))</f>
        <v>1</v>
      </c>
      <c r="D3" s="75" t="str" cm="1">
        <f t="array" ref="D3:D72">_xlfn.LET(_xlpm.v,_xlfn._xlws.FILTER(Линии[Шина],Линии[_№ места (итог)]&lt;&gt;""),IF(_xlpm.v="","",_xlpm.v))</f>
        <v/>
      </c>
      <c r="E3" s="75" t="str" cm="1">
        <f t="array" ref="E3:E72">_xlfn.LET(_xlpm.v,_xlfn._xlws.FILTER(Линии[Автомат «авто» или текст],Линии[_№ места (итог)]&lt;&gt;""),IF(_xlpm.v="","",_xlpm.v))</f>
        <v/>
      </c>
      <c r="F3" s="76" t="str" cm="1">
        <f t="array" ref="F3:F72">_xlfn.LET(_xlpm.v,_xlfn._xlws.FILTER(Линии[Дифзащита, мА],Линии[_№ места (итог)]&lt;&gt;""),IF(_xlpm.v="","",_xlpm.v))</f>
        <v/>
      </c>
      <c r="G3" s="47" t="str" cm="1">
        <f t="array" ref="G3:G72">_xlfn.LET(_xlpm.v,_xlfn._xlws.FILTER(Линии[QF],Линии[_№ места (итог)]&lt;&gt;""),IF(_xlpm.v="","",_xlpm.v))</f>
        <v/>
      </c>
      <c r="H3" s="47" t="str" cm="1">
        <f t="array" ref="H3:H72">_xlfn.LET(_xlpm.v,_xlfn._xlws.FILTER(Линии[Автомат (схема)],Линии[_№ места (итог)]&lt;&gt;""),IF(_xlpm.v="","",_xlpm.v))</f>
        <v/>
      </c>
      <c r="I3" s="75" t="str" cm="1">
        <f t="array" ref="I3:I72">_xlfn.LET(_xlpm.v,_xlfn._xlws.FILTER(Линии[Аппарат 1],Линии[_№ места (итог)]&lt;&gt;""),IF(_xlpm.v="","",_xlpm.v))</f>
        <v/>
      </c>
      <c r="J3" s="76" t="str" cm="1">
        <f t="array" ref="J3:J72">_xlfn.LET(_xlpm.v,_xlfn._xlws.FILTER(Линии[Аппарат 2],Линии[_№ места (итог)]&lt;&gt;""),IF(_xlpm.v="","",_xlpm.v))</f>
        <v/>
      </c>
      <c r="K3" s="76" t="str" cm="1">
        <f t="array" ref="K3:K72">_xlfn.LET(_xlpm.v,_xlfn._xlws.FILTER(Линии[Аппарат 3],Линии[_№ места (итог)]&lt;&gt;""),IF(_xlpm.v="","",_xlpm.v))</f>
        <v/>
      </c>
      <c r="L3" s="75" t="str" cm="1">
        <f t="array" ref="L3:L72">_xlfn.LET(_xlpm.v,_xlfn._xlws.FILTER(Линии[Модуль],Линии[_№ места (итог)]&lt;&gt;""),IF(_xlpm.v="","",_xlpm.v))</f>
        <v/>
      </c>
      <c r="M3" s="49" t="str" cm="1">
        <f t="array" ref="M3:M72">_xlfn.LET(_xlpm.v,_xlfn._xlws.FILTER(Линии[_Модуль (схема)],Линии[_№ места (итог)]&lt;&gt;""),IF(_xlpm.v="","",_xlpm.v))</f>
        <v/>
      </c>
      <c r="N3" s="76" t="str" cm="1">
        <f t="array" ref="N3:N72">_xlfn.LET(_xlpm.v,_xlfn._xlws.FILTER(Линии[Канал],Линии[_№ места (итог)]&lt;&gt;""),IF(_xlpm.v="","",_xlpm.v))</f>
        <v/>
      </c>
      <c r="O3" s="49" t="str" cm="1">
        <f t="array" ref="O3:O72">_xlfn.LET(_xlpm.v,_xlfn._xlws.FILTER(Линии[Канал (итог)],Линии[_№ места (итог)]&lt;&gt;""),IF(_xlpm.v="","",_xlpm.v))</f>
        <v/>
      </c>
      <c r="P3" s="77" t="str" cm="1">
        <f t="array" ref="P3:P72">_xlfn.LET(_xlpm.v,_xlfn._xlws.FILTER(Линии[Клемма (итог)],Линии[_№ места (итог)]&lt;&gt;""),IF(_xlpm.v="","",_xlpm.v))</f>
        <v/>
      </c>
      <c r="Q3" s="53" t="str" cm="1">
        <f t="array" ref="Q3:Q72">_xlfn.LET(_xlpm.v,_xlfn._xlws.FILTER(Линии[Кабель (строкой)],Линии[_№ места (итог)]&lt;&gt;""),IF(_xlpm.v="","",_xlpm.v))</f>
        <v/>
      </c>
      <c r="R3" s="54" t="str" cm="1">
        <f t="array" ref="R3:R72">_xlfn.LET(_xlpm.v,_xlfn._xlws.FILTER(Линии[Номер линии],Линии[_№ места (итог)]&lt;&gt;""),IF(_xlpm.v="","",_xlpm.v))</f>
        <v/>
      </c>
      <c r="S3" s="55" t="str" cm="1">
        <f t="array" ref="S3:S72">_xlfn.LET(_xlpm.v,_xlfn._xlws.FILTER(Линии[Наименование (итог)],Линии[_№ места (итог)]&lt;&gt;""),IF(_xlpm.v="","",_xlpm.v))</f>
        <v/>
      </c>
      <c r="T3" s="56" t="str" cm="1">
        <f t="array" ref="T3:T72">_xlfn.LET(_xlpm.v,_xlfn._xlws.FILTER(Линии[_Р схемы],Линии[_№ места (итог)]&lt;&gt;""),IF(_xlpm.v="","",_xlpm.v))</f>
        <v/>
      </c>
      <c r="U3" s="56" t="str" cm="1">
        <f t="array" ref="U3:U72">_xlfn.LET(_xlpm.v,_xlfn._xlws.FILTER(Линии[_Ток схемы],Линии[_№ места (итог)]&lt;&gt;""),IF(_xlpm.v="","",_xlpm.v))</f>
        <v/>
      </c>
      <c r="V3" s="42" t="str" cm="1">
        <f t="array" ref="V3:V72">_xlfn.LET(_xlpm.v,_xlfn._xlws.FILTER(Линии[Фаза],Линии[_№ места (итог)]&lt;&gt;""),IF(_xlpm.v="","",_xlpm.v))</f>
        <v/>
      </c>
      <c r="W3" s="57" t="str" cm="1">
        <f t="array" ref="W3:W72">_xlfn.LET(_xlpm.v,_xlfn._xlws.FILTER(Линии[Проверка автомата],Линии[_№ места (итог)]&lt;&gt;""),IF(_xlpm.v="","",_xlpm.v))</f>
        <v/>
      </c>
      <c r="X3" s="58" t="str" cm="1">
        <f t="array" ref="X3:X72">_xlfn.LET(_xlpm.v,_xlfn._xlws.FILTER(Линии[Проверка канала],Линии[_№ места (итог)]&lt;&gt;""),IF(_xlpm.v="","",_xlpm.v))</f>
        <v/>
      </c>
      <c r="Y3" s="75" t="str" cm="1">
        <f t="array" ref="Y3:Y72">_xlfn.LET(_xlpm.v,_xlfn._xlws.FILTER(Линии[Режим],Линии[_№ места (итог)]&lt;&gt;""),IF(_xlpm.v="","",_xlpm.v))</f>
        <v>вручную</v>
      </c>
      <c r="Z3" s="59" t="str" cm="1">
        <f t="array" ref="Z3:Z72">_xlfn.LET(_xlpm.v,_xlfn._xlws.FILTER(Линии[_ток группы],Линии[_№ места (итог)]&lt;&gt;""),IF(_xlpm.v="","",_xlpm.v))</f>
        <v/>
      </c>
      <c r="AA3" s="61" t="str" cm="1">
        <f t="array" ref="AA3:AA72">_xlfn.LET(_xlpm.v,_xlfn._xlws.FILTER(Линии[_номинал по току],Линии[_№ места (итог)]&lt;&gt;""),IF(_xlpm.v="","",_xlpm.v))</f>
        <v/>
      </c>
      <c r="AB3" s="61" t="str" cm="1">
        <f t="array" ref="AB3:AB72">_xlfn.LET(_xlpm.v,_xlfn._xlws.FILTER(Линии[_макс. автомат по кабелю],Линии[_№ места (итог)]&lt;&gt;""),IF(_xlpm.v="","",_xlpm.v))</f>
        <v/>
      </c>
      <c r="AC3" s="61" t="str" cm="1">
        <f t="array" ref="AC3:AC72">_xlfn.LET(_xlpm.v,_xlfn._xlws.FILTER(Линии[_модель (схема)],Линии[_№ места (итог)]&lt;&gt;""),IF(_xlpm.v="","",_xlpm.v))</f>
        <v/>
      </c>
      <c r="AD3" s="62" t="str" cm="1">
        <f t="array" ref="AD3:AD72">_xlfn.LET(_xlpm.v,_xlfn._xlws.FILTER(Линии[_цепь],Линии[_№ места (итог)]&lt;&gt;""),IF(_xlpm.v="","",_xlpm.v))</f>
        <v/>
      </c>
      <c r="AE3" s="62" t="str" cm="1">
        <f t="array" ref="AE3:AE72">_xlfn.LET(_xlpm.v,_xlfn._xlws.FILTER(Линии[Статус],Линии[_№ места (итог)]&lt;&gt;""),IF(_xlpm.v="","",_xlpm.v))</f>
        <v/>
      </c>
      <c r="AF3" s="34" t="str" cm="1">
        <f t="array" ref="AF3:AF72">_xlfn.LET(_xlpm.v,_xlfn._xlws.FILTER(Линии[_гр.],Линии[_№ места (итог)]&lt;&gt;""),IF(_xlpm.v="","",_xlpm.v))</f>
        <v/>
      </c>
      <c r="AG3" s="34" t="str" cm="1">
        <f t="array" ref="AG3:AG72">_xlfn.LET(_xlpm.v,_xlfn._xlws.FILTER(Линии[_QF гр.],Линии[_№ места (итог)]&lt;&gt;""),IF(_xlpm.v="","",_xlpm.v))</f>
        <v/>
      </c>
      <c r="AH3" s="34" t="str" cm="1">
        <f t="array" ref="AH3:AH72">_xlfn.LET(_xlpm.v,_xlfn._xlws.FILTER(Линии[_модуль гр.],Линии[_№ места (итог)]&lt;&gt;""),IF(_xlpm.v="","",_xlpm.v))</f>
        <v/>
      </c>
      <c r="AI3" s="34" t="str" cm="1">
        <f t="array" ref="AI3:AI72">_xlfn.LET(_xlpm.v,_xlfn._xlws.FILTER(Линии[_модель гр.],Линии[_№ места (итог)]&lt;&gt;""),IF(_xlpm.v="","",_xlpm.v))</f>
        <v/>
      </c>
      <c r="AJ3" s="34" t="str" cm="1">
        <f t="array" ref="AJ3:AJ72">_xlfn.LET(_xlpm.v,_xlfn._xlws.FILTER(Линии[_QF нач.],Линии[_№ места (итог)]&lt;&gt;""),IF(_xlpm.v="","",_xlpm.v))</f>
        <v/>
      </c>
      <c r="AK3" s="34" t="str" cm="1">
        <f t="array" ref="AK3:AK72">_xlfn.LET(_xlpm.v,_xlfn._xlws.FILTER(Линии[_фаз],Линии[_№ места (итог)]&lt;&gt;""),IF(_xlpm.v="","",_xlpm.v))</f>
        <v/>
      </c>
      <c r="AL3" s="34" t="str" cm="1">
        <f t="array" ref="AL3:AL72">_xlfn.LET(_xlpm.v,_xlfn._xlws.FILTER(Линии[Код],Линии[_№ места (итог)]&lt;&gt;""),IF(_xlpm.v="","",_xlpm.v))</f>
        <v/>
      </c>
      <c r="AM3" s="34" cm="1">
        <f t="array" ref="AM3:AM72">_xlfn.LET(_xlpm.v,_xlfn._xlws.FILTER(Линии[_дифзащита по коду, мА],Линии[_№ места (итог)]&lt;&gt;""),IF(_xlpm.v="","",_xlpm.v))</f>
        <v>0</v>
      </c>
      <c r="AN3" s="34" cm="1">
        <f t="array" ref="AN3:AN72">_xlfn.LET(_xlpm.v,_xlfn._xlws.FILTER(Линии[_в кабель выше],Линии[_№ места (итог)]&lt;&gt;""),IF(_xlpm.v="","",_xlpm.v))</f>
        <v>0</v>
      </c>
      <c r="AO3" s="34" t="str" cm="1">
        <f t="array" ref="AO3:AO72">_xlfn.LET(_xlpm.v,_xlfn._xlws.FILTER(Линии[_по току],Линии[_№ места (итог)]&lt;&gt;""),IF(_xlpm.v="","",_xlpm.v))</f>
        <v/>
      </c>
      <c r="AP3" s="34" t="str" cm="1">
        <f t="array" ref="AP3:AP72">_xlfn.LET(_xlpm.v,_xlfn._xlws.FILTER(Линии[_мин. по кабелям],Линии[_№ места (итог)]&lt;&gt;""),IF(_xlpm.v="","",_xlpm.v))</f>
        <v/>
      </c>
      <c r="AQ3" s="34" t="str" cm="1">
        <f t="array" ref="AQ3:AQ72">_xlfn.LET(_xlpm.v,_xlfn._xlws.FILTER(Линии[_номинал],Линии[_№ места (итог)]&lt;&gt;""),IF(_xlpm.v="","",_xlpm.v))</f>
        <v/>
      </c>
      <c r="AR3" s="34" t="str" cm="1">
        <f t="array" ref="AR3:AR72">_xlfn.LET(_xlpm.v,_xlfn._xlws.FILTER(Линии[_фаз гр.],Линии[_№ места (итог)]&lt;&gt;""),IF(_xlpm.v="","",_xlpm.v))</f>
        <v/>
      </c>
      <c r="AS3" s="34" t="str" cm="1">
        <f t="array" ref="AS3:AS72">_xlfn.LET(_xlpm.v,_xlfn._xlws.FILTER(Линии[_дифзащита гр. (0/1)],Линии[_№ места (итог)]&lt;&gt;""),IF(_xlpm.v="","",_xlpm.v))</f>
        <v/>
      </c>
      <c r="AT3" s="34" t="str" cm="1">
        <f t="array" ref="AT3:AT72">_xlfn.LET(_xlpm.v,_xlfn._xlws.FILTER(Линии[_полюса],Линии[_№ места (итог)]&lt;&gt;""),IF(_xlpm.v="","",_xlpm.v))</f>
        <v/>
      </c>
      <c r="AU3" s="34" t="str" cm="1">
        <f t="array" ref="AU3:AU72">_xlfn.LET(_xlpm.v,_xlfn._xlws.FILTER(Линии[_номинал итог],Линии[_№ места (итог)]&lt;&gt;""),IF(_xlpm.v="","",_xlpm.v))</f>
        <v/>
      </c>
      <c r="AV3" s="34" t="str" cm="1">
        <f t="array" ref="AV3:AV72">_xlfn.LET(_xlpm.v,_xlfn._xlws.FILTER(Линии[_префикс],Линии[_№ места (итог)]&lt;&gt;""),IF(_xlpm.v="","",_xlpm.v))</f>
        <v/>
      </c>
      <c r="AW3" s="34" t="str" cm="1">
        <f t="array" ref="AW3:AW72">_xlfn.LET(_xlpm.v,_xlfn._xlws.FILTER(Линии[_модуль нач.],Линии[_№ места (итог)]&lt;&gt;""),IF(_xlpm.v="","",_xlpm.v))</f>
        <v/>
      </c>
      <c r="AX3" s="34" t="str" cm="1">
        <f t="array" ref="AX3:AX72">_xlfn.LET(_xlpm.v,_xlfn._xlws.FILTER(Линии[_посл. канал],Линии[_№ места (итог)]&lt;&gt;""),IF(_xlpm.v="","",_xlpm.v))</f>
        <v/>
      </c>
      <c r="AY3" s="34" cm="1">
        <f t="array" ref="AY3:AY72">_xlfn.LET(_xlpm.v,_xlfn._xlws.FILTER(Линии[_клемма],Линии[_№ места (итог)]&lt;&gt;""),IF(_xlpm.v="","",_xlpm.v))</f>
        <v>0</v>
      </c>
      <c r="AZ3" s="34" t="str" cm="1">
        <f t="array" ref="AZ3:AZ72">_xlfn.LET(_xlpm.v,_xlfn._xlws.FILTER(Линии[_аппараты гр.],Линии[_№ места (итог)]&lt;&gt;""),IF(_xlpm.v="","",_xlpm.v))</f>
        <v/>
      </c>
      <c r="BA3" s="34" cm="1">
        <f t="array" ref="BA3:BA72">_xlfn.LET(_xlpm.v,_xlfn._xlws.FILTER(Линии[_БП/тр-р],Линии[_№ места (итог)]&lt;&gt;""),IF(_xlpm.v="","",_xlpm.v))</f>
        <v>0</v>
      </c>
      <c r="BB3" s="34" cm="1">
        <f t="array" ref="BB3:BB72">_xlfn.LET(_xlpm.v,_xlfn._xlws.FILTER(Линии[_мин. по типу],Линии[_№ места (итог)]&lt;&gt;""),IF(_xlpm.v="","",_xlpm.v))</f>
        <v>0</v>
      </c>
      <c r="BD3" s="34" cm="1">
        <f t="array" ref="BD3:BD72">_xlfn.LET(_xlpm.v,_xlfn._xlws.FILTER(Линии[_draw],Линии[_№ места (итог)]&lt;&gt;""),IF(_xlpm.v="","",_xlpm.v))</f>
        <v>0</v>
      </c>
      <c r="BE3" s="34" cm="1">
        <f t="array" ref="BE3:BE72">_xlfn.LET(_xlpm.v,_xlfn._xlws.FILTER(Линии[_bus2],Линии[_№ места (итог)]&lt;&gt;""),IF(_xlpm.v="","",_xlpm.v))</f>
        <v>0</v>
      </c>
      <c r="BF3" s="34" cm="1">
        <f t="array" ref="BF3:BF72">_xlfn.LET(_xlpm.v,_xlfn._xlws.FILTER(Линии[_rcd],Линии[_№ места (итог)]&lt;&gt;""),IF(_xlpm.v="","",_xlpm.v))</f>
        <v>0</v>
      </c>
      <c r="BG3" s="34" t="str" cm="1">
        <f t="array" ref="BG3:BG72">_xlfn.LET(_xlpm.v,_xlfn._xlws.FILTER(Линии[_chtype],Линии[_№ места (итог)]&lt;&gt;""),IF(_xlpm.v="","",_xlpm.v))</f>
        <v/>
      </c>
      <c r="BH3" s="34" t="str" cm="1">
        <f t="array" ref="BH3:BH72">_xlfn.LET(_xlpm.v,_xlfn._xlws.FILTER(Линии[_dev1],Линии[_№ места (итог)]&lt;&gt;""),IF(_xlpm.v="","",_xlpm.v))</f>
        <v/>
      </c>
      <c r="BI3" s="34" t="str" cm="1">
        <f t="array" ref="BI3:BI72">_xlfn.LET(_xlpm.v,_xlfn._xlws.FILTER(Линии[_dev2],Линии[_№ места (итог)]&lt;&gt;""),IF(_xlpm.v="","",_xlpm.v))</f>
        <v/>
      </c>
      <c r="BJ3" s="34" t="str" cm="1">
        <f t="array" ref="BJ3:BJ72">_xlfn.LET(_xlpm.v,_xlfn._xlws.FILTER(Линии[_dev3],Линии[_№ места (итог)]&lt;&gt;""),IF(_xlpm.v="","",_xlpm.v))</f>
        <v/>
      </c>
      <c r="BK3" s="34" t="str" cm="1">
        <f t="array" ref="BK3:BK72">_xlfn.LET(_xlpm.v,_xlfn._xlws.FILTER(Линии[_sym],Линии[_№ места (итог)]&lt;&gt;""),IF(_xlpm.v="","",_xlpm.v))</f>
        <v/>
      </c>
      <c r="BL3" s="34" cm="1">
        <f t="array" ref="BL3:BL72">_xlfn.LET(_xlpm.v,_xlfn._xlws.FILTER(Линии[_hasline],Линии[_№ места (итог)]&lt;&gt;""),IF(_xlpm.v="","",_xlpm.v))</f>
        <v>0</v>
      </c>
      <c r="BM3" s="34" t="str" cm="1">
        <f t="array" ref="BM3:BM72">_xlfn.LET(_xlpm.v,_xlfn._xlws.FILTER(Линии[_тип автомата №],Линии[_№ места (итог)]&lt;&gt;""),IF(_xlpm.v="","",_xlpm.v))</f>
        <v/>
      </c>
      <c r="BN3" s="34" t="str" cm="1">
        <f t="array" ref="BN3:BN72">_xlfn.LET(_xlpm.v,_xlfn._xlws.FILTER(Линии[_аппарат 1 №],Линии[_№ места (итог)]&lt;&gt;""),IF(_xlpm.v="","",_xlpm.v))</f>
        <v/>
      </c>
      <c r="BO3" s="34" t="str" cm="1">
        <f t="array" ref="BO3:BO72">_xlfn.LET(_xlpm.v,_xlfn._xlws.FILTER(Линии[_аппарат 2 №],Линии[_№ места (итог)]&lt;&gt;""),IF(_xlpm.v="","",_xlpm.v))</f>
        <v/>
      </c>
      <c r="BP3" s="34" t="str" cm="1">
        <f t="array" ref="BP3:BP72">_xlfn.LET(_xlpm.v,_xlfn._xlws.FILTER(Линии[_аппарат 3 №],Линии[_№ места (итог)]&lt;&gt;""),IF(_xlpm.v="","",_xlpm.v))</f>
        <v/>
      </c>
      <c r="BQ3" s="34" t="str" cm="1">
        <f t="array" ref="BQ3:BQ72">_xlfn.LET(_xlpm.v,_xlfn._xlws.FILTER(Линии[_кабель клеммы],Линии[_№ места (итог)]&lt;&gt;""),IF(_xlpm.v="","",_xlpm.v))</f>
        <v/>
      </c>
      <c r="BR3" s="34" t="str" cm="1">
        <f t="array" ref="BR3:BR72">_xlfn.LET(_xlpm.v,_xlfn._xlws.FILTER(Линии[_вид клеммы №],Линии[_№ места (итог)]&lt;&gt;""),IF(_xlpm.v="","",_xlpm.v))</f>
        <v/>
      </c>
      <c r="BS3" s="34" t="str" cm="1">
        <f t="array" ref="BS3:BS72">_xlfn.LET(_xlpm.v,_xlfn._xlws.FILTER(Линии[_модуль №],Линии[_№ места (итог)]&lt;&gt;""),IF(_xlpm.v="","",_xlpm.v))</f>
        <v/>
      </c>
      <c r="BT3" s="34" t="str" cm="1">
        <f t="array" ref="BT3:BT72">_xlfn.LET(_xlpm.v,_xlfn._xlws.FILTER(Линии[_модель №],Линии[_№ места (итог)]&lt;&gt;""),IF(_xlpm.v="","",_xlpm.v))</f>
        <v/>
      </c>
      <c r="BU3" s="34" cm="1">
        <f t="array" ref="BU3:BU72">_xlfn.LET(_xlpm.v,_xlfn._xlws.FILTER(Линии[_уровень],Линии[_№ места (итог)]&lt;&gt;""),IF(_xlpm.v="","",_xlpm.v))</f>
        <v>0</v>
      </c>
      <c r="BV3" s="34" t="str" cm="1">
        <f t="array" ref="BV3:BV72">_xlfn.LET(_xlpm.v,_xlfn._xlws.FILTER(Линии[_№ линии],Линии[_№ места (итог)]&lt;&gt;""),IF(_xlpm.v="","",_xlpm.v))</f>
        <v/>
      </c>
      <c r="BW3" s="34" cm="1">
        <f t="array" ref="BW3:BW72">_xlfn.LET(_xlpm.v,_xlfn._xlws.FILTER(Линии[_3L клемм],Линии[_№ места (итог)]&lt;&gt;""),IF(_xlpm.v="","",_xlpm.v))</f>
        <v>0</v>
      </c>
      <c r="BX3" s="34" cm="1">
        <f t="array" ref="BX3:BX72">_xlfn.LET(_xlpm.v,_xlfn._xlws.FILTER(Линии[_доп. проходных],Линии[_№ места (итог)]&lt;&gt;""),IF(_xlpm.v="","",_xlpm.v))</f>
        <v>0</v>
      </c>
      <c r="BY3" s="34" t="str" cm="1">
        <f t="array" ref="BY3:BY72">_xlfn.LET(_xlpm.v,_xlfn._xlws.FILTER(Линии[_УГО (рус)],Линии[_№ места (итог)]&lt;&gt;""),IF(_xlpm.v="","",_xlpm.v))</f>
        <v/>
      </c>
      <c r="BZ3" cm="1">
        <f t="array" ref="BZ3:BZ72">_xlfn.LET(_xlpm.v,_xlfn._xlws.FILTER(Линии[_№ щита],Линии[_№ места (итог)]&lt;&gt;""),IF(_xlpm.v="","",_xlpm.v))</f>
        <v>1</v>
      </c>
      <c r="CA3" t="str" cm="1">
        <f t="array" ref="CA3:CA72">_xlfn.LET(_xlpm.v,_xlfn._xlws.FILTER(Линии[_зона],Линии[_№ места (итог)]&lt;&gt;""),IF(_xlpm.v="","",_xlpm.v))</f>
        <v>вводной узел</v>
      </c>
    </row>
    <row r="4" spans="1:79" x14ac:dyDescent="0.3">
      <c r="A4" s="39" t="str">
        <v>ЩР</v>
      </c>
      <c r="B4" s="42">
        <v>2</v>
      </c>
      <c r="C4" s="42">
        <v>1</v>
      </c>
      <c r="D4" s="75" t="str">
        <v/>
      </c>
      <c r="E4" s="75" t="str">
        <v/>
      </c>
      <c r="F4" s="76" t="str">
        <v/>
      </c>
      <c r="G4" s="47" t="str">
        <v/>
      </c>
      <c r="H4" s="47" t="str">
        <v/>
      </c>
      <c r="I4" s="75" t="str">
        <v/>
      </c>
      <c r="J4" s="76" t="str">
        <v/>
      </c>
      <c r="K4" s="76" t="str">
        <v/>
      </c>
      <c r="L4" s="75" t="str">
        <v/>
      </c>
      <c r="M4" s="49" t="str">
        <v/>
      </c>
      <c r="N4" s="76" t="str">
        <v/>
      </c>
      <c r="O4" s="49" t="str">
        <v/>
      </c>
      <c r="P4" s="77" t="str">
        <v/>
      </c>
      <c r="Q4" s="53" t="str">
        <v/>
      </c>
      <c r="R4" s="54" t="str">
        <v/>
      </c>
      <c r="S4" s="55" t="str">
        <v/>
      </c>
      <c r="T4" s="56" t="str">
        <v/>
      </c>
      <c r="U4" s="56" t="str">
        <v/>
      </c>
      <c r="V4" s="42" t="str">
        <v/>
      </c>
      <c r="W4" s="57" t="str">
        <v/>
      </c>
      <c r="X4" s="58" t="str">
        <v/>
      </c>
      <c r="Y4" s="75" t="str">
        <v>вручную</v>
      </c>
      <c r="Z4" s="59" t="str">
        <v/>
      </c>
      <c r="AA4" s="61" t="str">
        <v/>
      </c>
      <c r="AB4" s="61" t="str">
        <v/>
      </c>
      <c r="AC4" s="61" t="str">
        <v/>
      </c>
      <c r="AD4" s="62" t="str">
        <v/>
      </c>
      <c r="AE4" s="62" t="str">
        <v/>
      </c>
      <c r="AF4" s="34" t="str">
        <v/>
      </c>
      <c r="AG4" s="34" t="str">
        <v/>
      </c>
      <c r="AH4" s="34" t="str">
        <v/>
      </c>
      <c r="AI4" s="34" t="str">
        <v/>
      </c>
      <c r="AJ4" s="34" t="str">
        <v/>
      </c>
      <c r="AK4" s="34" t="str">
        <v/>
      </c>
      <c r="AL4" s="34" t="str">
        <v/>
      </c>
      <c r="AM4" s="34">
        <v>0</v>
      </c>
      <c r="AN4" s="34">
        <v>0</v>
      </c>
      <c r="AO4" s="34" t="str">
        <v/>
      </c>
      <c r="AP4" s="34" t="str">
        <v/>
      </c>
      <c r="AQ4" s="34" t="str">
        <v/>
      </c>
      <c r="AR4" s="34" t="str">
        <v/>
      </c>
      <c r="AS4" s="34" t="str">
        <v/>
      </c>
      <c r="AT4" s="34" t="str">
        <v/>
      </c>
      <c r="AU4" s="34" t="str">
        <v/>
      </c>
      <c r="AV4" s="34" t="str">
        <v/>
      </c>
      <c r="AW4" s="34" t="str">
        <v/>
      </c>
      <c r="AX4" s="34" t="str">
        <v/>
      </c>
      <c r="AY4" s="34">
        <v>0</v>
      </c>
      <c r="AZ4" s="34" t="str">
        <v/>
      </c>
      <c r="BA4" s="34">
        <v>0</v>
      </c>
      <c r="BB4" s="34">
        <v>0</v>
      </c>
      <c r="BD4" s="34">
        <v>0</v>
      </c>
      <c r="BE4" s="34">
        <v>0</v>
      </c>
      <c r="BF4" s="34">
        <v>0</v>
      </c>
      <c r="BG4" s="34" t="str">
        <v/>
      </c>
      <c r="BH4" s="34" t="str">
        <v/>
      </c>
      <c r="BI4" s="34" t="str">
        <v/>
      </c>
      <c r="BJ4" s="34" t="str">
        <v/>
      </c>
      <c r="BK4" s="34" t="str">
        <v/>
      </c>
      <c r="BL4" s="34">
        <v>0</v>
      </c>
      <c r="BM4" s="34" t="str">
        <v/>
      </c>
      <c r="BN4" s="34" t="str">
        <v/>
      </c>
      <c r="BO4" s="34" t="str">
        <v/>
      </c>
      <c r="BP4" s="34" t="str">
        <v/>
      </c>
      <c r="BQ4" s="34" t="str">
        <v/>
      </c>
      <c r="BR4" s="34" t="str">
        <v/>
      </c>
      <c r="BS4" s="34" t="str">
        <v/>
      </c>
      <c r="BT4" s="34" t="str">
        <v/>
      </c>
      <c r="BU4" s="34">
        <v>0</v>
      </c>
      <c r="BV4" s="34" t="str">
        <v/>
      </c>
      <c r="BW4" s="34">
        <v>0</v>
      </c>
      <c r="BX4" s="34">
        <v>0</v>
      </c>
      <c r="BY4" s="34" t="str">
        <v/>
      </c>
      <c r="BZ4">
        <v>1</v>
      </c>
      <c r="CA4" t="str">
        <v>вводной узел</v>
      </c>
    </row>
    <row r="5" spans="1:79" x14ac:dyDescent="0.3">
      <c r="A5" s="39" t="str">
        <v>ЩР</v>
      </c>
      <c r="B5" s="42">
        <v>3</v>
      </c>
      <c r="C5" s="42">
        <v>1</v>
      </c>
      <c r="D5" s="75" t="str">
        <v/>
      </c>
      <c r="E5" s="75" t="str">
        <v/>
      </c>
      <c r="F5" s="76" t="str">
        <v/>
      </c>
      <c r="G5" s="47" t="str">
        <v/>
      </c>
      <c r="H5" s="47" t="str">
        <v/>
      </c>
      <c r="I5" s="75" t="str">
        <v/>
      </c>
      <c r="J5" s="76" t="str">
        <v/>
      </c>
      <c r="K5" s="76" t="str">
        <v/>
      </c>
      <c r="L5" s="75" t="str">
        <v/>
      </c>
      <c r="M5" s="49" t="str">
        <v/>
      </c>
      <c r="N5" s="76" t="str">
        <v/>
      </c>
      <c r="O5" s="49" t="str">
        <v/>
      </c>
      <c r="P5" s="77" t="str">
        <v/>
      </c>
      <c r="Q5" s="53" t="str">
        <v/>
      </c>
      <c r="R5" s="54" t="str">
        <v/>
      </c>
      <c r="S5" s="55" t="str">
        <v/>
      </c>
      <c r="T5" s="56" t="str">
        <v/>
      </c>
      <c r="U5" s="56" t="str">
        <v/>
      </c>
      <c r="V5" s="42" t="str">
        <v/>
      </c>
      <c r="W5" s="57" t="str">
        <v/>
      </c>
      <c r="X5" s="58" t="str">
        <v/>
      </c>
      <c r="Y5" s="75" t="str">
        <v>вручную</v>
      </c>
      <c r="Z5" s="59" t="str">
        <v/>
      </c>
      <c r="AA5" s="61" t="str">
        <v/>
      </c>
      <c r="AB5" s="61" t="str">
        <v/>
      </c>
      <c r="AC5" s="61" t="str">
        <v/>
      </c>
      <c r="AD5" s="62" t="str">
        <v/>
      </c>
      <c r="AE5" s="62" t="str">
        <v/>
      </c>
      <c r="AF5" s="34" t="str">
        <v/>
      </c>
      <c r="AG5" s="34" t="str">
        <v/>
      </c>
      <c r="AH5" s="34" t="str">
        <v/>
      </c>
      <c r="AI5" s="34" t="str">
        <v/>
      </c>
      <c r="AJ5" s="34" t="str">
        <v/>
      </c>
      <c r="AK5" s="34" t="str">
        <v/>
      </c>
      <c r="AL5" s="34" t="str">
        <v/>
      </c>
      <c r="AM5" s="34">
        <v>0</v>
      </c>
      <c r="AN5" s="34">
        <v>0</v>
      </c>
      <c r="AO5" s="34" t="str">
        <v/>
      </c>
      <c r="AP5" s="34" t="str">
        <v/>
      </c>
      <c r="AQ5" s="34" t="str">
        <v/>
      </c>
      <c r="AR5" s="34" t="str">
        <v/>
      </c>
      <c r="AS5" s="34" t="str">
        <v/>
      </c>
      <c r="AT5" s="34" t="str">
        <v/>
      </c>
      <c r="AU5" s="34" t="str">
        <v/>
      </c>
      <c r="AV5" s="34" t="str">
        <v/>
      </c>
      <c r="AW5" s="34" t="str">
        <v/>
      </c>
      <c r="AX5" s="34" t="str">
        <v/>
      </c>
      <c r="AY5" s="34">
        <v>0</v>
      </c>
      <c r="AZ5" s="34" t="str">
        <v/>
      </c>
      <c r="BA5" s="34">
        <v>0</v>
      </c>
      <c r="BB5" s="34">
        <v>0</v>
      </c>
      <c r="BD5" s="34">
        <v>0</v>
      </c>
      <c r="BE5" s="34">
        <v>0</v>
      </c>
      <c r="BF5" s="34">
        <v>0</v>
      </c>
      <c r="BG5" s="34" t="str">
        <v/>
      </c>
      <c r="BH5" s="34" t="str">
        <v/>
      </c>
      <c r="BI5" s="34" t="str">
        <v/>
      </c>
      <c r="BJ5" s="34" t="str">
        <v/>
      </c>
      <c r="BK5" s="34" t="str">
        <v/>
      </c>
      <c r="BL5" s="34">
        <v>0</v>
      </c>
      <c r="BM5" s="34" t="str">
        <v/>
      </c>
      <c r="BN5" s="34" t="str">
        <v/>
      </c>
      <c r="BO5" s="34" t="str">
        <v/>
      </c>
      <c r="BP5" s="34" t="str">
        <v/>
      </c>
      <c r="BQ5" s="34" t="str">
        <v/>
      </c>
      <c r="BR5" s="34" t="str">
        <v/>
      </c>
      <c r="BS5" s="34" t="str">
        <v/>
      </c>
      <c r="BT5" s="34" t="str">
        <v/>
      </c>
      <c r="BU5" s="34">
        <v>0</v>
      </c>
      <c r="BV5" s="34" t="str">
        <v/>
      </c>
      <c r="BW5" s="34">
        <v>0</v>
      </c>
      <c r="BX5" s="34">
        <v>0</v>
      </c>
      <c r="BY5" s="34" t="str">
        <v/>
      </c>
      <c r="BZ5">
        <v>1</v>
      </c>
      <c r="CA5" t="str">
        <v>вводной узел</v>
      </c>
    </row>
    <row r="6" spans="1:79" x14ac:dyDescent="0.3">
      <c r="A6" s="39" t="str">
        <v>ЩР</v>
      </c>
      <c r="B6" s="42">
        <v>4</v>
      </c>
      <c r="C6" s="42">
        <v>1</v>
      </c>
      <c r="D6" s="75" t="str">
        <v/>
      </c>
      <c r="E6" s="75" t="str">
        <v/>
      </c>
      <c r="F6" s="76" t="str">
        <v/>
      </c>
      <c r="G6" s="47" t="str">
        <v/>
      </c>
      <c r="H6" s="47" t="str">
        <v/>
      </c>
      <c r="I6" s="75" t="str">
        <v/>
      </c>
      <c r="J6" s="76" t="str">
        <v/>
      </c>
      <c r="K6" s="76" t="str">
        <v/>
      </c>
      <c r="L6" s="75" t="str">
        <v/>
      </c>
      <c r="M6" s="49" t="str">
        <v/>
      </c>
      <c r="N6" s="76" t="str">
        <v/>
      </c>
      <c r="O6" s="49" t="str">
        <v/>
      </c>
      <c r="P6" s="77" t="str">
        <v/>
      </c>
      <c r="Q6" s="53" t="str">
        <v/>
      </c>
      <c r="R6" s="54" t="str">
        <v/>
      </c>
      <c r="S6" s="55" t="str">
        <v/>
      </c>
      <c r="T6" s="56" t="str">
        <v/>
      </c>
      <c r="U6" s="56" t="str">
        <v/>
      </c>
      <c r="V6" s="42" t="str">
        <v/>
      </c>
      <c r="W6" s="57" t="str">
        <v/>
      </c>
      <c r="X6" s="58" t="str">
        <v/>
      </c>
      <c r="Y6" s="75" t="str">
        <v>вручную</v>
      </c>
      <c r="Z6" s="59" t="str">
        <v/>
      </c>
      <c r="AA6" s="61" t="str">
        <v/>
      </c>
      <c r="AB6" s="61" t="str">
        <v/>
      </c>
      <c r="AC6" s="61" t="str">
        <v/>
      </c>
      <c r="AD6" s="62" t="str">
        <v/>
      </c>
      <c r="AE6" s="62" t="str">
        <v/>
      </c>
      <c r="AF6" s="34" t="str">
        <v/>
      </c>
      <c r="AG6" s="34" t="str">
        <v/>
      </c>
      <c r="AH6" s="34" t="str">
        <v/>
      </c>
      <c r="AI6" s="34" t="str">
        <v/>
      </c>
      <c r="AJ6" s="34" t="str">
        <v/>
      </c>
      <c r="AK6" s="34" t="str">
        <v/>
      </c>
      <c r="AL6" s="34" t="str">
        <v/>
      </c>
      <c r="AM6" s="34">
        <v>0</v>
      </c>
      <c r="AN6" s="34">
        <v>0</v>
      </c>
      <c r="AO6" s="34" t="str">
        <v/>
      </c>
      <c r="AP6" s="34" t="str">
        <v/>
      </c>
      <c r="AQ6" s="34" t="str">
        <v/>
      </c>
      <c r="AR6" s="34" t="str">
        <v/>
      </c>
      <c r="AS6" s="34" t="str">
        <v/>
      </c>
      <c r="AT6" s="34" t="str">
        <v/>
      </c>
      <c r="AU6" s="34" t="str">
        <v/>
      </c>
      <c r="AV6" s="34" t="str">
        <v/>
      </c>
      <c r="AW6" s="34" t="str">
        <v/>
      </c>
      <c r="AX6" s="34" t="str">
        <v/>
      </c>
      <c r="AY6" s="34">
        <v>0</v>
      </c>
      <c r="AZ6" s="34" t="str">
        <v/>
      </c>
      <c r="BA6" s="34">
        <v>0</v>
      </c>
      <c r="BB6" s="34">
        <v>0</v>
      </c>
      <c r="BD6" s="34">
        <v>0</v>
      </c>
      <c r="BE6" s="34">
        <v>0</v>
      </c>
      <c r="BF6" s="34">
        <v>0</v>
      </c>
      <c r="BG6" s="34" t="str">
        <v/>
      </c>
      <c r="BH6" s="34" t="str">
        <v/>
      </c>
      <c r="BI6" s="34" t="str">
        <v/>
      </c>
      <c r="BJ6" s="34" t="str">
        <v/>
      </c>
      <c r="BK6" s="34" t="str">
        <v/>
      </c>
      <c r="BL6" s="34">
        <v>0</v>
      </c>
      <c r="BM6" s="34" t="str">
        <v/>
      </c>
      <c r="BN6" s="34" t="str">
        <v/>
      </c>
      <c r="BO6" s="34" t="str">
        <v/>
      </c>
      <c r="BP6" s="34" t="str">
        <v/>
      </c>
      <c r="BQ6" s="34" t="str">
        <v/>
      </c>
      <c r="BR6" s="34" t="str">
        <v/>
      </c>
      <c r="BS6" s="34" t="str">
        <v/>
      </c>
      <c r="BT6" s="34" t="str">
        <v/>
      </c>
      <c r="BU6" s="34">
        <v>0</v>
      </c>
      <c r="BV6" s="34" t="str">
        <v/>
      </c>
      <c r="BW6" s="34">
        <v>0</v>
      </c>
      <c r="BX6" s="34">
        <v>0</v>
      </c>
      <c r="BY6" s="34" t="str">
        <v/>
      </c>
      <c r="BZ6">
        <v>1</v>
      </c>
      <c r="CA6" t="str">
        <v>вводной узел</v>
      </c>
    </row>
    <row r="7" spans="1:79" x14ac:dyDescent="0.3">
      <c r="A7" s="39" t="str">
        <v>ЩР</v>
      </c>
      <c r="B7" s="42">
        <v>5</v>
      </c>
      <c r="C7" s="42">
        <v>1</v>
      </c>
      <c r="D7" s="75" t="str">
        <v/>
      </c>
      <c r="E7" s="75" t="str">
        <v/>
      </c>
      <c r="F7" s="76" t="str">
        <v/>
      </c>
      <c r="G7" s="47" t="str">
        <v/>
      </c>
      <c r="H7" s="47" t="str">
        <v/>
      </c>
      <c r="I7" s="75" t="str">
        <v/>
      </c>
      <c r="J7" s="76" t="str">
        <v/>
      </c>
      <c r="K7" s="76" t="str">
        <v/>
      </c>
      <c r="L7" s="75" t="str">
        <v/>
      </c>
      <c r="M7" s="49" t="str">
        <v/>
      </c>
      <c r="N7" s="76" t="str">
        <v/>
      </c>
      <c r="O7" s="49" t="str">
        <v/>
      </c>
      <c r="P7" s="77" t="str">
        <v/>
      </c>
      <c r="Q7" s="53" t="str">
        <v/>
      </c>
      <c r="R7" s="54" t="str">
        <v/>
      </c>
      <c r="S7" s="55" t="str">
        <v/>
      </c>
      <c r="T7" s="56" t="str">
        <v/>
      </c>
      <c r="U7" s="56" t="str">
        <v/>
      </c>
      <c r="V7" s="42" t="str">
        <v/>
      </c>
      <c r="W7" s="57" t="str">
        <v/>
      </c>
      <c r="X7" s="58" t="str">
        <v/>
      </c>
      <c r="Y7" s="75" t="str">
        <v>вручную</v>
      </c>
      <c r="Z7" s="59" t="str">
        <v/>
      </c>
      <c r="AA7" s="61" t="str">
        <v/>
      </c>
      <c r="AB7" s="61" t="str">
        <v/>
      </c>
      <c r="AC7" s="61" t="str">
        <v/>
      </c>
      <c r="AD7" s="62" t="str">
        <v/>
      </c>
      <c r="AE7" s="62" t="str">
        <v/>
      </c>
      <c r="AF7" s="34" t="str">
        <v/>
      </c>
      <c r="AG7" s="34" t="str">
        <v/>
      </c>
      <c r="AH7" s="34" t="str">
        <v/>
      </c>
      <c r="AI7" s="34" t="str">
        <v/>
      </c>
      <c r="AJ7" s="34" t="str">
        <v/>
      </c>
      <c r="AK7" s="34" t="str">
        <v/>
      </c>
      <c r="AL7" s="34" t="str">
        <v/>
      </c>
      <c r="AM7" s="34">
        <v>0</v>
      </c>
      <c r="AN7" s="34">
        <v>0</v>
      </c>
      <c r="AO7" s="34" t="str">
        <v/>
      </c>
      <c r="AP7" s="34" t="str">
        <v/>
      </c>
      <c r="AQ7" s="34" t="str">
        <v/>
      </c>
      <c r="AR7" s="34" t="str">
        <v/>
      </c>
      <c r="AS7" s="34" t="str">
        <v/>
      </c>
      <c r="AT7" s="34" t="str">
        <v/>
      </c>
      <c r="AU7" s="34" t="str">
        <v/>
      </c>
      <c r="AV7" s="34" t="str">
        <v/>
      </c>
      <c r="AW7" s="34" t="str">
        <v/>
      </c>
      <c r="AX7" s="34" t="str">
        <v/>
      </c>
      <c r="AY7" s="34">
        <v>0</v>
      </c>
      <c r="AZ7" s="34" t="str">
        <v/>
      </c>
      <c r="BA7" s="34">
        <v>0</v>
      </c>
      <c r="BB7" s="34">
        <v>0</v>
      </c>
      <c r="BD7" s="34">
        <v>0</v>
      </c>
      <c r="BE7" s="34">
        <v>0</v>
      </c>
      <c r="BF7" s="34">
        <v>0</v>
      </c>
      <c r="BG7" s="34" t="str">
        <v/>
      </c>
      <c r="BH7" s="34" t="str">
        <v/>
      </c>
      <c r="BI7" s="34" t="str">
        <v/>
      </c>
      <c r="BJ7" s="34" t="str">
        <v/>
      </c>
      <c r="BK7" s="34" t="str">
        <v/>
      </c>
      <c r="BL7" s="34">
        <v>0</v>
      </c>
      <c r="BM7" s="34" t="str">
        <v/>
      </c>
      <c r="BN7" s="34" t="str">
        <v/>
      </c>
      <c r="BO7" s="34" t="str">
        <v/>
      </c>
      <c r="BP7" s="34" t="str">
        <v/>
      </c>
      <c r="BQ7" s="34" t="str">
        <v/>
      </c>
      <c r="BR7" s="34" t="str">
        <v/>
      </c>
      <c r="BS7" s="34" t="str">
        <v/>
      </c>
      <c r="BT7" s="34" t="str">
        <v/>
      </c>
      <c r="BU7" s="34">
        <v>0</v>
      </c>
      <c r="BV7" s="34" t="str">
        <v/>
      </c>
      <c r="BW7" s="34">
        <v>0</v>
      </c>
      <c r="BX7" s="34">
        <v>0</v>
      </c>
      <c r="BY7" s="34" t="str">
        <v/>
      </c>
      <c r="BZ7">
        <v>1</v>
      </c>
      <c r="CA7" t="str">
        <v>вводной узел</v>
      </c>
    </row>
    <row r="8" spans="1:79" x14ac:dyDescent="0.3">
      <c r="A8" s="39" t="str">
        <v>ЩР</v>
      </c>
      <c r="B8" s="42">
        <v>6</v>
      </c>
      <c r="C8" s="42">
        <v>1</v>
      </c>
      <c r="D8" s="75" t="str">
        <v/>
      </c>
      <c r="E8" s="75" t="str">
        <v/>
      </c>
      <c r="F8" s="76" t="str">
        <v/>
      </c>
      <c r="G8" s="47" t="str">
        <v/>
      </c>
      <c r="H8" s="47" t="str">
        <v/>
      </c>
      <c r="I8" s="75" t="str">
        <v/>
      </c>
      <c r="J8" s="76" t="str">
        <v/>
      </c>
      <c r="K8" s="76" t="str">
        <v/>
      </c>
      <c r="L8" s="75" t="str">
        <v/>
      </c>
      <c r="M8" s="49" t="str">
        <v/>
      </c>
      <c r="N8" s="76" t="str">
        <v/>
      </c>
      <c r="O8" s="49" t="str">
        <v/>
      </c>
      <c r="P8" s="77" t="str">
        <v/>
      </c>
      <c r="Q8" s="53" t="str">
        <v/>
      </c>
      <c r="R8" s="54" t="str">
        <v/>
      </c>
      <c r="S8" s="55" t="str">
        <v/>
      </c>
      <c r="T8" s="56" t="str">
        <v/>
      </c>
      <c r="U8" s="56" t="str">
        <v/>
      </c>
      <c r="V8" s="42" t="str">
        <v/>
      </c>
      <c r="W8" s="57" t="str">
        <v/>
      </c>
      <c r="X8" s="58" t="str">
        <v/>
      </c>
      <c r="Y8" s="75" t="str">
        <v>вручную</v>
      </c>
      <c r="Z8" s="59" t="str">
        <v/>
      </c>
      <c r="AA8" s="61" t="str">
        <v/>
      </c>
      <c r="AB8" s="61" t="str">
        <v/>
      </c>
      <c r="AC8" s="61" t="str">
        <v/>
      </c>
      <c r="AD8" s="62" t="str">
        <v/>
      </c>
      <c r="AE8" s="62" t="str">
        <v/>
      </c>
      <c r="AF8" s="34" t="str">
        <v/>
      </c>
      <c r="AG8" s="34" t="str">
        <v/>
      </c>
      <c r="AH8" s="34" t="str">
        <v/>
      </c>
      <c r="AI8" s="34" t="str">
        <v/>
      </c>
      <c r="AJ8" s="34" t="str">
        <v/>
      </c>
      <c r="AK8" s="34" t="str">
        <v/>
      </c>
      <c r="AL8" s="34" t="str">
        <v/>
      </c>
      <c r="AM8" s="34">
        <v>0</v>
      </c>
      <c r="AN8" s="34">
        <v>0</v>
      </c>
      <c r="AO8" s="34" t="str">
        <v/>
      </c>
      <c r="AP8" s="34" t="str">
        <v/>
      </c>
      <c r="AQ8" s="34" t="str">
        <v/>
      </c>
      <c r="AR8" s="34" t="str">
        <v/>
      </c>
      <c r="AS8" s="34" t="str">
        <v/>
      </c>
      <c r="AT8" s="34" t="str">
        <v/>
      </c>
      <c r="AU8" s="34" t="str">
        <v/>
      </c>
      <c r="AV8" s="34" t="str">
        <v/>
      </c>
      <c r="AW8" s="34" t="str">
        <v/>
      </c>
      <c r="AX8" s="34" t="str">
        <v/>
      </c>
      <c r="AY8" s="34">
        <v>0</v>
      </c>
      <c r="AZ8" s="34" t="str">
        <v/>
      </c>
      <c r="BA8" s="34">
        <v>0</v>
      </c>
      <c r="BB8" s="34">
        <v>0</v>
      </c>
      <c r="BD8" s="34">
        <v>0</v>
      </c>
      <c r="BE8" s="34">
        <v>0</v>
      </c>
      <c r="BF8" s="34">
        <v>0</v>
      </c>
      <c r="BG8" s="34" t="str">
        <v/>
      </c>
      <c r="BH8" s="34" t="str">
        <v/>
      </c>
      <c r="BI8" s="34" t="str">
        <v/>
      </c>
      <c r="BJ8" s="34" t="str">
        <v/>
      </c>
      <c r="BK8" s="34" t="str">
        <v/>
      </c>
      <c r="BL8" s="34">
        <v>0</v>
      </c>
      <c r="BM8" s="34" t="str">
        <v/>
      </c>
      <c r="BN8" s="34" t="str">
        <v/>
      </c>
      <c r="BO8" s="34" t="str">
        <v/>
      </c>
      <c r="BP8" s="34" t="str">
        <v/>
      </c>
      <c r="BQ8" s="34" t="str">
        <v/>
      </c>
      <c r="BR8" s="34" t="str">
        <v/>
      </c>
      <c r="BS8" s="34" t="str">
        <v/>
      </c>
      <c r="BT8" s="34" t="str">
        <v/>
      </c>
      <c r="BU8" s="34">
        <v>0</v>
      </c>
      <c r="BV8" s="34" t="str">
        <v/>
      </c>
      <c r="BW8" s="34">
        <v>0</v>
      </c>
      <c r="BX8" s="34">
        <v>0</v>
      </c>
      <c r="BY8" s="34" t="str">
        <v/>
      </c>
      <c r="BZ8">
        <v>1</v>
      </c>
      <c r="CA8" t="str">
        <v>вводной узел</v>
      </c>
    </row>
    <row r="9" spans="1:79" x14ac:dyDescent="0.3">
      <c r="A9" s="39" t="str">
        <v>ЩР</v>
      </c>
      <c r="B9" s="42">
        <v>7</v>
      </c>
      <c r="C9" s="42">
        <v>1</v>
      </c>
      <c r="D9" s="75" t="str">
        <v/>
      </c>
      <c r="E9" s="75" t="str">
        <v/>
      </c>
      <c r="F9" s="76" t="str">
        <v/>
      </c>
      <c r="G9" s="47" t="str">
        <v/>
      </c>
      <c r="H9" s="47" t="str">
        <v/>
      </c>
      <c r="I9" s="75" t="str">
        <v/>
      </c>
      <c r="J9" s="76" t="str">
        <v/>
      </c>
      <c r="K9" s="76" t="str">
        <v/>
      </c>
      <c r="L9" s="75" t="str">
        <v/>
      </c>
      <c r="M9" s="49" t="str">
        <v/>
      </c>
      <c r="N9" s="76" t="str">
        <v/>
      </c>
      <c r="O9" s="49" t="str">
        <v/>
      </c>
      <c r="P9" s="77" t="str">
        <v/>
      </c>
      <c r="Q9" s="53" t="str">
        <v/>
      </c>
      <c r="R9" s="54" t="str">
        <v/>
      </c>
      <c r="S9" s="55" t="str">
        <v/>
      </c>
      <c r="T9" s="56" t="str">
        <v/>
      </c>
      <c r="U9" s="56" t="str">
        <v/>
      </c>
      <c r="V9" s="42" t="str">
        <v/>
      </c>
      <c r="W9" s="57" t="str">
        <v/>
      </c>
      <c r="X9" s="58" t="str">
        <v/>
      </c>
      <c r="Y9" s="75" t="str">
        <v>вручную</v>
      </c>
      <c r="Z9" s="59" t="str">
        <v/>
      </c>
      <c r="AA9" s="61" t="str">
        <v/>
      </c>
      <c r="AB9" s="61" t="str">
        <v/>
      </c>
      <c r="AC9" s="61" t="str">
        <v/>
      </c>
      <c r="AD9" s="62" t="str">
        <v/>
      </c>
      <c r="AE9" s="62" t="str">
        <v/>
      </c>
      <c r="AF9" s="34" t="str">
        <v/>
      </c>
      <c r="AG9" s="34" t="str">
        <v/>
      </c>
      <c r="AH9" s="34" t="str">
        <v/>
      </c>
      <c r="AI9" s="34" t="str">
        <v/>
      </c>
      <c r="AJ9" s="34" t="str">
        <v/>
      </c>
      <c r="AK9" s="34" t="str">
        <v/>
      </c>
      <c r="AL9" s="34" t="str">
        <v/>
      </c>
      <c r="AM9" s="34">
        <v>0</v>
      </c>
      <c r="AN9" s="34">
        <v>0</v>
      </c>
      <c r="AO9" s="34" t="str">
        <v/>
      </c>
      <c r="AP9" s="34" t="str">
        <v/>
      </c>
      <c r="AQ9" s="34" t="str">
        <v/>
      </c>
      <c r="AR9" s="34" t="str">
        <v/>
      </c>
      <c r="AS9" s="34" t="str">
        <v/>
      </c>
      <c r="AT9" s="34" t="str">
        <v/>
      </c>
      <c r="AU9" s="34" t="str">
        <v/>
      </c>
      <c r="AV9" s="34" t="str">
        <v/>
      </c>
      <c r="AW9" s="34" t="str">
        <v/>
      </c>
      <c r="AX9" s="34" t="str">
        <v/>
      </c>
      <c r="AY9" s="34">
        <v>0</v>
      </c>
      <c r="AZ9" s="34" t="str">
        <v/>
      </c>
      <c r="BA9" s="34">
        <v>0</v>
      </c>
      <c r="BB9" s="34">
        <v>0</v>
      </c>
      <c r="BD9" s="34">
        <v>0</v>
      </c>
      <c r="BE9" s="34">
        <v>0</v>
      </c>
      <c r="BF9" s="34">
        <v>0</v>
      </c>
      <c r="BG9" s="34" t="str">
        <v/>
      </c>
      <c r="BH9" s="34" t="str">
        <v/>
      </c>
      <c r="BI9" s="34" t="str">
        <v/>
      </c>
      <c r="BJ9" s="34" t="str">
        <v/>
      </c>
      <c r="BK9" s="34" t="str">
        <v/>
      </c>
      <c r="BL9" s="34">
        <v>0</v>
      </c>
      <c r="BM9" s="34" t="str">
        <v/>
      </c>
      <c r="BN9" s="34" t="str">
        <v/>
      </c>
      <c r="BO9" s="34" t="str">
        <v/>
      </c>
      <c r="BP9" s="34" t="str">
        <v/>
      </c>
      <c r="BQ9" s="34" t="str">
        <v/>
      </c>
      <c r="BR9" s="34" t="str">
        <v/>
      </c>
      <c r="BS9" s="34" t="str">
        <v/>
      </c>
      <c r="BT9" s="34" t="str">
        <v/>
      </c>
      <c r="BU9" s="34">
        <v>0</v>
      </c>
      <c r="BV9" s="34" t="str">
        <v/>
      </c>
      <c r="BW9" s="34">
        <v>0</v>
      </c>
      <c r="BX9" s="34">
        <v>0</v>
      </c>
      <c r="BY9" s="34" t="str">
        <v/>
      </c>
      <c r="BZ9">
        <v>1</v>
      </c>
      <c r="CA9" t="str">
        <v>вводной узел</v>
      </c>
    </row>
    <row r="10" spans="1:79" x14ac:dyDescent="0.3">
      <c r="A10" s="39" t="str">
        <v>ЩР</v>
      </c>
      <c r="B10" s="42">
        <v>8</v>
      </c>
      <c r="C10" s="42">
        <v>1</v>
      </c>
      <c r="D10" s="75" t="str">
        <v/>
      </c>
      <c r="E10" s="75" t="str">
        <v/>
      </c>
      <c r="F10" s="76" t="str">
        <v/>
      </c>
      <c r="G10" s="47" t="str">
        <v/>
      </c>
      <c r="H10" s="47" t="str">
        <v/>
      </c>
      <c r="I10" s="75" t="str">
        <v/>
      </c>
      <c r="J10" s="76" t="str">
        <v/>
      </c>
      <c r="K10" s="76" t="str">
        <v/>
      </c>
      <c r="L10" s="75" t="str">
        <v/>
      </c>
      <c r="M10" s="49" t="str">
        <v/>
      </c>
      <c r="N10" s="76" t="str">
        <v/>
      </c>
      <c r="O10" s="49" t="str">
        <v/>
      </c>
      <c r="P10" s="77" t="str">
        <v/>
      </c>
      <c r="Q10" s="53" t="str">
        <v/>
      </c>
      <c r="R10" s="54" t="str">
        <v/>
      </c>
      <c r="S10" s="55" t="str">
        <v/>
      </c>
      <c r="T10" s="56" t="str">
        <v/>
      </c>
      <c r="U10" s="56" t="str">
        <v/>
      </c>
      <c r="V10" s="42" t="str">
        <v/>
      </c>
      <c r="W10" s="57" t="str">
        <v/>
      </c>
      <c r="X10" s="58" t="str">
        <v/>
      </c>
      <c r="Y10" s="75" t="str">
        <v>вручную</v>
      </c>
      <c r="Z10" s="59" t="str">
        <v/>
      </c>
      <c r="AA10" s="61" t="str">
        <v/>
      </c>
      <c r="AB10" s="61" t="str">
        <v/>
      </c>
      <c r="AC10" s="61" t="str">
        <v/>
      </c>
      <c r="AD10" s="62" t="str">
        <v/>
      </c>
      <c r="AE10" s="62" t="str">
        <v/>
      </c>
      <c r="AF10" s="34" t="str">
        <v/>
      </c>
      <c r="AG10" s="34" t="str">
        <v/>
      </c>
      <c r="AH10" s="34" t="str">
        <v/>
      </c>
      <c r="AI10" s="34" t="str">
        <v/>
      </c>
      <c r="AJ10" s="34" t="str">
        <v/>
      </c>
      <c r="AK10" s="34" t="str">
        <v/>
      </c>
      <c r="AL10" s="34" t="str">
        <v/>
      </c>
      <c r="AM10" s="34">
        <v>0</v>
      </c>
      <c r="AN10" s="34">
        <v>0</v>
      </c>
      <c r="AO10" s="34" t="str">
        <v/>
      </c>
      <c r="AP10" s="34" t="str">
        <v/>
      </c>
      <c r="AQ10" s="34" t="str">
        <v/>
      </c>
      <c r="AR10" s="34" t="str">
        <v/>
      </c>
      <c r="AS10" s="34" t="str">
        <v/>
      </c>
      <c r="AT10" s="34" t="str">
        <v/>
      </c>
      <c r="AU10" s="34" t="str">
        <v/>
      </c>
      <c r="AV10" s="34" t="str">
        <v/>
      </c>
      <c r="AW10" s="34" t="str">
        <v/>
      </c>
      <c r="AX10" s="34" t="str">
        <v/>
      </c>
      <c r="AY10" s="34">
        <v>0</v>
      </c>
      <c r="AZ10" s="34" t="str">
        <v/>
      </c>
      <c r="BA10" s="34">
        <v>0</v>
      </c>
      <c r="BB10" s="34">
        <v>0</v>
      </c>
      <c r="BD10" s="34">
        <v>0</v>
      </c>
      <c r="BE10" s="34">
        <v>0</v>
      </c>
      <c r="BF10" s="34">
        <v>0</v>
      </c>
      <c r="BG10" s="34" t="str">
        <v/>
      </c>
      <c r="BH10" s="34" t="str">
        <v/>
      </c>
      <c r="BI10" s="34" t="str">
        <v/>
      </c>
      <c r="BJ10" s="34" t="str">
        <v/>
      </c>
      <c r="BK10" s="34" t="str">
        <v/>
      </c>
      <c r="BL10" s="34">
        <v>0</v>
      </c>
      <c r="BM10" s="34" t="str">
        <v/>
      </c>
      <c r="BN10" s="34" t="str">
        <v/>
      </c>
      <c r="BO10" s="34" t="str">
        <v/>
      </c>
      <c r="BP10" s="34" t="str">
        <v/>
      </c>
      <c r="BQ10" s="34" t="str">
        <v/>
      </c>
      <c r="BR10" s="34" t="str">
        <v/>
      </c>
      <c r="BS10" s="34" t="str">
        <v/>
      </c>
      <c r="BT10" s="34" t="str">
        <v/>
      </c>
      <c r="BU10" s="34">
        <v>0</v>
      </c>
      <c r="BV10" s="34" t="str">
        <v/>
      </c>
      <c r="BW10" s="34">
        <v>0</v>
      </c>
      <c r="BX10" s="34">
        <v>0</v>
      </c>
      <c r="BY10" s="34" t="str">
        <v/>
      </c>
      <c r="BZ10">
        <v>1</v>
      </c>
      <c r="CA10" t="str">
        <v>вводной узел</v>
      </c>
    </row>
    <row r="11" spans="1:79" x14ac:dyDescent="0.3">
      <c r="A11" s="39" t="str">
        <v>ЩР</v>
      </c>
      <c r="B11" s="42">
        <v>9</v>
      </c>
      <c r="C11" s="42">
        <v>1</v>
      </c>
      <c r="D11" s="75" t="str">
        <v/>
      </c>
      <c r="E11" s="75" t="str">
        <v/>
      </c>
      <c r="F11" s="76" t="str">
        <v/>
      </c>
      <c r="G11" s="47" t="str">
        <v/>
      </c>
      <c r="H11" s="47" t="str">
        <v/>
      </c>
      <c r="I11" s="75" t="str">
        <v/>
      </c>
      <c r="J11" s="76" t="str">
        <v/>
      </c>
      <c r="K11" s="76" t="str">
        <v/>
      </c>
      <c r="L11" s="75" t="str">
        <v/>
      </c>
      <c r="M11" s="49" t="str">
        <v/>
      </c>
      <c r="N11" s="76" t="str">
        <v/>
      </c>
      <c r="O11" s="49" t="str">
        <v/>
      </c>
      <c r="P11" s="77" t="str">
        <v/>
      </c>
      <c r="Q11" s="53" t="str">
        <v/>
      </c>
      <c r="R11" s="54" t="str">
        <v/>
      </c>
      <c r="S11" s="55" t="str">
        <v/>
      </c>
      <c r="T11" s="56" t="str">
        <v/>
      </c>
      <c r="U11" s="56" t="str">
        <v/>
      </c>
      <c r="V11" s="42" t="str">
        <v/>
      </c>
      <c r="W11" s="57" t="str">
        <v/>
      </c>
      <c r="X11" s="58" t="str">
        <v/>
      </c>
      <c r="Y11" s="75" t="str">
        <v>вручную</v>
      </c>
      <c r="Z11" s="59" t="str">
        <v/>
      </c>
      <c r="AA11" s="61" t="str">
        <v/>
      </c>
      <c r="AB11" s="61" t="str">
        <v/>
      </c>
      <c r="AC11" s="61" t="str">
        <v/>
      </c>
      <c r="AD11" s="62" t="str">
        <v/>
      </c>
      <c r="AE11" s="62" t="str">
        <v/>
      </c>
      <c r="AF11" s="34" t="str">
        <v/>
      </c>
      <c r="AG11" s="34" t="str">
        <v/>
      </c>
      <c r="AH11" s="34" t="str">
        <v/>
      </c>
      <c r="AI11" s="34" t="str">
        <v/>
      </c>
      <c r="AJ11" s="34" t="str">
        <v/>
      </c>
      <c r="AK11" s="34" t="str">
        <v/>
      </c>
      <c r="AL11" s="34" t="str">
        <v/>
      </c>
      <c r="AM11" s="34">
        <v>0</v>
      </c>
      <c r="AN11" s="34">
        <v>0</v>
      </c>
      <c r="AO11" s="34" t="str">
        <v/>
      </c>
      <c r="AP11" s="34" t="str">
        <v/>
      </c>
      <c r="AQ11" s="34" t="str">
        <v/>
      </c>
      <c r="AR11" s="34" t="str">
        <v/>
      </c>
      <c r="AS11" s="34" t="str">
        <v/>
      </c>
      <c r="AT11" s="34" t="str">
        <v/>
      </c>
      <c r="AU11" s="34" t="str">
        <v/>
      </c>
      <c r="AV11" s="34" t="str">
        <v/>
      </c>
      <c r="AW11" s="34" t="str">
        <v/>
      </c>
      <c r="AX11" s="34" t="str">
        <v/>
      </c>
      <c r="AY11" s="34">
        <v>0</v>
      </c>
      <c r="AZ11" s="34" t="str">
        <v/>
      </c>
      <c r="BA11" s="34">
        <v>0</v>
      </c>
      <c r="BB11" s="34">
        <v>0</v>
      </c>
      <c r="BD11" s="34">
        <v>0</v>
      </c>
      <c r="BE11" s="34">
        <v>0</v>
      </c>
      <c r="BF11" s="34">
        <v>0</v>
      </c>
      <c r="BG11" s="34" t="str">
        <v/>
      </c>
      <c r="BH11" s="34" t="str">
        <v/>
      </c>
      <c r="BI11" s="34" t="str">
        <v/>
      </c>
      <c r="BJ11" s="34" t="str">
        <v/>
      </c>
      <c r="BK11" s="34" t="str">
        <v/>
      </c>
      <c r="BL11" s="34">
        <v>0</v>
      </c>
      <c r="BM11" s="34" t="str">
        <v/>
      </c>
      <c r="BN11" s="34" t="str">
        <v/>
      </c>
      <c r="BO11" s="34" t="str">
        <v/>
      </c>
      <c r="BP11" s="34" t="str">
        <v/>
      </c>
      <c r="BQ11" s="34" t="str">
        <v/>
      </c>
      <c r="BR11" s="34" t="str">
        <v/>
      </c>
      <c r="BS11" s="34" t="str">
        <v/>
      </c>
      <c r="BT11" s="34" t="str">
        <v/>
      </c>
      <c r="BU11" s="34">
        <v>0</v>
      </c>
      <c r="BV11" s="34" t="str">
        <v/>
      </c>
      <c r="BW11" s="34">
        <v>0</v>
      </c>
      <c r="BX11" s="34">
        <v>0</v>
      </c>
      <c r="BY11" s="34" t="str">
        <v/>
      </c>
      <c r="BZ11">
        <v>1</v>
      </c>
      <c r="CA11" t="str">
        <v>вводной узел</v>
      </c>
    </row>
    <row r="12" spans="1:79" x14ac:dyDescent="0.3">
      <c r="A12" s="39" t="str">
        <v>ЩР</v>
      </c>
      <c r="B12" s="42">
        <v>10</v>
      </c>
      <c r="C12" s="42">
        <v>1</v>
      </c>
      <c r="D12" s="75" t="str">
        <v/>
      </c>
      <c r="E12" s="75" t="str">
        <v/>
      </c>
      <c r="F12" s="76" t="str">
        <v/>
      </c>
      <c r="G12" s="47" t="str">
        <v/>
      </c>
      <c r="H12" s="47" t="str">
        <v/>
      </c>
      <c r="I12" s="75" t="str">
        <v/>
      </c>
      <c r="J12" s="76" t="str">
        <v/>
      </c>
      <c r="K12" s="76" t="str">
        <v/>
      </c>
      <c r="L12" s="75" t="str">
        <v/>
      </c>
      <c r="M12" s="49" t="str">
        <v/>
      </c>
      <c r="N12" s="76" t="str">
        <v/>
      </c>
      <c r="O12" s="49" t="str">
        <v/>
      </c>
      <c r="P12" s="77" t="str">
        <v/>
      </c>
      <c r="Q12" s="53" t="str">
        <v/>
      </c>
      <c r="R12" s="54" t="str">
        <v/>
      </c>
      <c r="S12" s="55" t="str">
        <v/>
      </c>
      <c r="T12" s="56" t="str">
        <v/>
      </c>
      <c r="U12" s="56" t="str">
        <v/>
      </c>
      <c r="V12" s="42" t="str">
        <v/>
      </c>
      <c r="W12" s="57" t="str">
        <v/>
      </c>
      <c r="X12" s="58" t="str">
        <v/>
      </c>
      <c r="Y12" s="75" t="str">
        <v>вручную</v>
      </c>
      <c r="Z12" s="59" t="str">
        <v/>
      </c>
      <c r="AA12" s="61" t="str">
        <v/>
      </c>
      <c r="AB12" s="61" t="str">
        <v/>
      </c>
      <c r="AC12" s="61" t="str">
        <v/>
      </c>
      <c r="AD12" s="62" t="str">
        <v/>
      </c>
      <c r="AE12" s="62" t="str">
        <v/>
      </c>
      <c r="AF12" s="34" t="str">
        <v/>
      </c>
      <c r="AG12" s="34" t="str">
        <v/>
      </c>
      <c r="AH12" s="34" t="str">
        <v/>
      </c>
      <c r="AI12" s="34" t="str">
        <v/>
      </c>
      <c r="AJ12" s="34" t="str">
        <v/>
      </c>
      <c r="AK12" s="34" t="str">
        <v/>
      </c>
      <c r="AL12" s="34" t="str">
        <v/>
      </c>
      <c r="AM12" s="34">
        <v>0</v>
      </c>
      <c r="AN12" s="34">
        <v>0</v>
      </c>
      <c r="AO12" s="34" t="str">
        <v/>
      </c>
      <c r="AP12" s="34" t="str">
        <v/>
      </c>
      <c r="AQ12" s="34" t="str">
        <v/>
      </c>
      <c r="AR12" s="34" t="str">
        <v/>
      </c>
      <c r="AS12" s="34" t="str">
        <v/>
      </c>
      <c r="AT12" s="34" t="str">
        <v/>
      </c>
      <c r="AU12" s="34" t="str">
        <v/>
      </c>
      <c r="AV12" s="34" t="str">
        <v/>
      </c>
      <c r="AW12" s="34" t="str">
        <v/>
      </c>
      <c r="AX12" s="34" t="str">
        <v/>
      </c>
      <c r="AY12" s="34">
        <v>0</v>
      </c>
      <c r="AZ12" s="34" t="str">
        <v/>
      </c>
      <c r="BA12" s="34">
        <v>0</v>
      </c>
      <c r="BB12" s="34">
        <v>0</v>
      </c>
      <c r="BD12" s="34">
        <v>0</v>
      </c>
      <c r="BE12" s="34">
        <v>0</v>
      </c>
      <c r="BF12" s="34">
        <v>0</v>
      </c>
      <c r="BG12" s="34" t="str">
        <v/>
      </c>
      <c r="BH12" s="34" t="str">
        <v/>
      </c>
      <c r="BI12" s="34" t="str">
        <v/>
      </c>
      <c r="BJ12" s="34" t="str">
        <v/>
      </c>
      <c r="BK12" s="34" t="str">
        <v/>
      </c>
      <c r="BL12" s="34">
        <v>0</v>
      </c>
      <c r="BM12" s="34" t="str">
        <v/>
      </c>
      <c r="BN12" s="34" t="str">
        <v/>
      </c>
      <c r="BO12" s="34" t="str">
        <v/>
      </c>
      <c r="BP12" s="34" t="str">
        <v/>
      </c>
      <c r="BQ12" s="34" t="str">
        <v/>
      </c>
      <c r="BR12" s="34" t="str">
        <v/>
      </c>
      <c r="BS12" s="34" t="str">
        <v/>
      </c>
      <c r="BT12" s="34" t="str">
        <v/>
      </c>
      <c r="BU12" s="34">
        <v>0</v>
      </c>
      <c r="BV12" s="34" t="str">
        <v/>
      </c>
      <c r="BW12" s="34">
        <v>0</v>
      </c>
      <c r="BX12" s="34">
        <v>0</v>
      </c>
      <c r="BY12" s="34" t="str">
        <v/>
      </c>
      <c r="BZ12">
        <v>1</v>
      </c>
      <c r="CA12" t="str">
        <v>вводной узел</v>
      </c>
    </row>
    <row r="13" spans="1:79" x14ac:dyDescent="0.3">
      <c r="A13" s="39" t="str">
        <v>ЩР</v>
      </c>
      <c r="B13" s="42">
        <v>11</v>
      </c>
      <c r="C13" s="42">
        <v>1</v>
      </c>
      <c r="D13" s="75" t="str">
        <v/>
      </c>
      <c r="E13" s="75" t="str">
        <v/>
      </c>
      <c r="F13" s="76" t="str">
        <v/>
      </c>
      <c r="G13" s="47" t="str">
        <v/>
      </c>
      <c r="H13" s="47" t="str">
        <v/>
      </c>
      <c r="I13" s="75" t="str">
        <v/>
      </c>
      <c r="J13" s="76" t="str">
        <v/>
      </c>
      <c r="K13" s="76" t="str">
        <v/>
      </c>
      <c r="L13" s="75" t="str">
        <v/>
      </c>
      <c r="M13" s="49" t="str">
        <v/>
      </c>
      <c r="N13" s="76" t="str">
        <v/>
      </c>
      <c r="O13" s="49" t="str">
        <v/>
      </c>
      <c r="P13" s="77" t="str">
        <v/>
      </c>
      <c r="Q13" s="53" t="str">
        <v/>
      </c>
      <c r="R13" s="54" t="str">
        <v/>
      </c>
      <c r="S13" s="55" t="str">
        <v/>
      </c>
      <c r="T13" s="56" t="str">
        <v/>
      </c>
      <c r="U13" s="56" t="str">
        <v/>
      </c>
      <c r="V13" s="42" t="str">
        <v/>
      </c>
      <c r="W13" s="57" t="str">
        <v/>
      </c>
      <c r="X13" s="58" t="str">
        <v/>
      </c>
      <c r="Y13" s="75" t="str">
        <v>вручную</v>
      </c>
      <c r="Z13" s="59" t="str">
        <v/>
      </c>
      <c r="AA13" s="61" t="str">
        <v/>
      </c>
      <c r="AB13" s="61" t="str">
        <v/>
      </c>
      <c r="AC13" s="61" t="str">
        <v/>
      </c>
      <c r="AD13" s="62" t="str">
        <v/>
      </c>
      <c r="AE13" s="62" t="str">
        <v/>
      </c>
      <c r="AF13" s="34" t="str">
        <v/>
      </c>
      <c r="AG13" s="34" t="str">
        <v/>
      </c>
      <c r="AH13" s="34" t="str">
        <v/>
      </c>
      <c r="AI13" s="34" t="str">
        <v/>
      </c>
      <c r="AJ13" s="34" t="str">
        <v/>
      </c>
      <c r="AK13" s="34" t="str">
        <v/>
      </c>
      <c r="AL13" s="34" t="str">
        <v/>
      </c>
      <c r="AM13" s="34">
        <v>0</v>
      </c>
      <c r="AN13" s="34">
        <v>0</v>
      </c>
      <c r="AO13" s="34" t="str">
        <v/>
      </c>
      <c r="AP13" s="34" t="str">
        <v/>
      </c>
      <c r="AQ13" s="34" t="str">
        <v/>
      </c>
      <c r="AR13" s="34" t="str">
        <v/>
      </c>
      <c r="AS13" s="34" t="str">
        <v/>
      </c>
      <c r="AT13" s="34" t="str">
        <v/>
      </c>
      <c r="AU13" s="34" t="str">
        <v/>
      </c>
      <c r="AV13" s="34" t="str">
        <v/>
      </c>
      <c r="AW13" s="34" t="str">
        <v/>
      </c>
      <c r="AX13" s="34" t="str">
        <v/>
      </c>
      <c r="AY13" s="34">
        <v>0</v>
      </c>
      <c r="AZ13" s="34" t="str">
        <v/>
      </c>
      <c r="BA13" s="34">
        <v>0</v>
      </c>
      <c r="BB13" s="34">
        <v>0</v>
      </c>
      <c r="BD13" s="34">
        <v>0</v>
      </c>
      <c r="BE13" s="34">
        <v>0</v>
      </c>
      <c r="BF13" s="34">
        <v>0</v>
      </c>
      <c r="BG13" s="34" t="str">
        <v/>
      </c>
      <c r="BH13" s="34" t="str">
        <v/>
      </c>
      <c r="BI13" s="34" t="str">
        <v/>
      </c>
      <c r="BJ13" s="34" t="str">
        <v/>
      </c>
      <c r="BK13" s="34" t="str">
        <v/>
      </c>
      <c r="BL13" s="34">
        <v>0</v>
      </c>
      <c r="BM13" s="34" t="str">
        <v/>
      </c>
      <c r="BN13" s="34" t="str">
        <v/>
      </c>
      <c r="BO13" s="34" t="str">
        <v/>
      </c>
      <c r="BP13" s="34" t="str">
        <v/>
      </c>
      <c r="BQ13" s="34" t="str">
        <v/>
      </c>
      <c r="BR13" s="34" t="str">
        <v/>
      </c>
      <c r="BS13" s="34" t="str">
        <v/>
      </c>
      <c r="BT13" s="34" t="str">
        <v/>
      </c>
      <c r="BU13" s="34">
        <v>0</v>
      </c>
      <c r="BV13" s="34" t="str">
        <v/>
      </c>
      <c r="BW13" s="34">
        <v>0</v>
      </c>
      <c r="BX13" s="34">
        <v>0</v>
      </c>
      <c r="BY13" s="34" t="str">
        <v/>
      </c>
      <c r="BZ13">
        <v>1</v>
      </c>
      <c r="CA13" t="str">
        <v>вводной узел</v>
      </c>
    </row>
    <row r="14" spans="1:79" x14ac:dyDescent="0.3">
      <c r="A14" s="39" t="str">
        <v>ЩР</v>
      </c>
      <c r="B14" s="42">
        <v>12</v>
      </c>
      <c r="C14" s="42">
        <v>1</v>
      </c>
      <c r="D14" s="75" t="str">
        <v/>
      </c>
      <c r="E14" s="75" t="str">
        <v/>
      </c>
      <c r="F14" s="76" t="str">
        <v/>
      </c>
      <c r="G14" s="47" t="str">
        <v/>
      </c>
      <c r="H14" s="47" t="str">
        <v/>
      </c>
      <c r="I14" s="75" t="str">
        <v/>
      </c>
      <c r="J14" s="76" t="str">
        <v/>
      </c>
      <c r="K14" s="76" t="str">
        <v/>
      </c>
      <c r="L14" s="75" t="str">
        <v/>
      </c>
      <c r="M14" s="49" t="str">
        <v/>
      </c>
      <c r="N14" s="76" t="str">
        <v/>
      </c>
      <c r="O14" s="49" t="str">
        <v/>
      </c>
      <c r="P14" s="77" t="str">
        <v/>
      </c>
      <c r="Q14" s="53" t="str">
        <v/>
      </c>
      <c r="R14" s="54" t="str">
        <v/>
      </c>
      <c r="S14" s="55" t="str">
        <v/>
      </c>
      <c r="T14" s="56" t="str">
        <v/>
      </c>
      <c r="U14" s="56" t="str">
        <v/>
      </c>
      <c r="V14" s="42" t="str">
        <v/>
      </c>
      <c r="W14" s="57" t="str">
        <v/>
      </c>
      <c r="X14" s="58" t="str">
        <v/>
      </c>
      <c r="Y14" s="75" t="str">
        <v>вручную</v>
      </c>
      <c r="Z14" s="59" t="str">
        <v/>
      </c>
      <c r="AA14" s="61" t="str">
        <v/>
      </c>
      <c r="AB14" s="61" t="str">
        <v/>
      </c>
      <c r="AC14" s="61" t="str">
        <v/>
      </c>
      <c r="AD14" s="62" t="str">
        <v/>
      </c>
      <c r="AE14" s="62" t="str">
        <v/>
      </c>
      <c r="AF14" s="34" t="str">
        <v/>
      </c>
      <c r="AG14" s="34" t="str">
        <v/>
      </c>
      <c r="AH14" s="34" t="str">
        <v/>
      </c>
      <c r="AI14" s="34" t="str">
        <v/>
      </c>
      <c r="AJ14" s="34" t="str">
        <v/>
      </c>
      <c r="AK14" s="34" t="str">
        <v/>
      </c>
      <c r="AL14" s="34" t="str">
        <v/>
      </c>
      <c r="AM14" s="34">
        <v>0</v>
      </c>
      <c r="AN14" s="34">
        <v>0</v>
      </c>
      <c r="AO14" s="34" t="str">
        <v/>
      </c>
      <c r="AP14" s="34" t="str">
        <v/>
      </c>
      <c r="AQ14" s="34" t="str">
        <v/>
      </c>
      <c r="AR14" s="34" t="str">
        <v/>
      </c>
      <c r="AS14" s="34" t="str">
        <v/>
      </c>
      <c r="AT14" s="34" t="str">
        <v/>
      </c>
      <c r="AU14" s="34" t="str">
        <v/>
      </c>
      <c r="AV14" s="34" t="str">
        <v/>
      </c>
      <c r="AW14" s="34" t="str">
        <v/>
      </c>
      <c r="AX14" s="34" t="str">
        <v/>
      </c>
      <c r="AY14" s="34">
        <v>0</v>
      </c>
      <c r="AZ14" s="34" t="str">
        <v/>
      </c>
      <c r="BA14" s="34">
        <v>0</v>
      </c>
      <c r="BB14" s="34">
        <v>0</v>
      </c>
      <c r="BD14" s="34">
        <v>0</v>
      </c>
      <c r="BE14" s="34">
        <v>0</v>
      </c>
      <c r="BF14" s="34">
        <v>0</v>
      </c>
      <c r="BG14" s="34" t="str">
        <v/>
      </c>
      <c r="BH14" s="34" t="str">
        <v/>
      </c>
      <c r="BI14" s="34" t="str">
        <v/>
      </c>
      <c r="BJ14" s="34" t="str">
        <v/>
      </c>
      <c r="BK14" s="34" t="str">
        <v/>
      </c>
      <c r="BL14" s="34">
        <v>0</v>
      </c>
      <c r="BM14" s="34" t="str">
        <v/>
      </c>
      <c r="BN14" s="34" t="str">
        <v/>
      </c>
      <c r="BO14" s="34" t="str">
        <v/>
      </c>
      <c r="BP14" s="34" t="str">
        <v/>
      </c>
      <c r="BQ14" s="34" t="str">
        <v/>
      </c>
      <c r="BR14" s="34" t="str">
        <v/>
      </c>
      <c r="BS14" s="34" t="str">
        <v/>
      </c>
      <c r="BT14" s="34" t="str">
        <v/>
      </c>
      <c r="BU14" s="34">
        <v>0</v>
      </c>
      <c r="BV14" s="34" t="str">
        <v/>
      </c>
      <c r="BW14" s="34">
        <v>0</v>
      </c>
      <c r="BX14" s="34">
        <v>0</v>
      </c>
      <c r="BY14" s="34" t="str">
        <v/>
      </c>
      <c r="BZ14">
        <v>1</v>
      </c>
      <c r="CA14" t="str">
        <v>вводной узел</v>
      </c>
    </row>
    <row r="15" spans="1:79" x14ac:dyDescent="0.3">
      <c r="A15" s="39" t="str">
        <v>ЩР</v>
      </c>
      <c r="B15" s="42">
        <v>13</v>
      </c>
      <c r="C15" s="42">
        <v>1</v>
      </c>
      <c r="D15" s="75" t="str">
        <v/>
      </c>
      <c r="E15" s="75" t="str">
        <v/>
      </c>
      <c r="F15" s="76" t="str">
        <v/>
      </c>
      <c r="G15" s="47" t="str">
        <v/>
      </c>
      <c r="H15" s="47" t="str">
        <v/>
      </c>
      <c r="I15" s="75" t="str">
        <v/>
      </c>
      <c r="J15" s="76" t="str">
        <v/>
      </c>
      <c r="K15" s="76" t="str">
        <v/>
      </c>
      <c r="L15" s="75" t="str">
        <v/>
      </c>
      <c r="M15" s="49" t="str">
        <v/>
      </c>
      <c r="N15" s="76" t="str">
        <v/>
      </c>
      <c r="O15" s="49" t="str">
        <v/>
      </c>
      <c r="P15" s="77" t="str">
        <v/>
      </c>
      <c r="Q15" s="53" t="str">
        <v/>
      </c>
      <c r="R15" s="54" t="str">
        <v/>
      </c>
      <c r="S15" s="55" t="str">
        <v/>
      </c>
      <c r="T15" s="56" t="str">
        <v/>
      </c>
      <c r="U15" s="56" t="str">
        <v/>
      </c>
      <c r="V15" s="42" t="str">
        <v/>
      </c>
      <c r="W15" s="57" t="str">
        <v/>
      </c>
      <c r="X15" s="58" t="str">
        <v/>
      </c>
      <c r="Y15" s="75" t="str">
        <v>вручную</v>
      </c>
      <c r="Z15" s="59" t="str">
        <v/>
      </c>
      <c r="AA15" s="61" t="str">
        <v/>
      </c>
      <c r="AB15" s="61" t="str">
        <v/>
      </c>
      <c r="AC15" s="61" t="str">
        <v/>
      </c>
      <c r="AD15" s="62" t="str">
        <v/>
      </c>
      <c r="AE15" s="62" t="str">
        <v/>
      </c>
      <c r="AF15" s="34" t="str">
        <v/>
      </c>
      <c r="AG15" s="34" t="str">
        <v/>
      </c>
      <c r="AH15" s="34" t="str">
        <v/>
      </c>
      <c r="AI15" s="34" t="str">
        <v/>
      </c>
      <c r="AJ15" s="34" t="str">
        <v/>
      </c>
      <c r="AK15" s="34" t="str">
        <v/>
      </c>
      <c r="AL15" s="34" t="str">
        <v/>
      </c>
      <c r="AM15" s="34">
        <v>0</v>
      </c>
      <c r="AN15" s="34">
        <v>0</v>
      </c>
      <c r="AO15" s="34" t="str">
        <v/>
      </c>
      <c r="AP15" s="34" t="str">
        <v/>
      </c>
      <c r="AQ15" s="34" t="str">
        <v/>
      </c>
      <c r="AR15" s="34" t="str">
        <v/>
      </c>
      <c r="AS15" s="34" t="str">
        <v/>
      </c>
      <c r="AT15" s="34" t="str">
        <v/>
      </c>
      <c r="AU15" s="34" t="str">
        <v/>
      </c>
      <c r="AV15" s="34" t="str">
        <v/>
      </c>
      <c r="AW15" s="34" t="str">
        <v/>
      </c>
      <c r="AX15" s="34" t="str">
        <v/>
      </c>
      <c r="AY15" s="34">
        <v>0</v>
      </c>
      <c r="AZ15" s="34" t="str">
        <v/>
      </c>
      <c r="BA15" s="34">
        <v>0</v>
      </c>
      <c r="BB15" s="34">
        <v>0</v>
      </c>
      <c r="BD15" s="34">
        <v>0</v>
      </c>
      <c r="BE15" s="34">
        <v>0</v>
      </c>
      <c r="BF15" s="34">
        <v>0</v>
      </c>
      <c r="BG15" s="34" t="str">
        <v/>
      </c>
      <c r="BH15" s="34" t="str">
        <v/>
      </c>
      <c r="BI15" s="34" t="str">
        <v/>
      </c>
      <c r="BJ15" s="34" t="str">
        <v/>
      </c>
      <c r="BK15" s="34" t="str">
        <v/>
      </c>
      <c r="BL15" s="34">
        <v>0</v>
      </c>
      <c r="BM15" s="34" t="str">
        <v/>
      </c>
      <c r="BN15" s="34" t="str">
        <v/>
      </c>
      <c r="BO15" s="34" t="str">
        <v/>
      </c>
      <c r="BP15" s="34" t="str">
        <v/>
      </c>
      <c r="BQ15" s="34" t="str">
        <v/>
      </c>
      <c r="BR15" s="34" t="str">
        <v/>
      </c>
      <c r="BS15" s="34" t="str">
        <v/>
      </c>
      <c r="BT15" s="34" t="str">
        <v/>
      </c>
      <c r="BU15" s="34">
        <v>0</v>
      </c>
      <c r="BV15" s="34" t="str">
        <v/>
      </c>
      <c r="BW15" s="34">
        <v>0</v>
      </c>
      <c r="BX15" s="34">
        <v>0</v>
      </c>
      <c r="BY15" s="34" t="str">
        <v/>
      </c>
      <c r="BZ15">
        <v>1</v>
      </c>
      <c r="CA15" t="str">
        <v>вводной узел</v>
      </c>
    </row>
    <row r="16" spans="1:79" x14ac:dyDescent="0.3">
      <c r="A16" s="39" t="str">
        <v>ЩР</v>
      </c>
      <c r="B16" s="42">
        <v>14</v>
      </c>
      <c r="C16" s="42">
        <v>1</v>
      </c>
      <c r="D16" s="75" t="str">
        <v/>
      </c>
      <c r="E16" s="75" t="str">
        <v/>
      </c>
      <c r="F16" s="76" t="str">
        <v/>
      </c>
      <c r="G16" s="47" t="str">
        <v/>
      </c>
      <c r="H16" s="47" t="str">
        <v/>
      </c>
      <c r="I16" s="75" t="str">
        <v/>
      </c>
      <c r="J16" s="76" t="str">
        <v/>
      </c>
      <c r="K16" s="76" t="str">
        <v/>
      </c>
      <c r="L16" s="75" t="str">
        <v/>
      </c>
      <c r="M16" s="49" t="str">
        <v/>
      </c>
      <c r="N16" s="76" t="str">
        <v/>
      </c>
      <c r="O16" s="49" t="str">
        <v/>
      </c>
      <c r="P16" s="77" t="str">
        <v/>
      </c>
      <c r="Q16" s="53" t="str">
        <v/>
      </c>
      <c r="R16" s="54" t="str">
        <v/>
      </c>
      <c r="S16" s="55" t="str">
        <v/>
      </c>
      <c r="T16" s="56" t="str">
        <v/>
      </c>
      <c r="U16" s="56" t="str">
        <v/>
      </c>
      <c r="V16" s="42" t="str">
        <v/>
      </c>
      <c r="W16" s="57" t="str">
        <v/>
      </c>
      <c r="X16" s="58" t="str">
        <v/>
      </c>
      <c r="Y16" s="75" t="str">
        <v>вручную</v>
      </c>
      <c r="Z16" s="59" t="str">
        <v/>
      </c>
      <c r="AA16" s="61" t="str">
        <v/>
      </c>
      <c r="AB16" s="61" t="str">
        <v/>
      </c>
      <c r="AC16" s="61" t="str">
        <v/>
      </c>
      <c r="AD16" s="62" t="str">
        <v/>
      </c>
      <c r="AE16" s="62" t="str">
        <v/>
      </c>
      <c r="AF16" s="34" t="str">
        <v/>
      </c>
      <c r="AG16" s="34" t="str">
        <v/>
      </c>
      <c r="AH16" s="34" t="str">
        <v/>
      </c>
      <c r="AI16" s="34" t="str">
        <v/>
      </c>
      <c r="AJ16" s="34" t="str">
        <v/>
      </c>
      <c r="AK16" s="34" t="str">
        <v/>
      </c>
      <c r="AL16" s="34" t="str">
        <v/>
      </c>
      <c r="AM16" s="34">
        <v>0</v>
      </c>
      <c r="AN16" s="34">
        <v>0</v>
      </c>
      <c r="AO16" s="34" t="str">
        <v/>
      </c>
      <c r="AP16" s="34" t="str">
        <v/>
      </c>
      <c r="AQ16" s="34" t="str">
        <v/>
      </c>
      <c r="AR16" s="34" t="str">
        <v/>
      </c>
      <c r="AS16" s="34" t="str">
        <v/>
      </c>
      <c r="AT16" s="34" t="str">
        <v/>
      </c>
      <c r="AU16" s="34" t="str">
        <v/>
      </c>
      <c r="AV16" s="34" t="str">
        <v/>
      </c>
      <c r="AW16" s="34" t="str">
        <v/>
      </c>
      <c r="AX16" s="34" t="str">
        <v/>
      </c>
      <c r="AY16" s="34">
        <v>0</v>
      </c>
      <c r="AZ16" s="34" t="str">
        <v/>
      </c>
      <c r="BA16" s="34">
        <v>0</v>
      </c>
      <c r="BB16" s="34">
        <v>0</v>
      </c>
      <c r="BD16" s="34">
        <v>0</v>
      </c>
      <c r="BE16" s="34">
        <v>0</v>
      </c>
      <c r="BF16" s="34">
        <v>0</v>
      </c>
      <c r="BG16" s="34" t="str">
        <v/>
      </c>
      <c r="BH16" s="34" t="str">
        <v/>
      </c>
      <c r="BI16" s="34" t="str">
        <v/>
      </c>
      <c r="BJ16" s="34" t="str">
        <v/>
      </c>
      <c r="BK16" s="34" t="str">
        <v/>
      </c>
      <c r="BL16" s="34">
        <v>0</v>
      </c>
      <c r="BM16" s="34" t="str">
        <v/>
      </c>
      <c r="BN16" s="34" t="str">
        <v/>
      </c>
      <c r="BO16" s="34" t="str">
        <v/>
      </c>
      <c r="BP16" s="34" t="str">
        <v/>
      </c>
      <c r="BQ16" s="34" t="str">
        <v/>
      </c>
      <c r="BR16" s="34" t="str">
        <v/>
      </c>
      <c r="BS16" s="34" t="str">
        <v/>
      </c>
      <c r="BT16" s="34" t="str">
        <v/>
      </c>
      <c r="BU16" s="34">
        <v>0</v>
      </c>
      <c r="BV16" s="34" t="str">
        <v/>
      </c>
      <c r="BW16" s="34">
        <v>0</v>
      </c>
      <c r="BX16" s="34">
        <v>0</v>
      </c>
      <c r="BY16" s="34" t="str">
        <v/>
      </c>
      <c r="BZ16">
        <v>1</v>
      </c>
      <c r="CA16" t="str">
        <v>вводной узел</v>
      </c>
    </row>
    <row r="17" spans="1:79" x14ac:dyDescent="0.3">
      <c r="A17" s="39" t="str">
        <v>ЩР</v>
      </c>
      <c r="B17" s="42">
        <v>15</v>
      </c>
      <c r="C17" s="42">
        <v>1</v>
      </c>
      <c r="D17" s="75" t="str">
        <v/>
      </c>
      <c r="E17" s="75" t="str">
        <v/>
      </c>
      <c r="F17" s="76" t="str">
        <v/>
      </c>
      <c r="G17" s="47" t="str">
        <v/>
      </c>
      <c r="H17" s="47" t="str">
        <v/>
      </c>
      <c r="I17" s="75" t="str">
        <v/>
      </c>
      <c r="J17" s="76" t="str">
        <v/>
      </c>
      <c r="K17" s="76" t="str">
        <v/>
      </c>
      <c r="L17" s="75" t="str">
        <v/>
      </c>
      <c r="M17" s="49" t="str">
        <v/>
      </c>
      <c r="N17" s="76" t="str">
        <v/>
      </c>
      <c r="O17" s="49" t="str">
        <v/>
      </c>
      <c r="P17" s="77" t="str">
        <v/>
      </c>
      <c r="Q17" s="53" t="str">
        <v/>
      </c>
      <c r="R17" s="54" t="str">
        <v/>
      </c>
      <c r="S17" s="55" t="str">
        <v/>
      </c>
      <c r="T17" s="56" t="str">
        <v/>
      </c>
      <c r="U17" s="56" t="str">
        <v/>
      </c>
      <c r="V17" s="42" t="str">
        <v/>
      </c>
      <c r="W17" s="57" t="str">
        <v/>
      </c>
      <c r="X17" s="58" t="str">
        <v/>
      </c>
      <c r="Y17" s="75" t="str">
        <v>вручную</v>
      </c>
      <c r="Z17" s="59" t="str">
        <v/>
      </c>
      <c r="AA17" s="61" t="str">
        <v/>
      </c>
      <c r="AB17" s="61" t="str">
        <v/>
      </c>
      <c r="AC17" s="61" t="str">
        <v/>
      </c>
      <c r="AD17" s="62" t="str">
        <v/>
      </c>
      <c r="AE17" s="62" t="str">
        <v/>
      </c>
      <c r="AF17" s="34" t="str">
        <v/>
      </c>
      <c r="AG17" s="34" t="str">
        <v/>
      </c>
      <c r="AH17" s="34" t="str">
        <v/>
      </c>
      <c r="AI17" s="34" t="str">
        <v/>
      </c>
      <c r="AJ17" s="34" t="str">
        <v/>
      </c>
      <c r="AK17" s="34" t="str">
        <v/>
      </c>
      <c r="AL17" s="34" t="str">
        <v/>
      </c>
      <c r="AM17" s="34">
        <v>0</v>
      </c>
      <c r="AN17" s="34">
        <v>0</v>
      </c>
      <c r="AO17" s="34" t="str">
        <v/>
      </c>
      <c r="AP17" s="34" t="str">
        <v/>
      </c>
      <c r="AQ17" s="34" t="str">
        <v/>
      </c>
      <c r="AR17" s="34" t="str">
        <v/>
      </c>
      <c r="AS17" s="34" t="str">
        <v/>
      </c>
      <c r="AT17" s="34" t="str">
        <v/>
      </c>
      <c r="AU17" s="34" t="str">
        <v/>
      </c>
      <c r="AV17" s="34" t="str">
        <v/>
      </c>
      <c r="AW17" s="34" t="str">
        <v/>
      </c>
      <c r="AX17" s="34" t="str">
        <v/>
      </c>
      <c r="AY17" s="34">
        <v>0</v>
      </c>
      <c r="AZ17" s="34" t="str">
        <v/>
      </c>
      <c r="BA17" s="34">
        <v>0</v>
      </c>
      <c r="BB17" s="34">
        <v>0</v>
      </c>
      <c r="BD17" s="34">
        <v>0</v>
      </c>
      <c r="BE17" s="34">
        <v>0</v>
      </c>
      <c r="BF17" s="34">
        <v>0</v>
      </c>
      <c r="BG17" s="34" t="str">
        <v/>
      </c>
      <c r="BH17" s="34" t="str">
        <v/>
      </c>
      <c r="BI17" s="34" t="str">
        <v/>
      </c>
      <c r="BJ17" s="34" t="str">
        <v/>
      </c>
      <c r="BK17" s="34" t="str">
        <v/>
      </c>
      <c r="BL17" s="34">
        <v>0</v>
      </c>
      <c r="BM17" s="34" t="str">
        <v/>
      </c>
      <c r="BN17" s="34" t="str">
        <v/>
      </c>
      <c r="BO17" s="34" t="str">
        <v/>
      </c>
      <c r="BP17" s="34" t="str">
        <v/>
      </c>
      <c r="BQ17" s="34" t="str">
        <v/>
      </c>
      <c r="BR17" s="34" t="str">
        <v/>
      </c>
      <c r="BS17" s="34" t="str">
        <v/>
      </c>
      <c r="BT17" s="34" t="str">
        <v/>
      </c>
      <c r="BU17" s="34">
        <v>0</v>
      </c>
      <c r="BV17" s="34" t="str">
        <v/>
      </c>
      <c r="BW17" s="34">
        <v>0</v>
      </c>
      <c r="BX17" s="34">
        <v>0</v>
      </c>
      <c r="BY17" s="34" t="str">
        <v/>
      </c>
      <c r="BZ17">
        <v>1</v>
      </c>
      <c r="CA17" t="str">
        <v>вводной узел</v>
      </c>
    </row>
    <row r="18" spans="1:79" x14ac:dyDescent="0.3">
      <c r="A18" s="39" t="str">
        <v>ЩР</v>
      </c>
      <c r="B18" s="42">
        <v>16</v>
      </c>
      <c r="C18" s="42">
        <v>1</v>
      </c>
      <c r="D18" s="75" t="str">
        <v/>
      </c>
      <c r="E18" s="75" t="str">
        <v/>
      </c>
      <c r="F18" s="76" t="str">
        <v/>
      </c>
      <c r="G18" s="47" t="str">
        <v/>
      </c>
      <c r="H18" s="47" t="str">
        <v/>
      </c>
      <c r="I18" s="75" t="str">
        <v/>
      </c>
      <c r="J18" s="76" t="str">
        <v/>
      </c>
      <c r="K18" s="76" t="str">
        <v/>
      </c>
      <c r="L18" s="75" t="str">
        <v/>
      </c>
      <c r="M18" s="49" t="str">
        <v/>
      </c>
      <c r="N18" s="76" t="str">
        <v/>
      </c>
      <c r="O18" s="49" t="str">
        <v/>
      </c>
      <c r="P18" s="77" t="str">
        <v/>
      </c>
      <c r="Q18" s="53" t="str">
        <v/>
      </c>
      <c r="R18" s="54" t="str">
        <v/>
      </c>
      <c r="S18" s="55" t="str">
        <v/>
      </c>
      <c r="T18" s="56" t="str">
        <v/>
      </c>
      <c r="U18" s="56" t="str">
        <v/>
      </c>
      <c r="V18" s="42" t="str">
        <v/>
      </c>
      <c r="W18" s="57" t="str">
        <v/>
      </c>
      <c r="X18" s="58" t="str">
        <v/>
      </c>
      <c r="Y18" s="75" t="str">
        <v>вручную</v>
      </c>
      <c r="Z18" s="59" t="str">
        <v/>
      </c>
      <c r="AA18" s="61" t="str">
        <v/>
      </c>
      <c r="AB18" s="61" t="str">
        <v/>
      </c>
      <c r="AC18" s="61" t="str">
        <v/>
      </c>
      <c r="AD18" s="62" t="str">
        <v/>
      </c>
      <c r="AE18" s="62" t="str">
        <v/>
      </c>
      <c r="AF18" s="34" t="str">
        <v/>
      </c>
      <c r="AG18" s="34" t="str">
        <v/>
      </c>
      <c r="AH18" s="34" t="str">
        <v/>
      </c>
      <c r="AI18" s="34" t="str">
        <v/>
      </c>
      <c r="AJ18" s="34" t="str">
        <v/>
      </c>
      <c r="AK18" s="34" t="str">
        <v/>
      </c>
      <c r="AL18" s="34" t="str">
        <v/>
      </c>
      <c r="AM18" s="34">
        <v>0</v>
      </c>
      <c r="AN18" s="34">
        <v>0</v>
      </c>
      <c r="AO18" s="34" t="str">
        <v/>
      </c>
      <c r="AP18" s="34" t="str">
        <v/>
      </c>
      <c r="AQ18" s="34" t="str">
        <v/>
      </c>
      <c r="AR18" s="34" t="str">
        <v/>
      </c>
      <c r="AS18" s="34" t="str">
        <v/>
      </c>
      <c r="AT18" s="34" t="str">
        <v/>
      </c>
      <c r="AU18" s="34" t="str">
        <v/>
      </c>
      <c r="AV18" s="34" t="str">
        <v/>
      </c>
      <c r="AW18" s="34" t="str">
        <v/>
      </c>
      <c r="AX18" s="34" t="str">
        <v/>
      </c>
      <c r="AY18" s="34">
        <v>0</v>
      </c>
      <c r="AZ18" s="34" t="str">
        <v/>
      </c>
      <c r="BA18" s="34">
        <v>0</v>
      </c>
      <c r="BB18" s="34">
        <v>0</v>
      </c>
      <c r="BD18" s="34">
        <v>0</v>
      </c>
      <c r="BE18" s="34">
        <v>0</v>
      </c>
      <c r="BF18" s="34">
        <v>0</v>
      </c>
      <c r="BG18" s="34" t="str">
        <v/>
      </c>
      <c r="BH18" s="34" t="str">
        <v/>
      </c>
      <c r="BI18" s="34" t="str">
        <v/>
      </c>
      <c r="BJ18" s="34" t="str">
        <v/>
      </c>
      <c r="BK18" s="34" t="str">
        <v/>
      </c>
      <c r="BL18" s="34">
        <v>0</v>
      </c>
      <c r="BM18" s="34" t="str">
        <v/>
      </c>
      <c r="BN18" s="34" t="str">
        <v/>
      </c>
      <c r="BO18" s="34" t="str">
        <v/>
      </c>
      <c r="BP18" s="34" t="str">
        <v/>
      </c>
      <c r="BQ18" s="34" t="str">
        <v/>
      </c>
      <c r="BR18" s="34" t="str">
        <v/>
      </c>
      <c r="BS18" s="34" t="str">
        <v/>
      </c>
      <c r="BT18" s="34" t="str">
        <v/>
      </c>
      <c r="BU18" s="34">
        <v>0</v>
      </c>
      <c r="BV18" s="34" t="str">
        <v/>
      </c>
      <c r="BW18" s="34">
        <v>0</v>
      </c>
      <c r="BX18" s="34">
        <v>0</v>
      </c>
      <c r="BY18" s="34" t="str">
        <v/>
      </c>
      <c r="BZ18">
        <v>1</v>
      </c>
      <c r="CA18" t="str">
        <v>вводной узел</v>
      </c>
    </row>
    <row r="19" spans="1:79" x14ac:dyDescent="0.3">
      <c r="A19" s="39" t="str">
        <v>ЩР</v>
      </c>
      <c r="B19" s="42">
        <v>17</v>
      </c>
      <c r="C19" s="42">
        <v>1</v>
      </c>
      <c r="D19" s="75" t="str">
        <v/>
      </c>
      <c r="E19" s="75" t="str">
        <v/>
      </c>
      <c r="F19" s="76" t="str">
        <v/>
      </c>
      <c r="G19" s="47" t="str">
        <v/>
      </c>
      <c r="H19" s="47" t="str">
        <v/>
      </c>
      <c r="I19" s="75" t="str">
        <v/>
      </c>
      <c r="J19" s="76" t="str">
        <v/>
      </c>
      <c r="K19" s="76" t="str">
        <v/>
      </c>
      <c r="L19" s="75" t="str">
        <v/>
      </c>
      <c r="M19" s="49" t="str">
        <v/>
      </c>
      <c r="N19" s="76" t="str">
        <v/>
      </c>
      <c r="O19" s="49" t="str">
        <v/>
      </c>
      <c r="P19" s="77" t="str">
        <v/>
      </c>
      <c r="Q19" s="53" t="str">
        <v/>
      </c>
      <c r="R19" s="54" t="str">
        <v/>
      </c>
      <c r="S19" s="55" t="str">
        <v/>
      </c>
      <c r="T19" s="56" t="str">
        <v/>
      </c>
      <c r="U19" s="56" t="str">
        <v/>
      </c>
      <c r="V19" s="42" t="str">
        <v/>
      </c>
      <c r="W19" s="57" t="str">
        <v/>
      </c>
      <c r="X19" s="58" t="str">
        <v/>
      </c>
      <c r="Y19" s="75" t="str">
        <v>вручную</v>
      </c>
      <c r="Z19" s="59" t="str">
        <v/>
      </c>
      <c r="AA19" s="61" t="str">
        <v/>
      </c>
      <c r="AB19" s="61" t="str">
        <v/>
      </c>
      <c r="AC19" s="61" t="str">
        <v/>
      </c>
      <c r="AD19" s="62" t="str">
        <v/>
      </c>
      <c r="AE19" s="62" t="str">
        <v/>
      </c>
      <c r="AF19" s="34" t="str">
        <v/>
      </c>
      <c r="AG19" s="34" t="str">
        <v/>
      </c>
      <c r="AH19" s="34" t="str">
        <v/>
      </c>
      <c r="AI19" s="34" t="str">
        <v/>
      </c>
      <c r="AJ19" s="34" t="str">
        <v/>
      </c>
      <c r="AK19" s="34" t="str">
        <v/>
      </c>
      <c r="AL19" s="34" t="str">
        <v/>
      </c>
      <c r="AM19" s="34">
        <v>0</v>
      </c>
      <c r="AN19" s="34">
        <v>0</v>
      </c>
      <c r="AO19" s="34" t="str">
        <v/>
      </c>
      <c r="AP19" s="34" t="str">
        <v/>
      </c>
      <c r="AQ19" s="34" t="str">
        <v/>
      </c>
      <c r="AR19" s="34" t="str">
        <v/>
      </c>
      <c r="AS19" s="34" t="str">
        <v/>
      </c>
      <c r="AT19" s="34" t="str">
        <v/>
      </c>
      <c r="AU19" s="34" t="str">
        <v/>
      </c>
      <c r="AV19" s="34" t="str">
        <v/>
      </c>
      <c r="AW19" s="34" t="str">
        <v/>
      </c>
      <c r="AX19" s="34" t="str">
        <v/>
      </c>
      <c r="AY19" s="34">
        <v>0</v>
      </c>
      <c r="AZ19" s="34" t="str">
        <v/>
      </c>
      <c r="BA19" s="34">
        <v>0</v>
      </c>
      <c r="BB19" s="34">
        <v>0</v>
      </c>
      <c r="BD19" s="34">
        <v>0</v>
      </c>
      <c r="BE19" s="34">
        <v>0</v>
      </c>
      <c r="BF19" s="34">
        <v>0</v>
      </c>
      <c r="BG19" s="34" t="str">
        <v/>
      </c>
      <c r="BH19" s="34" t="str">
        <v/>
      </c>
      <c r="BI19" s="34" t="str">
        <v/>
      </c>
      <c r="BJ19" s="34" t="str">
        <v/>
      </c>
      <c r="BK19" s="34" t="str">
        <v/>
      </c>
      <c r="BL19" s="34">
        <v>0</v>
      </c>
      <c r="BM19" s="34" t="str">
        <v/>
      </c>
      <c r="BN19" s="34" t="str">
        <v/>
      </c>
      <c r="BO19" s="34" t="str">
        <v/>
      </c>
      <c r="BP19" s="34" t="str">
        <v/>
      </c>
      <c r="BQ19" s="34" t="str">
        <v/>
      </c>
      <c r="BR19" s="34" t="str">
        <v/>
      </c>
      <c r="BS19" s="34" t="str">
        <v/>
      </c>
      <c r="BT19" s="34" t="str">
        <v/>
      </c>
      <c r="BU19" s="34">
        <v>0</v>
      </c>
      <c r="BV19" s="34" t="str">
        <v/>
      </c>
      <c r="BW19" s="34">
        <v>0</v>
      </c>
      <c r="BX19" s="34">
        <v>0</v>
      </c>
      <c r="BY19" s="34" t="str">
        <v/>
      </c>
      <c r="BZ19">
        <v>1</v>
      </c>
      <c r="CA19" t="str">
        <v>вводной узел</v>
      </c>
    </row>
    <row r="20" spans="1:79" x14ac:dyDescent="0.3">
      <c r="A20" s="39" t="str">
        <v>ЩР</v>
      </c>
      <c r="B20" s="42">
        <v>18</v>
      </c>
      <c r="C20" s="42">
        <v>2</v>
      </c>
      <c r="D20" s="75" t="str">
        <v/>
      </c>
      <c r="E20" s="75" t="str">
        <v/>
      </c>
      <c r="F20" s="76" t="str">
        <v/>
      </c>
      <c r="G20" s="47" t="str">
        <v/>
      </c>
      <c r="H20" s="47" t="str">
        <v/>
      </c>
      <c r="I20" s="75" t="str">
        <v/>
      </c>
      <c r="J20" s="76" t="str">
        <v/>
      </c>
      <c r="K20" s="76" t="str">
        <v/>
      </c>
      <c r="L20" s="75" t="str">
        <v/>
      </c>
      <c r="M20" s="49" t="str">
        <v/>
      </c>
      <c r="N20" s="76" t="str">
        <v/>
      </c>
      <c r="O20" s="49" t="str">
        <v/>
      </c>
      <c r="P20" s="77" t="str">
        <v/>
      </c>
      <c r="Q20" s="53" t="str">
        <v/>
      </c>
      <c r="R20" s="54" t="str">
        <v/>
      </c>
      <c r="S20" s="55" t="str">
        <v/>
      </c>
      <c r="T20" s="56" t="str">
        <v/>
      </c>
      <c r="U20" s="56" t="str">
        <v/>
      </c>
      <c r="V20" s="42" t="str">
        <v/>
      </c>
      <c r="W20" s="57" t="str">
        <v/>
      </c>
      <c r="X20" s="58" t="str">
        <v/>
      </c>
      <c r="Y20" s="75" t="str">
        <v>вручную</v>
      </c>
      <c r="Z20" s="59" t="str">
        <v/>
      </c>
      <c r="AA20" s="61" t="str">
        <v/>
      </c>
      <c r="AB20" s="61" t="str">
        <v/>
      </c>
      <c r="AC20" s="61" t="str">
        <v/>
      </c>
      <c r="AD20" s="62" t="str">
        <v/>
      </c>
      <c r="AE20" s="62" t="str">
        <v/>
      </c>
      <c r="AF20" s="34" t="str">
        <v/>
      </c>
      <c r="AG20" s="34" t="str">
        <v/>
      </c>
      <c r="AH20" s="34" t="str">
        <v/>
      </c>
      <c r="AI20" s="34" t="str">
        <v/>
      </c>
      <c r="AJ20" s="34" t="str">
        <v/>
      </c>
      <c r="AK20" s="34" t="str">
        <v/>
      </c>
      <c r="AL20" s="34" t="str">
        <v/>
      </c>
      <c r="AM20" s="34">
        <v>0</v>
      </c>
      <c r="AN20" s="34">
        <v>0</v>
      </c>
      <c r="AO20" s="34" t="str">
        <v/>
      </c>
      <c r="AP20" s="34" t="str">
        <v/>
      </c>
      <c r="AQ20" s="34" t="str">
        <v/>
      </c>
      <c r="AR20" s="34" t="str">
        <v/>
      </c>
      <c r="AS20" s="34" t="str">
        <v/>
      </c>
      <c r="AT20" s="34" t="str">
        <v/>
      </c>
      <c r="AU20" s="34" t="str">
        <v/>
      </c>
      <c r="AV20" s="34" t="str">
        <v/>
      </c>
      <c r="AW20" s="34" t="str">
        <v/>
      </c>
      <c r="AX20" s="34" t="str">
        <v/>
      </c>
      <c r="AY20" s="34">
        <v>0</v>
      </c>
      <c r="AZ20" s="34" t="str">
        <v/>
      </c>
      <c r="BA20" s="34">
        <v>0</v>
      </c>
      <c r="BB20" s="34">
        <v>0</v>
      </c>
      <c r="BD20" s="34">
        <v>0</v>
      </c>
      <c r="BE20" s="34">
        <v>0</v>
      </c>
      <c r="BF20" s="34">
        <v>0</v>
      </c>
      <c r="BG20" s="34" t="str">
        <v/>
      </c>
      <c r="BH20" s="34" t="str">
        <v/>
      </c>
      <c r="BI20" s="34" t="str">
        <v/>
      </c>
      <c r="BJ20" s="34" t="str">
        <v/>
      </c>
      <c r="BK20" s="34" t="str">
        <v/>
      </c>
      <c r="BL20" s="34">
        <v>0</v>
      </c>
      <c r="BM20" s="34" t="str">
        <v/>
      </c>
      <c r="BN20" s="34" t="str">
        <v/>
      </c>
      <c r="BO20" s="34" t="str">
        <v/>
      </c>
      <c r="BP20" s="34" t="str">
        <v/>
      </c>
      <c r="BQ20" s="34" t="str">
        <v/>
      </c>
      <c r="BR20" s="34" t="str">
        <v/>
      </c>
      <c r="BS20" s="34" t="str">
        <v/>
      </c>
      <c r="BT20" s="34" t="str">
        <v/>
      </c>
      <c r="BU20" s="34">
        <v>0</v>
      </c>
      <c r="BV20" s="34" t="str">
        <v/>
      </c>
      <c r="BW20" s="34">
        <v>0</v>
      </c>
      <c r="BX20" s="34">
        <v>0</v>
      </c>
      <c r="BY20" s="34" t="str">
        <v/>
      </c>
      <c r="BZ20">
        <v>1</v>
      </c>
      <c r="CA20" t="str">
        <v>вводной узел</v>
      </c>
    </row>
    <row r="21" spans="1:79" x14ac:dyDescent="0.3">
      <c r="A21" s="39" t="str">
        <v>ЩР</v>
      </c>
      <c r="B21" s="42">
        <v>19</v>
      </c>
      <c r="C21" s="42">
        <v>2</v>
      </c>
      <c r="D21" s="75" t="str">
        <v/>
      </c>
      <c r="E21" s="75" t="str">
        <v>авто</v>
      </c>
      <c r="F21" s="76" t="str">
        <v/>
      </c>
      <c r="G21" s="47" t="str">
        <v>QFD1</v>
      </c>
      <c r="H21" s="47" t="str">
        <v>2P С16А 30мА</v>
      </c>
      <c r="I21" s="75" t="str">
        <v/>
      </c>
      <c r="J21" s="76" t="str">
        <v/>
      </c>
      <c r="K21" s="76" t="str">
        <v/>
      </c>
      <c r="L21" s="75" t="str">
        <v/>
      </c>
      <c r="M21" s="49" t="str">
        <v/>
      </c>
      <c r="N21" s="76" t="str">
        <v/>
      </c>
      <c r="O21" s="49" t="str">
        <v/>
      </c>
      <c r="P21" s="77" t="str">
        <v>XT1</v>
      </c>
      <c r="Q21" s="53" t="str">
        <v>ВВГнг(А)-LS (3х2,5) L=10-0,03%</v>
      </c>
      <c r="R21" s="54" t="str">
        <v>R.1.01.1</v>
      </c>
      <c r="S21" s="55" t="str">
        <v>Розеточная группа  Пом. №01</v>
      </c>
      <c r="T21" s="56">
        <v>0.06</v>
      </c>
      <c r="U21" s="56">
        <v>0.28000000000000003</v>
      </c>
      <c r="V21" s="42" t="str">
        <v>L1</v>
      </c>
      <c r="W21" s="57" t="str">
        <v>ok</v>
      </c>
      <c r="X21" s="58" t="str">
        <v/>
      </c>
      <c r="Y21" s="75" t="str">
        <v/>
      </c>
      <c r="Z21" s="59">
        <v>1.3800000000000001</v>
      </c>
      <c r="AA21" s="61">
        <v>6</v>
      </c>
      <c r="AB21" s="61">
        <v>25</v>
      </c>
      <c r="AC21" s="61" t="str">
        <v/>
      </c>
      <c r="AD21" s="62" t="str">
        <v>QFD1 → XT1</v>
      </c>
      <c r="AE21" s="62" t="str">
        <v/>
      </c>
      <c r="AF21" s="34">
        <v>1</v>
      </c>
      <c r="AG21" s="34" t="str">
        <v>QFD1</v>
      </c>
      <c r="AH21" s="34" t="str">
        <v/>
      </c>
      <c r="AI21" s="34" t="str">
        <v/>
      </c>
      <c r="AJ21" s="34" t="str">
        <v>QFD1</v>
      </c>
      <c r="AK21" s="34">
        <v>1</v>
      </c>
      <c r="AL21" s="34" t="str">
        <v>R</v>
      </c>
      <c r="AM21" s="34">
        <v>30</v>
      </c>
      <c r="AN21" s="34">
        <v>0</v>
      </c>
      <c r="AO21" s="34">
        <v>16</v>
      </c>
      <c r="AP21" s="34">
        <v>25</v>
      </c>
      <c r="AQ21" s="34">
        <v>16</v>
      </c>
      <c r="AR21" s="34">
        <v>1</v>
      </c>
      <c r="AS21" s="34">
        <v>1</v>
      </c>
      <c r="AT21" s="34" t="str">
        <v>2P</v>
      </c>
      <c r="AU21" s="34">
        <v>16</v>
      </c>
      <c r="AV21" s="34" t="str">
        <v/>
      </c>
      <c r="AW21" s="34" t="str">
        <v/>
      </c>
      <c r="AX21" s="34" t="str">
        <v/>
      </c>
      <c r="AY21" s="34">
        <v>1</v>
      </c>
      <c r="AZ21" s="34" t="str">
        <v/>
      </c>
      <c r="BA21" s="34">
        <v>0</v>
      </c>
      <c r="BB21" s="34">
        <v>16</v>
      </c>
      <c r="BD21" s="34">
        <v>1</v>
      </c>
      <c r="BE21" s="34">
        <v>0</v>
      </c>
      <c r="BF21" s="34">
        <v>1</v>
      </c>
      <c r="BG21" s="34" t="str">
        <v/>
      </c>
      <c r="BH21" s="34" t="str">
        <v/>
      </c>
      <c r="BI21" s="34" t="str">
        <v/>
      </c>
      <c r="BJ21" s="34" t="str">
        <v/>
      </c>
      <c r="BK21" s="34" t="str">
        <v>SOCKET</v>
      </c>
      <c r="BL21" s="34">
        <v>1</v>
      </c>
      <c r="BM21" s="34">
        <v>1</v>
      </c>
      <c r="BN21" s="34" t="str">
        <v/>
      </c>
      <c r="BO21" s="34" t="str">
        <v/>
      </c>
      <c r="BP21" s="34" t="str">
        <v/>
      </c>
      <c r="BQ21" s="34" t="str">
        <v>3х2,5</v>
      </c>
      <c r="BR21" s="34">
        <v>1</v>
      </c>
      <c r="BS21" s="34" t="str">
        <v/>
      </c>
      <c r="BT21" s="34" t="str">
        <v/>
      </c>
      <c r="BU21" s="34">
        <v>0</v>
      </c>
      <c r="BV21" s="34">
        <v>1</v>
      </c>
      <c r="BW21" s="34">
        <v>1</v>
      </c>
      <c r="BX21" s="34">
        <v>0</v>
      </c>
      <c r="BY21" s="34" t="str">
        <v>Розетка</v>
      </c>
      <c r="BZ21">
        <v>1</v>
      </c>
      <c r="CA21" t="str">
        <v>линии</v>
      </c>
    </row>
    <row r="22" spans="1:79" x14ac:dyDescent="0.3">
      <c r="A22" s="39" t="str">
        <v>ЩР</v>
      </c>
      <c r="B22" s="42">
        <v>20</v>
      </c>
      <c r="C22" s="42">
        <v>2</v>
      </c>
      <c r="D22" s="75" t="str">
        <v/>
      </c>
      <c r="E22" s="75" t="str">
        <v/>
      </c>
      <c r="F22" s="76" t="str">
        <v/>
      </c>
      <c r="G22" s="47" t="str">
        <v>QFD1</v>
      </c>
      <c r="H22" s="47" t="str">
        <v/>
      </c>
      <c r="I22" s="75" t="str">
        <v/>
      </c>
      <c r="J22" s="76" t="str">
        <v/>
      </c>
      <c r="K22" s="76" t="str">
        <v/>
      </c>
      <c r="L22" s="75" t="str">
        <v/>
      </c>
      <c r="M22" s="49" t="str">
        <v/>
      </c>
      <c r="N22" s="76" t="str">
        <v/>
      </c>
      <c r="O22" s="49" t="str">
        <v/>
      </c>
      <c r="P22" s="77" t="str">
        <v>XT2</v>
      </c>
      <c r="Q22" s="53" t="str">
        <v>ВВГнг(А)-LS (3х2,5) L=19-0,16%</v>
      </c>
      <c r="R22" s="54" t="str">
        <v>R.1.02.1</v>
      </c>
      <c r="S22" s="55" t="str">
        <v>Розеточная группа  Пом. №02</v>
      </c>
      <c r="T22" s="56">
        <v>0.24</v>
      </c>
      <c r="U22" s="56">
        <v>1.1000000000000001</v>
      </c>
      <c r="V22" s="42" t="str">
        <v>L2</v>
      </c>
      <c r="W22" s="57" t="str">
        <v/>
      </c>
      <c r="X22" s="58" t="str">
        <v/>
      </c>
      <c r="Y22" s="75" t="str">
        <v/>
      </c>
      <c r="Z22" s="59" t="str">
        <v/>
      </c>
      <c r="AA22" s="61" t="str">
        <v/>
      </c>
      <c r="AB22" s="61">
        <v>25</v>
      </c>
      <c r="AC22" s="61" t="str">
        <v/>
      </c>
      <c r="AD22" s="62" t="str">
        <v>QFD1 → XT2</v>
      </c>
      <c r="AE22" s="62" t="str">
        <v>дубль клеммы XT2</v>
      </c>
      <c r="AF22" s="34">
        <v>1</v>
      </c>
      <c r="AG22" s="34" t="str">
        <v>QFD1</v>
      </c>
      <c r="AH22" s="34" t="str">
        <v/>
      </c>
      <c r="AI22" s="34" t="str">
        <v/>
      </c>
      <c r="AJ22" s="34" t="str">
        <v/>
      </c>
      <c r="AK22" s="34">
        <v>1</v>
      </c>
      <c r="AL22" s="34" t="str">
        <v>R</v>
      </c>
      <c r="AM22" s="34">
        <v>30</v>
      </c>
      <c r="AN22" s="34">
        <v>0</v>
      </c>
      <c r="AO22" s="34" t="str">
        <v/>
      </c>
      <c r="AP22" s="34" t="str">
        <v/>
      </c>
      <c r="AQ22" s="34" t="str">
        <v/>
      </c>
      <c r="AR22" s="34" t="str">
        <v/>
      </c>
      <c r="AS22" s="34" t="str">
        <v/>
      </c>
      <c r="AT22" s="34" t="str">
        <v/>
      </c>
      <c r="AU22" s="34" t="str">
        <v/>
      </c>
      <c r="AV22" s="34" t="str">
        <v/>
      </c>
      <c r="AW22" s="34" t="str">
        <v/>
      </c>
      <c r="AX22" s="34" t="str">
        <v/>
      </c>
      <c r="AY22" s="34">
        <v>1</v>
      </c>
      <c r="AZ22" s="34" t="str">
        <v/>
      </c>
      <c r="BA22" s="34">
        <v>0</v>
      </c>
      <c r="BB22" s="34">
        <v>16</v>
      </c>
      <c r="BD22" s="34">
        <v>1</v>
      </c>
      <c r="BE22" s="34">
        <v>0</v>
      </c>
      <c r="BF22" s="34">
        <v>0</v>
      </c>
      <c r="BG22" s="34" t="str">
        <v/>
      </c>
      <c r="BH22" s="34" t="str">
        <v/>
      </c>
      <c r="BI22" s="34" t="str">
        <v/>
      </c>
      <c r="BJ22" s="34" t="str">
        <v/>
      </c>
      <c r="BK22" s="34" t="str">
        <v>SOCKET</v>
      </c>
      <c r="BL22" s="34">
        <v>1</v>
      </c>
      <c r="BM22" s="34" t="str">
        <v/>
      </c>
      <c r="BN22" s="34" t="str">
        <v/>
      </c>
      <c r="BO22" s="34" t="str">
        <v/>
      </c>
      <c r="BP22" s="34" t="str">
        <v/>
      </c>
      <c r="BQ22" s="34" t="str">
        <v>3х2,5</v>
      </c>
      <c r="BR22" s="34" t="str">
        <v/>
      </c>
      <c r="BS22" s="34" t="str">
        <v/>
      </c>
      <c r="BT22" s="34" t="str">
        <v/>
      </c>
      <c r="BU22" s="34">
        <v>2</v>
      </c>
      <c r="BV22" s="34">
        <v>2</v>
      </c>
      <c r="BW22" s="34">
        <v>1</v>
      </c>
      <c r="BX22" s="34">
        <v>0</v>
      </c>
      <c r="BY22" s="34" t="str">
        <v>Розетка</v>
      </c>
      <c r="BZ22">
        <v>1</v>
      </c>
      <c r="CA22" t="str">
        <v>линии</v>
      </c>
    </row>
    <row r="23" spans="1:79" x14ac:dyDescent="0.3">
      <c r="A23" s="39" t="str">
        <v>ЩР</v>
      </c>
      <c r="B23" s="42">
        <v>21</v>
      </c>
      <c r="C23" s="42">
        <v>2</v>
      </c>
      <c r="D23" s="75" t="str">
        <v/>
      </c>
      <c r="E23" s="75" t="str">
        <v>авто</v>
      </c>
      <c r="F23" s="76" t="str">
        <v/>
      </c>
      <c r="G23" s="47" t="str">
        <v>QFD2</v>
      </c>
      <c r="H23" s="47" t="str">
        <v>2P С16А 30мА</v>
      </c>
      <c r="I23" s="75" t="str">
        <v/>
      </c>
      <c r="J23" s="76" t="str">
        <v/>
      </c>
      <c r="K23" s="76" t="str">
        <v/>
      </c>
      <c r="L23" s="75" t="str">
        <v/>
      </c>
      <c r="M23" s="49" t="str">
        <v/>
      </c>
      <c r="N23" s="76" t="str">
        <v/>
      </c>
      <c r="O23" s="49" t="str">
        <v/>
      </c>
      <c r="P23" s="77" t="str">
        <v>XT2</v>
      </c>
      <c r="Q23" s="53" t="str">
        <v>ВВГнг(А)-LS (3х2,5) L=16-0,07%</v>
      </c>
      <c r="R23" s="54" t="str">
        <v>R.1.03.1</v>
      </c>
      <c r="S23" s="55" t="str">
        <v>Розеточная группа  Пом. №03</v>
      </c>
      <c r="T23" s="56">
        <v>0.12</v>
      </c>
      <c r="U23" s="56">
        <v>0.55000000000000004</v>
      </c>
      <c r="V23" s="42" t="str">
        <v>L3</v>
      </c>
      <c r="W23" s="57" t="str">
        <v>ok</v>
      </c>
      <c r="X23" s="58" t="str">
        <v/>
      </c>
      <c r="Y23" s="75" t="str">
        <v/>
      </c>
      <c r="Z23" s="59">
        <v>0.55000000000000004</v>
      </c>
      <c r="AA23" s="61">
        <v>6</v>
      </c>
      <c r="AB23" s="61">
        <v>25</v>
      </c>
      <c r="AC23" s="61" t="str">
        <v/>
      </c>
      <c r="AD23" s="62" t="str">
        <v>QFD2 → XT2</v>
      </c>
      <c r="AE23" s="62" t="str">
        <v>дубль клеммы XT2</v>
      </c>
      <c r="AF23" s="34">
        <v>2</v>
      </c>
      <c r="AG23" s="34" t="str">
        <v>QFD2</v>
      </c>
      <c r="AH23" s="34" t="str">
        <v/>
      </c>
      <c r="AI23" s="34" t="str">
        <v/>
      </c>
      <c r="AJ23" s="34" t="str">
        <v>QFD2</v>
      </c>
      <c r="AK23" s="34">
        <v>1</v>
      </c>
      <c r="AL23" s="34" t="str">
        <v>R</v>
      </c>
      <c r="AM23" s="34">
        <v>30</v>
      </c>
      <c r="AN23" s="34">
        <v>0</v>
      </c>
      <c r="AO23" s="34">
        <v>16</v>
      </c>
      <c r="AP23" s="34">
        <v>25</v>
      </c>
      <c r="AQ23" s="34">
        <v>16</v>
      </c>
      <c r="AR23" s="34">
        <v>1</v>
      </c>
      <c r="AS23" s="34">
        <v>1</v>
      </c>
      <c r="AT23" s="34" t="str">
        <v>2P</v>
      </c>
      <c r="AU23" s="34">
        <v>16</v>
      </c>
      <c r="AV23" s="34" t="str">
        <v/>
      </c>
      <c r="AW23" s="34" t="str">
        <v/>
      </c>
      <c r="AX23" s="34" t="str">
        <v/>
      </c>
      <c r="AY23" s="34">
        <v>1</v>
      </c>
      <c r="AZ23" s="34" t="str">
        <v/>
      </c>
      <c r="BA23" s="34">
        <v>0</v>
      </c>
      <c r="BB23" s="34">
        <v>16</v>
      </c>
      <c r="BD23" s="34">
        <v>1</v>
      </c>
      <c r="BE23" s="34">
        <v>0</v>
      </c>
      <c r="BF23" s="34">
        <v>1</v>
      </c>
      <c r="BG23" s="34" t="str">
        <v/>
      </c>
      <c r="BH23" s="34" t="str">
        <v/>
      </c>
      <c r="BI23" s="34" t="str">
        <v/>
      </c>
      <c r="BJ23" s="34" t="str">
        <v/>
      </c>
      <c r="BK23" s="34" t="str">
        <v>SOCKET</v>
      </c>
      <c r="BL23" s="34">
        <v>1</v>
      </c>
      <c r="BM23" s="34" t="str">
        <v/>
      </c>
      <c r="BN23" s="34" t="str">
        <v/>
      </c>
      <c r="BO23" s="34" t="str">
        <v/>
      </c>
      <c r="BP23" s="34" t="str">
        <v/>
      </c>
      <c r="BQ23" s="34" t="str">
        <v>3х2,5</v>
      </c>
      <c r="BR23" s="34" t="str">
        <v/>
      </c>
      <c r="BS23" s="34" t="str">
        <v/>
      </c>
      <c r="BT23" s="34" t="str">
        <v/>
      </c>
      <c r="BU23" s="34">
        <v>2</v>
      </c>
      <c r="BV23" s="34">
        <v>3</v>
      </c>
      <c r="BW23" s="34">
        <v>1</v>
      </c>
      <c r="BX23" s="34">
        <v>0</v>
      </c>
      <c r="BY23" s="34" t="str">
        <v>Розетка</v>
      </c>
      <c r="BZ23">
        <v>1</v>
      </c>
      <c r="CA23" t="str">
        <v>линии</v>
      </c>
    </row>
    <row r="24" spans="1:79" x14ac:dyDescent="0.3">
      <c r="A24" s="39" t="str">
        <v>ЩР</v>
      </c>
      <c r="B24" s="42">
        <v>22</v>
      </c>
      <c r="C24" s="42">
        <v>2</v>
      </c>
      <c r="D24" s="75" t="str">
        <v/>
      </c>
      <c r="E24" s="75" t="str">
        <v>авто</v>
      </c>
      <c r="F24" s="76" t="str">
        <v/>
      </c>
      <c r="G24" s="47" t="str">
        <v>QFD3</v>
      </c>
      <c r="H24" s="47" t="str">
        <v>2P С16А 30мА</v>
      </c>
      <c r="I24" s="75" t="str">
        <v/>
      </c>
      <c r="J24" s="76" t="str">
        <v/>
      </c>
      <c r="K24" s="76" t="str">
        <v/>
      </c>
      <c r="L24" s="75" t="str">
        <v/>
      </c>
      <c r="M24" s="49" t="str">
        <v/>
      </c>
      <c r="N24" s="76" t="str">
        <v/>
      </c>
      <c r="O24" s="49" t="str">
        <v/>
      </c>
      <c r="P24" s="77" t="str">
        <v>XT3</v>
      </c>
      <c r="Q24" s="53" t="str">
        <v>ВВГнг(А)-LS (3х2,5) L=18-0,08%</v>
      </c>
      <c r="R24" s="54" t="str">
        <v>R.1.03.2</v>
      </c>
      <c r="S24" s="55" t="str">
        <v>Розеточная группа  Пом. №03</v>
      </c>
      <c r="T24" s="56">
        <v>0.12</v>
      </c>
      <c r="U24" s="56">
        <v>0.55000000000000004</v>
      </c>
      <c r="V24" s="42" t="str">
        <v>L1</v>
      </c>
      <c r="W24" s="57" t="str">
        <v>ok</v>
      </c>
      <c r="X24" s="58" t="str">
        <v/>
      </c>
      <c r="Y24" s="75" t="str">
        <v/>
      </c>
      <c r="Z24" s="59">
        <v>0.55000000000000004</v>
      </c>
      <c r="AA24" s="61">
        <v>6</v>
      </c>
      <c r="AB24" s="61">
        <v>25</v>
      </c>
      <c r="AC24" s="61" t="str">
        <v/>
      </c>
      <c r="AD24" s="62" t="str">
        <v>QFD3 → XT3</v>
      </c>
      <c r="AE24" s="62" t="str">
        <v/>
      </c>
      <c r="AF24" s="34">
        <v>3</v>
      </c>
      <c r="AG24" s="34" t="str">
        <v>QFD3</v>
      </c>
      <c r="AH24" s="34" t="str">
        <v/>
      </c>
      <c r="AI24" s="34" t="str">
        <v/>
      </c>
      <c r="AJ24" s="34" t="str">
        <v>QFD3</v>
      </c>
      <c r="AK24" s="34">
        <v>1</v>
      </c>
      <c r="AL24" s="34" t="str">
        <v>R</v>
      </c>
      <c r="AM24" s="34">
        <v>30</v>
      </c>
      <c r="AN24" s="34">
        <v>0</v>
      </c>
      <c r="AO24" s="34">
        <v>16</v>
      </c>
      <c r="AP24" s="34">
        <v>25</v>
      </c>
      <c r="AQ24" s="34">
        <v>16</v>
      </c>
      <c r="AR24" s="34">
        <v>1</v>
      </c>
      <c r="AS24" s="34">
        <v>1</v>
      </c>
      <c r="AT24" s="34" t="str">
        <v>2P</v>
      </c>
      <c r="AU24" s="34">
        <v>16</v>
      </c>
      <c r="AV24" s="34" t="str">
        <v/>
      </c>
      <c r="AW24" s="34" t="str">
        <v/>
      </c>
      <c r="AX24" s="34" t="str">
        <v/>
      </c>
      <c r="AY24" s="34">
        <v>1</v>
      </c>
      <c r="AZ24" s="34" t="str">
        <v/>
      </c>
      <c r="BA24" s="34">
        <v>0</v>
      </c>
      <c r="BB24" s="34">
        <v>16</v>
      </c>
      <c r="BD24" s="34">
        <v>1</v>
      </c>
      <c r="BE24" s="34">
        <v>0</v>
      </c>
      <c r="BF24" s="34">
        <v>1</v>
      </c>
      <c r="BG24" s="34" t="str">
        <v/>
      </c>
      <c r="BH24" s="34" t="str">
        <v/>
      </c>
      <c r="BI24" s="34" t="str">
        <v/>
      </c>
      <c r="BJ24" s="34" t="str">
        <v/>
      </c>
      <c r="BK24" s="34" t="str">
        <v>SOCKET</v>
      </c>
      <c r="BL24" s="34">
        <v>1</v>
      </c>
      <c r="BM24" s="34" t="str">
        <v/>
      </c>
      <c r="BN24" s="34" t="str">
        <v/>
      </c>
      <c r="BO24" s="34" t="str">
        <v/>
      </c>
      <c r="BP24" s="34" t="str">
        <v/>
      </c>
      <c r="BQ24" s="34" t="str">
        <v>3х2,5</v>
      </c>
      <c r="BR24" s="34" t="str">
        <v/>
      </c>
      <c r="BS24" s="34" t="str">
        <v/>
      </c>
      <c r="BT24" s="34" t="str">
        <v/>
      </c>
      <c r="BU24" s="34">
        <v>0</v>
      </c>
      <c r="BV24" s="34">
        <v>4</v>
      </c>
      <c r="BW24" s="34">
        <v>1</v>
      </c>
      <c r="BX24" s="34">
        <v>0</v>
      </c>
      <c r="BY24" s="34" t="str">
        <v>Розетка</v>
      </c>
      <c r="BZ24">
        <v>1</v>
      </c>
      <c r="CA24" t="str">
        <v>линии</v>
      </c>
    </row>
    <row r="25" spans="1:79" x14ac:dyDescent="0.3">
      <c r="A25" s="39" t="str">
        <v>ЩР</v>
      </c>
      <c r="B25" s="42">
        <v>23</v>
      </c>
      <c r="C25" s="42">
        <v>2</v>
      </c>
      <c r="D25" s="75" t="str">
        <v/>
      </c>
      <c r="E25" s="75" t="str">
        <v>авто</v>
      </c>
      <c r="F25" s="76" t="str">
        <v/>
      </c>
      <c r="G25" s="47" t="str">
        <v>QFD4</v>
      </c>
      <c r="H25" s="47" t="str">
        <v>2P С16А 30мА</v>
      </c>
      <c r="I25" s="75" t="str">
        <v/>
      </c>
      <c r="J25" s="76" t="str">
        <v/>
      </c>
      <c r="K25" s="76" t="str">
        <v/>
      </c>
      <c r="L25" s="75" t="str">
        <v/>
      </c>
      <c r="M25" s="49" t="str">
        <v/>
      </c>
      <c r="N25" s="76" t="str">
        <v/>
      </c>
      <c r="O25" s="49" t="str">
        <v/>
      </c>
      <c r="P25" s="77" t="str">
        <v>XT4</v>
      </c>
      <c r="Q25" s="53" t="str">
        <v>ВВГнг(А)-LS (3х2,5) L=15-0,04%</v>
      </c>
      <c r="R25" s="54" t="str">
        <v>R.1.03.3</v>
      </c>
      <c r="S25" s="55" t="str">
        <v>Розеточная группа  Пом. №03 Сушильная машина</v>
      </c>
      <c r="T25" s="56">
        <v>0.06</v>
      </c>
      <c r="U25" s="56">
        <v>0.28000000000000003</v>
      </c>
      <c r="V25" s="42" t="str">
        <v>L1</v>
      </c>
      <c r="W25" s="57" t="str">
        <v>ok</v>
      </c>
      <c r="X25" s="58" t="str">
        <v/>
      </c>
      <c r="Y25" s="75" t="str">
        <v/>
      </c>
      <c r="Z25" s="59">
        <v>0.28000000000000003</v>
      </c>
      <c r="AA25" s="61">
        <v>6</v>
      </c>
      <c r="AB25" s="61">
        <v>25</v>
      </c>
      <c r="AC25" s="61" t="str">
        <v/>
      </c>
      <c r="AD25" s="62" t="str">
        <v>QFD4 → XT4</v>
      </c>
      <c r="AE25" s="62" t="str">
        <v/>
      </c>
      <c r="AF25" s="34">
        <v>4</v>
      </c>
      <c r="AG25" s="34" t="str">
        <v>QFD4</v>
      </c>
      <c r="AH25" s="34" t="str">
        <v/>
      </c>
      <c r="AI25" s="34" t="str">
        <v/>
      </c>
      <c r="AJ25" s="34" t="str">
        <v>QFD4</v>
      </c>
      <c r="AK25" s="34">
        <v>1</v>
      </c>
      <c r="AL25" s="34" t="str">
        <v>R</v>
      </c>
      <c r="AM25" s="34">
        <v>30</v>
      </c>
      <c r="AN25" s="34">
        <v>0</v>
      </c>
      <c r="AO25" s="34">
        <v>16</v>
      </c>
      <c r="AP25" s="34">
        <v>25</v>
      </c>
      <c r="AQ25" s="34">
        <v>16</v>
      </c>
      <c r="AR25" s="34">
        <v>1</v>
      </c>
      <c r="AS25" s="34">
        <v>1</v>
      </c>
      <c r="AT25" s="34" t="str">
        <v>2P</v>
      </c>
      <c r="AU25" s="34">
        <v>16</v>
      </c>
      <c r="AV25" s="34" t="str">
        <v/>
      </c>
      <c r="AW25" s="34" t="str">
        <v/>
      </c>
      <c r="AX25" s="34" t="str">
        <v/>
      </c>
      <c r="AY25" s="34">
        <v>1</v>
      </c>
      <c r="AZ25" s="34" t="str">
        <v/>
      </c>
      <c r="BA25" s="34">
        <v>0</v>
      </c>
      <c r="BB25" s="34">
        <v>16</v>
      </c>
      <c r="BD25" s="34">
        <v>1</v>
      </c>
      <c r="BE25" s="34">
        <v>0</v>
      </c>
      <c r="BF25" s="34">
        <v>1</v>
      </c>
      <c r="BG25" s="34" t="str">
        <v/>
      </c>
      <c r="BH25" s="34" t="str">
        <v/>
      </c>
      <c r="BI25" s="34" t="str">
        <v/>
      </c>
      <c r="BJ25" s="34" t="str">
        <v/>
      </c>
      <c r="BK25" s="34" t="str">
        <v>SOCKET</v>
      </c>
      <c r="BL25" s="34">
        <v>1</v>
      </c>
      <c r="BM25" s="34" t="str">
        <v/>
      </c>
      <c r="BN25" s="34" t="str">
        <v/>
      </c>
      <c r="BO25" s="34" t="str">
        <v/>
      </c>
      <c r="BP25" s="34" t="str">
        <v/>
      </c>
      <c r="BQ25" s="34" t="str">
        <v>3х2,5</v>
      </c>
      <c r="BR25" s="34" t="str">
        <v/>
      </c>
      <c r="BS25" s="34" t="str">
        <v/>
      </c>
      <c r="BT25" s="34" t="str">
        <v/>
      </c>
      <c r="BU25" s="34">
        <v>0</v>
      </c>
      <c r="BV25" s="34">
        <v>5</v>
      </c>
      <c r="BW25" s="34">
        <v>1</v>
      </c>
      <c r="BX25" s="34">
        <v>0</v>
      </c>
      <c r="BY25" s="34" t="str">
        <v>Розетка</v>
      </c>
      <c r="BZ25">
        <v>1</v>
      </c>
      <c r="CA25" t="str">
        <v>линии</v>
      </c>
    </row>
    <row r="26" spans="1:79" x14ac:dyDescent="0.3">
      <c r="A26" s="39" t="str">
        <v>ЩР</v>
      </c>
      <c r="B26" s="42">
        <v>24</v>
      </c>
      <c r="C26" s="42">
        <v>2</v>
      </c>
      <c r="D26" s="75" t="str">
        <v/>
      </c>
      <c r="E26" s="75" t="str">
        <v>авто</v>
      </c>
      <c r="F26" s="76" t="str">
        <v/>
      </c>
      <c r="G26" s="47" t="str">
        <v>QFD5</v>
      </c>
      <c r="H26" s="47" t="str">
        <v>4P С16А 30мА</v>
      </c>
      <c r="I26" s="75" t="str">
        <v/>
      </c>
      <c r="J26" s="76" t="str">
        <v/>
      </c>
      <c r="K26" s="76" t="str">
        <v/>
      </c>
      <c r="L26" s="75" t="str">
        <v/>
      </c>
      <c r="M26" s="49" t="str">
        <v/>
      </c>
      <c r="N26" s="76" t="str">
        <v/>
      </c>
      <c r="O26" s="49" t="str">
        <v/>
      </c>
      <c r="P26" s="77" t="str">
        <v>XT5</v>
      </c>
      <c r="Q26" s="53" t="str">
        <v>ВВГнг(А)-LS (5х2,5) L=14-0,01%</v>
      </c>
      <c r="R26" s="54" t="str">
        <v>R.1.03.4</v>
      </c>
      <c r="S26" s="55" t="str">
        <v>Розеточная группа  Пом. №03 Стиральная машина</v>
      </c>
      <c r="T26" s="56">
        <v>0.06</v>
      </c>
      <c r="U26" s="56">
        <v>9.9999999999999992E-2</v>
      </c>
      <c r="V26" s="42" t="str">
        <v>L1,L2,L3</v>
      </c>
      <c r="W26" s="57" t="str">
        <v>ok</v>
      </c>
      <c r="X26" s="58" t="str">
        <v/>
      </c>
      <c r="Y26" s="75" t="str">
        <v/>
      </c>
      <c r="Z26" s="59">
        <v>9.9999999999999992E-2</v>
      </c>
      <c r="AA26" s="61">
        <v>6</v>
      </c>
      <c r="AB26" s="61">
        <v>20</v>
      </c>
      <c r="AC26" s="61" t="str">
        <v/>
      </c>
      <c r="AD26" s="62" t="str">
        <v>QFD5 → XT5</v>
      </c>
      <c r="AE26" s="62" t="str">
        <v/>
      </c>
      <c r="AF26" s="34">
        <v>5</v>
      </c>
      <c r="AG26" s="34" t="str">
        <v>QFD5</v>
      </c>
      <c r="AH26" s="34" t="str">
        <v/>
      </c>
      <c r="AI26" s="34" t="str">
        <v/>
      </c>
      <c r="AJ26" s="34" t="str">
        <v>QFD5</v>
      </c>
      <c r="AK26" s="34">
        <v>3</v>
      </c>
      <c r="AL26" s="34" t="str">
        <v>R</v>
      </c>
      <c r="AM26" s="34">
        <v>30</v>
      </c>
      <c r="AN26" s="34">
        <v>0</v>
      </c>
      <c r="AO26" s="34">
        <v>16</v>
      </c>
      <c r="AP26" s="34">
        <v>20</v>
      </c>
      <c r="AQ26" s="34">
        <v>16</v>
      </c>
      <c r="AR26" s="34">
        <v>3</v>
      </c>
      <c r="AS26" s="34">
        <v>1</v>
      </c>
      <c r="AT26" s="34" t="str">
        <v>4P</v>
      </c>
      <c r="AU26" s="34">
        <v>16</v>
      </c>
      <c r="AV26" s="34" t="str">
        <v/>
      </c>
      <c r="AW26" s="34" t="str">
        <v/>
      </c>
      <c r="AX26" s="34" t="str">
        <v/>
      </c>
      <c r="AY26" s="34">
        <v>1</v>
      </c>
      <c r="AZ26" s="34" t="str">
        <v/>
      </c>
      <c r="BA26" s="34">
        <v>0</v>
      </c>
      <c r="BB26" s="34">
        <v>16</v>
      </c>
      <c r="BD26" s="34">
        <v>1</v>
      </c>
      <c r="BE26" s="34">
        <v>0</v>
      </c>
      <c r="BF26" s="34">
        <v>1</v>
      </c>
      <c r="BG26" s="34" t="str">
        <v/>
      </c>
      <c r="BH26" s="34" t="str">
        <v/>
      </c>
      <c r="BI26" s="34" t="str">
        <v/>
      </c>
      <c r="BJ26" s="34" t="str">
        <v/>
      </c>
      <c r="BK26" s="34" t="str">
        <v>SOCKET</v>
      </c>
      <c r="BL26" s="34">
        <v>1</v>
      </c>
      <c r="BM26" s="34">
        <v>2</v>
      </c>
      <c r="BN26" s="34" t="str">
        <v/>
      </c>
      <c r="BO26" s="34" t="str">
        <v/>
      </c>
      <c r="BP26" s="34" t="str">
        <v/>
      </c>
      <c r="BQ26" s="34" t="str">
        <v>5х2,5</v>
      </c>
      <c r="BR26" s="34">
        <v>2</v>
      </c>
      <c r="BS26" s="34" t="str">
        <v/>
      </c>
      <c r="BT26" s="34" t="str">
        <v/>
      </c>
      <c r="BU26" s="34">
        <v>0</v>
      </c>
      <c r="BV26" s="34">
        <v>6</v>
      </c>
      <c r="BW26" s="34">
        <v>1</v>
      </c>
      <c r="BX26" s="34">
        <v>2</v>
      </c>
      <c r="BY26" s="34" t="str">
        <v>Розетка</v>
      </c>
      <c r="BZ26">
        <v>1</v>
      </c>
      <c r="CA26" t="str">
        <v>линии</v>
      </c>
    </row>
    <row r="27" spans="1:79" x14ac:dyDescent="0.3">
      <c r="A27" s="39" t="str">
        <v>ЩР</v>
      </c>
      <c r="B27" s="42">
        <v>25</v>
      </c>
      <c r="C27" s="42">
        <v>2</v>
      </c>
      <c r="D27" s="75" t="str">
        <v/>
      </c>
      <c r="E27" s="75" t="str">
        <v>авто</v>
      </c>
      <c r="F27" s="76" t="str">
        <v/>
      </c>
      <c r="G27" s="47" t="str">
        <v>QFD6</v>
      </c>
      <c r="H27" s="47" t="str">
        <v>2P С16А 30мА</v>
      </c>
      <c r="I27" s="75" t="str">
        <v/>
      </c>
      <c r="J27" s="76" t="str">
        <v/>
      </c>
      <c r="K27" s="76" t="str">
        <v/>
      </c>
      <c r="L27" s="75" t="str">
        <v/>
      </c>
      <c r="M27" s="49" t="str">
        <v/>
      </c>
      <c r="N27" s="76" t="str">
        <v/>
      </c>
      <c r="O27" s="49" t="str">
        <v/>
      </c>
      <c r="P27" s="77" t="str">
        <v>XT6</v>
      </c>
      <c r="Q27" s="53" t="str">
        <v>ВВГнг(А)-LS (3х2,5) L=47-0,67%</v>
      </c>
      <c r="R27" s="54" t="str">
        <v>R.1.05.1</v>
      </c>
      <c r="S27" s="55" t="str">
        <v>Розеточная группа  Пом. №05</v>
      </c>
      <c r="T27" s="56">
        <v>0.42</v>
      </c>
      <c r="U27" s="56">
        <v>1.92</v>
      </c>
      <c r="V27" s="42" t="str">
        <v>L3</v>
      </c>
      <c r="W27" s="57" t="str">
        <v>ok</v>
      </c>
      <c r="X27" s="58" t="str">
        <v/>
      </c>
      <c r="Y27" s="75" t="str">
        <v/>
      </c>
      <c r="Z27" s="59">
        <v>1.92</v>
      </c>
      <c r="AA27" s="61">
        <v>6</v>
      </c>
      <c r="AB27" s="61">
        <v>25</v>
      </c>
      <c r="AC27" s="61" t="str">
        <v/>
      </c>
      <c r="AD27" s="62" t="str">
        <v>QFD6 → XT6</v>
      </c>
      <c r="AE27" s="62" t="str">
        <v/>
      </c>
      <c r="AF27" s="34">
        <v>6</v>
      </c>
      <c r="AG27" s="34" t="str">
        <v>QFD6</v>
      </c>
      <c r="AH27" s="34" t="str">
        <v/>
      </c>
      <c r="AI27" s="34" t="str">
        <v/>
      </c>
      <c r="AJ27" s="34" t="str">
        <v>QFD6</v>
      </c>
      <c r="AK27" s="34">
        <v>1</v>
      </c>
      <c r="AL27" s="34" t="str">
        <v>R</v>
      </c>
      <c r="AM27" s="34">
        <v>30</v>
      </c>
      <c r="AN27" s="34">
        <v>0</v>
      </c>
      <c r="AO27" s="34">
        <v>16</v>
      </c>
      <c r="AP27" s="34">
        <v>25</v>
      </c>
      <c r="AQ27" s="34">
        <v>16</v>
      </c>
      <c r="AR27" s="34">
        <v>1</v>
      </c>
      <c r="AS27" s="34">
        <v>1</v>
      </c>
      <c r="AT27" s="34" t="str">
        <v>2P</v>
      </c>
      <c r="AU27" s="34">
        <v>16</v>
      </c>
      <c r="AV27" s="34" t="str">
        <v/>
      </c>
      <c r="AW27" s="34" t="str">
        <v/>
      </c>
      <c r="AX27" s="34" t="str">
        <v/>
      </c>
      <c r="AY27" s="34">
        <v>1</v>
      </c>
      <c r="AZ27" s="34" t="str">
        <v/>
      </c>
      <c r="BA27" s="34">
        <v>0</v>
      </c>
      <c r="BB27" s="34">
        <v>16</v>
      </c>
      <c r="BD27" s="34">
        <v>1</v>
      </c>
      <c r="BE27" s="34">
        <v>0</v>
      </c>
      <c r="BF27" s="34">
        <v>1</v>
      </c>
      <c r="BG27" s="34" t="str">
        <v/>
      </c>
      <c r="BH27" s="34" t="str">
        <v/>
      </c>
      <c r="BI27" s="34" t="str">
        <v/>
      </c>
      <c r="BJ27" s="34" t="str">
        <v/>
      </c>
      <c r="BK27" s="34" t="str">
        <v>SOCKET</v>
      </c>
      <c r="BL27" s="34">
        <v>1</v>
      </c>
      <c r="BM27" s="34" t="str">
        <v/>
      </c>
      <c r="BN27" s="34" t="str">
        <v/>
      </c>
      <c r="BO27" s="34" t="str">
        <v/>
      </c>
      <c r="BP27" s="34" t="str">
        <v/>
      </c>
      <c r="BQ27" s="34" t="str">
        <v>3х2,5</v>
      </c>
      <c r="BR27" s="34" t="str">
        <v/>
      </c>
      <c r="BS27" s="34" t="str">
        <v/>
      </c>
      <c r="BT27" s="34" t="str">
        <v/>
      </c>
      <c r="BU27" s="34">
        <v>0</v>
      </c>
      <c r="BV27" s="34">
        <v>7</v>
      </c>
      <c r="BW27" s="34">
        <v>1</v>
      </c>
      <c r="BX27" s="34">
        <v>0</v>
      </c>
      <c r="BY27" s="34" t="str">
        <v>Розетка</v>
      </c>
      <c r="BZ27">
        <v>1</v>
      </c>
      <c r="CA27" t="str">
        <v>линии</v>
      </c>
    </row>
    <row r="28" spans="1:79" x14ac:dyDescent="0.3">
      <c r="A28" s="39" t="str">
        <v>ЩР</v>
      </c>
      <c r="B28" s="42">
        <v>26</v>
      </c>
      <c r="C28" s="42">
        <v>2</v>
      </c>
      <c r="D28" s="75" t="str">
        <v/>
      </c>
      <c r="E28" s="75" t="str">
        <v>авто</v>
      </c>
      <c r="F28" s="76" t="str">
        <v/>
      </c>
      <c r="G28" s="47" t="str">
        <v>QFD7</v>
      </c>
      <c r="H28" s="47" t="str">
        <v>2P С16А 30мА</v>
      </c>
      <c r="I28" s="75" t="str">
        <v/>
      </c>
      <c r="J28" s="76" t="str">
        <v/>
      </c>
      <c r="K28" s="76" t="str">
        <v/>
      </c>
      <c r="L28" s="75" t="str">
        <v/>
      </c>
      <c r="M28" s="49" t="str">
        <v/>
      </c>
      <c r="N28" s="76" t="str">
        <v/>
      </c>
      <c r="O28" s="49" t="str">
        <v/>
      </c>
      <c r="P28" s="77" t="str">
        <v>XT7</v>
      </c>
      <c r="Q28" s="53" t="str">
        <v>ВВГнг(А)-LS (3х2,5) L=22-0,05%</v>
      </c>
      <c r="R28" s="54" t="str">
        <v>R.1.05.2</v>
      </c>
      <c r="S28" s="55" t="str">
        <v>Розеточная группа  Пом. №05</v>
      </c>
      <c r="T28" s="56">
        <v>0.06</v>
      </c>
      <c r="U28" s="56">
        <v>0.28000000000000003</v>
      </c>
      <c r="V28" s="42" t="str">
        <v>L1</v>
      </c>
      <c r="W28" s="57" t="str">
        <v>ok</v>
      </c>
      <c r="X28" s="58" t="str">
        <v/>
      </c>
      <c r="Y28" s="75" t="str">
        <v/>
      </c>
      <c r="Z28" s="59">
        <v>0.28000000000000003</v>
      </c>
      <c r="AA28" s="61">
        <v>6</v>
      </c>
      <c r="AB28" s="61">
        <v>25</v>
      </c>
      <c r="AC28" s="61" t="str">
        <v/>
      </c>
      <c r="AD28" s="62" t="str">
        <v>QFD7 → XT7</v>
      </c>
      <c r="AE28" s="62" t="str">
        <v/>
      </c>
      <c r="AF28" s="34">
        <v>7</v>
      </c>
      <c r="AG28" s="34" t="str">
        <v>QFD7</v>
      </c>
      <c r="AH28" s="34" t="str">
        <v/>
      </c>
      <c r="AI28" s="34" t="str">
        <v/>
      </c>
      <c r="AJ28" s="34" t="str">
        <v>QFD7</v>
      </c>
      <c r="AK28" s="34">
        <v>1</v>
      </c>
      <c r="AL28" s="34" t="str">
        <v>R</v>
      </c>
      <c r="AM28" s="34">
        <v>30</v>
      </c>
      <c r="AN28" s="34">
        <v>0</v>
      </c>
      <c r="AO28" s="34">
        <v>16</v>
      </c>
      <c r="AP28" s="34">
        <v>25</v>
      </c>
      <c r="AQ28" s="34">
        <v>16</v>
      </c>
      <c r="AR28" s="34">
        <v>1</v>
      </c>
      <c r="AS28" s="34">
        <v>1</v>
      </c>
      <c r="AT28" s="34" t="str">
        <v>2P</v>
      </c>
      <c r="AU28" s="34">
        <v>16</v>
      </c>
      <c r="AV28" s="34" t="str">
        <v/>
      </c>
      <c r="AW28" s="34" t="str">
        <v/>
      </c>
      <c r="AX28" s="34" t="str">
        <v/>
      </c>
      <c r="AY28" s="34">
        <v>1</v>
      </c>
      <c r="AZ28" s="34" t="str">
        <v/>
      </c>
      <c r="BA28" s="34">
        <v>0</v>
      </c>
      <c r="BB28" s="34">
        <v>16</v>
      </c>
      <c r="BD28" s="34">
        <v>1</v>
      </c>
      <c r="BE28" s="34">
        <v>0</v>
      </c>
      <c r="BF28" s="34">
        <v>1</v>
      </c>
      <c r="BG28" s="34" t="str">
        <v/>
      </c>
      <c r="BH28" s="34" t="str">
        <v/>
      </c>
      <c r="BI28" s="34" t="str">
        <v/>
      </c>
      <c r="BJ28" s="34" t="str">
        <v/>
      </c>
      <c r="BK28" s="34" t="str">
        <v>SOCKET</v>
      </c>
      <c r="BL28" s="34">
        <v>1</v>
      </c>
      <c r="BM28" s="34" t="str">
        <v/>
      </c>
      <c r="BN28" s="34" t="str">
        <v/>
      </c>
      <c r="BO28" s="34" t="str">
        <v/>
      </c>
      <c r="BP28" s="34" t="str">
        <v/>
      </c>
      <c r="BQ28" s="34" t="str">
        <v>3х2,5</v>
      </c>
      <c r="BR28" s="34" t="str">
        <v/>
      </c>
      <c r="BS28" s="34" t="str">
        <v/>
      </c>
      <c r="BT28" s="34" t="str">
        <v/>
      </c>
      <c r="BU28" s="34">
        <v>0</v>
      </c>
      <c r="BV28" s="34">
        <v>8</v>
      </c>
      <c r="BW28" s="34">
        <v>1</v>
      </c>
      <c r="BX28" s="34">
        <v>0</v>
      </c>
      <c r="BY28" s="34" t="str">
        <v>Розетка</v>
      </c>
      <c r="BZ28">
        <v>1</v>
      </c>
      <c r="CA28" t="str">
        <v>линии</v>
      </c>
    </row>
    <row r="29" spans="1:79" x14ac:dyDescent="0.3">
      <c r="A29" s="39" t="str">
        <v>ЩР</v>
      </c>
      <c r="B29" s="42">
        <v>27</v>
      </c>
      <c r="C29" s="42">
        <v>2</v>
      </c>
      <c r="D29" s="75" t="str">
        <v/>
      </c>
      <c r="E29" s="75" t="str">
        <v>авто</v>
      </c>
      <c r="F29" s="76" t="str">
        <v/>
      </c>
      <c r="G29" s="47" t="str">
        <v>QFD8</v>
      </c>
      <c r="H29" s="47" t="str">
        <v>2P С16А 30мА</v>
      </c>
      <c r="I29" s="75" t="str">
        <v/>
      </c>
      <c r="J29" s="76" t="str">
        <v/>
      </c>
      <c r="K29" s="76" t="str">
        <v/>
      </c>
      <c r="L29" s="75" t="str">
        <v/>
      </c>
      <c r="M29" s="49" t="str">
        <v/>
      </c>
      <c r="N29" s="76" t="str">
        <v/>
      </c>
      <c r="O29" s="49" t="str">
        <v/>
      </c>
      <c r="P29" s="77" t="str">
        <v>XT8</v>
      </c>
      <c r="Q29" s="53" t="str">
        <v>ВВГнг(А)-LS (3х2,5) L=45-0,55%</v>
      </c>
      <c r="R29" s="54" t="str">
        <v>R.1.05.3</v>
      </c>
      <c r="S29" s="55" t="str">
        <v>Розеточная группа  Пом. №05</v>
      </c>
      <c r="T29" s="56">
        <v>0.36</v>
      </c>
      <c r="U29" s="56">
        <v>1.65</v>
      </c>
      <c r="V29" s="42" t="str">
        <v>L2</v>
      </c>
      <c r="W29" s="57" t="str">
        <v>ok</v>
      </c>
      <c r="X29" s="58" t="str">
        <v/>
      </c>
      <c r="Y29" s="75" t="str">
        <v/>
      </c>
      <c r="Z29" s="59">
        <v>1.65</v>
      </c>
      <c r="AA29" s="61">
        <v>6</v>
      </c>
      <c r="AB29" s="61">
        <v>25</v>
      </c>
      <c r="AC29" s="61" t="str">
        <v/>
      </c>
      <c r="AD29" s="62" t="str">
        <v>QFD8 → XT8</v>
      </c>
      <c r="AE29" s="62" t="str">
        <v/>
      </c>
      <c r="AF29" s="34">
        <v>8</v>
      </c>
      <c r="AG29" s="34" t="str">
        <v>QFD8</v>
      </c>
      <c r="AH29" s="34" t="str">
        <v/>
      </c>
      <c r="AI29" s="34" t="str">
        <v/>
      </c>
      <c r="AJ29" s="34" t="str">
        <v>QFD8</v>
      </c>
      <c r="AK29" s="34">
        <v>1</v>
      </c>
      <c r="AL29" s="34" t="str">
        <v>R</v>
      </c>
      <c r="AM29" s="34">
        <v>30</v>
      </c>
      <c r="AN29" s="34">
        <v>0</v>
      </c>
      <c r="AO29" s="34">
        <v>16</v>
      </c>
      <c r="AP29" s="34">
        <v>25</v>
      </c>
      <c r="AQ29" s="34">
        <v>16</v>
      </c>
      <c r="AR29" s="34">
        <v>1</v>
      </c>
      <c r="AS29" s="34">
        <v>1</v>
      </c>
      <c r="AT29" s="34" t="str">
        <v>2P</v>
      </c>
      <c r="AU29" s="34">
        <v>16</v>
      </c>
      <c r="AV29" s="34" t="str">
        <v/>
      </c>
      <c r="AW29" s="34" t="str">
        <v/>
      </c>
      <c r="AX29" s="34" t="str">
        <v/>
      </c>
      <c r="AY29" s="34">
        <v>1</v>
      </c>
      <c r="AZ29" s="34" t="str">
        <v/>
      </c>
      <c r="BA29" s="34">
        <v>0</v>
      </c>
      <c r="BB29" s="34">
        <v>16</v>
      </c>
      <c r="BD29" s="34">
        <v>1</v>
      </c>
      <c r="BE29" s="34">
        <v>0</v>
      </c>
      <c r="BF29" s="34">
        <v>1</v>
      </c>
      <c r="BG29" s="34" t="str">
        <v/>
      </c>
      <c r="BH29" s="34" t="str">
        <v/>
      </c>
      <c r="BI29" s="34" t="str">
        <v/>
      </c>
      <c r="BJ29" s="34" t="str">
        <v/>
      </c>
      <c r="BK29" s="34" t="str">
        <v>SOCKET</v>
      </c>
      <c r="BL29" s="34">
        <v>1</v>
      </c>
      <c r="BM29" s="34" t="str">
        <v/>
      </c>
      <c r="BN29" s="34" t="str">
        <v/>
      </c>
      <c r="BO29" s="34" t="str">
        <v/>
      </c>
      <c r="BP29" s="34" t="str">
        <v/>
      </c>
      <c r="BQ29" s="34" t="str">
        <v>3х2,5</v>
      </c>
      <c r="BR29" s="34" t="str">
        <v/>
      </c>
      <c r="BS29" s="34" t="str">
        <v/>
      </c>
      <c r="BT29" s="34" t="str">
        <v/>
      </c>
      <c r="BU29" s="34">
        <v>0</v>
      </c>
      <c r="BV29" s="34">
        <v>9</v>
      </c>
      <c r="BW29" s="34">
        <v>1</v>
      </c>
      <c r="BX29" s="34">
        <v>0</v>
      </c>
      <c r="BY29" s="34" t="str">
        <v>Розетка</v>
      </c>
      <c r="BZ29">
        <v>1</v>
      </c>
      <c r="CA29" t="str">
        <v>линии</v>
      </c>
    </row>
    <row r="30" spans="1:79" x14ac:dyDescent="0.3">
      <c r="A30" s="39" t="str">
        <v>ЩР</v>
      </c>
      <c r="B30" s="42">
        <v>28</v>
      </c>
      <c r="C30" s="42">
        <v>2</v>
      </c>
      <c r="D30" s="75" t="str">
        <v/>
      </c>
      <c r="E30" s="75" t="str">
        <v>авто</v>
      </c>
      <c r="F30" s="76" t="str">
        <v/>
      </c>
      <c r="G30" s="47" t="str">
        <v>QFD9</v>
      </c>
      <c r="H30" s="47" t="str">
        <v>2P С16А 30мА</v>
      </c>
      <c r="I30" s="75" t="str">
        <v/>
      </c>
      <c r="J30" s="76" t="str">
        <v/>
      </c>
      <c r="K30" s="76" t="str">
        <v/>
      </c>
      <c r="L30" s="75" t="str">
        <v/>
      </c>
      <c r="M30" s="49" t="str">
        <v/>
      </c>
      <c r="N30" s="76" t="str">
        <v/>
      </c>
      <c r="O30" s="49" t="str">
        <v/>
      </c>
      <c r="P30" s="77" t="str">
        <v>XT9</v>
      </c>
      <c r="Q30" s="53" t="str">
        <v>ВВГнг(А)-LS (3х2,5) L=18-0,04%</v>
      </c>
      <c r="R30" s="54" t="str">
        <v>R.1.05.4</v>
      </c>
      <c r="S30" s="55" t="str">
        <v>Розеточная группа  Пом. №05 Варочная поверхность</v>
      </c>
      <c r="T30" s="56">
        <v>0.06</v>
      </c>
      <c r="U30" s="56">
        <v>0.28000000000000003</v>
      </c>
      <c r="V30" s="42" t="str">
        <v>L3</v>
      </c>
      <c r="W30" s="57" t="str">
        <v>ok</v>
      </c>
      <c r="X30" s="58" t="str">
        <v/>
      </c>
      <c r="Y30" s="75" t="str">
        <v/>
      </c>
      <c r="Z30" s="59">
        <v>0.28000000000000003</v>
      </c>
      <c r="AA30" s="61">
        <v>6</v>
      </c>
      <c r="AB30" s="61">
        <v>25</v>
      </c>
      <c r="AC30" s="61" t="str">
        <v/>
      </c>
      <c r="AD30" s="62" t="str">
        <v>QFD9 → XT9</v>
      </c>
      <c r="AE30" s="62" t="str">
        <v/>
      </c>
      <c r="AF30" s="34">
        <v>9</v>
      </c>
      <c r="AG30" s="34" t="str">
        <v>QFD9</v>
      </c>
      <c r="AH30" s="34" t="str">
        <v/>
      </c>
      <c r="AI30" s="34" t="str">
        <v/>
      </c>
      <c r="AJ30" s="34" t="str">
        <v>QFD9</v>
      </c>
      <c r="AK30" s="34">
        <v>1</v>
      </c>
      <c r="AL30" s="34" t="str">
        <v>R</v>
      </c>
      <c r="AM30" s="34">
        <v>30</v>
      </c>
      <c r="AN30" s="34">
        <v>0</v>
      </c>
      <c r="AO30" s="34">
        <v>16</v>
      </c>
      <c r="AP30" s="34">
        <v>25</v>
      </c>
      <c r="AQ30" s="34">
        <v>16</v>
      </c>
      <c r="AR30" s="34">
        <v>1</v>
      </c>
      <c r="AS30" s="34">
        <v>1</v>
      </c>
      <c r="AT30" s="34" t="str">
        <v>2P</v>
      </c>
      <c r="AU30" s="34">
        <v>16</v>
      </c>
      <c r="AV30" s="34" t="str">
        <v/>
      </c>
      <c r="AW30" s="34" t="str">
        <v/>
      </c>
      <c r="AX30" s="34" t="str">
        <v/>
      </c>
      <c r="AY30" s="34">
        <v>1</v>
      </c>
      <c r="AZ30" s="34" t="str">
        <v/>
      </c>
      <c r="BA30" s="34">
        <v>0</v>
      </c>
      <c r="BB30" s="34">
        <v>16</v>
      </c>
      <c r="BD30" s="34">
        <v>1</v>
      </c>
      <c r="BE30" s="34">
        <v>0</v>
      </c>
      <c r="BF30" s="34">
        <v>1</v>
      </c>
      <c r="BG30" s="34" t="str">
        <v/>
      </c>
      <c r="BH30" s="34" t="str">
        <v/>
      </c>
      <c r="BI30" s="34" t="str">
        <v/>
      </c>
      <c r="BJ30" s="34" t="str">
        <v/>
      </c>
      <c r="BK30" s="34" t="str">
        <v>SOCKET</v>
      </c>
      <c r="BL30" s="34">
        <v>1</v>
      </c>
      <c r="BM30" s="34" t="str">
        <v/>
      </c>
      <c r="BN30" s="34" t="str">
        <v/>
      </c>
      <c r="BO30" s="34" t="str">
        <v/>
      </c>
      <c r="BP30" s="34" t="str">
        <v/>
      </c>
      <c r="BQ30" s="34" t="str">
        <v>3х2,5</v>
      </c>
      <c r="BR30" s="34" t="str">
        <v/>
      </c>
      <c r="BS30" s="34" t="str">
        <v/>
      </c>
      <c r="BT30" s="34" t="str">
        <v/>
      </c>
      <c r="BU30" s="34">
        <v>0</v>
      </c>
      <c r="BV30" s="34">
        <v>10</v>
      </c>
      <c r="BW30" s="34">
        <v>1</v>
      </c>
      <c r="BX30" s="34">
        <v>0</v>
      </c>
      <c r="BY30" s="34" t="str">
        <v>Розетка</v>
      </c>
      <c r="BZ30">
        <v>1</v>
      </c>
      <c r="CA30" t="str">
        <v>линии</v>
      </c>
    </row>
    <row r="31" spans="1:79" x14ac:dyDescent="0.3">
      <c r="A31" s="39" t="str">
        <v>ЩР</v>
      </c>
      <c r="B31" s="42">
        <v>29</v>
      </c>
      <c r="C31" s="42">
        <v>2</v>
      </c>
      <c r="D31" s="75" t="str">
        <v/>
      </c>
      <c r="E31" s="75" t="str">
        <v>авто</v>
      </c>
      <c r="F31" s="76" t="str">
        <v/>
      </c>
      <c r="G31" s="47" t="str">
        <v>QFD10</v>
      </c>
      <c r="H31" s="47" t="str">
        <v>2P С16А 30мА</v>
      </c>
      <c r="I31" s="75" t="str">
        <v/>
      </c>
      <c r="J31" s="76" t="str">
        <v/>
      </c>
      <c r="K31" s="76" t="str">
        <v/>
      </c>
      <c r="L31" s="75" t="str">
        <v/>
      </c>
      <c r="M31" s="49" t="str">
        <v/>
      </c>
      <c r="N31" s="76" t="str">
        <v/>
      </c>
      <c r="O31" s="49" t="str">
        <v/>
      </c>
      <c r="P31" s="77" t="str">
        <v>XT10</v>
      </c>
      <c r="Q31" s="53" t="str">
        <v>ВВГнг(А)-LS (3х2,5) L=18-0,04%</v>
      </c>
      <c r="R31" s="54" t="str">
        <v>R.1.05.5</v>
      </c>
      <c r="S31" s="55" t="str">
        <v>Розеточная группа  Пом. №05 Вытяжка</v>
      </c>
      <c r="T31" s="56">
        <v>0.06</v>
      </c>
      <c r="U31" s="56">
        <v>0.28000000000000003</v>
      </c>
      <c r="V31" s="42" t="str">
        <v>L1</v>
      </c>
      <c r="W31" s="57" t="str">
        <v>ok</v>
      </c>
      <c r="X31" s="58" t="str">
        <v/>
      </c>
      <c r="Y31" s="75" t="str">
        <v/>
      </c>
      <c r="Z31" s="59">
        <v>0.28000000000000003</v>
      </c>
      <c r="AA31" s="61">
        <v>6</v>
      </c>
      <c r="AB31" s="61">
        <v>25</v>
      </c>
      <c r="AC31" s="61" t="str">
        <v/>
      </c>
      <c r="AD31" s="62" t="str">
        <v>QFD10 → XT10</v>
      </c>
      <c r="AE31" s="62" t="str">
        <v/>
      </c>
      <c r="AF31" s="34">
        <v>10</v>
      </c>
      <c r="AG31" s="34" t="str">
        <v>QFD10</v>
      </c>
      <c r="AH31" s="34" t="str">
        <v/>
      </c>
      <c r="AI31" s="34" t="str">
        <v/>
      </c>
      <c r="AJ31" s="34" t="str">
        <v>QFD10</v>
      </c>
      <c r="AK31" s="34">
        <v>1</v>
      </c>
      <c r="AL31" s="34" t="str">
        <v>R</v>
      </c>
      <c r="AM31" s="34">
        <v>30</v>
      </c>
      <c r="AN31" s="34">
        <v>0</v>
      </c>
      <c r="AO31" s="34">
        <v>16</v>
      </c>
      <c r="AP31" s="34">
        <v>25</v>
      </c>
      <c r="AQ31" s="34">
        <v>16</v>
      </c>
      <c r="AR31" s="34">
        <v>1</v>
      </c>
      <c r="AS31" s="34">
        <v>1</v>
      </c>
      <c r="AT31" s="34" t="str">
        <v>2P</v>
      </c>
      <c r="AU31" s="34">
        <v>16</v>
      </c>
      <c r="AV31" s="34" t="str">
        <v/>
      </c>
      <c r="AW31" s="34" t="str">
        <v/>
      </c>
      <c r="AX31" s="34" t="str">
        <v/>
      </c>
      <c r="AY31" s="34">
        <v>1</v>
      </c>
      <c r="AZ31" s="34" t="str">
        <v/>
      </c>
      <c r="BA31" s="34">
        <v>0</v>
      </c>
      <c r="BB31" s="34">
        <v>16</v>
      </c>
      <c r="BD31" s="34">
        <v>1</v>
      </c>
      <c r="BE31" s="34">
        <v>0</v>
      </c>
      <c r="BF31" s="34">
        <v>1</v>
      </c>
      <c r="BG31" s="34" t="str">
        <v/>
      </c>
      <c r="BH31" s="34" t="str">
        <v/>
      </c>
      <c r="BI31" s="34" t="str">
        <v/>
      </c>
      <c r="BJ31" s="34" t="str">
        <v/>
      </c>
      <c r="BK31" s="34" t="str">
        <v>SOCKET</v>
      </c>
      <c r="BL31" s="34">
        <v>1</v>
      </c>
      <c r="BM31" s="34" t="str">
        <v/>
      </c>
      <c r="BN31" s="34" t="str">
        <v/>
      </c>
      <c r="BO31" s="34" t="str">
        <v/>
      </c>
      <c r="BP31" s="34" t="str">
        <v/>
      </c>
      <c r="BQ31" s="34" t="str">
        <v>3х2,5</v>
      </c>
      <c r="BR31" s="34" t="str">
        <v/>
      </c>
      <c r="BS31" s="34" t="str">
        <v/>
      </c>
      <c r="BT31" s="34" t="str">
        <v/>
      </c>
      <c r="BU31" s="34">
        <v>0</v>
      </c>
      <c r="BV31" s="34">
        <v>11</v>
      </c>
      <c r="BW31" s="34">
        <v>1</v>
      </c>
      <c r="BX31" s="34">
        <v>0</v>
      </c>
      <c r="BY31" s="34" t="str">
        <v>Розетка</v>
      </c>
      <c r="BZ31">
        <v>1</v>
      </c>
      <c r="CA31" t="str">
        <v>линии</v>
      </c>
    </row>
    <row r="32" spans="1:79" x14ac:dyDescent="0.3">
      <c r="A32" s="39" t="str">
        <v>ЩР</v>
      </c>
      <c r="B32" s="42">
        <v>30</v>
      </c>
      <c r="C32" s="42">
        <v>2</v>
      </c>
      <c r="D32" s="75" t="str">
        <v/>
      </c>
      <c r="E32" s="75" t="str">
        <v>авто</v>
      </c>
      <c r="F32" s="76" t="str">
        <v/>
      </c>
      <c r="G32" s="47" t="str">
        <v>QFD11</v>
      </c>
      <c r="H32" s="47" t="str">
        <v>2P С16А 30мА</v>
      </c>
      <c r="I32" s="75" t="str">
        <v/>
      </c>
      <c r="J32" s="76" t="str">
        <v/>
      </c>
      <c r="K32" s="76" t="str">
        <v/>
      </c>
      <c r="L32" s="75" t="str">
        <v/>
      </c>
      <c r="M32" s="49" t="str">
        <v/>
      </c>
      <c r="N32" s="76" t="str">
        <v/>
      </c>
      <c r="O32" s="49" t="str">
        <v/>
      </c>
      <c r="P32" s="77" t="str">
        <v>XT11</v>
      </c>
      <c r="Q32" s="53" t="str">
        <v>ВВГнг(А)-LS (3х2,5) L=21-0,09%</v>
      </c>
      <c r="R32" s="54" t="str">
        <v>R.1.05.6</v>
      </c>
      <c r="S32" s="55" t="str">
        <v>Розеточная группа  Пом. №05 ПММ, измельчитель</v>
      </c>
      <c r="T32" s="56">
        <v>0.12</v>
      </c>
      <c r="U32" s="56">
        <v>0.55000000000000004</v>
      </c>
      <c r="V32" s="42" t="str">
        <v>L2</v>
      </c>
      <c r="W32" s="57" t="str">
        <v>ok</v>
      </c>
      <c r="X32" s="58" t="str">
        <v/>
      </c>
      <c r="Y32" s="75" t="str">
        <v/>
      </c>
      <c r="Z32" s="59">
        <v>0.55000000000000004</v>
      </c>
      <c r="AA32" s="61">
        <v>6</v>
      </c>
      <c r="AB32" s="61">
        <v>25</v>
      </c>
      <c r="AC32" s="61" t="str">
        <v/>
      </c>
      <c r="AD32" s="62" t="str">
        <v>QFD11 → XT11</v>
      </c>
      <c r="AE32" s="62" t="str">
        <v/>
      </c>
      <c r="AF32" s="34">
        <v>11</v>
      </c>
      <c r="AG32" s="34" t="str">
        <v>QFD11</v>
      </c>
      <c r="AH32" s="34" t="str">
        <v/>
      </c>
      <c r="AI32" s="34" t="str">
        <v/>
      </c>
      <c r="AJ32" s="34" t="str">
        <v>QFD11</v>
      </c>
      <c r="AK32" s="34">
        <v>1</v>
      </c>
      <c r="AL32" s="34" t="str">
        <v>R</v>
      </c>
      <c r="AM32" s="34">
        <v>30</v>
      </c>
      <c r="AN32" s="34">
        <v>0</v>
      </c>
      <c r="AO32" s="34">
        <v>16</v>
      </c>
      <c r="AP32" s="34">
        <v>25</v>
      </c>
      <c r="AQ32" s="34">
        <v>16</v>
      </c>
      <c r="AR32" s="34">
        <v>1</v>
      </c>
      <c r="AS32" s="34">
        <v>1</v>
      </c>
      <c r="AT32" s="34" t="str">
        <v>2P</v>
      </c>
      <c r="AU32" s="34">
        <v>16</v>
      </c>
      <c r="AV32" s="34" t="str">
        <v/>
      </c>
      <c r="AW32" s="34" t="str">
        <v/>
      </c>
      <c r="AX32" s="34" t="str">
        <v/>
      </c>
      <c r="AY32" s="34">
        <v>1</v>
      </c>
      <c r="AZ32" s="34" t="str">
        <v/>
      </c>
      <c r="BA32" s="34">
        <v>0</v>
      </c>
      <c r="BB32" s="34">
        <v>16</v>
      </c>
      <c r="BD32" s="34">
        <v>1</v>
      </c>
      <c r="BE32" s="34">
        <v>0</v>
      </c>
      <c r="BF32" s="34">
        <v>1</v>
      </c>
      <c r="BG32" s="34" t="str">
        <v/>
      </c>
      <c r="BH32" s="34" t="str">
        <v/>
      </c>
      <c r="BI32" s="34" t="str">
        <v/>
      </c>
      <c r="BJ32" s="34" t="str">
        <v/>
      </c>
      <c r="BK32" s="34" t="str">
        <v>SOCKET</v>
      </c>
      <c r="BL32" s="34">
        <v>1</v>
      </c>
      <c r="BM32" s="34" t="str">
        <v/>
      </c>
      <c r="BN32" s="34" t="str">
        <v/>
      </c>
      <c r="BO32" s="34" t="str">
        <v/>
      </c>
      <c r="BP32" s="34" t="str">
        <v/>
      </c>
      <c r="BQ32" s="34" t="str">
        <v>3х2,5</v>
      </c>
      <c r="BR32" s="34" t="str">
        <v/>
      </c>
      <c r="BS32" s="34" t="str">
        <v/>
      </c>
      <c r="BT32" s="34" t="str">
        <v/>
      </c>
      <c r="BU32" s="34">
        <v>0</v>
      </c>
      <c r="BV32" s="34">
        <v>12</v>
      </c>
      <c r="BW32" s="34">
        <v>1</v>
      </c>
      <c r="BX32" s="34">
        <v>0</v>
      </c>
      <c r="BY32" s="34" t="str">
        <v>Розетка</v>
      </c>
      <c r="BZ32">
        <v>1</v>
      </c>
      <c r="CA32" t="str">
        <v>линии</v>
      </c>
    </row>
    <row r="33" spans="1:79" x14ac:dyDescent="0.3">
      <c r="A33" s="39" t="str">
        <v>ЩР</v>
      </c>
      <c r="B33" s="42">
        <v>31</v>
      </c>
      <c r="C33" s="42">
        <v>2</v>
      </c>
      <c r="D33" s="75" t="str">
        <v/>
      </c>
      <c r="E33" s="75" t="str">
        <v>авто</v>
      </c>
      <c r="F33" s="76" t="str">
        <v/>
      </c>
      <c r="G33" s="47" t="str">
        <v>QFD12</v>
      </c>
      <c r="H33" s="47" t="str">
        <v>2P С16А 30мА</v>
      </c>
      <c r="I33" s="75" t="str">
        <v/>
      </c>
      <c r="J33" s="76" t="str">
        <v/>
      </c>
      <c r="K33" s="76" t="str">
        <v/>
      </c>
      <c r="L33" s="75" t="str">
        <v/>
      </c>
      <c r="M33" s="49" t="str">
        <v/>
      </c>
      <c r="N33" s="76" t="str">
        <v/>
      </c>
      <c r="O33" s="49" t="str">
        <v/>
      </c>
      <c r="P33" s="77" t="str">
        <v>XT12</v>
      </c>
      <c r="Q33" s="53" t="str">
        <v>ВВГнг(А)-LS (3х2,5) L=21-0,09%</v>
      </c>
      <c r="R33" s="54" t="str">
        <v>R.1.05.7</v>
      </c>
      <c r="S33" s="55" t="str">
        <v>Розеточная группа  Пом. №05 Холодильник</v>
      </c>
      <c r="T33" s="56">
        <v>0.12</v>
      </c>
      <c r="U33" s="56">
        <v>0.55000000000000004</v>
      </c>
      <c r="V33" s="42" t="str">
        <v>L3</v>
      </c>
      <c r="W33" s="57" t="str">
        <v>ok</v>
      </c>
      <c r="X33" s="58" t="str">
        <v/>
      </c>
      <c r="Y33" s="75" t="str">
        <v/>
      </c>
      <c r="Z33" s="59">
        <v>0.55000000000000004</v>
      </c>
      <c r="AA33" s="61">
        <v>6</v>
      </c>
      <c r="AB33" s="61">
        <v>25</v>
      </c>
      <c r="AC33" s="61" t="str">
        <v/>
      </c>
      <c r="AD33" s="62" t="str">
        <v>QFD12 → XT12</v>
      </c>
      <c r="AE33" s="62" t="str">
        <v/>
      </c>
      <c r="AF33" s="34">
        <v>12</v>
      </c>
      <c r="AG33" s="34" t="str">
        <v>QFD12</v>
      </c>
      <c r="AH33" s="34" t="str">
        <v/>
      </c>
      <c r="AI33" s="34" t="str">
        <v/>
      </c>
      <c r="AJ33" s="34" t="str">
        <v>QFD12</v>
      </c>
      <c r="AK33" s="34">
        <v>1</v>
      </c>
      <c r="AL33" s="34" t="str">
        <v>R</v>
      </c>
      <c r="AM33" s="34">
        <v>30</v>
      </c>
      <c r="AN33" s="34">
        <v>0</v>
      </c>
      <c r="AO33" s="34">
        <v>16</v>
      </c>
      <c r="AP33" s="34">
        <v>25</v>
      </c>
      <c r="AQ33" s="34">
        <v>16</v>
      </c>
      <c r="AR33" s="34">
        <v>1</v>
      </c>
      <c r="AS33" s="34">
        <v>1</v>
      </c>
      <c r="AT33" s="34" t="str">
        <v>2P</v>
      </c>
      <c r="AU33" s="34">
        <v>16</v>
      </c>
      <c r="AV33" s="34" t="str">
        <v/>
      </c>
      <c r="AW33" s="34" t="str">
        <v/>
      </c>
      <c r="AX33" s="34" t="str">
        <v/>
      </c>
      <c r="AY33" s="34">
        <v>1</v>
      </c>
      <c r="AZ33" s="34" t="str">
        <v/>
      </c>
      <c r="BA33" s="34">
        <v>0</v>
      </c>
      <c r="BB33" s="34">
        <v>16</v>
      </c>
      <c r="BD33" s="34">
        <v>1</v>
      </c>
      <c r="BE33" s="34">
        <v>0</v>
      </c>
      <c r="BF33" s="34">
        <v>1</v>
      </c>
      <c r="BG33" s="34" t="str">
        <v/>
      </c>
      <c r="BH33" s="34" t="str">
        <v/>
      </c>
      <c r="BI33" s="34" t="str">
        <v/>
      </c>
      <c r="BJ33" s="34" t="str">
        <v/>
      </c>
      <c r="BK33" s="34" t="str">
        <v>SOCKET</v>
      </c>
      <c r="BL33" s="34">
        <v>1</v>
      </c>
      <c r="BM33" s="34" t="str">
        <v/>
      </c>
      <c r="BN33" s="34" t="str">
        <v/>
      </c>
      <c r="BO33" s="34" t="str">
        <v/>
      </c>
      <c r="BP33" s="34" t="str">
        <v/>
      </c>
      <c r="BQ33" s="34" t="str">
        <v>3х2,5</v>
      </c>
      <c r="BR33" s="34" t="str">
        <v/>
      </c>
      <c r="BS33" s="34" t="str">
        <v/>
      </c>
      <c r="BT33" s="34" t="str">
        <v/>
      </c>
      <c r="BU33" s="34">
        <v>0</v>
      </c>
      <c r="BV33" s="34">
        <v>13</v>
      </c>
      <c r="BW33" s="34">
        <v>1</v>
      </c>
      <c r="BX33" s="34">
        <v>0</v>
      </c>
      <c r="BY33" s="34" t="str">
        <v>Розетка</v>
      </c>
      <c r="BZ33">
        <v>1</v>
      </c>
      <c r="CA33" t="str">
        <v>линии</v>
      </c>
    </row>
    <row r="34" spans="1:79" x14ac:dyDescent="0.3">
      <c r="A34" s="39" t="str">
        <v>ЩР</v>
      </c>
      <c r="B34" s="42">
        <v>32</v>
      </c>
      <c r="C34" s="42">
        <v>2</v>
      </c>
      <c r="D34" s="75" t="str">
        <v/>
      </c>
      <c r="E34" s="75" t="str">
        <v>авто</v>
      </c>
      <c r="F34" s="76" t="str">
        <v/>
      </c>
      <c r="G34" s="47" t="str">
        <v>QFD13</v>
      </c>
      <c r="H34" s="47" t="str">
        <v>2P С16А 30мА</v>
      </c>
      <c r="I34" s="75" t="str">
        <v/>
      </c>
      <c r="J34" s="76" t="str">
        <v/>
      </c>
      <c r="K34" s="76" t="str">
        <v/>
      </c>
      <c r="L34" s="75" t="str">
        <v/>
      </c>
      <c r="M34" s="49" t="str">
        <v/>
      </c>
      <c r="N34" s="76" t="str">
        <v/>
      </c>
      <c r="O34" s="49" t="str">
        <v/>
      </c>
      <c r="P34" s="77" t="str">
        <v>XT13</v>
      </c>
      <c r="Q34" s="53" t="str">
        <v>ВВГнг(А)-LS (3х2,5) L=16-0,04%</v>
      </c>
      <c r="R34" s="54" t="str">
        <v>R.1.05.8</v>
      </c>
      <c r="S34" s="55" t="str">
        <v>Розеточная группа  Пом. №05 СВЧ</v>
      </c>
      <c r="T34" s="56">
        <v>0.06</v>
      </c>
      <c r="U34" s="56">
        <v>0.28000000000000003</v>
      </c>
      <c r="V34" s="42" t="str">
        <v>L1</v>
      </c>
      <c r="W34" s="57" t="str">
        <v>ok</v>
      </c>
      <c r="X34" s="58" t="str">
        <v/>
      </c>
      <c r="Y34" s="75" t="str">
        <v/>
      </c>
      <c r="Z34" s="59">
        <v>0.28000000000000003</v>
      </c>
      <c r="AA34" s="61">
        <v>6</v>
      </c>
      <c r="AB34" s="61">
        <v>25</v>
      </c>
      <c r="AC34" s="61" t="str">
        <v/>
      </c>
      <c r="AD34" s="62" t="str">
        <v>QFD13 → XT13</v>
      </c>
      <c r="AE34" s="62" t="str">
        <v/>
      </c>
      <c r="AF34" s="34">
        <v>13</v>
      </c>
      <c r="AG34" s="34" t="str">
        <v>QFD13</v>
      </c>
      <c r="AH34" s="34" t="str">
        <v/>
      </c>
      <c r="AI34" s="34" t="str">
        <v/>
      </c>
      <c r="AJ34" s="34" t="str">
        <v>QFD13</v>
      </c>
      <c r="AK34" s="34">
        <v>1</v>
      </c>
      <c r="AL34" s="34" t="str">
        <v>R</v>
      </c>
      <c r="AM34" s="34">
        <v>30</v>
      </c>
      <c r="AN34" s="34">
        <v>0</v>
      </c>
      <c r="AO34" s="34">
        <v>16</v>
      </c>
      <c r="AP34" s="34">
        <v>25</v>
      </c>
      <c r="AQ34" s="34">
        <v>16</v>
      </c>
      <c r="AR34" s="34">
        <v>1</v>
      </c>
      <c r="AS34" s="34">
        <v>1</v>
      </c>
      <c r="AT34" s="34" t="str">
        <v>2P</v>
      </c>
      <c r="AU34" s="34">
        <v>16</v>
      </c>
      <c r="AV34" s="34" t="str">
        <v/>
      </c>
      <c r="AW34" s="34" t="str">
        <v/>
      </c>
      <c r="AX34" s="34" t="str">
        <v/>
      </c>
      <c r="AY34" s="34">
        <v>1</v>
      </c>
      <c r="AZ34" s="34" t="str">
        <v/>
      </c>
      <c r="BA34" s="34">
        <v>0</v>
      </c>
      <c r="BB34" s="34">
        <v>16</v>
      </c>
      <c r="BD34" s="34">
        <v>1</v>
      </c>
      <c r="BE34" s="34">
        <v>0</v>
      </c>
      <c r="BF34" s="34">
        <v>1</v>
      </c>
      <c r="BG34" s="34" t="str">
        <v/>
      </c>
      <c r="BH34" s="34" t="str">
        <v/>
      </c>
      <c r="BI34" s="34" t="str">
        <v/>
      </c>
      <c r="BJ34" s="34" t="str">
        <v/>
      </c>
      <c r="BK34" s="34" t="str">
        <v>SOCKET</v>
      </c>
      <c r="BL34" s="34">
        <v>1</v>
      </c>
      <c r="BM34" s="34" t="str">
        <v/>
      </c>
      <c r="BN34" s="34" t="str">
        <v/>
      </c>
      <c r="BO34" s="34" t="str">
        <v/>
      </c>
      <c r="BP34" s="34" t="str">
        <v/>
      </c>
      <c r="BQ34" s="34" t="str">
        <v>3х2,5</v>
      </c>
      <c r="BR34" s="34" t="str">
        <v/>
      </c>
      <c r="BS34" s="34" t="str">
        <v/>
      </c>
      <c r="BT34" s="34" t="str">
        <v/>
      </c>
      <c r="BU34" s="34">
        <v>0</v>
      </c>
      <c r="BV34" s="34">
        <v>14</v>
      </c>
      <c r="BW34" s="34">
        <v>1</v>
      </c>
      <c r="BX34" s="34">
        <v>0</v>
      </c>
      <c r="BY34" s="34" t="str">
        <v>Розетка</v>
      </c>
      <c r="BZ34">
        <v>1</v>
      </c>
      <c r="CA34" t="str">
        <v>линии</v>
      </c>
    </row>
    <row r="35" spans="1:79" x14ac:dyDescent="0.3">
      <c r="A35" s="39" t="str">
        <v>ЩР</v>
      </c>
      <c r="B35" s="42">
        <v>33</v>
      </c>
      <c r="C35" s="42">
        <v>2</v>
      </c>
      <c r="D35" s="75" t="str">
        <v/>
      </c>
      <c r="E35" s="75" t="str">
        <v>авто</v>
      </c>
      <c r="F35" s="76" t="str">
        <v/>
      </c>
      <c r="G35" s="47" t="str">
        <v>QFD14</v>
      </c>
      <c r="H35" s="47" t="str">
        <v>2P С16А 30мА</v>
      </c>
      <c r="I35" s="75" t="str">
        <v/>
      </c>
      <c r="J35" s="76" t="str">
        <v/>
      </c>
      <c r="K35" s="76" t="str">
        <v/>
      </c>
      <c r="L35" s="75" t="str">
        <v/>
      </c>
      <c r="M35" s="49" t="str">
        <v/>
      </c>
      <c r="N35" s="76" t="str">
        <v/>
      </c>
      <c r="O35" s="49" t="str">
        <v/>
      </c>
      <c r="P35" s="77" t="str">
        <v>XT14</v>
      </c>
      <c r="Q35" s="53" t="str">
        <v>ВВГнг(А)-LS (3х2,5) L=15-0,04%</v>
      </c>
      <c r="R35" s="54" t="str">
        <v>R.1.05.9</v>
      </c>
      <c r="S35" s="55" t="str">
        <v>Розеточная группа  Пом. №05 Духовой шкаф</v>
      </c>
      <c r="T35" s="56">
        <v>0.06</v>
      </c>
      <c r="U35" s="56">
        <v>0.28000000000000003</v>
      </c>
      <c r="V35" s="42" t="str">
        <v>L2</v>
      </c>
      <c r="W35" s="57" t="str">
        <v>ok</v>
      </c>
      <c r="X35" s="58" t="str">
        <v/>
      </c>
      <c r="Y35" s="75" t="str">
        <v/>
      </c>
      <c r="Z35" s="59">
        <v>0.28000000000000003</v>
      </c>
      <c r="AA35" s="61">
        <v>6</v>
      </c>
      <c r="AB35" s="61">
        <v>25</v>
      </c>
      <c r="AC35" s="61" t="str">
        <v/>
      </c>
      <c r="AD35" s="62" t="str">
        <v>QFD14 → XT14</v>
      </c>
      <c r="AE35" s="62" t="str">
        <v/>
      </c>
      <c r="AF35" s="34">
        <v>14</v>
      </c>
      <c r="AG35" s="34" t="str">
        <v>QFD14</v>
      </c>
      <c r="AH35" s="34" t="str">
        <v/>
      </c>
      <c r="AI35" s="34" t="str">
        <v/>
      </c>
      <c r="AJ35" s="34" t="str">
        <v>QFD14</v>
      </c>
      <c r="AK35" s="34">
        <v>1</v>
      </c>
      <c r="AL35" s="34" t="str">
        <v>R</v>
      </c>
      <c r="AM35" s="34">
        <v>30</v>
      </c>
      <c r="AN35" s="34">
        <v>0</v>
      </c>
      <c r="AO35" s="34">
        <v>16</v>
      </c>
      <c r="AP35" s="34">
        <v>25</v>
      </c>
      <c r="AQ35" s="34">
        <v>16</v>
      </c>
      <c r="AR35" s="34">
        <v>1</v>
      </c>
      <c r="AS35" s="34">
        <v>1</v>
      </c>
      <c r="AT35" s="34" t="str">
        <v>2P</v>
      </c>
      <c r="AU35" s="34">
        <v>16</v>
      </c>
      <c r="AV35" s="34" t="str">
        <v/>
      </c>
      <c r="AW35" s="34" t="str">
        <v/>
      </c>
      <c r="AX35" s="34" t="str">
        <v/>
      </c>
      <c r="AY35" s="34">
        <v>1</v>
      </c>
      <c r="AZ35" s="34" t="str">
        <v/>
      </c>
      <c r="BA35" s="34">
        <v>0</v>
      </c>
      <c r="BB35" s="34">
        <v>16</v>
      </c>
      <c r="BD35" s="34">
        <v>1</v>
      </c>
      <c r="BE35" s="34">
        <v>0</v>
      </c>
      <c r="BF35" s="34">
        <v>1</v>
      </c>
      <c r="BG35" s="34" t="str">
        <v/>
      </c>
      <c r="BH35" s="34" t="str">
        <v/>
      </c>
      <c r="BI35" s="34" t="str">
        <v/>
      </c>
      <c r="BJ35" s="34" t="str">
        <v/>
      </c>
      <c r="BK35" s="34" t="str">
        <v>SOCKET</v>
      </c>
      <c r="BL35" s="34">
        <v>1</v>
      </c>
      <c r="BM35" s="34" t="str">
        <v/>
      </c>
      <c r="BN35" s="34" t="str">
        <v/>
      </c>
      <c r="BO35" s="34" t="str">
        <v/>
      </c>
      <c r="BP35" s="34" t="str">
        <v/>
      </c>
      <c r="BQ35" s="34" t="str">
        <v>3х2,5</v>
      </c>
      <c r="BR35" s="34" t="str">
        <v/>
      </c>
      <c r="BS35" s="34" t="str">
        <v/>
      </c>
      <c r="BT35" s="34" t="str">
        <v/>
      </c>
      <c r="BU35" s="34">
        <v>0</v>
      </c>
      <c r="BV35" s="34">
        <v>15</v>
      </c>
      <c r="BW35" s="34">
        <v>1</v>
      </c>
      <c r="BX35" s="34">
        <v>0</v>
      </c>
      <c r="BY35" s="34" t="str">
        <v>Розетка</v>
      </c>
      <c r="BZ35">
        <v>1</v>
      </c>
      <c r="CA35" t="str">
        <v>линии</v>
      </c>
    </row>
    <row r="36" spans="1:79" x14ac:dyDescent="0.3">
      <c r="A36" s="39" t="str">
        <v>ЩР</v>
      </c>
      <c r="B36" s="42">
        <v>36</v>
      </c>
      <c r="C36" s="42">
        <v>3</v>
      </c>
      <c r="D36" s="75" t="str">
        <v/>
      </c>
      <c r="E36" s="75" t="str">
        <v>авто</v>
      </c>
      <c r="F36" s="76" t="str">
        <v/>
      </c>
      <c r="G36" s="47" t="str">
        <v>QFD15</v>
      </c>
      <c r="H36" s="47" t="str">
        <v>2P С16А 30мА</v>
      </c>
      <c r="I36" s="75" t="str">
        <v/>
      </c>
      <c r="J36" s="76" t="str">
        <v/>
      </c>
      <c r="K36" s="76" t="str">
        <v/>
      </c>
      <c r="L36" s="75" t="str">
        <v/>
      </c>
      <c r="M36" s="49" t="str">
        <v/>
      </c>
      <c r="N36" s="76" t="str">
        <v/>
      </c>
      <c r="O36" s="49" t="str">
        <v/>
      </c>
      <c r="P36" s="77" t="str">
        <v>XT16</v>
      </c>
      <c r="Q36" s="53" t="str">
        <v>ВВГнг(А)-LS (3х2,5) L=16-0,07%</v>
      </c>
      <c r="R36" s="54" t="str">
        <v>R.1.05.10</v>
      </c>
      <c r="S36" s="55" t="str">
        <v>Розеточная группа  Пом. №05</v>
      </c>
      <c r="T36" s="56">
        <v>0.12</v>
      </c>
      <c r="U36" s="56">
        <v>0.55000000000000004</v>
      </c>
      <c r="V36" s="42" t="str">
        <v>L2</v>
      </c>
      <c r="W36" s="57" t="str">
        <v>ok</v>
      </c>
      <c r="X36" s="58" t="str">
        <v/>
      </c>
      <c r="Y36" s="75" t="str">
        <v/>
      </c>
      <c r="Z36" s="59">
        <v>0.55000000000000004</v>
      </c>
      <c r="AA36" s="61">
        <v>6</v>
      </c>
      <c r="AB36" s="61">
        <v>25</v>
      </c>
      <c r="AC36" s="61" t="str">
        <v/>
      </c>
      <c r="AD36" s="62" t="str">
        <v>QFD15 → XT16</v>
      </c>
      <c r="AE36" s="62" t="str">
        <v>дубль клеммы XT16</v>
      </c>
      <c r="AF36" s="34">
        <v>15</v>
      </c>
      <c r="AG36" s="34" t="str">
        <v>QFD15</v>
      </c>
      <c r="AH36" s="34" t="str">
        <v/>
      </c>
      <c r="AI36" s="34" t="str">
        <v/>
      </c>
      <c r="AJ36" s="34" t="str">
        <v>QFD15</v>
      </c>
      <c r="AK36" s="34">
        <v>1</v>
      </c>
      <c r="AL36" s="34" t="str">
        <v>R</v>
      </c>
      <c r="AM36" s="34">
        <v>30</v>
      </c>
      <c r="AN36" s="34">
        <v>0</v>
      </c>
      <c r="AO36" s="34">
        <v>16</v>
      </c>
      <c r="AP36" s="34">
        <v>25</v>
      </c>
      <c r="AQ36" s="34">
        <v>16</v>
      </c>
      <c r="AR36" s="34">
        <v>1</v>
      </c>
      <c r="AS36" s="34">
        <v>1</v>
      </c>
      <c r="AT36" s="34" t="str">
        <v>2P</v>
      </c>
      <c r="AU36" s="34">
        <v>16</v>
      </c>
      <c r="AV36" s="34" t="str">
        <v/>
      </c>
      <c r="AW36" s="34" t="str">
        <v/>
      </c>
      <c r="AX36" s="34" t="str">
        <v/>
      </c>
      <c r="AY36" s="34">
        <v>1</v>
      </c>
      <c r="AZ36" s="34" t="str">
        <v/>
      </c>
      <c r="BA36" s="34">
        <v>0</v>
      </c>
      <c r="BB36" s="34">
        <v>16</v>
      </c>
      <c r="BD36" s="34">
        <v>1</v>
      </c>
      <c r="BE36" s="34">
        <v>0</v>
      </c>
      <c r="BF36" s="34">
        <v>1</v>
      </c>
      <c r="BG36" s="34" t="str">
        <v/>
      </c>
      <c r="BH36" s="34" t="str">
        <v/>
      </c>
      <c r="BI36" s="34" t="str">
        <v/>
      </c>
      <c r="BJ36" s="34" t="str">
        <v/>
      </c>
      <c r="BK36" s="34" t="str">
        <v>SOCKET</v>
      </c>
      <c r="BL36" s="34">
        <v>1</v>
      </c>
      <c r="BM36" s="34" t="str">
        <v/>
      </c>
      <c r="BN36" s="34" t="str">
        <v/>
      </c>
      <c r="BO36" s="34" t="str">
        <v/>
      </c>
      <c r="BP36" s="34" t="str">
        <v/>
      </c>
      <c r="BQ36" s="34" t="str">
        <v>3х2,5</v>
      </c>
      <c r="BR36" s="34" t="str">
        <v/>
      </c>
      <c r="BS36" s="34" t="str">
        <v/>
      </c>
      <c r="BT36" s="34" t="str">
        <v/>
      </c>
      <c r="BU36" s="34">
        <v>2</v>
      </c>
      <c r="BV36" s="34">
        <v>16</v>
      </c>
      <c r="BW36" s="34">
        <v>1</v>
      </c>
      <c r="BX36" s="34">
        <v>0</v>
      </c>
      <c r="BY36" s="34" t="str">
        <v>Розетка</v>
      </c>
      <c r="BZ36">
        <v>1</v>
      </c>
      <c r="CA36" t="str">
        <v>линии</v>
      </c>
    </row>
    <row r="37" spans="1:79" x14ac:dyDescent="0.3">
      <c r="A37" s="39" t="str">
        <v>ЩР</v>
      </c>
      <c r="B37" s="42">
        <v>37</v>
      </c>
      <c r="C37" s="42">
        <v>3</v>
      </c>
      <c r="D37" s="75" t="str">
        <v/>
      </c>
      <c r="E37" s="75" t="str">
        <v>авто</v>
      </c>
      <c r="F37" s="76" t="str">
        <v/>
      </c>
      <c r="G37" s="47" t="str">
        <v>QFD16</v>
      </c>
      <c r="H37" s="47" t="str">
        <v>2P С16А 30мА</v>
      </c>
      <c r="I37" s="75" t="str">
        <v/>
      </c>
      <c r="J37" s="76" t="str">
        <v/>
      </c>
      <c r="K37" s="76" t="str">
        <v/>
      </c>
      <c r="L37" s="75" t="str">
        <v/>
      </c>
      <c r="M37" s="49" t="str">
        <v/>
      </c>
      <c r="N37" s="76" t="str">
        <v/>
      </c>
      <c r="O37" s="49" t="str">
        <v/>
      </c>
      <c r="P37" s="77" t="str">
        <v>XT17</v>
      </c>
      <c r="Q37" s="53" t="str">
        <v>ВВГнг(А)-LS (3х2,5) L=15-0,04%</v>
      </c>
      <c r="R37" s="54" t="str">
        <v>R.1.05.11</v>
      </c>
      <c r="S37" s="55" t="str">
        <v>Розеточная группа  Пом. №05</v>
      </c>
      <c r="T37" s="56">
        <v>0.06</v>
      </c>
      <c r="U37" s="56">
        <v>0.28000000000000003</v>
      </c>
      <c r="V37" s="42" t="str">
        <v>L3</v>
      </c>
      <c r="W37" s="57" t="str">
        <v>ok</v>
      </c>
      <c r="X37" s="58" t="str">
        <v/>
      </c>
      <c r="Y37" s="75" t="str">
        <v/>
      </c>
      <c r="Z37" s="59">
        <v>0.28000000000000003</v>
      </c>
      <c r="AA37" s="61">
        <v>6</v>
      </c>
      <c r="AB37" s="61">
        <v>25</v>
      </c>
      <c r="AC37" s="61" t="str">
        <v/>
      </c>
      <c r="AD37" s="62" t="str">
        <v>QFD16 → XT17</v>
      </c>
      <c r="AE37" s="62" t="str">
        <v>дубль клеммы XT17</v>
      </c>
      <c r="AF37" s="34">
        <v>16</v>
      </c>
      <c r="AG37" s="34" t="str">
        <v>QFD16</v>
      </c>
      <c r="AH37" s="34" t="str">
        <v/>
      </c>
      <c r="AI37" s="34" t="str">
        <v/>
      </c>
      <c r="AJ37" s="34" t="str">
        <v>QFD16</v>
      </c>
      <c r="AK37" s="34">
        <v>1</v>
      </c>
      <c r="AL37" s="34" t="str">
        <v>R</v>
      </c>
      <c r="AM37" s="34">
        <v>30</v>
      </c>
      <c r="AN37" s="34">
        <v>0</v>
      </c>
      <c r="AO37" s="34">
        <v>16</v>
      </c>
      <c r="AP37" s="34">
        <v>25</v>
      </c>
      <c r="AQ37" s="34">
        <v>16</v>
      </c>
      <c r="AR37" s="34">
        <v>1</v>
      </c>
      <c r="AS37" s="34">
        <v>1</v>
      </c>
      <c r="AT37" s="34" t="str">
        <v>2P</v>
      </c>
      <c r="AU37" s="34">
        <v>16</v>
      </c>
      <c r="AV37" s="34" t="str">
        <v/>
      </c>
      <c r="AW37" s="34" t="str">
        <v/>
      </c>
      <c r="AX37" s="34" t="str">
        <v/>
      </c>
      <c r="AY37" s="34">
        <v>1</v>
      </c>
      <c r="AZ37" s="34" t="str">
        <v/>
      </c>
      <c r="BA37" s="34">
        <v>0</v>
      </c>
      <c r="BB37" s="34">
        <v>16</v>
      </c>
      <c r="BD37" s="34">
        <v>1</v>
      </c>
      <c r="BE37" s="34">
        <v>0</v>
      </c>
      <c r="BF37" s="34">
        <v>1</v>
      </c>
      <c r="BG37" s="34" t="str">
        <v/>
      </c>
      <c r="BH37" s="34" t="str">
        <v/>
      </c>
      <c r="BI37" s="34" t="str">
        <v/>
      </c>
      <c r="BJ37" s="34" t="str">
        <v/>
      </c>
      <c r="BK37" s="34" t="str">
        <v>SOCKET</v>
      </c>
      <c r="BL37" s="34">
        <v>1</v>
      </c>
      <c r="BM37" s="34" t="str">
        <v/>
      </c>
      <c r="BN37" s="34" t="str">
        <v/>
      </c>
      <c r="BO37" s="34" t="str">
        <v/>
      </c>
      <c r="BP37" s="34" t="str">
        <v/>
      </c>
      <c r="BQ37" s="34" t="str">
        <v>3х2,5</v>
      </c>
      <c r="BR37" s="34" t="str">
        <v/>
      </c>
      <c r="BS37" s="34" t="str">
        <v/>
      </c>
      <c r="BT37" s="34" t="str">
        <v/>
      </c>
      <c r="BU37" s="34">
        <v>2</v>
      </c>
      <c r="BV37" s="34">
        <v>17</v>
      </c>
      <c r="BW37" s="34">
        <v>1</v>
      </c>
      <c r="BX37" s="34">
        <v>0</v>
      </c>
      <c r="BY37" s="34" t="str">
        <v>Розетка</v>
      </c>
      <c r="BZ37">
        <v>1</v>
      </c>
      <c r="CA37" t="str">
        <v>линии</v>
      </c>
    </row>
    <row r="38" spans="1:79" x14ac:dyDescent="0.3">
      <c r="A38" s="39" t="str">
        <v>ЩР</v>
      </c>
      <c r="B38" s="42">
        <v>38</v>
      </c>
      <c r="C38" s="42">
        <v>3</v>
      </c>
      <c r="D38" s="75" t="str">
        <v/>
      </c>
      <c r="E38" s="75" t="str">
        <v>авто</v>
      </c>
      <c r="F38" s="76" t="str">
        <v/>
      </c>
      <c r="G38" s="47" t="str">
        <v>QFD17</v>
      </c>
      <c r="H38" s="47" t="str">
        <v>2P С16А 30мА</v>
      </c>
      <c r="I38" s="75" t="str">
        <v/>
      </c>
      <c r="J38" s="76" t="str">
        <v/>
      </c>
      <c r="K38" s="76" t="str">
        <v/>
      </c>
      <c r="L38" s="75" t="str">
        <v/>
      </c>
      <c r="M38" s="49" t="str">
        <v/>
      </c>
      <c r="N38" s="76" t="str">
        <v/>
      </c>
      <c r="O38" s="49" t="str">
        <v/>
      </c>
      <c r="P38" s="77" t="str">
        <v>XT15</v>
      </c>
      <c r="Q38" s="53" t="str">
        <v>ВВГнг(А)-LS (3х2,5) L=38-0,31%</v>
      </c>
      <c r="R38" s="54" t="str">
        <v>R.1.06.1</v>
      </c>
      <c r="S38" s="55" t="str">
        <v>Розеточная группа  Пом. №06</v>
      </c>
      <c r="T38" s="56">
        <v>0.24</v>
      </c>
      <c r="U38" s="56">
        <v>1.1000000000000001</v>
      </c>
      <c r="V38" s="42" t="str">
        <v>L1</v>
      </c>
      <c r="W38" s="57" t="str">
        <v>ok</v>
      </c>
      <c r="X38" s="58" t="str">
        <v/>
      </c>
      <c r="Y38" s="75" t="str">
        <v/>
      </c>
      <c r="Z38" s="59">
        <v>1.1000000000000001</v>
      </c>
      <c r="AA38" s="61">
        <v>6</v>
      </c>
      <c r="AB38" s="61">
        <v>25</v>
      </c>
      <c r="AC38" s="61" t="str">
        <v/>
      </c>
      <c r="AD38" s="62" t="str">
        <v>QFD17 → XT15</v>
      </c>
      <c r="AE38" s="62" t="str">
        <v/>
      </c>
      <c r="AF38" s="34">
        <v>17</v>
      </c>
      <c r="AG38" s="34" t="str">
        <v>QFD17</v>
      </c>
      <c r="AH38" s="34" t="str">
        <v/>
      </c>
      <c r="AI38" s="34" t="str">
        <v/>
      </c>
      <c r="AJ38" s="34" t="str">
        <v>QFD17</v>
      </c>
      <c r="AK38" s="34">
        <v>1</v>
      </c>
      <c r="AL38" s="34" t="str">
        <v>R</v>
      </c>
      <c r="AM38" s="34">
        <v>30</v>
      </c>
      <c r="AN38" s="34">
        <v>0</v>
      </c>
      <c r="AO38" s="34">
        <v>16</v>
      </c>
      <c r="AP38" s="34">
        <v>25</v>
      </c>
      <c r="AQ38" s="34">
        <v>16</v>
      </c>
      <c r="AR38" s="34">
        <v>1</v>
      </c>
      <c r="AS38" s="34">
        <v>1</v>
      </c>
      <c r="AT38" s="34" t="str">
        <v>2P</v>
      </c>
      <c r="AU38" s="34">
        <v>16</v>
      </c>
      <c r="AV38" s="34" t="str">
        <v/>
      </c>
      <c r="AW38" s="34" t="str">
        <v/>
      </c>
      <c r="AX38" s="34" t="str">
        <v/>
      </c>
      <c r="AY38" s="34">
        <v>1</v>
      </c>
      <c r="AZ38" s="34" t="str">
        <v/>
      </c>
      <c r="BA38" s="34">
        <v>0</v>
      </c>
      <c r="BB38" s="34">
        <v>16</v>
      </c>
      <c r="BD38" s="34">
        <v>1</v>
      </c>
      <c r="BE38" s="34">
        <v>0</v>
      </c>
      <c r="BF38" s="34">
        <v>1</v>
      </c>
      <c r="BG38" s="34" t="str">
        <v/>
      </c>
      <c r="BH38" s="34" t="str">
        <v/>
      </c>
      <c r="BI38" s="34" t="str">
        <v/>
      </c>
      <c r="BJ38" s="34" t="str">
        <v/>
      </c>
      <c r="BK38" s="34" t="str">
        <v>SOCKET</v>
      </c>
      <c r="BL38" s="34">
        <v>1</v>
      </c>
      <c r="BM38" s="34" t="str">
        <v/>
      </c>
      <c r="BN38" s="34" t="str">
        <v/>
      </c>
      <c r="BO38" s="34" t="str">
        <v/>
      </c>
      <c r="BP38" s="34" t="str">
        <v/>
      </c>
      <c r="BQ38" s="34" t="str">
        <v>3х2,5</v>
      </c>
      <c r="BR38" s="34" t="str">
        <v/>
      </c>
      <c r="BS38" s="34" t="str">
        <v/>
      </c>
      <c r="BT38" s="34" t="str">
        <v/>
      </c>
      <c r="BU38" s="34">
        <v>0</v>
      </c>
      <c r="BV38" s="34">
        <v>18</v>
      </c>
      <c r="BW38" s="34">
        <v>1</v>
      </c>
      <c r="BX38" s="34">
        <v>0</v>
      </c>
      <c r="BY38" s="34" t="str">
        <v>Розетка</v>
      </c>
      <c r="BZ38">
        <v>1</v>
      </c>
      <c r="CA38" t="str">
        <v>линии</v>
      </c>
    </row>
    <row r="39" spans="1:79" x14ac:dyDescent="0.3">
      <c r="A39" s="39" t="str">
        <v>ЩР</v>
      </c>
      <c r="B39" s="42">
        <v>39</v>
      </c>
      <c r="C39" s="42">
        <v>3</v>
      </c>
      <c r="D39" s="75" t="str">
        <v/>
      </c>
      <c r="E39" s="75" t="str">
        <v>авто</v>
      </c>
      <c r="F39" s="76" t="str">
        <v/>
      </c>
      <c r="G39" s="47" t="str">
        <v>QFD18</v>
      </c>
      <c r="H39" s="47" t="str">
        <v>2P С16А 30мА</v>
      </c>
      <c r="I39" s="75" t="str">
        <v/>
      </c>
      <c r="J39" s="76" t="str">
        <v/>
      </c>
      <c r="K39" s="76" t="str">
        <v/>
      </c>
      <c r="L39" s="75" t="str">
        <v/>
      </c>
      <c r="M39" s="49" t="str">
        <v/>
      </c>
      <c r="N39" s="76" t="str">
        <v/>
      </c>
      <c r="O39" s="49" t="str">
        <v/>
      </c>
      <c r="P39" s="77" t="str">
        <v>XT16</v>
      </c>
      <c r="Q39" s="53" t="str">
        <v>ВВГнг(А)-LS (3х2,5) L=55-0,9%</v>
      </c>
      <c r="R39" s="54" t="str">
        <v>R.1.06.2</v>
      </c>
      <c r="S39" s="55" t="str">
        <v>Розеточная группа  Пом. №06</v>
      </c>
      <c r="T39" s="56">
        <v>0.48</v>
      </c>
      <c r="U39" s="56">
        <v>2.19</v>
      </c>
      <c r="V39" s="42" t="str">
        <v>L2</v>
      </c>
      <c r="W39" s="57" t="str">
        <v>ok</v>
      </c>
      <c r="X39" s="58" t="str">
        <v/>
      </c>
      <c r="Y39" s="75" t="str">
        <v/>
      </c>
      <c r="Z39" s="59">
        <v>2.19</v>
      </c>
      <c r="AA39" s="61">
        <v>6</v>
      </c>
      <c r="AB39" s="61">
        <v>25</v>
      </c>
      <c r="AC39" s="61" t="str">
        <v/>
      </c>
      <c r="AD39" s="62" t="str">
        <v>QFD18 → XT16</v>
      </c>
      <c r="AE39" s="62" t="str">
        <v>дубль клеммы XT16</v>
      </c>
      <c r="AF39" s="34">
        <v>18</v>
      </c>
      <c r="AG39" s="34" t="str">
        <v>QFD18</v>
      </c>
      <c r="AH39" s="34" t="str">
        <v/>
      </c>
      <c r="AI39" s="34" t="str">
        <v/>
      </c>
      <c r="AJ39" s="34" t="str">
        <v>QFD18</v>
      </c>
      <c r="AK39" s="34">
        <v>1</v>
      </c>
      <c r="AL39" s="34" t="str">
        <v>R</v>
      </c>
      <c r="AM39" s="34">
        <v>30</v>
      </c>
      <c r="AN39" s="34">
        <v>0</v>
      </c>
      <c r="AO39" s="34">
        <v>16</v>
      </c>
      <c r="AP39" s="34">
        <v>25</v>
      </c>
      <c r="AQ39" s="34">
        <v>16</v>
      </c>
      <c r="AR39" s="34">
        <v>1</v>
      </c>
      <c r="AS39" s="34">
        <v>1</v>
      </c>
      <c r="AT39" s="34" t="str">
        <v>2P</v>
      </c>
      <c r="AU39" s="34">
        <v>16</v>
      </c>
      <c r="AV39" s="34" t="str">
        <v/>
      </c>
      <c r="AW39" s="34" t="str">
        <v/>
      </c>
      <c r="AX39" s="34" t="str">
        <v/>
      </c>
      <c r="AY39" s="34">
        <v>1</v>
      </c>
      <c r="AZ39" s="34" t="str">
        <v/>
      </c>
      <c r="BA39" s="34">
        <v>0</v>
      </c>
      <c r="BB39" s="34">
        <v>16</v>
      </c>
      <c r="BD39" s="34">
        <v>1</v>
      </c>
      <c r="BE39" s="34">
        <v>0</v>
      </c>
      <c r="BF39" s="34">
        <v>1</v>
      </c>
      <c r="BG39" s="34" t="str">
        <v/>
      </c>
      <c r="BH39" s="34" t="str">
        <v/>
      </c>
      <c r="BI39" s="34" t="str">
        <v/>
      </c>
      <c r="BJ39" s="34" t="str">
        <v/>
      </c>
      <c r="BK39" s="34" t="str">
        <v>SOCKET</v>
      </c>
      <c r="BL39" s="34">
        <v>1</v>
      </c>
      <c r="BM39" s="34" t="str">
        <v/>
      </c>
      <c r="BN39" s="34" t="str">
        <v/>
      </c>
      <c r="BO39" s="34" t="str">
        <v/>
      </c>
      <c r="BP39" s="34" t="str">
        <v/>
      </c>
      <c r="BQ39" s="34" t="str">
        <v>3х2,5</v>
      </c>
      <c r="BR39" s="34" t="str">
        <v/>
      </c>
      <c r="BS39" s="34" t="str">
        <v/>
      </c>
      <c r="BT39" s="34" t="str">
        <v/>
      </c>
      <c r="BU39" s="34">
        <v>2</v>
      </c>
      <c r="BV39" s="34">
        <v>19</v>
      </c>
      <c r="BW39" s="34">
        <v>1</v>
      </c>
      <c r="BX39" s="34">
        <v>0</v>
      </c>
      <c r="BY39" s="34" t="str">
        <v>Розетка</v>
      </c>
      <c r="BZ39">
        <v>1</v>
      </c>
      <c r="CA39" t="str">
        <v>линии</v>
      </c>
    </row>
    <row r="40" spans="1:79" x14ac:dyDescent="0.3">
      <c r="A40" s="39" t="str">
        <v>ЩР</v>
      </c>
      <c r="B40" s="42">
        <v>40</v>
      </c>
      <c r="C40" s="42">
        <v>3</v>
      </c>
      <c r="D40" s="75" t="str">
        <v/>
      </c>
      <c r="E40" s="75" t="str">
        <v>авто</v>
      </c>
      <c r="F40" s="76" t="str">
        <v/>
      </c>
      <c r="G40" s="47" t="str">
        <v>QFD19</v>
      </c>
      <c r="H40" s="47" t="str">
        <v>2P С16А 30мА</v>
      </c>
      <c r="I40" s="75" t="str">
        <v/>
      </c>
      <c r="J40" s="76" t="str">
        <v/>
      </c>
      <c r="K40" s="76" t="str">
        <v/>
      </c>
      <c r="L40" s="75" t="str">
        <v/>
      </c>
      <c r="M40" s="49" t="str">
        <v/>
      </c>
      <c r="N40" s="76" t="str">
        <v/>
      </c>
      <c r="O40" s="49" t="str">
        <v/>
      </c>
      <c r="P40" s="77" t="str">
        <v>XT17</v>
      </c>
      <c r="Q40" s="53" t="str">
        <v>ВВГнг(А)-LS (3х2,5) L=33-0,21%</v>
      </c>
      <c r="R40" s="54" t="str">
        <v>R.1.07.1</v>
      </c>
      <c r="S40" s="55" t="str">
        <v>Розеточная группа  Пом. №07</v>
      </c>
      <c r="T40" s="56">
        <v>0.18</v>
      </c>
      <c r="U40" s="56">
        <v>0.83</v>
      </c>
      <c r="V40" s="42" t="str">
        <v>L3</v>
      </c>
      <c r="W40" s="57" t="str">
        <v>ok</v>
      </c>
      <c r="X40" s="58" t="str">
        <v/>
      </c>
      <c r="Y40" s="75" t="str">
        <v/>
      </c>
      <c r="Z40" s="59">
        <v>0.83</v>
      </c>
      <c r="AA40" s="61">
        <v>6</v>
      </c>
      <c r="AB40" s="61">
        <v>25</v>
      </c>
      <c r="AC40" s="61" t="str">
        <v/>
      </c>
      <c r="AD40" s="62" t="str">
        <v>QFD19 → XT17</v>
      </c>
      <c r="AE40" s="62" t="str">
        <v>дубль клеммы XT17</v>
      </c>
      <c r="AF40" s="34">
        <v>19</v>
      </c>
      <c r="AG40" s="34" t="str">
        <v>QFD19</v>
      </c>
      <c r="AH40" s="34" t="str">
        <v/>
      </c>
      <c r="AI40" s="34" t="str">
        <v/>
      </c>
      <c r="AJ40" s="34" t="str">
        <v>QFD19</v>
      </c>
      <c r="AK40" s="34">
        <v>1</v>
      </c>
      <c r="AL40" s="34" t="str">
        <v>R</v>
      </c>
      <c r="AM40" s="34">
        <v>30</v>
      </c>
      <c r="AN40" s="34">
        <v>0</v>
      </c>
      <c r="AO40" s="34">
        <v>16</v>
      </c>
      <c r="AP40" s="34">
        <v>25</v>
      </c>
      <c r="AQ40" s="34">
        <v>16</v>
      </c>
      <c r="AR40" s="34">
        <v>1</v>
      </c>
      <c r="AS40" s="34">
        <v>1</v>
      </c>
      <c r="AT40" s="34" t="str">
        <v>2P</v>
      </c>
      <c r="AU40" s="34">
        <v>16</v>
      </c>
      <c r="AV40" s="34" t="str">
        <v/>
      </c>
      <c r="AW40" s="34" t="str">
        <v/>
      </c>
      <c r="AX40" s="34" t="str">
        <v/>
      </c>
      <c r="AY40" s="34">
        <v>1</v>
      </c>
      <c r="AZ40" s="34" t="str">
        <v/>
      </c>
      <c r="BA40" s="34">
        <v>0</v>
      </c>
      <c r="BB40" s="34">
        <v>16</v>
      </c>
      <c r="BD40" s="34">
        <v>1</v>
      </c>
      <c r="BE40" s="34">
        <v>0</v>
      </c>
      <c r="BF40" s="34">
        <v>1</v>
      </c>
      <c r="BG40" s="34" t="str">
        <v/>
      </c>
      <c r="BH40" s="34" t="str">
        <v/>
      </c>
      <c r="BI40" s="34" t="str">
        <v/>
      </c>
      <c r="BJ40" s="34" t="str">
        <v/>
      </c>
      <c r="BK40" s="34" t="str">
        <v>SOCKET</v>
      </c>
      <c r="BL40" s="34">
        <v>1</v>
      </c>
      <c r="BM40" s="34" t="str">
        <v/>
      </c>
      <c r="BN40" s="34" t="str">
        <v/>
      </c>
      <c r="BO40" s="34" t="str">
        <v/>
      </c>
      <c r="BP40" s="34" t="str">
        <v/>
      </c>
      <c r="BQ40" s="34" t="str">
        <v>3х2,5</v>
      </c>
      <c r="BR40" s="34" t="str">
        <v/>
      </c>
      <c r="BS40" s="34" t="str">
        <v/>
      </c>
      <c r="BT40" s="34" t="str">
        <v/>
      </c>
      <c r="BU40" s="34">
        <v>2</v>
      </c>
      <c r="BV40" s="34">
        <v>20</v>
      </c>
      <c r="BW40" s="34">
        <v>1</v>
      </c>
      <c r="BX40" s="34">
        <v>0</v>
      </c>
      <c r="BY40" s="34" t="str">
        <v>Розетка</v>
      </c>
      <c r="BZ40">
        <v>1</v>
      </c>
      <c r="CA40" t="str">
        <v>линии</v>
      </c>
    </row>
    <row r="41" spans="1:79" x14ac:dyDescent="0.3">
      <c r="A41" s="39" t="str">
        <v>ЩР</v>
      </c>
      <c r="B41" s="42">
        <v>41</v>
      </c>
      <c r="C41" s="42">
        <v>3</v>
      </c>
      <c r="D41" s="75" t="str">
        <v/>
      </c>
      <c r="E41" s="75" t="str">
        <v>авто</v>
      </c>
      <c r="F41" s="76" t="str">
        <v/>
      </c>
      <c r="G41" s="47" t="str">
        <v>QFD20</v>
      </c>
      <c r="H41" s="47" t="str">
        <v>2P С16А 30мА</v>
      </c>
      <c r="I41" s="75" t="str">
        <v/>
      </c>
      <c r="J41" s="76" t="str">
        <v/>
      </c>
      <c r="K41" s="76" t="str">
        <v/>
      </c>
      <c r="L41" s="75" t="str">
        <v/>
      </c>
      <c r="M41" s="49" t="str">
        <v/>
      </c>
      <c r="N41" s="76" t="str">
        <v/>
      </c>
      <c r="O41" s="49" t="str">
        <v/>
      </c>
      <c r="P41" s="77" t="str">
        <v>XT18</v>
      </c>
      <c r="Q41" s="53" t="str">
        <v>ВВГнг(А)-LS (3х2,5) L=36-0,3%</v>
      </c>
      <c r="R41" s="54" t="str">
        <v>R.1.07.2</v>
      </c>
      <c r="S41" s="55" t="str">
        <v>Розеточная группа  Пом. №07</v>
      </c>
      <c r="T41" s="56">
        <v>0.24</v>
      </c>
      <c r="U41" s="56">
        <v>1.1000000000000001</v>
      </c>
      <c r="V41" s="42" t="str">
        <v>L1</v>
      </c>
      <c r="W41" s="57" t="str">
        <v>ok</v>
      </c>
      <c r="X41" s="58" t="str">
        <v/>
      </c>
      <c r="Y41" s="75" t="str">
        <v/>
      </c>
      <c r="Z41" s="59">
        <v>1.1000000000000001</v>
      </c>
      <c r="AA41" s="61">
        <v>6</v>
      </c>
      <c r="AB41" s="61">
        <v>25</v>
      </c>
      <c r="AC41" s="61" t="str">
        <v/>
      </c>
      <c r="AD41" s="62" t="str">
        <v>QFD20 → XT18</v>
      </c>
      <c r="AE41" s="62" t="str">
        <v/>
      </c>
      <c r="AF41" s="34">
        <v>20</v>
      </c>
      <c r="AG41" s="34" t="str">
        <v>QFD20</v>
      </c>
      <c r="AH41" s="34" t="str">
        <v/>
      </c>
      <c r="AI41" s="34" t="str">
        <v/>
      </c>
      <c r="AJ41" s="34" t="str">
        <v>QFD20</v>
      </c>
      <c r="AK41" s="34">
        <v>1</v>
      </c>
      <c r="AL41" s="34" t="str">
        <v>R</v>
      </c>
      <c r="AM41" s="34">
        <v>30</v>
      </c>
      <c r="AN41" s="34">
        <v>0</v>
      </c>
      <c r="AO41" s="34">
        <v>16</v>
      </c>
      <c r="AP41" s="34">
        <v>25</v>
      </c>
      <c r="AQ41" s="34">
        <v>16</v>
      </c>
      <c r="AR41" s="34">
        <v>1</v>
      </c>
      <c r="AS41" s="34">
        <v>1</v>
      </c>
      <c r="AT41" s="34" t="str">
        <v>2P</v>
      </c>
      <c r="AU41" s="34">
        <v>16</v>
      </c>
      <c r="AV41" s="34" t="str">
        <v/>
      </c>
      <c r="AW41" s="34" t="str">
        <v/>
      </c>
      <c r="AX41" s="34" t="str">
        <v/>
      </c>
      <c r="AY41" s="34">
        <v>1</v>
      </c>
      <c r="AZ41" s="34" t="str">
        <v/>
      </c>
      <c r="BA41" s="34">
        <v>0</v>
      </c>
      <c r="BB41" s="34">
        <v>16</v>
      </c>
      <c r="BD41" s="34">
        <v>1</v>
      </c>
      <c r="BE41" s="34">
        <v>0</v>
      </c>
      <c r="BF41" s="34">
        <v>1</v>
      </c>
      <c r="BG41" s="34" t="str">
        <v/>
      </c>
      <c r="BH41" s="34" t="str">
        <v/>
      </c>
      <c r="BI41" s="34" t="str">
        <v/>
      </c>
      <c r="BJ41" s="34" t="str">
        <v/>
      </c>
      <c r="BK41" s="34" t="str">
        <v>SOCKET</v>
      </c>
      <c r="BL41" s="34">
        <v>1</v>
      </c>
      <c r="BM41" s="34" t="str">
        <v/>
      </c>
      <c r="BN41" s="34" t="str">
        <v/>
      </c>
      <c r="BO41" s="34" t="str">
        <v/>
      </c>
      <c r="BP41" s="34" t="str">
        <v/>
      </c>
      <c r="BQ41" s="34" t="str">
        <v>3х2,5</v>
      </c>
      <c r="BR41" s="34" t="str">
        <v/>
      </c>
      <c r="BS41" s="34" t="str">
        <v/>
      </c>
      <c r="BT41" s="34" t="str">
        <v/>
      </c>
      <c r="BU41" s="34">
        <v>0</v>
      </c>
      <c r="BV41" s="34">
        <v>21</v>
      </c>
      <c r="BW41" s="34">
        <v>1</v>
      </c>
      <c r="BX41" s="34">
        <v>0</v>
      </c>
      <c r="BY41" s="34" t="str">
        <v>Розетка</v>
      </c>
      <c r="BZ41">
        <v>1</v>
      </c>
      <c r="CA41" t="str">
        <v>линии</v>
      </c>
    </row>
    <row r="42" spans="1:79" x14ac:dyDescent="0.3">
      <c r="A42" s="39" t="str">
        <v>ЩР</v>
      </c>
      <c r="B42" s="42">
        <v>42</v>
      </c>
      <c r="C42" s="42">
        <v>3</v>
      </c>
      <c r="D42" s="75" t="str">
        <v/>
      </c>
      <c r="E42" s="75" t="str">
        <v>авто</v>
      </c>
      <c r="F42" s="76" t="str">
        <v/>
      </c>
      <c r="G42" s="47" t="str">
        <v>QFD21</v>
      </c>
      <c r="H42" s="47" t="str">
        <v>2P С16А 30мА</v>
      </c>
      <c r="I42" s="75" t="str">
        <v/>
      </c>
      <c r="J42" s="76" t="str">
        <v/>
      </c>
      <c r="K42" s="76" t="str">
        <v/>
      </c>
      <c r="L42" s="75" t="str">
        <v/>
      </c>
      <c r="M42" s="49" t="str">
        <v/>
      </c>
      <c r="N42" s="76" t="str">
        <v/>
      </c>
      <c r="O42" s="49" t="str">
        <v/>
      </c>
      <c r="P42" s="77" t="str">
        <v>XT19</v>
      </c>
      <c r="Q42" s="53" t="str">
        <v>ВВГнг(А)-LS (3х2,5) L=28-0,12%</v>
      </c>
      <c r="R42" s="54" t="str">
        <v>R.1.07.3</v>
      </c>
      <c r="S42" s="55" t="str">
        <v>Розеточная группа  Пом. №07 Полотенцесушители</v>
      </c>
      <c r="T42" s="56">
        <v>0.12</v>
      </c>
      <c r="U42" s="56">
        <v>0.55000000000000004</v>
      </c>
      <c r="V42" s="42" t="str">
        <v>L2</v>
      </c>
      <c r="W42" s="57" t="str">
        <v>ok</v>
      </c>
      <c r="X42" s="58" t="str">
        <v/>
      </c>
      <c r="Y42" s="75" t="str">
        <v/>
      </c>
      <c r="Z42" s="59">
        <v>0.55000000000000004</v>
      </c>
      <c r="AA42" s="61">
        <v>6</v>
      </c>
      <c r="AB42" s="61">
        <v>25</v>
      </c>
      <c r="AC42" s="61" t="str">
        <v/>
      </c>
      <c r="AD42" s="62" t="str">
        <v>QFD21 → XT19</v>
      </c>
      <c r="AE42" s="62" t="str">
        <v/>
      </c>
      <c r="AF42" s="34">
        <v>21</v>
      </c>
      <c r="AG42" s="34" t="str">
        <v>QFD21</v>
      </c>
      <c r="AH42" s="34" t="str">
        <v/>
      </c>
      <c r="AI42" s="34" t="str">
        <v/>
      </c>
      <c r="AJ42" s="34" t="str">
        <v>QFD21</v>
      </c>
      <c r="AK42" s="34">
        <v>1</v>
      </c>
      <c r="AL42" s="34" t="str">
        <v>R</v>
      </c>
      <c r="AM42" s="34">
        <v>30</v>
      </c>
      <c r="AN42" s="34">
        <v>0</v>
      </c>
      <c r="AO42" s="34">
        <v>16</v>
      </c>
      <c r="AP42" s="34">
        <v>25</v>
      </c>
      <c r="AQ42" s="34">
        <v>16</v>
      </c>
      <c r="AR42" s="34">
        <v>1</v>
      </c>
      <c r="AS42" s="34">
        <v>1</v>
      </c>
      <c r="AT42" s="34" t="str">
        <v>2P</v>
      </c>
      <c r="AU42" s="34">
        <v>16</v>
      </c>
      <c r="AV42" s="34" t="str">
        <v/>
      </c>
      <c r="AW42" s="34" t="str">
        <v/>
      </c>
      <c r="AX42" s="34" t="str">
        <v/>
      </c>
      <c r="AY42" s="34">
        <v>1</v>
      </c>
      <c r="AZ42" s="34" t="str">
        <v/>
      </c>
      <c r="BA42" s="34">
        <v>0</v>
      </c>
      <c r="BB42" s="34">
        <v>16</v>
      </c>
      <c r="BD42" s="34">
        <v>1</v>
      </c>
      <c r="BE42" s="34">
        <v>0</v>
      </c>
      <c r="BF42" s="34">
        <v>1</v>
      </c>
      <c r="BG42" s="34" t="str">
        <v/>
      </c>
      <c r="BH42" s="34" t="str">
        <v/>
      </c>
      <c r="BI42" s="34" t="str">
        <v/>
      </c>
      <c r="BJ42" s="34" t="str">
        <v/>
      </c>
      <c r="BK42" s="34" t="str">
        <v>SOCKET</v>
      </c>
      <c r="BL42" s="34">
        <v>1</v>
      </c>
      <c r="BM42" s="34" t="str">
        <v/>
      </c>
      <c r="BN42" s="34" t="str">
        <v/>
      </c>
      <c r="BO42" s="34" t="str">
        <v/>
      </c>
      <c r="BP42" s="34" t="str">
        <v/>
      </c>
      <c r="BQ42" s="34" t="str">
        <v>3х2,5</v>
      </c>
      <c r="BR42" s="34" t="str">
        <v/>
      </c>
      <c r="BS42" s="34" t="str">
        <v/>
      </c>
      <c r="BT42" s="34" t="str">
        <v/>
      </c>
      <c r="BU42" s="34">
        <v>0</v>
      </c>
      <c r="BV42" s="34">
        <v>22</v>
      </c>
      <c r="BW42" s="34">
        <v>1</v>
      </c>
      <c r="BX42" s="34">
        <v>0</v>
      </c>
      <c r="BY42" s="34" t="str">
        <v>Розетка</v>
      </c>
      <c r="BZ42">
        <v>1</v>
      </c>
      <c r="CA42" t="str">
        <v>линии</v>
      </c>
    </row>
    <row r="43" spans="1:79" x14ac:dyDescent="0.3">
      <c r="A43" s="39" t="str">
        <v>ЩР</v>
      </c>
      <c r="B43" s="42">
        <v>43</v>
      </c>
      <c r="C43" s="42">
        <v>3</v>
      </c>
      <c r="D43" s="75" t="str">
        <v/>
      </c>
      <c r="E43" s="75" t="str">
        <v>авто</v>
      </c>
      <c r="F43" s="76" t="str">
        <v/>
      </c>
      <c r="G43" s="47" t="str">
        <v>QFD22</v>
      </c>
      <c r="H43" s="47" t="str">
        <v>2P С16А 30мА</v>
      </c>
      <c r="I43" s="75" t="str">
        <v/>
      </c>
      <c r="J43" s="76" t="str">
        <v/>
      </c>
      <c r="K43" s="76" t="str">
        <v/>
      </c>
      <c r="L43" s="75" t="str">
        <v/>
      </c>
      <c r="M43" s="49" t="str">
        <v/>
      </c>
      <c r="N43" s="76" t="str">
        <v/>
      </c>
      <c r="O43" s="49" t="str">
        <v/>
      </c>
      <c r="P43" s="77" t="str">
        <v>XT20</v>
      </c>
      <c r="Q43" s="53" t="str">
        <v>ВВГнг(А)-LS (3х2,5) L=38-0,47%</v>
      </c>
      <c r="R43" s="54" t="str">
        <v>R.1.08.1</v>
      </c>
      <c r="S43" s="55" t="str">
        <v>Розеточная группа  Пом. №08</v>
      </c>
      <c r="T43" s="56">
        <v>0.36</v>
      </c>
      <c r="U43" s="56">
        <v>1.65</v>
      </c>
      <c r="V43" s="42" t="str">
        <v>L3</v>
      </c>
      <c r="W43" s="57" t="str">
        <v>ok</v>
      </c>
      <c r="X43" s="58" t="str">
        <v/>
      </c>
      <c r="Y43" s="75" t="str">
        <v/>
      </c>
      <c r="Z43" s="59">
        <v>1.65</v>
      </c>
      <c r="AA43" s="61">
        <v>6</v>
      </c>
      <c r="AB43" s="61">
        <v>25</v>
      </c>
      <c r="AC43" s="61" t="str">
        <v/>
      </c>
      <c r="AD43" s="62" t="str">
        <v>QFD22 → XT20</v>
      </c>
      <c r="AE43" s="62" t="str">
        <v/>
      </c>
      <c r="AF43" s="34">
        <v>22</v>
      </c>
      <c r="AG43" s="34" t="str">
        <v>QFD22</v>
      </c>
      <c r="AH43" s="34" t="str">
        <v/>
      </c>
      <c r="AI43" s="34" t="str">
        <v/>
      </c>
      <c r="AJ43" s="34" t="str">
        <v>QFD22</v>
      </c>
      <c r="AK43" s="34">
        <v>1</v>
      </c>
      <c r="AL43" s="34" t="str">
        <v>R</v>
      </c>
      <c r="AM43" s="34">
        <v>30</v>
      </c>
      <c r="AN43" s="34">
        <v>0</v>
      </c>
      <c r="AO43" s="34">
        <v>16</v>
      </c>
      <c r="AP43" s="34">
        <v>25</v>
      </c>
      <c r="AQ43" s="34">
        <v>16</v>
      </c>
      <c r="AR43" s="34">
        <v>1</v>
      </c>
      <c r="AS43" s="34">
        <v>1</v>
      </c>
      <c r="AT43" s="34" t="str">
        <v>2P</v>
      </c>
      <c r="AU43" s="34">
        <v>16</v>
      </c>
      <c r="AV43" s="34" t="str">
        <v/>
      </c>
      <c r="AW43" s="34" t="str">
        <v/>
      </c>
      <c r="AX43" s="34" t="str">
        <v/>
      </c>
      <c r="AY43" s="34">
        <v>1</v>
      </c>
      <c r="AZ43" s="34" t="str">
        <v/>
      </c>
      <c r="BA43" s="34">
        <v>0</v>
      </c>
      <c r="BB43" s="34">
        <v>16</v>
      </c>
      <c r="BD43" s="34">
        <v>1</v>
      </c>
      <c r="BE43" s="34">
        <v>0</v>
      </c>
      <c r="BF43" s="34">
        <v>1</v>
      </c>
      <c r="BG43" s="34" t="str">
        <v/>
      </c>
      <c r="BH43" s="34" t="str">
        <v/>
      </c>
      <c r="BI43" s="34" t="str">
        <v/>
      </c>
      <c r="BJ43" s="34" t="str">
        <v/>
      </c>
      <c r="BK43" s="34" t="str">
        <v>SOCKET</v>
      </c>
      <c r="BL43" s="34">
        <v>1</v>
      </c>
      <c r="BM43" s="34" t="str">
        <v/>
      </c>
      <c r="BN43" s="34" t="str">
        <v/>
      </c>
      <c r="BO43" s="34" t="str">
        <v/>
      </c>
      <c r="BP43" s="34" t="str">
        <v/>
      </c>
      <c r="BQ43" s="34" t="str">
        <v>3х2,5</v>
      </c>
      <c r="BR43" s="34" t="str">
        <v/>
      </c>
      <c r="BS43" s="34" t="str">
        <v/>
      </c>
      <c r="BT43" s="34" t="str">
        <v/>
      </c>
      <c r="BU43" s="34">
        <v>0</v>
      </c>
      <c r="BV43" s="34">
        <v>23</v>
      </c>
      <c r="BW43" s="34">
        <v>1</v>
      </c>
      <c r="BX43" s="34">
        <v>0</v>
      </c>
      <c r="BY43" s="34" t="str">
        <v>Розетка</v>
      </c>
      <c r="BZ43">
        <v>1</v>
      </c>
      <c r="CA43" t="str">
        <v>линии</v>
      </c>
    </row>
    <row r="44" spans="1:79" x14ac:dyDescent="0.3">
      <c r="A44" s="39" t="str">
        <v>ЩР</v>
      </c>
      <c r="B44" s="42">
        <v>44</v>
      </c>
      <c r="C44" s="42">
        <v>3</v>
      </c>
      <c r="D44" s="75" t="str">
        <v/>
      </c>
      <c r="E44" s="75" t="str">
        <v>авто</v>
      </c>
      <c r="F44" s="76" t="str">
        <v/>
      </c>
      <c r="G44" s="47" t="str">
        <v>QFD23</v>
      </c>
      <c r="H44" s="47" t="str">
        <v>2P С16А 30мА</v>
      </c>
      <c r="I44" s="75" t="str">
        <v/>
      </c>
      <c r="J44" s="76" t="str">
        <v/>
      </c>
      <c r="K44" s="76" t="str">
        <v/>
      </c>
      <c r="L44" s="75" t="str">
        <v/>
      </c>
      <c r="M44" s="49" t="str">
        <v/>
      </c>
      <c r="N44" s="76" t="str">
        <v/>
      </c>
      <c r="O44" s="49" t="str">
        <v/>
      </c>
      <c r="P44" s="77" t="str">
        <v>XT21</v>
      </c>
      <c r="Q44" s="53" t="str">
        <v>ВВГнг(А)-LS (3х2,5) L=37-0,46%</v>
      </c>
      <c r="R44" s="54" t="str">
        <v>R.1.08.2</v>
      </c>
      <c r="S44" s="55" t="str">
        <v>Розеточная группа  Пом. №08</v>
      </c>
      <c r="T44" s="56">
        <v>0.36</v>
      </c>
      <c r="U44" s="56">
        <v>1.65</v>
      </c>
      <c r="V44" s="42" t="str">
        <v>L1</v>
      </c>
      <c r="W44" s="57" t="str">
        <v>ok</v>
      </c>
      <c r="X44" s="58" t="str">
        <v/>
      </c>
      <c r="Y44" s="75" t="str">
        <v/>
      </c>
      <c r="Z44" s="59">
        <v>1.65</v>
      </c>
      <c r="AA44" s="61">
        <v>6</v>
      </c>
      <c r="AB44" s="61">
        <v>25</v>
      </c>
      <c r="AC44" s="61" t="str">
        <v/>
      </c>
      <c r="AD44" s="62" t="str">
        <v>QFD23 → XT21</v>
      </c>
      <c r="AE44" s="62" t="str">
        <v/>
      </c>
      <c r="AF44" s="34">
        <v>23</v>
      </c>
      <c r="AG44" s="34" t="str">
        <v>QFD23</v>
      </c>
      <c r="AH44" s="34" t="str">
        <v/>
      </c>
      <c r="AI44" s="34" t="str">
        <v/>
      </c>
      <c r="AJ44" s="34" t="str">
        <v>QFD23</v>
      </c>
      <c r="AK44" s="34">
        <v>1</v>
      </c>
      <c r="AL44" s="34" t="str">
        <v>R</v>
      </c>
      <c r="AM44" s="34">
        <v>30</v>
      </c>
      <c r="AN44" s="34">
        <v>0</v>
      </c>
      <c r="AO44" s="34">
        <v>16</v>
      </c>
      <c r="AP44" s="34">
        <v>25</v>
      </c>
      <c r="AQ44" s="34">
        <v>16</v>
      </c>
      <c r="AR44" s="34">
        <v>1</v>
      </c>
      <c r="AS44" s="34">
        <v>1</v>
      </c>
      <c r="AT44" s="34" t="str">
        <v>2P</v>
      </c>
      <c r="AU44" s="34">
        <v>16</v>
      </c>
      <c r="AV44" s="34" t="str">
        <v/>
      </c>
      <c r="AW44" s="34" t="str">
        <v/>
      </c>
      <c r="AX44" s="34" t="str">
        <v/>
      </c>
      <c r="AY44" s="34">
        <v>1</v>
      </c>
      <c r="AZ44" s="34" t="str">
        <v/>
      </c>
      <c r="BA44" s="34">
        <v>0</v>
      </c>
      <c r="BB44" s="34">
        <v>16</v>
      </c>
      <c r="BD44" s="34">
        <v>1</v>
      </c>
      <c r="BE44" s="34">
        <v>0</v>
      </c>
      <c r="BF44" s="34">
        <v>1</v>
      </c>
      <c r="BG44" s="34" t="str">
        <v/>
      </c>
      <c r="BH44" s="34" t="str">
        <v/>
      </c>
      <c r="BI44" s="34" t="str">
        <v/>
      </c>
      <c r="BJ44" s="34" t="str">
        <v/>
      </c>
      <c r="BK44" s="34" t="str">
        <v>SOCKET</v>
      </c>
      <c r="BL44" s="34">
        <v>1</v>
      </c>
      <c r="BM44" s="34" t="str">
        <v/>
      </c>
      <c r="BN44" s="34" t="str">
        <v/>
      </c>
      <c r="BO44" s="34" t="str">
        <v/>
      </c>
      <c r="BP44" s="34" t="str">
        <v/>
      </c>
      <c r="BQ44" s="34" t="str">
        <v>3х2,5</v>
      </c>
      <c r="BR44" s="34" t="str">
        <v/>
      </c>
      <c r="BS44" s="34" t="str">
        <v/>
      </c>
      <c r="BT44" s="34" t="str">
        <v/>
      </c>
      <c r="BU44" s="34">
        <v>0</v>
      </c>
      <c r="BV44" s="34">
        <v>24</v>
      </c>
      <c r="BW44" s="34">
        <v>1</v>
      </c>
      <c r="BX44" s="34">
        <v>0</v>
      </c>
      <c r="BY44" s="34" t="str">
        <v>Розетка</v>
      </c>
      <c r="BZ44">
        <v>1</v>
      </c>
      <c r="CA44" t="str">
        <v>линии</v>
      </c>
    </row>
    <row r="45" spans="1:79" x14ac:dyDescent="0.3">
      <c r="A45" s="39" t="str">
        <v>ЩР</v>
      </c>
      <c r="B45" s="42">
        <v>45</v>
      </c>
      <c r="C45" s="42">
        <v>3</v>
      </c>
      <c r="D45" s="75" t="str">
        <v/>
      </c>
      <c r="E45" s="75" t="str">
        <v>авто</v>
      </c>
      <c r="F45" s="76" t="str">
        <v/>
      </c>
      <c r="G45" s="47" t="str">
        <v>QFD24</v>
      </c>
      <c r="H45" s="47" t="str">
        <v>2P С16А 30мА</v>
      </c>
      <c r="I45" s="75" t="str">
        <v/>
      </c>
      <c r="J45" s="76" t="str">
        <v/>
      </c>
      <c r="K45" s="76" t="str">
        <v/>
      </c>
      <c r="L45" s="75" t="str">
        <v/>
      </c>
      <c r="M45" s="49" t="str">
        <v/>
      </c>
      <c r="N45" s="76" t="str">
        <v/>
      </c>
      <c r="O45" s="49" t="str">
        <v/>
      </c>
      <c r="P45" s="77" t="str">
        <v>XT22</v>
      </c>
      <c r="Q45" s="53" t="str">
        <v>ВВГнг(А)-LS (3х2,5) L=18-0,08%</v>
      </c>
      <c r="R45" s="54" t="str">
        <v>R.1.09.1</v>
      </c>
      <c r="S45" s="55" t="str">
        <v>Розеточная группа  Пом. №09</v>
      </c>
      <c r="T45" s="56">
        <v>0.12</v>
      </c>
      <c r="U45" s="56">
        <v>0.55000000000000004</v>
      </c>
      <c r="V45" s="42" t="str">
        <v>L2</v>
      </c>
      <c r="W45" s="57" t="str">
        <v>ok</v>
      </c>
      <c r="X45" s="58" t="str">
        <v/>
      </c>
      <c r="Y45" s="75" t="str">
        <v/>
      </c>
      <c r="Z45" s="59">
        <v>0.55000000000000004</v>
      </c>
      <c r="AA45" s="61">
        <v>6</v>
      </c>
      <c r="AB45" s="61">
        <v>25</v>
      </c>
      <c r="AC45" s="61" t="str">
        <v/>
      </c>
      <c r="AD45" s="62" t="str">
        <v>QFD24 → XT22</v>
      </c>
      <c r="AE45" s="62" t="str">
        <v/>
      </c>
      <c r="AF45" s="34">
        <v>24</v>
      </c>
      <c r="AG45" s="34" t="str">
        <v>QFD24</v>
      </c>
      <c r="AH45" s="34" t="str">
        <v/>
      </c>
      <c r="AI45" s="34" t="str">
        <v/>
      </c>
      <c r="AJ45" s="34" t="str">
        <v>QFD24</v>
      </c>
      <c r="AK45" s="34">
        <v>1</v>
      </c>
      <c r="AL45" s="34" t="str">
        <v>R</v>
      </c>
      <c r="AM45" s="34">
        <v>30</v>
      </c>
      <c r="AN45" s="34">
        <v>0</v>
      </c>
      <c r="AO45" s="34">
        <v>16</v>
      </c>
      <c r="AP45" s="34">
        <v>25</v>
      </c>
      <c r="AQ45" s="34">
        <v>16</v>
      </c>
      <c r="AR45" s="34">
        <v>1</v>
      </c>
      <c r="AS45" s="34">
        <v>1</v>
      </c>
      <c r="AT45" s="34" t="str">
        <v>2P</v>
      </c>
      <c r="AU45" s="34">
        <v>16</v>
      </c>
      <c r="AV45" s="34" t="str">
        <v/>
      </c>
      <c r="AW45" s="34" t="str">
        <v/>
      </c>
      <c r="AX45" s="34" t="str">
        <v/>
      </c>
      <c r="AY45" s="34">
        <v>1</v>
      </c>
      <c r="AZ45" s="34" t="str">
        <v/>
      </c>
      <c r="BA45" s="34">
        <v>0</v>
      </c>
      <c r="BB45" s="34">
        <v>16</v>
      </c>
      <c r="BD45" s="34">
        <v>1</v>
      </c>
      <c r="BE45" s="34">
        <v>0</v>
      </c>
      <c r="BF45" s="34">
        <v>1</v>
      </c>
      <c r="BG45" s="34" t="str">
        <v/>
      </c>
      <c r="BH45" s="34" t="str">
        <v/>
      </c>
      <c r="BI45" s="34" t="str">
        <v/>
      </c>
      <c r="BJ45" s="34" t="str">
        <v/>
      </c>
      <c r="BK45" s="34" t="str">
        <v>SOCKET</v>
      </c>
      <c r="BL45" s="34">
        <v>1</v>
      </c>
      <c r="BM45" s="34" t="str">
        <v/>
      </c>
      <c r="BN45" s="34" t="str">
        <v/>
      </c>
      <c r="BO45" s="34" t="str">
        <v/>
      </c>
      <c r="BP45" s="34" t="str">
        <v/>
      </c>
      <c r="BQ45" s="34" t="str">
        <v>3х2,5</v>
      </c>
      <c r="BR45" s="34" t="str">
        <v/>
      </c>
      <c r="BS45" s="34" t="str">
        <v/>
      </c>
      <c r="BT45" s="34" t="str">
        <v/>
      </c>
      <c r="BU45" s="34">
        <v>0</v>
      </c>
      <c r="BV45" s="34">
        <v>25</v>
      </c>
      <c r="BW45" s="34">
        <v>1</v>
      </c>
      <c r="BX45" s="34">
        <v>0</v>
      </c>
      <c r="BY45" s="34" t="str">
        <v>Розетка</v>
      </c>
      <c r="BZ45">
        <v>1</v>
      </c>
      <c r="CA45" t="str">
        <v>линии</v>
      </c>
    </row>
    <row r="46" spans="1:79" x14ac:dyDescent="0.3">
      <c r="A46" s="39" t="str">
        <v>ЩР</v>
      </c>
      <c r="B46" s="42">
        <v>46</v>
      </c>
      <c r="C46" s="42">
        <v>3</v>
      </c>
      <c r="D46" s="75" t="str">
        <v/>
      </c>
      <c r="E46" s="75" t="str">
        <v>авто</v>
      </c>
      <c r="F46" s="76" t="str">
        <v/>
      </c>
      <c r="G46" s="47" t="str">
        <v>QFD25</v>
      </c>
      <c r="H46" s="47" t="str">
        <v>2P С16А 30мА</v>
      </c>
      <c r="I46" s="75" t="str">
        <v/>
      </c>
      <c r="J46" s="76" t="str">
        <v/>
      </c>
      <c r="K46" s="76" t="str">
        <v/>
      </c>
      <c r="L46" s="75" t="str">
        <v/>
      </c>
      <c r="M46" s="49" t="str">
        <v/>
      </c>
      <c r="N46" s="76" t="str">
        <v/>
      </c>
      <c r="O46" s="49" t="str">
        <v/>
      </c>
      <c r="P46" s="77" t="str">
        <v>XT23</v>
      </c>
      <c r="Q46" s="53" t="str">
        <v>ВВГнг(А)-LS (3х2,5) L=49-0,9%</v>
      </c>
      <c r="R46" s="54" t="str">
        <v>R.1.09.2</v>
      </c>
      <c r="S46" s="55" t="str">
        <v>Розеточная группа  Пом. №09</v>
      </c>
      <c r="T46" s="56">
        <v>0.54</v>
      </c>
      <c r="U46" s="56">
        <v>2.4699999999999998</v>
      </c>
      <c r="V46" s="42" t="str">
        <v>L3</v>
      </c>
      <c r="W46" s="57" t="str">
        <v>ok</v>
      </c>
      <c r="X46" s="58" t="str">
        <v/>
      </c>
      <c r="Y46" s="75" t="str">
        <v/>
      </c>
      <c r="Z46" s="59">
        <v>2.4699999999999998</v>
      </c>
      <c r="AA46" s="61">
        <v>6</v>
      </c>
      <c r="AB46" s="61">
        <v>25</v>
      </c>
      <c r="AC46" s="61" t="str">
        <v/>
      </c>
      <c r="AD46" s="62" t="str">
        <v>QFD25 → XT23</v>
      </c>
      <c r="AE46" s="62" t="str">
        <v/>
      </c>
      <c r="AF46" s="34">
        <v>25</v>
      </c>
      <c r="AG46" s="34" t="str">
        <v>QFD25</v>
      </c>
      <c r="AH46" s="34" t="str">
        <v/>
      </c>
      <c r="AI46" s="34" t="str">
        <v/>
      </c>
      <c r="AJ46" s="34" t="str">
        <v>QFD25</v>
      </c>
      <c r="AK46" s="34">
        <v>1</v>
      </c>
      <c r="AL46" s="34" t="str">
        <v>R</v>
      </c>
      <c r="AM46" s="34">
        <v>30</v>
      </c>
      <c r="AN46" s="34">
        <v>0</v>
      </c>
      <c r="AO46" s="34">
        <v>16</v>
      </c>
      <c r="AP46" s="34">
        <v>25</v>
      </c>
      <c r="AQ46" s="34">
        <v>16</v>
      </c>
      <c r="AR46" s="34">
        <v>1</v>
      </c>
      <c r="AS46" s="34">
        <v>1</v>
      </c>
      <c r="AT46" s="34" t="str">
        <v>2P</v>
      </c>
      <c r="AU46" s="34">
        <v>16</v>
      </c>
      <c r="AV46" s="34" t="str">
        <v/>
      </c>
      <c r="AW46" s="34" t="str">
        <v/>
      </c>
      <c r="AX46" s="34" t="str">
        <v/>
      </c>
      <c r="AY46" s="34">
        <v>1</v>
      </c>
      <c r="AZ46" s="34" t="str">
        <v/>
      </c>
      <c r="BA46" s="34">
        <v>0</v>
      </c>
      <c r="BB46" s="34">
        <v>16</v>
      </c>
      <c r="BD46" s="34">
        <v>1</v>
      </c>
      <c r="BE46" s="34">
        <v>0</v>
      </c>
      <c r="BF46" s="34">
        <v>1</v>
      </c>
      <c r="BG46" s="34" t="str">
        <v/>
      </c>
      <c r="BH46" s="34" t="str">
        <v/>
      </c>
      <c r="BI46" s="34" t="str">
        <v/>
      </c>
      <c r="BJ46" s="34" t="str">
        <v/>
      </c>
      <c r="BK46" s="34" t="str">
        <v>SOCKET</v>
      </c>
      <c r="BL46" s="34">
        <v>1</v>
      </c>
      <c r="BM46" s="34" t="str">
        <v/>
      </c>
      <c r="BN46" s="34" t="str">
        <v/>
      </c>
      <c r="BO46" s="34" t="str">
        <v/>
      </c>
      <c r="BP46" s="34" t="str">
        <v/>
      </c>
      <c r="BQ46" s="34" t="str">
        <v>3х2,5</v>
      </c>
      <c r="BR46" s="34" t="str">
        <v/>
      </c>
      <c r="BS46" s="34" t="str">
        <v/>
      </c>
      <c r="BT46" s="34" t="str">
        <v/>
      </c>
      <c r="BU46" s="34">
        <v>0</v>
      </c>
      <c r="BV46" s="34">
        <v>26</v>
      </c>
      <c r="BW46" s="34">
        <v>1</v>
      </c>
      <c r="BX46" s="34">
        <v>0</v>
      </c>
      <c r="BY46" s="34" t="str">
        <v>Розетка</v>
      </c>
      <c r="BZ46">
        <v>1</v>
      </c>
      <c r="CA46" t="str">
        <v>линии</v>
      </c>
    </row>
    <row r="47" spans="1:79" x14ac:dyDescent="0.3">
      <c r="A47" s="39" t="str">
        <v>ЩР</v>
      </c>
      <c r="B47" s="42">
        <v>47</v>
      </c>
      <c r="C47" s="42">
        <v>3</v>
      </c>
      <c r="D47" s="75" t="str">
        <v/>
      </c>
      <c r="E47" s="75" t="str">
        <v>авто</v>
      </c>
      <c r="F47" s="76" t="str">
        <v/>
      </c>
      <c r="G47" s="47" t="str">
        <v>QFD26</v>
      </c>
      <c r="H47" s="47" t="str">
        <v>2P С16А 30мА</v>
      </c>
      <c r="I47" s="75" t="str">
        <v/>
      </c>
      <c r="J47" s="76" t="str">
        <v/>
      </c>
      <c r="K47" s="76" t="str">
        <v/>
      </c>
      <c r="L47" s="75" t="str">
        <v/>
      </c>
      <c r="M47" s="49" t="str">
        <v/>
      </c>
      <c r="N47" s="76" t="str">
        <v/>
      </c>
      <c r="O47" s="49" t="str">
        <v/>
      </c>
      <c r="P47" s="77" t="str">
        <v>XT24</v>
      </c>
      <c r="Q47" s="53" t="str">
        <v>ВВГнг(А)-LS (3х2,5) L=36-0,37%</v>
      </c>
      <c r="R47" s="54" t="str">
        <v>R.1.10.1</v>
      </c>
      <c r="S47" s="55" t="str">
        <v>Розеточная группа  Пом. №10</v>
      </c>
      <c r="T47" s="56">
        <v>0.3</v>
      </c>
      <c r="U47" s="56">
        <v>1.37</v>
      </c>
      <c r="V47" s="42" t="str">
        <v>L1</v>
      </c>
      <c r="W47" s="57" t="str">
        <v>ok</v>
      </c>
      <c r="X47" s="58" t="str">
        <v/>
      </c>
      <c r="Y47" s="75" t="str">
        <v/>
      </c>
      <c r="Z47" s="59">
        <v>1.37</v>
      </c>
      <c r="AA47" s="61">
        <v>6</v>
      </c>
      <c r="AB47" s="61">
        <v>25</v>
      </c>
      <c r="AC47" s="61" t="str">
        <v/>
      </c>
      <c r="AD47" s="62" t="str">
        <v>QFD26 → XT24</v>
      </c>
      <c r="AE47" s="62" t="str">
        <v/>
      </c>
      <c r="AF47" s="34">
        <v>26</v>
      </c>
      <c r="AG47" s="34" t="str">
        <v>QFD26</v>
      </c>
      <c r="AH47" s="34" t="str">
        <v/>
      </c>
      <c r="AI47" s="34" t="str">
        <v/>
      </c>
      <c r="AJ47" s="34" t="str">
        <v>QFD26</v>
      </c>
      <c r="AK47" s="34">
        <v>1</v>
      </c>
      <c r="AL47" s="34" t="str">
        <v>R</v>
      </c>
      <c r="AM47" s="34">
        <v>30</v>
      </c>
      <c r="AN47" s="34">
        <v>0</v>
      </c>
      <c r="AO47" s="34">
        <v>16</v>
      </c>
      <c r="AP47" s="34">
        <v>25</v>
      </c>
      <c r="AQ47" s="34">
        <v>16</v>
      </c>
      <c r="AR47" s="34">
        <v>1</v>
      </c>
      <c r="AS47" s="34">
        <v>1</v>
      </c>
      <c r="AT47" s="34" t="str">
        <v>2P</v>
      </c>
      <c r="AU47" s="34">
        <v>16</v>
      </c>
      <c r="AV47" s="34" t="str">
        <v/>
      </c>
      <c r="AW47" s="34" t="str">
        <v/>
      </c>
      <c r="AX47" s="34" t="str">
        <v/>
      </c>
      <c r="AY47" s="34">
        <v>1</v>
      </c>
      <c r="AZ47" s="34" t="str">
        <v/>
      </c>
      <c r="BA47" s="34">
        <v>0</v>
      </c>
      <c r="BB47" s="34">
        <v>16</v>
      </c>
      <c r="BD47" s="34">
        <v>1</v>
      </c>
      <c r="BE47" s="34">
        <v>0</v>
      </c>
      <c r="BF47" s="34">
        <v>1</v>
      </c>
      <c r="BG47" s="34" t="str">
        <v/>
      </c>
      <c r="BH47" s="34" t="str">
        <v/>
      </c>
      <c r="BI47" s="34" t="str">
        <v/>
      </c>
      <c r="BJ47" s="34" t="str">
        <v/>
      </c>
      <c r="BK47" s="34" t="str">
        <v>SOCKET</v>
      </c>
      <c r="BL47" s="34">
        <v>1</v>
      </c>
      <c r="BM47" s="34" t="str">
        <v/>
      </c>
      <c r="BN47" s="34" t="str">
        <v/>
      </c>
      <c r="BO47" s="34" t="str">
        <v/>
      </c>
      <c r="BP47" s="34" t="str">
        <v/>
      </c>
      <c r="BQ47" s="34" t="str">
        <v>3х2,5</v>
      </c>
      <c r="BR47" s="34" t="str">
        <v/>
      </c>
      <c r="BS47" s="34" t="str">
        <v/>
      </c>
      <c r="BT47" s="34" t="str">
        <v/>
      </c>
      <c r="BU47" s="34">
        <v>0</v>
      </c>
      <c r="BV47" s="34">
        <v>27</v>
      </c>
      <c r="BW47" s="34">
        <v>1</v>
      </c>
      <c r="BX47" s="34">
        <v>0</v>
      </c>
      <c r="BY47" s="34" t="str">
        <v>Розетка</v>
      </c>
      <c r="BZ47">
        <v>1</v>
      </c>
      <c r="CA47" t="str">
        <v>линии</v>
      </c>
    </row>
    <row r="48" spans="1:79" x14ac:dyDescent="0.3">
      <c r="A48" s="39" t="str">
        <v>ЩР</v>
      </c>
      <c r="B48" s="42">
        <v>48</v>
      </c>
      <c r="C48" s="42">
        <v>3</v>
      </c>
      <c r="D48" s="75" t="str">
        <v/>
      </c>
      <c r="E48" s="75" t="str">
        <v>авто</v>
      </c>
      <c r="F48" s="76" t="str">
        <v/>
      </c>
      <c r="G48" s="47" t="str">
        <v>QFD27</v>
      </c>
      <c r="H48" s="47" t="str">
        <v>2P С16А 30мА</v>
      </c>
      <c r="I48" s="75" t="str">
        <v/>
      </c>
      <c r="J48" s="76" t="str">
        <v/>
      </c>
      <c r="K48" s="76" t="str">
        <v/>
      </c>
      <c r="L48" s="75" t="str">
        <v/>
      </c>
      <c r="M48" s="49" t="str">
        <v/>
      </c>
      <c r="N48" s="76" t="str">
        <v/>
      </c>
      <c r="O48" s="49" t="str">
        <v/>
      </c>
      <c r="P48" s="77" t="str">
        <v>XT28</v>
      </c>
      <c r="Q48" s="53" t="str">
        <v>ВВГнг(А)-LS (3х2,5) L=32-0,33%</v>
      </c>
      <c r="R48" s="54" t="str">
        <v>R.1.10.2</v>
      </c>
      <c r="S48" s="55" t="str">
        <v>Розеточная группа  Пом. №10</v>
      </c>
      <c r="T48" s="56">
        <v>0.3</v>
      </c>
      <c r="U48" s="56">
        <v>1.37</v>
      </c>
      <c r="V48" s="42" t="str">
        <v>L2</v>
      </c>
      <c r="W48" s="57" t="str">
        <v>ok</v>
      </c>
      <c r="X48" s="58" t="str">
        <v/>
      </c>
      <c r="Y48" s="75" t="str">
        <v/>
      </c>
      <c r="Z48" s="59">
        <v>1.37</v>
      </c>
      <c r="AA48" s="61">
        <v>6</v>
      </c>
      <c r="AB48" s="61">
        <v>25</v>
      </c>
      <c r="AC48" s="61" t="str">
        <v/>
      </c>
      <c r="AD48" s="62" t="str">
        <v>QFD27 → XT28</v>
      </c>
      <c r="AE48" s="62" t="str">
        <v/>
      </c>
      <c r="AF48" s="34">
        <v>27</v>
      </c>
      <c r="AG48" s="34" t="str">
        <v>QFD27</v>
      </c>
      <c r="AH48" s="34" t="str">
        <v/>
      </c>
      <c r="AI48" s="34" t="str">
        <v/>
      </c>
      <c r="AJ48" s="34" t="str">
        <v>QFD27</v>
      </c>
      <c r="AK48" s="34">
        <v>1</v>
      </c>
      <c r="AL48" s="34" t="str">
        <v>R</v>
      </c>
      <c r="AM48" s="34">
        <v>30</v>
      </c>
      <c r="AN48" s="34">
        <v>0</v>
      </c>
      <c r="AO48" s="34">
        <v>16</v>
      </c>
      <c r="AP48" s="34">
        <v>25</v>
      </c>
      <c r="AQ48" s="34">
        <v>16</v>
      </c>
      <c r="AR48" s="34">
        <v>1</v>
      </c>
      <c r="AS48" s="34">
        <v>1</v>
      </c>
      <c r="AT48" s="34" t="str">
        <v>2P</v>
      </c>
      <c r="AU48" s="34">
        <v>16</v>
      </c>
      <c r="AV48" s="34" t="str">
        <v/>
      </c>
      <c r="AW48" s="34" t="str">
        <v/>
      </c>
      <c r="AX48" s="34" t="str">
        <v/>
      </c>
      <c r="AY48" s="34">
        <v>1</v>
      </c>
      <c r="AZ48" s="34" t="str">
        <v/>
      </c>
      <c r="BA48" s="34">
        <v>0</v>
      </c>
      <c r="BB48" s="34">
        <v>16</v>
      </c>
      <c r="BD48" s="34">
        <v>1</v>
      </c>
      <c r="BE48" s="34">
        <v>0</v>
      </c>
      <c r="BF48" s="34">
        <v>1</v>
      </c>
      <c r="BG48" s="34" t="str">
        <v/>
      </c>
      <c r="BH48" s="34" t="str">
        <v/>
      </c>
      <c r="BI48" s="34" t="str">
        <v/>
      </c>
      <c r="BJ48" s="34" t="str">
        <v/>
      </c>
      <c r="BK48" s="34" t="str">
        <v>SOCKET</v>
      </c>
      <c r="BL48" s="34">
        <v>1</v>
      </c>
      <c r="BM48" s="34" t="str">
        <v/>
      </c>
      <c r="BN48" s="34" t="str">
        <v/>
      </c>
      <c r="BO48" s="34" t="str">
        <v/>
      </c>
      <c r="BP48" s="34" t="str">
        <v/>
      </c>
      <c r="BQ48" s="34" t="str">
        <v>3х2,5</v>
      </c>
      <c r="BR48" s="34" t="str">
        <v/>
      </c>
      <c r="BS48" s="34" t="str">
        <v/>
      </c>
      <c r="BT48" s="34" t="str">
        <v/>
      </c>
      <c r="BU48" s="34">
        <v>0</v>
      </c>
      <c r="BV48" s="34">
        <v>28</v>
      </c>
      <c r="BW48" s="34">
        <v>1</v>
      </c>
      <c r="BX48" s="34">
        <v>0</v>
      </c>
      <c r="BY48" s="34" t="str">
        <v>Розетка</v>
      </c>
      <c r="BZ48">
        <v>1</v>
      </c>
      <c r="CA48" t="str">
        <v>линии</v>
      </c>
    </row>
    <row r="49" spans="1:79" x14ac:dyDescent="0.3">
      <c r="A49" s="39" t="str">
        <v>ЩР</v>
      </c>
      <c r="B49" s="42">
        <v>49</v>
      </c>
      <c r="C49" s="42">
        <v>3</v>
      </c>
      <c r="D49" s="75" t="str">
        <v/>
      </c>
      <c r="E49" s="75" t="str">
        <v>авто</v>
      </c>
      <c r="F49" s="76" t="str">
        <v/>
      </c>
      <c r="G49" s="47" t="str">
        <v>QFD28</v>
      </c>
      <c r="H49" s="47" t="str">
        <v>2P С16А 30мА</v>
      </c>
      <c r="I49" s="75" t="str">
        <v/>
      </c>
      <c r="J49" s="76" t="str">
        <v/>
      </c>
      <c r="K49" s="76" t="str">
        <v/>
      </c>
      <c r="L49" s="75" t="str">
        <v/>
      </c>
      <c r="M49" s="49" t="str">
        <v/>
      </c>
      <c r="N49" s="76" t="str">
        <v/>
      </c>
      <c r="O49" s="49" t="str">
        <v/>
      </c>
      <c r="P49" s="77" t="str">
        <v>XT29</v>
      </c>
      <c r="Q49" s="53" t="str">
        <v>ВВГнг(А)-LS (3х2,5) L=29-0,12%</v>
      </c>
      <c r="R49" s="54" t="str">
        <v>R.1.14.1</v>
      </c>
      <c r="S49" s="55" t="str">
        <v>Розеточная группа  Пом. №14</v>
      </c>
      <c r="T49" s="56">
        <v>0.12</v>
      </c>
      <c r="U49" s="56">
        <v>0.55000000000000004</v>
      </c>
      <c r="V49" s="42" t="str">
        <v>L3</v>
      </c>
      <c r="W49" s="57" t="str">
        <v>ok</v>
      </c>
      <c r="X49" s="58" t="str">
        <v/>
      </c>
      <c r="Y49" s="75" t="str">
        <v/>
      </c>
      <c r="Z49" s="59">
        <v>0.55000000000000004</v>
      </c>
      <c r="AA49" s="61">
        <v>6</v>
      </c>
      <c r="AB49" s="61">
        <v>25</v>
      </c>
      <c r="AC49" s="61" t="str">
        <v/>
      </c>
      <c r="AD49" s="62" t="str">
        <v>QFD28 → XT29</v>
      </c>
      <c r="AE49" s="62" t="str">
        <v/>
      </c>
      <c r="AF49" s="34">
        <v>28</v>
      </c>
      <c r="AG49" s="34" t="str">
        <v>QFD28</v>
      </c>
      <c r="AH49" s="34" t="str">
        <v/>
      </c>
      <c r="AI49" s="34" t="str">
        <v/>
      </c>
      <c r="AJ49" s="34" t="str">
        <v>QFD28</v>
      </c>
      <c r="AK49" s="34">
        <v>1</v>
      </c>
      <c r="AL49" s="34" t="str">
        <v>R</v>
      </c>
      <c r="AM49" s="34">
        <v>30</v>
      </c>
      <c r="AN49" s="34">
        <v>0</v>
      </c>
      <c r="AO49" s="34">
        <v>16</v>
      </c>
      <c r="AP49" s="34">
        <v>25</v>
      </c>
      <c r="AQ49" s="34">
        <v>16</v>
      </c>
      <c r="AR49" s="34">
        <v>1</v>
      </c>
      <c r="AS49" s="34">
        <v>1</v>
      </c>
      <c r="AT49" s="34" t="str">
        <v>2P</v>
      </c>
      <c r="AU49" s="34">
        <v>16</v>
      </c>
      <c r="AV49" s="34" t="str">
        <v/>
      </c>
      <c r="AW49" s="34" t="str">
        <v/>
      </c>
      <c r="AX49" s="34" t="str">
        <v/>
      </c>
      <c r="AY49" s="34">
        <v>1</v>
      </c>
      <c r="AZ49" s="34" t="str">
        <v/>
      </c>
      <c r="BA49" s="34">
        <v>0</v>
      </c>
      <c r="BB49" s="34">
        <v>16</v>
      </c>
      <c r="BD49" s="34">
        <v>1</v>
      </c>
      <c r="BE49" s="34">
        <v>0</v>
      </c>
      <c r="BF49" s="34">
        <v>1</v>
      </c>
      <c r="BG49" s="34" t="str">
        <v/>
      </c>
      <c r="BH49" s="34" t="str">
        <v/>
      </c>
      <c r="BI49" s="34" t="str">
        <v/>
      </c>
      <c r="BJ49" s="34" t="str">
        <v/>
      </c>
      <c r="BK49" s="34" t="str">
        <v>SOCKET</v>
      </c>
      <c r="BL49" s="34">
        <v>1</v>
      </c>
      <c r="BM49" s="34" t="str">
        <v/>
      </c>
      <c r="BN49" s="34" t="str">
        <v/>
      </c>
      <c r="BO49" s="34" t="str">
        <v/>
      </c>
      <c r="BP49" s="34" t="str">
        <v/>
      </c>
      <c r="BQ49" s="34" t="str">
        <v>3х2,5</v>
      </c>
      <c r="BR49" s="34" t="str">
        <v/>
      </c>
      <c r="BS49" s="34" t="str">
        <v/>
      </c>
      <c r="BT49" s="34" t="str">
        <v/>
      </c>
      <c r="BU49" s="34">
        <v>0</v>
      </c>
      <c r="BV49" s="34">
        <v>29</v>
      </c>
      <c r="BW49" s="34">
        <v>1</v>
      </c>
      <c r="BX49" s="34">
        <v>0</v>
      </c>
      <c r="BY49" s="34" t="str">
        <v>Розетка</v>
      </c>
      <c r="BZ49">
        <v>1</v>
      </c>
      <c r="CA49" t="str">
        <v>линии</v>
      </c>
    </row>
    <row r="50" spans="1:79" x14ac:dyDescent="0.3">
      <c r="A50" s="39" t="str">
        <v>ЩР</v>
      </c>
      <c r="B50" s="42">
        <v>50</v>
      </c>
      <c r="C50" s="42">
        <v>3</v>
      </c>
      <c r="D50" s="75" t="str">
        <v/>
      </c>
      <c r="E50" s="75" t="str">
        <v>авто</v>
      </c>
      <c r="F50" s="76" t="str">
        <v/>
      </c>
      <c r="G50" s="47" t="str">
        <v>QF29</v>
      </c>
      <c r="H50" s="47" t="str">
        <v>1P С10А</v>
      </c>
      <c r="I50" s="75" t="str">
        <v/>
      </c>
      <c r="J50" s="76" t="str">
        <v/>
      </c>
      <c r="K50" s="76" t="str">
        <v/>
      </c>
      <c r="L50" s="75" t="str">
        <v/>
      </c>
      <c r="M50" s="49" t="str">
        <v/>
      </c>
      <c r="N50" s="76" t="str">
        <v/>
      </c>
      <c r="O50" s="49" t="str">
        <v/>
      </c>
      <c r="P50" s="77" t="str">
        <v>XT30</v>
      </c>
      <c r="Q50" s="53" t="str">
        <v>ВВГнг(А)-LS (3х1,5) L=9-0%</v>
      </c>
      <c r="R50" s="54" t="str">
        <v>L.1.01.1</v>
      </c>
      <c r="S50" s="55" t="str">
        <v>Группа освещения  Пом. №01</v>
      </c>
      <c r="T50" s="56">
        <v>0</v>
      </c>
      <c r="U50" s="56">
        <v>0</v>
      </c>
      <c r="V50" s="42" t="str">
        <v>L1</v>
      </c>
      <c r="W50" s="57" t="str">
        <v>ok</v>
      </c>
      <c r="X50" s="58" t="str">
        <v/>
      </c>
      <c r="Y50" s="75" t="str">
        <v/>
      </c>
      <c r="Z50" s="59">
        <v>0</v>
      </c>
      <c r="AA50" s="61">
        <v>6</v>
      </c>
      <c r="AB50" s="61">
        <v>16</v>
      </c>
      <c r="AC50" s="61" t="str">
        <v/>
      </c>
      <c r="AD50" s="62" t="str">
        <v>QF29 → XT30</v>
      </c>
      <c r="AE50" s="62" t="str">
        <v>нет мощности</v>
      </c>
      <c r="AF50" s="34">
        <v>29</v>
      </c>
      <c r="AG50" s="34" t="str">
        <v>QF29</v>
      </c>
      <c r="AH50" s="34" t="str">
        <v/>
      </c>
      <c r="AI50" s="34" t="str">
        <v/>
      </c>
      <c r="AJ50" s="34" t="str">
        <v>QF29</v>
      </c>
      <c r="AK50" s="34">
        <v>1</v>
      </c>
      <c r="AL50" s="34" t="str">
        <v>L</v>
      </c>
      <c r="AM50" s="34">
        <v>0</v>
      </c>
      <c r="AN50" s="34">
        <v>0</v>
      </c>
      <c r="AO50" s="34">
        <v>10</v>
      </c>
      <c r="AP50" s="34">
        <v>16</v>
      </c>
      <c r="AQ50" s="34">
        <v>10</v>
      </c>
      <c r="AR50" s="34">
        <v>1</v>
      </c>
      <c r="AS50" s="34">
        <v>0</v>
      </c>
      <c r="AT50" s="34" t="str">
        <v>1P</v>
      </c>
      <c r="AU50" s="34">
        <v>10</v>
      </c>
      <c r="AV50" s="34" t="str">
        <v/>
      </c>
      <c r="AW50" s="34" t="str">
        <v/>
      </c>
      <c r="AX50" s="34" t="str">
        <v/>
      </c>
      <c r="AY50" s="34">
        <v>1</v>
      </c>
      <c r="AZ50" s="34" t="str">
        <v/>
      </c>
      <c r="BA50" s="34">
        <v>0</v>
      </c>
      <c r="BB50" s="34">
        <v>10</v>
      </c>
      <c r="BD50" s="34">
        <v>1</v>
      </c>
      <c r="BE50" s="34">
        <v>0</v>
      </c>
      <c r="BF50" s="34">
        <v>0</v>
      </c>
      <c r="BG50" s="34" t="str">
        <v/>
      </c>
      <c r="BH50" s="34" t="str">
        <v/>
      </c>
      <c r="BI50" s="34" t="str">
        <v/>
      </c>
      <c r="BJ50" s="34" t="str">
        <v/>
      </c>
      <c r="BK50" s="34" t="str">
        <v>LAMP</v>
      </c>
      <c r="BL50" s="34">
        <v>1</v>
      </c>
      <c r="BM50" s="34">
        <v>3</v>
      </c>
      <c r="BN50" s="34" t="str">
        <v/>
      </c>
      <c r="BO50" s="34" t="str">
        <v/>
      </c>
      <c r="BP50" s="34" t="str">
        <v/>
      </c>
      <c r="BQ50" s="34" t="str">
        <v>3х1,5</v>
      </c>
      <c r="BR50" s="34">
        <v>3</v>
      </c>
      <c r="BS50" s="34" t="str">
        <v/>
      </c>
      <c r="BT50" s="34" t="str">
        <v/>
      </c>
      <c r="BU50" s="34">
        <v>1</v>
      </c>
      <c r="BV50" s="34">
        <v>30</v>
      </c>
      <c r="BW50" s="34">
        <v>1</v>
      </c>
      <c r="BX50" s="34">
        <v>0</v>
      </c>
      <c r="BY50" s="34" t="str">
        <v>Светильник</v>
      </c>
      <c r="BZ50">
        <v>1</v>
      </c>
      <c r="CA50" t="str">
        <v>линии</v>
      </c>
    </row>
    <row r="51" spans="1:79" x14ac:dyDescent="0.3">
      <c r="A51" s="39" t="str">
        <v>ЩР</v>
      </c>
      <c r="B51" s="42">
        <v>53</v>
      </c>
      <c r="C51" s="42">
        <v>4</v>
      </c>
      <c r="D51" s="75" t="str">
        <v/>
      </c>
      <c r="E51" s="75" t="str">
        <v>авто</v>
      </c>
      <c r="F51" s="76" t="str">
        <v/>
      </c>
      <c r="G51" s="47" t="str">
        <v>QF30</v>
      </c>
      <c r="H51" s="47" t="str">
        <v>1P С10А</v>
      </c>
      <c r="I51" s="75" t="str">
        <v/>
      </c>
      <c r="J51" s="76" t="str">
        <v/>
      </c>
      <c r="K51" s="76" t="str">
        <v/>
      </c>
      <c r="L51" s="75" t="str">
        <v>ZIOMB24V2</v>
      </c>
      <c r="M51" s="49" t="str">
        <v>R.1</v>
      </c>
      <c r="N51" s="76" t="str">
        <v/>
      </c>
      <c r="O51" s="49">
        <v>1</v>
      </c>
      <c r="P51" s="77" t="str">
        <v>XT31</v>
      </c>
      <c r="Q51" s="53" t="str">
        <v>ВВГнг(А)-LS (3х1,5) L=13-0%</v>
      </c>
      <c r="R51" s="54" t="str">
        <v>L.1.04.1</v>
      </c>
      <c r="S51" s="55" t="str">
        <v>Группа освещения  Пом. №04</v>
      </c>
      <c r="T51" s="56">
        <v>0</v>
      </c>
      <c r="U51" s="56">
        <v>0</v>
      </c>
      <c r="V51" s="42" t="str">
        <v>L1</v>
      </c>
      <c r="W51" s="57" t="str">
        <v>ok</v>
      </c>
      <c r="X51" s="58" t="str">
        <v/>
      </c>
      <c r="Y51" s="75" t="str">
        <v/>
      </c>
      <c r="Z51" s="59">
        <v>0</v>
      </c>
      <c r="AA51" s="61">
        <v>6</v>
      </c>
      <c r="AB51" s="61">
        <v>16</v>
      </c>
      <c r="AC51" s="61" t="str">
        <v>ZIOMB24V2</v>
      </c>
      <c r="AD51" s="62" t="str">
        <v>QF30 → R.1 к.1 → XT31</v>
      </c>
      <c r="AE51" s="62" t="str">
        <v>нет мощности</v>
      </c>
      <c r="AF51" s="34">
        <v>30</v>
      </c>
      <c r="AG51" s="34" t="str">
        <v>QF30</v>
      </c>
      <c r="AH51" s="34" t="str">
        <v>R.1</v>
      </c>
      <c r="AI51" s="34" t="str">
        <v>ZIOMB24V2</v>
      </c>
      <c r="AJ51" s="34" t="str">
        <v>QF30</v>
      </c>
      <c r="AK51" s="34">
        <v>1</v>
      </c>
      <c r="AL51" s="34" t="str">
        <v>L</v>
      </c>
      <c r="AM51" s="34">
        <v>0</v>
      </c>
      <c r="AN51" s="34">
        <v>0</v>
      </c>
      <c r="AO51" s="34">
        <v>10</v>
      </c>
      <c r="AP51" s="34">
        <v>16</v>
      </c>
      <c r="AQ51" s="34">
        <v>10</v>
      </c>
      <c r="AR51" s="34">
        <v>1</v>
      </c>
      <c r="AS51" s="34">
        <v>0</v>
      </c>
      <c r="AT51" s="34" t="str">
        <v>1P</v>
      </c>
      <c r="AU51" s="34">
        <v>10</v>
      </c>
      <c r="AV51" s="34" t="str">
        <v>R</v>
      </c>
      <c r="AW51" s="34" t="str">
        <v>R.1</v>
      </c>
      <c r="AX51" s="34">
        <v>1</v>
      </c>
      <c r="AY51" s="34">
        <v>1</v>
      </c>
      <c r="AZ51" s="34" t="str">
        <v/>
      </c>
      <c r="BA51" s="34">
        <v>0</v>
      </c>
      <c r="BB51" s="34">
        <v>10</v>
      </c>
      <c r="BD51" s="34">
        <v>1</v>
      </c>
      <c r="BE51" s="34">
        <v>0</v>
      </c>
      <c r="BF51" s="34">
        <v>0</v>
      </c>
      <c r="BG51" s="34" t="str">
        <v/>
      </c>
      <c r="BH51" s="34" t="str">
        <v/>
      </c>
      <c r="BI51" s="34" t="str">
        <v/>
      </c>
      <c r="BJ51" s="34" t="str">
        <v/>
      </c>
      <c r="BK51" s="34" t="str">
        <v>LAMP</v>
      </c>
      <c r="BL51" s="34">
        <v>1</v>
      </c>
      <c r="BM51" s="34" t="str">
        <v/>
      </c>
      <c r="BN51" s="34" t="str">
        <v/>
      </c>
      <c r="BO51" s="34" t="str">
        <v/>
      </c>
      <c r="BP51" s="34" t="str">
        <v/>
      </c>
      <c r="BQ51" s="34" t="str">
        <v>3х1,5</v>
      </c>
      <c r="BR51" s="34" t="str">
        <v/>
      </c>
      <c r="BS51" s="34">
        <v>1</v>
      </c>
      <c r="BT51" s="34">
        <v>1</v>
      </c>
      <c r="BU51" s="34">
        <v>1</v>
      </c>
      <c r="BV51" s="34">
        <v>31</v>
      </c>
      <c r="BW51" s="34">
        <v>1</v>
      </c>
      <c r="BX51" s="34">
        <v>0</v>
      </c>
      <c r="BY51" s="34" t="str">
        <v>Светильник</v>
      </c>
      <c r="BZ51">
        <v>1</v>
      </c>
      <c r="CA51" t="str">
        <v>линии</v>
      </c>
    </row>
    <row r="52" spans="1:79" x14ac:dyDescent="0.3">
      <c r="A52" s="39" t="str">
        <v>ЩР</v>
      </c>
      <c r="B52" s="42">
        <v>54</v>
      </c>
      <c r="C52" s="42">
        <v>4</v>
      </c>
      <c r="D52" s="75" t="str">
        <v/>
      </c>
      <c r="E52" s="75" t="str">
        <v/>
      </c>
      <c r="F52" s="76" t="str">
        <v/>
      </c>
      <c r="G52" s="47" t="str">
        <v>QF30</v>
      </c>
      <c r="H52" s="47" t="str">
        <v/>
      </c>
      <c r="I52" s="75" t="str">
        <v/>
      </c>
      <c r="J52" s="76" t="str">
        <v/>
      </c>
      <c r="K52" s="76" t="str">
        <v/>
      </c>
      <c r="L52" s="75" t="str">
        <v/>
      </c>
      <c r="M52" s="49" t="str">
        <v>R.1</v>
      </c>
      <c r="N52" s="76" t="str">
        <v/>
      </c>
      <c r="O52" s="49">
        <v>2</v>
      </c>
      <c r="P52" s="77" t="str">
        <v>XT32</v>
      </c>
      <c r="Q52" s="53" t="str">
        <v>ВВГнг(А)-LS (3х1,5) L=14-0%</v>
      </c>
      <c r="R52" s="54" t="str">
        <v>L.1.04.2</v>
      </c>
      <c r="S52" s="55" t="str">
        <v>Группа освещения  Пом. №04</v>
      </c>
      <c r="T52" s="56">
        <v>0</v>
      </c>
      <c r="U52" s="56">
        <v>0</v>
      </c>
      <c r="V52" s="42" t="str">
        <v>L2</v>
      </c>
      <c r="W52" s="57" t="str">
        <v/>
      </c>
      <c r="X52" s="58" t="str">
        <v/>
      </c>
      <c r="Y52" s="75" t="str">
        <v/>
      </c>
      <c r="Z52" s="59" t="str">
        <v/>
      </c>
      <c r="AA52" s="61" t="str">
        <v/>
      </c>
      <c r="AB52" s="61">
        <v>16</v>
      </c>
      <c r="AC52" s="61" t="str">
        <v>ZIOMB24V2</v>
      </c>
      <c r="AD52" s="62" t="str">
        <v>QF30 → R.1 к.2 → XT32</v>
      </c>
      <c r="AE52" s="62" t="str">
        <v>нет мощности</v>
      </c>
      <c r="AF52" s="34">
        <v>30</v>
      </c>
      <c r="AG52" s="34" t="str">
        <v>QF30</v>
      </c>
      <c r="AH52" s="34" t="str">
        <v>R.1</v>
      </c>
      <c r="AI52" s="34" t="str">
        <v>ZIOMB24V2</v>
      </c>
      <c r="AJ52" s="34" t="str">
        <v/>
      </c>
      <c r="AK52" s="34">
        <v>1</v>
      </c>
      <c r="AL52" s="34" t="str">
        <v>L</v>
      </c>
      <c r="AM52" s="34">
        <v>0</v>
      </c>
      <c r="AN52" s="34">
        <v>0</v>
      </c>
      <c r="AO52" s="34" t="str">
        <v/>
      </c>
      <c r="AP52" s="34" t="str">
        <v/>
      </c>
      <c r="AQ52" s="34" t="str">
        <v/>
      </c>
      <c r="AR52" s="34" t="str">
        <v/>
      </c>
      <c r="AS52" s="34" t="str">
        <v/>
      </c>
      <c r="AT52" s="34" t="str">
        <v/>
      </c>
      <c r="AU52" s="34" t="str">
        <v/>
      </c>
      <c r="AV52" s="34" t="str">
        <v/>
      </c>
      <c r="AW52" s="34" t="str">
        <v/>
      </c>
      <c r="AX52" s="34">
        <v>2</v>
      </c>
      <c r="AY52" s="34">
        <v>1</v>
      </c>
      <c r="AZ52" s="34" t="str">
        <v/>
      </c>
      <c r="BA52" s="34">
        <v>0</v>
      </c>
      <c r="BB52" s="34">
        <v>10</v>
      </c>
      <c r="BD52" s="34">
        <v>1</v>
      </c>
      <c r="BE52" s="34">
        <v>0</v>
      </c>
      <c r="BF52" s="34">
        <v>0</v>
      </c>
      <c r="BG52" s="34" t="str">
        <v/>
      </c>
      <c r="BH52" s="34" t="str">
        <v/>
      </c>
      <c r="BI52" s="34" t="str">
        <v/>
      </c>
      <c r="BJ52" s="34" t="str">
        <v/>
      </c>
      <c r="BK52" s="34" t="str">
        <v>LAMP</v>
      </c>
      <c r="BL52" s="34">
        <v>1</v>
      </c>
      <c r="BM52" s="34" t="str">
        <v/>
      </c>
      <c r="BN52" s="34" t="str">
        <v/>
      </c>
      <c r="BO52" s="34" t="str">
        <v/>
      </c>
      <c r="BP52" s="34" t="str">
        <v/>
      </c>
      <c r="BQ52" s="34" t="str">
        <v>3х1,5</v>
      </c>
      <c r="BR52" s="34" t="str">
        <v/>
      </c>
      <c r="BS52" s="34" t="str">
        <v/>
      </c>
      <c r="BT52" s="34" t="str">
        <v/>
      </c>
      <c r="BU52" s="34">
        <v>1</v>
      </c>
      <c r="BV52" s="34">
        <v>32</v>
      </c>
      <c r="BW52" s="34">
        <v>1</v>
      </c>
      <c r="BX52" s="34">
        <v>0</v>
      </c>
      <c r="BY52" s="34" t="str">
        <v>Светильник</v>
      </c>
      <c r="BZ52">
        <v>1</v>
      </c>
      <c r="CA52" t="str">
        <v>линии</v>
      </c>
    </row>
    <row r="53" spans="1:79" x14ac:dyDescent="0.3">
      <c r="A53" s="39" t="str">
        <v>ЩР</v>
      </c>
      <c r="B53" s="42">
        <v>55</v>
      </c>
      <c r="C53" s="42">
        <v>4</v>
      </c>
      <c r="D53" s="75" t="str">
        <v/>
      </c>
      <c r="E53" s="75" t="str">
        <v/>
      </c>
      <c r="F53" s="76" t="str">
        <v/>
      </c>
      <c r="G53" s="47" t="str">
        <v>QF30</v>
      </c>
      <c r="H53" s="47" t="str">
        <v/>
      </c>
      <c r="I53" s="75" t="str">
        <v/>
      </c>
      <c r="J53" s="76" t="str">
        <v/>
      </c>
      <c r="K53" s="76" t="str">
        <v/>
      </c>
      <c r="L53" s="75" t="str">
        <v/>
      </c>
      <c r="M53" s="49" t="str">
        <v>R.1</v>
      </c>
      <c r="N53" s="76" t="str">
        <v/>
      </c>
      <c r="O53" s="49">
        <v>3</v>
      </c>
      <c r="P53" s="77" t="str">
        <v>XT33</v>
      </c>
      <c r="Q53" s="53" t="str">
        <v>ВВГнг(А)-LS (3х1,5) L=21-0%</v>
      </c>
      <c r="R53" s="54" t="str">
        <v>L.1.06.2</v>
      </c>
      <c r="S53" s="55" t="str">
        <v>Группа освещения  Пом. №06</v>
      </c>
      <c r="T53" s="56">
        <v>0</v>
      </c>
      <c r="U53" s="56">
        <v>0</v>
      </c>
      <c r="V53" s="42" t="str">
        <v>L3</v>
      </c>
      <c r="W53" s="57" t="str">
        <v/>
      </c>
      <c r="X53" s="58" t="str">
        <v/>
      </c>
      <c r="Y53" s="75" t="str">
        <v/>
      </c>
      <c r="Z53" s="59" t="str">
        <v/>
      </c>
      <c r="AA53" s="61" t="str">
        <v/>
      </c>
      <c r="AB53" s="61">
        <v>16</v>
      </c>
      <c r="AC53" s="61" t="str">
        <v>ZIOMB24V2</v>
      </c>
      <c r="AD53" s="62" t="str">
        <v>QF30 → R.1 к.3 → XT33</v>
      </c>
      <c r="AE53" s="62" t="str">
        <v>нет мощности</v>
      </c>
      <c r="AF53" s="34">
        <v>30</v>
      </c>
      <c r="AG53" s="34" t="str">
        <v>QF30</v>
      </c>
      <c r="AH53" s="34" t="str">
        <v>R.1</v>
      </c>
      <c r="AI53" s="34" t="str">
        <v>ZIOMB24V2</v>
      </c>
      <c r="AJ53" s="34" t="str">
        <v/>
      </c>
      <c r="AK53" s="34">
        <v>1</v>
      </c>
      <c r="AL53" s="34" t="str">
        <v>L</v>
      </c>
      <c r="AM53" s="34">
        <v>0</v>
      </c>
      <c r="AN53" s="34">
        <v>0</v>
      </c>
      <c r="AO53" s="34" t="str">
        <v/>
      </c>
      <c r="AP53" s="34" t="str">
        <v/>
      </c>
      <c r="AQ53" s="34" t="str">
        <v/>
      </c>
      <c r="AR53" s="34" t="str">
        <v/>
      </c>
      <c r="AS53" s="34" t="str">
        <v/>
      </c>
      <c r="AT53" s="34" t="str">
        <v/>
      </c>
      <c r="AU53" s="34" t="str">
        <v/>
      </c>
      <c r="AV53" s="34" t="str">
        <v/>
      </c>
      <c r="AW53" s="34" t="str">
        <v/>
      </c>
      <c r="AX53" s="34">
        <v>3</v>
      </c>
      <c r="AY53" s="34">
        <v>1</v>
      </c>
      <c r="AZ53" s="34" t="str">
        <v/>
      </c>
      <c r="BA53" s="34">
        <v>0</v>
      </c>
      <c r="BB53" s="34">
        <v>10</v>
      </c>
      <c r="BD53" s="34">
        <v>1</v>
      </c>
      <c r="BE53" s="34">
        <v>0</v>
      </c>
      <c r="BF53" s="34">
        <v>0</v>
      </c>
      <c r="BG53" s="34" t="str">
        <v/>
      </c>
      <c r="BH53" s="34" t="str">
        <v/>
      </c>
      <c r="BI53" s="34" t="str">
        <v/>
      </c>
      <c r="BJ53" s="34" t="str">
        <v/>
      </c>
      <c r="BK53" s="34" t="str">
        <v>LAMP</v>
      </c>
      <c r="BL53" s="34">
        <v>1</v>
      </c>
      <c r="BM53" s="34" t="str">
        <v/>
      </c>
      <c r="BN53" s="34" t="str">
        <v/>
      </c>
      <c r="BO53" s="34" t="str">
        <v/>
      </c>
      <c r="BP53" s="34" t="str">
        <v/>
      </c>
      <c r="BQ53" s="34" t="str">
        <v>3х1,5</v>
      </c>
      <c r="BR53" s="34" t="str">
        <v/>
      </c>
      <c r="BS53" s="34" t="str">
        <v/>
      </c>
      <c r="BT53" s="34" t="str">
        <v/>
      </c>
      <c r="BU53" s="34">
        <v>1</v>
      </c>
      <c r="BV53" s="34">
        <v>33</v>
      </c>
      <c r="BW53" s="34">
        <v>1</v>
      </c>
      <c r="BX53" s="34">
        <v>0</v>
      </c>
      <c r="BY53" s="34" t="str">
        <v>Светильник</v>
      </c>
      <c r="BZ53">
        <v>1</v>
      </c>
      <c r="CA53" t="str">
        <v>линии</v>
      </c>
    </row>
    <row r="54" spans="1:79" x14ac:dyDescent="0.3">
      <c r="A54" s="39" t="str">
        <v>ЩР</v>
      </c>
      <c r="B54" s="42">
        <v>56</v>
      </c>
      <c r="C54" s="42">
        <v>4</v>
      </c>
      <c r="D54" s="75" t="str">
        <v/>
      </c>
      <c r="E54" s="75" t="str">
        <v/>
      </c>
      <c r="F54" s="76" t="str">
        <v/>
      </c>
      <c r="G54" s="47" t="str">
        <v>QF30</v>
      </c>
      <c r="H54" s="47" t="str">
        <v/>
      </c>
      <c r="I54" s="75" t="str">
        <v/>
      </c>
      <c r="J54" s="76" t="str">
        <v/>
      </c>
      <c r="K54" s="76" t="str">
        <v/>
      </c>
      <c r="L54" s="75" t="str">
        <v/>
      </c>
      <c r="M54" s="49" t="str">
        <v>R.1</v>
      </c>
      <c r="N54" s="76" t="str">
        <v/>
      </c>
      <c r="O54" s="49">
        <v>4</v>
      </c>
      <c r="P54" s="77" t="str">
        <v>XT34</v>
      </c>
      <c r="Q54" s="53" t="str">
        <v>ВВГнг(А)-LS (3х1,5) L=12-0%</v>
      </c>
      <c r="R54" s="54" t="str">
        <v>L.1.08.2</v>
      </c>
      <c r="S54" s="55" t="str">
        <v>Группа освещения  Пом. №08</v>
      </c>
      <c r="T54" s="56">
        <v>0</v>
      </c>
      <c r="U54" s="56">
        <v>0</v>
      </c>
      <c r="V54" s="42" t="str">
        <v>L1</v>
      </c>
      <c r="W54" s="57" t="str">
        <v/>
      </c>
      <c r="X54" s="58" t="str">
        <v/>
      </c>
      <c r="Y54" s="75" t="str">
        <v/>
      </c>
      <c r="Z54" s="59" t="str">
        <v/>
      </c>
      <c r="AA54" s="61" t="str">
        <v/>
      </c>
      <c r="AB54" s="61">
        <v>16</v>
      </c>
      <c r="AC54" s="61" t="str">
        <v>ZIOMB24V2</v>
      </c>
      <c r="AD54" s="62" t="str">
        <v>QF30 → R.1 к.4 → XT34</v>
      </c>
      <c r="AE54" s="62" t="str">
        <v>нет мощности</v>
      </c>
      <c r="AF54" s="34">
        <v>30</v>
      </c>
      <c r="AG54" s="34" t="str">
        <v>QF30</v>
      </c>
      <c r="AH54" s="34" t="str">
        <v>R.1</v>
      </c>
      <c r="AI54" s="34" t="str">
        <v>ZIOMB24V2</v>
      </c>
      <c r="AJ54" s="34" t="str">
        <v/>
      </c>
      <c r="AK54" s="34">
        <v>1</v>
      </c>
      <c r="AL54" s="34" t="str">
        <v>L</v>
      </c>
      <c r="AM54" s="34">
        <v>0</v>
      </c>
      <c r="AN54" s="34">
        <v>0</v>
      </c>
      <c r="AO54" s="34" t="str">
        <v/>
      </c>
      <c r="AP54" s="34" t="str">
        <v/>
      </c>
      <c r="AQ54" s="34" t="str">
        <v/>
      </c>
      <c r="AR54" s="34" t="str">
        <v/>
      </c>
      <c r="AS54" s="34" t="str">
        <v/>
      </c>
      <c r="AT54" s="34" t="str">
        <v/>
      </c>
      <c r="AU54" s="34" t="str">
        <v/>
      </c>
      <c r="AV54" s="34" t="str">
        <v/>
      </c>
      <c r="AW54" s="34" t="str">
        <v/>
      </c>
      <c r="AX54" s="34">
        <v>4</v>
      </c>
      <c r="AY54" s="34">
        <v>1</v>
      </c>
      <c r="AZ54" s="34" t="str">
        <v/>
      </c>
      <c r="BA54" s="34">
        <v>0</v>
      </c>
      <c r="BB54" s="34">
        <v>10</v>
      </c>
      <c r="BD54" s="34">
        <v>1</v>
      </c>
      <c r="BE54" s="34">
        <v>0</v>
      </c>
      <c r="BF54" s="34">
        <v>0</v>
      </c>
      <c r="BG54" s="34" t="str">
        <v/>
      </c>
      <c r="BH54" s="34" t="str">
        <v/>
      </c>
      <c r="BI54" s="34" t="str">
        <v/>
      </c>
      <c r="BJ54" s="34" t="str">
        <v/>
      </c>
      <c r="BK54" s="34" t="str">
        <v>LAMP</v>
      </c>
      <c r="BL54" s="34">
        <v>1</v>
      </c>
      <c r="BM54" s="34" t="str">
        <v/>
      </c>
      <c r="BN54" s="34" t="str">
        <v/>
      </c>
      <c r="BO54" s="34" t="str">
        <v/>
      </c>
      <c r="BP54" s="34" t="str">
        <v/>
      </c>
      <c r="BQ54" s="34" t="str">
        <v>3х1,5</v>
      </c>
      <c r="BR54" s="34" t="str">
        <v/>
      </c>
      <c r="BS54" s="34" t="str">
        <v/>
      </c>
      <c r="BT54" s="34" t="str">
        <v/>
      </c>
      <c r="BU54" s="34">
        <v>1</v>
      </c>
      <c r="BV54" s="34">
        <v>34</v>
      </c>
      <c r="BW54" s="34">
        <v>1</v>
      </c>
      <c r="BX54" s="34">
        <v>0</v>
      </c>
      <c r="BY54" s="34" t="str">
        <v>Светильник</v>
      </c>
      <c r="BZ54">
        <v>1</v>
      </c>
      <c r="CA54" t="str">
        <v>линии</v>
      </c>
    </row>
    <row r="55" spans="1:79" x14ac:dyDescent="0.3">
      <c r="A55" s="39" t="str">
        <v>ЩР</v>
      </c>
      <c r="B55" s="42">
        <v>57</v>
      </c>
      <c r="C55" s="42">
        <v>4</v>
      </c>
      <c r="D55" s="75" t="str">
        <v/>
      </c>
      <c r="E55" s="75" t="str">
        <v>авто</v>
      </c>
      <c r="F55" s="76" t="str">
        <v/>
      </c>
      <c r="G55" s="47" t="str">
        <v>QF31</v>
      </c>
      <c r="H55" s="47" t="str">
        <v>1P С10А</v>
      </c>
      <c r="I55" s="75" t="str">
        <v/>
      </c>
      <c r="J55" s="76" t="str">
        <v/>
      </c>
      <c r="K55" s="76" t="str">
        <v/>
      </c>
      <c r="L55" s="75" t="str">
        <v/>
      </c>
      <c r="M55" s="49" t="str">
        <v>R.1</v>
      </c>
      <c r="N55" s="76" t="str">
        <v/>
      </c>
      <c r="O55" s="49">
        <v>5</v>
      </c>
      <c r="P55" s="77" t="str">
        <v>XT35</v>
      </c>
      <c r="Q55" s="53" t="str">
        <v>ВВГнг(А)-LS (3х1,5) L=16-0%</v>
      </c>
      <c r="R55" s="54" t="str">
        <v>L.1.10.2</v>
      </c>
      <c r="S55" s="55" t="str">
        <v>Группа освещения  Пом. №10</v>
      </c>
      <c r="T55" s="56">
        <v>0</v>
      </c>
      <c r="U55" s="56">
        <v>0</v>
      </c>
      <c r="V55" s="42" t="str">
        <v>L2</v>
      </c>
      <c r="W55" s="57" t="str">
        <v>ok</v>
      </c>
      <c r="X55" s="58" t="str">
        <v/>
      </c>
      <c r="Y55" s="75" t="str">
        <v/>
      </c>
      <c r="Z55" s="59">
        <v>0</v>
      </c>
      <c r="AA55" s="61">
        <v>6</v>
      </c>
      <c r="AB55" s="61">
        <v>16</v>
      </c>
      <c r="AC55" s="61" t="str">
        <v>ZIOMB24V2</v>
      </c>
      <c r="AD55" s="62" t="str">
        <v>QF31 → R.1 к.5 → XT35</v>
      </c>
      <c r="AE55" s="62" t="str">
        <v>нет мощности</v>
      </c>
      <c r="AF55" s="34">
        <v>31</v>
      </c>
      <c r="AG55" s="34" t="str">
        <v>QF31</v>
      </c>
      <c r="AH55" s="34" t="str">
        <v>R.1</v>
      </c>
      <c r="AI55" s="34" t="str">
        <v>ZIOMB24V2</v>
      </c>
      <c r="AJ55" s="34" t="str">
        <v>QF31</v>
      </c>
      <c r="AK55" s="34">
        <v>1</v>
      </c>
      <c r="AL55" s="34" t="str">
        <v>L</v>
      </c>
      <c r="AM55" s="34">
        <v>0</v>
      </c>
      <c r="AN55" s="34">
        <v>0</v>
      </c>
      <c r="AO55" s="34">
        <v>10</v>
      </c>
      <c r="AP55" s="34">
        <v>16</v>
      </c>
      <c r="AQ55" s="34">
        <v>10</v>
      </c>
      <c r="AR55" s="34">
        <v>1</v>
      </c>
      <c r="AS55" s="34">
        <v>0</v>
      </c>
      <c r="AT55" s="34" t="str">
        <v>1P</v>
      </c>
      <c r="AU55" s="34">
        <v>10</v>
      </c>
      <c r="AV55" s="34" t="str">
        <v/>
      </c>
      <c r="AW55" s="34" t="str">
        <v/>
      </c>
      <c r="AX55" s="34">
        <v>5</v>
      </c>
      <c r="AY55" s="34">
        <v>1</v>
      </c>
      <c r="AZ55" s="34" t="str">
        <v/>
      </c>
      <c r="BA55" s="34">
        <v>0</v>
      </c>
      <c r="BB55" s="34">
        <v>10</v>
      </c>
      <c r="BD55" s="34">
        <v>1</v>
      </c>
      <c r="BE55" s="34">
        <v>0</v>
      </c>
      <c r="BF55" s="34">
        <v>0</v>
      </c>
      <c r="BG55" s="34" t="str">
        <v/>
      </c>
      <c r="BH55" s="34" t="str">
        <v/>
      </c>
      <c r="BI55" s="34" t="str">
        <v/>
      </c>
      <c r="BJ55" s="34" t="str">
        <v/>
      </c>
      <c r="BK55" s="34" t="str">
        <v>LAMP</v>
      </c>
      <c r="BL55" s="34">
        <v>1</v>
      </c>
      <c r="BM55" s="34" t="str">
        <v/>
      </c>
      <c r="BN55" s="34" t="str">
        <v/>
      </c>
      <c r="BO55" s="34" t="str">
        <v/>
      </c>
      <c r="BP55" s="34" t="str">
        <v/>
      </c>
      <c r="BQ55" s="34" t="str">
        <v>3х1,5</v>
      </c>
      <c r="BR55" s="34" t="str">
        <v/>
      </c>
      <c r="BS55" s="34" t="str">
        <v/>
      </c>
      <c r="BT55" s="34" t="str">
        <v/>
      </c>
      <c r="BU55" s="34">
        <v>1</v>
      </c>
      <c r="BV55" s="34">
        <v>35</v>
      </c>
      <c r="BW55" s="34">
        <v>1</v>
      </c>
      <c r="BX55" s="34">
        <v>0</v>
      </c>
      <c r="BY55" s="34" t="str">
        <v>Светильник</v>
      </c>
      <c r="BZ55">
        <v>1</v>
      </c>
      <c r="CA55" t="str">
        <v>линии</v>
      </c>
    </row>
    <row r="56" spans="1:79" x14ac:dyDescent="0.3">
      <c r="A56" s="39" t="str">
        <v>ЩР</v>
      </c>
      <c r="B56" s="42">
        <v>58</v>
      </c>
      <c r="C56" s="42">
        <v>4</v>
      </c>
      <c r="D56" s="75" t="str">
        <v/>
      </c>
      <c r="E56" s="75" t="str">
        <v/>
      </c>
      <c r="F56" s="76" t="str">
        <v/>
      </c>
      <c r="G56" s="47" t="str">
        <v>QF31</v>
      </c>
      <c r="H56" s="47" t="str">
        <v/>
      </c>
      <c r="I56" s="75" t="str">
        <v/>
      </c>
      <c r="J56" s="76" t="str">
        <v/>
      </c>
      <c r="K56" s="76" t="str">
        <v/>
      </c>
      <c r="L56" s="75" t="str">
        <v/>
      </c>
      <c r="M56" s="49" t="str">
        <v>R.1</v>
      </c>
      <c r="N56" s="76" t="str">
        <v/>
      </c>
      <c r="O56" s="49">
        <v>6</v>
      </c>
      <c r="P56" s="77" t="str">
        <v>XT36</v>
      </c>
      <c r="Q56" s="53" t="str">
        <v>ВВГнг(А)-LS (3х1,5) L=18-0%</v>
      </c>
      <c r="R56" s="54" t="str">
        <v>L.1.14.1</v>
      </c>
      <c r="S56" s="55" t="str">
        <v>Группа освещения  Пом. №14</v>
      </c>
      <c r="T56" s="56">
        <v>0</v>
      </c>
      <c r="U56" s="56">
        <v>0</v>
      </c>
      <c r="V56" s="42" t="str">
        <v>L3</v>
      </c>
      <c r="W56" s="57" t="str">
        <v/>
      </c>
      <c r="X56" s="58" t="str">
        <v/>
      </c>
      <c r="Y56" s="75" t="str">
        <v/>
      </c>
      <c r="Z56" s="59" t="str">
        <v/>
      </c>
      <c r="AA56" s="61" t="str">
        <v/>
      </c>
      <c r="AB56" s="61">
        <v>16</v>
      </c>
      <c r="AC56" s="61" t="str">
        <v>ZIOMB24V2</v>
      </c>
      <c r="AD56" s="62" t="str">
        <v>QF31 → R.1 к.6 → XT36</v>
      </c>
      <c r="AE56" s="62" t="str">
        <v>нет мощности</v>
      </c>
      <c r="AF56" s="34">
        <v>31</v>
      </c>
      <c r="AG56" s="34" t="str">
        <v>QF31</v>
      </c>
      <c r="AH56" s="34" t="str">
        <v>R.1</v>
      </c>
      <c r="AI56" s="34" t="str">
        <v>ZIOMB24V2</v>
      </c>
      <c r="AJ56" s="34" t="str">
        <v/>
      </c>
      <c r="AK56" s="34">
        <v>1</v>
      </c>
      <c r="AL56" s="34" t="str">
        <v>L</v>
      </c>
      <c r="AM56" s="34">
        <v>0</v>
      </c>
      <c r="AN56" s="34">
        <v>0</v>
      </c>
      <c r="AO56" s="34" t="str">
        <v/>
      </c>
      <c r="AP56" s="34" t="str">
        <v/>
      </c>
      <c r="AQ56" s="34" t="str">
        <v/>
      </c>
      <c r="AR56" s="34" t="str">
        <v/>
      </c>
      <c r="AS56" s="34" t="str">
        <v/>
      </c>
      <c r="AT56" s="34" t="str">
        <v/>
      </c>
      <c r="AU56" s="34" t="str">
        <v/>
      </c>
      <c r="AV56" s="34" t="str">
        <v/>
      </c>
      <c r="AW56" s="34" t="str">
        <v/>
      </c>
      <c r="AX56" s="34">
        <v>6</v>
      </c>
      <c r="AY56" s="34">
        <v>1</v>
      </c>
      <c r="AZ56" s="34" t="str">
        <v/>
      </c>
      <c r="BA56" s="34">
        <v>0</v>
      </c>
      <c r="BB56" s="34">
        <v>10</v>
      </c>
      <c r="BD56" s="34">
        <v>1</v>
      </c>
      <c r="BE56" s="34">
        <v>0</v>
      </c>
      <c r="BF56" s="34">
        <v>0</v>
      </c>
      <c r="BG56" s="34" t="str">
        <v/>
      </c>
      <c r="BH56" s="34" t="str">
        <v/>
      </c>
      <c r="BI56" s="34" t="str">
        <v/>
      </c>
      <c r="BJ56" s="34" t="str">
        <v/>
      </c>
      <c r="BK56" s="34" t="str">
        <v>LAMP</v>
      </c>
      <c r="BL56" s="34">
        <v>1</v>
      </c>
      <c r="BM56" s="34" t="str">
        <v/>
      </c>
      <c r="BN56" s="34" t="str">
        <v/>
      </c>
      <c r="BO56" s="34" t="str">
        <v/>
      </c>
      <c r="BP56" s="34" t="str">
        <v/>
      </c>
      <c r="BQ56" s="34" t="str">
        <v>3х1,5</v>
      </c>
      <c r="BR56" s="34" t="str">
        <v/>
      </c>
      <c r="BS56" s="34" t="str">
        <v/>
      </c>
      <c r="BT56" s="34" t="str">
        <v/>
      </c>
      <c r="BU56" s="34">
        <v>1</v>
      </c>
      <c r="BV56" s="34">
        <v>36</v>
      </c>
      <c r="BW56" s="34">
        <v>1</v>
      </c>
      <c r="BX56" s="34">
        <v>0</v>
      </c>
      <c r="BY56" s="34" t="str">
        <v>Светильник</v>
      </c>
      <c r="BZ56">
        <v>1</v>
      </c>
      <c r="CA56" t="str">
        <v>линии</v>
      </c>
    </row>
    <row r="57" spans="1:79" x14ac:dyDescent="0.3">
      <c r="A57" s="39" t="str">
        <v>ЩР</v>
      </c>
      <c r="B57" s="42">
        <v>59</v>
      </c>
      <c r="C57" s="42">
        <v>4</v>
      </c>
      <c r="D57" s="75" t="str">
        <v/>
      </c>
      <c r="E57" s="75" t="str">
        <v/>
      </c>
      <c r="F57" s="76" t="str">
        <v/>
      </c>
      <c r="G57" s="47" t="str">
        <v>QF31</v>
      </c>
      <c r="H57" s="47" t="str">
        <v/>
      </c>
      <c r="I57" s="75" t="str">
        <v/>
      </c>
      <c r="J57" s="76" t="str">
        <v/>
      </c>
      <c r="K57" s="76" t="str">
        <v/>
      </c>
      <c r="L57" s="75" t="str">
        <v/>
      </c>
      <c r="M57" s="49" t="str">
        <v>R.1</v>
      </c>
      <c r="N57" s="76" t="str">
        <v/>
      </c>
      <c r="O57" s="49">
        <v>7</v>
      </c>
      <c r="P57" s="77" t="str">
        <v>XT37</v>
      </c>
      <c r="Q57" s="53" t="str">
        <v>ВВГнг(А)-LS (3х1,5) L=23-0%</v>
      </c>
      <c r="R57" s="54" t="str">
        <v>L.1.14.2</v>
      </c>
      <c r="S57" s="55" t="str">
        <v>Группа освещения  Пом. №14</v>
      </c>
      <c r="T57" s="56">
        <v>0</v>
      </c>
      <c r="U57" s="56">
        <v>0</v>
      </c>
      <c r="V57" s="42" t="str">
        <v>L1</v>
      </c>
      <c r="W57" s="57" t="str">
        <v/>
      </c>
      <c r="X57" s="58" t="str">
        <v/>
      </c>
      <c r="Y57" s="75" t="str">
        <v/>
      </c>
      <c r="Z57" s="59" t="str">
        <v/>
      </c>
      <c r="AA57" s="61" t="str">
        <v/>
      </c>
      <c r="AB57" s="61">
        <v>16</v>
      </c>
      <c r="AC57" s="61" t="str">
        <v>ZIOMB24V2</v>
      </c>
      <c r="AD57" s="62" t="str">
        <v>QF31 → R.1 к.7 → XT37</v>
      </c>
      <c r="AE57" s="62" t="str">
        <v>нет мощности</v>
      </c>
      <c r="AF57" s="34">
        <v>31</v>
      </c>
      <c r="AG57" s="34" t="str">
        <v>QF31</v>
      </c>
      <c r="AH57" s="34" t="str">
        <v>R.1</v>
      </c>
      <c r="AI57" s="34" t="str">
        <v>ZIOMB24V2</v>
      </c>
      <c r="AJ57" s="34" t="str">
        <v/>
      </c>
      <c r="AK57" s="34">
        <v>1</v>
      </c>
      <c r="AL57" s="34" t="str">
        <v>L</v>
      </c>
      <c r="AM57" s="34">
        <v>0</v>
      </c>
      <c r="AN57" s="34">
        <v>0</v>
      </c>
      <c r="AO57" s="34" t="str">
        <v/>
      </c>
      <c r="AP57" s="34" t="str">
        <v/>
      </c>
      <c r="AQ57" s="34" t="str">
        <v/>
      </c>
      <c r="AR57" s="34" t="str">
        <v/>
      </c>
      <c r="AS57" s="34" t="str">
        <v/>
      </c>
      <c r="AT57" s="34" t="str">
        <v/>
      </c>
      <c r="AU57" s="34" t="str">
        <v/>
      </c>
      <c r="AV57" s="34" t="str">
        <v/>
      </c>
      <c r="AW57" s="34" t="str">
        <v/>
      </c>
      <c r="AX57" s="34">
        <v>7</v>
      </c>
      <c r="AY57" s="34">
        <v>1</v>
      </c>
      <c r="AZ57" s="34" t="str">
        <v/>
      </c>
      <c r="BA57" s="34">
        <v>0</v>
      </c>
      <c r="BB57" s="34">
        <v>10</v>
      </c>
      <c r="BD57" s="34">
        <v>1</v>
      </c>
      <c r="BE57" s="34">
        <v>0</v>
      </c>
      <c r="BF57" s="34">
        <v>0</v>
      </c>
      <c r="BG57" s="34" t="str">
        <v/>
      </c>
      <c r="BH57" s="34" t="str">
        <v/>
      </c>
      <c r="BI57" s="34" t="str">
        <v/>
      </c>
      <c r="BJ57" s="34" t="str">
        <v/>
      </c>
      <c r="BK57" s="34" t="str">
        <v>LAMP</v>
      </c>
      <c r="BL57" s="34">
        <v>1</v>
      </c>
      <c r="BM57" s="34" t="str">
        <v/>
      </c>
      <c r="BN57" s="34" t="str">
        <v/>
      </c>
      <c r="BO57" s="34" t="str">
        <v/>
      </c>
      <c r="BP57" s="34" t="str">
        <v/>
      </c>
      <c r="BQ57" s="34" t="str">
        <v>3х1,5</v>
      </c>
      <c r="BR57" s="34" t="str">
        <v/>
      </c>
      <c r="BS57" s="34" t="str">
        <v/>
      </c>
      <c r="BT57" s="34" t="str">
        <v/>
      </c>
      <c r="BU57" s="34">
        <v>1</v>
      </c>
      <c r="BV57" s="34">
        <v>37</v>
      </c>
      <c r="BW57" s="34">
        <v>1</v>
      </c>
      <c r="BX57" s="34">
        <v>0</v>
      </c>
      <c r="BY57" s="34" t="str">
        <v>Светильник</v>
      </c>
      <c r="BZ57">
        <v>1</v>
      </c>
      <c r="CA57" t="str">
        <v>линии</v>
      </c>
    </row>
    <row r="58" spans="1:79" x14ac:dyDescent="0.3">
      <c r="A58" s="39" t="str">
        <v>ЩР</v>
      </c>
      <c r="B58" s="42">
        <v>60</v>
      </c>
      <c r="C58" s="42">
        <v>4</v>
      </c>
      <c r="D58" s="75" t="str">
        <v/>
      </c>
      <c r="E58" s="75" t="str">
        <v/>
      </c>
      <c r="F58" s="76" t="str">
        <v/>
      </c>
      <c r="G58" s="47" t="str">
        <v>QF31</v>
      </c>
      <c r="H58" s="47" t="str">
        <v/>
      </c>
      <c r="I58" s="75" t="str">
        <v/>
      </c>
      <c r="J58" s="76" t="str">
        <v/>
      </c>
      <c r="K58" s="76" t="str">
        <v/>
      </c>
      <c r="L58" s="75" t="str">
        <v/>
      </c>
      <c r="M58" s="49" t="str">
        <v>R.1</v>
      </c>
      <c r="N58" s="76" t="str">
        <v/>
      </c>
      <c r="O58" s="49">
        <v>8</v>
      </c>
      <c r="P58" s="77" t="str">
        <v>XT38</v>
      </c>
      <c r="Q58" s="53" t="str">
        <v>ВВГнг(А)-LS (3х1,5) L=19-0%</v>
      </c>
      <c r="R58" s="54" t="str">
        <v>L.2.05.2</v>
      </c>
      <c r="S58" s="55" t="str">
        <v>Группа освещения  Пом. №05</v>
      </c>
      <c r="T58" s="56">
        <v>0</v>
      </c>
      <c r="U58" s="56">
        <v>0</v>
      </c>
      <c r="V58" s="42" t="str">
        <v>L2</v>
      </c>
      <c r="W58" s="57" t="str">
        <v/>
      </c>
      <c r="X58" s="58" t="str">
        <v/>
      </c>
      <c r="Y58" s="75" t="str">
        <v/>
      </c>
      <c r="Z58" s="59" t="str">
        <v/>
      </c>
      <c r="AA58" s="61" t="str">
        <v/>
      </c>
      <c r="AB58" s="61">
        <v>16</v>
      </c>
      <c r="AC58" s="61" t="str">
        <v>ZIOMB24V2</v>
      </c>
      <c r="AD58" s="62" t="str">
        <v>QF31 → R.1 к.8 → XT38</v>
      </c>
      <c r="AE58" s="62" t="str">
        <v>нет мощности</v>
      </c>
      <c r="AF58" s="34">
        <v>31</v>
      </c>
      <c r="AG58" s="34" t="str">
        <v>QF31</v>
      </c>
      <c r="AH58" s="34" t="str">
        <v>R.1</v>
      </c>
      <c r="AI58" s="34" t="str">
        <v>ZIOMB24V2</v>
      </c>
      <c r="AJ58" s="34" t="str">
        <v/>
      </c>
      <c r="AK58" s="34">
        <v>1</v>
      </c>
      <c r="AL58" s="34" t="str">
        <v>L</v>
      </c>
      <c r="AM58" s="34">
        <v>0</v>
      </c>
      <c r="AN58" s="34">
        <v>0</v>
      </c>
      <c r="AO58" s="34" t="str">
        <v/>
      </c>
      <c r="AP58" s="34" t="str">
        <v/>
      </c>
      <c r="AQ58" s="34" t="str">
        <v/>
      </c>
      <c r="AR58" s="34" t="str">
        <v/>
      </c>
      <c r="AS58" s="34" t="str">
        <v/>
      </c>
      <c r="AT58" s="34" t="str">
        <v/>
      </c>
      <c r="AU58" s="34" t="str">
        <v/>
      </c>
      <c r="AV58" s="34" t="str">
        <v/>
      </c>
      <c r="AW58" s="34" t="str">
        <v/>
      </c>
      <c r="AX58" s="34">
        <v>8</v>
      </c>
      <c r="AY58" s="34">
        <v>1</v>
      </c>
      <c r="AZ58" s="34" t="str">
        <v/>
      </c>
      <c r="BA58" s="34">
        <v>0</v>
      </c>
      <c r="BB58" s="34">
        <v>10</v>
      </c>
      <c r="BD58" s="34">
        <v>1</v>
      </c>
      <c r="BE58" s="34">
        <v>0</v>
      </c>
      <c r="BF58" s="34">
        <v>0</v>
      </c>
      <c r="BG58" s="34" t="str">
        <v/>
      </c>
      <c r="BH58" s="34" t="str">
        <v/>
      </c>
      <c r="BI58" s="34" t="str">
        <v/>
      </c>
      <c r="BJ58" s="34" t="str">
        <v/>
      </c>
      <c r="BK58" s="34" t="str">
        <v>LAMP</v>
      </c>
      <c r="BL58" s="34">
        <v>1</v>
      </c>
      <c r="BM58" s="34" t="str">
        <v/>
      </c>
      <c r="BN58" s="34" t="str">
        <v/>
      </c>
      <c r="BO58" s="34" t="str">
        <v/>
      </c>
      <c r="BP58" s="34" t="str">
        <v/>
      </c>
      <c r="BQ58" s="34" t="str">
        <v>3х1,5</v>
      </c>
      <c r="BR58" s="34" t="str">
        <v/>
      </c>
      <c r="BS58" s="34" t="str">
        <v/>
      </c>
      <c r="BT58" s="34" t="str">
        <v/>
      </c>
      <c r="BU58" s="34">
        <v>1</v>
      </c>
      <c r="BV58" s="34">
        <v>38</v>
      </c>
      <c r="BW58" s="34">
        <v>1</v>
      </c>
      <c r="BX58" s="34">
        <v>0</v>
      </c>
      <c r="BY58" s="34" t="str">
        <v>Светильник</v>
      </c>
      <c r="BZ58">
        <v>1</v>
      </c>
      <c r="CA58" t="str">
        <v>линии</v>
      </c>
    </row>
    <row r="59" spans="1:79" x14ac:dyDescent="0.3">
      <c r="A59" s="39" t="str">
        <v>ЩР</v>
      </c>
      <c r="B59" s="42">
        <v>61</v>
      </c>
      <c r="C59" s="42">
        <v>4</v>
      </c>
      <c r="D59" s="75" t="str">
        <v/>
      </c>
      <c r="E59" s="75" t="str">
        <v/>
      </c>
      <c r="F59" s="76" t="str">
        <v/>
      </c>
      <c r="G59" s="47" t="str">
        <v>QF31</v>
      </c>
      <c r="H59" s="47" t="str">
        <v/>
      </c>
      <c r="I59" s="75" t="str">
        <v/>
      </c>
      <c r="J59" s="76" t="str">
        <v/>
      </c>
      <c r="K59" s="76" t="str">
        <v/>
      </c>
      <c r="L59" s="75" t="str">
        <v/>
      </c>
      <c r="M59" s="49" t="str">
        <v>R.1</v>
      </c>
      <c r="N59" s="76" t="str">
        <v/>
      </c>
      <c r="O59" s="49">
        <v>9</v>
      </c>
      <c r="P59" s="77" t="str">
        <v>XT39</v>
      </c>
      <c r="Q59" s="53" t="str">
        <v>ВВГнг(А)-LS (3х1,5) L=12-0%</v>
      </c>
      <c r="R59" s="54" t="str">
        <v>L.2.09.1</v>
      </c>
      <c r="S59" s="55" t="str">
        <v>Группа освещения  Пом. №09</v>
      </c>
      <c r="T59" s="56">
        <v>0</v>
      </c>
      <c r="U59" s="56">
        <v>0</v>
      </c>
      <c r="V59" s="42" t="str">
        <v>L3</v>
      </c>
      <c r="W59" s="57" t="str">
        <v/>
      </c>
      <c r="X59" s="58" t="str">
        <v/>
      </c>
      <c r="Y59" s="75" t="str">
        <v/>
      </c>
      <c r="Z59" s="59" t="str">
        <v/>
      </c>
      <c r="AA59" s="61" t="str">
        <v/>
      </c>
      <c r="AB59" s="61">
        <v>16</v>
      </c>
      <c r="AC59" s="61" t="str">
        <v>ZIOMB24V2</v>
      </c>
      <c r="AD59" s="62" t="str">
        <v>QF31 → R.1 к.9 → XT39</v>
      </c>
      <c r="AE59" s="62" t="str">
        <v>нет мощности</v>
      </c>
      <c r="AF59" s="34">
        <v>31</v>
      </c>
      <c r="AG59" s="34" t="str">
        <v>QF31</v>
      </c>
      <c r="AH59" s="34" t="str">
        <v>R.1</v>
      </c>
      <c r="AI59" s="34" t="str">
        <v>ZIOMB24V2</v>
      </c>
      <c r="AJ59" s="34" t="str">
        <v/>
      </c>
      <c r="AK59" s="34">
        <v>1</v>
      </c>
      <c r="AL59" s="34" t="str">
        <v>L</v>
      </c>
      <c r="AM59" s="34">
        <v>0</v>
      </c>
      <c r="AN59" s="34">
        <v>0</v>
      </c>
      <c r="AO59" s="34" t="str">
        <v/>
      </c>
      <c r="AP59" s="34" t="str">
        <v/>
      </c>
      <c r="AQ59" s="34" t="str">
        <v/>
      </c>
      <c r="AR59" s="34" t="str">
        <v/>
      </c>
      <c r="AS59" s="34" t="str">
        <v/>
      </c>
      <c r="AT59" s="34" t="str">
        <v/>
      </c>
      <c r="AU59" s="34" t="str">
        <v/>
      </c>
      <c r="AV59" s="34" t="str">
        <v/>
      </c>
      <c r="AW59" s="34" t="str">
        <v/>
      </c>
      <c r="AX59" s="34">
        <v>9</v>
      </c>
      <c r="AY59" s="34">
        <v>1</v>
      </c>
      <c r="AZ59" s="34" t="str">
        <v/>
      </c>
      <c r="BA59" s="34">
        <v>0</v>
      </c>
      <c r="BB59" s="34">
        <v>10</v>
      </c>
      <c r="BD59" s="34">
        <v>1</v>
      </c>
      <c r="BE59" s="34">
        <v>0</v>
      </c>
      <c r="BF59" s="34">
        <v>0</v>
      </c>
      <c r="BG59" s="34" t="str">
        <v/>
      </c>
      <c r="BH59" s="34" t="str">
        <v/>
      </c>
      <c r="BI59" s="34" t="str">
        <v/>
      </c>
      <c r="BJ59" s="34" t="str">
        <v/>
      </c>
      <c r="BK59" s="34" t="str">
        <v>LAMP</v>
      </c>
      <c r="BL59" s="34">
        <v>1</v>
      </c>
      <c r="BM59" s="34" t="str">
        <v/>
      </c>
      <c r="BN59" s="34" t="str">
        <v/>
      </c>
      <c r="BO59" s="34" t="str">
        <v/>
      </c>
      <c r="BP59" s="34" t="str">
        <v/>
      </c>
      <c r="BQ59" s="34" t="str">
        <v>3х1,5</v>
      </c>
      <c r="BR59" s="34" t="str">
        <v/>
      </c>
      <c r="BS59" s="34" t="str">
        <v/>
      </c>
      <c r="BT59" s="34" t="str">
        <v/>
      </c>
      <c r="BU59" s="34">
        <v>1</v>
      </c>
      <c r="BV59" s="34">
        <v>39</v>
      </c>
      <c r="BW59" s="34">
        <v>1</v>
      </c>
      <c r="BX59" s="34">
        <v>0</v>
      </c>
      <c r="BY59" s="34" t="str">
        <v>Светильник</v>
      </c>
      <c r="BZ59">
        <v>1</v>
      </c>
      <c r="CA59" t="str">
        <v>линии</v>
      </c>
    </row>
    <row r="60" spans="1:79" x14ac:dyDescent="0.3">
      <c r="A60" s="39" t="str">
        <v>ЩР</v>
      </c>
      <c r="B60" s="42">
        <v>62</v>
      </c>
      <c r="C60" s="42">
        <v>4</v>
      </c>
      <c r="D60" s="75" t="str">
        <v/>
      </c>
      <c r="E60" s="75" t="str">
        <v/>
      </c>
      <c r="F60" s="76" t="str">
        <v/>
      </c>
      <c r="G60" s="47" t="str">
        <v>QF31</v>
      </c>
      <c r="H60" s="47" t="str">
        <v/>
      </c>
      <c r="I60" s="75" t="str">
        <v/>
      </c>
      <c r="J60" s="76" t="str">
        <v/>
      </c>
      <c r="K60" s="76" t="str">
        <v/>
      </c>
      <c r="L60" s="75" t="str">
        <v/>
      </c>
      <c r="M60" s="49" t="str">
        <v>R.1</v>
      </c>
      <c r="N60" s="76" t="str">
        <v/>
      </c>
      <c r="O60" s="49">
        <v>10</v>
      </c>
      <c r="P60" s="77" t="str">
        <v>XT40</v>
      </c>
      <c r="Q60" s="53" t="str">
        <v>ВВГнг(А)-LS (3х1,5) L=18-0%</v>
      </c>
      <c r="R60" s="54" t="str">
        <v>L.2.13.2</v>
      </c>
      <c r="S60" s="55" t="str">
        <v>Группа освещения  Пом. №13</v>
      </c>
      <c r="T60" s="56">
        <v>0</v>
      </c>
      <c r="U60" s="56">
        <v>0</v>
      </c>
      <c r="V60" s="42" t="str">
        <v>L1</v>
      </c>
      <c r="W60" s="57" t="str">
        <v/>
      </c>
      <c r="X60" s="58" t="str">
        <v/>
      </c>
      <c r="Y60" s="75" t="str">
        <v/>
      </c>
      <c r="Z60" s="59" t="str">
        <v/>
      </c>
      <c r="AA60" s="61" t="str">
        <v/>
      </c>
      <c r="AB60" s="61">
        <v>16</v>
      </c>
      <c r="AC60" s="61" t="str">
        <v>ZIOMB24V2</v>
      </c>
      <c r="AD60" s="62" t="str">
        <v>QF31 → R.1 к.10 → XT40</v>
      </c>
      <c r="AE60" s="62" t="str">
        <v>нет мощности</v>
      </c>
      <c r="AF60" s="34">
        <v>31</v>
      </c>
      <c r="AG60" s="34" t="str">
        <v>QF31</v>
      </c>
      <c r="AH60" s="34" t="str">
        <v>R.1</v>
      </c>
      <c r="AI60" s="34" t="str">
        <v>ZIOMB24V2</v>
      </c>
      <c r="AJ60" s="34" t="str">
        <v/>
      </c>
      <c r="AK60" s="34">
        <v>1</v>
      </c>
      <c r="AL60" s="34" t="str">
        <v>L</v>
      </c>
      <c r="AM60" s="34">
        <v>0</v>
      </c>
      <c r="AN60" s="34">
        <v>0</v>
      </c>
      <c r="AO60" s="34" t="str">
        <v/>
      </c>
      <c r="AP60" s="34" t="str">
        <v/>
      </c>
      <c r="AQ60" s="34" t="str">
        <v/>
      </c>
      <c r="AR60" s="34" t="str">
        <v/>
      </c>
      <c r="AS60" s="34" t="str">
        <v/>
      </c>
      <c r="AT60" s="34" t="str">
        <v/>
      </c>
      <c r="AU60" s="34" t="str">
        <v/>
      </c>
      <c r="AV60" s="34" t="str">
        <v/>
      </c>
      <c r="AW60" s="34" t="str">
        <v/>
      </c>
      <c r="AX60" s="34">
        <v>10</v>
      </c>
      <c r="AY60" s="34">
        <v>1</v>
      </c>
      <c r="AZ60" s="34" t="str">
        <v/>
      </c>
      <c r="BA60" s="34">
        <v>0</v>
      </c>
      <c r="BB60" s="34">
        <v>10</v>
      </c>
      <c r="BD60" s="34">
        <v>1</v>
      </c>
      <c r="BE60" s="34">
        <v>0</v>
      </c>
      <c r="BF60" s="34">
        <v>0</v>
      </c>
      <c r="BG60" s="34" t="str">
        <v/>
      </c>
      <c r="BH60" s="34" t="str">
        <v/>
      </c>
      <c r="BI60" s="34" t="str">
        <v/>
      </c>
      <c r="BJ60" s="34" t="str">
        <v/>
      </c>
      <c r="BK60" s="34" t="str">
        <v>LAMP</v>
      </c>
      <c r="BL60" s="34">
        <v>1</v>
      </c>
      <c r="BM60" s="34" t="str">
        <v/>
      </c>
      <c r="BN60" s="34" t="str">
        <v/>
      </c>
      <c r="BO60" s="34" t="str">
        <v/>
      </c>
      <c r="BP60" s="34" t="str">
        <v/>
      </c>
      <c r="BQ60" s="34" t="str">
        <v>3х1,5</v>
      </c>
      <c r="BR60" s="34" t="str">
        <v/>
      </c>
      <c r="BS60" s="34" t="str">
        <v/>
      </c>
      <c r="BT60" s="34" t="str">
        <v/>
      </c>
      <c r="BU60" s="34">
        <v>1</v>
      </c>
      <c r="BV60" s="34">
        <v>40</v>
      </c>
      <c r="BW60" s="34">
        <v>1</v>
      </c>
      <c r="BX60" s="34">
        <v>0</v>
      </c>
      <c r="BY60" s="34" t="str">
        <v>Светильник</v>
      </c>
      <c r="BZ60">
        <v>1</v>
      </c>
      <c r="CA60" t="str">
        <v>линии</v>
      </c>
    </row>
    <row r="61" spans="1:79" x14ac:dyDescent="0.3">
      <c r="A61" s="39" t="str">
        <v>ЩР</v>
      </c>
      <c r="B61" s="42">
        <v>63</v>
      </c>
      <c r="C61" s="42">
        <v>4</v>
      </c>
      <c r="D61" s="75" t="str">
        <v/>
      </c>
      <c r="E61" s="75" t="str">
        <v>авто</v>
      </c>
      <c r="F61" s="76" t="str">
        <v/>
      </c>
      <c r="G61" s="47" t="str">
        <v>QF32</v>
      </c>
      <c r="H61" s="47" t="str">
        <v>1P С10А</v>
      </c>
      <c r="I61" s="75" t="str">
        <v>МК-5-1</v>
      </c>
      <c r="J61" s="76" t="str">
        <v/>
      </c>
      <c r="K61" s="76" t="str">
        <v/>
      </c>
      <c r="L61" s="75" t="str">
        <v>-</v>
      </c>
      <c r="M61" s="49" t="str">
        <v/>
      </c>
      <c r="N61" s="76" t="str">
        <v/>
      </c>
      <c r="O61" s="49" t="str">
        <v/>
      </c>
      <c r="P61" s="77" t="str">
        <v>XT41</v>
      </c>
      <c r="Q61" s="53" t="str">
        <v>ВВГнг(А)-LS (5х1,5) L=5-0%</v>
      </c>
      <c r="R61" s="54" t="str">
        <v>L.1.02.1</v>
      </c>
      <c r="S61" s="55" t="str">
        <v>Группа освещения  Пом. №02</v>
      </c>
      <c r="T61" s="56">
        <v>0</v>
      </c>
      <c r="U61" s="56">
        <v>0</v>
      </c>
      <c r="V61" s="42" t="str">
        <v>L2</v>
      </c>
      <c r="W61" s="57" t="str">
        <v>ok</v>
      </c>
      <c r="X61" s="58" t="str">
        <v/>
      </c>
      <c r="Y61" s="75" t="str">
        <v/>
      </c>
      <c r="Z61" s="59">
        <v>0</v>
      </c>
      <c r="AA61" s="61">
        <v>6</v>
      </c>
      <c r="AB61" s="61">
        <v>16</v>
      </c>
      <c r="AC61" s="61" t="str">
        <v/>
      </c>
      <c r="AD61" s="62" t="str">
        <v>QF32 → МК-5-1 → XT41</v>
      </c>
      <c r="AE61" s="62" t="str">
        <v>нет мощности; 5 жил на 1 фазе</v>
      </c>
      <c r="AF61" s="34">
        <v>32</v>
      </c>
      <c r="AG61" s="34" t="str">
        <v>QF32</v>
      </c>
      <c r="AH61" s="34" t="str">
        <v/>
      </c>
      <c r="AI61" s="34" t="str">
        <v/>
      </c>
      <c r="AJ61" s="34" t="str">
        <v>QF32</v>
      </c>
      <c r="AK61" s="34">
        <v>1</v>
      </c>
      <c r="AL61" s="34" t="str">
        <v>L</v>
      </c>
      <c r="AM61" s="34">
        <v>0</v>
      </c>
      <c r="AN61" s="34">
        <v>0</v>
      </c>
      <c r="AO61" s="34">
        <v>10</v>
      </c>
      <c r="AP61" s="34">
        <v>16</v>
      </c>
      <c r="AQ61" s="34">
        <v>10</v>
      </c>
      <c r="AR61" s="34">
        <v>1</v>
      </c>
      <c r="AS61" s="34">
        <v>0</v>
      </c>
      <c r="AT61" s="34" t="str">
        <v>1P</v>
      </c>
      <c r="AU61" s="34">
        <v>10</v>
      </c>
      <c r="AV61" s="34" t="str">
        <v/>
      </c>
      <c r="AW61" s="34" t="str">
        <v/>
      </c>
      <c r="AX61" s="34" t="str">
        <v/>
      </c>
      <c r="AY61" s="34">
        <v>1</v>
      </c>
      <c r="AZ61" s="34" t="str">
        <v>МК-5-1</v>
      </c>
      <c r="BA61" s="34">
        <v>0</v>
      </c>
      <c r="BB61" s="34">
        <v>10</v>
      </c>
      <c r="BD61" s="34">
        <v>1</v>
      </c>
      <c r="BE61" s="34">
        <v>0</v>
      </c>
      <c r="BF61" s="34">
        <v>0</v>
      </c>
      <c r="BG61" s="34" t="str">
        <v/>
      </c>
      <c r="BH61" s="34" t="str">
        <v>MK</v>
      </c>
      <c r="BI61" s="34" t="str">
        <v/>
      </c>
      <c r="BJ61" s="34" t="str">
        <v/>
      </c>
      <c r="BK61" s="34" t="str">
        <v>LAMP</v>
      </c>
      <c r="BL61" s="34">
        <v>1</v>
      </c>
      <c r="BM61" s="34" t="str">
        <v/>
      </c>
      <c r="BN61" s="34">
        <v>1</v>
      </c>
      <c r="BO61" s="34" t="str">
        <v/>
      </c>
      <c r="BP61" s="34" t="str">
        <v/>
      </c>
      <c r="BQ61" s="34" t="str">
        <v>5х1,5</v>
      </c>
      <c r="BR61" s="34">
        <v>4</v>
      </c>
      <c r="BS61" s="34" t="str">
        <v/>
      </c>
      <c r="BT61" s="34" t="str">
        <v/>
      </c>
      <c r="BU61" s="34">
        <v>1</v>
      </c>
      <c r="BV61" s="34">
        <v>41</v>
      </c>
      <c r="BW61" s="34">
        <v>1</v>
      </c>
      <c r="BX61" s="34">
        <v>2</v>
      </c>
      <c r="BY61" s="34" t="str">
        <v>Светильник</v>
      </c>
      <c r="BZ61">
        <v>1</v>
      </c>
      <c r="CA61" t="str">
        <v>линии</v>
      </c>
    </row>
    <row r="62" spans="1:79" x14ac:dyDescent="0.3">
      <c r="A62" s="39" t="str">
        <v>ЩР</v>
      </c>
      <c r="B62" s="42">
        <v>64</v>
      </c>
      <c r="C62" s="42">
        <v>4</v>
      </c>
      <c r="D62" s="75" t="str">
        <v/>
      </c>
      <c r="E62" s="75" t="str">
        <v/>
      </c>
      <c r="F62" s="76" t="str">
        <v/>
      </c>
      <c r="G62" s="47" t="str">
        <v>QF32</v>
      </c>
      <c r="H62" s="47" t="str">
        <v/>
      </c>
      <c r="I62" s="75" t="str">
        <v/>
      </c>
      <c r="J62" s="76" t="str">
        <v/>
      </c>
      <c r="K62" s="76" t="str">
        <v/>
      </c>
      <c r="L62" s="75" t="str">
        <v/>
      </c>
      <c r="M62" s="49" t="str">
        <v/>
      </c>
      <c r="N62" s="76" t="str">
        <v/>
      </c>
      <c r="O62" s="49" t="str">
        <v/>
      </c>
      <c r="P62" s="77" t="str">
        <v>XT42</v>
      </c>
      <c r="Q62" s="53" t="str">
        <v>ВВГнг(А)-LS (5х1,5) L=57-0%</v>
      </c>
      <c r="R62" s="54" t="str">
        <v>L.1.06.1</v>
      </c>
      <c r="S62" s="55" t="str">
        <v>Группа освещения  Пом. №06</v>
      </c>
      <c r="T62" s="56">
        <v>0</v>
      </c>
      <c r="U62" s="56">
        <v>0</v>
      </c>
      <c r="V62" s="42" t="str">
        <v>L3</v>
      </c>
      <c r="W62" s="57" t="str">
        <v/>
      </c>
      <c r="X62" s="58" t="str">
        <v/>
      </c>
      <c r="Y62" s="75" t="str">
        <v/>
      </c>
      <c r="Z62" s="59" t="str">
        <v/>
      </c>
      <c r="AA62" s="61" t="str">
        <v/>
      </c>
      <c r="AB62" s="61">
        <v>16</v>
      </c>
      <c r="AC62" s="61" t="str">
        <v/>
      </c>
      <c r="AD62" s="62" t="str">
        <v>QF32 → МК-5-1 → XT42</v>
      </c>
      <c r="AE62" s="62" t="str">
        <v>нет мощности; 5 жил на 1 фазе</v>
      </c>
      <c r="AF62" s="34">
        <v>32</v>
      </c>
      <c r="AG62" s="34" t="str">
        <v>QF32</v>
      </c>
      <c r="AH62" s="34" t="str">
        <v/>
      </c>
      <c r="AI62" s="34" t="str">
        <v/>
      </c>
      <c r="AJ62" s="34" t="str">
        <v/>
      </c>
      <c r="AK62" s="34">
        <v>1</v>
      </c>
      <c r="AL62" s="34" t="str">
        <v>L</v>
      </c>
      <c r="AM62" s="34">
        <v>0</v>
      </c>
      <c r="AN62" s="34">
        <v>0</v>
      </c>
      <c r="AO62" s="34" t="str">
        <v/>
      </c>
      <c r="AP62" s="34" t="str">
        <v/>
      </c>
      <c r="AQ62" s="34" t="str">
        <v/>
      </c>
      <c r="AR62" s="34" t="str">
        <v/>
      </c>
      <c r="AS62" s="34" t="str">
        <v/>
      </c>
      <c r="AT62" s="34" t="str">
        <v/>
      </c>
      <c r="AU62" s="34" t="str">
        <v/>
      </c>
      <c r="AV62" s="34" t="str">
        <v/>
      </c>
      <c r="AW62" s="34" t="str">
        <v/>
      </c>
      <c r="AX62" s="34" t="str">
        <v/>
      </c>
      <c r="AY62" s="34">
        <v>1</v>
      </c>
      <c r="AZ62" s="34" t="str">
        <v>МК-5-1</v>
      </c>
      <c r="BA62" s="34">
        <v>0</v>
      </c>
      <c r="BB62" s="34">
        <v>10</v>
      </c>
      <c r="BD62" s="34">
        <v>1</v>
      </c>
      <c r="BE62" s="34">
        <v>0</v>
      </c>
      <c r="BF62" s="34">
        <v>0</v>
      </c>
      <c r="BG62" s="34" t="str">
        <v/>
      </c>
      <c r="BH62" s="34" t="str">
        <v/>
      </c>
      <c r="BI62" s="34" t="str">
        <v/>
      </c>
      <c r="BJ62" s="34" t="str">
        <v/>
      </c>
      <c r="BK62" s="34" t="str">
        <v>LAMP</v>
      </c>
      <c r="BL62" s="34">
        <v>1</v>
      </c>
      <c r="BM62" s="34" t="str">
        <v/>
      </c>
      <c r="BN62" s="34" t="str">
        <v/>
      </c>
      <c r="BO62" s="34" t="str">
        <v/>
      </c>
      <c r="BP62" s="34" t="str">
        <v/>
      </c>
      <c r="BQ62" s="34" t="str">
        <v>5х1,5</v>
      </c>
      <c r="BR62" s="34" t="str">
        <v/>
      </c>
      <c r="BS62" s="34" t="str">
        <v/>
      </c>
      <c r="BT62" s="34" t="str">
        <v/>
      </c>
      <c r="BU62" s="34">
        <v>1</v>
      </c>
      <c r="BV62" s="34">
        <v>42</v>
      </c>
      <c r="BW62" s="34">
        <v>1</v>
      </c>
      <c r="BX62" s="34">
        <v>2</v>
      </c>
      <c r="BY62" s="34" t="str">
        <v>Светильник</v>
      </c>
      <c r="BZ62">
        <v>1</v>
      </c>
      <c r="CA62" t="str">
        <v>линии</v>
      </c>
    </row>
    <row r="63" spans="1:79" x14ac:dyDescent="0.3">
      <c r="A63" s="39" t="str">
        <v>ЩР</v>
      </c>
      <c r="B63" s="42">
        <v>65</v>
      </c>
      <c r="C63" s="42">
        <v>4</v>
      </c>
      <c r="D63" s="75" t="str">
        <v/>
      </c>
      <c r="E63" s="75" t="str">
        <v/>
      </c>
      <c r="F63" s="76" t="str">
        <v/>
      </c>
      <c r="G63" s="47" t="str">
        <v>QF32</v>
      </c>
      <c r="H63" s="47" t="str">
        <v/>
      </c>
      <c r="I63" s="75" t="str">
        <v/>
      </c>
      <c r="J63" s="76" t="str">
        <v/>
      </c>
      <c r="K63" s="76" t="str">
        <v/>
      </c>
      <c r="L63" s="75" t="str">
        <v/>
      </c>
      <c r="M63" s="49" t="str">
        <v/>
      </c>
      <c r="N63" s="76" t="str">
        <v/>
      </c>
      <c r="O63" s="49" t="str">
        <v/>
      </c>
      <c r="P63" s="77" t="str">
        <v>XT43</v>
      </c>
      <c r="Q63" s="53" t="str">
        <v>ВВГнг(А)-LS (5х1,5) L=19-0%</v>
      </c>
      <c r="R63" s="54" t="str">
        <v>L.1.08.1</v>
      </c>
      <c r="S63" s="55" t="str">
        <v>Группа освещения  Пом. №08</v>
      </c>
      <c r="T63" s="56">
        <v>0</v>
      </c>
      <c r="U63" s="56">
        <v>0</v>
      </c>
      <c r="V63" s="42" t="str">
        <v>L1</v>
      </c>
      <c r="W63" s="57" t="str">
        <v/>
      </c>
      <c r="X63" s="58" t="str">
        <v/>
      </c>
      <c r="Y63" s="75" t="str">
        <v/>
      </c>
      <c r="Z63" s="59" t="str">
        <v/>
      </c>
      <c r="AA63" s="61" t="str">
        <v/>
      </c>
      <c r="AB63" s="61">
        <v>16</v>
      </c>
      <c r="AC63" s="61" t="str">
        <v/>
      </c>
      <c r="AD63" s="62" t="str">
        <v>QF32 → МК-5-1 → XT43</v>
      </c>
      <c r="AE63" s="62" t="str">
        <v>нет мощности; 5 жил на 1 фазе</v>
      </c>
      <c r="AF63" s="34">
        <v>32</v>
      </c>
      <c r="AG63" s="34" t="str">
        <v>QF32</v>
      </c>
      <c r="AH63" s="34" t="str">
        <v/>
      </c>
      <c r="AI63" s="34" t="str">
        <v/>
      </c>
      <c r="AJ63" s="34" t="str">
        <v/>
      </c>
      <c r="AK63" s="34">
        <v>1</v>
      </c>
      <c r="AL63" s="34" t="str">
        <v>L</v>
      </c>
      <c r="AM63" s="34">
        <v>0</v>
      </c>
      <c r="AN63" s="34">
        <v>0</v>
      </c>
      <c r="AO63" s="34" t="str">
        <v/>
      </c>
      <c r="AP63" s="34" t="str">
        <v/>
      </c>
      <c r="AQ63" s="34" t="str">
        <v/>
      </c>
      <c r="AR63" s="34" t="str">
        <v/>
      </c>
      <c r="AS63" s="34" t="str">
        <v/>
      </c>
      <c r="AT63" s="34" t="str">
        <v/>
      </c>
      <c r="AU63" s="34" t="str">
        <v/>
      </c>
      <c r="AV63" s="34" t="str">
        <v/>
      </c>
      <c r="AW63" s="34" t="str">
        <v/>
      </c>
      <c r="AX63" s="34" t="str">
        <v/>
      </c>
      <c r="AY63" s="34">
        <v>1</v>
      </c>
      <c r="AZ63" s="34" t="str">
        <v>МК-5-1</v>
      </c>
      <c r="BA63" s="34">
        <v>0</v>
      </c>
      <c r="BB63" s="34">
        <v>10</v>
      </c>
      <c r="BD63" s="34">
        <v>1</v>
      </c>
      <c r="BE63" s="34">
        <v>0</v>
      </c>
      <c r="BF63" s="34">
        <v>0</v>
      </c>
      <c r="BG63" s="34" t="str">
        <v/>
      </c>
      <c r="BH63" s="34" t="str">
        <v/>
      </c>
      <c r="BI63" s="34" t="str">
        <v/>
      </c>
      <c r="BJ63" s="34" t="str">
        <v/>
      </c>
      <c r="BK63" s="34" t="str">
        <v>LAMP</v>
      </c>
      <c r="BL63" s="34">
        <v>1</v>
      </c>
      <c r="BM63" s="34" t="str">
        <v/>
      </c>
      <c r="BN63" s="34" t="str">
        <v/>
      </c>
      <c r="BO63" s="34" t="str">
        <v/>
      </c>
      <c r="BP63" s="34" t="str">
        <v/>
      </c>
      <c r="BQ63" s="34" t="str">
        <v>5х1,5</v>
      </c>
      <c r="BR63" s="34" t="str">
        <v/>
      </c>
      <c r="BS63" s="34" t="str">
        <v/>
      </c>
      <c r="BT63" s="34" t="str">
        <v/>
      </c>
      <c r="BU63" s="34">
        <v>1</v>
      </c>
      <c r="BV63" s="34">
        <v>43</v>
      </c>
      <c r="BW63" s="34">
        <v>1</v>
      </c>
      <c r="BX63" s="34">
        <v>2</v>
      </c>
      <c r="BY63" s="34" t="str">
        <v>Светильник</v>
      </c>
      <c r="BZ63">
        <v>1</v>
      </c>
      <c r="CA63" t="str">
        <v>линии</v>
      </c>
    </row>
    <row r="64" spans="1:79" x14ac:dyDescent="0.3">
      <c r="A64" s="39" t="str">
        <v>ЩР</v>
      </c>
      <c r="B64" s="42">
        <v>66</v>
      </c>
      <c r="C64" s="42">
        <v>4</v>
      </c>
      <c r="D64" s="75" t="str">
        <v/>
      </c>
      <c r="E64" s="75" t="str">
        <v/>
      </c>
      <c r="F64" s="76" t="str">
        <v/>
      </c>
      <c r="G64" s="47" t="str">
        <v>QF32</v>
      </c>
      <c r="H64" s="47" t="str">
        <v/>
      </c>
      <c r="I64" s="75" t="str">
        <v/>
      </c>
      <c r="J64" s="76" t="str">
        <v/>
      </c>
      <c r="K64" s="76" t="str">
        <v/>
      </c>
      <c r="L64" s="75" t="str">
        <v/>
      </c>
      <c r="M64" s="49" t="str">
        <v/>
      </c>
      <c r="N64" s="76" t="str">
        <v/>
      </c>
      <c r="O64" s="49" t="str">
        <v/>
      </c>
      <c r="P64" s="77" t="str">
        <v>XT44</v>
      </c>
      <c r="Q64" s="53" t="str">
        <v>ВВГнг(А)-LS (5х1,5) L=37-0%</v>
      </c>
      <c r="R64" s="54" t="str">
        <v>L.1.10.1</v>
      </c>
      <c r="S64" s="55" t="str">
        <v>Группа освещения  Пом. №10</v>
      </c>
      <c r="T64" s="56">
        <v>0</v>
      </c>
      <c r="U64" s="56">
        <v>0</v>
      </c>
      <c r="V64" s="42" t="str">
        <v>L2</v>
      </c>
      <c r="W64" s="57" t="str">
        <v/>
      </c>
      <c r="X64" s="58" t="str">
        <v/>
      </c>
      <c r="Y64" s="75" t="str">
        <v/>
      </c>
      <c r="Z64" s="59" t="str">
        <v/>
      </c>
      <c r="AA64" s="61" t="str">
        <v/>
      </c>
      <c r="AB64" s="61">
        <v>16</v>
      </c>
      <c r="AC64" s="61" t="str">
        <v/>
      </c>
      <c r="AD64" s="62" t="str">
        <v>QF32 → МК-5-1 → XT44</v>
      </c>
      <c r="AE64" s="62" t="str">
        <v>нет мощности; 5 жил на 1 фазе</v>
      </c>
      <c r="AF64" s="34">
        <v>32</v>
      </c>
      <c r="AG64" s="34" t="str">
        <v>QF32</v>
      </c>
      <c r="AH64" s="34" t="str">
        <v/>
      </c>
      <c r="AI64" s="34" t="str">
        <v/>
      </c>
      <c r="AJ64" s="34" t="str">
        <v/>
      </c>
      <c r="AK64" s="34">
        <v>1</v>
      </c>
      <c r="AL64" s="34" t="str">
        <v>L</v>
      </c>
      <c r="AM64" s="34">
        <v>0</v>
      </c>
      <c r="AN64" s="34">
        <v>0</v>
      </c>
      <c r="AO64" s="34" t="str">
        <v/>
      </c>
      <c r="AP64" s="34" t="str">
        <v/>
      </c>
      <c r="AQ64" s="34" t="str">
        <v/>
      </c>
      <c r="AR64" s="34" t="str">
        <v/>
      </c>
      <c r="AS64" s="34" t="str">
        <v/>
      </c>
      <c r="AT64" s="34" t="str">
        <v/>
      </c>
      <c r="AU64" s="34" t="str">
        <v/>
      </c>
      <c r="AV64" s="34" t="str">
        <v/>
      </c>
      <c r="AW64" s="34" t="str">
        <v/>
      </c>
      <c r="AX64" s="34" t="str">
        <v/>
      </c>
      <c r="AY64" s="34">
        <v>1</v>
      </c>
      <c r="AZ64" s="34" t="str">
        <v>МК-5-1</v>
      </c>
      <c r="BA64" s="34">
        <v>0</v>
      </c>
      <c r="BB64" s="34">
        <v>10</v>
      </c>
      <c r="BD64" s="34">
        <v>1</v>
      </c>
      <c r="BE64" s="34">
        <v>0</v>
      </c>
      <c r="BF64" s="34">
        <v>0</v>
      </c>
      <c r="BG64" s="34" t="str">
        <v/>
      </c>
      <c r="BH64" s="34" t="str">
        <v/>
      </c>
      <c r="BI64" s="34" t="str">
        <v/>
      </c>
      <c r="BJ64" s="34" t="str">
        <v/>
      </c>
      <c r="BK64" s="34" t="str">
        <v>LAMP</v>
      </c>
      <c r="BL64" s="34">
        <v>1</v>
      </c>
      <c r="BM64" s="34" t="str">
        <v/>
      </c>
      <c r="BN64" s="34" t="str">
        <v/>
      </c>
      <c r="BO64" s="34" t="str">
        <v/>
      </c>
      <c r="BP64" s="34" t="str">
        <v/>
      </c>
      <c r="BQ64" s="34" t="str">
        <v>5х1,5</v>
      </c>
      <c r="BR64" s="34" t="str">
        <v/>
      </c>
      <c r="BS64" s="34" t="str">
        <v/>
      </c>
      <c r="BT64" s="34" t="str">
        <v/>
      </c>
      <c r="BU64" s="34">
        <v>1</v>
      </c>
      <c r="BV64" s="34">
        <v>44</v>
      </c>
      <c r="BW64" s="34">
        <v>1</v>
      </c>
      <c r="BX64" s="34">
        <v>2</v>
      </c>
      <c r="BY64" s="34" t="str">
        <v>Светильник</v>
      </c>
      <c r="BZ64">
        <v>1</v>
      </c>
      <c r="CA64" t="str">
        <v>линии</v>
      </c>
    </row>
    <row r="65" spans="1:79" x14ac:dyDescent="0.3">
      <c r="A65" s="39" t="str">
        <v>ЩР</v>
      </c>
      <c r="B65" s="42">
        <v>67</v>
      </c>
      <c r="C65" s="42">
        <v>4</v>
      </c>
      <c r="D65" s="75" t="str">
        <v/>
      </c>
      <c r="E65" s="75" t="str">
        <v>авто</v>
      </c>
      <c r="F65" s="76" t="str">
        <v/>
      </c>
      <c r="G65" s="47" t="str">
        <v>QF33</v>
      </c>
      <c r="H65" s="47" t="str">
        <v>1P С10А</v>
      </c>
      <c r="I65" s="75" t="str">
        <v>МК-5-1</v>
      </c>
      <c r="J65" s="76" t="str">
        <v/>
      </c>
      <c r="K65" s="76" t="str">
        <v/>
      </c>
      <c r="L65" s="75" t="str">
        <v/>
      </c>
      <c r="M65" s="49" t="str">
        <v/>
      </c>
      <c r="N65" s="76" t="str">
        <v/>
      </c>
      <c r="O65" s="49" t="str">
        <v/>
      </c>
      <c r="P65" s="77" t="str">
        <v>XT45</v>
      </c>
      <c r="Q65" s="53" t="str">
        <v>ВВГнг(А)-LS (5х1,5) L=27-0%</v>
      </c>
      <c r="R65" s="54" t="str">
        <v>L.2.01.1</v>
      </c>
      <c r="S65" s="55" t="str">
        <v>Группа освещения  Пом. №01</v>
      </c>
      <c r="T65" s="56">
        <v>0</v>
      </c>
      <c r="U65" s="56">
        <v>0</v>
      </c>
      <c r="V65" s="42" t="str">
        <v>L3</v>
      </c>
      <c r="W65" s="57" t="str">
        <v>ok</v>
      </c>
      <c r="X65" s="58" t="str">
        <v/>
      </c>
      <c r="Y65" s="75" t="str">
        <v/>
      </c>
      <c r="Z65" s="59">
        <v>0</v>
      </c>
      <c r="AA65" s="61">
        <v>6</v>
      </c>
      <c r="AB65" s="61">
        <v>16</v>
      </c>
      <c r="AC65" s="61" t="str">
        <v/>
      </c>
      <c r="AD65" s="62" t="str">
        <v>QF33 → МК-5-1 → XT45</v>
      </c>
      <c r="AE65" s="62" t="str">
        <v>нет мощности; 5 жил на 1 фазе</v>
      </c>
      <c r="AF65" s="34">
        <v>33</v>
      </c>
      <c r="AG65" s="34" t="str">
        <v>QF33</v>
      </c>
      <c r="AH65" s="34" t="str">
        <v/>
      </c>
      <c r="AI65" s="34" t="str">
        <v/>
      </c>
      <c r="AJ65" s="34" t="str">
        <v>QF33</v>
      </c>
      <c r="AK65" s="34">
        <v>1</v>
      </c>
      <c r="AL65" s="34" t="str">
        <v>L</v>
      </c>
      <c r="AM65" s="34">
        <v>0</v>
      </c>
      <c r="AN65" s="34">
        <v>0</v>
      </c>
      <c r="AO65" s="34">
        <v>10</v>
      </c>
      <c r="AP65" s="34">
        <v>16</v>
      </c>
      <c r="AQ65" s="34">
        <v>10</v>
      </c>
      <c r="AR65" s="34">
        <v>1</v>
      </c>
      <c r="AS65" s="34">
        <v>0</v>
      </c>
      <c r="AT65" s="34" t="str">
        <v>1P</v>
      </c>
      <c r="AU65" s="34">
        <v>10</v>
      </c>
      <c r="AV65" s="34" t="str">
        <v/>
      </c>
      <c r="AW65" s="34" t="str">
        <v/>
      </c>
      <c r="AX65" s="34" t="str">
        <v/>
      </c>
      <c r="AY65" s="34">
        <v>1</v>
      </c>
      <c r="AZ65" s="34" t="str">
        <v>МК-5-1</v>
      </c>
      <c r="BA65" s="34">
        <v>0</v>
      </c>
      <c r="BB65" s="34">
        <v>10</v>
      </c>
      <c r="BD65" s="34">
        <v>1</v>
      </c>
      <c r="BE65" s="34">
        <v>0</v>
      </c>
      <c r="BF65" s="34">
        <v>0</v>
      </c>
      <c r="BG65" s="34" t="str">
        <v/>
      </c>
      <c r="BH65" s="34" t="str">
        <v>MK</v>
      </c>
      <c r="BI65" s="34" t="str">
        <v/>
      </c>
      <c r="BJ65" s="34" t="str">
        <v/>
      </c>
      <c r="BK65" s="34" t="str">
        <v>LAMP</v>
      </c>
      <c r="BL65" s="34">
        <v>1</v>
      </c>
      <c r="BM65" s="34" t="str">
        <v/>
      </c>
      <c r="BN65" s="34" t="str">
        <v/>
      </c>
      <c r="BO65" s="34" t="str">
        <v/>
      </c>
      <c r="BP65" s="34" t="str">
        <v/>
      </c>
      <c r="BQ65" s="34" t="str">
        <v>5х1,5</v>
      </c>
      <c r="BR65" s="34" t="str">
        <v/>
      </c>
      <c r="BS65" s="34" t="str">
        <v/>
      </c>
      <c r="BT65" s="34" t="str">
        <v/>
      </c>
      <c r="BU65" s="34">
        <v>1</v>
      </c>
      <c r="BV65" s="34">
        <v>45</v>
      </c>
      <c r="BW65" s="34">
        <v>1</v>
      </c>
      <c r="BX65" s="34">
        <v>2</v>
      </c>
      <c r="BY65" s="34" t="str">
        <v>Светильник</v>
      </c>
      <c r="BZ65">
        <v>1</v>
      </c>
      <c r="CA65" t="str">
        <v>линии</v>
      </c>
    </row>
    <row r="66" spans="1:79" x14ac:dyDescent="0.3">
      <c r="A66" s="39" t="str">
        <v>ЩР</v>
      </c>
      <c r="B66" s="42">
        <v>70</v>
      </c>
      <c r="C66" s="42">
        <v>5</v>
      </c>
      <c r="D66" s="75" t="str">
        <v/>
      </c>
      <c r="E66" s="75" t="str">
        <v/>
      </c>
      <c r="F66" s="76" t="str">
        <v/>
      </c>
      <c r="G66" s="47" t="str">
        <v>QF33</v>
      </c>
      <c r="H66" s="47" t="str">
        <v/>
      </c>
      <c r="I66" s="75" t="str">
        <v/>
      </c>
      <c r="J66" s="76" t="str">
        <v/>
      </c>
      <c r="K66" s="76" t="str">
        <v/>
      </c>
      <c r="L66" s="75" t="str">
        <v/>
      </c>
      <c r="M66" s="49" t="str">
        <v/>
      </c>
      <c r="N66" s="76" t="str">
        <v/>
      </c>
      <c r="O66" s="49" t="str">
        <v/>
      </c>
      <c r="P66" s="77" t="str">
        <v>XT46</v>
      </c>
      <c r="Q66" s="53" t="str">
        <v>ВВГнг(А)-LS (5х1,5) L=100-0%</v>
      </c>
      <c r="R66" s="54" t="str">
        <v>L.2.05.1</v>
      </c>
      <c r="S66" s="55" t="str">
        <v>Группа освещения  Пом. №05</v>
      </c>
      <c r="T66" s="56">
        <v>0</v>
      </c>
      <c r="U66" s="56">
        <v>0</v>
      </c>
      <c r="V66" s="42" t="str">
        <v>L3</v>
      </c>
      <c r="W66" s="57" t="str">
        <v/>
      </c>
      <c r="X66" s="58" t="str">
        <v/>
      </c>
      <c r="Y66" s="75" t="str">
        <v/>
      </c>
      <c r="Z66" s="59" t="str">
        <v/>
      </c>
      <c r="AA66" s="61" t="str">
        <v/>
      </c>
      <c r="AB66" s="61">
        <v>16</v>
      </c>
      <c r="AC66" s="61" t="str">
        <v/>
      </c>
      <c r="AD66" s="62" t="str">
        <v>QF33 → МК-5-1 → XT46</v>
      </c>
      <c r="AE66" s="62" t="str">
        <v>нет мощности; 5 жил на 1 фазе</v>
      </c>
      <c r="AF66" s="34">
        <v>33</v>
      </c>
      <c r="AG66" s="34" t="str">
        <v>QF33</v>
      </c>
      <c r="AH66" s="34" t="str">
        <v/>
      </c>
      <c r="AI66" s="34" t="str">
        <v/>
      </c>
      <c r="AJ66" s="34" t="str">
        <v/>
      </c>
      <c r="AK66" s="34">
        <v>1</v>
      </c>
      <c r="AL66" s="34" t="str">
        <v>L</v>
      </c>
      <c r="AM66" s="34">
        <v>0</v>
      </c>
      <c r="AN66" s="34">
        <v>0</v>
      </c>
      <c r="AO66" s="34" t="str">
        <v/>
      </c>
      <c r="AP66" s="34" t="str">
        <v/>
      </c>
      <c r="AQ66" s="34" t="str">
        <v/>
      </c>
      <c r="AR66" s="34" t="str">
        <v/>
      </c>
      <c r="AS66" s="34" t="str">
        <v/>
      </c>
      <c r="AT66" s="34" t="str">
        <v/>
      </c>
      <c r="AU66" s="34" t="str">
        <v/>
      </c>
      <c r="AV66" s="34" t="str">
        <v/>
      </c>
      <c r="AW66" s="34" t="str">
        <v/>
      </c>
      <c r="AX66" s="34" t="str">
        <v/>
      </c>
      <c r="AY66" s="34">
        <v>1</v>
      </c>
      <c r="AZ66" s="34" t="str">
        <v>МК-5-1</v>
      </c>
      <c r="BA66" s="34">
        <v>0</v>
      </c>
      <c r="BB66" s="34">
        <v>10</v>
      </c>
      <c r="BD66" s="34">
        <v>1</v>
      </c>
      <c r="BE66" s="34">
        <v>0</v>
      </c>
      <c r="BF66" s="34">
        <v>0</v>
      </c>
      <c r="BG66" s="34" t="str">
        <v/>
      </c>
      <c r="BH66" s="34" t="str">
        <v/>
      </c>
      <c r="BI66" s="34" t="str">
        <v/>
      </c>
      <c r="BJ66" s="34" t="str">
        <v/>
      </c>
      <c r="BK66" s="34" t="str">
        <v>LAMP</v>
      </c>
      <c r="BL66" s="34">
        <v>1</v>
      </c>
      <c r="BM66" s="34" t="str">
        <v/>
      </c>
      <c r="BN66" s="34" t="str">
        <v/>
      </c>
      <c r="BO66" s="34" t="str">
        <v/>
      </c>
      <c r="BP66" s="34" t="str">
        <v/>
      </c>
      <c r="BQ66" s="34" t="str">
        <v>5х1,5</v>
      </c>
      <c r="BR66" s="34" t="str">
        <v/>
      </c>
      <c r="BS66" s="34" t="str">
        <v/>
      </c>
      <c r="BT66" s="34" t="str">
        <v/>
      </c>
      <c r="BU66" s="34">
        <v>1</v>
      </c>
      <c r="BV66" s="34">
        <v>46</v>
      </c>
      <c r="BW66" s="34">
        <v>1</v>
      </c>
      <c r="BX66" s="34">
        <v>2</v>
      </c>
      <c r="BY66" s="34" t="str">
        <v>Светильник</v>
      </c>
      <c r="BZ66">
        <v>1</v>
      </c>
      <c r="CA66" t="str">
        <v>линии</v>
      </c>
    </row>
    <row r="67" spans="1:79" x14ac:dyDescent="0.3">
      <c r="A67" s="39" t="str">
        <v>ЩР</v>
      </c>
      <c r="B67" s="42">
        <v>71</v>
      </c>
      <c r="C67" s="42">
        <v>5</v>
      </c>
      <c r="D67" s="75" t="str">
        <v/>
      </c>
      <c r="E67" s="75" t="str">
        <v>авто</v>
      </c>
      <c r="F67" s="76" t="str">
        <v/>
      </c>
      <c r="G67" s="47" t="str">
        <v>QF34</v>
      </c>
      <c r="H67" s="47" t="str">
        <v>1P С10А</v>
      </c>
      <c r="I67" s="75" t="str">
        <v>МК-5-1</v>
      </c>
      <c r="J67" s="76" t="str">
        <v/>
      </c>
      <c r="K67" s="76" t="str">
        <v/>
      </c>
      <c r="L67" s="75" t="str">
        <v/>
      </c>
      <c r="M67" s="49" t="str">
        <v/>
      </c>
      <c r="N67" s="76" t="str">
        <v/>
      </c>
      <c r="O67" s="49" t="str">
        <v/>
      </c>
      <c r="P67" s="77" t="str">
        <v>XT47</v>
      </c>
      <c r="Q67" s="53" t="str">
        <v>ВВГнг(А)-LS (5х1,5) L=28-0%</v>
      </c>
      <c r="R67" s="54" t="str">
        <v>L.2.08.1</v>
      </c>
      <c r="S67" s="55" t="str">
        <v>Группа освещения  Пом. №08</v>
      </c>
      <c r="T67" s="56">
        <v>0</v>
      </c>
      <c r="U67" s="56">
        <v>0</v>
      </c>
      <c r="V67" s="42" t="str">
        <v>L1</v>
      </c>
      <c r="W67" s="57" t="str">
        <v>ok</v>
      </c>
      <c r="X67" s="58" t="str">
        <v/>
      </c>
      <c r="Y67" s="75" t="str">
        <v/>
      </c>
      <c r="Z67" s="59">
        <v>0</v>
      </c>
      <c r="AA67" s="61">
        <v>6</v>
      </c>
      <c r="AB67" s="61">
        <v>16</v>
      </c>
      <c r="AC67" s="61" t="str">
        <v/>
      </c>
      <c r="AD67" s="62" t="str">
        <v>QF34 → МК-5-1 → XT47</v>
      </c>
      <c r="AE67" s="62" t="str">
        <v>нет мощности; 5 жил на 1 фазе</v>
      </c>
      <c r="AF67" s="34">
        <v>34</v>
      </c>
      <c r="AG67" s="34" t="str">
        <v>QF34</v>
      </c>
      <c r="AH67" s="34" t="str">
        <v/>
      </c>
      <c r="AI67" s="34" t="str">
        <v/>
      </c>
      <c r="AJ67" s="34" t="str">
        <v>QF34</v>
      </c>
      <c r="AK67" s="34">
        <v>1</v>
      </c>
      <c r="AL67" s="34" t="str">
        <v>L</v>
      </c>
      <c r="AM67" s="34">
        <v>0</v>
      </c>
      <c r="AN67" s="34">
        <v>0</v>
      </c>
      <c r="AO67" s="34">
        <v>10</v>
      </c>
      <c r="AP67" s="34">
        <v>16</v>
      </c>
      <c r="AQ67" s="34">
        <v>10</v>
      </c>
      <c r="AR67" s="34">
        <v>1</v>
      </c>
      <c r="AS67" s="34">
        <v>0</v>
      </c>
      <c r="AT67" s="34" t="str">
        <v>1P</v>
      </c>
      <c r="AU67" s="34">
        <v>10</v>
      </c>
      <c r="AV67" s="34" t="str">
        <v/>
      </c>
      <c r="AW67" s="34" t="str">
        <v/>
      </c>
      <c r="AX67" s="34" t="str">
        <v/>
      </c>
      <c r="AY67" s="34">
        <v>1</v>
      </c>
      <c r="AZ67" s="34" t="str">
        <v>МК-5-1</v>
      </c>
      <c r="BA67" s="34">
        <v>0</v>
      </c>
      <c r="BB67" s="34">
        <v>10</v>
      </c>
      <c r="BD67" s="34">
        <v>1</v>
      </c>
      <c r="BE67" s="34">
        <v>0</v>
      </c>
      <c r="BF67" s="34">
        <v>0</v>
      </c>
      <c r="BG67" s="34" t="str">
        <v/>
      </c>
      <c r="BH67" s="34" t="str">
        <v>MK</v>
      </c>
      <c r="BI67" s="34" t="str">
        <v/>
      </c>
      <c r="BJ67" s="34" t="str">
        <v/>
      </c>
      <c r="BK67" s="34" t="str">
        <v>LAMP</v>
      </c>
      <c r="BL67" s="34">
        <v>1</v>
      </c>
      <c r="BM67" s="34" t="str">
        <v/>
      </c>
      <c r="BN67" s="34" t="str">
        <v/>
      </c>
      <c r="BO67" s="34" t="str">
        <v/>
      </c>
      <c r="BP67" s="34" t="str">
        <v/>
      </c>
      <c r="BQ67" s="34" t="str">
        <v>5х1,5</v>
      </c>
      <c r="BR67" s="34" t="str">
        <v/>
      </c>
      <c r="BS67" s="34" t="str">
        <v/>
      </c>
      <c r="BT67" s="34" t="str">
        <v/>
      </c>
      <c r="BU67" s="34">
        <v>1</v>
      </c>
      <c r="BV67" s="34">
        <v>47</v>
      </c>
      <c r="BW67" s="34">
        <v>1</v>
      </c>
      <c r="BX67" s="34">
        <v>2</v>
      </c>
      <c r="BY67" s="34" t="str">
        <v>Светильник</v>
      </c>
      <c r="BZ67">
        <v>1</v>
      </c>
      <c r="CA67" t="str">
        <v>линии</v>
      </c>
    </row>
    <row r="68" spans="1:79" x14ac:dyDescent="0.3">
      <c r="A68" s="39" t="str">
        <v>ЩР</v>
      </c>
      <c r="B68" s="42">
        <v>72</v>
      </c>
      <c r="C68" s="42">
        <v>5</v>
      </c>
      <c r="D68" s="75" t="str">
        <v/>
      </c>
      <c r="E68" s="75" t="str">
        <v/>
      </c>
      <c r="F68" s="76" t="str">
        <v/>
      </c>
      <c r="G68" s="47" t="str">
        <v>QF34</v>
      </c>
      <c r="H68" s="47" t="str">
        <v/>
      </c>
      <c r="I68" s="75" t="str">
        <v/>
      </c>
      <c r="J68" s="76" t="str">
        <v/>
      </c>
      <c r="K68" s="76" t="str">
        <v/>
      </c>
      <c r="L68" s="75" t="str">
        <v/>
      </c>
      <c r="M68" s="49" t="str">
        <v/>
      </c>
      <c r="N68" s="76" t="str">
        <v/>
      </c>
      <c r="O68" s="49" t="str">
        <v/>
      </c>
      <c r="P68" s="77" t="str">
        <v>XT48</v>
      </c>
      <c r="Q68" s="53" t="str">
        <v>ВВГнг(А)-LS (5х1,5) L=30-0%</v>
      </c>
      <c r="R68" s="54" t="str">
        <v>L.2.09.2</v>
      </c>
      <c r="S68" s="55" t="str">
        <v>Группа освещения  Пом. №09</v>
      </c>
      <c r="T68" s="56">
        <v>0</v>
      </c>
      <c r="U68" s="56">
        <v>0</v>
      </c>
      <c r="V68" s="42" t="str">
        <v>L2</v>
      </c>
      <c r="W68" s="57" t="str">
        <v/>
      </c>
      <c r="X68" s="58" t="str">
        <v/>
      </c>
      <c r="Y68" s="75" t="str">
        <v/>
      </c>
      <c r="Z68" s="59" t="str">
        <v/>
      </c>
      <c r="AA68" s="61" t="str">
        <v/>
      </c>
      <c r="AB68" s="61">
        <v>16</v>
      </c>
      <c r="AC68" s="61" t="str">
        <v/>
      </c>
      <c r="AD68" s="62" t="str">
        <v>QF34 → МК-5-1 → XT48</v>
      </c>
      <c r="AE68" s="62" t="str">
        <v>нет мощности; 5 жил на 1 фазе</v>
      </c>
      <c r="AF68" s="34">
        <v>34</v>
      </c>
      <c r="AG68" s="34" t="str">
        <v>QF34</v>
      </c>
      <c r="AH68" s="34" t="str">
        <v/>
      </c>
      <c r="AI68" s="34" t="str">
        <v/>
      </c>
      <c r="AJ68" s="34" t="str">
        <v/>
      </c>
      <c r="AK68" s="34">
        <v>1</v>
      </c>
      <c r="AL68" s="34" t="str">
        <v>L</v>
      </c>
      <c r="AM68" s="34">
        <v>0</v>
      </c>
      <c r="AN68" s="34">
        <v>0</v>
      </c>
      <c r="AO68" s="34" t="str">
        <v/>
      </c>
      <c r="AP68" s="34" t="str">
        <v/>
      </c>
      <c r="AQ68" s="34" t="str">
        <v/>
      </c>
      <c r="AR68" s="34" t="str">
        <v/>
      </c>
      <c r="AS68" s="34" t="str">
        <v/>
      </c>
      <c r="AT68" s="34" t="str">
        <v/>
      </c>
      <c r="AU68" s="34" t="str">
        <v/>
      </c>
      <c r="AV68" s="34" t="str">
        <v/>
      </c>
      <c r="AW68" s="34" t="str">
        <v/>
      </c>
      <c r="AX68" s="34" t="str">
        <v/>
      </c>
      <c r="AY68" s="34">
        <v>1</v>
      </c>
      <c r="AZ68" s="34" t="str">
        <v>МК-5-1</v>
      </c>
      <c r="BA68" s="34">
        <v>0</v>
      </c>
      <c r="BB68" s="34">
        <v>10</v>
      </c>
      <c r="BD68" s="34">
        <v>1</v>
      </c>
      <c r="BE68" s="34">
        <v>0</v>
      </c>
      <c r="BF68" s="34">
        <v>0</v>
      </c>
      <c r="BG68" s="34" t="str">
        <v/>
      </c>
      <c r="BH68" s="34" t="str">
        <v/>
      </c>
      <c r="BI68" s="34" t="str">
        <v/>
      </c>
      <c r="BJ68" s="34" t="str">
        <v/>
      </c>
      <c r="BK68" s="34" t="str">
        <v>LAMP</v>
      </c>
      <c r="BL68" s="34">
        <v>1</v>
      </c>
      <c r="BM68" s="34" t="str">
        <v/>
      </c>
      <c r="BN68" s="34" t="str">
        <v/>
      </c>
      <c r="BO68" s="34" t="str">
        <v/>
      </c>
      <c r="BP68" s="34" t="str">
        <v/>
      </c>
      <c r="BQ68" s="34" t="str">
        <v>5х1,5</v>
      </c>
      <c r="BR68" s="34" t="str">
        <v/>
      </c>
      <c r="BS68" s="34" t="str">
        <v/>
      </c>
      <c r="BT68" s="34" t="str">
        <v/>
      </c>
      <c r="BU68" s="34">
        <v>1</v>
      </c>
      <c r="BV68" s="34">
        <v>48</v>
      </c>
      <c r="BW68" s="34">
        <v>1</v>
      </c>
      <c r="BX68" s="34">
        <v>2</v>
      </c>
      <c r="BY68" s="34" t="str">
        <v>Светильник</v>
      </c>
      <c r="BZ68">
        <v>1</v>
      </c>
      <c r="CA68" t="str">
        <v>линии</v>
      </c>
    </row>
    <row r="69" spans="1:79" x14ac:dyDescent="0.3">
      <c r="A69" s="39" t="str">
        <v>ЩР</v>
      </c>
      <c r="B69" s="42">
        <v>73</v>
      </c>
      <c r="C69" s="42">
        <v>5</v>
      </c>
      <c r="D69" s="75" t="str">
        <v/>
      </c>
      <c r="E69" s="75" t="str">
        <v/>
      </c>
      <c r="F69" s="76" t="str">
        <v/>
      </c>
      <c r="G69" s="47" t="str">
        <v>QF34</v>
      </c>
      <c r="H69" s="47" t="str">
        <v/>
      </c>
      <c r="I69" s="75" t="str">
        <v/>
      </c>
      <c r="J69" s="76" t="str">
        <v/>
      </c>
      <c r="K69" s="76" t="str">
        <v/>
      </c>
      <c r="L69" s="75" t="str">
        <v/>
      </c>
      <c r="M69" s="49" t="str">
        <v/>
      </c>
      <c r="N69" s="76" t="str">
        <v/>
      </c>
      <c r="O69" s="49" t="str">
        <v/>
      </c>
      <c r="P69" s="77" t="str">
        <v>XT49</v>
      </c>
      <c r="Q69" s="53" t="str">
        <v>ВВГнг(А)-LS (5х1,5) L=38-0%</v>
      </c>
      <c r="R69" s="54" t="str">
        <v>L.2.11.1</v>
      </c>
      <c r="S69" s="55" t="str">
        <v>Группа освещения  Пом. №11</v>
      </c>
      <c r="T69" s="56">
        <v>0</v>
      </c>
      <c r="U69" s="56">
        <v>0</v>
      </c>
      <c r="V69" s="42" t="str">
        <v>L3</v>
      </c>
      <c r="W69" s="57" t="str">
        <v/>
      </c>
      <c r="X69" s="58" t="str">
        <v/>
      </c>
      <c r="Y69" s="75" t="str">
        <v/>
      </c>
      <c r="Z69" s="59" t="str">
        <v/>
      </c>
      <c r="AA69" s="61" t="str">
        <v/>
      </c>
      <c r="AB69" s="61">
        <v>16</v>
      </c>
      <c r="AC69" s="61" t="str">
        <v/>
      </c>
      <c r="AD69" s="62" t="str">
        <v>QF34 → МК-5-1 → XT49</v>
      </c>
      <c r="AE69" s="62" t="str">
        <v>нет мощности; 5 жил на 1 фазе</v>
      </c>
      <c r="AF69" s="34">
        <v>34</v>
      </c>
      <c r="AG69" s="34" t="str">
        <v>QF34</v>
      </c>
      <c r="AH69" s="34" t="str">
        <v/>
      </c>
      <c r="AI69" s="34" t="str">
        <v/>
      </c>
      <c r="AJ69" s="34" t="str">
        <v/>
      </c>
      <c r="AK69" s="34">
        <v>1</v>
      </c>
      <c r="AL69" s="34" t="str">
        <v>L</v>
      </c>
      <c r="AM69" s="34">
        <v>0</v>
      </c>
      <c r="AN69" s="34">
        <v>0</v>
      </c>
      <c r="AO69" s="34" t="str">
        <v/>
      </c>
      <c r="AP69" s="34" t="str">
        <v/>
      </c>
      <c r="AQ69" s="34" t="str">
        <v/>
      </c>
      <c r="AR69" s="34" t="str">
        <v/>
      </c>
      <c r="AS69" s="34" t="str">
        <v/>
      </c>
      <c r="AT69" s="34" t="str">
        <v/>
      </c>
      <c r="AU69" s="34" t="str">
        <v/>
      </c>
      <c r="AV69" s="34" t="str">
        <v/>
      </c>
      <c r="AW69" s="34" t="str">
        <v/>
      </c>
      <c r="AX69" s="34" t="str">
        <v/>
      </c>
      <c r="AY69" s="34">
        <v>1</v>
      </c>
      <c r="AZ69" s="34" t="str">
        <v>МК-5-1</v>
      </c>
      <c r="BA69" s="34">
        <v>0</v>
      </c>
      <c r="BB69" s="34">
        <v>10</v>
      </c>
      <c r="BD69" s="34">
        <v>1</v>
      </c>
      <c r="BE69" s="34">
        <v>0</v>
      </c>
      <c r="BF69" s="34">
        <v>0</v>
      </c>
      <c r="BG69" s="34" t="str">
        <v/>
      </c>
      <c r="BH69" s="34" t="str">
        <v/>
      </c>
      <c r="BI69" s="34" t="str">
        <v/>
      </c>
      <c r="BJ69" s="34" t="str">
        <v/>
      </c>
      <c r="BK69" s="34" t="str">
        <v>LAMP</v>
      </c>
      <c r="BL69" s="34">
        <v>1</v>
      </c>
      <c r="BM69" s="34" t="str">
        <v/>
      </c>
      <c r="BN69" s="34" t="str">
        <v/>
      </c>
      <c r="BO69" s="34" t="str">
        <v/>
      </c>
      <c r="BP69" s="34" t="str">
        <v/>
      </c>
      <c r="BQ69" s="34" t="str">
        <v>5х1,5</v>
      </c>
      <c r="BR69" s="34" t="str">
        <v/>
      </c>
      <c r="BS69" s="34" t="str">
        <v/>
      </c>
      <c r="BT69" s="34" t="str">
        <v/>
      </c>
      <c r="BU69" s="34">
        <v>1</v>
      </c>
      <c r="BV69" s="34">
        <v>49</v>
      </c>
      <c r="BW69" s="34">
        <v>1</v>
      </c>
      <c r="BX69" s="34">
        <v>2</v>
      </c>
      <c r="BY69" s="34" t="str">
        <v>Светильник</v>
      </c>
      <c r="BZ69">
        <v>1</v>
      </c>
      <c r="CA69" t="str">
        <v>линии</v>
      </c>
    </row>
    <row r="70" spans="1:79" x14ac:dyDescent="0.3">
      <c r="A70" s="39" t="str">
        <v>ЩР</v>
      </c>
      <c r="B70" s="42">
        <v>74</v>
      </c>
      <c r="C70" s="42">
        <v>5</v>
      </c>
      <c r="D70" s="75" t="str">
        <v/>
      </c>
      <c r="E70" s="75" t="str">
        <v/>
      </c>
      <c r="F70" s="76" t="str">
        <v/>
      </c>
      <c r="G70" s="47" t="str">
        <v>QF34</v>
      </c>
      <c r="H70" s="47" t="str">
        <v/>
      </c>
      <c r="I70" s="75" t="str">
        <v/>
      </c>
      <c r="J70" s="76" t="str">
        <v/>
      </c>
      <c r="K70" s="76" t="str">
        <v/>
      </c>
      <c r="L70" s="75" t="str">
        <v/>
      </c>
      <c r="M70" s="49" t="str">
        <v/>
      </c>
      <c r="N70" s="76" t="str">
        <v/>
      </c>
      <c r="O70" s="49" t="str">
        <v/>
      </c>
      <c r="P70" s="77" t="str">
        <v>XT50</v>
      </c>
      <c r="Q70" s="53" t="str">
        <v>ВВГнг(А)-LS (5х1,5) L=19-0%</v>
      </c>
      <c r="R70" s="54" t="str">
        <v>L.2.12.1</v>
      </c>
      <c r="S70" s="55" t="str">
        <v>Группа освещения  Пом. №12</v>
      </c>
      <c r="T70" s="56">
        <v>0</v>
      </c>
      <c r="U70" s="56">
        <v>0</v>
      </c>
      <c r="V70" s="42" t="str">
        <v>L1</v>
      </c>
      <c r="W70" s="57" t="str">
        <v/>
      </c>
      <c r="X70" s="58" t="str">
        <v/>
      </c>
      <c r="Y70" s="75" t="str">
        <v/>
      </c>
      <c r="Z70" s="59" t="str">
        <v/>
      </c>
      <c r="AA70" s="61" t="str">
        <v/>
      </c>
      <c r="AB70" s="61">
        <v>16</v>
      </c>
      <c r="AC70" s="61" t="str">
        <v/>
      </c>
      <c r="AD70" s="62" t="str">
        <v>QF34 → МК-5-1 → XT50</v>
      </c>
      <c r="AE70" s="62" t="str">
        <v>нет мощности; 5 жил на 1 фазе</v>
      </c>
      <c r="AF70" s="34">
        <v>34</v>
      </c>
      <c r="AG70" s="34" t="str">
        <v>QF34</v>
      </c>
      <c r="AH70" s="34" t="str">
        <v/>
      </c>
      <c r="AI70" s="34" t="str">
        <v/>
      </c>
      <c r="AJ70" s="34" t="str">
        <v/>
      </c>
      <c r="AK70" s="34">
        <v>1</v>
      </c>
      <c r="AL70" s="34" t="str">
        <v>L</v>
      </c>
      <c r="AM70" s="34">
        <v>0</v>
      </c>
      <c r="AN70" s="34">
        <v>0</v>
      </c>
      <c r="AO70" s="34" t="str">
        <v/>
      </c>
      <c r="AP70" s="34" t="str">
        <v/>
      </c>
      <c r="AQ70" s="34" t="str">
        <v/>
      </c>
      <c r="AR70" s="34" t="str">
        <v/>
      </c>
      <c r="AS70" s="34" t="str">
        <v/>
      </c>
      <c r="AT70" s="34" t="str">
        <v/>
      </c>
      <c r="AU70" s="34" t="str">
        <v/>
      </c>
      <c r="AV70" s="34" t="str">
        <v/>
      </c>
      <c r="AW70" s="34" t="str">
        <v/>
      </c>
      <c r="AX70" s="34" t="str">
        <v/>
      </c>
      <c r="AY70" s="34">
        <v>1</v>
      </c>
      <c r="AZ70" s="34" t="str">
        <v>МК-5-1</v>
      </c>
      <c r="BA70" s="34">
        <v>0</v>
      </c>
      <c r="BB70" s="34">
        <v>10</v>
      </c>
      <c r="BD70" s="34">
        <v>1</v>
      </c>
      <c r="BE70" s="34">
        <v>0</v>
      </c>
      <c r="BF70" s="34">
        <v>0</v>
      </c>
      <c r="BG70" s="34" t="str">
        <v/>
      </c>
      <c r="BH70" s="34" t="str">
        <v/>
      </c>
      <c r="BI70" s="34" t="str">
        <v/>
      </c>
      <c r="BJ70" s="34" t="str">
        <v/>
      </c>
      <c r="BK70" s="34" t="str">
        <v>LAMP</v>
      </c>
      <c r="BL70" s="34">
        <v>1</v>
      </c>
      <c r="BM70" s="34" t="str">
        <v/>
      </c>
      <c r="BN70" s="34" t="str">
        <v/>
      </c>
      <c r="BO70" s="34" t="str">
        <v/>
      </c>
      <c r="BP70" s="34" t="str">
        <v/>
      </c>
      <c r="BQ70" s="34" t="str">
        <v>5х1,5</v>
      </c>
      <c r="BR70" s="34" t="str">
        <v/>
      </c>
      <c r="BS70" s="34" t="str">
        <v/>
      </c>
      <c r="BT70" s="34" t="str">
        <v/>
      </c>
      <c r="BU70" s="34">
        <v>1</v>
      </c>
      <c r="BV70" s="34">
        <v>50</v>
      </c>
      <c r="BW70" s="34">
        <v>1</v>
      </c>
      <c r="BX70" s="34">
        <v>2</v>
      </c>
      <c r="BY70" s="34" t="str">
        <v>Светильник</v>
      </c>
      <c r="BZ70">
        <v>1</v>
      </c>
      <c r="CA70" t="str">
        <v>линии</v>
      </c>
    </row>
    <row r="71" spans="1:79" x14ac:dyDescent="0.3">
      <c r="A71" s="39" t="str">
        <v>ЩР</v>
      </c>
      <c r="B71" s="42">
        <v>75</v>
      </c>
      <c r="C71" s="42">
        <v>5</v>
      </c>
      <c r="D71" s="75" t="str">
        <v/>
      </c>
      <c r="E71" s="75" t="str">
        <v>авто</v>
      </c>
      <c r="F71" s="76" t="str">
        <v/>
      </c>
      <c r="G71" s="47" t="str">
        <v>QF35</v>
      </c>
      <c r="H71" s="47" t="str">
        <v>1P С10А</v>
      </c>
      <c r="I71" s="75" t="str">
        <v>МК-5-1</v>
      </c>
      <c r="J71" s="76" t="str">
        <v/>
      </c>
      <c r="K71" s="76" t="str">
        <v/>
      </c>
      <c r="L71" s="75" t="str">
        <v/>
      </c>
      <c r="M71" s="49" t="str">
        <v/>
      </c>
      <c r="N71" s="76" t="str">
        <v/>
      </c>
      <c r="O71" s="49" t="str">
        <v/>
      </c>
      <c r="P71" s="77" t="str">
        <v>XT51</v>
      </c>
      <c r="Q71" s="53" t="str">
        <v>ВВГнг(А)-LS (5х1,5) L=32-0%</v>
      </c>
      <c r="R71" s="54" t="str">
        <v>L.2.13.1</v>
      </c>
      <c r="S71" s="55" t="str">
        <v>Группа освещения  Пом. №13</v>
      </c>
      <c r="T71" s="56">
        <v>0</v>
      </c>
      <c r="U71" s="56">
        <v>0</v>
      </c>
      <c r="V71" s="42" t="str">
        <v>L2</v>
      </c>
      <c r="W71" s="57" t="str">
        <v>ok</v>
      </c>
      <c r="X71" s="58" t="str">
        <v/>
      </c>
      <c r="Y71" s="75" t="str">
        <v/>
      </c>
      <c r="Z71" s="59">
        <v>0</v>
      </c>
      <c r="AA71" s="61">
        <v>6</v>
      </c>
      <c r="AB71" s="61">
        <v>16</v>
      </c>
      <c r="AC71" s="61" t="str">
        <v/>
      </c>
      <c r="AD71" s="62" t="str">
        <v>QF35 → МК-5-1 → XT51</v>
      </c>
      <c r="AE71" s="62" t="str">
        <v>нет мощности; 5 жил на 1 фазе</v>
      </c>
      <c r="AF71" s="34">
        <v>35</v>
      </c>
      <c r="AG71" s="34" t="str">
        <v>QF35</v>
      </c>
      <c r="AH71" s="34" t="str">
        <v/>
      </c>
      <c r="AI71" s="34" t="str">
        <v/>
      </c>
      <c r="AJ71" s="34" t="str">
        <v>QF35</v>
      </c>
      <c r="AK71" s="34">
        <v>1</v>
      </c>
      <c r="AL71" s="34" t="str">
        <v>L</v>
      </c>
      <c r="AM71" s="34">
        <v>0</v>
      </c>
      <c r="AN71" s="34">
        <v>0</v>
      </c>
      <c r="AO71" s="34">
        <v>10</v>
      </c>
      <c r="AP71" s="34">
        <v>16</v>
      </c>
      <c r="AQ71" s="34">
        <v>10</v>
      </c>
      <c r="AR71" s="34">
        <v>1</v>
      </c>
      <c r="AS71" s="34">
        <v>0</v>
      </c>
      <c r="AT71" s="34" t="str">
        <v>1P</v>
      </c>
      <c r="AU71" s="34">
        <v>10</v>
      </c>
      <c r="AV71" s="34" t="str">
        <v/>
      </c>
      <c r="AW71" s="34" t="str">
        <v/>
      </c>
      <c r="AX71" s="34" t="str">
        <v/>
      </c>
      <c r="AY71" s="34">
        <v>1</v>
      </c>
      <c r="AZ71" s="34" t="str">
        <v>МК-5-1</v>
      </c>
      <c r="BA71" s="34">
        <v>0</v>
      </c>
      <c r="BB71" s="34">
        <v>10</v>
      </c>
      <c r="BD71" s="34">
        <v>1</v>
      </c>
      <c r="BE71" s="34">
        <v>0</v>
      </c>
      <c r="BF71" s="34">
        <v>0</v>
      </c>
      <c r="BG71" s="34" t="str">
        <v/>
      </c>
      <c r="BH71" s="34" t="str">
        <v>MK</v>
      </c>
      <c r="BI71" s="34" t="str">
        <v/>
      </c>
      <c r="BJ71" s="34" t="str">
        <v/>
      </c>
      <c r="BK71" s="34" t="str">
        <v>LAMP</v>
      </c>
      <c r="BL71" s="34">
        <v>1</v>
      </c>
      <c r="BM71" s="34" t="str">
        <v/>
      </c>
      <c r="BN71" s="34" t="str">
        <v/>
      </c>
      <c r="BO71" s="34" t="str">
        <v/>
      </c>
      <c r="BP71" s="34" t="str">
        <v/>
      </c>
      <c r="BQ71" s="34" t="str">
        <v>5х1,5</v>
      </c>
      <c r="BR71" s="34" t="str">
        <v/>
      </c>
      <c r="BS71" s="34" t="str">
        <v/>
      </c>
      <c r="BT71" s="34" t="str">
        <v/>
      </c>
      <c r="BU71" s="34">
        <v>1</v>
      </c>
      <c r="BV71" s="34">
        <v>51</v>
      </c>
      <c r="BW71" s="34">
        <v>1</v>
      </c>
      <c r="BX71" s="34">
        <v>2</v>
      </c>
      <c r="BY71" s="34" t="str">
        <v>Светильник</v>
      </c>
      <c r="BZ71">
        <v>1</v>
      </c>
      <c r="CA71" t="str">
        <v>линии</v>
      </c>
    </row>
    <row r="72" spans="1:79" x14ac:dyDescent="0.3">
      <c r="A72" s="39" t="str">
        <v>ЩР</v>
      </c>
      <c r="B72" s="42">
        <v>76</v>
      </c>
      <c r="C72" s="42">
        <v>5</v>
      </c>
      <c r="D72" s="75" t="str">
        <v/>
      </c>
      <c r="E72" s="75" t="str">
        <v/>
      </c>
      <c r="F72" s="76" t="str">
        <v/>
      </c>
      <c r="G72" s="47" t="str">
        <v>QF35</v>
      </c>
      <c r="H72" s="47" t="str">
        <v/>
      </c>
      <c r="I72" s="75" t="str">
        <v/>
      </c>
      <c r="J72" s="76" t="str">
        <v/>
      </c>
      <c r="K72" s="76" t="str">
        <v/>
      </c>
      <c r="L72" s="75" t="str">
        <v/>
      </c>
      <c r="M72" s="49" t="str">
        <v/>
      </c>
      <c r="N72" s="76" t="str">
        <v/>
      </c>
      <c r="O72" s="49" t="str">
        <v/>
      </c>
      <c r="P72" s="77" t="str">
        <v>XT52</v>
      </c>
      <c r="Q72" s="53" t="str">
        <v>ВВГнг(А)-LS (3х1,5) L=8-0%</v>
      </c>
      <c r="R72" s="54" t="str">
        <v>L.2.12.2</v>
      </c>
      <c r="S72" s="55" t="str">
        <v>Группа освещения  Пом. №12</v>
      </c>
      <c r="T72" s="56">
        <v>0</v>
      </c>
      <c r="U72" s="56">
        <v>0</v>
      </c>
      <c r="V72" s="42" t="str">
        <v>L3</v>
      </c>
      <c r="W72" s="57" t="str">
        <v/>
      </c>
      <c r="X72" s="58" t="str">
        <v/>
      </c>
      <c r="Y72" s="75" t="str">
        <v/>
      </c>
      <c r="Z72" s="59" t="str">
        <v/>
      </c>
      <c r="AA72" s="61" t="str">
        <v/>
      </c>
      <c r="AB72" s="61">
        <v>16</v>
      </c>
      <c r="AC72" s="61" t="str">
        <v/>
      </c>
      <c r="AD72" s="62" t="str">
        <v>QF35 → МК-5-1 → XT52</v>
      </c>
      <c r="AE72" s="62" t="str">
        <v>нет мощности</v>
      </c>
      <c r="AF72" s="34">
        <v>35</v>
      </c>
      <c r="AG72" s="34" t="str">
        <v>QF35</v>
      </c>
      <c r="AH72" s="34" t="str">
        <v/>
      </c>
      <c r="AI72" s="34" t="str">
        <v/>
      </c>
      <c r="AJ72" s="34" t="str">
        <v/>
      </c>
      <c r="AK72" s="34">
        <v>1</v>
      </c>
      <c r="AL72" s="34" t="str">
        <v>L</v>
      </c>
      <c r="AM72" s="34">
        <v>0</v>
      </c>
      <c r="AN72" s="34">
        <v>0</v>
      </c>
      <c r="AO72" s="34" t="str">
        <v/>
      </c>
      <c r="AP72" s="34" t="str">
        <v/>
      </c>
      <c r="AQ72" s="34" t="str">
        <v/>
      </c>
      <c r="AR72" s="34" t="str">
        <v/>
      </c>
      <c r="AS72" s="34" t="str">
        <v/>
      </c>
      <c r="AT72" s="34" t="str">
        <v/>
      </c>
      <c r="AU72" s="34" t="str">
        <v/>
      </c>
      <c r="AV72" s="34" t="str">
        <v/>
      </c>
      <c r="AW72" s="34" t="str">
        <v/>
      </c>
      <c r="AX72" s="34" t="str">
        <v/>
      </c>
      <c r="AY72" s="34">
        <v>1</v>
      </c>
      <c r="AZ72" s="34" t="str">
        <v>МК-5-1</v>
      </c>
      <c r="BA72" s="34">
        <v>0</v>
      </c>
      <c r="BB72" s="34">
        <v>10</v>
      </c>
      <c r="BD72" s="34">
        <v>1</v>
      </c>
      <c r="BE72" s="34">
        <v>0</v>
      </c>
      <c r="BF72" s="34">
        <v>0</v>
      </c>
      <c r="BG72" s="34" t="str">
        <v/>
      </c>
      <c r="BH72" s="34" t="str">
        <v/>
      </c>
      <c r="BI72" s="34" t="str">
        <v/>
      </c>
      <c r="BJ72" s="34" t="str">
        <v/>
      </c>
      <c r="BK72" s="34" t="str">
        <v>LAMP</v>
      </c>
      <c r="BL72" s="34">
        <v>1</v>
      </c>
      <c r="BM72" s="34" t="str">
        <v/>
      </c>
      <c r="BN72" s="34" t="str">
        <v/>
      </c>
      <c r="BO72" s="34" t="str">
        <v/>
      </c>
      <c r="BP72" s="34" t="str">
        <v/>
      </c>
      <c r="BQ72" s="34" t="str">
        <v>3х1,5</v>
      </c>
      <c r="BR72" s="34" t="str">
        <v/>
      </c>
      <c r="BS72" s="34" t="str">
        <v/>
      </c>
      <c r="BT72" s="34" t="str">
        <v/>
      </c>
      <c r="BU72" s="34">
        <v>1</v>
      </c>
      <c r="BV72" s="34">
        <v>52</v>
      </c>
      <c r="BW72" s="34">
        <v>1</v>
      </c>
      <c r="BX72" s="34">
        <v>0</v>
      </c>
      <c r="BY72" s="34" t="str">
        <v>Светильник</v>
      </c>
      <c r="BZ72">
        <v>1</v>
      </c>
      <c r="CA72" t="str">
        <v>линии</v>
      </c>
    </row>
    <row r="73" spans="1:79" x14ac:dyDescent="0.3">
      <c r="A73" s="39"/>
      <c r="B73" s="42"/>
      <c r="C73" s="42"/>
      <c r="D73" s="75"/>
      <c r="E73" s="75"/>
      <c r="F73" s="76"/>
      <c r="G73" s="47"/>
      <c r="H73" s="47"/>
      <c r="I73" s="75"/>
      <c r="J73" s="76"/>
      <c r="K73" s="76"/>
      <c r="L73" s="75"/>
      <c r="M73" s="49"/>
      <c r="N73" s="76"/>
      <c r="O73" s="49"/>
      <c r="P73" s="77"/>
      <c r="Q73" s="53"/>
      <c r="R73" s="54"/>
      <c r="S73" s="55"/>
      <c r="T73" s="56"/>
      <c r="U73" s="56"/>
      <c r="V73" s="42"/>
      <c r="W73" s="57"/>
      <c r="X73" s="58"/>
      <c r="Y73" s="75"/>
      <c r="Z73" s="59"/>
      <c r="AA73" s="61"/>
      <c r="AB73" s="61"/>
      <c r="AC73" s="61"/>
      <c r="AD73" s="62"/>
      <c r="AE73" s="62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</row>
    <row r="74" spans="1:79" x14ac:dyDescent="0.3">
      <c r="A74" s="39"/>
      <c r="B74" s="42"/>
      <c r="C74" s="42"/>
      <c r="D74" s="75"/>
      <c r="E74" s="75"/>
      <c r="F74" s="76"/>
      <c r="G74" s="47"/>
      <c r="H74" s="47"/>
      <c r="I74" s="75"/>
      <c r="J74" s="76"/>
      <c r="K74" s="76"/>
      <c r="L74" s="75"/>
      <c r="M74" s="49"/>
      <c r="N74" s="76"/>
      <c r="O74" s="49"/>
      <c r="P74" s="77"/>
      <c r="Q74" s="53"/>
      <c r="R74" s="54"/>
      <c r="S74" s="55"/>
      <c r="T74" s="56"/>
      <c r="U74" s="56"/>
      <c r="V74" s="42"/>
      <c r="W74" s="57"/>
      <c r="X74" s="58"/>
      <c r="Y74" s="75"/>
      <c r="Z74" s="59"/>
      <c r="AA74" s="61"/>
      <c r="AB74" s="61"/>
      <c r="AC74" s="61"/>
      <c r="AD74" s="62"/>
      <c r="AE74" s="62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</row>
    <row r="75" spans="1:79" x14ac:dyDescent="0.3">
      <c r="A75" s="39"/>
      <c r="B75" s="42"/>
      <c r="C75" s="42"/>
      <c r="D75" s="75"/>
      <c r="E75" s="75"/>
      <c r="F75" s="76"/>
      <c r="G75" s="47"/>
      <c r="H75" s="47"/>
      <c r="I75" s="75"/>
      <c r="J75" s="76"/>
      <c r="K75" s="76"/>
      <c r="L75" s="75"/>
      <c r="M75" s="49"/>
      <c r="N75" s="76"/>
      <c r="O75" s="49"/>
      <c r="P75" s="77"/>
      <c r="Q75" s="53"/>
      <c r="R75" s="54"/>
      <c r="S75" s="55"/>
      <c r="T75" s="56"/>
      <c r="U75" s="56"/>
      <c r="V75" s="42"/>
      <c r="W75" s="57"/>
      <c r="X75" s="58"/>
      <c r="Y75" s="75"/>
      <c r="Z75" s="59"/>
      <c r="AA75" s="61"/>
      <c r="AB75" s="61"/>
      <c r="AC75" s="61"/>
      <c r="AD75" s="62"/>
      <c r="AE75" s="62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</row>
    <row r="76" spans="1:79" x14ac:dyDescent="0.3">
      <c r="A76" s="39"/>
      <c r="B76" s="42"/>
      <c r="C76" s="42"/>
      <c r="D76" s="75"/>
      <c r="E76" s="75"/>
      <c r="F76" s="76"/>
      <c r="G76" s="47"/>
      <c r="H76" s="47"/>
      <c r="I76" s="75"/>
      <c r="J76" s="76"/>
      <c r="K76" s="76"/>
      <c r="L76" s="75"/>
      <c r="M76" s="49"/>
      <c r="N76" s="76"/>
      <c r="O76" s="49"/>
      <c r="P76" s="77"/>
      <c r="Q76" s="53"/>
      <c r="R76" s="54"/>
      <c r="S76" s="55"/>
      <c r="T76" s="56"/>
      <c r="U76" s="56"/>
      <c r="V76" s="42"/>
      <c r="W76" s="57"/>
      <c r="X76" s="58"/>
      <c r="Y76" s="75"/>
      <c r="Z76" s="59"/>
      <c r="AA76" s="61"/>
      <c r="AB76" s="61"/>
      <c r="AC76" s="61"/>
      <c r="AD76" s="62"/>
      <c r="AE76" s="62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</row>
    <row r="77" spans="1:79" x14ac:dyDescent="0.3">
      <c r="A77" s="39"/>
      <c r="B77" s="42"/>
      <c r="C77" s="42"/>
      <c r="D77" s="75"/>
      <c r="E77" s="75"/>
      <c r="F77" s="76"/>
      <c r="G77" s="47"/>
      <c r="H77" s="47"/>
      <c r="I77" s="75"/>
      <c r="J77" s="76"/>
      <c r="K77" s="76"/>
      <c r="L77" s="75"/>
      <c r="M77" s="49"/>
      <c r="N77" s="76"/>
      <c r="O77" s="49"/>
      <c r="P77" s="77"/>
      <c r="Q77" s="53"/>
      <c r="R77" s="54"/>
      <c r="S77" s="55"/>
      <c r="T77" s="56"/>
      <c r="U77" s="56"/>
      <c r="V77" s="42"/>
      <c r="W77" s="57"/>
      <c r="X77" s="58"/>
      <c r="Y77" s="75"/>
      <c r="Z77" s="59"/>
      <c r="AA77" s="61"/>
      <c r="AB77" s="61"/>
      <c r="AC77" s="61"/>
      <c r="AD77" s="62"/>
      <c r="AE77" s="62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</row>
    <row r="78" spans="1:79" x14ac:dyDescent="0.3">
      <c r="A78" s="39"/>
      <c r="B78" s="42"/>
      <c r="C78" s="42"/>
      <c r="D78" s="75"/>
      <c r="E78" s="75"/>
      <c r="F78" s="76"/>
      <c r="G78" s="47"/>
      <c r="H78" s="47"/>
      <c r="I78" s="75"/>
      <c r="J78" s="76"/>
      <c r="K78" s="76"/>
      <c r="L78" s="75"/>
      <c r="M78" s="49"/>
      <c r="N78" s="76"/>
      <c r="O78" s="49"/>
      <c r="P78" s="77"/>
      <c r="Q78" s="53"/>
      <c r="R78" s="54"/>
      <c r="S78" s="55"/>
      <c r="T78" s="56"/>
      <c r="U78" s="56"/>
      <c r="V78" s="42"/>
      <c r="W78" s="57"/>
      <c r="X78" s="58"/>
      <c r="Y78" s="75"/>
      <c r="Z78" s="59"/>
      <c r="AA78" s="61"/>
      <c r="AB78" s="61"/>
      <c r="AC78" s="61"/>
      <c r="AD78" s="62"/>
      <c r="AE78" s="62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</row>
    <row r="79" spans="1:79" x14ac:dyDescent="0.3">
      <c r="A79" s="39"/>
      <c r="B79" s="42"/>
      <c r="C79" s="42"/>
      <c r="D79" s="75"/>
      <c r="E79" s="75"/>
      <c r="F79" s="76"/>
      <c r="G79" s="47"/>
      <c r="H79" s="47"/>
      <c r="I79" s="75"/>
      <c r="J79" s="76"/>
      <c r="K79" s="76"/>
      <c r="L79" s="75"/>
      <c r="M79" s="49"/>
      <c r="N79" s="76"/>
      <c r="O79" s="49"/>
      <c r="P79" s="77"/>
      <c r="Q79" s="53"/>
      <c r="R79" s="54"/>
      <c r="S79" s="55"/>
      <c r="T79" s="56"/>
      <c r="U79" s="56"/>
      <c r="V79" s="42"/>
      <c r="W79" s="57"/>
      <c r="X79" s="58"/>
      <c r="Y79" s="75"/>
      <c r="Z79" s="59"/>
      <c r="AA79" s="61"/>
      <c r="AB79" s="61"/>
      <c r="AC79" s="61"/>
      <c r="AD79" s="62"/>
      <c r="AE79" s="62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</row>
    <row r="80" spans="1:79" x14ac:dyDescent="0.3">
      <c r="A80" s="39"/>
      <c r="B80" s="42"/>
      <c r="C80" s="42"/>
      <c r="D80" s="75"/>
      <c r="E80" s="75"/>
      <c r="F80" s="76"/>
      <c r="G80" s="47"/>
      <c r="H80" s="47"/>
      <c r="I80" s="75"/>
      <c r="J80" s="76"/>
      <c r="K80" s="76"/>
      <c r="L80" s="75"/>
      <c r="M80" s="49"/>
      <c r="N80" s="76"/>
      <c r="O80" s="49"/>
      <c r="P80" s="77"/>
      <c r="Q80" s="53"/>
      <c r="R80" s="54"/>
      <c r="S80" s="55"/>
      <c r="T80" s="56"/>
      <c r="U80" s="56"/>
      <c r="V80" s="42"/>
      <c r="W80" s="57"/>
      <c r="X80" s="58"/>
      <c r="Y80" s="75"/>
      <c r="Z80" s="59"/>
      <c r="AA80" s="61"/>
      <c r="AB80" s="61"/>
      <c r="AC80" s="61"/>
      <c r="AD80" s="62"/>
      <c r="AE80" s="62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</row>
    <row r="81" spans="1:77" x14ac:dyDescent="0.3">
      <c r="A81" s="39"/>
      <c r="B81" s="42"/>
      <c r="C81" s="42"/>
      <c r="D81" s="75"/>
      <c r="E81" s="75"/>
      <c r="F81" s="76"/>
      <c r="G81" s="47"/>
      <c r="H81" s="47"/>
      <c r="I81" s="75"/>
      <c r="J81" s="76"/>
      <c r="K81" s="76"/>
      <c r="L81" s="75"/>
      <c r="M81" s="49"/>
      <c r="N81" s="76"/>
      <c r="O81" s="49"/>
      <c r="P81" s="77"/>
      <c r="Q81" s="53"/>
      <c r="R81" s="54"/>
      <c r="S81" s="55"/>
      <c r="T81" s="56"/>
      <c r="U81" s="56"/>
      <c r="V81" s="42"/>
      <c r="W81" s="57"/>
      <c r="X81" s="58"/>
      <c r="Y81" s="75"/>
      <c r="Z81" s="59"/>
      <c r="AA81" s="61"/>
      <c r="AB81" s="61"/>
      <c r="AC81" s="61"/>
      <c r="AD81" s="62"/>
      <c r="AE81" s="62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</row>
    <row r="82" spans="1:77" x14ac:dyDescent="0.3">
      <c r="A82" s="39"/>
      <c r="B82" s="42"/>
      <c r="C82" s="42"/>
      <c r="D82" s="75"/>
      <c r="E82" s="75"/>
      <c r="F82" s="76"/>
      <c r="G82" s="47"/>
      <c r="H82" s="47"/>
      <c r="I82" s="75"/>
      <c r="J82" s="76"/>
      <c r="K82" s="76"/>
      <c r="L82" s="75"/>
      <c r="M82" s="49"/>
      <c r="N82" s="76"/>
      <c r="O82" s="49"/>
      <c r="P82" s="77"/>
      <c r="Q82" s="53"/>
      <c r="R82" s="54"/>
      <c r="S82" s="55"/>
      <c r="T82" s="56"/>
      <c r="U82" s="56"/>
      <c r="V82" s="42"/>
      <c r="W82" s="57"/>
      <c r="X82" s="58"/>
      <c r="Y82" s="75"/>
      <c r="Z82" s="59"/>
      <c r="AA82" s="61"/>
      <c r="AB82" s="61"/>
      <c r="AC82" s="61"/>
      <c r="AD82" s="62"/>
      <c r="AE82" s="62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</row>
    <row r="83" spans="1:77" x14ac:dyDescent="0.3">
      <c r="A83" s="39"/>
      <c r="B83" s="42"/>
      <c r="C83" s="42"/>
      <c r="D83" s="75"/>
      <c r="E83" s="75"/>
      <c r="F83" s="76"/>
      <c r="G83" s="47"/>
      <c r="H83" s="47"/>
      <c r="I83" s="75"/>
      <c r="J83" s="76"/>
      <c r="K83" s="76"/>
      <c r="L83" s="75"/>
      <c r="M83" s="49"/>
      <c r="N83" s="76"/>
      <c r="O83" s="49"/>
      <c r="P83" s="77"/>
      <c r="Q83" s="53"/>
      <c r="R83" s="54"/>
      <c r="S83" s="55"/>
      <c r="T83" s="56"/>
      <c r="U83" s="56"/>
      <c r="V83" s="42"/>
      <c r="W83" s="57"/>
      <c r="X83" s="58"/>
      <c r="Y83" s="75"/>
      <c r="Z83" s="59"/>
      <c r="AA83" s="61"/>
      <c r="AB83" s="61"/>
      <c r="AC83" s="61"/>
      <c r="AD83" s="62"/>
      <c r="AE83" s="62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</row>
    <row r="84" spans="1:77" x14ac:dyDescent="0.3">
      <c r="A84" s="39"/>
      <c r="B84" s="42"/>
      <c r="C84" s="42"/>
      <c r="D84" s="75"/>
      <c r="E84" s="75"/>
      <c r="F84" s="76"/>
      <c r="G84" s="47"/>
      <c r="H84" s="47"/>
      <c r="I84" s="75"/>
      <c r="J84" s="76"/>
      <c r="K84" s="76"/>
      <c r="L84" s="75"/>
      <c r="M84" s="49"/>
      <c r="N84" s="76"/>
      <c r="O84" s="49"/>
      <c r="P84" s="77"/>
      <c r="Q84" s="53"/>
      <c r="R84" s="54"/>
      <c r="S84" s="55"/>
      <c r="T84" s="56"/>
      <c r="U84" s="56"/>
      <c r="V84" s="42"/>
      <c r="W84" s="57"/>
      <c r="X84" s="58"/>
      <c r="Y84" s="75"/>
      <c r="Z84" s="59"/>
      <c r="AA84" s="61"/>
      <c r="AB84" s="61"/>
      <c r="AC84" s="61"/>
      <c r="AD84" s="62"/>
      <c r="AE84" s="62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</row>
    <row r="85" spans="1:77" x14ac:dyDescent="0.3">
      <c r="A85" s="39"/>
      <c r="B85" s="42"/>
      <c r="C85" s="42"/>
      <c r="D85" s="75"/>
      <c r="E85" s="75"/>
      <c r="F85" s="76"/>
      <c r="G85" s="47"/>
      <c r="H85" s="47"/>
      <c r="I85" s="75"/>
      <c r="J85" s="76"/>
      <c r="K85" s="76"/>
      <c r="L85" s="75"/>
      <c r="M85" s="49"/>
      <c r="N85" s="76"/>
      <c r="O85" s="49"/>
      <c r="P85" s="77"/>
      <c r="Q85" s="53"/>
      <c r="R85" s="54"/>
      <c r="S85" s="55"/>
      <c r="T85" s="56"/>
      <c r="U85" s="56"/>
      <c r="V85" s="42"/>
      <c r="W85" s="57"/>
      <c r="X85" s="58"/>
      <c r="Y85" s="75"/>
      <c r="Z85" s="59"/>
      <c r="AA85" s="61"/>
      <c r="AB85" s="61"/>
      <c r="AC85" s="61"/>
      <c r="AD85" s="62"/>
      <c r="AE85" s="62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</row>
    <row r="86" spans="1:77" x14ac:dyDescent="0.3">
      <c r="A86" s="39"/>
      <c r="B86" s="42"/>
      <c r="C86" s="42"/>
      <c r="D86" s="75"/>
      <c r="E86" s="75"/>
      <c r="F86" s="76"/>
      <c r="G86" s="47"/>
      <c r="H86" s="47"/>
      <c r="I86" s="75"/>
      <c r="J86" s="76"/>
      <c r="K86" s="76"/>
      <c r="L86" s="75"/>
      <c r="M86" s="49"/>
      <c r="N86" s="76"/>
      <c r="O86" s="49"/>
      <c r="P86" s="77"/>
      <c r="Q86" s="53"/>
      <c r="R86" s="54"/>
      <c r="S86" s="55"/>
      <c r="T86" s="56"/>
      <c r="U86" s="56"/>
      <c r="V86" s="42"/>
      <c r="W86" s="57"/>
      <c r="X86" s="58"/>
      <c r="Y86" s="75"/>
      <c r="Z86" s="59"/>
      <c r="AA86" s="61"/>
      <c r="AB86" s="61"/>
      <c r="AC86" s="61"/>
      <c r="AD86" s="62"/>
      <c r="AE86" s="62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</row>
    <row r="87" spans="1:77" x14ac:dyDescent="0.3">
      <c r="A87" s="39"/>
      <c r="B87" s="42"/>
      <c r="C87" s="42"/>
      <c r="D87" s="75"/>
      <c r="E87" s="75"/>
      <c r="F87" s="76"/>
      <c r="G87" s="47"/>
      <c r="H87" s="47"/>
      <c r="I87" s="75"/>
      <c r="J87" s="76"/>
      <c r="K87" s="76"/>
      <c r="L87" s="75"/>
      <c r="M87" s="49"/>
      <c r="N87" s="76"/>
      <c r="O87" s="49"/>
      <c r="P87" s="77"/>
      <c r="Q87" s="53"/>
      <c r="R87" s="54"/>
      <c r="S87" s="55"/>
      <c r="T87" s="56"/>
      <c r="U87" s="56"/>
      <c r="V87" s="42"/>
      <c r="W87" s="57"/>
      <c r="X87" s="58"/>
      <c r="Y87" s="75"/>
      <c r="Z87" s="59"/>
      <c r="AA87" s="61"/>
      <c r="AB87" s="61"/>
      <c r="AC87" s="61"/>
      <c r="AD87" s="62"/>
      <c r="AE87" s="62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</row>
    <row r="88" spans="1:77" x14ac:dyDescent="0.3">
      <c r="A88" s="39"/>
      <c r="B88" s="42"/>
      <c r="C88" s="42"/>
      <c r="D88" s="75"/>
      <c r="E88" s="75"/>
      <c r="F88" s="76"/>
      <c r="G88" s="47"/>
      <c r="H88" s="47"/>
      <c r="I88" s="75"/>
      <c r="J88" s="76"/>
      <c r="K88" s="76"/>
      <c r="L88" s="75"/>
      <c r="M88" s="49"/>
      <c r="N88" s="76"/>
      <c r="O88" s="49"/>
      <c r="P88" s="77"/>
      <c r="Q88" s="53"/>
      <c r="R88" s="54"/>
      <c r="S88" s="55"/>
      <c r="T88" s="56"/>
      <c r="U88" s="56"/>
      <c r="V88" s="42"/>
      <c r="W88" s="57"/>
      <c r="X88" s="58"/>
      <c r="Y88" s="75"/>
      <c r="Z88" s="59"/>
      <c r="AA88" s="61"/>
      <c r="AB88" s="61"/>
      <c r="AC88" s="61"/>
      <c r="AD88" s="62"/>
      <c r="AE88" s="62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</row>
    <row r="89" spans="1:77" x14ac:dyDescent="0.3">
      <c r="A89" s="39"/>
      <c r="B89" s="42"/>
      <c r="C89" s="42"/>
      <c r="D89" s="75"/>
      <c r="E89" s="75"/>
      <c r="F89" s="76"/>
      <c r="G89" s="47"/>
      <c r="H89" s="47"/>
      <c r="I89" s="75"/>
      <c r="J89" s="76"/>
      <c r="K89" s="76"/>
      <c r="L89" s="75"/>
      <c r="M89" s="49"/>
      <c r="N89" s="76"/>
      <c r="O89" s="49"/>
      <c r="P89" s="77"/>
      <c r="Q89" s="53"/>
      <c r="R89" s="54"/>
      <c r="S89" s="55"/>
      <c r="T89" s="56"/>
      <c r="U89" s="56"/>
      <c r="V89" s="42"/>
      <c r="W89" s="57"/>
      <c r="X89" s="58"/>
      <c r="Y89" s="75"/>
      <c r="Z89" s="59"/>
      <c r="AA89" s="61"/>
      <c r="AB89" s="61"/>
      <c r="AC89" s="61"/>
      <c r="AD89" s="62"/>
      <c r="AE89" s="62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</row>
    <row r="90" spans="1:77" x14ac:dyDescent="0.3">
      <c r="A90" s="39"/>
      <c r="B90" s="42"/>
      <c r="C90" s="42"/>
      <c r="D90" s="75"/>
      <c r="E90" s="75"/>
      <c r="F90" s="76"/>
      <c r="G90" s="47"/>
      <c r="H90" s="47"/>
      <c r="I90" s="75"/>
      <c r="J90" s="76"/>
      <c r="K90" s="76"/>
      <c r="L90" s="75"/>
      <c r="M90" s="49"/>
      <c r="N90" s="76"/>
      <c r="O90" s="49"/>
      <c r="P90" s="77"/>
      <c r="Q90" s="53"/>
      <c r="R90" s="54"/>
      <c r="S90" s="55"/>
      <c r="T90" s="56"/>
      <c r="U90" s="56"/>
      <c r="V90" s="42"/>
      <c r="W90" s="57"/>
      <c r="X90" s="58"/>
      <c r="Y90" s="75"/>
      <c r="Z90" s="59"/>
      <c r="AA90" s="61"/>
      <c r="AB90" s="61"/>
      <c r="AC90" s="61"/>
      <c r="AD90" s="62"/>
      <c r="AE90" s="62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</row>
    <row r="91" spans="1:77" x14ac:dyDescent="0.3">
      <c r="A91" s="39"/>
      <c r="B91" s="42"/>
      <c r="C91" s="42"/>
      <c r="D91" s="75"/>
      <c r="E91" s="75"/>
      <c r="F91" s="76"/>
      <c r="G91" s="47"/>
      <c r="H91" s="47"/>
      <c r="I91" s="75"/>
      <c r="J91" s="76"/>
      <c r="K91" s="76"/>
      <c r="L91" s="75"/>
      <c r="M91" s="49"/>
      <c r="N91" s="76"/>
      <c r="O91" s="49"/>
      <c r="P91" s="77"/>
      <c r="Q91" s="53"/>
      <c r="R91" s="54"/>
      <c r="S91" s="55"/>
      <c r="T91" s="56"/>
      <c r="U91" s="56"/>
      <c r="V91" s="42"/>
      <c r="W91" s="57"/>
      <c r="X91" s="58"/>
      <c r="Y91" s="75"/>
      <c r="Z91" s="59"/>
      <c r="AA91" s="61"/>
      <c r="AB91" s="61"/>
      <c r="AC91" s="61"/>
      <c r="AD91" s="62"/>
      <c r="AE91" s="62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</row>
    <row r="92" spans="1:77" x14ac:dyDescent="0.3">
      <c r="A92" s="39"/>
      <c r="B92" s="42"/>
      <c r="C92" s="42"/>
      <c r="D92" s="75"/>
      <c r="E92" s="75"/>
      <c r="F92" s="76"/>
      <c r="G92" s="47"/>
      <c r="H92" s="47"/>
      <c r="I92" s="75"/>
      <c r="J92" s="76"/>
      <c r="K92" s="76"/>
      <c r="L92" s="75"/>
      <c r="M92" s="49"/>
      <c r="N92" s="76"/>
      <c r="O92" s="49"/>
      <c r="P92" s="77"/>
      <c r="Q92" s="53"/>
      <c r="R92" s="54"/>
      <c r="S92" s="55"/>
      <c r="T92" s="56"/>
      <c r="U92" s="56"/>
      <c r="V92" s="42"/>
      <c r="W92" s="57"/>
      <c r="X92" s="58"/>
      <c r="Y92" s="75"/>
      <c r="Z92" s="59"/>
      <c r="AA92" s="61"/>
      <c r="AB92" s="61"/>
      <c r="AC92" s="61"/>
      <c r="AD92" s="62"/>
      <c r="AE92" s="62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</row>
    <row r="93" spans="1:77" x14ac:dyDescent="0.3">
      <c r="A93" s="39"/>
      <c r="B93" s="42"/>
      <c r="C93" s="42"/>
      <c r="D93" s="75"/>
      <c r="E93" s="75"/>
      <c r="F93" s="76"/>
      <c r="G93" s="47"/>
      <c r="H93" s="47"/>
      <c r="I93" s="75"/>
      <c r="J93" s="76"/>
      <c r="K93" s="76"/>
      <c r="L93" s="75"/>
      <c r="M93" s="49"/>
      <c r="N93" s="76"/>
      <c r="O93" s="49"/>
      <c r="P93" s="77"/>
      <c r="Q93" s="53"/>
      <c r="R93" s="54"/>
      <c r="S93" s="55"/>
      <c r="T93" s="56"/>
      <c r="U93" s="56"/>
      <c r="V93" s="42"/>
      <c r="W93" s="57"/>
      <c r="X93" s="58"/>
      <c r="Y93" s="75"/>
      <c r="Z93" s="59"/>
      <c r="AA93" s="61"/>
      <c r="AB93" s="61"/>
      <c r="AC93" s="61"/>
      <c r="AD93" s="62"/>
      <c r="AE93" s="62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</row>
    <row r="94" spans="1:77" x14ac:dyDescent="0.3">
      <c r="A94" s="39"/>
      <c r="B94" s="42"/>
      <c r="C94" s="42"/>
      <c r="D94" s="75"/>
      <c r="E94" s="75"/>
      <c r="F94" s="76"/>
      <c r="G94" s="47"/>
      <c r="H94" s="47"/>
      <c r="I94" s="75"/>
      <c r="J94" s="76"/>
      <c r="K94" s="76"/>
      <c r="L94" s="75"/>
      <c r="M94" s="49"/>
      <c r="N94" s="76"/>
      <c r="O94" s="49"/>
      <c r="P94" s="77"/>
      <c r="Q94" s="53"/>
      <c r="R94" s="54"/>
      <c r="S94" s="55"/>
      <c r="T94" s="56"/>
      <c r="U94" s="56"/>
      <c r="V94" s="42"/>
      <c r="W94" s="57"/>
      <c r="X94" s="58"/>
      <c r="Y94" s="75"/>
      <c r="Z94" s="59"/>
      <c r="AA94" s="61"/>
      <c r="AB94" s="61"/>
      <c r="AC94" s="61"/>
      <c r="AD94" s="62"/>
      <c r="AE94" s="62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</row>
    <row r="95" spans="1:77" x14ac:dyDescent="0.3">
      <c r="A95" s="39"/>
      <c r="B95" s="42"/>
      <c r="C95" s="42"/>
      <c r="D95" s="75"/>
      <c r="E95" s="75"/>
      <c r="F95" s="76"/>
      <c r="G95" s="47"/>
      <c r="H95" s="47"/>
      <c r="I95" s="75"/>
      <c r="J95" s="76"/>
      <c r="K95" s="76"/>
      <c r="L95" s="75"/>
      <c r="M95" s="49"/>
      <c r="N95" s="76"/>
      <c r="O95" s="49"/>
      <c r="P95" s="77"/>
      <c r="Q95" s="53"/>
      <c r="R95" s="54"/>
      <c r="S95" s="55"/>
      <c r="T95" s="56"/>
      <c r="U95" s="56"/>
      <c r="V95" s="42"/>
      <c r="W95" s="57"/>
      <c r="X95" s="58"/>
      <c r="Y95" s="75"/>
      <c r="Z95" s="59"/>
      <c r="AA95" s="61"/>
      <c r="AB95" s="61"/>
      <c r="AC95" s="61"/>
      <c r="AD95" s="62"/>
      <c r="AE95" s="62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</row>
    <row r="96" spans="1:77" x14ac:dyDescent="0.3">
      <c r="A96" s="39"/>
      <c r="B96" s="42"/>
      <c r="C96" s="42"/>
      <c r="D96" s="75"/>
      <c r="E96" s="75"/>
      <c r="F96" s="76"/>
      <c r="G96" s="47"/>
      <c r="H96" s="47"/>
      <c r="I96" s="75"/>
      <c r="J96" s="76"/>
      <c r="K96" s="76"/>
      <c r="L96" s="75"/>
      <c r="M96" s="49"/>
      <c r="N96" s="76"/>
      <c r="O96" s="49"/>
      <c r="P96" s="77"/>
      <c r="Q96" s="53"/>
      <c r="R96" s="54"/>
      <c r="S96" s="55"/>
      <c r="T96" s="56"/>
      <c r="U96" s="56"/>
      <c r="V96" s="42"/>
      <c r="W96" s="57"/>
      <c r="X96" s="58"/>
      <c r="Y96" s="75"/>
      <c r="Z96" s="59"/>
      <c r="AA96" s="61"/>
      <c r="AB96" s="61"/>
      <c r="AC96" s="61"/>
      <c r="AD96" s="62"/>
      <c r="AE96" s="62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</row>
    <row r="97" spans="1:77" x14ac:dyDescent="0.3">
      <c r="A97" s="39"/>
      <c r="B97" s="42"/>
      <c r="C97" s="42"/>
      <c r="D97" s="75"/>
      <c r="E97" s="75"/>
      <c r="F97" s="76"/>
      <c r="G97" s="47"/>
      <c r="H97" s="47"/>
      <c r="I97" s="75"/>
      <c r="J97" s="76"/>
      <c r="K97" s="76"/>
      <c r="L97" s="75"/>
      <c r="M97" s="49"/>
      <c r="N97" s="76"/>
      <c r="O97" s="49"/>
      <c r="P97" s="77"/>
      <c r="Q97" s="53"/>
      <c r="R97" s="54"/>
      <c r="S97" s="55"/>
      <c r="T97" s="56"/>
      <c r="U97" s="56"/>
      <c r="V97" s="42"/>
      <c r="W97" s="57"/>
      <c r="X97" s="58"/>
      <c r="Y97" s="75"/>
      <c r="Z97" s="59"/>
      <c r="AA97" s="61"/>
      <c r="AB97" s="61"/>
      <c r="AC97" s="61"/>
      <c r="AD97" s="62"/>
      <c r="AE97" s="62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</row>
    <row r="98" spans="1:77" x14ac:dyDescent="0.3">
      <c r="A98" s="39"/>
      <c r="B98" s="42"/>
      <c r="C98" s="42"/>
      <c r="D98" s="75"/>
      <c r="E98" s="75"/>
      <c r="F98" s="76"/>
      <c r="G98" s="47"/>
      <c r="H98" s="47"/>
      <c r="I98" s="75"/>
      <c r="J98" s="76"/>
      <c r="K98" s="76"/>
      <c r="L98" s="75"/>
      <c r="M98" s="49"/>
      <c r="N98" s="76"/>
      <c r="O98" s="49"/>
      <c r="P98" s="77"/>
      <c r="Q98" s="53"/>
      <c r="R98" s="54"/>
      <c r="S98" s="55"/>
      <c r="T98" s="56"/>
      <c r="U98" s="56"/>
      <c r="V98" s="42"/>
      <c r="W98" s="57"/>
      <c r="X98" s="58"/>
      <c r="Y98" s="75"/>
      <c r="Z98" s="59"/>
      <c r="AA98" s="61"/>
      <c r="AB98" s="61"/>
      <c r="AC98" s="61"/>
      <c r="AD98" s="62"/>
      <c r="AE98" s="62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</row>
    <row r="99" spans="1:77" x14ac:dyDescent="0.3">
      <c r="A99" s="39"/>
      <c r="B99" s="42"/>
      <c r="C99" s="42"/>
      <c r="D99" s="75"/>
      <c r="E99" s="75"/>
      <c r="F99" s="76"/>
      <c r="G99" s="47"/>
      <c r="H99" s="47"/>
      <c r="I99" s="75"/>
      <c r="J99" s="76"/>
      <c r="K99" s="76"/>
      <c r="L99" s="75"/>
      <c r="M99" s="49"/>
      <c r="N99" s="76"/>
      <c r="O99" s="49"/>
      <c r="P99" s="77"/>
      <c r="Q99" s="53"/>
      <c r="R99" s="54"/>
      <c r="S99" s="55"/>
      <c r="T99" s="56"/>
      <c r="U99" s="56"/>
      <c r="V99" s="42"/>
      <c r="W99" s="57"/>
      <c r="X99" s="58"/>
      <c r="Y99" s="75"/>
      <c r="Z99" s="59"/>
      <c r="AA99" s="61"/>
      <c r="AB99" s="61"/>
      <c r="AC99" s="61"/>
      <c r="AD99" s="62"/>
      <c r="AE99" s="62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</row>
    <row r="100" spans="1:77" x14ac:dyDescent="0.3">
      <c r="A100" s="39"/>
      <c r="B100" s="42"/>
      <c r="C100" s="42"/>
      <c r="D100" s="75"/>
      <c r="E100" s="75"/>
      <c r="F100" s="76"/>
      <c r="G100" s="47"/>
      <c r="H100" s="47"/>
      <c r="I100" s="75"/>
      <c r="J100" s="76"/>
      <c r="K100" s="76"/>
      <c r="L100" s="75"/>
      <c r="M100" s="49"/>
      <c r="N100" s="76"/>
      <c r="O100" s="49"/>
      <c r="P100" s="77"/>
      <c r="Q100" s="53"/>
      <c r="R100" s="54"/>
      <c r="S100" s="55"/>
      <c r="T100" s="56"/>
      <c r="U100" s="56"/>
      <c r="V100" s="42"/>
      <c r="W100" s="57"/>
      <c r="X100" s="58"/>
      <c r="Y100" s="75"/>
      <c r="Z100" s="59"/>
      <c r="AA100" s="61"/>
      <c r="AB100" s="61"/>
      <c r="AC100" s="61"/>
      <c r="AD100" s="62"/>
      <c r="AE100" s="62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</row>
    <row r="101" spans="1:77" x14ac:dyDescent="0.3">
      <c r="A101" s="39"/>
      <c r="B101" s="42"/>
      <c r="C101" s="42"/>
      <c r="D101" s="75"/>
      <c r="E101" s="75"/>
      <c r="F101" s="76"/>
      <c r="G101" s="47"/>
      <c r="H101" s="47"/>
      <c r="I101" s="75"/>
      <c r="J101" s="76"/>
      <c r="K101" s="76"/>
      <c r="L101" s="75"/>
      <c r="M101" s="49"/>
      <c r="N101" s="76"/>
      <c r="O101" s="49"/>
      <c r="P101" s="77"/>
      <c r="Q101" s="53"/>
      <c r="R101" s="54"/>
      <c r="S101" s="55"/>
      <c r="T101" s="56"/>
      <c r="U101" s="56"/>
      <c r="V101" s="42"/>
      <c r="W101" s="57"/>
      <c r="X101" s="58"/>
      <c r="Y101" s="75"/>
      <c r="Z101" s="59"/>
      <c r="AA101" s="61"/>
      <c r="AB101" s="61"/>
      <c r="AC101" s="61"/>
      <c r="AD101" s="62"/>
      <c r="AE101" s="62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</row>
    <row r="102" spans="1:77" x14ac:dyDescent="0.3">
      <c r="A102" s="39"/>
      <c r="B102" s="42"/>
      <c r="C102" s="42"/>
      <c r="D102" s="75"/>
      <c r="E102" s="75"/>
      <c r="F102" s="76"/>
      <c r="G102" s="47"/>
      <c r="H102" s="47"/>
      <c r="I102" s="75"/>
      <c r="J102" s="76"/>
      <c r="K102" s="76"/>
      <c r="L102" s="75"/>
      <c r="M102" s="49"/>
      <c r="N102" s="76"/>
      <c r="O102" s="49"/>
      <c r="P102" s="77"/>
      <c r="Q102" s="53"/>
      <c r="R102" s="54"/>
      <c r="S102" s="55"/>
      <c r="T102" s="56"/>
      <c r="U102" s="56"/>
      <c r="V102" s="42"/>
      <c r="W102" s="57"/>
      <c r="X102" s="58"/>
      <c r="Y102" s="75"/>
      <c r="Z102" s="59"/>
      <c r="AA102" s="61"/>
      <c r="AB102" s="61"/>
      <c r="AC102" s="61"/>
      <c r="AD102" s="62"/>
      <c r="AE102" s="62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</row>
    <row r="103" spans="1:77" x14ac:dyDescent="0.3">
      <c r="A103" s="39"/>
      <c r="B103" s="42"/>
      <c r="C103" s="42"/>
      <c r="D103" s="75"/>
      <c r="E103" s="75"/>
      <c r="F103" s="76"/>
      <c r="G103" s="47"/>
      <c r="H103" s="47"/>
      <c r="I103" s="75"/>
      <c r="J103" s="76"/>
      <c r="K103" s="76"/>
      <c r="L103" s="75"/>
      <c r="M103" s="49"/>
      <c r="N103" s="76"/>
      <c r="O103" s="49"/>
      <c r="P103" s="77"/>
      <c r="Q103" s="53"/>
      <c r="R103" s="54"/>
      <c r="S103" s="55"/>
      <c r="T103" s="56"/>
      <c r="U103" s="56"/>
      <c r="V103" s="42"/>
      <c r="W103" s="57"/>
      <c r="X103" s="58"/>
      <c r="Y103" s="75"/>
      <c r="Z103" s="59"/>
      <c r="AA103" s="61"/>
      <c r="AB103" s="61"/>
      <c r="AC103" s="61"/>
      <c r="AD103" s="62"/>
      <c r="AE103" s="62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</row>
    <row r="104" spans="1:77" x14ac:dyDescent="0.3">
      <c r="A104" s="39"/>
      <c r="B104" s="42"/>
      <c r="C104" s="42"/>
      <c r="D104" s="75"/>
      <c r="E104" s="75"/>
      <c r="F104" s="76"/>
      <c r="G104" s="47"/>
      <c r="H104" s="47"/>
      <c r="I104" s="75"/>
      <c r="J104" s="76"/>
      <c r="K104" s="76"/>
      <c r="L104" s="75"/>
      <c r="M104" s="49"/>
      <c r="N104" s="76"/>
      <c r="O104" s="49"/>
      <c r="P104" s="77"/>
      <c r="Q104" s="53"/>
      <c r="R104" s="54"/>
      <c r="S104" s="55"/>
      <c r="T104" s="56"/>
      <c r="U104" s="56"/>
      <c r="V104" s="42"/>
      <c r="W104" s="57"/>
      <c r="X104" s="58"/>
      <c r="Y104" s="75"/>
      <c r="Z104" s="59"/>
      <c r="AA104" s="61"/>
      <c r="AB104" s="61"/>
      <c r="AC104" s="61"/>
      <c r="AD104" s="62"/>
      <c r="AE104" s="62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</row>
    <row r="105" spans="1:77" x14ac:dyDescent="0.3">
      <c r="A105" s="39"/>
      <c r="B105" s="42"/>
      <c r="C105" s="42"/>
      <c r="D105" s="75"/>
      <c r="E105" s="75"/>
      <c r="F105" s="76"/>
      <c r="G105" s="47"/>
      <c r="H105" s="47"/>
      <c r="I105" s="75"/>
      <c r="J105" s="76"/>
      <c r="K105" s="76"/>
      <c r="L105" s="75"/>
      <c r="M105" s="49"/>
      <c r="N105" s="76"/>
      <c r="O105" s="49"/>
      <c r="P105" s="77"/>
      <c r="Q105" s="53"/>
      <c r="R105" s="54"/>
      <c r="S105" s="55"/>
      <c r="T105" s="56"/>
      <c r="U105" s="56"/>
      <c r="V105" s="42"/>
      <c r="W105" s="57"/>
      <c r="X105" s="58"/>
      <c r="Y105" s="75"/>
      <c r="Z105" s="59"/>
      <c r="AA105" s="61"/>
      <c r="AB105" s="61"/>
      <c r="AC105" s="61"/>
      <c r="AD105" s="62"/>
      <c r="AE105" s="62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</row>
    <row r="106" spans="1:77" x14ac:dyDescent="0.3">
      <c r="A106" s="39"/>
      <c r="B106" s="42"/>
      <c r="C106" s="42"/>
      <c r="D106" s="75"/>
      <c r="E106" s="75"/>
      <c r="F106" s="76"/>
      <c r="G106" s="47"/>
      <c r="H106" s="47"/>
      <c r="I106" s="75"/>
      <c r="J106" s="76"/>
      <c r="K106" s="76"/>
      <c r="L106" s="75"/>
      <c r="M106" s="49"/>
      <c r="N106" s="76"/>
      <c r="O106" s="49"/>
      <c r="P106" s="77"/>
      <c r="Q106" s="53"/>
      <c r="R106" s="54"/>
      <c r="S106" s="55"/>
      <c r="T106" s="56"/>
      <c r="U106" s="56"/>
      <c r="V106" s="42"/>
      <c r="W106" s="57"/>
      <c r="X106" s="58"/>
      <c r="Y106" s="75"/>
      <c r="Z106" s="59"/>
      <c r="AA106" s="61"/>
      <c r="AB106" s="61"/>
      <c r="AC106" s="61"/>
      <c r="AD106" s="62"/>
      <c r="AE106" s="62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</row>
    <row r="107" spans="1:77" x14ac:dyDescent="0.3">
      <c r="A107" s="39"/>
      <c r="B107" s="42"/>
      <c r="C107" s="42"/>
      <c r="D107" s="75"/>
      <c r="E107" s="75"/>
      <c r="F107" s="76"/>
      <c r="G107" s="47"/>
      <c r="H107" s="47"/>
      <c r="I107" s="75"/>
      <c r="J107" s="76"/>
      <c r="K107" s="76"/>
      <c r="L107" s="75"/>
      <c r="M107" s="49"/>
      <c r="N107" s="76"/>
      <c r="O107" s="49"/>
      <c r="P107" s="77"/>
      <c r="Q107" s="53"/>
      <c r="R107" s="54"/>
      <c r="S107" s="55"/>
      <c r="T107" s="56"/>
      <c r="U107" s="56"/>
      <c r="V107" s="42"/>
      <c r="W107" s="57"/>
      <c r="X107" s="58"/>
      <c r="Y107" s="75"/>
      <c r="Z107" s="59"/>
      <c r="AA107" s="61"/>
      <c r="AB107" s="61"/>
      <c r="AC107" s="61"/>
      <c r="AD107" s="62"/>
      <c r="AE107" s="62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</row>
    <row r="108" spans="1:77" x14ac:dyDescent="0.3">
      <c r="A108" s="39"/>
      <c r="B108" s="42"/>
      <c r="C108" s="42"/>
      <c r="D108" s="75"/>
      <c r="E108" s="75"/>
      <c r="F108" s="76"/>
      <c r="G108" s="47"/>
      <c r="H108" s="47"/>
      <c r="I108" s="75"/>
      <c r="J108" s="76"/>
      <c r="K108" s="76"/>
      <c r="L108" s="75"/>
      <c r="M108" s="49"/>
      <c r="N108" s="76"/>
      <c r="O108" s="49"/>
      <c r="P108" s="77"/>
      <c r="Q108" s="53"/>
      <c r="R108" s="54"/>
      <c r="S108" s="55"/>
      <c r="T108" s="56"/>
      <c r="U108" s="56"/>
      <c r="V108" s="42"/>
      <c r="W108" s="57"/>
      <c r="X108" s="58"/>
      <c r="Y108" s="75"/>
      <c r="Z108" s="59"/>
      <c r="AA108" s="61"/>
      <c r="AB108" s="61"/>
      <c r="AC108" s="61"/>
      <c r="AD108" s="62"/>
      <c r="AE108" s="62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</row>
    <row r="109" spans="1:77" x14ac:dyDescent="0.3">
      <c r="A109" s="39"/>
      <c r="B109" s="42"/>
      <c r="C109" s="42"/>
      <c r="D109" s="75"/>
      <c r="E109" s="75"/>
      <c r="F109" s="76"/>
      <c r="G109" s="47"/>
      <c r="H109" s="47"/>
      <c r="I109" s="75"/>
      <c r="J109" s="76"/>
      <c r="K109" s="76"/>
      <c r="L109" s="75"/>
      <c r="M109" s="49"/>
      <c r="N109" s="76"/>
      <c r="O109" s="49"/>
      <c r="P109" s="77"/>
      <c r="Q109" s="53"/>
      <c r="R109" s="54"/>
      <c r="S109" s="55"/>
      <c r="T109" s="56"/>
      <c r="U109" s="56"/>
      <c r="V109" s="42"/>
      <c r="W109" s="57"/>
      <c r="X109" s="58"/>
      <c r="Y109" s="75"/>
      <c r="Z109" s="59"/>
      <c r="AA109" s="61"/>
      <c r="AB109" s="61"/>
      <c r="AC109" s="61"/>
      <c r="AD109" s="62"/>
      <c r="AE109" s="62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</row>
    <row r="110" spans="1:77" x14ac:dyDescent="0.3">
      <c r="A110" s="39"/>
      <c r="B110" s="42"/>
      <c r="C110" s="42"/>
      <c r="D110" s="75"/>
      <c r="E110" s="75"/>
      <c r="F110" s="76"/>
      <c r="G110" s="47"/>
      <c r="H110" s="47"/>
      <c r="I110" s="75"/>
      <c r="J110" s="76"/>
      <c r="K110" s="76"/>
      <c r="L110" s="75"/>
      <c r="M110" s="49"/>
      <c r="N110" s="76"/>
      <c r="O110" s="49"/>
      <c r="P110" s="77"/>
      <c r="Q110" s="53"/>
      <c r="R110" s="54"/>
      <c r="S110" s="55"/>
      <c r="T110" s="56"/>
      <c r="U110" s="56"/>
      <c r="V110" s="42"/>
      <c r="W110" s="57"/>
      <c r="X110" s="58"/>
      <c r="Y110" s="75"/>
      <c r="Z110" s="59"/>
      <c r="AA110" s="61"/>
      <c r="AB110" s="61"/>
      <c r="AC110" s="61"/>
      <c r="AD110" s="62"/>
      <c r="AE110" s="62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</row>
    <row r="111" spans="1:77" x14ac:dyDescent="0.3">
      <c r="A111" s="39"/>
      <c r="B111" s="42"/>
      <c r="C111" s="42"/>
      <c r="D111" s="75"/>
      <c r="E111" s="75"/>
      <c r="F111" s="76"/>
      <c r="G111" s="47"/>
      <c r="H111" s="47"/>
      <c r="I111" s="75"/>
      <c r="J111" s="76"/>
      <c r="K111" s="76"/>
      <c r="L111" s="75"/>
      <c r="M111" s="49"/>
      <c r="N111" s="76"/>
      <c r="O111" s="49"/>
      <c r="P111" s="77"/>
      <c r="Q111" s="53"/>
      <c r="R111" s="54"/>
      <c r="S111" s="55"/>
      <c r="T111" s="56"/>
      <c r="U111" s="56"/>
      <c r="V111" s="42"/>
      <c r="W111" s="57"/>
      <c r="X111" s="58"/>
      <c r="Y111" s="75"/>
      <c r="Z111" s="59"/>
      <c r="AA111" s="61"/>
      <c r="AB111" s="61"/>
      <c r="AC111" s="61"/>
      <c r="AD111" s="62"/>
      <c r="AE111" s="62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</row>
    <row r="112" spans="1:77" x14ac:dyDescent="0.3">
      <c r="A112" s="39"/>
      <c r="B112" s="42"/>
      <c r="C112" s="42"/>
      <c r="D112" s="75"/>
      <c r="E112" s="75"/>
      <c r="F112" s="76"/>
      <c r="G112" s="47"/>
      <c r="H112" s="47"/>
      <c r="I112" s="75"/>
      <c r="J112" s="76"/>
      <c r="K112" s="76"/>
      <c r="L112" s="75"/>
      <c r="M112" s="49"/>
      <c r="N112" s="76"/>
      <c r="O112" s="49"/>
      <c r="P112" s="77"/>
      <c r="Q112" s="53"/>
      <c r="R112" s="54"/>
      <c r="S112" s="55"/>
      <c r="T112" s="56"/>
      <c r="U112" s="56"/>
      <c r="V112" s="42"/>
      <c r="W112" s="57"/>
      <c r="X112" s="58"/>
      <c r="Y112" s="75"/>
      <c r="Z112" s="59"/>
      <c r="AA112" s="61"/>
      <c r="AB112" s="61"/>
      <c r="AC112" s="61"/>
      <c r="AD112" s="62"/>
      <c r="AE112" s="62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</row>
    <row r="113" spans="1:77" x14ac:dyDescent="0.3">
      <c r="A113" s="39"/>
      <c r="B113" s="42"/>
      <c r="C113" s="42"/>
      <c r="D113" s="75"/>
      <c r="E113" s="75"/>
      <c r="F113" s="76"/>
      <c r="G113" s="47"/>
      <c r="H113" s="47"/>
      <c r="I113" s="75"/>
      <c r="J113" s="76"/>
      <c r="K113" s="76"/>
      <c r="L113" s="75"/>
      <c r="M113" s="49"/>
      <c r="N113" s="76"/>
      <c r="O113" s="49"/>
      <c r="P113" s="77"/>
      <c r="Q113" s="53"/>
      <c r="R113" s="54"/>
      <c r="S113" s="55"/>
      <c r="T113" s="56"/>
      <c r="U113" s="56"/>
      <c r="V113" s="42"/>
      <c r="W113" s="57"/>
      <c r="X113" s="58"/>
      <c r="Y113" s="75"/>
      <c r="Z113" s="59"/>
      <c r="AA113" s="61"/>
      <c r="AB113" s="61"/>
      <c r="AC113" s="61"/>
      <c r="AD113" s="62"/>
      <c r="AE113" s="62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</row>
    <row r="114" spans="1:77" x14ac:dyDescent="0.3">
      <c r="A114" s="39"/>
      <c r="B114" s="42"/>
      <c r="C114" s="42"/>
      <c r="D114" s="75"/>
      <c r="E114" s="75"/>
      <c r="F114" s="76"/>
      <c r="G114" s="47"/>
      <c r="H114" s="47"/>
      <c r="I114" s="75"/>
      <c r="J114" s="76"/>
      <c r="K114" s="76"/>
      <c r="L114" s="75"/>
      <c r="M114" s="49"/>
      <c r="N114" s="76"/>
      <c r="O114" s="49"/>
      <c r="P114" s="77"/>
      <c r="Q114" s="53"/>
      <c r="R114" s="54"/>
      <c r="S114" s="55"/>
      <c r="T114" s="56"/>
      <c r="U114" s="56"/>
      <c r="V114" s="42"/>
      <c r="W114" s="57"/>
      <c r="X114" s="58"/>
      <c r="Y114" s="75"/>
      <c r="Z114" s="59"/>
      <c r="AA114" s="61"/>
      <c r="AB114" s="61"/>
      <c r="AC114" s="61"/>
      <c r="AD114" s="62"/>
      <c r="AE114" s="62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</row>
    <row r="115" spans="1:77" x14ac:dyDescent="0.3">
      <c r="A115" s="39"/>
      <c r="B115" s="42"/>
      <c r="C115" s="42"/>
      <c r="D115" s="75"/>
      <c r="E115" s="75"/>
      <c r="F115" s="76"/>
      <c r="G115" s="47"/>
      <c r="H115" s="47"/>
      <c r="I115" s="75"/>
      <c r="J115" s="76"/>
      <c r="K115" s="76"/>
      <c r="L115" s="75"/>
      <c r="M115" s="49"/>
      <c r="N115" s="76"/>
      <c r="O115" s="49"/>
      <c r="P115" s="77"/>
      <c r="Q115" s="53"/>
      <c r="R115" s="54"/>
      <c r="S115" s="55"/>
      <c r="T115" s="56"/>
      <c r="U115" s="56"/>
      <c r="V115" s="42"/>
      <c r="W115" s="57"/>
      <c r="X115" s="58"/>
      <c r="Y115" s="75"/>
      <c r="Z115" s="59"/>
      <c r="AA115" s="61"/>
      <c r="AB115" s="61"/>
      <c r="AC115" s="61"/>
      <c r="AD115" s="62"/>
      <c r="AE115" s="62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</row>
    <row r="116" spans="1:77" x14ac:dyDescent="0.3">
      <c r="A116" s="39"/>
      <c r="B116" s="42"/>
      <c r="C116" s="42"/>
      <c r="D116" s="75"/>
      <c r="E116" s="75"/>
      <c r="F116" s="76"/>
      <c r="G116" s="47"/>
      <c r="H116" s="47"/>
      <c r="I116" s="75"/>
      <c r="J116" s="76"/>
      <c r="K116" s="76"/>
      <c r="L116" s="75"/>
      <c r="M116" s="49"/>
      <c r="N116" s="76"/>
      <c r="O116" s="49"/>
      <c r="P116" s="77"/>
      <c r="Q116" s="53"/>
      <c r="R116" s="54"/>
      <c r="S116" s="55"/>
      <c r="T116" s="56"/>
      <c r="U116" s="56"/>
      <c r="V116" s="42"/>
      <c r="W116" s="57"/>
      <c r="X116" s="58"/>
      <c r="Y116" s="75"/>
      <c r="Z116" s="59"/>
      <c r="AA116" s="61"/>
      <c r="AB116" s="61"/>
      <c r="AC116" s="61"/>
      <c r="AD116" s="62"/>
      <c r="AE116" s="62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</row>
    <row r="117" spans="1:77" x14ac:dyDescent="0.3">
      <c r="A117" s="39"/>
      <c r="B117" s="42"/>
      <c r="C117" s="42"/>
      <c r="D117" s="75"/>
      <c r="E117" s="75"/>
      <c r="F117" s="76"/>
      <c r="G117" s="47"/>
      <c r="H117" s="47"/>
      <c r="I117" s="75"/>
      <c r="J117" s="76"/>
      <c r="K117" s="76"/>
      <c r="L117" s="75"/>
      <c r="M117" s="49"/>
      <c r="N117" s="76"/>
      <c r="O117" s="49"/>
      <c r="P117" s="77"/>
      <c r="Q117" s="53"/>
      <c r="R117" s="54"/>
      <c r="S117" s="55"/>
      <c r="T117" s="56"/>
      <c r="U117" s="56"/>
      <c r="V117" s="42"/>
      <c r="W117" s="57"/>
      <c r="X117" s="58"/>
      <c r="Y117" s="75"/>
      <c r="Z117" s="59"/>
      <c r="AA117" s="61"/>
      <c r="AB117" s="61"/>
      <c r="AC117" s="61"/>
      <c r="AD117" s="62"/>
      <c r="AE117" s="62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</row>
    <row r="118" spans="1:77" x14ac:dyDescent="0.3">
      <c r="A118" s="39"/>
      <c r="B118" s="42"/>
      <c r="C118" s="42"/>
      <c r="D118" s="75"/>
      <c r="E118" s="75"/>
      <c r="F118" s="76"/>
      <c r="G118" s="47"/>
      <c r="H118" s="47"/>
      <c r="I118" s="75"/>
      <c r="J118" s="76"/>
      <c r="K118" s="76"/>
      <c r="L118" s="75"/>
      <c r="M118" s="49"/>
      <c r="N118" s="76"/>
      <c r="O118" s="49"/>
      <c r="P118" s="77"/>
      <c r="Q118" s="53"/>
      <c r="R118" s="54"/>
      <c r="S118" s="55"/>
      <c r="T118" s="56"/>
      <c r="U118" s="56"/>
      <c r="V118" s="42"/>
      <c r="W118" s="57"/>
      <c r="X118" s="58"/>
      <c r="Y118" s="75"/>
      <c r="Z118" s="59"/>
      <c r="AA118" s="61"/>
      <c r="AB118" s="61"/>
      <c r="AC118" s="61"/>
      <c r="AD118" s="62"/>
      <c r="AE118" s="62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</row>
    <row r="119" spans="1:77" x14ac:dyDescent="0.3">
      <c r="A119" s="39"/>
      <c r="B119" s="42"/>
      <c r="C119" s="42"/>
      <c r="D119" s="75"/>
      <c r="E119" s="75"/>
      <c r="F119" s="76"/>
      <c r="G119" s="47"/>
      <c r="H119" s="47"/>
      <c r="I119" s="75"/>
      <c r="J119" s="76"/>
      <c r="K119" s="76"/>
      <c r="L119" s="75"/>
      <c r="M119" s="49"/>
      <c r="N119" s="76"/>
      <c r="O119" s="49"/>
      <c r="P119" s="77"/>
      <c r="Q119" s="53"/>
      <c r="R119" s="54"/>
      <c r="S119" s="55"/>
      <c r="T119" s="56"/>
      <c r="U119" s="56"/>
      <c r="V119" s="42"/>
      <c r="W119" s="57"/>
      <c r="X119" s="58"/>
      <c r="Y119" s="75"/>
      <c r="Z119" s="59"/>
      <c r="AA119" s="61"/>
      <c r="AB119" s="61"/>
      <c r="AC119" s="61"/>
      <c r="AD119" s="62"/>
      <c r="AE119" s="62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</row>
    <row r="120" spans="1:77" x14ac:dyDescent="0.3">
      <c r="A120" s="39"/>
      <c r="B120" s="42"/>
      <c r="C120" s="42"/>
      <c r="D120" s="75"/>
      <c r="E120" s="75"/>
      <c r="F120" s="76"/>
      <c r="G120" s="47"/>
      <c r="H120" s="47"/>
      <c r="I120" s="75"/>
      <c r="J120" s="76"/>
      <c r="K120" s="76"/>
      <c r="L120" s="75"/>
      <c r="M120" s="49"/>
      <c r="N120" s="76"/>
      <c r="O120" s="49"/>
      <c r="P120" s="77"/>
      <c r="Q120" s="53"/>
      <c r="R120" s="54"/>
      <c r="S120" s="55"/>
      <c r="T120" s="56"/>
      <c r="U120" s="56"/>
      <c r="V120" s="42"/>
      <c r="W120" s="57"/>
      <c r="X120" s="58"/>
      <c r="Y120" s="75"/>
      <c r="Z120" s="59"/>
      <c r="AA120" s="61"/>
      <c r="AB120" s="61"/>
      <c r="AC120" s="61"/>
      <c r="AD120" s="62"/>
      <c r="AE120" s="62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</row>
    <row r="121" spans="1:77" x14ac:dyDescent="0.3">
      <c r="A121" s="39"/>
      <c r="B121" s="42"/>
      <c r="C121" s="42"/>
      <c r="D121" s="75"/>
      <c r="E121" s="75"/>
      <c r="F121" s="76"/>
      <c r="G121" s="47"/>
      <c r="H121" s="47"/>
      <c r="I121" s="75"/>
      <c r="J121" s="76"/>
      <c r="K121" s="76"/>
      <c r="L121" s="75"/>
      <c r="M121" s="49"/>
      <c r="N121" s="76"/>
      <c r="O121" s="49"/>
      <c r="P121" s="77"/>
      <c r="Q121" s="53"/>
      <c r="R121" s="54"/>
      <c r="S121" s="55"/>
      <c r="T121" s="56"/>
      <c r="U121" s="56"/>
      <c r="V121" s="42"/>
      <c r="W121" s="57"/>
      <c r="X121" s="58"/>
      <c r="Y121" s="75"/>
      <c r="Z121" s="59"/>
      <c r="AA121" s="61"/>
      <c r="AB121" s="61"/>
      <c r="AC121" s="61"/>
      <c r="AD121" s="62"/>
      <c r="AE121" s="62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</row>
    <row r="122" spans="1:77" x14ac:dyDescent="0.3">
      <c r="A122" s="39"/>
      <c r="B122" s="42"/>
      <c r="C122" s="42"/>
      <c r="D122" s="75"/>
      <c r="E122" s="75"/>
      <c r="F122" s="76"/>
      <c r="G122" s="47"/>
      <c r="H122" s="47"/>
      <c r="I122" s="75"/>
      <c r="J122" s="76"/>
      <c r="K122" s="76"/>
      <c r="L122" s="75"/>
      <c r="M122" s="49"/>
      <c r="N122" s="76"/>
      <c r="O122" s="49"/>
      <c r="P122" s="77"/>
      <c r="Q122" s="53"/>
      <c r="R122" s="54"/>
      <c r="S122" s="55"/>
      <c r="T122" s="56"/>
      <c r="U122" s="56"/>
      <c r="V122" s="42"/>
      <c r="W122" s="57"/>
      <c r="X122" s="58"/>
      <c r="Y122" s="75"/>
      <c r="Z122" s="59"/>
      <c r="AA122" s="61"/>
      <c r="AB122" s="61"/>
      <c r="AC122" s="61"/>
      <c r="AD122" s="62"/>
      <c r="AE122" s="62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</row>
    <row r="123" spans="1:77" x14ac:dyDescent="0.3">
      <c r="A123" s="39"/>
      <c r="B123" s="42"/>
      <c r="C123" s="42"/>
      <c r="D123" s="75"/>
      <c r="E123" s="75"/>
      <c r="F123" s="76"/>
      <c r="G123" s="47"/>
      <c r="H123" s="47"/>
      <c r="I123" s="75"/>
      <c r="J123" s="76"/>
      <c r="K123" s="76"/>
      <c r="L123" s="75"/>
      <c r="M123" s="49"/>
      <c r="N123" s="76"/>
      <c r="O123" s="49"/>
      <c r="P123" s="77"/>
      <c r="Q123" s="53"/>
      <c r="R123" s="54"/>
      <c r="S123" s="55"/>
      <c r="T123" s="56"/>
      <c r="U123" s="56"/>
      <c r="V123" s="42"/>
      <c r="W123" s="57"/>
      <c r="X123" s="58"/>
      <c r="Y123" s="75"/>
      <c r="Z123" s="59"/>
      <c r="AA123" s="61"/>
      <c r="AB123" s="61"/>
      <c r="AC123" s="61"/>
      <c r="AD123" s="62"/>
      <c r="AE123" s="62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</row>
    <row r="124" spans="1:77" x14ac:dyDescent="0.3">
      <c r="A124" s="39"/>
      <c r="B124" s="42"/>
      <c r="C124" s="42"/>
      <c r="D124" s="75"/>
      <c r="E124" s="75"/>
      <c r="F124" s="76"/>
      <c r="G124" s="47"/>
      <c r="H124" s="47"/>
      <c r="I124" s="75"/>
      <c r="J124" s="76"/>
      <c r="K124" s="76"/>
      <c r="L124" s="75"/>
      <c r="M124" s="49"/>
      <c r="N124" s="76"/>
      <c r="O124" s="49"/>
      <c r="P124" s="77"/>
      <c r="Q124" s="53"/>
      <c r="R124" s="54"/>
      <c r="S124" s="55"/>
      <c r="T124" s="56"/>
      <c r="U124" s="56"/>
      <c r="V124" s="42"/>
      <c r="W124" s="57"/>
      <c r="X124" s="58"/>
      <c r="Y124" s="75"/>
      <c r="Z124" s="59"/>
      <c r="AA124" s="61"/>
      <c r="AB124" s="61"/>
      <c r="AC124" s="61"/>
      <c r="AD124" s="62"/>
      <c r="AE124" s="62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</row>
    <row r="125" spans="1:77" x14ac:dyDescent="0.3">
      <c r="A125" s="39"/>
      <c r="B125" s="42"/>
      <c r="C125" s="42"/>
      <c r="D125" s="75"/>
      <c r="E125" s="75"/>
      <c r="F125" s="76"/>
      <c r="G125" s="47"/>
      <c r="H125" s="47"/>
      <c r="I125" s="75"/>
      <c r="J125" s="76"/>
      <c r="K125" s="76"/>
      <c r="L125" s="75"/>
      <c r="M125" s="49"/>
      <c r="N125" s="76"/>
      <c r="O125" s="49"/>
      <c r="P125" s="77"/>
      <c r="Q125" s="53"/>
      <c r="R125" s="54"/>
      <c r="S125" s="55"/>
      <c r="T125" s="56"/>
      <c r="U125" s="56"/>
      <c r="V125" s="42"/>
      <c r="W125" s="57"/>
      <c r="X125" s="58"/>
      <c r="Y125" s="75"/>
      <c r="Z125" s="59"/>
      <c r="AA125" s="61"/>
      <c r="AB125" s="61"/>
      <c r="AC125" s="61"/>
      <c r="AD125" s="62"/>
      <c r="AE125" s="62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</row>
    <row r="126" spans="1:77" x14ac:dyDescent="0.3">
      <c r="A126" s="39"/>
      <c r="B126" s="42"/>
      <c r="C126" s="42"/>
      <c r="D126" s="75"/>
      <c r="E126" s="75"/>
      <c r="F126" s="76"/>
      <c r="G126" s="47"/>
      <c r="H126" s="47"/>
      <c r="I126" s="75"/>
      <c r="J126" s="76"/>
      <c r="K126" s="76"/>
      <c r="L126" s="75"/>
      <c r="M126" s="49"/>
      <c r="N126" s="76"/>
      <c r="O126" s="49"/>
      <c r="P126" s="77"/>
      <c r="Q126" s="53"/>
      <c r="R126" s="54"/>
      <c r="S126" s="55"/>
      <c r="T126" s="56"/>
      <c r="U126" s="56"/>
      <c r="V126" s="42"/>
      <c r="W126" s="57"/>
      <c r="X126" s="58"/>
      <c r="Y126" s="75"/>
      <c r="Z126" s="59"/>
      <c r="AA126" s="61"/>
      <c r="AB126" s="61"/>
      <c r="AC126" s="61"/>
      <c r="AD126" s="62"/>
      <c r="AE126" s="62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</row>
    <row r="127" spans="1:77" x14ac:dyDescent="0.3">
      <c r="A127" s="39"/>
      <c r="B127" s="42"/>
      <c r="C127" s="42"/>
      <c r="D127" s="75"/>
      <c r="E127" s="75"/>
      <c r="F127" s="76"/>
      <c r="G127" s="47"/>
      <c r="H127" s="47"/>
      <c r="I127" s="75"/>
      <c r="J127" s="76"/>
      <c r="K127" s="76"/>
      <c r="L127" s="75"/>
      <c r="M127" s="49"/>
      <c r="N127" s="76"/>
      <c r="O127" s="49"/>
      <c r="P127" s="77"/>
      <c r="Q127" s="53"/>
      <c r="R127" s="54"/>
      <c r="S127" s="55"/>
      <c r="T127" s="56"/>
      <c r="U127" s="56"/>
      <c r="V127" s="42"/>
      <c r="W127" s="57"/>
      <c r="X127" s="58"/>
      <c r="Y127" s="75"/>
      <c r="Z127" s="59"/>
      <c r="AA127" s="61"/>
      <c r="AB127" s="61"/>
      <c r="AC127" s="61"/>
      <c r="AD127" s="62"/>
      <c r="AE127" s="62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</row>
    <row r="128" spans="1:77" x14ac:dyDescent="0.3">
      <c r="A128" s="39"/>
      <c r="B128" s="42"/>
      <c r="C128" s="42"/>
      <c r="D128" s="75"/>
      <c r="E128" s="75"/>
      <c r="F128" s="76"/>
      <c r="G128" s="47"/>
      <c r="H128" s="47"/>
      <c r="I128" s="75"/>
      <c r="J128" s="76"/>
      <c r="K128" s="76"/>
      <c r="L128" s="75"/>
      <c r="M128" s="49"/>
      <c r="N128" s="76"/>
      <c r="O128" s="49"/>
      <c r="P128" s="77"/>
      <c r="Q128" s="53"/>
      <c r="R128" s="54"/>
      <c r="S128" s="55"/>
      <c r="T128" s="56"/>
      <c r="U128" s="56"/>
      <c r="V128" s="42"/>
      <c r="W128" s="57"/>
      <c r="X128" s="58"/>
      <c r="Y128" s="75"/>
      <c r="Z128" s="59"/>
      <c r="AA128" s="61"/>
      <c r="AB128" s="61"/>
      <c r="AC128" s="61"/>
      <c r="AD128" s="62"/>
      <c r="AE128" s="62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</row>
    <row r="129" spans="1:77" x14ac:dyDescent="0.3">
      <c r="A129" s="39"/>
      <c r="B129" s="42"/>
      <c r="C129" s="42"/>
      <c r="D129" s="75"/>
      <c r="E129" s="75"/>
      <c r="F129" s="76"/>
      <c r="G129" s="47"/>
      <c r="H129" s="47"/>
      <c r="I129" s="75"/>
      <c r="J129" s="76"/>
      <c r="K129" s="76"/>
      <c r="L129" s="75"/>
      <c r="M129" s="49"/>
      <c r="N129" s="76"/>
      <c r="O129" s="49"/>
      <c r="P129" s="77"/>
      <c r="Q129" s="53"/>
      <c r="R129" s="54"/>
      <c r="S129" s="55"/>
      <c r="T129" s="56"/>
      <c r="U129" s="56"/>
      <c r="V129" s="42"/>
      <c r="W129" s="57"/>
      <c r="X129" s="58"/>
      <c r="Y129" s="75"/>
      <c r="Z129" s="59"/>
      <c r="AA129" s="61"/>
      <c r="AB129" s="61"/>
      <c r="AC129" s="61"/>
      <c r="AD129" s="62"/>
      <c r="AE129" s="62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</row>
    <row r="130" spans="1:77" x14ac:dyDescent="0.3">
      <c r="A130" s="39"/>
      <c r="B130" s="42"/>
      <c r="C130" s="42"/>
      <c r="D130" s="75"/>
      <c r="E130" s="75"/>
      <c r="F130" s="76"/>
      <c r="G130" s="47"/>
      <c r="H130" s="47"/>
      <c r="I130" s="75"/>
      <c r="J130" s="76"/>
      <c r="K130" s="76"/>
      <c r="L130" s="75"/>
      <c r="M130" s="49"/>
      <c r="N130" s="76"/>
      <c r="O130" s="49"/>
      <c r="P130" s="77"/>
      <c r="Q130" s="53"/>
      <c r="R130" s="54"/>
      <c r="S130" s="55"/>
      <c r="T130" s="56"/>
      <c r="U130" s="56"/>
      <c r="V130" s="42"/>
      <c r="W130" s="57"/>
      <c r="X130" s="58"/>
      <c r="Y130" s="75"/>
      <c r="Z130" s="59"/>
      <c r="AA130" s="61"/>
      <c r="AB130" s="61"/>
      <c r="AC130" s="61"/>
      <c r="AD130" s="62"/>
      <c r="AE130" s="62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</row>
    <row r="131" spans="1:77" x14ac:dyDescent="0.3">
      <c r="A131" s="39"/>
      <c r="B131" s="42"/>
      <c r="C131" s="42"/>
      <c r="D131" s="75"/>
      <c r="E131" s="75"/>
      <c r="F131" s="76"/>
      <c r="G131" s="47"/>
      <c r="H131" s="47"/>
      <c r="I131" s="75"/>
      <c r="J131" s="76"/>
      <c r="K131" s="76"/>
      <c r="L131" s="75"/>
      <c r="M131" s="49"/>
      <c r="N131" s="76"/>
      <c r="O131" s="49"/>
      <c r="P131" s="77"/>
      <c r="Q131" s="53"/>
      <c r="R131" s="54"/>
      <c r="S131" s="55"/>
      <c r="T131" s="56"/>
      <c r="U131" s="56"/>
      <c r="V131" s="42"/>
      <c r="W131" s="57"/>
      <c r="X131" s="58"/>
      <c r="Y131" s="75"/>
      <c r="Z131" s="59"/>
      <c r="AA131" s="61"/>
      <c r="AB131" s="61"/>
      <c r="AC131" s="61"/>
      <c r="AD131" s="62"/>
      <c r="AE131" s="62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</row>
    <row r="132" spans="1:77" x14ac:dyDescent="0.3">
      <c r="A132" s="39"/>
      <c r="B132" s="42"/>
      <c r="C132" s="42"/>
      <c r="D132" s="75"/>
      <c r="E132" s="75"/>
      <c r="F132" s="76"/>
      <c r="G132" s="47"/>
      <c r="H132" s="47"/>
      <c r="I132" s="75"/>
      <c r="J132" s="76"/>
      <c r="K132" s="76"/>
      <c r="L132" s="75"/>
      <c r="M132" s="49"/>
      <c r="N132" s="76"/>
      <c r="O132" s="49"/>
      <c r="P132" s="77"/>
      <c r="Q132" s="53"/>
      <c r="R132" s="54"/>
      <c r="S132" s="55"/>
      <c r="T132" s="56"/>
      <c r="U132" s="56"/>
      <c r="V132" s="42"/>
      <c r="W132" s="57"/>
      <c r="X132" s="58"/>
      <c r="Y132" s="75"/>
      <c r="Z132" s="59"/>
      <c r="AA132" s="61"/>
      <c r="AB132" s="61"/>
      <c r="AC132" s="61"/>
      <c r="AD132" s="62"/>
      <c r="AE132" s="62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</row>
    <row r="133" spans="1:77" x14ac:dyDescent="0.3">
      <c r="A133" s="39"/>
      <c r="B133" s="42"/>
      <c r="C133" s="42"/>
      <c r="D133" s="75"/>
      <c r="E133" s="75"/>
      <c r="F133" s="76"/>
      <c r="G133" s="47"/>
      <c r="H133" s="47"/>
      <c r="I133" s="75"/>
      <c r="J133" s="76"/>
      <c r="K133" s="76"/>
      <c r="L133" s="75"/>
      <c r="M133" s="49"/>
      <c r="N133" s="76"/>
      <c r="O133" s="49"/>
      <c r="P133" s="77"/>
      <c r="Q133" s="53"/>
      <c r="R133" s="54"/>
      <c r="S133" s="55"/>
      <c r="T133" s="56"/>
      <c r="U133" s="56"/>
      <c r="V133" s="42"/>
      <c r="W133" s="57"/>
      <c r="X133" s="58"/>
      <c r="Y133" s="75"/>
      <c r="Z133" s="59"/>
      <c r="AA133" s="61"/>
      <c r="AB133" s="61"/>
      <c r="AC133" s="61"/>
      <c r="AD133" s="62"/>
      <c r="AE133" s="62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</row>
    <row r="134" spans="1:77" x14ac:dyDescent="0.3">
      <c r="A134" s="39"/>
      <c r="B134" s="42"/>
      <c r="C134" s="42"/>
      <c r="D134" s="75"/>
      <c r="E134" s="75"/>
      <c r="F134" s="76"/>
      <c r="G134" s="47"/>
      <c r="H134" s="47"/>
      <c r="I134" s="75"/>
      <c r="J134" s="76"/>
      <c r="K134" s="76"/>
      <c r="L134" s="75"/>
      <c r="M134" s="49"/>
      <c r="N134" s="76"/>
      <c r="O134" s="49"/>
      <c r="P134" s="77"/>
      <c r="Q134" s="53"/>
      <c r="R134" s="54"/>
      <c r="S134" s="55"/>
      <c r="T134" s="56"/>
      <c r="U134" s="56"/>
      <c r="V134" s="42"/>
      <c r="W134" s="57"/>
      <c r="X134" s="58"/>
      <c r="Y134" s="75"/>
      <c r="Z134" s="59"/>
      <c r="AA134" s="61"/>
      <c r="AB134" s="61"/>
      <c r="AC134" s="61"/>
      <c r="AD134" s="62"/>
      <c r="AE134" s="62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</row>
    <row r="135" spans="1:77" x14ac:dyDescent="0.3">
      <c r="A135" s="39"/>
      <c r="B135" s="42"/>
      <c r="C135" s="42"/>
      <c r="D135" s="75"/>
      <c r="E135" s="75"/>
      <c r="F135" s="76"/>
      <c r="G135" s="47"/>
      <c r="H135" s="47"/>
      <c r="I135" s="75"/>
      <c r="J135" s="76"/>
      <c r="K135" s="76"/>
      <c r="L135" s="75"/>
      <c r="M135" s="49"/>
      <c r="N135" s="76"/>
      <c r="O135" s="49"/>
      <c r="P135" s="77"/>
      <c r="Q135" s="53"/>
      <c r="R135" s="54"/>
      <c r="S135" s="55"/>
      <c r="T135" s="56"/>
      <c r="U135" s="56"/>
      <c r="V135" s="42"/>
      <c r="W135" s="57"/>
      <c r="X135" s="58"/>
      <c r="Y135" s="75"/>
      <c r="Z135" s="59"/>
      <c r="AA135" s="61"/>
      <c r="AB135" s="61"/>
      <c r="AC135" s="61"/>
      <c r="AD135" s="62"/>
      <c r="AE135" s="62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</row>
    <row r="136" spans="1:77" x14ac:dyDescent="0.3">
      <c r="A136" s="39"/>
      <c r="B136" s="42"/>
      <c r="C136" s="42"/>
      <c r="D136" s="75"/>
      <c r="E136" s="75"/>
      <c r="F136" s="76"/>
      <c r="G136" s="47"/>
      <c r="H136" s="47"/>
      <c r="I136" s="75"/>
      <c r="J136" s="76"/>
      <c r="K136" s="76"/>
      <c r="L136" s="75"/>
      <c r="M136" s="49"/>
      <c r="N136" s="76"/>
      <c r="O136" s="49"/>
      <c r="P136" s="77"/>
      <c r="Q136" s="53"/>
      <c r="R136" s="54"/>
      <c r="S136" s="55"/>
      <c r="T136" s="56"/>
      <c r="U136" s="56"/>
      <c r="V136" s="42"/>
      <c r="W136" s="57"/>
      <c r="X136" s="58"/>
      <c r="Y136" s="75"/>
      <c r="Z136" s="59"/>
      <c r="AA136" s="61"/>
      <c r="AB136" s="61"/>
      <c r="AC136" s="61"/>
      <c r="AD136" s="62"/>
      <c r="AE136" s="62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</row>
    <row r="137" spans="1:77" x14ac:dyDescent="0.3">
      <c r="A137" s="39"/>
      <c r="B137" s="42"/>
      <c r="C137" s="42"/>
      <c r="D137" s="75"/>
      <c r="E137" s="75"/>
      <c r="F137" s="76"/>
      <c r="G137" s="47"/>
      <c r="H137" s="47"/>
      <c r="I137" s="75"/>
      <c r="J137" s="76"/>
      <c r="K137" s="76"/>
      <c r="L137" s="75"/>
      <c r="M137" s="49"/>
      <c r="N137" s="76"/>
      <c r="O137" s="49"/>
      <c r="P137" s="77"/>
      <c r="Q137" s="53"/>
      <c r="R137" s="54"/>
      <c r="S137" s="55"/>
      <c r="T137" s="56"/>
      <c r="U137" s="56"/>
      <c r="V137" s="42"/>
      <c r="W137" s="57"/>
      <c r="X137" s="58"/>
      <c r="Y137" s="75"/>
      <c r="Z137" s="59"/>
      <c r="AA137" s="61"/>
      <c r="AB137" s="61"/>
      <c r="AC137" s="61"/>
      <c r="AD137" s="62"/>
      <c r="AE137" s="62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</row>
    <row r="138" spans="1:77" x14ac:dyDescent="0.3">
      <c r="A138" s="39"/>
      <c r="B138" s="42"/>
      <c r="C138" s="42"/>
      <c r="D138" s="75"/>
      <c r="E138" s="75"/>
      <c r="F138" s="76"/>
      <c r="G138" s="47"/>
      <c r="H138" s="47"/>
      <c r="I138" s="75"/>
      <c r="J138" s="76"/>
      <c r="K138" s="76"/>
      <c r="L138" s="75"/>
      <c r="M138" s="49"/>
      <c r="N138" s="76"/>
      <c r="O138" s="49"/>
      <c r="P138" s="77"/>
      <c r="Q138" s="53"/>
      <c r="R138" s="54"/>
      <c r="S138" s="55"/>
      <c r="T138" s="56"/>
      <c r="U138" s="56"/>
      <c r="V138" s="42"/>
      <c r="W138" s="57"/>
      <c r="X138" s="58"/>
      <c r="Y138" s="75"/>
      <c r="Z138" s="59"/>
      <c r="AA138" s="61"/>
      <c r="AB138" s="61"/>
      <c r="AC138" s="61"/>
      <c r="AD138" s="62"/>
      <c r="AE138" s="62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</row>
    <row r="139" spans="1:77" x14ac:dyDescent="0.3">
      <c r="A139" s="39"/>
      <c r="B139" s="42"/>
      <c r="C139" s="42"/>
      <c r="D139" s="75"/>
      <c r="E139" s="75"/>
      <c r="F139" s="76"/>
      <c r="G139" s="47"/>
      <c r="H139" s="47"/>
      <c r="I139" s="75"/>
      <c r="J139" s="76"/>
      <c r="K139" s="76"/>
      <c r="L139" s="75"/>
      <c r="M139" s="49"/>
      <c r="N139" s="76"/>
      <c r="O139" s="49"/>
      <c r="P139" s="77"/>
      <c r="Q139" s="53"/>
      <c r="R139" s="54"/>
      <c r="S139" s="55"/>
      <c r="T139" s="56"/>
      <c r="U139" s="56"/>
      <c r="V139" s="42"/>
      <c r="W139" s="57"/>
      <c r="X139" s="58"/>
      <c r="Y139" s="75"/>
      <c r="Z139" s="59"/>
      <c r="AA139" s="61"/>
      <c r="AB139" s="61"/>
      <c r="AC139" s="61"/>
      <c r="AD139" s="62"/>
      <c r="AE139" s="62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</row>
    <row r="140" spans="1:77" x14ac:dyDescent="0.3">
      <c r="A140" s="39"/>
      <c r="B140" s="42"/>
      <c r="C140" s="42"/>
      <c r="D140" s="75"/>
      <c r="E140" s="75"/>
      <c r="F140" s="76"/>
      <c r="G140" s="47"/>
      <c r="H140" s="47"/>
      <c r="I140" s="75"/>
      <c r="J140" s="76"/>
      <c r="K140" s="76"/>
      <c r="L140" s="75"/>
      <c r="M140" s="49"/>
      <c r="N140" s="76"/>
      <c r="O140" s="49"/>
      <c r="P140" s="77"/>
      <c r="Q140" s="53"/>
      <c r="R140" s="54"/>
      <c r="S140" s="55"/>
      <c r="T140" s="56"/>
      <c r="U140" s="56"/>
      <c r="V140" s="42"/>
      <c r="W140" s="57"/>
      <c r="X140" s="58"/>
      <c r="Y140" s="75"/>
      <c r="Z140" s="59"/>
      <c r="AA140" s="61"/>
      <c r="AB140" s="61"/>
      <c r="AC140" s="61"/>
      <c r="AD140" s="62"/>
      <c r="AE140" s="62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</row>
    <row r="141" spans="1:77" x14ac:dyDescent="0.3">
      <c r="A141" s="39"/>
      <c r="B141" s="42"/>
      <c r="C141" s="42"/>
      <c r="D141" s="75"/>
      <c r="E141" s="75"/>
      <c r="F141" s="76"/>
      <c r="G141" s="47"/>
      <c r="H141" s="47"/>
      <c r="I141" s="75"/>
      <c r="J141" s="76"/>
      <c r="K141" s="76"/>
      <c r="L141" s="75"/>
      <c r="M141" s="49"/>
      <c r="N141" s="76"/>
      <c r="O141" s="49"/>
      <c r="P141" s="77"/>
      <c r="Q141" s="53"/>
      <c r="R141" s="54"/>
      <c r="S141" s="55"/>
      <c r="T141" s="56"/>
      <c r="U141" s="56"/>
      <c r="V141" s="42"/>
      <c r="W141" s="57"/>
      <c r="X141" s="58"/>
      <c r="Y141" s="75"/>
      <c r="Z141" s="59"/>
      <c r="AA141" s="61"/>
      <c r="AB141" s="61"/>
      <c r="AC141" s="61"/>
      <c r="AD141" s="62"/>
      <c r="AE141" s="62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</row>
    <row r="142" spans="1:77" x14ac:dyDescent="0.3">
      <c r="A142" s="39"/>
      <c r="B142" s="42"/>
      <c r="C142" s="42"/>
      <c r="D142" s="75"/>
      <c r="E142" s="75"/>
      <c r="F142" s="76"/>
      <c r="G142" s="47"/>
      <c r="H142" s="47"/>
      <c r="I142" s="75"/>
      <c r="J142" s="76"/>
      <c r="K142" s="76"/>
      <c r="L142" s="75"/>
      <c r="M142" s="49"/>
      <c r="N142" s="76"/>
      <c r="O142" s="49"/>
      <c r="P142" s="77"/>
      <c r="Q142" s="53"/>
      <c r="R142" s="54"/>
      <c r="S142" s="55"/>
      <c r="T142" s="56"/>
      <c r="U142" s="56"/>
      <c r="V142" s="42"/>
      <c r="W142" s="57"/>
      <c r="X142" s="58"/>
      <c r="Y142" s="75"/>
      <c r="Z142" s="59"/>
      <c r="AA142" s="61"/>
      <c r="AB142" s="61"/>
      <c r="AC142" s="61"/>
      <c r="AD142" s="62"/>
      <c r="AE142" s="62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</row>
    <row r="143" spans="1:77" x14ac:dyDescent="0.3">
      <c r="A143" s="39"/>
      <c r="B143" s="42"/>
      <c r="C143" s="42"/>
      <c r="D143" s="75"/>
      <c r="E143" s="75"/>
      <c r="F143" s="76"/>
      <c r="G143" s="47"/>
      <c r="H143" s="47"/>
      <c r="I143" s="75"/>
      <c r="J143" s="76"/>
      <c r="K143" s="76"/>
      <c r="L143" s="75"/>
      <c r="M143" s="49"/>
      <c r="N143" s="76"/>
      <c r="O143" s="49"/>
      <c r="P143" s="77"/>
      <c r="Q143" s="53"/>
      <c r="R143" s="54"/>
      <c r="S143" s="55"/>
      <c r="T143" s="56"/>
      <c r="U143" s="56"/>
      <c r="V143" s="42"/>
      <c r="W143" s="57"/>
      <c r="X143" s="58"/>
      <c r="Y143" s="75"/>
      <c r="Z143" s="59"/>
      <c r="AA143" s="61"/>
      <c r="AB143" s="61"/>
      <c r="AC143" s="61"/>
      <c r="AD143" s="62"/>
      <c r="AE143" s="62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</row>
    <row r="144" spans="1:77" x14ac:dyDescent="0.3">
      <c r="A144" s="39"/>
      <c r="B144" s="42"/>
      <c r="C144" s="42"/>
      <c r="D144" s="75"/>
      <c r="E144" s="75"/>
      <c r="F144" s="76"/>
      <c r="G144" s="47"/>
      <c r="H144" s="47"/>
      <c r="I144" s="75"/>
      <c r="J144" s="76"/>
      <c r="K144" s="76"/>
      <c r="L144" s="75"/>
      <c r="M144" s="49"/>
      <c r="N144" s="76"/>
      <c r="O144" s="49"/>
      <c r="P144" s="77"/>
      <c r="Q144" s="53"/>
      <c r="R144" s="54"/>
      <c r="S144" s="55"/>
      <c r="T144" s="56"/>
      <c r="U144" s="56"/>
      <c r="V144" s="42"/>
      <c r="W144" s="57"/>
      <c r="X144" s="58"/>
      <c r="Y144" s="75"/>
      <c r="Z144" s="59"/>
      <c r="AA144" s="61"/>
      <c r="AB144" s="61"/>
      <c r="AC144" s="61"/>
      <c r="AD144" s="62"/>
      <c r="AE144" s="62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</row>
    <row r="145" spans="1:77" x14ac:dyDescent="0.3">
      <c r="A145" s="39"/>
      <c r="B145" s="42"/>
      <c r="C145" s="42"/>
      <c r="D145" s="75"/>
      <c r="E145" s="75"/>
      <c r="F145" s="76"/>
      <c r="G145" s="47"/>
      <c r="H145" s="47"/>
      <c r="I145" s="75"/>
      <c r="J145" s="76"/>
      <c r="K145" s="76"/>
      <c r="L145" s="75"/>
      <c r="M145" s="49"/>
      <c r="N145" s="76"/>
      <c r="O145" s="49"/>
      <c r="P145" s="77"/>
      <c r="Q145" s="53"/>
      <c r="R145" s="54"/>
      <c r="S145" s="55"/>
      <c r="T145" s="56"/>
      <c r="U145" s="56"/>
      <c r="V145" s="42"/>
      <c r="W145" s="57"/>
      <c r="X145" s="58"/>
      <c r="Y145" s="75"/>
      <c r="Z145" s="59"/>
      <c r="AA145" s="61"/>
      <c r="AB145" s="61"/>
      <c r="AC145" s="61"/>
      <c r="AD145" s="62"/>
      <c r="AE145" s="62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</row>
    <row r="146" spans="1:77" x14ac:dyDescent="0.3">
      <c r="A146" s="39"/>
      <c r="B146" s="42"/>
      <c r="C146" s="42"/>
      <c r="D146" s="75"/>
      <c r="E146" s="75"/>
      <c r="F146" s="76"/>
      <c r="G146" s="47"/>
      <c r="H146" s="47"/>
      <c r="I146" s="75"/>
      <c r="J146" s="76"/>
      <c r="K146" s="76"/>
      <c r="L146" s="75"/>
      <c r="M146" s="49"/>
      <c r="N146" s="76"/>
      <c r="O146" s="49"/>
      <c r="P146" s="77"/>
      <c r="Q146" s="53"/>
      <c r="R146" s="54"/>
      <c r="S146" s="55"/>
      <c r="T146" s="56"/>
      <c r="U146" s="56"/>
      <c r="V146" s="42"/>
      <c r="W146" s="57"/>
      <c r="X146" s="58"/>
      <c r="Y146" s="75"/>
      <c r="Z146" s="59"/>
      <c r="AA146" s="61"/>
      <c r="AB146" s="61"/>
      <c r="AC146" s="61"/>
      <c r="AD146" s="62"/>
      <c r="AE146" s="62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</row>
    <row r="147" spans="1:77" x14ac:dyDescent="0.3">
      <c r="A147" s="39"/>
      <c r="B147" s="42"/>
      <c r="C147" s="42"/>
      <c r="D147" s="75"/>
      <c r="E147" s="75"/>
      <c r="F147" s="76"/>
      <c r="G147" s="47"/>
      <c r="H147" s="47"/>
      <c r="I147" s="75"/>
      <c r="J147" s="76"/>
      <c r="K147" s="76"/>
      <c r="L147" s="75"/>
      <c r="M147" s="49"/>
      <c r="N147" s="76"/>
      <c r="O147" s="49"/>
      <c r="P147" s="77"/>
      <c r="Q147" s="53"/>
      <c r="R147" s="54"/>
      <c r="S147" s="55"/>
      <c r="T147" s="56"/>
      <c r="U147" s="56"/>
      <c r="V147" s="42"/>
      <c r="W147" s="57"/>
      <c r="X147" s="58"/>
      <c r="Y147" s="75"/>
      <c r="Z147" s="59"/>
      <c r="AA147" s="61"/>
      <c r="AB147" s="61"/>
      <c r="AC147" s="61"/>
      <c r="AD147" s="62"/>
      <c r="AE147" s="62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</row>
    <row r="148" spans="1:77" x14ac:dyDescent="0.3">
      <c r="A148" s="39"/>
      <c r="B148" s="42"/>
      <c r="C148" s="42"/>
      <c r="D148" s="75"/>
      <c r="E148" s="75"/>
      <c r="F148" s="76"/>
      <c r="G148" s="47"/>
      <c r="H148" s="47"/>
      <c r="I148" s="75"/>
      <c r="J148" s="76"/>
      <c r="K148" s="76"/>
      <c r="L148" s="75"/>
      <c r="M148" s="49"/>
      <c r="N148" s="76"/>
      <c r="O148" s="49"/>
      <c r="P148" s="77"/>
      <c r="Q148" s="53"/>
      <c r="R148" s="54"/>
      <c r="S148" s="55"/>
      <c r="T148" s="56"/>
      <c r="U148" s="56"/>
      <c r="V148" s="42"/>
      <c r="W148" s="57"/>
      <c r="X148" s="58"/>
      <c r="Y148" s="75"/>
      <c r="Z148" s="59"/>
      <c r="AA148" s="61"/>
      <c r="AB148" s="61"/>
      <c r="AC148" s="61"/>
      <c r="AD148" s="62"/>
      <c r="AE148" s="62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</row>
    <row r="149" spans="1:77" x14ac:dyDescent="0.3">
      <c r="A149" s="39"/>
      <c r="B149" s="42"/>
      <c r="C149" s="42"/>
      <c r="D149" s="75"/>
      <c r="E149" s="75"/>
      <c r="F149" s="76"/>
      <c r="G149" s="47"/>
      <c r="H149" s="47"/>
      <c r="I149" s="75"/>
      <c r="J149" s="76"/>
      <c r="K149" s="76"/>
      <c r="L149" s="75"/>
      <c r="M149" s="49"/>
      <c r="N149" s="76"/>
      <c r="O149" s="49"/>
      <c r="P149" s="77"/>
      <c r="Q149" s="53"/>
      <c r="R149" s="54"/>
      <c r="S149" s="55"/>
      <c r="T149" s="56"/>
      <c r="U149" s="56"/>
      <c r="V149" s="42"/>
      <c r="W149" s="57"/>
      <c r="X149" s="58"/>
      <c r="Y149" s="75"/>
      <c r="Z149" s="59"/>
      <c r="AA149" s="61"/>
      <c r="AB149" s="61"/>
      <c r="AC149" s="61"/>
      <c r="AD149" s="62"/>
      <c r="AE149" s="62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</row>
    <row r="150" spans="1:77" x14ac:dyDescent="0.3">
      <c r="A150" s="39"/>
      <c r="B150" s="42"/>
      <c r="C150" s="42"/>
      <c r="D150" s="75"/>
      <c r="E150" s="75"/>
      <c r="F150" s="76"/>
      <c r="G150" s="47"/>
      <c r="H150" s="47"/>
      <c r="I150" s="75"/>
      <c r="J150" s="76"/>
      <c r="K150" s="76"/>
      <c r="L150" s="75"/>
      <c r="M150" s="49"/>
      <c r="N150" s="76"/>
      <c r="O150" s="49"/>
      <c r="P150" s="77"/>
      <c r="Q150" s="53"/>
      <c r="R150" s="54"/>
      <c r="S150" s="55"/>
      <c r="T150" s="56"/>
      <c r="U150" s="56"/>
      <c r="V150" s="42"/>
      <c r="W150" s="57"/>
      <c r="X150" s="58"/>
      <c r="Y150" s="75"/>
      <c r="Z150" s="59"/>
      <c r="AA150" s="61"/>
      <c r="AB150" s="61"/>
      <c r="AC150" s="61"/>
      <c r="AD150" s="62"/>
      <c r="AE150" s="62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</row>
    <row r="151" spans="1:77" x14ac:dyDescent="0.3">
      <c r="A151" s="39"/>
      <c r="B151" s="42"/>
      <c r="C151" s="42"/>
      <c r="D151" s="75"/>
      <c r="E151" s="75"/>
      <c r="F151" s="76"/>
      <c r="G151" s="47"/>
      <c r="H151" s="47"/>
      <c r="I151" s="75"/>
      <c r="J151" s="76"/>
      <c r="K151" s="76"/>
      <c r="L151" s="75"/>
      <c r="M151" s="49"/>
      <c r="N151" s="76"/>
      <c r="O151" s="49"/>
      <c r="P151" s="77"/>
      <c r="Q151" s="53"/>
      <c r="R151" s="54"/>
      <c r="S151" s="55"/>
      <c r="T151" s="56"/>
      <c r="U151" s="56"/>
      <c r="V151" s="42"/>
      <c r="W151" s="57"/>
      <c r="X151" s="58"/>
      <c r="Y151" s="75"/>
      <c r="Z151" s="59"/>
      <c r="AA151" s="61"/>
      <c r="AB151" s="61"/>
      <c r="AC151" s="61"/>
      <c r="AD151" s="62"/>
      <c r="AE151" s="62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</row>
    <row r="152" spans="1:77" x14ac:dyDescent="0.3">
      <c r="A152" s="39"/>
      <c r="B152" s="42"/>
      <c r="C152" s="42"/>
      <c r="D152" s="75"/>
      <c r="E152" s="75"/>
      <c r="F152" s="76"/>
      <c r="G152" s="47"/>
      <c r="H152" s="47"/>
      <c r="I152" s="75"/>
      <c r="J152" s="76"/>
      <c r="K152" s="76"/>
      <c r="L152" s="75"/>
      <c r="M152" s="49"/>
      <c r="N152" s="76"/>
      <c r="O152" s="49"/>
      <c r="P152" s="77"/>
      <c r="Q152" s="53"/>
      <c r="R152" s="54"/>
      <c r="S152" s="55"/>
      <c r="T152" s="56"/>
      <c r="U152" s="56"/>
      <c r="V152" s="42"/>
      <c r="W152" s="57"/>
      <c r="X152" s="58"/>
      <c r="Y152" s="75"/>
      <c r="Z152" s="59"/>
      <c r="AA152" s="61"/>
      <c r="AB152" s="61"/>
      <c r="AC152" s="61"/>
      <c r="AD152" s="62"/>
      <c r="AE152" s="62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</row>
    <row r="153" spans="1:77" x14ac:dyDescent="0.3">
      <c r="A153" s="39"/>
      <c r="B153" s="42"/>
      <c r="C153" s="42"/>
      <c r="D153" s="75"/>
      <c r="E153" s="75"/>
      <c r="F153" s="76"/>
      <c r="G153" s="47"/>
      <c r="H153" s="47"/>
      <c r="I153" s="75"/>
      <c r="J153" s="76"/>
      <c r="K153" s="76"/>
      <c r="L153" s="75"/>
      <c r="M153" s="49"/>
      <c r="N153" s="76"/>
      <c r="O153" s="49"/>
      <c r="P153" s="77"/>
      <c r="Q153" s="53"/>
      <c r="R153" s="54"/>
      <c r="S153" s="55"/>
      <c r="T153" s="56"/>
      <c r="U153" s="56"/>
      <c r="V153" s="42"/>
      <c r="W153" s="57"/>
      <c r="X153" s="58"/>
      <c r="Y153" s="75"/>
      <c r="Z153" s="59"/>
      <c r="AA153" s="61"/>
      <c r="AB153" s="61"/>
      <c r="AC153" s="61"/>
      <c r="AD153" s="62"/>
      <c r="AE153" s="62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</row>
    <row r="154" spans="1:77" x14ac:dyDescent="0.3">
      <c r="A154" s="39"/>
      <c r="B154" s="42"/>
      <c r="C154" s="42"/>
      <c r="D154" s="75"/>
      <c r="E154" s="75"/>
      <c r="F154" s="76"/>
      <c r="G154" s="47"/>
      <c r="H154" s="47"/>
      <c r="I154" s="75"/>
      <c r="J154" s="76"/>
      <c r="K154" s="76"/>
      <c r="L154" s="75"/>
      <c r="M154" s="49"/>
      <c r="N154" s="76"/>
      <c r="O154" s="49"/>
      <c r="P154" s="77"/>
      <c r="Q154" s="53"/>
      <c r="R154" s="54"/>
      <c r="S154" s="55"/>
      <c r="T154" s="56"/>
      <c r="U154" s="56"/>
      <c r="V154" s="42"/>
      <c r="W154" s="57"/>
      <c r="X154" s="58"/>
      <c r="Y154" s="75"/>
      <c r="Z154" s="59"/>
      <c r="AA154" s="61"/>
      <c r="AB154" s="61"/>
      <c r="AC154" s="61"/>
      <c r="AD154" s="62"/>
      <c r="AE154" s="62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</row>
    <row r="155" spans="1:77" x14ac:dyDescent="0.3">
      <c r="A155" s="39"/>
      <c r="B155" s="42"/>
      <c r="C155" s="42"/>
      <c r="D155" s="75"/>
      <c r="E155" s="75"/>
      <c r="F155" s="76"/>
      <c r="G155" s="47"/>
      <c r="H155" s="47"/>
      <c r="I155" s="75"/>
      <c r="J155" s="76"/>
      <c r="K155" s="76"/>
      <c r="L155" s="75"/>
      <c r="M155" s="49"/>
      <c r="N155" s="76"/>
      <c r="O155" s="49"/>
      <c r="P155" s="77"/>
      <c r="Q155" s="53"/>
      <c r="R155" s="54"/>
      <c r="S155" s="55"/>
      <c r="T155" s="56"/>
      <c r="U155" s="56"/>
      <c r="V155" s="42"/>
      <c r="W155" s="57"/>
      <c r="X155" s="58"/>
      <c r="Y155" s="75"/>
      <c r="Z155" s="59"/>
      <c r="AA155" s="61"/>
      <c r="AB155" s="61"/>
      <c r="AC155" s="61"/>
      <c r="AD155" s="62"/>
      <c r="AE155" s="62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</row>
    <row r="156" spans="1:77" x14ac:dyDescent="0.3">
      <c r="A156" s="39"/>
      <c r="B156" s="42"/>
      <c r="C156" s="42"/>
      <c r="D156" s="75"/>
      <c r="E156" s="75"/>
      <c r="F156" s="76"/>
      <c r="G156" s="47"/>
      <c r="H156" s="47"/>
      <c r="I156" s="75"/>
      <c r="J156" s="76"/>
      <c r="K156" s="76"/>
      <c r="L156" s="75"/>
      <c r="M156" s="49"/>
      <c r="N156" s="76"/>
      <c r="O156" s="49"/>
      <c r="P156" s="77"/>
      <c r="Q156" s="53"/>
      <c r="R156" s="54"/>
      <c r="S156" s="55"/>
      <c r="T156" s="56"/>
      <c r="U156" s="56"/>
      <c r="V156" s="42"/>
      <c r="W156" s="57"/>
      <c r="X156" s="58"/>
      <c r="Y156" s="75"/>
      <c r="Z156" s="59"/>
      <c r="AA156" s="61"/>
      <c r="AB156" s="61"/>
      <c r="AC156" s="61"/>
      <c r="AD156" s="62"/>
      <c r="AE156" s="62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</row>
    <row r="157" spans="1:77" x14ac:dyDescent="0.3">
      <c r="A157" s="39"/>
      <c r="B157" s="42"/>
      <c r="C157" s="42"/>
      <c r="D157" s="75"/>
      <c r="E157" s="75"/>
      <c r="F157" s="76"/>
      <c r="G157" s="47"/>
      <c r="H157" s="47"/>
      <c r="I157" s="75"/>
      <c r="J157" s="76"/>
      <c r="K157" s="76"/>
      <c r="L157" s="75"/>
      <c r="M157" s="49"/>
      <c r="N157" s="76"/>
      <c r="O157" s="49"/>
      <c r="P157" s="77"/>
      <c r="Q157" s="53"/>
      <c r="R157" s="54"/>
      <c r="S157" s="55"/>
      <c r="T157" s="56"/>
      <c r="U157" s="56"/>
      <c r="V157" s="42"/>
      <c r="W157" s="57"/>
      <c r="X157" s="58"/>
      <c r="Y157" s="75"/>
      <c r="Z157" s="59"/>
      <c r="AA157" s="61"/>
      <c r="AB157" s="61"/>
      <c r="AC157" s="61"/>
      <c r="AD157" s="62"/>
      <c r="AE157" s="62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</row>
    <row r="158" spans="1:77" x14ac:dyDescent="0.3">
      <c r="A158" s="39"/>
      <c r="B158" s="42"/>
      <c r="C158" s="42"/>
      <c r="D158" s="75"/>
      <c r="E158" s="75"/>
      <c r="F158" s="76"/>
      <c r="G158" s="47"/>
      <c r="H158" s="47"/>
      <c r="I158" s="75"/>
      <c r="J158" s="76"/>
      <c r="K158" s="76"/>
      <c r="L158" s="75"/>
      <c r="M158" s="49"/>
      <c r="N158" s="76"/>
      <c r="O158" s="49"/>
      <c r="P158" s="77"/>
      <c r="Q158" s="53"/>
      <c r="R158" s="54"/>
      <c r="S158" s="55"/>
      <c r="T158" s="56"/>
      <c r="U158" s="56"/>
      <c r="V158" s="42"/>
      <c r="W158" s="57"/>
      <c r="X158" s="58"/>
      <c r="Y158" s="75"/>
      <c r="Z158" s="59"/>
      <c r="AA158" s="61"/>
      <c r="AB158" s="61"/>
      <c r="AC158" s="61"/>
      <c r="AD158" s="62"/>
      <c r="AE158" s="62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</row>
    <row r="159" spans="1:77" x14ac:dyDescent="0.3">
      <c r="A159" s="39"/>
      <c r="B159" s="42"/>
      <c r="C159" s="42"/>
      <c r="D159" s="75"/>
      <c r="E159" s="75"/>
      <c r="F159" s="76"/>
      <c r="G159" s="47"/>
      <c r="H159" s="47"/>
      <c r="I159" s="75"/>
      <c r="J159" s="76"/>
      <c r="K159" s="76"/>
      <c r="L159" s="75"/>
      <c r="M159" s="49"/>
      <c r="N159" s="76"/>
      <c r="O159" s="49"/>
      <c r="P159" s="77"/>
      <c r="Q159" s="53"/>
      <c r="R159" s="54"/>
      <c r="S159" s="55"/>
      <c r="T159" s="56"/>
      <c r="U159" s="56"/>
      <c r="V159" s="42"/>
      <c r="W159" s="57"/>
      <c r="X159" s="58"/>
      <c r="Y159" s="75"/>
      <c r="Z159" s="59"/>
      <c r="AA159" s="61"/>
      <c r="AB159" s="61"/>
      <c r="AC159" s="61"/>
      <c r="AD159" s="62"/>
      <c r="AE159" s="62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</row>
    <row r="160" spans="1:77" x14ac:dyDescent="0.3">
      <c r="A160" s="39"/>
      <c r="B160" s="42"/>
      <c r="C160" s="42"/>
      <c r="D160" s="75"/>
      <c r="E160" s="75"/>
      <c r="F160" s="76"/>
      <c r="G160" s="47"/>
      <c r="H160" s="47"/>
      <c r="I160" s="75"/>
      <c r="J160" s="76"/>
      <c r="K160" s="76"/>
      <c r="L160" s="75"/>
      <c r="M160" s="49"/>
      <c r="N160" s="76"/>
      <c r="O160" s="49"/>
      <c r="P160" s="77"/>
      <c r="Q160" s="53"/>
      <c r="R160" s="54"/>
      <c r="S160" s="55"/>
      <c r="T160" s="56"/>
      <c r="U160" s="56"/>
      <c r="V160" s="42"/>
      <c r="W160" s="57"/>
      <c r="X160" s="58"/>
      <c r="Y160" s="75"/>
      <c r="Z160" s="59"/>
      <c r="AA160" s="61"/>
      <c r="AB160" s="61"/>
      <c r="AC160" s="61"/>
      <c r="AD160" s="62"/>
      <c r="AE160" s="62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</row>
    <row r="161" spans="1:77" x14ac:dyDescent="0.3">
      <c r="A161" s="39"/>
      <c r="B161" s="42"/>
      <c r="C161" s="42"/>
      <c r="D161" s="75"/>
      <c r="E161" s="75"/>
      <c r="F161" s="76"/>
      <c r="G161" s="47"/>
      <c r="H161" s="47"/>
      <c r="I161" s="75"/>
      <c r="J161" s="76"/>
      <c r="K161" s="76"/>
      <c r="L161" s="75"/>
      <c r="M161" s="49"/>
      <c r="N161" s="76"/>
      <c r="O161" s="49"/>
      <c r="P161" s="77"/>
      <c r="Q161" s="53"/>
      <c r="R161" s="54"/>
      <c r="S161" s="55"/>
      <c r="T161" s="56"/>
      <c r="U161" s="56"/>
      <c r="V161" s="42"/>
      <c r="W161" s="57"/>
      <c r="X161" s="58"/>
      <c r="Y161" s="75"/>
      <c r="Z161" s="59"/>
      <c r="AA161" s="61"/>
      <c r="AB161" s="61"/>
      <c r="AC161" s="61"/>
      <c r="AD161" s="62"/>
      <c r="AE161" s="62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</row>
    <row r="162" spans="1:77" x14ac:dyDescent="0.3">
      <c r="A162" s="39"/>
      <c r="B162" s="42"/>
      <c r="C162" s="42"/>
      <c r="D162" s="75"/>
      <c r="E162" s="75"/>
      <c r="F162" s="76"/>
      <c r="G162" s="47"/>
      <c r="H162" s="47"/>
      <c r="I162" s="75"/>
      <c r="J162" s="76"/>
      <c r="K162" s="76"/>
      <c r="L162" s="75"/>
      <c r="M162" s="49"/>
      <c r="N162" s="76"/>
      <c r="O162" s="49"/>
      <c r="P162" s="77"/>
      <c r="Q162" s="53"/>
      <c r="R162" s="54"/>
      <c r="S162" s="55"/>
      <c r="T162" s="56"/>
      <c r="U162" s="56"/>
      <c r="V162" s="42"/>
      <c r="W162" s="57"/>
      <c r="X162" s="58"/>
      <c r="Y162" s="75"/>
      <c r="Z162" s="59"/>
      <c r="AA162" s="61"/>
      <c r="AB162" s="61"/>
      <c r="AC162" s="61"/>
      <c r="AD162" s="62"/>
      <c r="AE162" s="62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</row>
    <row r="163" spans="1:77" x14ac:dyDescent="0.3">
      <c r="A163" s="39"/>
      <c r="B163" s="42"/>
      <c r="C163" s="42"/>
      <c r="D163" s="75"/>
      <c r="E163" s="75"/>
      <c r="F163" s="76"/>
      <c r="G163" s="47"/>
      <c r="H163" s="47"/>
      <c r="I163" s="75"/>
      <c r="J163" s="76"/>
      <c r="K163" s="76"/>
      <c r="L163" s="75"/>
      <c r="M163" s="49"/>
      <c r="N163" s="76"/>
      <c r="O163" s="49"/>
      <c r="P163" s="77"/>
      <c r="Q163" s="53"/>
      <c r="R163" s="54"/>
      <c r="S163" s="55"/>
      <c r="T163" s="56"/>
      <c r="U163" s="56"/>
      <c r="V163" s="42"/>
      <c r="W163" s="57"/>
      <c r="X163" s="58"/>
      <c r="Y163" s="75"/>
      <c r="Z163" s="59"/>
      <c r="AA163" s="61"/>
      <c r="AB163" s="61"/>
      <c r="AC163" s="61"/>
      <c r="AD163" s="62"/>
      <c r="AE163" s="62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</row>
    <row r="164" spans="1:77" x14ac:dyDescent="0.3">
      <c r="A164" s="39"/>
      <c r="B164" s="42"/>
      <c r="C164" s="42"/>
      <c r="D164" s="75"/>
      <c r="E164" s="75"/>
      <c r="F164" s="76"/>
      <c r="G164" s="47"/>
      <c r="H164" s="47"/>
      <c r="I164" s="75"/>
      <c r="J164" s="76"/>
      <c r="K164" s="76"/>
      <c r="L164" s="75"/>
      <c r="M164" s="49"/>
      <c r="N164" s="76"/>
      <c r="O164" s="49"/>
      <c r="P164" s="77"/>
      <c r="Q164" s="53"/>
      <c r="R164" s="54"/>
      <c r="S164" s="55"/>
      <c r="T164" s="56"/>
      <c r="U164" s="56"/>
      <c r="V164" s="42"/>
      <c r="W164" s="57"/>
      <c r="X164" s="58"/>
      <c r="Y164" s="75"/>
      <c r="Z164" s="59"/>
      <c r="AA164" s="61"/>
      <c r="AB164" s="61"/>
      <c r="AC164" s="61"/>
      <c r="AD164" s="62"/>
      <c r="AE164" s="62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</row>
    <row r="165" spans="1:77" x14ac:dyDescent="0.3">
      <c r="A165" s="39"/>
      <c r="B165" s="42"/>
      <c r="C165" s="42"/>
      <c r="D165" s="75"/>
      <c r="E165" s="75"/>
      <c r="F165" s="76"/>
      <c r="G165" s="47"/>
      <c r="H165" s="47"/>
      <c r="I165" s="75"/>
      <c r="J165" s="76"/>
      <c r="K165" s="76"/>
      <c r="L165" s="75"/>
      <c r="M165" s="49"/>
      <c r="N165" s="76"/>
      <c r="O165" s="49"/>
      <c r="P165" s="77"/>
      <c r="Q165" s="53"/>
      <c r="R165" s="54"/>
      <c r="S165" s="55"/>
      <c r="T165" s="56"/>
      <c r="U165" s="56"/>
      <c r="V165" s="42"/>
      <c r="W165" s="57"/>
      <c r="X165" s="58"/>
      <c r="Y165" s="75"/>
      <c r="Z165" s="59"/>
      <c r="AA165" s="61"/>
      <c r="AB165" s="61"/>
      <c r="AC165" s="61"/>
      <c r="AD165" s="62"/>
      <c r="AE165" s="62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</row>
    <row r="166" spans="1:77" x14ac:dyDescent="0.3">
      <c r="A166" s="39"/>
      <c r="B166" s="42"/>
      <c r="C166" s="42"/>
      <c r="D166" s="75"/>
      <c r="E166" s="75"/>
      <c r="F166" s="76"/>
      <c r="G166" s="47"/>
      <c r="H166" s="47"/>
      <c r="I166" s="75"/>
      <c r="J166" s="76"/>
      <c r="K166" s="76"/>
      <c r="L166" s="75"/>
      <c r="M166" s="49"/>
      <c r="N166" s="76"/>
      <c r="O166" s="49"/>
      <c r="P166" s="77"/>
      <c r="Q166" s="53"/>
      <c r="R166" s="54"/>
      <c r="S166" s="55"/>
      <c r="T166" s="56"/>
      <c r="U166" s="56"/>
      <c r="V166" s="42"/>
      <c r="W166" s="57"/>
      <c r="X166" s="58"/>
      <c r="Y166" s="75"/>
      <c r="Z166" s="59"/>
      <c r="AA166" s="61"/>
      <c r="AB166" s="61"/>
      <c r="AC166" s="61"/>
      <c r="AD166" s="62"/>
      <c r="AE166" s="62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</row>
    <row r="167" spans="1:77" x14ac:dyDescent="0.3">
      <c r="A167" s="39"/>
      <c r="B167" s="42"/>
      <c r="C167" s="42"/>
      <c r="D167" s="75"/>
      <c r="E167" s="75"/>
      <c r="F167" s="76"/>
      <c r="G167" s="47"/>
      <c r="H167" s="47"/>
      <c r="I167" s="75"/>
      <c r="J167" s="76"/>
      <c r="K167" s="76"/>
      <c r="L167" s="75"/>
      <c r="M167" s="49"/>
      <c r="N167" s="76"/>
      <c r="O167" s="49"/>
      <c r="P167" s="77"/>
      <c r="Q167" s="53"/>
      <c r="R167" s="54"/>
      <c r="S167" s="55"/>
      <c r="T167" s="56"/>
      <c r="U167" s="56"/>
      <c r="V167" s="42"/>
      <c r="W167" s="57"/>
      <c r="X167" s="58"/>
      <c r="Y167" s="75"/>
      <c r="Z167" s="59"/>
      <c r="AA167" s="61"/>
      <c r="AB167" s="61"/>
      <c r="AC167" s="61"/>
      <c r="AD167" s="62"/>
      <c r="AE167" s="62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</row>
    <row r="168" spans="1:77" x14ac:dyDescent="0.3">
      <c r="A168" s="39"/>
      <c r="B168" s="42"/>
      <c r="C168" s="42"/>
      <c r="D168" s="75"/>
      <c r="E168" s="75"/>
      <c r="F168" s="76"/>
      <c r="G168" s="47"/>
      <c r="H168" s="47"/>
      <c r="I168" s="75"/>
      <c r="J168" s="76"/>
      <c r="K168" s="76"/>
      <c r="L168" s="75"/>
      <c r="M168" s="49"/>
      <c r="N168" s="76"/>
      <c r="O168" s="49"/>
      <c r="P168" s="77"/>
      <c r="Q168" s="53"/>
      <c r="R168" s="54"/>
      <c r="S168" s="55"/>
      <c r="T168" s="56"/>
      <c r="U168" s="56"/>
      <c r="V168" s="42"/>
      <c r="W168" s="57"/>
      <c r="X168" s="58"/>
      <c r="Y168" s="75"/>
      <c r="Z168" s="59"/>
      <c r="AA168" s="61"/>
      <c r="AB168" s="61"/>
      <c r="AC168" s="61"/>
      <c r="AD168" s="62"/>
      <c r="AE168" s="62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</row>
    <row r="169" spans="1:77" x14ac:dyDescent="0.3">
      <c r="A169" s="39"/>
      <c r="B169" s="42"/>
      <c r="C169" s="42"/>
      <c r="D169" s="75"/>
      <c r="E169" s="75"/>
      <c r="F169" s="76"/>
      <c r="G169" s="47"/>
      <c r="H169" s="47"/>
      <c r="I169" s="75"/>
      <c r="J169" s="76"/>
      <c r="K169" s="76"/>
      <c r="L169" s="75"/>
      <c r="M169" s="49"/>
      <c r="N169" s="76"/>
      <c r="O169" s="49"/>
      <c r="P169" s="77"/>
      <c r="Q169" s="53"/>
      <c r="R169" s="54"/>
      <c r="S169" s="55"/>
      <c r="T169" s="56"/>
      <c r="U169" s="56"/>
      <c r="V169" s="42"/>
      <c r="W169" s="57"/>
      <c r="X169" s="58"/>
      <c r="Y169" s="75"/>
      <c r="Z169" s="59"/>
      <c r="AA169" s="61"/>
      <c r="AB169" s="61"/>
      <c r="AC169" s="61"/>
      <c r="AD169" s="62"/>
      <c r="AE169" s="62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</row>
    <row r="170" spans="1:77" x14ac:dyDescent="0.3">
      <c r="A170" s="39"/>
      <c r="B170" s="42"/>
      <c r="C170" s="42"/>
      <c r="D170" s="75"/>
      <c r="E170" s="75"/>
      <c r="F170" s="76"/>
      <c r="G170" s="47"/>
      <c r="H170" s="47"/>
      <c r="I170" s="75"/>
      <c r="J170" s="76"/>
      <c r="K170" s="76"/>
      <c r="L170" s="75"/>
      <c r="M170" s="49"/>
      <c r="N170" s="76"/>
      <c r="O170" s="49"/>
      <c r="P170" s="77"/>
      <c r="Q170" s="53"/>
      <c r="R170" s="54"/>
      <c r="S170" s="55"/>
      <c r="T170" s="56"/>
      <c r="U170" s="56"/>
      <c r="V170" s="42"/>
      <c r="W170" s="57"/>
      <c r="X170" s="58"/>
      <c r="Y170" s="75"/>
      <c r="Z170" s="59"/>
      <c r="AA170" s="61"/>
      <c r="AB170" s="61"/>
      <c r="AC170" s="61"/>
      <c r="AD170" s="62"/>
      <c r="AE170" s="62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</row>
    <row r="171" spans="1:77" x14ac:dyDescent="0.3">
      <c r="A171" s="39"/>
      <c r="B171" s="42"/>
      <c r="C171" s="42"/>
      <c r="D171" s="75"/>
      <c r="E171" s="75"/>
      <c r="F171" s="76"/>
      <c r="G171" s="47"/>
      <c r="H171" s="47"/>
      <c r="I171" s="75"/>
      <c r="J171" s="76"/>
      <c r="K171" s="76"/>
      <c r="L171" s="75"/>
      <c r="M171" s="49"/>
      <c r="N171" s="76"/>
      <c r="O171" s="49"/>
      <c r="P171" s="77"/>
      <c r="Q171" s="53"/>
      <c r="R171" s="54"/>
      <c r="S171" s="55"/>
      <c r="T171" s="56"/>
      <c r="U171" s="56"/>
      <c r="V171" s="42"/>
      <c r="W171" s="57"/>
      <c r="X171" s="58"/>
      <c r="Y171" s="75"/>
      <c r="Z171" s="59"/>
      <c r="AA171" s="61"/>
      <c r="AB171" s="61"/>
      <c r="AC171" s="61"/>
      <c r="AD171" s="62"/>
      <c r="AE171" s="62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</row>
    <row r="172" spans="1:77" x14ac:dyDescent="0.3">
      <c r="A172" s="39"/>
      <c r="B172" s="42"/>
      <c r="C172" s="42"/>
      <c r="D172" s="75"/>
      <c r="E172" s="75"/>
      <c r="F172" s="76"/>
      <c r="G172" s="47"/>
      <c r="H172" s="47"/>
      <c r="I172" s="75"/>
      <c r="J172" s="76"/>
      <c r="K172" s="76"/>
      <c r="L172" s="75"/>
      <c r="M172" s="49"/>
      <c r="N172" s="76"/>
      <c r="O172" s="49"/>
      <c r="P172" s="77"/>
      <c r="Q172" s="53"/>
      <c r="R172" s="54"/>
      <c r="S172" s="55"/>
      <c r="T172" s="56"/>
      <c r="U172" s="56"/>
      <c r="V172" s="42"/>
      <c r="W172" s="57"/>
      <c r="X172" s="58"/>
      <c r="Y172" s="75"/>
      <c r="Z172" s="59"/>
      <c r="AA172" s="61"/>
      <c r="AB172" s="61"/>
      <c r="AC172" s="61"/>
      <c r="AD172" s="62"/>
      <c r="AE172" s="62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</row>
    <row r="173" spans="1:77" x14ac:dyDescent="0.3">
      <c r="A173" s="39"/>
      <c r="B173" s="42"/>
      <c r="C173" s="42"/>
      <c r="D173" s="75"/>
      <c r="E173" s="75"/>
      <c r="F173" s="76"/>
      <c r="G173" s="47"/>
      <c r="H173" s="47"/>
      <c r="I173" s="75"/>
      <c r="J173" s="76"/>
      <c r="K173" s="76"/>
      <c r="L173" s="75"/>
      <c r="M173" s="49"/>
      <c r="N173" s="76"/>
      <c r="O173" s="49"/>
      <c r="P173" s="77"/>
      <c r="Q173" s="53"/>
      <c r="R173" s="54"/>
      <c r="S173" s="55"/>
      <c r="T173" s="56"/>
      <c r="U173" s="56"/>
      <c r="V173" s="42"/>
      <c r="W173" s="57"/>
      <c r="X173" s="58"/>
      <c r="Y173" s="75"/>
      <c r="Z173" s="59"/>
      <c r="AA173" s="61"/>
      <c r="AB173" s="61"/>
      <c r="AC173" s="61"/>
      <c r="AD173" s="62"/>
      <c r="AE173" s="62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</row>
    <row r="174" spans="1:77" x14ac:dyDescent="0.3">
      <c r="A174" s="39"/>
      <c r="B174" s="42"/>
      <c r="C174" s="42"/>
      <c r="D174" s="75"/>
      <c r="E174" s="75"/>
      <c r="F174" s="76"/>
      <c r="G174" s="47"/>
      <c r="H174" s="47"/>
      <c r="I174" s="75"/>
      <c r="J174" s="76"/>
      <c r="K174" s="76"/>
      <c r="L174" s="75"/>
      <c r="M174" s="49"/>
      <c r="N174" s="76"/>
      <c r="O174" s="49"/>
      <c r="P174" s="77"/>
      <c r="Q174" s="53"/>
      <c r="R174" s="54"/>
      <c r="S174" s="55"/>
      <c r="T174" s="56"/>
      <c r="U174" s="56"/>
      <c r="V174" s="42"/>
      <c r="W174" s="57"/>
      <c r="X174" s="58"/>
      <c r="Y174" s="75"/>
      <c r="Z174" s="59"/>
      <c r="AA174" s="61"/>
      <c r="AB174" s="61"/>
      <c r="AC174" s="61"/>
      <c r="AD174" s="62"/>
      <c r="AE174" s="62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</row>
    <row r="175" spans="1:77" x14ac:dyDescent="0.3">
      <c r="A175" s="39"/>
      <c r="B175" s="42"/>
      <c r="C175" s="42"/>
      <c r="D175" s="75"/>
      <c r="E175" s="75"/>
      <c r="F175" s="76"/>
      <c r="G175" s="47"/>
      <c r="H175" s="47"/>
      <c r="I175" s="75"/>
      <c r="J175" s="76"/>
      <c r="K175" s="76"/>
      <c r="L175" s="75"/>
      <c r="M175" s="49"/>
      <c r="N175" s="76"/>
      <c r="O175" s="49"/>
      <c r="P175" s="77"/>
      <c r="Q175" s="53"/>
      <c r="R175" s="54"/>
      <c r="S175" s="55"/>
      <c r="T175" s="56"/>
      <c r="U175" s="56"/>
      <c r="V175" s="42"/>
      <c r="W175" s="57"/>
      <c r="X175" s="58"/>
      <c r="Y175" s="75"/>
      <c r="Z175" s="59"/>
      <c r="AA175" s="61"/>
      <c r="AB175" s="61"/>
      <c r="AC175" s="61"/>
      <c r="AD175" s="62"/>
      <c r="AE175" s="62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</row>
    <row r="176" spans="1:77" x14ac:dyDescent="0.3">
      <c r="A176" s="39"/>
      <c r="B176" s="42"/>
      <c r="C176" s="42"/>
      <c r="D176" s="75"/>
      <c r="E176" s="75"/>
      <c r="F176" s="76"/>
      <c r="G176" s="47"/>
      <c r="H176" s="47"/>
      <c r="I176" s="75"/>
      <c r="J176" s="76"/>
      <c r="K176" s="76"/>
      <c r="L176" s="75"/>
      <c r="M176" s="49"/>
      <c r="N176" s="76"/>
      <c r="O176" s="49"/>
      <c r="P176" s="77"/>
      <c r="Q176" s="53"/>
      <c r="R176" s="54"/>
      <c r="S176" s="55"/>
      <c r="T176" s="56"/>
      <c r="U176" s="56"/>
      <c r="V176" s="42"/>
      <c r="W176" s="57"/>
      <c r="X176" s="58"/>
      <c r="Y176" s="75"/>
      <c r="Z176" s="59"/>
      <c r="AA176" s="61"/>
      <c r="AB176" s="61"/>
      <c r="AC176" s="61"/>
      <c r="AD176" s="62"/>
      <c r="AE176" s="62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</row>
    <row r="177" spans="1:77" x14ac:dyDescent="0.3">
      <c r="A177" s="39"/>
      <c r="B177" s="42"/>
      <c r="C177" s="42"/>
      <c r="D177" s="75"/>
      <c r="E177" s="75"/>
      <c r="F177" s="76"/>
      <c r="G177" s="47"/>
      <c r="H177" s="47"/>
      <c r="I177" s="75"/>
      <c r="J177" s="76"/>
      <c r="K177" s="76"/>
      <c r="L177" s="75"/>
      <c r="M177" s="49"/>
      <c r="N177" s="76"/>
      <c r="O177" s="49"/>
      <c r="P177" s="77"/>
      <c r="Q177" s="53"/>
      <c r="R177" s="54"/>
      <c r="S177" s="55"/>
      <c r="T177" s="56"/>
      <c r="U177" s="56"/>
      <c r="V177" s="42"/>
      <c r="W177" s="57"/>
      <c r="X177" s="58"/>
      <c r="Y177" s="75"/>
      <c r="Z177" s="59"/>
      <c r="AA177" s="61"/>
      <c r="AB177" s="61"/>
      <c r="AC177" s="61"/>
      <c r="AD177" s="62"/>
      <c r="AE177" s="62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</row>
    <row r="178" spans="1:77" x14ac:dyDescent="0.3">
      <c r="A178" s="39"/>
      <c r="B178" s="42"/>
      <c r="C178" s="42"/>
      <c r="D178" s="75"/>
      <c r="E178" s="75"/>
      <c r="F178" s="76"/>
      <c r="G178" s="47"/>
      <c r="H178" s="47"/>
      <c r="I178" s="75"/>
      <c r="J178" s="76"/>
      <c r="K178" s="76"/>
      <c r="L178" s="75"/>
      <c r="M178" s="49"/>
      <c r="N178" s="76"/>
      <c r="O178" s="49"/>
      <c r="P178" s="77"/>
      <c r="Q178" s="53"/>
      <c r="R178" s="54"/>
      <c r="S178" s="55"/>
      <c r="T178" s="56"/>
      <c r="U178" s="56"/>
      <c r="V178" s="42"/>
      <c r="W178" s="57"/>
      <c r="X178" s="58"/>
      <c r="Y178" s="75"/>
      <c r="Z178" s="59"/>
      <c r="AA178" s="61"/>
      <c r="AB178" s="61"/>
      <c r="AC178" s="61"/>
      <c r="AD178" s="62"/>
      <c r="AE178" s="62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</row>
    <row r="179" spans="1:77" x14ac:dyDescent="0.3">
      <c r="A179" s="39"/>
      <c r="B179" s="42"/>
      <c r="C179" s="42"/>
      <c r="D179" s="75"/>
      <c r="E179" s="75"/>
      <c r="F179" s="76"/>
      <c r="G179" s="47"/>
      <c r="H179" s="47"/>
      <c r="I179" s="75"/>
      <c r="J179" s="76"/>
      <c r="K179" s="76"/>
      <c r="L179" s="75"/>
      <c r="M179" s="49"/>
      <c r="N179" s="76"/>
      <c r="O179" s="49"/>
      <c r="P179" s="77"/>
      <c r="Q179" s="53"/>
      <c r="R179" s="54"/>
      <c r="S179" s="55"/>
      <c r="T179" s="56"/>
      <c r="U179" s="56"/>
      <c r="V179" s="42"/>
      <c r="W179" s="57"/>
      <c r="X179" s="58"/>
      <c r="Y179" s="75"/>
      <c r="Z179" s="59"/>
      <c r="AA179" s="61"/>
      <c r="AB179" s="61"/>
      <c r="AC179" s="61"/>
      <c r="AD179" s="62"/>
      <c r="AE179" s="62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</row>
    <row r="180" spans="1:77" x14ac:dyDescent="0.3">
      <c r="A180" s="39"/>
      <c r="B180" s="42"/>
      <c r="C180" s="42"/>
      <c r="D180" s="75"/>
      <c r="E180" s="75"/>
      <c r="F180" s="76"/>
      <c r="G180" s="47"/>
      <c r="H180" s="47"/>
      <c r="I180" s="75"/>
      <c r="J180" s="76"/>
      <c r="K180" s="76"/>
      <c r="L180" s="75"/>
      <c r="M180" s="49"/>
      <c r="N180" s="76"/>
      <c r="O180" s="49"/>
      <c r="P180" s="77"/>
      <c r="Q180" s="53"/>
      <c r="R180" s="54"/>
      <c r="S180" s="55"/>
      <c r="T180" s="56"/>
      <c r="U180" s="56"/>
      <c r="V180" s="42"/>
      <c r="W180" s="57"/>
      <c r="X180" s="58"/>
      <c r="Y180" s="75"/>
      <c r="Z180" s="59"/>
      <c r="AA180" s="61"/>
      <c r="AB180" s="61"/>
      <c r="AC180" s="61"/>
      <c r="AD180" s="62"/>
      <c r="AE180" s="62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</row>
    <row r="181" spans="1:77" x14ac:dyDescent="0.3">
      <c r="A181" s="39"/>
      <c r="B181" s="42"/>
      <c r="C181" s="42"/>
      <c r="D181" s="75"/>
      <c r="E181" s="75"/>
      <c r="F181" s="76"/>
      <c r="G181" s="47"/>
      <c r="H181" s="47"/>
      <c r="I181" s="75"/>
      <c r="J181" s="76"/>
      <c r="K181" s="76"/>
      <c r="L181" s="75"/>
      <c r="M181" s="49"/>
      <c r="N181" s="76"/>
      <c r="O181" s="49"/>
      <c r="P181" s="77"/>
      <c r="Q181" s="53"/>
      <c r="R181" s="54"/>
      <c r="S181" s="55"/>
      <c r="T181" s="56"/>
      <c r="U181" s="56"/>
      <c r="V181" s="42"/>
      <c r="W181" s="57"/>
      <c r="X181" s="58"/>
      <c r="Y181" s="75"/>
      <c r="Z181" s="59"/>
      <c r="AA181" s="61"/>
      <c r="AB181" s="61"/>
      <c r="AC181" s="61"/>
      <c r="AD181" s="62"/>
      <c r="AE181" s="62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</row>
    <row r="182" spans="1:77" x14ac:dyDescent="0.3">
      <c r="A182" s="39"/>
      <c r="B182" s="42"/>
      <c r="C182" s="42"/>
      <c r="D182" s="75"/>
      <c r="E182" s="75"/>
      <c r="F182" s="76"/>
      <c r="G182" s="47"/>
      <c r="H182" s="47"/>
      <c r="I182" s="75"/>
      <c r="J182" s="76"/>
      <c r="K182" s="76"/>
      <c r="L182" s="75"/>
      <c r="M182" s="49"/>
      <c r="N182" s="76"/>
      <c r="O182" s="49"/>
      <c r="P182" s="77"/>
      <c r="Q182" s="53"/>
      <c r="R182" s="54"/>
      <c r="S182" s="55"/>
      <c r="T182" s="56"/>
      <c r="U182" s="56"/>
      <c r="V182" s="42"/>
      <c r="W182" s="57"/>
      <c r="X182" s="58"/>
      <c r="Y182" s="75"/>
      <c r="Z182" s="59"/>
      <c r="AA182" s="61"/>
      <c r="AB182" s="61"/>
      <c r="AC182" s="61"/>
      <c r="AD182" s="62"/>
      <c r="AE182" s="62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</row>
    <row r="183" spans="1:77" x14ac:dyDescent="0.3">
      <c r="A183" s="39"/>
      <c r="B183" s="42"/>
      <c r="C183" s="42"/>
      <c r="D183" s="75"/>
      <c r="E183" s="75"/>
      <c r="F183" s="76"/>
      <c r="G183" s="47"/>
      <c r="H183" s="47"/>
      <c r="I183" s="75"/>
      <c r="J183" s="76"/>
      <c r="K183" s="76"/>
      <c r="L183" s="75"/>
      <c r="M183" s="49"/>
      <c r="N183" s="76"/>
      <c r="O183" s="49"/>
      <c r="P183" s="77"/>
      <c r="Q183" s="53"/>
      <c r="R183" s="54"/>
      <c r="S183" s="55"/>
      <c r="T183" s="56"/>
      <c r="U183" s="56"/>
      <c r="V183" s="42"/>
      <c r="W183" s="57"/>
      <c r="X183" s="58"/>
      <c r="Y183" s="75"/>
      <c r="Z183" s="59"/>
      <c r="AA183" s="61"/>
      <c r="AB183" s="61"/>
      <c r="AC183" s="61"/>
      <c r="AD183" s="62"/>
      <c r="AE183" s="62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</row>
    <row r="184" spans="1:77" x14ac:dyDescent="0.3">
      <c r="A184" s="39"/>
      <c r="B184" s="42"/>
      <c r="C184" s="42"/>
      <c r="D184" s="75"/>
      <c r="E184" s="75"/>
      <c r="F184" s="76"/>
      <c r="G184" s="47"/>
      <c r="H184" s="47"/>
      <c r="I184" s="75"/>
      <c r="J184" s="76"/>
      <c r="K184" s="76"/>
      <c r="L184" s="75"/>
      <c r="M184" s="49"/>
      <c r="N184" s="76"/>
      <c r="O184" s="49"/>
      <c r="P184" s="77"/>
      <c r="Q184" s="53"/>
      <c r="R184" s="54"/>
      <c r="S184" s="55"/>
      <c r="T184" s="56"/>
      <c r="U184" s="56"/>
      <c r="V184" s="42"/>
      <c r="W184" s="57"/>
      <c r="X184" s="58"/>
      <c r="Y184" s="75"/>
      <c r="Z184" s="59"/>
      <c r="AA184" s="61"/>
      <c r="AB184" s="61"/>
      <c r="AC184" s="61"/>
      <c r="AD184" s="62"/>
      <c r="AE184" s="62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</row>
    <row r="185" spans="1:77" x14ac:dyDescent="0.3">
      <c r="A185" s="39"/>
      <c r="B185" s="42"/>
      <c r="C185" s="42"/>
      <c r="D185" s="75"/>
      <c r="E185" s="75"/>
      <c r="F185" s="76"/>
      <c r="G185" s="47"/>
      <c r="H185" s="47"/>
      <c r="I185" s="75"/>
      <c r="J185" s="76"/>
      <c r="K185" s="76"/>
      <c r="L185" s="75"/>
      <c r="M185" s="49"/>
      <c r="N185" s="76"/>
      <c r="O185" s="49"/>
      <c r="P185" s="77"/>
      <c r="Q185" s="53"/>
      <c r="R185" s="54"/>
      <c r="S185" s="55"/>
      <c r="T185" s="56"/>
      <c r="U185" s="56"/>
      <c r="V185" s="42"/>
      <c r="W185" s="57"/>
      <c r="X185" s="58"/>
      <c r="Y185" s="75"/>
      <c r="Z185" s="59"/>
      <c r="AA185" s="61"/>
      <c r="AB185" s="61"/>
      <c r="AC185" s="61"/>
      <c r="AD185" s="62"/>
      <c r="AE185" s="62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</row>
    <row r="186" spans="1:77" x14ac:dyDescent="0.3">
      <c r="A186" s="39"/>
      <c r="B186" s="42"/>
      <c r="C186" s="42"/>
      <c r="D186" s="75"/>
      <c r="E186" s="75"/>
      <c r="F186" s="76"/>
      <c r="G186" s="47"/>
      <c r="H186" s="47"/>
      <c r="I186" s="75"/>
      <c r="J186" s="76"/>
      <c r="K186" s="76"/>
      <c r="L186" s="75"/>
      <c r="M186" s="49"/>
      <c r="N186" s="76"/>
      <c r="O186" s="49"/>
      <c r="P186" s="77"/>
      <c r="Q186" s="53"/>
      <c r="R186" s="54"/>
      <c r="S186" s="55"/>
      <c r="T186" s="56"/>
      <c r="U186" s="56"/>
      <c r="V186" s="42"/>
      <c r="W186" s="57"/>
      <c r="X186" s="58"/>
      <c r="Y186" s="75"/>
      <c r="Z186" s="59"/>
      <c r="AA186" s="61"/>
      <c r="AB186" s="61"/>
      <c r="AC186" s="61"/>
      <c r="AD186" s="62"/>
      <c r="AE186" s="62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</row>
    <row r="187" spans="1:77" x14ac:dyDescent="0.3">
      <c r="A187" s="39"/>
      <c r="B187" s="42"/>
      <c r="C187" s="42"/>
      <c r="D187" s="75"/>
      <c r="E187" s="75"/>
      <c r="F187" s="76"/>
      <c r="G187" s="47"/>
      <c r="H187" s="47"/>
      <c r="I187" s="75"/>
      <c r="J187" s="76"/>
      <c r="K187" s="76"/>
      <c r="L187" s="75"/>
      <c r="M187" s="49"/>
      <c r="N187" s="76"/>
      <c r="O187" s="49"/>
      <c r="P187" s="77"/>
      <c r="Q187" s="53"/>
      <c r="R187" s="54"/>
      <c r="S187" s="55"/>
      <c r="T187" s="56"/>
      <c r="U187" s="56"/>
      <c r="V187" s="42"/>
      <c r="W187" s="57"/>
      <c r="X187" s="58"/>
      <c r="Y187" s="75"/>
      <c r="Z187" s="59"/>
      <c r="AA187" s="61"/>
      <c r="AB187" s="61"/>
      <c r="AC187" s="61"/>
      <c r="AD187" s="62"/>
      <c r="AE187" s="62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</row>
    <row r="188" spans="1:77" x14ac:dyDescent="0.3">
      <c r="A188" s="39"/>
      <c r="B188" s="42"/>
      <c r="C188" s="42"/>
      <c r="D188" s="75"/>
      <c r="E188" s="75"/>
      <c r="F188" s="76"/>
      <c r="G188" s="47"/>
      <c r="H188" s="47"/>
      <c r="I188" s="75"/>
      <c r="J188" s="76"/>
      <c r="K188" s="76"/>
      <c r="L188" s="75"/>
      <c r="M188" s="49"/>
      <c r="N188" s="76"/>
      <c r="O188" s="49"/>
      <c r="P188" s="77"/>
      <c r="Q188" s="53"/>
      <c r="R188" s="54"/>
      <c r="S188" s="55"/>
      <c r="T188" s="56"/>
      <c r="U188" s="56"/>
      <c r="V188" s="42"/>
      <c r="W188" s="57"/>
      <c r="X188" s="58"/>
      <c r="Y188" s="75"/>
      <c r="Z188" s="59"/>
      <c r="AA188" s="61"/>
      <c r="AB188" s="61"/>
      <c r="AC188" s="61"/>
      <c r="AD188" s="62"/>
      <c r="AE188" s="62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</row>
    <row r="189" spans="1:77" x14ac:dyDescent="0.3">
      <c r="A189" s="39"/>
      <c r="B189" s="42"/>
      <c r="C189" s="42"/>
      <c r="D189" s="75"/>
      <c r="E189" s="75"/>
      <c r="F189" s="76"/>
      <c r="G189" s="47"/>
      <c r="H189" s="47"/>
      <c r="I189" s="75"/>
      <c r="J189" s="76"/>
      <c r="K189" s="76"/>
      <c r="L189" s="75"/>
      <c r="M189" s="49"/>
      <c r="N189" s="76"/>
      <c r="O189" s="49"/>
      <c r="P189" s="77"/>
      <c r="Q189" s="53"/>
      <c r="R189" s="54"/>
      <c r="S189" s="55"/>
      <c r="T189" s="56"/>
      <c r="U189" s="56"/>
      <c r="V189" s="42"/>
      <c r="W189" s="57"/>
      <c r="X189" s="58"/>
      <c r="Y189" s="75"/>
      <c r="Z189" s="59"/>
      <c r="AA189" s="61"/>
      <c r="AB189" s="61"/>
      <c r="AC189" s="61"/>
      <c r="AD189" s="62"/>
      <c r="AE189" s="62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</row>
    <row r="190" spans="1:77" x14ac:dyDescent="0.3">
      <c r="A190" s="39"/>
      <c r="B190" s="42"/>
      <c r="C190" s="42"/>
      <c r="D190" s="75"/>
      <c r="E190" s="75"/>
      <c r="F190" s="76"/>
      <c r="G190" s="47"/>
      <c r="H190" s="47"/>
      <c r="I190" s="75"/>
      <c r="J190" s="76"/>
      <c r="K190" s="76"/>
      <c r="L190" s="75"/>
      <c r="M190" s="49"/>
      <c r="N190" s="76"/>
      <c r="O190" s="49"/>
      <c r="P190" s="77"/>
      <c r="Q190" s="53"/>
      <c r="R190" s="54"/>
      <c r="S190" s="55"/>
      <c r="T190" s="56"/>
      <c r="U190" s="56"/>
      <c r="V190" s="42"/>
      <c r="W190" s="57"/>
      <c r="X190" s="58"/>
      <c r="Y190" s="75"/>
      <c r="Z190" s="59"/>
      <c r="AA190" s="61"/>
      <c r="AB190" s="61"/>
      <c r="AC190" s="61"/>
      <c r="AD190" s="62"/>
      <c r="AE190" s="62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</row>
    <row r="191" spans="1:77" x14ac:dyDescent="0.3">
      <c r="A191" s="39"/>
      <c r="B191" s="42"/>
      <c r="C191" s="42"/>
      <c r="D191" s="75"/>
      <c r="E191" s="75"/>
      <c r="F191" s="76"/>
      <c r="G191" s="47"/>
      <c r="H191" s="47"/>
      <c r="I191" s="75"/>
      <c r="J191" s="76"/>
      <c r="K191" s="76"/>
      <c r="L191" s="75"/>
      <c r="M191" s="49"/>
      <c r="N191" s="76"/>
      <c r="O191" s="49"/>
      <c r="P191" s="77"/>
      <c r="Q191" s="53"/>
      <c r="R191" s="54"/>
      <c r="S191" s="55"/>
      <c r="T191" s="56"/>
      <c r="U191" s="56"/>
      <c r="V191" s="42"/>
      <c r="W191" s="57"/>
      <c r="X191" s="58"/>
      <c r="Y191" s="75"/>
      <c r="Z191" s="59"/>
      <c r="AA191" s="61"/>
      <c r="AB191" s="61"/>
      <c r="AC191" s="61"/>
      <c r="AD191" s="62"/>
      <c r="AE191" s="62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</row>
    <row r="192" spans="1:77" x14ac:dyDescent="0.3">
      <c r="A192" s="39"/>
      <c r="B192" s="42"/>
      <c r="C192" s="42"/>
      <c r="D192" s="75"/>
      <c r="E192" s="75"/>
      <c r="F192" s="76"/>
      <c r="G192" s="47"/>
      <c r="H192" s="47"/>
      <c r="I192" s="75"/>
      <c r="J192" s="76"/>
      <c r="K192" s="76"/>
      <c r="L192" s="75"/>
      <c r="M192" s="49"/>
      <c r="N192" s="76"/>
      <c r="O192" s="49"/>
      <c r="P192" s="77"/>
      <c r="Q192" s="53"/>
      <c r="R192" s="54"/>
      <c r="S192" s="55"/>
      <c r="T192" s="56"/>
      <c r="U192" s="56"/>
      <c r="V192" s="42"/>
      <c r="W192" s="57"/>
      <c r="X192" s="58"/>
      <c r="Y192" s="75"/>
      <c r="Z192" s="59"/>
      <c r="AA192" s="61"/>
      <c r="AB192" s="61"/>
      <c r="AC192" s="61"/>
      <c r="AD192" s="62"/>
      <c r="AE192" s="62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</row>
    <row r="193" spans="1:77" x14ac:dyDescent="0.3">
      <c r="A193" s="39"/>
      <c r="B193" s="42"/>
      <c r="C193" s="42"/>
      <c r="D193" s="75"/>
      <c r="E193" s="75"/>
      <c r="F193" s="76"/>
      <c r="G193" s="47"/>
      <c r="H193" s="47"/>
      <c r="I193" s="75"/>
      <c r="J193" s="76"/>
      <c r="K193" s="76"/>
      <c r="L193" s="75"/>
      <c r="M193" s="49"/>
      <c r="N193" s="76"/>
      <c r="O193" s="49"/>
      <c r="P193" s="77"/>
      <c r="Q193" s="53"/>
      <c r="R193" s="54"/>
      <c r="S193" s="55"/>
      <c r="T193" s="56"/>
      <c r="U193" s="56"/>
      <c r="V193" s="42"/>
      <c r="W193" s="57"/>
      <c r="X193" s="58"/>
      <c r="Y193" s="75"/>
      <c r="Z193" s="59"/>
      <c r="AA193" s="61"/>
      <c r="AB193" s="61"/>
      <c r="AC193" s="61"/>
      <c r="AD193" s="62"/>
      <c r="AE193" s="62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</row>
    <row r="194" spans="1:77" x14ac:dyDescent="0.3">
      <c r="A194" s="39"/>
      <c r="B194" s="42"/>
      <c r="C194" s="42"/>
      <c r="D194" s="75"/>
      <c r="E194" s="75"/>
      <c r="F194" s="76"/>
      <c r="G194" s="47"/>
      <c r="H194" s="47"/>
      <c r="I194" s="75"/>
      <c r="J194" s="76"/>
      <c r="K194" s="76"/>
      <c r="L194" s="75"/>
      <c r="M194" s="49"/>
      <c r="N194" s="76"/>
      <c r="O194" s="49"/>
      <c r="P194" s="77"/>
      <c r="Q194" s="53"/>
      <c r="R194" s="54"/>
      <c r="S194" s="55"/>
      <c r="T194" s="56"/>
      <c r="U194" s="56"/>
      <c r="V194" s="42"/>
      <c r="W194" s="57"/>
      <c r="X194" s="58"/>
      <c r="Y194" s="75"/>
      <c r="Z194" s="59"/>
      <c r="AA194" s="61"/>
      <c r="AB194" s="61"/>
      <c r="AC194" s="61"/>
      <c r="AD194" s="62"/>
      <c r="AE194" s="62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</row>
    <row r="195" spans="1:77" x14ac:dyDescent="0.3">
      <c r="A195" s="39"/>
      <c r="B195" s="42"/>
      <c r="C195" s="42"/>
      <c r="D195" s="75"/>
      <c r="E195" s="75"/>
      <c r="F195" s="76"/>
      <c r="G195" s="47"/>
      <c r="H195" s="47"/>
      <c r="I195" s="75"/>
      <c r="J195" s="76"/>
      <c r="K195" s="76"/>
      <c r="L195" s="75"/>
      <c r="M195" s="49"/>
      <c r="N195" s="76"/>
      <c r="O195" s="49"/>
      <c r="P195" s="77"/>
      <c r="Q195" s="53"/>
      <c r="R195" s="54"/>
      <c r="S195" s="55"/>
      <c r="T195" s="56"/>
      <c r="U195" s="56"/>
      <c r="V195" s="42"/>
      <c r="W195" s="57"/>
      <c r="X195" s="58"/>
      <c r="Y195" s="75"/>
      <c r="Z195" s="59"/>
      <c r="AA195" s="61"/>
      <c r="AB195" s="61"/>
      <c r="AC195" s="61"/>
      <c r="AD195" s="62"/>
      <c r="AE195" s="62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</row>
    <row r="196" spans="1:77" x14ac:dyDescent="0.3">
      <c r="A196" s="39"/>
      <c r="B196" s="42"/>
      <c r="C196" s="42"/>
      <c r="D196" s="75"/>
      <c r="E196" s="75"/>
      <c r="F196" s="76"/>
      <c r="G196" s="47"/>
      <c r="H196" s="47"/>
      <c r="I196" s="75"/>
      <c r="J196" s="76"/>
      <c r="K196" s="76"/>
      <c r="L196" s="75"/>
      <c r="M196" s="49"/>
      <c r="N196" s="76"/>
      <c r="O196" s="49"/>
      <c r="P196" s="77"/>
      <c r="Q196" s="53"/>
      <c r="R196" s="54"/>
      <c r="S196" s="55"/>
      <c r="T196" s="56"/>
      <c r="U196" s="56"/>
      <c r="V196" s="42"/>
      <c r="W196" s="57"/>
      <c r="X196" s="58"/>
      <c r="Y196" s="75"/>
      <c r="Z196" s="59"/>
      <c r="AA196" s="61"/>
      <c r="AB196" s="61"/>
      <c r="AC196" s="61"/>
      <c r="AD196" s="62"/>
      <c r="AE196" s="62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</row>
    <row r="197" spans="1:77" x14ac:dyDescent="0.3">
      <c r="A197" s="39"/>
      <c r="B197" s="42"/>
      <c r="C197" s="42"/>
      <c r="D197" s="75"/>
      <c r="E197" s="75"/>
      <c r="F197" s="76"/>
      <c r="G197" s="47"/>
      <c r="H197" s="47"/>
      <c r="I197" s="75"/>
      <c r="J197" s="76"/>
      <c r="K197" s="76"/>
      <c r="L197" s="75"/>
      <c r="M197" s="49"/>
      <c r="N197" s="76"/>
      <c r="O197" s="49"/>
      <c r="P197" s="77"/>
      <c r="Q197" s="53"/>
      <c r="R197" s="54"/>
      <c r="S197" s="55"/>
      <c r="T197" s="56"/>
      <c r="U197" s="56"/>
      <c r="V197" s="42"/>
      <c r="W197" s="57"/>
      <c r="X197" s="58"/>
      <c r="Y197" s="75"/>
      <c r="Z197" s="59"/>
      <c r="AA197" s="61"/>
      <c r="AB197" s="61"/>
      <c r="AC197" s="61"/>
      <c r="AD197" s="62"/>
      <c r="AE197" s="62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</row>
    <row r="198" spans="1:77" x14ac:dyDescent="0.3">
      <c r="A198" s="39"/>
      <c r="B198" s="42"/>
      <c r="C198" s="42"/>
      <c r="D198" s="75"/>
      <c r="E198" s="75"/>
      <c r="F198" s="76"/>
      <c r="G198" s="47"/>
      <c r="H198" s="47"/>
      <c r="I198" s="75"/>
      <c r="J198" s="76"/>
      <c r="K198" s="76"/>
      <c r="L198" s="75"/>
      <c r="M198" s="49"/>
      <c r="N198" s="76"/>
      <c r="O198" s="49"/>
      <c r="P198" s="77"/>
      <c r="Q198" s="53"/>
      <c r="R198" s="54"/>
      <c r="S198" s="55"/>
      <c r="T198" s="56"/>
      <c r="U198" s="56"/>
      <c r="V198" s="42"/>
      <c r="W198" s="57"/>
      <c r="X198" s="58"/>
      <c r="Y198" s="75"/>
      <c r="Z198" s="59"/>
      <c r="AA198" s="61"/>
      <c r="AB198" s="61"/>
      <c r="AC198" s="61"/>
      <c r="AD198" s="62"/>
      <c r="AE198" s="62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</row>
    <row r="199" spans="1:77" x14ac:dyDescent="0.3">
      <c r="A199" s="39"/>
      <c r="B199" s="42"/>
      <c r="C199" s="42"/>
      <c r="D199" s="75"/>
      <c r="E199" s="75"/>
      <c r="F199" s="76"/>
      <c r="G199" s="47"/>
      <c r="H199" s="47"/>
      <c r="I199" s="75"/>
      <c r="J199" s="76"/>
      <c r="K199" s="76"/>
      <c r="L199" s="75"/>
      <c r="M199" s="49"/>
      <c r="N199" s="76"/>
      <c r="O199" s="49"/>
      <c r="P199" s="77"/>
      <c r="Q199" s="53"/>
      <c r="R199" s="54"/>
      <c r="S199" s="55"/>
      <c r="T199" s="56"/>
      <c r="U199" s="56"/>
      <c r="V199" s="42"/>
      <c r="W199" s="57"/>
      <c r="X199" s="58"/>
      <c r="Y199" s="75"/>
      <c r="Z199" s="59"/>
      <c r="AA199" s="61"/>
      <c r="AB199" s="61"/>
      <c r="AC199" s="61"/>
      <c r="AD199" s="62"/>
      <c r="AE199" s="62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</row>
    <row r="200" spans="1:77" x14ac:dyDescent="0.3">
      <c r="A200" s="39"/>
      <c r="B200" s="42"/>
      <c r="C200" s="42"/>
      <c r="D200" s="75"/>
      <c r="E200" s="75"/>
      <c r="F200" s="76"/>
      <c r="G200" s="47"/>
      <c r="H200" s="47"/>
      <c r="I200" s="75"/>
      <c r="J200" s="76"/>
      <c r="K200" s="76"/>
      <c r="L200" s="75"/>
      <c r="M200" s="49"/>
      <c r="N200" s="76"/>
      <c r="O200" s="49"/>
      <c r="P200" s="77"/>
      <c r="Q200" s="53"/>
      <c r="R200" s="54"/>
      <c r="S200" s="55"/>
      <c r="T200" s="56"/>
      <c r="U200" s="56"/>
      <c r="V200" s="42"/>
      <c r="W200" s="57"/>
      <c r="X200" s="58"/>
      <c r="Y200" s="75"/>
      <c r="Z200" s="59"/>
      <c r="AA200" s="61"/>
      <c r="AB200" s="61"/>
      <c r="AC200" s="61"/>
      <c r="AD200" s="62"/>
      <c r="AE200" s="62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</row>
    <row r="201" spans="1:77" x14ac:dyDescent="0.3">
      <c r="A201" s="39"/>
      <c r="B201" s="42"/>
      <c r="C201" s="42"/>
      <c r="D201" s="75"/>
      <c r="E201" s="75"/>
      <c r="F201" s="76"/>
      <c r="G201" s="47"/>
      <c r="H201" s="47"/>
      <c r="I201" s="75"/>
      <c r="J201" s="76"/>
      <c r="K201" s="76"/>
      <c r="L201" s="75"/>
      <c r="M201" s="49"/>
      <c r="N201" s="76"/>
      <c r="O201" s="49"/>
      <c r="P201" s="77"/>
      <c r="Q201" s="53"/>
      <c r="R201" s="54"/>
      <c r="S201" s="55"/>
      <c r="T201" s="56"/>
      <c r="U201" s="56"/>
      <c r="V201" s="42"/>
      <c r="W201" s="57"/>
      <c r="X201" s="58"/>
      <c r="Y201" s="75"/>
      <c r="Z201" s="59"/>
      <c r="AA201" s="61"/>
      <c r="AB201" s="61"/>
      <c r="AC201" s="61"/>
      <c r="AD201" s="62"/>
      <c r="AE201" s="62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</row>
    <row r="202" spans="1:77" x14ac:dyDescent="0.3">
      <c r="A202" s="39"/>
      <c r="B202" s="42"/>
      <c r="C202" s="42"/>
      <c r="D202" s="75"/>
      <c r="E202" s="75"/>
      <c r="F202" s="76"/>
      <c r="G202" s="47"/>
      <c r="H202" s="47"/>
      <c r="I202" s="75"/>
      <c r="J202" s="76"/>
      <c r="K202" s="76"/>
      <c r="L202" s="75"/>
      <c r="M202" s="49"/>
      <c r="N202" s="76"/>
      <c r="O202" s="49"/>
      <c r="P202" s="77"/>
      <c r="Q202" s="53"/>
      <c r="R202" s="54"/>
      <c r="S202" s="55"/>
      <c r="T202" s="56"/>
      <c r="U202" s="56"/>
      <c r="V202" s="42"/>
      <c r="W202" s="57"/>
      <c r="X202" s="58"/>
      <c r="Y202" s="75"/>
      <c r="Z202" s="59"/>
      <c r="AA202" s="61"/>
      <c r="AB202" s="61"/>
      <c r="AC202" s="61"/>
      <c r="AD202" s="62"/>
      <c r="AE202" s="62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</row>
    <row r="203" spans="1:77" x14ac:dyDescent="0.3">
      <c r="A203" s="39"/>
      <c r="B203" s="42"/>
      <c r="C203" s="42"/>
      <c r="D203" s="75"/>
      <c r="E203" s="75"/>
      <c r="F203" s="76"/>
      <c r="G203" s="47"/>
      <c r="H203" s="47"/>
      <c r="I203" s="75"/>
      <c r="J203" s="76"/>
      <c r="K203" s="76"/>
      <c r="L203" s="75"/>
      <c r="M203" s="49"/>
      <c r="N203" s="76"/>
      <c r="O203" s="49"/>
      <c r="P203" s="77"/>
      <c r="Q203" s="53"/>
      <c r="R203" s="54"/>
      <c r="S203" s="55"/>
      <c r="T203" s="56"/>
      <c r="U203" s="56"/>
      <c r="V203" s="42"/>
      <c r="W203" s="57"/>
      <c r="X203" s="58"/>
      <c r="Y203" s="75"/>
      <c r="Z203" s="59"/>
      <c r="AA203" s="61"/>
      <c r="AB203" s="61"/>
      <c r="AC203" s="61"/>
      <c r="AD203" s="62"/>
      <c r="AE203" s="62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</row>
    <row r="204" spans="1:77" x14ac:dyDescent="0.3">
      <c r="A204" s="39"/>
      <c r="B204" s="42"/>
      <c r="C204" s="42"/>
      <c r="D204" s="75"/>
      <c r="E204" s="75"/>
      <c r="F204" s="76"/>
      <c r="G204" s="47"/>
      <c r="H204" s="47"/>
      <c r="I204" s="75"/>
      <c r="J204" s="76"/>
      <c r="K204" s="76"/>
      <c r="L204" s="75"/>
      <c r="M204" s="49"/>
      <c r="N204" s="76"/>
      <c r="O204" s="49"/>
      <c r="P204" s="77"/>
      <c r="Q204" s="53"/>
      <c r="R204" s="54"/>
      <c r="S204" s="55"/>
      <c r="T204" s="56"/>
      <c r="U204" s="56"/>
      <c r="V204" s="42"/>
      <c r="W204" s="57"/>
      <c r="X204" s="58"/>
      <c r="Y204" s="75"/>
      <c r="Z204" s="59"/>
      <c r="AA204" s="61"/>
      <c r="AB204" s="61"/>
      <c r="AC204" s="61"/>
      <c r="AD204" s="62"/>
      <c r="AE204" s="62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</row>
    <row r="205" spans="1:77" x14ac:dyDescent="0.3">
      <c r="A205" s="39"/>
      <c r="B205" s="42"/>
      <c r="C205" s="42"/>
      <c r="D205" s="75"/>
      <c r="E205" s="75"/>
      <c r="F205" s="76"/>
      <c r="G205" s="47"/>
      <c r="H205" s="47"/>
      <c r="I205" s="75"/>
      <c r="J205" s="76"/>
      <c r="K205" s="76"/>
      <c r="L205" s="75"/>
      <c r="M205" s="49"/>
      <c r="N205" s="76"/>
      <c r="O205" s="49"/>
      <c r="P205" s="77"/>
      <c r="Q205" s="53"/>
      <c r="R205" s="54"/>
      <c r="S205" s="55"/>
      <c r="T205" s="56"/>
      <c r="U205" s="56"/>
      <c r="V205" s="42"/>
      <c r="W205" s="57"/>
      <c r="X205" s="58"/>
      <c r="Y205" s="75"/>
      <c r="Z205" s="59"/>
      <c r="AA205" s="61"/>
      <c r="AB205" s="61"/>
      <c r="AC205" s="61"/>
      <c r="AD205" s="62"/>
      <c r="AE205" s="62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</row>
    <row r="206" spans="1:77" x14ac:dyDescent="0.3">
      <c r="A206" s="39"/>
      <c r="B206" s="42"/>
      <c r="C206" s="42"/>
      <c r="D206" s="75"/>
      <c r="E206" s="75"/>
      <c r="F206" s="76"/>
      <c r="G206" s="47"/>
      <c r="H206" s="47"/>
      <c r="I206" s="75"/>
      <c r="J206" s="76"/>
      <c r="K206" s="76"/>
      <c r="L206" s="75"/>
      <c r="M206" s="49"/>
      <c r="N206" s="76"/>
      <c r="O206" s="49"/>
      <c r="P206" s="77"/>
      <c r="Q206" s="53"/>
      <c r="R206" s="54"/>
      <c r="S206" s="55"/>
      <c r="T206" s="56"/>
      <c r="U206" s="56"/>
      <c r="V206" s="42"/>
      <c r="W206" s="57"/>
      <c r="X206" s="58"/>
      <c r="Y206" s="75"/>
      <c r="Z206" s="59"/>
      <c r="AA206" s="61"/>
      <c r="AB206" s="61"/>
      <c r="AC206" s="61"/>
      <c r="AD206" s="62"/>
      <c r="AE206" s="62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</row>
    <row r="207" spans="1:77" x14ac:dyDescent="0.3">
      <c r="A207" s="39"/>
      <c r="B207" s="42"/>
      <c r="C207" s="42"/>
      <c r="D207" s="75"/>
      <c r="E207" s="75"/>
      <c r="F207" s="76"/>
      <c r="G207" s="47"/>
      <c r="H207" s="47"/>
      <c r="I207" s="75"/>
      <c r="J207" s="76"/>
      <c r="K207" s="76"/>
      <c r="L207" s="75"/>
      <c r="M207" s="49"/>
      <c r="N207" s="76"/>
      <c r="O207" s="49"/>
      <c r="P207" s="77"/>
      <c r="Q207" s="53"/>
      <c r="R207" s="54"/>
      <c r="S207" s="55"/>
      <c r="T207" s="56"/>
      <c r="U207" s="56"/>
      <c r="V207" s="42"/>
      <c r="W207" s="57"/>
      <c r="X207" s="58"/>
      <c r="Y207" s="75"/>
      <c r="Z207" s="59"/>
      <c r="AA207" s="61"/>
      <c r="AB207" s="61"/>
      <c r="AC207" s="61"/>
      <c r="AD207" s="62"/>
      <c r="AE207" s="62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</row>
    <row r="208" spans="1:77" x14ac:dyDescent="0.3">
      <c r="A208" s="39"/>
      <c r="B208" s="42"/>
      <c r="C208" s="42"/>
      <c r="D208" s="75"/>
      <c r="E208" s="75"/>
      <c r="F208" s="76"/>
      <c r="G208" s="47"/>
      <c r="H208" s="47"/>
      <c r="I208" s="75"/>
      <c r="J208" s="76"/>
      <c r="K208" s="76"/>
      <c r="L208" s="75"/>
      <c r="M208" s="49"/>
      <c r="N208" s="76"/>
      <c r="O208" s="49"/>
      <c r="P208" s="77"/>
      <c r="Q208" s="53"/>
      <c r="R208" s="54"/>
      <c r="S208" s="55"/>
      <c r="T208" s="56"/>
      <c r="U208" s="56"/>
      <c r="V208" s="42"/>
      <c r="W208" s="57"/>
      <c r="X208" s="58"/>
      <c r="Y208" s="75"/>
      <c r="Z208" s="59"/>
      <c r="AA208" s="61"/>
      <c r="AB208" s="61"/>
      <c r="AC208" s="61"/>
      <c r="AD208" s="62"/>
      <c r="AE208" s="62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</row>
    <row r="209" spans="1:77" x14ac:dyDescent="0.3">
      <c r="A209" s="39"/>
      <c r="B209" s="42"/>
      <c r="C209" s="42"/>
      <c r="D209" s="75"/>
      <c r="E209" s="75"/>
      <c r="F209" s="76"/>
      <c r="G209" s="47"/>
      <c r="H209" s="47"/>
      <c r="I209" s="75"/>
      <c r="J209" s="76"/>
      <c r="K209" s="76"/>
      <c r="L209" s="75"/>
      <c r="M209" s="49"/>
      <c r="N209" s="76"/>
      <c r="O209" s="49"/>
      <c r="P209" s="77"/>
      <c r="Q209" s="53"/>
      <c r="R209" s="54"/>
      <c r="S209" s="55"/>
      <c r="T209" s="56"/>
      <c r="U209" s="56"/>
      <c r="V209" s="42"/>
      <c r="W209" s="57"/>
      <c r="X209" s="58"/>
      <c r="Y209" s="75"/>
      <c r="Z209" s="59"/>
      <c r="AA209" s="61"/>
      <c r="AB209" s="61"/>
      <c r="AC209" s="61"/>
      <c r="AD209" s="62"/>
      <c r="AE209" s="62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</row>
    <row r="210" spans="1:77" x14ac:dyDescent="0.3">
      <c r="A210" s="39"/>
      <c r="B210" s="42"/>
      <c r="C210" s="42"/>
      <c r="D210" s="75"/>
      <c r="E210" s="75"/>
      <c r="F210" s="76"/>
      <c r="G210" s="47"/>
      <c r="H210" s="47"/>
      <c r="I210" s="75"/>
      <c r="J210" s="76"/>
      <c r="K210" s="76"/>
      <c r="L210" s="75"/>
      <c r="M210" s="49"/>
      <c r="N210" s="76"/>
      <c r="O210" s="49"/>
      <c r="P210" s="77"/>
      <c r="Q210" s="53"/>
      <c r="R210" s="54"/>
      <c r="S210" s="55"/>
      <c r="T210" s="56"/>
      <c r="U210" s="56"/>
      <c r="V210" s="42"/>
      <c r="W210" s="57"/>
      <c r="X210" s="58"/>
      <c r="Y210" s="75"/>
      <c r="Z210" s="59"/>
      <c r="AA210" s="61"/>
      <c r="AB210" s="61"/>
      <c r="AC210" s="61"/>
      <c r="AD210" s="62"/>
      <c r="AE210" s="62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</row>
    <row r="211" spans="1:77" x14ac:dyDescent="0.3">
      <c r="A211" s="39"/>
      <c r="B211" s="42"/>
      <c r="C211" s="42"/>
      <c r="D211" s="75"/>
      <c r="E211" s="75"/>
      <c r="F211" s="76"/>
      <c r="G211" s="47"/>
      <c r="H211" s="47"/>
      <c r="I211" s="75"/>
      <c r="J211" s="76"/>
      <c r="K211" s="76"/>
      <c r="L211" s="75"/>
      <c r="M211" s="49"/>
      <c r="N211" s="76"/>
      <c r="O211" s="49"/>
      <c r="P211" s="77"/>
      <c r="Q211" s="53"/>
      <c r="R211" s="54"/>
      <c r="S211" s="55"/>
      <c r="T211" s="56"/>
      <c r="U211" s="56"/>
      <c r="V211" s="42"/>
      <c r="W211" s="57"/>
      <c r="X211" s="58"/>
      <c r="Y211" s="75"/>
      <c r="Z211" s="59"/>
      <c r="AA211" s="61"/>
      <c r="AB211" s="61"/>
      <c r="AC211" s="61"/>
      <c r="AD211" s="62"/>
      <c r="AE211" s="62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</row>
    <row r="212" spans="1:77" x14ac:dyDescent="0.3">
      <c r="A212" s="39"/>
      <c r="B212" s="42"/>
      <c r="C212" s="42"/>
      <c r="D212" s="75"/>
      <c r="E212" s="75"/>
      <c r="F212" s="76"/>
      <c r="G212" s="47"/>
      <c r="H212" s="47"/>
      <c r="I212" s="75"/>
      <c r="J212" s="76"/>
      <c r="K212" s="76"/>
      <c r="L212" s="75"/>
      <c r="M212" s="49"/>
      <c r="N212" s="76"/>
      <c r="O212" s="49"/>
      <c r="P212" s="77"/>
      <c r="Q212" s="53"/>
      <c r="R212" s="54"/>
      <c r="S212" s="55"/>
      <c r="T212" s="56"/>
      <c r="U212" s="56"/>
      <c r="V212" s="42"/>
      <c r="W212" s="57"/>
      <c r="X212" s="58"/>
      <c r="Y212" s="75"/>
      <c r="Z212" s="59"/>
      <c r="AA212" s="61"/>
      <c r="AB212" s="61"/>
      <c r="AC212" s="61"/>
      <c r="AD212" s="62"/>
      <c r="AE212" s="62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</row>
    <row r="213" spans="1:77" x14ac:dyDescent="0.3">
      <c r="A213" s="39"/>
      <c r="B213" s="42"/>
      <c r="C213" s="42"/>
      <c r="D213" s="75"/>
      <c r="E213" s="75"/>
      <c r="F213" s="76"/>
      <c r="G213" s="47"/>
      <c r="H213" s="47"/>
      <c r="I213" s="75"/>
      <c r="J213" s="76"/>
      <c r="K213" s="76"/>
      <c r="L213" s="75"/>
      <c r="M213" s="49"/>
      <c r="N213" s="76"/>
      <c r="O213" s="49"/>
      <c r="P213" s="77"/>
      <c r="Q213" s="53"/>
      <c r="R213" s="54"/>
      <c r="S213" s="55"/>
      <c r="T213" s="56"/>
      <c r="U213" s="56"/>
      <c r="V213" s="42"/>
      <c r="W213" s="57"/>
      <c r="X213" s="58"/>
      <c r="Y213" s="75"/>
      <c r="Z213" s="59"/>
      <c r="AA213" s="61"/>
      <c r="AB213" s="61"/>
      <c r="AC213" s="61"/>
      <c r="AD213" s="62"/>
      <c r="AE213" s="62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</row>
    <row r="214" spans="1:77" x14ac:dyDescent="0.3">
      <c r="A214" s="39"/>
      <c r="B214" s="42"/>
      <c r="C214" s="42"/>
      <c r="D214" s="75"/>
      <c r="E214" s="75"/>
      <c r="F214" s="76"/>
      <c r="G214" s="47"/>
      <c r="H214" s="47"/>
      <c r="I214" s="75"/>
      <c r="J214" s="76"/>
      <c r="K214" s="76"/>
      <c r="L214" s="75"/>
      <c r="M214" s="49"/>
      <c r="N214" s="76"/>
      <c r="O214" s="49"/>
      <c r="P214" s="77"/>
      <c r="Q214" s="53"/>
      <c r="R214" s="54"/>
      <c r="S214" s="55"/>
      <c r="T214" s="56"/>
      <c r="U214" s="56"/>
      <c r="V214" s="42"/>
      <c r="W214" s="57"/>
      <c r="X214" s="58"/>
      <c r="Y214" s="75"/>
      <c r="Z214" s="59"/>
      <c r="AA214" s="61"/>
      <c r="AB214" s="61"/>
      <c r="AC214" s="61"/>
      <c r="AD214" s="62"/>
      <c r="AE214" s="62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</row>
    <row r="215" spans="1:77" x14ac:dyDescent="0.3">
      <c r="A215" s="39"/>
      <c r="B215" s="42"/>
      <c r="C215" s="42"/>
      <c r="D215" s="75"/>
      <c r="E215" s="75"/>
      <c r="F215" s="76"/>
      <c r="G215" s="47"/>
      <c r="H215" s="47"/>
      <c r="I215" s="75"/>
      <c r="J215" s="76"/>
      <c r="K215" s="76"/>
      <c r="L215" s="75"/>
      <c r="M215" s="49"/>
      <c r="N215" s="76"/>
      <c r="O215" s="49"/>
      <c r="P215" s="77"/>
      <c r="Q215" s="53"/>
      <c r="R215" s="54"/>
      <c r="S215" s="55"/>
      <c r="T215" s="56"/>
      <c r="U215" s="56"/>
      <c r="V215" s="42"/>
      <c r="W215" s="57"/>
      <c r="X215" s="58"/>
      <c r="Y215" s="75"/>
      <c r="Z215" s="59"/>
      <c r="AA215" s="61"/>
      <c r="AB215" s="61"/>
      <c r="AC215" s="61"/>
      <c r="AD215" s="62"/>
      <c r="AE215" s="62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</row>
    <row r="216" spans="1:77" x14ac:dyDescent="0.3">
      <c r="A216" s="39"/>
      <c r="B216" s="42"/>
      <c r="C216" s="42"/>
      <c r="D216" s="75"/>
      <c r="E216" s="75"/>
      <c r="F216" s="76"/>
      <c r="G216" s="47"/>
      <c r="H216" s="47"/>
      <c r="I216" s="75"/>
      <c r="J216" s="76"/>
      <c r="K216" s="76"/>
      <c r="L216" s="75"/>
      <c r="M216" s="49"/>
      <c r="N216" s="76"/>
      <c r="O216" s="49"/>
      <c r="P216" s="77"/>
      <c r="Q216" s="53"/>
      <c r="R216" s="54"/>
      <c r="S216" s="55"/>
      <c r="T216" s="56"/>
      <c r="U216" s="56"/>
      <c r="V216" s="42"/>
      <c r="W216" s="57"/>
      <c r="X216" s="58"/>
      <c r="Y216" s="75"/>
      <c r="Z216" s="59"/>
      <c r="AA216" s="61"/>
      <c r="AB216" s="61"/>
      <c r="AC216" s="61"/>
      <c r="AD216" s="62"/>
      <c r="AE216" s="62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</row>
    <row r="217" spans="1:77" x14ac:dyDescent="0.3">
      <c r="A217" s="39"/>
      <c r="B217" s="42"/>
      <c r="C217" s="42"/>
      <c r="D217" s="75"/>
      <c r="E217" s="75"/>
      <c r="F217" s="76"/>
      <c r="G217" s="47"/>
      <c r="H217" s="47"/>
      <c r="I217" s="75"/>
      <c r="J217" s="76"/>
      <c r="K217" s="76"/>
      <c r="L217" s="75"/>
      <c r="M217" s="49"/>
      <c r="N217" s="76"/>
      <c r="O217" s="49"/>
      <c r="P217" s="77"/>
      <c r="Q217" s="53"/>
      <c r="R217" s="54"/>
      <c r="S217" s="55"/>
      <c r="T217" s="56"/>
      <c r="U217" s="56"/>
      <c r="V217" s="42"/>
      <c r="W217" s="57"/>
      <c r="X217" s="58"/>
      <c r="Y217" s="75"/>
      <c r="Z217" s="59"/>
      <c r="AA217" s="61"/>
      <c r="AB217" s="61"/>
      <c r="AC217" s="61"/>
      <c r="AD217" s="62"/>
      <c r="AE217" s="62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</row>
    <row r="218" spans="1:77" x14ac:dyDescent="0.3">
      <c r="A218" s="39"/>
      <c r="B218" s="42"/>
      <c r="C218" s="42"/>
      <c r="D218" s="75"/>
      <c r="E218" s="75"/>
      <c r="F218" s="76"/>
      <c r="G218" s="47"/>
      <c r="H218" s="47"/>
      <c r="I218" s="75"/>
      <c r="J218" s="76"/>
      <c r="K218" s="76"/>
      <c r="L218" s="75"/>
      <c r="M218" s="49"/>
      <c r="N218" s="76"/>
      <c r="O218" s="49"/>
      <c r="P218" s="77"/>
      <c r="Q218" s="53"/>
      <c r="R218" s="54"/>
      <c r="S218" s="55"/>
      <c r="T218" s="56"/>
      <c r="U218" s="56"/>
      <c r="V218" s="42"/>
      <c r="W218" s="57"/>
      <c r="X218" s="58"/>
      <c r="Y218" s="75"/>
      <c r="Z218" s="59"/>
      <c r="AA218" s="61"/>
      <c r="AB218" s="61"/>
      <c r="AC218" s="61"/>
      <c r="AD218" s="62"/>
      <c r="AE218" s="62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</row>
    <row r="219" spans="1:77" x14ac:dyDescent="0.3">
      <c r="A219" s="39"/>
      <c r="B219" s="42"/>
      <c r="C219" s="42"/>
      <c r="D219" s="75"/>
      <c r="E219" s="75"/>
      <c r="F219" s="76"/>
      <c r="G219" s="47"/>
      <c r="H219" s="47"/>
      <c r="I219" s="75"/>
      <c r="J219" s="76"/>
      <c r="K219" s="76"/>
      <c r="L219" s="75"/>
      <c r="M219" s="49"/>
      <c r="N219" s="76"/>
      <c r="O219" s="49"/>
      <c r="P219" s="77"/>
      <c r="Q219" s="53"/>
      <c r="R219" s="54"/>
      <c r="S219" s="55"/>
      <c r="T219" s="56"/>
      <c r="U219" s="56"/>
      <c r="V219" s="42"/>
      <c r="W219" s="57"/>
      <c r="X219" s="58"/>
      <c r="Y219" s="75"/>
      <c r="Z219" s="59"/>
      <c r="AA219" s="61"/>
      <c r="AB219" s="61"/>
      <c r="AC219" s="61"/>
      <c r="AD219" s="62"/>
      <c r="AE219" s="62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</row>
    <row r="220" spans="1:77" x14ac:dyDescent="0.3">
      <c r="A220" s="39"/>
      <c r="B220" s="42"/>
      <c r="C220" s="42"/>
      <c r="D220" s="75"/>
      <c r="E220" s="75"/>
      <c r="F220" s="76"/>
      <c r="G220" s="47"/>
      <c r="H220" s="47"/>
      <c r="I220" s="75"/>
      <c r="J220" s="76"/>
      <c r="K220" s="76"/>
      <c r="L220" s="75"/>
      <c r="M220" s="49"/>
      <c r="N220" s="76"/>
      <c r="O220" s="49"/>
      <c r="P220" s="77"/>
      <c r="Q220" s="53"/>
      <c r="R220" s="54"/>
      <c r="S220" s="55"/>
      <c r="T220" s="56"/>
      <c r="U220" s="56"/>
      <c r="V220" s="42"/>
      <c r="W220" s="57"/>
      <c r="X220" s="58"/>
      <c r="Y220" s="75"/>
      <c r="Z220" s="59"/>
      <c r="AA220" s="61"/>
      <c r="AB220" s="61"/>
      <c r="AC220" s="61"/>
      <c r="AD220" s="62"/>
      <c r="AE220" s="62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</row>
    <row r="221" spans="1:77" x14ac:dyDescent="0.3">
      <c r="A221" s="39"/>
      <c r="B221" s="42"/>
      <c r="C221" s="42"/>
      <c r="D221" s="75"/>
      <c r="E221" s="75"/>
      <c r="F221" s="76"/>
      <c r="G221" s="47"/>
      <c r="H221" s="47"/>
      <c r="I221" s="75"/>
      <c r="J221" s="76"/>
      <c r="K221" s="76"/>
      <c r="L221" s="75"/>
      <c r="M221" s="49"/>
      <c r="N221" s="76"/>
      <c r="O221" s="49"/>
      <c r="P221" s="77"/>
      <c r="Q221" s="53"/>
      <c r="R221" s="54"/>
      <c r="S221" s="55"/>
      <c r="T221" s="56"/>
      <c r="U221" s="56"/>
      <c r="V221" s="42"/>
      <c r="W221" s="57"/>
      <c r="X221" s="58"/>
      <c r="Y221" s="75"/>
      <c r="Z221" s="59"/>
      <c r="AA221" s="61"/>
      <c r="AB221" s="61"/>
      <c r="AC221" s="61"/>
      <c r="AD221" s="62"/>
      <c r="AE221" s="62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</row>
    <row r="222" spans="1:77" x14ac:dyDescent="0.3">
      <c r="A222" s="39"/>
      <c r="B222" s="42"/>
      <c r="C222" s="42"/>
      <c r="D222" s="75"/>
      <c r="E222" s="75"/>
      <c r="F222" s="76"/>
      <c r="G222" s="47"/>
      <c r="H222" s="47"/>
      <c r="I222" s="75"/>
      <c r="J222" s="76"/>
      <c r="K222" s="76"/>
      <c r="L222" s="75"/>
      <c r="M222" s="49"/>
      <c r="N222" s="76"/>
      <c r="O222" s="49"/>
      <c r="P222" s="77"/>
      <c r="Q222" s="53"/>
      <c r="R222" s="54"/>
      <c r="S222" s="55"/>
      <c r="T222" s="56"/>
      <c r="U222" s="56"/>
      <c r="V222" s="42"/>
      <c r="W222" s="57"/>
      <c r="X222" s="58"/>
      <c r="Y222" s="75"/>
      <c r="Z222" s="59"/>
      <c r="AA222" s="61"/>
      <c r="AB222" s="61"/>
      <c r="AC222" s="61"/>
      <c r="AD222" s="62"/>
      <c r="AE222" s="62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</row>
    <row r="223" spans="1:77" x14ac:dyDescent="0.3">
      <c r="A223" s="39"/>
      <c r="B223" s="42"/>
      <c r="C223" s="42"/>
      <c r="D223" s="75"/>
      <c r="E223" s="75"/>
      <c r="F223" s="76"/>
      <c r="G223" s="47"/>
      <c r="H223" s="47"/>
      <c r="I223" s="75"/>
      <c r="J223" s="76"/>
      <c r="K223" s="76"/>
      <c r="L223" s="75"/>
      <c r="M223" s="49"/>
      <c r="N223" s="76"/>
      <c r="O223" s="49"/>
      <c r="P223" s="77"/>
      <c r="Q223" s="53"/>
      <c r="R223" s="54"/>
      <c r="S223" s="55"/>
      <c r="T223" s="56"/>
      <c r="U223" s="56"/>
      <c r="V223" s="42"/>
      <c r="W223" s="57"/>
      <c r="X223" s="58"/>
      <c r="Y223" s="75"/>
      <c r="Z223" s="59"/>
      <c r="AA223" s="61"/>
      <c r="AB223" s="61"/>
      <c r="AC223" s="61"/>
      <c r="AD223" s="62"/>
      <c r="AE223" s="62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</row>
    <row r="224" spans="1:77" x14ac:dyDescent="0.3">
      <c r="A224" s="39"/>
      <c r="B224" s="42"/>
      <c r="C224" s="42"/>
      <c r="D224" s="75"/>
      <c r="E224" s="75"/>
      <c r="F224" s="76"/>
      <c r="G224" s="47"/>
      <c r="H224" s="47"/>
      <c r="I224" s="75"/>
      <c r="J224" s="76"/>
      <c r="K224" s="76"/>
      <c r="L224" s="75"/>
      <c r="M224" s="49"/>
      <c r="N224" s="76"/>
      <c r="O224" s="49"/>
      <c r="P224" s="77"/>
      <c r="Q224" s="53"/>
      <c r="R224" s="54"/>
      <c r="S224" s="55"/>
      <c r="T224" s="56"/>
      <c r="U224" s="56"/>
      <c r="V224" s="42"/>
      <c r="W224" s="57"/>
      <c r="X224" s="58"/>
      <c r="Y224" s="75"/>
      <c r="Z224" s="59"/>
      <c r="AA224" s="61"/>
      <c r="AB224" s="61"/>
      <c r="AC224" s="61"/>
      <c r="AD224" s="62"/>
      <c r="AE224" s="62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</row>
    <row r="225" spans="1:77" x14ac:dyDescent="0.3">
      <c r="A225" s="39"/>
      <c r="B225" s="42"/>
      <c r="C225" s="42"/>
      <c r="D225" s="75"/>
      <c r="E225" s="75"/>
      <c r="F225" s="76"/>
      <c r="G225" s="47"/>
      <c r="H225" s="47"/>
      <c r="I225" s="75"/>
      <c r="J225" s="76"/>
      <c r="K225" s="76"/>
      <c r="L225" s="75"/>
      <c r="M225" s="49"/>
      <c r="N225" s="76"/>
      <c r="O225" s="49"/>
      <c r="P225" s="77"/>
      <c r="Q225" s="53"/>
      <c r="R225" s="54"/>
      <c r="S225" s="55"/>
      <c r="T225" s="56"/>
      <c r="U225" s="56"/>
      <c r="V225" s="42"/>
      <c r="W225" s="57"/>
      <c r="X225" s="58"/>
      <c r="Y225" s="75"/>
      <c r="Z225" s="59"/>
      <c r="AA225" s="61"/>
      <c r="AB225" s="61"/>
      <c r="AC225" s="61"/>
      <c r="AD225" s="62"/>
      <c r="AE225" s="62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</row>
    <row r="226" spans="1:77" x14ac:dyDescent="0.3">
      <c r="A226" s="39"/>
      <c r="B226" s="42"/>
      <c r="C226" s="42"/>
      <c r="D226" s="75"/>
      <c r="E226" s="75"/>
      <c r="F226" s="76"/>
      <c r="G226" s="47"/>
      <c r="H226" s="47"/>
      <c r="I226" s="75"/>
      <c r="J226" s="76"/>
      <c r="K226" s="76"/>
      <c r="L226" s="75"/>
      <c r="M226" s="49"/>
      <c r="N226" s="76"/>
      <c r="O226" s="49"/>
      <c r="P226" s="77"/>
      <c r="Q226" s="53"/>
      <c r="R226" s="54"/>
      <c r="S226" s="55"/>
      <c r="T226" s="56"/>
      <c r="U226" s="56"/>
      <c r="V226" s="42"/>
      <c r="W226" s="57"/>
      <c r="X226" s="58"/>
      <c r="Y226" s="75"/>
      <c r="Z226" s="59"/>
      <c r="AA226" s="61"/>
      <c r="AB226" s="61"/>
      <c r="AC226" s="61"/>
      <c r="AD226" s="62"/>
      <c r="AE226" s="62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</row>
    <row r="227" spans="1:77" x14ac:dyDescent="0.3">
      <c r="A227" s="39"/>
      <c r="B227" s="42"/>
      <c r="C227" s="42"/>
      <c r="D227" s="75"/>
      <c r="E227" s="75"/>
      <c r="F227" s="76"/>
      <c r="G227" s="47"/>
      <c r="H227" s="47"/>
      <c r="I227" s="75"/>
      <c r="J227" s="76"/>
      <c r="K227" s="76"/>
      <c r="L227" s="75"/>
      <c r="M227" s="49"/>
      <c r="N227" s="76"/>
      <c r="O227" s="49"/>
      <c r="P227" s="77"/>
      <c r="Q227" s="53"/>
      <c r="R227" s="54"/>
      <c r="S227" s="55"/>
      <c r="T227" s="56"/>
      <c r="U227" s="56"/>
      <c r="V227" s="42"/>
      <c r="W227" s="57"/>
      <c r="X227" s="58"/>
      <c r="Y227" s="75"/>
      <c r="Z227" s="59"/>
      <c r="AA227" s="61"/>
      <c r="AB227" s="61"/>
      <c r="AC227" s="61"/>
      <c r="AD227" s="62"/>
      <c r="AE227" s="62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</row>
    <row r="228" spans="1:77" x14ac:dyDescent="0.3">
      <c r="A228" s="39"/>
      <c r="B228" s="42"/>
      <c r="C228" s="42"/>
      <c r="D228" s="75"/>
      <c r="E228" s="75"/>
      <c r="F228" s="76"/>
      <c r="G228" s="47"/>
      <c r="H228" s="47"/>
      <c r="I228" s="75"/>
      <c r="J228" s="76"/>
      <c r="K228" s="76"/>
      <c r="L228" s="75"/>
      <c r="M228" s="49"/>
      <c r="N228" s="76"/>
      <c r="O228" s="49"/>
      <c r="P228" s="77"/>
      <c r="Q228" s="53"/>
      <c r="R228" s="54"/>
      <c r="S228" s="55"/>
      <c r="T228" s="56"/>
      <c r="U228" s="56"/>
      <c r="V228" s="42"/>
      <c r="W228" s="57"/>
      <c r="X228" s="58"/>
      <c r="Y228" s="75"/>
      <c r="Z228" s="59"/>
      <c r="AA228" s="61"/>
      <c r="AB228" s="61"/>
      <c r="AC228" s="61"/>
      <c r="AD228" s="62"/>
      <c r="AE228" s="62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</row>
    <row r="229" spans="1:77" x14ac:dyDescent="0.3">
      <c r="A229" s="39"/>
      <c r="B229" s="42"/>
      <c r="C229" s="42"/>
      <c r="D229" s="75"/>
      <c r="E229" s="75"/>
      <c r="F229" s="76"/>
      <c r="G229" s="47"/>
      <c r="H229" s="47"/>
      <c r="I229" s="75"/>
      <c r="J229" s="76"/>
      <c r="K229" s="76"/>
      <c r="L229" s="75"/>
      <c r="M229" s="49"/>
      <c r="N229" s="76"/>
      <c r="O229" s="49"/>
      <c r="P229" s="77"/>
      <c r="Q229" s="53"/>
      <c r="R229" s="54"/>
      <c r="S229" s="55"/>
      <c r="T229" s="56"/>
      <c r="U229" s="56"/>
      <c r="V229" s="42"/>
      <c r="W229" s="57"/>
      <c r="X229" s="58"/>
      <c r="Y229" s="75"/>
      <c r="Z229" s="59"/>
      <c r="AA229" s="61"/>
      <c r="AB229" s="61"/>
      <c r="AC229" s="61"/>
      <c r="AD229" s="62"/>
      <c r="AE229" s="62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</row>
    <row r="230" spans="1:77" x14ac:dyDescent="0.3">
      <c r="A230" s="39"/>
      <c r="B230" s="42"/>
      <c r="C230" s="42"/>
      <c r="D230" s="75"/>
      <c r="E230" s="75"/>
      <c r="F230" s="76"/>
      <c r="G230" s="47"/>
      <c r="H230" s="47"/>
      <c r="I230" s="75"/>
      <c r="J230" s="76"/>
      <c r="K230" s="76"/>
      <c r="L230" s="75"/>
      <c r="M230" s="49"/>
      <c r="N230" s="76"/>
      <c r="O230" s="49"/>
      <c r="P230" s="77"/>
      <c r="Q230" s="53"/>
      <c r="R230" s="54"/>
      <c r="S230" s="55"/>
      <c r="T230" s="56"/>
      <c r="U230" s="56"/>
      <c r="V230" s="42"/>
      <c r="W230" s="57"/>
      <c r="X230" s="58"/>
      <c r="Y230" s="75"/>
      <c r="Z230" s="59"/>
      <c r="AA230" s="61"/>
      <c r="AB230" s="61"/>
      <c r="AC230" s="61"/>
      <c r="AD230" s="62"/>
      <c r="AE230" s="62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</row>
    <row r="231" spans="1:77" x14ac:dyDescent="0.3">
      <c r="A231" s="39"/>
      <c r="B231" s="42"/>
      <c r="C231" s="42"/>
      <c r="D231" s="75"/>
      <c r="E231" s="75"/>
      <c r="F231" s="76"/>
      <c r="G231" s="47"/>
      <c r="H231" s="47"/>
      <c r="I231" s="75"/>
      <c r="J231" s="76"/>
      <c r="K231" s="76"/>
      <c r="L231" s="75"/>
      <c r="M231" s="49"/>
      <c r="N231" s="76"/>
      <c r="O231" s="49"/>
      <c r="P231" s="77"/>
      <c r="Q231" s="53"/>
      <c r="R231" s="54"/>
      <c r="S231" s="55"/>
      <c r="T231" s="56"/>
      <c r="U231" s="56"/>
      <c r="V231" s="42"/>
      <c r="W231" s="57"/>
      <c r="X231" s="58"/>
      <c r="Y231" s="75"/>
      <c r="Z231" s="59"/>
      <c r="AA231" s="61"/>
      <c r="AB231" s="61"/>
      <c r="AC231" s="61"/>
      <c r="AD231" s="62"/>
      <c r="AE231" s="62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</row>
    <row r="232" spans="1:77" x14ac:dyDescent="0.3">
      <c r="A232" s="39"/>
      <c r="B232" s="42"/>
      <c r="C232" s="42"/>
      <c r="D232" s="75"/>
      <c r="E232" s="75"/>
      <c r="F232" s="76"/>
      <c r="G232" s="47"/>
      <c r="H232" s="47"/>
      <c r="I232" s="75"/>
      <c r="J232" s="76"/>
      <c r="K232" s="76"/>
      <c r="L232" s="75"/>
      <c r="M232" s="49"/>
      <c r="N232" s="76"/>
      <c r="O232" s="49"/>
      <c r="P232" s="77"/>
      <c r="Q232" s="53"/>
      <c r="R232" s="54"/>
      <c r="S232" s="55"/>
      <c r="T232" s="56"/>
      <c r="U232" s="56"/>
      <c r="V232" s="42"/>
      <c r="W232" s="57"/>
      <c r="X232" s="58"/>
      <c r="Y232" s="75"/>
      <c r="Z232" s="59"/>
      <c r="AA232" s="61"/>
      <c r="AB232" s="61"/>
      <c r="AC232" s="61"/>
      <c r="AD232" s="62"/>
      <c r="AE232" s="62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</row>
    <row r="233" spans="1:77" x14ac:dyDescent="0.3">
      <c r="A233" s="39"/>
      <c r="B233" s="42"/>
      <c r="C233" s="42"/>
      <c r="D233" s="75"/>
      <c r="E233" s="75"/>
      <c r="F233" s="76"/>
      <c r="G233" s="47"/>
      <c r="H233" s="47"/>
      <c r="I233" s="75"/>
      <c r="J233" s="76"/>
      <c r="K233" s="76"/>
      <c r="L233" s="75"/>
      <c r="M233" s="49"/>
      <c r="N233" s="76"/>
      <c r="O233" s="49"/>
      <c r="P233" s="77"/>
      <c r="Q233" s="53"/>
      <c r="R233" s="54"/>
      <c r="S233" s="55"/>
      <c r="T233" s="56"/>
      <c r="U233" s="56"/>
      <c r="V233" s="42"/>
      <c r="W233" s="57"/>
      <c r="X233" s="58"/>
      <c r="Y233" s="75"/>
      <c r="Z233" s="59"/>
      <c r="AA233" s="61"/>
      <c r="AB233" s="61"/>
      <c r="AC233" s="61"/>
      <c r="AD233" s="62"/>
      <c r="AE233" s="62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</row>
    <row r="234" spans="1:77" x14ac:dyDescent="0.3">
      <c r="A234" s="39"/>
      <c r="B234" s="42"/>
      <c r="C234" s="42"/>
      <c r="D234" s="75"/>
      <c r="E234" s="75"/>
      <c r="F234" s="76"/>
      <c r="G234" s="47"/>
      <c r="H234" s="47"/>
      <c r="I234" s="75"/>
      <c r="J234" s="76"/>
      <c r="K234" s="76"/>
      <c r="L234" s="75"/>
      <c r="M234" s="49"/>
      <c r="N234" s="76"/>
      <c r="O234" s="49"/>
      <c r="P234" s="77"/>
      <c r="Q234" s="53"/>
      <c r="R234" s="54"/>
      <c r="S234" s="55"/>
      <c r="T234" s="56"/>
      <c r="U234" s="56"/>
      <c r="V234" s="42"/>
      <c r="W234" s="57"/>
      <c r="X234" s="58"/>
      <c r="Y234" s="75"/>
      <c r="Z234" s="59"/>
      <c r="AA234" s="61"/>
      <c r="AB234" s="61"/>
      <c r="AC234" s="61"/>
      <c r="AD234" s="62"/>
      <c r="AE234" s="62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</row>
    <row r="235" spans="1:77" x14ac:dyDescent="0.3">
      <c r="A235" s="39"/>
      <c r="B235" s="42"/>
      <c r="C235" s="42"/>
      <c r="D235" s="75"/>
      <c r="E235" s="75"/>
      <c r="F235" s="76"/>
      <c r="G235" s="47"/>
      <c r="H235" s="47"/>
      <c r="I235" s="75"/>
      <c r="J235" s="76"/>
      <c r="K235" s="76"/>
      <c r="L235" s="75"/>
      <c r="M235" s="49"/>
      <c r="N235" s="76"/>
      <c r="O235" s="49"/>
      <c r="P235" s="77"/>
      <c r="Q235" s="53"/>
      <c r="R235" s="54"/>
      <c r="S235" s="55"/>
      <c r="T235" s="56"/>
      <c r="U235" s="56"/>
      <c r="V235" s="42"/>
      <c r="W235" s="57"/>
      <c r="X235" s="58"/>
      <c r="Y235" s="75"/>
      <c r="Z235" s="59"/>
      <c r="AA235" s="61"/>
      <c r="AB235" s="61"/>
      <c r="AC235" s="61"/>
      <c r="AD235" s="62"/>
      <c r="AE235" s="62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</row>
    <row r="236" spans="1:77" x14ac:dyDescent="0.3">
      <c r="A236" s="39"/>
      <c r="B236" s="42"/>
      <c r="C236" s="42"/>
      <c r="D236" s="75"/>
      <c r="E236" s="75"/>
      <c r="F236" s="76"/>
      <c r="G236" s="47"/>
      <c r="H236" s="47"/>
      <c r="I236" s="75"/>
      <c r="J236" s="76"/>
      <c r="K236" s="76"/>
      <c r="L236" s="75"/>
      <c r="M236" s="49"/>
      <c r="N236" s="76"/>
      <c r="O236" s="49"/>
      <c r="P236" s="77"/>
      <c r="Q236" s="53"/>
      <c r="R236" s="54"/>
      <c r="S236" s="55"/>
      <c r="T236" s="56"/>
      <c r="U236" s="56"/>
      <c r="V236" s="42"/>
      <c r="W236" s="57"/>
      <c r="X236" s="58"/>
      <c r="Y236" s="75"/>
      <c r="Z236" s="59"/>
      <c r="AA236" s="61"/>
      <c r="AB236" s="61"/>
      <c r="AC236" s="61"/>
      <c r="AD236" s="62"/>
      <c r="AE236" s="62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</row>
    <row r="237" spans="1:77" x14ac:dyDescent="0.3">
      <c r="A237" s="39"/>
      <c r="B237" s="42"/>
      <c r="C237" s="42"/>
      <c r="D237" s="75"/>
      <c r="E237" s="75"/>
      <c r="F237" s="76"/>
      <c r="G237" s="47"/>
      <c r="H237" s="47"/>
      <c r="I237" s="75"/>
      <c r="J237" s="76"/>
      <c r="K237" s="76"/>
      <c r="L237" s="75"/>
      <c r="M237" s="49"/>
      <c r="N237" s="76"/>
      <c r="O237" s="49"/>
      <c r="P237" s="77"/>
      <c r="Q237" s="53"/>
      <c r="R237" s="54"/>
      <c r="S237" s="55"/>
      <c r="T237" s="56"/>
      <c r="U237" s="56"/>
      <c r="V237" s="42"/>
      <c r="W237" s="57"/>
      <c r="X237" s="58"/>
      <c r="Y237" s="75"/>
      <c r="Z237" s="59"/>
      <c r="AA237" s="61"/>
      <c r="AB237" s="61"/>
      <c r="AC237" s="61"/>
      <c r="AD237" s="62"/>
      <c r="AE237" s="62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</row>
    <row r="238" spans="1:77" x14ac:dyDescent="0.3">
      <c r="A238" s="39"/>
      <c r="B238" s="42"/>
      <c r="C238" s="42"/>
      <c r="D238" s="75"/>
      <c r="E238" s="75"/>
      <c r="F238" s="76"/>
      <c r="G238" s="47"/>
      <c r="H238" s="47"/>
      <c r="I238" s="75"/>
      <c r="J238" s="76"/>
      <c r="K238" s="76"/>
      <c r="L238" s="75"/>
      <c r="M238" s="49"/>
      <c r="N238" s="76"/>
      <c r="O238" s="49"/>
      <c r="P238" s="77"/>
      <c r="Q238" s="53"/>
      <c r="R238" s="54"/>
      <c r="S238" s="55"/>
      <c r="T238" s="56"/>
      <c r="U238" s="56"/>
      <c r="V238" s="42"/>
      <c r="W238" s="57"/>
      <c r="X238" s="58"/>
      <c r="Y238" s="75"/>
      <c r="Z238" s="59"/>
      <c r="AA238" s="61"/>
      <c r="AB238" s="61"/>
      <c r="AC238" s="61"/>
      <c r="AD238" s="62"/>
      <c r="AE238" s="62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</row>
    <row r="239" spans="1:77" x14ac:dyDescent="0.3">
      <c r="A239" s="39"/>
      <c r="B239" s="42"/>
      <c r="C239" s="42"/>
      <c r="D239" s="75"/>
      <c r="E239" s="75"/>
      <c r="F239" s="76"/>
      <c r="G239" s="47"/>
      <c r="H239" s="47"/>
      <c r="I239" s="75"/>
      <c r="J239" s="76"/>
      <c r="K239" s="76"/>
      <c r="L239" s="75"/>
      <c r="M239" s="49"/>
      <c r="N239" s="76"/>
      <c r="O239" s="49"/>
      <c r="P239" s="77"/>
      <c r="Q239" s="53"/>
      <c r="R239" s="54"/>
      <c r="S239" s="55"/>
      <c r="T239" s="56"/>
      <c r="U239" s="56"/>
      <c r="V239" s="42"/>
      <c r="W239" s="57"/>
      <c r="X239" s="58"/>
      <c r="Y239" s="75"/>
      <c r="Z239" s="59"/>
      <c r="AA239" s="61"/>
      <c r="AB239" s="61"/>
      <c r="AC239" s="61"/>
      <c r="AD239" s="62"/>
      <c r="AE239" s="62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</row>
    <row r="240" spans="1:77" x14ac:dyDescent="0.3">
      <c r="A240" s="39"/>
      <c r="B240" s="42"/>
      <c r="C240" s="42"/>
      <c r="D240" s="75"/>
      <c r="E240" s="75"/>
      <c r="F240" s="76"/>
      <c r="G240" s="47"/>
      <c r="H240" s="47"/>
      <c r="I240" s="75"/>
      <c r="J240" s="76"/>
      <c r="K240" s="76"/>
      <c r="L240" s="75"/>
      <c r="M240" s="49"/>
      <c r="N240" s="76"/>
      <c r="O240" s="49"/>
      <c r="P240" s="77"/>
      <c r="Q240" s="53"/>
      <c r="R240" s="54"/>
      <c r="S240" s="55"/>
      <c r="T240" s="56"/>
      <c r="U240" s="56"/>
      <c r="V240" s="42"/>
      <c r="W240" s="57"/>
      <c r="X240" s="58"/>
      <c r="Y240" s="75"/>
      <c r="Z240" s="59"/>
      <c r="AA240" s="61"/>
      <c r="AB240" s="61"/>
      <c r="AC240" s="61"/>
      <c r="AD240" s="62"/>
      <c r="AE240" s="62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</row>
    <row r="241" spans="1:77" x14ac:dyDescent="0.3">
      <c r="A241" s="39"/>
      <c r="B241" s="42"/>
      <c r="C241" s="42"/>
      <c r="D241" s="75"/>
      <c r="E241" s="75"/>
      <c r="F241" s="76"/>
      <c r="G241" s="47"/>
      <c r="H241" s="47"/>
      <c r="I241" s="75"/>
      <c r="J241" s="76"/>
      <c r="K241" s="76"/>
      <c r="L241" s="75"/>
      <c r="M241" s="49"/>
      <c r="N241" s="76"/>
      <c r="O241" s="49"/>
      <c r="P241" s="77"/>
      <c r="Q241" s="53"/>
      <c r="R241" s="54"/>
      <c r="S241" s="55"/>
      <c r="T241" s="56"/>
      <c r="U241" s="56"/>
      <c r="V241" s="42"/>
      <c r="W241" s="57"/>
      <c r="X241" s="58"/>
      <c r="Y241" s="75"/>
      <c r="Z241" s="59"/>
      <c r="AA241" s="61"/>
      <c r="AB241" s="61"/>
      <c r="AC241" s="61"/>
      <c r="AD241" s="62"/>
      <c r="AE241" s="62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</row>
    <row r="242" spans="1:77" x14ac:dyDescent="0.3">
      <c r="A242" s="39"/>
      <c r="B242" s="42"/>
      <c r="C242" s="42"/>
      <c r="D242" s="75"/>
      <c r="E242" s="75"/>
      <c r="F242" s="76"/>
      <c r="G242" s="47"/>
      <c r="H242" s="47"/>
      <c r="I242" s="75"/>
      <c r="J242" s="76"/>
      <c r="K242" s="76"/>
      <c r="L242" s="75"/>
      <c r="M242" s="49"/>
      <c r="N242" s="76"/>
      <c r="O242" s="49"/>
      <c r="P242" s="77"/>
      <c r="Q242" s="53"/>
      <c r="R242" s="54"/>
      <c r="S242" s="55"/>
      <c r="T242" s="56"/>
      <c r="U242" s="56"/>
      <c r="V242" s="42"/>
      <c r="W242" s="57"/>
      <c r="X242" s="58"/>
      <c r="Y242" s="75"/>
      <c r="Z242" s="59"/>
      <c r="AA242" s="61"/>
      <c r="AB242" s="61"/>
      <c r="AC242" s="61"/>
      <c r="AD242" s="62"/>
      <c r="AE242" s="62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</row>
    <row r="243" spans="1:77" x14ac:dyDescent="0.3">
      <c r="A243" s="39"/>
      <c r="B243" s="42"/>
      <c r="C243" s="42"/>
      <c r="D243" s="75"/>
      <c r="E243" s="75"/>
      <c r="F243" s="76"/>
      <c r="G243" s="47"/>
      <c r="H243" s="47"/>
      <c r="I243" s="75"/>
      <c r="J243" s="76"/>
      <c r="K243" s="76"/>
      <c r="L243" s="75"/>
      <c r="M243" s="49"/>
      <c r="N243" s="76"/>
      <c r="O243" s="49"/>
      <c r="P243" s="77"/>
      <c r="Q243" s="53"/>
      <c r="R243" s="54"/>
      <c r="S243" s="55"/>
      <c r="T243" s="56"/>
      <c r="U243" s="56"/>
      <c r="V243" s="42"/>
      <c r="W243" s="57"/>
      <c r="X243" s="58"/>
      <c r="Y243" s="75"/>
      <c r="Z243" s="59"/>
      <c r="AA243" s="61"/>
      <c r="AB243" s="61"/>
      <c r="AC243" s="61"/>
      <c r="AD243" s="62"/>
      <c r="AE243" s="62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</row>
    <row r="244" spans="1:77" x14ac:dyDescent="0.3">
      <c r="A244" s="39"/>
      <c r="B244" s="42"/>
      <c r="C244" s="42"/>
      <c r="D244" s="75"/>
      <c r="E244" s="75"/>
      <c r="F244" s="76"/>
      <c r="G244" s="47"/>
      <c r="H244" s="47"/>
      <c r="I244" s="75"/>
      <c r="J244" s="76"/>
      <c r="K244" s="76"/>
      <c r="L244" s="75"/>
      <c r="M244" s="49"/>
      <c r="N244" s="76"/>
      <c r="O244" s="49"/>
      <c r="P244" s="77"/>
      <c r="Q244" s="53"/>
      <c r="R244" s="54"/>
      <c r="S244" s="55"/>
      <c r="T244" s="56"/>
      <c r="U244" s="56"/>
      <c r="V244" s="42"/>
      <c r="W244" s="57"/>
      <c r="X244" s="58"/>
      <c r="Y244" s="75"/>
      <c r="Z244" s="59"/>
      <c r="AA244" s="61"/>
      <c r="AB244" s="61"/>
      <c r="AC244" s="61"/>
      <c r="AD244" s="62"/>
      <c r="AE244" s="62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</row>
    <row r="245" spans="1:77" x14ac:dyDescent="0.3">
      <c r="A245" s="39"/>
      <c r="B245" s="42"/>
      <c r="C245" s="42"/>
      <c r="D245" s="75"/>
      <c r="E245" s="75"/>
      <c r="F245" s="76"/>
      <c r="G245" s="47"/>
      <c r="H245" s="47"/>
      <c r="I245" s="75"/>
      <c r="J245" s="76"/>
      <c r="K245" s="76"/>
      <c r="L245" s="75"/>
      <c r="M245" s="49"/>
      <c r="N245" s="76"/>
      <c r="O245" s="49"/>
      <c r="P245" s="77"/>
      <c r="Q245" s="53"/>
      <c r="R245" s="54"/>
      <c r="S245" s="55"/>
      <c r="T245" s="56"/>
      <c r="U245" s="56"/>
      <c r="V245" s="42"/>
      <c r="W245" s="57"/>
      <c r="X245" s="58"/>
      <c r="Y245" s="75"/>
      <c r="Z245" s="59"/>
      <c r="AA245" s="61"/>
      <c r="AB245" s="61"/>
      <c r="AC245" s="61"/>
      <c r="AD245" s="62"/>
      <c r="AE245" s="62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</row>
    <row r="246" spans="1:77" x14ac:dyDescent="0.3">
      <c r="A246" s="39"/>
      <c r="B246" s="42"/>
      <c r="C246" s="42"/>
      <c r="D246" s="75"/>
      <c r="E246" s="75"/>
      <c r="F246" s="76"/>
      <c r="G246" s="47"/>
      <c r="H246" s="47"/>
      <c r="I246" s="75"/>
      <c r="J246" s="76"/>
      <c r="K246" s="76"/>
      <c r="L246" s="75"/>
      <c r="M246" s="49"/>
      <c r="N246" s="76"/>
      <c r="O246" s="49"/>
      <c r="P246" s="77"/>
      <c r="Q246" s="53"/>
      <c r="R246" s="54"/>
      <c r="S246" s="55"/>
      <c r="T246" s="56"/>
      <c r="U246" s="56"/>
      <c r="V246" s="42"/>
      <c r="W246" s="57"/>
      <c r="X246" s="58"/>
      <c r="Y246" s="75"/>
      <c r="Z246" s="59"/>
      <c r="AA246" s="61"/>
      <c r="AB246" s="61"/>
      <c r="AC246" s="61"/>
      <c r="AD246" s="62"/>
      <c r="AE246" s="62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</row>
    <row r="247" spans="1:77" x14ac:dyDescent="0.3">
      <c r="A247" s="39"/>
      <c r="B247" s="42"/>
      <c r="C247" s="42"/>
      <c r="D247" s="75"/>
      <c r="E247" s="75"/>
      <c r="F247" s="76"/>
      <c r="G247" s="47"/>
      <c r="H247" s="47"/>
      <c r="I247" s="75"/>
      <c r="J247" s="76"/>
      <c r="K247" s="76"/>
      <c r="L247" s="75"/>
      <c r="M247" s="49"/>
      <c r="N247" s="76"/>
      <c r="O247" s="49"/>
      <c r="P247" s="77"/>
      <c r="Q247" s="53"/>
      <c r="R247" s="54"/>
      <c r="S247" s="55"/>
      <c r="T247" s="56"/>
      <c r="U247" s="56"/>
      <c r="V247" s="42"/>
      <c r="W247" s="57"/>
      <c r="X247" s="58"/>
      <c r="Y247" s="75"/>
      <c r="Z247" s="59"/>
      <c r="AA247" s="61"/>
      <c r="AB247" s="61"/>
      <c r="AC247" s="61"/>
      <c r="AD247" s="62"/>
      <c r="AE247" s="62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</row>
    <row r="248" spans="1:77" x14ac:dyDescent="0.3">
      <c r="A248" s="39"/>
      <c r="B248" s="42"/>
      <c r="C248" s="42"/>
      <c r="D248" s="75"/>
      <c r="E248" s="75"/>
      <c r="F248" s="76"/>
      <c r="G248" s="47"/>
      <c r="H248" s="47"/>
      <c r="I248" s="75"/>
      <c r="J248" s="76"/>
      <c r="K248" s="76"/>
      <c r="L248" s="75"/>
      <c r="M248" s="49"/>
      <c r="N248" s="76"/>
      <c r="O248" s="49"/>
      <c r="P248" s="77"/>
      <c r="Q248" s="53"/>
      <c r="R248" s="54"/>
      <c r="S248" s="55"/>
      <c r="T248" s="56"/>
      <c r="U248" s="56"/>
      <c r="V248" s="42"/>
      <c r="W248" s="57"/>
      <c r="X248" s="58"/>
      <c r="Y248" s="75"/>
      <c r="Z248" s="59"/>
      <c r="AA248" s="61"/>
      <c r="AB248" s="61"/>
      <c r="AC248" s="61"/>
      <c r="AD248" s="62"/>
      <c r="AE248" s="62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</row>
    <row r="249" spans="1:77" x14ac:dyDescent="0.3">
      <c r="A249" s="39"/>
      <c r="B249" s="42"/>
      <c r="C249" s="42"/>
      <c r="D249" s="75"/>
      <c r="E249" s="75"/>
      <c r="F249" s="76"/>
      <c r="G249" s="47"/>
      <c r="H249" s="47"/>
      <c r="I249" s="75"/>
      <c r="J249" s="76"/>
      <c r="K249" s="76"/>
      <c r="L249" s="75"/>
      <c r="M249" s="49"/>
      <c r="N249" s="76"/>
      <c r="O249" s="49"/>
      <c r="P249" s="77"/>
      <c r="Q249" s="53"/>
      <c r="R249" s="54"/>
      <c r="S249" s="55"/>
      <c r="T249" s="56"/>
      <c r="U249" s="56"/>
      <c r="V249" s="42"/>
      <c r="W249" s="57"/>
      <c r="X249" s="58"/>
      <c r="Y249" s="75"/>
      <c r="Z249" s="59"/>
      <c r="AA249" s="61"/>
      <c r="AB249" s="61"/>
      <c r="AC249" s="61"/>
      <c r="AD249" s="62"/>
      <c r="AE249" s="62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</row>
    <row r="250" spans="1:77" x14ac:dyDescent="0.3">
      <c r="A250" s="39"/>
      <c r="B250" s="42"/>
      <c r="C250" s="42"/>
      <c r="D250" s="75"/>
      <c r="E250" s="75"/>
      <c r="F250" s="76"/>
      <c r="G250" s="47"/>
      <c r="H250" s="47"/>
      <c r="I250" s="75"/>
      <c r="J250" s="76"/>
      <c r="K250" s="76"/>
      <c r="L250" s="75"/>
      <c r="M250" s="49"/>
      <c r="N250" s="76"/>
      <c r="O250" s="49"/>
      <c r="P250" s="77"/>
      <c r="Q250" s="53"/>
      <c r="R250" s="54"/>
      <c r="S250" s="55"/>
      <c r="T250" s="56"/>
      <c r="U250" s="56"/>
      <c r="V250" s="42"/>
      <c r="W250" s="57"/>
      <c r="X250" s="58"/>
      <c r="Y250" s="75"/>
      <c r="Z250" s="59"/>
      <c r="AA250" s="61"/>
      <c r="AB250" s="61"/>
      <c r="AC250" s="61"/>
      <c r="AD250" s="62"/>
      <c r="AE250" s="62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</row>
    <row r="251" spans="1:77" x14ac:dyDescent="0.3">
      <c r="A251" s="39"/>
      <c r="B251" s="42"/>
      <c r="C251" s="42"/>
      <c r="D251" s="75"/>
      <c r="E251" s="75"/>
      <c r="F251" s="76"/>
      <c r="G251" s="47"/>
      <c r="H251" s="47"/>
      <c r="I251" s="75"/>
      <c r="J251" s="76"/>
      <c r="K251" s="76"/>
      <c r="L251" s="75"/>
      <c r="M251" s="49"/>
      <c r="N251" s="76"/>
      <c r="O251" s="49"/>
      <c r="P251" s="77"/>
      <c r="Q251" s="53"/>
      <c r="R251" s="54"/>
      <c r="S251" s="55"/>
      <c r="T251" s="56"/>
      <c r="U251" s="56"/>
      <c r="V251" s="42"/>
      <c r="W251" s="57"/>
      <c r="X251" s="58"/>
      <c r="Y251" s="75"/>
      <c r="Z251" s="59"/>
      <c r="AA251" s="61"/>
      <c r="AB251" s="61"/>
      <c r="AC251" s="61"/>
      <c r="AD251" s="62"/>
      <c r="AE251" s="62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</row>
    <row r="252" spans="1:77" x14ac:dyDescent="0.3">
      <c r="A252" s="39"/>
      <c r="B252" s="42"/>
      <c r="C252" s="42"/>
      <c r="D252" s="75"/>
      <c r="E252" s="75"/>
      <c r="F252" s="76"/>
      <c r="G252" s="47"/>
      <c r="H252" s="47"/>
      <c r="I252" s="75"/>
      <c r="J252" s="76"/>
      <c r="K252" s="76"/>
      <c r="L252" s="75"/>
      <c r="M252" s="49"/>
      <c r="N252" s="76"/>
      <c r="O252" s="49"/>
      <c r="P252" s="77"/>
      <c r="Q252" s="53"/>
      <c r="R252" s="54"/>
      <c r="S252" s="55"/>
      <c r="T252" s="56"/>
      <c r="U252" s="56"/>
      <c r="V252" s="42"/>
      <c r="W252" s="57"/>
      <c r="X252" s="58"/>
      <c r="Y252" s="75"/>
      <c r="Z252" s="59"/>
      <c r="AA252" s="61"/>
      <c r="AB252" s="61"/>
      <c r="AC252" s="61"/>
      <c r="AD252" s="62"/>
      <c r="AE252" s="62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</row>
    <row r="253" spans="1:77" x14ac:dyDescent="0.3">
      <c r="A253" s="39"/>
      <c r="B253" s="42"/>
      <c r="C253" s="42"/>
      <c r="D253" s="75"/>
      <c r="E253" s="75"/>
      <c r="F253" s="76"/>
      <c r="G253" s="47"/>
      <c r="H253" s="47"/>
      <c r="I253" s="75"/>
      <c r="J253" s="76"/>
      <c r="K253" s="76"/>
      <c r="L253" s="75"/>
      <c r="M253" s="49"/>
      <c r="N253" s="76"/>
      <c r="O253" s="49"/>
      <c r="P253" s="77"/>
      <c r="Q253" s="53"/>
      <c r="R253" s="54"/>
      <c r="S253" s="55"/>
      <c r="T253" s="56"/>
      <c r="U253" s="56"/>
      <c r="V253" s="42"/>
      <c r="W253" s="57"/>
      <c r="X253" s="58"/>
      <c r="Y253" s="75"/>
      <c r="Z253" s="59"/>
      <c r="AA253" s="61"/>
      <c r="AB253" s="61"/>
      <c r="AC253" s="61"/>
      <c r="AD253" s="62"/>
      <c r="AE253" s="62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</row>
    <row r="254" spans="1:77" x14ac:dyDescent="0.3">
      <c r="A254" s="39"/>
      <c r="B254" s="42"/>
      <c r="C254" s="42"/>
      <c r="D254" s="75"/>
      <c r="E254" s="75"/>
      <c r="F254" s="76"/>
      <c r="G254" s="47"/>
      <c r="H254" s="47"/>
      <c r="I254" s="75"/>
      <c r="J254" s="76"/>
      <c r="K254" s="76"/>
      <c r="L254" s="75"/>
      <c r="M254" s="49"/>
      <c r="N254" s="76"/>
      <c r="O254" s="49"/>
      <c r="P254" s="77"/>
      <c r="Q254" s="53"/>
      <c r="R254" s="54"/>
      <c r="S254" s="55"/>
      <c r="T254" s="56"/>
      <c r="U254" s="56"/>
      <c r="V254" s="42"/>
      <c r="W254" s="57"/>
      <c r="X254" s="58"/>
      <c r="Y254" s="75"/>
      <c r="Z254" s="59"/>
      <c r="AA254" s="61"/>
      <c r="AB254" s="61"/>
      <c r="AC254" s="61"/>
      <c r="AD254" s="62"/>
      <c r="AE254" s="62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</row>
    <row r="255" spans="1:77" x14ac:dyDescent="0.3">
      <c r="A255" s="39"/>
      <c r="B255" s="42"/>
      <c r="C255" s="42"/>
      <c r="D255" s="75"/>
      <c r="E255" s="75"/>
      <c r="F255" s="76"/>
      <c r="G255" s="47"/>
      <c r="H255" s="47"/>
      <c r="I255" s="75"/>
      <c r="J255" s="76"/>
      <c r="K255" s="76"/>
      <c r="L255" s="75"/>
      <c r="M255" s="49"/>
      <c r="N255" s="76"/>
      <c r="O255" s="49"/>
      <c r="P255" s="77"/>
      <c r="Q255" s="53"/>
      <c r="R255" s="54"/>
      <c r="S255" s="55"/>
      <c r="T255" s="56"/>
      <c r="U255" s="56"/>
      <c r="V255" s="42"/>
      <c r="W255" s="57"/>
      <c r="X255" s="58"/>
      <c r="Y255" s="75"/>
      <c r="Z255" s="59"/>
      <c r="AA255" s="61"/>
      <c r="AB255" s="61"/>
      <c r="AC255" s="61"/>
      <c r="AD255" s="62"/>
      <c r="AE255" s="62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</row>
    <row r="256" spans="1:77" x14ac:dyDescent="0.3">
      <c r="A256" s="39"/>
      <c r="B256" s="42"/>
      <c r="C256" s="42"/>
      <c r="D256" s="75"/>
      <c r="E256" s="75"/>
      <c r="F256" s="76"/>
      <c r="G256" s="47"/>
      <c r="H256" s="47"/>
      <c r="I256" s="75"/>
      <c r="J256" s="76"/>
      <c r="K256" s="76"/>
      <c r="L256" s="75"/>
      <c r="M256" s="49"/>
      <c r="N256" s="76"/>
      <c r="O256" s="49"/>
      <c r="P256" s="77"/>
      <c r="Q256" s="53"/>
      <c r="R256" s="54"/>
      <c r="S256" s="55"/>
      <c r="T256" s="56"/>
      <c r="U256" s="56"/>
      <c r="V256" s="42"/>
      <c r="W256" s="57"/>
      <c r="X256" s="58"/>
      <c r="Y256" s="75"/>
      <c r="Z256" s="59"/>
      <c r="AA256" s="61"/>
      <c r="AB256" s="61"/>
      <c r="AC256" s="61"/>
      <c r="AD256" s="62"/>
      <c r="AE256" s="62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</row>
    <row r="257" spans="1:77" x14ac:dyDescent="0.3">
      <c r="A257" s="39"/>
      <c r="B257" s="42"/>
      <c r="C257" s="42"/>
      <c r="D257" s="75"/>
      <c r="E257" s="75"/>
      <c r="F257" s="76"/>
      <c r="G257" s="47"/>
      <c r="H257" s="47"/>
      <c r="I257" s="75"/>
      <c r="J257" s="76"/>
      <c r="K257" s="76"/>
      <c r="L257" s="75"/>
      <c r="M257" s="49"/>
      <c r="N257" s="76"/>
      <c r="O257" s="49"/>
      <c r="P257" s="77"/>
      <c r="Q257" s="53"/>
      <c r="R257" s="54"/>
      <c r="S257" s="55"/>
      <c r="T257" s="56"/>
      <c r="U257" s="56"/>
      <c r="V257" s="42"/>
      <c r="W257" s="57"/>
      <c r="X257" s="58"/>
      <c r="Y257" s="75"/>
      <c r="Z257" s="59"/>
      <c r="AA257" s="61"/>
      <c r="AB257" s="61"/>
      <c r="AC257" s="61"/>
      <c r="AD257" s="62"/>
      <c r="AE257" s="62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</row>
    <row r="258" spans="1:77" x14ac:dyDescent="0.3">
      <c r="A258" s="39"/>
      <c r="B258" s="42"/>
      <c r="C258" s="42"/>
      <c r="D258" s="75"/>
      <c r="E258" s="75"/>
      <c r="F258" s="76"/>
      <c r="G258" s="47"/>
      <c r="H258" s="47"/>
      <c r="I258" s="75"/>
      <c r="J258" s="76"/>
      <c r="K258" s="76"/>
      <c r="L258" s="75"/>
      <c r="M258" s="49"/>
      <c r="N258" s="76"/>
      <c r="O258" s="49"/>
      <c r="P258" s="77"/>
      <c r="Q258" s="53"/>
      <c r="R258" s="54"/>
      <c r="S258" s="55"/>
      <c r="T258" s="56"/>
      <c r="U258" s="56"/>
      <c r="V258" s="42"/>
      <c r="W258" s="57"/>
      <c r="X258" s="58"/>
      <c r="Y258" s="75"/>
      <c r="Z258" s="59"/>
      <c r="AA258" s="61"/>
      <c r="AB258" s="61"/>
      <c r="AC258" s="61"/>
      <c r="AD258" s="62"/>
      <c r="AE258" s="62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</row>
    <row r="259" spans="1:77" x14ac:dyDescent="0.3">
      <c r="A259" s="39"/>
      <c r="B259" s="42"/>
      <c r="C259" s="42"/>
      <c r="D259" s="75"/>
      <c r="E259" s="75"/>
      <c r="F259" s="76"/>
      <c r="G259" s="47"/>
      <c r="H259" s="47"/>
      <c r="I259" s="75"/>
      <c r="J259" s="76"/>
      <c r="K259" s="76"/>
      <c r="L259" s="75"/>
      <c r="M259" s="49"/>
      <c r="N259" s="76"/>
      <c r="O259" s="49"/>
      <c r="P259" s="77"/>
      <c r="Q259" s="53"/>
      <c r="R259" s="54"/>
      <c r="S259" s="55"/>
      <c r="T259" s="56"/>
      <c r="U259" s="56"/>
      <c r="V259" s="42"/>
      <c r="W259" s="57"/>
      <c r="X259" s="58"/>
      <c r="Y259" s="75"/>
      <c r="Z259" s="59"/>
      <c r="AA259" s="61"/>
      <c r="AB259" s="61"/>
      <c r="AC259" s="61"/>
      <c r="AD259" s="62"/>
      <c r="AE259" s="62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</row>
    <row r="260" spans="1:77" x14ac:dyDescent="0.3">
      <c r="A260" s="39"/>
      <c r="B260" s="42"/>
      <c r="C260" s="42"/>
      <c r="D260" s="75"/>
      <c r="E260" s="75"/>
      <c r="F260" s="76"/>
      <c r="G260" s="47"/>
      <c r="H260" s="47"/>
      <c r="I260" s="75"/>
      <c r="J260" s="76"/>
      <c r="K260" s="76"/>
      <c r="L260" s="75"/>
      <c r="M260" s="49"/>
      <c r="N260" s="76"/>
      <c r="O260" s="49"/>
      <c r="P260" s="77"/>
      <c r="Q260" s="53"/>
      <c r="R260" s="54"/>
      <c r="S260" s="55"/>
      <c r="T260" s="56"/>
      <c r="U260" s="56"/>
      <c r="V260" s="42"/>
      <c r="W260" s="57"/>
      <c r="X260" s="58"/>
      <c r="Y260" s="75"/>
      <c r="Z260" s="59"/>
      <c r="AA260" s="61"/>
      <c r="AB260" s="61"/>
      <c r="AC260" s="61"/>
      <c r="AD260" s="62"/>
      <c r="AE260" s="62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</row>
    <row r="261" spans="1:77" x14ac:dyDescent="0.3">
      <c r="A261" s="39"/>
      <c r="B261" s="42"/>
      <c r="C261" s="42"/>
      <c r="D261" s="75"/>
      <c r="E261" s="75"/>
      <c r="F261" s="76"/>
      <c r="G261" s="47"/>
      <c r="H261" s="47"/>
      <c r="I261" s="75"/>
      <c r="J261" s="76"/>
      <c r="K261" s="76"/>
      <c r="L261" s="75"/>
      <c r="M261" s="49"/>
      <c r="N261" s="76"/>
      <c r="O261" s="49"/>
      <c r="P261" s="77"/>
      <c r="Q261" s="53"/>
      <c r="R261" s="54"/>
      <c r="S261" s="55"/>
      <c r="T261" s="56"/>
      <c r="U261" s="56"/>
      <c r="V261" s="42"/>
      <c r="W261" s="57"/>
      <c r="X261" s="58"/>
      <c r="Y261" s="75"/>
      <c r="Z261" s="59"/>
      <c r="AA261" s="61"/>
      <c r="AB261" s="61"/>
      <c r="AC261" s="61"/>
      <c r="AD261" s="62"/>
      <c r="AE261" s="62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</row>
    <row r="262" spans="1:77" x14ac:dyDescent="0.3">
      <c r="A262" s="39"/>
      <c r="B262" s="42"/>
      <c r="C262" s="42"/>
      <c r="D262" s="75"/>
      <c r="E262" s="75"/>
      <c r="F262" s="76"/>
      <c r="G262" s="47"/>
      <c r="H262" s="47"/>
      <c r="I262" s="75"/>
      <c r="J262" s="76"/>
      <c r="K262" s="76"/>
      <c r="L262" s="75"/>
      <c r="M262" s="49"/>
      <c r="N262" s="76"/>
      <c r="O262" s="49"/>
      <c r="P262" s="77"/>
      <c r="Q262" s="53"/>
      <c r="R262" s="54"/>
      <c r="S262" s="55"/>
      <c r="T262" s="56"/>
      <c r="U262" s="56"/>
      <c r="V262" s="42"/>
      <c r="W262" s="57"/>
      <c r="X262" s="58"/>
      <c r="Y262" s="75"/>
      <c r="Z262" s="59"/>
      <c r="AA262" s="61"/>
      <c r="AB262" s="61"/>
      <c r="AC262" s="61"/>
      <c r="AD262" s="62"/>
      <c r="AE262" s="62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</row>
    <row r="263" spans="1:77" x14ac:dyDescent="0.3">
      <c r="A263" s="39"/>
      <c r="B263" s="42"/>
      <c r="C263" s="42"/>
      <c r="D263" s="75"/>
      <c r="E263" s="75"/>
      <c r="F263" s="76"/>
      <c r="G263" s="47"/>
      <c r="H263" s="47"/>
      <c r="I263" s="75"/>
      <c r="J263" s="76"/>
      <c r="K263" s="76"/>
      <c r="L263" s="75"/>
      <c r="M263" s="49"/>
      <c r="N263" s="76"/>
      <c r="O263" s="49"/>
      <c r="P263" s="77"/>
      <c r="Q263" s="53"/>
      <c r="R263" s="54"/>
      <c r="S263" s="55"/>
      <c r="T263" s="56"/>
      <c r="U263" s="56"/>
      <c r="V263" s="42"/>
      <c r="W263" s="57"/>
      <c r="X263" s="58"/>
      <c r="Y263" s="75"/>
      <c r="Z263" s="59"/>
      <c r="AA263" s="61"/>
      <c r="AB263" s="61"/>
      <c r="AC263" s="61"/>
      <c r="AD263" s="62"/>
      <c r="AE263" s="62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</row>
    <row r="264" spans="1:77" x14ac:dyDescent="0.3">
      <c r="A264" s="39"/>
      <c r="B264" s="42"/>
      <c r="C264" s="42"/>
      <c r="D264" s="75"/>
      <c r="E264" s="75"/>
      <c r="F264" s="76"/>
      <c r="G264" s="47"/>
      <c r="H264" s="47"/>
      <c r="I264" s="75"/>
      <c r="J264" s="76"/>
      <c r="K264" s="76"/>
      <c r="L264" s="75"/>
      <c r="M264" s="49"/>
      <c r="N264" s="76"/>
      <c r="O264" s="49"/>
      <c r="P264" s="77"/>
      <c r="Q264" s="53"/>
      <c r="R264" s="54"/>
      <c r="S264" s="55"/>
      <c r="T264" s="56"/>
      <c r="U264" s="56"/>
      <c r="V264" s="42"/>
      <c r="W264" s="57"/>
      <c r="X264" s="58"/>
      <c r="Y264" s="75"/>
      <c r="Z264" s="59"/>
      <c r="AA264" s="61"/>
      <c r="AB264" s="61"/>
      <c r="AC264" s="61"/>
      <c r="AD264" s="62"/>
      <c r="AE264" s="62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</row>
    <row r="265" spans="1:77" x14ac:dyDescent="0.3">
      <c r="A265" s="39"/>
      <c r="B265" s="42"/>
      <c r="C265" s="42"/>
      <c r="D265" s="75"/>
      <c r="E265" s="75"/>
      <c r="F265" s="76"/>
      <c r="G265" s="47"/>
      <c r="H265" s="47"/>
      <c r="I265" s="75"/>
      <c r="J265" s="76"/>
      <c r="K265" s="76"/>
      <c r="L265" s="75"/>
      <c r="M265" s="49"/>
      <c r="N265" s="76"/>
      <c r="O265" s="49"/>
      <c r="P265" s="77"/>
      <c r="Q265" s="53"/>
      <c r="R265" s="54"/>
      <c r="S265" s="55"/>
      <c r="T265" s="56"/>
      <c r="U265" s="56"/>
      <c r="V265" s="42"/>
      <c r="W265" s="57"/>
      <c r="X265" s="58"/>
      <c r="Y265" s="75"/>
      <c r="Z265" s="59"/>
      <c r="AA265" s="61"/>
      <c r="AB265" s="61"/>
      <c r="AC265" s="61"/>
      <c r="AD265" s="62"/>
      <c r="AE265" s="62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</row>
    <row r="266" spans="1:77" x14ac:dyDescent="0.3">
      <c r="A266" s="39"/>
      <c r="B266" s="42"/>
      <c r="C266" s="42"/>
      <c r="D266" s="75"/>
      <c r="E266" s="75"/>
      <c r="F266" s="76"/>
      <c r="G266" s="47"/>
      <c r="H266" s="47"/>
      <c r="I266" s="75"/>
      <c r="J266" s="76"/>
      <c r="K266" s="76"/>
      <c r="L266" s="75"/>
      <c r="M266" s="49"/>
      <c r="N266" s="76"/>
      <c r="O266" s="49"/>
      <c r="P266" s="77"/>
      <c r="Q266" s="53"/>
      <c r="R266" s="54"/>
      <c r="S266" s="55"/>
      <c r="T266" s="56"/>
      <c r="U266" s="56"/>
      <c r="V266" s="42"/>
      <c r="W266" s="57"/>
      <c r="X266" s="58"/>
      <c r="Y266" s="75"/>
      <c r="Z266" s="59"/>
      <c r="AA266" s="61"/>
      <c r="AB266" s="61"/>
      <c r="AC266" s="61"/>
      <c r="AD266" s="62"/>
      <c r="AE266" s="62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</row>
    <row r="267" spans="1:77" x14ac:dyDescent="0.3">
      <c r="A267" s="39"/>
      <c r="B267" s="42"/>
      <c r="C267" s="42"/>
      <c r="D267" s="75"/>
      <c r="E267" s="75"/>
      <c r="F267" s="76"/>
      <c r="G267" s="47"/>
      <c r="H267" s="47"/>
      <c r="I267" s="75"/>
      <c r="J267" s="76"/>
      <c r="K267" s="76"/>
      <c r="L267" s="75"/>
      <c r="M267" s="49"/>
      <c r="N267" s="76"/>
      <c r="O267" s="49"/>
      <c r="P267" s="77"/>
      <c r="Q267" s="53"/>
      <c r="R267" s="54"/>
      <c r="S267" s="55"/>
      <c r="T267" s="56"/>
      <c r="U267" s="56"/>
      <c r="V267" s="42"/>
      <c r="W267" s="57"/>
      <c r="X267" s="58"/>
      <c r="Y267" s="75"/>
      <c r="Z267" s="59"/>
      <c r="AA267" s="61"/>
      <c r="AB267" s="61"/>
      <c r="AC267" s="61"/>
      <c r="AD267" s="62"/>
      <c r="AE267" s="62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</row>
    <row r="268" spans="1:77" x14ac:dyDescent="0.3">
      <c r="A268" s="39"/>
      <c r="B268" s="42"/>
      <c r="C268" s="42"/>
      <c r="D268" s="75"/>
      <c r="E268" s="75"/>
      <c r="F268" s="76"/>
      <c r="G268" s="47"/>
      <c r="H268" s="47"/>
      <c r="I268" s="75"/>
      <c r="J268" s="76"/>
      <c r="K268" s="76"/>
      <c r="L268" s="75"/>
      <c r="M268" s="49"/>
      <c r="N268" s="76"/>
      <c r="O268" s="49"/>
      <c r="P268" s="77"/>
      <c r="Q268" s="53"/>
      <c r="R268" s="54"/>
      <c r="S268" s="55"/>
      <c r="T268" s="56"/>
      <c r="U268" s="56"/>
      <c r="V268" s="42"/>
      <c r="W268" s="57"/>
      <c r="X268" s="58"/>
      <c r="Y268" s="75"/>
      <c r="Z268" s="59"/>
      <c r="AA268" s="61"/>
      <c r="AB268" s="61"/>
      <c r="AC268" s="61"/>
      <c r="AD268" s="62"/>
      <c r="AE268" s="62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</row>
    <row r="269" spans="1:77" x14ac:dyDescent="0.3">
      <c r="A269" s="39"/>
      <c r="B269" s="42"/>
      <c r="C269" s="42"/>
      <c r="D269" s="75"/>
      <c r="E269" s="75"/>
      <c r="F269" s="76"/>
      <c r="G269" s="47"/>
      <c r="H269" s="47"/>
      <c r="I269" s="75"/>
      <c r="J269" s="76"/>
      <c r="K269" s="76"/>
      <c r="L269" s="75"/>
      <c r="M269" s="49"/>
      <c r="N269" s="76"/>
      <c r="O269" s="49"/>
      <c r="P269" s="77"/>
      <c r="Q269" s="53"/>
      <c r="R269" s="54"/>
      <c r="S269" s="55"/>
      <c r="T269" s="56"/>
      <c r="U269" s="56"/>
      <c r="V269" s="42"/>
      <c r="W269" s="57"/>
      <c r="X269" s="58"/>
      <c r="Y269" s="75"/>
      <c r="Z269" s="59"/>
      <c r="AA269" s="61"/>
      <c r="AB269" s="61"/>
      <c r="AC269" s="61"/>
      <c r="AD269" s="62"/>
      <c r="AE269" s="62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</row>
    <row r="270" spans="1:77" x14ac:dyDescent="0.3">
      <c r="A270" s="39"/>
      <c r="B270" s="42"/>
      <c r="C270" s="42"/>
      <c r="D270" s="75"/>
      <c r="E270" s="75"/>
      <c r="F270" s="76"/>
      <c r="G270" s="47"/>
      <c r="H270" s="47"/>
      <c r="I270" s="75"/>
      <c r="J270" s="76"/>
      <c r="K270" s="76"/>
      <c r="L270" s="75"/>
      <c r="M270" s="49"/>
      <c r="N270" s="76"/>
      <c r="O270" s="49"/>
      <c r="P270" s="77"/>
      <c r="Q270" s="53"/>
      <c r="R270" s="54"/>
      <c r="S270" s="55"/>
      <c r="T270" s="56"/>
      <c r="U270" s="56"/>
      <c r="V270" s="42"/>
      <c r="W270" s="57"/>
      <c r="X270" s="58"/>
      <c r="Y270" s="75"/>
      <c r="Z270" s="59"/>
      <c r="AA270" s="61"/>
      <c r="AB270" s="61"/>
      <c r="AC270" s="61"/>
      <c r="AD270" s="62"/>
      <c r="AE270" s="62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</row>
    <row r="271" spans="1:77" x14ac:dyDescent="0.3">
      <c r="A271" s="39"/>
      <c r="B271" s="42"/>
      <c r="C271" s="42"/>
      <c r="D271" s="75"/>
      <c r="E271" s="75"/>
      <c r="F271" s="76"/>
      <c r="G271" s="47"/>
      <c r="H271" s="47"/>
      <c r="I271" s="75"/>
      <c r="J271" s="76"/>
      <c r="K271" s="76"/>
      <c r="L271" s="75"/>
      <c r="M271" s="49"/>
      <c r="N271" s="76"/>
      <c r="O271" s="49"/>
      <c r="P271" s="77"/>
      <c r="Q271" s="53"/>
      <c r="R271" s="54"/>
      <c r="S271" s="55"/>
      <c r="T271" s="56"/>
      <c r="U271" s="56"/>
      <c r="V271" s="42"/>
      <c r="W271" s="57"/>
      <c r="X271" s="58"/>
      <c r="Y271" s="75"/>
      <c r="Z271" s="59"/>
      <c r="AA271" s="61"/>
      <c r="AB271" s="61"/>
      <c r="AC271" s="61"/>
      <c r="AD271" s="62"/>
      <c r="AE271" s="62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</row>
    <row r="272" spans="1:77" x14ac:dyDescent="0.3">
      <c r="A272" s="39"/>
      <c r="B272" s="42"/>
      <c r="C272" s="42"/>
      <c r="D272" s="75"/>
      <c r="E272" s="75"/>
      <c r="F272" s="76"/>
      <c r="G272" s="47"/>
      <c r="H272" s="47"/>
      <c r="I272" s="75"/>
      <c r="J272" s="76"/>
      <c r="K272" s="76"/>
      <c r="L272" s="75"/>
      <c r="M272" s="49"/>
      <c r="N272" s="76"/>
      <c r="O272" s="49"/>
      <c r="P272" s="77"/>
      <c r="Q272" s="53"/>
      <c r="R272" s="54"/>
      <c r="S272" s="55"/>
      <c r="T272" s="56"/>
      <c r="U272" s="56"/>
      <c r="V272" s="42"/>
      <c r="W272" s="57"/>
      <c r="X272" s="58"/>
      <c r="Y272" s="75"/>
      <c r="Z272" s="59"/>
      <c r="AA272" s="61"/>
      <c r="AB272" s="61"/>
      <c r="AC272" s="61"/>
      <c r="AD272" s="62"/>
      <c r="AE272" s="62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</row>
    <row r="273" spans="1:77" x14ac:dyDescent="0.3">
      <c r="A273" s="39"/>
      <c r="B273" s="42"/>
      <c r="C273" s="42"/>
      <c r="D273" s="75"/>
      <c r="E273" s="75"/>
      <c r="F273" s="76"/>
      <c r="G273" s="47"/>
      <c r="H273" s="47"/>
      <c r="I273" s="75"/>
      <c r="J273" s="76"/>
      <c r="K273" s="76"/>
      <c r="L273" s="75"/>
      <c r="M273" s="49"/>
      <c r="N273" s="76"/>
      <c r="O273" s="49"/>
      <c r="P273" s="77"/>
      <c r="Q273" s="53"/>
      <c r="R273" s="54"/>
      <c r="S273" s="55"/>
      <c r="T273" s="56"/>
      <c r="U273" s="56"/>
      <c r="V273" s="42"/>
      <c r="W273" s="57"/>
      <c r="X273" s="58"/>
      <c r="Y273" s="75"/>
      <c r="Z273" s="59"/>
      <c r="AA273" s="61"/>
      <c r="AB273" s="61"/>
      <c r="AC273" s="61"/>
      <c r="AD273" s="62"/>
      <c r="AE273" s="62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</row>
    <row r="274" spans="1:77" x14ac:dyDescent="0.3">
      <c r="A274" s="39"/>
      <c r="B274" s="42"/>
      <c r="C274" s="42"/>
      <c r="D274" s="75"/>
      <c r="E274" s="75"/>
      <c r="F274" s="76"/>
      <c r="G274" s="47"/>
      <c r="H274" s="47"/>
      <c r="I274" s="75"/>
      <c r="J274" s="76"/>
      <c r="K274" s="76"/>
      <c r="L274" s="75"/>
      <c r="M274" s="49"/>
      <c r="N274" s="76"/>
      <c r="O274" s="49"/>
      <c r="P274" s="77"/>
      <c r="Q274" s="53"/>
      <c r="R274" s="54"/>
      <c r="S274" s="55"/>
      <c r="T274" s="56"/>
      <c r="U274" s="56"/>
      <c r="V274" s="42"/>
      <c r="W274" s="57"/>
      <c r="X274" s="58"/>
      <c r="Y274" s="75"/>
      <c r="Z274" s="59"/>
      <c r="AA274" s="61"/>
      <c r="AB274" s="61"/>
      <c r="AC274" s="61"/>
      <c r="AD274" s="62"/>
      <c r="AE274" s="62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</row>
    <row r="275" spans="1:77" x14ac:dyDescent="0.3">
      <c r="A275" s="39"/>
      <c r="B275" s="42"/>
      <c r="C275" s="42"/>
      <c r="D275" s="75"/>
      <c r="E275" s="75"/>
      <c r="F275" s="76"/>
      <c r="G275" s="47"/>
      <c r="H275" s="47"/>
      <c r="I275" s="75"/>
      <c r="J275" s="76"/>
      <c r="K275" s="76"/>
      <c r="L275" s="75"/>
      <c r="M275" s="49"/>
      <c r="N275" s="76"/>
      <c r="O275" s="49"/>
      <c r="P275" s="77"/>
      <c r="Q275" s="53"/>
      <c r="R275" s="54"/>
      <c r="S275" s="55"/>
      <c r="T275" s="56"/>
      <c r="U275" s="56"/>
      <c r="V275" s="42"/>
      <c r="W275" s="57"/>
      <c r="X275" s="58"/>
      <c r="Y275" s="75"/>
      <c r="Z275" s="59"/>
      <c r="AA275" s="61"/>
      <c r="AB275" s="61"/>
      <c r="AC275" s="61"/>
      <c r="AD275" s="62"/>
      <c r="AE275" s="62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</row>
    <row r="276" spans="1:77" x14ac:dyDescent="0.3">
      <c r="A276" s="39"/>
      <c r="B276" s="42"/>
      <c r="C276" s="42"/>
      <c r="D276" s="75"/>
      <c r="E276" s="75"/>
      <c r="F276" s="76"/>
      <c r="G276" s="47"/>
      <c r="H276" s="47"/>
      <c r="I276" s="75"/>
      <c r="J276" s="76"/>
      <c r="K276" s="76"/>
      <c r="L276" s="75"/>
      <c r="M276" s="49"/>
      <c r="N276" s="76"/>
      <c r="O276" s="49"/>
      <c r="P276" s="77"/>
      <c r="Q276" s="53"/>
      <c r="R276" s="54"/>
      <c r="S276" s="55"/>
      <c r="T276" s="56"/>
      <c r="U276" s="56"/>
      <c r="V276" s="42"/>
      <c r="W276" s="57"/>
      <c r="X276" s="58"/>
      <c r="Y276" s="75"/>
      <c r="Z276" s="59"/>
      <c r="AA276" s="61"/>
      <c r="AB276" s="61"/>
      <c r="AC276" s="61"/>
      <c r="AD276" s="62"/>
      <c r="AE276" s="62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</row>
    <row r="277" spans="1:77" x14ac:dyDescent="0.3">
      <c r="A277" s="39"/>
      <c r="B277" s="42"/>
      <c r="C277" s="42"/>
      <c r="D277" s="75"/>
      <c r="E277" s="75"/>
      <c r="F277" s="76"/>
      <c r="G277" s="47"/>
      <c r="H277" s="47"/>
      <c r="I277" s="75"/>
      <c r="J277" s="76"/>
      <c r="K277" s="76"/>
      <c r="L277" s="75"/>
      <c r="M277" s="49"/>
      <c r="N277" s="76"/>
      <c r="O277" s="49"/>
      <c r="P277" s="77"/>
      <c r="Q277" s="53"/>
      <c r="R277" s="54"/>
      <c r="S277" s="55"/>
      <c r="T277" s="56"/>
      <c r="U277" s="56"/>
      <c r="V277" s="42"/>
      <c r="W277" s="57"/>
      <c r="X277" s="58"/>
      <c r="Y277" s="75"/>
      <c r="Z277" s="59"/>
      <c r="AA277" s="61"/>
      <c r="AB277" s="61"/>
      <c r="AC277" s="61"/>
      <c r="AD277" s="62"/>
      <c r="AE277" s="62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</row>
    <row r="278" spans="1:77" x14ac:dyDescent="0.3">
      <c r="A278" s="39"/>
      <c r="B278" s="42"/>
      <c r="C278" s="42"/>
      <c r="D278" s="75"/>
      <c r="E278" s="75"/>
      <c r="F278" s="76"/>
      <c r="G278" s="47"/>
      <c r="H278" s="47"/>
      <c r="I278" s="75"/>
      <c r="J278" s="76"/>
      <c r="K278" s="76"/>
      <c r="L278" s="75"/>
      <c r="M278" s="49"/>
      <c r="N278" s="76"/>
      <c r="O278" s="49"/>
      <c r="P278" s="77"/>
      <c r="Q278" s="53"/>
      <c r="R278" s="54"/>
      <c r="S278" s="55"/>
      <c r="T278" s="56"/>
      <c r="U278" s="56"/>
      <c r="V278" s="42"/>
      <c r="W278" s="57"/>
      <c r="X278" s="58"/>
      <c r="Y278" s="75"/>
      <c r="Z278" s="59"/>
      <c r="AA278" s="61"/>
      <c r="AB278" s="61"/>
      <c r="AC278" s="61"/>
      <c r="AD278" s="62"/>
      <c r="AE278" s="62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</row>
    <row r="279" spans="1:77" x14ac:dyDescent="0.3">
      <c r="A279" s="39"/>
      <c r="B279" s="42"/>
      <c r="C279" s="42"/>
      <c r="D279" s="75"/>
      <c r="E279" s="75"/>
      <c r="F279" s="76"/>
      <c r="G279" s="47"/>
      <c r="H279" s="47"/>
      <c r="I279" s="75"/>
      <c r="J279" s="76"/>
      <c r="K279" s="76"/>
      <c r="L279" s="75"/>
      <c r="M279" s="49"/>
      <c r="N279" s="76"/>
      <c r="O279" s="49"/>
      <c r="P279" s="77"/>
      <c r="Q279" s="53"/>
      <c r="R279" s="54"/>
      <c r="S279" s="55"/>
      <c r="T279" s="56"/>
      <c r="U279" s="56"/>
      <c r="V279" s="42"/>
      <c r="W279" s="57"/>
      <c r="X279" s="58"/>
      <c r="Y279" s="75"/>
      <c r="Z279" s="59"/>
      <c r="AA279" s="61"/>
      <c r="AB279" s="61"/>
      <c r="AC279" s="61"/>
      <c r="AD279" s="62"/>
      <c r="AE279" s="62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</row>
    <row r="280" spans="1:77" x14ac:dyDescent="0.3">
      <c r="A280" s="39"/>
      <c r="B280" s="42"/>
      <c r="C280" s="42"/>
      <c r="D280" s="75"/>
      <c r="E280" s="75"/>
      <c r="F280" s="76"/>
      <c r="G280" s="47"/>
      <c r="H280" s="47"/>
      <c r="I280" s="75"/>
      <c r="J280" s="76"/>
      <c r="K280" s="76"/>
      <c r="L280" s="75"/>
      <c r="M280" s="49"/>
      <c r="N280" s="76"/>
      <c r="O280" s="49"/>
      <c r="P280" s="77"/>
      <c r="Q280" s="53"/>
      <c r="R280" s="54"/>
      <c r="S280" s="55"/>
      <c r="T280" s="56"/>
      <c r="U280" s="56"/>
      <c r="V280" s="42"/>
      <c r="W280" s="57"/>
      <c r="X280" s="58"/>
      <c r="Y280" s="75"/>
      <c r="Z280" s="59"/>
      <c r="AA280" s="61"/>
      <c r="AB280" s="61"/>
      <c r="AC280" s="61"/>
      <c r="AD280" s="62"/>
      <c r="AE280" s="62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</row>
    <row r="281" spans="1:77" x14ac:dyDescent="0.3">
      <c r="A281" s="39"/>
      <c r="B281" s="42"/>
      <c r="C281" s="42"/>
      <c r="D281" s="75"/>
      <c r="E281" s="75"/>
      <c r="F281" s="76"/>
      <c r="G281" s="47"/>
      <c r="H281" s="47"/>
      <c r="I281" s="75"/>
      <c r="J281" s="76"/>
      <c r="K281" s="76"/>
      <c r="L281" s="75"/>
      <c r="M281" s="49"/>
      <c r="N281" s="76"/>
      <c r="O281" s="49"/>
      <c r="P281" s="77"/>
      <c r="Q281" s="53"/>
      <c r="R281" s="54"/>
      <c r="S281" s="55"/>
      <c r="T281" s="56"/>
      <c r="U281" s="56"/>
      <c r="V281" s="42"/>
      <c r="W281" s="57"/>
      <c r="X281" s="58"/>
      <c r="Y281" s="75"/>
      <c r="Z281" s="59"/>
      <c r="AA281" s="61"/>
      <c r="AB281" s="61"/>
      <c r="AC281" s="61"/>
      <c r="AD281" s="62"/>
      <c r="AE281" s="62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</row>
    <row r="282" spans="1:77" x14ac:dyDescent="0.3">
      <c r="A282" s="39"/>
      <c r="B282" s="42"/>
      <c r="C282" s="42"/>
      <c r="D282" s="75"/>
      <c r="E282" s="75"/>
      <c r="F282" s="76"/>
      <c r="G282" s="47"/>
      <c r="H282" s="47"/>
      <c r="I282" s="75"/>
      <c r="J282" s="76"/>
      <c r="K282" s="76"/>
      <c r="L282" s="75"/>
      <c r="M282" s="49"/>
      <c r="N282" s="76"/>
      <c r="O282" s="49"/>
      <c r="P282" s="77"/>
      <c r="Q282" s="53"/>
      <c r="R282" s="54"/>
      <c r="S282" s="55"/>
      <c r="T282" s="56"/>
      <c r="U282" s="56"/>
      <c r="V282" s="42"/>
      <c r="W282" s="57"/>
      <c r="X282" s="58"/>
      <c r="Y282" s="75"/>
      <c r="Z282" s="59"/>
      <c r="AA282" s="61"/>
      <c r="AB282" s="61"/>
      <c r="AC282" s="61"/>
      <c r="AD282" s="62"/>
      <c r="AE282" s="62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</row>
    <row r="283" spans="1:77" x14ac:dyDescent="0.3">
      <c r="A283" s="39"/>
      <c r="B283" s="42"/>
      <c r="C283" s="42"/>
      <c r="D283" s="75"/>
      <c r="E283" s="75"/>
      <c r="F283" s="76"/>
      <c r="G283" s="47"/>
      <c r="H283" s="47"/>
      <c r="I283" s="75"/>
      <c r="J283" s="76"/>
      <c r="K283" s="76"/>
      <c r="L283" s="75"/>
      <c r="M283" s="49"/>
      <c r="N283" s="76"/>
      <c r="O283" s="49"/>
      <c r="P283" s="77"/>
      <c r="Q283" s="53"/>
      <c r="R283" s="54"/>
      <c r="S283" s="55"/>
      <c r="T283" s="56"/>
      <c r="U283" s="56"/>
      <c r="V283" s="42"/>
      <c r="W283" s="57"/>
      <c r="X283" s="58"/>
      <c r="Y283" s="75"/>
      <c r="Z283" s="59"/>
      <c r="AA283" s="61"/>
      <c r="AB283" s="61"/>
      <c r="AC283" s="61"/>
      <c r="AD283" s="62"/>
      <c r="AE283" s="62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</row>
    <row r="284" spans="1:77" x14ac:dyDescent="0.3">
      <c r="A284" s="39"/>
      <c r="B284" s="42"/>
      <c r="C284" s="42"/>
      <c r="D284" s="75"/>
      <c r="E284" s="75"/>
      <c r="F284" s="76"/>
      <c r="G284" s="47"/>
      <c r="H284" s="47"/>
      <c r="I284" s="75"/>
      <c r="J284" s="76"/>
      <c r="K284" s="76"/>
      <c r="L284" s="75"/>
      <c r="M284" s="49"/>
      <c r="N284" s="76"/>
      <c r="O284" s="49"/>
      <c r="P284" s="77"/>
      <c r="Q284" s="53"/>
      <c r="R284" s="54"/>
      <c r="S284" s="55"/>
      <c r="T284" s="56"/>
      <c r="U284" s="56"/>
      <c r="V284" s="42"/>
      <c r="W284" s="57"/>
      <c r="X284" s="58"/>
      <c r="Y284" s="75"/>
      <c r="Z284" s="59"/>
      <c r="AA284" s="61"/>
      <c r="AB284" s="61"/>
      <c r="AC284" s="61"/>
      <c r="AD284" s="62"/>
      <c r="AE284" s="62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</row>
    <row r="285" spans="1:77" x14ac:dyDescent="0.3">
      <c r="A285" s="39"/>
      <c r="B285" s="42"/>
      <c r="C285" s="42"/>
      <c r="D285" s="75"/>
      <c r="E285" s="75"/>
      <c r="F285" s="76"/>
      <c r="G285" s="47"/>
      <c r="H285" s="47"/>
      <c r="I285" s="75"/>
      <c r="J285" s="76"/>
      <c r="K285" s="76"/>
      <c r="L285" s="75"/>
      <c r="M285" s="49"/>
      <c r="N285" s="76"/>
      <c r="O285" s="49"/>
      <c r="P285" s="77"/>
      <c r="Q285" s="53"/>
      <c r="R285" s="54"/>
      <c r="S285" s="55"/>
      <c r="T285" s="56"/>
      <c r="U285" s="56"/>
      <c r="V285" s="42"/>
      <c r="W285" s="57"/>
      <c r="X285" s="58"/>
      <c r="Y285" s="75"/>
      <c r="Z285" s="59"/>
      <c r="AA285" s="61"/>
      <c r="AB285" s="61"/>
      <c r="AC285" s="61"/>
      <c r="AD285" s="62"/>
      <c r="AE285" s="62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</row>
    <row r="286" spans="1:77" x14ac:dyDescent="0.3">
      <c r="A286" s="39"/>
      <c r="B286" s="42"/>
      <c r="C286" s="42"/>
      <c r="D286" s="75"/>
      <c r="E286" s="75"/>
      <c r="F286" s="76"/>
      <c r="G286" s="47"/>
      <c r="H286" s="47"/>
      <c r="I286" s="75"/>
      <c r="J286" s="76"/>
      <c r="K286" s="76"/>
      <c r="L286" s="75"/>
      <c r="M286" s="49"/>
      <c r="N286" s="76"/>
      <c r="O286" s="49"/>
      <c r="P286" s="77"/>
      <c r="Q286" s="53"/>
      <c r="R286" s="54"/>
      <c r="S286" s="55"/>
      <c r="T286" s="56"/>
      <c r="U286" s="56"/>
      <c r="V286" s="42"/>
      <c r="W286" s="57"/>
      <c r="X286" s="58"/>
      <c r="Y286" s="75"/>
      <c r="Z286" s="59"/>
      <c r="AA286" s="61"/>
      <c r="AB286" s="61"/>
      <c r="AC286" s="61"/>
      <c r="AD286" s="62"/>
      <c r="AE286" s="62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</row>
    <row r="287" spans="1:77" x14ac:dyDescent="0.3">
      <c r="A287" s="39"/>
      <c r="B287" s="42"/>
      <c r="C287" s="42"/>
      <c r="D287" s="75"/>
      <c r="E287" s="75"/>
      <c r="F287" s="76"/>
      <c r="G287" s="47"/>
      <c r="H287" s="47"/>
      <c r="I287" s="75"/>
      <c r="J287" s="76"/>
      <c r="K287" s="76"/>
      <c r="L287" s="75"/>
      <c r="M287" s="49"/>
      <c r="N287" s="76"/>
      <c r="O287" s="49"/>
      <c r="P287" s="77"/>
      <c r="Q287" s="53"/>
      <c r="R287" s="54"/>
      <c r="S287" s="55"/>
      <c r="T287" s="56"/>
      <c r="U287" s="56"/>
      <c r="V287" s="42"/>
      <c r="W287" s="57"/>
      <c r="X287" s="58"/>
      <c r="Y287" s="75"/>
      <c r="Z287" s="59"/>
      <c r="AA287" s="61"/>
      <c r="AB287" s="61"/>
      <c r="AC287" s="61"/>
      <c r="AD287" s="62"/>
      <c r="AE287" s="62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</row>
    <row r="288" spans="1:77" x14ac:dyDescent="0.3">
      <c r="A288" s="39"/>
      <c r="B288" s="42"/>
      <c r="C288" s="42"/>
      <c r="D288" s="75"/>
      <c r="E288" s="75"/>
      <c r="F288" s="76"/>
      <c r="G288" s="47"/>
      <c r="H288" s="47"/>
      <c r="I288" s="75"/>
      <c r="J288" s="76"/>
      <c r="K288" s="76"/>
      <c r="L288" s="75"/>
      <c r="M288" s="49"/>
      <c r="N288" s="76"/>
      <c r="O288" s="49"/>
      <c r="P288" s="77"/>
      <c r="Q288" s="53"/>
      <c r="R288" s="54"/>
      <c r="S288" s="55"/>
      <c r="T288" s="56"/>
      <c r="U288" s="56"/>
      <c r="V288" s="42"/>
      <c r="W288" s="57"/>
      <c r="X288" s="58"/>
      <c r="Y288" s="75"/>
      <c r="Z288" s="59"/>
      <c r="AA288" s="61"/>
      <c r="AB288" s="61"/>
      <c r="AC288" s="61"/>
      <c r="AD288" s="62"/>
      <c r="AE288" s="62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</row>
    <row r="289" spans="1:77" x14ac:dyDescent="0.3">
      <c r="A289" s="39"/>
      <c r="B289" s="42"/>
      <c r="C289" s="42"/>
      <c r="D289" s="75"/>
      <c r="E289" s="75"/>
      <c r="F289" s="76"/>
      <c r="G289" s="47"/>
      <c r="H289" s="47"/>
      <c r="I289" s="75"/>
      <c r="J289" s="76"/>
      <c r="K289" s="76"/>
      <c r="L289" s="75"/>
      <c r="M289" s="49"/>
      <c r="N289" s="76"/>
      <c r="O289" s="49"/>
      <c r="P289" s="77"/>
      <c r="Q289" s="53"/>
      <c r="R289" s="54"/>
      <c r="S289" s="55"/>
      <c r="T289" s="56"/>
      <c r="U289" s="56"/>
      <c r="V289" s="42"/>
      <c r="W289" s="57"/>
      <c r="X289" s="58"/>
      <c r="Y289" s="75"/>
      <c r="Z289" s="59"/>
      <c r="AA289" s="61"/>
      <c r="AB289" s="61"/>
      <c r="AC289" s="61"/>
      <c r="AD289" s="62"/>
      <c r="AE289" s="62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</row>
    <row r="290" spans="1:77" x14ac:dyDescent="0.3">
      <c r="A290" s="39"/>
      <c r="B290" s="42"/>
      <c r="C290" s="42"/>
      <c r="D290" s="75"/>
      <c r="E290" s="75"/>
      <c r="F290" s="76"/>
      <c r="G290" s="47"/>
      <c r="H290" s="47"/>
      <c r="I290" s="75"/>
      <c r="J290" s="76"/>
      <c r="K290" s="76"/>
      <c r="L290" s="75"/>
      <c r="M290" s="49"/>
      <c r="N290" s="76"/>
      <c r="O290" s="49"/>
      <c r="P290" s="77"/>
      <c r="Q290" s="53"/>
      <c r="R290" s="54"/>
      <c r="S290" s="55"/>
      <c r="T290" s="56"/>
      <c r="U290" s="56"/>
      <c r="V290" s="42"/>
      <c r="W290" s="57"/>
      <c r="X290" s="58"/>
      <c r="Y290" s="75"/>
      <c r="Z290" s="59"/>
      <c r="AA290" s="61"/>
      <c r="AB290" s="61"/>
      <c r="AC290" s="61"/>
      <c r="AD290" s="62"/>
      <c r="AE290" s="62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</row>
    <row r="291" spans="1:77" x14ac:dyDescent="0.3">
      <c r="A291" s="39"/>
      <c r="B291" s="42"/>
      <c r="C291" s="42"/>
      <c r="D291" s="75"/>
      <c r="E291" s="75"/>
      <c r="F291" s="76"/>
      <c r="G291" s="47"/>
      <c r="H291" s="47"/>
      <c r="I291" s="75"/>
      <c r="J291" s="76"/>
      <c r="K291" s="76"/>
      <c r="L291" s="75"/>
      <c r="M291" s="49"/>
      <c r="N291" s="76"/>
      <c r="O291" s="49"/>
      <c r="P291" s="77"/>
      <c r="Q291" s="53"/>
      <c r="R291" s="54"/>
      <c r="S291" s="55"/>
      <c r="T291" s="56"/>
      <c r="U291" s="56"/>
      <c r="V291" s="42"/>
      <c r="W291" s="57"/>
      <c r="X291" s="58"/>
      <c r="Y291" s="75"/>
      <c r="Z291" s="59"/>
      <c r="AA291" s="61"/>
      <c r="AB291" s="61"/>
      <c r="AC291" s="61"/>
      <c r="AD291" s="62"/>
      <c r="AE291" s="62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</row>
    <row r="292" spans="1:77" x14ac:dyDescent="0.3">
      <c r="A292" s="39"/>
      <c r="B292" s="42"/>
      <c r="C292" s="42"/>
      <c r="D292" s="75"/>
      <c r="E292" s="75"/>
      <c r="F292" s="76"/>
      <c r="G292" s="47"/>
      <c r="H292" s="47"/>
      <c r="I292" s="75"/>
      <c r="J292" s="76"/>
      <c r="K292" s="76"/>
      <c r="L292" s="75"/>
      <c r="M292" s="49"/>
      <c r="N292" s="76"/>
      <c r="O292" s="49"/>
      <c r="P292" s="77"/>
      <c r="Q292" s="53"/>
      <c r="R292" s="54"/>
      <c r="S292" s="55"/>
      <c r="T292" s="56"/>
      <c r="U292" s="56"/>
      <c r="V292" s="42"/>
      <c r="W292" s="57"/>
      <c r="X292" s="58"/>
      <c r="Y292" s="75"/>
      <c r="Z292" s="59"/>
      <c r="AA292" s="61"/>
      <c r="AB292" s="61"/>
      <c r="AC292" s="61"/>
      <c r="AD292" s="62"/>
      <c r="AE292" s="62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</row>
    <row r="293" spans="1:77" x14ac:dyDescent="0.3">
      <c r="A293" s="39"/>
      <c r="B293" s="42"/>
      <c r="C293" s="42"/>
      <c r="D293" s="75"/>
      <c r="E293" s="75"/>
      <c r="F293" s="76"/>
      <c r="G293" s="47"/>
      <c r="H293" s="47"/>
      <c r="I293" s="75"/>
      <c r="J293" s="76"/>
      <c r="K293" s="76"/>
      <c r="L293" s="75"/>
      <c r="M293" s="49"/>
      <c r="N293" s="76"/>
      <c r="O293" s="49"/>
      <c r="P293" s="77"/>
      <c r="Q293" s="53"/>
      <c r="R293" s="54"/>
      <c r="S293" s="55"/>
      <c r="T293" s="56"/>
      <c r="U293" s="56"/>
      <c r="V293" s="42"/>
      <c r="W293" s="57"/>
      <c r="X293" s="58"/>
      <c r="Y293" s="75"/>
      <c r="Z293" s="59"/>
      <c r="AA293" s="61"/>
      <c r="AB293" s="61"/>
      <c r="AC293" s="61"/>
      <c r="AD293" s="62"/>
      <c r="AE293" s="62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</row>
    <row r="294" spans="1:77" x14ac:dyDescent="0.3">
      <c r="A294" s="39"/>
      <c r="B294" s="42"/>
      <c r="C294" s="42"/>
      <c r="D294" s="75"/>
      <c r="E294" s="75"/>
      <c r="F294" s="76"/>
      <c r="G294" s="47"/>
      <c r="H294" s="47"/>
      <c r="I294" s="75"/>
      <c r="J294" s="76"/>
      <c r="K294" s="76"/>
      <c r="L294" s="75"/>
      <c r="M294" s="49"/>
      <c r="N294" s="76"/>
      <c r="O294" s="49"/>
      <c r="P294" s="77"/>
      <c r="Q294" s="53"/>
      <c r="R294" s="54"/>
      <c r="S294" s="55"/>
      <c r="T294" s="56"/>
      <c r="U294" s="56"/>
      <c r="V294" s="42"/>
      <c r="W294" s="57"/>
      <c r="X294" s="58"/>
      <c r="Y294" s="75"/>
      <c r="Z294" s="59"/>
      <c r="AA294" s="61"/>
      <c r="AB294" s="61"/>
      <c r="AC294" s="61"/>
      <c r="AD294" s="62"/>
      <c r="AE294" s="62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</row>
    <row r="295" spans="1:77" x14ac:dyDescent="0.3">
      <c r="A295" s="39"/>
      <c r="B295" s="42"/>
      <c r="C295" s="42"/>
      <c r="D295" s="75"/>
      <c r="E295" s="75"/>
      <c r="F295" s="76"/>
      <c r="G295" s="47"/>
      <c r="H295" s="47"/>
      <c r="I295" s="75"/>
      <c r="J295" s="76"/>
      <c r="K295" s="76"/>
      <c r="L295" s="75"/>
      <c r="M295" s="49"/>
      <c r="N295" s="76"/>
      <c r="O295" s="49"/>
      <c r="P295" s="77"/>
      <c r="Q295" s="53"/>
      <c r="R295" s="54"/>
      <c r="S295" s="55"/>
      <c r="T295" s="56"/>
      <c r="U295" s="56"/>
      <c r="V295" s="42"/>
      <c r="W295" s="57"/>
      <c r="X295" s="58"/>
      <c r="Y295" s="75"/>
      <c r="Z295" s="59"/>
      <c r="AA295" s="61"/>
      <c r="AB295" s="61"/>
      <c r="AC295" s="61"/>
      <c r="AD295" s="62"/>
      <c r="AE295" s="62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</row>
    <row r="296" spans="1:77" x14ac:dyDescent="0.3">
      <c r="A296" s="39"/>
      <c r="B296" s="42"/>
      <c r="C296" s="42"/>
      <c r="D296" s="75"/>
      <c r="E296" s="75"/>
      <c r="F296" s="76"/>
      <c r="G296" s="47"/>
      <c r="H296" s="47"/>
      <c r="I296" s="75"/>
      <c r="J296" s="76"/>
      <c r="K296" s="76"/>
      <c r="L296" s="75"/>
      <c r="M296" s="49"/>
      <c r="N296" s="76"/>
      <c r="O296" s="49"/>
      <c r="P296" s="77"/>
      <c r="Q296" s="53"/>
      <c r="R296" s="54"/>
      <c r="S296" s="55"/>
      <c r="T296" s="56"/>
      <c r="U296" s="56"/>
      <c r="V296" s="42"/>
      <c r="W296" s="57"/>
      <c r="X296" s="58"/>
      <c r="Y296" s="75"/>
      <c r="Z296" s="59"/>
      <c r="AA296" s="61"/>
      <c r="AB296" s="61"/>
      <c r="AC296" s="61"/>
      <c r="AD296" s="62"/>
      <c r="AE296" s="62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</row>
    <row r="297" spans="1:77" x14ac:dyDescent="0.3">
      <c r="A297" s="39"/>
      <c r="B297" s="42"/>
      <c r="C297" s="42"/>
      <c r="D297" s="75"/>
      <c r="E297" s="75"/>
      <c r="F297" s="76"/>
      <c r="G297" s="47"/>
      <c r="H297" s="47"/>
      <c r="I297" s="75"/>
      <c r="J297" s="76"/>
      <c r="K297" s="76"/>
      <c r="L297" s="75"/>
      <c r="M297" s="49"/>
      <c r="N297" s="76"/>
      <c r="O297" s="49"/>
      <c r="P297" s="77"/>
      <c r="Q297" s="53"/>
      <c r="R297" s="54"/>
      <c r="S297" s="55"/>
      <c r="T297" s="56"/>
      <c r="U297" s="56"/>
      <c r="V297" s="42"/>
      <c r="W297" s="57"/>
      <c r="X297" s="58"/>
      <c r="Y297" s="75"/>
      <c r="Z297" s="59"/>
      <c r="AA297" s="61"/>
      <c r="AB297" s="61"/>
      <c r="AC297" s="61"/>
      <c r="AD297" s="62"/>
      <c r="AE297" s="62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</row>
    <row r="298" spans="1:77" x14ac:dyDescent="0.3">
      <c r="A298" s="39"/>
      <c r="B298" s="42"/>
      <c r="C298" s="42"/>
      <c r="D298" s="75"/>
      <c r="E298" s="75"/>
      <c r="F298" s="76"/>
      <c r="G298" s="47"/>
      <c r="H298" s="47"/>
      <c r="I298" s="75"/>
      <c r="J298" s="76"/>
      <c r="K298" s="76"/>
      <c r="L298" s="75"/>
      <c r="M298" s="49"/>
      <c r="N298" s="76"/>
      <c r="O298" s="49"/>
      <c r="P298" s="77"/>
      <c r="Q298" s="53"/>
      <c r="R298" s="54"/>
      <c r="S298" s="55"/>
      <c r="T298" s="56"/>
      <c r="U298" s="56"/>
      <c r="V298" s="42"/>
      <c r="W298" s="57"/>
      <c r="X298" s="58"/>
      <c r="Y298" s="75"/>
      <c r="Z298" s="59"/>
      <c r="AA298" s="61"/>
      <c r="AB298" s="61"/>
      <c r="AC298" s="61"/>
      <c r="AD298" s="62"/>
      <c r="AE298" s="62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</row>
    <row r="299" spans="1:77" x14ac:dyDescent="0.3">
      <c r="A299" s="39"/>
      <c r="B299" s="42"/>
      <c r="C299" s="42"/>
      <c r="D299" s="75"/>
      <c r="E299" s="75"/>
      <c r="F299" s="76"/>
      <c r="G299" s="47"/>
      <c r="H299" s="47"/>
      <c r="I299" s="75"/>
      <c r="J299" s="76"/>
      <c r="K299" s="76"/>
      <c r="L299" s="75"/>
      <c r="M299" s="49"/>
      <c r="N299" s="76"/>
      <c r="O299" s="49"/>
      <c r="P299" s="77"/>
      <c r="Q299" s="53"/>
      <c r="R299" s="54"/>
      <c r="S299" s="55"/>
      <c r="T299" s="56"/>
      <c r="U299" s="56"/>
      <c r="V299" s="42"/>
      <c r="W299" s="57"/>
      <c r="X299" s="58"/>
      <c r="Y299" s="75"/>
      <c r="Z299" s="59"/>
      <c r="AA299" s="61"/>
      <c r="AB299" s="61"/>
      <c r="AC299" s="61"/>
      <c r="AD299" s="62"/>
      <c r="AE299" s="62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</row>
    <row r="300" spans="1:77" x14ac:dyDescent="0.3">
      <c r="A300" s="39"/>
      <c r="B300" s="42"/>
      <c r="C300" s="42"/>
      <c r="D300" s="75"/>
      <c r="E300" s="75"/>
      <c r="F300" s="76"/>
      <c r="G300" s="47"/>
      <c r="H300" s="47"/>
      <c r="I300" s="75"/>
      <c r="J300" s="76"/>
      <c r="K300" s="76"/>
      <c r="L300" s="75"/>
      <c r="M300" s="49"/>
      <c r="N300" s="76"/>
      <c r="O300" s="49"/>
      <c r="P300" s="77"/>
      <c r="Q300" s="53"/>
      <c r="R300" s="54"/>
      <c r="S300" s="55"/>
      <c r="T300" s="56"/>
      <c r="U300" s="56"/>
      <c r="V300" s="42"/>
      <c r="W300" s="57"/>
      <c r="X300" s="58"/>
      <c r="Y300" s="75"/>
      <c r="Z300" s="59"/>
      <c r="AA300" s="61"/>
      <c r="AB300" s="61"/>
      <c r="AC300" s="61"/>
      <c r="AD300" s="62"/>
      <c r="AE300" s="62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</row>
    <row r="301" spans="1:77" x14ac:dyDescent="0.3">
      <c r="A301" s="39"/>
      <c r="B301" s="42"/>
      <c r="C301" s="42"/>
      <c r="D301" s="75"/>
      <c r="E301" s="75"/>
      <c r="F301" s="76"/>
      <c r="G301" s="47"/>
      <c r="H301" s="47"/>
      <c r="I301" s="75"/>
      <c r="J301" s="76"/>
      <c r="K301" s="76"/>
      <c r="L301" s="75"/>
      <c r="M301" s="49"/>
      <c r="N301" s="76"/>
      <c r="O301" s="49"/>
      <c r="P301" s="77"/>
      <c r="Q301" s="53"/>
      <c r="R301" s="54"/>
      <c r="S301" s="55"/>
      <c r="T301" s="56"/>
      <c r="U301" s="56"/>
      <c r="V301" s="42"/>
      <c r="W301" s="57"/>
      <c r="X301" s="58"/>
      <c r="Y301" s="75"/>
      <c r="Z301" s="59"/>
      <c r="AA301" s="61"/>
      <c r="AB301" s="61"/>
      <c r="AC301" s="61"/>
      <c r="AD301" s="62"/>
      <c r="AE301" s="62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</row>
    <row r="302" spans="1:77" x14ac:dyDescent="0.3">
      <c r="A302" s="39"/>
      <c r="B302" s="42"/>
      <c r="C302" s="42"/>
      <c r="D302" s="75"/>
      <c r="E302" s="75"/>
      <c r="F302" s="76"/>
      <c r="G302" s="47"/>
      <c r="H302" s="47"/>
      <c r="I302" s="75"/>
      <c r="J302" s="76"/>
      <c r="K302" s="76"/>
      <c r="L302" s="75"/>
      <c r="M302" s="49"/>
      <c r="N302" s="76"/>
      <c r="O302" s="49"/>
      <c r="P302" s="77"/>
      <c r="Q302" s="53"/>
      <c r="R302" s="54"/>
      <c r="S302" s="55"/>
      <c r="T302" s="56"/>
      <c r="U302" s="56"/>
      <c r="V302" s="42"/>
      <c r="W302" s="57"/>
      <c r="X302" s="58"/>
      <c r="Y302" s="75"/>
      <c r="Z302" s="59"/>
      <c r="AA302" s="61"/>
      <c r="AB302" s="61"/>
      <c r="AC302" s="61"/>
      <c r="AD302" s="62"/>
      <c r="AE302" s="62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</row>
    <row r="303" spans="1:77" x14ac:dyDescent="0.3">
      <c r="A303" s="39"/>
      <c r="B303" s="42"/>
      <c r="C303" s="42"/>
      <c r="D303" s="75"/>
      <c r="E303" s="75"/>
      <c r="F303" s="76"/>
      <c r="G303" s="47"/>
      <c r="H303" s="47"/>
      <c r="I303" s="75"/>
      <c r="J303" s="76"/>
      <c r="K303" s="76"/>
      <c r="L303" s="75"/>
      <c r="M303" s="49"/>
      <c r="N303" s="76"/>
      <c r="O303" s="49"/>
      <c r="P303" s="77"/>
      <c r="Q303" s="53"/>
      <c r="R303" s="54"/>
      <c r="S303" s="55"/>
      <c r="T303" s="56"/>
      <c r="U303" s="56"/>
      <c r="V303" s="42"/>
      <c r="W303" s="57"/>
      <c r="X303" s="58"/>
      <c r="Y303" s="75"/>
      <c r="Z303" s="59"/>
      <c r="AA303" s="61"/>
      <c r="AB303" s="61"/>
      <c r="AC303" s="61"/>
      <c r="AD303" s="62"/>
      <c r="AE303" s="62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</row>
    <row r="304" spans="1:77" x14ac:dyDescent="0.3">
      <c r="A304" s="39"/>
      <c r="B304" s="42"/>
      <c r="C304" s="42"/>
      <c r="D304" s="75"/>
      <c r="E304" s="75"/>
      <c r="F304" s="76"/>
      <c r="G304" s="47"/>
      <c r="H304" s="47"/>
      <c r="I304" s="75"/>
      <c r="J304" s="76"/>
      <c r="K304" s="76"/>
      <c r="L304" s="75"/>
      <c r="M304" s="49"/>
      <c r="N304" s="76"/>
      <c r="O304" s="49"/>
      <c r="P304" s="77"/>
      <c r="Q304" s="53"/>
      <c r="R304" s="54"/>
      <c r="S304" s="55"/>
      <c r="T304" s="56"/>
      <c r="U304" s="56"/>
      <c r="V304" s="42"/>
      <c r="W304" s="57"/>
      <c r="X304" s="58"/>
      <c r="Y304" s="75"/>
      <c r="Z304" s="59"/>
      <c r="AA304" s="61"/>
      <c r="AB304" s="61"/>
      <c r="AC304" s="61"/>
      <c r="AD304" s="62"/>
      <c r="AE304" s="62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</row>
    <row r="305" spans="1:77" x14ac:dyDescent="0.3">
      <c r="A305" s="39"/>
      <c r="B305" s="42"/>
      <c r="C305" s="42"/>
      <c r="D305" s="75"/>
      <c r="E305" s="75"/>
      <c r="F305" s="76"/>
      <c r="G305" s="47"/>
      <c r="H305" s="47"/>
      <c r="I305" s="75"/>
      <c r="J305" s="76"/>
      <c r="K305" s="76"/>
      <c r="L305" s="75"/>
      <c r="M305" s="49"/>
      <c r="N305" s="76"/>
      <c r="O305" s="49"/>
      <c r="P305" s="77"/>
      <c r="Q305" s="53"/>
      <c r="R305" s="54"/>
      <c r="S305" s="55"/>
      <c r="T305" s="56"/>
      <c r="U305" s="56"/>
      <c r="V305" s="42"/>
      <c r="W305" s="57"/>
      <c r="X305" s="58"/>
      <c r="Y305" s="75"/>
      <c r="Z305" s="59"/>
      <c r="AA305" s="61"/>
      <c r="AB305" s="61"/>
      <c r="AC305" s="61"/>
      <c r="AD305" s="62"/>
      <c r="AE305" s="62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</row>
    <row r="306" spans="1:77" x14ac:dyDescent="0.3">
      <c r="A306" s="39"/>
      <c r="B306" s="42"/>
      <c r="C306" s="42"/>
      <c r="D306" s="75"/>
      <c r="E306" s="75"/>
      <c r="F306" s="76"/>
      <c r="G306" s="47"/>
      <c r="H306" s="47"/>
      <c r="I306" s="75"/>
      <c r="J306" s="76"/>
      <c r="K306" s="76"/>
      <c r="L306" s="75"/>
      <c r="M306" s="49"/>
      <c r="N306" s="76"/>
      <c r="O306" s="49"/>
      <c r="P306" s="77"/>
      <c r="Q306" s="53"/>
      <c r="R306" s="54"/>
      <c r="S306" s="55"/>
      <c r="T306" s="56"/>
      <c r="U306" s="56"/>
      <c r="V306" s="42"/>
      <c r="W306" s="57"/>
      <c r="X306" s="58"/>
      <c r="Y306" s="75"/>
      <c r="Z306" s="59"/>
      <c r="AA306" s="61"/>
      <c r="AB306" s="61"/>
      <c r="AC306" s="61"/>
      <c r="AD306" s="62"/>
      <c r="AE306" s="62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</row>
    <row r="307" spans="1:77" x14ac:dyDescent="0.3">
      <c r="A307" s="39"/>
      <c r="B307" s="42"/>
      <c r="C307" s="42"/>
      <c r="D307" s="75"/>
      <c r="E307" s="75"/>
      <c r="F307" s="76"/>
      <c r="G307" s="47"/>
      <c r="H307" s="47"/>
      <c r="I307" s="75"/>
      <c r="J307" s="76"/>
      <c r="K307" s="76"/>
      <c r="L307" s="75"/>
      <c r="M307" s="49"/>
      <c r="N307" s="76"/>
      <c r="O307" s="49"/>
      <c r="P307" s="77"/>
      <c r="Q307" s="53"/>
      <c r="R307" s="54"/>
      <c r="S307" s="55"/>
      <c r="T307" s="56"/>
      <c r="U307" s="56"/>
      <c r="V307" s="42"/>
      <c r="W307" s="57"/>
      <c r="X307" s="58"/>
      <c r="Y307" s="75"/>
      <c r="Z307" s="59"/>
      <c r="AA307" s="61"/>
      <c r="AB307" s="61"/>
      <c r="AC307" s="61"/>
      <c r="AD307" s="62"/>
      <c r="AE307" s="62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</row>
    <row r="308" spans="1:77" x14ac:dyDescent="0.3">
      <c r="A308" s="39"/>
      <c r="B308" s="42"/>
      <c r="C308" s="42"/>
      <c r="D308" s="75"/>
      <c r="E308" s="75"/>
      <c r="F308" s="76"/>
      <c r="G308" s="47"/>
      <c r="H308" s="47"/>
      <c r="I308" s="75"/>
      <c r="J308" s="76"/>
      <c r="K308" s="76"/>
      <c r="L308" s="75"/>
      <c r="M308" s="49"/>
      <c r="N308" s="76"/>
      <c r="O308" s="49"/>
      <c r="P308" s="77"/>
      <c r="Q308" s="53"/>
      <c r="R308" s="54"/>
      <c r="S308" s="55"/>
      <c r="T308" s="56"/>
      <c r="U308" s="56"/>
      <c r="V308" s="42"/>
      <c r="W308" s="57"/>
      <c r="X308" s="58"/>
      <c r="Y308" s="75"/>
      <c r="Z308" s="59"/>
      <c r="AA308" s="61"/>
      <c r="AB308" s="61"/>
      <c r="AC308" s="61"/>
      <c r="AD308" s="62"/>
      <c r="AE308" s="62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</row>
    <row r="309" spans="1:77" x14ac:dyDescent="0.3">
      <c r="A309" s="39"/>
      <c r="B309" s="42"/>
      <c r="C309" s="42"/>
      <c r="D309" s="75"/>
      <c r="E309" s="75"/>
      <c r="F309" s="76"/>
      <c r="G309" s="47"/>
      <c r="H309" s="47"/>
      <c r="I309" s="75"/>
      <c r="J309" s="76"/>
      <c r="K309" s="76"/>
      <c r="L309" s="75"/>
      <c r="M309" s="49"/>
      <c r="N309" s="76"/>
      <c r="O309" s="49"/>
      <c r="P309" s="77"/>
      <c r="Q309" s="53"/>
      <c r="R309" s="54"/>
      <c r="S309" s="55"/>
      <c r="T309" s="56"/>
      <c r="U309" s="56"/>
      <c r="V309" s="42"/>
      <c r="W309" s="57"/>
      <c r="X309" s="58"/>
      <c r="Y309" s="75"/>
      <c r="Z309" s="59"/>
      <c r="AA309" s="61"/>
      <c r="AB309" s="61"/>
      <c r="AC309" s="61"/>
      <c r="AD309" s="62"/>
      <c r="AE309" s="62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</row>
    <row r="310" spans="1:77" x14ac:dyDescent="0.3">
      <c r="A310" s="39"/>
      <c r="B310" s="42"/>
      <c r="C310" s="42"/>
      <c r="D310" s="75"/>
      <c r="E310" s="75"/>
      <c r="F310" s="76"/>
      <c r="G310" s="47"/>
      <c r="H310" s="47"/>
      <c r="I310" s="75"/>
      <c r="J310" s="76"/>
      <c r="K310" s="76"/>
      <c r="L310" s="75"/>
      <c r="M310" s="49"/>
      <c r="N310" s="76"/>
      <c r="O310" s="49"/>
      <c r="P310" s="77"/>
      <c r="Q310" s="53"/>
      <c r="R310" s="54"/>
      <c r="S310" s="55"/>
      <c r="T310" s="56"/>
      <c r="U310" s="56"/>
      <c r="V310" s="42"/>
      <c r="W310" s="57"/>
      <c r="X310" s="58"/>
      <c r="Y310" s="75"/>
      <c r="Z310" s="59"/>
      <c r="AA310" s="61"/>
      <c r="AB310" s="61"/>
      <c r="AC310" s="61"/>
      <c r="AD310" s="62"/>
      <c r="AE310" s="62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</row>
    <row r="311" spans="1:77" x14ac:dyDescent="0.3">
      <c r="A311" s="39"/>
      <c r="B311" s="42"/>
      <c r="C311" s="42"/>
      <c r="D311" s="75"/>
      <c r="E311" s="75"/>
      <c r="F311" s="76"/>
      <c r="G311" s="47"/>
      <c r="H311" s="47"/>
      <c r="I311" s="75"/>
      <c r="J311" s="76"/>
      <c r="K311" s="76"/>
      <c r="L311" s="75"/>
      <c r="M311" s="49"/>
      <c r="N311" s="76"/>
      <c r="O311" s="49"/>
      <c r="P311" s="77"/>
      <c r="Q311" s="53"/>
      <c r="R311" s="54"/>
      <c r="S311" s="55"/>
      <c r="T311" s="56"/>
      <c r="U311" s="56"/>
      <c r="V311" s="42"/>
      <c r="W311" s="57"/>
      <c r="X311" s="58"/>
      <c r="Y311" s="75"/>
      <c r="Z311" s="59"/>
      <c r="AA311" s="61"/>
      <c r="AB311" s="61"/>
      <c r="AC311" s="61"/>
      <c r="AD311" s="62"/>
      <c r="AE311" s="62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</row>
    <row r="312" spans="1:77" x14ac:dyDescent="0.3">
      <c r="A312" s="39"/>
      <c r="B312" s="42"/>
      <c r="C312" s="42"/>
      <c r="D312" s="75"/>
      <c r="E312" s="75"/>
      <c r="F312" s="76"/>
      <c r="G312" s="47"/>
      <c r="H312" s="47"/>
      <c r="I312" s="75"/>
      <c r="J312" s="76"/>
      <c r="K312" s="76"/>
      <c r="L312" s="75"/>
      <c r="M312" s="49"/>
      <c r="N312" s="76"/>
      <c r="O312" s="49"/>
      <c r="P312" s="77"/>
      <c r="Q312" s="53"/>
      <c r="R312" s="54"/>
      <c r="S312" s="55"/>
      <c r="T312" s="56"/>
      <c r="U312" s="56"/>
      <c r="V312" s="42"/>
      <c r="W312" s="57"/>
      <c r="X312" s="58"/>
      <c r="Y312" s="75"/>
      <c r="Z312" s="59"/>
      <c r="AA312" s="61"/>
      <c r="AB312" s="61"/>
      <c r="AC312" s="61"/>
      <c r="AD312" s="62"/>
      <c r="AE312" s="62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</row>
    <row r="313" spans="1:77" x14ac:dyDescent="0.3">
      <c r="A313" s="39"/>
      <c r="B313" s="42"/>
      <c r="C313" s="42"/>
      <c r="D313" s="75"/>
      <c r="E313" s="75"/>
      <c r="F313" s="76"/>
      <c r="G313" s="47"/>
      <c r="H313" s="47"/>
      <c r="I313" s="75"/>
      <c r="J313" s="76"/>
      <c r="K313" s="76"/>
      <c r="L313" s="75"/>
      <c r="M313" s="49"/>
      <c r="N313" s="76"/>
      <c r="O313" s="49"/>
      <c r="P313" s="77"/>
      <c r="Q313" s="53"/>
      <c r="R313" s="54"/>
      <c r="S313" s="55"/>
      <c r="T313" s="56"/>
      <c r="U313" s="56"/>
      <c r="V313" s="42"/>
      <c r="W313" s="57"/>
      <c r="X313" s="58"/>
      <c r="Y313" s="75"/>
      <c r="Z313" s="59"/>
      <c r="AA313" s="61"/>
      <c r="AB313" s="61"/>
      <c r="AC313" s="61"/>
      <c r="AD313" s="62"/>
      <c r="AE313" s="62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</row>
    <row r="314" spans="1:77" x14ac:dyDescent="0.3">
      <c r="A314" s="39"/>
      <c r="B314" s="42"/>
      <c r="C314" s="42"/>
      <c r="D314" s="75"/>
      <c r="E314" s="75"/>
      <c r="F314" s="76"/>
      <c r="G314" s="47"/>
      <c r="H314" s="47"/>
      <c r="I314" s="75"/>
      <c r="J314" s="76"/>
      <c r="K314" s="76"/>
      <c r="L314" s="75"/>
      <c r="M314" s="49"/>
      <c r="N314" s="76"/>
      <c r="O314" s="49"/>
      <c r="P314" s="77"/>
      <c r="Q314" s="53"/>
      <c r="R314" s="54"/>
      <c r="S314" s="55"/>
      <c r="T314" s="56"/>
      <c r="U314" s="56"/>
      <c r="V314" s="42"/>
      <c r="W314" s="57"/>
      <c r="X314" s="58"/>
      <c r="Y314" s="75"/>
      <c r="Z314" s="59"/>
      <c r="AA314" s="61"/>
      <c r="AB314" s="61"/>
      <c r="AC314" s="61"/>
      <c r="AD314" s="62"/>
      <c r="AE314" s="62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</row>
    <row r="315" spans="1:77" x14ac:dyDescent="0.3">
      <c r="A315" s="39"/>
      <c r="B315" s="42"/>
      <c r="C315" s="42"/>
      <c r="D315" s="75"/>
      <c r="E315" s="75"/>
      <c r="F315" s="76"/>
      <c r="G315" s="47"/>
      <c r="H315" s="47"/>
      <c r="I315" s="75"/>
      <c r="J315" s="76"/>
      <c r="K315" s="76"/>
      <c r="L315" s="75"/>
      <c r="M315" s="49"/>
      <c r="N315" s="76"/>
      <c r="O315" s="49"/>
      <c r="P315" s="77"/>
      <c r="Q315" s="53"/>
      <c r="R315" s="54"/>
      <c r="S315" s="55"/>
      <c r="T315" s="56"/>
      <c r="U315" s="56"/>
      <c r="V315" s="42"/>
      <c r="W315" s="57"/>
      <c r="X315" s="58"/>
      <c r="Y315" s="75"/>
      <c r="Z315" s="59"/>
      <c r="AA315" s="61"/>
      <c r="AB315" s="61"/>
      <c r="AC315" s="61"/>
      <c r="AD315" s="62"/>
      <c r="AE315" s="62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</row>
    <row r="316" spans="1:77" x14ac:dyDescent="0.3">
      <c r="A316" s="39"/>
      <c r="B316" s="42"/>
      <c r="C316" s="42"/>
      <c r="D316" s="75"/>
      <c r="E316" s="75"/>
      <c r="F316" s="76"/>
      <c r="G316" s="47"/>
      <c r="H316" s="47"/>
      <c r="I316" s="75"/>
      <c r="J316" s="76"/>
      <c r="K316" s="76"/>
      <c r="L316" s="75"/>
      <c r="M316" s="49"/>
      <c r="N316" s="76"/>
      <c r="O316" s="49"/>
      <c r="P316" s="77"/>
      <c r="Q316" s="53"/>
      <c r="R316" s="54"/>
      <c r="S316" s="55"/>
      <c r="T316" s="56"/>
      <c r="U316" s="56"/>
      <c r="V316" s="42"/>
      <c r="W316" s="57"/>
      <c r="X316" s="58"/>
      <c r="Y316" s="75"/>
      <c r="Z316" s="59"/>
      <c r="AA316" s="61"/>
      <c r="AB316" s="61"/>
      <c r="AC316" s="61"/>
      <c r="AD316" s="62"/>
      <c r="AE316" s="62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</row>
    <row r="317" spans="1:77" x14ac:dyDescent="0.3">
      <c r="A317" s="39"/>
      <c r="B317" s="42"/>
      <c r="C317" s="42"/>
      <c r="D317" s="75"/>
      <c r="E317" s="75"/>
      <c r="F317" s="76"/>
      <c r="G317" s="47"/>
      <c r="H317" s="47"/>
      <c r="I317" s="75"/>
      <c r="J317" s="76"/>
      <c r="K317" s="76"/>
      <c r="L317" s="75"/>
      <c r="M317" s="49"/>
      <c r="N317" s="76"/>
      <c r="O317" s="49"/>
      <c r="P317" s="77"/>
      <c r="Q317" s="53"/>
      <c r="R317" s="54"/>
      <c r="S317" s="55"/>
      <c r="T317" s="56"/>
      <c r="U317" s="56"/>
      <c r="V317" s="42"/>
      <c r="W317" s="57"/>
      <c r="X317" s="58"/>
      <c r="Y317" s="75"/>
      <c r="Z317" s="59"/>
      <c r="AA317" s="61"/>
      <c r="AB317" s="61"/>
      <c r="AC317" s="61"/>
      <c r="AD317" s="62"/>
      <c r="AE317" s="62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</row>
    <row r="318" spans="1:77" x14ac:dyDescent="0.3">
      <c r="A318" s="39"/>
      <c r="B318" s="42"/>
      <c r="C318" s="42"/>
      <c r="D318" s="75"/>
      <c r="E318" s="75"/>
      <c r="F318" s="76"/>
      <c r="G318" s="47"/>
      <c r="H318" s="47"/>
      <c r="I318" s="75"/>
      <c r="J318" s="76"/>
      <c r="K318" s="76"/>
      <c r="L318" s="75"/>
      <c r="M318" s="49"/>
      <c r="N318" s="76"/>
      <c r="O318" s="49"/>
      <c r="P318" s="77"/>
      <c r="Q318" s="53"/>
      <c r="R318" s="54"/>
      <c r="S318" s="55"/>
      <c r="T318" s="56"/>
      <c r="U318" s="56"/>
      <c r="V318" s="42"/>
      <c r="W318" s="57"/>
      <c r="X318" s="58"/>
      <c r="Y318" s="75"/>
      <c r="Z318" s="59"/>
      <c r="AA318" s="61"/>
      <c r="AB318" s="61"/>
      <c r="AC318" s="61"/>
      <c r="AD318" s="62"/>
      <c r="AE318" s="62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</row>
    <row r="319" spans="1:77" x14ac:dyDescent="0.3">
      <c r="A319" s="39"/>
      <c r="B319" s="42"/>
      <c r="C319" s="42"/>
      <c r="D319" s="75"/>
      <c r="E319" s="75"/>
      <c r="F319" s="76"/>
      <c r="G319" s="47"/>
      <c r="H319" s="47"/>
      <c r="I319" s="75"/>
      <c r="J319" s="76"/>
      <c r="K319" s="76"/>
      <c r="L319" s="75"/>
      <c r="M319" s="49"/>
      <c r="N319" s="76"/>
      <c r="O319" s="49"/>
      <c r="P319" s="77"/>
      <c r="Q319" s="53"/>
      <c r="R319" s="54"/>
      <c r="S319" s="55"/>
      <c r="T319" s="56"/>
      <c r="U319" s="56"/>
      <c r="V319" s="42"/>
      <c r="W319" s="57"/>
      <c r="X319" s="58"/>
      <c r="Y319" s="75"/>
      <c r="Z319" s="59"/>
      <c r="AA319" s="61"/>
      <c r="AB319" s="61"/>
      <c r="AC319" s="61"/>
      <c r="AD319" s="62"/>
      <c r="AE319" s="62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</row>
    <row r="320" spans="1:77" x14ac:dyDescent="0.3">
      <c r="A320" s="39"/>
      <c r="B320" s="42"/>
      <c r="C320" s="42"/>
      <c r="D320" s="75"/>
      <c r="E320" s="75"/>
      <c r="F320" s="76"/>
      <c r="G320" s="47"/>
      <c r="H320" s="47"/>
      <c r="I320" s="75"/>
      <c r="J320" s="76"/>
      <c r="K320" s="76"/>
      <c r="L320" s="75"/>
      <c r="M320" s="49"/>
      <c r="N320" s="76"/>
      <c r="O320" s="49"/>
      <c r="P320" s="77"/>
      <c r="Q320" s="53"/>
      <c r="R320" s="54"/>
      <c r="S320" s="55"/>
      <c r="T320" s="56"/>
      <c r="U320" s="56"/>
      <c r="V320" s="42"/>
      <c r="W320" s="57"/>
      <c r="X320" s="58"/>
      <c r="Y320" s="75"/>
      <c r="Z320" s="59"/>
      <c r="AA320" s="61"/>
      <c r="AB320" s="61"/>
      <c r="AC320" s="61"/>
      <c r="AD320" s="62"/>
      <c r="AE320" s="62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</row>
    <row r="321" spans="1:77" x14ac:dyDescent="0.3">
      <c r="A321" s="39"/>
      <c r="B321" s="42"/>
      <c r="C321" s="42"/>
      <c r="D321" s="75"/>
      <c r="E321" s="75"/>
      <c r="F321" s="76"/>
      <c r="G321" s="47"/>
      <c r="H321" s="47"/>
      <c r="I321" s="75"/>
      <c r="J321" s="76"/>
      <c r="K321" s="76"/>
      <c r="L321" s="75"/>
      <c r="M321" s="49"/>
      <c r="N321" s="76"/>
      <c r="O321" s="49"/>
      <c r="P321" s="77"/>
      <c r="Q321" s="53"/>
      <c r="R321" s="54"/>
      <c r="S321" s="55"/>
      <c r="T321" s="56"/>
      <c r="U321" s="56"/>
      <c r="V321" s="42"/>
      <c r="W321" s="57"/>
      <c r="X321" s="58"/>
      <c r="Y321" s="75"/>
      <c r="Z321" s="59"/>
      <c r="AA321" s="61"/>
      <c r="AB321" s="61"/>
      <c r="AC321" s="61"/>
      <c r="AD321" s="62"/>
      <c r="AE321" s="62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</row>
    <row r="322" spans="1:77" x14ac:dyDescent="0.3">
      <c r="A322" s="39"/>
      <c r="B322" s="42"/>
      <c r="C322" s="42"/>
      <c r="D322" s="75"/>
      <c r="E322" s="75"/>
      <c r="F322" s="76"/>
      <c r="G322" s="47"/>
      <c r="H322" s="47"/>
      <c r="I322" s="75"/>
      <c r="J322" s="76"/>
      <c r="K322" s="76"/>
      <c r="L322" s="75"/>
      <c r="M322" s="49"/>
      <c r="N322" s="76"/>
      <c r="O322" s="49"/>
      <c r="P322" s="77"/>
      <c r="Q322" s="53"/>
      <c r="R322" s="54"/>
      <c r="S322" s="55"/>
      <c r="T322" s="56"/>
      <c r="U322" s="56"/>
      <c r="V322" s="42"/>
      <c r="W322" s="57"/>
      <c r="X322" s="58"/>
      <c r="Y322" s="75"/>
      <c r="Z322" s="59"/>
      <c r="AA322" s="61"/>
      <c r="AB322" s="61"/>
      <c r="AC322" s="61"/>
      <c r="AD322" s="62"/>
      <c r="AE322" s="62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</row>
    <row r="323" spans="1:77" x14ac:dyDescent="0.3">
      <c r="A323" s="39"/>
      <c r="B323" s="42"/>
      <c r="C323" s="42"/>
      <c r="D323" s="75"/>
      <c r="E323" s="75"/>
      <c r="F323" s="76"/>
      <c r="G323" s="47"/>
      <c r="H323" s="47"/>
      <c r="I323" s="75"/>
      <c r="J323" s="76"/>
      <c r="K323" s="76"/>
      <c r="L323" s="75"/>
      <c r="M323" s="49"/>
      <c r="N323" s="76"/>
      <c r="O323" s="49"/>
      <c r="P323" s="77"/>
      <c r="Q323" s="53"/>
      <c r="R323" s="54"/>
      <c r="S323" s="55"/>
      <c r="T323" s="56"/>
      <c r="U323" s="56"/>
      <c r="V323" s="42"/>
      <c r="W323" s="57"/>
      <c r="X323" s="58"/>
      <c r="Y323" s="75"/>
      <c r="Z323" s="59"/>
      <c r="AA323" s="61"/>
      <c r="AB323" s="61"/>
      <c r="AC323" s="61"/>
      <c r="AD323" s="62"/>
      <c r="AE323" s="62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</row>
    <row r="324" spans="1:77" x14ac:dyDescent="0.3">
      <c r="A324" s="39"/>
      <c r="B324" s="42"/>
      <c r="C324" s="42"/>
      <c r="D324" s="75"/>
      <c r="E324" s="75"/>
      <c r="F324" s="76"/>
      <c r="G324" s="47"/>
      <c r="H324" s="47"/>
      <c r="I324" s="75"/>
      <c r="J324" s="76"/>
      <c r="K324" s="76"/>
      <c r="L324" s="75"/>
      <c r="M324" s="49"/>
      <c r="N324" s="76"/>
      <c r="O324" s="49"/>
      <c r="P324" s="77"/>
      <c r="Q324" s="53"/>
      <c r="R324" s="54"/>
      <c r="S324" s="55"/>
      <c r="T324" s="56"/>
      <c r="U324" s="56"/>
      <c r="V324" s="42"/>
      <c r="W324" s="57"/>
      <c r="X324" s="58"/>
      <c r="Y324" s="75"/>
      <c r="Z324" s="59"/>
      <c r="AA324" s="61"/>
      <c r="AB324" s="61"/>
      <c r="AC324" s="61"/>
      <c r="AD324" s="62"/>
      <c r="AE324" s="62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</row>
    <row r="325" spans="1:77" x14ac:dyDescent="0.3">
      <c r="A325" s="39"/>
      <c r="B325" s="42"/>
      <c r="C325" s="42"/>
      <c r="D325" s="75"/>
      <c r="E325" s="75"/>
      <c r="F325" s="76"/>
      <c r="G325" s="47"/>
      <c r="H325" s="47"/>
      <c r="I325" s="75"/>
      <c r="J325" s="76"/>
      <c r="K325" s="76"/>
      <c r="L325" s="75"/>
      <c r="M325" s="49"/>
      <c r="N325" s="76"/>
      <c r="O325" s="49"/>
      <c r="P325" s="77"/>
      <c r="Q325" s="53"/>
      <c r="R325" s="54"/>
      <c r="S325" s="55"/>
      <c r="T325" s="56"/>
      <c r="U325" s="56"/>
      <c r="V325" s="42"/>
      <c r="W325" s="57"/>
      <c r="X325" s="58"/>
      <c r="Y325" s="75"/>
      <c r="Z325" s="59"/>
      <c r="AA325" s="61"/>
      <c r="AB325" s="61"/>
      <c r="AC325" s="61"/>
      <c r="AD325" s="62"/>
      <c r="AE325" s="62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</row>
    <row r="326" spans="1:77" x14ac:dyDescent="0.3">
      <c r="A326" s="39"/>
      <c r="B326" s="42"/>
      <c r="C326" s="42"/>
      <c r="D326" s="75"/>
      <c r="E326" s="75"/>
      <c r="F326" s="76"/>
      <c r="G326" s="47"/>
      <c r="H326" s="47"/>
      <c r="I326" s="75"/>
      <c r="J326" s="76"/>
      <c r="K326" s="76"/>
      <c r="L326" s="75"/>
      <c r="M326" s="49"/>
      <c r="N326" s="76"/>
      <c r="O326" s="49"/>
      <c r="P326" s="77"/>
      <c r="Q326" s="53"/>
      <c r="R326" s="54"/>
      <c r="S326" s="55"/>
      <c r="T326" s="56"/>
      <c r="U326" s="56"/>
      <c r="V326" s="42"/>
      <c r="W326" s="57"/>
      <c r="X326" s="58"/>
      <c r="Y326" s="75"/>
      <c r="Z326" s="59"/>
      <c r="AA326" s="61"/>
      <c r="AB326" s="61"/>
      <c r="AC326" s="61"/>
      <c r="AD326" s="62"/>
      <c r="AE326" s="62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</row>
    <row r="327" spans="1:77" x14ac:dyDescent="0.3">
      <c r="A327" s="39"/>
      <c r="B327" s="42"/>
      <c r="C327" s="42"/>
      <c r="D327" s="75"/>
      <c r="E327" s="75"/>
      <c r="F327" s="76"/>
      <c r="G327" s="47"/>
      <c r="H327" s="47"/>
      <c r="I327" s="75"/>
      <c r="J327" s="76"/>
      <c r="K327" s="76"/>
      <c r="L327" s="75"/>
      <c r="M327" s="49"/>
      <c r="N327" s="76"/>
      <c r="O327" s="49"/>
      <c r="P327" s="77"/>
      <c r="Q327" s="53"/>
      <c r="R327" s="54"/>
      <c r="S327" s="55"/>
      <c r="T327" s="56"/>
      <c r="U327" s="56"/>
      <c r="V327" s="42"/>
      <c r="W327" s="57"/>
      <c r="X327" s="58"/>
      <c r="Y327" s="75"/>
      <c r="Z327" s="59"/>
      <c r="AA327" s="61"/>
      <c r="AB327" s="61"/>
      <c r="AC327" s="61"/>
      <c r="AD327" s="62"/>
      <c r="AE327" s="62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</row>
    <row r="328" spans="1:77" x14ac:dyDescent="0.3">
      <c r="A328" s="39"/>
      <c r="B328" s="42"/>
      <c r="C328" s="42"/>
      <c r="D328" s="75"/>
      <c r="E328" s="75"/>
      <c r="F328" s="76"/>
      <c r="G328" s="47"/>
      <c r="H328" s="47"/>
      <c r="I328" s="75"/>
      <c r="J328" s="76"/>
      <c r="K328" s="76"/>
      <c r="L328" s="75"/>
      <c r="M328" s="49"/>
      <c r="N328" s="76"/>
      <c r="O328" s="49"/>
      <c r="P328" s="77"/>
      <c r="Q328" s="53"/>
      <c r="R328" s="54"/>
      <c r="S328" s="55"/>
      <c r="T328" s="56"/>
      <c r="U328" s="56"/>
      <c r="V328" s="42"/>
      <c r="W328" s="57"/>
      <c r="X328" s="58"/>
      <c r="Y328" s="75"/>
      <c r="Z328" s="59"/>
      <c r="AA328" s="61"/>
      <c r="AB328" s="61"/>
      <c r="AC328" s="61"/>
      <c r="AD328" s="62"/>
      <c r="AE328" s="62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</row>
    <row r="329" spans="1:77" x14ac:dyDescent="0.3">
      <c r="A329" s="39"/>
      <c r="B329" s="42"/>
      <c r="C329" s="42"/>
      <c r="D329" s="75"/>
      <c r="E329" s="75"/>
      <c r="F329" s="76"/>
      <c r="G329" s="47"/>
      <c r="H329" s="47"/>
      <c r="I329" s="75"/>
      <c r="J329" s="76"/>
      <c r="K329" s="76"/>
      <c r="L329" s="75"/>
      <c r="M329" s="49"/>
      <c r="N329" s="76"/>
      <c r="O329" s="49"/>
      <c r="P329" s="77"/>
      <c r="Q329" s="53"/>
      <c r="R329" s="54"/>
      <c r="S329" s="55"/>
      <c r="T329" s="56"/>
      <c r="U329" s="56"/>
      <c r="V329" s="42"/>
      <c r="W329" s="57"/>
      <c r="X329" s="58"/>
      <c r="Y329" s="75"/>
      <c r="Z329" s="59"/>
      <c r="AA329" s="61"/>
      <c r="AB329" s="61"/>
      <c r="AC329" s="61"/>
      <c r="AD329" s="62"/>
      <c r="AE329" s="62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</row>
    <row r="330" spans="1:77" x14ac:dyDescent="0.3">
      <c r="A330" s="39"/>
      <c r="B330" s="42"/>
      <c r="C330" s="42"/>
      <c r="D330" s="75"/>
      <c r="E330" s="75"/>
      <c r="F330" s="76"/>
      <c r="G330" s="47"/>
      <c r="H330" s="47"/>
      <c r="I330" s="75"/>
      <c r="J330" s="76"/>
      <c r="K330" s="76"/>
      <c r="L330" s="75"/>
      <c r="M330" s="49"/>
      <c r="N330" s="76"/>
      <c r="O330" s="49"/>
      <c r="P330" s="77"/>
      <c r="Q330" s="53"/>
      <c r="R330" s="54"/>
      <c r="S330" s="55"/>
      <c r="T330" s="56"/>
      <c r="U330" s="56"/>
      <c r="V330" s="42"/>
      <c r="W330" s="57"/>
      <c r="X330" s="58"/>
      <c r="Y330" s="75"/>
      <c r="Z330" s="59"/>
      <c r="AA330" s="61"/>
      <c r="AB330" s="61"/>
      <c r="AC330" s="61"/>
      <c r="AD330" s="62"/>
      <c r="AE330" s="62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</row>
    <row r="331" spans="1:77" x14ac:dyDescent="0.3">
      <c r="A331" s="39"/>
      <c r="B331" s="42"/>
      <c r="C331" s="42"/>
      <c r="D331" s="75"/>
      <c r="E331" s="75"/>
      <c r="F331" s="76"/>
      <c r="G331" s="47"/>
      <c r="H331" s="47"/>
      <c r="I331" s="75"/>
      <c r="J331" s="76"/>
      <c r="K331" s="76"/>
      <c r="L331" s="75"/>
      <c r="M331" s="49"/>
      <c r="N331" s="76"/>
      <c r="O331" s="49"/>
      <c r="P331" s="77"/>
      <c r="Q331" s="53"/>
      <c r="R331" s="54"/>
      <c r="S331" s="55"/>
      <c r="T331" s="56"/>
      <c r="U331" s="56"/>
      <c r="V331" s="42"/>
      <c r="W331" s="57"/>
      <c r="X331" s="58"/>
      <c r="Y331" s="75"/>
      <c r="Z331" s="59"/>
      <c r="AA331" s="61"/>
      <c r="AB331" s="61"/>
      <c r="AC331" s="61"/>
      <c r="AD331" s="62"/>
      <c r="AE331" s="62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</row>
    <row r="332" spans="1:77" x14ac:dyDescent="0.3">
      <c r="A332" s="39"/>
      <c r="B332" s="42"/>
      <c r="C332" s="42"/>
      <c r="D332" s="75"/>
      <c r="E332" s="75"/>
      <c r="F332" s="76"/>
      <c r="G332" s="47"/>
      <c r="H332" s="47"/>
      <c r="I332" s="75"/>
      <c r="J332" s="76"/>
      <c r="K332" s="76"/>
      <c r="L332" s="75"/>
      <c r="M332" s="49"/>
      <c r="N332" s="76"/>
      <c r="O332" s="49"/>
      <c r="P332" s="77"/>
      <c r="Q332" s="53"/>
      <c r="R332" s="54"/>
      <c r="S332" s="55"/>
      <c r="T332" s="56"/>
      <c r="U332" s="56"/>
      <c r="V332" s="42"/>
      <c r="W332" s="57"/>
      <c r="X332" s="58"/>
      <c r="Y332" s="75"/>
      <c r="Z332" s="59"/>
      <c r="AA332" s="61"/>
      <c r="AB332" s="61"/>
      <c r="AC332" s="61"/>
      <c r="AD332" s="62"/>
      <c r="AE332" s="62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</row>
    <row r="333" spans="1:77" x14ac:dyDescent="0.3">
      <c r="A333" s="39"/>
      <c r="B333" s="42"/>
      <c r="C333" s="42"/>
      <c r="D333" s="75"/>
      <c r="E333" s="75"/>
      <c r="F333" s="76"/>
      <c r="G333" s="47"/>
      <c r="H333" s="47"/>
      <c r="I333" s="75"/>
      <c r="J333" s="76"/>
      <c r="K333" s="76"/>
      <c r="L333" s="75"/>
      <c r="M333" s="49"/>
      <c r="N333" s="76"/>
      <c r="O333" s="49"/>
      <c r="P333" s="77"/>
      <c r="Q333" s="53"/>
      <c r="R333" s="54"/>
      <c r="S333" s="55"/>
      <c r="T333" s="56"/>
      <c r="U333" s="56"/>
      <c r="V333" s="42"/>
      <c r="W333" s="57"/>
      <c r="X333" s="58"/>
      <c r="Y333" s="75"/>
      <c r="Z333" s="59"/>
      <c r="AA333" s="61"/>
      <c r="AB333" s="61"/>
      <c r="AC333" s="61"/>
      <c r="AD333" s="62"/>
      <c r="AE333" s="62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</row>
    <row r="334" spans="1:77" x14ac:dyDescent="0.3">
      <c r="A334" s="39"/>
      <c r="B334" s="42"/>
      <c r="C334" s="42"/>
      <c r="D334" s="75"/>
      <c r="E334" s="75"/>
      <c r="F334" s="76"/>
      <c r="G334" s="47"/>
      <c r="H334" s="47"/>
      <c r="I334" s="75"/>
      <c r="J334" s="76"/>
      <c r="K334" s="76"/>
      <c r="L334" s="75"/>
      <c r="M334" s="49"/>
      <c r="N334" s="76"/>
      <c r="O334" s="49"/>
      <c r="P334" s="77"/>
      <c r="Q334" s="53"/>
      <c r="R334" s="54"/>
      <c r="S334" s="55"/>
      <c r="T334" s="56"/>
      <c r="U334" s="56"/>
      <c r="V334" s="42"/>
      <c r="W334" s="57"/>
      <c r="X334" s="58"/>
      <c r="Y334" s="75"/>
      <c r="Z334" s="59"/>
      <c r="AA334" s="61"/>
      <c r="AB334" s="61"/>
      <c r="AC334" s="61"/>
      <c r="AD334" s="62"/>
      <c r="AE334" s="62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</row>
    <row r="335" spans="1:77" x14ac:dyDescent="0.3">
      <c r="A335" s="39"/>
      <c r="B335" s="42"/>
      <c r="C335" s="42"/>
      <c r="D335" s="75"/>
      <c r="E335" s="75"/>
      <c r="F335" s="76"/>
      <c r="G335" s="47"/>
      <c r="H335" s="47"/>
      <c r="I335" s="75"/>
      <c r="J335" s="76"/>
      <c r="K335" s="76"/>
      <c r="L335" s="75"/>
      <c r="M335" s="49"/>
      <c r="N335" s="76"/>
      <c r="O335" s="49"/>
      <c r="P335" s="77"/>
      <c r="Q335" s="53"/>
      <c r="R335" s="54"/>
      <c r="S335" s="55"/>
      <c r="T335" s="56"/>
      <c r="U335" s="56"/>
      <c r="V335" s="42"/>
      <c r="W335" s="57"/>
      <c r="X335" s="58"/>
      <c r="Y335" s="75"/>
      <c r="Z335" s="59"/>
      <c r="AA335" s="61"/>
      <c r="AB335" s="61"/>
      <c r="AC335" s="61"/>
      <c r="AD335" s="62"/>
      <c r="AE335" s="62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</row>
    <row r="336" spans="1:77" x14ac:dyDescent="0.3">
      <c r="A336" s="39"/>
      <c r="B336" s="42"/>
      <c r="C336" s="42"/>
      <c r="D336" s="75"/>
      <c r="E336" s="75"/>
      <c r="F336" s="76"/>
      <c r="G336" s="47"/>
      <c r="H336" s="47"/>
      <c r="I336" s="75"/>
      <c r="J336" s="76"/>
      <c r="K336" s="76"/>
      <c r="L336" s="75"/>
      <c r="M336" s="49"/>
      <c r="N336" s="76"/>
      <c r="O336" s="49"/>
      <c r="P336" s="77"/>
      <c r="Q336" s="53"/>
      <c r="R336" s="54"/>
      <c r="S336" s="55"/>
      <c r="T336" s="56"/>
      <c r="U336" s="56"/>
      <c r="V336" s="42"/>
      <c r="W336" s="57"/>
      <c r="X336" s="58"/>
      <c r="Y336" s="75"/>
      <c r="Z336" s="59"/>
      <c r="AA336" s="61"/>
      <c r="AB336" s="61"/>
      <c r="AC336" s="61"/>
      <c r="AD336" s="62"/>
      <c r="AE336" s="62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</row>
    <row r="337" spans="1:77" x14ac:dyDescent="0.3">
      <c r="A337" s="39"/>
      <c r="B337" s="42"/>
      <c r="C337" s="42"/>
      <c r="D337" s="75"/>
      <c r="E337" s="75"/>
      <c r="F337" s="76"/>
      <c r="G337" s="47"/>
      <c r="H337" s="47"/>
      <c r="I337" s="75"/>
      <c r="J337" s="76"/>
      <c r="K337" s="76"/>
      <c r="L337" s="75"/>
      <c r="M337" s="49"/>
      <c r="N337" s="76"/>
      <c r="O337" s="49"/>
      <c r="P337" s="77"/>
      <c r="Q337" s="53"/>
      <c r="R337" s="54"/>
      <c r="S337" s="55"/>
      <c r="T337" s="56"/>
      <c r="U337" s="56"/>
      <c r="V337" s="42"/>
      <c r="W337" s="57"/>
      <c r="X337" s="58"/>
      <c r="Y337" s="75"/>
      <c r="Z337" s="59"/>
      <c r="AA337" s="61"/>
      <c r="AB337" s="61"/>
      <c r="AC337" s="61"/>
      <c r="AD337" s="62"/>
      <c r="AE337" s="62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</row>
    <row r="338" spans="1:77" x14ac:dyDescent="0.3">
      <c r="A338" s="39"/>
      <c r="B338" s="42"/>
      <c r="C338" s="42"/>
      <c r="D338" s="75"/>
      <c r="E338" s="75"/>
      <c r="F338" s="76"/>
      <c r="G338" s="47"/>
      <c r="H338" s="47"/>
      <c r="I338" s="75"/>
      <c r="J338" s="76"/>
      <c r="K338" s="76"/>
      <c r="L338" s="75"/>
      <c r="M338" s="49"/>
      <c r="N338" s="76"/>
      <c r="O338" s="49"/>
      <c r="P338" s="77"/>
      <c r="Q338" s="53"/>
      <c r="R338" s="54"/>
      <c r="S338" s="55"/>
      <c r="T338" s="56"/>
      <c r="U338" s="56"/>
      <c r="V338" s="42"/>
      <c r="W338" s="57"/>
      <c r="X338" s="58"/>
      <c r="Y338" s="75"/>
      <c r="Z338" s="59"/>
      <c r="AA338" s="61"/>
      <c r="AB338" s="61"/>
      <c r="AC338" s="61"/>
      <c r="AD338" s="62"/>
      <c r="AE338" s="62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</row>
    <row r="339" spans="1:77" x14ac:dyDescent="0.3">
      <c r="A339" s="39"/>
      <c r="B339" s="42"/>
      <c r="C339" s="42"/>
      <c r="D339" s="75"/>
      <c r="E339" s="75"/>
      <c r="F339" s="76"/>
      <c r="G339" s="47"/>
      <c r="H339" s="47"/>
      <c r="I339" s="75"/>
      <c r="J339" s="76"/>
      <c r="K339" s="76"/>
      <c r="L339" s="75"/>
      <c r="M339" s="49"/>
      <c r="N339" s="76"/>
      <c r="O339" s="49"/>
      <c r="P339" s="77"/>
      <c r="Q339" s="53"/>
      <c r="R339" s="54"/>
      <c r="S339" s="55"/>
      <c r="T339" s="56"/>
      <c r="U339" s="56"/>
      <c r="V339" s="42"/>
      <c r="W339" s="57"/>
      <c r="X339" s="58"/>
      <c r="Y339" s="75"/>
      <c r="Z339" s="59"/>
      <c r="AA339" s="61"/>
      <c r="AB339" s="61"/>
      <c r="AC339" s="61"/>
      <c r="AD339" s="62"/>
      <c r="AE339" s="62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</row>
    <row r="340" spans="1:77" x14ac:dyDescent="0.3">
      <c r="A340" s="39"/>
      <c r="B340" s="42"/>
      <c r="C340" s="42"/>
      <c r="D340" s="75"/>
      <c r="E340" s="75"/>
      <c r="F340" s="76"/>
      <c r="G340" s="47"/>
      <c r="H340" s="47"/>
      <c r="I340" s="75"/>
      <c r="J340" s="76"/>
      <c r="K340" s="76"/>
      <c r="L340" s="75"/>
      <c r="M340" s="49"/>
      <c r="N340" s="76"/>
      <c r="O340" s="49"/>
      <c r="P340" s="77"/>
      <c r="Q340" s="53"/>
      <c r="R340" s="54"/>
      <c r="S340" s="55"/>
      <c r="T340" s="56"/>
      <c r="U340" s="56"/>
      <c r="V340" s="42"/>
      <c r="W340" s="57"/>
      <c r="X340" s="58"/>
      <c r="Y340" s="75"/>
      <c r="Z340" s="59"/>
      <c r="AA340" s="61"/>
      <c r="AB340" s="61"/>
      <c r="AC340" s="61"/>
      <c r="AD340" s="62"/>
      <c r="AE340" s="62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</row>
    <row r="341" spans="1:77" x14ac:dyDescent="0.3">
      <c r="A341" s="39"/>
      <c r="B341" s="42"/>
      <c r="C341" s="42"/>
      <c r="D341" s="75"/>
      <c r="E341" s="75"/>
      <c r="F341" s="76"/>
      <c r="G341" s="47"/>
      <c r="H341" s="47"/>
      <c r="I341" s="75"/>
      <c r="J341" s="76"/>
      <c r="K341" s="76"/>
      <c r="L341" s="75"/>
      <c r="M341" s="49"/>
      <c r="N341" s="76"/>
      <c r="O341" s="49"/>
      <c r="P341" s="77"/>
      <c r="Q341" s="53"/>
      <c r="R341" s="54"/>
      <c r="S341" s="55"/>
      <c r="T341" s="56"/>
      <c r="U341" s="56"/>
      <c r="V341" s="42"/>
      <c r="W341" s="57"/>
      <c r="X341" s="58"/>
      <c r="Y341" s="75"/>
      <c r="Z341" s="59"/>
      <c r="AA341" s="61"/>
      <c r="AB341" s="61"/>
      <c r="AC341" s="61"/>
      <c r="AD341" s="62"/>
      <c r="AE341" s="62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</row>
    <row r="342" spans="1:77" x14ac:dyDescent="0.3">
      <c r="A342" s="39"/>
      <c r="B342" s="42"/>
      <c r="C342" s="42"/>
      <c r="D342" s="75"/>
      <c r="E342" s="75"/>
      <c r="F342" s="76"/>
      <c r="G342" s="47"/>
      <c r="H342" s="47"/>
      <c r="I342" s="75"/>
      <c r="J342" s="76"/>
      <c r="K342" s="76"/>
      <c r="L342" s="75"/>
      <c r="M342" s="49"/>
      <c r="N342" s="76"/>
      <c r="O342" s="49"/>
      <c r="P342" s="77"/>
      <c r="Q342" s="53"/>
      <c r="R342" s="54"/>
      <c r="S342" s="55"/>
      <c r="T342" s="56"/>
      <c r="U342" s="56"/>
      <c r="V342" s="42"/>
      <c r="W342" s="57"/>
      <c r="X342" s="58"/>
      <c r="Y342" s="75"/>
      <c r="Z342" s="59"/>
      <c r="AA342" s="61"/>
      <c r="AB342" s="61"/>
      <c r="AC342" s="61"/>
      <c r="AD342" s="62"/>
      <c r="AE342" s="62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</row>
    <row r="343" spans="1:77" x14ac:dyDescent="0.3">
      <c r="A343" s="39"/>
      <c r="B343" s="42"/>
      <c r="C343" s="42"/>
      <c r="D343" s="75"/>
      <c r="E343" s="75"/>
      <c r="F343" s="76"/>
      <c r="G343" s="47"/>
      <c r="H343" s="47"/>
      <c r="I343" s="75"/>
      <c r="J343" s="76"/>
      <c r="K343" s="76"/>
      <c r="L343" s="75"/>
      <c r="M343" s="49"/>
      <c r="N343" s="76"/>
      <c r="O343" s="49"/>
      <c r="P343" s="77"/>
      <c r="Q343" s="53"/>
      <c r="R343" s="54"/>
      <c r="S343" s="55"/>
      <c r="T343" s="56"/>
      <c r="U343" s="56"/>
      <c r="V343" s="42"/>
      <c r="W343" s="57"/>
      <c r="X343" s="58"/>
      <c r="Y343" s="75"/>
      <c r="Z343" s="59"/>
      <c r="AA343" s="61"/>
      <c r="AB343" s="61"/>
      <c r="AC343" s="61"/>
      <c r="AD343" s="62"/>
      <c r="AE343" s="62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</row>
    <row r="344" spans="1:77" x14ac:dyDescent="0.3">
      <c r="A344" s="39"/>
      <c r="B344" s="42"/>
      <c r="C344" s="42"/>
      <c r="D344" s="75"/>
      <c r="E344" s="75"/>
      <c r="F344" s="76"/>
      <c r="G344" s="47"/>
      <c r="H344" s="47"/>
      <c r="I344" s="75"/>
      <c r="J344" s="76"/>
      <c r="K344" s="76"/>
      <c r="L344" s="75"/>
      <c r="M344" s="49"/>
      <c r="N344" s="76"/>
      <c r="O344" s="49"/>
      <c r="P344" s="77"/>
      <c r="Q344" s="53"/>
      <c r="R344" s="54"/>
      <c r="S344" s="55"/>
      <c r="T344" s="56"/>
      <c r="U344" s="56"/>
      <c r="V344" s="42"/>
      <c r="W344" s="57"/>
      <c r="X344" s="58"/>
      <c r="Y344" s="75"/>
      <c r="Z344" s="59"/>
      <c r="AA344" s="61"/>
      <c r="AB344" s="61"/>
      <c r="AC344" s="61"/>
      <c r="AD344" s="62"/>
      <c r="AE344" s="62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</row>
    <row r="345" spans="1:77" x14ac:dyDescent="0.3">
      <c r="A345" s="39"/>
      <c r="B345" s="42"/>
      <c r="C345" s="42"/>
      <c r="D345" s="75"/>
      <c r="E345" s="75"/>
      <c r="F345" s="76"/>
      <c r="G345" s="47"/>
      <c r="H345" s="47"/>
      <c r="I345" s="75"/>
      <c r="J345" s="76"/>
      <c r="K345" s="76"/>
      <c r="L345" s="75"/>
      <c r="M345" s="49"/>
      <c r="N345" s="76"/>
      <c r="O345" s="49"/>
      <c r="P345" s="77"/>
      <c r="Q345" s="53"/>
      <c r="R345" s="54"/>
      <c r="S345" s="55"/>
      <c r="T345" s="56"/>
      <c r="U345" s="56"/>
      <c r="V345" s="42"/>
      <c r="W345" s="57"/>
      <c r="X345" s="58"/>
      <c r="Y345" s="75"/>
      <c r="Z345" s="59"/>
      <c r="AA345" s="61"/>
      <c r="AB345" s="61"/>
      <c r="AC345" s="61"/>
      <c r="AD345" s="62"/>
      <c r="AE345" s="62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</row>
    <row r="346" spans="1:77" x14ac:dyDescent="0.3">
      <c r="A346" s="39"/>
      <c r="B346" s="42"/>
      <c r="C346" s="42"/>
      <c r="D346" s="75"/>
      <c r="E346" s="75"/>
      <c r="F346" s="76"/>
      <c r="G346" s="47"/>
      <c r="H346" s="47"/>
      <c r="I346" s="75"/>
      <c r="J346" s="76"/>
      <c r="K346" s="76"/>
      <c r="L346" s="75"/>
      <c r="M346" s="49"/>
      <c r="N346" s="76"/>
      <c r="O346" s="49"/>
      <c r="P346" s="77"/>
      <c r="Q346" s="53"/>
      <c r="R346" s="54"/>
      <c r="S346" s="55"/>
      <c r="T346" s="56"/>
      <c r="U346" s="56"/>
      <c r="V346" s="42"/>
      <c r="W346" s="57"/>
      <c r="X346" s="58"/>
      <c r="Y346" s="75"/>
      <c r="Z346" s="59"/>
      <c r="AA346" s="61"/>
      <c r="AB346" s="61"/>
      <c r="AC346" s="61"/>
      <c r="AD346" s="62"/>
      <c r="AE346" s="62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</row>
    <row r="347" spans="1:77" x14ac:dyDescent="0.3">
      <c r="A347" s="39"/>
      <c r="B347" s="42"/>
      <c r="C347" s="42"/>
      <c r="D347" s="75"/>
      <c r="E347" s="75"/>
      <c r="F347" s="76"/>
      <c r="G347" s="47"/>
      <c r="H347" s="47"/>
      <c r="I347" s="75"/>
      <c r="J347" s="76"/>
      <c r="K347" s="76"/>
      <c r="L347" s="75"/>
      <c r="M347" s="49"/>
      <c r="N347" s="76"/>
      <c r="O347" s="49"/>
      <c r="P347" s="77"/>
      <c r="Q347" s="53"/>
      <c r="R347" s="54"/>
      <c r="S347" s="55"/>
      <c r="T347" s="56"/>
      <c r="U347" s="56"/>
      <c r="V347" s="42"/>
      <c r="W347" s="57"/>
      <c r="X347" s="58"/>
      <c r="Y347" s="75"/>
      <c r="Z347" s="59"/>
      <c r="AA347" s="61"/>
      <c r="AB347" s="61"/>
      <c r="AC347" s="61"/>
      <c r="AD347" s="62"/>
      <c r="AE347" s="62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</row>
    <row r="348" spans="1:77" x14ac:dyDescent="0.3">
      <c r="A348" s="39"/>
      <c r="B348" s="42"/>
      <c r="C348" s="42"/>
      <c r="D348" s="75"/>
      <c r="E348" s="75"/>
      <c r="F348" s="76"/>
      <c r="G348" s="47"/>
      <c r="H348" s="47"/>
      <c r="I348" s="75"/>
      <c r="J348" s="76"/>
      <c r="K348" s="76"/>
      <c r="L348" s="75"/>
      <c r="M348" s="49"/>
      <c r="N348" s="76"/>
      <c r="O348" s="49"/>
      <c r="P348" s="77"/>
      <c r="Q348" s="53"/>
      <c r="R348" s="54"/>
      <c r="S348" s="55"/>
      <c r="T348" s="56"/>
      <c r="U348" s="56"/>
      <c r="V348" s="42"/>
      <c r="W348" s="57"/>
      <c r="X348" s="58"/>
      <c r="Y348" s="75"/>
      <c r="Z348" s="59"/>
      <c r="AA348" s="61"/>
      <c r="AB348" s="61"/>
      <c r="AC348" s="61"/>
      <c r="AD348" s="62"/>
      <c r="AE348" s="62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</row>
    <row r="349" spans="1:77" x14ac:dyDescent="0.3">
      <c r="A349" s="39"/>
      <c r="B349" s="42"/>
      <c r="C349" s="42"/>
      <c r="D349" s="75"/>
      <c r="E349" s="75"/>
      <c r="F349" s="76"/>
      <c r="G349" s="47"/>
      <c r="H349" s="47"/>
      <c r="I349" s="75"/>
      <c r="J349" s="76"/>
      <c r="K349" s="76"/>
      <c r="L349" s="75"/>
      <c r="M349" s="49"/>
      <c r="N349" s="76"/>
      <c r="O349" s="49"/>
      <c r="P349" s="77"/>
      <c r="Q349" s="53"/>
      <c r="R349" s="54"/>
      <c r="S349" s="55"/>
      <c r="T349" s="56"/>
      <c r="U349" s="56"/>
      <c r="V349" s="42"/>
      <c r="W349" s="57"/>
      <c r="X349" s="58"/>
      <c r="Y349" s="75"/>
      <c r="Z349" s="59"/>
      <c r="AA349" s="61"/>
      <c r="AB349" s="61"/>
      <c r="AC349" s="61"/>
      <c r="AD349" s="62"/>
      <c r="AE349" s="62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</row>
    <row r="350" spans="1:77" x14ac:dyDescent="0.3">
      <c r="A350" s="39"/>
      <c r="B350" s="42"/>
      <c r="C350" s="42"/>
      <c r="D350" s="75"/>
      <c r="E350" s="75"/>
      <c r="F350" s="76"/>
      <c r="G350" s="47"/>
      <c r="H350" s="47"/>
      <c r="I350" s="75"/>
      <c r="J350" s="76"/>
      <c r="K350" s="76"/>
      <c r="L350" s="75"/>
      <c r="M350" s="49"/>
      <c r="N350" s="76"/>
      <c r="O350" s="49"/>
      <c r="P350" s="77"/>
      <c r="Q350" s="53"/>
      <c r="R350" s="54"/>
      <c r="S350" s="55"/>
      <c r="T350" s="56"/>
      <c r="U350" s="56"/>
      <c r="V350" s="42"/>
      <c r="W350" s="57"/>
      <c r="X350" s="58"/>
      <c r="Y350" s="75"/>
      <c r="Z350" s="59"/>
      <c r="AA350" s="61"/>
      <c r="AB350" s="61"/>
      <c r="AC350" s="61"/>
      <c r="AD350" s="62"/>
      <c r="AE350" s="62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</row>
    <row r="351" spans="1:77" x14ac:dyDescent="0.3">
      <c r="A351" s="39"/>
      <c r="B351" s="42"/>
      <c r="C351" s="42"/>
      <c r="D351" s="75"/>
      <c r="E351" s="75"/>
      <c r="F351" s="76"/>
      <c r="G351" s="47"/>
      <c r="H351" s="47"/>
      <c r="I351" s="75"/>
      <c r="J351" s="76"/>
      <c r="K351" s="76"/>
      <c r="L351" s="75"/>
      <c r="M351" s="49"/>
      <c r="N351" s="76"/>
      <c r="O351" s="49"/>
      <c r="P351" s="77"/>
      <c r="Q351" s="53"/>
      <c r="R351" s="54"/>
      <c r="S351" s="55"/>
      <c r="T351" s="56"/>
      <c r="U351" s="56"/>
      <c r="V351" s="42"/>
      <c r="W351" s="57"/>
      <c r="X351" s="58"/>
      <c r="Y351" s="75"/>
      <c r="Z351" s="59"/>
      <c r="AA351" s="61"/>
      <c r="AB351" s="61"/>
      <c r="AC351" s="61"/>
      <c r="AD351" s="62"/>
      <c r="AE351" s="62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</row>
    <row r="352" spans="1:77" x14ac:dyDescent="0.3">
      <c r="A352" s="39"/>
      <c r="B352" s="42"/>
      <c r="C352" s="42"/>
      <c r="D352" s="75"/>
      <c r="E352" s="75"/>
      <c r="F352" s="76"/>
      <c r="G352" s="47"/>
      <c r="H352" s="47"/>
      <c r="I352" s="75"/>
      <c r="J352" s="76"/>
      <c r="K352" s="76"/>
      <c r="L352" s="75"/>
      <c r="M352" s="49"/>
      <c r="N352" s="76"/>
      <c r="O352" s="49"/>
      <c r="P352" s="77"/>
      <c r="Q352" s="53"/>
      <c r="R352" s="54"/>
      <c r="S352" s="55"/>
      <c r="T352" s="56"/>
      <c r="U352" s="56"/>
      <c r="V352" s="42"/>
      <c r="W352" s="57"/>
      <c r="X352" s="58"/>
      <c r="Y352" s="75"/>
      <c r="Z352" s="59"/>
      <c r="AA352" s="61"/>
      <c r="AB352" s="61"/>
      <c r="AC352" s="61"/>
      <c r="AD352" s="62"/>
      <c r="AE352" s="62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</row>
    <row r="353" spans="1:77" x14ac:dyDescent="0.3">
      <c r="A353" s="39"/>
      <c r="B353" s="42"/>
      <c r="C353" s="42"/>
      <c r="D353" s="75"/>
      <c r="E353" s="75"/>
      <c r="F353" s="76"/>
      <c r="G353" s="47"/>
      <c r="H353" s="47"/>
      <c r="I353" s="75"/>
      <c r="J353" s="76"/>
      <c r="K353" s="76"/>
      <c r="L353" s="75"/>
      <c r="M353" s="49"/>
      <c r="N353" s="76"/>
      <c r="O353" s="49"/>
      <c r="P353" s="77"/>
      <c r="Q353" s="53"/>
      <c r="R353" s="54"/>
      <c r="S353" s="55"/>
      <c r="T353" s="56"/>
      <c r="U353" s="56"/>
      <c r="V353" s="42"/>
      <c r="W353" s="57"/>
      <c r="X353" s="58"/>
      <c r="Y353" s="75"/>
      <c r="Z353" s="59"/>
      <c r="AA353" s="61"/>
      <c r="AB353" s="61"/>
      <c r="AC353" s="61"/>
      <c r="AD353" s="62"/>
      <c r="AE353" s="62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</row>
    <row r="354" spans="1:77" x14ac:dyDescent="0.3">
      <c r="A354" s="39"/>
      <c r="B354" s="42"/>
      <c r="C354" s="42"/>
      <c r="D354" s="75"/>
      <c r="E354" s="75"/>
      <c r="F354" s="76"/>
      <c r="G354" s="47"/>
      <c r="H354" s="47"/>
      <c r="I354" s="75"/>
      <c r="J354" s="76"/>
      <c r="K354" s="76"/>
      <c r="L354" s="75"/>
      <c r="M354" s="49"/>
      <c r="N354" s="76"/>
      <c r="O354" s="49"/>
      <c r="P354" s="77"/>
      <c r="Q354" s="53"/>
      <c r="R354" s="54"/>
      <c r="S354" s="55"/>
      <c r="T354" s="56"/>
      <c r="U354" s="56"/>
      <c r="V354" s="42"/>
      <c r="W354" s="57"/>
      <c r="X354" s="58"/>
      <c r="Y354" s="75"/>
      <c r="Z354" s="59"/>
      <c r="AA354" s="61"/>
      <c r="AB354" s="61"/>
      <c r="AC354" s="61"/>
      <c r="AD354" s="62"/>
      <c r="AE354" s="62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</row>
    <row r="355" spans="1:77" x14ac:dyDescent="0.3">
      <c r="A355" s="39"/>
      <c r="B355" s="42"/>
      <c r="C355" s="42"/>
      <c r="D355" s="75"/>
      <c r="E355" s="75"/>
      <c r="F355" s="76"/>
      <c r="G355" s="47"/>
      <c r="H355" s="47"/>
      <c r="I355" s="75"/>
      <c r="J355" s="76"/>
      <c r="K355" s="76"/>
      <c r="L355" s="75"/>
      <c r="M355" s="49"/>
      <c r="N355" s="76"/>
      <c r="O355" s="49"/>
      <c r="P355" s="77"/>
      <c r="Q355" s="53"/>
      <c r="R355" s="54"/>
      <c r="S355" s="55"/>
      <c r="T355" s="56"/>
      <c r="U355" s="56"/>
      <c r="V355" s="42"/>
      <c r="W355" s="57"/>
      <c r="X355" s="58"/>
      <c r="Y355" s="75"/>
      <c r="Z355" s="59"/>
      <c r="AA355" s="61"/>
      <c r="AB355" s="61"/>
      <c r="AC355" s="61"/>
      <c r="AD355" s="62"/>
      <c r="AE355" s="62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</row>
    <row r="356" spans="1:77" x14ac:dyDescent="0.3">
      <c r="A356" s="39"/>
      <c r="B356" s="42"/>
      <c r="C356" s="42"/>
      <c r="D356" s="75"/>
      <c r="E356" s="75"/>
      <c r="F356" s="76"/>
      <c r="G356" s="47"/>
      <c r="H356" s="47"/>
      <c r="I356" s="75"/>
      <c r="J356" s="76"/>
      <c r="K356" s="76"/>
      <c r="L356" s="75"/>
      <c r="M356" s="49"/>
      <c r="N356" s="76"/>
      <c r="O356" s="49"/>
      <c r="P356" s="77"/>
      <c r="Q356" s="53"/>
      <c r="R356" s="54"/>
      <c r="S356" s="55"/>
      <c r="T356" s="56"/>
      <c r="U356" s="56"/>
      <c r="V356" s="42"/>
      <c r="W356" s="57"/>
      <c r="X356" s="58"/>
      <c r="Y356" s="75"/>
      <c r="Z356" s="59"/>
      <c r="AA356" s="61"/>
      <c r="AB356" s="61"/>
      <c r="AC356" s="61"/>
      <c r="AD356" s="62"/>
      <c r="AE356" s="62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</row>
    <row r="357" spans="1:77" x14ac:dyDescent="0.3">
      <c r="A357" s="39"/>
      <c r="B357" s="42"/>
      <c r="C357" s="42"/>
      <c r="D357" s="75"/>
      <c r="E357" s="75"/>
      <c r="F357" s="76"/>
      <c r="G357" s="47"/>
      <c r="H357" s="47"/>
      <c r="I357" s="75"/>
      <c r="J357" s="76"/>
      <c r="K357" s="76"/>
      <c r="L357" s="75"/>
      <c r="M357" s="49"/>
      <c r="N357" s="76"/>
      <c r="O357" s="49"/>
      <c r="P357" s="77"/>
      <c r="Q357" s="53"/>
      <c r="R357" s="54"/>
      <c r="S357" s="55"/>
      <c r="T357" s="56"/>
      <c r="U357" s="56"/>
      <c r="V357" s="42"/>
      <c r="W357" s="57"/>
      <c r="X357" s="58"/>
      <c r="Y357" s="75"/>
      <c r="Z357" s="59"/>
      <c r="AA357" s="61"/>
      <c r="AB357" s="61"/>
      <c r="AC357" s="61"/>
      <c r="AD357" s="62"/>
      <c r="AE357" s="62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</row>
    <row r="358" spans="1:77" x14ac:dyDescent="0.3">
      <c r="A358" s="39"/>
      <c r="B358" s="42"/>
      <c r="C358" s="42"/>
      <c r="D358" s="75"/>
      <c r="E358" s="75"/>
      <c r="F358" s="76"/>
      <c r="G358" s="47"/>
      <c r="H358" s="47"/>
      <c r="I358" s="75"/>
      <c r="J358" s="76"/>
      <c r="K358" s="76"/>
      <c r="L358" s="75"/>
      <c r="M358" s="49"/>
      <c r="N358" s="76"/>
      <c r="O358" s="49"/>
      <c r="P358" s="77"/>
      <c r="Q358" s="53"/>
      <c r="R358" s="54"/>
      <c r="S358" s="55"/>
      <c r="T358" s="56"/>
      <c r="U358" s="56"/>
      <c r="V358" s="42"/>
      <c r="W358" s="57"/>
      <c r="X358" s="58"/>
      <c r="Y358" s="75"/>
      <c r="Z358" s="59"/>
      <c r="AA358" s="61"/>
      <c r="AB358" s="61"/>
      <c r="AC358" s="61"/>
      <c r="AD358" s="62"/>
      <c r="AE358" s="62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</row>
    <row r="359" spans="1:77" x14ac:dyDescent="0.3">
      <c r="A359" s="39"/>
      <c r="B359" s="42"/>
      <c r="C359" s="42"/>
      <c r="D359" s="75"/>
      <c r="E359" s="75"/>
      <c r="F359" s="76"/>
      <c r="G359" s="47"/>
      <c r="H359" s="47"/>
      <c r="I359" s="75"/>
      <c r="J359" s="76"/>
      <c r="K359" s="76"/>
      <c r="L359" s="75"/>
      <c r="M359" s="49"/>
      <c r="N359" s="76"/>
      <c r="O359" s="49"/>
      <c r="P359" s="77"/>
      <c r="Q359" s="53"/>
      <c r="R359" s="54"/>
      <c r="S359" s="55"/>
      <c r="T359" s="56"/>
      <c r="U359" s="56"/>
      <c r="V359" s="42"/>
      <c r="W359" s="57"/>
      <c r="X359" s="58"/>
      <c r="Y359" s="75"/>
      <c r="Z359" s="59"/>
      <c r="AA359" s="61"/>
      <c r="AB359" s="61"/>
      <c r="AC359" s="61"/>
      <c r="AD359" s="62"/>
      <c r="AE359" s="62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</row>
    <row r="360" spans="1:77" x14ac:dyDescent="0.3">
      <c r="A360" s="39"/>
      <c r="B360" s="42"/>
      <c r="C360" s="42"/>
      <c r="D360" s="75"/>
      <c r="E360" s="75"/>
      <c r="F360" s="76"/>
      <c r="G360" s="47"/>
      <c r="H360" s="47"/>
      <c r="I360" s="75"/>
      <c r="J360" s="76"/>
      <c r="K360" s="76"/>
      <c r="L360" s="75"/>
      <c r="M360" s="49"/>
      <c r="N360" s="76"/>
      <c r="O360" s="49"/>
      <c r="P360" s="77"/>
      <c r="Q360" s="53"/>
      <c r="R360" s="54"/>
      <c r="S360" s="55"/>
      <c r="T360" s="56"/>
      <c r="U360" s="56"/>
      <c r="V360" s="42"/>
      <c r="W360" s="57"/>
      <c r="X360" s="58"/>
      <c r="Y360" s="75"/>
      <c r="Z360" s="59"/>
      <c r="AA360" s="61"/>
      <c r="AB360" s="61"/>
      <c r="AC360" s="61"/>
      <c r="AD360" s="62"/>
      <c r="AE360" s="62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</row>
    <row r="361" spans="1:77" x14ac:dyDescent="0.3">
      <c r="A361" s="39"/>
      <c r="B361" s="42"/>
      <c r="C361" s="42"/>
      <c r="D361" s="75"/>
      <c r="E361" s="75"/>
      <c r="F361" s="76"/>
      <c r="G361" s="47"/>
      <c r="H361" s="47"/>
      <c r="I361" s="75"/>
      <c r="J361" s="76"/>
      <c r="K361" s="76"/>
      <c r="L361" s="75"/>
      <c r="M361" s="49"/>
      <c r="N361" s="76"/>
      <c r="O361" s="49"/>
      <c r="P361" s="77"/>
      <c r="Q361" s="53"/>
      <c r="R361" s="54"/>
      <c r="S361" s="55"/>
      <c r="T361" s="56"/>
      <c r="U361" s="56"/>
      <c r="V361" s="42"/>
      <c r="W361" s="57"/>
      <c r="X361" s="58"/>
      <c r="Y361" s="75"/>
      <c r="Z361" s="59"/>
      <c r="AA361" s="61"/>
      <c r="AB361" s="61"/>
      <c r="AC361" s="61"/>
      <c r="AD361" s="62"/>
      <c r="AE361" s="62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</row>
    <row r="362" spans="1:77" x14ac:dyDescent="0.3">
      <c r="A362" s="39"/>
      <c r="B362" s="42"/>
      <c r="C362" s="42"/>
      <c r="D362" s="75"/>
      <c r="E362" s="75"/>
      <c r="F362" s="76"/>
      <c r="G362" s="47"/>
      <c r="H362" s="47"/>
      <c r="I362" s="75"/>
      <c r="J362" s="76"/>
      <c r="K362" s="76"/>
      <c r="L362" s="75"/>
      <c r="M362" s="49"/>
      <c r="N362" s="76"/>
      <c r="O362" s="49"/>
      <c r="P362" s="77"/>
      <c r="Q362" s="53"/>
      <c r="R362" s="54"/>
      <c r="S362" s="55"/>
      <c r="T362" s="56"/>
      <c r="U362" s="56"/>
      <c r="V362" s="42"/>
      <c r="W362" s="57"/>
      <c r="X362" s="58"/>
      <c r="Y362" s="75"/>
      <c r="Z362" s="59"/>
      <c r="AA362" s="61"/>
      <c r="AB362" s="61"/>
      <c r="AC362" s="61"/>
      <c r="AD362" s="62"/>
      <c r="AE362" s="62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</row>
    <row r="363" spans="1:77" x14ac:dyDescent="0.3">
      <c r="A363" s="39"/>
      <c r="B363" s="42"/>
      <c r="C363" s="42"/>
      <c r="D363" s="75"/>
      <c r="E363" s="75"/>
      <c r="F363" s="76"/>
      <c r="G363" s="47"/>
      <c r="H363" s="47"/>
      <c r="I363" s="75"/>
      <c r="J363" s="76"/>
      <c r="K363" s="76"/>
      <c r="L363" s="75"/>
      <c r="M363" s="49"/>
      <c r="N363" s="76"/>
      <c r="O363" s="49"/>
      <c r="P363" s="77"/>
      <c r="Q363" s="53"/>
      <c r="R363" s="54"/>
      <c r="S363" s="55"/>
      <c r="T363" s="56"/>
      <c r="U363" s="56"/>
      <c r="V363" s="42"/>
      <c r="W363" s="57"/>
      <c r="X363" s="58"/>
      <c r="Y363" s="75"/>
      <c r="Z363" s="59"/>
      <c r="AA363" s="61"/>
      <c r="AB363" s="61"/>
      <c r="AC363" s="61"/>
      <c r="AD363" s="62"/>
      <c r="AE363" s="62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</row>
    <row r="364" spans="1:77" x14ac:dyDescent="0.3">
      <c r="A364" s="39"/>
      <c r="B364" s="42"/>
      <c r="C364" s="42"/>
      <c r="D364" s="75"/>
      <c r="E364" s="75"/>
      <c r="F364" s="76"/>
      <c r="G364" s="47"/>
      <c r="H364" s="47"/>
      <c r="I364" s="75"/>
      <c r="J364" s="76"/>
      <c r="K364" s="76"/>
      <c r="L364" s="75"/>
      <c r="M364" s="49"/>
      <c r="N364" s="76"/>
      <c r="O364" s="49"/>
      <c r="P364" s="77"/>
      <c r="Q364" s="53"/>
      <c r="R364" s="54"/>
      <c r="S364" s="55"/>
      <c r="T364" s="56"/>
      <c r="U364" s="56"/>
      <c r="V364" s="42"/>
      <c r="W364" s="57"/>
      <c r="X364" s="58"/>
      <c r="Y364" s="75"/>
      <c r="Z364" s="59"/>
      <c r="AA364" s="61"/>
      <c r="AB364" s="61"/>
      <c r="AC364" s="61"/>
      <c r="AD364" s="62"/>
      <c r="AE364" s="62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</row>
    <row r="365" spans="1:77" x14ac:dyDescent="0.3">
      <c r="A365" s="39"/>
      <c r="B365" s="42"/>
      <c r="C365" s="42"/>
      <c r="D365" s="75"/>
      <c r="E365" s="75"/>
      <c r="F365" s="76"/>
      <c r="G365" s="47"/>
      <c r="H365" s="47"/>
      <c r="I365" s="75"/>
      <c r="J365" s="76"/>
      <c r="K365" s="76"/>
      <c r="L365" s="75"/>
      <c r="M365" s="49"/>
      <c r="N365" s="76"/>
      <c r="O365" s="49"/>
      <c r="P365" s="77"/>
      <c r="Q365" s="53"/>
      <c r="R365" s="54"/>
      <c r="S365" s="55"/>
      <c r="T365" s="56"/>
      <c r="U365" s="56"/>
      <c r="V365" s="42"/>
      <c r="W365" s="57"/>
      <c r="X365" s="58"/>
      <c r="Y365" s="75"/>
      <c r="Z365" s="59"/>
      <c r="AA365" s="61"/>
      <c r="AB365" s="61"/>
      <c r="AC365" s="61"/>
      <c r="AD365" s="62"/>
      <c r="AE365" s="62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</row>
    <row r="366" spans="1:77" x14ac:dyDescent="0.3">
      <c r="A366" s="39"/>
      <c r="B366" s="42"/>
      <c r="C366" s="42"/>
      <c r="D366" s="75"/>
      <c r="E366" s="75"/>
      <c r="F366" s="76"/>
      <c r="G366" s="47"/>
      <c r="H366" s="47"/>
      <c r="I366" s="75"/>
      <c r="J366" s="76"/>
      <c r="K366" s="76"/>
      <c r="L366" s="75"/>
      <c r="M366" s="49"/>
      <c r="N366" s="76"/>
      <c r="O366" s="49"/>
      <c r="P366" s="77"/>
      <c r="Q366" s="53"/>
      <c r="R366" s="54"/>
      <c r="S366" s="55"/>
      <c r="T366" s="56"/>
      <c r="U366" s="56"/>
      <c r="V366" s="42"/>
      <c r="W366" s="57"/>
      <c r="X366" s="58"/>
      <c r="Y366" s="75"/>
      <c r="Z366" s="59"/>
      <c r="AA366" s="61"/>
      <c r="AB366" s="61"/>
      <c r="AC366" s="61"/>
      <c r="AD366" s="62"/>
      <c r="AE366" s="62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</row>
    <row r="367" spans="1:77" x14ac:dyDescent="0.3">
      <c r="A367" s="39"/>
      <c r="B367" s="42"/>
      <c r="C367" s="42"/>
      <c r="D367" s="75"/>
      <c r="E367" s="75"/>
      <c r="F367" s="76"/>
      <c r="G367" s="47"/>
      <c r="H367" s="47"/>
      <c r="I367" s="75"/>
      <c r="J367" s="76"/>
      <c r="K367" s="76"/>
      <c r="L367" s="75"/>
      <c r="M367" s="49"/>
      <c r="N367" s="76"/>
      <c r="O367" s="49"/>
      <c r="P367" s="77"/>
      <c r="Q367" s="53"/>
      <c r="R367" s="54"/>
      <c r="S367" s="55"/>
      <c r="T367" s="56"/>
      <c r="U367" s="56"/>
      <c r="V367" s="42"/>
      <c r="W367" s="57"/>
      <c r="X367" s="58"/>
      <c r="Y367" s="75"/>
      <c r="Z367" s="59"/>
      <c r="AA367" s="61"/>
      <c r="AB367" s="61"/>
      <c r="AC367" s="61"/>
      <c r="AD367" s="62"/>
      <c r="AE367" s="62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</row>
    <row r="368" spans="1:77" x14ac:dyDescent="0.3">
      <c r="A368" s="39"/>
      <c r="B368" s="42"/>
      <c r="C368" s="42"/>
      <c r="D368" s="75"/>
      <c r="E368" s="75"/>
      <c r="F368" s="76"/>
      <c r="G368" s="47"/>
      <c r="H368" s="47"/>
      <c r="I368" s="75"/>
      <c r="J368" s="76"/>
      <c r="K368" s="76"/>
      <c r="L368" s="75"/>
      <c r="M368" s="49"/>
      <c r="N368" s="76"/>
      <c r="O368" s="49"/>
      <c r="P368" s="77"/>
      <c r="Q368" s="53"/>
      <c r="R368" s="54"/>
      <c r="S368" s="55"/>
      <c r="T368" s="56"/>
      <c r="U368" s="56"/>
      <c r="V368" s="42"/>
      <c r="W368" s="57"/>
      <c r="X368" s="58"/>
      <c r="Y368" s="75"/>
      <c r="Z368" s="59"/>
      <c r="AA368" s="61"/>
      <c r="AB368" s="61"/>
      <c r="AC368" s="61"/>
      <c r="AD368" s="62"/>
      <c r="AE368" s="62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</row>
    <row r="369" spans="1:77" x14ac:dyDescent="0.3">
      <c r="A369" s="39"/>
      <c r="B369" s="42"/>
      <c r="C369" s="42"/>
      <c r="D369" s="75"/>
      <c r="E369" s="75"/>
      <c r="F369" s="76"/>
      <c r="G369" s="47"/>
      <c r="H369" s="47"/>
      <c r="I369" s="75"/>
      <c r="J369" s="76"/>
      <c r="K369" s="76"/>
      <c r="L369" s="75"/>
      <c r="M369" s="49"/>
      <c r="N369" s="76"/>
      <c r="O369" s="49"/>
      <c r="P369" s="77"/>
      <c r="Q369" s="53"/>
      <c r="R369" s="54"/>
      <c r="S369" s="55"/>
      <c r="T369" s="56"/>
      <c r="U369" s="56"/>
      <c r="V369" s="42"/>
      <c r="W369" s="57"/>
      <c r="X369" s="58"/>
      <c r="Y369" s="75"/>
      <c r="Z369" s="59"/>
      <c r="AA369" s="61"/>
      <c r="AB369" s="61"/>
      <c r="AC369" s="61"/>
      <c r="AD369" s="62"/>
      <c r="AE369" s="62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</row>
    <row r="370" spans="1:77" x14ac:dyDescent="0.3">
      <c r="A370" s="39"/>
      <c r="B370" s="42"/>
      <c r="C370" s="42"/>
      <c r="D370" s="75"/>
      <c r="E370" s="75"/>
      <c r="F370" s="76"/>
      <c r="G370" s="47"/>
      <c r="H370" s="47"/>
      <c r="I370" s="75"/>
      <c r="J370" s="76"/>
      <c r="K370" s="76"/>
      <c r="L370" s="75"/>
      <c r="M370" s="49"/>
      <c r="N370" s="76"/>
      <c r="O370" s="49"/>
      <c r="P370" s="77"/>
      <c r="Q370" s="53"/>
      <c r="R370" s="54"/>
      <c r="S370" s="55"/>
      <c r="T370" s="56"/>
      <c r="U370" s="56"/>
      <c r="V370" s="42"/>
      <c r="W370" s="57"/>
      <c r="X370" s="58"/>
      <c r="Y370" s="75"/>
      <c r="Z370" s="59"/>
      <c r="AA370" s="61"/>
      <c r="AB370" s="61"/>
      <c r="AC370" s="61"/>
      <c r="AD370" s="62"/>
      <c r="AE370" s="62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</row>
    <row r="371" spans="1:77" x14ac:dyDescent="0.3">
      <c r="A371" s="39"/>
      <c r="B371" s="42"/>
      <c r="C371" s="42"/>
      <c r="D371" s="75"/>
      <c r="E371" s="75"/>
      <c r="F371" s="76"/>
      <c r="G371" s="47"/>
      <c r="H371" s="47"/>
      <c r="I371" s="75"/>
      <c r="J371" s="76"/>
      <c r="K371" s="76"/>
      <c r="L371" s="75"/>
      <c r="M371" s="49"/>
      <c r="N371" s="76"/>
      <c r="O371" s="49"/>
      <c r="P371" s="77"/>
      <c r="Q371" s="53"/>
      <c r="R371" s="54"/>
      <c r="S371" s="55"/>
      <c r="T371" s="56"/>
      <c r="U371" s="56"/>
      <c r="V371" s="42"/>
      <c r="W371" s="57"/>
      <c r="X371" s="58"/>
      <c r="Y371" s="75"/>
      <c r="Z371" s="59"/>
      <c r="AA371" s="61"/>
      <c r="AB371" s="61"/>
      <c r="AC371" s="61"/>
      <c r="AD371" s="62"/>
      <c r="AE371" s="62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</row>
    <row r="372" spans="1:77" x14ac:dyDescent="0.3">
      <c r="A372" s="39"/>
      <c r="B372" s="42"/>
      <c r="C372" s="42"/>
      <c r="D372" s="75"/>
      <c r="E372" s="75"/>
      <c r="F372" s="76"/>
      <c r="G372" s="47"/>
      <c r="H372" s="47"/>
      <c r="I372" s="75"/>
      <c r="J372" s="76"/>
      <c r="K372" s="76"/>
      <c r="L372" s="75"/>
      <c r="M372" s="49"/>
      <c r="N372" s="76"/>
      <c r="O372" s="49"/>
      <c r="P372" s="77"/>
      <c r="Q372" s="53"/>
      <c r="R372" s="54"/>
      <c r="S372" s="55"/>
      <c r="T372" s="56"/>
      <c r="U372" s="56"/>
      <c r="V372" s="42"/>
      <c r="W372" s="57"/>
      <c r="X372" s="58"/>
      <c r="Y372" s="75"/>
      <c r="Z372" s="59"/>
      <c r="AA372" s="61"/>
      <c r="AB372" s="61"/>
      <c r="AC372" s="61"/>
      <c r="AD372" s="62"/>
      <c r="AE372" s="62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</row>
    <row r="373" spans="1:77" x14ac:dyDescent="0.3">
      <c r="A373" s="39"/>
      <c r="B373" s="42"/>
      <c r="C373" s="42"/>
      <c r="D373" s="75"/>
      <c r="E373" s="75"/>
      <c r="F373" s="76"/>
      <c r="G373" s="47"/>
      <c r="H373" s="47"/>
      <c r="I373" s="75"/>
      <c r="J373" s="76"/>
      <c r="K373" s="76"/>
      <c r="L373" s="75"/>
      <c r="M373" s="49"/>
      <c r="N373" s="76"/>
      <c r="O373" s="49"/>
      <c r="P373" s="77"/>
      <c r="Q373" s="53"/>
      <c r="R373" s="54"/>
      <c r="S373" s="55"/>
      <c r="T373" s="56"/>
      <c r="U373" s="56"/>
      <c r="V373" s="42"/>
      <c r="W373" s="57"/>
      <c r="X373" s="58"/>
      <c r="Y373" s="75"/>
      <c r="Z373" s="59"/>
      <c r="AA373" s="61"/>
      <c r="AB373" s="61"/>
      <c r="AC373" s="61"/>
      <c r="AD373" s="62"/>
      <c r="AE373" s="62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</row>
    <row r="374" spans="1:77" x14ac:dyDescent="0.3">
      <c r="A374" s="39"/>
      <c r="B374" s="42"/>
      <c r="C374" s="42"/>
      <c r="D374" s="75"/>
      <c r="E374" s="75"/>
      <c r="F374" s="76"/>
      <c r="G374" s="47"/>
      <c r="H374" s="47"/>
      <c r="I374" s="75"/>
      <c r="J374" s="76"/>
      <c r="K374" s="76"/>
      <c r="L374" s="75"/>
      <c r="M374" s="49"/>
      <c r="N374" s="76"/>
      <c r="O374" s="49"/>
      <c r="P374" s="77"/>
      <c r="Q374" s="53"/>
      <c r="R374" s="54"/>
      <c r="S374" s="55"/>
      <c r="T374" s="56"/>
      <c r="U374" s="56"/>
      <c r="V374" s="42"/>
      <c r="W374" s="57"/>
      <c r="X374" s="58"/>
      <c r="Y374" s="75"/>
      <c r="Z374" s="59"/>
      <c r="AA374" s="61"/>
      <c r="AB374" s="61"/>
      <c r="AC374" s="61"/>
      <c r="AD374" s="62"/>
      <c r="AE374" s="62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</row>
    <row r="375" spans="1:77" x14ac:dyDescent="0.3">
      <c r="A375" s="39"/>
      <c r="B375" s="42"/>
      <c r="C375" s="42"/>
      <c r="D375" s="75"/>
      <c r="E375" s="75"/>
      <c r="F375" s="76"/>
      <c r="G375" s="47"/>
      <c r="H375" s="47"/>
      <c r="I375" s="75"/>
      <c r="J375" s="76"/>
      <c r="K375" s="76"/>
      <c r="L375" s="75"/>
      <c r="M375" s="49"/>
      <c r="N375" s="76"/>
      <c r="O375" s="49"/>
      <c r="P375" s="77"/>
      <c r="Q375" s="53"/>
      <c r="R375" s="54"/>
      <c r="S375" s="55"/>
      <c r="T375" s="56"/>
      <c r="U375" s="56"/>
      <c r="V375" s="42"/>
      <c r="W375" s="57"/>
      <c r="X375" s="58"/>
      <c r="Y375" s="75"/>
      <c r="Z375" s="59"/>
      <c r="AA375" s="61"/>
      <c r="AB375" s="61"/>
      <c r="AC375" s="61"/>
      <c r="AD375" s="62"/>
      <c r="AE375" s="62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</row>
    <row r="376" spans="1:77" x14ac:dyDescent="0.3">
      <c r="A376" s="39"/>
      <c r="B376" s="42"/>
      <c r="C376" s="42"/>
      <c r="D376" s="75"/>
      <c r="E376" s="75"/>
      <c r="F376" s="76"/>
      <c r="G376" s="47"/>
      <c r="H376" s="47"/>
      <c r="I376" s="75"/>
      <c r="J376" s="76"/>
      <c r="K376" s="76"/>
      <c r="L376" s="75"/>
      <c r="M376" s="49"/>
      <c r="N376" s="76"/>
      <c r="O376" s="49"/>
      <c r="P376" s="77"/>
      <c r="Q376" s="53"/>
      <c r="R376" s="54"/>
      <c r="S376" s="55"/>
      <c r="T376" s="56"/>
      <c r="U376" s="56"/>
      <c r="V376" s="42"/>
      <c r="W376" s="57"/>
      <c r="X376" s="58"/>
      <c r="Y376" s="75"/>
      <c r="Z376" s="59"/>
      <c r="AA376" s="61"/>
      <c r="AB376" s="61"/>
      <c r="AC376" s="61"/>
      <c r="AD376" s="62"/>
      <c r="AE376" s="62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</row>
    <row r="377" spans="1:77" x14ac:dyDescent="0.3">
      <c r="A377" s="39"/>
      <c r="B377" s="42"/>
      <c r="C377" s="42"/>
      <c r="D377" s="75"/>
      <c r="E377" s="75"/>
      <c r="F377" s="76"/>
      <c r="G377" s="47"/>
      <c r="H377" s="47"/>
      <c r="I377" s="75"/>
      <c r="J377" s="76"/>
      <c r="K377" s="76"/>
      <c r="L377" s="75"/>
      <c r="M377" s="49"/>
      <c r="N377" s="76"/>
      <c r="O377" s="49"/>
      <c r="P377" s="77"/>
      <c r="Q377" s="53"/>
      <c r="R377" s="54"/>
      <c r="S377" s="55"/>
      <c r="T377" s="56"/>
      <c r="U377" s="56"/>
      <c r="V377" s="42"/>
      <c r="W377" s="57"/>
      <c r="X377" s="58"/>
      <c r="Y377" s="75"/>
      <c r="Z377" s="59"/>
      <c r="AA377" s="61"/>
      <c r="AB377" s="61"/>
      <c r="AC377" s="61"/>
      <c r="AD377" s="62"/>
      <c r="AE377" s="62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</row>
    <row r="378" spans="1:77" x14ac:dyDescent="0.3">
      <c r="A378" s="39"/>
      <c r="B378" s="42"/>
      <c r="C378" s="42"/>
      <c r="D378" s="75"/>
      <c r="E378" s="75"/>
      <c r="F378" s="76"/>
      <c r="G378" s="47"/>
      <c r="H378" s="47"/>
      <c r="I378" s="75"/>
      <c r="J378" s="76"/>
      <c r="K378" s="76"/>
      <c r="L378" s="75"/>
      <c r="M378" s="49"/>
      <c r="N378" s="76"/>
      <c r="O378" s="49"/>
      <c r="P378" s="77"/>
      <c r="Q378" s="53"/>
      <c r="R378" s="54"/>
      <c r="S378" s="55"/>
      <c r="T378" s="56"/>
      <c r="U378" s="56"/>
      <c r="V378" s="42"/>
      <c r="W378" s="57"/>
      <c r="X378" s="58"/>
      <c r="Y378" s="75"/>
      <c r="Z378" s="59"/>
      <c r="AA378" s="61"/>
      <c r="AB378" s="61"/>
      <c r="AC378" s="61"/>
      <c r="AD378" s="62"/>
      <c r="AE378" s="62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</row>
    <row r="379" spans="1:77" x14ac:dyDescent="0.3">
      <c r="A379" s="39"/>
      <c r="B379" s="42"/>
      <c r="C379" s="42"/>
      <c r="D379" s="75"/>
      <c r="E379" s="75"/>
      <c r="F379" s="76"/>
      <c r="G379" s="47"/>
      <c r="H379" s="47"/>
      <c r="I379" s="75"/>
      <c r="J379" s="76"/>
      <c r="K379" s="76"/>
      <c r="L379" s="75"/>
      <c r="M379" s="49"/>
      <c r="N379" s="76"/>
      <c r="O379" s="49"/>
      <c r="P379" s="77"/>
      <c r="Q379" s="53"/>
      <c r="R379" s="54"/>
      <c r="S379" s="55"/>
      <c r="T379" s="56"/>
      <c r="U379" s="56"/>
      <c r="V379" s="42"/>
      <c r="W379" s="57"/>
      <c r="X379" s="58"/>
      <c r="Y379" s="75"/>
      <c r="Z379" s="59"/>
      <c r="AA379" s="61"/>
      <c r="AB379" s="61"/>
      <c r="AC379" s="61"/>
      <c r="AD379" s="62"/>
      <c r="AE379" s="62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</row>
    <row r="380" spans="1:77" x14ac:dyDescent="0.3">
      <c r="A380" s="39"/>
      <c r="B380" s="42"/>
      <c r="C380" s="42"/>
      <c r="D380" s="75"/>
      <c r="E380" s="75"/>
      <c r="F380" s="76"/>
      <c r="G380" s="47"/>
      <c r="H380" s="47"/>
      <c r="I380" s="75"/>
      <c r="J380" s="76"/>
      <c r="K380" s="76"/>
      <c r="L380" s="75"/>
      <c r="M380" s="49"/>
      <c r="N380" s="76"/>
      <c r="O380" s="49"/>
      <c r="P380" s="77"/>
      <c r="Q380" s="53"/>
      <c r="R380" s="54"/>
      <c r="S380" s="55"/>
      <c r="T380" s="56"/>
      <c r="U380" s="56"/>
      <c r="V380" s="42"/>
      <c r="W380" s="57"/>
      <c r="X380" s="58"/>
      <c r="Y380" s="75"/>
      <c r="Z380" s="59"/>
      <c r="AA380" s="61"/>
      <c r="AB380" s="61"/>
      <c r="AC380" s="61"/>
      <c r="AD380" s="62"/>
      <c r="AE380" s="62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</row>
    <row r="381" spans="1:77" x14ac:dyDescent="0.3">
      <c r="A381" s="39"/>
      <c r="B381" s="42"/>
      <c r="C381" s="42"/>
      <c r="D381" s="75"/>
      <c r="E381" s="75"/>
      <c r="F381" s="76"/>
      <c r="G381" s="47"/>
      <c r="H381" s="47"/>
      <c r="I381" s="75"/>
      <c r="J381" s="76"/>
      <c r="K381" s="76"/>
      <c r="L381" s="75"/>
      <c r="M381" s="49"/>
      <c r="N381" s="76"/>
      <c r="O381" s="49"/>
      <c r="P381" s="77"/>
      <c r="Q381" s="53"/>
      <c r="R381" s="54"/>
      <c r="S381" s="55"/>
      <c r="T381" s="56"/>
      <c r="U381" s="56"/>
      <c r="V381" s="42"/>
      <c r="W381" s="57"/>
      <c r="X381" s="58"/>
      <c r="Y381" s="75"/>
      <c r="Z381" s="59"/>
      <c r="AA381" s="61"/>
      <c r="AB381" s="61"/>
      <c r="AC381" s="61"/>
      <c r="AD381" s="62"/>
      <c r="AE381" s="62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</row>
    <row r="382" spans="1:77" x14ac:dyDescent="0.3">
      <c r="A382" s="39"/>
      <c r="B382" s="42"/>
      <c r="C382" s="42"/>
      <c r="D382" s="75"/>
      <c r="E382" s="75"/>
      <c r="F382" s="76"/>
      <c r="G382" s="47"/>
      <c r="H382" s="47"/>
      <c r="I382" s="75"/>
      <c r="J382" s="76"/>
      <c r="K382" s="76"/>
      <c r="L382" s="75"/>
      <c r="M382" s="49"/>
      <c r="N382" s="76"/>
      <c r="O382" s="49"/>
      <c r="P382" s="77"/>
      <c r="Q382" s="53"/>
      <c r="R382" s="54"/>
      <c r="S382" s="55"/>
      <c r="T382" s="56"/>
      <c r="U382" s="56"/>
      <c r="V382" s="42"/>
      <c r="W382" s="57"/>
      <c r="X382" s="58"/>
      <c r="Y382" s="75"/>
      <c r="Z382" s="59"/>
      <c r="AA382" s="61"/>
      <c r="AB382" s="61"/>
      <c r="AC382" s="61"/>
      <c r="AD382" s="62"/>
      <c r="AE382" s="62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</row>
    <row r="383" spans="1:77" x14ac:dyDescent="0.3">
      <c r="A383" s="39"/>
      <c r="B383" s="42"/>
      <c r="C383" s="42"/>
      <c r="D383" s="75"/>
      <c r="E383" s="75"/>
      <c r="F383" s="76"/>
      <c r="G383" s="47"/>
      <c r="H383" s="47"/>
      <c r="I383" s="75"/>
      <c r="J383" s="76"/>
      <c r="K383" s="76"/>
      <c r="L383" s="75"/>
      <c r="M383" s="49"/>
      <c r="N383" s="76"/>
      <c r="O383" s="49"/>
      <c r="P383" s="77"/>
      <c r="Q383" s="53"/>
      <c r="R383" s="54"/>
      <c r="S383" s="55"/>
      <c r="T383" s="56"/>
      <c r="U383" s="56"/>
      <c r="V383" s="42"/>
      <c r="W383" s="57"/>
      <c r="X383" s="58"/>
      <c r="Y383" s="75"/>
      <c r="Z383" s="59"/>
      <c r="AA383" s="61"/>
      <c r="AB383" s="61"/>
      <c r="AC383" s="61"/>
      <c r="AD383" s="62"/>
      <c r="AE383" s="62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</row>
    <row r="384" spans="1:77" x14ac:dyDescent="0.3">
      <c r="A384" s="39"/>
      <c r="B384" s="42"/>
      <c r="C384" s="42"/>
      <c r="D384" s="75"/>
      <c r="E384" s="75"/>
      <c r="F384" s="76"/>
      <c r="G384" s="47"/>
      <c r="H384" s="47"/>
      <c r="I384" s="75"/>
      <c r="J384" s="76"/>
      <c r="K384" s="76"/>
      <c r="L384" s="75"/>
      <c r="M384" s="49"/>
      <c r="N384" s="76"/>
      <c r="O384" s="49"/>
      <c r="P384" s="77"/>
      <c r="Q384" s="53"/>
      <c r="R384" s="54"/>
      <c r="S384" s="55"/>
      <c r="T384" s="56"/>
      <c r="U384" s="56"/>
      <c r="V384" s="42"/>
      <c r="W384" s="57"/>
      <c r="X384" s="58"/>
      <c r="Y384" s="75"/>
      <c r="Z384" s="59"/>
      <c r="AA384" s="61"/>
      <c r="AB384" s="61"/>
      <c r="AC384" s="61"/>
      <c r="AD384" s="62"/>
      <c r="AE384" s="62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</row>
    <row r="385" spans="1:77" x14ac:dyDescent="0.3">
      <c r="A385" s="39"/>
      <c r="B385" s="42"/>
      <c r="C385" s="42"/>
      <c r="D385" s="75"/>
      <c r="E385" s="75"/>
      <c r="F385" s="76"/>
      <c r="G385" s="47"/>
      <c r="H385" s="47"/>
      <c r="I385" s="75"/>
      <c r="J385" s="76"/>
      <c r="K385" s="76"/>
      <c r="L385" s="75"/>
      <c r="M385" s="49"/>
      <c r="N385" s="76"/>
      <c r="O385" s="49"/>
      <c r="P385" s="77"/>
      <c r="Q385" s="53"/>
      <c r="R385" s="54"/>
      <c r="S385" s="55"/>
      <c r="T385" s="56"/>
      <c r="U385" s="56"/>
      <c r="V385" s="42"/>
      <c r="W385" s="57"/>
      <c r="X385" s="58"/>
      <c r="Y385" s="75"/>
      <c r="Z385" s="59"/>
      <c r="AA385" s="61"/>
      <c r="AB385" s="61"/>
      <c r="AC385" s="61"/>
      <c r="AD385" s="62"/>
      <c r="AE385" s="62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</row>
    <row r="386" spans="1:77" x14ac:dyDescent="0.3">
      <c r="A386" s="39"/>
      <c r="B386" s="42"/>
      <c r="C386" s="42"/>
      <c r="D386" s="75"/>
      <c r="E386" s="75"/>
      <c r="F386" s="76"/>
      <c r="G386" s="47"/>
      <c r="H386" s="47"/>
      <c r="I386" s="75"/>
      <c r="J386" s="76"/>
      <c r="K386" s="76"/>
      <c r="L386" s="75"/>
      <c r="M386" s="49"/>
      <c r="N386" s="76"/>
      <c r="O386" s="49"/>
      <c r="P386" s="77"/>
      <c r="Q386" s="53"/>
      <c r="R386" s="54"/>
      <c r="S386" s="55"/>
      <c r="T386" s="56"/>
      <c r="U386" s="56"/>
      <c r="V386" s="42"/>
      <c r="W386" s="57"/>
      <c r="X386" s="58"/>
      <c r="Y386" s="75"/>
      <c r="Z386" s="59"/>
      <c r="AA386" s="61"/>
      <c r="AB386" s="61"/>
      <c r="AC386" s="61"/>
      <c r="AD386" s="62"/>
      <c r="AE386" s="62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</row>
    <row r="387" spans="1:77" x14ac:dyDescent="0.3">
      <c r="A387" s="39"/>
      <c r="B387" s="42"/>
      <c r="C387" s="42"/>
      <c r="D387" s="75"/>
      <c r="E387" s="75"/>
      <c r="F387" s="76"/>
      <c r="G387" s="47"/>
      <c r="H387" s="47"/>
      <c r="I387" s="75"/>
      <c r="J387" s="76"/>
      <c r="K387" s="76"/>
      <c r="L387" s="75"/>
      <c r="M387" s="49"/>
      <c r="N387" s="76"/>
      <c r="O387" s="49"/>
      <c r="P387" s="77"/>
      <c r="Q387" s="53"/>
      <c r="R387" s="54"/>
      <c r="S387" s="55"/>
      <c r="T387" s="56"/>
      <c r="U387" s="56"/>
      <c r="V387" s="42"/>
      <c r="W387" s="57"/>
      <c r="X387" s="58"/>
      <c r="Y387" s="75"/>
      <c r="Z387" s="59"/>
      <c r="AA387" s="61"/>
      <c r="AB387" s="61"/>
      <c r="AC387" s="61"/>
      <c r="AD387" s="62"/>
      <c r="AE387" s="62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</row>
    <row r="388" spans="1:77" x14ac:dyDescent="0.3">
      <c r="A388" s="39"/>
      <c r="B388" s="42"/>
      <c r="C388" s="42"/>
      <c r="D388" s="75"/>
      <c r="E388" s="75"/>
      <c r="F388" s="76"/>
      <c r="G388" s="47"/>
      <c r="H388" s="47"/>
      <c r="I388" s="75"/>
      <c r="J388" s="76"/>
      <c r="K388" s="76"/>
      <c r="L388" s="75"/>
      <c r="M388" s="49"/>
      <c r="N388" s="76"/>
      <c r="O388" s="49"/>
      <c r="P388" s="77"/>
      <c r="Q388" s="53"/>
      <c r="R388" s="54"/>
      <c r="S388" s="55"/>
      <c r="T388" s="56"/>
      <c r="U388" s="56"/>
      <c r="V388" s="42"/>
      <c r="W388" s="57"/>
      <c r="X388" s="58"/>
      <c r="Y388" s="75"/>
      <c r="Z388" s="59"/>
      <c r="AA388" s="61"/>
      <c r="AB388" s="61"/>
      <c r="AC388" s="61"/>
      <c r="AD388" s="62"/>
      <c r="AE388" s="62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</row>
    <row r="389" spans="1:77" x14ac:dyDescent="0.3">
      <c r="A389" s="39"/>
      <c r="B389" s="42"/>
      <c r="C389" s="42"/>
      <c r="D389" s="75"/>
      <c r="E389" s="75"/>
      <c r="F389" s="76"/>
      <c r="G389" s="47"/>
      <c r="H389" s="47"/>
      <c r="I389" s="75"/>
      <c r="J389" s="76"/>
      <c r="K389" s="76"/>
      <c r="L389" s="75"/>
      <c r="M389" s="49"/>
      <c r="N389" s="76"/>
      <c r="O389" s="49"/>
      <c r="P389" s="77"/>
      <c r="Q389" s="53"/>
      <c r="R389" s="54"/>
      <c r="S389" s="55"/>
      <c r="T389" s="56"/>
      <c r="U389" s="56"/>
      <c r="V389" s="42"/>
      <c r="W389" s="57"/>
      <c r="X389" s="58"/>
      <c r="Y389" s="75"/>
      <c r="Z389" s="59"/>
      <c r="AA389" s="61"/>
      <c r="AB389" s="61"/>
      <c r="AC389" s="61"/>
      <c r="AD389" s="62"/>
      <c r="AE389" s="62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</row>
    <row r="390" spans="1:77" x14ac:dyDescent="0.3">
      <c r="A390" s="39"/>
      <c r="B390" s="42"/>
      <c r="C390" s="42"/>
      <c r="D390" s="75"/>
      <c r="E390" s="75"/>
      <c r="F390" s="76"/>
      <c r="G390" s="47"/>
      <c r="H390" s="47"/>
      <c r="I390" s="75"/>
      <c r="J390" s="76"/>
      <c r="K390" s="76"/>
      <c r="L390" s="75"/>
      <c r="M390" s="49"/>
      <c r="N390" s="76"/>
      <c r="O390" s="49"/>
      <c r="P390" s="77"/>
      <c r="Q390" s="53"/>
      <c r="R390" s="54"/>
      <c r="S390" s="55"/>
      <c r="T390" s="56"/>
      <c r="U390" s="56"/>
      <c r="V390" s="42"/>
      <c r="W390" s="57"/>
      <c r="X390" s="58"/>
      <c r="Y390" s="75"/>
      <c r="Z390" s="59"/>
      <c r="AA390" s="61"/>
      <c r="AB390" s="61"/>
      <c r="AC390" s="61"/>
      <c r="AD390" s="62"/>
      <c r="AE390" s="62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</row>
    <row r="391" spans="1:77" x14ac:dyDescent="0.3">
      <c r="A391" s="39"/>
      <c r="B391" s="42"/>
      <c r="C391" s="42"/>
      <c r="D391" s="75"/>
      <c r="E391" s="75"/>
      <c r="F391" s="76"/>
      <c r="G391" s="47"/>
      <c r="H391" s="47"/>
      <c r="I391" s="75"/>
      <c r="J391" s="76"/>
      <c r="K391" s="76"/>
      <c r="L391" s="75"/>
      <c r="M391" s="49"/>
      <c r="N391" s="76"/>
      <c r="O391" s="49"/>
      <c r="P391" s="77"/>
      <c r="Q391" s="53"/>
      <c r="R391" s="54"/>
      <c r="S391" s="55"/>
      <c r="T391" s="56"/>
      <c r="U391" s="56"/>
      <c r="V391" s="42"/>
      <c r="W391" s="57"/>
      <c r="X391" s="58"/>
      <c r="Y391" s="75"/>
      <c r="Z391" s="59"/>
      <c r="AA391" s="61"/>
      <c r="AB391" s="61"/>
      <c r="AC391" s="61"/>
      <c r="AD391" s="62"/>
      <c r="AE391" s="62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</row>
    <row r="392" spans="1:77" x14ac:dyDescent="0.3">
      <c r="A392" s="39"/>
      <c r="B392" s="42"/>
      <c r="C392" s="42"/>
      <c r="D392" s="75"/>
      <c r="E392" s="75"/>
      <c r="F392" s="76"/>
      <c r="G392" s="47"/>
      <c r="H392" s="47"/>
      <c r="I392" s="75"/>
      <c r="J392" s="76"/>
      <c r="K392" s="76"/>
      <c r="L392" s="75"/>
      <c r="M392" s="49"/>
      <c r="N392" s="76"/>
      <c r="O392" s="49"/>
      <c r="P392" s="77"/>
      <c r="Q392" s="53"/>
      <c r="R392" s="54"/>
      <c r="S392" s="55"/>
      <c r="T392" s="56"/>
      <c r="U392" s="56"/>
      <c r="V392" s="42"/>
      <c r="W392" s="57"/>
      <c r="X392" s="58"/>
      <c r="Y392" s="75"/>
      <c r="Z392" s="59"/>
      <c r="AA392" s="61"/>
      <c r="AB392" s="61"/>
      <c r="AC392" s="61"/>
      <c r="AD392" s="62"/>
      <c r="AE392" s="62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</row>
    <row r="393" spans="1:77" x14ac:dyDescent="0.3">
      <c r="A393" s="39"/>
      <c r="B393" s="42"/>
      <c r="C393" s="42"/>
      <c r="D393" s="75"/>
      <c r="E393" s="75"/>
      <c r="F393" s="76"/>
      <c r="G393" s="47"/>
      <c r="H393" s="47"/>
      <c r="I393" s="75"/>
      <c r="J393" s="76"/>
      <c r="K393" s="76"/>
      <c r="L393" s="75"/>
      <c r="M393" s="49"/>
      <c r="N393" s="76"/>
      <c r="O393" s="49"/>
      <c r="P393" s="77"/>
      <c r="Q393" s="53"/>
      <c r="R393" s="54"/>
      <c r="S393" s="55"/>
      <c r="T393" s="56"/>
      <c r="U393" s="56"/>
      <c r="V393" s="42"/>
      <c r="W393" s="57"/>
      <c r="X393" s="58"/>
      <c r="Y393" s="75"/>
      <c r="Z393" s="59"/>
      <c r="AA393" s="61"/>
      <c r="AB393" s="61"/>
      <c r="AC393" s="61"/>
      <c r="AD393" s="62"/>
      <c r="AE393" s="62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</row>
    <row r="394" spans="1:77" x14ac:dyDescent="0.3">
      <c r="A394" s="39"/>
      <c r="B394" s="42"/>
      <c r="C394" s="42"/>
      <c r="D394" s="75"/>
      <c r="E394" s="75"/>
      <c r="F394" s="76"/>
      <c r="G394" s="47"/>
      <c r="H394" s="47"/>
      <c r="I394" s="75"/>
      <c r="J394" s="76"/>
      <c r="K394" s="76"/>
      <c r="L394" s="75"/>
      <c r="M394" s="49"/>
      <c r="N394" s="76"/>
      <c r="O394" s="49"/>
      <c r="P394" s="77"/>
      <c r="Q394" s="53"/>
      <c r="R394" s="54"/>
      <c r="S394" s="55"/>
      <c r="T394" s="56"/>
      <c r="U394" s="56"/>
      <c r="V394" s="42"/>
      <c r="W394" s="57"/>
      <c r="X394" s="58"/>
      <c r="Y394" s="75"/>
      <c r="Z394" s="59"/>
      <c r="AA394" s="61"/>
      <c r="AB394" s="61"/>
      <c r="AC394" s="61"/>
      <c r="AD394" s="62"/>
      <c r="AE394" s="62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</row>
    <row r="395" spans="1:77" x14ac:dyDescent="0.3">
      <c r="A395" s="39"/>
      <c r="B395" s="42"/>
      <c r="C395" s="42"/>
      <c r="D395" s="75"/>
      <c r="E395" s="75"/>
      <c r="F395" s="76"/>
      <c r="G395" s="47"/>
      <c r="H395" s="47"/>
      <c r="I395" s="75"/>
      <c r="J395" s="76"/>
      <c r="K395" s="76"/>
      <c r="L395" s="75"/>
      <c r="M395" s="49"/>
      <c r="N395" s="76"/>
      <c r="O395" s="49"/>
      <c r="P395" s="77"/>
      <c r="Q395" s="53"/>
      <c r="R395" s="54"/>
      <c r="S395" s="55"/>
      <c r="T395" s="56"/>
      <c r="U395" s="56"/>
      <c r="V395" s="42"/>
      <c r="W395" s="57"/>
      <c r="X395" s="58"/>
      <c r="Y395" s="75"/>
      <c r="Z395" s="59"/>
      <c r="AA395" s="61"/>
      <c r="AB395" s="61"/>
      <c r="AC395" s="61"/>
      <c r="AD395" s="62"/>
      <c r="AE395" s="62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</row>
    <row r="396" spans="1:77" x14ac:dyDescent="0.3">
      <c r="A396" s="39"/>
      <c r="B396" s="42"/>
      <c r="C396" s="42"/>
      <c r="D396" s="75"/>
      <c r="E396" s="75"/>
      <c r="F396" s="76"/>
      <c r="G396" s="47"/>
      <c r="H396" s="47"/>
      <c r="I396" s="75"/>
      <c r="J396" s="76"/>
      <c r="K396" s="76"/>
      <c r="L396" s="75"/>
      <c r="M396" s="49"/>
      <c r="N396" s="76"/>
      <c r="O396" s="49"/>
      <c r="P396" s="77"/>
      <c r="Q396" s="53"/>
      <c r="R396" s="54"/>
      <c r="S396" s="55"/>
      <c r="T396" s="56"/>
      <c r="U396" s="56"/>
      <c r="V396" s="42"/>
      <c r="W396" s="57"/>
      <c r="X396" s="58"/>
      <c r="Y396" s="75"/>
      <c r="Z396" s="59"/>
      <c r="AA396" s="61"/>
      <c r="AB396" s="61"/>
      <c r="AC396" s="61"/>
      <c r="AD396" s="62"/>
      <c r="AE396" s="62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</row>
    <row r="397" spans="1:77" x14ac:dyDescent="0.3">
      <c r="A397" s="39"/>
      <c r="B397" s="42"/>
      <c r="C397" s="42"/>
      <c r="D397" s="75"/>
      <c r="E397" s="75"/>
      <c r="F397" s="76"/>
      <c r="G397" s="47"/>
      <c r="H397" s="47"/>
      <c r="I397" s="75"/>
      <c r="J397" s="76"/>
      <c r="K397" s="76"/>
      <c r="L397" s="75"/>
      <c r="M397" s="49"/>
      <c r="N397" s="76"/>
      <c r="O397" s="49"/>
      <c r="P397" s="77"/>
      <c r="Q397" s="53"/>
      <c r="R397" s="54"/>
      <c r="S397" s="55"/>
      <c r="T397" s="56"/>
      <c r="U397" s="56"/>
      <c r="V397" s="42"/>
      <c r="W397" s="57"/>
      <c r="X397" s="58"/>
      <c r="Y397" s="75"/>
      <c r="Z397" s="59"/>
      <c r="AA397" s="61"/>
      <c r="AB397" s="61"/>
      <c r="AC397" s="61"/>
      <c r="AD397" s="62"/>
      <c r="AE397" s="62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</row>
    <row r="398" spans="1:77" x14ac:dyDescent="0.3">
      <c r="A398" s="39"/>
      <c r="B398" s="42"/>
      <c r="C398" s="42"/>
      <c r="D398" s="75"/>
      <c r="E398" s="75"/>
      <c r="F398" s="76"/>
      <c r="G398" s="47"/>
      <c r="H398" s="47"/>
      <c r="I398" s="75"/>
      <c r="J398" s="76"/>
      <c r="K398" s="76"/>
      <c r="L398" s="75"/>
      <c r="M398" s="49"/>
      <c r="N398" s="76"/>
      <c r="O398" s="49"/>
      <c r="P398" s="77"/>
      <c r="Q398" s="53"/>
      <c r="R398" s="54"/>
      <c r="S398" s="55"/>
      <c r="T398" s="56"/>
      <c r="U398" s="56"/>
      <c r="V398" s="42"/>
      <c r="W398" s="57"/>
      <c r="X398" s="58"/>
      <c r="Y398" s="75"/>
      <c r="Z398" s="59"/>
      <c r="AA398" s="61"/>
      <c r="AB398" s="61"/>
      <c r="AC398" s="61"/>
      <c r="AD398" s="62"/>
      <c r="AE398" s="62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</row>
    <row r="399" spans="1:77" x14ac:dyDescent="0.3">
      <c r="A399" s="39"/>
      <c r="B399" s="42"/>
      <c r="C399" s="42"/>
      <c r="D399" s="75"/>
      <c r="E399" s="75"/>
      <c r="F399" s="76"/>
      <c r="G399" s="47"/>
      <c r="H399" s="47"/>
      <c r="I399" s="75"/>
      <c r="J399" s="76"/>
      <c r="K399" s="76"/>
      <c r="L399" s="75"/>
      <c r="M399" s="49"/>
      <c r="N399" s="76"/>
      <c r="O399" s="49"/>
      <c r="P399" s="77"/>
      <c r="Q399" s="53"/>
      <c r="R399" s="54"/>
      <c r="S399" s="55"/>
      <c r="T399" s="56"/>
      <c r="U399" s="56"/>
      <c r="V399" s="42"/>
      <c r="W399" s="57"/>
      <c r="X399" s="58"/>
      <c r="Y399" s="75"/>
      <c r="Z399" s="59"/>
      <c r="AA399" s="61"/>
      <c r="AB399" s="61"/>
      <c r="AC399" s="61"/>
      <c r="AD399" s="62"/>
      <c r="AE399" s="62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</row>
    <row r="400" spans="1:77" x14ac:dyDescent="0.3">
      <c r="A400" s="39"/>
      <c r="B400" s="42"/>
      <c r="C400" s="42"/>
      <c r="D400" s="75"/>
      <c r="E400" s="75"/>
      <c r="F400" s="76"/>
      <c r="G400" s="47"/>
      <c r="H400" s="47"/>
      <c r="I400" s="75"/>
      <c r="J400" s="76"/>
      <c r="K400" s="76"/>
      <c r="L400" s="75"/>
      <c r="M400" s="49"/>
      <c r="N400" s="76"/>
      <c r="O400" s="49"/>
      <c r="P400" s="77"/>
      <c r="Q400" s="53"/>
      <c r="R400" s="54"/>
      <c r="S400" s="55"/>
      <c r="T400" s="56"/>
      <c r="U400" s="56"/>
      <c r="V400" s="42"/>
      <c r="W400" s="57"/>
      <c r="X400" s="58"/>
      <c r="Y400" s="75"/>
      <c r="Z400" s="59"/>
      <c r="AA400" s="61"/>
      <c r="AB400" s="61"/>
      <c r="AC400" s="61"/>
      <c r="AD400" s="62"/>
      <c r="AE400" s="62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</row>
    <row r="401" spans="1:77" x14ac:dyDescent="0.3">
      <c r="A401" s="39"/>
      <c r="B401" s="42"/>
      <c r="C401" s="42"/>
      <c r="D401" s="75"/>
      <c r="E401" s="75"/>
      <c r="F401" s="76"/>
      <c r="G401" s="47"/>
      <c r="H401" s="47"/>
      <c r="I401" s="75"/>
      <c r="J401" s="76"/>
      <c r="K401" s="76"/>
      <c r="L401" s="75"/>
      <c r="M401" s="49"/>
      <c r="N401" s="76"/>
      <c r="O401" s="49"/>
      <c r="P401" s="77"/>
      <c r="Q401" s="53"/>
      <c r="R401" s="54"/>
      <c r="S401" s="55"/>
      <c r="T401" s="56"/>
      <c r="U401" s="56"/>
      <c r="V401" s="42"/>
      <c r="W401" s="57"/>
      <c r="X401" s="58"/>
      <c r="Y401" s="75"/>
      <c r="Z401" s="59"/>
      <c r="AA401" s="61"/>
      <c r="AB401" s="61"/>
      <c r="AC401" s="61"/>
      <c r="AD401" s="62"/>
      <c r="AE401" s="62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</row>
    <row r="402" spans="1:77" x14ac:dyDescent="0.3">
      <c r="A402" s="39"/>
      <c r="B402" s="42"/>
      <c r="C402" s="42"/>
      <c r="D402" s="75"/>
      <c r="E402" s="75"/>
      <c r="F402" s="76"/>
      <c r="G402" s="47"/>
      <c r="H402" s="47"/>
      <c r="I402" s="75"/>
      <c r="J402" s="76"/>
      <c r="K402" s="76"/>
      <c r="L402" s="75"/>
      <c r="M402" s="49"/>
      <c r="N402" s="76"/>
      <c r="O402" s="49"/>
      <c r="P402" s="77"/>
      <c r="Q402" s="53"/>
      <c r="R402" s="54"/>
      <c r="S402" s="55"/>
      <c r="T402" s="56"/>
      <c r="U402" s="56"/>
      <c r="V402" s="42"/>
      <c r="W402" s="57"/>
      <c r="X402" s="58"/>
      <c r="Y402" s="75"/>
      <c r="Z402" s="59"/>
      <c r="AA402" s="61"/>
      <c r="AB402" s="61"/>
      <c r="AC402" s="61"/>
      <c r="AD402" s="62"/>
      <c r="AE402" s="62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</row>
    <row r="403" spans="1:77" x14ac:dyDescent="0.3">
      <c r="A403" s="39"/>
      <c r="B403" s="42"/>
      <c r="C403" s="42"/>
      <c r="D403" s="75"/>
      <c r="E403" s="75"/>
      <c r="F403" s="76"/>
      <c r="G403" s="47"/>
      <c r="H403" s="47"/>
      <c r="I403" s="75"/>
      <c r="J403" s="76"/>
      <c r="K403" s="76"/>
      <c r="L403" s="75"/>
      <c r="M403" s="49"/>
      <c r="N403" s="76"/>
      <c r="O403" s="49"/>
      <c r="P403" s="77"/>
      <c r="Q403" s="53"/>
      <c r="R403" s="54"/>
      <c r="S403" s="55"/>
      <c r="T403" s="56"/>
      <c r="U403" s="56"/>
      <c r="V403" s="42"/>
      <c r="W403" s="57"/>
      <c r="X403" s="58"/>
      <c r="Y403" s="75"/>
      <c r="Z403" s="59"/>
      <c r="AA403" s="61"/>
      <c r="AB403" s="61"/>
      <c r="AC403" s="61"/>
      <c r="AD403" s="62"/>
      <c r="AE403" s="62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</row>
    <row r="404" spans="1:77" x14ac:dyDescent="0.3">
      <c r="A404" s="39"/>
      <c r="B404" s="42"/>
      <c r="C404" s="42"/>
      <c r="D404" s="75"/>
      <c r="E404" s="75"/>
      <c r="F404" s="76"/>
      <c r="G404" s="47"/>
      <c r="H404" s="47"/>
      <c r="I404" s="75"/>
      <c r="J404" s="76"/>
      <c r="K404" s="76"/>
      <c r="L404" s="75"/>
      <c r="M404" s="49"/>
      <c r="N404" s="76"/>
      <c r="O404" s="49"/>
      <c r="P404" s="77"/>
      <c r="Q404" s="53"/>
      <c r="R404" s="54"/>
      <c r="S404" s="55"/>
      <c r="T404" s="56"/>
      <c r="U404" s="56"/>
      <c r="V404" s="42"/>
      <c r="W404" s="57"/>
      <c r="X404" s="58"/>
      <c r="Y404" s="75"/>
      <c r="Z404" s="59"/>
      <c r="AA404" s="61"/>
      <c r="AB404" s="61"/>
      <c r="AC404" s="61"/>
      <c r="AD404" s="62"/>
      <c r="AE404" s="62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</row>
    <row r="405" spans="1:77" x14ac:dyDescent="0.3">
      <c r="A405" s="39"/>
      <c r="B405" s="42"/>
      <c r="C405" s="42"/>
      <c r="D405" s="75"/>
      <c r="E405" s="75"/>
      <c r="F405" s="76"/>
      <c r="G405" s="47"/>
      <c r="H405" s="47"/>
      <c r="I405" s="75"/>
      <c r="J405" s="76"/>
      <c r="K405" s="76"/>
      <c r="L405" s="75"/>
      <c r="M405" s="49"/>
      <c r="N405" s="76"/>
      <c r="O405" s="49"/>
      <c r="P405" s="77"/>
      <c r="Q405" s="53"/>
      <c r="R405" s="54"/>
      <c r="S405" s="55"/>
      <c r="T405" s="56"/>
      <c r="U405" s="56"/>
      <c r="V405" s="42"/>
      <c r="W405" s="57"/>
      <c r="X405" s="58"/>
      <c r="Y405" s="75"/>
      <c r="Z405" s="59"/>
      <c r="AA405" s="61"/>
      <c r="AB405" s="61"/>
      <c r="AC405" s="61"/>
      <c r="AD405" s="62"/>
      <c r="AE405" s="62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</row>
    <row r="406" spans="1:77" x14ac:dyDescent="0.3">
      <c r="A406" s="39"/>
      <c r="B406" s="42"/>
      <c r="C406" s="42"/>
      <c r="D406" s="75"/>
      <c r="E406" s="75"/>
      <c r="F406" s="76"/>
      <c r="G406" s="47"/>
      <c r="H406" s="47"/>
      <c r="I406" s="75"/>
      <c r="J406" s="76"/>
      <c r="K406" s="76"/>
      <c r="L406" s="75"/>
      <c r="M406" s="49"/>
      <c r="N406" s="76"/>
      <c r="O406" s="49"/>
      <c r="P406" s="77"/>
      <c r="Q406" s="53"/>
      <c r="R406" s="54"/>
      <c r="S406" s="55"/>
      <c r="T406" s="56"/>
      <c r="U406" s="56"/>
      <c r="V406" s="42"/>
      <c r="W406" s="57"/>
      <c r="X406" s="58"/>
      <c r="Y406" s="75"/>
      <c r="Z406" s="59"/>
      <c r="AA406" s="61"/>
      <c r="AB406" s="61"/>
      <c r="AC406" s="61"/>
      <c r="AD406" s="62"/>
      <c r="AE406" s="62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</row>
    <row r="407" spans="1:77" x14ac:dyDescent="0.3">
      <c r="A407" s="39"/>
      <c r="B407" s="42"/>
      <c r="C407" s="42"/>
      <c r="D407" s="75"/>
      <c r="E407" s="75"/>
      <c r="F407" s="76"/>
      <c r="G407" s="47"/>
      <c r="H407" s="47"/>
      <c r="I407" s="75"/>
      <c r="J407" s="76"/>
      <c r="K407" s="76"/>
      <c r="L407" s="75"/>
      <c r="M407" s="49"/>
      <c r="N407" s="76"/>
      <c r="O407" s="49"/>
      <c r="P407" s="77"/>
      <c r="Q407" s="53"/>
      <c r="R407" s="54"/>
      <c r="S407" s="55"/>
      <c r="T407" s="56"/>
      <c r="U407" s="56"/>
      <c r="V407" s="42"/>
      <c r="W407" s="57"/>
      <c r="X407" s="58"/>
      <c r="Y407" s="75"/>
      <c r="Z407" s="59"/>
      <c r="AA407" s="61"/>
      <c r="AB407" s="61"/>
      <c r="AC407" s="61"/>
      <c r="AD407" s="62"/>
      <c r="AE407" s="62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</row>
    <row r="408" spans="1:77" x14ac:dyDescent="0.3">
      <c r="A408" s="39"/>
      <c r="B408" s="42"/>
      <c r="C408" s="42"/>
      <c r="D408" s="75"/>
      <c r="E408" s="75"/>
      <c r="F408" s="76"/>
      <c r="G408" s="47"/>
      <c r="H408" s="47"/>
      <c r="I408" s="75"/>
      <c r="J408" s="76"/>
      <c r="K408" s="76"/>
      <c r="L408" s="75"/>
      <c r="M408" s="49"/>
      <c r="N408" s="76"/>
      <c r="O408" s="49"/>
      <c r="P408" s="77"/>
      <c r="Q408" s="53"/>
      <c r="R408" s="54"/>
      <c r="S408" s="55"/>
      <c r="T408" s="56"/>
      <c r="U408" s="56"/>
      <c r="V408" s="42"/>
      <c r="W408" s="57"/>
      <c r="X408" s="58"/>
      <c r="Y408" s="75"/>
      <c r="Z408" s="59"/>
      <c r="AA408" s="61"/>
      <c r="AB408" s="61"/>
      <c r="AC408" s="61"/>
      <c r="AD408" s="62"/>
      <c r="AE408" s="62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</row>
    <row r="409" spans="1:77" x14ac:dyDescent="0.3">
      <c r="A409" s="39"/>
      <c r="B409" s="42"/>
      <c r="C409" s="42"/>
      <c r="D409" s="75"/>
      <c r="E409" s="75"/>
      <c r="F409" s="76"/>
      <c r="G409" s="47"/>
      <c r="H409" s="47"/>
      <c r="I409" s="75"/>
      <c r="J409" s="76"/>
      <c r="K409" s="76"/>
      <c r="L409" s="75"/>
      <c r="M409" s="49"/>
      <c r="N409" s="76"/>
      <c r="O409" s="49"/>
      <c r="P409" s="77"/>
      <c r="Q409" s="53"/>
      <c r="R409" s="54"/>
      <c r="S409" s="55"/>
      <c r="T409" s="56"/>
      <c r="U409" s="56"/>
      <c r="V409" s="42"/>
      <c r="W409" s="57"/>
      <c r="X409" s="58"/>
      <c r="Y409" s="75"/>
      <c r="Z409" s="59"/>
      <c r="AA409" s="61"/>
      <c r="AB409" s="61"/>
      <c r="AC409" s="61"/>
      <c r="AD409" s="62"/>
      <c r="AE409" s="62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</row>
    <row r="410" spans="1:77" x14ac:dyDescent="0.3">
      <c r="A410" s="39"/>
      <c r="B410" s="42"/>
      <c r="C410" s="42"/>
      <c r="D410" s="75"/>
      <c r="E410" s="75"/>
      <c r="F410" s="76"/>
      <c r="G410" s="47"/>
      <c r="H410" s="47"/>
      <c r="I410" s="75"/>
      <c r="J410" s="76"/>
      <c r="K410" s="76"/>
      <c r="L410" s="75"/>
      <c r="M410" s="49"/>
      <c r="N410" s="76"/>
      <c r="O410" s="49"/>
      <c r="P410" s="77"/>
      <c r="Q410" s="53"/>
      <c r="R410" s="54"/>
      <c r="S410" s="55"/>
      <c r="T410" s="56"/>
      <c r="U410" s="56"/>
      <c r="V410" s="42"/>
      <c r="W410" s="57"/>
      <c r="X410" s="58"/>
      <c r="Y410" s="75"/>
      <c r="Z410" s="59"/>
      <c r="AA410" s="61"/>
      <c r="AB410" s="61"/>
      <c r="AC410" s="61"/>
      <c r="AD410" s="62"/>
      <c r="AE410" s="62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</row>
    <row r="411" spans="1:77" x14ac:dyDescent="0.3">
      <c r="A411" s="39"/>
      <c r="B411" s="42"/>
      <c r="C411" s="42"/>
      <c r="D411" s="75"/>
      <c r="E411" s="75"/>
      <c r="F411" s="76"/>
      <c r="G411" s="47"/>
      <c r="H411" s="47"/>
      <c r="I411" s="75"/>
      <c r="J411" s="76"/>
      <c r="K411" s="76"/>
      <c r="L411" s="75"/>
      <c r="M411" s="49"/>
      <c r="N411" s="76"/>
      <c r="O411" s="49"/>
      <c r="P411" s="77"/>
      <c r="Q411" s="53"/>
      <c r="R411" s="54"/>
      <c r="S411" s="55"/>
      <c r="T411" s="56"/>
      <c r="U411" s="56"/>
      <c r="V411" s="42"/>
      <c r="W411" s="57"/>
      <c r="X411" s="58"/>
      <c r="Y411" s="75"/>
      <c r="Z411" s="59"/>
      <c r="AA411" s="61"/>
      <c r="AB411" s="61"/>
      <c r="AC411" s="61"/>
      <c r="AD411" s="62"/>
      <c r="AE411" s="62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</row>
    <row r="412" spans="1:77" x14ac:dyDescent="0.3">
      <c r="A412" s="39"/>
      <c r="B412" s="42"/>
      <c r="C412" s="42"/>
      <c r="D412" s="75"/>
      <c r="E412" s="75"/>
      <c r="F412" s="76"/>
      <c r="G412" s="47"/>
      <c r="H412" s="47"/>
      <c r="I412" s="75"/>
      <c r="J412" s="76"/>
      <c r="K412" s="76"/>
      <c r="L412" s="75"/>
      <c r="M412" s="49"/>
      <c r="N412" s="76"/>
      <c r="O412" s="49"/>
      <c r="P412" s="77"/>
      <c r="Q412" s="53"/>
      <c r="R412" s="54"/>
      <c r="S412" s="55"/>
      <c r="T412" s="56"/>
      <c r="U412" s="56"/>
      <c r="V412" s="42"/>
      <c r="W412" s="57"/>
      <c r="X412" s="58"/>
      <c r="Y412" s="75"/>
      <c r="Z412" s="59"/>
      <c r="AA412" s="61"/>
      <c r="AB412" s="61"/>
      <c r="AC412" s="61"/>
      <c r="AD412" s="62"/>
      <c r="AE412" s="62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</row>
    <row r="413" spans="1:77" x14ac:dyDescent="0.3">
      <c r="A413" s="39"/>
      <c r="B413" s="42"/>
      <c r="C413" s="42"/>
      <c r="D413" s="75"/>
      <c r="E413" s="75"/>
      <c r="F413" s="76"/>
      <c r="G413" s="47"/>
      <c r="H413" s="47"/>
      <c r="I413" s="75"/>
      <c r="J413" s="76"/>
      <c r="K413" s="76"/>
      <c r="L413" s="75"/>
      <c r="M413" s="49"/>
      <c r="N413" s="76"/>
      <c r="O413" s="49"/>
      <c r="P413" s="77"/>
      <c r="Q413" s="53"/>
      <c r="R413" s="54"/>
      <c r="S413" s="55"/>
      <c r="T413" s="56"/>
      <c r="U413" s="56"/>
      <c r="V413" s="42"/>
      <c r="W413" s="57"/>
      <c r="X413" s="58"/>
      <c r="Y413" s="75"/>
      <c r="Z413" s="59"/>
      <c r="AA413" s="61"/>
      <c r="AB413" s="61"/>
      <c r="AC413" s="61"/>
      <c r="AD413" s="62"/>
      <c r="AE413" s="62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</row>
    <row r="414" spans="1:77" x14ac:dyDescent="0.3">
      <c r="A414" s="39"/>
      <c r="B414" s="42"/>
      <c r="C414" s="42"/>
      <c r="D414" s="75"/>
      <c r="E414" s="75"/>
      <c r="F414" s="76"/>
      <c r="G414" s="47"/>
      <c r="H414" s="47"/>
      <c r="I414" s="75"/>
      <c r="J414" s="76"/>
      <c r="K414" s="76"/>
      <c r="L414" s="75"/>
      <c r="M414" s="49"/>
      <c r="N414" s="76"/>
      <c r="O414" s="49"/>
      <c r="P414" s="77"/>
      <c r="Q414" s="53"/>
      <c r="R414" s="54"/>
      <c r="S414" s="55"/>
      <c r="T414" s="56"/>
      <c r="U414" s="56"/>
      <c r="V414" s="42"/>
      <c r="W414" s="57"/>
      <c r="X414" s="58"/>
      <c r="Y414" s="75"/>
      <c r="Z414" s="59"/>
      <c r="AA414" s="61"/>
      <c r="AB414" s="61"/>
      <c r="AC414" s="61"/>
      <c r="AD414" s="62"/>
      <c r="AE414" s="62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</row>
    <row r="415" spans="1:77" x14ac:dyDescent="0.3">
      <c r="A415" s="39"/>
      <c r="B415" s="42"/>
      <c r="C415" s="42"/>
      <c r="D415" s="75"/>
      <c r="E415" s="75"/>
      <c r="F415" s="76"/>
      <c r="G415" s="47"/>
      <c r="H415" s="47"/>
      <c r="I415" s="75"/>
      <c r="J415" s="76"/>
      <c r="K415" s="76"/>
      <c r="L415" s="75"/>
      <c r="M415" s="49"/>
      <c r="N415" s="76"/>
      <c r="O415" s="49"/>
      <c r="P415" s="77"/>
      <c r="Q415" s="53"/>
      <c r="R415" s="54"/>
      <c r="S415" s="55"/>
      <c r="T415" s="56"/>
      <c r="U415" s="56"/>
      <c r="V415" s="42"/>
      <c r="W415" s="57"/>
      <c r="X415" s="58"/>
      <c r="Y415" s="75"/>
      <c r="Z415" s="59"/>
      <c r="AA415" s="61"/>
      <c r="AB415" s="61"/>
      <c r="AC415" s="61"/>
      <c r="AD415" s="62"/>
      <c r="AE415" s="62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</row>
    <row r="416" spans="1:77" x14ac:dyDescent="0.3">
      <c r="A416" s="39"/>
      <c r="B416" s="42"/>
      <c r="C416" s="42"/>
      <c r="D416" s="75"/>
      <c r="E416" s="75"/>
      <c r="F416" s="76"/>
      <c r="G416" s="47"/>
      <c r="H416" s="47"/>
      <c r="I416" s="75"/>
      <c r="J416" s="76"/>
      <c r="K416" s="76"/>
      <c r="L416" s="75"/>
      <c r="M416" s="49"/>
      <c r="N416" s="76"/>
      <c r="O416" s="49"/>
      <c r="P416" s="77"/>
      <c r="Q416" s="53"/>
      <c r="R416" s="54"/>
      <c r="S416" s="55"/>
      <c r="T416" s="56"/>
      <c r="U416" s="56"/>
      <c r="V416" s="42"/>
      <c r="W416" s="57"/>
      <c r="X416" s="58"/>
      <c r="Y416" s="75"/>
      <c r="Z416" s="59"/>
      <c r="AA416" s="61"/>
      <c r="AB416" s="61"/>
      <c r="AC416" s="61"/>
      <c r="AD416" s="62"/>
      <c r="AE416" s="62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</row>
    <row r="417" spans="1:77" x14ac:dyDescent="0.3">
      <c r="A417" s="39"/>
      <c r="B417" s="42"/>
      <c r="C417" s="42"/>
      <c r="D417" s="75"/>
      <c r="E417" s="75"/>
      <c r="F417" s="76"/>
      <c r="G417" s="47"/>
      <c r="H417" s="47"/>
      <c r="I417" s="75"/>
      <c r="J417" s="76"/>
      <c r="K417" s="76"/>
      <c r="L417" s="75"/>
      <c r="M417" s="49"/>
      <c r="N417" s="76"/>
      <c r="O417" s="49"/>
      <c r="P417" s="77"/>
      <c r="Q417" s="53"/>
      <c r="R417" s="54"/>
      <c r="S417" s="55"/>
      <c r="T417" s="56"/>
      <c r="U417" s="56"/>
      <c r="V417" s="42"/>
      <c r="W417" s="57"/>
      <c r="X417" s="58"/>
      <c r="Y417" s="75"/>
      <c r="Z417" s="59"/>
      <c r="AA417" s="61"/>
      <c r="AB417" s="61"/>
      <c r="AC417" s="61"/>
      <c r="AD417" s="62"/>
      <c r="AE417" s="62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</row>
    <row r="418" spans="1:77" x14ac:dyDescent="0.3">
      <c r="A418" s="39"/>
      <c r="B418" s="42"/>
      <c r="C418" s="42"/>
      <c r="D418" s="75"/>
      <c r="E418" s="75"/>
      <c r="F418" s="76"/>
      <c r="G418" s="47"/>
      <c r="H418" s="47"/>
      <c r="I418" s="75"/>
      <c r="J418" s="76"/>
      <c r="K418" s="76"/>
      <c r="L418" s="75"/>
      <c r="M418" s="49"/>
      <c r="N418" s="76"/>
      <c r="O418" s="49"/>
      <c r="P418" s="77"/>
      <c r="Q418" s="53"/>
      <c r="R418" s="54"/>
      <c r="S418" s="55"/>
      <c r="T418" s="56"/>
      <c r="U418" s="56"/>
      <c r="V418" s="42"/>
      <c r="W418" s="57"/>
      <c r="X418" s="58"/>
      <c r="Y418" s="75"/>
      <c r="Z418" s="59"/>
      <c r="AA418" s="61"/>
      <c r="AB418" s="61"/>
      <c r="AC418" s="61"/>
      <c r="AD418" s="62"/>
      <c r="AE418" s="62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</row>
    <row r="419" spans="1:77" x14ac:dyDescent="0.3">
      <c r="A419" s="39"/>
      <c r="B419" s="42"/>
      <c r="C419" s="42"/>
      <c r="D419" s="75"/>
      <c r="E419" s="75"/>
      <c r="F419" s="76"/>
      <c r="G419" s="47"/>
      <c r="H419" s="47"/>
      <c r="I419" s="75"/>
      <c r="J419" s="76"/>
      <c r="K419" s="76"/>
      <c r="L419" s="75"/>
      <c r="M419" s="49"/>
      <c r="N419" s="76"/>
      <c r="O419" s="49"/>
      <c r="P419" s="77"/>
      <c r="Q419" s="53"/>
      <c r="R419" s="54"/>
      <c r="S419" s="55"/>
      <c r="T419" s="56"/>
      <c r="U419" s="56"/>
      <c r="V419" s="42"/>
      <c r="W419" s="57"/>
      <c r="X419" s="58"/>
      <c r="Y419" s="75"/>
      <c r="Z419" s="59"/>
      <c r="AA419" s="61"/>
      <c r="AB419" s="61"/>
      <c r="AC419" s="61"/>
      <c r="AD419" s="62"/>
      <c r="AE419" s="62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</row>
    <row r="420" spans="1:77" x14ac:dyDescent="0.3">
      <c r="A420" s="39"/>
      <c r="B420" s="42"/>
      <c r="C420" s="42"/>
      <c r="D420" s="75"/>
      <c r="E420" s="75"/>
      <c r="F420" s="76"/>
      <c r="G420" s="47"/>
      <c r="H420" s="47"/>
      <c r="I420" s="75"/>
      <c r="J420" s="76"/>
      <c r="K420" s="76"/>
      <c r="L420" s="75"/>
      <c r="M420" s="49"/>
      <c r="N420" s="76"/>
      <c r="O420" s="49"/>
      <c r="P420" s="77"/>
      <c r="Q420" s="53"/>
      <c r="R420" s="54"/>
      <c r="S420" s="55"/>
      <c r="T420" s="56"/>
      <c r="U420" s="56"/>
      <c r="V420" s="42"/>
      <c r="W420" s="57"/>
      <c r="X420" s="58"/>
      <c r="Y420" s="75"/>
      <c r="Z420" s="59"/>
      <c r="AA420" s="61"/>
      <c r="AB420" s="61"/>
      <c r="AC420" s="61"/>
      <c r="AD420" s="62"/>
      <c r="AE420" s="62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</row>
    <row r="421" spans="1:77" x14ac:dyDescent="0.3">
      <c r="A421" s="39"/>
      <c r="B421" s="42"/>
      <c r="C421" s="42"/>
      <c r="D421" s="75"/>
      <c r="E421" s="75"/>
      <c r="F421" s="76"/>
      <c r="G421" s="47"/>
      <c r="H421" s="47"/>
      <c r="I421" s="75"/>
      <c r="J421" s="76"/>
      <c r="K421" s="76"/>
      <c r="L421" s="75"/>
      <c r="M421" s="49"/>
      <c r="N421" s="76"/>
      <c r="O421" s="49"/>
      <c r="P421" s="77"/>
      <c r="Q421" s="53"/>
      <c r="R421" s="54"/>
      <c r="S421" s="55"/>
      <c r="T421" s="56"/>
      <c r="U421" s="56"/>
      <c r="V421" s="42"/>
      <c r="W421" s="57"/>
      <c r="X421" s="58"/>
      <c r="Y421" s="75"/>
      <c r="Z421" s="59"/>
      <c r="AA421" s="61"/>
      <c r="AB421" s="61"/>
      <c r="AC421" s="61"/>
      <c r="AD421" s="62"/>
      <c r="AE421" s="62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</row>
    <row r="422" spans="1:77" x14ac:dyDescent="0.3">
      <c r="A422" s="39"/>
      <c r="B422" s="42"/>
      <c r="C422" s="42"/>
      <c r="D422" s="75"/>
      <c r="E422" s="75"/>
      <c r="F422" s="76"/>
      <c r="G422" s="47"/>
      <c r="H422" s="47"/>
      <c r="I422" s="75"/>
      <c r="J422" s="76"/>
      <c r="K422" s="76"/>
      <c r="L422" s="75"/>
      <c r="M422" s="49"/>
      <c r="N422" s="76"/>
      <c r="O422" s="49"/>
      <c r="P422" s="77"/>
      <c r="Q422" s="53"/>
      <c r="R422" s="54"/>
      <c r="S422" s="55"/>
      <c r="T422" s="56"/>
      <c r="U422" s="56"/>
      <c r="V422" s="42"/>
      <c r="W422" s="57"/>
      <c r="X422" s="58"/>
      <c r="Y422" s="75"/>
      <c r="Z422" s="59"/>
      <c r="AA422" s="61"/>
      <c r="AB422" s="61"/>
      <c r="AC422" s="61"/>
      <c r="AD422" s="62"/>
      <c r="AE422" s="62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</row>
    <row r="423" spans="1:77" x14ac:dyDescent="0.3">
      <c r="A423" s="39"/>
      <c r="B423" s="42"/>
      <c r="C423" s="42"/>
      <c r="D423" s="75"/>
      <c r="E423" s="75"/>
      <c r="F423" s="76"/>
      <c r="G423" s="47"/>
      <c r="H423" s="47"/>
      <c r="I423" s="75"/>
      <c r="J423" s="76"/>
      <c r="K423" s="76"/>
      <c r="L423" s="75"/>
      <c r="M423" s="49"/>
      <c r="N423" s="76"/>
      <c r="O423" s="49"/>
      <c r="P423" s="77"/>
      <c r="Q423" s="53"/>
      <c r="R423" s="54"/>
      <c r="S423" s="55"/>
      <c r="T423" s="56"/>
      <c r="U423" s="56"/>
      <c r="V423" s="42"/>
      <c r="W423" s="57"/>
      <c r="X423" s="58"/>
      <c r="Y423" s="75"/>
      <c r="Z423" s="59"/>
      <c r="AA423" s="61"/>
      <c r="AB423" s="61"/>
      <c r="AC423" s="61"/>
      <c r="AD423" s="62"/>
      <c r="AE423" s="62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</row>
    <row r="424" spans="1:77" x14ac:dyDescent="0.3">
      <c r="A424" s="39"/>
      <c r="B424" s="42"/>
      <c r="C424" s="42"/>
      <c r="D424" s="75"/>
      <c r="E424" s="75"/>
      <c r="F424" s="76"/>
      <c r="G424" s="47"/>
      <c r="H424" s="47"/>
      <c r="I424" s="75"/>
      <c r="J424" s="76"/>
      <c r="K424" s="76"/>
      <c r="L424" s="75"/>
      <c r="M424" s="49"/>
      <c r="N424" s="76"/>
      <c r="O424" s="49"/>
      <c r="P424" s="77"/>
      <c r="Q424" s="53"/>
      <c r="R424" s="54"/>
      <c r="S424" s="55"/>
      <c r="T424" s="56"/>
      <c r="U424" s="56"/>
      <c r="V424" s="42"/>
      <c r="W424" s="57"/>
      <c r="X424" s="58"/>
      <c r="Y424" s="75"/>
      <c r="Z424" s="59"/>
      <c r="AA424" s="61"/>
      <c r="AB424" s="61"/>
      <c r="AC424" s="61"/>
      <c r="AD424" s="62"/>
      <c r="AE424" s="62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</row>
    <row r="425" spans="1:77" x14ac:dyDescent="0.3">
      <c r="A425" s="39"/>
      <c r="B425" s="42"/>
      <c r="C425" s="42"/>
      <c r="D425" s="75"/>
      <c r="E425" s="75"/>
      <c r="F425" s="76"/>
      <c r="G425" s="47"/>
      <c r="H425" s="47"/>
      <c r="I425" s="75"/>
      <c r="J425" s="76"/>
      <c r="K425" s="76"/>
      <c r="L425" s="75"/>
      <c r="M425" s="49"/>
      <c r="N425" s="76"/>
      <c r="O425" s="49"/>
      <c r="P425" s="77"/>
      <c r="Q425" s="53"/>
      <c r="R425" s="54"/>
      <c r="S425" s="55"/>
      <c r="T425" s="56"/>
      <c r="U425" s="56"/>
      <c r="V425" s="42"/>
      <c r="W425" s="57"/>
      <c r="X425" s="58"/>
      <c r="Y425" s="75"/>
      <c r="Z425" s="59"/>
      <c r="AA425" s="61"/>
      <c r="AB425" s="61"/>
      <c r="AC425" s="61"/>
      <c r="AD425" s="62"/>
      <c r="AE425" s="62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</row>
    <row r="426" spans="1:77" x14ac:dyDescent="0.3">
      <c r="A426" s="39"/>
      <c r="B426" s="42"/>
      <c r="C426" s="42"/>
      <c r="D426" s="75"/>
      <c r="E426" s="75"/>
      <c r="F426" s="76"/>
      <c r="G426" s="47"/>
      <c r="H426" s="47"/>
      <c r="I426" s="75"/>
      <c r="J426" s="76"/>
      <c r="K426" s="76"/>
      <c r="L426" s="75"/>
      <c r="M426" s="49"/>
      <c r="N426" s="76"/>
      <c r="O426" s="49"/>
      <c r="P426" s="77"/>
      <c r="Q426" s="53"/>
      <c r="R426" s="54"/>
      <c r="S426" s="55"/>
      <c r="T426" s="56"/>
      <c r="U426" s="56"/>
      <c r="V426" s="42"/>
      <c r="W426" s="57"/>
      <c r="X426" s="58"/>
      <c r="Y426" s="75"/>
      <c r="Z426" s="59"/>
      <c r="AA426" s="61"/>
      <c r="AB426" s="61"/>
      <c r="AC426" s="61"/>
      <c r="AD426" s="62"/>
      <c r="AE426" s="62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</row>
    <row r="427" spans="1:77" x14ac:dyDescent="0.3">
      <c r="A427" s="39"/>
      <c r="B427" s="42"/>
      <c r="C427" s="42"/>
      <c r="D427" s="75"/>
      <c r="E427" s="75"/>
      <c r="F427" s="76"/>
      <c r="G427" s="47"/>
      <c r="H427" s="47"/>
      <c r="I427" s="75"/>
      <c r="J427" s="76"/>
      <c r="K427" s="76"/>
      <c r="L427" s="75"/>
      <c r="M427" s="49"/>
      <c r="N427" s="76"/>
      <c r="O427" s="49"/>
      <c r="P427" s="77"/>
      <c r="Q427" s="53"/>
      <c r="R427" s="54"/>
      <c r="S427" s="55"/>
      <c r="T427" s="56"/>
      <c r="U427" s="56"/>
      <c r="V427" s="42"/>
      <c r="W427" s="57"/>
      <c r="X427" s="58"/>
      <c r="Y427" s="75"/>
      <c r="Z427" s="59"/>
      <c r="AA427" s="61"/>
      <c r="AB427" s="61"/>
      <c r="AC427" s="61"/>
      <c r="AD427" s="62"/>
      <c r="AE427" s="62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</row>
    <row r="428" spans="1:77" x14ac:dyDescent="0.3">
      <c r="A428" s="39"/>
      <c r="B428" s="42"/>
      <c r="C428" s="42"/>
      <c r="D428" s="75"/>
      <c r="E428" s="75"/>
      <c r="F428" s="76"/>
      <c r="G428" s="47"/>
      <c r="H428" s="47"/>
      <c r="I428" s="75"/>
      <c r="J428" s="76"/>
      <c r="K428" s="76"/>
      <c r="L428" s="75"/>
      <c r="M428" s="49"/>
      <c r="N428" s="76"/>
      <c r="O428" s="49"/>
      <c r="P428" s="77"/>
      <c r="Q428" s="53"/>
      <c r="R428" s="54"/>
      <c r="S428" s="55"/>
      <c r="T428" s="56"/>
      <c r="U428" s="56"/>
      <c r="V428" s="42"/>
      <c r="W428" s="57"/>
      <c r="X428" s="58"/>
      <c r="Y428" s="75"/>
      <c r="Z428" s="59"/>
      <c r="AA428" s="61"/>
      <c r="AB428" s="61"/>
      <c r="AC428" s="61"/>
      <c r="AD428" s="62"/>
      <c r="AE428" s="62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</row>
    <row r="429" spans="1:77" x14ac:dyDescent="0.3">
      <c r="A429" s="39"/>
      <c r="B429" s="42"/>
      <c r="C429" s="42"/>
      <c r="D429" s="75"/>
      <c r="E429" s="75"/>
      <c r="F429" s="76"/>
      <c r="G429" s="47"/>
      <c r="H429" s="47"/>
      <c r="I429" s="75"/>
      <c r="J429" s="76"/>
      <c r="K429" s="76"/>
      <c r="L429" s="75"/>
      <c r="M429" s="49"/>
      <c r="N429" s="76"/>
      <c r="O429" s="49"/>
      <c r="P429" s="77"/>
      <c r="Q429" s="53"/>
      <c r="R429" s="54"/>
      <c r="S429" s="55"/>
      <c r="T429" s="56"/>
      <c r="U429" s="56"/>
      <c r="V429" s="42"/>
      <c r="W429" s="57"/>
      <c r="X429" s="58"/>
      <c r="Y429" s="75"/>
      <c r="Z429" s="59"/>
      <c r="AA429" s="61"/>
      <c r="AB429" s="61"/>
      <c r="AC429" s="61"/>
      <c r="AD429" s="62"/>
      <c r="AE429" s="62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</row>
    <row r="430" spans="1:77" x14ac:dyDescent="0.3">
      <c r="A430" s="39"/>
      <c r="B430" s="42"/>
      <c r="C430" s="42"/>
      <c r="D430" s="75"/>
      <c r="E430" s="75"/>
      <c r="F430" s="76"/>
      <c r="G430" s="47"/>
      <c r="H430" s="47"/>
      <c r="I430" s="75"/>
      <c r="J430" s="76"/>
      <c r="K430" s="76"/>
      <c r="L430" s="75"/>
      <c r="M430" s="49"/>
      <c r="N430" s="76"/>
      <c r="O430" s="49"/>
      <c r="P430" s="77"/>
      <c r="Q430" s="53"/>
      <c r="R430" s="54"/>
      <c r="S430" s="55"/>
      <c r="T430" s="56"/>
      <c r="U430" s="56"/>
      <c r="V430" s="42"/>
      <c r="W430" s="57"/>
      <c r="X430" s="58"/>
      <c r="Y430" s="75"/>
      <c r="Z430" s="59"/>
      <c r="AA430" s="61"/>
      <c r="AB430" s="61"/>
      <c r="AC430" s="61"/>
      <c r="AD430" s="62"/>
      <c r="AE430" s="62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</row>
    <row r="431" spans="1:77" x14ac:dyDescent="0.3">
      <c r="A431" s="39"/>
      <c r="B431" s="42"/>
      <c r="C431" s="42"/>
      <c r="D431" s="75"/>
      <c r="E431" s="75"/>
      <c r="F431" s="76"/>
      <c r="G431" s="47"/>
      <c r="H431" s="47"/>
      <c r="I431" s="75"/>
      <c r="J431" s="76"/>
      <c r="K431" s="76"/>
      <c r="L431" s="75"/>
      <c r="M431" s="49"/>
      <c r="N431" s="76"/>
      <c r="O431" s="49"/>
      <c r="P431" s="77"/>
      <c r="Q431" s="53"/>
      <c r="R431" s="54"/>
      <c r="S431" s="55"/>
      <c r="T431" s="56"/>
      <c r="U431" s="56"/>
      <c r="V431" s="42"/>
      <c r="W431" s="57"/>
      <c r="X431" s="58"/>
      <c r="Y431" s="75"/>
      <c r="Z431" s="59"/>
      <c r="AA431" s="61"/>
      <c r="AB431" s="61"/>
      <c r="AC431" s="61"/>
      <c r="AD431" s="62"/>
      <c r="AE431" s="62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</row>
    <row r="432" spans="1:77" x14ac:dyDescent="0.3">
      <c r="A432" s="39"/>
      <c r="B432" s="42"/>
      <c r="C432" s="42"/>
      <c r="D432" s="75"/>
      <c r="E432" s="75"/>
      <c r="F432" s="76"/>
      <c r="G432" s="47"/>
      <c r="H432" s="47"/>
      <c r="I432" s="75"/>
      <c r="J432" s="76"/>
      <c r="K432" s="76"/>
      <c r="L432" s="75"/>
      <c r="M432" s="49"/>
      <c r="N432" s="76"/>
      <c r="O432" s="49"/>
      <c r="P432" s="77"/>
      <c r="Q432" s="53"/>
      <c r="R432" s="54"/>
      <c r="S432" s="55"/>
      <c r="T432" s="56"/>
      <c r="U432" s="56"/>
      <c r="V432" s="42"/>
      <c r="W432" s="57"/>
      <c r="X432" s="58"/>
      <c r="Y432" s="75"/>
      <c r="Z432" s="59"/>
      <c r="AA432" s="61"/>
      <c r="AB432" s="61"/>
      <c r="AC432" s="61"/>
      <c r="AD432" s="62"/>
      <c r="AE432" s="62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</row>
    <row r="433" spans="1:77" x14ac:dyDescent="0.3">
      <c r="A433" s="39"/>
      <c r="B433" s="42"/>
      <c r="C433" s="42"/>
      <c r="D433" s="75"/>
      <c r="E433" s="75"/>
      <c r="F433" s="76"/>
      <c r="G433" s="47"/>
      <c r="H433" s="47"/>
      <c r="I433" s="75"/>
      <c r="J433" s="76"/>
      <c r="K433" s="76"/>
      <c r="L433" s="75"/>
      <c r="M433" s="49"/>
      <c r="N433" s="76"/>
      <c r="O433" s="49"/>
      <c r="P433" s="77"/>
      <c r="Q433" s="53"/>
      <c r="R433" s="54"/>
      <c r="S433" s="55"/>
      <c r="T433" s="56"/>
      <c r="U433" s="56"/>
      <c r="V433" s="42"/>
      <c r="W433" s="57"/>
      <c r="X433" s="58"/>
      <c r="Y433" s="75"/>
      <c r="Z433" s="59"/>
      <c r="AA433" s="61"/>
      <c r="AB433" s="61"/>
      <c r="AC433" s="61"/>
      <c r="AD433" s="62"/>
      <c r="AE433" s="62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</row>
    <row r="434" spans="1:77" x14ac:dyDescent="0.3">
      <c r="A434" s="39"/>
      <c r="B434" s="42"/>
      <c r="C434" s="42"/>
      <c r="D434" s="75"/>
      <c r="E434" s="75"/>
      <c r="F434" s="76"/>
      <c r="G434" s="47"/>
      <c r="H434" s="47"/>
      <c r="I434" s="75"/>
      <c r="J434" s="76"/>
      <c r="K434" s="76"/>
      <c r="L434" s="75"/>
      <c r="M434" s="49"/>
      <c r="N434" s="76"/>
      <c r="O434" s="49"/>
      <c r="P434" s="77"/>
      <c r="Q434" s="53"/>
      <c r="R434" s="54"/>
      <c r="S434" s="55"/>
      <c r="T434" s="56"/>
      <c r="U434" s="56"/>
      <c r="V434" s="42"/>
      <c r="W434" s="57"/>
      <c r="X434" s="58"/>
      <c r="Y434" s="75"/>
      <c r="Z434" s="59"/>
      <c r="AA434" s="61"/>
      <c r="AB434" s="61"/>
      <c r="AC434" s="61"/>
      <c r="AD434" s="62"/>
      <c r="AE434" s="62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</row>
    <row r="435" spans="1:77" x14ac:dyDescent="0.3">
      <c r="A435" s="39"/>
      <c r="B435" s="42"/>
      <c r="C435" s="42"/>
      <c r="D435" s="75"/>
      <c r="E435" s="75"/>
      <c r="F435" s="76"/>
      <c r="G435" s="47"/>
      <c r="H435" s="47"/>
      <c r="I435" s="75"/>
      <c r="J435" s="76"/>
      <c r="K435" s="76"/>
      <c r="L435" s="75"/>
      <c r="M435" s="49"/>
      <c r="N435" s="76"/>
      <c r="O435" s="49"/>
      <c r="P435" s="77"/>
      <c r="Q435" s="53"/>
      <c r="R435" s="54"/>
      <c r="S435" s="55"/>
      <c r="T435" s="56"/>
      <c r="U435" s="56"/>
      <c r="V435" s="42"/>
      <c r="W435" s="57"/>
      <c r="X435" s="58"/>
      <c r="Y435" s="75"/>
      <c r="Z435" s="59"/>
      <c r="AA435" s="61"/>
      <c r="AB435" s="61"/>
      <c r="AC435" s="61"/>
      <c r="AD435" s="62"/>
      <c r="AE435" s="62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</row>
    <row r="436" spans="1:77" x14ac:dyDescent="0.3">
      <c r="A436" s="39"/>
      <c r="B436" s="42"/>
      <c r="C436" s="42"/>
      <c r="D436" s="75"/>
      <c r="E436" s="75"/>
      <c r="F436" s="76"/>
      <c r="G436" s="47"/>
      <c r="H436" s="47"/>
      <c r="I436" s="75"/>
      <c r="J436" s="76"/>
      <c r="K436" s="76"/>
      <c r="L436" s="75"/>
      <c r="M436" s="49"/>
      <c r="N436" s="76"/>
      <c r="O436" s="49"/>
      <c r="P436" s="77"/>
      <c r="Q436" s="53"/>
      <c r="R436" s="54"/>
      <c r="S436" s="55"/>
      <c r="T436" s="56"/>
      <c r="U436" s="56"/>
      <c r="V436" s="42"/>
      <c r="W436" s="57"/>
      <c r="X436" s="58"/>
      <c r="Y436" s="75"/>
      <c r="Z436" s="59"/>
      <c r="AA436" s="61"/>
      <c r="AB436" s="61"/>
      <c r="AC436" s="61"/>
      <c r="AD436" s="62"/>
      <c r="AE436" s="62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</row>
    <row r="437" spans="1:77" x14ac:dyDescent="0.3">
      <c r="A437" s="39"/>
      <c r="B437" s="42"/>
      <c r="C437" s="42"/>
      <c r="D437" s="75"/>
      <c r="E437" s="75"/>
      <c r="F437" s="76"/>
      <c r="G437" s="47"/>
      <c r="H437" s="47"/>
      <c r="I437" s="75"/>
      <c r="J437" s="76"/>
      <c r="K437" s="76"/>
      <c r="L437" s="75"/>
      <c r="M437" s="49"/>
      <c r="N437" s="76"/>
      <c r="O437" s="49"/>
      <c r="P437" s="77"/>
      <c r="Q437" s="53"/>
      <c r="R437" s="54"/>
      <c r="S437" s="55"/>
      <c r="T437" s="56"/>
      <c r="U437" s="56"/>
      <c r="V437" s="42"/>
      <c r="W437" s="57"/>
      <c r="X437" s="58"/>
      <c r="Y437" s="75"/>
      <c r="Z437" s="59"/>
      <c r="AA437" s="61"/>
      <c r="AB437" s="61"/>
      <c r="AC437" s="61"/>
      <c r="AD437" s="62"/>
      <c r="AE437" s="62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</row>
    <row r="438" spans="1:77" x14ac:dyDescent="0.3">
      <c r="A438" s="39"/>
      <c r="B438" s="42"/>
      <c r="C438" s="42"/>
      <c r="D438" s="75"/>
      <c r="E438" s="75"/>
      <c r="F438" s="76"/>
      <c r="G438" s="47"/>
      <c r="H438" s="47"/>
      <c r="I438" s="75"/>
      <c r="J438" s="76"/>
      <c r="K438" s="76"/>
      <c r="L438" s="75"/>
      <c r="M438" s="49"/>
      <c r="N438" s="76"/>
      <c r="O438" s="49"/>
      <c r="P438" s="77"/>
      <c r="Q438" s="53"/>
      <c r="R438" s="54"/>
      <c r="S438" s="55"/>
      <c r="T438" s="56"/>
      <c r="U438" s="56"/>
      <c r="V438" s="42"/>
      <c r="W438" s="57"/>
      <c r="X438" s="58"/>
      <c r="Y438" s="75"/>
      <c r="Z438" s="59"/>
      <c r="AA438" s="61"/>
      <c r="AB438" s="61"/>
      <c r="AC438" s="61"/>
      <c r="AD438" s="62"/>
      <c r="AE438" s="62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</row>
    <row r="439" spans="1:77" x14ac:dyDescent="0.3">
      <c r="A439" s="39"/>
      <c r="B439" s="42"/>
      <c r="C439" s="42"/>
      <c r="D439" s="75"/>
      <c r="E439" s="75"/>
      <c r="F439" s="76"/>
      <c r="G439" s="47"/>
      <c r="H439" s="47"/>
      <c r="I439" s="75"/>
      <c r="J439" s="76"/>
      <c r="K439" s="76"/>
      <c r="L439" s="75"/>
      <c r="M439" s="49"/>
      <c r="N439" s="76"/>
      <c r="O439" s="49"/>
      <c r="P439" s="77"/>
      <c r="Q439" s="53"/>
      <c r="R439" s="54"/>
      <c r="S439" s="55"/>
      <c r="T439" s="56"/>
      <c r="U439" s="56"/>
      <c r="V439" s="42"/>
      <c r="W439" s="57"/>
      <c r="X439" s="58"/>
      <c r="Y439" s="75"/>
      <c r="Z439" s="59"/>
      <c r="AA439" s="61"/>
      <c r="AB439" s="61"/>
      <c r="AC439" s="61"/>
      <c r="AD439" s="62"/>
      <c r="AE439" s="62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</row>
    <row r="440" spans="1:77" x14ac:dyDescent="0.3">
      <c r="A440" s="39"/>
      <c r="B440" s="42"/>
      <c r="C440" s="42"/>
      <c r="D440" s="75"/>
      <c r="E440" s="75"/>
      <c r="F440" s="76"/>
      <c r="G440" s="47"/>
      <c r="H440" s="47"/>
      <c r="I440" s="75"/>
      <c r="J440" s="76"/>
      <c r="K440" s="76"/>
      <c r="L440" s="75"/>
      <c r="M440" s="49"/>
      <c r="N440" s="76"/>
      <c r="O440" s="49"/>
      <c r="P440" s="77"/>
      <c r="Q440" s="53"/>
      <c r="R440" s="54"/>
      <c r="S440" s="55"/>
      <c r="T440" s="56"/>
      <c r="U440" s="56"/>
      <c r="V440" s="42"/>
      <c r="W440" s="57"/>
      <c r="X440" s="58"/>
      <c r="Y440" s="75"/>
      <c r="Z440" s="59"/>
      <c r="AA440" s="61"/>
      <c r="AB440" s="61"/>
      <c r="AC440" s="61"/>
      <c r="AD440" s="62"/>
      <c r="AE440" s="62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</row>
    <row r="441" spans="1:77" x14ac:dyDescent="0.3">
      <c r="A441" s="39"/>
      <c r="B441" s="42"/>
      <c r="C441" s="42"/>
      <c r="D441" s="75"/>
      <c r="E441" s="75"/>
      <c r="F441" s="76"/>
      <c r="G441" s="47"/>
      <c r="H441" s="47"/>
      <c r="I441" s="75"/>
      <c r="J441" s="76"/>
      <c r="K441" s="76"/>
      <c r="L441" s="75"/>
      <c r="M441" s="49"/>
      <c r="N441" s="76"/>
      <c r="O441" s="49"/>
      <c r="P441" s="77"/>
      <c r="Q441" s="53"/>
      <c r="R441" s="54"/>
      <c r="S441" s="55"/>
      <c r="T441" s="56"/>
      <c r="U441" s="56"/>
      <c r="V441" s="42"/>
      <c r="W441" s="57"/>
      <c r="X441" s="58"/>
      <c r="Y441" s="75"/>
      <c r="Z441" s="59"/>
      <c r="AA441" s="61"/>
      <c r="AB441" s="61"/>
      <c r="AC441" s="61"/>
      <c r="AD441" s="62"/>
      <c r="AE441" s="62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</row>
    <row r="442" spans="1:77" x14ac:dyDescent="0.3">
      <c r="A442" s="39"/>
      <c r="B442" s="42"/>
      <c r="C442" s="42"/>
      <c r="D442" s="75"/>
      <c r="E442" s="75"/>
      <c r="F442" s="76"/>
      <c r="G442" s="47"/>
      <c r="H442" s="47"/>
      <c r="I442" s="75"/>
      <c r="J442" s="76"/>
      <c r="K442" s="76"/>
      <c r="L442" s="75"/>
      <c r="M442" s="49"/>
      <c r="N442" s="76"/>
      <c r="O442" s="49"/>
      <c r="P442" s="77"/>
      <c r="Q442" s="53"/>
      <c r="R442" s="54"/>
      <c r="S442" s="55"/>
      <c r="T442" s="56"/>
      <c r="U442" s="56"/>
      <c r="V442" s="42"/>
      <c r="W442" s="57"/>
      <c r="X442" s="58"/>
      <c r="Y442" s="75"/>
      <c r="Z442" s="59"/>
      <c r="AA442" s="61"/>
      <c r="AB442" s="61"/>
      <c r="AC442" s="61"/>
      <c r="AD442" s="62"/>
      <c r="AE442" s="62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</row>
    <row r="443" spans="1:77" x14ac:dyDescent="0.3">
      <c r="A443" s="39"/>
      <c r="B443" s="42"/>
      <c r="C443" s="42"/>
      <c r="D443" s="75"/>
      <c r="E443" s="75"/>
      <c r="F443" s="76"/>
      <c r="G443" s="47"/>
      <c r="H443" s="47"/>
      <c r="I443" s="75"/>
      <c r="J443" s="76"/>
      <c r="K443" s="76"/>
      <c r="L443" s="75"/>
      <c r="M443" s="49"/>
      <c r="N443" s="76"/>
      <c r="O443" s="49"/>
      <c r="P443" s="77"/>
      <c r="Q443" s="53"/>
      <c r="R443" s="54"/>
      <c r="S443" s="55"/>
      <c r="T443" s="56"/>
      <c r="U443" s="56"/>
      <c r="V443" s="42"/>
      <c r="W443" s="57"/>
      <c r="X443" s="58"/>
      <c r="Y443" s="75"/>
      <c r="Z443" s="59"/>
      <c r="AA443" s="61"/>
      <c r="AB443" s="61"/>
      <c r="AC443" s="61"/>
      <c r="AD443" s="62"/>
      <c r="AE443" s="62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</row>
    <row r="444" spans="1:77" x14ac:dyDescent="0.3">
      <c r="A444" s="39"/>
      <c r="B444" s="42"/>
      <c r="C444" s="42"/>
      <c r="D444" s="75"/>
      <c r="E444" s="75"/>
      <c r="F444" s="76"/>
      <c r="G444" s="47"/>
      <c r="H444" s="47"/>
      <c r="I444" s="75"/>
      <c r="J444" s="76"/>
      <c r="K444" s="76"/>
      <c r="L444" s="75"/>
      <c r="M444" s="49"/>
      <c r="N444" s="76"/>
      <c r="O444" s="49"/>
      <c r="P444" s="77"/>
      <c r="Q444" s="53"/>
      <c r="R444" s="54"/>
      <c r="S444" s="55"/>
      <c r="T444" s="56"/>
      <c r="U444" s="56"/>
      <c r="V444" s="42"/>
      <c r="W444" s="57"/>
      <c r="X444" s="58"/>
      <c r="Y444" s="75"/>
      <c r="Z444" s="59"/>
      <c r="AA444" s="61"/>
      <c r="AB444" s="61"/>
      <c r="AC444" s="61"/>
      <c r="AD444" s="62"/>
      <c r="AE444" s="62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</row>
    <row r="445" spans="1:77" x14ac:dyDescent="0.3">
      <c r="A445" s="39"/>
      <c r="B445" s="42"/>
      <c r="C445" s="42"/>
      <c r="D445" s="75"/>
      <c r="E445" s="75"/>
      <c r="F445" s="76"/>
      <c r="G445" s="47"/>
      <c r="H445" s="47"/>
      <c r="I445" s="75"/>
      <c r="J445" s="76"/>
      <c r="K445" s="76"/>
      <c r="L445" s="75"/>
      <c r="M445" s="49"/>
      <c r="N445" s="76"/>
      <c r="O445" s="49"/>
      <c r="P445" s="77"/>
      <c r="Q445" s="53"/>
      <c r="R445" s="54"/>
      <c r="S445" s="55"/>
      <c r="T445" s="56"/>
      <c r="U445" s="56"/>
      <c r="V445" s="42"/>
      <c r="W445" s="57"/>
      <c r="X445" s="58"/>
      <c r="Y445" s="75"/>
      <c r="Z445" s="59"/>
      <c r="AA445" s="61"/>
      <c r="AB445" s="61"/>
      <c r="AC445" s="61"/>
      <c r="AD445" s="62"/>
      <c r="AE445" s="62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</row>
    <row r="446" spans="1:77" x14ac:dyDescent="0.3">
      <c r="A446" s="39"/>
      <c r="B446" s="42"/>
      <c r="C446" s="42"/>
      <c r="D446" s="75"/>
      <c r="E446" s="75"/>
      <c r="F446" s="76"/>
      <c r="G446" s="47"/>
      <c r="H446" s="47"/>
      <c r="I446" s="75"/>
      <c r="J446" s="76"/>
      <c r="K446" s="76"/>
      <c r="L446" s="75"/>
      <c r="M446" s="49"/>
      <c r="N446" s="76"/>
      <c r="O446" s="49"/>
      <c r="P446" s="77"/>
      <c r="Q446" s="53"/>
      <c r="R446" s="54"/>
      <c r="S446" s="55"/>
      <c r="T446" s="56"/>
      <c r="U446" s="56"/>
      <c r="V446" s="42"/>
      <c r="W446" s="57"/>
      <c r="X446" s="58"/>
      <c r="Y446" s="75"/>
      <c r="Z446" s="59"/>
      <c r="AA446" s="61"/>
      <c r="AB446" s="61"/>
      <c r="AC446" s="61"/>
      <c r="AD446" s="62"/>
      <c r="AE446" s="62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</row>
    <row r="447" spans="1:77" x14ac:dyDescent="0.3">
      <c r="A447" s="39"/>
      <c r="B447" s="42"/>
      <c r="C447" s="42"/>
      <c r="D447" s="75"/>
      <c r="E447" s="75"/>
      <c r="F447" s="76"/>
      <c r="G447" s="47"/>
      <c r="H447" s="47"/>
      <c r="I447" s="75"/>
      <c r="J447" s="76"/>
      <c r="K447" s="76"/>
      <c r="L447" s="75"/>
      <c r="M447" s="49"/>
      <c r="N447" s="76"/>
      <c r="O447" s="49"/>
      <c r="P447" s="77"/>
      <c r="Q447" s="53"/>
      <c r="R447" s="54"/>
      <c r="S447" s="55"/>
      <c r="T447" s="56"/>
      <c r="U447" s="56"/>
      <c r="V447" s="42"/>
      <c r="W447" s="57"/>
      <c r="X447" s="58"/>
      <c r="Y447" s="75"/>
      <c r="Z447" s="59"/>
      <c r="AA447" s="61"/>
      <c r="AB447" s="61"/>
      <c r="AC447" s="61"/>
      <c r="AD447" s="62"/>
      <c r="AE447" s="62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</row>
    <row r="448" spans="1:77" x14ac:dyDescent="0.3">
      <c r="A448" s="39"/>
      <c r="B448" s="42"/>
      <c r="C448" s="42"/>
      <c r="D448" s="75"/>
      <c r="E448" s="75"/>
      <c r="F448" s="76"/>
      <c r="G448" s="47"/>
      <c r="H448" s="47"/>
      <c r="I448" s="75"/>
      <c r="J448" s="76"/>
      <c r="K448" s="76"/>
      <c r="L448" s="75"/>
      <c r="M448" s="49"/>
      <c r="N448" s="76"/>
      <c r="O448" s="49"/>
      <c r="P448" s="77"/>
      <c r="Q448" s="53"/>
      <c r="R448" s="54"/>
      <c r="S448" s="55"/>
      <c r="T448" s="56"/>
      <c r="U448" s="56"/>
      <c r="V448" s="42"/>
      <c r="W448" s="57"/>
      <c r="X448" s="58"/>
      <c r="Y448" s="75"/>
      <c r="Z448" s="59"/>
      <c r="AA448" s="61"/>
      <c r="AB448" s="61"/>
      <c r="AC448" s="61"/>
      <c r="AD448" s="62"/>
      <c r="AE448" s="62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</row>
    <row r="449" spans="1:77" x14ac:dyDescent="0.3">
      <c r="A449" s="39"/>
      <c r="B449" s="42"/>
      <c r="C449" s="42"/>
      <c r="D449" s="75"/>
      <c r="E449" s="75"/>
      <c r="F449" s="76"/>
      <c r="G449" s="47"/>
      <c r="H449" s="47"/>
      <c r="I449" s="75"/>
      <c r="J449" s="76"/>
      <c r="K449" s="76"/>
      <c r="L449" s="75"/>
      <c r="M449" s="49"/>
      <c r="N449" s="76"/>
      <c r="O449" s="49"/>
      <c r="P449" s="77"/>
      <c r="Q449" s="53"/>
      <c r="R449" s="54"/>
      <c r="S449" s="55"/>
      <c r="T449" s="56"/>
      <c r="U449" s="56"/>
      <c r="V449" s="42"/>
      <c r="W449" s="57"/>
      <c r="X449" s="58"/>
      <c r="Y449" s="75"/>
      <c r="Z449" s="59"/>
      <c r="AA449" s="61"/>
      <c r="AB449" s="61"/>
      <c r="AC449" s="61"/>
      <c r="AD449" s="62"/>
      <c r="AE449" s="62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</row>
    <row r="450" spans="1:77" x14ac:dyDescent="0.3">
      <c r="A450" s="39"/>
      <c r="B450" s="42"/>
      <c r="C450" s="42"/>
      <c r="D450" s="75"/>
      <c r="E450" s="75"/>
      <c r="F450" s="76"/>
      <c r="G450" s="47"/>
      <c r="H450" s="47"/>
      <c r="I450" s="75"/>
      <c r="J450" s="76"/>
      <c r="K450" s="76"/>
      <c r="L450" s="75"/>
      <c r="M450" s="49"/>
      <c r="N450" s="76"/>
      <c r="O450" s="49"/>
      <c r="P450" s="77"/>
      <c r="Q450" s="53"/>
      <c r="R450" s="54"/>
      <c r="S450" s="55"/>
      <c r="T450" s="56"/>
      <c r="U450" s="56"/>
      <c r="V450" s="42"/>
      <c r="W450" s="57"/>
      <c r="X450" s="58"/>
      <c r="Y450" s="75"/>
      <c r="Z450" s="59"/>
      <c r="AA450" s="61"/>
      <c r="AB450" s="61"/>
      <c r="AC450" s="61"/>
      <c r="AD450" s="62"/>
      <c r="AE450" s="62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</row>
    <row r="451" spans="1:77" x14ac:dyDescent="0.3">
      <c r="A451" s="39"/>
      <c r="B451" s="42"/>
      <c r="C451" s="42"/>
      <c r="D451" s="75"/>
      <c r="E451" s="75"/>
      <c r="F451" s="76"/>
      <c r="G451" s="47"/>
      <c r="H451" s="47"/>
      <c r="I451" s="75"/>
      <c r="J451" s="76"/>
      <c r="K451" s="76"/>
      <c r="L451" s="75"/>
      <c r="M451" s="49"/>
      <c r="N451" s="76"/>
      <c r="O451" s="49"/>
      <c r="P451" s="77"/>
      <c r="Q451" s="53"/>
      <c r="R451" s="54"/>
      <c r="S451" s="55"/>
      <c r="T451" s="56"/>
      <c r="U451" s="56"/>
      <c r="V451" s="42"/>
      <c r="W451" s="57"/>
      <c r="X451" s="58"/>
      <c r="Y451" s="75"/>
      <c r="Z451" s="59"/>
      <c r="AA451" s="61"/>
      <c r="AB451" s="61"/>
      <c r="AC451" s="61"/>
      <c r="AD451" s="62"/>
      <c r="AE451" s="62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</row>
    <row r="452" spans="1:77" x14ac:dyDescent="0.3">
      <c r="A452" s="39"/>
      <c r="B452" s="42"/>
      <c r="C452" s="42"/>
      <c r="D452" s="75"/>
      <c r="E452" s="75"/>
      <c r="F452" s="76"/>
      <c r="G452" s="47"/>
      <c r="H452" s="47"/>
      <c r="I452" s="75"/>
      <c r="J452" s="76"/>
      <c r="K452" s="76"/>
      <c r="L452" s="75"/>
      <c r="M452" s="49"/>
      <c r="N452" s="76"/>
      <c r="O452" s="49"/>
      <c r="P452" s="77"/>
      <c r="Q452" s="53"/>
      <c r="R452" s="54"/>
      <c r="S452" s="55"/>
      <c r="T452" s="56"/>
      <c r="U452" s="56"/>
      <c r="V452" s="42"/>
      <c r="W452" s="57"/>
      <c r="X452" s="58"/>
      <c r="Y452" s="75"/>
      <c r="Z452" s="59"/>
      <c r="AA452" s="61"/>
      <c r="AB452" s="61"/>
      <c r="AC452" s="61"/>
      <c r="AD452" s="62"/>
      <c r="AE452" s="62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</row>
    <row r="453" spans="1:77" x14ac:dyDescent="0.3">
      <c r="A453" s="39"/>
      <c r="B453" s="42"/>
      <c r="C453" s="42"/>
      <c r="D453" s="75"/>
      <c r="E453" s="75"/>
      <c r="F453" s="76"/>
      <c r="G453" s="47"/>
      <c r="H453" s="47"/>
      <c r="I453" s="75"/>
      <c r="J453" s="76"/>
      <c r="K453" s="76"/>
      <c r="L453" s="75"/>
      <c r="M453" s="49"/>
      <c r="N453" s="76"/>
      <c r="O453" s="49"/>
      <c r="P453" s="77"/>
      <c r="Q453" s="53"/>
      <c r="R453" s="54"/>
      <c r="S453" s="55"/>
      <c r="T453" s="56"/>
      <c r="U453" s="56"/>
      <c r="V453" s="42"/>
      <c r="W453" s="57"/>
      <c r="X453" s="58"/>
      <c r="Y453" s="75"/>
      <c r="Z453" s="59"/>
      <c r="AA453" s="61"/>
      <c r="AB453" s="61"/>
      <c r="AC453" s="61"/>
      <c r="AD453" s="62"/>
      <c r="AE453" s="62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</row>
    <row r="454" spans="1:77" x14ac:dyDescent="0.3">
      <c r="A454" s="39"/>
      <c r="B454" s="42"/>
      <c r="C454" s="42"/>
      <c r="D454" s="75"/>
      <c r="E454" s="75"/>
      <c r="F454" s="76"/>
      <c r="G454" s="47"/>
      <c r="H454" s="47"/>
      <c r="I454" s="75"/>
      <c r="J454" s="76"/>
      <c r="K454" s="76"/>
      <c r="L454" s="75"/>
      <c r="M454" s="49"/>
      <c r="N454" s="76"/>
      <c r="O454" s="49"/>
      <c r="P454" s="77"/>
      <c r="Q454" s="53"/>
      <c r="R454" s="54"/>
      <c r="S454" s="55"/>
      <c r="T454" s="56"/>
      <c r="U454" s="56"/>
      <c r="V454" s="42"/>
      <c r="W454" s="57"/>
      <c r="X454" s="58"/>
      <c r="Y454" s="75"/>
      <c r="Z454" s="59"/>
      <c r="AA454" s="61"/>
      <c r="AB454" s="61"/>
      <c r="AC454" s="61"/>
      <c r="AD454" s="62"/>
      <c r="AE454" s="62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</row>
    <row r="455" spans="1:77" x14ac:dyDescent="0.3">
      <c r="A455" s="39"/>
      <c r="B455" s="42"/>
      <c r="C455" s="42"/>
      <c r="D455" s="75"/>
      <c r="E455" s="75"/>
      <c r="F455" s="76"/>
      <c r="G455" s="47"/>
      <c r="H455" s="47"/>
      <c r="I455" s="75"/>
      <c r="J455" s="76"/>
      <c r="K455" s="76"/>
      <c r="L455" s="75"/>
      <c r="M455" s="49"/>
      <c r="N455" s="76"/>
      <c r="O455" s="49"/>
      <c r="P455" s="77"/>
      <c r="Q455" s="53"/>
      <c r="R455" s="54"/>
      <c r="S455" s="55"/>
      <c r="T455" s="56"/>
      <c r="U455" s="56"/>
      <c r="V455" s="42"/>
      <c r="W455" s="57"/>
      <c r="X455" s="58"/>
      <c r="Y455" s="75"/>
      <c r="Z455" s="59"/>
      <c r="AA455" s="61"/>
      <c r="AB455" s="61"/>
      <c r="AC455" s="61"/>
      <c r="AD455" s="62"/>
      <c r="AE455" s="62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</row>
    <row r="456" spans="1:77" x14ac:dyDescent="0.3">
      <c r="A456" s="39"/>
      <c r="B456" s="42"/>
      <c r="C456" s="42"/>
      <c r="D456" s="75"/>
      <c r="E456" s="75"/>
      <c r="F456" s="76"/>
      <c r="G456" s="47"/>
      <c r="H456" s="47"/>
      <c r="I456" s="75"/>
      <c r="J456" s="76"/>
      <c r="K456" s="76"/>
      <c r="L456" s="75"/>
      <c r="M456" s="49"/>
      <c r="N456" s="76"/>
      <c r="O456" s="49"/>
      <c r="P456" s="77"/>
      <c r="Q456" s="53"/>
      <c r="R456" s="54"/>
      <c r="S456" s="55"/>
      <c r="T456" s="56"/>
      <c r="U456" s="56"/>
      <c r="V456" s="42"/>
      <c r="W456" s="57"/>
      <c r="X456" s="58"/>
      <c r="Y456" s="75"/>
      <c r="Z456" s="59"/>
      <c r="AA456" s="61"/>
      <c r="AB456" s="61"/>
      <c r="AC456" s="61"/>
      <c r="AD456" s="62"/>
      <c r="AE456" s="62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</row>
    <row r="457" spans="1:77" x14ac:dyDescent="0.3">
      <c r="A457" s="39"/>
      <c r="B457" s="42"/>
      <c r="C457" s="42"/>
      <c r="D457" s="75"/>
      <c r="E457" s="75"/>
      <c r="F457" s="76"/>
      <c r="G457" s="47"/>
      <c r="H457" s="47"/>
      <c r="I457" s="75"/>
      <c r="J457" s="76"/>
      <c r="K457" s="76"/>
      <c r="L457" s="75"/>
      <c r="M457" s="49"/>
      <c r="N457" s="76"/>
      <c r="O457" s="49"/>
      <c r="P457" s="77"/>
      <c r="Q457" s="53"/>
      <c r="R457" s="54"/>
      <c r="S457" s="55"/>
      <c r="T457" s="56"/>
      <c r="U457" s="56"/>
      <c r="V457" s="42"/>
      <c r="W457" s="57"/>
      <c r="X457" s="58"/>
      <c r="Y457" s="75"/>
      <c r="Z457" s="59"/>
      <c r="AA457" s="61"/>
      <c r="AB457" s="61"/>
      <c r="AC457" s="61"/>
      <c r="AD457" s="62"/>
      <c r="AE457" s="62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</row>
    <row r="458" spans="1:77" x14ac:dyDescent="0.3">
      <c r="A458" s="39"/>
      <c r="B458" s="42"/>
      <c r="C458" s="42"/>
      <c r="D458" s="75"/>
      <c r="E458" s="75"/>
      <c r="F458" s="76"/>
      <c r="G458" s="47"/>
      <c r="H458" s="47"/>
      <c r="I458" s="75"/>
      <c r="J458" s="76"/>
      <c r="K458" s="76"/>
      <c r="L458" s="75"/>
      <c r="M458" s="49"/>
      <c r="N458" s="76"/>
      <c r="O458" s="49"/>
      <c r="P458" s="77"/>
      <c r="Q458" s="53"/>
      <c r="R458" s="54"/>
      <c r="S458" s="55"/>
      <c r="T458" s="56"/>
      <c r="U458" s="56"/>
      <c r="V458" s="42"/>
      <c r="W458" s="57"/>
      <c r="X458" s="58"/>
      <c r="Y458" s="75"/>
      <c r="Z458" s="59"/>
      <c r="AA458" s="61"/>
      <c r="AB458" s="61"/>
      <c r="AC458" s="61"/>
      <c r="AD458" s="62"/>
      <c r="AE458" s="62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</row>
    <row r="459" spans="1:77" x14ac:dyDescent="0.3">
      <c r="A459" s="39"/>
      <c r="B459" s="42"/>
      <c r="C459" s="42"/>
      <c r="D459" s="75"/>
      <c r="E459" s="75"/>
      <c r="F459" s="76"/>
      <c r="G459" s="47"/>
      <c r="H459" s="47"/>
      <c r="I459" s="75"/>
      <c r="J459" s="76"/>
      <c r="K459" s="76"/>
      <c r="L459" s="75"/>
      <c r="M459" s="49"/>
      <c r="N459" s="76"/>
      <c r="O459" s="49"/>
      <c r="P459" s="77"/>
      <c r="Q459" s="53"/>
      <c r="R459" s="54"/>
      <c r="S459" s="55"/>
      <c r="T459" s="56"/>
      <c r="U459" s="56"/>
      <c r="V459" s="42"/>
      <c r="W459" s="57"/>
      <c r="X459" s="58"/>
      <c r="Y459" s="75"/>
      <c r="Z459" s="59"/>
      <c r="AA459" s="61"/>
      <c r="AB459" s="61"/>
      <c r="AC459" s="61"/>
      <c r="AD459" s="62"/>
      <c r="AE459" s="62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</row>
    <row r="460" spans="1:77" x14ac:dyDescent="0.3">
      <c r="A460" s="39"/>
      <c r="B460" s="42"/>
      <c r="C460" s="42"/>
      <c r="D460" s="75"/>
      <c r="E460" s="75"/>
      <c r="F460" s="76"/>
      <c r="G460" s="47"/>
      <c r="H460" s="47"/>
      <c r="I460" s="75"/>
      <c r="J460" s="76"/>
      <c r="K460" s="76"/>
      <c r="L460" s="75"/>
      <c r="M460" s="49"/>
      <c r="N460" s="76"/>
      <c r="O460" s="49"/>
      <c r="P460" s="77"/>
      <c r="Q460" s="53"/>
      <c r="R460" s="54"/>
      <c r="S460" s="55"/>
      <c r="T460" s="56"/>
      <c r="U460" s="56"/>
      <c r="V460" s="42"/>
      <c r="W460" s="57"/>
      <c r="X460" s="58"/>
      <c r="Y460" s="75"/>
      <c r="Z460" s="59"/>
      <c r="AA460" s="61"/>
      <c r="AB460" s="61"/>
      <c r="AC460" s="61"/>
      <c r="AD460" s="62"/>
      <c r="AE460" s="62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</row>
    <row r="461" spans="1:77" x14ac:dyDescent="0.3">
      <c r="A461" s="39"/>
      <c r="B461" s="42"/>
      <c r="C461" s="42"/>
      <c r="D461" s="75"/>
      <c r="E461" s="75"/>
      <c r="F461" s="76"/>
      <c r="G461" s="47"/>
      <c r="H461" s="47"/>
      <c r="I461" s="75"/>
      <c r="J461" s="76"/>
      <c r="K461" s="76"/>
      <c r="L461" s="75"/>
      <c r="M461" s="49"/>
      <c r="N461" s="76"/>
      <c r="O461" s="49"/>
      <c r="P461" s="77"/>
      <c r="Q461" s="53"/>
      <c r="R461" s="54"/>
      <c r="S461" s="55"/>
      <c r="T461" s="56"/>
      <c r="U461" s="56"/>
      <c r="V461" s="42"/>
      <c r="W461" s="57"/>
      <c r="X461" s="58"/>
      <c r="Y461" s="75"/>
      <c r="Z461" s="59"/>
      <c r="AA461" s="61"/>
      <c r="AB461" s="61"/>
      <c r="AC461" s="61"/>
      <c r="AD461" s="62"/>
      <c r="AE461" s="62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</row>
    <row r="462" spans="1:77" x14ac:dyDescent="0.3">
      <c r="A462" s="39"/>
      <c r="B462" s="42"/>
      <c r="C462" s="42"/>
      <c r="D462" s="75"/>
      <c r="E462" s="75"/>
      <c r="F462" s="76"/>
      <c r="G462" s="47"/>
      <c r="H462" s="47"/>
      <c r="I462" s="75"/>
      <c r="J462" s="76"/>
      <c r="K462" s="76"/>
      <c r="L462" s="75"/>
      <c r="M462" s="49"/>
      <c r="N462" s="76"/>
      <c r="O462" s="49"/>
      <c r="P462" s="77"/>
      <c r="Q462" s="53"/>
      <c r="R462" s="54"/>
      <c r="S462" s="55"/>
      <c r="T462" s="56"/>
      <c r="U462" s="56"/>
      <c r="V462" s="42"/>
      <c r="W462" s="57"/>
      <c r="X462" s="58"/>
      <c r="Y462" s="75"/>
      <c r="Z462" s="59"/>
      <c r="AA462" s="61"/>
      <c r="AB462" s="61"/>
      <c r="AC462" s="61"/>
      <c r="AD462" s="62"/>
      <c r="AE462" s="62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</row>
    <row r="463" spans="1:77" x14ac:dyDescent="0.3">
      <c r="A463" s="39"/>
      <c r="B463" s="42"/>
      <c r="C463" s="42"/>
      <c r="D463" s="75"/>
      <c r="E463" s="75"/>
      <c r="F463" s="76"/>
      <c r="G463" s="47"/>
      <c r="H463" s="47"/>
      <c r="I463" s="75"/>
      <c r="J463" s="76"/>
      <c r="K463" s="76"/>
      <c r="L463" s="75"/>
      <c r="M463" s="49"/>
      <c r="N463" s="76"/>
      <c r="O463" s="49"/>
      <c r="P463" s="77"/>
      <c r="Q463" s="53"/>
      <c r="R463" s="54"/>
      <c r="S463" s="55"/>
      <c r="T463" s="56"/>
      <c r="U463" s="56"/>
      <c r="V463" s="42"/>
      <c r="W463" s="57"/>
      <c r="X463" s="58"/>
      <c r="Y463" s="75"/>
      <c r="Z463" s="59"/>
      <c r="AA463" s="61"/>
      <c r="AB463" s="61"/>
      <c r="AC463" s="61"/>
      <c r="AD463" s="62"/>
      <c r="AE463" s="62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</row>
    <row r="464" spans="1:77" x14ac:dyDescent="0.3">
      <c r="A464" s="39"/>
      <c r="B464" s="42"/>
      <c r="C464" s="42"/>
      <c r="D464" s="75"/>
      <c r="E464" s="75"/>
      <c r="F464" s="76"/>
      <c r="G464" s="47"/>
      <c r="H464" s="47"/>
      <c r="I464" s="75"/>
      <c r="J464" s="76"/>
      <c r="K464" s="76"/>
      <c r="L464" s="75"/>
      <c r="M464" s="49"/>
      <c r="N464" s="76"/>
      <c r="O464" s="49"/>
      <c r="P464" s="77"/>
      <c r="Q464" s="53"/>
      <c r="R464" s="54"/>
      <c r="S464" s="55"/>
      <c r="T464" s="56"/>
      <c r="U464" s="56"/>
      <c r="V464" s="42"/>
      <c r="W464" s="57"/>
      <c r="X464" s="58"/>
      <c r="Y464" s="75"/>
      <c r="Z464" s="59"/>
      <c r="AA464" s="61"/>
      <c r="AB464" s="61"/>
      <c r="AC464" s="61"/>
      <c r="AD464" s="62"/>
      <c r="AE464" s="62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</row>
    <row r="465" spans="1:77" x14ac:dyDescent="0.3">
      <c r="A465" s="39"/>
      <c r="B465" s="42"/>
      <c r="C465" s="42"/>
      <c r="D465" s="75"/>
      <c r="E465" s="75"/>
      <c r="F465" s="76"/>
      <c r="G465" s="47"/>
      <c r="H465" s="47"/>
      <c r="I465" s="75"/>
      <c r="J465" s="76"/>
      <c r="K465" s="76"/>
      <c r="L465" s="75"/>
      <c r="M465" s="49"/>
      <c r="N465" s="76"/>
      <c r="O465" s="49"/>
      <c r="P465" s="77"/>
      <c r="Q465" s="53"/>
      <c r="R465" s="54"/>
      <c r="S465" s="55"/>
      <c r="T465" s="56"/>
      <c r="U465" s="56"/>
      <c r="V465" s="42"/>
      <c r="W465" s="57"/>
      <c r="X465" s="58"/>
      <c r="Y465" s="75"/>
      <c r="Z465" s="59"/>
      <c r="AA465" s="61"/>
      <c r="AB465" s="61"/>
      <c r="AC465" s="61"/>
      <c r="AD465" s="62"/>
      <c r="AE465" s="62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</row>
    <row r="466" spans="1:77" x14ac:dyDescent="0.3">
      <c r="A466" s="39"/>
      <c r="B466" s="42"/>
      <c r="C466" s="42"/>
      <c r="D466" s="75"/>
      <c r="E466" s="75"/>
      <c r="F466" s="76"/>
      <c r="G466" s="47"/>
      <c r="H466" s="47"/>
      <c r="I466" s="75"/>
      <c r="J466" s="76"/>
      <c r="K466" s="76"/>
      <c r="L466" s="75"/>
      <c r="M466" s="49"/>
      <c r="N466" s="76"/>
      <c r="O466" s="49"/>
      <c r="P466" s="77"/>
      <c r="Q466" s="53"/>
      <c r="R466" s="54"/>
      <c r="S466" s="55"/>
      <c r="T466" s="56"/>
      <c r="U466" s="56"/>
      <c r="V466" s="42"/>
      <c r="W466" s="57"/>
      <c r="X466" s="58"/>
      <c r="Y466" s="75"/>
      <c r="Z466" s="59"/>
      <c r="AA466" s="61"/>
      <c r="AB466" s="61"/>
      <c r="AC466" s="61"/>
      <c r="AD466" s="62"/>
      <c r="AE466" s="62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</row>
    <row r="467" spans="1:77" x14ac:dyDescent="0.3">
      <c r="A467" s="39"/>
      <c r="B467" s="42"/>
      <c r="C467" s="42"/>
      <c r="D467" s="75"/>
      <c r="E467" s="75"/>
      <c r="F467" s="76"/>
      <c r="G467" s="47"/>
      <c r="H467" s="47"/>
      <c r="I467" s="75"/>
      <c r="J467" s="76"/>
      <c r="K467" s="76"/>
      <c r="L467" s="75"/>
      <c r="M467" s="49"/>
      <c r="N467" s="76"/>
      <c r="O467" s="49"/>
      <c r="P467" s="77"/>
      <c r="Q467" s="53"/>
      <c r="R467" s="54"/>
      <c r="S467" s="55"/>
      <c r="T467" s="56"/>
      <c r="U467" s="56"/>
      <c r="V467" s="42"/>
      <c r="W467" s="57"/>
      <c r="X467" s="58"/>
      <c r="Y467" s="75"/>
      <c r="Z467" s="59"/>
      <c r="AA467" s="61"/>
      <c r="AB467" s="61"/>
      <c r="AC467" s="61"/>
      <c r="AD467" s="62"/>
      <c r="AE467" s="62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</row>
    <row r="468" spans="1:77" x14ac:dyDescent="0.3">
      <c r="A468" s="39"/>
      <c r="B468" s="42"/>
      <c r="C468" s="42"/>
      <c r="D468" s="75"/>
      <c r="E468" s="75"/>
      <c r="F468" s="76"/>
      <c r="G468" s="47"/>
      <c r="H468" s="47"/>
      <c r="I468" s="75"/>
      <c r="J468" s="76"/>
      <c r="K468" s="76"/>
      <c r="L468" s="75"/>
      <c r="M468" s="49"/>
      <c r="N468" s="76"/>
      <c r="O468" s="49"/>
      <c r="P468" s="77"/>
      <c r="Q468" s="53"/>
      <c r="R468" s="54"/>
      <c r="S468" s="55"/>
      <c r="T468" s="56"/>
      <c r="U468" s="56"/>
      <c r="V468" s="42"/>
      <c r="W468" s="57"/>
      <c r="X468" s="58"/>
      <c r="Y468" s="75"/>
      <c r="Z468" s="59"/>
      <c r="AA468" s="61"/>
      <c r="AB468" s="61"/>
      <c r="AC468" s="61"/>
      <c r="AD468" s="62"/>
      <c r="AE468" s="62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</row>
    <row r="469" spans="1:77" x14ac:dyDescent="0.3">
      <c r="A469" s="39"/>
      <c r="B469" s="42"/>
      <c r="C469" s="42"/>
      <c r="D469" s="75"/>
      <c r="E469" s="75"/>
      <c r="F469" s="76"/>
      <c r="G469" s="47"/>
      <c r="H469" s="47"/>
      <c r="I469" s="75"/>
      <c r="J469" s="76"/>
      <c r="K469" s="76"/>
      <c r="L469" s="75"/>
      <c r="M469" s="49"/>
      <c r="N469" s="76"/>
      <c r="O469" s="49"/>
      <c r="P469" s="77"/>
      <c r="Q469" s="53"/>
      <c r="R469" s="54"/>
      <c r="S469" s="55"/>
      <c r="T469" s="56"/>
      <c r="U469" s="56"/>
      <c r="V469" s="42"/>
      <c r="W469" s="57"/>
      <c r="X469" s="58"/>
      <c r="Y469" s="75"/>
      <c r="Z469" s="59"/>
      <c r="AA469" s="61"/>
      <c r="AB469" s="61"/>
      <c r="AC469" s="61"/>
      <c r="AD469" s="62"/>
      <c r="AE469" s="62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</row>
    <row r="470" spans="1:77" x14ac:dyDescent="0.3">
      <c r="A470" s="39"/>
      <c r="B470" s="42"/>
      <c r="C470" s="42"/>
      <c r="D470" s="75"/>
      <c r="E470" s="75"/>
      <c r="F470" s="76"/>
      <c r="G470" s="47"/>
      <c r="H470" s="47"/>
      <c r="I470" s="75"/>
      <c r="J470" s="76"/>
      <c r="K470" s="76"/>
      <c r="L470" s="75"/>
      <c r="M470" s="49"/>
      <c r="N470" s="76"/>
      <c r="O470" s="49"/>
      <c r="P470" s="77"/>
      <c r="Q470" s="53"/>
      <c r="R470" s="54"/>
      <c r="S470" s="55"/>
      <c r="T470" s="56"/>
      <c r="U470" s="56"/>
      <c r="V470" s="42"/>
      <c r="W470" s="57"/>
      <c r="X470" s="58"/>
      <c r="Y470" s="75"/>
      <c r="Z470" s="59"/>
      <c r="AA470" s="61"/>
      <c r="AB470" s="61"/>
      <c r="AC470" s="61"/>
      <c r="AD470" s="62"/>
      <c r="AE470" s="62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</row>
    <row r="471" spans="1:77" x14ac:dyDescent="0.3">
      <c r="A471" s="39"/>
      <c r="B471" s="42"/>
      <c r="C471" s="42"/>
      <c r="D471" s="75"/>
      <c r="E471" s="75"/>
      <c r="F471" s="76"/>
      <c r="G471" s="47"/>
      <c r="H471" s="47"/>
      <c r="I471" s="75"/>
      <c r="J471" s="76"/>
      <c r="K471" s="76"/>
      <c r="L471" s="75"/>
      <c r="M471" s="49"/>
      <c r="N471" s="76"/>
      <c r="O471" s="49"/>
      <c r="P471" s="77"/>
      <c r="Q471" s="53"/>
      <c r="R471" s="54"/>
      <c r="S471" s="55"/>
      <c r="T471" s="56"/>
      <c r="U471" s="56"/>
      <c r="V471" s="42"/>
      <c r="W471" s="57"/>
      <c r="X471" s="58"/>
      <c r="Y471" s="75"/>
      <c r="Z471" s="59"/>
      <c r="AA471" s="61"/>
      <c r="AB471" s="61"/>
      <c r="AC471" s="61"/>
      <c r="AD471" s="62"/>
      <c r="AE471" s="62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</row>
    <row r="472" spans="1:77" x14ac:dyDescent="0.3">
      <c r="A472" s="39"/>
      <c r="B472" s="42"/>
      <c r="C472" s="42"/>
      <c r="D472" s="75"/>
      <c r="E472" s="75"/>
      <c r="F472" s="76"/>
      <c r="G472" s="47"/>
      <c r="H472" s="47"/>
      <c r="I472" s="75"/>
      <c r="J472" s="76"/>
      <c r="K472" s="76"/>
      <c r="L472" s="75"/>
      <c r="M472" s="49"/>
      <c r="N472" s="76"/>
      <c r="O472" s="49"/>
      <c r="P472" s="77"/>
      <c r="Q472" s="53"/>
      <c r="R472" s="54"/>
      <c r="S472" s="55"/>
      <c r="T472" s="56"/>
      <c r="U472" s="56"/>
      <c r="V472" s="42"/>
      <c r="W472" s="57"/>
      <c r="X472" s="58"/>
      <c r="Y472" s="75"/>
      <c r="Z472" s="59"/>
      <c r="AA472" s="61"/>
      <c r="AB472" s="61"/>
      <c r="AC472" s="61"/>
      <c r="AD472" s="62"/>
      <c r="AE472" s="62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</row>
    <row r="473" spans="1:77" x14ac:dyDescent="0.3">
      <c r="A473" s="39"/>
      <c r="B473" s="42"/>
      <c r="C473" s="42"/>
      <c r="D473" s="75"/>
      <c r="E473" s="75"/>
      <c r="F473" s="76"/>
      <c r="G473" s="47"/>
      <c r="H473" s="47"/>
      <c r="I473" s="75"/>
      <c r="J473" s="76"/>
      <c r="K473" s="76"/>
      <c r="L473" s="75"/>
      <c r="M473" s="49"/>
      <c r="N473" s="76"/>
      <c r="O473" s="49"/>
      <c r="P473" s="77"/>
      <c r="Q473" s="53"/>
      <c r="R473" s="54"/>
      <c r="S473" s="55"/>
      <c r="T473" s="56"/>
      <c r="U473" s="56"/>
      <c r="V473" s="42"/>
      <c r="W473" s="57"/>
      <c r="X473" s="58"/>
      <c r="Y473" s="75"/>
      <c r="Z473" s="59"/>
      <c r="AA473" s="61"/>
      <c r="AB473" s="61"/>
      <c r="AC473" s="61"/>
      <c r="AD473" s="62"/>
      <c r="AE473" s="62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</row>
    <row r="474" spans="1:77" x14ac:dyDescent="0.3">
      <c r="A474" s="39"/>
      <c r="B474" s="42"/>
      <c r="C474" s="42"/>
      <c r="D474" s="75"/>
      <c r="E474" s="75"/>
      <c r="F474" s="76"/>
      <c r="G474" s="47"/>
      <c r="H474" s="47"/>
      <c r="I474" s="75"/>
      <c r="J474" s="76"/>
      <c r="K474" s="76"/>
      <c r="L474" s="75"/>
      <c r="M474" s="49"/>
      <c r="N474" s="76"/>
      <c r="O474" s="49"/>
      <c r="P474" s="77"/>
      <c r="Q474" s="53"/>
      <c r="R474" s="54"/>
      <c r="S474" s="55"/>
      <c r="T474" s="56"/>
      <c r="U474" s="56"/>
      <c r="V474" s="42"/>
      <c r="W474" s="57"/>
      <c r="X474" s="58"/>
      <c r="Y474" s="75"/>
      <c r="Z474" s="59"/>
      <c r="AA474" s="61"/>
      <c r="AB474" s="61"/>
      <c r="AC474" s="61"/>
      <c r="AD474" s="62"/>
      <c r="AE474" s="62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</row>
    <row r="475" spans="1:77" x14ac:dyDescent="0.3">
      <c r="A475" s="39"/>
      <c r="B475" s="42"/>
      <c r="C475" s="42"/>
      <c r="D475" s="75"/>
      <c r="E475" s="75"/>
      <c r="F475" s="76"/>
      <c r="G475" s="47"/>
      <c r="H475" s="47"/>
      <c r="I475" s="75"/>
      <c r="J475" s="76"/>
      <c r="K475" s="76"/>
      <c r="L475" s="75"/>
      <c r="M475" s="49"/>
      <c r="N475" s="76"/>
      <c r="O475" s="49"/>
      <c r="P475" s="77"/>
      <c r="Q475" s="53"/>
      <c r="R475" s="54"/>
      <c r="S475" s="55"/>
      <c r="T475" s="56"/>
      <c r="U475" s="56"/>
      <c r="V475" s="42"/>
      <c r="W475" s="57"/>
      <c r="X475" s="58"/>
      <c r="Y475" s="75"/>
      <c r="Z475" s="59"/>
      <c r="AA475" s="61"/>
      <c r="AB475" s="61"/>
      <c r="AC475" s="61"/>
      <c r="AD475" s="62"/>
      <c r="AE475" s="62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</row>
    <row r="476" spans="1:77" x14ac:dyDescent="0.3">
      <c r="A476" s="39"/>
      <c r="B476" s="42"/>
      <c r="C476" s="42"/>
      <c r="D476" s="75"/>
      <c r="E476" s="75"/>
      <c r="F476" s="76"/>
      <c r="G476" s="47"/>
      <c r="H476" s="47"/>
      <c r="I476" s="75"/>
      <c r="J476" s="76"/>
      <c r="K476" s="76"/>
      <c r="L476" s="75"/>
      <c r="M476" s="49"/>
      <c r="N476" s="76"/>
      <c r="O476" s="49"/>
      <c r="P476" s="77"/>
      <c r="Q476" s="53"/>
      <c r="R476" s="54"/>
      <c r="S476" s="55"/>
      <c r="T476" s="56"/>
      <c r="U476" s="56"/>
      <c r="V476" s="42"/>
      <c r="W476" s="57"/>
      <c r="X476" s="58"/>
      <c r="Y476" s="75"/>
      <c r="Z476" s="59"/>
      <c r="AA476" s="61"/>
      <c r="AB476" s="61"/>
      <c r="AC476" s="61"/>
      <c r="AD476" s="62"/>
      <c r="AE476" s="62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</row>
    <row r="477" spans="1:77" x14ac:dyDescent="0.3">
      <c r="A477" s="39"/>
      <c r="B477" s="42"/>
      <c r="C477" s="42"/>
      <c r="D477" s="75"/>
      <c r="E477" s="75"/>
      <c r="F477" s="76"/>
      <c r="G477" s="47"/>
      <c r="H477" s="47"/>
      <c r="I477" s="75"/>
      <c r="J477" s="76"/>
      <c r="K477" s="76"/>
      <c r="L477" s="75"/>
      <c r="M477" s="49"/>
      <c r="N477" s="76"/>
      <c r="O477" s="49"/>
      <c r="P477" s="77"/>
      <c r="Q477" s="53"/>
      <c r="R477" s="54"/>
      <c r="S477" s="55"/>
      <c r="T477" s="56"/>
      <c r="U477" s="56"/>
      <c r="V477" s="42"/>
      <c r="W477" s="57"/>
      <c r="X477" s="58"/>
      <c r="Y477" s="75"/>
      <c r="Z477" s="59"/>
      <c r="AA477" s="61"/>
      <c r="AB477" s="61"/>
      <c r="AC477" s="61"/>
      <c r="AD477" s="62"/>
      <c r="AE477" s="62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</row>
    <row r="478" spans="1:77" x14ac:dyDescent="0.3">
      <c r="A478" s="39"/>
      <c r="B478" s="42"/>
      <c r="C478" s="42"/>
      <c r="D478" s="75"/>
      <c r="E478" s="75"/>
      <c r="F478" s="76"/>
      <c r="G478" s="47"/>
      <c r="H478" s="47"/>
      <c r="I478" s="75"/>
      <c r="J478" s="76"/>
      <c r="K478" s="76"/>
      <c r="L478" s="75"/>
      <c r="M478" s="49"/>
      <c r="N478" s="76"/>
      <c r="O478" s="49"/>
      <c r="P478" s="77"/>
      <c r="Q478" s="53"/>
      <c r="R478" s="54"/>
      <c r="S478" s="55"/>
      <c r="T478" s="56"/>
      <c r="U478" s="56"/>
      <c r="V478" s="42"/>
      <c r="W478" s="57"/>
      <c r="X478" s="58"/>
      <c r="Y478" s="75"/>
      <c r="Z478" s="59"/>
      <c r="AA478" s="61"/>
      <c r="AB478" s="61"/>
      <c r="AC478" s="61"/>
      <c r="AD478" s="62"/>
      <c r="AE478" s="62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</row>
    <row r="479" spans="1:77" x14ac:dyDescent="0.3">
      <c r="A479" s="39"/>
      <c r="B479" s="42"/>
      <c r="C479" s="42"/>
      <c r="D479" s="75"/>
      <c r="E479" s="75"/>
      <c r="F479" s="76"/>
      <c r="G479" s="47"/>
      <c r="H479" s="47"/>
      <c r="I479" s="75"/>
      <c r="J479" s="76"/>
      <c r="K479" s="76"/>
      <c r="L479" s="75"/>
      <c r="M479" s="49"/>
      <c r="N479" s="76"/>
      <c r="O479" s="49"/>
      <c r="P479" s="77"/>
      <c r="Q479" s="53"/>
      <c r="R479" s="54"/>
      <c r="S479" s="55"/>
      <c r="T479" s="56"/>
      <c r="U479" s="56"/>
      <c r="V479" s="42"/>
      <c r="W479" s="57"/>
      <c r="X479" s="58"/>
      <c r="Y479" s="75"/>
      <c r="Z479" s="59"/>
      <c r="AA479" s="61"/>
      <c r="AB479" s="61"/>
      <c r="AC479" s="61"/>
      <c r="AD479" s="62"/>
      <c r="AE479" s="62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</row>
    <row r="480" spans="1:77" x14ac:dyDescent="0.3">
      <c r="A480" s="39"/>
      <c r="B480" s="42"/>
      <c r="C480" s="42"/>
      <c r="D480" s="75"/>
      <c r="E480" s="75"/>
      <c r="F480" s="76"/>
      <c r="G480" s="47"/>
      <c r="H480" s="47"/>
      <c r="I480" s="75"/>
      <c r="J480" s="76"/>
      <c r="K480" s="76"/>
      <c r="L480" s="75"/>
      <c r="M480" s="49"/>
      <c r="N480" s="76"/>
      <c r="O480" s="49"/>
      <c r="P480" s="77"/>
      <c r="Q480" s="53"/>
      <c r="R480" s="54"/>
      <c r="S480" s="55"/>
      <c r="T480" s="56"/>
      <c r="U480" s="56"/>
      <c r="V480" s="42"/>
      <c r="W480" s="57"/>
      <c r="X480" s="58"/>
      <c r="Y480" s="75"/>
      <c r="Z480" s="59"/>
      <c r="AA480" s="61"/>
      <c r="AB480" s="61"/>
      <c r="AC480" s="61"/>
      <c r="AD480" s="62"/>
      <c r="AE480" s="62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</row>
    <row r="481" spans="1:77" x14ac:dyDescent="0.3">
      <c r="A481" s="39"/>
      <c r="B481" s="42"/>
      <c r="C481" s="42"/>
      <c r="D481" s="75"/>
      <c r="E481" s="75"/>
      <c r="F481" s="76"/>
      <c r="G481" s="47"/>
      <c r="H481" s="47"/>
      <c r="I481" s="75"/>
      <c r="J481" s="76"/>
      <c r="K481" s="76"/>
      <c r="L481" s="75"/>
      <c r="M481" s="49"/>
      <c r="N481" s="76"/>
      <c r="O481" s="49"/>
      <c r="P481" s="77"/>
      <c r="Q481" s="53"/>
      <c r="R481" s="54"/>
      <c r="S481" s="55"/>
      <c r="T481" s="56"/>
      <c r="U481" s="56"/>
      <c r="V481" s="42"/>
      <c r="W481" s="57"/>
      <c r="X481" s="58"/>
      <c r="Y481" s="75"/>
      <c r="Z481" s="59"/>
      <c r="AA481" s="61"/>
      <c r="AB481" s="61"/>
      <c r="AC481" s="61"/>
      <c r="AD481" s="62"/>
      <c r="AE481" s="62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</row>
    <row r="482" spans="1:77" x14ac:dyDescent="0.3">
      <c r="A482" s="39"/>
      <c r="B482" s="42"/>
      <c r="C482" s="42"/>
      <c r="D482" s="75"/>
      <c r="E482" s="75"/>
      <c r="F482" s="76"/>
      <c r="G482" s="47"/>
      <c r="H482" s="47"/>
      <c r="I482" s="75"/>
      <c r="J482" s="76"/>
      <c r="K482" s="76"/>
      <c r="L482" s="75"/>
      <c r="M482" s="49"/>
      <c r="N482" s="76"/>
      <c r="O482" s="49"/>
      <c r="P482" s="77"/>
      <c r="Q482" s="53"/>
      <c r="R482" s="54"/>
      <c r="S482" s="55"/>
      <c r="T482" s="56"/>
      <c r="U482" s="56"/>
      <c r="V482" s="42"/>
      <c r="W482" s="57"/>
      <c r="X482" s="58"/>
      <c r="Y482" s="75"/>
      <c r="Z482" s="59"/>
      <c r="AA482" s="61"/>
      <c r="AB482" s="61"/>
      <c r="AC482" s="61"/>
      <c r="AD482" s="62"/>
      <c r="AE482" s="62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</row>
    <row r="483" spans="1:77" x14ac:dyDescent="0.3">
      <c r="A483" s="39"/>
      <c r="B483" s="42"/>
      <c r="C483" s="42"/>
      <c r="D483" s="75"/>
      <c r="E483" s="75"/>
      <c r="F483" s="76"/>
      <c r="G483" s="47"/>
      <c r="H483" s="47"/>
      <c r="I483" s="75"/>
      <c r="J483" s="76"/>
      <c r="K483" s="76"/>
      <c r="L483" s="75"/>
      <c r="M483" s="49"/>
      <c r="N483" s="76"/>
      <c r="O483" s="49"/>
      <c r="P483" s="77"/>
      <c r="Q483" s="53"/>
      <c r="R483" s="54"/>
      <c r="S483" s="55"/>
      <c r="T483" s="56"/>
      <c r="U483" s="56"/>
      <c r="V483" s="42"/>
      <c r="W483" s="57"/>
      <c r="X483" s="58"/>
      <c r="Y483" s="75"/>
      <c r="Z483" s="59"/>
      <c r="AA483" s="61"/>
      <c r="AB483" s="61"/>
      <c r="AC483" s="61"/>
      <c r="AD483" s="62"/>
      <c r="AE483" s="62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</row>
    <row r="484" spans="1:77" x14ac:dyDescent="0.3">
      <c r="A484" s="39"/>
      <c r="B484" s="42"/>
      <c r="C484" s="42"/>
      <c r="D484" s="75"/>
      <c r="E484" s="75"/>
      <c r="F484" s="76"/>
      <c r="G484" s="47"/>
      <c r="H484" s="47"/>
      <c r="I484" s="75"/>
      <c r="J484" s="76"/>
      <c r="K484" s="76"/>
      <c r="L484" s="75"/>
      <c r="M484" s="49"/>
      <c r="N484" s="76"/>
      <c r="O484" s="49"/>
      <c r="P484" s="77"/>
      <c r="Q484" s="53"/>
      <c r="R484" s="54"/>
      <c r="S484" s="55"/>
      <c r="T484" s="56"/>
      <c r="U484" s="56"/>
      <c r="V484" s="42"/>
      <c r="W484" s="57"/>
      <c r="X484" s="58"/>
      <c r="Y484" s="75"/>
      <c r="Z484" s="59"/>
      <c r="AA484" s="61"/>
      <c r="AB484" s="61"/>
      <c r="AC484" s="61"/>
      <c r="AD484" s="62"/>
      <c r="AE484" s="62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</row>
    <row r="485" spans="1:77" x14ac:dyDescent="0.3">
      <c r="A485" s="39"/>
      <c r="B485" s="42"/>
      <c r="C485" s="42"/>
      <c r="D485" s="75"/>
      <c r="E485" s="75"/>
      <c r="F485" s="76"/>
      <c r="G485" s="47"/>
      <c r="H485" s="47"/>
      <c r="I485" s="75"/>
      <c r="J485" s="76"/>
      <c r="K485" s="76"/>
      <c r="L485" s="75"/>
      <c r="M485" s="49"/>
      <c r="N485" s="76"/>
      <c r="O485" s="49"/>
      <c r="P485" s="77"/>
      <c r="Q485" s="53"/>
      <c r="R485" s="54"/>
      <c r="S485" s="55"/>
      <c r="T485" s="56"/>
      <c r="U485" s="56"/>
      <c r="V485" s="42"/>
      <c r="W485" s="57"/>
      <c r="X485" s="58"/>
      <c r="Y485" s="75"/>
      <c r="Z485" s="59"/>
      <c r="AA485" s="61"/>
      <c r="AB485" s="61"/>
      <c r="AC485" s="61"/>
      <c r="AD485" s="62"/>
      <c r="AE485" s="62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</row>
    <row r="486" spans="1:77" x14ac:dyDescent="0.3">
      <c r="A486" s="39"/>
      <c r="B486" s="42"/>
      <c r="C486" s="42"/>
      <c r="D486" s="75"/>
      <c r="E486" s="75"/>
      <c r="F486" s="76"/>
      <c r="G486" s="47"/>
      <c r="H486" s="47"/>
      <c r="I486" s="75"/>
      <c r="J486" s="76"/>
      <c r="K486" s="76"/>
      <c r="L486" s="75"/>
      <c r="M486" s="49"/>
      <c r="N486" s="76"/>
      <c r="O486" s="49"/>
      <c r="P486" s="77"/>
      <c r="Q486" s="53"/>
      <c r="R486" s="54"/>
      <c r="S486" s="55"/>
      <c r="T486" s="56"/>
      <c r="U486" s="56"/>
      <c r="V486" s="42"/>
      <c r="W486" s="57"/>
      <c r="X486" s="58"/>
      <c r="Y486" s="75"/>
      <c r="Z486" s="59"/>
      <c r="AA486" s="61"/>
      <c r="AB486" s="61"/>
      <c r="AC486" s="61"/>
      <c r="AD486" s="62"/>
      <c r="AE486" s="62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</row>
    <row r="487" spans="1:77" x14ac:dyDescent="0.3">
      <c r="A487" s="39"/>
      <c r="B487" s="42"/>
      <c r="C487" s="42"/>
      <c r="D487" s="75"/>
      <c r="E487" s="75"/>
      <c r="F487" s="76"/>
      <c r="G487" s="47"/>
      <c r="H487" s="47"/>
      <c r="I487" s="75"/>
      <c r="J487" s="76"/>
      <c r="K487" s="76"/>
      <c r="L487" s="75"/>
      <c r="M487" s="49"/>
      <c r="N487" s="76"/>
      <c r="O487" s="49"/>
      <c r="P487" s="77"/>
      <c r="Q487" s="53"/>
      <c r="R487" s="54"/>
      <c r="S487" s="55"/>
      <c r="T487" s="56"/>
      <c r="U487" s="56"/>
      <c r="V487" s="42"/>
      <c r="W487" s="57"/>
      <c r="X487" s="58"/>
      <c r="Y487" s="75"/>
      <c r="Z487" s="59"/>
      <c r="AA487" s="61"/>
      <c r="AB487" s="61"/>
      <c r="AC487" s="61"/>
      <c r="AD487" s="62"/>
      <c r="AE487" s="62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</row>
    <row r="488" spans="1:77" x14ac:dyDescent="0.3">
      <c r="A488" s="39"/>
      <c r="B488" s="42"/>
      <c r="C488" s="42"/>
      <c r="D488" s="75"/>
      <c r="E488" s="75"/>
      <c r="F488" s="76"/>
      <c r="G488" s="47"/>
      <c r="H488" s="47"/>
      <c r="I488" s="75"/>
      <c r="J488" s="76"/>
      <c r="K488" s="76"/>
      <c r="L488" s="75"/>
      <c r="M488" s="49"/>
      <c r="N488" s="76"/>
      <c r="O488" s="49"/>
      <c r="P488" s="77"/>
      <c r="Q488" s="53"/>
      <c r="R488" s="54"/>
      <c r="S488" s="55"/>
      <c r="T488" s="56"/>
      <c r="U488" s="56"/>
      <c r="V488" s="42"/>
      <c r="W488" s="57"/>
      <c r="X488" s="58"/>
      <c r="Y488" s="75"/>
      <c r="Z488" s="59"/>
      <c r="AA488" s="61"/>
      <c r="AB488" s="61"/>
      <c r="AC488" s="61"/>
      <c r="AD488" s="62"/>
      <c r="AE488" s="62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</row>
    <row r="489" spans="1:77" x14ac:dyDescent="0.3">
      <c r="A489" s="39"/>
      <c r="B489" s="42"/>
      <c r="C489" s="42"/>
      <c r="D489" s="75"/>
      <c r="E489" s="75"/>
      <c r="F489" s="76"/>
      <c r="G489" s="47"/>
      <c r="H489" s="47"/>
      <c r="I489" s="75"/>
      <c r="J489" s="76"/>
      <c r="K489" s="76"/>
      <c r="L489" s="75"/>
      <c r="M489" s="49"/>
      <c r="N489" s="76"/>
      <c r="O489" s="49"/>
      <c r="P489" s="77"/>
      <c r="Q489" s="53"/>
      <c r="R489" s="54"/>
      <c r="S489" s="55"/>
      <c r="T489" s="56"/>
      <c r="U489" s="56"/>
      <c r="V489" s="42"/>
      <c r="W489" s="57"/>
      <c r="X489" s="58"/>
      <c r="Y489" s="75"/>
      <c r="Z489" s="59"/>
      <c r="AA489" s="61"/>
      <c r="AB489" s="61"/>
      <c r="AC489" s="61"/>
      <c r="AD489" s="62"/>
      <c r="AE489" s="62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</row>
    <row r="490" spans="1:77" x14ac:dyDescent="0.3">
      <c r="A490" s="39"/>
      <c r="B490" s="42"/>
      <c r="C490" s="42"/>
      <c r="D490" s="75"/>
      <c r="E490" s="75"/>
      <c r="F490" s="76"/>
      <c r="G490" s="47"/>
      <c r="H490" s="47"/>
      <c r="I490" s="75"/>
      <c r="J490" s="76"/>
      <c r="K490" s="76"/>
      <c r="L490" s="75"/>
      <c r="M490" s="49"/>
      <c r="N490" s="76"/>
      <c r="O490" s="49"/>
      <c r="P490" s="77"/>
      <c r="Q490" s="53"/>
      <c r="R490" s="54"/>
      <c r="S490" s="55"/>
      <c r="T490" s="56"/>
      <c r="U490" s="56"/>
      <c r="V490" s="42"/>
      <c r="W490" s="57"/>
      <c r="X490" s="58"/>
      <c r="Y490" s="75"/>
      <c r="Z490" s="59"/>
      <c r="AA490" s="61"/>
      <c r="AB490" s="61"/>
      <c r="AC490" s="61"/>
      <c r="AD490" s="62"/>
      <c r="AE490" s="62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</row>
    <row r="491" spans="1:77" x14ac:dyDescent="0.3">
      <c r="A491" s="39"/>
      <c r="B491" s="42"/>
      <c r="C491" s="42"/>
      <c r="D491" s="75"/>
      <c r="E491" s="75"/>
      <c r="F491" s="76"/>
      <c r="G491" s="47"/>
      <c r="H491" s="47"/>
      <c r="I491" s="75"/>
      <c r="J491" s="76"/>
      <c r="K491" s="76"/>
      <c r="L491" s="75"/>
      <c r="M491" s="49"/>
      <c r="N491" s="76"/>
      <c r="O491" s="49"/>
      <c r="P491" s="77"/>
      <c r="Q491" s="53"/>
      <c r="R491" s="54"/>
      <c r="S491" s="55"/>
      <c r="T491" s="56"/>
      <c r="U491" s="56"/>
      <c r="V491" s="42"/>
      <c r="W491" s="57"/>
      <c r="X491" s="58"/>
      <c r="Y491" s="75"/>
      <c r="Z491" s="59"/>
      <c r="AA491" s="61"/>
      <c r="AB491" s="61"/>
      <c r="AC491" s="61"/>
      <c r="AD491" s="62"/>
      <c r="AE491" s="62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</row>
    <row r="492" spans="1:77" x14ac:dyDescent="0.3">
      <c r="A492" s="39"/>
      <c r="B492" s="42"/>
      <c r="C492" s="42"/>
      <c r="D492" s="75"/>
      <c r="E492" s="75"/>
      <c r="F492" s="76"/>
      <c r="G492" s="47"/>
      <c r="H492" s="47"/>
      <c r="I492" s="75"/>
      <c r="J492" s="76"/>
      <c r="K492" s="76"/>
      <c r="L492" s="75"/>
      <c r="M492" s="49"/>
      <c r="N492" s="76"/>
      <c r="O492" s="49"/>
      <c r="P492" s="77"/>
      <c r="Q492" s="53"/>
      <c r="R492" s="54"/>
      <c r="S492" s="55"/>
      <c r="T492" s="56"/>
      <c r="U492" s="56"/>
      <c r="V492" s="42"/>
      <c r="W492" s="57"/>
      <c r="X492" s="58"/>
      <c r="Y492" s="75"/>
      <c r="Z492" s="59"/>
      <c r="AA492" s="61"/>
      <c r="AB492" s="61"/>
      <c r="AC492" s="61"/>
      <c r="AD492" s="62"/>
      <c r="AE492" s="62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</row>
    <row r="493" spans="1:77" x14ac:dyDescent="0.3">
      <c r="A493" s="39"/>
      <c r="B493" s="42"/>
      <c r="C493" s="42"/>
      <c r="D493" s="75"/>
      <c r="E493" s="75"/>
      <c r="F493" s="76"/>
      <c r="G493" s="47"/>
      <c r="H493" s="47"/>
      <c r="I493" s="75"/>
      <c r="J493" s="76"/>
      <c r="K493" s="76"/>
      <c r="L493" s="75"/>
      <c r="M493" s="49"/>
      <c r="N493" s="76"/>
      <c r="O493" s="49"/>
      <c r="P493" s="77"/>
      <c r="Q493" s="53"/>
      <c r="R493" s="54"/>
      <c r="S493" s="55"/>
      <c r="T493" s="56"/>
      <c r="U493" s="56"/>
      <c r="V493" s="42"/>
      <c r="W493" s="57"/>
      <c r="X493" s="58"/>
      <c r="Y493" s="75"/>
      <c r="Z493" s="59"/>
      <c r="AA493" s="61"/>
      <c r="AB493" s="61"/>
      <c r="AC493" s="61"/>
      <c r="AD493" s="62"/>
      <c r="AE493" s="62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</row>
    <row r="494" spans="1:77" x14ac:dyDescent="0.3">
      <c r="A494" s="39"/>
      <c r="B494" s="42"/>
      <c r="C494" s="42"/>
      <c r="D494" s="75"/>
      <c r="E494" s="75"/>
      <c r="F494" s="76"/>
      <c r="G494" s="47"/>
      <c r="H494" s="47"/>
      <c r="I494" s="75"/>
      <c r="J494" s="76"/>
      <c r="K494" s="76"/>
      <c r="L494" s="75"/>
      <c r="M494" s="49"/>
      <c r="N494" s="76"/>
      <c r="O494" s="49"/>
      <c r="P494" s="77"/>
      <c r="Q494" s="53"/>
      <c r="R494" s="54"/>
      <c r="S494" s="55"/>
      <c r="T494" s="56"/>
      <c r="U494" s="56"/>
      <c r="V494" s="42"/>
      <c r="W494" s="57"/>
      <c r="X494" s="58"/>
      <c r="Y494" s="75"/>
      <c r="Z494" s="59"/>
      <c r="AA494" s="61"/>
      <c r="AB494" s="61"/>
      <c r="AC494" s="61"/>
      <c r="AD494" s="62"/>
      <c r="AE494" s="62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</row>
    <row r="495" spans="1:77" x14ac:dyDescent="0.3">
      <c r="A495" s="39"/>
      <c r="B495" s="42"/>
      <c r="C495" s="42"/>
      <c r="D495" s="75"/>
      <c r="E495" s="75"/>
      <c r="F495" s="76"/>
      <c r="G495" s="47"/>
      <c r="H495" s="47"/>
      <c r="I495" s="75"/>
      <c r="J495" s="76"/>
      <c r="K495" s="76"/>
      <c r="L495" s="75"/>
      <c r="M495" s="49"/>
      <c r="N495" s="76"/>
      <c r="O495" s="49"/>
      <c r="P495" s="77"/>
      <c r="Q495" s="53"/>
      <c r="R495" s="54"/>
      <c r="S495" s="55"/>
      <c r="T495" s="56"/>
      <c r="U495" s="56"/>
      <c r="V495" s="42"/>
      <c r="W495" s="57"/>
      <c r="X495" s="58"/>
      <c r="Y495" s="75"/>
      <c r="Z495" s="59"/>
      <c r="AA495" s="61"/>
      <c r="AB495" s="61"/>
      <c r="AC495" s="61"/>
      <c r="AD495" s="62"/>
      <c r="AE495" s="62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</row>
    <row r="496" spans="1:77" x14ac:dyDescent="0.3">
      <c r="A496" s="39"/>
      <c r="B496" s="42"/>
      <c r="C496" s="42"/>
      <c r="D496" s="75"/>
      <c r="E496" s="75"/>
      <c r="F496" s="76"/>
      <c r="G496" s="47"/>
      <c r="H496" s="47"/>
      <c r="I496" s="75"/>
      <c r="J496" s="76"/>
      <c r="K496" s="76"/>
      <c r="L496" s="75"/>
      <c r="M496" s="49"/>
      <c r="N496" s="76"/>
      <c r="O496" s="49"/>
      <c r="P496" s="77"/>
      <c r="Q496" s="53"/>
      <c r="R496" s="54"/>
      <c r="S496" s="55"/>
      <c r="T496" s="56"/>
      <c r="U496" s="56"/>
      <c r="V496" s="42"/>
      <c r="W496" s="57"/>
      <c r="X496" s="58"/>
      <c r="Y496" s="75"/>
      <c r="Z496" s="59"/>
      <c r="AA496" s="61"/>
      <c r="AB496" s="61"/>
      <c r="AC496" s="61"/>
      <c r="AD496" s="62"/>
      <c r="AE496" s="62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</row>
    <row r="497" spans="1:77" x14ac:dyDescent="0.3">
      <c r="A497" s="39"/>
      <c r="B497" s="42"/>
      <c r="C497" s="42"/>
      <c r="D497" s="75"/>
      <c r="E497" s="75"/>
      <c r="F497" s="76"/>
      <c r="G497" s="47"/>
      <c r="H497" s="47"/>
      <c r="I497" s="75"/>
      <c r="J497" s="76"/>
      <c r="K497" s="76"/>
      <c r="L497" s="75"/>
      <c r="M497" s="49"/>
      <c r="N497" s="76"/>
      <c r="O497" s="49"/>
      <c r="P497" s="77"/>
      <c r="Q497" s="53"/>
      <c r="R497" s="54"/>
      <c r="S497" s="55"/>
      <c r="T497" s="56"/>
      <c r="U497" s="56"/>
      <c r="V497" s="42"/>
      <c r="W497" s="57"/>
      <c r="X497" s="58"/>
      <c r="Y497" s="75"/>
      <c r="Z497" s="59"/>
      <c r="AA497" s="61"/>
      <c r="AB497" s="61"/>
      <c r="AC497" s="61"/>
      <c r="AD497" s="62"/>
      <c r="AE497" s="62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</row>
    <row r="498" spans="1:77" x14ac:dyDescent="0.3">
      <c r="A498" s="39"/>
      <c r="B498" s="42"/>
      <c r="C498" s="42"/>
      <c r="D498" s="75"/>
      <c r="E498" s="75"/>
      <c r="F498" s="76"/>
      <c r="G498" s="47"/>
      <c r="H498" s="47"/>
      <c r="I498" s="75"/>
      <c r="J498" s="76"/>
      <c r="K498" s="76"/>
      <c r="L498" s="75"/>
      <c r="M498" s="49"/>
      <c r="N498" s="76"/>
      <c r="O498" s="49"/>
      <c r="P498" s="77"/>
      <c r="Q498" s="53"/>
      <c r="R498" s="54"/>
      <c r="S498" s="55"/>
      <c r="T498" s="56"/>
      <c r="U498" s="56"/>
      <c r="V498" s="42"/>
      <c r="W498" s="57"/>
      <c r="X498" s="58"/>
      <c r="Y498" s="75"/>
      <c r="Z498" s="59"/>
      <c r="AA498" s="61"/>
      <c r="AB498" s="61"/>
      <c r="AC498" s="61"/>
      <c r="AD498" s="62"/>
      <c r="AE498" s="62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</row>
    <row r="499" spans="1:77" x14ac:dyDescent="0.3">
      <c r="A499" s="39"/>
      <c r="B499" s="42"/>
      <c r="C499" s="42"/>
      <c r="D499" s="75"/>
      <c r="E499" s="75"/>
      <c r="F499" s="76"/>
      <c r="G499" s="47"/>
      <c r="H499" s="47"/>
      <c r="I499" s="75"/>
      <c r="J499" s="76"/>
      <c r="K499" s="76"/>
      <c r="L499" s="75"/>
      <c r="M499" s="49"/>
      <c r="N499" s="76"/>
      <c r="O499" s="49"/>
      <c r="P499" s="77"/>
      <c r="Q499" s="53"/>
      <c r="R499" s="54"/>
      <c r="S499" s="55"/>
      <c r="T499" s="56"/>
      <c r="U499" s="56"/>
      <c r="V499" s="42"/>
      <c r="W499" s="57"/>
      <c r="X499" s="58"/>
      <c r="Y499" s="75"/>
      <c r="Z499" s="59"/>
      <c r="AA499" s="61"/>
      <c r="AB499" s="61"/>
      <c r="AC499" s="61"/>
      <c r="AD499" s="62"/>
      <c r="AE499" s="62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</row>
    <row r="500" spans="1:77" x14ac:dyDescent="0.3">
      <c r="A500" s="39"/>
      <c r="B500" s="42"/>
      <c r="C500" s="42"/>
      <c r="D500" s="75"/>
      <c r="E500" s="75"/>
      <c r="F500" s="76"/>
      <c r="G500" s="47"/>
      <c r="H500" s="47"/>
      <c r="I500" s="75"/>
      <c r="J500" s="76"/>
      <c r="K500" s="76"/>
      <c r="L500" s="75"/>
      <c r="M500" s="49"/>
      <c r="N500" s="76"/>
      <c r="O500" s="49"/>
      <c r="P500" s="77"/>
      <c r="Q500" s="53"/>
      <c r="R500" s="54"/>
      <c r="S500" s="55"/>
      <c r="T500" s="56"/>
      <c r="U500" s="56"/>
      <c r="V500" s="42"/>
      <c r="W500" s="57"/>
      <c r="X500" s="58"/>
      <c r="Y500" s="75"/>
      <c r="Z500" s="59"/>
      <c r="AA500" s="61"/>
      <c r="AB500" s="61"/>
      <c r="AC500" s="61"/>
      <c r="AD500" s="62"/>
      <c r="AE500" s="62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</row>
    <row r="501" spans="1:77" x14ac:dyDescent="0.3">
      <c r="A501" s="39"/>
      <c r="B501" s="42"/>
      <c r="C501" s="42"/>
      <c r="D501" s="75"/>
      <c r="E501" s="75"/>
      <c r="F501" s="76"/>
      <c r="G501" s="47"/>
      <c r="H501" s="47"/>
      <c r="I501" s="75"/>
      <c r="J501" s="76"/>
      <c r="K501" s="76"/>
      <c r="L501" s="75"/>
      <c r="M501" s="49"/>
      <c r="N501" s="76"/>
      <c r="O501" s="49"/>
      <c r="P501" s="77"/>
      <c r="Q501" s="53"/>
      <c r="R501" s="54"/>
      <c r="S501" s="55"/>
      <c r="T501" s="56"/>
      <c r="U501" s="56"/>
      <c r="V501" s="42"/>
      <c r="W501" s="57"/>
      <c r="X501" s="58"/>
      <c r="Y501" s="75"/>
      <c r="Z501" s="59"/>
      <c r="AA501" s="61"/>
      <c r="AB501" s="61"/>
      <c r="AC501" s="61"/>
      <c r="AD501" s="62"/>
      <c r="AE501" s="62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</row>
    <row r="502" spans="1:77" x14ac:dyDescent="0.3">
      <c r="A502" s="39"/>
      <c r="B502" s="42"/>
      <c r="C502" s="42"/>
      <c r="D502" s="75"/>
      <c r="E502" s="75"/>
      <c r="F502" s="76"/>
      <c r="G502" s="47"/>
      <c r="H502" s="47"/>
      <c r="I502" s="75"/>
      <c r="J502" s="76"/>
      <c r="K502" s="76"/>
      <c r="L502" s="75"/>
      <c r="M502" s="49"/>
      <c r="N502" s="76"/>
      <c r="O502" s="49"/>
      <c r="P502" s="77"/>
      <c r="Q502" s="53"/>
      <c r="R502" s="54"/>
      <c r="S502" s="55"/>
      <c r="T502" s="56"/>
      <c r="U502" s="56"/>
      <c r="V502" s="42"/>
      <c r="W502" s="57"/>
      <c r="X502" s="58"/>
      <c r="Y502" s="75"/>
      <c r="Z502" s="59"/>
      <c r="AA502" s="61"/>
      <c r="AB502" s="61"/>
      <c r="AC502" s="61"/>
      <c r="AD502" s="62"/>
      <c r="AE502" s="62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</row>
    <row r="503" spans="1:77" x14ac:dyDescent="0.3">
      <c r="A503" s="39"/>
      <c r="B503" s="42"/>
      <c r="C503" s="42"/>
      <c r="D503" s="75"/>
      <c r="E503" s="75"/>
      <c r="F503" s="76"/>
      <c r="G503" s="47"/>
      <c r="H503" s="47"/>
      <c r="I503" s="75"/>
      <c r="J503" s="76"/>
      <c r="K503" s="76"/>
      <c r="L503" s="75"/>
      <c r="M503" s="49"/>
      <c r="N503" s="76"/>
      <c r="O503" s="49"/>
      <c r="P503" s="77"/>
      <c r="Q503" s="53"/>
      <c r="R503" s="54"/>
      <c r="S503" s="55"/>
      <c r="T503" s="56"/>
      <c r="U503" s="56"/>
      <c r="V503" s="42"/>
      <c r="W503" s="57"/>
      <c r="X503" s="58"/>
      <c r="Y503" s="75"/>
      <c r="Z503" s="59"/>
      <c r="AA503" s="61"/>
      <c r="AB503" s="61"/>
      <c r="AC503" s="61"/>
      <c r="AD503" s="62"/>
      <c r="AE503" s="62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</row>
    <row r="504" spans="1:77" x14ac:dyDescent="0.3">
      <c r="A504" s="39"/>
      <c r="B504" s="42"/>
      <c r="C504" s="42"/>
      <c r="D504" s="75"/>
      <c r="E504" s="75"/>
      <c r="F504" s="76"/>
      <c r="G504" s="47"/>
      <c r="H504" s="47"/>
      <c r="I504" s="75"/>
      <c r="J504" s="76"/>
      <c r="K504" s="76"/>
      <c r="L504" s="75"/>
      <c r="M504" s="49"/>
      <c r="N504" s="76"/>
      <c r="O504" s="49"/>
      <c r="P504" s="77"/>
      <c r="Q504" s="53"/>
      <c r="R504" s="54"/>
      <c r="S504" s="55"/>
      <c r="T504" s="56"/>
      <c r="U504" s="56"/>
      <c r="V504" s="42"/>
      <c r="W504" s="57"/>
      <c r="X504" s="58"/>
      <c r="Y504" s="75"/>
      <c r="Z504" s="59"/>
      <c r="AA504" s="61"/>
      <c r="AB504" s="61"/>
      <c r="AC504" s="61"/>
      <c r="AD504" s="62"/>
      <c r="AE504" s="62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</row>
    <row r="505" spans="1:77" x14ac:dyDescent="0.3">
      <c r="A505" s="39"/>
      <c r="B505" s="42"/>
      <c r="C505" s="42"/>
      <c r="D505" s="75"/>
      <c r="E505" s="75"/>
      <c r="F505" s="76"/>
      <c r="G505" s="47"/>
      <c r="H505" s="47"/>
      <c r="I505" s="75"/>
      <c r="J505" s="76"/>
      <c r="K505" s="76"/>
      <c r="L505" s="75"/>
      <c r="M505" s="49"/>
      <c r="N505" s="76"/>
      <c r="O505" s="49"/>
      <c r="P505" s="77"/>
      <c r="Q505" s="53"/>
      <c r="R505" s="54"/>
      <c r="S505" s="55"/>
      <c r="T505" s="56"/>
      <c r="U505" s="56"/>
      <c r="V505" s="42"/>
      <c r="W505" s="57"/>
      <c r="X505" s="58"/>
      <c r="Y505" s="75"/>
      <c r="Z505" s="59"/>
      <c r="AA505" s="61"/>
      <c r="AB505" s="61"/>
      <c r="AC505" s="61"/>
      <c r="AD505" s="62"/>
      <c r="AE505" s="62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</row>
    <row r="506" spans="1:77" x14ac:dyDescent="0.3">
      <c r="A506" s="39"/>
      <c r="B506" s="42"/>
      <c r="C506" s="42"/>
      <c r="D506" s="75"/>
      <c r="E506" s="75"/>
      <c r="F506" s="76"/>
      <c r="G506" s="47"/>
      <c r="H506" s="47"/>
      <c r="I506" s="75"/>
      <c r="J506" s="76"/>
      <c r="K506" s="76"/>
      <c r="L506" s="75"/>
      <c r="M506" s="49"/>
      <c r="N506" s="76"/>
      <c r="O506" s="49"/>
      <c r="P506" s="77"/>
      <c r="Q506" s="53"/>
      <c r="R506" s="54"/>
      <c r="S506" s="55"/>
      <c r="T506" s="56"/>
      <c r="U506" s="56"/>
      <c r="V506" s="42"/>
      <c r="W506" s="57"/>
      <c r="X506" s="58"/>
      <c r="Y506" s="75"/>
      <c r="Z506" s="59"/>
      <c r="AA506" s="61"/>
      <c r="AB506" s="61"/>
      <c r="AC506" s="61"/>
      <c r="AD506" s="62"/>
      <c r="AE506" s="62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</row>
    <row r="507" spans="1:77" x14ac:dyDescent="0.3">
      <c r="A507" s="39"/>
      <c r="B507" s="42"/>
      <c r="C507" s="42"/>
      <c r="D507" s="75"/>
      <c r="E507" s="75"/>
      <c r="F507" s="76"/>
      <c r="G507" s="47"/>
      <c r="H507" s="47"/>
      <c r="I507" s="75"/>
      <c r="J507" s="76"/>
      <c r="K507" s="76"/>
      <c r="L507" s="75"/>
      <c r="M507" s="49"/>
      <c r="N507" s="76"/>
      <c r="O507" s="49"/>
      <c r="P507" s="77"/>
      <c r="Q507" s="53"/>
      <c r="R507" s="54"/>
      <c r="S507" s="55"/>
      <c r="T507" s="56"/>
      <c r="U507" s="56"/>
      <c r="V507" s="42"/>
      <c r="W507" s="57"/>
      <c r="X507" s="58"/>
      <c r="Y507" s="75"/>
      <c r="Z507" s="59"/>
      <c r="AA507" s="61"/>
      <c r="AB507" s="61"/>
      <c r="AC507" s="61"/>
      <c r="AD507" s="62"/>
      <c r="AE507" s="62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</row>
    <row r="508" spans="1:77" x14ac:dyDescent="0.3">
      <c r="A508" s="39"/>
      <c r="B508" s="42"/>
      <c r="C508" s="42"/>
      <c r="D508" s="75"/>
      <c r="E508" s="75"/>
      <c r="F508" s="76"/>
      <c r="G508" s="47"/>
      <c r="H508" s="47"/>
      <c r="I508" s="75"/>
      <c r="J508" s="76"/>
      <c r="K508" s="76"/>
      <c r="L508" s="75"/>
      <c r="M508" s="49"/>
      <c r="N508" s="76"/>
      <c r="O508" s="49"/>
      <c r="P508" s="77"/>
      <c r="Q508" s="53"/>
      <c r="R508" s="54"/>
      <c r="S508" s="55"/>
      <c r="T508" s="56"/>
      <c r="U508" s="56"/>
      <c r="V508" s="42"/>
      <c r="W508" s="57"/>
      <c r="X508" s="58"/>
      <c r="Y508" s="75"/>
      <c r="Z508" s="59"/>
      <c r="AA508" s="61"/>
      <c r="AB508" s="61"/>
      <c r="AC508" s="61"/>
      <c r="AD508" s="62"/>
      <c r="AE508" s="62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</row>
    <row r="509" spans="1:77" x14ac:dyDescent="0.3">
      <c r="A509" s="39"/>
      <c r="B509" s="42"/>
      <c r="C509" s="42"/>
      <c r="D509" s="75"/>
      <c r="E509" s="75"/>
      <c r="F509" s="76"/>
      <c r="G509" s="47"/>
      <c r="H509" s="47"/>
      <c r="I509" s="75"/>
      <c r="J509" s="76"/>
      <c r="K509" s="76"/>
      <c r="L509" s="75"/>
      <c r="M509" s="49"/>
      <c r="N509" s="76"/>
      <c r="O509" s="49"/>
      <c r="P509" s="77"/>
      <c r="Q509" s="53"/>
      <c r="R509" s="54"/>
      <c r="S509" s="55"/>
      <c r="T509" s="56"/>
      <c r="U509" s="56"/>
      <c r="V509" s="42"/>
      <c r="W509" s="57"/>
      <c r="X509" s="58"/>
      <c r="Y509" s="75"/>
      <c r="Z509" s="59"/>
      <c r="AA509" s="61"/>
      <c r="AB509" s="61"/>
      <c r="AC509" s="61"/>
      <c r="AD509" s="62"/>
      <c r="AE509" s="62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</row>
    <row r="510" spans="1:77" x14ac:dyDescent="0.3">
      <c r="A510" s="39"/>
      <c r="B510" s="42"/>
      <c r="C510" s="42"/>
      <c r="D510" s="75"/>
      <c r="E510" s="75"/>
      <c r="F510" s="76"/>
      <c r="G510" s="47"/>
      <c r="H510" s="47"/>
      <c r="I510" s="75"/>
      <c r="J510" s="76"/>
      <c r="K510" s="76"/>
      <c r="L510" s="75"/>
      <c r="M510" s="49"/>
      <c r="N510" s="76"/>
      <c r="O510" s="49"/>
      <c r="P510" s="77"/>
      <c r="Q510" s="53"/>
      <c r="R510" s="54"/>
      <c r="S510" s="55"/>
      <c r="T510" s="56"/>
      <c r="U510" s="56"/>
      <c r="V510" s="42"/>
      <c r="W510" s="57"/>
      <c r="X510" s="58"/>
      <c r="Y510" s="75"/>
      <c r="Z510" s="59"/>
      <c r="AA510" s="61"/>
      <c r="AB510" s="61"/>
      <c r="AC510" s="61"/>
      <c r="AD510" s="62"/>
      <c r="AE510" s="62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</row>
    <row r="511" spans="1:77" x14ac:dyDescent="0.3">
      <c r="A511" s="39"/>
      <c r="B511" s="42"/>
      <c r="C511" s="42"/>
      <c r="D511" s="75"/>
      <c r="E511" s="75"/>
      <c r="F511" s="76"/>
      <c r="G511" s="47"/>
      <c r="H511" s="47"/>
      <c r="I511" s="75"/>
      <c r="J511" s="76"/>
      <c r="K511" s="76"/>
      <c r="L511" s="75"/>
      <c r="M511" s="49"/>
      <c r="N511" s="76"/>
      <c r="O511" s="49"/>
      <c r="P511" s="77"/>
      <c r="Q511" s="53"/>
      <c r="R511" s="54"/>
      <c r="S511" s="55"/>
      <c r="T511" s="56"/>
      <c r="U511" s="56"/>
      <c r="V511" s="42"/>
      <c r="W511" s="57"/>
      <c r="X511" s="58"/>
      <c r="Y511" s="75"/>
      <c r="Z511" s="59"/>
      <c r="AA511" s="61"/>
      <c r="AB511" s="61"/>
      <c r="AC511" s="61"/>
      <c r="AD511" s="62"/>
      <c r="AE511" s="62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</row>
    <row r="512" spans="1:77" x14ac:dyDescent="0.3">
      <c r="A512" s="39"/>
      <c r="B512" s="42"/>
      <c r="C512" s="42"/>
      <c r="D512" s="75"/>
      <c r="E512" s="75"/>
      <c r="F512" s="76"/>
      <c r="G512" s="47"/>
      <c r="H512" s="47"/>
      <c r="I512" s="75"/>
      <c r="J512" s="76"/>
      <c r="K512" s="76"/>
      <c r="L512" s="75"/>
      <c r="M512" s="49"/>
      <c r="N512" s="76"/>
      <c r="O512" s="49"/>
      <c r="P512" s="77"/>
      <c r="Q512" s="53"/>
      <c r="R512" s="54"/>
      <c r="S512" s="55"/>
      <c r="T512" s="56"/>
      <c r="U512" s="56"/>
      <c r="V512" s="42"/>
      <c r="W512" s="57"/>
      <c r="X512" s="58"/>
      <c r="Y512" s="75"/>
      <c r="Z512" s="59"/>
      <c r="AA512" s="61"/>
      <c r="AB512" s="61"/>
      <c r="AC512" s="61"/>
      <c r="AD512" s="62"/>
      <c r="AE512" s="62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</row>
    <row r="513" spans="1:77" x14ac:dyDescent="0.3">
      <c r="A513" s="39"/>
      <c r="B513" s="42"/>
      <c r="C513" s="42"/>
      <c r="D513" s="75"/>
      <c r="E513" s="75"/>
      <c r="F513" s="76"/>
      <c r="G513" s="47"/>
      <c r="H513" s="47"/>
      <c r="I513" s="75"/>
      <c r="J513" s="76"/>
      <c r="K513" s="76"/>
      <c r="L513" s="75"/>
      <c r="M513" s="49"/>
      <c r="N513" s="76"/>
      <c r="O513" s="49"/>
      <c r="P513" s="77"/>
      <c r="Q513" s="53"/>
      <c r="R513" s="54"/>
      <c r="S513" s="55"/>
      <c r="T513" s="56"/>
      <c r="U513" s="56"/>
      <c r="V513" s="42"/>
      <c r="W513" s="57"/>
      <c r="X513" s="58"/>
      <c r="Y513" s="75"/>
      <c r="Z513" s="59"/>
      <c r="AA513" s="61"/>
      <c r="AB513" s="61"/>
      <c r="AC513" s="61"/>
      <c r="AD513" s="62"/>
      <c r="AE513" s="62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</row>
    <row r="514" spans="1:77" x14ac:dyDescent="0.3">
      <c r="A514" s="39"/>
      <c r="B514" s="42"/>
      <c r="C514" s="42"/>
      <c r="D514" s="75"/>
      <c r="E514" s="75"/>
      <c r="F514" s="76"/>
      <c r="G514" s="47"/>
      <c r="H514" s="47"/>
      <c r="I514" s="75"/>
      <c r="J514" s="76"/>
      <c r="K514" s="76"/>
      <c r="L514" s="75"/>
      <c r="M514" s="49"/>
      <c r="N514" s="76"/>
      <c r="O514" s="49"/>
      <c r="P514" s="77"/>
      <c r="Q514" s="53"/>
      <c r="R514" s="54"/>
      <c r="S514" s="55"/>
      <c r="T514" s="56"/>
      <c r="U514" s="56"/>
      <c r="V514" s="42"/>
      <c r="W514" s="57"/>
      <c r="X514" s="58"/>
      <c r="Y514" s="75"/>
      <c r="Z514" s="59"/>
      <c r="AA514" s="61"/>
      <c r="AB514" s="61"/>
      <c r="AC514" s="61"/>
      <c r="AD514" s="62"/>
      <c r="AE514" s="62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</row>
    <row r="515" spans="1:77" x14ac:dyDescent="0.3">
      <c r="A515" s="39"/>
      <c r="B515" s="42"/>
      <c r="C515" s="42"/>
      <c r="D515" s="75"/>
      <c r="E515" s="75"/>
      <c r="F515" s="76"/>
      <c r="G515" s="47"/>
      <c r="H515" s="47"/>
      <c r="I515" s="75"/>
      <c r="J515" s="76"/>
      <c r="K515" s="76"/>
      <c r="L515" s="75"/>
      <c r="M515" s="49"/>
      <c r="N515" s="76"/>
      <c r="O515" s="49"/>
      <c r="P515" s="77"/>
      <c r="Q515" s="53"/>
      <c r="R515" s="54"/>
      <c r="S515" s="55"/>
      <c r="T515" s="56"/>
      <c r="U515" s="56"/>
      <c r="V515" s="42"/>
      <c r="W515" s="57"/>
      <c r="X515" s="58"/>
      <c r="Y515" s="75"/>
      <c r="Z515" s="59"/>
      <c r="AA515" s="61"/>
      <c r="AB515" s="61"/>
      <c r="AC515" s="61"/>
      <c r="AD515" s="62"/>
      <c r="AE515" s="62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</row>
    <row r="516" spans="1:77" x14ac:dyDescent="0.3">
      <c r="A516" s="39"/>
      <c r="B516" s="42"/>
      <c r="C516" s="42"/>
      <c r="D516" s="75"/>
      <c r="E516" s="75"/>
      <c r="F516" s="76"/>
      <c r="G516" s="47"/>
      <c r="H516" s="47"/>
      <c r="I516" s="75"/>
      <c r="J516" s="76"/>
      <c r="K516" s="76"/>
      <c r="L516" s="75"/>
      <c r="M516" s="49"/>
      <c r="N516" s="76"/>
      <c r="O516" s="49"/>
      <c r="P516" s="77"/>
      <c r="Q516" s="53"/>
      <c r="R516" s="54"/>
      <c r="S516" s="55"/>
      <c r="T516" s="56"/>
      <c r="U516" s="56"/>
      <c r="V516" s="42"/>
      <c r="W516" s="57"/>
      <c r="X516" s="58"/>
      <c r="Y516" s="75"/>
      <c r="Z516" s="59"/>
      <c r="AA516" s="61"/>
      <c r="AB516" s="61"/>
      <c r="AC516" s="61"/>
      <c r="AD516" s="62"/>
      <c r="AE516" s="62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</row>
    <row r="517" spans="1:77" x14ac:dyDescent="0.3">
      <c r="A517" s="39"/>
      <c r="B517" s="42"/>
      <c r="C517" s="42"/>
      <c r="D517" s="75"/>
      <c r="E517" s="75"/>
      <c r="F517" s="76"/>
      <c r="G517" s="47"/>
      <c r="H517" s="47"/>
      <c r="I517" s="75"/>
      <c r="J517" s="76"/>
      <c r="K517" s="76"/>
      <c r="L517" s="75"/>
      <c r="M517" s="49"/>
      <c r="N517" s="76"/>
      <c r="O517" s="49"/>
      <c r="P517" s="77"/>
      <c r="Q517" s="53"/>
      <c r="R517" s="54"/>
      <c r="S517" s="55"/>
      <c r="T517" s="56"/>
      <c r="U517" s="56"/>
      <c r="V517" s="42"/>
      <c r="W517" s="57"/>
      <c r="X517" s="58"/>
      <c r="Y517" s="75"/>
      <c r="Z517" s="59"/>
      <c r="AA517" s="61"/>
      <c r="AB517" s="61"/>
      <c r="AC517" s="61"/>
      <c r="AD517" s="62"/>
      <c r="AE517" s="62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</row>
    <row r="518" spans="1:77" x14ac:dyDescent="0.3">
      <c r="A518" s="39"/>
      <c r="B518" s="42"/>
      <c r="C518" s="42"/>
      <c r="D518" s="75"/>
      <c r="E518" s="75"/>
      <c r="F518" s="76"/>
      <c r="G518" s="47"/>
      <c r="H518" s="47"/>
      <c r="I518" s="75"/>
      <c r="J518" s="76"/>
      <c r="K518" s="76"/>
      <c r="L518" s="75"/>
      <c r="M518" s="49"/>
      <c r="N518" s="76"/>
      <c r="O518" s="49"/>
      <c r="P518" s="77"/>
      <c r="Q518" s="53"/>
      <c r="R518" s="54"/>
      <c r="S518" s="55"/>
      <c r="T518" s="56"/>
      <c r="U518" s="56"/>
      <c r="V518" s="42"/>
      <c r="W518" s="57"/>
      <c r="X518" s="58"/>
      <c r="Y518" s="75"/>
      <c r="Z518" s="59"/>
      <c r="AA518" s="61"/>
      <c r="AB518" s="61"/>
      <c r="AC518" s="61"/>
      <c r="AD518" s="62"/>
      <c r="AE518" s="62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</row>
    <row r="519" spans="1:77" x14ac:dyDescent="0.3">
      <c r="A519" s="39"/>
      <c r="B519" s="42"/>
      <c r="C519" s="42"/>
      <c r="D519" s="75"/>
      <c r="E519" s="75"/>
      <c r="F519" s="76"/>
      <c r="G519" s="47"/>
      <c r="H519" s="47"/>
      <c r="I519" s="75"/>
      <c r="J519" s="76"/>
      <c r="K519" s="76"/>
      <c r="L519" s="75"/>
      <c r="M519" s="49"/>
      <c r="N519" s="76"/>
      <c r="O519" s="49"/>
      <c r="P519" s="77"/>
      <c r="Q519" s="53"/>
      <c r="R519" s="54"/>
      <c r="S519" s="55"/>
      <c r="T519" s="56"/>
      <c r="U519" s="56"/>
      <c r="V519" s="42"/>
      <c r="W519" s="57"/>
      <c r="X519" s="58"/>
      <c r="Y519" s="75"/>
      <c r="Z519" s="59"/>
      <c r="AA519" s="61"/>
      <c r="AB519" s="61"/>
      <c r="AC519" s="61"/>
      <c r="AD519" s="62"/>
      <c r="AE519" s="62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</row>
    <row r="520" spans="1:77" x14ac:dyDescent="0.3">
      <c r="A520" s="39"/>
      <c r="B520" s="42"/>
      <c r="C520" s="42"/>
      <c r="D520" s="75"/>
      <c r="E520" s="75"/>
      <c r="F520" s="76"/>
      <c r="G520" s="47"/>
      <c r="H520" s="47"/>
      <c r="I520" s="75"/>
      <c r="J520" s="76"/>
      <c r="K520" s="76"/>
      <c r="L520" s="75"/>
      <c r="M520" s="49"/>
      <c r="N520" s="76"/>
      <c r="O520" s="49"/>
      <c r="P520" s="77"/>
      <c r="Q520" s="53"/>
      <c r="R520" s="54"/>
      <c r="S520" s="55"/>
      <c r="T520" s="56"/>
      <c r="U520" s="56"/>
      <c r="V520" s="42"/>
      <c r="W520" s="57"/>
      <c r="X520" s="58"/>
      <c r="Y520" s="75"/>
      <c r="Z520" s="59"/>
      <c r="AA520" s="61"/>
      <c r="AB520" s="61"/>
      <c r="AC520" s="61"/>
      <c r="AD520" s="62"/>
      <c r="AE520" s="62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</row>
    <row r="521" spans="1:77" x14ac:dyDescent="0.3">
      <c r="A521" s="39"/>
      <c r="B521" s="42"/>
      <c r="C521" s="42"/>
      <c r="D521" s="75"/>
      <c r="E521" s="75"/>
      <c r="F521" s="76"/>
      <c r="G521" s="47"/>
      <c r="H521" s="47"/>
      <c r="I521" s="75"/>
      <c r="J521" s="76"/>
      <c r="K521" s="76"/>
      <c r="L521" s="75"/>
      <c r="M521" s="49"/>
      <c r="N521" s="76"/>
      <c r="O521" s="49"/>
      <c r="P521" s="77"/>
      <c r="Q521" s="53"/>
      <c r="R521" s="54"/>
      <c r="S521" s="55"/>
      <c r="T521" s="56"/>
      <c r="U521" s="56"/>
      <c r="V521" s="42"/>
      <c r="W521" s="57"/>
      <c r="X521" s="58"/>
      <c r="Y521" s="75"/>
      <c r="Z521" s="59"/>
      <c r="AA521" s="61"/>
      <c r="AB521" s="61"/>
      <c r="AC521" s="61"/>
      <c r="AD521" s="62"/>
      <c r="AE521" s="62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</row>
    <row r="522" spans="1:77" x14ac:dyDescent="0.3">
      <c r="A522" s="39"/>
      <c r="B522" s="42"/>
      <c r="C522" s="42"/>
      <c r="D522" s="75"/>
      <c r="E522" s="75"/>
      <c r="F522" s="76"/>
      <c r="G522" s="47"/>
      <c r="H522" s="47"/>
      <c r="I522" s="75"/>
      <c r="J522" s="76"/>
      <c r="K522" s="76"/>
      <c r="L522" s="75"/>
      <c r="M522" s="49"/>
      <c r="N522" s="76"/>
      <c r="O522" s="49"/>
      <c r="P522" s="77"/>
      <c r="Q522" s="53"/>
      <c r="R522" s="54"/>
      <c r="S522" s="55"/>
      <c r="T522" s="56"/>
      <c r="U522" s="56"/>
      <c r="V522" s="42"/>
      <c r="W522" s="57"/>
      <c r="X522" s="58"/>
      <c r="Y522" s="75"/>
      <c r="Z522" s="59"/>
      <c r="AA522" s="61"/>
      <c r="AB522" s="61"/>
      <c r="AC522" s="61"/>
      <c r="AD522" s="62"/>
      <c r="AE522" s="62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</row>
    <row r="523" spans="1:77" x14ac:dyDescent="0.3">
      <c r="A523" s="39"/>
      <c r="B523" s="42"/>
      <c r="C523" s="42"/>
      <c r="D523" s="75"/>
      <c r="E523" s="75"/>
      <c r="F523" s="76"/>
      <c r="G523" s="47"/>
      <c r="H523" s="47"/>
      <c r="I523" s="75"/>
      <c r="J523" s="76"/>
      <c r="K523" s="76"/>
      <c r="L523" s="75"/>
      <c r="M523" s="49"/>
      <c r="N523" s="76"/>
      <c r="O523" s="49"/>
      <c r="P523" s="77"/>
      <c r="Q523" s="53"/>
      <c r="R523" s="54"/>
      <c r="S523" s="55"/>
      <c r="T523" s="56"/>
      <c r="U523" s="56"/>
      <c r="V523" s="42"/>
      <c r="W523" s="57"/>
      <c r="X523" s="58"/>
      <c r="Y523" s="75"/>
      <c r="Z523" s="59"/>
      <c r="AA523" s="61"/>
      <c r="AB523" s="61"/>
      <c r="AC523" s="61"/>
      <c r="AD523" s="62"/>
      <c r="AE523" s="62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</row>
    <row r="524" spans="1:77" x14ac:dyDescent="0.3">
      <c r="A524" s="39"/>
      <c r="B524" s="42"/>
      <c r="C524" s="42"/>
      <c r="D524" s="75"/>
      <c r="E524" s="75"/>
      <c r="F524" s="76"/>
      <c r="G524" s="47"/>
      <c r="H524" s="47"/>
      <c r="I524" s="75"/>
      <c r="J524" s="76"/>
      <c r="K524" s="76"/>
      <c r="L524" s="75"/>
      <c r="M524" s="49"/>
      <c r="N524" s="76"/>
      <c r="O524" s="49"/>
      <c r="P524" s="77"/>
      <c r="Q524" s="53"/>
      <c r="R524" s="54"/>
      <c r="S524" s="55"/>
      <c r="T524" s="56"/>
      <c r="U524" s="56"/>
      <c r="V524" s="42"/>
      <c r="W524" s="57"/>
      <c r="X524" s="58"/>
      <c r="Y524" s="75"/>
      <c r="Z524" s="59"/>
      <c r="AA524" s="61"/>
      <c r="AB524" s="61"/>
      <c r="AC524" s="61"/>
      <c r="AD524" s="62"/>
      <c r="AE524" s="62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</row>
    <row r="525" spans="1:77" x14ac:dyDescent="0.3">
      <c r="A525" s="39"/>
      <c r="B525" s="42"/>
      <c r="C525" s="42"/>
      <c r="D525" s="75"/>
      <c r="E525" s="75"/>
      <c r="F525" s="76"/>
      <c r="G525" s="47"/>
      <c r="H525" s="47"/>
      <c r="I525" s="75"/>
      <c r="J525" s="76"/>
      <c r="K525" s="76"/>
      <c r="L525" s="75"/>
      <c r="M525" s="49"/>
      <c r="N525" s="76"/>
      <c r="O525" s="49"/>
      <c r="P525" s="77"/>
      <c r="Q525" s="53"/>
      <c r="R525" s="54"/>
      <c r="S525" s="55"/>
      <c r="T525" s="56"/>
      <c r="U525" s="56"/>
      <c r="V525" s="42"/>
      <c r="W525" s="57"/>
      <c r="X525" s="58"/>
      <c r="Y525" s="75"/>
      <c r="Z525" s="59"/>
      <c r="AA525" s="61"/>
      <c r="AB525" s="61"/>
      <c r="AC525" s="61"/>
      <c r="AD525" s="62"/>
      <c r="AE525" s="62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</row>
    <row r="526" spans="1:77" x14ac:dyDescent="0.3">
      <c r="A526" s="39"/>
      <c r="B526" s="42"/>
      <c r="C526" s="42"/>
      <c r="D526" s="75"/>
      <c r="E526" s="75"/>
      <c r="F526" s="76"/>
      <c r="G526" s="47"/>
      <c r="H526" s="47"/>
      <c r="I526" s="75"/>
      <c r="J526" s="76"/>
      <c r="K526" s="76"/>
      <c r="L526" s="75"/>
      <c r="M526" s="49"/>
      <c r="N526" s="76"/>
      <c r="O526" s="49"/>
      <c r="P526" s="77"/>
      <c r="Q526" s="53"/>
      <c r="R526" s="54"/>
      <c r="S526" s="55"/>
      <c r="T526" s="56"/>
      <c r="U526" s="56"/>
      <c r="V526" s="42"/>
      <c r="W526" s="57"/>
      <c r="X526" s="58"/>
      <c r="Y526" s="75"/>
      <c r="Z526" s="59"/>
      <c r="AA526" s="61"/>
      <c r="AB526" s="61"/>
      <c r="AC526" s="61"/>
      <c r="AD526" s="62"/>
      <c r="AE526" s="62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</row>
    <row r="527" spans="1:77" x14ac:dyDescent="0.3">
      <c r="A527" s="39"/>
      <c r="B527" s="42"/>
      <c r="C527" s="42"/>
      <c r="D527" s="75"/>
      <c r="E527" s="75"/>
      <c r="F527" s="76"/>
      <c r="G527" s="47"/>
      <c r="H527" s="47"/>
      <c r="I527" s="75"/>
      <c r="J527" s="76"/>
      <c r="K527" s="76"/>
      <c r="L527" s="75"/>
      <c r="M527" s="49"/>
      <c r="N527" s="76"/>
      <c r="O527" s="49"/>
      <c r="P527" s="77"/>
      <c r="Q527" s="53"/>
      <c r="R527" s="54"/>
      <c r="S527" s="55"/>
      <c r="T527" s="56"/>
      <c r="U527" s="56"/>
      <c r="V527" s="42"/>
      <c r="W527" s="57"/>
      <c r="X527" s="58"/>
      <c r="Y527" s="75"/>
      <c r="Z527" s="59"/>
      <c r="AA527" s="61"/>
      <c r="AB527" s="61"/>
      <c r="AC527" s="61"/>
      <c r="AD527" s="62"/>
      <c r="AE527" s="62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</row>
    <row r="528" spans="1:77" x14ac:dyDescent="0.3">
      <c r="A528" s="39"/>
      <c r="B528" s="42"/>
      <c r="C528" s="42"/>
      <c r="D528" s="75"/>
      <c r="E528" s="75"/>
      <c r="F528" s="76"/>
      <c r="G528" s="47"/>
      <c r="H528" s="47"/>
      <c r="I528" s="75"/>
      <c r="J528" s="76"/>
      <c r="K528" s="76"/>
      <c r="L528" s="75"/>
      <c r="M528" s="49"/>
      <c r="N528" s="76"/>
      <c r="O528" s="49"/>
      <c r="P528" s="77"/>
      <c r="Q528" s="53"/>
      <c r="R528" s="54"/>
      <c r="S528" s="55"/>
      <c r="T528" s="56"/>
      <c r="U528" s="56"/>
      <c r="V528" s="42"/>
      <c r="W528" s="57"/>
      <c r="X528" s="58"/>
      <c r="Y528" s="75"/>
      <c r="Z528" s="59"/>
      <c r="AA528" s="61"/>
      <c r="AB528" s="61"/>
      <c r="AC528" s="61"/>
      <c r="AD528" s="62"/>
      <c r="AE528" s="62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</row>
    <row r="529" spans="1:77" x14ac:dyDescent="0.3">
      <c r="A529" s="39"/>
      <c r="B529" s="42"/>
      <c r="C529" s="42"/>
      <c r="D529" s="75"/>
      <c r="E529" s="75"/>
      <c r="F529" s="76"/>
      <c r="G529" s="47"/>
      <c r="H529" s="47"/>
      <c r="I529" s="75"/>
      <c r="J529" s="76"/>
      <c r="K529" s="76"/>
      <c r="L529" s="75"/>
      <c r="M529" s="49"/>
      <c r="N529" s="76"/>
      <c r="O529" s="49"/>
      <c r="P529" s="77"/>
      <c r="Q529" s="53"/>
      <c r="R529" s="54"/>
      <c r="S529" s="55"/>
      <c r="T529" s="56"/>
      <c r="U529" s="56"/>
      <c r="V529" s="42"/>
      <c r="W529" s="57"/>
      <c r="X529" s="58"/>
      <c r="Y529" s="75"/>
      <c r="Z529" s="59"/>
      <c r="AA529" s="61"/>
      <c r="AB529" s="61"/>
      <c r="AC529" s="61"/>
      <c r="AD529" s="62"/>
      <c r="AE529" s="62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</row>
    <row r="530" spans="1:77" x14ac:dyDescent="0.3">
      <c r="A530" s="39"/>
      <c r="B530" s="42"/>
      <c r="C530" s="42"/>
      <c r="D530" s="75"/>
      <c r="E530" s="75"/>
      <c r="F530" s="76"/>
      <c r="G530" s="47"/>
      <c r="H530" s="47"/>
      <c r="I530" s="75"/>
      <c r="J530" s="76"/>
      <c r="K530" s="76"/>
      <c r="L530" s="75"/>
      <c r="M530" s="49"/>
      <c r="N530" s="76"/>
      <c r="O530" s="49"/>
      <c r="P530" s="77"/>
      <c r="Q530" s="53"/>
      <c r="R530" s="54"/>
      <c r="S530" s="55"/>
      <c r="T530" s="56"/>
      <c r="U530" s="56"/>
      <c r="V530" s="42"/>
      <c r="W530" s="57"/>
      <c r="X530" s="58"/>
      <c r="Y530" s="75"/>
      <c r="Z530" s="59"/>
      <c r="AA530" s="61"/>
      <c r="AB530" s="61"/>
      <c r="AC530" s="61"/>
      <c r="AD530" s="62"/>
      <c r="AE530" s="62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</row>
    <row r="531" spans="1:77" x14ac:dyDescent="0.3">
      <c r="A531" s="39"/>
      <c r="B531" s="42"/>
      <c r="C531" s="42"/>
      <c r="D531" s="75"/>
      <c r="E531" s="75"/>
      <c r="F531" s="76"/>
      <c r="G531" s="47"/>
      <c r="H531" s="47"/>
      <c r="I531" s="75"/>
      <c r="J531" s="76"/>
      <c r="K531" s="76"/>
      <c r="L531" s="75"/>
      <c r="M531" s="49"/>
      <c r="N531" s="76"/>
      <c r="O531" s="49"/>
      <c r="P531" s="77"/>
      <c r="Q531" s="53"/>
      <c r="R531" s="54"/>
      <c r="S531" s="55"/>
      <c r="T531" s="56"/>
      <c r="U531" s="56"/>
      <c r="V531" s="42"/>
      <c r="W531" s="57"/>
      <c r="X531" s="58"/>
      <c r="Y531" s="75"/>
      <c r="Z531" s="59"/>
      <c r="AA531" s="61"/>
      <c r="AB531" s="61"/>
      <c r="AC531" s="61"/>
      <c r="AD531" s="62"/>
      <c r="AE531" s="62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</row>
    <row r="532" spans="1:77" x14ac:dyDescent="0.3">
      <c r="A532" s="39"/>
      <c r="B532" s="42"/>
      <c r="C532" s="42"/>
      <c r="D532" s="75"/>
      <c r="E532" s="75"/>
      <c r="F532" s="76"/>
      <c r="G532" s="47"/>
      <c r="H532" s="47"/>
      <c r="I532" s="75"/>
      <c r="J532" s="76"/>
      <c r="K532" s="76"/>
      <c r="L532" s="75"/>
      <c r="M532" s="49"/>
      <c r="N532" s="76"/>
      <c r="O532" s="49"/>
      <c r="P532" s="77"/>
      <c r="Q532" s="53"/>
      <c r="R532" s="54"/>
      <c r="S532" s="55"/>
      <c r="T532" s="56"/>
      <c r="U532" s="56"/>
      <c r="V532" s="42"/>
      <c r="W532" s="57"/>
      <c r="X532" s="58"/>
      <c r="Y532" s="75"/>
      <c r="Z532" s="59"/>
      <c r="AA532" s="61"/>
      <c r="AB532" s="61"/>
      <c r="AC532" s="61"/>
      <c r="AD532" s="62"/>
      <c r="AE532" s="62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</row>
    <row r="533" spans="1:77" x14ac:dyDescent="0.3">
      <c r="A533" s="39"/>
      <c r="B533" s="42"/>
      <c r="C533" s="42"/>
      <c r="D533" s="75"/>
      <c r="E533" s="75"/>
      <c r="F533" s="76"/>
      <c r="G533" s="47"/>
      <c r="H533" s="47"/>
      <c r="I533" s="75"/>
      <c r="J533" s="76"/>
      <c r="K533" s="76"/>
      <c r="L533" s="75"/>
      <c r="M533" s="49"/>
      <c r="N533" s="76"/>
      <c r="O533" s="49"/>
      <c r="P533" s="77"/>
      <c r="Q533" s="53"/>
      <c r="R533" s="54"/>
      <c r="S533" s="55"/>
      <c r="T533" s="56"/>
      <c r="U533" s="56"/>
      <c r="V533" s="42"/>
      <c r="W533" s="57"/>
      <c r="X533" s="58"/>
      <c r="Y533" s="75"/>
      <c r="Z533" s="59"/>
      <c r="AA533" s="61"/>
      <c r="AB533" s="61"/>
      <c r="AC533" s="61"/>
      <c r="AD533" s="62"/>
      <c r="AE533" s="62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</row>
    <row r="534" spans="1:77" x14ac:dyDescent="0.3">
      <c r="A534" s="39"/>
      <c r="B534" s="42"/>
      <c r="C534" s="42"/>
      <c r="D534" s="75"/>
      <c r="E534" s="75"/>
      <c r="F534" s="76"/>
      <c r="G534" s="47"/>
      <c r="H534" s="47"/>
      <c r="I534" s="75"/>
      <c r="J534" s="76"/>
      <c r="K534" s="76"/>
      <c r="L534" s="75"/>
      <c r="M534" s="49"/>
      <c r="N534" s="76"/>
      <c r="O534" s="49"/>
      <c r="P534" s="77"/>
      <c r="Q534" s="53"/>
      <c r="R534" s="54"/>
      <c r="S534" s="55"/>
      <c r="T534" s="56"/>
      <c r="U534" s="56"/>
      <c r="V534" s="42"/>
      <c r="W534" s="57"/>
      <c r="X534" s="58"/>
      <c r="Y534" s="75"/>
      <c r="Z534" s="59"/>
      <c r="AA534" s="61"/>
      <c r="AB534" s="61"/>
      <c r="AC534" s="61"/>
      <c r="AD534" s="62"/>
      <c r="AE534" s="62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</row>
    <row r="535" spans="1:77" x14ac:dyDescent="0.3">
      <c r="A535" s="39"/>
      <c r="B535" s="42"/>
      <c r="C535" s="42"/>
      <c r="D535" s="75"/>
      <c r="E535" s="75"/>
      <c r="F535" s="76"/>
      <c r="G535" s="47"/>
      <c r="H535" s="47"/>
      <c r="I535" s="75"/>
      <c r="J535" s="76"/>
      <c r="K535" s="76"/>
      <c r="L535" s="75"/>
      <c r="M535" s="49"/>
      <c r="N535" s="76"/>
      <c r="O535" s="49"/>
      <c r="P535" s="77"/>
      <c r="Q535" s="53"/>
      <c r="R535" s="54"/>
      <c r="S535" s="55"/>
      <c r="T535" s="56"/>
      <c r="U535" s="56"/>
      <c r="V535" s="42"/>
      <c r="W535" s="57"/>
      <c r="X535" s="58"/>
      <c r="Y535" s="75"/>
      <c r="Z535" s="59"/>
      <c r="AA535" s="61"/>
      <c r="AB535" s="61"/>
      <c r="AC535" s="61"/>
      <c r="AD535" s="62"/>
      <c r="AE535" s="62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</row>
    <row r="536" spans="1:77" x14ac:dyDescent="0.3">
      <c r="A536" s="39"/>
      <c r="B536" s="42"/>
      <c r="C536" s="42"/>
      <c r="D536" s="75"/>
      <c r="E536" s="75"/>
      <c r="F536" s="76"/>
      <c r="G536" s="47"/>
      <c r="H536" s="47"/>
      <c r="I536" s="75"/>
      <c r="J536" s="76"/>
      <c r="K536" s="76"/>
      <c r="L536" s="75"/>
      <c r="M536" s="49"/>
      <c r="N536" s="76"/>
      <c r="O536" s="49"/>
      <c r="P536" s="77"/>
      <c r="Q536" s="53"/>
      <c r="R536" s="54"/>
      <c r="S536" s="55"/>
      <c r="T536" s="56"/>
      <c r="U536" s="56"/>
      <c r="V536" s="42"/>
      <c r="W536" s="57"/>
      <c r="X536" s="58"/>
      <c r="Y536" s="75"/>
      <c r="Z536" s="59"/>
      <c r="AA536" s="61"/>
      <c r="AB536" s="61"/>
      <c r="AC536" s="61"/>
      <c r="AD536" s="62"/>
      <c r="AE536" s="62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</row>
    <row r="537" spans="1:77" x14ac:dyDescent="0.3">
      <c r="A537" s="39"/>
      <c r="B537" s="42"/>
      <c r="C537" s="42"/>
      <c r="D537" s="75"/>
      <c r="E537" s="75"/>
      <c r="F537" s="76"/>
      <c r="G537" s="47"/>
      <c r="H537" s="47"/>
      <c r="I537" s="75"/>
      <c r="J537" s="76"/>
      <c r="K537" s="76"/>
      <c r="L537" s="75"/>
      <c r="M537" s="49"/>
      <c r="N537" s="76"/>
      <c r="O537" s="49"/>
      <c r="P537" s="77"/>
      <c r="Q537" s="53"/>
      <c r="R537" s="54"/>
      <c r="S537" s="55"/>
      <c r="T537" s="56"/>
      <c r="U537" s="56"/>
      <c r="V537" s="42"/>
      <c r="W537" s="57"/>
      <c r="X537" s="58"/>
      <c r="Y537" s="75"/>
      <c r="Z537" s="59"/>
      <c r="AA537" s="61"/>
      <c r="AB537" s="61"/>
      <c r="AC537" s="61"/>
      <c r="AD537" s="62"/>
      <c r="AE537" s="62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</row>
    <row r="538" spans="1:77" x14ac:dyDescent="0.3">
      <c r="A538" s="39"/>
      <c r="B538" s="42"/>
      <c r="C538" s="42"/>
      <c r="D538" s="75"/>
      <c r="E538" s="75"/>
      <c r="F538" s="76"/>
      <c r="G538" s="47"/>
      <c r="H538" s="47"/>
      <c r="I538" s="75"/>
      <c r="J538" s="76"/>
      <c r="K538" s="76"/>
      <c r="L538" s="75"/>
      <c r="M538" s="49"/>
      <c r="N538" s="76"/>
      <c r="O538" s="49"/>
      <c r="P538" s="77"/>
      <c r="Q538" s="53"/>
      <c r="R538" s="54"/>
      <c r="S538" s="55"/>
      <c r="T538" s="56"/>
      <c r="U538" s="56"/>
      <c r="V538" s="42"/>
      <c r="W538" s="57"/>
      <c r="X538" s="58"/>
      <c r="Y538" s="75"/>
      <c r="Z538" s="59"/>
      <c r="AA538" s="61"/>
      <c r="AB538" s="61"/>
      <c r="AC538" s="61"/>
      <c r="AD538" s="62"/>
      <c r="AE538" s="62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</row>
    <row r="539" spans="1:77" x14ac:dyDescent="0.3">
      <c r="A539" s="39"/>
      <c r="B539" s="42"/>
      <c r="C539" s="42"/>
      <c r="D539" s="75"/>
      <c r="E539" s="75"/>
      <c r="F539" s="76"/>
      <c r="G539" s="47"/>
      <c r="H539" s="47"/>
      <c r="I539" s="75"/>
      <c r="J539" s="76"/>
      <c r="K539" s="76"/>
      <c r="L539" s="75"/>
      <c r="M539" s="49"/>
      <c r="N539" s="76"/>
      <c r="O539" s="49"/>
      <c r="P539" s="77"/>
      <c r="Q539" s="53"/>
      <c r="R539" s="54"/>
      <c r="S539" s="55"/>
      <c r="T539" s="56"/>
      <c r="U539" s="56"/>
      <c r="V539" s="42"/>
      <c r="W539" s="57"/>
      <c r="X539" s="58"/>
      <c r="Y539" s="75"/>
      <c r="Z539" s="59"/>
      <c r="AA539" s="61"/>
      <c r="AB539" s="61"/>
      <c r="AC539" s="61"/>
      <c r="AD539" s="62"/>
      <c r="AE539" s="62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</row>
    <row r="540" spans="1:77" x14ac:dyDescent="0.3">
      <c r="A540" s="39"/>
      <c r="B540" s="42"/>
      <c r="C540" s="42"/>
      <c r="D540" s="75"/>
      <c r="E540" s="75"/>
      <c r="F540" s="76"/>
      <c r="G540" s="47"/>
      <c r="H540" s="47"/>
      <c r="I540" s="75"/>
      <c r="J540" s="76"/>
      <c r="K540" s="76"/>
      <c r="L540" s="75"/>
      <c r="M540" s="49"/>
      <c r="N540" s="76"/>
      <c r="O540" s="49"/>
      <c r="P540" s="77"/>
      <c r="Q540" s="53"/>
      <c r="R540" s="54"/>
      <c r="S540" s="55"/>
      <c r="T540" s="56"/>
      <c r="U540" s="56"/>
      <c r="V540" s="42"/>
      <c r="W540" s="57"/>
      <c r="X540" s="58"/>
      <c r="Y540" s="75"/>
      <c r="Z540" s="59"/>
      <c r="AA540" s="61"/>
      <c r="AB540" s="61"/>
      <c r="AC540" s="61"/>
      <c r="AD540" s="62"/>
      <c r="AE540" s="62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</row>
    <row r="541" spans="1:77" x14ac:dyDescent="0.3">
      <c r="A541" s="39"/>
      <c r="B541" s="42"/>
      <c r="C541" s="42"/>
      <c r="D541" s="75"/>
      <c r="E541" s="75"/>
      <c r="F541" s="76"/>
      <c r="G541" s="47"/>
      <c r="H541" s="47"/>
      <c r="I541" s="75"/>
      <c r="J541" s="76"/>
      <c r="K541" s="76"/>
      <c r="L541" s="75"/>
      <c r="M541" s="49"/>
      <c r="N541" s="76"/>
      <c r="O541" s="49"/>
      <c r="P541" s="77"/>
      <c r="Q541" s="53"/>
      <c r="R541" s="54"/>
      <c r="S541" s="55"/>
      <c r="T541" s="56"/>
      <c r="U541" s="56"/>
      <c r="V541" s="42"/>
      <c r="W541" s="57"/>
      <c r="X541" s="58"/>
      <c r="Y541" s="75"/>
      <c r="Z541" s="59"/>
      <c r="AA541" s="61"/>
      <c r="AB541" s="61"/>
      <c r="AC541" s="61"/>
      <c r="AD541" s="62"/>
      <c r="AE541" s="62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</row>
    <row r="542" spans="1:77" x14ac:dyDescent="0.3">
      <c r="A542" s="39"/>
      <c r="B542" s="42"/>
      <c r="C542" s="42"/>
      <c r="D542" s="75"/>
      <c r="E542" s="75"/>
      <c r="F542" s="76"/>
      <c r="G542" s="47"/>
      <c r="H542" s="47"/>
      <c r="I542" s="75"/>
      <c r="J542" s="76"/>
      <c r="K542" s="76"/>
      <c r="L542" s="75"/>
      <c r="M542" s="49"/>
      <c r="N542" s="76"/>
      <c r="O542" s="49"/>
      <c r="P542" s="77"/>
      <c r="Q542" s="53"/>
      <c r="R542" s="54"/>
      <c r="S542" s="55"/>
      <c r="T542" s="56"/>
      <c r="U542" s="56"/>
      <c r="V542" s="42"/>
      <c r="W542" s="57"/>
      <c r="X542" s="58"/>
      <c r="Y542" s="75"/>
      <c r="Z542" s="59"/>
      <c r="AA542" s="61"/>
      <c r="AB542" s="61"/>
      <c r="AC542" s="61"/>
      <c r="AD542" s="62"/>
      <c r="AE542" s="62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</row>
    <row r="543" spans="1:77" x14ac:dyDescent="0.3">
      <c r="A543" s="39"/>
      <c r="B543" s="42"/>
      <c r="C543" s="42"/>
      <c r="D543" s="75"/>
      <c r="E543" s="75"/>
      <c r="F543" s="76"/>
      <c r="G543" s="47"/>
      <c r="H543" s="47"/>
      <c r="I543" s="75"/>
      <c r="J543" s="76"/>
      <c r="K543" s="76"/>
      <c r="L543" s="75"/>
      <c r="M543" s="49"/>
      <c r="N543" s="76"/>
      <c r="O543" s="49"/>
      <c r="P543" s="77"/>
      <c r="Q543" s="53"/>
      <c r="R543" s="54"/>
      <c r="S543" s="55"/>
      <c r="T543" s="56"/>
      <c r="U543" s="56"/>
      <c r="V543" s="42"/>
      <c r="W543" s="57"/>
      <c r="X543" s="58"/>
      <c r="Y543" s="75"/>
      <c r="Z543" s="59"/>
      <c r="AA543" s="61"/>
      <c r="AB543" s="61"/>
      <c r="AC543" s="61"/>
      <c r="AD543" s="62"/>
      <c r="AE543" s="62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</row>
    <row r="544" spans="1:77" x14ac:dyDescent="0.3">
      <c r="A544" s="39"/>
      <c r="B544" s="42"/>
      <c r="C544" s="42"/>
      <c r="D544" s="75"/>
      <c r="E544" s="75"/>
      <c r="F544" s="76"/>
      <c r="G544" s="47"/>
      <c r="H544" s="47"/>
      <c r="I544" s="75"/>
      <c r="J544" s="76"/>
      <c r="K544" s="76"/>
      <c r="L544" s="75"/>
      <c r="M544" s="49"/>
      <c r="N544" s="76"/>
      <c r="O544" s="49"/>
      <c r="P544" s="77"/>
      <c r="Q544" s="53"/>
      <c r="R544" s="54"/>
      <c r="S544" s="55"/>
      <c r="T544" s="56"/>
      <c r="U544" s="56"/>
      <c r="V544" s="42"/>
      <c r="W544" s="57"/>
      <c r="X544" s="58"/>
      <c r="Y544" s="75"/>
      <c r="Z544" s="59"/>
      <c r="AA544" s="61"/>
      <c r="AB544" s="61"/>
      <c r="AC544" s="61"/>
      <c r="AD544" s="62"/>
      <c r="AE544" s="62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</row>
    <row r="545" spans="1:77" x14ac:dyDescent="0.3">
      <c r="A545" s="39"/>
      <c r="B545" s="42"/>
      <c r="C545" s="42"/>
      <c r="D545" s="75"/>
      <c r="E545" s="75"/>
      <c r="F545" s="76"/>
      <c r="G545" s="47"/>
      <c r="H545" s="47"/>
      <c r="I545" s="75"/>
      <c r="J545" s="76"/>
      <c r="K545" s="76"/>
      <c r="L545" s="75"/>
      <c r="M545" s="49"/>
      <c r="N545" s="76"/>
      <c r="O545" s="49"/>
      <c r="P545" s="77"/>
      <c r="Q545" s="53"/>
      <c r="R545" s="54"/>
      <c r="S545" s="55"/>
      <c r="T545" s="56"/>
      <c r="U545" s="56"/>
      <c r="V545" s="42"/>
      <c r="W545" s="57"/>
      <c r="X545" s="58"/>
      <c r="Y545" s="75"/>
      <c r="Z545" s="59"/>
      <c r="AA545" s="61"/>
      <c r="AB545" s="61"/>
      <c r="AC545" s="61"/>
      <c r="AD545" s="62"/>
      <c r="AE545" s="62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</row>
    <row r="546" spans="1:77" x14ac:dyDescent="0.3">
      <c r="A546" s="39"/>
      <c r="B546" s="42"/>
      <c r="C546" s="42"/>
      <c r="D546" s="75"/>
      <c r="E546" s="75"/>
      <c r="F546" s="76"/>
      <c r="G546" s="47"/>
      <c r="H546" s="47"/>
      <c r="I546" s="75"/>
      <c r="J546" s="76"/>
      <c r="K546" s="76"/>
      <c r="L546" s="75"/>
      <c r="M546" s="49"/>
      <c r="N546" s="76"/>
      <c r="O546" s="49"/>
      <c r="P546" s="77"/>
      <c r="Q546" s="53"/>
      <c r="R546" s="54"/>
      <c r="S546" s="55"/>
      <c r="T546" s="56"/>
      <c r="U546" s="56"/>
      <c r="V546" s="42"/>
      <c r="W546" s="57"/>
      <c r="X546" s="58"/>
      <c r="Y546" s="75"/>
      <c r="Z546" s="59"/>
      <c r="AA546" s="61"/>
      <c r="AB546" s="61"/>
      <c r="AC546" s="61"/>
      <c r="AD546" s="62"/>
      <c r="AE546" s="62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</row>
    <row r="547" spans="1:77" x14ac:dyDescent="0.3">
      <c r="A547" s="39"/>
      <c r="B547" s="42"/>
      <c r="C547" s="42"/>
      <c r="D547" s="75"/>
      <c r="E547" s="75"/>
      <c r="F547" s="76"/>
      <c r="G547" s="47"/>
      <c r="H547" s="47"/>
      <c r="I547" s="75"/>
      <c r="J547" s="76"/>
      <c r="K547" s="76"/>
      <c r="L547" s="75"/>
      <c r="M547" s="49"/>
      <c r="N547" s="76"/>
      <c r="O547" s="49"/>
      <c r="P547" s="77"/>
      <c r="Q547" s="53"/>
      <c r="R547" s="54"/>
      <c r="S547" s="55"/>
      <c r="T547" s="56"/>
      <c r="U547" s="56"/>
      <c r="V547" s="42"/>
      <c r="W547" s="57"/>
      <c r="X547" s="58"/>
      <c r="Y547" s="75"/>
      <c r="Z547" s="59"/>
      <c r="AA547" s="61"/>
      <c r="AB547" s="61"/>
      <c r="AC547" s="61"/>
      <c r="AD547" s="62"/>
      <c r="AE547" s="62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</row>
    <row r="548" spans="1:77" x14ac:dyDescent="0.3">
      <c r="A548" s="39"/>
      <c r="B548" s="42"/>
      <c r="C548" s="42"/>
      <c r="D548" s="75"/>
      <c r="E548" s="75"/>
      <c r="F548" s="76"/>
      <c r="G548" s="47"/>
      <c r="H548" s="47"/>
      <c r="I548" s="75"/>
      <c r="J548" s="76"/>
      <c r="K548" s="76"/>
      <c r="L548" s="75"/>
      <c r="M548" s="49"/>
      <c r="N548" s="76"/>
      <c r="O548" s="49"/>
      <c r="P548" s="77"/>
      <c r="Q548" s="53"/>
      <c r="R548" s="54"/>
      <c r="S548" s="55"/>
      <c r="T548" s="56"/>
      <c r="U548" s="56"/>
      <c r="V548" s="42"/>
      <c r="W548" s="57"/>
      <c r="X548" s="58"/>
      <c r="Y548" s="75"/>
      <c r="Z548" s="59"/>
      <c r="AA548" s="61"/>
      <c r="AB548" s="61"/>
      <c r="AC548" s="61"/>
      <c r="AD548" s="62"/>
      <c r="AE548" s="62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</row>
    <row r="549" spans="1:77" x14ac:dyDescent="0.3">
      <c r="A549" s="39"/>
      <c r="B549" s="42"/>
      <c r="C549" s="42"/>
      <c r="D549" s="75"/>
      <c r="E549" s="75"/>
      <c r="F549" s="76"/>
      <c r="G549" s="47"/>
      <c r="H549" s="47"/>
      <c r="I549" s="75"/>
      <c r="J549" s="76"/>
      <c r="K549" s="76"/>
      <c r="L549" s="75"/>
      <c r="M549" s="49"/>
      <c r="N549" s="76"/>
      <c r="O549" s="49"/>
      <c r="P549" s="77"/>
      <c r="Q549" s="53"/>
      <c r="R549" s="54"/>
      <c r="S549" s="55"/>
      <c r="T549" s="56"/>
      <c r="U549" s="56"/>
      <c r="V549" s="42"/>
      <c r="W549" s="57"/>
      <c r="X549" s="58"/>
      <c r="Y549" s="75"/>
      <c r="Z549" s="59"/>
      <c r="AA549" s="61"/>
      <c r="AB549" s="61"/>
      <c r="AC549" s="61"/>
      <c r="AD549" s="62"/>
      <c r="AE549" s="62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</row>
    <row r="550" spans="1:77" x14ac:dyDescent="0.3">
      <c r="A550" s="39"/>
      <c r="B550" s="42"/>
      <c r="C550" s="42"/>
      <c r="D550" s="75"/>
      <c r="E550" s="75"/>
      <c r="F550" s="76"/>
      <c r="G550" s="47"/>
      <c r="H550" s="47"/>
      <c r="I550" s="75"/>
      <c r="J550" s="76"/>
      <c r="K550" s="76"/>
      <c r="L550" s="75"/>
      <c r="M550" s="49"/>
      <c r="N550" s="76"/>
      <c r="O550" s="49"/>
      <c r="P550" s="77"/>
      <c r="Q550" s="53"/>
      <c r="R550" s="54"/>
      <c r="S550" s="55"/>
      <c r="T550" s="56"/>
      <c r="U550" s="56"/>
      <c r="V550" s="42"/>
      <c r="W550" s="57"/>
      <c r="X550" s="58"/>
      <c r="Y550" s="75"/>
      <c r="Z550" s="59"/>
      <c r="AA550" s="61"/>
      <c r="AB550" s="61"/>
      <c r="AC550" s="61"/>
      <c r="AD550" s="62"/>
      <c r="AE550" s="62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</row>
    <row r="551" spans="1:77" x14ac:dyDescent="0.3">
      <c r="A551" s="39"/>
      <c r="B551" s="42"/>
      <c r="C551" s="42"/>
      <c r="D551" s="75"/>
      <c r="E551" s="75"/>
      <c r="F551" s="76"/>
      <c r="G551" s="47"/>
      <c r="H551" s="47"/>
      <c r="I551" s="75"/>
      <c r="J551" s="76"/>
      <c r="K551" s="76"/>
      <c r="L551" s="75"/>
      <c r="M551" s="49"/>
      <c r="N551" s="76"/>
      <c r="O551" s="49"/>
      <c r="P551" s="77"/>
      <c r="Q551" s="53"/>
      <c r="R551" s="54"/>
      <c r="S551" s="55"/>
      <c r="T551" s="56"/>
      <c r="U551" s="56"/>
      <c r="V551" s="42"/>
      <c r="W551" s="57"/>
      <c r="X551" s="58"/>
      <c r="Y551" s="75"/>
      <c r="Z551" s="59"/>
      <c r="AA551" s="61"/>
      <c r="AB551" s="61"/>
      <c r="AC551" s="61"/>
      <c r="AD551" s="62"/>
      <c r="AE551" s="62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</row>
    <row r="552" spans="1:77" x14ac:dyDescent="0.3">
      <c r="A552" s="39"/>
      <c r="B552" s="42"/>
      <c r="C552" s="42"/>
      <c r="D552" s="75"/>
      <c r="E552" s="75"/>
      <c r="F552" s="76"/>
      <c r="G552" s="47"/>
      <c r="H552" s="47"/>
      <c r="I552" s="75"/>
      <c r="J552" s="76"/>
      <c r="K552" s="76"/>
      <c r="L552" s="75"/>
      <c r="M552" s="49"/>
      <c r="N552" s="76"/>
      <c r="O552" s="49"/>
      <c r="P552" s="77"/>
      <c r="Q552" s="53"/>
      <c r="R552" s="54"/>
      <c r="S552" s="55"/>
      <c r="T552" s="56"/>
      <c r="U552" s="56"/>
      <c r="V552" s="42"/>
      <c r="W552" s="57"/>
      <c r="X552" s="58"/>
      <c r="Y552" s="75"/>
      <c r="Z552" s="59"/>
      <c r="AA552" s="61"/>
      <c r="AB552" s="61"/>
      <c r="AC552" s="61"/>
      <c r="AD552" s="62"/>
      <c r="AE552" s="62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</row>
    <row r="553" spans="1:77" x14ac:dyDescent="0.3">
      <c r="A553" s="39"/>
      <c r="B553" s="42"/>
      <c r="C553" s="42"/>
      <c r="D553" s="75"/>
      <c r="E553" s="75"/>
      <c r="F553" s="76"/>
      <c r="G553" s="47"/>
      <c r="H553" s="47"/>
      <c r="I553" s="75"/>
      <c r="J553" s="76"/>
      <c r="K553" s="76"/>
      <c r="L553" s="75"/>
      <c r="M553" s="49"/>
      <c r="N553" s="76"/>
      <c r="O553" s="49"/>
      <c r="P553" s="77"/>
      <c r="Q553" s="53"/>
      <c r="R553" s="54"/>
      <c r="S553" s="55"/>
      <c r="T553" s="56"/>
      <c r="U553" s="56"/>
      <c r="V553" s="42"/>
      <c r="W553" s="57"/>
      <c r="X553" s="58"/>
      <c r="Y553" s="75"/>
      <c r="Z553" s="59"/>
      <c r="AA553" s="61"/>
      <c r="AB553" s="61"/>
      <c r="AC553" s="61"/>
      <c r="AD553" s="62"/>
      <c r="AE553" s="62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</row>
    <row r="554" spans="1:77" x14ac:dyDescent="0.3">
      <c r="A554" s="39"/>
      <c r="B554" s="42"/>
      <c r="C554" s="42"/>
      <c r="D554" s="75"/>
      <c r="E554" s="75"/>
      <c r="F554" s="76"/>
      <c r="G554" s="47"/>
      <c r="H554" s="47"/>
      <c r="I554" s="75"/>
      <c r="J554" s="76"/>
      <c r="K554" s="76"/>
      <c r="L554" s="75"/>
      <c r="M554" s="49"/>
      <c r="N554" s="76"/>
      <c r="O554" s="49"/>
      <c r="P554" s="77"/>
      <c r="Q554" s="53"/>
      <c r="R554" s="54"/>
      <c r="S554" s="55"/>
      <c r="T554" s="56"/>
      <c r="U554" s="56"/>
      <c r="V554" s="42"/>
      <c r="W554" s="57"/>
      <c r="X554" s="58"/>
      <c r="Y554" s="75"/>
      <c r="Z554" s="59"/>
      <c r="AA554" s="61"/>
      <c r="AB554" s="61"/>
      <c r="AC554" s="61"/>
      <c r="AD554" s="62"/>
      <c r="AE554" s="62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</row>
    <row r="555" spans="1:77" x14ac:dyDescent="0.3">
      <c r="A555" s="39"/>
      <c r="B555" s="42"/>
      <c r="C555" s="42"/>
      <c r="D555" s="75"/>
      <c r="E555" s="75"/>
      <c r="F555" s="76"/>
      <c r="G555" s="47"/>
      <c r="H555" s="47"/>
      <c r="I555" s="75"/>
      <c r="J555" s="76"/>
      <c r="K555" s="76"/>
      <c r="L555" s="75"/>
      <c r="M555" s="49"/>
      <c r="N555" s="76"/>
      <c r="O555" s="49"/>
      <c r="P555" s="77"/>
      <c r="Q555" s="53"/>
      <c r="R555" s="54"/>
      <c r="S555" s="55"/>
      <c r="T555" s="56"/>
      <c r="U555" s="56"/>
      <c r="V555" s="42"/>
      <c r="W555" s="57"/>
      <c r="X555" s="58"/>
      <c r="Y555" s="75"/>
      <c r="Z555" s="59"/>
      <c r="AA555" s="61"/>
      <c r="AB555" s="61"/>
      <c r="AC555" s="61"/>
      <c r="AD555" s="62"/>
      <c r="AE555" s="62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</row>
    <row r="556" spans="1:77" x14ac:dyDescent="0.3">
      <c r="A556" s="39"/>
      <c r="B556" s="42"/>
      <c r="C556" s="42"/>
      <c r="D556" s="75"/>
      <c r="E556" s="75"/>
      <c r="F556" s="76"/>
      <c r="G556" s="47"/>
      <c r="H556" s="47"/>
      <c r="I556" s="75"/>
      <c r="J556" s="76"/>
      <c r="K556" s="76"/>
      <c r="L556" s="75"/>
      <c r="M556" s="49"/>
      <c r="N556" s="76"/>
      <c r="O556" s="49"/>
      <c r="P556" s="77"/>
      <c r="Q556" s="53"/>
      <c r="R556" s="54"/>
      <c r="S556" s="55"/>
      <c r="T556" s="56"/>
      <c r="U556" s="56"/>
      <c r="V556" s="42"/>
      <c r="W556" s="57"/>
      <c r="X556" s="58"/>
      <c r="Y556" s="75"/>
      <c r="Z556" s="59"/>
      <c r="AA556" s="61"/>
      <c r="AB556" s="61"/>
      <c r="AC556" s="61"/>
      <c r="AD556" s="62"/>
      <c r="AE556" s="62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</row>
    <row r="557" spans="1:77" x14ac:dyDescent="0.3">
      <c r="A557" s="39"/>
      <c r="B557" s="42"/>
      <c r="C557" s="42"/>
      <c r="D557" s="75"/>
      <c r="E557" s="75"/>
      <c r="F557" s="76"/>
      <c r="G557" s="47"/>
      <c r="H557" s="47"/>
      <c r="I557" s="75"/>
      <c r="J557" s="76"/>
      <c r="K557" s="76"/>
      <c r="L557" s="75"/>
      <c r="M557" s="49"/>
      <c r="N557" s="76"/>
      <c r="O557" s="49"/>
      <c r="P557" s="77"/>
      <c r="Q557" s="53"/>
      <c r="R557" s="54"/>
      <c r="S557" s="55"/>
      <c r="T557" s="56"/>
      <c r="U557" s="56"/>
      <c r="V557" s="42"/>
      <c r="W557" s="57"/>
      <c r="X557" s="58"/>
      <c r="Y557" s="75"/>
      <c r="Z557" s="59"/>
      <c r="AA557" s="61"/>
      <c r="AB557" s="61"/>
      <c r="AC557" s="61"/>
      <c r="AD557" s="62"/>
      <c r="AE557" s="62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</row>
    <row r="558" spans="1:77" x14ac:dyDescent="0.3">
      <c r="A558" s="39"/>
      <c r="B558" s="42"/>
      <c r="C558" s="42"/>
      <c r="D558" s="75"/>
      <c r="E558" s="75"/>
      <c r="F558" s="76"/>
      <c r="G558" s="47"/>
      <c r="H558" s="47"/>
      <c r="I558" s="75"/>
      <c r="J558" s="76"/>
      <c r="K558" s="76"/>
      <c r="L558" s="75"/>
      <c r="M558" s="49"/>
      <c r="N558" s="76"/>
      <c r="O558" s="49"/>
      <c r="P558" s="77"/>
      <c r="Q558" s="53"/>
      <c r="R558" s="54"/>
      <c r="S558" s="55"/>
      <c r="T558" s="56"/>
      <c r="U558" s="56"/>
      <c r="V558" s="42"/>
      <c r="W558" s="57"/>
      <c r="X558" s="58"/>
      <c r="Y558" s="75"/>
      <c r="Z558" s="59"/>
      <c r="AA558" s="61"/>
      <c r="AB558" s="61"/>
      <c r="AC558" s="61"/>
      <c r="AD558" s="62"/>
      <c r="AE558" s="62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</row>
    <row r="559" spans="1:77" x14ac:dyDescent="0.3">
      <c r="A559" s="39"/>
      <c r="B559" s="42"/>
      <c r="C559" s="42"/>
      <c r="D559" s="75"/>
      <c r="E559" s="75"/>
      <c r="F559" s="76"/>
      <c r="G559" s="47"/>
      <c r="H559" s="47"/>
      <c r="I559" s="75"/>
      <c r="J559" s="76"/>
      <c r="K559" s="76"/>
      <c r="L559" s="75"/>
      <c r="M559" s="49"/>
      <c r="N559" s="76"/>
      <c r="O559" s="49"/>
      <c r="P559" s="77"/>
      <c r="Q559" s="53"/>
      <c r="R559" s="54"/>
      <c r="S559" s="55"/>
      <c r="T559" s="56"/>
      <c r="U559" s="56"/>
      <c r="V559" s="42"/>
      <c r="W559" s="57"/>
      <c r="X559" s="58"/>
      <c r="Y559" s="75"/>
      <c r="Z559" s="59"/>
      <c r="AA559" s="61"/>
      <c r="AB559" s="61"/>
      <c r="AC559" s="61"/>
      <c r="AD559" s="62"/>
      <c r="AE559" s="62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</row>
    <row r="560" spans="1:77" x14ac:dyDescent="0.3">
      <c r="A560" s="39"/>
      <c r="B560" s="42"/>
      <c r="C560" s="42"/>
      <c r="D560" s="75"/>
      <c r="E560" s="75"/>
      <c r="F560" s="76"/>
      <c r="G560" s="47"/>
      <c r="H560" s="47"/>
      <c r="I560" s="75"/>
      <c r="J560" s="76"/>
      <c r="K560" s="76"/>
      <c r="L560" s="75"/>
      <c r="M560" s="49"/>
      <c r="N560" s="76"/>
      <c r="O560" s="49"/>
      <c r="P560" s="77"/>
      <c r="Q560" s="53"/>
      <c r="R560" s="54"/>
      <c r="S560" s="55"/>
      <c r="T560" s="56"/>
      <c r="U560" s="56"/>
      <c r="V560" s="42"/>
      <c r="W560" s="57"/>
      <c r="X560" s="58"/>
      <c r="Y560" s="75"/>
      <c r="Z560" s="59"/>
      <c r="AA560" s="61"/>
      <c r="AB560" s="61"/>
      <c r="AC560" s="61"/>
      <c r="AD560" s="62"/>
      <c r="AE560" s="62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</row>
    <row r="561" spans="1:77" x14ac:dyDescent="0.3">
      <c r="A561" s="39"/>
      <c r="B561" s="42"/>
      <c r="C561" s="42"/>
      <c r="D561" s="75"/>
      <c r="E561" s="75"/>
      <c r="F561" s="76"/>
      <c r="G561" s="47"/>
      <c r="H561" s="47"/>
      <c r="I561" s="75"/>
      <c r="J561" s="76"/>
      <c r="K561" s="76"/>
      <c r="L561" s="75"/>
      <c r="M561" s="49"/>
      <c r="N561" s="76"/>
      <c r="O561" s="49"/>
      <c r="P561" s="77"/>
      <c r="Q561" s="53"/>
      <c r="R561" s="54"/>
      <c r="S561" s="55"/>
      <c r="T561" s="56"/>
      <c r="U561" s="56"/>
      <c r="V561" s="42"/>
      <c r="W561" s="57"/>
      <c r="X561" s="58"/>
      <c r="Y561" s="75"/>
      <c r="Z561" s="59"/>
      <c r="AA561" s="61"/>
      <c r="AB561" s="61"/>
      <c r="AC561" s="61"/>
      <c r="AD561" s="62"/>
      <c r="AE561" s="62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</row>
    <row r="562" spans="1:77" x14ac:dyDescent="0.3">
      <c r="A562" s="39"/>
      <c r="B562" s="42"/>
      <c r="C562" s="42"/>
      <c r="D562" s="75"/>
      <c r="E562" s="75"/>
      <c r="F562" s="76"/>
      <c r="G562" s="47"/>
      <c r="H562" s="47"/>
      <c r="I562" s="75"/>
      <c r="J562" s="76"/>
      <c r="K562" s="76"/>
      <c r="L562" s="75"/>
      <c r="M562" s="49"/>
      <c r="N562" s="76"/>
      <c r="O562" s="49"/>
      <c r="P562" s="77"/>
      <c r="Q562" s="53"/>
      <c r="R562" s="54"/>
      <c r="S562" s="55"/>
      <c r="T562" s="56"/>
      <c r="U562" s="56"/>
      <c r="V562" s="42"/>
      <c r="W562" s="57"/>
      <c r="X562" s="58"/>
      <c r="Y562" s="75"/>
      <c r="Z562" s="59"/>
      <c r="AA562" s="61"/>
      <c r="AB562" s="61"/>
      <c r="AC562" s="61"/>
      <c r="AD562" s="62"/>
      <c r="AE562" s="62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</row>
    <row r="563" spans="1:77" x14ac:dyDescent="0.3">
      <c r="A563" s="39"/>
      <c r="B563" s="42"/>
      <c r="C563" s="42"/>
      <c r="D563" s="75"/>
      <c r="E563" s="75"/>
      <c r="F563" s="76"/>
      <c r="G563" s="47"/>
      <c r="H563" s="47"/>
      <c r="I563" s="75"/>
      <c r="J563" s="76"/>
      <c r="K563" s="76"/>
      <c r="L563" s="75"/>
      <c r="M563" s="49"/>
      <c r="N563" s="76"/>
      <c r="O563" s="49"/>
      <c r="P563" s="77"/>
      <c r="Q563" s="53"/>
      <c r="R563" s="54"/>
      <c r="S563" s="55"/>
      <c r="T563" s="56"/>
      <c r="U563" s="56"/>
      <c r="V563" s="42"/>
      <c r="W563" s="57"/>
      <c r="X563" s="58"/>
      <c r="Y563" s="75"/>
      <c r="Z563" s="59"/>
      <c r="AA563" s="61"/>
      <c r="AB563" s="61"/>
      <c r="AC563" s="61"/>
      <c r="AD563" s="62"/>
      <c r="AE563" s="62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</row>
    <row r="564" spans="1:77" x14ac:dyDescent="0.3">
      <c r="A564" s="39"/>
      <c r="B564" s="42"/>
      <c r="C564" s="42"/>
      <c r="D564" s="75"/>
      <c r="E564" s="75"/>
      <c r="F564" s="76"/>
      <c r="G564" s="47"/>
      <c r="H564" s="47"/>
      <c r="I564" s="75"/>
      <c r="J564" s="76"/>
      <c r="K564" s="76"/>
      <c r="L564" s="75"/>
      <c r="M564" s="49"/>
      <c r="N564" s="76"/>
      <c r="O564" s="49"/>
      <c r="P564" s="77"/>
      <c r="Q564" s="53"/>
      <c r="R564" s="54"/>
      <c r="S564" s="55"/>
      <c r="T564" s="56"/>
      <c r="U564" s="56"/>
      <c r="V564" s="42"/>
      <c r="W564" s="57"/>
      <c r="X564" s="58"/>
      <c r="Y564" s="75"/>
      <c r="Z564" s="59"/>
      <c r="AA564" s="61"/>
      <c r="AB564" s="61"/>
      <c r="AC564" s="61"/>
      <c r="AD564" s="62"/>
      <c r="AE564" s="62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</row>
    <row r="565" spans="1:77" x14ac:dyDescent="0.3">
      <c r="A565" s="39"/>
      <c r="B565" s="42"/>
      <c r="C565" s="42"/>
      <c r="D565" s="75"/>
      <c r="E565" s="75"/>
      <c r="F565" s="76"/>
      <c r="G565" s="47"/>
      <c r="H565" s="47"/>
      <c r="I565" s="75"/>
      <c r="J565" s="76"/>
      <c r="K565" s="76"/>
      <c r="L565" s="75"/>
      <c r="M565" s="49"/>
      <c r="N565" s="76"/>
      <c r="O565" s="49"/>
      <c r="P565" s="77"/>
      <c r="Q565" s="53"/>
      <c r="R565" s="54"/>
      <c r="S565" s="55"/>
      <c r="T565" s="56"/>
      <c r="U565" s="56"/>
      <c r="V565" s="42"/>
      <c r="W565" s="57"/>
      <c r="X565" s="58"/>
      <c r="Y565" s="75"/>
      <c r="Z565" s="59"/>
      <c r="AA565" s="61"/>
      <c r="AB565" s="61"/>
      <c r="AC565" s="61"/>
      <c r="AD565" s="62"/>
      <c r="AE565" s="62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</row>
    <row r="566" spans="1:77" x14ac:dyDescent="0.3">
      <c r="A566" s="39"/>
      <c r="B566" s="42"/>
      <c r="C566" s="42"/>
      <c r="D566" s="75"/>
      <c r="E566" s="75"/>
      <c r="F566" s="76"/>
      <c r="G566" s="47"/>
      <c r="H566" s="47"/>
      <c r="I566" s="75"/>
      <c r="J566" s="76"/>
      <c r="K566" s="76"/>
      <c r="L566" s="75"/>
      <c r="M566" s="49"/>
      <c r="N566" s="76"/>
      <c r="O566" s="49"/>
      <c r="P566" s="77"/>
      <c r="Q566" s="53"/>
      <c r="R566" s="54"/>
      <c r="S566" s="55"/>
      <c r="T566" s="56"/>
      <c r="U566" s="56"/>
      <c r="V566" s="42"/>
      <c r="W566" s="57"/>
      <c r="X566" s="58"/>
      <c r="Y566" s="75"/>
      <c r="Z566" s="59"/>
      <c r="AA566" s="61"/>
      <c r="AB566" s="61"/>
      <c r="AC566" s="61"/>
      <c r="AD566" s="62"/>
      <c r="AE566" s="62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</row>
    <row r="567" spans="1:77" x14ac:dyDescent="0.3">
      <c r="A567" s="39"/>
      <c r="B567" s="42"/>
      <c r="C567" s="42"/>
      <c r="D567" s="75"/>
      <c r="E567" s="75"/>
      <c r="F567" s="76"/>
      <c r="G567" s="47"/>
      <c r="H567" s="47"/>
      <c r="I567" s="75"/>
      <c r="J567" s="76"/>
      <c r="K567" s="76"/>
      <c r="L567" s="75"/>
      <c r="M567" s="49"/>
      <c r="N567" s="76"/>
      <c r="O567" s="49"/>
      <c r="P567" s="77"/>
      <c r="Q567" s="53"/>
      <c r="R567" s="54"/>
      <c r="S567" s="55"/>
      <c r="T567" s="56"/>
      <c r="U567" s="56"/>
      <c r="V567" s="42"/>
      <c r="W567" s="57"/>
      <c r="X567" s="58"/>
      <c r="Y567" s="75"/>
      <c r="Z567" s="59"/>
      <c r="AA567" s="61"/>
      <c r="AB567" s="61"/>
      <c r="AC567" s="61"/>
      <c r="AD567" s="62"/>
      <c r="AE567" s="62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</row>
    <row r="568" spans="1:77" x14ac:dyDescent="0.3">
      <c r="A568" s="39"/>
      <c r="B568" s="42"/>
      <c r="C568" s="42"/>
      <c r="D568" s="75"/>
      <c r="E568" s="75"/>
      <c r="F568" s="76"/>
      <c r="G568" s="47"/>
      <c r="H568" s="47"/>
      <c r="I568" s="75"/>
      <c r="J568" s="76"/>
      <c r="K568" s="76"/>
      <c r="L568" s="75"/>
      <c r="M568" s="49"/>
      <c r="N568" s="76"/>
      <c r="O568" s="49"/>
      <c r="P568" s="77"/>
      <c r="Q568" s="53"/>
      <c r="R568" s="54"/>
      <c r="S568" s="55"/>
      <c r="T568" s="56"/>
      <c r="U568" s="56"/>
      <c r="V568" s="42"/>
      <c r="W568" s="57"/>
      <c r="X568" s="58"/>
      <c r="Y568" s="75"/>
      <c r="Z568" s="59"/>
      <c r="AA568" s="61"/>
      <c r="AB568" s="61"/>
      <c r="AC568" s="61"/>
      <c r="AD568" s="62"/>
      <c r="AE568" s="62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</row>
    <row r="569" spans="1:77" x14ac:dyDescent="0.3">
      <c r="A569" s="39"/>
      <c r="B569" s="42"/>
      <c r="C569" s="42"/>
      <c r="D569" s="75"/>
      <c r="E569" s="75"/>
      <c r="F569" s="76"/>
      <c r="G569" s="47"/>
      <c r="H569" s="47"/>
      <c r="I569" s="75"/>
      <c r="J569" s="76"/>
      <c r="K569" s="76"/>
      <c r="L569" s="75"/>
      <c r="M569" s="49"/>
      <c r="N569" s="76"/>
      <c r="O569" s="49"/>
      <c r="P569" s="77"/>
      <c r="Q569" s="53"/>
      <c r="R569" s="54"/>
      <c r="S569" s="55"/>
      <c r="T569" s="56"/>
      <c r="U569" s="56"/>
      <c r="V569" s="42"/>
      <c r="W569" s="57"/>
      <c r="X569" s="58"/>
      <c r="Y569" s="75"/>
      <c r="Z569" s="59"/>
      <c r="AA569" s="61"/>
      <c r="AB569" s="61"/>
      <c r="AC569" s="61"/>
      <c r="AD569" s="62"/>
      <c r="AE569" s="62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</row>
    <row r="570" spans="1:77" x14ac:dyDescent="0.3">
      <c r="A570" s="39"/>
      <c r="B570" s="42"/>
      <c r="C570" s="42"/>
      <c r="D570" s="75"/>
      <c r="E570" s="75"/>
      <c r="F570" s="76"/>
      <c r="G570" s="47"/>
      <c r="H570" s="47"/>
      <c r="I570" s="75"/>
      <c r="J570" s="76"/>
      <c r="K570" s="76"/>
      <c r="L570" s="75"/>
      <c r="M570" s="49"/>
      <c r="N570" s="76"/>
      <c r="O570" s="49"/>
      <c r="P570" s="77"/>
      <c r="Q570" s="53"/>
      <c r="R570" s="54"/>
      <c r="S570" s="55"/>
      <c r="T570" s="56"/>
      <c r="U570" s="56"/>
      <c r="V570" s="42"/>
      <c r="W570" s="57"/>
      <c r="X570" s="58"/>
      <c r="Y570" s="75"/>
      <c r="Z570" s="59"/>
      <c r="AA570" s="61"/>
      <c r="AB570" s="61"/>
      <c r="AC570" s="61"/>
      <c r="AD570" s="62"/>
      <c r="AE570" s="62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</row>
    <row r="571" spans="1:77" x14ac:dyDescent="0.3">
      <c r="A571" s="39"/>
      <c r="B571" s="42"/>
      <c r="C571" s="42"/>
      <c r="D571" s="75"/>
      <c r="E571" s="75"/>
      <c r="F571" s="76"/>
      <c r="G571" s="47"/>
      <c r="H571" s="47"/>
      <c r="I571" s="75"/>
      <c r="J571" s="76"/>
      <c r="K571" s="76"/>
      <c r="L571" s="75"/>
      <c r="M571" s="49"/>
      <c r="N571" s="76"/>
      <c r="O571" s="49"/>
      <c r="P571" s="77"/>
      <c r="Q571" s="53"/>
      <c r="R571" s="54"/>
      <c r="S571" s="55"/>
      <c r="T571" s="56"/>
      <c r="U571" s="56"/>
      <c r="V571" s="42"/>
      <c r="W571" s="57"/>
      <c r="X571" s="58"/>
      <c r="Y571" s="75"/>
      <c r="Z571" s="59"/>
      <c r="AA571" s="61"/>
      <c r="AB571" s="61"/>
      <c r="AC571" s="61"/>
      <c r="AD571" s="62"/>
      <c r="AE571" s="62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</row>
    <row r="572" spans="1:77" x14ac:dyDescent="0.3">
      <c r="A572" s="39"/>
      <c r="B572" s="42"/>
      <c r="C572" s="42"/>
      <c r="D572" s="75"/>
      <c r="E572" s="75"/>
      <c r="F572" s="76"/>
      <c r="G572" s="47"/>
      <c r="H572" s="47"/>
      <c r="I572" s="75"/>
      <c r="J572" s="76"/>
      <c r="K572" s="76"/>
      <c r="L572" s="75"/>
      <c r="M572" s="49"/>
      <c r="N572" s="76"/>
      <c r="O572" s="49"/>
      <c r="P572" s="77"/>
      <c r="Q572" s="53"/>
      <c r="R572" s="54"/>
      <c r="S572" s="55"/>
      <c r="T572" s="56"/>
      <c r="U572" s="56"/>
      <c r="V572" s="42"/>
      <c r="W572" s="57"/>
      <c r="X572" s="58"/>
      <c r="Y572" s="75"/>
      <c r="Z572" s="59"/>
      <c r="AA572" s="61"/>
      <c r="AB572" s="61"/>
      <c r="AC572" s="61"/>
      <c r="AD572" s="62"/>
      <c r="AE572" s="62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</row>
    <row r="573" spans="1:77" x14ac:dyDescent="0.3">
      <c r="A573" s="39"/>
      <c r="B573" s="42"/>
      <c r="C573" s="42"/>
      <c r="D573" s="75"/>
      <c r="E573" s="75"/>
      <c r="F573" s="76"/>
      <c r="G573" s="47"/>
      <c r="H573" s="47"/>
      <c r="I573" s="75"/>
      <c r="J573" s="76"/>
      <c r="K573" s="76"/>
      <c r="L573" s="75"/>
      <c r="M573" s="49"/>
      <c r="N573" s="76"/>
      <c r="O573" s="49"/>
      <c r="P573" s="77"/>
      <c r="Q573" s="53"/>
      <c r="R573" s="54"/>
      <c r="S573" s="55"/>
      <c r="T573" s="56"/>
      <c r="U573" s="56"/>
      <c r="V573" s="42"/>
      <c r="W573" s="57"/>
      <c r="X573" s="58"/>
      <c r="Y573" s="75"/>
      <c r="Z573" s="59"/>
      <c r="AA573" s="61"/>
      <c r="AB573" s="61"/>
      <c r="AC573" s="61"/>
      <c r="AD573" s="62"/>
      <c r="AE573" s="62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</row>
    <row r="574" spans="1:77" x14ac:dyDescent="0.3">
      <c r="A574" s="39"/>
      <c r="B574" s="42"/>
      <c r="C574" s="42"/>
      <c r="D574" s="75"/>
      <c r="E574" s="75"/>
      <c r="F574" s="76"/>
      <c r="G574" s="47"/>
      <c r="H574" s="47"/>
      <c r="I574" s="75"/>
      <c r="J574" s="76"/>
      <c r="K574" s="76"/>
      <c r="L574" s="75"/>
      <c r="M574" s="49"/>
      <c r="N574" s="76"/>
      <c r="O574" s="49"/>
      <c r="P574" s="77"/>
      <c r="Q574" s="53"/>
      <c r="R574" s="54"/>
      <c r="S574" s="55"/>
      <c r="T574" s="56"/>
      <c r="U574" s="56"/>
      <c r="V574" s="42"/>
      <c r="W574" s="57"/>
      <c r="X574" s="58"/>
      <c r="Y574" s="75"/>
      <c r="Z574" s="59"/>
      <c r="AA574" s="61"/>
      <c r="AB574" s="61"/>
      <c r="AC574" s="61"/>
      <c r="AD574" s="62"/>
      <c r="AE574" s="62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</row>
    <row r="575" spans="1:77" x14ac:dyDescent="0.3">
      <c r="A575" s="39"/>
      <c r="B575" s="42"/>
      <c r="C575" s="42"/>
      <c r="D575" s="75"/>
      <c r="E575" s="75"/>
      <c r="F575" s="76"/>
      <c r="G575" s="47"/>
      <c r="H575" s="47"/>
      <c r="I575" s="75"/>
      <c r="J575" s="76"/>
      <c r="K575" s="76"/>
      <c r="L575" s="75"/>
      <c r="M575" s="49"/>
      <c r="N575" s="76"/>
      <c r="O575" s="49"/>
      <c r="P575" s="77"/>
      <c r="Q575" s="53"/>
      <c r="R575" s="54"/>
      <c r="S575" s="55"/>
      <c r="T575" s="56"/>
      <c r="U575" s="56"/>
      <c r="V575" s="42"/>
      <c r="W575" s="57"/>
      <c r="X575" s="58"/>
      <c r="Y575" s="75"/>
      <c r="Z575" s="59"/>
      <c r="AA575" s="61"/>
      <c r="AB575" s="61"/>
      <c r="AC575" s="61"/>
      <c r="AD575" s="62"/>
      <c r="AE575" s="62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</row>
    <row r="576" spans="1:77" x14ac:dyDescent="0.3">
      <c r="A576" s="39"/>
      <c r="B576" s="42"/>
      <c r="C576" s="42"/>
      <c r="D576" s="75"/>
      <c r="E576" s="75"/>
      <c r="F576" s="76"/>
      <c r="G576" s="47"/>
      <c r="H576" s="47"/>
      <c r="I576" s="75"/>
      <c r="J576" s="76"/>
      <c r="K576" s="76"/>
      <c r="L576" s="75"/>
      <c r="M576" s="49"/>
      <c r="N576" s="76"/>
      <c r="O576" s="49"/>
      <c r="P576" s="77"/>
      <c r="Q576" s="53"/>
      <c r="R576" s="54"/>
      <c r="S576" s="55"/>
      <c r="T576" s="56"/>
      <c r="U576" s="56"/>
      <c r="V576" s="42"/>
      <c r="W576" s="57"/>
      <c r="X576" s="58"/>
      <c r="Y576" s="75"/>
      <c r="Z576" s="59"/>
      <c r="AA576" s="61"/>
      <c r="AB576" s="61"/>
      <c r="AC576" s="61"/>
      <c r="AD576" s="62"/>
      <c r="AE576" s="62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</row>
    <row r="577" spans="1:77" x14ac:dyDescent="0.3">
      <c r="A577" s="39"/>
      <c r="B577" s="42"/>
      <c r="C577" s="42"/>
      <c r="D577" s="75"/>
      <c r="E577" s="75"/>
      <c r="F577" s="76"/>
      <c r="G577" s="47"/>
      <c r="H577" s="47"/>
      <c r="I577" s="75"/>
      <c r="J577" s="76"/>
      <c r="K577" s="76"/>
      <c r="L577" s="75"/>
      <c r="M577" s="49"/>
      <c r="N577" s="76"/>
      <c r="O577" s="49"/>
      <c r="P577" s="77"/>
      <c r="Q577" s="53"/>
      <c r="R577" s="54"/>
      <c r="S577" s="55"/>
      <c r="T577" s="56"/>
      <c r="U577" s="56"/>
      <c r="V577" s="42"/>
      <c r="W577" s="57"/>
      <c r="X577" s="58"/>
      <c r="Y577" s="75"/>
      <c r="Z577" s="59"/>
      <c r="AA577" s="61"/>
      <c r="AB577" s="61"/>
      <c r="AC577" s="61"/>
      <c r="AD577" s="62"/>
      <c r="AE577" s="62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</row>
    <row r="578" spans="1:77" x14ac:dyDescent="0.3">
      <c r="A578" s="39"/>
      <c r="B578" s="42"/>
      <c r="C578" s="42"/>
      <c r="D578" s="75"/>
      <c r="E578" s="75"/>
      <c r="F578" s="76"/>
      <c r="G578" s="47"/>
      <c r="H578" s="47"/>
      <c r="I578" s="75"/>
      <c r="J578" s="76"/>
      <c r="K578" s="76"/>
      <c r="L578" s="75"/>
      <c r="M578" s="49"/>
      <c r="N578" s="76"/>
      <c r="O578" s="49"/>
      <c r="P578" s="77"/>
      <c r="Q578" s="53"/>
      <c r="R578" s="54"/>
      <c r="S578" s="55"/>
      <c r="T578" s="56"/>
      <c r="U578" s="56"/>
      <c r="V578" s="42"/>
      <c r="W578" s="57"/>
      <c r="X578" s="58"/>
      <c r="Y578" s="75"/>
      <c r="Z578" s="59"/>
      <c r="AA578" s="61"/>
      <c r="AB578" s="61"/>
      <c r="AC578" s="61"/>
      <c r="AD578" s="62"/>
      <c r="AE578" s="62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</row>
    <row r="579" spans="1:77" x14ac:dyDescent="0.3">
      <c r="A579" s="39"/>
      <c r="B579" s="42"/>
      <c r="C579" s="42"/>
      <c r="D579" s="75"/>
      <c r="E579" s="75"/>
      <c r="F579" s="76"/>
      <c r="G579" s="47"/>
      <c r="H579" s="47"/>
      <c r="I579" s="75"/>
      <c r="J579" s="76"/>
      <c r="K579" s="76"/>
      <c r="L579" s="75"/>
      <c r="M579" s="49"/>
      <c r="N579" s="76"/>
      <c r="O579" s="49"/>
      <c r="P579" s="77"/>
      <c r="Q579" s="53"/>
      <c r="R579" s="54"/>
      <c r="S579" s="55"/>
      <c r="T579" s="56"/>
      <c r="U579" s="56"/>
      <c r="V579" s="42"/>
      <c r="W579" s="57"/>
      <c r="X579" s="58"/>
      <c r="Y579" s="75"/>
      <c r="Z579" s="59"/>
      <c r="AA579" s="61"/>
      <c r="AB579" s="61"/>
      <c r="AC579" s="61"/>
      <c r="AD579" s="62"/>
      <c r="AE579" s="62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</row>
    <row r="580" spans="1:77" x14ac:dyDescent="0.3">
      <c r="A580" s="39"/>
      <c r="B580" s="42"/>
      <c r="C580" s="42"/>
      <c r="D580" s="75"/>
      <c r="E580" s="75"/>
      <c r="F580" s="76"/>
      <c r="G580" s="47"/>
      <c r="H580" s="47"/>
      <c r="I580" s="75"/>
      <c r="J580" s="76"/>
      <c r="K580" s="76"/>
      <c r="L580" s="75"/>
      <c r="M580" s="49"/>
      <c r="N580" s="76"/>
      <c r="O580" s="49"/>
      <c r="P580" s="77"/>
      <c r="Q580" s="53"/>
      <c r="R580" s="54"/>
      <c r="S580" s="55"/>
      <c r="T580" s="56"/>
      <c r="U580" s="56"/>
      <c r="V580" s="42"/>
      <c r="W580" s="57"/>
      <c r="X580" s="58"/>
      <c r="Y580" s="75"/>
      <c r="Z580" s="59"/>
      <c r="AA580" s="61"/>
      <c r="AB580" s="61"/>
      <c r="AC580" s="61"/>
      <c r="AD580" s="62"/>
      <c r="AE580" s="62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</row>
    <row r="581" spans="1:77" x14ac:dyDescent="0.3">
      <c r="A581" s="39"/>
      <c r="B581" s="42"/>
      <c r="C581" s="42"/>
      <c r="D581" s="75"/>
      <c r="E581" s="75"/>
      <c r="F581" s="76"/>
      <c r="G581" s="47"/>
      <c r="H581" s="47"/>
      <c r="I581" s="75"/>
      <c r="J581" s="76"/>
      <c r="K581" s="76"/>
      <c r="L581" s="75"/>
      <c r="M581" s="49"/>
      <c r="N581" s="76"/>
      <c r="O581" s="49"/>
      <c r="P581" s="77"/>
      <c r="Q581" s="53"/>
      <c r="R581" s="54"/>
      <c r="S581" s="55"/>
      <c r="T581" s="56"/>
      <c r="U581" s="56"/>
      <c r="V581" s="42"/>
      <c r="W581" s="57"/>
      <c r="X581" s="58"/>
      <c r="Y581" s="75"/>
      <c r="Z581" s="59"/>
      <c r="AA581" s="61"/>
      <c r="AB581" s="61"/>
      <c r="AC581" s="61"/>
      <c r="AD581" s="62"/>
      <c r="AE581" s="62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</row>
    <row r="582" spans="1:77" x14ac:dyDescent="0.3">
      <c r="A582" s="39"/>
      <c r="B582" s="42"/>
      <c r="C582" s="42"/>
      <c r="D582" s="75"/>
      <c r="E582" s="75"/>
      <c r="F582" s="76"/>
      <c r="G582" s="47"/>
      <c r="H582" s="47"/>
      <c r="I582" s="75"/>
      <c r="J582" s="76"/>
      <c r="K582" s="76"/>
      <c r="L582" s="75"/>
      <c r="M582" s="49"/>
      <c r="N582" s="76"/>
      <c r="O582" s="49"/>
      <c r="P582" s="77"/>
      <c r="Q582" s="53"/>
      <c r="R582" s="54"/>
      <c r="S582" s="55"/>
      <c r="T582" s="56"/>
      <c r="U582" s="56"/>
      <c r="V582" s="42"/>
      <c r="W582" s="57"/>
      <c r="X582" s="58"/>
      <c r="Y582" s="75"/>
      <c r="Z582" s="59"/>
      <c r="AA582" s="61"/>
      <c r="AB582" s="61"/>
      <c r="AC582" s="61"/>
      <c r="AD582" s="62"/>
      <c r="AE582" s="62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</row>
    <row r="583" spans="1:77" x14ac:dyDescent="0.3">
      <c r="A583" s="39"/>
      <c r="B583" s="42"/>
      <c r="C583" s="42"/>
      <c r="D583" s="75"/>
      <c r="E583" s="75"/>
      <c r="F583" s="76"/>
      <c r="G583" s="47"/>
      <c r="H583" s="47"/>
      <c r="I583" s="75"/>
      <c r="J583" s="76"/>
      <c r="K583" s="76"/>
      <c r="L583" s="75"/>
      <c r="M583" s="49"/>
      <c r="N583" s="76"/>
      <c r="O583" s="49"/>
      <c r="P583" s="77"/>
      <c r="Q583" s="53"/>
      <c r="R583" s="54"/>
      <c r="S583" s="55"/>
      <c r="T583" s="56"/>
      <c r="U583" s="56"/>
      <c r="V583" s="42"/>
      <c r="W583" s="57"/>
      <c r="X583" s="58"/>
      <c r="Y583" s="75"/>
      <c r="Z583" s="59"/>
      <c r="AA583" s="61"/>
      <c r="AB583" s="61"/>
      <c r="AC583" s="61"/>
      <c r="AD583" s="62"/>
      <c r="AE583" s="62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</row>
    <row r="584" spans="1:77" x14ac:dyDescent="0.3">
      <c r="A584" s="39"/>
      <c r="B584" s="42"/>
      <c r="C584" s="42"/>
      <c r="D584" s="75"/>
      <c r="E584" s="75"/>
      <c r="F584" s="76"/>
      <c r="G584" s="47"/>
      <c r="H584" s="47"/>
      <c r="I584" s="75"/>
      <c r="J584" s="76"/>
      <c r="K584" s="76"/>
      <c r="L584" s="75"/>
      <c r="M584" s="49"/>
      <c r="N584" s="76"/>
      <c r="O584" s="49"/>
      <c r="P584" s="77"/>
      <c r="Q584" s="53"/>
      <c r="R584" s="54"/>
      <c r="S584" s="55"/>
      <c r="T584" s="56"/>
      <c r="U584" s="56"/>
      <c r="V584" s="42"/>
      <c r="W584" s="57"/>
      <c r="X584" s="58"/>
      <c r="Y584" s="75"/>
      <c r="Z584" s="59"/>
      <c r="AA584" s="61"/>
      <c r="AB584" s="61"/>
      <c r="AC584" s="61"/>
      <c r="AD584" s="62"/>
      <c r="AE584" s="62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</row>
    <row r="585" spans="1:77" x14ac:dyDescent="0.3">
      <c r="A585" s="39"/>
      <c r="B585" s="42"/>
      <c r="C585" s="42"/>
      <c r="D585" s="75"/>
      <c r="E585" s="75"/>
      <c r="F585" s="76"/>
      <c r="G585" s="47"/>
      <c r="H585" s="47"/>
      <c r="I585" s="75"/>
      <c r="J585" s="76"/>
      <c r="K585" s="76"/>
      <c r="L585" s="75"/>
      <c r="M585" s="49"/>
      <c r="N585" s="76"/>
      <c r="O585" s="49"/>
      <c r="P585" s="77"/>
      <c r="Q585" s="53"/>
      <c r="R585" s="54"/>
      <c r="S585" s="55"/>
      <c r="T585" s="56"/>
      <c r="U585" s="56"/>
      <c r="V585" s="42"/>
      <c r="W585" s="57"/>
      <c r="X585" s="58"/>
      <c r="Y585" s="75"/>
      <c r="Z585" s="59"/>
      <c r="AA585" s="61"/>
      <c r="AB585" s="61"/>
      <c r="AC585" s="61"/>
      <c r="AD585" s="62"/>
      <c r="AE585" s="62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</row>
    <row r="586" spans="1:77" x14ac:dyDescent="0.3">
      <c r="A586" s="39"/>
      <c r="B586" s="42"/>
      <c r="C586" s="42"/>
      <c r="D586" s="75"/>
      <c r="E586" s="75"/>
      <c r="F586" s="76"/>
      <c r="G586" s="47"/>
      <c r="H586" s="47"/>
      <c r="I586" s="75"/>
      <c r="J586" s="76"/>
      <c r="K586" s="76"/>
      <c r="L586" s="75"/>
      <c r="M586" s="49"/>
      <c r="N586" s="76"/>
      <c r="O586" s="49"/>
      <c r="P586" s="77"/>
      <c r="Q586" s="53"/>
      <c r="R586" s="54"/>
      <c r="S586" s="55"/>
      <c r="T586" s="56"/>
      <c r="U586" s="56"/>
      <c r="V586" s="42"/>
      <c r="W586" s="57"/>
      <c r="X586" s="58"/>
      <c r="Y586" s="75"/>
      <c r="Z586" s="59"/>
      <c r="AA586" s="61"/>
      <c r="AB586" s="61"/>
      <c r="AC586" s="61"/>
      <c r="AD586" s="62"/>
      <c r="AE586" s="62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</row>
    <row r="587" spans="1:77" x14ac:dyDescent="0.3">
      <c r="A587" s="39"/>
      <c r="B587" s="42"/>
      <c r="C587" s="42"/>
      <c r="D587" s="75"/>
      <c r="E587" s="75"/>
      <c r="F587" s="76"/>
      <c r="G587" s="47"/>
      <c r="H587" s="47"/>
      <c r="I587" s="75"/>
      <c r="J587" s="76"/>
      <c r="K587" s="76"/>
      <c r="L587" s="75"/>
      <c r="M587" s="49"/>
      <c r="N587" s="76"/>
      <c r="O587" s="49"/>
      <c r="P587" s="77"/>
      <c r="Q587" s="53"/>
      <c r="R587" s="54"/>
      <c r="S587" s="55"/>
      <c r="T587" s="56"/>
      <c r="U587" s="56"/>
      <c r="V587" s="42"/>
      <c r="W587" s="57"/>
      <c r="X587" s="58"/>
      <c r="Y587" s="75"/>
      <c r="Z587" s="59"/>
      <c r="AA587" s="61"/>
      <c r="AB587" s="61"/>
      <c r="AC587" s="61"/>
      <c r="AD587" s="62"/>
      <c r="AE587" s="62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</row>
    <row r="588" spans="1:77" x14ac:dyDescent="0.3">
      <c r="A588" s="39"/>
      <c r="B588" s="42"/>
      <c r="C588" s="42"/>
      <c r="D588" s="75"/>
      <c r="E588" s="75"/>
      <c r="F588" s="76"/>
      <c r="G588" s="47"/>
      <c r="H588" s="47"/>
      <c r="I588" s="75"/>
      <c r="J588" s="76"/>
      <c r="K588" s="76"/>
      <c r="L588" s="75"/>
      <c r="M588" s="49"/>
      <c r="N588" s="76"/>
      <c r="O588" s="49"/>
      <c r="P588" s="77"/>
      <c r="Q588" s="53"/>
      <c r="R588" s="54"/>
      <c r="S588" s="55"/>
      <c r="T588" s="56"/>
      <c r="U588" s="56"/>
      <c r="V588" s="42"/>
      <c r="W588" s="57"/>
      <c r="X588" s="58"/>
      <c r="Y588" s="75"/>
      <c r="Z588" s="59"/>
      <c r="AA588" s="61"/>
      <c r="AB588" s="61"/>
      <c r="AC588" s="61"/>
      <c r="AD588" s="62"/>
      <c r="AE588" s="62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</row>
    <row r="589" spans="1:77" x14ac:dyDescent="0.3">
      <c r="A589" s="39"/>
      <c r="B589" s="42"/>
      <c r="C589" s="42"/>
      <c r="D589" s="75"/>
      <c r="E589" s="75"/>
      <c r="F589" s="76"/>
      <c r="G589" s="47"/>
      <c r="H589" s="47"/>
      <c r="I589" s="75"/>
      <c r="J589" s="76"/>
      <c r="K589" s="76"/>
      <c r="L589" s="75"/>
      <c r="M589" s="49"/>
      <c r="N589" s="76"/>
      <c r="O589" s="49"/>
      <c r="P589" s="77"/>
      <c r="Q589" s="53"/>
      <c r="R589" s="54"/>
      <c r="S589" s="55"/>
      <c r="T589" s="56"/>
      <c r="U589" s="56"/>
      <c r="V589" s="42"/>
      <c r="W589" s="57"/>
      <c r="X589" s="58"/>
      <c r="Y589" s="75"/>
      <c r="Z589" s="59"/>
      <c r="AA589" s="61"/>
      <c r="AB589" s="61"/>
      <c r="AC589" s="61"/>
      <c r="AD589" s="62"/>
      <c r="AE589" s="62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</row>
    <row r="590" spans="1:77" x14ac:dyDescent="0.3">
      <c r="A590" s="39"/>
      <c r="B590" s="42"/>
      <c r="C590" s="42"/>
      <c r="D590" s="75"/>
      <c r="E590" s="75"/>
      <c r="F590" s="76"/>
      <c r="G590" s="47"/>
      <c r="H590" s="47"/>
      <c r="I590" s="75"/>
      <c r="J590" s="76"/>
      <c r="K590" s="76"/>
      <c r="L590" s="75"/>
      <c r="M590" s="49"/>
      <c r="N590" s="76"/>
      <c r="O590" s="49"/>
      <c r="P590" s="77"/>
      <c r="Q590" s="53"/>
      <c r="R590" s="54"/>
      <c r="S590" s="55"/>
      <c r="T590" s="56"/>
      <c r="U590" s="56"/>
      <c r="V590" s="42"/>
      <c r="W590" s="57"/>
      <c r="X590" s="58"/>
      <c r="Y590" s="75"/>
      <c r="Z590" s="59"/>
      <c r="AA590" s="61"/>
      <c r="AB590" s="61"/>
      <c r="AC590" s="61"/>
      <c r="AD590" s="62"/>
      <c r="AE590" s="62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</row>
    <row r="591" spans="1:77" x14ac:dyDescent="0.3">
      <c r="A591" s="39"/>
      <c r="B591" s="42"/>
      <c r="C591" s="42"/>
      <c r="D591" s="75"/>
      <c r="E591" s="75"/>
      <c r="F591" s="76"/>
      <c r="G591" s="47"/>
      <c r="H591" s="47"/>
      <c r="I591" s="75"/>
      <c r="J591" s="76"/>
      <c r="K591" s="76"/>
      <c r="L591" s="75"/>
      <c r="M591" s="49"/>
      <c r="N591" s="76"/>
      <c r="O591" s="49"/>
      <c r="P591" s="77"/>
      <c r="Q591" s="53"/>
      <c r="R591" s="54"/>
      <c r="S591" s="55"/>
      <c r="T591" s="56"/>
      <c r="U591" s="56"/>
      <c r="V591" s="42"/>
      <c r="W591" s="57"/>
      <c r="X591" s="58"/>
      <c r="Y591" s="75"/>
      <c r="Z591" s="59"/>
      <c r="AA591" s="61"/>
      <c r="AB591" s="61"/>
      <c r="AC591" s="61"/>
      <c r="AD591" s="62"/>
      <c r="AE591" s="62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</row>
    <row r="592" spans="1:77" x14ac:dyDescent="0.3">
      <c r="A592" s="39"/>
      <c r="B592" s="42"/>
      <c r="C592" s="42"/>
      <c r="D592" s="75"/>
      <c r="E592" s="75"/>
      <c r="F592" s="76"/>
      <c r="G592" s="47"/>
      <c r="H592" s="47"/>
      <c r="I592" s="75"/>
      <c r="J592" s="76"/>
      <c r="K592" s="76"/>
      <c r="L592" s="75"/>
      <c r="M592" s="49"/>
      <c r="N592" s="76"/>
      <c r="O592" s="49"/>
      <c r="P592" s="77"/>
      <c r="Q592" s="53"/>
      <c r="R592" s="54"/>
      <c r="S592" s="55"/>
      <c r="T592" s="56"/>
      <c r="U592" s="56"/>
      <c r="V592" s="42"/>
      <c r="W592" s="57"/>
      <c r="X592" s="58"/>
      <c r="Y592" s="75"/>
      <c r="Z592" s="59"/>
      <c r="AA592" s="61"/>
      <c r="AB592" s="61"/>
      <c r="AC592" s="61"/>
      <c r="AD592" s="62"/>
      <c r="AE592" s="62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</row>
    <row r="593" spans="1:77" x14ac:dyDescent="0.3">
      <c r="A593" s="39"/>
      <c r="B593" s="42"/>
      <c r="C593" s="42"/>
      <c r="D593" s="75"/>
      <c r="E593" s="75"/>
      <c r="F593" s="76"/>
      <c r="G593" s="47"/>
      <c r="H593" s="47"/>
      <c r="I593" s="75"/>
      <c r="J593" s="76"/>
      <c r="K593" s="76"/>
      <c r="L593" s="75"/>
      <c r="M593" s="49"/>
      <c r="N593" s="76"/>
      <c r="O593" s="49"/>
      <c r="P593" s="77"/>
      <c r="Q593" s="53"/>
      <c r="R593" s="54"/>
      <c r="S593" s="55"/>
      <c r="T593" s="56"/>
      <c r="U593" s="56"/>
      <c r="V593" s="42"/>
      <c r="W593" s="57"/>
      <c r="X593" s="58"/>
      <c r="Y593" s="75"/>
      <c r="Z593" s="59"/>
      <c r="AA593" s="61"/>
      <c r="AB593" s="61"/>
      <c r="AC593" s="61"/>
      <c r="AD593" s="62"/>
      <c r="AE593" s="62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</row>
    <row r="594" spans="1:77" x14ac:dyDescent="0.3">
      <c r="A594" s="39"/>
      <c r="B594" s="42"/>
      <c r="C594" s="42"/>
      <c r="D594" s="75"/>
      <c r="E594" s="75"/>
      <c r="F594" s="76"/>
      <c r="G594" s="47"/>
      <c r="H594" s="47"/>
      <c r="I594" s="75"/>
      <c r="J594" s="76"/>
      <c r="K594" s="76"/>
      <c r="L594" s="75"/>
      <c r="M594" s="49"/>
      <c r="N594" s="76"/>
      <c r="O594" s="49"/>
      <c r="P594" s="77"/>
      <c r="Q594" s="53"/>
      <c r="R594" s="54"/>
      <c r="S594" s="55"/>
      <c r="T594" s="56"/>
      <c r="U594" s="56"/>
      <c r="V594" s="42"/>
      <c r="W594" s="57"/>
      <c r="X594" s="58"/>
      <c r="Y594" s="75"/>
      <c r="Z594" s="59"/>
      <c r="AA594" s="61"/>
      <c r="AB594" s="61"/>
      <c r="AC594" s="61"/>
      <c r="AD594" s="62"/>
      <c r="AE594" s="62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</row>
    <row r="595" spans="1:77" x14ac:dyDescent="0.3">
      <c r="A595" s="39"/>
      <c r="B595" s="42"/>
      <c r="C595" s="42"/>
      <c r="D595" s="75"/>
      <c r="E595" s="75"/>
      <c r="F595" s="76"/>
      <c r="G595" s="47"/>
      <c r="H595" s="47"/>
      <c r="I595" s="75"/>
      <c r="J595" s="76"/>
      <c r="K595" s="76"/>
      <c r="L595" s="75"/>
      <c r="M595" s="49"/>
      <c r="N595" s="76"/>
      <c r="O595" s="49"/>
      <c r="P595" s="77"/>
      <c r="Q595" s="53"/>
      <c r="R595" s="54"/>
      <c r="S595" s="55"/>
      <c r="T595" s="56"/>
      <c r="U595" s="56"/>
      <c r="V595" s="42"/>
      <c r="W595" s="57"/>
      <c r="X595" s="58"/>
      <c r="Y595" s="75"/>
      <c r="Z595" s="59"/>
      <c r="AA595" s="61"/>
      <c r="AB595" s="61"/>
      <c r="AC595" s="61"/>
      <c r="AD595" s="62"/>
      <c r="AE595" s="62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</row>
    <row r="596" spans="1:77" x14ac:dyDescent="0.3">
      <c r="A596" s="39"/>
      <c r="B596" s="42"/>
      <c r="C596" s="42"/>
      <c r="D596" s="75"/>
      <c r="E596" s="75"/>
      <c r="F596" s="76"/>
      <c r="G596" s="47"/>
      <c r="H596" s="47"/>
      <c r="I596" s="75"/>
      <c r="J596" s="76"/>
      <c r="K596" s="76"/>
      <c r="L596" s="75"/>
      <c r="M596" s="49"/>
      <c r="N596" s="76"/>
      <c r="O596" s="49"/>
      <c r="P596" s="77"/>
      <c r="Q596" s="53"/>
      <c r="R596" s="54"/>
      <c r="S596" s="55"/>
      <c r="T596" s="56"/>
      <c r="U596" s="56"/>
      <c r="V596" s="42"/>
      <c r="W596" s="57"/>
      <c r="X596" s="58"/>
      <c r="Y596" s="75"/>
      <c r="Z596" s="59"/>
      <c r="AA596" s="61"/>
      <c r="AB596" s="61"/>
      <c r="AC596" s="61"/>
      <c r="AD596" s="62"/>
      <c r="AE596" s="62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</row>
    <row r="597" spans="1:77" x14ac:dyDescent="0.3">
      <c r="A597" s="39"/>
      <c r="B597" s="42"/>
      <c r="C597" s="42"/>
      <c r="D597" s="75"/>
      <c r="E597" s="75"/>
      <c r="F597" s="76"/>
      <c r="G597" s="47"/>
      <c r="H597" s="47"/>
      <c r="I597" s="75"/>
      <c r="J597" s="76"/>
      <c r="K597" s="76"/>
      <c r="L597" s="75"/>
      <c r="M597" s="49"/>
      <c r="N597" s="76"/>
      <c r="O597" s="49"/>
      <c r="P597" s="77"/>
      <c r="Q597" s="53"/>
      <c r="R597" s="54"/>
      <c r="S597" s="55"/>
      <c r="T597" s="56"/>
      <c r="U597" s="56"/>
      <c r="V597" s="42"/>
      <c r="W597" s="57"/>
      <c r="X597" s="58"/>
      <c r="Y597" s="75"/>
      <c r="Z597" s="59"/>
      <c r="AA597" s="61"/>
      <c r="AB597" s="61"/>
      <c r="AC597" s="61"/>
      <c r="AD597" s="62"/>
      <c r="AE597" s="62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</row>
    <row r="598" spans="1:77" x14ac:dyDescent="0.3">
      <c r="A598" s="39"/>
      <c r="B598" s="42"/>
      <c r="C598" s="42"/>
      <c r="D598" s="75"/>
      <c r="E598" s="75"/>
      <c r="F598" s="76"/>
      <c r="G598" s="47"/>
      <c r="H598" s="47"/>
      <c r="I598" s="75"/>
      <c r="J598" s="76"/>
      <c r="K598" s="76"/>
      <c r="L598" s="75"/>
      <c r="M598" s="49"/>
      <c r="N598" s="76"/>
      <c r="O598" s="49"/>
      <c r="P598" s="77"/>
      <c r="Q598" s="53"/>
      <c r="R598" s="54"/>
      <c r="S598" s="55"/>
      <c r="T598" s="56"/>
      <c r="U598" s="56"/>
      <c r="V598" s="42"/>
      <c r="W598" s="57"/>
      <c r="X598" s="58"/>
      <c r="Y598" s="75"/>
      <c r="Z598" s="59"/>
      <c r="AA598" s="61"/>
      <c r="AB598" s="61"/>
      <c r="AC598" s="61"/>
      <c r="AD598" s="62"/>
      <c r="AE598" s="62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</row>
    <row r="599" spans="1:77" x14ac:dyDescent="0.3">
      <c r="A599" s="39"/>
      <c r="B599" s="42"/>
      <c r="C599" s="42"/>
      <c r="D599" s="75"/>
      <c r="E599" s="75"/>
      <c r="F599" s="76"/>
      <c r="G599" s="47"/>
      <c r="H599" s="47"/>
      <c r="I599" s="75"/>
      <c r="J599" s="76"/>
      <c r="K599" s="76"/>
      <c r="L599" s="75"/>
      <c r="M599" s="49"/>
      <c r="N599" s="76"/>
      <c r="O599" s="49"/>
      <c r="P599" s="77"/>
      <c r="Q599" s="53"/>
      <c r="R599" s="54"/>
      <c r="S599" s="55"/>
      <c r="T599" s="56"/>
      <c r="U599" s="56"/>
      <c r="V599" s="42"/>
      <c r="W599" s="57"/>
      <c r="X599" s="58"/>
      <c r="Y599" s="75"/>
      <c r="Z599" s="59"/>
      <c r="AA599" s="61"/>
      <c r="AB599" s="61"/>
      <c r="AC599" s="61"/>
      <c r="AD599" s="62"/>
      <c r="AE599" s="62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</row>
    <row r="600" spans="1:77" x14ac:dyDescent="0.3">
      <c r="A600" s="39"/>
      <c r="B600" s="42"/>
      <c r="C600" s="42"/>
      <c r="D600" s="75"/>
      <c r="E600" s="75"/>
      <c r="F600" s="76"/>
      <c r="G600" s="47"/>
      <c r="H600" s="47"/>
      <c r="I600" s="75"/>
      <c r="J600" s="76"/>
      <c r="K600" s="76"/>
      <c r="L600" s="75"/>
      <c r="M600" s="49"/>
      <c r="N600" s="76"/>
      <c r="O600" s="49"/>
      <c r="P600" s="77"/>
      <c r="Q600" s="53"/>
      <c r="R600" s="54"/>
      <c r="S600" s="55"/>
      <c r="T600" s="56"/>
      <c r="U600" s="56"/>
      <c r="V600" s="42"/>
      <c r="W600" s="57"/>
      <c r="X600" s="58"/>
      <c r="Y600" s="75"/>
      <c r="Z600" s="59"/>
      <c r="AA600" s="61"/>
      <c r="AB600" s="61"/>
      <c r="AC600" s="61"/>
      <c r="AD600" s="62"/>
      <c r="AE600" s="62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</row>
    <row r="601" spans="1:77" x14ac:dyDescent="0.3">
      <c r="A601" s="39"/>
      <c r="B601" s="42"/>
      <c r="C601" s="42"/>
      <c r="D601" s="75"/>
      <c r="E601" s="75"/>
      <c r="F601" s="76"/>
      <c r="G601" s="47"/>
      <c r="H601" s="47"/>
      <c r="I601" s="75"/>
      <c r="J601" s="76"/>
      <c r="K601" s="76"/>
      <c r="L601" s="75"/>
      <c r="M601" s="49"/>
      <c r="N601" s="76"/>
      <c r="O601" s="49"/>
      <c r="P601" s="77"/>
      <c r="Q601" s="53"/>
      <c r="R601" s="54"/>
      <c r="S601" s="55"/>
      <c r="T601" s="56"/>
      <c r="U601" s="56"/>
      <c r="V601" s="42"/>
      <c r="W601" s="57"/>
      <c r="X601" s="58"/>
      <c r="Y601" s="75"/>
      <c r="Z601" s="59"/>
      <c r="AA601" s="61"/>
      <c r="AB601" s="61"/>
      <c r="AC601" s="61"/>
      <c r="AD601" s="62"/>
      <c r="AE601" s="62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</row>
    <row r="602" spans="1:77" x14ac:dyDescent="0.3">
      <c r="A602" s="39"/>
      <c r="B602" s="42"/>
      <c r="C602" s="42"/>
      <c r="D602" s="75"/>
      <c r="E602" s="75"/>
      <c r="F602" s="76"/>
      <c r="G602" s="47"/>
      <c r="H602" s="47"/>
      <c r="I602" s="75"/>
      <c r="J602" s="76"/>
      <c r="K602" s="76"/>
      <c r="L602" s="75"/>
      <c r="M602" s="49"/>
      <c r="N602" s="76"/>
      <c r="O602" s="49"/>
      <c r="P602" s="77"/>
      <c r="Q602" s="53"/>
      <c r="R602" s="54"/>
      <c r="S602" s="55"/>
      <c r="T602" s="56"/>
      <c r="U602" s="56"/>
      <c r="V602" s="42"/>
      <c r="W602" s="57"/>
      <c r="X602" s="58"/>
      <c r="Y602" s="75"/>
      <c r="Z602" s="59"/>
      <c r="AA602" s="61"/>
      <c r="AB602" s="61"/>
      <c r="AC602" s="61"/>
      <c r="AD602" s="62"/>
      <c r="AE602" s="62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</row>
    <row r="603" spans="1:77" x14ac:dyDescent="0.3">
      <c r="A603" s="39"/>
      <c r="B603" s="42"/>
      <c r="C603" s="42"/>
      <c r="D603" s="75"/>
      <c r="E603" s="75"/>
      <c r="F603" s="76"/>
      <c r="G603" s="47"/>
      <c r="H603" s="47"/>
      <c r="I603" s="75"/>
      <c r="J603" s="76"/>
      <c r="K603" s="76"/>
      <c r="L603" s="75"/>
      <c r="M603" s="49"/>
      <c r="N603" s="76"/>
      <c r="O603" s="49"/>
      <c r="P603" s="77"/>
      <c r="Q603" s="53"/>
      <c r="R603" s="54"/>
      <c r="S603" s="55"/>
      <c r="T603" s="56"/>
      <c r="U603" s="56"/>
      <c r="V603" s="42"/>
      <c r="W603" s="57"/>
      <c r="X603" s="58"/>
      <c r="Y603" s="75"/>
      <c r="Z603" s="59"/>
      <c r="AA603" s="61"/>
      <c r="AB603" s="61"/>
      <c r="AC603" s="61"/>
      <c r="AD603" s="62"/>
      <c r="AE603" s="62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</row>
    <row r="604" spans="1:77" x14ac:dyDescent="0.3">
      <c r="A604" s="39"/>
      <c r="B604" s="42"/>
      <c r="C604" s="42"/>
      <c r="D604" s="75"/>
      <c r="E604" s="75"/>
      <c r="F604" s="76"/>
      <c r="G604" s="47"/>
      <c r="H604" s="47"/>
      <c r="I604" s="75"/>
      <c r="J604" s="76"/>
      <c r="K604" s="76"/>
      <c r="L604" s="75"/>
      <c r="M604" s="49"/>
      <c r="N604" s="76"/>
      <c r="O604" s="49"/>
      <c r="P604" s="77"/>
      <c r="Q604" s="53"/>
      <c r="R604" s="54"/>
      <c r="S604" s="55"/>
      <c r="T604" s="56"/>
      <c r="U604" s="56"/>
      <c r="V604" s="42"/>
      <c r="W604" s="57"/>
      <c r="X604" s="58"/>
      <c r="Y604" s="75"/>
      <c r="Z604" s="59"/>
      <c r="AA604" s="61"/>
      <c r="AB604" s="61"/>
      <c r="AC604" s="61"/>
      <c r="AD604" s="62"/>
      <c r="AE604" s="62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</row>
    <row r="605" spans="1:77" x14ac:dyDescent="0.3">
      <c r="A605" s="39"/>
      <c r="B605" s="42"/>
      <c r="C605" s="42"/>
      <c r="D605" s="75"/>
      <c r="E605" s="75"/>
      <c r="F605" s="76"/>
      <c r="G605" s="47"/>
      <c r="H605" s="47"/>
      <c r="I605" s="75"/>
      <c r="J605" s="76"/>
      <c r="K605" s="76"/>
      <c r="L605" s="75"/>
      <c r="M605" s="49"/>
      <c r="N605" s="76"/>
      <c r="O605" s="49"/>
      <c r="P605" s="77"/>
      <c r="Q605" s="53"/>
      <c r="R605" s="54"/>
      <c r="S605" s="55"/>
      <c r="T605" s="56"/>
      <c r="U605" s="56"/>
      <c r="V605" s="42"/>
      <c r="W605" s="57"/>
      <c r="X605" s="58"/>
      <c r="Y605" s="75"/>
      <c r="Z605" s="59"/>
      <c r="AA605" s="61"/>
      <c r="AB605" s="61"/>
      <c r="AC605" s="61"/>
      <c r="AD605" s="62"/>
      <c r="AE605" s="62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</row>
    <row r="606" spans="1:77" x14ac:dyDescent="0.3">
      <c r="A606" s="39"/>
      <c r="B606" s="42"/>
      <c r="C606" s="42"/>
      <c r="D606" s="75"/>
      <c r="E606" s="75"/>
      <c r="F606" s="76"/>
      <c r="G606" s="47"/>
      <c r="H606" s="47"/>
      <c r="I606" s="75"/>
      <c r="J606" s="76"/>
      <c r="K606" s="76"/>
      <c r="L606" s="75"/>
      <c r="M606" s="49"/>
      <c r="N606" s="76"/>
      <c r="O606" s="49"/>
      <c r="P606" s="77"/>
      <c r="Q606" s="53"/>
      <c r="R606" s="54"/>
      <c r="S606" s="55"/>
      <c r="T606" s="56"/>
      <c r="U606" s="56"/>
      <c r="V606" s="42"/>
      <c r="W606" s="57"/>
      <c r="X606" s="58"/>
      <c r="Y606" s="75"/>
      <c r="Z606" s="59"/>
      <c r="AA606" s="61"/>
      <c r="AB606" s="61"/>
      <c r="AC606" s="61"/>
      <c r="AD606" s="62"/>
      <c r="AE606" s="62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</row>
    <row r="607" spans="1:77" x14ac:dyDescent="0.3">
      <c r="A607" s="39"/>
      <c r="B607" s="42"/>
      <c r="C607" s="42"/>
      <c r="D607" s="75"/>
      <c r="E607" s="75"/>
      <c r="F607" s="76"/>
      <c r="G607" s="47"/>
      <c r="H607" s="47"/>
      <c r="I607" s="75"/>
      <c r="J607" s="76"/>
      <c r="K607" s="76"/>
      <c r="L607" s="75"/>
      <c r="M607" s="49"/>
      <c r="N607" s="76"/>
      <c r="O607" s="49"/>
      <c r="P607" s="77"/>
      <c r="Q607" s="53"/>
      <c r="R607" s="54"/>
      <c r="S607" s="55"/>
      <c r="T607" s="56"/>
      <c r="U607" s="56"/>
      <c r="V607" s="42"/>
      <c r="W607" s="57"/>
      <c r="X607" s="58"/>
      <c r="Y607" s="75"/>
      <c r="Z607" s="59"/>
      <c r="AA607" s="61"/>
      <c r="AB607" s="61"/>
      <c r="AC607" s="61"/>
      <c r="AD607" s="62"/>
      <c r="AE607" s="62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</row>
    <row r="608" spans="1:77" x14ac:dyDescent="0.3">
      <c r="A608" s="39"/>
      <c r="B608" s="42"/>
      <c r="C608" s="42"/>
      <c r="D608" s="75"/>
      <c r="E608" s="75"/>
      <c r="F608" s="76"/>
      <c r="G608" s="47"/>
      <c r="H608" s="47"/>
      <c r="I608" s="75"/>
      <c r="J608" s="76"/>
      <c r="K608" s="76"/>
      <c r="L608" s="75"/>
      <c r="M608" s="49"/>
      <c r="N608" s="76"/>
      <c r="O608" s="49"/>
      <c r="P608" s="77"/>
      <c r="Q608" s="53"/>
      <c r="R608" s="54"/>
      <c r="S608" s="55"/>
      <c r="T608" s="56"/>
      <c r="U608" s="56"/>
      <c r="V608" s="42"/>
      <c r="W608" s="57"/>
      <c r="X608" s="58"/>
      <c r="Y608" s="75"/>
      <c r="Z608" s="59"/>
      <c r="AA608" s="61"/>
      <c r="AB608" s="61"/>
      <c r="AC608" s="61"/>
      <c r="AD608" s="62"/>
      <c r="AE608" s="62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</row>
    <row r="609" spans="1:77" x14ac:dyDescent="0.3">
      <c r="A609" s="39"/>
      <c r="B609" s="42"/>
      <c r="C609" s="42"/>
      <c r="D609" s="75"/>
      <c r="E609" s="75"/>
      <c r="F609" s="76"/>
      <c r="G609" s="47"/>
      <c r="H609" s="47"/>
      <c r="I609" s="75"/>
      <c r="J609" s="76"/>
      <c r="K609" s="76"/>
      <c r="L609" s="75"/>
      <c r="M609" s="49"/>
      <c r="N609" s="76"/>
      <c r="O609" s="49"/>
      <c r="P609" s="77"/>
      <c r="Q609" s="53"/>
      <c r="R609" s="54"/>
      <c r="S609" s="55"/>
      <c r="T609" s="56"/>
      <c r="U609" s="56"/>
      <c r="V609" s="42"/>
      <c r="W609" s="57"/>
      <c r="X609" s="58"/>
      <c r="Y609" s="75"/>
      <c r="Z609" s="59"/>
      <c r="AA609" s="61"/>
      <c r="AB609" s="61"/>
      <c r="AC609" s="61"/>
      <c r="AD609" s="62"/>
      <c r="AE609" s="62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</row>
    <row r="610" spans="1:77" x14ac:dyDescent="0.3">
      <c r="A610" s="39"/>
      <c r="B610" s="42"/>
      <c r="C610" s="42"/>
      <c r="D610" s="75"/>
      <c r="E610" s="75"/>
      <c r="F610" s="76"/>
      <c r="G610" s="47"/>
      <c r="H610" s="47"/>
      <c r="I610" s="75"/>
      <c r="J610" s="76"/>
      <c r="K610" s="76"/>
      <c r="L610" s="75"/>
      <c r="M610" s="49"/>
      <c r="N610" s="76"/>
      <c r="O610" s="49"/>
      <c r="P610" s="77"/>
      <c r="Q610" s="53"/>
      <c r="R610" s="54"/>
      <c r="S610" s="55"/>
      <c r="T610" s="56"/>
      <c r="U610" s="56"/>
      <c r="V610" s="42"/>
      <c r="W610" s="57"/>
      <c r="X610" s="58"/>
      <c r="Y610" s="75"/>
      <c r="Z610" s="59"/>
      <c r="AA610" s="61"/>
      <c r="AB610" s="61"/>
      <c r="AC610" s="61"/>
      <c r="AD610" s="62"/>
      <c r="AE610" s="62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</row>
    <row r="611" spans="1:77" x14ac:dyDescent="0.3">
      <c r="A611" s="39"/>
      <c r="B611" s="42"/>
      <c r="C611" s="42"/>
      <c r="D611" s="75"/>
      <c r="E611" s="75"/>
      <c r="F611" s="76"/>
      <c r="G611" s="47"/>
      <c r="H611" s="47"/>
      <c r="I611" s="75"/>
      <c r="J611" s="76"/>
      <c r="K611" s="76"/>
      <c r="L611" s="75"/>
      <c r="M611" s="49"/>
      <c r="N611" s="76"/>
      <c r="O611" s="49"/>
      <c r="P611" s="77"/>
      <c r="Q611" s="53"/>
      <c r="R611" s="54"/>
      <c r="S611" s="55"/>
      <c r="T611" s="56"/>
      <c r="U611" s="56"/>
      <c r="V611" s="42"/>
      <c r="W611" s="57"/>
      <c r="X611" s="58"/>
      <c r="Y611" s="75"/>
      <c r="Z611" s="59"/>
      <c r="AA611" s="61"/>
      <c r="AB611" s="61"/>
      <c r="AC611" s="61"/>
      <c r="AD611" s="62"/>
      <c r="AE611" s="62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</row>
    <row r="612" spans="1:77" x14ac:dyDescent="0.3">
      <c r="A612" s="39"/>
      <c r="B612" s="42"/>
      <c r="C612" s="42"/>
      <c r="D612" s="75"/>
      <c r="E612" s="75"/>
      <c r="F612" s="76"/>
      <c r="G612" s="47"/>
      <c r="H612" s="47"/>
      <c r="I612" s="75"/>
      <c r="J612" s="76"/>
      <c r="K612" s="76"/>
      <c r="L612" s="75"/>
      <c r="M612" s="49"/>
      <c r="N612" s="76"/>
      <c r="O612" s="49"/>
      <c r="P612" s="77"/>
      <c r="Q612" s="53"/>
      <c r="R612" s="54"/>
      <c r="S612" s="55"/>
      <c r="T612" s="56"/>
      <c r="U612" s="56"/>
      <c r="V612" s="42"/>
      <c r="W612" s="57"/>
      <c r="X612" s="58"/>
      <c r="Y612" s="75"/>
      <c r="Z612" s="59"/>
      <c r="AA612" s="61"/>
      <c r="AB612" s="61"/>
      <c r="AC612" s="61"/>
      <c r="AD612" s="62"/>
      <c r="AE612" s="62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</row>
    <row r="613" spans="1:77" x14ac:dyDescent="0.3">
      <c r="A613" s="39"/>
      <c r="B613" s="42"/>
      <c r="C613" s="42"/>
      <c r="D613" s="75"/>
      <c r="E613" s="75"/>
      <c r="F613" s="76"/>
      <c r="G613" s="47"/>
      <c r="H613" s="47"/>
      <c r="I613" s="75"/>
      <c r="J613" s="76"/>
      <c r="K613" s="76"/>
      <c r="L613" s="75"/>
      <c r="M613" s="49"/>
      <c r="N613" s="76"/>
      <c r="O613" s="49"/>
      <c r="P613" s="77"/>
      <c r="Q613" s="53"/>
      <c r="R613" s="54"/>
      <c r="S613" s="55"/>
      <c r="T613" s="56"/>
      <c r="U613" s="56"/>
      <c r="V613" s="42"/>
      <c r="W613" s="57"/>
      <c r="X613" s="58"/>
      <c r="Y613" s="75"/>
      <c r="Z613" s="59"/>
      <c r="AA613" s="61"/>
      <c r="AB613" s="61"/>
      <c r="AC613" s="61"/>
      <c r="AD613" s="62"/>
      <c r="AE613" s="62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</row>
    <row r="614" spans="1:77" x14ac:dyDescent="0.3">
      <c r="A614" s="39"/>
      <c r="B614" s="42"/>
      <c r="C614" s="42"/>
      <c r="D614" s="75"/>
      <c r="E614" s="75"/>
      <c r="F614" s="76"/>
      <c r="G614" s="47"/>
      <c r="H614" s="47"/>
      <c r="I614" s="75"/>
      <c r="J614" s="76"/>
      <c r="K614" s="76"/>
      <c r="L614" s="75"/>
      <c r="M614" s="49"/>
      <c r="N614" s="76"/>
      <c r="O614" s="49"/>
      <c r="P614" s="77"/>
      <c r="Q614" s="53"/>
      <c r="R614" s="54"/>
      <c r="S614" s="55"/>
      <c r="T614" s="56"/>
      <c r="U614" s="56"/>
      <c r="V614" s="42"/>
      <c r="W614" s="57"/>
      <c r="X614" s="58"/>
      <c r="Y614" s="75"/>
      <c r="Z614" s="59"/>
      <c r="AA614" s="61"/>
      <c r="AB614" s="61"/>
      <c r="AC614" s="61"/>
      <c r="AD614" s="62"/>
      <c r="AE614" s="62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</row>
    <row r="615" spans="1:77" x14ac:dyDescent="0.3">
      <c r="A615" s="39"/>
      <c r="B615" s="42"/>
      <c r="C615" s="42"/>
      <c r="D615" s="75"/>
      <c r="E615" s="75"/>
      <c r="F615" s="76"/>
      <c r="G615" s="47"/>
      <c r="H615" s="47"/>
      <c r="I615" s="75"/>
      <c r="J615" s="76"/>
      <c r="K615" s="76"/>
      <c r="L615" s="75"/>
      <c r="M615" s="49"/>
      <c r="N615" s="76"/>
      <c r="O615" s="49"/>
      <c r="P615" s="77"/>
      <c r="Q615" s="53"/>
      <c r="R615" s="54"/>
      <c r="S615" s="55"/>
      <c r="T615" s="56"/>
      <c r="U615" s="56"/>
      <c r="V615" s="42"/>
      <c r="W615" s="57"/>
      <c r="X615" s="58"/>
      <c r="Y615" s="75"/>
      <c r="Z615" s="59"/>
      <c r="AA615" s="61"/>
      <c r="AB615" s="61"/>
      <c r="AC615" s="61"/>
      <c r="AD615" s="62"/>
      <c r="AE615" s="62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</row>
    <row r="616" spans="1:77" x14ac:dyDescent="0.3">
      <c r="A616" s="39"/>
      <c r="B616" s="42"/>
      <c r="C616" s="42"/>
      <c r="D616" s="75"/>
      <c r="E616" s="75"/>
      <c r="F616" s="76"/>
      <c r="G616" s="47"/>
      <c r="H616" s="47"/>
      <c r="I616" s="75"/>
      <c r="J616" s="76"/>
      <c r="K616" s="76"/>
      <c r="L616" s="75"/>
      <c r="M616" s="49"/>
      <c r="N616" s="76"/>
      <c r="O616" s="49"/>
      <c r="P616" s="77"/>
      <c r="Q616" s="53"/>
      <c r="R616" s="54"/>
      <c r="S616" s="55"/>
      <c r="T616" s="56"/>
      <c r="U616" s="56"/>
      <c r="V616" s="42"/>
      <c r="W616" s="57"/>
      <c r="X616" s="58"/>
      <c r="Y616" s="75"/>
      <c r="Z616" s="59"/>
      <c r="AA616" s="61"/>
      <c r="AB616" s="61"/>
      <c r="AC616" s="61"/>
      <c r="AD616" s="62"/>
      <c r="AE616" s="62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</row>
    <row r="617" spans="1:77" x14ac:dyDescent="0.3">
      <c r="A617" s="39"/>
      <c r="B617" s="42"/>
      <c r="C617" s="42"/>
      <c r="D617" s="75"/>
      <c r="E617" s="75"/>
      <c r="F617" s="76"/>
      <c r="G617" s="47"/>
      <c r="H617" s="47"/>
      <c r="I617" s="75"/>
      <c r="J617" s="76"/>
      <c r="K617" s="76"/>
      <c r="L617" s="75"/>
      <c r="M617" s="49"/>
      <c r="N617" s="76"/>
      <c r="O617" s="49"/>
      <c r="P617" s="77"/>
      <c r="Q617" s="53"/>
      <c r="R617" s="54"/>
      <c r="S617" s="55"/>
      <c r="T617" s="56"/>
      <c r="U617" s="56"/>
      <c r="V617" s="42"/>
      <c r="W617" s="57"/>
      <c r="X617" s="58"/>
      <c r="Y617" s="75"/>
      <c r="Z617" s="59"/>
      <c r="AA617" s="61"/>
      <c r="AB617" s="61"/>
      <c r="AC617" s="61"/>
      <c r="AD617" s="62"/>
      <c r="AE617" s="62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</row>
    <row r="618" spans="1:77" x14ac:dyDescent="0.3">
      <c r="A618" s="39"/>
      <c r="B618" s="42"/>
      <c r="C618" s="42"/>
      <c r="D618" s="75"/>
      <c r="E618" s="75"/>
      <c r="F618" s="76"/>
      <c r="G618" s="47"/>
      <c r="H618" s="47"/>
      <c r="I618" s="75"/>
      <c r="J618" s="76"/>
      <c r="K618" s="76"/>
      <c r="L618" s="75"/>
      <c r="M618" s="49"/>
      <c r="N618" s="76"/>
      <c r="O618" s="49"/>
      <c r="P618" s="77"/>
      <c r="Q618" s="53"/>
      <c r="R618" s="54"/>
      <c r="S618" s="55"/>
      <c r="T618" s="56"/>
      <c r="U618" s="56"/>
      <c r="V618" s="42"/>
      <c r="W618" s="57"/>
      <c r="X618" s="58"/>
      <c r="Y618" s="75"/>
      <c r="Z618" s="59"/>
      <c r="AA618" s="61"/>
      <c r="AB618" s="61"/>
      <c r="AC618" s="61"/>
      <c r="AD618" s="62"/>
      <c r="AE618" s="62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</row>
    <row r="619" spans="1:77" x14ac:dyDescent="0.3">
      <c r="A619" s="39"/>
      <c r="B619" s="42"/>
      <c r="C619" s="42"/>
      <c r="D619" s="75"/>
      <c r="E619" s="75"/>
      <c r="F619" s="76"/>
      <c r="G619" s="47"/>
      <c r="H619" s="47"/>
      <c r="I619" s="75"/>
      <c r="J619" s="76"/>
      <c r="K619" s="76"/>
      <c r="L619" s="75"/>
      <c r="M619" s="49"/>
      <c r="N619" s="76"/>
      <c r="O619" s="49"/>
      <c r="P619" s="77"/>
      <c r="Q619" s="53"/>
      <c r="R619" s="54"/>
      <c r="S619" s="55"/>
      <c r="T619" s="56"/>
      <c r="U619" s="56"/>
      <c r="V619" s="42"/>
      <c r="W619" s="57"/>
      <c r="X619" s="58"/>
      <c r="Y619" s="75"/>
      <c r="Z619" s="59"/>
      <c r="AA619" s="61"/>
      <c r="AB619" s="61"/>
      <c r="AC619" s="61"/>
      <c r="AD619" s="62"/>
      <c r="AE619" s="62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</row>
    <row r="620" spans="1:77" x14ac:dyDescent="0.3">
      <c r="A620" s="39"/>
      <c r="B620" s="42"/>
      <c r="C620" s="42"/>
      <c r="D620" s="75"/>
      <c r="E620" s="75"/>
      <c r="F620" s="76"/>
      <c r="G620" s="47"/>
      <c r="H620" s="47"/>
      <c r="I620" s="75"/>
      <c r="J620" s="76"/>
      <c r="K620" s="76"/>
      <c r="L620" s="75"/>
      <c r="M620" s="49"/>
      <c r="N620" s="76"/>
      <c r="O620" s="49"/>
      <c r="P620" s="77"/>
      <c r="Q620" s="53"/>
      <c r="R620" s="54"/>
      <c r="S620" s="55"/>
      <c r="T620" s="56"/>
      <c r="U620" s="56"/>
      <c r="V620" s="42"/>
      <c r="W620" s="57"/>
      <c r="X620" s="58"/>
      <c r="Y620" s="75"/>
      <c r="Z620" s="59"/>
      <c r="AA620" s="61"/>
      <c r="AB620" s="61"/>
      <c r="AC620" s="61"/>
      <c r="AD620" s="62"/>
      <c r="AE620" s="62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</row>
    <row r="621" spans="1:77" x14ac:dyDescent="0.3">
      <c r="A621" s="39"/>
      <c r="B621" s="42"/>
      <c r="C621" s="42"/>
      <c r="D621" s="75"/>
      <c r="E621" s="75"/>
      <c r="F621" s="76"/>
      <c r="G621" s="47"/>
      <c r="H621" s="47"/>
      <c r="I621" s="75"/>
      <c r="J621" s="76"/>
      <c r="K621" s="76"/>
      <c r="L621" s="75"/>
      <c r="M621" s="49"/>
      <c r="N621" s="76"/>
      <c r="O621" s="49"/>
      <c r="P621" s="77"/>
      <c r="Q621" s="53"/>
      <c r="R621" s="54"/>
      <c r="S621" s="55"/>
      <c r="T621" s="56"/>
      <c r="U621" s="56"/>
      <c r="V621" s="42"/>
      <c r="W621" s="57"/>
      <c r="X621" s="58"/>
      <c r="Y621" s="75"/>
      <c r="Z621" s="59"/>
      <c r="AA621" s="61"/>
      <c r="AB621" s="61"/>
      <c r="AC621" s="61"/>
      <c r="AD621" s="62"/>
      <c r="AE621" s="62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</row>
    <row r="622" spans="1:77" x14ac:dyDescent="0.3">
      <c r="A622" s="39"/>
      <c r="B622" s="42"/>
      <c r="C622" s="42"/>
      <c r="D622" s="75"/>
      <c r="E622" s="75"/>
      <c r="F622" s="76"/>
      <c r="G622" s="47"/>
      <c r="H622" s="47"/>
      <c r="I622" s="75"/>
      <c r="J622" s="76"/>
      <c r="K622" s="76"/>
      <c r="L622" s="75"/>
      <c r="M622" s="49"/>
      <c r="N622" s="76"/>
      <c r="O622" s="49"/>
      <c r="P622" s="77"/>
      <c r="Q622" s="53"/>
      <c r="R622" s="54"/>
      <c r="S622" s="55"/>
      <c r="T622" s="56"/>
      <c r="U622" s="56"/>
      <c r="V622" s="42"/>
      <c r="W622" s="57"/>
      <c r="X622" s="58"/>
      <c r="Y622" s="75"/>
      <c r="Z622" s="59"/>
      <c r="AA622" s="61"/>
      <c r="AB622" s="61"/>
      <c r="AC622" s="61"/>
      <c r="AD622" s="62"/>
      <c r="AE622" s="62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</row>
    <row r="623" spans="1:77" x14ac:dyDescent="0.3">
      <c r="A623" s="39"/>
      <c r="B623" s="42"/>
      <c r="C623" s="42"/>
      <c r="D623" s="75"/>
      <c r="E623" s="75"/>
      <c r="F623" s="76"/>
      <c r="G623" s="47"/>
      <c r="H623" s="47"/>
      <c r="I623" s="75"/>
      <c r="J623" s="76"/>
      <c r="K623" s="76"/>
      <c r="L623" s="75"/>
      <c r="M623" s="49"/>
      <c r="N623" s="76"/>
      <c r="O623" s="49"/>
      <c r="P623" s="77"/>
      <c r="Q623" s="53"/>
      <c r="R623" s="54"/>
      <c r="S623" s="55"/>
      <c r="T623" s="56"/>
      <c r="U623" s="56"/>
      <c r="V623" s="42"/>
      <c r="W623" s="57"/>
      <c r="X623" s="58"/>
      <c r="Y623" s="75"/>
      <c r="Z623" s="59"/>
      <c r="AA623" s="61"/>
      <c r="AB623" s="61"/>
      <c r="AC623" s="61"/>
      <c r="AD623" s="62"/>
      <c r="AE623" s="62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</row>
    <row r="624" spans="1:77" x14ac:dyDescent="0.3">
      <c r="A624" s="39"/>
      <c r="B624" s="42"/>
      <c r="C624" s="42"/>
      <c r="D624" s="75"/>
      <c r="E624" s="75"/>
      <c r="F624" s="76"/>
      <c r="G624" s="47"/>
      <c r="H624" s="47"/>
      <c r="I624" s="75"/>
      <c r="J624" s="76"/>
      <c r="K624" s="76"/>
      <c r="L624" s="75"/>
      <c r="M624" s="49"/>
      <c r="N624" s="76"/>
      <c r="O624" s="49"/>
      <c r="P624" s="77"/>
      <c r="Q624" s="53"/>
      <c r="R624" s="54"/>
      <c r="S624" s="55"/>
      <c r="T624" s="56"/>
      <c r="U624" s="56"/>
      <c r="V624" s="42"/>
      <c r="W624" s="57"/>
      <c r="X624" s="58"/>
      <c r="Y624" s="75"/>
      <c r="Z624" s="59"/>
      <c r="AA624" s="61"/>
      <c r="AB624" s="61"/>
      <c r="AC624" s="61"/>
      <c r="AD624" s="62"/>
      <c r="AE624" s="62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</row>
    <row r="625" spans="1:77" x14ac:dyDescent="0.3">
      <c r="A625" s="39"/>
      <c r="B625" s="42"/>
      <c r="C625" s="42"/>
      <c r="D625" s="75"/>
      <c r="E625" s="75"/>
      <c r="F625" s="76"/>
      <c r="G625" s="47"/>
      <c r="H625" s="47"/>
      <c r="I625" s="75"/>
      <c r="J625" s="76"/>
      <c r="K625" s="76"/>
      <c r="L625" s="75"/>
      <c r="M625" s="49"/>
      <c r="N625" s="76"/>
      <c r="O625" s="49"/>
      <c r="P625" s="77"/>
      <c r="Q625" s="53"/>
      <c r="R625" s="54"/>
      <c r="S625" s="55"/>
      <c r="T625" s="56"/>
      <c r="U625" s="56"/>
      <c r="V625" s="42"/>
      <c r="W625" s="57"/>
      <c r="X625" s="58"/>
      <c r="Y625" s="75"/>
      <c r="Z625" s="59"/>
      <c r="AA625" s="61"/>
      <c r="AB625" s="61"/>
      <c r="AC625" s="61"/>
      <c r="AD625" s="62"/>
      <c r="AE625" s="62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</row>
    <row r="626" spans="1:77" x14ac:dyDescent="0.3">
      <c r="A626" s="39"/>
      <c r="B626" s="42"/>
      <c r="C626" s="42"/>
      <c r="D626" s="75"/>
      <c r="E626" s="75"/>
      <c r="F626" s="76"/>
      <c r="G626" s="47"/>
      <c r="H626" s="47"/>
      <c r="I626" s="75"/>
      <c r="J626" s="76"/>
      <c r="K626" s="76"/>
      <c r="L626" s="75"/>
      <c r="M626" s="49"/>
      <c r="N626" s="76"/>
      <c r="O626" s="49"/>
      <c r="P626" s="77"/>
      <c r="Q626" s="53"/>
      <c r="R626" s="54"/>
      <c r="S626" s="55"/>
      <c r="T626" s="56"/>
      <c r="U626" s="56"/>
      <c r="V626" s="42"/>
      <c r="W626" s="57"/>
      <c r="X626" s="58"/>
      <c r="Y626" s="75"/>
      <c r="Z626" s="59"/>
      <c r="AA626" s="61"/>
      <c r="AB626" s="61"/>
      <c r="AC626" s="61"/>
      <c r="AD626" s="62"/>
      <c r="AE626" s="62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</row>
    <row r="627" spans="1:77" x14ac:dyDescent="0.3">
      <c r="A627" s="39"/>
      <c r="B627" s="42"/>
      <c r="C627" s="42"/>
      <c r="D627" s="75"/>
      <c r="E627" s="75"/>
      <c r="F627" s="76"/>
      <c r="G627" s="47"/>
      <c r="H627" s="47"/>
      <c r="I627" s="75"/>
      <c r="J627" s="76"/>
      <c r="K627" s="76"/>
      <c r="L627" s="75"/>
      <c r="M627" s="49"/>
      <c r="N627" s="76"/>
      <c r="O627" s="49"/>
      <c r="P627" s="77"/>
      <c r="Q627" s="53"/>
      <c r="R627" s="54"/>
      <c r="S627" s="55"/>
      <c r="T627" s="56"/>
      <c r="U627" s="56"/>
      <c r="V627" s="42"/>
      <c r="W627" s="57"/>
      <c r="X627" s="58"/>
      <c r="Y627" s="75"/>
      <c r="Z627" s="59"/>
      <c r="AA627" s="61"/>
      <c r="AB627" s="61"/>
      <c r="AC627" s="61"/>
      <c r="AD627" s="62"/>
      <c r="AE627" s="62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</row>
    <row r="628" spans="1:77" x14ac:dyDescent="0.3">
      <c r="A628" s="39"/>
      <c r="B628" s="42"/>
      <c r="C628" s="42"/>
      <c r="D628" s="75"/>
      <c r="E628" s="75"/>
      <c r="F628" s="76"/>
      <c r="G628" s="47"/>
      <c r="H628" s="47"/>
      <c r="I628" s="75"/>
      <c r="J628" s="76"/>
      <c r="K628" s="76"/>
      <c r="L628" s="75"/>
      <c r="M628" s="49"/>
      <c r="N628" s="76"/>
      <c r="O628" s="49"/>
      <c r="P628" s="77"/>
      <c r="Q628" s="53"/>
      <c r="R628" s="54"/>
      <c r="S628" s="55"/>
      <c r="T628" s="56"/>
      <c r="U628" s="56"/>
      <c r="V628" s="42"/>
      <c r="W628" s="57"/>
      <c r="X628" s="58"/>
      <c r="Y628" s="75"/>
      <c r="Z628" s="59"/>
      <c r="AA628" s="61"/>
      <c r="AB628" s="61"/>
      <c r="AC628" s="61"/>
      <c r="AD628" s="62"/>
      <c r="AE628" s="62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</row>
    <row r="629" spans="1:77" x14ac:dyDescent="0.3">
      <c r="A629" s="39"/>
      <c r="B629" s="42"/>
      <c r="C629" s="42"/>
      <c r="D629" s="75"/>
      <c r="E629" s="75"/>
      <c r="F629" s="76"/>
      <c r="G629" s="47"/>
      <c r="H629" s="47"/>
      <c r="I629" s="75"/>
      <c r="J629" s="76"/>
      <c r="K629" s="76"/>
      <c r="L629" s="75"/>
      <c r="M629" s="49"/>
      <c r="N629" s="76"/>
      <c r="O629" s="49"/>
      <c r="P629" s="77"/>
      <c r="Q629" s="53"/>
      <c r="R629" s="54"/>
      <c r="S629" s="55"/>
      <c r="T629" s="56"/>
      <c r="U629" s="56"/>
      <c r="V629" s="42"/>
      <c r="W629" s="57"/>
      <c r="X629" s="58"/>
      <c r="Y629" s="75"/>
      <c r="Z629" s="59"/>
      <c r="AA629" s="61"/>
      <c r="AB629" s="61"/>
      <c r="AC629" s="61"/>
      <c r="AD629" s="62"/>
      <c r="AE629" s="62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</row>
    <row r="630" spans="1:77" x14ac:dyDescent="0.3">
      <c r="A630" s="39"/>
      <c r="B630" s="42"/>
      <c r="C630" s="42"/>
      <c r="D630" s="75"/>
      <c r="E630" s="75"/>
      <c r="F630" s="76"/>
      <c r="G630" s="47"/>
      <c r="H630" s="47"/>
      <c r="I630" s="75"/>
      <c r="J630" s="76"/>
      <c r="K630" s="76"/>
      <c r="L630" s="75"/>
      <c r="M630" s="49"/>
      <c r="N630" s="76"/>
      <c r="O630" s="49"/>
      <c r="P630" s="77"/>
      <c r="Q630" s="53"/>
      <c r="R630" s="54"/>
      <c r="S630" s="55"/>
      <c r="T630" s="56"/>
      <c r="U630" s="56"/>
      <c r="V630" s="42"/>
      <c r="W630" s="57"/>
      <c r="X630" s="58"/>
      <c r="Y630" s="75"/>
      <c r="Z630" s="59"/>
      <c r="AA630" s="61"/>
      <c r="AB630" s="61"/>
      <c r="AC630" s="61"/>
      <c r="AD630" s="62"/>
      <c r="AE630" s="62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</row>
    <row r="631" spans="1:77" x14ac:dyDescent="0.3">
      <c r="A631" s="39"/>
      <c r="B631" s="42"/>
      <c r="C631" s="42"/>
      <c r="D631" s="75"/>
      <c r="E631" s="75"/>
      <c r="F631" s="76"/>
      <c r="G631" s="47"/>
      <c r="H631" s="47"/>
      <c r="I631" s="75"/>
      <c r="J631" s="76"/>
      <c r="K631" s="76"/>
      <c r="L631" s="75"/>
      <c r="M631" s="49"/>
      <c r="N631" s="76"/>
      <c r="O631" s="49"/>
      <c r="P631" s="77"/>
      <c r="Q631" s="53"/>
      <c r="R631" s="54"/>
      <c r="S631" s="55"/>
      <c r="T631" s="56"/>
      <c r="U631" s="56"/>
      <c r="V631" s="42"/>
      <c r="W631" s="57"/>
      <c r="X631" s="58"/>
      <c r="Y631" s="75"/>
      <c r="Z631" s="59"/>
      <c r="AA631" s="61"/>
      <c r="AB631" s="61"/>
      <c r="AC631" s="61"/>
      <c r="AD631" s="62"/>
      <c r="AE631" s="62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</row>
    <row r="632" spans="1:77" x14ac:dyDescent="0.3">
      <c r="A632" s="39"/>
      <c r="B632" s="42"/>
      <c r="C632" s="42"/>
      <c r="D632" s="75"/>
      <c r="E632" s="75"/>
      <c r="F632" s="76"/>
      <c r="G632" s="47"/>
      <c r="H632" s="47"/>
      <c r="I632" s="75"/>
      <c r="J632" s="76"/>
      <c r="K632" s="76"/>
      <c r="L632" s="75"/>
      <c r="M632" s="49"/>
      <c r="N632" s="76"/>
      <c r="O632" s="49"/>
      <c r="P632" s="77"/>
      <c r="Q632" s="53"/>
      <c r="R632" s="54"/>
      <c r="S632" s="55"/>
      <c r="T632" s="56"/>
      <c r="U632" s="56"/>
      <c r="V632" s="42"/>
      <c r="W632" s="57"/>
      <c r="X632" s="58"/>
      <c r="Y632" s="75"/>
      <c r="Z632" s="59"/>
      <c r="AA632" s="61"/>
      <c r="AB632" s="61"/>
      <c r="AC632" s="61"/>
      <c r="AD632" s="62"/>
      <c r="AE632" s="62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</row>
    <row r="633" spans="1:77" x14ac:dyDescent="0.3">
      <c r="A633" s="39"/>
      <c r="B633" s="42"/>
      <c r="C633" s="42"/>
      <c r="D633" s="75"/>
      <c r="E633" s="75"/>
      <c r="F633" s="76"/>
      <c r="G633" s="47"/>
      <c r="H633" s="47"/>
      <c r="I633" s="75"/>
      <c r="J633" s="76"/>
      <c r="K633" s="76"/>
      <c r="L633" s="75"/>
      <c r="M633" s="49"/>
      <c r="N633" s="76"/>
      <c r="O633" s="49"/>
      <c r="P633" s="77"/>
      <c r="Q633" s="53"/>
      <c r="R633" s="54"/>
      <c r="S633" s="55"/>
      <c r="T633" s="56"/>
      <c r="U633" s="56"/>
      <c r="V633" s="42"/>
      <c r="W633" s="57"/>
      <c r="X633" s="58"/>
      <c r="Y633" s="75"/>
      <c r="Z633" s="59"/>
      <c r="AA633" s="61"/>
      <c r="AB633" s="61"/>
      <c r="AC633" s="61"/>
      <c r="AD633" s="62"/>
      <c r="AE633" s="62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</row>
    <row r="634" spans="1:77" x14ac:dyDescent="0.3">
      <c r="A634" s="39"/>
      <c r="B634" s="42"/>
      <c r="C634" s="42"/>
      <c r="D634" s="75"/>
      <c r="E634" s="75"/>
      <c r="F634" s="76"/>
      <c r="G634" s="47"/>
      <c r="H634" s="47"/>
      <c r="I634" s="75"/>
      <c r="J634" s="76"/>
      <c r="K634" s="76"/>
      <c r="L634" s="75"/>
      <c r="M634" s="49"/>
      <c r="N634" s="76"/>
      <c r="O634" s="49"/>
      <c r="P634" s="77"/>
      <c r="Q634" s="53"/>
      <c r="R634" s="54"/>
      <c r="S634" s="55"/>
      <c r="T634" s="56"/>
      <c r="U634" s="56"/>
      <c r="V634" s="42"/>
      <c r="W634" s="57"/>
      <c r="X634" s="58"/>
      <c r="Y634" s="75"/>
      <c r="Z634" s="59"/>
      <c r="AA634" s="61"/>
      <c r="AB634" s="61"/>
      <c r="AC634" s="61"/>
      <c r="AD634" s="62"/>
      <c r="AE634" s="62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</row>
    <row r="635" spans="1:77" x14ac:dyDescent="0.3">
      <c r="A635" s="39"/>
      <c r="B635" s="42"/>
      <c r="C635" s="42"/>
      <c r="D635" s="75"/>
      <c r="E635" s="75"/>
      <c r="F635" s="76"/>
      <c r="G635" s="47"/>
      <c r="H635" s="47"/>
      <c r="I635" s="75"/>
      <c r="J635" s="76"/>
      <c r="K635" s="76"/>
      <c r="L635" s="75"/>
      <c r="M635" s="49"/>
      <c r="N635" s="76"/>
      <c r="O635" s="49"/>
      <c r="P635" s="77"/>
      <c r="Q635" s="53"/>
      <c r="R635" s="54"/>
      <c r="S635" s="55"/>
      <c r="T635" s="56"/>
      <c r="U635" s="56"/>
      <c r="V635" s="42"/>
      <c r="W635" s="57"/>
      <c r="X635" s="58"/>
      <c r="Y635" s="75"/>
      <c r="Z635" s="59"/>
      <c r="AA635" s="61"/>
      <c r="AB635" s="61"/>
      <c r="AC635" s="61"/>
      <c r="AD635" s="62"/>
      <c r="AE635" s="62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</row>
    <row r="636" spans="1:77" x14ac:dyDescent="0.3">
      <c r="A636" s="39"/>
      <c r="B636" s="42"/>
      <c r="C636" s="42"/>
      <c r="D636" s="75"/>
      <c r="E636" s="75"/>
      <c r="F636" s="76"/>
      <c r="G636" s="47"/>
      <c r="H636" s="47"/>
      <c r="I636" s="75"/>
      <c r="J636" s="76"/>
      <c r="K636" s="76"/>
      <c r="L636" s="75"/>
      <c r="M636" s="49"/>
      <c r="N636" s="76"/>
      <c r="O636" s="49"/>
      <c r="P636" s="77"/>
      <c r="Q636" s="53"/>
      <c r="R636" s="54"/>
      <c r="S636" s="55"/>
      <c r="T636" s="56"/>
      <c r="U636" s="56"/>
      <c r="V636" s="42"/>
      <c r="W636" s="57"/>
      <c r="X636" s="58"/>
      <c r="Y636" s="75"/>
      <c r="Z636" s="59"/>
      <c r="AA636" s="61"/>
      <c r="AB636" s="61"/>
      <c r="AC636" s="61"/>
      <c r="AD636" s="62"/>
      <c r="AE636" s="62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</row>
    <row r="637" spans="1:77" x14ac:dyDescent="0.3">
      <c r="A637" s="39"/>
      <c r="B637" s="42"/>
      <c r="C637" s="42"/>
      <c r="D637" s="75"/>
      <c r="E637" s="75"/>
      <c r="F637" s="76"/>
      <c r="G637" s="47"/>
      <c r="H637" s="47"/>
      <c r="I637" s="75"/>
      <c r="J637" s="76"/>
      <c r="K637" s="76"/>
      <c r="L637" s="75"/>
      <c r="M637" s="49"/>
      <c r="N637" s="76"/>
      <c r="O637" s="49"/>
      <c r="P637" s="77"/>
      <c r="Q637" s="53"/>
      <c r="R637" s="54"/>
      <c r="S637" s="55"/>
      <c r="T637" s="56"/>
      <c r="U637" s="56"/>
      <c r="V637" s="42"/>
      <c r="W637" s="57"/>
      <c r="X637" s="58"/>
      <c r="Y637" s="75"/>
      <c r="Z637" s="59"/>
      <c r="AA637" s="61"/>
      <c r="AB637" s="61"/>
      <c r="AC637" s="61"/>
      <c r="AD637" s="62"/>
      <c r="AE637" s="62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</row>
    <row r="638" spans="1:77" x14ac:dyDescent="0.3">
      <c r="A638" s="39"/>
      <c r="B638" s="42"/>
      <c r="C638" s="42"/>
      <c r="D638" s="75"/>
      <c r="E638" s="75"/>
      <c r="F638" s="76"/>
      <c r="G638" s="47"/>
      <c r="H638" s="47"/>
      <c r="I638" s="75"/>
      <c r="J638" s="76"/>
      <c r="K638" s="76"/>
      <c r="L638" s="75"/>
      <c r="M638" s="49"/>
      <c r="N638" s="76"/>
      <c r="O638" s="49"/>
      <c r="P638" s="77"/>
      <c r="Q638" s="53"/>
      <c r="R638" s="54"/>
      <c r="S638" s="55"/>
      <c r="T638" s="56"/>
      <c r="U638" s="56"/>
      <c r="V638" s="42"/>
      <c r="W638" s="57"/>
      <c r="X638" s="58"/>
      <c r="Y638" s="75"/>
      <c r="Z638" s="59"/>
      <c r="AA638" s="61"/>
      <c r="AB638" s="61"/>
      <c r="AC638" s="61"/>
      <c r="AD638" s="62"/>
      <c r="AE638" s="62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</row>
    <row r="639" spans="1:77" x14ac:dyDescent="0.3">
      <c r="A639" s="39"/>
      <c r="B639" s="42"/>
      <c r="C639" s="42"/>
      <c r="D639" s="75"/>
      <c r="E639" s="75"/>
      <c r="F639" s="76"/>
      <c r="G639" s="47"/>
      <c r="H639" s="47"/>
      <c r="I639" s="75"/>
      <c r="J639" s="76"/>
      <c r="K639" s="76"/>
      <c r="L639" s="75"/>
      <c r="M639" s="49"/>
      <c r="N639" s="76"/>
      <c r="O639" s="49"/>
      <c r="P639" s="77"/>
      <c r="Q639" s="53"/>
      <c r="R639" s="54"/>
      <c r="S639" s="55"/>
      <c r="T639" s="56"/>
      <c r="U639" s="56"/>
      <c r="V639" s="42"/>
      <c r="W639" s="57"/>
      <c r="X639" s="58"/>
      <c r="Y639" s="75"/>
      <c r="Z639" s="59"/>
      <c r="AA639" s="61"/>
      <c r="AB639" s="61"/>
      <c r="AC639" s="61"/>
      <c r="AD639" s="62"/>
      <c r="AE639" s="62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</row>
    <row r="640" spans="1:77" x14ac:dyDescent="0.3">
      <c r="A640" s="39"/>
      <c r="B640" s="42"/>
      <c r="C640" s="42"/>
      <c r="D640" s="75"/>
      <c r="E640" s="75"/>
      <c r="F640" s="76"/>
      <c r="G640" s="47"/>
      <c r="H640" s="47"/>
      <c r="I640" s="75"/>
      <c r="J640" s="76"/>
      <c r="K640" s="76"/>
      <c r="L640" s="75"/>
      <c r="M640" s="49"/>
      <c r="N640" s="76"/>
      <c r="O640" s="49"/>
      <c r="P640" s="77"/>
      <c r="Q640" s="53"/>
      <c r="R640" s="54"/>
      <c r="S640" s="55"/>
      <c r="T640" s="56"/>
      <c r="U640" s="56"/>
      <c r="V640" s="42"/>
      <c r="W640" s="57"/>
      <c r="X640" s="58"/>
      <c r="Y640" s="75"/>
      <c r="Z640" s="59"/>
      <c r="AA640" s="61"/>
      <c r="AB640" s="61"/>
      <c r="AC640" s="61"/>
      <c r="AD640" s="62"/>
      <c r="AE640" s="62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</row>
    <row r="641" spans="1:77" x14ac:dyDescent="0.3">
      <c r="A641" s="39"/>
      <c r="B641" s="42"/>
      <c r="C641" s="42"/>
      <c r="D641" s="75"/>
      <c r="E641" s="75"/>
      <c r="F641" s="76"/>
      <c r="G641" s="47"/>
      <c r="H641" s="47"/>
      <c r="I641" s="75"/>
      <c r="J641" s="76"/>
      <c r="K641" s="76"/>
      <c r="L641" s="75"/>
      <c r="M641" s="49"/>
      <c r="N641" s="76"/>
      <c r="O641" s="49"/>
      <c r="P641" s="77"/>
      <c r="Q641" s="53"/>
      <c r="R641" s="54"/>
      <c r="S641" s="55"/>
      <c r="T641" s="56"/>
      <c r="U641" s="56"/>
      <c r="V641" s="42"/>
      <c r="W641" s="57"/>
      <c r="X641" s="58"/>
      <c r="Y641" s="75"/>
      <c r="Z641" s="59"/>
      <c r="AA641" s="61"/>
      <c r="AB641" s="61"/>
      <c r="AC641" s="61"/>
      <c r="AD641" s="62"/>
      <c r="AE641" s="62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</row>
    <row r="642" spans="1:77" x14ac:dyDescent="0.3">
      <c r="A642" s="39"/>
      <c r="B642" s="42"/>
      <c r="C642" s="42"/>
      <c r="D642" s="75"/>
      <c r="E642" s="75"/>
      <c r="F642" s="76"/>
      <c r="G642" s="47"/>
      <c r="H642" s="47"/>
      <c r="I642" s="75"/>
      <c r="J642" s="76"/>
      <c r="K642" s="76"/>
      <c r="L642" s="75"/>
      <c r="M642" s="49"/>
      <c r="N642" s="76"/>
      <c r="O642" s="49"/>
      <c r="P642" s="77"/>
      <c r="Q642" s="53"/>
      <c r="R642" s="54"/>
      <c r="S642" s="55"/>
      <c r="T642" s="56"/>
      <c r="U642" s="56"/>
      <c r="V642" s="42"/>
      <c r="W642" s="57"/>
      <c r="X642" s="58"/>
      <c r="Y642" s="75"/>
      <c r="Z642" s="59"/>
      <c r="AA642" s="61"/>
      <c r="AB642" s="61"/>
      <c r="AC642" s="61"/>
      <c r="AD642" s="62"/>
      <c r="AE642" s="62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</row>
    <row r="643" spans="1:77" x14ac:dyDescent="0.3">
      <c r="A643" s="39"/>
      <c r="B643" s="42"/>
      <c r="C643" s="42"/>
      <c r="D643" s="75"/>
      <c r="E643" s="75"/>
      <c r="F643" s="76"/>
      <c r="G643" s="47"/>
      <c r="H643" s="47"/>
      <c r="I643" s="75"/>
      <c r="J643" s="76"/>
      <c r="K643" s="76"/>
      <c r="L643" s="75"/>
      <c r="M643" s="49"/>
      <c r="N643" s="76"/>
      <c r="O643" s="49"/>
      <c r="P643" s="77"/>
      <c r="Q643" s="53"/>
      <c r="R643" s="54"/>
      <c r="S643" s="55"/>
      <c r="T643" s="56"/>
      <c r="U643" s="56"/>
      <c r="V643" s="42"/>
      <c r="W643" s="57"/>
      <c r="X643" s="58"/>
      <c r="Y643" s="75"/>
      <c r="Z643" s="59"/>
      <c r="AA643" s="61"/>
      <c r="AB643" s="61"/>
      <c r="AC643" s="61"/>
      <c r="AD643" s="62"/>
      <c r="AE643" s="62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</row>
    <row r="644" spans="1:77" x14ac:dyDescent="0.3">
      <c r="A644" s="39"/>
      <c r="B644" s="42"/>
      <c r="C644" s="42"/>
      <c r="D644" s="75"/>
      <c r="E644" s="75"/>
      <c r="F644" s="76"/>
      <c r="G644" s="47"/>
      <c r="H644" s="47"/>
      <c r="I644" s="75"/>
      <c r="J644" s="76"/>
      <c r="K644" s="76"/>
      <c r="L644" s="75"/>
      <c r="M644" s="49"/>
      <c r="N644" s="76"/>
      <c r="O644" s="49"/>
      <c r="P644" s="77"/>
      <c r="Q644" s="53"/>
      <c r="R644" s="54"/>
      <c r="S644" s="55"/>
      <c r="T644" s="56"/>
      <c r="U644" s="56"/>
      <c r="V644" s="42"/>
      <c r="W644" s="57"/>
      <c r="X644" s="58"/>
      <c r="Y644" s="75"/>
      <c r="Z644" s="59"/>
      <c r="AA644" s="61"/>
      <c r="AB644" s="61"/>
      <c r="AC644" s="61"/>
      <c r="AD644" s="62"/>
      <c r="AE644" s="62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</row>
    <row r="645" spans="1:77" x14ac:dyDescent="0.3">
      <c r="A645" s="39"/>
      <c r="B645" s="42"/>
      <c r="C645" s="42"/>
      <c r="D645" s="75"/>
      <c r="E645" s="75"/>
      <c r="F645" s="76"/>
      <c r="G645" s="47"/>
      <c r="H645" s="47"/>
      <c r="I645" s="75"/>
      <c r="J645" s="76"/>
      <c r="K645" s="76"/>
      <c r="L645" s="75"/>
      <c r="M645" s="49"/>
      <c r="N645" s="76"/>
      <c r="O645" s="49"/>
      <c r="P645" s="77"/>
      <c r="Q645" s="53"/>
      <c r="R645" s="54"/>
      <c r="S645" s="55"/>
      <c r="T645" s="56"/>
      <c r="U645" s="56"/>
      <c r="V645" s="42"/>
      <c r="W645" s="57"/>
      <c r="X645" s="58"/>
      <c r="Y645" s="75"/>
      <c r="Z645" s="59"/>
      <c r="AA645" s="61"/>
      <c r="AB645" s="61"/>
      <c r="AC645" s="61"/>
      <c r="AD645" s="62"/>
      <c r="AE645" s="62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</row>
    <row r="646" spans="1:77" x14ac:dyDescent="0.3">
      <c r="A646" s="39"/>
      <c r="B646" s="42"/>
      <c r="C646" s="42"/>
      <c r="D646" s="75"/>
      <c r="E646" s="75"/>
      <c r="F646" s="76"/>
      <c r="G646" s="47"/>
      <c r="H646" s="47"/>
      <c r="I646" s="75"/>
      <c r="J646" s="76"/>
      <c r="K646" s="76"/>
      <c r="L646" s="75"/>
      <c r="M646" s="49"/>
      <c r="N646" s="76"/>
      <c r="O646" s="49"/>
      <c r="P646" s="77"/>
      <c r="Q646" s="53"/>
      <c r="R646" s="54"/>
      <c r="S646" s="55"/>
      <c r="T646" s="56"/>
      <c r="U646" s="56"/>
      <c r="V646" s="42"/>
      <c r="W646" s="57"/>
      <c r="X646" s="58"/>
      <c r="Y646" s="75"/>
      <c r="Z646" s="59"/>
      <c r="AA646" s="61"/>
      <c r="AB646" s="61"/>
      <c r="AC646" s="61"/>
      <c r="AD646" s="62"/>
      <c r="AE646" s="62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</row>
    <row r="647" spans="1:77" x14ac:dyDescent="0.3">
      <c r="A647" s="39"/>
      <c r="B647" s="42"/>
      <c r="C647" s="42"/>
      <c r="D647" s="75"/>
      <c r="E647" s="75"/>
      <c r="F647" s="76"/>
      <c r="G647" s="47"/>
      <c r="H647" s="47"/>
      <c r="I647" s="75"/>
      <c r="J647" s="76"/>
      <c r="K647" s="76"/>
      <c r="L647" s="75"/>
      <c r="M647" s="49"/>
      <c r="N647" s="76"/>
      <c r="O647" s="49"/>
      <c r="P647" s="77"/>
      <c r="Q647" s="53"/>
      <c r="R647" s="54"/>
      <c r="S647" s="55"/>
      <c r="T647" s="56"/>
      <c r="U647" s="56"/>
      <c r="V647" s="42"/>
      <c r="W647" s="57"/>
      <c r="X647" s="58"/>
      <c r="Y647" s="75"/>
      <c r="Z647" s="59"/>
      <c r="AA647" s="61"/>
      <c r="AB647" s="61"/>
      <c r="AC647" s="61"/>
      <c r="AD647" s="62"/>
      <c r="AE647" s="62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</row>
    <row r="648" spans="1:77" x14ac:dyDescent="0.3">
      <c r="A648" s="39"/>
      <c r="B648" s="42"/>
      <c r="C648" s="42"/>
      <c r="D648" s="75"/>
      <c r="E648" s="75"/>
      <c r="F648" s="76"/>
      <c r="G648" s="47"/>
      <c r="H648" s="47"/>
      <c r="I648" s="75"/>
      <c r="J648" s="76"/>
      <c r="K648" s="76"/>
      <c r="L648" s="75"/>
      <c r="M648" s="49"/>
      <c r="N648" s="76"/>
      <c r="O648" s="49"/>
      <c r="P648" s="77"/>
      <c r="Q648" s="53"/>
      <c r="R648" s="54"/>
      <c r="S648" s="55"/>
      <c r="T648" s="56"/>
      <c r="U648" s="56"/>
      <c r="V648" s="42"/>
      <c r="W648" s="57"/>
      <c r="X648" s="58"/>
      <c r="Y648" s="75"/>
      <c r="Z648" s="59"/>
      <c r="AA648" s="61"/>
      <c r="AB648" s="61"/>
      <c r="AC648" s="61"/>
      <c r="AD648" s="62"/>
      <c r="AE648" s="62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</row>
    <row r="649" spans="1:77" x14ac:dyDescent="0.3">
      <c r="A649" s="39"/>
      <c r="B649" s="42"/>
      <c r="C649" s="42"/>
      <c r="D649" s="75"/>
      <c r="E649" s="75"/>
      <c r="F649" s="76"/>
      <c r="G649" s="47"/>
      <c r="H649" s="47"/>
      <c r="I649" s="75"/>
      <c r="J649" s="76"/>
      <c r="K649" s="76"/>
      <c r="L649" s="75"/>
      <c r="M649" s="49"/>
      <c r="N649" s="76"/>
      <c r="O649" s="49"/>
      <c r="P649" s="77"/>
      <c r="Q649" s="53"/>
      <c r="R649" s="54"/>
      <c r="S649" s="55"/>
      <c r="T649" s="56"/>
      <c r="U649" s="56"/>
      <c r="V649" s="42"/>
      <c r="W649" s="57"/>
      <c r="X649" s="58"/>
      <c r="Y649" s="75"/>
      <c r="Z649" s="59"/>
      <c r="AA649" s="61"/>
      <c r="AB649" s="61"/>
      <c r="AC649" s="61"/>
      <c r="AD649" s="62"/>
      <c r="AE649" s="62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</row>
    <row r="650" spans="1:77" x14ac:dyDescent="0.3">
      <c r="A650" s="39"/>
      <c r="B650" s="42"/>
      <c r="C650" s="42"/>
      <c r="D650" s="75"/>
      <c r="E650" s="75"/>
      <c r="F650" s="76"/>
      <c r="G650" s="47"/>
      <c r="H650" s="47"/>
      <c r="I650" s="75"/>
      <c r="J650" s="76"/>
      <c r="K650" s="76"/>
      <c r="L650" s="75"/>
      <c r="M650" s="49"/>
      <c r="N650" s="76"/>
      <c r="O650" s="49"/>
      <c r="P650" s="77"/>
      <c r="Q650" s="53"/>
      <c r="R650" s="54"/>
      <c r="S650" s="55"/>
      <c r="T650" s="56"/>
      <c r="U650" s="56"/>
      <c r="V650" s="42"/>
      <c r="W650" s="57"/>
      <c r="X650" s="58"/>
      <c r="Y650" s="75"/>
      <c r="Z650" s="59"/>
      <c r="AA650" s="61"/>
      <c r="AB650" s="61"/>
      <c r="AC650" s="61"/>
      <c r="AD650" s="62"/>
      <c r="AE650" s="62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</row>
    <row r="651" spans="1:77" x14ac:dyDescent="0.3">
      <c r="A651" s="39"/>
      <c r="B651" s="42"/>
      <c r="C651" s="42"/>
      <c r="D651" s="75"/>
      <c r="E651" s="75"/>
      <c r="F651" s="76"/>
      <c r="G651" s="47"/>
      <c r="H651" s="47"/>
      <c r="I651" s="75"/>
      <c r="J651" s="76"/>
      <c r="K651" s="76"/>
      <c r="L651" s="75"/>
      <c r="M651" s="49"/>
      <c r="N651" s="76"/>
      <c r="O651" s="49"/>
      <c r="P651" s="77"/>
      <c r="Q651" s="53"/>
      <c r="R651" s="54"/>
      <c r="S651" s="55"/>
      <c r="T651" s="56"/>
      <c r="U651" s="56"/>
      <c r="V651" s="42"/>
      <c r="W651" s="57"/>
      <c r="X651" s="58"/>
      <c r="Y651" s="75"/>
      <c r="Z651" s="59"/>
      <c r="AA651" s="61"/>
      <c r="AB651" s="61"/>
      <c r="AC651" s="61"/>
      <c r="AD651" s="62"/>
      <c r="AE651" s="62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</row>
    <row r="652" spans="1:77" x14ac:dyDescent="0.3">
      <c r="A652" s="39"/>
      <c r="B652" s="42"/>
      <c r="C652" s="42"/>
      <c r="D652" s="75"/>
      <c r="E652" s="75"/>
      <c r="F652" s="76"/>
      <c r="G652" s="47"/>
      <c r="H652" s="47"/>
      <c r="I652" s="75"/>
      <c r="J652" s="76"/>
      <c r="K652" s="76"/>
      <c r="L652" s="75"/>
      <c r="M652" s="49"/>
      <c r="N652" s="76"/>
      <c r="O652" s="49"/>
      <c r="P652" s="77"/>
      <c r="Q652" s="53"/>
      <c r="R652" s="54"/>
      <c r="S652" s="55"/>
      <c r="T652" s="56"/>
      <c r="U652" s="56"/>
      <c r="V652" s="42"/>
      <c r="W652" s="57"/>
      <c r="X652" s="58"/>
      <c r="Y652" s="75"/>
      <c r="Z652" s="59"/>
      <c r="AA652" s="61"/>
      <c r="AB652" s="61"/>
      <c r="AC652" s="61"/>
      <c r="AD652" s="62"/>
      <c r="AE652" s="62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</row>
    <row r="653" spans="1:77" x14ac:dyDescent="0.3">
      <c r="A653" s="39"/>
      <c r="B653" s="42"/>
      <c r="C653" s="42"/>
      <c r="D653" s="75"/>
      <c r="E653" s="75"/>
      <c r="F653" s="76"/>
      <c r="G653" s="47"/>
      <c r="H653" s="47"/>
      <c r="I653" s="75"/>
      <c r="J653" s="76"/>
      <c r="K653" s="76"/>
      <c r="L653" s="75"/>
      <c r="M653" s="49"/>
      <c r="N653" s="76"/>
      <c r="O653" s="49"/>
      <c r="P653" s="77"/>
      <c r="Q653" s="53"/>
      <c r="R653" s="54"/>
      <c r="S653" s="55"/>
      <c r="T653" s="56"/>
      <c r="U653" s="56"/>
      <c r="V653" s="42"/>
      <c r="W653" s="57"/>
      <c r="X653" s="58"/>
      <c r="Y653" s="75"/>
      <c r="Z653" s="59"/>
      <c r="AA653" s="61"/>
      <c r="AB653" s="61"/>
      <c r="AC653" s="61"/>
      <c r="AD653" s="62"/>
      <c r="AE653" s="62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</row>
    <row r="654" spans="1:77" x14ac:dyDescent="0.3">
      <c r="A654" s="39"/>
      <c r="B654" s="42"/>
      <c r="C654" s="42"/>
      <c r="D654" s="75"/>
      <c r="E654" s="75"/>
      <c r="F654" s="76"/>
      <c r="G654" s="47"/>
      <c r="H654" s="47"/>
      <c r="I654" s="75"/>
      <c r="J654" s="76"/>
      <c r="K654" s="76"/>
      <c r="L654" s="75"/>
      <c r="M654" s="49"/>
      <c r="N654" s="76"/>
      <c r="O654" s="49"/>
      <c r="P654" s="77"/>
      <c r="Q654" s="53"/>
      <c r="R654" s="54"/>
      <c r="S654" s="55"/>
      <c r="T654" s="56"/>
      <c r="U654" s="56"/>
      <c r="V654" s="42"/>
      <c r="W654" s="57"/>
      <c r="X654" s="58"/>
      <c r="Y654" s="75"/>
      <c r="Z654" s="59"/>
      <c r="AA654" s="61"/>
      <c r="AB654" s="61"/>
      <c r="AC654" s="61"/>
      <c r="AD654" s="62"/>
      <c r="AE654" s="62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</row>
    <row r="655" spans="1:77" x14ac:dyDescent="0.3">
      <c r="A655" s="39"/>
      <c r="B655" s="42"/>
      <c r="C655" s="42"/>
      <c r="D655" s="75"/>
      <c r="E655" s="75"/>
      <c r="F655" s="76"/>
      <c r="G655" s="47"/>
      <c r="H655" s="47"/>
      <c r="I655" s="75"/>
      <c r="J655" s="76"/>
      <c r="K655" s="76"/>
      <c r="L655" s="75"/>
      <c r="M655" s="49"/>
      <c r="N655" s="76"/>
      <c r="O655" s="49"/>
      <c r="P655" s="77"/>
      <c r="Q655" s="53"/>
      <c r="R655" s="54"/>
      <c r="S655" s="55"/>
      <c r="T655" s="56"/>
      <c r="U655" s="56"/>
      <c r="V655" s="42"/>
      <c r="W655" s="57"/>
      <c r="X655" s="58"/>
      <c r="Y655" s="75"/>
      <c r="Z655" s="59"/>
      <c r="AA655" s="61"/>
      <c r="AB655" s="61"/>
      <c r="AC655" s="61"/>
      <c r="AD655" s="62"/>
      <c r="AE655" s="62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</row>
    <row r="656" spans="1:77" x14ac:dyDescent="0.3">
      <c r="A656" s="39"/>
      <c r="B656" s="42"/>
      <c r="C656" s="42"/>
      <c r="D656" s="75"/>
      <c r="E656" s="75"/>
      <c r="F656" s="76"/>
      <c r="G656" s="47"/>
      <c r="H656" s="47"/>
      <c r="I656" s="75"/>
      <c r="J656" s="76"/>
      <c r="K656" s="76"/>
      <c r="L656" s="75"/>
      <c r="M656" s="49"/>
      <c r="N656" s="76"/>
      <c r="O656" s="49"/>
      <c r="P656" s="77"/>
      <c r="Q656" s="53"/>
      <c r="R656" s="54"/>
      <c r="S656" s="55"/>
      <c r="T656" s="56"/>
      <c r="U656" s="56"/>
      <c r="V656" s="42"/>
      <c r="W656" s="57"/>
      <c r="X656" s="58"/>
      <c r="Y656" s="75"/>
      <c r="Z656" s="59"/>
      <c r="AA656" s="61"/>
      <c r="AB656" s="61"/>
      <c r="AC656" s="61"/>
      <c r="AD656" s="62"/>
      <c r="AE656" s="62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</row>
    <row r="657" spans="1:77" x14ac:dyDescent="0.3">
      <c r="A657" s="39"/>
      <c r="B657" s="42"/>
      <c r="C657" s="42"/>
      <c r="D657" s="75"/>
      <c r="E657" s="75"/>
      <c r="F657" s="76"/>
      <c r="G657" s="47"/>
      <c r="H657" s="47"/>
      <c r="I657" s="75"/>
      <c r="J657" s="76"/>
      <c r="K657" s="76"/>
      <c r="L657" s="75"/>
      <c r="M657" s="49"/>
      <c r="N657" s="76"/>
      <c r="O657" s="49"/>
      <c r="P657" s="77"/>
      <c r="Q657" s="53"/>
      <c r="R657" s="54"/>
      <c r="S657" s="55"/>
      <c r="T657" s="56"/>
      <c r="U657" s="56"/>
      <c r="V657" s="42"/>
      <c r="W657" s="57"/>
      <c r="X657" s="58"/>
      <c r="Y657" s="75"/>
      <c r="Z657" s="59"/>
      <c r="AA657" s="61"/>
      <c r="AB657" s="61"/>
      <c r="AC657" s="61"/>
      <c r="AD657" s="62"/>
      <c r="AE657" s="62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</row>
    <row r="658" spans="1:77" x14ac:dyDescent="0.3">
      <c r="A658" s="39"/>
      <c r="B658" s="42"/>
      <c r="C658" s="42"/>
      <c r="D658" s="75"/>
      <c r="E658" s="75"/>
      <c r="F658" s="76"/>
      <c r="G658" s="47"/>
      <c r="H658" s="47"/>
      <c r="I658" s="75"/>
      <c r="J658" s="76"/>
      <c r="K658" s="76"/>
      <c r="L658" s="75"/>
      <c r="M658" s="49"/>
      <c r="N658" s="76"/>
      <c r="O658" s="49"/>
      <c r="P658" s="77"/>
      <c r="Q658" s="53"/>
      <c r="R658" s="54"/>
      <c r="S658" s="55"/>
      <c r="T658" s="56"/>
      <c r="U658" s="56"/>
      <c r="V658" s="42"/>
      <c r="W658" s="57"/>
      <c r="X658" s="58"/>
      <c r="Y658" s="75"/>
      <c r="Z658" s="59"/>
      <c r="AA658" s="61"/>
      <c r="AB658" s="61"/>
      <c r="AC658" s="61"/>
      <c r="AD658" s="62"/>
      <c r="AE658" s="62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</row>
    <row r="659" spans="1:77" x14ac:dyDescent="0.3">
      <c r="A659" s="39"/>
      <c r="B659" s="42"/>
      <c r="C659" s="42"/>
      <c r="D659" s="75"/>
      <c r="E659" s="75"/>
      <c r="F659" s="76"/>
      <c r="G659" s="47"/>
      <c r="H659" s="47"/>
      <c r="I659" s="75"/>
      <c r="J659" s="76"/>
      <c r="K659" s="76"/>
      <c r="L659" s="75"/>
      <c r="M659" s="49"/>
      <c r="N659" s="76"/>
      <c r="O659" s="49"/>
      <c r="P659" s="77"/>
      <c r="Q659" s="53"/>
      <c r="R659" s="54"/>
      <c r="S659" s="55"/>
      <c r="T659" s="56"/>
      <c r="U659" s="56"/>
      <c r="V659" s="42"/>
      <c r="W659" s="57"/>
      <c r="X659" s="58"/>
      <c r="Y659" s="75"/>
      <c r="Z659" s="59"/>
      <c r="AA659" s="61"/>
      <c r="AB659" s="61"/>
      <c r="AC659" s="61"/>
      <c r="AD659" s="62"/>
      <c r="AE659" s="62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</row>
    <row r="660" spans="1:77" x14ac:dyDescent="0.3">
      <c r="A660" s="39"/>
      <c r="B660" s="42"/>
      <c r="C660" s="42"/>
      <c r="D660" s="75"/>
      <c r="E660" s="75"/>
      <c r="F660" s="76"/>
      <c r="G660" s="47"/>
      <c r="H660" s="47"/>
      <c r="I660" s="75"/>
      <c r="J660" s="76"/>
      <c r="K660" s="76"/>
      <c r="L660" s="75"/>
      <c r="M660" s="49"/>
      <c r="N660" s="76"/>
      <c r="O660" s="49"/>
      <c r="P660" s="77"/>
      <c r="Q660" s="53"/>
      <c r="R660" s="54"/>
      <c r="S660" s="55"/>
      <c r="T660" s="56"/>
      <c r="U660" s="56"/>
      <c r="V660" s="42"/>
      <c r="W660" s="57"/>
      <c r="X660" s="58"/>
      <c r="Y660" s="75"/>
      <c r="Z660" s="59"/>
      <c r="AA660" s="61"/>
      <c r="AB660" s="61"/>
      <c r="AC660" s="61"/>
      <c r="AD660" s="62"/>
      <c r="AE660" s="62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</row>
    <row r="661" spans="1:77" x14ac:dyDescent="0.3">
      <c r="A661" s="39"/>
      <c r="B661" s="42"/>
      <c r="C661" s="42"/>
      <c r="D661" s="75"/>
      <c r="E661" s="75"/>
      <c r="F661" s="76"/>
      <c r="G661" s="47"/>
      <c r="H661" s="47"/>
      <c r="I661" s="75"/>
      <c r="J661" s="76"/>
      <c r="K661" s="76"/>
      <c r="L661" s="75"/>
      <c r="M661" s="49"/>
      <c r="N661" s="76"/>
      <c r="O661" s="49"/>
      <c r="P661" s="77"/>
      <c r="Q661" s="53"/>
      <c r="R661" s="54"/>
      <c r="S661" s="55"/>
      <c r="T661" s="56"/>
      <c r="U661" s="56"/>
      <c r="V661" s="42"/>
      <c r="W661" s="57"/>
      <c r="X661" s="58"/>
      <c r="Y661" s="75"/>
      <c r="Z661" s="59"/>
      <c r="AA661" s="61"/>
      <c r="AB661" s="61"/>
      <c r="AC661" s="61"/>
      <c r="AD661" s="62"/>
      <c r="AE661" s="62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</row>
    <row r="662" spans="1:77" x14ac:dyDescent="0.3">
      <c r="A662" s="39"/>
      <c r="B662" s="42"/>
      <c r="C662" s="42"/>
      <c r="D662" s="75"/>
      <c r="E662" s="75"/>
      <c r="F662" s="76"/>
      <c r="G662" s="47"/>
      <c r="H662" s="47"/>
      <c r="I662" s="75"/>
      <c r="J662" s="76"/>
      <c r="K662" s="76"/>
      <c r="L662" s="75"/>
      <c r="M662" s="49"/>
      <c r="N662" s="76"/>
      <c r="O662" s="49"/>
      <c r="P662" s="77"/>
      <c r="Q662" s="53"/>
      <c r="R662" s="54"/>
      <c r="S662" s="55"/>
      <c r="T662" s="56"/>
      <c r="U662" s="56"/>
      <c r="V662" s="42"/>
      <c r="W662" s="57"/>
      <c r="X662" s="58"/>
      <c r="Y662" s="75"/>
      <c r="Z662" s="59"/>
      <c r="AA662" s="61"/>
      <c r="AB662" s="61"/>
      <c r="AC662" s="61"/>
      <c r="AD662" s="62"/>
      <c r="AE662" s="62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</row>
    <row r="663" spans="1:77" x14ac:dyDescent="0.3">
      <c r="A663" s="39"/>
      <c r="B663" s="42"/>
      <c r="C663" s="42"/>
      <c r="D663" s="75"/>
      <c r="E663" s="75"/>
      <c r="F663" s="76"/>
      <c r="G663" s="47"/>
      <c r="H663" s="47"/>
      <c r="I663" s="75"/>
      <c r="J663" s="76"/>
      <c r="K663" s="76"/>
      <c r="L663" s="75"/>
      <c r="M663" s="49"/>
      <c r="N663" s="76"/>
      <c r="O663" s="49"/>
      <c r="P663" s="77"/>
      <c r="Q663" s="53"/>
      <c r="R663" s="54"/>
      <c r="S663" s="55"/>
      <c r="T663" s="56"/>
      <c r="U663" s="56"/>
      <c r="V663" s="42"/>
      <c r="W663" s="57"/>
      <c r="X663" s="58"/>
      <c r="Y663" s="75"/>
      <c r="Z663" s="59"/>
      <c r="AA663" s="61"/>
      <c r="AB663" s="61"/>
      <c r="AC663" s="61"/>
      <c r="AD663" s="62"/>
      <c r="AE663" s="62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</row>
    <row r="664" spans="1:77" x14ac:dyDescent="0.3">
      <c r="A664" s="39"/>
      <c r="B664" s="42"/>
      <c r="C664" s="42"/>
      <c r="D664" s="75"/>
      <c r="E664" s="75"/>
      <c r="F664" s="76"/>
      <c r="G664" s="47"/>
      <c r="H664" s="47"/>
      <c r="I664" s="75"/>
      <c r="J664" s="76"/>
      <c r="K664" s="76"/>
      <c r="L664" s="75"/>
      <c r="M664" s="49"/>
      <c r="N664" s="76"/>
      <c r="O664" s="49"/>
      <c r="P664" s="77"/>
      <c r="Q664" s="53"/>
      <c r="R664" s="54"/>
      <c r="S664" s="55"/>
      <c r="T664" s="56"/>
      <c r="U664" s="56"/>
      <c r="V664" s="42"/>
      <c r="W664" s="57"/>
      <c r="X664" s="58"/>
      <c r="Y664" s="75"/>
      <c r="Z664" s="59"/>
      <c r="AA664" s="61"/>
      <c r="AB664" s="61"/>
      <c r="AC664" s="61"/>
      <c r="AD664" s="62"/>
      <c r="AE664" s="62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</row>
    <row r="665" spans="1:77" x14ac:dyDescent="0.3">
      <c r="A665" s="39"/>
      <c r="B665" s="42"/>
      <c r="C665" s="42"/>
      <c r="D665" s="75"/>
      <c r="E665" s="75"/>
      <c r="F665" s="76"/>
      <c r="G665" s="47"/>
      <c r="H665" s="47"/>
      <c r="I665" s="75"/>
      <c r="J665" s="76"/>
      <c r="K665" s="76"/>
      <c r="L665" s="75"/>
      <c r="M665" s="49"/>
      <c r="N665" s="76"/>
      <c r="O665" s="49"/>
      <c r="P665" s="77"/>
      <c r="Q665" s="53"/>
      <c r="R665" s="54"/>
      <c r="S665" s="55"/>
      <c r="T665" s="56"/>
      <c r="U665" s="56"/>
      <c r="V665" s="42"/>
      <c r="W665" s="57"/>
      <c r="X665" s="58"/>
      <c r="Y665" s="75"/>
      <c r="Z665" s="59"/>
      <c r="AA665" s="61"/>
      <c r="AB665" s="61"/>
      <c r="AC665" s="61"/>
      <c r="AD665" s="62"/>
      <c r="AE665" s="62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</row>
    <row r="666" spans="1:77" x14ac:dyDescent="0.3">
      <c r="A666" s="39"/>
      <c r="B666" s="42"/>
      <c r="C666" s="42"/>
      <c r="D666" s="75"/>
      <c r="E666" s="75"/>
      <c r="F666" s="76"/>
      <c r="G666" s="47"/>
      <c r="H666" s="47"/>
      <c r="I666" s="75"/>
      <c r="J666" s="76"/>
      <c r="K666" s="76"/>
      <c r="L666" s="75"/>
      <c r="M666" s="49"/>
      <c r="N666" s="76"/>
      <c r="O666" s="49"/>
      <c r="P666" s="77"/>
      <c r="Q666" s="53"/>
      <c r="R666" s="54"/>
      <c r="S666" s="55"/>
      <c r="T666" s="56"/>
      <c r="U666" s="56"/>
      <c r="V666" s="42"/>
      <c r="W666" s="57"/>
      <c r="X666" s="58"/>
      <c r="Y666" s="75"/>
      <c r="Z666" s="59"/>
      <c r="AA666" s="61"/>
      <c r="AB666" s="61"/>
      <c r="AC666" s="61"/>
      <c r="AD666" s="62"/>
      <c r="AE666" s="62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</row>
    <row r="667" spans="1:77" x14ac:dyDescent="0.3">
      <c r="A667" s="39"/>
      <c r="B667" s="42"/>
      <c r="C667" s="42"/>
      <c r="D667" s="75"/>
      <c r="E667" s="75"/>
      <c r="F667" s="76"/>
      <c r="G667" s="47"/>
      <c r="H667" s="47"/>
      <c r="I667" s="75"/>
      <c r="J667" s="76"/>
      <c r="K667" s="76"/>
      <c r="L667" s="75"/>
      <c r="M667" s="49"/>
      <c r="N667" s="76"/>
      <c r="O667" s="49"/>
      <c r="P667" s="77"/>
      <c r="Q667" s="53"/>
      <c r="R667" s="54"/>
      <c r="S667" s="55"/>
      <c r="T667" s="56"/>
      <c r="U667" s="56"/>
      <c r="V667" s="42"/>
      <c r="W667" s="57"/>
      <c r="X667" s="58"/>
      <c r="Y667" s="75"/>
      <c r="Z667" s="59"/>
      <c r="AA667" s="61"/>
      <c r="AB667" s="61"/>
      <c r="AC667" s="61"/>
      <c r="AD667" s="62"/>
      <c r="AE667" s="62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</row>
    <row r="668" spans="1:77" x14ac:dyDescent="0.3">
      <c r="A668" s="39"/>
      <c r="B668" s="42"/>
      <c r="C668" s="42"/>
      <c r="D668" s="75"/>
      <c r="E668" s="75"/>
      <c r="F668" s="76"/>
      <c r="G668" s="47"/>
      <c r="H668" s="47"/>
      <c r="I668" s="75"/>
      <c r="J668" s="76"/>
      <c r="K668" s="76"/>
      <c r="L668" s="75"/>
      <c r="M668" s="49"/>
      <c r="N668" s="76"/>
      <c r="O668" s="49"/>
      <c r="P668" s="77"/>
      <c r="Q668" s="53"/>
      <c r="R668" s="54"/>
      <c r="S668" s="55"/>
      <c r="T668" s="56"/>
      <c r="U668" s="56"/>
      <c r="V668" s="42"/>
      <c r="W668" s="57"/>
      <c r="X668" s="58"/>
      <c r="Y668" s="75"/>
      <c r="Z668" s="59"/>
      <c r="AA668" s="61"/>
      <c r="AB668" s="61"/>
      <c r="AC668" s="61"/>
      <c r="AD668" s="62"/>
      <c r="AE668" s="62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</row>
    <row r="669" spans="1:77" x14ac:dyDescent="0.3">
      <c r="A669" s="39"/>
      <c r="B669" s="42"/>
      <c r="C669" s="42"/>
      <c r="D669" s="75"/>
      <c r="E669" s="75"/>
      <c r="F669" s="76"/>
      <c r="G669" s="47"/>
      <c r="H669" s="47"/>
      <c r="I669" s="75"/>
      <c r="J669" s="76"/>
      <c r="K669" s="76"/>
      <c r="L669" s="75"/>
      <c r="M669" s="49"/>
      <c r="N669" s="76"/>
      <c r="O669" s="49"/>
      <c r="P669" s="77"/>
      <c r="Q669" s="53"/>
      <c r="R669" s="54"/>
      <c r="S669" s="55"/>
      <c r="T669" s="56"/>
      <c r="U669" s="56"/>
      <c r="V669" s="42"/>
      <c r="W669" s="57"/>
      <c r="X669" s="58"/>
      <c r="Y669" s="75"/>
      <c r="Z669" s="59"/>
      <c r="AA669" s="61"/>
      <c r="AB669" s="61"/>
      <c r="AC669" s="61"/>
      <c r="AD669" s="62"/>
      <c r="AE669" s="62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</row>
    <row r="670" spans="1:77" x14ac:dyDescent="0.3">
      <c r="A670" s="39"/>
      <c r="B670" s="42"/>
      <c r="C670" s="42"/>
      <c r="D670" s="75"/>
      <c r="E670" s="75"/>
      <c r="F670" s="76"/>
      <c r="G670" s="47"/>
      <c r="H670" s="47"/>
      <c r="I670" s="75"/>
      <c r="J670" s="76"/>
      <c r="K670" s="76"/>
      <c r="L670" s="75"/>
      <c r="M670" s="49"/>
      <c r="N670" s="76"/>
      <c r="O670" s="49"/>
      <c r="P670" s="77"/>
      <c r="Q670" s="53"/>
      <c r="R670" s="54"/>
      <c r="S670" s="55"/>
      <c r="T670" s="56"/>
      <c r="U670" s="56"/>
      <c r="V670" s="42"/>
      <c r="W670" s="57"/>
      <c r="X670" s="58"/>
      <c r="Y670" s="75"/>
      <c r="Z670" s="59"/>
      <c r="AA670" s="61"/>
      <c r="AB670" s="61"/>
      <c r="AC670" s="61"/>
      <c r="AD670" s="62"/>
      <c r="AE670" s="62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</row>
    <row r="671" spans="1:77" x14ac:dyDescent="0.3">
      <c r="A671" s="39"/>
      <c r="B671" s="42"/>
      <c r="C671" s="42"/>
      <c r="D671" s="75"/>
      <c r="E671" s="75"/>
      <c r="F671" s="76"/>
      <c r="G671" s="47"/>
      <c r="H671" s="47"/>
      <c r="I671" s="75"/>
      <c r="J671" s="76"/>
      <c r="K671" s="76"/>
      <c r="L671" s="75"/>
      <c r="M671" s="49"/>
      <c r="N671" s="76"/>
      <c r="O671" s="49"/>
      <c r="P671" s="77"/>
      <c r="Q671" s="53"/>
      <c r="R671" s="54"/>
      <c r="S671" s="55"/>
      <c r="T671" s="56"/>
      <c r="U671" s="56"/>
      <c r="V671" s="42"/>
      <c r="W671" s="57"/>
      <c r="X671" s="58"/>
      <c r="Y671" s="75"/>
      <c r="Z671" s="59"/>
      <c r="AA671" s="61"/>
      <c r="AB671" s="61"/>
      <c r="AC671" s="61"/>
      <c r="AD671" s="62"/>
      <c r="AE671" s="62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</row>
    <row r="672" spans="1:77" x14ac:dyDescent="0.3">
      <c r="A672" s="39"/>
      <c r="B672" s="42"/>
      <c r="C672" s="42"/>
      <c r="D672" s="75"/>
      <c r="E672" s="75"/>
      <c r="F672" s="76"/>
      <c r="G672" s="47"/>
      <c r="H672" s="47"/>
      <c r="I672" s="75"/>
      <c r="J672" s="76"/>
      <c r="K672" s="76"/>
      <c r="L672" s="75"/>
      <c r="M672" s="49"/>
      <c r="N672" s="76"/>
      <c r="O672" s="49"/>
      <c r="P672" s="77"/>
      <c r="Q672" s="53"/>
      <c r="R672" s="54"/>
      <c r="S672" s="55"/>
      <c r="T672" s="56"/>
      <c r="U672" s="56"/>
      <c r="V672" s="42"/>
      <c r="W672" s="57"/>
      <c r="X672" s="58"/>
      <c r="Y672" s="75"/>
      <c r="Z672" s="59"/>
      <c r="AA672" s="61"/>
      <c r="AB672" s="61"/>
      <c r="AC672" s="61"/>
      <c r="AD672" s="62"/>
      <c r="AE672" s="62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</row>
    <row r="673" spans="1:77" x14ac:dyDescent="0.3">
      <c r="A673" s="39"/>
      <c r="B673" s="42"/>
      <c r="C673" s="42"/>
      <c r="D673" s="75"/>
      <c r="E673" s="75"/>
      <c r="F673" s="76"/>
      <c r="G673" s="47"/>
      <c r="H673" s="47"/>
      <c r="I673" s="75"/>
      <c r="J673" s="76"/>
      <c r="K673" s="76"/>
      <c r="L673" s="75"/>
      <c r="M673" s="49"/>
      <c r="N673" s="76"/>
      <c r="O673" s="49"/>
      <c r="P673" s="77"/>
      <c r="Q673" s="53"/>
      <c r="R673" s="54"/>
      <c r="S673" s="55"/>
      <c r="T673" s="56"/>
      <c r="U673" s="56"/>
      <c r="V673" s="42"/>
      <c r="W673" s="57"/>
      <c r="X673" s="58"/>
      <c r="Y673" s="75"/>
      <c r="Z673" s="59"/>
      <c r="AA673" s="61"/>
      <c r="AB673" s="61"/>
      <c r="AC673" s="61"/>
      <c r="AD673" s="62"/>
      <c r="AE673" s="62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</row>
    <row r="674" spans="1:77" x14ac:dyDescent="0.3">
      <c r="A674" s="39"/>
      <c r="B674" s="42"/>
      <c r="C674" s="42"/>
      <c r="D674" s="75"/>
      <c r="E674" s="75"/>
      <c r="F674" s="76"/>
      <c r="G674" s="47"/>
      <c r="H674" s="47"/>
      <c r="I674" s="75"/>
      <c r="J674" s="76"/>
      <c r="K674" s="76"/>
      <c r="L674" s="75"/>
      <c r="M674" s="49"/>
      <c r="N674" s="76"/>
      <c r="O674" s="49"/>
      <c r="P674" s="77"/>
      <c r="Q674" s="53"/>
      <c r="R674" s="54"/>
      <c r="S674" s="55"/>
      <c r="T674" s="56"/>
      <c r="U674" s="56"/>
      <c r="V674" s="42"/>
      <c r="W674" s="57"/>
      <c r="X674" s="58"/>
      <c r="Y674" s="75"/>
      <c r="Z674" s="59"/>
      <c r="AA674" s="61"/>
      <c r="AB674" s="61"/>
      <c r="AC674" s="61"/>
      <c r="AD674" s="62"/>
      <c r="AE674" s="62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</row>
    <row r="675" spans="1:77" x14ac:dyDescent="0.3">
      <c r="A675" s="39"/>
      <c r="B675" s="42"/>
      <c r="C675" s="42"/>
      <c r="D675" s="75"/>
      <c r="E675" s="75"/>
      <c r="F675" s="76"/>
      <c r="G675" s="47"/>
      <c r="H675" s="47"/>
      <c r="I675" s="75"/>
      <c r="J675" s="76"/>
      <c r="K675" s="76"/>
      <c r="L675" s="75"/>
      <c r="M675" s="49"/>
      <c r="N675" s="76"/>
      <c r="O675" s="49"/>
      <c r="P675" s="77"/>
      <c r="Q675" s="53"/>
      <c r="R675" s="54"/>
      <c r="S675" s="55"/>
      <c r="T675" s="56"/>
      <c r="U675" s="56"/>
      <c r="V675" s="42"/>
      <c r="W675" s="57"/>
      <c r="X675" s="58"/>
      <c r="Y675" s="75"/>
      <c r="Z675" s="59"/>
      <c r="AA675" s="61"/>
      <c r="AB675" s="61"/>
      <c r="AC675" s="61"/>
      <c r="AD675" s="62"/>
      <c r="AE675" s="62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</row>
    <row r="676" spans="1:77" x14ac:dyDescent="0.3">
      <c r="A676" s="39"/>
      <c r="B676" s="42"/>
      <c r="C676" s="42"/>
      <c r="D676" s="75"/>
      <c r="E676" s="75"/>
      <c r="F676" s="76"/>
      <c r="G676" s="47"/>
      <c r="H676" s="47"/>
      <c r="I676" s="75"/>
      <c r="J676" s="76"/>
      <c r="K676" s="76"/>
      <c r="L676" s="75"/>
      <c r="M676" s="49"/>
      <c r="N676" s="76"/>
      <c r="O676" s="49"/>
      <c r="P676" s="77"/>
      <c r="Q676" s="53"/>
      <c r="R676" s="54"/>
      <c r="S676" s="55"/>
      <c r="T676" s="56"/>
      <c r="U676" s="56"/>
      <c r="V676" s="42"/>
      <c r="W676" s="57"/>
      <c r="X676" s="58"/>
      <c r="Y676" s="75"/>
      <c r="Z676" s="59"/>
      <c r="AA676" s="61"/>
      <c r="AB676" s="61"/>
      <c r="AC676" s="61"/>
      <c r="AD676" s="62"/>
      <c r="AE676" s="62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</row>
    <row r="677" spans="1:77" x14ac:dyDescent="0.3">
      <c r="A677" s="39"/>
      <c r="B677" s="42"/>
      <c r="C677" s="42"/>
      <c r="D677" s="75"/>
      <c r="E677" s="75"/>
      <c r="F677" s="76"/>
      <c r="G677" s="47"/>
      <c r="H677" s="47"/>
      <c r="I677" s="75"/>
      <c r="J677" s="76"/>
      <c r="K677" s="76"/>
      <c r="L677" s="75"/>
      <c r="M677" s="49"/>
      <c r="N677" s="76"/>
      <c r="O677" s="49"/>
      <c r="P677" s="77"/>
      <c r="Q677" s="53"/>
      <c r="R677" s="54"/>
      <c r="S677" s="55"/>
      <c r="T677" s="56"/>
      <c r="U677" s="56"/>
      <c r="V677" s="42"/>
      <c r="W677" s="57"/>
      <c r="X677" s="58"/>
      <c r="Y677" s="75"/>
      <c r="Z677" s="59"/>
      <c r="AA677" s="61"/>
      <c r="AB677" s="61"/>
      <c r="AC677" s="61"/>
      <c r="AD677" s="62"/>
      <c r="AE677" s="62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</row>
    <row r="678" spans="1:77" x14ac:dyDescent="0.3">
      <c r="A678" s="39"/>
      <c r="B678" s="42"/>
      <c r="C678" s="42"/>
      <c r="D678" s="75"/>
      <c r="E678" s="75"/>
      <c r="F678" s="76"/>
      <c r="G678" s="47"/>
      <c r="H678" s="47"/>
      <c r="I678" s="75"/>
      <c r="J678" s="76"/>
      <c r="K678" s="76"/>
      <c r="L678" s="75"/>
      <c r="M678" s="49"/>
      <c r="N678" s="76"/>
      <c r="O678" s="49"/>
      <c r="P678" s="77"/>
      <c r="Q678" s="53"/>
      <c r="R678" s="54"/>
      <c r="S678" s="55"/>
      <c r="T678" s="56"/>
      <c r="U678" s="56"/>
      <c r="V678" s="42"/>
      <c r="W678" s="57"/>
      <c r="X678" s="58"/>
      <c r="Y678" s="75"/>
      <c r="Z678" s="59"/>
      <c r="AA678" s="61"/>
      <c r="AB678" s="61"/>
      <c r="AC678" s="61"/>
      <c r="AD678" s="62"/>
      <c r="AE678" s="62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</row>
    <row r="679" spans="1:77" x14ac:dyDescent="0.3">
      <c r="A679" s="39"/>
      <c r="B679" s="42"/>
      <c r="C679" s="42"/>
      <c r="D679" s="75"/>
      <c r="E679" s="75"/>
      <c r="F679" s="76"/>
      <c r="G679" s="47"/>
      <c r="H679" s="47"/>
      <c r="I679" s="75"/>
      <c r="J679" s="76"/>
      <c r="K679" s="76"/>
      <c r="L679" s="75"/>
      <c r="M679" s="49"/>
      <c r="N679" s="76"/>
      <c r="O679" s="49"/>
      <c r="P679" s="77"/>
      <c r="Q679" s="53"/>
      <c r="R679" s="54"/>
      <c r="S679" s="55"/>
      <c r="T679" s="56"/>
      <c r="U679" s="56"/>
      <c r="V679" s="42"/>
      <c r="W679" s="57"/>
      <c r="X679" s="58"/>
      <c r="Y679" s="75"/>
      <c r="Z679" s="59"/>
      <c r="AA679" s="61"/>
      <c r="AB679" s="61"/>
      <c r="AC679" s="61"/>
      <c r="AD679" s="62"/>
      <c r="AE679" s="62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</row>
    <row r="680" spans="1:77" x14ac:dyDescent="0.3">
      <c r="A680" s="39"/>
      <c r="B680" s="42"/>
      <c r="C680" s="42"/>
      <c r="D680" s="75"/>
      <c r="E680" s="75"/>
      <c r="F680" s="76"/>
      <c r="G680" s="47"/>
      <c r="H680" s="47"/>
      <c r="I680" s="75"/>
      <c r="J680" s="76"/>
      <c r="K680" s="76"/>
      <c r="L680" s="75"/>
      <c r="M680" s="49"/>
      <c r="N680" s="76"/>
      <c r="O680" s="49"/>
      <c r="P680" s="77"/>
      <c r="Q680" s="53"/>
      <c r="R680" s="54"/>
      <c r="S680" s="55"/>
      <c r="T680" s="56"/>
      <c r="U680" s="56"/>
      <c r="V680" s="42"/>
      <c r="W680" s="57"/>
      <c r="X680" s="58"/>
      <c r="Y680" s="75"/>
      <c r="Z680" s="59"/>
      <c r="AA680" s="61"/>
      <c r="AB680" s="61"/>
      <c r="AC680" s="61"/>
      <c r="AD680" s="62"/>
      <c r="AE680" s="62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</row>
    <row r="681" spans="1:77" x14ac:dyDescent="0.3">
      <c r="A681" s="39"/>
      <c r="B681" s="42"/>
      <c r="C681" s="42"/>
      <c r="D681" s="75"/>
      <c r="E681" s="75"/>
      <c r="F681" s="76"/>
      <c r="G681" s="47"/>
      <c r="H681" s="47"/>
      <c r="I681" s="75"/>
      <c r="J681" s="76"/>
      <c r="K681" s="76"/>
      <c r="L681" s="75"/>
      <c r="M681" s="49"/>
      <c r="N681" s="76"/>
      <c r="O681" s="49"/>
      <c r="P681" s="77"/>
      <c r="Q681" s="53"/>
      <c r="R681" s="54"/>
      <c r="S681" s="55"/>
      <c r="T681" s="56"/>
      <c r="U681" s="56"/>
      <c r="V681" s="42"/>
      <c r="W681" s="57"/>
      <c r="X681" s="58"/>
      <c r="Y681" s="75"/>
      <c r="Z681" s="59"/>
      <c r="AA681" s="61"/>
      <c r="AB681" s="61"/>
      <c r="AC681" s="61"/>
      <c r="AD681" s="62"/>
      <c r="AE681" s="62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</row>
    <row r="682" spans="1:77" x14ac:dyDescent="0.3">
      <c r="A682" s="39"/>
      <c r="B682" s="42"/>
      <c r="C682" s="42"/>
      <c r="D682" s="75"/>
      <c r="E682" s="75"/>
      <c r="F682" s="76"/>
      <c r="G682" s="47"/>
      <c r="H682" s="47"/>
      <c r="I682" s="75"/>
      <c r="J682" s="76"/>
      <c r="K682" s="76"/>
      <c r="L682" s="75"/>
      <c r="M682" s="49"/>
      <c r="N682" s="76"/>
      <c r="O682" s="49"/>
      <c r="P682" s="77"/>
      <c r="Q682" s="53"/>
      <c r="R682" s="54"/>
      <c r="S682" s="55"/>
      <c r="T682" s="56"/>
      <c r="U682" s="56"/>
      <c r="V682" s="42"/>
      <c r="W682" s="57"/>
      <c r="X682" s="58"/>
      <c r="Y682" s="75"/>
      <c r="Z682" s="59"/>
      <c r="AA682" s="61"/>
      <c r="AB682" s="61"/>
      <c r="AC682" s="61"/>
      <c r="AD682" s="62"/>
      <c r="AE682" s="62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</row>
    <row r="683" spans="1:77" x14ac:dyDescent="0.3">
      <c r="A683" s="39"/>
      <c r="B683" s="42"/>
      <c r="C683" s="42"/>
      <c r="D683" s="75"/>
      <c r="E683" s="75"/>
      <c r="F683" s="76"/>
      <c r="G683" s="47"/>
      <c r="H683" s="47"/>
      <c r="I683" s="75"/>
      <c r="J683" s="76"/>
      <c r="K683" s="76"/>
      <c r="L683" s="75"/>
      <c r="M683" s="49"/>
      <c r="N683" s="76"/>
      <c r="O683" s="49"/>
      <c r="P683" s="77"/>
      <c r="Q683" s="53"/>
      <c r="R683" s="54"/>
      <c r="S683" s="55"/>
      <c r="T683" s="56"/>
      <c r="U683" s="56"/>
      <c r="V683" s="42"/>
      <c r="W683" s="57"/>
      <c r="X683" s="58"/>
      <c r="Y683" s="75"/>
      <c r="Z683" s="59"/>
      <c r="AA683" s="61"/>
      <c r="AB683" s="61"/>
      <c r="AC683" s="61"/>
      <c r="AD683" s="62"/>
      <c r="AE683" s="62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</row>
    <row r="684" spans="1:77" x14ac:dyDescent="0.3">
      <c r="A684" s="39"/>
      <c r="B684" s="42"/>
      <c r="C684" s="42"/>
      <c r="D684" s="75"/>
      <c r="E684" s="75"/>
      <c r="F684" s="76"/>
      <c r="G684" s="47"/>
      <c r="H684" s="47"/>
      <c r="I684" s="75"/>
      <c r="J684" s="76"/>
      <c r="K684" s="76"/>
      <c r="L684" s="75"/>
      <c r="M684" s="49"/>
      <c r="N684" s="76"/>
      <c r="O684" s="49"/>
      <c r="P684" s="77"/>
      <c r="Q684" s="53"/>
      <c r="R684" s="54"/>
      <c r="S684" s="55"/>
      <c r="T684" s="56"/>
      <c r="U684" s="56"/>
      <c r="V684" s="42"/>
      <c r="W684" s="57"/>
      <c r="X684" s="58"/>
      <c r="Y684" s="75"/>
      <c r="Z684" s="59"/>
      <c r="AA684" s="61"/>
      <c r="AB684" s="61"/>
      <c r="AC684" s="61"/>
      <c r="AD684" s="62"/>
      <c r="AE684" s="62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</row>
    <row r="685" spans="1:77" x14ac:dyDescent="0.3">
      <c r="A685" s="39"/>
      <c r="B685" s="42"/>
      <c r="C685" s="42"/>
      <c r="D685" s="75"/>
      <c r="E685" s="75"/>
      <c r="F685" s="76"/>
      <c r="G685" s="47"/>
      <c r="H685" s="47"/>
      <c r="I685" s="75"/>
      <c r="J685" s="76"/>
      <c r="K685" s="76"/>
      <c r="L685" s="75"/>
      <c r="M685" s="49"/>
      <c r="N685" s="76"/>
      <c r="O685" s="49"/>
      <c r="P685" s="77"/>
      <c r="Q685" s="53"/>
      <c r="R685" s="54"/>
      <c r="S685" s="55"/>
      <c r="T685" s="56"/>
      <c r="U685" s="56"/>
      <c r="V685" s="42"/>
      <c r="W685" s="57"/>
      <c r="X685" s="58"/>
      <c r="Y685" s="75"/>
      <c r="Z685" s="59"/>
      <c r="AA685" s="61"/>
      <c r="AB685" s="61"/>
      <c r="AC685" s="61"/>
      <c r="AD685" s="62"/>
      <c r="AE685" s="62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</row>
    <row r="686" spans="1:77" x14ac:dyDescent="0.3">
      <c r="A686" s="39"/>
      <c r="B686" s="42"/>
      <c r="C686" s="42"/>
      <c r="D686" s="75"/>
      <c r="E686" s="75"/>
      <c r="F686" s="76"/>
      <c r="G686" s="47"/>
      <c r="H686" s="47"/>
      <c r="I686" s="75"/>
      <c r="J686" s="76"/>
      <c r="K686" s="76"/>
      <c r="L686" s="75"/>
      <c r="M686" s="49"/>
      <c r="N686" s="76"/>
      <c r="O686" s="49"/>
      <c r="P686" s="77"/>
      <c r="Q686" s="53"/>
      <c r="R686" s="54"/>
      <c r="S686" s="55"/>
      <c r="T686" s="56"/>
      <c r="U686" s="56"/>
      <c r="V686" s="42"/>
      <c r="W686" s="57"/>
      <c r="X686" s="58"/>
      <c r="Y686" s="75"/>
      <c r="Z686" s="59"/>
      <c r="AA686" s="61"/>
      <c r="AB686" s="61"/>
      <c r="AC686" s="61"/>
      <c r="AD686" s="62"/>
      <c r="AE686" s="62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</row>
    <row r="687" spans="1:77" x14ac:dyDescent="0.3">
      <c r="A687" s="39"/>
      <c r="B687" s="42"/>
      <c r="C687" s="42"/>
      <c r="D687" s="75"/>
      <c r="E687" s="75"/>
      <c r="F687" s="76"/>
      <c r="G687" s="47"/>
      <c r="H687" s="47"/>
      <c r="I687" s="75"/>
      <c r="J687" s="76"/>
      <c r="K687" s="76"/>
      <c r="L687" s="75"/>
      <c r="M687" s="49"/>
      <c r="N687" s="76"/>
      <c r="O687" s="49"/>
      <c r="P687" s="77"/>
      <c r="Q687" s="53"/>
      <c r="R687" s="54"/>
      <c r="S687" s="55"/>
      <c r="T687" s="56"/>
      <c r="U687" s="56"/>
      <c r="V687" s="42"/>
      <c r="W687" s="57"/>
      <c r="X687" s="58"/>
      <c r="Y687" s="75"/>
      <c r="Z687" s="59"/>
      <c r="AA687" s="61"/>
      <c r="AB687" s="61"/>
      <c r="AC687" s="61"/>
      <c r="AD687" s="62"/>
      <c r="AE687" s="62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</row>
    <row r="688" spans="1:77" x14ac:dyDescent="0.3">
      <c r="A688" s="39"/>
      <c r="B688" s="42"/>
      <c r="C688" s="42"/>
      <c r="D688" s="75"/>
      <c r="E688" s="75"/>
      <c r="F688" s="76"/>
      <c r="G688" s="47"/>
      <c r="H688" s="47"/>
      <c r="I688" s="75"/>
      <c r="J688" s="76"/>
      <c r="K688" s="76"/>
      <c r="L688" s="75"/>
      <c r="M688" s="49"/>
      <c r="N688" s="76"/>
      <c r="O688" s="49"/>
      <c r="P688" s="77"/>
      <c r="Q688" s="53"/>
      <c r="R688" s="54"/>
      <c r="S688" s="55"/>
      <c r="T688" s="56"/>
      <c r="U688" s="56"/>
      <c r="V688" s="42"/>
      <c r="W688" s="57"/>
      <c r="X688" s="58"/>
      <c r="Y688" s="75"/>
      <c r="Z688" s="59"/>
      <c r="AA688" s="61"/>
      <c r="AB688" s="61"/>
      <c r="AC688" s="61"/>
      <c r="AD688" s="62"/>
      <c r="AE688" s="62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</row>
    <row r="689" spans="1:77" x14ac:dyDescent="0.3">
      <c r="A689" s="39"/>
      <c r="B689" s="42"/>
      <c r="C689" s="42"/>
      <c r="D689" s="75"/>
      <c r="E689" s="75"/>
      <c r="F689" s="76"/>
      <c r="G689" s="47"/>
      <c r="H689" s="47"/>
      <c r="I689" s="75"/>
      <c r="J689" s="76"/>
      <c r="K689" s="76"/>
      <c r="L689" s="75"/>
      <c r="M689" s="49"/>
      <c r="N689" s="76"/>
      <c r="O689" s="49"/>
      <c r="P689" s="77"/>
      <c r="Q689" s="53"/>
      <c r="R689" s="54"/>
      <c r="S689" s="55"/>
      <c r="T689" s="56"/>
      <c r="U689" s="56"/>
      <c r="V689" s="42"/>
      <c r="W689" s="57"/>
      <c r="X689" s="58"/>
      <c r="Y689" s="75"/>
      <c r="Z689" s="59"/>
      <c r="AA689" s="61"/>
      <c r="AB689" s="61"/>
      <c r="AC689" s="61"/>
      <c r="AD689" s="62"/>
      <c r="AE689" s="62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</row>
    <row r="690" spans="1:77" x14ac:dyDescent="0.3">
      <c r="A690" s="39"/>
      <c r="B690" s="42"/>
      <c r="C690" s="42"/>
      <c r="D690" s="75"/>
      <c r="E690" s="75"/>
      <c r="F690" s="76"/>
      <c r="G690" s="47"/>
      <c r="H690" s="47"/>
      <c r="I690" s="75"/>
      <c r="J690" s="76"/>
      <c r="K690" s="76"/>
      <c r="L690" s="75"/>
      <c r="M690" s="49"/>
      <c r="N690" s="76"/>
      <c r="O690" s="49"/>
      <c r="P690" s="77"/>
      <c r="Q690" s="53"/>
      <c r="R690" s="54"/>
      <c r="S690" s="55"/>
      <c r="T690" s="56"/>
      <c r="U690" s="56"/>
      <c r="V690" s="42"/>
      <c r="W690" s="57"/>
      <c r="X690" s="58"/>
      <c r="Y690" s="75"/>
      <c r="Z690" s="59"/>
      <c r="AA690" s="61"/>
      <c r="AB690" s="61"/>
      <c r="AC690" s="61"/>
      <c r="AD690" s="62"/>
      <c r="AE690" s="62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</row>
    <row r="691" spans="1:77" x14ac:dyDescent="0.3">
      <c r="A691" s="39"/>
      <c r="B691" s="42"/>
      <c r="C691" s="42"/>
      <c r="D691" s="75"/>
      <c r="E691" s="75"/>
      <c r="F691" s="76"/>
      <c r="G691" s="47"/>
      <c r="H691" s="47"/>
      <c r="I691" s="75"/>
      <c r="J691" s="76"/>
      <c r="K691" s="76"/>
      <c r="L691" s="75"/>
      <c r="M691" s="49"/>
      <c r="N691" s="76"/>
      <c r="O691" s="49"/>
      <c r="P691" s="77"/>
      <c r="Q691" s="53"/>
      <c r="R691" s="54"/>
      <c r="S691" s="55"/>
      <c r="T691" s="56"/>
      <c r="U691" s="56"/>
      <c r="V691" s="42"/>
      <c r="W691" s="57"/>
      <c r="X691" s="58"/>
      <c r="Y691" s="75"/>
      <c r="Z691" s="59"/>
      <c r="AA691" s="61"/>
      <c r="AB691" s="61"/>
      <c r="AC691" s="61"/>
      <c r="AD691" s="62"/>
      <c r="AE691" s="62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</row>
    <row r="692" spans="1:77" x14ac:dyDescent="0.3">
      <c r="A692" s="39"/>
      <c r="B692" s="42"/>
      <c r="C692" s="42"/>
      <c r="D692" s="75"/>
      <c r="E692" s="75"/>
      <c r="F692" s="76"/>
      <c r="G692" s="47"/>
      <c r="H692" s="47"/>
      <c r="I692" s="75"/>
      <c r="J692" s="76"/>
      <c r="K692" s="76"/>
      <c r="L692" s="75"/>
      <c r="M692" s="49"/>
      <c r="N692" s="76"/>
      <c r="O692" s="49"/>
      <c r="P692" s="77"/>
      <c r="Q692" s="53"/>
      <c r="R692" s="54"/>
      <c r="S692" s="55"/>
      <c r="T692" s="56"/>
      <c r="U692" s="56"/>
      <c r="V692" s="42"/>
      <c r="W692" s="57"/>
      <c r="X692" s="58"/>
      <c r="Y692" s="75"/>
      <c r="Z692" s="59"/>
      <c r="AA692" s="61"/>
      <c r="AB692" s="61"/>
      <c r="AC692" s="61"/>
      <c r="AD692" s="62"/>
      <c r="AE692" s="62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</row>
    <row r="693" spans="1:77" x14ac:dyDescent="0.3">
      <c r="A693" s="39"/>
      <c r="B693" s="42"/>
      <c r="C693" s="42"/>
      <c r="D693" s="75"/>
      <c r="E693" s="75"/>
      <c r="F693" s="76"/>
      <c r="G693" s="47"/>
      <c r="H693" s="47"/>
      <c r="I693" s="75"/>
      <c r="J693" s="76"/>
      <c r="K693" s="76"/>
      <c r="L693" s="75"/>
      <c r="M693" s="49"/>
      <c r="N693" s="76"/>
      <c r="O693" s="49"/>
      <c r="P693" s="77"/>
      <c r="Q693" s="53"/>
      <c r="R693" s="54"/>
      <c r="S693" s="55"/>
      <c r="T693" s="56"/>
      <c r="U693" s="56"/>
      <c r="V693" s="42"/>
      <c r="W693" s="57"/>
      <c r="X693" s="58"/>
      <c r="Y693" s="75"/>
      <c r="Z693" s="59"/>
      <c r="AA693" s="61"/>
      <c r="AB693" s="61"/>
      <c r="AC693" s="61"/>
      <c r="AD693" s="62"/>
      <c r="AE693" s="62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</row>
    <row r="694" spans="1:77" x14ac:dyDescent="0.3">
      <c r="A694" s="39"/>
      <c r="B694" s="42"/>
      <c r="C694" s="42"/>
      <c r="D694" s="75"/>
      <c r="E694" s="75"/>
      <c r="F694" s="76"/>
      <c r="G694" s="47"/>
      <c r="H694" s="47"/>
      <c r="I694" s="75"/>
      <c r="J694" s="76"/>
      <c r="K694" s="76"/>
      <c r="L694" s="75"/>
      <c r="M694" s="49"/>
      <c r="N694" s="76"/>
      <c r="O694" s="49"/>
      <c r="P694" s="77"/>
      <c r="Q694" s="53"/>
      <c r="R694" s="54"/>
      <c r="S694" s="55"/>
      <c r="T694" s="56"/>
      <c r="U694" s="56"/>
      <c r="V694" s="42"/>
      <c r="W694" s="57"/>
      <c r="X694" s="58"/>
      <c r="Y694" s="75"/>
      <c r="Z694" s="59"/>
      <c r="AA694" s="61"/>
      <c r="AB694" s="61"/>
      <c r="AC694" s="61"/>
      <c r="AD694" s="62"/>
      <c r="AE694" s="62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</row>
    <row r="695" spans="1:77" x14ac:dyDescent="0.3">
      <c r="A695" s="39"/>
      <c r="B695" s="42"/>
      <c r="C695" s="42"/>
      <c r="D695" s="75"/>
      <c r="E695" s="75"/>
      <c r="F695" s="76"/>
      <c r="G695" s="47"/>
      <c r="H695" s="47"/>
      <c r="I695" s="75"/>
      <c r="J695" s="76"/>
      <c r="K695" s="76"/>
      <c r="L695" s="75"/>
      <c r="M695" s="49"/>
      <c r="N695" s="76"/>
      <c r="O695" s="49"/>
      <c r="P695" s="77"/>
      <c r="Q695" s="53"/>
      <c r="R695" s="54"/>
      <c r="S695" s="55"/>
      <c r="T695" s="56"/>
      <c r="U695" s="56"/>
      <c r="V695" s="42"/>
      <c r="W695" s="57"/>
      <c r="X695" s="58"/>
      <c r="Y695" s="75"/>
      <c r="Z695" s="59"/>
      <c r="AA695" s="61"/>
      <c r="AB695" s="61"/>
      <c r="AC695" s="61"/>
      <c r="AD695" s="62"/>
      <c r="AE695" s="62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</row>
    <row r="696" spans="1:77" x14ac:dyDescent="0.3">
      <c r="A696" s="39"/>
      <c r="B696" s="42"/>
      <c r="C696" s="42"/>
      <c r="D696" s="75"/>
      <c r="E696" s="75"/>
      <c r="F696" s="76"/>
      <c r="G696" s="47"/>
      <c r="H696" s="47"/>
      <c r="I696" s="75"/>
      <c r="J696" s="76"/>
      <c r="K696" s="76"/>
      <c r="L696" s="75"/>
      <c r="M696" s="49"/>
      <c r="N696" s="76"/>
      <c r="O696" s="49"/>
      <c r="P696" s="77"/>
      <c r="Q696" s="53"/>
      <c r="R696" s="54"/>
      <c r="S696" s="55"/>
      <c r="T696" s="56"/>
      <c r="U696" s="56"/>
      <c r="V696" s="42"/>
      <c r="W696" s="57"/>
      <c r="X696" s="58"/>
      <c r="Y696" s="75"/>
      <c r="Z696" s="59"/>
      <c r="AA696" s="61"/>
      <c r="AB696" s="61"/>
      <c r="AC696" s="61"/>
      <c r="AD696" s="62"/>
      <c r="AE696" s="62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</row>
    <row r="697" spans="1:77" x14ac:dyDescent="0.3">
      <c r="A697" s="39"/>
      <c r="B697" s="42"/>
      <c r="C697" s="42"/>
      <c r="D697" s="75"/>
      <c r="E697" s="75"/>
      <c r="F697" s="76"/>
      <c r="G697" s="47"/>
      <c r="H697" s="47"/>
      <c r="I697" s="75"/>
      <c r="J697" s="76"/>
      <c r="K697" s="76"/>
      <c r="L697" s="75"/>
      <c r="M697" s="49"/>
      <c r="N697" s="76"/>
      <c r="O697" s="49"/>
      <c r="P697" s="77"/>
      <c r="Q697" s="53"/>
      <c r="R697" s="54"/>
      <c r="S697" s="55"/>
      <c r="T697" s="56"/>
      <c r="U697" s="56"/>
      <c r="V697" s="42"/>
      <c r="W697" s="57"/>
      <c r="X697" s="58"/>
      <c r="Y697" s="75"/>
      <c r="Z697" s="59"/>
      <c r="AA697" s="61"/>
      <c r="AB697" s="61"/>
      <c r="AC697" s="61"/>
      <c r="AD697" s="62"/>
      <c r="AE697" s="62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</row>
    <row r="698" spans="1:77" x14ac:dyDescent="0.3">
      <c r="A698" s="39"/>
      <c r="B698" s="42"/>
      <c r="C698" s="42"/>
      <c r="D698" s="75"/>
      <c r="E698" s="75"/>
      <c r="F698" s="76"/>
      <c r="G698" s="47"/>
      <c r="H698" s="47"/>
      <c r="I698" s="75"/>
      <c r="J698" s="76"/>
      <c r="K698" s="76"/>
      <c r="L698" s="75"/>
      <c r="M698" s="49"/>
      <c r="N698" s="76"/>
      <c r="O698" s="49"/>
      <c r="P698" s="77"/>
      <c r="Q698" s="53"/>
      <c r="R698" s="54"/>
      <c r="S698" s="55"/>
      <c r="T698" s="56"/>
      <c r="U698" s="56"/>
      <c r="V698" s="42"/>
      <c r="W698" s="57"/>
      <c r="X698" s="58"/>
      <c r="Y698" s="75"/>
      <c r="Z698" s="59"/>
      <c r="AA698" s="61"/>
      <c r="AB698" s="61"/>
      <c r="AC698" s="61"/>
      <c r="AD698" s="62"/>
      <c r="AE698" s="62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</row>
    <row r="699" spans="1:77" x14ac:dyDescent="0.3">
      <c r="A699" s="39"/>
      <c r="B699" s="42"/>
      <c r="C699" s="42"/>
      <c r="D699" s="75"/>
      <c r="E699" s="75"/>
      <c r="F699" s="76"/>
      <c r="G699" s="47"/>
      <c r="H699" s="47"/>
      <c r="I699" s="75"/>
      <c r="J699" s="76"/>
      <c r="K699" s="76"/>
      <c r="L699" s="75"/>
      <c r="M699" s="49"/>
      <c r="N699" s="76"/>
      <c r="O699" s="49"/>
      <c r="P699" s="77"/>
      <c r="Q699" s="53"/>
      <c r="R699" s="54"/>
      <c r="S699" s="55"/>
      <c r="T699" s="56"/>
      <c r="U699" s="56"/>
      <c r="V699" s="42"/>
      <c r="W699" s="57"/>
      <c r="X699" s="58"/>
      <c r="Y699" s="75"/>
      <c r="Z699" s="59"/>
      <c r="AA699" s="61"/>
      <c r="AB699" s="61"/>
      <c r="AC699" s="61"/>
      <c r="AD699" s="62"/>
      <c r="AE699" s="62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</row>
    <row r="700" spans="1:77" x14ac:dyDescent="0.3">
      <c r="A700" s="39"/>
      <c r="B700" s="42"/>
      <c r="C700" s="42"/>
      <c r="D700" s="75"/>
      <c r="E700" s="75"/>
      <c r="F700" s="76"/>
      <c r="G700" s="47"/>
      <c r="H700" s="47"/>
      <c r="I700" s="75"/>
      <c r="J700" s="76"/>
      <c r="K700" s="76"/>
      <c r="L700" s="75"/>
      <c r="M700" s="49"/>
      <c r="N700" s="76"/>
      <c r="O700" s="49"/>
      <c r="P700" s="77"/>
      <c r="Q700" s="53"/>
      <c r="R700" s="54"/>
      <c r="S700" s="55"/>
      <c r="T700" s="56"/>
      <c r="U700" s="56"/>
      <c r="V700" s="42"/>
      <c r="W700" s="57"/>
      <c r="X700" s="58"/>
      <c r="Y700" s="75"/>
      <c r="Z700" s="59"/>
      <c r="AA700" s="61"/>
      <c r="AB700" s="61"/>
      <c r="AC700" s="61"/>
      <c r="AD700" s="62"/>
      <c r="AE700" s="62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</row>
    <row r="701" spans="1:77" x14ac:dyDescent="0.3">
      <c r="A701" s="39"/>
      <c r="B701" s="42"/>
      <c r="C701" s="42"/>
      <c r="D701" s="75"/>
      <c r="E701" s="75"/>
      <c r="F701" s="76"/>
      <c r="G701" s="47"/>
      <c r="H701" s="47"/>
      <c r="I701" s="75"/>
      <c r="J701" s="76"/>
      <c r="K701" s="76"/>
      <c r="L701" s="75"/>
      <c r="M701" s="49"/>
      <c r="N701" s="76"/>
      <c r="O701" s="49"/>
      <c r="P701" s="77"/>
      <c r="Q701" s="53"/>
      <c r="R701" s="54"/>
      <c r="S701" s="55"/>
      <c r="T701" s="56"/>
      <c r="U701" s="56"/>
      <c r="V701" s="42"/>
      <c r="W701" s="57"/>
      <c r="X701" s="58"/>
      <c r="Y701" s="75"/>
      <c r="Z701" s="59"/>
      <c r="AA701" s="61"/>
      <c r="AB701" s="61"/>
      <c r="AC701" s="61"/>
      <c r="AD701" s="62"/>
      <c r="AE701" s="62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</row>
    <row r="702" spans="1:77" x14ac:dyDescent="0.3">
      <c r="A702" s="39"/>
      <c r="B702" s="42"/>
      <c r="C702" s="42"/>
      <c r="D702" s="75"/>
      <c r="E702" s="75"/>
      <c r="F702" s="76"/>
      <c r="G702" s="47"/>
      <c r="H702" s="47"/>
      <c r="I702" s="75"/>
      <c r="J702" s="76"/>
      <c r="K702" s="76"/>
      <c r="L702" s="75"/>
      <c r="M702" s="49"/>
      <c r="N702" s="76"/>
      <c r="O702" s="49"/>
      <c r="P702" s="77"/>
      <c r="Q702" s="53"/>
      <c r="R702" s="54"/>
      <c r="S702" s="55"/>
      <c r="T702" s="56"/>
      <c r="U702" s="56"/>
      <c r="V702" s="42"/>
      <c r="W702" s="57"/>
      <c r="X702" s="58"/>
      <c r="Y702" s="75"/>
      <c r="Z702" s="59"/>
      <c r="AA702" s="61"/>
      <c r="AB702" s="61"/>
      <c r="AC702" s="61"/>
      <c r="AD702" s="62"/>
      <c r="AE702" s="62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</row>
    <row r="703" spans="1:77" x14ac:dyDescent="0.3">
      <c r="A703" s="39"/>
      <c r="B703" s="42"/>
      <c r="C703" s="42"/>
      <c r="D703" s="75"/>
      <c r="E703" s="75"/>
      <c r="F703" s="76"/>
      <c r="G703" s="47"/>
      <c r="H703" s="47"/>
      <c r="I703" s="75"/>
      <c r="J703" s="76"/>
      <c r="K703" s="76"/>
      <c r="L703" s="75"/>
      <c r="M703" s="49"/>
      <c r="N703" s="76"/>
      <c r="O703" s="49"/>
      <c r="P703" s="77"/>
      <c r="Q703" s="53"/>
      <c r="R703" s="54"/>
      <c r="S703" s="55"/>
      <c r="T703" s="56"/>
      <c r="U703" s="56"/>
      <c r="V703" s="42"/>
      <c r="W703" s="57"/>
      <c r="X703" s="58"/>
      <c r="Y703" s="75"/>
      <c r="Z703" s="59"/>
      <c r="AA703" s="61"/>
      <c r="AB703" s="61"/>
      <c r="AC703" s="61"/>
      <c r="AD703" s="62"/>
      <c r="AE703" s="62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</row>
    <row r="704" spans="1:77" x14ac:dyDescent="0.3">
      <c r="A704" s="39"/>
      <c r="B704" s="42"/>
      <c r="C704" s="42"/>
      <c r="D704" s="75"/>
      <c r="E704" s="75"/>
      <c r="F704" s="76"/>
      <c r="G704" s="47"/>
      <c r="H704" s="47"/>
      <c r="I704" s="75"/>
      <c r="J704" s="76"/>
      <c r="K704" s="76"/>
      <c r="L704" s="75"/>
      <c r="M704" s="49"/>
      <c r="N704" s="76"/>
      <c r="O704" s="49"/>
      <c r="P704" s="77"/>
      <c r="Q704" s="53"/>
      <c r="R704" s="54"/>
      <c r="S704" s="55"/>
      <c r="T704" s="56"/>
      <c r="U704" s="56"/>
      <c r="V704" s="42"/>
      <c r="W704" s="57"/>
      <c r="X704" s="58"/>
      <c r="Y704" s="75"/>
      <c r="Z704" s="59"/>
      <c r="AA704" s="61"/>
      <c r="AB704" s="61"/>
      <c r="AC704" s="61"/>
      <c r="AD704" s="62"/>
      <c r="AE704" s="62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</row>
    <row r="705" spans="1:77" x14ac:dyDescent="0.3">
      <c r="A705" s="39"/>
      <c r="B705" s="42"/>
      <c r="C705" s="42"/>
      <c r="D705" s="75"/>
      <c r="E705" s="75"/>
      <c r="F705" s="76"/>
      <c r="G705" s="47"/>
      <c r="H705" s="47"/>
      <c r="I705" s="75"/>
      <c r="J705" s="76"/>
      <c r="K705" s="76"/>
      <c r="L705" s="75"/>
      <c r="M705" s="49"/>
      <c r="N705" s="76"/>
      <c r="O705" s="49"/>
      <c r="P705" s="77"/>
      <c r="Q705" s="53"/>
      <c r="R705" s="54"/>
      <c r="S705" s="55"/>
      <c r="T705" s="56"/>
      <c r="U705" s="56"/>
      <c r="V705" s="42"/>
      <c r="W705" s="57"/>
      <c r="X705" s="58"/>
      <c r="Y705" s="75"/>
      <c r="Z705" s="59"/>
      <c r="AA705" s="61"/>
      <c r="AB705" s="61"/>
      <c r="AC705" s="61"/>
      <c r="AD705" s="62"/>
      <c r="AE705" s="62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</row>
    <row r="706" spans="1:77" x14ac:dyDescent="0.3">
      <c r="A706" s="39"/>
      <c r="B706" s="42"/>
      <c r="C706" s="42"/>
      <c r="D706" s="75"/>
      <c r="E706" s="75"/>
      <c r="F706" s="76"/>
      <c r="G706" s="47"/>
      <c r="H706" s="47"/>
      <c r="I706" s="75"/>
      <c r="J706" s="76"/>
      <c r="K706" s="76"/>
      <c r="L706" s="75"/>
      <c r="M706" s="49"/>
      <c r="N706" s="76"/>
      <c r="O706" s="49"/>
      <c r="P706" s="77"/>
      <c r="Q706" s="53"/>
      <c r="R706" s="54"/>
      <c r="S706" s="55"/>
      <c r="T706" s="56"/>
      <c r="U706" s="56"/>
      <c r="V706" s="42"/>
      <c r="W706" s="57"/>
      <c r="X706" s="58"/>
      <c r="Y706" s="75"/>
      <c r="Z706" s="59"/>
      <c r="AA706" s="61"/>
      <c r="AB706" s="61"/>
      <c r="AC706" s="61"/>
      <c r="AD706" s="62"/>
      <c r="AE706" s="62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</row>
    <row r="707" spans="1:77" x14ac:dyDescent="0.3">
      <c r="A707" s="39"/>
      <c r="B707" s="42"/>
      <c r="C707" s="42"/>
      <c r="D707" s="75"/>
      <c r="E707" s="75"/>
      <c r="F707" s="76"/>
      <c r="G707" s="47"/>
      <c r="H707" s="47"/>
      <c r="I707" s="75"/>
      <c r="J707" s="76"/>
      <c r="K707" s="76"/>
      <c r="L707" s="75"/>
      <c r="M707" s="49"/>
      <c r="N707" s="76"/>
      <c r="O707" s="49"/>
      <c r="P707" s="77"/>
      <c r="Q707" s="53"/>
      <c r="R707" s="54"/>
      <c r="S707" s="55"/>
      <c r="T707" s="56"/>
      <c r="U707" s="56"/>
      <c r="V707" s="42"/>
      <c r="W707" s="57"/>
      <c r="X707" s="58"/>
      <c r="Y707" s="75"/>
      <c r="Z707" s="59"/>
      <c r="AA707" s="61"/>
      <c r="AB707" s="61"/>
      <c r="AC707" s="61"/>
      <c r="AD707" s="62"/>
      <c r="AE707" s="62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</row>
    <row r="708" spans="1:77" x14ac:dyDescent="0.3">
      <c r="A708" s="39"/>
      <c r="B708" s="42"/>
      <c r="C708" s="42"/>
      <c r="D708" s="75"/>
      <c r="E708" s="75"/>
      <c r="F708" s="76"/>
      <c r="G708" s="47"/>
      <c r="H708" s="47"/>
      <c r="I708" s="75"/>
      <c r="J708" s="76"/>
      <c r="K708" s="76"/>
      <c r="L708" s="75"/>
      <c r="M708" s="49"/>
      <c r="N708" s="76"/>
      <c r="O708" s="49"/>
      <c r="P708" s="77"/>
      <c r="Q708" s="53"/>
      <c r="R708" s="54"/>
      <c r="S708" s="55"/>
      <c r="T708" s="56"/>
      <c r="U708" s="56"/>
      <c r="V708" s="42"/>
      <c r="W708" s="57"/>
      <c r="X708" s="58"/>
      <c r="Y708" s="75"/>
      <c r="Z708" s="59"/>
      <c r="AA708" s="61"/>
      <c r="AB708" s="61"/>
      <c r="AC708" s="61"/>
      <c r="AD708" s="62"/>
      <c r="AE708" s="62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</row>
    <row r="709" spans="1:77" x14ac:dyDescent="0.3">
      <c r="A709" s="39"/>
      <c r="B709" s="42"/>
      <c r="C709" s="42"/>
      <c r="D709" s="75"/>
      <c r="E709" s="75"/>
      <c r="F709" s="76"/>
      <c r="G709" s="47"/>
      <c r="H709" s="47"/>
      <c r="I709" s="75"/>
      <c r="J709" s="76"/>
      <c r="K709" s="76"/>
      <c r="L709" s="75"/>
      <c r="M709" s="49"/>
      <c r="N709" s="76"/>
      <c r="O709" s="49"/>
      <c r="P709" s="77"/>
      <c r="Q709" s="53"/>
      <c r="R709" s="54"/>
      <c r="S709" s="55"/>
      <c r="T709" s="56"/>
      <c r="U709" s="56"/>
      <c r="V709" s="42"/>
      <c r="W709" s="57"/>
      <c r="X709" s="58"/>
      <c r="Y709" s="75"/>
      <c r="Z709" s="59"/>
      <c r="AA709" s="61"/>
      <c r="AB709" s="61"/>
      <c r="AC709" s="61"/>
      <c r="AD709" s="62"/>
      <c r="AE709" s="62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</row>
    <row r="710" spans="1:77" x14ac:dyDescent="0.3">
      <c r="A710" s="39"/>
      <c r="B710" s="42"/>
      <c r="C710" s="42"/>
      <c r="D710" s="75"/>
      <c r="E710" s="75"/>
      <c r="F710" s="76"/>
      <c r="G710" s="47"/>
      <c r="H710" s="47"/>
      <c r="I710" s="75"/>
      <c r="J710" s="76"/>
      <c r="K710" s="76"/>
      <c r="L710" s="75"/>
      <c r="M710" s="49"/>
      <c r="N710" s="76"/>
      <c r="O710" s="49"/>
      <c r="P710" s="77"/>
      <c r="Q710" s="53"/>
      <c r="R710" s="54"/>
      <c r="S710" s="55"/>
      <c r="T710" s="56"/>
      <c r="U710" s="56"/>
      <c r="V710" s="42"/>
      <c r="W710" s="57"/>
      <c r="X710" s="58"/>
      <c r="Y710" s="75"/>
      <c r="Z710" s="59"/>
      <c r="AA710" s="61"/>
      <c r="AB710" s="61"/>
      <c r="AC710" s="61"/>
      <c r="AD710" s="62"/>
      <c r="AE710" s="62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</row>
    <row r="711" spans="1:77" x14ac:dyDescent="0.3">
      <c r="A711" s="39"/>
      <c r="B711" s="42"/>
      <c r="C711" s="42"/>
      <c r="D711" s="75"/>
      <c r="E711" s="75"/>
      <c r="F711" s="76"/>
      <c r="G711" s="47"/>
      <c r="H711" s="47"/>
      <c r="I711" s="75"/>
      <c r="J711" s="76"/>
      <c r="K711" s="76"/>
      <c r="L711" s="75"/>
      <c r="M711" s="49"/>
      <c r="N711" s="76"/>
      <c r="O711" s="49"/>
      <c r="P711" s="77"/>
      <c r="Q711" s="53"/>
      <c r="R711" s="54"/>
      <c r="S711" s="55"/>
      <c r="T711" s="56"/>
      <c r="U711" s="56"/>
      <c r="V711" s="42"/>
      <c r="W711" s="57"/>
      <c r="X711" s="58"/>
      <c r="Y711" s="75"/>
      <c r="Z711" s="59"/>
      <c r="AA711" s="61"/>
      <c r="AB711" s="61"/>
      <c r="AC711" s="61"/>
      <c r="AD711" s="62"/>
      <c r="AE711" s="62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</row>
    <row r="712" spans="1:77" x14ac:dyDescent="0.3">
      <c r="A712" s="39"/>
      <c r="B712" s="42"/>
      <c r="C712" s="42"/>
      <c r="D712" s="75"/>
      <c r="E712" s="75"/>
      <c r="F712" s="76"/>
      <c r="G712" s="47"/>
      <c r="H712" s="47"/>
      <c r="I712" s="75"/>
      <c r="J712" s="76"/>
      <c r="K712" s="76"/>
      <c r="L712" s="75"/>
      <c r="M712" s="49"/>
      <c r="N712" s="76"/>
      <c r="O712" s="49"/>
      <c r="P712" s="77"/>
      <c r="Q712" s="53"/>
      <c r="R712" s="54"/>
      <c r="S712" s="55"/>
      <c r="T712" s="56"/>
      <c r="U712" s="56"/>
      <c r="V712" s="42"/>
      <c r="W712" s="57"/>
      <c r="X712" s="58"/>
      <c r="Y712" s="75"/>
      <c r="Z712" s="59"/>
      <c r="AA712" s="61"/>
      <c r="AB712" s="61"/>
      <c r="AC712" s="61"/>
      <c r="AD712" s="62"/>
      <c r="AE712" s="62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</row>
    <row r="713" spans="1:77" x14ac:dyDescent="0.3">
      <c r="A713" s="39"/>
      <c r="B713" s="42"/>
      <c r="C713" s="42"/>
      <c r="D713" s="75"/>
      <c r="E713" s="75"/>
      <c r="F713" s="76"/>
      <c r="G713" s="47"/>
      <c r="H713" s="47"/>
      <c r="I713" s="75"/>
      <c r="J713" s="76"/>
      <c r="K713" s="76"/>
      <c r="L713" s="75"/>
      <c r="M713" s="49"/>
      <c r="N713" s="76"/>
      <c r="O713" s="49"/>
      <c r="P713" s="77"/>
      <c r="Q713" s="53"/>
      <c r="R713" s="54"/>
      <c r="S713" s="55"/>
      <c r="T713" s="56"/>
      <c r="U713" s="56"/>
      <c r="V713" s="42"/>
      <c r="W713" s="57"/>
      <c r="X713" s="58"/>
      <c r="Y713" s="75"/>
      <c r="Z713" s="59"/>
      <c r="AA713" s="61"/>
      <c r="AB713" s="61"/>
      <c r="AC713" s="61"/>
      <c r="AD713" s="62"/>
      <c r="AE713" s="62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</row>
    <row r="714" spans="1:77" x14ac:dyDescent="0.3">
      <c r="A714" s="39"/>
      <c r="B714" s="42"/>
      <c r="C714" s="42"/>
      <c r="D714" s="75"/>
      <c r="E714" s="75"/>
      <c r="F714" s="76"/>
      <c r="G714" s="47"/>
      <c r="H714" s="47"/>
      <c r="I714" s="75"/>
      <c r="J714" s="76"/>
      <c r="K714" s="76"/>
      <c r="L714" s="75"/>
      <c r="M714" s="49"/>
      <c r="N714" s="76"/>
      <c r="O714" s="49"/>
      <c r="P714" s="77"/>
      <c r="Q714" s="53"/>
      <c r="R714" s="54"/>
      <c r="S714" s="55"/>
      <c r="T714" s="56"/>
      <c r="U714" s="56"/>
      <c r="V714" s="42"/>
      <c r="W714" s="57"/>
      <c r="X714" s="58"/>
      <c r="Y714" s="75"/>
      <c r="Z714" s="59"/>
      <c r="AA714" s="61"/>
      <c r="AB714" s="61"/>
      <c r="AC714" s="61"/>
      <c r="AD714" s="62"/>
      <c r="AE714" s="62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</row>
    <row r="715" spans="1:77" x14ac:dyDescent="0.3">
      <c r="A715" s="39"/>
      <c r="B715" s="42"/>
      <c r="C715" s="42"/>
      <c r="D715" s="75"/>
      <c r="E715" s="75"/>
      <c r="F715" s="76"/>
      <c r="G715" s="47"/>
      <c r="H715" s="47"/>
      <c r="I715" s="75"/>
      <c r="J715" s="76"/>
      <c r="K715" s="76"/>
      <c r="L715" s="75"/>
      <c r="M715" s="49"/>
      <c r="N715" s="76"/>
      <c r="O715" s="49"/>
      <c r="P715" s="77"/>
      <c r="Q715" s="53"/>
      <c r="R715" s="54"/>
      <c r="S715" s="55"/>
      <c r="T715" s="56"/>
      <c r="U715" s="56"/>
      <c r="V715" s="42"/>
      <c r="W715" s="57"/>
      <c r="X715" s="58"/>
      <c r="Y715" s="75"/>
      <c r="Z715" s="59"/>
      <c r="AA715" s="61"/>
      <c r="AB715" s="61"/>
      <c r="AC715" s="61"/>
      <c r="AD715" s="62"/>
      <c r="AE715" s="62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</row>
    <row r="716" spans="1:77" x14ac:dyDescent="0.3">
      <c r="A716" s="39"/>
      <c r="B716" s="42"/>
      <c r="C716" s="42"/>
      <c r="D716" s="75"/>
      <c r="E716" s="75"/>
      <c r="F716" s="76"/>
      <c r="G716" s="47"/>
      <c r="H716" s="47"/>
      <c r="I716" s="75"/>
      <c r="J716" s="76"/>
      <c r="K716" s="76"/>
      <c r="L716" s="75"/>
      <c r="M716" s="49"/>
      <c r="N716" s="76"/>
      <c r="O716" s="49"/>
      <c r="P716" s="77"/>
      <c r="Q716" s="53"/>
      <c r="R716" s="54"/>
      <c r="S716" s="55"/>
      <c r="T716" s="56"/>
      <c r="U716" s="56"/>
      <c r="V716" s="42"/>
      <c r="W716" s="57"/>
      <c r="X716" s="58"/>
      <c r="Y716" s="75"/>
      <c r="Z716" s="59"/>
      <c r="AA716" s="61"/>
      <c r="AB716" s="61"/>
      <c r="AC716" s="61"/>
      <c r="AD716" s="62"/>
      <c r="AE716" s="62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</row>
    <row r="717" spans="1:77" x14ac:dyDescent="0.3">
      <c r="A717" s="39"/>
      <c r="B717" s="42"/>
      <c r="C717" s="42"/>
      <c r="D717" s="75"/>
      <c r="E717" s="75"/>
      <c r="F717" s="76"/>
      <c r="G717" s="47"/>
      <c r="H717" s="47"/>
      <c r="I717" s="75"/>
      <c r="J717" s="76"/>
      <c r="K717" s="76"/>
      <c r="L717" s="75"/>
      <c r="M717" s="49"/>
      <c r="N717" s="76"/>
      <c r="O717" s="49"/>
      <c r="P717" s="77"/>
      <c r="Q717" s="53"/>
      <c r="R717" s="54"/>
      <c r="S717" s="55"/>
      <c r="T717" s="56"/>
      <c r="U717" s="56"/>
      <c r="V717" s="42"/>
      <c r="W717" s="57"/>
      <c r="X717" s="58"/>
      <c r="Y717" s="75"/>
      <c r="Z717" s="59"/>
      <c r="AA717" s="61"/>
      <c r="AB717" s="61"/>
      <c r="AC717" s="61"/>
      <c r="AD717" s="62"/>
      <c r="AE717" s="62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</row>
    <row r="718" spans="1:77" x14ac:dyDescent="0.3">
      <c r="A718" s="39"/>
      <c r="B718" s="42"/>
      <c r="C718" s="42"/>
      <c r="D718" s="75"/>
      <c r="E718" s="75"/>
      <c r="F718" s="76"/>
      <c r="G718" s="47"/>
      <c r="H718" s="47"/>
      <c r="I718" s="75"/>
      <c r="J718" s="76"/>
      <c r="K718" s="76"/>
      <c r="L718" s="75"/>
      <c r="M718" s="49"/>
      <c r="N718" s="76"/>
      <c r="O718" s="49"/>
      <c r="P718" s="77"/>
      <c r="Q718" s="53"/>
      <c r="R718" s="54"/>
      <c r="S718" s="55"/>
      <c r="T718" s="56"/>
      <c r="U718" s="56"/>
      <c r="V718" s="42"/>
      <c r="W718" s="57"/>
      <c r="X718" s="58"/>
      <c r="Y718" s="75"/>
      <c r="Z718" s="59"/>
      <c r="AA718" s="61"/>
      <c r="AB718" s="61"/>
      <c r="AC718" s="61"/>
      <c r="AD718" s="62"/>
      <c r="AE718" s="62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</row>
    <row r="719" spans="1:77" x14ac:dyDescent="0.3">
      <c r="A719" s="39"/>
      <c r="B719" s="42"/>
      <c r="C719" s="42"/>
      <c r="D719" s="75"/>
      <c r="E719" s="75"/>
      <c r="F719" s="76"/>
      <c r="G719" s="47"/>
      <c r="H719" s="47"/>
      <c r="I719" s="75"/>
      <c r="J719" s="76"/>
      <c r="K719" s="76"/>
      <c r="L719" s="75"/>
      <c r="M719" s="49"/>
      <c r="N719" s="76"/>
      <c r="O719" s="49"/>
      <c r="P719" s="77"/>
      <c r="Q719" s="53"/>
      <c r="R719" s="54"/>
      <c r="S719" s="55"/>
      <c r="T719" s="56"/>
      <c r="U719" s="56"/>
      <c r="V719" s="42"/>
      <c r="W719" s="57"/>
      <c r="X719" s="58"/>
      <c r="Y719" s="75"/>
      <c r="Z719" s="59"/>
      <c r="AA719" s="61"/>
      <c r="AB719" s="61"/>
      <c r="AC719" s="61"/>
      <c r="AD719" s="62"/>
      <c r="AE719" s="62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</row>
    <row r="720" spans="1:77" x14ac:dyDescent="0.3">
      <c r="A720" s="39"/>
      <c r="B720" s="42"/>
      <c r="C720" s="42"/>
      <c r="D720" s="75"/>
      <c r="E720" s="75"/>
      <c r="F720" s="76"/>
      <c r="G720" s="47"/>
      <c r="H720" s="47"/>
      <c r="I720" s="75"/>
      <c r="J720" s="76"/>
      <c r="K720" s="76"/>
      <c r="L720" s="75"/>
      <c r="M720" s="49"/>
      <c r="N720" s="76"/>
      <c r="O720" s="49"/>
      <c r="P720" s="77"/>
      <c r="Q720" s="53"/>
      <c r="R720" s="54"/>
      <c r="S720" s="55"/>
      <c r="T720" s="56"/>
      <c r="U720" s="56"/>
      <c r="V720" s="42"/>
      <c r="W720" s="57"/>
      <c r="X720" s="58"/>
      <c r="Y720" s="75"/>
      <c r="Z720" s="59"/>
      <c r="AA720" s="61"/>
      <c r="AB720" s="61"/>
      <c r="AC720" s="61"/>
      <c r="AD720" s="62"/>
      <c r="AE720" s="62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</row>
    <row r="721" spans="1:77" x14ac:dyDescent="0.3">
      <c r="A721" s="39"/>
      <c r="B721" s="42"/>
      <c r="C721" s="42"/>
      <c r="D721" s="75"/>
      <c r="E721" s="75"/>
      <c r="F721" s="76"/>
      <c r="G721" s="47"/>
      <c r="H721" s="47"/>
      <c r="I721" s="75"/>
      <c r="J721" s="76"/>
      <c r="K721" s="76"/>
      <c r="L721" s="75"/>
      <c r="M721" s="49"/>
      <c r="N721" s="76"/>
      <c r="O721" s="49"/>
      <c r="P721" s="77"/>
      <c r="Q721" s="53"/>
      <c r="R721" s="54"/>
      <c r="S721" s="55"/>
      <c r="T721" s="56"/>
      <c r="U721" s="56"/>
      <c r="V721" s="42"/>
      <c r="W721" s="57"/>
      <c r="X721" s="58"/>
      <c r="Y721" s="75"/>
      <c r="Z721" s="59"/>
      <c r="AA721" s="61"/>
      <c r="AB721" s="61"/>
      <c r="AC721" s="61"/>
      <c r="AD721" s="62"/>
      <c r="AE721" s="62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</row>
    <row r="722" spans="1:77" x14ac:dyDescent="0.3">
      <c r="A722" s="39"/>
      <c r="B722" s="42"/>
      <c r="C722" s="42"/>
      <c r="D722" s="75"/>
      <c r="E722" s="75"/>
      <c r="F722" s="76"/>
      <c r="G722" s="47"/>
      <c r="H722" s="47"/>
      <c r="I722" s="75"/>
      <c r="J722" s="76"/>
      <c r="K722" s="76"/>
      <c r="L722" s="75"/>
      <c r="M722" s="49"/>
      <c r="N722" s="76"/>
      <c r="O722" s="49"/>
      <c r="P722" s="77"/>
      <c r="Q722" s="53"/>
      <c r="R722" s="54"/>
      <c r="S722" s="55"/>
      <c r="T722" s="56"/>
      <c r="U722" s="56"/>
      <c r="V722" s="42"/>
      <c r="W722" s="57"/>
      <c r="X722" s="58"/>
      <c r="Y722" s="75"/>
      <c r="Z722" s="59"/>
      <c r="AA722" s="61"/>
      <c r="AB722" s="61"/>
      <c r="AC722" s="61"/>
      <c r="AD722" s="62"/>
      <c r="AE722" s="62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</row>
    <row r="723" spans="1:77" x14ac:dyDescent="0.3">
      <c r="A723" s="39"/>
      <c r="B723" s="42"/>
      <c r="C723" s="42"/>
      <c r="D723" s="75"/>
      <c r="E723" s="75"/>
      <c r="F723" s="76"/>
      <c r="G723" s="47"/>
      <c r="H723" s="47"/>
      <c r="I723" s="75"/>
      <c r="J723" s="76"/>
      <c r="K723" s="76"/>
      <c r="L723" s="75"/>
      <c r="M723" s="49"/>
      <c r="N723" s="76"/>
      <c r="O723" s="49"/>
      <c r="P723" s="77"/>
      <c r="Q723" s="53"/>
      <c r="R723" s="54"/>
      <c r="S723" s="55"/>
      <c r="T723" s="56"/>
      <c r="U723" s="56"/>
      <c r="V723" s="42"/>
      <c r="W723" s="57"/>
      <c r="X723" s="58"/>
      <c r="Y723" s="75"/>
      <c r="Z723" s="59"/>
      <c r="AA723" s="61"/>
      <c r="AB723" s="61"/>
      <c r="AC723" s="61"/>
      <c r="AD723" s="62"/>
      <c r="AE723" s="62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</row>
    <row r="724" spans="1:77" x14ac:dyDescent="0.3">
      <c r="A724" s="39"/>
      <c r="B724" s="42"/>
      <c r="C724" s="42"/>
      <c r="D724" s="75"/>
      <c r="E724" s="75"/>
      <c r="F724" s="76"/>
      <c r="G724" s="47"/>
      <c r="H724" s="47"/>
      <c r="I724" s="75"/>
      <c r="J724" s="76"/>
      <c r="K724" s="76"/>
      <c r="L724" s="75"/>
      <c r="M724" s="49"/>
      <c r="N724" s="76"/>
      <c r="O724" s="49"/>
      <c r="P724" s="77"/>
      <c r="Q724" s="53"/>
      <c r="R724" s="54"/>
      <c r="S724" s="55"/>
      <c r="T724" s="56"/>
      <c r="U724" s="56"/>
      <c r="V724" s="42"/>
      <c r="W724" s="57"/>
      <c r="X724" s="58"/>
      <c r="Y724" s="75"/>
      <c r="Z724" s="59"/>
      <c r="AA724" s="61"/>
      <c r="AB724" s="61"/>
      <c r="AC724" s="61"/>
      <c r="AD724" s="62"/>
      <c r="AE724" s="62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</row>
    <row r="725" spans="1:77" x14ac:dyDescent="0.3">
      <c r="A725" s="39"/>
      <c r="B725" s="42"/>
      <c r="C725" s="42"/>
      <c r="D725" s="75"/>
      <c r="E725" s="75"/>
      <c r="F725" s="76"/>
      <c r="G725" s="47"/>
      <c r="H725" s="47"/>
      <c r="I725" s="75"/>
      <c r="J725" s="76"/>
      <c r="K725" s="76"/>
      <c r="L725" s="75"/>
      <c r="M725" s="49"/>
      <c r="N725" s="76"/>
      <c r="O725" s="49"/>
      <c r="P725" s="77"/>
      <c r="Q725" s="53"/>
      <c r="R725" s="54"/>
      <c r="S725" s="55"/>
      <c r="T725" s="56"/>
      <c r="U725" s="56"/>
      <c r="V725" s="42"/>
      <c r="W725" s="57"/>
      <c r="X725" s="58"/>
      <c r="Y725" s="75"/>
      <c r="Z725" s="59"/>
      <c r="AA725" s="61"/>
      <c r="AB725" s="61"/>
      <c r="AC725" s="61"/>
      <c r="AD725" s="62"/>
      <c r="AE725" s="62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</row>
    <row r="726" spans="1:77" x14ac:dyDescent="0.3">
      <c r="A726" s="39"/>
      <c r="B726" s="42"/>
      <c r="C726" s="42"/>
      <c r="D726" s="75"/>
      <c r="E726" s="75"/>
      <c r="F726" s="76"/>
      <c r="G726" s="47"/>
      <c r="H726" s="47"/>
      <c r="I726" s="75"/>
      <c r="J726" s="76"/>
      <c r="K726" s="76"/>
      <c r="L726" s="75"/>
      <c r="M726" s="49"/>
      <c r="N726" s="76"/>
      <c r="O726" s="49"/>
      <c r="P726" s="77"/>
      <c r="Q726" s="53"/>
      <c r="R726" s="54"/>
      <c r="S726" s="55"/>
      <c r="T726" s="56"/>
      <c r="U726" s="56"/>
      <c r="V726" s="42"/>
      <c r="W726" s="57"/>
      <c r="X726" s="58"/>
      <c r="Y726" s="75"/>
      <c r="Z726" s="59"/>
      <c r="AA726" s="61"/>
      <c r="AB726" s="61"/>
      <c r="AC726" s="61"/>
      <c r="AD726" s="62"/>
      <c r="AE726" s="62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</row>
    <row r="727" spans="1:77" x14ac:dyDescent="0.3">
      <c r="A727" s="39"/>
      <c r="B727" s="42"/>
      <c r="C727" s="42"/>
      <c r="D727" s="75"/>
      <c r="E727" s="75"/>
      <c r="F727" s="76"/>
      <c r="G727" s="47"/>
      <c r="H727" s="47"/>
      <c r="I727" s="75"/>
      <c r="J727" s="76"/>
      <c r="K727" s="76"/>
      <c r="L727" s="75"/>
      <c r="M727" s="49"/>
      <c r="N727" s="76"/>
      <c r="O727" s="49"/>
      <c r="P727" s="77"/>
      <c r="Q727" s="53"/>
      <c r="R727" s="54"/>
      <c r="S727" s="55"/>
      <c r="T727" s="56"/>
      <c r="U727" s="56"/>
      <c r="V727" s="42"/>
      <c r="W727" s="57"/>
      <c r="X727" s="58"/>
      <c r="Y727" s="75"/>
      <c r="Z727" s="59"/>
      <c r="AA727" s="61"/>
      <c r="AB727" s="61"/>
      <c r="AC727" s="61"/>
      <c r="AD727" s="62"/>
      <c r="AE727" s="62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</row>
    <row r="728" spans="1:77" x14ac:dyDescent="0.3">
      <c r="A728" s="39"/>
      <c r="B728" s="42"/>
      <c r="C728" s="42"/>
      <c r="D728" s="75"/>
      <c r="E728" s="75"/>
      <c r="F728" s="76"/>
      <c r="G728" s="47"/>
      <c r="H728" s="47"/>
      <c r="I728" s="75"/>
      <c r="J728" s="76"/>
      <c r="K728" s="76"/>
      <c r="L728" s="75"/>
      <c r="M728" s="49"/>
      <c r="N728" s="76"/>
      <c r="O728" s="49"/>
      <c r="P728" s="77"/>
      <c r="Q728" s="53"/>
      <c r="R728" s="54"/>
      <c r="S728" s="55"/>
      <c r="T728" s="56"/>
      <c r="U728" s="56"/>
      <c r="V728" s="42"/>
      <c r="W728" s="57"/>
      <c r="X728" s="58"/>
      <c r="Y728" s="75"/>
      <c r="Z728" s="59"/>
      <c r="AA728" s="61"/>
      <c r="AB728" s="61"/>
      <c r="AC728" s="61"/>
      <c r="AD728" s="62"/>
      <c r="AE728" s="62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</row>
    <row r="729" spans="1:77" x14ac:dyDescent="0.3">
      <c r="A729" s="39"/>
      <c r="B729" s="42"/>
      <c r="C729" s="42"/>
      <c r="D729" s="75"/>
      <c r="E729" s="75"/>
      <c r="F729" s="76"/>
      <c r="G729" s="47"/>
      <c r="H729" s="47"/>
      <c r="I729" s="75"/>
      <c r="J729" s="76"/>
      <c r="K729" s="76"/>
      <c r="L729" s="75"/>
      <c r="M729" s="49"/>
      <c r="N729" s="76"/>
      <c r="O729" s="49"/>
      <c r="P729" s="77"/>
      <c r="Q729" s="53"/>
      <c r="R729" s="54"/>
      <c r="S729" s="55"/>
      <c r="T729" s="56"/>
      <c r="U729" s="56"/>
      <c r="V729" s="42"/>
      <c r="W729" s="57"/>
      <c r="X729" s="58"/>
      <c r="Y729" s="75"/>
      <c r="Z729" s="59"/>
      <c r="AA729" s="61"/>
      <c r="AB729" s="61"/>
      <c r="AC729" s="61"/>
      <c r="AD729" s="62"/>
      <c r="AE729" s="62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</row>
    <row r="730" spans="1:77" x14ac:dyDescent="0.3">
      <c r="A730" s="39"/>
      <c r="B730" s="42"/>
      <c r="C730" s="42"/>
      <c r="D730" s="75"/>
      <c r="E730" s="75"/>
      <c r="F730" s="76"/>
      <c r="G730" s="47"/>
      <c r="H730" s="47"/>
      <c r="I730" s="75"/>
      <c r="J730" s="76"/>
      <c r="K730" s="76"/>
      <c r="L730" s="75"/>
      <c r="M730" s="49"/>
      <c r="N730" s="76"/>
      <c r="O730" s="49"/>
      <c r="P730" s="77"/>
      <c r="Q730" s="53"/>
      <c r="R730" s="54"/>
      <c r="S730" s="55"/>
      <c r="T730" s="56"/>
      <c r="U730" s="56"/>
      <c r="V730" s="42"/>
      <c r="W730" s="57"/>
      <c r="X730" s="58"/>
      <c r="Y730" s="75"/>
      <c r="Z730" s="59"/>
      <c r="AA730" s="61"/>
      <c r="AB730" s="61"/>
      <c r="AC730" s="61"/>
      <c r="AD730" s="62"/>
      <c r="AE730" s="62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</row>
    <row r="731" spans="1:77" x14ac:dyDescent="0.3">
      <c r="A731" s="39"/>
      <c r="B731" s="42"/>
      <c r="C731" s="42"/>
      <c r="D731" s="75"/>
      <c r="E731" s="75"/>
      <c r="F731" s="76"/>
      <c r="G731" s="47"/>
      <c r="H731" s="47"/>
      <c r="I731" s="75"/>
      <c r="J731" s="76"/>
      <c r="K731" s="76"/>
      <c r="L731" s="75"/>
      <c r="M731" s="49"/>
      <c r="N731" s="76"/>
      <c r="O731" s="49"/>
      <c r="P731" s="77"/>
      <c r="Q731" s="53"/>
      <c r="R731" s="54"/>
      <c r="S731" s="55"/>
      <c r="T731" s="56"/>
      <c r="U731" s="56"/>
      <c r="V731" s="42"/>
      <c r="W731" s="57"/>
      <c r="X731" s="58"/>
      <c r="Y731" s="75"/>
      <c r="Z731" s="59"/>
      <c r="AA731" s="61"/>
      <c r="AB731" s="61"/>
      <c r="AC731" s="61"/>
      <c r="AD731" s="62"/>
      <c r="AE731" s="62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</row>
    <row r="732" spans="1:77" x14ac:dyDescent="0.3">
      <c r="A732" s="39"/>
      <c r="B732" s="42"/>
      <c r="C732" s="42"/>
      <c r="D732" s="75"/>
      <c r="E732" s="75"/>
      <c r="F732" s="76"/>
      <c r="G732" s="47"/>
      <c r="H732" s="47"/>
      <c r="I732" s="75"/>
      <c r="J732" s="76"/>
      <c r="K732" s="76"/>
      <c r="L732" s="75"/>
      <c r="M732" s="49"/>
      <c r="N732" s="76"/>
      <c r="O732" s="49"/>
      <c r="P732" s="77"/>
      <c r="Q732" s="53"/>
      <c r="R732" s="54"/>
      <c r="S732" s="55"/>
      <c r="T732" s="56"/>
      <c r="U732" s="56"/>
      <c r="V732" s="42"/>
      <c r="W732" s="57"/>
      <c r="X732" s="58"/>
      <c r="Y732" s="75"/>
      <c r="Z732" s="59"/>
      <c r="AA732" s="61"/>
      <c r="AB732" s="61"/>
      <c r="AC732" s="61"/>
      <c r="AD732" s="62"/>
      <c r="AE732" s="62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</row>
    <row r="733" spans="1:77" x14ac:dyDescent="0.3">
      <c r="A733" s="39"/>
      <c r="B733" s="42"/>
      <c r="C733" s="42"/>
      <c r="D733" s="75"/>
      <c r="E733" s="75"/>
      <c r="F733" s="76"/>
      <c r="G733" s="47"/>
      <c r="H733" s="47"/>
      <c r="I733" s="75"/>
      <c r="J733" s="76"/>
      <c r="K733" s="76"/>
      <c r="L733" s="75"/>
      <c r="M733" s="49"/>
      <c r="N733" s="76"/>
      <c r="O733" s="49"/>
      <c r="P733" s="77"/>
      <c r="Q733" s="53"/>
      <c r="R733" s="54"/>
      <c r="S733" s="55"/>
      <c r="T733" s="56"/>
      <c r="U733" s="56"/>
      <c r="V733" s="42"/>
      <c r="W733" s="57"/>
      <c r="X733" s="58"/>
      <c r="Y733" s="75"/>
      <c r="Z733" s="59"/>
      <c r="AA733" s="61"/>
      <c r="AB733" s="61"/>
      <c r="AC733" s="61"/>
      <c r="AD733" s="62"/>
      <c r="AE733" s="62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</row>
    <row r="734" spans="1:77" x14ac:dyDescent="0.3">
      <c r="A734" s="39"/>
      <c r="B734" s="42"/>
      <c r="C734" s="42"/>
      <c r="D734" s="75"/>
      <c r="E734" s="75"/>
      <c r="F734" s="76"/>
      <c r="G734" s="47"/>
      <c r="H734" s="47"/>
      <c r="I734" s="75"/>
      <c r="J734" s="76"/>
      <c r="K734" s="76"/>
      <c r="L734" s="75"/>
      <c r="M734" s="49"/>
      <c r="N734" s="76"/>
      <c r="O734" s="49"/>
      <c r="P734" s="77"/>
      <c r="Q734" s="53"/>
      <c r="R734" s="54"/>
      <c r="S734" s="55"/>
      <c r="T734" s="56"/>
      <c r="U734" s="56"/>
      <c r="V734" s="42"/>
      <c r="W734" s="57"/>
      <c r="X734" s="58"/>
      <c r="Y734" s="75"/>
      <c r="Z734" s="59"/>
      <c r="AA734" s="61"/>
      <c r="AB734" s="61"/>
      <c r="AC734" s="61"/>
      <c r="AD734" s="62"/>
      <c r="AE734" s="62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</row>
    <row r="735" spans="1:77" x14ac:dyDescent="0.3">
      <c r="A735" s="39"/>
      <c r="B735" s="42"/>
      <c r="C735" s="42"/>
      <c r="D735" s="75"/>
      <c r="E735" s="75"/>
      <c r="F735" s="76"/>
      <c r="G735" s="47"/>
      <c r="H735" s="47"/>
      <c r="I735" s="75"/>
      <c r="J735" s="76"/>
      <c r="K735" s="76"/>
      <c r="L735" s="75"/>
      <c r="M735" s="49"/>
      <c r="N735" s="76"/>
      <c r="O735" s="49"/>
      <c r="P735" s="77"/>
      <c r="Q735" s="53"/>
      <c r="R735" s="54"/>
      <c r="S735" s="55"/>
      <c r="T735" s="56"/>
      <c r="U735" s="56"/>
      <c r="V735" s="42"/>
      <c r="W735" s="57"/>
      <c r="X735" s="58"/>
      <c r="Y735" s="75"/>
      <c r="Z735" s="59"/>
      <c r="AA735" s="61"/>
      <c r="AB735" s="61"/>
      <c r="AC735" s="61"/>
      <c r="AD735" s="62"/>
      <c r="AE735" s="62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</row>
    <row r="736" spans="1:77" x14ac:dyDescent="0.3">
      <c r="A736" s="39"/>
      <c r="B736" s="42"/>
      <c r="C736" s="42"/>
      <c r="D736" s="75"/>
      <c r="E736" s="75"/>
      <c r="F736" s="76"/>
      <c r="G736" s="47"/>
      <c r="H736" s="47"/>
      <c r="I736" s="75"/>
      <c r="J736" s="76"/>
      <c r="K736" s="76"/>
      <c r="L736" s="75"/>
      <c r="M736" s="49"/>
      <c r="N736" s="76"/>
      <c r="O736" s="49"/>
      <c r="P736" s="77"/>
      <c r="Q736" s="53"/>
      <c r="R736" s="54"/>
      <c r="S736" s="55"/>
      <c r="T736" s="56"/>
      <c r="U736" s="56"/>
      <c r="V736" s="42"/>
      <c r="W736" s="57"/>
      <c r="X736" s="58"/>
      <c r="Y736" s="75"/>
      <c r="Z736" s="59"/>
      <c r="AA736" s="61"/>
      <c r="AB736" s="61"/>
      <c r="AC736" s="61"/>
      <c r="AD736" s="62"/>
      <c r="AE736" s="62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</row>
    <row r="737" spans="1:77" x14ac:dyDescent="0.3">
      <c r="A737" s="39"/>
      <c r="B737" s="42"/>
      <c r="C737" s="42"/>
      <c r="D737" s="75"/>
      <c r="E737" s="75"/>
      <c r="F737" s="76"/>
      <c r="G737" s="47"/>
      <c r="H737" s="47"/>
      <c r="I737" s="75"/>
      <c r="J737" s="76"/>
      <c r="K737" s="76"/>
      <c r="L737" s="75"/>
      <c r="M737" s="49"/>
      <c r="N737" s="76"/>
      <c r="O737" s="49"/>
      <c r="P737" s="77"/>
      <c r="Q737" s="53"/>
      <c r="R737" s="54"/>
      <c r="S737" s="55"/>
      <c r="T737" s="56"/>
      <c r="U737" s="56"/>
      <c r="V737" s="42"/>
      <c r="W737" s="57"/>
      <c r="X737" s="58"/>
      <c r="Y737" s="75"/>
      <c r="Z737" s="59"/>
      <c r="AA737" s="61"/>
      <c r="AB737" s="61"/>
      <c r="AC737" s="61"/>
      <c r="AD737" s="62"/>
      <c r="AE737" s="62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</row>
    <row r="738" spans="1:77" x14ac:dyDescent="0.3">
      <c r="A738" s="39"/>
      <c r="B738" s="42"/>
      <c r="C738" s="42"/>
      <c r="D738" s="75"/>
      <c r="E738" s="75"/>
      <c r="F738" s="76"/>
      <c r="G738" s="47"/>
      <c r="H738" s="47"/>
      <c r="I738" s="75"/>
      <c r="J738" s="76"/>
      <c r="K738" s="76"/>
      <c r="L738" s="75"/>
      <c r="M738" s="49"/>
      <c r="N738" s="76"/>
      <c r="O738" s="49"/>
      <c r="P738" s="77"/>
      <c r="Q738" s="53"/>
      <c r="R738" s="54"/>
      <c r="S738" s="55"/>
      <c r="T738" s="56"/>
      <c r="U738" s="56"/>
      <c r="V738" s="42"/>
      <c r="W738" s="57"/>
      <c r="X738" s="58"/>
      <c r="Y738" s="75"/>
      <c r="Z738" s="59"/>
      <c r="AA738" s="61"/>
      <c r="AB738" s="61"/>
      <c r="AC738" s="61"/>
      <c r="AD738" s="62"/>
      <c r="AE738" s="62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</row>
    <row r="739" spans="1:77" x14ac:dyDescent="0.3">
      <c r="A739" s="39"/>
      <c r="B739" s="42"/>
      <c r="C739" s="42"/>
      <c r="D739" s="75"/>
      <c r="E739" s="75"/>
      <c r="F739" s="76"/>
      <c r="G739" s="47"/>
      <c r="H739" s="47"/>
      <c r="I739" s="75"/>
      <c r="J739" s="76"/>
      <c r="K739" s="76"/>
      <c r="L739" s="75"/>
      <c r="M739" s="49"/>
      <c r="N739" s="76"/>
      <c r="O739" s="49"/>
      <c r="P739" s="77"/>
      <c r="Q739" s="53"/>
      <c r="R739" s="54"/>
      <c r="S739" s="55"/>
      <c r="T739" s="56"/>
      <c r="U739" s="56"/>
      <c r="V739" s="42"/>
      <c r="W739" s="57"/>
      <c r="X739" s="58"/>
      <c r="Y739" s="75"/>
      <c r="Z739" s="59"/>
      <c r="AA739" s="61"/>
      <c r="AB739" s="61"/>
      <c r="AC739" s="61"/>
      <c r="AD739" s="62"/>
      <c r="AE739" s="62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</row>
    <row r="740" spans="1:77" x14ac:dyDescent="0.3">
      <c r="A740" s="39"/>
      <c r="B740" s="42"/>
      <c r="C740" s="42"/>
      <c r="D740" s="75"/>
      <c r="E740" s="75"/>
      <c r="F740" s="76"/>
      <c r="G740" s="47"/>
      <c r="H740" s="47"/>
      <c r="I740" s="75"/>
      <c r="J740" s="76"/>
      <c r="K740" s="76"/>
      <c r="L740" s="75"/>
      <c r="M740" s="49"/>
      <c r="N740" s="76"/>
      <c r="O740" s="49"/>
      <c r="P740" s="77"/>
      <c r="Q740" s="53"/>
      <c r="R740" s="54"/>
      <c r="S740" s="55"/>
      <c r="T740" s="56"/>
      <c r="U740" s="56"/>
      <c r="V740" s="42"/>
      <c r="W740" s="57"/>
      <c r="X740" s="58"/>
      <c r="Y740" s="75"/>
      <c r="Z740" s="59"/>
      <c r="AA740" s="61"/>
      <c r="AB740" s="61"/>
      <c r="AC740" s="61"/>
      <c r="AD740" s="62"/>
      <c r="AE740" s="62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</row>
    <row r="741" spans="1:77" x14ac:dyDescent="0.3">
      <c r="A741" s="39"/>
      <c r="B741" s="42"/>
      <c r="C741" s="42"/>
      <c r="D741" s="75"/>
      <c r="E741" s="75"/>
      <c r="F741" s="76"/>
      <c r="G741" s="47"/>
      <c r="H741" s="47"/>
      <c r="I741" s="75"/>
      <c r="J741" s="76"/>
      <c r="K741" s="76"/>
      <c r="L741" s="75"/>
      <c r="M741" s="49"/>
      <c r="N741" s="76"/>
      <c r="O741" s="49"/>
      <c r="P741" s="77"/>
      <c r="Q741" s="53"/>
      <c r="R741" s="54"/>
      <c r="S741" s="55"/>
      <c r="T741" s="56"/>
      <c r="U741" s="56"/>
      <c r="V741" s="42"/>
      <c r="W741" s="57"/>
      <c r="X741" s="58"/>
      <c r="Y741" s="75"/>
      <c r="Z741" s="59"/>
      <c r="AA741" s="61"/>
      <c r="AB741" s="61"/>
      <c r="AC741" s="61"/>
      <c r="AD741" s="62"/>
      <c r="AE741" s="62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</row>
    <row r="742" spans="1:77" x14ac:dyDescent="0.3">
      <c r="A742" s="39"/>
      <c r="B742" s="42"/>
      <c r="C742" s="42"/>
      <c r="D742" s="75"/>
      <c r="E742" s="75"/>
      <c r="F742" s="76"/>
      <c r="G742" s="47"/>
      <c r="H742" s="47"/>
      <c r="I742" s="75"/>
      <c r="J742" s="76"/>
      <c r="K742" s="76"/>
      <c r="L742" s="75"/>
      <c r="M742" s="49"/>
      <c r="N742" s="76"/>
      <c r="O742" s="49"/>
      <c r="P742" s="77"/>
      <c r="Q742" s="53"/>
      <c r="R742" s="54"/>
      <c r="S742" s="55"/>
      <c r="T742" s="56"/>
      <c r="U742" s="56"/>
      <c r="V742" s="42"/>
      <c r="W742" s="57"/>
      <c r="X742" s="58"/>
      <c r="Y742" s="75"/>
      <c r="Z742" s="59"/>
      <c r="AA742" s="61"/>
      <c r="AB742" s="61"/>
      <c r="AC742" s="61"/>
      <c r="AD742" s="62"/>
      <c r="AE742" s="62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</row>
    <row r="743" spans="1:77" x14ac:dyDescent="0.3">
      <c r="A743" s="39"/>
      <c r="B743" s="42"/>
      <c r="C743" s="42"/>
      <c r="D743" s="75"/>
      <c r="E743" s="75"/>
      <c r="F743" s="76"/>
      <c r="G743" s="47"/>
      <c r="H743" s="47"/>
      <c r="I743" s="75"/>
      <c r="J743" s="76"/>
      <c r="K743" s="76"/>
      <c r="L743" s="75"/>
      <c r="M743" s="49"/>
      <c r="N743" s="76"/>
      <c r="O743" s="49"/>
      <c r="P743" s="77"/>
      <c r="Q743" s="53"/>
      <c r="R743" s="54"/>
      <c r="S743" s="55"/>
      <c r="T743" s="56"/>
      <c r="U743" s="56"/>
      <c r="V743" s="42"/>
      <c r="W743" s="57"/>
      <c r="X743" s="58"/>
      <c r="Y743" s="75"/>
      <c r="Z743" s="59"/>
      <c r="AA743" s="61"/>
      <c r="AB743" s="61"/>
      <c r="AC743" s="61"/>
      <c r="AD743" s="62"/>
      <c r="AE743" s="62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</row>
    <row r="744" spans="1:77" x14ac:dyDescent="0.3">
      <c r="A744" s="39"/>
      <c r="B744" s="42"/>
      <c r="C744" s="42"/>
      <c r="D744" s="75"/>
      <c r="E744" s="75"/>
      <c r="F744" s="76"/>
      <c r="G744" s="47"/>
      <c r="H744" s="47"/>
      <c r="I744" s="75"/>
      <c r="J744" s="76"/>
      <c r="K744" s="76"/>
      <c r="L744" s="75"/>
      <c r="M744" s="49"/>
      <c r="N744" s="76"/>
      <c r="O744" s="49"/>
      <c r="P744" s="77"/>
      <c r="Q744" s="53"/>
      <c r="R744" s="54"/>
      <c r="S744" s="55"/>
      <c r="T744" s="56"/>
      <c r="U744" s="56"/>
      <c r="V744" s="42"/>
      <c r="W744" s="57"/>
      <c r="X744" s="58"/>
      <c r="Y744" s="75"/>
      <c r="Z744" s="59"/>
      <c r="AA744" s="61"/>
      <c r="AB744" s="61"/>
      <c r="AC744" s="61"/>
      <c r="AD744" s="62"/>
      <c r="AE744" s="62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</row>
    <row r="745" spans="1:77" x14ac:dyDescent="0.3">
      <c r="A745" s="39"/>
      <c r="B745" s="42"/>
      <c r="C745" s="42"/>
      <c r="D745" s="75"/>
      <c r="E745" s="75"/>
      <c r="F745" s="76"/>
      <c r="G745" s="47"/>
      <c r="H745" s="47"/>
      <c r="I745" s="75"/>
      <c r="J745" s="76"/>
      <c r="K745" s="76"/>
      <c r="L745" s="75"/>
      <c r="M745" s="49"/>
      <c r="N745" s="76"/>
      <c r="O745" s="49"/>
      <c r="P745" s="77"/>
      <c r="Q745" s="53"/>
      <c r="R745" s="54"/>
      <c r="S745" s="55"/>
      <c r="T745" s="56"/>
      <c r="U745" s="56"/>
      <c r="V745" s="42"/>
      <c r="W745" s="57"/>
      <c r="X745" s="58"/>
      <c r="Y745" s="75"/>
      <c r="Z745" s="59"/>
      <c r="AA745" s="61"/>
      <c r="AB745" s="61"/>
      <c r="AC745" s="61"/>
      <c r="AD745" s="62"/>
      <c r="AE745" s="62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</row>
    <row r="746" spans="1:77" x14ac:dyDescent="0.3">
      <c r="A746" s="39"/>
      <c r="B746" s="42"/>
      <c r="C746" s="42"/>
      <c r="D746" s="75"/>
      <c r="E746" s="75"/>
      <c r="F746" s="76"/>
      <c r="G746" s="47"/>
      <c r="H746" s="47"/>
      <c r="I746" s="75"/>
      <c r="J746" s="76"/>
      <c r="K746" s="76"/>
      <c r="L746" s="75"/>
      <c r="M746" s="49"/>
      <c r="N746" s="76"/>
      <c r="O746" s="49"/>
      <c r="P746" s="77"/>
      <c r="Q746" s="53"/>
      <c r="R746" s="54"/>
      <c r="S746" s="55"/>
      <c r="T746" s="56"/>
      <c r="U746" s="56"/>
      <c r="V746" s="42"/>
      <c r="W746" s="57"/>
      <c r="X746" s="58"/>
      <c r="Y746" s="75"/>
      <c r="Z746" s="59"/>
      <c r="AA746" s="61"/>
      <c r="AB746" s="61"/>
      <c r="AC746" s="61"/>
      <c r="AD746" s="62"/>
      <c r="AE746" s="62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</row>
    <row r="747" spans="1:77" x14ac:dyDescent="0.3">
      <c r="A747" s="39"/>
      <c r="B747" s="42"/>
      <c r="C747" s="42"/>
      <c r="D747" s="75"/>
      <c r="E747" s="75"/>
      <c r="F747" s="76"/>
      <c r="G747" s="47"/>
      <c r="H747" s="47"/>
      <c r="I747" s="75"/>
      <c r="J747" s="76"/>
      <c r="K747" s="76"/>
      <c r="L747" s="75"/>
      <c r="M747" s="49"/>
      <c r="N747" s="76"/>
      <c r="O747" s="49"/>
      <c r="P747" s="77"/>
      <c r="Q747" s="53"/>
      <c r="R747" s="54"/>
      <c r="S747" s="55"/>
      <c r="T747" s="56"/>
      <c r="U747" s="56"/>
      <c r="V747" s="42"/>
      <c r="W747" s="57"/>
      <c r="X747" s="58"/>
      <c r="Y747" s="75"/>
      <c r="Z747" s="59"/>
      <c r="AA747" s="61"/>
      <c r="AB747" s="61"/>
      <c r="AC747" s="61"/>
      <c r="AD747" s="62"/>
      <c r="AE747" s="62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</row>
    <row r="748" spans="1:77" x14ac:dyDescent="0.3">
      <c r="A748" s="39"/>
      <c r="B748" s="42"/>
      <c r="C748" s="42"/>
      <c r="D748" s="75"/>
      <c r="E748" s="75"/>
      <c r="F748" s="76"/>
      <c r="G748" s="47"/>
      <c r="H748" s="47"/>
      <c r="I748" s="75"/>
      <c r="J748" s="76"/>
      <c r="K748" s="76"/>
      <c r="L748" s="75"/>
      <c r="M748" s="49"/>
      <c r="N748" s="76"/>
      <c r="O748" s="49"/>
      <c r="P748" s="77"/>
      <c r="Q748" s="53"/>
      <c r="R748" s="54"/>
      <c r="S748" s="55"/>
      <c r="T748" s="56"/>
      <c r="U748" s="56"/>
      <c r="V748" s="42"/>
      <c r="W748" s="57"/>
      <c r="X748" s="58"/>
      <c r="Y748" s="75"/>
      <c r="Z748" s="59"/>
      <c r="AA748" s="61"/>
      <c r="AB748" s="61"/>
      <c r="AC748" s="61"/>
      <c r="AD748" s="62"/>
      <c r="AE748" s="62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</row>
    <row r="749" spans="1:77" x14ac:dyDescent="0.3">
      <c r="A749" s="39"/>
      <c r="B749" s="42"/>
      <c r="C749" s="42"/>
      <c r="D749" s="75"/>
      <c r="E749" s="75"/>
      <c r="F749" s="76"/>
      <c r="G749" s="47"/>
      <c r="H749" s="47"/>
      <c r="I749" s="75"/>
      <c r="J749" s="76"/>
      <c r="K749" s="76"/>
      <c r="L749" s="75"/>
      <c r="M749" s="49"/>
      <c r="N749" s="76"/>
      <c r="O749" s="49"/>
      <c r="P749" s="77"/>
      <c r="Q749" s="53"/>
      <c r="R749" s="54"/>
      <c r="S749" s="55"/>
      <c r="T749" s="56"/>
      <c r="U749" s="56"/>
      <c r="V749" s="42"/>
      <c r="W749" s="57"/>
      <c r="X749" s="58"/>
      <c r="Y749" s="75"/>
      <c r="Z749" s="59"/>
      <c r="AA749" s="61"/>
      <c r="AB749" s="61"/>
      <c r="AC749" s="61"/>
      <c r="AD749" s="62"/>
      <c r="AE749" s="62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</row>
    <row r="750" spans="1:77" x14ac:dyDescent="0.3">
      <c r="A750" s="39"/>
      <c r="B750" s="42"/>
      <c r="C750" s="42"/>
      <c r="D750" s="75"/>
      <c r="E750" s="75"/>
      <c r="F750" s="76"/>
      <c r="G750" s="47"/>
      <c r="H750" s="47"/>
      <c r="I750" s="75"/>
      <c r="J750" s="76"/>
      <c r="K750" s="76"/>
      <c r="L750" s="75"/>
      <c r="M750" s="49"/>
      <c r="N750" s="76"/>
      <c r="O750" s="49"/>
      <c r="P750" s="77"/>
      <c r="Q750" s="53"/>
      <c r="R750" s="54"/>
      <c r="S750" s="55"/>
      <c r="T750" s="56"/>
      <c r="U750" s="56"/>
      <c r="V750" s="42"/>
      <c r="W750" s="57"/>
      <c r="X750" s="58"/>
      <c r="Y750" s="75"/>
      <c r="Z750" s="59"/>
      <c r="AA750" s="61"/>
      <c r="AB750" s="61"/>
      <c r="AC750" s="61"/>
      <c r="AD750" s="62"/>
      <c r="AE750" s="62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</row>
    <row r="751" spans="1:77" x14ac:dyDescent="0.3">
      <c r="A751" s="39"/>
      <c r="B751" s="42"/>
      <c r="C751" s="42"/>
      <c r="D751" s="75"/>
      <c r="E751" s="75"/>
      <c r="F751" s="76"/>
      <c r="G751" s="47"/>
      <c r="H751" s="47"/>
      <c r="I751" s="75"/>
      <c r="J751" s="76"/>
      <c r="K751" s="76"/>
      <c r="L751" s="75"/>
      <c r="M751" s="49"/>
      <c r="N751" s="76"/>
      <c r="O751" s="49"/>
      <c r="P751" s="77"/>
      <c r="Q751" s="53"/>
      <c r="R751" s="54"/>
      <c r="S751" s="55"/>
      <c r="T751" s="56"/>
      <c r="U751" s="56"/>
      <c r="V751" s="42"/>
      <c r="W751" s="57"/>
      <c r="X751" s="58"/>
      <c r="Y751" s="75"/>
      <c r="Z751" s="59"/>
      <c r="AA751" s="61"/>
      <c r="AB751" s="61"/>
      <c r="AC751" s="61"/>
      <c r="AD751" s="62"/>
      <c r="AE751" s="62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</row>
    <row r="752" spans="1:77" x14ac:dyDescent="0.3">
      <c r="A752" s="39"/>
      <c r="B752" s="42"/>
      <c r="C752" s="42"/>
      <c r="D752" s="75"/>
      <c r="E752" s="75"/>
      <c r="F752" s="76"/>
      <c r="G752" s="47"/>
      <c r="H752" s="47"/>
      <c r="I752" s="75"/>
      <c r="J752" s="76"/>
      <c r="K752" s="76"/>
      <c r="L752" s="75"/>
      <c r="M752" s="49"/>
      <c r="N752" s="76"/>
      <c r="O752" s="49"/>
      <c r="P752" s="77"/>
      <c r="Q752" s="53"/>
      <c r="R752" s="54"/>
      <c r="S752" s="55"/>
      <c r="T752" s="56"/>
      <c r="U752" s="56"/>
      <c r="V752" s="42"/>
      <c r="W752" s="57"/>
      <c r="X752" s="58"/>
      <c r="Y752" s="75"/>
      <c r="Z752" s="59"/>
      <c r="AA752" s="61"/>
      <c r="AB752" s="61"/>
      <c r="AC752" s="61"/>
      <c r="AD752" s="62"/>
      <c r="AE752" s="62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</row>
    <row r="753" spans="1:77" x14ac:dyDescent="0.3">
      <c r="A753" s="39"/>
      <c r="B753" s="42"/>
      <c r="C753" s="42"/>
      <c r="D753" s="75"/>
      <c r="E753" s="75"/>
      <c r="F753" s="76"/>
      <c r="G753" s="47"/>
      <c r="H753" s="47"/>
      <c r="I753" s="75"/>
      <c r="J753" s="76"/>
      <c r="K753" s="76"/>
      <c r="L753" s="75"/>
      <c r="M753" s="49"/>
      <c r="N753" s="76"/>
      <c r="O753" s="49"/>
      <c r="P753" s="77"/>
      <c r="Q753" s="53"/>
      <c r="R753" s="54"/>
      <c r="S753" s="55"/>
      <c r="T753" s="56"/>
      <c r="U753" s="56"/>
      <c r="V753" s="42"/>
      <c r="W753" s="57"/>
      <c r="X753" s="58"/>
      <c r="Y753" s="75"/>
      <c r="Z753" s="59"/>
      <c r="AA753" s="61"/>
      <c r="AB753" s="61"/>
      <c r="AC753" s="61"/>
      <c r="AD753" s="62"/>
      <c r="AE753" s="62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</row>
    <row r="754" spans="1:77" x14ac:dyDescent="0.3">
      <c r="A754" s="39"/>
      <c r="B754" s="42"/>
      <c r="C754" s="42"/>
      <c r="D754" s="75"/>
      <c r="E754" s="75"/>
      <c r="F754" s="76"/>
      <c r="G754" s="47"/>
      <c r="H754" s="47"/>
      <c r="I754" s="75"/>
      <c r="J754" s="76"/>
      <c r="K754" s="76"/>
      <c r="L754" s="75"/>
      <c r="M754" s="49"/>
      <c r="N754" s="76"/>
      <c r="O754" s="49"/>
      <c r="P754" s="77"/>
      <c r="Q754" s="53"/>
      <c r="R754" s="54"/>
      <c r="S754" s="55"/>
      <c r="T754" s="56"/>
      <c r="U754" s="56"/>
      <c r="V754" s="42"/>
      <c r="W754" s="57"/>
      <c r="X754" s="58"/>
      <c r="Y754" s="75"/>
      <c r="Z754" s="59"/>
      <c r="AA754" s="61"/>
      <c r="AB754" s="61"/>
      <c r="AC754" s="61"/>
      <c r="AD754" s="62"/>
      <c r="AE754" s="62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</row>
    <row r="755" spans="1:77" x14ac:dyDescent="0.3">
      <c r="A755" s="39"/>
      <c r="B755" s="42"/>
      <c r="C755" s="42"/>
      <c r="D755" s="75"/>
      <c r="E755" s="75"/>
      <c r="F755" s="76"/>
      <c r="G755" s="47"/>
      <c r="H755" s="47"/>
      <c r="I755" s="75"/>
      <c r="J755" s="76"/>
      <c r="K755" s="76"/>
      <c r="L755" s="75"/>
      <c r="M755" s="49"/>
      <c r="N755" s="76"/>
      <c r="O755" s="49"/>
      <c r="P755" s="77"/>
      <c r="Q755" s="53"/>
      <c r="R755" s="54"/>
      <c r="S755" s="55"/>
      <c r="T755" s="56"/>
      <c r="U755" s="56"/>
      <c r="V755" s="42"/>
      <c r="W755" s="57"/>
      <c r="X755" s="58"/>
      <c r="Y755" s="75"/>
      <c r="Z755" s="59"/>
      <c r="AA755" s="61"/>
      <c r="AB755" s="61"/>
      <c r="AC755" s="61"/>
      <c r="AD755" s="62"/>
      <c r="AE755" s="62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</row>
    <row r="756" spans="1:77" x14ac:dyDescent="0.3">
      <c r="A756" s="39"/>
      <c r="B756" s="42"/>
      <c r="C756" s="42"/>
      <c r="D756" s="75"/>
      <c r="E756" s="75"/>
      <c r="F756" s="76"/>
      <c r="G756" s="47"/>
      <c r="H756" s="47"/>
      <c r="I756" s="75"/>
      <c r="J756" s="76"/>
      <c r="K756" s="76"/>
      <c r="L756" s="75"/>
      <c r="M756" s="49"/>
      <c r="N756" s="76"/>
      <c r="O756" s="49"/>
      <c r="P756" s="77"/>
      <c r="Q756" s="53"/>
      <c r="R756" s="54"/>
      <c r="S756" s="55"/>
      <c r="T756" s="56"/>
      <c r="U756" s="56"/>
      <c r="V756" s="42"/>
      <c r="W756" s="57"/>
      <c r="X756" s="58"/>
      <c r="Y756" s="75"/>
      <c r="Z756" s="59"/>
      <c r="AA756" s="61"/>
      <c r="AB756" s="61"/>
      <c r="AC756" s="61"/>
      <c r="AD756" s="62"/>
      <c r="AE756" s="62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</row>
    <row r="757" spans="1:77" x14ac:dyDescent="0.3">
      <c r="A757" s="39"/>
      <c r="B757" s="42"/>
      <c r="C757" s="42"/>
      <c r="D757" s="75"/>
      <c r="E757" s="75"/>
      <c r="F757" s="76"/>
      <c r="G757" s="47"/>
      <c r="H757" s="47"/>
      <c r="I757" s="75"/>
      <c r="J757" s="76"/>
      <c r="K757" s="76"/>
      <c r="L757" s="75"/>
      <c r="M757" s="49"/>
      <c r="N757" s="76"/>
      <c r="O757" s="49"/>
      <c r="P757" s="77"/>
      <c r="Q757" s="53"/>
      <c r="R757" s="54"/>
      <c r="S757" s="55"/>
      <c r="T757" s="56"/>
      <c r="U757" s="56"/>
      <c r="V757" s="42"/>
      <c r="W757" s="57"/>
      <c r="X757" s="58"/>
      <c r="Y757" s="75"/>
      <c r="Z757" s="59"/>
      <c r="AA757" s="61"/>
      <c r="AB757" s="61"/>
      <c r="AC757" s="61"/>
      <c r="AD757" s="62"/>
      <c r="AE757" s="62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</row>
    <row r="758" spans="1:77" x14ac:dyDescent="0.3">
      <c r="A758" s="39"/>
      <c r="B758" s="42"/>
      <c r="C758" s="42"/>
      <c r="D758" s="75"/>
      <c r="E758" s="75"/>
      <c r="F758" s="76"/>
      <c r="G758" s="47"/>
      <c r="H758" s="47"/>
      <c r="I758" s="75"/>
      <c r="J758" s="76"/>
      <c r="K758" s="76"/>
      <c r="L758" s="75"/>
      <c r="M758" s="49"/>
      <c r="N758" s="76"/>
      <c r="O758" s="49"/>
      <c r="P758" s="77"/>
      <c r="Q758" s="53"/>
      <c r="R758" s="54"/>
      <c r="S758" s="55"/>
      <c r="T758" s="56"/>
      <c r="U758" s="56"/>
      <c r="V758" s="42"/>
      <c r="W758" s="57"/>
      <c r="X758" s="58"/>
      <c r="Y758" s="75"/>
      <c r="Z758" s="59"/>
      <c r="AA758" s="61"/>
      <c r="AB758" s="61"/>
      <c r="AC758" s="61"/>
      <c r="AD758" s="62"/>
      <c r="AE758" s="62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</row>
    <row r="759" spans="1:77" x14ac:dyDescent="0.3">
      <c r="A759" s="39"/>
      <c r="B759" s="42"/>
      <c r="C759" s="42"/>
      <c r="D759" s="75"/>
      <c r="E759" s="75"/>
      <c r="F759" s="76"/>
      <c r="G759" s="47"/>
      <c r="H759" s="47"/>
      <c r="I759" s="75"/>
      <c r="J759" s="76"/>
      <c r="K759" s="76"/>
      <c r="L759" s="75"/>
      <c r="M759" s="49"/>
      <c r="N759" s="76"/>
      <c r="O759" s="49"/>
      <c r="P759" s="77"/>
      <c r="Q759" s="53"/>
      <c r="R759" s="54"/>
      <c r="S759" s="55"/>
      <c r="T759" s="56"/>
      <c r="U759" s="56"/>
      <c r="V759" s="42"/>
      <c r="W759" s="57"/>
      <c r="X759" s="58"/>
      <c r="Y759" s="75"/>
      <c r="Z759" s="59"/>
      <c r="AA759" s="61"/>
      <c r="AB759" s="61"/>
      <c r="AC759" s="61"/>
      <c r="AD759" s="62"/>
      <c r="AE759" s="62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</row>
    <row r="760" spans="1:77" x14ac:dyDescent="0.3">
      <c r="A760" s="39"/>
      <c r="B760" s="42"/>
      <c r="C760" s="42"/>
      <c r="D760" s="75"/>
      <c r="E760" s="75"/>
      <c r="F760" s="76"/>
      <c r="G760" s="47"/>
      <c r="H760" s="47"/>
      <c r="I760" s="75"/>
      <c r="J760" s="76"/>
      <c r="K760" s="76"/>
      <c r="L760" s="75"/>
      <c r="M760" s="49"/>
      <c r="N760" s="76"/>
      <c r="O760" s="49"/>
      <c r="P760" s="77"/>
      <c r="Q760" s="53"/>
      <c r="R760" s="54"/>
      <c r="S760" s="55"/>
      <c r="T760" s="56"/>
      <c r="U760" s="56"/>
      <c r="V760" s="42"/>
      <c r="W760" s="57"/>
      <c r="X760" s="58"/>
      <c r="Y760" s="75"/>
      <c r="Z760" s="59"/>
      <c r="AA760" s="61"/>
      <c r="AB760" s="61"/>
      <c r="AC760" s="61"/>
      <c r="AD760" s="62"/>
      <c r="AE760" s="62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</row>
    <row r="761" spans="1:77" x14ac:dyDescent="0.3">
      <c r="A761" s="39"/>
      <c r="B761" s="42"/>
      <c r="C761" s="42"/>
      <c r="D761" s="75"/>
      <c r="E761" s="75"/>
      <c r="F761" s="76"/>
      <c r="G761" s="47"/>
      <c r="H761" s="47"/>
      <c r="I761" s="75"/>
      <c r="J761" s="76"/>
      <c r="K761" s="76"/>
      <c r="L761" s="75"/>
      <c r="M761" s="49"/>
      <c r="N761" s="76"/>
      <c r="O761" s="49"/>
      <c r="P761" s="77"/>
      <c r="Q761" s="53"/>
      <c r="R761" s="54"/>
      <c r="S761" s="55"/>
      <c r="T761" s="56"/>
      <c r="U761" s="56"/>
      <c r="V761" s="42"/>
      <c r="W761" s="57"/>
      <c r="X761" s="58"/>
      <c r="Y761" s="75"/>
      <c r="Z761" s="59"/>
      <c r="AA761" s="61"/>
      <c r="AB761" s="61"/>
      <c r="AC761" s="61"/>
      <c r="AD761" s="62"/>
      <c r="AE761" s="62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</row>
    <row r="762" spans="1:77" x14ac:dyDescent="0.3">
      <c r="A762" s="39"/>
      <c r="B762" s="42"/>
      <c r="C762" s="42"/>
      <c r="D762" s="75"/>
      <c r="E762" s="75"/>
      <c r="F762" s="76"/>
      <c r="G762" s="47"/>
      <c r="H762" s="47"/>
      <c r="I762" s="75"/>
      <c r="J762" s="76"/>
      <c r="K762" s="76"/>
      <c r="L762" s="75"/>
      <c r="M762" s="49"/>
      <c r="N762" s="76"/>
      <c r="O762" s="49"/>
      <c r="P762" s="77"/>
      <c r="Q762" s="53"/>
      <c r="R762" s="54"/>
      <c r="S762" s="55"/>
      <c r="T762" s="56"/>
      <c r="U762" s="56"/>
      <c r="V762" s="42"/>
      <c r="W762" s="57"/>
      <c r="X762" s="58"/>
      <c r="Y762" s="75"/>
      <c r="Z762" s="59"/>
      <c r="AA762" s="61"/>
      <c r="AB762" s="61"/>
      <c r="AC762" s="61"/>
      <c r="AD762" s="62"/>
      <c r="AE762" s="62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</row>
    <row r="763" spans="1:77" x14ac:dyDescent="0.3">
      <c r="A763" s="39"/>
      <c r="B763" s="42"/>
      <c r="C763" s="42"/>
      <c r="D763" s="75"/>
      <c r="E763" s="75"/>
      <c r="F763" s="76"/>
      <c r="G763" s="47"/>
      <c r="H763" s="47"/>
      <c r="I763" s="75"/>
      <c r="J763" s="76"/>
      <c r="K763" s="76"/>
      <c r="L763" s="75"/>
      <c r="M763" s="49"/>
      <c r="N763" s="76"/>
      <c r="O763" s="49"/>
      <c r="P763" s="77"/>
      <c r="Q763" s="53"/>
      <c r="R763" s="54"/>
      <c r="S763" s="55"/>
      <c r="T763" s="56"/>
      <c r="U763" s="56"/>
      <c r="V763" s="42"/>
      <c r="W763" s="57"/>
      <c r="X763" s="58"/>
      <c r="Y763" s="75"/>
      <c r="Z763" s="59"/>
      <c r="AA763" s="61"/>
      <c r="AB763" s="61"/>
      <c r="AC763" s="61"/>
      <c r="AD763" s="62"/>
      <c r="AE763" s="62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</row>
    <row r="764" spans="1:77" x14ac:dyDescent="0.3">
      <c r="A764" s="39"/>
      <c r="B764" s="42"/>
      <c r="C764" s="42"/>
      <c r="D764" s="75"/>
      <c r="E764" s="75"/>
      <c r="F764" s="76"/>
      <c r="G764" s="47"/>
      <c r="H764" s="47"/>
      <c r="I764" s="75"/>
      <c r="J764" s="76"/>
      <c r="K764" s="76"/>
      <c r="L764" s="75"/>
      <c r="M764" s="49"/>
      <c r="N764" s="76"/>
      <c r="O764" s="49"/>
      <c r="P764" s="77"/>
      <c r="Q764" s="53"/>
      <c r="R764" s="54"/>
      <c r="S764" s="55"/>
      <c r="T764" s="56"/>
      <c r="U764" s="56"/>
      <c r="V764" s="42"/>
      <c r="W764" s="57"/>
      <c r="X764" s="58"/>
      <c r="Y764" s="75"/>
      <c r="Z764" s="59"/>
      <c r="AA764" s="61"/>
      <c r="AB764" s="61"/>
      <c r="AC764" s="61"/>
      <c r="AD764" s="62"/>
      <c r="AE764" s="62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</row>
    <row r="765" spans="1:77" x14ac:dyDescent="0.3">
      <c r="A765" s="39"/>
      <c r="B765" s="42"/>
      <c r="C765" s="42"/>
      <c r="D765" s="75"/>
      <c r="E765" s="75"/>
      <c r="F765" s="76"/>
      <c r="G765" s="47"/>
      <c r="H765" s="47"/>
      <c r="I765" s="75"/>
      <c r="J765" s="76"/>
      <c r="K765" s="76"/>
      <c r="L765" s="75"/>
      <c r="M765" s="49"/>
      <c r="N765" s="76"/>
      <c r="O765" s="49"/>
      <c r="P765" s="77"/>
      <c r="Q765" s="53"/>
      <c r="R765" s="54"/>
      <c r="S765" s="55"/>
      <c r="T765" s="56"/>
      <c r="U765" s="56"/>
      <c r="V765" s="42"/>
      <c r="W765" s="57"/>
      <c r="X765" s="58"/>
      <c r="Y765" s="75"/>
      <c r="Z765" s="59"/>
      <c r="AA765" s="61"/>
      <c r="AB765" s="61"/>
      <c r="AC765" s="61"/>
      <c r="AD765" s="62"/>
      <c r="AE765" s="62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</row>
    <row r="766" spans="1:77" x14ac:dyDescent="0.3">
      <c r="A766" s="39"/>
      <c r="B766" s="42"/>
      <c r="C766" s="42"/>
      <c r="D766" s="75"/>
      <c r="E766" s="75"/>
      <c r="F766" s="76"/>
      <c r="G766" s="47"/>
      <c r="H766" s="47"/>
      <c r="I766" s="75"/>
      <c r="J766" s="76"/>
      <c r="K766" s="76"/>
      <c r="L766" s="75"/>
      <c r="M766" s="49"/>
      <c r="N766" s="76"/>
      <c r="O766" s="49"/>
      <c r="P766" s="77"/>
      <c r="Q766" s="53"/>
      <c r="R766" s="54"/>
      <c r="S766" s="55"/>
      <c r="T766" s="56"/>
      <c r="U766" s="56"/>
      <c r="V766" s="42"/>
      <c r="W766" s="57"/>
      <c r="X766" s="58"/>
      <c r="Y766" s="75"/>
      <c r="Z766" s="59"/>
      <c r="AA766" s="61"/>
      <c r="AB766" s="61"/>
      <c r="AC766" s="61"/>
      <c r="AD766" s="62"/>
      <c r="AE766" s="62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</row>
    <row r="767" spans="1:77" x14ac:dyDescent="0.3">
      <c r="A767" s="39"/>
      <c r="B767" s="42"/>
      <c r="C767" s="42"/>
      <c r="D767" s="75"/>
      <c r="E767" s="75"/>
      <c r="F767" s="76"/>
      <c r="G767" s="47"/>
      <c r="H767" s="47"/>
      <c r="I767" s="75"/>
      <c r="J767" s="76"/>
      <c r="K767" s="76"/>
      <c r="L767" s="75"/>
      <c r="M767" s="49"/>
      <c r="N767" s="76"/>
      <c r="O767" s="49"/>
      <c r="P767" s="77"/>
      <c r="Q767" s="53"/>
      <c r="R767" s="54"/>
      <c r="S767" s="55"/>
      <c r="T767" s="56"/>
      <c r="U767" s="56"/>
      <c r="V767" s="42"/>
      <c r="W767" s="57"/>
      <c r="X767" s="58"/>
      <c r="Y767" s="75"/>
      <c r="Z767" s="59"/>
      <c r="AA767" s="61"/>
      <c r="AB767" s="61"/>
      <c r="AC767" s="61"/>
      <c r="AD767" s="62"/>
      <c r="AE767" s="62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</row>
    <row r="768" spans="1:77" x14ac:dyDescent="0.3">
      <c r="A768" s="39"/>
      <c r="B768" s="42"/>
      <c r="C768" s="42"/>
      <c r="D768" s="75"/>
      <c r="E768" s="75"/>
      <c r="F768" s="76"/>
      <c r="G768" s="47"/>
      <c r="H768" s="47"/>
      <c r="I768" s="75"/>
      <c r="J768" s="76"/>
      <c r="K768" s="76"/>
      <c r="L768" s="75"/>
      <c r="M768" s="49"/>
      <c r="N768" s="76"/>
      <c r="O768" s="49"/>
      <c r="P768" s="77"/>
      <c r="Q768" s="53"/>
      <c r="R768" s="54"/>
      <c r="S768" s="55"/>
      <c r="T768" s="56"/>
      <c r="U768" s="56"/>
      <c r="V768" s="42"/>
      <c r="W768" s="57"/>
      <c r="X768" s="58"/>
      <c r="Y768" s="75"/>
      <c r="Z768" s="59"/>
      <c r="AA768" s="61"/>
      <c r="AB768" s="61"/>
      <c r="AC768" s="61"/>
      <c r="AD768" s="62"/>
      <c r="AE768" s="62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</row>
    <row r="769" spans="1:77" x14ac:dyDescent="0.3">
      <c r="A769" s="39"/>
      <c r="B769" s="42"/>
      <c r="C769" s="42"/>
      <c r="D769" s="75"/>
      <c r="E769" s="75"/>
      <c r="F769" s="76"/>
      <c r="G769" s="47"/>
      <c r="H769" s="47"/>
      <c r="I769" s="75"/>
      <c r="J769" s="76"/>
      <c r="K769" s="76"/>
      <c r="L769" s="75"/>
      <c r="M769" s="49"/>
      <c r="N769" s="76"/>
      <c r="O769" s="49"/>
      <c r="P769" s="77"/>
      <c r="Q769" s="53"/>
      <c r="R769" s="54"/>
      <c r="S769" s="55"/>
      <c r="T769" s="56"/>
      <c r="U769" s="56"/>
      <c r="V769" s="42"/>
      <c r="W769" s="57"/>
      <c r="X769" s="58"/>
      <c r="Y769" s="75"/>
      <c r="Z769" s="59"/>
      <c r="AA769" s="61"/>
      <c r="AB769" s="61"/>
      <c r="AC769" s="61"/>
      <c r="AD769" s="62"/>
      <c r="AE769" s="62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</row>
    <row r="770" spans="1:77" x14ac:dyDescent="0.3">
      <c r="A770" s="39"/>
      <c r="B770" s="42"/>
      <c r="C770" s="42"/>
      <c r="D770" s="75"/>
      <c r="E770" s="75"/>
      <c r="F770" s="76"/>
      <c r="G770" s="47"/>
      <c r="H770" s="47"/>
      <c r="I770" s="75"/>
      <c r="J770" s="76"/>
      <c r="K770" s="76"/>
      <c r="L770" s="75"/>
      <c r="M770" s="49"/>
      <c r="N770" s="76"/>
      <c r="O770" s="49"/>
      <c r="P770" s="77"/>
      <c r="Q770" s="53"/>
      <c r="R770" s="54"/>
      <c r="S770" s="55"/>
      <c r="T770" s="56"/>
      <c r="U770" s="56"/>
      <c r="V770" s="42"/>
      <c r="W770" s="57"/>
      <c r="X770" s="58"/>
      <c r="Y770" s="75"/>
      <c r="Z770" s="59"/>
      <c r="AA770" s="61"/>
      <c r="AB770" s="61"/>
      <c r="AC770" s="61"/>
      <c r="AD770" s="62"/>
      <c r="AE770" s="62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</row>
    <row r="771" spans="1:77" x14ac:dyDescent="0.3">
      <c r="A771" s="39"/>
      <c r="B771" s="42"/>
      <c r="C771" s="42"/>
      <c r="D771" s="75"/>
      <c r="E771" s="75"/>
      <c r="F771" s="76"/>
      <c r="G771" s="47"/>
      <c r="H771" s="47"/>
      <c r="I771" s="75"/>
      <c r="J771" s="76"/>
      <c r="K771" s="76"/>
      <c r="L771" s="75"/>
      <c r="M771" s="49"/>
      <c r="N771" s="76"/>
      <c r="O771" s="49"/>
      <c r="P771" s="77"/>
      <c r="Q771" s="53"/>
      <c r="R771" s="54"/>
      <c r="S771" s="55"/>
      <c r="T771" s="56"/>
      <c r="U771" s="56"/>
      <c r="V771" s="42"/>
      <c r="W771" s="57"/>
      <c r="X771" s="58"/>
      <c r="Y771" s="75"/>
      <c r="Z771" s="59"/>
      <c r="AA771" s="61"/>
      <c r="AB771" s="61"/>
      <c r="AC771" s="61"/>
      <c r="AD771" s="62"/>
      <c r="AE771" s="62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</row>
    <row r="772" spans="1:77" x14ac:dyDescent="0.3">
      <c r="A772" s="39"/>
      <c r="B772" s="42"/>
      <c r="C772" s="42"/>
      <c r="D772" s="75"/>
      <c r="E772" s="75"/>
      <c r="F772" s="76"/>
      <c r="G772" s="47"/>
      <c r="H772" s="47"/>
      <c r="I772" s="75"/>
      <c r="J772" s="76"/>
      <c r="K772" s="76"/>
      <c r="L772" s="75"/>
      <c r="M772" s="49"/>
      <c r="N772" s="76"/>
      <c r="O772" s="49"/>
      <c r="P772" s="77"/>
      <c r="Q772" s="53"/>
      <c r="R772" s="54"/>
      <c r="S772" s="55"/>
      <c r="T772" s="56"/>
      <c r="U772" s="56"/>
      <c r="V772" s="42"/>
      <c r="W772" s="57"/>
      <c r="X772" s="58"/>
      <c r="Y772" s="75"/>
      <c r="Z772" s="59"/>
      <c r="AA772" s="61"/>
      <c r="AB772" s="61"/>
      <c r="AC772" s="61"/>
      <c r="AD772" s="62"/>
      <c r="AE772" s="62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</row>
    <row r="773" spans="1:77" x14ac:dyDescent="0.3">
      <c r="A773" s="39"/>
      <c r="B773" s="42"/>
      <c r="C773" s="42"/>
      <c r="D773" s="75"/>
      <c r="E773" s="75"/>
      <c r="F773" s="76"/>
      <c r="G773" s="47"/>
      <c r="H773" s="47"/>
      <c r="I773" s="75"/>
      <c r="J773" s="76"/>
      <c r="K773" s="76"/>
      <c r="L773" s="75"/>
      <c r="M773" s="49"/>
      <c r="N773" s="76"/>
      <c r="O773" s="49"/>
      <c r="P773" s="77"/>
      <c r="Q773" s="53"/>
      <c r="R773" s="54"/>
      <c r="S773" s="55"/>
      <c r="T773" s="56"/>
      <c r="U773" s="56"/>
      <c r="V773" s="42"/>
      <c r="W773" s="57"/>
      <c r="X773" s="58"/>
      <c r="Y773" s="75"/>
      <c r="Z773" s="59"/>
      <c r="AA773" s="61"/>
      <c r="AB773" s="61"/>
      <c r="AC773" s="61"/>
      <c r="AD773" s="62"/>
      <c r="AE773" s="62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</row>
    <row r="774" spans="1:77" x14ac:dyDescent="0.3">
      <c r="A774" s="39"/>
      <c r="B774" s="42"/>
      <c r="C774" s="42"/>
      <c r="D774" s="75"/>
      <c r="E774" s="75"/>
      <c r="F774" s="76"/>
      <c r="G774" s="47"/>
      <c r="H774" s="47"/>
      <c r="I774" s="75"/>
      <c r="J774" s="76"/>
      <c r="K774" s="76"/>
      <c r="L774" s="75"/>
      <c r="M774" s="49"/>
      <c r="N774" s="76"/>
      <c r="O774" s="49"/>
      <c r="P774" s="77"/>
      <c r="Q774" s="53"/>
      <c r="R774" s="54"/>
      <c r="S774" s="55"/>
      <c r="T774" s="56"/>
      <c r="U774" s="56"/>
      <c r="V774" s="42"/>
      <c r="W774" s="57"/>
      <c r="X774" s="58"/>
      <c r="Y774" s="75"/>
      <c r="Z774" s="59"/>
      <c r="AA774" s="61"/>
      <c r="AB774" s="61"/>
      <c r="AC774" s="61"/>
      <c r="AD774" s="62"/>
      <c r="AE774" s="62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</row>
    <row r="775" spans="1:77" x14ac:dyDescent="0.3">
      <c r="A775" s="39"/>
      <c r="B775" s="42"/>
      <c r="C775" s="42"/>
      <c r="D775" s="75"/>
      <c r="E775" s="75"/>
      <c r="F775" s="76"/>
      <c r="G775" s="47"/>
      <c r="H775" s="47"/>
      <c r="I775" s="75"/>
      <c r="J775" s="76"/>
      <c r="K775" s="76"/>
      <c r="L775" s="75"/>
      <c r="M775" s="49"/>
      <c r="N775" s="76"/>
      <c r="O775" s="49"/>
      <c r="P775" s="77"/>
      <c r="Q775" s="53"/>
      <c r="R775" s="54"/>
      <c r="S775" s="55"/>
      <c r="T775" s="56"/>
      <c r="U775" s="56"/>
      <c r="V775" s="42"/>
      <c r="W775" s="57"/>
      <c r="X775" s="58"/>
      <c r="Y775" s="75"/>
      <c r="Z775" s="59"/>
      <c r="AA775" s="61"/>
      <c r="AB775" s="61"/>
      <c r="AC775" s="61"/>
      <c r="AD775" s="62"/>
      <c r="AE775" s="62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</row>
    <row r="776" spans="1:77" x14ac:dyDescent="0.3">
      <c r="A776" s="39"/>
      <c r="B776" s="42"/>
      <c r="C776" s="42"/>
      <c r="D776" s="75"/>
      <c r="E776" s="75"/>
      <c r="F776" s="76"/>
      <c r="G776" s="47"/>
      <c r="H776" s="47"/>
      <c r="I776" s="75"/>
      <c r="J776" s="76"/>
      <c r="K776" s="76"/>
      <c r="L776" s="75"/>
      <c r="M776" s="49"/>
      <c r="N776" s="76"/>
      <c r="O776" s="49"/>
      <c r="P776" s="77"/>
      <c r="Q776" s="53"/>
      <c r="R776" s="54"/>
      <c r="S776" s="55"/>
      <c r="T776" s="56"/>
      <c r="U776" s="56"/>
      <c r="V776" s="42"/>
      <c r="W776" s="57"/>
      <c r="X776" s="58"/>
      <c r="Y776" s="75"/>
      <c r="Z776" s="59"/>
      <c r="AA776" s="61"/>
      <c r="AB776" s="61"/>
      <c r="AC776" s="61"/>
      <c r="AD776" s="62"/>
      <c r="AE776" s="62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</row>
    <row r="777" spans="1:77" x14ac:dyDescent="0.3">
      <c r="A777" s="39"/>
      <c r="B777" s="42"/>
      <c r="C777" s="42"/>
      <c r="D777" s="75"/>
      <c r="E777" s="75"/>
      <c r="F777" s="76"/>
      <c r="G777" s="47"/>
      <c r="H777" s="47"/>
      <c r="I777" s="75"/>
      <c r="J777" s="76"/>
      <c r="K777" s="76"/>
      <c r="L777" s="75"/>
      <c r="M777" s="49"/>
      <c r="N777" s="76"/>
      <c r="O777" s="49"/>
      <c r="P777" s="77"/>
      <c r="Q777" s="53"/>
      <c r="R777" s="54"/>
      <c r="S777" s="55"/>
      <c r="T777" s="56"/>
      <c r="U777" s="56"/>
      <c r="V777" s="42"/>
      <c r="W777" s="57"/>
      <c r="X777" s="58"/>
      <c r="Y777" s="75"/>
      <c r="Z777" s="59"/>
      <c r="AA777" s="61"/>
      <c r="AB777" s="61"/>
      <c r="AC777" s="61"/>
      <c r="AD777" s="62"/>
      <c r="AE777" s="62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</row>
    <row r="778" spans="1:77" x14ac:dyDescent="0.3">
      <c r="A778" s="39"/>
      <c r="B778" s="42"/>
      <c r="C778" s="42"/>
      <c r="D778" s="75"/>
      <c r="E778" s="75"/>
      <c r="F778" s="76"/>
      <c r="G778" s="47"/>
      <c r="H778" s="47"/>
      <c r="I778" s="75"/>
      <c r="J778" s="76"/>
      <c r="K778" s="76"/>
      <c r="L778" s="75"/>
      <c r="M778" s="49"/>
      <c r="N778" s="76"/>
      <c r="O778" s="49"/>
      <c r="P778" s="77"/>
      <c r="Q778" s="53"/>
      <c r="R778" s="54"/>
      <c r="S778" s="55"/>
      <c r="T778" s="56"/>
      <c r="U778" s="56"/>
      <c r="V778" s="42"/>
      <c r="W778" s="57"/>
      <c r="X778" s="58"/>
      <c r="Y778" s="75"/>
      <c r="Z778" s="59"/>
      <c r="AA778" s="61"/>
      <c r="AB778" s="61"/>
      <c r="AC778" s="61"/>
      <c r="AD778" s="62"/>
      <c r="AE778" s="62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</row>
    <row r="779" spans="1:77" x14ac:dyDescent="0.3">
      <c r="A779" s="39"/>
      <c r="B779" s="42"/>
      <c r="C779" s="42"/>
      <c r="D779" s="75"/>
      <c r="E779" s="75"/>
      <c r="F779" s="76"/>
      <c r="G779" s="47"/>
      <c r="H779" s="47"/>
      <c r="I779" s="75"/>
      <c r="J779" s="76"/>
      <c r="K779" s="76"/>
      <c r="L779" s="75"/>
      <c r="M779" s="49"/>
      <c r="N779" s="76"/>
      <c r="O779" s="49"/>
      <c r="P779" s="77"/>
      <c r="Q779" s="53"/>
      <c r="R779" s="54"/>
      <c r="S779" s="55"/>
      <c r="T779" s="56"/>
      <c r="U779" s="56"/>
      <c r="V779" s="42"/>
      <c r="W779" s="57"/>
      <c r="X779" s="58"/>
      <c r="Y779" s="75"/>
      <c r="Z779" s="59"/>
      <c r="AA779" s="61"/>
      <c r="AB779" s="61"/>
      <c r="AC779" s="61"/>
      <c r="AD779" s="62"/>
      <c r="AE779" s="62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</row>
    <row r="780" spans="1:77" x14ac:dyDescent="0.3">
      <c r="A780" s="39"/>
      <c r="B780" s="42"/>
      <c r="C780" s="42"/>
      <c r="D780" s="75"/>
      <c r="E780" s="75"/>
      <c r="F780" s="76"/>
      <c r="G780" s="47"/>
      <c r="H780" s="47"/>
      <c r="I780" s="75"/>
      <c r="J780" s="76"/>
      <c r="K780" s="76"/>
      <c r="L780" s="75"/>
      <c r="M780" s="49"/>
      <c r="N780" s="76"/>
      <c r="O780" s="49"/>
      <c r="P780" s="77"/>
      <c r="Q780" s="53"/>
      <c r="R780" s="54"/>
      <c r="S780" s="55"/>
      <c r="T780" s="56"/>
      <c r="U780" s="56"/>
      <c r="V780" s="42"/>
      <c r="W780" s="57"/>
      <c r="X780" s="58"/>
      <c r="Y780" s="75"/>
      <c r="Z780" s="59"/>
      <c r="AA780" s="61"/>
      <c r="AB780" s="61"/>
      <c r="AC780" s="61"/>
      <c r="AD780" s="62"/>
      <c r="AE780" s="62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</row>
    <row r="781" spans="1:77" x14ac:dyDescent="0.3">
      <c r="A781" s="39"/>
      <c r="B781" s="42"/>
      <c r="C781" s="42"/>
      <c r="D781" s="75"/>
      <c r="E781" s="75"/>
      <c r="F781" s="76"/>
      <c r="G781" s="47"/>
      <c r="H781" s="47"/>
      <c r="I781" s="75"/>
      <c r="J781" s="76"/>
      <c r="K781" s="76"/>
      <c r="L781" s="75"/>
      <c r="M781" s="49"/>
      <c r="N781" s="76"/>
      <c r="O781" s="49"/>
      <c r="P781" s="77"/>
      <c r="Q781" s="53"/>
      <c r="R781" s="54"/>
      <c r="S781" s="55"/>
      <c r="T781" s="56"/>
      <c r="U781" s="56"/>
      <c r="V781" s="42"/>
      <c r="W781" s="57"/>
      <c r="X781" s="58"/>
      <c r="Y781" s="75"/>
      <c r="Z781" s="59"/>
      <c r="AA781" s="61"/>
      <c r="AB781" s="61"/>
      <c r="AC781" s="61"/>
      <c r="AD781" s="62"/>
      <c r="AE781" s="62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</row>
    <row r="782" spans="1:77" x14ac:dyDescent="0.3">
      <c r="A782" s="39"/>
      <c r="B782" s="42"/>
      <c r="C782" s="42"/>
      <c r="D782" s="75"/>
      <c r="E782" s="75"/>
      <c r="F782" s="76"/>
      <c r="G782" s="47"/>
      <c r="H782" s="47"/>
      <c r="I782" s="75"/>
      <c r="J782" s="76"/>
      <c r="K782" s="76"/>
      <c r="L782" s="75"/>
      <c r="M782" s="49"/>
      <c r="N782" s="76"/>
      <c r="O782" s="49"/>
      <c r="P782" s="77"/>
      <c r="Q782" s="53"/>
      <c r="R782" s="54"/>
      <c r="S782" s="55"/>
      <c r="T782" s="56"/>
      <c r="U782" s="56"/>
      <c r="V782" s="42"/>
      <c r="W782" s="57"/>
      <c r="X782" s="58"/>
      <c r="Y782" s="75"/>
      <c r="Z782" s="59"/>
      <c r="AA782" s="61"/>
      <c r="AB782" s="61"/>
      <c r="AC782" s="61"/>
      <c r="AD782" s="62"/>
      <c r="AE782" s="62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</row>
    <row r="783" spans="1:77" x14ac:dyDescent="0.3">
      <c r="A783" s="39"/>
      <c r="B783" s="42"/>
      <c r="C783" s="42"/>
      <c r="D783" s="75"/>
      <c r="E783" s="75"/>
      <c r="F783" s="76"/>
      <c r="G783" s="47"/>
      <c r="H783" s="47"/>
      <c r="I783" s="75"/>
      <c r="J783" s="76"/>
      <c r="K783" s="76"/>
      <c r="L783" s="75"/>
      <c r="M783" s="49"/>
      <c r="N783" s="76"/>
      <c r="O783" s="49"/>
      <c r="P783" s="77"/>
      <c r="Q783" s="53"/>
      <c r="R783" s="54"/>
      <c r="S783" s="55"/>
      <c r="T783" s="56"/>
      <c r="U783" s="56"/>
      <c r="V783" s="42"/>
      <c r="W783" s="57"/>
      <c r="X783" s="58"/>
      <c r="Y783" s="75"/>
      <c r="Z783" s="59"/>
      <c r="AA783" s="61"/>
      <c r="AB783" s="61"/>
      <c r="AC783" s="61"/>
      <c r="AD783" s="62"/>
      <c r="AE783" s="62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</row>
    <row r="784" spans="1:77" x14ac:dyDescent="0.3">
      <c r="A784" s="39"/>
      <c r="B784" s="42"/>
      <c r="C784" s="42"/>
      <c r="D784" s="75"/>
      <c r="E784" s="75"/>
      <c r="F784" s="76"/>
      <c r="G784" s="47"/>
      <c r="H784" s="47"/>
      <c r="I784" s="75"/>
      <c r="J784" s="76"/>
      <c r="K784" s="76"/>
      <c r="L784" s="75"/>
      <c r="M784" s="49"/>
      <c r="N784" s="76"/>
      <c r="O784" s="49"/>
      <c r="P784" s="77"/>
      <c r="Q784" s="53"/>
      <c r="R784" s="54"/>
      <c r="S784" s="55"/>
      <c r="T784" s="56"/>
      <c r="U784" s="56"/>
      <c r="V784" s="42"/>
      <c r="W784" s="57"/>
      <c r="X784" s="58"/>
      <c r="Y784" s="75"/>
      <c r="Z784" s="59"/>
      <c r="AA784" s="61"/>
      <c r="AB784" s="61"/>
      <c r="AC784" s="61"/>
      <c r="AD784" s="62"/>
      <c r="AE784" s="62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</row>
    <row r="785" spans="1:77" x14ac:dyDescent="0.3">
      <c r="A785" s="39"/>
      <c r="B785" s="42"/>
      <c r="C785" s="42"/>
      <c r="D785" s="75"/>
      <c r="E785" s="75"/>
      <c r="F785" s="76"/>
      <c r="G785" s="47"/>
      <c r="H785" s="47"/>
      <c r="I785" s="75"/>
      <c r="J785" s="76"/>
      <c r="K785" s="76"/>
      <c r="L785" s="75"/>
      <c r="M785" s="49"/>
      <c r="N785" s="76"/>
      <c r="O785" s="49"/>
      <c r="P785" s="77"/>
      <c r="Q785" s="53"/>
      <c r="R785" s="54"/>
      <c r="S785" s="55"/>
      <c r="T785" s="56"/>
      <c r="U785" s="56"/>
      <c r="V785" s="42"/>
      <c r="W785" s="57"/>
      <c r="X785" s="58"/>
      <c r="Y785" s="75"/>
      <c r="Z785" s="59"/>
      <c r="AA785" s="61"/>
      <c r="AB785" s="61"/>
      <c r="AC785" s="61"/>
      <c r="AD785" s="62"/>
      <c r="AE785" s="62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</row>
    <row r="786" spans="1:77" x14ac:dyDescent="0.3">
      <c r="A786" s="39"/>
      <c r="B786" s="42"/>
      <c r="C786" s="42"/>
      <c r="D786" s="75"/>
      <c r="E786" s="75"/>
      <c r="F786" s="76"/>
      <c r="G786" s="47"/>
      <c r="H786" s="47"/>
      <c r="I786" s="75"/>
      <c r="J786" s="76"/>
      <c r="K786" s="76"/>
      <c r="L786" s="75"/>
      <c r="M786" s="49"/>
      <c r="N786" s="76"/>
      <c r="O786" s="49"/>
      <c r="P786" s="77"/>
      <c r="Q786" s="53"/>
      <c r="R786" s="54"/>
      <c r="S786" s="55"/>
      <c r="T786" s="56"/>
      <c r="U786" s="56"/>
      <c r="V786" s="42"/>
      <c r="W786" s="57"/>
      <c r="X786" s="58"/>
      <c r="Y786" s="75"/>
      <c r="Z786" s="59"/>
      <c r="AA786" s="61"/>
      <c r="AB786" s="61"/>
      <c r="AC786" s="61"/>
      <c r="AD786" s="62"/>
      <c r="AE786" s="62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</row>
    <row r="787" spans="1:77" x14ac:dyDescent="0.3">
      <c r="A787" s="39"/>
      <c r="B787" s="42"/>
      <c r="C787" s="42"/>
      <c r="D787" s="75"/>
      <c r="E787" s="75"/>
      <c r="F787" s="76"/>
      <c r="G787" s="47"/>
      <c r="H787" s="47"/>
      <c r="I787" s="75"/>
      <c r="J787" s="76"/>
      <c r="K787" s="76"/>
      <c r="L787" s="75"/>
      <c r="M787" s="49"/>
      <c r="N787" s="76"/>
      <c r="O787" s="49"/>
      <c r="P787" s="77"/>
      <c r="Q787" s="53"/>
      <c r="R787" s="54"/>
      <c r="S787" s="55"/>
      <c r="T787" s="56"/>
      <c r="U787" s="56"/>
      <c r="V787" s="42"/>
      <c r="W787" s="57"/>
      <c r="X787" s="58"/>
      <c r="Y787" s="75"/>
      <c r="Z787" s="59"/>
      <c r="AA787" s="61"/>
      <c r="AB787" s="61"/>
      <c r="AC787" s="61"/>
      <c r="AD787" s="62"/>
      <c r="AE787" s="62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</row>
    <row r="788" spans="1:77" x14ac:dyDescent="0.3">
      <c r="A788" s="39"/>
      <c r="B788" s="42"/>
      <c r="C788" s="42"/>
      <c r="D788" s="75"/>
      <c r="E788" s="75"/>
      <c r="F788" s="76"/>
      <c r="G788" s="47"/>
      <c r="H788" s="47"/>
      <c r="I788" s="75"/>
      <c r="J788" s="76"/>
      <c r="K788" s="76"/>
      <c r="L788" s="75"/>
      <c r="M788" s="49"/>
      <c r="N788" s="76"/>
      <c r="O788" s="49"/>
      <c r="P788" s="77"/>
      <c r="Q788" s="53"/>
      <c r="R788" s="54"/>
      <c r="S788" s="55"/>
      <c r="T788" s="56"/>
      <c r="U788" s="56"/>
      <c r="V788" s="42"/>
      <c r="W788" s="57"/>
      <c r="X788" s="58"/>
      <c r="Y788" s="75"/>
      <c r="Z788" s="59"/>
      <c r="AA788" s="61"/>
      <c r="AB788" s="61"/>
      <c r="AC788" s="61"/>
      <c r="AD788" s="62"/>
      <c r="AE788" s="62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</row>
    <row r="789" spans="1:77" x14ac:dyDescent="0.3">
      <c r="A789" s="39"/>
      <c r="B789" s="42"/>
      <c r="C789" s="42"/>
      <c r="D789" s="75"/>
      <c r="E789" s="75"/>
      <c r="F789" s="76"/>
      <c r="G789" s="47"/>
      <c r="H789" s="47"/>
      <c r="I789" s="75"/>
      <c r="J789" s="76"/>
      <c r="K789" s="76"/>
      <c r="L789" s="75"/>
      <c r="M789" s="49"/>
      <c r="N789" s="76"/>
      <c r="O789" s="49"/>
      <c r="P789" s="77"/>
      <c r="Q789" s="53"/>
      <c r="R789" s="54"/>
      <c r="S789" s="55"/>
      <c r="T789" s="56"/>
      <c r="U789" s="56"/>
      <c r="V789" s="42"/>
      <c r="W789" s="57"/>
      <c r="X789" s="58"/>
      <c r="Y789" s="75"/>
      <c r="Z789" s="59"/>
      <c r="AA789" s="61"/>
      <c r="AB789" s="61"/>
      <c r="AC789" s="61"/>
      <c r="AD789" s="62"/>
      <c r="AE789" s="62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</row>
    <row r="790" spans="1:77" x14ac:dyDescent="0.3">
      <c r="A790" s="39"/>
      <c r="B790" s="42"/>
      <c r="C790" s="42"/>
      <c r="D790" s="75"/>
      <c r="E790" s="75"/>
      <c r="F790" s="76"/>
      <c r="G790" s="47"/>
      <c r="H790" s="47"/>
      <c r="I790" s="75"/>
      <c r="J790" s="76"/>
      <c r="K790" s="76"/>
      <c r="L790" s="75"/>
      <c r="M790" s="49"/>
      <c r="N790" s="76"/>
      <c r="O790" s="49"/>
      <c r="P790" s="77"/>
      <c r="Q790" s="53"/>
      <c r="R790" s="54"/>
      <c r="S790" s="55"/>
      <c r="T790" s="56"/>
      <c r="U790" s="56"/>
      <c r="V790" s="42"/>
      <c r="W790" s="57"/>
      <c r="X790" s="58"/>
      <c r="Y790" s="75"/>
      <c r="Z790" s="59"/>
      <c r="AA790" s="61"/>
      <c r="AB790" s="61"/>
      <c r="AC790" s="61"/>
      <c r="AD790" s="62"/>
      <c r="AE790" s="62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</row>
    <row r="791" spans="1:77" x14ac:dyDescent="0.3">
      <c r="A791" s="39"/>
      <c r="B791" s="42"/>
      <c r="C791" s="42"/>
      <c r="D791" s="75"/>
      <c r="E791" s="75"/>
      <c r="F791" s="76"/>
      <c r="G791" s="47"/>
      <c r="H791" s="47"/>
      <c r="I791" s="75"/>
      <c r="J791" s="76"/>
      <c r="K791" s="76"/>
      <c r="L791" s="75"/>
      <c r="M791" s="49"/>
      <c r="N791" s="76"/>
      <c r="O791" s="49"/>
      <c r="P791" s="77"/>
      <c r="Q791" s="53"/>
      <c r="R791" s="54"/>
      <c r="S791" s="55"/>
      <c r="T791" s="56"/>
      <c r="U791" s="56"/>
      <c r="V791" s="42"/>
      <c r="W791" s="57"/>
      <c r="X791" s="58"/>
      <c r="Y791" s="75"/>
      <c r="Z791" s="59"/>
      <c r="AA791" s="61"/>
      <c r="AB791" s="61"/>
      <c r="AC791" s="61"/>
      <c r="AD791" s="62"/>
      <c r="AE791" s="62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</row>
    <row r="792" spans="1:77" x14ac:dyDescent="0.3">
      <c r="A792" s="39"/>
      <c r="B792" s="42"/>
      <c r="C792" s="42"/>
      <c r="D792" s="75"/>
      <c r="E792" s="75"/>
      <c r="F792" s="76"/>
      <c r="G792" s="47"/>
      <c r="H792" s="47"/>
      <c r="I792" s="75"/>
      <c r="J792" s="76"/>
      <c r="K792" s="76"/>
      <c r="L792" s="75"/>
      <c r="M792" s="49"/>
      <c r="N792" s="76"/>
      <c r="O792" s="49"/>
      <c r="P792" s="77"/>
      <c r="Q792" s="53"/>
      <c r="R792" s="54"/>
      <c r="S792" s="55"/>
      <c r="T792" s="56"/>
      <c r="U792" s="56"/>
      <c r="V792" s="42"/>
      <c r="W792" s="57"/>
      <c r="X792" s="58"/>
      <c r="Y792" s="75"/>
      <c r="Z792" s="59"/>
      <c r="AA792" s="61"/>
      <c r="AB792" s="61"/>
      <c r="AC792" s="61"/>
      <c r="AD792" s="62"/>
      <c r="AE792" s="62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</row>
    <row r="793" spans="1:77" x14ac:dyDescent="0.3">
      <c r="A793" s="39"/>
      <c r="B793" s="42"/>
      <c r="C793" s="42"/>
      <c r="D793" s="75"/>
      <c r="E793" s="75"/>
      <c r="F793" s="76"/>
      <c r="G793" s="47"/>
      <c r="H793" s="47"/>
      <c r="I793" s="75"/>
      <c r="J793" s="76"/>
      <c r="K793" s="76"/>
      <c r="L793" s="75"/>
      <c r="M793" s="49"/>
      <c r="N793" s="76"/>
      <c r="O793" s="49"/>
      <c r="P793" s="77"/>
      <c r="Q793" s="53"/>
      <c r="R793" s="54"/>
      <c r="S793" s="55"/>
      <c r="T793" s="56"/>
      <c r="U793" s="56"/>
      <c r="V793" s="42"/>
      <c r="W793" s="57"/>
      <c r="X793" s="58"/>
      <c r="Y793" s="75"/>
      <c r="Z793" s="59"/>
      <c r="AA793" s="61"/>
      <c r="AB793" s="61"/>
      <c r="AC793" s="61"/>
      <c r="AD793" s="62"/>
      <c r="AE793" s="62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</row>
    <row r="794" spans="1:77" x14ac:dyDescent="0.3">
      <c r="A794" s="39"/>
      <c r="B794" s="42"/>
      <c r="C794" s="42"/>
      <c r="D794" s="75"/>
      <c r="E794" s="75"/>
      <c r="F794" s="76"/>
      <c r="G794" s="47"/>
      <c r="H794" s="47"/>
      <c r="I794" s="75"/>
      <c r="J794" s="76"/>
      <c r="K794" s="76"/>
      <c r="L794" s="75"/>
      <c r="M794" s="49"/>
      <c r="N794" s="76"/>
      <c r="O794" s="49"/>
      <c r="P794" s="77"/>
      <c r="Q794" s="53"/>
      <c r="R794" s="54"/>
      <c r="S794" s="55"/>
      <c r="T794" s="56"/>
      <c r="U794" s="56"/>
      <c r="V794" s="42"/>
      <c r="W794" s="57"/>
      <c r="X794" s="58"/>
      <c r="Y794" s="75"/>
      <c r="Z794" s="59"/>
      <c r="AA794" s="61"/>
      <c r="AB794" s="61"/>
      <c r="AC794" s="61"/>
      <c r="AD794" s="62"/>
      <c r="AE794" s="62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</row>
    <row r="795" spans="1:77" x14ac:dyDescent="0.3">
      <c r="A795" s="39"/>
      <c r="B795" s="42"/>
      <c r="C795" s="42"/>
      <c r="D795" s="75"/>
      <c r="E795" s="75"/>
      <c r="F795" s="76"/>
      <c r="G795" s="47"/>
      <c r="H795" s="47"/>
      <c r="I795" s="75"/>
      <c r="J795" s="76"/>
      <c r="K795" s="76"/>
      <c r="L795" s="75"/>
      <c r="M795" s="49"/>
      <c r="N795" s="76"/>
      <c r="O795" s="49"/>
      <c r="P795" s="77"/>
      <c r="Q795" s="53"/>
      <c r="R795" s="54"/>
      <c r="S795" s="55"/>
      <c r="T795" s="56"/>
      <c r="U795" s="56"/>
      <c r="V795" s="42"/>
      <c r="W795" s="57"/>
      <c r="X795" s="58"/>
      <c r="Y795" s="75"/>
      <c r="Z795" s="59"/>
      <c r="AA795" s="61"/>
      <c r="AB795" s="61"/>
      <c r="AC795" s="61"/>
      <c r="AD795" s="62"/>
      <c r="AE795" s="62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</row>
    <row r="796" spans="1:77" x14ac:dyDescent="0.3">
      <c r="A796" s="39"/>
      <c r="B796" s="42"/>
      <c r="C796" s="42"/>
      <c r="D796" s="75"/>
      <c r="E796" s="75"/>
      <c r="F796" s="76"/>
      <c r="G796" s="47"/>
      <c r="H796" s="47"/>
      <c r="I796" s="75"/>
      <c r="J796" s="76"/>
      <c r="K796" s="76"/>
      <c r="L796" s="75"/>
      <c r="M796" s="49"/>
      <c r="N796" s="76"/>
      <c r="O796" s="49"/>
      <c r="P796" s="77"/>
      <c r="Q796" s="53"/>
      <c r="R796" s="54"/>
      <c r="S796" s="55"/>
      <c r="T796" s="56"/>
      <c r="U796" s="56"/>
      <c r="V796" s="42"/>
      <c r="W796" s="57"/>
      <c r="X796" s="58"/>
      <c r="Y796" s="75"/>
      <c r="Z796" s="59"/>
      <c r="AA796" s="61"/>
      <c r="AB796" s="61"/>
      <c r="AC796" s="61"/>
      <c r="AD796" s="62"/>
      <c r="AE796" s="62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</row>
    <row r="797" spans="1:77" x14ac:dyDescent="0.3">
      <c r="A797" s="39"/>
      <c r="B797" s="42"/>
      <c r="C797" s="42"/>
      <c r="D797" s="75"/>
      <c r="E797" s="75"/>
      <c r="F797" s="76"/>
      <c r="G797" s="47"/>
      <c r="H797" s="47"/>
      <c r="I797" s="75"/>
      <c r="J797" s="76"/>
      <c r="K797" s="76"/>
      <c r="L797" s="75"/>
      <c r="M797" s="49"/>
      <c r="N797" s="76"/>
      <c r="O797" s="49"/>
      <c r="P797" s="77"/>
      <c r="Q797" s="53"/>
      <c r="R797" s="54"/>
      <c r="S797" s="55"/>
      <c r="T797" s="56"/>
      <c r="U797" s="56"/>
      <c r="V797" s="42"/>
      <c r="W797" s="57"/>
      <c r="X797" s="58"/>
      <c r="Y797" s="75"/>
      <c r="Z797" s="59"/>
      <c r="AA797" s="61"/>
      <c r="AB797" s="61"/>
      <c r="AC797" s="61"/>
      <c r="AD797" s="62"/>
      <c r="AE797" s="62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</row>
    <row r="798" spans="1:77" x14ac:dyDescent="0.3">
      <c r="A798" s="39"/>
      <c r="B798" s="42"/>
      <c r="C798" s="42"/>
      <c r="D798" s="75"/>
      <c r="E798" s="75"/>
      <c r="F798" s="76"/>
      <c r="G798" s="47"/>
      <c r="H798" s="47"/>
      <c r="I798" s="75"/>
      <c r="J798" s="76"/>
      <c r="K798" s="76"/>
      <c r="L798" s="75"/>
      <c r="M798" s="49"/>
      <c r="N798" s="76"/>
      <c r="O798" s="49"/>
      <c r="P798" s="77"/>
      <c r="Q798" s="53"/>
      <c r="R798" s="54"/>
      <c r="S798" s="55"/>
      <c r="T798" s="56"/>
      <c r="U798" s="56"/>
      <c r="V798" s="42"/>
      <c r="W798" s="57"/>
      <c r="X798" s="58"/>
      <c r="Y798" s="75"/>
      <c r="Z798" s="59"/>
      <c r="AA798" s="61"/>
      <c r="AB798" s="61"/>
      <c r="AC798" s="61"/>
      <c r="AD798" s="62"/>
      <c r="AE798" s="62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</row>
    <row r="799" spans="1:77" x14ac:dyDescent="0.3">
      <c r="A799" s="39"/>
      <c r="B799" s="42"/>
      <c r="C799" s="42"/>
      <c r="D799" s="75"/>
      <c r="E799" s="75"/>
      <c r="F799" s="76"/>
      <c r="G799" s="47"/>
      <c r="H799" s="47"/>
      <c r="I799" s="75"/>
      <c r="J799" s="76"/>
      <c r="K799" s="76"/>
      <c r="L799" s="75"/>
      <c r="M799" s="49"/>
      <c r="N799" s="76"/>
      <c r="O799" s="49"/>
      <c r="P799" s="77"/>
      <c r="Q799" s="53"/>
      <c r="R799" s="54"/>
      <c r="S799" s="55"/>
      <c r="T799" s="56"/>
      <c r="U799" s="56"/>
      <c r="V799" s="42"/>
      <c r="W799" s="57"/>
      <c r="X799" s="58"/>
      <c r="Y799" s="75"/>
      <c r="Z799" s="59"/>
      <c r="AA799" s="61"/>
      <c r="AB799" s="61"/>
      <c r="AC799" s="61"/>
      <c r="AD799" s="62"/>
      <c r="AE799" s="62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</row>
    <row r="800" spans="1:77" x14ac:dyDescent="0.3">
      <c r="A800" s="39"/>
      <c r="B800" s="42"/>
      <c r="C800" s="42"/>
      <c r="D800" s="75"/>
      <c r="E800" s="75"/>
      <c r="F800" s="76"/>
      <c r="G800" s="47"/>
      <c r="H800" s="47"/>
      <c r="I800" s="75"/>
      <c r="J800" s="76"/>
      <c r="K800" s="76"/>
      <c r="L800" s="75"/>
      <c r="M800" s="49"/>
      <c r="N800" s="76"/>
      <c r="O800" s="49"/>
      <c r="P800" s="77"/>
      <c r="Q800" s="53"/>
      <c r="R800" s="54"/>
      <c r="S800" s="55"/>
      <c r="T800" s="56"/>
      <c r="U800" s="56"/>
      <c r="V800" s="42"/>
      <c r="W800" s="57"/>
      <c r="X800" s="58"/>
      <c r="Y800" s="75"/>
      <c r="Z800" s="59"/>
      <c r="AA800" s="61"/>
      <c r="AB800" s="61"/>
      <c r="AC800" s="61"/>
      <c r="AD800" s="62"/>
      <c r="AE800" s="62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</row>
    <row r="801" spans="1:77" x14ac:dyDescent="0.3">
      <c r="A801" s="39"/>
      <c r="B801" s="42"/>
      <c r="C801" s="42"/>
      <c r="D801" s="75"/>
      <c r="E801" s="75"/>
      <c r="F801" s="76"/>
      <c r="G801" s="47"/>
      <c r="H801" s="47"/>
      <c r="I801" s="75"/>
      <c r="J801" s="76"/>
      <c r="K801" s="76"/>
      <c r="L801" s="75"/>
      <c r="M801" s="49"/>
      <c r="N801" s="76"/>
      <c r="O801" s="49"/>
      <c r="P801" s="77"/>
      <c r="Q801" s="53"/>
      <c r="R801" s="54"/>
      <c r="S801" s="55"/>
      <c r="T801" s="56"/>
      <c r="U801" s="56"/>
      <c r="V801" s="42"/>
      <c r="W801" s="57"/>
      <c r="X801" s="58"/>
      <c r="Y801" s="75"/>
      <c r="Z801" s="59"/>
      <c r="AA801" s="61"/>
      <c r="AB801" s="61"/>
      <c r="AC801" s="61"/>
      <c r="AD801" s="62"/>
      <c r="AE801" s="62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</row>
    <row r="802" spans="1:77" x14ac:dyDescent="0.3">
      <c r="A802" s="39"/>
      <c r="B802" s="42"/>
      <c r="C802" s="42"/>
      <c r="D802" s="75"/>
      <c r="E802" s="75"/>
      <c r="F802" s="76"/>
      <c r="G802" s="47"/>
      <c r="H802" s="47"/>
      <c r="I802" s="75"/>
      <c r="J802" s="76"/>
      <c r="K802" s="76"/>
      <c r="L802" s="75"/>
      <c r="M802" s="49"/>
      <c r="N802" s="76"/>
      <c r="O802" s="49"/>
      <c r="P802" s="77"/>
      <c r="Q802" s="53"/>
      <c r="R802" s="54"/>
      <c r="S802" s="55"/>
      <c r="T802" s="56"/>
      <c r="U802" s="56"/>
      <c r="V802" s="42"/>
      <c r="W802" s="57"/>
      <c r="X802" s="58"/>
      <c r="Y802" s="75"/>
      <c r="Z802" s="59"/>
      <c r="AA802" s="61"/>
      <c r="AB802" s="61"/>
      <c r="AC802" s="61"/>
      <c r="AD802" s="62"/>
      <c r="AE802" s="62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</row>
    <row r="803" spans="1:77" x14ac:dyDescent="0.3">
      <c r="A803" s="39"/>
      <c r="B803" s="42"/>
      <c r="C803" s="42"/>
      <c r="D803" s="75"/>
      <c r="E803" s="75"/>
      <c r="F803" s="76"/>
      <c r="G803" s="47"/>
      <c r="H803" s="47"/>
      <c r="I803" s="75"/>
      <c r="J803" s="76"/>
      <c r="K803" s="76"/>
      <c r="L803" s="75"/>
      <c r="M803" s="49"/>
      <c r="N803" s="76"/>
      <c r="O803" s="49"/>
      <c r="P803" s="77"/>
      <c r="Q803" s="53"/>
      <c r="R803" s="54"/>
      <c r="S803" s="55"/>
      <c r="T803" s="56"/>
      <c r="U803" s="56"/>
      <c r="V803" s="42"/>
      <c r="W803" s="57"/>
      <c r="X803" s="58"/>
      <c r="Y803" s="75"/>
      <c r="Z803" s="59"/>
      <c r="AA803" s="61"/>
      <c r="AB803" s="61"/>
      <c r="AC803" s="61"/>
      <c r="AD803" s="62"/>
      <c r="AE803" s="62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</row>
    <row r="804" spans="1:77" x14ac:dyDescent="0.3">
      <c r="A804" s="39"/>
      <c r="B804" s="42"/>
      <c r="C804" s="42"/>
      <c r="D804" s="75"/>
      <c r="E804" s="75"/>
      <c r="F804" s="76"/>
      <c r="G804" s="47"/>
      <c r="H804" s="47"/>
      <c r="I804" s="75"/>
      <c r="J804" s="76"/>
      <c r="K804" s="76"/>
      <c r="L804" s="75"/>
      <c r="M804" s="49"/>
      <c r="N804" s="76"/>
      <c r="O804" s="49"/>
      <c r="P804" s="77"/>
      <c r="Q804" s="53"/>
      <c r="R804" s="54"/>
      <c r="S804" s="55"/>
      <c r="T804" s="56"/>
      <c r="U804" s="56"/>
      <c r="V804" s="42"/>
      <c r="W804" s="57"/>
      <c r="X804" s="58"/>
      <c r="Y804" s="75"/>
      <c r="Z804" s="59"/>
      <c r="AA804" s="61"/>
      <c r="AB804" s="61"/>
      <c r="AC804" s="61"/>
      <c r="AD804" s="62"/>
      <c r="AE804" s="62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</row>
    <row r="805" spans="1:77" x14ac:dyDescent="0.3">
      <c r="A805" s="39"/>
      <c r="B805" s="42"/>
      <c r="C805" s="42"/>
      <c r="D805" s="75"/>
      <c r="E805" s="75"/>
      <c r="F805" s="76"/>
      <c r="G805" s="47"/>
      <c r="H805" s="47"/>
      <c r="I805" s="75"/>
      <c r="J805" s="76"/>
      <c r="K805" s="76"/>
      <c r="L805" s="75"/>
      <c r="M805" s="49"/>
      <c r="N805" s="76"/>
      <c r="O805" s="49"/>
      <c r="P805" s="77"/>
      <c r="Q805" s="53"/>
      <c r="R805" s="54"/>
      <c r="S805" s="55"/>
      <c r="T805" s="56"/>
      <c r="U805" s="56"/>
      <c r="V805" s="42"/>
      <c r="W805" s="57"/>
      <c r="X805" s="58"/>
      <c r="Y805" s="75"/>
      <c r="Z805" s="59"/>
      <c r="AA805" s="61"/>
      <c r="AB805" s="61"/>
      <c r="AC805" s="61"/>
      <c r="AD805" s="62"/>
      <c r="AE805" s="62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</row>
    <row r="806" spans="1:77" x14ac:dyDescent="0.3">
      <c r="A806" s="39"/>
      <c r="B806" s="42"/>
      <c r="C806" s="42"/>
      <c r="D806" s="75"/>
      <c r="E806" s="75"/>
      <c r="F806" s="76"/>
      <c r="G806" s="47"/>
      <c r="H806" s="47"/>
      <c r="I806" s="75"/>
      <c r="J806" s="76"/>
      <c r="K806" s="76"/>
      <c r="L806" s="75"/>
      <c r="M806" s="49"/>
      <c r="N806" s="76"/>
      <c r="O806" s="49"/>
      <c r="P806" s="77"/>
      <c r="Q806" s="53"/>
      <c r="R806" s="54"/>
      <c r="S806" s="55"/>
      <c r="T806" s="56"/>
      <c r="U806" s="56"/>
      <c r="V806" s="42"/>
      <c r="W806" s="57"/>
      <c r="X806" s="58"/>
      <c r="Y806" s="75"/>
      <c r="Z806" s="59"/>
      <c r="AA806" s="61"/>
      <c r="AB806" s="61"/>
      <c r="AC806" s="61"/>
      <c r="AD806" s="62"/>
      <c r="AE806" s="62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</row>
    <row r="807" spans="1:77" x14ac:dyDescent="0.3">
      <c r="A807" s="39"/>
      <c r="B807" s="42"/>
      <c r="C807" s="42"/>
      <c r="D807" s="75"/>
      <c r="E807" s="75"/>
      <c r="F807" s="76"/>
      <c r="G807" s="47"/>
      <c r="H807" s="47"/>
      <c r="I807" s="75"/>
      <c r="J807" s="76"/>
      <c r="K807" s="76"/>
      <c r="L807" s="75"/>
      <c r="M807" s="49"/>
      <c r="N807" s="76"/>
      <c r="O807" s="49"/>
      <c r="P807" s="77"/>
      <c r="Q807" s="53"/>
      <c r="R807" s="54"/>
      <c r="S807" s="55"/>
      <c r="T807" s="56"/>
      <c r="U807" s="56"/>
      <c r="V807" s="42"/>
      <c r="W807" s="57"/>
      <c r="X807" s="58"/>
      <c r="Y807" s="75"/>
      <c r="Z807" s="59"/>
      <c r="AA807" s="61"/>
      <c r="AB807" s="61"/>
      <c r="AC807" s="61"/>
      <c r="AD807" s="62"/>
      <c r="AE807" s="62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</row>
    <row r="808" spans="1:77" x14ac:dyDescent="0.3">
      <c r="A808" s="39"/>
      <c r="B808" s="42"/>
      <c r="C808" s="42"/>
      <c r="D808" s="75"/>
      <c r="E808" s="75"/>
      <c r="F808" s="76"/>
      <c r="G808" s="47"/>
      <c r="H808" s="47"/>
      <c r="I808" s="75"/>
      <c r="J808" s="76"/>
      <c r="K808" s="76"/>
      <c r="L808" s="75"/>
      <c r="M808" s="49"/>
      <c r="N808" s="76"/>
      <c r="O808" s="49"/>
      <c r="P808" s="77"/>
      <c r="Q808" s="53"/>
      <c r="R808" s="54"/>
      <c r="S808" s="55"/>
      <c r="T808" s="56"/>
      <c r="U808" s="56"/>
      <c r="V808" s="42"/>
      <c r="W808" s="57"/>
      <c r="X808" s="58"/>
      <c r="Y808" s="75"/>
      <c r="Z808" s="59"/>
      <c r="AA808" s="61"/>
      <c r="AB808" s="61"/>
      <c r="AC808" s="61"/>
      <c r="AD808" s="62"/>
      <c r="AE808" s="62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</row>
    <row r="809" spans="1:77" x14ac:dyDescent="0.3">
      <c r="A809" s="39"/>
      <c r="B809" s="42"/>
      <c r="C809" s="42"/>
      <c r="D809" s="75"/>
      <c r="E809" s="75"/>
      <c r="F809" s="76"/>
      <c r="G809" s="47"/>
      <c r="H809" s="47"/>
      <c r="I809" s="75"/>
      <c r="J809" s="76"/>
      <c r="K809" s="76"/>
      <c r="L809" s="75"/>
      <c r="M809" s="49"/>
      <c r="N809" s="76"/>
      <c r="O809" s="49"/>
      <c r="P809" s="77"/>
      <c r="Q809" s="53"/>
      <c r="R809" s="54"/>
      <c r="S809" s="55"/>
      <c r="T809" s="56"/>
      <c r="U809" s="56"/>
      <c r="V809" s="42"/>
      <c r="W809" s="57"/>
      <c r="X809" s="58"/>
      <c r="Y809" s="75"/>
      <c r="Z809" s="59"/>
      <c r="AA809" s="61"/>
      <c r="AB809" s="61"/>
      <c r="AC809" s="61"/>
      <c r="AD809" s="62"/>
      <c r="AE809" s="62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</row>
    <row r="810" spans="1:77" x14ac:dyDescent="0.3">
      <c r="A810" s="39"/>
      <c r="B810" s="42"/>
      <c r="C810" s="42"/>
      <c r="D810" s="75"/>
      <c r="E810" s="75"/>
      <c r="F810" s="76"/>
      <c r="G810" s="47"/>
      <c r="H810" s="47"/>
      <c r="I810" s="75"/>
      <c r="J810" s="76"/>
      <c r="K810" s="76"/>
      <c r="L810" s="75"/>
      <c r="M810" s="49"/>
      <c r="N810" s="76"/>
      <c r="O810" s="49"/>
      <c r="P810" s="77"/>
      <c r="Q810" s="53"/>
      <c r="R810" s="54"/>
      <c r="S810" s="55"/>
      <c r="T810" s="56"/>
      <c r="U810" s="56"/>
      <c r="V810" s="42"/>
      <c r="W810" s="57"/>
      <c r="X810" s="58"/>
      <c r="Y810" s="75"/>
      <c r="Z810" s="59"/>
      <c r="AA810" s="61"/>
      <c r="AB810" s="61"/>
      <c r="AC810" s="61"/>
      <c r="AD810" s="62"/>
      <c r="AE810" s="62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</row>
    <row r="811" spans="1:77" x14ac:dyDescent="0.3">
      <c r="A811" s="39"/>
      <c r="B811" s="42"/>
      <c r="C811" s="42"/>
      <c r="D811" s="75"/>
      <c r="E811" s="75"/>
      <c r="F811" s="76"/>
      <c r="G811" s="47"/>
      <c r="H811" s="47"/>
      <c r="I811" s="75"/>
      <c r="J811" s="76"/>
      <c r="K811" s="76"/>
      <c r="L811" s="75"/>
      <c r="M811" s="49"/>
      <c r="N811" s="76"/>
      <c r="O811" s="49"/>
      <c r="P811" s="77"/>
      <c r="Q811" s="53"/>
      <c r="R811" s="54"/>
      <c r="S811" s="55"/>
      <c r="T811" s="56"/>
      <c r="U811" s="56"/>
      <c r="V811" s="42"/>
      <c r="W811" s="57"/>
      <c r="X811" s="58"/>
      <c r="Y811" s="75"/>
      <c r="Z811" s="59"/>
      <c r="AA811" s="61"/>
      <c r="AB811" s="61"/>
      <c r="AC811" s="61"/>
      <c r="AD811" s="62"/>
      <c r="AE811" s="62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</row>
    <row r="812" spans="1:77" x14ac:dyDescent="0.3">
      <c r="A812" s="39"/>
      <c r="B812" s="42"/>
      <c r="C812" s="42"/>
      <c r="D812" s="75"/>
      <c r="E812" s="75"/>
      <c r="F812" s="76"/>
      <c r="G812" s="47"/>
      <c r="H812" s="47"/>
      <c r="I812" s="75"/>
      <c r="J812" s="76"/>
      <c r="K812" s="76"/>
      <c r="L812" s="75"/>
      <c r="M812" s="49"/>
      <c r="N812" s="76"/>
      <c r="O812" s="49"/>
      <c r="P812" s="77"/>
      <c r="Q812" s="53"/>
      <c r="R812" s="54"/>
      <c r="S812" s="55"/>
      <c r="T812" s="56"/>
      <c r="U812" s="56"/>
      <c r="V812" s="42"/>
      <c r="W812" s="57"/>
      <c r="X812" s="58"/>
      <c r="Y812" s="75"/>
      <c r="Z812" s="59"/>
      <c r="AA812" s="61"/>
      <c r="AB812" s="61"/>
      <c r="AC812" s="61"/>
      <c r="AD812" s="62"/>
      <c r="AE812" s="62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</row>
    <row r="813" spans="1:77" x14ac:dyDescent="0.3">
      <c r="A813" s="39"/>
      <c r="B813" s="42"/>
      <c r="C813" s="42"/>
      <c r="D813" s="75"/>
      <c r="E813" s="75"/>
      <c r="F813" s="76"/>
      <c r="G813" s="47"/>
      <c r="H813" s="47"/>
      <c r="I813" s="75"/>
      <c r="J813" s="76"/>
      <c r="K813" s="76"/>
      <c r="L813" s="75"/>
      <c r="M813" s="49"/>
      <c r="N813" s="76"/>
      <c r="O813" s="49"/>
      <c r="P813" s="77"/>
      <c r="Q813" s="53"/>
      <c r="R813" s="54"/>
      <c r="S813" s="55"/>
      <c r="T813" s="56"/>
      <c r="U813" s="56"/>
      <c r="V813" s="42"/>
      <c r="W813" s="57"/>
      <c r="X813" s="58"/>
      <c r="Y813" s="75"/>
      <c r="Z813" s="59"/>
      <c r="AA813" s="61"/>
      <c r="AB813" s="61"/>
      <c r="AC813" s="61"/>
      <c r="AD813" s="62"/>
      <c r="AE813" s="62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</row>
    <row r="814" spans="1:77" x14ac:dyDescent="0.3">
      <c r="A814" s="39"/>
      <c r="B814" s="42"/>
      <c r="C814" s="42"/>
      <c r="D814" s="75"/>
      <c r="E814" s="75"/>
      <c r="F814" s="76"/>
      <c r="G814" s="47"/>
      <c r="H814" s="47"/>
      <c r="I814" s="75"/>
      <c r="J814" s="76"/>
      <c r="K814" s="76"/>
      <c r="L814" s="75"/>
      <c r="M814" s="49"/>
      <c r="N814" s="76"/>
      <c r="O814" s="49"/>
      <c r="P814" s="77"/>
      <c r="Q814" s="53"/>
      <c r="R814" s="54"/>
      <c r="S814" s="55"/>
      <c r="T814" s="56"/>
      <c r="U814" s="56"/>
      <c r="V814" s="42"/>
      <c r="W814" s="57"/>
      <c r="X814" s="58"/>
      <c r="Y814" s="75"/>
      <c r="Z814" s="59"/>
      <c r="AA814" s="61"/>
      <c r="AB814" s="61"/>
      <c r="AC814" s="61"/>
      <c r="AD814" s="62"/>
      <c r="AE814" s="62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</row>
    <row r="815" spans="1:77" x14ac:dyDescent="0.3">
      <c r="A815" s="39"/>
      <c r="B815" s="42"/>
      <c r="C815" s="42"/>
      <c r="D815" s="75"/>
      <c r="E815" s="75"/>
      <c r="F815" s="76"/>
      <c r="G815" s="47"/>
      <c r="H815" s="47"/>
      <c r="I815" s="75"/>
      <c r="J815" s="76"/>
      <c r="K815" s="76"/>
      <c r="L815" s="75"/>
      <c r="M815" s="49"/>
      <c r="N815" s="76"/>
      <c r="O815" s="49"/>
      <c r="P815" s="77"/>
      <c r="Q815" s="53"/>
      <c r="R815" s="54"/>
      <c r="S815" s="55"/>
      <c r="T815" s="56"/>
      <c r="U815" s="56"/>
      <c r="V815" s="42"/>
      <c r="W815" s="57"/>
      <c r="X815" s="58"/>
      <c r="Y815" s="75"/>
      <c r="Z815" s="59"/>
      <c r="AA815" s="61"/>
      <c r="AB815" s="61"/>
      <c r="AC815" s="61"/>
      <c r="AD815" s="62"/>
      <c r="AE815" s="62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</row>
    <row r="816" spans="1:77" x14ac:dyDescent="0.3">
      <c r="A816" s="39"/>
      <c r="B816" s="42"/>
      <c r="C816" s="42"/>
      <c r="D816" s="75"/>
      <c r="E816" s="75"/>
      <c r="F816" s="76"/>
      <c r="G816" s="47"/>
      <c r="H816" s="47"/>
      <c r="I816" s="75"/>
      <c r="J816" s="76"/>
      <c r="K816" s="76"/>
      <c r="L816" s="75"/>
      <c r="M816" s="49"/>
      <c r="N816" s="76"/>
      <c r="O816" s="49"/>
      <c r="P816" s="77"/>
      <c r="Q816" s="53"/>
      <c r="R816" s="54"/>
      <c r="S816" s="55"/>
      <c r="T816" s="56"/>
      <c r="U816" s="56"/>
      <c r="V816" s="42"/>
      <c r="W816" s="57"/>
      <c r="X816" s="58"/>
      <c r="Y816" s="75"/>
      <c r="Z816" s="59"/>
      <c r="AA816" s="61"/>
      <c r="AB816" s="61"/>
      <c r="AC816" s="61"/>
      <c r="AD816" s="62"/>
      <c r="AE816" s="62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</row>
    <row r="817" spans="1:77" x14ac:dyDescent="0.3">
      <c r="A817" s="39"/>
      <c r="B817" s="42"/>
      <c r="C817" s="42"/>
      <c r="D817" s="75"/>
      <c r="E817" s="75"/>
      <c r="F817" s="76"/>
      <c r="G817" s="47"/>
      <c r="H817" s="47"/>
      <c r="I817" s="75"/>
      <c r="J817" s="76"/>
      <c r="K817" s="76"/>
      <c r="L817" s="75"/>
      <c r="M817" s="49"/>
      <c r="N817" s="76"/>
      <c r="O817" s="49"/>
      <c r="P817" s="77"/>
      <c r="Q817" s="53"/>
      <c r="R817" s="54"/>
      <c r="S817" s="55"/>
      <c r="T817" s="56"/>
      <c r="U817" s="56"/>
      <c r="V817" s="42"/>
      <c r="W817" s="57"/>
      <c r="X817" s="58"/>
      <c r="Y817" s="75"/>
      <c r="Z817" s="59"/>
      <c r="AA817" s="61"/>
      <c r="AB817" s="61"/>
      <c r="AC817" s="61"/>
      <c r="AD817" s="62"/>
      <c r="AE817" s="62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</row>
    <row r="818" spans="1:77" x14ac:dyDescent="0.3">
      <c r="A818" s="39"/>
      <c r="B818" s="42"/>
      <c r="C818" s="42"/>
      <c r="D818" s="75"/>
      <c r="E818" s="75"/>
      <c r="F818" s="76"/>
      <c r="G818" s="47"/>
      <c r="H818" s="47"/>
      <c r="I818" s="75"/>
      <c r="J818" s="76"/>
      <c r="K818" s="76"/>
      <c r="L818" s="75"/>
      <c r="M818" s="49"/>
      <c r="N818" s="76"/>
      <c r="O818" s="49"/>
      <c r="P818" s="77"/>
      <c r="Q818" s="53"/>
      <c r="R818" s="54"/>
      <c r="S818" s="55"/>
      <c r="T818" s="56"/>
      <c r="U818" s="56"/>
      <c r="V818" s="42"/>
      <c r="W818" s="57"/>
      <c r="X818" s="58"/>
      <c r="Y818" s="75"/>
      <c r="Z818" s="59"/>
      <c r="AA818" s="61"/>
      <c r="AB818" s="61"/>
      <c r="AC818" s="61"/>
      <c r="AD818" s="62"/>
      <c r="AE818" s="62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</row>
    <row r="819" spans="1:77" x14ac:dyDescent="0.3">
      <c r="A819" s="39"/>
      <c r="B819" s="42"/>
      <c r="C819" s="42"/>
      <c r="D819" s="75"/>
      <c r="E819" s="75"/>
      <c r="F819" s="76"/>
      <c r="G819" s="47"/>
      <c r="H819" s="47"/>
      <c r="I819" s="75"/>
      <c r="J819" s="76"/>
      <c r="K819" s="76"/>
      <c r="L819" s="75"/>
      <c r="M819" s="49"/>
      <c r="N819" s="76"/>
      <c r="O819" s="49"/>
      <c r="P819" s="77"/>
      <c r="Q819" s="53"/>
      <c r="R819" s="54"/>
      <c r="S819" s="55"/>
      <c r="T819" s="56"/>
      <c r="U819" s="56"/>
      <c r="V819" s="42"/>
      <c r="W819" s="57"/>
      <c r="X819" s="58"/>
      <c r="Y819" s="75"/>
      <c r="Z819" s="59"/>
      <c r="AA819" s="61"/>
      <c r="AB819" s="61"/>
      <c r="AC819" s="61"/>
      <c r="AD819" s="62"/>
      <c r="AE819" s="62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</row>
    <row r="820" spans="1:77" x14ac:dyDescent="0.3">
      <c r="A820" s="39"/>
      <c r="B820" s="42"/>
      <c r="C820" s="42"/>
      <c r="D820" s="75"/>
      <c r="E820" s="75"/>
      <c r="F820" s="76"/>
      <c r="G820" s="47"/>
      <c r="H820" s="47"/>
      <c r="I820" s="75"/>
      <c r="J820" s="76"/>
      <c r="K820" s="76"/>
      <c r="L820" s="75"/>
      <c r="M820" s="49"/>
      <c r="N820" s="76"/>
      <c r="O820" s="49"/>
      <c r="P820" s="77"/>
      <c r="Q820" s="53"/>
      <c r="R820" s="54"/>
      <c r="S820" s="55"/>
      <c r="T820" s="56"/>
      <c r="U820" s="56"/>
      <c r="V820" s="42"/>
      <c r="W820" s="57"/>
      <c r="X820" s="58"/>
      <c r="Y820" s="75"/>
      <c r="Z820" s="59"/>
      <c r="AA820" s="61"/>
      <c r="AB820" s="61"/>
      <c r="AC820" s="61"/>
      <c r="AD820" s="62"/>
      <c r="AE820" s="62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</row>
    <row r="821" spans="1:77" x14ac:dyDescent="0.3">
      <c r="A821" s="39"/>
      <c r="B821" s="42"/>
      <c r="C821" s="42"/>
      <c r="D821" s="75"/>
      <c r="E821" s="75"/>
      <c r="F821" s="76"/>
      <c r="G821" s="47"/>
      <c r="H821" s="47"/>
      <c r="I821" s="75"/>
      <c r="J821" s="76"/>
      <c r="K821" s="76"/>
      <c r="L821" s="75"/>
      <c r="M821" s="49"/>
      <c r="N821" s="76"/>
      <c r="O821" s="49"/>
      <c r="P821" s="77"/>
      <c r="Q821" s="53"/>
      <c r="R821" s="54"/>
      <c r="S821" s="55"/>
      <c r="T821" s="56"/>
      <c r="U821" s="56"/>
      <c r="V821" s="42"/>
      <c r="W821" s="57"/>
      <c r="X821" s="58"/>
      <c r="Y821" s="75"/>
      <c r="Z821" s="59"/>
      <c r="AA821" s="61"/>
      <c r="AB821" s="61"/>
      <c r="AC821" s="61"/>
      <c r="AD821" s="62"/>
      <c r="AE821" s="62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</row>
    <row r="822" spans="1:77" x14ac:dyDescent="0.3">
      <c r="A822" s="39"/>
      <c r="B822" s="42"/>
      <c r="C822" s="42"/>
      <c r="D822" s="75"/>
      <c r="E822" s="75"/>
      <c r="F822" s="76"/>
      <c r="G822" s="47"/>
      <c r="H822" s="47"/>
      <c r="I822" s="75"/>
      <c r="J822" s="76"/>
      <c r="K822" s="76"/>
      <c r="L822" s="75"/>
      <c r="M822" s="49"/>
      <c r="N822" s="76"/>
      <c r="O822" s="49"/>
      <c r="P822" s="77"/>
      <c r="Q822" s="53"/>
      <c r="R822" s="54"/>
      <c r="S822" s="55"/>
      <c r="T822" s="56"/>
      <c r="U822" s="56"/>
      <c r="V822" s="42"/>
      <c r="W822" s="57"/>
      <c r="X822" s="58"/>
      <c r="Y822" s="75"/>
      <c r="Z822" s="59"/>
      <c r="AA822" s="61"/>
      <c r="AB822" s="61"/>
      <c r="AC822" s="61"/>
      <c r="AD822" s="62"/>
      <c r="AE822" s="62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</row>
    <row r="823" spans="1:77" x14ac:dyDescent="0.3">
      <c r="A823" s="39"/>
      <c r="B823" s="42"/>
      <c r="C823" s="42"/>
      <c r="D823" s="75"/>
      <c r="E823" s="75"/>
      <c r="F823" s="76"/>
      <c r="G823" s="47"/>
      <c r="H823" s="47"/>
      <c r="I823" s="75"/>
      <c r="J823" s="76"/>
      <c r="K823" s="76"/>
      <c r="L823" s="75"/>
      <c r="M823" s="49"/>
      <c r="N823" s="76"/>
      <c r="O823" s="49"/>
      <c r="P823" s="77"/>
      <c r="Q823" s="53"/>
      <c r="R823" s="54"/>
      <c r="S823" s="55"/>
      <c r="T823" s="56"/>
      <c r="U823" s="56"/>
      <c r="V823" s="42"/>
      <c r="W823" s="57"/>
      <c r="X823" s="58"/>
      <c r="Y823" s="75"/>
      <c r="Z823" s="59"/>
      <c r="AA823" s="61"/>
      <c r="AB823" s="61"/>
      <c r="AC823" s="61"/>
      <c r="AD823" s="62"/>
      <c r="AE823" s="62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</row>
    <row r="824" spans="1:77" x14ac:dyDescent="0.3">
      <c r="A824" s="39"/>
      <c r="B824" s="42"/>
      <c r="C824" s="42"/>
      <c r="D824" s="75"/>
      <c r="E824" s="75"/>
      <c r="F824" s="76"/>
      <c r="G824" s="47"/>
      <c r="H824" s="47"/>
      <c r="I824" s="75"/>
      <c r="J824" s="76"/>
      <c r="K824" s="76"/>
      <c r="L824" s="75"/>
      <c r="M824" s="49"/>
      <c r="N824" s="76"/>
      <c r="O824" s="49"/>
      <c r="P824" s="77"/>
      <c r="Q824" s="53"/>
      <c r="R824" s="54"/>
      <c r="S824" s="55"/>
      <c r="T824" s="56"/>
      <c r="U824" s="56"/>
      <c r="V824" s="42"/>
      <c r="W824" s="57"/>
      <c r="X824" s="58"/>
      <c r="Y824" s="75"/>
      <c r="Z824" s="59"/>
      <c r="AA824" s="61"/>
      <c r="AB824" s="61"/>
      <c r="AC824" s="61"/>
      <c r="AD824" s="62"/>
      <c r="AE824" s="62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</row>
    <row r="825" spans="1:77" x14ac:dyDescent="0.3">
      <c r="A825" s="39"/>
      <c r="B825" s="42"/>
      <c r="C825" s="42"/>
      <c r="D825" s="75"/>
      <c r="E825" s="75"/>
      <c r="F825" s="76"/>
      <c r="G825" s="47"/>
      <c r="H825" s="47"/>
      <c r="I825" s="75"/>
      <c r="J825" s="76"/>
      <c r="K825" s="76"/>
      <c r="L825" s="75"/>
      <c r="M825" s="49"/>
      <c r="N825" s="76"/>
      <c r="O825" s="49"/>
      <c r="P825" s="77"/>
      <c r="Q825" s="53"/>
      <c r="R825" s="54"/>
      <c r="S825" s="55"/>
      <c r="T825" s="56"/>
      <c r="U825" s="56"/>
      <c r="V825" s="42"/>
      <c r="W825" s="57"/>
      <c r="X825" s="58"/>
      <c r="Y825" s="75"/>
      <c r="Z825" s="59"/>
      <c r="AA825" s="61"/>
      <c r="AB825" s="61"/>
      <c r="AC825" s="61"/>
      <c r="AD825" s="62"/>
      <c r="AE825" s="62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</row>
    <row r="826" spans="1:77" x14ac:dyDescent="0.3">
      <c r="A826" s="39"/>
      <c r="B826" s="42"/>
      <c r="C826" s="42"/>
      <c r="D826" s="75"/>
      <c r="E826" s="75"/>
      <c r="F826" s="76"/>
      <c r="G826" s="47"/>
      <c r="H826" s="47"/>
      <c r="I826" s="75"/>
      <c r="J826" s="76"/>
      <c r="K826" s="76"/>
      <c r="L826" s="75"/>
      <c r="M826" s="49"/>
      <c r="N826" s="76"/>
      <c r="O826" s="49"/>
      <c r="P826" s="77"/>
      <c r="Q826" s="53"/>
      <c r="R826" s="54"/>
      <c r="S826" s="55"/>
      <c r="T826" s="56"/>
      <c r="U826" s="56"/>
      <c r="V826" s="42"/>
      <c r="W826" s="57"/>
      <c r="X826" s="58"/>
      <c r="Y826" s="75"/>
      <c r="Z826" s="59"/>
      <c r="AA826" s="61"/>
      <c r="AB826" s="61"/>
      <c r="AC826" s="61"/>
      <c r="AD826" s="62"/>
      <c r="AE826" s="62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</row>
    <row r="827" spans="1:77" x14ac:dyDescent="0.3">
      <c r="A827" s="39"/>
      <c r="B827" s="42"/>
      <c r="C827" s="42"/>
      <c r="D827" s="75"/>
      <c r="E827" s="75"/>
      <c r="F827" s="76"/>
      <c r="G827" s="47"/>
      <c r="H827" s="47"/>
      <c r="I827" s="75"/>
      <c r="J827" s="76"/>
      <c r="K827" s="76"/>
      <c r="L827" s="75"/>
      <c r="M827" s="49"/>
      <c r="N827" s="76"/>
      <c r="O827" s="49"/>
      <c r="P827" s="77"/>
      <c r="Q827" s="53"/>
      <c r="R827" s="54"/>
      <c r="S827" s="55"/>
      <c r="T827" s="56"/>
      <c r="U827" s="56"/>
      <c r="V827" s="42"/>
      <c r="W827" s="57"/>
      <c r="X827" s="58"/>
      <c r="Y827" s="75"/>
      <c r="Z827" s="59"/>
      <c r="AA827" s="61"/>
      <c r="AB827" s="61"/>
      <c r="AC827" s="61"/>
      <c r="AD827" s="62"/>
      <c r="AE827" s="62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</row>
    <row r="828" spans="1:77" x14ac:dyDescent="0.3">
      <c r="A828" s="39"/>
      <c r="B828" s="42"/>
      <c r="C828" s="42"/>
      <c r="D828" s="75"/>
      <c r="E828" s="75"/>
      <c r="F828" s="76"/>
      <c r="G828" s="47"/>
      <c r="H828" s="47"/>
      <c r="I828" s="75"/>
      <c r="J828" s="76"/>
      <c r="K828" s="76"/>
      <c r="L828" s="75"/>
      <c r="M828" s="49"/>
      <c r="N828" s="76"/>
      <c r="O828" s="49"/>
      <c r="P828" s="77"/>
      <c r="Q828" s="53"/>
      <c r="R828" s="54"/>
      <c r="S828" s="55"/>
      <c r="T828" s="56"/>
      <c r="U828" s="56"/>
      <c r="V828" s="42"/>
      <c r="W828" s="57"/>
      <c r="X828" s="58"/>
      <c r="Y828" s="75"/>
      <c r="Z828" s="59"/>
      <c r="AA828" s="61"/>
      <c r="AB828" s="61"/>
      <c r="AC828" s="61"/>
      <c r="AD828" s="62"/>
      <c r="AE828" s="62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</row>
    <row r="829" spans="1:77" x14ac:dyDescent="0.3">
      <c r="A829" s="39"/>
      <c r="B829" s="42"/>
      <c r="C829" s="42"/>
      <c r="D829" s="75"/>
      <c r="E829" s="75"/>
      <c r="F829" s="76"/>
      <c r="G829" s="47"/>
      <c r="H829" s="47"/>
      <c r="I829" s="75"/>
      <c r="J829" s="76"/>
      <c r="K829" s="76"/>
      <c r="L829" s="75"/>
      <c r="M829" s="49"/>
      <c r="N829" s="76"/>
      <c r="O829" s="49"/>
      <c r="P829" s="77"/>
      <c r="Q829" s="53"/>
      <c r="R829" s="54"/>
      <c r="S829" s="55"/>
      <c r="T829" s="56"/>
      <c r="U829" s="56"/>
      <c r="V829" s="42"/>
      <c r="W829" s="57"/>
      <c r="X829" s="58"/>
      <c r="Y829" s="75"/>
      <c r="Z829" s="59"/>
      <c r="AA829" s="61"/>
      <c r="AB829" s="61"/>
      <c r="AC829" s="61"/>
      <c r="AD829" s="62"/>
      <c r="AE829" s="62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</row>
    <row r="830" spans="1:77" x14ac:dyDescent="0.3">
      <c r="A830" s="39"/>
      <c r="B830" s="42"/>
      <c r="C830" s="42"/>
      <c r="D830" s="75"/>
      <c r="E830" s="75"/>
      <c r="F830" s="76"/>
      <c r="G830" s="47"/>
      <c r="H830" s="47"/>
      <c r="I830" s="75"/>
      <c r="J830" s="76"/>
      <c r="K830" s="76"/>
      <c r="L830" s="75"/>
      <c r="M830" s="49"/>
      <c r="N830" s="76"/>
      <c r="O830" s="49"/>
      <c r="P830" s="77"/>
      <c r="Q830" s="53"/>
      <c r="R830" s="54"/>
      <c r="S830" s="55"/>
      <c r="T830" s="56"/>
      <c r="U830" s="56"/>
      <c r="V830" s="42"/>
      <c r="W830" s="57"/>
      <c r="X830" s="58"/>
      <c r="Y830" s="75"/>
      <c r="Z830" s="59"/>
      <c r="AA830" s="61"/>
      <c r="AB830" s="61"/>
      <c r="AC830" s="61"/>
      <c r="AD830" s="62"/>
      <c r="AE830" s="62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</row>
    <row r="831" spans="1:77" x14ac:dyDescent="0.3">
      <c r="A831" s="39"/>
      <c r="B831" s="42"/>
      <c r="C831" s="42"/>
      <c r="D831" s="75"/>
      <c r="E831" s="75"/>
      <c r="F831" s="76"/>
      <c r="G831" s="47"/>
      <c r="H831" s="47"/>
      <c r="I831" s="75"/>
      <c r="J831" s="76"/>
      <c r="K831" s="76"/>
      <c r="L831" s="75"/>
      <c r="M831" s="49"/>
      <c r="N831" s="76"/>
      <c r="O831" s="49"/>
      <c r="P831" s="77"/>
      <c r="Q831" s="53"/>
      <c r="R831" s="54"/>
      <c r="S831" s="55"/>
      <c r="T831" s="56"/>
      <c r="U831" s="56"/>
      <c r="V831" s="42"/>
      <c r="W831" s="57"/>
      <c r="X831" s="58"/>
      <c r="Y831" s="75"/>
      <c r="Z831" s="59"/>
      <c r="AA831" s="61"/>
      <c r="AB831" s="61"/>
      <c r="AC831" s="61"/>
      <c r="AD831" s="62"/>
      <c r="AE831" s="62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</row>
    <row r="832" spans="1:77" x14ac:dyDescent="0.3">
      <c r="A832" s="39"/>
      <c r="B832" s="42"/>
      <c r="C832" s="42"/>
      <c r="D832" s="75"/>
      <c r="E832" s="75"/>
      <c r="F832" s="76"/>
      <c r="G832" s="47"/>
      <c r="H832" s="47"/>
      <c r="I832" s="75"/>
      <c r="J832" s="76"/>
      <c r="K832" s="76"/>
      <c r="L832" s="75"/>
      <c r="M832" s="49"/>
      <c r="N832" s="76"/>
      <c r="O832" s="49"/>
      <c r="P832" s="77"/>
      <c r="Q832" s="53"/>
      <c r="R832" s="54"/>
      <c r="S832" s="55"/>
      <c r="T832" s="56"/>
      <c r="U832" s="56"/>
      <c r="V832" s="42"/>
      <c r="W832" s="57"/>
      <c r="X832" s="58"/>
      <c r="Y832" s="75"/>
      <c r="Z832" s="59"/>
      <c r="AA832" s="61"/>
      <c r="AB832" s="61"/>
      <c r="AC832" s="61"/>
      <c r="AD832" s="62"/>
      <c r="AE832" s="62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</row>
    <row r="833" spans="1:77" x14ac:dyDescent="0.3">
      <c r="A833" s="39"/>
      <c r="B833" s="42"/>
      <c r="C833" s="42"/>
      <c r="D833" s="75"/>
      <c r="E833" s="75"/>
      <c r="F833" s="76"/>
      <c r="G833" s="47"/>
      <c r="H833" s="47"/>
      <c r="I833" s="75"/>
      <c r="J833" s="76"/>
      <c r="K833" s="76"/>
      <c r="L833" s="75"/>
      <c r="M833" s="49"/>
      <c r="N833" s="76"/>
      <c r="O833" s="49"/>
      <c r="P833" s="77"/>
      <c r="Q833" s="53"/>
      <c r="R833" s="54"/>
      <c r="S833" s="55"/>
      <c r="T833" s="56"/>
      <c r="U833" s="56"/>
      <c r="V833" s="42"/>
      <c r="W833" s="57"/>
      <c r="X833" s="58"/>
      <c r="Y833" s="75"/>
      <c r="Z833" s="59"/>
      <c r="AA833" s="61"/>
      <c r="AB833" s="61"/>
      <c r="AC833" s="61"/>
      <c r="AD833" s="62"/>
      <c r="AE833" s="62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</row>
    <row r="834" spans="1:77" x14ac:dyDescent="0.3">
      <c r="A834" s="39"/>
      <c r="B834" s="42"/>
      <c r="C834" s="42"/>
      <c r="D834" s="75"/>
      <c r="E834" s="75"/>
      <c r="F834" s="76"/>
      <c r="G834" s="47"/>
      <c r="H834" s="47"/>
      <c r="I834" s="75"/>
      <c r="J834" s="76"/>
      <c r="K834" s="76"/>
      <c r="L834" s="75"/>
      <c r="M834" s="49"/>
      <c r="N834" s="76"/>
      <c r="O834" s="49"/>
      <c r="P834" s="77"/>
      <c r="Q834" s="53"/>
      <c r="R834" s="54"/>
      <c r="S834" s="55"/>
      <c r="T834" s="56"/>
      <c r="U834" s="56"/>
      <c r="V834" s="42"/>
      <c r="W834" s="57"/>
      <c r="X834" s="58"/>
      <c r="Y834" s="75"/>
      <c r="Z834" s="59"/>
      <c r="AA834" s="61"/>
      <c r="AB834" s="61"/>
      <c r="AC834" s="61"/>
      <c r="AD834" s="62"/>
      <c r="AE834" s="62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</row>
    <row r="835" spans="1:77" x14ac:dyDescent="0.3">
      <c r="A835" s="39"/>
      <c r="B835" s="42"/>
      <c r="C835" s="42"/>
      <c r="D835" s="75"/>
      <c r="E835" s="75"/>
      <c r="F835" s="76"/>
      <c r="G835" s="47"/>
      <c r="H835" s="47"/>
      <c r="I835" s="75"/>
      <c r="J835" s="76"/>
      <c r="K835" s="76"/>
      <c r="L835" s="75"/>
      <c r="M835" s="49"/>
      <c r="N835" s="76"/>
      <c r="O835" s="49"/>
      <c r="P835" s="77"/>
      <c r="Q835" s="53"/>
      <c r="R835" s="54"/>
      <c r="S835" s="55"/>
      <c r="T835" s="56"/>
      <c r="U835" s="56"/>
      <c r="V835" s="42"/>
      <c r="W835" s="57"/>
      <c r="X835" s="58"/>
      <c r="Y835" s="75"/>
      <c r="Z835" s="59"/>
      <c r="AA835" s="61"/>
      <c r="AB835" s="61"/>
      <c r="AC835" s="61"/>
      <c r="AD835" s="62"/>
      <c r="AE835" s="62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</row>
    <row r="836" spans="1:77" x14ac:dyDescent="0.3">
      <c r="A836" s="39"/>
      <c r="B836" s="42"/>
      <c r="C836" s="42"/>
      <c r="D836" s="75"/>
      <c r="E836" s="75"/>
      <c r="F836" s="76"/>
      <c r="G836" s="47"/>
      <c r="H836" s="47"/>
      <c r="I836" s="75"/>
      <c r="J836" s="76"/>
      <c r="K836" s="76"/>
      <c r="L836" s="75"/>
      <c r="M836" s="49"/>
      <c r="N836" s="76"/>
      <c r="O836" s="49"/>
      <c r="P836" s="77"/>
      <c r="Q836" s="53"/>
      <c r="R836" s="54"/>
      <c r="S836" s="55"/>
      <c r="T836" s="56"/>
      <c r="U836" s="56"/>
      <c r="V836" s="42"/>
      <c r="W836" s="57"/>
      <c r="X836" s="58"/>
      <c r="Y836" s="75"/>
      <c r="Z836" s="59"/>
      <c r="AA836" s="61"/>
      <c r="AB836" s="61"/>
      <c r="AC836" s="61"/>
      <c r="AD836" s="62"/>
      <c r="AE836" s="62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</row>
    <row r="837" spans="1:77" x14ac:dyDescent="0.3">
      <c r="A837" s="39"/>
      <c r="B837" s="42"/>
      <c r="C837" s="42"/>
      <c r="D837" s="75"/>
      <c r="E837" s="75"/>
      <c r="F837" s="76"/>
      <c r="G837" s="47"/>
      <c r="H837" s="47"/>
      <c r="I837" s="75"/>
      <c r="J837" s="76"/>
      <c r="K837" s="76"/>
      <c r="L837" s="75"/>
      <c r="M837" s="49"/>
      <c r="N837" s="76"/>
      <c r="O837" s="49"/>
      <c r="P837" s="77"/>
      <c r="Q837" s="53"/>
      <c r="R837" s="54"/>
      <c r="S837" s="55"/>
      <c r="T837" s="56"/>
      <c r="U837" s="56"/>
      <c r="V837" s="42"/>
      <c r="W837" s="57"/>
      <c r="X837" s="58"/>
      <c r="Y837" s="75"/>
      <c r="Z837" s="59"/>
      <c r="AA837" s="61"/>
      <c r="AB837" s="61"/>
      <c r="AC837" s="61"/>
      <c r="AD837" s="62"/>
      <c r="AE837" s="62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</row>
    <row r="838" spans="1:77" x14ac:dyDescent="0.3">
      <c r="A838" s="39"/>
      <c r="B838" s="42"/>
      <c r="C838" s="42"/>
      <c r="D838" s="75"/>
      <c r="E838" s="75"/>
      <c r="F838" s="76"/>
      <c r="G838" s="47"/>
      <c r="H838" s="47"/>
      <c r="I838" s="75"/>
      <c r="J838" s="76"/>
      <c r="K838" s="76"/>
      <c r="L838" s="75"/>
      <c r="M838" s="49"/>
      <c r="N838" s="76"/>
      <c r="O838" s="49"/>
      <c r="P838" s="77"/>
      <c r="Q838" s="53"/>
      <c r="R838" s="54"/>
      <c r="S838" s="55"/>
      <c r="T838" s="56"/>
      <c r="U838" s="56"/>
      <c r="V838" s="42"/>
      <c r="W838" s="57"/>
      <c r="X838" s="58"/>
      <c r="Y838" s="75"/>
      <c r="Z838" s="59"/>
      <c r="AA838" s="61"/>
      <c r="AB838" s="61"/>
      <c r="AC838" s="61"/>
      <c r="AD838" s="62"/>
      <c r="AE838" s="62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</row>
    <row r="839" spans="1:77" x14ac:dyDescent="0.3">
      <c r="A839" s="39"/>
      <c r="B839" s="42"/>
      <c r="C839" s="42"/>
      <c r="D839" s="75"/>
      <c r="E839" s="75"/>
      <c r="F839" s="76"/>
      <c r="G839" s="47"/>
      <c r="H839" s="47"/>
      <c r="I839" s="75"/>
      <c r="J839" s="76"/>
      <c r="K839" s="76"/>
      <c r="L839" s="75"/>
      <c r="M839" s="49"/>
      <c r="N839" s="76"/>
      <c r="O839" s="49"/>
      <c r="P839" s="77"/>
      <c r="Q839" s="53"/>
      <c r="R839" s="54"/>
      <c r="S839" s="55"/>
      <c r="T839" s="56"/>
      <c r="U839" s="56"/>
      <c r="V839" s="42"/>
      <c r="W839" s="57"/>
      <c r="X839" s="58"/>
      <c r="Y839" s="75"/>
      <c r="Z839" s="59"/>
      <c r="AA839" s="61"/>
      <c r="AB839" s="61"/>
      <c r="AC839" s="61"/>
      <c r="AD839" s="62"/>
      <c r="AE839" s="62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</row>
    <row r="840" spans="1:77" x14ac:dyDescent="0.3">
      <c r="A840" s="39"/>
      <c r="B840" s="42"/>
      <c r="C840" s="42"/>
      <c r="D840" s="75"/>
      <c r="E840" s="75"/>
      <c r="F840" s="76"/>
      <c r="G840" s="47"/>
      <c r="H840" s="47"/>
      <c r="I840" s="75"/>
      <c r="J840" s="76"/>
      <c r="K840" s="76"/>
      <c r="L840" s="75"/>
      <c r="M840" s="49"/>
      <c r="N840" s="76"/>
      <c r="O840" s="49"/>
      <c r="P840" s="77"/>
      <c r="Q840" s="53"/>
      <c r="R840" s="54"/>
      <c r="S840" s="55"/>
      <c r="T840" s="56"/>
      <c r="U840" s="56"/>
      <c r="V840" s="42"/>
      <c r="W840" s="57"/>
      <c r="X840" s="58"/>
      <c r="Y840" s="75"/>
      <c r="Z840" s="59"/>
      <c r="AA840" s="61"/>
      <c r="AB840" s="61"/>
      <c r="AC840" s="61"/>
      <c r="AD840" s="62"/>
      <c r="AE840" s="62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</row>
    <row r="841" spans="1:77" x14ac:dyDescent="0.3">
      <c r="A841" s="39"/>
      <c r="B841" s="42"/>
      <c r="C841" s="42"/>
      <c r="D841" s="75"/>
      <c r="E841" s="75"/>
      <c r="F841" s="76"/>
      <c r="G841" s="47"/>
      <c r="H841" s="47"/>
      <c r="I841" s="75"/>
      <c r="J841" s="76"/>
      <c r="K841" s="76"/>
      <c r="L841" s="75"/>
      <c r="M841" s="49"/>
      <c r="N841" s="76"/>
      <c r="O841" s="49"/>
      <c r="P841" s="77"/>
      <c r="Q841" s="53"/>
      <c r="R841" s="54"/>
      <c r="S841" s="55"/>
      <c r="T841" s="56"/>
      <c r="U841" s="56"/>
      <c r="V841" s="42"/>
      <c r="W841" s="57"/>
      <c r="X841" s="58"/>
      <c r="Y841" s="75"/>
      <c r="Z841" s="59"/>
      <c r="AA841" s="61"/>
      <c r="AB841" s="61"/>
      <c r="AC841" s="61"/>
      <c r="AD841" s="62"/>
      <c r="AE841" s="62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</row>
    <row r="842" spans="1:77" x14ac:dyDescent="0.3">
      <c r="A842" s="39"/>
      <c r="B842" s="42"/>
      <c r="C842" s="42"/>
      <c r="D842" s="75"/>
      <c r="E842" s="75"/>
      <c r="F842" s="76"/>
      <c r="G842" s="47"/>
      <c r="H842" s="47"/>
      <c r="I842" s="75"/>
      <c r="J842" s="76"/>
      <c r="K842" s="76"/>
      <c r="L842" s="75"/>
      <c r="M842" s="49"/>
      <c r="N842" s="76"/>
      <c r="O842" s="49"/>
      <c r="P842" s="77"/>
      <c r="Q842" s="53"/>
      <c r="R842" s="54"/>
      <c r="S842" s="55"/>
      <c r="T842" s="56"/>
      <c r="U842" s="56"/>
      <c r="V842" s="42"/>
      <c r="W842" s="57"/>
      <c r="X842" s="58"/>
      <c r="Y842" s="75"/>
      <c r="Z842" s="59"/>
      <c r="AA842" s="61"/>
      <c r="AB842" s="61"/>
      <c r="AC842" s="61"/>
      <c r="AD842" s="62"/>
      <c r="AE842" s="62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</row>
    <row r="843" spans="1:77" x14ac:dyDescent="0.3">
      <c r="A843" s="39"/>
      <c r="B843" s="42"/>
      <c r="C843" s="42"/>
      <c r="D843" s="75"/>
      <c r="E843" s="75"/>
      <c r="F843" s="76"/>
      <c r="G843" s="47"/>
      <c r="H843" s="47"/>
      <c r="I843" s="75"/>
      <c r="J843" s="76"/>
      <c r="K843" s="76"/>
      <c r="L843" s="75"/>
      <c r="M843" s="49"/>
      <c r="N843" s="76"/>
      <c r="O843" s="49"/>
      <c r="P843" s="77"/>
      <c r="Q843" s="53"/>
      <c r="R843" s="54"/>
      <c r="S843" s="55"/>
      <c r="T843" s="56"/>
      <c r="U843" s="56"/>
      <c r="V843" s="42"/>
      <c r="W843" s="57"/>
      <c r="X843" s="58"/>
      <c r="Y843" s="75"/>
      <c r="Z843" s="59"/>
      <c r="AA843" s="61"/>
      <c r="AB843" s="61"/>
      <c r="AC843" s="61"/>
      <c r="AD843" s="62"/>
      <c r="AE843" s="62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</row>
    <row r="844" spans="1:77" x14ac:dyDescent="0.3">
      <c r="A844" s="39"/>
      <c r="B844" s="42"/>
      <c r="C844" s="42"/>
      <c r="D844" s="75"/>
      <c r="E844" s="75"/>
      <c r="F844" s="76"/>
      <c r="G844" s="47"/>
      <c r="H844" s="47"/>
      <c r="I844" s="75"/>
      <c r="J844" s="76"/>
      <c r="K844" s="76"/>
      <c r="L844" s="75"/>
      <c r="M844" s="49"/>
      <c r="N844" s="76"/>
      <c r="O844" s="49"/>
      <c r="P844" s="77"/>
      <c r="Q844" s="53"/>
      <c r="R844" s="54"/>
      <c r="S844" s="55"/>
      <c r="T844" s="56"/>
      <c r="U844" s="56"/>
      <c r="V844" s="42"/>
      <c r="W844" s="57"/>
      <c r="X844" s="58"/>
      <c r="Y844" s="75"/>
      <c r="Z844" s="59"/>
      <c r="AA844" s="61"/>
      <c r="AB844" s="61"/>
      <c r="AC844" s="61"/>
      <c r="AD844" s="62"/>
      <c r="AE844" s="62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</row>
    <row r="845" spans="1:77" x14ac:dyDescent="0.3">
      <c r="A845" s="39"/>
      <c r="B845" s="42"/>
      <c r="C845" s="42"/>
      <c r="D845" s="75"/>
      <c r="E845" s="75"/>
      <c r="F845" s="76"/>
      <c r="G845" s="47"/>
      <c r="H845" s="47"/>
      <c r="I845" s="75"/>
      <c r="J845" s="76"/>
      <c r="K845" s="76"/>
      <c r="L845" s="75"/>
      <c r="M845" s="49"/>
      <c r="N845" s="76"/>
      <c r="O845" s="49"/>
      <c r="P845" s="77"/>
      <c r="Q845" s="53"/>
      <c r="R845" s="54"/>
      <c r="S845" s="55"/>
      <c r="T845" s="56"/>
      <c r="U845" s="56"/>
      <c r="V845" s="42"/>
      <c r="W845" s="57"/>
      <c r="X845" s="58"/>
      <c r="Y845" s="75"/>
      <c r="Z845" s="59"/>
      <c r="AA845" s="61"/>
      <c r="AB845" s="61"/>
      <c r="AC845" s="61"/>
      <c r="AD845" s="62"/>
      <c r="AE845" s="62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</row>
    <row r="846" spans="1:77" x14ac:dyDescent="0.3">
      <c r="A846" s="39"/>
      <c r="B846" s="42"/>
      <c r="C846" s="42"/>
      <c r="D846" s="75"/>
      <c r="E846" s="75"/>
      <c r="F846" s="76"/>
      <c r="G846" s="47"/>
      <c r="H846" s="47"/>
      <c r="I846" s="75"/>
      <c r="J846" s="76"/>
      <c r="K846" s="76"/>
      <c r="L846" s="75"/>
      <c r="M846" s="49"/>
      <c r="N846" s="76"/>
      <c r="O846" s="49"/>
      <c r="P846" s="77"/>
      <c r="Q846" s="53"/>
      <c r="R846" s="54"/>
      <c r="S846" s="55"/>
      <c r="T846" s="56"/>
      <c r="U846" s="56"/>
      <c r="V846" s="42"/>
      <c r="W846" s="57"/>
      <c r="X846" s="58"/>
      <c r="Y846" s="75"/>
      <c r="Z846" s="59"/>
      <c r="AA846" s="61"/>
      <c r="AB846" s="61"/>
      <c r="AC846" s="61"/>
      <c r="AD846" s="62"/>
      <c r="AE846" s="62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</row>
    <row r="847" spans="1:77" x14ac:dyDescent="0.3">
      <c r="A847" s="39"/>
      <c r="B847" s="42"/>
      <c r="C847" s="42"/>
      <c r="D847" s="75"/>
      <c r="E847" s="75"/>
      <c r="F847" s="76"/>
      <c r="G847" s="47"/>
      <c r="H847" s="47"/>
      <c r="I847" s="75"/>
      <c r="J847" s="76"/>
      <c r="K847" s="76"/>
      <c r="L847" s="75"/>
      <c r="M847" s="49"/>
      <c r="N847" s="76"/>
      <c r="O847" s="49"/>
      <c r="P847" s="77"/>
      <c r="Q847" s="53"/>
      <c r="R847" s="54"/>
      <c r="S847" s="55"/>
      <c r="T847" s="56"/>
      <c r="U847" s="56"/>
      <c r="V847" s="42"/>
      <c r="W847" s="57"/>
      <c r="X847" s="58"/>
      <c r="Y847" s="75"/>
      <c r="Z847" s="59"/>
      <c r="AA847" s="61"/>
      <c r="AB847" s="61"/>
      <c r="AC847" s="61"/>
      <c r="AD847" s="62"/>
      <c r="AE847" s="62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</row>
    <row r="848" spans="1:77" x14ac:dyDescent="0.3">
      <c r="A848" s="39"/>
      <c r="B848" s="42"/>
      <c r="C848" s="42"/>
      <c r="D848" s="75"/>
      <c r="E848" s="75"/>
      <c r="F848" s="76"/>
      <c r="G848" s="47"/>
      <c r="H848" s="47"/>
      <c r="I848" s="75"/>
      <c r="J848" s="76"/>
      <c r="K848" s="76"/>
      <c r="L848" s="75"/>
      <c r="M848" s="49"/>
      <c r="N848" s="76"/>
      <c r="O848" s="49"/>
      <c r="P848" s="77"/>
      <c r="Q848" s="53"/>
      <c r="R848" s="54"/>
      <c r="S848" s="55"/>
      <c r="T848" s="56"/>
      <c r="U848" s="56"/>
      <c r="V848" s="42"/>
      <c r="W848" s="57"/>
      <c r="X848" s="58"/>
      <c r="Y848" s="75"/>
      <c r="Z848" s="59"/>
      <c r="AA848" s="61"/>
      <c r="AB848" s="61"/>
      <c r="AC848" s="61"/>
      <c r="AD848" s="62"/>
      <c r="AE848" s="62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</row>
    <row r="849" spans="1:77" x14ac:dyDescent="0.3">
      <c r="A849" s="39"/>
      <c r="B849" s="42"/>
      <c r="C849" s="42"/>
      <c r="D849" s="75"/>
      <c r="E849" s="75"/>
      <c r="F849" s="76"/>
      <c r="G849" s="47"/>
      <c r="H849" s="47"/>
      <c r="I849" s="75"/>
      <c r="J849" s="76"/>
      <c r="K849" s="76"/>
      <c r="L849" s="75"/>
      <c r="M849" s="49"/>
      <c r="N849" s="76"/>
      <c r="O849" s="49"/>
      <c r="P849" s="77"/>
      <c r="Q849" s="53"/>
      <c r="R849" s="54"/>
      <c r="S849" s="55"/>
      <c r="T849" s="56"/>
      <c r="U849" s="56"/>
      <c r="V849" s="42"/>
      <c r="W849" s="57"/>
      <c r="X849" s="58"/>
      <c r="Y849" s="75"/>
      <c r="Z849" s="59"/>
      <c r="AA849" s="61"/>
      <c r="AB849" s="61"/>
      <c r="AC849" s="61"/>
      <c r="AD849" s="62"/>
      <c r="AE849" s="62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</row>
    <row r="850" spans="1:77" x14ac:dyDescent="0.3">
      <c r="A850" s="39"/>
      <c r="B850" s="42"/>
      <c r="C850" s="42"/>
      <c r="D850" s="75"/>
      <c r="E850" s="75"/>
      <c r="F850" s="76"/>
      <c r="G850" s="47"/>
      <c r="H850" s="47"/>
      <c r="I850" s="75"/>
      <c r="J850" s="76"/>
      <c r="K850" s="76"/>
      <c r="L850" s="75"/>
      <c r="M850" s="49"/>
      <c r="N850" s="76"/>
      <c r="O850" s="49"/>
      <c r="P850" s="77"/>
      <c r="Q850" s="53"/>
      <c r="R850" s="54"/>
      <c r="S850" s="55"/>
      <c r="T850" s="56"/>
      <c r="U850" s="56"/>
      <c r="V850" s="42"/>
      <c r="W850" s="57"/>
      <c r="X850" s="58"/>
      <c r="Y850" s="75"/>
      <c r="Z850" s="59"/>
      <c r="AA850" s="61"/>
      <c r="AB850" s="61"/>
      <c r="AC850" s="61"/>
      <c r="AD850" s="62"/>
      <c r="AE850" s="62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</row>
    <row r="851" spans="1:77" x14ac:dyDescent="0.3">
      <c r="A851" s="39"/>
      <c r="B851" s="42"/>
      <c r="C851" s="42"/>
      <c r="D851" s="75"/>
      <c r="E851" s="75"/>
      <c r="F851" s="76"/>
      <c r="G851" s="47"/>
      <c r="H851" s="47"/>
      <c r="I851" s="75"/>
      <c r="J851" s="76"/>
      <c r="K851" s="76"/>
      <c r="L851" s="75"/>
      <c r="M851" s="49"/>
      <c r="N851" s="76"/>
      <c r="O851" s="49"/>
      <c r="P851" s="77"/>
      <c r="Q851" s="53"/>
      <c r="R851" s="54"/>
      <c r="S851" s="55"/>
      <c r="T851" s="56"/>
      <c r="U851" s="56"/>
      <c r="V851" s="42"/>
      <c r="W851" s="57"/>
      <c r="X851" s="58"/>
      <c r="Y851" s="75"/>
      <c r="Z851" s="59"/>
      <c r="AA851" s="61"/>
      <c r="AB851" s="61"/>
      <c r="AC851" s="61"/>
      <c r="AD851" s="62"/>
      <c r="AE851" s="62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</row>
    <row r="852" spans="1:77" x14ac:dyDescent="0.3">
      <c r="A852" s="39"/>
      <c r="B852" s="42"/>
      <c r="C852" s="42"/>
      <c r="D852" s="75"/>
      <c r="E852" s="75"/>
      <c r="F852" s="76"/>
      <c r="G852" s="47"/>
      <c r="H852" s="47"/>
      <c r="I852" s="75"/>
      <c r="J852" s="76"/>
      <c r="K852" s="76"/>
      <c r="L852" s="75"/>
      <c r="M852" s="49"/>
      <c r="N852" s="76"/>
      <c r="O852" s="49"/>
      <c r="P852" s="77"/>
      <c r="Q852" s="53"/>
      <c r="R852" s="54"/>
      <c r="S852" s="55"/>
      <c r="T852" s="56"/>
      <c r="U852" s="56"/>
      <c r="V852" s="42"/>
      <c r="W852" s="57"/>
      <c r="X852" s="58"/>
      <c r="Y852" s="75"/>
      <c r="Z852" s="59"/>
      <c r="AA852" s="61"/>
      <c r="AB852" s="61"/>
      <c r="AC852" s="61"/>
      <c r="AD852" s="62"/>
      <c r="AE852" s="62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</row>
    <row r="853" spans="1:77" x14ac:dyDescent="0.3">
      <c r="A853" s="39"/>
      <c r="B853" s="42"/>
      <c r="C853" s="42"/>
      <c r="D853" s="75"/>
      <c r="E853" s="75"/>
      <c r="F853" s="76"/>
      <c r="G853" s="47"/>
      <c r="H853" s="47"/>
      <c r="I853" s="75"/>
      <c r="J853" s="76"/>
      <c r="K853" s="76"/>
      <c r="L853" s="75"/>
      <c r="M853" s="49"/>
      <c r="N853" s="76"/>
      <c r="O853" s="49"/>
      <c r="P853" s="77"/>
      <c r="Q853" s="53"/>
      <c r="R853" s="54"/>
      <c r="S853" s="55"/>
      <c r="T853" s="56"/>
      <c r="U853" s="56"/>
      <c r="V853" s="42"/>
      <c r="W853" s="57"/>
      <c r="X853" s="58"/>
      <c r="Y853" s="75"/>
      <c r="Z853" s="59"/>
      <c r="AA853" s="61"/>
      <c r="AB853" s="61"/>
      <c r="AC853" s="61"/>
      <c r="AD853" s="62"/>
      <c r="AE853" s="62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</row>
    <row r="854" spans="1:77" x14ac:dyDescent="0.3">
      <c r="A854" s="39"/>
      <c r="B854" s="42"/>
      <c r="C854" s="42"/>
      <c r="D854" s="75"/>
      <c r="E854" s="75"/>
      <c r="F854" s="76"/>
      <c r="G854" s="47"/>
      <c r="H854" s="47"/>
      <c r="I854" s="75"/>
      <c r="J854" s="76"/>
      <c r="K854" s="76"/>
      <c r="L854" s="75"/>
      <c r="M854" s="49"/>
      <c r="N854" s="76"/>
      <c r="O854" s="49"/>
      <c r="P854" s="77"/>
      <c r="Q854" s="53"/>
      <c r="R854" s="54"/>
      <c r="S854" s="55"/>
      <c r="T854" s="56"/>
      <c r="U854" s="56"/>
      <c r="V854" s="42"/>
      <c r="W854" s="57"/>
      <c r="X854" s="58"/>
      <c r="Y854" s="75"/>
      <c r="Z854" s="59"/>
      <c r="AA854" s="61"/>
      <c r="AB854" s="61"/>
      <c r="AC854" s="61"/>
      <c r="AD854" s="62"/>
      <c r="AE854" s="62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</row>
    <row r="855" spans="1:77" x14ac:dyDescent="0.3">
      <c r="A855" s="39"/>
      <c r="B855" s="42"/>
      <c r="C855" s="42"/>
      <c r="D855" s="75"/>
      <c r="E855" s="75"/>
      <c r="F855" s="76"/>
      <c r="G855" s="47"/>
      <c r="H855" s="47"/>
      <c r="I855" s="75"/>
      <c r="J855" s="76"/>
      <c r="K855" s="76"/>
      <c r="L855" s="75"/>
      <c r="M855" s="49"/>
      <c r="N855" s="76"/>
      <c r="O855" s="49"/>
      <c r="P855" s="77"/>
      <c r="Q855" s="53"/>
      <c r="R855" s="54"/>
      <c r="S855" s="55"/>
      <c r="T855" s="56"/>
      <c r="U855" s="56"/>
      <c r="V855" s="42"/>
      <c r="W855" s="57"/>
      <c r="X855" s="58"/>
      <c r="Y855" s="75"/>
      <c r="Z855" s="59"/>
      <c r="AA855" s="61"/>
      <c r="AB855" s="61"/>
      <c r="AC855" s="61"/>
      <c r="AD855" s="62"/>
      <c r="AE855" s="62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</row>
    <row r="856" spans="1:77" x14ac:dyDescent="0.3">
      <c r="A856" s="39"/>
      <c r="B856" s="42"/>
      <c r="C856" s="42"/>
      <c r="D856" s="75"/>
      <c r="E856" s="75"/>
      <c r="F856" s="76"/>
      <c r="G856" s="47"/>
      <c r="H856" s="47"/>
      <c r="I856" s="75"/>
      <c r="J856" s="76"/>
      <c r="K856" s="76"/>
      <c r="L856" s="75"/>
      <c r="M856" s="49"/>
      <c r="N856" s="76"/>
      <c r="O856" s="49"/>
      <c r="P856" s="77"/>
      <c r="Q856" s="53"/>
      <c r="R856" s="54"/>
      <c r="S856" s="55"/>
      <c r="T856" s="56"/>
      <c r="U856" s="56"/>
      <c r="V856" s="42"/>
      <c r="W856" s="57"/>
      <c r="X856" s="58"/>
      <c r="Y856" s="75"/>
      <c r="Z856" s="59"/>
      <c r="AA856" s="61"/>
      <c r="AB856" s="61"/>
      <c r="AC856" s="61"/>
      <c r="AD856" s="62"/>
      <c r="AE856" s="62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</row>
    <row r="857" spans="1:77" x14ac:dyDescent="0.3">
      <c r="A857" s="39"/>
      <c r="B857" s="42"/>
      <c r="C857" s="42"/>
      <c r="D857" s="75"/>
      <c r="E857" s="75"/>
      <c r="F857" s="76"/>
      <c r="G857" s="47"/>
      <c r="H857" s="47"/>
      <c r="I857" s="75"/>
      <c r="J857" s="76"/>
      <c r="K857" s="76"/>
      <c r="L857" s="75"/>
      <c r="M857" s="49"/>
      <c r="N857" s="76"/>
      <c r="O857" s="49"/>
      <c r="P857" s="77"/>
      <c r="Q857" s="53"/>
      <c r="R857" s="54"/>
      <c r="S857" s="55"/>
      <c r="T857" s="56"/>
      <c r="U857" s="56"/>
      <c r="V857" s="42"/>
      <c r="W857" s="57"/>
      <c r="X857" s="58"/>
      <c r="Y857" s="75"/>
      <c r="Z857" s="59"/>
      <c r="AA857" s="61"/>
      <c r="AB857" s="61"/>
      <c r="AC857" s="61"/>
      <c r="AD857" s="62"/>
      <c r="AE857" s="62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</row>
    <row r="858" spans="1:77" x14ac:dyDescent="0.3">
      <c r="A858" s="39"/>
      <c r="B858" s="42"/>
      <c r="C858" s="42"/>
      <c r="D858" s="75"/>
      <c r="E858" s="75"/>
      <c r="F858" s="76"/>
      <c r="G858" s="47"/>
      <c r="H858" s="47"/>
      <c r="I858" s="75"/>
      <c r="J858" s="76"/>
      <c r="K858" s="76"/>
      <c r="L858" s="75"/>
      <c r="M858" s="49"/>
      <c r="N858" s="76"/>
      <c r="O858" s="49"/>
      <c r="P858" s="77"/>
      <c r="Q858" s="53"/>
      <c r="R858" s="54"/>
      <c r="S858" s="55"/>
      <c r="T858" s="56"/>
      <c r="U858" s="56"/>
      <c r="V858" s="42"/>
      <c r="W858" s="57"/>
      <c r="X858" s="58"/>
      <c r="Y858" s="75"/>
      <c r="Z858" s="59"/>
      <c r="AA858" s="61"/>
      <c r="AB858" s="61"/>
      <c r="AC858" s="61"/>
      <c r="AD858" s="62"/>
      <c r="AE858" s="62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</row>
    <row r="859" spans="1:77" x14ac:dyDescent="0.3">
      <c r="A859" s="39"/>
      <c r="B859" s="42"/>
      <c r="C859" s="42"/>
      <c r="D859" s="75"/>
      <c r="E859" s="75"/>
      <c r="F859" s="76"/>
      <c r="G859" s="47"/>
      <c r="H859" s="47"/>
      <c r="I859" s="75"/>
      <c r="J859" s="76"/>
      <c r="K859" s="76"/>
      <c r="L859" s="75"/>
      <c r="M859" s="49"/>
      <c r="N859" s="76"/>
      <c r="O859" s="49"/>
      <c r="P859" s="77"/>
      <c r="Q859" s="53"/>
      <c r="R859" s="54"/>
      <c r="S859" s="55"/>
      <c r="T859" s="56"/>
      <c r="U859" s="56"/>
      <c r="V859" s="42"/>
      <c r="W859" s="57"/>
      <c r="X859" s="58"/>
      <c r="Y859" s="75"/>
      <c r="Z859" s="59"/>
      <c r="AA859" s="61"/>
      <c r="AB859" s="61"/>
      <c r="AC859" s="61"/>
      <c r="AD859" s="62"/>
      <c r="AE859" s="62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</row>
    <row r="860" spans="1:77" x14ac:dyDescent="0.3">
      <c r="A860" s="39"/>
      <c r="B860" s="42"/>
      <c r="C860" s="42"/>
      <c r="D860" s="75"/>
      <c r="E860" s="75"/>
      <c r="F860" s="76"/>
      <c r="G860" s="47"/>
      <c r="H860" s="47"/>
      <c r="I860" s="75"/>
      <c r="J860" s="76"/>
      <c r="K860" s="76"/>
      <c r="L860" s="75"/>
      <c r="M860" s="49"/>
      <c r="N860" s="76"/>
      <c r="O860" s="49"/>
      <c r="P860" s="77"/>
      <c r="Q860" s="53"/>
      <c r="R860" s="54"/>
      <c r="S860" s="55"/>
      <c r="T860" s="56"/>
      <c r="U860" s="56"/>
      <c r="V860" s="42"/>
      <c r="W860" s="57"/>
      <c r="X860" s="58"/>
      <c r="Y860" s="75"/>
      <c r="Z860" s="59"/>
      <c r="AA860" s="61"/>
      <c r="AB860" s="61"/>
      <c r="AC860" s="61"/>
      <c r="AD860" s="62"/>
      <c r="AE860" s="62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</row>
    <row r="861" spans="1:77" x14ac:dyDescent="0.3">
      <c r="A861" s="39"/>
      <c r="B861" s="42"/>
      <c r="C861" s="42"/>
      <c r="D861" s="75"/>
      <c r="E861" s="75"/>
      <c r="F861" s="76"/>
      <c r="G861" s="47"/>
      <c r="H861" s="47"/>
      <c r="I861" s="75"/>
      <c r="J861" s="76"/>
      <c r="K861" s="76"/>
      <c r="L861" s="75"/>
      <c r="M861" s="49"/>
      <c r="N861" s="76"/>
      <c r="O861" s="49"/>
      <c r="P861" s="77"/>
      <c r="Q861" s="53"/>
      <c r="R861" s="54"/>
      <c r="S861" s="55"/>
      <c r="T861" s="56"/>
      <c r="U861" s="56"/>
      <c r="V861" s="42"/>
      <c r="W861" s="57"/>
      <c r="X861" s="58"/>
      <c r="Y861" s="75"/>
      <c r="Z861" s="59"/>
      <c r="AA861" s="61"/>
      <c r="AB861" s="61"/>
      <c r="AC861" s="61"/>
      <c r="AD861" s="62"/>
      <c r="AE861" s="62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</row>
    <row r="862" spans="1:77" x14ac:dyDescent="0.3">
      <c r="A862" s="39"/>
      <c r="B862" s="42"/>
      <c r="C862" s="42"/>
      <c r="D862" s="75"/>
      <c r="E862" s="75"/>
      <c r="F862" s="76"/>
      <c r="G862" s="47"/>
      <c r="H862" s="47"/>
      <c r="I862" s="75"/>
      <c r="J862" s="76"/>
      <c r="K862" s="76"/>
      <c r="L862" s="75"/>
      <c r="M862" s="49"/>
      <c r="N862" s="76"/>
      <c r="O862" s="49"/>
      <c r="P862" s="77"/>
      <c r="Q862" s="53"/>
      <c r="R862" s="54"/>
      <c r="S862" s="55"/>
      <c r="T862" s="56"/>
      <c r="U862" s="56"/>
      <c r="V862" s="42"/>
      <c r="W862" s="57"/>
      <c r="X862" s="58"/>
      <c r="Y862" s="75"/>
      <c r="Z862" s="59"/>
      <c r="AA862" s="61"/>
      <c r="AB862" s="61"/>
      <c r="AC862" s="61"/>
      <c r="AD862" s="62"/>
      <c r="AE862" s="62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</row>
    <row r="863" spans="1:77" x14ac:dyDescent="0.3">
      <c r="A863" s="39"/>
      <c r="B863" s="42"/>
      <c r="C863" s="42"/>
      <c r="D863" s="75"/>
      <c r="E863" s="75"/>
      <c r="F863" s="76"/>
      <c r="G863" s="47"/>
      <c r="H863" s="47"/>
      <c r="I863" s="75"/>
      <c r="J863" s="76"/>
      <c r="K863" s="76"/>
      <c r="L863" s="75"/>
      <c r="M863" s="49"/>
      <c r="N863" s="76"/>
      <c r="O863" s="49"/>
      <c r="P863" s="77"/>
      <c r="Q863" s="53"/>
      <c r="R863" s="54"/>
      <c r="S863" s="55"/>
      <c r="T863" s="56"/>
      <c r="U863" s="56"/>
      <c r="V863" s="42"/>
      <c r="W863" s="57"/>
      <c r="X863" s="58"/>
      <c r="Y863" s="75"/>
      <c r="Z863" s="59"/>
      <c r="AA863" s="61"/>
      <c r="AB863" s="61"/>
      <c r="AC863" s="61"/>
      <c r="AD863" s="62"/>
      <c r="AE863" s="62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</row>
    <row r="864" spans="1:77" x14ac:dyDescent="0.3">
      <c r="A864" s="39"/>
      <c r="B864" s="42"/>
      <c r="C864" s="42"/>
      <c r="D864" s="75"/>
      <c r="E864" s="75"/>
      <c r="F864" s="76"/>
      <c r="G864" s="47"/>
      <c r="H864" s="47"/>
      <c r="I864" s="75"/>
      <c r="J864" s="76"/>
      <c r="K864" s="76"/>
      <c r="L864" s="75"/>
      <c r="M864" s="49"/>
      <c r="N864" s="76"/>
      <c r="O864" s="49"/>
      <c r="P864" s="77"/>
      <c r="Q864" s="53"/>
      <c r="R864" s="54"/>
      <c r="S864" s="55"/>
      <c r="T864" s="56"/>
      <c r="U864" s="56"/>
      <c r="V864" s="42"/>
      <c r="W864" s="57"/>
      <c r="X864" s="58"/>
      <c r="Y864" s="75"/>
      <c r="Z864" s="59"/>
      <c r="AA864" s="61"/>
      <c r="AB864" s="61"/>
      <c r="AC864" s="61"/>
      <c r="AD864" s="62"/>
      <c r="AE864" s="62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</row>
    <row r="865" spans="1:77" x14ac:dyDescent="0.3">
      <c r="A865" s="39"/>
      <c r="B865" s="42"/>
      <c r="C865" s="42"/>
      <c r="D865" s="75"/>
      <c r="E865" s="75"/>
      <c r="F865" s="76"/>
      <c r="G865" s="47"/>
      <c r="H865" s="47"/>
      <c r="I865" s="75"/>
      <c r="J865" s="76"/>
      <c r="K865" s="76"/>
      <c r="L865" s="75"/>
      <c r="M865" s="49"/>
      <c r="N865" s="76"/>
      <c r="O865" s="49"/>
      <c r="P865" s="77"/>
      <c r="Q865" s="53"/>
      <c r="R865" s="54"/>
      <c r="S865" s="55"/>
      <c r="T865" s="56"/>
      <c r="U865" s="56"/>
      <c r="V865" s="42"/>
      <c r="W865" s="57"/>
      <c r="X865" s="58"/>
      <c r="Y865" s="75"/>
      <c r="Z865" s="59"/>
      <c r="AA865" s="61"/>
      <c r="AB865" s="61"/>
      <c r="AC865" s="61"/>
      <c r="AD865" s="62"/>
      <c r="AE865" s="62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</row>
    <row r="866" spans="1:77" x14ac:dyDescent="0.3">
      <c r="A866" s="39"/>
      <c r="B866" s="42"/>
      <c r="C866" s="42"/>
      <c r="D866" s="75"/>
      <c r="E866" s="75"/>
      <c r="F866" s="76"/>
      <c r="G866" s="47"/>
      <c r="H866" s="47"/>
      <c r="I866" s="75"/>
      <c r="J866" s="76"/>
      <c r="K866" s="76"/>
      <c r="L866" s="75"/>
      <c r="M866" s="49"/>
      <c r="N866" s="76"/>
      <c r="O866" s="49"/>
      <c r="P866" s="77"/>
      <c r="Q866" s="53"/>
      <c r="R866" s="54"/>
      <c r="S866" s="55"/>
      <c r="T866" s="56"/>
      <c r="U866" s="56"/>
      <c r="V866" s="42"/>
      <c r="W866" s="57"/>
      <c r="X866" s="58"/>
      <c r="Y866" s="75"/>
      <c r="Z866" s="59"/>
      <c r="AA866" s="61"/>
      <c r="AB866" s="61"/>
      <c r="AC866" s="61"/>
      <c r="AD866" s="62"/>
      <c r="AE866" s="62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</row>
    <row r="867" spans="1:77" x14ac:dyDescent="0.3">
      <c r="A867" s="39"/>
      <c r="B867" s="42"/>
      <c r="C867" s="42"/>
      <c r="D867" s="75"/>
      <c r="E867" s="75"/>
      <c r="F867" s="76"/>
      <c r="G867" s="47"/>
      <c r="H867" s="47"/>
      <c r="I867" s="75"/>
      <c r="J867" s="76"/>
      <c r="K867" s="76"/>
      <c r="L867" s="75"/>
      <c r="M867" s="49"/>
      <c r="N867" s="76"/>
      <c r="O867" s="49"/>
      <c r="P867" s="77"/>
      <c r="Q867" s="53"/>
      <c r="R867" s="54"/>
      <c r="S867" s="55"/>
      <c r="T867" s="56"/>
      <c r="U867" s="56"/>
      <c r="V867" s="42"/>
      <c r="W867" s="57"/>
      <c r="X867" s="58"/>
      <c r="Y867" s="75"/>
      <c r="Z867" s="59"/>
      <c r="AA867" s="61"/>
      <c r="AB867" s="61"/>
      <c r="AC867" s="61"/>
      <c r="AD867" s="62"/>
      <c r="AE867" s="62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</row>
    <row r="868" spans="1:77" x14ac:dyDescent="0.3">
      <c r="A868" s="39"/>
      <c r="B868" s="42"/>
      <c r="C868" s="42"/>
      <c r="D868" s="75"/>
      <c r="E868" s="75"/>
      <c r="F868" s="76"/>
      <c r="G868" s="47"/>
      <c r="H868" s="47"/>
      <c r="I868" s="75"/>
      <c r="J868" s="76"/>
      <c r="K868" s="76"/>
      <c r="L868" s="75"/>
      <c r="M868" s="49"/>
      <c r="N868" s="76"/>
      <c r="O868" s="49"/>
      <c r="P868" s="77"/>
      <c r="Q868" s="53"/>
      <c r="R868" s="54"/>
      <c r="S868" s="55"/>
      <c r="T868" s="56"/>
      <c r="U868" s="56"/>
      <c r="V868" s="42"/>
      <c r="W868" s="57"/>
      <c r="X868" s="58"/>
      <c r="Y868" s="75"/>
      <c r="Z868" s="59"/>
      <c r="AA868" s="61"/>
      <c r="AB868" s="61"/>
      <c r="AC868" s="61"/>
      <c r="AD868" s="62"/>
      <c r="AE868" s="62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</row>
    <row r="869" spans="1:77" x14ac:dyDescent="0.3">
      <c r="A869" s="39"/>
      <c r="B869" s="42"/>
      <c r="C869" s="42"/>
      <c r="D869" s="75"/>
      <c r="E869" s="75"/>
      <c r="F869" s="76"/>
      <c r="G869" s="47"/>
      <c r="H869" s="47"/>
      <c r="I869" s="75"/>
      <c r="J869" s="76"/>
      <c r="K869" s="76"/>
      <c r="L869" s="75"/>
      <c r="M869" s="49"/>
      <c r="N869" s="76"/>
      <c r="O869" s="49"/>
      <c r="P869" s="77"/>
      <c r="Q869" s="53"/>
      <c r="R869" s="54"/>
      <c r="S869" s="55"/>
      <c r="T869" s="56"/>
      <c r="U869" s="56"/>
      <c r="V869" s="42"/>
      <c r="W869" s="57"/>
      <c r="X869" s="58"/>
      <c r="Y869" s="75"/>
      <c r="Z869" s="59"/>
      <c r="AA869" s="61"/>
      <c r="AB869" s="61"/>
      <c r="AC869" s="61"/>
      <c r="AD869" s="62"/>
      <c r="AE869" s="62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</row>
    <row r="870" spans="1:77" x14ac:dyDescent="0.3">
      <c r="A870" s="39"/>
      <c r="B870" s="42"/>
      <c r="C870" s="42"/>
      <c r="D870" s="75"/>
      <c r="E870" s="75"/>
      <c r="F870" s="76"/>
      <c r="G870" s="47"/>
      <c r="H870" s="47"/>
      <c r="I870" s="75"/>
      <c r="J870" s="76"/>
      <c r="K870" s="76"/>
      <c r="L870" s="75"/>
      <c r="M870" s="49"/>
      <c r="N870" s="76"/>
      <c r="O870" s="49"/>
      <c r="P870" s="77"/>
      <c r="Q870" s="53"/>
      <c r="R870" s="54"/>
      <c r="S870" s="55"/>
      <c r="T870" s="56"/>
      <c r="U870" s="56"/>
      <c r="V870" s="42"/>
      <c r="W870" s="57"/>
      <c r="X870" s="58"/>
      <c r="Y870" s="75"/>
      <c r="Z870" s="59"/>
      <c r="AA870" s="61"/>
      <c r="AB870" s="61"/>
      <c r="AC870" s="61"/>
      <c r="AD870" s="62"/>
      <c r="AE870" s="62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</row>
    <row r="871" spans="1:77" x14ac:dyDescent="0.3">
      <c r="A871" s="39"/>
      <c r="B871" s="42"/>
      <c r="C871" s="42"/>
      <c r="D871" s="75"/>
      <c r="E871" s="75"/>
      <c r="F871" s="76"/>
      <c r="G871" s="47"/>
      <c r="H871" s="47"/>
      <c r="I871" s="75"/>
      <c r="J871" s="76"/>
      <c r="K871" s="76"/>
      <c r="L871" s="75"/>
      <c r="M871" s="49"/>
      <c r="N871" s="76"/>
      <c r="O871" s="49"/>
      <c r="P871" s="77"/>
      <c r="Q871" s="53"/>
      <c r="R871" s="54"/>
      <c r="S871" s="55"/>
      <c r="T871" s="56"/>
      <c r="U871" s="56"/>
      <c r="V871" s="42"/>
      <c r="W871" s="57"/>
      <c r="X871" s="58"/>
      <c r="Y871" s="75"/>
      <c r="Z871" s="59"/>
      <c r="AA871" s="61"/>
      <c r="AB871" s="61"/>
      <c r="AC871" s="61"/>
      <c r="AD871" s="62"/>
      <c r="AE871" s="62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</row>
    <row r="872" spans="1:77" x14ac:dyDescent="0.3">
      <c r="A872" s="39"/>
      <c r="B872" s="42"/>
      <c r="C872" s="42"/>
      <c r="D872" s="75"/>
      <c r="E872" s="75"/>
      <c r="F872" s="76"/>
      <c r="G872" s="47"/>
      <c r="H872" s="47"/>
      <c r="I872" s="75"/>
      <c r="J872" s="76"/>
      <c r="K872" s="76"/>
      <c r="L872" s="75"/>
      <c r="M872" s="49"/>
      <c r="N872" s="76"/>
      <c r="O872" s="49"/>
      <c r="P872" s="77"/>
      <c r="Q872" s="53"/>
      <c r="R872" s="54"/>
      <c r="S872" s="55"/>
      <c r="T872" s="56"/>
      <c r="U872" s="56"/>
      <c r="V872" s="42"/>
      <c r="W872" s="57"/>
      <c r="X872" s="58"/>
      <c r="Y872" s="75"/>
      <c r="Z872" s="59"/>
      <c r="AA872" s="61"/>
      <c r="AB872" s="61"/>
      <c r="AC872" s="61"/>
      <c r="AD872" s="62"/>
      <c r="AE872" s="62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</row>
    <row r="873" spans="1:77" x14ac:dyDescent="0.3">
      <c r="A873" s="39"/>
      <c r="B873" s="42"/>
      <c r="C873" s="42"/>
      <c r="D873" s="75"/>
      <c r="E873" s="75"/>
      <c r="F873" s="76"/>
      <c r="G873" s="47"/>
      <c r="H873" s="47"/>
      <c r="I873" s="75"/>
      <c r="J873" s="76"/>
      <c r="K873" s="76"/>
      <c r="L873" s="75"/>
      <c r="M873" s="49"/>
      <c r="N873" s="76"/>
      <c r="O873" s="49"/>
      <c r="P873" s="77"/>
      <c r="Q873" s="53"/>
      <c r="R873" s="54"/>
      <c r="S873" s="55"/>
      <c r="T873" s="56"/>
      <c r="U873" s="56"/>
      <c r="V873" s="42"/>
      <c r="W873" s="57"/>
      <c r="X873" s="58"/>
      <c r="Y873" s="75"/>
      <c r="Z873" s="59"/>
      <c r="AA873" s="61"/>
      <c r="AB873" s="61"/>
      <c r="AC873" s="61"/>
      <c r="AD873" s="62"/>
      <c r="AE873" s="62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</row>
    <row r="874" spans="1:77" x14ac:dyDescent="0.3">
      <c r="A874" s="39"/>
      <c r="B874" s="42"/>
      <c r="C874" s="42"/>
      <c r="D874" s="75"/>
      <c r="E874" s="75"/>
      <c r="F874" s="76"/>
      <c r="G874" s="47"/>
      <c r="H874" s="47"/>
      <c r="I874" s="75"/>
      <c r="J874" s="76"/>
      <c r="K874" s="76"/>
      <c r="L874" s="75"/>
      <c r="M874" s="49"/>
      <c r="N874" s="76"/>
      <c r="O874" s="49"/>
      <c r="P874" s="77"/>
      <c r="Q874" s="53"/>
      <c r="R874" s="54"/>
      <c r="S874" s="55"/>
      <c r="T874" s="56"/>
      <c r="U874" s="56"/>
      <c r="V874" s="42"/>
      <c r="W874" s="57"/>
      <c r="X874" s="58"/>
      <c r="Y874" s="75"/>
      <c r="Z874" s="59"/>
      <c r="AA874" s="61"/>
      <c r="AB874" s="61"/>
      <c r="AC874" s="61"/>
      <c r="AD874" s="62"/>
      <c r="AE874" s="62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</row>
    <row r="875" spans="1:77" x14ac:dyDescent="0.3">
      <c r="A875" s="39"/>
      <c r="B875" s="42"/>
      <c r="C875" s="42"/>
      <c r="D875" s="75"/>
      <c r="E875" s="75"/>
      <c r="F875" s="76"/>
      <c r="G875" s="47"/>
      <c r="H875" s="47"/>
      <c r="I875" s="75"/>
      <c r="J875" s="76"/>
      <c r="K875" s="76"/>
      <c r="L875" s="75"/>
      <c r="M875" s="49"/>
      <c r="N875" s="76"/>
      <c r="O875" s="49"/>
      <c r="P875" s="77"/>
      <c r="Q875" s="53"/>
      <c r="R875" s="54"/>
      <c r="S875" s="55"/>
      <c r="T875" s="56"/>
      <c r="U875" s="56"/>
      <c r="V875" s="42"/>
      <c r="W875" s="57"/>
      <c r="X875" s="58"/>
      <c r="Y875" s="75"/>
      <c r="Z875" s="59"/>
      <c r="AA875" s="61"/>
      <c r="AB875" s="61"/>
      <c r="AC875" s="61"/>
      <c r="AD875" s="62"/>
      <c r="AE875" s="62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</row>
    <row r="876" spans="1:77" x14ac:dyDescent="0.3">
      <c r="A876" s="39"/>
      <c r="B876" s="42"/>
      <c r="C876" s="42"/>
      <c r="D876" s="75"/>
      <c r="E876" s="75"/>
      <c r="F876" s="76"/>
      <c r="G876" s="47"/>
      <c r="H876" s="47"/>
      <c r="I876" s="75"/>
      <c r="J876" s="76"/>
      <c r="K876" s="76"/>
      <c r="L876" s="75"/>
      <c r="M876" s="49"/>
      <c r="N876" s="76"/>
      <c r="O876" s="49"/>
      <c r="P876" s="77"/>
      <c r="Q876" s="53"/>
      <c r="R876" s="54"/>
      <c r="S876" s="55"/>
      <c r="T876" s="56"/>
      <c r="U876" s="56"/>
      <c r="V876" s="42"/>
      <c r="W876" s="57"/>
      <c r="X876" s="58"/>
      <c r="Y876" s="75"/>
      <c r="Z876" s="59"/>
      <c r="AA876" s="61"/>
      <c r="AB876" s="61"/>
      <c r="AC876" s="61"/>
      <c r="AD876" s="62"/>
      <c r="AE876" s="62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</row>
    <row r="877" spans="1:77" x14ac:dyDescent="0.3">
      <c r="A877" s="39"/>
      <c r="B877" s="42"/>
      <c r="C877" s="42"/>
      <c r="D877" s="75"/>
      <c r="E877" s="75"/>
      <c r="F877" s="76"/>
      <c r="G877" s="47"/>
      <c r="H877" s="47"/>
      <c r="I877" s="75"/>
      <c r="J877" s="76"/>
      <c r="K877" s="76"/>
      <c r="L877" s="75"/>
      <c r="M877" s="49"/>
      <c r="N877" s="76"/>
      <c r="O877" s="49"/>
      <c r="P877" s="77"/>
      <c r="Q877" s="53"/>
      <c r="R877" s="54"/>
      <c r="S877" s="55"/>
      <c r="T877" s="56"/>
      <c r="U877" s="56"/>
      <c r="V877" s="42"/>
      <c r="W877" s="57"/>
      <c r="X877" s="58"/>
      <c r="Y877" s="75"/>
      <c r="Z877" s="59"/>
      <c r="AA877" s="61"/>
      <c r="AB877" s="61"/>
      <c r="AC877" s="61"/>
      <c r="AD877" s="62"/>
      <c r="AE877" s="62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</row>
    <row r="878" spans="1:77" x14ac:dyDescent="0.3">
      <c r="A878" s="39"/>
      <c r="B878" s="42"/>
      <c r="C878" s="42"/>
      <c r="D878" s="75"/>
      <c r="E878" s="75"/>
      <c r="F878" s="76"/>
      <c r="G878" s="47"/>
      <c r="H878" s="47"/>
      <c r="I878" s="75"/>
      <c r="J878" s="76"/>
      <c r="K878" s="76"/>
      <c r="L878" s="75"/>
      <c r="M878" s="49"/>
      <c r="N878" s="76"/>
      <c r="O878" s="49"/>
      <c r="P878" s="77"/>
      <c r="Q878" s="53"/>
      <c r="R878" s="54"/>
      <c r="S878" s="55"/>
      <c r="T878" s="56"/>
      <c r="U878" s="56"/>
      <c r="V878" s="42"/>
      <c r="W878" s="57"/>
      <c r="X878" s="58"/>
      <c r="Y878" s="75"/>
      <c r="Z878" s="59"/>
      <c r="AA878" s="61"/>
      <c r="AB878" s="61"/>
      <c r="AC878" s="61"/>
      <c r="AD878" s="62"/>
      <c r="AE878" s="62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</row>
    <row r="879" spans="1:77" x14ac:dyDescent="0.3">
      <c r="A879" s="39"/>
      <c r="B879" s="42"/>
      <c r="C879" s="42"/>
      <c r="D879" s="75"/>
      <c r="E879" s="75"/>
      <c r="F879" s="76"/>
      <c r="G879" s="47"/>
      <c r="H879" s="47"/>
      <c r="I879" s="75"/>
      <c r="J879" s="76"/>
      <c r="K879" s="76"/>
      <c r="L879" s="75"/>
      <c r="M879" s="49"/>
      <c r="N879" s="76"/>
      <c r="O879" s="49"/>
      <c r="P879" s="77"/>
      <c r="Q879" s="53"/>
      <c r="R879" s="54"/>
      <c r="S879" s="55"/>
      <c r="T879" s="56"/>
      <c r="U879" s="56"/>
      <c r="V879" s="42"/>
      <c r="W879" s="57"/>
      <c r="X879" s="58"/>
      <c r="Y879" s="75"/>
      <c r="Z879" s="59"/>
      <c r="AA879" s="61"/>
      <c r="AB879" s="61"/>
      <c r="AC879" s="61"/>
      <c r="AD879" s="62"/>
      <c r="AE879" s="62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</row>
    <row r="880" spans="1:77" x14ac:dyDescent="0.3">
      <c r="A880" s="39"/>
      <c r="B880" s="42"/>
      <c r="C880" s="42"/>
      <c r="D880" s="75"/>
      <c r="E880" s="75"/>
      <c r="F880" s="76"/>
      <c r="G880" s="47"/>
      <c r="H880" s="47"/>
      <c r="I880" s="75"/>
      <c r="J880" s="76"/>
      <c r="K880" s="76"/>
      <c r="L880" s="75"/>
      <c r="M880" s="49"/>
      <c r="N880" s="76"/>
      <c r="O880" s="49"/>
      <c r="P880" s="77"/>
      <c r="Q880" s="53"/>
      <c r="R880" s="54"/>
      <c r="S880" s="55"/>
      <c r="T880" s="56"/>
      <c r="U880" s="56"/>
      <c r="V880" s="42"/>
      <c r="W880" s="57"/>
      <c r="X880" s="58"/>
      <c r="Y880" s="75"/>
      <c r="Z880" s="59"/>
      <c r="AA880" s="61"/>
      <c r="AB880" s="61"/>
      <c r="AC880" s="61"/>
      <c r="AD880" s="62"/>
      <c r="AE880" s="62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</row>
    <row r="881" spans="1:77" x14ac:dyDescent="0.3">
      <c r="A881" s="39"/>
      <c r="B881" s="42"/>
      <c r="C881" s="42"/>
      <c r="D881" s="75"/>
      <c r="E881" s="75"/>
      <c r="F881" s="76"/>
      <c r="G881" s="47"/>
      <c r="H881" s="47"/>
      <c r="I881" s="75"/>
      <c r="J881" s="76"/>
      <c r="K881" s="76"/>
      <c r="L881" s="75"/>
      <c r="M881" s="49"/>
      <c r="N881" s="76"/>
      <c r="O881" s="49"/>
      <c r="P881" s="77"/>
      <c r="Q881" s="53"/>
      <c r="R881" s="54"/>
      <c r="S881" s="55"/>
      <c r="T881" s="56"/>
      <c r="U881" s="56"/>
      <c r="V881" s="42"/>
      <c r="W881" s="57"/>
      <c r="X881" s="58"/>
      <c r="Y881" s="75"/>
      <c r="Z881" s="59"/>
      <c r="AA881" s="61"/>
      <c r="AB881" s="61"/>
      <c r="AC881" s="61"/>
      <c r="AD881" s="62"/>
      <c r="AE881" s="62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</row>
    <row r="882" spans="1:77" x14ac:dyDescent="0.3">
      <c r="A882" s="39"/>
      <c r="B882" s="42"/>
      <c r="C882" s="42"/>
      <c r="D882" s="75"/>
      <c r="E882" s="75"/>
      <c r="F882" s="76"/>
      <c r="G882" s="47"/>
      <c r="H882" s="47"/>
      <c r="I882" s="75"/>
      <c r="J882" s="76"/>
      <c r="K882" s="76"/>
      <c r="L882" s="75"/>
      <c r="M882" s="49"/>
      <c r="N882" s="76"/>
      <c r="O882" s="49"/>
      <c r="P882" s="77"/>
      <c r="Q882" s="53"/>
      <c r="R882" s="54"/>
      <c r="S882" s="55"/>
      <c r="T882" s="56"/>
      <c r="U882" s="56"/>
      <c r="V882" s="42"/>
      <c r="W882" s="57"/>
      <c r="X882" s="58"/>
      <c r="Y882" s="75"/>
      <c r="Z882" s="59"/>
      <c r="AA882" s="61"/>
      <c r="AB882" s="61"/>
      <c r="AC882" s="61"/>
      <c r="AD882" s="62"/>
      <c r="AE882" s="62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</row>
    <row r="883" spans="1:77" x14ac:dyDescent="0.3">
      <c r="A883" s="39"/>
      <c r="B883" s="42"/>
      <c r="C883" s="42"/>
      <c r="D883" s="75"/>
      <c r="E883" s="75"/>
      <c r="F883" s="76"/>
      <c r="G883" s="47"/>
      <c r="H883" s="47"/>
      <c r="I883" s="75"/>
      <c r="J883" s="76"/>
      <c r="K883" s="76"/>
      <c r="L883" s="75"/>
      <c r="M883" s="49"/>
      <c r="N883" s="76"/>
      <c r="O883" s="49"/>
      <c r="P883" s="77"/>
      <c r="Q883" s="53"/>
      <c r="R883" s="54"/>
      <c r="S883" s="55"/>
      <c r="T883" s="56"/>
      <c r="U883" s="56"/>
      <c r="V883" s="42"/>
      <c r="W883" s="57"/>
      <c r="X883" s="58"/>
      <c r="Y883" s="75"/>
      <c r="Z883" s="59"/>
      <c r="AA883" s="61"/>
      <c r="AB883" s="61"/>
      <c r="AC883" s="61"/>
      <c r="AD883" s="62"/>
      <c r="AE883" s="62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</row>
    <row r="884" spans="1:77" x14ac:dyDescent="0.3">
      <c r="A884" s="39"/>
      <c r="B884" s="42"/>
      <c r="C884" s="42"/>
      <c r="D884" s="75"/>
      <c r="E884" s="75"/>
      <c r="F884" s="76"/>
      <c r="G884" s="47"/>
      <c r="H884" s="47"/>
      <c r="I884" s="75"/>
      <c r="J884" s="76"/>
      <c r="K884" s="76"/>
      <c r="L884" s="75"/>
      <c r="M884" s="49"/>
      <c r="N884" s="76"/>
      <c r="O884" s="49"/>
      <c r="P884" s="77"/>
      <c r="Q884" s="53"/>
      <c r="R884" s="54"/>
      <c r="S884" s="55"/>
      <c r="T884" s="56"/>
      <c r="U884" s="56"/>
      <c r="V884" s="42"/>
      <c r="W884" s="57"/>
      <c r="X884" s="58"/>
      <c r="Y884" s="75"/>
      <c r="Z884" s="59"/>
      <c r="AA884" s="61"/>
      <c r="AB884" s="61"/>
      <c r="AC884" s="61"/>
      <c r="AD884" s="62"/>
      <c r="AE884" s="62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</row>
    <row r="885" spans="1:77" x14ac:dyDescent="0.3">
      <c r="A885" s="39"/>
      <c r="B885" s="42"/>
      <c r="C885" s="42"/>
      <c r="D885" s="75"/>
      <c r="E885" s="75"/>
      <c r="F885" s="76"/>
      <c r="G885" s="47"/>
      <c r="H885" s="47"/>
      <c r="I885" s="75"/>
      <c r="J885" s="76"/>
      <c r="K885" s="76"/>
      <c r="L885" s="75"/>
      <c r="M885" s="49"/>
      <c r="N885" s="76"/>
      <c r="O885" s="49"/>
      <c r="P885" s="77"/>
      <c r="Q885" s="53"/>
      <c r="R885" s="54"/>
      <c r="S885" s="55"/>
      <c r="T885" s="56"/>
      <c r="U885" s="56"/>
      <c r="V885" s="42"/>
      <c r="W885" s="57"/>
      <c r="X885" s="58"/>
      <c r="Y885" s="75"/>
      <c r="Z885" s="59"/>
      <c r="AA885" s="61"/>
      <c r="AB885" s="61"/>
      <c r="AC885" s="61"/>
      <c r="AD885" s="62"/>
      <c r="AE885" s="62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</row>
    <row r="886" spans="1:77" x14ac:dyDescent="0.3">
      <c r="A886" s="39"/>
      <c r="B886" s="42"/>
      <c r="C886" s="42"/>
      <c r="D886" s="75"/>
      <c r="E886" s="75"/>
      <c r="F886" s="76"/>
      <c r="G886" s="47"/>
      <c r="H886" s="47"/>
      <c r="I886" s="75"/>
      <c r="J886" s="76"/>
      <c r="K886" s="76"/>
      <c r="L886" s="75"/>
      <c r="M886" s="49"/>
      <c r="N886" s="76"/>
      <c r="O886" s="49"/>
      <c r="P886" s="77"/>
      <c r="Q886" s="53"/>
      <c r="R886" s="54"/>
      <c r="S886" s="55"/>
      <c r="T886" s="56"/>
      <c r="U886" s="56"/>
      <c r="V886" s="42"/>
      <c r="W886" s="57"/>
      <c r="X886" s="58"/>
      <c r="Y886" s="75"/>
      <c r="Z886" s="59"/>
      <c r="AA886" s="61"/>
      <c r="AB886" s="61"/>
      <c r="AC886" s="61"/>
      <c r="AD886" s="62"/>
      <c r="AE886" s="62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</row>
    <row r="887" spans="1:77" x14ac:dyDescent="0.3">
      <c r="A887" s="39"/>
      <c r="B887" s="42"/>
      <c r="C887" s="42"/>
      <c r="D887" s="75"/>
      <c r="E887" s="75"/>
      <c r="F887" s="76"/>
      <c r="G887" s="47"/>
      <c r="H887" s="47"/>
      <c r="I887" s="75"/>
      <c r="J887" s="76"/>
      <c r="K887" s="76"/>
      <c r="L887" s="75"/>
      <c r="M887" s="49"/>
      <c r="N887" s="76"/>
      <c r="O887" s="49"/>
      <c r="P887" s="77"/>
      <c r="Q887" s="53"/>
      <c r="R887" s="54"/>
      <c r="S887" s="55"/>
      <c r="T887" s="56"/>
      <c r="U887" s="56"/>
      <c r="V887" s="42"/>
      <c r="W887" s="57"/>
      <c r="X887" s="58"/>
      <c r="Y887" s="75"/>
      <c r="Z887" s="59"/>
      <c r="AA887" s="61"/>
      <c r="AB887" s="61"/>
      <c r="AC887" s="61"/>
      <c r="AD887" s="62"/>
      <c r="AE887" s="62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</row>
    <row r="888" spans="1:77" x14ac:dyDescent="0.3">
      <c r="A888" s="39"/>
      <c r="B888" s="42"/>
      <c r="C888" s="42"/>
      <c r="D888" s="75"/>
      <c r="E888" s="75"/>
      <c r="F888" s="76"/>
      <c r="G888" s="47"/>
      <c r="H888" s="47"/>
      <c r="I888" s="75"/>
      <c r="J888" s="76"/>
      <c r="K888" s="76"/>
      <c r="L888" s="75"/>
      <c r="M888" s="49"/>
      <c r="N888" s="76"/>
      <c r="O888" s="49"/>
      <c r="P888" s="77"/>
      <c r="Q888" s="53"/>
      <c r="R888" s="54"/>
      <c r="S888" s="55"/>
      <c r="T888" s="56"/>
      <c r="U888" s="56"/>
      <c r="V888" s="42"/>
      <c r="W888" s="57"/>
      <c r="X888" s="58"/>
      <c r="Y888" s="75"/>
      <c r="Z888" s="59"/>
      <c r="AA888" s="61"/>
      <c r="AB888" s="61"/>
      <c r="AC888" s="61"/>
      <c r="AD888" s="62"/>
      <c r="AE888" s="62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</row>
    <row r="889" spans="1:77" x14ac:dyDescent="0.3">
      <c r="A889" s="39"/>
      <c r="B889" s="42"/>
      <c r="C889" s="42"/>
      <c r="D889" s="75"/>
      <c r="E889" s="75"/>
      <c r="F889" s="76"/>
      <c r="G889" s="47"/>
      <c r="H889" s="47"/>
      <c r="I889" s="75"/>
      <c r="J889" s="76"/>
      <c r="K889" s="76"/>
      <c r="L889" s="75"/>
      <c r="M889" s="49"/>
      <c r="N889" s="76"/>
      <c r="O889" s="49"/>
      <c r="P889" s="77"/>
      <c r="Q889" s="53"/>
      <c r="R889" s="54"/>
      <c r="S889" s="55"/>
      <c r="T889" s="56"/>
      <c r="U889" s="56"/>
      <c r="V889" s="42"/>
      <c r="W889" s="57"/>
      <c r="X889" s="58"/>
      <c r="Y889" s="75"/>
      <c r="Z889" s="59"/>
      <c r="AA889" s="61"/>
      <c r="AB889" s="61"/>
      <c r="AC889" s="61"/>
      <c r="AD889" s="62"/>
      <c r="AE889" s="62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</row>
    <row r="890" spans="1:77" x14ac:dyDescent="0.3">
      <c r="A890" s="39"/>
      <c r="B890" s="42"/>
      <c r="C890" s="42"/>
      <c r="D890" s="75"/>
      <c r="E890" s="75"/>
      <c r="F890" s="76"/>
      <c r="G890" s="47"/>
      <c r="H890" s="47"/>
      <c r="I890" s="75"/>
      <c r="J890" s="76"/>
      <c r="K890" s="76"/>
      <c r="L890" s="75"/>
      <c r="M890" s="49"/>
      <c r="N890" s="76"/>
      <c r="O890" s="49"/>
      <c r="P890" s="77"/>
      <c r="Q890" s="53"/>
      <c r="R890" s="54"/>
      <c r="S890" s="55"/>
      <c r="T890" s="56"/>
      <c r="U890" s="56"/>
      <c r="V890" s="42"/>
      <c r="W890" s="57"/>
      <c r="X890" s="58"/>
      <c r="Y890" s="75"/>
      <c r="Z890" s="59"/>
      <c r="AA890" s="61"/>
      <c r="AB890" s="61"/>
      <c r="AC890" s="61"/>
      <c r="AD890" s="62"/>
      <c r="AE890" s="62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</row>
    <row r="891" spans="1:77" x14ac:dyDescent="0.3">
      <c r="A891" s="39"/>
      <c r="B891" s="42"/>
      <c r="C891" s="42"/>
      <c r="D891" s="75"/>
      <c r="E891" s="75"/>
      <c r="F891" s="76"/>
      <c r="G891" s="47"/>
      <c r="H891" s="47"/>
      <c r="I891" s="75"/>
      <c r="J891" s="76"/>
      <c r="K891" s="76"/>
      <c r="L891" s="75"/>
      <c r="M891" s="49"/>
      <c r="N891" s="76"/>
      <c r="O891" s="49"/>
      <c r="P891" s="77"/>
      <c r="Q891" s="53"/>
      <c r="R891" s="54"/>
      <c r="S891" s="55"/>
      <c r="T891" s="56"/>
      <c r="U891" s="56"/>
      <c r="V891" s="42"/>
      <c r="W891" s="57"/>
      <c r="X891" s="58"/>
      <c r="Y891" s="75"/>
      <c r="Z891" s="59"/>
      <c r="AA891" s="61"/>
      <c r="AB891" s="61"/>
      <c r="AC891" s="61"/>
      <c r="AD891" s="62"/>
      <c r="AE891" s="62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</row>
    <row r="892" spans="1:77" x14ac:dyDescent="0.3">
      <c r="A892" s="39"/>
      <c r="B892" s="42"/>
      <c r="C892" s="42"/>
      <c r="D892" s="75"/>
      <c r="E892" s="75"/>
      <c r="F892" s="76"/>
      <c r="G892" s="47"/>
      <c r="H892" s="47"/>
      <c r="I892" s="75"/>
      <c r="J892" s="76"/>
      <c r="K892" s="76"/>
      <c r="L892" s="75"/>
      <c r="M892" s="49"/>
      <c r="N892" s="76"/>
      <c r="O892" s="49"/>
      <c r="P892" s="77"/>
      <c r="Q892" s="53"/>
      <c r="R892" s="54"/>
      <c r="S892" s="55"/>
      <c r="T892" s="56"/>
      <c r="U892" s="56"/>
      <c r="V892" s="42"/>
      <c r="W892" s="57"/>
      <c r="X892" s="58"/>
      <c r="Y892" s="75"/>
      <c r="Z892" s="59"/>
      <c r="AA892" s="61"/>
      <c r="AB892" s="61"/>
      <c r="AC892" s="61"/>
      <c r="AD892" s="62"/>
      <c r="AE892" s="62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</row>
    <row r="893" spans="1:77" x14ac:dyDescent="0.3">
      <c r="A893" s="39"/>
      <c r="B893" s="42"/>
      <c r="C893" s="42"/>
      <c r="D893" s="75"/>
      <c r="E893" s="75"/>
      <c r="F893" s="76"/>
      <c r="G893" s="47"/>
      <c r="H893" s="47"/>
      <c r="I893" s="75"/>
      <c r="J893" s="76"/>
      <c r="K893" s="76"/>
      <c r="L893" s="75"/>
      <c r="M893" s="49"/>
      <c r="N893" s="76"/>
      <c r="O893" s="49"/>
      <c r="P893" s="77"/>
      <c r="Q893" s="53"/>
      <c r="R893" s="54"/>
      <c r="S893" s="55"/>
      <c r="T893" s="56"/>
      <c r="U893" s="56"/>
      <c r="V893" s="42"/>
      <c r="W893" s="57"/>
      <c r="X893" s="58"/>
      <c r="Y893" s="75"/>
      <c r="Z893" s="59"/>
      <c r="AA893" s="61"/>
      <c r="AB893" s="61"/>
      <c r="AC893" s="61"/>
      <c r="AD893" s="62"/>
      <c r="AE893" s="62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</row>
    <row r="894" spans="1:77" x14ac:dyDescent="0.3">
      <c r="A894" s="39"/>
      <c r="B894" s="42"/>
      <c r="C894" s="42"/>
      <c r="D894" s="75"/>
      <c r="E894" s="75"/>
      <c r="F894" s="76"/>
      <c r="G894" s="47"/>
      <c r="H894" s="47"/>
      <c r="I894" s="75"/>
      <c r="J894" s="76"/>
      <c r="K894" s="76"/>
      <c r="L894" s="75"/>
      <c r="M894" s="49"/>
      <c r="N894" s="76"/>
      <c r="O894" s="49"/>
      <c r="P894" s="77"/>
      <c r="Q894" s="53"/>
      <c r="R894" s="54"/>
      <c r="S894" s="55"/>
      <c r="T894" s="56"/>
      <c r="U894" s="56"/>
      <c r="V894" s="42"/>
      <c r="W894" s="57"/>
      <c r="X894" s="58"/>
      <c r="Y894" s="75"/>
      <c r="Z894" s="59"/>
      <c r="AA894" s="61"/>
      <c r="AB894" s="61"/>
      <c r="AC894" s="61"/>
      <c r="AD894" s="62"/>
      <c r="AE894" s="62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</row>
    <row r="895" spans="1:77" x14ac:dyDescent="0.3">
      <c r="A895" s="39"/>
      <c r="B895" s="42"/>
      <c r="C895" s="42"/>
      <c r="D895" s="75"/>
      <c r="E895" s="75"/>
      <c r="F895" s="76"/>
      <c r="G895" s="47"/>
      <c r="H895" s="47"/>
      <c r="I895" s="75"/>
      <c r="J895" s="76"/>
      <c r="K895" s="76"/>
      <c r="L895" s="75"/>
      <c r="M895" s="49"/>
      <c r="N895" s="76"/>
      <c r="O895" s="49"/>
      <c r="P895" s="77"/>
      <c r="Q895" s="53"/>
      <c r="R895" s="54"/>
      <c r="S895" s="55"/>
      <c r="T895" s="56"/>
      <c r="U895" s="56"/>
      <c r="V895" s="42"/>
      <c r="W895" s="57"/>
      <c r="X895" s="58"/>
      <c r="Y895" s="75"/>
      <c r="Z895" s="59"/>
      <c r="AA895" s="61"/>
      <c r="AB895" s="61"/>
      <c r="AC895" s="61"/>
      <c r="AD895" s="62"/>
      <c r="AE895" s="62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</row>
    <row r="896" spans="1:77" x14ac:dyDescent="0.3">
      <c r="A896" s="39"/>
      <c r="B896" s="42"/>
      <c r="C896" s="42"/>
      <c r="D896" s="75"/>
      <c r="E896" s="75"/>
      <c r="F896" s="76"/>
      <c r="G896" s="47"/>
      <c r="H896" s="47"/>
      <c r="I896" s="75"/>
      <c r="J896" s="76"/>
      <c r="K896" s="76"/>
      <c r="L896" s="75"/>
      <c r="M896" s="49"/>
      <c r="N896" s="76"/>
      <c r="O896" s="49"/>
      <c r="P896" s="77"/>
      <c r="Q896" s="53"/>
      <c r="R896" s="54"/>
      <c r="S896" s="55"/>
      <c r="T896" s="56"/>
      <c r="U896" s="56"/>
      <c r="V896" s="42"/>
      <c r="W896" s="57"/>
      <c r="X896" s="58"/>
      <c r="Y896" s="75"/>
      <c r="Z896" s="59"/>
      <c r="AA896" s="61"/>
      <c r="AB896" s="61"/>
      <c r="AC896" s="61"/>
      <c r="AD896" s="62"/>
      <c r="AE896" s="62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</row>
    <row r="897" spans="1:77" x14ac:dyDescent="0.3">
      <c r="A897" s="39"/>
      <c r="B897" s="42"/>
      <c r="C897" s="42"/>
      <c r="D897" s="75"/>
      <c r="E897" s="75"/>
      <c r="F897" s="76"/>
      <c r="G897" s="47"/>
      <c r="H897" s="47"/>
      <c r="I897" s="75"/>
      <c r="J897" s="76"/>
      <c r="K897" s="76"/>
      <c r="L897" s="75"/>
      <c r="M897" s="49"/>
      <c r="N897" s="76"/>
      <c r="O897" s="49"/>
      <c r="P897" s="77"/>
      <c r="Q897" s="53"/>
      <c r="R897" s="54"/>
      <c r="S897" s="55"/>
      <c r="T897" s="56"/>
      <c r="U897" s="56"/>
      <c r="V897" s="42"/>
      <c r="W897" s="57"/>
      <c r="X897" s="58"/>
      <c r="Y897" s="75"/>
      <c r="Z897" s="59"/>
      <c r="AA897" s="61"/>
      <c r="AB897" s="61"/>
      <c r="AC897" s="61"/>
      <c r="AD897" s="62"/>
      <c r="AE897" s="62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</row>
    <row r="898" spans="1:77" x14ac:dyDescent="0.3">
      <c r="A898" s="39"/>
      <c r="B898" s="42"/>
      <c r="C898" s="42"/>
      <c r="D898" s="75"/>
      <c r="E898" s="75"/>
      <c r="F898" s="76"/>
      <c r="G898" s="47"/>
      <c r="H898" s="47"/>
      <c r="I898" s="75"/>
      <c r="J898" s="76"/>
      <c r="K898" s="76"/>
      <c r="L898" s="75"/>
      <c r="M898" s="49"/>
      <c r="N898" s="76"/>
      <c r="O898" s="49"/>
      <c r="P898" s="77"/>
      <c r="Q898" s="53"/>
      <c r="R898" s="54"/>
      <c r="S898" s="55"/>
      <c r="T898" s="56"/>
      <c r="U898" s="56"/>
      <c r="V898" s="42"/>
      <c r="W898" s="57"/>
      <c r="X898" s="58"/>
      <c r="Y898" s="75"/>
      <c r="Z898" s="59"/>
      <c r="AA898" s="61"/>
      <c r="AB898" s="61"/>
      <c r="AC898" s="61"/>
      <c r="AD898" s="62"/>
      <c r="AE898" s="62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</row>
    <row r="899" spans="1:77" x14ac:dyDescent="0.3">
      <c r="A899" s="39"/>
      <c r="B899" s="42"/>
      <c r="C899" s="42"/>
      <c r="D899" s="75"/>
      <c r="E899" s="75"/>
      <c r="F899" s="76"/>
      <c r="G899" s="47"/>
      <c r="H899" s="47"/>
      <c r="I899" s="75"/>
      <c r="J899" s="76"/>
      <c r="K899" s="76"/>
      <c r="L899" s="75"/>
      <c r="M899" s="49"/>
      <c r="N899" s="76"/>
      <c r="O899" s="49"/>
      <c r="P899" s="77"/>
      <c r="Q899" s="53"/>
      <c r="R899" s="54"/>
      <c r="S899" s="55"/>
      <c r="T899" s="56"/>
      <c r="U899" s="56"/>
      <c r="V899" s="42"/>
      <c r="W899" s="57"/>
      <c r="X899" s="58"/>
      <c r="Y899" s="75"/>
      <c r="Z899" s="59"/>
      <c r="AA899" s="61"/>
      <c r="AB899" s="61"/>
      <c r="AC899" s="61"/>
      <c r="AD899" s="62"/>
      <c r="AE899" s="62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</row>
    <row r="900" spans="1:77" x14ac:dyDescent="0.3">
      <c r="A900" s="39"/>
      <c r="B900" s="42"/>
      <c r="C900" s="42"/>
      <c r="D900" s="75"/>
      <c r="E900" s="75"/>
      <c r="F900" s="76"/>
      <c r="G900" s="47"/>
      <c r="H900" s="47"/>
      <c r="I900" s="75"/>
      <c r="J900" s="76"/>
      <c r="K900" s="76"/>
      <c r="L900" s="75"/>
      <c r="M900" s="49"/>
      <c r="N900" s="76"/>
      <c r="O900" s="49"/>
      <c r="P900" s="77"/>
      <c r="Q900" s="53"/>
      <c r="R900" s="54"/>
      <c r="S900" s="55"/>
      <c r="T900" s="56"/>
      <c r="U900" s="56"/>
      <c r="V900" s="42"/>
      <c r="W900" s="57"/>
      <c r="X900" s="58"/>
      <c r="Y900" s="75"/>
      <c r="Z900" s="59"/>
      <c r="AA900" s="61"/>
      <c r="AB900" s="61"/>
      <c r="AC900" s="61"/>
      <c r="AD900" s="62"/>
      <c r="AE900" s="62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</row>
    <row r="901" spans="1:77" x14ac:dyDescent="0.3">
      <c r="A901" s="39"/>
      <c r="B901" s="42"/>
      <c r="C901" s="42"/>
      <c r="D901" s="75"/>
      <c r="E901" s="75"/>
      <c r="F901" s="76"/>
      <c r="G901" s="47"/>
      <c r="H901" s="47"/>
      <c r="I901" s="75"/>
      <c r="J901" s="76"/>
      <c r="K901" s="76"/>
      <c r="L901" s="75"/>
      <c r="M901" s="49"/>
      <c r="N901" s="76"/>
      <c r="O901" s="49"/>
      <c r="P901" s="77"/>
      <c r="Q901" s="53"/>
      <c r="R901" s="54"/>
      <c r="S901" s="55"/>
      <c r="T901" s="56"/>
      <c r="U901" s="56"/>
      <c r="V901" s="42"/>
      <c r="W901" s="57"/>
      <c r="X901" s="58"/>
      <c r="Y901" s="75"/>
      <c r="Z901" s="59"/>
      <c r="AA901" s="61"/>
      <c r="AB901" s="61"/>
      <c r="AC901" s="61"/>
      <c r="AD901" s="62"/>
      <c r="AE901" s="62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</row>
    <row r="902" spans="1:77" x14ac:dyDescent="0.3">
      <c r="A902" s="39"/>
      <c r="B902" s="42"/>
      <c r="C902" s="42"/>
      <c r="D902" s="75"/>
      <c r="E902" s="75"/>
      <c r="F902" s="76"/>
      <c r="G902" s="47"/>
      <c r="H902" s="47"/>
      <c r="I902" s="75"/>
      <c r="J902" s="76"/>
      <c r="K902" s="76"/>
      <c r="L902" s="75"/>
      <c r="M902" s="49"/>
      <c r="N902" s="76"/>
      <c r="O902" s="49"/>
      <c r="P902" s="77"/>
      <c r="Q902" s="53"/>
      <c r="R902" s="54"/>
      <c r="S902" s="55"/>
      <c r="T902" s="56"/>
      <c r="U902" s="56"/>
      <c r="V902" s="42"/>
      <c r="W902" s="57"/>
      <c r="X902" s="58"/>
      <c r="Y902" s="75"/>
      <c r="Z902" s="59"/>
      <c r="AA902" s="61"/>
      <c r="AB902" s="61"/>
      <c r="AC902" s="61"/>
      <c r="AD902" s="62"/>
      <c r="AE902" s="62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</row>
    <row r="903" spans="1:77" x14ac:dyDescent="0.3">
      <c r="A903" s="39"/>
      <c r="B903" s="42"/>
      <c r="C903" s="42"/>
      <c r="D903" s="75"/>
      <c r="E903" s="75"/>
      <c r="F903" s="76"/>
      <c r="G903" s="47"/>
      <c r="H903" s="47"/>
      <c r="I903" s="75"/>
      <c r="J903" s="76"/>
      <c r="K903" s="76"/>
      <c r="L903" s="75"/>
      <c r="M903" s="49"/>
      <c r="N903" s="76"/>
      <c r="O903" s="49"/>
      <c r="P903" s="77"/>
      <c r="Q903" s="53"/>
      <c r="R903" s="54"/>
      <c r="S903" s="55"/>
      <c r="T903" s="56"/>
      <c r="U903" s="56"/>
      <c r="V903" s="42"/>
      <c r="W903" s="57"/>
      <c r="X903" s="58"/>
      <c r="Y903" s="75"/>
      <c r="Z903" s="59"/>
      <c r="AA903" s="61"/>
      <c r="AB903" s="61"/>
      <c r="AC903" s="61"/>
      <c r="AD903" s="62"/>
      <c r="AE903" s="62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</row>
    <row r="904" spans="1:77" x14ac:dyDescent="0.3">
      <c r="A904" s="39"/>
      <c r="B904" s="42"/>
      <c r="C904" s="42"/>
      <c r="D904" s="75"/>
      <c r="E904" s="75"/>
      <c r="F904" s="76"/>
      <c r="G904" s="47"/>
      <c r="H904" s="47"/>
      <c r="I904" s="75"/>
      <c r="J904" s="76"/>
      <c r="K904" s="76"/>
      <c r="L904" s="75"/>
      <c r="M904" s="49"/>
      <c r="N904" s="76"/>
      <c r="O904" s="49"/>
      <c r="P904" s="77"/>
      <c r="Q904" s="53"/>
      <c r="R904" s="54"/>
      <c r="S904" s="55"/>
      <c r="T904" s="56"/>
      <c r="U904" s="56"/>
      <c r="V904" s="42"/>
      <c r="W904" s="57"/>
      <c r="X904" s="58"/>
      <c r="Y904" s="75"/>
      <c r="Z904" s="59"/>
      <c r="AA904" s="61"/>
      <c r="AB904" s="61"/>
      <c r="AC904" s="61"/>
      <c r="AD904" s="62"/>
      <c r="AE904" s="62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</row>
    <row r="905" spans="1:77" x14ac:dyDescent="0.3">
      <c r="A905" s="39"/>
      <c r="B905" s="42"/>
      <c r="C905" s="42"/>
      <c r="D905" s="75"/>
      <c r="E905" s="75"/>
      <c r="F905" s="76"/>
      <c r="G905" s="47"/>
      <c r="H905" s="47"/>
      <c r="I905" s="75"/>
      <c r="J905" s="76"/>
      <c r="K905" s="76"/>
      <c r="L905" s="75"/>
      <c r="M905" s="49"/>
      <c r="N905" s="76"/>
      <c r="O905" s="49"/>
      <c r="P905" s="77"/>
      <c r="Q905" s="53"/>
      <c r="R905" s="54"/>
      <c r="S905" s="55"/>
      <c r="T905" s="56"/>
      <c r="U905" s="56"/>
      <c r="V905" s="42"/>
      <c r="W905" s="57"/>
      <c r="X905" s="58"/>
      <c r="Y905" s="75"/>
      <c r="Z905" s="59"/>
      <c r="AA905" s="61"/>
      <c r="AB905" s="61"/>
      <c r="AC905" s="61"/>
      <c r="AD905" s="62"/>
      <c r="AE905" s="62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</row>
    <row r="906" spans="1:77" x14ac:dyDescent="0.3">
      <c r="A906" s="39"/>
      <c r="B906" s="42"/>
      <c r="C906" s="42"/>
      <c r="D906" s="75"/>
      <c r="E906" s="75"/>
      <c r="F906" s="76"/>
      <c r="G906" s="47"/>
      <c r="H906" s="47"/>
      <c r="I906" s="75"/>
      <c r="J906" s="76"/>
      <c r="K906" s="76"/>
      <c r="L906" s="75"/>
      <c r="M906" s="49"/>
      <c r="N906" s="76"/>
      <c r="O906" s="49"/>
      <c r="P906" s="77"/>
      <c r="Q906" s="53"/>
      <c r="R906" s="54"/>
      <c r="S906" s="55"/>
      <c r="T906" s="56"/>
      <c r="U906" s="56"/>
      <c r="V906" s="42"/>
      <c r="W906" s="57"/>
      <c r="X906" s="58"/>
      <c r="Y906" s="75"/>
      <c r="Z906" s="59"/>
      <c r="AA906" s="61"/>
      <c r="AB906" s="61"/>
      <c r="AC906" s="61"/>
      <c r="AD906" s="62"/>
      <c r="AE906" s="62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</row>
    <row r="907" spans="1:77" x14ac:dyDescent="0.3">
      <c r="A907" s="39"/>
      <c r="B907" s="42"/>
      <c r="C907" s="42"/>
      <c r="D907" s="75"/>
      <c r="E907" s="75"/>
      <c r="F907" s="76"/>
      <c r="G907" s="47"/>
      <c r="H907" s="47"/>
      <c r="I907" s="75"/>
      <c r="J907" s="76"/>
      <c r="K907" s="76"/>
      <c r="L907" s="75"/>
      <c r="M907" s="49"/>
      <c r="N907" s="76"/>
      <c r="O907" s="49"/>
      <c r="P907" s="77"/>
      <c r="Q907" s="53"/>
      <c r="R907" s="54"/>
      <c r="S907" s="55"/>
      <c r="T907" s="56"/>
      <c r="U907" s="56"/>
      <c r="V907" s="42"/>
      <c r="W907" s="57"/>
      <c r="X907" s="58"/>
      <c r="Y907" s="75"/>
      <c r="Z907" s="59"/>
      <c r="AA907" s="61"/>
      <c r="AB907" s="61"/>
      <c r="AC907" s="61"/>
      <c r="AD907" s="62"/>
      <c r="AE907" s="62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</row>
    <row r="908" spans="1:77" x14ac:dyDescent="0.3">
      <c r="A908" s="39"/>
      <c r="B908" s="42"/>
      <c r="C908" s="42"/>
      <c r="D908" s="75"/>
      <c r="E908" s="75"/>
      <c r="F908" s="76"/>
      <c r="G908" s="47"/>
      <c r="H908" s="47"/>
      <c r="I908" s="75"/>
      <c r="J908" s="76"/>
      <c r="K908" s="76"/>
      <c r="L908" s="75"/>
      <c r="M908" s="49"/>
      <c r="N908" s="76"/>
      <c r="O908" s="49"/>
      <c r="P908" s="77"/>
      <c r="Q908" s="53"/>
      <c r="R908" s="54"/>
      <c r="S908" s="55"/>
      <c r="T908" s="56"/>
      <c r="U908" s="56"/>
      <c r="V908" s="42"/>
      <c r="W908" s="57"/>
      <c r="X908" s="58"/>
      <c r="Y908" s="75"/>
      <c r="Z908" s="59"/>
      <c r="AA908" s="61"/>
      <c r="AB908" s="61"/>
      <c r="AC908" s="61"/>
      <c r="AD908" s="62"/>
      <c r="AE908" s="62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</row>
    <row r="909" spans="1:77" x14ac:dyDescent="0.3">
      <c r="A909" s="39"/>
      <c r="B909" s="42"/>
      <c r="C909" s="42"/>
      <c r="D909" s="75"/>
      <c r="E909" s="75"/>
      <c r="F909" s="76"/>
      <c r="G909" s="47"/>
      <c r="H909" s="47"/>
      <c r="I909" s="75"/>
      <c r="J909" s="76"/>
      <c r="K909" s="76"/>
      <c r="L909" s="75"/>
      <c r="M909" s="49"/>
      <c r="N909" s="76"/>
      <c r="O909" s="49"/>
      <c r="P909" s="77"/>
      <c r="Q909" s="53"/>
      <c r="R909" s="54"/>
      <c r="S909" s="55"/>
      <c r="T909" s="56"/>
      <c r="U909" s="56"/>
      <c r="V909" s="42"/>
      <c r="W909" s="57"/>
      <c r="X909" s="58"/>
      <c r="Y909" s="75"/>
      <c r="Z909" s="59"/>
      <c r="AA909" s="61"/>
      <c r="AB909" s="61"/>
      <c r="AC909" s="61"/>
      <c r="AD909" s="62"/>
      <c r="AE909" s="62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</row>
    <row r="910" spans="1:77" x14ac:dyDescent="0.3">
      <c r="A910" s="39"/>
      <c r="B910" s="42"/>
      <c r="C910" s="42"/>
      <c r="D910" s="75"/>
      <c r="E910" s="75"/>
      <c r="F910" s="76"/>
      <c r="G910" s="47"/>
      <c r="H910" s="47"/>
      <c r="I910" s="75"/>
      <c r="J910" s="76"/>
      <c r="K910" s="76"/>
      <c r="L910" s="75"/>
      <c r="M910" s="49"/>
      <c r="N910" s="76"/>
      <c r="O910" s="49"/>
      <c r="P910" s="77"/>
      <c r="Q910" s="53"/>
      <c r="R910" s="54"/>
      <c r="S910" s="55"/>
      <c r="T910" s="56"/>
      <c r="U910" s="56"/>
      <c r="V910" s="42"/>
      <c r="W910" s="57"/>
      <c r="X910" s="58"/>
      <c r="Y910" s="75"/>
      <c r="Z910" s="59"/>
      <c r="AA910" s="61"/>
      <c r="AB910" s="61"/>
      <c r="AC910" s="61"/>
      <c r="AD910" s="62"/>
      <c r="AE910" s="62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</row>
    <row r="911" spans="1:77" x14ac:dyDescent="0.3">
      <c r="A911" s="39"/>
      <c r="B911" s="42"/>
      <c r="C911" s="42"/>
      <c r="D911" s="75"/>
      <c r="E911" s="75"/>
      <c r="F911" s="76"/>
      <c r="G911" s="47"/>
      <c r="H911" s="47"/>
      <c r="I911" s="75"/>
      <c r="J911" s="76"/>
      <c r="K911" s="76"/>
      <c r="L911" s="75"/>
      <c r="M911" s="49"/>
      <c r="N911" s="76"/>
      <c r="O911" s="49"/>
      <c r="P911" s="77"/>
      <c r="Q911" s="53"/>
      <c r="R911" s="54"/>
      <c r="S911" s="55"/>
      <c r="T911" s="56"/>
      <c r="U911" s="56"/>
      <c r="V911" s="42"/>
      <c r="W911" s="57"/>
      <c r="X911" s="58"/>
      <c r="Y911" s="75"/>
      <c r="Z911" s="59"/>
      <c r="AA911" s="61"/>
      <c r="AB911" s="61"/>
      <c r="AC911" s="61"/>
      <c r="AD911" s="62"/>
      <c r="AE911" s="62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</row>
    <row r="912" spans="1:77" x14ac:dyDescent="0.3">
      <c r="A912" s="39"/>
      <c r="B912" s="42"/>
      <c r="C912" s="42"/>
      <c r="D912" s="75"/>
      <c r="E912" s="75"/>
      <c r="F912" s="76"/>
      <c r="G912" s="47"/>
      <c r="H912" s="47"/>
      <c r="I912" s="75"/>
      <c r="J912" s="76"/>
      <c r="K912" s="76"/>
      <c r="L912" s="75"/>
      <c r="M912" s="49"/>
      <c r="N912" s="76"/>
      <c r="O912" s="49"/>
      <c r="P912" s="77"/>
      <c r="Q912" s="53"/>
      <c r="R912" s="54"/>
      <c r="S912" s="55"/>
      <c r="T912" s="56"/>
      <c r="U912" s="56"/>
      <c r="V912" s="42"/>
      <c r="W912" s="57"/>
      <c r="X912" s="58"/>
      <c r="Y912" s="75"/>
      <c r="Z912" s="59"/>
      <c r="AA912" s="61"/>
      <c r="AB912" s="61"/>
      <c r="AC912" s="61"/>
      <c r="AD912" s="62"/>
      <c r="AE912" s="62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</row>
    <row r="913" spans="1:77" x14ac:dyDescent="0.3">
      <c r="A913" s="39"/>
      <c r="B913" s="42"/>
      <c r="C913" s="42"/>
      <c r="D913" s="75"/>
      <c r="E913" s="75"/>
      <c r="F913" s="76"/>
      <c r="G913" s="47"/>
      <c r="H913" s="47"/>
      <c r="I913" s="75"/>
      <c r="J913" s="76"/>
      <c r="K913" s="76"/>
      <c r="L913" s="75"/>
      <c r="M913" s="49"/>
      <c r="N913" s="76"/>
      <c r="O913" s="49"/>
      <c r="P913" s="77"/>
      <c r="Q913" s="53"/>
      <c r="R913" s="54"/>
      <c r="S913" s="55"/>
      <c r="T913" s="56"/>
      <c r="U913" s="56"/>
      <c r="V913" s="42"/>
      <c r="W913" s="57"/>
      <c r="X913" s="58"/>
      <c r="Y913" s="75"/>
      <c r="Z913" s="59"/>
      <c r="AA913" s="61"/>
      <c r="AB913" s="61"/>
      <c r="AC913" s="61"/>
      <c r="AD913" s="62"/>
      <c r="AE913" s="62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</row>
    <row r="914" spans="1:77" x14ac:dyDescent="0.3">
      <c r="A914" s="39"/>
      <c r="B914" s="42"/>
      <c r="C914" s="42"/>
      <c r="D914" s="75"/>
      <c r="E914" s="75"/>
      <c r="F914" s="76"/>
      <c r="G914" s="47"/>
      <c r="H914" s="47"/>
      <c r="I914" s="75"/>
      <c r="J914" s="76"/>
      <c r="K914" s="76"/>
      <c r="L914" s="75"/>
      <c r="M914" s="49"/>
      <c r="N914" s="76"/>
      <c r="O914" s="49"/>
      <c r="P914" s="77"/>
      <c r="Q914" s="53"/>
      <c r="R914" s="54"/>
      <c r="S914" s="55"/>
      <c r="T914" s="56"/>
      <c r="U914" s="56"/>
      <c r="V914" s="42"/>
      <c r="W914" s="57"/>
      <c r="X914" s="58"/>
      <c r="Y914" s="75"/>
      <c r="Z914" s="59"/>
      <c r="AA914" s="61"/>
      <c r="AB914" s="61"/>
      <c r="AC914" s="61"/>
      <c r="AD914" s="62"/>
      <c r="AE914" s="62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</row>
    <row r="915" spans="1:77" x14ac:dyDescent="0.3">
      <c r="A915" s="39"/>
      <c r="B915" s="42"/>
      <c r="C915" s="42"/>
      <c r="D915" s="75"/>
      <c r="E915" s="75"/>
      <c r="F915" s="76"/>
      <c r="G915" s="47"/>
      <c r="H915" s="47"/>
      <c r="I915" s="75"/>
      <c r="J915" s="76"/>
      <c r="K915" s="76"/>
      <c r="L915" s="75"/>
      <c r="M915" s="49"/>
      <c r="N915" s="76"/>
      <c r="O915" s="49"/>
      <c r="P915" s="77"/>
      <c r="Q915" s="53"/>
      <c r="R915" s="54"/>
      <c r="S915" s="55"/>
      <c r="T915" s="56"/>
      <c r="U915" s="56"/>
      <c r="V915" s="42"/>
      <c r="W915" s="57"/>
      <c r="X915" s="58"/>
      <c r="Y915" s="75"/>
      <c r="Z915" s="59"/>
      <c r="AA915" s="61"/>
      <c r="AB915" s="61"/>
      <c r="AC915" s="61"/>
      <c r="AD915" s="62"/>
      <c r="AE915" s="62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</row>
    <row r="916" spans="1:77" x14ac:dyDescent="0.3">
      <c r="A916" s="39"/>
      <c r="B916" s="42"/>
      <c r="C916" s="42"/>
      <c r="D916" s="75"/>
      <c r="E916" s="75"/>
      <c r="F916" s="76"/>
      <c r="G916" s="47"/>
      <c r="H916" s="47"/>
      <c r="I916" s="75"/>
      <c r="J916" s="76"/>
      <c r="K916" s="76"/>
      <c r="L916" s="75"/>
      <c r="M916" s="49"/>
      <c r="N916" s="76"/>
      <c r="O916" s="49"/>
      <c r="P916" s="77"/>
      <c r="Q916" s="53"/>
      <c r="R916" s="54"/>
      <c r="S916" s="55"/>
      <c r="T916" s="56"/>
      <c r="U916" s="56"/>
      <c r="V916" s="42"/>
      <c r="W916" s="57"/>
      <c r="X916" s="58"/>
      <c r="Y916" s="75"/>
      <c r="Z916" s="59"/>
      <c r="AA916" s="61"/>
      <c r="AB916" s="61"/>
      <c r="AC916" s="61"/>
      <c r="AD916" s="62"/>
      <c r="AE916" s="62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</row>
    <row r="917" spans="1:77" x14ac:dyDescent="0.3">
      <c r="A917" s="39"/>
      <c r="B917" s="42"/>
      <c r="C917" s="42"/>
      <c r="D917" s="75"/>
      <c r="E917" s="75"/>
      <c r="F917" s="76"/>
      <c r="G917" s="47"/>
      <c r="H917" s="47"/>
      <c r="I917" s="75"/>
      <c r="J917" s="76"/>
      <c r="K917" s="76"/>
      <c r="L917" s="75"/>
      <c r="M917" s="49"/>
      <c r="N917" s="76"/>
      <c r="O917" s="49"/>
      <c r="P917" s="77"/>
      <c r="Q917" s="53"/>
      <c r="R917" s="54"/>
      <c r="S917" s="55"/>
      <c r="T917" s="56"/>
      <c r="U917" s="56"/>
      <c r="V917" s="42"/>
      <c r="W917" s="57"/>
      <c r="X917" s="58"/>
      <c r="Y917" s="75"/>
      <c r="Z917" s="59"/>
      <c r="AA917" s="61"/>
      <c r="AB917" s="61"/>
      <c r="AC917" s="61"/>
      <c r="AD917" s="62"/>
      <c r="AE917" s="62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</row>
    <row r="918" spans="1:77" x14ac:dyDescent="0.3">
      <c r="A918" s="39"/>
      <c r="B918" s="42"/>
      <c r="C918" s="42"/>
      <c r="D918" s="75"/>
      <c r="E918" s="75"/>
      <c r="F918" s="76"/>
      <c r="G918" s="47"/>
      <c r="H918" s="47"/>
      <c r="I918" s="75"/>
      <c r="J918" s="76"/>
      <c r="K918" s="76"/>
      <c r="L918" s="75"/>
      <c r="M918" s="49"/>
      <c r="N918" s="76"/>
      <c r="O918" s="49"/>
      <c r="P918" s="77"/>
      <c r="Q918" s="53"/>
      <c r="R918" s="54"/>
      <c r="S918" s="55"/>
      <c r="T918" s="56"/>
      <c r="U918" s="56"/>
      <c r="V918" s="42"/>
      <c r="W918" s="57"/>
      <c r="X918" s="58"/>
      <c r="Y918" s="75"/>
      <c r="Z918" s="59"/>
      <c r="AA918" s="61"/>
      <c r="AB918" s="61"/>
      <c r="AC918" s="61"/>
      <c r="AD918" s="62"/>
      <c r="AE918" s="62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</row>
    <row r="919" spans="1:77" x14ac:dyDescent="0.3">
      <c r="A919" s="39"/>
      <c r="B919" s="42"/>
      <c r="C919" s="42"/>
      <c r="D919" s="75"/>
      <c r="E919" s="75"/>
      <c r="F919" s="76"/>
      <c r="G919" s="47"/>
      <c r="H919" s="47"/>
      <c r="I919" s="75"/>
      <c r="J919" s="76"/>
      <c r="K919" s="76"/>
      <c r="L919" s="75"/>
      <c r="M919" s="49"/>
      <c r="N919" s="76"/>
      <c r="O919" s="49"/>
      <c r="P919" s="77"/>
      <c r="Q919" s="53"/>
      <c r="R919" s="54"/>
      <c r="S919" s="55"/>
      <c r="T919" s="56"/>
      <c r="U919" s="56"/>
      <c r="V919" s="42"/>
      <c r="W919" s="57"/>
      <c r="X919" s="58"/>
      <c r="Y919" s="75"/>
      <c r="Z919" s="59"/>
      <c r="AA919" s="61"/>
      <c r="AB919" s="61"/>
      <c r="AC919" s="61"/>
      <c r="AD919" s="62"/>
      <c r="AE919" s="62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</row>
    <row r="920" spans="1:77" x14ac:dyDescent="0.3">
      <c r="A920" s="39"/>
      <c r="B920" s="42"/>
      <c r="C920" s="42"/>
      <c r="D920" s="75"/>
      <c r="E920" s="75"/>
      <c r="F920" s="76"/>
      <c r="G920" s="47"/>
      <c r="H920" s="47"/>
      <c r="I920" s="75"/>
      <c r="J920" s="76"/>
      <c r="K920" s="76"/>
      <c r="L920" s="75"/>
      <c r="M920" s="49"/>
      <c r="N920" s="76"/>
      <c r="O920" s="49"/>
      <c r="P920" s="77"/>
      <c r="Q920" s="53"/>
      <c r="R920" s="54"/>
      <c r="S920" s="55"/>
      <c r="T920" s="56"/>
      <c r="U920" s="56"/>
      <c r="V920" s="42"/>
      <c r="W920" s="57"/>
      <c r="X920" s="58"/>
      <c r="Y920" s="75"/>
      <c r="Z920" s="59"/>
      <c r="AA920" s="61"/>
      <c r="AB920" s="61"/>
      <c r="AC920" s="61"/>
      <c r="AD920" s="62"/>
      <c r="AE920" s="62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</row>
    <row r="921" spans="1:77" x14ac:dyDescent="0.3">
      <c r="A921" s="39"/>
      <c r="B921" s="42"/>
      <c r="C921" s="42"/>
      <c r="D921" s="75"/>
      <c r="E921" s="75"/>
      <c r="F921" s="76"/>
      <c r="G921" s="47"/>
      <c r="H921" s="47"/>
      <c r="I921" s="75"/>
      <c r="J921" s="76"/>
      <c r="K921" s="76"/>
      <c r="L921" s="75"/>
      <c r="M921" s="49"/>
      <c r="N921" s="76"/>
      <c r="O921" s="49"/>
      <c r="P921" s="77"/>
      <c r="Q921" s="53"/>
      <c r="R921" s="54"/>
      <c r="S921" s="55"/>
      <c r="T921" s="56"/>
      <c r="U921" s="56"/>
      <c r="V921" s="42"/>
      <c r="W921" s="57"/>
      <c r="X921" s="58"/>
      <c r="Y921" s="75"/>
      <c r="Z921" s="59"/>
      <c r="AA921" s="61"/>
      <c r="AB921" s="61"/>
      <c r="AC921" s="61"/>
      <c r="AD921" s="62"/>
      <c r="AE921" s="62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</row>
    <row r="922" spans="1:77" x14ac:dyDescent="0.3">
      <c r="A922" s="39"/>
      <c r="B922" s="42"/>
      <c r="C922" s="42"/>
      <c r="D922" s="75"/>
      <c r="E922" s="75"/>
      <c r="F922" s="76"/>
      <c r="G922" s="47"/>
      <c r="H922" s="47"/>
      <c r="I922" s="75"/>
      <c r="J922" s="76"/>
      <c r="K922" s="76"/>
      <c r="L922" s="75"/>
      <c r="M922" s="49"/>
      <c r="N922" s="76"/>
      <c r="O922" s="49"/>
      <c r="P922" s="77"/>
      <c r="Q922" s="53"/>
      <c r="R922" s="54"/>
      <c r="S922" s="55"/>
      <c r="T922" s="56"/>
      <c r="U922" s="56"/>
      <c r="V922" s="42"/>
      <c r="W922" s="57"/>
      <c r="X922" s="58"/>
      <c r="Y922" s="75"/>
      <c r="Z922" s="59"/>
      <c r="AA922" s="61"/>
      <c r="AB922" s="61"/>
      <c r="AC922" s="61"/>
      <c r="AD922" s="62"/>
      <c r="AE922" s="62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</row>
    <row r="923" spans="1:77" x14ac:dyDescent="0.3">
      <c r="A923" s="39"/>
      <c r="B923" s="42"/>
      <c r="C923" s="42"/>
      <c r="D923" s="75"/>
      <c r="E923" s="75"/>
      <c r="F923" s="76"/>
      <c r="G923" s="47"/>
      <c r="H923" s="47"/>
      <c r="I923" s="75"/>
      <c r="J923" s="76"/>
      <c r="K923" s="76"/>
      <c r="L923" s="75"/>
      <c r="M923" s="49"/>
      <c r="N923" s="76"/>
      <c r="O923" s="49"/>
      <c r="P923" s="77"/>
      <c r="Q923" s="53"/>
      <c r="R923" s="54"/>
      <c r="S923" s="55"/>
      <c r="T923" s="56"/>
      <c r="U923" s="56"/>
      <c r="V923" s="42"/>
      <c r="W923" s="57"/>
      <c r="X923" s="58"/>
      <c r="Y923" s="75"/>
      <c r="Z923" s="59"/>
      <c r="AA923" s="61"/>
      <c r="AB923" s="61"/>
      <c r="AC923" s="61"/>
      <c r="AD923" s="62"/>
      <c r="AE923" s="62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</row>
    <row r="924" spans="1:77" x14ac:dyDescent="0.3">
      <c r="A924" s="39"/>
      <c r="B924" s="42"/>
      <c r="C924" s="42"/>
      <c r="D924" s="75"/>
      <c r="E924" s="75"/>
      <c r="F924" s="76"/>
      <c r="G924" s="47"/>
      <c r="H924" s="47"/>
      <c r="I924" s="75"/>
      <c r="J924" s="76"/>
      <c r="K924" s="76"/>
      <c r="L924" s="75"/>
      <c r="M924" s="49"/>
      <c r="N924" s="76"/>
      <c r="O924" s="49"/>
      <c r="P924" s="77"/>
      <c r="Q924" s="53"/>
      <c r="R924" s="54"/>
      <c r="S924" s="55"/>
      <c r="T924" s="56"/>
      <c r="U924" s="56"/>
      <c r="V924" s="42"/>
      <c r="W924" s="57"/>
      <c r="X924" s="58"/>
      <c r="Y924" s="75"/>
      <c r="Z924" s="59"/>
      <c r="AA924" s="61"/>
      <c r="AB924" s="61"/>
      <c r="AC924" s="61"/>
      <c r="AD924" s="62"/>
      <c r="AE924" s="62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</row>
    <row r="925" spans="1:77" x14ac:dyDescent="0.3">
      <c r="A925" s="39"/>
      <c r="B925" s="42"/>
      <c r="C925" s="42"/>
      <c r="D925" s="75"/>
      <c r="E925" s="75"/>
      <c r="F925" s="76"/>
      <c r="G925" s="47"/>
      <c r="H925" s="47"/>
      <c r="I925" s="75"/>
      <c r="J925" s="76"/>
      <c r="K925" s="76"/>
      <c r="L925" s="75"/>
      <c r="M925" s="49"/>
      <c r="N925" s="76"/>
      <c r="O925" s="49"/>
      <c r="P925" s="77"/>
      <c r="Q925" s="53"/>
      <c r="R925" s="54"/>
      <c r="S925" s="55"/>
      <c r="T925" s="56"/>
      <c r="U925" s="56"/>
      <c r="V925" s="42"/>
      <c r="W925" s="57"/>
      <c r="X925" s="58"/>
      <c r="Y925" s="75"/>
      <c r="Z925" s="59"/>
      <c r="AA925" s="61"/>
      <c r="AB925" s="61"/>
      <c r="AC925" s="61"/>
      <c r="AD925" s="62"/>
      <c r="AE925" s="62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</row>
    <row r="926" spans="1:77" x14ac:dyDescent="0.3">
      <c r="A926" s="39"/>
      <c r="B926" s="42"/>
      <c r="C926" s="42"/>
      <c r="D926" s="75"/>
      <c r="E926" s="75"/>
      <c r="F926" s="76"/>
      <c r="G926" s="47"/>
      <c r="H926" s="47"/>
      <c r="I926" s="75"/>
      <c r="J926" s="76"/>
      <c r="K926" s="76"/>
      <c r="L926" s="75"/>
      <c r="M926" s="49"/>
      <c r="N926" s="76"/>
      <c r="O926" s="49"/>
      <c r="P926" s="77"/>
      <c r="Q926" s="53"/>
      <c r="R926" s="54"/>
      <c r="S926" s="55"/>
      <c r="T926" s="56"/>
      <c r="U926" s="56"/>
      <c r="V926" s="42"/>
      <c r="W926" s="57"/>
      <c r="X926" s="58"/>
      <c r="Y926" s="75"/>
      <c r="Z926" s="59"/>
      <c r="AA926" s="61"/>
      <c r="AB926" s="61"/>
      <c r="AC926" s="61"/>
      <c r="AD926" s="62"/>
      <c r="AE926" s="62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</row>
    <row r="927" spans="1:77" x14ac:dyDescent="0.3">
      <c r="A927" s="39"/>
      <c r="B927" s="42"/>
      <c r="C927" s="42"/>
      <c r="D927" s="75"/>
      <c r="E927" s="75"/>
      <c r="F927" s="76"/>
      <c r="G927" s="47"/>
      <c r="H927" s="47"/>
      <c r="I927" s="75"/>
      <c r="J927" s="76"/>
      <c r="K927" s="76"/>
      <c r="L927" s="75"/>
      <c r="M927" s="49"/>
      <c r="N927" s="76"/>
      <c r="O927" s="49"/>
      <c r="P927" s="77"/>
      <c r="Q927" s="53"/>
      <c r="R927" s="54"/>
      <c r="S927" s="55"/>
      <c r="T927" s="56"/>
      <c r="U927" s="56"/>
      <c r="V927" s="42"/>
      <c r="W927" s="57"/>
      <c r="X927" s="58"/>
      <c r="Y927" s="75"/>
      <c r="Z927" s="59"/>
      <c r="AA927" s="61"/>
      <c r="AB927" s="61"/>
      <c r="AC927" s="61"/>
      <c r="AD927" s="62"/>
      <c r="AE927" s="62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</row>
    <row r="928" spans="1:77" x14ac:dyDescent="0.3">
      <c r="A928" s="39"/>
      <c r="B928" s="42"/>
      <c r="C928" s="42"/>
      <c r="D928" s="75"/>
      <c r="E928" s="75"/>
      <c r="F928" s="76"/>
      <c r="G928" s="47"/>
      <c r="H928" s="47"/>
      <c r="I928" s="75"/>
      <c r="J928" s="76"/>
      <c r="K928" s="76"/>
      <c r="L928" s="75"/>
      <c r="M928" s="49"/>
      <c r="N928" s="76"/>
      <c r="O928" s="49"/>
      <c r="P928" s="77"/>
      <c r="Q928" s="53"/>
      <c r="R928" s="54"/>
      <c r="S928" s="55"/>
      <c r="T928" s="56"/>
      <c r="U928" s="56"/>
      <c r="V928" s="42"/>
      <c r="W928" s="57"/>
      <c r="X928" s="58"/>
      <c r="Y928" s="75"/>
      <c r="Z928" s="59"/>
      <c r="AA928" s="61"/>
      <c r="AB928" s="61"/>
      <c r="AC928" s="61"/>
      <c r="AD928" s="62"/>
      <c r="AE928" s="62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</row>
    <row r="929" spans="1:77" x14ac:dyDescent="0.3">
      <c r="A929" s="39"/>
      <c r="B929" s="42"/>
      <c r="C929" s="42"/>
      <c r="D929" s="75"/>
      <c r="E929" s="75"/>
      <c r="F929" s="76"/>
      <c r="G929" s="47"/>
      <c r="H929" s="47"/>
      <c r="I929" s="75"/>
      <c r="J929" s="76"/>
      <c r="K929" s="76"/>
      <c r="L929" s="75"/>
      <c r="M929" s="49"/>
      <c r="N929" s="76"/>
      <c r="O929" s="49"/>
      <c r="P929" s="77"/>
      <c r="Q929" s="53"/>
      <c r="R929" s="54"/>
      <c r="S929" s="55"/>
      <c r="T929" s="56"/>
      <c r="U929" s="56"/>
      <c r="V929" s="42"/>
      <c r="W929" s="57"/>
      <c r="X929" s="58"/>
      <c r="Y929" s="75"/>
      <c r="Z929" s="59"/>
      <c r="AA929" s="61"/>
      <c r="AB929" s="61"/>
      <c r="AC929" s="61"/>
      <c r="AD929" s="62"/>
      <c r="AE929" s="62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</row>
    <row r="930" spans="1:77" x14ac:dyDescent="0.3">
      <c r="A930" s="39"/>
      <c r="B930" s="42"/>
      <c r="C930" s="42"/>
      <c r="D930" s="75"/>
      <c r="E930" s="75"/>
      <c r="F930" s="76"/>
      <c r="G930" s="47"/>
      <c r="H930" s="47"/>
      <c r="I930" s="75"/>
      <c r="J930" s="76"/>
      <c r="K930" s="76"/>
      <c r="L930" s="75"/>
      <c r="M930" s="49"/>
      <c r="N930" s="76"/>
      <c r="O930" s="49"/>
      <c r="P930" s="77"/>
      <c r="Q930" s="53"/>
      <c r="R930" s="54"/>
      <c r="S930" s="55"/>
      <c r="T930" s="56"/>
      <c r="U930" s="56"/>
      <c r="V930" s="42"/>
      <c r="W930" s="57"/>
      <c r="X930" s="58"/>
      <c r="Y930" s="75"/>
      <c r="Z930" s="59"/>
      <c r="AA930" s="61"/>
      <c r="AB930" s="61"/>
      <c r="AC930" s="61"/>
      <c r="AD930" s="62"/>
      <c r="AE930" s="62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</row>
    <row r="931" spans="1:77" x14ac:dyDescent="0.3">
      <c r="A931" s="39"/>
      <c r="B931" s="42"/>
      <c r="C931" s="42"/>
      <c r="D931" s="75"/>
      <c r="E931" s="75"/>
      <c r="F931" s="76"/>
      <c r="G931" s="47"/>
      <c r="H931" s="47"/>
      <c r="I931" s="75"/>
      <c r="J931" s="76"/>
      <c r="K931" s="76"/>
      <c r="L931" s="75"/>
      <c r="M931" s="49"/>
      <c r="N931" s="76"/>
      <c r="O931" s="49"/>
      <c r="P931" s="77"/>
      <c r="Q931" s="53"/>
      <c r="R931" s="54"/>
      <c r="S931" s="55"/>
      <c r="T931" s="56"/>
      <c r="U931" s="56"/>
      <c r="V931" s="42"/>
      <c r="W931" s="57"/>
      <c r="X931" s="58"/>
      <c r="Y931" s="75"/>
      <c r="Z931" s="59"/>
      <c r="AA931" s="61"/>
      <c r="AB931" s="61"/>
      <c r="AC931" s="61"/>
      <c r="AD931" s="62"/>
      <c r="AE931" s="62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</row>
    <row r="932" spans="1:77" x14ac:dyDescent="0.3">
      <c r="A932" s="39"/>
      <c r="B932" s="42"/>
      <c r="C932" s="42"/>
      <c r="D932" s="75"/>
      <c r="E932" s="75"/>
      <c r="F932" s="76"/>
      <c r="G932" s="47"/>
      <c r="H932" s="47"/>
      <c r="I932" s="75"/>
      <c r="J932" s="76"/>
      <c r="K932" s="76"/>
      <c r="L932" s="75"/>
      <c r="M932" s="49"/>
      <c r="N932" s="76"/>
      <c r="O932" s="49"/>
      <c r="P932" s="77"/>
      <c r="Q932" s="53"/>
      <c r="R932" s="54"/>
      <c r="S932" s="55"/>
      <c r="T932" s="56"/>
      <c r="U932" s="56"/>
      <c r="V932" s="42"/>
      <c r="W932" s="57"/>
      <c r="X932" s="58"/>
      <c r="Y932" s="75"/>
      <c r="Z932" s="59"/>
      <c r="AA932" s="61"/>
      <c r="AB932" s="61"/>
      <c r="AC932" s="61"/>
      <c r="AD932" s="62"/>
      <c r="AE932" s="62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</row>
    <row r="933" spans="1:77" x14ac:dyDescent="0.3">
      <c r="A933" s="39"/>
      <c r="B933" s="42"/>
      <c r="C933" s="42"/>
      <c r="D933" s="75"/>
      <c r="E933" s="75"/>
      <c r="F933" s="76"/>
      <c r="G933" s="47"/>
      <c r="H933" s="47"/>
      <c r="I933" s="75"/>
      <c r="J933" s="76"/>
      <c r="K933" s="76"/>
      <c r="L933" s="75"/>
      <c r="M933" s="49"/>
      <c r="N933" s="76"/>
      <c r="O933" s="49"/>
      <c r="P933" s="77"/>
      <c r="Q933" s="53"/>
      <c r="R933" s="54"/>
      <c r="S933" s="55"/>
      <c r="T933" s="56"/>
      <c r="U933" s="56"/>
      <c r="V933" s="42"/>
      <c r="W933" s="57"/>
      <c r="X933" s="58"/>
      <c r="Y933" s="75"/>
      <c r="Z933" s="59"/>
      <c r="AA933" s="61"/>
      <c r="AB933" s="61"/>
      <c r="AC933" s="61"/>
      <c r="AD933" s="62"/>
      <c r="AE933" s="62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</row>
    <row r="934" spans="1:77" x14ac:dyDescent="0.3">
      <c r="A934" s="39"/>
      <c r="B934" s="42"/>
      <c r="C934" s="42"/>
      <c r="D934" s="75"/>
      <c r="E934" s="75"/>
      <c r="F934" s="76"/>
      <c r="G934" s="47"/>
      <c r="H934" s="47"/>
      <c r="I934" s="75"/>
      <c r="J934" s="76"/>
      <c r="K934" s="76"/>
      <c r="L934" s="75"/>
      <c r="M934" s="49"/>
      <c r="N934" s="76"/>
      <c r="O934" s="49"/>
      <c r="P934" s="77"/>
      <c r="Q934" s="53"/>
      <c r="R934" s="54"/>
      <c r="S934" s="55"/>
      <c r="T934" s="56"/>
      <c r="U934" s="56"/>
      <c r="V934" s="42"/>
      <c r="W934" s="57"/>
      <c r="X934" s="58"/>
      <c r="Y934" s="75"/>
      <c r="Z934" s="59"/>
      <c r="AA934" s="61"/>
      <c r="AB934" s="61"/>
      <c r="AC934" s="61"/>
      <c r="AD934" s="62"/>
      <c r="AE934" s="62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</row>
    <row r="935" spans="1:77" x14ac:dyDescent="0.3">
      <c r="A935" s="39"/>
      <c r="B935" s="42"/>
      <c r="C935" s="42"/>
      <c r="D935" s="75"/>
      <c r="E935" s="75"/>
      <c r="F935" s="76"/>
      <c r="G935" s="47"/>
      <c r="H935" s="47"/>
      <c r="I935" s="75"/>
      <c r="J935" s="76"/>
      <c r="K935" s="76"/>
      <c r="L935" s="75"/>
      <c r="M935" s="49"/>
      <c r="N935" s="76"/>
      <c r="O935" s="49"/>
      <c r="P935" s="77"/>
      <c r="Q935" s="53"/>
      <c r="R935" s="54"/>
      <c r="S935" s="55"/>
      <c r="T935" s="56"/>
      <c r="U935" s="56"/>
      <c r="V935" s="42"/>
      <c r="W935" s="57"/>
      <c r="X935" s="58"/>
      <c r="Y935" s="75"/>
      <c r="Z935" s="59"/>
      <c r="AA935" s="61"/>
      <c r="AB935" s="61"/>
      <c r="AC935" s="61"/>
      <c r="AD935" s="62"/>
      <c r="AE935" s="62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</row>
    <row r="936" spans="1:77" x14ac:dyDescent="0.3">
      <c r="A936" s="39"/>
      <c r="B936" s="42"/>
      <c r="C936" s="42"/>
      <c r="D936" s="75"/>
      <c r="E936" s="75"/>
      <c r="F936" s="76"/>
      <c r="G936" s="47"/>
      <c r="H936" s="47"/>
      <c r="I936" s="75"/>
      <c r="J936" s="76"/>
      <c r="K936" s="76"/>
      <c r="L936" s="75"/>
      <c r="M936" s="49"/>
      <c r="N936" s="76"/>
      <c r="O936" s="49"/>
      <c r="P936" s="77"/>
      <c r="Q936" s="53"/>
      <c r="R936" s="54"/>
      <c r="S936" s="55"/>
      <c r="T936" s="56"/>
      <c r="U936" s="56"/>
      <c r="V936" s="42"/>
      <c r="W936" s="57"/>
      <c r="X936" s="58"/>
      <c r="Y936" s="75"/>
      <c r="Z936" s="59"/>
      <c r="AA936" s="61"/>
      <c r="AB936" s="61"/>
      <c r="AC936" s="61"/>
      <c r="AD936" s="62"/>
      <c r="AE936" s="62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</row>
    <row r="937" spans="1:77" x14ac:dyDescent="0.3">
      <c r="A937" s="39"/>
      <c r="B937" s="42"/>
      <c r="C937" s="42"/>
      <c r="D937" s="75"/>
      <c r="E937" s="75"/>
      <c r="F937" s="76"/>
      <c r="G937" s="47"/>
      <c r="H937" s="47"/>
      <c r="I937" s="75"/>
      <c r="J937" s="76"/>
      <c r="K937" s="76"/>
      <c r="L937" s="75"/>
      <c r="M937" s="49"/>
      <c r="N937" s="76"/>
      <c r="O937" s="49"/>
      <c r="P937" s="77"/>
      <c r="Q937" s="53"/>
      <c r="R937" s="54"/>
      <c r="S937" s="55"/>
      <c r="T937" s="56"/>
      <c r="U937" s="56"/>
      <c r="V937" s="42"/>
      <c r="W937" s="57"/>
      <c r="X937" s="58"/>
      <c r="Y937" s="75"/>
      <c r="Z937" s="59"/>
      <c r="AA937" s="61"/>
      <c r="AB937" s="61"/>
      <c r="AC937" s="61"/>
      <c r="AD937" s="62"/>
      <c r="AE937" s="62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</row>
    <row r="938" spans="1:77" x14ac:dyDescent="0.3">
      <c r="A938" s="39"/>
      <c r="B938" s="42"/>
      <c r="C938" s="42"/>
      <c r="D938" s="75"/>
      <c r="E938" s="75"/>
      <c r="F938" s="76"/>
      <c r="G938" s="47"/>
      <c r="H938" s="47"/>
      <c r="I938" s="75"/>
      <c r="J938" s="76"/>
      <c r="K938" s="76"/>
      <c r="L938" s="75"/>
      <c r="M938" s="49"/>
      <c r="N938" s="76"/>
      <c r="O938" s="49"/>
      <c r="P938" s="77"/>
      <c r="Q938" s="53"/>
      <c r="R938" s="54"/>
      <c r="S938" s="55"/>
      <c r="T938" s="56"/>
      <c r="U938" s="56"/>
      <c r="V938" s="42"/>
      <c r="W938" s="57"/>
      <c r="X938" s="58"/>
      <c r="Y938" s="75"/>
      <c r="Z938" s="59"/>
      <c r="AA938" s="61"/>
      <c r="AB938" s="61"/>
      <c r="AC938" s="61"/>
      <c r="AD938" s="62"/>
      <c r="AE938" s="62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</row>
    <row r="939" spans="1:77" x14ac:dyDescent="0.3">
      <c r="A939" s="39"/>
      <c r="B939" s="42"/>
      <c r="C939" s="42"/>
      <c r="D939" s="75"/>
      <c r="E939" s="75"/>
      <c r="F939" s="76"/>
      <c r="G939" s="47"/>
      <c r="H939" s="47"/>
      <c r="I939" s="75"/>
      <c r="J939" s="76"/>
      <c r="K939" s="76"/>
      <c r="L939" s="75"/>
      <c r="M939" s="49"/>
      <c r="N939" s="76"/>
      <c r="O939" s="49"/>
      <c r="P939" s="77"/>
      <c r="Q939" s="53"/>
      <c r="R939" s="54"/>
      <c r="S939" s="55"/>
      <c r="T939" s="56"/>
      <c r="U939" s="56"/>
      <c r="V939" s="42"/>
      <c r="W939" s="57"/>
      <c r="X939" s="58"/>
      <c r="Y939" s="75"/>
      <c r="Z939" s="59"/>
      <c r="AA939" s="61"/>
      <c r="AB939" s="61"/>
      <c r="AC939" s="61"/>
      <c r="AD939" s="62"/>
      <c r="AE939" s="62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</row>
    <row r="940" spans="1:77" x14ac:dyDescent="0.3">
      <c r="A940" s="39"/>
      <c r="B940" s="42"/>
      <c r="C940" s="42"/>
      <c r="D940" s="75"/>
      <c r="E940" s="75"/>
      <c r="F940" s="76"/>
      <c r="G940" s="47"/>
      <c r="H940" s="47"/>
      <c r="I940" s="75"/>
      <c r="J940" s="76"/>
      <c r="K940" s="76"/>
      <c r="L940" s="75"/>
      <c r="M940" s="49"/>
      <c r="N940" s="76"/>
      <c r="O940" s="49"/>
      <c r="P940" s="77"/>
      <c r="Q940" s="53"/>
      <c r="R940" s="54"/>
      <c r="S940" s="55"/>
      <c r="T940" s="56"/>
      <c r="U940" s="56"/>
      <c r="V940" s="42"/>
      <c r="W940" s="57"/>
      <c r="X940" s="58"/>
      <c r="Y940" s="75"/>
      <c r="Z940" s="59"/>
      <c r="AA940" s="61"/>
      <c r="AB940" s="61"/>
      <c r="AC940" s="61"/>
      <c r="AD940" s="62"/>
      <c r="AE940" s="62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</row>
    <row r="941" spans="1:77" x14ac:dyDescent="0.3">
      <c r="A941" s="39"/>
      <c r="B941" s="42"/>
      <c r="C941" s="42"/>
      <c r="D941" s="75"/>
      <c r="E941" s="75"/>
      <c r="F941" s="76"/>
      <c r="G941" s="47"/>
      <c r="H941" s="47"/>
      <c r="I941" s="75"/>
      <c r="J941" s="76"/>
      <c r="K941" s="76"/>
      <c r="L941" s="75"/>
      <c r="M941" s="49"/>
      <c r="N941" s="76"/>
      <c r="O941" s="49"/>
      <c r="P941" s="77"/>
      <c r="Q941" s="53"/>
      <c r="R941" s="54"/>
      <c r="S941" s="55"/>
      <c r="T941" s="56"/>
      <c r="U941" s="56"/>
      <c r="V941" s="42"/>
      <c r="W941" s="57"/>
      <c r="X941" s="58"/>
      <c r="Y941" s="75"/>
      <c r="Z941" s="59"/>
      <c r="AA941" s="61"/>
      <c r="AB941" s="61"/>
      <c r="AC941" s="61"/>
      <c r="AD941" s="62"/>
      <c r="AE941" s="62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</row>
    <row r="942" spans="1:77" x14ac:dyDescent="0.3">
      <c r="A942" s="39"/>
      <c r="B942" s="42"/>
      <c r="C942" s="42"/>
      <c r="D942" s="75"/>
      <c r="E942" s="75"/>
      <c r="F942" s="76"/>
      <c r="G942" s="47"/>
      <c r="H942" s="47"/>
      <c r="I942" s="75"/>
      <c r="J942" s="76"/>
      <c r="K942" s="76"/>
      <c r="L942" s="75"/>
      <c r="M942" s="49"/>
      <c r="N942" s="76"/>
      <c r="O942" s="49"/>
      <c r="P942" s="77"/>
      <c r="Q942" s="53"/>
      <c r="R942" s="54"/>
      <c r="S942" s="55"/>
      <c r="T942" s="56"/>
      <c r="U942" s="56"/>
      <c r="V942" s="42"/>
      <c r="W942" s="57"/>
      <c r="X942" s="58"/>
      <c r="Y942" s="75"/>
      <c r="Z942" s="59"/>
      <c r="AA942" s="61"/>
      <c r="AB942" s="61"/>
      <c r="AC942" s="61"/>
      <c r="AD942" s="62"/>
      <c r="AE942" s="62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</row>
    <row r="943" spans="1:77" x14ac:dyDescent="0.3">
      <c r="A943" s="39"/>
      <c r="B943" s="42"/>
      <c r="C943" s="42"/>
      <c r="D943" s="75"/>
      <c r="E943" s="75"/>
      <c r="F943" s="76"/>
      <c r="G943" s="47"/>
      <c r="H943" s="47"/>
      <c r="I943" s="75"/>
      <c r="J943" s="76"/>
      <c r="K943" s="76"/>
      <c r="L943" s="75"/>
      <c r="M943" s="49"/>
      <c r="N943" s="76"/>
      <c r="O943" s="49"/>
      <c r="P943" s="77"/>
      <c r="Q943" s="53"/>
      <c r="R943" s="54"/>
      <c r="S943" s="55"/>
      <c r="T943" s="56"/>
      <c r="U943" s="56"/>
      <c r="V943" s="42"/>
      <c r="W943" s="57"/>
      <c r="X943" s="58"/>
      <c r="Y943" s="75"/>
      <c r="Z943" s="59"/>
      <c r="AA943" s="61"/>
      <c r="AB943" s="61"/>
      <c r="AC943" s="61"/>
      <c r="AD943" s="62"/>
      <c r="AE943" s="62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</row>
    <row r="944" spans="1:77" x14ac:dyDescent="0.3">
      <c r="A944" s="39"/>
      <c r="B944" s="42"/>
      <c r="C944" s="42"/>
      <c r="D944" s="75"/>
      <c r="E944" s="75"/>
      <c r="F944" s="76"/>
      <c r="G944" s="47"/>
      <c r="H944" s="47"/>
      <c r="I944" s="75"/>
      <c r="J944" s="76"/>
      <c r="K944" s="76"/>
      <c r="L944" s="75"/>
      <c r="M944" s="49"/>
      <c r="N944" s="76"/>
      <c r="O944" s="49"/>
      <c r="P944" s="77"/>
      <c r="Q944" s="53"/>
      <c r="R944" s="54"/>
      <c r="S944" s="55"/>
      <c r="T944" s="56"/>
      <c r="U944" s="56"/>
      <c r="V944" s="42"/>
      <c r="W944" s="57"/>
      <c r="X944" s="58"/>
      <c r="Y944" s="75"/>
      <c r="Z944" s="59"/>
      <c r="AA944" s="61"/>
      <c r="AB944" s="61"/>
      <c r="AC944" s="61"/>
      <c r="AD944" s="62"/>
      <c r="AE944" s="62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</row>
    <row r="945" spans="1:77" x14ac:dyDescent="0.3">
      <c r="A945" s="39"/>
      <c r="B945" s="42"/>
      <c r="C945" s="42"/>
      <c r="D945" s="75"/>
      <c r="E945" s="75"/>
      <c r="F945" s="76"/>
      <c r="G945" s="47"/>
      <c r="H945" s="47"/>
      <c r="I945" s="75"/>
      <c r="J945" s="76"/>
      <c r="K945" s="76"/>
      <c r="L945" s="75"/>
      <c r="M945" s="49"/>
      <c r="N945" s="76"/>
      <c r="O945" s="49"/>
      <c r="P945" s="77"/>
      <c r="Q945" s="53"/>
      <c r="R945" s="54"/>
      <c r="S945" s="55"/>
      <c r="T945" s="56"/>
      <c r="U945" s="56"/>
      <c r="V945" s="42"/>
      <c r="W945" s="57"/>
      <c r="X945" s="58"/>
      <c r="Y945" s="75"/>
      <c r="Z945" s="59"/>
      <c r="AA945" s="61"/>
      <c r="AB945" s="61"/>
      <c r="AC945" s="61"/>
      <c r="AD945" s="62"/>
      <c r="AE945" s="62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</row>
    <row r="946" spans="1:77" x14ac:dyDescent="0.3">
      <c r="A946" s="39"/>
      <c r="B946" s="42"/>
      <c r="C946" s="42"/>
      <c r="D946" s="75"/>
      <c r="E946" s="75"/>
      <c r="F946" s="76"/>
      <c r="G946" s="47"/>
      <c r="H946" s="47"/>
      <c r="I946" s="75"/>
      <c r="J946" s="76"/>
      <c r="K946" s="76"/>
      <c r="L946" s="75"/>
      <c r="M946" s="49"/>
      <c r="N946" s="76"/>
      <c r="O946" s="49"/>
      <c r="P946" s="77"/>
      <c r="Q946" s="53"/>
      <c r="R946" s="54"/>
      <c r="S946" s="55"/>
      <c r="T946" s="56"/>
      <c r="U946" s="56"/>
      <c r="V946" s="42"/>
      <c r="W946" s="57"/>
      <c r="X946" s="58"/>
      <c r="Y946" s="75"/>
      <c r="Z946" s="59"/>
      <c r="AA946" s="61"/>
      <c r="AB946" s="61"/>
      <c r="AC946" s="61"/>
      <c r="AD946" s="62"/>
      <c r="AE946" s="62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</row>
    <row r="947" spans="1:77" x14ac:dyDescent="0.3">
      <c r="A947" s="39"/>
      <c r="B947" s="42"/>
      <c r="C947" s="42"/>
      <c r="D947" s="75"/>
      <c r="E947" s="75"/>
      <c r="F947" s="76"/>
      <c r="G947" s="47"/>
      <c r="H947" s="47"/>
      <c r="I947" s="75"/>
      <c r="J947" s="76"/>
      <c r="K947" s="76"/>
      <c r="L947" s="75"/>
      <c r="M947" s="49"/>
      <c r="N947" s="76"/>
      <c r="O947" s="49"/>
      <c r="P947" s="77"/>
      <c r="Q947" s="53"/>
      <c r="R947" s="54"/>
      <c r="S947" s="55"/>
      <c r="T947" s="56"/>
      <c r="U947" s="56"/>
      <c r="V947" s="42"/>
      <c r="W947" s="57"/>
      <c r="X947" s="58"/>
      <c r="Y947" s="75"/>
      <c r="Z947" s="59"/>
      <c r="AA947" s="61"/>
      <c r="AB947" s="61"/>
      <c r="AC947" s="61"/>
      <c r="AD947" s="62"/>
      <c r="AE947" s="62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</row>
    <row r="948" spans="1:77" x14ac:dyDescent="0.3">
      <c r="A948" s="39"/>
      <c r="B948" s="42"/>
      <c r="C948" s="42"/>
      <c r="D948" s="75"/>
      <c r="E948" s="75"/>
      <c r="F948" s="76"/>
      <c r="G948" s="47"/>
      <c r="H948" s="47"/>
      <c r="I948" s="75"/>
      <c r="J948" s="76"/>
      <c r="K948" s="76"/>
      <c r="L948" s="75"/>
      <c r="M948" s="49"/>
      <c r="N948" s="76"/>
      <c r="O948" s="49"/>
      <c r="P948" s="77"/>
      <c r="Q948" s="53"/>
      <c r="R948" s="54"/>
      <c r="S948" s="55"/>
      <c r="T948" s="56"/>
      <c r="U948" s="56"/>
      <c r="V948" s="42"/>
      <c r="W948" s="57"/>
      <c r="X948" s="58"/>
      <c r="Y948" s="75"/>
      <c r="Z948" s="59"/>
      <c r="AA948" s="61"/>
      <c r="AB948" s="61"/>
      <c r="AC948" s="61"/>
      <c r="AD948" s="62"/>
      <c r="AE948" s="62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</row>
    <row r="949" spans="1:77" x14ac:dyDescent="0.3">
      <c r="A949" s="39"/>
      <c r="B949" s="42"/>
      <c r="C949" s="42"/>
      <c r="D949" s="75"/>
      <c r="E949" s="75"/>
      <c r="F949" s="76"/>
      <c r="G949" s="47"/>
      <c r="H949" s="47"/>
      <c r="I949" s="75"/>
      <c r="J949" s="76"/>
      <c r="K949" s="76"/>
      <c r="L949" s="75"/>
      <c r="M949" s="49"/>
      <c r="N949" s="76"/>
      <c r="O949" s="49"/>
      <c r="P949" s="77"/>
      <c r="Q949" s="53"/>
      <c r="R949" s="54"/>
      <c r="S949" s="55"/>
      <c r="T949" s="56"/>
      <c r="U949" s="56"/>
      <c r="V949" s="42"/>
      <c r="W949" s="57"/>
      <c r="X949" s="58"/>
      <c r="Y949" s="75"/>
      <c r="Z949" s="59"/>
      <c r="AA949" s="61"/>
      <c r="AB949" s="61"/>
      <c r="AC949" s="61"/>
      <c r="AD949" s="62"/>
      <c r="AE949" s="62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</row>
    <row r="950" spans="1:77" x14ac:dyDescent="0.3">
      <c r="A950" s="39"/>
      <c r="B950" s="42"/>
      <c r="C950" s="42"/>
      <c r="D950" s="75"/>
      <c r="E950" s="75"/>
      <c r="F950" s="76"/>
      <c r="G950" s="47"/>
      <c r="H950" s="47"/>
      <c r="I950" s="75"/>
      <c r="J950" s="76"/>
      <c r="K950" s="76"/>
      <c r="L950" s="75"/>
      <c r="M950" s="49"/>
      <c r="N950" s="76"/>
      <c r="O950" s="49"/>
      <c r="P950" s="77"/>
      <c r="Q950" s="53"/>
      <c r="R950" s="54"/>
      <c r="S950" s="55"/>
      <c r="T950" s="56"/>
      <c r="U950" s="56"/>
      <c r="V950" s="42"/>
      <c r="W950" s="57"/>
      <c r="X950" s="58"/>
      <c r="Y950" s="75"/>
      <c r="Z950" s="59"/>
      <c r="AA950" s="61"/>
      <c r="AB950" s="61"/>
      <c r="AC950" s="61"/>
      <c r="AD950" s="62"/>
      <c r="AE950" s="62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</row>
    <row r="951" spans="1:77" x14ac:dyDescent="0.3">
      <c r="A951" s="39"/>
      <c r="B951" s="42"/>
      <c r="C951" s="42"/>
      <c r="D951" s="75"/>
      <c r="E951" s="75"/>
      <c r="F951" s="76"/>
      <c r="G951" s="47"/>
      <c r="H951" s="47"/>
      <c r="I951" s="75"/>
      <c r="J951" s="76"/>
      <c r="K951" s="76"/>
      <c r="L951" s="75"/>
      <c r="M951" s="49"/>
      <c r="N951" s="76"/>
      <c r="O951" s="49"/>
      <c r="P951" s="77"/>
      <c r="Q951" s="53"/>
      <c r="R951" s="54"/>
      <c r="S951" s="55"/>
      <c r="T951" s="56"/>
      <c r="U951" s="56"/>
      <c r="V951" s="42"/>
      <c r="W951" s="57"/>
      <c r="X951" s="58"/>
      <c r="Y951" s="75"/>
      <c r="Z951" s="59"/>
      <c r="AA951" s="61"/>
      <c r="AB951" s="61"/>
      <c r="AC951" s="61"/>
      <c r="AD951" s="62"/>
      <c r="AE951" s="62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</row>
    <row r="952" spans="1:77" x14ac:dyDescent="0.3">
      <c r="A952" s="39"/>
      <c r="B952" s="42"/>
      <c r="C952" s="42"/>
      <c r="D952" s="75"/>
      <c r="E952" s="75"/>
      <c r="F952" s="76"/>
      <c r="G952" s="47"/>
      <c r="H952" s="47"/>
      <c r="I952" s="75"/>
      <c r="J952" s="76"/>
      <c r="K952" s="76"/>
      <c r="L952" s="75"/>
      <c r="M952" s="49"/>
      <c r="N952" s="76"/>
      <c r="O952" s="49"/>
      <c r="P952" s="77"/>
      <c r="Q952" s="53"/>
      <c r="R952" s="54"/>
      <c r="S952" s="55"/>
      <c r="T952" s="56"/>
      <c r="U952" s="56"/>
      <c r="V952" s="42"/>
      <c r="W952" s="57"/>
      <c r="X952" s="58"/>
      <c r="Y952" s="75"/>
      <c r="Z952" s="59"/>
      <c r="AA952" s="61"/>
      <c r="AB952" s="61"/>
      <c r="AC952" s="61"/>
      <c r="AD952" s="62"/>
      <c r="AE952" s="62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</row>
    <row r="953" spans="1:77" x14ac:dyDescent="0.3">
      <c r="A953" s="39"/>
      <c r="B953" s="42"/>
      <c r="C953" s="42"/>
      <c r="D953" s="75"/>
      <c r="E953" s="75"/>
      <c r="F953" s="76"/>
      <c r="G953" s="47"/>
      <c r="H953" s="47"/>
      <c r="I953" s="75"/>
      <c r="J953" s="76"/>
      <c r="K953" s="76"/>
      <c r="L953" s="75"/>
      <c r="M953" s="49"/>
      <c r="N953" s="76"/>
      <c r="O953" s="49"/>
      <c r="P953" s="77"/>
      <c r="Q953" s="53"/>
      <c r="R953" s="54"/>
      <c r="S953" s="55"/>
      <c r="T953" s="56"/>
      <c r="U953" s="56"/>
      <c r="V953" s="42"/>
      <c r="W953" s="57"/>
      <c r="X953" s="58"/>
      <c r="Y953" s="75"/>
      <c r="Z953" s="59"/>
      <c r="AA953" s="61"/>
      <c r="AB953" s="61"/>
      <c r="AC953" s="61"/>
      <c r="AD953" s="62"/>
      <c r="AE953" s="62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</row>
    <row r="954" spans="1:77" x14ac:dyDescent="0.3">
      <c r="A954" s="39"/>
      <c r="B954" s="42"/>
      <c r="C954" s="42"/>
      <c r="D954" s="75"/>
      <c r="E954" s="75"/>
      <c r="F954" s="76"/>
      <c r="G954" s="47"/>
      <c r="H954" s="47"/>
      <c r="I954" s="75"/>
      <c r="J954" s="76"/>
      <c r="K954" s="76"/>
      <c r="L954" s="75"/>
      <c r="M954" s="49"/>
      <c r="N954" s="76"/>
      <c r="O954" s="49"/>
      <c r="P954" s="77"/>
      <c r="Q954" s="53"/>
      <c r="R954" s="54"/>
      <c r="S954" s="55"/>
      <c r="T954" s="56"/>
      <c r="U954" s="56"/>
      <c r="V954" s="42"/>
      <c r="W954" s="57"/>
      <c r="X954" s="58"/>
      <c r="Y954" s="75"/>
      <c r="Z954" s="59"/>
      <c r="AA954" s="61"/>
      <c r="AB954" s="61"/>
      <c r="AC954" s="61"/>
      <c r="AD954" s="62"/>
      <c r="AE954" s="62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</row>
    <row r="955" spans="1:77" x14ac:dyDescent="0.3">
      <c r="A955" s="39"/>
      <c r="B955" s="42"/>
      <c r="C955" s="42"/>
      <c r="D955" s="75"/>
      <c r="E955" s="75"/>
      <c r="F955" s="76"/>
      <c r="G955" s="47"/>
      <c r="H955" s="47"/>
      <c r="I955" s="75"/>
      <c r="J955" s="76"/>
      <c r="K955" s="76"/>
      <c r="L955" s="75"/>
      <c r="M955" s="49"/>
      <c r="N955" s="76"/>
      <c r="O955" s="49"/>
      <c r="P955" s="77"/>
      <c r="Q955" s="53"/>
      <c r="R955" s="54"/>
      <c r="S955" s="55"/>
      <c r="T955" s="56"/>
      <c r="U955" s="56"/>
      <c r="V955" s="42"/>
      <c r="W955" s="57"/>
      <c r="X955" s="58"/>
      <c r="Y955" s="75"/>
      <c r="Z955" s="59"/>
      <c r="AA955" s="61"/>
      <c r="AB955" s="61"/>
      <c r="AC955" s="61"/>
      <c r="AD955" s="62"/>
      <c r="AE955" s="62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</row>
    <row r="956" spans="1:77" x14ac:dyDescent="0.3">
      <c r="A956" s="39"/>
      <c r="B956" s="42"/>
      <c r="C956" s="42"/>
      <c r="D956" s="75"/>
      <c r="E956" s="75"/>
      <c r="F956" s="76"/>
      <c r="G956" s="47"/>
      <c r="H956" s="47"/>
      <c r="I956" s="75"/>
      <c r="J956" s="76"/>
      <c r="K956" s="76"/>
      <c r="L956" s="75"/>
      <c r="M956" s="49"/>
      <c r="N956" s="76"/>
      <c r="O956" s="49"/>
      <c r="P956" s="77"/>
      <c r="Q956" s="53"/>
      <c r="R956" s="54"/>
      <c r="S956" s="55"/>
      <c r="T956" s="56"/>
      <c r="U956" s="56"/>
      <c r="V956" s="42"/>
      <c r="W956" s="57"/>
      <c r="X956" s="58"/>
      <c r="Y956" s="75"/>
      <c r="Z956" s="59"/>
      <c r="AA956" s="61"/>
      <c r="AB956" s="61"/>
      <c r="AC956" s="61"/>
      <c r="AD956" s="62"/>
      <c r="AE956" s="62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</row>
    <row r="957" spans="1:77" x14ac:dyDescent="0.3">
      <c r="A957" s="39"/>
      <c r="B957" s="42"/>
      <c r="C957" s="42"/>
      <c r="D957" s="75"/>
      <c r="E957" s="75"/>
      <c r="F957" s="76"/>
      <c r="G957" s="47"/>
      <c r="H957" s="47"/>
      <c r="I957" s="75"/>
      <c r="J957" s="76"/>
      <c r="K957" s="76"/>
      <c r="L957" s="75"/>
      <c r="M957" s="49"/>
      <c r="N957" s="76"/>
      <c r="O957" s="49"/>
      <c r="P957" s="77"/>
      <c r="Q957" s="53"/>
      <c r="R957" s="54"/>
      <c r="S957" s="55"/>
      <c r="T957" s="56"/>
      <c r="U957" s="56"/>
      <c r="V957" s="42"/>
      <c r="W957" s="57"/>
      <c r="X957" s="58"/>
      <c r="Y957" s="75"/>
      <c r="Z957" s="59"/>
      <c r="AA957" s="61"/>
      <c r="AB957" s="61"/>
      <c r="AC957" s="61"/>
      <c r="AD957" s="62"/>
      <c r="AE957" s="62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</row>
    <row r="958" spans="1:77" x14ac:dyDescent="0.3">
      <c r="A958" s="39"/>
      <c r="B958" s="42"/>
      <c r="C958" s="42"/>
      <c r="D958" s="75"/>
      <c r="E958" s="75"/>
      <c r="F958" s="76"/>
      <c r="G958" s="47"/>
      <c r="H958" s="47"/>
      <c r="I958" s="75"/>
      <c r="J958" s="76"/>
      <c r="K958" s="76"/>
      <c r="L958" s="75"/>
      <c r="M958" s="49"/>
      <c r="N958" s="76"/>
      <c r="O958" s="49"/>
      <c r="P958" s="77"/>
      <c r="Q958" s="53"/>
      <c r="R958" s="54"/>
      <c r="S958" s="55"/>
      <c r="T958" s="56"/>
      <c r="U958" s="56"/>
      <c r="V958" s="42"/>
      <c r="W958" s="57"/>
      <c r="X958" s="58"/>
      <c r="Y958" s="75"/>
      <c r="Z958" s="59"/>
      <c r="AA958" s="61"/>
      <c r="AB958" s="61"/>
      <c r="AC958" s="61"/>
      <c r="AD958" s="62"/>
      <c r="AE958" s="62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</row>
    <row r="959" spans="1:77" x14ac:dyDescent="0.3">
      <c r="A959" s="39"/>
      <c r="B959" s="42"/>
      <c r="C959" s="42"/>
      <c r="D959" s="75"/>
      <c r="E959" s="75"/>
      <c r="F959" s="76"/>
      <c r="G959" s="47"/>
      <c r="H959" s="47"/>
      <c r="I959" s="75"/>
      <c r="J959" s="76"/>
      <c r="K959" s="76"/>
      <c r="L959" s="75"/>
      <c r="M959" s="49"/>
      <c r="N959" s="76"/>
      <c r="O959" s="49"/>
      <c r="P959" s="77"/>
      <c r="Q959" s="53"/>
      <c r="R959" s="54"/>
      <c r="S959" s="55"/>
      <c r="T959" s="56"/>
      <c r="U959" s="56"/>
      <c r="V959" s="42"/>
      <c r="W959" s="57"/>
      <c r="X959" s="58"/>
      <c r="Y959" s="75"/>
      <c r="Z959" s="59"/>
      <c r="AA959" s="61"/>
      <c r="AB959" s="61"/>
      <c r="AC959" s="61"/>
      <c r="AD959" s="62"/>
      <c r="AE959" s="62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</row>
    <row r="960" spans="1:77" x14ac:dyDescent="0.3">
      <c r="A960" s="39"/>
      <c r="B960" s="42"/>
      <c r="C960" s="42"/>
      <c r="D960" s="75"/>
      <c r="E960" s="75"/>
      <c r="F960" s="76"/>
      <c r="G960" s="47"/>
      <c r="H960" s="47"/>
      <c r="I960" s="75"/>
      <c r="J960" s="76"/>
      <c r="K960" s="76"/>
      <c r="L960" s="75"/>
      <c r="M960" s="49"/>
      <c r="N960" s="76"/>
      <c r="O960" s="49"/>
      <c r="P960" s="77"/>
      <c r="Q960" s="53"/>
      <c r="R960" s="54"/>
      <c r="S960" s="55"/>
      <c r="T960" s="56"/>
      <c r="U960" s="56"/>
      <c r="V960" s="42"/>
      <c r="W960" s="57"/>
      <c r="X960" s="58"/>
      <c r="Y960" s="75"/>
      <c r="Z960" s="59"/>
      <c r="AA960" s="61"/>
      <c r="AB960" s="61"/>
      <c r="AC960" s="61"/>
      <c r="AD960" s="62"/>
      <c r="AE960" s="62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</row>
    <row r="961" spans="1:77" x14ac:dyDescent="0.3">
      <c r="A961" s="39"/>
      <c r="B961" s="42"/>
      <c r="C961" s="42"/>
      <c r="D961" s="75"/>
      <c r="E961" s="75"/>
      <c r="F961" s="76"/>
      <c r="G961" s="47"/>
      <c r="H961" s="47"/>
      <c r="I961" s="75"/>
      <c r="J961" s="76"/>
      <c r="K961" s="76"/>
      <c r="L961" s="75"/>
      <c r="M961" s="49"/>
      <c r="N961" s="76"/>
      <c r="O961" s="49"/>
      <c r="P961" s="77"/>
      <c r="Q961" s="53"/>
      <c r="R961" s="54"/>
      <c r="S961" s="55"/>
      <c r="T961" s="56"/>
      <c r="U961" s="56"/>
      <c r="V961" s="42"/>
      <c r="W961" s="57"/>
      <c r="X961" s="58"/>
      <c r="Y961" s="75"/>
      <c r="Z961" s="59"/>
      <c r="AA961" s="61"/>
      <c r="AB961" s="61"/>
      <c r="AC961" s="61"/>
      <c r="AD961" s="62"/>
      <c r="AE961" s="62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</row>
    <row r="962" spans="1:77" x14ac:dyDescent="0.3">
      <c r="A962" s="39"/>
      <c r="B962" s="42"/>
      <c r="C962" s="42"/>
      <c r="D962" s="75"/>
      <c r="E962" s="75"/>
      <c r="F962" s="76"/>
      <c r="G962" s="47"/>
      <c r="H962" s="47"/>
      <c r="I962" s="75"/>
      <c r="J962" s="76"/>
      <c r="K962" s="76"/>
      <c r="L962" s="75"/>
      <c r="M962" s="49"/>
      <c r="N962" s="76"/>
      <c r="O962" s="49"/>
      <c r="P962" s="77"/>
      <c r="Q962" s="53"/>
      <c r="R962" s="54"/>
      <c r="S962" s="55"/>
      <c r="T962" s="56"/>
      <c r="U962" s="56"/>
      <c r="V962" s="42"/>
      <c r="W962" s="57"/>
      <c r="X962" s="58"/>
      <c r="Y962" s="75"/>
      <c r="Z962" s="59"/>
      <c r="AA962" s="61"/>
      <c r="AB962" s="61"/>
      <c r="AC962" s="61"/>
      <c r="AD962" s="62"/>
      <c r="AE962" s="62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</row>
    <row r="963" spans="1:77" x14ac:dyDescent="0.3">
      <c r="A963" s="39"/>
      <c r="B963" s="42"/>
      <c r="C963" s="42"/>
      <c r="D963" s="75"/>
      <c r="E963" s="75"/>
      <c r="F963" s="76"/>
      <c r="G963" s="47"/>
      <c r="H963" s="47"/>
      <c r="I963" s="75"/>
      <c r="J963" s="76"/>
      <c r="K963" s="76"/>
      <c r="L963" s="75"/>
      <c r="M963" s="49"/>
      <c r="N963" s="76"/>
      <c r="O963" s="49"/>
      <c r="P963" s="77"/>
      <c r="Q963" s="53"/>
      <c r="R963" s="54"/>
      <c r="S963" s="55"/>
      <c r="T963" s="56"/>
      <c r="U963" s="56"/>
      <c r="V963" s="42"/>
      <c r="W963" s="57"/>
      <c r="X963" s="58"/>
      <c r="Y963" s="75"/>
      <c r="Z963" s="59"/>
      <c r="AA963" s="61"/>
      <c r="AB963" s="61"/>
      <c r="AC963" s="61"/>
      <c r="AD963" s="62"/>
      <c r="AE963" s="62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</row>
    <row r="964" spans="1:77" x14ac:dyDescent="0.3">
      <c r="A964" s="39"/>
      <c r="B964" s="42"/>
      <c r="C964" s="42"/>
      <c r="D964" s="75"/>
      <c r="E964" s="75"/>
      <c r="F964" s="76"/>
      <c r="G964" s="47"/>
      <c r="H964" s="47"/>
      <c r="I964" s="75"/>
      <c r="J964" s="76"/>
      <c r="K964" s="76"/>
      <c r="L964" s="75"/>
      <c r="M964" s="49"/>
      <c r="N964" s="76"/>
      <c r="O964" s="49"/>
      <c r="P964" s="77"/>
      <c r="Q964" s="53"/>
      <c r="R964" s="54"/>
      <c r="S964" s="55"/>
      <c r="T964" s="56"/>
      <c r="U964" s="56"/>
      <c r="V964" s="42"/>
      <c r="W964" s="57"/>
      <c r="X964" s="58"/>
      <c r="Y964" s="75"/>
      <c r="Z964" s="59"/>
      <c r="AA964" s="61"/>
      <c r="AB964" s="61"/>
      <c r="AC964" s="61"/>
      <c r="AD964" s="62"/>
      <c r="AE964" s="62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</row>
    <row r="965" spans="1:77" x14ac:dyDescent="0.3">
      <c r="A965" s="39"/>
      <c r="B965" s="42"/>
      <c r="C965" s="42"/>
      <c r="D965" s="75"/>
      <c r="E965" s="75"/>
      <c r="F965" s="76"/>
      <c r="G965" s="47"/>
      <c r="H965" s="47"/>
      <c r="I965" s="75"/>
      <c r="J965" s="76"/>
      <c r="K965" s="76"/>
      <c r="L965" s="75"/>
      <c r="M965" s="49"/>
      <c r="N965" s="76"/>
      <c r="O965" s="49"/>
      <c r="P965" s="77"/>
      <c r="Q965" s="53"/>
      <c r="R965" s="54"/>
      <c r="S965" s="55"/>
      <c r="T965" s="56"/>
      <c r="U965" s="56"/>
      <c r="V965" s="42"/>
      <c r="W965" s="57"/>
      <c r="X965" s="58"/>
      <c r="Y965" s="75"/>
      <c r="Z965" s="59"/>
      <c r="AA965" s="61"/>
      <c r="AB965" s="61"/>
      <c r="AC965" s="61"/>
      <c r="AD965" s="62"/>
      <c r="AE965" s="62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</row>
    <row r="966" spans="1:77" x14ac:dyDescent="0.3">
      <c r="A966" s="39"/>
      <c r="B966" s="42"/>
      <c r="C966" s="42"/>
      <c r="D966" s="75"/>
      <c r="E966" s="75"/>
      <c r="F966" s="76"/>
      <c r="G966" s="47"/>
      <c r="H966" s="47"/>
      <c r="I966" s="75"/>
      <c r="J966" s="76"/>
      <c r="K966" s="76"/>
      <c r="L966" s="75"/>
      <c r="M966" s="49"/>
      <c r="N966" s="76"/>
      <c r="O966" s="49"/>
      <c r="P966" s="77"/>
      <c r="Q966" s="53"/>
      <c r="R966" s="54"/>
      <c r="S966" s="55"/>
      <c r="T966" s="56"/>
      <c r="U966" s="56"/>
      <c r="V966" s="42"/>
      <c r="W966" s="57"/>
      <c r="X966" s="58"/>
      <c r="Y966" s="75"/>
      <c r="Z966" s="59"/>
      <c r="AA966" s="61"/>
      <c r="AB966" s="61"/>
      <c r="AC966" s="61"/>
      <c r="AD966" s="62"/>
      <c r="AE966" s="62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</row>
    <row r="967" spans="1:77" x14ac:dyDescent="0.3">
      <c r="A967" s="39"/>
      <c r="B967" s="42"/>
      <c r="C967" s="42"/>
      <c r="D967" s="75"/>
      <c r="E967" s="75"/>
      <c r="F967" s="76"/>
      <c r="G967" s="47"/>
      <c r="H967" s="47"/>
      <c r="I967" s="75"/>
      <c r="J967" s="76"/>
      <c r="K967" s="76"/>
      <c r="L967" s="75"/>
      <c r="M967" s="49"/>
      <c r="N967" s="76"/>
      <c r="O967" s="49"/>
      <c r="P967" s="77"/>
      <c r="Q967" s="53"/>
      <c r="R967" s="54"/>
      <c r="S967" s="55"/>
      <c r="T967" s="56"/>
      <c r="U967" s="56"/>
      <c r="V967" s="42"/>
      <c r="W967" s="57"/>
      <c r="X967" s="58"/>
      <c r="Y967" s="75"/>
      <c r="Z967" s="59"/>
      <c r="AA967" s="61"/>
      <c r="AB967" s="61"/>
      <c r="AC967" s="61"/>
      <c r="AD967" s="62"/>
      <c r="AE967" s="62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</row>
    <row r="968" spans="1:77" x14ac:dyDescent="0.3">
      <c r="A968" s="39"/>
      <c r="B968" s="42"/>
      <c r="C968" s="42"/>
      <c r="D968" s="75"/>
      <c r="E968" s="75"/>
      <c r="F968" s="76"/>
      <c r="G968" s="47"/>
      <c r="H968" s="47"/>
      <c r="I968" s="75"/>
      <c r="J968" s="76"/>
      <c r="K968" s="76"/>
      <c r="L968" s="75"/>
      <c r="M968" s="49"/>
      <c r="N968" s="76"/>
      <c r="O968" s="49"/>
      <c r="P968" s="77"/>
      <c r="Q968" s="53"/>
      <c r="R968" s="54"/>
      <c r="S968" s="55"/>
      <c r="T968" s="56"/>
      <c r="U968" s="56"/>
      <c r="V968" s="42"/>
      <c r="W968" s="57"/>
      <c r="X968" s="58"/>
      <c r="Y968" s="75"/>
      <c r="Z968" s="59"/>
      <c r="AA968" s="61"/>
      <c r="AB968" s="61"/>
      <c r="AC968" s="61"/>
      <c r="AD968" s="62"/>
      <c r="AE968" s="62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</row>
    <row r="969" spans="1:77" x14ac:dyDescent="0.3">
      <c r="A969" s="39"/>
      <c r="B969" s="42"/>
      <c r="C969" s="42"/>
      <c r="D969" s="75"/>
      <c r="E969" s="75"/>
      <c r="F969" s="76"/>
      <c r="G969" s="47"/>
      <c r="H969" s="47"/>
      <c r="I969" s="75"/>
      <c r="J969" s="76"/>
      <c r="K969" s="76"/>
      <c r="L969" s="75"/>
      <c r="M969" s="49"/>
      <c r="N969" s="76"/>
      <c r="O969" s="49"/>
      <c r="P969" s="77"/>
      <c r="Q969" s="53"/>
      <c r="R969" s="54"/>
      <c r="S969" s="55"/>
      <c r="T969" s="56"/>
      <c r="U969" s="56"/>
      <c r="V969" s="42"/>
      <c r="W969" s="57"/>
      <c r="X969" s="58"/>
      <c r="Y969" s="75"/>
      <c r="Z969" s="59"/>
      <c r="AA969" s="61"/>
      <c r="AB969" s="61"/>
      <c r="AC969" s="61"/>
      <c r="AD969" s="62"/>
      <c r="AE969" s="62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</row>
    <row r="970" spans="1:77" x14ac:dyDescent="0.3">
      <c r="A970" s="39"/>
      <c r="B970" s="42"/>
      <c r="C970" s="42"/>
      <c r="D970" s="75"/>
      <c r="E970" s="75"/>
      <c r="F970" s="76"/>
      <c r="G970" s="47"/>
      <c r="H970" s="47"/>
      <c r="I970" s="75"/>
      <c r="J970" s="76"/>
      <c r="K970" s="76"/>
      <c r="L970" s="75"/>
      <c r="M970" s="49"/>
      <c r="N970" s="76"/>
      <c r="O970" s="49"/>
      <c r="P970" s="77"/>
      <c r="Q970" s="53"/>
      <c r="R970" s="54"/>
      <c r="S970" s="55"/>
      <c r="T970" s="56"/>
      <c r="U970" s="56"/>
      <c r="V970" s="42"/>
      <c r="W970" s="57"/>
      <c r="X970" s="58"/>
      <c r="Y970" s="75"/>
      <c r="Z970" s="59"/>
      <c r="AA970" s="61"/>
      <c r="AB970" s="61"/>
      <c r="AC970" s="61"/>
      <c r="AD970" s="62"/>
      <c r="AE970" s="62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</row>
    <row r="971" spans="1:77" x14ac:dyDescent="0.3">
      <c r="A971" s="39"/>
      <c r="B971" s="42"/>
      <c r="C971" s="42"/>
      <c r="D971" s="75"/>
      <c r="E971" s="75"/>
      <c r="F971" s="76"/>
      <c r="G971" s="47"/>
      <c r="H971" s="47"/>
      <c r="I971" s="75"/>
      <c r="J971" s="76"/>
      <c r="K971" s="76"/>
      <c r="L971" s="75"/>
      <c r="M971" s="49"/>
      <c r="N971" s="76"/>
      <c r="O971" s="49"/>
      <c r="P971" s="77"/>
      <c r="Q971" s="53"/>
      <c r="R971" s="54"/>
      <c r="S971" s="55"/>
      <c r="T971" s="56"/>
      <c r="U971" s="56"/>
      <c r="V971" s="42"/>
      <c r="W971" s="57"/>
      <c r="X971" s="58"/>
      <c r="Y971" s="75"/>
      <c r="Z971" s="59"/>
      <c r="AA971" s="61"/>
      <c r="AB971" s="61"/>
      <c r="AC971" s="61"/>
      <c r="AD971" s="62"/>
      <c r="AE971" s="62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</row>
    <row r="972" spans="1:77" x14ac:dyDescent="0.3">
      <c r="A972" s="39"/>
      <c r="B972" s="42"/>
      <c r="C972" s="42"/>
      <c r="D972" s="75"/>
      <c r="E972" s="75"/>
      <c r="F972" s="76"/>
      <c r="G972" s="47"/>
      <c r="H972" s="47"/>
      <c r="I972" s="75"/>
      <c r="J972" s="76"/>
      <c r="K972" s="76"/>
      <c r="L972" s="75"/>
      <c r="M972" s="49"/>
      <c r="N972" s="76"/>
      <c r="O972" s="49"/>
      <c r="P972" s="77"/>
      <c r="Q972" s="53"/>
      <c r="R972" s="54"/>
      <c r="S972" s="55"/>
      <c r="T972" s="56"/>
      <c r="U972" s="56"/>
      <c r="V972" s="42"/>
      <c r="W972" s="57"/>
      <c r="X972" s="58"/>
      <c r="Y972" s="75"/>
      <c r="Z972" s="59"/>
      <c r="AA972" s="61"/>
      <c r="AB972" s="61"/>
      <c r="AC972" s="61"/>
      <c r="AD972" s="62"/>
      <c r="AE972" s="62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</row>
    <row r="973" spans="1:77" x14ac:dyDescent="0.3">
      <c r="A973" s="39"/>
      <c r="B973" s="42"/>
      <c r="C973" s="42"/>
      <c r="D973" s="75"/>
      <c r="E973" s="75"/>
      <c r="F973" s="76"/>
      <c r="G973" s="47"/>
      <c r="H973" s="47"/>
      <c r="I973" s="75"/>
      <c r="J973" s="76"/>
      <c r="K973" s="76"/>
      <c r="L973" s="75"/>
      <c r="M973" s="49"/>
      <c r="N973" s="76"/>
      <c r="O973" s="49"/>
      <c r="P973" s="77"/>
      <c r="Q973" s="53"/>
      <c r="R973" s="54"/>
      <c r="S973" s="55"/>
      <c r="T973" s="56"/>
      <c r="U973" s="56"/>
      <c r="V973" s="42"/>
      <c r="W973" s="57"/>
      <c r="X973" s="58"/>
      <c r="Y973" s="75"/>
      <c r="Z973" s="59"/>
      <c r="AA973" s="61"/>
      <c r="AB973" s="61"/>
      <c r="AC973" s="61"/>
      <c r="AD973" s="62"/>
      <c r="AE973" s="62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</row>
    <row r="974" spans="1:77" x14ac:dyDescent="0.3">
      <c r="A974" s="39"/>
      <c r="B974" s="42"/>
      <c r="C974" s="42"/>
      <c r="D974" s="75"/>
      <c r="E974" s="75"/>
      <c r="F974" s="76"/>
      <c r="G974" s="47"/>
      <c r="H974" s="47"/>
      <c r="I974" s="75"/>
      <c r="J974" s="76"/>
      <c r="K974" s="76"/>
      <c r="L974" s="75"/>
      <c r="M974" s="49"/>
      <c r="N974" s="76"/>
      <c r="O974" s="49"/>
      <c r="P974" s="77"/>
      <c r="Q974" s="53"/>
      <c r="R974" s="54"/>
      <c r="S974" s="55"/>
      <c r="T974" s="56"/>
      <c r="U974" s="56"/>
      <c r="V974" s="42"/>
      <c r="W974" s="57"/>
      <c r="X974" s="58"/>
      <c r="Y974" s="75"/>
      <c r="Z974" s="59"/>
      <c r="AA974" s="61"/>
      <c r="AB974" s="61"/>
      <c r="AC974" s="61"/>
      <c r="AD974" s="62"/>
      <c r="AE974" s="62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</row>
    <row r="975" spans="1:77" x14ac:dyDescent="0.3">
      <c r="A975" s="39"/>
      <c r="B975" s="42"/>
      <c r="C975" s="42"/>
      <c r="D975" s="75"/>
      <c r="E975" s="75"/>
      <c r="F975" s="76"/>
      <c r="G975" s="47"/>
      <c r="H975" s="47"/>
      <c r="I975" s="75"/>
      <c r="J975" s="76"/>
      <c r="K975" s="76"/>
      <c r="L975" s="75"/>
      <c r="M975" s="49"/>
      <c r="N975" s="76"/>
      <c r="O975" s="49"/>
      <c r="P975" s="77"/>
      <c r="Q975" s="53"/>
      <c r="R975" s="54"/>
      <c r="S975" s="55"/>
      <c r="T975" s="56"/>
      <c r="U975" s="56"/>
      <c r="V975" s="42"/>
      <c r="W975" s="57"/>
      <c r="X975" s="58"/>
      <c r="Y975" s="75"/>
      <c r="Z975" s="59"/>
      <c r="AA975" s="61"/>
      <c r="AB975" s="61"/>
      <c r="AC975" s="61"/>
      <c r="AD975" s="62"/>
      <c r="AE975" s="62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</row>
    <row r="976" spans="1:77" x14ac:dyDescent="0.3">
      <c r="A976" s="39"/>
      <c r="B976" s="42"/>
      <c r="C976" s="42"/>
      <c r="D976" s="75"/>
      <c r="E976" s="75"/>
      <c r="F976" s="76"/>
      <c r="G976" s="47"/>
      <c r="H976" s="47"/>
      <c r="I976" s="75"/>
      <c r="J976" s="76"/>
      <c r="K976" s="76"/>
      <c r="L976" s="75"/>
      <c r="M976" s="49"/>
      <c r="N976" s="76"/>
      <c r="O976" s="49"/>
      <c r="P976" s="77"/>
      <c r="Q976" s="53"/>
      <c r="R976" s="54"/>
      <c r="S976" s="55"/>
      <c r="T976" s="56"/>
      <c r="U976" s="56"/>
      <c r="V976" s="42"/>
      <c r="W976" s="57"/>
      <c r="X976" s="58"/>
      <c r="Y976" s="75"/>
      <c r="Z976" s="59"/>
      <c r="AA976" s="61"/>
      <c r="AB976" s="61"/>
      <c r="AC976" s="61"/>
      <c r="AD976" s="62"/>
      <c r="AE976" s="62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</row>
    <row r="977" spans="1:77" x14ac:dyDescent="0.3">
      <c r="A977" s="39"/>
      <c r="B977" s="42"/>
      <c r="C977" s="42"/>
      <c r="D977" s="75"/>
      <c r="E977" s="75"/>
      <c r="F977" s="76"/>
      <c r="G977" s="47"/>
      <c r="H977" s="47"/>
      <c r="I977" s="75"/>
      <c r="J977" s="76"/>
      <c r="K977" s="76"/>
      <c r="L977" s="75"/>
      <c r="M977" s="49"/>
      <c r="N977" s="76"/>
      <c r="O977" s="49"/>
      <c r="P977" s="77"/>
      <c r="Q977" s="53"/>
      <c r="R977" s="54"/>
      <c r="S977" s="55"/>
      <c r="T977" s="56"/>
      <c r="U977" s="56"/>
      <c r="V977" s="42"/>
      <c r="W977" s="57"/>
      <c r="X977" s="58"/>
      <c r="Y977" s="75"/>
      <c r="Z977" s="59"/>
      <c r="AA977" s="61"/>
      <c r="AB977" s="61"/>
      <c r="AC977" s="61"/>
      <c r="AD977" s="62"/>
      <c r="AE977" s="62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</row>
    <row r="978" spans="1:77" x14ac:dyDescent="0.3">
      <c r="A978" s="39"/>
      <c r="B978" s="42"/>
      <c r="C978" s="42"/>
      <c r="D978" s="75"/>
      <c r="E978" s="75"/>
      <c r="F978" s="76"/>
      <c r="G978" s="47"/>
      <c r="H978" s="47"/>
      <c r="I978" s="75"/>
      <c r="J978" s="76"/>
      <c r="K978" s="76"/>
      <c r="L978" s="75"/>
      <c r="M978" s="49"/>
      <c r="N978" s="76"/>
      <c r="O978" s="49"/>
      <c r="P978" s="77"/>
      <c r="Q978" s="53"/>
      <c r="R978" s="54"/>
      <c r="S978" s="55"/>
      <c r="T978" s="56"/>
      <c r="U978" s="56"/>
      <c r="V978" s="42"/>
      <c r="W978" s="57"/>
      <c r="X978" s="58"/>
      <c r="Y978" s="75"/>
      <c r="Z978" s="59"/>
      <c r="AA978" s="61"/>
      <c r="AB978" s="61"/>
      <c r="AC978" s="61"/>
      <c r="AD978" s="62"/>
      <c r="AE978" s="62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</row>
    <row r="979" spans="1:77" x14ac:dyDescent="0.3">
      <c r="A979" s="39"/>
      <c r="B979" s="42"/>
      <c r="C979" s="42"/>
      <c r="D979" s="75"/>
      <c r="E979" s="75"/>
      <c r="F979" s="76"/>
      <c r="G979" s="47"/>
      <c r="H979" s="47"/>
      <c r="I979" s="75"/>
      <c r="J979" s="76"/>
      <c r="K979" s="76"/>
      <c r="L979" s="75"/>
      <c r="M979" s="49"/>
      <c r="N979" s="76"/>
      <c r="O979" s="49"/>
      <c r="P979" s="77"/>
      <c r="Q979" s="53"/>
      <c r="R979" s="54"/>
      <c r="S979" s="55"/>
      <c r="T979" s="56"/>
      <c r="U979" s="56"/>
      <c r="V979" s="42"/>
      <c r="W979" s="57"/>
      <c r="X979" s="58"/>
      <c r="Y979" s="75"/>
      <c r="Z979" s="59"/>
      <c r="AA979" s="61"/>
      <c r="AB979" s="61"/>
      <c r="AC979" s="61"/>
      <c r="AD979" s="62"/>
      <c r="AE979" s="62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</row>
    <row r="980" spans="1:77" x14ac:dyDescent="0.3">
      <c r="A980" s="39"/>
      <c r="B980" s="42"/>
      <c r="C980" s="42"/>
      <c r="D980" s="75"/>
      <c r="E980" s="75"/>
      <c r="F980" s="76"/>
      <c r="G980" s="47"/>
      <c r="H980" s="47"/>
      <c r="I980" s="75"/>
      <c r="J980" s="76"/>
      <c r="K980" s="76"/>
      <c r="L980" s="75"/>
      <c r="M980" s="49"/>
      <c r="N980" s="76"/>
      <c r="O980" s="49"/>
      <c r="P980" s="77"/>
      <c r="Q980" s="53"/>
      <c r="R980" s="54"/>
      <c r="S980" s="55"/>
      <c r="T980" s="56"/>
      <c r="U980" s="56"/>
      <c r="V980" s="42"/>
      <c r="W980" s="57"/>
      <c r="X980" s="58"/>
      <c r="Y980" s="75"/>
      <c r="Z980" s="59"/>
      <c r="AA980" s="61"/>
      <c r="AB980" s="61"/>
      <c r="AC980" s="61"/>
      <c r="AD980" s="62"/>
      <c r="AE980" s="62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</row>
    <row r="981" spans="1:77" x14ac:dyDescent="0.3">
      <c r="A981" s="39"/>
      <c r="B981" s="42"/>
      <c r="C981" s="42"/>
      <c r="D981" s="75"/>
      <c r="E981" s="75"/>
      <c r="F981" s="76"/>
      <c r="G981" s="47"/>
      <c r="H981" s="47"/>
      <c r="I981" s="75"/>
      <c r="J981" s="76"/>
      <c r="K981" s="76"/>
      <c r="L981" s="75"/>
      <c r="M981" s="49"/>
      <c r="N981" s="76"/>
      <c r="O981" s="49"/>
      <c r="P981" s="77"/>
      <c r="Q981" s="53"/>
      <c r="R981" s="54"/>
      <c r="S981" s="55"/>
      <c r="T981" s="56"/>
      <c r="U981" s="56"/>
      <c r="V981" s="42"/>
      <c r="W981" s="57"/>
      <c r="X981" s="58"/>
      <c r="Y981" s="75"/>
      <c r="Z981" s="59"/>
      <c r="AA981" s="61"/>
      <c r="AB981" s="61"/>
      <c r="AC981" s="61"/>
      <c r="AD981" s="62"/>
      <c r="AE981" s="62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</row>
    <row r="982" spans="1:77" x14ac:dyDescent="0.3">
      <c r="A982" s="39"/>
      <c r="B982" s="42"/>
      <c r="C982" s="42"/>
      <c r="D982" s="75"/>
      <c r="E982" s="75"/>
      <c r="F982" s="76"/>
      <c r="G982" s="47"/>
      <c r="H982" s="47"/>
      <c r="I982" s="75"/>
      <c r="J982" s="76"/>
      <c r="K982" s="76"/>
      <c r="L982" s="75"/>
      <c r="M982" s="49"/>
      <c r="N982" s="76"/>
      <c r="O982" s="49"/>
      <c r="P982" s="77"/>
      <c r="Q982" s="53"/>
      <c r="R982" s="54"/>
      <c r="S982" s="55"/>
      <c r="T982" s="56"/>
      <c r="U982" s="56"/>
      <c r="V982" s="42"/>
      <c r="W982" s="57"/>
      <c r="X982" s="58"/>
      <c r="Y982" s="75"/>
      <c r="Z982" s="59"/>
      <c r="AA982" s="61"/>
      <c r="AB982" s="61"/>
      <c r="AC982" s="61"/>
      <c r="AD982" s="62"/>
      <c r="AE982" s="62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</row>
    <row r="983" spans="1:77" x14ac:dyDescent="0.3">
      <c r="A983" s="39"/>
      <c r="B983" s="42"/>
      <c r="C983" s="42"/>
      <c r="D983" s="75"/>
      <c r="E983" s="75"/>
      <c r="F983" s="76"/>
      <c r="G983" s="47"/>
      <c r="H983" s="47"/>
      <c r="I983" s="75"/>
      <c r="J983" s="76"/>
      <c r="K983" s="76"/>
      <c r="L983" s="75"/>
      <c r="M983" s="49"/>
      <c r="N983" s="76"/>
      <c r="O983" s="49"/>
      <c r="P983" s="77"/>
      <c r="Q983" s="53"/>
      <c r="R983" s="54"/>
      <c r="S983" s="55"/>
      <c r="T983" s="56"/>
      <c r="U983" s="56"/>
      <c r="V983" s="42"/>
      <c r="W983" s="57"/>
      <c r="X983" s="58"/>
      <c r="Y983" s="75"/>
      <c r="Z983" s="59"/>
      <c r="AA983" s="61"/>
      <c r="AB983" s="61"/>
      <c r="AC983" s="61"/>
      <c r="AD983" s="62"/>
      <c r="AE983" s="62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</row>
    <row r="984" spans="1:77" x14ac:dyDescent="0.3">
      <c r="A984" s="39"/>
      <c r="B984" s="42"/>
      <c r="C984" s="42"/>
      <c r="D984" s="75"/>
      <c r="E984" s="75"/>
      <c r="F984" s="76"/>
      <c r="G984" s="47"/>
      <c r="H984" s="47"/>
      <c r="I984" s="75"/>
      <c r="J984" s="76"/>
      <c r="K984" s="76"/>
      <c r="L984" s="75"/>
      <c r="M984" s="49"/>
      <c r="N984" s="76"/>
      <c r="O984" s="49"/>
      <c r="P984" s="77"/>
      <c r="Q984" s="53"/>
      <c r="R984" s="54"/>
      <c r="S984" s="55"/>
      <c r="T984" s="56"/>
      <c r="U984" s="56"/>
      <c r="V984" s="42"/>
      <c r="W984" s="57"/>
      <c r="X984" s="58"/>
      <c r="Y984" s="75"/>
      <c r="Z984" s="59"/>
      <c r="AA984" s="61"/>
      <c r="AB984" s="61"/>
      <c r="AC984" s="61"/>
      <c r="AD984" s="62"/>
      <c r="AE984" s="62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</row>
    <row r="985" spans="1:77" x14ac:dyDescent="0.3">
      <c r="A985" s="39"/>
      <c r="B985" s="42"/>
      <c r="C985" s="42"/>
      <c r="D985" s="75"/>
      <c r="E985" s="75"/>
      <c r="F985" s="76"/>
      <c r="G985" s="47"/>
      <c r="H985" s="47"/>
      <c r="I985" s="75"/>
      <c r="J985" s="76"/>
      <c r="K985" s="76"/>
      <c r="L985" s="75"/>
      <c r="M985" s="49"/>
      <c r="N985" s="76"/>
      <c r="O985" s="49"/>
      <c r="P985" s="77"/>
      <c r="Q985" s="53"/>
      <c r="R985" s="54"/>
      <c r="S985" s="55"/>
      <c r="T985" s="56"/>
      <c r="U985" s="56"/>
      <c r="V985" s="42"/>
      <c r="W985" s="57"/>
      <c r="X985" s="58"/>
      <c r="Y985" s="75"/>
      <c r="Z985" s="59"/>
      <c r="AA985" s="61"/>
      <c r="AB985" s="61"/>
      <c r="AC985" s="61"/>
      <c r="AD985" s="62"/>
      <c r="AE985" s="62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</row>
    <row r="986" spans="1:77" x14ac:dyDescent="0.3">
      <c r="A986" s="39"/>
      <c r="B986" s="42"/>
      <c r="C986" s="42"/>
      <c r="D986" s="75"/>
      <c r="E986" s="75"/>
      <c r="F986" s="76"/>
      <c r="G986" s="47"/>
      <c r="H986" s="47"/>
      <c r="I986" s="75"/>
      <c r="J986" s="76"/>
      <c r="K986" s="76"/>
      <c r="L986" s="75"/>
      <c r="M986" s="49"/>
      <c r="N986" s="76"/>
      <c r="O986" s="49"/>
      <c r="P986" s="77"/>
      <c r="Q986" s="53"/>
      <c r="R986" s="54"/>
      <c r="S986" s="55"/>
      <c r="T986" s="56"/>
      <c r="U986" s="56"/>
      <c r="V986" s="42"/>
      <c r="W986" s="57"/>
      <c r="X986" s="58"/>
      <c r="Y986" s="75"/>
      <c r="Z986" s="59"/>
      <c r="AA986" s="61"/>
      <c r="AB986" s="61"/>
      <c r="AC986" s="61"/>
      <c r="AD986" s="62"/>
      <c r="AE986" s="62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</row>
    <row r="987" spans="1:77" x14ac:dyDescent="0.3">
      <c r="A987" s="39"/>
      <c r="B987" s="42"/>
      <c r="C987" s="42"/>
      <c r="D987" s="75"/>
      <c r="E987" s="75"/>
      <c r="F987" s="76"/>
      <c r="G987" s="47"/>
      <c r="H987" s="47"/>
      <c r="I987" s="75"/>
      <c r="J987" s="76"/>
      <c r="K987" s="76"/>
      <c r="L987" s="75"/>
      <c r="M987" s="49"/>
      <c r="N987" s="76"/>
      <c r="O987" s="49"/>
      <c r="P987" s="77"/>
      <c r="Q987" s="53"/>
      <c r="R987" s="54"/>
      <c r="S987" s="55"/>
      <c r="T987" s="56"/>
      <c r="U987" s="56"/>
      <c r="V987" s="42"/>
      <c r="W987" s="57"/>
      <c r="X987" s="58"/>
      <c r="Y987" s="75"/>
      <c r="Z987" s="59"/>
      <c r="AA987" s="61"/>
      <c r="AB987" s="61"/>
      <c r="AC987" s="61"/>
      <c r="AD987" s="62"/>
      <c r="AE987" s="62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</row>
    <row r="988" spans="1:77" x14ac:dyDescent="0.3">
      <c r="A988" s="39"/>
      <c r="B988" s="42"/>
      <c r="C988" s="42"/>
      <c r="D988" s="75"/>
      <c r="E988" s="75"/>
      <c r="F988" s="76"/>
      <c r="G988" s="47"/>
      <c r="H988" s="47"/>
      <c r="I988" s="75"/>
      <c r="J988" s="76"/>
      <c r="K988" s="76"/>
      <c r="L988" s="75"/>
      <c r="M988" s="49"/>
      <c r="N988" s="76"/>
      <c r="O988" s="49"/>
      <c r="P988" s="77"/>
      <c r="Q988" s="53"/>
      <c r="R988" s="54"/>
      <c r="S988" s="55"/>
      <c r="T988" s="56"/>
      <c r="U988" s="56"/>
      <c r="V988" s="42"/>
      <c r="W988" s="57"/>
      <c r="X988" s="58"/>
      <c r="Y988" s="75"/>
      <c r="Z988" s="59"/>
      <c r="AA988" s="61"/>
      <c r="AB988" s="61"/>
      <c r="AC988" s="61"/>
      <c r="AD988" s="62"/>
      <c r="AE988" s="62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</row>
    <row r="989" spans="1:77" x14ac:dyDescent="0.3">
      <c r="A989" s="39"/>
      <c r="B989" s="42"/>
      <c r="C989" s="42"/>
      <c r="D989" s="75"/>
      <c r="E989" s="75"/>
      <c r="F989" s="76"/>
      <c r="G989" s="47"/>
      <c r="H989" s="47"/>
      <c r="I989" s="75"/>
      <c r="J989" s="76"/>
      <c r="K989" s="76"/>
      <c r="L989" s="75"/>
      <c r="M989" s="49"/>
      <c r="N989" s="76"/>
      <c r="O989" s="49"/>
      <c r="P989" s="77"/>
      <c r="Q989" s="53"/>
      <c r="R989" s="54"/>
      <c r="S989" s="55"/>
      <c r="T989" s="56"/>
      <c r="U989" s="56"/>
      <c r="V989" s="42"/>
      <c r="W989" s="57"/>
      <c r="X989" s="58"/>
      <c r="Y989" s="75"/>
      <c r="Z989" s="59"/>
      <c r="AA989" s="61"/>
      <c r="AB989" s="61"/>
      <c r="AC989" s="61"/>
      <c r="AD989" s="62"/>
      <c r="AE989" s="62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</row>
    <row r="990" spans="1:77" x14ac:dyDescent="0.3">
      <c r="A990" s="39"/>
      <c r="B990" s="42"/>
      <c r="C990" s="42"/>
      <c r="D990" s="75"/>
      <c r="E990" s="75"/>
      <c r="F990" s="76"/>
      <c r="G990" s="47"/>
      <c r="H990" s="47"/>
      <c r="I990" s="75"/>
      <c r="J990" s="76"/>
      <c r="K990" s="76"/>
      <c r="L990" s="75"/>
      <c r="M990" s="49"/>
      <c r="N990" s="76"/>
      <c r="O990" s="49"/>
      <c r="P990" s="77"/>
      <c r="Q990" s="53"/>
      <c r="R990" s="54"/>
      <c r="S990" s="55"/>
      <c r="T990" s="56"/>
      <c r="U990" s="56"/>
      <c r="V990" s="42"/>
      <c r="W990" s="57"/>
      <c r="X990" s="58"/>
      <c r="Y990" s="75"/>
      <c r="Z990" s="59"/>
      <c r="AA990" s="61"/>
      <c r="AB990" s="61"/>
      <c r="AC990" s="61"/>
      <c r="AD990" s="62"/>
      <c r="AE990" s="62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</row>
    <row r="991" spans="1:77" x14ac:dyDescent="0.3">
      <c r="A991" s="39"/>
      <c r="B991" s="42"/>
      <c r="C991" s="42"/>
      <c r="D991" s="75"/>
      <c r="E991" s="75"/>
      <c r="F991" s="76"/>
      <c r="G991" s="47"/>
      <c r="H991" s="47"/>
      <c r="I991" s="75"/>
      <c r="J991" s="76"/>
      <c r="K991" s="76"/>
      <c r="L991" s="75"/>
      <c r="M991" s="49"/>
      <c r="N991" s="76"/>
      <c r="O991" s="49"/>
      <c r="P991" s="77"/>
      <c r="Q991" s="53"/>
      <c r="R991" s="54"/>
      <c r="S991" s="55"/>
      <c r="T991" s="56"/>
      <c r="U991" s="56"/>
      <c r="V991" s="42"/>
      <c r="W991" s="57"/>
      <c r="X991" s="58"/>
      <c r="Y991" s="75"/>
      <c r="Z991" s="59"/>
      <c r="AA991" s="61"/>
      <c r="AB991" s="61"/>
      <c r="AC991" s="61"/>
      <c r="AD991" s="62"/>
      <c r="AE991" s="62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</row>
    <row r="992" spans="1:77" x14ac:dyDescent="0.3">
      <c r="A992" s="39"/>
      <c r="B992" s="42"/>
      <c r="C992" s="42"/>
      <c r="D992" s="75"/>
      <c r="E992" s="75"/>
      <c r="F992" s="76"/>
      <c r="G992" s="47"/>
      <c r="H992" s="47"/>
      <c r="I992" s="75"/>
      <c r="J992" s="76"/>
      <c r="K992" s="76"/>
      <c r="L992" s="75"/>
      <c r="M992" s="49"/>
      <c r="N992" s="76"/>
      <c r="O992" s="49"/>
      <c r="P992" s="77"/>
      <c r="Q992" s="53"/>
      <c r="R992" s="54"/>
      <c r="S992" s="55"/>
      <c r="T992" s="56"/>
      <c r="U992" s="56"/>
      <c r="V992" s="42"/>
      <c r="W992" s="57"/>
      <c r="X992" s="58"/>
      <c r="Y992" s="75"/>
      <c r="Z992" s="59"/>
      <c r="AA992" s="61"/>
      <c r="AB992" s="61"/>
      <c r="AC992" s="61"/>
      <c r="AD992" s="62"/>
      <c r="AE992" s="62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</row>
    <row r="993" spans="1:77" x14ac:dyDescent="0.3">
      <c r="A993" s="39"/>
      <c r="B993" s="42"/>
      <c r="C993" s="42"/>
      <c r="D993" s="75"/>
      <c r="E993" s="75"/>
      <c r="F993" s="76"/>
      <c r="G993" s="47"/>
      <c r="H993" s="47"/>
      <c r="I993" s="75"/>
      <c r="J993" s="76"/>
      <c r="K993" s="76"/>
      <c r="L993" s="75"/>
      <c r="M993" s="49"/>
      <c r="N993" s="76"/>
      <c r="O993" s="49"/>
      <c r="P993" s="77"/>
      <c r="Q993" s="53"/>
      <c r="R993" s="54"/>
      <c r="S993" s="55"/>
      <c r="T993" s="56"/>
      <c r="U993" s="56"/>
      <c r="V993" s="42"/>
      <c r="W993" s="57"/>
      <c r="X993" s="58"/>
      <c r="Y993" s="75"/>
      <c r="Z993" s="59"/>
      <c r="AA993" s="61"/>
      <c r="AB993" s="61"/>
      <c r="AC993" s="61"/>
      <c r="AD993" s="62"/>
      <c r="AE993" s="62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</row>
    <row r="994" spans="1:77" x14ac:dyDescent="0.3">
      <c r="A994" s="39"/>
      <c r="B994" s="42"/>
      <c r="C994" s="42"/>
      <c r="D994" s="75"/>
      <c r="E994" s="75"/>
      <c r="F994" s="76"/>
      <c r="G994" s="47"/>
      <c r="H994" s="47"/>
      <c r="I994" s="75"/>
      <c r="J994" s="76"/>
      <c r="K994" s="76"/>
      <c r="L994" s="75"/>
      <c r="M994" s="49"/>
      <c r="N994" s="76"/>
      <c r="O994" s="49"/>
      <c r="P994" s="77"/>
      <c r="Q994" s="53"/>
      <c r="R994" s="54"/>
      <c r="S994" s="55"/>
      <c r="T994" s="56"/>
      <c r="U994" s="56"/>
      <c r="V994" s="42"/>
      <c r="W994" s="57"/>
      <c r="X994" s="58"/>
      <c r="Y994" s="75"/>
      <c r="Z994" s="59"/>
      <c r="AA994" s="61"/>
      <c r="AB994" s="61"/>
      <c r="AC994" s="61"/>
      <c r="AD994" s="62"/>
      <c r="AE994" s="62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</row>
    <row r="995" spans="1:77" x14ac:dyDescent="0.3">
      <c r="A995" s="39"/>
      <c r="B995" s="42"/>
      <c r="C995" s="42"/>
      <c r="D995" s="75"/>
      <c r="E995" s="75"/>
      <c r="F995" s="76"/>
      <c r="G995" s="47"/>
      <c r="H995" s="47"/>
      <c r="I995" s="75"/>
      <c r="J995" s="76"/>
      <c r="K995" s="76"/>
      <c r="L995" s="75"/>
      <c r="M995" s="49"/>
      <c r="N995" s="76"/>
      <c r="O995" s="49"/>
      <c r="P995" s="77"/>
      <c r="Q995" s="53"/>
      <c r="R995" s="54"/>
      <c r="S995" s="55"/>
      <c r="T995" s="56"/>
      <c r="U995" s="56"/>
      <c r="V995" s="42"/>
      <c r="W995" s="57"/>
      <c r="X995" s="58"/>
      <c r="Y995" s="75"/>
      <c r="Z995" s="59"/>
      <c r="AA995" s="61"/>
      <c r="AB995" s="61"/>
      <c r="AC995" s="61"/>
      <c r="AD995" s="62"/>
      <c r="AE995" s="62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</row>
    <row r="996" spans="1:77" x14ac:dyDescent="0.3">
      <c r="A996" s="39"/>
      <c r="B996" s="42"/>
      <c r="C996" s="42"/>
      <c r="D996" s="75"/>
      <c r="E996" s="75"/>
      <c r="F996" s="76"/>
      <c r="G996" s="47"/>
      <c r="H996" s="47"/>
      <c r="I996" s="75"/>
      <c r="J996" s="76"/>
      <c r="K996" s="76"/>
      <c r="L996" s="75"/>
      <c r="M996" s="49"/>
      <c r="N996" s="76"/>
      <c r="O996" s="49"/>
      <c r="P996" s="77"/>
      <c r="Q996" s="53"/>
      <c r="R996" s="54"/>
      <c r="S996" s="55"/>
      <c r="T996" s="56"/>
      <c r="U996" s="56"/>
      <c r="V996" s="42"/>
      <c r="W996" s="57"/>
      <c r="X996" s="58"/>
      <c r="Y996" s="75"/>
      <c r="Z996" s="59"/>
      <c r="AA996" s="61"/>
      <c r="AB996" s="61"/>
      <c r="AC996" s="61"/>
      <c r="AD996" s="62"/>
      <c r="AE996" s="62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</row>
    <row r="997" spans="1:77" x14ac:dyDescent="0.3">
      <c r="A997" s="39"/>
      <c r="B997" s="42"/>
      <c r="C997" s="42"/>
      <c r="D997" s="75"/>
      <c r="E997" s="75"/>
      <c r="F997" s="76"/>
      <c r="G997" s="47"/>
      <c r="H997" s="47"/>
      <c r="I997" s="75"/>
      <c r="J997" s="76"/>
      <c r="K997" s="76"/>
      <c r="L997" s="75"/>
      <c r="M997" s="49"/>
      <c r="N997" s="76"/>
      <c r="O997" s="49"/>
      <c r="P997" s="77"/>
      <c r="Q997" s="53"/>
      <c r="R997" s="54"/>
      <c r="S997" s="55"/>
      <c r="T997" s="56"/>
      <c r="U997" s="56"/>
      <c r="V997" s="42"/>
      <c r="W997" s="57"/>
      <c r="X997" s="58"/>
      <c r="Y997" s="75"/>
      <c r="Z997" s="59"/>
      <c r="AA997" s="61"/>
      <c r="AB997" s="61"/>
      <c r="AC997" s="61"/>
      <c r="AD997" s="62"/>
      <c r="AE997" s="62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</row>
    <row r="998" spans="1:77" x14ac:dyDescent="0.3">
      <c r="A998" s="39"/>
      <c r="B998" s="42"/>
      <c r="C998" s="42"/>
      <c r="D998" s="75"/>
      <c r="E998" s="75"/>
      <c r="F998" s="76"/>
      <c r="G998" s="47"/>
      <c r="H998" s="47"/>
      <c r="I998" s="75"/>
      <c r="J998" s="76"/>
      <c r="K998" s="76"/>
      <c r="L998" s="75"/>
      <c r="M998" s="49"/>
      <c r="N998" s="76"/>
      <c r="O998" s="49"/>
      <c r="P998" s="77"/>
      <c r="Q998" s="53"/>
      <c r="R998" s="54"/>
      <c r="S998" s="55"/>
      <c r="T998" s="56"/>
      <c r="U998" s="56"/>
      <c r="V998" s="42"/>
      <c r="W998" s="57"/>
      <c r="X998" s="58"/>
      <c r="Y998" s="75"/>
      <c r="Z998" s="59"/>
      <c r="AA998" s="61"/>
      <c r="AB998" s="61"/>
      <c r="AC998" s="61"/>
      <c r="AD998" s="62"/>
      <c r="AE998" s="62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</row>
    <row r="999" spans="1:77" x14ac:dyDescent="0.3">
      <c r="A999" s="39"/>
      <c r="B999" s="42"/>
      <c r="C999" s="42"/>
      <c r="D999" s="75"/>
      <c r="E999" s="75"/>
      <c r="F999" s="76"/>
      <c r="G999" s="47"/>
      <c r="H999" s="47"/>
      <c r="I999" s="75"/>
      <c r="J999" s="76"/>
      <c r="K999" s="76"/>
      <c r="L999" s="75"/>
      <c r="M999" s="49"/>
      <c r="N999" s="76"/>
      <c r="O999" s="49"/>
      <c r="P999" s="77"/>
      <c r="Q999" s="53"/>
      <c r="R999" s="54"/>
      <c r="S999" s="55"/>
      <c r="T999" s="56"/>
      <c r="U999" s="56"/>
      <c r="V999" s="42"/>
      <c r="W999" s="57"/>
      <c r="X999" s="58"/>
      <c r="Y999" s="75"/>
      <c r="Z999" s="59"/>
      <c r="AA999" s="61"/>
      <c r="AB999" s="61"/>
      <c r="AC999" s="61"/>
      <c r="AD999" s="62"/>
      <c r="AE999" s="62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</row>
    <row r="1000" spans="1:77" x14ac:dyDescent="0.3">
      <c r="A1000" s="39"/>
      <c r="B1000" s="42"/>
      <c r="C1000" s="42"/>
      <c r="D1000" s="75"/>
      <c r="E1000" s="75"/>
      <c r="F1000" s="76"/>
      <c r="G1000" s="47"/>
      <c r="H1000" s="47"/>
      <c r="I1000" s="75"/>
      <c r="J1000" s="76"/>
      <c r="K1000" s="76"/>
      <c r="L1000" s="75"/>
      <c r="M1000" s="49"/>
      <c r="N1000" s="76"/>
      <c r="O1000" s="49"/>
      <c r="P1000" s="77"/>
      <c r="Q1000" s="53"/>
      <c r="R1000" s="54"/>
      <c r="S1000" s="55"/>
      <c r="T1000" s="56"/>
      <c r="U1000" s="56"/>
      <c r="V1000" s="42"/>
      <c r="W1000" s="57"/>
      <c r="X1000" s="58"/>
      <c r="Y1000" s="75"/>
      <c r="Z1000" s="59"/>
      <c r="AA1000" s="61"/>
      <c r="AB1000" s="61"/>
      <c r="AC1000" s="61"/>
      <c r="AD1000" s="62"/>
      <c r="AE1000" s="62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</row>
  </sheetData>
  <sheetProtection formatCells="0" formatColumns="0" formatRows="0" sort="0" autoFilter="0"/>
  <autoFilter ref="A2:AD1000" xr:uid="{00000000-0009-0000-0000-000004000000}"/>
  <mergeCells count="7">
    <mergeCell ref="W1:X1"/>
    <mergeCell ref="Y1:AD1"/>
    <mergeCell ref="A1:C1"/>
    <mergeCell ref="E1:H1"/>
    <mergeCell ref="I1:K1"/>
    <mergeCell ref="L1:O1"/>
    <mergeCell ref="R1:V1"/>
  </mergeCells>
  <phoneticPr fontId="3" type="noConversion"/>
  <conditionalFormatting sqref="A3:CA3000">
    <cfRule type="expression" dxfId="3" priority="1" stopIfTrue="1">
      <formula>$CA3="вводной узел"</formula>
    </cfRule>
    <cfRule type="expression" dxfId="2" priority="2" stopIfTrue="1">
      <formula>ODD($BZ3)</formula>
    </cfRule>
    <cfRule type="expression" dxfId="1" priority="3" stopIfTrue="1">
      <formula>AND($A3&lt;&gt;"",$A3&lt;&gt;$A2)</formula>
    </cfRule>
  </conditionalFormatting>
  <dataValidations count="6">
    <dataValidation type="list" allowBlank="1" sqref="E3:E1000" xr:uid="{00000000-0002-0000-0500-000000000000}">
      <formula1>Список_автоматов</formula1>
    </dataValidation>
    <dataValidation type="list" allowBlank="1" sqref="F3:F1000" xr:uid="{00000000-0002-0000-0500-000001000000}">
      <formula1>"да,нет"</formula1>
    </dataValidation>
    <dataValidation type="list" allowBlank="1" sqref="I3:K1000" xr:uid="{00000000-0002-0000-0500-000002000000}">
      <formula1>Список_аппаратов</formula1>
    </dataValidation>
    <dataValidation type="list" allowBlank="1" sqref="L3:L1000" xr:uid="{00000000-0002-0000-0500-000003000000}">
      <formula1>Список_модулей</formula1>
    </dataValidation>
    <dataValidation type="list" allowBlank="1" sqref="N3:N1000" xr:uid="{00000000-0002-0000-0500-000004000000}">
      <formula1>"+,=,р,б/к"</formula1>
    </dataValidation>
    <dataValidation type="list" allowBlank="1" sqref="Y3:Y1000" xr:uid="{00000000-0002-0000-0500-000005000000}">
      <formula1>"вручную"</formula1>
    </dataValidation>
  </dataValidations>
  <pageMargins left="0.4" right="0.4" top="0.5" bottom="0.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AH500"/>
  <sheetViews>
    <sheetView workbookViewId="0">
      <pane xSplit="3" ySplit="3" topLeftCell="D4" activePane="bottomRight" state="frozen"/>
      <selection pane="topRight"/>
      <selection pane="bottomLeft"/>
      <selection pane="bottomRight" activeCell="D4" sqref="D4"/>
    </sheetView>
  </sheetViews>
  <sheetFormatPr defaultRowHeight="14.4" outlineLevelCol="1" x14ac:dyDescent="0.3"/>
  <cols>
    <col min="1" max="1" width="13" customWidth="1"/>
    <col min="2" max="2" width="12" customWidth="1"/>
    <col min="3" max="3" width="24" customWidth="1"/>
    <col min="4" max="5" width="8" customWidth="1"/>
    <col min="6" max="6" width="11" customWidth="1"/>
    <col min="7" max="7" width="56" customWidth="1"/>
    <col min="8" max="8" width="18" customWidth="1"/>
    <col min="9" max="9" width="7" customWidth="1"/>
    <col min="10" max="10" width="8" customWidth="1"/>
    <col min="11" max="11" width="6" customWidth="1"/>
    <col min="12" max="12" width="8" customWidth="1"/>
    <col min="13" max="13" width="7" customWidth="1"/>
    <col min="14" max="16" width="11" customWidth="1"/>
    <col min="17" max="17" width="2" customWidth="1"/>
    <col min="18" max="18" width="46" customWidth="1"/>
    <col min="19" max="19" width="22" customWidth="1"/>
    <col min="20" max="20" width="2" customWidth="1"/>
    <col min="21" max="34" width="10" hidden="1" customWidth="1" outlineLevel="1"/>
  </cols>
  <sheetData>
    <row r="1" spans="1:34" x14ac:dyDescent="0.3">
      <c r="A1" s="36" t="s">
        <v>864</v>
      </c>
    </row>
    <row r="2" spans="1:34" ht="27.6" x14ac:dyDescent="0.3">
      <c r="X2" s="35" t="s">
        <v>865</v>
      </c>
      <c r="Z2" s="35" t="s">
        <v>866</v>
      </c>
      <c r="AB2" s="35" t="s">
        <v>867</v>
      </c>
      <c r="AD2" s="35" t="s">
        <v>868</v>
      </c>
    </row>
    <row r="3" spans="1:34" ht="82.8" x14ac:dyDescent="0.3">
      <c r="A3" s="35" t="s">
        <v>869</v>
      </c>
      <c r="B3" s="35" t="s">
        <v>870</v>
      </c>
      <c r="C3" s="35" t="s">
        <v>871</v>
      </c>
      <c r="D3" s="35" t="s">
        <v>872</v>
      </c>
      <c r="E3" s="35" t="s">
        <v>565</v>
      </c>
      <c r="F3" s="35" t="s">
        <v>873</v>
      </c>
      <c r="G3" s="35" t="s">
        <v>874</v>
      </c>
      <c r="H3" s="35" t="s">
        <v>66</v>
      </c>
      <c r="I3" s="35" t="s">
        <v>875</v>
      </c>
      <c r="J3" s="35" t="s">
        <v>876</v>
      </c>
      <c r="K3" s="35" t="s">
        <v>1141</v>
      </c>
      <c r="L3" s="35" t="s">
        <v>877</v>
      </c>
      <c r="M3" s="35" t="s">
        <v>878</v>
      </c>
      <c r="N3" s="35" t="s">
        <v>1415</v>
      </c>
      <c r="O3" s="35" t="s">
        <v>879</v>
      </c>
      <c r="P3" s="35" t="s">
        <v>880</v>
      </c>
      <c r="R3" s="35" t="s">
        <v>827</v>
      </c>
      <c r="S3" s="35" t="s">
        <v>881</v>
      </c>
      <c r="U3" s="35" t="s">
        <v>882</v>
      </c>
      <c r="V3" s="35" t="s">
        <v>883</v>
      </c>
      <c r="W3" s="35" t="s">
        <v>884</v>
      </c>
      <c r="X3" s="38" t="s">
        <v>597</v>
      </c>
      <c r="Y3" s="35" t="s">
        <v>885</v>
      </c>
      <c r="Z3" s="35" t="s">
        <v>866</v>
      </c>
      <c r="AA3" s="35" t="s">
        <v>886</v>
      </c>
      <c r="AB3" s="38" t="s">
        <v>772</v>
      </c>
      <c r="AC3" s="35" t="s">
        <v>887</v>
      </c>
      <c r="AD3" s="38" t="s">
        <v>888</v>
      </c>
      <c r="AE3" s="35" t="s">
        <v>889</v>
      </c>
      <c r="AF3" s="35" t="s">
        <v>890</v>
      </c>
      <c r="AG3" s="35" t="s">
        <v>891</v>
      </c>
      <c r="AH3" s="35" t="s">
        <v>892</v>
      </c>
    </row>
    <row r="4" spans="1:34" x14ac:dyDescent="0.3">
      <c r="A4" s="74" t="s">
        <v>7</v>
      </c>
      <c r="B4" s="74" t="s">
        <v>311</v>
      </c>
      <c r="C4" s="74" t="s">
        <v>893</v>
      </c>
      <c r="D4" s="74"/>
      <c r="E4" s="74"/>
      <c r="F4" s="74"/>
      <c r="G4" s="74" t="s">
        <v>894</v>
      </c>
      <c r="H4" s="74" t="s">
        <v>316</v>
      </c>
      <c r="I4" s="74" t="s">
        <v>895</v>
      </c>
      <c r="J4" s="74">
        <v>10</v>
      </c>
      <c r="K4" s="74" t="s">
        <v>568</v>
      </c>
      <c r="L4" s="74">
        <v>1</v>
      </c>
      <c r="M4" s="74" t="s">
        <v>307</v>
      </c>
      <c r="N4" s="38">
        <f>IF(OR(A4="Автомат",A4="Дифавтомат"),IF(W4="","",COUNTIFS(Однолинейка!$H$3:$H$3000,U4,Однолинейка!$A$3:$A$3000,Щит_спец)),IF(A4="Аппарат",IF(C4="","",COUNTIFS(Однолинейка!$I$3:$I$3000,C4,Однолинейка!$A$3:$A$3000,Щит_спец)+COUNTIFS(Однолинейка!$J$3:$J$3000,C4,Однолинейка!$A$3:$A$3000,Щит_спец)+COUNTIFS(Однолинейка!$K$3:$K$3000,C4,Однолинейка!$A$3:$A$3000,Щит_спец)),IF(A4="Модуль",IF(C4="","",COUNTIFS(Однолинейка!$AW$3:$AW$3000,"?*",Однолинейка!$AI$3:$AI$3000,C4,Однолинейка!$A$3:$A$3000,Щит_спец)),IF(A4="Клемма",IF(C4="","",IF(C4=$S$7,SUMIFS(Однолинейка!$BW$3:$BW$3000,Однолинейка!$A$3:$A$3000,Щит_спец),IF(C4=$S$8,SUMIFS(Однолинейка!$BX$3:$BX$3000,Однолинейка!$A$3:$A$3000,Щит_спец),""))),""))))</f>
        <v>7</v>
      </c>
      <c r="O4" s="74"/>
      <c r="P4" s="38">
        <f t="shared" ref="P4:P67" si="0">IF(COUNT(N4,O4)=0,"",SUM(N4,O4))</f>
        <v>7</v>
      </c>
      <c r="R4" s="38" t="s">
        <v>896</v>
      </c>
      <c r="S4" s="74" t="s">
        <v>311</v>
      </c>
      <c r="U4" s="38" t="str">
        <f t="shared" ref="U4:U67" si="1">IF(OR(A4="Автомат",A4="Дифавтомат"),I4&amp;" С"&amp;J4&amp;"А"&amp;IF(K4="да"," 30мА",IF(ISNUMBER(K4)," "&amp;K4&amp;"мА","")),"")</f>
        <v>1P С10А</v>
      </c>
      <c r="V4" s="38" t="str">
        <f t="shared" ref="V4:V67" si="2">IF(U4="","",B4&amp;"|"&amp;U4)</f>
        <v>Chint|1P С10А</v>
      </c>
      <c r="W4" s="38">
        <f>IF(AND(U4&lt;&gt;"",OR($S$4="(все)",B4=$S$4),IF($S$4="(все)",COUNTIF($U$4:U4,U4),COUNTIFS($U$4:U4,U4,$B$4:B4,B4))=1),MAX($W$3:W3)+1,"")</f>
        <v>1</v>
      </c>
      <c r="X4" s="38" t="str">
        <f t="shared" ref="X4:X67" si="3">IFERROR(INDEX($U$4:$U$500,MATCH(ROW()-3,$W$4:$W$500,0)),"")</f>
        <v>1P С10А</v>
      </c>
      <c r="Y4" s="38" t="str">
        <f>IF(AND(A4="Аппарат",C4&lt;&gt;"",OR($S$5="(все)",B4=$S$5)),MAX($Y$3:Y3)+1,"")</f>
        <v/>
      </c>
      <c r="Z4" s="38" t="str">
        <f t="shared" ref="Z4:Z67" si="4">IFERROR(INDEX($C$4:$C$500,MATCH(ROW()-3,$Y$4:$Y$500,0)),"")</f>
        <v>МК-5-1</v>
      </c>
      <c r="AA4" s="38" t="str">
        <f>IF(AND(A4="Модуль",C4&lt;&gt;"",OR($S$6="(все)",B4=$S$6)),MAX($AA$3:AA3)+1,"")</f>
        <v/>
      </c>
      <c r="AB4" s="38" t="str">
        <f t="shared" ref="AB4:AB67" si="5">IFERROR(INDEX($C$4:$C$500,MATCH(ROW()-3,$AA$4:$AA$500,0)),"")</f>
        <v>ZIOMB24V2</v>
      </c>
      <c r="AC4" s="38">
        <f>IF(OR(B4="",COUNTIF($B$4:B4,B4)&gt;1),"",MAX($AC$3:AC3)+1)</f>
        <v>1</v>
      </c>
      <c r="AD4" s="38" t="str">
        <f t="shared" ref="AD4:AD67" si="6">IFERROR(INDEX($B$4:$B$500,MATCH(ROW()-3,$AC$4:$AC$500,0)),"")</f>
        <v>Chint</v>
      </c>
      <c r="AE4" s="38">
        <f t="shared" ref="AE4:AE67" si="7">IF(AND(A4&lt;&gt;"",N(P4)&gt;0),IFERROR(MATCH(A4,$R$12:$R$25,0),99)*1000+ROW(),"")</f>
        <v>2004</v>
      </c>
      <c r="AF4" s="38">
        <f t="shared" ref="AF4:AF67" si="8">IF(AE4="","",COUNTIF($AE$4:$AE$500,"&lt;="&amp;AE4))</f>
        <v>17</v>
      </c>
      <c r="AG4" s="38" t="str">
        <f>IF(Спецификация_авто!$L$4="","",IF(IF($S$4="(все)",COUNTIF($U$4:$U$500,Спецификация_авто!$L$4),COUNTIF($V$4:$V$500,$S$4&amp;"|"&amp;Спецификация_авто!$L$4))=0,Спецификация_авто!$L$4,""))</f>
        <v/>
      </c>
      <c r="AH4" s="38" t="str">
        <f>IF(AG4="","",COUNTIF($AG$4:AG4,"?*"))</f>
        <v/>
      </c>
    </row>
    <row r="5" spans="1:34" x14ac:dyDescent="0.3">
      <c r="A5" s="74" t="s">
        <v>7</v>
      </c>
      <c r="B5" s="74" t="s">
        <v>311</v>
      </c>
      <c r="C5" s="74" t="s">
        <v>897</v>
      </c>
      <c r="D5" s="74"/>
      <c r="E5" s="74"/>
      <c r="F5" s="74"/>
      <c r="G5" s="74" t="s">
        <v>898</v>
      </c>
      <c r="H5" s="74" t="s">
        <v>315</v>
      </c>
      <c r="I5" s="74" t="s">
        <v>895</v>
      </c>
      <c r="J5" s="74">
        <v>16</v>
      </c>
      <c r="K5" s="74" t="s">
        <v>568</v>
      </c>
      <c r="L5" s="74">
        <v>1</v>
      </c>
      <c r="M5" s="74" t="s">
        <v>307</v>
      </c>
      <c r="N5" s="38">
        <f>IF(OR(A5="Автомат",A5="Дифавтомат"),IF(W5="","",COUNTIFS(Однолинейка!$H$3:$H$3000,U5,Однолинейка!$A$3:$A$3000,Щит_спец)),IF(A5="Аппарат",IF(C5="","",COUNTIFS(Однолинейка!$I$3:$I$3000,C5,Однолинейка!$A$3:$A$3000,Щит_спец)+COUNTIFS(Однолинейка!$J$3:$J$3000,C5,Однолинейка!$A$3:$A$3000,Щит_спец)+COUNTIFS(Однолинейка!$K$3:$K$3000,C5,Однолинейка!$A$3:$A$3000,Щит_спец)),IF(A5="Модуль",IF(C5="","",COUNTIFS(Однолинейка!$AW$3:$AW$3000,"?*",Однолинейка!$AI$3:$AI$3000,C5,Однолинейка!$A$3:$A$3000,Щит_спец)),IF(A5="Клемма",IF(C5="","",IF(C5=$S$7,SUMIFS(Однолинейка!$BW$3:$BW$3000,Однолинейка!$A$3:$A$3000,Щит_спец),IF(C5=$S$8,SUMIFS(Однолинейка!$BX$3:$BX$3000,Однолинейка!$A$3:$A$3000,Щит_спец),""))),""))))</f>
        <v>0</v>
      </c>
      <c r="O5" s="74"/>
      <c r="P5" s="38">
        <f t="shared" si="0"/>
        <v>0</v>
      </c>
      <c r="R5" s="38" t="s">
        <v>899</v>
      </c>
      <c r="S5" s="74" t="s">
        <v>888</v>
      </c>
      <c r="U5" s="38" t="str">
        <f t="shared" si="1"/>
        <v>1P С16А</v>
      </c>
      <c r="V5" s="38" t="str">
        <f t="shared" si="2"/>
        <v>Chint|1P С16А</v>
      </c>
      <c r="W5" s="38">
        <f>IF(AND(U5&lt;&gt;"",OR($S$4="(все)",B5=$S$4),IF($S$4="(все)",COUNTIF($U$4:U5,U5),COUNTIFS($U$4:U5,U5,$B$4:B5,B5))=1),MAX($W$3:W4)+1,"")</f>
        <v>2</v>
      </c>
      <c r="X5" s="38" t="str">
        <f t="shared" si="3"/>
        <v>1P С16А</v>
      </c>
      <c r="Y5" s="38" t="str">
        <f>IF(AND(A5="Аппарат",C5&lt;&gt;"",OR($S$5="(все)",B5=$S$5)),MAX($Y$3:Y4)+1,"")</f>
        <v/>
      </c>
      <c r="Z5" s="38" t="str">
        <f t="shared" si="4"/>
        <v>КМ NCH8-63/40</v>
      </c>
      <c r="AA5" s="38" t="str">
        <f>IF(AND(A5="Модуль",C5&lt;&gt;"",OR($S$6="(все)",B5=$S$6)),MAX($AA$3:AA4)+1,"")</f>
        <v/>
      </c>
      <c r="AB5" s="38" t="str">
        <f t="shared" si="5"/>
        <v>ZIO-MB24</v>
      </c>
      <c r="AC5" s="38" t="str">
        <f>IF(OR(B5="",COUNTIF($B$4:B5,B5)&gt;1),"",MAX($AC$3:AC4)+1)</f>
        <v/>
      </c>
      <c r="AD5" s="38" t="str">
        <f t="shared" si="6"/>
        <v>Россия</v>
      </c>
      <c r="AE5" s="38" t="str">
        <f t="shared" si="7"/>
        <v/>
      </c>
      <c r="AF5" s="38" t="str">
        <f t="shared" si="8"/>
        <v/>
      </c>
      <c r="AG5" s="38" t="str">
        <f>IF(Спецификация_авто!$L$5="","",IF(IF($S$4="(все)",COUNTIF($U$4:$U$500,Спецификация_авто!$L$5),COUNTIF($V$4:$V$500,$S$4&amp;"|"&amp;Спецификация_авто!$L$5))=0,Спецификация_авто!$L$5,""))</f>
        <v>4P С16А 30мА</v>
      </c>
      <c r="AH5" s="38">
        <f>IF(AG5="","",COUNTIF($AG$4:AG5,"?*"))</f>
        <v>1</v>
      </c>
    </row>
    <row r="6" spans="1:34" x14ac:dyDescent="0.3">
      <c r="A6" s="74" t="s">
        <v>7</v>
      </c>
      <c r="B6" s="74" t="s">
        <v>311</v>
      </c>
      <c r="C6" s="74" t="s">
        <v>900</v>
      </c>
      <c r="D6" s="74"/>
      <c r="E6" s="74"/>
      <c r="F6" s="74"/>
      <c r="G6" s="74" t="s">
        <v>901</v>
      </c>
      <c r="H6" s="74" t="s">
        <v>902</v>
      </c>
      <c r="I6" s="74" t="s">
        <v>903</v>
      </c>
      <c r="J6" s="74">
        <v>20</v>
      </c>
      <c r="K6" s="74" t="s">
        <v>568</v>
      </c>
      <c r="L6" s="74">
        <v>3</v>
      </c>
      <c r="M6" s="74" t="s">
        <v>307</v>
      </c>
      <c r="N6" s="38">
        <f>IF(OR(A6="Автомат",A6="Дифавтомат"),IF(W6="","",COUNTIFS(Однолинейка!$H$3:$H$3000,U6,Однолинейка!$A$3:$A$3000,Щит_спец)),IF(A6="Аппарат",IF(C6="","",COUNTIFS(Однолинейка!$I$3:$I$3000,C6,Однолинейка!$A$3:$A$3000,Щит_спец)+COUNTIFS(Однолинейка!$J$3:$J$3000,C6,Однолинейка!$A$3:$A$3000,Щит_спец)+COUNTIFS(Однолинейка!$K$3:$K$3000,C6,Однолинейка!$A$3:$A$3000,Щит_спец)),IF(A6="Модуль",IF(C6="","",COUNTIFS(Однолинейка!$AW$3:$AW$3000,"?*",Однолинейка!$AI$3:$AI$3000,C6,Однолинейка!$A$3:$A$3000,Щит_спец)),IF(A6="Клемма",IF(C6="","",IF(C6=$S$7,SUMIFS(Однолинейка!$BW$3:$BW$3000,Однолинейка!$A$3:$A$3000,Щит_спец),IF(C6=$S$8,SUMIFS(Однолинейка!$BX$3:$BX$3000,Однолинейка!$A$3:$A$3000,Щит_спец),""))),""))))</f>
        <v>0</v>
      </c>
      <c r="O6" s="74"/>
      <c r="P6" s="38">
        <f t="shared" si="0"/>
        <v>0</v>
      </c>
      <c r="R6" s="38" t="s">
        <v>904</v>
      </c>
      <c r="S6" s="74" t="s">
        <v>888</v>
      </c>
      <c r="U6" s="38" t="str">
        <f t="shared" si="1"/>
        <v>3P С20А</v>
      </c>
      <c r="V6" s="38" t="str">
        <f t="shared" si="2"/>
        <v>Chint|3P С20А</v>
      </c>
      <c r="W6" s="38">
        <f>IF(AND(U6&lt;&gt;"",OR($S$4="(все)",B6=$S$4),IF($S$4="(все)",COUNTIF($U$4:U6,U6),COUNTIFS($U$4:U6,U6,$B$4:B6,B6))=1),MAX($W$3:W5)+1,"")</f>
        <v>3</v>
      </c>
      <c r="X6" s="38" t="str">
        <f t="shared" si="3"/>
        <v>3P С20А</v>
      </c>
      <c r="Y6" s="38" t="str">
        <f>IF(AND(A6="Аппарат",C6&lt;&gt;"",OR($S$5="(все)",B6=$S$5)),MAX($Y$3:Y5)+1,"")</f>
        <v/>
      </c>
      <c r="Z6" s="38" t="str">
        <f t="shared" si="4"/>
        <v>КМ NCH8-40/40</v>
      </c>
      <c r="AA6" s="38" t="str">
        <f>IF(AND(A6="Модуль",C6&lt;&gt;"",OR($S$6="(все)",B6=$S$6)),MAX($AA$3:AA5)+1,"")</f>
        <v/>
      </c>
      <c r="AB6" s="38" t="str">
        <f t="shared" si="5"/>
        <v>ZIOMB16V3</v>
      </c>
      <c r="AC6" s="38" t="str">
        <f>IF(OR(B6="",COUNTIF($B$4:B6,B6)&gt;1),"",MAX($AC$3:AC5)+1)</f>
        <v/>
      </c>
      <c r="AD6" s="38" t="str">
        <f t="shared" si="6"/>
        <v>Arlight</v>
      </c>
      <c r="AE6" s="38" t="str">
        <f t="shared" si="7"/>
        <v/>
      </c>
      <c r="AF6" s="38" t="str">
        <f t="shared" si="8"/>
        <v/>
      </c>
      <c r="AG6" s="38" t="str">
        <f>IF(Спецификация_авто!$L$6="","",IF(IF($S$4="(все)",COUNTIF($U$4:$U$500,Спецификация_авто!$L$6),COUNTIF($V$4:$V$500,$S$4&amp;"|"&amp;Спецификация_авто!$L$6))=0,Спецификация_авто!$L$6,""))</f>
        <v/>
      </c>
      <c r="AH6" s="38" t="str">
        <f>IF(AG6="","",COUNTIF($AG$4:AG6,"?*"))</f>
        <v/>
      </c>
    </row>
    <row r="7" spans="1:34" x14ac:dyDescent="0.3">
      <c r="A7" s="74" t="s">
        <v>7</v>
      </c>
      <c r="B7" s="74" t="s">
        <v>311</v>
      </c>
      <c r="C7" s="74" t="s">
        <v>905</v>
      </c>
      <c r="D7" s="74"/>
      <c r="E7" s="74"/>
      <c r="F7" s="74"/>
      <c r="G7" s="74" t="s">
        <v>906</v>
      </c>
      <c r="H7" s="74" t="s">
        <v>907</v>
      </c>
      <c r="I7" s="74" t="s">
        <v>908</v>
      </c>
      <c r="J7" s="74">
        <v>50</v>
      </c>
      <c r="K7" s="74" t="s">
        <v>568</v>
      </c>
      <c r="L7" s="74">
        <v>4</v>
      </c>
      <c r="M7" s="74" t="s">
        <v>307</v>
      </c>
      <c r="N7" s="38">
        <f>IF(OR(A7="Автомат",A7="Дифавтомат"),IF(W7="","",COUNTIFS(Однолинейка!$H$3:$H$3000,U7,Однолинейка!$A$3:$A$3000,Щит_спец)),IF(A7="Аппарат",IF(C7="","",COUNTIFS(Однолинейка!$I$3:$I$3000,C7,Однолинейка!$A$3:$A$3000,Щит_спец)+COUNTIFS(Однолинейка!$J$3:$J$3000,C7,Однолинейка!$A$3:$A$3000,Щит_спец)+COUNTIFS(Однолинейка!$K$3:$K$3000,C7,Однолинейка!$A$3:$A$3000,Щит_спец)),IF(A7="Модуль",IF(C7="","",COUNTIFS(Однолинейка!$AW$3:$AW$3000,"?*",Однолинейка!$AI$3:$AI$3000,C7,Однолинейка!$A$3:$A$3000,Щит_спец)),IF(A7="Клемма",IF(C7="","",IF(C7=$S$7,SUMIFS(Однолинейка!$BW$3:$BW$3000,Однолинейка!$A$3:$A$3000,Щит_спец),IF(C7=$S$8,SUMIFS(Однолинейка!$BX$3:$BX$3000,Однолинейка!$A$3:$A$3000,Щит_спец),""))),""))))</f>
        <v>0</v>
      </c>
      <c r="O7" s="74"/>
      <c r="P7" s="38">
        <f t="shared" si="0"/>
        <v>0</v>
      </c>
      <c r="R7" s="38" t="s">
        <v>909</v>
      </c>
      <c r="S7" s="74" t="s">
        <v>342</v>
      </c>
      <c r="U7" s="38" t="str">
        <f t="shared" si="1"/>
        <v>4P С50А</v>
      </c>
      <c r="V7" s="38" t="str">
        <f t="shared" si="2"/>
        <v>Chint|4P С50А</v>
      </c>
      <c r="W7" s="38">
        <f>IF(AND(U7&lt;&gt;"",OR($S$4="(все)",B7=$S$4),IF($S$4="(все)",COUNTIF($U$4:U7,U7),COUNTIFS($U$4:U7,U7,$B$4:B7,B7))=1),MAX($W$3:W6)+1,"")</f>
        <v>4</v>
      </c>
      <c r="X7" s="38" t="str">
        <f t="shared" si="3"/>
        <v>4P С50А</v>
      </c>
      <c r="Y7" s="38" t="str">
        <f>IF(AND(A7="Аппарат",C7&lt;&gt;"",OR($S$5="(все)",B7=$S$5)),MAX($Y$3:Y6)+1,"")</f>
        <v/>
      </c>
      <c r="Z7" s="38" t="str">
        <f t="shared" si="4"/>
        <v>NJVA1-100</v>
      </c>
      <c r="AA7" s="38" t="str">
        <f>IF(AND(A7="Модуль",C7&lt;&gt;"",OR($S$6="(все)",B7=$S$6)),MAX($AA$3:AA6)+1,"")</f>
        <v/>
      </c>
      <c r="AB7" s="38" t="str">
        <f t="shared" si="5"/>
        <v>ZIOMB8V3</v>
      </c>
      <c r="AC7" s="38" t="str">
        <f>IF(OR(B7="",COUNTIF($B$4:B7,B7)&gt;1),"",MAX($AC$3:AC6)+1)</f>
        <v/>
      </c>
      <c r="AD7" s="38" t="str">
        <f t="shared" si="6"/>
        <v>Zennio</v>
      </c>
      <c r="AE7" s="38" t="str">
        <f t="shared" si="7"/>
        <v/>
      </c>
      <c r="AF7" s="38" t="str">
        <f t="shared" si="8"/>
        <v/>
      </c>
      <c r="AG7" s="38" t="str">
        <f>IF(Спецификация_авто!$L$7="","",IF(IF($S$4="(все)",COUNTIF($U$4:$U$500,Спецификация_авто!$L$7),COUNTIF($V$4:$V$500,$S$4&amp;"|"&amp;Спецификация_авто!$L$7))=0,Спецификация_авто!$L$7,""))</f>
        <v/>
      </c>
      <c r="AH7" s="38" t="str">
        <f>IF(AG7="","",COUNTIF($AG$4:AG7,"?*"))</f>
        <v/>
      </c>
    </row>
    <row r="8" spans="1:34" x14ac:dyDescent="0.3">
      <c r="A8" s="74" t="s">
        <v>7</v>
      </c>
      <c r="B8" s="74" t="s">
        <v>311</v>
      </c>
      <c r="C8" s="74" t="s">
        <v>910</v>
      </c>
      <c r="D8" s="74"/>
      <c r="E8" s="74"/>
      <c r="F8" s="74"/>
      <c r="G8" s="74" t="s">
        <v>911</v>
      </c>
      <c r="H8" s="74" t="s">
        <v>393</v>
      </c>
      <c r="I8" s="74" t="s">
        <v>903</v>
      </c>
      <c r="J8" s="74">
        <v>80</v>
      </c>
      <c r="K8" s="74" t="s">
        <v>568</v>
      </c>
      <c r="L8" s="74">
        <v>4.5</v>
      </c>
      <c r="M8" s="74" t="s">
        <v>307</v>
      </c>
      <c r="N8" s="38">
        <f>IF(OR(A8="Автомат",A8="Дифавтомат"),IF(W8="","",COUNTIFS(Однолинейка!$H$3:$H$3000,U8,Однолинейка!$A$3:$A$3000,Щит_спец)),IF(A8="Аппарат",IF(C8="","",COUNTIFS(Однолинейка!$I$3:$I$3000,C8,Однолинейка!$A$3:$A$3000,Щит_спец)+COUNTIFS(Однолинейка!$J$3:$J$3000,C8,Однолинейка!$A$3:$A$3000,Щит_спец)+COUNTIFS(Однолинейка!$K$3:$K$3000,C8,Однолинейка!$A$3:$A$3000,Щит_спец)),IF(A8="Модуль",IF(C8="","",COUNTIFS(Однолинейка!$AW$3:$AW$3000,"?*",Однолинейка!$AI$3:$AI$3000,C8,Однолинейка!$A$3:$A$3000,Щит_спец)),IF(A8="Клемма",IF(C8="","",IF(C8=$S$7,SUMIFS(Однолинейка!$BW$3:$BW$3000,Однолинейка!$A$3:$A$3000,Щит_спец),IF(C8=$S$8,SUMIFS(Однолинейка!$BX$3:$BX$3000,Однолинейка!$A$3:$A$3000,Щит_спец),""))),""))))</f>
        <v>0</v>
      </c>
      <c r="O8" s="74"/>
      <c r="P8" s="38">
        <f t="shared" si="0"/>
        <v>0</v>
      </c>
      <c r="R8" s="38" t="s">
        <v>912</v>
      </c>
      <c r="S8" s="74" t="s">
        <v>424</v>
      </c>
      <c r="U8" s="38" t="str">
        <f t="shared" si="1"/>
        <v>3P С80А</v>
      </c>
      <c r="V8" s="38" t="str">
        <f t="shared" si="2"/>
        <v>Chint|3P С80А</v>
      </c>
      <c r="W8" s="38">
        <f>IF(AND(U8&lt;&gt;"",OR($S$4="(все)",B8=$S$4),IF($S$4="(все)",COUNTIF($U$4:U8,U8),COUNTIFS($U$4:U8,U8,$B$4:B8,B8))=1),MAX($W$3:W7)+1,"")</f>
        <v>5</v>
      </c>
      <c r="X8" s="38" t="str">
        <f t="shared" si="3"/>
        <v>3P С80А</v>
      </c>
      <c r="Y8" s="38" t="str">
        <f>IF(AND(A8="Аппарат",C8&lt;&gt;"",OR($S$5="(все)",B8=$S$5)),MAX($Y$3:Y7)+1,"")</f>
        <v/>
      </c>
      <c r="Z8" s="38" t="str">
        <f t="shared" si="4"/>
        <v>NZK1-32 2P</v>
      </c>
      <c r="AA8" s="38" t="str">
        <f>IF(AND(A8="Модуль",C8&lt;&gt;"",OR($S$6="(все)",B8=$S$6)),MAX($AA$3:AA7)+1,"")</f>
        <v/>
      </c>
      <c r="AB8" s="38" t="str">
        <f t="shared" si="5"/>
        <v>ZCL-8HT230</v>
      </c>
      <c r="AC8" s="38" t="str">
        <f>IF(OR(B8="",COUNTIF($B$4:B8,B8)&gt;1),"",MAX($AC$3:AC7)+1)</f>
        <v/>
      </c>
      <c r="AD8" s="38" t="str">
        <f t="shared" si="6"/>
        <v>—</v>
      </c>
      <c r="AE8" s="38" t="str">
        <f t="shared" si="7"/>
        <v/>
      </c>
      <c r="AF8" s="38" t="str">
        <f t="shared" si="8"/>
        <v/>
      </c>
      <c r="AG8" s="38" t="str">
        <f>IF(Спецификация_авто!$L$8="","",IF(IF($S$4="(все)",COUNTIF($U$4:$U$500,Спецификация_авто!$L$8),COUNTIF($V$4:$V$500,$S$4&amp;"|"&amp;Спецификация_авто!$L$8))=0,Спецификация_авто!$L$8,""))</f>
        <v/>
      </c>
      <c r="AH8" s="38" t="str">
        <f>IF(AG8="","",COUNTIF($AG$4:AG8,"?*"))</f>
        <v/>
      </c>
    </row>
    <row r="9" spans="1:34" x14ac:dyDescent="0.3">
      <c r="A9" s="74" t="s">
        <v>913</v>
      </c>
      <c r="B9" s="74" t="s">
        <v>311</v>
      </c>
      <c r="C9" s="74" t="s">
        <v>914</v>
      </c>
      <c r="D9" s="74"/>
      <c r="E9" s="74"/>
      <c r="F9" s="74"/>
      <c r="G9" s="74" t="s">
        <v>915</v>
      </c>
      <c r="H9" s="74" t="s">
        <v>318</v>
      </c>
      <c r="I9" s="74" t="s">
        <v>916</v>
      </c>
      <c r="J9" s="74">
        <v>16</v>
      </c>
      <c r="K9" s="74" t="s">
        <v>572</v>
      </c>
      <c r="L9" s="74">
        <v>2</v>
      </c>
      <c r="M9" s="74" t="s">
        <v>307</v>
      </c>
      <c r="N9" s="38">
        <f>IF(OR(A9="Автомат",A9="Дифавтомат"),IF(W9="","",COUNTIFS(Однолинейка!$H$3:$H$3000,U9,Однолинейка!$A$3:$A$3000,Щит_спец)),IF(A9="Аппарат",IF(C9="","",COUNTIFS(Однолинейка!$I$3:$I$3000,C9,Однолинейка!$A$3:$A$3000,Щит_спец)+COUNTIFS(Однолинейка!$J$3:$J$3000,C9,Однолинейка!$A$3:$A$3000,Щит_спец)+COUNTIFS(Однолинейка!$K$3:$K$3000,C9,Однолинейка!$A$3:$A$3000,Щит_спец)),IF(A9="Модуль",IF(C9="","",COUNTIFS(Однолинейка!$AW$3:$AW$3000,"?*",Однолинейка!$AI$3:$AI$3000,C9,Однолинейка!$A$3:$A$3000,Щит_спец)),IF(A9="Клемма",IF(C9="","",IF(C9=$S$7,SUMIFS(Однолинейка!$BW$3:$BW$3000,Однолинейка!$A$3:$A$3000,Щит_спец),IF(C9=$S$8,SUMIFS(Однолинейка!$BX$3:$BX$3000,Однолинейка!$A$3:$A$3000,Щит_спец),""))),""))))</f>
        <v>27</v>
      </c>
      <c r="O9" s="74"/>
      <c r="P9" s="38">
        <f t="shared" si="0"/>
        <v>27</v>
      </c>
      <c r="R9" s="38" t="s">
        <v>917</v>
      </c>
      <c r="S9" s="74">
        <v>1</v>
      </c>
      <c r="U9" s="38" t="str">
        <f t="shared" si="1"/>
        <v>2P С16А 30мА</v>
      </c>
      <c r="V9" s="38" t="str">
        <f t="shared" si="2"/>
        <v>Chint|2P С16А 30мА</v>
      </c>
      <c r="W9" s="38">
        <f>IF(AND(U9&lt;&gt;"",OR($S$4="(все)",B9=$S$4),IF($S$4="(все)",COUNTIF($U$4:U9,U9),COUNTIFS($U$4:U9,U9,$B$4:B9,B9))=1),MAX($W$3:W8)+1,"")</f>
        <v>6</v>
      </c>
      <c r="X9" s="38" t="str">
        <f t="shared" si="3"/>
        <v>2P С16А 30мА</v>
      </c>
      <c r="Y9" s="38" t="str">
        <f>IF(AND(A9="Аппарат",C9&lt;&gt;"",OR($S$5="(все)",B9=$S$5)),MAX($Y$3:Y8)+1,"")</f>
        <v/>
      </c>
      <c r="Z9" s="38" t="str">
        <f t="shared" si="4"/>
        <v>БП 24V 480W</v>
      </c>
      <c r="AA9" s="38" t="str">
        <f>IF(AND(A9="Модуль",C9&lt;&gt;"",OR($S$6="(все)",B9=$S$6)),MAX($AA$3:AA8)+1,"")</f>
        <v/>
      </c>
      <c r="AB9" s="38" t="str">
        <f t="shared" si="5"/>
        <v>ZDINDX4</v>
      </c>
      <c r="AC9" s="38" t="str">
        <f>IF(OR(B9="",COUNTIF($B$4:B9,B9)&gt;1),"",MAX($AC$3:AC8)+1)</f>
        <v/>
      </c>
      <c r="AD9" s="38" t="str">
        <f t="shared" si="6"/>
        <v>DKC</v>
      </c>
      <c r="AE9" s="38">
        <f t="shared" si="7"/>
        <v>3009</v>
      </c>
      <c r="AF9" s="38">
        <f t="shared" si="8"/>
        <v>18</v>
      </c>
      <c r="AG9" s="38" t="str">
        <f>IF(Спецификация_авто!$L$9="","",IF(IF($S$4="(все)",COUNTIF($U$4:$U$500,Спецификация_авто!$L$9),COUNTIF($V$4:$V$500,$S$4&amp;"|"&amp;Спецификация_авто!$L$9))=0,Спецификация_авто!$L$9,""))</f>
        <v/>
      </c>
      <c r="AH9" s="38" t="str">
        <f>IF(AG9="","",COUNTIF($AG$4:AG9,"?*"))</f>
        <v/>
      </c>
    </row>
    <row r="10" spans="1:34" x14ac:dyDescent="0.3">
      <c r="A10" s="74" t="s">
        <v>913</v>
      </c>
      <c r="B10" s="74" t="s">
        <v>311</v>
      </c>
      <c r="C10" s="74" t="s">
        <v>918</v>
      </c>
      <c r="D10" s="74"/>
      <c r="E10" s="74"/>
      <c r="F10" s="74"/>
      <c r="G10" s="74" t="s">
        <v>919</v>
      </c>
      <c r="H10" s="74" t="s">
        <v>409</v>
      </c>
      <c r="I10" s="74" t="s">
        <v>916</v>
      </c>
      <c r="J10" s="74">
        <v>20</v>
      </c>
      <c r="K10" s="74" t="s">
        <v>572</v>
      </c>
      <c r="L10" s="74">
        <v>2</v>
      </c>
      <c r="M10" s="74" t="s">
        <v>307</v>
      </c>
      <c r="N10" s="38">
        <f>IF(OR(A10="Автомат",A10="Дифавтомат"),IF(W10="","",COUNTIFS(Однолинейка!$H$3:$H$3000,U10,Однолинейка!$A$3:$A$3000,Щит_спец)),IF(A10="Аппарат",IF(C10="","",COUNTIFS(Однолинейка!$I$3:$I$3000,C10,Однолинейка!$A$3:$A$3000,Щит_спец)+COUNTIFS(Однолинейка!$J$3:$J$3000,C10,Однолинейка!$A$3:$A$3000,Щит_спец)+COUNTIFS(Однолинейка!$K$3:$K$3000,C10,Однолинейка!$A$3:$A$3000,Щит_спец)),IF(A10="Модуль",IF(C10="","",COUNTIFS(Однолинейка!$AW$3:$AW$3000,"?*",Однолинейка!$AI$3:$AI$3000,C10,Однолинейка!$A$3:$A$3000,Щит_спец)),IF(A10="Клемма",IF(C10="","",IF(C10=$S$7,SUMIFS(Однолинейка!$BW$3:$BW$3000,Однолинейка!$A$3:$A$3000,Щит_спец),IF(C10=$S$8,SUMIFS(Однолинейка!$BX$3:$BX$3000,Однолинейка!$A$3:$A$3000,Щит_спец),""))),""))))</f>
        <v>0</v>
      </c>
      <c r="O10" s="74"/>
      <c r="P10" s="38">
        <f t="shared" si="0"/>
        <v>0</v>
      </c>
      <c r="U10" s="38" t="str">
        <f t="shared" si="1"/>
        <v>2P С20А 30мА</v>
      </c>
      <c r="V10" s="38" t="str">
        <f t="shared" si="2"/>
        <v>Chint|2P С20А 30мА</v>
      </c>
      <c r="W10" s="38">
        <f>IF(AND(U10&lt;&gt;"",OR($S$4="(все)",B10=$S$4),IF($S$4="(все)",COUNTIF($U$4:U10,U10),COUNTIFS($U$4:U10,U10,$B$4:B10,B10))=1),MAX($W$3:W9)+1,"")</f>
        <v>7</v>
      </c>
      <c r="X10" s="38" t="str">
        <f t="shared" si="3"/>
        <v>2P С20А 30мА</v>
      </c>
      <c r="Y10" s="38" t="str">
        <f>IF(AND(A10="Аппарат",C10&lt;&gt;"",OR($S$5="(все)",B10=$S$5)),MAX($Y$3:Y9)+1,"")</f>
        <v/>
      </c>
      <c r="Z10" s="38" t="str">
        <f t="shared" si="4"/>
        <v>БП 24V 75W</v>
      </c>
      <c r="AA10" s="38" t="str">
        <f>IF(AND(A10="Модуль",C10&lt;&gt;"",OR($S$6="(все)",B10=$S$6)),MAX($AA$3:AA9)+1,"")</f>
        <v/>
      </c>
      <c r="AB10" s="38" t="str">
        <f t="shared" si="5"/>
        <v>ZDID64X2</v>
      </c>
      <c r="AC10" s="38" t="str">
        <f>IF(OR(B10="",COUNTIF($B$4:B10,B10)&gt;1),"",MAX($AC$3:AC9)+1)</f>
        <v/>
      </c>
      <c r="AD10" s="38" t="str">
        <f t="shared" si="6"/>
        <v>EKF</v>
      </c>
      <c r="AE10" s="38" t="str">
        <f t="shared" si="7"/>
        <v/>
      </c>
      <c r="AF10" s="38" t="str">
        <f t="shared" si="8"/>
        <v/>
      </c>
      <c r="AG10" s="38" t="str">
        <f>IF(Спецификация_авто!$L$10="","",IF(IF($S$4="(все)",COUNTIF($U$4:$U$500,Спецификация_авто!$L$10),COUNTIF($V$4:$V$500,$S$4&amp;"|"&amp;Спецификация_авто!$L$10))=0,Спецификация_авто!$L$10,""))</f>
        <v/>
      </c>
      <c r="AH10" s="38" t="str">
        <f>IF(AG10="","",COUNTIF($AG$4:AG10,"?*"))</f>
        <v/>
      </c>
    </row>
    <row r="11" spans="1:34" ht="27.6" x14ac:dyDescent="0.3">
      <c r="A11" s="74" t="s">
        <v>913</v>
      </c>
      <c r="B11" s="74" t="s">
        <v>311</v>
      </c>
      <c r="C11" s="74" t="s">
        <v>920</v>
      </c>
      <c r="D11" s="74"/>
      <c r="E11" s="74"/>
      <c r="F11" s="74"/>
      <c r="G11" s="74" t="s">
        <v>921</v>
      </c>
      <c r="H11" s="74" t="s">
        <v>317</v>
      </c>
      <c r="I11" s="74" t="s">
        <v>916</v>
      </c>
      <c r="J11" s="74">
        <v>32</v>
      </c>
      <c r="K11" s="74" t="s">
        <v>572</v>
      </c>
      <c r="L11" s="74">
        <v>2</v>
      </c>
      <c r="M11" s="74" t="s">
        <v>307</v>
      </c>
      <c r="N11" s="38">
        <f>IF(OR(A11="Автомат",A11="Дифавтомат"),IF(W11="","",COUNTIFS(Однолинейка!$H$3:$H$3000,U11,Однолинейка!$A$3:$A$3000,Щит_спец)),IF(A11="Аппарат",IF(C11="","",COUNTIFS(Однолинейка!$I$3:$I$3000,C11,Однолинейка!$A$3:$A$3000,Щит_спец)+COUNTIFS(Однолинейка!$J$3:$J$3000,C11,Однолинейка!$A$3:$A$3000,Щит_спец)+COUNTIFS(Однолинейка!$K$3:$K$3000,C11,Однолинейка!$A$3:$A$3000,Щит_спец)),IF(A11="Модуль",IF(C11="","",COUNTIFS(Однолинейка!$AW$3:$AW$3000,"?*",Однолинейка!$AI$3:$AI$3000,C11,Однолинейка!$A$3:$A$3000,Щит_спец)),IF(A11="Клемма",IF(C11="","",IF(C11=$S$7,SUMIFS(Однолинейка!$BW$3:$BW$3000,Однолинейка!$A$3:$A$3000,Щит_спец),IF(C11=$S$8,SUMIFS(Однолинейка!$BX$3:$BX$3000,Однолинейка!$A$3:$A$3000,Щит_спец),""))),""))))</f>
        <v>0</v>
      </c>
      <c r="O11" s="74"/>
      <c r="P11" s="38">
        <f t="shared" si="0"/>
        <v>0</v>
      </c>
      <c r="R11" s="35" t="s">
        <v>922</v>
      </c>
      <c r="S11" s="35"/>
      <c r="U11" s="38" t="str">
        <f t="shared" si="1"/>
        <v>2P С32А 30мА</v>
      </c>
      <c r="V11" s="38" t="str">
        <f t="shared" si="2"/>
        <v>Chint|2P С32А 30мА</v>
      </c>
      <c r="W11" s="38">
        <f>IF(AND(U11&lt;&gt;"",OR($S$4="(все)",B11=$S$4),IF($S$4="(все)",COUNTIF($U$4:U11,U11),COUNTIFS($U$4:U11,U11,$B$4:B11,B11))=1),MAX($W$3:W10)+1,"")</f>
        <v>8</v>
      </c>
      <c r="X11" s="38" t="str">
        <f t="shared" si="3"/>
        <v>2P С32А 30мА</v>
      </c>
      <c r="Y11" s="38" t="str">
        <f>IF(AND(A11="Аппарат",C11&lt;&gt;"",OR($S$5="(все)",B11=$S$5)),MAX($Y$3:Y10)+1,"")</f>
        <v/>
      </c>
      <c r="Z11" s="38" t="str">
        <f t="shared" si="4"/>
        <v>БП 12V 135W</v>
      </c>
      <c r="AA11" s="38" t="str">
        <f>IF(AND(A11="Модуль",C11&lt;&gt;"",OR($S$6="(все)",B11=$S$6)),MAX($AA$3:AA10)+1,"")</f>
        <v/>
      </c>
      <c r="AB11" s="38" t="str">
        <f t="shared" si="5"/>
        <v>ZIO-RQUAD8</v>
      </c>
      <c r="AC11" s="38" t="str">
        <f>IF(OR(B11="",COUNTIF($B$4:B11,B11)&gt;1),"",MAX($AC$3:AC10)+1)</f>
        <v/>
      </c>
      <c r="AD11" s="38" t="str">
        <f t="shared" si="6"/>
        <v>РЭК</v>
      </c>
      <c r="AE11" s="38" t="str">
        <f t="shared" si="7"/>
        <v/>
      </c>
      <c r="AF11" s="38" t="str">
        <f t="shared" si="8"/>
        <v/>
      </c>
      <c r="AG11" s="38" t="str">
        <f>IF(Спецификация_авто!$L$11="","",IF(IF($S$4="(все)",COUNTIF($U$4:$U$500,Спецификация_авто!$L$11),COUNTIF($V$4:$V$500,$S$4&amp;"|"&amp;Спецификация_авто!$L$11))=0,Спецификация_авто!$L$11,""))</f>
        <v/>
      </c>
      <c r="AH11" s="38" t="str">
        <f>IF(AG11="","",COUNTIF($AG$4:AG11,"?*"))</f>
        <v/>
      </c>
    </row>
    <row r="12" spans="1:34" x14ac:dyDescent="0.3">
      <c r="A12" s="74" t="s">
        <v>923</v>
      </c>
      <c r="B12" s="74" t="s">
        <v>324</v>
      </c>
      <c r="C12" s="74" t="s">
        <v>773</v>
      </c>
      <c r="D12" s="74"/>
      <c r="E12" s="74"/>
      <c r="F12" s="74"/>
      <c r="G12" s="74" t="s">
        <v>322</v>
      </c>
      <c r="H12" s="74" t="s">
        <v>323</v>
      </c>
      <c r="I12" s="74"/>
      <c r="J12" s="74"/>
      <c r="K12" s="74"/>
      <c r="L12" s="74">
        <v>1</v>
      </c>
      <c r="M12" s="74" t="s">
        <v>307</v>
      </c>
      <c r="N12" s="38">
        <f>IF(OR(A12="Автомат",A12="Дифавтомат"),IF(W12="","",COUNTIFS(Однолинейка!$H$3:$H$3000,U12,Однолинейка!$A$3:$A$3000,Щит_спец)),IF(A12="Аппарат",IF(C12="","",COUNTIFS(Однолинейка!$I$3:$I$3000,C12,Однолинейка!$A$3:$A$3000,Щит_спец)+COUNTIFS(Однолинейка!$J$3:$J$3000,C12,Однолинейка!$A$3:$A$3000,Щит_спец)+COUNTIFS(Однолинейка!$K$3:$K$3000,C12,Однолинейка!$A$3:$A$3000,Щит_спец)),IF(A12="Модуль",IF(C12="","",COUNTIFS(Однолинейка!$AW$3:$AW$3000,"?*",Однолинейка!$AI$3:$AI$3000,C12,Однолинейка!$A$3:$A$3000,Щит_спец)),IF(A12="Клемма",IF(C12="","",IF(C12=$S$7,SUMIFS(Однолинейка!$BW$3:$BW$3000,Однолинейка!$A$3:$A$3000,Щит_спец),IF(C12=$S$8,SUMIFS(Однолинейка!$BX$3:$BX$3000,Однолинейка!$A$3:$A$3000,Щит_спец),""))),""))))</f>
        <v>4</v>
      </c>
      <c r="O12" s="74"/>
      <c r="P12" s="38">
        <f t="shared" si="0"/>
        <v>4</v>
      </c>
      <c r="R12" s="74" t="s">
        <v>924</v>
      </c>
      <c r="U12" s="38" t="str">
        <f t="shared" si="1"/>
        <v/>
      </c>
      <c r="V12" s="38" t="str">
        <f t="shared" si="2"/>
        <v/>
      </c>
      <c r="W12" s="38" t="str">
        <f>IF(AND(U12&lt;&gt;"",OR($S$4="(все)",B12=$S$4),IF($S$4="(все)",COUNTIF($U$4:U12,U12),COUNTIFS($U$4:U12,U12,$B$4:B12,B12))=1),MAX($W$3:W11)+1,"")</f>
        <v/>
      </c>
      <c r="X12" s="38" t="str">
        <f t="shared" si="3"/>
        <v/>
      </c>
      <c r="Y12" s="38">
        <f>IF(AND(A12="Аппарат",C12&lt;&gt;"",OR($S$5="(все)",B12=$S$5)),MAX($Y$3:Y11)+1,"")</f>
        <v>1</v>
      </c>
      <c r="Z12" s="38" t="str">
        <f t="shared" si="4"/>
        <v>БП 12V 15W</v>
      </c>
      <c r="AA12" s="38" t="str">
        <f>IF(AND(A12="Модуль",C12&lt;&gt;"",OR($S$6="(все)",B12=$S$6)),MAX($AA$3:AA11)+1,"")</f>
        <v/>
      </c>
      <c r="AB12" s="38" t="str">
        <f t="shared" si="5"/>
        <v>SMART-DALI-104</v>
      </c>
      <c r="AC12" s="38">
        <f>IF(OR(B12="",COUNTIF($B$4:B12,B12)&gt;1),"",MAX($AC$3:AC11)+1)</f>
        <v>2</v>
      </c>
      <c r="AD12" s="38" t="str">
        <f t="shared" si="6"/>
        <v>КВТ</v>
      </c>
      <c r="AE12" s="38">
        <f t="shared" si="7"/>
        <v>4012</v>
      </c>
      <c r="AF12" s="38">
        <f t="shared" si="8"/>
        <v>19</v>
      </c>
      <c r="AG12" s="38" t="str">
        <f>IF(Спецификация_авто!$L$12="","",IF(IF($S$4="(все)",COUNTIF($U$4:$U$500,Спецификация_авто!$L$12),COUNTIF($V$4:$V$500,$S$4&amp;"|"&amp;Спецификация_авто!$L$12))=0,Спецификация_авто!$L$12,""))</f>
        <v/>
      </c>
      <c r="AH12" s="38" t="str">
        <f>IF(AG12="","",COUNTIF($AG$4:AG12,"?*"))</f>
        <v/>
      </c>
    </row>
    <row r="13" spans="1:34" x14ac:dyDescent="0.3">
      <c r="A13" s="74" t="s">
        <v>923</v>
      </c>
      <c r="B13" s="74" t="s">
        <v>311</v>
      </c>
      <c r="C13" s="74" t="s">
        <v>925</v>
      </c>
      <c r="D13" s="74"/>
      <c r="E13" s="74"/>
      <c r="F13" s="74"/>
      <c r="G13" s="74" t="s">
        <v>926</v>
      </c>
      <c r="H13" s="74" t="s">
        <v>313</v>
      </c>
      <c r="I13" s="74"/>
      <c r="J13" s="74"/>
      <c r="K13" s="74"/>
      <c r="L13" s="74">
        <v>3</v>
      </c>
      <c r="M13" s="74" t="s">
        <v>307</v>
      </c>
      <c r="N13" s="38">
        <f>IF(OR(A13="Автомат",A13="Дифавтомат"),IF(W13="","",COUNTIFS(Однолинейка!$H$3:$H$3000,U13,Однолинейка!$A$3:$A$3000,Щит_спец)),IF(A13="Аппарат",IF(C13="","",COUNTIFS(Однолинейка!$I$3:$I$3000,C13,Однолинейка!$A$3:$A$3000,Щит_спец)+COUNTIFS(Однолинейка!$J$3:$J$3000,C13,Однолинейка!$A$3:$A$3000,Щит_спец)+COUNTIFS(Однолинейка!$K$3:$K$3000,C13,Однолинейка!$A$3:$A$3000,Щит_спец)),IF(A13="Модуль",IF(C13="","",COUNTIFS(Однолинейка!$AW$3:$AW$3000,"?*",Однолинейка!$AI$3:$AI$3000,C13,Однолинейка!$A$3:$A$3000,Щит_спец)),IF(A13="Клемма",IF(C13="","",IF(C13=$S$7,SUMIFS(Однолинейка!$BW$3:$BW$3000,Однолинейка!$A$3:$A$3000,Щит_спец),IF(C13=$S$8,SUMIFS(Однолинейка!$BX$3:$BX$3000,Однолинейка!$A$3:$A$3000,Щит_спец),""))),""))))</f>
        <v>0</v>
      </c>
      <c r="O13" s="74"/>
      <c r="P13" s="38">
        <f t="shared" si="0"/>
        <v>0</v>
      </c>
      <c r="R13" s="74" t="s">
        <v>7</v>
      </c>
      <c r="U13" s="38" t="str">
        <f t="shared" si="1"/>
        <v/>
      </c>
      <c r="V13" s="38" t="str">
        <f t="shared" si="2"/>
        <v/>
      </c>
      <c r="W13" s="38" t="str">
        <f>IF(AND(U13&lt;&gt;"",OR($S$4="(все)",B13=$S$4),IF($S$4="(все)",COUNTIF($U$4:U13,U13),COUNTIFS($U$4:U13,U13,$B$4:B13,B13))=1),MAX($W$3:W12)+1,"")</f>
        <v/>
      </c>
      <c r="X13" s="38" t="str">
        <f t="shared" si="3"/>
        <v/>
      </c>
      <c r="Y13" s="38">
        <f>IF(AND(A13="Аппарат",C13&lt;&gt;"",OR($S$5="(все)",B13=$S$5)),MAX($Y$3:Y12)+1,"")</f>
        <v>2</v>
      </c>
      <c r="Z13" s="38" t="str">
        <f t="shared" si="4"/>
        <v>ZPSU640</v>
      </c>
      <c r="AA13" s="38" t="str">
        <f>IF(AND(A13="Модуль",C13&lt;&gt;"",OR($S$6="(все)",B13=$S$6)),MAX($AA$3:AA12)+1,"")</f>
        <v/>
      </c>
      <c r="AB13" s="38" t="str">
        <f t="shared" si="5"/>
        <v>уточнить-R</v>
      </c>
      <c r="AC13" s="38" t="str">
        <f>IF(OR(B13="",COUNTIF($B$4:B13,B13)&gt;1),"",MAX($AC$3:AC12)+1)</f>
        <v/>
      </c>
      <c r="AD13" s="38" t="str">
        <f t="shared" si="6"/>
        <v/>
      </c>
      <c r="AE13" s="38" t="str">
        <f t="shared" si="7"/>
        <v/>
      </c>
      <c r="AF13" s="38" t="str">
        <f t="shared" si="8"/>
        <v/>
      </c>
      <c r="AG13" s="38" t="str">
        <f>IF(Спецификация_авто!$L$13="","",IF(IF($S$4="(все)",COUNTIF($U$4:$U$500,Спецификация_авто!$L$13),COUNTIF($V$4:$V$500,$S$4&amp;"|"&amp;Спецификация_авто!$L$13))=0,Спецификация_авто!$L$13,""))</f>
        <v/>
      </c>
      <c r="AH13" s="38" t="str">
        <f>IF(AG13="","",COUNTIF($AG$4:AG13,"?*"))</f>
        <v/>
      </c>
    </row>
    <row r="14" spans="1:34" x14ac:dyDescent="0.3">
      <c r="A14" s="74" t="s">
        <v>923</v>
      </c>
      <c r="B14" s="74" t="s">
        <v>311</v>
      </c>
      <c r="C14" s="74" t="s">
        <v>927</v>
      </c>
      <c r="D14" s="74"/>
      <c r="E14" s="74"/>
      <c r="F14" s="74"/>
      <c r="G14" s="74" t="s">
        <v>928</v>
      </c>
      <c r="H14" s="74" t="s">
        <v>319</v>
      </c>
      <c r="I14" s="74"/>
      <c r="J14" s="74"/>
      <c r="K14" s="74"/>
      <c r="L14" s="74">
        <v>3</v>
      </c>
      <c r="M14" s="74" t="s">
        <v>307</v>
      </c>
      <c r="N14" s="38">
        <f>IF(OR(A14="Автомат",A14="Дифавтомат"),IF(W14="","",COUNTIFS(Однолинейка!$H$3:$H$3000,U14,Однолинейка!$A$3:$A$3000,Щит_спец)),IF(A14="Аппарат",IF(C14="","",COUNTIFS(Однолинейка!$I$3:$I$3000,C14,Однолинейка!$A$3:$A$3000,Щит_спец)+COUNTIFS(Однолинейка!$J$3:$J$3000,C14,Однолинейка!$A$3:$A$3000,Щит_спец)+COUNTIFS(Однолинейка!$K$3:$K$3000,C14,Однолинейка!$A$3:$A$3000,Щит_спец)),IF(A14="Модуль",IF(C14="","",COUNTIFS(Однолинейка!$AW$3:$AW$3000,"?*",Однолинейка!$AI$3:$AI$3000,C14,Однолинейка!$A$3:$A$3000,Щит_спец)),IF(A14="Клемма",IF(C14="","",IF(C14=$S$7,SUMIFS(Однолинейка!$BW$3:$BW$3000,Однолинейка!$A$3:$A$3000,Щит_спец),IF(C14=$S$8,SUMIFS(Однолинейка!$BX$3:$BX$3000,Однолинейка!$A$3:$A$3000,Щит_спец),""))),""))))</f>
        <v>0</v>
      </c>
      <c r="O14" s="74"/>
      <c r="P14" s="38">
        <f t="shared" si="0"/>
        <v>0</v>
      </c>
      <c r="R14" s="74" t="s">
        <v>913</v>
      </c>
      <c r="U14" s="38" t="str">
        <f t="shared" si="1"/>
        <v/>
      </c>
      <c r="V14" s="38" t="str">
        <f t="shared" si="2"/>
        <v/>
      </c>
      <c r="W14" s="38" t="str">
        <f>IF(AND(U14&lt;&gt;"",OR($S$4="(все)",B14=$S$4),IF($S$4="(все)",COUNTIF($U$4:U14,U14),COUNTIFS($U$4:U14,U14,$B$4:B14,B14))=1),MAX($W$3:W13)+1,"")</f>
        <v/>
      </c>
      <c r="X14" s="38" t="str">
        <f t="shared" si="3"/>
        <v/>
      </c>
      <c r="Y14" s="38">
        <f>IF(AND(A14="Аппарат",C14&lt;&gt;"",OR($S$5="(все)",B14=$S$5)),MAX($Y$3:Y13)+1,"")</f>
        <v>3</v>
      </c>
      <c r="Z14" s="38" t="str">
        <f t="shared" si="4"/>
        <v/>
      </c>
      <c r="AA14" s="38" t="str">
        <f>IF(AND(A14="Модуль",C14&lt;&gt;"",OR($S$6="(все)",B14=$S$6)),MAX($AA$3:AA13)+1,"")</f>
        <v/>
      </c>
      <c r="AB14" s="38" t="str">
        <f t="shared" si="5"/>
        <v>уточнить-Z</v>
      </c>
      <c r="AC14" s="38" t="str">
        <f>IF(OR(B14="",COUNTIF($B$4:B14,B14)&gt;1),"",MAX($AC$3:AC13)+1)</f>
        <v/>
      </c>
      <c r="AD14" s="38" t="str">
        <f t="shared" si="6"/>
        <v/>
      </c>
      <c r="AE14" s="38" t="str">
        <f t="shared" si="7"/>
        <v/>
      </c>
      <c r="AF14" s="38" t="str">
        <f t="shared" si="8"/>
        <v/>
      </c>
      <c r="AG14" s="38" t="str">
        <f>IF(Спецификация_авто!$L$14="","",IF(IF($S$4="(все)",COUNTIF($U$4:$U$500,Спецификация_авто!$L$14),COUNTIF($V$4:$V$500,$S$4&amp;"|"&amp;Спецификация_авто!$L$14))=0,Спецификация_авто!$L$14,""))</f>
        <v/>
      </c>
      <c r="AH14" s="38" t="str">
        <f>IF(AG14="","",COUNTIF($AG$4:AG14,"?*"))</f>
        <v/>
      </c>
    </row>
    <row r="15" spans="1:34" x14ac:dyDescent="0.3">
      <c r="A15" s="74" t="s">
        <v>923</v>
      </c>
      <c r="B15" s="74" t="s">
        <v>311</v>
      </c>
      <c r="C15" s="74" t="s">
        <v>929</v>
      </c>
      <c r="D15" s="74"/>
      <c r="E15" s="74"/>
      <c r="F15" s="74"/>
      <c r="G15" s="74" t="s">
        <v>389</v>
      </c>
      <c r="H15" s="74" t="s">
        <v>390</v>
      </c>
      <c r="I15" s="74"/>
      <c r="J15" s="74"/>
      <c r="K15" s="74"/>
      <c r="L15" s="74"/>
      <c r="M15" s="74" t="s">
        <v>307</v>
      </c>
      <c r="N15" s="38">
        <f>IF(OR(A15="Автомат",A15="Дифавтомат"),IF(W15="","",COUNTIFS(Однолинейка!$H$3:$H$3000,U15,Однолинейка!$A$3:$A$3000,Щит_спец)),IF(A15="Аппарат",IF(C15="","",COUNTIFS(Однолинейка!$I$3:$I$3000,C15,Однолинейка!$A$3:$A$3000,Щит_спец)+COUNTIFS(Однолинейка!$J$3:$J$3000,C15,Однолинейка!$A$3:$A$3000,Щит_спец)+COUNTIFS(Однолинейка!$K$3:$K$3000,C15,Однолинейка!$A$3:$A$3000,Щит_спец)),IF(A15="Модуль",IF(C15="","",COUNTIFS(Однолинейка!$AW$3:$AW$3000,"?*",Однолинейка!$AI$3:$AI$3000,C15,Однолинейка!$A$3:$A$3000,Щит_спец)),IF(A15="Клемма",IF(C15="","",IF(C15=$S$7,SUMIFS(Однолинейка!$BW$3:$BW$3000,Однолинейка!$A$3:$A$3000,Щит_спец),IF(C15=$S$8,SUMIFS(Однолинейка!$BX$3:$BX$3000,Однолинейка!$A$3:$A$3000,Щит_спец),""))),""))))</f>
        <v>0</v>
      </c>
      <c r="O15" s="74"/>
      <c r="P15" s="38">
        <f t="shared" si="0"/>
        <v>0</v>
      </c>
      <c r="R15" s="74" t="s">
        <v>923</v>
      </c>
      <c r="U15" s="38" t="str">
        <f t="shared" si="1"/>
        <v/>
      </c>
      <c r="V15" s="38" t="str">
        <f t="shared" si="2"/>
        <v/>
      </c>
      <c r="W15" s="38" t="str">
        <f>IF(AND(U15&lt;&gt;"",OR($S$4="(все)",B15=$S$4),IF($S$4="(все)",COUNTIF($U$4:U15,U15),COUNTIFS($U$4:U15,U15,$B$4:B15,B15))=1),MAX($W$3:W14)+1,"")</f>
        <v/>
      </c>
      <c r="X15" s="38" t="str">
        <f t="shared" si="3"/>
        <v/>
      </c>
      <c r="Y15" s="38">
        <f>IF(AND(A15="Аппарат",C15&lt;&gt;"",OR($S$5="(все)",B15=$S$5)),MAX($Y$3:Y14)+1,"")</f>
        <v>4</v>
      </c>
      <c r="Z15" s="38" t="str">
        <f t="shared" si="4"/>
        <v/>
      </c>
      <c r="AA15" s="38" t="str">
        <f>IF(AND(A15="Модуль",C15&lt;&gt;"",OR($S$6="(все)",B15=$S$6)),MAX($AA$3:AA14)+1,"")</f>
        <v/>
      </c>
      <c r="AB15" s="38" t="str">
        <f t="shared" si="5"/>
        <v/>
      </c>
      <c r="AC15" s="38" t="str">
        <f>IF(OR(B15="",COUNTIF($B$4:B15,B15)&gt;1),"",MAX($AC$3:AC14)+1)</f>
        <v/>
      </c>
      <c r="AD15" s="38" t="str">
        <f t="shared" si="6"/>
        <v/>
      </c>
      <c r="AE15" s="38" t="str">
        <f t="shared" si="7"/>
        <v/>
      </c>
      <c r="AF15" s="38" t="str">
        <f t="shared" si="8"/>
        <v/>
      </c>
      <c r="AG15" s="38" t="str">
        <f>IF(Спецификация_авто!$L$15="","",IF(IF($S$4="(все)",COUNTIF($U$4:$U$500,Спецификация_авто!$L$15),COUNTIF($V$4:$V$500,$S$4&amp;"|"&amp;Спецификация_авто!$L$15))=0,Спецификация_авто!$L$15,""))</f>
        <v/>
      </c>
      <c r="AH15" s="38" t="str">
        <f>IF(AG15="","",COUNTIF($AG$4:AG15,"?*"))</f>
        <v/>
      </c>
    </row>
    <row r="16" spans="1:34" x14ac:dyDescent="0.3">
      <c r="A16" s="74" t="s">
        <v>923</v>
      </c>
      <c r="B16" s="74" t="s">
        <v>311</v>
      </c>
      <c r="C16" s="74" t="s">
        <v>930</v>
      </c>
      <c r="D16" s="74"/>
      <c r="E16" s="74"/>
      <c r="F16" s="74"/>
      <c r="G16" s="74" t="s">
        <v>931</v>
      </c>
      <c r="H16" s="74" t="s">
        <v>314</v>
      </c>
      <c r="I16" s="74"/>
      <c r="J16" s="74"/>
      <c r="K16" s="74"/>
      <c r="L16" s="74"/>
      <c r="M16" s="74" t="s">
        <v>307</v>
      </c>
      <c r="N16" s="38">
        <f>IF(OR(A16="Автомат",A16="Дифавтомат"),IF(W16="","",COUNTIFS(Однолинейка!$H$3:$H$3000,U16,Однолинейка!$A$3:$A$3000,Щит_спец)),IF(A16="Аппарат",IF(C16="","",COUNTIFS(Однолинейка!$I$3:$I$3000,C16,Однолинейка!$A$3:$A$3000,Щит_спец)+COUNTIFS(Однолинейка!$J$3:$J$3000,C16,Однолинейка!$A$3:$A$3000,Щит_спец)+COUNTIFS(Однолинейка!$K$3:$K$3000,C16,Однолинейка!$A$3:$A$3000,Щит_спец)),IF(A16="Модуль",IF(C16="","",COUNTIFS(Однолинейка!$AW$3:$AW$3000,"?*",Однолинейка!$AI$3:$AI$3000,C16,Однолинейка!$A$3:$A$3000,Щит_спец)),IF(A16="Клемма",IF(C16="","",IF(C16=$S$7,SUMIFS(Однолинейка!$BW$3:$BW$3000,Однолинейка!$A$3:$A$3000,Щит_спец),IF(C16=$S$8,SUMIFS(Однолинейка!$BX$3:$BX$3000,Однолинейка!$A$3:$A$3000,Щит_спец),""))),""))))</f>
        <v>0</v>
      </c>
      <c r="O16" s="74"/>
      <c r="P16" s="38">
        <f t="shared" si="0"/>
        <v>0</v>
      </c>
      <c r="R16" s="74" t="s">
        <v>515</v>
      </c>
      <c r="U16" s="38" t="str">
        <f t="shared" si="1"/>
        <v/>
      </c>
      <c r="V16" s="38" t="str">
        <f t="shared" si="2"/>
        <v/>
      </c>
      <c r="W16" s="38" t="str">
        <f>IF(AND(U16&lt;&gt;"",OR($S$4="(все)",B16=$S$4),IF($S$4="(все)",COUNTIF($U$4:U16,U16),COUNTIFS($U$4:U16,U16,$B$4:B16,B16))=1),MAX($W$3:W15)+1,"")</f>
        <v/>
      </c>
      <c r="X16" s="38" t="str">
        <f t="shared" si="3"/>
        <v/>
      </c>
      <c r="Y16" s="38">
        <f>IF(AND(A16="Аппарат",C16&lt;&gt;"",OR($S$5="(все)",B16=$S$5)),MAX($Y$3:Y15)+1,"")</f>
        <v>5</v>
      </c>
      <c r="Z16" s="38" t="str">
        <f t="shared" si="4"/>
        <v/>
      </c>
      <c r="AA16" s="38" t="str">
        <f>IF(AND(A16="Модуль",C16&lt;&gt;"",OR($S$6="(все)",B16=$S$6)),MAX($AA$3:AA15)+1,"")</f>
        <v/>
      </c>
      <c r="AB16" s="38" t="str">
        <f t="shared" si="5"/>
        <v/>
      </c>
      <c r="AC16" s="38" t="str">
        <f>IF(OR(B16="",COUNTIF($B$4:B16,B16)&gt;1),"",MAX($AC$3:AC15)+1)</f>
        <v/>
      </c>
      <c r="AD16" s="38" t="str">
        <f t="shared" si="6"/>
        <v/>
      </c>
      <c r="AE16" s="38" t="str">
        <f t="shared" si="7"/>
        <v/>
      </c>
      <c r="AF16" s="38" t="str">
        <f t="shared" si="8"/>
        <v/>
      </c>
      <c r="AG16" s="38" t="str">
        <f>IF(Спецификация_авто!$L$16="","",IF(IF($S$4="(все)",COUNTIF($U$4:$U$500,Спецификация_авто!$L$16),COUNTIF($V$4:$V$500,$S$4&amp;"|"&amp;Спецификация_авто!$L$16))=0,Спецификация_авто!$L$16,""))</f>
        <v/>
      </c>
      <c r="AH16" s="38" t="str">
        <f>IF(AG16="","",COUNTIF($AG$4:AG16,"?*"))</f>
        <v/>
      </c>
    </row>
    <row r="17" spans="1:34" x14ac:dyDescent="0.3">
      <c r="A17" s="74" t="s">
        <v>923</v>
      </c>
      <c r="B17" s="74" t="s">
        <v>320</v>
      </c>
      <c r="C17" s="74" t="s">
        <v>932</v>
      </c>
      <c r="D17" s="74"/>
      <c r="E17" s="74"/>
      <c r="F17" s="74"/>
      <c r="G17" s="74" t="s">
        <v>933</v>
      </c>
      <c r="H17" s="74" t="s">
        <v>388</v>
      </c>
      <c r="I17" s="74"/>
      <c r="J17" s="74"/>
      <c r="K17" s="74"/>
      <c r="L17" s="74"/>
      <c r="M17" s="74" t="s">
        <v>307</v>
      </c>
      <c r="N17" s="38">
        <f>IF(OR(A17="Автомат",A17="Дифавтомат"),IF(W17="","",COUNTIFS(Однолинейка!$H$3:$H$3000,U17,Однолинейка!$A$3:$A$3000,Щит_спец)),IF(A17="Аппарат",IF(C17="","",COUNTIFS(Однолинейка!$I$3:$I$3000,C17,Однолинейка!$A$3:$A$3000,Щит_спец)+COUNTIFS(Однолинейка!$J$3:$J$3000,C17,Однолинейка!$A$3:$A$3000,Щит_спец)+COUNTIFS(Однолинейка!$K$3:$K$3000,C17,Однолинейка!$A$3:$A$3000,Щит_спец)),IF(A17="Модуль",IF(C17="","",COUNTIFS(Однолинейка!$AW$3:$AW$3000,"?*",Однолинейка!$AI$3:$AI$3000,C17,Однолинейка!$A$3:$A$3000,Щит_спец)),IF(A17="Клемма",IF(C17="","",IF(C17=$S$7,SUMIFS(Однолинейка!$BW$3:$BW$3000,Однолинейка!$A$3:$A$3000,Щит_спец),IF(C17=$S$8,SUMIFS(Однолинейка!$BX$3:$BX$3000,Однолинейка!$A$3:$A$3000,Щит_спец),""))),""))))</f>
        <v>0</v>
      </c>
      <c r="O17" s="74"/>
      <c r="P17" s="38">
        <f t="shared" si="0"/>
        <v>0</v>
      </c>
      <c r="R17" s="74" t="s">
        <v>934</v>
      </c>
      <c r="U17" s="38" t="str">
        <f t="shared" si="1"/>
        <v/>
      </c>
      <c r="V17" s="38" t="str">
        <f t="shared" si="2"/>
        <v/>
      </c>
      <c r="W17" s="38" t="str">
        <f>IF(AND(U17&lt;&gt;"",OR($S$4="(все)",B17=$S$4),IF($S$4="(все)",COUNTIF($U$4:U17,U17),COUNTIFS($U$4:U17,U17,$B$4:B17,B17))=1),MAX($W$3:W16)+1,"")</f>
        <v/>
      </c>
      <c r="X17" s="38" t="str">
        <f t="shared" si="3"/>
        <v/>
      </c>
      <c r="Y17" s="38">
        <f>IF(AND(A17="Аппарат",C17&lt;&gt;"",OR($S$5="(все)",B17=$S$5)),MAX($Y$3:Y16)+1,"")</f>
        <v>6</v>
      </c>
      <c r="Z17" s="38" t="str">
        <f t="shared" si="4"/>
        <v/>
      </c>
      <c r="AA17" s="38" t="str">
        <f>IF(AND(A17="Модуль",C17&lt;&gt;"",OR($S$6="(все)",B17=$S$6)),MAX($AA$3:AA16)+1,"")</f>
        <v/>
      </c>
      <c r="AB17" s="38" t="str">
        <f t="shared" si="5"/>
        <v/>
      </c>
      <c r="AC17" s="38">
        <f>IF(OR(B17="",COUNTIF($B$4:B17,B17)&gt;1),"",MAX($AC$3:AC16)+1)</f>
        <v>3</v>
      </c>
      <c r="AD17" s="38" t="str">
        <f t="shared" si="6"/>
        <v/>
      </c>
      <c r="AE17" s="38" t="str">
        <f t="shared" si="7"/>
        <v/>
      </c>
      <c r="AF17" s="38" t="str">
        <f t="shared" si="8"/>
        <v/>
      </c>
      <c r="AG17" s="38" t="str">
        <f>IF(Спецификация_авто!$L$17="","",IF(IF($S$4="(все)",COUNTIF($U$4:$U$500,Спецификация_авто!$L$17),COUNTIF($V$4:$V$500,$S$4&amp;"|"&amp;Спецификация_авто!$L$17))=0,Спецификация_авто!$L$17,""))</f>
        <v/>
      </c>
      <c r="AH17" s="38" t="str">
        <f>IF(AG17="","",COUNTIF($AG$4:AG17,"?*"))</f>
        <v/>
      </c>
    </row>
    <row r="18" spans="1:34" x14ac:dyDescent="0.3">
      <c r="A18" s="74" t="s">
        <v>923</v>
      </c>
      <c r="B18" s="74" t="s">
        <v>320</v>
      </c>
      <c r="C18" s="74" t="s">
        <v>935</v>
      </c>
      <c r="D18" s="74"/>
      <c r="E18" s="74"/>
      <c r="F18" s="74"/>
      <c r="G18" s="74" t="s">
        <v>486</v>
      </c>
      <c r="H18" s="74" t="s">
        <v>487</v>
      </c>
      <c r="I18" s="74"/>
      <c r="J18" s="74"/>
      <c r="K18" s="74"/>
      <c r="L18" s="74"/>
      <c r="M18" s="74" t="s">
        <v>307</v>
      </c>
      <c r="N18" s="38">
        <f>IF(OR(A18="Автомат",A18="Дифавтомат"),IF(W18="","",COUNTIFS(Однолинейка!$H$3:$H$3000,U18,Однолинейка!$A$3:$A$3000,Щит_спец)),IF(A18="Аппарат",IF(C18="","",COUNTIFS(Однолинейка!$I$3:$I$3000,C18,Однолинейка!$A$3:$A$3000,Щит_спец)+COUNTIFS(Однолинейка!$J$3:$J$3000,C18,Однолинейка!$A$3:$A$3000,Щит_спец)+COUNTIFS(Однолинейка!$K$3:$K$3000,C18,Однолинейка!$A$3:$A$3000,Щит_спец)),IF(A18="Модуль",IF(C18="","",COUNTIFS(Однолинейка!$AW$3:$AW$3000,"?*",Однолинейка!$AI$3:$AI$3000,C18,Однолинейка!$A$3:$A$3000,Щит_спец)),IF(A18="Клемма",IF(C18="","",IF(C18=$S$7,SUMIFS(Однолинейка!$BW$3:$BW$3000,Однолинейка!$A$3:$A$3000,Щит_спец),IF(C18=$S$8,SUMIFS(Однолинейка!$BX$3:$BX$3000,Однолинейка!$A$3:$A$3000,Щит_спец),""))),""))))</f>
        <v>0</v>
      </c>
      <c r="O18" s="74"/>
      <c r="P18" s="38">
        <f t="shared" si="0"/>
        <v>0</v>
      </c>
      <c r="R18" s="74" t="s">
        <v>518</v>
      </c>
      <c r="U18" s="38" t="str">
        <f t="shared" si="1"/>
        <v/>
      </c>
      <c r="V18" s="38" t="str">
        <f t="shared" si="2"/>
        <v/>
      </c>
      <c r="W18" s="38" t="str">
        <f>IF(AND(U18&lt;&gt;"",OR($S$4="(все)",B18=$S$4),IF($S$4="(все)",COUNTIF($U$4:U18,U18),COUNTIFS($U$4:U18,U18,$B$4:B18,B18))=1),MAX($W$3:W17)+1,"")</f>
        <v/>
      </c>
      <c r="X18" s="38" t="str">
        <f t="shared" si="3"/>
        <v/>
      </c>
      <c r="Y18" s="38">
        <f>IF(AND(A18="Аппарат",C18&lt;&gt;"",OR($S$5="(все)",B18=$S$5)),MAX($Y$3:Y17)+1,"")</f>
        <v>7</v>
      </c>
      <c r="Z18" s="38" t="str">
        <f t="shared" si="4"/>
        <v/>
      </c>
      <c r="AA18" s="38" t="str">
        <f>IF(AND(A18="Модуль",C18&lt;&gt;"",OR($S$6="(все)",B18=$S$6)),MAX($AA$3:AA17)+1,"")</f>
        <v/>
      </c>
      <c r="AB18" s="38" t="str">
        <f t="shared" si="5"/>
        <v/>
      </c>
      <c r="AC18" s="38" t="str">
        <f>IF(OR(B18="",COUNTIF($B$4:B18,B18)&gt;1),"",MAX($AC$3:AC17)+1)</f>
        <v/>
      </c>
      <c r="AD18" s="38" t="str">
        <f t="shared" si="6"/>
        <v/>
      </c>
      <c r="AE18" s="38" t="str">
        <f t="shared" si="7"/>
        <v/>
      </c>
      <c r="AF18" s="38" t="str">
        <f t="shared" si="8"/>
        <v/>
      </c>
      <c r="AG18" s="38" t="str">
        <f>IF(Спецификация_авто!$L$18="","",IF(IF($S$4="(все)",COUNTIF($U$4:$U$500,Спецификация_авто!$L$18),COUNTIF($V$4:$V$500,$S$4&amp;"|"&amp;Спецификация_авто!$L$18))=0,Спецификация_авто!$L$18,""))</f>
        <v/>
      </c>
      <c r="AH18" s="38" t="str">
        <f>IF(AG18="","",COUNTIF($AG$4:AG18,"?*"))</f>
        <v/>
      </c>
    </row>
    <row r="19" spans="1:34" x14ac:dyDescent="0.3">
      <c r="A19" s="74" t="s">
        <v>923</v>
      </c>
      <c r="B19" s="74" t="s">
        <v>320</v>
      </c>
      <c r="C19" s="74" t="s">
        <v>936</v>
      </c>
      <c r="D19" s="74"/>
      <c r="E19" s="74"/>
      <c r="F19" s="74"/>
      <c r="G19" s="74" t="s">
        <v>488</v>
      </c>
      <c r="H19" s="74" t="s">
        <v>489</v>
      </c>
      <c r="I19" s="74"/>
      <c r="J19" s="74"/>
      <c r="K19" s="74"/>
      <c r="L19" s="74"/>
      <c r="M19" s="74" t="s">
        <v>307</v>
      </c>
      <c r="N19" s="38">
        <f>IF(OR(A19="Автомат",A19="Дифавтомат"),IF(W19="","",COUNTIFS(Однолинейка!$H$3:$H$3000,U19,Однолинейка!$A$3:$A$3000,Щит_спец)),IF(A19="Аппарат",IF(C19="","",COUNTIFS(Однолинейка!$I$3:$I$3000,C19,Однолинейка!$A$3:$A$3000,Щит_спец)+COUNTIFS(Однолинейка!$J$3:$J$3000,C19,Однолинейка!$A$3:$A$3000,Щит_спец)+COUNTIFS(Однолинейка!$K$3:$K$3000,C19,Однолинейка!$A$3:$A$3000,Щит_спец)),IF(A19="Модуль",IF(C19="","",COUNTIFS(Однолинейка!$AW$3:$AW$3000,"?*",Однолинейка!$AI$3:$AI$3000,C19,Однолинейка!$A$3:$A$3000,Щит_спец)),IF(A19="Клемма",IF(C19="","",IF(C19=$S$7,SUMIFS(Однолинейка!$BW$3:$BW$3000,Однолинейка!$A$3:$A$3000,Щит_спец),IF(C19=$S$8,SUMIFS(Однолинейка!$BX$3:$BX$3000,Однолинейка!$A$3:$A$3000,Щит_спец),""))),""))))</f>
        <v>0</v>
      </c>
      <c r="O19" s="74"/>
      <c r="P19" s="38">
        <f t="shared" si="0"/>
        <v>0</v>
      </c>
      <c r="R19" s="74" t="s">
        <v>937</v>
      </c>
      <c r="U19" s="38" t="str">
        <f t="shared" si="1"/>
        <v/>
      </c>
      <c r="V19" s="38" t="str">
        <f t="shared" si="2"/>
        <v/>
      </c>
      <c r="W19" s="38" t="str">
        <f>IF(AND(U19&lt;&gt;"",OR($S$4="(все)",B19=$S$4),IF($S$4="(все)",COUNTIF($U$4:U19,U19),COUNTIFS($U$4:U19,U19,$B$4:B19,B19))=1),MAX($W$3:W18)+1,"")</f>
        <v/>
      </c>
      <c r="X19" s="38" t="str">
        <f t="shared" si="3"/>
        <v/>
      </c>
      <c r="Y19" s="38">
        <f>IF(AND(A19="Аппарат",C19&lt;&gt;"",OR($S$5="(все)",B19=$S$5)),MAX($Y$3:Y18)+1,"")</f>
        <v>8</v>
      </c>
      <c r="Z19" s="38" t="str">
        <f t="shared" si="4"/>
        <v/>
      </c>
      <c r="AA19" s="38" t="str">
        <f>IF(AND(A19="Модуль",C19&lt;&gt;"",OR($S$6="(все)",B19=$S$6)),MAX($AA$3:AA18)+1,"")</f>
        <v/>
      </c>
      <c r="AB19" s="38" t="str">
        <f t="shared" si="5"/>
        <v/>
      </c>
      <c r="AC19" s="38" t="str">
        <f>IF(OR(B19="",COUNTIF($B$4:B19,B19)&gt;1),"",MAX($AC$3:AC18)+1)</f>
        <v/>
      </c>
      <c r="AD19" s="38" t="str">
        <f t="shared" si="6"/>
        <v/>
      </c>
      <c r="AE19" s="38" t="str">
        <f t="shared" si="7"/>
        <v/>
      </c>
      <c r="AF19" s="38" t="str">
        <f t="shared" si="8"/>
        <v/>
      </c>
      <c r="AG19" s="38" t="str">
        <f>IF(Спецификация_авто!$L$19="","",IF(IF($S$4="(все)",COUNTIF($U$4:$U$500,Спецификация_авто!$L$19),COUNTIF($V$4:$V$500,$S$4&amp;"|"&amp;Спецификация_авто!$L$19))=0,Спецификация_авто!$L$19,""))</f>
        <v/>
      </c>
      <c r="AH19" s="38" t="str">
        <f>IF(AG19="","",COUNTIF($AG$4:AG19,"?*"))</f>
        <v/>
      </c>
    </row>
    <row r="20" spans="1:34" x14ac:dyDescent="0.3">
      <c r="A20" s="74" t="s">
        <v>923</v>
      </c>
      <c r="B20" s="74" t="s">
        <v>320</v>
      </c>
      <c r="C20" s="74" t="s">
        <v>938</v>
      </c>
      <c r="D20" s="74"/>
      <c r="E20" s="74"/>
      <c r="F20" s="74"/>
      <c r="G20" s="74" t="s">
        <v>490</v>
      </c>
      <c r="H20" s="74" t="s">
        <v>491</v>
      </c>
      <c r="I20" s="74"/>
      <c r="J20" s="74"/>
      <c r="K20" s="74"/>
      <c r="L20" s="74"/>
      <c r="M20" s="74" t="s">
        <v>307</v>
      </c>
      <c r="N20" s="38">
        <f>IF(OR(A20="Автомат",A20="Дифавтомат"),IF(W20="","",COUNTIFS(Однолинейка!$H$3:$H$3000,U20,Однолинейка!$A$3:$A$3000,Щит_спец)),IF(A20="Аппарат",IF(C20="","",COUNTIFS(Однолинейка!$I$3:$I$3000,C20,Однолинейка!$A$3:$A$3000,Щит_спец)+COUNTIFS(Однолинейка!$J$3:$J$3000,C20,Однолинейка!$A$3:$A$3000,Щит_спец)+COUNTIFS(Однолинейка!$K$3:$K$3000,C20,Однолинейка!$A$3:$A$3000,Щит_спец)),IF(A20="Модуль",IF(C20="","",COUNTIFS(Однолинейка!$AW$3:$AW$3000,"?*",Однолинейка!$AI$3:$AI$3000,C20,Однолинейка!$A$3:$A$3000,Щит_спец)),IF(A20="Клемма",IF(C20="","",IF(C20=$S$7,SUMIFS(Однолинейка!$BW$3:$BW$3000,Однолинейка!$A$3:$A$3000,Щит_спец),IF(C20=$S$8,SUMIFS(Однолинейка!$BX$3:$BX$3000,Однолинейка!$A$3:$A$3000,Щит_спец),""))),""))))</f>
        <v>0</v>
      </c>
      <c r="O20" s="74"/>
      <c r="P20" s="38">
        <f t="shared" si="0"/>
        <v>0</v>
      </c>
      <c r="R20" s="74" t="s">
        <v>848</v>
      </c>
      <c r="U20" s="38" t="str">
        <f t="shared" si="1"/>
        <v/>
      </c>
      <c r="V20" s="38" t="str">
        <f t="shared" si="2"/>
        <v/>
      </c>
      <c r="W20" s="38" t="str">
        <f>IF(AND(U20&lt;&gt;"",OR($S$4="(все)",B20=$S$4),IF($S$4="(все)",COUNTIF($U$4:U20,U20),COUNTIFS($U$4:U20,U20,$B$4:B20,B20))=1),MAX($W$3:W19)+1,"")</f>
        <v/>
      </c>
      <c r="X20" s="38" t="str">
        <f t="shared" si="3"/>
        <v/>
      </c>
      <c r="Y20" s="38">
        <f>IF(AND(A20="Аппарат",C20&lt;&gt;"",OR($S$5="(все)",B20=$S$5)),MAX($Y$3:Y19)+1,"")</f>
        <v>9</v>
      </c>
      <c r="Z20" s="38" t="str">
        <f t="shared" si="4"/>
        <v/>
      </c>
      <c r="AA20" s="38" t="str">
        <f>IF(AND(A20="Модуль",C20&lt;&gt;"",OR($S$6="(все)",B20=$S$6)),MAX($AA$3:AA19)+1,"")</f>
        <v/>
      </c>
      <c r="AB20" s="38" t="str">
        <f t="shared" si="5"/>
        <v/>
      </c>
      <c r="AC20" s="38" t="str">
        <f>IF(OR(B20="",COUNTIF($B$4:B20,B20)&gt;1),"",MAX($AC$3:AC19)+1)</f>
        <v/>
      </c>
      <c r="AD20" s="38" t="str">
        <f t="shared" si="6"/>
        <v/>
      </c>
      <c r="AE20" s="38" t="str">
        <f t="shared" si="7"/>
        <v/>
      </c>
      <c r="AF20" s="38" t="str">
        <f t="shared" si="8"/>
        <v/>
      </c>
      <c r="AG20" s="38" t="str">
        <f>IF(Спецификация_авто!$L$20="","",IF(IF($S$4="(все)",COUNTIF($U$4:$U$500,Спецификация_авто!$L$20),COUNTIF($V$4:$V$500,$S$4&amp;"|"&amp;Спецификация_авто!$L$20))=0,Спецификация_авто!$L$20,""))</f>
        <v/>
      </c>
      <c r="AH20" s="38" t="str">
        <f>IF(AG20="","",COUNTIF($AG$4:AG20,"?*"))</f>
        <v/>
      </c>
    </row>
    <row r="21" spans="1:34" x14ac:dyDescent="0.3">
      <c r="A21" s="74" t="s">
        <v>923</v>
      </c>
      <c r="B21" s="74" t="s">
        <v>327</v>
      </c>
      <c r="C21" s="74" t="s">
        <v>326</v>
      </c>
      <c r="D21" s="74"/>
      <c r="E21" s="74"/>
      <c r="F21" s="74"/>
      <c r="G21" s="74" t="s">
        <v>939</v>
      </c>
      <c r="H21" s="74" t="s">
        <v>326</v>
      </c>
      <c r="I21" s="74"/>
      <c r="J21" s="74"/>
      <c r="K21" s="74"/>
      <c r="L21" s="74"/>
      <c r="M21" s="74" t="s">
        <v>307</v>
      </c>
      <c r="N21" s="38">
        <f>IF(OR(A21="Автомат",A21="Дифавтомат"),IF(W21="","",COUNTIFS(Однолинейка!$H$3:$H$3000,U21,Однолинейка!$A$3:$A$3000,Щит_спец)),IF(A21="Аппарат",IF(C21="","",COUNTIFS(Однолинейка!$I$3:$I$3000,C21,Однолинейка!$A$3:$A$3000,Щит_спец)+COUNTIFS(Однолинейка!$J$3:$J$3000,C21,Однолинейка!$A$3:$A$3000,Щит_спец)+COUNTIFS(Однолинейка!$K$3:$K$3000,C21,Однолинейка!$A$3:$A$3000,Щит_спец)),IF(A21="Модуль",IF(C21="","",COUNTIFS(Однолинейка!$AW$3:$AW$3000,"?*",Однолинейка!$AI$3:$AI$3000,C21,Однолинейка!$A$3:$A$3000,Щит_спец)),IF(A21="Клемма",IF(C21="","",IF(C21=$S$7,SUMIFS(Однолинейка!$BW$3:$BW$3000,Однолинейка!$A$3:$A$3000,Щит_спец),IF(C21=$S$8,SUMIFS(Однолинейка!$BX$3:$BX$3000,Однолинейка!$A$3:$A$3000,Щит_спец),""))),""))))</f>
        <v>0</v>
      </c>
      <c r="O21" s="74"/>
      <c r="P21" s="38">
        <f t="shared" si="0"/>
        <v>0</v>
      </c>
      <c r="R21" s="74"/>
      <c r="U21" s="38" t="str">
        <f t="shared" si="1"/>
        <v/>
      </c>
      <c r="V21" s="38" t="str">
        <f t="shared" si="2"/>
        <v/>
      </c>
      <c r="W21" s="38" t="str">
        <f>IF(AND(U21&lt;&gt;"",OR($S$4="(все)",B21=$S$4),IF($S$4="(все)",COUNTIF($U$4:U21,U21),COUNTIFS($U$4:U21,U21,$B$4:B21,B21))=1),MAX($W$3:W20)+1,"")</f>
        <v/>
      </c>
      <c r="X21" s="38" t="str">
        <f t="shared" si="3"/>
        <v/>
      </c>
      <c r="Y21" s="38">
        <f>IF(AND(A21="Аппарат",C21&lt;&gt;"",OR($S$5="(все)",B21=$S$5)),MAX($Y$3:Y20)+1,"")</f>
        <v>10</v>
      </c>
      <c r="Z21" s="38" t="str">
        <f t="shared" si="4"/>
        <v/>
      </c>
      <c r="AA21" s="38" t="str">
        <f>IF(AND(A21="Модуль",C21&lt;&gt;"",OR($S$6="(все)",B21=$S$6)),MAX($AA$3:AA20)+1,"")</f>
        <v/>
      </c>
      <c r="AB21" s="38" t="str">
        <f t="shared" si="5"/>
        <v/>
      </c>
      <c r="AC21" s="38">
        <f>IF(OR(B21="",COUNTIF($B$4:B21,B21)&gt;1),"",MAX($AC$3:AC20)+1)</f>
        <v>4</v>
      </c>
      <c r="AD21" s="38" t="str">
        <f t="shared" si="6"/>
        <v/>
      </c>
      <c r="AE21" s="38" t="str">
        <f t="shared" si="7"/>
        <v/>
      </c>
      <c r="AF21" s="38" t="str">
        <f t="shared" si="8"/>
        <v/>
      </c>
      <c r="AG21" s="38" t="str">
        <f>IF(Спецификация_авто!$L$21="","",IF(IF($S$4="(все)",COUNTIF($U$4:$U$500,Спецификация_авто!$L$21),COUNTIF($V$4:$V$500,$S$4&amp;"|"&amp;Спецификация_авто!$L$21))=0,Спецификация_авто!$L$21,""))</f>
        <v/>
      </c>
      <c r="AH21" s="38" t="str">
        <f>IF(AG21="","",COUNTIF($AG$4:AG21,"?*"))</f>
        <v/>
      </c>
    </row>
    <row r="22" spans="1:34" x14ac:dyDescent="0.3">
      <c r="A22" s="74" t="s">
        <v>515</v>
      </c>
      <c r="B22" s="74" t="s">
        <v>327</v>
      </c>
      <c r="C22" s="74" t="s">
        <v>329</v>
      </c>
      <c r="D22" s="74" t="s">
        <v>32</v>
      </c>
      <c r="E22" s="74">
        <v>24</v>
      </c>
      <c r="F22" s="74" t="s">
        <v>571</v>
      </c>
      <c r="G22" s="74" t="s">
        <v>328</v>
      </c>
      <c r="H22" s="74" t="s">
        <v>329</v>
      </c>
      <c r="I22" s="74"/>
      <c r="J22" s="74"/>
      <c r="K22" s="74"/>
      <c r="L22" s="74"/>
      <c r="M22" s="74" t="s">
        <v>307</v>
      </c>
      <c r="N22" s="38">
        <f>IF(OR(A22="Автомат",A22="Дифавтомат"),IF(W22="","",COUNTIFS(Однолинейка!$H$3:$H$3000,U22,Однолинейка!$A$3:$A$3000,Щит_спец)),IF(A22="Аппарат",IF(C22="","",COUNTIFS(Однолинейка!$I$3:$I$3000,C22,Однолинейка!$A$3:$A$3000,Щит_спец)+COUNTIFS(Однолинейка!$J$3:$J$3000,C22,Однолинейка!$A$3:$A$3000,Щит_спец)+COUNTIFS(Однолинейка!$K$3:$K$3000,C22,Однолинейка!$A$3:$A$3000,Щит_спец)),IF(A22="Модуль",IF(C22="","",COUNTIFS(Однолинейка!$AW$3:$AW$3000,"?*",Однолинейка!$AI$3:$AI$3000,C22,Однолинейка!$A$3:$A$3000,Щит_спец)),IF(A22="Клемма",IF(C22="","",IF(C22=$S$7,SUMIFS(Однолинейка!$BW$3:$BW$3000,Однолинейка!$A$3:$A$3000,Щит_спец),IF(C22=$S$8,SUMIFS(Однолинейка!$BX$3:$BX$3000,Однолинейка!$A$3:$A$3000,Щит_спец),""))),""))))</f>
        <v>1</v>
      </c>
      <c r="O22" s="74"/>
      <c r="P22" s="38">
        <f t="shared" si="0"/>
        <v>1</v>
      </c>
      <c r="R22" s="74"/>
      <c r="U22" s="38" t="str">
        <f t="shared" si="1"/>
        <v/>
      </c>
      <c r="V22" s="38" t="str">
        <f t="shared" si="2"/>
        <v/>
      </c>
      <c r="W22" s="38" t="str">
        <f>IF(AND(U22&lt;&gt;"",OR($S$4="(все)",B22=$S$4),IF($S$4="(все)",COUNTIF($U$4:U22,U22),COUNTIFS($U$4:U22,U22,$B$4:B22,B22))=1),MAX($W$3:W21)+1,"")</f>
        <v/>
      </c>
      <c r="X22" s="38" t="str">
        <f t="shared" si="3"/>
        <v/>
      </c>
      <c r="Y22" s="38" t="str">
        <f>IF(AND(A22="Аппарат",C22&lt;&gt;"",OR($S$5="(все)",B22=$S$5)),MAX($Y$3:Y21)+1,"")</f>
        <v/>
      </c>
      <c r="Z22" s="38" t="str">
        <f t="shared" si="4"/>
        <v/>
      </c>
      <c r="AA22" s="38">
        <f>IF(AND(A22="Модуль",C22&lt;&gt;"",OR($S$6="(все)",B22=$S$6)),MAX($AA$3:AA21)+1,"")</f>
        <v>1</v>
      </c>
      <c r="AB22" s="38" t="str">
        <f t="shared" si="5"/>
        <v/>
      </c>
      <c r="AC22" s="38" t="str">
        <f>IF(OR(B22="",COUNTIF($B$4:B22,B22)&gt;1),"",MAX($AC$3:AC21)+1)</f>
        <v/>
      </c>
      <c r="AD22" s="38" t="str">
        <f t="shared" si="6"/>
        <v/>
      </c>
      <c r="AE22" s="38">
        <f t="shared" si="7"/>
        <v>5022</v>
      </c>
      <c r="AF22" s="38">
        <f t="shared" si="8"/>
        <v>20</v>
      </c>
      <c r="AG22" s="38" t="str">
        <f>IF(Спецификация_авто!$L$22="","",IF(IF($S$4="(все)",COUNTIF($U$4:$U$500,Спецификация_авто!$L$22),COUNTIF($V$4:$V$500,$S$4&amp;"|"&amp;Спецификация_авто!$L$22))=0,Спецификация_авто!$L$22,""))</f>
        <v/>
      </c>
      <c r="AH22" s="38" t="str">
        <f>IF(AG22="","",COUNTIF($AG$4:AG22,"?*"))</f>
        <v/>
      </c>
    </row>
    <row r="23" spans="1:34" x14ac:dyDescent="0.3">
      <c r="A23" s="74" t="s">
        <v>515</v>
      </c>
      <c r="B23" s="74" t="s">
        <v>327</v>
      </c>
      <c r="C23" s="74" t="s">
        <v>560</v>
      </c>
      <c r="D23" s="74" t="s">
        <v>32</v>
      </c>
      <c r="E23" s="74">
        <v>24</v>
      </c>
      <c r="F23" s="74" t="s">
        <v>571</v>
      </c>
      <c r="G23" s="74" t="s">
        <v>328</v>
      </c>
      <c r="H23" s="74" t="s">
        <v>560</v>
      </c>
      <c r="I23" s="74"/>
      <c r="J23" s="74"/>
      <c r="K23" s="74"/>
      <c r="L23" s="74"/>
      <c r="M23" s="74" t="s">
        <v>307</v>
      </c>
      <c r="N23" s="38">
        <f>IF(OR(A23="Автомат",A23="Дифавтомат"),IF(W23="","",COUNTIFS(Однолинейка!$H$3:$H$3000,U23,Однолинейка!$A$3:$A$3000,Щит_спец)),IF(A23="Аппарат",IF(C23="","",COUNTIFS(Однолинейка!$I$3:$I$3000,C23,Однолинейка!$A$3:$A$3000,Щит_спец)+COUNTIFS(Однолинейка!$J$3:$J$3000,C23,Однолинейка!$A$3:$A$3000,Щит_спец)+COUNTIFS(Однолинейка!$K$3:$K$3000,C23,Однолинейка!$A$3:$A$3000,Щит_спец)),IF(A23="Модуль",IF(C23="","",COUNTIFS(Однолинейка!$AW$3:$AW$3000,"?*",Однолинейка!$AI$3:$AI$3000,C23,Однолинейка!$A$3:$A$3000,Щит_спец)),IF(A23="Клемма",IF(C23="","",IF(C23=$S$7,SUMIFS(Однолинейка!$BW$3:$BW$3000,Однолинейка!$A$3:$A$3000,Щит_спец),IF(C23=$S$8,SUMIFS(Однолинейка!$BX$3:$BX$3000,Однолинейка!$A$3:$A$3000,Щит_спец),""))),""))))</f>
        <v>0</v>
      </c>
      <c r="O23" s="74"/>
      <c r="P23" s="38">
        <f t="shared" si="0"/>
        <v>0</v>
      </c>
      <c r="R23" s="74"/>
      <c r="U23" s="38" t="str">
        <f t="shared" si="1"/>
        <v/>
      </c>
      <c r="V23" s="38" t="str">
        <f t="shared" si="2"/>
        <v/>
      </c>
      <c r="W23" s="38" t="str">
        <f>IF(AND(U23&lt;&gt;"",OR($S$4="(все)",B23=$S$4),IF($S$4="(все)",COUNTIF($U$4:U23,U23),COUNTIFS($U$4:U23,U23,$B$4:B23,B23))=1),MAX($W$3:W22)+1,"")</f>
        <v/>
      </c>
      <c r="X23" s="38" t="str">
        <f t="shared" si="3"/>
        <v/>
      </c>
      <c r="Y23" s="38" t="str">
        <f>IF(AND(A23="Аппарат",C23&lt;&gt;"",OR($S$5="(все)",B23=$S$5)),MAX($Y$3:Y22)+1,"")</f>
        <v/>
      </c>
      <c r="Z23" s="38" t="str">
        <f t="shared" si="4"/>
        <v/>
      </c>
      <c r="AA23" s="38">
        <f>IF(AND(A23="Модуль",C23&lt;&gt;"",OR($S$6="(все)",B23=$S$6)),MAX($AA$3:AA22)+1,"")</f>
        <v>2</v>
      </c>
      <c r="AB23" s="38" t="str">
        <f t="shared" si="5"/>
        <v/>
      </c>
      <c r="AC23" s="38" t="str">
        <f>IF(OR(B23="",COUNTIF($B$4:B23,B23)&gt;1),"",MAX($AC$3:AC22)+1)</f>
        <v/>
      </c>
      <c r="AD23" s="38" t="str">
        <f t="shared" si="6"/>
        <v/>
      </c>
      <c r="AE23" s="38" t="str">
        <f t="shared" si="7"/>
        <v/>
      </c>
      <c r="AF23" s="38" t="str">
        <f t="shared" si="8"/>
        <v/>
      </c>
      <c r="AG23" s="38" t="str">
        <f>IF(Спецификация_авто!$L$23="","",IF(IF($S$4="(все)",COUNTIF($U$4:$U$500,Спецификация_авто!$L$23),COUNTIF($V$4:$V$500,$S$4&amp;"|"&amp;Спецификация_авто!$L$23))=0,Спецификация_авто!$L$23,""))</f>
        <v/>
      </c>
      <c r="AH23" s="38" t="str">
        <f>IF(AG23="","",COUNTIF($AG$4:AG23,"?*"))</f>
        <v/>
      </c>
    </row>
    <row r="24" spans="1:34" x14ac:dyDescent="0.3">
      <c r="A24" s="74" t="s">
        <v>515</v>
      </c>
      <c r="B24" s="74" t="s">
        <v>327</v>
      </c>
      <c r="C24" s="74" t="s">
        <v>570</v>
      </c>
      <c r="D24" s="74" t="s">
        <v>32</v>
      </c>
      <c r="E24" s="74">
        <v>16</v>
      </c>
      <c r="F24" s="74" t="s">
        <v>571</v>
      </c>
      <c r="G24" s="74" t="s">
        <v>328</v>
      </c>
      <c r="H24" s="74" t="s">
        <v>570</v>
      </c>
      <c r="I24" s="74"/>
      <c r="J24" s="74"/>
      <c r="K24" s="74"/>
      <c r="L24" s="74"/>
      <c r="M24" s="74" t="s">
        <v>307</v>
      </c>
      <c r="N24" s="38">
        <f>IF(OR(A24="Автомат",A24="Дифавтомат"),IF(W24="","",COUNTIFS(Однолинейка!$H$3:$H$3000,U24,Однолинейка!$A$3:$A$3000,Щит_спец)),IF(A24="Аппарат",IF(C24="","",COUNTIFS(Однолинейка!$I$3:$I$3000,C24,Однолинейка!$A$3:$A$3000,Щит_спец)+COUNTIFS(Однолинейка!$J$3:$J$3000,C24,Однолинейка!$A$3:$A$3000,Щит_спец)+COUNTIFS(Однолинейка!$K$3:$K$3000,C24,Однолинейка!$A$3:$A$3000,Щит_спец)),IF(A24="Модуль",IF(C24="","",COUNTIFS(Однолинейка!$AW$3:$AW$3000,"?*",Однолинейка!$AI$3:$AI$3000,C24,Однолинейка!$A$3:$A$3000,Щит_спец)),IF(A24="Клемма",IF(C24="","",IF(C24=$S$7,SUMIFS(Однолинейка!$BW$3:$BW$3000,Однолинейка!$A$3:$A$3000,Щит_спец),IF(C24=$S$8,SUMIFS(Однолинейка!$BX$3:$BX$3000,Однолинейка!$A$3:$A$3000,Щит_спец),""))),""))))</f>
        <v>0</v>
      </c>
      <c r="O24" s="74"/>
      <c r="P24" s="38">
        <f t="shared" si="0"/>
        <v>0</v>
      </c>
      <c r="R24" s="74"/>
      <c r="U24" s="38" t="str">
        <f t="shared" si="1"/>
        <v/>
      </c>
      <c r="V24" s="38" t="str">
        <f t="shared" si="2"/>
        <v/>
      </c>
      <c r="W24" s="38" t="str">
        <f>IF(AND(U24&lt;&gt;"",OR($S$4="(все)",B24=$S$4),IF($S$4="(все)",COUNTIF($U$4:U24,U24),COUNTIFS($U$4:U24,U24,$B$4:B24,B24))=1),MAX($W$3:W23)+1,"")</f>
        <v/>
      </c>
      <c r="X24" s="38" t="str">
        <f t="shared" si="3"/>
        <v/>
      </c>
      <c r="Y24" s="38" t="str">
        <f>IF(AND(A24="Аппарат",C24&lt;&gt;"",OR($S$5="(все)",B24=$S$5)),MAX($Y$3:Y23)+1,"")</f>
        <v/>
      </c>
      <c r="Z24" s="38" t="str">
        <f t="shared" si="4"/>
        <v/>
      </c>
      <c r="AA24" s="38">
        <f>IF(AND(A24="Модуль",C24&lt;&gt;"",OR($S$6="(все)",B24=$S$6)),MAX($AA$3:AA23)+1,"")</f>
        <v>3</v>
      </c>
      <c r="AB24" s="38" t="str">
        <f t="shared" si="5"/>
        <v/>
      </c>
      <c r="AC24" s="38" t="str">
        <f>IF(OR(B24="",COUNTIF($B$4:B24,B24)&gt;1),"",MAX($AC$3:AC23)+1)</f>
        <v/>
      </c>
      <c r="AD24" s="38" t="str">
        <f t="shared" si="6"/>
        <v/>
      </c>
      <c r="AE24" s="38" t="str">
        <f t="shared" si="7"/>
        <v/>
      </c>
      <c r="AF24" s="38" t="str">
        <f t="shared" si="8"/>
        <v/>
      </c>
      <c r="AG24" s="38" t="str">
        <f>IF(Спецификация_авто!$L$27="","",IF(COUNTIF($C$4:$C$500,Спецификация_авто!$L$27)=0,Спецификация_авто!$L$27,""))</f>
        <v/>
      </c>
      <c r="AH24" s="38" t="str">
        <f>IF(AG24="","",COUNTIF($AG$4:AG24,"?*"))</f>
        <v/>
      </c>
    </row>
    <row r="25" spans="1:34" x14ac:dyDescent="0.3">
      <c r="A25" s="74" t="s">
        <v>515</v>
      </c>
      <c r="B25" s="74" t="s">
        <v>327</v>
      </c>
      <c r="C25" s="74" t="s">
        <v>561</v>
      </c>
      <c r="D25" s="74" t="s">
        <v>32</v>
      </c>
      <c r="E25" s="74">
        <v>8</v>
      </c>
      <c r="F25" s="74" t="s">
        <v>571</v>
      </c>
      <c r="G25" s="74" t="s">
        <v>328</v>
      </c>
      <c r="H25" s="74" t="s">
        <v>561</v>
      </c>
      <c r="I25" s="74"/>
      <c r="J25" s="74"/>
      <c r="K25" s="74"/>
      <c r="L25" s="74"/>
      <c r="M25" s="74" t="s">
        <v>307</v>
      </c>
      <c r="N25" s="38">
        <f>IF(OR(A25="Автомат",A25="Дифавтомат"),IF(W25="","",COUNTIFS(Однолинейка!$H$3:$H$3000,U25,Однолинейка!$A$3:$A$3000,Щит_спец)),IF(A25="Аппарат",IF(C25="","",COUNTIFS(Однолинейка!$I$3:$I$3000,C25,Однолинейка!$A$3:$A$3000,Щит_спец)+COUNTIFS(Однолинейка!$J$3:$J$3000,C25,Однолинейка!$A$3:$A$3000,Щит_спец)+COUNTIFS(Однолинейка!$K$3:$K$3000,C25,Однолинейка!$A$3:$A$3000,Щит_спец)),IF(A25="Модуль",IF(C25="","",COUNTIFS(Однолинейка!$AW$3:$AW$3000,"?*",Однолинейка!$AI$3:$AI$3000,C25,Однолинейка!$A$3:$A$3000,Щит_спец)),IF(A25="Клемма",IF(C25="","",IF(C25=$S$7,SUMIFS(Однолинейка!$BW$3:$BW$3000,Однолинейка!$A$3:$A$3000,Щит_спец),IF(C25=$S$8,SUMIFS(Однолинейка!$BX$3:$BX$3000,Однолинейка!$A$3:$A$3000,Щит_спец),""))),""))))</f>
        <v>0</v>
      </c>
      <c r="O25" s="74"/>
      <c r="P25" s="38">
        <f t="shared" si="0"/>
        <v>0</v>
      </c>
      <c r="R25" s="74"/>
      <c r="U25" s="38" t="str">
        <f t="shared" si="1"/>
        <v/>
      </c>
      <c r="V25" s="38" t="str">
        <f t="shared" si="2"/>
        <v/>
      </c>
      <c r="W25" s="38" t="str">
        <f>IF(AND(U25&lt;&gt;"",OR($S$4="(все)",B25=$S$4),IF($S$4="(все)",COUNTIF($U$4:U25,U25),COUNTIFS($U$4:U25,U25,$B$4:B25,B25))=1),MAX($W$3:W24)+1,"")</f>
        <v/>
      </c>
      <c r="X25" s="38" t="str">
        <f t="shared" si="3"/>
        <v/>
      </c>
      <c r="Y25" s="38" t="str">
        <f>IF(AND(A25="Аппарат",C25&lt;&gt;"",OR($S$5="(все)",B25=$S$5)),MAX($Y$3:Y24)+1,"")</f>
        <v/>
      </c>
      <c r="Z25" s="38" t="str">
        <f t="shared" si="4"/>
        <v/>
      </c>
      <c r="AA25" s="38">
        <f>IF(AND(A25="Модуль",C25&lt;&gt;"",OR($S$6="(все)",B25=$S$6)),MAX($AA$3:AA24)+1,"")</f>
        <v>4</v>
      </c>
      <c r="AB25" s="38" t="str">
        <f t="shared" si="5"/>
        <v/>
      </c>
      <c r="AC25" s="38" t="str">
        <f>IF(OR(B25="",COUNTIF($B$4:B25,B25)&gt;1),"",MAX($AC$3:AC24)+1)</f>
        <v/>
      </c>
      <c r="AD25" s="38" t="str">
        <f t="shared" si="6"/>
        <v/>
      </c>
      <c r="AE25" s="38" t="str">
        <f t="shared" si="7"/>
        <v/>
      </c>
      <c r="AF25" s="38" t="str">
        <f t="shared" si="8"/>
        <v/>
      </c>
      <c r="AG25" s="38" t="str">
        <f>IF(Спецификация_авто!$L$28="","",IF(COUNTIF($C$4:$C$500,Спецификация_авто!$L$28)=0,Спецификация_авто!$L$28,""))</f>
        <v/>
      </c>
      <c r="AH25" s="38" t="str">
        <f>IF(AG25="","",COUNTIF($AG$4:AG25,"?*"))</f>
        <v/>
      </c>
    </row>
    <row r="26" spans="1:34" x14ac:dyDescent="0.3">
      <c r="A26" s="74" t="s">
        <v>515</v>
      </c>
      <c r="B26" s="74" t="s">
        <v>327</v>
      </c>
      <c r="C26" s="74" t="s">
        <v>574</v>
      </c>
      <c r="D26" s="74" t="s">
        <v>32</v>
      </c>
      <c r="E26" s="74">
        <v>8</v>
      </c>
      <c r="F26" s="74" t="s">
        <v>575</v>
      </c>
      <c r="G26" s="74" t="s">
        <v>940</v>
      </c>
      <c r="H26" s="74" t="s">
        <v>574</v>
      </c>
      <c r="I26" s="74"/>
      <c r="J26" s="74"/>
      <c r="K26" s="74"/>
      <c r="L26" s="74"/>
      <c r="M26" s="74" t="s">
        <v>307</v>
      </c>
      <c r="N26" s="38">
        <f>IF(OR(A26="Автомат",A26="Дифавтомат"),IF(W26="","",COUNTIFS(Однолинейка!$H$3:$H$3000,U26,Однолинейка!$A$3:$A$3000,Щит_спец)),IF(A26="Аппарат",IF(C26="","",COUNTIFS(Однолинейка!$I$3:$I$3000,C26,Однолинейка!$A$3:$A$3000,Щит_спец)+COUNTIFS(Однолинейка!$J$3:$J$3000,C26,Однолинейка!$A$3:$A$3000,Щит_спец)+COUNTIFS(Однолинейка!$K$3:$K$3000,C26,Однолинейка!$A$3:$A$3000,Щит_спец)),IF(A26="Модуль",IF(C26="","",COUNTIFS(Однолинейка!$AW$3:$AW$3000,"?*",Однолинейка!$AI$3:$AI$3000,C26,Однолинейка!$A$3:$A$3000,Щит_спец)),IF(A26="Клемма",IF(C26="","",IF(C26=$S$7,SUMIFS(Однолинейка!$BW$3:$BW$3000,Однолинейка!$A$3:$A$3000,Щит_спец),IF(C26=$S$8,SUMIFS(Однолинейка!$BX$3:$BX$3000,Однолинейка!$A$3:$A$3000,Щит_спец),""))),""))))</f>
        <v>0</v>
      </c>
      <c r="O26" s="74"/>
      <c r="P26" s="38">
        <f t="shared" si="0"/>
        <v>0</v>
      </c>
      <c r="U26" s="38" t="str">
        <f t="shared" si="1"/>
        <v/>
      </c>
      <c r="V26" s="38" t="str">
        <f t="shared" si="2"/>
        <v/>
      </c>
      <c r="W26" s="38" t="str">
        <f>IF(AND(U26&lt;&gt;"",OR($S$4="(все)",B26=$S$4),IF($S$4="(все)",COUNTIF($U$4:U26,U26),COUNTIFS($U$4:U26,U26,$B$4:B26,B26))=1),MAX($W$3:W25)+1,"")</f>
        <v/>
      </c>
      <c r="X26" s="38" t="str">
        <f t="shared" si="3"/>
        <v/>
      </c>
      <c r="Y26" s="38" t="str">
        <f>IF(AND(A26="Аппарат",C26&lt;&gt;"",OR($S$5="(все)",B26=$S$5)),MAX($Y$3:Y25)+1,"")</f>
        <v/>
      </c>
      <c r="Z26" s="38" t="str">
        <f t="shared" si="4"/>
        <v/>
      </c>
      <c r="AA26" s="38">
        <f>IF(AND(A26="Модуль",C26&lt;&gt;"",OR($S$6="(все)",B26=$S$6)),MAX($AA$3:AA25)+1,"")</f>
        <v>5</v>
      </c>
      <c r="AB26" s="38" t="str">
        <f t="shared" si="5"/>
        <v/>
      </c>
      <c r="AC26" s="38" t="str">
        <f>IF(OR(B26="",COUNTIF($B$4:B26,B26)&gt;1),"",MAX($AC$3:AC25)+1)</f>
        <v/>
      </c>
      <c r="AD26" s="38" t="str">
        <f t="shared" si="6"/>
        <v/>
      </c>
      <c r="AE26" s="38" t="str">
        <f t="shared" si="7"/>
        <v/>
      </c>
      <c r="AF26" s="38" t="str">
        <f t="shared" si="8"/>
        <v/>
      </c>
      <c r="AG26" s="38" t="str">
        <f>IF(Спецификация_авто!$L$29="","",IF(COUNTIF($C$4:$C$500,Спецификация_авто!$L$29)=0,Спецификация_авто!$L$29,""))</f>
        <v/>
      </c>
      <c r="AH26" s="38" t="str">
        <f>IF(AG26="","",COUNTIF($AG$4:AG26,"?*"))</f>
        <v/>
      </c>
    </row>
    <row r="27" spans="1:34" ht="27.6" x14ac:dyDescent="0.3">
      <c r="A27" s="74" t="s">
        <v>515</v>
      </c>
      <c r="B27" s="74" t="s">
        <v>327</v>
      </c>
      <c r="C27" s="74" t="s">
        <v>330</v>
      </c>
      <c r="D27" s="74" t="s">
        <v>578</v>
      </c>
      <c r="E27" s="74">
        <v>4</v>
      </c>
      <c r="F27" s="74" t="s">
        <v>579</v>
      </c>
      <c r="G27" s="74" t="s">
        <v>941</v>
      </c>
      <c r="H27" s="74" t="s">
        <v>330</v>
      </c>
      <c r="I27" s="74"/>
      <c r="J27" s="74"/>
      <c r="K27" s="74"/>
      <c r="L27" s="74"/>
      <c r="M27" s="74" t="s">
        <v>307</v>
      </c>
      <c r="N27" s="38">
        <f>IF(OR(A27="Автомат",A27="Дифавтомат"),IF(W27="","",COUNTIFS(Однолинейка!$H$3:$H$3000,U27,Однолинейка!$A$3:$A$3000,Щит_спец)),IF(A27="Аппарат",IF(C27="","",COUNTIFS(Однолинейка!$I$3:$I$3000,C27,Однолинейка!$A$3:$A$3000,Щит_спец)+COUNTIFS(Однолинейка!$J$3:$J$3000,C27,Однолинейка!$A$3:$A$3000,Щит_спец)+COUNTIFS(Однолинейка!$K$3:$K$3000,C27,Однолинейка!$A$3:$A$3000,Щит_спец)),IF(A27="Модуль",IF(C27="","",COUNTIFS(Однолинейка!$AW$3:$AW$3000,"?*",Однолинейка!$AI$3:$AI$3000,C27,Однолинейка!$A$3:$A$3000,Щит_спец)),IF(A27="Клемма",IF(C27="","",IF(C27=$S$7,SUMIFS(Однолинейка!$BW$3:$BW$3000,Однолинейка!$A$3:$A$3000,Щит_спец),IF(C27=$S$8,SUMIFS(Однолинейка!$BX$3:$BX$3000,Однолинейка!$A$3:$A$3000,Щит_спец),""))),""))))</f>
        <v>0</v>
      </c>
      <c r="O27" s="74"/>
      <c r="P27" s="38">
        <f t="shared" si="0"/>
        <v>0</v>
      </c>
      <c r="R27" s="35" t="s">
        <v>942</v>
      </c>
      <c r="S27" s="35"/>
      <c r="U27" s="38" t="str">
        <f t="shared" si="1"/>
        <v/>
      </c>
      <c r="V27" s="38" t="str">
        <f t="shared" si="2"/>
        <v/>
      </c>
      <c r="W27" s="38" t="str">
        <f>IF(AND(U27&lt;&gt;"",OR($S$4="(все)",B27=$S$4),IF($S$4="(все)",COUNTIF($U$4:U27,U27),COUNTIFS($U$4:U27,U27,$B$4:B27,B27))=1),MAX($W$3:W26)+1,"")</f>
        <v/>
      </c>
      <c r="X27" s="38" t="str">
        <f t="shared" si="3"/>
        <v/>
      </c>
      <c r="Y27" s="38" t="str">
        <f>IF(AND(A27="Аппарат",C27&lt;&gt;"",OR($S$5="(все)",B27=$S$5)),MAX($Y$3:Y26)+1,"")</f>
        <v/>
      </c>
      <c r="Z27" s="38" t="str">
        <f t="shared" si="4"/>
        <v/>
      </c>
      <c r="AA27" s="38">
        <f>IF(AND(A27="Модуль",C27&lt;&gt;"",OR($S$6="(все)",B27=$S$6)),MAX($AA$3:AA26)+1,"")</f>
        <v>6</v>
      </c>
      <c r="AB27" s="38" t="str">
        <f t="shared" si="5"/>
        <v/>
      </c>
      <c r="AC27" s="38" t="str">
        <f>IF(OR(B27="",COUNTIF($B$4:B27,B27)&gt;1),"",MAX($AC$3:AC26)+1)</f>
        <v/>
      </c>
      <c r="AD27" s="38" t="str">
        <f t="shared" si="6"/>
        <v/>
      </c>
      <c r="AE27" s="38" t="str">
        <f t="shared" si="7"/>
        <v/>
      </c>
      <c r="AF27" s="38" t="str">
        <f t="shared" si="8"/>
        <v/>
      </c>
      <c r="AG27" s="38" t="str">
        <f>IF(Спецификация_авто!$L$30="","",IF(COUNTIF($C$4:$C$500,Спецификация_авто!$L$30)=0,Спецификация_авто!$L$30,""))</f>
        <v/>
      </c>
      <c r="AH27" s="38" t="str">
        <f>IF(AG27="","",COUNTIF($AG$4:AG27,"?*"))</f>
        <v/>
      </c>
    </row>
    <row r="28" spans="1:34" x14ac:dyDescent="0.3">
      <c r="A28" s="74" t="s">
        <v>515</v>
      </c>
      <c r="B28" s="74" t="s">
        <v>327</v>
      </c>
      <c r="C28" s="74" t="s">
        <v>332</v>
      </c>
      <c r="D28" s="74" t="s">
        <v>580</v>
      </c>
      <c r="E28" s="74">
        <v>2</v>
      </c>
      <c r="F28" s="74" t="s">
        <v>232</v>
      </c>
      <c r="G28" s="74" t="s">
        <v>331</v>
      </c>
      <c r="H28" s="74" t="s">
        <v>332</v>
      </c>
      <c r="I28" s="74"/>
      <c r="J28" s="74"/>
      <c r="K28" s="74"/>
      <c r="L28" s="74"/>
      <c r="M28" s="74" t="s">
        <v>307</v>
      </c>
      <c r="N28" s="38">
        <f>IF(OR(A28="Автомат",A28="Дифавтомат"),IF(W28="","",COUNTIFS(Однолинейка!$H$3:$H$3000,U28,Однолинейка!$A$3:$A$3000,Щит_спец)),IF(A28="Аппарат",IF(C28="","",COUNTIFS(Однолинейка!$I$3:$I$3000,C28,Однолинейка!$A$3:$A$3000,Щит_спец)+COUNTIFS(Однолинейка!$J$3:$J$3000,C28,Однолинейка!$A$3:$A$3000,Щит_спец)+COUNTIFS(Однолинейка!$K$3:$K$3000,C28,Однолинейка!$A$3:$A$3000,Щит_спец)),IF(A28="Модуль",IF(C28="","",COUNTIFS(Однолинейка!$AW$3:$AW$3000,"?*",Однолинейка!$AI$3:$AI$3000,C28,Однолинейка!$A$3:$A$3000,Щит_спец)),IF(A28="Клемма",IF(C28="","",IF(C28=$S$7,SUMIFS(Однолинейка!$BW$3:$BW$3000,Однолинейка!$A$3:$A$3000,Щит_спец),IF(C28=$S$8,SUMIFS(Однолинейка!$BX$3:$BX$3000,Однолинейка!$A$3:$A$3000,Щит_спец),""))),""))))</f>
        <v>0</v>
      </c>
      <c r="O28" s="74"/>
      <c r="P28" s="38">
        <f t="shared" si="0"/>
        <v>0</v>
      </c>
      <c r="R28" s="38" t="str">
        <f>IFERROR(INDEX($AG$4:$AG$43,MATCH(1,$AH$4:$AH$43,0)),"")</f>
        <v>4P С16А 30мА</v>
      </c>
      <c r="U28" s="38" t="str">
        <f t="shared" si="1"/>
        <v/>
      </c>
      <c r="V28" s="38" t="str">
        <f t="shared" si="2"/>
        <v/>
      </c>
      <c r="W28" s="38" t="str">
        <f>IF(AND(U28&lt;&gt;"",OR($S$4="(все)",B28=$S$4),IF($S$4="(все)",COUNTIF($U$4:U28,U28),COUNTIFS($U$4:U28,U28,$B$4:B28,B28))=1),MAX($W$3:W27)+1,"")</f>
        <v/>
      </c>
      <c r="X28" s="38" t="str">
        <f t="shared" si="3"/>
        <v/>
      </c>
      <c r="Y28" s="38" t="str">
        <f>IF(AND(A28="Аппарат",C28&lt;&gt;"",OR($S$5="(все)",B28=$S$5)),MAX($Y$3:Y27)+1,"")</f>
        <v/>
      </c>
      <c r="Z28" s="38" t="str">
        <f t="shared" si="4"/>
        <v/>
      </c>
      <c r="AA28" s="38">
        <f>IF(AND(A28="Модуль",C28&lt;&gt;"",OR($S$6="(все)",B28=$S$6)),MAX($AA$3:AA27)+1,"")</f>
        <v>7</v>
      </c>
      <c r="AB28" s="38" t="str">
        <f t="shared" si="5"/>
        <v/>
      </c>
      <c r="AC28" s="38" t="str">
        <f>IF(OR(B28="",COUNTIF($B$4:B28,B28)&gt;1),"",MAX($AC$3:AC27)+1)</f>
        <v/>
      </c>
      <c r="AD28" s="38" t="str">
        <f t="shared" si="6"/>
        <v/>
      </c>
      <c r="AE28" s="38" t="str">
        <f t="shared" si="7"/>
        <v/>
      </c>
      <c r="AF28" s="38" t="str">
        <f t="shared" si="8"/>
        <v/>
      </c>
      <c r="AG28" s="38" t="str">
        <f>IF(Спецификация_авто!$L$31="","",IF(COUNTIF($C$4:$C$500,Спецификация_авто!$L$31)=0,Спецификация_авто!$L$31,""))</f>
        <v/>
      </c>
      <c r="AH28" s="38" t="str">
        <f>IF(AG28="","",COUNTIF($AG$4:AG28,"?*"))</f>
        <v/>
      </c>
    </row>
    <row r="29" spans="1:34" x14ac:dyDescent="0.3">
      <c r="A29" s="74" t="s">
        <v>515</v>
      </c>
      <c r="B29" s="74" t="s">
        <v>327</v>
      </c>
      <c r="C29" s="74" t="s">
        <v>334</v>
      </c>
      <c r="D29" s="74" t="s">
        <v>943</v>
      </c>
      <c r="E29" s="74">
        <v>8</v>
      </c>
      <c r="F29" s="74" t="s">
        <v>944</v>
      </c>
      <c r="G29" s="74" t="s">
        <v>333</v>
      </c>
      <c r="H29" s="74" t="s">
        <v>334</v>
      </c>
      <c r="I29" s="74"/>
      <c r="J29" s="74"/>
      <c r="K29" s="74"/>
      <c r="L29" s="74"/>
      <c r="M29" s="74" t="s">
        <v>307</v>
      </c>
      <c r="N29" s="38">
        <f>IF(OR(A29="Автомат",A29="Дифавтомат"),IF(W29="","",COUNTIFS(Однолинейка!$H$3:$H$3000,U29,Однолинейка!$A$3:$A$3000,Щит_спец)),IF(A29="Аппарат",IF(C29="","",COUNTIFS(Однолинейка!$I$3:$I$3000,C29,Однолинейка!$A$3:$A$3000,Щит_спец)+COUNTIFS(Однолинейка!$J$3:$J$3000,C29,Однолинейка!$A$3:$A$3000,Щит_спец)+COUNTIFS(Однолинейка!$K$3:$K$3000,C29,Однолинейка!$A$3:$A$3000,Щит_спец)),IF(A29="Модуль",IF(C29="","",COUNTIFS(Однолинейка!$AW$3:$AW$3000,"?*",Однолинейка!$AI$3:$AI$3000,C29,Однолинейка!$A$3:$A$3000,Щит_спец)),IF(A29="Клемма",IF(C29="","",IF(C29=$S$7,SUMIFS(Однолинейка!$BW$3:$BW$3000,Однолинейка!$A$3:$A$3000,Щит_спец),IF(C29=$S$8,SUMIFS(Однолинейка!$BX$3:$BX$3000,Однолинейка!$A$3:$A$3000,Щит_спец),""))),""))))</f>
        <v>0</v>
      </c>
      <c r="O29" s="74"/>
      <c r="P29" s="38">
        <f t="shared" si="0"/>
        <v>0</v>
      </c>
      <c r="R29" s="38" t="str">
        <f>IFERROR(INDEX($AG$4:$AG$43,MATCH(2,$AH$4:$AH$43,0)),"")</f>
        <v/>
      </c>
      <c r="U29" s="38" t="str">
        <f t="shared" si="1"/>
        <v/>
      </c>
      <c r="V29" s="38" t="str">
        <f t="shared" si="2"/>
        <v/>
      </c>
      <c r="W29" s="38" t="str">
        <f>IF(AND(U29&lt;&gt;"",OR($S$4="(все)",B29=$S$4),IF($S$4="(все)",COUNTIF($U$4:U29,U29),COUNTIFS($U$4:U29,U29,$B$4:B29,B29))=1),MAX($W$3:W28)+1,"")</f>
        <v/>
      </c>
      <c r="X29" s="38" t="str">
        <f t="shared" si="3"/>
        <v/>
      </c>
      <c r="Y29" s="38" t="str">
        <f>IF(AND(A29="Аппарат",C29&lt;&gt;"",OR($S$5="(все)",B29=$S$5)),MAX($Y$3:Y28)+1,"")</f>
        <v/>
      </c>
      <c r="Z29" s="38" t="str">
        <f t="shared" si="4"/>
        <v/>
      </c>
      <c r="AA29" s="38">
        <f>IF(AND(A29="Модуль",C29&lt;&gt;"",OR($S$6="(все)",B29=$S$6)),MAX($AA$3:AA28)+1,"")</f>
        <v>8</v>
      </c>
      <c r="AB29" s="38" t="str">
        <f t="shared" si="5"/>
        <v/>
      </c>
      <c r="AC29" s="38" t="str">
        <f>IF(OR(B29="",COUNTIF($B$4:B29,B29)&gt;1),"",MAX($AC$3:AC28)+1)</f>
        <v/>
      </c>
      <c r="AD29" s="38" t="str">
        <f t="shared" si="6"/>
        <v/>
      </c>
      <c r="AE29" s="38" t="str">
        <f t="shared" si="7"/>
        <v/>
      </c>
      <c r="AF29" s="38" t="str">
        <f t="shared" si="8"/>
        <v/>
      </c>
      <c r="AG29" s="38" t="str">
        <f>IF(Спецификация_авто!$L$32="","",IF(COUNTIF($C$4:$C$500,Спецификация_авто!$L$32)=0,Спецификация_авто!$L$32,""))</f>
        <v/>
      </c>
      <c r="AH29" s="38" t="str">
        <f>IF(AG29="","",COUNTIF($AG$4:AG29,"?*"))</f>
        <v/>
      </c>
    </row>
    <row r="30" spans="1:34" x14ac:dyDescent="0.3">
      <c r="A30" s="74" t="s">
        <v>515</v>
      </c>
      <c r="B30" s="74" t="s">
        <v>320</v>
      </c>
      <c r="C30" s="74" t="s">
        <v>945</v>
      </c>
      <c r="D30" s="74" t="s">
        <v>578</v>
      </c>
      <c r="E30" s="74">
        <v>4</v>
      </c>
      <c r="F30" s="74" t="s">
        <v>946</v>
      </c>
      <c r="G30" s="74" t="s">
        <v>947</v>
      </c>
      <c r="H30" s="74" t="s">
        <v>321</v>
      </c>
      <c r="I30" s="74"/>
      <c r="J30" s="74"/>
      <c r="K30" s="74"/>
      <c r="L30" s="74"/>
      <c r="M30" s="74" t="s">
        <v>307</v>
      </c>
      <c r="N30" s="38">
        <f>IF(OR(A30="Автомат",A30="Дифавтомат"),IF(W30="","",COUNTIFS(Однолинейка!$H$3:$H$3000,U30,Однолинейка!$A$3:$A$3000,Щит_спец)),IF(A30="Аппарат",IF(C30="","",COUNTIFS(Однолинейка!$I$3:$I$3000,C30,Однолинейка!$A$3:$A$3000,Щит_спец)+COUNTIFS(Однолинейка!$J$3:$J$3000,C30,Однолинейка!$A$3:$A$3000,Щит_спец)+COUNTIFS(Однолинейка!$K$3:$K$3000,C30,Однолинейка!$A$3:$A$3000,Щит_спец)),IF(A30="Модуль",IF(C30="","",COUNTIFS(Однолинейка!$AW$3:$AW$3000,"?*",Однолинейка!$AI$3:$AI$3000,C30,Однолинейка!$A$3:$A$3000,Щит_спец)),IF(A30="Клемма",IF(C30="","",IF(C30=$S$7,SUMIFS(Однолинейка!$BW$3:$BW$3000,Однолинейка!$A$3:$A$3000,Щит_спец),IF(C30=$S$8,SUMIFS(Однолинейка!$BX$3:$BX$3000,Однолинейка!$A$3:$A$3000,Щит_спец),""))),""))))</f>
        <v>0</v>
      </c>
      <c r="O30" s="74"/>
      <c r="P30" s="38">
        <f t="shared" si="0"/>
        <v>0</v>
      </c>
      <c r="R30" s="38" t="str">
        <f>IFERROR(INDEX($AG$4:$AG$43,MATCH(3,$AH$4:$AH$43,0)),"")</f>
        <v/>
      </c>
      <c r="U30" s="38" t="str">
        <f t="shared" si="1"/>
        <v/>
      </c>
      <c r="V30" s="38" t="str">
        <f t="shared" si="2"/>
        <v/>
      </c>
      <c r="W30" s="38" t="str">
        <f>IF(AND(U30&lt;&gt;"",OR($S$4="(все)",B30=$S$4),IF($S$4="(все)",COUNTIF($U$4:U30,U30),COUNTIFS($U$4:U30,U30,$B$4:B30,B30))=1),MAX($W$3:W29)+1,"")</f>
        <v/>
      </c>
      <c r="X30" s="38" t="str">
        <f t="shared" si="3"/>
        <v/>
      </c>
      <c r="Y30" s="38" t="str">
        <f>IF(AND(A30="Аппарат",C30&lt;&gt;"",OR($S$5="(все)",B30=$S$5)),MAX($Y$3:Y29)+1,"")</f>
        <v/>
      </c>
      <c r="Z30" s="38" t="str">
        <f t="shared" si="4"/>
        <v/>
      </c>
      <c r="AA30" s="38">
        <f>IF(AND(A30="Модуль",C30&lt;&gt;"",OR($S$6="(все)",B30=$S$6)),MAX($AA$3:AA29)+1,"")</f>
        <v>9</v>
      </c>
      <c r="AB30" s="38" t="str">
        <f t="shared" si="5"/>
        <v/>
      </c>
      <c r="AC30" s="38" t="str">
        <f>IF(OR(B30="",COUNTIF($B$4:B30,B30)&gt;1),"",MAX($AC$3:AC29)+1)</f>
        <v/>
      </c>
      <c r="AD30" s="38" t="str">
        <f t="shared" si="6"/>
        <v/>
      </c>
      <c r="AE30" s="38" t="str">
        <f t="shared" si="7"/>
        <v/>
      </c>
      <c r="AF30" s="38" t="str">
        <f t="shared" si="8"/>
        <v/>
      </c>
      <c r="AG30" s="38" t="str">
        <f>IF(Спецификация_авто!$L$33="","",IF(COUNTIF($C$4:$C$500,Спецификация_авто!$L$33)=0,Спецификация_авто!$L$33,""))</f>
        <v/>
      </c>
      <c r="AH30" s="38" t="str">
        <f>IF(AG30="","",COUNTIF($AG$4:AG30,"?*"))</f>
        <v/>
      </c>
    </row>
    <row r="31" spans="1:34" x14ac:dyDescent="0.3">
      <c r="A31" s="74" t="s">
        <v>515</v>
      </c>
      <c r="B31" s="74" t="s">
        <v>948</v>
      </c>
      <c r="C31" s="74" t="s">
        <v>563</v>
      </c>
      <c r="D31" s="74" t="s">
        <v>32</v>
      </c>
      <c r="E31" s="74">
        <v>24</v>
      </c>
      <c r="F31" s="74" t="s">
        <v>571</v>
      </c>
      <c r="G31" s="74" t="s">
        <v>949</v>
      </c>
      <c r="H31" s="74"/>
      <c r="I31" s="74"/>
      <c r="J31" s="74"/>
      <c r="K31" s="74"/>
      <c r="L31" s="74"/>
      <c r="M31" s="74" t="s">
        <v>307</v>
      </c>
      <c r="N31" s="38">
        <f>IF(OR(A31="Автомат",A31="Дифавтомат"),IF(W31="","",COUNTIFS(Однолинейка!$H$3:$H$3000,U31,Однолинейка!$A$3:$A$3000,Щит_спец)),IF(A31="Аппарат",IF(C31="","",COUNTIFS(Однолинейка!$I$3:$I$3000,C31,Однолинейка!$A$3:$A$3000,Щит_спец)+COUNTIFS(Однолинейка!$J$3:$J$3000,C31,Однолинейка!$A$3:$A$3000,Щит_спец)+COUNTIFS(Однолинейка!$K$3:$K$3000,C31,Однолинейка!$A$3:$A$3000,Щит_спец)),IF(A31="Модуль",IF(C31="","",COUNTIFS(Однолинейка!$AW$3:$AW$3000,"?*",Однолинейка!$AI$3:$AI$3000,C31,Однолинейка!$A$3:$A$3000,Щит_спец)),IF(A31="Клемма",IF(C31="","",IF(C31=$S$7,SUMIFS(Однолинейка!$BW$3:$BW$3000,Однолинейка!$A$3:$A$3000,Щит_спец),IF(C31=$S$8,SUMIFS(Однолинейка!$BX$3:$BX$3000,Однолинейка!$A$3:$A$3000,Щит_спец),""))),""))))</f>
        <v>0</v>
      </c>
      <c r="O31" s="74"/>
      <c r="P31" s="38">
        <f t="shared" si="0"/>
        <v>0</v>
      </c>
      <c r="R31" s="38" t="str">
        <f>IFERROR(INDEX($AG$4:$AG$43,MATCH(4,$AH$4:$AH$43,0)),"")</f>
        <v/>
      </c>
      <c r="U31" s="38" t="str">
        <f t="shared" si="1"/>
        <v/>
      </c>
      <c r="V31" s="38" t="str">
        <f t="shared" si="2"/>
        <v/>
      </c>
      <c r="W31" s="38" t="str">
        <f>IF(AND(U31&lt;&gt;"",OR($S$4="(все)",B31=$S$4),IF($S$4="(все)",COUNTIF($U$4:U31,U31),COUNTIFS($U$4:U31,U31,$B$4:B31,B31))=1),MAX($W$3:W30)+1,"")</f>
        <v/>
      </c>
      <c r="X31" s="38" t="str">
        <f t="shared" si="3"/>
        <v/>
      </c>
      <c r="Y31" s="38" t="str">
        <f>IF(AND(A31="Аппарат",C31&lt;&gt;"",OR($S$5="(все)",B31=$S$5)),MAX($Y$3:Y30)+1,"")</f>
        <v/>
      </c>
      <c r="Z31" s="38" t="str">
        <f t="shared" si="4"/>
        <v/>
      </c>
      <c r="AA31" s="38">
        <f>IF(AND(A31="Модуль",C31&lt;&gt;"",OR($S$6="(все)",B31=$S$6)),MAX($AA$3:AA30)+1,"")</f>
        <v>10</v>
      </c>
      <c r="AB31" s="38" t="str">
        <f t="shared" si="5"/>
        <v/>
      </c>
      <c r="AC31" s="38">
        <f>IF(OR(B31="",COUNTIF($B$4:B31,B31)&gt;1),"",MAX($AC$3:AC30)+1)</f>
        <v>5</v>
      </c>
      <c r="AD31" s="38" t="str">
        <f t="shared" si="6"/>
        <v/>
      </c>
      <c r="AE31" s="38" t="str">
        <f t="shared" si="7"/>
        <v/>
      </c>
      <c r="AF31" s="38" t="str">
        <f t="shared" si="8"/>
        <v/>
      </c>
      <c r="AG31" s="38" t="str">
        <f>IF(Спецификация_авто!$L$34="","",IF(COUNTIF($C$4:$C$500,Спецификация_авто!$L$34)=0,Спецификация_авто!$L$34,""))</f>
        <v/>
      </c>
      <c r="AH31" s="38" t="str">
        <f>IF(AG31="","",COUNTIF($AG$4:AG31,"?*"))</f>
        <v/>
      </c>
    </row>
    <row r="32" spans="1:34" x14ac:dyDescent="0.3">
      <c r="A32" s="74" t="s">
        <v>515</v>
      </c>
      <c r="B32" s="74" t="s">
        <v>948</v>
      </c>
      <c r="C32" s="74" t="s">
        <v>562</v>
      </c>
      <c r="D32" s="74" t="s">
        <v>581</v>
      </c>
      <c r="E32" s="74">
        <v>8</v>
      </c>
      <c r="F32" s="74" t="s">
        <v>950</v>
      </c>
      <c r="G32" s="74" t="s">
        <v>949</v>
      </c>
      <c r="H32" s="74"/>
      <c r="I32" s="74"/>
      <c r="J32" s="74"/>
      <c r="K32" s="74"/>
      <c r="L32" s="74"/>
      <c r="M32" s="74" t="s">
        <v>307</v>
      </c>
      <c r="N32" s="38">
        <f>IF(OR(A32="Автомат",A32="Дифавтомат"),IF(W32="","",COUNTIFS(Однолинейка!$H$3:$H$3000,U32,Однолинейка!$A$3:$A$3000,Щит_спец)),IF(A32="Аппарат",IF(C32="","",COUNTIFS(Однолинейка!$I$3:$I$3000,C32,Однолинейка!$A$3:$A$3000,Щит_спец)+COUNTIFS(Однолинейка!$J$3:$J$3000,C32,Однолинейка!$A$3:$A$3000,Щит_спец)+COUNTIFS(Однолинейка!$K$3:$K$3000,C32,Однолинейка!$A$3:$A$3000,Щит_спец)),IF(A32="Модуль",IF(C32="","",COUNTIFS(Однолинейка!$AW$3:$AW$3000,"?*",Однолинейка!$AI$3:$AI$3000,C32,Однолинейка!$A$3:$A$3000,Щит_спец)),IF(A32="Клемма",IF(C32="","",IF(C32=$S$7,SUMIFS(Однолинейка!$BW$3:$BW$3000,Однолинейка!$A$3:$A$3000,Щит_спец),IF(C32=$S$8,SUMIFS(Однолинейка!$BX$3:$BX$3000,Однолинейка!$A$3:$A$3000,Щит_спец),""))),""))))</f>
        <v>0</v>
      </c>
      <c r="O32" s="74"/>
      <c r="P32" s="38">
        <f t="shared" si="0"/>
        <v>0</v>
      </c>
      <c r="R32" s="38" t="str">
        <f>IFERROR(INDEX($AG$4:$AG$43,MATCH(5,$AH$4:$AH$43,0)),"")</f>
        <v/>
      </c>
      <c r="U32" s="38" t="str">
        <f t="shared" si="1"/>
        <v/>
      </c>
      <c r="V32" s="38" t="str">
        <f t="shared" si="2"/>
        <v/>
      </c>
      <c r="W32" s="38" t="str">
        <f>IF(AND(U32&lt;&gt;"",OR($S$4="(все)",B32=$S$4),IF($S$4="(все)",COUNTIF($U$4:U32,U32),COUNTIFS($U$4:U32,U32,$B$4:B32,B32))=1),MAX($W$3:W31)+1,"")</f>
        <v/>
      </c>
      <c r="X32" s="38" t="str">
        <f t="shared" si="3"/>
        <v/>
      </c>
      <c r="Y32" s="38" t="str">
        <f>IF(AND(A32="Аппарат",C32&lt;&gt;"",OR($S$5="(все)",B32=$S$5)),MAX($Y$3:Y31)+1,"")</f>
        <v/>
      </c>
      <c r="Z32" s="38" t="str">
        <f t="shared" si="4"/>
        <v/>
      </c>
      <c r="AA32" s="38">
        <f>IF(AND(A32="Модуль",C32&lt;&gt;"",OR($S$6="(все)",B32=$S$6)),MAX($AA$3:AA31)+1,"")</f>
        <v>11</v>
      </c>
      <c r="AB32" s="38" t="str">
        <f t="shared" si="5"/>
        <v/>
      </c>
      <c r="AC32" s="38" t="str">
        <f>IF(OR(B32="",COUNTIF($B$4:B32,B32)&gt;1),"",MAX($AC$3:AC31)+1)</f>
        <v/>
      </c>
      <c r="AD32" s="38" t="str">
        <f t="shared" si="6"/>
        <v/>
      </c>
      <c r="AE32" s="38" t="str">
        <f t="shared" si="7"/>
        <v/>
      </c>
      <c r="AF32" s="38" t="str">
        <f t="shared" si="8"/>
        <v/>
      </c>
      <c r="AG32" s="38" t="str">
        <f>IF(Спецификация_авто!$L$35="","",IF(COUNTIF($C$4:$C$500,Спецификация_авто!$L$35)=0,Спецификация_авто!$L$35,""))</f>
        <v/>
      </c>
      <c r="AH32" s="38" t="str">
        <f>IF(AG32="","",COUNTIF($AG$4:AG32,"?*"))</f>
        <v/>
      </c>
    </row>
    <row r="33" spans="1:34" x14ac:dyDescent="0.3">
      <c r="A33" s="74" t="s">
        <v>518</v>
      </c>
      <c r="B33" s="74" t="s">
        <v>304</v>
      </c>
      <c r="C33" s="74" t="s">
        <v>342</v>
      </c>
      <c r="D33" s="74"/>
      <c r="E33" s="74"/>
      <c r="F33" s="74"/>
      <c r="G33" s="74" t="s">
        <v>951</v>
      </c>
      <c r="H33" s="74" t="s">
        <v>342</v>
      </c>
      <c r="I33" s="74"/>
      <c r="J33" s="74"/>
      <c r="K33" s="74"/>
      <c r="L33" s="74"/>
      <c r="M33" s="74" t="s">
        <v>307</v>
      </c>
      <c r="N33" s="38">
        <f>IF(OR(A33="Автомат",A33="Дифавтомат"),IF(W33="","",COUNTIFS(Однолинейка!$H$3:$H$3000,U33,Однолинейка!$A$3:$A$3000,Щит_спец)),IF(A33="Аппарат",IF(C33="","",COUNTIFS(Однолинейка!$I$3:$I$3000,C33,Однолинейка!$A$3:$A$3000,Щит_спец)+COUNTIFS(Однолинейка!$J$3:$J$3000,C33,Однолинейка!$A$3:$A$3000,Щит_спец)+COUNTIFS(Однолинейка!$K$3:$K$3000,C33,Однолинейка!$A$3:$A$3000,Щит_спец)),IF(A33="Модуль",IF(C33="","",COUNTIFS(Однолинейка!$AW$3:$AW$3000,"?*",Однолинейка!$AI$3:$AI$3000,C33,Однолинейка!$A$3:$A$3000,Щит_спец)),IF(A33="Клемма",IF(C33="","",IF(C33=$S$7,SUMIFS(Однолинейка!$BW$3:$BW$3000,Однолинейка!$A$3:$A$3000,Щит_спец),IF(C33=$S$8,SUMIFS(Однолинейка!$BX$3:$BX$3000,Однолинейка!$A$3:$A$3000,Щит_спец),""))),""))))</f>
        <v>52</v>
      </c>
      <c r="O33" s="74"/>
      <c r="P33" s="38">
        <f t="shared" si="0"/>
        <v>52</v>
      </c>
      <c r="R33" s="38" t="str">
        <f>IFERROR(INDEX($AG$4:$AG$43,MATCH(6,$AH$4:$AH$43,0)),"")</f>
        <v/>
      </c>
      <c r="U33" s="38" t="str">
        <f t="shared" si="1"/>
        <v/>
      </c>
      <c r="V33" s="38" t="str">
        <f t="shared" si="2"/>
        <v/>
      </c>
      <c r="W33" s="38" t="str">
        <f>IF(AND(U33&lt;&gt;"",OR($S$4="(все)",B33=$S$4),IF($S$4="(все)",COUNTIF($U$4:U33,U33),COUNTIFS($U$4:U33,U33,$B$4:B33,B33))=1),MAX($W$3:W32)+1,"")</f>
        <v/>
      </c>
      <c r="X33" s="38" t="str">
        <f t="shared" si="3"/>
        <v/>
      </c>
      <c r="Y33" s="38" t="str">
        <f>IF(AND(A33="Аппарат",C33&lt;&gt;"",OR($S$5="(все)",B33=$S$5)),MAX($Y$3:Y32)+1,"")</f>
        <v/>
      </c>
      <c r="Z33" s="38" t="str">
        <f t="shared" si="4"/>
        <v/>
      </c>
      <c r="AA33" s="38" t="str">
        <f>IF(AND(A33="Модуль",C33&lt;&gt;"",OR($S$6="(все)",B33=$S$6)),MAX($AA$3:AA32)+1,"")</f>
        <v/>
      </c>
      <c r="AB33" s="38" t="str">
        <f t="shared" si="5"/>
        <v/>
      </c>
      <c r="AC33" s="38">
        <f>IF(OR(B33="",COUNTIF($B$4:B33,B33)&gt;1),"",MAX($AC$3:AC32)+1)</f>
        <v>6</v>
      </c>
      <c r="AD33" s="38" t="str">
        <f t="shared" si="6"/>
        <v/>
      </c>
      <c r="AE33" s="38">
        <f t="shared" si="7"/>
        <v>7033</v>
      </c>
      <c r="AF33" s="38">
        <f t="shared" si="8"/>
        <v>23</v>
      </c>
      <c r="AG33" s="38" t="str">
        <f>IF(Спецификация_авто!$L$36="","",IF(COUNTIF($C$4:$C$500,Спецификация_авто!$L$36)=0,Спецификация_авто!$L$36,""))</f>
        <v/>
      </c>
      <c r="AH33" s="38" t="str">
        <f>IF(AG33="","",COUNTIF($AG$4:AG33,"?*"))</f>
        <v/>
      </c>
    </row>
    <row r="34" spans="1:34" x14ac:dyDescent="0.3">
      <c r="A34" s="74" t="s">
        <v>518</v>
      </c>
      <c r="B34" s="74" t="s">
        <v>304</v>
      </c>
      <c r="C34" s="74" t="s">
        <v>424</v>
      </c>
      <c r="D34" s="74"/>
      <c r="E34" s="74"/>
      <c r="F34" s="74"/>
      <c r="G34" s="74" t="s">
        <v>952</v>
      </c>
      <c r="H34" s="74" t="s">
        <v>424</v>
      </c>
      <c r="I34" s="74"/>
      <c r="J34" s="74"/>
      <c r="K34" s="74"/>
      <c r="L34" s="74"/>
      <c r="M34" s="74" t="s">
        <v>307</v>
      </c>
      <c r="N34" s="38">
        <f>IF(OR(A34="Автомат",A34="Дифавтомат"),IF(W34="","",COUNTIFS(Однолинейка!$H$3:$H$3000,U34,Однолинейка!$A$3:$A$3000,Щит_спец)),IF(A34="Аппарат",IF(C34="","",COUNTIFS(Однолинейка!$I$3:$I$3000,C34,Однолинейка!$A$3:$A$3000,Щит_спец)+COUNTIFS(Однолинейка!$J$3:$J$3000,C34,Однолинейка!$A$3:$A$3000,Щит_спец)+COUNTIFS(Однолинейка!$K$3:$K$3000,C34,Однолинейка!$A$3:$A$3000,Щит_спец)),IF(A34="Модуль",IF(C34="","",COUNTIFS(Однолинейка!$AW$3:$AW$3000,"?*",Однолинейка!$AI$3:$AI$3000,C34,Однолинейка!$A$3:$A$3000,Щит_спец)),IF(A34="Клемма",IF(C34="","",IF(C34=$S$7,SUMIFS(Однолинейка!$BW$3:$BW$3000,Однолинейка!$A$3:$A$3000,Щит_спец),IF(C34=$S$8,SUMIFS(Однолинейка!$BX$3:$BX$3000,Однолинейка!$A$3:$A$3000,Щит_спец),""))),""))))</f>
        <v>24</v>
      </c>
      <c r="O34" s="74"/>
      <c r="P34" s="38">
        <f t="shared" si="0"/>
        <v>24</v>
      </c>
      <c r="R34" s="38" t="str">
        <f>IFERROR(INDEX($AG$4:$AG$43,MATCH(7,$AH$4:$AH$43,0)),"")</f>
        <v/>
      </c>
      <c r="U34" s="38" t="str">
        <f t="shared" si="1"/>
        <v/>
      </c>
      <c r="V34" s="38" t="str">
        <f t="shared" si="2"/>
        <v/>
      </c>
      <c r="W34" s="38" t="str">
        <f>IF(AND(U34&lt;&gt;"",OR($S$4="(все)",B34=$S$4),IF($S$4="(все)",COUNTIF($U$4:U34,U34),COUNTIFS($U$4:U34,U34,$B$4:B34,B34))=1),MAX($W$3:W33)+1,"")</f>
        <v/>
      </c>
      <c r="X34" s="38" t="str">
        <f t="shared" si="3"/>
        <v/>
      </c>
      <c r="Y34" s="38" t="str">
        <f>IF(AND(A34="Аппарат",C34&lt;&gt;"",OR($S$5="(все)",B34=$S$5)),MAX($Y$3:Y33)+1,"")</f>
        <v/>
      </c>
      <c r="Z34" s="38" t="str">
        <f t="shared" si="4"/>
        <v/>
      </c>
      <c r="AA34" s="38" t="str">
        <f>IF(AND(A34="Модуль",C34&lt;&gt;"",OR($S$6="(все)",B34=$S$6)),MAX($AA$3:AA33)+1,"")</f>
        <v/>
      </c>
      <c r="AB34" s="38" t="str">
        <f t="shared" si="5"/>
        <v/>
      </c>
      <c r="AC34" s="38" t="str">
        <f>IF(OR(B34="",COUNTIF($B$4:B34,B34)&gt;1),"",MAX($AC$3:AC33)+1)</f>
        <v/>
      </c>
      <c r="AD34" s="38" t="str">
        <f t="shared" si="6"/>
        <v/>
      </c>
      <c r="AE34" s="38">
        <f t="shared" si="7"/>
        <v>7034</v>
      </c>
      <c r="AF34" s="38">
        <f t="shared" si="8"/>
        <v>24</v>
      </c>
      <c r="AG34" s="38" t="str">
        <f>IF(Спецификация_авто!$L$39="","",IF(COUNTIF($C$4:$C$500,Спецификация_авто!$L$39)=0,Спецификация_авто!$L$39,""))</f>
        <v/>
      </c>
      <c r="AH34" s="38" t="str">
        <f>IF(AG34="","",COUNTIF($AG$4:AG34,"?*"))</f>
        <v/>
      </c>
    </row>
    <row r="35" spans="1:34" x14ac:dyDescent="0.3">
      <c r="A35" s="74" t="s">
        <v>518</v>
      </c>
      <c r="B35" s="74" t="s">
        <v>304</v>
      </c>
      <c r="C35" s="74" t="s">
        <v>344</v>
      </c>
      <c r="D35" s="74"/>
      <c r="E35" s="74"/>
      <c r="F35" s="74"/>
      <c r="G35" s="74" t="s">
        <v>343</v>
      </c>
      <c r="H35" s="74" t="s">
        <v>344</v>
      </c>
      <c r="I35" s="74"/>
      <c r="J35" s="74"/>
      <c r="K35" s="74"/>
      <c r="L35" s="74"/>
      <c r="M35" s="74" t="s">
        <v>307</v>
      </c>
      <c r="N35" s="38" t="str">
        <f>IF(OR(A35="Автомат",A35="Дифавтомат"),IF(W35="","",COUNTIFS(Однолинейка!$H$3:$H$3000,U35,Однолинейка!$A$3:$A$3000,Щит_спец)),IF(A35="Аппарат",IF(C35="","",COUNTIFS(Однолинейка!$I$3:$I$3000,C35,Однолинейка!$A$3:$A$3000,Щит_спец)+COUNTIFS(Однолинейка!$J$3:$J$3000,C35,Однолинейка!$A$3:$A$3000,Щит_спец)+COUNTIFS(Однолинейка!$K$3:$K$3000,C35,Однолинейка!$A$3:$A$3000,Щит_спец)),IF(A35="Модуль",IF(C35="","",COUNTIFS(Однолинейка!$AW$3:$AW$3000,"?*",Однолинейка!$AI$3:$AI$3000,C35,Однолинейка!$A$3:$A$3000,Щит_спец)),IF(A35="Клемма",IF(C35="","",IF(C35=$S$7,SUMIFS(Однолинейка!$BW$3:$BW$3000,Однолинейка!$A$3:$A$3000,Щит_спец),IF(C35=$S$8,SUMIFS(Однолинейка!$BX$3:$BX$3000,Однолинейка!$A$3:$A$3000,Щит_спец),""))),""))))</f>
        <v/>
      </c>
      <c r="O35" s="74">
        <v>15</v>
      </c>
      <c r="P35" s="38">
        <f t="shared" si="0"/>
        <v>15</v>
      </c>
      <c r="R35" s="38" t="str">
        <f>IFERROR(INDEX($AG$4:$AG$43,MATCH(8,$AH$4:$AH$43,0)),"")</f>
        <v/>
      </c>
      <c r="U35" s="38" t="str">
        <f t="shared" si="1"/>
        <v/>
      </c>
      <c r="V35" s="38" t="str">
        <f t="shared" si="2"/>
        <v/>
      </c>
      <c r="W35" s="38" t="str">
        <f>IF(AND(U35&lt;&gt;"",OR($S$4="(все)",B35=$S$4),IF($S$4="(все)",COUNTIF($U$4:U35,U35),COUNTIFS($U$4:U35,U35,$B$4:B35,B35))=1),MAX($W$3:W34)+1,"")</f>
        <v/>
      </c>
      <c r="X35" s="38" t="str">
        <f t="shared" si="3"/>
        <v/>
      </c>
      <c r="Y35" s="38" t="str">
        <f>IF(AND(A35="Аппарат",C35&lt;&gt;"",OR($S$5="(все)",B35=$S$5)),MAX($Y$3:Y34)+1,"")</f>
        <v/>
      </c>
      <c r="Z35" s="38" t="str">
        <f t="shared" si="4"/>
        <v/>
      </c>
      <c r="AA35" s="38" t="str">
        <f>IF(AND(A35="Модуль",C35&lt;&gt;"",OR($S$6="(все)",B35=$S$6)),MAX($AA$3:AA34)+1,"")</f>
        <v/>
      </c>
      <c r="AB35" s="38" t="str">
        <f t="shared" si="5"/>
        <v/>
      </c>
      <c r="AC35" s="38" t="str">
        <f>IF(OR(B35="",COUNTIF($B$4:B35,B35)&gt;1),"",MAX($AC$3:AC34)+1)</f>
        <v/>
      </c>
      <c r="AD35" s="38" t="str">
        <f t="shared" si="6"/>
        <v/>
      </c>
      <c r="AE35" s="38">
        <f t="shared" si="7"/>
        <v>7035</v>
      </c>
      <c r="AF35" s="38">
        <f t="shared" si="8"/>
        <v>25</v>
      </c>
      <c r="AG35" s="38" t="str">
        <f>IF(Спецификация_авто!$L$40="","",IF(COUNTIF($C$4:$C$500,Спецификация_авто!$L$40)=0,Спецификация_авто!$L$40,""))</f>
        <v/>
      </c>
      <c r="AH35" s="38" t="str">
        <f>IF(AG35="","",COUNTIF($AG$4:AG35,"?*"))</f>
        <v/>
      </c>
    </row>
    <row r="36" spans="1:34" x14ac:dyDescent="0.3">
      <c r="A36" s="74" t="s">
        <v>518</v>
      </c>
      <c r="B36" s="74" t="s">
        <v>304</v>
      </c>
      <c r="C36" s="74" t="s">
        <v>335</v>
      </c>
      <c r="D36" s="74"/>
      <c r="E36" s="74"/>
      <c r="F36" s="74"/>
      <c r="G36" s="74" t="s">
        <v>953</v>
      </c>
      <c r="H36" s="74" t="s">
        <v>335</v>
      </c>
      <c r="I36" s="74"/>
      <c r="J36" s="74"/>
      <c r="K36" s="74"/>
      <c r="L36" s="74"/>
      <c r="M36" s="74" t="s">
        <v>307</v>
      </c>
      <c r="N36" s="38" t="str">
        <f>IF(OR(A36="Автомат",A36="Дифавтомат"),IF(W36="","",COUNTIFS(Однолинейка!$H$3:$H$3000,U36,Однолинейка!$A$3:$A$3000,Щит_спец)),IF(A36="Аппарат",IF(C36="","",COUNTIFS(Однолинейка!$I$3:$I$3000,C36,Однолинейка!$A$3:$A$3000,Щит_спец)+COUNTIFS(Однолинейка!$J$3:$J$3000,C36,Однолинейка!$A$3:$A$3000,Щит_спец)+COUNTIFS(Однолинейка!$K$3:$K$3000,C36,Однолинейка!$A$3:$A$3000,Щит_спец)),IF(A36="Модуль",IF(C36="","",COUNTIFS(Однолинейка!$AW$3:$AW$3000,"?*",Однолинейка!$AI$3:$AI$3000,C36,Однолинейка!$A$3:$A$3000,Щит_спец)),IF(A36="Клемма",IF(C36="","",IF(C36=$S$7,SUMIFS(Однолинейка!$BW$3:$BW$3000,Однолинейка!$A$3:$A$3000,Щит_спец),IF(C36=$S$8,SUMIFS(Однолинейка!$BX$3:$BX$3000,Однолинейка!$A$3:$A$3000,Щит_спец),""))),""))))</f>
        <v/>
      </c>
      <c r="O36" s="74">
        <v>8</v>
      </c>
      <c r="P36" s="38">
        <f t="shared" si="0"/>
        <v>8</v>
      </c>
      <c r="R36" s="38" t="str">
        <f>IFERROR(INDEX($AG$4:$AG$43,MATCH(9,$AH$4:$AH$43,0)),"")</f>
        <v/>
      </c>
      <c r="U36" s="38" t="str">
        <f t="shared" si="1"/>
        <v/>
      </c>
      <c r="V36" s="38" t="str">
        <f t="shared" si="2"/>
        <v/>
      </c>
      <c r="W36" s="38" t="str">
        <f>IF(AND(U36&lt;&gt;"",OR($S$4="(все)",B36=$S$4),IF($S$4="(все)",COUNTIF($U$4:U36,U36),COUNTIFS($U$4:U36,U36,$B$4:B36,B36))=1),MAX($W$3:W35)+1,"")</f>
        <v/>
      </c>
      <c r="X36" s="38" t="str">
        <f t="shared" si="3"/>
        <v/>
      </c>
      <c r="Y36" s="38" t="str">
        <f>IF(AND(A36="Аппарат",C36&lt;&gt;"",OR($S$5="(все)",B36=$S$5)),MAX($Y$3:Y35)+1,"")</f>
        <v/>
      </c>
      <c r="Z36" s="38" t="str">
        <f t="shared" si="4"/>
        <v/>
      </c>
      <c r="AA36" s="38" t="str">
        <f>IF(AND(A36="Модуль",C36&lt;&gt;"",OR($S$6="(все)",B36=$S$6)),MAX($AA$3:AA35)+1,"")</f>
        <v/>
      </c>
      <c r="AB36" s="38" t="str">
        <f t="shared" si="5"/>
        <v/>
      </c>
      <c r="AC36" s="38" t="str">
        <f>IF(OR(B36="",COUNTIF($B$4:B36,B36)&gt;1),"",MAX($AC$3:AC35)+1)</f>
        <v/>
      </c>
      <c r="AD36" s="38" t="str">
        <f t="shared" si="6"/>
        <v/>
      </c>
      <c r="AE36" s="38">
        <f t="shared" si="7"/>
        <v>7036</v>
      </c>
      <c r="AF36" s="38">
        <f t="shared" si="8"/>
        <v>26</v>
      </c>
      <c r="AG36" s="38" t="str">
        <f>IF(Спецификация_авто!$L$41="","",IF(COUNTIF($C$4:$C$500,Спецификация_авто!$L$41)=0,Спецификация_авто!$L$41,""))</f>
        <v/>
      </c>
      <c r="AH36" s="38" t="str">
        <f>IF(AG36="","",COUNTIF($AG$4:AG36,"?*"))</f>
        <v/>
      </c>
    </row>
    <row r="37" spans="1:34" x14ac:dyDescent="0.3">
      <c r="A37" s="74" t="s">
        <v>518</v>
      </c>
      <c r="B37" s="74" t="s">
        <v>304</v>
      </c>
      <c r="C37" s="74" t="s">
        <v>410</v>
      </c>
      <c r="D37" s="74"/>
      <c r="E37" s="74"/>
      <c r="F37" s="74"/>
      <c r="G37" s="74" t="s">
        <v>954</v>
      </c>
      <c r="H37" s="74" t="s">
        <v>410</v>
      </c>
      <c r="I37" s="74"/>
      <c r="J37" s="74"/>
      <c r="K37" s="74"/>
      <c r="L37" s="74"/>
      <c r="M37" s="74" t="s">
        <v>307</v>
      </c>
      <c r="N37" s="38" t="str">
        <f>IF(OR(A37="Автомат",A37="Дифавтомат"),IF(W37="","",COUNTIFS(Однолинейка!$H$3:$H$3000,U37,Однолинейка!$A$3:$A$3000,Щит_спец)),IF(A37="Аппарат",IF(C37="","",COUNTIFS(Однолинейка!$I$3:$I$3000,C37,Однолинейка!$A$3:$A$3000,Щит_спец)+COUNTIFS(Однолинейка!$J$3:$J$3000,C37,Однолинейка!$A$3:$A$3000,Щит_спец)+COUNTIFS(Однолинейка!$K$3:$K$3000,C37,Однолинейка!$A$3:$A$3000,Щит_спец)),IF(A37="Модуль",IF(C37="","",COUNTIFS(Однолинейка!$AW$3:$AW$3000,"?*",Однолинейка!$AI$3:$AI$3000,C37,Однолинейка!$A$3:$A$3000,Щит_спец)),IF(A37="Клемма",IF(C37="","",IF(C37=$S$7,SUMIFS(Однолинейка!$BW$3:$BW$3000,Однолинейка!$A$3:$A$3000,Щит_спец),IF(C37=$S$8,SUMIFS(Однолинейка!$BX$3:$BX$3000,Однолинейка!$A$3:$A$3000,Щит_спец),""))),""))))</f>
        <v/>
      </c>
      <c r="O37" s="74">
        <v>6</v>
      </c>
      <c r="P37" s="38">
        <f t="shared" si="0"/>
        <v>6</v>
      </c>
      <c r="R37" s="38" t="str">
        <f>IFERROR(INDEX($AG$4:$AG$43,MATCH(10,$AH$4:$AH$43,0)),"")</f>
        <v/>
      </c>
      <c r="U37" s="38" t="str">
        <f t="shared" si="1"/>
        <v/>
      </c>
      <c r="V37" s="38" t="str">
        <f t="shared" si="2"/>
        <v/>
      </c>
      <c r="W37" s="38" t="str">
        <f>IF(AND(U37&lt;&gt;"",OR($S$4="(все)",B37=$S$4),IF($S$4="(все)",COUNTIF($U$4:U37,U37),COUNTIFS($U$4:U37,U37,$B$4:B37,B37))=1),MAX($W$3:W36)+1,"")</f>
        <v/>
      </c>
      <c r="X37" s="38" t="str">
        <f t="shared" si="3"/>
        <v/>
      </c>
      <c r="Y37" s="38" t="str">
        <f>IF(AND(A37="Аппарат",C37&lt;&gt;"",OR($S$5="(все)",B37=$S$5)),MAX($Y$3:Y36)+1,"")</f>
        <v/>
      </c>
      <c r="Z37" s="38" t="str">
        <f t="shared" si="4"/>
        <v/>
      </c>
      <c r="AA37" s="38" t="str">
        <f>IF(AND(A37="Модуль",C37&lt;&gt;"",OR($S$6="(все)",B37=$S$6)),MAX($AA$3:AA36)+1,"")</f>
        <v/>
      </c>
      <c r="AB37" s="38" t="str">
        <f t="shared" si="5"/>
        <v/>
      </c>
      <c r="AC37" s="38" t="str">
        <f>IF(OR(B37="",COUNTIF($B$4:B37,B37)&gt;1),"",MAX($AC$3:AC36)+1)</f>
        <v/>
      </c>
      <c r="AD37" s="38" t="str">
        <f t="shared" si="6"/>
        <v/>
      </c>
      <c r="AE37" s="38">
        <f t="shared" si="7"/>
        <v>7037</v>
      </c>
      <c r="AF37" s="38">
        <f t="shared" si="8"/>
        <v>27</v>
      </c>
      <c r="AG37" s="38" t="str">
        <f>IF(Спецификация_авто!$L$42="","",IF(COUNTIF($C$4:$C$500,Спецификация_авто!$L$42)=0,Спецификация_авто!$L$42,""))</f>
        <v/>
      </c>
      <c r="AH37" s="38" t="str">
        <f>IF(AG37="","",COUNTIF($AG$4:AG37,"?*"))</f>
        <v/>
      </c>
    </row>
    <row r="38" spans="1:34" x14ac:dyDescent="0.3">
      <c r="A38" s="74" t="s">
        <v>518</v>
      </c>
      <c r="B38" s="74" t="s">
        <v>304</v>
      </c>
      <c r="C38" s="74" t="s">
        <v>417</v>
      </c>
      <c r="D38" s="74"/>
      <c r="E38" s="74"/>
      <c r="F38" s="74"/>
      <c r="G38" s="74" t="s">
        <v>955</v>
      </c>
      <c r="H38" s="74" t="s">
        <v>417</v>
      </c>
      <c r="I38" s="74"/>
      <c r="J38" s="74"/>
      <c r="K38" s="74"/>
      <c r="L38" s="74"/>
      <c r="M38" s="74" t="s">
        <v>307</v>
      </c>
      <c r="N38" s="38" t="str">
        <f>IF(OR(A38="Автомат",A38="Дифавтомат"),IF(W38="","",COUNTIFS(Однолинейка!$H$3:$H$3000,U38,Однолинейка!$A$3:$A$3000,Щит_спец)),IF(A38="Аппарат",IF(C38="","",COUNTIFS(Однолинейка!$I$3:$I$3000,C38,Однолинейка!$A$3:$A$3000,Щит_спец)+COUNTIFS(Однолинейка!$J$3:$J$3000,C38,Однолинейка!$A$3:$A$3000,Щит_спец)+COUNTIFS(Однолинейка!$K$3:$K$3000,C38,Однолинейка!$A$3:$A$3000,Щит_спец)),IF(A38="Модуль",IF(C38="","",COUNTIFS(Однолинейка!$AW$3:$AW$3000,"?*",Однолинейка!$AI$3:$AI$3000,C38,Однолинейка!$A$3:$A$3000,Щит_спец)),IF(A38="Клемма",IF(C38="","",IF(C38=$S$7,SUMIFS(Однолинейка!$BW$3:$BW$3000,Однолинейка!$A$3:$A$3000,Щит_спец),IF(C38=$S$8,SUMIFS(Однолинейка!$BX$3:$BX$3000,Однолинейка!$A$3:$A$3000,Щит_спец),""))),""))))</f>
        <v/>
      </c>
      <c r="O38" s="74">
        <v>1</v>
      </c>
      <c r="P38" s="38">
        <f t="shared" si="0"/>
        <v>1</v>
      </c>
      <c r="U38" s="38" t="str">
        <f t="shared" si="1"/>
        <v/>
      </c>
      <c r="V38" s="38" t="str">
        <f t="shared" si="2"/>
        <v/>
      </c>
      <c r="W38" s="38" t="str">
        <f>IF(AND(U38&lt;&gt;"",OR($S$4="(все)",B38=$S$4),IF($S$4="(все)",COUNTIF($U$4:U38,U38),COUNTIFS($U$4:U38,U38,$B$4:B38,B38))=1),MAX($W$3:W37)+1,"")</f>
        <v/>
      </c>
      <c r="X38" s="38" t="str">
        <f t="shared" si="3"/>
        <v/>
      </c>
      <c r="Y38" s="38" t="str">
        <f>IF(AND(A38="Аппарат",C38&lt;&gt;"",OR($S$5="(все)",B38=$S$5)),MAX($Y$3:Y37)+1,"")</f>
        <v/>
      </c>
      <c r="Z38" s="38" t="str">
        <f t="shared" si="4"/>
        <v/>
      </c>
      <c r="AA38" s="38" t="str">
        <f>IF(AND(A38="Модуль",C38&lt;&gt;"",OR($S$6="(все)",B38=$S$6)),MAX($AA$3:AA37)+1,"")</f>
        <v/>
      </c>
      <c r="AB38" s="38" t="str">
        <f t="shared" si="5"/>
        <v/>
      </c>
      <c r="AC38" s="38" t="str">
        <f>IF(OR(B38="",COUNTIF($B$4:B38,B38)&gt;1),"",MAX($AC$3:AC37)+1)</f>
        <v/>
      </c>
      <c r="AD38" s="38" t="str">
        <f t="shared" si="6"/>
        <v/>
      </c>
      <c r="AE38" s="38">
        <f t="shared" si="7"/>
        <v>7038</v>
      </c>
      <c r="AF38" s="38">
        <f t="shared" si="8"/>
        <v>28</v>
      </c>
      <c r="AG38" s="38" t="str">
        <f>IF(Спецификация_авто!$L$43="","",IF(COUNTIF($C$4:$C$500,Спецификация_авто!$L$43)=0,Спецификация_авто!$L$43,""))</f>
        <v/>
      </c>
      <c r="AH38" s="38" t="str">
        <f>IF(AG38="","",COUNTIF($AG$4:AG38,"?*"))</f>
        <v/>
      </c>
    </row>
    <row r="39" spans="1:34" x14ac:dyDescent="0.3">
      <c r="A39" s="74" t="s">
        <v>924</v>
      </c>
      <c r="B39" s="74" t="s">
        <v>304</v>
      </c>
      <c r="C39" s="74" t="s">
        <v>294</v>
      </c>
      <c r="D39" s="74"/>
      <c r="E39" s="74"/>
      <c r="F39" s="74"/>
      <c r="G39" s="74" t="s">
        <v>262</v>
      </c>
      <c r="H39" s="74" t="s">
        <v>294</v>
      </c>
      <c r="I39" s="74"/>
      <c r="J39" s="74"/>
      <c r="K39" s="74"/>
      <c r="L39" s="74"/>
      <c r="M39" s="74" t="s">
        <v>268</v>
      </c>
      <c r="N39" s="38" t="str">
        <f>IF(OR(A39="Автомат",A39="Дифавтомат"),IF(W39="","",COUNTIFS(Однолинейка!$H$3:$H$3000,U39,Однолинейка!$A$3:$A$3000,Щит_спец)),IF(A39="Аппарат",IF(C39="","",COUNTIFS(Однолинейка!$I$3:$I$3000,C39,Однолинейка!$A$3:$A$3000,Щит_спец)+COUNTIFS(Однолинейка!$J$3:$J$3000,C39,Однолинейка!$A$3:$A$3000,Щит_спец)+COUNTIFS(Однолинейка!$K$3:$K$3000,C39,Однолинейка!$A$3:$A$3000,Щит_спец)),IF(A39="Модуль",IF(C39="","",COUNTIFS(Однолинейка!$AW$3:$AW$3000,"?*",Однолинейка!$AI$3:$AI$3000,C39,Однолинейка!$A$3:$A$3000,Щит_спец)),IF(A39="Клемма",IF(C39="","",IF(C39=$S$7,SUMIFS(Однолинейка!$BW$3:$BW$3000,Однолинейка!$A$3:$A$3000,Щит_спец),IF(C39=$S$8,SUMIFS(Однолинейка!$BX$3:$BX$3000,Однолинейка!$A$3:$A$3000,Щит_спец),""))),""))))</f>
        <v/>
      </c>
      <c r="O39" s="74">
        <v>1</v>
      </c>
      <c r="P39" s="38">
        <f t="shared" si="0"/>
        <v>1</v>
      </c>
      <c r="U39" s="38" t="str">
        <f t="shared" si="1"/>
        <v/>
      </c>
      <c r="V39" s="38" t="str">
        <f t="shared" si="2"/>
        <v/>
      </c>
      <c r="W39" s="38" t="str">
        <f>IF(AND(U39&lt;&gt;"",OR($S$4="(все)",B39=$S$4),IF($S$4="(все)",COUNTIF($U$4:U39,U39),COUNTIFS($U$4:U39,U39,$B$4:B39,B39))=1),MAX($W$3:W38)+1,"")</f>
        <v/>
      </c>
      <c r="X39" s="38" t="str">
        <f t="shared" si="3"/>
        <v/>
      </c>
      <c r="Y39" s="38" t="str">
        <f>IF(AND(A39="Аппарат",C39&lt;&gt;"",OR($S$5="(все)",B39=$S$5)),MAX($Y$3:Y38)+1,"")</f>
        <v/>
      </c>
      <c r="Z39" s="38" t="str">
        <f t="shared" si="4"/>
        <v/>
      </c>
      <c r="AA39" s="38" t="str">
        <f>IF(AND(A39="Модуль",C39&lt;&gt;"",OR($S$6="(все)",B39=$S$6)),MAX($AA$3:AA38)+1,"")</f>
        <v/>
      </c>
      <c r="AB39" s="38" t="str">
        <f t="shared" si="5"/>
        <v/>
      </c>
      <c r="AC39" s="38" t="str">
        <f>IF(OR(B39="",COUNTIF($B$4:B39,B39)&gt;1),"",MAX($AC$3:AC38)+1)</f>
        <v/>
      </c>
      <c r="AD39" s="38" t="str">
        <f t="shared" si="6"/>
        <v/>
      </c>
      <c r="AE39" s="38">
        <f t="shared" si="7"/>
        <v>1039</v>
      </c>
      <c r="AF39" s="38">
        <f t="shared" si="8"/>
        <v>1</v>
      </c>
      <c r="AG39" s="38" t="str">
        <f>IF(Спецификация_авто!$L$44="","",IF(COUNTIF($C$4:$C$500,Спецификация_авто!$L$44)=0,Спецификация_авто!$L$44,""))</f>
        <v/>
      </c>
      <c r="AH39" s="38" t="str">
        <f>IF(AG39="","",COUNTIF($AG$4:AG39,"?*"))</f>
        <v/>
      </c>
    </row>
    <row r="40" spans="1:34" x14ac:dyDescent="0.3">
      <c r="A40" s="74" t="s">
        <v>924</v>
      </c>
      <c r="B40" s="74" t="s">
        <v>304</v>
      </c>
      <c r="C40" s="74" t="s">
        <v>295</v>
      </c>
      <c r="D40" s="74"/>
      <c r="E40" s="74"/>
      <c r="F40" s="74"/>
      <c r="G40" s="74" t="s">
        <v>263</v>
      </c>
      <c r="H40" s="74" t="s">
        <v>295</v>
      </c>
      <c r="I40" s="74"/>
      <c r="J40" s="74"/>
      <c r="K40" s="74"/>
      <c r="L40" s="74"/>
      <c r="M40" s="74" t="s">
        <v>268</v>
      </c>
      <c r="N40" s="38" t="str">
        <f>IF(OR(A40="Автомат",A40="Дифавтомат"),IF(W40="","",COUNTIFS(Однолинейка!$H$3:$H$3000,U40,Однолинейка!$A$3:$A$3000,Щит_спец)),IF(A40="Аппарат",IF(C40="","",COUNTIFS(Однолинейка!$I$3:$I$3000,C40,Однолинейка!$A$3:$A$3000,Щит_спец)+COUNTIFS(Однолинейка!$J$3:$J$3000,C40,Однолинейка!$A$3:$A$3000,Щит_спец)+COUNTIFS(Однолинейка!$K$3:$K$3000,C40,Однолинейка!$A$3:$A$3000,Щит_спец)),IF(A40="Модуль",IF(C40="","",COUNTIFS(Однолинейка!$AW$3:$AW$3000,"?*",Однолинейка!$AI$3:$AI$3000,C40,Однолинейка!$A$3:$A$3000,Щит_спец)),IF(A40="Клемма",IF(C40="","",IF(C40=$S$7,SUMIFS(Однолинейка!$BW$3:$BW$3000,Однолинейка!$A$3:$A$3000,Щит_спец),IF(C40=$S$8,SUMIFS(Однолинейка!$BX$3:$BX$3000,Однолинейка!$A$3:$A$3000,Щит_спец),""))),""))))</f>
        <v/>
      </c>
      <c r="O40" s="74">
        <v>1</v>
      </c>
      <c r="P40" s="38">
        <f t="shared" si="0"/>
        <v>1</v>
      </c>
      <c r="U40" s="38" t="str">
        <f t="shared" si="1"/>
        <v/>
      </c>
      <c r="V40" s="38" t="str">
        <f t="shared" si="2"/>
        <v/>
      </c>
      <c r="W40" s="38" t="str">
        <f>IF(AND(U40&lt;&gt;"",OR($S$4="(все)",B40=$S$4),IF($S$4="(все)",COUNTIF($U$4:U40,U40),COUNTIFS($U$4:U40,U40,$B$4:B40,B40))=1),MAX($W$3:W39)+1,"")</f>
        <v/>
      </c>
      <c r="X40" s="38" t="str">
        <f t="shared" si="3"/>
        <v/>
      </c>
      <c r="Y40" s="38" t="str">
        <f>IF(AND(A40="Аппарат",C40&lt;&gt;"",OR($S$5="(все)",B40=$S$5)),MAX($Y$3:Y39)+1,"")</f>
        <v/>
      </c>
      <c r="Z40" s="38" t="str">
        <f t="shared" si="4"/>
        <v/>
      </c>
      <c r="AA40" s="38" t="str">
        <f>IF(AND(A40="Модуль",C40&lt;&gt;"",OR($S$6="(все)",B40=$S$6)),MAX($AA$3:AA39)+1,"")</f>
        <v/>
      </c>
      <c r="AB40" s="38" t="str">
        <f t="shared" si="5"/>
        <v/>
      </c>
      <c r="AC40" s="38" t="str">
        <f>IF(OR(B40="",COUNTIF($B$4:B40,B40)&gt;1),"",MAX($AC$3:AC39)+1)</f>
        <v/>
      </c>
      <c r="AD40" s="38" t="str">
        <f t="shared" si="6"/>
        <v/>
      </c>
      <c r="AE40" s="38">
        <f t="shared" si="7"/>
        <v>1040</v>
      </c>
      <c r="AF40" s="38">
        <f t="shared" si="8"/>
        <v>2</v>
      </c>
      <c r="AG40" s="38" t="str">
        <f>IF(Спецификация_авто!$L$45="","",IF(COUNTIF($C$4:$C$500,Спецификация_авто!$L$45)=0,Спецификация_авто!$L$45,""))</f>
        <v/>
      </c>
      <c r="AH40" s="38" t="str">
        <f>IF(AG40="","",COUNTIF($AG$4:AG40,"?*"))</f>
        <v/>
      </c>
    </row>
    <row r="41" spans="1:34" x14ac:dyDescent="0.3">
      <c r="A41" s="74" t="s">
        <v>924</v>
      </c>
      <c r="B41" s="74" t="s">
        <v>304</v>
      </c>
      <c r="C41" s="74" t="s">
        <v>426</v>
      </c>
      <c r="D41" s="74"/>
      <c r="E41" s="74"/>
      <c r="F41" s="74"/>
      <c r="G41" s="74" t="s">
        <v>425</v>
      </c>
      <c r="H41" s="74" t="s">
        <v>426</v>
      </c>
      <c r="I41" s="74"/>
      <c r="J41" s="74"/>
      <c r="K41" s="74"/>
      <c r="L41" s="74"/>
      <c r="M41" s="74" t="s">
        <v>268</v>
      </c>
      <c r="N41" s="38" t="str">
        <f>IF(OR(A41="Автомат",A41="Дифавтомат"),IF(W41="","",COUNTIFS(Однолинейка!$H$3:$H$3000,U41,Однолинейка!$A$3:$A$3000,Щит_спец)),IF(A41="Аппарат",IF(C41="","",COUNTIFS(Однолинейка!$I$3:$I$3000,C41,Однолинейка!$A$3:$A$3000,Щит_спец)+COUNTIFS(Однолинейка!$J$3:$J$3000,C41,Однолинейка!$A$3:$A$3000,Щит_спец)+COUNTIFS(Однолинейка!$K$3:$K$3000,C41,Однолинейка!$A$3:$A$3000,Щит_спец)),IF(A41="Модуль",IF(C41="","",COUNTIFS(Однолинейка!$AW$3:$AW$3000,"?*",Однолинейка!$AI$3:$AI$3000,C41,Однолинейка!$A$3:$A$3000,Щит_спец)),IF(A41="Клемма",IF(C41="","",IF(C41=$S$7,SUMIFS(Однолинейка!$BW$3:$BW$3000,Однолинейка!$A$3:$A$3000,Щит_спец),IF(C41=$S$8,SUMIFS(Однолинейка!$BX$3:$BX$3000,Однолинейка!$A$3:$A$3000,Щит_спец),""))),""))))</f>
        <v/>
      </c>
      <c r="O41" s="74">
        <v>1</v>
      </c>
      <c r="P41" s="38">
        <f t="shared" si="0"/>
        <v>1</v>
      </c>
      <c r="U41" s="38" t="str">
        <f t="shared" si="1"/>
        <v/>
      </c>
      <c r="V41" s="38" t="str">
        <f t="shared" si="2"/>
        <v/>
      </c>
      <c r="W41" s="38" t="str">
        <f>IF(AND(U41&lt;&gt;"",OR($S$4="(все)",B41=$S$4),IF($S$4="(все)",COUNTIF($U$4:U41,U41),COUNTIFS($U$4:U41,U41,$B$4:B41,B41))=1),MAX($W$3:W40)+1,"")</f>
        <v/>
      </c>
      <c r="X41" s="38" t="str">
        <f t="shared" si="3"/>
        <v/>
      </c>
      <c r="Y41" s="38" t="str">
        <f>IF(AND(A41="Аппарат",C41&lt;&gt;"",OR($S$5="(все)",B41=$S$5)),MAX($Y$3:Y40)+1,"")</f>
        <v/>
      </c>
      <c r="Z41" s="38" t="str">
        <f t="shared" si="4"/>
        <v/>
      </c>
      <c r="AA41" s="38" t="str">
        <f>IF(AND(A41="Модуль",C41&lt;&gt;"",OR($S$6="(все)",B41=$S$6)),MAX($AA$3:AA40)+1,"")</f>
        <v/>
      </c>
      <c r="AB41" s="38" t="str">
        <f t="shared" si="5"/>
        <v/>
      </c>
      <c r="AC41" s="38" t="str">
        <f>IF(OR(B41="",COUNTIF($B$4:B41,B41)&gt;1),"",MAX($AC$3:AC40)+1)</f>
        <v/>
      </c>
      <c r="AD41" s="38" t="str">
        <f t="shared" si="6"/>
        <v/>
      </c>
      <c r="AE41" s="38">
        <f t="shared" si="7"/>
        <v>1041</v>
      </c>
      <c r="AF41" s="38">
        <f t="shared" si="8"/>
        <v>3</v>
      </c>
      <c r="AG41" s="38" t="str">
        <f>IF(Спецификация_авто!$L$46="","",IF(COUNTIF($C$4:$C$500,Спецификация_авто!$L$46)=0,Спецификация_авто!$L$46,""))</f>
        <v/>
      </c>
      <c r="AH41" s="38" t="str">
        <f>IF(AG41="","",COUNTIF($AG$4:AG41,"?*"))</f>
        <v/>
      </c>
    </row>
    <row r="42" spans="1:34" x14ac:dyDescent="0.3">
      <c r="A42" s="74" t="s">
        <v>924</v>
      </c>
      <c r="B42" s="74" t="s">
        <v>304</v>
      </c>
      <c r="C42" s="74" t="s">
        <v>296</v>
      </c>
      <c r="D42" s="74"/>
      <c r="E42" s="74"/>
      <c r="F42" s="74"/>
      <c r="G42" s="74" t="s">
        <v>264</v>
      </c>
      <c r="H42" s="74" t="s">
        <v>296</v>
      </c>
      <c r="I42" s="74"/>
      <c r="J42" s="74"/>
      <c r="K42" s="74"/>
      <c r="L42" s="74"/>
      <c r="M42" s="74" t="s">
        <v>268</v>
      </c>
      <c r="N42" s="38" t="str">
        <f>IF(OR(A42="Автомат",A42="Дифавтомат"),IF(W42="","",COUNTIFS(Однолинейка!$H$3:$H$3000,U42,Однолинейка!$A$3:$A$3000,Щит_спец)),IF(A42="Аппарат",IF(C42="","",COUNTIFS(Однолинейка!$I$3:$I$3000,C42,Однолинейка!$A$3:$A$3000,Щит_спец)+COUNTIFS(Однолинейка!$J$3:$J$3000,C42,Однолинейка!$A$3:$A$3000,Щит_спец)+COUNTIFS(Однолинейка!$K$3:$K$3000,C42,Однолинейка!$A$3:$A$3000,Щит_спец)),IF(A42="Модуль",IF(C42="","",COUNTIFS(Однолинейка!$AW$3:$AW$3000,"?*",Однолинейка!$AI$3:$AI$3000,C42,Однолинейка!$A$3:$A$3000,Щит_спец)),IF(A42="Клемма",IF(C42="","",IF(C42=$S$7,SUMIFS(Однолинейка!$BW$3:$BW$3000,Однолинейка!$A$3:$A$3000,Щит_спец),IF(C42=$S$8,SUMIFS(Однолинейка!$BX$3:$BX$3000,Однолинейка!$A$3:$A$3000,Щит_спец),""))),""))))</f>
        <v/>
      </c>
      <c r="O42" s="74">
        <v>1</v>
      </c>
      <c r="P42" s="38">
        <f t="shared" si="0"/>
        <v>1</v>
      </c>
      <c r="U42" s="38" t="str">
        <f t="shared" si="1"/>
        <v/>
      </c>
      <c r="V42" s="38" t="str">
        <f t="shared" si="2"/>
        <v/>
      </c>
      <c r="W42" s="38" t="str">
        <f>IF(AND(U42&lt;&gt;"",OR($S$4="(все)",B42=$S$4),IF($S$4="(все)",COUNTIF($U$4:U42,U42),COUNTIFS($U$4:U42,U42,$B$4:B42,B42))=1),MAX($W$3:W41)+1,"")</f>
        <v/>
      </c>
      <c r="X42" s="38" t="str">
        <f t="shared" si="3"/>
        <v/>
      </c>
      <c r="Y42" s="38" t="str">
        <f>IF(AND(A42="Аппарат",C42&lt;&gt;"",OR($S$5="(все)",B42=$S$5)),MAX($Y$3:Y41)+1,"")</f>
        <v/>
      </c>
      <c r="Z42" s="38" t="str">
        <f t="shared" si="4"/>
        <v/>
      </c>
      <c r="AA42" s="38" t="str">
        <f>IF(AND(A42="Модуль",C42&lt;&gt;"",OR($S$6="(все)",B42=$S$6)),MAX($AA$3:AA41)+1,"")</f>
        <v/>
      </c>
      <c r="AB42" s="38" t="str">
        <f t="shared" si="5"/>
        <v/>
      </c>
      <c r="AC42" s="38" t="str">
        <f>IF(OR(B42="",COUNTIF($B$4:B42,B42)&gt;1),"",MAX($AC$3:AC41)+1)</f>
        <v/>
      </c>
      <c r="AD42" s="38" t="str">
        <f t="shared" si="6"/>
        <v/>
      </c>
      <c r="AE42" s="38">
        <f t="shared" si="7"/>
        <v>1042</v>
      </c>
      <c r="AF42" s="38">
        <f t="shared" si="8"/>
        <v>4</v>
      </c>
      <c r="AG42" s="38" t="str">
        <f>IF(Спецификация_авто!$L$47="","",IF(COUNTIF($C$4:$C$500,Спецификация_авто!$L$47)=0,Спецификация_авто!$L$47,""))</f>
        <v/>
      </c>
      <c r="AH42" s="38" t="str">
        <f>IF(AG42="","",COUNTIF($AG$4:AG42,"?*"))</f>
        <v/>
      </c>
    </row>
    <row r="43" spans="1:34" x14ac:dyDescent="0.3">
      <c r="A43" s="74" t="s">
        <v>924</v>
      </c>
      <c r="B43" s="74" t="s">
        <v>304</v>
      </c>
      <c r="C43" s="74" t="s">
        <v>297</v>
      </c>
      <c r="D43" s="74"/>
      <c r="E43" s="74"/>
      <c r="F43" s="74"/>
      <c r="G43" s="74" t="s">
        <v>265</v>
      </c>
      <c r="H43" s="74" t="s">
        <v>297</v>
      </c>
      <c r="I43" s="74"/>
      <c r="J43" s="74"/>
      <c r="K43" s="74"/>
      <c r="L43" s="74"/>
      <c r="M43" s="74" t="s">
        <v>268</v>
      </c>
      <c r="N43" s="38" t="str">
        <f>IF(OR(A43="Автомат",A43="Дифавтомат"),IF(W43="","",COUNTIFS(Однолинейка!$H$3:$H$3000,U43,Однолинейка!$A$3:$A$3000,Щит_спец)),IF(A43="Аппарат",IF(C43="","",COUNTIFS(Однолинейка!$I$3:$I$3000,C43,Однолинейка!$A$3:$A$3000,Щит_спец)+COUNTIFS(Однолинейка!$J$3:$J$3000,C43,Однолинейка!$A$3:$A$3000,Щит_спец)+COUNTIFS(Однолинейка!$K$3:$K$3000,C43,Однолинейка!$A$3:$A$3000,Щит_спец)),IF(A43="Модуль",IF(C43="","",COUNTIFS(Однолинейка!$AW$3:$AW$3000,"?*",Однолинейка!$AI$3:$AI$3000,C43,Однолинейка!$A$3:$A$3000,Щит_спец)),IF(A43="Клемма",IF(C43="","",IF(C43=$S$7,SUMIFS(Однолинейка!$BW$3:$BW$3000,Однолинейка!$A$3:$A$3000,Щит_спец),IF(C43=$S$8,SUMIFS(Однолинейка!$BX$3:$BX$3000,Однолинейка!$A$3:$A$3000,Щит_спец),""))),""))))</f>
        <v/>
      </c>
      <c r="O43" s="74">
        <v>1</v>
      </c>
      <c r="P43" s="38">
        <f t="shared" si="0"/>
        <v>1</v>
      </c>
      <c r="U43" s="38" t="str">
        <f t="shared" si="1"/>
        <v/>
      </c>
      <c r="V43" s="38" t="str">
        <f t="shared" si="2"/>
        <v/>
      </c>
      <c r="W43" s="38" t="str">
        <f>IF(AND(U43&lt;&gt;"",OR($S$4="(все)",B43=$S$4),IF($S$4="(все)",COUNTIF($U$4:U43,U43),COUNTIFS($U$4:U43,U43,$B$4:B43,B43))=1),MAX($W$3:W42)+1,"")</f>
        <v/>
      </c>
      <c r="X43" s="38" t="str">
        <f t="shared" si="3"/>
        <v/>
      </c>
      <c r="Y43" s="38" t="str">
        <f>IF(AND(A43="Аппарат",C43&lt;&gt;"",OR($S$5="(все)",B43=$S$5)),MAX($Y$3:Y42)+1,"")</f>
        <v/>
      </c>
      <c r="Z43" s="38" t="str">
        <f t="shared" si="4"/>
        <v/>
      </c>
      <c r="AA43" s="38" t="str">
        <f>IF(AND(A43="Модуль",C43&lt;&gt;"",OR($S$6="(все)",B43=$S$6)),MAX($AA$3:AA42)+1,"")</f>
        <v/>
      </c>
      <c r="AB43" s="38" t="str">
        <f t="shared" si="5"/>
        <v/>
      </c>
      <c r="AC43" s="38" t="str">
        <f>IF(OR(B43="",COUNTIF($B$4:B43,B43)&gt;1),"",MAX($AC$3:AC42)+1)</f>
        <v/>
      </c>
      <c r="AD43" s="38" t="str">
        <f t="shared" si="6"/>
        <v/>
      </c>
      <c r="AE43" s="38">
        <f t="shared" si="7"/>
        <v>1043</v>
      </c>
      <c r="AF43" s="38">
        <f t="shared" si="8"/>
        <v>5</v>
      </c>
      <c r="AG43" s="38" t="str">
        <f>IF(Спецификация_авто!$L$48="","",IF(COUNTIF($C$4:$C$500,Спецификация_авто!$L$48)=0,Спецификация_авто!$L$48,""))</f>
        <v/>
      </c>
      <c r="AH43" s="38" t="str">
        <f>IF(AG43="","",COUNTIF($AG$4:AG43,"?*"))</f>
        <v/>
      </c>
    </row>
    <row r="44" spans="1:34" x14ac:dyDescent="0.3">
      <c r="A44" s="74" t="s">
        <v>924</v>
      </c>
      <c r="B44" s="74" t="s">
        <v>304</v>
      </c>
      <c r="C44" s="74" t="s">
        <v>298</v>
      </c>
      <c r="D44" s="74"/>
      <c r="E44" s="74"/>
      <c r="F44" s="74"/>
      <c r="G44" s="74" t="s">
        <v>266</v>
      </c>
      <c r="H44" s="74" t="s">
        <v>298</v>
      </c>
      <c r="I44" s="74"/>
      <c r="J44" s="74"/>
      <c r="K44" s="74"/>
      <c r="L44" s="74"/>
      <c r="M44" s="74" t="s">
        <v>268</v>
      </c>
      <c r="N44" s="38" t="str">
        <f>IF(OR(A44="Автомат",A44="Дифавтомат"),IF(W44="","",COUNTIFS(Однолинейка!$H$3:$H$3000,U44,Однолинейка!$A$3:$A$3000,Щит_спец)),IF(A44="Аппарат",IF(C44="","",COUNTIFS(Однолинейка!$I$3:$I$3000,C44,Однолинейка!$A$3:$A$3000,Щит_спец)+COUNTIFS(Однолинейка!$J$3:$J$3000,C44,Однолинейка!$A$3:$A$3000,Щит_спец)+COUNTIFS(Однолинейка!$K$3:$K$3000,C44,Однолинейка!$A$3:$A$3000,Щит_спец)),IF(A44="Модуль",IF(C44="","",COUNTIFS(Однолинейка!$AW$3:$AW$3000,"?*",Однолинейка!$AI$3:$AI$3000,C44,Однолинейка!$A$3:$A$3000,Щит_спец)),IF(A44="Клемма",IF(C44="","",IF(C44=$S$7,SUMIFS(Однолинейка!$BW$3:$BW$3000,Однолинейка!$A$3:$A$3000,Щит_спец),IF(C44=$S$8,SUMIFS(Однолинейка!$BX$3:$BX$3000,Однолинейка!$A$3:$A$3000,Щит_спец),""))),""))))</f>
        <v/>
      </c>
      <c r="O44" s="74">
        <v>1</v>
      </c>
      <c r="P44" s="38">
        <f t="shared" si="0"/>
        <v>1</v>
      </c>
      <c r="U44" s="38" t="str">
        <f t="shared" si="1"/>
        <v/>
      </c>
      <c r="V44" s="38" t="str">
        <f t="shared" si="2"/>
        <v/>
      </c>
      <c r="W44" s="38" t="str">
        <f>IF(AND(U44&lt;&gt;"",OR($S$4="(все)",B44=$S$4),IF($S$4="(все)",COUNTIF($U$4:U44,U44),COUNTIFS($U$4:U44,U44,$B$4:B44,B44))=1),MAX($W$3:W43)+1,"")</f>
        <v/>
      </c>
      <c r="X44" s="38" t="str">
        <f t="shared" si="3"/>
        <v/>
      </c>
      <c r="Y44" s="38" t="str">
        <f>IF(AND(A44="Аппарат",C44&lt;&gt;"",OR($S$5="(все)",B44=$S$5)),MAX($Y$3:Y43)+1,"")</f>
        <v/>
      </c>
      <c r="Z44" s="38" t="str">
        <f t="shared" si="4"/>
        <v/>
      </c>
      <c r="AA44" s="38" t="str">
        <f>IF(AND(A44="Модуль",C44&lt;&gt;"",OR($S$6="(все)",B44=$S$6)),MAX($AA$3:AA43)+1,"")</f>
        <v/>
      </c>
      <c r="AB44" s="38" t="str">
        <f t="shared" si="5"/>
        <v/>
      </c>
      <c r="AC44" s="38" t="str">
        <f>IF(OR(B44="",COUNTIF($B$4:B44,B44)&gt;1),"",MAX($AC$3:AC43)+1)</f>
        <v/>
      </c>
      <c r="AD44" s="38" t="str">
        <f t="shared" si="6"/>
        <v/>
      </c>
      <c r="AE44" s="38">
        <f t="shared" si="7"/>
        <v>1044</v>
      </c>
      <c r="AF44" s="38">
        <f t="shared" si="8"/>
        <v>6</v>
      </c>
    </row>
    <row r="45" spans="1:34" x14ac:dyDescent="0.3">
      <c r="A45" s="74" t="s">
        <v>924</v>
      </c>
      <c r="B45" s="74" t="s">
        <v>304</v>
      </c>
      <c r="C45" s="74" t="s">
        <v>299</v>
      </c>
      <c r="D45" s="74"/>
      <c r="E45" s="74"/>
      <c r="F45" s="74"/>
      <c r="G45" s="74" t="s">
        <v>267</v>
      </c>
      <c r="H45" s="74" t="s">
        <v>299</v>
      </c>
      <c r="I45" s="74"/>
      <c r="J45" s="74"/>
      <c r="K45" s="74"/>
      <c r="L45" s="74"/>
      <c r="M45" s="74" t="s">
        <v>268</v>
      </c>
      <c r="N45" s="38" t="str">
        <f>IF(OR(A45="Автомат",A45="Дифавтомат"),IF(W45="","",COUNTIFS(Однолинейка!$H$3:$H$3000,U45,Однолинейка!$A$3:$A$3000,Щит_спец)),IF(A45="Аппарат",IF(C45="","",COUNTIFS(Однолинейка!$I$3:$I$3000,C45,Однолинейка!$A$3:$A$3000,Щит_спец)+COUNTIFS(Однолинейка!$J$3:$J$3000,C45,Однолинейка!$A$3:$A$3000,Щит_спец)+COUNTIFS(Однолинейка!$K$3:$K$3000,C45,Однолинейка!$A$3:$A$3000,Щит_спец)),IF(A45="Модуль",IF(C45="","",COUNTIFS(Однолинейка!$AW$3:$AW$3000,"?*",Однолинейка!$AI$3:$AI$3000,C45,Однолинейка!$A$3:$A$3000,Щит_спец)),IF(A45="Клемма",IF(C45="","",IF(C45=$S$7,SUMIFS(Однолинейка!$BW$3:$BW$3000,Однолинейка!$A$3:$A$3000,Щит_спец),IF(C45=$S$8,SUMIFS(Однолинейка!$BX$3:$BX$3000,Однолинейка!$A$3:$A$3000,Щит_спец),""))),""))))</f>
        <v/>
      </c>
      <c r="O45" s="74">
        <v>1</v>
      </c>
      <c r="P45" s="38">
        <f t="shared" si="0"/>
        <v>1</v>
      </c>
      <c r="U45" s="38" t="str">
        <f t="shared" si="1"/>
        <v/>
      </c>
      <c r="V45" s="38" t="str">
        <f t="shared" si="2"/>
        <v/>
      </c>
      <c r="W45" s="38" t="str">
        <f>IF(AND(U45&lt;&gt;"",OR($S$4="(все)",B45=$S$4),IF($S$4="(все)",COUNTIF($U$4:U45,U45),COUNTIFS($U$4:U45,U45,$B$4:B45,B45))=1),MAX($W$3:W44)+1,"")</f>
        <v/>
      </c>
      <c r="X45" s="38" t="str">
        <f t="shared" si="3"/>
        <v/>
      </c>
      <c r="Y45" s="38" t="str">
        <f>IF(AND(A45="Аппарат",C45&lt;&gt;"",OR($S$5="(все)",B45=$S$5)),MAX($Y$3:Y44)+1,"")</f>
        <v/>
      </c>
      <c r="Z45" s="38" t="str">
        <f t="shared" si="4"/>
        <v/>
      </c>
      <c r="AA45" s="38" t="str">
        <f>IF(AND(A45="Модуль",C45&lt;&gt;"",OR($S$6="(все)",B45=$S$6)),MAX($AA$3:AA44)+1,"")</f>
        <v/>
      </c>
      <c r="AB45" s="38" t="str">
        <f t="shared" si="5"/>
        <v/>
      </c>
      <c r="AC45" s="38" t="str">
        <f>IF(OR(B45="",COUNTIF($B$4:B45,B45)&gt;1),"",MAX($AC$3:AC44)+1)</f>
        <v/>
      </c>
      <c r="AD45" s="38" t="str">
        <f t="shared" si="6"/>
        <v/>
      </c>
      <c r="AE45" s="38">
        <f t="shared" si="7"/>
        <v>1045</v>
      </c>
      <c r="AF45" s="38">
        <f t="shared" si="8"/>
        <v>7</v>
      </c>
    </row>
    <row r="46" spans="1:34" x14ac:dyDescent="0.3">
      <c r="A46" s="74" t="s">
        <v>924</v>
      </c>
      <c r="B46" s="74" t="s">
        <v>304</v>
      </c>
      <c r="C46" s="74" t="s">
        <v>300</v>
      </c>
      <c r="D46" s="74"/>
      <c r="E46" s="74"/>
      <c r="F46" s="74"/>
      <c r="G46" s="74" t="s">
        <v>269</v>
      </c>
      <c r="H46" s="74" t="s">
        <v>300</v>
      </c>
      <c r="I46" s="74"/>
      <c r="J46" s="74"/>
      <c r="K46" s="74"/>
      <c r="L46" s="74"/>
      <c r="M46" s="74" t="s">
        <v>273</v>
      </c>
      <c r="N46" s="38" t="str">
        <f>IF(OR(A46="Автомат",A46="Дифавтомат"),IF(W46="","",COUNTIFS(Однолинейка!$H$3:$H$3000,U46,Однолинейка!$A$3:$A$3000,Щит_спец)),IF(A46="Аппарат",IF(C46="","",COUNTIFS(Однолинейка!$I$3:$I$3000,C46,Однолинейка!$A$3:$A$3000,Щит_спец)+COUNTIFS(Однолинейка!$J$3:$J$3000,C46,Однолинейка!$A$3:$A$3000,Щит_спец)+COUNTIFS(Однолинейка!$K$3:$K$3000,C46,Однолинейка!$A$3:$A$3000,Щит_спец)),IF(A46="Модуль",IF(C46="","",COUNTIFS(Однолинейка!$AW$3:$AW$3000,"?*",Однолинейка!$AI$3:$AI$3000,C46,Однолинейка!$A$3:$A$3000,Щит_спец)),IF(A46="Клемма",IF(C46="","",IF(C46=$S$7,SUMIFS(Однолинейка!$BW$3:$BW$3000,Однолинейка!$A$3:$A$3000,Щит_спец),IF(C46=$S$8,SUMIFS(Однолинейка!$BX$3:$BX$3000,Однолинейка!$A$3:$A$3000,Щит_спец),""))),""))))</f>
        <v/>
      </c>
      <c r="O46" s="74">
        <v>3</v>
      </c>
      <c r="P46" s="38">
        <f t="shared" si="0"/>
        <v>3</v>
      </c>
      <c r="U46" s="38" t="str">
        <f t="shared" si="1"/>
        <v/>
      </c>
      <c r="V46" s="38" t="str">
        <f t="shared" si="2"/>
        <v/>
      </c>
      <c r="W46" s="38" t="str">
        <f>IF(AND(U46&lt;&gt;"",OR($S$4="(все)",B46=$S$4),IF($S$4="(все)",COUNTIF($U$4:U46,U46),COUNTIFS($U$4:U46,U46,$B$4:B46,B46))=1),MAX($W$3:W45)+1,"")</f>
        <v/>
      </c>
      <c r="X46" s="38" t="str">
        <f t="shared" si="3"/>
        <v/>
      </c>
      <c r="Y46" s="38" t="str">
        <f>IF(AND(A46="Аппарат",C46&lt;&gt;"",OR($S$5="(все)",B46=$S$5)),MAX($Y$3:Y45)+1,"")</f>
        <v/>
      </c>
      <c r="Z46" s="38" t="str">
        <f t="shared" si="4"/>
        <v/>
      </c>
      <c r="AA46" s="38" t="str">
        <f>IF(AND(A46="Модуль",C46&lt;&gt;"",OR($S$6="(все)",B46=$S$6)),MAX($AA$3:AA45)+1,"")</f>
        <v/>
      </c>
      <c r="AB46" s="38" t="str">
        <f t="shared" si="5"/>
        <v/>
      </c>
      <c r="AC46" s="38" t="str">
        <f>IF(OR(B46="",COUNTIF($B$4:B46,B46)&gt;1),"",MAX($AC$3:AC45)+1)</f>
        <v/>
      </c>
      <c r="AD46" s="38" t="str">
        <f t="shared" si="6"/>
        <v/>
      </c>
      <c r="AE46" s="38">
        <f t="shared" si="7"/>
        <v>1046</v>
      </c>
      <c r="AF46" s="38">
        <f t="shared" si="8"/>
        <v>8</v>
      </c>
    </row>
    <row r="47" spans="1:34" x14ac:dyDescent="0.3">
      <c r="A47" s="74" t="s">
        <v>924</v>
      </c>
      <c r="B47" s="74" t="s">
        <v>304</v>
      </c>
      <c r="C47" s="74" t="s">
        <v>301</v>
      </c>
      <c r="D47" s="74"/>
      <c r="E47" s="74"/>
      <c r="F47" s="74"/>
      <c r="G47" s="74" t="s">
        <v>270</v>
      </c>
      <c r="H47" s="74" t="s">
        <v>301</v>
      </c>
      <c r="I47" s="74"/>
      <c r="J47" s="74"/>
      <c r="K47" s="74"/>
      <c r="L47" s="74"/>
      <c r="M47" s="74" t="s">
        <v>273</v>
      </c>
      <c r="N47" s="38" t="str">
        <f>IF(OR(A47="Автомат",A47="Дифавтомат"),IF(W47="","",COUNTIFS(Однолинейка!$H$3:$H$3000,U47,Однолинейка!$A$3:$A$3000,Щит_спец)),IF(A47="Аппарат",IF(C47="","",COUNTIFS(Однолинейка!$I$3:$I$3000,C47,Однолинейка!$A$3:$A$3000,Щит_спец)+COUNTIFS(Однолинейка!$J$3:$J$3000,C47,Однолинейка!$A$3:$A$3000,Щит_спец)+COUNTIFS(Однолинейка!$K$3:$K$3000,C47,Однолинейка!$A$3:$A$3000,Щит_спец)),IF(A47="Модуль",IF(C47="","",COUNTIFS(Однолинейка!$AW$3:$AW$3000,"?*",Однолинейка!$AI$3:$AI$3000,C47,Однолинейка!$A$3:$A$3000,Щит_спец)),IF(A47="Клемма",IF(C47="","",IF(C47=$S$7,SUMIFS(Однолинейка!$BW$3:$BW$3000,Однолинейка!$A$3:$A$3000,Щит_спец),IF(C47=$S$8,SUMIFS(Однолинейка!$BX$3:$BX$3000,Однолинейка!$A$3:$A$3000,Щит_спец),""))),""))))</f>
        <v/>
      </c>
      <c r="O47" s="74">
        <v>1</v>
      </c>
      <c r="P47" s="38">
        <f t="shared" si="0"/>
        <v>1</v>
      </c>
      <c r="U47" s="38" t="str">
        <f t="shared" si="1"/>
        <v/>
      </c>
      <c r="V47" s="38" t="str">
        <f t="shared" si="2"/>
        <v/>
      </c>
      <c r="W47" s="38" t="str">
        <f>IF(AND(U47&lt;&gt;"",OR($S$4="(все)",B47=$S$4),IF($S$4="(все)",COUNTIF($U$4:U47,U47),COUNTIFS($U$4:U47,U47,$B$4:B47,B47))=1),MAX($W$3:W46)+1,"")</f>
        <v/>
      </c>
      <c r="X47" s="38" t="str">
        <f t="shared" si="3"/>
        <v/>
      </c>
      <c r="Y47" s="38" t="str">
        <f>IF(AND(A47="Аппарат",C47&lt;&gt;"",OR($S$5="(все)",B47=$S$5)),MAX($Y$3:Y46)+1,"")</f>
        <v/>
      </c>
      <c r="Z47" s="38" t="str">
        <f t="shared" si="4"/>
        <v/>
      </c>
      <c r="AA47" s="38" t="str">
        <f>IF(AND(A47="Модуль",C47&lt;&gt;"",OR($S$6="(все)",B47=$S$6)),MAX($AA$3:AA46)+1,"")</f>
        <v/>
      </c>
      <c r="AB47" s="38" t="str">
        <f t="shared" si="5"/>
        <v/>
      </c>
      <c r="AC47" s="38" t="str">
        <f>IF(OR(B47="",COUNTIF($B$4:B47,B47)&gt;1),"",MAX($AC$3:AC46)+1)</f>
        <v/>
      </c>
      <c r="AD47" s="38" t="str">
        <f t="shared" si="6"/>
        <v/>
      </c>
      <c r="AE47" s="38">
        <f t="shared" si="7"/>
        <v>1047</v>
      </c>
      <c r="AF47" s="38">
        <f t="shared" si="8"/>
        <v>9</v>
      </c>
    </row>
    <row r="48" spans="1:34" x14ac:dyDescent="0.3">
      <c r="A48" s="74" t="s">
        <v>924</v>
      </c>
      <c r="B48" s="74" t="s">
        <v>304</v>
      </c>
      <c r="C48" s="74" t="s">
        <v>293</v>
      </c>
      <c r="D48" s="74"/>
      <c r="E48" s="74"/>
      <c r="F48" s="74"/>
      <c r="G48" s="74" t="s">
        <v>292</v>
      </c>
      <c r="H48" s="74" t="s">
        <v>293</v>
      </c>
      <c r="I48" s="74"/>
      <c r="J48" s="74"/>
      <c r="K48" s="74"/>
      <c r="L48" s="74"/>
      <c r="M48" s="74" t="s">
        <v>268</v>
      </c>
      <c r="N48" s="38" t="str">
        <f>IF(OR(A48="Автомат",A48="Дифавтомат"),IF(W48="","",COUNTIFS(Однолинейка!$H$3:$H$3000,U48,Однолинейка!$A$3:$A$3000,Щит_спец)),IF(A48="Аппарат",IF(C48="","",COUNTIFS(Однолинейка!$I$3:$I$3000,C48,Однолинейка!$A$3:$A$3000,Щит_спец)+COUNTIFS(Однолинейка!$J$3:$J$3000,C48,Однолинейка!$A$3:$A$3000,Щит_спец)+COUNTIFS(Однолинейка!$K$3:$K$3000,C48,Однолинейка!$A$3:$A$3000,Щит_спец)),IF(A48="Модуль",IF(C48="","",COUNTIFS(Однолинейка!$AW$3:$AW$3000,"?*",Однолинейка!$AI$3:$AI$3000,C48,Однолинейка!$A$3:$A$3000,Щит_спец)),IF(A48="Клемма",IF(C48="","",IF(C48=$S$7,SUMIFS(Однолинейка!$BW$3:$BW$3000,Однолинейка!$A$3:$A$3000,Щит_спец),IF(C48=$S$8,SUMIFS(Однолинейка!$BX$3:$BX$3000,Однолинейка!$A$3:$A$3000,Щит_спец),""))),""))))</f>
        <v/>
      </c>
      <c r="O48" s="74">
        <v>1</v>
      </c>
      <c r="P48" s="38">
        <f t="shared" si="0"/>
        <v>1</v>
      </c>
      <c r="U48" s="38" t="str">
        <f t="shared" si="1"/>
        <v/>
      </c>
      <c r="V48" s="38" t="str">
        <f t="shared" si="2"/>
        <v/>
      </c>
      <c r="W48" s="38" t="str">
        <f>IF(AND(U48&lt;&gt;"",OR($S$4="(все)",B48=$S$4),IF($S$4="(все)",COUNTIF($U$4:U48,U48),COUNTIFS($U$4:U48,U48,$B$4:B48,B48))=1),MAX($W$3:W47)+1,"")</f>
        <v/>
      </c>
      <c r="X48" s="38" t="str">
        <f t="shared" si="3"/>
        <v/>
      </c>
      <c r="Y48" s="38" t="str">
        <f>IF(AND(A48="Аппарат",C48&lt;&gt;"",OR($S$5="(все)",B48=$S$5)),MAX($Y$3:Y47)+1,"")</f>
        <v/>
      </c>
      <c r="Z48" s="38" t="str">
        <f t="shared" si="4"/>
        <v/>
      </c>
      <c r="AA48" s="38" t="str">
        <f>IF(AND(A48="Модуль",C48&lt;&gt;"",OR($S$6="(все)",B48=$S$6)),MAX($AA$3:AA47)+1,"")</f>
        <v/>
      </c>
      <c r="AB48" s="38" t="str">
        <f t="shared" si="5"/>
        <v/>
      </c>
      <c r="AC48" s="38" t="str">
        <f>IF(OR(B48="",COUNTIF($B$4:B48,B48)&gt;1),"",MAX($AC$3:AC47)+1)</f>
        <v/>
      </c>
      <c r="AD48" s="38" t="str">
        <f t="shared" si="6"/>
        <v/>
      </c>
      <c r="AE48" s="38">
        <f t="shared" si="7"/>
        <v>1048</v>
      </c>
      <c r="AF48" s="38">
        <f t="shared" si="8"/>
        <v>10</v>
      </c>
    </row>
    <row r="49" spans="1:32" x14ac:dyDescent="0.3">
      <c r="A49" s="74" t="s">
        <v>924</v>
      </c>
      <c r="B49" s="74" t="s">
        <v>304</v>
      </c>
      <c r="C49" s="74" t="s">
        <v>302</v>
      </c>
      <c r="D49" s="74"/>
      <c r="E49" s="74"/>
      <c r="F49" s="74"/>
      <c r="G49" s="74" t="s">
        <v>271</v>
      </c>
      <c r="H49" s="74" t="s">
        <v>302</v>
      </c>
      <c r="I49" s="74"/>
      <c r="J49" s="74"/>
      <c r="K49" s="74"/>
      <c r="L49" s="74"/>
      <c r="M49" s="74" t="s">
        <v>268</v>
      </c>
      <c r="N49" s="38" t="str">
        <f>IF(OR(A49="Автомат",A49="Дифавтомат"),IF(W49="","",COUNTIFS(Однолинейка!$H$3:$H$3000,U49,Однолинейка!$A$3:$A$3000,Щит_спец)),IF(A49="Аппарат",IF(C49="","",COUNTIFS(Однолинейка!$I$3:$I$3000,C49,Однолинейка!$A$3:$A$3000,Щит_спец)+COUNTIFS(Однолинейка!$J$3:$J$3000,C49,Однолинейка!$A$3:$A$3000,Щит_спец)+COUNTIFS(Однолинейка!$K$3:$K$3000,C49,Однолинейка!$A$3:$A$3000,Щит_спец)),IF(A49="Модуль",IF(C49="","",COUNTIFS(Однолинейка!$AW$3:$AW$3000,"?*",Однолинейка!$AI$3:$AI$3000,C49,Однолинейка!$A$3:$A$3000,Щит_спец)),IF(A49="Клемма",IF(C49="","",IF(C49=$S$7,SUMIFS(Однолинейка!$BW$3:$BW$3000,Однолинейка!$A$3:$A$3000,Щит_спец),IF(C49=$S$8,SUMIFS(Однолинейка!$BX$3:$BX$3000,Однолинейка!$A$3:$A$3000,Щит_спец),""))),""))))</f>
        <v/>
      </c>
      <c r="O49" s="74">
        <v>1</v>
      </c>
      <c r="P49" s="38">
        <f t="shared" si="0"/>
        <v>1</v>
      </c>
      <c r="U49" s="38" t="str">
        <f t="shared" si="1"/>
        <v/>
      </c>
      <c r="V49" s="38" t="str">
        <f t="shared" si="2"/>
        <v/>
      </c>
      <c r="W49" s="38" t="str">
        <f>IF(AND(U49&lt;&gt;"",OR($S$4="(все)",B49=$S$4),IF($S$4="(все)",COUNTIF($U$4:U49,U49),COUNTIFS($U$4:U49,U49,$B$4:B49,B49))=1),MAX($W$3:W48)+1,"")</f>
        <v/>
      </c>
      <c r="X49" s="38" t="str">
        <f t="shared" si="3"/>
        <v/>
      </c>
      <c r="Y49" s="38" t="str">
        <f>IF(AND(A49="Аппарат",C49&lt;&gt;"",OR($S$5="(все)",B49=$S$5)),MAX($Y$3:Y48)+1,"")</f>
        <v/>
      </c>
      <c r="Z49" s="38" t="str">
        <f t="shared" si="4"/>
        <v/>
      </c>
      <c r="AA49" s="38" t="str">
        <f>IF(AND(A49="Модуль",C49&lt;&gt;"",OR($S$6="(все)",B49=$S$6)),MAX($AA$3:AA48)+1,"")</f>
        <v/>
      </c>
      <c r="AB49" s="38" t="str">
        <f t="shared" si="5"/>
        <v/>
      </c>
      <c r="AC49" s="38" t="str">
        <f>IF(OR(B49="",COUNTIF($B$4:B49,B49)&gt;1),"",MAX($AC$3:AC48)+1)</f>
        <v/>
      </c>
      <c r="AD49" s="38" t="str">
        <f t="shared" si="6"/>
        <v/>
      </c>
      <c r="AE49" s="38">
        <f t="shared" si="7"/>
        <v>1049</v>
      </c>
      <c r="AF49" s="38">
        <f t="shared" si="8"/>
        <v>11</v>
      </c>
    </row>
    <row r="50" spans="1:32" x14ac:dyDescent="0.3">
      <c r="A50" s="74" t="s">
        <v>924</v>
      </c>
      <c r="B50" s="74" t="s">
        <v>304</v>
      </c>
      <c r="C50" s="74" t="s">
        <v>303</v>
      </c>
      <c r="D50" s="74"/>
      <c r="E50" s="74"/>
      <c r="F50" s="74"/>
      <c r="G50" s="74" t="s">
        <v>272</v>
      </c>
      <c r="H50" s="74" t="s">
        <v>303</v>
      </c>
      <c r="I50" s="74"/>
      <c r="J50" s="74"/>
      <c r="K50" s="74"/>
      <c r="L50" s="74"/>
      <c r="M50" s="74" t="s">
        <v>274</v>
      </c>
      <c r="N50" s="38" t="str">
        <f>IF(OR(A50="Автомат",A50="Дифавтомат"),IF(W50="","",COUNTIFS(Однолинейка!$H$3:$H$3000,U50,Однолинейка!$A$3:$A$3000,Щит_спец)),IF(A50="Аппарат",IF(C50="","",COUNTIFS(Однолинейка!$I$3:$I$3000,C50,Однолинейка!$A$3:$A$3000,Щит_спец)+COUNTIFS(Однолинейка!$J$3:$J$3000,C50,Однолинейка!$A$3:$A$3000,Щит_спец)+COUNTIFS(Однолинейка!$K$3:$K$3000,C50,Однолинейка!$A$3:$A$3000,Щит_спец)),IF(A50="Модуль",IF(C50="","",COUNTIFS(Однолинейка!$AW$3:$AW$3000,"?*",Однолинейка!$AI$3:$AI$3000,C50,Однолинейка!$A$3:$A$3000,Щит_спец)),IF(A50="Клемма",IF(C50="","",IF(C50=$S$7,SUMIFS(Однолинейка!$BW$3:$BW$3000,Однолинейка!$A$3:$A$3000,Щит_спец),IF(C50=$S$8,SUMIFS(Однолинейка!$BX$3:$BX$3000,Однолинейка!$A$3:$A$3000,Щит_спец),""))),""))))</f>
        <v/>
      </c>
      <c r="O50" s="74">
        <v>2</v>
      </c>
      <c r="P50" s="38">
        <f t="shared" si="0"/>
        <v>2</v>
      </c>
      <c r="U50" s="38" t="str">
        <f t="shared" si="1"/>
        <v/>
      </c>
      <c r="V50" s="38" t="str">
        <f t="shared" si="2"/>
        <v/>
      </c>
      <c r="W50" s="38" t="str">
        <f>IF(AND(U50&lt;&gt;"",OR($S$4="(все)",B50=$S$4),IF($S$4="(все)",COUNTIF($U$4:U50,U50),COUNTIFS($U$4:U50,U50,$B$4:B50,B50))=1),MAX($W$3:W49)+1,"")</f>
        <v/>
      </c>
      <c r="X50" s="38" t="str">
        <f t="shared" si="3"/>
        <v/>
      </c>
      <c r="Y50" s="38" t="str">
        <f>IF(AND(A50="Аппарат",C50&lt;&gt;"",OR($S$5="(все)",B50=$S$5)),MAX($Y$3:Y49)+1,"")</f>
        <v/>
      </c>
      <c r="Z50" s="38" t="str">
        <f t="shared" si="4"/>
        <v/>
      </c>
      <c r="AA50" s="38" t="str">
        <f>IF(AND(A50="Модуль",C50&lt;&gt;"",OR($S$6="(все)",B50=$S$6)),MAX($AA$3:AA49)+1,"")</f>
        <v/>
      </c>
      <c r="AB50" s="38" t="str">
        <f t="shared" si="5"/>
        <v/>
      </c>
      <c r="AC50" s="38" t="str">
        <f>IF(OR(B50="",COUNTIF($B$4:B50,B50)&gt;1),"",MAX($AC$3:AC49)+1)</f>
        <v/>
      </c>
      <c r="AD50" s="38" t="str">
        <f t="shared" si="6"/>
        <v/>
      </c>
      <c r="AE50" s="38">
        <f t="shared" si="7"/>
        <v>1050</v>
      </c>
      <c r="AF50" s="38">
        <f t="shared" si="8"/>
        <v>12</v>
      </c>
    </row>
    <row r="51" spans="1:32" x14ac:dyDescent="0.3">
      <c r="A51" s="74" t="s">
        <v>924</v>
      </c>
      <c r="B51" s="74" t="s">
        <v>304</v>
      </c>
      <c r="C51" s="74" t="s">
        <v>306</v>
      </c>
      <c r="D51" s="74"/>
      <c r="E51" s="74"/>
      <c r="F51" s="74"/>
      <c r="G51" s="74" t="s">
        <v>305</v>
      </c>
      <c r="H51" s="74" t="s">
        <v>306</v>
      </c>
      <c r="I51" s="74"/>
      <c r="J51" s="74"/>
      <c r="K51" s="74"/>
      <c r="L51" s="74"/>
      <c r="M51" s="74" t="s">
        <v>307</v>
      </c>
      <c r="N51" s="38" t="str">
        <f>IF(OR(A51="Автомат",A51="Дифавтомат"),IF(W51="","",COUNTIFS(Однолинейка!$H$3:$H$3000,U51,Однолинейка!$A$3:$A$3000,Щит_спец)),IF(A51="Аппарат",IF(C51="","",COUNTIFS(Однолинейка!$I$3:$I$3000,C51,Однолинейка!$A$3:$A$3000,Щит_спец)+COUNTIFS(Однолинейка!$J$3:$J$3000,C51,Однолинейка!$A$3:$A$3000,Щит_спец)+COUNTIFS(Однолинейка!$K$3:$K$3000,C51,Однолинейка!$A$3:$A$3000,Щит_спец)),IF(A51="Модуль",IF(C51="","",COUNTIFS(Однолинейка!$AW$3:$AW$3000,"?*",Однолинейка!$AI$3:$AI$3000,C51,Однолинейка!$A$3:$A$3000,Щит_спец)),IF(A51="Клемма",IF(C51="","",IF(C51=$S$7,SUMIFS(Однолинейка!$BW$3:$BW$3000,Однолинейка!$A$3:$A$3000,Щит_спец),IF(C51=$S$8,SUMIFS(Однолинейка!$BX$3:$BX$3000,Однолинейка!$A$3:$A$3000,Щит_спец),""))),""))))</f>
        <v/>
      </c>
      <c r="O51" s="74">
        <v>1</v>
      </c>
      <c r="P51" s="38">
        <f t="shared" si="0"/>
        <v>1</v>
      </c>
      <c r="U51" s="38" t="str">
        <f t="shared" si="1"/>
        <v/>
      </c>
      <c r="V51" s="38" t="str">
        <f t="shared" si="2"/>
        <v/>
      </c>
      <c r="W51" s="38" t="str">
        <f>IF(AND(U51&lt;&gt;"",OR($S$4="(все)",B51=$S$4),IF($S$4="(все)",COUNTIF($U$4:U51,U51),COUNTIFS($U$4:U51,U51,$B$4:B51,B51))=1),MAX($W$3:W50)+1,"")</f>
        <v/>
      </c>
      <c r="X51" s="38" t="str">
        <f t="shared" si="3"/>
        <v/>
      </c>
      <c r="Y51" s="38" t="str">
        <f>IF(AND(A51="Аппарат",C51&lt;&gt;"",OR($S$5="(все)",B51=$S$5)),MAX($Y$3:Y50)+1,"")</f>
        <v/>
      </c>
      <c r="Z51" s="38" t="str">
        <f t="shared" si="4"/>
        <v/>
      </c>
      <c r="AA51" s="38" t="str">
        <f>IF(AND(A51="Модуль",C51&lt;&gt;"",OR($S$6="(все)",B51=$S$6)),MAX($AA$3:AA50)+1,"")</f>
        <v/>
      </c>
      <c r="AB51" s="38" t="str">
        <f t="shared" si="5"/>
        <v/>
      </c>
      <c r="AC51" s="38" t="str">
        <f>IF(OR(B51="",COUNTIF($B$4:B51,B51)&gt;1),"",MAX($AC$3:AC50)+1)</f>
        <v/>
      </c>
      <c r="AD51" s="38" t="str">
        <f t="shared" si="6"/>
        <v/>
      </c>
      <c r="AE51" s="38">
        <f t="shared" si="7"/>
        <v>1051</v>
      </c>
      <c r="AF51" s="38">
        <f t="shared" si="8"/>
        <v>13</v>
      </c>
    </row>
    <row r="52" spans="1:32" x14ac:dyDescent="0.3">
      <c r="A52" s="74" t="s">
        <v>924</v>
      </c>
      <c r="B52" s="74" t="s">
        <v>310</v>
      </c>
      <c r="C52" s="74" t="s">
        <v>309</v>
      </c>
      <c r="D52" s="74"/>
      <c r="E52" s="74"/>
      <c r="F52" s="74"/>
      <c r="G52" s="74" t="s">
        <v>308</v>
      </c>
      <c r="H52" s="74" t="s">
        <v>309</v>
      </c>
      <c r="I52" s="74"/>
      <c r="J52" s="74"/>
      <c r="K52" s="74"/>
      <c r="L52" s="74"/>
      <c r="M52" s="74" t="s">
        <v>307</v>
      </c>
      <c r="N52" s="38" t="str">
        <f>IF(OR(A52="Автомат",A52="Дифавтомат"),IF(W52="","",COUNTIFS(Однолинейка!$H$3:$H$3000,U52,Однолинейка!$A$3:$A$3000,Щит_спец)),IF(A52="Аппарат",IF(C52="","",COUNTIFS(Однолинейка!$I$3:$I$3000,C52,Однолинейка!$A$3:$A$3000,Щит_спец)+COUNTIFS(Однолинейка!$J$3:$J$3000,C52,Однолинейка!$A$3:$A$3000,Щит_спец)+COUNTIFS(Однолинейка!$K$3:$K$3000,C52,Однолинейка!$A$3:$A$3000,Щит_спец)),IF(A52="Модуль",IF(C52="","",COUNTIFS(Однолинейка!$AW$3:$AW$3000,"?*",Однолинейка!$AI$3:$AI$3000,C52,Однолинейка!$A$3:$A$3000,Щит_спец)),IF(A52="Клемма",IF(C52="","",IF(C52=$S$7,SUMIFS(Однолинейка!$BW$3:$BW$3000,Однолинейка!$A$3:$A$3000,Щит_спец),IF(C52=$S$8,SUMIFS(Однолинейка!$BX$3:$BX$3000,Однолинейка!$A$3:$A$3000,Щит_спец),""))),""))))</f>
        <v/>
      </c>
      <c r="O52" s="74">
        <v>1</v>
      </c>
      <c r="P52" s="38">
        <f t="shared" si="0"/>
        <v>1</v>
      </c>
      <c r="U52" s="38" t="str">
        <f t="shared" si="1"/>
        <v/>
      </c>
      <c r="V52" s="38" t="str">
        <f t="shared" si="2"/>
        <v/>
      </c>
      <c r="W52" s="38" t="str">
        <f>IF(AND(U52&lt;&gt;"",OR($S$4="(все)",B52=$S$4),IF($S$4="(все)",COUNTIF($U$4:U52,U52),COUNTIFS($U$4:U52,U52,$B$4:B52,B52))=1),MAX($W$3:W51)+1,"")</f>
        <v/>
      </c>
      <c r="X52" s="38" t="str">
        <f t="shared" si="3"/>
        <v/>
      </c>
      <c r="Y52" s="38" t="str">
        <f>IF(AND(A52="Аппарат",C52&lt;&gt;"",OR($S$5="(все)",B52=$S$5)),MAX($Y$3:Y51)+1,"")</f>
        <v/>
      </c>
      <c r="Z52" s="38" t="str">
        <f t="shared" si="4"/>
        <v/>
      </c>
      <c r="AA52" s="38" t="str">
        <f>IF(AND(A52="Модуль",C52&lt;&gt;"",OR($S$6="(все)",B52=$S$6)),MAX($AA$3:AA51)+1,"")</f>
        <v/>
      </c>
      <c r="AB52" s="38" t="str">
        <f t="shared" si="5"/>
        <v/>
      </c>
      <c r="AC52" s="38" t="str">
        <f>IF(OR(B52="",COUNTIF($B$4:B52,B52)&gt;1),"",MAX($AC$3:AC51)+1)</f>
        <v/>
      </c>
      <c r="AD52" s="38" t="str">
        <f t="shared" si="6"/>
        <v/>
      </c>
      <c r="AE52" s="38">
        <f t="shared" si="7"/>
        <v>1052</v>
      </c>
      <c r="AF52" s="38">
        <f t="shared" si="8"/>
        <v>14</v>
      </c>
    </row>
    <row r="53" spans="1:32" x14ac:dyDescent="0.3">
      <c r="A53" s="74" t="s">
        <v>924</v>
      </c>
      <c r="B53" s="74" t="s">
        <v>310</v>
      </c>
      <c r="C53" s="74" t="s">
        <v>429</v>
      </c>
      <c r="D53" s="74"/>
      <c r="E53" s="74"/>
      <c r="F53" s="74"/>
      <c r="G53" s="74" t="s">
        <v>427</v>
      </c>
      <c r="H53" s="74" t="s">
        <v>429</v>
      </c>
      <c r="I53" s="74"/>
      <c r="J53" s="74"/>
      <c r="K53" s="74"/>
      <c r="L53" s="74"/>
      <c r="M53" s="74" t="s">
        <v>307</v>
      </c>
      <c r="N53" s="38" t="str">
        <f>IF(OR(A53="Автомат",A53="Дифавтомат"),IF(W53="","",COUNTIFS(Однолинейка!$H$3:$H$3000,U53,Однолинейка!$A$3:$A$3000,Щит_спец)),IF(A53="Аппарат",IF(C53="","",COUNTIFS(Однолинейка!$I$3:$I$3000,C53,Однолинейка!$A$3:$A$3000,Щит_спец)+COUNTIFS(Однолинейка!$J$3:$J$3000,C53,Однолинейка!$A$3:$A$3000,Щит_спец)+COUNTIFS(Однолинейка!$K$3:$K$3000,C53,Однолинейка!$A$3:$A$3000,Щит_спец)),IF(A53="Модуль",IF(C53="","",COUNTIFS(Однолинейка!$AW$3:$AW$3000,"?*",Однолинейка!$AI$3:$AI$3000,C53,Однолинейка!$A$3:$A$3000,Щит_спец)),IF(A53="Клемма",IF(C53="","",IF(C53=$S$7,SUMIFS(Однолинейка!$BW$3:$BW$3000,Однолинейка!$A$3:$A$3000,Щит_спец),IF(C53=$S$8,SUMIFS(Однолинейка!$BX$3:$BX$3000,Однолинейка!$A$3:$A$3000,Щит_спец),""))),""))))</f>
        <v/>
      </c>
      <c r="O53" s="74">
        <v>2</v>
      </c>
      <c r="P53" s="38">
        <f t="shared" si="0"/>
        <v>2</v>
      </c>
      <c r="U53" s="38" t="str">
        <f t="shared" si="1"/>
        <v/>
      </c>
      <c r="V53" s="38" t="str">
        <f t="shared" si="2"/>
        <v/>
      </c>
      <c r="W53" s="38" t="str">
        <f>IF(AND(U53&lt;&gt;"",OR($S$4="(все)",B53=$S$4),IF($S$4="(все)",COUNTIF($U$4:U53,U53),COUNTIFS($U$4:U53,U53,$B$4:B53,B53))=1),MAX($W$3:W52)+1,"")</f>
        <v/>
      </c>
      <c r="X53" s="38" t="str">
        <f t="shared" si="3"/>
        <v/>
      </c>
      <c r="Y53" s="38" t="str">
        <f>IF(AND(A53="Аппарат",C53&lt;&gt;"",OR($S$5="(все)",B53=$S$5)),MAX($Y$3:Y52)+1,"")</f>
        <v/>
      </c>
      <c r="Z53" s="38" t="str">
        <f t="shared" si="4"/>
        <v/>
      </c>
      <c r="AA53" s="38" t="str">
        <f>IF(AND(A53="Модуль",C53&lt;&gt;"",OR($S$6="(все)",B53=$S$6)),MAX($AA$3:AA52)+1,"")</f>
        <v/>
      </c>
      <c r="AB53" s="38" t="str">
        <f t="shared" si="5"/>
        <v/>
      </c>
      <c r="AC53" s="38" t="str">
        <f>IF(OR(B53="",COUNTIF($B$4:B53,B53)&gt;1),"",MAX($AC$3:AC52)+1)</f>
        <v/>
      </c>
      <c r="AD53" s="38" t="str">
        <f t="shared" si="6"/>
        <v/>
      </c>
      <c r="AE53" s="38">
        <f t="shared" si="7"/>
        <v>1053</v>
      </c>
      <c r="AF53" s="38">
        <f t="shared" si="8"/>
        <v>15</v>
      </c>
    </row>
    <row r="54" spans="1:32" x14ac:dyDescent="0.3">
      <c r="A54" s="74" t="s">
        <v>924</v>
      </c>
      <c r="B54" s="74" t="s">
        <v>310</v>
      </c>
      <c r="C54" s="74" t="s">
        <v>430</v>
      </c>
      <c r="D54" s="74"/>
      <c r="E54" s="74"/>
      <c r="F54" s="74"/>
      <c r="G54" s="74" t="s">
        <v>428</v>
      </c>
      <c r="H54" s="74" t="s">
        <v>430</v>
      </c>
      <c r="I54" s="74"/>
      <c r="J54" s="74"/>
      <c r="K54" s="74"/>
      <c r="L54" s="74"/>
      <c r="M54" s="74" t="s">
        <v>307</v>
      </c>
      <c r="N54" s="38" t="str">
        <f>IF(OR(A54="Автомат",A54="Дифавтомат"),IF(W54="","",COUNTIFS(Однолинейка!$H$3:$H$3000,U54,Однолинейка!$A$3:$A$3000,Щит_спец)),IF(A54="Аппарат",IF(C54="","",COUNTIFS(Однолинейка!$I$3:$I$3000,C54,Однолинейка!$A$3:$A$3000,Щит_спец)+COUNTIFS(Однолинейка!$J$3:$J$3000,C54,Однолинейка!$A$3:$A$3000,Щит_спец)+COUNTIFS(Однолинейка!$K$3:$K$3000,C54,Однолинейка!$A$3:$A$3000,Щит_спец)),IF(A54="Модуль",IF(C54="","",COUNTIFS(Однолинейка!$AW$3:$AW$3000,"?*",Однолинейка!$AI$3:$AI$3000,C54,Однолинейка!$A$3:$A$3000,Щит_спец)),IF(A54="Клемма",IF(C54="","",IF(C54=$S$7,SUMIFS(Однолинейка!$BW$3:$BW$3000,Однолинейка!$A$3:$A$3000,Щит_спец),IF(C54=$S$8,SUMIFS(Однолинейка!$BX$3:$BX$3000,Однолинейка!$A$3:$A$3000,Щит_спец),""))),""))))</f>
        <v/>
      </c>
      <c r="O54" s="74">
        <v>2</v>
      </c>
      <c r="P54" s="38">
        <f t="shared" si="0"/>
        <v>2</v>
      </c>
      <c r="U54" s="38" t="str">
        <f t="shared" si="1"/>
        <v/>
      </c>
      <c r="V54" s="38" t="str">
        <f t="shared" si="2"/>
        <v/>
      </c>
      <c r="W54" s="38" t="str">
        <f>IF(AND(U54&lt;&gt;"",OR($S$4="(все)",B54=$S$4),IF($S$4="(все)",COUNTIF($U$4:U54,U54),COUNTIFS($U$4:U54,U54,$B$4:B54,B54))=1),MAX($W$3:W53)+1,"")</f>
        <v/>
      </c>
      <c r="X54" s="38" t="str">
        <f t="shared" si="3"/>
        <v/>
      </c>
      <c r="Y54" s="38" t="str">
        <f>IF(AND(A54="Аппарат",C54&lt;&gt;"",OR($S$5="(все)",B54=$S$5)),MAX($Y$3:Y53)+1,"")</f>
        <v/>
      </c>
      <c r="Z54" s="38" t="str">
        <f t="shared" si="4"/>
        <v/>
      </c>
      <c r="AA54" s="38" t="str">
        <f>IF(AND(A54="Модуль",C54&lt;&gt;"",OR($S$6="(все)",B54=$S$6)),MAX($AA$3:AA53)+1,"")</f>
        <v/>
      </c>
      <c r="AB54" s="38" t="str">
        <f t="shared" si="5"/>
        <v/>
      </c>
      <c r="AC54" s="38" t="str">
        <f>IF(OR(B54="",COUNTIF($B$4:B54,B54)&gt;1),"",MAX($AC$3:AC53)+1)</f>
        <v/>
      </c>
      <c r="AD54" s="38" t="str">
        <f t="shared" si="6"/>
        <v/>
      </c>
      <c r="AE54" s="38">
        <f t="shared" si="7"/>
        <v>1054</v>
      </c>
      <c r="AF54" s="38">
        <f t="shared" si="8"/>
        <v>16</v>
      </c>
    </row>
    <row r="55" spans="1:32" x14ac:dyDescent="0.3">
      <c r="A55" s="74" t="s">
        <v>934</v>
      </c>
      <c r="B55" s="74" t="s">
        <v>312</v>
      </c>
      <c r="C55" s="74" t="s">
        <v>395</v>
      </c>
      <c r="D55" s="74"/>
      <c r="E55" s="74"/>
      <c r="F55" s="74"/>
      <c r="G55" s="74" t="s">
        <v>394</v>
      </c>
      <c r="H55" s="74" t="s">
        <v>395</v>
      </c>
      <c r="I55" s="74"/>
      <c r="J55" s="74"/>
      <c r="K55" s="74"/>
      <c r="L55" s="74"/>
      <c r="M55" s="74" t="s">
        <v>307</v>
      </c>
      <c r="N55" s="38" t="str">
        <f>IF(OR(A55="Автомат",A55="Дифавтомат"),IF(W55="","",COUNTIFS(Однолинейка!$H$3:$H$3000,U55,Однолинейка!$A$3:$A$3000,Щит_спец)),IF(A55="Аппарат",IF(C55="","",COUNTIFS(Однолинейка!$I$3:$I$3000,C55,Однолинейка!$A$3:$A$3000,Щит_спец)+COUNTIFS(Однолинейка!$J$3:$J$3000,C55,Однолинейка!$A$3:$A$3000,Щит_спец)+COUNTIFS(Однолинейка!$K$3:$K$3000,C55,Однолинейка!$A$3:$A$3000,Щит_спец)),IF(A55="Модуль",IF(C55="","",COUNTIFS(Однолинейка!$AW$3:$AW$3000,"?*",Однолинейка!$AI$3:$AI$3000,C55,Однолинейка!$A$3:$A$3000,Щит_спец)),IF(A55="Клемма",IF(C55="","",IF(C55=$S$7,SUMIFS(Однолинейка!$BW$3:$BW$3000,Однолинейка!$A$3:$A$3000,Щит_спец),IF(C55=$S$8,SUMIFS(Однолинейка!$BX$3:$BX$3000,Однолинейка!$A$3:$A$3000,Щит_спец),""))),""))))</f>
        <v/>
      </c>
      <c r="O55" s="74">
        <v>1</v>
      </c>
      <c r="P55" s="38">
        <f t="shared" si="0"/>
        <v>1</v>
      </c>
      <c r="U55" s="38" t="str">
        <f t="shared" si="1"/>
        <v/>
      </c>
      <c r="V55" s="38" t="str">
        <f t="shared" si="2"/>
        <v/>
      </c>
      <c r="W55" s="38" t="str">
        <f>IF(AND(U55&lt;&gt;"",OR($S$4="(все)",B55=$S$4),IF($S$4="(все)",COUNTIF($U$4:U55,U55),COUNTIFS($U$4:U55,U55,$B$4:B55,B55))=1),MAX($W$3:W54)+1,"")</f>
        <v/>
      </c>
      <c r="X55" s="38" t="str">
        <f t="shared" si="3"/>
        <v/>
      </c>
      <c r="Y55" s="38" t="str">
        <f>IF(AND(A55="Аппарат",C55&lt;&gt;"",OR($S$5="(все)",B55=$S$5)),MAX($Y$3:Y54)+1,"")</f>
        <v/>
      </c>
      <c r="Z55" s="38" t="str">
        <f t="shared" si="4"/>
        <v/>
      </c>
      <c r="AA55" s="38" t="str">
        <f>IF(AND(A55="Модуль",C55&lt;&gt;"",OR($S$6="(все)",B55=$S$6)),MAX($AA$3:AA54)+1,"")</f>
        <v/>
      </c>
      <c r="AB55" s="38" t="str">
        <f t="shared" si="5"/>
        <v/>
      </c>
      <c r="AC55" s="38">
        <f>IF(OR(B55="",COUNTIF($B$4:B55,B55)&gt;1),"",MAX($AC$3:AC54)+1)</f>
        <v>7</v>
      </c>
      <c r="AD55" s="38" t="str">
        <f t="shared" si="6"/>
        <v/>
      </c>
      <c r="AE55" s="38">
        <f t="shared" si="7"/>
        <v>6055</v>
      </c>
      <c r="AF55" s="38">
        <f t="shared" si="8"/>
        <v>21</v>
      </c>
    </row>
    <row r="56" spans="1:32" x14ac:dyDescent="0.3">
      <c r="A56" s="74" t="s">
        <v>934</v>
      </c>
      <c r="B56" s="74" t="s">
        <v>312</v>
      </c>
      <c r="C56" s="74" t="s">
        <v>397</v>
      </c>
      <c r="D56" s="74"/>
      <c r="E56" s="74"/>
      <c r="F56" s="74"/>
      <c r="G56" s="74" t="s">
        <v>396</v>
      </c>
      <c r="H56" s="74" t="s">
        <v>397</v>
      </c>
      <c r="I56" s="74"/>
      <c r="J56" s="74"/>
      <c r="K56" s="74"/>
      <c r="L56" s="74"/>
      <c r="M56" s="74" t="s">
        <v>307</v>
      </c>
      <c r="N56" s="38" t="str">
        <f>IF(OR(A56="Автомат",A56="Дифавтомат"),IF(W56="","",COUNTIFS(Однолинейка!$H$3:$H$3000,U56,Однолинейка!$A$3:$A$3000,Щит_спец)),IF(A56="Аппарат",IF(C56="","",COUNTIFS(Однолинейка!$I$3:$I$3000,C56,Однолинейка!$A$3:$A$3000,Щит_спец)+COUNTIFS(Однолинейка!$J$3:$J$3000,C56,Однолинейка!$A$3:$A$3000,Щит_спец)+COUNTIFS(Однолинейка!$K$3:$K$3000,C56,Однолинейка!$A$3:$A$3000,Щит_спец)),IF(A56="Модуль",IF(C56="","",COUNTIFS(Однолинейка!$AW$3:$AW$3000,"?*",Однолинейка!$AI$3:$AI$3000,C56,Однолинейка!$A$3:$A$3000,Щит_спец)),IF(A56="Клемма",IF(C56="","",IF(C56=$S$7,SUMIFS(Однолинейка!$BW$3:$BW$3000,Однолинейка!$A$3:$A$3000,Щит_спец),IF(C56=$S$8,SUMIFS(Однолинейка!$BX$3:$BX$3000,Однолинейка!$A$3:$A$3000,Щит_спец),""))),""))))</f>
        <v/>
      </c>
      <c r="O56" s="74">
        <v>2</v>
      </c>
      <c r="P56" s="38">
        <f t="shared" si="0"/>
        <v>2</v>
      </c>
      <c r="U56" s="38" t="str">
        <f t="shared" si="1"/>
        <v/>
      </c>
      <c r="V56" s="38" t="str">
        <f t="shared" si="2"/>
        <v/>
      </c>
      <c r="W56" s="38" t="str">
        <f>IF(AND(U56&lt;&gt;"",OR($S$4="(все)",B56=$S$4),IF($S$4="(все)",COUNTIF($U$4:U56,U56),COUNTIFS($U$4:U56,U56,$B$4:B56,B56))=1),MAX($W$3:W55)+1,"")</f>
        <v/>
      </c>
      <c r="X56" s="38" t="str">
        <f t="shared" si="3"/>
        <v/>
      </c>
      <c r="Y56" s="38" t="str">
        <f>IF(AND(A56="Аппарат",C56&lt;&gt;"",OR($S$5="(все)",B56=$S$5)),MAX($Y$3:Y55)+1,"")</f>
        <v/>
      </c>
      <c r="Z56" s="38" t="str">
        <f t="shared" si="4"/>
        <v/>
      </c>
      <c r="AA56" s="38" t="str">
        <f>IF(AND(A56="Модуль",C56&lt;&gt;"",OR($S$6="(все)",B56=$S$6)),MAX($AA$3:AA55)+1,"")</f>
        <v/>
      </c>
      <c r="AB56" s="38" t="str">
        <f t="shared" si="5"/>
        <v/>
      </c>
      <c r="AC56" s="38" t="str">
        <f>IF(OR(B56="",COUNTIF($B$4:B56,B56)&gt;1),"",MAX($AC$3:AC55)+1)</f>
        <v/>
      </c>
      <c r="AD56" s="38" t="str">
        <f t="shared" si="6"/>
        <v/>
      </c>
      <c r="AE56" s="38">
        <f t="shared" si="7"/>
        <v>6056</v>
      </c>
      <c r="AF56" s="38">
        <f t="shared" si="8"/>
        <v>22</v>
      </c>
    </row>
    <row r="57" spans="1:32" x14ac:dyDescent="0.3">
      <c r="A57" s="74" t="s">
        <v>518</v>
      </c>
      <c r="B57" s="74" t="s">
        <v>304</v>
      </c>
      <c r="C57" s="74" t="s">
        <v>337</v>
      </c>
      <c r="D57" s="74"/>
      <c r="E57" s="74"/>
      <c r="F57" s="74"/>
      <c r="G57" s="74" t="s">
        <v>336</v>
      </c>
      <c r="H57" s="74" t="s">
        <v>337</v>
      </c>
      <c r="I57" s="74"/>
      <c r="J57" s="74"/>
      <c r="K57" s="74"/>
      <c r="L57" s="74"/>
      <c r="M57" s="74" t="s">
        <v>307</v>
      </c>
      <c r="N57" s="38" t="str">
        <f>IF(OR(A57="Автомат",A57="Дифавтомат"),IF(W57="","",COUNTIFS(Однолинейка!$H$3:$H$3000,U57,Однолинейка!$A$3:$A$3000,Щит_спец)),IF(A57="Аппарат",IF(C57="","",COUNTIFS(Однолинейка!$I$3:$I$3000,C57,Однолинейка!$A$3:$A$3000,Щит_спец)+COUNTIFS(Однолинейка!$J$3:$J$3000,C57,Однолинейка!$A$3:$A$3000,Щит_спец)+COUNTIFS(Однолинейка!$K$3:$K$3000,C57,Однолинейка!$A$3:$A$3000,Щит_спец)),IF(A57="Модуль",IF(C57="","",COUNTIFS(Однолинейка!$AW$3:$AW$3000,"?*",Однолинейка!$AI$3:$AI$3000,C57,Однолинейка!$A$3:$A$3000,Щит_спец)),IF(A57="Клемма",IF(C57="","",IF(C57=$S$7,SUMIFS(Однолинейка!$BW$3:$BW$3000,Однолинейка!$A$3:$A$3000,Щит_спец),IF(C57=$S$8,SUMIFS(Однолинейка!$BX$3:$BX$3000,Однолинейка!$A$3:$A$3000,Щит_спец),""))),""))))</f>
        <v/>
      </c>
      <c r="O57" s="74">
        <v>5</v>
      </c>
      <c r="P57" s="38">
        <f t="shared" si="0"/>
        <v>5</v>
      </c>
      <c r="U57" s="38" t="str">
        <f t="shared" si="1"/>
        <v/>
      </c>
      <c r="V57" s="38" t="str">
        <f t="shared" si="2"/>
        <v/>
      </c>
      <c r="W57" s="38" t="str">
        <f>IF(AND(U57&lt;&gt;"",OR($S$4="(все)",B57=$S$4),IF($S$4="(все)",COUNTIF($U$4:U57,U57),COUNTIFS($U$4:U57,U57,$B$4:B57,B57))=1),MAX($W$3:W56)+1,"")</f>
        <v/>
      </c>
      <c r="X57" s="38" t="str">
        <f t="shared" si="3"/>
        <v/>
      </c>
      <c r="Y57" s="38" t="str">
        <f>IF(AND(A57="Аппарат",C57&lt;&gt;"",OR($S$5="(все)",B57=$S$5)),MAX($Y$3:Y56)+1,"")</f>
        <v/>
      </c>
      <c r="Z57" s="38" t="str">
        <f t="shared" si="4"/>
        <v/>
      </c>
      <c r="AA57" s="38" t="str">
        <f>IF(AND(A57="Модуль",C57&lt;&gt;"",OR($S$6="(все)",B57=$S$6)),MAX($AA$3:AA56)+1,"")</f>
        <v/>
      </c>
      <c r="AB57" s="38" t="str">
        <f t="shared" si="5"/>
        <v/>
      </c>
      <c r="AC57" s="38" t="str">
        <f>IF(OR(B57="",COUNTIF($B$4:B57,B57)&gt;1),"",MAX($AC$3:AC56)+1)</f>
        <v/>
      </c>
      <c r="AD57" s="38" t="str">
        <f t="shared" si="6"/>
        <v/>
      </c>
      <c r="AE57" s="38">
        <f t="shared" si="7"/>
        <v>7057</v>
      </c>
      <c r="AF57" s="38">
        <f t="shared" si="8"/>
        <v>29</v>
      </c>
    </row>
    <row r="58" spans="1:32" x14ac:dyDescent="0.3">
      <c r="A58" s="74" t="s">
        <v>518</v>
      </c>
      <c r="B58" s="74" t="s">
        <v>304</v>
      </c>
      <c r="C58" s="74" t="s">
        <v>339</v>
      </c>
      <c r="D58" s="74"/>
      <c r="E58" s="74"/>
      <c r="F58" s="74"/>
      <c r="G58" s="74" t="s">
        <v>338</v>
      </c>
      <c r="H58" s="74" t="s">
        <v>339</v>
      </c>
      <c r="I58" s="74"/>
      <c r="J58" s="74"/>
      <c r="K58" s="74"/>
      <c r="L58" s="74"/>
      <c r="M58" s="74" t="s">
        <v>307</v>
      </c>
      <c r="N58" s="38" t="str">
        <f>IF(OR(A58="Автомат",A58="Дифавтомат"),IF(W58="","",COUNTIFS(Однолинейка!$H$3:$H$3000,U58,Однолинейка!$A$3:$A$3000,Щит_спец)),IF(A58="Аппарат",IF(C58="","",COUNTIFS(Однолинейка!$I$3:$I$3000,C58,Однолинейка!$A$3:$A$3000,Щит_спец)+COUNTIFS(Однолинейка!$J$3:$J$3000,C58,Однолинейка!$A$3:$A$3000,Щит_спец)+COUNTIFS(Однолинейка!$K$3:$K$3000,C58,Однолинейка!$A$3:$A$3000,Щит_спец)),IF(A58="Модуль",IF(C58="","",COUNTIFS(Однолинейка!$AW$3:$AW$3000,"?*",Однолинейка!$AI$3:$AI$3000,C58,Однолинейка!$A$3:$A$3000,Щит_спец)),IF(A58="Клемма",IF(C58="","",IF(C58=$S$7,SUMIFS(Однолинейка!$BW$3:$BW$3000,Однолинейка!$A$3:$A$3000,Щит_спец),IF(C58=$S$8,SUMIFS(Однолинейка!$BX$3:$BX$3000,Однолинейка!$A$3:$A$3000,Щит_спец),""))),""))))</f>
        <v/>
      </c>
      <c r="O58" s="74">
        <v>5</v>
      </c>
      <c r="P58" s="38">
        <f t="shared" si="0"/>
        <v>5</v>
      </c>
      <c r="U58" s="38" t="str">
        <f t="shared" si="1"/>
        <v/>
      </c>
      <c r="V58" s="38" t="str">
        <f t="shared" si="2"/>
        <v/>
      </c>
      <c r="W58" s="38" t="str">
        <f>IF(AND(U58&lt;&gt;"",OR($S$4="(все)",B58=$S$4),IF($S$4="(все)",COUNTIF($U$4:U58,U58),COUNTIFS($U$4:U58,U58,$B$4:B58,B58))=1),MAX($W$3:W57)+1,"")</f>
        <v/>
      </c>
      <c r="X58" s="38" t="str">
        <f t="shared" si="3"/>
        <v/>
      </c>
      <c r="Y58" s="38" t="str">
        <f>IF(AND(A58="Аппарат",C58&lt;&gt;"",OR($S$5="(все)",B58=$S$5)),MAX($Y$3:Y57)+1,"")</f>
        <v/>
      </c>
      <c r="Z58" s="38" t="str">
        <f t="shared" si="4"/>
        <v/>
      </c>
      <c r="AA58" s="38" t="str">
        <f>IF(AND(A58="Модуль",C58&lt;&gt;"",OR($S$6="(все)",B58=$S$6)),MAX($AA$3:AA57)+1,"")</f>
        <v/>
      </c>
      <c r="AB58" s="38" t="str">
        <f t="shared" si="5"/>
        <v/>
      </c>
      <c r="AC58" s="38" t="str">
        <f>IF(OR(B58="",COUNTIF($B$4:B58,B58)&gt;1),"",MAX($AC$3:AC57)+1)</f>
        <v/>
      </c>
      <c r="AD58" s="38" t="str">
        <f t="shared" si="6"/>
        <v/>
      </c>
      <c r="AE58" s="38">
        <f t="shared" si="7"/>
        <v>7058</v>
      </c>
      <c r="AF58" s="38">
        <f t="shared" si="8"/>
        <v>30</v>
      </c>
    </row>
    <row r="59" spans="1:32" x14ac:dyDescent="0.3">
      <c r="A59" s="74" t="s">
        <v>518</v>
      </c>
      <c r="B59" s="74" t="s">
        <v>304</v>
      </c>
      <c r="C59" s="74" t="s">
        <v>341</v>
      </c>
      <c r="D59" s="74"/>
      <c r="E59" s="74"/>
      <c r="F59" s="74"/>
      <c r="G59" s="74" t="s">
        <v>340</v>
      </c>
      <c r="H59" s="74" t="s">
        <v>341</v>
      </c>
      <c r="I59" s="74"/>
      <c r="J59" s="74"/>
      <c r="K59" s="74"/>
      <c r="L59" s="74"/>
      <c r="M59" s="74" t="s">
        <v>307</v>
      </c>
      <c r="N59" s="38" t="str">
        <f>IF(OR(A59="Автомат",A59="Дифавтомат"),IF(W59="","",COUNTIFS(Однолинейка!$H$3:$H$3000,U59,Однолинейка!$A$3:$A$3000,Щит_спец)),IF(A59="Аппарат",IF(C59="","",COUNTIFS(Однолинейка!$I$3:$I$3000,C59,Однолинейка!$A$3:$A$3000,Щит_спец)+COUNTIFS(Однолинейка!$J$3:$J$3000,C59,Однолинейка!$A$3:$A$3000,Щит_спец)+COUNTIFS(Однолинейка!$K$3:$K$3000,C59,Однолинейка!$A$3:$A$3000,Щит_спец)),IF(A59="Модуль",IF(C59="","",COUNTIFS(Однолинейка!$AW$3:$AW$3000,"?*",Однолинейка!$AI$3:$AI$3000,C59,Однолинейка!$A$3:$A$3000,Щит_спец)),IF(A59="Клемма",IF(C59="","",IF(C59=$S$7,SUMIFS(Однолинейка!$BW$3:$BW$3000,Однолинейка!$A$3:$A$3000,Щит_спец),IF(C59=$S$8,SUMIFS(Однолинейка!$BX$3:$BX$3000,Однолинейка!$A$3:$A$3000,Щит_спец),""))),""))))</f>
        <v/>
      </c>
      <c r="O59" s="74">
        <v>5</v>
      </c>
      <c r="P59" s="38">
        <f t="shared" si="0"/>
        <v>5</v>
      </c>
      <c r="U59" s="38" t="str">
        <f t="shared" si="1"/>
        <v/>
      </c>
      <c r="V59" s="38" t="str">
        <f t="shared" si="2"/>
        <v/>
      </c>
      <c r="W59" s="38" t="str">
        <f>IF(AND(U59&lt;&gt;"",OR($S$4="(все)",B59=$S$4),IF($S$4="(все)",COUNTIF($U$4:U59,U59),COUNTIFS($U$4:U59,U59,$B$4:B59,B59))=1),MAX($W$3:W58)+1,"")</f>
        <v/>
      </c>
      <c r="X59" s="38" t="str">
        <f t="shared" si="3"/>
        <v/>
      </c>
      <c r="Y59" s="38" t="str">
        <f>IF(AND(A59="Аппарат",C59&lt;&gt;"",OR($S$5="(все)",B59=$S$5)),MAX($Y$3:Y58)+1,"")</f>
        <v/>
      </c>
      <c r="Z59" s="38" t="str">
        <f t="shared" si="4"/>
        <v/>
      </c>
      <c r="AA59" s="38" t="str">
        <f>IF(AND(A59="Модуль",C59&lt;&gt;"",OR($S$6="(все)",B59=$S$6)),MAX($AA$3:AA58)+1,"")</f>
        <v/>
      </c>
      <c r="AB59" s="38" t="str">
        <f t="shared" si="5"/>
        <v/>
      </c>
      <c r="AC59" s="38" t="str">
        <f>IF(OR(B59="",COUNTIF($B$4:B59,B59)&gt;1),"",MAX($AC$3:AC58)+1)</f>
        <v/>
      </c>
      <c r="AD59" s="38" t="str">
        <f t="shared" si="6"/>
        <v/>
      </c>
      <c r="AE59" s="38">
        <f t="shared" si="7"/>
        <v>7059</v>
      </c>
      <c r="AF59" s="38">
        <f t="shared" si="8"/>
        <v>31</v>
      </c>
    </row>
    <row r="60" spans="1:32" x14ac:dyDescent="0.3">
      <c r="A60" s="74" t="s">
        <v>518</v>
      </c>
      <c r="B60" s="74" t="s">
        <v>304</v>
      </c>
      <c r="C60" s="74" t="s">
        <v>412</v>
      </c>
      <c r="D60" s="74"/>
      <c r="E60" s="74"/>
      <c r="F60" s="74"/>
      <c r="G60" s="74" t="s">
        <v>411</v>
      </c>
      <c r="H60" s="74" t="s">
        <v>412</v>
      </c>
      <c r="I60" s="74"/>
      <c r="J60" s="74"/>
      <c r="K60" s="74"/>
      <c r="L60" s="74"/>
      <c r="M60" s="74" t="s">
        <v>307</v>
      </c>
      <c r="N60" s="38" t="str">
        <f>IF(OR(A60="Автомат",A60="Дифавтомат"),IF(W60="","",COUNTIFS(Однолинейка!$H$3:$H$3000,U60,Однолинейка!$A$3:$A$3000,Щит_спец)),IF(A60="Аппарат",IF(C60="","",COUNTIFS(Однолинейка!$I$3:$I$3000,C60,Однолинейка!$A$3:$A$3000,Щит_спец)+COUNTIFS(Однолинейка!$J$3:$J$3000,C60,Однолинейка!$A$3:$A$3000,Щит_спец)+COUNTIFS(Однолинейка!$K$3:$K$3000,C60,Однолинейка!$A$3:$A$3000,Щит_спец)),IF(A60="Модуль",IF(C60="","",COUNTIFS(Однолинейка!$AW$3:$AW$3000,"?*",Однолинейка!$AI$3:$AI$3000,C60,Однолинейка!$A$3:$A$3000,Щит_спец)),IF(A60="Клемма",IF(C60="","",IF(C60=$S$7,SUMIFS(Однолинейка!$BW$3:$BW$3000,Однолинейка!$A$3:$A$3000,Щит_спец),IF(C60=$S$8,SUMIFS(Однолинейка!$BX$3:$BX$3000,Однолинейка!$A$3:$A$3000,Щит_спец),""))),""))))</f>
        <v/>
      </c>
      <c r="O60" s="74">
        <v>6</v>
      </c>
      <c r="P60" s="38">
        <f t="shared" si="0"/>
        <v>6</v>
      </c>
      <c r="U60" s="38" t="str">
        <f t="shared" si="1"/>
        <v/>
      </c>
      <c r="V60" s="38" t="str">
        <f t="shared" si="2"/>
        <v/>
      </c>
      <c r="W60" s="38" t="str">
        <f>IF(AND(U60&lt;&gt;"",OR($S$4="(все)",B60=$S$4),IF($S$4="(все)",COUNTIF($U$4:U60,U60),COUNTIFS($U$4:U60,U60,$B$4:B60,B60))=1),MAX($W$3:W59)+1,"")</f>
        <v/>
      </c>
      <c r="X60" s="38" t="str">
        <f t="shared" si="3"/>
        <v/>
      </c>
      <c r="Y60" s="38" t="str">
        <f>IF(AND(A60="Аппарат",C60&lt;&gt;"",OR($S$5="(все)",B60=$S$5)),MAX($Y$3:Y59)+1,"")</f>
        <v/>
      </c>
      <c r="Z60" s="38" t="str">
        <f t="shared" si="4"/>
        <v/>
      </c>
      <c r="AA60" s="38" t="str">
        <f>IF(AND(A60="Модуль",C60&lt;&gt;"",OR($S$6="(все)",B60=$S$6)),MAX($AA$3:AA59)+1,"")</f>
        <v/>
      </c>
      <c r="AB60" s="38" t="str">
        <f t="shared" si="5"/>
        <v/>
      </c>
      <c r="AC60" s="38" t="str">
        <f>IF(OR(B60="",COUNTIF($B$4:B60,B60)&gt;1),"",MAX($AC$3:AC59)+1)</f>
        <v/>
      </c>
      <c r="AD60" s="38" t="str">
        <f t="shared" si="6"/>
        <v/>
      </c>
      <c r="AE60" s="38">
        <f t="shared" si="7"/>
        <v>7060</v>
      </c>
      <c r="AF60" s="38">
        <f t="shared" si="8"/>
        <v>32</v>
      </c>
    </row>
    <row r="61" spans="1:32" x14ac:dyDescent="0.3">
      <c r="A61" s="74" t="s">
        <v>518</v>
      </c>
      <c r="B61" s="74" t="s">
        <v>304</v>
      </c>
      <c r="C61" s="74" t="s">
        <v>414</v>
      </c>
      <c r="D61" s="74"/>
      <c r="E61" s="74"/>
      <c r="F61" s="74"/>
      <c r="G61" s="74" t="s">
        <v>413</v>
      </c>
      <c r="H61" s="74" t="s">
        <v>414</v>
      </c>
      <c r="I61" s="74"/>
      <c r="J61" s="74"/>
      <c r="K61" s="74"/>
      <c r="L61" s="74"/>
      <c r="M61" s="74" t="s">
        <v>307</v>
      </c>
      <c r="N61" s="38" t="str">
        <f>IF(OR(A61="Автомат",A61="Дифавтомат"),IF(W61="","",COUNTIFS(Однолинейка!$H$3:$H$3000,U61,Однолинейка!$A$3:$A$3000,Щит_спец)),IF(A61="Аппарат",IF(C61="","",COUNTIFS(Однолинейка!$I$3:$I$3000,C61,Однолинейка!$A$3:$A$3000,Щит_спец)+COUNTIFS(Однолинейка!$J$3:$J$3000,C61,Однолинейка!$A$3:$A$3000,Щит_спец)+COUNTIFS(Однолинейка!$K$3:$K$3000,C61,Однолинейка!$A$3:$A$3000,Щит_спец)),IF(A61="Модуль",IF(C61="","",COUNTIFS(Однолинейка!$AW$3:$AW$3000,"?*",Однолинейка!$AI$3:$AI$3000,C61,Однолинейка!$A$3:$A$3000,Щит_спец)),IF(A61="Клемма",IF(C61="","",IF(C61=$S$7,SUMIFS(Однолинейка!$BW$3:$BW$3000,Однолинейка!$A$3:$A$3000,Щит_спец),IF(C61=$S$8,SUMIFS(Однолинейка!$BX$3:$BX$3000,Однолинейка!$A$3:$A$3000,Щит_спец),""))),""))))</f>
        <v/>
      </c>
      <c r="O61" s="74">
        <v>6</v>
      </c>
      <c r="P61" s="38">
        <f t="shared" si="0"/>
        <v>6</v>
      </c>
      <c r="U61" s="38" t="str">
        <f t="shared" si="1"/>
        <v/>
      </c>
      <c r="V61" s="38" t="str">
        <f t="shared" si="2"/>
        <v/>
      </c>
      <c r="W61" s="38" t="str">
        <f>IF(AND(U61&lt;&gt;"",OR($S$4="(все)",B61=$S$4),IF($S$4="(все)",COUNTIF($U$4:U61,U61),COUNTIFS($U$4:U61,U61,$B$4:B61,B61))=1),MAX($W$3:W60)+1,"")</f>
        <v/>
      </c>
      <c r="X61" s="38" t="str">
        <f t="shared" si="3"/>
        <v/>
      </c>
      <c r="Y61" s="38" t="str">
        <f>IF(AND(A61="Аппарат",C61&lt;&gt;"",OR($S$5="(все)",B61=$S$5)),MAX($Y$3:Y60)+1,"")</f>
        <v/>
      </c>
      <c r="Z61" s="38" t="str">
        <f t="shared" si="4"/>
        <v/>
      </c>
      <c r="AA61" s="38" t="str">
        <f>IF(AND(A61="Модуль",C61&lt;&gt;"",OR($S$6="(все)",B61=$S$6)),MAX($AA$3:AA60)+1,"")</f>
        <v/>
      </c>
      <c r="AB61" s="38" t="str">
        <f t="shared" si="5"/>
        <v/>
      </c>
      <c r="AC61" s="38" t="str">
        <f>IF(OR(B61="",COUNTIF($B$4:B61,B61)&gt;1),"",MAX($AC$3:AC60)+1)</f>
        <v/>
      </c>
      <c r="AD61" s="38" t="str">
        <f t="shared" si="6"/>
        <v/>
      </c>
      <c r="AE61" s="38">
        <f t="shared" si="7"/>
        <v>7061</v>
      </c>
      <c r="AF61" s="38">
        <f t="shared" si="8"/>
        <v>33</v>
      </c>
    </row>
    <row r="62" spans="1:32" x14ac:dyDescent="0.3">
      <c r="A62" s="74" t="s">
        <v>518</v>
      </c>
      <c r="B62" s="74" t="s">
        <v>304</v>
      </c>
      <c r="C62" s="74" t="s">
        <v>416</v>
      </c>
      <c r="D62" s="74"/>
      <c r="E62" s="74"/>
      <c r="F62" s="74"/>
      <c r="G62" s="74" t="s">
        <v>415</v>
      </c>
      <c r="H62" s="74" t="s">
        <v>416</v>
      </c>
      <c r="I62" s="74"/>
      <c r="J62" s="74"/>
      <c r="K62" s="74"/>
      <c r="L62" s="74"/>
      <c r="M62" s="74" t="s">
        <v>307</v>
      </c>
      <c r="N62" s="38" t="str">
        <f>IF(OR(A62="Автомат",A62="Дифавтомат"),IF(W62="","",COUNTIFS(Однолинейка!$H$3:$H$3000,U62,Однолинейка!$A$3:$A$3000,Щит_спец)),IF(A62="Аппарат",IF(C62="","",COUNTIFS(Однолинейка!$I$3:$I$3000,C62,Однолинейка!$A$3:$A$3000,Щит_спец)+COUNTIFS(Однолинейка!$J$3:$J$3000,C62,Однолинейка!$A$3:$A$3000,Щит_спец)+COUNTIFS(Однолинейка!$K$3:$K$3000,C62,Однолинейка!$A$3:$A$3000,Щит_спец)),IF(A62="Модуль",IF(C62="","",COUNTIFS(Однолинейка!$AW$3:$AW$3000,"?*",Однолинейка!$AI$3:$AI$3000,C62,Однолинейка!$A$3:$A$3000,Щит_спец)),IF(A62="Клемма",IF(C62="","",IF(C62=$S$7,SUMIFS(Однолинейка!$BW$3:$BW$3000,Однолинейка!$A$3:$A$3000,Щит_спец),IF(C62=$S$8,SUMIFS(Однолинейка!$BX$3:$BX$3000,Однолинейка!$A$3:$A$3000,Щит_спец),""))),""))))</f>
        <v/>
      </c>
      <c r="O62" s="74">
        <v>6</v>
      </c>
      <c r="P62" s="38">
        <f t="shared" si="0"/>
        <v>6</v>
      </c>
      <c r="U62" s="38" t="str">
        <f t="shared" si="1"/>
        <v/>
      </c>
      <c r="V62" s="38" t="str">
        <f t="shared" si="2"/>
        <v/>
      </c>
      <c r="W62" s="38" t="str">
        <f>IF(AND(U62&lt;&gt;"",OR($S$4="(все)",B62=$S$4),IF($S$4="(все)",COUNTIF($U$4:U62,U62),COUNTIFS($U$4:U62,U62,$B$4:B62,B62))=1),MAX($W$3:W61)+1,"")</f>
        <v/>
      </c>
      <c r="X62" s="38" t="str">
        <f t="shared" si="3"/>
        <v/>
      </c>
      <c r="Y62" s="38" t="str">
        <f>IF(AND(A62="Аппарат",C62&lt;&gt;"",OR($S$5="(все)",B62=$S$5)),MAX($Y$3:Y61)+1,"")</f>
        <v/>
      </c>
      <c r="Z62" s="38" t="str">
        <f t="shared" si="4"/>
        <v/>
      </c>
      <c r="AA62" s="38" t="str">
        <f>IF(AND(A62="Модуль",C62&lt;&gt;"",OR($S$6="(все)",B62=$S$6)),MAX($AA$3:AA61)+1,"")</f>
        <v/>
      </c>
      <c r="AB62" s="38" t="str">
        <f t="shared" si="5"/>
        <v/>
      </c>
      <c r="AC62" s="38" t="str">
        <f>IF(OR(B62="",COUNTIF($B$4:B62,B62)&gt;1),"",MAX($AC$3:AC61)+1)</f>
        <v/>
      </c>
      <c r="AD62" s="38" t="str">
        <f t="shared" si="6"/>
        <v/>
      </c>
      <c r="AE62" s="38">
        <f t="shared" si="7"/>
        <v>7062</v>
      </c>
      <c r="AF62" s="38">
        <f t="shared" si="8"/>
        <v>34</v>
      </c>
    </row>
    <row r="63" spans="1:32" x14ac:dyDescent="0.3">
      <c r="A63" s="74" t="s">
        <v>518</v>
      </c>
      <c r="B63" s="74" t="s">
        <v>304</v>
      </c>
      <c r="C63" s="74" t="s">
        <v>419</v>
      </c>
      <c r="D63" s="74"/>
      <c r="E63" s="74"/>
      <c r="F63" s="74"/>
      <c r="G63" s="74" t="s">
        <v>418</v>
      </c>
      <c r="H63" s="74" t="s">
        <v>419</v>
      </c>
      <c r="I63" s="74"/>
      <c r="J63" s="74"/>
      <c r="K63" s="74"/>
      <c r="L63" s="74"/>
      <c r="M63" s="74" t="s">
        <v>307</v>
      </c>
      <c r="N63" s="38" t="str">
        <f>IF(OR(A63="Автомат",A63="Дифавтомат"),IF(W63="","",COUNTIFS(Однолинейка!$H$3:$H$3000,U63,Однолинейка!$A$3:$A$3000,Щит_спец)),IF(A63="Аппарат",IF(C63="","",COUNTIFS(Однолинейка!$I$3:$I$3000,C63,Однолинейка!$A$3:$A$3000,Щит_спец)+COUNTIFS(Однолинейка!$J$3:$J$3000,C63,Однолинейка!$A$3:$A$3000,Щит_спец)+COUNTIFS(Однолинейка!$K$3:$K$3000,C63,Однолинейка!$A$3:$A$3000,Щит_спец)),IF(A63="Модуль",IF(C63="","",COUNTIFS(Однолинейка!$AW$3:$AW$3000,"?*",Однолинейка!$AI$3:$AI$3000,C63,Однолинейка!$A$3:$A$3000,Щит_спец)),IF(A63="Клемма",IF(C63="","",IF(C63=$S$7,SUMIFS(Однолинейка!$BW$3:$BW$3000,Однолинейка!$A$3:$A$3000,Щит_спец),IF(C63=$S$8,SUMIFS(Однолинейка!$BX$3:$BX$3000,Однолинейка!$A$3:$A$3000,Щит_спец),""))),""))))</f>
        <v/>
      </c>
      <c r="O63" s="74">
        <v>1</v>
      </c>
      <c r="P63" s="38">
        <f t="shared" si="0"/>
        <v>1</v>
      </c>
      <c r="U63" s="38" t="str">
        <f t="shared" si="1"/>
        <v/>
      </c>
      <c r="V63" s="38" t="str">
        <f t="shared" si="2"/>
        <v/>
      </c>
      <c r="W63" s="38" t="str">
        <f>IF(AND(U63&lt;&gt;"",OR($S$4="(все)",B63=$S$4),IF($S$4="(все)",COUNTIF($U$4:U63,U63),COUNTIFS($U$4:U63,U63,$B$4:B63,B63))=1),MAX($W$3:W62)+1,"")</f>
        <v/>
      </c>
      <c r="X63" s="38" t="str">
        <f t="shared" si="3"/>
        <v/>
      </c>
      <c r="Y63" s="38" t="str">
        <f>IF(AND(A63="Аппарат",C63&lt;&gt;"",OR($S$5="(все)",B63=$S$5)),MAX($Y$3:Y62)+1,"")</f>
        <v/>
      </c>
      <c r="Z63" s="38" t="str">
        <f t="shared" si="4"/>
        <v/>
      </c>
      <c r="AA63" s="38" t="str">
        <f>IF(AND(A63="Модуль",C63&lt;&gt;"",OR($S$6="(все)",B63=$S$6)),MAX($AA$3:AA62)+1,"")</f>
        <v/>
      </c>
      <c r="AB63" s="38" t="str">
        <f t="shared" si="5"/>
        <v/>
      </c>
      <c r="AC63" s="38" t="str">
        <f>IF(OR(B63="",COUNTIF($B$4:B63,B63)&gt;1),"",MAX($AC$3:AC62)+1)</f>
        <v/>
      </c>
      <c r="AD63" s="38" t="str">
        <f t="shared" si="6"/>
        <v/>
      </c>
      <c r="AE63" s="38">
        <f t="shared" si="7"/>
        <v>7063</v>
      </c>
      <c r="AF63" s="38">
        <f t="shared" si="8"/>
        <v>35</v>
      </c>
    </row>
    <row r="64" spans="1:32" x14ac:dyDescent="0.3">
      <c r="A64" s="74" t="s">
        <v>518</v>
      </c>
      <c r="B64" s="74" t="s">
        <v>304</v>
      </c>
      <c r="C64" s="74" t="s">
        <v>421</v>
      </c>
      <c r="D64" s="74"/>
      <c r="E64" s="74"/>
      <c r="F64" s="74"/>
      <c r="G64" s="74" t="s">
        <v>420</v>
      </c>
      <c r="H64" s="74" t="s">
        <v>421</v>
      </c>
      <c r="I64" s="74"/>
      <c r="J64" s="74"/>
      <c r="K64" s="74"/>
      <c r="L64" s="74"/>
      <c r="M64" s="74" t="s">
        <v>307</v>
      </c>
      <c r="N64" s="38" t="str">
        <f>IF(OR(A64="Автомат",A64="Дифавтомат"),IF(W64="","",COUNTIFS(Однолинейка!$H$3:$H$3000,U64,Однолинейка!$A$3:$A$3000,Щит_спец)),IF(A64="Аппарат",IF(C64="","",COUNTIFS(Однолинейка!$I$3:$I$3000,C64,Однолинейка!$A$3:$A$3000,Щит_спец)+COUNTIFS(Однолинейка!$J$3:$J$3000,C64,Однолинейка!$A$3:$A$3000,Щит_спец)+COUNTIFS(Однолинейка!$K$3:$K$3000,C64,Однолинейка!$A$3:$A$3000,Щит_спец)),IF(A64="Модуль",IF(C64="","",COUNTIFS(Однолинейка!$AW$3:$AW$3000,"?*",Однолинейка!$AI$3:$AI$3000,C64,Однолинейка!$A$3:$A$3000,Щит_спец)),IF(A64="Клемма",IF(C64="","",IF(C64=$S$7,SUMIFS(Однолинейка!$BW$3:$BW$3000,Однолинейка!$A$3:$A$3000,Щит_спец),IF(C64=$S$8,SUMIFS(Однолинейка!$BX$3:$BX$3000,Однолинейка!$A$3:$A$3000,Щит_спец),""))),""))))</f>
        <v/>
      </c>
      <c r="O64" s="74">
        <v>1</v>
      </c>
      <c r="P64" s="38">
        <f t="shared" si="0"/>
        <v>1</v>
      </c>
      <c r="U64" s="38" t="str">
        <f t="shared" si="1"/>
        <v/>
      </c>
      <c r="V64" s="38" t="str">
        <f t="shared" si="2"/>
        <v/>
      </c>
      <c r="W64" s="38" t="str">
        <f>IF(AND(U64&lt;&gt;"",OR($S$4="(все)",B64=$S$4),IF($S$4="(все)",COUNTIF($U$4:U64,U64),COUNTIFS($U$4:U64,U64,$B$4:B64,B64))=1),MAX($W$3:W63)+1,"")</f>
        <v/>
      </c>
      <c r="X64" s="38" t="str">
        <f t="shared" si="3"/>
        <v/>
      </c>
      <c r="Y64" s="38" t="str">
        <f>IF(AND(A64="Аппарат",C64&lt;&gt;"",OR($S$5="(все)",B64=$S$5)),MAX($Y$3:Y63)+1,"")</f>
        <v/>
      </c>
      <c r="Z64" s="38" t="str">
        <f t="shared" si="4"/>
        <v/>
      </c>
      <c r="AA64" s="38" t="str">
        <f>IF(AND(A64="Модуль",C64&lt;&gt;"",OR($S$6="(все)",B64=$S$6)),MAX($AA$3:AA63)+1,"")</f>
        <v/>
      </c>
      <c r="AB64" s="38" t="str">
        <f t="shared" si="5"/>
        <v/>
      </c>
      <c r="AC64" s="38" t="str">
        <f>IF(OR(B64="",COUNTIF($B$4:B64,B64)&gt;1),"",MAX($AC$3:AC63)+1)</f>
        <v/>
      </c>
      <c r="AD64" s="38" t="str">
        <f t="shared" si="6"/>
        <v/>
      </c>
      <c r="AE64" s="38">
        <f t="shared" si="7"/>
        <v>7064</v>
      </c>
      <c r="AF64" s="38">
        <f t="shared" si="8"/>
        <v>36</v>
      </c>
    </row>
    <row r="65" spans="1:32" x14ac:dyDescent="0.3">
      <c r="A65" s="74" t="s">
        <v>518</v>
      </c>
      <c r="B65" s="74" t="s">
        <v>304</v>
      </c>
      <c r="C65" s="74" t="s">
        <v>423</v>
      </c>
      <c r="D65" s="74"/>
      <c r="E65" s="74"/>
      <c r="F65" s="74"/>
      <c r="G65" s="74" t="s">
        <v>422</v>
      </c>
      <c r="H65" s="74" t="s">
        <v>423</v>
      </c>
      <c r="I65" s="74"/>
      <c r="J65" s="74"/>
      <c r="K65" s="74"/>
      <c r="L65" s="74"/>
      <c r="M65" s="74" t="s">
        <v>307</v>
      </c>
      <c r="N65" s="38" t="str">
        <f>IF(OR(A65="Автомат",A65="Дифавтомат"),IF(W65="","",COUNTIFS(Однолинейка!$H$3:$H$3000,U65,Однолинейка!$A$3:$A$3000,Щит_спец)),IF(A65="Аппарат",IF(C65="","",COUNTIFS(Однолинейка!$I$3:$I$3000,C65,Однолинейка!$A$3:$A$3000,Щит_спец)+COUNTIFS(Однолинейка!$J$3:$J$3000,C65,Однолинейка!$A$3:$A$3000,Щит_спец)+COUNTIFS(Однолинейка!$K$3:$K$3000,C65,Однолинейка!$A$3:$A$3000,Щит_спец)),IF(A65="Модуль",IF(C65="","",COUNTIFS(Однолинейка!$AW$3:$AW$3000,"?*",Однолинейка!$AI$3:$AI$3000,C65,Однолинейка!$A$3:$A$3000,Щит_спец)),IF(A65="Клемма",IF(C65="","",IF(C65=$S$7,SUMIFS(Однолинейка!$BW$3:$BW$3000,Однолинейка!$A$3:$A$3000,Щит_спец),IF(C65=$S$8,SUMIFS(Однолинейка!$BX$3:$BX$3000,Однолинейка!$A$3:$A$3000,Щит_спец),""))),""))))</f>
        <v/>
      </c>
      <c r="O65" s="74">
        <v>1</v>
      </c>
      <c r="P65" s="38">
        <f t="shared" si="0"/>
        <v>1</v>
      </c>
      <c r="U65" s="38" t="str">
        <f t="shared" si="1"/>
        <v/>
      </c>
      <c r="V65" s="38" t="str">
        <f t="shared" si="2"/>
        <v/>
      </c>
      <c r="W65" s="38" t="str">
        <f>IF(AND(U65&lt;&gt;"",OR($S$4="(все)",B65=$S$4),IF($S$4="(все)",COUNTIF($U$4:U65,U65),COUNTIFS($U$4:U65,U65,$B$4:B65,B65))=1),MAX($W$3:W64)+1,"")</f>
        <v/>
      </c>
      <c r="X65" s="38" t="str">
        <f t="shared" si="3"/>
        <v/>
      </c>
      <c r="Y65" s="38" t="str">
        <f>IF(AND(A65="Аппарат",C65&lt;&gt;"",OR($S$5="(все)",B65=$S$5)),MAX($Y$3:Y64)+1,"")</f>
        <v/>
      </c>
      <c r="Z65" s="38" t="str">
        <f t="shared" si="4"/>
        <v/>
      </c>
      <c r="AA65" s="38" t="str">
        <f>IF(AND(A65="Модуль",C65&lt;&gt;"",OR($S$6="(все)",B65=$S$6)),MAX($AA$3:AA64)+1,"")</f>
        <v/>
      </c>
      <c r="AB65" s="38" t="str">
        <f t="shared" si="5"/>
        <v/>
      </c>
      <c r="AC65" s="38" t="str">
        <f>IF(OR(B65="",COUNTIF($B$4:B65,B65)&gt;1),"",MAX($AC$3:AC64)+1)</f>
        <v/>
      </c>
      <c r="AD65" s="38" t="str">
        <f t="shared" si="6"/>
        <v/>
      </c>
      <c r="AE65" s="38">
        <f t="shared" si="7"/>
        <v>7065</v>
      </c>
      <c r="AF65" s="38">
        <f t="shared" si="8"/>
        <v>37</v>
      </c>
    </row>
    <row r="66" spans="1:32" x14ac:dyDescent="0.3">
      <c r="A66" s="74" t="s">
        <v>518</v>
      </c>
      <c r="B66" s="74" t="s">
        <v>304</v>
      </c>
      <c r="C66" s="74" t="s">
        <v>346</v>
      </c>
      <c r="D66" s="74"/>
      <c r="E66" s="74"/>
      <c r="F66" s="74"/>
      <c r="G66" s="74" t="s">
        <v>345</v>
      </c>
      <c r="H66" s="74" t="s">
        <v>346</v>
      </c>
      <c r="I66" s="74"/>
      <c r="J66" s="74"/>
      <c r="K66" s="74"/>
      <c r="L66" s="74"/>
      <c r="M66" s="74" t="s">
        <v>307</v>
      </c>
      <c r="N66" s="38" t="str">
        <f>IF(OR(A66="Автомат",A66="Дифавтомат"),IF(W66="","",COUNTIFS(Однолинейка!$H$3:$H$3000,U66,Однолинейка!$A$3:$A$3000,Щит_спец)),IF(A66="Аппарат",IF(C66="","",COUNTIFS(Однолинейка!$I$3:$I$3000,C66,Однолинейка!$A$3:$A$3000,Щит_спец)+COUNTIFS(Однолинейка!$J$3:$J$3000,C66,Однолинейка!$A$3:$A$3000,Щит_спец)+COUNTIFS(Однолинейка!$K$3:$K$3000,C66,Однолинейка!$A$3:$A$3000,Щит_спец)),IF(A66="Модуль",IF(C66="","",COUNTIFS(Однолинейка!$AW$3:$AW$3000,"?*",Однолинейка!$AI$3:$AI$3000,C66,Однолинейка!$A$3:$A$3000,Щит_спец)),IF(A66="Клемма",IF(C66="","",IF(C66=$S$7,SUMIFS(Однолинейка!$BW$3:$BW$3000,Однолинейка!$A$3:$A$3000,Щит_спец),IF(C66=$S$8,SUMIFS(Однолинейка!$BX$3:$BX$3000,Однолинейка!$A$3:$A$3000,Щит_спец),""))),""))))</f>
        <v/>
      </c>
      <c r="O66" s="74">
        <v>20</v>
      </c>
      <c r="P66" s="38">
        <f t="shared" si="0"/>
        <v>20</v>
      </c>
      <c r="U66" s="38" t="str">
        <f t="shared" si="1"/>
        <v/>
      </c>
      <c r="V66" s="38" t="str">
        <f t="shared" si="2"/>
        <v/>
      </c>
      <c r="W66" s="38" t="str">
        <f>IF(AND(U66&lt;&gt;"",OR($S$4="(все)",B66=$S$4),IF($S$4="(все)",COUNTIF($U$4:U66,U66),COUNTIFS($U$4:U66,U66,$B$4:B66,B66))=1),MAX($W$3:W65)+1,"")</f>
        <v/>
      </c>
      <c r="X66" s="38" t="str">
        <f t="shared" si="3"/>
        <v/>
      </c>
      <c r="Y66" s="38" t="str">
        <f>IF(AND(A66="Аппарат",C66&lt;&gt;"",OR($S$5="(все)",B66=$S$5)),MAX($Y$3:Y65)+1,"")</f>
        <v/>
      </c>
      <c r="Z66" s="38" t="str">
        <f t="shared" si="4"/>
        <v/>
      </c>
      <c r="AA66" s="38" t="str">
        <f>IF(AND(A66="Модуль",C66&lt;&gt;"",OR($S$6="(все)",B66=$S$6)),MAX($AA$3:AA65)+1,"")</f>
        <v/>
      </c>
      <c r="AB66" s="38" t="str">
        <f t="shared" si="5"/>
        <v/>
      </c>
      <c r="AC66" s="38" t="str">
        <f>IF(OR(B66="",COUNTIF($B$4:B66,B66)&gt;1),"",MAX($AC$3:AC65)+1)</f>
        <v/>
      </c>
      <c r="AD66" s="38" t="str">
        <f t="shared" si="6"/>
        <v/>
      </c>
      <c r="AE66" s="38">
        <f t="shared" si="7"/>
        <v>7066</v>
      </c>
      <c r="AF66" s="38">
        <f t="shared" si="8"/>
        <v>38</v>
      </c>
    </row>
    <row r="67" spans="1:32" x14ac:dyDescent="0.3">
      <c r="A67" s="74" t="s">
        <v>518</v>
      </c>
      <c r="B67" s="74" t="s">
        <v>304</v>
      </c>
      <c r="C67" s="74" t="s">
        <v>348</v>
      </c>
      <c r="D67" s="74"/>
      <c r="E67" s="74"/>
      <c r="F67" s="74"/>
      <c r="G67" s="74" t="s">
        <v>347</v>
      </c>
      <c r="H67" s="74" t="s">
        <v>348</v>
      </c>
      <c r="I67" s="74"/>
      <c r="J67" s="74"/>
      <c r="K67" s="74"/>
      <c r="L67" s="74"/>
      <c r="M67" s="74" t="s">
        <v>307</v>
      </c>
      <c r="N67" s="38" t="str">
        <f>IF(OR(A67="Автомат",A67="Дифавтомат"),IF(W67="","",COUNTIFS(Однолинейка!$H$3:$H$3000,U67,Однолинейка!$A$3:$A$3000,Щит_спец)),IF(A67="Аппарат",IF(C67="","",COUNTIFS(Однолинейка!$I$3:$I$3000,C67,Однолинейка!$A$3:$A$3000,Щит_спец)+COUNTIFS(Однолинейка!$J$3:$J$3000,C67,Однолинейка!$A$3:$A$3000,Щит_спец)+COUNTIFS(Однолинейка!$K$3:$K$3000,C67,Однолинейка!$A$3:$A$3000,Щит_спец)),IF(A67="Модуль",IF(C67="","",COUNTIFS(Однолинейка!$AW$3:$AW$3000,"?*",Однолинейка!$AI$3:$AI$3000,C67,Однолинейка!$A$3:$A$3000,Щит_спец)),IF(A67="Клемма",IF(C67="","",IF(C67=$S$7,SUMIFS(Однолинейка!$BW$3:$BW$3000,Однолинейка!$A$3:$A$3000,Щит_спец),IF(C67=$S$8,SUMIFS(Однолинейка!$BX$3:$BX$3000,Однолинейка!$A$3:$A$3000,Щит_спец),""))),""))))</f>
        <v/>
      </c>
      <c r="O67" s="74">
        <v>20</v>
      </c>
      <c r="P67" s="38">
        <f t="shared" si="0"/>
        <v>20</v>
      </c>
      <c r="U67" s="38" t="str">
        <f t="shared" si="1"/>
        <v/>
      </c>
      <c r="V67" s="38" t="str">
        <f t="shared" si="2"/>
        <v/>
      </c>
      <c r="W67" s="38" t="str">
        <f>IF(AND(U67&lt;&gt;"",OR($S$4="(все)",B67=$S$4),IF($S$4="(все)",COUNTIF($U$4:U67,U67),COUNTIFS($U$4:U67,U67,$B$4:B67,B67))=1),MAX($W$3:W66)+1,"")</f>
        <v/>
      </c>
      <c r="X67" s="38" t="str">
        <f t="shared" si="3"/>
        <v/>
      </c>
      <c r="Y67" s="38" t="str">
        <f>IF(AND(A67="Аппарат",C67&lt;&gt;"",OR($S$5="(все)",B67=$S$5)),MAX($Y$3:Y66)+1,"")</f>
        <v/>
      </c>
      <c r="Z67" s="38" t="str">
        <f t="shared" si="4"/>
        <v/>
      </c>
      <c r="AA67" s="38" t="str">
        <f>IF(AND(A67="Модуль",C67&lt;&gt;"",OR($S$6="(все)",B67=$S$6)),MAX($AA$3:AA66)+1,"")</f>
        <v/>
      </c>
      <c r="AB67" s="38" t="str">
        <f t="shared" si="5"/>
        <v/>
      </c>
      <c r="AC67" s="38" t="str">
        <f>IF(OR(B67="",COUNTIF($B$4:B67,B67)&gt;1),"",MAX($AC$3:AC66)+1)</f>
        <v/>
      </c>
      <c r="AD67" s="38" t="str">
        <f t="shared" si="6"/>
        <v/>
      </c>
      <c r="AE67" s="38">
        <f t="shared" si="7"/>
        <v>7067</v>
      </c>
      <c r="AF67" s="38">
        <f t="shared" si="8"/>
        <v>39</v>
      </c>
    </row>
    <row r="68" spans="1:32" x14ac:dyDescent="0.3">
      <c r="A68" s="74" t="s">
        <v>937</v>
      </c>
      <c r="B68" s="74" t="s">
        <v>351</v>
      </c>
      <c r="C68" s="74" t="s">
        <v>350</v>
      </c>
      <c r="D68" s="74"/>
      <c r="E68" s="74"/>
      <c r="F68" s="74"/>
      <c r="G68" s="74" t="s">
        <v>349</v>
      </c>
      <c r="H68" s="74" t="s">
        <v>350</v>
      </c>
      <c r="I68" s="74"/>
      <c r="J68" s="74"/>
      <c r="K68" s="74"/>
      <c r="L68" s="74"/>
      <c r="M68" s="74" t="s">
        <v>352</v>
      </c>
      <c r="N68" s="38" t="str">
        <f>IF(OR(A68="Автомат",A68="Дифавтомат"),IF(W68="","",COUNTIFS(Однолинейка!$H$3:$H$3000,U68,Однолинейка!$A$3:$A$3000,Щит_спец)),IF(A68="Аппарат",IF(C68="","",COUNTIFS(Однолинейка!$I$3:$I$3000,C68,Однолинейка!$A$3:$A$3000,Щит_спец)+COUNTIFS(Однолинейка!$J$3:$J$3000,C68,Однолинейка!$A$3:$A$3000,Щит_спец)+COUNTIFS(Однолинейка!$K$3:$K$3000,C68,Однолинейка!$A$3:$A$3000,Щит_спец)),IF(A68="Модуль",IF(C68="","",COUNTIFS(Однолинейка!$AW$3:$AW$3000,"?*",Однолинейка!$AI$3:$AI$3000,C68,Однолинейка!$A$3:$A$3000,Щит_спец)),IF(A68="Клемма",IF(C68="","",IF(C68=$S$7,SUMIFS(Однолинейка!$BW$3:$BW$3000,Однолинейка!$A$3:$A$3000,Щит_спец),IF(C68=$S$8,SUMIFS(Однолинейка!$BX$3:$BX$3000,Однолинейка!$A$3:$A$3000,Щит_спец),""))),""))))</f>
        <v/>
      </c>
      <c r="O68" s="74">
        <v>150</v>
      </c>
      <c r="P68" s="38">
        <f t="shared" ref="P68:P131" si="9">IF(COUNT(N68,O68)=0,"",SUM(N68,O68))</f>
        <v>150</v>
      </c>
      <c r="U68" s="38" t="str">
        <f t="shared" ref="U68:U131" si="10">IF(OR(A68="Автомат",A68="Дифавтомат"),I68&amp;" С"&amp;J68&amp;"А"&amp;IF(K68="да"," 30мА",IF(ISNUMBER(K68)," "&amp;K68&amp;"мА","")),"")</f>
        <v/>
      </c>
      <c r="V68" s="38" t="str">
        <f t="shared" ref="V68:V131" si="11">IF(U68="","",B68&amp;"|"&amp;U68)</f>
        <v/>
      </c>
      <c r="W68" s="38" t="str">
        <f>IF(AND(U68&lt;&gt;"",OR($S$4="(все)",B68=$S$4),IF($S$4="(все)",COUNTIF($U$4:U68,U68),COUNTIFS($U$4:U68,U68,$B$4:B68,B68))=1),MAX($W$3:W67)+1,"")</f>
        <v/>
      </c>
      <c r="X68" s="38" t="str">
        <f t="shared" ref="X68:X131" si="12">IFERROR(INDEX($U$4:$U$500,MATCH(ROW()-3,$W$4:$W$500,0)),"")</f>
        <v/>
      </c>
      <c r="Y68" s="38" t="str">
        <f>IF(AND(A68="Аппарат",C68&lt;&gt;"",OR($S$5="(все)",B68=$S$5)),MAX($Y$3:Y67)+1,"")</f>
        <v/>
      </c>
      <c r="Z68" s="38" t="str">
        <f t="shared" ref="Z68:Z131" si="13">IFERROR(INDEX($C$4:$C$500,MATCH(ROW()-3,$Y$4:$Y$500,0)),"")</f>
        <v/>
      </c>
      <c r="AA68" s="38" t="str">
        <f>IF(AND(A68="Модуль",C68&lt;&gt;"",OR($S$6="(все)",B68=$S$6)),MAX($AA$3:AA67)+1,"")</f>
        <v/>
      </c>
      <c r="AB68" s="38" t="str">
        <f t="shared" ref="AB68:AB131" si="14">IFERROR(INDEX($C$4:$C$500,MATCH(ROW()-3,$AA$4:$AA$500,0)),"")</f>
        <v/>
      </c>
      <c r="AC68" s="38">
        <f>IF(OR(B68="",COUNTIF($B$4:B68,B68)&gt;1),"",MAX($AC$3:AC67)+1)</f>
        <v>8</v>
      </c>
      <c r="AD68" s="38" t="str">
        <f t="shared" ref="AD68:AD131" si="15">IFERROR(INDEX($B$4:$B$500,MATCH(ROW()-3,$AC$4:$AC$500,0)),"")</f>
        <v/>
      </c>
      <c r="AE68" s="38">
        <f t="shared" ref="AE68:AE131" si="16">IF(AND(A68&lt;&gt;"",N(P68)&gt;0),IFERROR(MATCH(A68,$R$12:$R$25,0),99)*1000+ROW(),"")</f>
        <v>8068</v>
      </c>
      <c r="AF68" s="38">
        <f t="shared" ref="AF68:AF131" si="17">IF(AE68="","",COUNTIF($AE$4:$AE$500,"&lt;="&amp;AE68))</f>
        <v>40</v>
      </c>
    </row>
    <row r="69" spans="1:32" x14ac:dyDescent="0.3">
      <c r="A69" s="74" t="s">
        <v>937</v>
      </c>
      <c r="B69" s="74" t="s">
        <v>351</v>
      </c>
      <c r="C69" s="74" t="s">
        <v>350</v>
      </c>
      <c r="D69" s="74"/>
      <c r="E69" s="74"/>
      <c r="F69" s="74"/>
      <c r="G69" s="74" t="s">
        <v>353</v>
      </c>
      <c r="H69" s="74" t="s">
        <v>350</v>
      </c>
      <c r="I69" s="74"/>
      <c r="J69" s="74"/>
      <c r="K69" s="74"/>
      <c r="L69" s="74"/>
      <c r="M69" s="74" t="s">
        <v>352</v>
      </c>
      <c r="N69" s="38" t="str">
        <f>IF(OR(A69="Автомат",A69="Дифавтомат"),IF(W69="","",COUNTIFS(Однолинейка!$H$3:$H$3000,U69,Однолинейка!$A$3:$A$3000,Щит_спец)),IF(A69="Аппарат",IF(C69="","",COUNTIFS(Однолинейка!$I$3:$I$3000,C69,Однолинейка!$A$3:$A$3000,Щит_спец)+COUNTIFS(Однолинейка!$J$3:$J$3000,C69,Однолинейка!$A$3:$A$3000,Щит_спец)+COUNTIFS(Однолинейка!$K$3:$K$3000,C69,Однолинейка!$A$3:$A$3000,Щит_спец)),IF(A69="Модуль",IF(C69="","",COUNTIFS(Однолинейка!$AW$3:$AW$3000,"?*",Однолинейка!$AI$3:$AI$3000,C69,Однолинейка!$A$3:$A$3000,Щит_спец)),IF(A69="Клемма",IF(C69="","",IF(C69=$S$7,SUMIFS(Однолинейка!$BW$3:$BW$3000,Однолинейка!$A$3:$A$3000,Щит_спец),IF(C69=$S$8,SUMIFS(Однолинейка!$BX$3:$BX$3000,Однолинейка!$A$3:$A$3000,Щит_спец),""))),""))))</f>
        <v/>
      </c>
      <c r="O69" s="74">
        <v>150</v>
      </c>
      <c r="P69" s="38">
        <f t="shared" si="9"/>
        <v>150</v>
      </c>
      <c r="U69" s="38" t="str">
        <f t="shared" si="10"/>
        <v/>
      </c>
      <c r="V69" s="38" t="str">
        <f t="shared" si="11"/>
        <v/>
      </c>
      <c r="W69" s="38" t="str">
        <f>IF(AND(U69&lt;&gt;"",OR($S$4="(все)",B69=$S$4),IF($S$4="(все)",COUNTIF($U$4:U69,U69),COUNTIFS($U$4:U69,U69,$B$4:B69,B69))=1),MAX($W$3:W68)+1,"")</f>
        <v/>
      </c>
      <c r="X69" s="38" t="str">
        <f t="shared" si="12"/>
        <v/>
      </c>
      <c r="Y69" s="38" t="str">
        <f>IF(AND(A69="Аппарат",C69&lt;&gt;"",OR($S$5="(все)",B69=$S$5)),MAX($Y$3:Y68)+1,"")</f>
        <v/>
      </c>
      <c r="Z69" s="38" t="str">
        <f t="shared" si="13"/>
        <v/>
      </c>
      <c r="AA69" s="38" t="str">
        <f>IF(AND(A69="Модуль",C69&lt;&gt;"",OR($S$6="(все)",B69=$S$6)),MAX($AA$3:AA68)+1,"")</f>
        <v/>
      </c>
      <c r="AB69" s="38" t="str">
        <f t="shared" si="14"/>
        <v/>
      </c>
      <c r="AC69" s="38" t="str">
        <f>IF(OR(B69="",COUNTIF($B$4:B69,B69)&gt;1),"",MAX($AC$3:AC68)+1)</f>
        <v/>
      </c>
      <c r="AD69" s="38" t="str">
        <f t="shared" si="15"/>
        <v/>
      </c>
      <c r="AE69" s="38">
        <f t="shared" si="16"/>
        <v>8069</v>
      </c>
      <c r="AF69" s="38">
        <f t="shared" si="17"/>
        <v>41</v>
      </c>
    </row>
    <row r="70" spans="1:32" x14ac:dyDescent="0.3">
      <c r="A70" s="74" t="s">
        <v>937</v>
      </c>
      <c r="B70" s="74" t="s">
        <v>351</v>
      </c>
      <c r="C70" s="74" t="s">
        <v>350</v>
      </c>
      <c r="D70" s="74"/>
      <c r="E70" s="74"/>
      <c r="F70" s="74"/>
      <c r="G70" s="74" t="s">
        <v>354</v>
      </c>
      <c r="H70" s="74" t="s">
        <v>350</v>
      </c>
      <c r="I70" s="74"/>
      <c r="J70" s="74"/>
      <c r="K70" s="74"/>
      <c r="L70" s="74"/>
      <c r="M70" s="74" t="s">
        <v>352</v>
      </c>
      <c r="N70" s="38" t="str">
        <f>IF(OR(A70="Автомат",A70="Дифавтомат"),IF(W70="","",COUNTIFS(Однолинейка!$H$3:$H$3000,U70,Однолинейка!$A$3:$A$3000,Щит_спец)),IF(A70="Аппарат",IF(C70="","",COUNTIFS(Однолинейка!$I$3:$I$3000,C70,Однолинейка!$A$3:$A$3000,Щит_спец)+COUNTIFS(Однолинейка!$J$3:$J$3000,C70,Однолинейка!$A$3:$A$3000,Щит_спец)+COUNTIFS(Однолинейка!$K$3:$K$3000,C70,Однолинейка!$A$3:$A$3000,Щит_спец)),IF(A70="Модуль",IF(C70="","",COUNTIFS(Однолинейка!$AW$3:$AW$3000,"?*",Однолинейка!$AI$3:$AI$3000,C70,Однолинейка!$A$3:$A$3000,Щит_спец)),IF(A70="Клемма",IF(C70="","",IF(C70=$S$7,SUMIFS(Однолинейка!$BW$3:$BW$3000,Однолинейка!$A$3:$A$3000,Щит_спец),IF(C70=$S$8,SUMIFS(Однолинейка!$BX$3:$BX$3000,Однолинейка!$A$3:$A$3000,Щит_спец),""))),""))))</f>
        <v/>
      </c>
      <c r="O70" s="74">
        <v>150</v>
      </c>
      <c r="P70" s="38">
        <f t="shared" si="9"/>
        <v>150</v>
      </c>
      <c r="U70" s="38" t="str">
        <f t="shared" si="10"/>
        <v/>
      </c>
      <c r="V70" s="38" t="str">
        <f t="shared" si="11"/>
        <v/>
      </c>
      <c r="W70" s="38" t="str">
        <f>IF(AND(U70&lt;&gt;"",OR($S$4="(все)",B70=$S$4),IF($S$4="(все)",COUNTIF($U$4:U70,U70),COUNTIFS($U$4:U70,U70,$B$4:B70,B70))=1),MAX($W$3:W69)+1,"")</f>
        <v/>
      </c>
      <c r="X70" s="38" t="str">
        <f t="shared" si="12"/>
        <v/>
      </c>
      <c r="Y70" s="38" t="str">
        <f>IF(AND(A70="Аппарат",C70&lt;&gt;"",OR($S$5="(все)",B70=$S$5)),MAX($Y$3:Y69)+1,"")</f>
        <v/>
      </c>
      <c r="Z70" s="38" t="str">
        <f t="shared" si="13"/>
        <v/>
      </c>
      <c r="AA70" s="38" t="str">
        <f>IF(AND(A70="Модуль",C70&lt;&gt;"",OR($S$6="(все)",B70=$S$6)),MAX($AA$3:AA69)+1,"")</f>
        <v/>
      </c>
      <c r="AB70" s="38" t="str">
        <f t="shared" si="14"/>
        <v/>
      </c>
      <c r="AC70" s="38" t="str">
        <f>IF(OR(B70="",COUNTIF($B$4:B70,B70)&gt;1),"",MAX($AC$3:AC69)+1)</f>
        <v/>
      </c>
      <c r="AD70" s="38" t="str">
        <f t="shared" si="15"/>
        <v/>
      </c>
      <c r="AE70" s="38">
        <f t="shared" si="16"/>
        <v>8070</v>
      </c>
      <c r="AF70" s="38">
        <f t="shared" si="17"/>
        <v>42</v>
      </c>
    </row>
    <row r="71" spans="1:32" x14ac:dyDescent="0.3">
      <c r="A71" s="74" t="s">
        <v>937</v>
      </c>
      <c r="B71" s="74" t="s">
        <v>351</v>
      </c>
      <c r="C71" s="74" t="s">
        <v>350</v>
      </c>
      <c r="D71" s="74"/>
      <c r="E71" s="74"/>
      <c r="F71" s="74"/>
      <c r="G71" s="74" t="s">
        <v>355</v>
      </c>
      <c r="H71" s="74" t="s">
        <v>350</v>
      </c>
      <c r="I71" s="74"/>
      <c r="J71" s="74"/>
      <c r="K71" s="74"/>
      <c r="L71" s="74"/>
      <c r="M71" s="74" t="s">
        <v>352</v>
      </c>
      <c r="N71" s="38" t="str">
        <f>IF(OR(A71="Автомат",A71="Дифавтомат"),IF(W71="","",COUNTIFS(Однолинейка!$H$3:$H$3000,U71,Однолинейка!$A$3:$A$3000,Щит_спец)),IF(A71="Аппарат",IF(C71="","",COUNTIFS(Однолинейка!$I$3:$I$3000,C71,Однолинейка!$A$3:$A$3000,Щит_спец)+COUNTIFS(Однолинейка!$J$3:$J$3000,C71,Однолинейка!$A$3:$A$3000,Щит_спец)+COUNTIFS(Однолинейка!$K$3:$K$3000,C71,Однолинейка!$A$3:$A$3000,Щит_спец)),IF(A71="Модуль",IF(C71="","",COUNTIFS(Однолинейка!$AW$3:$AW$3000,"?*",Однолинейка!$AI$3:$AI$3000,C71,Однолинейка!$A$3:$A$3000,Щит_спец)),IF(A71="Клемма",IF(C71="","",IF(C71=$S$7,SUMIFS(Однолинейка!$BW$3:$BW$3000,Однолинейка!$A$3:$A$3000,Щит_спец),IF(C71=$S$8,SUMIFS(Однолинейка!$BX$3:$BX$3000,Однолинейка!$A$3:$A$3000,Щит_спец),""))),""))))</f>
        <v/>
      </c>
      <c r="O71" s="74">
        <v>150</v>
      </c>
      <c r="P71" s="38">
        <f t="shared" si="9"/>
        <v>150</v>
      </c>
      <c r="U71" s="38" t="str">
        <f t="shared" si="10"/>
        <v/>
      </c>
      <c r="V71" s="38" t="str">
        <f t="shared" si="11"/>
        <v/>
      </c>
      <c r="W71" s="38" t="str">
        <f>IF(AND(U71&lt;&gt;"",OR($S$4="(все)",B71=$S$4),IF($S$4="(все)",COUNTIF($U$4:U71,U71),COUNTIFS($U$4:U71,U71,$B$4:B71,B71))=1),MAX($W$3:W70)+1,"")</f>
        <v/>
      </c>
      <c r="X71" s="38" t="str">
        <f t="shared" si="12"/>
        <v/>
      </c>
      <c r="Y71" s="38" t="str">
        <f>IF(AND(A71="Аппарат",C71&lt;&gt;"",OR($S$5="(все)",B71=$S$5)),MAX($Y$3:Y70)+1,"")</f>
        <v/>
      </c>
      <c r="Z71" s="38" t="str">
        <f t="shared" si="13"/>
        <v/>
      </c>
      <c r="AA71" s="38" t="str">
        <f>IF(AND(A71="Модуль",C71&lt;&gt;"",OR($S$6="(все)",B71=$S$6)),MAX($AA$3:AA70)+1,"")</f>
        <v/>
      </c>
      <c r="AB71" s="38" t="str">
        <f t="shared" si="14"/>
        <v/>
      </c>
      <c r="AC71" s="38" t="str">
        <f>IF(OR(B71="",COUNTIF($B$4:B71,B71)&gt;1),"",MAX($AC$3:AC70)+1)</f>
        <v/>
      </c>
      <c r="AD71" s="38" t="str">
        <f t="shared" si="15"/>
        <v/>
      </c>
      <c r="AE71" s="38">
        <f t="shared" si="16"/>
        <v>8071</v>
      </c>
      <c r="AF71" s="38">
        <f t="shared" si="17"/>
        <v>43</v>
      </c>
    </row>
    <row r="72" spans="1:32" x14ac:dyDescent="0.3">
      <c r="A72" s="74" t="s">
        <v>937</v>
      </c>
      <c r="B72" s="74" t="s">
        <v>351</v>
      </c>
      <c r="C72" s="74" t="s">
        <v>350</v>
      </c>
      <c r="D72" s="74"/>
      <c r="E72" s="74"/>
      <c r="F72" s="74"/>
      <c r="G72" s="74" t="s">
        <v>398</v>
      </c>
      <c r="H72" s="74" t="s">
        <v>350</v>
      </c>
      <c r="I72" s="74"/>
      <c r="J72" s="74"/>
      <c r="K72" s="74"/>
      <c r="L72" s="74"/>
      <c r="M72" s="74" t="s">
        <v>352</v>
      </c>
      <c r="N72" s="38" t="str">
        <f>IF(OR(A72="Автомат",A72="Дифавтомат"),IF(W72="","",COUNTIFS(Однолинейка!$H$3:$H$3000,U72,Однолинейка!$A$3:$A$3000,Щит_спец)),IF(A72="Аппарат",IF(C72="","",COUNTIFS(Однолинейка!$I$3:$I$3000,C72,Однолинейка!$A$3:$A$3000,Щит_спец)+COUNTIFS(Однолинейка!$J$3:$J$3000,C72,Однолинейка!$A$3:$A$3000,Щит_спец)+COUNTIFS(Однолинейка!$K$3:$K$3000,C72,Однолинейка!$A$3:$A$3000,Щит_спец)),IF(A72="Модуль",IF(C72="","",COUNTIFS(Однолинейка!$AW$3:$AW$3000,"?*",Однолинейка!$AI$3:$AI$3000,C72,Однолинейка!$A$3:$A$3000,Щит_спец)),IF(A72="Клемма",IF(C72="","",IF(C72=$S$7,SUMIFS(Однолинейка!$BW$3:$BW$3000,Однолинейка!$A$3:$A$3000,Щит_спец),IF(C72=$S$8,SUMIFS(Однолинейка!$BX$3:$BX$3000,Однолинейка!$A$3:$A$3000,Щит_спец),""))),""))))</f>
        <v/>
      </c>
      <c r="O72" s="74">
        <v>50</v>
      </c>
      <c r="P72" s="38">
        <f t="shared" si="9"/>
        <v>50</v>
      </c>
      <c r="U72" s="38" t="str">
        <f t="shared" si="10"/>
        <v/>
      </c>
      <c r="V72" s="38" t="str">
        <f t="shared" si="11"/>
        <v/>
      </c>
      <c r="W72" s="38" t="str">
        <f>IF(AND(U72&lt;&gt;"",OR($S$4="(все)",B72=$S$4),IF($S$4="(все)",COUNTIF($U$4:U72,U72),COUNTIFS($U$4:U72,U72,$B$4:B72,B72))=1),MAX($W$3:W71)+1,"")</f>
        <v/>
      </c>
      <c r="X72" s="38" t="str">
        <f t="shared" si="12"/>
        <v/>
      </c>
      <c r="Y72" s="38" t="str">
        <f>IF(AND(A72="Аппарат",C72&lt;&gt;"",OR($S$5="(все)",B72=$S$5)),MAX($Y$3:Y71)+1,"")</f>
        <v/>
      </c>
      <c r="Z72" s="38" t="str">
        <f t="shared" si="13"/>
        <v/>
      </c>
      <c r="AA72" s="38" t="str">
        <f>IF(AND(A72="Модуль",C72&lt;&gt;"",OR($S$6="(все)",B72=$S$6)),MAX($AA$3:AA71)+1,"")</f>
        <v/>
      </c>
      <c r="AB72" s="38" t="str">
        <f t="shared" si="14"/>
        <v/>
      </c>
      <c r="AC72" s="38" t="str">
        <f>IF(OR(B72="",COUNTIF($B$4:B72,B72)&gt;1),"",MAX($AC$3:AC71)+1)</f>
        <v/>
      </c>
      <c r="AD72" s="38" t="str">
        <f t="shared" si="15"/>
        <v/>
      </c>
      <c r="AE72" s="38">
        <f t="shared" si="16"/>
        <v>8072</v>
      </c>
      <c r="AF72" s="38">
        <f t="shared" si="17"/>
        <v>44</v>
      </c>
    </row>
    <row r="73" spans="1:32" x14ac:dyDescent="0.3">
      <c r="A73" s="74" t="s">
        <v>937</v>
      </c>
      <c r="B73" s="74" t="s">
        <v>351</v>
      </c>
      <c r="C73" s="74" t="s">
        <v>357</v>
      </c>
      <c r="D73" s="74"/>
      <c r="E73" s="74"/>
      <c r="F73" s="74"/>
      <c r="G73" s="74" t="s">
        <v>356</v>
      </c>
      <c r="H73" s="74" t="s">
        <v>357</v>
      </c>
      <c r="I73" s="74"/>
      <c r="J73" s="74"/>
      <c r="K73" s="74"/>
      <c r="L73" s="74"/>
      <c r="M73" s="74" t="s">
        <v>352</v>
      </c>
      <c r="N73" s="38" t="str">
        <f>IF(OR(A73="Автомат",A73="Дифавтомат"),IF(W73="","",COUNTIFS(Однолинейка!$H$3:$H$3000,U73,Однолинейка!$A$3:$A$3000,Щит_спец)),IF(A73="Аппарат",IF(C73="","",COUNTIFS(Однолинейка!$I$3:$I$3000,C73,Однолинейка!$A$3:$A$3000,Щит_спец)+COUNTIFS(Однолинейка!$J$3:$J$3000,C73,Однолинейка!$A$3:$A$3000,Щит_спец)+COUNTIFS(Однолинейка!$K$3:$K$3000,C73,Однолинейка!$A$3:$A$3000,Щит_спец)),IF(A73="Модуль",IF(C73="","",COUNTIFS(Однолинейка!$AW$3:$AW$3000,"?*",Однолинейка!$AI$3:$AI$3000,C73,Однолинейка!$A$3:$A$3000,Щит_спец)),IF(A73="Клемма",IF(C73="","",IF(C73=$S$7,SUMIFS(Однолинейка!$BW$3:$BW$3000,Однолинейка!$A$3:$A$3000,Щит_спец),IF(C73=$S$8,SUMIFS(Однолинейка!$BX$3:$BX$3000,Однолинейка!$A$3:$A$3000,Щит_спец),""))),""))))</f>
        <v/>
      </c>
      <c r="O73" s="74">
        <v>100</v>
      </c>
      <c r="P73" s="38">
        <f t="shared" si="9"/>
        <v>100</v>
      </c>
      <c r="U73" s="38" t="str">
        <f t="shared" si="10"/>
        <v/>
      </c>
      <c r="V73" s="38" t="str">
        <f t="shared" si="11"/>
        <v/>
      </c>
      <c r="W73" s="38" t="str">
        <f>IF(AND(U73&lt;&gt;"",OR($S$4="(все)",B73=$S$4),IF($S$4="(все)",COUNTIF($U$4:U73,U73),COUNTIFS($U$4:U73,U73,$B$4:B73,B73))=1),MAX($W$3:W72)+1,"")</f>
        <v/>
      </c>
      <c r="X73" s="38" t="str">
        <f t="shared" si="12"/>
        <v/>
      </c>
      <c r="Y73" s="38" t="str">
        <f>IF(AND(A73="Аппарат",C73&lt;&gt;"",OR($S$5="(все)",B73=$S$5)),MAX($Y$3:Y72)+1,"")</f>
        <v/>
      </c>
      <c r="Z73" s="38" t="str">
        <f t="shared" si="13"/>
        <v/>
      </c>
      <c r="AA73" s="38" t="str">
        <f>IF(AND(A73="Модуль",C73&lt;&gt;"",OR($S$6="(все)",B73=$S$6)),MAX($AA$3:AA72)+1,"")</f>
        <v/>
      </c>
      <c r="AB73" s="38" t="str">
        <f t="shared" si="14"/>
        <v/>
      </c>
      <c r="AC73" s="38" t="str">
        <f>IF(OR(B73="",COUNTIF($B$4:B73,B73)&gt;1),"",MAX($AC$3:AC72)+1)</f>
        <v/>
      </c>
      <c r="AD73" s="38" t="str">
        <f t="shared" si="15"/>
        <v/>
      </c>
      <c r="AE73" s="38">
        <f t="shared" si="16"/>
        <v>8073</v>
      </c>
      <c r="AF73" s="38">
        <f t="shared" si="17"/>
        <v>45</v>
      </c>
    </row>
    <row r="74" spans="1:32" x14ac:dyDescent="0.3">
      <c r="A74" s="74" t="s">
        <v>937</v>
      </c>
      <c r="B74" s="74" t="s">
        <v>351</v>
      </c>
      <c r="C74" s="74" t="s">
        <v>357</v>
      </c>
      <c r="D74" s="74"/>
      <c r="E74" s="74"/>
      <c r="F74" s="74"/>
      <c r="G74" s="74" t="s">
        <v>358</v>
      </c>
      <c r="H74" s="74" t="s">
        <v>357</v>
      </c>
      <c r="I74" s="74"/>
      <c r="J74" s="74"/>
      <c r="K74" s="74"/>
      <c r="L74" s="74"/>
      <c r="M74" s="74" t="s">
        <v>352</v>
      </c>
      <c r="N74" s="38" t="str">
        <f>IF(OR(A74="Автомат",A74="Дифавтомат"),IF(W74="","",COUNTIFS(Однолинейка!$H$3:$H$3000,U74,Однолинейка!$A$3:$A$3000,Щит_спец)),IF(A74="Аппарат",IF(C74="","",COUNTIFS(Однолинейка!$I$3:$I$3000,C74,Однолинейка!$A$3:$A$3000,Щит_спец)+COUNTIFS(Однолинейка!$J$3:$J$3000,C74,Однолинейка!$A$3:$A$3000,Щит_спец)+COUNTIFS(Однолинейка!$K$3:$K$3000,C74,Однолинейка!$A$3:$A$3000,Щит_спец)),IF(A74="Модуль",IF(C74="","",COUNTIFS(Однолинейка!$AW$3:$AW$3000,"?*",Однолинейка!$AI$3:$AI$3000,C74,Однолинейка!$A$3:$A$3000,Щит_спец)),IF(A74="Клемма",IF(C74="","",IF(C74=$S$7,SUMIFS(Однолинейка!$BW$3:$BW$3000,Однолинейка!$A$3:$A$3000,Щит_спец),IF(C74=$S$8,SUMIFS(Однолинейка!$BX$3:$BX$3000,Однолинейка!$A$3:$A$3000,Щит_спец),""))),""))))</f>
        <v/>
      </c>
      <c r="O74" s="74">
        <v>100</v>
      </c>
      <c r="P74" s="38">
        <f t="shared" si="9"/>
        <v>100</v>
      </c>
      <c r="U74" s="38" t="str">
        <f t="shared" si="10"/>
        <v/>
      </c>
      <c r="V74" s="38" t="str">
        <f t="shared" si="11"/>
        <v/>
      </c>
      <c r="W74" s="38" t="str">
        <f>IF(AND(U74&lt;&gt;"",OR($S$4="(все)",B74=$S$4),IF($S$4="(все)",COUNTIF($U$4:U74,U74),COUNTIFS($U$4:U74,U74,$B$4:B74,B74))=1),MAX($W$3:W73)+1,"")</f>
        <v/>
      </c>
      <c r="X74" s="38" t="str">
        <f t="shared" si="12"/>
        <v/>
      </c>
      <c r="Y74" s="38" t="str">
        <f>IF(AND(A74="Аппарат",C74&lt;&gt;"",OR($S$5="(все)",B74=$S$5)),MAX($Y$3:Y73)+1,"")</f>
        <v/>
      </c>
      <c r="Z74" s="38" t="str">
        <f t="shared" si="13"/>
        <v/>
      </c>
      <c r="AA74" s="38" t="str">
        <f>IF(AND(A74="Модуль",C74&lt;&gt;"",OR($S$6="(все)",B74=$S$6)),MAX($AA$3:AA73)+1,"")</f>
        <v/>
      </c>
      <c r="AB74" s="38" t="str">
        <f t="shared" si="14"/>
        <v/>
      </c>
      <c r="AC74" s="38" t="str">
        <f>IF(OR(B74="",COUNTIF($B$4:B74,B74)&gt;1),"",MAX($AC$3:AC73)+1)</f>
        <v/>
      </c>
      <c r="AD74" s="38" t="str">
        <f t="shared" si="15"/>
        <v/>
      </c>
      <c r="AE74" s="38">
        <f t="shared" si="16"/>
        <v>8074</v>
      </c>
      <c r="AF74" s="38">
        <f t="shared" si="17"/>
        <v>46</v>
      </c>
    </row>
    <row r="75" spans="1:32" x14ac:dyDescent="0.3">
      <c r="A75" s="74" t="s">
        <v>937</v>
      </c>
      <c r="B75" s="74" t="s">
        <v>351</v>
      </c>
      <c r="C75" s="74" t="s">
        <v>357</v>
      </c>
      <c r="D75" s="74"/>
      <c r="E75" s="74"/>
      <c r="F75" s="74"/>
      <c r="G75" s="74" t="s">
        <v>359</v>
      </c>
      <c r="H75" s="74" t="s">
        <v>357</v>
      </c>
      <c r="I75" s="74"/>
      <c r="J75" s="74"/>
      <c r="K75" s="74"/>
      <c r="L75" s="74"/>
      <c r="M75" s="74" t="s">
        <v>352</v>
      </c>
      <c r="N75" s="38" t="str">
        <f>IF(OR(A75="Автомат",A75="Дифавтомат"),IF(W75="","",COUNTIFS(Однолинейка!$H$3:$H$3000,U75,Однолинейка!$A$3:$A$3000,Щит_спец)),IF(A75="Аппарат",IF(C75="","",COUNTIFS(Однолинейка!$I$3:$I$3000,C75,Однолинейка!$A$3:$A$3000,Щит_спец)+COUNTIFS(Однолинейка!$J$3:$J$3000,C75,Однолинейка!$A$3:$A$3000,Щит_спец)+COUNTIFS(Однолинейка!$K$3:$K$3000,C75,Однолинейка!$A$3:$A$3000,Щит_спец)),IF(A75="Модуль",IF(C75="","",COUNTIFS(Однолинейка!$AW$3:$AW$3000,"?*",Однолинейка!$AI$3:$AI$3000,C75,Однолинейка!$A$3:$A$3000,Щит_спец)),IF(A75="Клемма",IF(C75="","",IF(C75=$S$7,SUMIFS(Однолинейка!$BW$3:$BW$3000,Однолинейка!$A$3:$A$3000,Щит_спец),IF(C75=$S$8,SUMIFS(Однолинейка!$BX$3:$BX$3000,Однолинейка!$A$3:$A$3000,Щит_спец),""))),""))))</f>
        <v/>
      </c>
      <c r="O75" s="74">
        <v>100</v>
      </c>
      <c r="P75" s="38">
        <f t="shared" si="9"/>
        <v>100</v>
      </c>
      <c r="U75" s="38" t="str">
        <f t="shared" si="10"/>
        <v/>
      </c>
      <c r="V75" s="38" t="str">
        <f t="shared" si="11"/>
        <v/>
      </c>
      <c r="W75" s="38" t="str">
        <f>IF(AND(U75&lt;&gt;"",OR($S$4="(все)",B75=$S$4),IF($S$4="(все)",COUNTIF($U$4:U75,U75),COUNTIFS($U$4:U75,U75,$B$4:B75,B75))=1),MAX($W$3:W74)+1,"")</f>
        <v/>
      </c>
      <c r="X75" s="38" t="str">
        <f t="shared" si="12"/>
        <v/>
      </c>
      <c r="Y75" s="38" t="str">
        <f>IF(AND(A75="Аппарат",C75&lt;&gt;"",OR($S$5="(все)",B75=$S$5)),MAX($Y$3:Y74)+1,"")</f>
        <v/>
      </c>
      <c r="Z75" s="38" t="str">
        <f t="shared" si="13"/>
        <v/>
      </c>
      <c r="AA75" s="38" t="str">
        <f>IF(AND(A75="Модуль",C75&lt;&gt;"",OR($S$6="(все)",B75=$S$6)),MAX($AA$3:AA74)+1,"")</f>
        <v/>
      </c>
      <c r="AB75" s="38" t="str">
        <f t="shared" si="14"/>
        <v/>
      </c>
      <c r="AC75" s="38" t="str">
        <f>IF(OR(B75="",COUNTIF($B$4:B75,B75)&gt;1),"",MAX($AC$3:AC74)+1)</f>
        <v/>
      </c>
      <c r="AD75" s="38" t="str">
        <f t="shared" si="15"/>
        <v/>
      </c>
      <c r="AE75" s="38">
        <f t="shared" si="16"/>
        <v>8075</v>
      </c>
      <c r="AF75" s="38">
        <f t="shared" si="17"/>
        <v>47</v>
      </c>
    </row>
    <row r="76" spans="1:32" x14ac:dyDescent="0.3">
      <c r="A76" s="74" t="s">
        <v>937</v>
      </c>
      <c r="B76" s="74" t="s">
        <v>351</v>
      </c>
      <c r="C76" s="74" t="s">
        <v>357</v>
      </c>
      <c r="D76" s="74"/>
      <c r="E76" s="74"/>
      <c r="F76" s="74"/>
      <c r="G76" s="74" t="s">
        <v>360</v>
      </c>
      <c r="H76" s="74" t="s">
        <v>357</v>
      </c>
      <c r="I76" s="74"/>
      <c r="J76" s="74"/>
      <c r="K76" s="74"/>
      <c r="L76" s="74"/>
      <c r="M76" s="74" t="s">
        <v>352</v>
      </c>
      <c r="N76" s="38" t="str">
        <f>IF(OR(A76="Автомат",A76="Дифавтомат"),IF(W76="","",COUNTIFS(Однолинейка!$H$3:$H$3000,U76,Однолинейка!$A$3:$A$3000,Щит_спец)),IF(A76="Аппарат",IF(C76="","",COUNTIFS(Однолинейка!$I$3:$I$3000,C76,Однолинейка!$A$3:$A$3000,Щит_спец)+COUNTIFS(Однолинейка!$J$3:$J$3000,C76,Однолинейка!$A$3:$A$3000,Щит_спец)+COUNTIFS(Однолинейка!$K$3:$K$3000,C76,Однолинейка!$A$3:$A$3000,Щит_спец)),IF(A76="Модуль",IF(C76="","",COUNTIFS(Однолинейка!$AW$3:$AW$3000,"?*",Однолинейка!$AI$3:$AI$3000,C76,Однолинейка!$A$3:$A$3000,Щит_спец)),IF(A76="Клемма",IF(C76="","",IF(C76=$S$7,SUMIFS(Однолинейка!$BW$3:$BW$3000,Однолинейка!$A$3:$A$3000,Щит_спец),IF(C76=$S$8,SUMIFS(Однолинейка!$BX$3:$BX$3000,Однолинейка!$A$3:$A$3000,Щит_спец),""))),""))))</f>
        <v/>
      </c>
      <c r="O76" s="74">
        <v>100</v>
      </c>
      <c r="P76" s="38">
        <f t="shared" si="9"/>
        <v>100</v>
      </c>
      <c r="U76" s="38" t="str">
        <f t="shared" si="10"/>
        <v/>
      </c>
      <c r="V76" s="38" t="str">
        <f t="shared" si="11"/>
        <v/>
      </c>
      <c r="W76" s="38" t="str">
        <f>IF(AND(U76&lt;&gt;"",OR($S$4="(все)",B76=$S$4),IF($S$4="(все)",COUNTIF($U$4:U76,U76),COUNTIFS($U$4:U76,U76,$B$4:B76,B76))=1),MAX($W$3:W75)+1,"")</f>
        <v/>
      </c>
      <c r="X76" s="38" t="str">
        <f t="shared" si="12"/>
        <v/>
      </c>
      <c r="Y76" s="38" t="str">
        <f>IF(AND(A76="Аппарат",C76&lt;&gt;"",OR($S$5="(все)",B76=$S$5)),MAX($Y$3:Y75)+1,"")</f>
        <v/>
      </c>
      <c r="Z76" s="38" t="str">
        <f t="shared" si="13"/>
        <v/>
      </c>
      <c r="AA76" s="38" t="str">
        <f>IF(AND(A76="Модуль",C76&lt;&gt;"",OR($S$6="(все)",B76=$S$6)),MAX($AA$3:AA75)+1,"")</f>
        <v/>
      </c>
      <c r="AB76" s="38" t="str">
        <f t="shared" si="14"/>
        <v/>
      </c>
      <c r="AC76" s="38" t="str">
        <f>IF(OR(B76="",COUNTIF($B$4:B76,B76)&gt;1),"",MAX($AC$3:AC75)+1)</f>
        <v/>
      </c>
      <c r="AD76" s="38" t="str">
        <f t="shared" si="15"/>
        <v/>
      </c>
      <c r="AE76" s="38">
        <f t="shared" si="16"/>
        <v>8076</v>
      </c>
      <c r="AF76" s="38">
        <f t="shared" si="17"/>
        <v>48</v>
      </c>
    </row>
    <row r="77" spans="1:32" x14ac:dyDescent="0.3">
      <c r="A77" s="74" t="s">
        <v>937</v>
      </c>
      <c r="B77" s="74" t="s">
        <v>351</v>
      </c>
      <c r="C77" s="74" t="s">
        <v>357</v>
      </c>
      <c r="D77" s="74"/>
      <c r="E77" s="74"/>
      <c r="F77" s="74"/>
      <c r="G77" s="74" t="s">
        <v>399</v>
      </c>
      <c r="H77" s="74" t="s">
        <v>357</v>
      </c>
      <c r="I77" s="74"/>
      <c r="J77" s="74"/>
      <c r="K77" s="74"/>
      <c r="L77" s="74"/>
      <c r="M77" s="74" t="s">
        <v>352</v>
      </c>
      <c r="N77" s="38" t="str">
        <f>IF(OR(A77="Автомат",A77="Дифавтомат"),IF(W77="","",COUNTIFS(Однолинейка!$H$3:$H$3000,U77,Однолинейка!$A$3:$A$3000,Щит_спец)),IF(A77="Аппарат",IF(C77="","",COUNTIFS(Однолинейка!$I$3:$I$3000,C77,Однолинейка!$A$3:$A$3000,Щит_спец)+COUNTIFS(Однолинейка!$J$3:$J$3000,C77,Однолинейка!$A$3:$A$3000,Щит_спец)+COUNTIFS(Однолинейка!$K$3:$K$3000,C77,Однолинейка!$A$3:$A$3000,Щит_спец)),IF(A77="Модуль",IF(C77="","",COUNTIFS(Однолинейка!$AW$3:$AW$3000,"?*",Однолинейка!$AI$3:$AI$3000,C77,Однолинейка!$A$3:$A$3000,Щит_спец)),IF(A77="Клемма",IF(C77="","",IF(C77=$S$7,SUMIFS(Однолинейка!$BW$3:$BW$3000,Однолинейка!$A$3:$A$3000,Щит_спец),IF(C77=$S$8,SUMIFS(Однолинейка!$BX$3:$BX$3000,Однолинейка!$A$3:$A$3000,Щит_спец),""))),""))))</f>
        <v/>
      </c>
      <c r="O77" s="74">
        <v>30</v>
      </c>
      <c r="P77" s="38">
        <f t="shared" si="9"/>
        <v>30</v>
      </c>
      <c r="U77" s="38" t="str">
        <f t="shared" si="10"/>
        <v/>
      </c>
      <c r="V77" s="38" t="str">
        <f t="shared" si="11"/>
        <v/>
      </c>
      <c r="W77" s="38" t="str">
        <f>IF(AND(U77&lt;&gt;"",OR($S$4="(все)",B77=$S$4),IF($S$4="(все)",COUNTIF($U$4:U77,U77),COUNTIFS($U$4:U77,U77,$B$4:B77,B77))=1),MAX($W$3:W76)+1,"")</f>
        <v/>
      </c>
      <c r="X77" s="38" t="str">
        <f t="shared" si="12"/>
        <v/>
      </c>
      <c r="Y77" s="38" t="str">
        <f>IF(AND(A77="Аппарат",C77&lt;&gt;"",OR($S$5="(все)",B77=$S$5)),MAX($Y$3:Y76)+1,"")</f>
        <v/>
      </c>
      <c r="Z77" s="38" t="str">
        <f t="shared" si="13"/>
        <v/>
      </c>
      <c r="AA77" s="38" t="str">
        <f>IF(AND(A77="Модуль",C77&lt;&gt;"",OR($S$6="(все)",B77=$S$6)),MAX($AA$3:AA76)+1,"")</f>
        <v/>
      </c>
      <c r="AB77" s="38" t="str">
        <f t="shared" si="14"/>
        <v/>
      </c>
      <c r="AC77" s="38" t="str">
        <f>IF(OR(B77="",COUNTIF($B$4:B77,B77)&gt;1),"",MAX($AC$3:AC76)+1)</f>
        <v/>
      </c>
      <c r="AD77" s="38" t="str">
        <f t="shared" si="15"/>
        <v/>
      </c>
      <c r="AE77" s="38">
        <f t="shared" si="16"/>
        <v>8077</v>
      </c>
      <c r="AF77" s="38">
        <f t="shared" si="17"/>
        <v>49</v>
      </c>
    </row>
    <row r="78" spans="1:32" x14ac:dyDescent="0.3">
      <c r="A78" s="74" t="s">
        <v>937</v>
      </c>
      <c r="B78" s="74" t="s">
        <v>351</v>
      </c>
      <c r="C78" s="74" t="s">
        <v>362</v>
      </c>
      <c r="D78" s="74"/>
      <c r="E78" s="74"/>
      <c r="F78" s="74"/>
      <c r="G78" s="74" t="s">
        <v>361</v>
      </c>
      <c r="H78" s="74" t="s">
        <v>362</v>
      </c>
      <c r="I78" s="74"/>
      <c r="J78" s="74"/>
      <c r="K78" s="74"/>
      <c r="L78" s="74"/>
      <c r="M78" s="74" t="s">
        <v>352</v>
      </c>
      <c r="N78" s="38" t="str">
        <f>IF(OR(A78="Автомат",A78="Дифавтомат"),IF(W78="","",COUNTIFS(Однолинейка!$H$3:$H$3000,U78,Однолинейка!$A$3:$A$3000,Щит_спец)),IF(A78="Аппарат",IF(C78="","",COUNTIFS(Однолинейка!$I$3:$I$3000,C78,Однолинейка!$A$3:$A$3000,Щит_спец)+COUNTIFS(Однолинейка!$J$3:$J$3000,C78,Однолинейка!$A$3:$A$3000,Щит_спец)+COUNTIFS(Однолинейка!$K$3:$K$3000,C78,Однолинейка!$A$3:$A$3000,Щит_спец)),IF(A78="Модуль",IF(C78="","",COUNTIFS(Однолинейка!$AW$3:$AW$3000,"?*",Однолинейка!$AI$3:$AI$3000,C78,Однолинейка!$A$3:$A$3000,Щит_спец)),IF(A78="Клемма",IF(C78="","",IF(C78=$S$7,SUMIFS(Однолинейка!$BW$3:$BW$3000,Однолинейка!$A$3:$A$3000,Щит_спец),IF(C78=$S$8,SUMIFS(Однолинейка!$BX$3:$BX$3000,Однолинейка!$A$3:$A$3000,Щит_спец),""))),""))))</f>
        <v/>
      </c>
      <c r="O78" s="74">
        <v>30</v>
      </c>
      <c r="P78" s="38">
        <f t="shared" si="9"/>
        <v>30</v>
      </c>
      <c r="U78" s="38" t="str">
        <f t="shared" si="10"/>
        <v/>
      </c>
      <c r="V78" s="38" t="str">
        <f t="shared" si="11"/>
        <v/>
      </c>
      <c r="W78" s="38" t="str">
        <f>IF(AND(U78&lt;&gt;"",OR($S$4="(все)",B78=$S$4),IF($S$4="(все)",COUNTIF($U$4:U78,U78),COUNTIFS($U$4:U78,U78,$B$4:B78,B78))=1),MAX($W$3:W77)+1,"")</f>
        <v/>
      </c>
      <c r="X78" s="38" t="str">
        <f t="shared" si="12"/>
        <v/>
      </c>
      <c r="Y78" s="38" t="str">
        <f>IF(AND(A78="Аппарат",C78&lt;&gt;"",OR($S$5="(все)",B78=$S$5)),MAX($Y$3:Y77)+1,"")</f>
        <v/>
      </c>
      <c r="Z78" s="38" t="str">
        <f t="shared" si="13"/>
        <v/>
      </c>
      <c r="AA78" s="38" t="str">
        <f>IF(AND(A78="Модуль",C78&lt;&gt;"",OR($S$6="(все)",B78=$S$6)),MAX($AA$3:AA77)+1,"")</f>
        <v/>
      </c>
      <c r="AB78" s="38" t="str">
        <f t="shared" si="14"/>
        <v/>
      </c>
      <c r="AC78" s="38" t="str">
        <f>IF(OR(B78="",COUNTIF($B$4:B78,B78)&gt;1),"",MAX($AC$3:AC77)+1)</f>
        <v/>
      </c>
      <c r="AD78" s="38" t="str">
        <f t="shared" si="15"/>
        <v/>
      </c>
      <c r="AE78" s="38">
        <f t="shared" si="16"/>
        <v>8078</v>
      </c>
      <c r="AF78" s="38">
        <f t="shared" si="17"/>
        <v>50</v>
      </c>
    </row>
    <row r="79" spans="1:32" x14ac:dyDescent="0.3">
      <c r="A79" s="74" t="s">
        <v>937</v>
      </c>
      <c r="B79" s="74" t="s">
        <v>351</v>
      </c>
      <c r="C79" s="74" t="s">
        <v>362</v>
      </c>
      <c r="D79" s="74"/>
      <c r="E79" s="74"/>
      <c r="F79" s="74"/>
      <c r="G79" s="74" t="s">
        <v>363</v>
      </c>
      <c r="H79" s="74" t="s">
        <v>362</v>
      </c>
      <c r="I79" s="74"/>
      <c r="J79" s="74"/>
      <c r="K79" s="74"/>
      <c r="L79" s="74"/>
      <c r="M79" s="74" t="s">
        <v>352</v>
      </c>
      <c r="N79" s="38" t="str">
        <f>IF(OR(A79="Автомат",A79="Дифавтомат"),IF(W79="","",COUNTIFS(Однолинейка!$H$3:$H$3000,U79,Однолинейка!$A$3:$A$3000,Щит_спец)),IF(A79="Аппарат",IF(C79="","",COUNTIFS(Однолинейка!$I$3:$I$3000,C79,Однолинейка!$A$3:$A$3000,Щит_спец)+COUNTIFS(Однолинейка!$J$3:$J$3000,C79,Однолинейка!$A$3:$A$3000,Щит_спец)+COUNTIFS(Однолинейка!$K$3:$K$3000,C79,Однолинейка!$A$3:$A$3000,Щит_спец)),IF(A79="Модуль",IF(C79="","",COUNTIFS(Однолинейка!$AW$3:$AW$3000,"?*",Однолинейка!$AI$3:$AI$3000,C79,Однолинейка!$A$3:$A$3000,Щит_спец)),IF(A79="Клемма",IF(C79="","",IF(C79=$S$7,SUMIFS(Однолинейка!$BW$3:$BW$3000,Однолинейка!$A$3:$A$3000,Щит_спец),IF(C79=$S$8,SUMIFS(Однолинейка!$BX$3:$BX$3000,Однолинейка!$A$3:$A$3000,Щит_спец),""))),""))))</f>
        <v/>
      </c>
      <c r="O79" s="74">
        <v>30</v>
      </c>
      <c r="P79" s="38">
        <f t="shared" si="9"/>
        <v>30</v>
      </c>
      <c r="U79" s="38" t="str">
        <f t="shared" si="10"/>
        <v/>
      </c>
      <c r="V79" s="38" t="str">
        <f t="shared" si="11"/>
        <v/>
      </c>
      <c r="W79" s="38" t="str">
        <f>IF(AND(U79&lt;&gt;"",OR($S$4="(все)",B79=$S$4),IF($S$4="(все)",COUNTIF($U$4:U79,U79),COUNTIFS($U$4:U79,U79,$B$4:B79,B79))=1),MAX($W$3:W78)+1,"")</f>
        <v/>
      </c>
      <c r="X79" s="38" t="str">
        <f t="shared" si="12"/>
        <v/>
      </c>
      <c r="Y79" s="38" t="str">
        <f>IF(AND(A79="Аппарат",C79&lt;&gt;"",OR($S$5="(все)",B79=$S$5)),MAX($Y$3:Y78)+1,"")</f>
        <v/>
      </c>
      <c r="Z79" s="38" t="str">
        <f t="shared" si="13"/>
        <v/>
      </c>
      <c r="AA79" s="38" t="str">
        <f>IF(AND(A79="Модуль",C79&lt;&gt;"",OR($S$6="(все)",B79=$S$6)),MAX($AA$3:AA78)+1,"")</f>
        <v/>
      </c>
      <c r="AB79" s="38" t="str">
        <f t="shared" si="14"/>
        <v/>
      </c>
      <c r="AC79" s="38" t="str">
        <f>IF(OR(B79="",COUNTIF($B$4:B79,B79)&gt;1),"",MAX($AC$3:AC78)+1)</f>
        <v/>
      </c>
      <c r="AD79" s="38" t="str">
        <f t="shared" si="15"/>
        <v/>
      </c>
      <c r="AE79" s="38">
        <f t="shared" si="16"/>
        <v>8079</v>
      </c>
      <c r="AF79" s="38">
        <f t="shared" si="17"/>
        <v>51</v>
      </c>
    </row>
    <row r="80" spans="1:32" x14ac:dyDescent="0.3">
      <c r="A80" s="74" t="s">
        <v>937</v>
      </c>
      <c r="B80" s="74" t="s">
        <v>351</v>
      </c>
      <c r="C80" s="74" t="s">
        <v>362</v>
      </c>
      <c r="D80" s="74"/>
      <c r="E80" s="74"/>
      <c r="F80" s="74"/>
      <c r="G80" s="74" t="s">
        <v>364</v>
      </c>
      <c r="H80" s="74" t="s">
        <v>362</v>
      </c>
      <c r="I80" s="74"/>
      <c r="J80" s="74"/>
      <c r="K80" s="74"/>
      <c r="L80" s="74"/>
      <c r="M80" s="74" t="s">
        <v>352</v>
      </c>
      <c r="N80" s="38" t="str">
        <f>IF(OR(A80="Автомат",A80="Дифавтомат"),IF(W80="","",COUNTIFS(Однолинейка!$H$3:$H$3000,U80,Однолинейка!$A$3:$A$3000,Щит_спец)),IF(A80="Аппарат",IF(C80="","",COUNTIFS(Однолинейка!$I$3:$I$3000,C80,Однолинейка!$A$3:$A$3000,Щит_спец)+COUNTIFS(Однолинейка!$J$3:$J$3000,C80,Однолинейка!$A$3:$A$3000,Щит_спец)+COUNTIFS(Однолинейка!$K$3:$K$3000,C80,Однолинейка!$A$3:$A$3000,Щит_спец)),IF(A80="Модуль",IF(C80="","",COUNTIFS(Однолинейка!$AW$3:$AW$3000,"?*",Однолинейка!$AI$3:$AI$3000,C80,Однолинейка!$A$3:$A$3000,Щит_спец)),IF(A80="Клемма",IF(C80="","",IF(C80=$S$7,SUMIFS(Однолинейка!$BW$3:$BW$3000,Однолинейка!$A$3:$A$3000,Щит_спец),IF(C80=$S$8,SUMIFS(Однолинейка!$BX$3:$BX$3000,Однолинейка!$A$3:$A$3000,Щит_спец),""))),""))))</f>
        <v/>
      </c>
      <c r="O80" s="74">
        <v>30</v>
      </c>
      <c r="P80" s="38">
        <f t="shared" si="9"/>
        <v>30</v>
      </c>
      <c r="U80" s="38" t="str">
        <f t="shared" si="10"/>
        <v/>
      </c>
      <c r="V80" s="38" t="str">
        <f t="shared" si="11"/>
        <v/>
      </c>
      <c r="W80" s="38" t="str">
        <f>IF(AND(U80&lt;&gt;"",OR($S$4="(все)",B80=$S$4),IF($S$4="(все)",COUNTIF($U$4:U80,U80),COUNTIFS($U$4:U80,U80,$B$4:B80,B80))=1),MAX($W$3:W79)+1,"")</f>
        <v/>
      </c>
      <c r="X80" s="38" t="str">
        <f t="shared" si="12"/>
        <v/>
      </c>
      <c r="Y80" s="38" t="str">
        <f>IF(AND(A80="Аппарат",C80&lt;&gt;"",OR($S$5="(все)",B80=$S$5)),MAX($Y$3:Y79)+1,"")</f>
        <v/>
      </c>
      <c r="Z80" s="38" t="str">
        <f t="shared" si="13"/>
        <v/>
      </c>
      <c r="AA80" s="38" t="str">
        <f>IF(AND(A80="Модуль",C80&lt;&gt;"",OR($S$6="(все)",B80=$S$6)),MAX($AA$3:AA79)+1,"")</f>
        <v/>
      </c>
      <c r="AB80" s="38" t="str">
        <f t="shared" si="14"/>
        <v/>
      </c>
      <c r="AC80" s="38" t="str">
        <f>IF(OR(B80="",COUNTIF($B$4:B80,B80)&gt;1),"",MAX($AC$3:AC79)+1)</f>
        <v/>
      </c>
      <c r="AD80" s="38" t="str">
        <f t="shared" si="15"/>
        <v/>
      </c>
      <c r="AE80" s="38">
        <f t="shared" si="16"/>
        <v>8080</v>
      </c>
      <c r="AF80" s="38">
        <f t="shared" si="17"/>
        <v>52</v>
      </c>
    </row>
    <row r="81" spans="1:32" x14ac:dyDescent="0.3">
      <c r="A81" s="74" t="s">
        <v>937</v>
      </c>
      <c r="B81" s="74" t="s">
        <v>351</v>
      </c>
      <c r="C81" s="74" t="s">
        <v>362</v>
      </c>
      <c r="D81" s="74"/>
      <c r="E81" s="74"/>
      <c r="F81" s="74"/>
      <c r="G81" s="74" t="s">
        <v>365</v>
      </c>
      <c r="H81" s="74" t="s">
        <v>362</v>
      </c>
      <c r="I81" s="74"/>
      <c r="J81" s="74"/>
      <c r="K81" s="74"/>
      <c r="L81" s="74"/>
      <c r="M81" s="74" t="s">
        <v>352</v>
      </c>
      <c r="N81" s="38" t="str">
        <f>IF(OR(A81="Автомат",A81="Дифавтомат"),IF(W81="","",COUNTIFS(Однолинейка!$H$3:$H$3000,U81,Однолинейка!$A$3:$A$3000,Щит_спец)),IF(A81="Аппарат",IF(C81="","",COUNTIFS(Однолинейка!$I$3:$I$3000,C81,Однолинейка!$A$3:$A$3000,Щит_спец)+COUNTIFS(Однолинейка!$J$3:$J$3000,C81,Однолинейка!$A$3:$A$3000,Щит_спец)+COUNTIFS(Однолинейка!$K$3:$K$3000,C81,Однолинейка!$A$3:$A$3000,Щит_спец)),IF(A81="Модуль",IF(C81="","",COUNTIFS(Однолинейка!$AW$3:$AW$3000,"?*",Однолинейка!$AI$3:$AI$3000,C81,Однолинейка!$A$3:$A$3000,Щит_спец)),IF(A81="Клемма",IF(C81="","",IF(C81=$S$7,SUMIFS(Однолинейка!$BW$3:$BW$3000,Однолинейка!$A$3:$A$3000,Щит_спец),IF(C81=$S$8,SUMIFS(Однолинейка!$BX$3:$BX$3000,Однолинейка!$A$3:$A$3000,Щит_спец),""))),""))))</f>
        <v/>
      </c>
      <c r="O81" s="74">
        <v>30</v>
      </c>
      <c r="P81" s="38">
        <f t="shared" si="9"/>
        <v>30</v>
      </c>
      <c r="U81" s="38" t="str">
        <f t="shared" si="10"/>
        <v/>
      </c>
      <c r="V81" s="38" t="str">
        <f t="shared" si="11"/>
        <v/>
      </c>
      <c r="W81" s="38" t="str">
        <f>IF(AND(U81&lt;&gt;"",OR($S$4="(все)",B81=$S$4),IF($S$4="(все)",COUNTIF($U$4:U81,U81),COUNTIFS($U$4:U81,U81,$B$4:B81,B81))=1),MAX($W$3:W80)+1,"")</f>
        <v/>
      </c>
      <c r="X81" s="38" t="str">
        <f t="shared" si="12"/>
        <v/>
      </c>
      <c r="Y81" s="38" t="str">
        <f>IF(AND(A81="Аппарат",C81&lt;&gt;"",OR($S$5="(все)",B81=$S$5)),MAX($Y$3:Y80)+1,"")</f>
        <v/>
      </c>
      <c r="Z81" s="38" t="str">
        <f t="shared" si="13"/>
        <v/>
      </c>
      <c r="AA81" s="38" t="str">
        <f>IF(AND(A81="Модуль",C81&lt;&gt;"",OR($S$6="(все)",B81=$S$6)),MAX($AA$3:AA80)+1,"")</f>
        <v/>
      </c>
      <c r="AB81" s="38" t="str">
        <f t="shared" si="14"/>
        <v/>
      </c>
      <c r="AC81" s="38" t="str">
        <f>IF(OR(B81="",COUNTIF($B$4:B81,B81)&gt;1),"",MAX($AC$3:AC80)+1)</f>
        <v/>
      </c>
      <c r="AD81" s="38" t="str">
        <f t="shared" si="15"/>
        <v/>
      </c>
      <c r="AE81" s="38">
        <f t="shared" si="16"/>
        <v>8081</v>
      </c>
      <c r="AF81" s="38">
        <f t="shared" si="17"/>
        <v>53</v>
      </c>
    </row>
    <row r="82" spans="1:32" x14ac:dyDescent="0.3">
      <c r="A82" s="74" t="s">
        <v>937</v>
      </c>
      <c r="B82" s="74" t="s">
        <v>351</v>
      </c>
      <c r="C82" s="74" t="s">
        <v>362</v>
      </c>
      <c r="D82" s="74"/>
      <c r="E82" s="74"/>
      <c r="F82" s="74"/>
      <c r="G82" s="74" t="s">
        <v>400</v>
      </c>
      <c r="H82" s="74" t="s">
        <v>362</v>
      </c>
      <c r="I82" s="74"/>
      <c r="J82" s="74"/>
      <c r="K82" s="74"/>
      <c r="L82" s="74"/>
      <c r="M82" s="74" t="s">
        <v>352</v>
      </c>
      <c r="N82" s="38" t="str">
        <f>IF(OR(A82="Автомат",A82="Дифавтомат"),IF(W82="","",COUNTIFS(Однолинейка!$H$3:$H$3000,U82,Однолинейка!$A$3:$A$3000,Щит_спец)),IF(A82="Аппарат",IF(C82="","",COUNTIFS(Однолинейка!$I$3:$I$3000,C82,Однолинейка!$A$3:$A$3000,Щит_спец)+COUNTIFS(Однолинейка!$J$3:$J$3000,C82,Однолинейка!$A$3:$A$3000,Щит_спец)+COUNTIFS(Однолинейка!$K$3:$K$3000,C82,Однолинейка!$A$3:$A$3000,Щит_спец)),IF(A82="Модуль",IF(C82="","",COUNTIFS(Однолинейка!$AW$3:$AW$3000,"?*",Однолинейка!$AI$3:$AI$3000,C82,Однолинейка!$A$3:$A$3000,Щит_спец)),IF(A82="Клемма",IF(C82="","",IF(C82=$S$7,SUMIFS(Однолинейка!$BW$3:$BW$3000,Однолинейка!$A$3:$A$3000,Щит_спец),IF(C82=$S$8,SUMIFS(Однолинейка!$BX$3:$BX$3000,Однолинейка!$A$3:$A$3000,Щит_спец),""))),""))))</f>
        <v/>
      </c>
      <c r="O82" s="74">
        <v>10</v>
      </c>
      <c r="P82" s="38">
        <f t="shared" si="9"/>
        <v>10</v>
      </c>
      <c r="U82" s="38" t="str">
        <f t="shared" si="10"/>
        <v/>
      </c>
      <c r="V82" s="38" t="str">
        <f t="shared" si="11"/>
        <v/>
      </c>
      <c r="W82" s="38" t="str">
        <f>IF(AND(U82&lt;&gt;"",OR($S$4="(все)",B82=$S$4),IF($S$4="(все)",COUNTIF($U$4:U82,U82),COUNTIFS($U$4:U82,U82,$B$4:B82,B82))=1),MAX($W$3:W81)+1,"")</f>
        <v/>
      </c>
      <c r="X82" s="38" t="str">
        <f t="shared" si="12"/>
        <v/>
      </c>
      <c r="Y82" s="38" t="str">
        <f>IF(AND(A82="Аппарат",C82&lt;&gt;"",OR($S$5="(все)",B82=$S$5)),MAX($Y$3:Y81)+1,"")</f>
        <v/>
      </c>
      <c r="Z82" s="38" t="str">
        <f t="shared" si="13"/>
        <v/>
      </c>
      <c r="AA82" s="38" t="str">
        <f>IF(AND(A82="Модуль",C82&lt;&gt;"",OR($S$6="(все)",B82=$S$6)),MAX($AA$3:AA81)+1,"")</f>
        <v/>
      </c>
      <c r="AB82" s="38" t="str">
        <f t="shared" si="14"/>
        <v/>
      </c>
      <c r="AC82" s="38" t="str">
        <f>IF(OR(B82="",COUNTIF($B$4:B82,B82)&gt;1),"",MAX($AC$3:AC81)+1)</f>
        <v/>
      </c>
      <c r="AD82" s="38" t="str">
        <f t="shared" si="15"/>
        <v/>
      </c>
      <c r="AE82" s="38">
        <f t="shared" si="16"/>
        <v>8082</v>
      </c>
      <c r="AF82" s="38">
        <f t="shared" si="17"/>
        <v>54</v>
      </c>
    </row>
    <row r="83" spans="1:32" x14ac:dyDescent="0.3">
      <c r="A83" s="74" t="s">
        <v>937</v>
      </c>
      <c r="B83" s="74" t="s">
        <v>351</v>
      </c>
      <c r="C83" s="74" t="s">
        <v>406</v>
      </c>
      <c r="D83" s="74"/>
      <c r="E83" s="74"/>
      <c r="F83" s="74"/>
      <c r="G83" s="74" t="s">
        <v>401</v>
      </c>
      <c r="H83" s="74" t="s">
        <v>406</v>
      </c>
      <c r="I83" s="74"/>
      <c r="J83" s="74"/>
      <c r="K83" s="74"/>
      <c r="L83" s="74"/>
      <c r="M83" s="74" t="s">
        <v>352</v>
      </c>
      <c r="N83" s="38" t="str">
        <f>IF(OR(A83="Автомат",A83="Дифавтомат"),IF(W83="","",COUNTIFS(Однолинейка!$H$3:$H$3000,U83,Однолинейка!$A$3:$A$3000,Щит_спец)),IF(A83="Аппарат",IF(C83="","",COUNTIFS(Однолинейка!$I$3:$I$3000,C83,Однолинейка!$A$3:$A$3000,Щит_спец)+COUNTIFS(Однолинейка!$J$3:$J$3000,C83,Однолинейка!$A$3:$A$3000,Щит_спец)+COUNTIFS(Однолинейка!$K$3:$K$3000,C83,Однолинейка!$A$3:$A$3000,Щит_спец)),IF(A83="Модуль",IF(C83="","",COUNTIFS(Однолинейка!$AW$3:$AW$3000,"?*",Однолинейка!$AI$3:$AI$3000,C83,Однолинейка!$A$3:$A$3000,Щит_спец)),IF(A83="Клемма",IF(C83="","",IF(C83=$S$7,SUMIFS(Однолинейка!$BW$3:$BW$3000,Однолинейка!$A$3:$A$3000,Щит_спец),IF(C83=$S$8,SUMIFS(Однолинейка!$BX$3:$BX$3000,Однолинейка!$A$3:$A$3000,Щит_спец),""))),""))))</f>
        <v/>
      </c>
      <c r="O83" s="74">
        <v>12</v>
      </c>
      <c r="P83" s="38">
        <f t="shared" si="9"/>
        <v>12</v>
      </c>
      <c r="U83" s="38" t="str">
        <f t="shared" si="10"/>
        <v/>
      </c>
      <c r="V83" s="38" t="str">
        <f t="shared" si="11"/>
        <v/>
      </c>
      <c r="W83" s="38" t="str">
        <f>IF(AND(U83&lt;&gt;"",OR($S$4="(все)",B83=$S$4),IF($S$4="(все)",COUNTIF($U$4:U83,U83),COUNTIFS($U$4:U83,U83,$B$4:B83,B83))=1),MAX($W$3:W82)+1,"")</f>
        <v/>
      </c>
      <c r="X83" s="38" t="str">
        <f t="shared" si="12"/>
        <v/>
      </c>
      <c r="Y83" s="38" t="str">
        <f>IF(AND(A83="Аппарат",C83&lt;&gt;"",OR($S$5="(все)",B83=$S$5)),MAX($Y$3:Y82)+1,"")</f>
        <v/>
      </c>
      <c r="Z83" s="38" t="str">
        <f t="shared" si="13"/>
        <v/>
      </c>
      <c r="AA83" s="38" t="str">
        <f>IF(AND(A83="Модуль",C83&lt;&gt;"",OR($S$6="(все)",B83=$S$6)),MAX($AA$3:AA82)+1,"")</f>
        <v/>
      </c>
      <c r="AB83" s="38" t="str">
        <f t="shared" si="14"/>
        <v/>
      </c>
      <c r="AC83" s="38" t="str">
        <f>IF(OR(B83="",COUNTIF($B$4:B83,B83)&gt;1),"",MAX($AC$3:AC82)+1)</f>
        <v/>
      </c>
      <c r="AD83" s="38" t="str">
        <f t="shared" si="15"/>
        <v/>
      </c>
      <c r="AE83" s="38">
        <f t="shared" si="16"/>
        <v>8083</v>
      </c>
      <c r="AF83" s="38">
        <f t="shared" si="17"/>
        <v>55</v>
      </c>
    </row>
    <row r="84" spans="1:32" x14ac:dyDescent="0.3">
      <c r="A84" s="74" t="s">
        <v>937</v>
      </c>
      <c r="B84" s="74" t="s">
        <v>351</v>
      </c>
      <c r="C84" s="74" t="s">
        <v>406</v>
      </c>
      <c r="D84" s="74"/>
      <c r="E84" s="74"/>
      <c r="F84" s="74"/>
      <c r="G84" s="74" t="s">
        <v>402</v>
      </c>
      <c r="H84" s="74" t="s">
        <v>406</v>
      </c>
      <c r="I84" s="74"/>
      <c r="J84" s="74"/>
      <c r="K84" s="74"/>
      <c r="L84" s="74"/>
      <c r="M84" s="74" t="s">
        <v>352</v>
      </c>
      <c r="N84" s="38" t="str">
        <f>IF(OR(A84="Автомат",A84="Дифавтомат"),IF(W84="","",COUNTIFS(Однолинейка!$H$3:$H$3000,U84,Однолинейка!$A$3:$A$3000,Щит_спец)),IF(A84="Аппарат",IF(C84="","",COUNTIFS(Однолинейка!$I$3:$I$3000,C84,Однолинейка!$A$3:$A$3000,Щит_спец)+COUNTIFS(Однолинейка!$J$3:$J$3000,C84,Однолинейка!$A$3:$A$3000,Щит_спец)+COUNTIFS(Однолинейка!$K$3:$K$3000,C84,Однолинейка!$A$3:$A$3000,Щит_спец)),IF(A84="Модуль",IF(C84="","",COUNTIFS(Однолинейка!$AW$3:$AW$3000,"?*",Однолинейка!$AI$3:$AI$3000,C84,Однолинейка!$A$3:$A$3000,Щит_спец)),IF(A84="Клемма",IF(C84="","",IF(C84=$S$7,SUMIFS(Однолинейка!$BW$3:$BW$3000,Однолинейка!$A$3:$A$3000,Щит_спец),IF(C84=$S$8,SUMIFS(Однолинейка!$BX$3:$BX$3000,Однолинейка!$A$3:$A$3000,Щит_спец),""))),""))))</f>
        <v/>
      </c>
      <c r="O84" s="74">
        <v>12</v>
      </c>
      <c r="P84" s="38">
        <f t="shared" si="9"/>
        <v>12</v>
      </c>
      <c r="U84" s="38" t="str">
        <f t="shared" si="10"/>
        <v/>
      </c>
      <c r="V84" s="38" t="str">
        <f t="shared" si="11"/>
        <v/>
      </c>
      <c r="W84" s="38" t="str">
        <f>IF(AND(U84&lt;&gt;"",OR($S$4="(все)",B84=$S$4),IF($S$4="(все)",COUNTIF($U$4:U84,U84),COUNTIFS($U$4:U84,U84,$B$4:B84,B84))=1),MAX($W$3:W83)+1,"")</f>
        <v/>
      </c>
      <c r="X84" s="38" t="str">
        <f t="shared" si="12"/>
        <v/>
      </c>
      <c r="Y84" s="38" t="str">
        <f>IF(AND(A84="Аппарат",C84&lt;&gt;"",OR($S$5="(все)",B84=$S$5)),MAX($Y$3:Y83)+1,"")</f>
        <v/>
      </c>
      <c r="Z84" s="38" t="str">
        <f t="shared" si="13"/>
        <v/>
      </c>
      <c r="AA84" s="38" t="str">
        <f>IF(AND(A84="Модуль",C84&lt;&gt;"",OR($S$6="(все)",B84=$S$6)),MAX($AA$3:AA83)+1,"")</f>
        <v/>
      </c>
      <c r="AB84" s="38" t="str">
        <f t="shared" si="14"/>
        <v/>
      </c>
      <c r="AC84" s="38" t="str">
        <f>IF(OR(B84="",COUNTIF($B$4:B84,B84)&gt;1),"",MAX($AC$3:AC83)+1)</f>
        <v/>
      </c>
      <c r="AD84" s="38" t="str">
        <f t="shared" si="15"/>
        <v/>
      </c>
      <c r="AE84" s="38">
        <f t="shared" si="16"/>
        <v>8084</v>
      </c>
      <c r="AF84" s="38">
        <f t="shared" si="17"/>
        <v>56</v>
      </c>
    </row>
    <row r="85" spans="1:32" x14ac:dyDescent="0.3">
      <c r="A85" s="74" t="s">
        <v>937</v>
      </c>
      <c r="B85" s="74" t="s">
        <v>351</v>
      </c>
      <c r="C85" s="74" t="s">
        <v>406</v>
      </c>
      <c r="D85" s="74"/>
      <c r="E85" s="74"/>
      <c r="F85" s="74"/>
      <c r="G85" s="74" t="s">
        <v>403</v>
      </c>
      <c r="H85" s="74" t="s">
        <v>406</v>
      </c>
      <c r="I85" s="74"/>
      <c r="J85" s="74"/>
      <c r="K85" s="74"/>
      <c r="L85" s="74"/>
      <c r="M85" s="74" t="s">
        <v>352</v>
      </c>
      <c r="N85" s="38" t="str">
        <f>IF(OR(A85="Автомат",A85="Дифавтомат"),IF(W85="","",COUNTIFS(Однолинейка!$H$3:$H$3000,U85,Однолинейка!$A$3:$A$3000,Щит_спец)),IF(A85="Аппарат",IF(C85="","",COUNTIFS(Однолинейка!$I$3:$I$3000,C85,Однолинейка!$A$3:$A$3000,Щит_спец)+COUNTIFS(Однолинейка!$J$3:$J$3000,C85,Однолинейка!$A$3:$A$3000,Щит_спец)+COUNTIFS(Однолинейка!$K$3:$K$3000,C85,Однолинейка!$A$3:$A$3000,Щит_спец)),IF(A85="Модуль",IF(C85="","",COUNTIFS(Однолинейка!$AW$3:$AW$3000,"?*",Однолинейка!$AI$3:$AI$3000,C85,Однолинейка!$A$3:$A$3000,Щит_спец)),IF(A85="Клемма",IF(C85="","",IF(C85=$S$7,SUMIFS(Однолинейка!$BW$3:$BW$3000,Однолинейка!$A$3:$A$3000,Щит_спец),IF(C85=$S$8,SUMIFS(Однолинейка!$BX$3:$BX$3000,Однолинейка!$A$3:$A$3000,Щит_спец),""))),""))))</f>
        <v/>
      </c>
      <c r="O85" s="74">
        <v>12</v>
      </c>
      <c r="P85" s="38">
        <f t="shared" si="9"/>
        <v>12</v>
      </c>
      <c r="U85" s="38" t="str">
        <f t="shared" si="10"/>
        <v/>
      </c>
      <c r="V85" s="38" t="str">
        <f t="shared" si="11"/>
        <v/>
      </c>
      <c r="W85" s="38" t="str">
        <f>IF(AND(U85&lt;&gt;"",OR($S$4="(все)",B85=$S$4),IF($S$4="(все)",COUNTIF($U$4:U85,U85),COUNTIFS($U$4:U85,U85,$B$4:B85,B85))=1),MAX($W$3:W84)+1,"")</f>
        <v/>
      </c>
      <c r="X85" s="38" t="str">
        <f t="shared" si="12"/>
        <v/>
      </c>
      <c r="Y85" s="38" t="str">
        <f>IF(AND(A85="Аппарат",C85&lt;&gt;"",OR($S$5="(все)",B85=$S$5)),MAX($Y$3:Y84)+1,"")</f>
        <v/>
      </c>
      <c r="Z85" s="38" t="str">
        <f t="shared" si="13"/>
        <v/>
      </c>
      <c r="AA85" s="38" t="str">
        <f>IF(AND(A85="Модуль",C85&lt;&gt;"",OR($S$6="(все)",B85=$S$6)),MAX($AA$3:AA84)+1,"")</f>
        <v/>
      </c>
      <c r="AB85" s="38" t="str">
        <f t="shared" si="14"/>
        <v/>
      </c>
      <c r="AC85" s="38" t="str">
        <f>IF(OR(B85="",COUNTIF($B$4:B85,B85)&gt;1),"",MAX($AC$3:AC84)+1)</f>
        <v/>
      </c>
      <c r="AD85" s="38" t="str">
        <f t="shared" si="15"/>
        <v/>
      </c>
      <c r="AE85" s="38">
        <f t="shared" si="16"/>
        <v>8085</v>
      </c>
      <c r="AF85" s="38">
        <f t="shared" si="17"/>
        <v>57</v>
      </c>
    </row>
    <row r="86" spans="1:32" x14ac:dyDescent="0.3">
      <c r="A86" s="74" t="s">
        <v>937</v>
      </c>
      <c r="B86" s="74" t="s">
        <v>351</v>
      </c>
      <c r="C86" s="74" t="s">
        <v>406</v>
      </c>
      <c r="D86" s="74"/>
      <c r="E86" s="74"/>
      <c r="F86" s="74"/>
      <c r="G86" s="74" t="s">
        <v>404</v>
      </c>
      <c r="H86" s="74" t="s">
        <v>406</v>
      </c>
      <c r="I86" s="74"/>
      <c r="J86" s="74"/>
      <c r="K86" s="74"/>
      <c r="L86" s="74"/>
      <c r="M86" s="74" t="s">
        <v>352</v>
      </c>
      <c r="N86" s="38" t="str">
        <f>IF(OR(A86="Автомат",A86="Дифавтомат"),IF(W86="","",COUNTIFS(Однолинейка!$H$3:$H$3000,U86,Однолинейка!$A$3:$A$3000,Щит_спец)),IF(A86="Аппарат",IF(C86="","",COUNTIFS(Однолинейка!$I$3:$I$3000,C86,Однолинейка!$A$3:$A$3000,Щит_спец)+COUNTIFS(Однолинейка!$J$3:$J$3000,C86,Однолинейка!$A$3:$A$3000,Щит_спец)+COUNTIFS(Однолинейка!$K$3:$K$3000,C86,Однолинейка!$A$3:$A$3000,Щит_спец)),IF(A86="Модуль",IF(C86="","",COUNTIFS(Однолинейка!$AW$3:$AW$3000,"?*",Однолинейка!$AI$3:$AI$3000,C86,Однолинейка!$A$3:$A$3000,Щит_спец)),IF(A86="Клемма",IF(C86="","",IF(C86=$S$7,SUMIFS(Однолинейка!$BW$3:$BW$3000,Однолинейка!$A$3:$A$3000,Щит_спец),IF(C86=$S$8,SUMIFS(Однолинейка!$BX$3:$BX$3000,Однолинейка!$A$3:$A$3000,Щит_спец),""))),""))))</f>
        <v/>
      </c>
      <c r="O86" s="74">
        <v>12</v>
      </c>
      <c r="P86" s="38">
        <f t="shared" si="9"/>
        <v>12</v>
      </c>
      <c r="U86" s="38" t="str">
        <f t="shared" si="10"/>
        <v/>
      </c>
      <c r="V86" s="38" t="str">
        <f t="shared" si="11"/>
        <v/>
      </c>
      <c r="W86" s="38" t="str">
        <f>IF(AND(U86&lt;&gt;"",OR($S$4="(все)",B86=$S$4),IF($S$4="(все)",COUNTIF($U$4:U86,U86),COUNTIFS($U$4:U86,U86,$B$4:B86,B86))=1),MAX($W$3:W85)+1,"")</f>
        <v/>
      </c>
      <c r="X86" s="38" t="str">
        <f t="shared" si="12"/>
        <v/>
      </c>
      <c r="Y86" s="38" t="str">
        <f>IF(AND(A86="Аппарат",C86&lt;&gt;"",OR($S$5="(все)",B86=$S$5)),MAX($Y$3:Y85)+1,"")</f>
        <v/>
      </c>
      <c r="Z86" s="38" t="str">
        <f t="shared" si="13"/>
        <v/>
      </c>
      <c r="AA86" s="38" t="str">
        <f>IF(AND(A86="Модуль",C86&lt;&gt;"",OR($S$6="(все)",B86=$S$6)),MAX($AA$3:AA85)+1,"")</f>
        <v/>
      </c>
      <c r="AB86" s="38" t="str">
        <f t="shared" si="14"/>
        <v/>
      </c>
      <c r="AC86" s="38" t="str">
        <f>IF(OR(B86="",COUNTIF($B$4:B86,B86)&gt;1),"",MAX($AC$3:AC85)+1)</f>
        <v/>
      </c>
      <c r="AD86" s="38" t="str">
        <f t="shared" si="15"/>
        <v/>
      </c>
      <c r="AE86" s="38">
        <f t="shared" si="16"/>
        <v>8086</v>
      </c>
      <c r="AF86" s="38">
        <f t="shared" si="17"/>
        <v>58</v>
      </c>
    </row>
    <row r="87" spans="1:32" x14ac:dyDescent="0.3">
      <c r="A87" s="74" t="s">
        <v>937</v>
      </c>
      <c r="B87" s="74" t="s">
        <v>351</v>
      </c>
      <c r="C87" s="74" t="s">
        <v>406</v>
      </c>
      <c r="D87" s="74"/>
      <c r="E87" s="74"/>
      <c r="F87" s="74"/>
      <c r="G87" s="74" t="s">
        <v>405</v>
      </c>
      <c r="H87" s="74" t="s">
        <v>406</v>
      </c>
      <c r="I87" s="74"/>
      <c r="J87" s="74"/>
      <c r="K87" s="74"/>
      <c r="L87" s="74"/>
      <c r="M87" s="74" t="s">
        <v>352</v>
      </c>
      <c r="N87" s="38" t="str">
        <f>IF(OR(A87="Автомат",A87="Дифавтомат"),IF(W87="","",COUNTIFS(Однолинейка!$H$3:$H$3000,U87,Однолинейка!$A$3:$A$3000,Щит_спец)),IF(A87="Аппарат",IF(C87="","",COUNTIFS(Однолинейка!$I$3:$I$3000,C87,Однолинейка!$A$3:$A$3000,Щит_спец)+COUNTIFS(Однолинейка!$J$3:$J$3000,C87,Однолинейка!$A$3:$A$3000,Щит_спец)+COUNTIFS(Однолинейка!$K$3:$K$3000,C87,Однолинейка!$A$3:$A$3000,Щит_спец)),IF(A87="Модуль",IF(C87="","",COUNTIFS(Однолинейка!$AW$3:$AW$3000,"?*",Однолинейка!$AI$3:$AI$3000,C87,Однолинейка!$A$3:$A$3000,Щит_спец)),IF(A87="Клемма",IF(C87="","",IF(C87=$S$7,SUMIFS(Однолинейка!$BW$3:$BW$3000,Однолинейка!$A$3:$A$3000,Щит_спец),IF(C87=$S$8,SUMIFS(Однолинейка!$BX$3:$BX$3000,Однолинейка!$A$3:$A$3000,Щит_спец),""))),""))))</f>
        <v/>
      </c>
      <c r="O87" s="74">
        <v>8</v>
      </c>
      <c r="P87" s="38">
        <f t="shared" si="9"/>
        <v>8</v>
      </c>
      <c r="U87" s="38" t="str">
        <f t="shared" si="10"/>
        <v/>
      </c>
      <c r="V87" s="38" t="str">
        <f t="shared" si="11"/>
        <v/>
      </c>
      <c r="W87" s="38" t="str">
        <f>IF(AND(U87&lt;&gt;"",OR($S$4="(все)",B87=$S$4),IF($S$4="(все)",COUNTIF($U$4:U87,U87),COUNTIFS($U$4:U87,U87,$B$4:B87,B87))=1),MAX($W$3:W86)+1,"")</f>
        <v/>
      </c>
      <c r="X87" s="38" t="str">
        <f t="shared" si="12"/>
        <v/>
      </c>
      <c r="Y87" s="38" t="str">
        <f>IF(AND(A87="Аппарат",C87&lt;&gt;"",OR($S$5="(все)",B87=$S$5)),MAX($Y$3:Y86)+1,"")</f>
        <v/>
      </c>
      <c r="Z87" s="38" t="str">
        <f t="shared" si="13"/>
        <v/>
      </c>
      <c r="AA87" s="38" t="str">
        <f>IF(AND(A87="Модуль",C87&lt;&gt;"",OR($S$6="(все)",B87=$S$6)),MAX($AA$3:AA86)+1,"")</f>
        <v/>
      </c>
      <c r="AB87" s="38" t="str">
        <f t="shared" si="14"/>
        <v/>
      </c>
      <c r="AC87" s="38" t="str">
        <f>IF(OR(B87="",COUNTIF($B$4:B87,B87)&gt;1),"",MAX($AC$3:AC86)+1)</f>
        <v/>
      </c>
      <c r="AD87" s="38" t="str">
        <f t="shared" si="15"/>
        <v/>
      </c>
      <c r="AE87" s="38">
        <f t="shared" si="16"/>
        <v>8087</v>
      </c>
      <c r="AF87" s="38">
        <f t="shared" si="17"/>
        <v>59</v>
      </c>
    </row>
    <row r="88" spans="1:32" x14ac:dyDescent="0.3">
      <c r="A88" s="74" t="s">
        <v>848</v>
      </c>
      <c r="B88" s="74" t="s">
        <v>368</v>
      </c>
      <c r="C88" s="74" t="s">
        <v>367</v>
      </c>
      <c r="D88" s="74"/>
      <c r="E88" s="74"/>
      <c r="F88" s="74"/>
      <c r="G88" s="74" t="s">
        <v>366</v>
      </c>
      <c r="H88" s="74" t="s">
        <v>367</v>
      </c>
      <c r="I88" s="74"/>
      <c r="J88" s="74"/>
      <c r="K88" s="74"/>
      <c r="L88" s="74"/>
      <c r="M88" s="74" t="s">
        <v>369</v>
      </c>
      <c r="N88" s="38" t="str">
        <f>IF(OR(A88="Автомат",A88="Дифавтомат"),IF(W88="","",COUNTIFS(Однолинейка!$H$3:$H$3000,U88,Однолинейка!$A$3:$A$3000,Щит_спец)),IF(A88="Аппарат",IF(C88="","",COUNTIFS(Однолинейка!$I$3:$I$3000,C88,Однолинейка!$A$3:$A$3000,Щит_спец)+COUNTIFS(Однолинейка!$J$3:$J$3000,C88,Однолинейка!$A$3:$A$3000,Щит_спец)+COUNTIFS(Однолинейка!$K$3:$K$3000,C88,Однолинейка!$A$3:$A$3000,Щит_спец)),IF(A88="Модуль",IF(C88="","",COUNTIFS(Однолинейка!$AW$3:$AW$3000,"?*",Однолинейка!$AI$3:$AI$3000,C88,Однолинейка!$A$3:$A$3000,Щит_спец)),IF(A88="Клемма",IF(C88="","",IF(C88=$S$7,SUMIFS(Однолинейка!$BW$3:$BW$3000,Однолинейка!$A$3:$A$3000,Щит_спец),IF(C88=$S$8,SUMIFS(Однолинейка!$BX$3:$BX$3000,Однолинейка!$A$3:$A$3000,Щит_спец),""))),""))))</f>
        <v/>
      </c>
      <c r="O88" s="74">
        <v>2</v>
      </c>
      <c r="P88" s="38">
        <f t="shared" si="9"/>
        <v>2</v>
      </c>
      <c r="U88" s="38" t="str">
        <f t="shared" si="10"/>
        <v/>
      </c>
      <c r="V88" s="38" t="str">
        <f t="shared" si="11"/>
        <v/>
      </c>
      <c r="W88" s="38" t="str">
        <f>IF(AND(U88&lt;&gt;"",OR($S$4="(все)",B88=$S$4),IF($S$4="(все)",COUNTIF($U$4:U88,U88),COUNTIFS($U$4:U88,U88,$B$4:B88,B88))=1),MAX($W$3:W87)+1,"")</f>
        <v/>
      </c>
      <c r="X88" s="38" t="str">
        <f t="shared" si="12"/>
        <v/>
      </c>
      <c r="Y88" s="38" t="str">
        <f>IF(AND(A88="Аппарат",C88&lt;&gt;"",OR($S$5="(все)",B88=$S$5)),MAX($Y$3:Y87)+1,"")</f>
        <v/>
      </c>
      <c r="Z88" s="38" t="str">
        <f t="shared" si="13"/>
        <v/>
      </c>
      <c r="AA88" s="38" t="str">
        <f>IF(AND(A88="Модуль",C88&lt;&gt;"",OR($S$6="(все)",B88=$S$6)),MAX($AA$3:AA87)+1,"")</f>
        <v/>
      </c>
      <c r="AB88" s="38" t="str">
        <f t="shared" si="14"/>
        <v/>
      </c>
      <c r="AC88" s="38">
        <f>IF(OR(B88="",COUNTIF($B$4:B88,B88)&gt;1),"",MAX($AC$3:AC87)+1)</f>
        <v>9</v>
      </c>
      <c r="AD88" s="38" t="str">
        <f t="shared" si="15"/>
        <v/>
      </c>
      <c r="AE88" s="38">
        <f t="shared" si="16"/>
        <v>9088</v>
      </c>
      <c r="AF88" s="38">
        <f t="shared" si="17"/>
        <v>60</v>
      </c>
    </row>
    <row r="89" spans="1:32" x14ac:dyDescent="0.3">
      <c r="A89" s="74" t="s">
        <v>848</v>
      </c>
      <c r="B89" s="74" t="s">
        <v>368</v>
      </c>
      <c r="C89" s="74" t="s">
        <v>956</v>
      </c>
      <c r="D89" s="74"/>
      <c r="E89" s="74"/>
      <c r="F89" s="74"/>
      <c r="G89" s="74" t="s">
        <v>370</v>
      </c>
      <c r="H89" s="74" t="s">
        <v>956</v>
      </c>
      <c r="I89" s="74"/>
      <c r="J89" s="74"/>
      <c r="K89" s="74"/>
      <c r="L89" s="74"/>
      <c r="M89" s="74" t="s">
        <v>369</v>
      </c>
      <c r="N89" s="38" t="str">
        <f>IF(OR(A89="Автомат",A89="Дифавтомат"),IF(W89="","",COUNTIFS(Однолинейка!$H$3:$H$3000,U89,Однолинейка!$A$3:$A$3000,Щит_спец)),IF(A89="Аппарат",IF(C89="","",COUNTIFS(Однолинейка!$I$3:$I$3000,C89,Однолинейка!$A$3:$A$3000,Щит_спец)+COUNTIFS(Однолинейка!$J$3:$J$3000,C89,Однолинейка!$A$3:$A$3000,Щит_спец)+COUNTIFS(Однолинейка!$K$3:$K$3000,C89,Однолинейка!$A$3:$A$3000,Щит_спец)),IF(A89="Модуль",IF(C89="","",COUNTIFS(Однолинейка!$AW$3:$AW$3000,"?*",Однолинейка!$AI$3:$AI$3000,C89,Однолинейка!$A$3:$A$3000,Щит_спец)),IF(A89="Клемма",IF(C89="","",IF(C89=$S$7,SUMIFS(Однолинейка!$BW$3:$BW$3000,Однолинейка!$A$3:$A$3000,Щит_спец),IF(C89=$S$8,SUMIFS(Однолинейка!$BX$3:$BX$3000,Однолинейка!$A$3:$A$3000,Щит_спец),""))),""))))</f>
        <v/>
      </c>
      <c r="O89" s="74">
        <v>2</v>
      </c>
      <c r="P89" s="38">
        <f t="shared" si="9"/>
        <v>2</v>
      </c>
      <c r="U89" s="38" t="str">
        <f t="shared" si="10"/>
        <v/>
      </c>
      <c r="V89" s="38" t="str">
        <f t="shared" si="11"/>
        <v/>
      </c>
      <c r="W89" s="38" t="str">
        <f>IF(AND(U89&lt;&gt;"",OR($S$4="(все)",B89=$S$4),IF($S$4="(все)",COUNTIF($U$4:U89,U89),COUNTIFS($U$4:U89,U89,$B$4:B89,B89))=1),MAX($W$3:W88)+1,"")</f>
        <v/>
      </c>
      <c r="X89" s="38" t="str">
        <f t="shared" si="12"/>
        <v/>
      </c>
      <c r="Y89" s="38" t="str">
        <f>IF(AND(A89="Аппарат",C89&lt;&gt;"",OR($S$5="(все)",B89=$S$5)),MAX($Y$3:Y88)+1,"")</f>
        <v/>
      </c>
      <c r="Z89" s="38" t="str">
        <f t="shared" si="13"/>
        <v/>
      </c>
      <c r="AA89" s="38" t="str">
        <f>IF(AND(A89="Модуль",C89&lt;&gt;"",OR($S$6="(все)",B89=$S$6)),MAX($AA$3:AA88)+1,"")</f>
        <v/>
      </c>
      <c r="AB89" s="38" t="str">
        <f t="shared" si="14"/>
        <v/>
      </c>
      <c r="AC89" s="38" t="str">
        <f>IF(OR(B89="",COUNTIF($B$4:B89,B89)&gt;1),"",MAX($AC$3:AC88)+1)</f>
        <v/>
      </c>
      <c r="AD89" s="38" t="str">
        <f t="shared" si="15"/>
        <v/>
      </c>
      <c r="AE89" s="38">
        <f t="shared" si="16"/>
        <v>9089</v>
      </c>
      <c r="AF89" s="38">
        <f t="shared" si="17"/>
        <v>61</v>
      </c>
    </row>
    <row r="90" spans="1:32" x14ac:dyDescent="0.3">
      <c r="A90" s="74" t="s">
        <v>848</v>
      </c>
      <c r="B90" s="74" t="s">
        <v>368</v>
      </c>
      <c r="C90" s="74" t="s">
        <v>957</v>
      </c>
      <c r="D90" s="74"/>
      <c r="E90" s="74"/>
      <c r="F90" s="74"/>
      <c r="G90" s="74" t="s">
        <v>371</v>
      </c>
      <c r="H90" s="74" t="s">
        <v>957</v>
      </c>
      <c r="I90" s="74"/>
      <c r="J90" s="74"/>
      <c r="K90" s="74"/>
      <c r="L90" s="74"/>
      <c r="M90" s="74" t="s">
        <v>369</v>
      </c>
      <c r="N90" s="38" t="str">
        <f>IF(OR(A90="Автомат",A90="Дифавтомат"),IF(W90="","",COUNTIFS(Однолинейка!$H$3:$H$3000,U90,Однолинейка!$A$3:$A$3000,Щит_спец)),IF(A90="Аппарат",IF(C90="","",COUNTIFS(Однолинейка!$I$3:$I$3000,C90,Однолинейка!$A$3:$A$3000,Щит_спец)+COUNTIFS(Однолинейка!$J$3:$J$3000,C90,Однолинейка!$A$3:$A$3000,Щит_спец)+COUNTIFS(Однолинейка!$K$3:$K$3000,C90,Однолинейка!$A$3:$A$3000,Щит_спец)),IF(A90="Модуль",IF(C90="","",COUNTIFS(Однолинейка!$AW$3:$AW$3000,"?*",Однолинейка!$AI$3:$AI$3000,C90,Однолинейка!$A$3:$A$3000,Щит_спец)),IF(A90="Клемма",IF(C90="","",IF(C90=$S$7,SUMIFS(Однолинейка!$BW$3:$BW$3000,Однолинейка!$A$3:$A$3000,Щит_спец),IF(C90=$S$8,SUMIFS(Однолинейка!$BX$3:$BX$3000,Однолинейка!$A$3:$A$3000,Щит_спец),""))),""))))</f>
        <v/>
      </c>
      <c r="O90" s="74">
        <v>2</v>
      </c>
      <c r="P90" s="38">
        <f t="shared" si="9"/>
        <v>2</v>
      </c>
      <c r="U90" s="38" t="str">
        <f t="shared" si="10"/>
        <v/>
      </c>
      <c r="V90" s="38" t="str">
        <f t="shared" si="11"/>
        <v/>
      </c>
      <c r="W90" s="38" t="str">
        <f>IF(AND(U90&lt;&gt;"",OR($S$4="(все)",B90=$S$4),IF($S$4="(все)",COUNTIF($U$4:U90,U90),COUNTIFS($U$4:U90,U90,$B$4:B90,B90))=1),MAX($W$3:W89)+1,"")</f>
        <v/>
      </c>
      <c r="X90" s="38" t="str">
        <f t="shared" si="12"/>
        <v/>
      </c>
      <c r="Y90" s="38" t="str">
        <f>IF(AND(A90="Аппарат",C90&lt;&gt;"",OR($S$5="(все)",B90=$S$5)),MAX($Y$3:Y89)+1,"")</f>
        <v/>
      </c>
      <c r="Z90" s="38" t="str">
        <f t="shared" si="13"/>
        <v/>
      </c>
      <c r="AA90" s="38" t="str">
        <f>IF(AND(A90="Модуль",C90&lt;&gt;"",OR($S$6="(все)",B90=$S$6)),MAX($AA$3:AA89)+1,"")</f>
        <v/>
      </c>
      <c r="AB90" s="38" t="str">
        <f t="shared" si="14"/>
        <v/>
      </c>
      <c r="AC90" s="38" t="str">
        <f>IF(OR(B90="",COUNTIF($B$4:B90,B90)&gt;1),"",MAX($AC$3:AC89)+1)</f>
        <v/>
      </c>
      <c r="AD90" s="38" t="str">
        <f t="shared" si="15"/>
        <v/>
      </c>
      <c r="AE90" s="38">
        <f t="shared" si="16"/>
        <v>9090</v>
      </c>
      <c r="AF90" s="38">
        <f t="shared" si="17"/>
        <v>62</v>
      </c>
    </row>
    <row r="91" spans="1:32" x14ac:dyDescent="0.3">
      <c r="A91" s="74" t="s">
        <v>848</v>
      </c>
      <c r="B91" s="74" t="s">
        <v>368</v>
      </c>
      <c r="C91" s="74" t="s">
        <v>373</v>
      </c>
      <c r="D91" s="74"/>
      <c r="E91" s="74"/>
      <c r="F91" s="74"/>
      <c r="G91" s="74" t="s">
        <v>372</v>
      </c>
      <c r="H91" s="74" t="s">
        <v>373</v>
      </c>
      <c r="I91" s="74"/>
      <c r="J91" s="74"/>
      <c r="K91" s="74"/>
      <c r="L91" s="74"/>
      <c r="M91" s="74" t="s">
        <v>369</v>
      </c>
      <c r="N91" s="38" t="str">
        <f>IF(OR(A91="Автомат",A91="Дифавтомат"),IF(W91="","",COUNTIFS(Однолинейка!$H$3:$H$3000,U91,Однолинейка!$A$3:$A$3000,Щит_спец)),IF(A91="Аппарат",IF(C91="","",COUNTIFS(Однолинейка!$I$3:$I$3000,C91,Однолинейка!$A$3:$A$3000,Щит_спец)+COUNTIFS(Однолинейка!$J$3:$J$3000,C91,Однолинейка!$A$3:$A$3000,Щит_спец)+COUNTIFS(Однолинейка!$K$3:$K$3000,C91,Однолинейка!$A$3:$A$3000,Щит_спец)),IF(A91="Модуль",IF(C91="","",COUNTIFS(Однолинейка!$AW$3:$AW$3000,"?*",Однолинейка!$AI$3:$AI$3000,C91,Однолинейка!$A$3:$A$3000,Щит_спец)),IF(A91="Клемма",IF(C91="","",IF(C91=$S$7,SUMIFS(Однолинейка!$BW$3:$BW$3000,Однолинейка!$A$3:$A$3000,Щит_спец),IF(C91=$S$8,SUMIFS(Однолинейка!$BX$3:$BX$3000,Однолинейка!$A$3:$A$3000,Щит_спец),""))),""))))</f>
        <v/>
      </c>
      <c r="O91" s="74">
        <v>2</v>
      </c>
      <c r="P91" s="38">
        <f t="shared" si="9"/>
        <v>2</v>
      </c>
      <c r="U91" s="38" t="str">
        <f t="shared" si="10"/>
        <v/>
      </c>
      <c r="V91" s="38" t="str">
        <f t="shared" si="11"/>
        <v/>
      </c>
      <c r="W91" s="38" t="str">
        <f>IF(AND(U91&lt;&gt;"",OR($S$4="(все)",B91=$S$4),IF($S$4="(все)",COUNTIF($U$4:U91,U91),COUNTIFS($U$4:U91,U91,$B$4:B91,B91))=1),MAX($W$3:W90)+1,"")</f>
        <v/>
      </c>
      <c r="X91" s="38" t="str">
        <f t="shared" si="12"/>
        <v/>
      </c>
      <c r="Y91" s="38" t="str">
        <f>IF(AND(A91="Аппарат",C91&lt;&gt;"",OR($S$5="(все)",B91=$S$5)),MAX($Y$3:Y90)+1,"")</f>
        <v/>
      </c>
      <c r="Z91" s="38" t="str">
        <f t="shared" si="13"/>
        <v/>
      </c>
      <c r="AA91" s="38" t="str">
        <f>IF(AND(A91="Модуль",C91&lt;&gt;"",OR($S$6="(все)",B91=$S$6)),MAX($AA$3:AA90)+1,"")</f>
        <v/>
      </c>
      <c r="AB91" s="38" t="str">
        <f t="shared" si="14"/>
        <v/>
      </c>
      <c r="AC91" s="38" t="str">
        <f>IF(OR(B91="",COUNTIF($B$4:B91,B91)&gt;1),"",MAX($AC$3:AC90)+1)</f>
        <v/>
      </c>
      <c r="AD91" s="38" t="str">
        <f t="shared" si="15"/>
        <v/>
      </c>
      <c r="AE91" s="38">
        <f t="shared" si="16"/>
        <v>9091</v>
      </c>
      <c r="AF91" s="38">
        <f t="shared" si="17"/>
        <v>63</v>
      </c>
    </row>
    <row r="92" spans="1:32" x14ac:dyDescent="0.3">
      <c r="A92" s="74" t="s">
        <v>848</v>
      </c>
      <c r="B92" s="74" t="s">
        <v>368</v>
      </c>
      <c r="C92" s="74" t="s">
        <v>375</v>
      </c>
      <c r="D92" s="74"/>
      <c r="E92" s="74"/>
      <c r="F92" s="74"/>
      <c r="G92" s="74" t="s">
        <v>374</v>
      </c>
      <c r="H92" s="74" t="s">
        <v>375</v>
      </c>
      <c r="I92" s="74"/>
      <c r="J92" s="74"/>
      <c r="K92" s="74"/>
      <c r="L92" s="74"/>
      <c r="M92" s="74" t="s">
        <v>369</v>
      </c>
      <c r="N92" s="38" t="str">
        <f>IF(OR(A92="Автомат",A92="Дифавтомат"),IF(W92="","",COUNTIFS(Однолинейка!$H$3:$H$3000,U92,Однолинейка!$A$3:$A$3000,Щит_спец)),IF(A92="Аппарат",IF(C92="","",COUNTIFS(Однолинейка!$I$3:$I$3000,C92,Однолинейка!$A$3:$A$3000,Щит_спец)+COUNTIFS(Однолинейка!$J$3:$J$3000,C92,Однолинейка!$A$3:$A$3000,Щит_спец)+COUNTIFS(Однолинейка!$K$3:$K$3000,C92,Однолинейка!$A$3:$A$3000,Щит_спец)),IF(A92="Модуль",IF(C92="","",COUNTIFS(Однолинейка!$AW$3:$AW$3000,"?*",Однолинейка!$AI$3:$AI$3000,C92,Однолинейка!$A$3:$A$3000,Щит_спец)),IF(A92="Клемма",IF(C92="","",IF(C92=$S$7,SUMIFS(Однолинейка!$BW$3:$BW$3000,Однолинейка!$A$3:$A$3000,Щит_спец),IF(C92=$S$8,SUMIFS(Однолинейка!$BX$3:$BX$3000,Однолинейка!$A$3:$A$3000,Щит_спец),""))),""))))</f>
        <v/>
      </c>
      <c r="O92" s="74">
        <v>1</v>
      </c>
      <c r="P92" s="38">
        <f t="shared" si="9"/>
        <v>1</v>
      </c>
      <c r="U92" s="38" t="str">
        <f t="shared" si="10"/>
        <v/>
      </c>
      <c r="V92" s="38" t="str">
        <f t="shared" si="11"/>
        <v/>
      </c>
      <c r="W92" s="38" t="str">
        <f>IF(AND(U92&lt;&gt;"",OR($S$4="(все)",B92=$S$4),IF($S$4="(все)",COUNTIF($U$4:U92,U92),COUNTIFS($U$4:U92,U92,$B$4:B92,B92))=1),MAX($W$3:W91)+1,"")</f>
        <v/>
      </c>
      <c r="X92" s="38" t="str">
        <f t="shared" si="12"/>
        <v/>
      </c>
      <c r="Y92" s="38" t="str">
        <f>IF(AND(A92="Аппарат",C92&lt;&gt;"",OR($S$5="(все)",B92=$S$5)),MAX($Y$3:Y91)+1,"")</f>
        <v/>
      </c>
      <c r="Z92" s="38" t="str">
        <f t="shared" si="13"/>
        <v/>
      </c>
      <c r="AA92" s="38" t="str">
        <f>IF(AND(A92="Модуль",C92&lt;&gt;"",OR($S$6="(все)",B92=$S$6)),MAX($AA$3:AA91)+1,"")</f>
        <v/>
      </c>
      <c r="AB92" s="38" t="str">
        <f t="shared" si="14"/>
        <v/>
      </c>
      <c r="AC92" s="38" t="str">
        <f>IF(OR(B92="",COUNTIF($B$4:B92,B92)&gt;1),"",MAX($AC$3:AC91)+1)</f>
        <v/>
      </c>
      <c r="AD92" s="38" t="str">
        <f t="shared" si="15"/>
        <v/>
      </c>
      <c r="AE92" s="38">
        <f t="shared" si="16"/>
        <v>9092</v>
      </c>
      <c r="AF92" s="38">
        <f t="shared" si="17"/>
        <v>64</v>
      </c>
    </row>
    <row r="93" spans="1:32" x14ac:dyDescent="0.3">
      <c r="A93" s="74" t="s">
        <v>848</v>
      </c>
      <c r="B93" s="74" t="s">
        <v>368</v>
      </c>
      <c r="C93" s="74" t="s">
        <v>377</v>
      </c>
      <c r="D93" s="74"/>
      <c r="E93" s="74"/>
      <c r="F93" s="74"/>
      <c r="G93" s="74" t="s">
        <v>376</v>
      </c>
      <c r="H93" s="74" t="s">
        <v>377</v>
      </c>
      <c r="I93" s="74"/>
      <c r="J93" s="74"/>
      <c r="K93" s="74"/>
      <c r="L93" s="74"/>
      <c r="M93" s="74" t="s">
        <v>369</v>
      </c>
      <c r="N93" s="38" t="str">
        <f>IF(OR(A93="Автомат",A93="Дифавтомат"),IF(W93="","",COUNTIFS(Однолинейка!$H$3:$H$3000,U93,Однолинейка!$A$3:$A$3000,Щит_спец)),IF(A93="Аппарат",IF(C93="","",COUNTIFS(Однолинейка!$I$3:$I$3000,C93,Однолинейка!$A$3:$A$3000,Щит_спец)+COUNTIFS(Однолинейка!$J$3:$J$3000,C93,Однолинейка!$A$3:$A$3000,Щит_спец)+COUNTIFS(Однолинейка!$K$3:$K$3000,C93,Однолинейка!$A$3:$A$3000,Щит_спец)),IF(A93="Модуль",IF(C93="","",COUNTIFS(Однолинейка!$AW$3:$AW$3000,"?*",Однолинейка!$AI$3:$AI$3000,C93,Однолинейка!$A$3:$A$3000,Щит_спец)),IF(A93="Клемма",IF(C93="","",IF(C93=$S$7,SUMIFS(Однолинейка!$BW$3:$BW$3000,Однолинейка!$A$3:$A$3000,Щит_спец),IF(C93=$S$8,SUMIFS(Однолинейка!$BX$3:$BX$3000,Однолинейка!$A$3:$A$3000,Щит_спец),""))),""))))</f>
        <v/>
      </c>
      <c r="O93" s="74">
        <v>1</v>
      </c>
      <c r="P93" s="38">
        <f t="shared" si="9"/>
        <v>1</v>
      </c>
      <c r="U93" s="38" t="str">
        <f t="shared" si="10"/>
        <v/>
      </c>
      <c r="V93" s="38" t="str">
        <f t="shared" si="11"/>
        <v/>
      </c>
      <c r="W93" s="38" t="str">
        <f>IF(AND(U93&lt;&gt;"",OR($S$4="(все)",B93=$S$4),IF($S$4="(все)",COUNTIF($U$4:U93,U93),COUNTIFS($U$4:U93,U93,$B$4:B93,B93))=1),MAX($W$3:W92)+1,"")</f>
        <v/>
      </c>
      <c r="X93" s="38" t="str">
        <f t="shared" si="12"/>
        <v/>
      </c>
      <c r="Y93" s="38" t="str">
        <f>IF(AND(A93="Аппарат",C93&lt;&gt;"",OR($S$5="(все)",B93=$S$5)),MAX($Y$3:Y92)+1,"")</f>
        <v/>
      </c>
      <c r="Z93" s="38" t="str">
        <f t="shared" si="13"/>
        <v/>
      </c>
      <c r="AA93" s="38" t="str">
        <f>IF(AND(A93="Модуль",C93&lt;&gt;"",OR($S$6="(все)",B93=$S$6)),MAX($AA$3:AA92)+1,"")</f>
        <v/>
      </c>
      <c r="AB93" s="38" t="str">
        <f t="shared" si="14"/>
        <v/>
      </c>
      <c r="AC93" s="38" t="str">
        <f>IF(OR(B93="",COUNTIF($B$4:B93,B93)&gt;1),"",MAX($AC$3:AC92)+1)</f>
        <v/>
      </c>
      <c r="AD93" s="38" t="str">
        <f t="shared" si="15"/>
        <v/>
      </c>
      <c r="AE93" s="38">
        <f t="shared" si="16"/>
        <v>9093</v>
      </c>
      <c r="AF93" s="38">
        <f t="shared" si="17"/>
        <v>65</v>
      </c>
    </row>
    <row r="94" spans="1:32" x14ac:dyDescent="0.3">
      <c r="A94" s="74" t="s">
        <v>848</v>
      </c>
      <c r="B94" s="74" t="s">
        <v>368</v>
      </c>
      <c r="C94" s="74" t="s">
        <v>958</v>
      </c>
      <c r="D94" s="74"/>
      <c r="E94" s="74"/>
      <c r="F94" s="74"/>
      <c r="G94" s="74" t="s">
        <v>407</v>
      </c>
      <c r="H94" s="74" t="s">
        <v>958</v>
      </c>
      <c r="I94" s="74"/>
      <c r="J94" s="74"/>
      <c r="K94" s="74"/>
      <c r="L94" s="74"/>
      <c r="M94" s="74" t="s">
        <v>307</v>
      </c>
      <c r="N94" s="38" t="str">
        <f>IF(OR(A94="Автомат",A94="Дифавтомат"),IF(W94="","",COUNTIFS(Однолинейка!$H$3:$H$3000,U94,Однолинейка!$A$3:$A$3000,Щит_спец)),IF(A94="Аппарат",IF(C94="","",COUNTIFS(Однолинейка!$I$3:$I$3000,C94,Однолинейка!$A$3:$A$3000,Щит_спец)+COUNTIFS(Однолинейка!$J$3:$J$3000,C94,Однолинейка!$A$3:$A$3000,Щит_спец)+COUNTIFS(Однолинейка!$K$3:$K$3000,C94,Однолинейка!$A$3:$A$3000,Щит_спец)),IF(A94="Модуль",IF(C94="","",COUNTIFS(Однолинейка!$AW$3:$AW$3000,"?*",Однолинейка!$AI$3:$AI$3000,C94,Однолинейка!$A$3:$A$3000,Щит_спец)),IF(A94="Клемма",IF(C94="","",IF(C94=$S$7,SUMIFS(Однолинейка!$BW$3:$BW$3000,Однолинейка!$A$3:$A$3000,Щит_спец),IF(C94=$S$8,SUMIFS(Однолинейка!$BX$3:$BX$3000,Однолинейка!$A$3:$A$3000,Щит_спец),""))),""))))</f>
        <v/>
      </c>
      <c r="O94" s="74">
        <v>40</v>
      </c>
      <c r="P94" s="38">
        <f t="shared" si="9"/>
        <v>40</v>
      </c>
      <c r="U94" s="38" t="str">
        <f t="shared" si="10"/>
        <v/>
      </c>
      <c r="V94" s="38" t="str">
        <f t="shared" si="11"/>
        <v/>
      </c>
      <c r="W94" s="38" t="str">
        <f>IF(AND(U94&lt;&gt;"",OR($S$4="(все)",B94=$S$4),IF($S$4="(все)",COUNTIF($U$4:U94,U94),COUNTIFS($U$4:U94,U94,$B$4:B94,B94))=1),MAX($W$3:W93)+1,"")</f>
        <v/>
      </c>
      <c r="X94" s="38" t="str">
        <f t="shared" si="12"/>
        <v/>
      </c>
      <c r="Y94" s="38" t="str">
        <f>IF(AND(A94="Аппарат",C94&lt;&gt;"",OR($S$5="(все)",B94=$S$5)),MAX($Y$3:Y93)+1,"")</f>
        <v/>
      </c>
      <c r="Z94" s="38" t="str">
        <f t="shared" si="13"/>
        <v/>
      </c>
      <c r="AA94" s="38" t="str">
        <f>IF(AND(A94="Модуль",C94&lt;&gt;"",OR($S$6="(все)",B94=$S$6)),MAX($AA$3:AA93)+1,"")</f>
        <v/>
      </c>
      <c r="AB94" s="38" t="str">
        <f t="shared" si="14"/>
        <v/>
      </c>
      <c r="AC94" s="38" t="str">
        <f>IF(OR(B94="",COUNTIF($B$4:B94,B94)&gt;1),"",MAX($AC$3:AC93)+1)</f>
        <v/>
      </c>
      <c r="AD94" s="38" t="str">
        <f t="shared" si="15"/>
        <v/>
      </c>
      <c r="AE94" s="38">
        <f t="shared" si="16"/>
        <v>9094</v>
      </c>
      <c r="AF94" s="38">
        <f t="shared" si="17"/>
        <v>66</v>
      </c>
    </row>
    <row r="95" spans="1:32" x14ac:dyDescent="0.3">
      <c r="A95" s="74" t="s">
        <v>848</v>
      </c>
      <c r="B95" s="74" t="s">
        <v>368</v>
      </c>
      <c r="C95" s="74" t="s">
        <v>959</v>
      </c>
      <c r="D95" s="74"/>
      <c r="E95" s="74"/>
      <c r="F95" s="74"/>
      <c r="G95" s="74" t="s">
        <v>408</v>
      </c>
      <c r="H95" s="74" t="s">
        <v>959</v>
      </c>
      <c r="I95" s="74"/>
      <c r="J95" s="74"/>
      <c r="K95" s="74"/>
      <c r="L95" s="74"/>
      <c r="M95" s="74" t="s">
        <v>307</v>
      </c>
      <c r="N95" s="38" t="str">
        <f>IF(OR(A95="Автомат",A95="Дифавтомат"),IF(W95="","",COUNTIFS(Однолинейка!$H$3:$H$3000,U95,Однолинейка!$A$3:$A$3000,Щит_спец)),IF(A95="Аппарат",IF(C95="","",COUNTIFS(Однолинейка!$I$3:$I$3000,C95,Однолинейка!$A$3:$A$3000,Щит_спец)+COUNTIFS(Однолинейка!$J$3:$J$3000,C95,Однолинейка!$A$3:$A$3000,Щит_спец)+COUNTIFS(Однолинейка!$K$3:$K$3000,C95,Однолинейка!$A$3:$A$3000,Щит_спец)),IF(A95="Модуль",IF(C95="","",COUNTIFS(Однолинейка!$AW$3:$AW$3000,"?*",Однолинейка!$AI$3:$AI$3000,C95,Однолинейка!$A$3:$A$3000,Щит_спец)),IF(A95="Клемма",IF(C95="","",IF(C95=$S$7,SUMIFS(Однолинейка!$BW$3:$BW$3000,Однолинейка!$A$3:$A$3000,Щит_спец),IF(C95=$S$8,SUMIFS(Однолинейка!$BX$3:$BX$3000,Однолинейка!$A$3:$A$3000,Щит_спец),""))),""))))</f>
        <v/>
      </c>
      <c r="O95" s="74">
        <v>20</v>
      </c>
      <c r="P95" s="38">
        <f t="shared" si="9"/>
        <v>20</v>
      </c>
      <c r="U95" s="38" t="str">
        <f t="shared" si="10"/>
        <v/>
      </c>
      <c r="V95" s="38" t="str">
        <f t="shared" si="11"/>
        <v/>
      </c>
      <c r="W95" s="38" t="str">
        <f>IF(AND(U95&lt;&gt;"",OR($S$4="(все)",B95=$S$4),IF($S$4="(все)",COUNTIF($U$4:U95,U95),COUNTIFS($U$4:U95,U95,$B$4:B95,B95))=1),MAX($W$3:W94)+1,"")</f>
        <v/>
      </c>
      <c r="X95" s="38" t="str">
        <f t="shared" si="12"/>
        <v/>
      </c>
      <c r="Y95" s="38" t="str">
        <f>IF(AND(A95="Аппарат",C95&lt;&gt;"",OR($S$5="(все)",B95=$S$5)),MAX($Y$3:Y94)+1,"")</f>
        <v/>
      </c>
      <c r="Z95" s="38" t="str">
        <f t="shared" si="13"/>
        <v/>
      </c>
      <c r="AA95" s="38" t="str">
        <f>IF(AND(A95="Модуль",C95&lt;&gt;"",OR($S$6="(все)",B95=$S$6)),MAX($AA$3:AA94)+1,"")</f>
        <v/>
      </c>
      <c r="AB95" s="38" t="str">
        <f t="shared" si="14"/>
        <v/>
      </c>
      <c r="AC95" s="38" t="str">
        <f>IF(OR(B95="",COUNTIF($B$4:B95,B95)&gt;1),"",MAX($AC$3:AC94)+1)</f>
        <v/>
      </c>
      <c r="AD95" s="38" t="str">
        <f t="shared" si="15"/>
        <v/>
      </c>
      <c r="AE95" s="38">
        <f t="shared" si="16"/>
        <v>9095</v>
      </c>
      <c r="AF95" s="38">
        <f t="shared" si="17"/>
        <v>67</v>
      </c>
    </row>
    <row r="96" spans="1:32" x14ac:dyDescent="0.3">
      <c r="A96" s="74" t="s">
        <v>848</v>
      </c>
      <c r="B96" s="74" t="s">
        <v>324</v>
      </c>
      <c r="C96" s="74" t="s">
        <v>379</v>
      </c>
      <c r="D96" s="74"/>
      <c r="E96" s="74"/>
      <c r="F96" s="74"/>
      <c r="G96" s="74" t="s">
        <v>378</v>
      </c>
      <c r="H96" s="74" t="s">
        <v>379</v>
      </c>
      <c r="I96" s="74"/>
      <c r="J96" s="74"/>
      <c r="K96" s="74"/>
      <c r="L96" s="74"/>
      <c r="M96" s="74" t="s">
        <v>307</v>
      </c>
      <c r="N96" s="38" t="str">
        <f>IF(OR(A96="Автомат",A96="Дифавтомат"),IF(W96="","",COUNTIFS(Однолинейка!$H$3:$H$3000,U96,Однолинейка!$A$3:$A$3000,Щит_спец)),IF(A96="Аппарат",IF(C96="","",COUNTIFS(Однолинейка!$I$3:$I$3000,C96,Однолинейка!$A$3:$A$3000,Щит_спец)+COUNTIFS(Однолинейка!$J$3:$J$3000,C96,Однолинейка!$A$3:$A$3000,Щит_спец)+COUNTIFS(Однолинейка!$K$3:$K$3000,C96,Однолинейка!$A$3:$A$3000,Щит_спец)),IF(A96="Модуль",IF(C96="","",COUNTIFS(Однолинейка!$AW$3:$AW$3000,"?*",Однолинейка!$AI$3:$AI$3000,C96,Однолинейка!$A$3:$A$3000,Щит_спец)),IF(A96="Клемма",IF(C96="","",IF(C96=$S$7,SUMIFS(Однолинейка!$BW$3:$BW$3000,Однолинейка!$A$3:$A$3000,Щит_спец),IF(C96=$S$8,SUMIFS(Однолинейка!$BX$3:$BX$3000,Однолинейка!$A$3:$A$3000,Щит_спец),""))),""))))</f>
        <v/>
      </c>
      <c r="O96" s="74">
        <v>1</v>
      </c>
      <c r="P96" s="38">
        <f t="shared" si="9"/>
        <v>1</v>
      </c>
      <c r="U96" s="38" t="str">
        <f t="shared" si="10"/>
        <v/>
      </c>
      <c r="V96" s="38" t="str">
        <f t="shared" si="11"/>
        <v/>
      </c>
      <c r="W96" s="38" t="str">
        <f>IF(AND(U96&lt;&gt;"",OR($S$4="(все)",B96=$S$4),IF($S$4="(все)",COUNTIF($U$4:U96,U96),COUNTIFS($U$4:U96,U96,$B$4:B96,B96))=1),MAX($W$3:W95)+1,"")</f>
        <v/>
      </c>
      <c r="X96" s="38" t="str">
        <f t="shared" si="12"/>
        <v/>
      </c>
      <c r="Y96" s="38" t="str">
        <f>IF(AND(A96="Аппарат",C96&lt;&gt;"",OR($S$5="(все)",B96=$S$5)),MAX($Y$3:Y95)+1,"")</f>
        <v/>
      </c>
      <c r="Z96" s="38" t="str">
        <f t="shared" si="13"/>
        <v/>
      </c>
      <c r="AA96" s="38" t="str">
        <f>IF(AND(A96="Модуль",C96&lt;&gt;"",OR($S$6="(все)",B96=$S$6)),MAX($AA$3:AA95)+1,"")</f>
        <v/>
      </c>
      <c r="AB96" s="38" t="str">
        <f t="shared" si="14"/>
        <v/>
      </c>
      <c r="AC96" s="38" t="str">
        <f>IF(OR(B96="",COUNTIF($B$4:B96,B96)&gt;1),"",MAX($AC$3:AC95)+1)</f>
        <v/>
      </c>
      <c r="AD96" s="38" t="str">
        <f t="shared" si="15"/>
        <v/>
      </c>
      <c r="AE96" s="38">
        <f t="shared" si="16"/>
        <v>9096</v>
      </c>
      <c r="AF96" s="38">
        <f t="shared" si="17"/>
        <v>68</v>
      </c>
    </row>
    <row r="97" spans="1:32" x14ac:dyDescent="0.3">
      <c r="A97" s="74" t="s">
        <v>848</v>
      </c>
      <c r="B97" s="74" t="s">
        <v>304</v>
      </c>
      <c r="C97" s="74" t="s">
        <v>381</v>
      </c>
      <c r="D97" s="74"/>
      <c r="E97" s="74"/>
      <c r="F97" s="74"/>
      <c r="G97" s="74" t="s">
        <v>380</v>
      </c>
      <c r="H97" s="74" t="s">
        <v>381</v>
      </c>
      <c r="I97" s="74"/>
      <c r="J97" s="74"/>
      <c r="K97" s="74"/>
      <c r="L97" s="74"/>
      <c r="M97" s="74" t="s">
        <v>307</v>
      </c>
      <c r="N97" s="38" t="str">
        <f>IF(OR(A97="Автомат",A97="Дифавтомат"),IF(W97="","",COUNTIFS(Однолинейка!$H$3:$H$3000,U97,Однолинейка!$A$3:$A$3000,Щит_спец)),IF(A97="Аппарат",IF(C97="","",COUNTIFS(Однолинейка!$I$3:$I$3000,C97,Однолинейка!$A$3:$A$3000,Щит_спец)+COUNTIFS(Однолинейка!$J$3:$J$3000,C97,Однолинейка!$A$3:$A$3000,Щит_спец)+COUNTIFS(Однолинейка!$K$3:$K$3000,C97,Однолинейка!$A$3:$A$3000,Щит_спец)),IF(A97="Модуль",IF(C97="","",COUNTIFS(Однолинейка!$AW$3:$AW$3000,"?*",Однолинейка!$AI$3:$AI$3000,C97,Однолинейка!$A$3:$A$3000,Щит_спец)),IF(A97="Клемма",IF(C97="","",IF(C97=$S$7,SUMIFS(Однолинейка!$BW$3:$BW$3000,Однолинейка!$A$3:$A$3000,Щит_спец),IF(C97=$S$8,SUMIFS(Однолинейка!$BX$3:$BX$3000,Однолинейка!$A$3:$A$3000,Щит_спец),""))),""))))</f>
        <v/>
      </c>
      <c r="O97" s="74">
        <v>1</v>
      </c>
      <c r="P97" s="38">
        <f t="shared" si="9"/>
        <v>1</v>
      </c>
      <c r="U97" s="38" t="str">
        <f t="shared" si="10"/>
        <v/>
      </c>
      <c r="V97" s="38" t="str">
        <f t="shared" si="11"/>
        <v/>
      </c>
      <c r="W97" s="38" t="str">
        <f>IF(AND(U97&lt;&gt;"",OR($S$4="(все)",B97=$S$4),IF($S$4="(все)",COUNTIF($U$4:U97,U97),COUNTIFS($U$4:U97,U97,$B$4:B97,B97))=1),MAX($W$3:W96)+1,"")</f>
        <v/>
      </c>
      <c r="X97" s="38" t="str">
        <f t="shared" si="12"/>
        <v/>
      </c>
      <c r="Y97" s="38" t="str">
        <f>IF(AND(A97="Аппарат",C97&lt;&gt;"",OR($S$5="(все)",B97=$S$5)),MAX($Y$3:Y96)+1,"")</f>
        <v/>
      </c>
      <c r="Z97" s="38" t="str">
        <f t="shared" si="13"/>
        <v/>
      </c>
      <c r="AA97" s="38" t="str">
        <f>IF(AND(A97="Модуль",C97&lt;&gt;"",OR($S$6="(все)",B97=$S$6)),MAX($AA$3:AA96)+1,"")</f>
        <v/>
      </c>
      <c r="AB97" s="38" t="str">
        <f t="shared" si="14"/>
        <v/>
      </c>
      <c r="AC97" s="38" t="str">
        <f>IF(OR(B97="",COUNTIF($B$4:B97,B97)&gt;1),"",MAX($AC$3:AC96)+1)</f>
        <v/>
      </c>
      <c r="AD97" s="38" t="str">
        <f t="shared" si="15"/>
        <v/>
      </c>
      <c r="AE97" s="38">
        <f t="shared" si="16"/>
        <v>9097</v>
      </c>
      <c r="AF97" s="38">
        <f t="shared" si="17"/>
        <v>69</v>
      </c>
    </row>
    <row r="98" spans="1:32" x14ac:dyDescent="0.3">
      <c r="A98" s="74" t="s">
        <v>848</v>
      </c>
      <c r="B98" s="74" t="s">
        <v>304</v>
      </c>
      <c r="C98" s="74" t="s">
        <v>383</v>
      </c>
      <c r="D98" s="74"/>
      <c r="E98" s="74"/>
      <c r="F98" s="74"/>
      <c r="G98" s="74" t="s">
        <v>382</v>
      </c>
      <c r="H98" s="74" t="s">
        <v>383</v>
      </c>
      <c r="I98" s="74"/>
      <c r="J98" s="74"/>
      <c r="K98" s="74"/>
      <c r="L98" s="74"/>
      <c r="M98" s="74" t="s">
        <v>307</v>
      </c>
      <c r="N98" s="38" t="str">
        <f>IF(OR(A98="Автомат",A98="Дифавтомат"),IF(W98="","",COUNTIFS(Однолинейка!$H$3:$H$3000,U98,Однолинейка!$A$3:$A$3000,Щит_спец)),IF(A98="Аппарат",IF(C98="","",COUNTIFS(Однолинейка!$I$3:$I$3000,C98,Однолинейка!$A$3:$A$3000,Щит_спец)+COUNTIFS(Однолинейка!$J$3:$J$3000,C98,Однолинейка!$A$3:$A$3000,Щит_спец)+COUNTIFS(Однолинейка!$K$3:$K$3000,C98,Однолинейка!$A$3:$A$3000,Щит_спец)),IF(A98="Модуль",IF(C98="","",COUNTIFS(Однолинейка!$AW$3:$AW$3000,"?*",Однолинейка!$AI$3:$AI$3000,C98,Однолинейка!$A$3:$A$3000,Щит_спец)),IF(A98="Клемма",IF(C98="","",IF(C98=$S$7,SUMIFS(Однолинейка!$BW$3:$BW$3000,Однолинейка!$A$3:$A$3000,Щит_спец),IF(C98=$S$8,SUMIFS(Однолинейка!$BX$3:$BX$3000,Однолинейка!$A$3:$A$3000,Щит_спец),""))),""))))</f>
        <v/>
      </c>
      <c r="O98" s="74">
        <v>1</v>
      </c>
      <c r="P98" s="38">
        <f t="shared" si="9"/>
        <v>1</v>
      </c>
      <c r="U98" s="38" t="str">
        <f t="shared" si="10"/>
        <v/>
      </c>
      <c r="V98" s="38" t="str">
        <f t="shared" si="11"/>
        <v/>
      </c>
      <c r="W98" s="38" t="str">
        <f>IF(AND(U98&lt;&gt;"",OR($S$4="(все)",B98=$S$4),IF($S$4="(все)",COUNTIF($U$4:U98,U98),COUNTIFS($U$4:U98,U98,$B$4:B98,B98))=1),MAX($W$3:W97)+1,"")</f>
        <v/>
      </c>
      <c r="X98" s="38" t="str">
        <f t="shared" si="12"/>
        <v/>
      </c>
      <c r="Y98" s="38" t="str">
        <f>IF(AND(A98="Аппарат",C98&lt;&gt;"",OR($S$5="(все)",B98=$S$5)),MAX($Y$3:Y97)+1,"")</f>
        <v/>
      </c>
      <c r="Z98" s="38" t="str">
        <f t="shared" si="13"/>
        <v/>
      </c>
      <c r="AA98" s="38" t="str">
        <f>IF(AND(A98="Модуль",C98&lt;&gt;"",OR($S$6="(все)",B98=$S$6)),MAX($AA$3:AA97)+1,"")</f>
        <v/>
      </c>
      <c r="AB98" s="38" t="str">
        <f t="shared" si="14"/>
        <v/>
      </c>
      <c r="AC98" s="38" t="str">
        <f>IF(OR(B98="",COUNTIF($B$4:B98,B98)&gt;1),"",MAX($AC$3:AC97)+1)</f>
        <v/>
      </c>
      <c r="AD98" s="38" t="str">
        <f t="shared" si="15"/>
        <v/>
      </c>
      <c r="AE98" s="38">
        <f t="shared" si="16"/>
        <v>9098</v>
      </c>
      <c r="AF98" s="38">
        <f t="shared" si="17"/>
        <v>70</v>
      </c>
    </row>
    <row r="99" spans="1:32" x14ac:dyDescent="0.3">
      <c r="A99" s="74" t="s">
        <v>848</v>
      </c>
      <c r="B99" s="74" t="s">
        <v>304</v>
      </c>
      <c r="C99" s="74" t="s">
        <v>385</v>
      </c>
      <c r="D99" s="74"/>
      <c r="E99" s="74"/>
      <c r="F99" s="74"/>
      <c r="G99" s="74" t="s">
        <v>384</v>
      </c>
      <c r="H99" s="74" t="s">
        <v>385</v>
      </c>
      <c r="I99" s="74"/>
      <c r="J99" s="74"/>
      <c r="K99" s="74"/>
      <c r="L99" s="74"/>
      <c r="M99" s="74" t="s">
        <v>307</v>
      </c>
      <c r="N99" s="38" t="str">
        <f>IF(OR(A99="Автомат",A99="Дифавтомат"),IF(W99="","",COUNTIFS(Однолинейка!$H$3:$H$3000,U99,Однолинейка!$A$3:$A$3000,Щит_спец)),IF(A99="Аппарат",IF(C99="","",COUNTIFS(Однолинейка!$I$3:$I$3000,C99,Однолинейка!$A$3:$A$3000,Щит_спец)+COUNTIFS(Однолинейка!$J$3:$J$3000,C99,Однолинейка!$A$3:$A$3000,Щит_спец)+COUNTIFS(Однолинейка!$K$3:$K$3000,C99,Однолинейка!$A$3:$A$3000,Щит_спец)),IF(A99="Модуль",IF(C99="","",COUNTIFS(Однолинейка!$AW$3:$AW$3000,"?*",Однолинейка!$AI$3:$AI$3000,C99,Однолинейка!$A$3:$A$3000,Щит_спец)),IF(A99="Клемма",IF(C99="","",IF(C99=$S$7,SUMIFS(Однолинейка!$BW$3:$BW$3000,Однолинейка!$A$3:$A$3000,Щит_спец),IF(C99=$S$8,SUMIFS(Однолинейка!$BX$3:$BX$3000,Однолинейка!$A$3:$A$3000,Щит_спец),""))),""))))</f>
        <v/>
      </c>
      <c r="O99" s="74">
        <v>1</v>
      </c>
      <c r="P99" s="38">
        <f t="shared" si="9"/>
        <v>1</v>
      </c>
      <c r="U99" s="38" t="str">
        <f t="shared" si="10"/>
        <v/>
      </c>
      <c r="V99" s="38" t="str">
        <f t="shared" si="11"/>
        <v/>
      </c>
      <c r="W99" s="38" t="str">
        <f>IF(AND(U99&lt;&gt;"",OR($S$4="(все)",B99=$S$4),IF($S$4="(все)",COUNTIF($U$4:U99,U99),COUNTIFS($U$4:U99,U99,$B$4:B99,B99))=1),MAX($W$3:W98)+1,"")</f>
        <v/>
      </c>
      <c r="X99" s="38" t="str">
        <f t="shared" si="12"/>
        <v/>
      </c>
      <c r="Y99" s="38" t="str">
        <f>IF(AND(A99="Аппарат",C99&lt;&gt;"",OR($S$5="(все)",B99=$S$5)),MAX($Y$3:Y98)+1,"")</f>
        <v/>
      </c>
      <c r="Z99" s="38" t="str">
        <f t="shared" si="13"/>
        <v/>
      </c>
      <c r="AA99" s="38" t="str">
        <f>IF(AND(A99="Модуль",C99&lt;&gt;"",OR($S$6="(все)",B99=$S$6)),MAX($AA$3:AA98)+1,"")</f>
        <v/>
      </c>
      <c r="AB99" s="38" t="str">
        <f t="shared" si="14"/>
        <v/>
      </c>
      <c r="AC99" s="38" t="str">
        <f>IF(OR(B99="",COUNTIF($B$4:B99,B99)&gt;1),"",MAX($AC$3:AC98)+1)</f>
        <v/>
      </c>
      <c r="AD99" s="38" t="str">
        <f t="shared" si="15"/>
        <v/>
      </c>
      <c r="AE99" s="38">
        <f t="shared" si="16"/>
        <v>9099</v>
      </c>
      <c r="AF99" s="38">
        <f t="shared" si="17"/>
        <v>71</v>
      </c>
    </row>
    <row r="100" spans="1:32" x14ac:dyDescent="0.3">
      <c r="A100" s="74" t="s">
        <v>848</v>
      </c>
      <c r="B100" s="74"/>
      <c r="C100" s="74" t="s">
        <v>960</v>
      </c>
      <c r="D100" s="74"/>
      <c r="E100" s="74"/>
      <c r="F100" s="74"/>
      <c r="G100" s="74" t="s">
        <v>386</v>
      </c>
      <c r="H100" s="74"/>
      <c r="I100" s="74"/>
      <c r="J100" s="74"/>
      <c r="K100" s="74"/>
      <c r="L100" s="74"/>
      <c r="M100" s="74" t="s">
        <v>387</v>
      </c>
      <c r="N100" s="38" t="str">
        <f>IF(OR(A100="Автомат",A100="Дифавтомат"),IF(W100="","",COUNTIFS(Однолинейка!$H$3:$H$3000,U100,Однолинейка!$A$3:$A$3000,Щит_спец)),IF(A100="Аппарат",IF(C100="","",COUNTIFS(Однолинейка!$I$3:$I$3000,C100,Однолинейка!$A$3:$A$3000,Щит_спец)+COUNTIFS(Однолинейка!$J$3:$J$3000,C100,Однолинейка!$A$3:$A$3000,Щит_спец)+COUNTIFS(Однолинейка!$K$3:$K$3000,C100,Однолинейка!$A$3:$A$3000,Щит_спец)),IF(A100="Модуль",IF(C100="","",COUNTIFS(Однолинейка!$AW$3:$AW$3000,"?*",Однолинейка!$AI$3:$AI$3000,C100,Однолинейка!$A$3:$A$3000,Щит_спец)),IF(A100="Клемма",IF(C100="","",IF(C100=$S$7,SUMIFS(Однолинейка!$BW$3:$BW$3000,Однолинейка!$A$3:$A$3000,Щит_спец),IF(C100=$S$8,SUMIFS(Однолинейка!$BX$3:$BX$3000,Однолинейка!$A$3:$A$3000,Щит_спец),""))),""))))</f>
        <v/>
      </c>
      <c r="O100" s="74">
        <v>1</v>
      </c>
      <c r="P100" s="38">
        <f t="shared" si="9"/>
        <v>1</v>
      </c>
      <c r="U100" s="38" t="str">
        <f t="shared" si="10"/>
        <v/>
      </c>
      <c r="V100" s="38" t="str">
        <f t="shared" si="11"/>
        <v/>
      </c>
      <c r="W100" s="38" t="str">
        <f>IF(AND(U100&lt;&gt;"",OR($S$4="(все)",B100=$S$4),IF($S$4="(все)",COUNTIF($U$4:U100,U100),COUNTIFS($U$4:U100,U100,$B$4:B100,B100))=1),MAX($W$3:W99)+1,"")</f>
        <v/>
      </c>
      <c r="X100" s="38" t="str">
        <f t="shared" si="12"/>
        <v/>
      </c>
      <c r="Y100" s="38" t="str">
        <f>IF(AND(A100="Аппарат",C100&lt;&gt;"",OR($S$5="(все)",B100=$S$5)),MAX($Y$3:Y99)+1,"")</f>
        <v/>
      </c>
      <c r="Z100" s="38" t="str">
        <f t="shared" si="13"/>
        <v/>
      </c>
      <c r="AA100" s="38" t="str">
        <f>IF(AND(A100="Модуль",C100&lt;&gt;"",OR($S$6="(все)",B100=$S$6)),MAX($AA$3:AA99)+1,"")</f>
        <v/>
      </c>
      <c r="AB100" s="38" t="str">
        <f t="shared" si="14"/>
        <v/>
      </c>
      <c r="AC100" s="38" t="str">
        <f>IF(OR(B100="",COUNTIF($B$4:B100,B100)&gt;1),"",MAX($AC$3:AC99)+1)</f>
        <v/>
      </c>
      <c r="AD100" s="38" t="str">
        <f t="shared" si="15"/>
        <v/>
      </c>
      <c r="AE100" s="38">
        <f t="shared" si="16"/>
        <v>9100</v>
      </c>
      <c r="AF100" s="38">
        <f t="shared" si="17"/>
        <v>72</v>
      </c>
    </row>
    <row r="101" spans="1:32" x14ac:dyDescent="0.3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38" t="str">
        <f>IF(OR(A101="Автомат",A101="Дифавтомат"),IF(W101="","",COUNTIFS(Однолинейка!$H$3:$H$3000,U101,Однолинейка!$A$3:$A$3000,Щит_спец)),IF(A101="Аппарат",IF(C101="","",COUNTIFS(Однолинейка!$I$3:$I$3000,C101,Однолинейка!$A$3:$A$3000,Щит_спец)+COUNTIFS(Однолинейка!$J$3:$J$3000,C101,Однолинейка!$A$3:$A$3000,Щит_спец)+COUNTIFS(Однолинейка!$K$3:$K$3000,C101,Однолинейка!$A$3:$A$3000,Щит_спец)),IF(A101="Модуль",IF(C101="","",COUNTIFS(Однолинейка!$AW$3:$AW$3000,"?*",Однолинейка!$AI$3:$AI$3000,C101,Однолинейка!$A$3:$A$3000,Щит_спец)),IF(A101="Клемма",IF(C101="","",IF(C101=$S$7,SUMIFS(Однолинейка!$BW$3:$BW$3000,Однолинейка!$A$3:$A$3000,Щит_спец),IF(C101=$S$8,SUMIFS(Однолинейка!$BX$3:$BX$3000,Однолинейка!$A$3:$A$3000,Щит_спец),""))),""))))</f>
        <v/>
      </c>
      <c r="O101" s="74"/>
      <c r="P101" s="38" t="str">
        <f t="shared" si="9"/>
        <v/>
      </c>
      <c r="U101" s="38" t="str">
        <f t="shared" si="10"/>
        <v/>
      </c>
      <c r="V101" s="38" t="str">
        <f t="shared" si="11"/>
        <v/>
      </c>
      <c r="W101" s="38" t="str">
        <f>IF(AND(U101&lt;&gt;"",OR($S$4="(все)",B101=$S$4),IF($S$4="(все)",COUNTIF($U$4:U101,U101),COUNTIFS($U$4:U101,U101,$B$4:B101,B101))=1),MAX($W$3:W100)+1,"")</f>
        <v/>
      </c>
      <c r="X101" s="38" t="str">
        <f t="shared" si="12"/>
        <v/>
      </c>
      <c r="Y101" s="38" t="str">
        <f>IF(AND(A101="Аппарат",C101&lt;&gt;"",OR($S$5="(все)",B101=$S$5)),MAX($Y$3:Y100)+1,"")</f>
        <v/>
      </c>
      <c r="Z101" s="38" t="str">
        <f t="shared" si="13"/>
        <v/>
      </c>
      <c r="AA101" s="38" t="str">
        <f>IF(AND(A101="Модуль",C101&lt;&gt;"",OR($S$6="(все)",B101=$S$6)),MAX($AA$3:AA100)+1,"")</f>
        <v/>
      </c>
      <c r="AB101" s="38" t="str">
        <f t="shared" si="14"/>
        <v/>
      </c>
      <c r="AC101" s="38" t="str">
        <f>IF(OR(B101="",COUNTIF($B$4:B101,B101)&gt;1),"",MAX($AC$3:AC100)+1)</f>
        <v/>
      </c>
      <c r="AD101" s="38" t="str">
        <f t="shared" si="15"/>
        <v/>
      </c>
      <c r="AE101" s="38" t="str">
        <f t="shared" si="16"/>
        <v/>
      </c>
      <c r="AF101" s="38" t="str">
        <f t="shared" si="17"/>
        <v/>
      </c>
    </row>
    <row r="102" spans="1:32" x14ac:dyDescent="0.3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38" t="str">
        <f>IF(OR(A102="Автомат",A102="Дифавтомат"),IF(W102="","",COUNTIFS(Однолинейка!$H$3:$H$3000,U102,Однолинейка!$A$3:$A$3000,Щит_спец)),IF(A102="Аппарат",IF(C102="","",COUNTIFS(Однолинейка!$I$3:$I$3000,C102,Однолинейка!$A$3:$A$3000,Щит_спец)+COUNTIFS(Однолинейка!$J$3:$J$3000,C102,Однолинейка!$A$3:$A$3000,Щит_спец)+COUNTIFS(Однолинейка!$K$3:$K$3000,C102,Однолинейка!$A$3:$A$3000,Щит_спец)),IF(A102="Модуль",IF(C102="","",COUNTIFS(Однолинейка!$AW$3:$AW$3000,"?*",Однолинейка!$AI$3:$AI$3000,C102,Однолинейка!$A$3:$A$3000,Щит_спец)),IF(A102="Клемма",IF(C102="","",IF(C102=$S$7,SUMIFS(Однолинейка!$BW$3:$BW$3000,Однолинейка!$A$3:$A$3000,Щит_спец),IF(C102=$S$8,SUMIFS(Однолинейка!$BX$3:$BX$3000,Однолинейка!$A$3:$A$3000,Щит_спец),""))),""))))</f>
        <v/>
      </c>
      <c r="O102" s="74"/>
      <c r="P102" s="38" t="str">
        <f t="shared" si="9"/>
        <v/>
      </c>
      <c r="U102" s="38" t="str">
        <f t="shared" si="10"/>
        <v/>
      </c>
      <c r="V102" s="38" t="str">
        <f t="shared" si="11"/>
        <v/>
      </c>
      <c r="W102" s="38" t="str">
        <f>IF(AND(U102&lt;&gt;"",OR($S$4="(все)",B102=$S$4),IF($S$4="(все)",COUNTIF($U$4:U102,U102),COUNTIFS($U$4:U102,U102,$B$4:B102,B102))=1),MAX($W$3:W101)+1,"")</f>
        <v/>
      </c>
      <c r="X102" s="38" t="str">
        <f t="shared" si="12"/>
        <v/>
      </c>
      <c r="Y102" s="38" t="str">
        <f>IF(AND(A102="Аппарат",C102&lt;&gt;"",OR($S$5="(все)",B102=$S$5)),MAX($Y$3:Y101)+1,"")</f>
        <v/>
      </c>
      <c r="Z102" s="38" t="str">
        <f t="shared" si="13"/>
        <v/>
      </c>
      <c r="AA102" s="38" t="str">
        <f>IF(AND(A102="Модуль",C102&lt;&gt;"",OR($S$6="(все)",B102=$S$6)),MAX($AA$3:AA101)+1,"")</f>
        <v/>
      </c>
      <c r="AB102" s="38" t="str">
        <f t="shared" si="14"/>
        <v/>
      </c>
      <c r="AC102" s="38" t="str">
        <f>IF(OR(B102="",COUNTIF($B$4:B102,B102)&gt;1),"",MAX($AC$3:AC101)+1)</f>
        <v/>
      </c>
      <c r="AD102" s="38" t="str">
        <f t="shared" si="15"/>
        <v/>
      </c>
      <c r="AE102" s="38" t="str">
        <f t="shared" si="16"/>
        <v/>
      </c>
      <c r="AF102" s="38" t="str">
        <f t="shared" si="17"/>
        <v/>
      </c>
    </row>
    <row r="103" spans="1:32" x14ac:dyDescent="0.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38" t="str">
        <f>IF(OR(A103="Автомат",A103="Дифавтомат"),IF(W103="","",COUNTIFS(Однолинейка!$H$3:$H$3000,U103,Однолинейка!$A$3:$A$3000,Щит_спец)),IF(A103="Аппарат",IF(C103="","",COUNTIFS(Однолинейка!$I$3:$I$3000,C103,Однолинейка!$A$3:$A$3000,Щит_спец)+COUNTIFS(Однолинейка!$J$3:$J$3000,C103,Однолинейка!$A$3:$A$3000,Щит_спец)+COUNTIFS(Однолинейка!$K$3:$K$3000,C103,Однолинейка!$A$3:$A$3000,Щит_спец)),IF(A103="Модуль",IF(C103="","",COUNTIFS(Однолинейка!$AW$3:$AW$3000,"?*",Однолинейка!$AI$3:$AI$3000,C103,Однолинейка!$A$3:$A$3000,Щит_спец)),IF(A103="Клемма",IF(C103="","",IF(C103=$S$7,SUMIFS(Однолинейка!$BW$3:$BW$3000,Однолинейка!$A$3:$A$3000,Щит_спец),IF(C103=$S$8,SUMIFS(Однолинейка!$BX$3:$BX$3000,Однолинейка!$A$3:$A$3000,Щит_спец),""))),""))))</f>
        <v/>
      </c>
      <c r="O103" s="74"/>
      <c r="P103" s="38" t="str">
        <f t="shared" si="9"/>
        <v/>
      </c>
      <c r="U103" s="38" t="str">
        <f t="shared" si="10"/>
        <v/>
      </c>
      <c r="V103" s="38" t="str">
        <f t="shared" si="11"/>
        <v/>
      </c>
      <c r="W103" s="38" t="str">
        <f>IF(AND(U103&lt;&gt;"",OR($S$4="(все)",B103=$S$4),IF($S$4="(все)",COUNTIF($U$4:U103,U103),COUNTIFS($U$4:U103,U103,$B$4:B103,B103))=1),MAX($W$3:W102)+1,"")</f>
        <v/>
      </c>
      <c r="X103" s="38" t="str">
        <f t="shared" si="12"/>
        <v/>
      </c>
      <c r="Y103" s="38" t="str">
        <f>IF(AND(A103="Аппарат",C103&lt;&gt;"",OR($S$5="(все)",B103=$S$5)),MAX($Y$3:Y102)+1,"")</f>
        <v/>
      </c>
      <c r="Z103" s="38" t="str">
        <f t="shared" si="13"/>
        <v/>
      </c>
      <c r="AA103" s="38" t="str">
        <f>IF(AND(A103="Модуль",C103&lt;&gt;"",OR($S$6="(все)",B103=$S$6)),MAX($AA$3:AA102)+1,"")</f>
        <v/>
      </c>
      <c r="AB103" s="38" t="str">
        <f t="shared" si="14"/>
        <v/>
      </c>
      <c r="AC103" s="38" t="str">
        <f>IF(OR(B103="",COUNTIF($B$4:B103,B103)&gt;1),"",MAX($AC$3:AC102)+1)</f>
        <v/>
      </c>
      <c r="AD103" s="38" t="str">
        <f t="shared" si="15"/>
        <v/>
      </c>
      <c r="AE103" s="38" t="str">
        <f t="shared" si="16"/>
        <v/>
      </c>
      <c r="AF103" s="38" t="str">
        <f t="shared" si="17"/>
        <v/>
      </c>
    </row>
    <row r="104" spans="1:32" x14ac:dyDescent="0.3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38" t="str">
        <f>IF(OR(A104="Автомат",A104="Дифавтомат"),IF(W104="","",COUNTIFS(Однолинейка!$H$3:$H$3000,U104,Однолинейка!$A$3:$A$3000,Щит_спец)),IF(A104="Аппарат",IF(C104="","",COUNTIFS(Однолинейка!$I$3:$I$3000,C104,Однолинейка!$A$3:$A$3000,Щит_спец)+COUNTIFS(Однолинейка!$J$3:$J$3000,C104,Однолинейка!$A$3:$A$3000,Щит_спец)+COUNTIFS(Однолинейка!$K$3:$K$3000,C104,Однолинейка!$A$3:$A$3000,Щит_спец)),IF(A104="Модуль",IF(C104="","",COUNTIFS(Однолинейка!$AW$3:$AW$3000,"?*",Однолинейка!$AI$3:$AI$3000,C104,Однолинейка!$A$3:$A$3000,Щит_спец)),IF(A104="Клемма",IF(C104="","",IF(C104=$S$7,SUMIFS(Однолинейка!$BW$3:$BW$3000,Однолинейка!$A$3:$A$3000,Щит_спец),IF(C104=$S$8,SUMIFS(Однолинейка!$BX$3:$BX$3000,Однолинейка!$A$3:$A$3000,Щит_спец),""))),""))))</f>
        <v/>
      </c>
      <c r="O104" s="74"/>
      <c r="P104" s="38" t="str">
        <f t="shared" si="9"/>
        <v/>
      </c>
      <c r="U104" s="38" t="str">
        <f t="shared" si="10"/>
        <v/>
      </c>
      <c r="V104" s="38" t="str">
        <f t="shared" si="11"/>
        <v/>
      </c>
      <c r="W104" s="38" t="str">
        <f>IF(AND(U104&lt;&gt;"",OR($S$4="(все)",B104=$S$4),IF($S$4="(все)",COUNTIF($U$4:U104,U104),COUNTIFS($U$4:U104,U104,$B$4:B104,B104))=1),MAX($W$3:W103)+1,"")</f>
        <v/>
      </c>
      <c r="X104" s="38" t="str">
        <f t="shared" si="12"/>
        <v/>
      </c>
      <c r="Y104" s="38" t="str">
        <f>IF(AND(A104="Аппарат",C104&lt;&gt;"",OR($S$5="(все)",B104=$S$5)),MAX($Y$3:Y103)+1,"")</f>
        <v/>
      </c>
      <c r="Z104" s="38" t="str">
        <f t="shared" si="13"/>
        <v/>
      </c>
      <c r="AA104" s="38" t="str">
        <f>IF(AND(A104="Модуль",C104&lt;&gt;"",OR($S$6="(все)",B104=$S$6)),MAX($AA$3:AA103)+1,"")</f>
        <v/>
      </c>
      <c r="AB104" s="38" t="str">
        <f t="shared" si="14"/>
        <v/>
      </c>
      <c r="AC104" s="38" t="str">
        <f>IF(OR(B104="",COUNTIF($B$4:B104,B104)&gt;1),"",MAX($AC$3:AC103)+1)</f>
        <v/>
      </c>
      <c r="AD104" s="38" t="str">
        <f t="shared" si="15"/>
        <v/>
      </c>
      <c r="AE104" s="38" t="str">
        <f t="shared" si="16"/>
        <v/>
      </c>
      <c r="AF104" s="38" t="str">
        <f t="shared" si="17"/>
        <v/>
      </c>
    </row>
    <row r="105" spans="1:32" x14ac:dyDescent="0.3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38" t="str">
        <f>IF(OR(A105="Автомат",A105="Дифавтомат"),IF(W105="","",COUNTIFS(Однолинейка!$H$3:$H$3000,U105,Однолинейка!$A$3:$A$3000,Щит_спец)),IF(A105="Аппарат",IF(C105="","",COUNTIFS(Однолинейка!$I$3:$I$3000,C105,Однолинейка!$A$3:$A$3000,Щит_спец)+COUNTIFS(Однолинейка!$J$3:$J$3000,C105,Однолинейка!$A$3:$A$3000,Щит_спец)+COUNTIFS(Однолинейка!$K$3:$K$3000,C105,Однолинейка!$A$3:$A$3000,Щит_спец)),IF(A105="Модуль",IF(C105="","",COUNTIFS(Однолинейка!$AW$3:$AW$3000,"?*",Однолинейка!$AI$3:$AI$3000,C105,Однолинейка!$A$3:$A$3000,Щит_спец)),IF(A105="Клемма",IF(C105="","",IF(C105=$S$7,SUMIFS(Однолинейка!$BW$3:$BW$3000,Однолинейка!$A$3:$A$3000,Щит_спец),IF(C105=$S$8,SUMIFS(Однолинейка!$BX$3:$BX$3000,Однолинейка!$A$3:$A$3000,Щит_спец),""))),""))))</f>
        <v/>
      </c>
      <c r="O105" s="74"/>
      <c r="P105" s="38" t="str">
        <f t="shared" si="9"/>
        <v/>
      </c>
      <c r="U105" s="38" t="str">
        <f t="shared" si="10"/>
        <v/>
      </c>
      <c r="V105" s="38" t="str">
        <f t="shared" si="11"/>
        <v/>
      </c>
      <c r="W105" s="38" t="str">
        <f>IF(AND(U105&lt;&gt;"",OR($S$4="(все)",B105=$S$4),IF($S$4="(все)",COUNTIF($U$4:U105,U105),COUNTIFS($U$4:U105,U105,$B$4:B105,B105))=1),MAX($W$3:W104)+1,"")</f>
        <v/>
      </c>
      <c r="X105" s="38" t="str">
        <f t="shared" si="12"/>
        <v/>
      </c>
      <c r="Y105" s="38" t="str">
        <f>IF(AND(A105="Аппарат",C105&lt;&gt;"",OR($S$5="(все)",B105=$S$5)),MAX($Y$3:Y104)+1,"")</f>
        <v/>
      </c>
      <c r="Z105" s="38" t="str">
        <f t="shared" si="13"/>
        <v/>
      </c>
      <c r="AA105" s="38" t="str">
        <f>IF(AND(A105="Модуль",C105&lt;&gt;"",OR($S$6="(все)",B105=$S$6)),MAX($AA$3:AA104)+1,"")</f>
        <v/>
      </c>
      <c r="AB105" s="38" t="str">
        <f t="shared" si="14"/>
        <v/>
      </c>
      <c r="AC105" s="38" t="str">
        <f>IF(OR(B105="",COUNTIF($B$4:B105,B105)&gt;1),"",MAX($AC$3:AC104)+1)</f>
        <v/>
      </c>
      <c r="AD105" s="38" t="str">
        <f t="shared" si="15"/>
        <v/>
      </c>
      <c r="AE105" s="38" t="str">
        <f t="shared" si="16"/>
        <v/>
      </c>
      <c r="AF105" s="38" t="str">
        <f t="shared" si="17"/>
        <v/>
      </c>
    </row>
    <row r="106" spans="1:32" x14ac:dyDescent="0.3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38" t="str">
        <f>IF(OR(A106="Автомат",A106="Дифавтомат"),IF(W106="","",COUNTIFS(Однолинейка!$H$3:$H$3000,U106,Однолинейка!$A$3:$A$3000,Щит_спец)),IF(A106="Аппарат",IF(C106="","",COUNTIFS(Однолинейка!$I$3:$I$3000,C106,Однолинейка!$A$3:$A$3000,Щит_спец)+COUNTIFS(Однолинейка!$J$3:$J$3000,C106,Однолинейка!$A$3:$A$3000,Щит_спец)+COUNTIFS(Однолинейка!$K$3:$K$3000,C106,Однолинейка!$A$3:$A$3000,Щит_спец)),IF(A106="Модуль",IF(C106="","",COUNTIFS(Однолинейка!$AW$3:$AW$3000,"?*",Однолинейка!$AI$3:$AI$3000,C106,Однолинейка!$A$3:$A$3000,Щит_спец)),IF(A106="Клемма",IF(C106="","",IF(C106=$S$7,SUMIFS(Однолинейка!$BW$3:$BW$3000,Однолинейка!$A$3:$A$3000,Щит_спец),IF(C106=$S$8,SUMIFS(Однолинейка!$BX$3:$BX$3000,Однолинейка!$A$3:$A$3000,Щит_спец),""))),""))))</f>
        <v/>
      </c>
      <c r="O106" s="74"/>
      <c r="P106" s="38" t="str">
        <f t="shared" si="9"/>
        <v/>
      </c>
      <c r="U106" s="38" t="str">
        <f t="shared" si="10"/>
        <v/>
      </c>
      <c r="V106" s="38" t="str">
        <f t="shared" si="11"/>
        <v/>
      </c>
      <c r="W106" s="38" t="str">
        <f>IF(AND(U106&lt;&gt;"",OR($S$4="(все)",B106=$S$4),IF($S$4="(все)",COUNTIF($U$4:U106,U106),COUNTIFS($U$4:U106,U106,$B$4:B106,B106))=1),MAX($W$3:W105)+1,"")</f>
        <v/>
      </c>
      <c r="X106" s="38" t="str">
        <f t="shared" si="12"/>
        <v/>
      </c>
      <c r="Y106" s="38" t="str">
        <f>IF(AND(A106="Аппарат",C106&lt;&gt;"",OR($S$5="(все)",B106=$S$5)),MAX($Y$3:Y105)+1,"")</f>
        <v/>
      </c>
      <c r="Z106" s="38" t="str">
        <f t="shared" si="13"/>
        <v/>
      </c>
      <c r="AA106" s="38" t="str">
        <f>IF(AND(A106="Модуль",C106&lt;&gt;"",OR($S$6="(все)",B106=$S$6)),MAX($AA$3:AA105)+1,"")</f>
        <v/>
      </c>
      <c r="AB106" s="38" t="str">
        <f t="shared" si="14"/>
        <v/>
      </c>
      <c r="AC106" s="38" t="str">
        <f>IF(OR(B106="",COUNTIF($B$4:B106,B106)&gt;1),"",MAX($AC$3:AC105)+1)</f>
        <v/>
      </c>
      <c r="AD106" s="38" t="str">
        <f t="shared" si="15"/>
        <v/>
      </c>
      <c r="AE106" s="38" t="str">
        <f t="shared" si="16"/>
        <v/>
      </c>
      <c r="AF106" s="38" t="str">
        <f t="shared" si="17"/>
        <v/>
      </c>
    </row>
    <row r="107" spans="1:32" x14ac:dyDescent="0.3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38" t="str">
        <f>IF(OR(A107="Автомат",A107="Дифавтомат"),IF(W107="","",COUNTIFS(Однолинейка!$H$3:$H$3000,U107,Однолинейка!$A$3:$A$3000,Щит_спец)),IF(A107="Аппарат",IF(C107="","",COUNTIFS(Однолинейка!$I$3:$I$3000,C107,Однолинейка!$A$3:$A$3000,Щит_спец)+COUNTIFS(Однолинейка!$J$3:$J$3000,C107,Однолинейка!$A$3:$A$3000,Щит_спец)+COUNTIFS(Однолинейка!$K$3:$K$3000,C107,Однолинейка!$A$3:$A$3000,Щит_спец)),IF(A107="Модуль",IF(C107="","",COUNTIFS(Однолинейка!$AW$3:$AW$3000,"?*",Однолинейка!$AI$3:$AI$3000,C107,Однолинейка!$A$3:$A$3000,Щит_спец)),IF(A107="Клемма",IF(C107="","",IF(C107=$S$7,SUMIFS(Однолинейка!$BW$3:$BW$3000,Однолинейка!$A$3:$A$3000,Щит_спец),IF(C107=$S$8,SUMIFS(Однолинейка!$BX$3:$BX$3000,Однолинейка!$A$3:$A$3000,Щит_спец),""))),""))))</f>
        <v/>
      </c>
      <c r="O107" s="74"/>
      <c r="P107" s="38" t="str">
        <f t="shared" si="9"/>
        <v/>
      </c>
      <c r="U107" s="38" t="str">
        <f t="shared" si="10"/>
        <v/>
      </c>
      <c r="V107" s="38" t="str">
        <f t="shared" si="11"/>
        <v/>
      </c>
      <c r="W107" s="38" t="str">
        <f>IF(AND(U107&lt;&gt;"",OR($S$4="(все)",B107=$S$4),IF($S$4="(все)",COUNTIF($U$4:U107,U107),COUNTIFS($U$4:U107,U107,$B$4:B107,B107))=1),MAX($W$3:W106)+1,"")</f>
        <v/>
      </c>
      <c r="X107" s="38" t="str">
        <f t="shared" si="12"/>
        <v/>
      </c>
      <c r="Y107" s="38" t="str">
        <f>IF(AND(A107="Аппарат",C107&lt;&gt;"",OR($S$5="(все)",B107=$S$5)),MAX($Y$3:Y106)+1,"")</f>
        <v/>
      </c>
      <c r="Z107" s="38" t="str">
        <f t="shared" si="13"/>
        <v/>
      </c>
      <c r="AA107" s="38" t="str">
        <f>IF(AND(A107="Модуль",C107&lt;&gt;"",OR($S$6="(все)",B107=$S$6)),MAX($AA$3:AA106)+1,"")</f>
        <v/>
      </c>
      <c r="AB107" s="38" t="str">
        <f t="shared" si="14"/>
        <v/>
      </c>
      <c r="AC107" s="38" t="str">
        <f>IF(OR(B107="",COUNTIF($B$4:B107,B107)&gt;1),"",MAX($AC$3:AC106)+1)</f>
        <v/>
      </c>
      <c r="AD107" s="38" t="str">
        <f t="shared" si="15"/>
        <v/>
      </c>
      <c r="AE107" s="38" t="str">
        <f t="shared" si="16"/>
        <v/>
      </c>
      <c r="AF107" s="38" t="str">
        <f t="shared" si="17"/>
        <v/>
      </c>
    </row>
    <row r="108" spans="1:32" x14ac:dyDescent="0.3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38" t="str">
        <f>IF(OR(A108="Автомат",A108="Дифавтомат"),IF(W108="","",COUNTIFS(Однолинейка!$H$3:$H$3000,U108,Однолинейка!$A$3:$A$3000,Щит_спец)),IF(A108="Аппарат",IF(C108="","",COUNTIFS(Однолинейка!$I$3:$I$3000,C108,Однолинейка!$A$3:$A$3000,Щит_спец)+COUNTIFS(Однолинейка!$J$3:$J$3000,C108,Однолинейка!$A$3:$A$3000,Щит_спец)+COUNTIFS(Однолинейка!$K$3:$K$3000,C108,Однолинейка!$A$3:$A$3000,Щит_спец)),IF(A108="Модуль",IF(C108="","",COUNTIFS(Однолинейка!$AW$3:$AW$3000,"?*",Однолинейка!$AI$3:$AI$3000,C108,Однолинейка!$A$3:$A$3000,Щит_спец)),IF(A108="Клемма",IF(C108="","",IF(C108=$S$7,SUMIFS(Однолинейка!$BW$3:$BW$3000,Однолинейка!$A$3:$A$3000,Щит_спец),IF(C108=$S$8,SUMIFS(Однолинейка!$BX$3:$BX$3000,Однолинейка!$A$3:$A$3000,Щит_спец),""))),""))))</f>
        <v/>
      </c>
      <c r="O108" s="74"/>
      <c r="P108" s="38" t="str">
        <f t="shared" si="9"/>
        <v/>
      </c>
      <c r="U108" s="38" t="str">
        <f t="shared" si="10"/>
        <v/>
      </c>
      <c r="V108" s="38" t="str">
        <f t="shared" si="11"/>
        <v/>
      </c>
      <c r="W108" s="38" t="str">
        <f>IF(AND(U108&lt;&gt;"",OR($S$4="(все)",B108=$S$4),IF($S$4="(все)",COUNTIF($U$4:U108,U108),COUNTIFS($U$4:U108,U108,$B$4:B108,B108))=1),MAX($W$3:W107)+1,"")</f>
        <v/>
      </c>
      <c r="X108" s="38" t="str">
        <f t="shared" si="12"/>
        <v/>
      </c>
      <c r="Y108" s="38" t="str">
        <f>IF(AND(A108="Аппарат",C108&lt;&gt;"",OR($S$5="(все)",B108=$S$5)),MAX($Y$3:Y107)+1,"")</f>
        <v/>
      </c>
      <c r="Z108" s="38" t="str">
        <f t="shared" si="13"/>
        <v/>
      </c>
      <c r="AA108" s="38" t="str">
        <f>IF(AND(A108="Модуль",C108&lt;&gt;"",OR($S$6="(все)",B108=$S$6)),MAX($AA$3:AA107)+1,"")</f>
        <v/>
      </c>
      <c r="AB108" s="38" t="str">
        <f t="shared" si="14"/>
        <v/>
      </c>
      <c r="AC108" s="38" t="str">
        <f>IF(OR(B108="",COUNTIF($B$4:B108,B108)&gt;1),"",MAX($AC$3:AC107)+1)</f>
        <v/>
      </c>
      <c r="AD108" s="38" t="str">
        <f t="shared" si="15"/>
        <v/>
      </c>
      <c r="AE108" s="38" t="str">
        <f t="shared" si="16"/>
        <v/>
      </c>
      <c r="AF108" s="38" t="str">
        <f t="shared" si="17"/>
        <v/>
      </c>
    </row>
    <row r="109" spans="1:32" x14ac:dyDescent="0.3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38" t="str">
        <f>IF(OR(A109="Автомат",A109="Дифавтомат"),IF(W109="","",COUNTIFS(Однолинейка!$H$3:$H$3000,U109,Однолинейка!$A$3:$A$3000,Щит_спец)),IF(A109="Аппарат",IF(C109="","",COUNTIFS(Однолинейка!$I$3:$I$3000,C109,Однолинейка!$A$3:$A$3000,Щит_спец)+COUNTIFS(Однолинейка!$J$3:$J$3000,C109,Однолинейка!$A$3:$A$3000,Щит_спец)+COUNTIFS(Однолинейка!$K$3:$K$3000,C109,Однолинейка!$A$3:$A$3000,Щит_спец)),IF(A109="Модуль",IF(C109="","",COUNTIFS(Однолинейка!$AW$3:$AW$3000,"?*",Однолинейка!$AI$3:$AI$3000,C109,Однолинейка!$A$3:$A$3000,Щит_спец)),IF(A109="Клемма",IF(C109="","",IF(C109=$S$7,SUMIFS(Однолинейка!$BW$3:$BW$3000,Однолинейка!$A$3:$A$3000,Щит_спец),IF(C109=$S$8,SUMIFS(Однолинейка!$BX$3:$BX$3000,Однолинейка!$A$3:$A$3000,Щит_спец),""))),""))))</f>
        <v/>
      </c>
      <c r="O109" s="74"/>
      <c r="P109" s="38" t="str">
        <f t="shared" si="9"/>
        <v/>
      </c>
      <c r="U109" s="38" t="str">
        <f t="shared" si="10"/>
        <v/>
      </c>
      <c r="V109" s="38" t="str">
        <f t="shared" si="11"/>
        <v/>
      </c>
      <c r="W109" s="38" t="str">
        <f>IF(AND(U109&lt;&gt;"",OR($S$4="(все)",B109=$S$4),IF($S$4="(все)",COUNTIF($U$4:U109,U109),COUNTIFS($U$4:U109,U109,$B$4:B109,B109))=1),MAX($W$3:W108)+1,"")</f>
        <v/>
      </c>
      <c r="X109" s="38" t="str">
        <f t="shared" si="12"/>
        <v/>
      </c>
      <c r="Y109" s="38" t="str">
        <f>IF(AND(A109="Аппарат",C109&lt;&gt;"",OR($S$5="(все)",B109=$S$5)),MAX($Y$3:Y108)+1,"")</f>
        <v/>
      </c>
      <c r="Z109" s="38" t="str">
        <f t="shared" si="13"/>
        <v/>
      </c>
      <c r="AA109" s="38" t="str">
        <f>IF(AND(A109="Модуль",C109&lt;&gt;"",OR($S$6="(все)",B109=$S$6)),MAX($AA$3:AA108)+1,"")</f>
        <v/>
      </c>
      <c r="AB109" s="38" t="str">
        <f t="shared" si="14"/>
        <v/>
      </c>
      <c r="AC109" s="38" t="str">
        <f>IF(OR(B109="",COUNTIF($B$4:B109,B109)&gt;1),"",MAX($AC$3:AC108)+1)</f>
        <v/>
      </c>
      <c r="AD109" s="38" t="str">
        <f t="shared" si="15"/>
        <v/>
      </c>
      <c r="AE109" s="38" t="str">
        <f t="shared" si="16"/>
        <v/>
      </c>
      <c r="AF109" s="38" t="str">
        <f t="shared" si="17"/>
        <v/>
      </c>
    </row>
    <row r="110" spans="1:32" x14ac:dyDescent="0.3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38" t="str">
        <f>IF(OR(A110="Автомат",A110="Дифавтомат"),IF(W110="","",COUNTIFS(Однолинейка!$H$3:$H$3000,U110,Однолинейка!$A$3:$A$3000,Щит_спец)),IF(A110="Аппарат",IF(C110="","",COUNTIFS(Однолинейка!$I$3:$I$3000,C110,Однолинейка!$A$3:$A$3000,Щит_спец)+COUNTIFS(Однолинейка!$J$3:$J$3000,C110,Однолинейка!$A$3:$A$3000,Щит_спец)+COUNTIFS(Однолинейка!$K$3:$K$3000,C110,Однолинейка!$A$3:$A$3000,Щит_спец)),IF(A110="Модуль",IF(C110="","",COUNTIFS(Однолинейка!$AW$3:$AW$3000,"?*",Однолинейка!$AI$3:$AI$3000,C110,Однолинейка!$A$3:$A$3000,Щит_спец)),IF(A110="Клемма",IF(C110="","",IF(C110=$S$7,SUMIFS(Однолинейка!$BW$3:$BW$3000,Однолинейка!$A$3:$A$3000,Щит_спец),IF(C110=$S$8,SUMIFS(Однолинейка!$BX$3:$BX$3000,Однолинейка!$A$3:$A$3000,Щит_спец),""))),""))))</f>
        <v/>
      </c>
      <c r="O110" s="74"/>
      <c r="P110" s="38" t="str">
        <f t="shared" si="9"/>
        <v/>
      </c>
      <c r="U110" s="38" t="str">
        <f t="shared" si="10"/>
        <v/>
      </c>
      <c r="V110" s="38" t="str">
        <f t="shared" si="11"/>
        <v/>
      </c>
      <c r="W110" s="38" t="str">
        <f>IF(AND(U110&lt;&gt;"",OR($S$4="(все)",B110=$S$4),IF($S$4="(все)",COUNTIF($U$4:U110,U110),COUNTIFS($U$4:U110,U110,$B$4:B110,B110))=1),MAX($W$3:W109)+1,"")</f>
        <v/>
      </c>
      <c r="X110" s="38" t="str">
        <f t="shared" si="12"/>
        <v/>
      </c>
      <c r="Y110" s="38" t="str">
        <f>IF(AND(A110="Аппарат",C110&lt;&gt;"",OR($S$5="(все)",B110=$S$5)),MAX($Y$3:Y109)+1,"")</f>
        <v/>
      </c>
      <c r="Z110" s="38" t="str">
        <f t="shared" si="13"/>
        <v/>
      </c>
      <c r="AA110" s="38" t="str">
        <f>IF(AND(A110="Модуль",C110&lt;&gt;"",OR($S$6="(все)",B110=$S$6)),MAX($AA$3:AA109)+1,"")</f>
        <v/>
      </c>
      <c r="AB110" s="38" t="str">
        <f t="shared" si="14"/>
        <v/>
      </c>
      <c r="AC110" s="38" t="str">
        <f>IF(OR(B110="",COUNTIF($B$4:B110,B110)&gt;1),"",MAX($AC$3:AC109)+1)</f>
        <v/>
      </c>
      <c r="AD110" s="38" t="str">
        <f t="shared" si="15"/>
        <v/>
      </c>
      <c r="AE110" s="38" t="str">
        <f t="shared" si="16"/>
        <v/>
      </c>
      <c r="AF110" s="38" t="str">
        <f t="shared" si="17"/>
        <v/>
      </c>
    </row>
    <row r="111" spans="1:32" x14ac:dyDescent="0.3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38" t="str">
        <f>IF(OR(A111="Автомат",A111="Дифавтомат"),IF(W111="","",COUNTIFS(Однолинейка!$H$3:$H$3000,U111,Однолинейка!$A$3:$A$3000,Щит_спец)),IF(A111="Аппарат",IF(C111="","",COUNTIFS(Однолинейка!$I$3:$I$3000,C111,Однолинейка!$A$3:$A$3000,Щит_спец)+COUNTIFS(Однолинейка!$J$3:$J$3000,C111,Однолинейка!$A$3:$A$3000,Щит_спец)+COUNTIFS(Однолинейка!$K$3:$K$3000,C111,Однолинейка!$A$3:$A$3000,Щит_спец)),IF(A111="Модуль",IF(C111="","",COUNTIFS(Однолинейка!$AW$3:$AW$3000,"?*",Однолинейка!$AI$3:$AI$3000,C111,Однолинейка!$A$3:$A$3000,Щит_спец)),IF(A111="Клемма",IF(C111="","",IF(C111=$S$7,SUMIFS(Однолинейка!$BW$3:$BW$3000,Однолинейка!$A$3:$A$3000,Щит_спец),IF(C111=$S$8,SUMIFS(Однолинейка!$BX$3:$BX$3000,Однолинейка!$A$3:$A$3000,Щит_спец),""))),""))))</f>
        <v/>
      </c>
      <c r="O111" s="74"/>
      <c r="P111" s="38" t="str">
        <f t="shared" si="9"/>
        <v/>
      </c>
      <c r="U111" s="38" t="str">
        <f t="shared" si="10"/>
        <v/>
      </c>
      <c r="V111" s="38" t="str">
        <f t="shared" si="11"/>
        <v/>
      </c>
      <c r="W111" s="38" t="str">
        <f>IF(AND(U111&lt;&gt;"",OR($S$4="(все)",B111=$S$4),IF($S$4="(все)",COUNTIF($U$4:U111,U111),COUNTIFS($U$4:U111,U111,$B$4:B111,B111))=1),MAX($W$3:W110)+1,"")</f>
        <v/>
      </c>
      <c r="X111" s="38" t="str">
        <f t="shared" si="12"/>
        <v/>
      </c>
      <c r="Y111" s="38" t="str">
        <f>IF(AND(A111="Аппарат",C111&lt;&gt;"",OR($S$5="(все)",B111=$S$5)),MAX($Y$3:Y110)+1,"")</f>
        <v/>
      </c>
      <c r="Z111" s="38" t="str">
        <f t="shared" si="13"/>
        <v/>
      </c>
      <c r="AA111" s="38" t="str">
        <f>IF(AND(A111="Модуль",C111&lt;&gt;"",OR($S$6="(все)",B111=$S$6)),MAX($AA$3:AA110)+1,"")</f>
        <v/>
      </c>
      <c r="AB111" s="38" t="str">
        <f t="shared" si="14"/>
        <v/>
      </c>
      <c r="AC111" s="38" t="str">
        <f>IF(OR(B111="",COUNTIF($B$4:B111,B111)&gt;1),"",MAX($AC$3:AC110)+1)</f>
        <v/>
      </c>
      <c r="AD111" s="38" t="str">
        <f t="shared" si="15"/>
        <v/>
      </c>
      <c r="AE111" s="38" t="str">
        <f t="shared" si="16"/>
        <v/>
      </c>
      <c r="AF111" s="38" t="str">
        <f t="shared" si="17"/>
        <v/>
      </c>
    </row>
    <row r="112" spans="1:32" x14ac:dyDescent="0.3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38" t="str">
        <f>IF(OR(A112="Автомат",A112="Дифавтомат"),IF(W112="","",COUNTIFS(Однолинейка!$H$3:$H$3000,U112,Однолинейка!$A$3:$A$3000,Щит_спец)),IF(A112="Аппарат",IF(C112="","",COUNTIFS(Однолинейка!$I$3:$I$3000,C112,Однолинейка!$A$3:$A$3000,Щит_спец)+COUNTIFS(Однолинейка!$J$3:$J$3000,C112,Однолинейка!$A$3:$A$3000,Щит_спец)+COUNTIFS(Однолинейка!$K$3:$K$3000,C112,Однолинейка!$A$3:$A$3000,Щит_спец)),IF(A112="Модуль",IF(C112="","",COUNTIFS(Однолинейка!$AW$3:$AW$3000,"?*",Однолинейка!$AI$3:$AI$3000,C112,Однолинейка!$A$3:$A$3000,Щит_спец)),IF(A112="Клемма",IF(C112="","",IF(C112=$S$7,SUMIFS(Однолинейка!$BW$3:$BW$3000,Однолинейка!$A$3:$A$3000,Щит_спец),IF(C112=$S$8,SUMIFS(Однолинейка!$BX$3:$BX$3000,Однолинейка!$A$3:$A$3000,Щит_спец),""))),""))))</f>
        <v/>
      </c>
      <c r="O112" s="74"/>
      <c r="P112" s="38" t="str">
        <f t="shared" si="9"/>
        <v/>
      </c>
      <c r="U112" s="38" t="str">
        <f t="shared" si="10"/>
        <v/>
      </c>
      <c r="V112" s="38" t="str">
        <f t="shared" si="11"/>
        <v/>
      </c>
      <c r="W112" s="38" t="str">
        <f>IF(AND(U112&lt;&gt;"",OR($S$4="(все)",B112=$S$4),IF($S$4="(все)",COUNTIF($U$4:U112,U112),COUNTIFS($U$4:U112,U112,$B$4:B112,B112))=1),MAX($W$3:W111)+1,"")</f>
        <v/>
      </c>
      <c r="X112" s="38" t="str">
        <f t="shared" si="12"/>
        <v/>
      </c>
      <c r="Y112" s="38" t="str">
        <f>IF(AND(A112="Аппарат",C112&lt;&gt;"",OR($S$5="(все)",B112=$S$5)),MAX($Y$3:Y111)+1,"")</f>
        <v/>
      </c>
      <c r="Z112" s="38" t="str">
        <f t="shared" si="13"/>
        <v/>
      </c>
      <c r="AA112" s="38" t="str">
        <f>IF(AND(A112="Модуль",C112&lt;&gt;"",OR($S$6="(все)",B112=$S$6)),MAX($AA$3:AA111)+1,"")</f>
        <v/>
      </c>
      <c r="AB112" s="38" t="str">
        <f t="shared" si="14"/>
        <v/>
      </c>
      <c r="AC112" s="38" t="str">
        <f>IF(OR(B112="",COUNTIF($B$4:B112,B112)&gt;1),"",MAX($AC$3:AC111)+1)</f>
        <v/>
      </c>
      <c r="AD112" s="38" t="str">
        <f t="shared" si="15"/>
        <v/>
      </c>
      <c r="AE112" s="38" t="str">
        <f t="shared" si="16"/>
        <v/>
      </c>
      <c r="AF112" s="38" t="str">
        <f t="shared" si="17"/>
        <v/>
      </c>
    </row>
    <row r="113" spans="1:32" x14ac:dyDescent="0.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38" t="str">
        <f>IF(OR(A113="Автомат",A113="Дифавтомат"),IF(W113="","",COUNTIFS(Однолинейка!$H$3:$H$3000,U113,Однолинейка!$A$3:$A$3000,Щит_спец)),IF(A113="Аппарат",IF(C113="","",COUNTIFS(Однолинейка!$I$3:$I$3000,C113,Однолинейка!$A$3:$A$3000,Щит_спец)+COUNTIFS(Однолинейка!$J$3:$J$3000,C113,Однолинейка!$A$3:$A$3000,Щит_спец)+COUNTIFS(Однолинейка!$K$3:$K$3000,C113,Однолинейка!$A$3:$A$3000,Щит_спец)),IF(A113="Модуль",IF(C113="","",COUNTIFS(Однолинейка!$AW$3:$AW$3000,"?*",Однолинейка!$AI$3:$AI$3000,C113,Однолинейка!$A$3:$A$3000,Щит_спец)),IF(A113="Клемма",IF(C113="","",IF(C113=$S$7,SUMIFS(Однолинейка!$BW$3:$BW$3000,Однолинейка!$A$3:$A$3000,Щит_спец),IF(C113=$S$8,SUMIFS(Однолинейка!$BX$3:$BX$3000,Однолинейка!$A$3:$A$3000,Щит_спец),""))),""))))</f>
        <v/>
      </c>
      <c r="O113" s="74"/>
      <c r="P113" s="38" t="str">
        <f t="shared" si="9"/>
        <v/>
      </c>
      <c r="U113" s="38" t="str">
        <f t="shared" si="10"/>
        <v/>
      </c>
      <c r="V113" s="38" t="str">
        <f t="shared" si="11"/>
        <v/>
      </c>
      <c r="W113" s="38" t="str">
        <f>IF(AND(U113&lt;&gt;"",OR($S$4="(все)",B113=$S$4),IF($S$4="(все)",COUNTIF($U$4:U113,U113),COUNTIFS($U$4:U113,U113,$B$4:B113,B113))=1),MAX($W$3:W112)+1,"")</f>
        <v/>
      </c>
      <c r="X113" s="38" t="str">
        <f t="shared" si="12"/>
        <v/>
      </c>
      <c r="Y113" s="38" t="str">
        <f>IF(AND(A113="Аппарат",C113&lt;&gt;"",OR($S$5="(все)",B113=$S$5)),MAX($Y$3:Y112)+1,"")</f>
        <v/>
      </c>
      <c r="Z113" s="38" t="str">
        <f t="shared" si="13"/>
        <v/>
      </c>
      <c r="AA113" s="38" t="str">
        <f>IF(AND(A113="Модуль",C113&lt;&gt;"",OR($S$6="(все)",B113=$S$6)),MAX($AA$3:AA112)+1,"")</f>
        <v/>
      </c>
      <c r="AB113" s="38" t="str">
        <f t="shared" si="14"/>
        <v/>
      </c>
      <c r="AC113" s="38" t="str">
        <f>IF(OR(B113="",COUNTIF($B$4:B113,B113)&gt;1),"",MAX($AC$3:AC112)+1)</f>
        <v/>
      </c>
      <c r="AD113" s="38" t="str">
        <f t="shared" si="15"/>
        <v/>
      </c>
      <c r="AE113" s="38" t="str">
        <f t="shared" si="16"/>
        <v/>
      </c>
      <c r="AF113" s="38" t="str">
        <f t="shared" si="17"/>
        <v/>
      </c>
    </row>
    <row r="114" spans="1:32" x14ac:dyDescent="0.3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38" t="str">
        <f>IF(OR(A114="Автомат",A114="Дифавтомат"),IF(W114="","",COUNTIFS(Однолинейка!$H$3:$H$3000,U114,Однолинейка!$A$3:$A$3000,Щит_спец)),IF(A114="Аппарат",IF(C114="","",COUNTIFS(Однолинейка!$I$3:$I$3000,C114,Однолинейка!$A$3:$A$3000,Щит_спец)+COUNTIFS(Однолинейка!$J$3:$J$3000,C114,Однолинейка!$A$3:$A$3000,Щит_спец)+COUNTIFS(Однолинейка!$K$3:$K$3000,C114,Однолинейка!$A$3:$A$3000,Щит_спец)),IF(A114="Модуль",IF(C114="","",COUNTIFS(Однолинейка!$AW$3:$AW$3000,"?*",Однолинейка!$AI$3:$AI$3000,C114,Однолинейка!$A$3:$A$3000,Щит_спец)),IF(A114="Клемма",IF(C114="","",IF(C114=$S$7,SUMIFS(Однолинейка!$BW$3:$BW$3000,Однолинейка!$A$3:$A$3000,Щит_спец),IF(C114=$S$8,SUMIFS(Однолинейка!$BX$3:$BX$3000,Однолинейка!$A$3:$A$3000,Щит_спец),""))),""))))</f>
        <v/>
      </c>
      <c r="O114" s="74"/>
      <c r="P114" s="38" t="str">
        <f t="shared" si="9"/>
        <v/>
      </c>
      <c r="U114" s="38" t="str">
        <f t="shared" si="10"/>
        <v/>
      </c>
      <c r="V114" s="38" t="str">
        <f t="shared" si="11"/>
        <v/>
      </c>
      <c r="W114" s="38" t="str">
        <f>IF(AND(U114&lt;&gt;"",OR($S$4="(все)",B114=$S$4),IF($S$4="(все)",COUNTIF($U$4:U114,U114),COUNTIFS($U$4:U114,U114,$B$4:B114,B114))=1),MAX($W$3:W113)+1,"")</f>
        <v/>
      </c>
      <c r="X114" s="38" t="str">
        <f t="shared" si="12"/>
        <v/>
      </c>
      <c r="Y114" s="38" t="str">
        <f>IF(AND(A114="Аппарат",C114&lt;&gt;"",OR($S$5="(все)",B114=$S$5)),MAX($Y$3:Y113)+1,"")</f>
        <v/>
      </c>
      <c r="Z114" s="38" t="str">
        <f t="shared" si="13"/>
        <v/>
      </c>
      <c r="AA114" s="38" t="str">
        <f>IF(AND(A114="Модуль",C114&lt;&gt;"",OR($S$6="(все)",B114=$S$6)),MAX($AA$3:AA113)+1,"")</f>
        <v/>
      </c>
      <c r="AB114" s="38" t="str">
        <f t="shared" si="14"/>
        <v/>
      </c>
      <c r="AC114" s="38" t="str">
        <f>IF(OR(B114="",COUNTIF($B$4:B114,B114)&gt;1),"",MAX($AC$3:AC113)+1)</f>
        <v/>
      </c>
      <c r="AD114" s="38" t="str">
        <f t="shared" si="15"/>
        <v/>
      </c>
      <c r="AE114" s="38" t="str">
        <f t="shared" si="16"/>
        <v/>
      </c>
      <c r="AF114" s="38" t="str">
        <f t="shared" si="17"/>
        <v/>
      </c>
    </row>
    <row r="115" spans="1:32" x14ac:dyDescent="0.3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38" t="str">
        <f>IF(OR(A115="Автомат",A115="Дифавтомат"),IF(W115="","",COUNTIFS(Однолинейка!$H$3:$H$3000,U115,Однолинейка!$A$3:$A$3000,Щит_спец)),IF(A115="Аппарат",IF(C115="","",COUNTIFS(Однолинейка!$I$3:$I$3000,C115,Однолинейка!$A$3:$A$3000,Щит_спец)+COUNTIFS(Однолинейка!$J$3:$J$3000,C115,Однолинейка!$A$3:$A$3000,Щит_спец)+COUNTIFS(Однолинейка!$K$3:$K$3000,C115,Однолинейка!$A$3:$A$3000,Щит_спец)),IF(A115="Модуль",IF(C115="","",COUNTIFS(Однолинейка!$AW$3:$AW$3000,"?*",Однолинейка!$AI$3:$AI$3000,C115,Однолинейка!$A$3:$A$3000,Щит_спец)),IF(A115="Клемма",IF(C115="","",IF(C115=$S$7,SUMIFS(Однолинейка!$BW$3:$BW$3000,Однолинейка!$A$3:$A$3000,Щит_спец),IF(C115=$S$8,SUMIFS(Однолинейка!$BX$3:$BX$3000,Однолинейка!$A$3:$A$3000,Щит_спец),""))),""))))</f>
        <v/>
      </c>
      <c r="O115" s="74"/>
      <c r="P115" s="38" t="str">
        <f t="shared" si="9"/>
        <v/>
      </c>
      <c r="U115" s="38" t="str">
        <f t="shared" si="10"/>
        <v/>
      </c>
      <c r="V115" s="38" t="str">
        <f t="shared" si="11"/>
        <v/>
      </c>
      <c r="W115" s="38" t="str">
        <f>IF(AND(U115&lt;&gt;"",OR($S$4="(все)",B115=$S$4),IF($S$4="(все)",COUNTIF($U$4:U115,U115),COUNTIFS($U$4:U115,U115,$B$4:B115,B115))=1),MAX($W$3:W114)+1,"")</f>
        <v/>
      </c>
      <c r="X115" s="38" t="str">
        <f t="shared" si="12"/>
        <v/>
      </c>
      <c r="Y115" s="38" t="str">
        <f>IF(AND(A115="Аппарат",C115&lt;&gt;"",OR($S$5="(все)",B115=$S$5)),MAX($Y$3:Y114)+1,"")</f>
        <v/>
      </c>
      <c r="Z115" s="38" t="str">
        <f t="shared" si="13"/>
        <v/>
      </c>
      <c r="AA115" s="38" t="str">
        <f>IF(AND(A115="Модуль",C115&lt;&gt;"",OR($S$6="(все)",B115=$S$6)),MAX($AA$3:AA114)+1,"")</f>
        <v/>
      </c>
      <c r="AB115" s="38" t="str">
        <f t="shared" si="14"/>
        <v/>
      </c>
      <c r="AC115" s="38" t="str">
        <f>IF(OR(B115="",COUNTIF($B$4:B115,B115)&gt;1),"",MAX($AC$3:AC114)+1)</f>
        <v/>
      </c>
      <c r="AD115" s="38" t="str">
        <f t="shared" si="15"/>
        <v/>
      </c>
      <c r="AE115" s="38" t="str">
        <f t="shared" si="16"/>
        <v/>
      </c>
      <c r="AF115" s="38" t="str">
        <f t="shared" si="17"/>
        <v/>
      </c>
    </row>
    <row r="116" spans="1:32" x14ac:dyDescent="0.3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38" t="str">
        <f>IF(OR(A116="Автомат",A116="Дифавтомат"),IF(W116="","",COUNTIFS(Однолинейка!$H$3:$H$3000,U116,Однолинейка!$A$3:$A$3000,Щит_спец)),IF(A116="Аппарат",IF(C116="","",COUNTIFS(Однолинейка!$I$3:$I$3000,C116,Однолинейка!$A$3:$A$3000,Щит_спец)+COUNTIFS(Однолинейка!$J$3:$J$3000,C116,Однолинейка!$A$3:$A$3000,Щит_спец)+COUNTIFS(Однолинейка!$K$3:$K$3000,C116,Однолинейка!$A$3:$A$3000,Щит_спец)),IF(A116="Модуль",IF(C116="","",COUNTIFS(Однолинейка!$AW$3:$AW$3000,"?*",Однолинейка!$AI$3:$AI$3000,C116,Однолинейка!$A$3:$A$3000,Щит_спец)),IF(A116="Клемма",IF(C116="","",IF(C116=$S$7,SUMIFS(Однолинейка!$BW$3:$BW$3000,Однолинейка!$A$3:$A$3000,Щит_спец),IF(C116=$S$8,SUMIFS(Однолинейка!$BX$3:$BX$3000,Однолинейка!$A$3:$A$3000,Щит_спец),""))),""))))</f>
        <v/>
      </c>
      <c r="O116" s="74"/>
      <c r="P116" s="38" t="str">
        <f t="shared" si="9"/>
        <v/>
      </c>
      <c r="U116" s="38" t="str">
        <f t="shared" si="10"/>
        <v/>
      </c>
      <c r="V116" s="38" t="str">
        <f t="shared" si="11"/>
        <v/>
      </c>
      <c r="W116" s="38" t="str">
        <f>IF(AND(U116&lt;&gt;"",OR($S$4="(все)",B116=$S$4),IF($S$4="(все)",COUNTIF($U$4:U116,U116),COUNTIFS($U$4:U116,U116,$B$4:B116,B116))=1),MAX($W$3:W115)+1,"")</f>
        <v/>
      </c>
      <c r="X116" s="38" t="str">
        <f t="shared" si="12"/>
        <v/>
      </c>
      <c r="Y116" s="38" t="str">
        <f>IF(AND(A116="Аппарат",C116&lt;&gt;"",OR($S$5="(все)",B116=$S$5)),MAX($Y$3:Y115)+1,"")</f>
        <v/>
      </c>
      <c r="Z116" s="38" t="str">
        <f t="shared" si="13"/>
        <v/>
      </c>
      <c r="AA116" s="38" t="str">
        <f>IF(AND(A116="Модуль",C116&lt;&gt;"",OR($S$6="(все)",B116=$S$6)),MAX($AA$3:AA115)+1,"")</f>
        <v/>
      </c>
      <c r="AB116" s="38" t="str">
        <f t="shared" si="14"/>
        <v/>
      </c>
      <c r="AC116" s="38" t="str">
        <f>IF(OR(B116="",COUNTIF($B$4:B116,B116)&gt;1),"",MAX($AC$3:AC115)+1)</f>
        <v/>
      </c>
      <c r="AD116" s="38" t="str">
        <f t="shared" si="15"/>
        <v/>
      </c>
      <c r="AE116" s="38" t="str">
        <f t="shared" si="16"/>
        <v/>
      </c>
      <c r="AF116" s="38" t="str">
        <f t="shared" si="17"/>
        <v/>
      </c>
    </row>
    <row r="117" spans="1:32" x14ac:dyDescent="0.3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38" t="str">
        <f>IF(OR(A117="Автомат",A117="Дифавтомат"),IF(W117="","",COUNTIFS(Однолинейка!$H$3:$H$3000,U117,Однолинейка!$A$3:$A$3000,Щит_спец)),IF(A117="Аппарат",IF(C117="","",COUNTIFS(Однолинейка!$I$3:$I$3000,C117,Однолинейка!$A$3:$A$3000,Щит_спец)+COUNTIFS(Однолинейка!$J$3:$J$3000,C117,Однолинейка!$A$3:$A$3000,Щит_спец)+COUNTIFS(Однолинейка!$K$3:$K$3000,C117,Однолинейка!$A$3:$A$3000,Щит_спец)),IF(A117="Модуль",IF(C117="","",COUNTIFS(Однолинейка!$AW$3:$AW$3000,"?*",Однолинейка!$AI$3:$AI$3000,C117,Однолинейка!$A$3:$A$3000,Щит_спец)),IF(A117="Клемма",IF(C117="","",IF(C117=$S$7,SUMIFS(Однолинейка!$BW$3:$BW$3000,Однолинейка!$A$3:$A$3000,Щит_спец),IF(C117=$S$8,SUMIFS(Однолинейка!$BX$3:$BX$3000,Однолинейка!$A$3:$A$3000,Щит_спец),""))),""))))</f>
        <v/>
      </c>
      <c r="O117" s="74"/>
      <c r="P117" s="38" t="str">
        <f t="shared" si="9"/>
        <v/>
      </c>
      <c r="U117" s="38" t="str">
        <f t="shared" si="10"/>
        <v/>
      </c>
      <c r="V117" s="38" t="str">
        <f t="shared" si="11"/>
        <v/>
      </c>
      <c r="W117" s="38" t="str">
        <f>IF(AND(U117&lt;&gt;"",OR($S$4="(все)",B117=$S$4),IF($S$4="(все)",COUNTIF($U$4:U117,U117),COUNTIFS($U$4:U117,U117,$B$4:B117,B117))=1),MAX($W$3:W116)+1,"")</f>
        <v/>
      </c>
      <c r="X117" s="38" t="str">
        <f t="shared" si="12"/>
        <v/>
      </c>
      <c r="Y117" s="38" t="str">
        <f>IF(AND(A117="Аппарат",C117&lt;&gt;"",OR($S$5="(все)",B117=$S$5)),MAX($Y$3:Y116)+1,"")</f>
        <v/>
      </c>
      <c r="Z117" s="38" t="str">
        <f t="shared" si="13"/>
        <v/>
      </c>
      <c r="AA117" s="38" t="str">
        <f>IF(AND(A117="Модуль",C117&lt;&gt;"",OR($S$6="(все)",B117=$S$6)),MAX($AA$3:AA116)+1,"")</f>
        <v/>
      </c>
      <c r="AB117" s="38" t="str">
        <f t="shared" si="14"/>
        <v/>
      </c>
      <c r="AC117" s="38" t="str">
        <f>IF(OR(B117="",COUNTIF($B$4:B117,B117)&gt;1),"",MAX($AC$3:AC116)+1)</f>
        <v/>
      </c>
      <c r="AD117" s="38" t="str">
        <f t="shared" si="15"/>
        <v/>
      </c>
      <c r="AE117" s="38" t="str">
        <f t="shared" si="16"/>
        <v/>
      </c>
      <c r="AF117" s="38" t="str">
        <f t="shared" si="17"/>
        <v/>
      </c>
    </row>
    <row r="118" spans="1:32" x14ac:dyDescent="0.3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38" t="str">
        <f>IF(OR(A118="Автомат",A118="Дифавтомат"),IF(W118="","",COUNTIFS(Однолинейка!$H$3:$H$3000,U118,Однолинейка!$A$3:$A$3000,Щит_спец)),IF(A118="Аппарат",IF(C118="","",COUNTIFS(Однолинейка!$I$3:$I$3000,C118,Однолинейка!$A$3:$A$3000,Щит_спец)+COUNTIFS(Однолинейка!$J$3:$J$3000,C118,Однолинейка!$A$3:$A$3000,Щит_спец)+COUNTIFS(Однолинейка!$K$3:$K$3000,C118,Однолинейка!$A$3:$A$3000,Щит_спец)),IF(A118="Модуль",IF(C118="","",COUNTIFS(Однолинейка!$AW$3:$AW$3000,"?*",Однолинейка!$AI$3:$AI$3000,C118,Однолинейка!$A$3:$A$3000,Щит_спец)),IF(A118="Клемма",IF(C118="","",IF(C118=$S$7,SUMIFS(Однолинейка!$BW$3:$BW$3000,Однолинейка!$A$3:$A$3000,Щит_спец),IF(C118=$S$8,SUMIFS(Однолинейка!$BX$3:$BX$3000,Однолинейка!$A$3:$A$3000,Щит_спец),""))),""))))</f>
        <v/>
      </c>
      <c r="O118" s="74"/>
      <c r="P118" s="38" t="str">
        <f t="shared" si="9"/>
        <v/>
      </c>
      <c r="U118" s="38" t="str">
        <f t="shared" si="10"/>
        <v/>
      </c>
      <c r="V118" s="38" t="str">
        <f t="shared" si="11"/>
        <v/>
      </c>
      <c r="W118" s="38" t="str">
        <f>IF(AND(U118&lt;&gt;"",OR($S$4="(все)",B118=$S$4),IF($S$4="(все)",COUNTIF($U$4:U118,U118),COUNTIFS($U$4:U118,U118,$B$4:B118,B118))=1),MAX($W$3:W117)+1,"")</f>
        <v/>
      </c>
      <c r="X118" s="38" t="str">
        <f t="shared" si="12"/>
        <v/>
      </c>
      <c r="Y118" s="38" t="str">
        <f>IF(AND(A118="Аппарат",C118&lt;&gt;"",OR($S$5="(все)",B118=$S$5)),MAX($Y$3:Y117)+1,"")</f>
        <v/>
      </c>
      <c r="Z118" s="38" t="str">
        <f t="shared" si="13"/>
        <v/>
      </c>
      <c r="AA118" s="38" t="str">
        <f>IF(AND(A118="Модуль",C118&lt;&gt;"",OR($S$6="(все)",B118=$S$6)),MAX($AA$3:AA117)+1,"")</f>
        <v/>
      </c>
      <c r="AB118" s="38" t="str">
        <f t="shared" si="14"/>
        <v/>
      </c>
      <c r="AC118" s="38" t="str">
        <f>IF(OR(B118="",COUNTIF($B$4:B118,B118)&gt;1),"",MAX($AC$3:AC117)+1)</f>
        <v/>
      </c>
      <c r="AD118" s="38" t="str">
        <f t="shared" si="15"/>
        <v/>
      </c>
      <c r="AE118" s="38" t="str">
        <f t="shared" si="16"/>
        <v/>
      </c>
      <c r="AF118" s="38" t="str">
        <f t="shared" si="17"/>
        <v/>
      </c>
    </row>
    <row r="119" spans="1:32" x14ac:dyDescent="0.3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38" t="str">
        <f>IF(OR(A119="Автомат",A119="Дифавтомат"),IF(W119="","",COUNTIFS(Однолинейка!$H$3:$H$3000,U119,Однолинейка!$A$3:$A$3000,Щит_спец)),IF(A119="Аппарат",IF(C119="","",COUNTIFS(Однолинейка!$I$3:$I$3000,C119,Однолинейка!$A$3:$A$3000,Щит_спец)+COUNTIFS(Однолинейка!$J$3:$J$3000,C119,Однолинейка!$A$3:$A$3000,Щит_спец)+COUNTIFS(Однолинейка!$K$3:$K$3000,C119,Однолинейка!$A$3:$A$3000,Щит_спец)),IF(A119="Модуль",IF(C119="","",COUNTIFS(Однолинейка!$AW$3:$AW$3000,"?*",Однолинейка!$AI$3:$AI$3000,C119,Однолинейка!$A$3:$A$3000,Щит_спец)),IF(A119="Клемма",IF(C119="","",IF(C119=$S$7,SUMIFS(Однолинейка!$BW$3:$BW$3000,Однолинейка!$A$3:$A$3000,Щит_спец),IF(C119=$S$8,SUMIFS(Однолинейка!$BX$3:$BX$3000,Однолинейка!$A$3:$A$3000,Щит_спец),""))),""))))</f>
        <v/>
      </c>
      <c r="O119" s="74"/>
      <c r="P119" s="38" t="str">
        <f t="shared" si="9"/>
        <v/>
      </c>
      <c r="U119" s="38" t="str">
        <f t="shared" si="10"/>
        <v/>
      </c>
      <c r="V119" s="38" t="str">
        <f t="shared" si="11"/>
        <v/>
      </c>
      <c r="W119" s="38" t="str">
        <f>IF(AND(U119&lt;&gt;"",OR($S$4="(все)",B119=$S$4),IF($S$4="(все)",COUNTIF($U$4:U119,U119),COUNTIFS($U$4:U119,U119,$B$4:B119,B119))=1),MAX($W$3:W118)+1,"")</f>
        <v/>
      </c>
      <c r="X119" s="38" t="str">
        <f t="shared" si="12"/>
        <v/>
      </c>
      <c r="Y119" s="38" t="str">
        <f>IF(AND(A119="Аппарат",C119&lt;&gt;"",OR($S$5="(все)",B119=$S$5)),MAX($Y$3:Y118)+1,"")</f>
        <v/>
      </c>
      <c r="Z119" s="38" t="str">
        <f t="shared" si="13"/>
        <v/>
      </c>
      <c r="AA119" s="38" t="str">
        <f>IF(AND(A119="Модуль",C119&lt;&gt;"",OR($S$6="(все)",B119=$S$6)),MAX($AA$3:AA118)+1,"")</f>
        <v/>
      </c>
      <c r="AB119" s="38" t="str">
        <f t="shared" si="14"/>
        <v/>
      </c>
      <c r="AC119" s="38" t="str">
        <f>IF(OR(B119="",COUNTIF($B$4:B119,B119)&gt;1),"",MAX($AC$3:AC118)+1)</f>
        <v/>
      </c>
      <c r="AD119" s="38" t="str">
        <f t="shared" si="15"/>
        <v/>
      </c>
      <c r="AE119" s="38" t="str">
        <f t="shared" si="16"/>
        <v/>
      </c>
      <c r="AF119" s="38" t="str">
        <f t="shared" si="17"/>
        <v/>
      </c>
    </row>
    <row r="120" spans="1:32" x14ac:dyDescent="0.3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38" t="str">
        <f>IF(OR(A120="Автомат",A120="Дифавтомат"),IF(W120="","",COUNTIFS(Однолинейка!$H$3:$H$3000,U120,Однолинейка!$A$3:$A$3000,Щит_спец)),IF(A120="Аппарат",IF(C120="","",COUNTIFS(Однолинейка!$I$3:$I$3000,C120,Однолинейка!$A$3:$A$3000,Щит_спец)+COUNTIFS(Однолинейка!$J$3:$J$3000,C120,Однолинейка!$A$3:$A$3000,Щит_спец)+COUNTIFS(Однолинейка!$K$3:$K$3000,C120,Однолинейка!$A$3:$A$3000,Щит_спец)),IF(A120="Модуль",IF(C120="","",COUNTIFS(Однолинейка!$AW$3:$AW$3000,"?*",Однолинейка!$AI$3:$AI$3000,C120,Однолинейка!$A$3:$A$3000,Щит_спец)),IF(A120="Клемма",IF(C120="","",IF(C120=$S$7,SUMIFS(Однолинейка!$BW$3:$BW$3000,Однолинейка!$A$3:$A$3000,Щит_спец),IF(C120=$S$8,SUMIFS(Однолинейка!$BX$3:$BX$3000,Однолинейка!$A$3:$A$3000,Щит_спец),""))),""))))</f>
        <v/>
      </c>
      <c r="O120" s="74"/>
      <c r="P120" s="38" t="str">
        <f t="shared" si="9"/>
        <v/>
      </c>
      <c r="U120" s="38" t="str">
        <f t="shared" si="10"/>
        <v/>
      </c>
      <c r="V120" s="38" t="str">
        <f t="shared" si="11"/>
        <v/>
      </c>
      <c r="W120" s="38" t="str">
        <f>IF(AND(U120&lt;&gt;"",OR($S$4="(все)",B120=$S$4),IF($S$4="(все)",COUNTIF($U$4:U120,U120),COUNTIFS($U$4:U120,U120,$B$4:B120,B120))=1),MAX($W$3:W119)+1,"")</f>
        <v/>
      </c>
      <c r="X120" s="38" t="str">
        <f t="shared" si="12"/>
        <v/>
      </c>
      <c r="Y120" s="38" t="str">
        <f>IF(AND(A120="Аппарат",C120&lt;&gt;"",OR($S$5="(все)",B120=$S$5)),MAX($Y$3:Y119)+1,"")</f>
        <v/>
      </c>
      <c r="Z120" s="38" t="str">
        <f t="shared" si="13"/>
        <v/>
      </c>
      <c r="AA120" s="38" t="str">
        <f>IF(AND(A120="Модуль",C120&lt;&gt;"",OR($S$6="(все)",B120=$S$6)),MAX($AA$3:AA119)+1,"")</f>
        <v/>
      </c>
      <c r="AB120" s="38" t="str">
        <f t="shared" si="14"/>
        <v/>
      </c>
      <c r="AC120" s="38" t="str">
        <f>IF(OR(B120="",COUNTIF($B$4:B120,B120)&gt;1),"",MAX($AC$3:AC119)+1)</f>
        <v/>
      </c>
      <c r="AD120" s="38" t="str">
        <f t="shared" si="15"/>
        <v/>
      </c>
      <c r="AE120" s="38" t="str">
        <f t="shared" si="16"/>
        <v/>
      </c>
      <c r="AF120" s="38" t="str">
        <f t="shared" si="17"/>
        <v/>
      </c>
    </row>
    <row r="121" spans="1:32" x14ac:dyDescent="0.3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38" t="str">
        <f>IF(OR(A121="Автомат",A121="Дифавтомат"),IF(W121="","",COUNTIFS(Однолинейка!$H$3:$H$3000,U121,Однолинейка!$A$3:$A$3000,Щит_спец)),IF(A121="Аппарат",IF(C121="","",COUNTIFS(Однолинейка!$I$3:$I$3000,C121,Однолинейка!$A$3:$A$3000,Щит_спец)+COUNTIFS(Однолинейка!$J$3:$J$3000,C121,Однолинейка!$A$3:$A$3000,Щит_спец)+COUNTIFS(Однолинейка!$K$3:$K$3000,C121,Однолинейка!$A$3:$A$3000,Щит_спец)),IF(A121="Модуль",IF(C121="","",COUNTIFS(Однолинейка!$AW$3:$AW$3000,"?*",Однолинейка!$AI$3:$AI$3000,C121,Однолинейка!$A$3:$A$3000,Щит_спец)),IF(A121="Клемма",IF(C121="","",IF(C121=$S$7,SUMIFS(Однолинейка!$BW$3:$BW$3000,Однолинейка!$A$3:$A$3000,Щит_спец),IF(C121=$S$8,SUMIFS(Однолинейка!$BX$3:$BX$3000,Однолинейка!$A$3:$A$3000,Щит_спец),""))),""))))</f>
        <v/>
      </c>
      <c r="O121" s="74"/>
      <c r="P121" s="38" t="str">
        <f t="shared" si="9"/>
        <v/>
      </c>
      <c r="U121" s="38" t="str">
        <f t="shared" si="10"/>
        <v/>
      </c>
      <c r="V121" s="38" t="str">
        <f t="shared" si="11"/>
        <v/>
      </c>
      <c r="W121" s="38" t="str">
        <f>IF(AND(U121&lt;&gt;"",OR($S$4="(все)",B121=$S$4),IF($S$4="(все)",COUNTIF($U$4:U121,U121),COUNTIFS($U$4:U121,U121,$B$4:B121,B121))=1),MAX($W$3:W120)+1,"")</f>
        <v/>
      </c>
      <c r="X121" s="38" t="str">
        <f t="shared" si="12"/>
        <v/>
      </c>
      <c r="Y121" s="38" t="str">
        <f>IF(AND(A121="Аппарат",C121&lt;&gt;"",OR($S$5="(все)",B121=$S$5)),MAX($Y$3:Y120)+1,"")</f>
        <v/>
      </c>
      <c r="Z121" s="38" t="str">
        <f t="shared" si="13"/>
        <v/>
      </c>
      <c r="AA121" s="38" t="str">
        <f>IF(AND(A121="Модуль",C121&lt;&gt;"",OR($S$6="(все)",B121=$S$6)),MAX($AA$3:AA120)+1,"")</f>
        <v/>
      </c>
      <c r="AB121" s="38" t="str">
        <f t="shared" si="14"/>
        <v/>
      </c>
      <c r="AC121" s="38" t="str">
        <f>IF(OR(B121="",COUNTIF($B$4:B121,B121)&gt;1),"",MAX($AC$3:AC120)+1)</f>
        <v/>
      </c>
      <c r="AD121" s="38" t="str">
        <f t="shared" si="15"/>
        <v/>
      </c>
      <c r="AE121" s="38" t="str">
        <f t="shared" si="16"/>
        <v/>
      </c>
      <c r="AF121" s="38" t="str">
        <f t="shared" si="17"/>
        <v/>
      </c>
    </row>
    <row r="122" spans="1:32" x14ac:dyDescent="0.3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38" t="str">
        <f>IF(OR(A122="Автомат",A122="Дифавтомат"),IF(W122="","",COUNTIFS(Однолинейка!$H$3:$H$3000,U122,Однолинейка!$A$3:$A$3000,Щит_спец)),IF(A122="Аппарат",IF(C122="","",COUNTIFS(Однолинейка!$I$3:$I$3000,C122,Однолинейка!$A$3:$A$3000,Щит_спец)+COUNTIFS(Однолинейка!$J$3:$J$3000,C122,Однолинейка!$A$3:$A$3000,Щит_спец)+COUNTIFS(Однолинейка!$K$3:$K$3000,C122,Однолинейка!$A$3:$A$3000,Щит_спец)),IF(A122="Модуль",IF(C122="","",COUNTIFS(Однолинейка!$AW$3:$AW$3000,"?*",Однолинейка!$AI$3:$AI$3000,C122,Однолинейка!$A$3:$A$3000,Щит_спец)),IF(A122="Клемма",IF(C122="","",IF(C122=$S$7,SUMIFS(Однолинейка!$BW$3:$BW$3000,Однолинейка!$A$3:$A$3000,Щит_спец),IF(C122=$S$8,SUMIFS(Однолинейка!$BX$3:$BX$3000,Однолинейка!$A$3:$A$3000,Щит_спец),""))),""))))</f>
        <v/>
      </c>
      <c r="O122" s="74"/>
      <c r="P122" s="38" t="str">
        <f t="shared" si="9"/>
        <v/>
      </c>
      <c r="U122" s="38" t="str">
        <f t="shared" si="10"/>
        <v/>
      </c>
      <c r="V122" s="38" t="str">
        <f t="shared" si="11"/>
        <v/>
      </c>
      <c r="W122" s="38" t="str">
        <f>IF(AND(U122&lt;&gt;"",OR($S$4="(все)",B122=$S$4),IF($S$4="(все)",COUNTIF($U$4:U122,U122),COUNTIFS($U$4:U122,U122,$B$4:B122,B122))=1),MAX($W$3:W121)+1,"")</f>
        <v/>
      </c>
      <c r="X122" s="38" t="str">
        <f t="shared" si="12"/>
        <v/>
      </c>
      <c r="Y122" s="38" t="str">
        <f>IF(AND(A122="Аппарат",C122&lt;&gt;"",OR($S$5="(все)",B122=$S$5)),MAX($Y$3:Y121)+1,"")</f>
        <v/>
      </c>
      <c r="Z122" s="38" t="str">
        <f t="shared" si="13"/>
        <v/>
      </c>
      <c r="AA122" s="38" t="str">
        <f>IF(AND(A122="Модуль",C122&lt;&gt;"",OR($S$6="(все)",B122=$S$6)),MAX($AA$3:AA121)+1,"")</f>
        <v/>
      </c>
      <c r="AB122" s="38" t="str">
        <f t="shared" si="14"/>
        <v/>
      </c>
      <c r="AC122" s="38" t="str">
        <f>IF(OR(B122="",COUNTIF($B$4:B122,B122)&gt;1),"",MAX($AC$3:AC121)+1)</f>
        <v/>
      </c>
      <c r="AD122" s="38" t="str">
        <f t="shared" si="15"/>
        <v/>
      </c>
      <c r="AE122" s="38" t="str">
        <f t="shared" si="16"/>
        <v/>
      </c>
      <c r="AF122" s="38" t="str">
        <f t="shared" si="17"/>
        <v/>
      </c>
    </row>
    <row r="123" spans="1:32" x14ac:dyDescent="0.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38" t="str">
        <f>IF(OR(A123="Автомат",A123="Дифавтомат"),IF(W123="","",COUNTIFS(Однолинейка!$H$3:$H$3000,U123,Однолинейка!$A$3:$A$3000,Щит_спец)),IF(A123="Аппарат",IF(C123="","",COUNTIFS(Однолинейка!$I$3:$I$3000,C123,Однолинейка!$A$3:$A$3000,Щит_спец)+COUNTIFS(Однолинейка!$J$3:$J$3000,C123,Однолинейка!$A$3:$A$3000,Щит_спец)+COUNTIFS(Однолинейка!$K$3:$K$3000,C123,Однолинейка!$A$3:$A$3000,Щит_спец)),IF(A123="Модуль",IF(C123="","",COUNTIFS(Однолинейка!$AW$3:$AW$3000,"?*",Однолинейка!$AI$3:$AI$3000,C123,Однолинейка!$A$3:$A$3000,Щит_спец)),IF(A123="Клемма",IF(C123="","",IF(C123=$S$7,SUMIFS(Однолинейка!$BW$3:$BW$3000,Однолинейка!$A$3:$A$3000,Щит_спец),IF(C123=$S$8,SUMIFS(Однолинейка!$BX$3:$BX$3000,Однолинейка!$A$3:$A$3000,Щит_спец),""))),""))))</f>
        <v/>
      </c>
      <c r="O123" s="74"/>
      <c r="P123" s="38" t="str">
        <f t="shared" si="9"/>
        <v/>
      </c>
      <c r="U123" s="38" t="str">
        <f t="shared" si="10"/>
        <v/>
      </c>
      <c r="V123" s="38" t="str">
        <f t="shared" si="11"/>
        <v/>
      </c>
      <c r="W123" s="38" t="str">
        <f>IF(AND(U123&lt;&gt;"",OR($S$4="(все)",B123=$S$4),IF($S$4="(все)",COUNTIF($U$4:U123,U123),COUNTIFS($U$4:U123,U123,$B$4:B123,B123))=1),MAX($W$3:W122)+1,"")</f>
        <v/>
      </c>
      <c r="X123" s="38" t="str">
        <f t="shared" si="12"/>
        <v/>
      </c>
      <c r="Y123" s="38" t="str">
        <f>IF(AND(A123="Аппарат",C123&lt;&gt;"",OR($S$5="(все)",B123=$S$5)),MAX($Y$3:Y122)+1,"")</f>
        <v/>
      </c>
      <c r="Z123" s="38" t="str">
        <f t="shared" si="13"/>
        <v/>
      </c>
      <c r="AA123" s="38" t="str">
        <f>IF(AND(A123="Модуль",C123&lt;&gt;"",OR($S$6="(все)",B123=$S$6)),MAX($AA$3:AA122)+1,"")</f>
        <v/>
      </c>
      <c r="AB123" s="38" t="str">
        <f t="shared" si="14"/>
        <v/>
      </c>
      <c r="AC123" s="38" t="str">
        <f>IF(OR(B123="",COUNTIF($B$4:B123,B123)&gt;1),"",MAX($AC$3:AC122)+1)</f>
        <v/>
      </c>
      <c r="AD123" s="38" t="str">
        <f t="shared" si="15"/>
        <v/>
      </c>
      <c r="AE123" s="38" t="str">
        <f t="shared" si="16"/>
        <v/>
      </c>
      <c r="AF123" s="38" t="str">
        <f t="shared" si="17"/>
        <v/>
      </c>
    </row>
    <row r="124" spans="1:32" x14ac:dyDescent="0.3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38" t="str">
        <f>IF(OR(A124="Автомат",A124="Дифавтомат"),IF(W124="","",COUNTIFS(Однолинейка!$H$3:$H$3000,U124,Однолинейка!$A$3:$A$3000,Щит_спец)),IF(A124="Аппарат",IF(C124="","",COUNTIFS(Однолинейка!$I$3:$I$3000,C124,Однолинейка!$A$3:$A$3000,Щит_спец)+COUNTIFS(Однолинейка!$J$3:$J$3000,C124,Однолинейка!$A$3:$A$3000,Щит_спец)+COUNTIFS(Однолинейка!$K$3:$K$3000,C124,Однолинейка!$A$3:$A$3000,Щит_спец)),IF(A124="Модуль",IF(C124="","",COUNTIFS(Однолинейка!$AW$3:$AW$3000,"?*",Однолинейка!$AI$3:$AI$3000,C124,Однолинейка!$A$3:$A$3000,Щит_спец)),IF(A124="Клемма",IF(C124="","",IF(C124=$S$7,SUMIFS(Однолинейка!$BW$3:$BW$3000,Однолинейка!$A$3:$A$3000,Щит_спец),IF(C124=$S$8,SUMIFS(Однолинейка!$BX$3:$BX$3000,Однолинейка!$A$3:$A$3000,Щит_спец),""))),""))))</f>
        <v/>
      </c>
      <c r="O124" s="74"/>
      <c r="P124" s="38" t="str">
        <f t="shared" si="9"/>
        <v/>
      </c>
      <c r="U124" s="38" t="str">
        <f t="shared" si="10"/>
        <v/>
      </c>
      <c r="V124" s="38" t="str">
        <f t="shared" si="11"/>
        <v/>
      </c>
      <c r="W124" s="38" t="str">
        <f>IF(AND(U124&lt;&gt;"",OR($S$4="(все)",B124=$S$4),IF($S$4="(все)",COUNTIF($U$4:U124,U124),COUNTIFS($U$4:U124,U124,$B$4:B124,B124))=1),MAX($W$3:W123)+1,"")</f>
        <v/>
      </c>
      <c r="X124" s="38" t="str">
        <f t="shared" si="12"/>
        <v/>
      </c>
      <c r="Y124" s="38" t="str">
        <f>IF(AND(A124="Аппарат",C124&lt;&gt;"",OR($S$5="(все)",B124=$S$5)),MAX($Y$3:Y123)+1,"")</f>
        <v/>
      </c>
      <c r="Z124" s="38" t="str">
        <f t="shared" si="13"/>
        <v/>
      </c>
      <c r="AA124" s="38" t="str">
        <f>IF(AND(A124="Модуль",C124&lt;&gt;"",OR($S$6="(все)",B124=$S$6)),MAX($AA$3:AA123)+1,"")</f>
        <v/>
      </c>
      <c r="AB124" s="38" t="str">
        <f t="shared" si="14"/>
        <v/>
      </c>
      <c r="AC124" s="38" t="str">
        <f>IF(OR(B124="",COUNTIF($B$4:B124,B124)&gt;1),"",MAX($AC$3:AC123)+1)</f>
        <v/>
      </c>
      <c r="AD124" s="38" t="str">
        <f t="shared" si="15"/>
        <v/>
      </c>
      <c r="AE124" s="38" t="str">
        <f t="shared" si="16"/>
        <v/>
      </c>
      <c r="AF124" s="38" t="str">
        <f t="shared" si="17"/>
        <v/>
      </c>
    </row>
    <row r="125" spans="1:32" x14ac:dyDescent="0.3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38" t="str">
        <f>IF(OR(A125="Автомат",A125="Дифавтомат"),IF(W125="","",COUNTIFS(Однолинейка!$H$3:$H$3000,U125,Однолинейка!$A$3:$A$3000,Щит_спец)),IF(A125="Аппарат",IF(C125="","",COUNTIFS(Однолинейка!$I$3:$I$3000,C125,Однолинейка!$A$3:$A$3000,Щит_спец)+COUNTIFS(Однолинейка!$J$3:$J$3000,C125,Однолинейка!$A$3:$A$3000,Щит_спец)+COUNTIFS(Однолинейка!$K$3:$K$3000,C125,Однолинейка!$A$3:$A$3000,Щит_спец)),IF(A125="Модуль",IF(C125="","",COUNTIFS(Однолинейка!$AW$3:$AW$3000,"?*",Однолинейка!$AI$3:$AI$3000,C125,Однолинейка!$A$3:$A$3000,Щит_спец)),IF(A125="Клемма",IF(C125="","",IF(C125=$S$7,SUMIFS(Однолинейка!$BW$3:$BW$3000,Однолинейка!$A$3:$A$3000,Щит_спец),IF(C125=$S$8,SUMIFS(Однолинейка!$BX$3:$BX$3000,Однолинейка!$A$3:$A$3000,Щит_спец),""))),""))))</f>
        <v/>
      </c>
      <c r="O125" s="74"/>
      <c r="P125" s="38" t="str">
        <f t="shared" si="9"/>
        <v/>
      </c>
      <c r="U125" s="38" t="str">
        <f t="shared" si="10"/>
        <v/>
      </c>
      <c r="V125" s="38" t="str">
        <f t="shared" si="11"/>
        <v/>
      </c>
      <c r="W125" s="38" t="str">
        <f>IF(AND(U125&lt;&gt;"",OR($S$4="(все)",B125=$S$4),IF($S$4="(все)",COUNTIF($U$4:U125,U125),COUNTIFS($U$4:U125,U125,$B$4:B125,B125))=1),MAX($W$3:W124)+1,"")</f>
        <v/>
      </c>
      <c r="X125" s="38" t="str">
        <f t="shared" si="12"/>
        <v/>
      </c>
      <c r="Y125" s="38" t="str">
        <f>IF(AND(A125="Аппарат",C125&lt;&gt;"",OR($S$5="(все)",B125=$S$5)),MAX($Y$3:Y124)+1,"")</f>
        <v/>
      </c>
      <c r="Z125" s="38" t="str">
        <f t="shared" si="13"/>
        <v/>
      </c>
      <c r="AA125" s="38" t="str">
        <f>IF(AND(A125="Модуль",C125&lt;&gt;"",OR($S$6="(все)",B125=$S$6)),MAX($AA$3:AA124)+1,"")</f>
        <v/>
      </c>
      <c r="AB125" s="38" t="str">
        <f t="shared" si="14"/>
        <v/>
      </c>
      <c r="AC125" s="38" t="str">
        <f>IF(OR(B125="",COUNTIF($B$4:B125,B125)&gt;1),"",MAX($AC$3:AC124)+1)</f>
        <v/>
      </c>
      <c r="AD125" s="38" t="str">
        <f t="shared" si="15"/>
        <v/>
      </c>
      <c r="AE125" s="38" t="str">
        <f t="shared" si="16"/>
        <v/>
      </c>
      <c r="AF125" s="38" t="str">
        <f t="shared" si="17"/>
        <v/>
      </c>
    </row>
    <row r="126" spans="1:32" x14ac:dyDescent="0.3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38" t="str">
        <f>IF(OR(A126="Автомат",A126="Дифавтомат"),IF(W126="","",COUNTIFS(Однолинейка!$H$3:$H$3000,U126,Однолинейка!$A$3:$A$3000,Щит_спец)),IF(A126="Аппарат",IF(C126="","",COUNTIFS(Однолинейка!$I$3:$I$3000,C126,Однолинейка!$A$3:$A$3000,Щит_спец)+COUNTIFS(Однолинейка!$J$3:$J$3000,C126,Однолинейка!$A$3:$A$3000,Щит_спец)+COUNTIFS(Однолинейка!$K$3:$K$3000,C126,Однолинейка!$A$3:$A$3000,Щит_спец)),IF(A126="Модуль",IF(C126="","",COUNTIFS(Однолинейка!$AW$3:$AW$3000,"?*",Однолинейка!$AI$3:$AI$3000,C126,Однолинейка!$A$3:$A$3000,Щит_спец)),IF(A126="Клемма",IF(C126="","",IF(C126=$S$7,SUMIFS(Однолинейка!$BW$3:$BW$3000,Однолинейка!$A$3:$A$3000,Щит_спец),IF(C126=$S$8,SUMIFS(Однолинейка!$BX$3:$BX$3000,Однолинейка!$A$3:$A$3000,Щит_спец),""))),""))))</f>
        <v/>
      </c>
      <c r="O126" s="74"/>
      <c r="P126" s="38" t="str">
        <f t="shared" si="9"/>
        <v/>
      </c>
      <c r="U126" s="38" t="str">
        <f t="shared" si="10"/>
        <v/>
      </c>
      <c r="V126" s="38" t="str">
        <f t="shared" si="11"/>
        <v/>
      </c>
      <c r="W126" s="38" t="str">
        <f>IF(AND(U126&lt;&gt;"",OR($S$4="(все)",B126=$S$4),IF($S$4="(все)",COUNTIF($U$4:U126,U126),COUNTIFS($U$4:U126,U126,$B$4:B126,B126))=1),MAX($W$3:W125)+1,"")</f>
        <v/>
      </c>
      <c r="X126" s="38" t="str">
        <f t="shared" si="12"/>
        <v/>
      </c>
      <c r="Y126" s="38" t="str">
        <f>IF(AND(A126="Аппарат",C126&lt;&gt;"",OR($S$5="(все)",B126=$S$5)),MAX($Y$3:Y125)+1,"")</f>
        <v/>
      </c>
      <c r="Z126" s="38" t="str">
        <f t="shared" si="13"/>
        <v/>
      </c>
      <c r="AA126" s="38" t="str">
        <f>IF(AND(A126="Модуль",C126&lt;&gt;"",OR($S$6="(все)",B126=$S$6)),MAX($AA$3:AA125)+1,"")</f>
        <v/>
      </c>
      <c r="AB126" s="38" t="str">
        <f t="shared" si="14"/>
        <v/>
      </c>
      <c r="AC126" s="38" t="str">
        <f>IF(OR(B126="",COUNTIF($B$4:B126,B126)&gt;1),"",MAX($AC$3:AC125)+1)</f>
        <v/>
      </c>
      <c r="AD126" s="38" t="str">
        <f t="shared" si="15"/>
        <v/>
      </c>
      <c r="AE126" s="38" t="str">
        <f t="shared" si="16"/>
        <v/>
      </c>
      <c r="AF126" s="38" t="str">
        <f t="shared" si="17"/>
        <v/>
      </c>
    </row>
    <row r="127" spans="1:32" x14ac:dyDescent="0.3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38" t="str">
        <f>IF(OR(A127="Автомат",A127="Дифавтомат"),IF(W127="","",COUNTIFS(Однолинейка!$H$3:$H$3000,U127,Однолинейка!$A$3:$A$3000,Щит_спец)),IF(A127="Аппарат",IF(C127="","",COUNTIFS(Однолинейка!$I$3:$I$3000,C127,Однолинейка!$A$3:$A$3000,Щит_спец)+COUNTIFS(Однолинейка!$J$3:$J$3000,C127,Однолинейка!$A$3:$A$3000,Щит_спец)+COUNTIFS(Однолинейка!$K$3:$K$3000,C127,Однолинейка!$A$3:$A$3000,Щит_спец)),IF(A127="Модуль",IF(C127="","",COUNTIFS(Однолинейка!$AW$3:$AW$3000,"?*",Однолинейка!$AI$3:$AI$3000,C127,Однолинейка!$A$3:$A$3000,Щит_спец)),IF(A127="Клемма",IF(C127="","",IF(C127=$S$7,SUMIFS(Однолинейка!$BW$3:$BW$3000,Однолинейка!$A$3:$A$3000,Щит_спец),IF(C127=$S$8,SUMIFS(Однолинейка!$BX$3:$BX$3000,Однолинейка!$A$3:$A$3000,Щит_спец),""))),""))))</f>
        <v/>
      </c>
      <c r="O127" s="74"/>
      <c r="P127" s="38" t="str">
        <f t="shared" si="9"/>
        <v/>
      </c>
      <c r="U127" s="38" t="str">
        <f t="shared" si="10"/>
        <v/>
      </c>
      <c r="V127" s="38" t="str">
        <f t="shared" si="11"/>
        <v/>
      </c>
      <c r="W127" s="38" t="str">
        <f>IF(AND(U127&lt;&gt;"",OR($S$4="(все)",B127=$S$4),IF($S$4="(все)",COUNTIF($U$4:U127,U127),COUNTIFS($U$4:U127,U127,$B$4:B127,B127))=1),MAX($W$3:W126)+1,"")</f>
        <v/>
      </c>
      <c r="X127" s="38" t="str">
        <f t="shared" si="12"/>
        <v/>
      </c>
      <c r="Y127" s="38" t="str">
        <f>IF(AND(A127="Аппарат",C127&lt;&gt;"",OR($S$5="(все)",B127=$S$5)),MAX($Y$3:Y126)+1,"")</f>
        <v/>
      </c>
      <c r="Z127" s="38" t="str">
        <f t="shared" si="13"/>
        <v/>
      </c>
      <c r="AA127" s="38" t="str">
        <f>IF(AND(A127="Модуль",C127&lt;&gt;"",OR($S$6="(все)",B127=$S$6)),MAX($AA$3:AA126)+1,"")</f>
        <v/>
      </c>
      <c r="AB127" s="38" t="str">
        <f t="shared" si="14"/>
        <v/>
      </c>
      <c r="AC127" s="38" t="str">
        <f>IF(OR(B127="",COUNTIF($B$4:B127,B127)&gt;1),"",MAX($AC$3:AC126)+1)</f>
        <v/>
      </c>
      <c r="AD127" s="38" t="str">
        <f t="shared" si="15"/>
        <v/>
      </c>
      <c r="AE127" s="38" t="str">
        <f t="shared" si="16"/>
        <v/>
      </c>
      <c r="AF127" s="38" t="str">
        <f t="shared" si="17"/>
        <v/>
      </c>
    </row>
    <row r="128" spans="1:32" x14ac:dyDescent="0.3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38" t="str">
        <f>IF(OR(A128="Автомат",A128="Дифавтомат"),IF(W128="","",COUNTIFS(Однолинейка!$H$3:$H$3000,U128,Однолинейка!$A$3:$A$3000,Щит_спец)),IF(A128="Аппарат",IF(C128="","",COUNTIFS(Однолинейка!$I$3:$I$3000,C128,Однолинейка!$A$3:$A$3000,Щит_спец)+COUNTIFS(Однолинейка!$J$3:$J$3000,C128,Однолинейка!$A$3:$A$3000,Щит_спец)+COUNTIFS(Однолинейка!$K$3:$K$3000,C128,Однолинейка!$A$3:$A$3000,Щит_спец)),IF(A128="Модуль",IF(C128="","",COUNTIFS(Однолинейка!$AW$3:$AW$3000,"?*",Однолинейка!$AI$3:$AI$3000,C128,Однолинейка!$A$3:$A$3000,Щит_спец)),IF(A128="Клемма",IF(C128="","",IF(C128=$S$7,SUMIFS(Однолинейка!$BW$3:$BW$3000,Однолинейка!$A$3:$A$3000,Щит_спец),IF(C128=$S$8,SUMIFS(Однолинейка!$BX$3:$BX$3000,Однолинейка!$A$3:$A$3000,Щит_спец),""))),""))))</f>
        <v/>
      </c>
      <c r="O128" s="74"/>
      <c r="P128" s="38" t="str">
        <f t="shared" si="9"/>
        <v/>
      </c>
      <c r="U128" s="38" t="str">
        <f t="shared" si="10"/>
        <v/>
      </c>
      <c r="V128" s="38" t="str">
        <f t="shared" si="11"/>
        <v/>
      </c>
      <c r="W128" s="38" t="str">
        <f>IF(AND(U128&lt;&gt;"",OR($S$4="(все)",B128=$S$4),IF($S$4="(все)",COUNTIF($U$4:U128,U128),COUNTIFS($U$4:U128,U128,$B$4:B128,B128))=1),MAX($W$3:W127)+1,"")</f>
        <v/>
      </c>
      <c r="X128" s="38" t="str">
        <f t="shared" si="12"/>
        <v/>
      </c>
      <c r="Y128" s="38" t="str">
        <f>IF(AND(A128="Аппарат",C128&lt;&gt;"",OR($S$5="(все)",B128=$S$5)),MAX($Y$3:Y127)+1,"")</f>
        <v/>
      </c>
      <c r="Z128" s="38" t="str">
        <f t="shared" si="13"/>
        <v/>
      </c>
      <c r="AA128" s="38" t="str">
        <f>IF(AND(A128="Модуль",C128&lt;&gt;"",OR($S$6="(все)",B128=$S$6)),MAX($AA$3:AA127)+1,"")</f>
        <v/>
      </c>
      <c r="AB128" s="38" t="str">
        <f t="shared" si="14"/>
        <v/>
      </c>
      <c r="AC128" s="38" t="str">
        <f>IF(OR(B128="",COUNTIF($B$4:B128,B128)&gt;1),"",MAX($AC$3:AC127)+1)</f>
        <v/>
      </c>
      <c r="AD128" s="38" t="str">
        <f t="shared" si="15"/>
        <v/>
      </c>
      <c r="AE128" s="38" t="str">
        <f t="shared" si="16"/>
        <v/>
      </c>
      <c r="AF128" s="38" t="str">
        <f t="shared" si="17"/>
        <v/>
      </c>
    </row>
    <row r="129" spans="1:32" x14ac:dyDescent="0.3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38" t="str">
        <f>IF(OR(A129="Автомат",A129="Дифавтомат"),IF(W129="","",COUNTIFS(Однолинейка!$H$3:$H$3000,U129,Однолинейка!$A$3:$A$3000,Щит_спец)),IF(A129="Аппарат",IF(C129="","",COUNTIFS(Однолинейка!$I$3:$I$3000,C129,Однолинейка!$A$3:$A$3000,Щит_спец)+COUNTIFS(Однолинейка!$J$3:$J$3000,C129,Однолинейка!$A$3:$A$3000,Щит_спец)+COUNTIFS(Однолинейка!$K$3:$K$3000,C129,Однолинейка!$A$3:$A$3000,Щит_спец)),IF(A129="Модуль",IF(C129="","",COUNTIFS(Однолинейка!$AW$3:$AW$3000,"?*",Однолинейка!$AI$3:$AI$3000,C129,Однолинейка!$A$3:$A$3000,Щит_спец)),IF(A129="Клемма",IF(C129="","",IF(C129=$S$7,SUMIFS(Однолинейка!$BW$3:$BW$3000,Однолинейка!$A$3:$A$3000,Щит_спец),IF(C129=$S$8,SUMIFS(Однолинейка!$BX$3:$BX$3000,Однолинейка!$A$3:$A$3000,Щит_спец),""))),""))))</f>
        <v/>
      </c>
      <c r="O129" s="74"/>
      <c r="P129" s="38" t="str">
        <f t="shared" si="9"/>
        <v/>
      </c>
      <c r="U129" s="38" t="str">
        <f t="shared" si="10"/>
        <v/>
      </c>
      <c r="V129" s="38" t="str">
        <f t="shared" si="11"/>
        <v/>
      </c>
      <c r="W129" s="38" t="str">
        <f>IF(AND(U129&lt;&gt;"",OR($S$4="(все)",B129=$S$4),IF($S$4="(все)",COUNTIF($U$4:U129,U129),COUNTIFS($U$4:U129,U129,$B$4:B129,B129))=1),MAX($W$3:W128)+1,"")</f>
        <v/>
      </c>
      <c r="X129" s="38" t="str">
        <f t="shared" si="12"/>
        <v/>
      </c>
      <c r="Y129" s="38" t="str">
        <f>IF(AND(A129="Аппарат",C129&lt;&gt;"",OR($S$5="(все)",B129=$S$5)),MAX($Y$3:Y128)+1,"")</f>
        <v/>
      </c>
      <c r="Z129" s="38" t="str">
        <f t="shared" si="13"/>
        <v/>
      </c>
      <c r="AA129" s="38" t="str">
        <f>IF(AND(A129="Модуль",C129&lt;&gt;"",OR($S$6="(все)",B129=$S$6)),MAX($AA$3:AA128)+1,"")</f>
        <v/>
      </c>
      <c r="AB129" s="38" t="str">
        <f t="shared" si="14"/>
        <v/>
      </c>
      <c r="AC129" s="38" t="str">
        <f>IF(OR(B129="",COUNTIF($B$4:B129,B129)&gt;1),"",MAX($AC$3:AC128)+1)</f>
        <v/>
      </c>
      <c r="AD129" s="38" t="str">
        <f t="shared" si="15"/>
        <v/>
      </c>
      <c r="AE129" s="38" t="str">
        <f t="shared" si="16"/>
        <v/>
      </c>
      <c r="AF129" s="38" t="str">
        <f t="shared" si="17"/>
        <v/>
      </c>
    </row>
    <row r="130" spans="1:32" x14ac:dyDescent="0.3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38" t="str">
        <f>IF(OR(A130="Автомат",A130="Дифавтомат"),IF(W130="","",COUNTIFS(Однолинейка!$H$3:$H$3000,U130,Однолинейка!$A$3:$A$3000,Щит_спец)),IF(A130="Аппарат",IF(C130="","",COUNTIFS(Однолинейка!$I$3:$I$3000,C130,Однолинейка!$A$3:$A$3000,Щит_спец)+COUNTIFS(Однолинейка!$J$3:$J$3000,C130,Однолинейка!$A$3:$A$3000,Щит_спец)+COUNTIFS(Однолинейка!$K$3:$K$3000,C130,Однолинейка!$A$3:$A$3000,Щит_спец)),IF(A130="Модуль",IF(C130="","",COUNTIFS(Однолинейка!$AW$3:$AW$3000,"?*",Однолинейка!$AI$3:$AI$3000,C130,Однолинейка!$A$3:$A$3000,Щит_спец)),IF(A130="Клемма",IF(C130="","",IF(C130=$S$7,SUMIFS(Однолинейка!$BW$3:$BW$3000,Однолинейка!$A$3:$A$3000,Щит_спец),IF(C130=$S$8,SUMIFS(Однолинейка!$BX$3:$BX$3000,Однолинейка!$A$3:$A$3000,Щит_спец),""))),""))))</f>
        <v/>
      </c>
      <c r="O130" s="74"/>
      <c r="P130" s="38" t="str">
        <f t="shared" si="9"/>
        <v/>
      </c>
      <c r="U130" s="38" t="str">
        <f t="shared" si="10"/>
        <v/>
      </c>
      <c r="V130" s="38" t="str">
        <f t="shared" si="11"/>
        <v/>
      </c>
      <c r="W130" s="38" t="str">
        <f>IF(AND(U130&lt;&gt;"",OR($S$4="(все)",B130=$S$4),IF($S$4="(все)",COUNTIF($U$4:U130,U130),COUNTIFS($U$4:U130,U130,$B$4:B130,B130))=1),MAX($W$3:W129)+1,"")</f>
        <v/>
      </c>
      <c r="X130" s="38" t="str">
        <f t="shared" si="12"/>
        <v/>
      </c>
      <c r="Y130" s="38" t="str">
        <f>IF(AND(A130="Аппарат",C130&lt;&gt;"",OR($S$5="(все)",B130=$S$5)),MAX($Y$3:Y129)+1,"")</f>
        <v/>
      </c>
      <c r="Z130" s="38" t="str">
        <f t="shared" si="13"/>
        <v/>
      </c>
      <c r="AA130" s="38" t="str">
        <f>IF(AND(A130="Модуль",C130&lt;&gt;"",OR($S$6="(все)",B130=$S$6)),MAX($AA$3:AA129)+1,"")</f>
        <v/>
      </c>
      <c r="AB130" s="38" t="str">
        <f t="shared" si="14"/>
        <v/>
      </c>
      <c r="AC130" s="38" t="str">
        <f>IF(OR(B130="",COUNTIF($B$4:B130,B130)&gt;1),"",MAX($AC$3:AC129)+1)</f>
        <v/>
      </c>
      <c r="AD130" s="38" t="str">
        <f t="shared" si="15"/>
        <v/>
      </c>
      <c r="AE130" s="38" t="str">
        <f t="shared" si="16"/>
        <v/>
      </c>
      <c r="AF130" s="38" t="str">
        <f t="shared" si="17"/>
        <v/>
      </c>
    </row>
    <row r="131" spans="1:32" x14ac:dyDescent="0.3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38" t="str">
        <f>IF(OR(A131="Автомат",A131="Дифавтомат"),IF(W131="","",COUNTIFS(Однолинейка!$H$3:$H$3000,U131,Однолинейка!$A$3:$A$3000,Щит_спец)),IF(A131="Аппарат",IF(C131="","",COUNTIFS(Однолинейка!$I$3:$I$3000,C131,Однолинейка!$A$3:$A$3000,Щит_спец)+COUNTIFS(Однолинейка!$J$3:$J$3000,C131,Однолинейка!$A$3:$A$3000,Щит_спец)+COUNTIFS(Однолинейка!$K$3:$K$3000,C131,Однолинейка!$A$3:$A$3000,Щит_спец)),IF(A131="Модуль",IF(C131="","",COUNTIFS(Однолинейка!$AW$3:$AW$3000,"?*",Однолинейка!$AI$3:$AI$3000,C131,Однолинейка!$A$3:$A$3000,Щит_спец)),IF(A131="Клемма",IF(C131="","",IF(C131=$S$7,SUMIFS(Однолинейка!$BW$3:$BW$3000,Однолинейка!$A$3:$A$3000,Щит_спец),IF(C131=$S$8,SUMIFS(Однолинейка!$BX$3:$BX$3000,Однолинейка!$A$3:$A$3000,Щит_спец),""))),""))))</f>
        <v/>
      </c>
      <c r="O131" s="74"/>
      <c r="P131" s="38" t="str">
        <f t="shared" si="9"/>
        <v/>
      </c>
      <c r="U131" s="38" t="str">
        <f t="shared" si="10"/>
        <v/>
      </c>
      <c r="V131" s="38" t="str">
        <f t="shared" si="11"/>
        <v/>
      </c>
      <c r="W131" s="38" t="str">
        <f>IF(AND(U131&lt;&gt;"",OR($S$4="(все)",B131=$S$4),IF($S$4="(все)",COUNTIF($U$4:U131,U131),COUNTIFS($U$4:U131,U131,$B$4:B131,B131))=1),MAX($W$3:W130)+1,"")</f>
        <v/>
      </c>
      <c r="X131" s="38" t="str">
        <f t="shared" si="12"/>
        <v/>
      </c>
      <c r="Y131" s="38" t="str">
        <f>IF(AND(A131="Аппарат",C131&lt;&gt;"",OR($S$5="(все)",B131=$S$5)),MAX($Y$3:Y130)+1,"")</f>
        <v/>
      </c>
      <c r="Z131" s="38" t="str">
        <f t="shared" si="13"/>
        <v/>
      </c>
      <c r="AA131" s="38" t="str">
        <f>IF(AND(A131="Модуль",C131&lt;&gt;"",OR($S$6="(все)",B131=$S$6)),MAX($AA$3:AA130)+1,"")</f>
        <v/>
      </c>
      <c r="AB131" s="38" t="str">
        <f t="shared" si="14"/>
        <v/>
      </c>
      <c r="AC131" s="38" t="str">
        <f>IF(OR(B131="",COUNTIF($B$4:B131,B131)&gt;1),"",MAX($AC$3:AC130)+1)</f>
        <v/>
      </c>
      <c r="AD131" s="38" t="str">
        <f t="shared" si="15"/>
        <v/>
      </c>
      <c r="AE131" s="38" t="str">
        <f t="shared" si="16"/>
        <v/>
      </c>
      <c r="AF131" s="38" t="str">
        <f t="shared" si="17"/>
        <v/>
      </c>
    </row>
    <row r="132" spans="1:32" x14ac:dyDescent="0.3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38" t="str">
        <f>IF(OR(A132="Автомат",A132="Дифавтомат"),IF(W132="","",COUNTIFS(Однолинейка!$H$3:$H$3000,U132,Однолинейка!$A$3:$A$3000,Щит_спец)),IF(A132="Аппарат",IF(C132="","",COUNTIFS(Однолинейка!$I$3:$I$3000,C132,Однолинейка!$A$3:$A$3000,Щит_спец)+COUNTIFS(Однолинейка!$J$3:$J$3000,C132,Однолинейка!$A$3:$A$3000,Щит_спец)+COUNTIFS(Однолинейка!$K$3:$K$3000,C132,Однолинейка!$A$3:$A$3000,Щит_спец)),IF(A132="Модуль",IF(C132="","",COUNTIFS(Однолинейка!$AW$3:$AW$3000,"?*",Однолинейка!$AI$3:$AI$3000,C132,Однолинейка!$A$3:$A$3000,Щит_спец)),IF(A132="Клемма",IF(C132="","",IF(C132=$S$7,SUMIFS(Однолинейка!$BW$3:$BW$3000,Однолинейка!$A$3:$A$3000,Щит_спец),IF(C132=$S$8,SUMIFS(Однолинейка!$BX$3:$BX$3000,Однолинейка!$A$3:$A$3000,Щит_спец),""))),""))))</f>
        <v/>
      </c>
      <c r="O132" s="74"/>
      <c r="P132" s="38" t="str">
        <f t="shared" ref="P132:P195" si="18">IF(COUNT(N132,O132)=0,"",SUM(N132,O132))</f>
        <v/>
      </c>
      <c r="U132" s="38" t="str">
        <f t="shared" ref="U132:U195" si="19">IF(OR(A132="Автомат",A132="Дифавтомат"),I132&amp;" С"&amp;J132&amp;"А"&amp;IF(K132="да"," 30мА",IF(ISNUMBER(K132)," "&amp;K132&amp;"мА","")),"")</f>
        <v/>
      </c>
      <c r="V132" s="38" t="str">
        <f t="shared" ref="V132:V195" si="20">IF(U132="","",B132&amp;"|"&amp;U132)</f>
        <v/>
      </c>
      <c r="W132" s="38" t="str">
        <f>IF(AND(U132&lt;&gt;"",OR($S$4="(все)",B132=$S$4),IF($S$4="(все)",COUNTIF($U$4:U132,U132),COUNTIFS($U$4:U132,U132,$B$4:B132,B132))=1),MAX($W$3:W131)+1,"")</f>
        <v/>
      </c>
      <c r="X132" s="38" t="str">
        <f t="shared" ref="X132:X195" si="21">IFERROR(INDEX($U$4:$U$500,MATCH(ROW()-3,$W$4:$W$500,0)),"")</f>
        <v/>
      </c>
      <c r="Y132" s="38" t="str">
        <f>IF(AND(A132="Аппарат",C132&lt;&gt;"",OR($S$5="(все)",B132=$S$5)),MAX($Y$3:Y131)+1,"")</f>
        <v/>
      </c>
      <c r="Z132" s="38" t="str">
        <f t="shared" ref="Z132:Z195" si="22">IFERROR(INDEX($C$4:$C$500,MATCH(ROW()-3,$Y$4:$Y$500,0)),"")</f>
        <v/>
      </c>
      <c r="AA132" s="38" t="str">
        <f>IF(AND(A132="Модуль",C132&lt;&gt;"",OR($S$6="(все)",B132=$S$6)),MAX($AA$3:AA131)+1,"")</f>
        <v/>
      </c>
      <c r="AB132" s="38" t="str">
        <f t="shared" ref="AB132:AB195" si="23">IFERROR(INDEX($C$4:$C$500,MATCH(ROW()-3,$AA$4:$AA$500,0)),"")</f>
        <v/>
      </c>
      <c r="AC132" s="38" t="str">
        <f>IF(OR(B132="",COUNTIF($B$4:B132,B132)&gt;1),"",MAX($AC$3:AC131)+1)</f>
        <v/>
      </c>
      <c r="AD132" s="38" t="str">
        <f t="shared" ref="AD132:AD195" si="24">IFERROR(INDEX($B$4:$B$500,MATCH(ROW()-3,$AC$4:$AC$500,0)),"")</f>
        <v/>
      </c>
      <c r="AE132" s="38" t="str">
        <f t="shared" ref="AE132:AE195" si="25">IF(AND(A132&lt;&gt;"",N(P132)&gt;0),IFERROR(MATCH(A132,$R$12:$R$25,0),99)*1000+ROW(),"")</f>
        <v/>
      </c>
      <c r="AF132" s="38" t="str">
        <f t="shared" ref="AF132:AF195" si="26">IF(AE132="","",COUNTIF($AE$4:$AE$500,"&lt;="&amp;AE132))</f>
        <v/>
      </c>
    </row>
    <row r="133" spans="1:32" x14ac:dyDescent="0.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38" t="str">
        <f>IF(OR(A133="Автомат",A133="Дифавтомат"),IF(W133="","",COUNTIFS(Однолинейка!$H$3:$H$3000,U133,Однолинейка!$A$3:$A$3000,Щит_спец)),IF(A133="Аппарат",IF(C133="","",COUNTIFS(Однолинейка!$I$3:$I$3000,C133,Однолинейка!$A$3:$A$3000,Щит_спец)+COUNTIFS(Однолинейка!$J$3:$J$3000,C133,Однолинейка!$A$3:$A$3000,Щит_спец)+COUNTIFS(Однолинейка!$K$3:$K$3000,C133,Однолинейка!$A$3:$A$3000,Щит_спец)),IF(A133="Модуль",IF(C133="","",COUNTIFS(Однолинейка!$AW$3:$AW$3000,"?*",Однолинейка!$AI$3:$AI$3000,C133,Однолинейка!$A$3:$A$3000,Щит_спец)),IF(A133="Клемма",IF(C133="","",IF(C133=$S$7,SUMIFS(Однолинейка!$BW$3:$BW$3000,Однолинейка!$A$3:$A$3000,Щит_спец),IF(C133=$S$8,SUMIFS(Однолинейка!$BX$3:$BX$3000,Однолинейка!$A$3:$A$3000,Щит_спец),""))),""))))</f>
        <v/>
      </c>
      <c r="O133" s="74"/>
      <c r="P133" s="38" t="str">
        <f t="shared" si="18"/>
        <v/>
      </c>
      <c r="U133" s="38" t="str">
        <f t="shared" si="19"/>
        <v/>
      </c>
      <c r="V133" s="38" t="str">
        <f t="shared" si="20"/>
        <v/>
      </c>
      <c r="W133" s="38" t="str">
        <f>IF(AND(U133&lt;&gt;"",OR($S$4="(все)",B133=$S$4),IF($S$4="(все)",COUNTIF($U$4:U133,U133),COUNTIFS($U$4:U133,U133,$B$4:B133,B133))=1),MAX($W$3:W132)+1,"")</f>
        <v/>
      </c>
      <c r="X133" s="38" t="str">
        <f t="shared" si="21"/>
        <v/>
      </c>
      <c r="Y133" s="38" t="str">
        <f>IF(AND(A133="Аппарат",C133&lt;&gt;"",OR($S$5="(все)",B133=$S$5)),MAX($Y$3:Y132)+1,"")</f>
        <v/>
      </c>
      <c r="Z133" s="38" t="str">
        <f t="shared" si="22"/>
        <v/>
      </c>
      <c r="AA133" s="38" t="str">
        <f>IF(AND(A133="Модуль",C133&lt;&gt;"",OR($S$6="(все)",B133=$S$6)),MAX($AA$3:AA132)+1,"")</f>
        <v/>
      </c>
      <c r="AB133" s="38" t="str">
        <f t="shared" si="23"/>
        <v/>
      </c>
      <c r="AC133" s="38" t="str">
        <f>IF(OR(B133="",COUNTIF($B$4:B133,B133)&gt;1),"",MAX($AC$3:AC132)+1)</f>
        <v/>
      </c>
      <c r="AD133" s="38" t="str">
        <f t="shared" si="24"/>
        <v/>
      </c>
      <c r="AE133" s="38" t="str">
        <f t="shared" si="25"/>
        <v/>
      </c>
      <c r="AF133" s="38" t="str">
        <f t="shared" si="26"/>
        <v/>
      </c>
    </row>
    <row r="134" spans="1:32" x14ac:dyDescent="0.3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38" t="str">
        <f>IF(OR(A134="Автомат",A134="Дифавтомат"),IF(W134="","",COUNTIFS(Однолинейка!$H$3:$H$3000,U134,Однолинейка!$A$3:$A$3000,Щит_спец)),IF(A134="Аппарат",IF(C134="","",COUNTIFS(Однолинейка!$I$3:$I$3000,C134,Однолинейка!$A$3:$A$3000,Щит_спец)+COUNTIFS(Однолинейка!$J$3:$J$3000,C134,Однолинейка!$A$3:$A$3000,Щит_спец)+COUNTIFS(Однолинейка!$K$3:$K$3000,C134,Однолинейка!$A$3:$A$3000,Щит_спец)),IF(A134="Модуль",IF(C134="","",COUNTIFS(Однолинейка!$AW$3:$AW$3000,"?*",Однолинейка!$AI$3:$AI$3000,C134,Однолинейка!$A$3:$A$3000,Щит_спец)),IF(A134="Клемма",IF(C134="","",IF(C134=$S$7,SUMIFS(Однолинейка!$BW$3:$BW$3000,Однолинейка!$A$3:$A$3000,Щит_спец),IF(C134=$S$8,SUMIFS(Однолинейка!$BX$3:$BX$3000,Однолинейка!$A$3:$A$3000,Щит_спец),""))),""))))</f>
        <v/>
      </c>
      <c r="O134" s="74"/>
      <c r="P134" s="38" t="str">
        <f t="shared" si="18"/>
        <v/>
      </c>
      <c r="U134" s="38" t="str">
        <f t="shared" si="19"/>
        <v/>
      </c>
      <c r="V134" s="38" t="str">
        <f t="shared" si="20"/>
        <v/>
      </c>
      <c r="W134" s="38" t="str">
        <f>IF(AND(U134&lt;&gt;"",OR($S$4="(все)",B134=$S$4),IF($S$4="(все)",COUNTIF($U$4:U134,U134),COUNTIFS($U$4:U134,U134,$B$4:B134,B134))=1),MAX($W$3:W133)+1,"")</f>
        <v/>
      </c>
      <c r="X134" s="38" t="str">
        <f t="shared" si="21"/>
        <v/>
      </c>
      <c r="Y134" s="38" t="str">
        <f>IF(AND(A134="Аппарат",C134&lt;&gt;"",OR($S$5="(все)",B134=$S$5)),MAX($Y$3:Y133)+1,"")</f>
        <v/>
      </c>
      <c r="Z134" s="38" t="str">
        <f t="shared" si="22"/>
        <v/>
      </c>
      <c r="AA134" s="38" t="str">
        <f>IF(AND(A134="Модуль",C134&lt;&gt;"",OR($S$6="(все)",B134=$S$6)),MAX($AA$3:AA133)+1,"")</f>
        <v/>
      </c>
      <c r="AB134" s="38" t="str">
        <f t="shared" si="23"/>
        <v/>
      </c>
      <c r="AC134" s="38" t="str">
        <f>IF(OR(B134="",COUNTIF($B$4:B134,B134)&gt;1),"",MAX($AC$3:AC133)+1)</f>
        <v/>
      </c>
      <c r="AD134" s="38" t="str">
        <f t="shared" si="24"/>
        <v/>
      </c>
      <c r="AE134" s="38" t="str">
        <f t="shared" si="25"/>
        <v/>
      </c>
      <c r="AF134" s="38" t="str">
        <f t="shared" si="26"/>
        <v/>
      </c>
    </row>
    <row r="135" spans="1:32" x14ac:dyDescent="0.3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38" t="str">
        <f>IF(OR(A135="Автомат",A135="Дифавтомат"),IF(W135="","",COUNTIFS(Однолинейка!$H$3:$H$3000,U135,Однолинейка!$A$3:$A$3000,Щит_спец)),IF(A135="Аппарат",IF(C135="","",COUNTIFS(Однолинейка!$I$3:$I$3000,C135,Однолинейка!$A$3:$A$3000,Щит_спец)+COUNTIFS(Однолинейка!$J$3:$J$3000,C135,Однолинейка!$A$3:$A$3000,Щит_спец)+COUNTIFS(Однолинейка!$K$3:$K$3000,C135,Однолинейка!$A$3:$A$3000,Щит_спец)),IF(A135="Модуль",IF(C135="","",COUNTIFS(Однолинейка!$AW$3:$AW$3000,"?*",Однолинейка!$AI$3:$AI$3000,C135,Однолинейка!$A$3:$A$3000,Щит_спец)),IF(A135="Клемма",IF(C135="","",IF(C135=$S$7,SUMIFS(Однолинейка!$BW$3:$BW$3000,Однолинейка!$A$3:$A$3000,Щит_спец),IF(C135=$S$8,SUMIFS(Однолинейка!$BX$3:$BX$3000,Однолинейка!$A$3:$A$3000,Щит_спец),""))),""))))</f>
        <v/>
      </c>
      <c r="O135" s="74"/>
      <c r="P135" s="38" t="str">
        <f t="shared" si="18"/>
        <v/>
      </c>
      <c r="U135" s="38" t="str">
        <f t="shared" si="19"/>
        <v/>
      </c>
      <c r="V135" s="38" t="str">
        <f t="shared" si="20"/>
        <v/>
      </c>
      <c r="W135" s="38" t="str">
        <f>IF(AND(U135&lt;&gt;"",OR($S$4="(все)",B135=$S$4),IF($S$4="(все)",COUNTIF($U$4:U135,U135),COUNTIFS($U$4:U135,U135,$B$4:B135,B135))=1),MAX($W$3:W134)+1,"")</f>
        <v/>
      </c>
      <c r="X135" s="38" t="str">
        <f t="shared" si="21"/>
        <v/>
      </c>
      <c r="Y135" s="38" t="str">
        <f>IF(AND(A135="Аппарат",C135&lt;&gt;"",OR($S$5="(все)",B135=$S$5)),MAX($Y$3:Y134)+1,"")</f>
        <v/>
      </c>
      <c r="Z135" s="38" t="str">
        <f t="shared" si="22"/>
        <v/>
      </c>
      <c r="AA135" s="38" t="str">
        <f>IF(AND(A135="Модуль",C135&lt;&gt;"",OR($S$6="(все)",B135=$S$6)),MAX($AA$3:AA134)+1,"")</f>
        <v/>
      </c>
      <c r="AB135" s="38" t="str">
        <f t="shared" si="23"/>
        <v/>
      </c>
      <c r="AC135" s="38" t="str">
        <f>IF(OR(B135="",COUNTIF($B$4:B135,B135)&gt;1),"",MAX($AC$3:AC134)+1)</f>
        <v/>
      </c>
      <c r="AD135" s="38" t="str">
        <f t="shared" si="24"/>
        <v/>
      </c>
      <c r="AE135" s="38" t="str">
        <f t="shared" si="25"/>
        <v/>
      </c>
      <c r="AF135" s="38" t="str">
        <f t="shared" si="26"/>
        <v/>
      </c>
    </row>
    <row r="136" spans="1:32" x14ac:dyDescent="0.3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38" t="str">
        <f>IF(OR(A136="Автомат",A136="Дифавтомат"),IF(W136="","",COUNTIFS(Однолинейка!$H$3:$H$3000,U136,Однолинейка!$A$3:$A$3000,Щит_спец)),IF(A136="Аппарат",IF(C136="","",COUNTIFS(Однолинейка!$I$3:$I$3000,C136,Однолинейка!$A$3:$A$3000,Щит_спец)+COUNTIFS(Однолинейка!$J$3:$J$3000,C136,Однолинейка!$A$3:$A$3000,Щит_спец)+COUNTIFS(Однолинейка!$K$3:$K$3000,C136,Однолинейка!$A$3:$A$3000,Щит_спец)),IF(A136="Модуль",IF(C136="","",COUNTIFS(Однолинейка!$AW$3:$AW$3000,"?*",Однолинейка!$AI$3:$AI$3000,C136,Однолинейка!$A$3:$A$3000,Щит_спец)),IF(A136="Клемма",IF(C136="","",IF(C136=$S$7,SUMIFS(Однолинейка!$BW$3:$BW$3000,Однолинейка!$A$3:$A$3000,Щит_спец),IF(C136=$S$8,SUMIFS(Однолинейка!$BX$3:$BX$3000,Однолинейка!$A$3:$A$3000,Щит_спец),""))),""))))</f>
        <v/>
      </c>
      <c r="O136" s="74"/>
      <c r="P136" s="38" t="str">
        <f t="shared" si="18"/>
        <v/>
      </c>
      <c r="U136" s="38" t="str">
        <f t="shared" si="19"/>
        <v/>
      </c>
      <c r="V136" s="38" t="str">
        <f t="shared" si="20"/>
        <v/>
      </c>
      <c r="W136" s="38" t="str">
        <f>IF(AND(U136&lt;&gt;"",OR($S$4="(все)",B136=$S$4),IF($S$4="(все)",COUNTIF($U$4:U136,U136),COUNTIFS($U$4:U136,U136,$B$4:B136,B136))=1),MAX($W$3:W135)+1,"")</f>
        <v/>
      </c>
      <c r="X136" s="38" t="str">
        <f t="shared" si="21"/>
        <v/>
      </c>
      <c r="Y136" s="38" t="str">
        <f>IF(AND(A136="Аппарат",C136&lt;&gt;"",OR($S$5="(все)",B136=$S$5)),MAX($Y$3:Y135)+1,"")</f>
        <v/>
      </c>
      <c r="Z136" s="38" t="str">
        <f t="shared" si="22"/>
        <v/>
      </c>
      <c r="AA136" s="38" t="str">
        <f>IF(AND(A136="Модуль",C136&lt;&gt;"",OR($S$6="(все)",B136=$S$6)),MAX($AA$3:AA135)+1,"")</f>
        <v/>
      </c>
      <c r="AB136" s="38" t="str">
        <f t="shared" si="23"/>
        <v/>
      </c>
      <c r="AC136" s="38" t="str">
        <f>IF(OR(B136="",COUNTIF($B$4:B136,B136)&gt;1),"",MAX($AC$3:AC135)+1)</f>
        <v/>
      </c>
      <c r="AD136" s="38" t="str">
        <f t="shared" si="24"/>
        <v/>
      </c>
      <c r="AE136" s="38" t="str">
        <f t="shared" si="25"/>
        <v/>
      </c>
      <c r="AF136" s="38" t="str">
        <f t="shared" si="26"/>
        <v/>
      </c>
    </row>
    <row r="137" spans="1:32" x14ac:dyDescent="0.3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38" t="str">
        <f>IF(OR(A137="Автомат",A137="Дифавтомат"),IF(W137="","",COUNTIFS(Однолинейка!$H$3:$H$3000,U137,Однолинейка!$A$3:$A$3000,Щит_спец)),IF(A137="Аппарат",IF(C137="","",COUNTIFS(Однолинейка!$I$3:$I$3000,C137,Однолинейка!$A$3:$A$3000,Щит_спец)+COUNTIFS(Однолинейка!$J$3:$J$3000,C137,Однолинейка!$A$3:$A$3000,Щит_спец)+COUNTIFS(Однолинейка!$K$3:$K$3000,C137,Однолинейка!$A$3:$A$3000,Щит_спец)),IF(A137="Модуль",IF(C137="","",COUNTIFS(Однолинейка!$AW$3:$AW$3000,"?*",Однолинейка!$AI$3:$AI$3000,C137,Однолинейка!$A$3:$A$3000,Щит_спец)),IF(A137="Клемма",IF(C137="","",IF(C137=$S$7,SUMIFS(Однолинейка!$BW$3:$BW$3000,Однолинейка!$A$3:$A$3000,Щит_спец),IF(C137=$S$8,SUMIFS(Однолинейка!$BX$3:$BX$3000,Однолинейка!$A$3:$A$3000,Щит_спец),""))),""))))</f>
        <v/>
      </c>
      <c r="O137" s="74"/>
      <c r="P137" s="38" t="str">
        <f t="shared" si="18"/>
        <v/>
      </c>
      <c r="U137" s="38" t="str">
        <f t="shared" si="19"/>
        <v/>
      </c>
      <c r="V137" s="38" t="str">
        <f t="shared" si="20"/>
        <v/>
      </c>
      <c r="W137" s="38" t="str">
        <f>IF(AND(U137&lt;&gt;"",OR($S$4="(все)",B137=$S$4),IF($S$4="(все)",COUNTIF($U$4:U137,U137),COUNTIFS($U$4:U137,U137,$B$4:B137,B137))=1),MAX($W$3:W136)+1,"")</f>
        <v/>
      </c>
      <c r="X137" s="38" t="str">
        <f t="shared" si="21"/>
        <v/>
      </c>
      <c r="Y137" s="38" t="str">
        <f>IF(AND(A137="Аппарат",C137&lt;&gt;"",OR($S$5="(все)",B137=$S$5)),MAX($Y$3:Y136)+1,"")</f>
        <v/>
      </c>
      <c r="Z137" s="38" t="str">
        <f t="shared" si="22"/>
        <v/>
      </c>
      <c r="AA137" s="38" t="str">
        <f>IF(AND(A137="Модуль",C137&lt;&gt;"",OR($S$6="(все)",B137=$S$6)),MAX($AA$3:AA136)+1,"")</f>
        <v/>
      </c>
      <c r="AB137" s="38" t="str">
        <f t="shared" si="23"/>
        <v/>
      </c>
      <c r="AC137" s="38" t="str">
        <f>IF(OR(B137="",COUNTIF($B$4:B137,B137)&gt;1),"",MAX($AC$3:AC136)+1)</f>
        <v/>
      </c>
      <c r="AD137" s="38" t="str">
        <f t="shared" si="24"/>
        <v/>
      </c>
      <c r="AE137" s="38" t="str">
        <f t="shared" si="25"/>
        <v/>
      </c>
      <c r="AF137" s="38" t="str">
        <f t="shared" si="26"/>
        <v/>
      </c>
    </row>
    <row r="138" spans="1:32" x14ac:dyDescent="0.3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38" t="str">
        <f>IF(OR(A138="Автомат",A138="Дифавтомат"),IF(W138="","",COUNTIFS(Однолинейка!$H$3:$H$3000,U138,Однолинейка!$A$3:$A$3000,Щит_спец)),IF(A138="Аппарат",IF(C138="","",COUNTIFS(Однолинейка!$I$3:$I$3000,C138,Однолинейка!$A$3:$A$3000,Щит_спец)+COUNTIFS(Однолинейка!$J$3:$J$3000,C138,Однолинейка!$A$3:$A$3000,Щит_спец)+COUNTIFS(Однолинейка!$K$3:$K$3000,C138,Однолинейка!$A$3:$A$3000,Щит_спец)),IF(A138="Модуль",IF(C138="","",COUNTIFS(Однолинейка!$AW$3:$AW$3000,"?*",Однолинейка!$AI$3:$AI$3000,C138,Однолинейка!$A$3:$A$3000,Щит_спец)),IF(A138="Клемма",IF(C138="","",IF(C138=$S$7,SUMIFS(Однолинейка!$BW$3:$BW$3000,Однолинейка!$A$3:$A$3000,Щит_спец),IF(C138=$S$8,SUMIFS(Однолинейка!$BX$3:$BX$3000,Однолинейка!$A$3:$A$3000,Щит_спец),""))),""))))</f>
        <v/>
      </c>
      <c r="O138" s="74"/>
      <c r="P138" s="38" t="str">
        <f t="shared" si="18"/>
        <v/>
      </c>
      <c r="U138" s="38" t="str">
        <f t="shared" si="19"/>
        <v/>
      </c>
      <c r="V138" s="38" t="str">
        <f t="shared" si="20"/>
        <v/>
      </c>
      <c r="W138" s="38" t="str">
        <f>IF(AND(U138&lt;&gt;"",OR($S$4="(все)",B138=$S$4),IF($S$4="(все)",COUNTIF($U$4:U138,U138),COUNTIFS($U$4:U138,U138,$B$4:B138,B138))=1),MAX($W$3:W137)+1,"")</f>
        <v/>
      </c>
      <c r="X138" s="38" t="str">
        <f t="shared" si="21"/>
        <v/>
      </c>
      <c r="Y138" s="38" t="str">
        <f>IF(AND(A138="Аппарат",C138&lt;&gt;"",OR($S$5="(все)",B138=$S$5)),MAX($Y$3:Y137)+1,"")</f>
        <v/>
      </c>
      <c r="Z138" s="38" t="str">
        <f t="shared" si="22"/>
        <v/>
      </c>
      <c r="AA138" s="38" t="str">
        <f>IF(AND(A138="Модуль",C138&lt;&gt;"",OR($S$6="(все)",B138=$S$6)),MAX($AA$3:AA137)+1,"")</f>
        <v/>
      </c>
      <c r="AB138" s="38" t="str">
        <f t="shared" si="23"/>
        <v/>
      </c>
      <c r="AC138" s="38" t="str">
        <f>IF(OR(B138="",COUNTIF($B$4:B138,B138)&gt;1),"",MAX($AC$3:AC137)+1)</f>
        <v/>
      </c>
      <c r="AD138" s="38" t="str">
        <f t="shared" si="24"/>
        <v/>
      </c>
      <c r="AE138" s="38" t="str">
        <f t="shared" si="25"/>
        <v/>
      </c>
      <c r="AF138" s="38" t="str">
        <f t="shared" si="26"/>
        <v/>
      </c>
    </row>
    <row r="139" spans="1:32" x14ac:dyDescent="0.3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38" t="str">
        <f>IF(OR(A139="Автомат",A139="Дифавтомат"),IF(W139="","",COUNTIFS(Однолинейка!$H$3:$H$3000,U139,Однолинейка!$A$3:$A$3000,Щит_спец)),IF(A139="Аппарат",IF(C139="","",COUNTIFS(Однолинейка!$I$3:$I$3000,C139,Однолинейка!$A$3:$A$3000,Щит_спец)+COUNTIFS(Однолинейка!$J$3:$J$3000,C139,Однолинейка!$A$3:$A$3000,Щит_спец)+COUNTIFS(Однолинейка!$K$3:$K$3000,C139,Однолинейка!$A$3:$A$3000,Щит_спец)),IF(A139="Модуль",IF(C139="","",COUNTIFS(Однолинейка!$AW$3:$AW$3000,"?*",Однолинейка!$AI$3:$AI$3000,C139,Однолинейка!$A$3:$A$3000,Щит_спец)),IF(A139="Клемма",IF(C139="","",IF(C139=$S$7,SUMIFS(Однолинейка!$BW$3:$BW$3000,Однолинейка!$A$3:$A$3000,Щит_спец),IF(C139=$S$8,SUMIFS(Однолинейка!$BX$3:$BX$3000,Однолинейка!$A$3:$A$3000,Щит_спец),""))),""))))</f>
        <v/>
      </c>
      <c r="O139" s="74"/>
      <c r="P139" s="38" t="str">
        <f t="shared" si="18"/>
        <v/>
      </c>
      <c r="U139" s="38" t="str">
        <f t="shared" si="19"/>
        <v/>
      </c>
      <c r="V139" s="38" t="str">
        <f t="shared" si="20"/>
        <v/>
      </c>
      <c r="W139" s="38" t="str">
        <f>IF(AND(U139&lt;&gt;"",OR($S$4="(все)",B139=$S$4),IF($S$4="(все)",COUNTIF($U$4:U139,U139),COUNTIFS($U$4:U139,U139,$B$4:B139,B139))=1),MAX($W$3:W138)+1,"")</f>
        <v/>
      </c>
      <c r="X139" s="38" t="str">
        <f t="shared" si="21"/>
        <v/>
      </c>
      <c r="Y139" s="38" t="str">
        <f>IF(AND(A139="Аппарат",C139&lt;&gt;"",OR($S$5="(все)",B139=$S$5)),MAX($Y$3:Y138)+1,"")</f>
        <v/>
      </c>
      <c r="Z139" s="38" t="str">
        <f t="shared" si="22"/>
        <v/>
      </c>
      <c r="AA139" s="38" t="str">
        <f>IF(AND(A139="Модуль",C139&lt;&gt;"",OR($S$6="(все)",B139=$S$6)),MAX($AA$3:AA138)+1,"")</f>
        <v/>
      </c>
      <c r="AB139" s="38" t="str">
        <f t="shared" si="23"/>
        <v/>
      </c>
      <c r="AC139" s="38" t="str">
        <f>IF(OR(B139="",COUNTIF($B$4:B139,B139)&gt;1),"",MAX($AC$3:AC138)+1)</f>
        <v/>
      </c>
      <c r="AD139" s="38" t="str">
        <f t="shared" si="24"/>
        <v/>
      </c>
      <c r="AE139" s="38" t="str">
        <f t="shared" si="25"/>
        <v/>
      </c>
      <c r="AF139" s="38" t="str">
        <f t="shared" si="26"/>
        <v/>
      </c>
    </row>
    <row r="140" spans="1:32" x14ac:dyDescent="0.3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38" t="str">
        <f>IF(OR(A140="Автомат",A140="Дифавтомат"),IF(W140="","",COUNTIFS(Однолинейка!$H$3:$H$3000,U140,Однолинейка!$A$3:$A$3000,Щит_спец)),IF(A140="Аппарат",IF(C140="","",COUNTIFS(Однолинейка!$I$3:$I$3000,C140,Однолинейка!$A$3:$A$3000,Щит_спец)+COUNTIFS(Однолинейка!$J$3:$J$3000,C140,Однолинейка!$A$3:$A$3000,Щит_спец)+COUNTIFS(Однолинейка!$K$3:$K$3000,C140,Однолинейка!$A$3:$A$3000,Щит_спец)),IF(A140="Модуль",IF(C140="","",COUNTIFS(Однолинейка!$AW$3:$AW$3000,"?*",Однолинейка!$AI$3:$AI$3000,C140,Однолинейка!$A$3:$A$3000,Щит_спец)),IF(A140="Клемма",IF(C140="","",IF(C140=$S$7,SUMIFS(Однолинейка!$BW$3:$BW$3000,Однолинейка!$A$3:$A$3000,Щит_спец),IF(C140=$S$8,SUMIFS(Однолинейка!$BX$3:$BX$3000,Однолинейка!$A$3:$A$3000,Щит_спец),""))),""))))</f>
        <v/>
      </c>
      <c r="O140" s="74"/>
      <c r="P140" s="38" t="str">
        <f t="shared" si="18"/>
        <v/>
      </c>
      <c r="U140" s="38" t="str">
        <f t="shared" si="19"/>
        <v/>
      </c>
      <c r="V140" s="38" t="str">
        <f t="shared" si="20"/>
        <v/>
      </c>
      <c r="W140" s="38" t="str">
        <f>IF(AND(U140&lt;&gt;"",OR($S$4="(все)",B140=$S$4),IF($S$4="(все)",COUNTIF($U$4:U140,U140),COUNTIFS($U$4:U140,U140,$B$4:B140,B140))=1),MAX($W$3:W139)+1,"")</f>
        <v/>
      </c>
      <c r="X140" s="38" t="str">
        <f t="shared" si="21"/>
        <v/>
      </c>
      <c r="Y140" s="38" t="str">
        <f>IF(AND(A140="Аппарат",C140&lt;&gt;"",OR($S$5="(все)",B140=$S$5)),MAX($Y$3:Y139)+1,"")</f>
        <v/>
      </c>
      <c r="Z140" s="38" t="str">
        <f t="shared" si="22"/>
        <v/>
      </c>
      <c r="AA140" s="38" t="str">
        <f>IF(AND(A140="Модуль",C140&lt;&gt;"",OR($S$6="(все)",B140=$S$6)),MAX($AA$3:AA139)+1,"")</f>
        <v/>
      </c>
      <c r="AB140" s="38" t="str">
        <f t="shared" si="23"/>
        <v/>
      </c>
      <c r="AC140" s="38" t="str">
        <f>IF(OR(B140="",COUNTIF($B$4:B140,B140)&gt;1),"",MAX($AC$3:AC139)+1)</f>
        <v/>
      </c>
      <c r="AD140" s="38" t="str">
        <f t="shared" si="24"/>
        <v/>
      </c>
      <c r="AE140" s="38" t="str">
        <f t="shared" si="25"/>
        <v/>
      </c>
      <c r="AF140" s="38" t="str">
        <f t="shared" si="26"/>
        <v/>
      </c>
    </row>
    <row r="141" spans="1:32" x14ac:dyDescent="0.3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38" t="str">
        <f>IF(OR(A141="Автомат",A141="Дифавтомат"),IF(W141="","",COUNTIFS(Однолинейка!$H$3:$H$3000,U141,Однолинейка!$A$3:$A$3000,Щит_спец)),IF(A141="Аппарат",IF(C141="","",COUNTIFS(Однолинейка!$I$3:$I$3000,C141,Однолинейка!$A$3:$A$3000,Щит_спец)+COUNTIFS(Однолинейка!$J$3:$J$3000,C141,Однолинейка!$A$3:$A$3000,Щит_спец)+COUNTIFS(Однолинейка!$K$3:$K$3000,C141,Однолинейка!$A$3:$A$3000,Щит_спец)),IF(A141="Модуль",IF(C141="","",COUNTIFS(Однолинейка!$AW$3:$AW$3000,"?*",Однолинейка!$AI$3:$AI$3000,C141,Однолинейка!$A$3:$A$3000,Щит_спец)),IF(A141="Клемма",IF(C141="","",IF(C141=$S$7,SUMIFS(Однолинейка!$BW$3:$BW$3000,Однолинейка!$A$3:$A$3000,Щит_спец),IF(C141=$S$8,SUMIFS(Однолинейка!$BX$3:$BX$3000,Однолинейка!$A$3:$A$3000,Щит_спец),""))),""))))</f>
        <v/>
      </c>
      <c r="O141" s="74"/>
      <c r="P141" s="38" t="str">
        <f t="shared" si="18"/>
        <v/>
      </c>
      <c r="U141" s="38" t="str">
        <f t="shared" si="19"/>
        <v/>
      </c>
      <c r="V141" s="38" t="str">
        <f t="shared" si="20"/>
        <v/>
      </c>
      <c r="W141" s="38" t="str">
        <f>IF(AND(U141&lt;&gt;"",OR($S$4="(все)",B141=$S$4),IF($S$4="(все)",COUNTIF($U$4:U141,U141),COUNTIFS($U$4:U141,U141,$B$4:B141,B141))=1),MAX($W$3:W140)+1,"")</f>
        <v/>
      </c>
      <c r="X141" s="38" t="str">
        <f t="shared" si="21"/>
        <v/>
      </c>
      <c r="Y141" s="38" t="str">
        <f>IF(AND(A141="Аппарат",C141&lt;&gt;"",OR($S$5="(все)",B141=$S$5)),MAX($Y$3:Y140)+1,"")</f>
        <v/>
      </c>
      <c r="Z141" s="38" t="str">
        <f t="shared" si="22"/>
        <v/>
      </c>
      <c r="AA141" s="38" t="str">
        <f>IF(AND(A141="Модуль",C141&lt;&gt;"",OR($S$6="(все)",B141=$S$6)),MAX($AA$3:AA140)+1,"")</f>
        <v/>
      </c>
      <c r="AB141" s="38" t="str">
        <f t="shared" si="23"/>
        <v/>
      </c>
      <c r="AC141" s="38" t="str">
        <f>IF(OR(B141="",COUNTIF($B$4:B141,B141)&gt;1),"",MAX($AC$3:AC140)+1)</f>
        <v/>
      </c>
      <c r="AD141" s="38" t="str">
        <f t="shared" si="24"/>
        <v/>
      </c>
      <c r="AE141" s="38" t="str">
        <f t="shared" si="25"/>
        <v/>
      </c>
      <c r="AF141" s="38" t="str">
        <f t="shared" si="26"/>
        <v/>
      </c>
    </row>
    <row r="142" spans="1:32" x14ac:dyDescent="0.3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38" t="str">
        <f>IF(OR(A142="Автомат",A142="Дифавтомат"),IF(W142="","",COUNTIFS(Однолинейка!$H$3:$H$3000,U142,Однолинейка!$A$3:$A$3000,Щит_спец)),IF(A142="Аппарат",IF(C142="","",COUNTIFS(Однолинейка!$I$3:$I$3000,C142,Однолинейка!$A$3:$A$3000,Щит_спец)+COUNTIFS(Однолинейка!$J$3:$J$3000,C142,Однолинейка!$A$3:$A$3000,Щит_спец)+COUNTIFS(Однолинейка!$K$3:$K$3000,C142,Однолинейка!$A$3:$A$3000,Щит_спец)),IF(A142="Модуль",IF(C142="","",COUNTIFS(Однолинейка!$AW$3:$AW$3000,"?*",Однолинейка!$AI$3:$AI$3000,C142,Однолинейка!$A$3:$A$3000,Щит_спец)),IF(A142="Клемма",IF(C142="","",IF(C142=$S$7,SUMIFS(Однолинейка!$BW$3:$BW$3000,Однолинейка!$A$3:$A$3000,Щит_спец),IF(C142=$S$8,SUMIFS(Однолинейка!$BX$3:$BX$3000,Однолинейка!$A$3:$A$3000,Щит_спец),""))),""))))</f>
        <v/>
      </c>
      <c r="O142" s="74"/>
      <c r="P142" s="38" t="str">
        <f t="shared" si="18"/>
        <v/>
      </c>
      <c r="U142" s="38" t="str">
        <f t="shared" si="19"/>
        <v/>
      </c>
      <c r="V142" s="38" t="str">
        <f t="shared" si="20"/>
        <v/>
      </c>
      <c r="W142" s="38" t="str">
        <f>IF(AND(U142&lt;&gt;"",OR($S$4="(все)",B142=$S$4),IF($S$4="(все)",COUNTIF($U$4:U142,U142),COUNTIFS($U$4:U142,U142,$B$4:B142,B142))=1),MAX($W$3:W141)+1,"")</f>
        <v/>
      </c>
      <c r="X142" s="38" t="str">
        <f t="shared" si="21"/>
        <v/>
      </c>
      <c r="Y142" s="38" t="str">
        <f>IF(AND(A142="Аппарат",C142&lt;&gt;"",OR($S$5="(все)",B142=$S$5)),MAX($Y$3:Y141)+1,"")</f>
        <v/>
      </c>
      <c r="Z142" s="38" t="str">
        <f t="shared" si="22"/>
        <v/>
      </c>
      <c r="AA142" s="38" t="str">
        <f>IF(AND(A142="Модуль",C142&lt;&gt;"",OR($S$6="(все)",B142=$S$6)),MAX($AA$3:AA141)+1,"")</f>
        <v/>
      </c>
      <c r="AB142" s="38" t="str">
        <f t="shared" si="23"/>
        <v/>
      </c>
      <c r="AC142" s="38" t="str">
        <f>IF(OR(B142="",COUNTIF($B$4:B142,B142)&gt;1),"",MAX($AC$3:AC141)+1)</f>
        <v/>
      </c>
      <c r="AD142" s="38" t="str">
        <f t="shared" si="24"/>
        <v/>
      </c>
      <c r="AE142" s="38" t="str">
        <f t="shared" si="25"/>
        <v/>
      </c>
      <c r="AF142" s="38" t="str">
        <f t="shared" si="26"/>
        <v/>
      </c>
    </row>
    <row r="143" spans="1:32" x14ac:dyDescent="0.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38" t="str">
        <f>IF(OR(A143="Автомат",A143="Дифавтомат"),IF(W143="","",COUNTIFS(Однолинейка!$H$3:$H$3000,U143,Однолинейка!$A$3:$A$3000,Щит_спец)),IF(A143="Аппарат",IF(C143="","",COUNTIFS(Однолинейка!$I$3:$I$3000,C143,Однолинейка!$A$3:$A$3000,Щит_спец)+COUNTIFS(Однолинейка!$J$3:$J$3000,C143,Однолинейка!$A$3:$A$3000,Щит_спец)+COUNTIFS(Однолинейка!$K$3:$K$3000,C143,Однолинейка!$A$3:$A$3000,Щит_спец)),IF(A143="Модуль",IF(C143="","",COUNTIFS(Однолинейка!$AW$3:$AW$3000,"?*",Однолинейка!$AI$3:$AI$3000,C143,Однолинейка!$A$3:$A$3000,Щит_спец)),IF(A143="Клемма",IF(C143="","",IF(C143=$S$7,SUMIFS(Однолинейка!$BW$3:$BW$3000,Однолинейка!$A$3:$A$3000,Щит_спец),IF(C143=$S$8,SUMIFS(Однолинейка!$BX$3:$BX$3000,Однолинейка!$A$3:$A$3000,Щит_спец),""))),""))))</f>
        <v/>
      </c>
      <c r="O143" s="74"/>
      <c r="P143" s="38" t="str">
        <f t="shared" si="18"/>
        <v/>
      </c>
      <c r="U143" s="38" t="str">
        <f t="shared" si="19"/>
        <v/>
      </c>
      <c r="V143" s="38" t="str">
        <f t="shared" si="20"/>
        <v/>
      </c>
      <c r="W143" s="38" t="str">
        <f>IF(AND(U143&lt;&gt;"",OR($S$4="(все)",B143=$S$4),IF($S$4="(все)",COUNTIF($U$4:U143,U143),COUNTIFS($U$4:U143,U143,$B$4:B143,B143))=1),MAX($W$3:W142)+1,"")</f>
        <v/>
      </c>
      <c r="X143" s="38" t="str">
        <f t="shared" si="21"/>
        <v/>
      </c>
      <c r="Y143" s="38" t="str">
        <f>IF(AND(A143="Аппарат",C143&lt;&gt;"",OR($S$5="(все)",B143=$S$5)),MAX($Y$3:Y142)+1,"")</f>
        <v/>
      </c>
      <c r="Z143" s="38" t="str">
        <f t="shared" si="22"/>
        <v/>
      </c>
      <c r="AA143" s="38" t="str">
        <f>IF(AND(A143="Модуль",C143&lt;&gt;"",OR($S$6="(все)",B143=$S$6)),MAX($AA$3:AA142)+1,"")</f>
        <v/>
      </c>
      <c r="AB143" s="38" t="str">
        <f t="shared" si="23"/>
        <v/>
      </c>
      <c r="AC143" s="38" t="str">
        <f>IF(OR(B143="",COUNTIF($B$4:B143,B143)&gt;1),"",MAX($AC$3:AC142)+1)</f>
        <v/>
      </c>
      <c r="AD143" s="38" t="str">
        <f t="shared" si="24"/>
        <v/>
      </c>
      <c r="AE143" s="38" t="str">
        <f t="shared" si="25"/>
        <v/>
      </c>
      <c r="AF143" s="38" t="str">
        <f t="shared" si="26"/>
        <v/>
      </c>
    </row>
    <row r="144" spans="1:32" x14ac:dyDescent="0.3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38" t="str">
        <f>IF(OR(A144="Автомат",A144="Дифавтомат"),IF(W144="","",COUNTIFS(Однолинейка!$H$3:$H$3000,U144,Однолинейка!$A$3:$A$3000,Щит_спец)),IF(A144="Аппарат",IF(C144="","",COUNTIFS(Однолинейка!$I$3:$I$3000,C144,Однолинейка!$A$3:$A$3000,Щит_спец)+COUNTIFS(Однолинейка!$J$3:$J$3000,C144,Однолинейка!$A$3:$A$3000,Щит_спец)+COUNTIFS(Однолинейка!$K$3:$K$3000,C144,Однолинейка!$A$3:$A$3000,Щит_спец)),IF(A144="Модуль",IF(C144="","",COUNTIFS(Однолинейка!$AW$3:$AW$3000,"?*",Однолинейка!$AI$3:$AI$3000,C144,Однолинейка!$A$3:$A$3000,Щит_спец)),IF(A144="Клемма",IF(C144="","",IF(C144=$S$7,SUMIFS(Однолинейка!$BW$3:$BW$3000,Однолинейка!$A$3:$A$3000,Щит_спец),IF(C144=$S$8,SUMIFS(Однолинейка!$BX$3:$BX$3000,Однолинейка!$A$3:$A$3000,Щит_спец),""))),""))))</f>
        <v/>
      </c>
      <c r="O144" s="74"/>
      <c r="P144" s="38" t="str">
        <f t="shared" si="18"/>
        <v/>
      </c>
      <c r="U144" s="38" t="str">
        <f t="shared" si="19"/>
        <v/>
      </c>
      <c r="V144" s="38" t="str">
        <f t="shared" si="20"/>
        <v/>
      </c>
      <c r="W144" s="38" t="str">
        <f>IF(AND(U144&lt;&gt;"",OR($S$4="(все)",B144=$S$4),IF($S$4="(все)",COUNTIF($U$4:U144,U144),COUNTIFS($U$4:U144,U144,$B$4:B144,B144))=1),MAX($W$3:W143)+1,"")</f>
        <v/>
      </c>
      <c r="X144" s="38" t="str">
        <f t="shared" si="21"/>
        <v/>
      </c>
      <c r="Y144" s="38" t="str">
        <f>IF(AND(A144="Аппарат",C144&lt;&gt;"",OR($S$5="(все)",B144=$S$5)),MAX($Y$3:Y143)+1,"")</f>
        <v/>
      </c>
      <c r="Z144" s="38" t="str">
        <f t="shared" si="22"/>
        <v/>
      </c>
      <c r="AA144" s="38" t="str">
        <f>IF(AND(A144="Модуль",C144&lt;&gt;"",OR($S$6="(все)",B144=$S$6)),MAX($AA$3:AA143)+1,"")</f>
        <v/>
      </c>
      <c r="AB144" s="38" t="str">
        <f t="shared" si="23"/>
        <v/>
      </c>
      <c r="AC144" s="38" t="str">
        <f>IF(OR(B144="",COUNTIF($B$4:B144,B144)&gt;1),"",MAX($AC$3:AC143)+1)</f>
        <v/>
      </c>
      <c r="AD144" s="38" t="str">
        <f t="shared" si="24"/>
        <v/>
      </c>
      <c r="AE144" s="38" t="str">
        <f t="shared" si="25"/>
        <v/>
      </c>
      <c r="AF144" s="38" t="str">
        <f t="shared" si="26"/>
        <v/>
      </c>
    </row>
    <row r="145" spans="1:32" x14ac:dyDescent="0.3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38" t="str">
        <f>IF(OR(A145="Автомат",A145="Дифавтомат"),IF(W145="","",COUNTIFS(Однолинейка!$H$3:$H$3000,U145,Однолинейка!$A$3:$A$3000,Щит_спец)),IF(A145="Аппарат",IF(C145="","",COUNTIFS(Однолинейка!$I$3:$I$3000,C145,Однолинейка!$A$3:$A$3000,Щит_спец)+COUNTIFS(Однолинейка!$J$3:$J$3000,C145,Однолинейка!$A$3:$A$3000,Щит_спец)+COUNTIFS(Однолинейка!$K$3:$K$3000,C145,Однолинейка!$A$3:$A$3000,Щит_спец)),IF(A145="Модуль",IF(C145="","",COUNTIFS(Однолинейка!$AW$3:$AW$3000,"?*",Однолинейка!$AI$3:$AI$3000,C145,Однолинейка!$A$3:$A$3000,Щит_спец)),IF(A145="Клемма",IF(C145="","",IF(C145=$S$7,SUMIFS(Однолинейка!$BW$3:$BW$3000,Однолинейка!$A$3:$A$3000,Щит_спец),IF(C145=$S$8,SUMIFS(Однолинейка!$BX$3:$BX$3000,Однолинейка!$A$3:$A$3000,Щит_спец),""))),""))))</f>
        <v/>
      </c>
      <c r="O145" s="74"/>
      <c r="P145" s="38" t="str">
        <f t="shared" si="18"/>
        <v/>
      </c>
      <c r="U145" s="38" t="str">
        <f t="shared" si="19"/>
        <v/>
      </c>
      <c r="V145" s="38" t="str">
        <f t="shared" si="20"/>
        <v/>
      </c>
      <c r="W145" s="38" t="str">
        <f>IF(AND(U145&lt;&gt;"",OR($S$4="(все)",B145=$S$4),IF($S$4="(все)",COUNTIF($U$4:U145,U145),COUNTIFS($U$4:U145,U145,$B$4:B145,B145))=1),MAX($W$3:W144)+1,"")</f>
        <v/>
      </c>
      <c r="X145" s="38" t="str">
        <f t="shared" si="21"/>
        <v/>
      </c>
      <c r="Y145" s="38" t="str">
        <f>IF(AND(A145="Аппарат",C145&lt;&gt;"",OR($S$5="(все)",B145=$S$5)),MAX($Y$3:Y144)+1,"")</f>
        <v/>
      </c>
      <c r="Z145" s="38" t="str">
        <f t="shared" si="22"/>
        <v/>
      </c>
      <c r="AA145" s="38" t="str">
        <f>IF(AND(A145="Модуль",C145&lt;&gt;"",OR($S$6="(все)",B145=$S$6)),MAX($AA$3:AA144)+1,"")</f>
        <v/>
      </c>
      <c r="AB145" s="38" t="str">
        <f t="shared" si="23"/>
        <v/>
      </c>
      <c r="AC145" s="38" t="str">
        <f>IF(OR(B145="",COUNTIF($B$4:B145,B145)&gt;1),"",MAX($AC$3:AC144)+1)</f>
        <v/>
      </c>
      <c r="AD145" s="38" t="str">
        <f t="shared" si="24"/>
        <v/>
      </c>
      <c r="AE145" s="38" t="str">
        <f t="shared" si="25"/>
        <v/>
      </c>
      <c r="AF145" s="38" t="str">
        <f t="shared" si="26"/>
        <v/>
      </c>
    </row>
    <row r="146" spans="1:32" x14ac:dyDescent="0.3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38" t="str">
        <f>IF(OR(A146="Автомат",A146="Дифавтомат"),IF(W146="","",COUNTIFS(Однолинейка!$H$3:$H$3000,U146,Однолинейка!$A$3:$A$3000,Щит_спец)),IF(A146="Аппарат",IF(C146="","",COUNTIFS(Однолинейка!$I$3:$I$3000,C146,Однолинейка!$A$3:$A$3000,Щит_спец)+COUNTIFS(Однолинейка!$J$3:$J$3000,C146,Однолинейка!$A$3:$A$3000,Щит_спец)+COUNTIFS(Однолинейка!$K$3:$K$3000,C146,Однолинейка!$A$3:$A$3000,Щит_спец)),IF(A146="Модуль",IF(C146="","",COUNTIFS(Однолинейка!$AW$3:$AW$3000,"?*",Однолинейка!$AI$3:$AI$3000,C146,Однолинейка!$A$3:$A$3000,Щит_спец)),IF(A146="Клемма",IF(C146="","",IF(C146=$S$7,SUMIFS(Однолинейка!$BW$3:$BW$3000,Однолинейка!$A$3:$A$3000,Щит_спец),IF(C146=$S$8,SUMIFS(Однолинейка!$BX$3:$BX$3000,Однолинейка!$A$3:$A$3000,Щит_спец),""))),""))))</f>
        <v/>
      </c>
      <c r="O146" s="74"/>
      <c r="P146" s="38" t="str">
        <f t="shared" si="18"/>
        <v/>
      </c>
      <c r="U146" s="38" t="str">
        <f t="shared" si="19"/>
        <v/>
      </c>
      <c r="V146" s="38" t="str">
        <f t="shared" si="20"/>
        <v/>
      </c>
      <c r="W146" s="38" t="str">
        <f>IF(AND(U146&lt;&gt;"",OR($S$4="(все)",B146=$S$4),IF($S$4="(все)",COUNTIF($U$4:U146,U146),COUNTIFS($U$4:U146,U146,$B$4:B146,B146))=1),MAX($W$3:W145)+1,"")</f>
        <v/>
      </c>
      <c r="X146" s="38" t="str">
        <f t="shared" si="21"/>
        <v/>
      </c>
      <c r="Y146" s="38" t="str">
        <f>IF(AND(A146="Аппарат",C146&lt;&gt;"",OR($S$5="(все)",B146=$S$5)),MAX($Y$3:Y145)+1,"")</f>
        <v/>
      </c>
      <c r="Z146" s="38" t="str">
        <f t="shared" si="22"/>
        <v/>
      </c>
      <c r="AA146" s="38" t="str">
        <f>IF(AND(A146="Модуль",C146&lt;&gt;"",OR($S$6="(все)",B146=$S$6)),MAX($AA$3:AA145)+1,"")</f>
        <v/>
      </c>
      <c r="AB146" s="38" t="str">
        <f t="shared" si="23"/>
        <v/>
      </c>
      <c r="AC146" s="38" t="str">
        <f>IF(OR(B146="",COUNTIF($B$4:B146,B146)&gt;1),"",MAX($AC$3:AC145)+1)</f>
        <v/>
      </c>
      <c r="AD146" s="38" t="str">
        <f t="shared" si="24"/>
        <v/>
      </c>
      <c r="AE146" s="38" t="str">
        <f t="shared" si="25"/>
        <v/>
      </c>
      <c r="AF146" s="38" t="str">
        <f t="shared" si="26"/>
        <v/>
      </c>
    </row>
    <row r="147" spans="1:32" x14ac:dyDescent="0.3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38" t="str">
        <f>IF(OR(A147="Автомат",A147="Дифавтомат"),IF(W147="","",COUNTIFS(Однолинейка!$H$3:$H$3000,U147,Однолинейка!$A$3:$A$3000,Щит_спец)),IF(A147="Аппарат",IF(C147="","",COUNTIFS(Однолинейка!$I$3:$I$3000,C147,Однолинейка!$A$3:$A$3000,Щит_спец)+COUNTIFS(Однолинейка!$J$3:$J$3000,C147,Однолинейка!$A$3:$A$3000,Щит_спец)+COUNTIFS(Однолинейка!$K$3:$K$3000,C147,Однолинейка!$A$3:$A$3000,Щит_спец)),IF(A147="Модуль",IF(C147="","",COUNTIFS(Однолинейка!$AW$3:$AW$3000,"?*",Однолинейка!$AI$3:$AI$3000,C147,Однолинейка!$A$3:$A$3000,Щит_спец)),IF(A147="Клемма",IF(C147="","",IF(C147=$S$7,SUMIFS(Однолинейка!$BW$3:$BW$3000,Однолинейка!$A$3:$A$3000,Щит_спец),IF(C147=$S$8,SUMIFS(Однолинейка!$BX$3:$BX$3000,Однолинейка!$A$3:$A$3000,Щит_спец),""))),""))))</f>
        <v/>
      </c>
      <c r="O147" s="74"/>
      <c r="P147" s="38" t="str">
        <f t="shared" si="18"/>
        <v/>
      </c>
      <c r="U147" s="38" t="str">
        <f t="shared" si="19"/>
        <v/>
      </c>
      <c r="V147" s="38" t="str">
        <f t="shared" si="20"/>
        <v/>
      </c>
      <c r="W147" s="38" t="str">
        <f>IF(AND(U147&lt;&gt;"",OR($S$4="(все)",B147=$S$4),IF($S$4="(все)",COUNTIF($U$4:U147,U147),COUNTIFS($U$4:U147,U147,$B$4:B147,B147))=1),MAX($W$3:W146)+1,"")</f>
        <v/>
      </c>
      <c r="X147" s="38" t="str">
        <f t="shared" si="21"/>
        <v/>
      </c>
      <c r="Y147" s="38" t="str">
        <f>IF(AND(A147="Аппарат",C147&lt;&gt;"",OR($S$5="(все)",B147=$S$5)),MAX($Y$3:Y146)+1,"")</f>
        <v/>
      </c>
      <c r="Z147" s="38" t="str">
        <f t="shared" si="22"/>
        <v/>
      </c>
      <c r="AA147" s="38" t="str">
        <f>IF(AND(A147="Модуль",C147&lt;&gt;"",OR($S$6="(все)",B147=$S$6)),MAX($AA$3:AA146)+1,"")</f>
        <v/>
      </c>
      <c r="AB147" s="38" t="str">
        <f t="shared" si="23"/>
        <v/>
      </c>
      <c r="AC147" s="38" t="str">
        <f>IF(OR(B147="",COUNTIF($B$4:B147,B147)&gt;1),"",MAX($AC$3:AC146)+1)</f>
        <v/>
      </c>
      <c r="AD147" s="38" t="str">
        <f t="shared" si="24"/>
        <v/>
      </c>
      <c r="AE147" s="38" t="str">
        <f t="shared" si="25"/>
        <v/>
      </c>
      <c r="AF147" s="38" t="str">
        <f t="shared" si="26"/>
        <v/>
      </c>
    </row>
    <row r="148" spans="1:32" x14ac:dyDescent="0.3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38" t="str">
        <f>IF(OR(A148="Автомат",A148="Дифавтомат"),IF(W148="","",COUNTIFS(Однолинейка!$H$3:$H$3000,U148,Однолинейка!$A$3:$A$3000,Щит_спец)),IF(A148="Аппарат",IF(C148="","",COUNTIFS(Однолинейка!$I$3:$I$3000,C148,Однолинейка!$A$3:$A$3000,Щит_спец)+COUNTIFS(Однолинейка!$J$3:$J$3000,C148,Однолинейка!$A$3:$A$3000,Щит_спец)+COUNTIFS(Однолинейка!$K$3:$K$3000,C148,Однолинейка!$A$3:$A$3000,Щит_спец)),IF(A148="Модуль",IF(C148="","",COUNTIFS(Однолинейка!$AW$3:$AW$3000,"?*",Однолинейка!$AI$3:$AI$3000,C148,Однолинейка!$A$3:$A$3000,Щит_спец)),IF(A148="Клемма",IF(C148="","",IF(C148=$S$7,SUMIFS(Однолинейка!$BW$3:$BW$3000,Однолинейка!$A$3:$A$3000,Щит_спец),IF(C148=$S$8,SUMIFS(Однолинейка!$BX$3:$BX$3000,Однолинейка!$A$3:$A$3000,Щит_спец),""))),""))))</f>
        <v/>
      </c>
      <c r="O148" s="74"/>
      <c r="P148" s="38" t="str">
        <f t="shared" si="18"/>
        <v/>
      </c>
      <c r="U148" s="38" t="str">
        <f t="shared" si="19"/>
        <v/>
      </c>
      <c r="V148" s="38" t="str">
        <f t="shared" si="20"/>
        <v/>
      </c>
      <c r="W148" s="38" t="str">
        <f>IF(AND(U148&lt;&gt;"",OR($S$4="(все)",B148=$S$4),IF($S$4="(все)",COUNTIF($U$4:U148,U148),COUNTIFS($U$4:U148,U148,$B$4:B148,B148))=1),MAX($W$3:W147)+1,"")</f>
        <v/>
      </c>
      <c r="X148" s="38" t="str">
        <f t="shared" si="21"/>
        <v/>
      </c>
      <c r="Y148" s="38" t="str">
        <f>IF(AND(A148="Аппарат",C148&lt;&gt;"",OR($S$5="(все)",B148=$S$5)),MAX($Y$3:Y147)+1,"")</f>
        <v/>
      </c>
      <c r="Z148" s="38" t="str">
        <f t="shared" si="22"/>
        <v/>
      </c>
      <c r="AA148" s="38" t="str">
        <f>IF(AND(A148="Модуль",C148&lt;&gt;"",OR($S$6="(все)",B148=$S$6)),MAX($AA$3:AA147)+1,"")</f>
        <v/>
      </c>
      <c r="AB148" s="38" t="str">
        <f t="shared" si="23"/>
        <v/>
      </c>
      <c r="AC148" s="38" t="str">
        <f>IF(OR(B148="",COUNTIF($B$4:B148,B148)&gt;1),"",MAX($AC$3:AC147)+1)</f>
        <v/>
      </c>
      <c r="AD148" s="38" t="str">
        <f t="shared" si="24"/>
        <v/>
      </c>
      <c r="AE148" s="38" t="str">
        <f t="shared" si="25"/>
        <v/>
      </c>
      <c r="AF148" s="38" t="str">
        <f t="shared" si="26"/>
        <v/>
      </c>
    </row>
    <row r="149" spans="1:32" x14ac:dyDescent="0.3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38" t="str">
        <f>IF(OR(A149="Автомат",A149="Дифавтомат"),IF(W149="","",COUNTIFS(Однолинейка!$H$3:$H$3000,U149,Однолинейка!$A$3:$A$3000,Щит_спец)),IF(A149="Аппарат",IF(C149="","",COUNTIFS(Однолинейка!$I$3:$I$3000,C149,Однолинейка!$A$3:$A$3000,Щит_спец)+COUNTIFS(Однолинейка!$J$3:$J$3000,C149,Однолинейка!$A$3:$A$3000,Щит_спец)+COUNTIFS(Однолинейка!$K$3:$K$3000,C149,Однолинейка!$A$3:$A$3000,Щит_спец)),IF(A149="Модуль",IF(C149="","",COUNTIFS(Однолинейка!$AW$3:$AW$3000,"?*",Однолинейка!$AI$3:$AI$3000,C149,Однолинейка!$A$3:$A$3000,Щит_спец)),IF(A149="Клемма",IF(C149="","",IF(C149=$S$7,SUMIFS(Однолинейка!$BW$3:$BW$3000,Однолинейка!$A$3:$A$3000,Щит_спец),IF(C149=$S$8,SUMIFS(Однолинейка!$BX$3:$BX$3000,Однолинейка!$A$3:$A$3000,Щит_спец),""))),""))))</f>
        <v/>
      </c>
      <c r="O149" s="74"/>
      <c r="P149" s="38" t="str">
        <f t="shared" si="18"/>
        <v/>
      </c>
      <c r="U149" s="38" t="str">
        <f t="shared" si="19"/>
        <v/>
      </c>
      <c r="V149" s="38" t="str">
        <f t="shared" si="20"/>
        <v/>
      </c>
      <c r="W149" s="38" t="str">
        <f>IF(AND(U149&lt;&gt;"",OR($S$4="(все)",B149=$S$4),IF($S$4="(все)",COUNTIF($U$4:U149,U149),COUNTIFS($U$4:U149,U149,$B$4:B149,B149))=1),MAX($W$3:W148)+1,"")</f>
        <v/>
      </c>
      <c r="X149" s="38" t="str">
        <f t="shared" si="21"/>
        <v/>
      </c>
      <c r="Y149" s="38" t="str">
        <f>IF(AND(A149="Аппарат",C149&lt;&gt;"",OR($S$5="(все)",B149=$S$5)),MAX($Y$3:Y148)+1,"")</f>
        <v/>
      </c>
      <c r="Z149" s="38" t="str">
        <f t="shared" si="22"/>
        <v/>
      </c>
      <c r="AA149" s="38" t="str">
        <f>IF(AND(A149="Модуль",C149&lt;&gt;"",OR($S$6="(все)",B149=$S$6)),MAX($AA$3:AA148)+1,"")</f>
        <v/>
      </c>
      <c r="AB149" s="38" t="str">
        <f t="shared" si="23"/>
        <v/>
      </c>
      <c r="AC149" s="38" t="str">
        <f>IF(OR(B149="",COUNTIF($B$4:B149,B149)&gt;1),"",MAX($AC$3:AC148)+1)</f>
        <v/>
      </c>
      <c r="AD149" s="38" t="str">
        <f t="shared" si="24"/>
        <v/>
      </c>
      <c r="AE149" s="38" t="str">
        <f t="shared" si="25"/>
        <v/>
      </c>
      <c r="AF149" s="38" t="str">
        <f t="shared" si="26"/>
        <v/>
      </c>
    </row>
    <row r="150" spans="1:32" x14ac:dyDescent="0.3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38" t="str">
        <f>IF(OR(A150="Автомат",A150="Дифавтомат"),IF(W150="","",COUNTIFS(Однолинейка!$H$3:$H$3000,U150,Однолинейка!$A$3:$A$3000,Щит_спец)),IF(A150="Аппарат",IF(C150="","",COUNTIFS(Однолинейка!$I$3:$I$3000,C150,Однолинейка!$A$3:$A$3000,Щит_спец)+COUNTIFS(Однолинейка!$J$3:$J$3000,C150,Однолинейка!$A$3:$A$3000,Щит_спец)+COUNTIFS(Однолинейка!$K$3:$K$3000,C150,Однолинейка!$A$3:$A$3000,Щит_спец)),IF(A150="Модуль",IF(C150="","",COUNTIFS(Однолинейка!$AW$3:$AW$3000,"?*",Однолинейка!$AI$3:$AI$3000,C150,Однолинейка!$A$3:$A$3000,Щит_спец)),IF(A150="Клемма",IF(C150="","",IF(C150=$S$7,SUMIFS(Однолинейка!$BW$3:$BW$3000,Однолинейка!$A$3:$A$3000,Щит_спец),IF(C150=$S$8,SUMIFS(Однолинейка!$BX$3:$BX$3000,Однолинейка!$A$3:$A$3000,Щит_спец),""))),""))))</f>
        <v/>
      </c>
      <c r="O150" s="74"/>
      <c r="P150" s="38" t="str">
        <f t="shared" si="18"/>
        <v/>
      </c>
      <c r="U150" s="38" t="str">
        <f t="shared" si="19"/>
        <v/>
      </c>
      <c r="V150" s="38" t="str">
        <f t="shared" si="20"/>
        <v/>
      </c>
      <c r="W150" s="38" t="str">
        <f>IF(AND(U150&lt;&gt;"",OR($S$4="(все)",B150=$S$4),IF($S$4="(все)",COUNTIF($U$4:U150,U150),COUNTIFS($U$4:U150,U150,$B$4:B150,B150))=1),MAX($W$3:W149)+1,"")</f>
        <v/>
      </c>
      <c r="X150" s="38" t="str">
        <f t="shared" si="21"/>
        <v/>
      </c>
      <c r="Y150" s="38" t="str">
        <f>IF(AND(A150="Аппарат",C150&lt;&gt;"",OR($S$5="(все)",B150=$S$5)),MAX($Y$3:Y149)+1,"")</f>
        <v/>
      </c>
      <c r="Z150" s="38" t="str">
        <f t="shared" si="22"/>
        <v/>
      </c>
      <c r="AA150" s="38" t="str">
        <f>IF(AND(A150="Модуль",C150&lt;&gt;"",OR($S$6="(все)",B150=$S$6)),MAX($AA$3:AA149)+1,"")</f>
        <v/>
      </c>
      <c r="AB150" s="38" t="str">
        <f t="shared" si="23"/>
        <v/>
      </c>
      <c r="AC150" s="38" t="str">
        <f>IF(OR(B150="",COUNTIF($B$4:B150,B150)&gt;1),"",MAX($AC$3:AC149)+1)</f>
        <v/>
      </c>
      <c r="AD150" s="38" t="str">
        <f t="shared" si="24"/>
        <v/>
      </c>
      <c r="AE150" s="38" t="str">
        <f t="shared" si="25"/>
        <v/>
      </c>
      <c r="AF150" s="38" t="str">
        <f t="shared" si="26"/>
        <v/>
      </c>
    </row>
    <row r="151" spans="1:32" x14ac:dyDescent="0.3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38" t="str">
        <f>IF(OR(A151="Автомат",A151="Дифавтомат"),IF(W151="","",COUNTIFS(Однолинейка!$H$3:$H$3000,U151,Однолинейка!$A$3:$A$3000,Щит_спец)),IF(A151="Аппарат",IF(C151="","",COUNTIFS(Однолинейка!$I$3:$I$3000,C151,Однолинейка!$A$3:$A$3000,Щит_спец)+COUNTIFS(Однолинейка!$J$3:$J$3000,C151,Однолинейка!$A$3:$A$3000,Щит_спец)+COUNTIFS(Однолинейка!$K$3:$K$3000,C151,Однолинейка!$A$3:$A$3000,Щит_спец)),IF(A151="Модуль",IF(C151="","",COUNTIFS(Однолинейка!$AW$3:$AW$3000,"?*",Однолинейка!$AI$3:$AI$3000,C151,Однолинейка!$A$3:$A$3000,Щит_спец)),IF(A151="Клемма",IF(C151="","",IF(C151=$S$7,SUMIFS(Однолинейка!$BW$3:$BW$3000,Однолинейка!$A$3:$A$3000,Щит_спец),IF(C151=$S$8,SUMIFS(Однолинейка!$BX$3:$BX$3000,Однолинейка!$A$3:$A$3000,Щит_спец),""))),""))))</f>
        <v/>
      </c>
      <c r="O151" s="74"/>
      <c r="P151" s="38" t="str">
        <f t="shared" si="18"/>
        <v/>
      </c>
      <c r="U151" s="38" t="str">
        <f t="shared" si="19"/>
        <v/>
      </c>
      <c r="V151" s="38" t="str">
        <f t="shared" si="20"/>
        <v/>
      </c>
      <c r="W151" s="38" t="str">
        <f>IF(AND(U151&lt;&gt;"",OR($S$4="(все)",B151=$S$4),IF($S$4="(все)",COUNTIF($U$4:U151,U151),COUNTIFS($U$4:U151,U151,$B$4:B151,B151))=1),MAX($W$3:W150)+1,"")</f>
        <v/>
      </c>
      <c r="X151" s="38" t="str">
        <f t="shared" si="21"/>
        <v/>
      </c>
      <c r="Y151" s="38" t="str">
        <f>IF(AND(A151="Аппарат",C151&lt;&gt;"",OR($S$5="(все)",B151=$S$5)),MAX($Y$3:Y150)+1,"")</f>
        <v/>
      </c>
      <c r="Z151" s="38" t="str">
        <f t="shared" si="22"/>
        <v/>
      </c>
      <c r="AA151" s="38" t="str">
        <f>IF(AND(A151="Модуль",C151&lt;&gt;"",OR($S$6="(все)",B151=$S$6)),MAX($AA$3:AA150)+1,"")</f>
        <v/>
      </c>
      <c r="AB151" s="38" t="str">
        <f t="shared" si="23"/>
        <v/>
      </c>
      <c r="AC151" s="38" t="str">
        <f>IF(OR(B151="",COUNTIF($B$4:B151,B151)&gt;1),"",MAX($AC$3:AC150)+1)</f>
        <v/>
      </c>
      <c r="AD151" s="38" t="str">
        <f t="shared" si="24"/>
        <v/>
      </c>
      <c r="AE151" s="38" t="str">
        <f t="shared" si="25"/>
        <v/>
      </c>
      <c r="AF151" s="38" t="str">
        <f t="shared" si="26"/>
        <v/>
      </c>
    </row>
    <row r="152" spans="1:32" x14ac:dyDescent="0.3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38" t="str">
        <f>IF(OR(A152="Автомат",A152="Дифавтомат"),IF(W152="","",COUNTIFS(Однолинейка!$H$3:$H$3000,U152,Однолинейка!$A$3:$A$3000,Щит_спец)),IF(A152="Аппарат",IF(C152="","",COUNTIFS(Однолинейка!$I$3:$I$3000,C152,Однолинейка!$A$3:$A$3000,Щит_спец)+COUNTIFS(Однолинейка!$J$3:$J$3000,C152,Однолинейка!$A$3:$A$3000,Щит_спец)+COUNTIFS(Однолинейка!$K$3:$K$3000,C152,Однолинейка!$A$3:$A$3000,Щит_спец)),IF(A152="Модуль",IF(C152="","",COUNTIFS(Однолинейка!$AW$3:$AW$3000,"?*",Однолинейка!$AI$3:$AI$3000,C152,Однолинейка!$A$3:$A$3000,Щит_спец)),IF(A152="Клемма",IF(C152="","",IF(C152=$S$7,SUMIFS(Однолинейка!$BW$3:$BW$3000,Однолинейка!$A$3:$A$3000,Щит_спец),IF(C152=$S$8,SUMIFS(Однолинейка!$BX$3:$BX$3000,Однолинейка!$A$3:$A$3000,Щит_спец),""))),""))))</f>
        <v/>
      </c>
      <c r="O152" s="74"/>
      <c r="P152" s="38" t="str">
        <f t="shared" si="18"/>
        <v/>
      </c>
      <c r="U152" s="38" t="str">
        <f t="shared" si="19"/>
        <v/>
      </c>
      <c r="V152" s="38" t="str">
        <f t="shared" si="20"/>
        <v/>
      </c>
      <c r="W152" s="38" t="str">
        <f>IF(AND(U152&lt;&gt;"",OR($S$4="(все)",B152=$S$4),IF($S$4="(все)",COUNTIF($U$4:U152,U152),COUNTIFS($U$4:U152,U152,$B$4:B152,B152))=1),MAX($W$3:W151)+1,"")</f>
        <v/>
      </c>
      <c r="X152" s="38" t="str">
        <f t="shared" si="21"/>
        <v/>
      </c>
      <c r="Y152" s="38" t="str">
        <f>IF(AND(A152="Аппарат",C152&lt;&gt;"",OR($S$5="(все)",B152=$S$5)),MAX($Y$3:Y151)+1,"")</f>
        <v/>
      </c>
      <c r="Z152" s="38" t="str">
        <f t="shared" si="22"/>
        <v/>
      </c>
      <c r="AA152" s="38" t="str">
        <f>IF(AND(A152="Модуль",C152&lt;&gt;"",OR($S$6="(все)",B152=$S$6)),MAX($AA$3:AA151)+1,"")</f>
        <v/>
      </c>
      <c r="AB152" s="38" t="str">
        <f t="shared" si="23"/>
        <v/>
      </c>
      <c r="AC152" s="38" t="str">
        <f>IF(OR(B152="",COUNTIF($B$4:B152,B152)&gt;1),"",MAX($AC$3:AC151)+1)</f>
        <v/>
      </c>
      <c r="AD152" s="38" t="str">
        <f t="shared" si="24"/>
        <v/>
      </c>
      <c r="AE152" s="38" t="str">
        <f t="shared" si="25"/>
        <v/>
      </c>
      <c r="AF152" s="38" t="str">
        <f t="shared" si="26"/>
        <v/>
      </c>
    </row>
    <row r="153" spans="1:32" x14ac:dyDescent="0.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38" t="str">
        <f>IF(OR(A153="Автомат",A153="Дифавтомат"),IF(W153="","",COUNTIFS(Однолинейка!$H$3:$H$3000,U153,Однолинейка!$A$3:$A$3000,Щит_спец)),IF(A153="Аппарат",IF(C153="","",COUNTIFS(Однолинейка!$I$3:$I$3000,C153,Однолинейка!$A$3:$A$3000,Щит_спец)+COUNTIFS(Однолинейка!$J$3:$J$3000,C153,Однолинейка!$A$3:$A$3000,Щит_спец)+COUNTIFS(Однолинейка!$K$3:$K$3000,C153,Однолинейка!$A$3:$A$3000,Щит_спец)),IF(A153="Модуль",IF(C153="","",COUNTIFS(Однолинейка!$AW$3:$AW$3000,"?*",Однолинейка!$AI$3:$AI$3000,C153,Однолинейка!$A$3:$A$3000,Щит_спец)),IF(A153="Клемма",IF(C153="","",IF(C153=$S$7,SUMIFS(Однолинейка!$BW$3:$BW$3000,Однолинейка!$A$3:$A$3000,Щит_спец),IF(C153=$S$8,SUMIFS(Однолинейка!$BX$3:$BX$3000,Однолинейка!$A$3:$A$3000,Щит_спец),""))),""))))</f>
        <v/>
      </c>
      <c r="O153" s="74"/>
      <c r="P153" s="38" t="str">
        <f t="shared" si="18"/>
        <v/>
      </c>
      <c r="U153" s="38" t="str">
        <f t="shared" si="19"/>
        <v/>
      </c>
      <c r="V153" s="38" t="str">
        <f t="shared" si="20"/>
        <v/>
      </c>
      <c r="W153" s="38" t="str">
        <f>IF(AND(U153&lt;&gt;"",OR($S$4="(все)",B153=$S$4),IF($S$4="(все)",COUNTIF($U$4:U153,U153),COUNTIFS($U$4:U153,U153,$B$4:B153,B153))=1),MAX($W$3:W152)+1,"")</f>
        <v/>
      </c>
      <c r="X153" s="38" t="str">
        <f t="shared" si="21"/>
        <v/>
      </c>
      <c r="Y153" s="38" t="str">
        <f>IF(AND(A153="Аппарат",C153&lt;&gt;"",OR($S$5="(все)",B153=$S$5)),MAX($Y$3:Y152)+1,"")</f>
        <v/>
      </c>
      <c r="Z153" s="38" t="str">
        <f t="shared" si="22"/>
        <v/>
      </c>
      <c r="AA153" s="38" t="str">
        <f>IF(AND(A153="Модуль",C153&lt;&gt;"",OR($S$6="(все)",B153=$S$6)),MAX($AA$3:AA152)+1,"")</f>
        <v/>
      </c>
      <c r="AB153" s="38" t="str">
        <f t="shared" si="23"/>
        <v/>
      </c>
      <c r="AC153" s="38" t="str">
        <f>IF(OR(B153="",COUNTIF($B$4:B153,B153)&gt;1),"",MAX($AC$3:AC152)+1)</f>
        <v/>
      </c>
      <c r="AD153" s="38" t="str">
        <f t="shared" si="24"/>
        <v/>
      </c>
      <c r="AE153" s="38" t="str">
        <f t="shared" si="25"/>
        <v/>
      </c>
      <c r="AF153" s="38" t="str">
        <f t="shared" si="26"/>
        <v/>
      </c>
    </row>
    <row r="154" spans="1:32" x14ac:dyDescent="0.3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38" t="str">
        <f>IF(OR(A154="Автомат",A154="Дифавтомат"),IF(W154="","",COUNTIFS(Однолинейка!$H$3:$H$3000,U154,Однолинейка!$A$3:$A$3000,Щит_спец)),IF(A154="Аппарат",IF(C154="","",COUNTIFS(Однолинейка!$I$3:$I$3000,C154,Однолинейка!$A$3:$A$3000,Щит_спец)+COUNTIFS(Однолинейка!$J$3:$J$3000,C154,Однолинейка!$A$3:$A$3000,Щит_спец)+COUNTIFS(Однолинейка!$K$3:$K$3000,C154,Однолинейка!$A$3:$A$3000,Щит_спец)),IF(A154="Модуль",IF(C154="","",COUNTIFS(Однолинейка!$AW$3:$AW$3000,"?*",Однолинейка!$AI$3:$AI$3000,C154,Однолинейка!$A$3:$A$3000,Щит_спец)),IF(A154="Клемма",IF(C154="","",IF(C154=$S$7,SUMIFS(Однолинейка!$BW$3:$BW$3000,Однолинейка!$A$3:$A$3000,Щит_спец),IF(C154=$S$8,SUMIFS(Однолинейка!$BX$3:$BX$3000,Однолинейка!$A$3:$A$3000,Щит_спец),""))),""))))</f>
        <v/>
      </c>
      <c r="O154" s="74"/>
      <c r="P154" s="38" t="str">
        <f t="shared" si="18"/>
        <v/>
      </c>
      <c r="U154" s="38" t="str">
        <f t="shared" si="19"/>
        <v/>
      </c>
      <c r="V154" s="38" t="str">
        <f t="shared" si="20"/>
        <v/>
      </c>
      <c r="W154" s="38" t="str">
        <f>IF(AND(U154&lt;&gt;"",OR($S$4="(все)",B154=$S$4),IF($S$4="(все)",COUNTIF($U$4:U154,U154),COUNTIFS($U$4:U154,U154,$B$4:B154,B154))=1),MAX($W$3:W153)+1,"")</f>
        <v/>
      </c>
      <c r="X154" s="38" t="str">
        <f t="shared" si="21"/>
        <v/>
      </c>
      <c r="Y154" s="38" t="str">
        <f>IF(AND(A154="Аппарат",C154&lt;&gt;"",OR($S$5="(все)",B154=$S$5)),MAX($Y$3:Y153)+1,"")</f>
        <v/>
      </c>
      <c r="Z154" s="38" t="str">
        <f t="shared" si="22"/>
        <v/>
      </c>
      <c r="AA154" s="38" t="str">
        <f>IF(AND(A154="Модуль",C154&lt;&gt;"",OR($S$6="(все)",B154=$S$6)),MAX($AA$3:AA153)+1,"")</f>
        <v/>
      </c>
      <c r="AB154" s="38" t="str">
        <f t="shared" si="23"/>
        <v/>
      </c>
      <c r="AC154" s="38" t="str">
        <f>IF(OR(B154="",COUNTIF($B$4:B154,B154)&gt;1),"",MAX($AC$3:AC153)+1)</f>
        <v/>
      </c>
      <c r="AD154" s="38" t="str">
        <f t="shared" si="24"/>
        <v/>
      </c>
      <c r="AE154" s="38" t="str">
        <f t="shared" si="25"/>
        <v/>
      </c>
      <c r="AF154" s="38" t="str">
        <f t="shared" si="26"/>
        <v/>
      </c>
    </row>
    <row r="155" spans="1:32" x14ac:dyDescent="0.3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38" t="str">
        <f>IF(OR(A155="Автомат",A155="Дифавтомат"),IF(W155="","",COUNTIFS(Однолинейка!$H$3:$H$3000,U155,Однолинейка!$A$3:$A$3000,Щит_спец)),IF(A155="Аппарат",IF(C155="","",COUNTIFS(Однолинейка!$I$3:$I$3000,C155,Однолинейка!$A$3:$A$3000,Щит_спец)+COUNTIFS(Однолинейка!$J$3:$J$3000,C155,Однолинейка!$A$3:$A$3000,Щит_спец)+COUNTIFS(Однолинейка!$K$3:$K$3000,C155,Однолинейка!$A$3:$A$3000,Щит_спец)),IF(A155="Модуль",IF(C155="","",COUNTIFS(Однолинейка!$AW$3:$AW$3000,"?*",Однолинейка!$AI$3:$AI$3000,C155,Однолинейка!$A$3:$A$3000,Щит_спец)),IF(A155="Клемма",IF(C155="","",IF(C155=$S$7,SUMIFS(Однолинейка!$BW$3:$BW$3000,Однолинейка!$A$3:$A$3000,Щит_спец),IF(C155=$S$8,SUMIFS(Однолинейка!$BX$3:$BX$3000,Однолинейка!$A$3:$A$3000,Щит_спец),""))),""))))</f>
        <v/>
      </c>
      <c r="O155" s="74"/>
      <c r="P155" s="38" t="str">
        <f t="shared" si="18"/>
        <v/>
      </c>
      <c r="U155" s="38" t="str">
        <f t="shared" si="19"/>
        <v/>
      </c>
      <c r="V155" s="38" t="str">
        <f t="shared" si="20"/>
        <v/>
      </c>
      <c r="W155" s="38" t="str">
        <f>IF(AND(U155&lt;&gt;"",OR($S$4="(все)",B155=$S$4),IF($S$4="(все)",COUNTIF($U$4:U155,U155),COUNTIFS($U$4:U155,U155,$B$4:B155,B155))=1),MAX($W$3:W154)+1,"")</f>
        <v/>
      </c>
      <c r="X155" s="38" t="str">
        <f t="shared" si="21"/>
        <v/>
      </c>
      <c r="Y155" s="38" t="str">
        <f>IF(AND(A155="Аппарат",C155&lt;&gt;"",OR($S$5="(все)",B155=$S$5)),MAX($Y$3:Y154)+1,"")</f>
        <v/>
      </c>
      <c r="Z155" s="38" t="str">
        <f t="shared" si="22"/>
        <v/>
      </c>
      <c r="AA155" s="38" t="str">
        <f>IF(AND(A155="Модуль",C155&lt;&gt;"",OR($S$6="(все)",B155=$S$6)),MAX($AA$3:AA154)+1,"")</f>
        <v/>
      </c>
      <c r="AB155" s="38" t="str">
        <f t="shared" si="23"/>
        <v/>
      </c>
      <c r="AC155" s="38" t="str">
        <f>IF(OR(B155="",COUNTIF($B$4:B155,B155)&gt;1),"",MAX($AC$3:AC154)+1)</f>
        <v/>
      </c>
      <c r="AD155" s="38" t="str">
        <f t="shared" si="24"/>
        <v/>
      </c>
      <c r="AE155" s="38" t="str">
        <f t="shared" si="25"/>
        <v/>
      </c>
      <c r="AF155" s="38" t="str">
        <f t="shared" si="26"/>
        <v/>
      </c>
    </row>
    <row r="156" spans="1:32" x14ac:dyDescent="0.3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38" t="str">
        <f>IF(OR(A156="Автомат",A156="Дифавтомат"),IF(W156="","",COUNTIFS(Однолинейка!$H$3:$H$3000,U156,Однолинейка!$A$3:$A$3000,Щит_спец)),IF(A156="Аппарат",IF(C156="","",COUNTIFS(Однолинейка!$I$3:$I$3000,C156,Однолинейка!$A$3:$A$3000,Щит_спец)+COUNTIFS(Однолинейка!$J$3:$J$3000,C156,Однолинейка!$A$3:$A$3000,Щит_спец)+COUNTIFS(Однолинейка!$K$3:$K$3000,C156,Однолинейка!$A$3:$A$3000,Щит_спец)),IF(A156="Модуль",IF(C156="","",COUNTIFS(Однолинейка!$AW$3:$AW$3000,"?*",Однолинейка!$AI$3:$AI$3000,C156,Однолинейка!$A$3:$A$3000,Щит_спец)),IF(A156="Клемма",IF(C156="","",IF(C156=$S$7,SUMIFS(Однолинейка!$BW$3:$BW$3000,Однолинейка!$A$3:$A$3000,Щит_спец),IF(C156=$S$8,SUMIFS(Однолинейка!$BX$3:$BX$3000,Однолинейка!$A$3:$A$3000,Щит_спец),""))),""))))</f>
        <v/>
      </c>
      <c r="O156" s="74"/>
      <c r="P156" s="38" t="str">
        <f t="shared" si="18"/>
        <v/>
      </c>
      <c r="U156" s="38" t="str">
        <f t="shared" si="19"/>
        <v/>
      </c>
      <c r="V156" s="38" t="str">
        <f t="shared" si="20"/>
        <v/>
      </c>
      <c r="W156" s="38" t="str">
        <f>IF(AND(U156&lt;&gt;"",OR($S$4="(все)",B156=$S$4),IF($S$4="(все)",COUNTIF($U$4:U156,U156),COUNTIFS($U$4:U156,U156,$B$4:B156,B156))=1),MAX($W$3:W155)+1,"")</f>
        <v/>
      </c>
      <c r="X156" s="38" t="str">
        <f t="shared" si="21"/>
        <v/>
      </c>
      <c r="Y156" s="38" t="str">
        <f>IF(AND(A156="Аппарат",C156&lt;&gt;"",OR($S$5="(все)",B156=$S$5)),MAX($Y$3:Y155)+1,"")</f>
        <v/>
      </c>
      <c r="Z156" s="38" t="str">
        <f t="shared" si="22"/>
        <v/>
      </c>
      <c r="AA156" s="38" t="str">
        <f>IF(AND(A156="Модуль",C156&lt;&gt;"",OR($S$6="(все)",B156=$S$6)),MAX($AA$3:AA155)+1,"")</f>
        <v/>
      </c>
      <c r="AB156" s="38" t="str">
        <f t="shared" si="23"/>
        <v/>
      </c>
      <c r="AC156" s="38" t="str">
        <f>IF(OR(B156="",COUNTIF($B$4:B156,B156)&gt;1),"",MAX($AC$3:AC155)+1)</f>
        <v/>
      </c>
      <c r="AD156" s="38" t="str">
        <f t="shared" si="24"/>
        <v/>
      </c>
      <c r="AE156" s="38" t="str">
        <f t="shared" si="25"/>
        <v/>
      </c>
      <c r="AF156" s="38" t="str">
        <f t="shared" si="26"/>
        <v/>
      </c>
    </row>
    <row r="157" spans="1:32" x14ac:dyDescent="0.3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38" t="str">
        <f>IF(OR(A157="Автомат",A157="Дифавтомат"),IF(W157="","",COUNTIFS(Однолинейка!$H$3:$H$3000,U157,Однолинейка!$A$3:$A$3000,Щит_спец)),IF(A157="Аппарат",IF(C157="","",COUNTIFS(Однолинейка!$I$3:$I$3000,C157,Однолинейка!$A$3:$A$3000,Щит_спец)+COUNTIFS(Однолинейка!$J$3:$J$3000,C157,Однолинейка!$A$3:$A$3000,Щит_спец)+COUNTIFS(Однолинейка!$K$3:$K$3000,C157,Однолинейка!$A$3:$A$3000,Щит_спец)),IF(A157="Модуль",IF(C157="","",COUNTIFS(Однолинейка!$AW$3:$AW$3000,"?*",Однолинейка!$AI$3:$AI$3000,C157,Однолинейка!$A$3:$A$3000,Щит_спец)),IF(A157="Клемма",IF(C157="","",IF(C157=$S$7,SUMIFS(Однолинейка!$BW$3:$BW$3000,Однолинейка!$A$3:$A$3000,Щит_спец),IF(C157=$S$8,SUMIFS(Однолинейка!$BX$3:$BX$3000,Однолинейка!$A$3:$A$3000,Щит_спец),""))),""))))</f>
        <v/>
      </c>
      <c r="O157" s="74"/>
      <c r="P157" s="38" t="str">
        <f t="shared" si="18"/>
        <v/>
      </c>
      <c r="U157" s="38" t="str">
        <f t="shared" si="19"/>
        <v/>
      </c>
      <c r="V157" s="38" t="str">
        <f t="shared" si="20"/>
        <v/>
      </c>
      <c r="W157" s="38" t="str">
        <f>IF(AND(U157&lt;&gt;"",OR($S$4="(все)",B157=$S$4),IF($S$4="(все)",COUNTIF($U$4:U157,U157),COUNTIFS($U$4:U157,U157,$B$4:B157,B157))=1),MAX($W$3:W156)+1,"")</f>
        <v/>
      </c>
      <c r="X157" s="38" t="str">
        <f t="shared" si="21"/>
        <v/>
      </c>
      <c r="Y157" s="38" t="str">
        <f>IF(AND(A157="Аппарат",C157&lt;&gt;"",OR($S$5="(все)",B157=$S$5)),MAX($Y$3:Y156)+1,"")</f>
        <v/>
      </c>
      <c r="Z157" s="38" t="str">
        <f t="shared" si="22"/>
        <v/>
      </c>
      <c r="AA157" s="38" t="str">
        <f>IF(AND(A157="Модуль",C157&lt;&gt;"",OR($S$6="(все)",B157=$S$6)),MAX($AA$3:AA156)+1,"")</f>
        <v/>
      </c>
      <c r="AB157" s="38" t="str">
        <f t="shared" si="23"/>
        <v/>
      </c>
      <c r="AC157" s="38" t="str">
        <f>IF(OR(B157="",COUNTIF($B$4:B157,B157)&gt;1),"",MAX($AC$3:AC156)+1)</f>
        <v/>
      </c>
      <c r="AD157" s="38" t="str">
        <f t="shared" si="24"/>
        <v/>
      </c>
      <c r="AE157" s="38" t="str">
        <f t="shared" si="25"/>
        <v/>
      </c>
      <c r="AF157" s="38" t="str">
        <f t="shared" si="26"/>
        <v/>
      </c>
    </row>
    <row r="158" spans="1:32" x14ac:dyDescent="0.3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38" t="str">
        <f>IF(OR(A158="Автомат",A158="Дифавтомат"),IF(W158="","",COUNTIFS(Однолинейка!$H$3:$H$3000,U158,Однолинейка!$A$3:$A$3000,Щит_спец)),IF(A158="Аппарат",IF(C158="","",COUNTIFS(Однолинейка!$I$3:$I$3000,C158,Однолинейка!$A$3:$A$3000,Щит_спец)+COUNTIFS(Однолинейка!$J$3:$J$3000,C158,Однолинейка!$A$3:$A$3000,Щит_спец)+COUNTIFS(Однолинейка!$K$3:$K$3000,C158,Однолинейка!$A$3:$A$3000,Щит_спец)),IF(A158="Модуль",IF(C158="","",COUNTIFS(Однолинейка!$AW$3:$AW$3000,"?*",Однолинейка!$AI$3:$AI$3000,C158,Однолинейка!$A$3:$A$3000,Щит_спец)),IF(A158="Клемма",IF(C158="","",IF(C158=$S$7,SUMIFS(Однолинейка!$BW$3:$BW$3000,Однолинейка!$A$3:$A$3000,Щит_спец),IF(C158=$S$8,SUMIFS(Однолинейка!$BX$3:$BX$3000,Однолинейка!$A$3:$A$3000,Щит_спец),""))),""))))</f>
        <v/>
      </c>
      <c r="O158" s="74"/>
      <c r="P158" s="38" t="str">
        <f t="shared" si="18"/>
        <v/>
      </c>
      <c r="U158" s="38" t="str">
        <f t="shared" si="19"/>
        <v/>
      </c>
      <c r="V158" s="38" t="str">
        <f t="shared" si="20"/>
        <v/>
      </c>
      <c r="W158" s="38" t="str">
        <f>IF(AND(U158&lt;&gt;"",OR($S$4="(все)",B158=$S$4),IF($S$4="(все)",COUNTIF($U$4:U158,U158),COUNTIFS($U$4:U158,U158,$B$4:B158,B158))=1),MAX($W$3:W157)+1,"")</f>
        <v/>
      </c>
      <c r="X158" s="38" t="str">
        <f t="shared" si="21"/>
        <v/>
      </c>
      <c r="Y158" s="38" t="str">
        <f>IF(AND(A158="Аппарат",C158&lt;&gt;"",OR($S$5="(все)",B158=$S$5)),MAX($Y$3:Y157)+1,"")</f>
        <v/>
      </c>
      <c r="Z158" s="38" t="str">
        <f t="shared" si="22"/>
        <v/>
      </c>
      <c r="AA158" s="38" t="str">
        <f>IF(AND(A158="Модуль",C158&lt;&gt;"",OR($S$6="(все)",B158=$S$6)),MAX($AA$3:AA157)+1,"")</f>
        <v/>
      </c>
      <c r="AB158" s="38" t="str">
        <f t="shared" si="23"/>
        <v/>
      </c>
      <c r="AC158" s="38" t="str">
        <f>IF(OR(B158="",COUNTIF($B$4:B158,B158)&gt;1),"",MAX($AC$3:AC157)+1)</f>
        <v/>
      </c>
      <c r="AD158" s="38" t="str">
        <f t="shared" si="24"/>
        <v/>
      </c>
      <c r="AE158" s="38" t="str">
        <f t="shared" si="25"/>
        <v/>
      </c>
      <c r="AF158" s="38" t="str">
        <f t="shared" si="26"/>
        <v/>
      </c>
    </row>
    <row r="159" spans="1:32" x14ac:dyDescent="0.3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38" t="str">
        <f>IF(OR(A159="Автомат",A159="Дифавтомат"),IF(W159="","",COUNTIFS(Однолинейка!$H$3:$H$3000,U159,Однолинейка!$A$3:$A$3000,Щит_спец)),IF(A159="Аппарат",IF(C159="","",COUNTIFS(Однолинейка!$I$3:$I$3000,C159,Однолинейка!$A$3:$A$3000,Щит_спец)+COUNTIFS(Однолинейка!$J$3:$J$3000,C159,Однолинейка!$A$3:$A$3000,Щит_спец)+COUNTIFS(Однолинейка!$K$3:$K$3000,C159,Однолинейка!$A$3:$A$3000,Щит_спец)),IF(A159="Модуль",IF(C159="","",COUNTIFS(Однолинейка!$AW$3:$AW$3000,"?*",Однолинейка!$AI$3:$AI$3000,C159,Однолинейка!$A$3:$A$3000,Щит_спец)),IF(A159="Клемма",IF(C159="","",IF(C159=$S$7,SUMIFS(Однолинейка!$BW$3:$BW$3000,Однолинейка!$A$3:$A$3000,Щит_спец),IF(C159=$S$8,SUMIFS(Однолинейка!$BX$3:$BX$3000,Однолинейка!$A$3:$A$3000,Щит_спец),""))),""))))</f>
        <v/>
      </c>
      <c r="O159" s="74"/>
      <c r="P159" s="38" t="str">
        <f t="shared" si="18"/>
        <v/>
      </c>
      <c r="U159" s="38" t="str">
        <f t="shared" si="19"/>
        <v/>
      </c>
      <c r="V159" s="38" t="str">
        <f t="shared" si="20"/>
        <v/>
      </c>
      <c r="W159" s="38" t="str">
        <f>IF(AND(U159&lt;&gt;"",OR($S$4="(все)",B159=$S$4),IF($S$4="(все)",COUNTIF($U$4:U159,U159),COUNTIFS($U$4:U159,U159,$B$4:B159,B159))=1),MAX($W$3:W158)+1,"")</f>
        <v/>
      </c>
      <c r="X159" s="38" t="str">
        <f t="shared" si="21"/>
        <v/>
      </c>
      <c r="Y159" s="38" t="str">
        <f>IF(AND(A159="Аппарат",C159&lt;&gt;"",OR($S$5="(все)",B159=$S$5)),MAX($Y$3:Y158)+1,"")</f>
        <v/>
      </c>
      <c r="Z159" s="38" t="str">
        <f t="shared" si="22"/>
        <v/>
      </c>
      <c r="AA159" s="38" t="str">
        <f>IF(AND(A159="Модуль",C159&lt;&gt;"",OR($S$6="(все)",B159=$S$6)),MAX($AA$3:AA158)+1,"")</f>
        <v/>
      </c>
      <c r="AB159" s="38" t="str">
        <f t="shared" si="23"/>
        <v/>
      </c>
      <c r="AC159" s="38" t="str">
        <f>IF(OR(B159="",COUNTIF($B$4:B159,B159)&gt;1),"",MAX($AC$3:AC158)+1)</f>
        <v/>
      </c>
      <c r="AD159" s="38" t="str">
        <f t="shared" si="24"/>
        <v/>
      </c>
      <c r="AE159" s="38" t="str">
        <f t="shared" si="25"/>
        <v/>
      </c>
      <c r="AF159" s="38" t="str">
        <f t="shared" si="26"/>
        <v/>
      </c>
    </row>
    <row r="160" spans="1:32" x14ac:dyDescent="0.3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38" t="str">
        <f>IF(OR(A160="Автомат",A160="Дифавтомат"),IF(W160="","",COUNTIFS(Однолинейка!$H$3:$H$3000,U160,Однолинейка!$A$3:$A$3000,Щит_спец)),IF(A160="Аппарат",IF(C160="","",COUNTIFS(Однолинейка!$I$3:$I$3000,C160,Однолинейка!$A$3:$A$3000,Щит_спец)+COUNTIFS(Однолинейка!$J$3:$J$3000,C160,Однолинейка!$A$3:$A$3000,Щит_спец)+COUNTIFS(Однолинейка!$K$3:$K$3000,C160,Однолинейка!$A$3:$A$3000,Щит_спец)),IF(A160="Модуль",IF(C160="","",COUNTIFS(Однолинейка!$AW$3:$AW$3000,"?*",Однолинейка!$AI$3:$AI$3000,C160,Однолинейка!$A$3:$A$3000,Щит_спец)),IF(A160="Клемма",IF(C160="","",IF(C160=$S$7,SUMIFS(Однолинейка!$BW$3:$BW$3000,Однолинейка!$A$3:$A$3000,Щит_спец),IF(C160=$S$8,SUMIFS(Однолинейка!$BX$3:$BX$3000,Однолинейка!$A$3:$A$3000,Щит_спец),""))),""))))</f>
        <v/>
      </c>
      <c r="O160" s="74"/>
      <c r="P160" s="38" t="str">
        <f t="shared" si="18"/>
        <v/>
      </c>
      <c r="U160" s="38" t="str">
        <f t="shared" si="19"/>
        <v/>
      </c>
      <c r="V160" s="38" t="str">
        <f t="shared" si="20"/>
        <v/>
      </c>
      <c r="W160" s="38" t="str">
        <f>IF(AND(U160&lt;&gt;"",OR($S$4="(все)",B160=$S$4),IF($S$4="(все)",COUNTIF($U$4:U160,U160),COUNTIFS($U$4:U160,U160,$B$4:B160,B160))=1),MAX($W$3:W159)+1,"")</f>
        <v/>
      </c>
      <c r="X160" s="38" t="str">
        <f t="shared" si="21"/>
        <v/>
      </c>
      <c r="Y160" s="38" t="str">
        <f>IF(AND(A160="Аппарат",C160&lt;&gt;"",OR($S$5="(все)",B160=$S$5)),MAX($Y$3:Y159)+1,"")</f>
        <v/>
      </c>
      <c r="Z160" s="38" t="str">
        <f t="shared" si="22"/>
        <v/>
      </c>
      <c r="AA160" s="38" t="str">
        <f>IF(AND(A160="Модуль",C160&lt;&gt;"",OR($S$6="(все)",B160=$S$6)),MAX($AA$3:AA159)+1,"")</f>
        <v/>
      </c>
      <c r="AB160" s="38" t="str">
        <f t="shared" si="23"/>
        <v/>
      </c>
      <c r="AC160" s="38" t="str">
        <f>IF(OR(B160="",COUNTIF($B$4:B160,B160)&gt;1),"",MAX($AC$3:AC159)+1)</f>
        <v/>
      </c>
      <c r="AD160" s="38" t="str">
        <f t="shared" si="24"/>
        <v/>
      </c>
      <c r="AE160" s="38" t="str">
        <f t="shared" si="25"/>
        <v/>
      </c>
      <c r="AF160" s="38" t="str">
        <f t="shared" si="26"/>
        <v/>
      </c>
    </row>
    <row r="161" spans="1:32" x14ac:dyDescent="0.3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38" t="str">
        <f>IF(OR(A161="Автомат",A161="Дифавтомат"),IF(W161="","",COUNTIFS(Однолинейка!$H$3:$H$3000,U161,Однолинейка!$A$3:$A$3000,Щит_спец)),IF(A161="Аппарат",IF(C161="","",COUNTIFS(Однолинейка!$I$3:$I$3000,C161,Однолинейка!$A$3:$A$3000,Щит_спец)+COUNTIFS(Однолинейка!$J$3:$J$3000,C161,Однолинейка!$A$3:$A$3000,Щит_спец)+COUNTIFS(Однолинейка!$K$3:$K$3000,C161,Однолинейка!$A$3:$A$3000,Щит_спец)),IF(A161="Модуль",IF(C161="","",COUNTIFS(Однолинейка!$AW$3:$AW$3000,"?*",Однолинейка!$AI$3:$AI$3000,C161,Однолинейка!$A$3:$A$3000,Щит_спец)),IF(A161="Клемма",IF(C161="","",IF(C161=$S$7,SUMIFS(Однолинейка!$BW$3:$BW$3000,Однолинейка!$A$3:$A$3000,Щит_спец),IF(C161=$S$8,SUMIFS(Однолинейка!$BX$3:$BX$3000,Однолинейка!$A$3:$A$3000,Щит_спец),""))),""))))</f>
        <v/>
      </c>
      <c r="O161" s="74"/>
      <c r="P161" s="38" t="str">
        <f t="shared" si="18"/>
        <v/>
      </c>
      <c r="U161" s="38" t="str">
        <f t="shared" si="19"/>
        <v/>
      </c>
      <c r="V161" s="38" t="str">
        <f t="shared" si="20"/>
        <v/>
      </c>
      <c r="W161" s="38" t="str">
        <f>IF(AND(U161&lt;&gt;"",OR($S$4="(все)",B161=$S$4),IF($S$4="(все)",COUNTIF($U$4:U161,U161),COUNTIFS($U$4:U161,U161,$B$4:B161,B161))=1),MAX($W$3:W160)+1,"")</f>
        <v/>
      </c>
      <c r="X161" s="38" t="str">
        <f t="shared" si="21"/>
        <v/>
      </c>
      <c r="Y161" s="38" t="str">
        <f>IF(AND(A161="Аппарат",C161&lt;&gt;"",OR($S$5="(все)",B161=$S$5)),MAX($Y$3:Y160)+1,"")</f>
        <v/>
      </c>
      <c r="Z161" s="38" t="str">
        <f t="shared" si="22"/>
        <v/>
      </c>
      <c r="AA161" s="38" t="str">
        <f>IF(AND(A161="Модуль",C161&lt;&gt;"",OR($S$6="(все)",B161=$S$6)),MAX($AA$3:AA160)+1,"")</f>
        <v/>
      </c>
      <c r="AB161" s="38" t="str">
        <f t="shared" si="23"/>
        <v/>
      </c>
      <c r="AC161" s="38" t="str">
        <f>IF(OR(B161="",COUNTIF($B$4:B161,B161)&gt;1),"",MAX($AC$3:AC160)+1)</f>
        <v/>
      </c>
      <c r="AD161" s="38" t="str">
        <f t="shared" si="24"/>
        <v/>
      </c>
      <c r="AE161" s="38" t="str">
        <f t="shared" si="25"/>
        <v/>
      </c>
      <c r="AF161" s="38" t="str">
        <f t="shared" si="26"/>
        <v/>
      </c>
    </row>
    <row r="162" spans="1:32" x14ac:dyDescent="0.3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38" t="str">
        <f>IF(OR(A162="Автомат",A162="Дифавтомат"),IF(W162="","",COUNTIFS(Однолинейка!$H$3:$H$3000,U162,Однолинейка!$A$3:$A$3000,Щит_спец)),IF(A162="Аппарат",IF(C162="","",COUNTIFS(Однолинейка!$I$3:$I$3000,C162,Однолинейка!$A$3:$A$3000,Щит_спец)+COUNTIFS(Однолинейка!$J$3:$J$3000,C162,Однолинейка!$A$3:$A$3000,Щит_спец)+COUNTIFS(Однолинейка!$K$3:$K$3000,C162,Однолинейка!$A$3:$A$3000,Щит_спец)),IF(A162="Модуль",IF(C162="","",COUNTIFS(Однолинейка!$AW$3:$AW$3000,"?*",Однолинейка!$AI$3:$AI$3000,C162,Однолинейка!$A$3:$A$3000,Щит_спец)),IF(A162="Клемма",IF(C162="","",IF(C162=$S$7,SUMIFS(Однолинейка!$BW$3:$BW$3000,Однолинейка!$A$3:$A$3000,Щит_спец),IF(C162=$S$8,SUMIFS(Однолинейка!$BX$3:$BX$3000,Однолинейка!$A$3:$A$3000,Щит_спец),""))),""))))</f>
        <v/>
      </c>
      <c r="O162" s="74"/>
      <c r="P162" s="38" t="str">
        <f t="shared" si="18"/>
        <v/>
      </c>
      <c r="U162" s="38" t="str">
        <f t="shared" si="19"/>
        <v/>
      </c>
      <c r="V162" s="38" t="str">
        <f t="shared" si="20"/>
        <v/>
      </c>
      <c r="W162" s="38" t="str">
        <f>IF(AND(U162&lt;&gt;"",OR($S$4="(все)",B162=$S$4),IF($S$4="(все)",COUNTIF($U$4:U162,U162),COUNTIFS($U$4:U162,U162,$B$4:B162,B162))=1),MAX($W$3:W161)+1,"")</f>
        <v/>
      </c>
      <c r="X162" s="38" t="str">
        <f t="shared" si="21"/>
        <v/>
      </c>
      <c r="Y162" s="38" t="str">
        <f>IF(AND(A162="Аппарат",C162&lt;&gt;"",OR($S$5="(все)",B162=$S$5)),MAX($Y$3:Y161)+1,"")</f>
        <v/>
      </c>
      <c r="Z162" s="38" t="str">
        <f t="shared" si="22"/>
        <v/>
      </c>
      <c r="AA162" s="38" t="str">
        <f>IF(AND(A162="Модуль",C162&lt;&gt;"",OR($S$6="(все)",B162=$S$6)),MAX($AA$3:AA161)+1,"")</f>
        <v/>
      </c>
      <c r="AB162" s="38" t="str">
        <f t="shared" si="23"/>
        <v/>
      </c>
      <c r="AC162" s="38" t="str">
        <f>IF(OR(B162="",COUNTIF($B$4:B162,B162)&gt;1),"",MAX($AC$3:AC161)+1)</f>
        <v/>
      </c>
      <c r="AD162" s="38" t="str">
        <f t="shared" si="24"/>
        <v/>
      </c>
      <c r="AE162" s="38" t="str">
        <f t="shared" si="25"/>
        <v/>
      </c>
      <c r="AF162" s="38" t="str">
        <f t="shared" si="26"/>
        <v/>
      </c>
    </row>
    <row r="163" spans="1:32" x14ac:dyDescent="0.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38" t="str">
        <f>IF(OR(A163="Автомат",A163="Дифавтомат"),IF(W163="","",COUNTIFS(Однолинейка!$H$3:$H$3000,U163,Однолинейка!$A$3:$A$3000,Щит_спец)),IF(A163="Аппарат",IF(C163="","",COUNTIFS(Однолинейка!$I$3:$I$3000,C163,Однолинейка!$A$3:$A$3000,Щит_спец)+COUNTIFS(Однолинейка!$J$3:$J$3000,C163,Однолинейка!$A$3:$A$3000,Щит_спец)+COUNTIFS(Однолинейка!$K$3:$K$3000,C163,Однолинейка!$A$3:$A$3000,Щит_спец)),IF(A163="Модуль",IF(C163="","",COUNTIFS(Однолинейка!$AW$3:$AW$3000,"?*",Однолинейка!$AI$3:$AI$3000,C163,Однолинейка!$A$3:$A$3000,Щит_спец)),IF(A163="Клемма",IF(C163="","",IF(C163=$S$7,SUMIFS(Однолинейка!$BW$3:$BW$3000,Однолинейка!$A$3:$A$3000,Щит_спец),IF(C163=$S$8,SUMIFS(Однолинейка!$BX$3:$BX$3000,Однолинейка!$A$3:$A$3000,Щит_спец),""))),""))))</f>
        <v/>
      </c>
      <c r="O163" s="74"/>
      <c r="P163" s="38" t="str">
        <f t="shared" si="18"/>
        <v/>
      </c>
      <c r="U163" s="38" t="str">
        <f t="shared" si="19"/>
        <v/>
      </c>
      <c r="V163" s="38" t="str">
        <f t="shared" si="20"/>
        <v/>
      </c>
      <c r="W163" s="38" t="str">
        <f>IF(AND(U163&lt;&gt;"",OR($S$4="(все)",B163=$S$4),IF($S$4="(все)",COUNTIF($U$4:U163,U163),COUNTIFS($U$4:U163,U163,$B$4:B163,B163))=1),MAX($W$3:W162)+1,"")</f>
        <v/>
      </c>
      <c r="X163" s="38" t="str">
        <f t="shared" si="21"/>
        <v/>
      </c>
      <c r="Y163" s="38" t="str">
        <f>IF(AND(A163="Аппарат",C163&lt;&gt;"",OR($S$5="(все)",B163=$S$5)),MAX($Y$3:Y162)+1,"")</f>
        <v/>
      </c>
      <c r="Z163" s="38" t="str">
        <f t="shared" si="22"/>
        <v/>
      </c>
      <c r="AA163" s="38" t="str">
        <f>IF(AND(A163="Модуль",C163&lt;&gt;"",OR($S$6="(все)",B163=$S$6)),MAX($AA$3:AA162)+1,"")</f>
        <v/>
      </c>
      <c r="AB163" s="38" t="str">
        <f t="shared" si="23"/>
        <v/>
      </c>
      <c r="AC163" s="38" t="str">
        <f>IF(OR(B163="",COUNTIF($B$4:B163,B163)&gt;1),"",MAX($AC$3:AC162)+1)</f>
        <v/>
      </c>
      <c r="AD163" s="38" t="str">
        <f t="shared" si="24"/>
        <v/>
      </c>
      <c r="AE163" s="38" t="str">
        <f t="shared" si="25"/>
        <v/>
      </c>
      <c r="AF163" s="38" t="str">
        <f t="shared" si="26"/>
        <v/>
      </c>
    </row>
    <row r="164" spans="1:32" x14ac:dyDescent="0.3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38" t="str">
        <f>IF(OR(A164="Автомат",A164="Дифавтомат"),IF(W164="","",COUNTIFS(Однолинейка!$H$3:$H$3000,U164,Однолинейка!$A$3:$A$3000,Щит_спец)),IF(A164="Аппарат",IF(C164="","",COUNTIFS(Однолинейка!$I$3:$I$3000,C164,Однолинейка!$A$3:$A$3000,Щит_спец)+COUNTIFS(Однолинейка!$J$3:$J$3000,C164,Однолинейка!$A$3:$A$3000,Щит_спец)+COUNTIFS(Однолинейка!$K$3:$K$3000,C164,Однолинейка!$A$3:$A$3000,Щит_спец)),IF(A164="Модуль",IF(C164="","",COUNTIFS(Однолинейка!$AW$3:$AW$3000,"?*",Однолинейка!$AI$3:$AI$3000,C164,Однолинейка!$A$3:$A$3000,Щит_спец)),IF(A164="Клемма",IF(C164="","",IF(C164=$S$7,SUMIFS(Однолинейка!$BW$3:$BW$3000,Однолинейка!$A$3:$A$3000,Щит_спец),IF(C164=$S$8,SUMIFS(Однолинейка!$BX$3:$BX$3000,Однолинейка!$A$3:$A$3000,Щит_спец),""))),""))))</f>
        <v/>
      </c>
      <c r="O164" s="74"/>
      <c r="P164" s="38" t="str">
        <f t="shared" si="18"/>
        <v/>
      </c>
      <c r="U164" s="38" t="str">
        <f t="shared" si="19"/>
        <v/>
      </c>
      <c r="V164" s="38" t="str">
        <f t="shared" si="20"/>
        <v/>
      </c>
      <c r="W164" s="38" t="str">
        <f>IF(AND(U164&lt;&gt;"",OR($S$4="(все)",B164=$S$4),IF($S$4="(все)",COUNTIF($U$4:U164,U164),COUNTIFS($U$4:U164,U164,$B$4:B164,B164))=1),MAX($W$3:W163)+1,"")</f>
        <v/>
      </c>
      <c r="X164" s="38" t="str">
        <f t="shared" si="21"/>
        <v/>
      </c>
      <c r="Y164" s="38" t="str">
        <f>IF(AND(A164="Аппарат",C164&lt;&gt;"",OR($S$5="(все)",B164=$S$5)),MAX($Y$3:Y163)+1,"")</f>
        <v/>
      </c>
      <c r="Z164" s="38" t="str">
        <f t="shared" si="22"/>
        <v/>
      </c>
      <c r="AA164" s="38" t="str">
        <f>IF(AND(A164="Модуль",C164&lt;&gt;"",OR($S$6="(все)",B164=$S$6)),MAX($AA$3:AA163)+1,"")</f>
        <v/>
      </c>
      <c r="AB164" s="38" t="str">
        <f t="shared" si="23"/>
        <v/>
      </c>
      <c r="AC164" s="38" t="str">
        <f>IF(OR(B164="",COUNTIF($B$4:B164,B164)&gt;1),"",MAX($AC$3:AC163)+1)</f>
        <v/>
      </c>
      <c r="AD164" s="38" t="str">
        <f t="shared" si="24"/>
        <v/>
      </c>
      <c r="AE164" s="38" t="str">
        <f t="shared" si="25"/>
        <v/>
      </c>
      <c r="AF164" s="38" t="str">
        <f t="shared" si="26"/>
        <v/>
      </c>
    </row>
    <row r="165" spans="1:32" x14ac:dyDescent="0.3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38" t="str">
        <f>IF(OR(A165="Автомат",A165="Дифавтомат"),IF(W165="","",COUNTIFS(Однолинейка!$H$3:$H$3000,U165,Однолинейка!$A$3:$A$3000,Щит_спец)),IF(A165="Аппарат",IF(C165="","",COUNTIFS(Однолинейка!$I$3:$I$3000,C165,Однолинейка!$A$3:$A$3000,Щит_спец)+COUNTIFS(Однолинейка!$J$3:$J$3000,C165,Однолинейка!$A$3:$A$3000,Щит_спец)+COUNTIFS(Однолинейка!$K$3:$K$3000,C165,Однолинейка!$A$3:$A$3000,Щит_спец)),IF(A165="Модуль",IF(C165="","",COUNTIFS(Однолинейка!$AW$3:$AW$3000,"?*",Однолинейка!$AI$3:$AI$3000,C165,Однолинейка!$A$3:$A$3000,Щит_спец)),IF(A165="Клемма",IF(C165="","",IF(C165=$S$7,SUMIFS(Однолинейка!$BW$3:$BW$3000,Однолинейка!$A$3:$A$3000,Щит_спец),IF(C165=$S$8,SUMIFS(Однолинейка!$BX$3:$BX$3000,Однолинейка!$A$3:$A$3000,Щит_спец),""))),""))))</f>
        <v/>
      </c>
      <c r="O165" s="74"/>
      <c r="P165" s="38" t="str">
        <f t="shared" si="18"/>
        <v/>
      </c>
      <c r="U165" s="38" t="str">
        <f t="shared" si="19"/>
        <v/>
      </c>
      <c r="V165" s="38" t="str">
        <f t="shared" si="20"/>
        <v/>
      </c>
      <c r="W165" s="38" t="str">
        <f>IF(AND(U165&lt;&gt;"",OR($S$4="(все)",B165=$S$4),IF($S$4="(все)",COUNTIF($U$4:U165,U165),COUNTIFS($U$4:U165,U165,$B$4:B165,B165))=1),MAX($W$3:W164)+1,"")</f>
        <v/>
      </c>
      <c r="X165" s="38" t="str">
        <f t="shared" si="21"/>
        <v/>
      </c>
      <c r="Y165" s="38" t="str">
        <f>IF(AND(A165="Аппарат",C165&lt;&gt;"",OR($S$5="(все)",B165=$S$5)),MAX($Y$3:Y164)+1,"")</f>
        <v/>
      </c>
      <c r="Z165" s="38" t="str">
        <f t="shared" si="22"/>
        <v/>
      </c>
      <c r="AA165" s="38" t="str">
        <f>IF(AND(A165="Модуль",C165&lt;&gt;"",OR($S$6="(все)",B165=$S$6)),MAX($AA$3:AA164)+1,"")</f>
        <v/>
      </c>
      <c r="AB165" s="38" t="str">
        <f t="shared" si="23"/>
        <v/>
      </c>
      <c r="AC165" s="38" t="str">
        <f>IF(OR(B165="",COUNTIF($B$4:B165,B165)&gt;1),"",MAX($AC$3:AC164)+1)</f>
        <v/>
      </c>
      <c r="AD165" s="38" t="str">
        <f t="shared" si="24"/>
        <v/>
      </c>
      <c r="AE165" s="38" t="str">
        <f t="shared" si="25"/>
        <v/>
      </c>
      <c r="AF165" s="38" t="str">
        <f t="shared" si="26"/>
        <v/>
      </c>
    </row>
    <row r="166" spans="1:32" x14ac:dyDescent="0.3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38" t="str">
        <f>IF(OR(A166="Автомат",A166="Дифавтомат"),IF(W166="","",COUNTIFS(Однолинейка!$H$3:$H$3000,U166,Однолинейка!$A$3:$A$3000,Щит_спец)),IF(A166="Аппарат",IF(C166="","",COUNTIFS(Однолинейка!$I$3:$I$3000,C166,Однолинейка!$A$3:$A$3000,Щит_спец)+COUNTIFS(Однолинейка!$J$3:$J$3000,C166,Однолинейка!$A$3:$A$3000,Щит_спец)+COUNTIFS(Однолинейка!$K$3:$K$3000,C166,Однолинейка!$A$3:$A$3000,Щит_спец)),IF(A166="Модуль",IF(C166="","",COUNTIFS(Однолинейка!$AW$3:$AW$3000,"?*",Однолинейка!$AI$3:$AI$3000,C166,Однолинейка!$A$3:$A$3000,Щит_спец)),IF(A166="Клемма",IF(C166="","",IF(C166=$S$7,SUMIFS(Однолинейка!$BW$3:$BW$3000,Однолинейка!$A$3:$A$3000,Щит_спец),IF(C166=$S$8,SUMIFS(Однолинейка!$BX$3:$BX$3000,Однолинейка!$A$3:$A$3000,Щит_спец),""))),""))))</f>
        <v/>
      </c>
      <c r="O166" s="74"/>
      <c r="P166" s="38" t="str">
        <f t="shared" si="18"/>
        <v/>
      </c>
      <c r="U166" s="38" t="str">
        <f t="shared" si="19"/>
        <v/>
      </c>
      <c r="V166" s="38" t="str">
        <f t="shared" si="20"/>
        <v/>
      </c>
      <c r="W166" s="38" t="str">
        <f>IF(AND(U166&lt;&gt;"",OR($S$4="(все)",B166=$S$4),IF($S$4="(все)",COUNTIF($U$4:U166,U166),COUNTIFS($U$4:U166,U166,$B$4:B166,B166))=1),MAX($W$3:W165)+1,"")</f>
        <v/>
      </c>
      <c r="X166" s="38" t="str">
        <f t="shared" si="21"/>
        <v/>
      </c>
      <c r="Y166" s="38" t="str">
        <f>IF(AND(A166="Аппарат",C166&lt;&gt;"",OR($S$5="(все)",B166=$S$5)),MAX($Y$3:Y165)+1,"")</f>
        <v/>
      </c>
      <c r="Z166" s="38" t="str">
        <f t="shared" si="22"/>
        <v/>
      </c>
      <c r="AA166" s="38" t="str">
        <f>IF(AND(A166="Модуль",C166&lt;&gt;"",OR($S$6="(все)",B166=$S$6)),MAX($AA$3:AA165)+1,"")</f>
        <v/>
      </c>
      <c r="AB166" s="38" t="str">
        <f t="shared" si="23"/>
        <v/>
      </c>
      <c r="AC166" s="38" t="str">
        <f>IF(OR(B166="",COUNTIF($B$4:B166,B166)&gt;1),"",MAX($AC$3:AC165)+1)</f>
        <v/>
      </c>
      <c r="AD166" s="38" t="str">
        <f t="shared" si="24"/>
        <v/>
      </c>
      <c r="AE166" s="38" t="str">
        <f t="shared" si="25"/>
        <v/>
      </c>
      <c r="AF166" s="38" t="str">
        <f t="shared" si="26"/>
        <v/>
      </c>
    </row>
    <row r="167" spans="1:32" x14ac:dyDescent="0.3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38" t="str">
        <f>IF(OR(A167="Автомат",A167="Дифавтомат"),IF(W167="","",COUNTIFS(Однолинейка!$H$3:$H$3000,U167,Однолинейка!$A$3:$A$3000,Щит_спец)),IF(A167="Аппарат",IF(C167="","",COUNTIFS(Однолинейка!$I$3:$I$3000,C167,Однолинейка!$A$3:$A$3000,Щит_спец)+COUNTIFS(Однолинейка!$J$3:$J$3000,C167,Однолинейка!$A$3:$A$3000,Щит_спец)+COUNTIFS(Однолинейка!$K$3:$K$3000,C167,Однолинейка!$A$3:$A$3000,Щит_спец)),IF(A167="Модуль",IF(C167="","",COUNTIFS(Однолинейка!$AW$3:$AW$3000,"?*",Однолинейка!$AI$3:$AI$3000,C167,Однолинейка!$A$3:$A$3000,Щит_спец)),IF(A167="Клемма",IF(C167="","",IF(C167=$S$7,SUMIFS(Однолинейка!$BW$3:$BW$3000,Однолинейка!$A$3:$A$3000,Щит_спец),IF(C167=$S$8,SUMIFS(Однолинейка!$BX$3:$BX$3000,Однолинейка!$A$3:$A$3000,Щит_спец),""))),""))))</f>
        <v/>
      </c>
      <c r="O167" s="74"/>
      <c r="P167" s="38" t="str">
        <f t="shared" si="18"/>
        <v/>
      </c>
      <c r="U167" s="38" t="str">
        <f t="shared" si="19"/>
        <v/>
      </c>
      <c r="V167" s="38" t="str">
        <f t="shared" si="20"/>
        <v/>
      </c>
      <c r="W167" s="38" t="str">
        <f>IF(AND(U167&lt;&gt;"",OR($S$4="(все)",B167=$S$4),IF($S$4="(все)",COUNTIF($U$4:U167,U167),COUNTIFS($U$4:U167,U167,$B$4:B167,B167))=1),MAX($W$3:W166)+1,"")</f>
        <v/>
      </c>
      <c r="X167" s="38" t="str">
        <f t="shared" si="21"/>
        <v/>
      </c>
      <c r="Y167" s="38" t="str">
        <f>IF(AND(A167="Аппарат",C167&lt;&gt;"",OR($S$5="(все)",B167=$S$5)),MAX($Y$3:Y166)+1,"")</f>
        <v/>
      </c>
      <c r="Z167" s="38" t="str">
        <f t="shared" si="22"/>
        <v/>
      </c>
      <c r="AA167" s="38" t="str">
        <f>IF(AND(A167="Модуль",C167&lt;&gt;"",OR($S$6="(все)",B167=$S$6)),MAX($AA$3:AA166)+1,"")</f>
        <v/>
      </c>
      <c r="AB167" s="38" t="str">
        <f t="shared" si="23"/>
        <v/>
      </c>
      <c r="AC167" s="38" t="str">
        <f>IF(OR(B167="",COUNTIF($B$4:B167,B167)&gt;1),"",MAX($AC$3:AC166)+1)</f>
        <v/>
      </c>
      <c r="AD167" s="38" t="str">
        <f t="shared" si="24"/>
        <v/>
      </c>
      <c r="AE167" s="38" t="str">
        <f t="shared" si="25"/>
        <v/>
      </c>
      <c r="AF167" s="38" t="str">
        <f t="shared" si="26"/>
        <v/>
      </c>
    </row>
    <row r="168" spans="1:32" x14ac:dyDescent="0.3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38" t="str">
        <f>IF(OR(A168="Автомат",A168="Дифавтомат"),IF(W168="","",COUNTIFS(Однолинейка!$H$3:$H$3000,U168,Однолинейка!$A$3:$A$3000,Щит_спец)),IF(A168="Аппарат",IF(C168="","",COUNTIFS(Однолинейка!$I$3:$I$3000,C168,Однолинейка!$A$3:$A$3000,Щит_спец)+COUNTIFS(Однолинейка!$J$3:$J$3000,C168,Однолинейка!$A$3:$A$3000,Щит_спец)+COUNTIFS(Однолинейка!$K$3:$K$3000,C168,Однолинейка!$A$3:$A$3000,Щит_спец)),IF(A168="Модуль",IF(C168="","",COUNTIFS(Однолинейка!$AW$3:$AW$3000,"?*",Однолинейка!$AI$3:$AI$3000,C168,Однолинейка!$A$3:$A$3000,Щит_спец)),IF(A168="Клемма",IF(C168="","",IF(C168=$S$7,SUMIFS(Однолинейка!$BW$3:$BW$3000,Однолинейка!$A$3:$A$3000,Щит_спец),IF(C168=$S$8,SUMIFS(Однолинейка!$BX$3:$BX$3000,Однолинейка!$A$3:$A$3000,Щит_спец),""))),""))))</f>
        <v/>
      </c>
      <c r="O168" s="74"/>
      <c r="P168" s="38" t="str">
        <f t="shared" si="18"/>
        <v/>
      </c>
      <c r="U168" s="38" t="str">
        <f t="shared" si="19"/>
        <v/>
      </c>
      <c r="V168" s="38" t="str">
        <f t="shared" si="20"/>
        <v/>
      </c>
      <c r="W168" s="38" t="str">
        <f>IF(AND(U168&lt;&gt;"",OR($S$4="(все)",B168=$S$4),IF($S$4="(все)",COUNTIF($U$4:U168,U168),COUNTIFS($U$4:U168,U168,$B$4:B168,B168))=1),MAX($W$3:W167)+1,"")</f>
        <v/>
      </c>
      <c r="X168" s="38" t="str">
        <f t="shared" si="21"/>
        <v/>
      </c>
      <c r="Y168" s="38" t="str">
        <f>IF(AND(A168="Аппарат",C168&lt;&gt;"",OR($S$5="(все)",B168=$S$5)),MAX($Y$3:Y167)+1,"")</f>
        <v/>
      </c>
      <c r="Z168" s="38" t="str">
        <f t="shared" si="22"/>
        <v/>
      </c>
      <c r="AA168" s="38" t="str">
        <f>IF(AND(A168="Модуль",C168&lt;&gt;"",OR($S$6="(все)",B168=$S$6)),MAX($AA$3:AA167)+1,"")</f>
        <v/>
      </c>
      <c r="AB168" s="38" t="str">
        <f t="shared" si="23"/>
        <v/>
      </c>
      <c r="AC168" s="38" t="str">
        <f>IF(OR(B168="",COUNTIF($B$4:B168,B168)&gt;1),"",MAX($AC$3:AC167)+1)</f>
        <v/>
      </c>
      <c r="AD168" s="38" t="str">
        <f t="shared" si="24"/>
        <v/>
      </c>
      <c r="AE168" s="38" t="str">
        <f t="shared" si="25"/>
        <v/>
      </c>
      <c r="AF168" s="38" t="str">
        <f t="shared" si="26"/>
        <v/>
      </c>
    </row>
    <row r="169" spans="1:32" x14ac:dyDescent="0.3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38" t="str">
        <f>IF(OR(A169="Автомат",A169="Дифавтомат"),IF(W169="","",COUNTIFS(Однолинейка!$H$3:$H$3000,U169,Однолинейка!$A$3:$A$3000,Щит_спец)),IF(A169="Аппарат",IF(C169="","",COUNTIFS(Однолинейка!$I$3:$I$3000,C169,Однолинейка!$A$3:$A$3000,Щит_спец)+COUNTIFS(Однолинейка!$J$3:$J$3000,C169,Однолинейка!$A$3:$A$3000,Щит_спец)+COUNTIFS(Однолинейка!$K$3:$K$3000,C169,Однолинейка!$A$3:$A$3000,Щит_спец)),IF(A169="Модуль",IF(C169="","",COUNTIFS(Однолинейка!$AW$3:$AW$3000,"?*",Однолинейка!$AI$3:$AI$3000,C169,Однолинейка!$A$3:$A$3000,Щит_спец)),IF(A169="Клемма",IF(C169="","",IF(C169=$S$7,SUMIFS(Однолинейка!$BW$3:$BW$3000,Однолинейка!$A$3:$A$3000,Щит_спец),IF(C169=$S$8,SUMIFS(Однолинейка!$BX$3:$BX$3000,Однолинейка!$A$3:$A$3000,Щит_спец),""))),""))))</f>
        <v/>
      </c>
      <c r="O169" s="74"/>
      <c r="P169" s="38" t="str">
        <f t="shared" si="18"/>
        <v/>
      </c>
      <c r="U169" s="38" t="str">
        <f t="shared" si="19"/>
        <v/>
      </c>
      <c r="V169" s="38" t="str">
        <f t="shared" si="20"/>
        <v/>
      </c>
      <c r="W169" s="38" t="str">
        <f>IF(AND(U169&lt;&gt;"",OR($S$4="(все)",B169=$S$4),IF($S$4="(все)",COUNTIF($U$4:U169,U169),COUNTIFS($U$4:U169,U169,$B$4:B169,B169))=1),MAX($W$3:W168)+1,"")</f>
        <v/>
      </c>
      <c r="X169" s="38" t="str">
        <f t="shared" si="21"/>
        <v/>
      </c>
      <c r="Y169" s="38" t="str">
        <f>IF(AND(A169="Аппарат",C169&lt;&gt;"",OR($S$5="(все)",B169=$S$5)),MAX($Y$3:Y168)+1,"")</f>
        <v/>
      </c>
      <c r="Z169" s="38" t="str">
        <f t="shared" si="22"/>
        <v/>
      </c>
      <c r="AA169" s="38" t="str">
        <f>IF(AND(A169="Модуль",C169&lt;&gt;"",OR($S$6="(все)",B169=$S$6)),MAX($AA$3:AA168)+1,"")</f>
        <v/>
      </c>
      <c r="AB169" s="38" t="str">
        <f t="shared" si="23"/>
        <v/>
      </c>
      <c r="AC169" s="38" t="str">
        <f>IF(OR(B169="",COUNTIF($B$4:B169,B169)&gt;1),"",MAX($AC$3:AC168)+1)</f>
        <v/>
      </c>
      <c r="AD169" s="38" t="str">
        <f t="shared" si="24"/>
        <v/>
      </c>
      <c r="AE169" s="38" t="str">
        <f t="shared" si="25"/>
        <v/>
      </c>
      <c r="AF169" s="38" t="str">
        <f t="shared" si="26"/>
        <v/>
      </c>
    </row>
    <row r="170" spans="1:32" x14ac:dyDescent="0.3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38" t="str">
        <f>IF(OR(A170="Автомат",A170="Дифавтомат"),IF(W170="","",COUNTIFS(Однолинейка!$H$3:$H$3000,U170,Однолинейка!$A$3:$A$3000,Щит_спец)),IF(A170="Аппарат",IF(C170="","",COUNTIFS(Однолинейка!$I$3:$I$3000,C170,Однолинейка!$A$3:$A$3000,Щит_спец)+COUNTIFS(Однолинейка!$J$3:$J$3000,C170,Однолинейка!$A$3:$A$3000,Щит_спец)+COUNTIFS(Однолинейка!$K$3:$K$3000,C170,Однолинейка!$A$3:$A$3000,Щит_спец)),IF(A170="Модуль",IF(C170="","",COUNTIFS(Однолинейка!$AW$3:$AW$3000,"?*",Однолинейка!$AI$3:$AI$3000,C170,Однолинейка!$A$3:$A$3000,Щит_спец)),IF(A170="Клемма",IF(C170="","",IF(C170=$S$7,SUMIFS(Однолинейка!$BW$3:$BW$3000,Однолинейка!$A$3:$A$3000,Щит_спец),IF(C170=$S$8,SUMIFS(Однолинейка!$BX$3:$BX$3000,Однолинейка!$A$3:$A$3000,Щит_спец),""))),""))))</f>
        <v/>
      </c>
      <c r="O170" s="74"/>
      <c r="P170" s="38" t="str">
        <f t="shared" si="18"/>
        <v/>
      </c>
      <c r="U170" s="38" t="str">
        <f t="shared" si="19"/>
        <v/>
      </c>
      <c r="V170" s="38" t="str">
        <f t="shared" si="20"/>
        <v/>
      </c>
      <c r="W170" s="38" t="str">
        <f>IF(AND(U170&lt;&gt;"",OR($S$4="(все)",B170=$S$4),IF($S$4="(все)",COUNTIF($U$4:U170,U170),COUNTIFS($U$4:U170,U170,$B$4:B170,B170))=1),MAX($W$3:W169)+1,"")</f>
        <v/>
      </c>
      <c r="X170" s="38" t="str">
        <f t="shared" si="21"/>
        <v/>
      </c>
      <c r="Y170" s="38" t="str">
        <f>IF(AND(A170="Аппарат",C170&lt;&gt;"",OR($S$5="(все)",B170=$S$5)),MAX($Y$3:Y169)+1,"")</f>
        <v/>
      </c>
      <c r="Z170" s="38" t="str">
        <f t="shared" si="22"/>
        <v/>
      </c>
      <c r="AA170" s="38" t="str">
        <f>IF(AND(A170="Модуль",C170&lt;&gt;"",OR($S$6="(все)",B170=$S$6)),MAX($AA$3:AA169)+1,"")</f>
        <v/>
      </c>
      <c r="AB170" s="38" t="str">
        <f t="shared" si="23"/>
        <v/>
      </c>
      <c r="AC170" s="38" t="str">
        <f>IF(OR(B170="",COUNTIF($B$4:B170,B170)&gt;1),"",MAX($AC$3:AC169)+1)</f>
        <v/>
      </c>
      <c r="AD170" s="38" t="str">
        <f t="shared" si="24"/>
        <v/>
      </c>
      <c r="AE170" s="38" t="str">
        <f t="shared" si="25"/>
        <v/>
      </c>
      <c r="AF170" s="38" t="str">
        <f t="shared" si="26"/>
        <v/>
      </c>
    </row>
    <row r="171" spans="1:32" x14ac:dyDescent="0.3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38" t="str">
        <f>IF(OR(A171="Автомат",A171="Дифавтомат"),IF(W171="","",COUNTIFS(Однолинейка!$H$3:$H$3000,U171,Однолинейка!$A$3:$A$3000,Щит_спец)),IF(A171="Аппарат",IF(C171="","",COUNTIFS(Однолинейка!$I$3:$I$3000,C171,Однолинейка!$A$3:$A$3000,Щит_спец)+COUNTIFS(Однолинейка!$J$3:$J$3000,C171,Однолинейка!$A$3:$A$3000,Щит_спец)+COUNTIFS(Однолинейка!$K$3:$K$3000,C171,Однолинейка!$A$3:$A$3000,Щит_спец)),IF(A171="Модуль",IF(C171="","",COUNTIFS(Однолинейка!$AW$3:$AW$3000,"?*",Однолинейка!$AI$3:$AI$3000,C171,Однолинейка!$A$3:$A$3000,Щит_спец)),IF(A171="Клемма",IF(C171="","",IF(C171=$S$7,SUMIFS(Однолинейка!$BW$3:$BW$3000,Однолинейка!$A$3:$A$3000,Щит_спец),IF(C171=$S$8,SUMIFS(Однолинейка!$BX$3:$BX$3000,Однолинейка!$A$3:$A$3000,Щит_спец),""))),""))))</f>
        <v/>
      </c>
      <c r="O171" s="74"/>
      <c r="P171" s="38" t="str">
        <f t="shared" si="18"/>
        <v/>
      </c>
      <c r="U171" s="38" t="str">
        <f t="shared" si="19"/>
        <v/>
      </c>
      <c r="V171" s="38" t="str">
        <f t="shared" si="20"/>
        <v/>
      </c>
      <c r="W171" s="38" t="str">
        <f>IF(AND(U171&lt;&gt;"",OR($S$4="(все)",B171=$S$4),IF($S$4="(все)",COUNTIF($U$4:U171,U171),COUNTIFS($U$4:U171,U171,$B$4:B171,B171))=1),MAX($W$3:W170)+1,"")</f>
        <v/>
      </c>
      <c r="X171" s="38" t="str">
        <f t="shared" si="21"/>
        <v/>
      </c>
      <c r="Y171" s="38" t="str">
        <f>IF(AND(A171="Аппарат",C171&lt;&gt;"",OR($S$5="(все)",B171=$S$5)),MAX($Y$3:Y170)+1,"")</f>
        <v/>
      </c>
      <c r="Z171" s="38" t="str">
        <f t="shared" si="22"/>
        <v/>
      </c>
      <c r="AA171" s="38" t="str">
        <f>IF(AND(A171="Модуль",C171&lt;&gt;"",OR($S$6="(все)",B171=$S$6)),MAX($AA$3:AA170)+1,"")</f>
        <v/>
      </c>
      <c r="AB171" s="38" t="str">
        <f t="shared" si="23"/>
        <v/>
      </c>
      <c r="AC171" s="38" t="str">
        <f>IF(OR(B171="",COUNTIF($B$4:B171,B171)&gt;1),"",MAX($AC$3:AC170)+1)</f>
        <v/>
      </c>
      <c r="AD171" s="38" t="str">
        <f t="shared" si="24"/>
        <v/>
      </c>
      <c r="AE171" s="38" t="str">
        <f t="shared" si="25"/>
        <v/>
      </c>
      <c r="AF171" s="38" t="str">
        <f t="shared" si="26"/>
        <v/>
      </c>
    </row>
    <row r="172" spans="1:32" x14ac:dyDescent="0.3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38" t="str">
        <f>IF(OR(A172="Автомат",A172="Дифавтомат"),IF(W172="","",COUNTIFS(Однолинейка!$H$3:$H$3000,U172,Однолинейка!$A$3:$A$3000,Щит_спец)),IF(A172="Аппарат",IF(C172="","",COUNTIFS(Однолинейка!$I$3:$I$3000,C172,Однолинейка!$A$3:$A$3000,Щит_спец)+COUNTIFS(Однолинейка!$J$3:$J$3000,C172,Однолинейка!$A$3:$A$3000,Щит_спец)+COUNTIFS(Однолинейка!$K$3:$K$3000,C172,Однолинейка!$A$3:$A$3000,Щит_спец)),IF(A172="Модуль",IF(C172="","",COUNTIFS(Однолинейка!$AW$3:$AW$3000,"?*",Однолинейка!$AI$3:$AI$3000,C172,Однолинейка!$A$3:$A$3000,Щит_спец)),IF(A172="Клемма",IF(C172="","",IF(C172=$S$7,SUMIFS(Однолинейка!$BW$3:$BW$3000,Однолинейка!$A$3:$A$3000,Щит_спец),IF(C172=$S$8,SUMIFS(Однолинейка!$BX$3:$BX$3000,Однолинейка!$A$3:$A$3000,Щит_спец),""))),""))))</f>
        <v/>
      </c>
      <c r="O172" s="74"/>
      <c r="P172" s="38" t="str">
        <f t="shared" si="18"/>
        <v/>
      </c>
      <c r="U172" s="38" t="str">
        <f t="shared" si="19"/>
        <v/>
      </c>
      <c r="V172" s="38" t="str">
        <f t="shared" si="20"/>
        <v/>
      </c>
      <c r="W172" s="38" t="str">
        <f>IF(AND(U172&lt;&gt;"",OR($S$4="(все)",B172=$S$4),IF($S$4="(все)",COUNTIF($U$4:U172,U172),COUNTIFS($U$4:U172,U172,$B$4:B172,B172))=1),MAX($W$3:W171)+1,"")</f>
        <v/>
      </c>
      <c r="X172" s="38" t="str">
        <f t="shared" si="21"/>
        <v/>
      </c>
      <c r="Y172" s="38" t="str">
        <f>IF(AND(A172="Аппарат",C172&lt;&gt;"",OR($S$5="(все)",B172=$S$5)),MAX($Y$3:Y171)+1,"")</f>
        <v/>
      </c>
      <c r="Z172" s="38" t="str">
        <f t="shared" si="22"/>
        <v/>
      </c>
      <c r="AA172" s="38" t="str">
        <f>IF(AND(A172="Модуль",C172&lt;&gt;"",OR($S$6="(все)",B172=$S$6)),MAX($AA$3:AA171)+1,"")</f>
        <v/>
      </c>
      <c r="AB172" s="38" t="str">
        <f t="shared" si="23"/>
        <v/>
      </c>
      <c r="AC172" s="38" t="str">
        <f>IF(OR(B172="",COUNTIF($B$4:B172,B172)&gt;1),"",MAX($AC$3:AC171)+1)</f>
        <v/>
      </c>
      <c r="AD172" s="38" t="str">
        <f t="shared" si="24"/>
        <v/>
      </c>
      <c r="AE172" s="38" t="str">
        <f t="shared" si="25"/>
        <v/>
      </c>
      <c r="AF172" s="38" t="str">
        <f t="shared" si="26"/>
        <v/>
      </c>
    </row>
    <row r="173" spans="1:32" x14ac:dyDescent="0.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38" t="str">
        <f>IF(OR(A173="Автомат",A173="Дифавтомат"),IF(W173="","",COUNTIFS(Однолинейка!$H$3:$H$3000,U173,Однолинейка!$A$3:$A$3000,Щит_спец)),IF(A173="Аппарат",IF(C173="","",COUNTIFS(Однолинейка!$I$3:$I$3000,C173,Однолинейка!$A$3:$A$3000,Щит_спец)+COUNTIFS(Однолинейка!$J$3:$J$3000,C173,Однолинейка!$A$3:$A$3000,Щит_спец)+COUNTIFS(Однолинейка!$K$3:$K$3000,C173,Однолинейка!$A$3:$A$3000,Щит_спец)),IF(A173="Модуль",IF(C173="","",COUNTIFS(Однолинейка!$AW$3:$AW$3000,"?*",Однолинейка!$AI$3:$AI$3000,C173,Однолинейка!$A$3:$A$3000,Щит_спец)),IF(A173="Клемма",IF(C173="","",IF(C173=$S$7,SUMIFS(Однолинейка!$BW$3:$BW$3000,Однолинейка!$A$3:$A$3000,Щит_спец),IF(C173=$S$8,SUMIFS(Однолинейка!$BX$3:$BX$3000,Однолинейка!$A$3:$A$3000,Щит_спец),""))),""))))</f>
        <v/>
      </c>
      <c r="O173" s="74"/>
      <c r="P173" s="38" t="str">
        <f t="shared" si="18"/>
        <v/>
      </c>
      <c r="U173" s="38" t="str">
        <f t="shared" si="19"/>
        <v/>
      </c>
      <c r="V173" s="38" t="str">
        <f t="shared" si="20"/>
        <v/>
      </c>
      <c r="W173" s="38" t="str">
        <f>IF(AND(U173&lt;&gt;"",OR($S$4="(все)",B173=$S$4),IF($S$4="(все)",COUNTIF($U$4:U173,U173),COUNTIFS($U$4:U173,U173,$B$4:B173,B173))=1),MAX($W$3:W172)+1,"")</f>
        <v/>
      </c>
      <c r="X173" s="38" t="str">
        <f t="shared" si="21"/>
        <v/>
      </c>
      <c r="Y173" s="38" t="str">
        <f>IF(AND(A173="Аппарат",C173&lt;&gt;"",OR($S$5="(все)",B173=$S$5)),MAX($Y$3:Y172)+1,"")</f>
        <v/>
      </c>
      <c r="Z173" s="38" t="str">
        <f t="shared" si="22"/>
        <v/>
      </c>
      <c r="AA173" s="38" t="str">
        <f>IF(AND(A173="Модуль",C173&lt;&gt;"",OR($S$6="(все)",B173=$S$6)),MAX($AA$3:AA172)+1,"")</f>
        <v/>
      </c>
      <c r="AB173" s="38" t="str">
        <f t="shared" si="23"/>
        <v/>
      </c>
      <c r="AC173" s="38" t="str">
        <f>IF(OR(B173="",COUNTIF($B$4:B173,B173)&gt;1),"",MAX($AC$3:AC172)+1)</f>
        <v/>
      </c>
      <c r="AD173" s="38" t="str">
        <f t="shared" si="24"/>
        <v/>
      </c>
      <c r="AE173" s="38" t="str">
        <f t="shared" si="25"/>
        <v/>
      </c>
      <c r="AF173" s="38" t="str">
        <f t="shared" si="26"/>
        <v/>
      </c>
    </row>
    <row r="174" spans="1:32" x14ac:dyDescent="0.3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38" t="str">
        <f>IF(OR(A174="Автомат",A174="Дифавтомат"),IF(W174="","",COUNTIFS(Однолинейка!$H$3:$H$3000,U174,Однолинейка!$A$3:$A$3000,Щит_спец)),IF(A174="Аппарат",IF(C174="","",COUNTIFS(Однолинейка!$I$3:$I$3000,C174,Однолинейка!$A$3:$A$3000,Щит_спец)+COUNTIFS(Однолинейка!$J$3:$J$3000,C174,Однолинейка!$A$3:$A$3000,Щит_спец)+COUNTIFS(Однолинейка!$K$3:$K$3000,C174,Однолинейка!$A$3:$A$3000,Щит_спец)),IF(A174="Модуль",IF(C174="","",COUNTIFS(Однолинейка!$AW$3:$AW$3000,"?*",Однолинейка!$AI$3:$AI$3000,C174,Однолинейка!$A$3:$A$3000,Щит_спец)),IF(A174="Клемма",IF(C174="","",IF(C174=$S$7,SUMIFS(Однолинейка!$BW$3:$BW$3000,Однолинейка!$A$3:$A$3000,Щит_спец),IF(C174=$S$8,SUMIFS(Однолинейка!$BX$3:$BX$3000,Однолинейка!$A$3:$A$3000,Щит_спец),""))),""))))</f>
        <v/>
      </c>
      <c r="O174" s="74"/>
      <c r="P174" s="38" t="str">
        <f t="shared" si="18"/>
        <v/>
      </c>
      <c r="U174" s="38" t="str">
        <f t="shared" si="19"/>
        <v/>
      </c>
      <c r="V174" s="38" t="str">
        <f t="shared" si="20"/>
        <v/>
      </c>
      <c r="W174" s="38" t="str">
        <f>IF(AND(U174&lt;&gt;"",OR($S$4="(все)",B174=$S$4),IF($S$4="(все)",COUNTIF($U$4:U174,U174),COUNTIFS($U$4:U174,U174,$B$4:B174,B174))=1),MAX($W$3:W173)+1,"")</f>
        <v/>
      </c>
      <c r="X174" s="38" t="str">
        <f t="shared" si="21"/>
        <v/>
      </c>
      <c r="Y174" s="38" t="str">
        <f>IF(AND(A174="Аппарат",C174&lt;&gt;"",OR($S$5="(все)",B174=$S$5)),MAX($Y$3:Y173)+1,"")</f>
        <v/>
      </c>
      <c r="Z174" s="38" t="str">
        <f t="shared" si="22"/>
        <v/>
      </c>
      <c r="AA174" s="38" t="str">
        <f>IF(AND(A174="Модуль",C174&lt;&gt;"",OR($S$6="(все)",B174=$S$6)),MAX($AA$3:AA173)+1,"")</f>
        <v/>
      </c>
      <c r="AB174" s="38" t="str">
        <f t="shared" si="23"/>
        <v/>
      </c>
      <c r="AC174" s="38" t="str">
        <f>IF(OR(B174="",COUNTIF($B$4:B174,B174)&gt;1),"",MAX($AC$3:AC173)+1)</f>
        <v/>
      </c>
      <c r="AD174" s="38" t="str">
        <f t="shared" si="24"/>
        <v/>
      </c>
      <c r="AE174" s="38" t="str">
        <f t="shared" si="25"/>
        <v/>
      </c>
      <c r="AF174" s="38" t="str">
        <f t="shared" si="26"/>
        <v/>
      </c>
    </row>
    <row r="175" spans="1:32" x14ac:dyDescent="0.3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38" t="str">
        <f>IF(OR(A175="Автомат",A175="Дифавтомат"),IF(W175="","",COUNTIFS(Однолинейка!$H$3:$H$3000,U175,Однолинейка!$A$3:$A$3000,Щит_спец)),IF(A175="Аппарат",IF(C175="","",COUNTIFS(Однолинейка!$I$3:$I$3000,C175,Однолинейка!$A$3:$A$3000,Щит_спец)+COUNTIFS(Однолинейка!$J$3:$J$3000,C175,Однолинейка!$A$3:$A$3000,Щит_спец)+COUNTIFS(Однолинейка!$K$3:$K$3000,C175,Однолинейка!$A$3:$A$3000,Щит_спец)),IF(A175="Модуль",IF(C175="","",COUNTIFS(Однолинейка!$AW$3:$AW$3000,"?*",Однолинейка!$AI$3:$AI$3000,C175,Однолинейка!$A$3:$A$3000,Щит_спец)),IF(A175="Клемма",IF(C175="","",IF(C175=$S$7,SUMIFS(Однолинейка!$BW$3:$BW$3000,Однолинейка!$A$3:$A$3000,Щит_спец),IF(C175=$S$8,SUMIFS(Однолинейка!$BX$3:$BX$3000,Однолинейка!$A$3:$A$3000,Щит_спец),""))),""))))</f>
        <v/>
      </c>
      <c r="O175" s="74"/>
      <c r="P175" s="38" t="str">
        <f t="shared" si="18"/>
        <v/>
      </c>
      <c r="U175" s="38" t="str">
        <f t="shared" si="19"/>
        <v/>
      </c>
      <c r="V175" s="38" t="str">
        <f t="shared" si="20"/>
        <v/>
      </c>
      <c r="W175" s="38" t="str">
        <f>IF(AND(U175&lt;&gt;"",OR($S$4="(все)",B175=$S$4),IF($S$4="(все)",COUNTIF($U$4:U175,U175),COUNTIFS($U$4:U175,U175,$B$4:B175,B175))=1),MAX($W$3:W174)+1,"")</f>
        <v/>
      </c>
      <c r="X175" s="38" t="str">
        <f t="shared" si="21"/>
        <v/>
      </c>
      <c r="Y175" s="38" t="str">
        <f>IF(AND(A175="Аппарат",C175&lt;&gt;"",OR($S$5="(все)",B175=$S$5)),MAX($Y$3:Y174)+1,"")</f>
        <v/>
      </c>
      <c r="Z175" s="38" t="str">
        <f t="shared" si="22"/>
        <v/>
      </c>
      <c r="AA175" s="38" t="str">
        <f>IF(AND(A175="Модуль",C175&lt;&gt;"",OR($S$6="(все)",B175=$S$6)),MAX($AA$3:AA174)+1,"")</f>
        <v/>
      </c>
      <c r="AB175" s="38" t="str">
        <f t="shared" si="23"/>
        <v/>
      </c>
      <c r="AC175" s="38" t="str">
        <f>IF(OR(B175="",COUNTIF($B$4:B175,B175)&gt;1),"",MAX($AC$3:AC174)+1)</f>
        <v/>
      </c>
      <c r="AD175" s="38" t="str">
        <f t="shared" si="24"/>
        <v/>
      </c>
      <c r="AE175" s="38" t="str">
        <f t="shared" si="25"/>
        <v/>
      </c>
      <c r="AF175" s="38" t="str">
        <f t="shared" si="26"/>
        <v/>
      </c>
    </row>
    <row r="176" spans="1:32" x14ac:dyDescent="0.3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38" t="str">
        <f>IF(OR(A176="Автомат",A176="Дифавтомат"),IF(W176="","",COUNTIFS(Однолинейка!$H$3:$H$3000,U176,Однолинейка!$A$3:$A$3000,Щит_спец)),IF(A176="Аппарат",IF(C176="","",COUNTIFS(Однолинейка!$I$3:$I$3000,C176,Однолинейка!$A$3:$A$3000,Щит_спец)+COUNTIFS(Однолинейка!$J$3:$J$3000,C176,Однолинейка!$A$3:$A$3000,Щит_спец)+COUNTIFS(Однолинейка!$K$3:$K$3000,C176,Однолинейка!$A$3:$A$3000,Щит_спец)),IF(A176="Модуль",IF(C176="","",COUNTIFS(Однолинейка!$AW$3:$AW$3000,"?*",Однолинейка!$AI$3:$AI$3000,C176,Однолинейка!$A$3:$A$3000,Щит_спец)),IF(A176="Клемма",IF(C176="","",IF(C176=$S$7,SUMIFS(Однолинейка!$BW$3:$BW$3000,Однолинейка!$A$3:$A$3000,Щит_спец),IF(C176=$S$8,SUMIFS(Однолинейка!$BX$3:$BX$3000,Однолинейка!$A$3:$A$3000,Щит_спец),""))),""))))</f>
        <v/>
      </c>
      <c r="O176" s="74"/>
      <c r="P176" s="38" t="str">
        <f t="shared" si="18"/>
        <v/>
      </c>
      <c r="U176" s="38" t="str">
        <f t="shared" si="19"/>
        <v/>
      </c>
      <c r="V176" s="38" t="str">
        <f t="shared" si="20"/>
        <v/>
      </c>
      <c r="W176" s="38" t="str">
        <f>IF(AND(U176&lt;&gt;"",OR($S$4="(все)",B176=$S$4),IF($S$4="(все)",COUNTIF($U$4:U176,U176),COUNTIFS($U$4:U176,U176,$B$4:B176,B176))=1),MAX($W$3:W175)+1,"")</f>
        <v/>
      </c>
      <c r="X176" s="38" t="str">
        <f t="shared" si="21"/>
        <v/>
      </c>
      <c r="Y176" s="38" t="str">
        <f>IF(AND(A176="Аппарат",C176&lt;&gt;"",OR($S$5="(все)",B176=$S$5)),MAX($Y$3:Y175)+1,"")</f>
        <v/>
      </c>
      <c r="Z176" s="38" t="str">
        <f t="shared" si="22"/>
        <v/>
      </c>
      <c r="AA176" s="38" t="str">
        <f>IF(AND(A176="Модуль",C176&lt;&gt;"",OR($S$6="(все)",B176=$S$6)),MAX($AA$3:AA175)+1,"")</f>
        <v/>
      </c>
      <c r="AB176" s="38" t="str">
        <f t="shared" si="23"/>
        <v/>
      </c>
      <c r="AC176" s="38" t="str">
        <f>IF(OR(B176="",COUNTIF($B$4:B176,B176)&gt;1),"",MAX($AC$3:AC175)+1)</f>
        <v/>
      </c>
      <c r="AD176" s="38" t="str">
        <f t="shared" si="24"/>
        <v/>
      </c>
      <c r="AE176" s="38" t="str">
        <f t="shared" si="25"/>
        <v/>
      </c>
      <c r="AF176" s="38" t="str">
        <f t="shared" si="26"/>
        <v/>
      </c>
    </row>
    <row r="177" spans="1:32" x14ac:dyDescent="0.3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38" t="str">
        <f>IF(OR(A177="Автомат",A177="Дифавтомат"),IF(W177="","",COUNTIFS(Однолинейка!$H$3:$H$3000,U177,Однолинейка!$A$3:$A$3000,Щит_спец)),IF(A177="Аппарат",IF(C177="","",COUNTIFS(Однолинейка!$I$3:$I$3000,C177,Однолинейка!$A$3:$A$3000,Щит_спец)+COUNTIFS(Однолинейка!$J$3:$J$3000,C177,Однолинейка!$A$3:$A$3000,Щит_спец)+COUNTIFS(Однолинейка!$K$3:$K$3000,C177,Однолинейка!$A$3:$A$3000,Щит_спец)),IF(A177="Модуль",IF(C177="","",COUNTIFS(Однолинейка!$AW$3:$AW$3000,"?*",Однолинейка!$AI$3:$AI$3000,C177,Однолинейка!$A$3:$A$3000,Щит_спец)),IF(A177="Клемма",IF(C177="","",IF(C177=$S$7,SUMIFS(Однолинейка!$BW$3:$BW$3000,Однолинейка!$A$3:$A$3000,Щит_спец),IF(C177=$S$8,SUMIFS(Однолинейка!$BX$3:$BX$3000,Однолинейка!$A$3:$A$3000,Щит_спец),""))),""))))</f>
        <v/>
      </c>
      <c r="O177" s="74"/>
      <c r="P177" s="38" t="str">
        <f t="shared" si="18"/>
        <v/>
      </c>
      <c r="U177" s="38" t="str">
        <f t="shared" si="19"/>
        <v/>
      </c>
      <c r="V177" s="38" t="str">
        <f t="shared" si="20"/>
        <v/>
      </c>
      <c r="W177" s="38" t="str">
        <f>IF(AND(U177&lt;&gt;"",OR($S$4="(все)",B177=$S$4),IF($S$4="(все)",COUNTIF($U$4:U177,U177),COUNTIFS($U$4:U177,U177,$B$4:B177,B177))=1),MAX($W$3:W176)+1,"")</f>
        <v/>
      </c>
      <c r="X177" s="38" t="str">
        <f t="shared" si="21"/>
        <v/>
      </c>
      <c r="Y177" s="38" t="str">
        <f>IF(AND(A177="Аппарат",C177&lt;&gt;"",OR($S$5="(все)",B177=$S$5)),MAX($Y$3:Y176)+1,"")</f>
        <v/>
      </c>
      <c r="Z177" s="38" t="str">
        <f t="shared" si="22"/>
        <v/>
      </c>
      <c r="AA177" s="38" t="str">
        <f>IF(AND(A177="Модуль",C177&lt;&gt;"",OR($S$6="(все)",B177=$S$6)),MAX($AA$3:AA176)+1,"")</f>
        <v/>
      </c>
      <c r="AB177" s="38" t="str">
        <f t="shared" si="23"/>
        <v/>
      </c>
      <c r="AC177" s="38" t="str">
        <f>IF(OR(B177="",COUNTIF($B$4:B177,B177)&gt;1),"",MAX($AC$3:AC176)+1)</f>
        <v/>
      </c>
      <c r="AD177" s="38" t="str">
        <f t="shared" si="24"/>
        <v/>
      </c>
      <c r="AE177" s="38" t="str">
        <f t="shared" si="25"/>
        <v/>
      </c>
      <c r="AF177" s="38" t="str">
        <f t="shared" si="26"/>
        <v/>
      </c>
    </row>
    <row r="178" spans="1:32" x14ac:dyDescent="0.3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38" t="str">
        <f>IF(OR(A178="Автомат",A178="Дифавтомат"),IF(W178="","",COUNTIFS(Однолинейка!$H$3:$H$3000,U178,Однолинейка!$A$3:$A$3000,Щит_спец)),IF(A178="Аппарат",IF(C178="","",COUNTIFS(Однолинейка!$I$3:$I$3000,C178,Однолинейка!$A$3:$A$3000,Щит_спец)+COUNTIFS(Однолинейка!$J$3:$J$3000,C178,Однолинейка!$A$3:$A$3000,Щит_спец)+COUNTIFS(Однолинейка!$K$3:$K$3000,C178,Однолинейка!$A$3:$A$3000,Щит_спец)),IF(A178="Модуль",IF(C178="","",COUNTIFS(Однолинейка!$AW$3:$AW$3000,"?*",Однолинейка!$AI$3:$AI$3000,C178,Однолинейка!$A$3:$A$3000,Щит_спец)),IF(A178="Клемма",IF(C178="","",IF(C178=$S$7,SUMIFS(Однолинейка!$BW$3:$BW$3000,Однолинейка!$A$3:$A$3000,Щит_спец),IF(C178=$S$8,SUMIFS(Однолинейка!$BX$3:$BX$3000,Однолинейка!$A$3:$A$3000,Щит_спец),""))),""))))</f>
        <v/>
      </c>
      <c r="O178" s="74"/>
      <c r="P178" s="38" t="str">
        <f t="shared" si="18"/>
        <v/>
      </c>
      <c r="U178" s="38" t="str">
        <f t="shared" si="19"/>
        <v/>
      </c>
      <c r="V178" s="38" t="str">
        <f t="shared" si="20"/>
        <v/>
      </c>
      <c r="W178" s="38" t="str">
        <f>IF(AND(U178&lt;&gt;"",OR($S$4="(все)",B178=$S$4),IF($S$4="(все)",COUNTIF($U$4:U178,U178),COUNTIFS($U$4:U178,U178,$B$4:B178,B178))=1),MAX($W$3:W177)+1,"")</f>
        <v/>
      </c>
      <c r="X178" s="38" t="str">
        <f t="shared" si="21"/>
        <v/>
      </c>
      <c r="Y178" s="38" t="str">
        <f>IF(AND(A178="Аппарат",C178&lt;&gt;"",OR($S$5="(все)",B178=$S$5)),MAX($Y$3:Y177)+1,"")</f>
        <v/>
      </c>
      <c r="Z178" s="38" t="str">
        <f t="shared" si="22"/>
        <v/>
      </c>
      <c r="AA178" s="38" t="str">
        <f>IF(AND(A178="Модуль",C178&lt;&gt;"",OR($S$6="(все)",B178=$S$6)),MAX($AA$3:AA177)+1,"")</f>
        <v/>
      </c>
      <c r="AB178" s="38" t="str">
        <f t="shared" si="23"/>
        <v/>
      </c>
      <c r="AC178" s="38" t="str">
        <f>IF(OR(B178="",COUNTIF($B$4:B178,B178)&gt;1),"",MAX($AC$3:AC177)+1)</f>
        <v/>
      </c>
      <c r="AD178" s="38" t="str">
        <f t="shared" si="24"/>
        <v/>
      </c>
      <c r="AE178" s="38" t="str">
        <f t="shared" si="25"/>
        <v/>
      </c>
      <c r="AF178" s="38" t="str">
        <f t="shared" si="26"/>
        <v/>
      </c>
    </row>
    <row r="179" spans="1:32" x14ac:dyDescent="0.3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38" t="str">
        <f>IF(OR(A179="Автомат",A179="Дифавтомат"),IF(W179="","",COUNTIFS(Однолинейка!$H$3:$H$3000,U179,Однолинейка!$A$3:$A$3000,Щит_спец)),IF(A179="Аппарат",IF(C179="","",COUNTIFS(Однолинейка!$I$3:$I$3000,C179,Однолинейка!$A$3:$A$3000,Щит_спец)+COUNTIFS(Однолинейка!$J$3:$J$3000,C179,Однолинейка!$A$3:$A$3000,Щит_спец)+COUNTIFS(Однолинейка!$K$3:$K$3000,C179,Однолинейка!$A$3:$A$3000,Щит_спец)),IF(A179="Модуль",IF(C179="","",COUNTIFS(Однолинейка!$AW$3:$AW$3000,"?*",Однолинейка!$AI$3:$AI$3000,C179,Однолинейка!$A$3:$A$3000,Щит_спец)),IF(A179="Клемма",IF(C179="","",IF(C179=$S$7,SUMIFS(Однолинейка!$BW$3:$BW$3000,Однолинейка!$A$3:$A$3000,Щит_спец),IF(C179=$S$8,SUMIFS(Однолинейка!$BX$3:$BX$3000,Однолинейка!$A$3:$A$3000,Щит_спец),""))),""))))</f>
        <v/>
      </c>
      <c r="O179" s="74"/>
      <c r="P179" s="38" t="str">
        <f t="shared" si="18"/>
        <v/>
      </c>
      <c r="U179" s="38" t="str">
        <f t="shared" si="19"/>
        <v/>
      </c>
      <c r="V179" s="38" t="str">
        <f t="shared" si="20"/>
        <v/>
      </c>
      <c r="W179" s="38" t="str">
        <f>IF(AND(U179&lt;&gt;"",OR($S$4="(все)",B179=$S$4),IF($S$4="(все)",COUNTIF($U$4:U179,U179),COUNTIFS($U$4:U179,U179,$B$4:B179,B179))=1),MAX($W$3:W178)+1,"")</f>
        <v/>
      </c>
      <c r="X179" s="38" t="str">
        <f t="shared" si="21"/>
        <v/>
      </c>
      <c r="Y179" s="38" t="str">
        <f>IF(AND(A179="Аппарат",C179&lt;&gt;"",OR($S$5="(все)",B179=$S$5)),MAX($Y$3:Y178)+1,"")</f>
        <v/>
      </c>
      <c r="Z179" s="38" t="str">
        <f t="shared" si="22"/>
        <v/>
      </c>
      <c r="AA179" s="38" t="str">
        <f>IF(AND(A179="Модуль",C179&lt;&gt;"",OR($S$6="(все)",B179=$S$6)),MAX($AA$3:AA178)+1,"")</f>
        <v/>
      </c>
      <c r="AB179" s="38" t="str">
        <f t="shared" si="23"/>
        <v/>
      </c>
      <c r="AC179" s="38" t="str">
        <f>IF(OR(B179="",COUNTIF($B$4:B179,B179)&gt;1),"",MAX($AC$3:AC178)+1)</f>
        <v/>
      </c>
      <c r="AD179" s="38" t="str">
        <f t="shared" si="24"/>
        <v/>
      </c>
      <c r="AE179" s="38" t="str">
        <f t="shared" si="25"/>
        <v/>
      </c>
      <c r="AF179" s="38" t="str">
        <f t="shared" si="26"/>
        <v/>
      </c>
    </row>
    <row r="180" spans="1:32" x14ac:dyDescent="0.3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38" t="str">
        <f>IF(OR(A180="Автомат",A180="Дифавтомат"),IF(W180="","",COUNTIFS(Однолинейка!$H$3:$H$3000,U180,Однолинейка!$A$3:$A$3000,Щит_спец)),IF(A180="Аппарат",IF(C180="","",COUNTIFS(Однолинейка!$I$3:$I$3000,C180,Однолинейка!$A$3:$A$3000,Щит_спец)+COUNTIFS(Однолинейка!$J$3:$J$3000,C180,Однолинейка!$A$3:$A$3000,Щит_спец)+COUNTIFS(Однолинейка!$K$3:$K$3000,C180,Однолинейка!$A$3:$A$3000,Щит_спец)),IF(A180="Модуль",IF(C180="","",COUNTIFS(Однолинейка!$AW$3:$AW$3000,"?*",Однолинейка!$AI$3:$AI$3000,C180,Однолинейка!$A$3:$A$3000,Щит_спец)),IF(A180="Клемма",IF(C180="","",IF(C180=$S$7,SUMIFS(Однолинейка!$BW$3:$BW$3000,Однолинейка!$A$3:$A$3000,Щит_спец),IF(C180=$S$8,SUMIFS(Однолинейка!$BX$3:$BX$3000,Однолинейка!$A$3:$A$3000,Щит_спец),""))),""))))</f>
        <v/>
      </c>
      <c r="O180" s="74"/>
      <c r="P180" s="38" t="str">
        <f t="shared" si="18"/>
        <v/>
      </c>
      <c r="U180" s="38" t="str">
        <f t="shared" si="19"/>
        <v/>
      </c>
      <c r="V180" s="38" t="str">
        <f t="shared" si="20"/>
        <v/>
      </c>
      <c r="W180" s="38" t="str">
        <f>IF(AND(U180&lt;&gt;"",OR($S$4="(все)",B180=$S$4),IF($S$4="(все)",COUNTIF($U$4:U180,U180),COUNTIFS($U$4:U180,U180,$B$4:B180,B180))=1),MAX($W$3:W179)+1,"")</f>
        <v/>
      </c>
      <c r="X180" s="38" t="str">
        <f t="shared" si="21"/>
        <v/>
      </c>
      <c r="Y180" s="38" t="str">
        <f>IF(AND(A180="Аппарат",C180&lt;&gt;"",OR($S$5="(все)",B180=$S$5)),MAX($Y$3:Y179)+1,"")</f>
        <v/>
      </c>
      <c r="Z180" s="38" t="str">
        <f t="shared" si="22"/>
        <v/>
      </c>
      <c r="AA180" s="38" t="str">
        <f>IF(AND(A180="Модуль",C180&lt;&gt;"",OR($S$6="(все)",B180=$S$6)),MAX($AA$3:AA179)+1,"")</f>
        <v/>
      </c>
      <c r="AB180" s="38" t="str">
        <f t="shared" si="23"/>
        <v/>
      </c>
      <c r="AC180" s="38" t="str">
        <f>IF(OR(B180="",COUNTIF($B$4:B180,B180)&gt;1),"",MAX($AC$3:AC179)+1)</f>
        <v/>
      </c>
      <c r="AD180" s="38" t="str">
        <f t="shared" si="24"/>
        <v/>
      </c>
      <c r="AE180" s="38" t="str">
        <f t="shared" si="25"/>
        <v/>
      </c>
      <c r="AF180" s="38" t="str">
        <f t="shared" si="26"/>
        <v/>
      </c>
    </row>
    <row r="181" spans="1:32" x14ac:dyDescent="0.3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38" t="str">
        <f>IF(OR(A181="Автомат",A181="Дифавтомат"),IF(W181="","",COUNTIFS(Однолинейка!$H$3:$H$3000,U181,Однолинейка!$A$3:$A$3000,Щит_спец)),IF(A181="Аппарат",IF(C181="","",COUNTIFS(Однолинейка!$I$3:$I$3000,C181,Однолинейка!$A$3:$A$3000,Щит_спец)+COUNTIFS(Однолинейка!$J$3:$J$3000,C181,Однолинейка!$A$3:$A$3000,Щит_спец)+COUNTIFS(Однолинейка!$K$3:$K$3000,C181,Однолинейка!$A$3:$A$3000,Щит_спец)),IF(A181="Модуль",IF(C181="","",COUNTIFS(Однолинейка!$AW$3:$AW$3000,"?*",Однолинейка!$AI$3:$AI$3000,C181,Однолинейка!$A$3:$A$3000,Щит_спец)),IF(A181="Клемма",IF(C181="","",IF(C181=$S$7,SUMIFS(Однолинейка!$BW$3:$BW$3000,Однолинейка!$A$3:$A$3000,Щит_спец),IF(C181=$S$8,SUMIFS(Однолинейка!$BX$3:$BX$3000,Однолинейка!$A$3:$A$3000,Щит_спец),""))),""))))</f>
        <v/>
      </c>
      <c r="O181" s="74"/>
      <c r="P181" s="38" t="str">
        <f t="shared" si="18"/>
        <v/>
      </c>
      <c r="U181" s="38" t="str">
        <f t="shared" si="19"/>
        <v/>
      </c>
      <c r="V181" s="38" t="str">
        <f t="shared" si="20"/>
        <v/>
      </c>
      <c r="W181" s="38" t="str">
        <f>IF(AND(U181&lt;&gt;"",OR($S$4="(все)",B181=$S$4),IF($S$4="(все)",COUNTIF($U$4:U181,U181),COUNTIFS($U$4:U181,U181,$B$4:B181,B181))=1),MAX($W$3:W180)+1,"")</f>
        <v/>
      </c>
      <c r="X181" s="38" t="str">
        <f t="shared" si="21"/>
        <v/>
      </c>
      <c r="Y181" s="38" t="str">
        <f>IF(AND(A181="Аппарат",C181&lt;&gt;"",OR($S$5="(все)",B181=$S$5)),MAX($Y$3:Y180)+1,"")</f>
        <v/>
      </c>
      <c r="Z181" s="38" t="str">
        <f t="shared" si="22"/>
        <v/>
      </c>
      <c r="AA181" s="38" t="str">
        <f>IF(AND(A181="Модуль",C181&lt;&gt;"",OR($S$6="(все)",B181=$S$6)),MAX($AA$3:AA180)+1,"")</f>
        <v/>
      </c>
      <c r="AB181" s="38" t="str">
        <f t="shared" si="23"/>
        <v/>
      </c>
      <c r="AC181" s="38" t="str">
        <f>IF(OR(B181="",COUNTIF($B$4:B181,B181)&gt;1),"",MAX($AC$3:AC180)+1)</f>
        <v/>
      </c>
      <c r="AD181" s="38" t="str">
        <f t="shared" si="24"/>
        <v/>
      </c>
      <c r="AE181" s="38" t="str">
        <f t="shared" si="25"/>
        <v/>
      </c>
      <c r="AF181" s="38" t="str">
        <f t="shared" si="26"/>
        <v/>
      </c>
    </row>
    <row r="182" spans="1:32" x14ac:dyDescent="0.3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38" t="str">
        <f>IF(OR(A182="Автомат",A182="Дифавтомат"),IF(W182="","",COUNTIFS(Однолинейка!$H$3:$H$3000,U182,Однолинейка!$A$3:$A$3000,Щит_спец)),IF(A182="Аппарат",IF(C182="","",COUNTIFS(Однолинейка!$I$3:$I$3000,C182,Однолинейка!$A$3:$A$3000,Щит_спец)+COUNTIFS(Однолинейка!$J$3:$J$3000,C182,Однолинейка!$A$3:$A$3000,Щит_спец)+COUNTIFS(Однолинейка!$K$3:$K$3000,C182,Однолинейка!$A$3:$A$3000,Щит_спец)),IF(A182="Модуль",IF(C182="","",COUNTIFS(Однолинейка!$AW$3:$AW$3000,"?*",Однолинейка!$AI$3:$AI$3000,C182,Однолинейка!$A$3:$A$3000,Щит_спец)),IF(A182="Клемма",IF(C182="","",IF(C182=$S$7,SUMIFS(Однолинейка!$BW$3:$BW$3000,Однолинейка!$A$3:$A$3000,Щит_спец),IF(C182=$S$8,SUMIFS(Однолинейка!$BX$3:$BX$3000,Однолинейка!$A$3:$A$3000,Щит_спец),""))),""))))</f>
        <v/>
      </c>
      <c r="O182" s="74"/>
      <c r="P182" s="38" t="str">
        <f t="shared" si="18"/>
        <v/>
      </c>
      <c r="U182" s="38" t="str">
        <f t="shared" si="19"/>
        <v/>
      </c>
      <c r="V182" s="38" t="str">
        <f t="shared" si="20"/>
        <v/>
      </c>
      <c r="W182" s="38" t="str">
        <f>IF(AND(U182&lt;&gt;"",OR($S$4="(все)",B182=$S$4),IF($S$4="(все)",COUNTIF($U$4:U182,U182),COUNTIFS($U$4:U182,U182,$B$4:B182,B182))=1),MAX($W$3:W181)+1,"")</f>
        <v/>
      </c>
      <c r="X182" s="38" t="str">
        <f t="shared" si="21"/>
        <v/>
      </c>
      <c r="Y182" s="38" t="str">
        <f>IF(AND(A182="Аппарат",C182&lt;&gt;"",OR($S$5="(все)",B182=$S$5)),MAX($Y$3:Y181)+1,"")</f>
        <v/>
      </c>
      <c r="Z182" s="38" t="str">
        <f t="shared" si="22"/>
        <v/>
      </c>
      <c r="AA182" s="38" t="str">
        <f>IF(AND(A182="Модуль",C182&lt;&gt;"",OR($S$6="(все)",B182=$S$6)),MAX($AA$3:AA181)+1,"")</f>
        <v/>
      </c>
      <c r="AB182" s="38" t="str">
        <f t="shared" si="23"/>
        <v/>
      </c>
      <c r="AC182" s="38" t="str">
        <f>IF(OR(B182="",COUNTIF($B$4:B182,B182)&gt;1),"",MAX($AC$3:AC181)+1)</f>
        <v/>
      </c>
      <c r="AD182" s="38" t="str">
        <f t="shared" si="24"/>
        <v/>
      </c>
      <c r="AE182" s="38" t="str">
        <f t="shared" si="25"/>
        <v/>
      </c>
      <c r="AF182" s="38" t="str">
        <f t="shared" si="26"/>
        <v/>
      </c>
    </row>
    <row r="183" spans="1:32" x14ac:dyDescent="0.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38" t="str">
        <f>IF(OR(A183="Автомат",A183="Дифавтомат"),IF(W183="","",COUNTIFS(Однолинейка!$H$3:$H$3000,U183,Однолинейка!$A$3:$A$3000,Щит_спец)),IF(A183="Аппарат",IF(C183="","",COUNTIFS(Однолинейка!$I$3:$I$3000,C183,Однолинейка!$A$3:$A$3000,Щит_спец)+COUNTIFS(Однолинейка!$J$3:$J$3000,C183,Однолинейка!$A$3:$A$3000,Щит_спец)+COUNTIFS(Однолинейка!$K$3:$K$3000,C183,Однолинейка!$A$3:$A$3000,Щит_спец)),IF(A183="Модуль",IF(C183="","",COUNTIFS(Однолинейка!$AW$3:$AW$3000,"?*",Однолинейка!$AI$3:$AI$3000,C183,Однолинейка!$A$3:$A$3000,Щит_спец)),IF(A183="Клемма",IF(C183="","",IF(C183=$S$7,SUMIFS(Однолинейка!$BW$3:$BW$3000,Однолинейка!$A$3:$A$3000,Щит_спец),IF(C183=$S$8,SUMIFS(Однолинейка!$BX$3:$BX$3000,Однолинейка!$A$3:$A$3000,Щит_спец),""))),""))))</f>
        <v/>
      </c>
      <c r="O183" s="74"/>
      <c r="P183" s="38" t="str">
        <f t="shared" si="18"/>
        <v/>
      </c>
      <c r="U183" s="38" t="str">
        <f t="shared" si="19"/>
        <v/>
      </c>
      <c r="V183" s="38" t="str">
        <f t="shared" si="20"/>
        <v/>
      </c>
      <c r="W183" s="38" t="str">
        <f>IF(AND(U183&lt;&gt;"",OR($S$4="(все)",B183=$S$4),IF($S$4="(все)",COUNTIF($U$4:U183,U183),COUNTIFS($U$4:U183,U183,$B$4:B183,B183))=1),MAX($W$3:W182)+1,"")</f>
        <v/>
      </c>
      <c r="X183" s="38" t="str">
        <f t="shared" si="21"/>
        <v/>
      </c>
      <c r="Y183" s="38" t="str">
        <f>IF(AND(A183="Аппарат",C183&lt;&gt;"",OR($S$5="(все)",B183=$S$5)),MAX($Y$3:Y182)+1,"")</f>
        <v/>
      </c>
      <c r="Z183" s="38" t="str">
        <f t="shared" si="22"/>
        <v/>
      </c>
      <c r="AA183" s="38" t="str">
        <f>IF(AND(A183="Модуль",C183&lt;&gt;"",OR($S$6="(все)",B183=$S$6)),MAX($AA$3:AA182)+1,"")</f>
        <v/>
      </c>
      <c r="AB183" s="38" t="str">
        <f t="shared" si="23"/>
        <v/>
      </c>
      <c r="AC183" s="38" t="str">
        <f>IF(OR(B183="",COUNTIF($B$4:B183,B183)&gt;1),"",MAX($AC$3:AC182)+1)</f>
        <v/>
      </c>
      <c r="AD183" s="38" t="str">
        <f t="shared" si="24"/>
        <v/>
      </c>
      <c r="AE183" s="38" t="str">
        <f t="shared" si="25"/>
        <v/>
      </c>
      <c r="AF183" s="38" t="str">
        <f t="shared" si="26"/>
        <v/>
      </c>
    </row>
    <row r="184" spans="1:32" x14ac:dyDescent="0.3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38" t="str">
        <f>IF(OR(A184="Автомат",A184="Дифавтомат"),IF(W184="","",COUNTIFS(Однолинейка!$H$3:$H$3000,U184,Однолинейка!$A$3:$A$3000,Щит_спец)),IF(A184="Аппарат",IF(C184="","",COUNTIFS(Однолинейка!$I$3:$I$3000,C184,Однолинейка!$A$3:$A$3000,Щит_спец)+COUNTIFS(Однолинейка!$J$3:$J$3000,C184,Однолинейка!$A$3:$A$3000,Щит_спец)+COUNTIFS(Однолинейка!$K$3:$K$3000,C184,Однолинейка!$A$3:$A$3000,Щит_спец)),IF(A184="Модуль",IF(C184="","",COUNTIFS(Однолинейка!$AW$3:$AW$3000,"?*",Однолинейка!$AI$3:$AI$3000,C184,Однолинейка!$A$3:$A$3000,Щит_спец)),IF(A184="Клемма",IF(C184="","",IF(C184=$S$7,SUMIFS(Однолинейка!$BW$3:$BW$3000,Однолинейка!$A$3:$A$3000,Щит_спец),IF(C184=$S$8,SUMIFS(Однолинейка!$BX$3:$BX$3000,Однолинейка!$A$3:$A$3000,Щит_спец),""))),""))))</f>
        <v/>
      </c>
      <c r="O184" s="74"/>
      <c r="P184" s="38" t="str">
        <f t="shared" si="18"/>
        <v/>
      </c>
      <c r="U184" s="38" t="str">
        <f t="shared" si="19"/>
        <v/>
      </c>
      <c r="V184" s="38" t="str">
        <f t="shared" si="20"/>
        <v/>
      </c>
      <c r="W184" s="38" t="str">
        <f>IF(AND(U184&lt;&gt;"",OR($S$4="(все)",B184=$S$4),IF($S$4="(все)",COUNTIF($U$4:U184,U184),COUNTIFS($U$4:U184,U184,$B$4:B184,B184))=1),MAX($W$3:W183)+1,"")</f>
        <v/>
      </c>
      <c r="X184" s="38" t="str">
        <f t="shared" si="21"/>
        <v/>
      </c>
      <c r="Y184" s="38" t="str">
        <f>IF(AND(A184="Аппарат",C184&lt;&gt;"",OR($S$5="(все)",B184=$S$5)),MAX($Y$3:Y183)+1,"")</f>
        <v/>
      </c>
      <c r="Z184" s="38" t="str">
        <f t="shared" si="22"/>
        <v/>
      </c>
      <c r="AA184" s="38" t="str">
        <f>IF(AND(A184="Модуль",C184&lt;&gt;"",OR($S$6="(все)",B184=$S$6)),MAX($AA$3:AA183)+1,"")</f>
        <v/>
      </c>
      <c r="AB184" s="38" t="str">
        <f t="shared" si="23"/>
        <v/>
      </c>
      <c r="AC184" s="38" t="str">
        <f>IF(OR(B184="",COUNTIF($B$4:B184,B184)&gt;1),"",MAX($AC$3:AC183)+1)</f>
        <v/>
      </c>
      <c r="AD184" s="38" t="str">
        <f t="shared" si="24"/>
        <v/>
      </c>
      <c r="AE184" s="38" t="str">
        <f t="shared" si="25"/>
        <v/>
      </c>
      <c r="AF184" s="38" t="str">
        <f t="shared" si="26"/>
        <v/>
      </c>
    </row>
    <row r="185" spans="1:32" x14ac:dyDescent="0.3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38" t="str">
        <f>IF(OR(A185="Автомат",A185="Дифавтомат"),IF(W185="","",COUNTIFS(Однолинейка!$H$3:$H$3000,U185,Однолинейка!$A$3:$A$3000,Щит_спец)),IF(A185="Аппарат",IF(C185="","",COUNTIFS(Однолинейка!$I$3:$I$3000,C185,Однолинейка!$A$3:$A$3000,Щит_спец)+COUNTIFS(Однолинейка!$J$3:$J$3000,C185,Однолинейка!$A$3:$A$3000,Щит_спец)+COUNTIFS(Однолинейка!$K$3:$K$3000,C185,Однолинейка!$A$3:$A$3000,Щит_спец)),IF(A185="Модуль",IF(C185="","",COUNTIFS(Однолинейка!$AW$3:$AW$3000,"?*",Однолинейка!$AI$3:$AI$3000,C185,Однолинейка!$A$3:$A$3000,Щит_спец)),IF(A185="Клемма",IF(C185="","",IF(C185=$S$7,SUMIFS(Однолинейка!$BW$3:$BW$3000,Однолинейка!$A$3:$A$3000,Щит_спец),IF(C185=$S$8,SUMIFS(Однолинейка!$BX$3:$BX$3000,Однолинейка!$A$3:$A$3000,Щит_спец),""))),""))))</f>
        <v/>
      </c>
      <c r="O185" s="74"/>
      <c r="P185" s="38" t="str">
        <f t="shared" si="18"/>
        <v/>
      </c>
      <c r="U185" s="38" t="str">
        <f t="shared" si="19"/>
        <v/>
      </c>
      <c r="V185" s="38" t="str">
        <f t="shared" si="20"/>
        <v/>
      </c>
      <c r="W185" s="38" t="str">
        <f>IF(AND(U185&lt;&gt;"",OR($S$4="(все)",B185=$S$4),IF($S$4="(все)",COUNTIF($U$4:U185,U185),COUNTIFS($U$4:U185,U185,$B$4:B185,B185))=1),MAX($W$3:W184)+1,"")</f>
        <v/>
      </c>
      <c r="X185" s="38" t="str">
        <f t="shared" si="21"/>
        <v/>
      </c>
      <c r="Y185" s="38" t="str">
        <f>IF(AND(A185="Аппарат",C185&lt;&gt;"",OR($S$5="(все)",B185=$S$5)),MAX($Y$3:Y184)+1,"")</f>
        <v/>
      </c>
      <c r="Z185" s="38" t="str">
        <f t="shared" si="22"/>
        <v/>
      </c>
      <c r="AA185" s="38" t="str">
        <f>IF(AND(A185="Модуль",C185&lt;&gt;"",OR($S$6="(все)",B185=$S$6)),MAX($AA$3:AA184)+1,"")</f>
        <v/>
      </c>
      <c r="AB185" s="38" t="str">
        <f t="shared" si="23"/>
        <v/>
      </c>
      <c r="AC185" s="38" t="str">
        <f>IF(OR(B185="",COUNTIF($B$4:B185,B185)&gt;1),"",MAX($AC$3:AC184)+1)</f>
        <v/>
      </c>
      <c r="AD185" s="38" t="str">
        <f t="shared" si="24"/>
        <v/>
      </c>
      <c r="AE185" s="38" t="str">
        <f t="shared" si="25"/>
        <v/>
      </c>
      <c r="AF185" s="38" t="str">
        <f t="shared" si="26"/>
        <v/>
      </c>
    </row>
    <row r="186" spans="1:32" x14ac:dyDescent="0.3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38" t="str">
        <f>IF(OR(A186="Автомат",A186="Дифавтомат"),IF(W186="","",COUNTIFS(Однолинейка!$H$3:$H$3000,U186,Однолинейка!$A$3:$A$3000,Щит_спец)),IF(A186="Аппарат",IF(C186="","",COUNTIFS(Однолинейка!$I$3:$I$3000,C186,Однолинейка!$A$3:$A$3000,Щит_спец)+COUNTIFS(Однолинейка!$J$3:$J$3000,C186,Однолинейка!$A$3:$A$3000,Щит_спец)+COUNTIFS(Однолинейка!$K$3:$K$3000,C186,Однолинейка!$A$3:$A$3000,Щит_спец)),IF(A186="Модуль",IF(C186="","",COUNTIFS(Однолинейка!$AW$3:$AW$3000,"?*",Однолинейка!$AI$3:$AI$3000,C186,Однолинейка!$A$3:$A$3000,Щит_спец)),IF(A186="Клемма",IF(C186="","",IF(C186=$S$7,SUMIFS(Однолинейка!$BW$3:$BW$3000,Однолинейка!$A$3:$A$3000,Щит_спец),IF(C186=$S$8,SUMIFS(Однолинейка!$BX$3:$BX$3000,Однолинейка!$A$3:$A$3000,Щит_спец),""))),""))))</f>
        <v/>
      </c>
      <c r="O186" s="74"/>
      <c r="P186" s="38" t="str">
        <f t="shared" si="18"/>
        <v/>
      </c>
      <c r="U186" s="38" t="str">
        <f t="shared" si="19"/>
        <v/>
      </c>
      <c r="V186" s="38" t="str">
        <f t="shared" si="20"/>
        <v/>
      </c>
      <c r="W186" s="38" t="str">
        <f>IF(AND(U186&lt;&gt;"",OR($S$4="(все)",B186=$S$4),IF($S$4="(все)",COUNTIF($U$4:U186,U186),COUNTIFS($U$4:U186,U186,$B$4:B186,B186))=1),MAX($W$3:W185)+1,"")</f>
        <v/>
      </c>
      <c r="X186" s="38" t="str">
        <f t="shared" si="21"/>
        <v/>
      </c>
      <c r="Y186" s="38" t="str">
        <f>IF(AND(A186="Аппарат",C186&lt;&gt;"",OR($S$5="(все)",B186=$S$5)),MAX($Y$3:Y185)+1,"")</f>
        <v/>
      </c>
      <c r="Z186" s="38" t="str">
        <f t="shared" si="22"/>
        <v/>
      </c>
      <c r="AA186" s="38" t="str">
        <f>IF(AND(A186="Модуль",C186&lt;&gt;"",OR($S$6="(все)",B186=$S$6)),MAX($AA$3:AA185)+1,"")</f>
        <v/>
      </c>
      <c r="AB186" s="38" t="str">
        <f t="shared" si="23"/>
        <v/>
      </c>
      <c r="AC186" s="38" t="str">
        <f>IF(OR(B186="",COUNTIF($B$4:B186,B186)&gt;1),"",MAX($AC$3:AC185)+1)</f>
        <v/>
      </c>
      <c r="AD186" s="38" t="str">
        <f t="shared" si="24"/>
        <v/>
      </c>
      <c r="AE186" s="38" t="str">
        <f t="shared" si="25"/>
        <v/>
      </c>
      <c r="AF186" s="38" t="str">
        <f t="shared" si="26"/>
        <v/>
      </c>
    </row>
    <row r="187" spans="1:32" x14ac:dyDescent="0.3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38" t="str">
        <f>IF(OR(A187="Автомат",A187="Дифавтомат"),IF(W187="","",COUNTIFS(Однолинейка!$H$3:$H$3000,U187,Однолинейка!$A$3:$A$3000,Щит_спец)),IF(A187="Аппарат",IF(C187="","",COUNTIFS(Однолинейка!$I$3:$I$3000,C187,Однолинейка!$A$3:$A$3000,Щит_спец)+COUNTIFS(Однолинейка!$J$3:$J$3000,C187,Однолинейка!$A$3:$A$3000,Щит_спец)+COUNTIFS(Однолинейка!$K$3:$K$3000,C187,Однолинейка!$A$3:$A$3000,Щит_спец)),IF(A187="Модуль",IF(C187="","",COUNTIFS(Однолинейка!$AW$3:$AW$3000,"?*",Однолинейка!$AI$3:$AI$3000,C187,Однолинейка!$A$3:$A$3000,Щит_спец)),IF(A187="Клемма",IF(C187="","",IF(C187=$S$7,SUMIFS(Однолинейка!$BW$3:$BW$3000,Однолинейка!$A$3:$A$3000,Щит_спец),IF(C187=$S$8,SUMIFS(Однолинейка!$BX$3:$BX$3000,Однолинейка!$A$3:$A$3000,Щит_спец),""))),""))))</f>
        <v/>
      </c>
      <c r="O187" s="74"/>
      <c r="P187" s="38" t="str">
        <f t="shared" si="18"/>
        <v/>
      </c>
      <c r="U187" s="38" t="str">
        <f t="shared" si="19"/>
        <v/>
      </c>
      <c r="V187" s="38" t="str">
        <f t="shared" si="20"/>
        <v/>
      </c>
      <c r="W187" s="38" t="str">
        <f>IF(AND(U187&lt;&gt;"",OR($S$4="(все)",B187=$S$4),IF($S$4="(все)",COUNTIF($U$4:U187,U187),COUNTIFS($U$4:U187,U187,$B$4:B187,B187))=1),MAX($W$3:W186)+1,"")</f>
        <v/>
      </c>
      <c r="X187" s="38" t="str">
        <f t="shared" si="21"/>
        <v/>
      </c>
      <c r="Y187" s="38" t="str">
        <f>IF(AND(A187="Аппарат",C187&lt;&gt;"",OR($S$5="(все)",B187=$S$5)),MAX($Y$3:Y186)+1,"")</f>
        <v/>
      </c>
      <c r="Z187" s="38" t="str">
        <f t="shared" si="22"/>
        <v/>
      </c>
      <c r="AA187" s="38" t="str">
        <f>IF(AND(A187="Модуль",C187&lt;&gt;"",OR($S$6="(все)",B187=$S$6)),MAX($AA$3:AA186)+1,"")</f>
        <v/>
      </c>
      <c r="AB187" s="38" t="str">
        <f t="shared" si="23"/>
        <v/>
      </c>
      <c r="AC187" s="38" t="str">
        <f>IF(OR(B187="",COUNTIF($B$4:B187,B187)&gt;1),"",MAX($AC$3:AC186)+1)</f>
        <v/>
      </c>
      <c r="AD187" s="38" t="str">
        <f t="shared" si="24"/>
        <v/>
      </c>
      <c r="AE187" s="38" t="str">
        <f t="shared" si="25"/>
        <v/>
      </c>
      <c r="AF187" s="38" t="str">
        <f t="shared" si="26"/>
        <v/>
      </c>
    </row>
    <row r="188" spans="1:32" x14ac:dyDescent="0.3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38" t="str">
        <f>IF(OR(A188="Автомат",A188="Дифавтомат"),IF(W188="","",COUNTIFS(Однолинейка!$H$3:$H$3000,U188,Однолинейка!$A$3:$A$3000,Щит_спец)),IF(A188="Аппарат",IF(C188="","",COUNTIFS(Однолинейка!$I$3:$I$3000,C188,Однолинейка!$A$3:$A$3000,Щит_спец)+COUNTIFS(Однолинейка!$J$3:$J$3000,C188,Однолинейка!$A$3:$A$3000,Щит_спец)+COUNTIFS(Однолинейка!$K$3:$K$3000,C188,Однолинейка!$A$3:$A$3000,Щит_спец)),IF(A188="Модуль",IF(C188="","",COUNTIFS(Однолинейка!$AW$3:$AW$3000,"?*",Однолинейка!$AI$3:$AI$3000,C188,Однолинейка!$A$3:$A$3000,Щит_спец)),IF(A188="Клемма",IF(C188="","",IF(C188=$S$7,SUMIFS(Однолинейка!$BW$3:$BW$3000,Однолинейка!$A$3:$A$3000,Щит_спец),IF(C188=$S$8,SUMIFS(Однолинейка!$BX$3:$BX$3000,Однолинейка!$A$3:$A$3000,Щит_спец),""))),""))))</f>
        <v/>
      </c>
      <c r="O188" s="74"/>
      <c r="P188" s="38" t="str">
        <f t="shared" si="18"/>
        <v/>
      </c>
      <c r="U188" s="38" t="str">
        <f t="shared" si="19"/>
        <v/>
      </c>
      <c r="V188" s="38" t="str">
        <f t="shared" si="20"/>
        <v/>
      </c>
      <c r="W188" s="38" t="str">
        <f>IF(AND(U188&lt;&gt;"",OR($S$4="(все)",B188=$S$4),IF($S$4="(все)",COUNTIF($U$4:U188,U188),COUNTIFS($U$4:U188,U188,$B$4:B188,B188))=1),MAX($W$3:W187)+1,"")</f>
        <v/>
      </c>
      <c r="X188" s="38" t="str">
        <f t="shared" si="21"/>
        <v/>
      </c>
      <c r="Y188" s="38" t="str">
        <f>IF(AND(A188="Аппарат",C188&lt;&gt;"",OR($S$5="(все)",B188=$S$5)),MAX($Y$3:Y187)+1,"")</f>
        <v/>
      </c>
      <c r="Z188" s="38" t="str">
        <f t="shared" si="22"/>
        <v/>
      </c>
      <c r="AA188" s="38" t="str">
        <f>IF(AND(A188="Модуль",C188&lt;&gt;"",OR($S$6="(все)",B188=$S$6)),MAX($AA$3:AA187)+1,"")</f>
        <v/>
      </c>
      <c r="AB188" s="38" t="str">
        <f t="shared" si="23"/>
        <v/>
      </c>
      <c r="AC188" s="38" t="str">
        <f>IF(OR(B188="",COUNTIF($B$4:B188,B188)&gt;1),"",MAX($AC$3:AC187)+1)</f>
        <v/>
      </c>
      <c r="AD188" s="38" t="str">
        <f t="shared" si="24"/>
        <v/>
      </c>
      <c r="AE188" s="38" t="str">
        <f t="shared" si="25"/>
        <v/>
      </c>
      <c r="AF188" s="38" t="str">
        <f t="shared" si="26"/>
        <v/>
      </c>
    </row>
    <row r="189" spans="1:32" x14ac:dyDescent="0.3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38" t="str">
        <f>IF(OR(A189="Автомат",A189="Дифавтомат"),IF(W189="","",COUNTIFS(Однолинейка!$H$3:$H$3000,U189,Однолинейка!$A$3:$A$3000,Щит_спец)),IF(A189="Аппарат",IF(C189="","",COUNTIFS(Однолинейка!$I$3:$I$3000,C189,Однолинейка!$A$3:$A$3000,Щит_спец)+COUNTIFS(Однолинейка!$J$3:$J$3000,C189,Однолинейка!$A$3:$A$3000,Щит_спец)+COUNTIFS(Однолинейка!$K$3:$K$3000,C189,Однолинейка!$A$3:$A$3000,Щит_спец)),IF(A189="Модуль",IF(C189="","",COUNTIFS(Однолинейка!$AW$3:$AW$3000,"?*",Однолинейка!$AI$3:$AI$3000,C189,Однолинейка!$A$3:$A$3000,Щит_спец)),IF(A189="Клемма",IF(C189="","",IF(C189=$S$7,SUMIFS(Однолинейка!$BW$3:$BW$3000,Однолинейка!$A$3:$A$3000,Щит_спец),IF(C189=$S$8,SUMIFS(Однолинейка!$BX$3:$BX$3000,Однолинейка!$A$3:$A$3000,Щит_спец),""))),""))))</f>
        <v/>
      </c>
      <c r="O189" s="74"/>
      <c r="P189" s="38" t="str">
        <f t="shared" si="18"/>
        <v/>
      </c>
      <c r="U189" s="38" t="str">
        <f t="shared" si="19"/>
        <v/>
      </c>
      <c r="V189" s="38" t="str">
        <f t="shared" si="20"/>
        <v/>
      </c>
      <c r="W189" s="38" t="str">
        <f>IF(AND(U189&lt;&gt;"",OR($S$4="(все)",B189=$S$4),IF($S$4="(все)",COUNTIF($U$4:U189,U189),COUNTIFS($U$4:U189,U189,$B$4:B189,B189))=1),MAX($W$3:W188)+1,"")</f>
        <v/>
      </c>
      <c r="X189" s="38" t="str">
        <f t="shared" si="21"/>
        <v/>
      </c>
      <c r="Y189" s="38" t="str">
        <f>IF(AND(A189="Аппарат",C189&lt;&gt;"",OR($S$5="(все)",B189=$S$5)),MAX($Y$3:Y188)+1,"")</f>
        <v/>
      </c>
      <c r="Z189" s="38" t="str">
        <f t="shared" si="22"/>
        <v/>
      </c>
      <c r="AA189" s="38" t="str">
        <f>IF(AND(A189="Модуль",C189&lt;&gt;"",OR($S$6="(все)",B189=$S$6)),MAX($AA$3:AA188)+1,"")</f>
        <v/>
      </c>
      <c r="AB189" s="38" t="str">
        <f t="shared" si="23"/>
        <v/>
      </c>
      <c r="AC189" s="38" t="str">
        <f>IF(OR(B189="",COUNTIF($B$4:B189,B189)&gt;1),"",MAX($AC$3:AC188)+1)</f>
        <v/>
      </c>
      <c r="AD189" s="38" t="str">
        <f t="shared" si="24"/>
        <v/>
      </c>
      <c r="AE189" s="38" t="str">
        <f t="shared" si="25"/>
        <v/>
      </c>
      <c r="AF189" s="38" t="str">
        <f t="shared" si="26"/>
        <v/>
      </c>
    </row>
    <row r="190" spans="1:32" x14ac:dyDescent="0.3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38" t="str">
        <f>IF(OR(A190="Автомат",A190="Дифавтомат"),IF(W190="","",COUNTIFS(Однолинейка!$H$3:$H$3000,U190,Однолинейка!$A$3:$A$3000,Щит_спец)),IF(A190="Аппарат",IF(C190="","",COUNTIFS(Однолинейка!$I$3:$I$3000,C190,Однолинейка!$A$3:$A$3000,Щит_спец)+COUNTIFS(Однолинейка!$J$3:$J$3000,C190,Однолинейка!$A$3:$A$3000,Щит_спец)+COUNTIFS(Однолинейка!$K$3:$K$3000,C190,Однолинейка!$A$3:$A$3000,Щит_спец)),IF(A190="Модуль",IF(C190="","",COUNTIFS(Однолинейка!$AW$3:$AW$3000,"?*",Однолинейка!$AI$3:$AI$3000,C190,Однолинейка!$A$3:$A$3000,Щит_спец)),IF(A190="Клемма",IF(C190="","",IF(C190=$S$7,SUMIFS(Однолинейка!$BW$3:$BW$3000,Однолинейка!$A$3:$A$3000,Щит_спец),IF(C190=$S$8,SUMIFS(Однолинейка!$BX$3:$BX$3000,Однолинейка!$A$3:$A$3000,Щит_спец),""))),""))))</f>
        <v/>
      </c>
      <c r="O190" s="74"/>
      <c r="P190" s="38" t="str">
        <f t="shared" si="18"/>
        <v/>
      </c>
      <c r="U190" s="38" t="str">
        <f t="shared" si="19"/>
        <v/>
      </c>
      <c r="V190" s="38" t="str">
        <f t="shared" si="20"/>
        <v/>
      </c>
      <c r="W190" s="38" t="str">
        <f>IF(AND(U190&lt;&gt;"",OR($S$4="(все)",B190=$S$4),IF($S$4="(все)",COUNTIF($U$4:U190,U190),COUNTIFS($U$4:U190,U190,$B$4:B190,B190))=1),MAX($W$3:W189)+1,"")</f>
        <v/>
      </c>
      <c r="X190" s="38" t="str">
        <f t="shared" si="21"/>
        <v/>
      </c>
      <c r="Y190" s="38" t="str">
        <f>IF(AND(A190="Аппарат",C190&lt;&gt;"",OR($S$5="(все)",B190=$S$5)),MAX($Y$3:Y189)+1,"")</f>
        <v/>
      </c>
      <c r="Z190" s="38" t="str">
        <f t="shared" si="22"/>
        <v/>
      </c>
      <c r="AA190" s="38" t="str">
        <f>IF(AND(A190="Модуль",C190&lt;&gt;"",OR($S$6="(все)",B190=$S$6)),MAX($AA$3:AA189)+1,"")</f>
        <v/>
      </c>
      <c r="AB190" s="38" t="str">
        <f t="shared" si="23"/>
        <v/>
      </c>
      <c r="AC190" s="38" t="str">
        <f>IF(OR(B190="",COUNTIF($B$4:B190,B190)&gt;1),"",MAX($AC$3:AC189)+1)</f>
        <v/>
      </c>
      <c r="AD190" s="38" t="str">
        <f t="shared" si="24"/>
        <v/>
      </c>
      <c r="AE190" s="38" t="str">
        <f t="shared" si="25"/>
        <v/>
      </c>
      <c r="AF190" s="38" t="str">
        <f t="shared" si="26"/>
        <v/>
      </c>
    </row>
    <row r="191" spans="1:32" x14ac:dyDescent="0.3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38" t="str">
        <f>IF(OR(A191="Автомат",A191="Дифавтомат"),IF(W191="","",COUNTIFS(Однолинейка!$H$3:$H$3000,U191,Однолинейка!$A$3:$A$3000,Щит_спец)),IF(A191="Аппарат",IF(C191="","",COUNTIFS(Однолинейка!$I$3:$I$3000,C191,Однолинейка!$A$3:$A$3000,Щит_спец)+COUNTIFS(Однолинейка!$J$3:$J$3000,C191,Однолинейка!$A$3:$A$3000,Щит_спец)+COUNTIFS(Однолинейка!$K$3:$K$3000,C191,Однолинейка!$A$3:$A$3000,Щит_спец)),IF(A191="Модуль",IF(C191="","",COUNTIFS(Однолинейка!$AW$3:$AW$3000,"?*",Однолинейка!$AI$3:$AI$3000,C191,Однолинейка!$A$3:$A$3000,Щит_спец)),IF(A191="Клемма",IF(C191="","",IF(C191=$S$7,SUMIFS(Однолинейка!$BW$3:$BW$3000,Однолинейка!$A$3:$A$3000,Щит_спец),IF(C191=$S$8,SUMIFS(Однолинейка!$BX$3:$BX$3000,Однолинейка!$A$3:$A$3000,Щит_спец),""))),""))))</f>
        <v/>
      </c>
      <c r="O191" s="74"/>
      <c r="P191" s="38" t="str">
        <f t="shared" si="18"/>
        <v/>
      </c>
      <c r="U191" s="38" t="str">
        <f t="shared" si="19"/>
        <v/>
      </c>
      <c r="V191" s="38" t="str">
        <f t="shared" si="20"/>
        <v/>
      </c>
      <c r="W191" s="38" t="str">
        <f>IF(AND(U191&lt;&gt;"",OR($S$4="(все)",B191=$S$4),IF($S$4="(все)",COUNTIF($U$4:U191,U191),COUNTIFS($U$4:U191,U191,$B$4:B191,B191))=1),MAX($W$3:W190)+1,"")</f>
        <v/>
      </c>
      <c r="X191" s="38" t="str">
        <f t="shared" si="21"/>
        <v/>
      </c>
      <c r="Y191" s="38" t="str">
        <f>IF(AND(A191="Аппарат",C191&lt;&gt;"",OR($S$5="(все)",B191=$S$5)),MAX($Y$3:Y190)+1,"")</f>
        <v/>
      </c>
      <c r="Z191" s="38" t="str">
        <f t="shared" si="22"/>
        <v/>
      </c>
      <c r="AA191" s="38" t="str">
        <f>IF(AND(A191="Модуль",C191&lt;&gt;"",OR($S$6="(все)",B191=$S$6)),MAX($AA$3:AA190)+1,"")</f>
        <v/>
      </c>
      <c r="AB191" s="38" t="str">
        <f t="shared" si="23"/>
        <v/>
      </c>
      <c r="AC191" s="38" t="str">
        <f>IF(OR(B191="",COUNTIF($B$4:B191,B191)&gt;1),"",MAX($AC$3:AC190)+1)</f>
        <v/>
      </c>
      <c r="AD191" s="38" t="str">
        <f t="shared" si="24"/>
        <v/>
      </c>
      <c r="AE191" s="38" t="str">
        <f t="shared" si="25"/>
        <v/>
      </c>
      <c r="AF191" s="38" t="str">
        <f t="shared" si="26"/>
        <v/>
      </c>
    </row>
    <row r="192" spans="1:32" x14ac:dyDescent="0.3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38" t="str">
        <f>IF(OR(A192="Автомат",A192="Дифавтомат"),IF(W192="","",COUNTIFS(Однолинейка!$H$3:$H$3000,U192,Однолинейка!$A$3:$A$3000,Щит_спец)),IF(A192="Аппарат",IF(C192="","",COUNTIFS(Однолинейка!$I$3:$I$3000,C192,Однолинейка!$A$3:$A$3000,Щит_спец)+COUNTIFS(Однолинейка!$J$3:$J$3000,C192,Однолинейка!$A$3:$A$3000,Щит_спец)+COUNTIFS(Однолинейка!$K$3:$K$3000,C192,Однолинейка!$A$3:$A$3000,Щит_спец)),IF(A192="Модуль",IF(C192="","",COUNTIFS(Однолинейка!$AW$3:$AW$3000,"?*",Однолинейка!$AI$3:$AI$3000,C192,Однолинейка!$A$3:$A$3000,Щит_спец)),IF(A192="Клемма",IF(C192="","",IF(C192=$S$7,SUMIFS(Однолинейка!$BW$3:$BW$3000,Однолинейка!$A$3:$A$3000,Щит_спец),IF(C192=$S$8,SUMIFS(Однолинейка!$BX$3:$BX$3000,Однолинейка!$A$3:$A$3000,Щит_спец),""))),""))))</f>
        <v/>
      </c>
      <c r="O192" s="74"/>
      <c r="P192" s="38" t="str">
        <f t="shared" si="18"/>
        <v/>
      </c>
      <c r="U192" s="38" t="str">
        <f t="shared" si="19"/>
        <v/>
      </c>
      <c r="V192" s="38" t="str">
        <f t="shared" si="20"/>
        <v/>
      </c>
      <c r="W192" s="38" t="str">
        <f>IF(AND(U192&lt;&gt;"",OR($S$4="(все)",B192=$S$4),IF($S$4="(все)",COUNTIF($U$4:U192,U192),COUNTIFS($U$4:U192,U192,$B$4:B192,B192))=1),MAX($W$3:W191)+1,"")</f>
        <v/>
      </c>
      <c r="X192" s="38" t="str">
        <f t="shared" si="21"/>
        <v/>
      </c>
      <c r="Y192" s="38" t="str">
        <f>IF(AND(A192="Аппарат",C192&lt;&gt;"",OR($S$5="(все)",B192=$S$5)),MAX($Y$3:Y191)+1,"")</f>
        <v/>
      </c>
      <c r="Z192" s="38" t="str">
        <f t="shared" si="22"/>
        <v/>
      </c>
      <c r="AA192" s="38" t="str">
        <f>IF(AND(A192="Модуль",C192&lt;&gt;"",OR($S$6="(все)",B192=$S$6)),MAX($AA$3:AA191)+1,"")</f>
        <v/>
      </c>
      <c r="AB192" s="38" t="str">
        <f t="shared" si="23"/>
        <v/>
      </c>
      <c r="AC192" s="38" t="str">
        <f>IF(OR(B192="",COUNTIF($B$4:B192,B192)&gt;1),"",MAX($AC$3:AC191)+1)</f>
        <v/>
      </c>
      <c r="AD192" s="38" t="str">
        <f t="shared" si="24"/>
        <v/>
      </c>
      <c r="AE192" s="38" t="str">
        <f t="shared" si="25"/>
        <v/>
      </c>
      <c r="AF192" s="38" t="str">
        <f t="shared" si="26"/>
        <v/>
      </c>
    </row>
    <row r="193" spans="1:32" x14ac:dyDescent="0.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38" t="str">
        <f>IF(OR(A193="Автомат",A193="Дифавтомат"),IF(W193="","",COUNTIFS(Однолинейка!$H$3:$H$3000,U193,Однолинейка!$A$3:$A$3000,Щит_спец)),IF(A193="Аппарат",IF(C193="","",COUNTIFS(Однолинейка!$I$3:$I$3000,C193,Однолинейка!$A$3:$A$3000,Щит_спец)+COUNTIFS(Однолинейка!$J$3:$J$3000,C193,Однолинейка!$A$3:$A$3000,Щит_спец)+COUNTIFS(Однолинейка!$K$3:$K$3000,C193,Однолинейка!$A$3:$A$3000,Щит_спец)),IF(A193="Модуль",IF(C193="","",COUNTIFS(Однолинейка!$AW$3:$AW$3000,"?*",Однолинейка!$AI$3:$AI$3000,C193,Однолинейка!$A$3:$A$3000,Щит_спец)),IF(A193="Клемма",IF(C193="","",IF(C193=$S$7,SUMIFS(Однолинейка!$BW$3:$BW$3000,Однолинейка!$A$3:$A$3000,Щит_спец),IF(C193=$S$8,SUMIFS(Однолинейка!$BX$3:$BX$3000,Однолинейка!$A$3:$A$3000,Щит_спец),""))),""))))</f>
        <v/>
      </c>
      <c r="O193" s="74"/>
      <c r="P193" s="38" t="str">
        <f t="shared" si="18"/>
        <v/>
      </c>
      <c r="U193" s="38" t="str">
        <f t="shared" si="19"/>
        <v/>
      </c>
      <c r="V193" s="38" t="str">
        <f t="shared" si="20"/>
        <v/>
      </c>
      <c r="W193" s="38" t="str">
        <f>IF(AND(U193&lt;&gt;"",OR($S$4="(все)",B193=$S$4),IF($S$4="(все)",COUNTIF($U$4:U193,U193),COUNTIFS($U$4:U193,U193,$B$4:B193,B193))=1),MAX($W$3:W192)+1,"")</f>
        <v/>
      </c>
      <c r="X193" s="38" t="str">
        <f t="shared" si="21"/>
        <v/>
      </c>
      <c r="Y193" s="38" t="str">
        <f>IF(AND(A193="Аппарат",C193&lt;&gt;"",OR($S$5="(все)",B193=$S$5)),MAX($Y$3:Y192)+1,"")</f>
        <v/>
      </c>
      <c r="Z193" s="38" t="str">
        <f t="shared" si="22"/>
        <v/>
      </c>
      <c r="AA193" s="38" t="str">
        <f>IF(AND(A193="Модуль",C193&lt;&gt;"",OR($S$6="(все)",B193=$S$6)),MAX($AA$3:AA192)+1,"")</f>
        <v/>
      </c>
      <c r="AB193" s="38" t="str">
        <f t="shared" si="23"/>
        <v/>
      </c>
      <c r="AC193" s="38" t="str">
        <f>IF(OR(B193="",COUNTIF($B$4:B193,B193)&gt;1),"",MAX($AC$3:AC192)+1)</f>
        <v/>
      </c>
      <c r="AD193" s="38" t="str">
        <f t="shared" si="24"/>
        <v/>
      </c>
      <c r="AE193" s="38" t="str">
        <f t="shared" si="25"/>
        <v/>
      </c>
      <c r="AF193" s="38" t="str">
        <f t="shared" si="26"/>
        <v/>
      </c>
    </row>
    <row r="194" spans="1:32" x14ac:dyDescent="0.3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38" t="str">
        <f>IF(OR(A194="Автомат",A194="Дифавтомат"),IF(W194="","",COUNTIFS(Однолинейка!$H$3:$H$3000,U194,Однолинейка!$A$3:$A$3000,Щит_спец)),IF(A194="Аппарат",IF(C194="","",COUNTIFS(Однолинейка!$I$3:$I$3000,C194,Однолинейка!$A$3:$A$3000,Щит_спец)+COUNTIFS(Однолинейка!$J$3:$J$3000,C194,Однолинейка!$A$3:$A$3000,Щит_спец)+COUNTIFS(Однолинейка!$K$3:$K$3000,C194,Однолинейка!$A$3:$A$3000,Щит_спец)),IF(A194="Модуль",IF(C194="","",COUNTIFS(Однолинейка!$AW$3:$AW$3000,"?*",Однолинейка!$AI$3:$AI$3000,C194,Однолинейка!$A$3:$A$3000,Щит_спец)),IF(A194="Клемма",IF(C194="","",IF(C194=$S$7,SUMIFS(Однолинейка!$BW$3:$BW$3000,Однолинейка!$A$3:$A$3000,Щит_спец),IF(C194=$S$8,SUMIFS(Однолинейка!$BX$3:$BX$3000,Однолинейка!$A$3:$A$3000,Щит_спец),""))),""))))</f>
        <v/>
      </c>
      <c r="O194" s="74"/>
      <c r="P194" s="38" t="str">
        <f t="shared" si="18"/>
        <v/>
      </c>
      <c r="U194" s="38" t="str">
        <f t="shared" si="19"/>
        <v/>
      </c>
      <c r="V194" s="38" t="str">
        <f t="shared" si="20"/>
        <v/>
      </c>
      <c r="W194" s="38" t="str">
        <f>IF(AND(U194&lt;&gt;"",OR($S$4="(все)",B194=$S$4),IF($S$4="(все)",COUNTIF($U$4:U194,U194),COUNTIFS($U$4:U194,U194,$B$4:B194,B194))=1),MAX($W$3:W193)+1,"")</f>
        <v/>
      </c>
      <c r="X194" s="38" t="str">
        <f t="shared" si="21"/>
        <v/>
      </c>
      <c r="Y194" s="38" t="str">
        <f>IF(AND(A194="Аппарат",C194&lt;&gt;"",OR($S$5="(все)",B194=$S$5)),MAX($Y$3:Y193)+1,"")</f>
        <v/>
      </c>
      <c r="Z194" s="38" t="str">
        <f t="shared" si="22"/>
        <v/>
      </c>
      <c r="AA194" s="38" t="str">
        <f>IF(AND(A194="Модуль",C194&lt;&gt;"",OR($S$6="(все)",B194=$S$6)),MAX($AA$3:AA193)+1,"")</f>
        <v/>
      </c>
      <c r="AB194" s="38" t="str">
        <f t="shared" si="23"/>
        <v/>
      </c>
      <c r="AC194" s="38" t="str">
        <f>IF(OR(B194="",COUNTIF($B$4:B194,B194)&gt;1),"",MAX($AC$3:AC193)+1)</f>
        <v/>
      </c>
      <c r="AD194" s="38" t="str">
        <f t="shared" si="24"/>
        <v/>
      </c>
      <c r="AE194" s="38" t="str">
        <f t="shared" si="25"/>
        <v/>
      </c>
      <c r="AF194" s="38" t="str">
        <f t="shared" si="26"/>
        <v/>
      </c>
    </row>
    <row r="195" spans="1:32" x14ac:dyDescent="0.3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38" t="str">
        <f>IF(OR(A195="Автомат",A195="Дифавтомат"),IF(W195="","",COUNTIFS(Однолинейка!$H$3:$H$3000,U195,Однолинейка!$A$3:$A$3000,Щит_спец)),IF(A195="Аппарат",IF(C195="","",COUNTIFS(Однолинейка!$I$3:$I$3000,C195,Однолинейка!$A$3:$A$3000,Щит_спец)+COUNTIFS(Однолинейка!$J$3:$J$3000,C195,Однолинейка!$A$3:$A$3000,Щит_спец)+COUNTIFS(Однолинейка!$K$3:$K$3000,C195,Однолинейка!$A$3:$A$3000,Щит_спец)),IF(A195="Модуль",IF(C195="","",COUNTIFS(Однолинейка!$AW$3:$AW$3000,"?*",Однолинейка!$AI$3:$AI$3000,C195,Однолинейка!$A$3:$A$3000,Щит_спец)),IF(A195="Клемма",IF(C195="","",IF(C195=$S$7,SUMIFS(Однолинейка!$BW$3:$BW$3000,Однолинейка!$A$3:$A$3000,Щит_спец),IF(C195=$S$8,SUMIFS(Однолинейка!$BX$3:$BX$3000,Однолинейка!$A$3:$A$3000,Щит_спец),""))),""))))</f>
        <v/>
      </c>
      <c r="O195" s="74"/>
      <c r="P195" s="38" t="str">
        <f t="shared" si="18"/>
        <v/>
      </c>
      <c r="U195" s="38" t="str">
        <f t="shared" si="19"/>
        <v/>
      </c>
      <c r="V195" s="38" t="str">
        <f t="shared" si="20"/>
        <v/>
      </c>
      <c r="W195" s="38" t="str">
        <f>IF(AND(U195&lt;&gt;"",OR($S$4="(все)",B195=$S$4),IF($S$4="(все)",COUNTIF($U$4:U195,U195),COUNTIFS($U$4:U195,U195,$B$4:B195,B195))=1),MAX($W$3:W194)+1,"")</f>
        <v/>
      </c>
      <c r="X195" s="38" t="str">
        <f t="shared" si="21"/>
        <v/>
      </c>
      <c r="Y195" s="38" t="str">
        <f>IF(AND(A195="Аппарат",C195&lt;&gt;"",OR($S$5="(все)",B195=$S$5)),MAX($Y$3:Y194)+1,"")</f>
        <v/>
      </c>
      <c r="Z195" s="38" t="str">
        <f t="shared" si="22"/>
        <v/>
      </c>
      <c r="AA195" s="38" t="str">
        <f>IF(AND(A195="Модуль",C195&lt;&gt;"",OR($S$6="(все)",B195=$S$6)),MAX($AA$3:AA194)+1,"")</f>
        <v/>
      </c>
      <c r="AB195" s="38" t="str">
        <f t="shared" si="23"/>
        <v/>
      </c>
      <c r="AC195" s="38" t="str">
        <f>IF(OR(B195="",COUNTIF($B$4:B195,B195)&gt;1),"",MAX($AC$3:AC194)+1)</f>
        <v/>
      </c>
      <c r="AD195" s="38" t="str">
        <f t="shared" si="24"/>
        <v/>
      </c>
      <c r="AE195" s="38" t="str">
        <f t="shared" si="25"/>
        <v/>
      </c>
      <c r="AF195" s="38" t="str">
        <f t="shared" si="26"/>
        <v/>
      </c>
    </row>
    <row r="196" spans="1:32" x14ac:dyDescent="0.3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38" t="str">
        <f>IF(OR(A196="Автомат",A196="Дифавтомат"),IF(W196="","",COUNTIFS(Однолинейка!$H$3:$H$3000,U196,Однолинейка!$A$3:$A$3000,Щит_спец)),IF(A196="Аппарат",IF(C196="","",COUNTIFS(Однолинейка!$I$3:$I$3000,C196,Однолинейка!$A$3:$A$3000,Щит_спец)+COUNTIFS(Однолинейка!$J$3:$J$3000,C196,Однолинейка!$A$3:$A$3000,Щит_спец)+COUNTIFS(Однолинейка!$K$3:$K$3000,C196,Однолинейка!$A$3:$A$3000,Щит_спец)),IF(A196="Модуль",IF(C196="","",COUNTIFS(Однолинейка!$AW$3:$AW$3000,"?*",Однолинейка!$AI$3:$AI$3000,C196,Однолинейка!$A$3:$A$3000,Щит_спец)),IF(A196="Клемма",IF(C196="","",IF(C196=$S$7,SUMIFS(Однолинейка!$BW$3:$BW$3000,Однолинейка!$A$3:$A$3000,Щит_спец),IF(C196=$S$8,SUMIFS(Однолинейка!$BX$3:$BX$3000,Однолинейка!$A$3:$A$3000,Щит_спец),""))),""))))</f>
        <v/>
      </c>
      <c r="O196" s="74"/>
      <c r="P196" s="38" t="str">
        <f t="shared" ref="P196:P259" si="27">IF(COUNT(N196,O196)=0,"",SUM(N196,O196))</f>
        <v/>
      </c>
      <c r="U196" s="38" t="str">
        <f t="shared" ref="U196:U259" si="28">IF(OR(A196="Автомат",A196="Дифавтомат"),I196&amp;" С"&amp;J196&amp;"А"&amp;IF(K196="да"," 30мА",IF(ISNUMBER(K196)," "&amp;K196&amp;"мА","")),"")</f>
        <v/>
      </c>
      <c r="V196" s="38" t="str">
        <f t="shared" ref="V196:V259" si="29">IF(U196="","",B196&amp;"|"&amp;U196)</f>
        <v/>
      </c>
      <c r="W196" s="38" t="str">
        <f>IF(AND(U196&lt;&gt;"",OR($S$4="(все)",B196=$S$4),IF($S$4="(все)",COUNTIF($U$4:U196,U196),COUNTIFS($U$4:U196,U196,$B$4:B196,B196))=1),MAX($W$3:W195)+1,"")</f>
        <v/>
      </c>
      <c r="X196" s="38" t="str">
        <f t="shared" ref="X196:X259" si="30">IFERROR(INDEX($U$4:$U$500,MATCH(ROW()-3,$W$4:$W$500,0)),"")</f>
        <v/>
      </c>
      <c r="Y196" s="38" t="str">
        <f>IF(AND(A196="Аппарат",C196&lt;&gt;"",OR($S$5="(все)",B196=$S$5)),MAX($Y$3:Y195)+1,"")</f>
        <v/>
      </c>
      <c r="Z196" s="38" t="str">
        <f t="shared" ref="Z196:Z259" si="31">IFERROR(INDEX($C$4:$C$500,MATCH(ROW()-3,$Y$4:$Y$500,0)),"")</f>
        <v/>
      </c>
      <c r="AA196" s="38" t="str">
        <f>IF(AND(A196="Модуль",C196&lt;&gt;"",OR($S$6="(все)",B196=$S$6)),MAX($AA$3:AA195)+1,"")</f>
        <v/>
      </c>
      <c r="AB196" s="38" t="str">
        <f t="shared" ref="AB196:AB259" si="32">IFERROR(INDEX($C$4:$C$500,MATCH(ROW()-3,$AA$4:$AA$500,0)),"")</f>
        <v/>
      </c>
      <c r="AC196" s="38" t="str">
        <f>IF(OR(B196="",COUNTIF($B$4:B196,B196)&gt;1),"",MAX($AC$3:AC195)+1)</f>
        <v/>
      </c>
      <c r="AD196" s="38" t="str">
        <f t="shared" ref="AD196:AD259" si="33">IFERROR(INDEX($B$4:$B$500,MATCH(ROW()-3,$AC$4:$AC$500,0)),"")</f>
        <v/>
      </c>
      <c r="AE196" s="38" t="str">
        <f t="shared" ref="AE196:AE259" si="34">IF(AND(A196&lt;&gt;"",N(P196)&gt;0),IFERROR(MATCH(A196,$R$12:$R$25,0),99)*1000+ROW(),"")</f>
        <v/>
      </c>
      <c r="AF196" s="38" t="str">
        <f t="shared" ref="AF196:AF259" si="35">IF(AE196="","",COUNTIF($AE$4:$AE$500,"&lt;="&amp;AE196))</f>
        <v/>
      </c>
    </row>
    <row r="197" spans="1:32" x14ac:dyDescent="0.3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38" t="str">
        <f>IF(OR(A197="Автомат",A197="Дифавтомат"),IF(W197="","",COUNTIFS(Однолинейка!$H$3:$H$3000,U197,Однолинейка!$A$3:$A$3000,Щит_спец)),IF(A197="Аппарат",IF(C197="","",COUNTIFS(Однолинейка!$I$3:$I$3000,C197,Однолинейка!$A$3:$A$3000,Щит_спец)+COUNTIFS(Однолинейка!$J$3:$J$3000,C197,Однолинейка!$A$3:$A$3000,Щит_спец)+COUNTIFS(Однолинейка!$K$3:$K$3000,C197,Однолинейка!$A$3:$A$3000,Щит_спец)),IF(A197="Модуль",IF(C197="","",COUNTIFS(Однолинейка!$AW$3:$AW$3000,"?*",Однолинейка!$AI$3:$AI$3000,C197,Однолинейка!$A$3:$A$3000,Щит_спец)),IF(A197="Клемма",IF(C197="","",IF(C197=$S$7,SUMIFS(Однолинейка!$BW$3:$BW$3000,Однолинейка!$A$3:$A$3000,Щит_спец),IF(C197=$S$8,SUMIFS(Однолинейка!$BX$3:$BX$3000,Однолинейка!$A$3:$A$3000,Щит_спец),""))),""))))</f>
        <v/>
      </c>
      <c r="O197" s="74"/>
      <c r="P197" s="38" t="str">
        <f t="shared" si="27"/>
        <v/>
      </c>
      <c r="U197" s="38" t="str">
        <f t="shared" si="28"/>
        <v/>
      </c>
      <c r="V197" s="38" t="str">
        <f t="shared" si="29"/>
        <v/>
      </c>
      <c r="W197" s="38" t="str">
        <f>IF(AND(U197&lt;&gt;"",OR($S$4="(все)",B197=$S$4),IF($S$4="(все)",COUNTIF($U$4:U197,U197),COUNTIFS($U$4:U197,U197,$B$4:B197,B197))=1),MAX($W$3:W196)+1,"")</f>
        <v/>
      </c>
      <c r="X197" s="38" t="str">
        <f t="shared" si="30"/>
        <v/>
      </c>
      <c r="Y197" s="38" t="str">
        <f>IF(AND(A197="Аппарат",C197&lt;&gt;"",OR($S$5="(все)",B197=$S$5)),MAX($Y$3:Y196)+1,"")</f>
        <v/>
      </c>
      <c r="Z197" s="38" t="str">
        <f t="shared" si="31"/>
        <v/>
      </c>
      <c r="AA197" s="38" t="str">
        <f>IF(AND(A197="Модуль",C197&lt;&gt;"",OR($S$6="(все)",B197=$S$6)),MAX($AA$3:AA196)+1,"")</f>
        <v/>
      </c>
      <c r="AB197" s="38" t="str">
        <f t="shared" si="32"/>
        <v/>
      </c>
      <c r="AC197" s="38" t="str">
        <f>IF(OR(B197="",COUNTIF($B$4:B197,B197)&gt;1),"",MAX($AC$3:AC196)+1)</f>
        <v/>
      </c>
      <c r="AD197" s="38" t="str">
        <f t="shared" si="33"/>
        <v/>
      </c>
      <c r="AE197" s="38" t="str">
        <f t="shared" si="34"/>
        <v/>
      </c>
      <c r="AF197" s="38" t="str">
        <f t="shared" si="35"/>
        <v/>
      </c>
    </row>
    <row r="198" spans="1:32" x14ac:dyDescent="0.3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38" t="str">
        <f>IF(OR(A198="Автомат",A198="Дифавтомат"),IF(W198="","",COUNTIFS(Однолинейка!$H$3:$H$3000,U198,Однолинейка!$A$3:$A$3000,Щит_спец)),IF(A198="Аппарат",IF(C198="","",COUNTIFS(Однолинейка!$I$3:$I$3000,C198,Однолинейка!$A$3:$A$3000,Щит_спец)+COUNTIFS(Однолинейка!$J$3:$J$3000,C198,Однолинейка!$A$3:$A$3000,Щит_спец)+COUNTIFS(Однолинейка!$K$3:$K$3000,C198,Однолинейка!$A$3:$A$3000,Щит_спец)),IF(A198="Модуль",IF(C198="","",COUNTIFS(Однолинейка!$AW$3:$AW$3000,"?*",Однолинейка!$AI$3:$AI$3000,C198,Однолинейка!$A$3:$A$3000,Щит_спец)),IF(A198="Клемма",IF(C198="","",IF(C198=$S$7,SUMIFS(Однолинейка!$BW$3:$BW$3000,Однолинейка!$A$3:$A$3000,Щит_спец),IF(C198=$S$8,SUMIFS(Однолинейка!$BX$3:$BX$3000,Однолинейка!$A$3:$A$3000,Щит_спец),""))),""))))</f>
        <v/>
      </c>
      <c r="O198" s="74"/>
      <c r="P198" s="38" t="str">
        <f t="shared" si="27"/>
        <v/>
      </c>
      <c r="U198" s="38" t="str">
        <f t="shared" si="28"/>
        <v/>
      </c>
      <c r="V198" s="38" t="str">
        <f t="shared" si="29"/>
        <v/>
      </c>
      <c r="W198" s="38" t="str">
        <f>IF(AND(U198&lt;&gt;"",OR($S$4="(все)",B198=$S$4),IF($S$4="(все)",COUNTIF($U$4:U198,U198),COUNTIFS($U$4:U198,U198,$B$4:B198,B198))=1),MAX($W$3:W197)+1,"")</f>
        <v/>
      </c>
      <c r="X198" s="38" t="str">
        <f t="shared" si="30"/>
        <v/>
      </c>
      <c r="Y198" s="38" t="str">
        <f>IF(AND(A198="Аппарат",C198&lt;&gt;"",OR($S$5="(все)",B198=$S$5)),MAX($Y$3:Y197)+1,"")</f>
        <v/>
      </c>
      <c r="Z198" s="38" t="str">
        <f t="shared" si="31"/>
        <v/>
      </c>
      <c r="AA198" s="38" t="str">
        <f>IF(AND(A198="Модуль",C198&lt;&gt;"",OR($S$6="(все)",B198=$S$6)),MAX($AA$3:AA197)+1,"")</f>
        <v/>
      </c>
      <c r="AB198" s="38" t="str">
        <f t="shared" si="32"/>
        <v/>
      </c>
      <c r="AC198" s="38" t="str">
        <f>IF(OR(B198="",COUNTIF($B$4:B198,B198)&gt;1),"",MAX($AC$3:AC197)+1)</f>
        <v/>
      </c>
      <c r="AD198" s="38" t="str">
        <f t="shared" si="33"/>
        <v/>
      </c>
      <c r="AE198" s="38" t="str">
        <f t="shared" si="34"/>
        <v/>
      </c>
      <c r="AF198" s="38" t="str">
        <f t="shared" si="35"/>
        <v/>
      </c>
    </row>
    <row r="199" spans="1:32" x14ac:dyDescent="0.3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38" t="str">
        <f>IF(OR(A199="Автомат",A199="Дифавтомат"),IF(W199="","",COUNTIFS(Однолинейка!$H$3:$H$3000,U199,Однолинейка!$A$3:$A$3000,Щит_спец)),IF(A199="Аппарат",IF(C199="","",COUNTIFS(Однолинейка!$I$3:$I$3000,C199,Однолинейка!$A$3:$A$3000,Щит_спец)+COUNTIFS(Однолинейка!$J$3:$J$3000,C199,Однолинейка!$A$3:$A$3000,Щит_спец)+COUNTIFS(Однолинейка!$K$3:$K$3000,C199,Однолинейка!$A$3:$A$3000,Щит_спец)),IF(A199="Модуль",IF(C199="","",COUNTIFS(Однолинейка!$AW$3:$AW$3000,"?*",Однолинейка!$AI$3:$AI$3000,C199,Однолинейка!$A$3:$A$3000,Щит_спец)),IF(A199="Клемма",IF(C199="","",IF(C199=$S$7,SUMIFS(Однолинейка!$BW$3:$BW$3000,Однолинейка!$A$3:$A$3000,Щит_спец),IF(C199=$S$8,SUMIFS(Однолинейка!$BX$3:$BX$3000,Однолинейка!$A$3:$A$3000,Щит_спец),""))),""))))</f>
        <v/>
      </c>
      <c r="O199" s="74"/>
      <c r="P199" s="38" t="str">
        <f t="shared" si="27"/>
        <v/>
      </c>
      <c r="U199" s="38" t="str">
        <f t="shared" si="28"/>
        <v/>
      </c>
      <c r="V199" s="38" t="str">
        <f t="shared" si="29"/>
        <v/>
      </c>
      <c r="W199" s="38" t="str">
        <f>IF(AND(U199&lt;&gt;"",OR($S$4="(все)",B199=$S$4),IF($S$4="(все)",COUNTIF($U$4:U199,U199),COUNTIFS($U$4:U199,U199,$B$4:B199,B199))=1),MAX($W$3:W198)+1,"")</f>
        <v/>
      </c>
      <c r="X199" s="38" t="str">
        <f t="shared" si="30"/>
        <v/>
      </c>
      <c r="Y199" s="38" t="str">
        <f>IF(AND(A199="Аппарат",C199&lt;&gt;"",OR($S$5="(все)",B199=$S$5)),MAX($Y$3:Y198)+1,"")</f>
        <v/>
      </c>
      <c r="Z199" s="38" t="str">
        <f t="shared" si="31"/>
        <v/>
      </c>
      <c r="AA199" s="38" t="str">
        <f>IF(AND(A199="Модуль",C199&lt;&gt;"",OR($S$6="(все)",B199=$S$6)),MAX($AA$3:AA198)+1,"")</f>
        <v/>
      </c>
      <c r="AB199" s="38" t="str">
        <f t="shared" si="32"/>
        <v/>
      </c>
      <c r="AC199" s="38" t="str">
        <f>IF(OR(B199="",COUNTIF($B$4:B199,B199)&gt;1),"",MAX($AC$3:AC198)+1)</f>
        <v/>
      </c>
      <c r="AD199" s="38" t="str">
        <f t="shared" si="33"/>
        <v/>
      </c>
      <c r="AE199" s="38" t="str">
        <f t="shared" si="34"/>
        <v/>
      </c>
      <c r="AF199" s="38" t="str">
        <f t="shared" si="35"/>
        <v/>
      </c>
    </row>
    <row r="200" spans="1:32" x14ac:dyDescent="0.3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38" t="str">
        <f>IF(OR(A200="Автомат",A200="Дифавтомат"),IF(W200="","",COUNTIFS(Однолинейка!$H$3:$H$3000,U200,Однолинейка!$A$3:$A$3000,Щит_спец)),IF(A200="Аппарат",IF(C200="","",COUNTIFS(Однолинейка!$I$3:$I$3000,C200,Однолинейка!$A$3:$A$3000,Щит_спец)+COUNTIFS(Однолинейка!$J$3:$J$3000,C200,Однолинейка!$A$3:$A$3000,Щит_спец)+COUNTIFS(Однолинейка!$K$3:$K$3000,C200,Однолинейка!$A$3:$A$3000,Щит_спец)),IF(A200="Модуль",IF(C200="","",COUNTIFS(Однолинейка!$AW$3:$AW$3000,"?*",Однолинейка!$AI$3:$AI$3000,C200,Однолинейка!$A$3:$A$3000,Щит_спец)),IF(A200="Клемма",IF(C200="","",IF(C200=$S$7,SUMIFS(Однолинейка!$BW$3:$BW$3000,Однолинейка!$A$3:$A$3000,Щит_спец),IF(C200=$S$8,SUMIFS(Однолинейка!$BX$3:$BX$3000,Однолинейка!$A$3:$A$3000,Щит_спец),""))),""))))</f>
        <v/>
      </c>
      <c r="O200" s="74"/>
      <c r="P200" s="38" t="str">
        <f t="shared" si="27"/>
        <v/>
      </c>
      <c r="U200" s="38" t="str">
        <f t="shared" si="28"/>
        <v/>
      </c>
      <c r="V200" s="38" t="str">
        <f t="shared" si="29"/>
        <v/>
      </c>
      <c r="W200" s="38" t="str">
        <f>IF(AND(U200&lt;&gt;"",OR($S$4="(все)",B200=$S$4),IF($S$4="(все)",COUNTIF($U$4:U200,U200),COUNTIFS($U$4:U200,U200,$B$4:B200,B200))=1),MAX($W$3:W199)+1,"")</f>
        <v/>
      </c>
      <c r="X200" s="38" t="str">
        <f t="shared" si="30"/>
        <v/>
      </c>
      <c r="Y200" s="38" t="str">
        <f>IF(AND(A200="Аппарат",C200&lt;&gt;"",OR($S$5="(все)",B200=$S$5)),MAX($Y$3:Y199)+1,"")</f>
        <v/>
      </c>
      <c r="Z200" s="38" t="str">
        <f t="shared" si="31"/>
        <v/>
      </c>
      <c r="AA200" s="38" t="str">
        <f>IF(AND(A200="Модуль",C200&lt;&gt;"",OR($S$6="(все)",B200=$S$6)),MAX($AA$3:AA199)+1,"")</f>
        <v/>
      </c>
      <c r="AB200" s="38" t="str">
        <f t="shared" si="32"/>
        <v/>
      </c>
      <c r="AC200" s="38" t="str">
        <f>IF(OR(B200="",COUNTIF($B$4:B200,B200)&gt;1),"",MAX($AC$3:AC199)+1)</f>
        <v/>
      </c>
      <c r="AD200" s="38" t="str">
        <f t="shared" si="33"/>
        <v/>
      </c>
      <c r="AE200" s="38" t="str">
        <f t="shared" si="34"/>
        <v/>
      </c>
      <c r="AF200" s="38" t="str">
        <f t="shared" si="35"/>
        <v/>
      </c>
    </row>
    <row r="201" spans="1:32" x14ac:dyDescent="0.3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38" t="str">
        <f>IF(OR(A201="Автомат",A201="Дифавтомат"),IF(W201="","",COUNTIFS(Однолинейка!$H$3:$H$3000,U201,Однолинейка!$A$3:$A$3000,Щит_спец)),IF(A201="Аппарат",IF(C201="","",COUNTIFS(Однолинейка!$I$3:$I$3000,C201,Однолинейка!$A$3:$A$3000,Щит_спец)+COUNTIFS(Однолинейка!$J$3:$J$3000,C201,Однолинейка!$A$3:$A$3000,Щит_спец)+COUNTIFS(Однолинейка!$K$3:$K$3000,C201,Однолинейка!$A$3:$A$3000,Щит_спец)),IF(A201="Модуль",IF(C201="","",COUNTIFS(Однолинейка!$AW$3:$AW$3000,"?*",Однолинейка!$AI$3:$AI$3000,C201,Однолинейка!$A$3:$A$3000,Щит_спец)),IF(A201="Клемма",IF(C201="","",IF(C201=$S$7,SUMIFS(Однолинейка!$BW$3:$BW$3000,Однолинейка!$A$3:$A$3000,Щит_спец),IF(C201=$S$8,SUMIFS(Однолинейка!$BX$3:$BX$3000,Однолинейка!$A$3:$A$3000,Щит_спец),""))),""))))</f>
        <v/>
      </c>
      <c r="O201" s="74"/>
      <c r="P201" s="38" t="str">
        <f t="shared" si="27"/>
        <v/>
      </c>
      <c r="U201" s="38" t="str">
        <f t="shared" si="28"/>
        <v/>
      </c>
      <c r="V201" s="38" t="str">
        <f t="shared" si="29"/>
        <v/>
      </c>
      <c r="W201" s="38" t="str">
        <f>IF(AND(U201&lt;&gt;"",OR($S$4="(все)",B201=$S$4),IF($S$4="(все)",COUNTIF($U$4:U201,U201),COUNTIFS($U$4:U201,U201,$B$4:B201,B201))=1),MAX($W$3:W200)+1,"")</f>
        <v/>
      </c>
      <c r="X201" s="38" t="str">
        <f t="shared" si="30"/>
        <v/>
      </c>
      <c r="Y201" s="38" t="str">
        <f>IF(AND(A201="Аппарат",C201&lt;&gt;"",OR($S$5="(все)",B201=$S$5)),MAX($Y$3:Y200)+1,"")</f>
        <v/>
      </c>
      <c r="Z201" s="38" t="str">
        <f t="shared" si="31"/>
        <v/>
      </c>
      <c r="AA201" s="38" t="str">
        <f>IF(AND(A201="Модуль",C201&lt;&gt;"",OR($S$6="(все)",B201=$S$6)),MAX($AA$3:AA200)+1,"")</f>
        <v/>
      </c>
      <c r="AB201" s="38" t="str">
        <f t="shared" si="32"/>
        <v/>
      </c>
      <c r="AC201" s="38" t="str">
        <f>IF(OR(B201="",COUNTIF($B$4:B201,B201)&gt;1),"",MAX($AC$3:AC200)+1)</f>
        <v/>
      </c>
      <c r="AD201" s="38" t="str">
        <f t="shared" si="33"/>
        <v/>
      </c>
      <c r="AE201" s="38" t="str">
        <f t="shared" si="34"/>
        <v/>
      </c>
      <c r="AF201" s="38" t="str">
        <f t="shared" si="35"/>
        <v/>
      </c>
    </row>
    <row r="202" spans="1:32" x14ac:dyDescent="0.3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38" t="str">
        <f>IF(OR(A202="Автомат",A202="Дифавтомат"),IF(W202="","",COUNTIFS(Однолинейка!$H$3:$H$3000,U202,Однолинейка!$A$3:$A$3000,Щит_спец)),IF(A202="Аппарат",IF(C202="","",COUNTIFS(Однолинейка!$I$3:$I$3000,C202,Однолинейка!$A$3:$A$3000,Щит_спец)+COUNTIFS(Однолинейка!$J$3:$J$3000,C202,Однолинейка!$A$3:$A$3000,Щит_спец)+COUNTIFS(Однолинейка!$K$3:$K$3000,C202,Однолинейка!$A$3:$A$3000,Щит_спец)),IF(A202="Модуль",IF(C202="","",COUNTIFS(Однолинейка!$AW$3:$AW$3000,"?*",Однолинейка!$AI$3:$AI$3000,C202,Однолинейка!$A$3:$A$3000,Щит_спец)),IF(A202="Клемма",IF(C202="","",IF(C202=$S$7,SUMIFS(Однолинейка!$BW$3:$BW$3000,Однолинейка!$A$3:$A$3000,Щит_спец),IF(C202=$S$8,SUMIFS(Однолинейка!$BX$3:$BX$3000,Однолинейка!$A$3:$A$3000,Щит_спец),""))),""))))</f>
        <v/>
      </c>
      <c r="O202" s="74"/>
      <c r="P202" s="38" t="str">
        <f t="shared" si="27"/>
        <v/>
      </c>
      <c r="U202" s="38" t="str">
        <f t="shared" si="28"/>
        <v/>
      </c>
      <c r="V202" s="38" t="str">
        <f t="shared" si="29"/>
        <v/>
      </c>
      <c r="W202" s="38" t="str">
        <f>IF(AND(U202&lt;&gt;"",OR($S$4="(все)",B202=$S$4),IF($S$4="(все)",COUNTIF($U$4:U202,U202),COUNTIFS($U$4:U202,U202,$B$4:B202,B202))=1),MAX($W$3:W201)+1,"")</f>
        <v/>
      </c>
      <c r="X202" s="38" t="str">
        <f t="shared" si="30"/>
        <v/>
      </c>
      <c r="Y202" s="38" t="str">
        <f>IF(AND(A202="Аппарат",C202&lt;&gt;"",OR($S$5="(все)",B202=$S$5)),MAX($Y$3:Y201)+1,"")</f>
        <v/>
      </c>
      <c r="Z202" s="38" t="str">
        <f t="shared" si="31"/>
        <v/>
      </c>
      <c r="AA202" s="38" t="str">
        <f>IF(AND(A202="Модуль",C202&lt;&gt;"",OR($S$6="(все)",B202=$S$6)),MAX($AA$3:AA201)+1,"")</f>
        <v/>
      </c>
      <c r="AB202" s="38" t="str">
        <f t="shared" si="32"/>
        <v/>
      </c>
      <c r="AC202" s="38" t="str">
        <f>IF(OR(B202="",COUNTIF($B$4:B202,B202)&gt;1),"",MAX($AC$3:AC201)+1)</f>
        <v/>
      </c>
      <c r="AD202" s="38" t="str">
        <f t="shared" si="33"/>
        <v/>
      </c>
      <c r="AE202" s="38" t="str">
        <f t="shared" si="34"/>
        <v/>
      </c>
      <c r="AF202" s="38" t="str">
        <f t="shared" si="35"/>
        <v/>
      </c>
    </row>
    <row r="203" spans="1:32" x14ac:dyDescent="0.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38" t="str">
        <f>IF(OR(A203="Автомат",A203="Дифавтомат"),IF(W203="","",COUNTIFS(Однолинейка!$H$3:$H$3000,U203,Однолинейка!$A$3:$A$3000,Щит_спец)),IF(A203="Аппарат",IF(C203="","",COUNTIFS(Однолинейка!$I$3:$I$3000,C203,Однолинейка!$A$3:$A$3000,Щит_спец)+COUNTIFS(Однолинейка!$J$3:$J$3000,C203,Однолинейка!$A$3:$A$3000,Щит_спец)+COUNTIFS(Однолинейка!$K$3:$K$3000,C203,Однолинейка!$A$3:$A$3000,Щит_спец)),IF(A203="Модуль",IF(C203="","",COUNTIFS(Однолинейка!$AW$3:$AW$3000,"?*",Однолинейка!$AI$3:$AI$3000,C203,Однолинейка!$A$3:$A$3000,Щит_спец)),IF(A203="Клемма",IF(C203="","",IF(C203=$S$7,SUMIFS(Однолинейка!$BW$3:$BW$3000,Однолинейка!$A$3:$A$3000,Щит_спец),IF(C203=$S$8,SUMIFS(Однолинейка!$BX$3:$BX$3000,Однолинейка!$A$3:$A$3000,Щит_спец),""))),""))))</f>
        <v/>
      </c>
      <c r="O203" s="74"/>
      <c r="P203" s="38" t="str">
        <f t="shared" si="27"/>
        <v/>
      </c>
      <c r="U203" s="38" t="str">
        <f t="shared" si="28"/>
        <v/>
      </c>
      <c r="V203" s="38" t="str">
        <f t="shared" si="29"/>
        <v/>
      </c>
      <c r="W203" s="38" t="str">
        <f>IF(AND(U203&lt;&gt;"",OR($S$4="(все)",B203=$S$4),IF($S$4="(все)",COUNTIF($U$4:U203,U203),COUNTIFS($U$4:U203,U203,$B$4:B203,B203))=1),MAX($W$3:W202)+1,"")</f>
        <v/>
      </c>
      <c r="X203" s="38" t="str">
        <f t="shared" si="30"/>
        <v/>
      </c>
      <c r="Y203" s="38" t="str">
        <f>IF(AND(A203="Аппарат",C203&lt;&gt;"",OR($S$5="(все)",B203=$S$5)),MAX($Y$3:Y202)+1,"")</f>
        <v/>
      </c>
      <c r="Z203" s="38" t="str">
        <f t="shared" si="31"/>
        <v/>
      </c>
      <c r="AA203" s="38" t="str">
        <f>IF(AND(A203="Модуль",C203&lt;&gt;"",OR($S$6="(все)",B203=$S$6)),MAX($AA$3:AA202)+1,"")</f>
        <v/>
      </c>
      <c r="AB203" s="38" t="str">
        <f t="shared" si="32"/>
        <v/>
      </c>
      <c r="AC203" s="38" t="str">
        <f>IF(OR(B203="",COUNTIF($B$4:B203,B203)&gt;1),"",MAX($AC$3:AC202)+1)</f>
        <v/>
      </c>
      <c r="AD203" s="38" t="str">
        <f t="shared" si="33"/>
        <v/>
      </c>
      <c r="AE203" s="38" t="str">
        <f t="shared" si="34"/>
        <v/>
      </c>
      <c r="AF203" s="38" t="str">
        <f t="shared" si="35"/>
        <v/>
      </c>
    </row>
    <row r="204" spans="1:32" x14ac:dyDescent="0.3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38" t="str">
        <f>IF(OR(A204="Автомат",A204="Дифавтомат"),IF(W204="","",COUNTIFS(Однолинейка!$H$3:$H$3000,U204,Однолинейка!$A$3:$A$3000,Щит_спец)),IF(A204="Аппарат",IF(C204="","",COUNTIFS(Однолинейка!$I$3:$I$3000,C204,Однолинейка!$A$3:$A$3000,Щит_спец)+COUNTIFS(Однолинейка!$J$3:$J$3000,C204,Однолинейка!$A$3:$A$3000,Щит_спец)+COUNTIFS(Однолинейка!$K$3:$K$3000,C204,Однолинейка!$A$3:$A$3000,Щит_спец)),IF(A204="Модуль",IF(C204="","",COUNTIFS(Однолинейка!$AW$3:$AW$3000,"?*",Однолинейка!$AI$3:$AI$3000,C204,Однолинейка!$A$3:$A$3000,Щит_спец)),IF(A204="Клемма",IF(C204="","",IF(C204=$S$7,SUMIFS(Однолинейка!$BW$3:$BW$3000,Однолинейка!$A$3:$A$3000,Щит_спец),IF(C204=$S$8,SUMIFS(Однолинейка!$BX$3:$BX$3000,Однолинейка!$A$3:$A$3000,Щит_спец),""))),""))))</f>
        <v/>
      </c>
      <c r="O204" s="74"/>
      <c r="P204" s="38" t="str">
        <f t="shared" si="27"/>
        <v/>
      </c>
      <c r="U204" s="38" t="str">
        <f t="shared" si="28"/>
        <v/>
      </c>
      <c r="V204" s="38" t="str">
        <f t="shared" si="29"/>
        <v/>
      </c>
      <c r="W204" s="38" t="str">
        <f>IF(AND(U204&lt;&gt;"",OR($S$4="(все)",B204=$S$4),IF($S$4="(все)",COUNTIF($U$4:U204,U204),COUNTIFS($U$4:U204,U204,$B$4:B204,B204))=1),MAX($W$3:W203)+1,"")</f>
        <v/>
      </c>
      <c r="X204" s="38" t="str">
        <f t="shared" si="30"/>
        <v/>
      </c>
      <c r="Y204" s="38" t="str">
        <f>IF(AND(A204="Аппарат",C204&lt;&gt;"",OR($S$5="(все)",B204=$S$5)),MAX($Y$3:Y203)+1,"")</f>
        <v/>
      </c>
      <c r="Z204" s="38" t="str">
        <f t="shared" si="31"/>
        <v/>
      </c>
      <c r="AA204" s="38" t="str">
        <f>IF(AND(A204="Модуль",C204&lt;&gt;"",OR($S$6="(все)",B204=$S$6)),MAX($AA$3:AA203)+1,"")</f>
        <v/>
      </c>
      <c r="AB204" s="38" t="str">
        <f t="shared" si="32"/>
        <v/>
      </c>
      <c r="AC204" s="38" t="str">
        <f>IF(OR(B204="",COUNTIF($B$4:B204,B204)&gt;1),"",MAX($AC$3:AC203)+1)</f>
        <v/>
      </c>
      <c r="AD204" s="38" t="str">
        <f t="shared" si="33"/>
        <v/>
      </c>
      <c r="AE204" s="38" t="str">
        <f t="shared" si="34"/>
        <v/>
      </c>
      <c r="AF204" s="38" t="str">
        <f t="shared" si="35"/>
        <v/>
      </c>
    </row>
    <row r="205" spans="1:32" x14ac:dyDescent="0.3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38" t="str">
        <f>IF(OR(A205="Автомат",A205="Дифавтомат"),IF(W205="","",COUNTIFS(Однолинейка!$H$3:$H$3000,U205,Однолинейка!$A$3:$A$3000,Щит_спец)),IF(A205="Аппарат",IF(C205="","",COUNTIFS(Однолинейка!$I$3:$I$3000,C205,Однолинейка!$A$3:$A$3000,Щит_спец)+COUNTIFS(Однолинейка!$J$3:$J$3000,C205,Однолинейка!$A$3:$A$3000,Щит_спец)+COUNTIFS(Однолинейка!$K$3:$K$3000,C205,Однолинейка!$A$3:$A$3000,Щит_спец)),IF(A205="Модуль",IF(C205="","",COUNTIFS(Однолинейка!$AW$3:$AW$3000,"?*",Однолинейка!$AI$3:$AI$3000,C205,Однолинейка!$A$3:$A$3000,Щит_спец)),IF(A205="Клемма",IF(C205="","",IF(C205=$S$7,SUMIFS(Однолинейка!$BW$3:$BW$3000,Однолинейка!$A$3:$A$3000,Щит_спец),IF(C205=$S$8,SUMIFS(Однолинейка!$BX$3:$BX$3000,Однолинейка!$A$3:$A$3000,Щит_спец),""))),""))))</f>
        <v/>
      </c>
      <c r="O205" s="74"/>
      <c r="P205" s="38" t="str">
        <f t="shared" si="27"/>
        <v/>
      </c>
      <c r="U205" s="38" t="str">
        <f t="shared" si="28"/>
        <v/>
      </c>
      <c r="V205" s="38" t="str">
        <f t="shared" si="29"/>
        <v/>
      </c>
      <c r="W205" s="38" t="str">
        <f>IF(AND(U205&lt;&gt;"",OR($S$4="(все)",B205=$S$4),IF($S$4="(все)",COUNTIF($U$4:U205,U205),COUNTIFS($U$4:U205,U205,$B$4:B205,B205))=1),MAX($W$3:W204)+1,"")</f>
        <v/>
      </c>
      <c r="X205" s="38" t="str">
        <f t="shared" si="30"/>
        <v/>
      </c>
      <c r="Y205" s="38" t="str">
        <f>IF(AND(A205="Аппарат",C205&lt;&gt;"",OR($S$5="(все)",B205=$S$5)),MAX($Y$3:Y204)+1,"")</f>
        <v/>
      </c>
      <c r="Z205" s="38" t="str">
        <f t="shared" si="31"/>
        <v/>
      </c>
      <c r="AA205" s="38" t="str">
        <f>IF(AND(A205="Модуль",C205&lt;&gt;"",OR($S$6="(все)",B205=$S$6)),MAX($AA$3:AA204)+1,"")</f>
        <v/>
      </c>
      <c r="AB205" s="38" t="str">
        <f t="shared" si="32"/>
        <v/>
      </c>
      <c r="AC205" s="38" t="str">
        <f>IF(OR(B205="",COUNTIF($B$4:B205,B205)&gt;1),"",MAX($AC$3:AC204)+1)</f>
        <v/>
      </c>
      <c r="AD205" s="38" t="str">
        <f t="shared" si="33"/>
        <v/>
      </c>
      <c r="AE205" s="38" t="str">
        <f t="shared" si="34"/>
        <v/>
      </c>
      <c r="AF205" s="38" t="str">
        <f t="shared" si="35"/>
        <v/>
      </c>
    </row>
    <row r="206" spans="1:32" x14ac:dyDescent="0.3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38" t="str">
        <f>IF(OR(A206="Автомат",A206="Дифавтомат"),IF(W206="","",COUNTIFS(Однолинейка!$H$3:$H$3000,U206,Однолинейка!$A$3:$A$3000,Щит_спец)),IF(A206="Аппарат",IF(C206="","",COUNTIFS(Однолинейка!$I$3:$I$3000,C206,Однолинейка!$A$3:$A$3000,Щит_спец)+COUNTIFS(Однолинейка!$J$3:$J$3000,C206,Однолинейка!$A$3:$A$3000,Щит_спец)+COUNTIFS(Однолинейка!$K$3:$K$3000,C206,Однолинейка!$A$3:$A$3000,Щит_спец)),IF(A206="Модуль",IF(C206="","",COUNTIFS(Однолинейка!$AW$3:$AW$3000,"?*",Однолинейка!$AI$3:$AI$3000,C206,Однолинейка!$A$3:$A$3000,Щит_спец)),IF(A206="Клемма",IF(C206="","",IF(C206=$S$7,SUMIFS(Однолинейка!$BW$3:$BW$3000,Однолинейка!$A$3:$A$3000,Щит_спец),IF(C206=$S$8,SUMIFS(Однолинейка!$BX$3:$BX$3000,Однолинейка!$A$3:$A$3000,Щит_спец),""))),""))))</f>
        <v/>
      </c>
      <c r="O206" s="74"/>
      <c r="P206" s="38" t="str">
        <f t="shared" si="27"/>
        <v/>
      </c>
      <c r="U206" s="38" t="str">
        <f t="shared" si="28"/>
        <v/>
      </c>
      <c r="V206" s="38" t="str">
        <f t="shared" si="29"/>
        <v/>
      </c>
      <c r="W206" s="38" t="str">
        <f>IF(AND(U206&lt;&gt;"",OR($S$4="(все)",B206=$S$4),IF($S$4="(все)",COUNTIF($U$4:U206,U206),COUNTIFS($U$4:U206,U206,$B$4:B206,B206))=1),MAX($W$3:W205)+1,"")</f>
        <v/>
      </c>
      <c r="X206" s="38" t="str">
        <f t="shared" si="30"/>
        <v/>
      </c>
      <c r="Y206" s="38" t="str">
        <f>IF(AND(A206="Аппарат",C206&lt;&gt;"",OR($S$5="(все)",B206=$S$5)),MAX($Y$3:Y205)+1,"")</f>
        <v/>
      </c>
      <c r="Z206" s="38" t="str">
        <f t="shared" si="31"/>
        <v/>
      </c>
      <c r="AA206" s="38" t="str">
        <f>IF(AND(A206="Модуль",C206&lt;&gt;"",OR($S$6="(все)",B206=$S$6)),MAX($AA$3:AA205)+1,"")</f>
        <v/>
      </c>
      <c r="AB206" s="38" t="str">
        <f t="shared" si="32"/>
        <v/>
      </c>
      <c r="AC206" s="38" t="str">
        <f>IF(OR(B206="",COUNTIF($B$4:B206,B206)&gt;1),"",MAX($AC$3:AC205)+1)</f>
        <v/>
      </c>
      <c r="AD206" s="38" t="str">
        <f t="shared" si="33"/>
        <v/>
      </c>
      <c r="AE206" s="38" t="str">
        <f t="shared" si="34"/>
        <v/>
      </c>
      <c r="AF206" s="38" t="str">
        <f t="shared" si="35"/>
        <v/>
      </c>
    </row>
    <row r="207" spans="1:32" x14ac:dyDescent="0.3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38" t="str">
        <f>IF(OR(A207="Автомат",A207="Дифавтомат"),IF(W207="","",COUNTIFS(Однолинейка!$H$3:$H$3000,U207,Однолинейка!$A$3:$A$3000,Щит_спец)),IF(A207="Аппарат",IF(C207="","",COUNTIFS(Однолинейка!$I$3:$I$3000,C207,Однолинейка!$A$3:$A$3000,Щит_спец)+COUNTIFS(Однолинейка!$J$3:$J$3000,C207,Однолинейка!$A$3:$A$3000,Щит_спец)+COUNTIFS(Однолинейка!$K$3:$K$3000,C207,Однолинейка!$A$3:$A$3000,Щит_спец)),IF(A207="Модуль",IF(C207="","",COUNTIFS(Однолинейка!$AW$3:$AW$3000,"?*",Однолинейка!$AI$3:$AI$3000,C207,Однолинейка!$A$3:$A$3000,Щит_спец)),IF(A207="Клемма",IF(C207="","",IF(C207=$S$7,SUMIFS(Однолинейка!$BW$3:$BW$3000,Однолинейка!$A$3:$A$3000,Щит_спец),IF(C207=$S$8,SUMIFS(Однолинейка!$BX$3:$BX$3000,Однолинейка!$A$3:$A$3000,Щит_спец),""))),""))))</f>
        <v/>
      </c>
      <c r="O207" s="74"/>
      <c r="P207" s="38" t="str">
        <f t="shared" si="27"/>
        <v/>
      </c>
      <c r="U207" s="38" t="str">
        <f t="shared" si="28"/>
        <v/>
      </c>
      <c r="V207" s="38" t="str">
        <f t="shared" si="29"/>
        <v/>
      </c>
      <c r="W207" s="38" t="str">
        <f>IF(AND(U207&lt;&gt;"",OR($S$4="(все)",B207=$S$4),IF($S$4="(все)",COUNTIF($U$4:U207,U207),COUNTIFS($U$4:U207,U207,$B$4:B207,B207))=1),MAX($W$3:W206)+1,"")</f>
        <v/>
      </c>
      <c r="X207" s="38" t="str">
        <f t="shared" si="30"/>
        <v/>
      </c>
      <c r="Y207" s="38" t="str">
        <f>IF(AND(A207="Аппарат",C207&lt;&gt;"",OR($S$5="(все)",B207=$S$5)),MAX($Y$3:Y206)+1,"")</f>
        <v/>
      </c>
      <c r="Z207" s="38" t="str">
        <f t="shared" si="31"/>
        <v/>
      </c>
      <c r="AA207" s="38" t="str">
        <f>IF(AND(A207="Модуль",C207&lt;&gt;"",OR($S$6="(все)",B207=$S$6)),MAX($AA$3:AA206)+1,"")</f>
        <v/>
      </c>
      <c r="AB207" s="38" t="str">
        <f t="shared" si="32"/>
        <v/>
      </c>
      <c r="AC207" s="38" t="str">
        <f>IF(OR(B207="",COUNTIF($B$4:B207,B207)&gt;1),"",MAX($AC$3:AC206)+1)</f>
        <v/>
      </c>
      <c r="AD207" s="38" t="str">
        <f t="shared" si="33"/>
        <v/>
      </c>
      <c r="AE207" s="38" t="str">
        <f t="shared" si="34"/>
        <v/>
      </c>
      <c r="AF207" s="38" t="str">
        <f t="shared" si="35"/>
        <v/>
      </c>
    </row>
    <row r="208" spans="1:32" x14ac:dyDescent="0.3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38" t="str">
        <f>IF(OR(A208="Автомат",A208="Дифавтомат"),IF(W208="","",COUNTIFS(Однолинейка!$H$3:$H$3000,U208,Однолинейка!$A$3:$A$3000,Щит_спец)),IF(A208="Аппарат",IF(C208="","",COUNTIFS(Однолинейка!$I$3:$I$3000,C208,Однолинейка!$A$3:$A$3000,Щит_спец)+COUNTIFS(Однолинейка!$J$3:$J$3000,C208,Однолинейка!$A$3:$A$3000,Щит_спец)+COUNTIFS(Однолинейка!$K$3:$K$3000,C208,Однолинейка!$A$3:$A$3000,Щит_спец)),IF(A208="Модуль",IF(C208="","",COUNTIFS(Однолинейка!$AW$3:$AW$3000,"?*",Однолинейка!$AI$3:$AI$3000,C208,Однолинейка!$A$3:$A$3000,Щит_спец)),IF(A208="Клемма",IF(C208="","",IF(C208=$S$7,SUMIFS(Однолинейка!$BW$3:$BW$3000,Однолинейка!$A$3:$A$3000,Щит_спец),IF(C208=$S$8,SUMIFS(Однолинейка!$BX$3:$BX$3000,Однолинейка!$A$3:$A$3000,Щит_спец),""))),""))))</f>
        <v/>
      </c>
      <c r="O208" s="74"/>
      <c r="P208" s="38" t="str">
        <f t="shared" si="27"/>
        <v/>
      </c>
      <c r="U208" s="38" t="str">
        <f t="shared" si="28"/>
        <v/>
      </c>
      <c r="V208" s="38" t="str">
        <f t="shared" si="29"/>
        <v/>
      </c>
      <c r="W208" s="38" t="str">
        <f>IF(AND(U208&lt;&gt;"",OR($S$4="(все)",B208=$S$4),IF($S$4="(все)",COUNTIF($U$4:U208,U208),COUNTIFS($U$4:U208,U208,$B$4:B208,B208))=1),MAX($W$3:W207)+1,"")</f>
        <v/>
      </c>
      <c r="X208" s="38" t="str">
        <f t="shared" si="30"/>
        <v/>
      </c>
      <c r="Y208" s="38" t="str">
        <f>IF(AND(A208="Аппарат",C208&lt;&gt;"",OR($S$5="(все)",B208=$S$5)),MAX($Y$3:Y207)+1,"")</f>
        <v/>
      </c>
      <c r="Z208" s="38" t="str">
        <f t="shared" si="31"/>
        <v/>
      </c>
      <c r="AA208" s="38" t="str">
        <f>IF(AND(A208="Модуль",C208&lt;&gt;"",OR($S$6="(все)",B208=$S$6)),MAX($AA$3:AA207)+1,"")</f>
        <v/>
      </c>
      <c r="AB208" s="38" t="str">
        <f t="shared" si="32"/>
        <v/>
      </c>
      <c r="AC208" s="38" t="str">
        <f>IF(OR(B208="",COUNTIF($B$4:B208,B208)&gt;1),"",MAX($AC$3:AC207)+1)</f>
        <v/>
      </c>
      <c r="AD208" s="38" t="str">
        <f t="shared" si="33"/>
        <v/>
      </c>
      <c r="AE208" s="38" t="str">
        <f t="shared" si="34"/>
        <v/>
      </c>
      <c r="AF208" s="38" t="str">
        <f t="shared" si="35"/>
        <v/>
      </c>
    </row>
    <row r="209" spans="1:32" x14ac:dyDescent="0.3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38" t="str">
        <f>IF(OR(A209="Автомат",A209="Дифавтомат"),IF(W209="","",COUNTIFS(Однолинейка!$H$3:$H$3000,U209,Однолинейка!$A$3:$A$3000,Щит_спец)),IF(A209="Аппарат",IF(C209="","",COUNTIFS(Однолинейка!$I$3:$I$3000,C209,Однолинейка!$A$3:$A$3000,Щит_спец)+COUNTIFS(Однолинейка!$J$3:$J$3000,C209,Однолинейка!$A$3:$A$3000,Щит_спец)+COUNTIFS(Однолинейка!$K$3:$K$3000,C209,Однолинейка!$A$3:$A$3000,Щит_спец)),IF(A209="Модуль",IF(C209="","",COUNTIFS(Однолинейка!$AW$3:$AW$3000,"?*",Однолинейка!$AI$3:$AI$3000,C209,Однолинейка!$A$3:$A$3000,Щит_спец)),IF(A209="Клемма",IF(C209="","",IF(C209=$S$7,SUMIFS(Однолинейка!$BW$3:$BW$3000,Однолинейка!$A$3:$A$3000,Щит_спец),IF(C209=$S$8,SUMIFS(Однолинейка!$BX$3:$BX$3000,Однолинейка!$A$3:$A$3000,Щит_спец),""))),""))))</f>
        <v/>
      </c>
      <c r="O209" s="74"/>
      <c r="P209" s="38" t="str">
        <f t="shared" si="27"/>
        <v/>
      </c>
      <c r="U209" s="38" t="str">
        <f t="shared" si="28"/>
        <v/>
      </c>
      <c r="V209" s="38" t="str">
        <f t="shared" si="29"/>
        <v/>
      </c>
      <c r="W209" s="38" t="str">
        <f>IF(AND(U209&lt;&gt;"",OR($S$4="(все)",B209=$S$4),IF($S$4="(все)",COUNTIF($U$4:U209,U209),COUNTIFS($U$4:U209,U209,$B$4:B209,B209))=1),MAX($W$3:W208)+1,"")</f>
        <v/>
      </c>
      <c r="X209" s="38" t="str">
        <f t="shared" si="30"/>
        <v/>
      </c>
      <c r="Y209" s="38" t="str">
        <f>IF(AND(A209="Аппарат",C209&lt;&gt;"",OR($S$5="(все)",B209=$S$5)),MAX($Y$3:Y208)+1,"")</f>
        <v/>
      </c>
      <c r="Z209" s="38" t="str">
        <f t="shared" si="31"/>
        <v/>
      </c>
      <c r="AA209" s="38" t="str">
        <f>IF(AND(A209="Модуль",C209&lt;&gt;"",OR($S$6="(все)",B209=$S$6)),MAX($AA$3:AA208)+1,"")</f>
        <v/>
      </c>
      <c r="AB209" s="38" t="str">
        <f t="shared" si="32"/>
        <v/>
      </c>
      <c r="AC209" s="38" t="str">
        <f>IF(OR(B209="",COUNTIF($B$4:B209,B209)&gt;1),"",MAX($AC$3:AC208)+1)</f>
        <v/>
      </c>
      <c r="AD209" s="38" t="str">
        <f t="shared" si="33"/>
        <v/>
      </c>
      <c r="AE209" s="38" t="str">
        <f t="shared" si="34"/>
        <v/>
      </c>
      <c r="AF209" s="38" t="str">
        <f t="shared" si="35"/>
        <v/>
      </c>
    </row>
    <row r="210" spans="1:32" x14ac:dyDescent="0.3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38" t="str">
        <f>IF(OR(A210="Автомат",A210="Дифавтомат"),IF(W210="","",COUNTIFS(Однолинейка!$H$3:$H$3000,U210,Однолинейка!$A$3:$A$3000,Щит_спец)),IF(A210="Аппарат",IF(C210="","",COUNTIFS(Однолинейка!$I$3:$I$3000,C210,Однолинейка!$A$3:$A$3000,Щит_спец)+COUNTIFS(Однолинейка!$J$3:$J$3000,C210,Однолинейка!$A$3:$A$3000,Щит_спец)+COUNTIFS(Однолинейка!$K$3:$K$3000,C210,Однолинейка!$A$3:$A$3000,Щит_спец)),IF(A210="Модуль",IF(C210="","",COUNTIFS(Однолинейка!$AW$3:$AW$3000,"?*",Однолинейка!$AI$3:$AI$3000,C210,Однолинейка!$A$3:$A$3000,Щит_спец)),IF(A210="Клемма",IF(C210="","",IF(C210=$S$7,SUMIFS(Однолинейка!$BW$3:$BW$3000,Однолинейка!$A$3:$A$3000,Щит_спец),IF(C210=$S$8,SUMIFS(Однолинейка!$BX$3:$BX$3000,Однолинейка!$A$3:$A$3000,Щит_спец),""))),""))))</f>
        <v/>
      </c>
      <c r="O210" s="74"/>
      <c r="P210" s="38" t="str">
        <f t="shared" si="27"/>
        <v/>
      </c>
      <c r="U210" s="38" t="str">
        <f t="shared" si="28"/>
        <v/>
      </c>
      <c r="V210" s="38" t="str">
        <f t="shared" si="29"/>
        <v/>
      </c>
      <c r="W210" s="38" t="str">
        <f>IF(AND(U210&lt;&gt;"",OR($S$4="(все)",B210=$S$4),IF($S$4="(все)",COUNTIF($U$4:U210,U210),COUNTIFS($U$4:U210,U210,$B$4:B210,B210))=1),MAX($W$3:W209)+1,"")</f>
        <v/>
      </c>
      <c r="X210" s="38" t="str">
        <f t="shared" si="30"/>
        <v/>
      </c>
      <c r="Y210" s="38" t="str">
        <f>IF(AND(A210="Аппарат",C210&lt;&gt;"",OR($S$5="(все)",B210=$S$5)),MAX($Y$3:Y209)+1,"")</f>
        <v/>
      </c>
      <c r="Z210" s="38" t="str">
        <f t="shared" si="31"/>
        <v/>
      </c>
      <c r="AA210" s="38" t="str">
        <f>IF(AND(A210="Модуль",C210&lt;&gt;"",OR($S$6="(все)",B210=$S$6)),MAX($AA$3:AA209)+1,"")</f>
        <v/>
      </c>
      <c r="AB210" s="38" t="str">
        <f t="shared" si="32"/>
        <v/>
      </c>
      <c r="AC210" s="38" t="str">
        <f>IF(OR(B210="",COUNTIF($B$4:B210,B210)&gt;1),"",MAX($AC$3:AC209)+1)</f>
        <v/>
      </c>
      <c r="AD210" s="38" t="str">
        <f t="shared" si="33"/>
        <v/>
      </c>
      <c r="AE210" s="38" t="str">
        <f t="shared" si="34"/>
        <v/>
      </c>
      <c r="AF210" s="38" t="str">
        <f t="shared" si="35"/>
        <v/>
      </c>
    </row>
    <row r="211" spans="1:32" x14ac:dyDescent="0.3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38" t="str">
        <f>IF(OR(A211="Автомат",A211="Дифавтомат"),IF(W211="","",COUNTIFS(Однолинейка!$H$3:$H$3000,U211,Однолинейка!$A$3:$A$3000,Щит_спец)),IF(A211="Аппарат",IF(C211="","",COUNTIFS(Однолинейка!$I$3:$I$3000,C211,Однолинейка!$A$3:$A$3000,Щит_спец)+COUNTIFS(Однолинейка!$J$3:$J$3000,C211,Однолинейка!$A$3:$A$3000,Щит_спец)+COUNTIFS(Однолинейка!$K$3:$K$3000,C211,Однолинейка!$A$3:$A$3000,Щит_спец)),IF(A211="Модуль",IF(C211="","",COUNTIFS(Однолинейка!$AW$3:$AW$3000,"?*",Однолинейка!$AI$3:$AI$3000,C211,Однолинейка!$A$3:$A$3000,Щит_спец)),IF(A211="Клемма",IF(C211="","",IF(C211=$S$7,SUMIFS(Однолинейка!$BW$3:$BW$3000,Однолинейка!$A$3:$A$3000,Щит_спец),IF(C211=$S$8,SUMIFS(Однолинейка!$BX$3:$BX$3000,Однолинейка!$A$3:$A$3000,Щит_спец),""))),""))))</f>
        <v/>
      </c>
      <c r="O211" s="74"/>
      <c r="P211" s="38" t="str">
        <f t="shared" si="27"/>
        <v/>
      </c>
      <c r="U211" s="38" t="str">
        <f t="shared" si="28"/>
        <v/>
      </c>
      <c r="V211" s="38" t="str">
        <f t="shared" si="29"/>
        <v/>
      </c>
      <c r="W211" s="38" t="str">
        <f>IF(AND(U211&lt;&gt;"",OR($S$4="(все)",B211=$S$4),IF($S$4="(все)",COUNTIF($U$4:U211,U211),COUNTIFS($U$4:U211,U211,$B$4:B211,B211))=1),MAX($W$3:W210)+1,"")</f>
        <v/>
      </c>
      <c r="X211" s="38" t="str">
        <f t="shared" si="30"/>
        <v/>
      </c>
      <c r="Y211" s="38" t="str">
        <f>IF(AND(A211="Аппарат",C211&lt;&gt;"",OR($S$5="(все)",B211=$S$5)),MAX($Y$3:Y210)+1,"")</f>
        <v/>
      </c>
      <c r="Z211" s="38" t="str">
        <f t="shared" si="31"/>
        <v/>
      </c>
      <c r="AA211" s="38" t="str">
        <f>IF(AND(A211="Модуль",C211&lt;&gt;"",OR($S$6="(все)",B211=$S$6)),MAX($AA$3:AA210)+1,"")</f>
        <v/>
      </c>
      <c r="AB211" s="38" t="str">
        <f t="shared" si="32"/>
        <v/>
      </c>
      <c r="AC211" s="38" t="str">
        <f>IF(OR(B211="",COUNTIF($B$4:B211,B211)&gt;1),"",MAX($AC$3:AC210)+1)</f>
        <v/>
      </c>
      <c r="AD211" s="38" t="str">
        <f t="shared" si="33"/>
        <v/>
      </c>
      <c r="AE211" s="38" t="str">
        <f t="shared" si="34"/>
        <v/>
      </c>
      <c r="AF211" s="38" t="str">
        <f t="shared" si="35"/>
        <v/>
      </c>
    </row>
    <row r="212" spans="1:32" x14ac:dyDescent="0.3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38" t="str">
        <f>IF(OR(A212="Автомат",A212="Дифавтомат"),IF(W212="","",COUNTIFS(Однолинейка!$H$3:$H$3000,U212,Однолинейка!$A$3:$A$3000,Щит_спец)),IF(A212="Аппарат",IF(C212="","",COUNTIFS(Однолинейка!$I$3:$I$3000,C212,Однолинейка!$A$3:$A$3000,Щит_спец)+COUNTIFS(Однолинейка!$J$3:$J$3000,C212,Однолинейка!$A$3:$A$3000,Щит_спец)+COUNTIFS(Однолинейка!$K$3:$K$3000,C212,Однолинейка!$A$3:$A$3000,Щит_спец)),IF(A212="Модуль",IF(C212="","",COUNTIFS(Однолинейка!$AW$3:$AW$3000,"?*",Однолинейка!$AI$3:$AI$3000,C212,Однолинейка!$A$3:$A$3000,Щит_спец)),IF(A212="Клемма",IF(C212="","",IF(C212=$S$7,SUMIFS(Однолинейка!$BW$3:$BW$3000,Однолинейка!$A$3:$A$3000,Щит_спец),IF(C212=$S$8,SUMIFS(Однолинейка!$BX$3:$BX$3000,Однолинейка!$A$3:$A$3000,Щит_спец),""))),""))))</f>
        <v/>
      </c>
      <c r="O212" s="74"/>
      <c r="P212" s="38" t="str">
        <f t="shared" si="27"/>
        <v/>
      </c>
      <c r="U212" s="38" t="str">
        <f t="shared" si="28"/>
        <v/>
      </c>
      <c r="V212" s="38" t="str">
        <f t="shared" si="29"/>
        <v/>
      </c>
      <c r="W212" s="38" t="str">
        <f>IF(AND(U212&lt;&gt;"",OR($S$4="(все)",B212=$S$4),IF($S$4="(все)",COUNTIF($U$4:U212,U212),COUNTIFS($U$4:U212,U212,$B$4:B212,B212))=1),MAX($W$3:W211)+1,"")</f>
        <v/>
      </c>
      <c r="X212" s="38" t="str">
        <f t="shared" si="30"/>
        <v/>
      </c>
      <c r="Y212" s="38" t="str">
        <f>IF(AND(A212="Аппарат",C212&lt;&gt;"",OR($S$5="(все)",B212=$S$5)),MAX($Y$3:Y211)+1,"")</f>
        <v/>
      </c>
      <c r="Z212" s="38" t="str">
        <f t="shared" si="31"/>
        <v/>
      </c>
      <c r="AA212" s="38" t="str">
        <f>IF(AND(A212="Модуль",C212&lt;&gt;"",OR($S$6="(все)",B212=$S$6)),MAX($AA$3:AA211)+1,"")</f>
        <v/>
      </c>
      <c r="AB212" s="38" t="str">
        <f t="shared" si="32"/>
        <v/>
      </c>
      <c r="AC212" s="38" t="str">
        <f>IF(OR(B212="",COUNTIF($B$4:B212,B212)&gt;1),"",MAX($AC$3:AC211)+1)</f>
        <v/>
      </c>
      <c r="AD212" s="38" t="str">
        <f t="shared" si="33"/>
        <v/>
      </c>
      <c r="AE212" s="38" t="str">
        <f t="shared" si="34"/>
        <v/>
      </c>
      <c r="AF212" s="38" t="str">
        <f t="shared" si="35"/>
        <v/>
      </c>
    </row>
    <row r="213" spans="1:32" x14ac:dyDescent="0.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38" t="str">
        <f>IF(OR(A213="Автомат",A213="Дифавтомат"),IF(W213="","",COUNTIFS(Однолинейка!$H$3:$H$3000,U213,Однолинейка!$A$3:$A$3000,Щит_спец)),IF(A213="Аппарат",IF(C213="","",COUNTIFS(Однолинейка!$I$3:$I$3000,C213,Однолинейка!$A$3:$A$3000,Щит_спец)+COUNTIFS(Однолинейка!$J$3:$J$3000,C213,Однолинейка!$A$3:$A$3000,Щит_спец)+COUNTIFS(Однолинейка!$K$3:$K$3000,C213,Однолинейка!$A$3:$A$3000,Щит_спец)),IF(A213="Модуль",IF(C213="","",COUNTIFS(Однолинейка!$AW$3:$AW$3000,"?*",Однолинейка!$AI$3:$AI$3000,C213,Однолинейка!$A$3:$A$3000,Щит_спец)),IF(A213="Клемма",IF(C213="","",IF(C213=$S$7,SUMIFS(Однолинейка!$BW$3:$BW$3000,Однолинейка!$A$3:$A$3000,Щит_спец),IF(C213=$S$8,SUMIFS(Однолинейка!$BX$3:$BX$3000,Однолинейка!$A$3:$A$3000,Щит_спец),""))),""))))</f>
        <v/>
      </c>
      <c r="O213" s="74"/>
      <c r="P213" s="38" t="str">
        <f t="shared" si="27"/>
        <v/>
      </c>
      <c r="U213" s="38" t="str">
        <f t="shared" si="28"/>
        <v/>
      </c>
      <c r="V213" s="38" t="str">
        <f t="shared" si="29"/>
        <v/>
      </c>
      <c r="W213" s="38" t="str">
        <f>IF(AND(U213&lt;&gt;"",OR($S$4="(все)",B213=$S$4),IF($S$4="(все)",COUNTIF($U$4:U213,U213),COUNTIFS($U$4:U213,U213,$B$4:B213,B213))=1),MAX($W$3:W212)+1,"")</f>
        <v/>
      </c>
      <c r="X213" s="38" t="str">
        <f t="shared" si="30"/>
        <v/>
      </c>
      <c r="Y213" s="38" t="str">
        <f>IF(AND(A213="Аппарат",C213&lt;&gt;"",OR($S$5="(все)",B213=$S$5)),MAX($Y$3:Y212)+1,"")</f>
        <v/>
      </c>
      <c r="Z213" s="38" t="str">
        <f t="shared" si="31"/>
        <v/>
      </c>
      <c r="AA213" s="38" t="str">
        <f>IF(AND(A213="Модуль",C213&lt;&gt;"",OR($S$6="(все)",B213=$S$6)),MAX($AA$3:AA212)+1,"")</f>
        <v/>
      </c>
      <c r="AB213" s="38" t="str">
        <f t="shared" si="32"/>
        <v/>
      </c>
      <c r="AC213" s="38" t="str">
        <f>IF(OR(B213="",COUNTIF($B$4:B213,B213)&gt;1),"",MAX($AC$3:AC212)+1)</f>
        <v/>
      </c>
      <c r="AD213" s="38" t="str">
        <f t="shared" si="33"/>
        <v/>
      </c>
      <c r="AE213" s="38" t="str">
        <f t="shared" si="34"/>
        <v/>
      </c>
      <c r="AF213" s="38" t="str">
        <f t="shared" si="35"/>
        <v/>
      </c>
    </row>
    <row r="214" spans="1:32" x14ac:dyDescent="0.3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38" t="str">
        <f>IF(OR(A214="Автомат",A214="Дифавтомат"),IF(W214="","",COUNTIFS(Однолинейка!$H$3:$H$3000,U214,Однолинейка!$A$3:$A$3000,Щит_спец)),IF(A214="Аппарат",IF(C214="","",COUNTIFS(Однолинейка!$I$3:$I$3000,C214,Однолинейка!$A$3:$A$3000,Щит_спец)+COUNTIFS(Однолинейка!$J$3:$J$3000,C214,Однолинейка!$A$3:$A$3000,Щит_спец)+COUNTIFS(Однолинейка!$K$3:$K$3000,C214,Однолинейка!$A$3:$A$3000,Щит_спец)),IF(A214="Модуль",IF(C214="","",COUNTIFS(Однолинейка!$AW$3:$AW$3000,"?*",Однолинейка!$AI$3:$AI$3000,C214,Однолинейка!$A$3:$A$3000,Щит_спец)),IF(A214="Клемма",IF(C214="","",IF(C214=$S$7,SUMIFS(Однолинейка!$BW$3:$BW$3000,Однолинейка!$A$3:$A$3000,Щит_спец),IF(C214=$S$8,SUMIFS(Однолинейка!$BX$3:$BX$3000,Однолинейка!$A$3:$A$3000,Щит_спец),""))),""))))</f>
        <v/>
      </c>
      <c r="O214" s="74"/>
      <c r="P214" s="38" t="str">
        <f t="shared" si="27"/>
        <v/>
      </c>
      <c r="U214" s="38" t="str">
        <f t="shared" si="28"/>
        <v/>
      </c>
      <c r="V214" s="38" t="str">
        <f t="shared" si="29"/>
        <v/>
      </c>
      <c r="W214" s="38" t="str">
        <f>IF(AND(U214&lt;&gt;"",OR($S$4="(все)",B214=$S$4),IF($S$4="(все)",COUNTIF($U$4:U214,U214),COUNTIFS($U$4:U214,U214,$B$4:B214,B214))=1),MAX($W$3:W213)+1,"")</f>
        <v/>
      </c>
      <c r="X214" s="38" t="str">
        <f t="shared" si="30"/>
        <v/>
      </c>
      <c r="Y214" s="38" t="str">
        <f>IF(AND(A214="Аппарат",C214&lt;&gt;"",OR($S$5="(все)",B214=$S$5)),MAX($Y$3:Y213)+1,"")</f>
        <v/>
      </c>
      <c r="Z214" s="38" t="str">
        <f t="shared" si="31"/>
        <v/>
      </c>
      <c r="AA214" s="38" t="str">
        <f>IF(AND(A214="Модуль",C214&lt;&gt;"",OR($S$6="(все)",B214=$S$6)),MAX($AA$3:AA213)+1,"")</f>
        <v/>
      </c>
      <c r="AB214" s="38" t="str">
        <f t="shared" si="32"/>
        <v/>
      </c>
      <c r="AC214" s="38" t="str">
        <f>IF(OR(B214="",COUNTIF($B$4:B214,B214)&gt;1),"",MAX($AC$3:AC213)+1)</f>
        <v/>
      </c>
      <c r="AD214" s="38" t="str">
        <f t="shared" si="33"/>
        <v/>
      </c>
      <c r="AE214" s="38" t="str">
        <f t="shared" si="34"/>
        <v/>
      </c>
      <c r="AF214" s="38" t="str">
        <f t="shared" si="35"/>
        <v/>
      </c>
    </row>
    <row r="215" spans="1:32" x14ac:dyDescent="0.3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38" t="str">
        <f>IF(OR(A215="Автомат",A215="Дифавтомат"),IF(W215="","",COUNTIFS(Однолинейка!$H$3:$H$3000,U215,Однолинейка!$A$3:$A$3000,Щит_спец)),IF(A215="Аппарат",IF(C215="","",COUNTIFS(Однолинейка!$I$3:$I$3000,C215,Однолинейка!$A$3:$A$3000,Щит_спец)+COUNTIFS(Однолинейка!$J$3:$J$3000,C215,Однолинейка!$A$3:$A$3000,Щит_спец)+COUNTIFS(Однолинейка!$K$3:$K$3000,C215,Однолинейка!$A$3:$A$3000,Щит_спец)),IF(A215="Модуль",IF(C215="","",COUNTIFS(Однолинейка!$AW$3:$AW$3000,"?*",Однолинейка!$AI$3:$AI$3000,C215,Однолинейка!$A$3:$A$3000,Щит_спец)),IF(A215="Клемма",IF(C215="","",IF(C215=$S$7,SUMIFS(Однолинейка!$BW$3:$BW$3000,Однолинейка!$A$3:$A$3000,Щит_спец),IF(C215=$S$8,SUMIFS(Однолинейка!$BX$3:$BX$3000,Однолинейка!$A$3:$A$3000,Щит_спец),""))),""))))</f>
        <v/>
      </c>
      <c r="O215" s="74"/>
      <c r="P215" s="38" t="str">
        <f t="shared" si="27"/>
        <v/>
      </c>
      <c r="U215" s="38" t="str">
        <f t="shared" si="28"/>
        <v/>
      </c>
      <c r="V215" s="38" t="str">
        <f t="shared" si="29"/>
        <v/>
      </c>
      <c r="W215" s="38" t="str">
        <f>IF(AND(U215&lt;&gt;"",OR($S$4="(все)",B215=$S$4),IF($S$4="(все)",COUNTIF($U$4:U215,U215),COUNTIFS($U$4:U215,U215,$B$4:B215,B215))=1),MAX($W$3:W214)+1,"")</f>
        <v/>
      </c>
      <c r="X215" s="38" t="str">
        <f t="shared" si="30"/>
        <v/>
      </c>
      <c r="Y215" s="38" t="str">
        <f>IF(AND(A215="Аппарат",C215&lt;&gt;"",OR($S$5="(все)",B215=$S$5)),MAX($Y$3:Y214)+1,"")</f>
        <v/>
      </c>
      <c r="Z215" s="38" t="str">
        <f t="shared" si="31"/>
        <v/>
      </c>
      <c r="AA215" s="38" t="str">
        <f>IF(AND(A215="Модуль",C215&lt;&gt;"",OR($S$6="(все)",B215=$S$6)),MAX($AA$3:AA214)+1,"")</f>
        <v/>
      </c>
      <c r="AB215" s="38" t="str">
        <f t="shared" si="32"/>
        <v/>
      </c>
      <c r="AC215" s="38" t="str">
        <f>IF(OR(B215="",COUNTIF($B$4:B215,B215)&gt;1),"",MAX($AC$3:AC214)+1)</f>
        <v/>
      </c>
      <c r="AD215" s="38" t="str">
        <f t="shared" si="33"/>
        <v/>
      </c>
      <c r="AE215" s="38" t="str">
        <f t="shared" si="34"/>
        <v/>
      </c>
      <c r="AF215" s="38" t="str">
        <f t="shared" si="35"/>
        <v/>
      </c>
    </row>
    <row r="216" spans="1:32" x14ac:dyDescent="0.3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38" t="str">
        <f>IF(OR(A216="Автомат",A216="Дифавтомат"),IF(W216="","",COUNTIFS(Однолинейка!$H$3:$H$3000,U216,Однолинейка!$A$3:$A$3000,Щит_спец)),IF(A216="Аппарат",IF(C216="","",COUNTIFS(Однолинейка!$I$3:$I$3000,C216,Однолинейка!$A$3:$A$3000,Щит_спец)+COUNTIFS(Однолинейка!$J$3:$J$3000,C216,Однолинейка!$A$3:$A$3000,Щит_спец)+COUNTIFS(Однолинейка!$K$3:$K$3000,C216,Однолинейка!$A$3:$A$3000,Щит_спец)),IF(A216="Модуль",IF(C216="","",COUNTIFS(Однолинейка!$AW$3:$AW$3000,"?*",Однолинейка!$AI$3:$AI$3000,C216,Однолинейка!$A$3:$A$3000,Щит_спец)),IF(A216="Клемма",IF(C216="","",IF(C216=$S$7,SUMIFS(Однолинейка!$BW$3:$BW$3000,Однолинейка!$A$3:$A$3000,Щит_спец),IF(C216=$S$8,SUMIFS(Однолинейка!$BX$3:$BX$3000,Однолинейка!$A$3:$A$3000,Щит_спец),""))),""))))</f>
        <v/>
      </c>
      <c r="O216" s="74"/>
      <c r="P216" s="38" t="str">
        <f t="shared" si="27"/>
        <v/>
      </c>
      <c r="U216" s="38" t="str">
        <f t="shared" si="28"/>
        <v/>
      </c>
      <c r="V216" s="38" t="str">
        <f t="shared" si="29"/>
        <v/>
      </c>
      <c r="W216" s="38" t="str">
        <f>IF(AND(U216&lt;&gt;"",OR($S$4="(все)",B216=$S$4),IF($S$4="(все)",COUNTIF($U$4:U216,U216),COUNTIFS($U$4:U216,U216,$B$4:B216,B216))=1),MAX($W$3:W215)+1,"")</f>
        <v/>
      </c>
      <c r="X216" s="38" t="str">
        <f t="shared" si="30"/>
        <v/>
      </c>
      <c r="Y216" s="38" t="str">
        <f>IF(AND(A216="Аппарат",C216&lt;&gt;"",OR($S$5="(все)",B216=$S$5)),MAX($Y$3:Y215)+1,"")</f>
        <v/>
      </c>
      <c r="Z216" s="38" t="str">
        <f t="shared" si="31"/>
        <v/>
      </c>
      <c r="AA216" s="38" t="str">
        <f>IF(AND(A216="Модуль",C216&lt;&gt;"",OR($S$6="(все)",B216=$S$6)),MAX($AA$3:AA215)+1,"")</f>
        <v/>
      </c>
      <c r="AB216" s="38" t="str">
        <f t="shared" si="32"/>
        <v/>
      </c>
      <c r="AC216" s="38" t="str">
        <f>IF(OR(B216="",COUNTIF($B$4:B216,B216)&gt;1),"",MAX($AC$3:AC215)+1)</f>
        <v/>
      </c>
      <c r="AD216" s="38" t="str">
        <f t="shared" si="33"/>
        <v/>
      </c>
      <c r="AE216" s="38" t="str">
        <f t="shared" si="34"/>
        <v/>
      </c>
      <c r="AF216" s="38" t="str">
        <f t="shared" si="35"/>
        <v/>
      </c>
    </row>
    <row r="217" spans="1:32" x14ac:dyDescent="0.3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38" t="str">
        <f>IF(OR(A217="Автомат",A217="Дифавтомат"),IF(W217="","",COUNTIFS(Однолинейка!$H$3:$H$3000,U217,Однолинейка!$A$3:$A$3000,Щит_спец)),IF(A217="Аппарат",IF(C217="","",COUNTIFS(Однолинейка!$I$3:$I$3000,C217,Однолинейка!$A$3:$A$3000,Щит_спец)+COUNTIFS(Однолинейка!$J$3:$J$3000,C217,Однолинейка!$A$3:$A$3000,Щит_спец)+COUNTIFS(Однолинейка!$K$3:$K$3000,C217,Однолинейка!$A$3:$A$3000,Щит_спец)),IF(A217="Модуль",IF(C217="","",COUNTIFS(Однолинейка!$AW$3:$AW$3000,"?*",Однолинейка!$AI$3:$AI$3000,C217,Однолинейка!$A$3:$A$3000,Щит_спец)),IF(A217="Клемма",IF(C217="","",IF(C217=$S$7,SUMIFS(Однолинейка!$BW$3:$BW$3000,Однолинейка!$A$3:$A$3000,Щит_спец),IF(C217=$S$8,SUMIFS(Однолинейка!$BX$3:$BX$3000,Однолинейка!$A$3:$A$3000,Щит_спец),""))),""))))</f>
        <v/>
      </c>
      <c r="O217" s="74"/>
      <c r="P217" s="38" t="str">
        <f t="shared" si="27"/>
        <v/>
      </c>
      <c r="U217" s="38" t="str">
        <f t="shared" si="28"/>
        <v/>
      </c>
      <c r="V217" s="38" t="str">
        <f t="shared" si="29"/>
        <v/>
      </c>
      <c r="W217" s="38" t="str">
        <f>IF(AND(U217&lt;&gt;"",OR($S$4="(все)",B217=$S$4),IF($S$4="(все)",COUNTIF($U$4:U217,U217),COUNTIFS($U$4:U217,U217,$B$4:B217,B217))=1),MAX($W$3:W216)+1,"")</f>
        <v/>
      </c>
      <c r="X217" s="38" t="str">
        <f t="shared" si="30"/>
        <v/>
      </c>
      <c r="Y217" s="38" t="str">
        <f>IF(AND(A217="Аппарат",C217&lt;&gt;"",OR($S$5="(все)",B217=$S$5)),MAX($Y$3:Y216)+1,"")</f>
        <v/>
      </c>
      <c r="Z217" s="38" t="str">
        <f t="shared" si="31"/>
        <v/>
      </c>
      <c r="AA217" s="38" t="str">
        <f>IF(AND(A217="Модуль",C217&lt;&gt;"",OR($S$6="(все)",B217=$S$6)),MAX($AA$3:AA216)+1,"")</f>
        <v/>
      </c>
      <c r="AB217" s="38" t="str">
        <f t="shared" si="32"/>
        <v/>
      </c>
      <c r="AC217" s="38" t="str">
        <f>IF(OR(B217="",COUNTIF($B$4:B217,B217)&gt;1),"",MAX($AC$3:AC216)+1)</f>
        <v/>
      </c>
      <c r="AD217" s="38" t="str">
        <f t="shared" si="33"/>
        <v/>
      </c>
      <c r="AE217" s="38" t="str">
        <f t="shared" si="34"/>
        <v/>
      </c>
      <c r="AF217" s="38" t="str">
        <f t="shared" si="35"/>
        <v/>
      </c>
    </row>
    <row r="218" spans="1:32" x14ac:dyDescent="0.3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38" t="str">
        <f>IF(OR(A218="Автомат",A218="Дифавтомат"),IF(W218="","",COUNTIFS(Однолинейка!$H$3:$H$3000,U218,Однолинейка!$A$3:$A$3000,Щит_спец)),IF(A218="Аппарат",IF(C218="","",COUNTIFS(Однолинейка!$I$3:$I$3000,C218,Однолинейка!$A$3:$A$3000,Щит_спец)+COUNTIFS(Однолинейка!$J$3:$J$3000,C218,Однолинейка!$A$3:$A$3000,Щит_спец)+COUNTIFS(Однолинейка!$K$3:$K$3000,C218,Однолинейка!$A$3:$A$3000,Щит_спец)),IF(A218="Модуль",IF(C218="","",COUNTIFS(Однолинейка!$AW$3:$AW$3000,"?*",Однолинейка!$AI$3:$AI$3000,C218,Однолинейка!$A$3:$A$3000,Щит_спец)),IF(A218="Клемма",IF(C218="","",IF(C218=$S$7,SUMIFS(Однолинейка!$BW$3:$BW$3000,Однолинейка!$A$3:$A$3000,Щит_спец),IF(C218=$S$8,SUMIFS(Однолинейка!$BX$3:$BX$3000,Однолинейка!$A$3:$A$3000,Щит_спец),""))),""))))</f>
        <v/>
      </c>
      <c r="O218" s="74"/>
      <c r="P218" s="38" t="str">
        <f t="shared" si="27"/>
        <v/>
      </c>
      <c r="U218" s="38" t="str">
        <f t="shared" si="28"/>
        <v/>
      </c>
      <c r="V218" s="38" t="str">
        <f t="shared" si="29"/>
        <v/>
      </c>
      <c r="W218" s="38" t="str">
        <f>IF(AND(U218&lt;&gt;"",OR($S$4="(все)",B218=$S$4),IF($S$4="(все)",COUNTIF($U$4:U218,U218),COUNTIFS($U$4:U218,U218,$B$4:B218,B218))=1),MAX($W$3:W217)+1,"")</f>
        <v/>
      </c>
      <c r="X218" s="38" t="str">
        <f t="shared" si="30"/>
        <v/>
      </c>
      <c r="Y218" s="38" t="str">
        <f>IF(AND(A218="Аппарат",C218&lt;&gt;"",OR($S$5="(все)",B218=$S$5)),MAX($Y$3:Y217)+1,"")</f>
        <v/>
      </c>
      <c r="Z218" s="38" t="str">
        <f t="shared" si="31"/>
        <v/>
      </c>
      <c r="AA218" s="38" t="str">
        <f>IF(AND(A218="Модуль",C218&lt;&gt;"",OR($S$6="(все)",B218=$S$6)),MAX($AA$3:AA217)+1,"")</f>
        <v/>
      </c>
      <c r="AB218" s="38" t="str">
        <f t="shared" si="32"/>
        <v/>
      </c>
      <c r="AC218" s="38" t="str">
        <f>IF(OR(B218="",COUNTIF($B$4:B218,B218)&gt;1),"",MAX($AC$3:AC217)+1)</f>
        <v/>
      </c>
      <c r="AD218" s="38" t="str">
        <f t="shared" si="33"/>
        <v/>
      </c>
      <c r="AE218" s="38" t="str">
        <f t="shared" si="34"/>
        <v/>
      </c>
      <c r="AF218" s="38" t="str">
        <f t="shared" si="35"/>
        <v/>
      </c>
    </row>
    <row r="219" spans="1:32" x14ac:dyDescent="0.3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38" t="str">
        <f>IF(OR(A219="Автомат",A219="Дифавтомат"),IF(W219="","",COUNTIFS(Однолинейка!$H$3:$H$3000,U219,Однолинейка!$A$3:$A$3000,Щит_спец)),IF(A219="Аппарат",IF(C219="","",COUNTIFS(Однолинейка!$I$3:$I$3000,C219,Однолинейка!$A$3:$A$3000,Щит_спец)+COUNTIFS(Однолинейка!$J$3:$J$3000,C219,Однолинейка!$A$3:$A$3000,Щит_спец)+COUNTIFS(Однолинейка!$K$3:$K$3000,C219,Однолинейка!$A$3:$A$3000,Щит_спец)),IF(A219="Модуль",IF(C219="","",COUNTIFS(Однолинейка!$AW$3:$AW$3000,"?*",Однолинейка!$AI$3:$AI$3000,C219,Однолинейка!$A$3:$A$3000,Щит_спец)),IF(A219="Клемма",IF(C219="","",IF(C219=$S$7,SUMIFS(Однолинейка!$BW$3:$BW$3000,Однолинейка!$A$3:$A$3000,Щит_спец),IF(C219=$S$8,SUMIFS(Однолинейка!$BX$3:$BX$3000,Однолинейка!$A$3:$A$3000,Щит_спец),""))),""))))</f>
        <v/>
      </c>
      <c r="O219" s="74"/>
      <c r="P219" s="38" t="str">
        <f t="shared" si="27"/>
        <v/>
      </c>
      <c r="U219" s="38" t="str">
        <f t="shared" si="28"/>
        <v/>
      </c>
      <c r="V219" s="38" t="str">
        <f t="shared" si="29"/>
        <v/>
      </c>
      <c r="W219" s="38" t="str">
        <f>IF(AND(U219&lt;&gt;"",OR($S$4="(все)",B219=$S$4),IF($S$4="(все)",COUNTIF($U$4:U219,U219),COUNTIFS($U$4:U219,U219,$B$4:B219,B219))=1),MAX($W$3:W218)+1,"")</f>
        <v/>
      </c>
      <c r="X219" s="38" t="str">
        <f t="shared" si="30"/>
        <v/>
      </c>
      <c r="Y219" s="38" t="str">
        <f>IF(AND(A219="Аппарат",C219&lt;&gt;"",OR($S$5="(все)",B219=$S$5)),MAX($Y$3:Y218)+1,"")</f>
        <v/>
      </c>
      <c r="Z219" s="38" t="str">
        <f t="shared" si="31"/>
        <v/>
      </c>
      <c r="AA219" s="38" t="str">
        <f>IF(AND(A219="Модуль",C219&lt;&gt;"",OR($S$6="(все)",B219=$S$6)),MAX($AA$3:AA218)+1,"")</f>
        <v/>
      </c>
      <c r="AB219" s="38" t="str">
        <f t="shared" si="32"/>
        <v/>
      </c>
      <c r="AC219" s="38" t="str">
        <f>IF(OR(B219="",COUNTIF($B$4:B219,B219)&gt;1),"",MAX($AC$3:AC218)+1)</f>
        <v/>
      </c>
      <c r="AD219" s="38" t="str">
        <f t="shared" si="33"/>
        <v/>
      </c>
      <c r="AE219" s="38" t="str">
        <f t="shared" si="34"/>
        <v/>
      </c>
      <c r="AF219" s="38" t="str">
        <f t="shared" si="35"/>
        <v/>
      </c>
    </row>
    <row r="220" spans="1:32" x14ac:dyDescent="0.3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38" t="str">
        <f>IF(OR(A220="Автомат",A220="Дифавтомат"),IF(W220="","",COUNTIFS(Однолинейка!$H$3:$H$3000,U220,Однолинейка!$A$3:$A$3000,Щит_спец)),IF(A220="Аппарат",IF(C220="","",COUNTIFS(Однолинейка!$I$3:$I$3000,C220,Однолинейка!$A$3:$A$3000,Щит_спец)+COUNTIFS(Однолинейка!$J$3:$J$3000,C220,Однолинейка!$A$3:$A$3000,Щит_спец)+COUNTIFS(Однолинейка!$K$3:$K$3000,C220,Однолинейка!$A$3:$A$3000,Щит_спец)),IF(A220="Модуль",IF(C220="","",COUNTIFS(Однолинейка!$AW$3:$AW$3000,"?*",Однолинейка!$AI$3:$AI$3000,C220,Однолинейка!$A$3:$A$3000,Щит_спец)),IF(A220="Клемма",IF(C220="","",IF(C220=$S$7,SUMIFS(Однолинейка!$BW$3:$BW$3000,Однолинейка!$A$3:$A$3000,Щит_спец),IF(C220=$S$8,SUMIFS(Однолинейка!$BX$3:$BX$3000,Однолинейка!$A$3:$A$3000,Щит_спец),""))),""))))</f>
        <v/>
      </c>
      <c r="O220" s="74"/>
      <c r="P220" s="38" t="str">
        <f t="shared" si="27"/>
        <v/>
      </c>
      <c r="U220" s="38" t="str">
        <f t="shared" si="28"/>
        <v/>
      </c>
      <c r="V220" s="38" t="str">
        <f t="shared" si="29"/>
        <v/>
      </c>
      <c r="W220" s="38" t="str">
        <f>IF(AND(U220&lt;&gt;"",OR($S$4="(все)",B220=$S$4),IF($S$4="(все)",COUNTIF($U$4:U220,U220),COUNTIFS($U$4:U220,U220,$B$4:B220,B220))=1),MAX($W$3:W219)+1,"")</f>
        <v/>
      </c>
      <c r="X220" s="38" t="str">
        <f t="shared" si="30"/>
        <v/>
      </c>
      <c r="Y220" s="38" t="str">
        <f>IF(AND(A220="Аппарат",C220&lt;&gt;"",OR($S$5="(все)",B220=$S$5)),MAX($Y$3:Y219)+1,"")</f>
        <v/>
      </c>
      <c r="Z220" s="38" t="str">
        <f t="shared" si="31"/>
        <v/>
      </c>
      <c r="AA220" s="38" t="str">
        <f>IF(AND(A220="Модуль",C220&lt;&gt;"",OR($S$6="(все)",B220=$S$6)),MAX($AA$3:AA219)+1,"")</f>
        <v/>
      </c>
      <c r="AB220" s="38" t="str">
        <f t="shared" si="32"/>
        <v/>
      </c>
      <c r="AC220" s="38" t="str">
        <f>IF(OR(B220="",COUNTIF($B$4:B220,B220)&gt;1),"",MAX($AC$3:AC219)+1)</f>
        <v/>
      </c>
      <c r="AD220" s="38" t="str">
        <f t="shared" si="33"/>
        <v/>
      </c>
      <c r="AE220" s="38" t="str">
        <f t="shared" si="34"/>
        <v/>
      </c>
      <c r="AF220" s="38" t="str">
        <f t="shared" si="35"/>
        <v/>
      </c>
    </row>
    <row r="221" spans="1:32" x14ac:dyDescent="0.3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38" t="str">
        <f>IF(OR(A221="Автомат",A221="Дифавтомат"),IF(W221="","",COUNTIFS(Однолинейка!$H$3:$H$3000,U221,Однолинейка!$A$3:$A$3000,Щит_спец)),IF(A221="Аппарат",IF(C221="","",COUNTIFS(Однолинейка!$I$3:$I$3000,C221,Однолинейка!$A$3:$A$3000,Щит_спец)+COUNTIFS(Однолинейка!$J$3:$J$3000,C221,Однолинейка!$A$3:$A$3000,Щит_спец)+COUNTIFS(Однолинейка!$K$3:$K$3000,C221,Однолинейка!$A$3:$A$3000,Щит_спец)),IF(A221="Модуль",IF(C221="","",COUNTIFS(Однолинейка!$AW$3:$AW$3000,"?*",Однолинейка!$AI$3:$AI$3000,C221,Однолинейка!$A$3:$A$3000,Щит_спец)),IF(A221="Клемма",IF(C221="","",IF(C221=$S$7,SUMIFS(Однолинейка!$BW$3:$BW$3000,Однолинейка!$A$3:$A$3000,Щит_спец),IF(C221=$S$8,SUMIFS(Однолинейка!$BX$3:$BX$3000,Однолинейка!$A$3:$A$3000,Щит_спец),""))),""))))</f>
        <v/>
      </c>
      <c r="O221" s="74"/>
      <c r="P221" s="38" t="str">
        <f t="shared" si="27"/>
        <v/>
      </c>
      <c r="U221" s="38" t="str">
        <f t="shared" si="28"/>
        <v/>
      </c>
      <c r="V221" s="38" t="str">
        <f t="shared" si="29"/>
        <v/>
      </c>
      <c r="W221" s="38" t="str">
        <f>IF(AND(U221&lt;&gt;"",OR($S$4="(все)",B221=$S$4),IF($S$4="(все)",COUNTIF($U$4:U221,U221),COUNTIFS($U$4:U221,U221,$B$4:B221,B221))=1),MAX($W$3:W220)+1,"")</f>
        <v/>
      </c>
      <c r="X221" s="38" t="str">
        <f t="shared" si="30"/>
        <v/>
      </c>
      <c r="Y221" s="38" t="str">
        <f>IF(AND(A221="Аппарат",C221&lt;&gt;"",OR($S$5="(все)",B221=$S$5)),MAX($Y$3:Y220)+1,"")</f>
        <v/>
      </c>
      <c r="Z221" s="38" t="str">
        <f t="shared" si="31"/>
        <v/>
      </c>
      <c r="AA221" s="38" t="str">
        <f>IF(AND(A221="Модуль",C221&lt;&gt;"",OR($S$6="(все)",B221=$S$6)),MAX($AA$3:AA220)+1,"")</f>
        <v/>
      </c>
      <c r="AB221" s="38" t="str">
        <f t="shared" si="32"/>
        <v/>
      </c>
      <c r="AC221" s="38" t="str">
        <f>IF(OR(B221="",COUNTIF($B$4:B221,B221)&gt;1),"",MAX($AC$3:AC220)+1)</f>
        <v/>
      </c>
      <c r="AD221" s="38" t="str">
        <f t="shared" si="33"/>
        <v/>
      </c>
      <c r="AE221" s="38" t="str">
        <f t="shared" si="34"/>
        <v/>
      </c>
      <c r="AF221" s="38" t="str">
        <f t="shared" si="35"/>
        <v/>
      </c>
    </row>
    <row r="222" spans="1:32" x14ac:dyDescent="0.3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38" t="str">
        <f>IF(OR(A222="Автомат",A222="Дифавтомат"),IF(W222="","",COUNTIFS(Однолинейка!$H$3:$H$3000,U222,Однолинейка!$A$3:$A$3000,Щит_спец)),IF(A222="Аппарат",IF(C222="","",COUNTIFS(Однолинейка!$I$3:$I$3000,C222,Однолинейка!$A$3:$A$3000,Щит_спец)+COUNTIFS(Однолинейка!$J$3:$J$3000,C222,Однолинейка!$A$3:$A$3000,Щит_спец)+COUNTIFS(Однолинейка!$K$3:$K$3000,C222,Однолинейка!$A$3:$A$3000,Щит_спец)),IF(A222="Модуль",IF(C222="","",COUNTIFS(Однолинейка!$AW$3:$AW$3000,"?*",Однолинейка!$AI$3:$AI$3000,C222,Однолинейка!$A$3:$A$3000,Щит_спец)),IF(A222="Клемма",IF(C222="","",IF(C222=$S$7,SUMIFS(Однолинейка!$BW$3:$BW$3000,Однолинейка!$A$3:$A$3000,Щит_спец),IF(C222=$S$8,SUMIFS(Однолинейка!$BX$3:$BX$3000,Однолинейка!$A$3:$A$3000,Щит_спец),""))),""))))</f>
        <v/>
      </c>
      <c r="O222" s="74"/>
      <c r="P222" s="38" t="str">
        <f t="shared" si="27"/>
        <v/>
      </c>
      <c r="U222" s="38" t="str">
        <f t="shared" si="28"/>
        <v/>
      </c>
      <c r="V222" s="38" t="str">
        <f t="shared" si="29"/>
        <v/>
      </c>
      <c r="W222" s="38" t="str">
        <f>IF(AND(U222&lt;&gt;"",OR($S$4="(все)",B222=$S$4),IF($S$4="(все)",COUNTIF($U$4:U222,U222),COUNTIFS($U$4:U222,U222,$B$4:B222,B222))=1),MAX($W$3:W221)+1,"")</f>
        <v/>
      </c>
      <c r="X222" s="38" t="str">
        <f t="shared" si="30"/>
        <v/>
      </c>
      <c r="Y222" s="38" t="str">
        <f>IF(AND(A222="Аппарат",C222&lt;&gt;"",OR($S$5="(все)",B222=$S$5)),MAX($Y$3:Y221)+1,"")</f>
        <v/>
      </c>
      <c r="Z222" s="38" t="str">
        <f t="shared" si="31"/>
        <v/>
      </c>
      <c r="AA222" s="38" t="str">
        <f>IF(AND(A222="Модуль",C222&lt;&gt;"",OR($S$6="(все)",B222=$S$6)),MAX($AA$3:AA221)+1,"")</f>
        <v/>
      </c>
      <c r="AB222" s="38" t="str">
        <f t="shared" si="32"/>
        <v/>
      </c>
      <c r="AC222" s="38" t="str">
        <f>IF(OR(B222="",COUNTIF($B$4:B222,B222)&gt;1),"",MAX($AC$3:AC221)+1)</f>
        <v/>
      </c>
      <c r="AD222" s="38" t="str">
        <f t="shared" si="33"/>
        <v/>
      </c>
      <c r="AE222" s="38" t="str">
        <f t="shared" si="34"/>
        <v/>
      </c>
      <c r="AF222" s="38" t="str">
        <f t="shared" si="35"/>
        <v/>
      </c>
    </row>
    <row r="223" spans="1:32" x14ac:dyDescent="0.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38" t="str">
        <f>IF(OR(A223="Автомат",A223="Дифавтомат"),IF(W223="","",COUNTIFS(Однолинейка!$H$3:$H$3000,U223,Однолинейка!$A$3:$A$3000,Щит_спец)),IF(A223="Аппарат",IF(C223="","",COUNTIFS(Однолинейка!$I$3:$I$3000,C223,Однолинейка!$A$3:$A$3000,Щит_спец)+COUNTIFS(Однолинейка!$J$3:$J$3000,C223,Однолинейка!$A$3:$A$3000,Щит_спец)+COUNTIFS(Однолинейка!$K$3:$K$3000,C223,Однолинейка!$A$3:$A$3000,Щит_спец)),IF(A223="Модуль",IF(C223="","",COUNTIFS(Однолинейка!$AW$3:$AW$3000,"?*",Однолинейка!$AI$3:$AI$3000,C223,Однолинейка!$A$3:$A$3000,Щит_спец)),IF(A223="Клемма",IF(C223="","",IF(C223=$S$7,SUMIFS(Однолинейка!$BW$3:$BW$3000,Однолинейка!$A$3:$A$3000,Щит_спец),IF(C223=$S$8,SUMIFS(Однолинейка!$BX$3:$BX$3000,Однолинейка!$A$3:$A$3000,Щит_спец),""))),""))))</f>
        <v/>
      </c>
      <c r="O223" s="74"/>
      <c r="P223" s="38" t="str">
        <f t="shared" si="27"/>
        <v/>
      </c>
      <c r="U223" s="38" t="str">
        <f t="shared" si="28"/>
        <v/>
      </c>
      <c r="V223" s="38" t="str">
        <f t="shared" si="29"/>
        <v/>
      </c>
      <c r="W223" s="38" t="str">
        <f>IF(AND(U223&lt;&gt;"",OR($S$4="(все)",B223=$S$4),IF($S$4="(все)",COUNTIF($U$4:U223,U223),COUNTIFS($U$4:U223,U223,$B$4:B223,B223))=1),MAX($W$3:W222)+1,"")</f>
        <v/>
      </c>
      <c r="X223" s="38" t="str">
        <f t="shared" si="30"/>
        <v/>
      </c>
      <c r="Y223" s="38" t="str">
        <f>IF(AND(A223="Аппарат",C223&lt;&gt;"",OR($S$5="(все)",B223=$S$5)),MAX($Y$3:Y222)+1,"")</f>
        <v/>
      </c>
      <c r="Z223" s="38" t="str">
        <f t="shared" si="31"/>
        <v/>
      </c>
      <c r="AA223" s="38" t="str">
        <f>IF(AND(A223="Модуль",C223&lt;&gt;"",OR($S$6="(все)",B223=$S$6)),MAX($AA$3:AA222)+1,"")</f>
        <v/>
      </c>
      <c r="AB223" s="38" t="str">
        <f t="shared" si="32"/>
        <v/>
      </c>
      <c r="AC223" s="38" t="str">
        <f>IF(OR(B223="",COUNTIF($B$4:B223,B223)&gt;1),"",MAX($AC$3:AC222)+1)</f>
        <v/>
      </c>
      <c r="AD223" s="38" t="str">
        <f t="shared" si="33"/>
        <v/>
      </c>
      <c r="AE223" s="38" t="str">
        <f t="shared" si="34"/>
        <v/>
      </c>
      <c r="AF223" s="38" t="str">
        <f t="shared" si="35"/>
        <v/>
      </c>
    </row>
    <row r="224" spans="1:32" x14ac:dyDescent="0.3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38" t="str">
        <f>IF(OR(A224="Автомат",A224="Дифавтомат"),IF(W224="","",COUNTIFS(Однолинейка!$H$3:$H$3000,U224,Однолинейка!$A$3:$A$3000,Щит_спец)),IF(A224="Аппарат",IF(C224="","",COUNTIFS(Однолинейка!$I$3:$I$3000,C224,Однолинейка!$A$3:$A$3000,Щит_спец)+COUNTIFS(Однолинейка!$J$3:$J$3000,C224,Однолинейка!$A$3:$A$3000,Щит_спец)+COUNTIFS(Однолинейка!$K$3:$K$3000,C224,Однолинейка!$A$3:$A$3000,Щит_спец)),IF(A224="Модуль",IF(C224="","",COUNTIFS(Однолинейка!$AW$3:$AW$3000,"?*",Однолинейка!$AI$3:$AI$3000,C224,Однолинейка!$A$3:$A$3000,Щит_спец)),IF(A224="Клемма",IF(C224="","",IF(C224=$S$7,SUMIFS(Однолинейка!$BW$3:$BW$3000,Однолинейка!$A$3:$A$3000,Щит_спец),IF(C224=$S$8,SUMIFS(Однолинейка!$BX$3:$BX$3000,Однолинейка!$A$3:$A$3000,Щит_спец),""))),""))))</f>
        <v/>
      </c>
      <c r="O224" s="74"/>
      <c r="P224" s="38" t="str">
        <f t="shared" si="27"/>
        <v/>
      </c>
      <c r="U224" s="38" t="str">
        <f t="shared" si="28"/>
        <v/>
      </c>
      <c r="V224" s="38" t="str">
        <f t="shared" si="29"/>
        <v/>
      </c>
      <c r="W224" s="38" t="str">
        <f>IF(AND(U224&lt;&gt;"",OR($S$4="(все)",B224=$S$4),IF($S$4="(все)",COUNTIF($U$4:U224,U224),COUNTIFS($U$4:U224,U224,$B$4:B224,B224))=1),MAX($W$3:W223)+1,"")</f>
        <v/>
      </c>
      <c r="X224" s="38" t="str">
        <f t="shared" si="30"/>
        <v/>
      </c>
      <c r="Y224" s="38" t="str">
        <f>IF(AND(A224="Аппарат",C224&lt;&gt;"",OR($S$5="(все)",B224=$S$5)),MAX($Y$3:Y223)+1,"")</f>
        <v/>
      </c>
      <c r="Z224" s="38" t="str">
        <f t="shared" si="31"/>
        <v/>
      </c>
      <c r="AA224" s="38" t="str">
        <f>IF(AND(A224="Модуль",C224&lt;&gt;"",OR($S$6="(все)",B224=$S$6)),MAX($AA$3:AA223)+1,"")</f>
        <v/>
      </c>
      <c r="AB224" s="38" t="str">
        <f t="shared" si="32"/>
        <v/>
      </c>
      <c r="AC224" s="38" t="str">
        <f>IF(OR(B224="",COUNTIF($B$4:B224,B224)&gt;1),"",MAX($AC$3:AC223)+1)</f>
        <v/>
      </c>
      <c r="AD224" s="38" t="str">
        <f t="shared" si="33"/>
        <v/>
      </c>
      <c r="AE224" s="38" t="str">
        <f t="shared" si="34"/>
        <v/>
      </c>
      <c r="AF224" s="38" t="str">
        <f t="shared" si="35"/>
        <v/>
      </c>
    </row>
    <row r="225" spans="1:32" x14ac:dyDescent="0.3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38" t="str">
        <f>IF(OR(A225="Автомат",A225="Дифавтомат"),IF(W225="","",COUNTIFS(Однолинейка!$H$3:$H$3000,U225,Однолинейка!$A$3:$A$3000,Щит_спец)),IF(A225="Аппарат",IF(C225="","",COUNTIFS(Однолинейка!$I$3:$I$3000,C225,Однолинейка!$A$3:$A$3000,Щит_спец)+COUNTIFS(Однолинейка!$J$3:$J$3000,C225,Однолинейка!$A$3:$A$3000,Щит_спец)+COUNTIFS(Однолинейка!$K$3:$K$3000,C225,Однолинейка!$A$3:$A$3000,Щит_спец)),IF(A225="Модуль",IF(C225="","",COUNTIFS(Однолинейка!$AW$3:$AW$3000,"?*",Однолинейка!$AI$3:$AI$3000,C225,Однолинейка!$A$3:$A$3000,Щит_спец)),IF(A225="Клемма",IF(C225="","",IF(C225=$S$7,SUMIFS(Однолинейка!$BW$3:$BW$3000,Однолинейка!$A$3:$A$3000,Щит_спец),IF(C225=$S$8,SUMIFS(Однолинейка!$BX$3:$BX$3000,Однолинейка!$A$3:$A$3000,Щит_спец),""))),""))))</f>
        <v/>
      </c>
      <c r="O225" s="74"/>
      <c r="P225" s="38" t="str">
        <f t="shared" si="27"/>
        <v/>
      </c>
      <c r="U225" s="38" t="str">
        <f t="shared" si="28"/>
        <v/>
      </c>
      <c r="V225" s="38" t="str">
        <f t="shared" si="29"/>
        <v/>
      </c>
      <c r="W225" s="38" t="str">
        <f>IF(AND(U225&lt;&gt;"",OR($S$4="(все)",B225=$S$4),IF($S$4="(все)",COUNTIF($U$4:U225,U225),COUNTIFS($U$4:U225,U225,$B$4:B225,B225))=1),MAX($W$3:W224)+1,"")</f>
        <v/>
      </c>
      <c r="X225" s="38" t="str">
        <f t="shared" si="30"/>
        <v/>
      </c>
      <c r="Y225" s="38" t="str">
        <f>IF(AND(A225="Аппарат",C225&lt;&gt;"",OR($S$5="(все)",B225=$S$5)),MAX($Y$3:Y224)+1,"")</f>
        <v/>
      </c>
      <c r="Z225" s="38" t="str">
        <f t="shared" si="31"/>
        <v/>
      </c>
      <c r="AA225" s="38" t="str">
        <f>IF(AND(A225="Модуль",C225&lt;&gt;"",OR($S$6="(все)",B225=$S$6)),MAX($AA$3:AA224)+1,"")</f>
        <v/>
      </c>
      <c r="AB225" s="38" t="str">
        <f t="shared" si="32"/>
        <v/>
      </c>
      <c r="AC225" s="38" t="str">
        <f>IF(OR(B225="",COUNTIF($B$4:B225,B225)&gt;1),"",MAX($AC$3:AC224)+1)</f>
        <v/>
      </c>
      <c r="AD225" s="38" t="str">
        <f t="shared" si="33"/>
        <v/>
      </c>
      <c r="AE225" s="38" t="str">
        <f t="shared" si="34"/>
        <v/>
      </c>
      <c r="AF225" s="38" t="str">
        <f t="shared" si="35"/>
        <v/>
      </c>
    </row>
    <row r="226" spans="1:32" x14ac:dyDescent="0.3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38" t="str">
        <f>IF(OR(A226="Автомат",A226="Дифавтомат"),IF(W226="","",COUNTIFS(Однолинейка!$H$3:$H$3000,U226,Однолинейка!$A$3:$A$3000,Щит_спец)),IF(A226="Аппарат",IF(C226="","",COUNTIFS(Однолинейка!$I$3:$I$3000,C226,Однолинейка!$A$3:$A$3000,Щит_спец)+COUNTIFS(Однолинейка!$J$3:$J$3000,C226,Однолинейка!$A$3:$A$3000,Щит_спец)+COUNTIFS(Однолинейка!$K$3:$K$3000,C226,Однолинейка!$A$3:$A$3000,Щит_спец)),IF(A226="Модуль",IF(C226="","",COUNTIFS(Однолинейка!$AW$3:$AW$3000,"?*",Однолинейка!$AI$3:$AI$3000,C226,Однолинейка!$A$3:$A$3000,Щит_спец)),IF(A226="Клемма",IF(C226="","",IF(C226=$S$7,SUMIFS(Однолинейка!$BW$3:$BW$3000,Однолинейка!$A$3:$A$3000,Щит_спец),IF(C226=$S$8,SUMIFS(Однолинейка!$BX$3:$BX$3000,Однолинейка!$A$3:$A$3000,Щит_спец),""))),""))))</f>
        <v/>
      </c>
      <c r="O226" s="74"/>
      <c r="P226" s="38" t="str">
        <f t="shared" si="27"/>
        <v/>
      </c>
      <c r="U226" s="38" t="str">
        <f t="shared" si="28"/>
        <v/>
      </c>
      <c r="V226" s="38" t="str">
        <f t="shared" si="29"/>
        <v/>
      </c>
      <c r="W226" s="38" t="str">
        <f>IF(AND(U226&lt;&gt;"",OR($S$4="(все)",B226=$S$4),IF($S$4="(все)",COUNTIF($U$4:U226,U226),COUNTIFS($U$4:U226,U226,$B$4:B226,B226))=1),MAX($W$3:W225)+1,"")</f>
        <v/>
      </c>
      <c r="X226" s="38" t="str">
        <f t="shared" si="30"/>
        <v/>
      </c>
      <c r="Y226" s="38" t="str">
        <f>IF(AND(A226="Аппарат",C226&lt;&gt;"",OR($S$5="(все)",B226=$S$5)),MAX($Y$3:Y225)+1,"")</f>
        <v/>
      </c>
      <c r="Z226" s="38" t="str">
        <f t="shared" si="31"/>
        <v/>
      </c>
      <c r="AA226" s="38" t="str">
        <f>IF(AND(A226="Модуль",C226&lt;&gt;"",OR($S$6="(все)",B226=$S$6)),MAX($AA$3:AA225)+1,"")</f>
        <v/>
      </c>
      <c r="AB226" s="38" t="str">
        <f t="shared" si="32"/>
        <v/>
      </c>
      <c r="AC226" s="38" t="str">
        <f>IF(OR(B226="",COUNTIF($B$4:B226,B226)&gt;1),"",MAX($AC$3:AC225)+1)</f>
        <v/>
      </c>
      <c r="AD226" s="38" t="str">
        <f t="shared" si="33"/>
        <v/>
      </c>
      <c r="AE226" s="38" t="str">
        <f t="shared" si="34"/>
        <v/>
      </c>
      <c r="AF226" s="38" t="str">
        <f t="shared" si="35"/>
        <v/>
      </c>
    </row>
    <row r="227" spans="1:32" x14ac:dyDescent="0.3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38" t="str">
        <f>IF(OR(A227="Автомат",A227="Дифавтомат"),IF(W227="","",COUNTIFS(Однолинейка!$H$3:$H$3000,U227,Однолинейка!$A$3:$A$3000,Щит_спец)),IF(A227="Аппарат",IF(C227="","",COUNTIFS(Однолинейка!$I$3:$I$3000,C227,Однолинейка!$A$3:$A$3000,Щит_спец)+COUNTIFS(Однолинейка!$J$3:$J$3000,C227,Однолинейка!$A$3:$A$3000,Щит_спец)+COUNTIFS(Однолинейка!$K$3:$K$3000,C227,Однолинейка!$A$3:$A$3000,Щит_спец)),IF(A227="Модуль",IF(C227="","",COUNTIFS(Однолинейка!$AW$3:$AW$3000,"?*",Однолинейка!$AI$3:$AI$3000,C227,Однолинейка!$A$3:$A$3000,Щит_спец)),IF(A227="Клемма",IF(C227="","",IF(C227=$S$7,SUMIFS(Однолинейка!$BW$3:$BW$3000,Однолинейка!$A$3:$A$3000,Щит_спец),IF(C227=$S$8,SUMIFS(Однолинейка!$BX$3:$BX$3000,Однолинейка!$A$3:$A$3000,Щит_спец),""))),""))))</f>
        <v/>
      </c>
      <c r="O227" s="74"/>
      <c r="P227" s="38" t="str">
        <f t="shared" si="27"/>
        <v/>
      </c>
      <c r="U227" s="38" t="str">
        <f t="shared" si="28"/>
        <v/>
      </c>
      <c r="V227" s="38" t="str">
        <f t="shared" si="29"/>
        <v/>
      </c>
      <c r="W227" s="38" t="str">
        <f>IF(AND(U227&lt;&gt;"",OR($S$4="(все)",B227=$S$4),IF($S$4="(все)",COUNTIF($U$4:U227,U227),COUNTIFS($U$4:U227,U227,$B$4:B227,B227))=1),MAX($W$3:W226)+1,"")</f>
        <v/>
      </c>
      <c r="X227" s="38" t="str">
        <f t="shared" si="30"/>
        <v/>
      </c>
      <c r="Y227" s="38" t="str">
        <f>IF(AND(A227="Аппарат",C227&lt;&gt;"",OR($S$5="(все)",B227=$S$5)),MAX($Y$3:Y226)+1,"")</f>
        <v/>
      </c>
      <c r="Z227" s="38" t="str">
        <f t="shared" si="31"/>
        <v/>
      </c>
      <c r="AA227" s="38" t="str">
        <f>IF(AND(A227="Модуль",C227&lt;&gt;"",OR($S$6="(все)",B227=$S$6)),MAX($AA$3:AA226)+1,"")</f>
        <v/>
      </c>
      <c r="AB227" s="38" t="str">
        <f t="shared" si="32"/>
        <v/>
      </c>
      <c r="AC227" s="38" t="str">
        <f>IF(OR(B227="",COUNTIF($B$4:B227,B227)&gt;1),"",MAX($AC$3:AC226)+1)</f>
        <v/>
      </c>
      <c r="AD227" s="38" t="str">
        <f t="shared" si="33"/>
        <v/>
      </c>
      <c r="AE227" s="38" t="str">
        <f t="shared" si="34"/>
        <v/>
      </c>
      <c r="AF227" s="38" t="str">
        <f t="shared" si="35"/>
        <v/>
      </c>
    </row>
    <row r="228" spans="1:32" x14ac:dyDescent="0.3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38" t="str">
        <f>IF(OR(A228="Автомат",A228="Дифавтомат"),IF(W228="","",COUNTIFS(Однолинейка!$H$3:$H$3000,U228,Однолинейка!$A$3:$A$3000,Щит_спец)),IF(A228="Аппарат",IF(C228="","",COUNTIFS(Однолинейка!$I$3:$I$3000,C228,Однолинейка!$A$3:$A$3000,Щит_спец)+COUNTIFS(Однолинейка!$J$3:$J$3000,C228,Однолинейка!$A$3:$A$3000,Щит_спец)+COUNTIFS(Однолинейка!$K$3:$K$3000,C228,Однолинейка!$A$3:$A$3000,Щит_спец)),IF(A228="Модуль",IF(C228="","",COUNTIFS(Однолинейка!$AW$3:$AW$3000,"?*",Однолинейка!$AI$3:$AI$3000,C228,Однолинейка!$A$3:$A$3000,Щит_спец)),IF(A228="Клемма",IF(C228="","",IF(C228=$S$7,SUMIFS(Однолинейка!$BW$3:$BW$3000,Однолинейка!$A$3:$A$3000,Щит_спец),IF(C228=$S$8,SUMIFS(Однолинейка!$BX$3:$BX$3000,Однолинейка!$A$3:$A$3000,Щит_спец),""))),""))))</f>
        <v/>
      </c>
      <c r="O228" s="74"/>
      <c r="P228" s="38" t="str">
        <f t="shared" si="27"/>
        <v/>
      </c>
      <c r="U228" s="38" t="str">
        <f t="shared" si="28"/>
        <v/>
      </c>
      <c r="V228" s="38" t="str">
        <f t="shared" si="29"/>
        <v/>
      </c>
      <c r="W228" s="38" t="str">
        <f>IF(AND(U228&lt;&gt;"",OR($S$4="(все)",B228=$S$4),IF($S$4="(все)",COUNTIF($U$4:U228,U228),COUNTIFS($U$4:U228,U228,$B$4:B228,B228))=1),MAX($W$3:W227)+1,"")</f>
        <v/>
      </c>
      <c r="X228" s="38" t="str">
        <f t="shared" si="30"/>
        <v/>
      </c>
      <c r="Y228" s="38" t="str">
        <f>IF(AND(A228="Аппарат",C228&lt;&gt;"",OR($S$5="(все)",B228=$S$5)),MAX($Y$3:Y227)+1,"")</f>
        <v/>
      </c>
      <c r="Z228" s="38" t="str">
        <f t="shared" si="31"/>
        <v/>
      </c>
      <c r="AA228" s="38" t="str">
        <f>IF(AND(A228="Модуль",C228&lt;&gt;"",OR($S$6="(все)",B228=$S$6)),MAX($AA$3:AA227)+1,"")</f>
        <v/>
      </c>
      <c r="AB228" s="38" t="str">
        <f t="shared" si="32"/>
        <v/>
      </c>
      <c r="AC228" s="38" t="str">
        <f>IF(OR(B228="",COUNTIF($B$4:B228,B228)&gt;1),"",MAX($AC$3:AC227)+1)</f>
        <v/>
      </c>
      <c r="AD228" s="38" t="str">
        <f t="shared" si="33"/>
        <v/>
      </c>
      <c r="AE228" s="38" t="str">
        <f t="shared" si="34"/>
        <v/>
      </c>
      <c r="AF228" s="38" t="str">
        <f t="shared" si="35"/>
        <v/>
      </c>
    </row>
    <row r="229" spans="1:32" x14ac:dyDescent="0.3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38" t="str">
        <f>IF(OR(A229="Автомат",A229="Дифавтомат"),IF(W229="","",COUNTIFS(Однолинейка!$H$3:$H$3000,U229,Однолинейка!$A$3:$A$3000,Щит_спец)),IF(A229="Аппарат",IF(C229="","",COUNTIFS(Однолинейка!$I$3:$I$3000,C229,Однолинейка!$A$3:$A$3000,Щит_спец)+COUNTIFS(Однолинейка!$J$3:$J$3000,C229,Однолинейка!$A$3:$A$3000,Щит_спец)+COUNTIFS(Однолинейка!$K$3:$K$3000,C229,Однолинейка!$A$3:$A$3000,Щит_спец)),IF(A229="Модуль",IF(C229="","",COUNTIFS(Однолинейка!$AW$3:$AW$3000,"?*",Однолинейка!$AI$3:$AI$3000,C229,Однолинейка!$A$3:$A$3000,Щит_спец)),IF(A229="Клемма",IF(C229="","",IF(C229=$S$7,SUMIFS(Однолинейка!$BW$3:$BW$3000,Однолинейка!$A$3:$A$3000,Щит_спец),IF(C229=$S$8,SUMIFS(Однолинейка!$BX$3:$BX$3000,Однолинейка!$A$3:$A$3000,Щит_спец),""))),""))))</f>
        <v/>
      </c>
      <c r="O229" s="74"/>
      <c r="P229" s="38" t="str">
        <f t="shared" si="27"/>
        <v/>
      </c>
      <c r="U229" s="38" t="str">
        <f t="shared" si="28"/>
        <v/>
      </c>
      <c r="V229" s="38" t="str">
        <f t="shared" si="29"/>
        <v/>
      </c>
      <c r="W229" s="38" t="str">
        <f>IF(AND(U229&lt;&gt;"",OR($S$4="(все)",B229=$S$4),IF($S$4="(все)",COUNTIF($U$4:U229,U229),COUNTIFS($U$4:U229,U229,$B$4:B229,B229))=1),MAX($W$3:W228)+1,"")</f>
        <v/>
      </c>
      <c r="X229" s="38" t="str">
        <f t="shared" si="30"/>
        <v/>
      </c>
      <c r="Y229" s="38" t="str">
        <f>IF(AND(A229="Аппарат",C229&lt;&gt;"",OR($S$5="(все)",B229=$S$5)),MAX($Y$3:Y228)+1,"")</f>
        <v/>
      </c>
      <c r="Z229" s="38" t="str">
        <f t="shared" si="31"/>
        <v/>
      </c>
      <c r="AA229" s="38" t="str">
        <f>IF(AND(A229="Модуль",C229&lt;&gt;"",OR($S$6="(все)",B229=$S$6)),MAX($AA$3:AA228)+1,"")</f>
        <v/>
      </c>
      <c r="AB229" s="38" t="str">
        <f t="shared" si="32"/>
        <v/>
      </c>
      <c r="AC229" s="38" t="str">
        <f>IF(OR(B229="",COUNTIF($B$4:B229,B229)&gt;1),"",MAX($AC$3:AC228)+1)</f>
        <v/>
      </c>
      <c r="AD229" s="38" t="str">
        <f t="shared" si="33"/>
        <v/>
      </c>
      <c r="AE229" s="38" t="str">
        <f t="shared" si="34"/>
        <v/>
      </c>
      <c r="AF229" s="38" t="str">
        <f t="shared" si="35"/>
        <v/>
      </c>
    </row>
    <row r="230" spans="1:32" x14ac:dyDescent="0.3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38" t="str">
        <f>IF(OR(A230="Автомат",A230="Дифавтомат"),IF(W230="","",COUNTIFS(Однолинейка!$H$3:$H$3000,U230,Однолинейка!$A$3:$A$3000,Щит_спец)),IF(A230="Аппарат",IF(C230="","",COUNTIFS(Однолинейка!$I$3:$I$3000,C230,Однолинейка!$A$3:$A$3000,Щит_спец)+COUNTIFS(Однолинейка!$J$3:$J$3000,C230,Однолинейка!$A$3:$A$3000,Щит_спец)+COUNTIFS(Однолинейка!$K$3:$K$3000,C230,Однолинейка!$A$3:$A$3000,Щит_спец)),IF(A230="Модуль",IF(C230="","",COUNTIFS(Однолинейка!$AW$3:$AW$3000,"?*",Однолинейка!$AI$3:$AI$3000,C230,Однолинейка!$A$3:$A$3000,Щит_спец)),IF(A230="Клемма",IF(C230="","",IF(C230=$S$7,SUMIFS(Однолинейка!$BW$3:$BW$3000,Однолинейка!$A$3:$A$3000,Щит_спец),IF(C230=$S$8,SUMIFS(Однолинейка!$BX$3:$BX$3000,Однолинейка!$A$3:$A$3000,Щит_спец),""))),""))))</f>
        <v/>
      </c>
      <c r="O230" s="74"/>
      <c r="P230" s="38" t="str">
        <f t="shared" si="27"/>
        <v/>
      </c>
      <c r="U230" s="38" t="str">
        <f t="shared" si="28"/>
        <v/>
      </c>
      <c r="V230" s="38" t="str">
        <f t="shared" si="29"/>
        <v/>
      </c>
      <c r="W230" s="38" t="str">
        <f>IF(AND(U230&lt;&gt;"",OR($S$4="(все)",B230=$S$4),IF($S$4="(все)",COUNTIF($U$4:U230,U230),COUNTIFS($U$4:U230,U230,$B$4:B230,B230))=1),MAX($W$3:W229)+1,"")</f>
        <v/>
      </c>
      <c r="X230" s="38" t="str">
        <f t="shared" si="30"/>
        <v/>
      </c>
      <c r="Y230" s="38" t="str">
        <f>IF(AND(A230="Аппарат",C230&lt;&gt;"",OR($S$5="(все)",B230=$S$5)),MAX($Y$3:Y229)+1,"")</f>
        <v/>
      </c>
      <c r="Z230" s="38" t="str">
        <f t="shared" si="31"/>
        <v/>
      </c>
      <c r="AA230" s="38" t="str">
        <f>IF(AND(A230="Модуль",C230&lt;&gt;"",OR($S$6="(все)",B230=$S$6)),MAX($AA$3:AA229)+1,"")</f>
        <v/>
      </c>
      <c r="AB230" s="38" t="str">
        <f t="shared" si="32"/>
        <v/>
      </c>
      <c r="AC230" s="38" t="str">
        <f>IF(OR(B230="",COUNTIF($B$4:B230,B230)&gt;1),"",MAX($AC$3:AC229)+1)</f>
        <v/>
      </c>
      <c r="AD230" s="38" t="str">
        <f t="shared" si="33"/>
        <v/>
      </c>
      <c r="AE230" s="38" t="str">
        <f t="shared" si="34"/>
        <v/>
      </c>
      <c r="AF230" s="38" t="str">
        <f t="shared" si="35"/>
        <v/>
      </c>
    </row>
    <row r="231" spans="1:32" x14ac:dyDescent="0.3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38" t="str">
        <f>IF(OR(A231="Автомат",A231="Дифавтомат"),IF(W231="","",COUNTIFS(Однолинейка!$H$3:$H$3000,U231,Однолинейка!$A$3:$A$3000,Щит_спец)),IF(A231="Аппарат",IF(C231="","",COUNTIFS(Однолинейка!$I$3:$I$3000,C231,Однолинейка!$A$3:$A$3000,Щит_спец)+COUNTIFS(Однолинейка!$J$3:$J$3000,C231,Однолинейка!$A$3:$A$3000,Щит_спец)+COUNTIFS(Однолинейка!$K$3:$K$3000,C231,Однолинейка!$A$3:$A$3000,Щит_спец)),IF(A231="Модуль",IF(C231="","",COUNTIFS(Однолинейка!$AW$3:$AW$3000,"?*",Однолинейка!$AI$3:$AI$3000,C231,Однолинейка!$A$3:$A$3000,Щит_спец)),IF(A231="Клемма",IF(C231="","",IF(C231=$S$7,SUMIFS(Однолинейка!$BW$3:$BW$3000,Однолинейка!$A$3:$A$3000,Щит_спец),IF(C231=$S$8,SUMIFS(Однолинейка!$BX$3:$BX$3000,Однолинейка!$A$3:$A$3000,Щит_спец),""))),""))))</f>
        <v/>
      </c>
      <c r="O231" s="74"/>
      <c r="P231" s="38" t="str">
        <f t="shared" si="27"/>
        <v/>
      </c>
      <c r="U231" s="38" t="str">
        <f t="shared" si="28"/>
        <v/>
      </c>
      <c r="V231" s="38" t="str">
        <f t="shared" si="29"/>
        <v/>
      </c>
      <c r="W231" s="38" t="str">
        <f>IF(AND(U231&lt;&gt;"",OR($S$4="(все)",B231=$S$4),IF($S$4="(все)",COUNTIF($U$4:U231,U231),COUNTIFS($U$4:U231,U231,$B$4:B231,B231))=1),MAX($W$3:W230)+1,"")</f>
        <v/>
      </c>
      <c r="X231" s="38" t="str">
        <f t="shared" si="30"/>
        <v/>
      </c>
      <c r="Y231" s="38" t="str">
        <f>IF(AND(A231="Аппарат",C231&lt;&gt;"",OR($S$5="(все)",B231=$S$5)),MAX($Y$3:Y230)+1,"")</f>
        <v/>
      </c>
      <c r="Z231" s="38" t="str">
        <f t="shared" si="31"/>
        <v/>
      </c>
      <c r="AA231" s="38" t="str">
        <f>IF(AND(A231="Модуль",C231&lt;&gt;"",OR($S$6="(все)",B231=$S$6)),MAX($AA$3:AA230)+1,"")</f>
        <v/>
      </c>
      <c r="AB231" s="38" t="str">
        <f t="shared" si="32"/>
        <v/>
      </c>
      <c r="AC231" s="38" t="str">
        <f>IF(OR(B231="",COUNTIF($B$4:B231,B231)&gt;1),"",MAX($AC$3:AC230)+1)</f>
        <v/>
      </c>
      <c r="AD231" s="38" t="str">
        <f t="shared" si="33"/>
        <v/>
      </c>
      <c r="AE231" s="38" t="str">
        <f t="shared" si="34"/>
        <v/>
      </c>
      <c r="AF231" s="38" t="str">
        <f t="shared" si="35"/>
        <v/>
      </c>
    </row>
    <row r="232" spans="1:32" x14ac:dyDescent="0.3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38" t="str">
        <f>IF(OR(A232="Автомат",A232="Дифавтомат"),IF(W232="","",COUNTIFS(Однолинейка!$H$3:$H$3000,U232,Однолинейка!$A$3:$A$3000,Щит_спец)),IF(A232="Аппарат",IF(C232="","",COUNTIFS(Однолинейка!$I$3:$I$3000,C232,Однолинейка!$A$3:$A$3000,Щит_спец)+COUNTIFS(Однолинейка!$J$3:$J$3000,C232,Однолинейка!$A$3:$A$3000,Щит_спец)+COUNTIFS(Однолинейка!$K$3:$K$3000,C232,Однолинейка!$A$3:$A$3000,Щит_спец)),IF(A232="Модуль",IF(C232="","",COUNTIFS(Однолинейка!$AW$3:$AW$3000,"?*",Однолинейка!$AI$3:$AI$3000,C232,Однолинейка!$A$3:$A$3000,Щит_спец)),IF(A232="Клемма",IF(C232="","",IF(C232=$S$7,SUMIFS(Однолинейка!$BW$3:$BW$3000,Однолинейка!$A$3:$A$3000,Щит_спец),IF(C232=$S$8,SUMIFS(Однолинейка!$BX$3:$BX$3000,Однолинейка!$A$3:$A$3000,Щит_спец),""))),""))))</f>
        <v/>
      </c>
      <c r="O232" s="74"/>
      <c r="P232" s="38" t="str">
        <f t="shared" si="27"/>
        <v/>
      </c>
      <c r="U232" s="38" t="str">
        <f t="shared" si="28"/>
        <v/>
      </c>
      <c r="V232" s="38" t="str">
        <f t="shared" si="29"/>
        <v/>
      </c>
      <c r="W232" s="38" t="str">
        <f>IF(AND(U232&lt;&gt;"",OR($S$4="(все)",B232=$S$4),IF($S$4="(все)",COUNTIF($U$4:U232,U232),COUNTIFS($U$4:U232,U232,$B$4:B232,B232))=1),MAX($W$3:W231)+1,"")</f>
        <v/>
      </c>
      <c r="X232" s="38" t="str">
        <f t="shared" si="30"/>
        <v/>
      </c>
      <c r="Y232" s="38" t="str">
        <f>IF(AND(A232="Аппарат",C232&lt;&gt;"",OR($S$5="(все)",B232=$S$5)),MAX($Y$3:Y231)+1,"")</f>
        <v/>
      </c>
      <c r="Z232" s="38" t="str">
        <f t="shared" si="31"/>
        <v/>
      </c>
      <c r="AA232" s="38" t="str">
        <f>IF(AND(A232="Модуль",C232&lt;&gt;"",OR($S$6="(все)",B232=$S$6)),MAX($AA$3:AA231)+1,"")</f>
        <v/>
      </c>
      <c r="AB232" s="38" t="str">
        <f t="shared" si="32"/>
        <v/>
      </c>
      <c r="AC232" s="38" t="str">
        <f>IF(OR(B232="",COUNTIF($B$4:B232,B232)&gt;1),"",MAX($AC$3:AC231)+1)</f>
        <v/>
      </c>
      <c r="AD232" s="38" t="str">
        <f t="shared" si="33"/>
        <v/>
      </c>
      <c r="AE232" s="38" t="str">
        <f t="shared" si="34"/>
        <v/>
      </c>
      <c r="AF232" s="38" t="str">
        <f t="shared" si="35"/>
        <v/>
      </c>
    </row>
    <row r="233" spans="1:32" x14ac:dyDescent="0.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38" t="str">
        <f>IF(OR(A233="Автомат",A233="Дифавтомат"),IF(W233="","",COUNTIFS(Однолинейка!$H$3:$H$3000,U233,Однолинейка!$A$3:$A$3000,Щит_спец)),IF(A233="Аппарат",IF(C233="","",COUNTIFS(Однолинейка!$I$3:$I$3000,C233,Однолинейка!$A$3:$A$3000,Щит_спец)+COUNTIFS(Однолинейка!$J$3:$J$3000,C233,Однолинейка!$A$3:$A$3000,Щит_спец)+COUNTIFS(Однолинейка!$K$3:$K$3000,C233,Однолинейка!$A$3:$A$3000,Щит_спец)),IF(A233="Модуль",IF(C233="","",COUNTIFS(Однолинейка!$AW$3:$AW$3000,"?*",Однолинейка!$AI$3:$AI$3000,C233,Однолинейка!$A$3:$A$3000,Щит_спец)),IF(A233="Клемма",IF(C233="","",IF(C233=$S$7,SUMIFS(Однолинейка!$BW$3:$BW$3000,Однолинейка!$A$3:$A$3000,Щит_спец),IF(C233=$S$8,SUMIFS(Однолинейка!$BX$3:$BX$3000,Однолинейка!$A$3:$A$3000,Щит_спец),""))),""))))</f>
        <v/>
      </c>
      <c r="O233" s="74"/>
      <c r="P233" s="38" t="str">
        <f t="shared" si="27"/>
        <v/>
      </c>
      <c r="U233" s="38" t="str">
        <f t="shared" si="28"/>
        <v/>
      </c>
      <c r="V233" s="38" t="str">
        <f t="shared" si="29"/>
        <v/>
      </c>
      <c r="W233" s="38" t="str">
        <f>IF(AND(U233&lt;&gt;"",OR($S$4="(все)",B233=$S$4),IF($S$4="(все)",COUNTIF($U$4:U233,U233),COUNTIFS($U$4:U233,U233,$B$4:B233,B233))=1),MAX($W$3:W232)+1,"")</f>
        <v/>
      </c>
      <c r="X233" s="38" t="str">
        <f t="shared" si="30"/>
        <v/>
      </c>
      <c r="Y233" s="38" t="str">
        <f>IF(AND(A233="Аппарат",C233&lt;&gt;"",OR($S$5="(все)",B233=$S$5)),MAX($Y$3:Y232)+1,"")</f>
        <v/>
      </c>
      <c r="Z233" s="38" t="str">
        <f t="shared" si="31"/>
        <v/>
      </c>
      <c r="AA233" s="38" t="str">
        <f>IF(AND(A233="Модуль",C233&lt;&gt;"",OR($S$6="(все)",B233=$S$6)),MAX($AA$3:AA232)+1,"")</f>
        <v/>
      </c>
      <c r="AB233" s="38" t="str">
        <f t="shared" si="32"/>
        <v/>
      </c>
      <c r="AC233" s="38" t="str">
        <f>IF(OR(B233="",COUNTIF($B$4:B233,B233)&gt;1),"",MAX($AC$3:AC232)+1)</f>
        <v/>
      </c>
      <c r="AD233" s="38" t="str">
        <f t="shared" si="33"/>
        <v/>
      </c>
      <c r="AE233" s="38" t="str">
        <f t="shared" si="34"/>
        <v/>
      </c>
      <c r="AF233" s="38" t="str">
        <f t="shared" si="35"/>
        <v/>
      </c>
    </row>
    <row r="234" spans="1:32" x14ac:dyDescent="0.3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38" t="str">
        <f>IF(OR(A234="Автомат",A234="Дифавтомат"),IF(W234="","",COUNTIFS(Однолинейка!$H$3:$H$3000,U234,Однолинейка!$A$3:$A$3000,Щит_спец)),IF(A234="Аппарат",IF(C234="","",COUNTIFS(Однолинейка!$I$3:$I$3000,C234,Однолинейка!$A$3:$A$3000,Щит_спец)+COUNTIFS(Однолинейка!$J$3:$J$3000,C234,Однолинейка!$A$3:$A$3000,Щит_спец)+COUNTIFS(Однолинейка!$K$3:$K$3000,C234,Однолинейка!$A$3:$A$3000,Щит_спец)),IF(A234="Модуль",IF(C234="","",COUNTIFS(Однолинейка!$AW$3:$AW$3000,"?*",Однолинейка!$AI$3:$AI$3000,C234,Однолинейка!$A$3:$A$3000,Щит_спец)),IF(A234="Клемма",IF(C234="","",IF(C234=$S$7,SUMIFS(Однолинейка!$BW$3:$BW$3000,Однолинейка!$A$3:$A$3000,Щит_спец),IF(C234=$S$8,SUMIFS(Однолинейка!$BX$3:$BX$3000,Однолинейка!$A$3:$A$3000,Щит_спец),""))),""))))</f>
        <v/>
      </c>
      <c r="O234" s="74"/>
      <c r="P234" s="38" t="str">
        <f t="shared" si="27"/>
        <v/>
      </c>
      <c r="U234" s="38" t="str">
        <f t="shared" si="28"/>
        <v/>
      </c>
      <c r="V234" s="38" t="str">
        <f t="shared" si="29"/>
        <v/>
      </c>
      <c r="W234" s="38" t="str">
        <f>IF(AND(U234&lt;&gt;"",OR($S$4="(все)",B234=$S$4),IF($S$4="(все)",COUNTIF($U$4:U234,U234),COUNTIFS($U$4:U234,U234,$B$4:B234,B234))=1),MAX($W$3:W233)+1,"")</f>
        <v/>
      </c>
      <c r="X234" s="38" t="str">
        <f t="shared" si="30"/>
        <v/>
      </c>
      <c r="Y234" s="38" t="str">
        <f>IF(AND(A234="Аппарат",C234&lt;&gt;"",OR($S$5="(все)",B234=$S$5)),MAX($Y$3:Y233)+1,"")</f>
        <v/>
      </c>
      <c r="Z234" s="38" t="str">
        <f t="shared" si="31"/>
        <v/>
      </c>
      <c r="AA234" s="38" t="str">
        <f>IF(AND(A234="Модуль",C234&lt;&gt;"",OR($S$6="(все)",B234=$S$6)),MAX($AA$3:AA233)+1,"")</f>
        <v/>
      </c>
      <c r="AB234" s="38" t="str">
        <f t="shared" si="32"/>
        <v/>
      </c>
      <c r="AC234" s="38" t="str">
        <f>IF(OR(B234="",COUNTIF($B$4:B234,B234)&gt;1),"",MAX($AC$3:AC233)+1)</f>
        <v/>
      </c>
      <c r="AD234" s="38" t="str">
        <f t="shared" si="33"/>
        <v/>
      </c>
      <c r="AE234" s="38" t="str">
        <f t="shared" si="34"/>
        <v/>
      </c>
      <c r="AF234" s="38" t="str">
        <f t="shared" si="35"/>
        <v/>
      </c>
    </row>
    <row r="235" spans="1:32" x14ac:dyDescent="0.3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38" t="str">
        <f>IF(OR(A235="Автомат",A235="Дифавтомат"),IF(W235="","",COUNTIFS(Однолинейка!$H$3:$H$3000,U235,Однолинейка!$A$3:$A$3000,Щит_спец)),IF(A235="Аппарат",IF(C235="","",COUNTIFS(Однолинейка!$I$3:$I$3000,C235,Однолинейка!$A$3:$A$3000,Щит_спец)+COUNTIFS(Однолинейка!$J$3:$J$3000,C235,Однолинейка!$A$3:$A$3000,Щит_спец)+COUNTIFS(Однолинейка!$K$3:$K$3000,C235,Однолинейка!$A$3:$A$3000,Щит_спец)),IF(A235="Модуль",IF(C235="","",COUNTIFS(Однолинейка!$AW$3:$AW$3000,"?*",Однолинейка!$AI$3:$AI$3000,C235,Однолинейка!$A$3:$A$3000,Щит_спец)),IF(A235="Клемма",IF(C235="","",IF(C235=$S$7,SUMIFS(Однолинейка!$BW$3:$BW$3000,Однолинейка!$A$3:$A$3000,Щит_спец),IF(C235=$S$8,SUMIFS(Однолинейка!$BX$3:$BX$3000,Однолинейка!$A$3:$A$3000,Щит_спец),""))),""))))</f>
        <v/>
      </c>
      <c r="O235" s="74"/>
      <c r="P235" s="38" t="str">
        <f t="shared" si="27"/>
        <v/>
      </c>
      <c r="U235" s="38" t="str">
        <f t="shared" si="28"/>
        <v/>
      </c>
      <c r="V235" s="38" t="str">
        <f t="shared" si="29"/>
        <v/>
      </c>
      <c r="W235" s="38" t="str">
        <f>IF(AND(U235&lt;&gt;"",OR($S$4="(все)",B235=$S$4),IF($S$4="(все)",COUNTIF($U$4:U235,U235),COUNTIFS($U$4:U235,U235,$B$4:B235,B235))=1),MAX($W$3:W234)+1,"")</f>
        <v/>
      </c>
      <c r="X235" s="38" t="str">
        <f t="shared" si="30"/>
        <v/>
      </c>
      <c r="Y235" s="38" t="str">
        <f>IF(AND(A235="Аппарат",C235&lt;&gt;"",OR($S$5="(все)",B235=$S$5)),MAX($Y$3:Y234)+1,"")</f>
        <v/>
      </c>
      <c r="Z235" s="38" t="str">
        <f t="shared" si="31"/>
        <v/>
      </c>
      <c r="AA235" s="38" t="str">
        <f>IF(AND(A235="Модуль",C235&lt;&gt;"",OR($S$6="(все)",B235=$S$6)),MAX($AA$3:AA234)+1,"")</f>
        <v/>
      </c>
      <c r="AB235" s="38" t="str">
        <f t="shared" si="32"/>
        <v/>
      </c>
      <c r="AC235" s="38" t="str">
        <f>IF(OR(B235="",COUNTIF($B$4:B235,B235)&gt;1),"",MAX($AC$3:AC234)+1)</f>
        <v/>
      </c>
      <c r="AD235" s="38" t="str">
        <f t="shared" si="33"/>
        <v/>
      </c>
      <c r="AE235" s="38" t="str">
        <f t="shared" si="34"/>
        <v/>
      </c>
      <c r="AF235" s="38" t="str">
        <f t="shared" si="35"/>
        <v/>
      </c>
    </row>
    <row r="236" spans="1:32" x14ac:dyDescent="0.3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38" t="str">
        <f>IF(OR(A236="Автомат",A236="Дифавтомат"),IF(W236="","",COUNTIFS(Однолинейка!$H$3:$H$3000,U236,Однолинейка!$A$3:$A$3000,Щит_спец)),IF(A236="Аппарат",IF(C236="","",COUNTIFS(Однолинейка!$I$3:$I$3000,C236,Однолинейка!$A$3:$A$3000,Щит_спец)+COUNTIFS(Однолинейка!$J$3:$J$3000,C236,Однолинейка!$A$3:$A$3000,Щит_спец)+COUNTIFS(Однолинейка!$K$3:$K$3000,C236,Однолинейка!$A$3:$A$3000,Щит_спец)),IF(A236="Модуль",IF(C236="","",COUNTIFS(Однолинейка!$AW$3:$AW$3000,"?*",Однолинейка!$AI$3:$AI$3000,C236,Однолинейка!$A$3:$A$3000,Щит_спец)),IF(A236="Клемма",IF(C236="","",IF(C236=$S$7,SUMIFS(Однолинейка!$BW$3:$BW$3000,Однолинейка!$A$3:$A$3000,Щит_спец),IF(C236=$S$8,SUMIFS(Однолинейка!$BX$3:$BX$3000,Однолинейка!$A$3:$A$3000,Щит_спец),""))),""))))</f>
        <v/>
      </c>
      <c r="O236" s="74"/>
      <c r="P236" s="38" t="str">
        <f t="shared" si="27"/>
        <v/>
      </c>
      <c r="U236" s="38" t="str">
        <f t="shared" si="28"/>
        <v/>
      </c>
      <c r="V236" s="38" t="str">
        <f t="shared" si="29"/>
        <v/>
      </c>
      <c r="W236" s="38" t="str">
        <f>IF(AND(U236&lt;&gt;"",OR($S$4="(все)",B236=$S$4),IF($S$4="(все)",COUNTIF($U$4:U236,U236),COUNTIFS($U$4:U236,U236,$B$4:B236,B236))=1),MAX($W$3:W235)+1,"")</f>
        <v/>
      </c>
      <c r="X236" s="38" t="str">
        <f t="shared" si="30"/>
        <v/>
      </c>
      <c r="Y236" s="38" t="str">
        <f>IF(AND(A236="Аппарат",C236&lt;&gt;"",OR($S$5="(все)",B236=$S$5)),MAX($Y$3:Y235)+1,"")</f>
        <v/>
      </c>
      <c r="Z236" s="38" t="str">
        <f t="shared" si="31"/>
        <v/>
      </c>
      <c r="AA236" s="38" t="str">
        <f>IF(AND(A236="Модуль",C236&lt;&gt;"",OR($S$6="(все)",B236=$S$6)),MAX($AA$3:AA235)+1,"")</f>
        <v/>
      </c>
      <c r="AB236" s="38" t="str">
        <f t="shared" si="32"/>
        <v/>
      </c>
      <c r="AC236" s="38" t="str">
        <f>IF(OR(B236="",COUNTIF($B$4:B236,B236)&gt;1),"",MAX($AC$3:AC235)+1)</f>
        <v/>
      </c>
      <c r="AD236" s="38" t="str">
        <f t="shared" si="33"/>
        <v/>
      </c>
      <c r="AE236" s="38" t="str">
        <f t="shared" si="34"/>
        <v/>
      </c>
      <c r="AF236" s="38" t="str">
        <f t="shared" si="35"/>
        <v/>
      </c>
    </row>
    <row r="237" spans="1:32" x14ac:dyDescent="0.3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38" t="str">
        <f>IF(OR(A237="Автомат",A237="Дифавтомат"),IF(W237="","",COUNTIFS(Однолинейка!$H$3:$H$3000,U237,Однолинейка!$A$3:$A$3000,Щит_спец)),IF(A237="Аппарат",IF(C237="","",COUNTIFS(Однолинейка!$I$3:$I$3000,C237,Однолинейка!$A$3:$A$3000,Щит_спец)+COUNTIFS(Однолинейка!$J$3:$J$3000,C237,Однолинейка!$A$3:$A$3000,Щит_спец)+COUNTIFS(Однолинейка!$K$3:$K$3000,C237,Однолинейка!$A$3:$A$3000,Щит_спец)),IF(A237="Модуль",IF(C237="","",COUNTIFS(Однолинейка!$AW$3:$AW$3000,"?*",Однолинейка!$AI$3:$AI$3000,C237,Однолинейка!$A$3:$A$3000,Щит_спец)),IF(A237="Клемма",IF(C237="","",IF(C237=$S$7,SUMIFS(Однолинейка!$BW$3:$BW$3000,Однолинейка!$A$3:$A$3000,Щит_спец),IF(C237=$S$8,SUMIFS(Однолинейка!$BX$3:$BX$3000,Однолинейка!$A$3:$A$3000,Щит_спец),""))),""))))</f>
        <v/>
      </c>
      <c r="O237" s="74"/>
      <c r="P237" s="38" t="str">
        <f t="shared" si="27"/>
        <v/>
      </c>
      <c r="U237" s="38" t="str">
        <f t="shared" si="28"/>
        <v/>
      </c>
      <c r="V237" s="38" t="str">
        <f t="shared" si="29"/>
        <v/>
      </c>
      <c r="W237" s="38" t="str">
        <f>IF(AND(U237&lt;&gt;"",OR($S$4="(все)",B237=$S$4),IF($S$4="(все)",COUNTIF($U$4:U237,U237),COUNTIFS($U$4:U237,U237,$B$4:B237,B237))=1),MAX($W$3:W236)+1,"")</f>
        <v/>
      </c>
      <c r="X237" s="38" t="str">
        <f t="shared" si="30"/>
        <v/>
      </c>
      <c r="Y237" s="38" t="str">
        <f>IF(AND(A237="Аппарат",C237&lt;&gt;"",OR($S$5="(все)",B237=$S$5)),MAX($Y$3:Y236)+1,"")</f>
        <v/>
      </c>
      <c r="Z237" s="38" t="str">
        <f t="shared" si="31"/>
        <v/>
      </c>
      <c r="AA237" s="38" t="str">
        <f>IF(AND(A237="Модуль",C237&lt;&gt;"",OR($S$6="(все)",B237=$S$6)),MAX($AA$3:AA236)+1,"")</f>
        <v/>
      </c>
      <c r="AB237" s="38" t="str">
        <f t="shared" si="32"/>
        <v/>
      </c>
      <c r="AC237" s="38" t="str">
        <f>IF(OR(B237="",COUNTIF($B$4:B237,B237)&gt;1),"",MAX($AC$3:AC236)+1)</f>
        <v/>
      </c>
      <c r="AD237" s="38" t="str">
        <f t="shared" si="33"/>
        <v/>
      </c>
      <c r="AE237" s="38" t="str">
        <f t="shared" si="34"/>
        <v/>
      </c>
      <c r="AF237" s="38" t="str">
        <f t="shared" si="35"/>
        <v/>
      </c>
    </row>
    <row r="238" spans="1:32" x14ac:dyDescent="0.3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38" t="str">
        <f>IF(OR(A238="Автомат",A238="Дифавтомат"),IF(W238="","",COUNTIFS(Однолинейка!$H$3:$H$3000,U238,Однолинейка!$A$3:$A$3000,Щит_спец)),IF(A238="Аппарат",IF(C238="","",COUNTIFS(Однолинейка!$I$3:$I$3000,C238,Однолинейка!$A$3:$A$3000,Щит_спец)+COUNTIFS(Однолинейка!$J$3:$J$3000,C238,Однолинейка!$A$3:$A$3000,Щит_спец)+COUNTIFS(Однолинейка!$K$3:$K$3000,C238,Однолинейка!$A$3:$A$3000,Щит_спец)),IF(A238="Модуль",IF(C238="","",COUNTIFS(Однолинейка!$AW$3:$AW$3000,"?*",Однолинейка!$AI$3:$AI$3000,C238,Однолинейка!$A$3:$A$3000,Щит_спец)),IF(A238="Клемма",IF(C238="","",IF(C238=$S$7,SUMIFS(Однолинейка!$BW$3:$BW$3000,Однолинейка!$A$3:$A$3000,Щит_спец),IF(C238=$S$8,SUMIFS(Однолинейка!$BX$3:$BX$3000,Однолинейка!$A$3:$A$3000,Щит_спец),""))),""))))</f>
        <v/>
      </c>
      <c r="O238" s="74"/>
      <c r="P238" s="38" t="str">
        <f t="shared" si="27"/>
        <v/>
      </c>
      <c r="U238" s="38" t="str">
        <f t="shared" si="28"/>
        <v/>
      </c>
      <c r="V238" s="38" t="str">
        <f t="shared" si="29"/>
        <v/>
      </c>
      <c r="W238" s="38" t="str">
        <f>IF(AND(U238&lt;&gt;"",OR($S$4="(все)",B238=$S$4),IF($S$4="(все)",COUNTIF($U$4:U238,U238),COUNTIFS($U$4:U238,U238,$B$4:B238,B238))=1),MAX($W$3:W237)+1,"")</f>
        <v/>
      </c>
      <c r="X238" s="38" t="str">
        <f t="shared" si="30"/>
        <v/>
      </c>
      <c r="Y238" s="38" t="str">
        <f>IF(AND(A238="Аппарат",C238&lt;&gt;"",OR($S$5="(все)",B238=$S$5)),MAX($Y$3:Y237)+1,"")</f>
        <v/>
      </c>
      <c r="Z238" s="38" t="str">
        <f t="shared" si="31"/>
        <v/>
      </c>
      <c r="AA238" s="38" t="str">
        <f>IF(AND(A238="Модуль",C238&lt;&gt;"",OR($S$6="(все)",B238=$S$6)),MAX($AA$3:AA237)+1,"")</f>
        <v/>
      </c>
      <c r="AB238" s="38" t="str">
        <f t="shared" si="32"/>
        <v/>
      </c>
      <c r="AC238" s="38" t="str">
        <f>IF(OR(B238="",COUNTIF($B$4:B238,B238)&gt;1),"",MAX($AC$3:AC237)+1)</f>
        <v/>
      </c>
      <c r="AD238" s="38" t="str">
        <f t="shared" si="33"/>
        <v/>
      </c>
      <c r="AE238" s="38" t="str">
        <f t="shared" si="34"/>
        <v/>
      </c>
      <c r="AF238" s="38" t="str">
        <f t="shared" si="35"/>
        <v/>
      </c>
    </row>
    <row r="239" spans="1:32" x14ac:dyDescent="0.3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38" t="str">
        <f>IF(OR(A239="Автомат",A239="Дифавтомат"),IF(W239="","",COUNTIFS(Однолинейка!$H$3:$H$3000,U239,Однолинейка!$A$3:$A$3000,Щит_спец)),IF(A239="Аппарат",IF(C239="","",COUNTIFS(Однолинейка!$I$3:$I$3000,C239,Однолинейка!$A$3:$A$3000,Щит_спец)+COUNTIFS(Однолинейка!$J$3:$J$3000,C239,Однолинейка!$A$3:$A$3000,Щит_спец)+COUNTIFS(Однолинейка!$K$3:$K$3000,C239,Однолинейка!$A$3:$A$3000,Щит_спец)),IF(A239="Модуль",IF(C239="","",COUNTIFS(Однолинейка!$AW$3:$AW$3000,"?*",Однолинейка!$AI$3:$AI$3000,C239,Однолинейка!$A$3:$A$3000,Щит_спец)),IF(A239="Клемма",IF(C239="","",IF(C239=$S$7,SUMIFS(Однолинейка!$BW$3:$BW$3000,Однолинейка!$A$3:$A$3000,Щит_спец),IF(C239=$S$8,SUMIFS(Однолинейка!$BX$3:$BX$3000,Однолинейка!$A$3:$A$3000,Щит_спец),""))),""))))</f>
        <v/>
      </c>
      <c r="O239" s="74"/>
      <c r="P239" s="38" t="str">
        <f t="shared" si="27"/>
        <v/>
      </c>
      <c r="U239" s="38" t="str">
        <f t="shared" si="28"/>
        <v/>
      </c>
      <c r="V239" s="38" t="str">
        <f t="shared" si="29"/>
        <v/>
      </c>
      <c r="W239" s="38" t="str">
        <f>IF(AND(U239&lt;&gt;"",OR($S$4="(все)",B239=$S$4),IF($S$4="(все)",COUNTIF($U$4:U239,U239),COUNTIFS($U$4:U239,U239,$B$4:B239,B239))=1),MAX($W$3:W238)+1,"")</f>
        <v/>
      </c>
      <c r="X239" s="38" t="str">
        <f t="shared" si="30"/>
        <v/>
      </c>
      <c r="Y239" s="38" t="str">
        <f>IF(AND(A239="Аппарат",C239&lt;&gt;"",OR($S$5="(все)",B239=$S$5)),MAX($Y$3:Y238)+1,"")</f>
        <v/>
      </c>
      <c r="Z239" s="38" t="str">
        <f t="shared" si="31"/>
        <v/>
      </c>
      <c r="AA239" s="38" t="str">
        <f>IF(AND(A239="Модуль",C239&lt;&gt;"",OR($S$6="(все)",B239=$S$6)),MAX($AA$3:AA238)+1,"")</f>
        <v/>
      </c>
      <c r="AB239" s="38" t="str">
        <f t="shared" si="32"/>
        <v/>
      </c>
      <c r="AC239" s="38" t="str">
        <f>IF(OR(B239="",COUNTIF($B$4:B239,B239)&gt;1),"",MAX($AC$3:AC238)+1)</f>
        <v/>
      </c>
      <c r="AD239" s="38" t="str">
        <f t="shared" si="33"/>
        <v/>
      </c>
      <c r="AE239" s="38" t="str">
        <f t="shared" si="34"/>
        <v/>
      </c>
      <c r="AF239" s="38" t="str">
        <f t="shared" si="35"/>
        <v/>
      </c>
    </row>
    <row r="240" spans="1:32" x14ac:dyDescent="0.3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38" t="str">
        <f>IF(OR(A240="Автомат",A240="Дифавтомат"),IF(W240="","",COUNTIFS(Однолинейка!$H$3:$H$3000,U240,Однолинейка!$A$3:$A$3000,Щит_спец)),IF(A240="Аппарат",IF(C240="","",COUNTIFS(Однолинейка!$I$3:$I$3000,C240,Однолинейка!$A$3:$A$3000,Щит_спец)+COUNTIFS(Однолинейка!$J$3:$J$3000,C240,Однолинейка!$A$3:$A$3000,Щит_спец)+COUNTIFS(Однолинейка!$K$3:$K$3000,C240,Однолинейка!$A$3:$A$3000,Щит_спец)),IF(A240="Модуль",IF(C240="","",COUNTIFS(Однолинейка!$AW$3:$AW$3000,"?*",Однолинейка!$AI$3:$AI$3000,C240,Однолинейка!$A$3:$A$3000,Щит_спец)),IF(A240="Клемма",IF(C240="","",IF(C240=$S$7,SUMIFS(Однолинейка!$BW$3:$BW$3000,Однолинейка!$A$3:$A$3000,Щит_спец),IF(C240=$S$8,SUMIFS(Однолинейка!$BX$3:$BX$3000,Однолинейка!$A$3:$A$3000,Щит_спец),""))),""))))</f>
        <v/>
      </c>
      <c r="O240" s="74"/>
      <c r="P240" s="38" t="str">
        <f t="shared" si="27"/>
        <v/>
      </c>
      <c r="U240" s="38" t="str">
        <f t="shared" si="28"/>
        <v/>
      </c>
      <c r="V240" s="38" t="str">
        <f t="shared" si="29"/>
        <v/>
      </c>
      <c r="W240" s="38" t="str">
        <f>IF(AND(U240&lt;&gt;"",OR($S$4="(все)",B240=$S$4),IF($S$4="(все)",COUNTIF($U$4:U240,U240),COUNTIFS($U$4:U240,U240,$B$4:B240,B240))=1),MAX($W$3:W239)+1,"")</f>
        <v/>
      </c>
      <c r="X240" s="38" t="str">
        <f t="shared" si="30"/>
        <v/>
      </c>
      <c r="Y240" s="38" t="str">
        <f>IF(AND(A240="Аппарат",C240&lt;&gt;"",OR($S$5="(все)",B240=$S$5)),MAX($Y$3:Y239)+1,"")</f>
        <v/>
      </c>
      <c r="Z240" s="38" t="str">
        <f t="shared" si="31"/>
        <v/>
      </c>
      <c r="AA240" s="38" t="str">
        <f>IF(AND(A240="Модуль",C240&lt;&gt;"",OR($S$6="(все)",B240=$S$6)),MAX($AA$3:AA239)+1,"")</f>
        <v/>
      </c>
      <c r="AB240" s="38" t="str">
        <f t="shared" si="32"/>
        <v/>
      </c>
      <c r="AC240" s="38" t="str">
        <f>IF(OR(B240="",COUNTIF($B$4:B240,B240)&gt;1),"",MAX($AC$3:AC239)+1)</f>
        <v/>
      </c>
      <c r="AD240" s="38" t="str">
        <f t="shared" si="33"/>
        <v/>
      </c>
      <c r="AE240" s="38" t="str">
        <f t="shared" si="34"/>
        <v/>
      </c>
      <c r="AF240" s="38" t="str">
        <f t="shared" si="35"/>
        <v/>
      </c>
    </row>
    <row r="241" spans="1:32" x14ac:dyDescent="0.3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38" t="str">
        <f>IF(OR(A241="Автомат",A241="Дифавтомат"),IF(W241="","",COUNTIFS(Однолинейка!$H$3:$H$3000,U241,Однолинейка!$A$3:$A$3000,Щит_спец)),IF(A241="Аппарат",IF(C241="","",COUNTIFS(Однолинейка!$I$3:$I$3000,C241,Однолинейка!$A$3:$A$3000,Щит_спец)+COUNTIFS(Однолинейка!$J$3:$J$3000,C241,Однолинейка!$A$3:$A$3000,Щит_спец)+COUNTIFS(Однолинейка!$K$3:$K$3000,C241,Однолинейка!$A$3:$A$3000,Щит_спец)),IF(A241="Модуль",IF(C241="","",COUNTIFS(Однолинейка!$AW$3:$AW$3000,"?*",Однолинейка!$AI$3:$AI$3000,C241,Однолинейка!$A$3:$A$3000,Щит_спец)),IF(A241="Клемма",IF(C241="","",IF(C241=$S$7,SUMIFS(Однолинейка!$BW$3:$BW$3000,Однолинейка!$A$3:$A$3000,Щит_спец),IF(C241=$S$8,SUMIFS(Однолинейка!$BX$3:$BX$3000,Однолинейка!$A$3:$A$3000,Щит_спец),""))),""))))</f>
        <v/>
      </c>
      <c r="O241" s="74"/>
      <c r="P241" s="38" t="str">
        <f t="shared" si="27"/>
        <v/>
      </c>
      <c r="U241" s="38" t="str">
        <f t="shared" si="28"/>
        <v/>
      </c>
      <c r="V241" s="38" t="str">
        <f t="shared" si="29"/>
        <v/>
      </c>
      <c r="W241" s="38" t="str">
        <f>IF(AND(U241&lt;&gt;"",OR($S$4="(все)",B241=$S$4),IF($S$4="(все)",COUNTIF($U$4:U241,U241),COUNTIFS($U$4:U241,U241,$B$4:B241,B241))=1),MAX($W$3:W240)+1,"")</f>
        <v/>
      </c>
      <c r="X241" s="38" t="str">
        <f t="shared" si="30"/>
        <v/>
      </c>
      <c r="Y241" s="38" t="str">
        <f>IF(AND(A241="Аппарат",C241&lt;&gt;"",OR($S$5="(все)",B241=$S$5)),MAX($Y$3:Y240)+1,"")</f>
        <v/>
      </c>
      <c r="Z241" s="38" t="str">
        <f t="shared" si="31"/>
        <v/>
      </c>
      <c r="AA241" s="38" t="str">
        <f>IF(AND(A241="Модуль",C241&lt;&gt;"",OR($S$6="(все)",B241=$S$6)),MAX($AA$3:AA240)+1,"")</f>
        <v/>
      </c>
      <c r="AB241" s="38" t="str">
        <f t="shared" si="32"/>
        <v/>
      </c>
      <c r="AC241" s="38" t="str">
        <f>IF(OR(B241="",COUNTIF($B$4:B241,B241)&gt;1),"",MAX($AC$3:AC240)+1)</f>
        <v/>
      </c>
      <c r="AD241" s="38" t="str">
        <f t="shared" si="33"/>
        <v/>
      </c>
      <c r="AE241" s="38" t="str">
        <f t="shared" si="34"/>
        <v/>
      </c>
      <c r="AF241" s="38" t="str">
        <f t="shared" si="35"/>
        <v/>
      </c>
    </row>
    <row r="242" spans="1:32" x14ac:dyDescent="0.3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38" t="str">
        <f>IF(OR(A242="Автомат",A242="Дифавтомат"),IF(W242="","",COUNTIFS(Однолинейка!$H$3:$H$3000,U242,Однолинейка!$A$3:$A$3000,Щит_спец)),IF(A242="Аппарат",IF(C242="","",COUNTIFS(Однолинейка!$I$3:$I$3000,C242,Однолинейка!$A$3:$A$3000,Щит_спец)+COUNTIFS(Однолинейка!$J$3:$J$3000,C242,Однолинейка!$A$3:$A$3000,Щит_спец)+COUNTIFS(Однолинейка!$K$3:$K$3000,C242,Однолинейка!$A$3:$A$3000,Щит_спец)),IF(A242="Модуль",IF(C242="","",COUNTIFS(Однолинейка!$AW$3:$AW$3000,"?*",Однолинейка!$AI$3:$AI$3000,C242,Однолинейка!$A$3:$A$3000,Щит_спец)),IF(A242="Клемма",IF(C242="","",IF(C242=$S$7,SUMIFS(Однолинейка!$BW$3:$BW$3000,Однолинейка!$A$3:$A$3000,Щит_спец),IF(C242=$S$8,SUMIFS(Однолинейка!$BX$3:$BX$3000,Однолинейка!$A$3:$A$3000,Щит_спец),""))),""))))</f>
        <v/>
      </c>
      <c r="O242" s="74"/>
      <c r="P242" s="38" t="str">
        <f t="shared" si="27"/>
        <v/>
      </c>
      <c r="U242" s="38" t="str">
        <f t="shared" si="28"/>
        <v/>
      </c>
      <c r="V242" s="38" t="str">
        <f t="shared" si="29"/>
        <v/>
      </c>
      <c r="W242" s="38" t="str">
        <f>IF(AND(U242&lt;&gt;"",OR($S$4="(все)",B242=$S$4),IF($S$4="(все)",COUNTIF($U$4:U242,U242),COUNTIFS($U$4:U242,U242,$B$4:B242,B242))=1),MAX($W$3:W241)+1,"")</f>
        <v/>
      </c>
      <c r="X242" s="38" t="str">
        <f t="shared" si="30"/>
        <v/>
      </c>
      <c r="Y242" s="38" t="str">
        <f>IF(AND(A242="Аппарат",C242&lt;&gt;"",OR($S$5="(все)",B242=$S$5)),MAX($Y$3:Y241)+1,"")</f>
        <v/>
      </c>
      <c r="Z242" s="38" t="str">
        <f t="shared" si="31"/>
        <v/>
      </c>
      <c r="AA242" s="38" t="str">
        <f>IF(AND(A242="Модуль",C242&lt;&gt;"",OR($S$6="(все)",B242=$S$6)),MAX($AA$3:AA241)+1,"")</f>
        <v/>
      </c>
      <c r="AB242" s="38" t="str">
        <f t="shared" si="32"/>
        <v/>
      </c>
      <c r="AC242" s="38" t="str">
        <f>IF(OR(B242="",COUNTIF($B$4:B242,B242)&gt;1),"",MAX($AC$3:AC241)+1)</f>
        <v/>
      </c>
      <c r="AD242" s="38" t="str">
        <f t="shared" si="33"/>
        <v/>
      </c>
      <c r="AE242" s="38" t="str">
        <f t="shared" si="34"/>
        <v/>
      </c>
      <c r="AF242" s="38" t="str">
        <f t="shared" si="35"/>
        <v/>
      </c>
    </row>
    <row r="243" spans="1:32" x14ac:dyDescent="0.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38" t="str">
        <f>IF(OR(A243="Автомат",A243="Дифавтомат"),IF(W243="","",COUNTIFS(Однолинейка!$H$3:$H$3000,U243,Однолинейка!$A$3:$A$3000,Щит_спец)),IF(A243="Аппарат",IF(C243="","",COUNTIFS(Однолинейка!$I$3:$I$3000,C243,Однолинейка!$A$3:$A$3000,Щит_спец)+COUNTIFS(Однолинейка!$J$3:$J$3000,C243,Однолинейка!$A$3:$A$3000,Щит_спец)+COUNTIFS(Однолинейка!$K$3:$K$3000,C243,Однолинейка!$A$3:$A$3000,Щит_спец)),IF(A243="Модуль",IF(C243="","",COUNTIFS(Однолинейка!$AW$3:$AW$3000,"?*",Однолинейка!$AI$3:$AI$3000,C243,Однолинейка!$A$3:$A$3000,Щит_спец)),IF(A243="Клемма",IF(C243="","",IF(C243=$S$7,SUMIFS(Однолинейка!$BW$3:$BW$3000,Однолинейка!$A$3:$A$3000,Щит_спец),IF(C243=$S$8,SUMIFS(Однолинейка!$BX$3:$BX$3000,Однолинейка!$A$3:$A$3000,Щит_спец),""))),""))))</f>
        <v/>
      </c>
      <c r="O243" s="74"/>
      <c r="P243" s="38" t="str">
        <f t="shared" si="27"/>
        <v/>
      </c>
      <c r="U243" s="38" t="str">
        <f t="shared" si="28"/>
        <v/>
      </c>
      <c r="V243" s="38" t="str">
        <f t="shared" si="29"/>
        <v/>
      </c>
      <c r="W243" s="38" t="str">
        <f>IF(AND(U243&lt;&gt;"",OR($S$4="(все)",B243=$S$4),IF($S$4="(все)",COUNTIF($U$4:U243,U243),COUNTIFS($U$4:U243,U243,$B$4:B243,B243))=1),MAX($W$3:W242)+1,"")</f>
        <v/>
      </c>
      <c r="X243" s="38" t="str">
        <f t="shared" si="30"/>
        <v/>
      </c>
      <c r="Y243" s="38" t="str">
        <f>IF(AND(A243="Аппарат",C243&lt;&gt;"",OR($S$5="(все)",B243=$S$5)),MAX($Y$3:Y242)+1,"")</f>
        <v/>
      </c>
      <c r="Z243" s="38" t="str">
        <f t="shared" si="31"/>
        <v/>
      </c>
      <c r="AA243" s="38" t="str">
        <f>IF(AND(A243="Модуль",C243&lt;&gt;"",OR($S$6="(все)",B243=$S$6)),MAX($AA$3:AA242)+1,"")</f>
        <v/>
      </c>
      <c r="AB243" s="38" t="str">
        <f t="shared" si="32"/>
        <v/>
      </c>
      <c r="AC243" s="38" t="str">
        <f>IF(OR(B243="",COUNTIF($B$4:B243,B243)&gt;1),"",MAX($AC$3:AC242)+1)</f>
        <v/>
      </c>
      <c r="AD243" s="38" t="str">
        <f t="shared" si="33"/>
        <v/>
      </c>
      <c r="AE243" s="38" t="str">
        <f t="shared" si="34"/>
        <v/>
      </c>
      <c r="AF243" s="38" t="str">
        <f t="shared" si="35"/>
        <v/>
      </c>
    </row>
    <row r="244" spans="1:32" x14ac:dyDescent="0.3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38" t="str">
        <f>IF(OR(A244="Автомат",A244="Дифавтомат"),IF(W244="","",COUNTIFS(Однолинейка!$H$3:$H$3000,U244,Однолинейка!$A$3:$A$3000,Щит_спец)),IF(A244="Аппарат",IF(C244="","",COUNTIFS(Однолинейка!$I$3:$I$3000,C244,Однолинейка!$A$3:$A$3000,Щит_спец)+COUNTIFS(Однолинейка!$J$3:$J$3000,C244,Однолинейка!$A$3:$A$3000,Щит_спец)+COUNTIFS(Однолинейка!$K$3:$K$3000,C244,Однолинейка!$A$3:$A$3000,Щит_спец)),IF(A244="Модуль",IF(C244="","",COUNTIFS(Однолинейка!$AW$3:$AW$3000,"?*",Однолинейка!$AI$3:$AI$3000,C244,Однолинейка!$A$3:$A$3000,Щит_спец)),IF(A244="Клемма",IF(C244="","",IF(C244=$S$7,SUMIFS(Однолинейка!$BW$3:$BW$3000,Однолинейка!$A$3:$A$3000,Щит_спец),IF(C244=$S$8,SUMIFS(Однолинейка!$BX$3:$BX$3000,Однолинейка!$A$3:$A$3000,Щит_спец),""))),""))))</f>
        <v/>
      </c>
      <c r="O244" s="74"/>
      <c r="P244" s="38" t="str">
        <f t="shared" si="27"/>
        <v/>
      </c>
      <c r="U244" s="38" t="str">
        <f t="shared" si="28"/>
        <v/>
      </c>
      <c r="V244" s="38" t="str">
        <f t="shared" si="29"/>
        <v/>
      </c>
      <c r="W244" s="38" t="str">
        <f>IF(AND(U244&lt;&gt;"",OR($S$4="(все)",B244=$S$4),IF($S$4="(все)",COUNTIF($U$4:U244,U244),COUNTIFS($U$4:U244,U244,$B$4:B244,B244))=1),MAX($W$3:W243)+1,"")</f>
        <v/>
      </c>
      <c r="X244" s="38" t="str">
        <f t="shared" si="30"/>
        <v/>
      </c>
      <c r="Y244" s="38" t="str">
        <f>IF(AND(A244="Аппарат",C244&lt;&gt;"",OR($S$5="(все)",B244=$S$5)),MAX($Y$3:Y243)+1,"")</f>
        <v/>
      </c>
      <c r="Z244" s="38" t="str">
        <f t="shared" si="31"/>
        <v/>
      </c>
      <c r="AA244" s="38" t="str">
        <f>IF(AND(A244="Модуль",C244&lt;&gt;"",OR($S$6="(все)",B244=$S$6)),MAX($AA$3:AA243)+1,"")</f>
        <v/>
      </c>
      <c r="AB244" s="38" t="str">
        <f t="shared" si="32"/>
        <v/>
      </c>
      <c r="AC244" s="38" t="str">
        <f>IF(OR(B244="",COUNTIF($B$4:B244,B244)&gt;1),"",MAX($AC$3:AC243)+1)</f>
        <v/>
      </c>
      <c r="AD244" s="38" t="str">
        <f t="shared" si="33"/>
        <v/>
      </c>
      <c r="AE244" s="38" t="str">
        <f t="shared" si="34"/>
        <v/>
      </c>
      <c r="AF244" s="38" t="str">
        <f t="shared" si="35"/>
        <v/>
      </c>
    </row>
    <row r="245" spans="1:32" x14ac:dyDescent="0.3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38" t="str">
        <f>IF(OR(A245="Автомат",A245="Дифавтомат"),IF(W245="","",COUNTIFS(Однолинейка!$H$3:$H$3000,U245,Однолинейка!$A$3:$A$3000,Щит_спец)),IF(A245="Аппарат",IF(C245="","",COUNTIFS(Однолинейка!$I$3:$I$3000,C245,Однолинейка!$A$3:$A$3000,Щит_спец)+COUNTIFS(Однолинейка!$J$3:$J$3000,C245,Однолинейка!$A$3:$A$3000,Щит_спец)+COUNTIFS(Однолинейка!$K$3:$K$3000,C245,Однолинейка!$A$3:$A$3000,Щит_спец)),IF(A245="Модуль",IF(C245="","",COUNTIFS(Однолинейка!$AW$3:$AW$3000,"?*",Однолинейка!$AI$3:$AI$3000,C245,Однолинейка!$A$3:$A$3000,Щит_спец)),IF(A245="Клемма",IF(C245="","",IF(C245=$S$7,SUMIFS(Однолинейка!$BW$3:$BW$3000,Однолинейка!$A$3:$A$3000,Щит_спец),IF(C245=$S$8,SUMIFS(Однолинейка!$BX$3:$BX$3000,Однолинейка!$A$3:$A$3000,Щит_спец),""))),""))))</f>
        <v/>
      </c>
      <c r="O245" s="74"/>
      <c r="P245" s="38" t="str">
        <f t="shared" si="27"/>
        <v/>
      </c>
      <c r="U245" s="38" t="str">
        <f t="shared" si="28"/>
        <v/>
      </c>
      <c r="V245" s="38" t="str">
        <f t="shared" si="29"/>
        <v/>
      </c>
      <c r="W245" s="38" t="str">
        <f>IF(AND(U245&lt;&gt;"",OR($S$4="(все)",B245=$S$4),IF($S$4="(все)",COUNTIF($U$4:U245,U245),COUNTIFS($U$4:U245,U245,$B$4:B245,B245))=1),MAX($W$3:W244)+1,"")</f>
        <v/>
      </c>
      <c r="X245" s="38" t="str">
        <f t="shared" si="30"/>
        <v/>
      </c>
      <c r="Y245" s="38" t="str">
        <f>IF(AND(A245="Аппарат",C245&lt;&gt;"",OR($S$5="(все)",B245=$S$5)),MAX($Y$3:Y244)+1,"")</f>
        <v/>
      </c>
      <c r="Z245" s="38" t="str">
        <f t="shared" si="31"/>
        <v/>
      </c>
      <c r="AA245" s="38" t="str">
        <f>IF(AND(A245="Модуль",C245&lt;&gt;"",OR($S$6="(все)",B245=$S$6)),MAX($AA$3:AA244)+1,"")</f>
        <v/>
      </c>
      <c r="AB245" s="38" t="str">
        <f t="shared" si="32"/>
        <v/>
      </c>
      <c r="AC245" s="38" t="str">
        <f>IF(OR(B245="",COUNTIF($B$4:B245,B245)&gt;1),"",MAX($AC$3:AC244)+1)</f>
        <v/>
      </c>
      <c r="AD245" s="38" t="str">
        <f t="shared" si="33"/>
        <v/>
      </c>
      <c r="AE245" s="38" t="str">
        <f t="shared" si="34"/>
        <v/>
      </c>
      <c r="AF245" s="38" t="str">
        <f t="shared" si="35"/>
        <v/>
      </c>
    </row>
    <row r="246" spans="1:32" x14ac:dyDescent="0.3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38" t="str">
        <f>IF(OR(A246="Автомат",A246="Дифавтомат"),IF(W246="","",COUNTIFS(Однолинейка!$H$3:$H$3000,U246,Однолинейка!$A$3:$A$3000,Щит_спец)),IF(A246="Аппарат",IF(C246="","",COUNTIFS(Однолинейка!$I$3:$I$3000,C246,Однолинейка!$A$3:$A$3000,Щит_спец)+COUNTIFS(Однолинейка!$J$3:$J$3000,C246,Однолинейка!$A$3:$A$3000,Щит_спец)+COUNTIFS(Однолинейка!$K$3:$K$3000,C246,Однолинейка!$A$3:$A$3000,Щит_спец)),IF(A246="Модуль",IF(C246="","",COUNTIFS(Однолинейка!$AW$3:$AW$3000,"?*",Однолинейка!$AI$3:$AI$3000,C246,Однолинейка!$A$3:$A$3000,Щит_спец)),IF(A246="Клемма",IF(C246="","",IF(C246=$S$7,SUMIFS(Однолинейка!$BW$3:$BW$3000,Однолинейка!$A$3:$A$3000,Щит_спец),IF(C246=$S$8,SUMIFS(Однолинейка!$BX$3:$BX$3000,Однолинейка!$A$3:$A$3000,Щит_спец),""))),""))))</f>
        <v/>
      </c>
      <c r="O246" s="74"/>
      <c r="P246" s="38" t="str">
        <f t="shared" si="27"/>
        <v/>
      </c>
      <c r="U246" s="38" t="str">
        <f t="shared" si="28"/>
        <v/>
      </c>
      <c r="V246" s="38" t="str">
        <f t="shared" si="29"/>
        <v/>
      </c>
      <c r="W246" s="38" t="str">
        <f>IF(AND(U246&lt;&gt;"",OR($S$4="(все)",B246=$S$4),IF($S$4="(все)",COUNTIF($U$4:U246,U246),COUNTIFS($U$4:U246,U246,$B$4:B246,B246))=1),MAX($W$3:W245)+1,"")</f>
        <v/>
      </c>
      <c r="X246" s="38" t="str">
        <f t="shared" si="30"/>
        <v/>
      </c>
      <c r="Y246" s="38" t="str">
        <f>IF(AND(A246="Аппарат",C246&lt;&gt;"",OR($S$5="(все)",B246=$S$5)),MAX($Y$3:Y245)+1,"")</f>
        <v/>
      </c>
      <c r="Z246" s="38" t="str">
        <f t="shared" si="31"/>
        <v/>
      </c>
      <c r="AA246" s="38" t="str">
        <f>IF(AND(A246="Модуль",C246&lt;&gt;"",OR($S$6="(все)",B246=$S$6)),MAX($AA$3:AA245)+1,"")</f>
        <v/>
      </c>
      <c r="AB246" s="38" t="str">
        <f t="shared" si="32"/>
        <v/>
      </c>
      <c r="AC246" s="38" t="str">
        <f>IF(OR(B246="",COUNTIF($B$4:B246,B246)&gt;1),"",MAX($AC$3:AC245)+1)</f>
        <v/>
      </c>
      <c r="AD246" s="38" t="str">
        <f t="shared" si="33"/>
        <v/>
      </c>
      <c r="AE246" s="38" t="str">
        <f t="shared" si="34"/>
        <v/>
      </c>
      <c r="AF246" s="38" t="str">
        <f t="shared" si="35"/>
        <v/>
      </c>
    </row>
    <row r="247" spans="1:32" x14ac:dyDescent="0.3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38" t="str">
        <f>IF(OR(A247="Автомат",A247="Дифавтомат"),IF(W247="","",COUNTIFS(Однолинейка!$H$3:$H$3000,U247,Однолинейка!$A$3:$A$3000,Щит_спец)),IF(A247="Аппарат",IF(C247="","",COUNTIFS(Однолинейка!$I$3:$I$3000,C247,Однолинейка!$A$3:$A$3000,Щит_спец)+COUNTIFS(Однолинейка!$J$3:$J$3000,C247,Однолинейка!$A$3:$A$3000,Щит_спец)+COUNTIFS(Однолинейка!$K$3:$K$3000,C247,Однолинейка!$A$3:$A$3000,Щит_спец)),IF(A247="Модуль",IF(C247="","",COUNTIFS(Однолинейка!$AW$3:$AW$3000,"?*",Однолинейка!$AI$3:$AI$3000,C247,Однолинейка!$A$3:$A$3000,Щит_спец)),IF(A247="Клемма",IF(C247="","",IF(C247=$S$7,SUMIFS(Однолинейка!$BW$3:$BW$3000,Однолинейка!$A$3:$A$3000,Щит_спец),IF(C247=$S$8,SUMIFS(Однолинейка!$BX$3:$BX$3000,Однолинейка!$A$3:$A$3000,Щит_спец),""))),""))))</f>
        <v/>
      </c>
      <c r="O247" s="74"/>
      <c r="P247" s="38" t="str">
        <f t="shared" si="27"/>
        <v/>
      </c>
      <c r="U247" s="38" t="str">
        <f t="shared" si="28"/>
        <v/>
      </c>
      <c r="V247" s="38" t="str">
        <f t="shared" si="29"/>
        <v/>
      </c>
      <c r="W247" s="38" t="str">
        <f>IF(AND(U247&lt;&gt;"",OR($S$4="(все)",B247=$S$4),IF($S$4="(все)",COUNTIF($U$4:U247,U247),COUNTIFS($U$4:U247,U247,$B$4:B247,B247))=1),MAX($W$3:W246)+1,"")</f>
        <v/>
      </c>
      <c r="X247" s="38" t="str">
        <f t="shared" si="30"/>
        <v/>
      </c>
      <c r="Y247" s="38" t="str">
        <f>IF(AND(A247="Аппарат",C247&lt;&gt;"",OR($S$5="(все)",B247=$S$5)),MAX($Y$3:Y246)+1,"")</f>
        <v/>
      </c>
      <c r="Z247" s="38" t="str">
        <f t="shared" si="31"/>
        <v/>
      </c>
      <c r="AA247" s="38" t="str">
        <f>IF(AND(A247="Модуль",C247&lt;&gt;"",OR($S$6="(все)",B247=$S$6)),MAX($AA$3:AA246)+1,"")</f>
        <v/>
      </c>
      <c r="AB247" s="38" t="str">
        <f t="shared" si="32"/>
        <v/>
      </c>
      <c r="AC247" s="38" t="str">
        <f>IF(OR(B247="",COUNTIF($B$4:B247,B247)&gt;1),"",MAX($AC$3:AC246)+1)</f>
        <v/>
      </c>
      <c r="AD247" s="38" t="str">
        <f t="shared" si="33"/>
        <v/>
      </c>
      <c r="AE247" s="38" t="str">
        <f t="shared" si="34"/>
        <v/>
      </c>
      <c r="AF247" s="38" t="str">
        <f t="shared" si="35"/>
        <v/>
      </c>
    </row>
    <row r="248" spans="1:32" x14ac:dyDescent="0.3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38" t="str">
        <f>IF(OR(A248="Автомат",A248="Дифавтомат"),IF(W248="","",COUNTIFS(Однолинейка!$H$3:$H$3000,U248,Однолинейка!$A$3:$A$3000,Щит_спец)),IF(A248="Аппарат",IF(C248="","",COUNTIFS(Однолинейка!$I$3:$I$3000,C248,Однолинейка!$A$3:$A$3000,Щит_спец)+COUNTIFS(Однолинейка!$J$3:$J$3000,C248,Однолинейка!$A$3:$A$3000,Щит_спец)+COUNTIFS(Однолинейка!$K$3:$K$3000,C248,Однолинейка!$A$3:$A$3000,Щит_спец)),IF(A248="Модуль",IF(C248="","",COUNTIFS(Однолинейка!$AW$3:$AW$3000,"?*",Однолинейка!$AI$3:$AI$3000,C248,Однолинейка!$A$3:$A$3000,Щит_спец)),IF(A248="Клемма",IF(C248="","",IF(C248=$S$7,SUMIFS(Однолинейка!$BW$3:$BW$3000,Однолинейка!$A$3:$A$3000,Щит_спец),IF(C248=$S$8,SUMIFS(Однолинейка!$BX$3:$BX$3000,Однолинейка!$A$3:$A$3000,Щит_спец),""))),""))))</f>
        <v/>
      </c>
      <c r="O248" s="74"/>
      <c r="P248" s="38" t="str">
        <f t="shared" si="27"/>
        <v/>
      </c>
      <c r="U248" s="38" t="str">
        <f t="shared" si="28"/>
        <v/>
      </c>
      <c r="V248" s="38" t="str">
        <f t="shared" si="29"/>
        <v/>
      </c>
      <c r="W248" s="38" t="str">
        <f>IF(AND(U248&lt;&gt;"",OR($S$4="(все)",B248=$S$4),IF($S$4="(все)",COUNTIF($U$4:U248,U248),COUNTIFS($U$4:U248,U248,$B$4:B248,B248))=1),MAX($W$3:W247)+1,"")</f>
        <v/>
      </c>
      <c r="X248" s="38" t="str">
        <f t="shared" si="30"/>
        <v/>
      </c>
      <c r="Y248" s="38" t="str">
        <f>IF(AND(A248="Аппарат",C248&lt;&gt;"",OR($S$5="(все)",B248=$S$5)),MAX($Y$3:Y247)+1,"")</f>
        <v/>
      </c>
      <c r="Z248" s="38" t="str">
        <f t="shared" si="31"/>
        <v/>
      </c>
      <c r="AA248" s="38" t="str">
        <f>IF(AND(A248="Модуль",C248&lt;&gt;"",OR($S$6="(все)",B248=$S$6)),MAX($AA$3:AA247)+1,"")</f>
        <v/>
      </c>
      <c r="AB248" s="38" t="str">
        <f t="shared" si="32"/>
        <v/>
      </c>
      <c r="AC248" s="38" t="str">
        <f>IF(OR(B248="",COUNTIF($B$4:B248,B248)&gt;1),"",MAX($AC$3:AC247)+1)</f>
        <v/>
      </c>
      <c r="AD248" s="38" t="str">
        <f t="shared" si="33"/>
        <v/>
      </c>
      <c r="AE248" s="38" t="str">
        <f t="shared" si="34"/>
        <v/>
      </c>
      <c r="AF248" s="38" t="str">
        <f t="shared" si="35"/>
        <v/>
      </c>
    </row>
    <row r="249" spans="1:32" x14ac:dyDescent="0.3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38" t="str">
        <f>IF(OR(A249="Автомат",A249="Дифавтомат"),IF(W249="","",COUNTIFS(Однолинейка!$H$3:$H$3000,U249,Однолинейка!$A$3:$A$3000,Щит_спец)),IF(A249="Аппарат",IF(C249="","",COUNTIFS(Однолинейка!$I$3:$I$3000,C249,Однолинейка!$A$3:$A$3000,Щит_спец)+COUNTIFS(Однолинейка!$J$3:$J$3000,C249,Однолинейка!$A$3:$A$3000,Щит_спец)+COUNTIFS(Однолинейка!$K$3:$K$3000,C249,Однолинейка!$A$3:$A$3000,Щит_спец)),IF(A249="Модуль",IF(C249="","",COUNTIFS(Однолинейка!$AW$3:$AW$3000,"?*",Однолинейка!$AI$3:$AI$3000,C249,Однолинейка!$A$3:$A$3000,Щит_спец)),IF(A249="Клемма",IF(C249="","",IF(C249=$S$7,SUMIFS(Однолинейка!$BW$3:$BW$3000,Однолинейка!$A$3:$A$3000,Щит_спец),IF(C249=$S$8,SUMIFS(Однолинейка!$BX$3:$BX$3000,Однолинейка!$A$3:$A$3000,Щит_спец),""))),""))))</f>
        <v/>
      </c>
      <c r="O249" s="74"/>
      <c r="P249" s="38" t="str">
        <f t="shared" si="27"/>
        <v/>
      </c>
      <c r="U249" s="38" t="str">
        <f t="shared" si="28"/>
        <v/>
      </c>
      <c r="V249" s="38" t="str">
        <f t="shared" si="29"/>
        <v/>
      </c>
      <c r="W249" s="38" t="str">
        <f>IF(AND(U249&lt;&gt;"",OR($S$4="(все)",B249=$S$4),IF($S$4="(все)",COUNTIF($U$4:U249,U249),COUNTIFS($U$4:U249,U249,$B$4:B249,B249))=1),MAX($W$3:W248)+1,"")</f>
        <v/>
      </c>
      <c r="X249" s="38" t="str">
        <f t="shared" si="30"/>
        <v/>
      </c>
      <c r="Y249" s="38" t="str">
        <f>IF(AND(A249="Аппарат",C249&lt;&gt;"",OR($S$5="(все)",B249=$S$5)),MAX($Y$3:Y248)+1,"")</f>
        <v/>
      </c>
      <c r="Z249" s="38" t="str">
        <f t="shared" si="31"/>
        <v/>
      </c>
      <c r="AA249" s="38" t="str">
        <f>IF(AND(A249="Модуль",C249&lt;&gt;"",OR($S$6="(все)",B249=$S$6)),MAX($AA$3:AA248)+1,"")</f>
        <v/>
      </c>
      <c r="AB249" s="38" t="str">
        <f t="shared" si="32"/>
        <v/>
      </c>
      <c r="AC249" s="38" t="str">
        <f>IF(OR(B249="",COUNTIF($B$4:B249,B249)&gt;1),"",MAX($AC$3:AC248)+1)</f>
        <v/>
      </c>
      <c r="AD249" s="38" t="str">
        <f t="shared" si="33"/>
        <v/>
      </c>
      <c r="AE249" s="38" t="str">
        <f t="shared" si="34"/>
        <v/>
      </c>
      <c r="AF249" s="38" t="str">
        <f t="shared" si="35"/>
        <v/>
      </c>
    </row>
    <row r="250" spans="1:32" x14ac:dyDescent="0.3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38" t="str">
        <f>IF(OR(A250="Автомат",A250="Дифавтомат"),IF(W250="","",COUNTIFS(Однолинейка!$H$3:$H$3000,U250,Однолинейка!$A$3:$A$3000,Щит_спец)),IF(A250="Аппарат",IF(C250="","",COUNTIFS(Однолинейка!$I$3:$I$3000,C250,Однолинейка!$A$3:$A$3000,Щит_спец)+COUNTIFS(Однолинейка!$J$3:$J$3000,C250,Однолинейка!$A$3:$A$3000,Щит_спец)+COUNTIFS(Однолинейка!$K$3:$K$3000,C250,Однолинейка!$A$3:$A$3000,Щит_спец)),IF(A250="Модуль",IF(C250="","",COUNTIFS(Однолинейка!$AW$3:$AW$3000,"?*",Однолинейка!$AI$3:$AI$3000,C250,Однолинейка!$A$3:$A$3000,Щит_спец)),IF(A250="Клемма",IF(C250="","",IF(C250=$S$7,SUMIFS(Однолинейка!$BW$3:$BW$3000,Однолинейка!$A$3:$A$3000,Щит_спец),IF(C250=$S$8,SUMIFS(Однолинейка!$BX$3:$BX$3000,Однолинейка!$A$3:$A$3000,Щит_спец),""))),""))))</f>
        <v/>
      </c>
      <c r="O250" s="74"/>
      <c r="P250" s="38" t="str">
        <f t="shared" si="27"/>
        <v/>
      </c>
      <c r="U250" s="38" t="str">
        <f t="shared" si="28"/>
        <v/>
      </c>
      <c r="V250" s="38" t="str">
        <f t="shared" si="29"/>
        <v/>
      </c>
      <c r="W250" s="38" t="str">
        <f>IF(AND(U250&lt;&gt;"",OR($S$4="(все)",B250=$S$4),IF($S$4="(все)",COUNTIF($U$4:U250,U250),COUNTIFS($U$4:U250,U250,$B$4:B250,B250))=1),MAX($W$3:W249)+1,"")</f>
        <v/>
      </c>
      <c r="X250" s="38" t="str">
        <f t="shared" si="30"/>
        <v/>
      </c>
      <c r="Y250" s="38" t="str">
        <f>IF(AND(A250="Аппарат",C250&lt;&gt;"",OR($S$5="(все)",B250=$S$5)),MAX($Y$3:Y249)+1,"")</f>
        <v/>
      </c>
      <c r="Z250" s="38" t="str">
        <f t="shared" si="31"/>
        <v/>
      </c>
      <c r="AA250" s="38" t="str">
        <f>IF(AND(A250="Модуль",C250&lt;&gt;"",OR($S$6="(все)",B250=$S$6)),MAX($AA$3:AA249)+1,"")</f>
        <v/>
      </c>
      <c r="AB250" s="38" t="str">
        <f t="shared" si="32"/>
        <v/>
      </c>
      <c r="AC250" s="38" t="str">
        <f>IF(OR(B250="",COUNTIF($B$4:B250,B250)&gt;1),"",MAX($AC$3:AC249)+1)</f>
        <v/>
      </c>
      <c r="AD250" s="38" t="str">
        <f t="shared" si="33"/>
        <v/>
      </c>
      <c r="AE250" s="38" t="str">
        <f t="shared" si="34"/>
        <v/>
      </c>
      <c r="AF250" s="38" t="str">
        <f t="shared" si="35"/>
        <v/>
      </c>
    </row>
    <row r="251" spans="1:32" x14ac:dyDescent="0.3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38" t="str">
        <f>IF(OR(A251="Автомат",A251="Дифавтомат"),IF(W251="","",COUNTIFS(Однолинейка!$H$3:$H$3000,U251,Однолинейка!$A$3:$A$3000,Щит_спец)),IF(A251="Аппарат",IF(C251="","",COUNTIFS(Однолинейка!$I$3:$I$3000,C251,Однолинейка!$A$3:$A$3000,Щит_спец)+COUNTIFS(Однолинейка!$J$3:$J$3000,C251,Однолинейка!$A$3:$A$3000,Щит_спец)+COUNTIFS(Однолинейка!$K$3:$K$3000,C251,Однолинейка!$A$3:$A$3000,Щит_спец)),IF(A251="Модуль",IF(C251="","",COUNTIFS(Однолинейка!$AW$3:$AW$3000,"?*",Однолинейка!$AI$3:$AI$3000,C251,Однолинейка!$A$3:$A$3000,Щит_спец)),IF(A251="Клемма",IF(C251="","",IF(C251=$S$7,SUMIFS(Однолинейка!$BW$3:$BW$3000,Однолинейка!$A$3:$A$3000,Щит_спец),IF(C251=$S$8,SUMIFS(Однолинейка!$BX$3:$BX$3000,Однолинейка!$A$3:$A$3000,Щит_спец),""))),""))))</f>
        <v/>
      </c>
      <c r="O251" s="74"/>
      <c r="P251" s="38" t="str">
        <f t="shared" si="27"/>
        <v/>
      </c>
      <c r="U251" s="38" t="str">
        <f t="shared" si="28"/>
        <v/>
      </c>
      <c r="V251" s="38" t="str">
        <f t="shared" si="29"/>
        <v/>
      </c>
      <c r="W251" s="38" t="str">
        <f>IF(AND(U251&lt;&gt;"",OR($S$4="(все)",B251=$S$4),IF($S$4="(все)",COUNTIF($U$4:U251,U251),COUNTIFS($U$4:U251,U251,$B$4:B251,B251))=1),MAX($W$3:W250)+1,"")</f>
        <v/>
      </c>
      <c r="X251" s="38" t="str">
        <f t="shared" si="30"/>
        <v/>
      </c>
      <c r="Y251" s="38" t="str">
        <f>IF(AND(A251="Аппарат",C251&lt;&gt;"",OR($S$5="(все)",B251=$S$5)),MAX($Y$3:Y250)+1,"")</f>
        <v/>
      </c>
      <c r="Z251" s="38" t="str">
        <f t="shared" si="31"/>
        <v/>
      </c>
      <c r="AA251" s="38" t="str">
        <f>IF(AND(A251="Модуль",C251&lt;&gt;"",OR($S$6="(все)",B251=$S$6)),MAX($AA$3:AA250)+1,"")</f>
        <v/>
      </c>
      <c r="AB251" s="38" t="str">
        <f t="shared" si="32"/>
        <v/>
      </c>
      <c r="AC251" s="38" t="str">
        <f>IF(OR(B251="",COUNTIF($B$4:B251,B251)&gt;1),"",MAX($AC$3:AC250)+1)</f>
        <v/>
      </c>
      <c r="AD251" s="38" t="str">
        <f t="shared" si="33"/>
        <v/>
      </c>
      <c r="AE251" s="38" t="str">
        <f t="shared" si="34"/>
        <v/>
      </c>
      <c r="AF251" s="38" t="str">
        <f t="shared" si="35"/>
        <v/>
      </c>
    </row>
    <row r="252" spans="1:32" x14ac:dyDescent="0.3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38" t="str">
        <f>IF(OR(A252="Автомат",A252="Дифавтомат"),IF(W252="","",COUNTIFS(Однолинейка!$H$3:$H$3000,U252,Однолинейка!$A$3:$A$3000,Щит_спец)),IF(A252="Аппарат",IF(C252="","",COUNTIFS(Однолинейка!$I$3:$I$3000,C252,Однолинейка!$A$3:$A$3000,Щит_спец)+COUNTIFS(Однолинейка!$J$3:$J$3000,C252,Однолинейка!$A$3:$A$3000,Щит_спец)+COUNTIFS(Однолинейка!$K$3:$K$3000,C252,Однолинейка!$A$3:$A$3000,Щит_спец)),IF(A252="Модуль",IF(C252="","",COUNTIFS(Однолинейка!$AW$3:$AW$3000,"?*",Однолинейка!$AI$3:$AI$3000,C252,Однолинейка!$A$3:$A$3000,Щит_спец)),IF(A252="Клемма",IF(C252="","",IF(C252=$S$7,SUMIFS(Однолинейка!$BW$3:$BW$3000,Однолинейка!$A$3:$A$3000,Щит_спец),IF(C252=$S$8,SUMIFS(Однолинейка!$BX$3:$BX$3000,Однолинейка!$A$3:$A$3000,Щит_спец),""))),""))))</f>
        <v/>
      </c>
      <c r="O252" s="74"/>
      <c r="P252" s="38" t="str">
        <f t="shared" si="27"/>
        <v/>
      </c>
      <c r="U252" s="38" t="str">
        <f t="shared" si="28"/>
        <v/>
      </c>
      <c r="V252" s="38" t="str">
        <f t="shared" si="29"/>
        <v/>
      </c>
      <c r="W252" s="38" t="str">
        <f>IF(AND(U252&lt;&gt;"",OR($S$4="(все)",B252=$S$4),IF($S$4="(все)",COUNTIF($U$4:U252,U252),COUNTIFS($U$4:U252,U252,$B$4:B252,B252))=1),MAX($W$3:W251)+1,"")</f>
        <v/>
      </c>
      <c r="X252" s="38" t="str">
        <f t="shared" si="30"/>
        <v/>
      </c>
      <c r="Y252" s="38" t="str">
        <f>IF(AND(A252="Аппарат",C252&lt;&gt;"",OR($S$5="(все)",B252=$S$5)),MAX($Y$3:Y251)+1,"")</f>
        <v/>
      </c>
      <c r="Z252" s="38" t="str">
        <f t="shared" si="31"/>
        <v/>
      </c>
      <c r="AA252" s="38" t="str">
        <f>IF(AND(A252="Модуль",C252&lt;&gt;"",OR($S$6="(все)",B252=$S$6)),MAX($AA$3:AA251)+1,"")</f>
        <v/>
      </c>
      <c r="AB252" s="38" t="str">
        <f t="shared" si="32"/>
        <v/>
      </c>
      <c r="AC252" s="38" t="str">
        <f>IF(OR(B252="",COUNTIF($B$4:B252,B252)&gt;1),"",MAX($AC$3:AC251)+1)</f>
        <v/>
      </c>
      <c r="AD252" s="38" t="str">
        <f t="shared" si="33"/>
        <v/>
      </c>
      <c r="AE252" s="38" t="str">
        <f t="shared" si="34"/>
        <v/>
      </c>
      <c r="AF252" s="38" t="str">
        <f t="shared" si="35"/>
        <v/>
      </c>
    </row>
    <row r="253" spans="1:32" x14ac:dyDescent="0.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38" t="str">
        <f>IF(OR(A253="Автомат",A253="Дифавтомат"),IF(W253="","",COUNTIFS(Однолинейка!$H$3:$H$3000,U253,Однолинейка!$A$3:$A$3000,Щит_спец)),IF(A253="Аппарат",IF(C253="","",COUNTIFS(Однолинейка!$I$3:$I$3000,C253,Однолинейка!$A$3:$A$3000,Щит_спец)+COUNTIFS(Однолинейка!$J$3:$J$3000,C253,Однолинейка!$A$3:$A$3000,Щит_спец)+COUNTIFS(Однолинейка!$K$3:$K$3000,C253,Однолинейка!$A$3:$A$3000,Щит_спец)),IF(A253="Модуль",IF(C253="","",COUNTIFS(Однолинейка!$AW$3:$AW$3000,"?*",Однолинейка!$AI$3:$AI$3000,C253,Однолинейка!$A$3:$A$3000,Щит_спец)),IF(A253="Клемма",IF(C253="","",IF(C253=$S$7,SUMIFS(Однолинейка!$BW$3:$BW$3000,Однолинейка!$A$3:$A$3000,Щит_спец),IF(C253=$S$8,SUMIFS(Однолинейка!$BX$3:$BX$3000,Однолинейка!$A$3:$A$3000,Щит_спец),""))),""))))</f>
        <v/>
      </c>
      <c r="O253" s="74"/>
      <c r="P253" s="38" t="str">
        <f t="shared" si="27"/>
        <v/>
      </c>
      <c r="U253" s="38" t="str">
        <f t="shared" si="28"/>
        <v/>
      </c>
      <c r="V253" s="38" t="str">
        <f t="shared" si="29"/>
        <v/>
      </c>
      <c r="W253" s="38" t="str">
        <f>IF(AND(U253&lt;&gt;"",OR($S$4="(все)",B253=$S$4),IF($S$4="(все)",COUNTIF($U$4:U253,U253),COUNTIFS($U$4:U253,U253,$B$4:B253,B253))=1),MAX($W$3:W252)+1,"")</f>
        <v/>
      </c>
      <c r="X253" s="38" t="str">
        <f t="shared" si="30"/>
        <v/>
      </c>
      <c r="Y253" s="38" t="str">
        <f>IF(AND(A253="Аппарат",C253&lt;&gt;"",OR($S$5="(все)",B253=$S$5)),MAX($Y$3:Y252)+1,"")</f>
        <v/>
      </c>
      <c r="Z253" s="38" t="str">
        <f t="shared" si="31"/>
        <v/>
      </c>
      <c r="AA253" s="38" t="str">
        <f>IF(AND(A253="Модуль",C253&lt;&gt;"",OR($S$6="(все)",B253=$S$6)),MAX($AA$3:AA252)+1,"")</f>
        <v/>
      </c>
      <c r="AB253" s="38" t="str">
        <f t="shared" si="32"/>
        <v/>
      </c>
      <c r="AC253" s="38" t="str">
        <f>IF(OR(B253="",COUNTIF($B$4:B253,B253)&gt;1),"",MAX($AC$3:AC252)+1)</f>
        <v/>
      </c>
      <c r="AD253" s="38" t="str">
        <f t="shared" si="33"/>
        <v/>
      </c>
      <c r="AE253" s="38" t="str">
        <f t="shared" si="34"/>
        <v/>
      </c>
      <c r="AF253" s="38" t="str">
        <f t="shared" si="35"/>
        <v/>
      </c>
    </row>
    <row r="254" spans="1:32" x14ac:dyDescent="0.3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38" t="str">
        <f>IF(OR(A254="Автомат",A254="Дифавтомат"),IF(W254="","",COUNTIFS(Однолинейка!$H$3:$H$3000,U254,Однолинейка!$A$3:$A$3000,Щит_спец)),IF(A254="Аппарат",IF(C254="","",COUNTIFS(Однолинейка!$I$3:$I$3000,C254,Однолинейка!$A$3:$A$3000,Щит_спец)+COUNTIFS(Однолинейка!$J$3:$J$3000,C254,Однолинейка!$A$3:$A$3000,Щит_спец)+COUNTIFS(Однолинейка!$K$3:$K$3000,C254,Однолинейка!$A$3:$A$3000,Щит_спец)),IF(A254="Модуль",IF(C254="","",COUNTIFS(Однолинейка!$AW$3:$AW$3000,"?*",Однолинейка!$AI$3:$AI$3000,C254,Однолинейка!$A$3:$A$3000,Щит_спец)),IF(A254="Клемма",IF(C254="","",IF(C254=$S$7,SUMIFS(Однолинейка!$BW$3:$BW$3000,Однолинейка!$A$3:$A$3000,Щит_спец),IF(C254=$S$8,SUMIFS(Однолинейка!$BX$3:$BX$3000,Однолинейка!$A$3:$A$3000,Щит_спец),""))),""))))</f>
        <v/>
      </c>
      <c r="O254" s="74"/>
      <c r="P254" s="38" t="str">
        <f t="shared" si="27"/>
        <v/>
      </c>
      <c r="U254" s="38" t="str">
        <f t="shared" si="28"/>
        <v/>
      </c>
      <c r="V254" s="38" t="str">
        <f t="shared" si="29"/>
        <v/>
      </c>
      <c r="W254" s="38" t="str">
        <f>IF(AND(U254&lt;&gt;"",OR($S$4="(все)",B254=$S$4),IF($S$4="(все)",COUNTIF($U$4:U254,U254),COUNTIFS($U$4:U254,U254,$B$4:B254,B254))=1),MAX($W$3:W253)+1,"")</f>
        <v/>
      </c>
      <c r="X254" s="38" t="str">
        <f t="shared" si="30"/>
        <v/>
      </c>
      <c r="Y254" s="38" t="str">
        <f>IF(AND(A254="Аппарат",C254&lt;&gt;"",OR($S$5="(все)",B254=$S$5)),MAX($Y$3:Y253)+1,"")</f>
        <v/>
      </c>
      <c r="Z254" s="38" t="str">
        <f t="shared" si="31"/>
        <v/>
      </c>
      <c r="AA254" s="38" t="str">
        <f>IF(AND(A254="Модуль",C254&lt;&gt;"",OR($S$6="(все)",B254=$S$6)),MAX($AA$3:AA253)+1,"")</f>
        <v/>
      </c>
      <c r="AB254" s="38" t="str">
        <f t="shared" si="32"/>
        <v/>
      </c>
      <c r="AC254" s="38" t="str">
        <f>IF(OR(B254="",COUNTIF($B$4:B254,B254)&gt;1),"",MAX($AC$3:AC253)+1)</f>
        <v/>
      </c>
      <c r="AD254" s="38" t="str">
        <f t="shared" si="33"/>
        <v/>
      </c>
      <c r="AE254" s="38" t="str">
        <f t="shared" si="34"/>
        <v/>
      </c>
      <c r="AF254" s="38" t="str">
        <f t="shared" si="35"/>
        <v/>
      </c>
    </row>
    <row r="255" spans="1:32" x14ac:dyDescent="0.3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38" t="str">
        <f>IF(OR(A255="Автомат",A255="Дифавтомат"),IF(W255="","",COUNTIFS(Однолинейка!$H$3:$H$3000,U255,Однолинейка!$A$3:$A$3000,Щит_спец)),IF(A255="Аппарат",IF(C255="","",COUNTIFS(Однолинейка!$I$3:$I$3000,C255,Однолинейка!$A$3:$A$3000,Щит_спец)+COUNTIFS(Однолинейка!$J$3:$J$3000,C255,Однолинейка!$A$3:$A$3000,Щит_спец)+COUNTIFS(Однолинейка!$K$3:$K$3000,C255,Однолинейка!$A$3:$A$3000,Щит_спец)),IF(A255="Модуль",IF(C255="","",COUNTIFS(Однолинейка!$AW$3:$AW$3000,"?*",Однолинейка!$AI$3:$AI$3000,C255,Однолинейка!$A$3:$A$3000,Щит_спец)),IF(A255="Клемма",IF(C255="","",IF(C255=$S$7,SUMIFS(Однолинейка!$BW$3:$BW$3000,Однолинейка!$A$3:$A$3000,Щит_спец),IF(C255=$S$8,SUMIFS(Однолинейка!$BX$3:$BX$3000,Однолинейка!$A$3:$A$3000,Щит_спец),""))),""))))</f>
        <v/>
      </c>
      <c r="O255" s="74"/>
      <c r="P255" s="38" t="str">
        <f t="shared" si="27"/>
        <v/>
      </c>
      <c r="U255" s="38" t="str">
        <f t="shared" si="28"/>
        <v/>
      </c>
      <c r="V255" s="38" t="str">
        <f t="shared" si="29"/>
        <v/>
      </c>
      <c r="W255" s="38" t="str">
        <f>IF(AND(U255&lt;&gt;"",OR($S$4="(все)",B255=$S$4),IF($S$4="(все)",COUNTIF($U$4:U255,U255),COUNTIFS($U$4:U255,U255,$B$4:B255,B255))=1),MAX($W$3:W254)+1,"")</f>
        <v/>
      </c>
      <c r="X255" s="38" t="str">
        <f t="shared" si="30"/>
        <v/>
      </c>
      <c r="Y255" s="38" t="str">
        <f>IF(AND(A255="Аппарат",C255&lt;&gt;"",OR($S$5="(все)",B255=$S$5)),MAX($Y$3:Y254)+1,"")</f>
        <v/>
      </c>
      <c r="Z255" s="38" t="str">
        <f t="shared" si="31"/>
        <v/>
      </c>
      <c r="AA255" s="38" t="str">
        <f>IF(AND(A255="Модуль",C255&lt;&gt;"",OR($S$6="(все)",B255=$S$6)),MAX($AA$3:AA254)+1,"")</f>
        <v/>
      </c>
      <c r="AB255" s="38" t="str">
        <f t="shared" si="32"/>
        <v/>
      </c>
      <c r="AC255" s="38" t="str">
        <f>IF(OR(B255="",COUNTIF($B$4:B255,B255)&gt;1),"",MAX($AC$3:AC254)+1)</f>
        <v/>
      </c>
      <c r="AD255" s="38" t="str">
        <f t="shared" si="33"/>
        <v/>
      </c>
      <c r="AE255" s="38" t="str">
        <f t="shared" si="34"/>
        <v/>
      </c>
      <c r="AF255" s="38" t="str">
        <f t="shared" si="35"/>
        <v/>
      </c>
    </row>
    <row r="256" spans="1:32" x14ac:dyDescent="0.3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38" t="str">
        <f>IF(OR(A256="Автомат",A256="Дифавтомат"),IF(W256="","",COUNTIFS(Однолинейка!$H$3:$H$3000,U256,Однолинейка!$A$3:$A$3000,Щит_спец)),IF(A256="Аппарат",IF(C256="","",COUNTIFS(Однолинейка!$I$3:$I$3000,C256,Однолинейка!$A$3:$A$3000,Щит_спец)+COUNTIFS(Однолинейка!$J$3:$J$3000,C256,Однолинейка!$A$3:$A$3000,Щит_спец)+COUNTIFS(Однолинейка!$K$3:$K$3000,C256,Однолинейка!$A$3:$A$3000,Щит_спец)),IF(A256="Модуль",IF(C256="","",COUNTIFS(Однолинейка!$AW$3:$AW$3000,"?*",Однолинейка!$AI$3:$AI$3000,C256,Однолинейка!$A$3:$A$3000,Щит_спец)),IF(A256="Клемма",IF(C256="","",IF(C256=$S$7,SUMIFS(Однолинейка!$BW$3:$BW$3000,Однолинейка!$A$3:$A$3000,Щит_спец),IF(C256=$S$8,SUMIFS(Однолинейка!$BX$3:$BX$3000,Однолинейка!$A$3:$A$3000,Щит_спец),""))),""))))</f>
        <v/>
      </c>
      <c r="O256" s="74"/>
      <c r="P256" s="38" t="str">
        <f t="shared" si="27"/>
        <v/>
      </c>
      <c r="U256" s="38" t="str">
        <f t="shared" si="28"/>
        <v/>
      </c>
      <c r="V256" s="38" t="str">
        <f t="shared" si="29"/>
        <v/>
      </c>
      <c r="W256" s="38" t="str">
        <f>IF(AND(U256&lt;&gt;"",OR($S$4="(все)",B256=$S$4),IF($S$4="(все)",COUNTIF($U$4:U256,U256),COUNTIFS($U$4:U256,U256,$B$4:B256,B256))=1),MAX($W$3:W255)+1,"")</f>
        <v/>
      </c>
      <c r="X256" s="38" t="str">
        <f t="shared" si="30"/>
        <v/>
      </c>
      <c r="Y256" s="38" t="str">
        <f>IF(AND(A256="Аппарат",C256&lt;&gt;"",OR($S$5="(все)",B256=$S$5)),MAX($Y$3:Y255)+1,"")</f>
        <v/>
      </c>
      <c r="Z256" s="38" t="str">
        <f t="shared" si="31"/>
        <v/>
      </c>
      <c r="AA256" s="38" t="str">
        <f>IF(AND(A256="Модуль",C256&lt;&gt;"",OR($S$6="(все)",B256=$S$6)),MAX($AA$3:AA255)+1,"")</f>
        <v/>
      </c>
      <c r="AB256" s="38" t="str">
        <f t="shared" si="32"/>
        <v/>
      </c>
      <c r="AC256" s="38" t="str">
        <f>IF(OR(B256="",COUNTIF($B$4:B256,B256)&gt;1),"",MAX($AC$3:AC255)+1)</f>
        <v/>
      </c>
      <c r="AD256" s="38" t="str">
        <f t="shared" si="33"/>
        <v/>
      </c>
      <c r="AE256" s="38" t="str">
        <f t="shared" si="34"/>
        <v/>
      </c>
      <c r="AF256" s="38" t="str">
        <f t="shared" si="35"/>
        <v/>
      </c>
    </row>
    <row r="257" spans="1:32" x14ac:dyDescent="0.3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38" t="str">
        <f>IF(OR(A257="Автомат",A257="Дифавтомат"),IF(W257="","",COUNTIFS(Однолинейка!$H$3:$H$3000,U257,Однолинейка!$A$3:$A$3000,Щит_спец)),IF(A257="Аппарат",IF(C257="","",COUNTIFS(Однолинейка!$I$3:$I$3000,C257,Однолинейка!$A$3:$A$3000,Щит_спец)+COUNTIFS(Однолинейка!$J$3:$J$3000,C257,Однолинейка!$A$3:$A$3000,Щит_спец)+COUNTIFS(Однолинейка!$K$3:$K$3000,C257,Однолинейка!$A$3:$A$3000,Щит_спец)),IF(A257="Модуль",IF(C257="","",COUNTIFS(Однолинейка!$AW$3:$AW$3000,"?*",Однолинейка!$AI$3:$AI$3000,C257,Однолинейка!$A$3:$A$3000,Щит_спец)),IF(A257="Клемма",IF(C257="","",IF(C257=$S$7,SUMIFS(Однолинейка!$BW$3:$BW$3000,Однолинейка!$A$3:$A$3000,Щит_спец),IF(C257=$S$8,SUMIFS(Однолинейка!$BX$3:$BX$3000,Однолинейка!$A$3:$A$3000,Щит_спец),""))),""))))</f>
        <v/>
      </c>
      <c r="O257" s="74"/>
      <c r="P257" s="38" t="str">
        <f t="shared" si="27"/>
        <v/>
      </c>
      <c r="U257" s="38" t="str">
        <f t="shared" si="28"/>
        <v/>
      </c>
      <c r="V257" s="38" t="str">
        <f t="shared" si="29"/>
        <v/>
      </c>
      <c r="W257" s="38" t="str">
        <f>IF(AND(U257&lt;&gt;"",OR($S$4="(все)",B257=$S$4),IF($S$4="(все)",COUNTIF($U$4:U257,U257),COUNTIFS($U$4:U257,U257,$B$4:B257,B257))=1),MAX($W$3:W256)+1,"")</f>
        <v/>
      </c>
      <c r="X257" s="38" t="str">
        <f t="shared" si="30"/>
        <v/>
      </c>
      <c r="Y257" s="38" t="str">
        <f>IF(AND(A257="Аппарат",C257&lt;&gt;"",OR($S$5="(все)",B257=$S$5)),MAX($Y$3:Y256)+1,"")</f>
        <v/>
      </c>
      <c r="Z257" s="38" t="str">
        <f t="shared" si="31"/>
        <v/>
      </c>
      <c r="AA257" s="38" t="str">
        <f>IF(AND(A257="Модуль",C257&lt;&gt;"",OR($S$6="(все)",B257=$S$6)),MAX($AA$3:AA256)+1,"")</f>
        <v/>
      </c>
      <c r="AB257" s="38" t="str">
        <f t="shared" si="32"/>
        <v/>
      </c>
      <c r="AC257" s="38" t="str">
        <f>IF(OR(B257="",COUNTIF($B$4:B257,B257)&gt;1),"",MAX($AC$3:AC256)+1)</f>
        <v/>
      </c>
      <c r="AD257" s="38" t="str">
        <f t="shared" si="33"/>
        <v/>
      </c>
      <c r="AE257" s="38" t="str">
        <f t="shared" si="34"/>
        <v/>
      </c>
      <c r="AF257" s="38" t="str">
        <f t="shared" si="35"/>
        <v/>
      </c>
    </row>
    <row r="258" spans="1:32" x14ac:dyDescent="0.3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38" t="str">
        <f>IF(OR(A258="Автомат",A258="Дифавтомат"),IF(W258="","",COUNTIFS(Однолинейка!$H$3:$H$3000,U258,Однолинейка!$A$3:$A$3000,Щит_спец)),IF(A258="Аппарат",IF(C258="","",COUNTIFS(Однолинейка!$I$3:$I$3000,C258,Однолинейка!$A$3:$A$3000,Щит_спец)+COUNTIFS(Однолинейка!$J$3:$J$3000,C258,Однолинейка!$A$3:$A$3000,Щит_спец)+COUNTIFS(Однолинейка!$K$3:$K$3000,C258,Однолинейка!$A$3:$A$3000,Щит_спец)),IF(A258="Модуль",IF(C258="","",COUNTIFS(Однолинейка!$AW$3:$AW$3000,"?*",Однолинейка!$AI$3:$AI$3000,C258,Однолинейка!$A$3:$A$3000,Щит_спец)),IF(A258="Клемма",IF(C258="","",IF(C258=$S$7,SUMIFS(Однолинейка!$BW$3:$BW$3000,Однолинейка!$A$3:$A$3000,Щит_спец),IF(C258=$S$8,SUMIFS(Однолинейка!$BX$3:$BX$3000,Однолинейка!$A$3:$A$3000,Щит_спец),""))),""))))</f>
        <v/>
      </c>
      <c r="O258" s="74"/>
      <c r="P258" s="38" t="str">
        <f t="shared" si="27"/>
        <v/>
      </c>
      <c r="U258" s="38" t="str">
        <f t="shared" si="28"/>
        <v/>
      </c>
      <c r="V258" s="38" t="str">
        <f t="shared" si="29"/>
        <v/>
      </c>
      <c r="W258" s="38" t="str">
        <f>IF(AND(U258&lt;&gt;"",OR($S$4="(все)",B258=$S$4),IF($S$4="(все)",COUNTIF($U$4:U258,U258),COUNTIFS($U$4:U258,U258,$B$4:B258,B258))=1),MAX($W$3:W257)+1,"")</f>
        <v/>
      </c>
      <c r="X258" s="38" t="str">
        <f t="shared" si="30"/>
        <v/>
      </c>
      <c r="Y258" s="38" t="str">
        <f>IF(AND(A258="Аппарат",C258&lt;&gt;"",OR($S$5="(все)",B258=$S$5)),MAX($Y$3:Y257)+1,"")</f>
        <v/>
      </c>
      <c r="Z258" s="38" t="str">
        <f t="shared" si="31"/>
        <v/>
      </c>
      <c r="AA258" s="38" t="str">
        <f>IF(AND(A258="Модуль",C258&lt;&gt;"",OR($S$6="(все)",B258=$S$6)),MAX($AA$3:AA257)+1,"")</f>
        <v/>
      </c>
      <c r="AB258" s="38" t="str">
        <f t="shared" si="32"/>
        <v/>
      </c>
      <c r="AC258" s="38" t="str">
        <f>IF(OR(B258="",COUNTIF($B$4:B258,B258)&gt;1),"",MAX($AC$3:AC257)+1)</f>
        <v/>
      </c>
      <c r="AD258" s="38" t="str">
        <f t="shared" si="33"/>
        <v/>
      </c>
      <c r="AE258" s="38" t="str">
        <f t="shared" si="34"/>
        <v/>
      </c>
      <c r="AF258" s="38" t="str">
        <f t="shared" si="35"/>
        <v/>
      </c>
    </row>
    <row r="259" spans="1:32" x14ac:dyDescent="0.3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38" t="str">
        <f>IF(OR(A259="Автомат",A259="Дифавтомат"),IF(W259="","",COUNTIFS(Однолинейка!$H$3:$H$3000,U259,Однолинейка!$A$3:$A$3000,Щит_спец)),IF(A259="Аппарат",IF(C259="","",COUNTIFS(Однолинейка!$I$3:$I$3000,C259,Однолинейка!$A$3:$A$3000,Щит_спец)+COUNTIFS(Однолинейка!$J$3:$J$3000,C259,Однолинейка!$A$3:$A$3000,Щит_спец)+COUNTIFS(Однолинейка!$K$3:$K$3000,C259,Однолинейка!$A$3:$A$3000,Щит_спец)),IF(A259="Модуль",IF(C259="","",COUNTIFS(Однолинейка!$AW$3:$AW$3000,"?*",Однолинейка!$AI$3:$AI$3000,C259,Однолинейка!$A$3:$A$3000,Щит_спец)),IF(A259="Клемма",IF(C259="","",IF(C259=$S$7,SUMIFS(Однолинейка!$BW$3:$BW$3000,Однолинейка!$A$3:$A$3000,Щит_спец),IF(C259=$S$8,SUMIFS(Однолинейка!$BX$3:$BX$3000,Однолинейка!$A$3:$A$3000,Щит_спец),""))),""))))</f>
        <v/>
      </c>
      <c r="O259" s="74"/>
      <c r="P259" s="38" t="str">
        <f t="shared" si="27"/>
        <v/>
      </c>
      <c r="U259" s="38" t="str">
        <f t="shared" si="28"/>
        <v/>
      </c>
      <c r="V259" s="38" t="str">
        <f t="shared" si="29"/>
        <v/>
      </c>
      <c r="W259" s="38" t="str">
        <f>IF(AND(U259&lt;&gt;"",OR($S$4="(все)",B259=$S$4),IF($S$4="(все)",COUNTIF($U$4:U259,U259),COUNTIFS($U$4:U259,U259,$B$4:B259,B259))=1),MAX($W$3:W258)+1,"")</f>
        <v/>
      </c>
      <c r="X259" s="38" t="str">
        <f t="shared" si="30"/>
        <v/>
      </c>
      <c r="Y259" s="38" t="str">
        <f>IF(AND(A259="Аппарат",C259&lt;&gt;"",OR($S$5="(все)",B259=$S$5)),MAX($Y$3:Y258)+1,"")</f>
        <v/>
      </c>
      <c r="Z259" s="38" t="str">
        <f t="shared" si="31"/>
        <v/>
      </c>
      <c r="AA259" s="38" t="str">
        <f>IF(AND(A259="Модуль",C259&lt;&gt;"",OR($S$6="(все)",B259=$S$6)),MAX($AA$3:AA258)+1,"")</f>
        <v/>
      </c>
      <c r="AB259" s="38" t="str">
        <f t="shared" si="32"/>
        <v/>
      </c>
      <c r="AC259" s="38" t="str">
        <f>IF(OR(B259="",COUNTIF($B$4:B259,B259)&gt;1),"",MAX($AC$3:AC258)+1)</f>
        <v/>
      </c>
      <c r="AD259" s="38" t="str">
        <f t="shared" si="33"/>
        <v/>
      </c>
      <c r="AE259" s="38" t="str">
        <f t="shared" si="34"/>
        <v/>
      </c>
      <c r="AF259" s="38" t="str">
        <f t="shared" si="35"/>
        <v/>
      </c>
    </row>
    <row r="260" spans="1:32" x14ac:dyDescent="0.3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38" t="str">
        <f>IF(OR(A260="Автомат",A260="Дифавтомат"),IF(W260="","",COUNTIFS(Однолинейка!$H$3:$H$3000,U260,Однолинейка!$A$3:$A$3000,Щит_спец)),IF(A260="Аппарат",IF(C260="","",COUNTIFS(Однолинейка!$I$3:$I$3000,C260,Однолинейка!$A$3:$A$3000,Щит_спец)+COUNTIFS(Однолинейка!$J$3:$J$3000,C260,Однолинейка!$A$3:$A$3000,Щит_спец)+COUNTIFS(Однолинейка!$K$3:$K$3000,C260,Однолинейка!$A$3:$A$3000,Щит_спец)),IF(A260="Модуль",IF(C260="","",COUNTIFS(Однолинейка!$AW$3:$AW$3000,"?*",Однолинейка!$AI$3:$AI$3000,C260,Однолинейка!$A$3:$A$3000,Щит_спец)),IF(A260="Клемма",IF(C260="","",IF(C260=$S$7,SUMIFS(Однолинейка!$BW$3:$BW$3000,Однолинейка!$A$3:$A$3000,Щит_спец),IF(C260=$S$8,SUMIFS(Однолинейка!$BX$3:$BX$3000,Однолинейка!$A$3:$A$3000,Щит_спец),""))),""))))</f>
        <v/>
      </c>
      <c r="O260" s="74"/>
      <c r="P260" s="38" t="str">
        <f t="shared" ref="P260:P323" si="36">IF(COUNT(N260,O260)=0,"",SUM(N260,O260))</f>
        <v/>
      </c>
      <c r="U260" s="38" t="str">
        <f t="shared" ref="U260:U323" si="37">IF(OR(A260="Автомат",A260="Дифавтомат"),I260&amp;" С"&amp;J260&amp;"А"&amp;IF(K260="да"," 30мА",IF(ISNUMBER(K260)," "&amp;K260&amp;"мА","")),"")</f>
        <v/>
      </c>
      <c r="V260" s="38" t="str">
        <f t="shared" ref="V260:V323" si="38">IF(U260="","",B260&amp;"|"&amp;U260)</f>
        <v/>
      </c>
      <c r="W260" s="38" t="str">
        <f>IF(AND(U260&lt;&gt;"",OR($S$4="(все)",B260=$S$4),IF($S$4="(все)",COUNTIF($U$4:U260,U260),COUNTIFS($U$4:U260,U260,$B$4:B260,B260))=1),MAX($W$3:W259)+1,"")</f>
        <v/>
      </c>
      <c r="X260" s="38" t="str">
        <f t="shared" ref="X260:X323" si="39">IFERROR(INDEX($U$4:$U$500,MATCH(ROW()-3,$W$4:$W$500,0)),"")</f>
        <v/>
      </c>
      <c r="Y260" s="38" t="str">
        <f>IF(AND(A260="Аппарат",C260&lt;&gt;"",OR($S$5="(все)",B260=$S$5)),MAX($Y$3:Y259)+1,"")</f>
        <v/>
      </c>
      <c r="Z260" s="38" t="str">
        <f t="shared" ref="Z260:Z323" si="40">IFERROR(INDEX($C$4:$C$500,MATCH(ROW()-3,$Y$4:$Y$500,0)),"")</f>
        <v/>
      </c>
      <c r="AA260" s="38" t="str">
        <f>IF(AND(A260="Модуль",C260&lt;&gt;"",OR($S$6="(все)",B260=$S$6)),MAX($AA$3:AA259)+1,"")</f>
        <v/>
      </c>
      <c r="AB260" s="38" t="str">
        <f t="shared" ref="AB260:AB323" si="41">IFERROR(INDEX($C$4:$C$500,MATCH(ROW()-3,$AA$4:$AA$500,0)),"")</f>
        <v/>
      </c>
      <c r="AC260" s="38" t="str">
        <f>IF(OR(B260="",COUNTIF($B$4:B260,B260)&gt;1),"",MAX($AC$3:AC259)+1)</f>
        <v/>
      </c>
      <c r="AD260" s="38" t="str">
        <f t="shared" ref="AD260:AD323" si="42">IFERROR(INDEX($B$4:$B$500,MATCH(ROW()-3,$AC$4:$AC$500,0)),"")</f>
        <v/>
      </c>
      <c r="AE260" s="38" t="str">
        <f t="shared" ref="AE260:AE323" si="43">IF(AND(A260&lt;&gt;"",N(P260)&gt;0),IFERROR(MATCH(A260,$R$12:$R$25,0),99)*1000+ROW(),"")</f>
        <v/>
      </c>
      <c r="AF260" s="38" t="str">
        <f t="shared" ref="AF260:AF323" si="44">IF(AE260="","",COUNTIF($AE$4:$AE$500,"&lt;="&amp;AE260))</f>
        <v/>
      </c>
    </row>
    <row r="261" spans="1:32" x14ac:dyDescent="0.3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38" t="str">
        <f>IF(OR(A261="Автомат",A261="Дифавтомат"),IF(W261="","",COUNTIFS(Однолинейка!$H$3:$H$3000,U261,Однолинейка!$A$3:$A$3000,Щит_спец)),IF(A261="Аппарат",IF(C261="","",COUNTIFS(Однолинейка!$I$3:$I$3000,C261,Однолинейка!$A$3:$A$3000,Щит_спец)+COUNTIFS(Однолинейка!$J$3:$J$3000,C261,Однолинейка!$A$3:$A$3000,Щит_спец)+COUNTIFS(Однолинейка!$K$3:$K$3000,C261,Однолинейка!$A$3:$A$3000,Щит_спец)),IF(A261="Модуль",IF(C261="","",COUNTIFS(Однолинейка!$AW$3:$AW$3000,"?*",Однолинейка!$AI$3:$AI$3000,C261,Однолинейка!$A$3:$A$3000,Щит_спец)),IF(A261="Клемма",IF(C261="","",IF(C261=$S$7,SUMIFS(Однолинейка!$BW$3:$BW$3000,Однолинейка!$A$3:$A$3000,Щит_спец),IF(C261=$S$8,SUMIFS(Однолинейка!$BX$3:$BX$3000,Однолинейка!$A$3:$A$3000,Щит_спец),""))),""))))</f>
        <v/>
      </c>
      <c r="O261" s="74"/>
      <c r="P261" s="38" t="str">
        <f t="shared" si="36"/>
        <v/>
      </c>
      <c r="U261" s="38" t="str">
        <f t="shared" si="37"/>
        <v/>
      </c>
      <c r="V261" s="38" t="str">
        <f t="shared" si="38"/>
        <v/>
      </c>
      <c r="W261" s="38" t="str">
        <f>IF(AND(U261&lt;&gt;"",OR($S$4="(все)",B261=$S$4),IF($S$4="(все)",COUNTIF($U$4:U261,U261),COUNTIFS($U$4:U261,U261,$B$4:B261,B261))=1),MAX($W$3:W260)+1,"")</f>
        <v/>
      </c>
      <c r="X261" s="38" t="str">
        <f t="shared" si="39"/>
        <v/>
      </c>
      <c r="Y261" s="38" t="str">
        <f>IF(AND(A261="Аппарат",C261&lt;&gt;"",OR($S$5="(все)",B261=$S$5)),MAX($Y$3:Y260)+1,"")</f>
        <v/>
      </c>
      <c r="Z261" s="38" t="str">
        <f t="shared" si="40"/>
        <v/>
      </c>
      <c r="AA261" s="38" t="str">
        <f>IF(AND(A261="Модуль",C261&lt;&gt;"",OR($S$6="(все)",B261=$S$6)),MAX($AA$3:AA260)+1,"")</f>
        <v/>
      </c>
      <c r="AB261" s="38" t="str">
        <f t="shared" si="41"/>
        <v/>
      </c>
      <c r="AC261" s="38" t="str">
        <f>IF(OR(B261="",COUNTIF($B$4:B261,B261)&gt;1),"",MAX($AC$3:AC260)+1)</f>
        <v/>
      </c>
      <c r="AD261" s="38" t="str">
        <f t="shared" si="42"/>
        <v/>
      </c>
      <c r="AE261" s="38" t="str">
        <f t="shared" si="43"/>
        <v/>
      </c>
      <c r="AF261" s="38" t="str">
        <f t="shared" si="44"/>
        <v/>
      </c>
    </row>
    <row r="262" spans="1:32" x14ac:dyDescent="0.3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38" t="str">
        <f>IF(OR(A262="Автомат",A262="Дифавтомат"),IF(W262="","",COUNTIFS(Однолинейка!$H$3:$H$3000,U262,Однолинейка!$A$3:$A$3000,Щит_спец)),IF(A262="Аппарат",IF(C262="","",COUNTIFS(Однолинейка!$I$3:$I$3000,C262,Однолинейка!$A$3:$A$3000,Щит_спец)+COUNTIFS(Однолинейка!$J$3:$J$3000,C262,Однолинейка!$A$3:$A$3000,Щит_спец)+COUNTIFS(Однолинейка!$K$3:$K$3000,C262,Однолинейка!$A$3:$A$3000,Щит_спец)),IF(A262="Модуль",IF(C262="","",COUNTIFS(Однолинейка!$AW$3:$AW$3000,"?*",Однолинейка!$AI$3:$AI$3000,C262,Однолинейка!$A$3:$A$3000,Щит_спец)),IF(A262="Клемма",IF(C262="","",IF(C262=$S$7,SUMIFS(Однолинейка!$BW$3:$BW$3000,Однолинейка!$A$3:$A$3000,Щит_спец),IF(C262=$S$8,SUMIFS(Однолинейка!$BX$3:$BX$3000,Однолинейка!$A$3:$A$3000,Щит_спец),""))),""))))</f>
        <v/>
      </c>
      <c r="O262" s="74"/>
      <c r="P262" s="38" t="str">
        <f t="shared" si="36"/>
        <v/>
      </c>
      <c r="U262" s="38" t="str">
        <f t="shared" si="37"/>
        <v/>
      </c>
      <c r="V262" s="38" t="str">
        <f t="shared" si="38"/>
        <v/>
      </c>
      <c r="W262" s="38" t="str">
        <f>IF(AND(U262&lt;&gt;"",OR($S$4="(все)",B262=$S$4),IF($S$4="(все)",COUNTIF($U$4:U262,U262),COUNTIFS($U$4:U262,U262,$B$4:B262,B262))=1),MAX($W$3:W261)+1,"")</f>
        <v/>
      </c>
      <c r="X262" s="38" t="str">
        <f t="shared" si="39"/>
        <v/>
      </c>
      <c r="Y262" s="38" t="str">
        <f>IF(AND(A262="Аппарат",C262&lt;&gt;"",OR($S$5="(все)",B262=$S$5)),MAX($Y$3:Y261)+1,"")</f>
        <v/>
      </c>
      <c r="Z262" s="38" t="str">
        <f t="shared" si="40"/>
        <v/>
      </c>
      <c r="AA262" s="38" t="str">
        <f>IF(AND(A262="Модуль",C262&lt;&gt;"",OR($S$6="(все)",B262=$S$6)),MAX($AA$3:AA261)+1,"")</f>
        <v/>
      </c>
      <c r="AB262" s="38" t="str">
        <f t="shared" si="41"/>
        <v/>
      </c>
      <c r="AC262" s="38" t="str">
        <f>IF(OR(B262="",COUNTIF($B$4:B262,B262)&gt;1),"",MAX($AC$3:AC261)+1)</f>
        <v/>
      </c>
      <c r="AD262" s="38" t="str">
        <f t="shared" si="42"/>
        <v/>
      </c>
      <c r="AE262" s="38" t="str">
        <f t="shared" si="43"/>
        <v/>
      </c>
      <c r="AF262" s="38" t="str">
        <f t="shared" si="44"/>
        <v/>
      </c>
    </row>
    <row r="263" spans="1:32" x14ac:dyDescent="0.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38" t="str">
        <f>IF(OR(A263="Автомат",A263="Дифавтомат"),IF(W263="","",COUNTIFS(Однолинейка!$H$3:$H$3000,U263,Однолинейка!$A$3:$A$3000,Щит_спец)),IF(A263="Аппарат",IF(C263="","",COUNTIFS(Однолинейка!$I$3:$I$3000,C263,Однолинейка!$A$3:$A$3000,Щит_спец)+COUNTIFS(Однолинейка!$J$3:$J$3000,C263,Однолинейка!$A$3:$A$3000,Щит_спец)+COUNTIFS(Однолинейка!$K$3:$K$3000,C263,Однолинейка!$A$3:$A$3000,Щит_спец)),IF(A263="Модуль",IF(C263="","",COUNTIFS(Однолинейка!$AW$3:$AW$3000,"?*",Однолинейка!$AI$3:$AI$3000,C263,Однолинейка!$A$3:$A$3000,Щит_спец)),IF(A263="Клемма",IF(C263="","",IF(C263=$S$7,SUMIFS(Однолинейка!$BW$3:$BW$3000,Однолинейка!$A$3:$A$3000,Щит_спец),IF(C263=$S$8,SUMIFS(Однолинейка!$BX$3:$BX$3000,Однолинейка!$A$3:$A$3000,Щит_спец),""))),""))))</f>
        <v/>
      </c>
      <c r="O263" s="74"/>
      <c r="P263" s="38" t="str">
        <f t="shared" si="36"/>
        <v/>
      </c>
      <c r="U263" s="38" t="str">
        <f t="shared" si="37"/>
        <v/>
      </c>
      <c r="V263" s="38" t="str">
        <f t="shared" si="38"/>
        <v/>
      </c>
      <c r="W263" s="38" t="str">
        <f>IF(AND(U263&lt;&gt;"",OR($S$4="(все)",B263=$S$4),IF($S$4="(все)",COUNTIF($U$4:U263,U263),COUNTIFS($U$4:U263,U263,$B$4:B263,B263))=1),MAX($W$3:W262)+1,"")</f>
        <v/>
      </c>
      <c r="X263" s="38" t="str">
        <f t="shared" si="39"/>
        <v/>
      </c>
      <c r="Y263" s="38" t="str">
        <f>IF(AND(A263="Аппарат",C263&lt;&gt;"",OR($S$5="(все)",B263=$S$5)),MAX($Y$3:Y262)+1,"")</f>
        <v/>
      </c>
      <c r="Z263" s="38" t="str">
        <f t="shared" si="40"/>
        <v/>
      </c>
      <c r="AA263" s="38" t="str">
        <f>IF(AND(A263="Модуль",C263&lt;&gt;"",OR($S$6="(все)",B263=$S$6)),MAX($AA$3:AA262)+1,"")</f>
        <v/>
      </c>
      <c r="AB263" s="38" t="str">
        <f t="shared" si="41"/>
        <v/>
      </c>
      <c r="AC263" s="38" t="str">
        <f>IF(OR(B263="",COUNTIF($B$4:B263,B263)&gt;1),"",MAX($AC$3:AC262)+1)</f>
        <v/>
      </c>
      <c r="AD263" s="38" t="str">
        <f t="shared" si="42"/>
        <v/>
      </c>
      <c r="AE263" s="38" t="str">
        <f t="shared" si="43"/>
        <v/>
      </c>
      <c r="AF263" s="38" t="str">
        <f t="shared" si="44"/>
        <v/>
      </c>
    </row>
    <row r="264" spans="1:32" x14ac:dyDescent="0.3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38" t="str">
        <f>IF(OR(A264="Автомат",A264="Дифавтомат"),IF(W264="","",COUNTIFS(Однолинейка!$H$3:$H$3000,U264,Однолинейка!$A$3:$A$3000,Щит_спец)),IF(A264="Аппарат",IF(C264="","",COUNTIFS(Однолинейка!$I$3:$I$3000,C264,Однолинейка!$A$3:$A$3000,Щит_спец)+COUNTIFS(Однолинейка!$J$3:$J$3000,C264,Однолинейка!$A$3:$A$3000,Щит_спец)+COUNTIFS(Однолинейка!$K$3:$K$3000,C264,Однолинейка!$A$3:$A$3000,Щит_спец)),IF(A264="Модуль",IF(C264="","",COUNTIFS(Однолинейка!$AW$3:$AW$3000,"?*",Однолинейка!$AI$3:$AI$3000,C264,Однолинейка!$A$3:$A$3000,Щит_спец)),IF(A264="Клемма",IF(C264="","",IF(C264=$S$7,SUMIFS(Однолинейка!$BW$3:$BW$3000,Однолинейка!$A$3:$A$3000,Щит_спец),IF(C264=$S$8,SUMIFS(Однолинейка!$BX$3:$BX$3000,Однолинейка!$A$3:$A$3000,Щит_спец),""))),""))))</f>
        <v/>
      </c>
      <c r="O264" s="74"/>
      <c r="P264" s="38" t="str">
        <f t="shared" si="36"/>
        <v/>
      </c>
      <c r="U264" s="38" t="str">
        <f t="shared" si="37"/>
        <v/>
      </c>
      <c r="V264" s="38" t="str">
        <f t="shared" si="38"/>
        <v/>
      </c>
      <c r="W264" s="38" t="str">
        <f>IF(AND(U264&lt;&gt;"",OR($S$4="(все)",B264=$S$4),IF($S$4="(все)",COUNTIF($U$4:U264,U264),COUNTIFS($U$4:U264,U264,$B$4:B264,B264))=1),MAX($W$3:W263)+1,"")</f>
        <v/>
      </c>
      <c r="X264" s="38" t="str">
        <f t="shared" si="39"/>
        <v/>
      </c>
      <c r="Y264" s="38" t="str">
        <f>IF(AND(A264="Аппарат",C264&lt;&gt;"",OR($S$5="(все)",B264=$S$5)),MAX($Y$3:Y263)+1,"")</f>
        <v/>
      </c>
      <c r="Z264" s="38" t="str">
        <f t="shared" si="40"/>
        <v/>
      </c>
      <c r="AA264" s="38" t="str">
        <f>IF(AND(A264="Модуль",C264&lt;&gt;"",OR($S$6="(все)",B264=$S$6)),MAX($AA$3:AA263)+1,"")</f>
        <v/>
      </c>
      <c r="AB264" s="38" t="str">
        <f t="shared" si="41"/>
        <v/>
      </c>
      <c r="AC264" s="38" t="str">
        <f>IF(OR(B264="",COUNTIF($B$4:B264,B264)&gt;1),"",MAX($AC$3:AC263)+1)</f>
        <v/>
      </c>
      <c r="AD264" s="38" t="str">
        <f t="shared" si="42"/>
        <v/>
      </c>
      <c r="AE264" s="38" t="str">
        <f t="shared" si="43"/>
        <v/>
      </c>
      <c r="AF264" s="38" t="str">
        <f t="shared" si="44"/>
        <v/>
      </c>
    </row>
    <row r="265" spans="1:32" x14ac:dyDescent="0.3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38" t="str">
        <f>IF(OR(A265="Автомат",A265="Дифавтомат"),IF(W265="","",COUNTIFS(Однолинейка!$H$3:$H$3000,U265,Однолинейка!$A$3:$A$3000,Щит_спец)),IF(A265="Аппарат",IF(C265="","",COUNTIFS(Однолинейка!$I$3:$I$3000,C265,Однолинейка!$A$3:$A$3000,Щит_спец)+COUNTIFS(Однолинейка!$J$3:$J$3000,C265,Однолинейка!$A$3:$A$3000,Щит_спец)+COUNTIFS(Однолинейка!$K$3:$K$3000,C265,Однолинейка!$A$3:$A$3000,Щит_спец)),IF(A265="Модуль",IF(C265="","",COUNTIFS(Однолинейка!$AW$3:$AW$3000,"?*",Однолинейка!$AI$3:$AI$3000,C265,Однолинейка!$A$3:$A$3000,Щит_спец)),IF(A265="Клемма",IF(C265="","",IF(C265=$S$7,SUMIFS(Однолинейка!$BW$3:$BW$3000,Однолинейка!$A$3:$A$3000,Щит_спец),IF(C265=$S$8,SUMIFS(Однолинейка!$BX$3:$BX$3000,Однолинейка!$A$3:$A$3000,Щит_спец),""))),""))))</f>
        <v/>
      </c>
      <c r="O265" s="74"/>
      <c r="P265" s="38" t="str">
        <f t="shared" si="36"/>
        <v/>
      </c>
      <c r="U265" s="38" t="str">
        <f t="shared" si="37"/>
        <v/>
      </c>
      <c r="V265" s="38" t="str">
        <f t="shared" si="38"/>
        <v/>
      </c>
      <c r="W265" s="38" t="str">
        <f>IF(AND(U265&lt;&gt;"",OR($S$4="(все)",B265=$S$4),IF($S$4="(все)",COUNTIF($U$4:U265,U265),COUNTIFS($U$4:U265,U265,$B$4:B265,B265))=1),MAX($W$3:W264)+1,"")</f>
        <v/>
      </c>
      <c r="X265" s="38" t="str">
        <f t="shared" si="39"/>
        <v/>
      </c>
      <c r="Y265" s="38" t="str">
        <f>IF(AND(A265="Аппарат",C265&lt;&gt;"",OR($S$5="(все)",B265=$S$5)),MAX($Y$3:Y264)+1,"")</f>
        <v/>
      </c>
      <c r="Z265" s="38" t="str">
        <f t="shared" si="40"/>
        <v/>
      </c>
      <c r="AA265" s="38" t="str">
        <f>IF(AND(A265="Модуль",C265&lt;&gt;"",OR($S$6="(все)",B265=$S$6)),MAX($AA$3:AA264)+1,"")</f>
        <v/>
      </c>
      <c r="AB265" s="38" t="str">
        <f t="shared" si="41"/>
        <v/>
      </c>
      <c r="AC265" s="38" t="str">
        <f>IF(OR(B265="",COUNTIF($B$4:B265,B265)&gt;1),"",MAX($AC$3:AC264)+1)</f>
        <v/>
      </c>
      <c r="AD265" s="38" t="str">
        <f t="shared" si="42"/>
        <v/>
      </c>
      <c r="AE265" s="38" t="str">
        <f t="shared" si="43"/>
        <v/>
      </c>
      <c r="AF265" s="38" t="str">
        <f t="shared" si="44"/>
        <v/>
      </c>
    </row>
    <row r="266" spans="1:32" x14ac:dyDescent="0.3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38" t="str">
        <f>IF(OR(A266="Автомат",A266="Дифавтомат"),IF(W266="","",COUNTIFS(Однолинейка!$H$3:$H$3000,U266,Однолинейка!$A$3:$A$3000,Щит_спец)),IF(A266="Аппарат",IF(C266="","",COUNTIFS(Однолинейка!$I$3:$I$3000,C266,Однолинейка!$A$3:$A$3000,Щит_спец)+COUNTIFS(Однолинейка!$J$3:$J$3000,C266,Однолинейка!$A$3:$A$3000,Щит_спец)+COUNTIFS(Однолинейка!$K$3:$K$3000,C266,Однолинейка!$A$3:$A$3000,Щит_спец)),IF(A266="Модуль",IF(C266="","",COUNTIFS(Однолинейка!$AW$3:$AW$3000,"?*",Однолинейка!$AI$3:$AI$3000,C266,Однолинейка!$A$3:$A$3000,Щит_спец)),IF(A266="Клемма",IF(C266="","",IF(C266=$S$7,SUMIFS(Однолинейка!$BW$3:$BW$3000,Однолинейка!$A$3:$A$3000,Щит_спец),IF(C266=$S$8,SUMIFS(Однолинейка!$BX$3:$BX$3000,Однолинейка!$A$3:$A$3000,Щит_спец),""))),""))))</f>
        <v/>
      </c>
      <c r="O266" s="74"/>
      <c r="P266" s="38" t="str">
        <f t="shared" si="36"/>
        <v/>
      </c>
      <c r="U266" s="38" t="str">
        <f t="shared" si="37"/>
        <v/>
      </c>
      <c r="V266" s="38" t="str">
        <f t="shared" si="38"/>
        <v/>
      </c>
      <c r="W266" s="38" t="str">
        <f>IF(AND(U266&lt;&gt;"",OR($S$4="(все)",B266=$S$4),IF($S$4="(все)",COUNTIF($U$4:U266,U266),COUNTIFS($U$4:U266,U266,$B$4:B266,B266))=1),MAX($W$3:W265)+1,"")</f>
        <v/>
      </c>
      <c r="X266" s="38" t="str">
        <f t="shared" si="39"/>
        <v/>
      </c>
      <c r="Y266" s="38" t="str">
        <f>IF(AND(A266="Аппарат",C266&lt;&gt;"",OR($S$5="(все)",B266=$S$5)),MAX($Y$3:Y265)+1,"")</f>
        <v/>
      </c>
      <c r="Z266" s="38" t="str">
        <f t="shared" si="40"/>
        <v/>
      </c>
      <c r="AA266" s="38" t="str">
        <f>IF(AND(A266="Модуль",C266&lt;&gt;"",OR($S$6="(все)",B266=$S$6)),MAX($AA$3:AA265)+1,"")</f>
        <v/>
      </c>
      <c r="AB266" s="38" t="str">
        <f t="shared" si="41"/>
        <v/>
      </c>
      <c r="AC266" s="38" t="str">
        <f>IF(OR(B266="",COUNTIF($B$4:B266,B266)&gt;1),"",MAX($AC$3:AC265)+1)</f>
        <v/>
      </c>
      <c r="AD266" s="38" t="str">
        <f t="shared" si="42"/>
        <v/>
      </c>
      <c r="AE266" s="38" t="str">
        <f t="shared" si="43"/>
        <v/>
      </c>
      <c r="AF266" s="38" t="str">
        <f t="shared" si="44"/>
        <v/>
      </c>
    </row>
    <row r="267" spans="1:32" x14ac:dyDescent="0.3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38" t="str">
        <f>IF(OR(A267="Автомат",A267="Дифавтомат"),IF(W267="","",COUNTIFS(Однолинейка!$H$3:$H$3000,U267,Однолинейка!$A$3:$A$3000,Щит_спец)),IF(A267="Аппарат",IF(C267="","",COUNTIFS(Однолинейка!$I$3:$I$3000,C267,Однолинейка!$A$3:$A$3000,Щит_спец)+COUNTIFS(Однолинейка!$J$3:$J$3000,C267,Однолинейка!$A$3:$A$3000,Щит_спец)+COUNTIFS(Однолинейка!$K$3:$K$3000,C267,Однолинейка!$A$3:$A$3000,Щит_спец)),IF(A267="Модуль",IF(C267="","",COUNTIFS(Однолинейка!$AW$3:$AW$3000,"?*",Однолинейка!$AI$3:$AI$3000,C267,Однолинейка!$A$3:$A$3000,Щит_спец)),IF(A267="Клемма",IF(C267="","",IF(C267=$S$7,SUMIFS(Однолинейка!$BW$3:$BW$3000,Однолинейка!$A$3:$A$3000,Щит_спец),IF(C267=$S$8,SUMIFS(Однолинейка!$BX$3:$BX$3000,Однолинейка!$A$3:$A$3000,Щит_спец),""))),""))))</f>
        <v/>
      </c>
      <c r="O267" s="74"/>
      <c r="P267" s="38" t="str">
        <f t="shared" si="36"/>
        <v/>
      </c>
      <c r="U267" s="38" t="str">
        <f t="shared" si="37"/>
        <v/>
      </c>
      <c r="V267" s="38" t="str">
        <f t="shared" si="38"/>
        <v/>
      </c>
      <c r="W267" s="38" t="str">
        <f>IF(AND(U267&lt;&gt;"",OR($S$4="(все)",B267=$S$4),IF($S$4="(все)",COUNTIF($U$4:U267,U267),COUNTIFS($U$4:U267,U267,$B$4:B267,B267))=1),MAX($W$3:W266)+1,"")</f>
        <v/>
      </c>
      <c r="X267" s="38" t="str">
        <f t="shared" si="39"/>
        <v/>
      </c>
      <c r="Y267" s="38" t="str">
        <f>IF(AND(A267="Аппарат",C267&lt;&gt;"",OR($S$5="(все)",B267=$S$5)),MAX($Y$3:Y266)+1,"")</f>
        <v/>
      </c>
      <c r="Z267" s="38" t="str">
        <f t="shared" si="40"/>
        <v/>
      </c>
      <c r="AA267" s="38" t="str">
        <f>IF(AND(A267="Модуль",C267&lt;&gt;"",OR($S$6="(все)",B267=$S$6)),MAX($AA$3:AA266)+1,"")</f>
        <v/>
      </c>
      <c r="AB267" s="38" t="str">
        <f t="shared" si="41"/>
        <v/>
      </c>
      <c r="AC267" s="38" t="str">
        <f>IF(OR(B267="",COUNTIF($B$4:B267,B267)&gt;1),"",MAX($AC$3:AC266)+1)</f>
        <v/>
      </c>
      <c r="AD267" s="38" t="str">
        <f t="shared" si="42"/>
        <v/>
      </c>
      <c r="AE267" s="38" t="str">
        <f t="shared" si="43"/>
        <v/>
      </c>
      <c r="AF267" s="38" t="str">
        <f t="shared" si="44"/>
        <v/>
      </c>
    </row>
    <row r="268" spans="1:32" x14ac:dyDescent="0.3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38" t="str">
        <f>IF(OR(A268="Автомат",A268="Дифавтомат"),IF(W268="","",COUNTIFS(Однолинейка!$H$3:$H$3000,U268,Однолинейка!$A$3:$A$3000,Щит_спец)),IF(A268="Аппарат",IF(C268="","",COUNTIFS(Однолинейка!$I$3:$I$3000,C268,Однолинейка!$A$3:$A$3000,Щит_спец)+COUNTIFS(Однолинейка!$J$3:$J$3000,C268,Однолинейка!$A$3:$A$3000,Щит_спец)+COUNTIFS(Однолинейка!$K$3:$K$3000,C268,Однолинейка!$A$3:$A$3000,Щит_спец)),IF(A268="Модуль",IF(C268="","",COUNTIFS(Однолинейка!$AW$3:$AW$3000,"?*",Однолинейка!$AI$3:$AI$3000,C268,Однолинейка!$A$3:$A$3000,Щит_спец)),IF(A268="Клемма",IF(C268="","",IF(C268=$S$7,SUMIFS(Однолинейка!$BW$3:$BW$3000,Однолинейка!$A$3:$A$3000,Щит_спец),IF(C268=$S$8,SUMIFS(Однолинейка!$BX$3:$BX$3000,Однолинейка!$A$3:$A$3000,Щит_спец),""))),""))))</f>
        <v/>
      </c>
      <c r="O268" s="74"/>
      <c r="P268" s="38" t="str">
        <f t="shared" si="36"/>
        <v/>
      </c>
      <c r="U268" s="38" t="str">
        <f t="shared" si="37"/>
        <v/>
      </c>
      <c r="V268" s="38" t="str">
        <f t="shared" si="38"/>
        <v/>
      </c>
      <c r="W268" s="38" t="str">
        <f>IF(AND(U268&lt;&gt;"",OR($S$4="(все)",B268=$S$4),IF($S$4="(все)",COUNTIF($U$4:U268,U268),COUNTIFS($U$4:U268,U268,$B$4:B268,B268))=1),MAX($W$3:W267)+1,"")</f>
        <v/>
      </c>
      <c r="X268" s="38" t="str">
        <f t="shared" si="39"/>
        <v/>
      </c>
      <c r="Y268" s="38" t="str">
        <f>IF(AND(A268="Аппарат",C268&lt;&gt;"",OR($S$5="(все)",B268=$S$5)),MAX($Y$3:Y267)+1,"")</f>
        <v/>
      </c>
      <c r="Z268" s="38" t="str">
        <f t="shared" si="40"/>
        <v/>
      </c>
      <c r="AA268" s="38" t="str">
        <f>IF(AND(A268="Модуль",C268&lt;&gt;"",OR($S$6="(все)",B268=$S$6)),MAX($AA$3:AA267)+1,"")</f>
        <v/>
      </c>
      <c r="AB268" s="38" t="str">
        <f t="shared" si="41"/>
        <v/>
      </c>
      <c r="AC268" s="38" t="str">
        <f>IF(OR(B268="",COUNTIF($B$4:B268,B268)&gt;1),"",MAX($AC$3:AC267)+1)</f>
        <v/>
      </c>
      <c r="AD268" s="38" t="str">
        <f t="shared" si="42"/>
        <v/>
      </c>
      <c r="AE268" s="38" t="str">
        <f t="shared" si="43"/>
        <v/>
      </c>
      <c r="AF268" s="38" t="str">
        <f t="shared" si="44"/>
        <v/>
      </c>
    </row>
    <row r="269" spans="1:32" x14ac:dyDescent="0.3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38" t="str">
        <f>IF(OR(A269="Автомат",A269="Дифавтомат"),IF(W269="","",COUNTIFS(Однолинейка!$H$3:$H$3000,U269,Однолинейка!$A$3:$A$3000,Щит_спец)),IF(A269="Аппарат",IF(C269="","",COUNTIFS(Однолинейка!$I$3:$I$3000,C269,Однолинейка!$A$3:$A$3000,Щит_спец)+COUNTIFS(Однолинейка!$J$3:$J$3000,C269,Однолинейка!$A$3:$A$3000,Щит_спец)+COUNTIFS(Однолинейка!$K$3:$K$3000,C269,Однолинейка!$A$3:$A$3000,Щит_спец)),IF(A269="Модуль",IF(C269="","",COUNTIFS(Однолинейка!$AW$3:$AW$3000,"?*",Однолинейка!$AI$3:$AI$3000,C269,Однолинейка!$A$3:$A$3000,Щит_спец)),IF(A269="Клемма",IF(C269="","",IF(C269=$S$7,SUMIFS(Однолинейка!$BW$3:$BW$3000,Однолинейка!$A$3:$A$3000,Щит_спец),IF(C269=$S$8,SUMIFS(Однолинейка!$BX$3:$BX$3000,Однолинейка!$A$3:$A$3000,Щит_спец),""))),""))))</f>
        <v/>
      </c>
      <c r="O269" s="74"/>
      <c r="P269" s="38" t="str">
        <f t="shared" si="36"/>
        <v/>
      </c>
      <c r="U269" s="38" t="str">
        <f t="shared" si="37"/>
        <v/>
      </c>
      <c r="V269" s="38" t="str">
        <f t="shared" si="38"/>
        <v/>
      </c>
      <c r="W269" s="38" t="str">
        <f>IF(AND(U269&lt;&gt;"",OR($S$4="(все)",B269=$S$4),IF($S$4="(все)",COUNTIF($U$4:U269,U269),COUNTIFS($U$4:U269,U269,$B$4:B269,B269))=1),MAX($W$3:W268)+1,"")</f>
        <v/>
      </c>
      <c r="X269" s="38" t="str">
        <f t="shared" si="39"/>
        <v/>
      </c>
      <c r="Y269" s="38" t="str">
        <f>IF(AND(A269="Аппарат",C269&lt;&gt;"",OR($S$5="(все)",B269=$S$5)),MAX($Y$3:Y268)+1,"")</f>
        <v/>
      </c>
      <c r="Z269" s="38" t="str">
        <f t="shared" si="40"/>
        <v/>
      </c>
      <c r="AA269" s="38" t="str">
        <f>IF(AND(A269="Модуль",C269&lt;&gt;"",OR($S$6="(все)",B269=$S$6)),MAX($AA$3:AA268)+1,"")</f>
        <v/>
      </c>
      <c r="AB269" s="38" t="str">
        <f t="shared" si="41"/>
        <v/>
      </c>
      <c r="AC269" s="38" t="str">
        <f>IF(OR(B269="",COUNTIF($B$4:B269,B269)&gt;1),"",MAX($AC$3:AC268)+1)</f>
        <v/>
      </c>
      <c r="AD269" s="38" t="str">
        <f t="shared" si="42"/>
        <v/>
      </c>
      <c r="AE269" s="38" t="str">
        <f t="shared" si="43"/>
        <v/>
      </c>
      <c r="AF269" s="38" t="str">
        <f t="shared" si="44"/>
        <v/>
      </c>
    </row>
    <row r="270" spans="1:32" x14ac:dyDescent="0.3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38" t="str">
        <f>IF(OR(A270="Автомат",A270="Дифавтомат"),IF(W270="","",COUNTIFS(Однолинейка!$H$3:$H$3000,U270,Однолинейка!$A$3:$A$3000,Щит_спец)),IF(A270="Аппарат",IF(C270="","",COUNTIFS(Однолинейка!$I$3:$I$3000,C270,Однолинейка!$A$3:$A$3000,Щит_спец)+COUNTIFS(Однолинейка!$J$3:$J$3000,C270,Однолинейка!$A$3:$A$3000,Щит_спец)+COUNTIFS(Однолинейка!$K$3:$K$3000,C270,Однолинейка!$A$3:$A$3000,Щит_спец)),IF(A270="Модуль",IF(C270="","",COUNTIFS(Однолинейка!$AW$3:$AW$3000,"?*",Однолинейка!$AI$3:$AI$3000,C270,Однолинейка!$A$3:$A$3000,Щит_спец)),IF(A270="Клемма",IF(C270="","",IF(C270=$S$7,SUMIFS(Однолинейка!$BW$3:$BW$3000,Однолинейка!$A$3:$A$3000,Щит_спец),IF(C270=$S$8,SUMIFS(Однолинейка!$BX$3:$BX$3000,Однолинейка!$A$3:$A$3000,Щит_спец),""))),""))))</f>
        <v/>
      </c>
      <c r="O270" s="74"/>
      <c r="P270" s="38" t="str">
        <f t="shared" si="36"/>
        <v/>
      </c>
      <c r="U270" s="38" t="str">
        <f t="shared" si="37"/>
        <v/>
      </c>
      <c r="V270" s="38" t="str">
        <f t="shared" si="38"/>
        <v/>
      </c>
      <c r="W270" s="38" t="str">
        <f>IF(AND(U270&lt;&gt;"",OR($S$4="(все)",B270=$S$4),IF($S$4="(все)",COUNTIF($U$4:U270,U270),COUNTIFS($U$4:U270,U270,$B$4:B270,B270))=1),MAX($W$3:W269)+1,"")</f>
        <v/>
      </c>
      <c r="X270" s="38" t="str">
        <f t="shared" si="39"/>
        <v/>
      </c>
      <c r="Y270" s="38" t="str">
        <f>IF(AND(A270="Аппарат",C270&lt;&gt;"",OR($S$5="(все)",B270=$S$5)),MAX($Y$3:Y269)+1,"")</f>
        <v/>
      </c>
      <c r="Z270" s="38" t="str">
        <f t="shared" si="40"/>
        <v/>
      </c>
      <c r="AA270" s="38" t="str">
        <f>IF(AND(A270="Модуль",C270&lt;&gt;"",OR($S$6="(все)",B270=$S$6)),MAX($AA$3:AA269)+1,"")</f>
        <v/>
      </c>
      <c r="AB270" s="38" t="str">
        <f t="shared" si="41"/>
        <v/>
      </c>
      <c r="AC270" s="38" t="str">
        <f>IF(OR(B270="",COUNTIF($B$4:B270,B270)&gt;1),"",MAX($AC$3:AC269)+1)</f>
        <v/>
      </c>
      <c r="AD270" s="38" t="str">
        <f t="shared" si="42"/>
        <v/>
      </c>
      <c r="AE270" s="38" t="str">
        <f t="shared" si="43"/>
        <v/>
      </c>
      <c r="AF270" s="38" t="str">
        <f t="shared" si="44"/>
        <v/>
      </c>
    </row>
    <row r="271" spans="1:32" x14ac:dyDescent="0.3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38" t="str">
        <f>IF(OR(A271="Автомат",A271="Дифавтомат"),IF(W271="","",COUNTIFS(Однолинейка!$H$3:$H$3000,U271,Однолинейка!$A$3:$A$3000,Щит_спец)),IF(A271="Аппарат",IF(C271="","",COUNTIFS(Однолинейка!$I$3:$I$3000,C271,Однолинейка!$A$3:$A$3000,Щит_спец)+COUNTIFS(Однолинейка!$J$3:$J$3000,C271,Однолинейка!$A$3:$A$3000,Щит_спец)+COUNTIFS(Однолинейка!$K$3:$K$3000,C271,Однолинейка!$A$3:$A$3000,Щит_спец)),IF(A271="Модуль",IF(C271="","",COUNTIFS(Однолинейка!$AW$3:$AW$3000,"?*",Однолинейка!$AI$3:$AI$3000,C271,Однолинейка!$A$3:$A$3000,Щит_спец)),IF(A271="Клемма",IF(C271="","",IF(C271=$S$7,SUMIFS(Однолинейка!$BW$3:$BW$3000,Однолинейка!$A$3:$A$3000,Щит_спец),IF(C271=$S$8,SUMIFS(Однолинейка!$BX$3:$BX$3000,Однолинейка!$A$3:$A$3000,Щит_спец),""))),""))))</f>
        <v/>
      </c>
      <c r="O271" s="74"/>
      <c r="P271" s="38" t="str">
        <f t="shared" si="36"/>
        <v/>
      </c>
      <c r="U271" s="38" t="str">
        <f t="shared" si="37"/>
        <v/>
      </c>
      <c r="V271" s="38" t="str">
        <f t="shared" si="38"/>
        <v/>
      </c>
      <c r="W271" s="38" t="str">
        <f>IF(AND(U271&lt;&gt;"",OR($S$4="(все)",B271=$S$4),IF($S$4="(все)",COUNTIF($U$4:U271,U271),COUNTIFS($U$4:U271,U271,$B$4:B271,B271))=1),MAX($W$3:W270)+1,"")</f>
        <v/>
      </c>
      <c r="X271" s="38" t="str">
        <f t="shared" si="39"/>
        <v/>
      </c>
      <c r="Y271" s="38" t="str">
        <f>IF(AND(A271="Аппарат",C271&lt;&gt;"",OR($S$5="(все)",B271=$S$5)),MAX($Y$3:Y270)+1,"")</f>
        <v/>
      </c>
      <c r="Z271" s="38" t="str">
        <f t="shared" si="40"/>
        <v/>
      </c>
      <c r="AA271" s="38" t="str">
        <f>IF(AND(A271="Модуль",C271&lt;&gt;"",OR($S$6="(все)",B271=$S$6)),MAX($AA$3:AA270)+1,"")</f>
        <v/>
      </c>
      <c r="AB271" s="38" t="str">
        <f t="shared" si="41"/>
        <v/>
      </c>
      <c r="AC271" s="38" t="str">
        <f>IF(OR(B271="",COUNTIF($B$4:B271,B271)&gt;1),"",MAX($AC$3:AC270)+1)</f>
        <v/>
      </c>
      <c r="AD271" s="38" t="str">
        <f t="shared" si="42"/>
        <v/>
      </c>
      <c r="AE271" s="38" t="str">
        <f t="shared" si="43"/>
        <v/>
      </c>
      <c r="AF271" s="38" t="str">
        <f t="shared" si="44"/>
        <v/>
      </c>
    </row>
    <row r="272" spans="1:32" x14ac:dyDescent="0.3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38" t="str">
        <f>IF(OR(A272="Автомат",A272="Дифавтомат"),IF(W272="","",COUNTIFS(Однолинейка!$H$3:$H$3000,U272,Однолинейка!$A$3:$A$3000,Щит_спец)),IF(A272="Аппарат",IF(C272="","",COUNTIFS(Однолинейка!$I$3:$I$3000,C272,Однолинейка!$A$3:$A$3000,Щит_спец)+COUNTIFS(Однолинейка!$J$3:$J$3000,C272,Однолинейка!$A$3:$A$3000,Щит_спец)+COUNTIFS(Однолинейка!$K$3:$K$3000,C272,Однолинейка!$A$3:$A$3000,Щит_спец)),IF(A272="Модуль",IF(C272="","",COUNTIFS(Однолинейка!$AW$3:$AW$3000,"?*",Однолинейка!$AI$3:$AI$3000,C272,Однолинейка!$A$3:$A$3000,Щит_спец)),IF(A272="Клемма",IF(C272="","",IF(C272=$S$7,SUMIFS(Однолинейка!$BW$3:$BW$3000,Однолинейка!$A$3:$A$3000,Щит_спец),IF(C272=$S$8,SUMIFS(Однолинейка!$BX$3:$BX$3000,Однолинейка!$A$3:$A$3000,Щит_спец),""))),""))))</f>
        <v/>
      </c>
      <c r="O272" s="74"/>
      <c r="P272" s="38" t="str">
        <f t="shared" si="36"/>
        <v/>
      </c>
      <c r="U272" s="38" t="str">
        <f t="shared" si="37"/>
        <v/>
      </c>
      <c r="V272" s="38" t="str">
        <f t="shared" si="38"/>
        <v/>
      </c>
      <c r="W272" s="38" t="str">
        <f>IF(AND(U272&lt;&gt;"",OR($S$4="(все)",B272=$S$4),IF($S$4="(все)",COUNTIF($U$4:U272,U272),COUNTIFS($U$4:U272,U272,$B$4:B272,B272))=1),MAX($W$3:W271)+1,"")</f>
        <v/>
      </c>
      <c r="X272" s="38" t="str">
        <f t="shared" si="39"/>
        <v/>
      </c>
      <c r="Y272" s="38" t="str">
        <f>IF(AND(A272="Аппарат",C272&lt;&gt;"",OR($S$5="(все)",B272=$S$5)),MAX($Y$3:Y271)+1,"")</f>
        <v/>
      </c>
      <c r="Z272" s="38" t="str">
        <f t="shared" si="40"/>
        <v/>
      </c>
      <c r="AA272" s="38" t="str">
        <f>IF(AND(A272="Модуль",C272&lt;&gt;"",OR($S$6="(все)",B272=$S$6)),MAX($AA$3:AA271)+1,"")</f>
        <v/>
      </c>
      <c r="AB272" s="38" t="str">
        <f t="shared" si="41"/>
        <v/>
      </c>
      <c r="AC272" s="38" t="str">
        <f>IF(OR(B272="",COUNTIF($B$4:B272,B272)&gt;1),"",MAX($AC$3:AC271)+1)</f>
        <v/>
      </c>
      <c r="AD272" s="38" t="str">
        <f t="shared" si="42"/>
        <v/>
      </c>
      <c r="AE272" s="38" t="str">
        <f t="shared" si="43"/>
        <v/>
      </c>
      <c r="AF272" s="38" t="str">
        <f t="shared" si="44"/>
        <v/>
      </c>
    </row>
    <row r="273" spans="1:32" x14ac:dyDescent="0.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38" t="str">
        <f>IF(OR(A273="Автомат",A273="Дифавтомат"),IF(W273="","",COUNTIFS(Однолинейка!$H$3:$H$3000,U273,Однолинейка!$A$3:$A$3000,Щит_спец)),IF(A273="Аппарат",IF(C273="","",COUNTIFS(Однолинейка!$I$3:$I$3000,C273,Однолинейка!$A$3:$A$3000,Щит_спец)+COUNTIFS(Однолинейка!$J$3:$J$3000,C273,Однолинейка!$A$3:$A$3000,Щит_спец)+COUNTIFS(Однолинейка!$K$3:$K$3000,C273,Однолинейка!$A$3:$A$3000,Щит_спец)),IF(A273="Модуль",IF(C273="","",COUNTIFS(Однолинейка!$AW$3:$AW$3000,"?*",Однолинейка!$AI$3:$AI$3000,C273,Однолинейка!$A$3:$A$3000,Щит_спец)),IF(A273="Клемма",IF(C273="","",IF(C273=$S$7,SUMIFS(Однолинейка!$BW$3:$BW$3000,Однолинейка!$A$3:$A$3000,Щит_спец),IF(C273=$S$8,SUMIFS(Однолинейка!$BX$3:$BX$3000,Однолинейка!$A$3:$A$3000,Щит_спец),""))),""))))</f>
        <v/>
      </c>
      <c r="O273" s="74"/>
      <c r="P273" s="38" t="str">
        <f t="shared" si="36"/>
        <v/>
      </c>
      <c r="U273" s="38" t="str">
        <f t="shared" si="37"/>
        <v/>
      </c>
      <c r="V273" s="38" t="str">
        <f t="shared" si="38"/>
        <v/>
      </c>
      <c r="W273" s="38" t="str">
        <f>IF(AND(U273&lt;&gt;"",OR($S$4="(все)",B273=$S$4),IF($S$4="(все)",COUNTIF($U$4:U273,U273),COUNTIFS($U$4:U273,U273,$B$4:B273,B273))=1),MAX($W$3:W272)+1,"")</f>
        <v/>
      </c>
      <c r="X273" s="38" t="str">
        <f t="shared" si="39"/>
        <v/>
      </c>
      <c r="Y273" s="38" t="str">
        <f>IF(AND(A273="Аппарат",C273&lt;&gt;"",OR($S$5="(все)",B273=$S$5)),MAX($Y$3:Y272)+1,"")</f>
        <v/>
      </c>
      <c r="Z273" s="38" t="str">
        <f t="shared" si="40"/>
        <v/>
      </c>
      <c r="AA273" s="38" t="str">
        <f>IF(AND(A273="Модуль",C273&lt;&gt;"",OR($S$6="(все)",B273=$S$6)),MAX($AA$3:AA272)+1,"")</f>
        <v/>
      </c>
      <c r="AB273" s="38" t="str">
        <f t="shared" si="41"/>
        <v/>
      </c>
      <c r="AC273" s="38" t="str">
        <f>IF(OR(B273="",COUNTIF($B$4:B273,B273)&gt;1),"",MAX($AC$3:AC272)+1)</f>
        <v/>
      </c>
      <c r="AD273" s="38" t="str">
        <f t="shared" si="42"/>
        <v/>
      </c>
      <c r="AE273" s="38" t="str">
        <f t="shared" si="43"/>
        <v/>
      </c>
      <c r="AF273" s="38" t="str">
        <f t="shared" si="44"/>
        <v/>
      </c>
    </row>
    <row r="274" spans="1:32" x14ac:dyDescent="0.3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38" t="str">
        <f>IF(OR(A274="Автомат",A274="Дифавтомат"),IF(W274="","",COUNTIFS(Однолинейка!$H$3:$H$3000,U274,Однолинейка!$A$3:$A$3000,Щит_спец)),IF(A274="Аппарат",IF(C274="","",COUNTIFS(Однолинейка!$I$3:$I$3000,C274,Однолинейка!$A$3:$A$3000,Щит_спец)+COUNTIFS(Однолинейка!$J$3:$J$3000,C274,Однолинейка!$A$3:$A$3000,Щит_спец)+COUNTIFS(Однолинейка!$K$3:$K$3000,C274,Однолинейка!$A$3:$A$3000,Щит_спец)),IF(A274="Модуль",IF(C274="","",COUNTIFS(Однолинейка!$AW$3:$AW$3000,"?*",Однолинейка!$AI$3:$AI$3000,C274,Однолинейка!$A$3:$A$3000,Щит_спец)),IF(A274="Клемма",IF(C274="","",IF(C274=$S$7,SUMIFS(Однолинейка!$BW$3:$BW$3000,Однолинейка!$A$3:$A$3000,Щит_спец),IF(C274=$S$8,SUMIFS(Однолинейка!$BX$3:$BX$3000,Однолинейка!$A$3:$A$3000,Щит_спец),""))),""))))</f>
        <v/>
      </c>
      <c r="O274" s="74"/>
      <c r="P274" s="38" t="str">
        <f t="shared" si="36"/>
        <v/>
      </c>
      <c r="U274" s="38" t="str">
        <f t="shared" si="37"/>
        <v/>
      </c>
      <c r="V274" s="38" t="str">
        <f t="shared" si="38"/>
        <v/>
      </c>
      <c r="W274" s="38" t="str">
        <f>IF(AND(U274&lt;&gt;"",OR($S$4="(все)",B274=$S$4),IF($S$4="(все)",COUNTIF($U$4:U274,U274),COUNTIFS($U$4:U274,U274,$B$4:B274,B274))=1),MAX($W$3:W273)+1,"")</f>
        <v/>
      </c>
      <c r="X274" s="38" t="str">
        <f t="shared" si="39"/>
        <v/>
      </c>
      <c r="Y274" s="38" t="str">
        <f>IF(AND(A274="Аппарат",C274&lt;&gt;"",OR($S$5="(все)",B274=$S$5)),MAX($Y$3:Y273)+1,"")</f>
        <v/>
      </c>
      <c r="Z274" s="38" t="str">
        <f t="shared" si="40"/>
        <v/>
      </c>
      <c r="AA274" s="38" t="str">
        <f>IF(AND(A274="Модуль",C274&lt;&gt;"",OR($S$6="(все)",B274=$S$6)),MAX($AA$3:AA273)+1,"")</f>
        <v/>
      </c>
      <c r="AB274" s="38" t="str">
        <f t="shared" si="41"/>
        <v/>
      </c>
      <c r="AC274" s="38" t="str">
        <f>IF(OR(B274="",COUNTIF($B$4:B274,B274)&gt;1),"",MAX($AC$3:AC273)+1)</f>
        <v/>
      </c>
      <c r="AD274" s="38" t="str">
        <f t="shared" si="42"/>
        <v/>
      </c>
      <c r="AE274" s="38" t="str">
        <f t="shared" si="43"/>
        <v/>
      </c>
      <c r="AF274" s="38" t="str">
        <f t="shared" si="44"/>
        <v/>
      </c>
    </row>
    <row r="275" spans="1:32" x14ac:dyDescent="0.3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38" t="str">
        <f>IF(OR(A275="Автомат",A275="Дифавтомат"),IF(W275="","",COUNTIFS(Однолинейка!$H$3:$H$3000,U275,Однолинейка!$A$3:$A$3000,Щит_спец)),IF(A275="Аппарат",IF(C275="","",COUNTIFS(Однолинейка!$I$3:$I$3000,C275,Однолинейка!$A$3:$A$3000,Щит_спец)+COUNTIFS(Однолинейка!$J$3:$J$3000,C275,Однолинейка!$A$3:$A$3000,Щит_спец)+COUNTIFS(Однолинейка!$K$3:$K$3000,C275,Однолинейка!$A$3:$A$3000,Щит_спец)),IF(A275="Модуль",IF(C275="","",COUNTIFS(Однолинейка!$AW$3:$AW$3000,"?*",Однолинейка!$AI$3:$AI$3000,C275,Однолинейка!$A$3:$A$3000,Щит_спец)),IF(A275="Клемма",IF(C275="","",IF(C275=$S$7,SUMIFS(Однолинейка!$BW$3:$BW$3000,Однолинейка!$A$3:$A$3000,Щит_спец),IF(C275=$S$8,SUMIFS(Однолинейка!$BX$3:$BX$3000,Однолинейка!$A$3:$A$3000,Щит_спец),""))),""))))</f>
        <v/>
      </c>
      <c r="O275" s="74"/>
      <c r="P275" s="38" t="str">
        <f t="shared" si="36"/>
        <v/>
      </c>
      <c r="U275" s="38" t="str">
        <f t="shared" si="37"/>
        <v/>
      </c>
      <c r="V275" s="38" t="str">
        <f t="shared" si="38"/>
        <v/>
      </c>
      <c r="W275" s="38" t="str">
        <f>IF(AND(U275&lt;&gt;"",OR($S$4="(все)",B275=$S$4),IF($S$4="(все)",COUNTIF($U$4:U275,U275),COUNTIFS($U$4:U275,U275,$B$4:B275,B275))=1),MAX($W$3:W274)+1,"")</f>
        <v/>
      </c>
      <c r="X275" s="38" t="str">
        <f t="shared" si="39"/>
        <v/>
      </c>
      <c r="Y275" s="38" t="str">
        <f>IF(AND(A275="Аппарат",C275&lt;&gt;"",OR($S$5="(все)",B275=$S$5)),MAX($Y$3:Y274)+1,"")</f>
        <v/>
      </c>
      <c r="Z275" s="38" t="str">
        <f t="shared" si="40"/>
        <v/>
      </c>
      <c r="AA275" s="38" t="str">
        <f>IF(AND(A275="Модуль",C275&lt;&gt;"",OR($S$6="(все)",B275=$S$6)),MAX($AA$3:AA274)+1,"")</f>
        <v/>
      </c>
      <c r="AB275" s="38" t="str">
        <f t="shared" si="41"/>
        <v/>
      </c>
      <c r="AC275" s="38" t="str">
        <f>IF(OR(B275="",COUNTIF($B$4:B275,B275)&gt;1),"",MAX($AC$3:AC274)+1)</f>
        <v/>
      </c>
      <c r="AD275" s="38" t="str">
        <f t="shared" si="42"/>
        <v/>
      </c>
      <c r="AE275" s="38" t="str">
        <f t="shared" si="43"/>
        <v/>
      </c>
      <c r="AF275" s="38" t="str">
        <f t="shared" si="44"/>
        <v/>
      </c>
    </row>
    <row r="276" spans="1:32" x14ac:dyDescent="0.3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38" t="str">
        <f>IF(OR(A276="Автомат",A276="Дифавтомат"),IF(W276="","",COUNTIFS(Однолинейка!$H$3:$H$3000,U276,Однолинейка!$A$3:$A$3000,Щит_спец)),IF(A276="Аппарат",IF(C276="","",COUNTIFS(Однолинейка!$I$3:$I$3000,C276,Однолинейка!$A$3:$A$3000,Щит_спец)+COUNTIFS(Однолинейка!$J$3:$J$3000,C276,Однолинейка!$A$3:$A$3000,Щит_спец)+COUNTIFS(Однолинейка!$K$3:$K$3000,C276,Однолинейка!$A$3:$A$3000,Щит_спец)),IF(A276="Модуль",IF(C276="","",COUNTIFS(Однолинейка!$AW$3:$AW$3000,"?*",Однолинейка!$AI$3:$AI$3000,C276,Однолинейка!$A$3:$A$3000,Щит_спец)),IF(A276="Клемма",IF(C276="","",IF(C276=$S$7,SUMIFS(Однолинейка!$BW$3:$BW$3000,Однолинейка!$A$3:$A$3000,Щит_спец),IF(C276=$S$8,SUMIFS(Однолинейка!$BX$3:$BX$3000,Однолинейка!$A$3:$A$3000,Щит_спец),""))),""))))</f>
        <v/>
      </c>
      <c r="O276" s="74"/>
      <c r="P276" s="38" t="str">
        <f t="shared" si="36"/>
        <v/>
      </c>
      <c r="U276" s="38" t="str">
        <f t="shared" si="37"/>
        <v/>
      </c>
      <c r="V276" s="38" t="str">
        <f t="shared" si="38"/>
        <v/>
      </c>
      <c r="W276" s="38" t="str">
        <f>IF(AND(U276&lt;&gt;"",OR($S$4="(все)",B276=$S$4),IF($S$4="(все)",COUNTIF($U$4:U276,U276),COUNTIFS($U$4:U276,U276,$B$4:B276,B276))=1),MAX($W$3:W275)+1,"")</f>
        <v/>
      </c>
      <c r="X276" s="38" t="str">
        <f t="shared" si="39"/>
        <v/>
      </c>
      <c r="Y276" s="38" t="str">
        <f>IF(AND(A276="Аппарат",C276&lt;&gt;"",OR($S$5="(все)",B276=$S$5)),MAX($Y$3:Y275)+1,"")</f>
        <v/>
      </c>
      <c r="Z276" s="38" t="str">
        <f t="shared" si="40"/>
        <v/>
      </c>
      <c r="AA276" s="38" t="str">
        <f>IF(AND(A276="Модуль",C276&lt;&gt;"",OR($S$6="(все)",B276=$S$6)),MAX($AA$3:AA275)+1,"")</f>
        <v/>
      </c>
      <c r="AB276" s="38" t="str">
        <f t="shared" si="41"/>
        <v/>
      </c>
      <c r="AC276" s="38" t="str">
        <f>IF(OR(B276="",COUNTIF($B$4:B276,B276)&gt;1),"",MAX($AC$3:AC275)+1)</f>
        <v/>
      </c>
      <c r="AD276" s="38" t="str">
        <f t="shared" si="42"/>
        <v/>
      </c>
      <c r="AE276" s="38" t="str">
        <f t="shared" si="43"/>
        <v/>
      </c>
      <c r="AF276" s="38" t="str">
        <f t="shared" si="44"/>
        <v/>
      </c>
    </row>
    <row r="277" spans="1:32" x14ac:dyDescent="0.3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38" t="str">
        <f>IF(OR(A277="Автомат",A277="Дифавтомат"),IF(W277="","",COUNTIFS(Однолинейка!$H$3:$H$3000,U277,Однолинейка!$A$3:$A$3000,Щит_спец)),IF(A277="Аппарат",IF(C277="","",COUNTIFS(Однолинейка!$I$3:$I$3000,C277,Однолинейка!$A$3:$A$3000,Щит_спец)+COUNTIFS(Однолинейка!$J$3:$J$3000,C277,Однолинейка!$A$3:$A$3000,Щит_спец)+COUNTIFS(Однолинейка!$K$3:$K$3000,C277,Однолинейка!$A$3:$A$3000,Щит_спец)),IF(A277="Модуль",IF(C277="","",COUNTIFS(Однолинейка!$AW$3:$AW$3000,"?*",Однолинейка!$AI$3:$AI$3000,C277,Однолинейка!$A$3:$A$3000,Щит_спец)),IF(A277="Клемма",IF(C277="","",IF(C277=$S$7,SUMIFS(Однолинейка!$BW$3:$BW$3000,Однолинейка!$A$3:$A$3000,Щит_спец),IF(C277=$S$8,SUMIFS(Однолинейка!$BX$3:$BX$3000,Однолинейка!$A$3:$A$3000,Щит_спец),""))),""))))</f>
        <v/>
      </c>
      <c r="O277" s="74"/>
      <c r="P277" s="38" t="str">
        <f t="shared" si="36"/>
        <v/>
      </c>
      <c r="U277" s="38" t="str">
        <f t="shared" si="37"/>
        <v/>
      </c>
      <c r="V277" s="38" t="str">
        <f t="shared" si="38"/>
        <v/>
      </c>
      <c r="W277" s="38" t="str">
        <f>IF(AND(U277&lt;&gt;"",OR($S$4="(все)",B277=$S$4),IF($S$4="(все)",COUNTIF($U$4:U277,U277),COUNTIFS($U$4:U277,U277,$B$4:B277,B277))=1),MAX($W$3:W276)+1,"")</f>
        <v/>
      </c>
      <c r="X277" s="38" t="str">
        <f t="shared" si="39"/>
        <v/>
      </c>
      <c r="Y277" s="38" t="str">
        <f>IF(AND(A277="Аппарат",C277&lt;&gt;"",OR($S$5="(все)",B277=$S$5)),MAX($Y$3:Y276)+1,"")</f>
        <v/>
      </c>
      <c r="Z277" s="38" t="str">
        <f t="shared" si="40"/>
        <v/>
      </c>
      <c r="AA277" s="38" t="str">
        <f>IF(AND(A277="Модуль",C277&lt;&gt;"",OR($S$6="(все)",B277=$S$6)),MAX($AA$3:AA276)+1,"")</f>
        <v/>
      </c>
      <c r="AB277" s="38" t="str">
        <f t="shared" si="41"/>
        <v/>
      </c>
      <c r="AC277" s="38" t="str">
        <f>IF(OR(B277="",COUNTIF($B$4:B277,B277)&gt;1),"",MAX($AC$3:AC276)+1)</f>
        <v/>
      </c>
      <c r="AD277" s="38" t="str">
        <f t="shared" si="42"/>
        <v/>
      </c>
      <c r="AE277" s="38" t="str">
        <f t="shared" si="43"/>
        <v/>
      </c>
      <c r="AF277" s="38" t="str">
        <f t="shared" si="44"/>
        <v/>
      </c>
    </row>
    <row r="278" spans="1:32" x14ac:dyDescent="0.3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38" t="str">
        <f>IF(OR(A278="Автомат",A278="Дифавтомат"),IF(W278="","",COUNTIFS(Однолинейка!$H$3:$H$3000,U278,Однолинейка!$A$3:$A$3000,Щит_спец)),IF(A278="Аппарат",IF(C278="","",COUNTIFS(Однолинейка!$I$3:$I$3000,C278,Однолинейка!$A$3:$A$3000,Щит_спец)+COUNTIFS(Однолинейка!$J$3:$J$3000,C278,Однолинейка!$A$3:$A$3000,Щит_спец)+COUNTIFS(Однолинейка!$K$3:$K$3000,C278,Однолинейка!$A$3:$A$3000,Щит_спец)),IF(A278="Модуль",IF(C278="","",COUNTIFS(Однолинейка!$AW$3:$AW$3000,"?*",Однолинейка!$AI$3:$AI$3000,C278,Однолинейка!$A$3:$A$3000,Щит_спец)),IF(A278="Клемма",IF(C278="","",IF(C278=$S$7,SUMIFS(Однолинейка!$BW$3:$BW$3000,Однолинейка!$A$3:$A$3000,Щит_спец),IF(C278=$S$8,SUMIFS(Однолинейка!$BX$3:$BX$3000,Однолинейка!$A$3:$A$3000,Щит_спец),""))),""))))</f>
        <v/>
      </c>
      <c r="O278" s="74"/>
      <c r="P278" s="38" t="str">
        <f t="shared" si="36"/>
        <v/>
      </c>
      <c r="U278" s="38" t="str">
        <f t="shared" si="37"/>
        <v/>
      </c>
      <c r="V278" s="38" t="str">
        <f t="shared" si="38"/>
        <v/>
      </c>
      <c r="W278" s="38" t="str">
        <f>IF(AND(U278&lt;&gt;"",OR($S$4="(все)",B278=$S$4),IF($S$4="(все)",COUNTIF($U$4:U278,U278),COUNTIFS($U$4:U278,U278,$B$4:B278,B278))=1),MAX($W$3:W277)+1,"")</f>
        <v/>
      </c>
      <c r="X278" s="38" t="str">
        <f t="shared" si="39"/>
        <v/>
      </c>
      <c r="Y278" s="38" t="str">
        <f>IF(AND(A278="Аппарат",C278&lt;&gt;"",OR($S$5="(все)",B278=$S$5)),MAX($Y$3:Y277)+1,"")</f>
        <v/>
      </c>
      <c r="Z278" s="38" t="str">
        <f t="shared" si="40"/>
        <v/>
      </c>
      <c r="AA278" s="38" t="str">
        <f>IF(AND(A278="Модуль",C278&lt;&gt;"",OR($S$6="(все)",B278=$S$6)),MAX($AA$3:AA277)+1,"")</f>
        <v/>
      </c>
      <c r="AB278" s="38" t="str">
        <f t="shared" si="41"/>
        <v/>
      </c>
      <c r="AC278" s="38" t="str">
        <f>IF(OR(B278="",COUNTIF($B$4:B278,B278)&gt;1),"",MAX($AC$3:AC277)+1)</f>
        <v/>
      </c>
      <c r="AD278" s="38" t="str">
        <f t="shared" si="42"/>
        <v/>
      </c>
      <c r="AE278" s="38" t="str">
        <f t="shared" si="43"/>
        <v/>
      </c>
      <c r="AF278" s="38" t="str">
        <f t="shared" si="44"/>
        <v/>
      </c>
    </row>
    <row r="279" spans="1:32" x14ac:dyDescent="0.3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38" t="str">
        <f>IF(OR(A279="Автомат",A279="Дифавтомат"),IF(W279="","",COUNTIFS(Однолинейка!$H$3:$H$3000,U279,Однолинейка!$A$3:$A$3000,Щит_спец)),IF(A279="Аппарат",IF(C279="","",COUNTIFS(Однолинейка!$I$3:$I$3000,C279,Однолинейка!$A$3:$A$3000,Щит_спец)+COUNTIFS(Однолинейка!$J$3:$J$3000,C279,Однолинейка!$A$3:$A$3000,Щит_спец)+COUNTIFS(Однолинейка!$K$3:$K$3000,C279,Однолинейка!$A$3:$A$3000,Щит_спец)),IF(A279="Модуль",IF(C279="","",COUNTIFS(Однолинейка!$AW$3:$AW$3000,"?*",Однолинейка!$AI$3:$AI$3000,C279,Однолинейка!$A$3:$A$3000,Щит_спец)),IF(A279="Клемма",IF(C279="","",IF(C279=$S$7,SUMIFS(Однолинейка!$BW$3:$BW$3000,Однолинейка!$A$3:$A$3000,Щит_спец),IF(C279=$S$8,SUMIFS(Однолинейка!$BX$3:$BX$3000,Однолинейка!$A$3:$A$3000,Щит_спец),""))),""))))</f>
        <v/>
      </c>
      <c r="O279" s="74"/>
      <c r="P279" s="38" t="str">
        <f t="shared" si="36"/>
        <v/>
      </c>
      <c r="U279" s="38" t="str">
        <f t="shared" si="37"/>
        <v/>
      </c>
      <c r="V279" s="38" t="str">
        <f t="shared" si="38"/>
        <v/>
      </c>
      <c r="W279" s="38" t="str">
        <f>IF(AND(U279&lt;&gt;"",OR($S$4="(все)",B279=$S$4),IF($S$4="(все)",COUNTIF($U$4:U279,U279),COUNTIFS($U$4:U279,U279,$B$4:B279,B279))=1),MAX($W$3:W278)+1,"")</f>
        <v/>
      </c>
      <c r="X279" s="38" t="str">
        <f t="shared" si="39"/>
        <v/>
      </c>
      <c r="Y279" s="38" t="str">
        <f>IF(AND(A279="Аппарат",C279&lt;&gt;"",OR($S$5="(все)",B279=$S$5)),MAX($Y$3:Y278)+1,"")</f>
        <v/>
      </c>
      <c r="Z279" s="38" t="str">
        <f t="shared" si="40"/>
        <v/>
      </c>
      <c r="AA279" s="38" t="str">
        <f>IF(AND(A279="Модуль",C279&lt;&gt;"",OR($S$6="(все)",B279=$S$6)),MAX($AA$3:AA278)+1,"")</f>
        <v/>
      </c>
      <c r="AB279" s="38" t="str">
        <f t="shared" si="41"/>
        <v/>
      </c>
      <c r="AC279" s="38" t="str">
        <f>IF(OR(B279="",COUNTIF($B$4:B279,B279)&gt;1),"",MAX($AC$3:AC278)+1)</f>
        <v/>
      </c>
      <c r="AD279" s="38" t="str">
        <f t="shared" si="42"/>
        <v/>
      </c>
      <c r="AE279" s="38" t="str">
        <f t="shared" si="43"/>
        <v/>
      </c>
      <c r="AF279" s="38" t="str">
        <f t="shared" si="44"/>
        <v/>
      </c>
    </row>
    <row r="280" spans="1:32" x14ac:dyDescent="0.3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38" t="str">
        <f>IF(OR(A280="Автомат",A280="Дифавтомат"),IF(W280="","",COUNTIFS(Однолинейка!$H$3:$H$3000,U280,Однолинейка!$A$3:$A$3000,Щит_спец)),IF(A280="Аппарат",IF(C280="","",COUNTIFS(Однолинейка!$I$3:$I$3000,C280,Однолинейка!$A$3:$A$3000,Щит_спец)+COUNTIFS(Однолинейка!$J$3:$J$3000,C280,Однолинейка!$A$3:$A$3000,Щит_спец)+COUNTIFS(Однолинейка!$K$3:$K$3000,C280,Однолинейка!$A$3:$A$3000,Щит_спец)),IF(A280="Модуль",IF(C280="","",COUNTIFS(Однолинейка!$AW$3:$AW$3000,"?*",Однолинейка!$AI$3:$AI$3000,C280,Однолинейка!$A$3:$A$3000,Щит_спец)),IF(A280="Клемма",IF(C280="","",IF(C280=$S$7,SUMIFS(Однолинейка!$BW$3:$BW$3000,Однолинейка!$A$3:$A$3000,Щит_спец),IF(C280=$S$8,SUMIFS(Однолинейка!$BX$3:$BX$3000,Однолинейка!$A$3:$A$3000,Щит_спец),""))),""))))</f>
        <v/>
      </c>
      <c r="O280" s="74"/>
      <c r="P280" s="38" t="str">
        <f t="shared" si="36"/>
        <v/>
      </c>
      <c r="U280" s="38" t="str">
        <f t="shared" si="37"/>
        <v/>
      </c>
      <c r="V280" s="38" t="str">
        <f t="shared" si="38"/>
        <v/>
      </c>
      <c r="W280" s="38" t="str">
        <f>IF(AND(U280&lt;&gt;"",OR($S$4="(все)",B280=$S$4),IF($S$4="(все)",COUNTIF($U$4:U280,U280),COUNTIFS($U$4:U280,U280,$B$4:B280,B280))=1),MAX($W$3:W279)+1,"")</f>
        <v/>
      </c>
      <c r="X280" s="38" t="str">
        <f t="shared" si="39"/>
        <v/>
      </c>
      <c r="Y280" s="38" t="str">
        <f>IF(AND(A280="Аппарат",C280&lt;&gt;"",OR($S$5="(все)",B280=$S$5)),MAX($Y$3:Y279)+1,"")</f>
        <v/>
      </c>
      <c r="Z280" s="38" t="str">
        <f t="shared" si="40"/>
        <v/>
      </c>
      <c r="AA280" s="38" t="str">
        <f>IF(AND(A280="Модуль",C280&lt;&gt;"",OR($S$6="(все)",B280=$S$6)),MAX($AA$3:AA279)+1,"")</f>
        <v/>
      </c>
      <c r="AB280" s="38" t="str">
        <f t="shared" si="41"/>
        <v/>
      </c>
      <c r="AC280" s="38" t="str">
        <f>IF(OR(B280="",COUNTIF($B$4:B280,B280)&gt;1),"",MAX($AC$3:AC279)+1)</f>
        <v/>
      </c>
      <c r="AD280" s="38" t="str">
        <f t="shared" si="42"/>
        <v/>
      </c>
      <c r="AE280" s="38" t="str">
        <f t="shared" si="43"/>
        <v/>
      </c>
      <c r="AF280" s="38" t="str">
        <f t="shared" si="44"/>
        <v/>
      </c>
    </row>
    <row r="281" spans="1:32" x14ac:dyDescent="0.3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38" t="str">
        <f>IF(OR(A281="Автомат",A281="Дифавтомат"),IF(W281="","",COUNTIFS(Однолинейка!$H$3:$H$3000,U281,Однолинейка!$A$3:$A$3000,Щит_спец)),IF(A281="Аппарат",IF(C281="","",COUNTIFS(Однолинейка!$I$3:$I$3000,C281,Однолинейка!$A$3:$A$3000,Щит_спец)+COUNTIFS(Однолинейка!$J$3:$J$3000,C281,Однолинейка!$A$3:$A$3000,Щит_спец)+COUNTIFS(Однолинейка!$K$3:$K$3000,C281,Однолинейка!$A$3:$A$3000,Щит_спец)),IF(A281="Модуль",IF(C281="","",COUNTIFS(Однолинейка!$AW$3:$AW$3000,"?*",Однолинейка!$AI$3:$AI$3000,C281,Однолинейка!$A$3:$A$3000,Щит_спец)),IF(A281="Клемма",IF(C281="","",IF(C281=$S$7,SUMIFS(Однолинейка!$BW$3:$BW$3000,Однолинейка!$A$3:$A$3000,Щит_спец),IF(C281=$S$8,SUMIFS(Однолинейка!$BX$3:$BX$3000,Однолинейка!$A$3:$A$3000,Щит_спец),""))),""))))</f>
        <v/>
      </c>
      <c r="O281" s="74"/>
      <c r="P281" s="38" t="str">
        <f t="shared" si="36"/>
        <v/>
      </c>
      <c r="U281" s="38" t="str">
        <f t="shared" si="37"/>
        <v/>
      </c>
      <c r="V281" s="38" t="str">
        <f t="shared" si="38"/>
        <v/>
      </c>
      <c r="W281" s="38" t="str">
        <f>IF(AND(U281&lt;&gt;"",OR($S$4="(все)",B281=$S$4),IF($S$4="(все)",COUNTIF($U$4:U281,U281),COUNTIFS($U$4:U281,U281,$B$4:B281,B281))=1),MAX($W$3:W280)+1,"")</f>
        <v/>
      </c>
      <c r="X281" s="38" t="str">
        <f t="shared" si="39"/>
        <v/>
      </c>
      <c r="Y281" s="38" t="str">
        <f>IF(AND(A281="Аппарат",C281&lt;&gt;"",OR($S$5="(все)",B281=$S$5)),MAX($Y$3:Y280)+1,"")</f>
        <v/>
      </c>
      <c r="Z281" s="38" t="str">
        <f t="shared" si="40"/>
        <v/>
      </c>
      <c r="AA281" s="38" t="str">
        <f>IF(AND(A281="Модуль",C281&lt;&gt;"",OR($S$6="(все)",B281=$S$6)),MAX($AA$3:AA280)+1,"")</f>
        <v/>
      </c>
      <c r="AB281" s="38" t="str">
        <f t="shared" si="41"/>
        <v/>
      </c>
      <c r="AC281" s="38" t="str">
        <f>IF(OR(B281="",COUNTIF($B$4:B281,B281)&gt;1),"",MAX($AC$3:AC280)+1)</f>
        <v/>
      </c>
      <c r="AD281" s="38" t="str">
        <f t="shared" si="42"/>
        <v/>
      </c>
      <c r="AE281" s="38" t="str">
        <f t="shared" si="43"/>
        <v/>
      </c>
      <c r="AF281" s="38" t="str">
        <f t="shared" si="44"/>
        <v/>
      </c>
    </row>
    <row r="282" spans="1:32" x14ac:dyDescent="0.3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38" t="str">
        <f>IF(OR(A282="Автомат",A282="Дифавтомат"),IF(W282="","",COUNTIFS(Однолинейка!$H$3:$H$3000,U282,Однолинейка!$A$3:$A$3000,Щит_спец)),IF(A282="Аппарат",IF(C282="","",COUNTIFS(Однолинейка!$I$3:$I$3000,C282,Однолинейка!$A$3:$A$3000,Щит_спец)+COUNTIFS(Однолинейка!$J$3:$J$3000,C282,Однолинейка!$A$3:$A$3000,Щит_спец)+COUNTIFS(Однолинейка!$K$3:$K$3000,C282,Однолинейка!$A$3:$A$3000,Щит_спец)),IF(A282="Модуль",IF(C282="","",COUNTIFS(Однолинейка!$AW$3:$AW$3000,"?*",Однолинейка!$AI$3:$AI$3000,C282,Однолинейка!$A$3:$A$3000,Щит_спец)),IF(A282="Клемма",IF(C282="","",IF(C282=$S$7,SUMIFS(Однолинейка!$BW$3:$BW$3000,Однолинейка!$A$3:$A$3000,Щит_спец),IF(C282=$S$8,SUMIFS(Однолинейка!$BX$3:$BX$3000,Однолинейка!$A$3:$A$3000,Щит_спец),""))),""))))</f>
        <v/>
      </c>
      <c r="O282" s="74"/>
      <c r="P282" s="38" t="str">
        <f t="shared" si="36"/>
        <v/>
      </c>
      <c r="U282" s="38" t="str">
        <f t="shared" si="37"/>
        <v/>
      </c>
      <c r="V282" s="38" t="str">
        <f t="shared" si="38"/>
        <v/>
      </c>
      <c r="W282" s="38" t="str">
        <f>IF(AND(U282&lt;&gt;"",OR($S$4="(все)",B282=$S$4),IF($S$4="(все)",COUNTIF($U$4:U282,U282),COUNTIFS($U$4:U282,U282,$B$4:B282,B282))=1),MAX($W$3:W281)+1,"")</f>
        <v/>
      </c>
      <c r="X282" s="38" t="str">
        <f t="shared" si="39"/>
        <v/>
      </c>
      <c r="Y282" s="38" t="str">
        <f>IF(AND(A282="Аппарат",C282&lt;&gt;"",OR($S$5="(все)",B282=$S$5)),MAX($Y$3:Y281)+1,"")</f>
        <v/>
      </c>
      <c r="Z282" s="38" t="str">
        <f t="shared" si="40"/>
        <v/>
      </c>
      <c r="AA282" s="38" t="str">
        <f>IF(AND(A282="Модуль",C282&lt;&gt;"",OR($S$6="(все)",B282=$S$6)),MAX($AA$3:AA281)+1,"")</f>
        <v/>
      </c>
      <c r="AB282" s="38" t="str">
        <f t="shared" si="41"/>
        <v/>
      </c>
      <c r="AC282" s="38" t="str">
        <f>IF(OR(B282="",COUNTIF($B$4:B282,B282)&gt;1),"",MAX($AC$3:AC281)+1)</f>
        <v/>
      </c>
      <c r="AD282" s="38" t="str">
        <f t="shared" si="42"/>
        <v/>
      </c>
      <c r="AE282" s="38" t="str">
        <f t="shared" si="43"/>
        <v/>
      </c>
      <c r="AF282" s="38" t="str">
        <f t="shared" si="44"/>
        <v/>
      </c>
    </row>
    <row r="283" spans="1:32" x14ac:dyDescent="0.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38" t="str">
        <f>IF(OR(A283="Автомат",A283="Дифавтомат"),IF(W283="","",COUNTIFS(Однолинейка!$H$3:$H$3000,U283,Однолинейка!$A$3:$A$3000,Щит_спец)),IF(A283="Аппарат",IF(C283="","",COUNTIFS(Однолинейка!$I$3:$I$3000,C283,Однолинейка!$A$3:$A$3000,Щит_спец)+COUNTIFS(Однолинейка!$J$3:$J$3000,C283,Однолинейка!$A$3:$A$3000,Щит_спец)+COUNTIFS(Однолинейка!$K$3:$K$3000,C283,Однолинейка!$A$3:$A$3000,Щит_спец)),IF(A283="Модуль",IF(C283="","",COUNTIFS(Однолинейка!$AW$3:$AW$3000,"?*",Однолинейка!$AI$3:$AI$3000,C283,Однолинейка!$A$3:$A$3000,Щит_спец)),IF(A283="Клемма",IF(C283="","",IF(C283=$S$7,SUMIFS(Однолинейка!$BW$3:$BW$3000,Однолинейка!$A$3:$A$3000,Щит_спец),IF(C283=$S$8,SUMIFS(Однолинейка!$BX$3:$BX$3000,Однолинейка!$A$3:$A$3000,Щит_спец),""))),""))))</f>
        <v/>
      </c>
      <c r="O283" s="74"/>
      <c r="P283" s="38" t="str">
        <f t="shared" si="36"/>
        <v/>
      </c>
      <c r="U283" s="38" t="str">
        <f t="shared" si="37"/>
        <v/>
      </c>
      <c r="V283" s="38" t="str">
        <f t="shared" si="38"/>
        <v/>
      </c>
      <c r="W283" s="38" t="str">
        <f>IF(AND(U283&lt;&gt;"",OR($S$4="(все)",B283=$S$4),IF($S$4="(все)",COUNTIF($U$4:U283,U283),COUNTIFS($U$4:U283,U283,$B$4:B283,B283))=1),MAX($W$3:W282)+1,"")</f>
        <v/>
      </c>
      <c r="X283" s="38" t="str">
        <f t="shared" si="39"/>
        <v/>
      </c>
      <c r="Y283" s="38" t="str">
        <f>IF(AND(A283="Аппарат",C283&lt;&gt;"",OR($S$5="(все)",B283=$S$5)),MAX($Y$3:Y282)+1,"")</f>
        <v/>
      </c>
      <c r="Z283" s="38" t="str">
        <f t="shared" si="40"/>
        <v/>
      </c>
      <c r="AA283" s="38" t="str">
        <f>IF(AND(A283="Модуль",C283&lt;&gt;"",OR($S$6="(все)",B283=$S$6)),MAX($AA$3:AA282)+1,"")</f>
        <v/>
      </c>
      <c r="AB283" s="38" t="str">
        <f t="shared" si="41"/>
        <v/>
      </c>
      <c r="AC283" s="38" t="str">
        <f>IF(OR(B283="",COUNTIF($B$4:B283,B283)&gt;1),"",MAX($AC$3:AC282)+1)</f>
        <v/>
      </c>
      <c r="AD283" s="38" t="str">
        <f t="shared" si="42"/>
        <v/>
      </c>
      <c r="AE283" s="38" t="str">
        <f t="shared" si="43"/>
        <v/>
      </c>
      <c r="AF283" s="38" t="str">
        <f t="shared" si="44"/>
        <v/>
      </c>
    </row>
    <row r="284" spans="1:32" x14ac:dyDescent="0.3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38" t="str">
        <f>IF(OR(A284="Автомат",A284="Дифавтомат"),IF(W284="","",COUNTIFS(Однолинейка!$H$3:$H$3000,U284,Однолинейка!$A$3:$A$3000,Щит_спец)),IF(A284="Аппарат",IF(C284="","",COUNTIFS(Однолинейка!$I$3:$I$3000,C284,Однолинейка!$A$3:$A$3000,Щит_спец)+COUNTIFS(Однолинейка!$J$3:$J$3000,C284,Однолинейка!$A$3:$A$3000,Щит_спец)+COUNTIFS(Однолинейка!$K$3:$K$3000,C284,Однолинейка!$A$3:$A$3000,Щит_спец)),IF(A284="Модуль",IF(C284="","",COUNTIFS(Однолинейка!$AW$3:$AW$3000,"?*",Однолинейка!$AI$3:$AI$3000,C284,Однолинейка!$A$3:$A$3000,Щит_спец)),IF(A284="Клемма",IF(C284="","",IF(C284=$S$7,SUMIFS(Однолинейка!$BW$3:$BW$3000,Однолинейка!$A$3:$A$3000,Щит_спец),IF(C284=$S$8,SUMIFS(Однолинейка!$BX$3:$BX$3000,Однолинейка!$A$3:$A$3000,Щит_спец),""))),""))))</f>
        <v/>
      </c>
      <c r="O284" s="74"/>
      <c r="P284" s="38" t="str">
        <f t="shared" si="36"/>
        <v/>
      </c>
      <c r="U284" s="38" t="str">
        <f t="shared" si="37"/>
        <v/>
      </c>
      <c r="V284" s="38" t="str">
        <f t="shared" si="38"/>
        <v/>
      </c>
      <c r="W284" s="38" t="str">
        <f>IF(AND(U284&lt;&gt;"",OR($S$4="(все)",B284=$S$4),IF($S$4="(все)",COUNTIF($U$4:U284,U284),COUNTIFS($U$4:U284,U284,$B$4:B284,B284))=1),MAX($W$3:W283)+1,"")</f>
        <v/>
      </c>
      <c r="X284" s="38" t="str">
        <f t="shared" si="39"/>
        <v/>
      </c>
      <c r="Y284" s="38" t="str">
        <f>IF(AND(A284="Аппарат",C284&lt;&gt;"",OR($S$5="(все)",B284=$S$5)),MAX($Y$3:Y283)+1,"")</f>
        <v/>
      </c>
      <c r="Z284" s="38" t="str">
        <f t="shared" si="40"/>
        <v/>
      </c>
      <c r="AA284" s="38" t="str">
        <f>IF(AND(A284="Модуль",C284&lt;&gt;"",OR($S$6="(все)",B284=$S$6)),MAX($AA$3:AA283)+1,"")</f>
        <v/>
      </c>
      <c r="AB284" s="38" t="str">
        <f t="shared" si="41"/>
        <v/>
      </c>
      <c r="AC284" s="38" t="str">
        <f>IF(OR(B284="",COUNTIF($B$4:B284,B284)&gt;1),"",MAX($AC$3:AC283)+1)</f>
        <v/>
      </c>
      <c r="AD284" s="38" t="str">
        <f t="shared" si="42"/>
        <v/>
      </c>
      <c r="AE284" s="38" t="str">
        <f t="shared" si="43"/>
        <v/>
      </c>
      <c r="AF284" s="38" t="str">
        <f t="shared" si="44"/>
        <v/>
      </c>
    </row>
    <row r="285" spans="1:32" x14ac:dyDescent="0.3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38" t="str">
        <f>IF(OR(A285="Автомат",A285="Дифавтомат"),IF(W285="","",COUNTIFS(Однолинейка!$H$3:$H$3000,U285,Однолинейка!$A$3:$A$3000,Щит_спец)),IF(A285="Аппарат",IF(C285="","",COUNTIFS(Однолинейка!$I$3:$I$3000,C285,Однолинейка!$A$3:$A$3000,Щит_спец)+COUNTIFS(Однолинейка!$J$3:$J$3000,C285,Однолинейка!$A$3:$A$3000,Щит_спец)+COUNTIFS(Однолинейка!$K$3:$K$3000,C285,Однолинейка!$A$3:$A$3000,Щит_спец)),IF(A285="Модуль",IF(C285="","",COUNTIFS(Однолинейка!$AW$3:$AW$3000,"?*",Однолинейка!$AI$3:$AI$3000,C285,Однолинейка!$A$3:$A$3000,Щит_спец)),IF(A285="Клемма",IF(C285="","",IF(C285=$S$7,SUMIFS(Однолинейка!$BW$3:$BW$3000,Однолинейка!$A$3:$A$3000,Щит_спец),IF(C285=$S$8,SUMIFS(Однолинейка!$BX$3:$BX$3000,Однолинейка!$A$3:$A$3000,Щит_спец),""))),""))))</f>
        <v/>
      </c>
      <c r="O285" s="74"/>
      <c r="P285" s="38" t="str">
        <f t="shared" si="36"/>
        <v/>
      </c>
      <c r="U285" s="38" t="str">
        <f t="shared" si="37"/>
        <v/>
      </c>
      <c r="V285" s="38" t="str">
        <f t="shared" si="38"/>
        <v/>
      </c>
      <c r="W285" s="38" t="str">
        <f>IF(AND(U285&lt;&gt;"",OR($S$4="(все)",B285=$S$4),IF($S$4="(все)",COUNTIF($U$4:U285,U285),COUNTIFS($U$4:U285,U285,$B$4:B285,B285))=1),MAX($W$3:W284)+1,"")</f>
        <v/>
      </c>
      <c r="X285" s="38" t="str">
        <f t="shared" si="39"/>
        <v/>
      </c>
      <c r="Y285" s="38" t="str">
        <f>IF(AND(A285="Аппарат",C285&lt;&gt;"",OR($S$5="(все)",B285=$S$5)),MAX($Y$3:Y284)+1,"")</f>
        <v/>
      </c>
      <c r="Z285" s="38" t="str">
        <f t="shared" si="40"/>
        <v/>
      </c>
      <c r="AA285" s="38" t="str">
        <f>IF(AND(A285="Модуль",C285&lt;&gt;"",OR($S$6="(все)",B285=$S$6)),MAX($AA$3:AA284)+1,"")</f>
        <v/>
      </c>
      <c r="AB285" s="38" t="str">
        <f t="shared" si="41"/>
        <v/>
      </c>
      <c r="AC285" s="38" t="str">
        <f>IF(OR(B285="",COUNTIF($B$4:B285,B285)&gt;1),"",MAX($AC$3:AC284)+1)</f>
        <v/>
      </c>
      <c r="AD285" s="38" t="str">
        <f t="shared" si="42"/>
        <v/>
      </c>
      <c r="AE285" s="38" t="str">
        <f t="shared" si="43"/>
        <v/>
      </c>
      <c r="AF285" s="38" t="str">
        <f t="shared" si="44"/>
        <v/>
      </c>
    </row>
    <row r="286" spans="1:32" x14ac:dyDescent="0.3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38" t="str">
        <f>IF(OR(A286="Автомат",A286="Дифавтомат"),IF(W286="","",COUNTIFS(Однолинейка!$H$3:$H$3000,U286,Однолинейка!$A$3:$A$3000,Щит_спец)),IF(A286="Аппарат",IF(C286="","",COUNTIFS(Однолинейка!$I$3:$I$3000,C286,Однолинейка!$A$3:$A$3000,Щит_спец)+COUNTIFS(Однолинейка!$J$3:$J$3000,C286,Однолинейка!$A$3:$A$3000,Щит_спец)+COUNTIFS(Однолинейка!$K$3:$K$3000,C286,Однолинейка!$A$3:$A$3000,Щит_спец)),IF(A286="Модуль",IF(C286="","",COUNTIFS(Однолинейка!$AW$3:$AW$3000,"?*",Однолинейка!$AI$3:$AI$3000,C286,Однолинейка!$A$3:$A$3000,Щит_спец)),IF(A286="Клемма",IF(C286="","",IF(C286=$S$7,SUMIFS(Однолинейка!$BW$3:$BW$3000,Однолинейка!$A$3:$A$3000,Щит_спец),IF(C286=$S$8,SUMIFS(Однолинейка!$BX$3:$BX$3000,Однолинейка!$A$3:$A$3000,Щит_спец),""))),""))))</f>
        <v/>
      </c>
      <c r="O286" s="74"/>
      <c r="P286" s="38" t="str">
        <f t="shared" si="36"/>
        <v/>
      </c>
      <c r="U286" s="38" t="str">
        <f t="shared" si="37"/>
        <v/>
      </c>
      <c r="V286" s="38" t="str">
        <f t="shared" si="38"/>
        <v/>
      </c>
      <c r="W286" s="38" t="str">
        <f>IF(AND(U286&lt;&gt;"",OR($S$4="(все)",B286=$S$4),IF($S$4="(все)",COUNTIF($U$4:U286,U286),COUNTIFS($U$4:U286,U286,$B$4:B286,B286))=1),MAX($W$3:W285)+1,"")</f>
        <v/>
      </c>
      <c r="X286" s="38" t="str">
        <f t="shared" si="39"/>
        <v/>
      </c>
      <c r="Y286" s="38" t="str">
        <f>IF(AND(A286="Аппарат",C286&lt;&gt;"",OR($S$5="(все)",B286=$S$5)),MAX($Y$3:Y285)+1,"")</f>
        <v/>
      </c>
      <c r="Z286" s="38" t="str">
        <f t="shared" si="40"/>
        <v/>
      </c>
      <c r="AA286" s="38" t="str">
        <f>IF(AND(A286="Модуль",C286&lt;&gt;"",OR($S$6="(все)",B286=$S$6)),MAX($AA$3:AA285)+1,"")</f>
        <v/>
      </c>
      <c r="AB286" s="38" t="str">
        <f t="shared" si="41"/>
        <v/>
      </c>
      <c r="AC286" s="38" t="str">
        <f>IF(OR(B286="",COUNTIF($B$4:B286,B286)&gt;1),"",MAX($AC$3:AC285)+1)</f>
        <v/>
      </c>
      <c r="AD286" s="38" t="str">
        <f t="shared" si="42"/>
        <v/>
      </c>
      <c r="AE286" s="38" t="str">
        <f t="shared" si="43"/>
        <v/>
      </c>
      <c r="AF286" s="38" t="str">
        <f t="shared" si="44"/>
        <v/>
      </c>
    </row>
    <row r="287" spans="1:32" x14ac:dyDescent="0.3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38" t="str">
        <f>IF(OR(A287="Автомат",A287="Дифавтомат"),IF(W287="","",COUNTIFS(Однолинейка!$H$3:$H$3000,U287,Однолинейка!$A$3:$A$3000,Щит_спец)),IF(A287="Аппарат",IF(C287="","",COUNTIFS(Однолинейка!$I$3:$I$3000,C287,Однолинейка!$A$3:$A$3000,Щит_спец)+COUNTIFS(Однолинейка!$J$3:$J$3000,C287,Однолинейка!$A$3:$A$3000,Щит_спец)+COUNTIFS(Однолинейка!$K$3:$K$3000,C287,Однолинейка!$A$3:$A$3000,Щит_спец)),IF(A287="Модуль",IF(C287="","",COUNTIFS(Однолинейка!$AW$3:$AW$3000,"?*",Однолинейка!$AI$3:$AI$3000,C287,Однолинейка!$A$3:$A$3000,Щит_спец)),IF(A287="Клемма",IF(C287="","",IF(C287=$S$7,SUMIFS(Однолинейка!$BW$3:$BW$3000,Однолинейка!$A$3:$A$3000,Щит_спец),IF(C287=$S$8,SUMIFS(Однолинейка!$BX$3:$BX$3000,Однолинейка!$A$3:$A$3000,Щит_спец),""))),""))))</f>
        <v/>
      </c>
      <c r="O287" s="74"/>
      <c r="P287" s="38" t="str">
        <f t="shared" si="36"/>
        <v/>
      </c>
      <c r="U287" s="38" t="str">
        <f t="shared" si="37"/>
        <v/>
      </c>
      <c r="V287" s="38" t="str">
        <f t="shared" si="38"/>
        <v/>
      </c>
      <c r="W287" s="38" t="str">
        <f>IF(AND(U287&lt;&gt;"",OR($S$4="(все)",B287=$S$4),IF($S$4="(все)",COUNTIF($U$4:U287,U287),COUNTIFS($U$4:U287,U287,$B$4:B287,B287))=1),MAX($W$3:W286)+1,"")</f>
        <v/>
      </c>
      <c r="X287" s="38" t="str">
        <f t="shared" si="39"/>
        <v/>
      </c>
      <c r="Y287" s="38" t="str">
        <f>IF(AND(A287="Аппарат",C287&lt;&gt;"",OR($S$5="(все)",B287=$S$5)),MAX($Y$3:Y286)+1,"")</f>
        <v/>
      </c>
      <c r="Z287" s="38" t="str">
        <f t="shared" si="40"/>
        <v/>
      </c>
      <c r="AA287" s="38" t="str">
        <f>IF(AND(A287="Модуль",C287&lt;&gt;"",OR($S$6="(все)",B287=$S$6)),MAX($AA$3:AA286)+1,"")</f>
        <v/>
      </c>
      <c r="AB287" s="38" t="str">
        <f t="shared" si="41"/>
        <v/>
      </c>
      <c r="AC287" s="38" t="str">
        <f>IF(OR(B287="",COUNTIF($B$4:B287,B287)&gt;1),"",MAX($AC$3:AC286)+1)</f>
        <v/>
      </c>
      <c r="AD287" s="38" t="str">
        <f t="shared" si="42"/>
        <v/>
      </c>
      <c r="AE287" s="38" t="str">
        <f t="shared" si="43"/>
        <v/>
      </c>
      <c r="AF287" s="38" t="str">
        <f t="shared" si="44"/>
        <v/>
      </c>
    </row>
    <row r="288" spans="1:32" x14ac:dyDescent="0.3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38" t="str">
        <f>IF(OR(A288="Автомат",A288="Дифавтомат"),IF(W288="","",COUNTIFS(Однолинейка!$H$3:$H$3000,U288,Однолинейка!$A$3:$A$3000,Щит_спец)),IF(A288="Аппарат",IF(C288="","",COUNTIFS(Однолинейка!$I$3:$I$3000,C288,Однолинейка!$A$3:$A$3000,Щит_спец)+COUNTIFS(Однолинейка!$J$3:$J$3000,C288,Однолинейка!$A$3:$A$3000,Щит_спец)+COUNTIFS(Однолинейка!$K$3:$K$3000,C288,Однолинейка!$A$3:$A$3000,Щит_спец)),IF(A288="Модуль",IF(C288="","",COUNTIFS(Однолинейка!$AW$3:$AW$3000,"?*",Однолинейка!$AI$3:$AI$3000,C288,Однолинейка!$A$3:$A$3000,Щит_спец)),IF(A288="Клемма",IF(C288="","",IF(C288=$S$7,SUMIFS(Однолинейка!$BW$3:$BW$3000,Однолинейка!$A$3:$A$3000,Щит_спец),IF(C288=$S$8,SUMIFS(Однолинейка!$BX$3:$BX$3000,Однолинейка!$A$3:$A$3000,Щит_спец),""))),""))))</f>
        <v/>
      </c>
      <c r="O288" s="74"/>
      <c r="P288" s="38" t="str">
        <f t="shared" si="36"/>
        <v/>
      </c>
      <c r="U288" s="38" t="str">
        <f t="shared" si="37"/>
        <v/>
      </c>
      <c r="V288" s="38" t="str">
        <f t="shared" si="38"/>
        <v/>
      </c>
      <c r="W288" s="38" t="str">
        <f>IF(AND(U288&lt;&gt;"",OR($S$4="(все)",B288=$S$4),IF($S$4="(все)",COUNTIF($U$4:U288,U288),COUNTIFS($U$4:U288,U288,$B$4:B288,B288))=1),MAX($W$3:W287)+1,"")</f>
        <v/>
      </c>
      <c r="X288" s="38" t="str">
        <f t="shared" si="39"/>
        <v/>
      </c>
      <c r="Y288" s="38" t="str">
        <f>IF(AND(A288="Аппарат",C288&lt;&gt;"",OR($S$5="(все)",B288=$S$5)),MAX($Y$3:Y287)+1,"")</f>
        <v/>
      </c>
      <c r="Z288" s="38" t="str">
        <f t="shared" si="40"/>
        <v/>
      </c>
      <c r="AA288" s="38" t="str">
        <f>IF(AND(A288="Модуль",C288&lt;&gt;"",OR($S$6="(все)",B288=$S$6)),MAX($AA$3:AA287)+1,"")</f>
        <v/>
      </c>
      <c r="AB288" s="38" t="str">
        <f t="shared" si="41"/>
        <v/>
      </c>
      <c r="AC288" s="38" t="str">
        <f>IF(OR(B288="",COUNTIF($B$4:B288,B288)&gt;1),"",MAX($AC$3:AC287)+1)</f>
        <v/>
      </c>
      <c r="AD288" s="38" t="str">
        <f t="shared" si="42"/>
        <v/>
      </c>
      <c r="AE288" s="38" t="str">
        <f t="shared" si="43"/>
        <v/>
      </c>
      <c r="AF288" s="38" t="str">
        <f t="shared" si="44"/>
        <v/>
      </c>
    </row>
    <row r="289" spans="1:32" x14ac:dyDescent="0.3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38" t="str">
        <f>IF(OR(A289="Автомат",A289="Дифавтомат"),IF(W289="","",COUNTIFS(Однолинейка!$H$3:$H$3000,U289,Однолинейка!$A$3:$A$3000,Щит_спец)),IF(A289="Аппарат",IF(C289="","",COUNTIFS(Однолинейка!$I$3:$I$3000,C289,Однолинейка!$A$3:$A$3000,Щит_спец)+COUNTIFS(Однолинейка!$J$3:$J$3000,C289,Однолинейка!$A$3:$A$3000,Щит_спец)+COUNTIFS(Однолинейка!$K$3:$K$3000,C289,Однолинейка!$A$3:$A$3000,Щит_спец)),IF(A289="Модуль",IF(C289="","",COUNTIFS(Однолинейка!$AW$3:$AW$3000,"?*",Однолинейка!$AI$3:$AI$3000,C289,Однолинейка!$A$3:$A$3000,Щит_спец)),IF(A289="Клемма",IF(C289="","",IF(C289=$S$7,SUMIFS(Однолинейка!$BW$3:$BW$3000,Однолинейка!$A$3:$A$3000,Щит_спец),IF(C289=$S$8,SUMIFS(Однолинейка!$BX$3:$BX$3000,Однолинейка!$A$3:$A$3000,Щит_спец),""))),""))))</f>
        <v/>
      </c>
      <c r="O289" s="74"/>
      <c r="P289" s="38" t="str">
        <f t="shared" si="36"/>
        <v/>
      </c>
      <c r="U289" s="38" t="str">
        <f t="shared" si="37"/>
        <v/>
      </c>
      <c r="V289" s="38" t="str">
        <f t="shared" si="38"/>
        <v/>
      </c>
      <c r="W289" s="38" t="str">
        <f>IF(AND(U289&lt;&gt;"",OR($S$4="(все)",B289=$S$4),IF($S$4="(все)",COUNTIF($U$4:U289,U289),COUNTIFS($U$4:U289,U289,$B$4:B289,B289))=1),MAX($W$3:W288)+1,"")</f>
        <v/>
      </c>
      <c r="X289" s="38" t="str">
        <f t="shared" si="39"/>
        <v/>
      </c>
      <c r="Y289" s="38" t="str">
        <f>IF(AND(A289="Аппарат",C289&lt;&gt;"",OR($S$5="(все)",B289=$S$5)),MAX($Y$3:Y288)+1,"")</f>
        <v/>
      </c>
      <c r="Z289" s="38" t="str">
        <f t="shared" si="40"/>
        <v/>
      </c>
      <c r="AA289" s="38" t="str">
        <f>IF(AND(A289="Модуль",C289&lt;&gt;"",OR($S$6="(все)",B289=$S$6)),MAX($AA$3:AA288)+1,"")</f>
        <v/>
      </c>
      <c r="AB289" s="38" t="str">
        <f t="shared" si="41"/>
        <v/>
      </c>
      <c r="AC289" s="38" t="str">
        <f>IF(OR(B289="",COUNTIF($B$4:B289,B289)&gt;1),"",MAX($AC$3:AC288)+1)</f>
        <v/>
      </c>
      <c r="AD289" s="38" t="str">
        <f t="shared" si="42"/>
        <v/>
      </c>
      <c r="AE289" s="38" t="str">
        <f t="shared" si="43"/>
        <v/>
      </c>
      <c r="AF289" s="38" t="str">
        <f t="shared" si="44"/>
        <v/>
      </c>
    </row>
    <row r="290" spans="1:32" x14ac:dyDescent="0.3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38" t="str">
        <f>IF(OR(A290="Автомат",A290="Дифавтомат"),IF(W290="","",COUNTIFS(Однолинейка!$H$3:$H$3000,U290,Однолинейка!$A$3:$A$3000,Щит_спец)),IF(A290="Аппарат",IF(C290="","",COUNTIFS(Однолинейка!$I$3:$I$3000,C290,Однолинейка!$A$3:$A$3000,Щит_спец)+COUNTIFS(Однолинейка!$J$3:$J$3000,C290,Однолинейка!$A$3:$A$3000,Щит_спец)+COUNTIFS(Однолинейка!$K$3:$K$3000,C290,Однолинейка!$A$3:$A$3000,Щит_спец)),IF(A290="Модуль",IF(C290="","",COUNTIFS(Однолинейка!$AW$3:$AW$3000,"?*",Однолинейка!$AI$3:$AI$3000,C290,Однолинейка!$A$3:$A$3000,Щит_спец)),IF(A290="Клемма",IF(C290="","",IF(C290=$S$7,SUMIFS(Однолинейка!$BW$3:$BW$3000,Однолинейка!$A$3:$A$3000,Щит_спец),IF(C290=$S$8,SUMIFS(Однолинейка!$BX$3:$BX$3000,Однолинейка!$A$3:$A$3000,Щит_спец),""))),""))))</f>
        <v/>
      </c>
      <c r="O290" s="74"/>
      <c r="P290" s="38" t="str">
        <f t="shared" si="36"/>
        <v/>
      </c>
      <c r="U290" s="38" t="str">
        <f t="shared" si="37"/>
        <v/>
      </c>
      <c r="V290" s="38" t="str">
        <f t="shared" si="38"/>
        <v/>
      </c>
      <c r="W290" s="38" t="str">
        <f>IF(AND(U290&lt;&gt;"",OR($S$4="(все)",B290=$S$4),IF($S$4="(все)",COUNTIF($U$4:U290,U290),COUNTIFS($U$4:U290,U290,$B$4:B290,B290))=1),MAX($W$3:W289)+1,"")</f>
        <v/>
      </c>
      <c r="X290" s="38" t="str">
        <f t="shared" si="39"/>
        <v/>
      </c>
      <c r="Y290" s="38" t="str">
        <f>IF(AND(A290="Аппарат",C290&lt;&gt;"",OR($S$5="(все)",B290=$S$5)),MAX($Y$3:Y289)+1,"")</f>
        <v/>
      </c>
      <c r="Z290" s="38" t="str">
        <f t="shared" si="40"/>
        <v/>
      </c>
      <c r="AA290" s="38" t="str">
        <f>IF(AND(A290="Модуль",C290&lt;&gt;"",OR($S$6="(все)",B290=$S$6)),MAX($AA$3:AA289)+1,"")</f>
        <v/>
      </c>
      <c r="AB290" s="38" t="str">
        <f t="shared" si="41"/>
        <v/>
      </c>
      <c r="AC290" s="38" t="str">
        <f>IF(OR(B290="",COUNTIF($B$4:B290,B290)&gt;1),"",MAX($AC$3:AC289)+1)</f>
        <v/>
      </c>
      <c r="AD290" s="38" t="str">
        <f t="shared" si="42"/>
        <v/>
      </c>
      <c r="AE290" s="38" t="str">
        <f t="shared" si="43"/>
        <v/>
      </c>
      <c r="AF290" s="38" t="str">
        <f t="shared" si="44"/>
        <v/>
      </c>
    </row>
    <row r="291" spans="1:32" x14ac:dyDescent="0.3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38" t="str">
        <f>IF(OR(A291="Автомат",A291="Дифавтомат"),IF(W291="","",COUNTIFS(Однолинейка!$H$3:$H$3000,U291,Однолинейка!$A$3:$A$3000,Щит_спец)),IF(A291="Аппарат",IF(C291="","",COUNTIFS(Однолинейка!$I$3:$I$3000,C291,Однолинейка!$A$3:$A$3000,Щит_спец)+COUNTIFS(Однолинейка!$J$3:$J$3000,C291,Однолинейка!$A$3:$A$3000,Щит_спец)+COUNTIFS(Однолинейка!$K$3:$K$3000,C291,Однолинейка!$A$3:$A$3000,Щит_спец)),IF(A291="Модуль",IF(C291="","",COUNTIFS(Однолинейка!$AW$3:$AW$3000,"?*",Однолинейка!$AI$3:$AI$3000,C291,Однолинейка!$A$3:$A$3000,Щит_спец)),IF(A291="Клемма",IF(C291="","",IF(C291=$S$7,SUMIFS(Однолинейка!$BW$3:$BW$3000,Однолинейка!$A$3:$A$3000,Щит_спец),IF(C291=$S$8,SUMIFS(Однолинейка!$BX$3:$BX$3000,Однолинейка!$A$3:$A$3000,Щит_спец),""))),""))))</f>
        <v/>
      </c>
      <c r="O291" s="74"/>
      <c r="P291" s="38" t="str">
        <f t="shared" si="36"/>
        <v/>
      </c>
      <c r="U291" s="38" t="str">
        <f t="shared" si="37"/>
        <v/>
      </c>
      <c r="V291" s="38" t="str">
        <f t="shared" si="38"/>
        <v/>
      </c>
      <c r="W291" s="38" t="str">
        <f>IF(AND(U291&lt;&gt;"",OR($S$4="(все)",B291=$S$4),IF($S$4="(все)",COUNTIF($U$4:U291,U291),COUNTIFS($U$4:U291,U291,$B$4:B291,B291))=1),MAX($W$3:W290)+1,"")</f>
        <v/>
      </c>
      <c r="X291" s="38" t="str">
        <f t="shared" si="39"/>
        <v/>
      </c>
      <c r="Y291" s="38" t="str">
        <f>IF(AND(A291="Аппарат",C291&lt;&gt;"",OR($S$5="(все)",B291=$S$5)),MAX($Y$3:Y290)+1,"")</f>
        <v/>
      </c>
      <c r="Z291" s="38" t="str">
        <f t="shared" si="40"/>
        <v/>
      </c>
      <c r="AA291" s="38" t="str">
        <f>IF(AND(A291="Модуль",C291&lt;&gt;"",OR($S$6="(все)",B291=$S$6)),MAX($AA$3:AA290)+1,"")</f>
        <v/>
      </c>
      <c r="AB291" s="38" t="str">
        <f t="shared" si="41"/>
        <v/>
      </c>
      <c r="AC291" s="38" t="str">
        <f>IF(OR(B291="",COUNTIF($B$4:B291,B291)&gt;1),"",MAX($AC$3:AC290)+1)</f>
        <v/>
      </c>
      <c r="AD291" s="38" t="str">
        <f t="shared" si="42"/>
        <v/>
      </c>
      <c r="AE291" s="38" t="str">
        <f t="shared" si="43"/>
        <v/>
      </c>
      <c r="AF291" s="38" t="str">
        <f t="shared" si="44"/>
        <v/>
      </c>
    </row>
    <row r="292" spans="1:32" x14ac:dyDescent="0.3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38" t="str">
        <f>IF(OR(A292="Автомат",A292="Дифавтомат"),IF(W292="","",COUNTIFS(Однолинейка!$H$3:$H$3000,U292,Однолинейка!$A$3:$A$3000,Щит_спец)),IF(A292="Аппарат",IF(C292="","",COUNTIFS(Однолинейка!$I$3:$I$3000,C292,Однолинейка!$A$3:$A$3000,Щит_спец)+COUNTIFS(Однолинейка!$J$3:$J$3000,C292,Однолинейка!$A$3:$A$3000,Щит_спец)+COUNTIFS(Однолинейка!$K$3:$K$3000,C292,Однолинейка!$A$3:$A$3000,Щит_спец)),IF(A292="Модуль",IF(C292="","",COUNTIFS(Однолинейка!$AW$3:$AW$3000,"?*",Однолинейка!$AI$3:$AI$3000,C292,Однолинейка!$A$3:$A$3000,Щит_спец)),IF(A292="Клемма",IF(C292="","",IF(C292=$S$7,SUMIFS(Однолинейка!$BW$3:$BW$3000,Однолинейка!$A$3:$A$3000,Щит_спец),IF(C292=$S$8,SUMIFS(Однолинейка!$BX$3:$BX$3000,Однолинейка!$A$3:$A$3000,Щит_спец),""))),""))))</f>
        <v/>
      </c>
      <c r="O292" s="74"/>
      <c r="P292" s="38" t="str">
        <f t="shared" si="36"/>
        <v/>
      </c>
      <c r="U292" s="38" t="str">
        <f t="shared" si="37"/>
        <v/>
      </c>
      <c r="V292" s="38" t="str">
        <f t="shared" si="38"/>
        <v/>
      </c>
      <c r="W292" s="38" t="str">
        <f>IF(AND(U292&lt;&gt;"",OR($S$4="(все)",B292=$S$4),IF($S$4="(все)",COUNTIF($U$4:U292,U292),COUNTIFS($U$4:U292,U292,$B$4:B292,B292))=1),MAX($W$3:W291)+1,"")</f>
        <v/>
      </c>
      <c r="X292" s="38" t="str">
        <f t="shared" si="39"/>
        <v/>
      </c>
      <c r="Y292" s="38" t="str">
        <f>IF(AND(A292="Аппарат",C292&lt;&gt;"",OR($S$5="(все)",B292=$S$5)),MAX($Y$3:Y291)+1,"")</f>
        <v/>
      </c>
      <c r="Z292" s="38" t="str">
        <f t="shared" si="40"/>
        <v/>
      </c>
      <c r="AA292" s="38" t="str">
        <f>IF(AND(A292="Модуль",C292&lt;&gt;"",OR($S$6="(все)",B292=$S$6)),MAX($AA$3:AA291)+1,"")</f>
        <v/>
      </c>
      <c r="AB292" s="38" t="str">
        <f t="shared" si="41"/>
        <v/>
      </c>
      <c r="AC292" s="38" t="str">
        <f>IF(OR(B292="",COUNTIF($B$4:B292,B292)&gt;1),"",MAX($AC$3:AC291)+1)</f>
        <v/>
      </c>
      <c r="AD292" s="38" t="str">
        <f t="shared" si="42"/>
        <v/>
      </c>
      <c r="AE292" s="38" t="str">
        <f t="shared" si="43"/>
        <v/>
      </c>
      <c r="AF292" s="38" t="str">
        <f t="shared" si="44"/>
        <v/>
      </c>
    </row>
    <row r="293" spans="1:32" x14ac:dyDescent="0.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38" t="str">
        <f>IF(OR(A293="Автомат",A293="Дифавтомат"),IF(W293="","",COUNTIFS(Однолинейка!$H$3:$H$3000,U293,Однолинейка!$A$3:$A$3000,Щит_спец)),IF(A293="Аппарат",IF(C293="","",COUNTIFS(Однолинейка!$I$3:$I$3000,C293,Однолинейка!$A$3:$A$3000,Щит_спец)+COUNTIFS(Однолинейка!$J$3:$J$3000,C293,Однолинейка!$A$3:$A$3000,Щит_спец)+COUNTIFS(Однолинейка!$K$3:$K$3000,C293,Однолинейка!$A$3:$A$3000,Щит_спец)),IF(A293="Модуль",IF(C293="","",COUNTIFS(Однолинейка!$AW$3:$AW$3000,"?*",Однолинейка!$AI$3:$AI$3000,C293,Однолинейка!$A$3:$A$3000,Щит_спец)),IF(A293="Клемма",IF(C293="","",IF(C293=$S$7,SUMIFS(Однолинейка!$BW$3:$BW$3000,Однолинейка!$A$3:$A$3000,Щит_спец),IF(C293=$S$8,SUMIFS(Однолинейка!$BX$3:$BX$3000,Однолинейка!$A$3:$A$3000,Щит_спец),""))),""))))</f>
        <v/>
      </c>
      <c r="O293" s="74"/>
      <c r="P293" s="38" t="str">
        <f t="shared" si="36"/>
        <v/>
      </c>
      <c r="U293" s="38" t="str">
        <f t="shared" si="37"/>
        <v/>
      </c>
      <c r="V293" s="38" t="str">
        <f t="shared" si="38"/>
        <v/>
      </c>
      <c r="W293" s="38" t="str">
        <f>IF(AND(U293&lt;&gt;"",OR($S$4="(все)",B293=$S$4),IF($S$4="(все)",COUNTIF($U$4:U293,U293),COUNTIFS($U$4:U293,U293,$B$4:B293,B293))=1),MAX($W$3:W292)+1,"")</f>
        <v/>
      </c>
      <c r="X293" s="38" t="str">
        <f t="shared" si="39"/>
        <v/>
      </c>
      <c r="Y293" s="38" t="str">
        <f>IF(AND(A293="Аппарат",C293&lt;&gt;"",OR($S$5="(все)",B293=$S$5)),MAX($Y$3:Y292)+1,"")</f>
        <v/>
      </c>
      <c r="Z293" s="38" t="str">
        <f t="shared" si="40"/>
        <v/>
      </c>
      <c r="AA293" s="38" t="str">
        <f>IF(AND(A293="Модуль",C293&lt;&gt;"",OR($S$6="(все)",B293=$S$6)),MAX($AA$3:AA292)+1,"")</f>
        <v/>
      </c>
      <c r="AB293" s="38" t="str">
        <f t="shared" si="41"/>
        <v/>
      </c>
      <c r="AC293" s="38" t="str">
        <f>IF(OR(B293="",COUNTIF($B$4:B293,B293)&gt;1),"",MAX($AC$3:AC292)+1)</f>
        <v/>
      </c>
      <c r="AD293" s="38" t="str">
        <f t="shared" si="42"/>
        <v/>
      </c>
      <c r="AE293" s="38" t="str">
        <f t="shared" si="43"/>
        <v/>
      </c>
      <c r="AF293" s="38" t="str">
        <f t="shared" si="44"/>
        <v/>
      </c>
    </row>
    <row r="294" spans="1:32" x14ac:dyDescent="0.3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38" t="str">
        <f>IF(OR(A294="Автомат",A294="Дифавтомат"),IF(W294="","",COUNTIFS(Однолинейка!$H$3:$H$3000,U294,Однолинейка!$A$3:$A$3000,Щит_спец)),IF(A294="Аппарат",IF(C294="","",COUNTIFS(Однолинейка!$I$3:$I$3000,C294,Однолинейка!$A$3:$A$3000,Щит_спец)+COUNTIFS(Однолинейка!$J$3:$J$3000,C294,Однолинейка!$A$3:$A$3000,Щит_спец)+COUNTIFS(Однолинейка!$K$3:$K$3000,C294,Однолинейка!$A$3:$A$3000,Щит_спец)),IF(A294="Модуль",IF(C294="","",COUNTIFS(Однолинейка!$AW$3:$AW$3000,"?*",Однолинейка!$AI$3:$AI$3000,C294,Однолинейка!$A$3:$A$3000,Щит_спец)),IF(A294="Клемма",IF(C294="","",IF(C294=$S$7,SUMIFS(Однолинейка!$BW$3:$BW$3000,Однолинейка!$A$3:$A$3000,Щит_спец),IF(C294=$S$8,SUMIFS(Однолинейка!$BX$3:$BX$3000,Однолинейка!$A$3:$A$3000,Щит_спец),""))),""))))</f>
        <v/>
      </c>
      <c r="O294" s="74"/>
      <c r="P294" s="38" t="str">
        <f t="shared" si="36"/>
        <v/>
      </c>
      <c r="U294" s="38" t="str">
        <f t="shared" si="37"/>
        <v/>
      </c>
      <c r="V294" s="38" t="str">
        <f t="shared" si="38"/>
        <v/>
      </c>
      <c r="W294" s="38" t="str">
        <f>IF(AND(U294&lt;&gt;"",OR($S$4="(все)",B294=$S$4),IF($S$4="(все)",COUNTIF($U$4:U294,U294),COUNTIFS($U$4:U294,U294,$B$4:B294,B294))=1),MAX($W$3:W293)+1,"")</f>
        <v/>
      </c>
      <c r="X294" s="38" t="str">
        <f t="shared" si="39"/>
        <v/>
      </c>
      <c r="Y294" s="38" t="str">
        <f>IF(AND(A294="Аппарат",C294&lt;&gt;"",OR($S$5="(все)",B294=$S$5)),MAX($Y$3:Y293)+1,"")</f>
        <v/>
      </c>
      <c r="Z294" s="38" t="str">
        <f t="shared" si="40"/>
        <v/>
      </c>
      <c r="AA294" s="38" t="str">
        <f>IF(AND(A294="Модуль",C294&lt;&gt;"",OR($S$6="(все)",B294=$S$6)),MAX($AA$3:AA293)+1,"")</f>
        <v/>
      </c>
      <c r="AB294" s="38" t="str">
        <f t="shared" si="41"/>
        <v/>
      </c>
      <c r="AC294" s="38" t="str">
        <f>IF(OR(B294="",COUNTIF($B$4:B294,B294)&gt;1),"",MAX($AC$3:AC293)+1)</f>
        <v/>
      </c>
      <c r="AD294" s="38" t="str">
        <f t="shared" si="42"/>
        <v/>
      </c>
      <c r="AE294" s="38" t="str">
        <f t="shared" si="43"/>
        <v/>
      </c>
      <c r="AF294" s="38" t="str">
        <f t="shared" si="44"/>
        <v/>
      </c>
    </row>
    <row r="295" spans="1:32" x14ac:dyDescent="0.3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38" t="str">
        <f>IF(OR(A295="Автомат",A295="Дифавтомат"),IF(W295="","",COUNTIFS(Однолинейка!$H$3:$H$3000,U295,Однолинейка!$A$3:$A$3000,Щит_спец)),IF(A295="Аппарат",IF(C295="","",COUNTIFS(Однолинейка!$I$3:$I$3000,C295,Однолинейка!$A$3:$A$3000,Щит_спец)+COUNTIFS(Однолинейка!$J$3:$J$3000,C295,Однолинейка!$A$3:$A$3000,Щит_спец)+COUNTIFS(Однолинейка!$K$3:$K$3000,C295,Однолинейка!$A$3:$A$3000,Щит_спец)),IF(A295="Модуль",IF(C295="","",COUNTIFS(Однолинейка!$AW$3:$AW$3000,"?*",Однолинейка!$AI$3:$AI$3000,C295,Однолинейка!$A$3:$A$3000,Щит_спец)),IF(A295="Клемма",IF(C295="","",IF(C295=$S$7,SUMIFS(Однолинейка!$BW$3:$BW$3000,Однолинейка!$A$3:$A$3000,Щит_спец),IF(C295=$S$8,SUMIFS(Однолинейка!$BX$3:$BX$3000,Однолинейка!$A$3:$A$3000,Щит_спец),""))),""))))</f>
        <v/>
      </c>
      <c r="O295" s="74"/>
      <c r="P295" s="38" t="str">
        <f t="shared" si="36"/>
        <v/>
      </c>
      <c r="U295" s="38" t="str">
        <f t="shared" si="37"/>
        <v/>
      </c>
      <c r="V295" s="38" t="str">
        <f t="shared" si="38"/>
        <v/>
      </c>
      <c r="W295" s="38" t="str">
        <f>IF(AND(U295&lt;&gt;"",OR($S$4="(все)",B295=$S$4),IF($S$4="(все)",COUNTIF($U$4:U295,U295),COUNTIFS($U$4:U295,U295,$B$4:B295,B295))=1),MAX($W$3:W294)+1,"")</f>
        <v/>
      </c>
      <c r="X295" s="38" t="str">
        <f t="shared" si="39"/>
        <v/>
      </c>
      <c r="Y295" s="38" t="str">
        <f>IF(AND(A295="Аппарат",C295&lt;&gt;"",OR($S$5="(все)",B295=$S$5)),MAX($Y$3:Y294)+1,"")</f>
        <v/>
      </c>
      <c r="Z295" s="38" t="str">
        <f t="shared" si="40"/>
        <v/>
      </c>
      <c r="AA295" s="38" t="str">
        <f>IF(AND(A295="Модуль",C295&lt;&gt;"",OR($S$6="(все)",B295=$S$6)),MAX($AA$3:AA294)+1,"")</f>
        <v/>
      </c>
      <c r="AB295" s="38" t="str">
        <f t="shared" si="41"/>
        <v/>
      </c>
      <c r="AC295" s="38" t="str">
        <f>IF(OR(B295="",COUNTIF($B$4:B295,B295)&gt;1),"",MAX($AC$3:AC294)+1)</f>
        <v/>
      </c>
      <c r="AD295" s="38" t="str">
        <f t="shared" si="42"/>
        <v/>
      </c>
      <c r="AE295" s="38" t="str">
        <f t="shared" si="43"/>
        <v/>
      </c>
      <c r="AF295" s="38" t="str">
        <f t="shared" si="44"/>
        <v/>
      </c>
    </row>
    <row r="296" spans="1:32" x14ac:dyDescent="0.3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38" t="str">
        <f>IF(OR(A296="Автомат",A296="Дифавтомат"),IF(W296="","",COUNTIFS(Однолинейка!$H$3:$H$3000,U296,Однолинейка!$A$3:$A$3000,Щит_спец)),IF(A296="Аппарат",IF(C296="","",COUNTIFS(Однолинейка!$I$3:$I$3000,C296,Однолинейка!$A$3:$A$3000,Щит_спец)+COUNTIFS(Однолинейка!$J$3:$J$3000,C296,Однолинейка!$A$3:$A$3000,Щит_спец)+COUNTIFS(Однолинейка!$K$3:$K$3000,C296,Однолинейка!$A$3:$A$3000,Щит_спец)),IF(A296="Модуль",IF(C296="","",COUNTIFS(Однолинейка!$AW$3:$AW$3000,"?*",Однолинейка!$AI$3:$AI$3000,C296,Однолинейка!$A$3:$A$3000,Щит_спец)),IF(A296="Клемма",IF(C296="","",IF(C296=$S$7,SUMIFS(Однолинейка!$BW$3:$BW$3000,Однолинейка!$A$3:$A$3000,Щит_спец),IF(C296=$S$8,SUMIFS(Однолинейка!$BX$3:$BX$3000,Однолинейка!$A$3:$A$3000,Щит_спец),""))),""))))</f>
        <v/>
      </c>
      <c r="O296" s="74"/>
      <c r="P296" s="38" t="str">
        <f t="shared" si="36"/>
        <v/>
      </c>
      <c r="U296" s="38" t="str">
        <f t="shared" si="37"/>
        <v/>
      </c>
      <c r="V296" s="38" t="str">
        <f t="shared" si="38"/>
        <v/>
      </c>
      <c r="W296" s="38" t="str">
        <f>IF(AND(U296&lt;&gt;"",OR($S$4="(все)",B296=$S$4),IF($S$4="(все)",COUNTIF($U$4:U296,U296),COUNTIFS($U$4:U296,U296,$B$4:B296,B296))=1),MAX($W$3:W295)+1,"")</f>
        <v/>
      </c>
      <c r="X296" s="38" t="str">
        <f t="shared" si="39"/>
        <v/>
      </c>
      <c r="Y296" s="38" t="str">
        <f>IF(AND(A296="Аппарат",C296&lt;&gt;"",OR($S$5="(все)",B296=$S$5)),MAX($Y$3:Y295)+1,"")</f>
        <v/>
      </c>
      <c r="Z296" s="38" t="str">
        <f t="shared" si="40"/>
        <v/>
      </c>
      <c r="AA296" s="38" t="str">
        <f>IF(AND(A296="Модуль",C296&lt;&gt;"",OR($S$6="(все)",B296=$S$6)),MAX($AA$3:AA295)+1,"")</f>
        <v/>
      </c>
      <c r="AB296" s="38" t="str">
        <f t="shared" si="41"/>
        <v/>
      </c>
      <c r="AC296" s="38" t="str">
        <f>IF(OR(B296="",COUNTIF($B$4:B296,B296)&gt;1),"",MAX($AC$3:AC295)+1)</f>
        <v/>
      </c>
      <c r="AD296" s="38" t="str">
        <f t="shared" si="42"/>
        <v/>
      </c>
      <c r="AE296" s="38" t="str">
        <f t="shared" si="43"/>
        <v/>
      </c>
      <c r="AF296" s="38" t="str">
        <f t="shared" si="44"/>
        <v/>
      </c>
    </row>
    <row r="297" spans="1:32" x14ac:dyDescent="0.3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38" t="str">
        <f>IF(OR(A297="Автомат",A297="Дифавтомат"),IF(W297="","",COUNTIFS(Однолинейка!$H$3:$H$3000,U297,Однолинейка!$A$3:$A$3000,Щит_спец)),IF(A297="Аппарат",IF(C297="","",COUNTIFS(Однолинейка!$I$3:$I$3000,C297,Однолинейка!$A$3:$A$3000,Щит_спец)+COUNTIFS(Однолинейка!$J$3:$J$3000,C297,Однолинейка!$A$3:$A$3000,Щит_спец)+COUNTIFS(Однолинейка!$K$3:$K$3000,C297,Однолинейка!$A$3:$A$3000,Щит_спец)),IF(A297="Модуль",IF(C297="","",COUNTIFS(Однолинейка!$AW$3:$AW$3000,"?*",Однолинейка!$AI$3:$AI$3000,C297,Однолинейка!$A$3:$A$3000,Щит_спец)),IF(A297="Клемма",IF(C297="","",IF(C297=$S$7,SUMIFS(Однолинейка!$BW$3:$BW$3000,Однолинейка!$A$3:$A$3000,Щит_спец),IF(C297=$S$8,SUMIFS(Однолинейка!$BX$3:$BX$3000,Однолинейка!$A$3:$A$3000,Щит_спец),""))),""))))</f>
        <v/>
      </c>
      <c r="O297" s="74"/>
      <c r="P297" s="38" t="str">
        <f t="shared" si="36"/>
        <v/>
      </c>
      <c r="U297" s="38" t="str">
        <f t="shared" si="37"/>
        <v/>
      </c>
      <c r="V297" s="38" t="str">
        <f t="shared" si="38"/>
        <v/>
      </c>
      <c r="W297" s="38" t="str">
        <f>IF(AND(U297&lt;&gt;"",OR($S$4="(все)",B297=$S$4),IF($S$4="(все)",COUNTIF($U$4:U297,U297),COUNTIFS($U$4:U297,U297,$B$4:B297,B297))=1),MAX($W$3:W296)+1,"")</f>
        <v/>
      </c>
      <c r="X297" s="38" t="str">
        <f t="shared" si="39"/>
        <v/>
      </c>
      <c r="Y297" s="38" t="str">
        <f>IF(AND(A297="Аппарат",C297&lt;&gt;"",OR($S$5="(все)",B297=$S$5)),MAX($Y$3:Y296)+1,"")</f>
        <v/>
      </c>
      <c r="Z297" s="38" t="str">
        <f t="shared" si="40"/>
        <v/>
      </c>
      <c r="AA297" s="38" t="str">
        <f>IF(AND(A297="Модуль",C297&lt;&gt;"",OR($S$6="(все)",B297=$S$6)),MAX($AA$3:AA296)+1,"")</f>
        <v/>
      </c>
      <c r="AB297" s="38" t="str">
        <f t="shared" si="41"/>
        <v/>
      </c>
      <c r="AC297" s="38" t="str">
        <f>IF(OR(B297="",COUNTIF($B$4:B297,B297)&gt;1),"",MAX($AC$3:AC296)+1)</f>
        <v/>
      </c>
      <c r="AD297" s="38" t="str">
        <f t="shared" si="42"/>
        <v/>
      </c>
      <c r="AE297" s="38" t="str">
        <f t="shared" si="43"/>
        <v/>
      </c>
      <c r="AF297" s="38" t="str">
        <f t="shared" si="44"/>
        <v/>
      </c>
    </row>
    <row r="298" spans="1:32" x14ac:dyDescent="0.3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38" t="str">
        <f>IF(OR(A298="Автомат",A298="Дифавтомат"),IF(W298="","",COUNTIFS(Однолинейка!$H$3:$H$3000,U298,Однолинейка!$A$3:$A$3000,Щит_спец)),IF(A298="Аппарат",IF(C298="","",COUNTIFS(Однолинейка!$I$3:$I$3000,C298,Однолинейка!$A$3:$A$3000,Щит_спец)+COUNTIFS(Однолинейка!$J$3:$J$3000,C298,Однолинейка!$A$3:$A$3000,Щит_спец)+COUNTIFS(Однолинейка!$K$3:$K$3000,C298,Однолинейка!$A$3:$A$3000,Щит_спец)),IF(A298="Модуль",IF(C298="","",COUNTIFS(Однолинейка!$AW$3:$AW$3000,"?*",Однолинейка!$AI$3:$AI$3000,C298,Однолинейка!$A$3:$A$3000,Щит_спец)),IF(A298="Клемма",IF(C298="","",IF(C298=$S$7,SUMIFS(Однолинейка!$BW$3:$BW$3000,Однолинейка!$A$3:$A$3000,Щит_спец),IF(C298=$S$8,SUMIFS(Однолинейка!$BX$3:$BX$3000,Однолинейка!$A$3:$A$3000,Щит_спец),""))),""))))</f>
        <v/>
      </c>
      <c r="O298" s="74"/>
      <c r="P298" s="38" t="str">
        <f t="shared" si="36"/>
        <v/>
      </c>
      <c r="U298" s="38" t="str">
        <f t="shared" si="37"/>
        <v/>
      </c>
      <c r="V298" s="38" t="str">
        <f t="shared" si="38"/>
        <v/>
      </c>
      <c r="W298" s="38" t="str">
        <f>IF(AND(U298&lt;&gt;"",OR($S$4="(все)",B298=$S$4),IF($S$4="(все)",COUNTIF($U$4:U298,U298),COUNTIFS($U$4:U298,U298,$B$4:B298,B298))=1),MAX($W$3:W297)+1,"")</f>
        <v/>
      </c>
      <c r="X298" s="38" t="str">
        <f t="shared" si="39"/>
        <v/>
      </c>
      <c r="Y298" s="38" t="str">
        <f>IF(AND(A298="Аппарат",C298&lt;&gt;"",OR($S$5="(все)",B298=$S$5)),MAX($Y$3:Y297)+1,"")</f>
        <v/>
      </c>
      <c r="Z298" s="38" t="str">
        <f t="shared" si="40"/>
        <v/>
      </c>
      <c r="AA298" s="38" t="str">
        <f>IF(AND(A298="Модуль",C298&lt;&gt;"",OR($S$6="(все)",B298=$S$6)),MAX($AA$3:AA297)+1,"")</f>
        <v/>
      </c>
      <c r="AB298" s="38" t="str">
        <f t="shared" si="41"/>
        <v/>
      </c>
      <c r="AC298" s="38" t="str">
        <f>IF(OR(B298="",COUNTIF($B$4:B298,B298)&gt;1),"",MAX($AC$3:AC297)+1)</f>
        <v/>
      </c>
      <c r="AD298" s="38" t="str">
        <f t="shared" si="42"/>
        <v/>
      </c>
      <c r="AE298" s="38" t="str">
        <f t="shared" si="43"/>
        <v/>
      </c>
      <c r="AF298" s="38" t="str">
        <f t="shared" si="44"/>
        <v/>
      </c>
    </row>
    <row r="299" spans="1:32" x14ac:dyDescent="0.3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38" t="str">
        <f>IF(OR(A299="Автомат",A299="Дифавтомат"),IF(W299="","",COUNTIFS(Однолинейка!$H$3:$H$3000,U299,Однолинейка!$A$3:$A$3000,Щит_спец)),IF(A299="Аппарат",IF(C299="","",COUNTIFS(Однолинейка!$I$3:$I$3000,C299,Однолинейка!$A$3:$A$3000,Щит_спец)+COUNTIFS(Однолинейка!$J$3:$J$3000,C299,Однолинейка!$A$3:$A$3000,Щит_спец)+COUNTIFS(Однолинейка!$K$3:$K$3000,C299,Однолинейка!$A$3:$A$3000,Щит_спец)),IF(A299="Модуль",IF(C299="","",COUNTIFS(Однолинейка!$AW$3:$AW$3000,"?*",Однолинейка!$AI$3:$AI$3000,C299,Однолинейка!$A$3:$A$3000,Щит_спец)),IF(A299="Клемма",IF(C299="","",IF(C299=$S$7,SUMIFS(Однолинейка!$BW$3:$BW$3000,Однолинейка!$A$3:$A$3000,Щит_спец),IF(C299=$S$8,SUMIFS(Однолинейка!$BX$3:$BX$3000,Однолинейка!$A$3:$A$3000,Щит_спец),""))),""))))</f>
        <v/>
      </c>
      <c r="O299" s="74"/>
      <c r="P299" s="38" t="str">
        <f t="shared" si="36"/>
        <v/>
      </c>
      <c r="U299" s="38" t="str">
        <f t="shared" si="37"/>
        <v/>
      </c>
      <c r="V299" s="38" t="str">
        <f t="shared" si="38"/>
        <v/>
      </c>
      <c r="W299" s="38" t="str">
        <f>IF(AND(U299&lt;&gt;"",OR($S$4="(все)",B299=$S$4),IF($S$4="(все)",COUNTIF($U$4:U299,U299),COUNTIFS($U$4:U299,U299,$B$4:B299,B299))=1),MAX($W$3:W298)+1,"")</f>
        <v/>
      </c>
      <c r="X299" s="38" t="str">
        <f t="shared" si="39"/>
        <v/>
      </c>
      <c r="Y299" s="38" t="str">
        <f>IF(AND(A299="Аппарат",C299&lt;&gt;"",OR($S$5="(все)",B299=$S$5)),MAX($Y$3:Y298)+1,"")</f>
        <v/>
      </c>
      <c r="Z299" s="38" t="str">
        <f t="shared" si="40"/>
        <v/>
      </c>
      <c r="AA299" s="38" t="str">
        <f>IF(AND(A299="Модуль",C299&lt;&gt;"",OR($S$6="(все)",B299=$S$6)),MAX($AA$3:AA298)+1,"")</f>
        <v/>
      </c>
      <c r="AB299" s="38" t="str">
        <f t="shared" si="41"/>
        <v/>
      </c>
      <c r="AC299" s="38" t="str">
        <f>IF(OR(B299="",COUNTIF($B$4:B299,B299)&gt;1),"",MAX($AC$3:AC298)+1)</f>
        <v/>
      </c>
      <c r="AD299" s="38" t="str">
        <f t="shared" si="42"/>
        <v/>
      </c>
      <c r="AE299" s="38" t="str">
        <f t="shared" si="43"/>
        <v/>
      </c>
      <c r="AF299" s="38" t="str">
        <f t="shared" si="44"/>
        <v/>
      </c>
    </row>
    <row r="300" spans="1:32" x14ac:dyDescent="0.3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38" t="str">
        <f>IF(OR(A300="Автомат",A300="Дифавтомат"),IF(W300="","",COUNTIFS(Однолинейка!$H$3:$H$3000,U300,Однолинейка!$A$3:$A$3000,Щит_спец)),IF(A300="Аппарат",IF(C300="","",COUNTIFS(Однолинейка!$I$3:$I$3000,C300,Однолинейка!$A$3:$A$3000,Щит_спец)+COUNTIFS(Однолинейка!$J$3:$J$3000,C300,Однолинейка!$A$3:$A$3000,Щит_спец)+COUNTIFS(Однолинейка!$K$3:$K$3000,C300,Однолинейка!$A$3:$A$3000,Щит_спец)),IF(A300="Модуль",IF(C300="","",COUNTIFS(Однолинейка!$AW$3:$AW$3000,"?*",Однолинейка!$AI$3:$AI$3000,C300,Однолинейка!$A$3:$A$3000,Щит_спец)),IF(A300="Клемма",IF(C300="","",IF(C300=$S$7,SUMIFS(Однолинейка!$BW$3:$BW$3000,Однолинейка!$A$3:$A$3000,Щит_спец),IF(C300=$S$8,SUMIFS(Однолинейка!$BX$3:$BX$3000,Однолинейка!$A$3:$A$3000,Щит_спец),""))),""))))</f>
        <v/>
      </c>
      <c r="O300" s="74"/>
      <c r="P300" s="38" t="str">
        <f t="shared" si="36"/>
        <v/>
      </c>
      <c r="U300" s="38" t="str">
        <f t="shared" si="37"/>
        <v/>
      </c>
      <c r="V300" s="38" t="str">
        <f t="shared" si="38"/>
        <v/>
      </c>
      <c r="W300" s="38" t="str">
        <f>IF(AND(U300&lt;&gt;"",OR($S$4="(все)",B300=$S$4),IF($S$4="(все)",COUNTIF($U$4:U300,U300),COUNTIFS($U$4:U300,U300,$B$4:B300,B300))=1),MAX($W$3:W299)+1,"")</f>
        <v/>
      </c>
      <c r="X300" s="38" t="str">
        <f t="shared" si="39"/>
        <v/>
      </c>
      <c r="Y300" s="38" t="str">
        <f>IF(AND(A300="Аппарат",C300&lt;&gt;"",OR($S$5="(все)",B300=$S$5)),MAX($Y$3:Y299)+1,"")</f>
        <v/>
      </c>
      <c r="Z300" s="38" t="str">
        <f t="shared" si="40"/>
        <v/>
      </c>
      <c r="AA300" s="38" t="str">
        <f>IF(AND(A300="Модуль",C300&lt;&gt;"",OR($S$6="(все)",B300=$S$6)),MAX($AA$3:AA299)+1,"")</f>
        <v/>
      </c>
      <c r="AB300" s="38" t="str">
        <f t="shared" si="41"/>
        <v/>
      </c>
      <c r="AC300" s="38" t="str">
        <f>IF(OR(B300="",COUNTIF($B$4:B300,B300)&gt;1),"",MAX($AC$3:AC299)+1)</f>
        <v/>
      </c>
      <c r="AD300" s="38" t="str">
        <f t="shared" si="42"/>
        <v/>
      </c>
      <c r="AE300" s="38" t="str">
        <f t="shared" si="43"/>
        <v/>
      </c>
      <c r="AF300" s="38" t="str">
        <f t="shared" si="44"/>
        <v/>
      </c>
    </row>
    <row r="301" spans="1:32" x14ac:dyDescent="0.3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38" t="str">
        <f>IF(OR(A301="Автомат",A301="Дифавтомат"),IF(W301="","",COUNTIFS(Однолинейка!$H$3:$H$3000,U301,Однолинейка!$A$3:$A$3000,Щит_спец)),IF(A301="Аппарат",IF(C301="","",COUNTIFS(Однолинейка!$I$3:$I$3000,C301,Однолинейка!$A$3:$A$3000,Щит_спец)+COUNTIFS(Однолинейка!$J$3:$J$3000,C301,Однолинейка!$A$3:$A$3000,Щит_спец)+COUNTIFS(Однолинейка!$K$3:$K$3000,C301,Однолинейка!$A$3:$A$3000,Щит_спец)),IF(A301="Модуль",IF(C301="","",COUNTIFS(Однолинейка!$AW$3:$AW$3000,"?*",Однолинейка!$AI$3:$AI$3000,C301,Однолинейка!$A$3:$A$3000,Щит_спец)),IF(A301="Клемма",IF(C301="","",IF(C301=$S$7,SUMIFS(Однолинейка!$BW$3:$BW$3000,Однолинейка!$A$3:$A$3000,Щит_спец),IF(C301=$S$8,SUMIFS(Однолинейка!$BX$3:$BX$3000,Однолинейка!$A$3:$A$3000,Щит_спец),""))),""))))</f>
        <v/>
      </c>
      <c r="O301" s="74"/>
      <c r="P301" s="38" t="str">
        <f t="shared" si="36"/>
        <v/>
      </c>
      <c r="U301" s="38" t="str">
        <f t="shared" si="37"/>
        <v/>
      </c>
      <c r="V301" s="38" t="str">
        <f t="shared" si="38"/>
        <v/>
      </c>
      <c r="W301" s="38" t="str">
        <f>IF(AND(U301&lt;&gt;"",OR($S$4="(все)",B301=$S$4),IF($S$4="(все)",COUNTIF($U$4:U301,U301),COUNTIFS($U$4:U301,U301,$B$4:B301,B301))=1),MAX($W$3:W300)+1,"")</f>
        <v/>
      </c>
      <c r="X301" s="38" t="str">
        <f t="shared" si="39"/>
        <v/>
      </c>
      <c r="Y301" s="38" t="str">
        <f>IF(AND(A301="Аппарат",C301&lt;&gt;"",OR($S$5="(все)",B301=$S$5)),MAX($Y$3:Y300)+1,"")</f>
        <v/>
      </c>
      <c r="Z301" s="38" t="str">
        <f t="shared" si="40"/>
        <v/>
      </c>
      <c r="AA301" s="38" t="str">
        <f>IF(AND(A301="Модуль",C301&lt;&gt;"",OR($S$6="(все)",B301=$S$6)),MAX($AA$3:AA300)+1,"")</f>
        <v/>
      </c>
      <c r="AB301" s="38" t="str">
        <f t="shared" si="41"/>
        <v/>
      </c>
      <c r="AC301" s="38" t="str">
        <f>IF(OR(B301="",COUNTIF($B$4:B301,B301)&gt;1),"",MAX($AC$3:AC300)+1)</f>
        <v/>
      </c>
      <c r="AD301" s="38" t="str">
        <f t="shared" si="42"/>
        <v/>
      </c>
      <c r="AE301" s="38" t="str">
        <f t="shared" si="43"/>
        <v/>
      </c>
      <c r="AF301" s="38" t="str">
        <f t="shared" si="44"/>
        <v/>
      </c>
    </row>
    <row r="302" spans="1:32" x14ac:dyDescent="0.3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38" t="str">
        <f>IF(OR(A302="Автомат",A302="Дифавтомат"),IF(W302="","",COUNTIFS(Однолинейка!$H$3:$H$3000,U302,Однолинейка!$A$3:$A$3000,Щит_спец)),IF(A302="Аппарат",IF(C302="","",COUNTIFS(Однолинейка!$I$3:$I$3000,C302,Однолинейка!$A$3:$A$3000,Щит_спец)+COUNTIFS(Однолинейка!$J$3:$J$3000,C302,Однолинейка!$A$3:$A$3000,Щит_спец)+COUNTIFS(Однолинейка!$K$3:$K$3000,C302,Однолинейка!$A$3:$A$3000,Щит_спец)),IF(A302="Модуль",IF(C302="","",COUNTIFS(Однолинейка!$AW$3:$AW$3000,"?*",Однолинейка!$AI$3:$AI$3000,C302,Однолинейка!$A$3:$A$3000,Щит_спец)),IF(A302="Клемма",IF(C302="","",IF(C302=$S$7,SUMIFS(Однолинейка!$BW$3:$BW$3000,Однолинейка!$A$3:$A$3000,Щит_спец),IF(C302=$S$8,SUMIFS(Однолинейка!$BX$3:$BX$3000,Однолинейка!$A$3:$A$3000,Щит_спец),""))),""))))</f>
        <v/>
      </c>
      <c r="O302" s="74"/>
      <c r="P302" s="38" t="str">
        <f t="shared" si="36"/>
        <v/>
      </c>
      <c r="U302" s="38" t="str">
        <f t="shared" si="37"/>
        <v/>
      </c>
      <c r="V302" s="38" t="str">
        <f t="shared" si="38"/>
        <v/>
      </c>
      <c r="W302" s="38" t="str">
        <f>IF(AND(U302&lt;&gt;"",OR($S$4="(все)",B302=$S$4),IF($S$4="(все)",COUNTIF($U$4:U302,U302),COUNTIFS($U$4:U302,U302,$B$4:B302,B302))=1),MAX($W$3:W301)+1,"")</f>
        <v/>
      </c>
      <c r="X302" s="38" t="str">
        <f t="shared" si="39"/>
        <v/>
      </c>
      <c r="Y302" s="38" t="str">
        <f>IF(AND(A302="Аппарат",C302&lt;&gt;"",OR($S$5="(все)",B302=$S$5)),MAX($Y$3:Y301)+1,"")</f>
        <v/>
      </c>
      <c r="Z302" s="38" t="str">
        <f t="shared" si="40"/>
        <v/>
      </c>
      <c r="AA302" s="38" t="str">
        <f>IF(AND(A302="Модуль",C302&lt;&gt;"",OR($S$6="(все)",B302=$S$6)),MAX($AA$3:AA301)+1,"")</f>
        <v/>
      </c>
      <c r="AB302" s="38" t="str">
        <f t="shared" si="41"/>
        <v/>
      </c>
      <c r="AC302" s="38" t="str">
        <f>IF(OR(B302="",COUNTIF($B$4:B302,B302)&gt;1),"",MAX($AC$3:AC301)+1)</f>
        <v/>
      </c>
      <c r="AD302" s="38" t="str">
        <f t="shared" si="42"/>
        <v/>
      </c>
      <c r="AE302" s="38" t="str">
        <f t="shared" si="43"/>
        <v/>
      </c>
      <c r="AF302" s="38" t="str">
        <f t="shared" si="44"/>
        <v/>
      </c>
    </row>
    <row r="303" spans="1:32" x14ac:dyDescent="0.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38" t="str">
        <f>IF(OR(A303="Автомат",A303="Дифавтомат"),IF(W303="","",COUNTIFS(Однолинейка!$H$3:$H$3000,U303,Однолинейка!$A$3:$A$3000,Щит_спец)),IF(A303="Аппарат",IF(C303="","",COUNTIFS(Однолинейка!$I$3:$I$3000,C303,Однолинейка!$A$3:$A$3000,Щит_спец)+COUNTIFS(Однолинейка!$J$3:$J$3000,C303,Однолинейка!$A$3:$A$3000,Щит_спец)+COUNTIFS(Однолинейка!$K$3:$K$3000,C303,Однолинейка!$A$3:$A$3000,Щит_спец)),IF(A303="Модуль",IF(C303="","",COUNTIFS(Однолинейка!$AW$3:$AW$3000,"?*",Однолинейка!$AI$3:$AI$3000,C303,Однолинейка!$A$3:$A$3000,Щит_спец)),IF(A303="Клемма",IF(C303="","",IF(C303=$S$7,SUMIFS(Однолинейка!$BW$3:$BW$3000,Однолинейка!$A$3:$A$3000,Щит_спец),IF(C303=$S$8,SUMIFS(Однолинейка!$BX$3:$BX$3000,Однолинейка!$A$3:$A$3000,Щит_спец),""))),""))))</f>
        <v/>
      </c>
      <c r="O303" s="74"/>
      <c r="P303" s="38" t="str">
        <f t="shared" si="36"/>
        <v/>
      </c>
      <c r="U303" s="38" t="str">
        <f t="shared" si="37"/>
        <v/>
      </c>
      <c r="V303" s="38" t="str">
        <f t="shared" si="38"/>
        <v/>
      </c>
      <c r="W303" s="38" t="str">
        <f>IF(AND(U303&lt;&gt;"",OR($S$4="(все)",B303=$S$4),IF($S$4="(все)",COUNTIF($U$4:U303,U303),COUNTIFS($U$4:U303,U303,$B$4:B303,B303))=1),MAX($W$3:W302)+1,"")</f>
        <v/>
      </c>
      <c r="X303" s="38" t="str">
        <f t="shared" si="39"/>
        <v/>
      </c>
      <c r="Y303" s="38" t="str">
        <f>IF(AND(A303="Аппарат",C303&lt;&gt;"",OR($S$5="(все)",B303=$S$5)),MAX($Y$3:Y302)+1,"")</f>
        <v/>
      </c>
      <c r="Z303" s="38" t="str">
        <f t="shared" si="40"/>
        <v/>
      </c>
      <c r="AA303" s="38" t="str">
        <f>IF(AND(A303="Модуль",C303&lt;&gt;"",OR($S$6="(все)",B303=$S$6)),MAX($AA$3:AA302)+1,"")</f>
        <v/>
      </c>
      <c r="AB303" s="38" t="str">
        <f t="shared" si="41"/>
        <v/>
      </c>
      <c r="AC303" s="38" t="str">
        <f>IF(OR(B303="",COUNTIF($B$4:B303,B303)&gt;1),"",MAX($AC$3:AC302)+1)</f>
        <v/>
      </c>
      <c r="AD303" s="38" t="str">
        <f t="shared" si="42"/>
        <v/>
      </c>
      <c r="AE303" s="38" t="str">
        <f t="shared" si="43"/>
        <v/>
      </c>
      <c r="AF303" s="38" t="str">
        <f t="shared" si="44"/>
        <v/>
      </c>
    </row>
    <row r="304" spans="1:32" x14ac:dyDescent="0.3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38" t="str">
        <f>IF(OR(A304="Автомат",A304="Дифавтомат"),IF(W304="","",COUNTIFS(Однолинейка!$H$3:$H$3000,U304,Однолинейка!$A$3:$A$3000,Щит_спец)),IF(A304="Аппарат",IF(C304="","",COUNTIFS(Однолинейка!$I$3:$I$3000,C304,Однолинейка!$A$3:$A$3000,Щит_спец)+COUNTIFS(Однолинейка!$J$3:$J$3000,C304,Однолинейка!$A$3:$A$3000,Щит_спец)+COUNTIFS(Однолинейка!$K$3:$K$3000,C304,Однолинейка!$A$3:$A$3000,Щит_спец)),IF(A304="Модуль",IF(C304="","",COUNTIFS(Однолинейка!$AW$3:$AW$3000,"?*",Однолинейка!$AI$3:$AI$3000,C304,Однолинейка!$A$3:$A$3000,Щит_спец)),IF(A304="Клемма",IF(C304="","",IF(C304=$S$7,SUMIFS(Однолинейка!$BW$3:$BW$3000,Однолинейка!$A$3:$A$3000,Щит_спец),IF(C304=$S$8,SUMIFS(Однолинейка!$BX$3:$BX$3000,Однолинейка!$A$3:$A$3000,Щит_спец),""))),""))))</f>
        <v/>
      </c>
      <c r="O304" s="74"/>
      <c r="P304" s="38" t="str">
        <f t="shared" si="36"/>
        <v/>
      </c>
      <c r="U304" s="38" t="str">
        <f t="shared" si="37"/>
        <v/>
      </c>
      <c r="V304" s="38" t="str">
        <f t="shared" si="38"/>
        <v/>
      </c>
      <c r="W304" s="38" t="str">
        <f>IF(AND(U304&lt;&gt;"",OR($S$4="(все)",B304=$S$4),IF($S$4="(все)",COUNTIF($U$4:U304,U304),COUNTIFS($U$4:U304,U304,$B$4:B304,B304))=1),MAX($W$3:W303)+1,"")</f>
        <v/>
      </c>
      <c r="X304" s="38" t="str">
        <f t="shared" si="39"/>
        <v/>
      </c>
      <c r="Y304" s="38" t="str">
        <f>IF(AND(A304="Аппарат",C304&lt;&gt;"",OR($S$5="(все)",B304=$S$5)),MAX($Y$3:Y303)+1,"")</f>
        <v/>
      </c>
      <c r="Z304" s="38" t="str">
        <f t="shared" si="40"/>
        <v/>
      </c>
      <c r="AA304" s="38" t="str">
        <f>IF(AND(A304="Модуль",C304&lt;&gt;"",OR($S$6="(все)",B304=$S$6)),MAX($AA$3:AA303)+1,"")</f>
        <v/>
      </c>
      <c r="AB304" s="38" t="str">
        <f t="shared" si="41"/>
        <v/>
      </c>
      <c r="AC304" s="38" t="str">
        <f>IF(OR(B304="",COUNTIF($B$4:B304,B304)&gt;1),"",MAX($AC$3:AC303)+1)</f>
        <v/>
      </c>
      <c r="AD304" s="38" t="str">
        <f t="shared" si="42"/>
        <v/>
      </c>
      <c r="AE304" s="38" t="str">
        <f t="shared" si="43"/>
        <v/>
      </c>
      <c r="AF304" s="38" t="str">
        <f t="shared" si="44"/>
        <v/>
      </c>
    </row>
    <row r="305" spans="1:32" x14ac:dyDescent="0.3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38" t="str">
        <f>IF(OR(A305="Автомат",A305="Дифавтомат"),IF(W305="","",COUNTIFS(Однолинейка!$H$3:$H$3000,U305,Однолинейка!$A$3:$A$3000,Щит_спец)),IF(A305="Аппарат",IF(C305="","",COUNTIFS(Однолинейка!$I$3:$I$3000,C305,Однолинейка!$A$3:$A$3000,Щит_спец)+COUNTIFS(Однолинейка!$J$3:$J$3000,C305,Однолинейка!$A$3:$A$3000,Щит_спец)+COUNTIFS(Однолинейка!$K$3:$K$3000,C305,Однолинейка!$A$3:$A$3000,Щит_спец)),IF(A305="Модуль",IF(C305="","",COUNTIFS(Однолинейка!$AW$3:$AW$3000,"?*",Однолинейка!$AI$3:$AI$3000,C305,Однолинейка!$A$3:$A$3000,Щит_спец)),IF(A305="Клемма",IF(C305="","",IF(C305=$S$7,SUMIFS(Однолинейка!$BW$3:$BW$3000,Однолинейка!$A$3:$A$3000,Щит_спец),IF(C305=$S$8,SUMIFS(Однолинейка!$BX$3:$BX$3000,Однолинейка!$A$3:$A$3000,Щит_спец),""))),""))))</f>
        <v/>
      </c>
      <c r="O305" s="74"/>
      <c r="P305" s="38" t="str">
        <f t="shared" si="36"/>
        <v/>
      </c>
      <c r="U305" s="38" t="str">
        <f t="shared" si="37"/>
        <v/>
      </c>
      <c r="V305" s="38" t="str">
        <f t="shared" si="38"/>
        <v/>
      </c>
      <c r="W305" s="38" t="str">
        <f>IF(AND(U305&lt;&gt;"",OR($S$4="(все)",B305=$S$4),IF($S$4="(все)",COUNTIF($U$4:U305,U305),COUNTIFS($U$4:U305,U305,$B$4:B305,B305))=1),MAX($W$3:W304)+1,"")</f>
        <v/>
      </c>
      <c r="X305" s="38" t="str">
        <f t="shared" si="39"/>
        <v/>
      </c>
      <c r="Y305" s="38" t="str">
        <f>IF(AND(A305="Аппарат",C305&lt;&gt;"",OR($S$5="(все)",B305=$S$5)),MAX($Y$3:Y304)+1,"")</f>
        <v/>
      </c>
      <c r="Z305" s="38" t="str">
        <f t="shared" si="40"/>
        <v/>
      </c>
      <c r="AA305" s="38" t="str">
        <f>IF(AND(A305="Модуль",C305&lt;&gt;"",OR($S$6="(все)",B305=$S$6)),MAX($AA$3:AA304)+1,"")</f>
        <v/>
      </c>
      <c r="AB305" s="38" t="str">
        <f t="shared" si="41"/>
        <v/>
      </c>
      <c r="AC305" s="38" t="str">
        <f>IF(OR(B305="",COUNTIF($B$4:B305,B305)&gt;1),"",MAX($AC$3:AC304)+1)</f>
        <v/>
      </c>
      <c r="AD305" s="38" t="str">
        <f t="shared" si="42"/>
        <v/>
      </c>
      <c r="AE305" s="38" t="str">
        <f t="shared" si="43"/>
        <v/>
      </c>
      <c r="AF305" s="38" t="str">
        <f t="shared" si="44"/>
        <v/>
      </c>
    </row>
    <row r="306" spans="1:32" x14ac:dyDescent="0.3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38" t="str">
        <f>IF(OR(A306="Автомат",A306="Дифавтомат"),IF(W306="","",COUNTIFS(Однолинейка!$H$3:$H$3000,U306,Однолинейка!$A$3:$A$3000,Щит_спец)),IF(A306="Аппарат",IF(C306="","",COUNTIFS(Однолинейка!$I$3:$I$3000,C306,Однолинейка!$A$3:$A$3000,Щит_спец)+COUNTIFS(Однолинейка!$J$3:$J$3000,C306,Однолинейка!$A$3:$A$3000,Щит_спец)+COUNTIFS(Однолинейка!$K$3:$K$3000,C306,Однолинейка!$A$3:$A$3000,Щит_спец)),IF(A306="Модуль",IF(C306="","",COUNTIFS(Однолинейка!$AW$3:$AW$3000,"?*",Однолинейка!$AI$3:$AI$3000,C306,Однолинейка!$A$3:$A$3000,Щит_спец)),IF(A306="Клемма",IF(C306="","",IF(C306=$S$7,SUMIFS(Однолинейка!$BW$3:$BW$3000,Однолинейка!$A$3:$A$3000,Щит_спец),IF(C306=$S$8,SUMIFS(Однолинейка!$BX$3:$BX$3000,Однолинейка!$A$3:$A$3000,Щит_спец),""))),""))))</f>
        <v/>
      </c>
      <c r="O306" s="74"/>
      <c r="P306" s="38" t="str">
        <f t="shared" si="36"/>
        <v/>
      </c>
      <c r="U306" s="38" t="str">
        <f t="shared" si="37"/>
        <v/>
      </c>
      <c r="V306" s="38" t="str">
        <f t="shared" si="38"/>
        <v/>
      </c>
      <c r="W306" s="38" t="str">
        <f>IF(AND(U306&lt;&gt;"",OR($S$4="(все)",B306=$S$4),IF($S$4="(все)",COUNTIF($U$4:U306,U306),COUNTIFS($U$4:U306,U306,$B$4:B306,B306))=1),MAX($W$3:W305)+1,"")</f>
        <v/>
      </c>
      <c r="X306" s="38" t="str">
        <f t="shared" si="39"/>
        <v/>
      </c>
      <c r="Y306" s="38" t="str">
        <f>IF(AND(A306="Аппарат",C306&lt;&gt;"",OR($S$5="(все)",B306=$S$5)),MAX($Y$3:Y305)+1,"")</f>
        <v/>
      </c>
      <c r="Z306" s="38" t="str">
        <f t="shared" si="40"/>
        <v/>
      </c>
      <c r="AA306" s="38" t="str">
        <f>IF(AND(A306="Модуль",C306&lt;&gt;"",OR($S$6="(все)",B306=$S$6)),MAX($AA$3:AA305)+1,"")</f>
        <v/>
      </c>
      <c r="AB306" s="38" t="str">
        <f t="shared" si="41"/>
        <v/>
      </c>
      <c r="AC306" s="38" t="str">
        <f>IF(OR(B306="",COUNTIF($B$4:B306,B306)&gt;1),"",MAX($AC$3:AC305)+1)</f>
        <v/>
      </c>
      <c r="AD306" s="38" t="str">
        <f t="shared" si="42"/>
        <v/>
      </c>
      <c r="AE306" s="38" t="str">
        <f t="shared" si="43"/>
        <v/>
      </c>
      <c r="AF306" s="38" t="str">
        <f t="shared" si="44"/>
        <v/>
      </c>
    </row>
    <row r="307" spans="1:32" x14ac:dyDescent="0.3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38" t="str">
        <f>IF(OR(A307="Автомат",A307="Дифавтомат"),IF(W307="","",COUNTIFS(Однолинейка!$H$3:$H$3000,U307,Однолинейка!$A$3:$A$3000,Щит_спец)),IF(A307="Аппарат",IF(C307="","",COUNTIFS(Однолинейка!$I$3:$I$3000,C307,Однолинейка!$A$3:$A$3000,Щит_спец)+COUNTIFS(Однолинейка!$J$3:$J$3000,C307,Однолинейка!$A$3:$A$3000,Щит_спец)+COUNTIFS(Однолинейка!$K$3:$K$3000,C307,Однолинейка!$A$3:$A$3000,Щит_спец)),IF(A307="Модуль",IF(C307="","",COUNTIFS(Однолинейка!$AW$3:$AW$3000,"?*",Однолинейка!$AI$3:$AI$3000,C307,Однолинейка!$A$3:$A$3000,Щит_спец)),IF(A307="Клемма",IF(C307="","",IF(C307=$S$7,SUMIFS(Однолинейка!$BW$3:$BW$3000,Однолинейка!$A$3:$A$3000,Щит_спец),IF(C307=$S$8,SUMIFS(Однолинейка!$BX$3:$BX$3000,Однолинейка!$A$3:$A$3000,Щит_спец),""))),""))))</f>
        <v/>
      </c>
      <c r="O307" s="74"/>
      <c r="P307" s="38" t="str">
        <f t="shared" si="36"/>
        <v/>
      </c>
      <c r="U307" s="38" t="str">
        <f t="shared" si="37"/>
        <v/>
      </c>
      <c r="V307" s="38" t="str">
        <f t="shared" si="38"/>
        <v/>
      </c>
      <c r="W307" s="38" t="str">
        <f>IF(AND(U307&lt;&gt;"",OR($S$4="(все)",B307=$S$4),IF($S$4="(все)",COUNTIF($U$4:U307,U307),COUNTIFS($U$4:U307,U307,$B$4:B307,B307))=1),MAX($W$3:W306)+1,"")</f>
        <v/>
      </c>
      <c r="X307" s="38" t="str">
        <f t="shared" si="39"/>
        <v/>
      </c>
      <c r="Y307" s="38" t="str">
        <f>IF(AND(A307="Аппарат",C307&lt;&gt;"",OR($S$5="(все)",B307=$S$5)),MAX($Y$3:Y306)+1,"")</f>
        <v/>
      </c>
      <c r="Z307" s="38" t="str">
        <f t="shared" si="40"/>
        <v/>
      </c>
      <c r="AA307" s="38" t="str">
        <f>IF(AND(A307="Модуль",C307&lt;&gt;"",OR($S$6="(все)",B307=$S$6)),MAX($AA$3:AA306)+1,"")</f>
        <v/>
      </c>
      <c r="AB307" s="38" t="str">
        <f t="shared" si="41"/>
        <v/>
      </c>
      <c r="AC307" s="38" t="str">
        <f>IF(OR(B307="",COUNTIF($B$4:B307,B307)&gt;1),"",MAX($AC$3:AC306)+1)</f>
        <v/>
      </c>
      <c r="AD307" s="38" t="str">
        <f t="shared" si="42"/>
        <v/>
      </c>
      <c r="AE307" s="38" t="str">
        <f t="shared" si="43"/>
        <v/>
      </c>
      <c r="AF307" s="38" t="str">
        <f t="shared" si="44"/>
        <v/>
      </c>
    </row>
    <row r="308" spans="1:32" x14ac:dyDescent="0.3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38" t="str">
        <f>IF(OR(A308="Автомат",A308="Дифавтомат"),IF(W308="","",COUNTIFS(Однолинейка!$H$3:$H$3000,U308,Однолинейка!$A$3:$A$3000,Щит_спец)),IF(A308="Аппарат",IF(C308="","",COUNTIFS(Однолинейка!$I$3:$I$3000,C308,Однолинейка!$A$3:$A$3000,Щит_спец)+COUNTIFS(Однолинейка!$J$3:$J$3000,C308,Однолинейка!$A$3:$A$3000,Щит_спец)+COUNTIFS(Однолинейка!$K$3:$K$3000,C308,Однолинейка!$A$3:$A$3000,Щит_спец)),IF(A308="Модуль",IF(C308="","",COUNTIFS(Однолинейка!$AW$3:$AW$3000,"?*",Однолинейка!$AI$3:$AI$3000,C308,Однолинейка!$A$3:$A$3000,Щит_спец)),IF(A308="Клемма",IF(C308="","",IF(C308=$S$7,SUMIFS(Однолинейка!$BW$3:$BW$3000,Однолинейка!$A$3:$A$3000,Щит_спец),IF(C308=$S$8,SUMIFS(Однолинейка!$BX$3:$BX$3000,Однолинейка!$A$3:$A$3000,Щит_спец),""))),""))))</f>
        <v/>
      </c>
      <c r="O308" s="74"/>
      <c r="P308" s="38" t="str">
        <f t="shared" si="36"/>
        <v/>
      </c>
      <c r="U308" s="38" t="str">
        <f t="shared" si="37"/>
        <v/>
      </c>
      <c r="V308" s="38" t="str">
        <f t="shared" si="38"/>
        <v/>
      </c>
      <c r="W308" s="38" t="str">
        <f>IF(AND(U308&lt;&gt;"",OR($S$4="(все)",B308=$S$4),IF($S$4="(все)",COUNTIF($U$4:U308,U308),COUNTIFS($U$4:U308,U308,$B$4:B308,B308))=1),MAX($W$3:W307)+1,"")</f>
        <v/>
      </c>
      <c r="X308" s="38" t="str">
        <f t="shared" si="39"/>
        <v/>
      </c>
      <c r="Y308" s="38" t="str">
        <f>IF(AND(A308="Аппарат",C308&lt;&gt;"",OR($S$5="(все)",B308=$S$5)),MAX($Y$3:Y307)+1,"")</f>
        <v/>
      </c>
      <c r="Z308" s="38" t="str">
        <f t="shared" si="40"/>
        <v/>
      </c>
      <c r="AA308" s="38" t="str">
        <f>IF(AND(A308="Модуль",C308&lt;&gt;"",OR($S$6="(все)",B308=$S$6)),MAX($AA$3:AA307)+1,"")</f>
        <v/>
      </c>
      <c r="AB308" s="38" t="str">
        <f t="shared" si="41"/>
        <v/>
      </c>
      <c r="AC308" s="38" t="str">
        <f>IF(OR(B308="",COUNTIF($B$4:B308,B308)&gt;1),"",MAX($AC$3:AC307)+1)</f>
        <v/>
      </c>
      <c r="AD308" s="38" t="str">
        <f t="shared" si="42"/>
        <v/>
      </c>
      <c r="AE308" s="38" t="str">
        <f t="shared" si="43"/>
        <v/>
      </c>
      <c r="AF308" s="38" t="str">
        <f t="shared" si="44"/>
        <v/>
      </c>
    </row>
    <row r="309" spans="1:32" x14ac:dyDescent="0.3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38" t="str">
        <f>IF(OR(A309="Автомат",A309="Дифавтомат"),IF(W309="","",COUNTIFS(Однолинейка!$H$3:$H$3000,U309,Однолинейка!$A$3:$A$3000,Щит_спец)),IF(A309="Аппарат",IF(C309="","",COUNTIFS(Однолинейка!$I$3:$I$3000,C309,Однолинейка!$A$3:$A$3000,Щит_спец)+COUNTIFS(Однолинейка!$J$3:$J$3000,C309,Однолинейка!$A$3:$A$3000,Щит_спец)+COUNTIFS(Однолинейка!$K$3:$K$3000,C309,Однолинейка!$A$3:$A$3000,Щит_спец)),IF(A309="Модуль",IF(C309="","",COUNTIFS(Однолинейка!$AW$3:$AW$3000,"?*",Однолинейка!$AI$3:$AI$3000,C309,Однолинейка!$A$3:$A$3000,Щит_спец)),IF(A309="Клемма",IF(C309="","",IF(C309=$S$7,SUMIFS(Однолинейка!$BW$3:$BW$3000,Однолинейка!$A$3:$A$3000,Щит_спец),IF(C309=$S$8,SUMIFS(Однолинейка!$BX$3:$BX$3000,Однолинейка!$A$3:$A$3000,Щит_спец),""))),""))))</f>
        <v/>
      </c>
      <c r="O309" s="74"/>
      <c r="P309" s="38" t="str">
        <f t="shared" si="36"/>
        <v/>
      </c>
      <c r="U309" s="38" t="str">
        <f t="shared" si="37"/>
        <v/>
      </c>
      <c r="V309" s="38" t="str">
        <f t="shared" si="38"/>
        <v/>
      </c>
      <c r="W309" s="38" t="str">
        <f>IF(AND(U309&lt;&gt;"",OR($S$4="(все)",B309=$S$4),IF($S$4="(все)",COUNTIF($U$4:U309,U309),COUNTIFS($U$4:U309,U309,$B$4:B309,B309))=1),MAX($W$3:W308)+1,"")</f>
        <v/>
      </c>
      <c r="X309" s="38" t="str">
        <f t="shared" si="39"/>
        <v/>
      </c>
      <c r="Y309" s="38" t="str">
        <f>IF(AND(A309="Аппарат",C309&lt;&gt;"",OR($S$5="(все)",B309=$S$5)),MAX($Y$3:Y308)+1,"")</f>
        <v/>
      </c>
      <c r="Z309" s="38" t="str">
        <f t="shared" si="40"/>
        <v/>
      </c>
      <c r="AA309" s="38" t="str">
        <f>IF(AND(A309="Модуль",C309&lt;&gt;"",OR($S$6="(все)",B309=$S$6)),MAX($AA$3:AA308)+1,"")</f>
        <v/>
      </c>
      <c r="AB309" s="38" t="str">
        <f t="shared" si="41"/>
        <v/>
      </c>
      <c r="AC309" s="38" t="str">
        <f>IF(OR(B309="",COUNTIF($B$4:B309,B309)&gt;1),"",MAX($AC$3:AC308)+1)</f>
        <v/>
      </c>
      <c r="AD309" s="38" t="str">
        <f t="shared" si="42"/>
        <v/>
      </c>
      <c r="AE309" s="38" t="str">
        <f t="shared" si="43"/>
        <v/>
      </c>
      <c r="AF309" s="38" t="str">
        <f t="shared" si="44"/>
        <v/>
      </c>
    </row>
    <row r="310" spans="1:32" x14ac:dyDescent="0.3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38" t="str">
        <f>IF(OR(A310="Автомат",A310="Дифавтомат"),IF(W310="","",COUNTIFS(Однолинейка!$H$3:$H$3000,U310,Однолинейка!$A$3:$A$3000,Щит_спец)),IF(A310="Аппарат",IF(C310="","",COUNTIFS(Однолинейка!$I$3:$I$3000,C310,Однолинейка!$A$3:$A$3000,Щит_спец)+COUNTIFS(Однолинейка!$J$3:$J$3000,C310,Однолинейка!$A$3:$A$3000,Щит_спец)+COUNTIFS(Однолинейка!$K$3:$K$3000,C310,Однолинейка!$A$3:$A$3000,Щит_спец)),IF(A310="Модуль",IF(C310="","",COUNTIFS(Однолинейка!$AW$3:$AW$3000,"?*",Однолинейка!$AI$3:$AI$3000,C310,Однолинейка!$A$3:$A$3000,Щит_спец)),IF(A310="Клемма",IF(C310="","",IF(C310=$S$7,SUMIFS(Однолинейка!$BW$3:$BW$3000,Однолинейка!$A$3:$A$3000,Щит_спец),IF(C310=$S$8,SUMIFS(Однолинейка!$BX$3:$BX$3000,Однолинейка!$A$3:$A$3000,Щит_спец),""))),""))))</f>
        <v/>
      </c>
      <c r="O310" s="74"/>
      <c r="P310" s="38" t="str">
        <f t="shared" si="36"/>
        <v/>
      </c>
      <c r="U310" s="38" t="str">
        <f t="shared" si="37"/>
        <v/>
      </c>
      <c r="V310" s="38" t="str">
        <f t="shared" si="38"/>
        <v/>
      </c>
      <c r="W310" s="38" t="str">
        <f>IF(AND(U310&lt;&gt;"",OR($S$4="(все)",B310=$S$4),IF($S$4="(все)",COUNTIF($U$4:U310,U310),COUNTIFS($U$4:U310,U310,$B$4:B310,B310))=1),MAX($W$3:W309)+1,"")</f>
        <v/>
      </c>
      <c r="X310" s="38" t="str">
        <f t="shared" si="39"/>
        <v/>
      </c>
      <c r="Y310" s="38" t="str">
        <f>IF(AND(A310="Аппарат",C310&lt;&gt;"",OR($S$5="(все)",B310=$S$5)),MAX($Y$3:Y309)+1,"")</f>
        <v/>
      </c>
      <c r="Z310" s="38" t="str">
        <f t="shared" si="40"/>
        <v/>
      </c>
      <c r="AA310" s="38" t="str">
        <f>IF(AND(A310="Модуль",C310&lt;&gt;"",OR($S$6="(все)",B310=$S$6)),MAX($AA$3:AA309)+1,"")</f>
        <v/>
      </c>
      <c r="AB310" s="38" t="str">
        <f t="shared" si="41"/>
        <v/>
      </c>
      <c r="AC310" s="38" t="str">
        <f>IF(OR(B310="",COUNTIF($B$4:B310,B310)&gt;1),"",MAX($AC$3:AC309)+1)</f>
        <v/>
      </c>
      <c r="AD310" s="38" t="str">
        <f t="shared" si="42"/>
        <v/>
      </c>
      <c r="AE310" s="38" t="str">
        <f t="shared" si="43"/>
        <v/>
      </c>
      <c r="AF310" s="38" t="str">
        <f t="shared" si="44"/>
        <v/>
      </c>
    </row>
    <row r="311" spans="1:32" x14ac:dyDescent="0.3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38" t="str">
        <f>IF(OR(A311="Автомат",A311="Дифавтомат"),IF(W311="","",COUNTIFS(Однолинейка!$H$3:$H$3000,U311,Однолинейка!$A$3:$A$3000,Щит_спец)),IF(A311="Аппарат",IF(C311="","",COUNTIFS(Однолинейка!$I$3:$I$3000,C311,Однолинейка!$A$3:$A$3000,Щит_спец)+COUNTIFS(Однолинейка!$J$3:$J$3000,C311,Однолинейка!$A$3:$A$3000,Щит_спец)+COUNTIFS(Однолинейка!$K$3:$K$3000,C311,Однолинейка!$A$3:$A$3000,Щит_спец)),IF(A311="Модуль",IF(C311="","",COUNTIFS(Однолинейка!$AW$3:$AW$3000,"?*",Однолинейка!$AI$3:$AI$3000,C311,Однолинейка!$A$3:$A$3000,Щит_спец)),IF(A311="Клемма",IF(C311="","",IF(C311=$S$7,SUMIFS(Однолинейка!$BW$3:$BW$3000,Однолинейка!$A$3:$A$3000,Щит_спец),IF(C311=$S$8,SUMIFS(Однолинейка!$BX$3:$BX$3000,Однолинейка!$A$3:$A$3000,Щит_спец),""))),""))))</f>
        <v/>
      </c>
      <c r="O311" s="74"/>
      <c r="P311" s="38" t="str">
        <f t="shared" si="36"/>
        <v/>
      </c>
      <c r="U311" s="38" t="str">
        <f t="shared" si="37"/>
        <v/>
      </c>
      <c r="V311" s="38" t="str">
        <f t="shared" si="38"/>
        <v/>
      </c>
      <c r="W311" s="38" t="str">
        <f>IF(AND(U311&lt;&gt;"",OR($S$4="(все)",B311=$S$4),IF($S$4="(все)",COUNTIF($U$4:U311,U311),COUNTIFS($U$4:U311,U311,$B$4:B311,B311))=1),MAX($W$3:W310)+1,"")</f>
        <v/>
      </c>
      <c r="X311" s="38" t="str">
        <f t="shared" si="39"/>
        <v/>
      </c>
      <c r="Y311" s="38" t="str">
        <f>IF(AND(A311="Аппарат",C311&lt;&gt;"",OR($S$5="(все)",B311=$S$5)),MAX($Y$3:Y310)+1,"")</f>
        <v/>
      </c>
      <c r="Z311" s="38" t="str">
        <f t="shared" si="40"/>
        <v/>
      </c>
      <c r="AA311" s="38" t="str">
        <f>IF(AND(A311="Модуль",C311&lt;&gt;"",OR($S$6="(все)",B311=$S$6)),MAX($AA$3:AA310)+1,"")</f>
        <v/>
      </c>
      <c r="AB311" s="38" t="str">
        <f t="shared" si="41"/>
        <v/>
      </c>
      <c r="AC311" s="38" t="str">
        <f>IF(OR(B311="",COUNTIF($B$4:B311,B311)&gt;1),"",MAX($AC$3:AC310)+1)</f>
        <v/>
      </c>
      <c r="AD311" s="38" t="str">
        <f t="shared" si="42"/>
        <v/>
      </c>
      <c r="AE311" s="38" t="str">
        <f t="shared" si="43"/>
        <v/>
      </c>
      <c r="AF311" s="38" t="str">
        <f t="shared" si="44"/>
        <v/>
      </c>
    </row>
    <row r="312" spans="1:32" x14ac:dyDescent="0.3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38" t="str">
        <f>IF(OR(A312="Автомат",A312="Дифавтомат"),IF(W312="","",COUNTIFS(Однолинейка!$H$3:$H$3000,U312,Однолинейка!$A$3:$A$3000,Щит_спец)),IF(A312="Аппарат",IF(C312="","",COUNTIFS(Однолинейка!$I$3:$I$3000,C312,Однолинейка!$A$3:$A$3000,Щит_спец)+COUNTIFS(Однолинейка!$J$3:$J$3000,C312,Однолинейка!$A$3:$A$3000,Щит_спец)+COUNTIFS(Однолинейка!$K$3:$K$3000,C312,Однолинейка!$A$3:$A$3000,Щит_спец)),IF(A312="Модуль",IF(C312="","",COUNTIFS(Однолинейка!$AW$3:$AW$3000,"?*",Однолинейка!$AI$3:$AI$3000,C312,Однолинейка!$A$3:$A$3000,Щит_спец)),IF(A312="Клемма",IF(C312="","",IF(C312=$S$7,SUMIFS(Однолинейка!$BW$3:$BW$3000,Однолинейка!$A$3:$A$3000,Щит_спец),IF(C312=$S$8,SUMIFS(Однолинейка!$BX$3:$BX$3000,Однолинейка!$A$3:$A$3000,Щит_спец),""))),""))))</f>
        <v/>
      </c>
      <c r="O312" s="74"/>
      <c r="P312" s="38" t="str">
        <f t="shared" si="36"/>
        <v/>
      </c>
      <c r="U312" s="38" t="str">
        <f t="shared" si="37"/>
        <v/>
      </c>
      <c r="V312" s="38" t="str">
        <f t="shared" si="38"/>
        <v/>
      </c>
      <c r="W312" s="38" t="str">
        <f>IF(AND(U312&lt;&gt;"",OR($S$4="(все)",B312=$S$4),IF($S$4="(все)",COUNTIF($U$4:U312,U312),COUNTIFS($U$4:U312,U312,$B$4:B312,B312))=1),MAX($W$3:W311)+1,"")</f>
        <v/>
      </c>
      <c r="X312" s="38" t="str">
        <f t="shared" si="39"/>
        <v/>
      </c>
      <c r="Y312" s="38" t="str">
        <f>IF(AND(A312="Аппарат",C312&lt;&gt;"",OR($S$5="(все)",B312=$S$5)),MAX($Y$3:Y311)+1,"")</f>
        <v/>
      </c>
      <c r="Z312" s="38" t="str">
        <f t="shared" si="40"/>
        <v/>
      </c>
      <c r="AA312" s="38" t="str">
        <f>IF(AND(A312="Модуль",C312&lt;&gt;"",OR($S$6="(все)",B312=$S$6)),MAX($AA$3:AA311)+1,"")</f>
        <v/>
      </c>
      <c r="AB312" s="38" t="str">
        <f t="shared" si="41"/>
        <v/>
      </c>
      <c r="AC312" s="38" t="str">
        <f>IF(OR(B312="",COUNTIF($B$4:B312,B312)&gt;1),"",MAX($AC$3:AC311)+1)</f>
        <v/>
      </c>
      <c r="AD312" s="38" t="str">
        <f t="shared" si="42"/>
        <v/>
      </c>
      <c r="AE312" s="38" t="str">
        <f t="shared" si="43"/>
        <v/>
      </c>
      <c r="AF312" s="38" t="str">
        <f t="shared" si="44"/>
        <v/>
      </c>
    </row>
    <row r="313" spans="1:32" x14ac:dyDescent="0.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38" t="str">
        <f>IF(OR(A313="Автомат",A313="Дифавтомат"),IF(W313="","",COUNTIFS(Однолинейка!$H$3:$H$3000,U313,Однолинейка!$A$3:$A$3000,Щит_спец)),IF(A313="Аппарат",IF(C313="","",COUNTIFS(Однолинейка!$I$3:$I$3000,C313,Однолинейка!$A$3:$A$3000,Щит_спец)+COUNTIFS(Однолинейка!$J$3:$J$3000,C313,Однолинейка!$A$3:$A$3000,Щит_спец)+COUNTIFS(Однолинейка!$K$3:$K$3000,C313,Однолинейка!$A$3:$A$3000,Щит_спец)),IF(A313="Модуль",IF(C313="","",COUNTIFS(Однолинейка!$AW$3:$AW$3000,"?*",Однолинейка!$AI$3:$AI$3000,C313,Однолинейка!$A$3:$A$3000,Щит_спец)),IF(A313="Клемма",IF(C313="","",IF(C313=$S$7,SUMIFS(Однолинейка!$BW$3:$BW$3000,Однолинейка!$A$3:$A$3000,Щит_спец),IF(C313=$S$8,SUMIFS(Однолинейка!$BX$3:$BX$3000,Однолинейка!$A$3:$A$3000,Щит_спец),""))),""))))</f>
        <v/>
      </c>
      <c r="O313" s="74"/>
      <c r="P313" s="38" t="str">
        <f t="shared" si="36"/>
        <v/>
      </c>
      <c r="U313" s="38" t="str">
        <f t="shared" si="37"/>
        <v/>
      </c>
      <c r="V313" s="38" t="str">
        <f t="shared" si="38"/>
        <v/>
      </c>
      <c r="W313" s="38" t="str">
        <f>IF(AND(U313&lt;&gt;"",OR($S$4="(все)",B313=$S$4),IF($S$4="(все)",COUNTIF($U$4:U313,U313),COUNTIFS($U$4:U313,U313,$B$4:B313,B313))=1),MAX($W$3:W312)+1,"")</f>
        <v/>
      </c>
      <c r="X313" s="38" t="str">
        <f t="shared" si="39"/>
        <v/>
      </c>
      <c r="Y313" s="38" t="str">
        <f>IF(AND(A313="Аппарат",C313&lt;&gt;"",OR($S$5="(все)",B313=$S$5)),MAX($Y$3:Y312)+1,"")</f>
        <v/>
      </c>
      <c r="Z313" s="38" t="str">
        <f t="shared" si="40"/>
        <v/>
      </c>
      <c r="AA313" s="38" t="str">
        <f>IF(AND(A313="Модуль",C313&lt;&gt;"",OR($S$6="(все)",B313=$S$6)),MAX($AA$3:AA312)+1,"")</f>
        <v/>
      </c>
      <c r="AB313" s="38" t="str">
        <f t="shared" si="41"/>
        <v/>
      </c>
      <c r="AC313" s="38" t="str">
        <f>IF(OR(B313="",COUNTIF($B$4:B313,B313)&gt;1),"",MAX($AC$3:AC312)+1)</f>
        <v/>
      </c>
      <c r="AD313" s="38" t="str">
        <f t="shared" si="42"/>
        <v/>
      </c>
      <c r="AE313" s="38" t="str">
        <f t="shared" si="43"/>
        <v/>
      </c>
      <c r="AF313" s="38" t="str">
        <f t="shared" si="44"/>
        <v/>
      </c>
    </row>
    <row r="314" spans="1:32" x14ac:dyDescent="0.3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38" t="str">
        <f>IF(OR(A314="Автомат",A314="Дифавтомат"),IF(W314="","",COUNTIFS(Однолинейка!$H$3:$H$3000,U314,Однолинейка!$A$3:$A$3000,Щит_спец)),IF(A314="Аппарат",IF(C314="","",COUNTIFS(Однолинейка!$I$3:$I$3000,C314,Однолинейка!$A$3:$A$3000,Щит_спец)+COUNTIFS(Однолинейка!$J$3:$J$3000,C314,Однолинейка!$A$3:$A$3000,Щит_спец)+COUNTIFS(Однолинейка!$K$3:$K$3000,C314,Однолинейка!$A$3:$A$3000,Щит_спец)),IF(A314="Модуль",IF(C314="","",COUNTIFS(Однолинейка!$AW$3:$AW$3000,"?*",Однолинейка!$AI$3:$AI$3000,C314,Однолинейка!$A$3:$A$3000,Щит_спец)),IF(A314="Клемма",IF(C314="","",IF(C314=$S$7,SUMIFS(Однолинейка!$BW$3:$BW$3000,Однолинейка!$A$3:$A$3000,Щит_спец),IF(C314=$S$8,SUMIFS(Однолинейка!$BX$3:$BX$3000,Однолинейка!$A$3:$A$3000,Щит_спец),""))),""))))</f>
        <v/>
      </c>
      <c r="O314" s="74"/>
      <c r="P314" s="38" t="str">
        <f t="shared" si="36"/>
        <v/>
      </c>
      <c r="U314" s="38" t="str">
        <f t="shared" si="37"/>
        <v/>
      </c>
      <c r="V314" s="38" t="str">
        <f t="shared" si="38"/>
        <v/>
      </c>
      <c r="W314" s="38" t="str">
        <f>IF(AND(U314&lt;&gt;"",OR($S$4="(все)",B314=$S$4),IF($S$4="(все)",COUNTIF($U$4:U314,U314),COUNTIFS($U$4:U314,U314,$B$4:B314,B314))=1),MAX($W$3:W313)+1,"")</f>
        <v/>
      </c>
      <c r="X314" s="38" t="str">
        <f t="shared" si="39"/>
        <v/>
      </c>
      <c r="Y314" s="38" t="str">
        <f>IF(AND(A314="Аппарат",C314&lt;&gt;"",OR($S$5="(все)",B314=$S$5)),MAX($Y$3:Y313)+1,"")</f>
        <v/>
      </c>
      <c r="Z314" s="38" t="str">
        <f t="shared" si="40"/>
        <v/>
      </c>
      <c r="AA314" s="38" t="str">
        <f>IF(AND(A314="Модуль",C314&lt;&gt;"",OR($S$6="(все)",B314=$S$6)),MAX($AA$3:AA313)+1,"")</f>
        <v/>
      </c>
      <c r="AB314" s="38" t="str">
        <f t="shared" si="41"/>
        <v/>
      </c>
      <c r="AC314" s="38" t="str">
        <f>IF(OR(B314="",COUNTIF($B$4:B314,B314)&gt;1),"",MAX($AC$3:AC313)+1)</f>
        <v/>
      </c>
      <c r="AD314" s="38" t="str">
        <f t="shared" si="42"/>
        <v/>
      </c>
      <c r="AE314" s="38" t="str">
        <f t="shared" si="43"/>
        <v/>
      </c>
      <c r="AF314" s="38" t="str">
        <f t="shared" si="44"/>
        <v/>
      </c>
    </row>
    <row r="315" spans="1:32" x14ac:dyDescent="0.3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38" t="str">
        <f>IF(OR(A315="Автомат",A315="Дифавтомат"),IF(W315="","",COUNTIFS(Однолинейка!$H$3:$H$3000,U315,Однолинейка!$A$3:$A$3000,Щит_спец)),IF(A315="Аппарат",IF(C315="","",COUNTIFS(Однолинейка!$I$3:$I$3000,C315,Однолинейка!$A$3:$A$3000,Щит_спец)+COUNTIFS(Однолинейка!$J$3:$J$3000,C315,Однолинейка!$A$3:$A$3000,Щит_спец)+COUNTIFS(Однолинейка!$K$3:$K$3000,C315,Однолинейка!$A$3:$A$3000,Щит_спец)),IF(A315="Модуль",IF(C315="","",COUNTIFS(Однолинейка!$AW$3:$AW$3000,"?*",Однолинейка!$AI$3:$AI$3000,C315,Однолинейка!$A$3:$A$3000,Щит_спец)),IF(A315="Клемма",IF(C315="","",IF(C315=$S$7,SUMIFS(Однолинейка!$BW$3:$BW$3000,Однолинейка!$A$3:$A$3000,Щит_спец),IF(C315=$S$8,SUMIFS(Однолинейка!$BX$3:$BX$3000,Однолинейка!$A$3:$A$3000,Щит_спец),""))),""))))</f>
        <v/>
      </c>
      <c r="O315" s="74"/>
      <c r="P315" s="38" t="str">
        <f t="shared" si="36"/>
        <v/>
      </c>
      <c r="U315" s="38" t="str">
        <f t="shared" si="37"/>
        <v/>
      </c>
      <c r="V315" s="38" t="str">
        <f t="shared" si="38"/>
        <v/>
      </c>
      <c r="W315" s="38" t="str">
        <f>IF(AND(U315&lt;&gt;"",OR($S$4="(все)",B315=$S$4),IF($S$4="(все)",COUNTIF($U$4:U315,U315),COUNTIFS($U$4:U315,U315,$B$4:B315,B315))=1),MAX($W$3:W314)+1,"")</f>
        <v/>
      </c>
      <c r="X315" s="38" t="str">
        <f t="shared" si="39"/>
        <v/>
      </c>
      <c r="Y315" s="38" t="str">
        <f>IF(AND(A315="Аппарат",C315&lt;&gt;"",OR($S$5="(все)",B315=$S$5)),MAX($Y$3:Y314)+1,"")</f>
        <v/>
      </c>
      <c r="Z315" s="38" t="str">
        <f t="shared" si="40"/>
        <v/>
      </c>
      <c r="AA315" s="38" t="str">
        <f>IF(AND(A315="Модуль",C315&lt;&gt;"",OR($S$6="(все)",B315=$S$6)),MAX($AA$3:AA314)+1,"")</f>
        <v/>
      </c>
      <c r="AB315" s="38" t="str">
        <f t="shared" si="41"/>
        <v/>
      </c>
      <c r="AC315" s="38" t="str">
        <f>IF(OR(B315="",COUNTIF($B$4:B315,B315)&gt;1),"",MAX($AC$3:AC314)+1)</f>
        <v/>
      </c>
      <c r="AD315" s="38" t="str">
        <f t="shared" si="42"/>
        <v/>
      </c>
      <c r="AE315" s="38" t="str">
        <f t="shared" si="43"/>
        <v/>
      </c>
      <c r="AF315" s="38" t="str">
        <f t="shared" si="44"/>
        <v/>
      </c>
    </row>
    <row r="316" spans="1:32" x14ac:dyDescent="0.3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38" t="str">
        <f>IF(OR(A316="Автомат",A316="Дифавтомат"),IF(W316="","",COUNTIFS(Однолинейка!$H$3:$H$3000,U316,Однолинейка!$A$3:$A$3000,Щит_спец)),IF(A316="Аппарат",IF(C316="","",COUNTIFS(Однолинейка!$I$3:$I$3000,C316,Однолинейка!$A$3:$A$3000,Щит_спец)+COUNTIFS(Однолинейка!$J$3:$J$3000,C316,Однолинейка!$A$3:$A$3000,Щит_спец)+COUNTIFS(Однолинейка!$K$3:$K$3000,C316,Однолинейка!$A$3:$A$3000,Щит_спец)),IF(A316="Модуль",IF(C316="","",COUNTIFS(Однолинейка!$AW$3:$AW$3000,"?*",Однолинейка!$AI$3:$AI$3000,C316,Однолинейка!$A$3:$A$3000,Щит_спец)),IF(A316="Клемма",IF(C316="","",IF(C316=$S$7,SUMIFS(Однолинейка!$BW$3:$BW$3000,Однолинейка!$A$3:$A$3000,Щит_спец),IF(C316=$S$8,SUMIFS(Однолинейка!$BX$3:$BX$3000,Однолинейка!$A$3:$A$3000,Щит_спец),""))),""))))</f>
        <v/>
      </c>
      <c r="O316" s="74"/>
      <c r="P316" s="38" t="str">
        <f t="shared" si="36"/>
        <v/>
      </c>
      <c r="U316" s="38" t="str">
        <f t="shared" si="37"/>
        <v/>
      </c>
      <c r="V316" s="38" t="str">
        <f t="shared" si="38"/>
        <v/>
      </c>
      <c r="W316" s="38" t="str">
        <f>IF(AND(U316&lt;&gt;"",OR($S$4="(все)",B316=$S$4),IF($S$4="(все)",COUNTIF($U$4:U316,U316),COUNTIFS($U$4:U316,U316,$B$4:B316,B316))=1),MAX($W$3:W315)+1,"")</f>
        <v/>
      </c>
      <c r="X316" s="38" t="str">
        <f t="shared" si="39"/>
        <v/>
      </c>
      <c r="Y316" s="38" t="str">
        <f>IF(AND(A316="Аппарат",C316&lt;&gt;"",OR($S$5="(все)",B316=$S$5)),MAX($Y$3:Y315)+1,"")</f>
        <v/>
      </c>
      <c r="Z316" s="38" t="str">
        <f t="shared" si="40"/>
        <v/>
      </c>
      <c r="AA316" s="38" t="str">
        <f>IF(AND(A316="Модуль",C316&lt;&gt;"",OR($S$6="(все)",B316=$S$6)),MAX($AA$3:AA315)+1,"")</f>
        <v/>
      </c>
      <c r="AB316" s="38" t="str">
        <f t="shared" si="41"/>
        <v/>
      </c>
      <c r="AC316" s="38" t="str">
        <f>IF(OR(B316="",COUNTIF($B$4:B316,B316)&gt;1),"",MAX($AC$3:AC315)+1)</f>
        <v/>
      </c>
      <c r="AD316" s="38" t="str">
        <f t="shared" si="42"/>
        <v/>
      </c>
      <c r="AE316" s="38" t="str">
        <f t="shared" si="43"/>
        <v/>
      </c>
      <c r="AF316" s="38" t="str">
        <f t="shared" si="44"/>
        <v/>
      </c>
    </row>
    <row r="317" spans="1:32" x14ac:dyDescent="0.3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38" t="str">
        <f>IF(OR(A317="Автомат",A317="Дифавтомат"),IF(W317="","",COUNTIFS(Однолинейка!$H$3:$H$3000,U317,Однолинейка!$A$3:$A$3000,Щит_спец)),IF(A317="Аппарат",IF(C317="","",COUNTIFS(Однолинейка!$I$3:$I$3000,C317,Однолинейка!$A$3:$A$3000,Щит_спец)+COUNTIFS(Однолинейка!$J$3:$J$3000,C317,Однолинейка!$A$3:$A$3000,Щит_спец)+COUNTIFS(Однолинейка!$K$3:$K$3000,C317,Однолинейка!$A$3:$A$3000,Щит_спец)),IF(A317="Модуль",IF(C317="","",COUNTIFS(Однолинейка!$AW$3:$AW$3000,"?*",Однолинейка!$AI$3:$AI$3000,C317,Однолинейка!$A$3:$A$3000,Щит_спец)),IF(A317="Клемма",IF(C317="","",IF(C317=$S$7,SUMIFS(Однолинейка!$BW$3:$BW$3000,Однолинейка!$A$3:$A$3000,Щит_спец),IF(C317=$S$8,SUMIFS(Однолинейка!$BX$3:$BX$3000,Однолинейка!$A$3:$A$3000,Щит_спец),""))),""))))</f>
        <v/>
      </c>
      <c r="O317" s="74"/>
      <c r="P317" s="38" t="str">
        <f t="shared" si="36"/>
        <v/>
      </c>
      <c r="U317" s="38" t="str">
        <f t="shared" si="37"/>
        <v/>
      </c>
      <c r="V317" s="38" t="str">
        <f t="shared" si="38"/>
        <v/>
      </c>
      <c r="W317" s="38" t="str">
        <f>IF(AND(U317&lt;&gt;"",OR($S$4="(все)",B317=$S$4),IF($S$4="(все)",COUNTIF($U$4:U317,U317),COUNTIFS($U$4:U317,U317,$B$4:B317,B317))=1),MAX($W$3:W316)+1,"")</f>
        <v/>
      </c>
      <c r="X317" s="38" t="str">
        <f t="shared" si="39"/>
        <v/>
      </c>
      <c r="Y317" s="38" t="str">
        <f>IF(AND(A317="Аппарат",C317&lt;&gt;"",OR($S$5="(все)",B317=$S$5)),MAX($Y$3:Y316)+1,"")</f>
        <v/>
      </c>
      <c r="Z317" s="38" t="str">
        <f t="shared" si="40"/>
        <v/>
      </c>
      <c r="AA317" s="38" t="str">
        <f>IF(AND(A317="Модуль",C317&lt;&gt;"",OR($S$6="(все)",B317=$S$6)),MAX($AA$3:AA316)+1,"")</f>
        <v/>
      </c>
      <c r="AB317" s="38" t="str">
        <f t="shared" si="41"/>
        <v/>
      </c>
      <c r="AC317" s="38" t="str">
        <f>IF(OR(B317="",COUNTIF($B$4:B317,B317)&gt;1),"",MAX($AC$3:AC316)+1)</f>
        <v/>
      </c>
      <c r="AD317" s="38" t="str">
        <f t="shared" si="42"/>
        <v/>
      </c>
      <c r="AE317" s="38" t="str">
        <f t="shared" si="43"/>
        <v/>
      </c>
      <c r="AF317" s="38" t="str">
        <f t="shared" si="44"/>
        <v/>
      </c>
    </row>
    <row r="318" spans="1:32" x14ac:dyDescent="0.3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38" t="str">
        <f>IF(OR(A318="Автомат",A318="Дифавтомат"),IF(W318="","",COUNTIFS(Однолинейка!$H$3:$H$3000,U318,Однолинейка!$A$3:$A$3000,Щит_спец)),IF(A318="Аппарат",IF(C318="","",COUNTIFS(Однолинейка!$I$3:$I$3000,C318,Однолинейка!$A$3:$A$3000,Щит_спец)+COUNTIFS(Однолинейка!$J$3:$J$3000,C318,Однолинейка!$A$3:$A$3000,Щит_спец)+COUNTIFS(Однолинейка!$K$3:$K$3000,C318,Однолинейка!$A$3:$A$3000,Щит_спец)),IF(A318="Модуль",IF(C318="","",COUNTIFS(Однолинейка!$AW$3:$AW$3000,"?*",Однолинейка!$AI$3:$AI$3000,C318,Однолинейка!$A$3:$A$3000,Щит_спец)),IF(A318="Клемма",IF(C318="","",IF(C318=$S$7,SUMIFS(Однолинейка!$BW$3:$BW$3000,Однолинейка!$A$3:$A$3000,Щит_спец),IF(C318=$S$8,SUMIFS(Однолинейка!$BX$3:$BX$3000,Однолинейка!$A$3:$A$3000,Щит_спец),""))),""))))</f>
        <v/>
      </c>
      <c r="O318" s="74"/>
      <c r="P318" s="38" t="str">
        <f t="shared" si="36"/>
        <v/>
      </c>
      <c r="U318" s="38" t="str">
        <f t="shared" si="37"/>
        <v/>
      </c>
      <c r="V318" s="38" t="str">
        <f t="shared" si="38"/>
        <v/>
      </c>
      <c r="W318" s="38" t="str">
        <f>IF(AND(U318&lt;&gt;"",OR($S$4="(все)",B318=$S$4),IF($S$4="(все)",COUNTIF($U$4:U318,U318),COUNTIFS($U$4:U318,U318,$B$4:B318,B318))=1),MAX($W$3:W317)+1,"")</f>
        <v/>
      </c>
      <c r="X318" s="38" t="str">
        <f t="shared" si="39"/>
        <v/>
      </c>
      <c r="Y318" s="38" t="str">
        <f>IF(AND(A318="Аппарат",C318&lt;&gt;"",OR($S$5="(все)",B318=$S$5)),MAX($Y$3:Y317)+1,"")</f>
        <v/>
      </c>
      <c r="Z318" s="38" t="str">
        <f t="shared" si="40"/>
        <v/>
      </c>
      <c r="AA318" s="38" t="str">
        <f>IF(AND(A318="Модуль",C318&lt;&gt;"",OR($S$6="(все)",B318=$S$6)),MAX($AA$3:AA317)+1,"")</f>
        <v/>
      </c>
      <c r="AB318" s="38" t="str">
        <f t="shared" si="41"/>
        <v/>
      </c>
      <c r="AC318" s="38" t="str">
        <f>IF(OR(B318="",COUNTIF($B$4:B318,B318)&gt;1),"",MAX($AC$3:AC317)+1)</f>
        <v/>
      </c>
      <c r="AD318" s="38" t="str">
        <f t="shared" si="42"/>
        <v/>
      </c>
      <c r="AE318" s="38" t="str">
        <f t="shared" si="43"/>
        <v/>
      </c>
      <c r="AF318" s="38" t="str">
        <f t="shared" si="44"/>
        <v/>
      </c>
    </row>
    <row r="319" spans="1:32" x14ac:dyDescent="0.3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38" t="str">
        <f>IF(OR(A319="Автомат",A319="Дифавтомат"),IF(W319="","",COUNTIFS(Однолинейка!$H$3:$H$3000,U319,Однолинейка!$A$3:$A$3000,Щит_спец)),IF(A319="Аппарат",IF(C319="","",COUNTIFS(Однолинейка!$I$3:$I$3000,C319,Однолинейка!$A$3:$A$3000,Щит_спец)+COUNTIFS(Однолинейка!$J$3:$J$3000,C319,Однолинейка!$A$3:$A$3000,Щит_спец)+COUNTIFS(Однолинейка!$K$3:$K$3000,C319,Однолинейка!$A$3:$A$3000,Щит_спец)),IF(A319="Модуль",IF(C319="","",COUNTIFS(Однолинейка!$AW$3:$AW$3000,"?*",Однолинейка!$AI$3:$AI$3000,C319,Однолинейка!$A$3:$A$3000,Щит_спец)),IF(A319="Клемма",IF(C319="","",IF(C319=$S$7,SUMIFS(Однолинейка!$BW$3:$BW$3000,Однолинейка!$A$3:$A$3000,Щит_спец),IF(C319=$S$8,SUMIFS(Однолинейка!$BX$3:$BX$3000,Однолинейка!$A$3:$A$3000,Щит_спец),""))),""))))</f>
        <v/>
      </c>
      <c r="O319" s="74"/>
      <c r="P319" s="38" t="str">
        <f t="shared" si="36"/>
        <v/>
      </c>
      <c r="U319" s="38" t="str">
        <f t="shared" si="37"/>
        <v/>
      </c>
      <c r="V319" s="38" t="str">
        <f t="shared" si="38"/>
        <v/>
      </c>
      <c r="W319" s="38" t="str">
        <f>IF(AND(U319&lt;&gt;"",OR($S$4="(все)",B319=$S$4),IF($S$4="(все)",COUNTIF($U$4:U319,U319),COUNTIFS($U$4:U319,U319,$B$4:B319,B319))=1),MAX($W$3:W318)+1,"")</f>
        <v/>
      </c>
      <c r="X319" s="38" t="str">
        <f t="shared" si="39"/>
        <v/>
      </c>
      <c r="Y319" s="38" t="str">
        <f>IF(AND(A319="Аппарат",C319&lt;&gt;"",OR($S$5="(все)",B319=$S$5)),MAX($Y$3:Y318)+1,"")</f>
        <v/>
      </c>
      <c r="Z319" s="38" t="str">
        <f t="shared" si="40"/>
        <v/>
      </c>
      <c r="AA319" s="38" t="str">
        <f>IF(AND(A319="Модуль",C319&lt;&gt;"",OR($S$6="(все)",B319=$S$6)),MAX($AA$3:AA318)+1,"")</f>
        <v/>
      </c>
      <c r="AB319" s="38" t="str">
        <f t="shared" si="41"/>
        <v/>
      </c>
      <c r="AC319" s="38" t="str">
        <f>IF(OR(B319="",COUNTIF($B$4:B319,B319)&gt;1),"",MAX($AC$3:AC318)+1)</f>
        <v/>
      </c>
      <c r="AD319" s="38" t="str">
        <f t="shared" si="42"/>
        <v/>
      </c>
      <c r="AE319" s="38" t="str">
        <f t="shared" si="43"/>
        <v/>
      </c>
      <c r="AF319" s="38" t="str">
        <f t="shared" si="44"/>
        <v/>
      </c>
    </row>
    <row r="320" spans="1:32" x14ac:dyDescent="0.3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38" t="str">
        <f>IF(OR(A320="Автомат",A320="Дифавтомат"),IF(W320="","",COUNTIFS(Однолинейка!$H$3:$H$3000,U320,Однолинейка!$A$3:$A$3000,Щит_спец)),IF(A320="Аппарат",IF(C320="","",COUNTIFS(Однолинейка!$I$3:$I$3000,C320,Однолинейка!$A$3:$A$3000,Щит_спец)+COUNTIFS(Однолинейка!$J$3:$J$3000,C320,Однолинейка!$A$3:$A$3000,Щит_спец)+COUNTIFS(Однолинейка!$K$3:$K$3000,C320,Однолинейка!$A$3:$A$3000,Щит_спец)),IF(A320="Модуль",IF(C320="","",COUNTIFS(Однолинейка!$AW$3:$AW$3000,"?*",Однолинейка!$AI$3:$AI$3000,C320,Однолинейка!$A$3:$A$3000,Щит_спец)),IF(A320="Клемма",IF(C320="","",IF(C320=$S$7,SUMIFS(Однолинейка!$BW$3:$BW$3000,Однолинейка!$A$3:$A$3000,Щит_спец),IF(C320=$S$8,SUMIFS(Однолинейка!$BX$3:$BX$3000,Однолинейка!$A$3:$A$3000,Щит_спец),""))),""))))</f>
        <v/>
      </c>
      <c r="O320" s="74"/>
      <c r="P320" s="38" t="str">
        <f t="shared" si="36"/>
        <v/>
      </c>
      <c r="U320" s="38" t="str">
        <f t="shared" si="37"/>
        <v/>
      </c>
      <c r="V320" s="38" t="str">
        <f t="shared" si="38"/>
        <v/>
      </c>
      <c r="W320" s="38" t="str">
        <f>IF(AND(U320&lt;&gt;"",OR($S$4="(все)",B320=$S$4),IF($S$4="(все)",COUNTIF($U$4:U320,U320),COUNTIFS($U$4:U320,U320,$B$4:B320,B320))=1),MAX($W$3:W319)+1,"")</f>
        <v/>
      </c>
      <c r="X320" s="38" t="str">
        <f t="shared" si="39"/>
        <v/>
      </c>
      <c r="Y320" s="38" t="str">
        <f>IF(AND(A320="Аппарат",C320&lt;&gt;"",OR($S$5="(все)",B320=$S$5)),MAX($Y$3:Y319)+1,"")</f>
        <v/>
      </c>
      <c r="Z320" s="38" t="str">
        <f t="shared" si="40"/>
        <v/>
      </c>
      <c r="AA320" s="38" t="str">
        <f>IF(AND(A320="Модуль",C320&lt;&gt;"",OR($S$6="(все)",B320=$S$6)),MAX($AA$3:AA319)+1,"")</f>
        <v/>
      </c>
      <c r="AB320" s="38" t="str">
        <f t="shared" si="41"/>
        <v/>
      </c>
      <c r="AC320" s="38" t="str">
        <f>IF(OR(B320="",COUNTIF($B$4:B320,B320)&gt;1),"",MAX($AC$3:AC319)+1)</f>
        <v/>
      </c>
      <c r="AD320" s="38" t="str">
        <f t="shared" si="42"/>
        <v/>
      </c>
      <c r="AE320" s="38" t="str">
        <f t="shared" si="43"/>
        <v/>
      </c>
      <c r="AF320" s="38" t="str">
        <f t="shared" si="44"/>
        <v/>
      </c>
    </row>
    <row r="321" spans="1:32" x14ac:dyDescent="0.3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38" t="str">
        <f>IF(OR(A321="Автомат",A321="Дифавтомат"),IF(W321="","",COUNTIFS(Однолинейка!$H$3:$H$3000,U321,Однолинейка!$A$3:$A$3000,Щит_спец)),IF(A321="Аппарат",IF(C321="","",COUNTIFS(Однолинейка!$I$3:$I$3000,C321,Однолинейка!$A$3:$A$3000,Щит_спец)+COUNTIFS(Однолинейка!$J$3:$J$3000,C321,Однолинейка!$A$3:$A$3000,Щит_спец)+COUNTIFS(Однолинейка!$K$3:$K$3000,C321,Однолинейка!$A$3:$A$3000,Щит_спец)),IF(A321="Модуль",IF(C321="","",COUNTIFS(Однолинейка!$AW$3:$AW$3000,"?*",Однолинейка!$AI$3:$AI$3000,C321,Однолинейка!$A$3:$A$3000,Щит_спец)),IF(A321="Клемма",IF(C321="","",IF(C321=$S$7,SUMIFS(Однолинейка!$BW$3:$BW$3000,Однолинейка!$A$3:$A$3000,Щит_спец),IF(C321=$S$8,SUMIFS(Однолинейка!$BX$3:$BX$3000,Однолинейка!$A$3:$A$3000,Щит_спец),""))),""))))</f>
        <v/>
      </c>
      <c r="O321" s="74"/>
      <c r="P321" s="38" t="str">
        <f t="shared" si="36"/>
        <v/>
      </c>
      <c r="U321" s="38" t="str">
        <f t="shared" si="37"/>
        <v/>
      </c>
      <c r="V321" s="38" t="str">
        <f t="shared" si="38"/>
        <v/>
      </c>
      <c r="W321" s="38" t="str">
        <f>IF(AND(U321&lt;&gt;"",OR($S$4="(все)",B321=$S$4),IF($S$4="(все)",COUNTIF($U$4:U321,U321),COUNTIFS($U$4:U321,U321,$B$4:B321,B321))=1),MAX($W$3:W320)+1,"")</f>
        <v/>
      </c>
      <c r="X321" s="38" t="str">
        <f t="shared" si="39"/>
        <v/>
      </c>
      <c r="Y321" s="38" t="str">
        <f>IF(AND(A321="Аппарат",C321&lt;&gt;"",OR($S$5="(все)",B321=$S$5)),MAX($Y$3:Y320)+1,"")</f>
        <v/>
      </c>
      <c r="Z321" s="38" t="str">
        <f t="shared" si="40"/>
        <v/>
      </c>
      <c r="AA321" s="38" t="str">
        <f>IF(AND(A321="Модуль",C321&lt;&gt;"",OR($S$6="(все)",B321=$S$6)),MAX($AA$3:AA320)+1,"")</f>
        <v/>
      </c>
      <c r="AB321" s="38" t="str">
        <f t="shared" si="41"/>
        <v/>
      </c>
      <c r="AC321" s="38" t="str">
        <f>IF(OR(B321="",COUNTIF($B$4:B321,B321)&gt;1),"",MAX($AC$3:AC320)+1)</f>
        <v/>
      </c>
      <c r="AD321" s="38" t="str">
        <f t="shared" si="42"/>
        <v/>
      </c>
      <c r="AE321" s="38" t="str">
        <f t="shared" si="43"/>
        <v/>
      </c>
      <c r="AF321" s="38" t="str">
        <f t="shared" si="44"/>
        <v/>
      </c>
    </row>
    <row r="322" spans="1:32" x14ac:dyDescent="0.3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38" t="str">
        <f>IF(OR(A322="Автомат",A322="Дифавтомат"),IF(W322="","",COUNTIFS(Однолинейка!$H$3:$H$3000,U322,Однолинейка!$A$3:$A$3000,Щит_спец)),IF(A322="Аппарат",IF(C322="","",COUNTIFS(Однолинейка!$I$3:$I$3000,C322,Однолинейка!$A$3:$A$3000,Щит_спец)+COUNTIFS(Однолинейка!$J$3:$J$3000,C322,Однолинейка!$A$3:$A$3000,Щит_спец)+COUNTIFS(Однолинейка!$K$3:$K$3000,C322,Однолинейка!$A$3:$A$3000,Щит_спец)),IF(A322="Модуль",IF(C322="","",COUNTIFS(Однолинейка!$AW$3:$AW$3000,"?*",Однолинейка!$AI$3:$AI$3000,C322,Однолинейка!$A$3:$A$3000,Щит_спец)),IF(A322="Клемма",IF(C322="","",IF(C322=$S$7,SUMIFS(Однолинейка!$BW$3:$BW$3000,Однолинейка!$A$3:$A$3000,Щит_спец),IF(C322=$S$8,SUMIFS(Однолинейка!$BX$3:$BX$3000,Однолинейка!$A$3:$A$3000,Щит_спец),""))),""))))</f>
        <v/>
      </c>
      <c r="O322" s="74"/>
      <c r="P322" s="38" t="str">
        <f t="shared" si="36"/>
        <v/>
      </c>
      <c r="U322" s="38" t="str">
        <f t="shared" si="37"/>
        <v/>
      </c>
      <c r="V322" s="38" t="str">
        <f t="shared" si="38"/>
        <v/>
      </c>
      <c r="W322" s="38" t="str">
        <f>IF(AND(U322&lt;&gt;"",OR($S$4="(все)",B322=$S$4),IF($S$4="(все)",COUNTIF($U$4:U322,U322),COUNTIFS($U$4:U322,U322,$B$4:B322,B322))=1),MAX($W$3:W321)+1,"")</f>
        <v/>
      </c>
      <c r="X322" s="38" t="str">
        <f t="shared" si="39"/>
        <v/>
      </c>
      <c r="Y322" s="38" t="str">
        <f>IF(AND(A322="Аппарат",C322&lt;&gt;"",OR($S$5="(все)",B322=$S$5)),MAX($Y$3:Y321)+1,"")</f>
        <v/>
      </c>
      <c r="Z322" s="38" t="str">
        <f t="shared" si="40"/>
        <v/>
      </c>
      <c r="AA322" s="38" t="str">
        <f>IF(AND(A322="Модуль",C322&lt;&gt;"",OR($S$6="(все)",B322=$S$6)),MAX($AA$3:AA321)+1,"")</f>
        <v/>
      </c>
      <c r="AB322" s="38" t="str">
        <f t="shared" si="41"/>
        <v/>
      </c>
      <c r="AC322" s="38" t="str">
        <f>IF(OR(B322="",COUNTIF($B$4:B322,B322)&gt;1),"",MAX($AC$3:AC321)+1)</f>
        <v/>
      </c>
      <c r="AD322" s="38" t="str">
        <f t="shared" si="42"/>
        <v/>
      </c>
      <c r="AE322" s="38" t="str">
        <f t="shared" si="43"/>
        <v/>
      </c>
      <c r="AF322" s="38" t="str">
        <f t="shared" si="44"/>
        <v/>
      </c>
    </row>
    <row r="323" spans="1:32" x14ac:dyDescent="0.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38" t="str">
        <f>IF(OR(A323="Автомат",A323="Дифавтомат"),IF(W323="","",COUNTIFS(Однолинейка!$H$3:$H$3000,U323,Однолинейка!$A$3:$A$3000,Щит_спец)),IF(A323="Аппарат",IF(C323="","",COUNTIFS(Однолинейка!$I$3:$I$3000,C323,Однолинейка!$A$3:$A$3000,Щит_спец)+COUNTIFS(Однолинейка!$J$3:$J$3000,C323,Однолинейка!$A$3:$A$3000,Щит_спец)+COUNTIFS(Однолинейка!$K$3:$K$3000,C323,Однолинейка!$A$3:$A$3000,Щит_спец)),IF(A323="Модуль",IF(C323="","",COUNTIFS(Однолинейка!$AW$3:$AW$3000,"?*",Однолинейка!$AI$3:$AI$3000,C323,Однолинейка!$A$3:$A$3000,Щит_спец)),IF(A323="Клемма",IF(C323="","",IF(C323=$S$7,SUMIFS(Однолинейка!$BW$3:$BW$3000,Однолинейка!$A$3:$A$3000,Щит_спец),IF(C323=$S$8,SUMIFS(Однолинейка!$BX$3:$BX$3000,Однолинейка!$A$3:$A$3000,Щит_спец),""))),""))))</f>
        <v/>
      </c>
      <c r="O323" s="74"/>
      <c r="P323" s="38" t="str">
        <f t="shared" si="36"/>
        <v/>
      </c>
      <c r="U323" s="38" t="str">
        <f t="shared" si="37"/>
        <v/>
      </c>
      <c r="V323" s="38" t="str">
        <f t="shared" si="38"/>
        <v/>
      </c>
      <c r="W323" s="38" t="str">
        <f>IF(AND(U323&lt;&gt;"",OR($S$4="(все)",B323=$S$4),IF($S$4="(все)",COUNTIF($U$4:U323,U323),COUNTIFS($U$4:U323,U323,$B$4:B323,B323))=1),MAX($W$3:W322)+1,"")</f>
        <v/>
      </c>
      <c r="X323" s="38" t="str">
        <f t="shared" si="39"/>
        <v/>
      </c>
      <c r="Y323" s="38" t="str">
        <f>IF(AND(A323="Аппарат",C323&lt;&gt;"",OR($S$5="(все)",B323=$S$5)),MAX($Y$3:Y322)+1,"")</f>
        <v/>
      </c>
      <c r="Z323" s="38" t="str">
        <f t="shared" si="40"/>
        <v/>
      </c>
      <c r="AA323" s="38" t="str">
        <f>IF(AND(A323="Модуль",C323&lt;&gt;"",OR($S$6="(все)",B323=$S$6)),MAX($AA$3:AA322)+1,"")</f>
        <v/>
      </c>
      <c r="AB323" s="38" t="str">
        <f t="shared" si="41"/>
        <v/>
      </c>
      <c r="AC323" s="38" t="str">
        <f>IF(OR(B323="",COUNTIF($B$4:B323,B323)&gt;1),"",MAX($AC$3:AC322)+1)</f>
        <v/>
      </c>
      <c r="AD323" s="38" t="str">
        <f t="shared" si="42"/>
        <v/>
      </c>
      <c r="AE323" s="38" t="str">
        <f t="shared" si="43"/>
        <v/>
      </c>
      <c r="AF323" s="38" t="str">
        <f t="shared" si="44"/>
        <v/>
      </c>
    </row>
    <row r="324" spans="1:32" x14ac:dyDescent="0.3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38" t="str">
        <f>IF(OR(A324="Автомат",A324="Дифавтомат"),IF(W324="","",COUNTIFS(Однолинейка!$H$3:$H$3000,U324,Однолинейка!$A$3:$A$3000,Щит_спец)),IF(A324="Аппарат",IF(C324="","",COUNTIFS(Однолинейка!$I$3:$I$3000,C324,Однолинейка!$A$3:$A$3000,Щит_спец)+COUNTIFS(Однолинейка!$J$3:$J$3000,C324,Однолинейка!$A$3:$A$3000,Щит_спец)+COUNTIFS(Однолинейка!$K$3:$K$3000,C324,Однолинейка!$A$3:$A$3000,Щит_спец)),IF(A324="Модуль",IF(C324="","",COUNTIFS(Однолинейка!$AW$3:$AW$3000,"?*",Однолинейка!$AI$3:$AI$3000,C324,Однолинейка!$A$3:$A$3000,Щит_спец)),IF(A324="Клемма",IF(C324="","",IF(C324=$S$7,SUMIFS(Однолинейка!$BW$3:$BW$3000,Однолинейка!$A$3:$A$3000,Щит_спец),IF(C324=$S$8,SUMIFS(Однолинейка!$BX$3:$BX$3000,Однолинейка!$A$3:$A$3000,Щит_спец),""))),""))))</f>
        <v/>
      </c>
      <c r="O324" s="74"/>
      <c r="P324" s="38" t="str">
        <f t="shared" ref="P324:P387" si="45">IF(COUNT(N324,O324)=0,"",SUM(N324,O324))</f>
        <v/>
      </c>
      <c r="U324" s="38" t="str">
        <f t="shared" ref="U324:U387" si="46">IF(OR(A324="Автомат",A324="Дифавтомат"),I324&amp;" С"&amp;J324&amp;"А"&amp;IF(K324="да"," 30мА",IF(ISNUMBER(K324)," "&amp;K324&amp;"мА","")),"")</f>
        <v/>
      </c>
      <c r="V324" s="38" t="str">
        <f t="shared" ref="V324:V387" si="47">IF(U324="","",B324&amp;"|"&amp;U324)</f>
        <v/>
      </c>
      <c r="W324" s="38" t="str">
        <f>IF(AND(U324&lt;&gt;"",OR($S$4="(все)",B324=$S$4),IF($S$4="(все)",COUNTIF($U$4:U324,U324),COUNTIFS($U$4:U324,U324,$B$4:B324,B324))=1),MAX($W$3:W323)+1,"")</f>
        <v/>
      </c>
      <c r="X324" s="38" t="str">
        <f t="shared" ref="X324:X387" si="48">IFERROR(INDEX($U$4:$U$500,MATCH(ROW()-3,$W$4:$W$500,0)),"")</f>
        <v/>
      </c>
      <c r="Y324" s="38" t="str">
        <f>IF(AND(A324="Аппарат",C324&lt;&gt;"",OR($S$5="(все)",B324=$S$5)),MAX($Y$3:Y323)+1,"")</f>
        <v/>
      </c>
      <c r="Z324" s="38" t="str">
        <f t="shared" ref="Z324:Z387" si="49">IFERROR(INDEX($C$4:$C$500,MATCH(ROW()-3,$Y$4:$Y$500,0)),"")</f>
        <v/>
      </c>
      <c r="AA324" s="38" t="str">
        <f>IF(AND(A324="Модуль",C324&lt;&gt;"",OR($S$6="(все)",B324=$S$6)),MAX($AA$3:AA323)+1,"")</f>
        <v/>
      </c>
      <c r="AB324" s="38" t="str">
        <f t="shared" ref="AB324:AB387" si="50">IFERROR(INDEX($C$4:$C$500,MATCH(ROW()-3,$AA$4:$AA$500,0)),"")</f>
        <v/>
      </c>
      <c r="AC324" s="38" t="str">
        <f>IF(OR(B324="",COUNTIF($B$4:B324,B324)&gt;1),"",MAX($AC$3:AC323)+1)</f>
        <v/>
      </c>
      <c r="AD324" s="38" t="str">
        <f t="shared" ref="AD324:AD387" si="51">IFERROR(INDEX($B$4:$B$500,MATCH(ROW()-3,$AC$4:$AC$500,0)),"")</f>
        <v/>
      </c>
      <c r="AE324" s="38" t="str">
        <f t="shared" ref="AE324:AE387" si="52">IF(AND(A324&lt;&gt;"",N(P324)&gt;0),IFERROR(MATCH(A324,$R$12:$R$25,0),99)*1000+ROW(),"")</f>
        <v/>
      </c>
      <c r="AF324" s="38" t="str">
        <f t="shared" ref="AF324:AF387" si="53">IF(AE324="","",COUNTIF($AE$4:$AE$500,"&lt;="&amp;AE324))</f>
        <v/>
      </c>
    </row>
    <row r="325" spans="1:32" x14ac:dyDescent="0.3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38" t="str">
        <f>IF(OR(A325="Автомат",A325="Дифавтомат"),IF(W325="","",COUNTIFS(Однолинейка!$H$3:$H$3000,U325,Однолинейка!$A$3:$A$3000,Щит_спец)),IF(A325="Аппарат",IF(C325="","",COUNTIFS(Однолинейка!$I$3:$I$3000,C325,Однолинейка!$A$3:$A$3000,Щит_спец)+COUNTIFS(Однолинейка!$J$3:$J$3000,C325,Однолинейка!$A$3:$A$3000,Щит_спец)+COUNTIFS(Однолинейка!$K$3:$K$3000,C325,Однолинейка!$A$3:$A$3000,Щит_спец)),IF(A325="Модуль",IF(C325="","",COUNTIFS(Однолинейка!$AW$3:$AW$3000,"?*",Однолинейка!$AI$3:$AI$3000,C325,Однолинейка!$A$3:$A$3000,Щит_спец)),IF(A325="Клемма",IF(C325="","",IF(C325=$S$7,SUMIFS(Однолинейка!$BW$3:$BW$3000,Однолинейка!$A$3:$A$3000,Щит_спец),IF(C325=$S$8,SUMIFS(Однолинейка!$BX$3:$BX$3000,Однолинейка!$A$3:$A$3000,Щит_спец),""))),""))))</f>
        <v/>
      </c>
      <c r="O325" s="74"/>
      <c r="P325" s="38" t="str">
        <f t="shared" si="45"/>
        <v/>
      </c>
      <c r="U325" s="38" t="str">
        <f t="shared" si="46"/>
        <v/>
      </c>
      <c r="V325" s="38" t="str">
        <f t="shared" si="47"/>
        <v/>
      </c>
      <c r="W325" s="38" t="str">
        <f>IF(AND(U325&lt;&gt;"",OR($S$4="(все)",B325=$S$4),IF($S$4="(все)",COUNTIF($U$4:U325,U325),COUNTIFS($U$4:U325,U325,$B$4:B325,B325))=1),MAX($W$3:W324)+1,"")</f>
        <v/>
      </c>
      <c r="X325" s="38" t="str">
        <f t="shared" si="48"/>
        <v/>
      </c>
      <c r="Y325" s="38" t="str">
        <f>IF(AND(A325="Аппарат",C325&lt;&gt;"",OR($S$5="(все)",B325=$S$5)),MAX($Y$3:Y324)+1,"")</f>
        <v/>
      </c>
      <c r="Z325" s="38" t="str">
        <f t="shared" si="49"/>
        <v/>
      </c>
      <c r="AA325" s="38" t="str">
        <f>IF(AND(A325="Модуль",C325&lt;&gt;"",OR($S$6="(все)",B325=$S$6)),MAX($AA$3:AA324)+1,"")</f>
        <v/>
      </c>
      <c r="AB325" s="38" t="str">
        <f t="shared" si="50"/>
        <v/>
      </c>
      <c r="AC325" s="38" t="str">
        <f>IF(OR(B325="",COUNTIF($B$4:B325,B325)&gt;1),"",MAX($AC$3:AC324)+1)</f>
        <v/>
      </c>
      <c r="AD325" s="38" t="str">
        <f t="shared" si="51"/>
        <v/>
      </c>
      <c r="AE325" s="38" t="str">
        <f t="shared" si="52"/>
        <v/>
      </c>
      <c r="AF325" s="38" t="str">
        <f t="shared" si="53"/>
        <v/>
      </c>
    </row>
    <row r="326" spans="1:32" x14ac:dyDescent="0.3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38" t="str">
        <f>IF(OR(A326="Автомат",A326="Дифавтомат"),IF(W326="","",COUNTIFS(Однолинейка!$H$3:$H$3000,U326,Однолинейка!$A$3:$A$3000,Щит_спец)),IF(A326="Аппарат",IF(C326="","",COUNTIFS(Однолинейка!$I$3:$I$3000,C326,Однолинейка!$A$3:$A$3000,Щит_спец)+COUNTIFS(Однолинейка!$J$3:$J$3000,C326,Однолинейка!$A$3:$A$3000,Щит_спец)+COUNTIFS(Однолинейка!$K$3:$K$3000,C326,Однолинейка!$A$3:$A$3000,Щит_спец)),IF(A326="Модуль",IF(C326="","",COUNTIFS(Однолинейка!$AW$3:$AW$3000,"?*",Однолинейка!$AI$3:$AI$3000,C326,Однолинейка!$A$3:$A$3000,Щит_спец)),IF(A326="Клемма",IF(C326="","",IF(C326=$S$7,SUMIFS(Однолинейка!$BW$3:$BW$3000,Однолинейка!$A$3:$A$3000,Щит_спец),IF(C326=$S$8,SUMIFS(Однолинейка!$BX$3:$BX$3000,Однолинейка!$A$3:$A$3000,Щит_спец),""))),""))))</f>
        <v/>
      </c>
      <c r="O326" s="74"/>
      <c r="P326" s="38" t="str">
        <f t="shared" si="45"/>
        <v/>
      </c>
      <c r="U326" s="38" t="str">
        <f t="shared" si="46"/>
        <v/>
      </c>
      <c r="V326" s="38" t="str">
        <f t="shared" si="47"/>
        <v/>
      </c>
      <c r="W326" s="38" t="str">
        <f>IF(AND(U326&lt;&gt;"",OR($S$4="(все)",B326=$S$4),IF($S$4="(все)",COUNTIF($U$4:U326,U326),COUNTIFS($U$4:U326,U326,$B$4:B326,B326))=1),MAX($W$3:W325)+1,"")</f>
        <v/>
      </c>
      <c r="X326" s="38" t="str">
        <f t="shared" si="48"/>
        <v/>
      </c>
      <c r="Y326" s="38" t="str">
        <f>IF(AND(A326="Аппарат",C326&lt;&gt;"",OR($S$5="(все)",B326=$S$5)),MAX($Y$3:Y325)+1,"")</f>
        <v/>
      </c>
      <c r="Z326" s="38" t="str">
        <f t="shared" si="49"/>
        <v/>
      </c>
      <c r="AA326" s="38" t="str">
        <f>IF(AND(A326="Модуль",C326&lt;&gt;"",OR($S$6="(все)",B326=$S$6)),MAX($AA$3:AA325)+1,"")</f>
        <v/>
      </c>
      <c r="AB326" s="38" t="str">
        <f t="shared" si="50"/>
        <v/>
      </c>
      <c r="AC326" s="38" t="str">
        <f>IF(OR(B326="",COUNTIF($B$4:B326,B326)&gt;1),"",MAX($AC$3:AC325)+1)</f>
        <v/>
      </c>
      <c r="AD326" s="38" t="str">
        <f t="shared" si="51"/>
        <v/>
      </c>
      <c r="AE326" s="38" t="str">
        <f t="shared" si="52"/>
        <v/>
      </c>
      <c r="AF326" s="38" t="str">
        <f t="shared" si="53"/>
        <v/>
      </c>
    </row>
    <row r="327" spans="1:32" x14ac:dyDescent="0.3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38" t="str">
        <f>IF(OR(A327="Автомат",A327="Дифавтомат"),IF(W327="","",COUNTIFS(Однолинейка!$H$3:$H$3000,U327,Однолинейка!$A$3:$A$3000,Щит_спец)),IF(A327="Аппарат",IF(C327="","",COUNTIFS(Однолинейка!$I$3:$I$3000,C327,Однолинейка!$A$3:$A$3000,Щит_спец)+COUNTIFS(Однолинейка!$J$3:$J$3000,C327,Однолинейка!$A$3:$A$3000,Щит_спец)+COUNTIFS(Однолинейка!$K$3:$K$3000,C327,Однолинейка!$A$3:$A$3000,Щит_спец)),IF(A327="Модуль",IF(C327="","",COUNTIFS(Однолинейка!$AW$3:$AW$3000,"?*",Однолинейка!$AI$3:$AI$3000,C327,Однолинейка!$A$3:$A$3000,Щит_спец)),IF(A327="Клемма",IF(C327="","",IF(C327=$S$7,SUMIFS(Однолинейка!$BW$3:$BW$3000,Однолинейка!$A$3:$A$3000,Щит_спец),IF(C327=$S$8,SUMIFS(Однолинейка!$BX$3:$BX$3000,Однолинейка!$A$3:$A$3000,Щит_спец),""))),""))))</f>
        <v/>
      </c>
      <c r="O327" s="74"/>
      <c r="P327" s="38" t="str">
        <f t="shared" si="45"/>
        <v/>
      </c>
      <c r="U327" s="38" t="str">
        <f t="shared" si="46"/>
        <v/>
      </c>
      <c r="V327" s="38" t="str">
        <f t="shared" si="47"/>
        <v/>
      </c>
      <c r="W327" s="38" t="str">
        <f>IF(AND(U327&lt;&gt;"",OR($S$4="(все)",B327=$S$4),IF($S$4="(все)",COUNTIF($U$4:U327,U327),COUNTIFS($U$4:U327,U327,$B$4:B327,B327))=1),MAX($W$3:W326)+1,"")</f>
        <v/>
      </c>
      <c r="X327" s="38" t="str">
        <f t="shared" si="48"/>
        <v/>
      </c>
      <c r="Y327" s="38" t="str">
        <f>IF(AND(A327="Аппарат",C327&lt;&gt;"",OR($S$5="(все)",B327=$S$5)),MAX($Y$3:Y326)+1,"")</f>
        <v/>
      </c>
      <c r="Z327" s="38" t="str">
        <f t="shared" si="49"/>
        <v/>
      </c>
      <c r="AA327" s="38" t="str">
        <f>IF(AND(A327="Модуль",C327&lt;&gt;"",OR($S$6="(все)",B327=$S$6)),MAX($AA$3:AA326)+1,"")</f>
        <v/>
      </c>
      <c r="AB327" s="38" t="str">
        <f t="shared" si="50"/>
        <v/>
      </c>
      <c r="AC327" s="38" t="str">
        <f>IF(OR(B327="",COUNTIF($B$4:B327,B327)&gt;1),"",MAX($AC$3:AC326)+1)</f>
        <v/>
      </c>
      <c r="AD327" s="38" t="str">
        <f t="shared" si="51"/>
        <v/>
      </c>
      <c r="AE327" s="38" t="str">
        <f t="shared" si="52"/>
        <v/>
      </c>
      <c r="AF327" s="38" t="str">
        <f t="shared" si="53"/>
        <v/>
      </c>
    </row>
    <row r="328" spans="1:32" x14ac:dyDescent="0.3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38" t="str">
        <f>IF(OR(A328="Автомат",A328="Дифавтомат"),IF(W328="","",COUNTIFS(Однолинейка!$H$3:$H$3000,U328,Однолинейка!$A$3:$A$3000,Щит_спец)),IF(A328="Аппарат",IF(C328="","",COUNTIFS(Однолинейка!$I$3:$I$3000,C328,Однолинейка!$A$3:$A$3000,Щит_спец)+COUNTIFS(Однолинейка!$J$3:$J$3000,C328,Однолинейка!$A$3:$A$3000,Щит_спец)+COUNTIFS(Однолинейка!$K$3:$K$3000,C328,Однолинейка!$A$3:$A$3000,Щит_спец)),IF(A328="Модуль",IF(C328="","",COUNTIFS(Однолинейка!$AW$3:$AW$3000,"?*",Однолинейка!$AI$3:$AI$3000,C328,Однолинейка!$A$3:$A$3000,Щит_спец)),IF(A328="Клемма",IF(C328="","",IF(C328=$S$7,SUMIFS(Однолинейка!$BW$3:$BW$3000,Однолинейка!$A$3:$A$3000,Щит_спец),IF(C328=$S$8,SUMIFS(Однолинейка!$BX$3:$BX$3000,Однолинейка!$A$3:$A$3000,Щит_спец),""))),""))))</f>
        <v/>
      </c>
      <c r="O328" s="74"/>
      <c r="P328" s="38" t="str">
        <f t="shared" si="45"/>
        <v/>
      </c>
      <c r="U328" s="38" t="str">
        <f t="shared" si="46"/>
        <v/>
      </c>
      <c r="V328" s="38" t="str">
        <f t="shared" si="47"/>
        <v/>
      </c>
      <c r="W328" s="38" t="str">
        <f>IF(AND(U328&lt;&gt;"",OR($S$4="(все)",B328=$S$4),IF($S$4="(все)",COUNTIF($U$4:U328,U328),COUNTIFS($U$4:U328,U328,$B$4:B328,B328))=1),MAX($W$3:W327)+1,"")</f>
        <v/>
      </c>
      <c r="X328" s="38" t="str">
        <f t="shared" si="48"/>
        <v/>
      </c>
      <c r="Y328" s="38" t="str">
        <f>IF(AND(A328="Аппарат",C328&lt;&gt;"",OR($S$5="(все)",B328=$S$5)),MAX($Y$3:Y327)+1,"")</f>
        <v/>
      </c>
      <c r="Z328" s="38" t="str">
        <f t="shared" si="49"/>
        <v/>
      </c>
      <c r="AA328" s="38" t="str">
        <f>IF(AND(A328="Модуль",C328&lt;&gt;"",OR($S$6="(все)",B328=$S$6)),MAX($AA$3:AA327)+1,"")</f>
        <v/>
      </c>
      <c r="AB328" s="38" t="str">
        <f t="shared" si="50"/>
        <v/>
      </c>
      <c r="AC328" s="38" t="str">
        <f>IF(OR(B328="",COUNTIF($B$4:B328,B328)&gt;1),"",MAX($AC$3:AC327)+1)</f>
        <v/>
      </c>
      <c r="AD328" s="38" t="str">
        <f t="shared" si="51"/>
        <v/>
      </c>
      <c r="AE328" s="38" t="str">
        <f t="shared" si="52"/>
        <v/>
      </c>
      <c r="AF328" s="38" t="str">
        <f t="shared" si="53"/>
        <v/>
      </c>
    </row>
    <row r="329" spans="1:32" x14ac:dyDescent="0.3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38" t="str">
        <f>IF(OR(A329="Автомат",A329="Дифавтомат"),IF(W329="","",COUNTIFS(Однолинейка!$H$3:$H$3000,U329,Однолинейка!$A$3:$A$3000,Щит_спец)),IF(A329="Аппарат",IF(C329="","",COUNTIFS(Однолинейка!$I$3:$I$3000,C329,Однолинейка!$A$3:$A$3000,Щит_спец)+COUNTIFS(Однолинейка!$J$3:$J$3000,C329,Однолинейка!$A$3:$A$3000,Щит_спец)+COUNTIFS(Однолинейка!$K$3:$K$3000,C329,Однолинейка!$A$3:$A$3000,Щит_спец)),IF(A329="Модуль",IF(C329="","",COUNTIFS(Однолинейка!$AW$3:$AW$3000,"?*",Однолинейка!$AI$3:$AI$3000,C329,Однолинейка!$A$3:$A$3000,Щит_спец)),IF(A329="Клемма",IF(C329="","",IF(C329=$S$7,SUMIFS(Однолинейка!$BW$3:$BW$3000,Однолинейка!$A$3:$A$3000,Щит_спец),IF(C329=$S$8,SUMIFS(Однолинейка!$BX$3:$BX$3000,Однолинейка!$A$3:$A$3000,Щит_спец),""))),""))))</f>
        <v/>
      </c>
      <c r="O329" s="74"/>
      <c r="P329" s="38" t="str">
        <f t="shared" si="45"/>
        <v/>
      </c>
      <c r="U329" s="38" t="str">
        <f t="shared" si="46"/>
        <v/>
      </c>
      <c r="V329" s="38" t="str">
        <f t="shared" si="47"/>
        <v/>
      </c>
      <c r="W329" s="38" t="str">
        <f>IF(AND(U329&lt;&gt;"",OR($S$4="(все)",B329=$S$4),IF($S$4="(все)",COUNTIF($U$4:U329,U329),COUNTIFS($U$4:U329,U329,$B$4:B329,B329))=1),MAX($W$3:W328)+1,"")</f>
        <v/>
      </c>
      <c r="X329" s="38" t="str">
        <f t="shared" si="48"/>
        <v/>
      </c>
      <c r="Y329" s="38" t="str">
        <f>IF(AND(A329="Аппарат",C329&lt;&gt;"",OR($S$5="(все)",B329=$S$5)),MAX($Y$3:Y328)+1,"")</f>
        <v/>
      </c>
      <c r="Z329" s="38" t="str">
        <f t="shared" si="49"/>
        <v/>
      </c>
      <c r="AA329" s="38" t="str">
        <f>IF(AND(A329="Модуль",C329&lt;&gt;"",OR($S$6="(все)",B329=$S$6)),MAX($AA$3:AA328)+1,"")</f>
        <v/>
      </c>
      <c r="AB329" s="38" t="str">
        <f t="shared" si="50"/>
        <v/>
      </c>
      <c r="AC329" s="38" t="str">
        <f>IF(OR(B329="",COUNTIF($B$4:B329,B329)&gt;1),"",MAX($AC$3:AC328)+1)</f>
        <v/>
      </c>
      <c r="AD329" s="38" t="str">
        <f t="shared" si="51"/>
        <v/>
      </c>
      <c r="AE329" s="38" t="str">
        <f t="shared" si="52"/>
        <v/>
      </c>
      <c r="AF329" s="38" t="str">
        <f t="shared" si="53"/>
        <v/>
      </c>
    </row>
    <row r="330" spans="1:32" x14ac:dyDescent="0.3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38" t="str">
        <f>IF(OR(A330="Автомат",A330="Дифавтомат"),IF(W330="","",COUNTIFS(Однолинейка!$H$3:$H$3000,U330,Однолинейка!$A$3:$A$3000,Щит_спец)),IF(A330="Аппарат",IF(C330="","",COUNTIFS(Однолинейка!$I$3:$I$3000,C330,Однолинейка!$A$3:$A$3000,Щит_спец)+COUNTIFS(Однолинейка!$J$3:$J$3000,C330,Однолинейка!$A$3:$A$3000,Щит_спец)+COUNTIFS(Однолинейка!$K$3:$K$3000,C330,Однолинейка!$A$3:$A$3000,Щит_спец)),IF(A330="Модуль",IF(C330="","",COUNTIFS(Однолинейка!$AW$3:$AW$3000,"?*",Однолинейка!$AI$3:$AI$3000,C330,Однолинейка!$A$3:$A$3000,Щит_спец)),IF(A330="Клемма",IF(C330="","",IF(C330=$S$7,SUMIFS(Однолинейка!$BW$3:$BW$3000,Однолинейка!$A$3:$A$3000,Щит_спец),IF(C330=$S$8,SUMIFS(Однолинейка!$BX$3:$BX$3000,Однолинейка!$A$3:$A$3000,Щит_спец),""))),""))))</f>
        <v/>
      </c>
      <c r="O330" s="74"/>
      <c r="P330" s="38" t="str">
        <f t="shared" si="45"/>
        <v/>
      </c>
      <c r="U330" s="38" t="str">
        <f t="shared" si="46"/>
        <v/>
      </c>
      <c r="V330" s="38" t="str">
        <f t="shared" si="47"/>
        <v/>
      </c>
      <c r="W330" s="38" t="str">
        <f>IF(AND(U330&lt;&gt;"",OR($S$4="(все)",B330=$S$4),IF($S$4="(все)",COUNTIF($U$4:U330,U330),COUNTIFS($U$4:U330,U330,$B$4:B330,B330))=1),MAX($W$3:W329)+1,"")</f>
        <v/>
      </c>
      <c r="X330" s="38" t="str">
        <f t="shared" si="48"/>
        <v/>
      </c>
      <c r="Y330" s="38" t="str">
        <f>IF(AND(A330="Аппарат",C330&lt;&gt;"",OR($S$5="(все)",B330=$S$5)),MAX($Y$3:Y329)+1,"")</f>
        <v/>
      </c>
      <c r="Z330" s="38" t="str">
        <f t="shared" si="49"/>
        <v/>
      </c>
      <c r="AA330" s="38" t="str">
        <f>IF(AND(A330="Модуль",C330&lt;&gt;"",OR($S$6="(все)",B330=$S$6)),MAX($AA$3:AA329)+1,"")</f>
        <v/>
      </c>
      <c r="AB330" s="38" t="str">
        <f t="shared" si="50"/>
        <v/>
      </c>
      <c r="AC330" s="38" t="str">
        <f>IF(OR(B330="",COUNTIF($B$4:B330,B330)&gt;1),"",MAX($AC$3:AC329)+1)</f>
        <v/>
      </c>
      <c r="AD330" s="38" t="str">
        <f t="shared" si="51"/>
        <v/>
      </c>
      <c r="AE330" s="38" t="str">
        <f t="shared" si="52"/>
        <v/>
      </c>
      <c r="AF330" s="38" t="str">
        <f t="shared" si="53"/>
        <v/>
      </c>
    </row>
    <row r="331" spans="1:32" x14ac:dyDescent="0.3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38" t="str">
        <f>IF(OR(A331="Автомат",A331="Дифавтомат"),IF(W331="","",COUNTIFS(Однолинейка!$H$3:$H$3000,U331,Однолинейка!$A$3:$A$3000,Щит_спец)),IF(A331="Аппарат",IF(C331="","",COUNTIFS(Однолинейка!$I$3:$I$3000,C331,Однолинейка!$A$3:$A$3000,Щит_спец)+COUNTIFS(Однолинейка!$J$3:$J$3000,C331,Однолинейка!$A$3:$A$3000,Щит_спец)+COUNTIFS(Однолинейка!$K$3:$K$3000,C331,Однолинейка!$A$3:$A$3000,Щит_спец)),IF(A331="Модуль",IF(C331="","",COUNTIFS(Однолинейка!$AW$3:$AW$3000,"?*",Однолинейка!$AI$3:$AI$3000,C331,Однолинейка!$A$3:$A$3000,Щит_спец)),IF(A331="Клемма",IF(C331="","",IF(C331=$S$7,SUMIFS(Однолинейка!$BW$3:$BW$3000,Однолинейка!$A$3:$A$3000,Щит_спец),IF(C331=$S$8,SUMIFS(Однолинейка!$BX$3:$BX$3000,Однолинейка!$A$3:$A$3000,Щит_спец),""))),""))))</f>
        <v/>
      </c>
      <c r="O331" s="74"/>
      <c r="P331" s="38" t="str">
        <f t="shared" si="45"/>
        <v/>
      </c>
      <c r="U331" s="38" t="str">
        <f t="shared" si="46"/>
        <v/>
      </c>
      <c r="V331" s="38" t="str">
        <f t="shared" si="47"/>
        <v/>
      </c>
      <c r="W331" s="38" t="str">
        <f>IF(AND(U331&lt;&gt;"",OR($S$4="(все)",B331=$S$4),IF($S$4="(все)",COUNTIF($U$4:U331,U331),COUNTIFS($U$4:U331,U331,$B$4:B331,B331))=1),MAX($W$3:W330)+1,"")</f>
        <v/>
      </c>
      <c r="X331" s="38" t="str">
        <f t="shared" si="48"/>
        <v/>
      </c>
      <c r="Y331" s="38" t="str">
        <f>IF(AND(A331="Аппарат",C331&lt;&gt;"",OR($S$5="(все)",B331=$S$5)),MAX($Y$3:Y330)+1,"")</f>
        <v/>
      </c>
      <c r="Z331" s="38" t="str">
        <f t="shared" si="49"/>
        <v/>
      </c>
      <c r="AA331" s="38" t="str">
        <f>IF(AND(A331="Модуль",C331&lt;&gt;"",OR($S$6="(все)",B331=$S$6)),MAX($AA$3:AA330)+1,"")</f>
        <v/>
      </c>
      <c r="AB331" s="38" t="str">
        <f t="shared" si="50"/>
        <v/>
      </c>
      <c r="AC331" s="38" t="str">
        <f>IF(OR(B331="",COUNTIF($B$4:B331,B331)&gt;1),"",MAX($AC$3:AC330)+1)</f>
        <v/>
      </c>
      <c r="AD331" s="38" t="str">
        <f t="shared" si="51"/>
        <v/>
      </c>
      <c r="AE331" s="38" t="str">
        <f t="shared" si="52"/>
        <v/>
      </c>
      <c r="AF331" s="38" t="str">
        <f t="shared" si="53"/>
        <v/>
      </c>
    </row>
    <row r="332" spans="1:32" x14ac:dyDescent="0.3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38" t="str">
        <f>IF(OR(A332="Автомат",A332="Дифавтомат"),IF(W332="","",COUNTIFS(Однолинейка!$H$3:$H$3000,U332,Однолинейка!$A$3:$A$3000,Щит_спец)),IF(A332="Аппарат",IF(C332="","",COUNTIFS(Однолинейка!$I$3:$I$3000,C332,Однолинейка!$A$3:$A$3000,Щит_спец)+COUNTIFS(Однолинейка!$J$3:$J$3000,C332,Однолинейка!$A$3:$A$3000,Щит_спец)+COUNTIFS(Однолинейка!$K$3:$K$3000,C332,Однолинейка!$A$3:$A$3000,Щит_спец)),IF(A332="Модуль",IF(C332="","",COUNTIFS(Однолинейка!$AW$3:$AW$3000,"?*",Однолинейка!$AI$3:$AI$3000,C332,Однолинейка!$A$3:$A$3000,Щит_спец)),IF(A332="Клемма",IF(C332="","",IF(C332=$S$7,SUMIFS(Однолинейка!$BW$3:$BW$3000,Однолинейка!$A$3:$A$3000,Щит_спец),IF(C332=$S$8,SUMIFS(Однолинейка!$BX$3:$BX$3000,Однолинейка!$A$3:$A$3000,Щит_спец),""))),""))))</f>
        <v/>
      </c>
      <c r="O332" s="74"/>
      <c r="P332" s="38" t="str">
        <f t="shared" si="45"/>
        <v/>
      </c>
      <c r="U332" s="38" t="str">
        <f t="shared" si="46"/>
        <v/>
      </c>
      <c r="V332" s="38" t="str">
        <f t="shared" si="47"/>
        <v/>
      </c>
      <c r="W332" s="38" t="str">
        <f>IF(AND(U332&lt;&gt;"",OR($S$4="(все)",B332=$S$4),IF($S$4="(все)",COUNTIF($U$4:U332,U332),COUNTIFS($U$4:U332,U332,$B$4:B332,B332))=1),MAX($W$3:W331)+1,"")</f>
        <v/>
      </c>
      <c r="X332" s="38" t="str">
        <f t="shared" si="48"/>
        <v/>
      </c>
      <c r="Y332" s="38" t="str">
        <f>IF(AND(A332="Аппарат",C332&lt;&gt;"",OR($S$5="(все)",B332=$S$5)),MAX($Y$3:Y331)+1,"")</f>
        <v/>
      </c>
      <c r="Z332" s="38" t="str">
        <f t="shared" si="49"/>
        <v/>
      </c>
      <c r="AA332" s="38" t="str">
        <f>IF(AND(A332="Модуль",C332&lt;&gt;"",OR($S$6="(все)",B332=$S$6)),MAX($AA$3:AA331)+1,"")</f>
        <v/>
      </c>
      <c r="AB332" s="38" t="str">
        <f t="shared" si="50"/>
        <v/>
      </c>
      <c r="AC332" s="38" t="str">
        <f>IF(OR(B332="",COUNTIF($B$4:B332,B332)&gt;1),"",MAX($AC$3:AC331)+1)</f>
        <v/>
      </c>
      <c r="AD332" s="38" t="str">
        <f t="shared" si="51"/>
        <v/>
      </c>
      <c r="AE332" s="38" t="str">
        <f t="shared" si="52"/>
        <v/>
      </c>
      <c r="AF332" s="38" t="str">
        <f t="shared" si="53"/>
        <v/>
      </c>
    </row>
    <row r="333" spans="1:32" x14ac:dyDescent="0.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38" t="str">
        <f>IF(OR(A333="Автомат",A333="Дифавтомат"),IF(W333="","",COUNTIFS(Однолинейка!$H$3:$H$3000,U333,Однолинейка!$A$3:$A$3000,Щит_спец)),IF(A333="Аппарат",IF(C333="","",COUNTIFS(Однолинейка!$I$3:$I$3000,C333,Однолинейка!$A$3:$A$3000,Щит_спец)+COUNTIFS(Однолинейка!$J$3:$J$3000,C333,Однолинейка!$A$3:$A$3000,Щит_спец)+COUNTIFS(Однолинейка!$K$3:$K$3000,C333,Однолинейка!$A$3:$A$3000,Щит_спец)),IF(A333="Модуль",IF(C333="","",COUNTIFS(Однолинейка!$AW$3:$AW$3000,"?*",Однолинейка!$AI$3:$AI$3000,C333,Однолинейка!$A$3:$A$3000,Щит_спец)),IF(A333="Клемма",IF(C333="","",IF(C333=$S$7,SUMIFS(Однолинейка!$BW$3:$BW$3000,Однолинейка!$A$3:$A$3000,Щит_спец),IF(C333=$S$8,SUMIFS(Однолинейка!$BX$3:$BX$3000,Однолинейка!$A$3:$A$3000,Щит_спец),""))),""))))</f>
        <v/>
      </c>
      <c r="O333" s="74"/>
      <c r="P333" s="38" t="str">
        <f t="shared" si="45"/>
        <v/>
      </c>
      <c r="U333" s="38" t="str">
        <f t="shared" si="46"/>
        <v/>
      </c>
      <c r="V333" s="38" t="str">
        <f t="shared" si="47"/>
        <v/>
      </c>
      <c r="W333" s="38" t="str">
        <f>IF(AND(U333&lt;&gt;"",OR($S$4="(все)",B333=$S$4),IF($S$4="(все)",COUNTIF($U$4:U333,U333),COUNTIFS($U$4:U333,U333,$B$4:B333,B333))=1),MAX($W$3:W332)+1,"")</f>
        <v/>
      </c>
      <c r="X333" s="38" t="str">
        <f t="shared" si="48"/>
        <v/>
      </c>
      <c r="Y333" s="38" t="str">
        <f>IF(AND(A333="Аппарат",C333&lt;&gt;"",OR($S$5="(все)",B333=$S$5)),MAX($Y$3:Y332)+1,"")</f>
        <v/>
      </c>
      <c r="Z333" s="38" t="str">
        <f t="shared" si="49"/>
        <v/>
      </c>
      <c r="AA333" s="38" t="str">
        <f>IF(AND(A333="Модуль",C333&lt;&gt;"",OR($S$6="(все)",B333=$S$6)),MAX($AA$3:AA332)+1,"")</f>
        <v/>
      </c>
      <c r="AB333" s="38" t="str">
        <f t="shared" si="50"/>
        <v/>
      </c>
      <c r="AC333" s="38" t="str">
        <f>IF(OR(B333="",COUNTIF($B$4:B333,B333)&gt;1),"",MAX($AC$3:AC332)+1)</f>
        <v/>
      </c>
      <c r="AD333" s="38" t="str">
        <f t="shared" si="51"/>
        <v/>
      </c>
      <c r="AE333" s="38" t="str">
        <f t="shared" si="52"/>
        <v/>
      </c>
      <c r="AF333" s="38" t="str">
        <f t="shared" si="53"/>
        <v/>
      </c>
    </row>
    <row r="334" spans="1:32" x14ac:dyDescent="0.3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38" t="str">
        <f>IF(OR(A334="Автомат",A334="Дифавтомат"),IF(W334="","",COUNTIFS(Однолинейка!$H$3:$H$3000,U334,Однолинейка!$A$3:$A$3000,Щит_спец)),IF(A334="Аппарат",IF(C334="","",COUNTIFS(Однолинейка!$I$3:$I$3000,C334,Однолинейка!$A$3:$A$3000,Щит_спец)+COUNTIFS(Однолинейка!$J$3:$J$3000,C334,Однолинейка!$A$3:$A$3000,Щит_спец)+COUNTIFS(Однолинейка!$K$3:$K$3000,C334,Однолинейка!$A$3:$A$3000,Щит_спец)),IF(A334="Модуль",IF(C334="","",COUNTIFS(Однолинейка!$AW$3:$AW$3000,"?*",Однолинейка!$AI$3:$AI$3000,C334,Однолинейка!$A$3:$A$3000,Щит_спец)),IF(A334="Клемма",IF(C334="","",IF(C334=$S$7,SUMIFS(Однолинейка!$BW$3:$BW$3000,Однолинейка!$A$3:$A$3000,Щит_спец),IF(C334=$S$8,SUMIFS(Однолинейка!$BX$3:$BX$3000,Однолинейка!$A$3:$A$3000,Щит_спец),""))),""))))</f>
        <v/>
      </c>
      <c r="O334" s="74"/>
      <c r="P334" s="38" t="str">
        <f t="shared" si="45"/>
        <v/>
      </c>
      <c r="U334" s="38" t="str">
        <f t="shared" si="46"/>
        <v/>
      </c>
      <c r="V334" s="38" t="str">
        <f t="shared" si="47"/>
        <v/>
      </c>
      <c r="W334" s="38" t="str">
        <f>IF(AND(U334&lt;&gt;"",OR($S$4="(все)",B334=$S$4),IF($S$4="(все)",COUNTIF($U$4:U334,U334),COUNTIFS($U$4:U334,U334,$B$4:B334,B334))=1),MAX($W$3:W333)+1,"")</f>
        <v/>
      </c>
      <c r="X334" s="38" t="str">
        <f t="shared" si="48"/>
        <v/>
      </c>
      <c r="Y334" s="38" t="str">
        <f>IF(AND(A334="Аппарат",C334&lt;&gt;"",OR($S$5="(все)",B334=$S$5)),MAX($Y$3:Y333)+1,"")</f>
        <v/>
      </c>
      <c r="Z334" s="38" t="str">
        <f t="shared" si="49"/>
        <v/>
      </c>
      <c r="AA334" s="38" t="str">
        <f>IF(AND(A334="Модуль",C334&lt;&gt;"",OR($S$6="(все)",B334=$S$6)),MAX($AA$3:AA333)+1,"")</f>
        <v/>
      </c>
      <c r="AB334" s="38" t="str">
        <f t="shared" si="50"/>
        <v/>
      </c>
      <c r="AC334" s="38" t="str">
        <f>IF(OR(B334="",COUNTIF($B$4:B334,B334)&gt;1),"",MAX($AC$3:AC333)+1)</f>
        <v/>
      </c>
      <c r="AD334" s="38" t="str">
        <f t="shared" si="51"/>
        <v/>
      </c>
      <c r="AE334" s="38" t="str">
        <f t="shared" si="52"/>
        <v/>
      </c>
      <c r="AF334" s="38" t="str">
        <f t="shared" si="53"/>
        <v/>
      </c>
    </row>
    <row r="335" spans="1:32" x14ac:dyDescent="0.3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38" t="str">
        <f>IF(OR(A335="Автомат",A335="Дифавтомат"),IF(W335="","",COUNTIFS(Однолинейка!$H$3:$H$3000,U335,Однолинейка!$A$3:$A$3000,Щит_спец)),IF(A335="Аппарат",IF(C335="","",COUNTIFS(Однолинейка!$I$3:$I$3000,C335,Однолинейка!$A$3:$A$3000,Щит_спец)+COUNTIFS(Однолинейка!$J$3:$J$3000,C335,Однолинейка!$A$3:$A$3000,Щит_спец)+COUNTIFS(Однолинейка!$K$3:$K$3000,C335,Однолинейка!$A$3:$A$3000,Щит_спец)),IF(A335="Модуль",IF(C335="","",COUNTIFS(Однолинейка!$AW$3:$AW$3000,"?*",Однолинейка!$AI$3:$AI$3000,C335,Однолинейка!$A$3:$A$3000,Щит_спец)),IF(A335="Клемма",IF(C335="","",IF(C335=$S$7,SUMIFS(Однолинейка!$BW$3:$BW$3000,Однолинейка!$A$3:$A$3000,Щит_спец),IF(C335=$S$8,SUMIFS(Однолинейка!$BX$3:$BX$3000,Однолинейка!$A$3:$A$3000,Щит_спец),""))),""))))</f>
        <v/>
      </c>
      <c r="O335" s="74"/>
      <c r="P335" s="38" t="str">
        <f t="shared" si="45"/>
        <v/>
      </c>
      <c r="U335" s="38" t="str">
        <f t="shared" si="46"/>
        <v/>
      </c>
      <c r="V335" s="38" t="str">
        <f t="shared" si="47"/>
        <v/>
      </c>
      <c r="W335" s="38" t="str">
        <f>IF(AND(U335&lt;&gt;"",OR($S$4="(все)",B335=$S$4),IF($S$4="(все)",COUNTIF($U$4:U335,U335),COUNTIFS($U$4:U335,U335,$B$4:B335,B335))=1),MAX($W$3:W334)+1,"")</f>
        <v/>
      </c>
      <c r="X335" s="38" t="str">
        <f t="shared" si="48"/>
        <v/>
      </c>
      <c r="Y335" s="38" t="str">
        <f>IF(AND(A335="Аппарат",C335&lt;&gt;"",OR($S$5="(все)",B335=$S$5)),MAX($Y$3:Y334)+1,"")</f>
        <v/>
      </c>
      <c r="Z335" s="38" t="str">
        <f t="shared" si="49"/>
        <v/>
      </c>
      <c r="AA335" s="38" t="str">
        <f>IF(AND(A335="Модуль",C335&lt;&gt;"",OR($S$6="(все)",B335=$S$6)),MAX($AA$3:AA334)+1,"")</f>
        <v/>
      </c>
      <c r="AB335" s="38" t="str">
        <f t="shared" si="50"/>
        <v/>
      </c>
      <c r="AC335" s="38" t="str">
        <f>IF(OR(B335="",COUNTIF($B$4:B335,B335)&gt;1),"",MAX($AC$3:AC334)+1)</f>
        <v/>
      </c>
      <c r="AD335" s="38" t="str">
        <f t="shared" si="51"/>
        <v/>
      </c>
      <c r="AE335" s="38" t="str">
        <f t="shared" si="52"/>
        <v/>
      </c>
      <c r="AF335" s="38" t="str">
        <f t="shared" si="53"/>
        <v/>
      </c>
    </row>
    <row r="336" spans="1:32" x14ac:dyDescent="0.3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38" t="str">
        <f>IF(OR(A336="Автомат",A336="Дифавтомат"),IF(W336="","",COUNTIFS(Однолинейка!$H$3:$H$3000,U336,Однолинейка!$A$3:$A$3000,Щит_спец)),IF(A336="Аппарат",IF(C336="","",COUNTIFS(Однолинейка!$I$3:$I$3000,C336,Однолинейка!$A$3:$A$3000,Щит_спец)+COUNTIFS(Однолинейка!$J$3:$J$3000,C336,Однолинейка!$A$3:$A$3000,Щит_спец)+COUNTIFS(Однолинейка!$K$3:$K$3000,C336,Однолинейка!$A$3:$A$3000,Щит_спец)),IF(A336="Модуль",IF(C336="","",COUNTIFS(Однолинейка!$AW$3:$AW$3000,"?*",Однолинейка!$AI$3:$AI$3000,C336,Однолинейка!$A$3:$A$3000,Щит_спец)),IF(A336="Клемма",IF(C336="","",IF(C336=$S$7,SUMIFS(Однолинейка!$BW$3:$BW$3000,Однолинейка!$A$3:$A$3000,Щит_спец),IF(C336=$S$8,SUMIFS(Однолинейка!$BX$3:$BX$3000,Однолинейка!$A$3:$A$3000,Щит_спец),""))),""))))</f>
        <v/>
      </c>
      <c r="O336" s="74"/>
      <c r="P336" s="38" t="str">
        <f t="shared" si="45"/>
        <v/>
      </c>
      <c r="U336" s="38" t="str">
        <f t="shared" si="46"/>
        <v/>
      </c>
      <c r="V336" s="38" t="str">
        <f t="shared" si="47"/>
        <v/>
      </c>
      <c r="W336" s="38" t="str">
        <f>IF(AND(U336&lt;&gt;"",OR($S$4="(все)",B336=$S$4),IF($S$4="(все)",COUNTIF($U$4:U336,U336),COUNTIFS($U$4:U336,U336,$B$4:B336,B336))=1),MAX($W$3:W335)+1,"")</f>
        <v/>
      </c>
      <c r="X336" s="38" t="str">
        <f t="shared" si="48"/>
        <v/>
      </c>
      <c r="Y336" s="38" t="str">
        <f>IF(AND(A336="Аппарат",C336&lt;&gt;"",OR($S$5="(все)",B336=$S$5)),MAX($Y$3:Y335)+1,"")</f>
        <v/>
      </c>
      <c r="Z336" s="38" t="str">
        <f t="shared" si="49"/>
        <v/>
      </c>
      <c r="AA336" s="38" t="str">
        <f>IF(AND(A336="Модуль",C336&lt;&gt;"",OR($S$6="(все)",B336=$S$6)),MAX($AA$3:AA335)+1,"")</f>
        <v/>
      </c>
      <c r="AB336" s="38" t="str">
        <f t="shared" si="50"/>
        <v/>
      </c>
      <c r="AC336" s="38" t="str">
        <f>IF(OR(B336="",COUNTIF($B$4:B336,B336)&gt;1),"",MAX($AC$3:AC335)+1)</f>
        <v/>
      </c>
      <c r="AD336" s="38" t="str">
        <f t="shared" si="51"/>
        <v/>
      </c>
      <c r="AE336" s="38" t="str">
        <f t="shared" si="52"/>
        <v/>
      </c>
      <c r="AF336" s="38" t="str">
        <f t="shared" si="53"/>
        <v/>
      </c>
    </row>
    <row r="337" spans="1:32" x14ac:dyDescent="0.3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38" t="str">
        <f>IF(OR(A337="Автомат",A337="Дифавтомат"),IF(W337="","",COUNTIFS(Однолинейка!$H$3:$H$3000,U337,Однолинейка!$A$3:$A$3000,Щит_спец)),IF(A337="Аппарат",IF(C337="","",COUNTIFS(Однолинейка!$I$3:$I$3000,C337,Однолинейка!$A$3:$A$3000,Щит_спец)+COUNTIFS(Однолинейка!$J$3:$J$3000,C337,Однолинейка!$A$3:$A$3000,Щит_спец)+COUNTIFS(Однолинейка!$K$3:$K$3000,C337,Однолинейка!$A$3:$A$3000,Щит_спец)),IF(A337="Модуль",IF(C337="","",COUNTIFS(Однолинейка!$AW$3:$AW$3000,"?*",Однолинейка!$AI$3:$AI$3000,C337,Однолинейка!$A$3:$A$3000,Щит_спец)),IF(A337="Клемма",IF(C337="","",IF(C337=$S$7,SUMIFS(Однолинейка!$BW$3:$BW$3000,Однолинейка!$A$3:$A$3000,Щит_спец),IF(C337=$S$8,SUMIFS(Однолинейка!$BX$3:$BX$3000,Однолинейка!$A$3:$A$3000,Щит_спец),""))),""))))</f>
        <v/>
      </c>
      <c r="O337" s="74"/>
      <c r="P337" s="38" t="str">
        <f t="shared" si="45"/>
        <v/>
      </c>
      <c r="U337" s="38" t="str">
        <f t="shared" si="46"/>
        <v/>
      </c>
      <c r="V337" s="38" t="str">
        <f t="shared" si="47"/>
        <v/>
      </c>
      <c r="W337" s="38" t="str">
        <f>IF(AND(U337&lt;&gt;"",OR($S$4="(все)",B337=$S$4),IF($S$4="(все)",COUNTIF($U$4:U337,U337),COUNTIFS($U$4:U337,U337,$B$4:B337,B337))=1),MAX($W$3:W336)+1,"")</f>
        <v/>
      </c>
      <c r="X337" s="38" t="str">
        <f t="shared" si="48"/>
        <v/>
      </c>
      <c r="Y337" s="38" t="str">
        <f>IF(AND(A337="Аппарат",C337&lt;&gt;"",OR($S$5="(все)",B337=$S$5)),MAX($Y$3:Y336)+1,"")</f>
        <v/>
      </c>
      <c r="Z337" s="38" t="str">
        <f t="shared" si="49"/>
        <v/>
      </c>
      <c r="AA337" s="38" t="str">
        <f>IF(AND(A337="Модуль",C337&lt;&gt;"",OR($S$6="(все)",B337=$S$6)),MAX($AA$3:AA336)+1,"")</f>
        <v/>
      </c>
      <c r="AB337" s="38" t="str">
        <f t="shared" si="50"/>
        <v/>
      </c>
      <c r="AC337" s="38" t="str">
        <f>IF(OR(B337="",COUNTIF($B$4:B337,B337)&gt;1),"",MAX($AC$3:AC336)+1)</f>
        <v/>
      </c>
      <c r="AD337" s="38" t="str">
        <f t="shared" si="51"/>
        <v/>
      </c>
      <c r="AE337" s="38" t="str">
        <f t="shared" si="52"/>
        <v/>
      </c>
      <c r="AF337" s="38" t="str">
        <f t="shared" si="53"/>
        <v/>
      </c>
    </row>
    <row r="338" spans="1:32" x14ac:dyDescent="0.3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38" t="str">
        <f>IF(OR(A338="Автомат",A338="Дифавтомат"),IF(W338="","",COUNTIFS(Однолинейка!$H$3:$H$3000,U338,Однолинейка!$A$3:$A$3000,Щит_спец)),IF(A338="Аппарат",IF(C338="","",COUNTIFS(Однолинейка!$I$3:$I$3000,C338,Однолинейка!$A$3:$A$3000,Щит_спец)+COUNTIFS(Однолинейка!$J$3:$J$3000,C338,Однолинейка!$A$3:$A$3000,Щит_спец)+COUNTIFS(Однолинейка!$K$3:$K$3000,C338,Однолинейка!$A$3:$A$3000,Щит_спец)),IF(A338="Модуль",IF(C338="","",COUNTIFS(Однолинейка!$AW$3:$AW$3000,"?*",Однолинейка!$AI$3:$AI$3000,C338,Однолинейка!$A$3:$A$3000,Щит_спец)),IF(A338="Клемма",IF(C338="","",IF(C338=$S$7,SUMIFS(Однолинейка!$BW$3:$BW$3000,Однолинейка!$A$3:$A$3000,Щит_спец),IF(C338=$S$8,SUMIFS(Однолинейка!$BX$3:$BX$3000,Однолинейка!$A$3:$A$3000,Щит_спец),""))),""))))</f>
        <v/>
      </c>
      <c r="O338" s="74"/>
      <c r="P338" s="38" t="str">
        <f t="shared" si="45"/>
        <v/>
      </c>
      <c r="U338" s="38" t="str">
        <f t="shared" si="46"/>
        <v/>
      </c>
      <c r="V338" s="38" t="str">
        <f t="shared" si="47"/>
        <v/>
      </c>
      <c r="W338" s="38" t="str">
        <f>IF(AND(U338&lt;&gt;"",OR($S$4="(все)",B338=$S$4),IF($S$4="(все)",COUNTIF($U$4:U338,U338),COUNTIFS($U$4:U338,U338,$B$4:B338,B338))=1),MAX($W$3:W337)+1,"")</f>
        <v/>
      </c>
      <c r="X338" s="38" t="str">
        <f t="shared" si="48"/>
        <v/>
      </c>
      <c r="Y338" s="38" t="str">
        <f>IF(AND(A338="Аппарат",C338&lt;&gt;"",OR($S$5="(все)",B338=$S$5)),MAX($Y$3:Y337)+1,"")</f>
        <v/>
      </c>
      <c r="Z338" s="38" t="str">
        <f t="shared" si="49"/>
        <v/>
      </c>
      <c r="AA338" s="38" t="str">
        <f>IF(AND(A338="Модуль",C338&lt;&gt;"",OR($S$6="(все)",B338=$S$6)),MAX($AA$3:AA337)+1,"")</f>
        <v/>
      </c>
      <c r="AB338" s="38" t="str">
        <f t="shared" si="50"/>
        <v/>
      </c>
      <c r="AC338" s="38" t="str">
        <f>IF(OR(B338="",COUNTIF($B$4:B338,B338)&gt;1),"",MAX($AC$3:AC337)+1)</f>
        <v/>
      </c>
      <c r="AD338" s="38" t="str">
        <f t="shared" si="51"/>
        <v/>
      </c>
      <c r="AE338" s="38" t="str">
        <f t="shared" si="52"/>
        <v/>
      </c>
      <c r="AF338" s="38" t="str">
        <f t="shared" si="53"/>
        <v/>
      </c>
    </row>
    <row r="339" spans="1:32" x14ac:dyDescent="0.3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38" t="str">
        <f>IF(OR(A339="Автомат",A339="Дифавтомат"),IF(W339="","",COUNTIFS(Однолинейка!$H$3:$H$3000,U339,Однолинейка!$A$3:$A$3000,Щит_спец)),IF(A339="Аппарат",IF(C339="","",COUNTIFS(Однолинейка!$I$3:$I$3000,C339,Однолинейка!$A$3:$A$3000,Щит_спец)+COUNTIFS(Однолинейка!$J$3:$J$3000,C339,Однолинейка!$A$3:$A$3000,Щит_спец)+COUNTIFS(Однолинейка!$K$3:$K$3000,C339,Однолинейка!$A$3:$A$3000,Щит_спец)),IF(A339="Модуль",IF(C339="","",COUNTIFS(Однолинейка!$AW$3:$AW$3000,"?*",Однолинейка!$AI$3:$AI$3000,C339,Однолинейка!$A$3:$A$3000,Щит_спец)),IF(A339="Клемма",IF(C339="","",IF(C339=$S$7,SUMIFS(Однолинейка!$BW$3:$BW$3000,Однолинейка!$A$3:$A$3000,Щит_спец),IF(C339=$S$8,SUMIFS(Однолинейка!$BX$3:$BX$3000,Однолинейка!$A$3:$A$3000,Щит_спец),""))),""))))</f>
        <v/>
      </c>
      <c r="O339" s="74"/>
      <c r="P339" s="38" t="str">
        <f t="shared" si="45"/>
        <v/>
      </c>
      <c r="U339" s="38" t="str">
        <f t="shared" si="46"/>
        <v/>
      </c>
      <c r="V339" s="38" t="str">
        <f t="shared" si="47"/>
        <v/>
      </c>
      <c r="W339" s="38" t="str">
        <f>IF(AND(U339&lt;&gt;"",OR($S$4="(все)",B339=$S$4),IF($S$4="(все)",COUNTIF($U$4:U339,U339),COUNTIFS($U$4:U339,U339,$B$4:B339,B339))=1),MAX($W$3:W338)+1,"")</f>
        <v/>
      </c>
      <c r="X339" s="38" t="str">
        <f t="shared" si="48"/>
        <v/>
      </c>
      <c r="Y339" s="38" t="str">
        <f>IF(AND(A339="Аппарат",C339&lt;&gt;"",OR($S$5="(все)",B339=$S$5)),MAX($Y$3:Y338)+1,"")</f>
        <v/>
      </c>
      <c r="Z339" s="38" t="str">
        <f t="shared" si="49"/>
        <v/>
      </c>
      <c r="AA339" s="38" t="str">
        <f>IF(AND(A339="Модуль",C339&lt;&gt;"",OR($S$6="(все)",B339=$S$6)),MAX($AA$3:AA338)+1,"")</f>
        <v/>
      </c>
      <c r="AB339" s="38" t="str">
        <f t="shared" si="50"/>
        <v/>
      </c>
      <c r="AC339" s="38" t="str">
        <f>IF(OR(B339="",COUNTIF($B$4:B339,B339)&gt;1),"",MAX($AC$3:AC338)+1)</f>
        <v/>
      </c>
      <c r="AD339" s="38" t="str">
        <f t="shared" si="51"/>
        <v/>
      </c>
      <c r="AE339" s="38" t="str">
        <f t="shared" si="52"/>
        <v/>
      </c>
      <c r="AF339" s="38" t="str">
        <f t="shared" si="53"/>
        <v/>
      </c>
    </row>
    <row r="340" spans="1:32" x14ac:dyDescent="0.3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38" t="str">
        <f>IF(OR(A340="Автомат",A340="Дифавтомат"),IF(W340="","",COUNTIFS(Однолинейка!$H$3:$H$3000,U340,Однолинейка!$A$3:$A$3000,Щит_спец)),IF(A340="Аппарат",IF(C340="","",COUNTIFS(Однолинейка!$I$3:$I$3000,C340,Однолинейка!$A$3:$A$3000,Щит_спец)+COUNTIFS(Однолинейка!$J$3:$J$3000,C340,Однолинейка!$A$3:$A$3000,Щит_спец)+COUNTIFS(Однолинейка!$K$3:$K$3000,C340,Однолинейка!$A$3:$A$3000,Щит_спец)),IF(A340="Модуль",IF(C340="","",COUNTIFS(Однолинейка!$AW$3:$AW$3000,"?*",Однолинейка!$AI$3:$AI$3000,C340,Однолинейка!$A$3:$A$3000,Щит_спец)),IF(A340="Клемма",IF(C340="","",IF(C340=$S$7,SUMIFS(Однолинейка!$BW$3:$BW$3000,Однолинейка!$A$3:$A$3000,Щит_спец),IF(C340=$S$8,SUMIFS(Однолинейка!$BX$3:$BX$3000,Однолинейка!$A$3:$A$3000,Щит_спец),""))),""))))</f>
        <v/>
      </c>
      <c r="O340" s="74"/>
      <c r="P340" s="38" t="str">
        <f t="shared" si="45"/>
        <v/>
      </c>
      <c r="U340" s="38" t="str">
        <f t="shared" si="46"/>
        <v/>
      </c>
      <c r="V340" s="38" t="str">
        <f t="shared" si="47"/>
        <v/>
      </c>
      <c r="W340" s="38" t="str">
        <f>IF(AND(U340&lt;&gt;"",OR($S$4="(все)",B340=$S$4),IF($S$4="(все)",COUNTIF($U$4:U340,U340),COUNTIFS($U$4:U340,U340,$B$4:B340,B340))=1),MAX($W$3:W339)+1,"")</f>
        <v/>
      </c>
      <c r="X340" s="38" t="str">
        <f t="shared" si="48"/>
        <v/>
      </c>
      <c r="Y340" s="38" t="str">
        <f>IF(AND(A340="Аппарат",C340&lt;&gt;"",OR($S$5="(все)",B340=$S$5)),MAX($Y$3:Y339)+1,"")</f>
        <v/>
      </c>
      <c r="Z340" s="38" t="str">
        <f t="shared" si="49"/>
        <v/>
      </c>
      <c r="AA340" s="38" t="str">
        <f>IF(AND(A340="Модуль",C340&lt;&gt;"",OR($S$6="(все)",B340=$S$6)),MAX($AA$3:AA339)+1,"")</f>
        <v/>
      </c>
      <c r="AB340" s="38" t="str">
        <f t="shared" si="50"/>
        <v/>
      </c>
      <c r="AC340" s="38" t="str">
        <f>IF(OR(B340="",COUNTIF($B$4:B340,B340)&gt;1),"",MAX($AC$3:AC339)+1)</f>
        <v/>
      </c>
      <c r="AD340" s="38" t="str">
        <f t="shared" si="51"/>
        <v/>
      </c>
      <c r="AE340" s="38" t="str">
        <f t="shared" si="52"/>
        <v/>
      </c>
      <c r="AF340" s="38" t="str">
        <f t="shared" si="53"/>
        <v/>
      </c>
    </row>
    <row r="341" spans="1:32" x14ac:dyDescent="0.3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38" t="str">
        <f>IF(OR(A341="Автомат",A341="Дифавтомат"),IF(W341="","",COUNTIFS(Однолинейка!$H$3:$H$3000,U341,Однолинейка!$A$3:$A$3000,Щит_спец)),IF(A341="Аппарат",IF(C341="","",COUNTIFS(Однолинейка!$I$3:$I$3000,C341,Однолинейка!$A$3:$A$3000,Щит_спец)+COUNTIFS(Однолинейка!$J$3:$J$3000,C341,Однолинейка!$A$3:$A$3000,Щит_спец)+COUNTIFS(Однолинейка!$K$3:$K$3000,C341,Однолинейка!$A$3:$A$3000,Щит_спец)),IF(A341="Модуль",IF(C341="","",COUNTIFS(Однолинейка!$AW$3:$AW$3000,"?*",Однолинейка!$AI$3:$AI$3000,C341,Однолинейка!$A$3:$A$3000,Щит_спец)),IF(A341="Клемма",IF(C341="","",IF(C341=$S$7,SUMIFS(Однолинейка!$BW$3:$BW$3000,Однолинейка!$A$3:$A$3000,Щит_спец),IF(C341=$S$8,SUMIFS(Однолинейка!$BX$3:$BX$3000,Однолинейка!$A$3:$A$3000,Щит_спец),""))),""))))</f>
        <v/>
      </c>
      <c r="O341" s="74"/>
      <c r="P341" s="38" t="str">
        <f t="shared" si="45"/>
        <v/>
      </c>
      <c r="U341" s="38" t="str">
        <f t="shared" si="46"/>
        <v/>
      </c>
      <c r="V341" s="38" t="str">
        <f t="shared" si="47"/>
        <v/>
      </c>
      <c r="W341" s="38" t="str">
        <f>IF(AND(U341&lt;&gt;"",OR($S$4="(все)",B341=$S$4),IF($S$4="(все)",COUNTIF($U$4:U341,U341),COUNTIFS($U$4:U341,U341,$B$4:B341,B341))=1),MAX($W$3:W340)+1,"")</f>
        <v/>
      </c>
      <c r="X341" s="38" t="str">
        <f t="shared" si="48"/>
        <v/>
      </c>
      <c r="Y341" s="38" t="str">
        <f>IF(AND(A341="Аппарат",C341&lt;&gt;"",OR($S$5="(все)",B341=$S$5)),MAX($Y$3:Y340)+1,"")</f>
        <v/>
      </c>
      <c r="Z341" s="38" t="str">
        <f t="shared" si="49"/>
        <v/>
      </c>
      <c r="AA341" s="38" t="str">
        <f>IF(AND(A341="Модуль",C341&lt;&gt;"",OR($S$6="(все)",B341=$S$6)),MAX($AA$3:AA340)+1,"")</f>
        <v/>
      </c>
      <c r="AB341" s="38" t="str">
        <f t="shared" si="50"/>
        <v/>
      </c>
      <c r="AC341" s="38" t="str">
        <f>IF(OR(B341="",COUNTIF($B$4:B341,B341)&gt;1),"",MAX($AC$3:AC340)+1)</f>
        <v/>
      </c>
      <c r="AD341" s="38" t="str">
        <f t="shared" si="51"/>
        <v/>
      </c>
      <c r="AE341" s="38" t="str">
        <f t="shared" si="52"/>
        <v/>
      </c>
      <c r="AF341" s="38" t="str">
        <f t="shared" si="53"/>
        <v/>
      </c>
    </row>
    <row r="342" spans="1:32" x14ac:dyDescent="0.3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38" t="str">
        <f>IF(OR(A342="Автомат",A342="Дифавтомат"),IF(W342="","",COUNTIFS(Однолинейка!$H$3:$H$3000,U342,Однолинейка!$A$3:$A$3000,Щит_спец)),IF(A342="Аппарат",IF(C342="","",COUNTIFS(Однолинейка!$I$3:$I$3000,C342,Однолинейка!$A$3:$A$3000,Щит_спец)+COUNTIFS(Однолинейка!$J$3:$J$3000,C342,Однолинейка!$A$3:$A$3000,Щит_спец)+COUNTIFS(Однолинейка!$K$3:$K$3000,C342,Однолинейка!$A$3:$A$3000,Щит_спец)),IF(A342="Модуль",IF(C342="","",COUNTIFS(Однолинейка!$AW$3:$AW$3000,"?*",Однолинейка!$AI$3:$AI$3000,C342,Однолинейка!$A$3:$A$3000,Щит_спец)),IF(A342="Клемма",IF(C342="","",IF(C342=$S$7,SUMIFS(Однолинейка!$BW$3:$BW$3000,Однолинейка!$A$3:$A$3000,Щит_спец),IF(C342=$S$8,SUMIFS(Однолинейка!$BX$3:$BX$3000,Однолинейка!$A$3:$A$3000,Щит_спец),""))),""))))</f>
        <v/>
      </c>
      <c r="O342" s="74"/>
      <c r="P342" s="38" t="str">
        <f t="shared" si="45"/>
        <v/>
      </c>
      <c r="U342" s="38" t="str">
        <f t="shared" si="46"/>
        <v/>
      </c>
      <c r="V342" s="38" t="str">
        <f t="shared" si="47"/>
        <v/>
      </c>
      <c r="W342" s="38" t="str">
        <f>IF(AND(U342&lt;&gt;"",OR($S$4="(все)",B342=$S$4),IF($S$4="(все)",COUNTIF($U$4:U342,U342),COUNTIFS($U$4:U342,U342,$B$4:B342,B342))=1),MAX($W$3:W341)+1,"")</f>
        <v/>
      </c>
      <c r="X342" s="38" t="str">
        <f t="shared" si="48"/>
        <v/>
      </c>
      <c r="Y342" s="38" t="str">
        <f>IF(AND(A342="Аппарат",C342&lt;&gt;"",OR($S$5="(все)",B342=$S$5)),MAX($Y$3:Y341)+1,"")</f>
        <v/>
      </c>
      <c r="Z342" s="38" t="str">
        <f t="shared" si="49"/>
        <v/>
      </c>
      <c r="AA342" s="38" t="str">
        <f>IF(AND(A342="Модуль",C342&lt;&gt;"",OR($S$6="(все)",B342=$S$6)),MAX($AA$3:AA341)+1,"")</f>
        <v/>
      </c>
      <c r="AB342" s="38" t="str">
        <f t="shared" si="50"/>
        <v/>
      </c>
      <c r="AC342" s="38" t="str">
        <f>IF(OR(B342="",COUNTIF($B$4:B342,B342)&gt;1),"",MAX($AC$3:AC341)+1)</f>
        <v/>
      </c>
      <c r="AD342" s="38" t="str">
        <f t="shared" si="51"/>
        <v/>
      </c>
      <c r="AE342" s="38" t="str">
        <f t="shared" si="52"/>
        <v/>
      </c>
      <c r="AF342" s="38" t="str">
        <f t="shared" si="53"/>
        <v/>
      </c>
    </row>
    <row r="343" spans="1:32" x14ac:dyDescent="0.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38" t="str">
        <f>IF(OR(A343="Автомат",A343="Дифавтомат"),IF(W343="","",COUNTIFS(Однолинейка!$H$3:$H$3000,U343,Однолинейка!$A$3:$A$3000,Щит_спец)),IF(A343="Аппарат",IF(C343="","",COUNTIFS(Однолинейка!$I$3:$I$3000,C343,Однолинейка!$A$3:$A$3000,Щит_спец)+COUNTIFS(Однолинейка!$J$3:$J$3000,C343,Однолинейка!$A$3:$A$3000,Щит_спец)+COUNTIFS(Однолинейка!$K$3:$K$3000,C343,Однолинейка!$A$3:$A$3000,Щит_спец)),IF(A343="Модуль",IF(C343="","",COUNTIFS(Однолинейка!$AW$3:$AW$3000,"?*",Однолинейка!$AI$3:$AI$3000,C343,Однолинейка!$A$3:$A$3000,Щит_спец)),IF(A343="Клемма",IF(C343="","",IF(C343=$S$7,SUMIFS(Однолинейка!$BW$3:$BW$3000,Однолинейка!$A$3:$A$3000,Щит_спец),IF(C343=$S$8,SUMIFS(Однолинейка!$BX$3:$BX$3000,Однолинейка!$A$3:$A$3000,Щит_спец),""))),""))))</f>
        <v/>
      </c>
      <c r="O343" s="74"/>
      <c r="P343" s="38" t="str">
        <f t="shared" si="45"/>
        <v/>
      </c>
      <c r="U343" s="38" t="str">
        <f t="shared" si="46"/>
        <v/>
      </c>
      <c r="V343" s="38" t="str">
        <f t="shared" si="47"/>
        <v/>
      </c>
      <c r="W343" s="38" t="str">
        <f>IF(AND(U343&lt;&gt;"",OR($S$4="(все)",B343=$S$4),IF($S$4="(все)",COUNTIF($U$4:U343,U343),COUNTIFS($U$4:U343,U343,$B$4:B343,B343))=1),MAX($W$3:W342)+1,"")</f>
        <v/>
      </c>
      <c r="X343" s="38" t="str">
        <f t="shared" si="48"/>
        <v/>
      </c>
      <c r="Y343" s="38" t="str">
        <f>IF(AND(A343="Аппарат",C343&lt;&gt;"",OR($S$5="(все)",B343=$S$5)),MAX($Y$3:Y342)+1,"")</f>
        <v/>
      </c>
      <c r="Z343" s="38" t="str">
        <f t="shared" si="49"/>
        <v/>
      </c>
      <c r="AA343" s="38" t="str">
        <f>IF(AND(A343="Модуль",C343&lt;&gt;"",OR($S$6="(все)",B343=$S$6)),MAX($AA$3:AA342)+1,"")</f>
        <v/>
      </c>
      <c r="AB343" s="38" t="str">
        <f t="shared" si="50"/>
        <v/>
      </c>
      <c r="AC343" s="38" t="str">
        <f>IF(OR(B343="",COUNTIF($B$4:B343,B343)&gt;1),"",MAX($AC$3:AC342)+1)</f>
        <v/>
      </c>
      <c r="AD343" s="38" t="str">
        <f t="shared" si="51"/>
        <v/>
      </c>
      <c r="AE343" s="38" t="str">
        <f t="shared" si="52"/>
        <v/>
      </c>
      <c r="AF343" s="38" t="str">
        <f t="shared" si="53"/>
        <v/>
      </c>
    </row>
    <row r="344" spans="1:32" x14ac:dyDescent="0.3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38" t="str">
        <f>IF(OR(A344="Автомат",A344="Дифавтомат"),IF(W344="","",COUNTIFS(Однолинейка!$H$3:$H$3000,U344,Однолинейка!$A$3:$A$3000,Щит_спец)),IF(A344="Аппарат",IF(C344="","",COUNTIFS(Однолинейка!$I$3:$I$3000,C344,Однолинейка!$A$3:$A$3000,Щит_спец)+COUNTIFS(Однолинейка!$J$3:$J$3000,C344,Однолинейка!$A$3:$A$3000,Щит_спец)+COUNTIFS(Однолинейка!$K$3:$K$3000,C344,Однолинейка!$A$3:$A$3000,Щит_спец)),IF(A344="Модуль",IF(C344="","",COUNTIFS(Однолинейка!$AW$3:$AW$3000,"?*",Однолинейка!$AI$3:$AI$3000,C344,Однолинейка!$A$3:$A$3000,Щит_спец)),IF(A344="Клемма",IF(C344="","",IF(C344=$S$7,SUMIFS(Однолинейка!$BW$3:$BW$3000,Однолинейка!$A$3:$A$3000,Щит_спец),IF(C344=$S$8,SUMIFS(Однолинейка!$BX$3:$BX$3000,Однолинейка!$A$3:$A$3000,Щит_спец),""))),""))))</f>
        <v/>
      </c>
      <c r="O344" s="74"/>
      <c r="P344" s="38" t="str">
        <f t="shared" si="45"/>
        <v/>
      </c>
      <c r="U344" s="38" t="str">
        <f t="shared" si="46"/>
        <v/>
      </c>
      <c r="V344" s="38" t="str">
        <f t="shared" si="47"/>
        <v/>
      </c>
      <c r="W344" s="38" t="str">
        <f>IF(AND(U344&lt;&gt;"",OR($S$4="(все)",B344=$S$4),IF($S$4="(все)",COUNTIF($U$4:U344,U344),COUNTIFS($U$4:U344,U344,$B$4:B344,B344))=1),MAX($W$3:W343)+1,"")</f>
        <v/>
      </c>
      <c r="X344" s="38" t="str">
        <f t="shared" si="48"/>
        <v/>
      </c>
      <c r="Y344" s="38" t="str">
        <f>IF(AND(A344="Аппарат",C344&lt;&gt;"",OR($S$5="(все)",B344=$S$5)),MAX($Y$3:Y343)+1,"")</f>
        <v/>
      </c>
      <c r="Z344" s="38" t="str">
        <f t="shared" si="49"/>
        <v/>
      </c>
      <c r="AA344" s="38" t="str">
        <f>IF(AND(A344="Модуль",C344&lt;&gt;"",OR($S$6="(все)",B344=$S$6)),MAX($AA$3:AA343)+1,"")</f>
        <v/>
      </c>
      <c r="AB344" s="38" t="str">
        <f t="shared" si="50"/>
        <v/>
      </c>
      <c r="AC344" s="38" t="str">
        <f>IF(OR(B344="",COUNTIF($B$4:B344,B344)&gt;1),"",MAX($AC$3:AC343)+1)</f>
        <v/>
      </c>
      <c r="AD344" s="38" t="str">
        <f t="shared" si="51"/>
        <v/>
      </c>
      <c r="AE344" s="38" t="str">
        <f t="shared" si="52"/>
        <v/>
      </c>
      <c r="AF344" s="38" t="str">
        <f t="shared" si="53"/>
        <v/>
      </c>
    </row>
    <row r="345" spans="1:32" x14ac:dyDescent="0.3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38" t="str">
        <f>IF(OR(A345="Автомат",A345="Дифавтомат"),IF(W345="","",COUNTIFS(Однолинейка!$H$3:$H$3000,U345,Однолинейка!$A$3:$A$3000,Щит_спец)),IF(A345="Аппарат",IF(C345="","",COUNTIFS(Однолинейка!$I$3:$I$3000,C345,Однолинейка!$A$3:$A$3000,Щит_спец)+COUNTIFS(Однолинейка!$J$3:$J$3000,C345,Однолинейка!$A$3:$A$3000,Щит_спец)+COUNTIFS(Однолинейка!$K$3:$K$3000,C345,Однолинейка!$A$3:$A$3000,Щит_спец)),IF(A345="Модуль",IF(C345="","",COUNTIFS(Однолинейка!$AW$3:$AW$3000,"?*",Однолинейка!$AI$3:$AI$3000,C345,Однолинейка!$A$3:$A$3000,Щит_спец)),IF(A345="Клемма",IF(C345="","",IF(C345=$S$7,SUMIFS(Однолинейка!$BW$3:$BW$3000,Однолинейка!$A$3:$A$3000,Щит_спец),IF(C345=$S$8,SUMIFS(Однолинейка!$BX$3:$BX$3000,Однолинейка!$A$3:$A$3000,Щит_спец),""))),""))))</f>
        <v/>
      </c>
      <c r="O345" s="74"/>
      <c r="P345" s="38" t="str">
        <f t="shared" si="45"/>
        <v/>
      </c>
      <c r="U345" s="38" t="str">
        <f t="shared" si="46"/>
        <v/>
      </c>
      <c r="V345" s="38" t="str">
        <f t="shared" si="47"/>
        <v/>
      </c>
      <c r="W345" s="38" t="str">
        <f>IF(AND(U345&lt;&gt;"",OR($S$4="(все)",B345=$S$4),IF($S$4="(все)",COUNTIF($U$4:U345,U345),COUNTIFS($U$4:U345,U345,$B$4:B345,B345))=1),MAX($W$3:W344)+1,"")</f>
        <v/>
      </c>
      <c r="X345" s="38" t="str">
        <f t="shared" si="48"/>
        <v/>
      </c>
      <c r="Y345" s="38" t="str">
        <f>IF(AND(A345="Аппарат",C345&lt;&gt;"",OR($S$5="(все)",B345=$S$5)),MAX($Y$3:Y344)+1,"")</f>
        <v/>
      </c>
      <c r="Z345" s="38" t="str">
        <f t="shared" si="49"/>
        <v/>
      </c>
      <c r="AA345" s="38" t="str">
        <f>IF(AND(A345="Модуль",C345&lt;&gt;"",OR($S$6="(все)",B345=$S$6)),MAX($AA$3:AA344)+1,"")</f>
        <v/>
      </c>
      <c r="AB345" s="38" t="str">
        <f t="shared" si="50"/>
        <v/>
      </c>
      <c r="AC345" s="38" t="str">
        <f>IF(OR(B345="",COUNTIF($B$4:B345,B345)&gt;1),"",MAX($AC$3:AC344)+1)</f>
        <v/>
      </c>
      <c r="AD345" s="38" t="str">
        <f t="shared" si="51"/>
        <v/>
      </c>
      <c r="AE345" s="38" t="str">
        <f t="shared" si="52"/>
        <v/>
      </c>
      <c r="AF345" s="38" t="str">
        <f t="shared" si="53"/>
        <v/>
      </c>
    </row>
    <row r="346" spans="1:32" x14ac:dyDescent="0.3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38" t="str">
        <f>IF(OR(A346="Автомат",A346="Дифавтомат"),IF(W346="","",COUNTIFS(Однолинейка!$H$3:$H$3000,U346,Однолинейка!$A$3:$A$3000,Щит_спец)),IF(A346="Аппарат",IF(C346="","",COUNTIFS(Однолинейка!$I$3:$I$3000,C346,Однолинейка!$A$3:$A$3000,Щит_спец)+COUNTIFS(Однолинейка!$J$3:$J$3000,C346,Однолинейка!$A$3:$A$3000,Щит_спец)+COUNTIFS(Однолинейка!$K$3:$K$3000,C346,Однолинейка!$A$3:$A$3000,Щит_спец)),IF(A346="Модуль",IF(C346="","",COUNTIFS(Однолинейка!$AW$3:$AW$3000,"?*",Однолинейка!$AI$3:$AI$3000,C346,Однолинейка!$A$3:$A$3000,Щит_спец)),IF(A346="Клемма",IF(C346="","",IF(C346=$S$7,SUMIFS(Однолинейка!$BW$3:$BW$3000,Однолинейка!$A$3:$A$3000,Щит_спец),IF(C346=$S$8,SUMIFS(Однолинейка!$BX$3:$BX$3000,Однолинейка!$A$3:$A$3000,Щит_спец),""))),""))))</f>
        <v/>
      </c>
      <c r="O346" s="74"/>
      <c r="P346" s="38" t="str">
        <f t="shared" si="45"/>
        <v/>
      </c>
      <c r="U346" s="38" t="str">
        <f t="shared" si="46"/>
        <v/>
      </c>
      <c r="V346" s="38" t="str">
        <f t="shared" si="47"/>
        <v/>
      </c>
      <c r="W346" s="38" t="str">
        <f>IF(AND(U346&lt;&gt;"",OR($S$4="(все)",B346=$S$4),IF($S$4="(все)",COUNTIF($U$4:U346,U346),COUNTIFS($U$4:U346,U346,$B$4:B346,B346))=1),MAX($W$3:W345)+1,"")</f>
        <v/>
      </c>
      <c r="X346" s="38" t="str">
        <f t="shared" si="48"/>
        <v/>
      </c>
      <c r="Y346" s="38" t="str">
        <f>IF(AND(A346="Аппарат",C346&lt;&gt;"",OR($S$5="(все)",B346=$S$5)),MAX($Y$3:Y345)+1,"")</f>
        <v/>
      </c>
      <c r="Z346" s="38" t="str">
        <f t="shared" si="49"/>
        <v/>
      </c>
      <c r="AA346" s="38" t="str">
        <f>IF(AND(A346="Модуль",C346&lt;&gt;"",OR($S$6="(все)",B346=$S$6)),MAX($AA$3:AA345)+1,"")</f>
        <v/>
      </c>
      <c r="AB346" s="38" t="str">
        <f t="shared" si="50"/>
        <v/>
      </c>
      <c r="AC346" s="38" t="str">
        <f>IF(OR(B346="",COUNTIF($B$4:B346,B346)&gt;1),"",MAX($AC$3:AC345)+1)</f>
        <v/>
      </c>
      <c r="AD346" s="38" t="str">
        <f t="shared" si="51"/>
        <v/>
      </c>
      <c r="AE346" s="38" t="str">
        <f t="shared" si="52"/>
        <v/>
      </c>
      <c r="AF346" s="38" t="str">
        <f t="shared" si="53"/>
        <v/>
      </c>
    </row>
    <row r="347" spans="1:32" x14ac:dyDescent="0.3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38" t="str">
        <f>IF(OR(A347="Автомат",A347="Дифавтомат"),IF(W347="","",COUNTIFS(Однолинейка!$H$3:$H$3000,U347,Однолинейка!$A$3:$A$3000,Щит_спец)),IF(A347="Аппарат",IF(C347="","",COUNTIFS(Однолинейка!$I$3:$I$3000,C347,Однолинейка!$A$3:$A$3000,Щит_спец)+COUNTIFS(Однолинейка!$J$3:$J$3000,C347,Однолинейка!$A$3:$A$3000,Щит_спец)+COUNTIFS(Однолинейка!$K$3:$K$3000,C347,Однолинейка!$A$3:$A$3000,Щит_спец)),IF(A347="Модуль",IF(C347="","",COUNTIFS(Однолинейка!$AW$3:$AW$3000,"?*",Однолинейка!$AI$3:$AI$3000,C347,Однолинейка!$A$3:$A$3000,Щит_спец)),IF(A347="Клемма",IF(C347="","",IF(C347=$S$7,SUMIFS(Однолинейка!$BW$3:$BW$3000,Однолинейка!$A$3:$A$3000,Щит_спец),IF(C347=$S$8,SUMIFS(Однолинейка!$BX$3:$BX$3000,Однолинейка!$A$3:$A$3000,Щит_спец),""))),""))))</f>
        <v/>
      </c>
      <c r="O347" s="74"/>
      <c r="P347" s="38" t="str">
        <f t="shared" si="45"/>
        <v/>
      </c>
      <c r="U347" s="38" t="str">
        <f t="shared" si="46"/>
        <v/>
      </c>
      <c r="V347" s="38" t="str">
        <f t="shared" si="47"/>
        <v/>
      </c>
      <c r="W347" s="38" t="str">
        <f>IF(AND(U347&lt;&gt;"",OR($S$4="(все)",B347=$S$4),IF($S$4="(все)",COUNTIF($U$4:U347,U347),COUNTIFS($U$4:U347,U347,$B$4:B347,B347))=1),MAX($W$3:W346)+1,"")</f>
        <v/>
      </c>
      <c r="X347" s="38" t="str">
        <f t="shared" si="48"/>
        <v/>
      </c>
      <c r="Y347" s="38" t="str">
        <f>IF(AND(A347="Аппарат",C347&lt;&gt;"",OR($S$5="(все)",B347=$S$5)),MAX($Y$3:Y346)+1,"")</f>
        <v/>
      </c>
      <c r="Z347" s="38" t="str">
        <f t="shared" si="49"/>
        <v/>
      </c>
      <c r="AA347" s="38" t="str">
        <f>IF(AND(A347="Модуль",C347&lt;&gt;"",OR($S$6="(все)",B347=$S$6)),MAX($AA$3:AA346)+1,"")</f>
        <v/>
      </c>
      <c r="AB347" s="38" t="str">
        <f t="shared" si="50"/>
        <v/>
      </c>
      <c r="AC347" s="38" t="str">
        <f>IF(OR(B347="",COUNTIF($B$4:B347,B347)&gt;1),"",MAX($AC$3:AC346)+1)</f>
        <v/>
      </c>
      <c r="AD347" s="38" t="str">
        <f t="shared" si="51"/>
        <v/>
      </c>
      <c r="AE347" s="38" t="str">
        <f t="shared" si="52"/>
        <v/>
      </c>
      <c r="AF347" s="38" t="str">
        <f t="shared" si="53"/>
        <v/>
      </c>
    </row>
    <row r="348" spans="1:32" x14ac:dyDescent="0.3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38" t="str">
        <f>IF(OR(A348="Автомат",A348="Дифавтомат"),IF(W348="","",COUNTIFS(Однолинейка!$H$3:$H$3000,U348,Однолинейка!$A$3:$A$3000,Щит_спец)),IF(A348="Аппарат",IF(C348="","",COUNTIFS(Однолинейка!$I$3:$I$3000,C348,Однолинейка!$A$3:$A$3000,Щит_спец)+COUNTIFS(Однолинейка!$J$3:$J$3000,C348,Однолинейка!$A$3:$A$3000,Щит_спец)+COUNTIFS(Однолинейка!$K$3:$K$3000,C348,Однолинейка!$A$3:$A$3000,Щит_спец)),IF(A348="Модуль",IF(C348="","",COUNTIFS(Однолинейка!$AW$3:$AW$3000,"?*",Однолинейка!$AI$3:$AI$3000,C348,Однолинейка!$A$3:$A$3000,Щит_спец)),IF(A348="Клемма",IF(C348="","",IF(C348=$S$7,SUMIFS(Однолинейка!$BW$3:$BW$3000,Однолинейка!$A$3:$A$3000,Щит_спец),IF(C348=$S$8,SUMIFS(Однолинейка!$BX$3:$BX$3000,Однолинейка!$A$3:$A$3000,Щит_спец),""))),""))))</f>
        <v/>
      </c>
      <c r="O348" s="74"/>
      <c r="P348" s="38" t="str">
        <f t="shared" si="45"/>
        <v/>
      </c>
      <c r="U348" s="38" t="str">
        <f t="shared" si="46"/>
        <v/>
      </c>
      <c r="V348" s="38" t="str">
        <f t="shared" si="47"/>
        <v/>
      </c>
      <c r="W348" s="38" t="str">
        <f>IF(AND(U348&lt;&gt;"",OR($S$4="(все)",B348=$S$4),IF($S$4="(все)",COUNTIF($U$4:U348,U348),COUNTIFS($U$4:U348,U348,$B$4:B348,B348))=1),MAX($W$3:W347)+1,"")</f>
        <v/>
      </c>
      <c r="X348" s="38" t="str">
        <f t="shared" si="48"/>
        <v/>
      </c>
      <c r="Y348" s="38" t="str">
        <f>IF(AND(A348="Аппарат",C348&lt;&gt;"",OR($S$5="(все)",B348=$S$5)),MAX($Y$3:Y347)+1,"")</f>
        <v/>
      </c>
      <c r="Z348" s="38" t="str">
        <f t="shared" si="49"/>
        <v/>
      </c>
      <c r="AA348" s="38" t="str">
        <f>IF(AND(A348="Модуль",C348&lt;&gt;"",OR($S$6="(все)",B348=$S$6)),MAX($AA$3:AA347)+1,"")</f>
        <v/>
      </c>
      <c r="AB348" s="38" t="str">
        <f t="shared" si="50"/>
        <v/>
      </c>
      <c r="AC348" s="38" t="str">
        <f>IF(OR(B348="",COUNTIF($B$4:B348,B348)&gt;1),"",MAX($AC$3:AC347)+1)</f>
        <v/>
      </c>
      <c r="AD348" s="38" t="str">
        <f t="shared" si="51"/>
        <v/>
      </c>
      <c r="AE348" s="38" t="str">
        <f t="shared" si="52"/>
        <v/>
      </c>
      <c r="AF348" s="38" t="str">
        <f t="shared" si="53"/>
        <v/>
      </c>
    </row>
    <row r="349" spans="1:32" x14ac:dyDescent="0.3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38" t="str">
        <f>IF(OR(A349="Автомат",A349="Дифавтомат"),IF(W349="","",COUNTIFS(Однолинейка!$H$3:$H$3000,U349,Однолинейка!$A$3:$A$3000,Щит_спец)),IF(A349="Аппарат",IF(C349="","",COUNTIFS(Однолинейка!$I$3:$I$3000,C349,Однолинейка!$A$3:$A$3000,Щит_спец)+COUNTIFS(Однолинейка!$J$3:$J$3000,C349,Однолинейка!$A$3:$A$3000,Щит_спец)+COUNTIFS(Однолинейка!$K$3:$K$3000,C349,Однолинейка!$A$3:$A$3000,Щит_спец)),IF(A349="Модуль",IF(C349="","",COUNTIFS(Однолинейка!$AW$3:$AW$3000,"?*",Однолинейка!$AI$3:$AI$3000,C349,Однолинейка!$A$3:$A$3000,Щит_спец)),IF(A349="Клемма",IF(C349="","",IF(C349=$S$7,SUMIFS(Однолинейка!$BW$3:$BW$3000,Однолинейка!$A$3:$A$3000,Щит_спец),IF(C349=$S$8,SUMIFS(Однолинейка!$BX$3:$BX$3000,Однолинейка!$A$3:$A$3000,Щит_спец),""))),""))))</f>
        <v/>
      </c>
      <c r="O349" s="74"/>
      <c r="P349" s="38" t="str">
        <f t="shared" si="45"/>
        <v/>
      </c>
      <c r="U349" s="38" t="str">
        <f t="shared" si="46"/>
        <v/>
      </c>
      <c r="V349" s="38" t="str">
        <f t="shared" si="47"/>
        <v/>
      </c>
      <c r="W349" s="38" t="str">
        <f>IF(AND(U349&lt;&gt;"",OR($S$4="(все)",B349=$S$4),IF($S$4="(все)",COUNTIF($U$4:U349,U349),COUNTIFS($U$4:U349,U349,$B$4:B349,B349))=1),MAX($W$3:W348)+1,"")</f>
        <v/>
      </c>
      <c r="X349" s="38" t="str">
        <f t="shared" si="48"/>
        <v/>
      </c>
      <c r="Y349" s="38" t="str">
        <f>IF(AND(A349="Аппарат",C349&lt;&gt;"",OR($S$5="(все)",B349=$S$5)),MAX($Y$3:Y348)+1,"")</f>
        <v/>
      </c>
      <c r="Z349" s="38" t="str">
        <f t="shared" si="49"/>
        <v/>
      </c>
      <c r="AA349" s="38" t="str">
        <f>IF(AND(A349="Модуль",C349&lt;&gt;"",OR($S$6="(все)",B349=$S$6)),MAX($AA$3:AA348)+1,"")</f>
        <v/>
      </c>
      <c r="AB349" s="38" t="str">
        <f t="shared" si="50"/>
        <v/>
      </c>
      <c r="AC349" s="38" t="str">
        <f>IF(OR(B349="",COUNTIF($B$4:B349,B349)&gt;1),"",MAX($AC$3:AC348)+1)</f>
        <v/>
      </c>
      <c r="AD349" s="38" t="str">
        <f t="shared" si="51"/>
        <v/>
      </c>
      <c r="AE349" s="38" t="str">
        <f t="shared" si="52"/>
        <v/>
      </c>
      <c r="AF349" s="38" t="str">
        <f t="shared" si="53"/>
        <v/>
      </c>
    </row>
    <row r="350" spans="1:32" x14ac:dyDescent="0.3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38" t="str">
        <f>IF(OR(A350="Автомат",A350="Дифавтомат"),IF(W350="","",COUNTIFS(Однолинейка!$H$3:$H$3000,U350,Однолинейка!$A$3:$A$3000,Щит_спец)),IF(A350="Аппарат",IF(C350="","",COUNTIFS(Однолинейка!$I$3:$I$3000,C350,Однолинейка!$A$3:$A$3000,Щит_спец)+COUNTIFS(Однолинейка!$J$3:$J$3000,C350,Однолинейка!$A$3:$A$3000,Щит_спец)+COUNTIFS(Однолинейка!$K$3:$K$3000,C350,Однолинейка!$A$3:$A$3000,Щит_спец)),IF(A350="Модуль",IF(C350="","",COUNTIFS(Однолинейка!$AW$3:$AW$3000,"?*",Однолинейка!$AI$3:$AI$3000,C350,Однолинейка!$A$3:$A$3000,Щит_спец)),IF(A350="Клемма",IF(C350="","",IF(C350=$S$7,SUMIFS(Однолинейка!$BW$3:$BW$3000,Однолинейка!$A$3:$A$3000,Щит_спец),IF(C350=$S$8,SUMIFS(Однолинейка!$BX$3:$BX$3000,Однолинейка!$A$3:$A$3000,Щит_спец),""))),""))))</f>
        <v/>
      </c>
      <c r="O350" s="74"/>
      <c r="P350" s="38" t="str">
        <f t="shared" si="45"/>
        <v/>
      </c>
      <c r="U350" s="38" t="str">
        <f t="shared" si="46"/>
        <v/>
      </c>
      <c r="V350" s="38" t="str">
        <f t="shared" si="47"/>
        <v/>
      </c>
      <c r="W350" s="38" t="str">
        <f>IF(AND(U350&lt;&gt;"",OR($S$4="(все)",B350=$S$4),IF($S$4="(все)",COUNTIF($U$4:U350,U350),COUNTIFS($U$4:U350,U350,$B$4:B350,B350))=1),MAX($W$3:W349)+1,"")</f>
        <v/>
      </c>
      <c r="X350" s="38" t="str">
        <f t="shared" si="48"/>
        <v/>
      </c>
      <c r="Y350" s="38" t="str">
        <f>IF(AND(A350="Аппарат",C350&lt;&gt;"",OR($S$5="(все)",B350=$S$5)),MAX($Y$3:Y349)+1,"")</f>
        <v/>
      </c>
      <c r="Z350" s="38" t="str">
        <f t="shared" si="49"/>
        <v/>
      </c>
      <c r="AA350" s="38" t="str">
        <f>IF(AND(A350="Модуль",C350&lt;&gt;"",OR($S$6="(все)",B350=$S$6)),MAX($AA$3:AA349)+1,"")</f>
        <v/>
      </c>
      <c r="AB350" s="38" t="str">
        <f t="shared" si="50"/>
        <v/>
      </c>
      <c r="AC350" s="38" t="str">
        <f>IF(OR(B350="",COUNTIF($B$4:B350,B350)&gt;1),"",MAX($AC$3:AC349)+1)</f>
        <v/>
      </c>
      <c r="AD350" s="38" t="str">
        <f t="shared" si="51"/>
        <v/>
      </c>
      <c r="AE350" s="38" t="str">
        <f t="shared" si="52"/>
        <v/>
      </c>
      <c r="AF350" s="38" t="str">
        <f t="shared" si="53"/>
        <v/>
      </c>
    </row>
    <row r="351" spans="1:32" x14ac:dyDescent="0.3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38" t="str">
        <f>IF(OR(A351="Автомат",A351="Дифавтомат"),IF(W351="","",COUNTIFS(Однолинейка!$H$3:$H$3000,U351,Однолинейка!$A$3:$A$3000,Щит_спец)),IF(A351="Аппарат",IF(C351="","",COUNTIFS(Однолинейка!$I$3:$I$3000,C351,Однолинейка!$A$3:$A$3000,Щит_спец)+COUNTIFS(Однолинейка!$J$3:$J$3000,C351,Однолинейка!$A$3:$A$3000,Щит_спец)+COUNTIFS(Однолинейка!$K$3:$K$3000,C351,Однолинейка!$A$3:$A$3000,Щит_спец)),IF(A351="Модуль",IF(C351="","",COUNTIFS(Однолинейка!$AW$3:$AW$3000,"?*",Однолинейка!$AI$3:$AI$3000,C351,Однолинейка!$A$3:$A$3000,Щит_спец)),IF(A351="Клемма",IF(C351="","",IF(C351=$S$7,SUMIFS(Однолинейка!$BW$3:$BW$3000,Однолинейка!$A$3:$A$3000,Щит_спец),IF(C351=$S$8,SUMIFS(Однолинейка!$BX$3:$BX$3000,Однолинейка!$A$3:$A$3000,Щит_спец),""))),""))))</f>
        <v/>
      </c>
      <c r="O351" s="74"/>
      <c r="P351" s="38" t="str">
        <f t="shared" si="45"/>
        <v/>
      </c>
      <c r="U351" s="38" t="str">
        <f t="shared" si="46"/>
        <v/>
      </c>
      <c r="V351" s="38" t="str">
        <f t="shared" si="47"/>
        <v/>
      </c>
      <c r="W351" s="38" t="str">
        <f>IF(AND(U351&lt;&gt;"",OR($S$4="(все)",B351=$S$4),IF($S$4="(все)",COUNTIF($U$4:U351,U351),COUNTIFS($U$4:U351,U351,$B$4:B351,B351))=1),MAX($W$3:W350)+1,"")</f>
        <v/>
      </c>
      <c r="X351" s="38" t="str">
        <f t="shared" si="48"/>
        <v/>
      </c>
      <c r="Y351" s="38" t="str">
        <f>IF(AND(A351="Аппарат",C351&lt;&gt;"",OR($S$5="(все)",B351=$S$5)),MAX($Y$3:Y350)+1,"")</f>
        <v/>
      </c>
      <c r="Z351" s="38" t="str">
        <f t="shared" si="49"/>
        <v/>
      </c>
      <c r="AA351" s="38" t="str">
        <f>IF(AND(A351="Модуль",C351&lt;&gt;"",OR($S$6="(все)",B351=$S$6)),MAX($AA$3:AA350)+1,"")</f>
        <v/>
      </c>
      <c r="AB351" s="38" t="str">
        <f t="shared" si="50"/>
        <v/>
      </c>
      <c r="AC351" s="38" t="str">
        <f>IF(OR(B351="",COUNTIF($B$4:B351,B351)&gt;1),"",MAX($AC$3:AC350)+1)</f>
        <v/>
      </c>
      <c r="AD351" s="38" t="str">
        <f t="shared" si="51"/>
        <v/>
      </c>
      <c r="AE351" s="38" t="str">
        <f t="shared" si="52"/>
        <v/>
      </c>
      <c r="AF351" s="38" t="str">
        <f t="shared" si="53"/>
        <v/>
      </c>
    </row>
    <row r="352" spans="1:32" x14ac:dyDescent="0.3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38" t="str">
        <f>IF(OR(A352="Автомат",A352="Дифавтомат"),IF(W352="","",COUNTIFS(Однолинейка!$H$3:$H$3000,U352,Однолинейка!$A$3:$A$3000,Щит_спец)),IF(A352="Аппарат",IF(C352="","",COUNTIFS(Однолинейка!$I$3:$I$3000,C352,Однолинейка!$A$3:$A$3000,Щит_спец)+COUNTIFS(Однолинейка!$J$3:$J$3000,C352,Однолинейка!$A$3:$A$3000,Щит_спец)+COUNTIFS(Однолинейка!$K$3:$K$3000,C352,Однолинейка!$A$3:$A$3000,Щит_спец)),IF(A352="Модуль",IF(C352="","",COUNTIFS(Однолинейка!$AW$3:$AW$3000,"?*",Однолинейка!$AI$3:$AI$3000,C352,Однолинейка!$A$3:$A$3000,Щит_спец)),IF(A352="Клемма",IF(C352="","",IF(C352=$S$7,SUMIFS(Однолинейка!$BW$3:$BW$3000,Однолинейка!$A$3:$A$3000,Щит_спец),IF(C352=$S$8,SUMIFS(Однолинейка!$BX$3:$BX$3000,Однолинейка!$A$3:$A$3000,Щит_спец),""))),""))))</f>
        <v/>
      </c>
      <c r="O352" s="74"/>
      <c r="P352" s="38" t="str">
        <f t="shared" si="45"/>
        <v/>
      </c>
      <c r="U352" s="38" t="str">
        <f t="shared" si="46"/>
        <v/>
      </c>
      <c r="V352" s="38" t="str">
        <f t="shared" si="47"/>
        <v/>
      </c>
      <c r="W352" s="38" t="str">
        <f>IF(AND(U352&lt;&gt;"",OR($S$4="(все)",B352=$S$4),IF($S$4="(все)",COUNTIF($U$4:U352,U352),COUNTIFS($U$4:U352,U352,$B$4:B352,B352))=1),MAX($W$3:W351)+1,"")</f>
        <v/>
      </c>
      <c r="X352" s="38" t="str">
        <f t="shared" si="48"/>
        <v/>
      </c>
      <c r="Y352" s="38" t="str">
        <f>IF(AND(A352="Аппарат",C352&lt;&gt;"",OR($S$5="(все)",B352=$S$5)),MAX($Y$3:Y351)+1,"")</f>
        <v/>
      </c>
      <c r="Z352" s="38" t="str">
        <f t="shared" si="49"/>
        <v/>
      </c>
      <c r="AA352" s="38" t="str">
        <f>IF(AND(A352="Модуль",C352&lt;&gt;"",OR($S$6="(все)",B352=$S$6)),MAX($AA$3:AA351)+1,"")</f>
        <v/>
      </c>
      <c r="AB352" s="38" t="str">
        <f t="shared" si="50"/>
        <v/>
      </c>
      <c r="AC352" s="38" t="str">
        <f>IF(OR(B352="",COUNTIF($B$4:B352,B352)&gt;1),"",MAX($AC$3:AC351)+1)</f>
        <v/>
      </c>
      <c r="AD352" s="38" t="str">
        <f t="shared" si="51"/>
        <v/>
      </c>
      <c r="AE352" s="38" t="str">
        <f t="shared" si="52"/>
        <v/>
      </c>
      <c r="AF352" s="38" t="str">
        <f t="shared" si="53"/>
        <v/>
      </c>
    </row>
    <row r="353" spans="1:32" x14ac:dyDescent="0.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38" t="str">
        <f>IF(OR(A353="Автомат",A353="Дифавтомат"),IF(W353="","",COUNTIFS(Однолинейка!$H$3:$H$3000,U353,Однолинейка!$A$3:$A$3000,Щит_спец)),IF(A353="Аппарат",IF(C353="","",COUNTIFS(Однолинейка!$I$3:$I$3000,C353,Однолинейка!$A$3:$A$3000,Щит_спец)+COUNTIFS(Однолинейка!$J$3:$J$3000,C353,Однолинейка!$A$3:$A$3000,Щит_спец)+COUNTIFS(Однолинейка!$K$3:$K$3000,C353,Однолинейка!$A$3:$A$3000,Щит_спец)),IF(A353="Модуль",IF(C353="","",COUNTIFS(Однолинейка!$AW$3:$AW$3000,"?*",Однолинейка!$AI$3:$AI$3000,C353,Однолинейка!$A$3:$A$3000,Щит_спец)),IF(A353="Клемма",IF(C353="","",IF(C353=$S$7,SUMIFS(Однолинейка!$BW$3:$BW$3000,Однолинейка!$A$3:$A$3000,Щит_спец),IF(C353=$S$8,SUMIFS(Однолинейка!$BX$3:$BX$3000,Однолинейка!$A$3:$A$3000,Щит_спец),""))),""))))</f>
        <v/>
      </c>
      <c r="O353" s="74"/>
      <c r="P353" s="38" t="str">
        <f t="shared" si="45"/>
        <v/>
      </c>
      <c r="U353" s="38" t="str">
        <f t="shared" si="46"/>
        <v/>
      </c>
      <c r="V353" s="38" t="str">
        <f t="shared" si="47"/>
        <v/>
      </c>
      <c r="W353" s="38" t="str">
        <f>IF(AND(U353&lt;&gt;"",OR($S$4="(все)",B353=$S$4),IF($S$4="(все)",COUNTIF($U$4:U353,U353),COUNTIFS($U$4:U353,U353,$B$4:B353,B353))=1),MAX($W$3:W352)+1,"")</f>
        <v/>
      </c>
      <c r="X353" s="38" t="str">
        <f t="shared" si="48"/>
        <v/>
      </c>
      <c r="Y353" s="38" t="str">
        <f>IF(AND(A353="Аппарат",C353&lt;&gt;"",OR($S$5="(все)",B353=$S$5)),MAX($Y$3:Y352)+1,"")</f>
        <v/>
      </c>
      <c r="Z353" s="38" t="str">
        <f t="shared" si="49"/>
        <v/>
      </c>
      <c r="AA353" s="38" t="str">
        <f>IF(AND(A353="Модуль",C353&lt;&gt;"",OR($S$6="(все)",B353=$S$6)),MAX($AA$3:AA352)+1,"")</f>
        <v/>
      </c>
      <c r="AB353" s="38" t="str">
        <f t="shared" si="50"/>
        <v/>
      </c>
      <c r="AC353" s="38" t="str">
        <f>IF(OR(B353="",COUNTIF($B$4:B353,B353)&gt;1),"",MAX($AC$3:AC352)+1)</f>
        <v/>
      </c>
      <c r="AD353" s="38" t="str">
        <f t="shared" si="51"/>
        <v/>
      </c>
      <c r="AE353" s="38" t="str">
        <f t="shared" si="52"/>
        <v/>
      </c>
      <c r="AF353" s="38" t="str">
        <f t="shared" si="53"/>
        <v/>
      </c>
    </row>
    <row r="354" spans="1:32" x14ac:dyDescent="0.3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38" t="str">
        <f>IF(OR(A354="Автомат",A354="Дифавтомат"),IF(W354="","",COUNTIFS(Однолинейка!$H$3:$H$3000,U354,Однолинейка!$A$3:$A$3000,Щит_спец)),IF(A354="Аппарат",IF(C354="","",COUNTIFS(Однолинейка!$I$3:$I$3000,C354,Однолинейка!$A$3:$A$3000,Щит_спец)+COUNTIFS(Однолинейка!$J$3:$J$3000,C354,Однолинейка!$A$3:$A$3000,Щит_спец)+COUNTIFS(Однолинейка!$K$3:$K$3000,C354,Однолинейка!$A$3:$A$3000,Щит_спец)),IF(A354="Модуль",IF(C354="","",COUNTIFS(Однолинейка!$AW$3:$AW$3000,"?*",Однолинейка!$AI$3:$AI$3000,C354,Однолинейка!$A$3:$A$3000,Щит_спец)),IF(A354="Клемма",IF(C354="","",IF(C354=$S$7,SUMIFS(Однолинейка!$BW$3:$BW$3000,Однолинейка!$A$3:$A$3000,Щит_спец),IF(C354=$S$8,SUMIFS(Однолинейка!$BX$3:$BX$3000,Однолинейка!$A$3:$A$3000,Щит_спец),""))),""))))</f>
        <v/>
      </c>
      <c r="O354" s="74"/>
      <c r="P354" s="38" t="str">
        <f t="shared" si="45"/>
        <v/>
      </c>
      <c r="U354" s="38" t="str">
        <f t="shared" si="46"/>
        <v/>
      </c>
      <c r="V354" s="38" t="str">
        <f t="shared" si="47"/>
        <v/>
      </c>
      <c r="W354" s="38" t="str">
        <f>IF(AND(U354&lt;&gt;"",OR($S$4="(все)",B354=$S$4),IF($S$4="(все)",COUNTIF($U$4:U354,U354),COUNTIFS($U$4:U354,U354,$B$4:B354,B354))=1),MAX($W$3:W353)+1,"")</f>
        <v/>
      </c>
      <c r="X354" s="38" t="str">
        <f t="shared" si="48"/>
        <v/>
      </c>
      <c r="Y354" s="38" t="str">
        <f>IF(AND(A354="Аппарат",C354&lt;&gt;"",OR($S$5="(все)",B354=$S$5)),MAX($Y$3:Y353)+1,"")</f>
        <v/>
      </c>
      <c r="Z354" s="38" t="str">
        <f t="shared" si="49"/>
        <v/>
      </c>
      <c r="AA354" s="38" t="str">
        <f>IF(AND(A354="Модуль",C354&lt;&gt;"",OR($S$6="(все)",B354=$S$6)),MAX($AA$3:AA353)+1,"")</f>
        <v/>
      </c>
      <c r="AB354" s="38" t="str">
        <f t="shared" si="50"/>
        <v/>
      </c>
      <c r="AC354" s="38" t="str">
        <f>IF(OR(B354="",COUNTIF($B$4:B354,B354)&gt;1),"",MAX($AC$3:AC353)+1)</f>
        <v/>
      </c>
      <c r="AD354" s="38" t="str">
        <f t="shared" si="51"/>
        <v/>
      </c>
      <c r="AE354" s="38" t="str">
        <f t="shared" si="52"/>
        <v/>
      </c>
      <c r="AF354" s="38" t="str">
        <f t="shared" si="53"/>
        <v/>
      </c>
    </row>
    <row r="355" spans="1:32" x14ac:dyDescent="0.3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38" t="str">
        <f>IF(OR(A355="Автомат",A355="Дифавтомат"),IF(W355="","",COUNTIFS(Однолинейка!$H$3:$H$3000,U355,Однолинейка!$A$3:$A$3000,Щит_спец)),IF(A355="Аппарат",IF(C355="","",COUNTIFS(Однолинейка!$I$3:$I$3000,C355,Однолинейка!$A$3:$A$3000,Щит_спец)+COUNTIFS(Однолинейка!$J$3:$J$3000,C355,Однолинейка!$A$3:$A$3000,Щит_спец)+COUNTIFS(Однолинейка!$K$3:$K$3000,C355,Однолинейка!$A$3:$A$3000,Щит_спец)),IF(A355="Модуль",IF(C355="","",COUNTIFS(Однолинейка!$AW$3:$AW$3000,"?*",Однолинейка!$AI$3:$AI$3000,C355,Однолинейка!$A$3:$A$3000,Щит_спец)),IF(A355="Клемма",IF(C355="","",IF(C355=$S$7,SUMIFS(Однолинейка!$BW$3:$BW$3000,Однолинейка!$A$3:$A$3000,Щит_спец),IF(C355=$S$8,SUMIFS(Однолинейка!$BX$3:$BX$3000,Однолинейка!$A$3:$A$3000,Щит_спец),""))),""))))</f>
        <v/>
      </c>
      <c r="O355" s="74"/>
      <c r="P355" s="38" t="str">
        <f t="shared" si="45"/>
        <v/>
      </c>
      <c r="U355" s="38" t="str">
        <f t="shared" si="46"/>
        <v/>
      </c>
      <c r="V355" s="38" t="str">
        <f t="shared" si="47"/>
        <v/>
      </c>
      <c r="W355" s="38" t="str">
        <f>IF(AND(U355&lt;&gt;"",OR($S$4="(все)",B355=$S$4),IF($S$4="(все)",COUNTIF($U$4:U355,U355),COUNTIFS($U$4:U355,U355,$B$4:B355,B355))=1),MAX($W$3:W354)+1,"")</f>
        <v/>
      </c>
      <c r="X355" s="38" t="str">
        <f t="shared" si="48"/>
        <v/>
      </c>
      <c r="Y355" s="38" t="str">
        <f>IF(AND(A355="Аппарат",C355&lt;&gt;"",OR($S$5="(все)",B355=$S$5)),MAX($Y$3:Y354)+1,"")</f>
        <v/>
      </c>
      <c r="Z355" s="38" t="str">
        <f t="shared" si="49"/>
        <v/>
      </c>
      <c r="AA355" s="38" t="str">
        <f>IF(AND(A355="Модуль",C355&lt;&gt;"",OR($S$6="(все)",B355=$S$6)),MAX($AA$3:AA354)+1,"")</f>
        <v/>
      </c>
      <c r="AB355" s="38" t="str">
        <f t="shared" si="50"/>
        <v/>
      </c>
      <c r="AC355" s="38" t="str">
        <f>IF(OR(B355="",COUNTIF($B$4:B355,B355)&gt;1),"",MAX($AC$3:AC354)+1)</f>
        <v/>
      </c>
      <c r="AD355" s="38" t="str">
        <f t="shared" si="51"/>
        <v/>
      </c>
      <c r="AE355" s="38" t="str">
        <f t="shared" si="52"/>
        <v/>
      </c>
      <c r="AF355" s="38" t="str">
        <f t="shared" si="53"/>
        <v/>
      </c>
    </row>
    <row r="356" spans="1:32" x14ac:dyDescent="0.3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38" t="str">
        <f>IF(OR(A356="Автомат",A356="Дифавтомат"),IF(W356="","",COUNTIFS(Однолинейка!$H$3:$H$3000,U356,Однолинейка!$A$3:$A$3000,Щит_спец)),IF(A356="Аппарат",IF(C356="","",COUNTIFS(Однолинейка!$I$3:$I$3000,C356,Однолинейка!$A$3:$A$3000,Щит_спец)+COUNTIFS(Однолинейка!$J$3:$J$3000,C356,Однолинейка!$A$3:$A$3000,Щит_спец)+COUNTIFS(Однолинейка!$K$3:$K$3000,C356,Однолинейка!$A$3:$A$3000,Щит_спец)),IF(A356="Модуль",IF(C356="","",COUNTIFS(Однолинейка!$AW$3:$AW$3000,"?*",Однолинейка!$AI$3:$AI$3000,C356,Однолинейка!$A$3:$A$3000,Щит_спец)),IF(A356="Клемма",IF(C356="","",IF(C356=$S$7,SUMIFS(Однолинейка!$BW$3:$BW$3000,Однолинейка!$A$3:$A$3000,Щит_спец),IF(C356=$S$8,SUMIFS(Однолинейка!$BX$3:$BX$3000,Однолинейка!$A$3:$A$3000,Щит_спец),""))),""))))</f>
        <v/>
      </c>
      <c r="O356" s="74"/>
      <c r="P356" s="38" t="str">
        <f t="shared" si="45"/>
        <v/>
      </c>
      <c r="U356" s="38" t="str">
        <f t="shared" si="46"/>
        <v/>
      </c>
      <c r="V356" s="38" t="str">
        <f t="shared" si="47"/>
        <v/>
      </c>
      <c r="W356" s="38" t="str">
        <f>IF(AND(U356&lt;&gt;"",OR($S$4="(все)",B356=$S$4),IF($S$4="(все)",COUNTIF($U$4:U356,U356),COUNTIFS($U$4:U356,U356,$B$4:B356,B356))=1),MAX($W$3:W355)+1,"")</f>
        <v/>
      </c>
      <c r="X356" s="38" t="str">
        <f t="shared" si="48"/>
        <v/>
      </c>
      <c r="Y356" s="38" t="str">
        <f>IF(AND(A356="Аппарат",C356&lt;&gt;"",OR($S$5="(все)",B356=$S$5)),MAX($Y$3:Y355)+1,"")</f>
        <v/>
      </c>
      <c r="Z356" s="38" t="str">
        <f t="shared" si="49"/>
        <v/>
      </c>
      <c r="AA356" s="38" t="str">
        <f>IF(AND(A356="Модуль",C356&lt;&gt;"",OR($S$6="(все)",B356=$S$6)),MAX($AA$3:AA355)+1,"")</f>
        <v/>
      </c>
      <c r="AB356" s="38" t="str">
        <f t="shared" si="50"/>
        <v/>
      </c>
      <c r="AC356" s="38" t="str">
        <f>IF(OR(B356="",COUNTIF($B$4:B356,B356)&gt;1),"",MAX($AC$3:AC355)+1)</f>
        <v/>
      </c>
      <c r="AD356" s="38" t="str">
        <f t="shared" si="51"/>
        <v/>
      </c>
      <c r="AE356" s="38" t="str">
        <f t="shared" si="52"/>
        <v/>
      </c>
      <c r="AF356" s="38" t="str">
        <f t="shared" si="53"/>
        <v/>
      </c>
    </row>
    <row r="357" spans="1:32" x14ac:dyDescent="0.3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38" t="str">
        <f>IF(OR(A357="Автомат",A357="Дифавтомат"),IF(W357="","",COUNTIFS(Однолинейка!$H$3:$H$3000,U357,Однолинейка!$A$3:$A$3000,Щит_спец)),IF(A357="Аппарат",IF(C357="","",COUNTIFS(Однолинейка!$I$3:$I$3000,C357,Однолинейка!$A$3:$A$3000,Щит_спец)+COUNTIFS(Однолинейка!$J$3:$J$3000,C357,Однолинейка!$A$3:$A$3000,Щит_спец)+COUNTIFS(Однолинейка!$K$3:$K$3000,C357,Однолинейка!$A$3:$A$3000,Щит_спец)),IF(A357="Модуль",IF(C357="","",COUNTIFS(Однолинейка!$AW$3:$AW$3000,"?*",Однолинейка!$AI$3:$AI$3000,C357,Однолинейка!$A$3:$A$3000,Щит_спец)),IF(A357="Клемма",IF(C357="","",IF(C357=$S$7,SUMIFS(Однолинейка!$BW$3:$BW$3000,Однолинейка!$A$3:$A$3000,Щит_спец),IF(C357=$S$8,SUMIFS(Однолинейка!$BX$3:$BX$3000,Однолинейка!$A$3:$A$3000,Щит_спец),""))),""))))</f>
        <v/>
      </c>
      <c r="O357" s="74"/>
      <c r="P357" s="38" t="str">
        <f t="shared" si="45"/>
        <v/>
      </c>
      <c r="U357" s="38" t="str">
        <f t="shared" si="46"/>
        <v/>
      </c>
      <c r="V357" s="38" t="str">
        <f t="shared" si="47"/>
        <v/>
      </c>
      <c r="W357" s="38" t="str">
        <f>IF(AND(U357&lt;&gt;"",OR($S$4="(все)",B357=$S$4),IF($S$4="(все)",COUNTIF($U$4:U357,U357),COUNTIFS($U$4:U357,U357,$B$4:B357,B357))=1),MAX($W$3:W356)+1,"")</f>
        <v/>
      </c>
      <c r="X357" s="38" t="str">
        <f t="shared" si="48"/>
        <v/>
      </c>
      <c r="Y357" s="38" t="str">
        <f>IF(AND(A357="Аппарат",C357&lt;&gt;"",OR($S$5="(все)",B357=$S$5)),MAX($Y$3:Y356)+1,"")</f>
        <v/>
      </c>
      <c r="Z357" s="38" t="str">
        <f t="shared" si="49"/>
        <v/>
      </c>
      <c r="AA357" s="38" t="str">
        <f>IF(AND(A357="Модуль",C357&lt;&gt;"",OR($S$6="(все)",B357=$S$6)),MAX($AA$3:AA356)+1,"")</f>
        <v/>
      </c>
      <c r="AB357" s="38" t="str">
        <f t="shared" si="50"/>
        <v/>
      </c>
      <c r="AC357" s="38" t="str">
        <f>IF(OR(B357="",COUNTIF($B$4:B357,B357)&gt;1),"",MAX($AC$3:AC356)+1)</f>
        <v/>
      </c>
      <c r="AD357" s="38" t="str">
        <f t="shared" si="51"/>
        <v/>
      </c>
      <c r="AE357" s="38" t="str">
        <f t="shared" si="52"/>
        <v/>
      </c>
      <c r="AF357" s="38" t="str">
        <f t="shared" si="53"/>
        <v/>
      </c>
    </row>
    <row r="358" spans="1:32" x14ac:dyDescent="0.3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38" t="str">
        <f>IF(OR(A358="Автомат",A358="Дифавтомат"),IF(W358="","",COUNTIFS(Однолинейка!$H$3:$H$3000,U358,Однолинейка!$A$3:$A$3000,Щит_спец)),IF(A358="Аппарат",IF(C358="","",COUNTIFS(Однолинейка!$I$3:$I$3000,C358,Однолинейка!$A$3:$A$3000,Щит_спец)+COUNTIFS(Однолинейка!$J$3:$J$3000,C358,Однолинейка!$A$3:$A$3000,Щит_спец)+COUNTIFS(Однолинейка!$K$3:$K$3000,C358,Однолинейка!$A$3:$A$3000,Щит_спец)),IF(A358="Модуль",IF(C358="","",COUNTIFS(Однолинейка!$AW$3:$AW$3000,"?*",Однолинейка!$AI$3:$AI$3000,C358,Однолинейка!$A$3:$A$3000,Щит_спец)),IF(A358="Клемма",IF(C358="","",IF(C358=$S$7,SUMIFS(Однолинейка!$BW$3:$BW$3000,Однолинейка!$A$3:$A$3000,Щит_спец),IF(C358=$S$8,SUMIFS(Однолинейка!$BX$3:$BX$3000,Однолинейка!$A$3:$A$3000,Щит_спец),""))),""))))</f>
        <v/>
      </c>
      <c r="O358" s="74"/>
      <c r="P358" s="38" t="str">
        <f t="shared" si="45"/>
        <v/>
      </c>
      <c r="U358" s="38" t="str">
        <f t="shared" si="46"/>
        <v/>
      </c>
      <c r="V358" s="38" t="str">
        <f t="shared" si="47"/>
        <v/>
      </c>
      <c r="W358" s="38" t="str">
        <f>IF(AND(U358&lt;&gt;"",OR($S$4="(все)",B358=$S$4),IF($S$4="(все)",COUNTIF($U$4:U358,U358),COUNTIFS($U$4:U358,U358,$B$4:B358,B358))=1),MAX($W$3:W357)+1,"")</f>
        <v/>
      </c>
      <c r="X358" s="38" t="str">
        <f t="shared" si="48"/>
        <v/>
      </c>
      <c r="Y358" s="38" t="str">
        <f>IF(AND(A358="Аппарат",C358&lt;&gt;"",OR($S$5="(все)",B358=$S$5)),MAX($Y$3:Y357)+1,"")</f>
        <v/>
      </c>
      <c r="Z358" s="38" t="str">
        <f t="shared" si="49"/>
        <v/>
      </c>
      <c r="AA358" s="38" t="str">
        <f>IF(AND(A358="Модуль",C358&lt;&gt;"",OR($S$6="(все)",B358=$S$6)),MAX($AA$3:AA357)+1,"")</f>
        <v/>
      </c>
      <c r="AB358" s="38" t="str">
        <f t="shared" si="50"/>
        <v/>
      </c>
      <c r="AC358" s="38" t="str">
        <f>IF(OR(B358="",COUNTIF($B$4:B358,B358)&gt;1),"",MAX($AC$3:AC357)+1)</f>
        <v/>
      </c>
      <c r="AD358" s="38" t="str">
        <f t="shared" si="51"/>
        <v/>
      </c>
      <c r="AE358" s="38" t="str">
        <f t="shared" si="52"/>
        <v/>
      </c>
      <c r="AF358" s="38" t="str">
        <f t="shared" si="53"/>
        <v/>
      </c>
    </row>
    <row r="359" spans="1:32" x14ac:dyDescent="0.3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38" t="str">
        <f>IF(OR(A359="Автомат",A359="Дифавтомат"),IF(W359="","",COUNTIFS(Однолинейка!$H$3:$H$3000,U359,Однолинейка!$A$3:$A$3000,Щит_спец)),IF(A359="Аппарат",IF(C359="","",COUNTIFS(Однолинейка!$I$3:$I$3000,C359,Однолинейка!$A$3:$A$3000,Щит_спец)+COUNTIFS(Однолинейка!$J$3:$J$3000,C359,Однолинейка!$A$3:$A$3000,Щит_спец)+COUNTIFS(Однолинейка!$K$3:$K$3000,C359,Однолинейка!$A$3:$A$3000,Щит_спец)),IF(A359="Модуль",IF(C359="","",COUNTIFS(Однолинейка!$AW$3:$AW$3000,"?*",Однолинейка!$AI$3:$AI$3000,C359,Однолинейка!$A$3:$A$3000,Щит_спец)),IF(A359="Клемма",IF(C359="","",IF(C359=$S$7,SUMIFS(Однолинейка!$BW$3:$BW$3000,Однолинейка!$A$3:$A$3000,Щит_спец),IF(C359=$S$8,SUMIFS(Однолинейка!$BX$3:$BX$3000,Однолинейка!$A$3:$A$3000,Щит_спец),""))),""))))</f>
        <v/>
      </c>
      <c r="O359" s="74"/>
      <c r="P359" s="38" t="str">
        <f t="shared" si="45"/>
        <v/>
      </c>
      <c r="U359" s="38" t="str">
        <f t="shared" si="46"/>
        <v/>
      </c>
      <c r="V359" s="38" t="str">
        <f t="shared" si="47"/>
        <v/>
      </c>
      <c r="W359" s="38" t="str">
        <f>IF(AND(U359&lt;&gt;"",OR($S$4="(все)",B359=$S$4),IF($S$4="(все)",COUNTIF($U$4:U359,U359),COUNTIFS($U$4:U359,U359,$B$4:B359,B359))=1),MAX($W$3:W358)+1,"")</f>
        <v/>
      </c>
      <c r="X359" s="38" t="str">
        <f t="shared" si="48"/>
        <v/>
      </c>
      <c r="Y359" s="38" t="str">
        <f>IF(AND(A359="Аппарат",C359&lt;&gt;"",OR($S$5="(все)",B359=$S$5)),MAX($Y$3:Y358)+1,"")</f>
        <v/>
      </c>
      <c r="Z359" s="38" t="str">
        <f t="shared" si="49"/>
        <v/>
      </c>
      <c r="AA359" s="38" t="str">
        <f>IF(AND(A359="Модуль",C359&lt;&gt;"",OR($S$6="(все)",B359=$S$6)),MAX($AA$3:AA358)+1,"")</f>
        <v/>
      </c>
      <c r="AB359" s="38" t="str">
        <f t="shared" si="50"/>
        <v/>
      </c>
      <c r="AC359" s="38" t="str">
        <f>IF(OR(B359="",COUNTIF($B$4:B359,B359)&gt;1),"",MAX($AC$3:AC358)+1)</f>
        <v/>
      </c>
      <c r="AD359" s="38" t="str">
        <f t="shared" si="51"/>
        <v/>
      </c>
      <c r="AE359" s="38" t="str">
        <f t="shared" si="52"/>
        <v/>
      </c>
      <c r="AF359" s="38" t="str">
        <f t="shared" si="53"/>
        <v/>
      </c>
    </row>
    <row r="360" spans="1:32" x14ac:dyDescent="0.3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38" t="str">
        <f>IF(OR(A360="Автомат",A360="Дифавтомат"),IF(W360="","",COUNTIFS(Однолинейка!$H$3:$H$3000,U360,Однолинейка!$A$3:$A$3000,Щит_спец)),IF(A360="Аппарат",IF(C360="","",COUNTIFS(Однолинейка!$I$3:$I$3000,C360,Однолинейка!$A$3:$A$3000,Щит_спец)+COUNTIFS(Однолинейка!$J$3:$J$3000,C360,Однолинейка!$A$3:$A$3000,Щит_спец)+COUNTIFS(Однолинейка!$K$3:$K$3000,C360,Однолинейка!$A$3:$A$3000,Щит_спец)),IF(A360="Модуль",IF(C360="","",COUNTIFS(Однолинейка!$AW$3:$AW$3000,"?*",Однолинейка!$AI$3:$AI$3000,C360,Однолинейка!$A$3:$A$3000,Щит_спец)),IF(A360="Клемма",IF(C360="","",IF(C360=$S$7,SUMIFS(Однолинейка!$BW$3:$BW$3000,Однолинейка!$A$3:$A$3000,Щит_спец),IF(C360=$S$8,SUMIFS(Однолинейка!$BX$3:$BX$3000,Однолинейка!$A$3:$A$3000,Щит_спец),""))),""))))</f>
        <v/>
      </c>
      <c r="O360" s="74"/>
      <c r="P360" s="38" t="str">
        <f t="shared" si="45"/>
        <v/>
      </c>
      <c r="U360" s="38" t="str">
        <f t="shared" si="46"/>
        <v/>
      </c>
      <c r="V360" s="38" t="str">
        <f t="shared" si="47"/>
        <v/>
      </c>
      <c r="W360" s="38" t="str">
        <f>IF(AND(U360&lt;&gt;"",OR($S$4="(все)",B360=$S$4),IF($S$4="(все)",COUNTIF($U$4:U360,U360),COUNTIFS($U$4:U360,U360,$B$4:B360,B360))=1),MAX($W$3:W359)+1,"")</f>
        <v/>
      </c>
      <c r="X360" s="38" t="str">
        <f t="shared" si="48"/>
        <v/>
      </c>
      <c r="Y360" s="38" t="str">
        <f>IF(AND(A360="Аппарат",C360&lt;&gt;"",OR($S$5="(все)",B360=$S$5)),MAX($Y$3:Y359)+1,"")</f>
        <v/>
      </c>
      <c r="Z360" s="38" t="str">
        <f t="shared" si="49"/>
        <v/>
      </c>
      <c r="AA360" s="38" t="str">
        <f>IF(AND(A360="Модуль",C360&lt;&gt;"",OR($S$6="(все)",B360=$S$6)),MAX($AA$3:AA359)+1,"")</f>
        <v/>
      </c>
      <c r="AB360" s="38" t="str">
        <f t="shared" si="50"/>
        <v/>
      </c>
      <c r="AC360" s="38" t="str">
        <f>IF(OR(B360="",COUNTIF($B$4:B360,B360)&gt;1),"",MAX($AC$3:AC359)+1)</f>
        <v/>
      </c>
      <c r="AD360" s="38" t="str">
        <f t="shared" si="51"/>
        <v/>
      </c>
      <c r="AE360" s="38" t="str">
        <f t="shared" si="52"/>
        <v/>
      </c>
      <c r="AF360" s="38" t="str">
        <f t="shared" si="53"/>
        <v/>
      </c>
    </row>
    <row r="361" spans="1:32" x14ac:dyDescent="0.3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38" t="str">
        <f>IF(OR(A361="Автомат",A361="Дифавтомат"),IF(W361="","",COUNTIFS(Однолинейка!$H$3:$H$3000,U361,Однолинейка!$A$3:$A$3000,Щит_спец)),IF(A361="Аппарат",IF(C361="","",COUNTIFS(Однолинейка!$I$3:$I$3000,C361,Однолинейка!$A$3:$A$3000,Щит_спец)+COUNTIFS(Однолинейка!$J$3:$J$3000,C361,Однолинейка!$A$3:$A$3000,Щит_спец)+COUNTIFS(Однолинейка!$K$3:$K$3000,C361,Однолинейка!$A$3:$A$3000,Щит_спец)),IF(A361="Модуль",IF(C361="","",COUNTIFS(Однолинейка!$AW$3:$AW$3000,"?*",Однолинейка!$AI$3:$AI$3000,C361,Однолинейка!$A$3:$A$3000,Щит_спец)),IF(A361="Клемма",IF(C361="","",IF(C361=$S$7,SUMIFS(Однолинейка!$BW$3:$BW$3000,Однолинейка!$A$3:$A$3000,Щит_спец),IF(C361=$S$8,SUMIFS(Однолинейка!$BX$3:$BX$3000,Однолинейка!$A$3:$A$3000,Щит_спец),""))),""))))</f>
        <v/>
      </c>
      <c r="O361" s="74"/>
      <c r="P361" s="38" t="str">
        <f t="shared" si="45"/>
        <v/>
      </c>
      <c r="U361" s="38" t="str">
        <f t="shared" si="46"/>
        <v/>
      </c>
      <c r="V361" s="38" t="str">
        <f t="shared" si="47"/>
        <v/>
      </c>
      <c r="W361" s="38" t="str">
        <f>IF(AND(U361&lt;&gt;"",OR($S$4="(все)",B361=$S$4),IF($S$4="(все)",COUNTIF($U$4:U361,U361),COUNTIFS($U$4:U361,U361,$B$4:B361,B361))=1),MAX($W$3:W360)+1,"")</f>
        <v/>
      </c>
      <c r="X361" s="38" t="str">
        <f t="shared" si="48"/>
        <v/>
      </c>
      <c r="Y361" s="38" t="str">
        <f>IF(AND(A361="Аппарат",C361&lt;&gt;"",OR($S$5="(все)",B361=$S$5)),MAX($Y$3:Y360)+1,"")</f>
        <v/>
      </c>
      <c r="Z361" s="38" t="str">
        <f t="shared" si="49"/>
        <v/>
      </c>
      <c r="AA361" s="38" t="str">
        <f>IF(AND(A361="Модуль",C361&lt;&gt;"",OR($S$6="(все)",B361=$S$6)),MAX($AA$3:AA360)+1,"")</f>
        <v/>
      </c>
      <c r="AB361" s="38" t="str">
        <f t="shared" si="50"/>
        <v/>
      </c>
      <c r="AC361" s="38" t="str">
        <f>IF(OR(B361="",COUNTIF($B$4:B361,B361)&gt;1),"",MAX($AC$3:AC360)+1)</f>
        <v/>
      </c>
      <c r="AD361" s="38" t="str">
        <f t="shared" si="51"/>
        <v/>
      </c>
      <c r="AE361" s="38" t="str">
        <f t="shared" si="52"/>
        <v/>
      </c>
      <c r="AF361" s="38" t="str">
        <f t="shared" si="53"/>
        <v/>
      </c>
    </row>
    <row r="362" spans="1:32" x14ac:dyDescent="0.3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38" t="str">
        <f>IF(OR(A362="Автомат",A362="Дифавтомат"),IF(W362="","",COUNTIFS(Однолинейка!$H$3:$H$3000,U362,Однолинейка!$A$3:$A$3000,Щит_спец)),IF(A362="Аппарат",IF(C362="","",COUNTIFS(Однолинейка!$I$3:$I$3000,C362,Однолинейка!$A$3:$A$3000,Щит_спец)+COUNTIFS(Однолинейка!$J$3:$J$3000,C362,Однолинейка!$A$3:$A$3000,Щит_спец)+COUNTIFS(Однолинейка!$K$3:$K$3000,C362,Однолинейка!$A$3:$A$3000,Щит_спец)),IF(A362="Модуль",IF(C362="","",COUNTIFS(Однолинейка!$AW$3:$AW$3000,"?*",Однолинейка!$AI$3:$AI$3000,C362,Однолинейка!$A$3:$A$3000,Щит_спец)),IF(A362="Клемма",IF(C362="","",IF(C362=$S$7,SUMIFS(Однолинейка!$BW$3:$BW$3000,Однолинейка!$A$3:$A$3000,Щит_спец),IF(C362=$S$8,SUMIFS(Однолинейка!$BX$3:$BX$3000,Однолинейка!$A$3:$A$3000,Щит_спец),""))),""))))</f>
        <v/>
      </c>
      <c r="O362" s="74"/>
      <c r="P362" s="38" t="str">
        <f t="shared" si="45"/>
        <v/>
      </c>
      <c r="U362" s="38" t="str">
        <f t="shared" si="46"/>
        <v/>
      </c>
      <c r="V362" s="38" t="str">
        <f t="shared" si="47"/>
        <v/>
      </c>
      <c r="W362" s="38" t="str">
        <f>IF(AND(U362&lt;&gt;"",OR($S$4="(все)",B362=$S$4),IF($S$4="(все)",COUNTIF($U$4:U362,U362),COUNTIFS($U$4:U362,U362,$B$4:B362,B362))=1),MAX($W$3:W361)+1,"")</f>
        <v/>
      </c>
      <c r="X362" s="38" t="str">
        <f t="shared" si="48"/>
        <v/>
      </c>
      <c r="Y362" s="38" t="str">
        <f>IF(AND(A362="Аппарат",C362&lt;&gt;"",OR($S$5="(все)",B362=$S$5)),MAX($Y$3:Y361)+1,"")</f>
        <v/>
      </c>
      <c r="Z362" s="38" t="str">
        <f t="shared" si="49"/>
        <v/>
      </c>
      <c r="AA362" s="38" t="str">
        <f>IF(AND(A362="Модуль",C362&lt;&gt;"",OR($S$6="(все)",B362=$S$6)),MAX($AA$3:AA361)+1,"")</f>
        <v/>
      </c>
      <c r="AB362" s="38" t="str">
        <f t="shared" si="50"/>
        <v/>
      </c>
      <c r="AC362" s="38" t="str">
        <f>IF(OR(B362="",COUNTIF($B$4:B362,B362)&gt;1),"",MAX($AC$3:AC361)+1)</f>
        <v/>
      </c>
      <c r="AD362" s="38" t="str">
        <f t="shared" si="51"/>
        <v/>
      </c>
      <c r="AE362" s="38" t="str">
        <f t="shared" si="52"/>
        <v/>
      </c>
      <c r="AF362" s="38" t="str">
        <f t="shared" si="53"/>
        <v/>
      </c>
    </row>
    <row r="363" spans="1:32" x14ac:dyDescent="0.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38" t="str">
        <f>IF(OR(A363="Автомат",A363="Дифавтомат"),IF(W363="","",COUNTIFS(Однолинейка!$H$3:$H$3000,U363,Однолинейка!$A$3:$A$3000,Щит_спец)),IF(A363="Аппарат",IF(C363="","",COUNTIFS(Однолинейка!$I$3:$I$3000,C363,Однолинейка!$A$3:$A$3000,Щит_спец)+COUNTIFS(Однолинейка!$J$3:$J$3000,C363,Однолинейка!$A$3:$A$3000,Щит_спец)+COUNTIFS(Однолинейка!$K$3:$K$3000,C363,Однолинейка!$A$3:$A$3000,Щит_спец)),IF(A363="Модуль",IF(C363="","",COUNTIFS(Однолинейка!$AW$3:$AW$3000,"?*",Однолинейка!$AI$3:$AI$3000,C363,Однолинейка!$A$3:$A$3000,Щит_спец)),IF(A363="Клемма",IF(C363="","",IF(C363=$S$7,SUMIFS(Однолинейка!$BW$3:$BW$3000,Однолинейка!$A$3:$A$3000,Щит_спец),IF(C363=$S$8,SUMIFS(Однолинейка!$BX$3:$BX$3000,Однолинейка!$A$3:$A$3000,Щит_спец),""))),""))))</f>
        <v/>
      </c>
      <c r="O363" s="74"/>
      <c r="P363" s="38" t="str">
        <f t="shared" si="45"/>
        <v/>
      </c>
      <c r="U363" s="38" t="str">
        <f t="shared" si="46"/>
        <v/>
      </c>
      <c r="V363" s="38" t="str">
        <f t="shared" si="47"/>
        <v/>
      </c>
      <c r="W363" s="38" t="str">
        <f>IF(AND(U363&lt;&gt;"",OR($S$4="(все)",B363=$S$4),IF($S$4="(все)",COUNTIF($U$4:U363,U363),COUNTIFS($U$4:U363,U363,$B$4:B363,B363))=1),MAX($W$3:W362)+1,"")</f>
        <v/>
      </c>
      <c r="X363" s="38" t="str">
        <f t="shared" si="48"/>
        <v/>
      </c>
      <c r="Y363" s="38" t="str">
        <f>IF(AND(A363="Аппарат",C363&lt;&gt;"",OR($S$5="(все)",B363=$S$5)),MAX($Y$3:Y362)+1,"")</f>
        <v/>
      </c>
      <c r="Z363" s="38" t="str">
        <f t="shared" si="49"/>
        <v/>
      </c>
      <c r="AA363" s="38" t="str">
        <f>IF(AND(A363="Модуль",C363&lt;&gt;"",OR($S$6="(все)",B363=$S$6)),MAX($AA$3:AA362)+1,"")</f>
        <v/>
      </c>
      <c r="AB363" s="38" t="str">
        <f t="shared" si="50"/>
        <v/>
      </c>
      <c r="AC363" s="38" t="str">
        <f>IF(OR(B363="",COUNTIF($B$4:B363,B363)&gt;1),"",MAX($AC$3:AC362)+1)</f>
        <v/>
      </c>
      <c r="AD363" s="38" t="str">
        <f t="shared" si="51"/>
        <v/>
      </c>
      <c r="AE363" s="38" t="str">
        <f t="shared" si="52"/>
        <v/>
      </c>
      <c r="AF363" s="38" t="str">
        <f t="shared" si="53"/>
        <v/>
      </c>
    </row>
    <row r="364" spans="1:32" x14ac:dyDescent="0.3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38" t="str">
        <f>IF(OR(A364="Автомат",A364="Дифавтомат"),IF(W364="","",COUNTIFS(Однолинейка!$H$3:$H$3000,U364,Однолинейка!$A$3:$A$3000,Щит_спец)),IF(A364="Аппарат",IF(C364="","",COUNTIFS(Однолинейка!$I$3:$I$3000,C364,Однолинейка!$A$3:$A$3000,Щит_спец)+COUNTIFS(Однолинейка!$J$3:$J$3000,C364,Однолинейка!$A$3:$A$3000,Щит_спец)+COUNTIFS(Однолинейка!$K$3:$K$3000,C364,Однолинейка!$A$3:$A$3000,Щит_спец)),IF(A364="Модуль",IF(C364="","",COUNTIFS(Однолинейка!$AW$3:$AW$3000,"?*",Однолинейка!$AI$3:$AI$3000,C364,Однолинейка!$A$3:$A$3000,Щит_спец)),IF(A364="Клемма",IF(C364="","",IF(C364=$S$7,SUMIFS(Однолинейка!$BW$3:$BW$3000,Однолинейка!$A$3:$A$3000,Щит_спец),IF(C364=$S$8,SUMIFS(Однолинейка!$BX$3:$BX$3000,Однолинейка!$A$3:$A$3000,Щит_спец),""))),""))))</f>
        <v/>
      </c>
      <c r="O364" s="74"/>
      <c r="P364" s="38" t="str">
        <f t="shared" si="45"/>
        <v/>
      </c>
      <c r="U364" s="38" t="str">
        <f t="shared" si="46"/>
        <v/>
      </c>
      <c r="V364" s="38" t="str">
        <f t="shared" si="47"/>
        <v/>
      </c>
      <c r="W364" s="38" t="str">
        <f>IF(AND(U364&lt;&gt;"",OR($S$4="(все)",B364=$S$4),IF($S$4="(все)",COUNTIF($U$4:U364,U364),COUNTIFS($U$4:U364,U364,$B$4:B364,B364))=1),MAX($W$3:W363)+1,"")</f>
        <v/>
      </c>
      <c r="X364" s="38" t="str">
        <f t="shared" si="48"/>
        <v/>
      </c>
      <c r="Y364" s="38" t="str">
        <f>IF(AND(A364="Аппарат",C364&lt;&gt;"",OR($S$5="(все)",B364=$S$5)),MAX($Y$3:Y363)+1,"")</f>
        <v/>
      </c>
      <c r="Z364" s="38" t="str">
        <f t="shared" si="49"/>
        <v/>
      </c>
      <c r="AA364" s="38" t="str">
        <f>IF(AND(A364="Модуль",C364&lt;&gt;"",OR($S$6="(все)",B364=$S$6)),MAX($AA$3:AA363)+1,"")</f>
        <v/>
      </c>
      <c r="AB364" s="38" t="str">
        <f t="shared" si="50"/>
        <v/>
      </c>
      <c r="AC364" s="38" t="str">
        <f>IF(OR(B364="",COUNTIF($B$4:B364,B364)&gt;1),"",MAX($AC$3:AC363)+1)</f>
        <v/>
      </c>
      <c r="AD364" s="38" t="str">
        <f t="shared" si="51"/>
        <v/>
      </c>
      <c r="AE364" s="38" t="str">
        <f t="shared" si="52"/>
        <v/>
      </c>
      <c r="AF364" s="38" t="str">
        <f t="shared" si="53"/>
        <v/>
      </c>
    </row>
    <row r="365" spans="1:32" x14ac:dyDescent="0.3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38" t="str">
        <f>IF(OR(A365="Автомат",A365="Дифавтомат"),IF(W365="","",COUNTIFS(Однолинейка!$H$3:$H$3000,U365,Однолинейка!$A$3:$A$3000,Щит_спец)),IF(A365="Аппарат",IF(C365="","",COUNTIFS(Однолинейка!$I$3:$I$3000,C365,Однолинейка!$A$3:$A$3000,Щит_спец)+COUNTIFS(Однолинейка!$J$3:$J$3000,C365,Однолинейка!$A$3:$A$3000,Щит_спец)+COUNTIFS(Однолинейка!$K$3:$K$3000,C365,Однолинейка!$A$3:$A$3000,Щит_спец)),IF(A365="Модуль",IF(C365="","",COUNTIFS(Однолинейка!$AW$3:$AW$3000,"?*",Однолинейка!$AI$3:$AI$3000,C365,Однолинейка!$A$3:$A$3000,Щит_спец)),IF(A365="Клемма",IF(C365="","",IF(C365=$S$7,SUMIFS(Однолинейка!$BW$3:$BW$3000,Однолинейка!$A$3:$A$3000,Щит_спец),IF(C365=$S$8,SUMIFS(Однолинейка!$BX$3:$BX$3000,Однолинейка!$A$3:$A$3000,Щит_спец),""))),""))))</f>
        <v/>
      </c>
      <c r="O365" s="74"/>
      <c r="P365" s="38" t="str">
        <f t="shared" si="45"/>
        <v/>
      </c>
      <c r="U365" s="38" t="str">
        <f t="shared" si="46"/>
        <v/>
      </c>
      <c r="V365" s="38" t="str">
        <f t="shared" si="47"/>
        <v/>
      </c>
      <c r="W365" s="38" t="str">
        <f>IF(AND(U365&lt;&gt;"",OR($S$4="(все)",B365=$S$4),IF($S$4="(все)",COUNTIF($U$4:U365,U365),COUNTIFS($U$4:U365,U365,$B$4:B365,B365))=1),MAX($W$3:W364)+1,"")</f>
        <v/>
      </c>
      <c r="X365" s="38" t="str">
        <f t="shared" si="48"/>
        <v/>
      </c>
      <c r="Y365" s="38" t="str">
        <f>IF(AND(A365="Аппарат",C365&lt;&gt;"",OR($S$5="(все)",B365=$S$5)),MAX($Y$3:Y364)+1,"")</f>
        <v/>
      </c>
      <c r="Z365" s="38" t="str">
        <f t="shared" si="49"/>
        <v/>
      </c>
      <c r="AA365" s="38" t="str">
        <f>IF(AND(A365="Модуль",C365&lt;&gt;"",OR($S$6="(все)",B365=$S$6)),MAX($AA$3:AA364)+1,"")</f>
        <v/>
      </c>
      <c r="AB365" s="38" t="str">
        <f t="shared" si="50"/>
        <v/>
      </c>
      <c r="AC365" s="38" t="str">
        <f>IF(OR(B365="",COUNTIF($B$4:B365,B365)&gt;1),"",MAX($AC$3:AC364)+1)</f>
        <v/>
      </c>
      <c r="AD365" s="38" t="str">
        <f t="shared" si="51"/>
        <v/>
      </c>
      <c r="AE365" s="38" t="str">
        <f t="shared" si="52"/>
        <v/>
      </c>
      <c r="AF365" s="38" t="str">
        <f t="shared" si="53"/>
        <v/>
      </c>
    </row>
    <row r="366" spans="1:32" x14ac:dyDescent="0.3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38" t="str">
        <f>IF(OR(A366="Автомат",A366="Дифавтомат"),IF(W366="","",COUNTIFS(Однолинейка!$H$3:$H$3000,U366,Однолинейка!$A$3:$A$3000,Щит_спец)),IF(A366="Аппарат",IF(C366="","",COUNTIFS(Однолинейка!$I$3:$I$3000,C366,Однолинейка!$A$3:$A$3000,Щит_спец)+COUNTIFS(Однолинейка!$J$3:$J$3000,C366,Однолинейка!$A$3:$A$3000,Щит_спец)+COUNTIFS(Однолинейка!$K$3:$K$3000,C366,Однолинейка!$A$3:$A$3000,Щит_спец)),IF(A366="Модуль",IF(C366="","",COUNTIFS(Однолинейка!$AW$3:$AW$3000,"?*",Однолинейка!$AI$3:$AI$3000,C366,Однолинейка!$A$3:$A$3000,Щит_спец)),IF(A366="Клемма",IF(C366="","",IF(C366=$S$7,SUMIFS(Однолинейка!$BW$3:$BW$3000,Однолинейка!$A$3:$A$3000,Щит_спец),IF(C366=$S$8,SUMIFS(Однолинейка!$BX$3:$BX$3000,Однолинейка!$A$3:$A$3000,Щит_спец),""))),""))))</f>
        <v/>
      </c>
      <c r="O366" s="74"/>
      <c r="P366" s="38" t="str">
        <f t="shared" si="45"/>
        <v/>
      </c>
      <c r="U366" s="38" t="str">
        <f t="shared" si="46"/>
        <v/>
      </c>
      <c r="V366" s="38" t="str">
        <f t="shared" si="47"/>
        <v/>
      </c>
      <c r="W366" s="38" t="str">
        <f>IF(AND(U366&lt;&gt;"",OR($S$4="(все)",B366=$S$4),IF($S$4="(все)",COUNTIF($U$4:U366,U366),COUNTIFS($U$4:U366,U366,$B$4:B366,B366))=1),MAX($W$3:W365)+1,"")</f>
        <v/>
      </c>
      <c r="X366" s="38" t="str">
        <f t="shared" si="48"/>
        <v/>
      </c>
      <c r="Y366" s="38" t="str">
        <f>IF(AND(A366="Аппарат",C366&lt;&gt;"",OR($S$5="(все)",B366=$S$5)),MAX($Y$3:Y365)+1,"")</f>
        <v/>
      </c>
      <c r="Z366" s="38" t="str">
        <f t="shared" si="49"/>
        <v/>
      </c>
      <c r="AA366" s="38" t="str">
        <f>IF(AND(A366="Модуль",C366&lt;&gt;"",OR($S$6="(все)",B366=$S$6)),MAX($AA$3:AA365)+1,"")</f>
        <v/>
      </c>
      <c r="AB366" s="38" t="str">
        <f t="shared" si="50"/>
        <v/>
      </c>
      <c r="AC366" s="38" t="str">
        <f>IF(OR(B366="",COUNTIF($B$4:B366,B366)&gt;1),"",MAX($AC$3:AC365)+1)</f>
        <v/>
      </c>
      <c r="AD366" s="38" t="str">
        <f t="shared" si="51"/>
        <v/>
      </c>
      <c r="AE366" s="38" t="str">
        <f t="shared" si="52"/>
        <v/>
      </c>
      <c r="AF366" s="38" t="str">
        <f t="shared" si="53"/>
        <v/>
      </c>
    </row>
    <row r="367" spans="1:32" x14ac:dyDescent="0.3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38" t="str">
        <f>IF(OR(A367="Автомат",A367="Дифавтомат"),IF(W367="","",COUNTIFS(Однолинейка!$H$3:$H$3000,U367,Однолинейка!$A$3:$A$3000,Щит_спец)),IF(A367="Аппарат",IF(C367="","",COUNTIFS(Однолинейка!$I$3:$I$3000,C367,Однолинейка!$A$3:$A$3000,Щит_спец)+COUNTIFS(Однолинейка!$J$3:$J$3000,C367,Однолинейка!$A$3:$A$3000,Щит_спец)+COUNTIFS(Однолинейка!$K$3:$K$3000,C367,Однолинейка!$A$3:$A$3000,Щит_спец)),IF(A367="Модуль",IF(C367="","",COUNTIFS(Однолинейка!$AW$3:$AW$3000,"?*",Однолинейка!$AI$3:$AI$3000,C367,Однолинейка!$A$3:$A$3000,Щит_спец)),IF(A367="Клемма",IF(C367="","",IF(C367=$S$7,SUMIFS(Однолинейка!$BW$3:$BW$3000,Однолинейка!$A$3:$A$3000,Щит_спец),IF(C367=$S$8,SUMIFS(Однолинейка!$BX$3:$BX$3000,Однолинейка!$A$3:$A$3000,Щит_спец),""))),""))))</f>
        <v/>
      </c>
      <c r="O367" s="74"/>
      <c r="P367" s="38" t="str">
        <f t="shared" si="45"/>
        <v/>
      </c>
      <c r="U367" s="38" t="str">
        <f t="shared" si="46"/>
        <v/>
      </c>
      <c r="V367" s="38" t="str">
        <f t="shared" si="47"/>
        <v/>
      </c>
      <c r="W367" s="38" t="str">
        <f>IF(AND(U367&lt;&gt;"",OR($S$4="(все)",B367=$S$4),IF($S$4="(все)",COUNTIF($U$4:U367,U367),COUNTIFS($U$4:U367,U367,$B$4:B367,B367))=1),MAX($W$3:W366)+1,"")</f>
        <v/>
      </c>
      <c r="X367" s="38" t="str">
        <f t="shared" si="48"/>
        <v/>
      </c>
      <c r="Y367" s="38" t="str">
        <f>IF(AND(A367="Аппарат",C367&lt;&gt;"",OR($S$5="(все)",B367=$S$5)),MAX($Y$3:Y366)+1,"")</f>
        <v/>
      </c>
      <c r="Z367" s="38" t="str">
        <f t="shared" si="49"/>
        <v/>
      </c>
      <c r="AA367" s="38" t="str">
        <f>IF(AND(A367="Модуль",C367&lt;&gt;"",OR($S$6="(все)",B367=$S$6)),MAX($AA$3:AA366)+1,"")</f>
        <v/>
      </c>
      <c r="AB367" s="38" t="str">
        <f t="shared" si="50"/>
        <v/>
      </c>
      <c r="AC367" s="38" t="str">
        <f>IF(OR(B367="",COUNTIF($B$4:B367,B367)&gt;1),"",MAX($AC$3:AC366)+1)</f>
        <v/>
      </c>
      <c r="AD367" s="38" t="str">
        <f t="shared" si="51"/>
        <v/>
      </c>
      <c r="AE367" s="38" t="str">
        <f t="shared" si="52"/>
        <v/>
      </c>
      <c r="AF367" s="38" t="str">
        <f t="shared" si="53"/>
        <v/>
      </c>
    </row>
    <row r="368" spans="1:32" x14ac:dyDescent="0.3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38" t="str">
        <f>IF(OR(A368="Автомат",A368="Дифавтомат"),IF(W368="","",COUNTIFS(Однолинейка!$H$3:$H$3000,U368,Однолинейка!$A$3:$A$3000,Щит_спец)),IF(A368="Аппарат",IF(C368="","",COUNTIFS(Однолинейка!$I$3:$I$3000,C368,Однолинейка!$A$3:$A$3000,Щит_спец)+COUNTIFS(Однолинейка!$J$3:$J$3000,C368,Однолинейка!$A$3:$A$3000,Щит_спец)+COUNTIFS(Однолинейка!$K$3:$K$3000,C368,Однолинейка!$A$3:$A$3000,Щит_спец)),IF(A368="Модуль",IF(C368="","",COUNTIFS(Однолинейка!$AW$3:$AW$3000,"?*",Однолинейка!$AI$3:$AI$3000,C368,Однолинейка!$A$3:$A$3000,Щит_спец)),IF(A368="Клемма",IF(C368="","",IF(C368=$S$7,SUMIFS(Однолинейка!$BW$3:$BW$3000,Однолинейка!$A$3:$A$3000,Щит_спец),IF(C368=$S$8,SUMIFS(Однолинейка!$BX$3:$BX$3000,Однолинейка!$A$3:$A$3000,Щит_спец),""))),""))))</f>
        <v/>
      </c>
      <c r="O368" s="74"/>
      <c r="P368" s="38" t="str">
        <f t="shared" si="45"/>
        <v/>
      </c>
      <c r="U368" s="38" t="str">
        <f t="shared" si="46"/>
        <v/>
      </c>
      <c r="V368" s="38" t="str">
        <f t="shared" si="47"/>
        <v/>
      </c>
      <c r="W368" s="38" t="str">
        <f>IF(AND(U368&lt;&gt;"",OR($S$4="(все)",B368=$S$4),IF($S$4="(все)",COUNTIF($U$4:U368,U368),COUNTIFS($U$4:U368,U368,$B$4:B368,B368))=1),MAX($W$3:W367)+1,"")</f>
        <v/>
      </c>
      <c r="X368" s="38" t="str">
        <f t="shared" si="48"/>
        <v/>
      </c>
      <c r="Y368" s="38" t="str">
        <f>IF(AND(A368="Аппарат",C368&lt;&gt;"",OR($S$5="(все)",B368=$S$5)),MAX($Y$3:Y367)+1,"")</f>
        <v/>
      </c>
      <c r="Z368" s="38" t="str">
        <f t="shared" si="49"/>
        <v/>
      </c>
      <c r="AA368" s="38" t="str">
        <f>IF(AND(A368="Модуль",C368&lt;&gt;"",OR($S$6="(все)",B368=$S$6)),MAX($AA$3:AA367)+1,"")</f>
        <v/>
      </c>
      <c r="AB368" s="38" t="str">
        <f t="shared" si="50"/>
        <v/>
      </c>
      <c r="AC368" s="38" t="str">
        <f>IF(OR(B368="",COUNTIF($B$4:B368,B368)&gt;1),"",MAX($AC$3:AC367)+1)</f>
        <v/>
      </c>
      <c r="AD368" s="38" t="str">
        <f t="shared" si="51"/>
        <v/>
      </c>
      <c r="AE368" s="38" t="str">
        <f t="shared" si="52"/>
        <v/>
      </c>
      <c r="AF368" s="38" t="str">
        <f t="shared" si="53"/>
        <v/>
      </c>
    </row>
    <row r="369" spans="1:32" x14ac:dyDescent="0.3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38" t="str">
        <f>IF(OR(A369="Автомат",A369="Дифавтомат"),IF(W369="","",COUNTIFS(Однолинейка!$H$3:$H$3000,U369,Однолинейка!$A$3:$A$3000,Щит_спец)),IF(A369="Аппарат",IF(C369="","",COUNTIFS(Однолинейка!$I$3:$I$3000,C369,Однолинейка!$A$3:$A$3000,Щит_спец)+COUNTIFS(Однолинейка!$J$3:$J$3000,C369,Однолинейка!$A$3:$A$3000,Щит_спец)+COUNTIFS(Однолинейка!$K$3:$K$3000,C369,Однолинейка!$A$3:$A$3000,Щит_спец)),IF(A369="Модуль",IF(C369="","",COUNTIFS(Однолинейка!$AW$3:$AW$3000,"?*",Однолинейка!$AI$3:$AI$3000,C369,Однолинейка!$A$3:$A$3000,Щит_спец)),IF(A369="Клемма",IF(C369="","",IF(C369=$S$7,SUMIFS(Однолинейка!$BW$3:$BW$3000,Однолинейка!$A$3:$A$3000,Щит_спец),IF(C369=$S$8,SUMIFS(Однолинейка!$BX$3:$BX$3000,Однолинейка!$A$3:$A$3000,Щит_спец),""))),""))))</f>
        <v/>
      </c>
      <c r="O369" s="74"/>
      <c r="P369" s="38" t="str">
        <f t="shared" si="45"/>
        <v/>
      </c>
      <c r="U369" s="38" t="str">
        <f t="shared" si="46"/>
        <v/>
      </c>
      <c r="V369" s="38" t="str">
        <f t="shared" si="47"/>
        <v/>
      </c>
      <c r="W369" s="38" t="str">
        <f>IF(AND(U369&lt;&gt;"",OR($S$4="(все)",B369=$S$4),IF($S$4="(все)",COUNTIF($U$4:U369,U369),COUNTIFS($U$4:U369,U369,$B$4:B369,B369))=1),MAX($W$3:W368)+1,"")</f>
        <v/>
      </c>
      <c r="X369" s="38" t="str">
        <f t="shared" si="48"/>
        <v/>
      </c>
      <c r="Y369" s="38" t="str">
        <f>IF(AND(A369="Аппарат",C369&lt;&gt;"",OR($S$5="(все)",B369=$S$5)),MAX($Y$3:Y368)+1,"")</f>
        <v/>
      </c>
      <c r="Z369" s="38" t="str">
        <f t="shared" si="49"/>
        <v/>
      </c>
      <c r="AA369" s="38" t="str">
        <f>IF(AND(A369="Модуль",C369&lt;&gt;"",OR($S$6="(все)",B369=$S$6)),MAX($AA$3:AA368)+1,"")</f>
        <v/>
      </c>
      <c r="AB369" s="38" t="str">
        <f t="shared" si="50"/>
        <v/>
      </c>
      <c r="AC369" s="38" t="str">
        <f>IF(OR(B369="",COUNTIF($B$4:B369,B369)&gt;1),"",MAX($AC$3:AC368)+1)</f>
        <v/>
      </c>
      <c r="AD369" s="38" t="str">
        <f t="shared" si="51"/>
        <v/>
      </c>
      <c r="AE369" s="38" t="str">
        <f t="shared" si="52"/>
        <v/>
      </c>
      <c r="AF369" s="38" t="str">
        <f t="shared" si="53"/>
        <v/>
      </c>
    </row>
    <row r="370" spans="1:32" x14ac:dyDescent="0.3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38" t="str">
        <f>IF(OR(A370="Автомат",A370="Дифавтомат"),IF(W370="","",COUNTIFS(Однолинейка!$H$3:$H$3000,U370,Однолинейка!$A$3:$A$3000,Щит_спец)),IF(A370="Аппарат",IF(C370="","",COUNTIFS(Однолинейка!$I$3:$I$3000,C370,Однолинейка!$A$3:$A$3000,Щит_спец)+COUNTIFS(Однолинейка!$J$3:$J$3000,C370,Однолинейка!$A$3:$A$3000,Щит_спец)+COUNTIFS(Однолинейка!$K$3:$K$3000,C370,Однолинейка!$A$3:$A$3000,Щит_спец)),IF(A370="Модуль",IF(C370="","",COUNTIFS(Однолинейка!$AW$3:$AW$3000,"?*",Однолинейка!$AI$3:$AI$3000,C370,Однолинейка!$A$3:$A$3000,Щит_спец)),IF(A370="Клемма",IF(C370="","",IF(C370=$S$7,SUMIFS(Однолинейка!$BW$3:$BW$3000,Однолинейка!$A$3:$A$3000,Щит_спец),IF(C370=$S$8,SUMIFS(Однолинейка!$BX$3:$BX$3000,Однолинейка!$A$3:$A$3000,Щит_спец),""))),""))))</f>
        <v/>
      </c>
      <c r="O370" s="74"/>
      <c r="P370" s="38" t="str">
        <f t="shared" si="45"/>
        <v/>
      </c>
      <c r="U370" s="38" t="str">
        <f t="shared" si="46"/>
        <v/>
      </c>
      <c r="V370" s="38" t="str">
        <f t="shared" si="47"/>
        <v/>
      </c>
      <c r="W370" s="38" t="str">
        <f>IF(AND(U370&lt;&gt;"",OR($S$4="(все)",B370=$S$4),IF($S$4="(все)",COUNTIF($U$4:U370,U370),COUNTIFS($U$4:U370,U370,$B$4:B370,B370))=1),MAX($W$3:W369)+1,"")</f>
        <v/>
      </c>
      <c r="X370" s="38" t="str">
        <f t="shared" si="48"/>
        <v/>
      </c>
      <c r="Y370" s="38" t="str">
        <f>IF(AND(A370="Аппарат",C370&lt;&gt;"",OR($S$5="(все)",B370=$S$5)),MAX($Y$3:Y369)+1,"")</f>
        <v/>
      </c>
      <c r="Z370" s="38" t="str">
        <f t="shared" si="49"/>
        <v/>
      </c>
      <c r="AA370" s="38" t="str">
        <f>IF(AND(A370="Модуль",C370&lt;&gt;"",OR($S$6="(все)",B370=$S$6)),MAX($AA$3:AA369)+1,"")</f>
        <v/>
      </c>
      <c r="AB370" s="38" t="str">
        <f t="shared" si="50"/>
        <v/>
      </c>
      <c r="AC370" s="38" t="str">
        <f>IF(OR(B370="",COUNTIF($B$4:B370,B370)&gt;1),"",MAX($AC$3:AC369)+1)</f>
        <v/>
      </c>
      <c r="AD370" s="38" t="str">
        <f t="shared" si="51"/>
        <v/>
      </c>
      <c r="AE370" s="38" t="str">
        <f t="shared" si="52"/>
        <v/>
      </c>
      <c r="AF370" s="38" t="str">
        <f t="shared" si="53"/>
        <v/>
      </c>
    </row>
    <row r="371" spans="1:32" x14ac:dyDescent="0.3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38" t="str">
        <f>IF(OR(A371="Автомат",A371="Дифавтомат"),IF(W371="","",COUNTIFS(Однолинейка!$H$3:$H$3000,U371,Однолинейка!$A$3:$A$3000,Щит_спец)),IF(A371="Аппарат",IF(C371="","",COUNTIFS(Однолинейка!$I$3:$I$3000,C371,Однолинейка!$A$3:$A$3000,Щит_спец)+COUNTIFS(Однолинейка!$J$3:$J$3000,C371,Однолинейка!$A$3:$A$3000,Щит_спец)+COUNTIFS(Однолинейка!$K$3:$K$3000,C371,Однолинейка!$A$3:$A$3000,Щит_спец)),IF(A371="Модуль",IF(C371="","",COUNTIFS(Однолинейка!$AW$3:$AW$3000,"?*",Однолинейка!$AI$3:$AI$3000,C371,Однолинейка!$A$3:$A$3000,Щит_спец)),IF(A371="Клемма",IF(C371="","",IF(C371=$S$7,SUMIFS(Однолинейка!$BW$3:$BW$3000,Однолинейка!$A$3:$A$3000,Щит_спец),IF(C371=$S$8,SUMIFS(Однолинейка!$BX$3:$BX$3000,Однолинейка!$A$3:$A$3000,Щит_спец),""))),""))))</f>
        <v/>
      </c>
      <c r="O371" s="74"/>
      <c r="P371" s="38" t="str">
        <f t="shared" si="45"/>
        <v/>
      </c>
      <c r="U371" s="38" t="str">
        <f t="shared" si="46"/>
        <v/>
      </c>
      <c r="V371" s="38" t="str">
        <f t="shared" si="47"/>
        <v/>
      </c>
      <c r="W371" s="38" t="str">
        <f>IF(AND(U371&lt;&gt;"",OR($S$4="(все)",B371=$S$4),IF($S$4="(все)",COUNTIF($U$4:U371,U371),COUNTIFS($U$4:U371,U371,$B$4:B371,B371))=1),MAX($W$3:W370)+1,"")</f>
        <v/>
      </c>
      <c r="X371" s="38" t="str">
        <f t="shared" si="48"/>
        <v/>
      </c>
      <c r="Y371" s="38" t="str">
        <f>IF(AND(A371="Аппарат",C371&lt;&gt;"",OR($S$5="(все)",B371=$S$5)),MAX($Y$3:Y370)+1,"")</f>
        <v/>
      </c>
      <c r="Z371" s="38" t="str">
        <f t="shared" si="49"/>
        <v/>
      </c>
      <c r="AA371" s="38" t="str">
        <f>IF(AND(A371="Модуль",C371&lt;&gt;"",OR($S$6="(все)",B371=$S$6)),MAX($AA$3:AA370)+1,"")</f>
        <v/>
      </c>
      <c r="AB371" s="38" t="str">
        <f t="shared" si="50"/>
        <v/>
      </c>
      <c r="AC371" s="38" t="str">
        <f>IF(OR(B371="",COUNTIF($B$4:B371,B371)&gt;1),"",MAX($AC$3:AC370)+1)</f>
        <v/>
      </c>
      <c r="AD371" s="38" t="str">
        <f t="shared" si="51"/>
        <v/>
      </c>
      <c r="AE371" s="38" t="str">
        <f t="shared" si="52"/>
        <v/>
      </c>
      <c r="AF371" s="38" t="str">
        <f t="shared" si="53"/>
        <v/>
      </c>
    </row>
    <row r="372" spans="1:32" x14ac:dyDescent="0.3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38" t="str">
        <f>IF(OR(A372="Автомат",A372="Дифавтомат"),IF(W372="","",COUNTIFS(Однолинейка!$H$3:$H$3000,U372,Однолинейка!$A$3:$A$3000,Щит_спец)),IF(A372="Аппарат",IF(C372="","",COUNTIFS(Однолинейка!$I$3:$I$3000,C372,Однолинейка!$A$3:$A$3000,Щит_спец)+COUNTIFS(Однолинейка!$J$3:$J$3000,C372,Однолинейка!$A$3:$A$3000,Щит_спец)+COUNTIFS(Однолинейка!$K$3:$K$3000,C372,Однолинейка!$A$3:$A$3000,Щит_спец)),IF(A372="Модуль",IF(C372="","",COUNTIFS(Однолинейка!$AW$3:$AW$3000,"?*",Однолинейка!$AI$3:$AI$3000,C372,Однолинейка!$A$3:$A$3000,Щит_спец)),IF(A372="Клемма",IF(C372="","",IF(C372=$S$7,SUMIFS(Однолинейка!$BW$3:$BW$3000,Однолинейка!$A$3:$A$3000,Щит_спец),IF(C372=$S$8,SUMIFS(Однолинейка!$BX$3:$BX$3000,Однолинейка!$A$3:$A$3000,Щит_спец),""))),""))))</f>
        <v/>
      </c>
      <c r="O372" s="74"/>
      <c r="P372" s="38" t="str">
        <f t="shared" si="45"/>
        <v/>
      </c>
      <c r="U372" s="38" t="str">
        <f t="shared" si="46"/>
        <v/>
      </c>
      <c r="V372" s="38" t="str">
        <f t="shared" si="47"/>
        <v/>
      </c>
      <c r="W372" s="38" t="str">
        <f>IF(AND(U372&lt;&gt;"",OR($S$4="(все)",B372=$S$4),IF($S$4="(все)",COUNTIF($U$4:U372,U372),COUNTIFS($U$4:U372,U372,$B$4:B372,B372))=1),MAX($W$3:W371)+1,"")</f>
        <v/>
      </c>
      <c r="X372" s="38" t="str">
        <f t="shared" si="48"/>
        <v/>
      </c>
      <c r="Y372" s="38" t="str">
        <f>IF(AND(A372="Аппарат",C372&lt;&gt;"",OR($S$5="(все)",B372=$S$5)),MAX($Y$3:Y371)+1,"")</f>
        <v/>
      </c>
      <c r="Z372" s="38" t="str">
        <f t="shared" si="49"/>
        <v/>
      </c>
      <c r="AA372" s="38" t="str">
        <f>IF(AND(A372="Модуль",C372&lt;&gt;"",OR($S$6="(все)",B372=$S$6)),MAX($AA$3:AA371)+1,"")</f>
        <v/>
      </c>
      <c r="AB372" s="38" t="str">
        <f t="shared" si="50"/>
        <v/>
      </c>
      <c r="AC372" s="38" t="str">
        <f>IF(OR(B372="",COUNTIF($B$4:B372,B372)&gt;1),"",MAX($AC$3:AC371)+1)</f>
        <v/>
      </c>
      <c r="AD372" s="38" t="str">
        <f t="shared" si="51"/>
        <v/>
      </c>
      <c r="AE372" s="38" t="str">
        <f t="shared" si="52"/>
        <v/>
      </c>
      <c r="AF372" s="38" t="str">
        <f t="shared" si="53"/>
        <v/>
      </c>
    </row>
    <row r="373" spans="1:32" x14ac:dyDescent="0.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38" t="str">
        <f>IF(OR(A373="Автомат",A373="Дифавтомат"),IF(W373="","",COUNTIFS(Однолинейка!$H$3:$H$3000,U373,Однолинейка!$A$3:$A$3000,Щит_спец)),IF(A373="Аппарат",IF(C373="","",COUNTIFS(Однолинейка!$I$3:$I$3000,C373,Однолинейка!$A$3:$A$3000,Щит_спец)+COUNTIFS(Однолинейка!$J$3:$J$3000,C373,Однолинейка!$A$3:$A$3000,Щит_спец)+COUNTIFS(Однолинейка!$K$3:$K$3000,C373,Однолинейка!$A$3:$A$3000,Щит_спец)),IF(A373="Модуль",IF(C373="","",COUNTIFS(Однолинейка!$AW$3:$AW$3000,"?*",Однолинейка!$AI$3:$AI$3000,C373,Однолинейка!$A$3:$A$3000,Щит_спец)),IF(A373="Клемма",IF(C373="","",IF(C373=$S$7,SUMIFS(Однолинейка!$BW$3:$BW$3000,Однолинейка!$A$3:$A$3000,Щит_спец),IF(C373=$S$8,SUMIFS(Однолинейка!$BX$3:$BX$3000,Однолинейка!$A$3:$A$3000,Щит_спец),""))),""))))</f>
        <v/>
      </c>
      <c r="O373" s="74"/>
      <c r="P373" s="38" t="str">
        <f t="shared" si="45"/>
        <v/>
      </c>
      <c r="U373" s="38" t="str">
        <f t="shared" si="46"/>
        <v/>
      </c>
      <c r="V373" s="38" t="str">
        <f t="shared" si="47"/>
        <v/>
      </c>
      <c r="W373" s="38" t="str">
        <f>IF(AND(U373&lt;&gt;"",OR($S$4="(все)",B373=$S$4),IF($S$4="(все)",COUNTIF($U$4:U373,U373),COUNTIFS($U$4:U373,U373,$B$4:B373,B373))=1),MAX($W$3:W372)+1,"")</f>
        <v/>
      </c>
      <c r="X373" s="38" t="str">
        <f t="shared" si="48"/>
        <v/>
      </c>
      <c r="Y373" s="38" t="str">
        <f>IF(AND(A373="Аппарат",C373&lt;&gt;"",OR($S$5="(все)",B373=$S$5)),MAX($Y$3:Y372)+1,"")</f>
        <v/>
      </c>
      <c r="Z373" s="38" t="str">
        <f t="shared" si="49"/>
        <v/>
      </c>
      <c r="AA373" s="38" t="str">
        <f>IF(AND(A373="Модуль",C373&lt;&gt;"",OR($S$6="(все)",B373=$S$6)),MAX($AA$3:AA372)+1,"")</f>
        <v/>
      </c>
      <c r="AB373" s="38" t="str">
        <f t="shared" si="50"/>
        <v/>
      </c>
      <c r="AC373" s="38" t="str">
        <f>IF(OR(B373="",COUNTIF($B$4:B373,B373)&gt;1),"",MAX($AC$3:AC372)+1)</f>
        <v/>
      </c>
      <c r="AD373" s="38" t="str">
        <f t="shared" si="51"/>
        <v/>
      </c>
      <c r="AE373" s="38" t="str">
        <f t="shared" si="52"/>
        <v/>
      </c>
      <c r="AF373" s="38" t="str">
        <f t="shared" si="53"/>
        <v/>
      </c>
    </row>
    <row r="374" spans="1:32" x14ac:dyDescent="0.3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38" t="str">
        <f>IF(OR(A374="Автомат",A374="Дифавтомат"),IF(W374="","",COUNTIFS(Однолинейка!$H$3:$H$3000,U374,Однолинейка!$A$3:$A$3000,Щит_спец)),IF(A374="Аппарат",IF(C374="","",COUNTIFS(Однолинейка!$I$3:$I$3000,C374,Однолинейка!$A$3:$A$3000,Щит_спец)+COUNTIFS(Однолинейка!$J$3:$J$3000,C374,Однолинейка!$A$3:$A$3000,Щит_спец)+COUNTIFS(Однолинейка!$K$3:$K$3000,C374,Однолинейка!$A$3:$A$3000,Щит_спец)),IF(A374="Модуль",IF(C374="","",COUNTIFS(Однолинейка!$AW$3:$AW$3000,"?*",Однолинейка!$AI$3:$AI$3000,C374,Однолинейка!$A$3:$A$3000,Щит_спец)),IF(A374="Клемма",IF(C374="","",IF(C374=$S$7,SUMIFS(Однолинейка!$BW$3:$BW$3000,Однолинейка!$A$3:$A$3000,Щит_спец),IF(C374=$S$8,SUMIFS(Однолинейка!$BX$3:$BX$3000,Однолинейка!$A$3:$A$3000,Щит_спец),""))),""))))</f>
        <v/>
      </c>
      <c r="O374" s="74"/>
      <c r="P374" s="38" t="str">
        <f t="shared" si="45"/>
        <v/>
      </c>
      <c r="U374" s="38" t="str">
        <f t="shared" si="46"/>
        <v/>
      </c>
      <c r="V374" s="38" t="str">
        <f t="shared" si="47"/>
        <v/>
      </c>
      <c r="W374" s="38" t="str">
        <f>IF(AND(U374&lt;&gt;"",OR($S$4="(все)",B374=$S$4),IF($S$4="(все)",COUNTIF($U$4:U374,U374),COUNTIFS($U$4:U374,U374,$B$4:B374,B374))=1),MAX($W$3:W373)+1,"")</f>
        <v/>
      </c>
      <c r="X374" s="38" t="str">
        <f t="shared" si="48"/>
        <v/>
      </c>
      <c r="Y374" s="38" t="str">
        <f>IF(AND(A374="Аппарат",C374&lt;&gt;"",OR($S$5="(все)",B374=$S$5)),MAX($Y$3:Y373)+1,"")</f>
        <v/>
      </c>
      <c r="Z374" s="38" t="str">
        <f t="shared" si="49"/>
        <v/>
      </c>
      <c r="AA374" s="38" t="str">
        <f>IF(AND(A374="Модуль",C374&lt;&gt;"",OR($S$6="(все)",B374=$S$6)),MAX($AA$3:AA373)+1,"")</f>
        <v/>
      </c>
      <c r="AB374" s="38" t="str">
        <f t="shared" si="50"/>
        <v/>
      </c>
      <c r="AC374" s="38" t="str">
        <f>IF(OR(B374="",COUNTIF($B$4:B374,B374)&gt;1),"",MAX($AC$3:AC373)+1)</f>
        <v/>
      </c>
      <c r="AD374" s="38" t="str">
        <f t="shared" si="51"/>
        <v/>
      </c>
      <c r="AE374" s="38" t="str">
        <f t="shared" si="52"/>
        <v/>
      </c>
      <c r="AF374" s="38" t="str">
        <f t="shared" si="53"/>
        <v/>
      </c>
    </row>
    <row r="375" spans="1:32" x14ac:dyDescent="0.3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38" t="str">
        <f>IF(OR(A375="Автомат",A375="Дифавтомат"),IF(W375="","",COUNTIFS(Однолинейка!$H$3:$H$3000,U375,Однолинейка!$A$3:$A$3000,Щит_спец)),IF(A375="Аппарат",IF(C375="","",COUNTIFS(Однолинейка!$I$3:$I$3000,C375,Однолинейка!$A$3:$A$3000,Щит_спец)+COUNTIFS(Однолинейка!$J$3:$J$3000,C375,Однолинейка!$A$3:$A$3000,Щит_спец)+COUNTIFS(Однолинейка!$K$3:$K$3000,C375,Однолинейка!$A$3:$A$3000,Щит_спец)),IF(A375="Модуль",IF(C375="","",COUNTIFS(Однолинейка!$AW$3:$AW$3000,"?*",Однолинейка!$AI$3:$AI$3000,C375,Однолинейка!$A$3:$A$3000,Щит_спец)),IF(A375="Клемма",IF(C375="","",IF(C375=$S$7,SUMIFS(Однолинейка!$BW$3:$BW$3000,Однолинейка!$A$3:$A$3000,Щит_спец),IF(C375=$S$8,SUMIFS(Однолинейка!$BX$3:$BX$3000,Однолинейка!$A$3:$A$3000,Щит_спец),""))),""))))</f>
        <v/>
      </c>
      <c r="O375" s="74"/>
      <c r="P375" s="38" t="str">
        <f t="shared" si="45"/>
        <v/>
      </c>
      <c r="U375" s="38" t="str">
        <f t="shared" si="46"/>
        <v/>
      </c>
      <c r="V375" s="38" t="str">
        <f t="shared" si="47"/>
        <v/>
      </c>
      <c r="W375" s="38" t="str">
        <f>IF(AND(U375&lt;&gt;"",OR($S$4="(все)",B375=$S$4),IF($S$4="(все)",COUNTIF($U$4:U375,U375),COUNTIFS($U$4:U375,U375,$B$4:B375,B375))=1),MAX($W$3:W374)+1,"")</f>
        <v/>
      </c>
      <c r="X375" s="38" t="str">
        <f t="shared" si="48"/>
        <v/>
      </c>
      <c r="Y375" s="38" t="str">
        <f>IF(AND(A375="Аппарат",C375&lt;&gt;"",OR($S$5="(все)",B375=$S$5)),MAX($Y$3:Y374)+1,"")</f>
        <v/>
      </c>
      <c r="Z375" s="38" t="str">
        <f t="shared" si="49"/>
        <v/>
      </c>
      <c r="AA375" s="38" t="str">
        <f>IF(AND(A375="Модуль",C375&lt;&gt;"",OR($S$6="(все)",B375=$S$6)),MAX($AA$3:AA374)+1,"")</f>
        <v/>
      </c>
      <c r="AB375" s="38" t="str">
        <f t="shared" si="50"/>
        <v/>
      </c>
      <c r="AC375" s="38" t="str">
        <f>IF(OR(B375="",COUNTIF($B$4:B375,B375)&gt;1),"",MAX($AC$3:AC374)+1)</f>
        <v/>
      </c>
      <c r="AD375" s="38" t="str">
        <f t="shared" si="51"/>
        <v/>
      </c>
      <c r="AE375" s="38" t="str">
        <f t="shared" si="52"/>
        <v/>
      </c>
      <c r="AF375" s="38" t="str">
        <f t="shared" si="53"/>
        <v/>
      </c>
    </row>
    <row r="376" spans="1:32" x14ac:dyDescent="0.3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38" t="str">
        <f>IF(OR(A376="Автомат",A376="Дифавтомат"),IF(W376="","",COUNTIFS(Однолинейка!$H$3:$H$3000,U376,Однолинейка!$A$3:$A$3000,Щит_спец)),IF(A376="Аппарат",IF(C376="","",COUNTIFS(Однолинейка!$I$3:$I$3000,C376,Однолинейка!$A$3:$A$3000,Щит_спец)+COUNTIFS(Однолинейка!$J$3:$J$3000,C376,Однолинейка!$A$3:$A$3000,Щит_спец)+COUNTIFS(Однолинейка!$K$3:$K$3000,C376,Однолинейка!$A$3:$A$3000,Щит_спец)),IF(A376="Модуль",IF(C376="","",COUNTIFS(Однолинейка!$AW$3:$AW$3000,"?*",Однолинейка!$AI$3:$AI$3000,C376,Однолинейка!$A$3:$A$3000,Щит_спец)),IF(A376="Клемма",IF(C376="","",IF(C376=$S$7,SUMIFS(Однолинейка!$BW$3:$BW$3000,Однолинейка!$A$3:$A$3000,Щит_спец),IF(C376=$S$8,SUMIFS(Однолинейка!$BX$3:$BX$3000,Однолинейка!$A$3:$A$3000,Щит_спец),""))),""))))</f>
        <v/>
      </c>
      <c r="O376" s="74"/>
      <c r="P376" s="38" t="str">
        <f t="shared" si="45"/>
        <v/>
      </c>
      <c r="U376" s="38" t="str">
        <f t="shared" si="46"/>
        <v/>
      </c>
      <c r="V376" s="38" t="str">
        <f t="shared" si="47"/>
        <v/>
      </c>
      <c r="W376" s="38" t="str">
        <f>IF(AND(U376&lt;&gt;"",OR($S$4="(все)",B376=$S$4),IF($S$4="(все)",COUNTIF($U$4:U376,U376),COUNTIFS($U$4:U376,U376,$B$4:B376,B376))=1),MAX($W$3:W375)+1,"")</f>
        <v/>
      </c>
      <c r="X376" s="38" t="str">
        <f t="shared" si="48"/>
        <v/>
      </c>
      <c r="Y376" s="38" t="str">
        <f>IF(AND(A376="Аппарат",C376&lt;&gt;"",OR($S$5="(все)",B376=$S$5)),MAX($Y$3:Y375)+1,"")</f>
        <v/>
      </c>
      <c r="Z376" s="38" t="str">
        <f t="shared" si="49"/>
        <v/>
      </c>
      <c r="AA376" s="38" t="str">
        <f>IF(AND(A376="Модуль",C376&lt;&gt;"",OR($S$6="(все)",B376=$S$6)),MAX($AA$3:AA375)+1,"")</f>
        <v/>
      </c>
      <c r="AB376" s="38" t="str">
        <f t="shared" si="50"/>
        <v/>
      </c>
      <c r="AC376" s="38" t="str">
        <f>IF(OR(B376="",COUNTIF($B$4:B376,B376)&gt;1),"",MAX($AC$3:AC375)+1)</f>
        <v/>
      </c>
      <c r="AD376" s="38" t="str">
        <f t="shared" si="51"/>
        <v/>
      </c>
      <c r="AE376" s="38" t="str">
        <f t="shared" si="52"/>
        <v/>
      </c>
      <c r="AF376" s="38" t="str">
        <f t="shared" si="53"/>
        <v/>
      </c>
    </row>
    <row r="377" spans="1:32" x14ac:dyDescent="0.3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38" t="str">
        <f>IF(OR(A377="Автомат",A377="Дифавтомат"),IF(W377="","",COUNTIFS(Однолинейка!$H$3:$H$3000,U377,Однолинейка!$A$3:$A$3000,Щит_спец)),IF(A377="Аппарат",IF(C377="","",COUNTIFS(Однолинейка!$I$3:$I$3000,C377,Однолинейка!$A$3:$A$3000,Щит_спец)+COUNTIFS(Однолинейка!$J$3:$J$3000,C377,Однолинейка!$A$3:$A$3000,Щит_спец)+COUNTIFS(Однолинейка!$K$3:$K$3000,C377,Однолинейка!$A$3:$A$3000,Щит_спец)),IF(A377="Модуль",IF(C377="","",COUNTIFS(Однолинейка!$AW$3:$AW$3000,"?*",Однолинейка!$AI$3:$AI$3000,C377,Однолинейка!$A$3:$A$3000,Щит_спец)),IF(A377="Клемма",IF(C377="","",IF(C377=$S$7,SUMIFS(Однолинейка!$BW$3:$BW$3000,Однолинейка!$A$3:$A$3000,Щит_спец),IF(C377=$S$8,SUMIFS(Однолинейка!$BX$3:$BX$3000,Однолинейка!$A$3:$A$3000,Щит_спец),""))),""))))</f>
        <v/>
      </c>
      <c r="O377" s="74"/>
      <c r="P377" s="38" t="str">
        <f t="shared" si="45"/>
        <v/>
      </c>
      <c r="U377" s="38" t="str">
        <f t="shared" si="46"/>
        <v/>
      </c>
      <c r="V377" s="38" t="str">
        <f t="shared" si="47"/>
        <v/>
      </c>
      <c r="W377" s="38" t="str">
        <f>IF(AND(U377&lt;&gt;"",OR($S$4="(все)",B377=$S$4),IF($S$4="(все)",COUNTIF($U$4:U377,U377),COUNTIFS($U$4:U377,U377,$B$4:B377,B377))=1),MAX($W$3:W376)+1,"")</f>
        <v/>
      </c>
      <c r="X377" s="38" t="str">
        <f t="shared" si="48"/>
        <v/>
      </c>
      <c r="Y377" s="38" t="str">
        <f>IF(AND(A377="Аппарат",C377&lt;&gt;"",OR($S$5="(все)",B377=$S$5)),MAX($Y$3:Y376)+1,"")</f>
        <v/>
      </c>
      <c r="Z377" s="38" t="str">
        <f t="shared" si="49"/>
        <v/>
      </c>
      <c r="AA377" s="38" t="str">
        <f>IF(AND(A377="Модуль",C377&lt;&gt;"",OR($S$6="(все)",B377=$S$6)),MAX($AA$3:AA376)+1,"")</f>
        <v/>
      </c>
      <c r="AB377" s="38" t="str">
        <f t="shared" si="50"/>
        <v/>
      </c>
      <c r="AC377" s="38" t="str">
        <f>IF(OR(B377="",COUNTIF($B$4:B377,B377)&gt;1),"",MAX($AC$3:AC376)+1)</f>
        <v/>
      </c>
      <c r="AD377" s="38" t="str">
        <f t="shared" si="51"/>
        <v/>
      </c>
      <c r="AE377" s="38" t="str">
        <f t="shared" si="52"/>
        <v/>
      </c>
      <c r="AF377" s="38" t="str">
        <f t="shared" si="53"/>
        <v/>
      </c>
    </row>
    <row r="378" spans="1:32" x14ac:dyDescent="0.3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38" t="str">
        <f>IF(OR(A378="Автомат",A378="Дифавтомат"),IF(W378="","",COUNTIFS(Однолинейка!$H$3:$H$3000,U378,Однолинейка!$A$3:$A$3000,Щит_спец)),IF(A378="Аппарат",IF(C378="","",COUNTIFS(Однолинейка!$I$3:$I$3000,C378,Однолинейка!$A$3:$A$3000,Щит_спец)+COUNTIFS(Однолинейка!$J$3:$J$3000,C378,Однолинейка!$A$3:$A$3000,Щит_спец)+COUNTIFS(Однолинейка!$K$3:$K$3000,C378,Однолинейка!$A$3:$A$3000,Щит_спец)),IF(A378="Модуль",IF(C378="","",COUNTIFS(Однолинейка!$AW$3:$AW$3000,"?*",Однолинейка!$AI$3:$AI$3000,C378,Однолинейка!$A$3:$A$3000,Щит_спец)),IF(A378="Клемма",IF(C378="","",IF(C378=$S$7,SUMIFS(Однолинейка!$BW$3:$BW$3000,Однолинейка!$A$3:$A$3000,Щит_спец),IF(C378=$S$8,SUMIFS(Однолинейка!$BX$3:$BX$3000,Однолинейка!$A$3:$A$3000,Щит_спец),""))),""))))</f>
        <v/>
      </c>
      <c r="O378" s="74"/>
      <c r="P378" s="38" t="str">
        <f t="shared" si="45"/>
        <v/>
      </c>
      <c r="U378" s="38" t="str">
        <f t="shared" si="46"/>
        <v/>
      </c>
      <c r="V378" s="38" t="str">
        <f t="shared" si="47"/>
        <v/>
      </c>
      <c r="W378" s="38" t="str">
        <f>IF(AND(U378&lt;&gt;"",OR($S$4="(все)",B378=$S$4),IF($S$4="(все)",COUNTIF($U$4:U378,U378),COUNTIFS($U$4:U378,U378,$B$4:B378,B378))=1),MAX($W$3:W377)+1,"")</f>
        <v/>
      </c>
      <c r="X378" s="38" t="str">
        <f t="shared" si="48"/>
        <v/>
      </c>
      <c r="Y378" s="38" t="str">
        <f>IF(AND(A378="Аппарат",C378&lt;&gt;"",OR($S$5="(все)",B378=$S$5)),MAX($Y$3:Y377)+1,"")</f>
        <v/>
      </c>
      <c r="Z378" s="38" t="str">
        <f t="shared" si="49"/>
        <v/>
      </c>
      <c r="AA378" s="38" t="str">
        <f>IF(AND(A378="Модуль",C378&lt;&gt;"",OR($S$6="(все)",B378=$S$6)),MAX($AA$3:AA377)+1,"")</f>
        <v/>
      </c>
      <c r="AB378" s="38" t="str">
        <f t="shared" si="50"/>
        <v/>
      </c>
      <c r="AC378" s="38" t="str">
        <f>IF(OR(B378="",COUNTIF($B$4:B378,B378)&gt;1),"",MAX($AC$3:AC377)+1)</f>
        <v/>
      </c>
      <c r="AD378" s="38" t="str">
        <f t="shared" si="51"/>
        <v/>
      </c>
      <c r="AE378" s="38" t="str">
        <f t="shared" si="52"/>
        <v/>
      </c>
      <c r="AF378" s="38" t="str">
        <f t="shared" si="53"/>
        <v/>
      </c>
    </row>
    <row r="379" spans="1:32" x14ac:dyDescent="0.3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38" t="str">
        <f>IF(OR(A379="Автомат",A379="Дифавтомат"),IF(W379="","",COUNTIFS(Однолинейка!$H$3:$H$3000,U379,Однолинейка!$A$3:$A$3000,Щит_спец)),IF(A379="Аппарат",IF(C379="","",COUNTIFS(Однолинейка!$I$3:$I$3000,C379,Однолинейка!$A$3:$A$3000,Щит_спец)+COUNTIFS(Однолинейка!$J$3:$J$3000,C379,Однолинейка!$A$3:$A$3000,Щит_спец)+COUNTIFS(Однолинейка!$K$3:$K$3000,C379,Однолинейка!$A$3:$A$3000,Щит_спец)),IF(A379="Модуль",IF(C379="","",COUNTIFS(Однолинейка!$AW$3:$AW$3000,"?*",Однолинейка!$AI$3:$AI$3000,C379,Однолинейка!$A$3:$A$3000,Щит_спец)),IF(A379="Клемма",IF(C379="","",IF(C379=$S$7,SUMIFS(Однолинейка!$BW$3:$BW$3000,Однолинейка!$A$3:$A$3000,Щит_спец),IF(C379=$S$8,SUMIFS(Однолинейка!$BX$3:$BX$3000,Однолинейка!$A$3:$A$3000,Щит_спец),""))),""))))</f>
        <v/>
      </c>
      <c r="O379" s="74"/>
      <c r="P379" s="38" t="str">
        <f t="shared" si="45"/>
        <v/>
      </c>
      <c r="U379" s="38" t="str">
        <f t="shared" si="46"/>
        <v/>
      </c>
      <c r="V379" s="38" t="str">
        <f t="shared" si="47"/>
        <v/>
      </c>
      <c r="W379" s="38" t="str">
        <f>IF(AND(U379&lt;&gt;"",OR($S$4="(все)",B379=$S$4),IF($S$4="(все)",COUNTIF($U$4:U379,U379),COUNTIFS($U$4:U379,U379,$B$4:B379,B379))=1),MAX($W$3:W378)+1,"")</f>
        <v/>
      </c>
      <c r="X379" s="38" t="str">
        <f t="shared" si="48"/>
        <v/>
      </c>
      <c r="Y379" s="38" t="str">
        <f>IF(AND(A379="Аппарат",C379&lt;&gt;"",OR($S$5="(все)",B379=$S$5)),MAX($Y$3:Y378)+1,"")</f>
        <v/>
      </c>
      <c r="Z379" s="38" t="str">
        <f t="shared" si="49"/>
        <v/>
      </c>
      <c r="AA379" s="38" t="str">
        <f>IF(AND(A379="Модуль",C379&lt;&gt;"",OR($S$6="(все)",B379=$S$6)),MAX($AA$3:AA378)+1,"")</f>
        <v/>
      </c>
      <c r="AB379" s="38" t="str">
        <f t="shared" si="50"/>
        <v/>
      </c>
      <c r="AC379" s="38" t="str">
        <f>IF(OR(B379="",COUNTIF($B$4:B379,B379)&gt;1),"",MAX($AC$3:AC378)+1)</f>
        <v/>
      </c>
      <c r="AD379" s="38" t="str">
        <f t="shared" si="51"/>
        <v/>
      </c>
      <c r="AE379" s="38" t="str">
        <f t="shared" si="52"/>
        <v/>
      </c>
      <c r="AF379" s="38" t="str">
        <f t="shared" si="53"/>
        <v/>
      </c>
    </row>
    <row r="380" spans="1:32" x14ac:dyDescent="0.3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38" t="str">
        <f>IF(OR(A380="Автомат",A380="Дифавтомат"),IF(W380="","",COUNTIFS(Однолинейка!$H$3:$H$3000,U380,Однолинейка!$A$3:$A$3000,Щит_спец)),IF(A380="Аппарат",IF(C380="","",COUNTIFS(Однолинейка!$I$3:$I$3000,C380,Однолинейка!$A$3:$A$3000,Щит_спец)+COUNTIFS(Однолинейка!$J$3:$J$3000,C380,Однолинейка!$A$3:$A$3000,Щит_спец)+COUNTIFS(Однолинейка!$K$3:$K$3000,C380,Однолинейка!$A$3:$A$3000,Щит_спец)),IF(A380="Модуль",IF(C380="","",COUNTIFS(Однолинейка!$AW$3:$AW$3000,"?*",Однолинейка!$AI$3:$AI$3000,C380,Однолинейка!$A$3:$A$3000,Щит_спец)),IF(A380="Клемма",IF(C380="","",IF(C380=$S$7,SUMIFS(Однолинейка!$BW$3:$BW$3000,Однолинейка!$A$3:$A$3000,Щит_спец),IF(C380=$S$8,SUMIFS(Однолинейка!$BX$3:$BX$3000,Однолинейка!$A$3:$A$3000,Щит_спец),""))),""))))</f>
        <v/>
      </c>
      <c r="O380" s="74"/>
      <c r="P380" s="38" t="str">
        <f t="shared" si="45"/>
        <v/>
      </c>
      <c r="U380" s="38" t="str">
        <f t="shared" si="46"/>
        <v/>
      </c>
      <c r="V380" s="38" t="str">
        <f t="shared" si="47"/>
        <v/>
      </c>
      <c r="W380" s="38" t="str">
        <f>IF(AND(U380&lt;&gt;"",OR($S$4="(все)",B380=$S$4),IF($S$4="(все)",COUNTIF($U$4:U380,U380),COUNTIFS($U$4:U380,U380,$B$4:B380,B380))=1),MAX($W$3:W379)+1,"")</f>
        <v/>
      </c>
      <c r="X380" s="38" t="str">
        <f t="shared" si="48"/>
        <v/>
      </c>
      <c r="Y380" s="38" t="str">
        <f>IF(AND(A380="Аппарат",C380&lt;&gt;"",OR($S$5="(все)",B380=$S$5)),MAX($Y$3:Y379)+1,"")</f>
        <v/>
      </c>
      <c r="Z380" s="38" t="str">
        <f t="shared" si="49"/>
        <v/>
      </c>
      <c r="AA380" s="38" t="str">
        <f>IF(AND(A380="Модуль",C380&lt;&gt;"",OR($S$6="(все)",B380=$S$6)),MAX($AA$3:AA379)+1,"")</f>
        <v/>
      </c>
      <c r="AB380" s="38" t="str">
        <f t="shared" si="50"/>
        <v/>
      </c>
      <c r="AC380" s="38" t="str">
        <f>IF(OR(B380="",COUNTIF($B$4:B380,B380)&gt;1),"",MAX($AC$3:AC379)+1)</f>
        <v/>
      </c>
      <c r="AD380" s="38" t="str">
        <f t="shared" si="51"/>
        <v/>
      </c>
      <c r="AE380" s="38" t="str">
        <f t="shared" si="52"/>
        <v/>
      </c>
      <c r="AF380" s="38" t="str">
        <f t="shared" si="53"/>
        <v/>
      </c>
    </row>
    <row r="381" spans="1:32" x14ac:dyDescent="0.3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38" t="str">
        <f>IF(OR(A381="Автомат",A381="Дифавтомат"),IF(W381="","",COUNTIFS(Однолинейка!$H$3:$H$3000,U381,Однолинейка!$A$3:$A$3000,Щит_спец)),IF(A381="Аппарат",IF(C381="","",COUNTIFS(Однолинейка!$I$3:$I$3000,C381,Однолинейка!$A$3:$A$3000,Щит_спец)+COUNTIFS(Однолинейка!$J$3:$J$3000,C381,Однолинейка!$A$3:$A$3000,Щит_спец)+COUNTIFS(Однолинейка!$K$3:$K$3000,C381,Однолинейка!$A$3:$A$3000,Щит_спец)),IF(A381="Модуль",IF(C381="","",COUNTIFS(Однолинейка!$AW$3:$AW$3000,"?*",Однолинейка!$AI$3:$AI$3000,C381,Однолинейка!$A$3:$A$3000,Щит_спец)),IF(A381="Клемма",IF(C381="","",IF(C381=$S$7,SUMIFS(Однолинейка!$BW$3:$BW$3000,Однолинейка!$A$3:$A$3000,Щит_спец),IF(C381=$S$8,SUMIFS(Однолинейка!$BX$3:$BX$3000,Однолинейка!$A$3:$A$3000,Щит_спец),""))),""))))</f>
        <v/>
      </c>
      <c r="O381" s="74"/>
      <c r="P381" s="38" t="str">
        <f t="shared" si="45"/>
        <v/>
      </c>
      <c r="U381" s="38" t="str">
        <f t="shared" si="46"/>
        <v/>
      </c>
      <c r="V381" s="38" t="str">
        <f t="shared" si="47"/>
        <v/>
      </c>
      <c r="W381" s="38" t="str">
        <f>IF(AND(U381&lt;&gt;"",OR($S$4="(все)",B381=$S$4),IF($S$4="(все)",COUNTIF($U$4:U381,U381),COUNTIFS($U$4:U381,U381,$B$4:B381,B381))=1),MAX($W$3:W380)+1,"")</f>
        <v/>
      </c>
      <c r="X381" s="38" t="str">
        <f t="shared" si="48"/>
        <v/>
      </c>
      <c r="Y381" s="38" t="str">
        <f>IF(AND(A381="Аппарат",C381&lt;&gt;"",OR($S$5="(все)",B381=$S$5)),MAX($Y$3:Y380)+1,"")</f>
        <v/>
      </c>
      <c r="Z381" s="38" t="str">
        <f t="shared" si="49"/>
        <v/>
      </c>
      <c r="AA381" s="38" t="str">
        <f>IF(AND(A381="Модуль",C381&lt;&gt;"",OR($S$6="(все)",B381=$S$6)),MAX($AA$3:AA380)+1,"")</f>
        <v/>
      </c>
      <c r="AB381" s="38" t="str">
        <f t="shared" si="50"/>
        <v/>
      </c>
      <c r="AC381" s="38" t="str">
        <f>IF(OR(B381="",COUNTIF($B$4:B381,B381)&gt;1),"",MAX($AC$3:AC380)+1)</f>
        <v/>
      </c>
      <c r="AD381" s="38" t="str">
        <f t="shared" si="51"/>
        <v/>
      </c>
      <c r="AE381" s="38" t="str">
        <f t="shared" si="52"/>
        <v/>
      </c>
      <c r="AF381" s="38" t="str">
        <f t="shared" si="53"/>
        <v/>
      </c>
    </row>
    <row r="382" spans="1:32" x14ac:dyDescent="0.3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38" t="str">
        <f>IF(OR(A382="Автомат",A382="Дифавтомат"),IF(W382="","",COUNTIFS(Однолинейка!$H$3:$H$3000,U382,Однолинейка!$A$3:$A$3000,Щит_спец)),IF(A382="Аппарат",IF(C382="","",COUNTIFS(Однолинейка!$I$3:$I$3000,C382,Однолинейка!$A$3:$A$3000,Щит_спец)+COUNTIFS(Однолинейка!$J$3:$J$3000,C382,Однолинейка!$A$3:$A$3000,Щит_спец)+COUNTIFS(Однолинейка!$K$3:$K$3000,C382,Однолинейка!$A$3:$A$3000,Щит_спец)),IF(A382="Модуль",IF(C382="","",COUNTIFS(Однолинейка!$AW$3:$AW$3000,"?*",Однолинейка!$AI$3:$AI$3000,C382,Однолинейка!$A$3:$A$3000,Щит_спец)),IF(A382="Клемма",IF(C382="","",IF(C382=$S$7,SUMIFS(Однолинейка!$BW$3:$BW$3000,Однолинейка!$A$3:$A$3000,Щит_спец),IF(C382=$S$8,SUMIFS(Однолинейка!$BX$3:$BX$3000,Однолинейка!$A$3:$A$3000,Щит_спец),""))),""))))</f>
        <v/>
      </c>
      <c r="O382" s="74"/>
      <c r="P382" s="38" t="str">
        <f t="shared" si="45"/>
        <v/>
      </c>
      <c r="U382" s="38" t="str">
        <f t="shared" si="46"/>
        <v/>
      </c>
      <c r="V382" s="38" t="str">
        <f t="shared" si="47"/>
        <v/>
      </c>
      <c r="W382" s="38" t="str">
        <f>IF(AND(U382&lt;&gt;"",OR($S$4="(все)",B382=$S$4),IF($S$4="(все)",COUNTIF($U$4:U382,U382),COUNTIFS($U$4:U382,U382,$B$4:B382,B382))=1),MAX($W$3:W381)+1,"")</f>
        <v/>
      </c>
      <c r="X382" s="38" t="str">
        <f t="shared" si="48"/>
        <v/>
      </c>
      <c r="Y382" s="38" t="str">
        <f>IF(AND(A382="Аппарат",C382&lt;&gt;"",OR($S$5="(все)",B382=$S$5)),MAX($Y$3:Y381)+1,"")</f>
        <v/>
      </c>
      <c r="Z382" s="38" t="str">
        <f t="shared" si="49"/>
        <v/>
      </c>
      <c r="AA382" s="38" t="str">
        <f>IF(AND(A382="Модуль",C382&lt;&gt;"",OR($S$6="(все)",B382=$S$6)),MAX($AA$3:AA381)+1,"")</f>
        <v/>
      </c>
      <c r="AB382" s="38" t="str">
        <f t="shared" si="50"/>
        <v/>
      </c>
      <c r="AC382" s="38" t="str">
        <f>IF(OR(B382="",COUNTIF($B$4:B382,B382)&gt;1),"",MAX($AC$3:AC381)+1)</f>
        <v/>
      </c>
      <c r="AD382" s="38" t="str">
        <f t="shared" si="51"/>
        <v/>
      </c>
      <c r="AE382" s="38" t="str">
        <f t="shared" si="52"/>
        <v/>
      </c>
      <c r="AF382" s="38" t="str">
        <f t="shared" si="53"/>
        <v/>
      </c>
    </row>
    <row r="383" spans="1:32" x14ac:dyDescent="0.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38" t="str">
        <f>IF(OR(A383="Автомат",A383="Дифавтомат"),IF(W383="","",COUNTIFS(Однолинейка!$H$3:$H$3000,U383,Однолинейка!$A$3:$A$3000,Щит_спец)),IF(A383="Аппарат",IF(C383="","",COUNTIFS(Однолинейка!$I$3:$I$3000,C383,Однолинейка!$A$3:$A$3000,Щит_спец)+COUNTIFS(Однолинейка!$J$3:$J$3000,C383,Однолинейка!$A$3:$A$3000,Щит_спец)+COUNTIFS(Однолинейка!$K$3:$K$3000,C383,Однолинейка!$A$3:$A$3000,Щит_спец)),IF(A383="Модуль",IF(C383="","",COUNTIFS(Однолинейка!$AW$3:$AW$3000,"?*",Однолинейка!$AI$3:$AI$3000,C383,Однолинейка!$A$3:$A$3000,Щит_спец)),IF(A383="Клемма",IF(C383="","",IF(C383=$S$7,SUMIFS(Однолинейка!$BW$3:$BW$3000,Однолинейка!$A$3:$A$3000,Щит_спец),IF(C383=$S$8,SUMIFS(Однолинейка!$BX$3:$BX$3000,Однолинейка!$A$3:$A$3000,Щит_спец),""))),""))))</f>
        <v/>
      </c>
      <c r="O383" s="74"/>
      <c r="P383" s="38" t="str">
        <f t="shared" si="45"/>
        <v/>
      </c>
      <c r="U383" s="38" t="str">
        <f t="shared" si="46"/>
        <v/>
      </c>
      <c r="V383" s="38" t="str">
        <f t="shared" si="47"/>
        <v/>
      </c>
      <c r="W383" s="38" t="str">
        <f>IF(AND(U383&lt;&gt;"",OR($S$4="(все)",B383=$S$4),IF($S$4="(все)",COUNTIF($U$4:U383,U383),COUNTIFS($U$4:U383,U383,$B$4:B383,B383))=1),MAX($W$3:W382)+1,"")</f>
        <v/>
      </c>
      <c r="X383" s="38" t="str">
        <f t="shared" si="48"/>
        <v/>
      </c>
      <c r="Y383" s="38" t="str">
        <f>IF(AND(A383="Аппарат",C383&lt;&gt;"",OR($S$5="(все)",B383=$S$5)),MAX($Y$3:Y382)+1,"")</f>
        <v/>
      </c>
      <c r="Z383" s="38" t="str">
        <f t="shared" si="49"/>
        <v/>
      </c>
      <c r="AA383" s="38" t="str">
        <f>IF(AND(A383="Модуль",C383&lt;&gt;"",OR($S$6="(все)",B383=$S$6)),MAX($AA$3:AA382)+1,"")</f>
        <v/>
      </c>
      <c r="AB383" s="38" t="str">
        <f t="shared" si="50"/>
        <v/>
      </c>
      <c r="AC383" s="38" t="str">
        <f>IF(OR(B383="",COUNTIF($B$4:B383,B383)&gt;1),"",MAX($AC$3:AC382)+1)</f>
        <v/>
      </c>
      <c r="AD383" s="38" t="str">
        <f t="shared" si="51"/>
        <v/>
      </c>
      <c r="AE383" s="38" t="str">
        <f t="shared" si="52"/>
        <v/>
      </c>
      <c r="AF383" s="38" t="str">
        <f t="shared" si="53"/>
        <v/>
      </c>
    </row>
    <row r="384" spans="1:32" x14ac:dyDescent="0.3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38" t="str">
        <f>IF(OR(A384="Автомат",A384="Дифавтомат"),IF(W384="","",COUNTIFS(Однолинейка!$H$3:$H$3000,U384,Однолинейка!$A$3:$A$3000,Щит_спец)),IF(A384="Аппарат",IF(C384="","",COUNTIFS(Однолинейка!$I$3:$I$3000,C384,Однолинейка!$A$3:$A$3000,Щит_спец)+COUNTIFS(Однолинейка!$J$3:$J$3000,C384,Однолинейка!$A$3:$A$3000,Щит_спец)+COUNTIFS(Однолинейка!$K$3:$K$3000,C384,Однолинейка!$A$3:$A$3000,Щит_спец)),IF(A384="Модуль",IF(C384="","",COUNTIFS(Однолинейка!$AW$3:$AW$3000,"?*",Однолинейка!$AI$3:$AI$3000,C384,Однолинейка!$A$3:$A$3000,Щит_спец)),IF(A384="Клемма",IF(C384="","",IF(C384=$S$7,SUMIFS(Однолинейка!$BW$3:$BW$3000,Однолинейка!$A$3:$A$3000,Щит_спец),IF(C384=$S$8,SUMIFS(Однолинейка!$BX$3:$BX$3000,Однолинейка!$A$3:$A$3000,Щит_спец),""))),""))))</f>
        <v/>
      </c>
      <c r="O384" s="74"/>
      <c r="P384" s="38" t="str">
        <f t="shared" si="45"/>
        <v/>
      </c>
      <c r="U384" s="38" t="str">
        <f t="shared" si="46"/>
        <v/>
      </c>
      <c r="V384" s="38" t="str">
        <f t="shared" si="47"/>
        <v/>
      </c>
      <c r="W384" s="38" t="str">
        <f>IF(AND(U384&lt;&gt;"",OR($S$4="(все)",B384=$S$4),IF($S$4="(все)",COUNTIF($U$4:U384,U384),COUNTIFS($U$4:U384,U384,$B$4:B384,B384))=1),MAX($W$3:W383)+1,"")</f>
        <v/>
      </c>
      <c r="X384" s="38" t="str">
        <f t="shared" si="48"/>
        <v/>
      </c>
      <c r="Y384" s="38" t="str">
        <f>IF(AND(A384="Аппарат",C384&lt;&gt;"",OR($S$5="(все)",B384=$S$5)),MAX($Y$3:Y383)+1,"")</f>
        <v/>
      </c>
      <c r="Z384" s="38" t="str">
        <f t="shared" si="49"/>
        <v/>
      </c>
      <c r="AA384" s="38" t="str">
        <f>IF(AND(A384="Модуль",C384&lt;&gt;"",OR($S$6="(все)",B384=$S$6)),MAX($AA$3:AA383)+1,"")</f>
        <v/>
      </c>
      <c r="AB384" s="38" t="str">
        <f t="shared" si="50"/>
        <v/>
      </c>
      <c r="AC384" s="38" t="str">
        <f>IF(OR(B384="",COUNTIF($B$4:B384,B384)&gt;1),"",MAX($AC$3:AC383)+1)</f>
        <v/>
      </c>
      <c r="AD384" s="38" t="str">
        <f t="shared" si="51"/>
        <v/>
      </c>
      <c r="AE384" s="38" t="str">
        <f t="shared" si="52"/>
        <v/>
      </c>
      <c r="AF384" s="38" t="str">
        <f t="shared" si="53"/>
        <v/>
      </c>
    </row>
    <row r="385" spans="1:32" x14ac:dyDescent="0.3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38" t="str">
        <f>IF(OR(A385="Автомат",A385="Дифавтомат"),IF(W385="","",COUNTIFS(Однолинейка!$H$3:$H$3000,U385,Однолинейка!$A$3:$A$3000,Щит_спец)),IF(A385="Аппарат",IF(C385="","",COUNTIFS(Однолинейка!$I$3:$I$3000,C385,Однолинейка!$A$3:$A$3000,Щит_спец)+COUNTIFS(Однолинейка!$J$3:$J$3000,C385,Однолинейка!$A$3:$A$3000,Щит_спец)+COUNTIFS(Однолинейка!$K$3:$K$3000,C385,Однолинейка!$A$3:$A$3000,Щит_спец)),IF(A385="Модуль",IF(C385="","",COUNTIFS(Однолинейка!$AW$3:$AW$3000,"?*",Однолинейка!$AI$3:$AI$3000,C385,Однолинейка!$A$3:$A$3000,Щит_спец)),IF(A385="Клемма",IF(C385="","",IF(C385=$S$7,SUMIFS(Однолинейка!$BW$3:$BW$3000,Однолинейка!$A$3:$A$3000,Щит_спец),IF(C385=$S$8,SUMIFS(Однолинейка!$BX$3:$BX$3000,Однолинейка!$A$3:$A$3000,Щит_спец),""))),""))))</f>
        <v/>
      </c>
      <c r="O385" s="74"/>
      <c r="P385" s="38" t="str">
        <f t="shared" si="45"/>
        <v/>
      </c>
      <c r="U385" s="38" t="str">
        <f t="shared" si="46"/>
        <v/>
      </c>
      <c r="V385" s="38" t="str">
        <f t="shared" si="47"/>
        <v/>
      </c>
      <c r="W385" s="38" t="str">
        <f>IF(AND(U385&lt;&gt;"",OR($S$4="(все)",B385=$S$4),IF($S$4="(все)",COUNTIF($U$4:U385,U385),COUNTIFS($U$4:U385,U385,$B$4:B385,B385))=1),MAX($W$3:W384)+1,"")</f>
        <v/>
      </c>
      <c r="X385" s="38" t="str">
        <f t="shared" si="48"/>
        <v/>
      </c>
      <c r="Y385" s="38" t="str">
        <f>IF(AND(A385="Аппарат",C385&lt;&gt;"",OR($S$5="(все)",B385=$S$5)),MAX($Y$3:Y384)+1,"")</f>
        <v/>
      </c>
      <c r="Z385" s="38" t="str">
        <f t="shared" si="49"/>
        <v/>
      </c>
      <c r="AA385" s="38" t="str">
        <f>IF(AND(A385="Модуль",C385&lt;&gt;"",OR($S$6="(все)",B385=$S$6)),MAX($AA$3:AA384)+1,"")</f>
        <v/>
      </c>
      <c r="AB385" s="38" t="str">
        <f t="shared" si="50"/>
        <v/>
      </c>
      <c r="AC385" s="38" t="str">
        <f>IF(OR(B385="",COUNTIF($B$4:B385,B385)&gt;1),"",MAX($AC$3:AC384)+1)</f>
        <v/>
      </c>
      <c r="AD385" s="38" t="str">
        <f t="shared" si="51"/>
        <v/>
      </c>
      <c r="AE385" s="38" t="str">
        <f t="shared" si="52"/>
        <v/>
      </c>
      <c r="AF385" s="38" t="str">
        <f t="shared" si="53"/>
        <v/>
      </c>
    </row>
    <row r="386" spans="1:32" x14ac:dyDescent="0.3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38" t="str">
        <f>IF(OR(A386="Автомат",A386="Дифавтомат"),IF(W386="","",COUNTIFS(Однолинейка!$H$3:$H$3000,U386,Однолинейка!$A$3:$A$3000,Щит_спец)),IF(A386="Аппарат",IF(C386="","",COUNTIFS(Однолинейка!$I$3:$I$3000,C386,Однолинейка!$A$3:$A$3000,Щит_спец)+COUNTIFS(Однолинейка!$J$3:$J$3000,C386,Однолинейка!$A$3:$A$3000,Щит_спец)+COUNTIFS(Однолинейка!$K$3:$K$3000,C386,Однолинейка!$A$3:$A$3000,Щит_спец)),IF(A386="Модуль",IF(C386="","",COUNTIFS(Однолинейка!$AW$3:$AW$3000,"?*",Однолинейка!$AI$3:$AI$3000,C386,Однолинейка!$A$3:$A$3000,Щит_спец)),IF(A386="Клемма",IF(C386="","",IF(C386=$S$7,SUMIFS(Однолинейка!$BW$3:$BW$3000,Однолинейка!$A$3:$A$3000,Щит_спец),IF(C386=$S$8,SUMIFS(Однолинейка!$BX$3:$BX$3000,Однолинейка!$A$3:$A$3000,Щит_спец),""))),""))))</f>
        <v/>
      </c>
      <c r="O386" s="74"/>
      <c r="P386" s="38" t="str">
        <f t="shared" si="45"/>
        <v/>
      </c>
      <c r="U386" s="38" t="str">
        <f t="shared" si="46"/>
        <v/>
      </c>
      <c r="V386" s="38" t="str">
        <f t="shared" si="47"/>
        <v/>
      </c>
      <c r="W386" s="38" t="str">
        <f>IF(AND(U386&lt;&gt;"",OR($S$4="(все)",B386=$S$4),IF($S$4="(все)",COUNTIF($U$4:U386,U386),COUNTIFS($U$4:U386,U386,$B$4:B386,B386))=1),MAX($W$3:W385)+1,"")</f>
        <v/>
      </c>
      <c r="X386" s="38" t="str">
        <f t="shared" si="48"/>
        <v/>
      </c>
      <c r="Y386" s="38" t="str">
        <f>IF(AND(A386="Аппарат",C386&lt;&gt;"",OR($S$5="(все)",B386=$S$5)),MAX($Y$3:Y385)+1,"")</f>
        <v/>
      </c>
      <c r="Z386" s="38" t="str">
        <f t="shared" si="49"/>
        <v/>
      </c>
      <c r="AA386" s="38" t="str">
        <f>IF(AND(A386="Модуль",C386&lt;&gt;"",OR($S$6="(все)",B386=$S$6)),MAX($AA$3:AA385)+1,"")</f>
        <v/>
      </c>
      <c r="AB386" s="38" t="str">
        <f t="shared" si="50"/>
        <v/>
      </c>
      <c r="AC386" s="38" t="str">
        <f>IF(OR(B386="",COUNTIF($B$4:B386,B386)&gt;1),"",MAX($AC$3:AC385)+1)</f>
        <v/>
      </c>
      <c r="AD386" s="38" t="str">
        <f t="shared" si="51"/>
        <v/>
      </c>
      <c r="AE386" s="38" t="str">
        <f t="shared" si="52"/>
        <v/>
      </c>
      <c r="AF386" s="38" t="str">
        <f t="shared" si="53"/>
        <v/>
      </c>
    </row>
    <row r="387" spans="1:32" x14ac:dyDescent="0.3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38" t="str">
        <f>IF(OR(A387="Автомат",A387="Дифавтомат"),IF(W387="","",COUNTIFS(Однолинейка!$H$3:$H$3000,U387,Однолинейка!$A$3:$A$3000,Щит_спец)),IF(A387="Аппарат",IF(C387="","",COUNTIFS(Однолинейка!$I$3:$I$3000,C387,Однолинейка!$A$3:$A$3000,Щит_спец)+COUNTIFS(Однолинейка!$J$3:$J$3000,C387,Однолинейка!$A$3:$A$3000,Щит_спец)+COUNTIFS(Однолинейка!$K$3:$K$3000,C387,Однолинейка!$A$3:$A$3000,Щит_спец)),IF(A387="Модуль",IF(C387="","",COUNTIFS(Однолинейка!$AW$3:$AW$3000,"?*",Однолинейка!$AI$3:$AI$3000,C387,Однолинейка!$A$3:$A$3000,Щит_спец)),IF(A387="Клемма",IF(C387="","",IF(C387=$S$7,SUMIFS(Однолинейка!$BW$3:$BW$3000,Однолинейка!$A$3:$A$3000,Щит_спец),IF(C387=$S$8,SUMIFS(Однолинейка!$BX$3:$BX$3000,Однолинейка!$A$3:$A$3000,Щит_спец),""))),""))))</f>
        <v/>
      </c>
      <c r="O387" s="74"/>
      <c r="P387" s="38" t="str">
        <f t="shared" si="45"/>
        <v/>
      </c>
      <c r="U387" s="38" t="str">
        <f t="shared" si="46"/>
        <v/>
      </c>
      <c r="V387" s="38" t="str">
        <f t="shared" si="47"/>
        <v/>
      </c>
      <c r="W387" s="38" t="str">
        <f>IF(AND(U387&lt;&gt;"",OR($S$4="(все)",B387=$S$4),IF($S$4="(все)",COUNTIF($U$4:U387,U387),COUNTIFS($U$4:U387,U387,$B$4:B387,B387))=1),MAX($W$3:W386)+1,"")</f>
        <v/>
      </c>
      <c r="X387" s="38" t="str">
        <f t="shared" si="48"/>
        <v/>
      </c>
      <c r="Y387" s="38" t="str">
        <f>IF(AND(A387="Аппарат",C387&lt;&gt;"",OR($S$5="(все)",B387=$S$5)),MAX($Y$3:Y386)+1,"")</f>
        <v/>
      </c>
      <c r="Z387" s="38" t="str">
        <f t="shared" si="49"/>
        <v/>
      </c>
      <c r="AA387" s="38" t="str">
        <f>IF(AND(A387="Модуль",C387&lt;&gt;"",OR($S$6="(все)",B387=$S$6)),MAX($AA$3:AA386)+1,"")</f>
        <v/>
      </c>
      <c r="AB387" s="38" t="str">
        <f t="shared" si="50"/>
        <v/>
      </c>
      <c r="AC387" s="38" t="str">
        <f>IF(OR(B387="",COUNTIF($B$4:B387,B387)&gt;1),"",MAX($AC$3:AC386)+1)</f>
        <v/>
      </c>
      <c r="AD387" s="38" t="str">
        <f t="shared" si="51"/>
        <v/>
      </c>
      <c r="AE387" s="38" t="str">
        <f t="shared" si="52"/>
        <v/>
      </c>
      <c r="AF387" s="38" t="str">
        <f t="shared" si="53"/>
        <v/>
      </c>
    </row>
    <row r="388" spans="1:32" x14ac:dyDescent="0.3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38" t="str">
        <f>IF(OR(A388="Автомат",A388="Дифавтомат"),IF(W388="","",COUNTIFS(Однолинейка!$H$3:$H$3000,U388,Однолинейка!$A$3:$A$3000,Щит_спец)),IF(A388="Аппарат",IF(C388="","",COUNTIFS(Однолинейка!$I$3:$I$3000,C388,Однолинейка!$A$3:$A$3000,Щит_спец)+COUNTIFS(Однолинейка!$J$3:$J$3000,C388,Однолинейка!$A$3:$A$3000,Щит_спец)+COUNTIFS(Однолинейка!$K$3:$K$3000,C388,Однолинейка!$A$3:$A$3000,Щит_спец)),IF(A388="Модуль",IF(C388="","",COUNTIFS(Однолинейка!$AW$3:$AW$3000,"?*",Однолинейка!$AI$3:$AI$3000,C388,Однолинейка!$A$3:$A$3000,Щит_спец)),IF(A388="Клемма",IF(C388="","",IF(C388=$S$7,SUMIFS(Однолинейка!$BW$3:$BW$3000,Однолинейка!$A$3:$A$3000,Щит_спец),IF(C388=$S$8,SUMIFS(Однолинейка!$BX$3:$BX$3000,Однолинейка!$A$3:$A$3000,Щит_спец),""))),""))))</f>
        <v/>
      </c>
      <c r="O388" s="74"/>
      <c r="P388" s="38" t="str">
        <f t="shared" ref="P388:P451" si="54">IF(COUNT(N388,O388)=0,"",SUM(N388,O388))</f>
        <v/>
      </c>
      <c r="U388" s="38" t="str">
        <f t="shared" ref="U388:U451" si="55">IF(OR(A388="Автомат",A388="Дифавтомат"),I388&amp;" С"&amp;J388&amp;"А"&amp;IF(K388="да"," 30мА",IF(ISNUMBER(K388)," "&amp;K388&amp;"мА","")),"")</f>
        <v/>
      </c>
      <c r="V388" s="38" t="str">
        <f t="shared" ref="V388:V451" si="56">IF(U388="","",B388&amp;"|"&amp;U388)</f>
        <v/>
      </c>
      <c r="W388" s="38" t="str">
        <f>IF(AND(U388&lt;&gt;"",OR($S$4="(все)",B388=$S$4),IF($S$4="(все)",COUNTIF($U$4:U388,U388),COUNTIFS($U$4:U388,U388,$B$4:B388,B388))=1),MAX($W$3:W387)+1,"")</f>
        <v/>
      </c>
      <c r="X388" s="38" t="str">
        <f t="shared" ref="X388:X451" si="57">IFERROR(INDEX($U$4:$U$500,MATCH(ROW()-3,$W$4:$W$500,0)),"")</f>
        <v/>
      </c>
      <c r="Y388" s="38" t="str">
        <f>IF(AND(A388="Аппарат",C388&lt;&gt;"",OR($S$5="(все)",B388=$S$5)),MAX($Y$3:Y387)+1,"")</f>
        <v/>
      </c>
      <c r="Z388" s="38" t="str">
        <f t="shared" ref="Z388:Z451" si="58">IFERROR(INDEX($C$4:$C$500,MATCH(ROW()-3,$Y$4:$Y$500,0)),"")</f>
        <v/>
      </c>
      <c r="AA388" s="38" t="str">
        <f>IF(AND(A388="Модуль",C388&lt;&gt;"",OR($S$6="(все)",B388=$S$6)),MAX($AA$3:AA387)+1,"")</f>
        <v/>
      </c>
      <c r="AB388" s="38" t="str">
        <f t="shared" ref="AB388:AB451" si="59">IFERROR(INDEX($C$4:$C$500,MATCH(ROW()-3,$AA$4:$AA$500,0)),"")</f>
        <v/>
      </c>
      <c r="AC388" s="38" t="str">
        <f>IF(OR(B388="",COUNTIF($B$4:B388,B388)&gt;1),"",MAX($AC$3:AC387)+1)</f>
        <v/>
      </c>
      <c r="AD388" s="38" t="str">
        <f t="shared" ref="AD388:AD451" si="60">IFERROR(INDEX($B$4:$B$500,MATCH(ROW()-3,$AC$4:$AC$500,0)),"")</f>
        <v/>
      </c>
      <c r="AE388" s="38" t="str">
        <f t="shared" ref="AE388:AE451" si="61">IF(AND(A388&lt;&gt;"",N(P388)&gt;0),IFERROR(MATCH(A388,$R$12:$R$25,0),99)*1000+ROW(),"")</f>
        <v/>
      </c>
      <c r="AF388" s="38" t="str">
        <f t="shared" ref="AF388:AF451" si="62">IF(AE388="","",COUNTIF($AE$4:$AE$500,"&lt;="&amp;AE388))</f>
        <v/>
      </c>
    </row>
    <row r="389" spans="1:32" x14ac:dyDescent="0.3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38" t="str">
        <f>IF(OR(A389="Автомат",A389="Дифавтомат"),IF(W389="","",COUNTIFS(Однолинейка!$H$3:$H$3000,U389,Однолинейка!$A$3:$A$3000,Щит_спец)),IF(A389="Аппарат",IF(C389="","",COUNTIFS(Однолинейка!$I$3:$I$3000,C389,Однолинейка!$A$3:$A$3000,Щит_спец)+COUNTIFS(Однолинейка!$J$3:$J$3000,C389,Однолинейка!$A$3:$A$3000,Щит_спец)+COUNTIFS(Однолинейка!$K$3:$K$3000,C389,Однолинейка!$A$3:$A$3000,Щит_спец)),IF(A389="Модуль",IF(C389="","",COUNTIFS(Однолинейка!$AW$3:$AW$3000,"?*",Однолинейка!$AI$3:$AI$3000,C389,Однолинейка!$A$3:$A$3000,Щит_спец)),IF(A389="Клемма",IF(C389="","",IF(C389=$S$7,SUMIFS(Однолинейка!$BW$3:$BW$3000,Однолинейка!$A$3:$A$3000,Щит_спец),IF(C389=$S$8,SUMIFS(Однолинейка!$BX$3:$BX$3000,Однолинейка!$A$3:$A$3000,Щит_спец),""))),""))))</f>
        <v/>
      </c>
      <c r="O389" s="74"/>
      <c r="P389" s="38" t="str">
        <f t="shared" si="54"/>
        <v/>
      </c>
      <c r="U389" s="38" t="str">
        <f t="shared" si="55"/>
        <v/>
      </c>
      <c r="V389" s="38" t="str">
        <f t="shared" si="56"/>
        <v/>
      </c>
      <c r="W389" s="38" t="str">
        <f>IF(AND(U389&lt;&gt;"",OR($S$4="(все)",B389=$S$4),IF($S$4="(все)",COUNTIF($U$4:U389,U389),COUNTIFS($U$4:U389,U389,$B$4:B389,B389))=1),MAX($W$3:W388)+1,"")</f>
        <v/>
      </c>
      <c r="X389" s="38" t="str">
        <f t="shared" si="57"/>
        <v/>
      </c>
      <c r="Y389" s="38" t="str">
        <f>IF(AND(A389="Аппарат",C389&lt;&gt;"",OR($S$5="(все)",B389=$S$5)),MAX($Y$3:Y388)+1,"")</f>
        <v/>
      </c>
      <c r="Z389" s="38" t="str">
        <f t="shared" si="58"/>
        <v/>
      </c>
      <c r="AA389" s="38" t="str">
        <f>IF(AND(A389="Модуль",C389&lt;&gt;"",OR($S$6="(все)",B389=$S$6)),MAX($AA$3:AA388)+1,"")</f>
        <v/>
      </c>
      <c r="AB389" s="38" t="str">
        <f t="shared" si="59"/>
        <v/>
      </c>
      <c r="AC389" s="38" t="str">
        <f>IF(OR(B389="",COUNTIF($B$4:B389,B389)&gt;1),"",MAX($AC$3:AC388)+1)</f>
        <v/>
      </c>
      <c r="AD389" s="38" t="str">
        <f t="shared" si="60"/>
        <v/>
      </c>
      <c r="AE389" s="38" t="str">
        <f t="shared" si="61"/>
        <v/>
      </c>
      <c r="AF389" s="38" t="str">
        <f t="shared" si="62"/>
        <v/>
      </c>
    </row>
    <row r="390" spans="1:32" x14ac:dyDescent="0.3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38" t="str">
        <f>IF(OR(A390="Автомат",A390="Дифавтомат"),IF(W390="","",COUNTIFS(Однолинейка!$H$3:$H$3000,U390,Однолинейка!$A$3:$A$3000,Щит_спец)),IF(A390="Аппарат",IF(C390="","",COUNTIFS(Однолинейка!$I$3:$I$3000,C390,Однолинейка!$A$3:$A$3000,Щит_спец)+COUNTIFS(Однолинейка!$J$3:$J$3000,C390,Однолинейка!$A$3:$A$3000,Щит_спец)+COUNTIFS(Однолинейка!$K$3:$K$3000,C390,Однолинейка!$A$3:$A$3000,Щит_спец)),IF(A390="Модуль",IF(C390="","",COUNTIFS(Однолинейка!$AW$3:$AW$3000,"?*",Однолинейка!$AI$3:$AI$3000,C390,Однолинейка!$A$3:$A$3000,Щит_спец)),IF(A390="Клемма",IF(C390="","",IF(C390=$S$7,SUMIFS(Однолинейка!$BW$3:$BW$3000,Однолинейка!$A$3:$A$3000,Щит_спец),IF(C390=$S$8,SUMIFS(Однолинейка!$BX$3:$BX$3000,Однолинейка!$A$3:$A$3000,Щит_спец),""))),""))))</f>
        <v/>
      </c>
      <c r="O390" s="74"/>
      <c r="P390" s="38" t="str">
        <f t="shared" si="54"/>
        <v/>
      </c>
      <c r="U390" s="38" t="str">
        <f t="shared" si="55"/>
        <v/>
      </c>
      <c r="V390" s="38" t="str">
        <f t="shared" si="56"/>
        <v/>
      </c>
      <c r="W390" s="38" t="str">
        <f>IF(AND(U390&lt;&gt;"",OR($S$4="(все)",B390=$S$4),IF($S$4="(все)",COUNTIF($U$4:U390,U390),COUNTIFS($U$4:U390,U390,$B$4:B390,B390))=1),MAX($W$3:W389)+1,"")</f>
        <v/>
      </c>
      <c r="X390" s="38" t="str">
        <f t="shared" si="57"/>
        <v/>
      </c>
      <c r="Y390" s="38" t="str">
        <f>IF(AND(A390="Аппарат",C390&lt;&gt;"",OR($S$5="(все)",B390=$S$5)),MAX($Y$3:Y389)+1,"")</f>
        <v/>
      </c>
      <c r="Z390" s="38" t="str">
        <f t="shared" si="58"/>
        <v/>
      </c>
      <c r="AA390" s="38" t="str">
        <f>IF(AND(A390="Модуль",C390&lt;&gt;"",OR($S$6="(все)",B390=$S$6)),MAX($AA$3:AA389)+1,"")</f>
        <v/>
      </c>
      <c r="AB390" s="38" t="str">
        <f t="shared" si="59"/>
        <v/>
      </c>
      <c r="AC390" s="38" t="str">
        <f>IF(OR(B390="",COUNTIF($B$4:B390,B390)&gt;1),"",MAX($AC$3:AC389)+1)</f>
        <v/>
      </c>
      <c r="AD390" s="38" t="str">
        <f t="shared" si="60"/>
        <v/>
      </c>
      <c r="AE390" s="38" t="str">
        <f t="shared" si="61"/>
        <v/>
      </c>
      <c r="AF390" s="38" t="str">
        <f t="shared" si="62"/>
        <v/>
      </c>
    </row>
    <row r="391" spans="1:32" x14ac:dyDescent="0.3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38" t="str">
        <f>IF(OR(A391="Автомат",A391="Дифавтомат"),IF(W391="","",COUNTIFS(Однолинейка!$H$3:$H$3000,U391,Однолинейка!$A$3:$A$3000,Щит_спец)),IF(A391="Аппарат",IF(C391="","",COUNTIFS(Однолинейка!$I$3:$I$3000,C391,Однолинейка!$A$3:$A$3000,Щит_спец)+COUNTIFS(Однолинейка!$J$3:$J$3000,C391,Однолинейка!$A$3:$A$3000,Щит_спец)+COUNTIFS(Однолинейка!$K$3:$K$3000,C391,Однолинейка!$A$3:$A$3000,Щит_спец)),IF(A391="Модуль",IF(C391="","",COUNTIFS(Однолинейка!$AW$3:$AW$3000,"?*",Однолинейка!$AI$3:$AI$3000,C391,Однолинейка!$A$3:$A$3000,Щит_спец)),IF(A391="Клемма",IF(C391="","",IF(C391=$S$7,SUMIFS(Однолинейка!$BW$3:$BW$3000,Однолинейка!$A$3:$A$3000,Щит_спец),IF(C391=$S$8,SUMIFS(Однолинейка!$BX$3:$BX$3000,Однолинейка!$A$3:$A$3000,Щит_спец),""))),""))))</f>
        <v/>
      </c>
      <c r="O391" s="74"/>
      <c r="P391" s="38" t="str">
        <f t="shared" si="54"/>
        <v/>
      </c>
      <c r="U391" s="38" t="str">
        <f t="shared" si="55"/>
        <v/>
      </c>
      <c r="V391" s="38" t="str">
        <f t="shared" si="56"/>
        <v/>
      </c>
      <c r="W391" s="38" t="str">
        <f>IF(AND(U391&lt;&gt;"",OR($S$4="(все)",B391=$S$4),IF($S$4="(все)",COUNTIF($U$4:U391,U391),COUNTIFS($U$4:U391,U391,$B$4:B391,B391))=1),MAX($W$3:W390)+1,"")</f>
        <v/>
      </c>
      <c r="X391" s="38" t="str">
        <f t="shared" si="57"/>
        <v/>
      </c>
      <c r="Y391" s="38" t="str">
        <f>IF(AND(A391="Аппарат",C391&lt;&gt;"",OR($S$5="(все)",B391=$S$5)),MAX($Y$3:Y390)+1,"")</f>
        <v/>
      </c>
      <c r="Z391" s="38" t="str">
        <f t="shared" si="58"/>
        <v/>
      </c>
      <c r="AA391" s="38" t="str">
        <f>IF(AND(A391="Модуль",C391&lt;&gt;"",OR($S$6="(все)",B391=$S$6)),MAX($AA$3:AA390)+1,"")</f>
        <v/>
      </c>
      <c r="AB391" s="38" t="str">
        <f t="shared" si="59"/>
        <v/>
      </c>
      <c r="AC391" s="38" t="str">
        <f>IF(OR(B391="",COUNTIF($B$4:B391,B391)&gt;1),"",MAX($AC$3:AC390)+1)</f>
        <v/>
      </c>
      <c r="AD391" s="38" t="str">
        <f t="shared" si="60"/>
        <v/>
      </c>
      <c r="AE391" s="38" t="str">
        <f t="shared" si="61"/>
        <v/>
      </c>
      <c r="AF391" s="38" t="str">
        <f t="shared" si="62"/>
        <v/>
      </c>
    </row>
    <row r="392" spans="1:32" x14ac:dyDescent="0.3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38" t="str">
        <f>IF(OR(A392="Автомат",A392="Дифавтомат"),IF(W392="","",COUNTIFS(Однолинейка!$H$3:$H$3000,U392,Однолинейка!$A$3:$A$3000,Щит_спец)),IF(A392="Аппарат",IF(C392="","",COUNTIFS(Однолинейка!$I$3:$I$3000,C392,Однолинейка!$A$3:$A$3000,Щит_спец)+COUNTIFS(Однолинейка!$J$3:$J$3000,C392,Однолинейка!$A$3:$A$3000,Щит_спец)+COUNTIFS(Однолинейка!$K$3:$K$3000,C392,Однолинейка!$A$3:$A$3000,Щит_спец)),IF(A392="Модуль",IF(C392="","",COUNTIFS(Однолинейка!$AW$3:$AW$3000,"?*",Однолинейка!$AI$3:$AI$3000,C392,Однолинейка!$A$3:$A$3000,Щит_спец)),IF(A392="Клемма",IF(C392="","",IF(C392=$S$7,SUMIFS(Однолинейка!$BW$3:$BW$3000,Однолинейка!$A$3:$A$3000,Щит_спец),IF(C392=$S$8,SUMIFS(Однолинейка!$BX$3:$BX$3000,Однолинейка!$A$3:$A$3000,Щит_спец),""))),""))))</f>
        <v/>
      </c>
      <c r="O392" s="74"/>
      <c r="P392" s="38" t="str">
        <f t="shared" si="54"/>
        <v/>
      </c>
      <c r="U392" s="38" t="str">
        <f t="shared" si="55"/>
        <v/>
      </c>
      <c r="V392" s="38" t="str">
        <f t="shared" si="56"/>
        <v/>
      </c>
      <c r="W392" s="38" t="str">
        <f>IF(AND(U392&lt;&gt;"",OR($S$4="(все)",B392=$S$4),IF($S$4="(все)",COUNTIF($U$4:U392,U392),COUNTIFS($U$4:U392,U392,$B$4:B392,B392))=1),MAX($W$3:W391)+1,"")</f>
        <v/>
      </c>
      <c r="X392" s="38" t="str">
        <f t="shared" si="57"/>
        <v/>
      </c>
      <c r="Y392" s="38" t="str">
        <f>IF(AND(A392="Аппарат",C392&lt;&gt;"",OR($S$5="(все)",B392=$S$5)),MAX($Y$3:Y391)+1,"")</f>
        <v/>
      </c>
      <c r="Z392" s="38" t="str">
        <f t="shared" si="58"/>
        <v/>
      </c>
      <c r="AA392" s="38" t="str">
        <f>IF(AND(A392="Модуль",C392&lt;&gt;"",OR($S$6="(все)",B392=$S$6)),MAX($AA$3:AA391)+1,"")</f>
        <v/>
      </c>
      <c r="AB392" s="38" t="str">
        <f t="shared" si="59"/>
        <v/>
      </c>
      <c r="AC392" s="38" t="str">
        <f>IF(OR(B392="",COUNTIF($B$4:B392,B392)&gt;1),"",MAX($AC$3:AC391)+1)</f>
        <v/>
      </c>
      <c r="AD392" s="38" t="str">
        <f t="shared" si="60"/>
        <v/>
      </c>
      <c r="AE392" s="38" t="str">
        <f t="shared" si="61"/>
        <v/>
      </c>
      <c r="AF392" s="38" t="str">
        <f t="shared" si="62"/>
        <v/>
      </c>
    </row>
    <row r="393" spans="1:32" x14ac:dyDescent="0.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38" t="str">
        <f>IF(OR(A393="Автомат",A393="Дифавтомат"),IF(W393="","",COUNTIFS(Однолинейка!$H$3:$H$3000,U393,Однолинейка!$A$3:$A$3000,Щит_спец)),IF(A393="Аппарат",IF(C393="","",COUNTIFS(Однолинейка!$I$3:$I$3000,C393,Однолинейка!$A$3:$A$3000,Щит_спец)+COUNTIFS(Однолинейка!$J$3:$J$3000,C393,Однолинейка!$A$3:$A$3000,Щит_спец)+COUNTIFS(Однолинейка!$K$3:$K$3000,C393,Однолинейка!$A$3:$A$3000,Щит_спец)),IF(A393="Модуль",IF(C393="","",COUNTIFS(Однолинейка!$AW$3:$AW$3000,"?*",Однолинейка!$AI$3:$AI$3000,C393,Однолинейка!$A$3:$A$3000,Щит_спец)),IF(A393="Клемма",IF(C393="","",IF(C393=$S$7,SUMIFS(Однолинейка!$BW$3:$BW$3000,Однолинейка!$A$3:$A$3000,Щит_спец),IF(C393=$S$8,SUMIFS(Однолинейка!$BX$3:$BX$3000,Однолинейка!$A$3:$A$3000,Щит_спец),""))),""))))</f>
        <v/>
      </c>
      <c r="O393" s="74"/>
      <c r="P393" s="38" t="str">
        <f t="shared" si="54"/>
        <v/>
      </c>
      <c r="U393" s="38" t="str">
        <f t="shared" si="55"/>
        <v/>
      </c>
      <c r="V393" s="38" t="str">
        <f t="shared" si="56"/>
        <v/>
      </c>
      <c r="W393" s="38" t="str">
        <f>IF(AND(U393&lt;&gt;"",OR($S$4="(все)",B393=$S$4),IF($S$4="(все)",COUNTIF($U$4:U393,U393),COUNTIFS($U$4:U393,U393,$B$4:B393,B393))=1),MAX($W$3:W392)+1,"")</f>
        <v/>
      </c>
      <c r="X393" s="38" t="str">
        <f t="shared" si="57"/>
        <v/>
      </c>
      <c r="Y393" s="38" t="str">
        <f>IF(AND(A393="Аппарат",C393&lt;&gt;"",OR($S$5="(все)",B393=$S$5)),MAX($Y$3:Y392)+1,"")</f>
        <v/>
      </c>
      <c r="Z393" s="38" t="str">
        <f t="shared" si="58"/>
        <v/>
      </c>
      <c r="AA393" s="38" t="str">
        <f>IF(AND(A393="Модуль",C393&lt;&gt;"",OR($S$6="(все)",B393=$S$6)),MAX($AA$3:AA392)+1,"")</f>
        <v/>
      </c>
      <c r="AB393" s="38" t="str">
        <f t="shared" si="59"/>
        <v/>
      </c>
      <c r="AC393" s="38" t="str">
        <f>IF(OR(B393="",COUNTIF($B$4:B393,B393)&gt;1),"",MAX($AC$3:AC392)+1)</f>
        <v/>
      </c>
      <c r="AD393" s="38" t="str">
        <f t="shared" si="60"/>
        <v/>
      </c>
      <c r="AE393" s="38" t="str">
        <f t="shared" si="61"/>
        <v/>
      </c>
      <c r="AF393" s="38" t="str">
        <f t="shared" si="62"/>
        <v/>
      </c>
    </row>
    <row r="394" spans="1:32" x14ac:dyDescent="0.3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38" t="str">
        <f>IF(OR(A394="Автомат",A394="Дифавтомат"),IF(W394="","",COUNTIFS(Однолинейка!$H$3:$H$3000,U394,Однолинейка!$A$3:$A$3000,Щит_спец)),IF(A394="Аппарат",IF(C394="","",COUNTIFS(Однолинейка!$I$3:$I$3000,C394,Однолинейка!$A$3:$A$3000,Щит_спец)+COUNTIFS(Однолинейка!$J$3:$J$3000,C394,Однолинейка!$A$3:$A$3000,Щит_спец)+COUNTIFS(Однолинейка!$K$3:$K$3000,C394,Однолинейка!$A$3:$A$3000,Щит_спец)),IF(A394="Модуль",IF(C394="","",COUNTIFS(Однолинейка!$AW$3:$AW$3000,"?*",Однолинейка!$AI$3:$AI$3000,C394,Однолинейка!$A$3:$A$3000,Щит_спец)),IF(A394="Клемма",IF(C394="","",IF(C394=$S$7,SUMIFS(Однолинейка!$BW$3:$BW$3000,Однолинейка!$A$3:$A$3000,Щит_спец),IF(C394=$S$8,SUMIFS(Однолинейка!$BX$3:$BX$3000,Однолинейка!$A$3:$A$3000,Щит_спец),""))),""))))</f>
        <v/>
      </c>
      <c r="O394" s="74"/>
      <c r="P394" s="38" t="str">
        <f t="shared" si="54"/>
        <v/>
      </c>
      <c r="U394" s="38" t="str">
        <f t="shared" si="55"/>
        <v/>
      </c>
      <c r="V394" s="38" t="str">
        <f t="shared" si="56"/>
        <v/>
      </c>
      <c r="W394" s="38" t="str">
        <f>IF(AND(U394&lt;&gt;"",OR($S$4="(все)",B394=$S$4),IF($S$4="(все)",COUNTIF($U$4:U394,U394),COUNTIFS($U$4:U394,U394,$B$4:B394,B394))=1),MAX($W$3:W393)+1,"")</f>
        <v/>
      </c>
      <c r="X394" s="38" t="str">
        <f t="shared" si="57"/>
        <v/>
      </c>
      <c r="Y394" s="38" t="str">
        <f>IF(AND(A394="Аппарат",C394&lt;&gt;"",OR($S$5="(все)",B394=$S$5)),MAX($Y$3:Y393)+1,"")</f>
        <v/>
      </c>
      <c r="Z394" s="38" t="str">
        <f t="shared" si="58"/>
        <v/>
      </c>
      <c r="AA394" s="38" t="str">
        <f>IF(AND(A394="Модуль",C394&lt;&gt;"",OR($S$6="(все)",B394=$S$6)),MAX($AA$3:AA393)+1,"")</f>
        <v/>
      </c>
      <c r="AB394" s="38" t="str">
        <f t="shared" si="59"/>
        <v/>
      </c>
      <c r="AC394" s="38" t="str">
        <f>IF(OR(B394="",COUNTIF($B$4:B394,B394)&gt;1),"",MAX($AC$3:AC393)+1)</f>
        <v/>
      </c>
      <c r="AD394" s="38" t="str">
        <f t="shared" si="60"/>
        <v/>
      </c>
      <c r="AE394" s="38" t="str">
        <f t="shared" si="61"/>
        <v/>
      </c>
      <c r="AF394" s="38" t="str">
        <f t="shared" si="62"/>
        <v/>
      </c>
    </row>
    <row r="395" spans="1:32" x14ac:dyDescent="0.3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38" t="str">
        <f>IF(OR(A395="Автомат",A395="Дифавтомат"),IF(W395="","",COUNTIFS(Однолинейка!$H$3:$H$3000,U395,Однолинейка!$A$3:$A$3000,Щит_спец)),IF(A395="Аппарат",IF(C395="","",COUNTIFS(Однолинейка!$I$3:$I$3000,C395,Однолинейка!$A$3:$A$3000,Щит_спец)+COUNTIFS(Однолинейка!$J$3:$J$3000,C395,Однолинейка!$A$3:$A$3000,Щит_спец)+COUNTIFS(Однолинейка!$K$3:$K$3000,C395,Однолинейка!$A$3:$A$3000,Щит_спец)),IF(A395="Модуль",IF(C395="","",COUNTIFS(Однолинейка!$AW$3:$AW$3000,"?*",Однолинейка!$AI$3:$AI$3000,C395,Однолинейка!$A$3:$A$3000,Щит_спец)),IF(A395="Клемма",IF(C395="","",IF(C395=$S$7,SUMIFS(Однолинейка!$BW$3:$BW$3000,Однолинейка!$A$3:$A$3000,Щит_спец),IF(C395=$S$8,SUMIFS(Однолинейка!$BX$3:$BX$3000,Однолинейка!$A$3:$A$3000,Щит_спец),""))),""))))</f>
        <v/>
      </c>
      <c r="O395" s="74"/>
      <c r="P395" s="38" t="str">
        <f t="shared" si="54"/>
        <v/>
      </c>
      <c r="U395" s="38" t="str">
        <f t="shared" si="55"/>
        <v/>
      </c>
      <c r="V395" s="38" t="str">
        <f t="shared" si="56"/>
        <v/>
      </c>
      <c r="W395" s="38" t="str">
        <f>IF(AND(U395&lt;&gt;"",OR($S$4="(все)",B395=$S$4),IF($S$4="(все)",COUNTIF($U$4:U395,U395),COUNTIFS($U$4:U395,U395,$B$4:B395,B395))=1),MAX($W$3:W394)+1,"")</f>
        <v/>
      </c>
      <c r="X395" s="38" t="str">
        <f t="shared" si="57"/>
        <v/>
      </c>
      <c r="Y395" s="38" t="str">
        <f>IF(AND(A395="Аппарат",C395&lt;&gt;"",OR($S$5="(все)",B395=$S$5)),MAX($Y$3:Y394)+1,"")</f>
        <v/>
      </c>
      <c r="Z395" s="38" t="str">
        <f t="shared" si="58"/>
        <v/>
      </c>
      <c r="AA395" s="38" t="str">
        <f>IF(AND(A395="Модуль",C395&lt;&gt;"",OR($S$6="(все)",B395=$S$6)),MAX($AA$3:AA394)+1,"")</f>
        <v/>
      </c>
      <c r="AB395" s="38" t="str">
        <f t="shared" si="59"/>
        <v/>
      </c>
      <c r="AC395" s="38" t="str">
        <f>IF(OR(B395="",COUNTIF($B$4:B395,B395)&gt;1),"",MAX($AC$3:AC394)+1)</f>
        <v/>
      </c>
      <c r="AD395" s="38" t="str">
        <f t="shared" si="60"/>
        <v/>
      </c>
      <c r="AE395" s="38" t="str">
        <f t="shared" si="61"/>
        <v/>
      </c>
      <c r="AF395" s="38" t="str">
        <f t="shared" si="62"/>
        <v/>
      </c>
    </row>
    <row r="396" spans="1:32" x14ac:dyDescent="0.3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38" t="str">
        <f>IF(OR(A396="Автомат",A396="Дифавтомат"),IF(W396="","",COUNTIFS(Однолинейка!$H$3:$H$3000,U396,Однолинейка!$A$3:$A$3000,Щит_спец)),IF(A396="Аппарат",IF(C396="","",COUNTIFS(Однолинейка!$I$3:$I$3000,C396,Однолинейка!$A$3:$A$3000,Щит_спец)+COUNTIFS(Однолинейка!$J$3:$J$3000,C396,Однолинейка!$A$3:$A$3000,Щит_спец)+COUNTIFS(Однолинейка!$K$3:$K$3000,C396,Однолинейка!$A$3:$A$3000,Щит_спец)),IF(A396="Модуль",IF(C396="","",COUNTIFS(Однолинейка!$AW$3:$AW$3000,"?*",Однолинейка!$AI$3:$AI$3000,C396,Однолинейка!$A$3:$A$3000,Щит_спец)),IF(A396="Клемма",IF(C396="","",IF(C396=$S$7,SUMIFS(Однолинейка!$BW$3:$BW$3000,Однолинейка!$A$3:$A$3000,Щит_спец),IF(C396=$S$8,SUMIFS(Однолинейка!$BX$3:$BX$3000,Однолинейка!$A$3:$A$3000,Щит_спец),""))),""))))</f>
        <v/>
      </c>
      <c r="O396" s="74"/>
      <c r="P396" s="38" t="str">
        <f t="shared" si="54"/>
        <v/>
      </c>
      <c r="U396" s="38" t="str">
        <f t="shared" si="55"/>
        <v/>
      </c>
      <c r="V396" s="38" t="str">
        <f t="shared" si="56"/>
        <v/>
      </c>
      <c r="W396" s="38" t="str">
        <f>IF(AND(U396&lt;&gt;"",OR($S$4="(все)",B396=$S$4),IF($S$4="(все)",COUNTIF($U$4:U396,U396),COUNTIFS($U$4:U396,U396,$B$4:B396,B396))=1),MAX($W$3:W395)+1,"")</f>
        <v/>
      </c>
      <c r="X396" s="38" t="str">
        <f t="shared" si="57"/>
        <v/>
      </c>
      <c r="Y396" s="38" t="str">
        <f>IF(AND(A396="Аппарат",C396&lt;&gt;"",OR($S$5="(все)",B396=$S$5)),MAX($Y$3:Y395)+1,"")</f>
        <v/>
      </c>
      <c r="Z396" s="38" t="str">
        <f t="shared" si="58"/>
        <v/>
      </c>
      <c r="AA396" s="38" t="str">
        <f>IF(AND(A396="Модуль",C396&lt;&gt;"",OR($S$6="(все)",B396=$S$6)),MAX($AA$3:AA395)+1,"")</f>
        <v/>
      </c>
      <c r="AB396" s="38" t="str">
        <f t="shared" si="59"/>
        <v/>
      </c>
      <c r="AC396" s="38" t="str">
        <f>IF(OR(B396="",COUNTIF($B$4:B396,B396)&gt;1),"",MAX($AC$3:AC395)+1)</f>
        <v/>
      </c>
      <c r="AD396" s="38" t="str">
        <f t="shared" si="60"/>
        <v/>
      </c>
      <c r="AE396" s="38" t="str">
        <f t="shared" si="61"/>
        <v/>
      </c>
      <c r="AF396" s="38" t="str">
        <f t="shared" si="62"/>
        <v/>
      </c>
    </row>
    <row r="397" spans="1:32" x14ac:dyDescent="0.3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38" t="str">
        <f>IF(OR(A397="Автомат",A397="Дифавтомат"),IF(W397="","",COUNTIFS(Однолинейка!$H$3:$H$3000,U397,Однолинейка!$A$3:$A$3000,Щит_спец)),IF(A397="Аппарат",IF(C397="","",COUNTIFS(Однолинейка!$I$3:$I$3000,C397,Однолинейка!$A$3:$A$3000,Щит_спец)+COUNTIFS(Однолинейка!$J$3:$J$3000,C397,Однолинейка!$A$3:$A$3000,Щит_спец)+COUNTIFS(Однолинейка!$K$3:$K$3000,C397,Однолинейка!$A$3:$A$3000,Щит_спец)),IF(A397="Модуль",IF(C397="","",COUNTIFS(Однолинейка!$AW$3:$AW$3000,"?*",Однолинейка!$AI$3:$AI$3000,C397,Однолинейка!$A$3:$A$3000,Щит_спец)),IF(A397="Клемма",IF(C397="","",IF(C397=$S$7,SUMIFS(Однолинейка!$BW$3:$BW$3000,Однолинейка!$A$3:$A$3000,Щит_спец),IF(C397=$S$8,SUMIFS(Однолинейка!$BX$3:$BX$3000,Однолинейка!$A$3:$A$3000,Щит_спец),""))),""))))</f>
        <v/>
      </c>
      <c r="O397" s="74"/>
      <c r="P397" s="38" t="str">
        <f t="shared" si="54"/>
        <v/>
      </c>
      <c r="U397" s="38" t="str">
        <f t="shared" si="55"/>
        <v/>
      </c>
      <c r="V397" s="38" t="str">
        <f t="shared" si="56"/>
        <v/>
      </c>
      <c r="W397" s="38" t="str">
        <f>IF(AND(U397&lt;&gt;"",OR($S$4="(все)",B397=$S$4),IF($S$4="(все)",COUNTIF($U$4:U397,U397),COUNTIFS($U$4:U397,U397,$B$4:B397,B397))=1),MAX($W$3:W396)+1,"")</f>
        <v/>
      </c>
      <c r="X397" s="38" t="str">
        <f t="shared" si="57"/>
        <v/>
      </c>
      <c r="Y397" s="38" t="str">
        <f>IF(AND(A397="Аппарат",C397&lt;&gt;"",OR($S$5="(все)",B397=$S$5)),MAX($Y$3:Y396)+1,"")</f>
        <v/>
      </c>
      <c r="Z397" s="38" t="str">
        <f t="shared" si="58"/>
        <v/>
      </c>
      <c r="AA397" s="38" t="str">
        <f>IF(AND(A397="Модуль",C397&lt;&gt;"",OR($S$6="(все)",B397=$S$6)),MAX($AA$3:AA396)+1,"")</f>
        <v/>
      </c>
      <c r="AB397" s="38" t="str">
        <f t="shared" si="59"/>
        <v/>
      </c>
      <c r="AC397" s="38" t="str">
        <f>IF(OR(B397="",COUNTIF($B$4:B397,B397)&gt;1),"",MAX($AC$3:AC396)+1)</f>
        <v/>
      </c>
      <c r="AD397" s="38" t="str">
        <f t="shared" si="60"/>
        <v/>
      </c>
      <c r="AE397" s="38" t="str">
        <f t="shared" si="61"/>
        <v/>
      </c>
      <c r="AF397" s="38" t="str">
        <f t="shared" si="62"/>
        <v/>
      </c>
    </row>
    <row r="398" spans="1:32" x14ac:dyDescent="0.3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38" t="str">
        <f>IF(OR(A398="Автомат",A398="Дифавтомат"),IF(W398="","",COUNTIFS(Однолинейка!$H$3:$H$3000,U398,Однолинейка!$A$3:$A$3000,Щит_спец)),IF(A398="Аппарат",IF(C398="","",COUNTIFS(Однолинейка!$I$3:$I$3000,C398,Однолинейка!$A$3:$A$3000,Щит_спец)+COUNTIFS(Однолинейка!$J$3:$J$3000,C398,Однолинейка!$A$3:$A$3000,Щит_спец)+COUNTIFS(Однолинейка!$K$3:$K$3000,C398,Однолинейка!$A$3:$A$3000,Щит_спец)),IF(A398="Модуль",IF(C398="","",COUNTIFS(Однолинейка!$AW$3:$AW$3000,"?*",Однолинейка!$AI$3:$AI$3000,C398,Однолинейка!$A$3:$A$3000,Щит_спец)),IF(A398="Клемма",IF(C398="","",IF(C398=$S$7,SUMIFS(Однолинейка!$BW$3:$BW$3000,Однолинейка!$A$3:$A$3000,Щит_спец),IF(C398=$S$8,SUMIFS(Однолинейка!$BX$3:$BX$3000,Однолинейка!$A$3:$A$3000,Щит_спец),""))),""))))</f>
        <v/>
      </c>
      <c r="O398" s="74"/>
      <c r="P398" s="38" t="str">
        <f t="shared" si="54"/>
        <v/>
      </c>
      <c r="U398" s="38" t="str">
        <f t="shared" si="55"/>
        <v/>
      </c>
      <c r="V398" s="38" t="str">
        <f t="shared" si="56"/>
        <v/>
      </c>
      <c r="W398" s="38" t="str">
        <f>IF(AND(U398&lt;&gt;"",OR($S$4="(все)",B398=$S$4),IF($S$4="(все)",COUNTIF($U$4:U398,U398),COUNTIFS($U$4:U398,U398,$B$4:B398,B398))=1),MAX($W$3:W397)+1,"")</f>
        <v/>
      </c>
      <c r="X398" s="38" t="str">
        <f t="shared" si="57"/>
        <v/>
      </c>
      <c r="Y398" s="38" t="str">
        <f>IF(AND(A398="Аппарат",C398&lt;&gt;"",OR($S$5="(все)",B398=$S$5)),MAX($Y$3:Y397)+1,"")</f>
        <v/>
      </c>
      <c r="Z398" s="38" t="str">
        <f t="shared" si="58"/>
        <v/>
      </c>
      <c r="AA398" s="38" t="str">
        <f>IF(AND(A398="Модуль",C398&lt;&gt;"",OR($S$6="(все)",B398=$S$6)),MAX($AA$3:AA397)+1,"")</f>
        <v/>
      </c>
      <c r="AB398" s="38" t="str">
        <f t="shared" si="59"/>
        <v/>
      </c>
      <c r="AC398" s="38" t="str">
        <f>IF(OR(B398="",COUNTIF($B$4:B398,B398)&gt;1),"",MAX($AC$3:AC397)+1)</f>
        <v/>
      </c>
      <c r="AD398" s="38" t="str">
        <f t="shared" si="60"/>
        <v/>
      </c>
      <c r="AE398" s="38" t="str">
        <f t="shared" si="61"/>
        <v/>
      </c>
      <c r="AF398" s="38" t="str">
        <f t="shared" si="62"/>
        <v/>
      </c>
    </row>
    <row r="399" spans="1:32" x14ac:dyDescent="0.3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38" t="str">
        <f>IF(OR(A399="Автомат",A399="Дифавтомат"),IF(W399="","",COUNTIFS(Однолинейка!$H$3:$H$3000,U399,Однолинейка!$A$3:$A$3000,Щит_спец)),IF(A399="Аппарат",IF(C399="","",COUNTIFS(Однолинейка!$I$3:$I$3000,C399,Однолинейка!$A$3:$A$3000,Щит_спец)+COUNTIFS(Однолинейка!$J$3:$J$3000,C399,Однолинейка!$A$3:$A$3000,Щит_спец)+COUNTIFS(Однолинейка!$K$3:$K$3000,C399,Однолинейка!$A$3:$A$3000,Щит_спец)),IF(A399="Модуль",IF(C399="","",COUNTIFS(Однолинейка!$AW$3:$AW$3000,"?*",Однолинейка!$AI$3:$AI$3000,C399,Однолинейка!$A$3:$A$3000,Щит_спец)),IF(A399="Клемма",IF(C399="","",IF(C399=$S$7,SUMIFS(Однолинейка!$BW$3:$BW$3000,Однолинейка!$A$3:$A$3000,Щит_спец),IF(C399=$S$8,SUMIFS(Однолинейка!$BX$3:$BX$3000,Однолинейка!$A$3:$A$3000,Щит_спец),""))),""))))</f>
        <v/>
      </c>
      <c r="O399" s="74"/>
      <c r="P399" s="38" t="str">
        <f t="shared" si="54"/>
        <v/>
      </c>
      <c r="U399" s="38" t="str">
        <f t="shared" si="55"/>
        <v/>
      </c>
      <c r="V399" s="38" t="str">
        <f t="shared" si="56"/>
        <v/>
      </c>
      <c r="W399" s="38" t="str">
        <f>IF(AND(U399&lt;&gt;"",OR($S$4="(все)",B399=$S$4),IF($S$4="(все)",COUNTIF($U$4:U399,U399),COUNTIFS($U$4:U399,U399,$B$4:B399,B399))=1),MAX($W$3:W398)+1,"")</f>
        <v/>
      </c>
      <c r="X399" s="38" t="str">
        <f t="shared" si="57"/>
        <v/>
      </c>
      <c r="Y399" s="38" t="str">
        <f>IF(AND(A399="Аппарат",C399&lt;&gt;"",OR($S$5="(все)",B399=$S$5)),MAX($Y$3:Y398)+1,"")</f>
        <v/>
      </c>
      <c r="Z399" s="38" t="str">
        <f t="shared" si="58"/>
        <v/>
      </c>
      <c r="AA399" s="38" t="str">
        <f>IF(AND(A399="Модуль",C399&lt;&gt;"",OR($S$6="(все)",B399=$S$6)),MAX($AA$3:AA398)+1,"")</f>
        <v/>
      </c>
      <c r="AB399" s="38" t="str">
        <f t="shared" si="59"/>
        <v/>
      </c>
      <c r="AC399" s="38" t="str">
        <f>IF(OR(B399="",COUNTIF($B$4:B399,B399)&gt;1),"",MAX($AC$3:AC398)+1)</f>
        <v/>
      </c>
      <c r="AD399" s="38" t="str">
        <f t="shared" si="60"/>
        <v/>
      </c>
      <c r="AE399" s="38" t="str">
        <f t="shared" si="61"/>
        <v/>
      </c>
      <c r="AF399" s="38" t="str">
        <f t="shared" si="62"/>
        <v/>
      </c>
    </row>
    <row r="400" spans="1:32" x14ac:dyDescent="0.3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38" t="str">
        <f>IF(OR(A400="Автомат",A400="Дифавтомат"),IF(W400="","",COUNTIFS(Однолинейка!$H$3:$H$3000,U400,Однолинейка!$A$3:$A$3000,Щит_спец)),IF(A400="Аппарат",IF(C400="","",COUNTIFS(Однолинейка!$I$3:$I$3000,C400,Однолинейка!$A$3:$A$3000,Щит_спец)+COUNTIFS(Однолинейка!$J$3:$J$3000,C400,Однолинейка!$A$3:$A$3000,Щит_спец)+COUNTIFS(Однолинейка!$K$3:$K$3000,C400,Однолинейка!$A$3:$A$3000,Щит_спец)),IF(A400="Модуль",IF(C400="","",COUNTIFS(Однолинейка!$AW$3:$AW$3000,"?*",Однолинейка!$AI$3:$AI$3000,C400,Однолинейка!$A$3:$A$3000,Щит_спец)),IF(A400="Клемма",IF(C400="","",IF(C400=$S$7,SUMIFS(Однолинейка!$BW$3:$BW$3000,Однолинейка!$A$3:$A$3000,Щит_спец),IF(C400=$S$8,SUMIFS(Однолинейка!$BX$3:$BX$3000,Однолинейка!$A$3:$A$3000,Щит_спец),""))),""))))</f>
        <v/>
      </c>
      <c r="O400" s="74"/>
      <c r="P400" s="38" t="str">
        <f t="shared" si="54"/>
        <v/>
      </c>
      <c r="U400" s="38" t="str">
        <f t="shared" si="55"/>
        <v/>
      </c>
      <c r="V400" s="38" t="str">
        <f t="shared" si="56"/>
        <v/>
      </c>
      <c r="W400" s="38" t="str">
        <f>IF(AND(U400&lt;&gt;"",OR($S$4="(все)",B400=$S$4),IF($S$4="(все)",COUNTIF($U$4:U400,U400),COUNTIFS($U$4:U400,U400,$B$4:B400,B400))=1),MAX($W$3:W399)+1,"")</f>
        <v/>
      </c>
      <c r="X400" s="38" t="str">
        <f t="shared" si="57"/>
        <v/>
      </c>
      <c r="Y400" s="38" t="str">
        <f>IF(AND(A400="Аппарат",C400&lt;&gt;"",OR($S$5="(все)",B400=$S$5)),MAX($Y$3:Y399)+1,"")</f>
        <v/>
      </c>
      <c r="Z400" s="38" t="str">
        <f t="shared" si="58"/>
        <v/>
      </c>
      <c r="AA400" s="38" t="str">
        <f>IF(AND(A400="Модуль",C400&lt;&gt;"",OR($S$6="(все)",B400=$S$6)),MAX($AA$3:AA399)+1,"")</f>
        <v/>
      </c>
      <c r="AB400" s="38" t="str">
        <f t="shared" si="59"/>
        <v/>
      </c>
      <c r="AC400" s="38" t="str">
        <f>IF(OR(B400="",COUNTIF($B$4:B400,B400)&gt;1),"",MAX($AC$3:AC399)+1)</f>
        <v/>
      </c>
      <c r="AD400" s="38" t="str">
        <f t="shared" si="60"/>
        <v/>
      </c>
      <c r="AE400" s="38" t="str">
        <f t="shared" si="61"/>
        <v/>
      </c>
      <c r="AF400" s="38" t="str">
        <f t="shared" si="62"/>
        <v/>
      </c>
    </row>
    <row r="401" spans="1:32" x14ac:dyDescent="0.3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38" t="str">
        <f>IF(OR(A401="Автомат",A401="Дифавтомат"),IF(W401="","",COUNTIFS(Однолинейка!$H$3:$H$3000,U401,Однолинейка!$A$3:$A$3000,Щит_спец)),IF(A401="Аппарат",IF(C401="","",COUNTIFS(Однолинейка!$I$3:$I$3000,C401,Однолинейка!$A$3:$A$3000,Щит_спец)+COUNTIFS(Однолинейка!$J$3:$J$3000,C401,Однолинейка!$A$3:$A$3000,Щит_спец)+COUNTIFS(Однолинейка!$K$3:$K$3000,C401,Однолинейка!$A$3:$A$3000,Щит_спец)),IF(A401="Модуль",IF(C401="","",COUNTIFS(Однолинейка!$AW$3:$AW$3000,"?*",Однолинейка!$AI$3:$AI$3000,C401,Однолинейка!$A$3:$A$3000,Щит_спец)),IF(A401="Клемма",IF(C401="","",IF(C401=$S$7,SUMIFS(Однолинейка!$BW$3:$BW$3000,Однолинейка!$A$3:$A$3000,Щит_спец),IF(C401=$S$8,SUMIFS(Однолинейка!$BX$3:$BX$3000,Однолинейка!$A$3:$A$3000,Щит_спец),""))),""))))</f>
        <v/>
      </c>
      <c r="O401" s="74"/>
      <c r="P401" s="38" t="str">
        <f t="shared" si="54"/>
        <v/>
      </c>
      <c r="U401" s="38" t="str">
        <f t="shared" si="55"/>
        <v/>
      </c>
      <c r="V401" s="38" t="str">
        <f t="shared" si="56"/>
        <v/>
      </c>
      <c r="W401" s="38" t="str">
        <f>IF(AND(U401&lt;&gt;"",OR($S$4="(все)",B401=$S$4),IF($S$4="(все)",COUNTIF($U$4:U401,U401),COUNTIFS($U$4:U401,U401,$B$4:B401,B401))=1),MAX($W$3:W400)+1,"")</f>
        <v/>
      </c>
      <c r="X401" s="38" t="str">
        <f t="shared" si="57"/>
        <v/>
      </c>
      <c r="Y401" s="38" t="str">
        <f>IF(AND(A401="Аппарат",C401&lt;&gt;"",OR($S$5="(все)",B401=$S$5)),MAX($Y$3:Y400)+1,"")</f>
        <v/>
      </c>
      <c r="Z401" s="38" t="str">
        <f t="shared" si="58"/>
        <v/>
      </c>
      <c r="AA401" s="38" t="str">
        <f>IF(AND(A401="Модуль",C401&lt;&gt;"",OR($S$6="(все)",B401=$S$6)),MAX($AA$3:AA400)+1,"")</f>
        <v/>
      </c>
      <c r="AB401" s="38" t="str">
        <f t="shared" si="59"/>
        <v/>
      </c>
      <c r="AC401" s="38" t="str">
        <f>IF(OR(B401="",COUNTIF($B$4:B401,B401)&gt;1),"",MAX($AC$3:AC400)+1)</f>
        <v/>
      </c>
      <c r="AD401" s="38" t="str">
        <f t="shared" si="60"/>
        <v/>
      </c>
      <c r="AE401" s="38" t="str">
        <f t="shared" si="61"/>
        <v/>
      </c>
      <c r="AF401" s="38" t="str">
        <f t="shared" si="62"/>
        <v/>
      </c>
    </row>
    <row r="402" spans="1:32" x14ac:dyDescent="0.3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38" t="str">
        <f>IF(OR(A402="Автомат",A402="Дифавтомат"),IF(W402="","",COUNTIFS(Однолинейка!$H$3:$H$3000,U402,Однолинейка!$A$3:$A$3000,Щит_спец)),IF(A402="Аппарат",IF(C402="","",COUNTIFS(Однолинейка!$I$3:$I$3000,C402,Однолинейка!$A$3:$A$3000,Щит_спец)+COUNTIFS(Однолинейка!$J$3:$J$3000,C402,Однолинейка!$A$3:$A$3000,Щит_спец)+COUNTIFS(Однолинейка!$K$3:$K$3000,C402,Однолинейка!$A$3:$A$3000,Щит_спец)),IF(A402="Модуль",IF(C402="","",COUNTIFS(Однолинейка!$AW$3:$AW$3000,"?*",Однолинейка!$AI$3:$AI$3000,C402,Однолинейка!$A$3:$A$3000,Щит_спец)),IF(A402="Клемма",IF(C402="","",IF(C402=$S$7,SUMIFS(Однолинейка!$BW$3:$BW$3000,Однолинейка!$A$3:$A$3000,Щит_спец),IF(C402=$S$8,SUMIFS(Однолинейка!$BX$3:$BX$3000,Однолинейка!$A$3:$A$3000,Щит_спец),""))),""))))</f>
        <v/>
      </c>
      <c r="O402" s="74"/>
      <c r="P402" s="38" t="str">
        <f t="shared" si="54"/>
        <v/>
      </c>
      <c r="U402" s="38" t="str">
        <f t="shared" si="55"/>
        <v/>
      </c>
      <c r="V402" s="38" t="str">
        <f t="shared" si="56"/>
        <v/>
      </c>
      <c r="W402" s="38" t="str">
        <f>IF(AND(U402&lt;&gt;"",OR($S$4="(все)",B402=$S$4),IF($S$4="(все)",COUNTIF($U$4:U402,U402),COUNTIFS($U$4:U402,U402,$B$4:B402,B402))=1),MAX($W$3:W401)+1,"")</f>
        <v/>
      </c>
      <c r="X402" s="38" t="str">
        <f t="shared" si="57"/>
        <v/>
      </c>
      <c r="Y402" s="38" t="str">
        <f>IF(AND(A402="Аппарат",C402&lt;&gt;"",OR($S$5="(все)",B402=$S$5)),MAX($Y$3:Y401)+1,"")</f>
        <v/>
      </c>
      <c r="Z402" s="38" t="str">
        <f t="shared" si="58"/>
        <v/>
      </c>
      <c r="AA402" s="38" t="str">
        <f>IF(AND(A402="Модуль",C402&lt;&gt;"",OR($S$6="(все)",B402=$S$6)),MAX($AA$3:AA401)+1,"")</f>
        <v/>
      </c>
      <c r="AB402" s="38" t="str">
        <f t="shared" si="59"/>
        <v/>
      </c>
      <c r="AC402" s="38" t="str">
        <f>IF(OR(B402="",COUNTIF($B$4:B402,B402)&gt;1),"",MAX($AC$3:AC401)+1)</f>
        <v/>
      </c>
      <c r="AD402" s="38" t="str">
        <f t="shared" si="60"/>
        <v/>
      </c>
      <c r="AE402" s="38" t="str">
        <f t="shared" si="61"/>
        <v/>
      </c>
      <c r="AF402" s="38" t="str">
        <f t="shared" si="62"/>
        <v/>
      </c>
    </row>
    <row r="403" spans="1:32" x14ac:dyDescent="0.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38" t="str">
        <f>IF(OR(A403="Автомат",A403="Дифавтомат"),IF(W403="","",COUNTIFS(Однолинейка!$H$3:$H$3000,U403,Однолинейка!$A$3:$A$3000,Щит_спец)),IF(A403="Аппарат",IF(C403="","",COUNTIFS(Однолинейка!$I$3:$I$3000,C403,Однолинейка!$A$3:$A$3000,Щит_спец)+COUNTIFS(Однолинейка!$J$3:$J$3000,C403,Однолинейка!$A$3:$A$3000,Щит_спец)+COUNTIFS(Однолинейка!$K$3:$K$3000,C403,Однолинейка!$A$3:$A$3000,Щит_спец)),IF(A403="Модуль",IF(C403="","",COUNTIFS(Однолинейка!$AW$3:$AW$3000,"?*",Однолинейка!$AI$3:$AI$3000,C403,Однолинейка!$A$3:$A$3000,Щит_спец)),IF(A403="Клемма",IF(C403="","",IF(C403=$S$7,SUMIFS(Однолинейка!$BW$3:$BW$3000,Однолинейка!$A$3:$A$3000,Щит_спец),IF(C403=$S$8,SUMIFS(Однолинейка!$BX$3:$BX$3000,Однолинейка!$A$3:$A$3000,Щит_спец),""))),""))))</f>
        <v/>
      </c>
      <c r="O403" s="74"/>
      <c r="P403" s="38" t="str">
        <f t="shared" si="54"/>
        <v/>
      </c>
      <c r="U403" s="38" t="str">
        <f t="shared" si="55"/>
        <v/>
      </c>
      <c r="V403" s="38" t="str">
        <f t="shared" si="56"/>
        <v/>
      </c>
      <c r="W403" s="38" t="str">
        <f>IF(AND(U403&lt;&gt;"",OR($S$4="(все)",B403=$S$4),IF($S$4="(все)",COUNTIF($U$4:U403,U403),COUNTIFS($U$4:U403,U403,$B$4:B403,B403))=1),MAX($W$3:W402)+1,"")</f>
        <v/>
      </c>
      <c r="X403" s="38" t="str">
        <f t="shared" si="57"/>
        <v/>
      </c>
      <c r="Y403" s="38" t="str">
        <f>IF(AND(A403="Аппарат",C403&lt;&gt;"",OR($S$5="(все)",B403=$S$5)),MAX($Y$3:Y402)+1,"")</f>
        <v/>
      </c>
      <c r="Z403" s="38" t="str">
        <f t="shared" si="58"/>
        <v/>
      </c>
      <c r="AA403" s="38" t="str">
        <f>IF(AND(A403="Модуль",C403&lt;&gt;"",OR($S$6="(все)",B403=$S$6)),MAX($AA$3:AA402)+1,"")</f>
        <v/>
      </c>
      <c r="AB403" s="38" t="str">
        <f t="shared" si="59"/>
        <v/>
      </c>
      <c r="AC403" s="38" t="str">
        <f>IF(OR(B403="",COUNTIF($B$4:B403,B403)&gt;1),"",MAX($AC$3:AC402)+1)</f>
        <v/>
      </c>
      <c r="AD403" s="38" t="str">
        <f t="shared" si="60"/>
        <v/>
      </c>
      <c r="AE403" s="38" t="str">
        <f t="shared" si="61"/>
        <v/>
      </c>
      <c r="AF403" s="38" t="str">
        <f t="shared" si="62"/>
        <v/>
      </c>
    </row>
    <row r="404" spans="1:32" x14ac:dyDescent="0.3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38" t="str">
        <f>IF(OR(A404="Автомат",A404="Дифавтомат"),IF(W404="","",COUNTIFS(Однолинейка!$H$3:$H$3000,U404,Однолинейка!$A$3:$A$3000,Щит_спец)),IF(A404="Аппарат",IF(C404="","",COUNTIFS(Однолинейка!$I$3:$I$3000,C404,Однолинейка!$A$3:$A$3000,Щит_спец)+COUNTIFS(Однолинейка!$J$3:$J$3000,C404,Однолинейка!$A$3:$A$3000,Щит_спец)+COUNTIFS(Однолинейка!$K$3:$K$3000,C404,Однолинейка!$A$3:$A$3000,Щит_спец)),IF(A404="Модуль",IF(C404="","",COUNTIFS(Однолинейка!$AW$3:$AW$3000,"?*",Однолинейка!$AI$3:$AI$3000,C404,Однолинейка!$A$3:$A$3000,Щит_спец)),IF(A404="Клемма",IF(C404="","",IF(C404=$S$7,SUMIFS(Однолинейка!$BW$3:$BW$3000,Однолинейка!$A$3:$A$3000,Щит_спец),IF(C404=$S$8,SUMIFS(Однолинейка!$BX$3:$BX$3000,Однолинейка!$A$3:$A$3000,Щит_спец),""))),""))))</f>
        <v/>
      </c>
      <c r="O404" s="74"/>
      <c r="P404" s="38" t="str">
        <f t="shared" si="54"/>
        <v/>
      </c>
      <c r="U404" s="38" t="str">
        <f t="shared" si="55"/>
        <v/>
      </c>
      <c r="V404" s="38" t="str">
        <f t="shared" si="56"/>
        <v/>
      </c>
      <c r="W404" s="38" t="str">
        <f>IF(AND(U404&lt;&gt;"",OR($S$4="(все)",B404=$S$4),IF($S$4="(все)",COUNTIF($U$4:U404,U404),COUNTIFS($U$4:U404,U404,$B$4:B404,B404))=1),MAX($W$3:W403)+1,"")</f>
        <v/>
      </c>
      <c r="X404" s="38" t="str">
        <f t="shared" si="57"/>
        <v/>
      </c>
      <c r="Y404" s="38" t="str">
        <f>IF(AND(A404="Аппарат",C404&lt;&gt;"",OR($S$5="(все)",B404=$S$5)),MAX($Y$3:Y403)+1,"")</f>
        <v/>
      </c>
      <c r="Z404" s="38" t="str">
        <f t="shared" si="58"/>
        <v/>
      </c>
      <c r="AA404" s="38" t="str">
        <f>IF(AND(A404="Модуль",C404&lt;&gt;"",OR($S$6="(все)",B404=$S$6)),MAX($AA$3:AA403)+1,"")</f>
        <v/>
      </c>
      <c r="AB404" s="38" t="str">
        <f t="shared" si="59"/>
        <v/>
      </c>
      <c r="AC404" s="38" t="str">
        <f>IF(OR(B404="",COUNTIF($B$4:B404,B404)&gt;1),"",MAX($AC$3:AC403)+1)</f>
        <v/>
      </c>
      <c r="AD404" s="38" t="str">
        <f t="shared" si="60"/>
        <v/>
      </c>
      <c r="AE404" s="38" t="str">
        <f t="shared" si="61"/>
        <v/>
      </c>
      <c r="AF404" s="38" t="str">
        <f t="shared" si="62"/>
        <v/>
      </c>
    </row>
    <row r="405" spans="1:32" x14ac:dyDescent="0.3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38" t="str">
        <f>IF(OR(A405="Автомат",A405="Дифавтомат"),IF(W405="","",COUNTIFS(Однолинейка!$H$3:$H$3000,U405,Однолинейка!$A$3:$A$3000,Щит_спец)),IF(A405="Аппарат",IF(C405="","",COUNTIFS(Однолинейка!$I$3:$I$3000,C405,Однолинейка!$A$3:$A$3000,Щит_спец)+COUNTIFS(Однолинейка!$J$3:$J$3000,C405,Однолинейка!$A$3:$A$3000,Щит_спец)+COUNTIFS(Однолинейка!$K$3:$K$3000,C405,Однолинейка!$A$3:$A$3000,Щит_спец)),IF(A405="Модуль",IF(C405="","",COUNTIFS(Однолинейка!$AW$3:$AW$3000,"?*",Однолинейка!$AI$3:$AI$3000,C405,Однолинейка!$A$3:$A$3000,Щит_спец)),IF(A405="Клемма",IF(C405="","",IF(C405=$S$7,SUMIFS(Однолинейка!$BW$3:$BW$3000,Однолинейка!$A$3:$A$3000,Щит_спец),IF(C405=$S$8,SUMIFS(Однолинейка!$BX$3:$BX$3000,Однолинейка!$A$3:$A$3000,Щит_спец),""))),""))))</f>
        <v/>
      </c>
      <c r="O405" s="74"/>
      <c r="P405" s="38" t="str">
        <f t="shared" si="54"/>
        <v/>
      </c>
      <c r="U405" s="38" t="str">
        <f t="shared" si="55"/>
        <v/>
      </c>
      <c r="V405" s="38" t="str">
        <f t="shared" si="56"/>
        <v/>
      </c>
      <c r="W405" s="38" t="str">
        <f>IF(AND(U405&lt;&gt;"",OR($S$4="(все)",B405=$S$4),IF($S$4="(все)",COUNTIF($U$4:U405,U405),COUNTIFS($U$4:U405,U405,$B$4:B405,B405))=1),MAX($W$3:W404)+1,"")</f>
        <v/>
      </c>
      <c r="X405" s="38" t="str">
        <f t="shared" si="57"/>
        <v/>
      </c>
      <c r="Y405" s="38" t="str">
        <f>IF(AND(A405="Аппарат",C405&lt;&gt;"",OR($S$5="(все)",B405=$S$5)),MAX($Y$3:Y404)+1,"")</f>
        <v/>
      </c>
      <c r="Z405" s="38" t="str">
        <f t="shared" si="58"/>
        <v/>
      </c>
      <c r="AA405" s="38" t="str">
        <f>IF(AND(A405="Модуль",C405&lt;&gt;"",OR($S$6="(все)",B405=$S$6)),MAX($AA$3:AA404)+1,"")</f>
        <v/>
      </c>
      <c r="AB405" s="38" t="str">
        <f t="shared" si="59"/>
        <v/>
      </c>
      <c r="AC405" s="38" t="str">
        <f>IF(OR(B405="",COUNTIF($B$4:B405,B405)&gt;1),"",MAX($AC$3:AC404)+1)</f>
        <v/>
      </c>
      <c r="AD405" s="38" t="str">
        <f t="shared" si="60"/>
        <v/>
      </c>
      <c r="AE405" s="38" t="str">
        <f t="shared" si="61"/>
        <v/>
      </c>
      <c r="AF405" s="38" t="str">
        <f t="shared" si="62"/>
        <v/>
      </c>
    </row>
    <row r="406" spans="1:32" x14ac:dyDescent="0.3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38" t="str">
        <f>IF(OR(A406="Автомат",A406="Дифавтомат"),IF(W406="","",COUNTIFS(Однолинейка!$H$3:$H$3000,U406,Однолинейка!$A$3:$A$3000,Щит_спец)),IF(A406="Аппарат",IF(C406="","",COUNTIFS(Однолинейка!$I$3:$I$3000,C406,Однолинейка!$A$3:$A$3000,Щит_спец)+COUNTIFS(Однолинейка!$J$3:$J$3000,C406,Однолинейка!$A$3:$A$3000,Щит_спец)+COUNTIFS(Однолинейка!$K$3:$K$3000,C406,Однолинейка!$A$3:$A$3000,Щит_спец)),IF(A406="Модуль",IF(C406="","",COUNTIFS(Однолинейка!$AW$3:$AW$3000,"?*",Однолинейка!$AI$3:$AI$3000,C406,Однолинейка!$A$3:$A$3000,Щит_спец)),IF(A406="Клемма",IF(C406="","",IF(C406=$S$7,SUMIFS(Однолинейка!$BW$3:$BW$3000,Однолинейка!$A$3:$A$3000,Щит_спец),IF(C406=$S$8,SUMIFS(Однолинейка!$BX$3:$BX$3000,Однолинейка!$A$3:$A$3000,Щит_спец),""))),""))))</f>
        <v/>
      </c>
      <c r="O406" s="74"/>
      <c r="P406" s="38" t="str">
        <f t="shared" si="54"/>
        <v/>
      </c>
      <c r="U406" s="38" t="str">
        <f t="shared" si="55"/>
        <v/>
      </c>
      <c r="V406" s="38" t="str">
        <f t="shared" si="56"/>
        <v/>
      </c>
      <c r="W406" s="38" t="str">
        <f>IF(AND(U406&lt;&gt;"",OR($S$4="(все)",B406=$S$4),IF($S$4="(все)",COUNTIF($U$4:U406,U406),COUNTIFS($U$4:U406,U406,$B$4:B406,B406))=1),MAX($W$3:W405)+1,"")</f>
        <v/>
      </c>
      <c r="X406" s="38" t="str">
        <f t="shared" si="57"/>
        <v/>
      </c>
      <c r="Y406" s="38" t="str">
        <f>IF(AND(A406="Аппарат",C406&lt;&gt;"",OR($S$5="(все)",B406=$S$5)),MAX($Y$3:Y405)+1,"")</f>
        <v/>
      </c>
      <c r="Z406" s="38" t="str">
        <f t="shared" si="58"/>
        <v/>
      </c>
      <c r="AA406" s="38" t="str">
        <f>IF(AND(A406="Модуль",C406&lt;&gt;"",OR($S$6="(все)",B406=$S$6)),MAX($AA$3:AA405)+1,"")</f>
        <v/>
      </c>
      <c r="AB406" s="38" t="str">
        <f t="shared" si="59"/>
        <v/>
      </c>
      <c r="AC406" s="38" t="str">
        <f>IF(OR(B406="",COUNTIF($B$4:B406,B406)&gt;1),"",MAX($AC$3:AC405)+1)</f>
        <v/>
      </c>
      <c r="AD406" s="38" t="str">
        <f t="shared" si="60"/>
        <v/>
      </c>
      <c r="AE406" s="38" t="str">
        <f t="shared" si="61"/>
        <v/>
      </c>
      <c r="AF406" s="38" t="str">
        <f t="shared" si="62"/>
        <v/>
      </c>
    </row>
    <row r="407" spans="1:32" x14ac:dyDescent="0.3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38" t="str">
        <f>IF(OR(A407="Автомат",A407="Дифавтомат"),IF(W407="","",COUNTIFS(Однолинейка!$H$3:$H$3000,U407,Однолинейка!$A$3:$A$3000,Щит_спец)),IF(A407="Аппарат",IF(C407="","",COUNTIFS(Однолинейка!$I$3:$I$3000,C407,Однолинейка!$A$3:$A$3000,Щит_спец)+COUNTIFS(Однолинейка!$J$3:$J$3000,C407,Однолинейка!$A$3:$A$3000,Щит_спец)+COUNTIFS(Однолинейка!$K$3:$K$3000,C407,Однолинейка!$A$3:$A$3000,Щит_спец)),IF(A407="Модуль",IF(C407="","",COUNTIFS(Однолинейка!$AW$3:$AW$3000,"?*",Однолинейка!$AI$3:$AI$3000,C407,Однолинейка!$A$3:$A$3000,Щит_спец)),IF(A407="Клемма",IF(C407="","",IF(C407=$S$7,SUMIFS(Однолинейка!$BW$3:$BW$3000,Однолинейка!$A$3:$A$3000,Щит_спец),IF(C407=$S$8,SUMIFS(Однолинейка!$BX$3:$BX$3000,Однолинейка!$A$3:$A$3000,Щит_спец),""))),""))))</f>
        <v/>
      </c>
      <c r="O407" s="74"/>
      <c r="P407" s="38" t="str">
        <f t="shared" si="54"/>
        <v/>
      </c>
      <c r="U407" s="38" t="str">
        <f t="shared" si="55"/>
        <v/>
      </c>
      <c r="V407" s="38" t="str">
        <f t="shared" si="56"/>
        <v/>
      </c>
      <c r="W407" s="38" t="str">
        <f>IF(AND(U407&lt;&gt;"",OR($S$4="(все)",B407=$S$4),IF($S$4="(все)",COUNTIF($U$4:U407,U407),COUNTIFS($U$4:U407,U407,$B$4:B407,B407))=1),MAX($W$3:W406)+1,"")</f>
        <v/>
      </c>
      <c r="X407" s="38" t="str">
        <f t="shared" si="57"/>
        <v/>
      </c>
      <c r="Y407" s="38" t="str">
        <f>IF(AND(A407="Аппарат",C407&lt;&gt;"",OR($S$5="(все)",B407=$S$5)),MAX($Y$3:Y406)+1,"")</f>
        <v/>
      </c>
      <c r="Z407" s="38" t="str">
        <f t="shared" si="58"/>
        <v/>
      </c>
      <c r="AA407" s="38" t="str">
        <f>IF(AND(A407="Модуль",C407&lt;&gt;"",OR($S$6="(все)",B407=$S$6)),MAX($AA$3:AA406)+1,"")</f>
        <v/>
      </c>
      <c r="AB407" s="38" t="str">
        <f t="shared" si="59"/>
        <v/>
      </c>
      <c r="AC407" s="38" t="str">
        <f>IF(OR(B407="",COUNTIF($B$4:B407,B407)&gt;1),"",MAX($AC$3:AC406)+1)</f>
        <v/>
      </c>
      <c r="AD407" s="38" t="str">
        <f t="shared" si="60"/>
        <v/>
      </c>
      <c r="AE407" s="38" t="str">
        <f t="shared" si="61"/>
        <v/>
      </c>
      <c r="AF407" s="38" t="str">
        <f t="shared" si="62"/>
        <v/>
      </c>
    </row>
    <row r="408" spans="1:32" x14ac:dyDescent="0.3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38" t="str">
        <f>IF(OR(A408="Автомат",A408="Дифавтомат"),IF(W408="","",COUNTIFS(Однолинейка!$H$3:$H$3000,U408,Однолинейка!$A$3:$A$3000,Щит_спец)),IF(A408="Аппарат",IF(C408="","",COUNTIFS(Однолинейка!$I$3:$I$3000,C408,Однолинейка!$A$3:$A$3000,Щит_спец)+COUNTIFS(Однолинейка!$J$3:$J$3000,C408,Однолинейка!$A$3:$A$3000,Щит_спец)+COUNTIFS(Однолинейка!$K$3:$K$3000,C408,Однолинейка!$A$3:$A$3000,Щит_спец)),IF(A408="Модуль",IF(C408="","",COUNTIFS(Однолинейка!$AW$3:$AW$3000,"?*",Однолинейка!$AI$3:$AI$3000,C408,Однолинейка!$A$3:$A$3000,Щит_спец)),IF(A408="Клемма",IF(C408="","",IF(C408=$S$7,SUMIFS(Однолинейка!$BW$3:$BW$3000,Однолинейка!$A$3:$A$3000,Щит_спец),IF(C408=$S$8,SUMIFS(Однолинейка!$BX$3:$BX$3000,Однолинейка!$A$3:$A$3000,Щит_спец),""))),""))))</f>
        <v/>
      </c>
      <c r="O408" s="74"/>
      <c r="P408" s="38" t="str">
        <f t="shared" si="54"/>
        <v/>
      </c>
      <c r="U408" s="38" t="str">
        <f t="shared" si="55"/>
        <v/>
      </c>
      <c r="V408" s="38" t="str">
        <f t="shared" si="56"/>
        <v/>
      </c>
      <c r="W408" s="38" t="str">
        <f>IF(AND(U408&lt;&gt;"",OR($S$4="(все)",B408=$S$4),IF($S$4="(все)",COUNTIF($U$4:U408,U408),COUNTIFS($U$4:U408,U408,$B$4:B408,B408))=1),MAX($W$3:W407)+1,"")</f>
        <v/>
      </c>
      <c r="X408" s="38" t="str">
        <f t="shared" si="57"/>
        <v/>
      </c>
      <c r="Y408" s="38" t="str">
        <f>IF(AND(A408="Аппарат",C408&lt;&gt;"",OR($S$5="(все)",B408=$S$5)),MAX($Y$3:Y407)+1,"")</f>
        <v/>
      </c>
      <c r="Z408" s="38" t="str">
        <f t="shared" si="58"/>
        <v/>
      </c>
      <c r="AA408" s="38" t="str">
        <f>IF(AND(A408="Модуль",C408&lt;&gt;"",OR($S$6="(все)",B408=$S$6)),MAX($AA$3:AA407)+1,"")</f>
        <v/>
      </c>
      <c r="AB408" s="38" t="str">
        <f t="shared" si="59"/>
        <v/>
      </c>
      <c r="AC408" s="38" t="str">
        <f>IF(OR(B408="",COUNTIF($B$4:B408,B408)&gt;1),"",MAX($AC$3:AC407)+1)</f>
        <v/>
      </c>
      <c r="AD408" s="38" t="str">
        <f t="shared" si="60"/>
        <v/>
      </c>
      <c r="AE408" s="38" t="str">
        <f t="shared" si="61"/>
        <v/>
      </c>
      <c r="AF408" s="38" t="str">
        <f t="shared" si="62"/>
        <v/>
      </c>
    </row>
    <row r="409" spans="1:32" x14ac:dyDescent="0.3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38" t="str">
        <f>IF(OR(A409="Автомат",A409="Дифавтомат"),IF(W409="","",COUNTIFS(Однолинейка!$H$3:$H$3000,U409,Однолинейка!$A$3:$A$3000,Щит_спец)),IF(A409="Аппарат",IF(C409="","",COUNTIFS(Однолинейка!$I$3:$I$3000,C409,Однолинейка!$A$3:$A$3000,Щит_спец)+COUNTIFS(Однолинейка!$J$3:$J$3000,C409,Однолинейка!$A$3:$A$3000,Щит_спец)+COUNTIFS(Однолинейка!$K$3:$K$3000,C409,Однолинейка!$A$3:$A$3000,Щит_спец)),IF(A409="Модуль",IF(C409="","",COUNTIFS(Однолинейка!$AW$3:$AW$3000,"?*",Однолинейка!$AI$3:$AI$3000,C409,Однолинейка!$A$3:$A$3000,Щит_спец)),IF(A409="Клемма",IF(C409="","",IF(C409=$S$7,SUMIFS(Однолинейка!$BW$3:$BW$3000,Однолинейка!$A$3:$A$3000,Щит_спец),IF(C409=$S$8,SUMIFS(Однолинейка!$BX$3:$BX$3000,Однолинейка!$A$3:$A$3000,Щит_спец),""))),""))))</f>
        <v/>
      </c>
      <c r="O409" s="74"/>
      <c r="P409" s="38" t="str">
        <f t="shared" si="54"/>
        <v/>
      </c>
      <c r="U409" s="38" t="str">
        <f t="shared" si="55"/>
        <v/>
      </c>
      <c r="V409" s="38" t="str">
        <f t="shared" si="56"/>
        <v/>
      </c>
      <c r="W409" s="38" t="str">
        <f>IF(AND(U409&lt;&gt;"",OR($S$4="(все)",B409=$S$4),IF($S$4="(все)",COUNTIF($U$4:U409,U409),COUNTIFS($U$4:U409,U409,$B$4:B409,B409))=1),MAX($W$3:W408)+1,"")</f>
        <v/>
      </c>
      <c r="X409" s="38" t="str">
        <f t="shared" si="57"/>
        <v/>
      </c>
      <c r="Y409" s="38" t="str">
        <f>IF(AND(A409="Аппарат",C409&lt;&gt;"",OR($S$5="(все)",B409=$S$5)),MAX($Y$3:Y408)+1,"")</f>
        <v/>
      </c>
      <c r="Z409" s="38" t="str">
        <f t="shared" si="58"/>
        <v/>
      </c>
      <c r="AA409" s="38" t="str">
        <f>IF(AND(A409="Модуль",C409&lt;&gt;"",OR($S$6="(все)",B409=$S$6)),MAX($AA$3:AA408)+1,"")</f>
        <v/>
      </c>
      <c r="AB409" s="38" t="str">
        <f t="shared" si="59"/>
        <v/>
      </c>
      <c r="AC409" s="38" t="str">
        <f>IF(OR(B409="",COUNTIF($B$4:B409,B409)&gt;1),"",MAX($AC$3:AC408)+1)</f>
        <v/>
      </c>
      <c r="AD409" s="38" t="str">
        <f t="shared" si="60"/>
        <v/>
      </c>
      <c r="AE409" s="38" t="str">
        <f t="shared" si="61"/>
        <v/>
      </c>
      <c r="AF409" s="38" t="str">
        <f t="shared" si="62"/>
        <v/>
      </c>
    </row>
    <row r="410" spans="1:32" x14ac:dyDescent="0.3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38" t="str">
        <f>IF(OR(A410="Автомат",A410="Дифавтомат"),IF(W410="","",COUNTIFS(Однолинейка!$H$3:$H$3000,U410,Однолинейка!$A$3:$A$3000,Щит_спец)),IF(A410="Аппарат",IF(C410="","",COUNTIFS(Однолинейка!$I$3:$I$3000,C410,Однолинейка!$A$3:$A$3000,Щит_спец)+COUNTIFS(Однолинейка!$J$3:$J$3000,C410,Однолинейка!$A$3:$A$3000,Щит_спец)+COUNTIFS(Однолинейка!$K$3:$K$3000,C410,Однолинейка!$A$3:$A$3000,Щит_спец)),IF(A410="Модуль",IF(C410="","",COUNTIFS(Однолинейка!$AW$3:$AW$3000,"?*",Однолинейка!$AI$3:$AI$3000,C410,Однолинейка!$A$3:$A$3000,Щит_спец)),IF(A410="Клемма",IF(C410="","",IF(C410=$S$7,SUMIFS(Однолинейка!$BW$3:$BW$3000,Однолинейка!$A$3:$A$3000,Щит_спец),IF(C410=$S$8,SUMIFS(Однолинейка!$BX$3:$BX$3000,Однолинейка!$A$3:$A$3000,Щит_спец),""))),""))))</f>
        <v/>
      </c>
      <c r="O410" s="74"/>
      <c r="P410" s="38" t="str">
        <f t="shared" si="54"/>
        <v/>
      </c>
      <c r="U410" s="38" t="str">
        <f t="shared" si="55"/>
        <v/>
      </c>
      <c r="V410" s="38" t="str">
        <f t="shared" si="56"/>
        <v/>
      </c>
      <c r="W410" s="38" t="str">
        <f>IF(AND(U410&lt;&gt;"",OR($S$4="(все)",B410=$S$4),IF($S$4="(все)",COUNTIF($U$4:U410,U410),COUNTIFS($U$4:U410,U410,$B$4:B410,B410))=1),MAX($W$3:W409)+1,"")</f>
        <v/>
      </c>
      <c r="X410" s="38" t="str">
        <f t="shared" si="57"/>
        <v/>
      </c>
      <c r="Y410" s="38" t="str">
        <f>IF(AND(A410="Аппарат",C410&lt;&gt;"",OR($S$5="(все)",B410=$S$5)),MAX($Y$3:Y409)+1,"")</f>
        <v/>
      </c>
      <c r="Z410" s="38" t="str">
        <f t="shared" si="58"/>
        <v/>
      </c>
      <c r="AA410" s="38" t="str">
        <f>IF(AND(A410="Модуль",C410&lt;&gt;"",OR($S$6="(все)",B410=$S$6)),MAX($AA$3:AA409)+1,"")</f>
        <v/>
      </c>
      <c r="AB410" s="38" t="str">
        <f t="shared" si="59"/>
        <v/>
      </c>
      <c r="AC410" s="38" t="str">
        <f>IF(OR(B410="",COUNTIF($B$4:B410,B410)&gt;1),"",MAX($AC$3:AC409)+1)</f>
        <v/>
      </c>
      <c r="AD410" s="38" t="str">
        <f t="shared" si="60"/>
        <v/>
      </c>
      <c r="AE410" s="38" t="str">
        <f t="shared" si="61"/>
        <v/>
      </c>
      <c r="AF410" s="38" t="str">
        <f t="shared" si="62"/>
        <v/>
      </c>
    </row>
    <row r="411" spans="1:32" x14ac:dyDescent="0.3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38" t="str">
        <f>IF(OR(A411="Автомат",A411="Дифавтомат"),IF(W411="","",COUNTIFS(Однолинейка!$H$3:$H$3000,U411,Однолинейка!$A$3:$A$3000,Щит_спец)),IF(A411="Аппарат",IF(C411="","",COUNTIFS(Однолинейка!$I$3:$I$3000,C411,Однолинейка!$A$3:$A$3000,Щит_спец)+COUNTIFS(Однолинейка!$J$3:$J$3000,C411,Однолинейка!$A$3:$A$3000,Щит_спец)+COUNTIFS(Однолинейка!$K$3:$K$3000,C411,Однолинейка!$A$3:$A$3000,Щит_спец)),IF(A411="Модуль",IF(C411="","",COUNTIFS(Однолинейка!$AW$3:$AW$3000,"?*",Однолинейка!$AI$3:$AI$3000,C411,Однолинейка!$A$3:$A$3000,Щит_спец)),IF(A411="Клемма",IF(C411="","",IF(C411=$S$7,SUMIFS(Однолинейка!$BW$3:$BW$3000,Однолинейка!$A$3:$A$3000,Щит_спец),IF(C411=$S$8,SUMIFS(Однолинейка!$BX$3:$BX$3000,Однолинейка!$A$3:$A$3000,Щит_спец),""))),""))))</f>
        <v/>
      </c>
      <c r="O411" s="74"/>
      <c r="P411" s="38" t="str">
        <f t="shared" si="54"/>
        <v/>
      </c>
      <c r="U411" s="38" t="str">
        <f t="shared" si="55"/>
        <v/>
      </c>
      <c r="V411" s="38" t="str">
        <f t="shared" si="56"/>
        <v/>
      </c>
      <c r="W411" s="38" t="str">
        <f>IF(AND(U411&lt;&gt;"",OR($S$4="(все)",B411=$S$4),IF($S$4="(все)",COUNTIF($U$4:U411,U411),COUNTIFS($U$4:U411,U411,$B$4:B411,B411))=1),MAX($W$3:W410)+1,"")</f>
        <v/>
      </c>
      <c r="X411" s="38" t="str">
        <f t="shared" si="57"/>
        <v/>
      </c>
      <c r="Y411" s="38" t="str">
        <f>IF(AND(A411="Аппарат",C411&lt;&gt;"",OR($S$5="(все)",B411=$S$5)),MAX($Y$3:Y410)+1,"")</f>
        <v/>
      </c>
      <c r="Z411" s="38" t="str">
        <f t="shared" si="58"/>
        <v/>
      </c>
      <c r="AA411" s="38" t="str">
        <f>IF(AND(A411="Модуль",C411&lt;&gt;"",OR($S$6="(все)",B411=$S$6)),MAX($AA$3:AA410)+1,"")</f>
        <v/>
      </c>
      <c r="AB411" s="38" t="str">
        <f t="shared" si="59"/>
        <v/>
      </c>
      <c r="AC411" s="38" t="str">
        <f>IF(OR(B411="",COUNTIF($B$4:B411,B411)&gt;1),"",MAX($AC$3:AC410)+1)</f>
        <v/>
      </c>
      <c r="AD411" s="38" t="str">
        <f t="shared" si="60"/>
        <v/>
      </c>
      <c r="AE411" s="38" t="str">
        <f t="shared" si="61"/>
        <v/>
      </c>
      <c r="AF411" s="38" t="str">
        <f t="shared" si="62"/>
        <v/>
      </c>
    </row>
    <row r="412" spans="1:32" x14ac:dyDescent="0.3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38" t="str">
        <f>IF(OR(A412="Автомат",A412="Дифавтомат"),IF(W412="","",COUNTIFS(Однолинейка!$H$3:$H$3000,U412,Однолинейка!$A$3:$A$3000,Щит_спец)),IF(A412="Аппарат",IF(C412="","",COUNTIFS(Однолинейка!$I$3:$I$3000,C412,Однолинейка!$A$3:$A$3000,Щит_спец)+COUNTIFS(Однолинейка!$J$3:$J$3000,C412,Однолинейка!$A$3:$A$3000,Щит_спец)+COUNTIFS(Однолинейка!$K$3:$K$3000,C412,Однолинейка!$A$3:$A$3000,Щит_спец)),IF(A412="Модуль",IF(C412="","",COUNTIFS(Однолинейка!$AW$3:$AW$3000,"?*",Однолинейка!$AI$3:$AI$3000,C412,Однолинейка!$A$3:$A$3000,Щит_спец)),IF(A412="Клемма",IF(C412="","",IF(C412=$S$7,SUMIFS(Однолинейка!$BW$3:$BW$3000,Однолинейка!$A$3:$A$3000,Щит_спец),IF(C412=$S$8,SUMIFS(Однолинейка!$BX$3:$BX$3000,Однолинейка!$A$3:$A$3000,Щит_спец),""))),""))))</f>
        <v/>
      </c>
      <c r="O412" s="74"/>
      <c r="P412" s="38" t="str">
        <f t="shared" si="54"/>
        <v/>
      </c>
      <c r="U412" s="38" t="str">
        <f t="shared" si="55"/>
        <v/>
      </c>
      <c r="V412" s="38" t="str">
        <f t="shared" si="56"/>
        <v/>
      </c>
      <c r="W412" s="38" t="str">
        <f>IF(AND(U412&lt;&gt;"",OR($S$4="(все)",B412=$S$4),IF($S$4="(все)",COUNTIF($U$4:U412,U412),COUNTIFS($U$4:U412,U412,$B$4:B412,B412))=1),MAX($W$3:W411)+1,"")</f>
        <v/>
      </c>
      <c r="X412" s="38" t="str">
        <f t="shared" si="57"/>
        <v/>
      </c>
      <c r="Y412" s="38" t="str">
        <f>IF(AND(A412="Аппарат",C412&lt;&gt;"",OR($S$5="(все)",B412=$S$5)),MAX($Y$3:Y411)+1,"")</f>
        <v/>
      </c>
      <c r="Z412" s="38" t="str">
        <f t="shared" si="58"/>
        <v/>
      </c>
      <c r="AA412" s="38" t="str">
        <f>IF(AND(A412="Модуль",C412&lt;&gt;"",OR($S$6="(все)",B412=$S$6)),MAX($AA$3:AA411)+1,"")</f>
        <v/>
      </c>
      <c r="AB412" s="38" t="str">
        <f t="shared" si="59"/>
        <v/>
      </c>
      <c r="AC412" s="38" t="str">
        <f>IF(OR(B412="",COUNTIF($B$4:B412,B412)&gt;1),"",MAX($AC$3:AC411)+1)</f>
        <v/>
      </c>
      <c r="AD412" s="38" t="str">
        <f t="shared" si="60"/>
        <v/>
      </c>
      <c r="AE412" s="38" t="str">
        <f t="shared" si="61"/>
        <v/>
      </c>
      <c r="AF412" s="38" t="str">
        <f t="shared" si="62"/>
        <v/>
      </c>
    </row>
    <row r="413" spans="1:32" x14ac:dyDescent="0.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38" t="str">
        <f>IF(OR(A413="Автомат",A413="Дифавтомат"),IF(W413="","",COUNTIFS(Однолинейка!$H$3:$H$3000,U413,Однолинейка!$A$3:$A$3000,Щит_спец)),IF(A413="Аппарат",IF(C413="","",COUNTIFS(Однолинейка!$I$3:$I$3000,C413,Однолинейка!$A$3:$A$3000,Щит_спец)+COUNTIFS(Однолинейка!$J$3:$J$3000,C413,Однолинейка!$A$3:$A$3000,Щит_спец)+COUNTIFS(Однолинейка!$K$3:$K$3000,C413,Однолинейка!$A$3:$A$3000,Щит_спец)),IF(A413="Модуль",IF(C413="","",COUNTIFS(Однолинейка!$AW$3:$AW$3000,"?*",Однолинейка!$AI$3:$AI$3000,C413,Однолинейка!$A$3:$A$3000,Щит_спец)),IF(A413="Клемма",IF(C413="","",IF(C413=$S$7,SUMIFS(Однолинейка!$BW$3:$BW$3000,Однолинейка!$A$3:$A$3000,Щит_спец),IF(C413=$S$8,SUMIFS(Однолинейка!$BX$3:$BX$3000,Однолинейка!$A$3:$A$3000,Щит_спец),""))),""))))</f>
        <v/>
      </c>
      <c r="O413" s="74"/>
      <c r="P413" s="38" t="str">
        <f t="shared" si="54"/>
        <v/>
      </c>
      <c r="U413" s="38" t="str">
        <f t="shared" si="55"/>
        <v/>
      </c>
      <c r="V413" s="38" t="str">
        <f t="shared" si="56"/>
        <v/>
      </c>
      <c r="W413" s="38" t="str">
        <f>IF(AND(U413&lt;&gt;"",OR($S$4="(все)",B413=$S$4),IF($S$4="(все)",COUNTIF($U$4:U413,U413),COUNTIFS($U$4:U413,U413,$B$4:B413,B413))=1),MAX($W$3:W412)+1,"")</f>
        <v/>
      </c>
      <c r="X413" s="38" t="str">
        <f t="shared" si="57"/>
        <v/>
      </c>
      <c r="Y413" s="38" t="str">
        <f>IF(AND(A413="Аппарат",C413&lt;&gt;"",OR($S$5="(все)",B413=$S$5)),MAX($Y$3:Y412)+1,"")</f>
        <v/>
      </c>
      <c r="Z413" s="38" t="str">
        <f t="shared" si="58"/>
        <v/>
      </c>
      <c r="AA413" s="38" t="str">
        <f>IF(AND(A413="Модуль",C413&lt;&gt;"",OR($S$6="(все)",B413=$S$6)),MAX($AA$3:AA412)+1,"")</f>
        <v/>
      </c>
      <c r="AB413" s="38" t="str">
        <f t="shared" si="59"/>
        <v/>
      </c>
      <c r="AC413" s="38" t="str">
        <f>IF(OR(B413="",COUNTIF($B$4:B413,B413)&gt;1),"",MAX($AC$3:AC412)+1)</f>
        <v/>
      </c>
      <c r="AD413" s="38" t="str">
        <f t="shared" si="60"/>
        <v/>
      </c>
      <c r="AE413" s="38" t="str">
        <f t="shared" si="61"/>
        <v/>
      </c>
      <c r="AF413" s="38" t="str">
        <f t="shared" si="62"/>
        <v/>
      </c>
    </row>
    <row r="414" spans="1:32" x14ac:dyDescent="0.3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38" t="str">
        <f>IF(OR(A414="Автомат",A414="Дифавтомат"),IF(W414="","",COUNTIFS(Однолинейка!$H$3:$H$3000,U414,Однолинейка!$A$3:$A$3000,Щит_спец)),IF(A414="Аппарат",IF(C414="","",COUNTIFS(Однолинейка!$I$3:$I$3000,C414,Однолинейка!$A$3:$A$3000,Щит_спец)+COUNTIFS(Однолинейка!$J$3:$J$3000,C414,Однолинейка!$A$3:$A$3000,Щит_спец)+COUNTIFS(Однолинейка!$K$3:$K$3000,C414,Однолинейка!$A$3:$A$3000,Щит_спец)),IF(A414="Модуль",IF(C414="","",COUNTIFS(Однолинейка!$AW$3:$AW$3000,"?*",Однолинейка!$AI$3:$AI$3000,C414,Однолинейка!$A$3:$A$3000,Щит_спец)),IF(A414="Клемма",IF(C414="","",IF(C414=$S$7,SUMIFS(Однолинейка!$BW$3:$BW$3000,Однолинейка!$A$3:$A$3000,Щит_спец),IF(C414=$S$8,SUMIFS(Однолинейка!$BX$3:$BX$3000,Однолинейка!$A$3:$A$3000,Щит_спец),""))),""))))</f>
        <v/>
      </c>
      <c r="O414" s="74"/>
      <c r="P414" s="38" t="str">
        <f t="shared" si="54"/>
        <v/>
      </c>
      <c r="U414" s="38" t="str">
        <f t="shared" si="55"/>
        <v/>
      </c>
      <c r="V414" s="38" t="str">
        <f t="shared" si="56"/>
        <v/>
      </c>
      <c r="W414" s="38" t="str">
        <f>IF(AND(U414&lt;&gt;"",OR($S$4="(все)",B414=$S$4),IF($S$4="(все)",COUNTIF($U$4:U414,U414),COUNTIFS($U$4:U414,U414,$B$4:B414,B414))=1),MAX($W$3:W413)+1,"")</f>
        <v/>
      </c>
      <c r="X414" s="38" t="str">
        <f t="shared" si="57"/>
        <v/>
      </c>
      <c r="Y414" s="38" t="str">
        <f>IF(AND(A414="Аппарат",C414&lt;&gt;"",OR($S$5="(все)",B414=$S$5)),MAX($Y$3:Y413)+1,"")</f>
        <v/>
      </c>
      <c r="Z414" s="38" t="str">
        <f t="shared" si="58"/>
        <v/>
      </c>
      <c r="AA414" s="38" t="str">
        <f>IF(AND(A414="Модуль",C414&lt;&gt;"",OR($S$6="(все)",B414=$S$6)),MAX($AA$3:AA413)+1,"")</f>
        <v/>
      </c>
      <c r="AB414" s="38" t="str">
        <f t="shared" si="59"/>
        <v/>
      </c>
      <c r="AC414" s="38" t="str">
        <f>IF(OR(B414="",COUNTIF($B$4:B414,B414)&gt;1),"",MAX($AC$3:AC413)+1)</f>
        <v/>
      </c>
      <c r="AD414" s="38" t="str">
        <f t="shared" si="60"/>
        <v/>
      </c>
      <c r="AE414" s="38" t="str">
        <f t="shared" si="61"/>
        <v/>
      </c>
      <c r="AF414" s="38" t="str">
        <f t="shared" si="62"/>
        <v/>
      </c>
    </row>
    <row r="415" spans="1:32" x14ac:dyDescent="0.3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38" t="str">
        <f>IF(OR(A415="Автомат",A415="Дифавтомат"),IF(W415="","",COUNTIFS(Однолинейка!$H$3:$H$3000,U415,Однолинейка!$A$3:$A$3000,Щит_спец)),IF(A415="Аппарат",IF(C415="","",COUNTIFS(Однолинейка!$I$3:$I$3000,C415,Однолинейка!$A$3:$A$3000,Щит_спец)+COUNTIFS(Однолинейка!$J$3:$J$3000,C415,Однолинейка!$A$3:$A$3000,Щит_спец)+COUNTIFS(Однолинейка!$K$3:$K$3000,C415,Однолинейка!$A$3:$A$3000,Щит_спец)),IF(A415="Модуль",IF(C415="","",COUNTIFS(Однолинейка!$AW$3:$AW$3000,"?*",Однолинейка!$AI$3:$AI$3000,C415,Однолинейка!$A$3:$A$3000,Щит_спец)),IF(A415="Клемма",IF(C415="","",IF(C415=$S$7,SUMIFS(Однолинейка!$BW$3:$BW$3000,Однолинейка!$A$3:$A$3000,Щит_спец),IF(C415=$S$8,SUMIFS(Однолинейка!$BX$3:$BX$3000,Однолинейка!$A$3:$A$3000,Щит_спец),""))),""))))</f>
        <v/>
      </c>
      <c r="O415" s="74"/>
      <c r="P415" s="38" t="str">
        <f t="shared" si="54"/>
        <v/>
      </c>
      <c r="U415" s="38" t="str">
        <f t="shared" si="55"/>
        <v/>
      </c>
      <c r="V415" s="38" t="str">
        <f t="shared" si="56"/>
        <v/>
      </c>
      <c r="W415" s="38" t="str">
        <f>IF(AND(U415&lt;&gt;"",OR($S$4="(все)",B415=$S$4),IF($S$4="(все)",COUNTIF($U$4:U415,U415),COUNTIFS($U$4:U415,U415,$B$4:B415,B415))=1),MAX($W$3:W414)+1,"")</f>
        <v/>
      </c>
      <c r="X415" s="38" t="str">
        <f t="shared" si="57"/>
        <v/>
      </c>
      <c r="Y415" s="38" t="str">
        <f>IF(AND(A415="Аппарат",C415&lt;&gt;"",OR($S$5="(все)",B415=$S$5)),MAX($Y$3:Y414)+1,"")</f>
        <v/>
      </c>
      <c r="Z415" s="38" t="str">
        <f t="shared" si="58"/>
        <v/>
      </c>
      <c r="AA415" s="38" t="str">
        <f>IF(AND(A415="Модуль",C415&lt;&gt;"",OR($S$6="(все)",B415=$S$6)),MAX($AA$3:AA414)+1,"")</f>
        <v/>
      </c>
      <c r="AB415" s="38" t="str">
        <f t="shared" si="59"/>
        <v/>
      </c>
      <c r="AC415" s="38" t="str">
        <f>IF(OR(B415="",COUNTIF($B$4:B415,B415)&gt;1),"",MAX($AC$3:AC414)+1)</f>
        <v/>
      </c>
      <c r="AD415" s="38" t="str">
        <f t="shared" si="60"/>
        <v/>
      </c>
      <c r="AE415" s="38" t="str">
        <f t="shared" si="61"/>
        <v/>
      </c>
      <c r="AF415" s="38" t="str">
        <f t="shared" si="62"/>
        <v/>
      </c>
    </row>
    <row r="416" spans="1:32" x14ac:dyDescent="0.3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38" t="str">
        <f>IF(OR(A416="Автомат",A416="Дифавтомат"),IF(W416="","",COUNTIFS(Однолинейка!$H$3:$H$3000,U416,Однолинейка!$A$3:$A$3000,Щит_спец)),IF(A416="Аппарат",IF(C416="","",COUNTIFS(Однолинейка!$I$3:$I$3000,C416,Однолинейка!$A$3:$A$3000,Щит_спец)+COUNTIFS(Однолинейка!$J$3:$J$3000,C416,Однолинейка!$A$3:$A$3000,Щит_спец)+COUNTIFS(Однолинейка!$K$3:$K$3000,C416,Однолинейка!$A$3:$A$3000,Щит_спец)),IF(A416="Модуль",IF(C416="","",COUNTIFS(Однолинейка!$AW$3:$AW$3000,"?*",Однолинейка!$AI$3:$AI$3000,C416,Однолинейка!$A$3:$A$3000,Щит_спец)),IF(A416="Клемма",IF(C416="","",IF(C416=$S$7,SUMIFS(Однолинейка!$BW$3:$BW$3000,Однолинейка!$A$3:$A$3000,Щит_спец),IF(C416=$S$8,SUMIFS(Однолинейка!$BX$3:$BX$3000,Однолинейка!$A$3:$A$3000,Щит_спец),""))),""))))</f>
        <v/>
      </c>
      <c r="O416" s="74"/>
      <c r="P416" s="38" t="str">
        <f t="shared" si="54"/>
        <v/>
      </c>
      <c r="U416" s="38" t="str">
        <f t="shared" si="55"/>
        <v/>
      </c>
      <c r="V416" s="38" t="str">
        <f t="shared" si="56"/>
        <v/>
      </c>
      <c r="W416" s="38" t="str">
        <f>IF(AND(U416&lt;&gt;"",OR($S$4="(все)",B416=$S$4),IF($S$4="(все)",COUNTIF($U$4:U416,U416),COUNTIFS($U$4:U416,U416,$B$4:B416,B416))=1),MAX($W$3:W415)+1,"")</f>
        <v/>
      </c>
      <c r="X416" s="38" t="str">
        <f t="shared" si="57"/>
        <v/>
      </c>
      <c r="Y416" s="38" t="str">
        <f>IF(AND(A416="Аппарат",C416&lt;&gt;"",OR($S$5="(все)",B416=$S$5)),MAX($Y$3:Y415)+1,"")</f>
        <v/>
      </c>
      <c r="Z416" s="38" t="str">
        <f t="shared" si="58"/>
        <v/>
      </c>
      <c r="AA416" s="38" t="str">
        <f>IF(AND(A416="Модуль",C416&lt;&gt;"",OR($S$6="(все)",B416=$S$6)),MAX($AA$3:AA415)+1,"")</f>
        <v/>
      </c>
      <c r="AB416" s="38" t="str">
        <f t="shared" si="59"/>
        <v/>
      </c>
      <c r="AC416" s="38" t="str">
        <f>IF(OR(B416="",COUNTIF($B$4:B416,B416)&gt;1),"",MAX($AC$3:AC415)+1)</f>
        <v/>
      </c>
      <c r="AD416" s="38" t="str">
        <f t="shared" si="60"/>
        <v/>
      </c>
      <c r="AE416" s="38" t="str">
        <f t="shared" si="61"/>
        <v/>
      </c>
      <c r="AF416" s="38" t="str">
        <f t="shared" si="62"/>
        <v/>
      </c>
    </row>
    <row r="417" spans="1:32" x14ac:dyDescent="0.3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38" t="str">
        <f>IF(OR(A417="Автомат",A417="Дифавтомат"),IF(W417="","",COUNTIFS(Однолинейка!$H$3:$H$3000,U417,Однолинейка!$A$3:$A$3000,Щит_спец)),IF(A417="Аппарат",IF(C417="","",COUNTIFS(Однолинейка!$I$3:$I$3000,C417,Однолинейка!$A$3:$A$3000,Щит_спец)+COUNTIFS(Однолинейка!$J$3:$J$3000,C417,Однолинейка!$A$3:$A$3000,Щит_спец)+COUNTIFS(Однолинейка!$K$3:$K$3000,C417,Однолинейка!$A$3:$A$3000,Щит_спец)),IF(A417="Модуль",IF(C417="","",COUNTIFS(Однолинейка!$AW$3:$AW$3000,"?*",Однолинейка!$AI$3:$AI$3000,C417,Однолинейка!$A$3:$A$3000,Щит_спец)),IF(A417="Клемма",IF(C417="","",IF(C417=$S$7,SUMIFS(Однолинейка!$BW$3:$BW$3000,Однолинейка!$A$3:$A$3000,Щит_спец),IF(C417=$S$8,SUMIFS(Однолинейка!$BX$3:$BX$3000,Однолинейка!$A$3:$A$3000,Щит_спец),""))),""))))</f>
        <v/>
      </c>
      <c r="O417" s="74"/>
      <c r="P417" s="38" t="str">
        <f t="shared" si="54"/>
        <v/>
      </c>
      <c r="U417" s="38" t="str">
        <f t="shared" si="55"/>
        <v/>
      </c>
      <c r="V417" s="38" t="str">
        <f t="shared" si="56"/>
        <v/>
      </c>
      <c r="W417" s="38" t="str">
        <f>IF(AND(U417&lt;&gt;"",OR($S$4="(все)",B417=$S$4),IF($S$4="(все)",COUNTIF($U$4:U417,U417),COUNTIFS($U$4:U417,U417,$B$4:B417,B417))=1),MAX($W$3:W416)+1,"")</f>
        <v/>
      </c>
      <c r="X417" s="38" t="str">
        <f t="shared" si="57"/>
        <v/>
      </c>
      <c r="Y417" s="38" t="str">
        <f>IF(AND(A417="Аппарат",C417&lt;&gt;"",OR($S$5="(все)",B417=$S$5)),MAX($Y$3:Y416)+1,"")</f>
        <v/>
      </c>
      <c r="Z417" s="38" t="str">
        <f t="shared" si="58"/>
        <v/>
      </c>
      <c r="AA417" s="38" t="str">
        <f>IF(AND(A417="Модуль",C417&lt;&gt;"",OR($S$6="(все)",B417=$S$6)),MAX($AA$3:AA416)+1,"")</f>
        <v/>
      </c>
      <c r="AB417" s="38" t="str">
        <f t="shared" si="59"/>
        <v/>
      </c>
      <c r="AC417" s="38" t="str">
        <f>IF(OR(B417="",COUNTIF($B$4:B417,B417)&gt;1),"",MAX($AC$3:AC416)+1)</f>
        <v/>
      </c>
      <c r="AD417" s="38" t="str">
        <f t="shared" si="60"/>
        <v/>
      </c>
      <c r="AE417" s="38" t="str">
        <f t="shared" si="61"/>
        <v/>
      </c>
      <c r="AF417" s="38" t="str">
        <f t="shared" si="62"/>
        <v/>
      </c>
    </row>
    <row r="418" spans="1:32" x14ac:dyDescent="0.3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38" t="str">
        <f>IF(OR(A418="Автомат",A418="Дифавтомат"),IF(W418="","",COUNTIFS(Однолинейка!$H$3:$H$3000,U418,Однолинейка!$A$3:$A$3000,Щит_спец)),IF(A418="Аппарат",IF(C418="","",COUNTIFS(Однолинейка!$I$3:$I$3000,C418,Однолинейка!$A$3:$A$3000,Щит_спец)+COUNTIFS(Однолинейка!$J$3:$J$3000,C418,Однолинейка!$A$3:$A$3000,Щит_спец)+COUNTIFS(Однолинейка!$K$3:$K$3000,C418,Однолинейка!$A$3:$A$3000,Щит_спец)),IF(A418="Модуль",IF(C418="","",COUNTIFS(Однолинейка!$AW$3:$AW$3000,"?*",Однолинейка!$AI$3:$AI$3000,C418,Однолинейка!$A$3:$A$3000,Щит_спец)),IF(A418="Клемма",IF(C418="","",IF(C418=$S$7,SUMIFS(Однолинейка!$BW$3:$BW$3000,Однолинейка!$A$3:$A$3000,Щит_спец),IF(C418=$S$8,SUMIFS(Однолинейка!$BX$3:$BX$3000,Однолинейка!$A$3:$A$3000,Щит_спец),""))),""))))</f>
        <v/>
      </c>
      <c r="O418" s="74"/>
      <c r="P418" s="38" t="str">
        <f t="shared" si="54"/>
        <v/>
      </c>
      <c r="U418" s="38" t="str">
        <f t="shared" si="55"/>
        <v/>
      </c>
      <c r="V418" s="38" t="str">
        <f t="shared" si="56"/>
        <v/>
      </c>
      <c r="W418" s="38" t="str">
        <f>IF(AND(U418&lt;&gt;"",OR($S$4="(все)",B418=$S$4),IF($S$4="(все)",COUNTIF($U$4:U418,U418),COUNTIFS($U$4:U418,U418,$B$4:B418,B418))=1),MAX($W$3:W417)+1,"")</f>
        <v/>
      </c>
      <c r="X418" s="38" t="str">
        <f t="shared" si="57"/>
        <v/>
      </c>
      <c r="Y418" s="38" t="str">
        <f>IF(AND(A418="Аппарат",C418&lt;&gt;"",OR($S$5="(все)",B418=$S$5)),MAX($Y$3:Y417)+1,"")</f>
        <v/>
      </c>
      <c r="Z418" s="38" t="str">
        <f t="shared" si="58"/>
        <v/>
      </c>
      <c r="AA418" s="38" t="str">
        <f>IF(AND(A418="Модуль",C418&lt;&gt;"",OR($S$6="(все)",B418=$S$6)),MAX($AA$3:AA417)+1,"")</f>
        <v/>
      </c>
      <c r="AB418" s="38" t="str">
        <f t="shared" si="59"/>
        <v/>
      </c>
      <c r="AC418" s="38" t="str">
        <f>IF(OR(B418="",COUNTIF($B$4:B418,B418)&gt;1),"",MAX($AC$3:AC417)+1)</f>
        <v/>
      </c>
      <c r="AD418" s="38" t="str">
        <f t="shared" si="60"/>
        <v/>
      </c>
      <c r="AE418" s="38" t="str">
        <f t="shared" si="61"/>
        <v/>
      </c>
      <c r="AF418" s="38" t="str">
        <f t="shared" si="62"/>
        <v/>
      </c>
    </row>
    <row r="419" spans="1:32" x14ac:dyDescent="0.3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38" t="str">
        <f>IF(OR(A419="Автомат",A419="Дифавтомат"),IF(W419="","",COUNTIFS(Однолинейка!$H$3:$H$3000,U419,Однолинейка!$A$3:$A$3000,Щит_спец)),IF(A419="Аппарат",IF(C419="","",COUNTIFS(Однолинейка!$I$3:$I$3000,C419,Однолинейка!$A$3:$A$3000,Щит_спец)+COUNTIFS(Однолинейка!$J$3:$J$3000,C419,Однолинейка!$A$3:$A$3000,Щит_спец)+COUNTIFS(Однолинейка!$K$3:$K$3000,C419,Однолинейка!$A$3:$A$3000,Щит_спец)),IF(A419="Модуль",IF(C419="","",COUNTIFS(Однолинейка!$AW$3:$AW$3000,"?*",Однолинейка!$AI$3:$AI$3000,C419,Однолинейка!$A$3:$A$3000,Щит_спец)),IF(A419="Клемма",IF(C419="","",IF(C419=$S$7,SUMIFS(Однолинейка!$BW$3:$BW$3000,Однолинейка!$A$3:$A$3000,Щит_спец),IF(C419=$S$8,SUMIFS(Однолинейка!$BX$3:$BX$3000,Однолинейка!$A$3:$A$3000,Щит_спец),""))),""))))</f>
        <v/>
      </c>
      <c r="O419" s="74"/>
      <c r="P419" s="38" t="str">
        <f t="shared" si="54"/>
        <v/>
      </c>
      <c r="U419" s="38" t="str">
        <f t="shared" si="55"/>
        <v/>
      </c>
      <c r="V419" s="38" t="str">
        <f t="shared" si="56"/>
        <v/>
      </c>
      <c r="W419" s="38" t="str">
        <f>IF(AND(U419&lt;&gt;"",OR($S$4="(все)",B419=$S$4),IF($S$4="(все)",COUNTIF($U$4:U419,U419),COUNTIFS($U$4:U419,U419,$B$4:B419,B419))=1),MAX($W$3:W418)+1,"")</f>
        <v/>
      </c>
      <c r="X419" s="38" t="str">
        <f t="shared" si="57"/>
        <v/>
      </c>
      <c r="Y419" s="38" t="str">
        <f>IF(AND(A419="Аппарат",C419&lt;&gt;"",OR($S$5="(все)",B419=$S$5)),MAX($Y$3:Y418)+1,"")</f>
        <v/>
      </c>
      <c r="Z419" s="38" t="str">
        <f t="shared" si="58"/>
        <v/>
      </c>
      <c r="AA419" s="38" t="str">
        <f>IF(AND(A419="Модуль",C419&lt;&gt;"",OR($S$6="(все)",B419=$S$6)),MAX($AA$3:AA418)+1,"")</f>
        <v/>
      </c>
      <c r="AB419" s="38" t="str">
        <f t="shared" si="59"/>
        <v/>
      </c>
      <c r="AC419" s="38" t="str">
        <f>IF(OR(B419="",COUNTIF($B$4:B419,B419)&gt;1),"",MAX($AC$3:AC418)+1)</f>
        <v/>
      </c>
      <c r="AD419" s="38" t="str">
        <f t="shared" si="60"/>
        <v/>
      </c>
      <c r="AE419" s="38" t="str">
        <f t="shared" si="61"/>
        <v/>
      </c>
      <c r="AF419" s="38" t="str">
        <f t="shared" si="62"/>
        <v/>
      </c>
    </row>
    <row r="420" spans="1:32" x14ac:dyDescent="0.3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38" t="str">
        <f>IF(OR(A420="Автомат",A420="Дифавтомат"),IF(W420="","",COUNTIFS(Однолинейка!$H$3:$H$3000,U420,Однолинейка!$A$3:$A$3000,Щит_спец)),IF(A420="Аппарат",IF(C420="","",COUNTIFS(Однолинейка!$I$3:$I$3000,C420,Однолинейка!$A$3:$A$3000,Щит_спец)+COUNTIFS(Однолинейка!$J$3:$J$3000,C420,Однолинейка!$A$3:$A$3000,Щит_спец)+COUNTIFS(Однолинейка!$K$3:$K$3000,C420,Однолинейка!$A$3:$A$3000,Щит_спец)),IF(A420="Модуль",IF(C420="","",COUNTIFS(Однолинейка!$AW$3:$AW$3000,"?*",Однолинейка!$AI$3:$AI$3000,C420,Однолинейка!$A$3:$A$3000,Щит_спец)),IF(A420="Клемма",IF(C420="","",IF(C420=$S$7,SUMIFS(Однолинейка!$BW$3:$BW$3000,Однолинейка!$A$3:$A$3000,Щит_спец),IF(C420=$S$8,SUMIFS(Однолинейка!$BX$3:$BX$3000,Однолинейка!$A$3:$A$3000,Щит_спец),""))),""))))</f>
        <v/>
      </c>
      <c r="O420" s="74"/>
      <c r="P420" s="38" t="str">
        <f t="shared" si="54"/>
        <v/>
      </c>
      <c r="U420" s="38" t="str">
        <f t="shared" si="55"/>
        <v/>
      </c>
      <c r="V420" s="38" t="str">
        <f t="shared" si="56"/>
        <v/>
      </c>
      <c r="W420" s="38" t="str">
        <f>IF(AND(U420&lt;&gt;"",OR($S$4="(все)",B420=$S$4),IF($S$4="(все)",COUNTIF($U$4:U420,U420),COUNTIFS($U$4:U420,U420,$B$4:B420,B420))=1),MAX($W$3:W419)+1,"")</f>
        <v/>
      </c>
      <c r="X420" s="38" t="str">
        <f t="shared" si="57"/>
        <v/>
      </c>
      <c r="Y420" s="38" t="str">
        <f>IF(AND(A420="Аппарат",C420&lt;&gt;"",OR($S$5="(все)",B420=$S$5)),MAX($Y$3:Y419)+1,"")</f>
        <v/>
      </c>
      <c r="Z420" s="38" t="str">
        <f t="shared" si="58"/>
        <v/>
      </c>
      <c r="AA420" s="38" t="str">
        <f>IF(AND(A420="Модуль",C420&lt;&gt;"",OR($S$6="(все)",B420=$S$6)),MAX($AA$3:AA419)+1,"")</f>
        <v/>
      </c>
      <c r="AB420" s="38" t="str">
        <f t="shared" si="59"/>
        <v/>
      </c>
      <c r="AC420" s="38" t="str">
        <f>IF(OR(B420="",COUNTIF($B$4:B420,B420)&gt;1),"",MAX($AC$3:AC419)+1)</f>
        <v/>
      </c>
      <c r="AD420" s="38" t="str">
        <f t="shared" si="60"/>
        <v/>
      </c>
      <c r="AE420" s="38" t="str">
        <f t="shared" si="61"/>
        <v/>
      </c>
      <c r="AF420" s="38" t="str">
        <f t="shared" si="62"/>
        <v/>
      </c>
    </row>
    <row r="421" spans="1:32" x14ac:dyDescent="0.3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38" t="str">
        <f>IF(OR(A421="Автомат",A421="Дифавтомат"),IF(W421="","",COUNTIFS(Однолинейка!$H$3:$H$3000,U421,Однолинейка!$A$3:$A$3000,Щит_спец)),IF(A421="Аппарат",IF(C421="","",COUNTIFS(Однолинейка!$I$3:$I$3000,C421,Однолинейка!$A$3:$A$3000,Щит_спец)+COUNTIFS(Однолинейка!$J$3:$J$3000,C421,Однолинейка!$A$3:$A$3000,Щит_спец)+COUNTIFS(Однолинейка!$K$3:$K$3000,C421,Однолинейка!$A$3:$A$3000,Щит_спец)),IF(A421="Модуль",IF(C421="","",COUNTIFS(Однолинейка!$AW$3:$AW$3000,"?*",Однолинейка!$AI$3:$AI$3000,C421,Однолинейка!$A$3:$A$3000,Щит_спец)),IF(A421="Клемма",IF(C421="","",IF(C421=$S$7,SUMIFS(Однолинейка!$BW$3:$BW$3000,Однолинейка!$A$3:$A$3000,Щит_спец),IF(C421=$S$8,SUMIFS(Однолинейка!$BX$3:$BX$3000,Однолинейка!$A$3:$A$3000,Щит_спец),""))),""))))</f>
        <v/>
      </c>
      <c r="O421" s="74"/>
      <c r="P421" s="38" t="str">
        <f t="shared" si="54"/>
        <v/>
      </c>
      <c r="U421" s="38" t="str">
        <f t="shared" si="55"/>
        <v/>
      </c>
      <c r="V421" s="38" t="str">
        <f t="shared" si="56"/>
        <v/>
      </c>
      <c r="W421" s="38" t="str">
        <f>IF(AND(U421&lt;&gt;"",OR($S$4="(все)",B421=$S$4),IF($S$4="(все)",COUNTIF($U$4:U421,U421),COUNTIFS($U$4:U421,U421,$B$4:B421,B421))=1),MAX($W$3:W420)+1,"")</f>
        <v/>
      </c>
      <c r="X421" s="38" t="str">
        <f t="shared" si="57"/>
        <v/>
      </c>
      <c r="Y421" s="38" t="str">
        <f>IF(AND(A421="Аппарат",C421&lt;&gt;"",OR($S$5="(все)",B421=$S$5)),MAX($Y$3:Y420)+1,"")</f>
        <v/>
      </c>
      <c r="Z421" s="38" t="str">
        <f t="shared" si="58"/>
        <v/>
      </c>
      <c r="AA421" s="38" t="str">
        <f>IF(AND(A421="Модуль",C421&lt;&gt;"",OR($S$6="(все)",B421=$S$6)),MAX($AA$3:AA420)+1,"")</f>
        <v/>
      </c>
      <c r="AB421" s="38" t="str">
        <f t="shared" si="59"/>
        <v/>
      </c>
      <c r="AC421" s="38" t="str">
        <f>IF(OR(B421="",COUNTIF($B$4:B421,B421)&gt;1),"",MAX($AC$3:AC420)+1)</f>
        <v/>
      </c>
      <c r="AD421" s="38" t="str">
        <f t="shared" si="60"/>
        <v/>
      </c>
      <c r="AE421" s="38" t="str">
        <f t="shared" si="61"/>
        <v/>
      </c>
      <c r="AF421" s="38" t="str">
        <f t="shared" si="62"/>
        <v/>
      </c>
    </row>
    <row r="422" spans="1:32" x14ac:dyDescent="0.3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38" t="str">
        <f>IF(OR(A422="Автомат",A422="Дифавтомат"),IF(W422="","",COUNTIFS(Однолинейка!$H$3:$H$3000,U422,Однолинейка!$A$3:$A$3000,Щит_спец)),IF(A422="Аппарат",IF(C422="","",COUNTIFS(Однолинейка!$I$3:$I$3000,C422,Однолинейка!$A$3:$A$3000,Щит_спец)+COUNTIFS(Однолинейка!$J$3:$J$3000,C422,Однолинейка!$A$3:$A$3000,Щит_спец)+COUNTIFS(Однолинейка!$K$3:$K$3000,C422,Однолинейка!$A$3:$A$3000,Щит_спец)),IF(A422="Модуль",IF(C422="","",COUNTIFS(Однолинейка!$AW$3:$AW$3000,"?*",Однолинейка!$AI$3:$AI$3000,C422,Однолинейка!$A$3:$A$3000,Щит_спец)),IF(A422="Клемма",IF(C422="","",IF(C422=$S$7,SUMIFS(Однолинейка!$BW$3:$BW$3000,Однолинейка!$A$3:$A$3000,Щит_спец),IF(C422=$S$8,SUMIFS(Однолинейка!$BX$3:$BX$3000,Однолинейка!$A$3:$A$3000,Щит_спец),""))),""))))</f>
        <v/>
      </c>
      <c r="O422" s="74"/>
      <c r="P422" s="38" t="str">
        <f t="shared" si="54"/>
        <v/>
      </c>
      <c r="U422" s="38" t="str">
        <f t="shared" si="55"/>
        <v/>
      </c>
      <c r="V422" s="38" t="str">
        <f t="shared" si="56"/>
        <v/>
      </c>
      <c r="W422" s="38" t="str">
        <f>IF(AND(U422&lt;&gt;"",OR($S$4="(все)",B422=$S$4),IF($S$4="(все)",COUNTIF($U$4:U422,U422),COUNTIFS($U$4:U422,U422,$B$4:B422,B422))=1),MAX($W$3:W421)+1,"")</f>
        <v/>
      </c>
      <c r="X422" s="38" t="str">
        <f t="shared" si="57"/>
        <v/>
      </c>
      <c r="Y422" s="38" t="str">
        <f>IF(AND(A422="Аппарат",C422&lt;&gt;"",OR($S$5="(все)",B422=$S$5)),MAX($Y$3:Y421)+1,"")</f>
        <v/>
      </c>
      <c r="Z422" s="38" t="str">
        <f t="shared" si="58"/>
        <v/>
      </c>
      <c r="AA422" s="38" t="str">
        <f>IF(AND(A422="Модуль",C422&lt;&gt;"",OR($S$6="(все)",B422=$S$6)),MAX($AA$3:AA421)+1,"")</f>
        <v/>
      </c>
      <c r="AB422" s="38" t="str">
        <f t="shared" si="59"/>
        <v/>
      </c>
      <c r="AC422" s="38" t="str">
        <f>IF(OR(B422="",COUNTIF($B$4:B422,B422)&gt;1),"",MAX($AC$3:AC421)+1)</f>
        <v/>
      </c>
      <c r="AD422" s="38" t="str">
        <f t="shared" si="60"/>
        <v/>
      </c>
      <c r="AE422" s="38" t="str">
        <f t="shared" si="61"/>
        <v/>
      </c>
      <c r="AF422" s="38" t="str">
        <f t="shared" si="62"/>
        <v/>
      </c>
    </row>
    <row r="423" spans="1:32" x14ac:dyDescent="0.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38" t="str">
        <f>IF(OR(A423="Автомат",A423="Дифавтомат"),IF(W423="","",COUNTIFS(Однолинейка!$H$3:$H$3000,U423,Однолинейка!$A$3:$A$3000,Щит_спец)),IF(A423="Аппарат",IF(C423="","",COUNTIFS(Однолинейка!$I$3:$I$3000,C423,Однолинейка!$A$3:$A$3000,Щит_спец)+COUNTIFS(Однолинейка!$J$3:$J$3000,C423,Однолинейка!$A$3:$A$3000,Щит_спец)+COUNTIFS(Однолинейка!$K$3:$K$3000,C423,Однолинейка!$A$3:$A$3000,Щит_спец)),IF(A423="Модуль",IF(C423="","",COUNTIFS(Однолинейка!$AW$3:$AW$3000,"?*",Однолинейка!$AI$3:$AI$3000,C423,Однолинейка!$A$3:$A$3000,Щит_спец)),IF(A423="Клемма",IF(C423="","",IF(C423=$S$7,SUMIFS(Однолинейка!$BW$3:$BW$3000,Однолинейка!$A$3:$A$3000,Щит_спец),IF(C423=$S$8,SUMIFS(Однолинейка!$BX$3:$BX$3000,Однолинейка!$A$3:$A$3000,Щит_спец),""))),""))))</f>
        <v/>
      </c>
      <c r="O423" s="74"/>
      <c r="P423" s="38" t="str">
        <f t="shared" si="54"/>
        <v/>
      </c>
      <c r="U423" s="38" t="str">
        <f t="shared" si="55"/>
        <v/>
      </c>
      <c r="V423" s="38" t="str">
        <f t="shared" si="56"/>
        <v/>
      </c>
      <c r="W423" s="38" t="str">
        <f>IF(AND(U423&lt;&gt;"",OR($S$4="(все)",B423=$S$4),IF($S$4="(все)",COUNTIF($U$4:U423,U423),COUNTIFS($U$4:U423,U423,$B$4:B423,B423))=1),MAX($W$3:W422)+1,"")</f>
        <v/>
      </c>
      <c r="X423" s="38" t="str">
        <f t="shared" si="57"/>
        <v/>
      </c>
      <c r="Y423" s="38" t="str">
        <f>IF(AND(A423="Аппарат",C423&lt;&gt;"",OR($S$5="(все)",B423=$S$5)),MAX($Y$3:Y422)+1,"")</f>
        <v/>
      </c>
      <c r="Z423" s="38" t="str">
        <f t="shared" si="58"/>
        <v/>
      </c>
      <c r="AA423" s="38" t="str">
        <f>IF(AND(A423="Модуль",C423&lt;&gt;"",OR($S$6="(все)",B423=$S$6)),MAX($AA$3:AA422)+1,"")</f>
        <v/>
      </c>
      <c r="AB423" s="38" t="str">
        <f t="shared" si="59"/>
        <v/>
      </c>
      <c r="AC423" s="38" t="str">
        <f>IF(OR(B423="",COUNTIF($B$4:B423,B423)&gt;1),"",MAX($AC$3:AC422)+1)</f>
        <v/>
      </c>
      <c r="AD423" s="38" t="str">
        <f t="shared" si="60"/>
        <v/>
      </c>
      <c r="AE423" s="38" t="str">
        <f t="shared" si="61"/>
        <v/>
      </c>
      <c r="AF423" s="38" t="str">
        <f t="shared" si="62"/>
        <v/>
      </c>
    </row>
    <row r="424" spans="1:32" x14ac:dyDescent="0.3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38" t="str">
        <f>IF(OR(A424="Автомат",A424="Дифавтомат"),IF(W424="","",COUNTIFS(Однолинейка!$H$3:$H$3000,U424,Однолинейка!$A$3:$A$3000,Щит_спец)),IF(A424="Аппарат",IF(C424="","",COUNTIFS(Однолинейка!$I$3:$I$3000,C424,Однолинейка!$A$3:$A$3000,Щит_спец)+COUNTIFS(Однолинейка!$J$3:$J$3000,C424,Однолинейка!$A$3:$A$3000,Щит_спец)+COUNTIFS(Однолинейка!$K$3:$K$3000,C424,Однолинейка!$A$3:$A$3000,Щит_спец)),IF(A424="Модуль",IF(C424="","",COUNTIFS(Однолинейка!$AW$3:$AW$3000,"?*",Однолинейка!$AI$3:$AI$3000,C424,Однолинейка!$A$3:$A$3000,Щит_спец)),IF(A424="Клемма",IF(C424="","",IF(C424=$S$7,SUMIFS(Однолинейка!$BW$3:$BW$3000,Однолинейка!$A$3:$A$3000,Щит_спец),IF(C424=$S$8,SUMIFS(Однолинейка!$BX$3:$BX$3000,Однолинейка!$A$3:$A$3000,Щит_спец),""))),""))))</f>
        <v/>
      </c>
      <c r="O424" s="74"/>
      <c r="P424" s="38" t="str">
        <f t="shared" si="54"/>
        <v/>
      </c>
      <c r="U424" s="38" t="str">
        <f t="shared" si="55"/>
        <v/>
      </c>
      <c r="V424" s="38" t="str">
        <f t="shared" si="56"/>
        <v/>
      </c>
      <c r="W424" s="38" t="str">
        <f>IF(AND(U424&lt;&gt;"",OR($S$4="(все)",B424=$S$4),IF($S$4="(все)",COUNTIF($U$4:U424,U424),COUNTIFS($U$4:U424,U424,$B$4:B424,B424))=1),MAX($W$3:W423)+1,"")</f>
        <v/>
      </c>
      <c r="X424" s="38" t="str">
        <f t="shared" si="57"/>
        <v/>
      </c>
      <c r="Y424" s="38" t="str">
        <f>IF(AND(A424="Аппарат",C424&lt;&gt;"",OR($S$5="(все)",B424=$S$5)),MAX($Y$3:Y423)+1,"")</f>
        <v/>
      </c>
      <c r="Z424" s="38" t="str">
        <f t="shared" si="58"/>
        <v/>
      </c>
      <c r="AA424" s="38" t="str">
        <f>IF(AND(A424="Модуль",C424&lt;&gt;"",OR($S$6="(все)",B424=$S$6)),MAX($AA$3:AA423)+1,"")</f>
        <v/>
      </c>
      <c r="AB424" s="38" t="str">
        <f t="shared" si="59"/>
        <v/>
      </c>
      <c r="AC424" s="38" t="str">
        <f>IF(OR(B424="",COUNTIF($B$4:B424,B424)&gt;1),"",MAX($AC$3:AC423)+1)</f>
        <v/>
      </c>
      <c r="AD424" s="38" t="str">
        <f t="shared" si="60"/>
        <v/>
      </c>
      <c r="AE424" s="38" t="str">
        <f t="shared" si="61"/>
        <v/>
      </c>
      <c r="AF424" s="38" t="str">
        <f t="shared" si="62"/>
        <v/>
      </c>
    </row>
    <row r="425" spans="1:32" x14ac:dyDescent="0.3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38" t="str">
        <f>IF(OR(A425="Автомат",A425="Дифавтомат"),IF(W425="","",COUNTIFS(Однолинейка!$H$3:$H$3000,U425,Однолинейка!$A$3:$A$3000,Щит_спец)),IF(A425="Аппарат",IF(C425="","",COUNTIFS(Однолинейка!$I$3:$I$3000,C425,Однолинейка!$A$3:$A$3000,Щит_спец)+COUNTIFS(Однолинейка!$J$3:$J$3000,C425,Однолинейка!$A$3:$A$3000,Щит_спец)+COUNTIFS(Однолинейка!$K$3:$K$3000,C425,Однолинейка!$A$3:$A$3000,Щит_спец)),IF(A425="Модуль",IF(C425="","",COUNTIFS(Однолинейка!$AW$3:$AW$3000,"?*",Однолинейка!$AI$3:$AI$3000,C425,Однолинейка!$A$3:$A$3000,Щит_спец)),IF(A425="Клемма",IF(C425="","",IF(C425=$S$7,SUMIFS(Однолинейка!$BW$3:$BW$3000,Однолинейка!$A$3:$A$3000,Щит_спец),IF(C425=$S$8,SUMIFS(Однолинейка!$BX$3:$BX$3000,Однолинейка!$A$3:$A$3000,Щит_спец),""))),""))))</f>
        <v/>
      </c>
      <c r="O425" s="74"/>
      <c r="P425" s="38" t="str">
        <f t="shared" si="54"/>
        <v/>
      </c>
      <c r="U425" s="38" t="str">
        <f t="shared" si="55"/>
        <v/>
      </c>
      <c r="V425" s="38" t="str">
        <f t="shared" si="56"/>
        <v/>
      </c>
      <c r="W425" s="38" t="str">
        <f>IF(AND(U425&lt;&gt;"",OR($S$4="(все)",B425=$S$4),IF($S$4="(все)",COUNTIF($U$4:U425,U425),COUNTIFS($U$4:U425,U425,$B$4:B425,B425))=1),MAX($W$3:W424)+1,"")</f>
        <v/>
      </c>
      <c r="X425" s="38" t="str">
        <f t="shared" si="57"/>
        <v/>
      </c>
      <c r="Y425" s="38" t="str">
        <f>IF(AND(A425="Аппарат",C425&lt;&gt;"",OR($S$5="(все)",B425=$S$5)),MAX($Y$3:Y424)+1,"")</f>
        <v/>
      </c>
      <c r="Z425" s="38" t="str">
        <f t="shared" si="58"/>
        <v/>
      </c>
      <c r="AA425" s="38" t="str">
        <f>IF(AND(A425="Модуль",C425&lt;&gt;"",OR($S$6="(все)",B425=$S$6)),MAX($AA$3:AA424)+1,"")</f>
        <v/>
      </c>
      <c r="AB425" s="38" t="str">
        <f t="shared" si="59"/>
        <v/>
      </c>
      <c r="AC425" s="38" t="str">
        <f>IF(OR(B425="",COUNTIF($B$4:B425,B425)&gt;1),"",MAX($AC$3:AC424)+1)</f>
        <v/>
      </c>
      <c r="AD425" s="38" t="str">
        <f t="shared" si="60"/>
        <v/>
      </c>
      <c r="AE425" s="38" t="str">
        <f t="shared" si="61"/>
        <v/>
      </c>
      <c r="AF425" s="38" t="str">
        <f t="shared" si="62"/>
        <v/>
      </c>
    </row>
    <row r="426" spans="1:32" x14ac:dyDescent="0.3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38" t="str">
        <f>IF(OR(A426="Автомат",A426="Дифавтомат"),IF(W426="","",COUNTIFS(Однолинейка!$H$3:$H$3000,U426,Однолинейка!$A$3:$A$3000,Щит_спец)),IF(A426="Аппарат",IF(C426="","",COUNTIFS(Однолинейка!$I$3:$I$3000,C426,Однолинейка!$A$3:$A$3000,Щит_спец)+COUNTIFS(Однолинейка!$J$3:$J$3000,C426,Однолинейка!$A$3:$A$3000,Щит_спец)+COUNTIFS(Однолинейка!$K$3:$K$3000,C426,Однолинейка!$A$3:$A$3000,Щит_спец)),IF(A426="Модуль",IF(C426="","",COUNTIFS(Однолинейка!$AW$3:$AW$3000,"?*",Однолинейка!$AI$3:$AI$3000,C426,Однолинейка!$A$3:$A$3000,Щит_спец)),IF(A426="Клемма",IF(C426="","",IF(C426=$S$7,SUMIFS(Однолинейка!$BW$3:$BW$3000,Однолинейка!$A$3:$A$3000,Щит_спец),IF(C426=$S$8,SUMIFS(Однолинейка!$BX$3:$BX$3000,Однолинейка!$A$3:$A$3000,Щит_спец),""))),""))))</f>
        <v/>
      </c>
      <c r="O426" s="74"/>
      <c r="P426" s="38" t="str">
        <f t="shared" si="54"/>
        <v/>
      </c>
      <c r="U426" s="38" t="str">
        <f t="shared" si="55"/>
        <v/>
      </c>
      <c r="V426" s="38" t="str">
        <f t="shared" si="56"/>
        <v/>
      </c>
      <c r="W426" s="38" t="str">
        <f>IF(AND(U426&lt;&gt;"",OR($S$4="(все)",B426=$S$4),IF($S$4="(все)",COUNTIF($U$4:U426,U426),COUNTIFS($U$4:U426,U426,$B$4:B426,B426))=1),MAX($W$3:W425)+1,"")</f>
        <v/>
      </c>
      <c r="X426" s="38" t="str">
        <f t="shared" si="57"/>
        <v/>
      </c>
      <c r="Y426" s="38" t="str">
        <f>IF(AND(A426="Аппарат",C426&lt;&gt;"",OR($S$5="(все)",B426=$S$5)),MAX($Y$3:Y425)+1,"")</f>
        <v/>
      </c>
      <c r="Z426" s="38" t="str">
        <f t="shared" si="58"/>
        <v/>
      </c>
      <c r="AA426" s="38" t="str">
        <f>IF(AND(A426="Модуль",C426&lt;&gt;"",OR($S$6="(все)",B426=$S$6)),MAX($AA$3:AA425)+1,"")</f>
        <v/>
      </c>
      <c r="AB426" s="38" t="str">
        <f t="shared" si="59"/>
        <v/>
      </c>
      <c r="AC426" s="38" t="str">
        <f>IF(OR(B426="",COUNTIF($B$4:B426,B426)&gt;1),"",MAX($AC$3:AC425)+1)</f>
        <v/>
      </c>
      <c r="AD426" s="38" t="str">
        <f t="shared" si="60"/>
        <v/>
      </c>
      <c r="AE426" s="38" t="str">
        <f t="shared" si="61"/>
        <v/>
      </c>
      <c r="AF426" s="38" t="str">
        <f t="shared" si="62"/>
        <v/>
      </c>
    </row>
    <row r="427" spans="1:32" x14ac:dyDescent="0.3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38" t="str">
        <f>IF(OR(A427="Автомат",A427="Дифавтомат"),IF(W427="","",COUNTIFS(Однолинейка!$H$3:$H$3000,U427,Однолинейка!$A$3:$A$3000,Щит_спец)),IF(A427="Аппарат",IF(C427="","",COUNTIFS(Однолинейка!$I$3:$I$3000,C427,Однолинейка!$A$3:$A$3000,Щит_спец)+COUNTIFS(Однолинейка!$J$3:$J$3000,C427,Однолинейка!$A$3:$A$3000,Щит_спец)+COUNTIFS(Однолинейка!$K$3:$K$3000,C427,Однолинейка!$A$3:$A$3000,Щит_спец)),IF(A427="Модуль",IF(C427="","",COUNTIFS(Однолинейка!$AW$3:$AW$3000,"?*",Однолинейка!$AI$3:$AI$3000,C427,Однолинейка!$A$3:$A$3000,Щит_спец)),IF(A427="Клемма",IF(C427="","",IF(C427=$S$7,SUMIFS(Однолинейка!$BW$3:$BW$3000,Однолинейка!$A$3:$A$3000,Щит_спец),IF(C427=$S$8,SUMIFS(Однолинейка!$BX$3:$BX$3000,Однолинейка!$A$3:$A$3000,Щит_спец),""))),""))))</f>
        <v/>
      </c>
      <c r="O427" s="74"/>
      <c r="P427" s="38" t="str">
        <f t="shared" si="54"/>
        <v/>
      </c>
      <c r="U427" s="38" t="str">
        <f t="shared" si="55"/>
        <v/>
      </c>
      <c r="V427" s="38" t="str">
        <f t="shared" si="56"/>
        <v/>
      </c>
      <c r="W427" s="38" t="str">
        <f>IF(AND(U427&lt;&gt;"",OR($S$4="(все)",B427=$S$4),IF($S$4="(все)",COUNTIF($U$4:U427,U427),COUNTIFS($U$4:U427,U427,$B$4:B427,B427))=1),MAX($W$3:W426)+1,"")</f>
        <v/>
      </c>
      <c r="X427" s="38" t="str">
        <f t="shared" si="57"/>
        <v/>
      </c>
      <c r="Y427" s="38" t="str">
        <f>IF(AND(A427="Аппарат",C427&lt;&gt;"",OR($S$5="(все)",B427=$S$5)),MAX($Y$3:Y426)+1,"")</f>
        <v/>
      </c>
      <c r="Z427" s="38" t="str">
        <f t="shared" si="58"/>
        <v/>
      </c>
      <c r="AA427" s="38" t="str">
        <f>IF(AND(A427="Модуль",C427&lt;&gt;"",OR($S$6="(все)",B427=$S$6)),MAX($AA$3:AA426)+1,"")</f>
        <v/>
      </c>
      <c r="AB427" s="38" t="str">
        <f t="shared" si="59"/>
        <v/>
      </c>
      <c r="AC427" s="38" t="str">
        <f>IF(OR(B427="",COUNTIF($B$4:B427,B427)&gt;1),"",MAX($AC$3:AC426)+1)</f>
        <v/>
      </c>
      <c r="AD427" s="38" t="str">
        <f t="shared" si="60"/>
        <v/>
      </c>
      <c r="AE427" s="38" t="str">
        <f t="shared" si="61"/>
        <v/>
      </c>
      <c r="AF427" s="38" t="str">
        <f t="shared" si="62"/>
        <v/>
      </c>
    </row>
    <row r="428" spans="1:32" x14ac:dyDescent="0.3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38" t="str">
        <f>IF(OR(A428="Автомат",A428="Дифавтомат"),IF(W428="","",COUNTIFS(Однолинейка!$H$3:$H$3000,U428,Однолинейка!$A$3:$A$3000,Щит_спец)),IF(A428="Аппарат",IF(C428="","",COUNTIFS(Однолинейка!$I$3:$I$3000,C428,Однолинейка!$A$3:$A$3000,Щит_спец)+COUNTIFS(Однолинейка!$J$3:$J$3000,C428,Однолинейка!$A$3:$A$3000,Щит_спец)+COUNTIFS(Однолинейка!$K$3:$K$3000,C428,Однолинейка!$A$3:$A$3000,Щит_спец)),IF(A428="Модуль",IF(C428="","",COUNTIFS(Однолинейка!$AW$3:$AW$3000,"?*",Однолинейка!$AI$3:$AI$3000,C428,Однолинейка!$A$3:$A$3000,Щит_спец)),IF(A428="Клемма",IF(C428="","",IF(C428=$S$7,SUMIFS(Однолинейка!$BW$3:$BW$3000,Однолинейка!$A$3:$A$3000,Щит_спец),IF(C428=$S$8,SUMIFS(Однолинейка!$BX$3:$BX$3000,Однолинейка!$A$3:$A$3000,Щит_спец),""))),""))))</f>
        <v/>
      </c>
      <c r="O428" s="74"/>
      <c r="P428" s="38" t="str">
        <f t="shared" si="54"/>
        <v/>
      </c>
      <c r="U428" s="38" t="str">
        <f t="shared" si="55"/>
        <v/>
      </c>
      <c r="V428" s="38" t="str">
        <f t="shared" si="56"/>
        <v/>
      </c>
      <c r="W428" s="38" t="str">
        <f>IF(AND(U428&lt;&gt;"",OR($S$4="(все)",B428=$S$4),IF($S$4="(все)",COUNTIF($U$4:U428,U428),COUNTIFS($U$4:U428,U428,$B$4:B428,B428))=1),MAX($W$3:W427)+1,"")</f>
        <v/>
      </c>
      <c r="X428" s="38" t="str">
        <f t="shared" si="57"/>
        <v/>
      </c>
      <c r="Y428" s="38" t="str">
        <f>IF(AND(A428="Аппарат",C428&lt;&gt;"",OR($S$5="(все)",B428=$S$5)),MAX($Y$3:Y427)+1,"")</f>
        <v/>
      </c>
      <c r="Z428" s="38" t="str">
        <f t="shared" si="58"/>
        <v/>
      </c>
      <c r="AA428" s="38" t="str">
        <f>IF(AND(A428="Модуль",C428&lt;&gt;"",OR($S$6="(все)",B428=$S$6)),MAX($AA$3:AA427)+1,"")</f>
        <v/>
      </c>
      <c r="AB428" s="38" t="str">
        <f t="shared" si="59"/>
        <v/>
      </c>
      <c r="AC428" s="38" t="str">
        <f>IF(OR(B428="",COUNTIF($B$4:B428,B428)&gt;1),"",MAX($AC$3:AC427)+1)</f>
        <v/>
      </c>
      <c r="AD428" s="38" t="str">
        <f t="shared" si="60"/>
        <v/>
      </c>
      <c r="AE428" s="38" t="str">
        <f t="shared" si="61"/>
        <v/>
      </c>
      <c r="AF428" s="38" t="str">
        <f t="shared" si="62"/>
        <v/>
      </c>
    </row>
    <row r="429" spans="1:32" x14ac:dyDescent="0.3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38" t="str">
        <f>IF(OR(A429="Автомат",A429="Дифавтомат"),IF(W429="","",COUNTIFS(Однолинейка!$H$3:$H$3000,U429,Однолинейка!$A$3:$A$3000,Щит_спец)),IF(A429="Аппарат",IF(C429="","",COUNTIFS(Однолинейка!$I$3:$I$3000,C429,Однолинейка!$A$3:$A$3000,Щит_спец)+COUNTIFS(Однолинейка!$J$3:$J$3000,C429,Однолинейка!$A$3:$A$3000,Щит_спец)+COUNTIFS(Однолинейка!$K$3:$K$3000,C429,Однолинейка!$A$3:$A$3000,Щит_спец)),IF(A429="Модуль",IF(C429="","",COUNTIFS(Однолинейка!$AW$3:$AW$3000,"?*",Однолинейка!$AI$3:$AI$3000,C429,Однолинейка!$A$3:$A$3000,Щит_спец)),IF(A429="Клемма",IF(C429="","",IF(C429=$S$7,SUMIFS(Однолинейка!$BW$3:$BW$3000,Однолинейка!$A$3:$A$3000,Щит_спец),IF(C429=$S$8,SUMIFS(Однолинейка!$BX$3:$BX$3000,Однолинейка!$A$3:$A$3000,Щит_спец),""))),""))))</f>
        <v/>
      </c>
      <c r="O429" s="74"/>
      <c r="P429" s="38" t="str">
        <f t="shared" si="54"/>
        <v/>
      </c>
      <c r="U429" s="38" t="str">
        <f t="shared" si="55"/>
        <v/>
      </c>
      <c r="V429" s="38" t="str">
        <f t="shared" si="56"/>
        <v/>
      </c>
      <c r="W429" s="38" t="str">
        <f>IF(AND(U429&lt;&gt;"",OR($S$4="(все)",B429=$S$4),IF($S$4="(все)",COUNTIF($U$4:U429,U429),COUNTIFS($U$4:U429,U429,$B$4:B429,B429))=1),MAX($W$3:W428)+1,"")</f>
        <v/>
      </c>
      <c r="X429" s="38" t="str">
        <f t="shared" si="57"/>
        <v/>
      </c>
      <c r="Y429" s="38" t="str">
        <f>IF(AND(A429="Аппарат",C429&lt;&gt;"",OR($S$5="(все)",B429=$S$5)),MAX($Y$3:Y428)+1,"")</f>
        <v/>
      </c>
      <c r="Z429" s="38" t="str">
        <f t="shared" si="58"/>
        <v/>
      </c>
      <c r="AA429" s="38" t="str">
        <f>IF(AND(A429="Модуль",C429&lt;&gt;"",OR($S$6="(все)",B429=$S$6)),MAX($AA$3:AA428)+1,"")</f>
        <v/>
      </c>
      <c r="AB429" s="38" t="str">
        <f t="shared" si="59"/>
        <v/>
      </c>
      <c r="AC429" s="38" t="str">
        <f>IF(OR(B429="",COUNTIF($B$4:B429,B429)&gt;1),"",MAX($AC$3:AC428)+1)</f>
        <v/>
      </c>
      <c r="AD429" s="38" t="str">
        <f t="shared" si="60"/>
        <v/>
      </c>
      <c r="AE429" s="38" t="str">
        <f t="shared" si="61"/>
        <v/>
      </c>
      <c r="AF429" s="38" t="str">
        <f t="shared" si="62"/>
        <v/>
      </c>
    </row>
    <row r="430" spans="1:32" x14ac:dyDescent="0.3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38" t="str">
        <f>IF(OR(A430="Автомат",A430="Дифавтомат"),IF(W430="","",COUNTIFS(Однолинейка!$H$3:$H$3000,U430,Однолинейка!$A$3:$A$3000,Щит_спец)),IF(A430="Аппарат",IF(C430="","",COUNTIFS(Однолинейка!$I$3:$I$3000,C430,Однолинейка!$A$3:$A$3000,Щит_спец)+COUNTIFS(Однолинейка!$J$3:$J$3000,C430,Однолинейка!$A$3:$A$3000,Щит_спец)+COUNTIFS(Однолинейка!$K$3:$K$3000,C430,Однолинейка!$A$3:$A$3000,Щит_спец)),IF(A430="Модуль",IF(C430="","",COUNTIFS(Однолинейка!$AW$3:$AW$3000,"?*",Однолинейка!$AI$3:$AI$3000,C430,Однолинейка!$A$3:$A$3000,Щит_спец)),IF(A430="Клемма",IF(C430="","",IF(C430=$S$7,SUMIFS(Однолинейка!$BW$3:$BW$3000,Однолинейка!$A$3:$A$3000,Щит_спец),IF(C430=$S$8,SUMIFS(Однолинейка!$BX$3:$BX$3000,Однолинейка!$A$3:$A$3000,Щит_спец),""))),""))))</f>
        <v/>
      </c>
      <c r="O430" s="74"/>
      <c r="P430" s="38" t="str">
        <f t="shared" si="54"/>
        <v/>
      </c>
      <c r="U430" s="38" t="str">
        <f t="shared" si="55"/>
        <v/>
      </c>
      <c r="V430" s="38" t="str">
        <f t="shared" si="56"/>
        <v/>
      </c>
      <c r="W430" s="38" t="str">
        <f>IF(AND(U430&lt;&gt;"",OR($S$4="(все)",B430=$S$4),IF($S$4="(все)",COUNTIF($U$4:U430,U430),COUNTIFS($U$4:U430,U430,$B$4:B430,B430))=1),MAX($W$3:W429)+1,"")</f>
        <v/>
      </c>
      <c r="X430" s="38" t="str">
        <f t="shared" si="57"/>
        <v/>
      </c>
      <c r="Y430" s="38" t="str">
        <f>IF(AND(A430="Аппарат",C430&lt;&gt;"",OR($S$5="(все)",B430=$S$5)),MAX($Y$3:Y429)+1,"")</f>
        <v/>
      </c>
      <c r="Z430" s="38" t="str">
        <f t="shared" si="58"/>
        <v/>
      </c>
      <c r="AA430" s="38" t="str">
        <f>IF(AND(A430="Модуль",C430&lt;&gt;"",OR($S$6="(все)",B430=$S$6)),MAX($AA$3:AA429)+1,"")</f>
        <v/>
      </c>
      <c r="AB430" s="38" t="str">
        <f t="shared" si="59"/>
        <v/>
      </c>
      <c r="AC430" s="38" t="str">
        <f>IF(OR(B430="",COUNTIF($B$4:B430,B430)&gt;1),"",MAX($AC$3:AC429)+1)</f>
        <v/>
      </c>
      <c r="AD430" s="38" t="str">
        <f t="shared" si="60"/>
        <v/>
      </c>
      <c r="AE430" s="38" t="str">
        <f t="shared" si="61"/>
        <v/>
      </c>
      <c r="AF430" s="38" t="str">
        <f t="shared" si="62"/>
        <v/>
      </c>
    </row>
    <row r="431" spans="1:32" x14ac:dyDescent="0.3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38" t="str">
        <f>IF(OR(A431="Автомат",A431="Дифавтомат"),IF(W431="","",COUNTIFS(Однолинейка!$H$3:$H$3000,U431,Однолинейка!$A$3:$A$3000,Щит_спец)),IF(A431="Аппарат",IF(C431="","",COUNTIFS(Однолинейка!$I$3:$I$3000,C431,Однолинейка!$A$3:$A$3000,Щит_спец)+COUNTIFS(Однолинейка!$J$3:$J$3000,C431,Однолинейка!$A$3:$A$3000,Щит_спец)+COUNTIFS(Однолинейка!$K$3:$K$3000,C431,Однолинейка!$A$3:$A$3000,Щит_спец)),IF(A431="Модуль",IF(C431="","",COUNTIFS(Однолинейка!$AW$3:$AW$3000,"?*",Однолинейка!$AI$3:$AI$3000,C431,Однолинейка!$A$3:$A$3000,Щит_спец)),IF(A431="Клемма",IF(C431="","",IF(C431=$S$7,SUMIFS(Однолинейка!$BW$3:$BW$3000,Однолинейка!$A$3:$A$3000,Щит_спец),IF(C431=$S$8,SUMIFS(Однолинейка!$BX$3:$BX$3000,Однолинейка!$A$3:$A$3000,Щит_спец),""))),""))))</f>
        <v/>
      </c>
      <c r="O431" s="74"/>
      <c r="P431" s="38" t="str">
        <f t="shared" si="54"/>
        <v/>
      </c>
      <c r="U431" s="38" t="str">
        <f t="shared" si="55"/>
        <v/>
      </c>
      <c r="V431" s="38" t="str">
        <f t="shared" si="56"/>
        <v/>
      </c>
      <c r="W431" s="38" t="str">
        <f>IF(AND(U431&lt;&gt;"",OR($S$4="(все)",B431=$S$4),IF($S$4="(все)",COUNTIF($U$4:U431,U431),COUNTIFS($U$4:U431,U431,$B$4:B431,B431))=1),MAX($W$3:W430)+1,"")</f>
        <v/>
      </c>
      <c r="X431" s="38" t="str">
        <f t="shared" si="57"/>
        <v/>
      </c>
      <c r="Y431" s="38" t="str">
        <f>IF(AND(A431="Аппарат",C431&lt;&gt;"",OR($S$5="(все)",B431=$S$5)),MAX($Y$3:Y430)+1,"")</f>
        <v/>
      </c>
      <c r="Z431" s="38" t="str">
        <f t="shared" si="58"/>
        <v/>
      </c>
      <c r="AA431" s="38" t="str">
        <f>IF(AND(A431="Модуль",C431&lt;&gt;"",OR($S$6="(все)",B431=$S$6)),MAX($AA$3:AA430)+1,"")</f>
        <v/>
      </c>
      <c r="AB431" s="38" t="str">
        <f t="shared" si="59"/>
        <v/>
      </c>
      <c r="AC431" s="38" t="str">
        <f>IF(OR(B431="",COUNTIF($B$4:B431,B431)&gt;1),"",MAX($AC$3:AC430)+1)</f>
        <v/>
      </c>
      <c r="AD431" s="38" t="str">
        <f t="shared" si="60"/>
        <v/>
      </c>
      <c r="AE431" s="38" t="str">
        <f t="shared" si="61"/>
        <v/>
      </c>
      <c r="AF431" s="38" t="str">
        <f t="shared" si="62"/>
        <v/>
      </c>
    </row>
    <row r="432" spans="1:32" x14ac:dyDescent="0.3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38" t="str">
        <f>IF(OR(A432="Автомат",A432="Дифавтомат"),IF(W432="","",COUNTIFS(Однолинейка!$H$3:$H$3000,U432,Однолинейка!$A$3:$A$3000,Щит_спец)),IF(A432="Аппарат",IF(C432="","",COUNTIFS(Однолинейка!$I$3:$I$3000,C432,Однолинейка!$A$3:$A$3000,Щит_спец)+COUNTIFS(Однолинейка!$J$3:$J$3000,C432,Однолинейка!$A$3:$A$3000,Щит_спец)+COUNTIFS(Однолинейка!$K$3:$K$3000,C432,Однолинейка!$A$3:$A$3000,Щит_спец)),IF(A432="Модуль",IF(C432="","",COUNTIFS(Однолинейка!$AW$3:$AW$3000,"?*",Однолинейка!$AI$3:$AI$3000,C432,Однолинейка!$A$3:$A$3000,Щит_спец)),IF(A432="Клемма",IF(C432="","",IF(C432=$S$7,SUMIFS(Однолинейка!$BW$3:$BW$3000,Однолинейка!$A$3:$A$3000,Щит_спец),IF(C432=$S$8,SUMIFS(Однолинейка!$BX$3:$BX$3000,Однолинейка!$A$3:$A$3000,Щит_спец),""))),""))))</f>
        <v/>
      </c>
      <c r="O432" s="74"/>
      <c r="P432" s="38" t="str">
        <f t="shared" si="54"/>
        <v/>
      </c>
      <c r="U432" s="38" t="str">
        <f t="shared" si="55"/>
        <v/>
      </c>
      <c r="V432" s="38" t="str">
        <f t="shared" si="56"/>
        <v/>
      </c>
      <c r="W432" s="38" t="str">
        <f>IF(AND(U432&lt;&gt;"",OR($S$4="(все)",B432=$S$4),IF($S$4="(все)",COUNTIF($U$4:U432,U432),COUNTIFS($U$4:U432,U432,$B$4:B432,B432))=1),MAX($W$3:W431)+1,"")</f>
        <v/>
      </c>
      <c r="X432" s="38" t="str">
        <f t="shared" si="57"/>
        <v/>
      </c>
      <c r="Y432" s="38" t="str">
        <f>IF(AND(A432="Аппарат",C432&lt;&gt;"",OR($S$5="(все)",B432=$S$5)),MAX($Y$3:Y431)+1,"")</f>
        <v/>
      </c>
      <c r="Z432" s="38" t="str">
        <f t="shared" si="58"/>
        <v/>
      </c>
      <c r="AA432" s="38" t="str">
        <f>IF(AND(A432="Модуль",C432&lt;&gt;"",OR($S$6="(все)",B432=$S$6)),MAX($AA$3:AA431)+1,"")</f>
        <v/>
      </c>
      <c r="AB432" s="38" t="str">
        <f t="shared" si="59"/>
        <v/>
      </c>
      <c r="AC432" s="38" t="str">
        <f>IF(OR(B432="",COUNTIF($B$4:B432,B432)&gt;1),"",MAX($AC$3:AC431)+1)</f>
        <v/>
      </c>
      <c r="AD432" s="38" t="str">
        <f t="shared" si="60"/>
        <v/>
      </c>
      <c r="AE432" s="38" t="str">
        <f t="shared" si="61"/>
        <v/>
      </c>
      <c r="AF432" s="38" t="str">
        <f t="shared" si="62"/>
        <v/>
      </c>
    </row>
    <row r="433" spans="1:32" x14ac:dyDescent="0.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38" t="str">
        <f>IF(OR(A433="Автомат",A433="Дифавтомат"),IF(W433="","",COUNTIFS(Однолинейка!$H$3:$H$3000,U433,Однолинейка!$A$3:$A$3000,Щит_спец)),IF(A433="Аппарат",IF(C433="","",COUNTIFS(Однолинейка!$I$3:$I$3000,C433,Однолинейка!$A$3:$A$3000,Щит_спец)+COUNTIFS(Однолинейка!$J$3:$J$3000,C433,Однолинейка!$A$3:$A$3000,Щит_спец)+COUNTIFS(Однолинейка!$K$3:$K$3000,C433,Однолинейка!$A$3:$A$3000,Щит_спец)),IF(A433="Модуль",IF(C433="","",COUNTIFS(Однолинейка!$AW$3:$AW$3000,"?*",Однолинейка!$AI$3:$AI$3000,C433,Однолинейка!$A$3:$A$3000,Щит_спец)),IF(A433="Клемма",IF(C433="","",IF(C433=$S$7,SUMIFS(Однолинейка!$BW$3:$BW$3000,Однолинейка!$A$3:$A$3000,Щит_спец),IF(C433=$S$8,SUMIFS(Однолинейка!$BX$3:$BX$3000,Однолинейка!$A$3:$A$3000,Щит_спец),""))),""))))</f>
        <v/>
      </c>
      <c r="O433" s="74"/>
      <c r="P433" s="38" t="str">
        <f t="shared" si="54"/>
        <v/>
      </c>
      <c r="U433" s="38" t="str">
        <f t="shared" si="55"/>
        <v/>
      </c>
      <c r="V433" s="38" t="str">
        <f t="shared" si="56"/>
        <v/>
      </c>
      <c r="W433" s="38" t="str">
        <f>IF(AND(U433&lt;&gt;"",OR($S$4="(все)",B433=$S$4),IF($S$4="(все)",COUNTIF($U$4:U433,U433),COUNTIFS($U$4:U433,U433,$B$4:B433,B433))=1),MAX($W$3:W432)+1,"")</f>
        <v/>
      </c>
      <c r="X433" s="38" t="str">
        <f t="shared" si="57"/>
        <v/>
      </c>
      <c r="Y433" s="38" t="str">
        <f>IF(AND(A433="Аппарат",C433&lt;&gt;"",OR($S$5="(все)",B433=$S$5)),MAX($Y$3:Y432)+1,"")</f>
        <v/>
      </c>
      <c r="Z433" s="38" t="str">
        <f t="shared" si="58"/>
        <v/>
      </c>
      <c r="AA433" s="38" t="str">
        <f>IF(AND(A433="Модуль",C433&lt;&gt;"",OR($S$6="(все)",B433=$S$6)),MAX($AA$3:AA432)+1,"")</f>
        <v/>
      </c>
      <c r="AB433" s="38" t="str">
        <f t="shared" si="59"/>
        <v/>
      </c>
      <c r="AC433" s="38" t="str">
        <f>IF(OR(B433="",COUNTIF($B$4:B433,B433)&gt;1),"",MAX($AC$3:AC432)+1)</f>
        <v/>
      </c>
      <c r="AD433" s="38" t="str">
        <f t="shared" si="60"/>
        <v/>
      </c>
      <c r="AE433" s="38" t="str">
        <f t="shared" si="61"/>
        <v/>
      </c>
      <c r="AF433" s="38" t="str">
        <f t="shared" si="62"/>
        <v/>
      </c>
    </row>
    <row r="434" spans="1:32" x14ac:dyDescent="0.3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38" t="str">
        <f>IF(OR(A434="Автомат",A434="Дифавтомат"),IF(W434="","",COUNTIFS(Однолинейка!$H$3:$H$3000,U434,Однолинейка!$A$3:$A$3000,Щит_спец)),IF(A434="Аппарат",IF(C434="","",COUNTIFS(Однолинейка!$I$3:$I$3000,C434,Однолинейка!$A$3:$A$3000,Щит_спец)+COUNTIFS(Однолинейка!$J$3:$J$3000,C434,Однолинейка!$A$3:$A$3000,Щит_спец)+COUNTIFS(Однолинейка!$K$3:$K$3000,C434,Однолинейка!$A$3:$A$3000,Щит_спец)),IF(A434="Модуль",IF(C434="","",COUNTIFS(Однолинейка!$AW$3:$AW$3000,"?*",Однолинейка!$AI$3:$AI$3000,C434,Однолинейка!$A$3:$A$3000,Щит_спец)),IF(A434="Клемма",IF(C434="","",IF(C434=$S$7,SUMIFS(Однолинейка!$BW$3:$BW$3000,Однолинейка!$A$3:$A$3000,Щит_спец),IF(C434=$S$8,SUMIFS(Однолинейка!$BX$3:$BX$3000,Однолинейка!$A$3:$A$3000,Щит_спец),""))),""))))</f>
        <v/>
      </c>
      <c r="O434" s="74"/>
      <c r="P434" s="38" t="str">
        <f t="shared" si="54"/>
        <v/>
      </c>
      <c r="U434" s="38" t="str">
        <f t="shared" si="55"/>
        <v/>
      </c>
      <c r="V434" s="38" t="str">
        <f t="shared" si="56"/>
        <v/>
      </c>
      <c r="W434" s="38" t="str">
        <f>IF(AND(U434&lt;&gt;"",OR($S$4="(все)",B434=$S$4),IF($S$4="(все)",COUNTIF($U$4:U434,U434),COUNTIFS($U$4:U434,U434,$B$4:B434,B434))=1),MAX($W$3:W433)+1,"")</f>
        <v/>
      </c>
      <c r="X434" s="38" t="str">
        <f t="shared" si="57"/>
        <v/>
      </c>
      <c r="Y434" s="38" t="str">
        <f>IF(AND(A434="Аппарат",C434&lt;&gt;"",OR($S$5="(все)",B434=$S$5)),MAX($Y$3:Y433)+1,"")</f>
        <v/>
      </c>
      <c r="Z434" s="38" t="str">
        <f t="shared" si="58"/>
        <v/>
      </c>
      <c r="AA434" s="38" t="str">
        <f>IF(AND(A434="Модуль",C434&lt;&gt;"",OR($S$6="(все)",B434=$S$6)),MAX($AA$3:AA433)+1,"")</f>
        <v/>
      </c>
      <c r="AB434" s="38" t="str">
        <f t="shared" si="59"/>
        <v/>
      </c>
      <c r="AC434" s="38" t="str">
        <f>IF(OR(B434="",COUNTIF($B$4:B434,B434)&gt;1),"",MAX($AC$3:AC433)+1)</f>
        <v/>
      </c>
      <c r="AD434" s="38" t="str">
        <f t="shared" si="60"/>
        <v/>
      </c>
      <c r="AE434" s="38" t="str">
        <f t="shared" si="61"/>
        <v/>
      </c>
      <c r="AF434" s="38" t="str">
        <f t="shared" si="62"/>
        <v/>
      </c>
    </row>
    <row r="435" spans="1:32" x14ac:dyDescent="0.3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38" t="str">
        <f>IF(OR(A435="Автомат",A435="Дифавтомат"),IF(W435="","",COUNTIFS(Однолинейка!$H$3:$H$3000,U435,Однолинейка!$A$3:$A$3000,Щит_спец)),IF(A435="Аппарат",IF(C435="","",COUNTIFS(Однолинейка!$I$3:$I$3000,C435,Однолинейка!$A$3:$A$3000,Щит_спец)+COUNTIFS(Однолинейка!$J$3:$J$3000,C435,Однолинейка!$A$3:$A$3000,Щит_спец)+COUNTIFS(Однолинейка!$K$3:$K$3000,C435,Однолинейка!$A$3:$A$3000,Щит_спец)),IF(A435="Модуль",IF(C435="","",COUNTIFS(Однолинейка!$AW$3:$AW$3000,"?*",Однолинейка!$AI$3:$AI$3000,C435,Однолинейка!$A$3:$A$3000,Щит_спец)),IF(A435="Клемма",IF(C435="","",IF(C435=$S$7,SUMIFS(Однолинейка!$BW$3:$BW$3000,Однолинейка!$A$3:$A$3000,Щит_спец),IF(C435=$S$8,SUMIFS(Однолинейка!$BX$3:$BX$3000,Однолинейка!$A$3:$A$3000,Щит_спец),""))),""))))</f>
        <v/>
      </c>
      <c r="O435" s="74"/>
      <c r="P435" s="38" t="str">
        <f t="shared" si="54"/>
        <v/>
      </c>
      <c r="U435" s="38" t="str">
        <f t="shared" si="55"/>
        <v/>
      </c>
      <c r="V435" s="38" t="str">
        <f t="shared" si="56"/>
        <v/>
      </c>
      <c r="W435" s="38" t="str">
        <f>IF(AND(U435&lt;&gt;"",OR($S$4="(все)",B435=$S$4),IF($S$4="(все)",COUNTIF($U$4:U435,U435),COUNTIFS($U$4:U435,U435,$B$4:B435,B435))=1),MAX($W$3:W434)+1,"")</f>
        <v/>
      </c>
      <c r="X435" s="38" t="str">
        <f t="shared" si="57"/>
        <v/>
      </c>
      <c r="Y435" s="38" t="str">
        <f>IF(AND(A435="Аппарат",C435&lt;&gt;"",OR($S$5="(все)",B435=$S$5)),MAX($Y$3:Y434)+1,"")</f>
        <v/>
      </c>
      <c r="Z435" s="38" t="str">
        <f t="shared" si="58"/>
        <v/>
      </c>
      <c r="AA435" s="38" t="str">
        <f>IF(AND(A435="Модуль",C435&lt;&gt;"",OR($S$6="(все)",B435=$S$6)),MAX($AA$3:AA434)+1,"")</f>
        <v/>
      </c>
      <c r="AB435" s="38" t="str">
        <f t="shared" si="59"/>
        <v/>
      </c>
      <c r="AC435" s="38" t="str">
        <f>IF(OR(B435="",COUNTIF($B$4:B435,B435)&gt;1),"",MAX($AC$3:AC434)+1)</f>
        <v/>
      </c>
      <c r="AD435" s="38" t="str">
        <f t="shared" si="60"/>
        <v/>
      </c>
      <c r="AE435" s="38" t="str">
        <f t="shared" si="61"/>
        <v/>
      </c>
      <c r="AF435" s="38" t="str">
        <f t="shared" si="62"/>
        <v/>
      </c>
    </row>
    <row r="436" spans="1:32" x14ac:dyDescent="0.3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38" t="str">
        <f>IF(OR(A436="Автомат",A436="Дифавтомат"),IF(W436="","",COUNTIFS(Однолинейка!$H$3:$H$3000,U436,Однолинейка!$A$3:$A$3000,Щит_спец)),IF(A436="Аппарат",IF(C436="","",COUNTIFS(Однолинейка!$I$3:$I$3000,C436,Однолинейка!$A$3:$A$3000,Щит_спец)+COUNTIFS(Однолинейка!$J$3:$J$3000,C436,Однолинейка!$A$3:$A$3000,Щит_спец)+COUNTIFS(Однолинейка!$K$3:$K$3000,C436,Однолинейка!$A$3:$A$3000,Щит_спец)),IF(A436="Модуль",IF(C436="","",COUNTIFS(Однолинейка!$AW$3:$AW$3000,"?*",Однолинейка!$AI$3:$AI$3000,C436,Однолинейка!$A$3:$A$3000,Щит_спец)),IF(A436="Клемма",IF(C436="","",IF(C436=$S$7,SUMIFS(Однолинейка!$BW$3:$BW$3000,Однолинейка!$A$3:$A$3000,Щит_спец),IF(C436=$S$8,SUMIFS(Однолинейка!$BX$3:$BX$3000,Однолинейка!$A$3:$A$3000,Щит_спец),""))),""))))</f>
        <v/>
      </c>
      <c r="O436" s="74"/>
      <c r="P436" s="38" t="str">
        <f t="shared" si="54"/>
        <v/>
      </c>
      <c r="U436" s="38" t="str">
        <f t="shared" si="55"/>
        <v/>
      </c>
      <c r="V436" s="38" t="str">
        <f t="shared" si="56"/>
        <v/>
      </c>
      <c r="W436" s="38" t="str">
        <f>IF(AND(U436&lt;&gt;"",OR($S$4="(все)",B436=$S$4),IF($S$4="(все)",COUNTIF($U$4:U436,U436),COUNTIFS($U$4:U436,U436,$B$4:B436,B436))=1),MAX($W$3:W435)+1,"")</f>
        <v/>
      </c>
      <c r="X436" s="38" t="str">
        <f t="shared" si="57"/>
        <v/>
      </c>
      <c r="Y436" s="38" t="str">
        <f>IF(AND(A436="Аппарат",C436&lt;&gt;"",OR($S$5="(все)",B436=$S$5)),MAX($Y$3:Y435)+1,"")</f>
        <v/>
      </c>
      <c r="Z436" s="38" t="str">
        <f t="shared" si="58"/>
        <v/>
      </c>
      <c r="AA436" s="38" t="str">
        <f>IF(AND(A436="Модуль",C436&lt;&gt;"",OR($S$6="(все)",B436=$S$6)),MAX($AA$3:AA435)+1,"")</f>
        <v/>
      </c>
      <c r="AB436" s="38" t="str">
        <f t="shared" si="59"/>
        <v/>
      </c>
      <c r="AC436" s="38" t="str">
        <f>IF(OR(B436="",COUNTIF($B$4:B436,B436)&gt;1),"",MAX($AC$3:AC435)+1)</f>
        <v/>
      </c>
      <c r="AD436" s="38" t="str">
        <f t="shared" si="60"/>
        <v/>
      </c>
      <c r="AE436" s="38" t="str">
        <f t="shared" si="61"/>
        <v/>
      </c>
      <c r="AF436" s="38" t="str">
        <f t="shared" si="62"/>
        <v/>
      </c>
    </row>
    <row r="437" spans="1:32" x14ac:dyDescent="0.3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38" t="str">
        <f>IF(OR(A437="Автомат",A437="Дифавтомат"),IF(W437="","",COUNTIFS(Однолинейка!$H$3:$H$3000,U437,Однолинейка!$A$3:$A$3000,Щит_спец)),IF(A437="Аппарат",IF(C437="","",COUNTIFS(Однолинейка!$I$3:$I$3000,C437,Однолинейка!$A$3:$A$3000,Щит_спец)+COUNTIFS(Однолинейка!$J$3:$J$3000,C437,Однолинейка!$A$3:$A$3000,Щит_спец)+COUNTIFS(Однолинейка!$K$3:$K$3000,C437,Однолинейка!$A$3:$A$3000,Щит_спец)),IF(A437="Модуль",IF(C437="","",COUNTIFS(Однолинейка!$AW$3:$AW$3000,"?*",Однолинейка!$AI$3:$AI$3000,C437,Однолинейка!$A$3:$A$3000,Щит_спец)),IF(A437="Клемма",IF(C437="","",IF(C437=$S$7,SUMIFS(Однолинейка!$BW$3:$BW$3000,Однолинейка!$A$3:$A$3000,Щит_спец),IF(C437=$S$8,SUMIFS(Однолинейка!$BX$3:$BX$3000,Однолинейка!$A$3:$A$3000,Щит_спец),""))),""))))</f>
        <v/>
      </c>
      <c r="O437" s="74"/>
      <c r="P437" s="38" t="str">
        <f t="shared" si="54"/>
        <v/>
      </c>
      <c r="U437" s="38" t="str">
        <f t="shared" si="55"/>
        <v/>
      </c>
      <c r="V437" s="38" t="str">
        <f t="shared" si="56"/>
        <v/>
      </c>
      <c r="W437" s="38" t="str">
        <f>IF(AND(U437&lt;&gt;"",OR($S$4="(все)",B437=$S$4),IF($S$4="(все)",COUNTIF($U$4:U437,U437),COUNTIFS($U$4:U437,U437,$B$4:B437,B437))=1),MAX($W$3:W436)+1,"")</f>
        <v/>
      </c>
      <c r="X437" s="38" t="str">
        <f t="shared" si="57"/>
        <v/>
      </c>
      <c r="Y437" s="38" t="str">
        <f>IF(AND(A437="Аппарат",C437&lt;&gt;"",OR($S$5="(все)",B437=$S$5)),MAX($Y$3:Y436)+1,"")</f>
        <v/>
      </c>
      <c r="Z437" s="38" t="str">
        <f t="shared" si="58"/>
        <v/>
      </c>
      <c r="AA437" s="38" t="str">
        <f>IF(AND(A437="Модуль",C437&lt;&gt;"",OR($S$6="(все)",B437=$S$6)),MAX($AA$3:AA436)+1,"")</f>
        <v/>
      </c>
      <c r="AB437" s="38" t="str">
        <f t="shared" si="59"/>
        <v/>
      </c>
      <c r="AC437" s="38" t="str">
        <f>IF(OR(B437="",COUNTIF($B$4:B437,B437)&gt;1),"",MAX($AC$3:AC436)+1)</f>
        <v/>
      </c>
      <c r="AD437" s="38" t="str">
        <f t="shared" si="60"/>
        <v/>
      </c>
      <c r="AE437" s="38" t="str">
        <f t="shared" si="61"/>
        <v/>
      </c>
      <c r="AF437" s="38" t="str">
        <f t="shared" si="62"/>
        <v/>
      </c>
    </row>
    <row r="438" spans="1:32" x14ac:dyDescent="0.3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38" t="str">
        <f>IF(OR(A438="Автомат",A438="Дифавтомат"),IF(W438="","",COUNTIFS(Однолинейка!$H$3:$H$3000,U438,Однолинейка!$A$3:$A$3000,Щит_спец)),IF(A438="Аппарат",IF(C438="","",COUNTIFS(Однолинейка!$I$3:$I$3000,C438,Однолинейка!$A$3:$A$3000,Щит_спец)+COUNTIFS(Однолинейка!$J$3:$J$3000,C438,Однолинейка!$A$3:$A$3000,Щит_спец)+COUNTIFS(Однолинейка!$K$3:$K$3000,C438,Однолинейка!$A$3:$A$3000,Щит_спец)),IF(A438="Модуль",IF(C438="","",COUNTIFS(Однолинейка!$AW$3:$AW$3000,"?*",Однолинейка!$AI$3:$AI$3000,C438,Однолинейка!$A$3:$A$3000,Щит_спец)),IF(A438="Клемма",IF(C438="","",IF(C438=$S$7,SUMIFS(Однолинейка!$BW$3:$BW$3000,Однолинейка!$A$3:$A$3000,Щит_спец),IF(C438=$S$8,SUMIFS(Однолинейка!$BX$3:$BX$3000,Однолинейка!$A$3:$A$3000,Щит_спец),""))),""))))</f>
        <v/>
      </c>
      <c r="O438" s="74"/>
      <c r="P438" s="38" t="str">
        <f t="shared" si="54"/>
        <v/>
      </c>
      <c r="U438" s="38" t="str">
        <f t="shared" si="55"/>
        <v/>
      </c>
      <c r="V438" s="38" t="str">
        <f t="shared" si="56"/>
        <v/>
      </c>
      <c r="W438" s="38" t="str">
        <f>IF(AND(U438&lt;&gt;"",OR($S$4="(все)",B438=$S$4),IF($S$4="(все)",COUNTIF($U$4:U438,U438),COUNTIFS($U$4:U438,U438,$B$4:B438,B438))=1),MAX($W$3:W437)+1,"")</f>
        <v/>
      </c>
      <c r="X438" s="38" t="str">
        <f t="shared" si="57"/>
        <v/>
      </c>
      <c r="Y438" s="38" t="str">
        <f>IF(AND(A438="Аппарат",C438&lt;&gt;"",OR($S$5="(все)",B438=$S$5)),MAX($Y$3:Y437)+1,"")</f>
        <v/>
      </c>
      <c r="Z438" s="38" t="str">
        <f t="shared" si="58"/>
        <v/>
      </c>
      <c r="AA438" s="38" t="str">
        <f>IF(AND(A438="Модуль",C438&lt;&gt;"",OR($S$6="(все)",B438=$S$6)),MAX($AA$3:AA437)+1,"")</f>
        <v/>
      </c>
      <c r="AB438" s="38" t="str">
        <f t="shared" si="59"/>
        <v/>
      </c>
      <c r="AC438" s="38" t="str">
        <f>IF(OR(B438="",COUNTIF($B$4:B438,B438)&gt;1),"",MAX($AC$3:AC437)+1)</f>
        <v/>
      </c>
      <c r="AD438" s="38" t="str">
        <f t="shared" si="60"/>
        <v/>
      </c>
      <c r="AE438" s="38" t="str">
        <f t="shared" si="61"/>
        <v/>
      </c>
      <c r="AF438" s="38" t="str">
        <f t="shared" si="62"/>
        <v/>
      </c>
    </row>
    <row r="439" spans="1:32" x14ac:dyDescent="0.3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38" t="str">
        <f>IF(OR(A439="Автомат",A439="Дифавтомат"),IF(W439="","",COUNTIFS(Однолинейка!$H$3:$H$3000,U439,Однолинейка!$A$3:$A$3000,Щит_спец)),IF(A439="Аппарат",IF(C439="","",COUNTIFS(Однолинейка!$I$3:$I$3000,C439,Однолинейка!$A$3:$A$3000,Щит_спец)+COUNTIFS(Однолинейка!$J$3:$J$3000,C439,Однолинейка!$A$3:$A$3000,Щит_спец)+COUNTIFS(Однолинейка!$K$3:$K$3000,C439,Однолинейка!$A$3:$A$3000,Щит_спец)),IF(A439="Модуль",IF(C439="","",COUNTIFS(Однолинейка!$AW$3:$AW$3000,"?*",Однолинейка!$AI$3:$AI$3000,C439,Однолинейка!$A$3:$A$3000,Щит_спец)),IF(A439="Клемма",IF(C439="","",IF(C439=$S$7,SUMIFS(Однолинейка!$BW$3:$BW$3000,Однолинейка!$A$3:$A$3000,Щит_спец),IF(C439=$S$8,SUMIFS(Однолинейка!$BX$3:$BX$3000,Однолинейка!$A$3:$A$3000,Щит_спец),""))),""))))</f>
        <v/>
      </c>
      <c r="O439" s="74"/>
      <c r="P439" s="38" t="str">
        <f t="shared" si="54"/>
        <v/>
      </c>
      <c r="U439" s="38" t="str">
        <f t="shared" si="55"/>
        <v/>
      </c>
      <c r="V439" s="38" t="str">
        <f t="shared" si="56"/>
        <v/>
      </c>
      <c r="W439" s="38" t="str">
        <f>IF(AND(U439&lt;&gt;"",OR($S$4="(все)",B439=$S$4),IF($S$4="(все)",COUNTIF($U$4:U439,U439),COUNTIFS($U$4:U439,U439,$B$4:B439,B439))=1),MAX($W$3:W438)+1,"")</f>
        <v/>
      </c>
      <c r="X439" s="38" t="str">
        <f t="shared" si="57"/>
        <v/>
      </c>
      <c r="Y439" s="38" t="str">
        <f>IF(AND(A439="Аппарат",C439&lt;&gt;"",OR($S$5="(все)",B439=$S$5)),MAX($Y$3:Y438)+1,"")</f>
        <v/>
      </c>
      <c r="Z439" s="38" t="str">
        <f t="shared" si="58"/>
        <v/>
      </c>
      <c r="AA439" s="38" t="str">
        <f>IF(AND(A439="Модуль",C439&lt;&gt;"",OR($S$6="(все)",B439=$S$6)),MAX($AA$3:AA438)+1,"")</f>
        <v/>
      </c>
      <c r="AB439" s="38" t="str">
        <f t="shared" si="59"/>
        <v/>
      </c>
      <c r="AC439" s="38" t="str">
        <f>IF(OR(B439="",COUNTIF($B$4:B439,B439)&gt;1),"",MAX($AC$3:AC438)+1)</f>
        <v/>
      </c>
      <c r="AD439" s="38" t="str">
        <f t="shared" si="60"/>
        <v/>
      </c>
      <c r="AE439" s="38" t="str">
        <f t="shared" si="61"/>
        <v/>
      </c>
      <c r="AF439" s="38" t="str">
        <f t="shared" si="62"/>
        <v/>
      </c>
    </row>
    <row r="440" spans="1:32" x14ac:dyDescent="0.3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38" t="str">
        <f>IF(OR(A440="Автомат",A440="Дифавтомат"),IF(W440="","",COUNTIFS(Однолинейка!$H$3:$H$3000,U440,Однолинейка!$A$3:$A$3000,Щит_спец)),IF(A440="Аппарат",IF(C440="","",COUNTIFS(Однолинейка!$I$3:$I$3000,C440,Однолинейка!$A$3:$A$3000,Щит_спец)+COUNTIFS(Однолинейка!$J$3:$J$3000,C440,Однолинейка!$A$3:$A$3000,Щит_спец)+COUNTIFS(Однолинейка!$K$3:$K$3000,C440,Однолинейка!$A$3:$A$3000,Щит_спец)),IF(A440="Модуль",IF(C440="","",COUNTIFS(Однолинейка!$AW$3:$AW$3000,"?*",Однолинейка!$AI$3:$AI$3000,C440,Однолинейка!$A$3:$A$3000,Щит_спец)),IF(A440="Клемма",IF(C440="","",IF(C440=$S$7,SUMIFS(Однолинейка!$BW$3:$BW$3000,Однолинейка!$A$3:$A$3000,Щит_спец),IF(C440=$S$8,SUMIFS(Однолинейка!$BX$3:$BX$3000,Однолинейка!$A$3:$A$3000,Щит_спец),""))),""))))</f>
        <v/>
      </c>
      <c r="O440" s="74"/>
      <c r="P440" s="38" t="str">
        <f t="shared" si="54"/>
        <v/>
      </c>
      <c r="U440" s="38" t="str">
        <f t="shared" si="55"/>
        <v/>
      </c>
      <c r="V440" s="38" t="str">
        <f t="shared" si="56"/>
        <v/>
      </c>
      <c r="W440" s="38" t="str">
        <f>IF(AND(U440&lt;&gt;"",OR($S$4="(все)",B440=$S$4),IF($S$4="(все)",COUNTIF($U$4:U440,U440),COUNTIFS($U$4:U440,U440,$B$4:B440,B440))=1),MAX($W$3:W439)+1,"")</f>
        <v/>
      </c>
      <c r="X440" s="38" t="str">
        <f t="shared" si="57"/>
        <v/>
      </c>
      <c r="Y440" s="38" t="str">
        <f>IF(AND(A440="Аппарат",C440&lt;&gt;"",OR($S$5="(все)",B440=$S$5)),MAX($Y$3:Y439)+1,"")</f>
        <v/>
      </c>
      <c r="Z440" s="38" t="str">
        <f t="shared" si="58"/>
        <v/>
      </c>
      <c r="AA440" s="38" t="str">
        <f>IF(AND(A440="Модуль",C440&lt;&gt;"",OR($S$6="(все)",B440=$S$6)),MAX($AA$3:AA439)+1,"")</f>
        <v/>
      </c>
      <c r="AB440" s="38" t="str">
        <f t="shared" si="59"/>
        <v/>
      </c>
      <c r="AC440" s="38" t="str">
        <f>IF(OR(B440="",COUNTIF($B$4:B440,B440)&gt;1),"",MAX($AC$3:AC439)+1)</f>
        <v/>
      </c>
      <c r="AD440" s="38" t="str">
        <f t="shared" si="60"/>
        <v/>
      </c>
      <c r="AE440" s="38" t="str">
        <f t="shared" si="61"/>
        <v/>
      </c>
      <c r="AF440" s="38" t="str">
        <f t="shared" si="62"/>
        <v/>
      </c>
    </row>
    <row r="441" spans="1:32" x14ac:dyDescent="0.3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38" t="str">
        <f>IF(OR(A441="Автомат",A441="Дифавтомат"),IF(W441="","",COUNTIFS(Однолинейка!$H$3:$H$3000,U441,Однолинейка!$A$3:$A$3000,Щит_спец)),IF(A441="Аппарат",IF(C441="","",COUNTIFS(Однолинейка!$I$3:$I$3000,C441,Однолинейка!$A$3:$A$3000,Щит_спец)+COUNTIFS(Однолинейка!$J$3:$J$3000,C441,Однолинейка!$A$3:$A$3000,Щит_спец)+COUNTIFS(Однолинейка!$K$3:$K$3000,C441,Однолинейка!$A$3:$A$3000,Щит_спец)),IF(A441="Модуль",IF(C441="","",COUNTIFS(Однолинейка!$AW$3:$AW$3000,"?*",Однолинейка!$AI$3:$AI$3000,C441,Однолинейка!$A$3:$A$3000,Щит_спец)),IF(A441="Клемма",IF(C441="","",IF(C441=$S$7,SUMIFS(Однолинейка!$BW$3:$BW$3000,Однолинейка!$A$3:$A$3000,Щит_спец),IF(C441=$S$8,SUMIFS(Однолинейка!$BX$3:$BX$3000,Однолинейка!$A$3:$A$3000,Щит_спец),""))),""))))</f>
        <v/>
      </c>
      <c r="O441" s="74"/>
      <c r="P441" s="38" t="str">
        <f t="shared" si="54"/>
        <v/>
      </c>
      <c r="U441" s="38" t="str">
        <f t="shared" si="55"/>
        <v/>
      </c>
      <c r="V441" s="38" t="str">
        <f t="shared" si="56"/>
        <v/>
      </c>
      <c r="W441" s="38" t="str">
        <f>IF(AND(U441&lt;&gt;"",OR($S$4="(все)",B441=$S$4),IF($S$4="(все)",COUNTIF($U$4:U441,U441),COUNTIFS($U$4:U441,U441,$B$4:B441,B441))=1),MAX($W$3:W440)+1,"")</f>
        <v/>
      </c>
      <c r="X441" s="38" t="str">
        <f t="shared" si="57"/>
        <v/>
      </c>
      <c r="Y441" s="38" t="str">
        <f>IF(AND(A441="Аппарат",C441&lt;&gt;"",OR($S$5="(все)",B441=$S$5)),MAX($Y$3:Y440)+1,"")</f>
        <v/>
      </c>
      <c r="Z441" s="38" t="str">
        <f t="shared" si="58"/>
        <v/>
      </c>
      <c r="AA441" s="38" t="str">
        <f>IF(AND(A441="Модуль",C441&lt;&gt;"",OR($S$6="(все)",B441=$S$6)),MAX($AA$3:AA440)+1,"")</f>
        <v/>
      </c>
      <c r="AB441" s="38" t="str">
        <f t="shared" si="59"/>
        <v/>
      </c>
      <c r="AC441" s="38" t="str">
        <f>IF(OR(B441="",COUNTIF($B$4:B441,B441)&gt;1),"",MAX($AC$3:AC440)+1)</f>
        <v/>
      </c>
      <c r="AD441" s="38" t="str">
        <f t="shared" si="60"/>
        <v/>
      </c>
      <c r="AE441" s="38" t="str">
        <f t="shared" si="61"/>
        <v/>
      </c>
      <c r="AF441" s="38" t="str">
        <f t="shared" si="62"/>
        <v/>
      </c>
    </row>
    <row r="442" spans="1:32" x14ac:dyDescent="0.3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38" t="str">
        <f>IF(OR(A442="Автомат",A442="Дифавтомат"),IF(W442="","",COUNTIFS(Однолинейка!$H$3:$H$3000,U442,Однолинейка!$A$3:$A$3000,Щит_спец)),IF(A442="Аппарат",IF(C442="","",COUNTIFS(Однолинейка!$I$3:$I$3000,C442,Однолинейка!$A$3:$A$3000,Щит_спец)+COUNTIFS(Однолинейка!$J$3:$J$3000,C442,Однолинейка!$A$3:$A$3000,Щит_спец)+COUNTIFS(Однолинейка!$K$3:$K$3000,C442,Однолинейка!$A$3:$A$3000,Щит_спец)),IF(A442="Модуль",IF(C442="","",COUNTIFS(Однолинейка!$AW$3:$AW$3000,"?*",Однолинейка!$AI$3:$AI$3000,C442,Однолинейка!$A$3:$A$3000,Щит_спец)),IF(A442="Клемма",IF(C442="","",IF(C442=$S$7,SUMIFS(Однолинейка!$BW$3:$BW$3000,Однолинейка!$A$3:$A$3000,Щит_спец),IF(C442=$S$8,SUMIFS(Однолинейка!$BX$3:$BX$3000,Однолинейка!$A$3:$A$3000,Щит_спец),""))),""))))</f>
        <v/>
      </c>
      <c r="O442" s="74"/>
      <c r="P442" s="38" t="str">
        <f t="shared" si="54"/>
        <v/>
      </c>
      <c r="U442" s="38" t="str">
        <f t="shared" si="55"/>
        <v/>
      </c>
      <c r="V442" s="38" t="str">
        <f t="shared" si="56"/>
        <v/>
      </c>
      <c r="W442" s="38" t="str">
        <f>IF(AND(U442&lt;&gt;"",OR($S$4="(все)",B442=$S$4),IF($S$4="(все)",COUNTIF($U$4:U442,U442),COUNTIFS($U$4:U442,U442,$B$4:B442,B442))=1),MAX($W$3:W441)+1,"")</f>
        <v/>
      </c>
      <c r="X442" s="38" t="str">
        <f t="shared" si="57"/>
        <v/>
      </c>
      <c r="Y442" s="38" t="str">
        <f>IF(AND(A442="Аппарат",C442&lt;&gt;"",OR($S$5="(все)",B442=$S$5)),MAX($Y$3:Y441)+1,"")</f>
        <v/>
      </c>
      <c r="Z442" s="38" t="str">
        <f t="shared" si="58"/>
        <v/>
      </c>
      <c r="AA442" s="38" t="str">
        <f>IF(AND(A442="Модуль",C442&lt;&gt;"",OR($S$6="(все)",B442=$S$6)),MAX($AA$3:AA441)+1,"")</f>
        <v/>
      </c>
      <c r="AB442" s="38" t="str">
        <f t="shared" si="59"/>
        <v/>
      </c>
      <c r="AC442" s="38" t="str">
        <f>IF(OR(B442="",COUNTIF($B$4:B442,B442)&gt;1),"",MAX($AC$3:AC441)+1)</f>
        <v/>
      </c>
      <c r="AD442" s="38" t="str">
        <f t="shared" si="60"/>
        <v/>
      </c>
      <c r="AE442" s="38" t="str">
        <f t="shared" si="61"/>
        <v/>
      </c>
      <c r="AF442" s="38" t="str">
        <f t="shared" si="62"/>
        <v/>
      </c>
    </row>
    <row r="443" spans="1:32" x14ac:dyDescent="0.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38" t="str">
        <f>IF(OR(A443="Автомат",A443="Дифавтомат"),IF(W443="","",COUNTIFS(Однолинейка!$H$3:$H$3000,U443,Однолинейка!$A$3:$A$3000,Щит_спец)),IF(A443="Аппарат",IF(C443="","",COUNTIFS(Однолинейка!$I$3:$I$3000,C443,Однолинейка!$A$3:$A$3000,Щит_спец)+COUNTIFS(Однолинейка!$J$3:$J$3000,C443,Однолинейка!$A$3:$A$3000,Щит_спец)+COUNTIFS(Однолинейка!$K$3:$K$3000,C443,Однолинейка!$A$3:$A$3000,Щит_спец)),IF(A443="Модуль",IF(C443="","",COUNTIFS(Однолинейка!$AW$3:$AW$3000,"?*",Однолинейка!$AI$3:$AI$3000,C443,Однолинейка!$A$3:$A$3000,Щит_спец)),IF(A443="Клемма",IF(C443="","",IF(C443=$S$7,SUMIFS(Однолинейка!$BW$3:$BW$3000,Однолинейка!$A$3:$A$3000,Щит_спец),IF(C443=$S$8,SUMIFS(Однолинейка!$BX$3:$BX$3000,Однолинейка!$A$3:$A$3000,Щит_спец),""))),""))))</f>
        <v/>
      </c>
      <c r="O443" s="74"/>
      <c r="P443" s="38" t="str">
        <f t="shared" si="54"/>
        <v/>
      </c>
      <c r="U443" s="38" t="str">
        <f t="shared" si="55"/>
        <v/>
      </c>
      <c r="V443" s="38" t="str">
        <f t="shared" si="56"/>
        <v/>
      </c>
      <c r="W443" s="38" t="str">
        <f>IF(AND(U443&lt;&gt;"",OR($S$4="(все)",B443=$S$4),IF($S$4="(все)",COUNTIF($U$4:U443,U443),COUNTIFS($U$4:U443,U443,$B$4:B443,B443))=1),MAX($W$3:W442)+1,"")</f>
        <v/>
      </c>
      <c r="X443" s="38" t="str">
        <f t="shared" si="57"/>
        <v/>
      </c>
      <c r="Y443" s="38" t="str">
        <f>IF(AND(A443="Аппарат",C443&lt;&gt;"",OR($S$5="(все)",B443=$S$5)),MAX($Y$3:Y442)+1,"")</f>
        <v/>
      </c>
      <c r="Z443" s="38" t="str">
        <f t="shared" si="58"/>
        <v/>
      </c>
      <c r="AA443" s="38" t="str">
        <f>IF(AND(A443="Модуль",C443&lt;&gt;"",OR($S$6="(все)",B443=$S$6)),MAX($AA$3:AA442)+1,"")</f>
        <v/>
      </c>
      <c r="AB443" s="38" t="str">
        <f t="shared" si="59"/>
        <v/>
      </c>
      <c r="AC443" s="38" t="str">
        <f>IF(OR(B443="",COUNTIF($B$4:B443,B443)&gt;1),"",MAX($AC$3:AC442)+1)</f>
        <v/>
      </c>
      <c r="AD443" s="38" t="str">
        <f t="shared" si="60"/>
        <v/>
      </c>
      <c r="AE443" s="38" t="str">
        <f t="shared" si="61"/>
        <v/>
      </c>
      <c r="AF443" s="38" t="str">
        <f t="shared" si="62"/>
        <v/>
      </c>
    </row>
    <row r="444" spans="1:32" x14ac:dyDescent="0.3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38" t="str">
        <f>IF(OR(A444="Автомат",A444="Дифавтомат"),IF(W444="","",COUNTIFS(Однолинейка!$H$3:$H$3000,U444,Однолинейка!$A$3:$A$3000,Щит_спец)),IF(A444="Аппарат",IF(C444="","",COUNTIFS(Однолинейка!$I$3:$I$3000,C444,Однолинейка!$A$3:$A$3000,Щит_спец)+COUNTIFS(Однолинейка!$J$3:$J$3000,C444,Однолинейка!$A$3:$A$3000,Щит_спец)+COUNTIFS(Однолинейка!$K$3:$K$3000,C444,Однолинейка!$A$3:$A$3000,Щит_спец)),IF(A444="Модуль",IF(C444="","",COUNTIFS(Однолинейка!$AW$3:$AW$3000,"?*",Однолинейка!$AI$3:$AI$3000,C444,Однолинейка!$A$3:$A$3000,Щит_спец)),IF(A444="Клемма",IF(C444="","",IF(C444=$S$7,SUMIFS(Однолинейка!$BW$3:$BW$3000,Однолинейка!$A$3:$A$3000,Щит_спец),IF(C444=$S$8,SUMIFS(Однолинейка!$BX$3:$BX$3000,Однолинейка!$A$3:$A$3000,Щит_спец),""))),""))))</f>
        <v/>
      </c>
      <c r="O444" s="74"/>
      <c r="P444" s="38" t="str">
        <f t="shared" si="54"/>
        <v/>
      </c>
      <c r="U444" s="38" t="str">
        <f t="shared" si="55"/>
        <v/>
      </c>
      <c r="V444" s="38" t="str">
        <f t="shared" si="56"/>
        <v/>
      </c>
      <c r="W444" s="38" t="str">
        <f>IF(AND(U444&lt;&gt;"",OR($S$4="(все)",B444=$S$4),IF($S$4="(все)",COUNTIF($U$4:U444,U444),COUNTIFS($U$4:U444,U444,$B$4:B444,B444))=1),MAX($W$3:W443)+1,"")</f>
        <v/>
      </c>
      <c r="X444" s="38" t="str">
        <f t="shared" si="57"/>
        <v/>
      </c>
      <c r="Y444" s="38" t="str">
        <f>IF(AND(A444="Аппарат",C444&lt;&gt;"",OR($S$5="(все)",B444=$S$5)),MAX($Y$3:Y443)+1,"")</f>
        <v/>
      </c>
      <c r="Z444" s="38" t="str">
        <f t="shared" si="58"/>
        <v/>
      </c>
      <c r="AA444" s="38" t="str">
        <f>IF(AND(A444="Модуль",C444&lt;&gt;"",OR($S$6="(все)",B444=$S$6)),MAX($AA$3:AA443)+1,"")</f>
        <v/>
      </c>
      <c r="AB444" s="38" t="str">
        <f t="shared" si="59"/>
        <v/>
      </c>
      <c r="AC444" s="38" t="str">
        <f>IF(OR(B444="",COUNTIF($B$4:B444,B444)&gt;1),"",MAX($AC$3:AC443)+1)</f>
        <v/>
      </c>
      <c r="AD444" s="38" t="str">
        <f t="shared" si="60"/>
        <v/>
      </c>
      <c r="AE444" s="38" t="str">
        <f t="shared" si="61"/>
        <v/>
      </c>
      <c r="AF444" s="38" t="str">
        <f t="shared" si="62"/>
        <v/>
      </c>
    </row>
    <row r="445" spans="1:32" x14ac:dyDescent="0.3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38" t="str">
        <f>IF(OR(A445="Автомат",A445="Дифавтомат"),IF(W445="","",COUNTIFS(Однолинейка!$H$3:$H$3000,U445,Однолинейка!$A$3:$A$3000,Щит_спец)),IF(A445="Аппарат",IF(C445="","",COUNTIFS(Однолинейка!$I$3:$I$3000,C445,Однолинейка!$A$3:$A$3000,Щит_спец)+COUNTIFS(Однолинейка!$J$3:$J$3000,C445,Однолинейка!$A$3:$A$3000,Щит_спец)+COUNTIFS(Однолинейка!$K$3:$K$3000,C445,Однолинейка!$A$3:$A$3000,Щит_спец)),IF(A445="Модуль",IF(C445="","",COUNTIFS(Однолинейка!$AW$3:$AW$3000,"?*",Однолинейка!$AI$3:$AI$3000,C445,Однолинейка!$A$3:$A$3000,Щит_спец)),IF(A445="Клемма",IF(C445="","",IF(C445=$S$7,SUMIFS(Однолинейка!$BW$3:$BW$3000,Однолинейка!$A$3:$A$3000,Щит_спец),IF(C445=$S$8,SUMIFS(Однолинейка!$BX$3:$BX$3000,Однолинейка!$A$3:$A$3000,Щит_спец),""))),""))))</f>
        <v/>
      </c>
      <c r="O445" s="74"/>
      <c r="P445" s="38" t="str">
        <f t="shared" si="54"/>
        <v/>
      </c>
      <c r="U445" s="38" t="str">
        <f t="shared" si="55"/>
        <v/>
      </c>
      <c r="V445" s="38" t="str">
        <f t="shared" si="56"/>
        <v/>
      </c>
      <c r="W445" s="38" t="str">
        <f>IF(AND(U445&lt;&gt;"",OR($S$4="(все)",B445=$S$4),IF($S$4="(все)",COUNTIF($U$4:U445,U445),COUNTIFS($U$4:U445,U445,$B$4:B445,B445))=1),MAX($W$3:W444)+1,"")</f>
        <v/>
      </c>
      <c r="X445" s="38" t="str">
        <f t="shared" si="57"/>
        <v/>
      </c>
      <c r="Y445" s="38" t="str">
        <f>IF(AND(A445="Аппарат",C445&lt;&gt;"",OR($S$5="(все)",B445=$S$5)),MAX($Y$3:Y444)+1,"")</f>
        <v/>
      </c>
      <c r="Z445" s="38" t="str">
        <f t="shared" si="58"/>
        <v/>
      </c>
      <c r="AA445" s="38" t="str">
        <f>IF(AND(A445="Модуль",C445&lt;&gt;"",OR($S$6="(все)",B445=$S$6)),MAX($AA$3:AA444)+1,"")</f>
        <v/>
      </c>
      <c r="AB445" s="38" t="str">
        <f t="shared" si="59"/>
        <v/>
      </c>
      <c r="AC445" s="38" t="str">
        <f>IF(OR(B445="",COUNTIF($B$4:B445,B445)&gt;1),"",MAX($AC$3:AC444)+1)</f>
        <v/>
      </c>
      <c r="AD445" s="38" t="str">
        <f t="shared" si="60"/>
        <v/>
      </c>
      <c r="AE445" s="38" t="str">
        <f t="shared" si="61"/>
        <v/>
      </c>
      <c r="AF445" s="38" t="str">
        <f t="shared" si="62"/>
        <v/>
      </c>
    </row>
    <row r="446" spans="1:32" x14ac:dyDescent="0.3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38" t="str">
        <f>IF(OR(A446="Автомат",A446="Дифавтомат"),IF(W446="","",COUNTIFS(Однолинейка!$H$3:$H$3000,U446,Однолинейка!$A$3:$A$3000,Щит_спец)),IF(A446="Аппарат",IF(C446="","",COUNTIFS(Однолинейка!$I$3:$I$3000,C446,Однолинейка!$A$3:$A$3000,Щит_спец)+COUNTIFS(Однолинейка!$J$3:$J$3000,C446,Однолинейка!$A$3:$A$3000,Щит_спец)+COUNTIFS(Однолинейка!$K$3:$K$3000,C446,Однолинейка!$A$3:$A$3000,Щит_спец)),IF(A446="Модуль",IF(C446="","",COUNTIFS(Однолинейка!$AW$3:$AW$3000,"?*",Однолинейка!$AI$3:$AI$3000,C446,Однолинейка!$A$3:$A$3000,Щит_спец)),IF(A446="Клемма",IF(C446="","",IF(C446=$S$7,SUMIFS(Однолинейка!$BW$3:$BW$3000,Однолинейка!$A$3:$A$3000,Щит_спец),IF(C446=$S$8,SUMIFS(Однолинейка!$BX$3:$BX$3000,Однолинейка!$A$3:$A$3000,Щит_спец),""))),""))))</f>
        <v/>
      </c>
      <c r="O446" s="74"/>
      <c r="P446" s="38" t="str">
        <f t="shared" si="54"/>
        <v/>
      </c>
      <c r="U446" s="38" t="str">
        <f t="shared" si="55"/>
        <v/>
      </c>
      <c r="V446" s="38" t="str">
        <f t="shared" si="56"/>
        <v/>
      </c>
      <c r="W446" s="38" t="str">
        <f>IF(AND(U446&lt;&gt;"",OR($S$4="(все)",B446=$S$4),IF($S$4="(все)",COUNTIF($U$4:U446,U446),COUNTIFS($U$4:U446,U446,$B$4:B446,B446))=1),MAX($W$3:W445)+1,"")</f>
        <v/>
      </c>
      <c r="X446" s="38" t="str">
        <f t="shared" si="57"/>
        <v/>
      </c>
      <c r="Y446" s="38" t="str">
        <f>IF(AND(A446="Аппарат",C446&lt;&gt;"",OR($S$5="(все)",B446=$S$5)),MAX($Y$3:Y445)+1,"")</f>
        <v/>
      </c>
      <c r="Z446" s="38" t="str">
        <f t="shared" si="58"/>
        <v/>
      </c>
      <c r="AA446" s="38" t="str">
        <f>IF(AND(A446="Модуль",C446&lt;&gt;"",OR($S$6="(все)",B446=$S$6)),MAX($AA$3:AA445)+1,"")</f>
        <v/>
      </c>
      <c r="AB446" s="38" t="str">
        <f t="shared" si="59"/>
        <v/>
      </c>
      <c r="AC446" s="38" t="str">
        <f>IF(OR(B446="",COUNTIF($B$4:B446,B446)&gt;1),"",MAX($AC$3:AC445)+1)</f>
        <v/>
      </c>
      <c r="AD446" s="38" t="str">
        <f t="shared" si="60"/>
        <v/>
      </c>
      <c r="AE446" s="38" t="str">
        <f t="shared" si="61"/>
        <v/>
      </c>
      <c r="AF446" s="38" t="str">
        <f t="shared" si="62"/>
        <v/>
      </c>
    </row>
    <row r="447" spans="1:32" x14ac:dyDescent="0.3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38" t="str">
        <f>IF(OR(A447="Автомат",A447="Дифавтомат"),IF(W447="","",COUNTIFS(Однолинейка!$H$3:$H$3000,U447,Однолинейка!$A$3:$A$3000,Щит_спец)),IF(A447="Аппарат",IF(C447="","",COUNTIFS(Однолинейка!$I$3:$I$3000,C447,Однолинейка!$A$3:$A$3000,Щит_спец)+COUNTIFS(Однолинейка!$J$3:$J$3000,C447,Однолинейка!$A$3:$A$3000,Щит_спец)+COUNTIFS(Однолинейка!$K$3:$K$3000,C447,Однолинейка!$A$3:$A$3000,Щит_спец)),IF(A447="Модуль",IF(C447="","",COUNTIFS(Однолинейка!$AW$3:$AW$3000,"?*",Однолинейка!$AI$3:$AI$3000,C447,Однолинейка!$A$3:$A$3000,Щит_спец)),IF(A447="Клемма",IF(C447="","",IF(C447=$S$7,SUMIFS(Однолинейка!$BW$3:$BW$3000,Однолинейка!$A$3:$A$3000,Щит_спец),IF(C447=$S$8,SUMIFS(Однолинейка!$BX$3:$BX$3000,Однолинейка!$A$3:$A$3000,Щит_спец),""))),""))))</f>
        <v/>
      </c>
      <c r="O447" s="74"/>
      <c r="P447" s="38" t="str">
        <f t="shared" si="54"/>
        <v/>
      </c>
      <c r="U447" s="38" t="str">
        <f t="shared" si="55"/>
        <v/>
      </c>
      <c r="V447" s="38" t="str">
        <f t="shared" si="56"/>
        <v/>
      </c>
      <c r="W447" s="38" t="str">
        <f>IF(AND(U447&lt;&gt;"",OR($S$4="(все)",B447=$S$4),IF($S$4="(все)",COUNTIF($U$4:U447,U447),COUNTIFS($U$4:U447,U447,$B$4:B447,B447))=1),MAX($W$3:W446)+1,"")</f>
        <v/>
      </c>
      <c r="X447" s="38" t="str">
        <f t="shared" si="57"/>
        <v/>
      </c>
      <c r="Y447" s="38" t="str">
        <f>IF(AND(A447="Аппарат",C447&lt;&gt;"",OR($S$5="(все)",B447=$S$5)),MAX($Y$3:Y446)+1,"")</f>
        <v/>
      </c>
      <c r="Z447" s="38" t="str">
        <f t="shared" si="58"/>
        <v/>
      </c>
      <c r="AA447" s="38" t="str">
        <f>IF(AND(A447="Модуль",C447&lt;&gt;"",OR($S$6="(все)",B447=$S$6)),MAX($AA$3:AA446)+1,"")</f>
        <v/>
      </c>
      <c r="AB447" s="38" t="str">
        <f t="shared" si="59"/>
        <v/>
      </c>
      <c r="AC447" s="38" t="str">
        <f>IF(OR(B447="",COUNTIF($B$4:B447,B447)&gt;1),"",MAX($AC$3:AC446)+1)</f>
        <v/>
      </c>
      <c r="AD447" s="38" t="str">
        <f t="shared" si="60"/>
        <v/>
      </c>
      <c r="AE447" s="38" t="str">
        <f t="shared" si="61"/>
        <v/>
      </c>
      <c r="AF447" s="38" t="str">
        <f t="shared" si="62"/>
        <v/>
      </c>
    </row>
    <row r="448" spans="1:32" x14ac:dyDescent="0.3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38" t="str">
        <f>IF(OR(A448="Автомат",A448="Дифавтомат"),IF(W448="","",COUNTIFS(Однолинейка!$H$3:$H$3000,U448,Однолинейка!$A$3:$A$3000,Щит_спец)),IF(A448="Аппарат",IF(C448="","",COUNTIFS(Однолинейка!$I$3:$I$3000,C448,Однолинейка!$A$3:$A$3000,Щит_спец)+COUNTIFS(Однолинейка!$J$3:$J$3000,C448,Однолинейка!$A$3:$A$3000,Щит_спец)+COUNTIFS(Однолинейка!$K$3:$K$3000,C448,Однолинейка!$A$3:$A$3000,Щит_спец)),IF(A448="Модуль",IF(C448="","",COUNTIFS(Однолинейка!$AW$3:$AW$3000,"?*",Однолинейка!$AI$3:$AI$3000,C448,Однолинейка!$A$3:$A$3000,Щит_спец)),IF(A448="Клемма",IF(C448="","",IF(C448=$S$7,SUMIFS(Однолинейка!$BW$3:$BW$3000,Однолинейка!$A$3:$A$3000,Щит_спец),IF(C448=$S$8,SUMIFS(Однолинейка!$BX$3:$BX$3000,Однолинейка!$A$3:$A$3000,Щит_спец),""))),""))))</f>
        <v/>
      </c>
      <c r="O448" s="74"/>
      <c r="P448" s="38" t="str">
        <f t="shared" si="54"/>
        <v/>
      </c>
      <c r="U448" s="38" t="str">
        <f t="shared" si="55"/>
        <v/>
      </c>
      <c r="V448" s="38" t="str">
        <f t="shared" si="56"/>
        <v/>
      </c>
      <c r="W448" s="38" t="str">
        <f>IF(AND(U448&lt;&gt;"",OR($S$4="(все)",B448=$S$4),IF($S$4="(все)",COUNTIF($U$4:U448,U448),COUNTIFS($U$4:U448,U448,$B$4:B448,B448))=1),MAX($W$3:W447)+1,"")</f>
        <v/>
      </c>
      <c r="X448" s="38" t="str">
        <f t="shared" si="57"/>
        <v/>
      </c>
      <c r="Y448" s="38" t="str">
        <f>IF(AND(A448="Аппарат",C448&lt;&gt;"",OR($S$5="(все)",B448=$S$5)),MAX($Y$3:Y447)+1,"")</f>
        <v/>
      </c>
      <c r="Z448" s="38" t="str">
        <f t="shared" si="58"/>
        <v/>
      </c>
      <c r="AA448" s="38" t="str">
        <f>IF(AND(A448="Модуль",C448&lt;&gt;"",OR($S$6="(все)",B448=$S$6)),MAX($AA$3:AA447)+1,"")</f>
        <v/>
      </c>
      <c r="AB448" s="38" t="str">
        <f t="shared" si="59"/>
        <v/>
      </c>
      <c r="AC448" s="38" t="str">
        <f>IF(OR(B448="",COUNTIF($B$4:B448,B448)&gt;1),"",MAX($AC$3:AC447)+1)</f>
        <v/>
      </c>
      <c r="AD448" s="38" t="str">
        <f t="shared" si="60"/>
        <v/>
      </c>
      <c r="AE448" s="38" t="str">
        <f t="shared" si="61"/>
        <v/>
      </c>
      <c r="AF448" s="38" t="str">
        <f t="shared" si="62"/>
        <v/>
      </c>
    </row>
    <row r="449" spans="1:32" x14ac:dyDescent="0.3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38" t="str">
        <f>IF(OR(A449="Автомат",A449="Дифавтомат"),IF(W449="","",COUNTIFS(Однолинейка!$H$3:$H$3000,U449,Однолинейка!$A$3:$A$3000,Щит_спец)),IF(A449="Аппарат",IF(C449="","",COUNTIFS(Однолинейка!$I$3:$I$3000,C449,Однолинейка!$A$3:$A$3000,Щит_спец)+COUNTIFS(Однолинейка!$J$3:$J$3000,C449,Однолинейка!$A$3:$A$3000,Щит_спец)+COUNTIFS(Однолинейка!$K$3:$K$3000,C449,Однолинейка!$A$3:$A$3000,Щит_спец)),IF(A449="Модуль",IF(C449="","",COUNTIFS(Однолинейка!$AW$3:$AW$3000,"?*",Однолинейка!$AI$3:$AI$3000,C449,Однолинейка!$A$3:$A$3000,Щит_спец)),IF(A449="Клемма",IF(C449="","",IF(C449=$S$7,SUMIFS(Однолинейка!$BW$3:$BW$3000,Однолинейка!$A$3:$A$3000,Щит_спец),IF(C449=$S$8,SUMIFS(Однолинейка!$BX$3:$BX$3000,Однолинейка!$A$3:$A$3000,Щит_спец),""))),""))))</f>
        <v/>
      </c>
      <c r="O449" s="74"/>
      <c r="P449" s="38" t="str">
        <f t="shared" si="54"/>
        <v/>
      </c>
      <c r="U449" s="38" t="str">
        <f t="shared" si="55"/>
        <v/>
      </c>
      <c r="V449" s="38" t="str">
        <f t="shared" si="56"/>
        <v/>
      </c>
      <c r="W449" s="38" t="str">
        <f>IF(AND(U449&lt;&gt;"",OR($S$4="(все)",B449=$S$4),IF($S$4="(все)",COUNTIF($U$4:U449,U449),COUNTIFS($U$4:U449,U449,$B$4:B449,B449))=1),MAX($W$3:W448)+1,"")</f>
        <v/>
      </c>
      <c r="X449" s="38" t="str">
        <f t="shared" si="57"/>
        <v/>
      </c>
      <c r="Y449" s="38" t="str">
        <f>IF(AND(A449="Аппарат",C449&lt;&gt;"",OR($S$5="(все)",B449=$S$5)),MAX($Y$3:Y448)+1,"")</f>
        <v/>
      </c>
      <c r="Z449" s="38" t="str">
        <f t="shared" si="58"/>
        <v/>
      </c>
      <c r="AA449" s="38" t="str">
        <f>IF(AND(A449="Модуль",C449&lt;&gt;"",OR($S$6="(все)",B449=$S$6)),MAX($AA$3:AA448)+1,"")</f>
        <v/>
      </c>
      <c r="AB449" s="38" t="str">
        <f t="shared" si="59"/>
        <v/>
      </c>
      <c r="AC449" s="38" t="str">
        <f>IF(OR(B449="",COUNTIF($B$4:B449,B449)&gt;1),"",MAX($AC$3:AC448)+1)</f>
        <v/>
      </c>
      <c r="AD449" s="38" t="str">
        <f t="shared" si="60"/>
        <v/>
      </c>
      <c r="AE449" s="38" t="str">
        <f t="shared" si="61"/>
        <v/>
      </c>
      <c r="AF449" s="38" t="str">
        <f t="shared" si="62"/>
        <v/>
      </c>
    </row>
    <row r="450" spans="1:32" x14ac:dyDescent="0.3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38" t="str">
        <f>IF(OR(A450="Автомат",A450="Дифавтомат"),IF(W450="","",COUNTIFS(Однолинейка!$H$3:$H$3000,U450,Однолинейка!$A$3:$A$3000,Щит_спец)),IF(A450="Аппарат",IF(C450="","",COUNTIFS(Однолинейка!$I$3:$I$3000,C450,Однолинейка!$A$3:$A$3000,Щит_спец)+COUNTIFS(Однолинейка!$J$3:$J$3000,C450,Однолинейка!$A$3:$A$3000,Щит_спец)+COUNTIFS(Однолинейка!$K$3:$K$3000,C450,Однолинейка!$A$3:$A$3000,Щит_спец)),IF(A450="Модуль",IF(C450="","",COUNTIFS(Однолинейка!$AW$3:$AW$3000,"?*",Однолинейка!$AI$3:$AI$3000,C450,Однолинейка!$A$3:$A$3000,Щит_спец)),IF(A450="Клемма",IF(C450="","",IF(C450=$S$7,SUMIFS(Однолинейка!$BW$3:$BW$3000,Однолинейка!$A$3:$A$3000,Щит_спец),IF(C450=$S$8,SUMIFS(Однолинейка!$BX$3:$BX$3000,Однолинейка!$A$3:$A$3000,Щит_спец),""))),""))))</f>
        <v/>
      </c>
      <c r="O450" s="74"/>
      <c r="P450" s="38" t="str">
        <f t="shared" si="54"/>
        <v/>
      </c>
      <c r="U450" s="38" t="str">
        <f t="shared" si="55"/>
        <v/>
      </c>
      <c r="V450" s="38" t="str">
        <f t="shared" si="56"/>
        <v/>
      </c>
      <c r="W450" s="38" t="str">
        <f>IF(AND(U450&lt;&gt;"",OR($S$4="(все)",B450=$S$4),IF($S$4="(все)",COUNTIF($U$4:U450,U450),COUNTIFS($U$4:U450,U450,$B$4:B450,B450))=1),MAX($W$3:W449)+1,"")</f>
        <v/>
      </c>
      <c r="X450" s="38" t="str">
        <f t="shared" si="57"/>
        <v/>
      </c>
      <c r="Y450" s="38" t="str">
        <f>IF(AND(A450="Аппарат",C450&lt;&gt;"",OR($S$5="(все)",B450=$S$5)),MAX($Y$3:Y449)+1,"")</f>
        <v/>
      </c>
      <c r="Z450" s="38" t="str">
        <f t="shared" si="58"/>
        <v/>
      </c>
      <c r="AA450" s="38" t="str">
        <f>IF(AND(A450="Модуль",C450&lt;&gt;"",OR($S$6="(все)",B450=$S$6)),MAX($AA$3:AA449)+1,"")</f>
        <v/>
      </c>
      <c r="AB450" s="38" t="str">
        <f t="shared" si="59"/>
        <v/>
      </c>
      <c r="AC450" s="38" t="str">
        <f>IF(OR(B450="",COUNTIF($B$4:B450,B450)&gt;1),"",MAX($AC$3:AC449)+1)</f>
        <v/>
      </c>
      <c r="AD450" s="38" t="str">
        <f t="shared" si="60"/>
        <v/>
      </c>
      <c r="AE450" s="38" t="str">
        <f t="shared" si="61"/>
        <v/>
      </c>
      <c r="AF450" s="38" t="str">
        <f t="shared" si="62"/>
        <v/>
      </c>
    </row>
    <row r="451" spans="1:32" x14ac:dyDescent="0.3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38" t="str">
        <f>IF(OR(A451="Автомат",A451="Дифавтомат"),IF(W451="","",COUNTIFS(Однолинейка!$H$3:$H$3000,U451,Однолинейка!$A$3:$A$3000,Щит_спец)),IF(A451="Аппарат",IF(C451="","",COUNTIFS(Однолинейка!$I$3:$I$3000,C451,Однолинейка!$A$3:$A$3000,Щит_спец)+COUNTIFS(Однолинейка!$J$3:$J$3000,C451,Однолинейка!$A$3:$A$3000,Щит_спец)+COUNTIFS(Однолинейка!$K$3:$K$3000,C451,Однолинейка!$A$3:$A$3000,Щит_спец)),IF(A451="Модуль",IF(C451="","",COUNTIFS(Однолинейка!$AW$3:$AW$3000,"?*",Однолинейка!$AI$3:$AI$3000,C451,Однолинейка!$A$3:$A$3000,Щит_спец)),IF(A451="Клемма",IF(C451="","",IF(C451=$S$7,SUMIFS(Однолинейка!$BW$3:$BW$3000,Однолинейка!$A$3:$A$3000,Щит_спец),IF(C451=$S$8,SUMIFS(Однолинейка!$BX$3:$BX$3000,Однолинейка!$A$3:$A$3000,Щит_спец),""))),""))))</f>
        <v/>
      </c>
      <c r="O451" s="74"/>
      <c r="P451" s="38" t="str">
        <f t="shared" si="54"/>
        <v/>
      </c>
      <c r="U451" s="38" t="str">
        <f t="shared" si="55"/>
        <v/>
      </c>
      <c r="V451" s="38" t="str">
        <f t="shared" si="56"/>
        <v/>
      </c>
      <c r="W451" s="38" t="str">
        <f>IF(AND(U451&lt;&gt;"",OR($S$4="(все)",B451=$S$4),IF($S$4="(все)",COUNTIF($U$4:U451,U451),COUNTIFS($U$4:U451,U451,$B$4:B451,B451))=1),MAX($W$3:W450)+1,"")</f>
        <v/>
      </c>
      <c r="X451" s="38" t="str">
        <f t="shared" si="57"/>
        <v/>
      </c>
      <c r="Y451" s="38" t="str">
        <f>IF(AND(A451="Аппарат",C451&lt;&gt;"",OR($S$5="(все)",B451=$S$5)),MAX($Y$3:Y450)+1,"")</f>
        <v/>
      </c>
      <c r="Z451" s="38" t="str">
        <f t="shared" si="58"/>
        <v/>
      </c>
      <c r="AA451" s="38" t="str">
        <f>IF(AND(A451="Модуль",C451&lt;&gt;"",OR($S$6="(все)",B451=$S$6)),MAX($AA$3:AA450)+1,"")</f>
        <v/>
      </c>
      <c r="AB451" s="38" t="str">
        <f t="shared" si="59"/>
        <v/>
      </c>
      <c r="AC451" s="38" t="str">
        <f>IF(OR(B451="",COUNTIF($B$4:B451,B451)&gt;1),"",MAX($AC$3:AC450)+1)</f>
        <v/>
      </c>
      <c r="AD451" s="38" t="str">
        <f t="shared" si="60"/>
        <v/>
      </c>
      <c r="AE451" s="38" t="str">
        <f t="shared" si="61"/>
        <v/>
      </c>
      <c r="AF451" s="38" t="str">
        <f t="shared" si="62"/>
        <v/>
      </c>
    </row>
    <row r="452" spans="1:32" x14ac:dyDescent="0.3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38" t="str">
        <f>IF(OR(A452="Автомат",A452="Дифавтомат"),IF(W452="","",COUNTIFS(Однолинейка!$H$3:$H$3000,U452,Однолинейка!$A$3:$A$3000,Щит_спец)),IF(A452="Аппарат",IF(C452="","",COUNTIFS(Однолинейка!$I$3:$I$3000,C452,Однолинейка!$A$3:$A$3000,Щит_спец)+COUNTIFS(Однолинейка!$J$3:$J$3000,C452,Однолинейка!$A$3:$A$3000,Щит_спец)+COUNTIFS(Однолинейка!$K$3:$K$3000,C452,Однолинейка!$A$3:$A$3000,Щит_спец)),IF(A452="Модуль",IF(C452="","",COUNTIFS(Однолинейка!$AW$3:$AW$3000,"?*",Однолинейка!$AI$3:$AI$3000,C452,Однолинейка!$A$3:$A$3000,Щит_спец)),IF(A452="Клемма",IF(C452="","",IF(C452=$S$7,SUMIFS(Однолинейка!$BW$3:$BW$3000,Однолинейка!$A$3:$A$3000,Щит_спец),IF(C452=$S$8,SUMIFS(Однолинейка!$BX$3:$BX$3000,Однолинейка!$A$3:$A$3000,Щит_спец),""))),""))))</f>
        <v/>
      </c>
      <c r="O452" s="74"/>
      <c r="P452" s="38" t="str">
        <f t="shared" ref="P452:P500" si="63">IF(COUNT(N452,O452)=0,"",SUM(N452,O452))</f>
        <v/>
      </c>
      <c r="U452" s="38" t="str">
        <f t="shared" ref="U452:U500" si="64">IF(OR(A452="Автомат",A452="Дифавтомат"),I452&amp;" С"&amp;J452&amp;"А"&amp;IF(K452="да"," 30мА",IF(ISNUMBER(K452)," "&amp;K452&amp;"мА","")),"")</f>
        <v/>
      </c>
      <c r="V452" s="38" t="str">
        <f t="shared" ref="V452:V500" si="65">IF(U452="","",B452&amp;"|"&amp;U452)</f>
        <v/>
      </c>
      <c r="W452" s="38" t="str">
        <f>IF(AND(U452&lt;&gt;"",OR($S$4="(все)",B452=$S$4),IF($S$4="(все)",COUNTIF($U$4:U452,U452),COUNTIFS($U$4:U452,U452,$B$4:B452,B452))=1),MAX($W$3:W451)+1,"")</f>
        <v/>
      </c>
      <c r="X452" s="38" t="str">
        <f t="shared" ref="X452:X500" si="66">IFERROR(INDEX($U$4:$U$500,MATCH(ROW()-3,$W$4:$W$500,0)),"")</f>
        <v/>
      </c>
      <c r="Y452" s="38" t="str">
        <f>IF(AND(A452="Аппарат",C452&lt;&gt;"",OR($S$5="(все)",B452=$S$5)),MAX($Y$3:Y451)+1,"")</f>
        <v/>
      </c>
      <c r="Z452" s="38" t="str">
        <f t="shared" ref="Z452:Z500" si="67">IFERROR(INDEX($C$4:$C$500,MATCH(ROW()-3,$Y$4:$Y$500,0)),"")</f>
        <v/>
      </c>
      <c r="AA452" s="38" t="str">
        <f>IF(AND(A452="Модуль",C452&lt;&gt;"",OR($S$6="(все)",B452=$S$6)),MAX($AA$3:AA451)+1,"")</f>
        <v/>
      </c>
      <c r="AB452" s="38" t="str">
        <f t="shared" ref="AB452:AB500" si="68">IFERROR(INDEX($C$4:$C$500,MATCH(ROW()-3,$AA$4:$AA$500,0)),"")</f>
        <v/>
      </c>
      <c r="AC452" s="38" t="str">
        <f>IF(OR(B452="",COUNTIF($B$4:B452,B452)&gt;1),"",MAX($AC$3:AC451)+1)</f>
        <v/>
      </c>
      <c r="AD452" s="38" t="str">
        <f t="shared" ref="AD452:AD500" si="69">IFERROR(INDEX($B$4:$B$500,MATCH(ROW()-3,$AC$4:$AC$500,0)),"")</f>
        <v/>
      </c>
      <c r="AE452" s="38" t="str">
        <f t="shared" ref="AE452:AE500" si="70">IF(AND(A452&lt;&gt;"",N(P452)&gt;0),IFERROR(MATCH(A452,$R$12:$R$25,0),99)*1000+ROW(),"")</f>
        <v/>
      </c>
      <c r="AF452" s="38" t="str">
        <f t="shared" ref="AF452:AF500" si="71">IF(AE452="","",COUNTIF($AE$4:$AE$500,"&lt;="&amp;AE452))</f>
        <v/>
      </c>
    </row>
    <row r="453" spans="1:32" x14ac:dyDescent="0.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38" t="str">
        <f>IF(OR(A453="Автомат",A453="Дифавтомат"),IF(W453="","",COUNTIFS(Однолинейка!$H$3:$H$3000,U453,Однолинейка!$A$3:$A$3000,Щит_спец)),IF(A453="Аппарат",IF(C453="","",COUNTIFS(Однолинейка!$I$3:$I$3000,C453,Однолинейка!$A$3:$A$3000,Щит_спец)+COUNTIFS(Однолинейка!$J$3:$J$3000,C453,Однолинейка!$A$3:$A$3000,Щит_спец)+COUNTIFS(Однолинейка!$K$3:$K$3000,C453,Однолинейка!$A$3:$A$3000,Щит_спец)),IF(A453="Модуль",IF(C453="","",COUNTIFS(Однолинейка!$AW$3:$AW$3000,"?*",Однолинейка!$AI$3:$AI$3000,C453,Однолинейка!$A$3:$A$3000,Щит_спец)),IF(A453="Клемма",IF(C453="","",IF(C453=$S$7,SUMIFS(Однолинейка!$BW$3:$BW$3000,Однолинейка!$A$3:$A$3000,Щит_спец),IF(C453=$S$8,SUMIFS(Однолинейка!$BX$3:$BX$3000,Однолинейка!$A$3:$A$3000,Щит_спец),""))),""))))</f>
        <v/>
      </c>
      <c r="O453" s="74"/>
      <c r="P453" s="38" t="str">
        <f t="shared" si="63"/>
        <v/>
      </c>
      <c r="U453" s="38" t="str">
        <f t="shared" si="64"/>
        <v/>
      </c>
      <c r="V453" s="38" t="str">
        <f t="shared" si="65"/>
        <v/>
      </c>
      <c r="W453" s="38" t="str">
        <f>IF(AND(U453&lt;&gt;"",OR($S$4="(все)",B453=$S$4),IF($S$4="(все)",COUNTIF($U$4:U453,U453),COUNTIFS($U$4:U453,U453,$B$4:B453,B453))=1),MAX($W$3:W452)+1,"")</f>
        <v/>
      </c>
      <c r="X453" s="38" t="str">
        <f t="shared" si="66"/>
        <v/>
      </c>
      <c r="Y453" s="38" t="str">
        <f>IF(AND(A453="Аппарат",C453&lt;&gt;"",OR($S$5="(все)",B453=$S$5)),MAX($Y$3:Y452)+1,"")</f>
        <v/>
      </c>
      <c r="Z453" s="38" t="str">
        <f t="shared" si="67"/>
        <v/>
      </c>
      <c r="AA453" s="38" t="str">
        <f>IF(AND(A453="Модуль",C453&lt;&gt;"",OR($S$6="(все)",B453=$S$6)),MAX($AA$3:AA452)+1,"")</f>
        <v/>
      </c>
      <c r="AB453" s="38" t="str">
        <f t="shared" si="68"/>
        <v/>
      </c>
      <c r="AC453" s="38" t="str">
        <f>IF(OR(B453="",COUNTIF($B$4:B453,B453)&gt;1),"",MAX($AC$3:AC452)+1)</f>
        <v/>
      </c>
      <c r="AD453" s="38" t="str">
        <f t="shared" si="69"/>
        <v/>
      </c>
      <c r="AE453" s="38" t="str">
        <f t="shared" si="70"/>
        <v/>
      </c>
      <c r="AF453" s="38" t="str">
        <f t="shared" si="71"/>
        <v/>
      </c>
    </row>
    <row r="454" spans="1:32" x14ac:dyDescent="0.3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38" t="str">
        <f>IF(OR(A454="Автомат",A454="Дифавтомат"),IF(W454="","",COUNTIFS(Однолинейка!$H$3:$H$3000,U454,Однолинейка!$A$3:$A$3000,Щит_спец)),IF(A454="Аппарат",IF(C454="","",COUNTIFS(Однолинейка!$I$3:$I$3000,C454,Однолинейка!$A$3:$A$3000,Щит_спец)+COUNTIFS(Однолинейка!$J$3:$J$3000,C454,Однолинейка!$A$3:$A$3000,Щит_спец)+COUNTIFS(Однолинейка!$K$3:$K$3000,C454,Однолинейка!$A$3:$A$3000,Щит_спец)),IF(A454="Модуль",IF(C454="","",COUNTIFS(Однолинейка!$AW$3:$AW$3000,"?*",Однолинейка!$AI$3:$AI$3000,C454,Однолинейка!$A$3:$A$3000,Щит_спец)),IF(A454="Клемма",IF(C454="","",IF(C454=$S$7,SUMIFS(Однолинейка!$BW$3:$BW$3000,Однолинейка!$A$3:$A$3000,Щит_спец),IF(C454=$S$8,SUMIFS(Однолинейка!$BX$3:$BX$3000,Однолинейка!$A$3:$A$3000,Щит_спец),""))),""))))</f>
        <v/>
      </c>
      <c r="O454" s="74"/>
      <c r="P454" s="38" t="str">
        <f t="shared" si="63"/>
        <v/>
      </c>
      <c r="U454" s="38" t="str">
        <f t="shared" si="64"/>
        <v/>
      </c>
      <c r="V454" s="38" t="str">
        <f t="shared" si="65"/>
        <v/>
      </c>
      <c r="W454" s="38" t="str">
        <f>IF(AND(U454&lt;&gt;"",OR($S$4="(все)",B454=$S$4),IF($S$4="(все)",COUNTIF($U$4:U454,U454),COUNTIFS($U$4:U454,U454,$B$4:B454,B454))=1),MAX($W$3:W453)+1,"")</f>
        <v/>
      </c>
      <c r="X454" s="38" t="str">
        <f t="shared" si="66"/>
        <v/>
      </c>
      <c r="Y454" s="38" t="str">
        <f>IF(AND(A454="Аппарат",C454&lt;&gt;"",OR($S$5="(все)",B454=$S$5)),MAX($Y$3:Y453)+1,"")</f>
        <v/>
      </c>
      <c r="Z454" s="38" t="str">
        <f t="shared" si="67"/>
        <v/>
      </c>
      <c r="AA454" s="38" t="str">
        <f>IF(AND(A454="Модуль",C454&lt;&gt;"",OR($S$6="(все)",B454=$S$6)),MAX($AA$3:AA453)+1,"")</f>
        <v/>
      </c>
      <c r="AB454" s="38" t="str">
        <f t="shared" si="68"/>
        <v/>
      </c>
      <c r="AC454" s="38" t="str">
        <f>IF(OR(B454="",COUNTIF($B$4:B454,B454)&gt;1),"",MAX($AC$3:AC453)+1)</f>
        <v/>
      </c>
      <c r="AD454" s="38" t="str">
        <f t="shared" si="69"/>
        <v/>
      </c>
      <c r="AE454" s="38" t="str">
        <f t="shared" si="70"/>
        <v/>
      </c>
      <c r="AF454" s="38" t="str">
        <f t="shared" si="71"/>
        <v/>
      </c>
    </row>
    <row r="455" spans="1:32" x14ac:dyDescent="0.3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38" t="str">
        <f>IF(OR(A455="Автомат",A455="Дифавтомат"),IF(W455="","",COUNTIFS(Однолинейка!$H$3:$H$3000,U455,Однолинейка!$A$3:$A$3000,Щит_спец)),IF(A455="Аппарат",IF(C455="","",COUNTIFS(Однолинейка!$I$3:$I$3000,C455,Однолинейка!$A$3:$A$3000,Щит_спец)+COUNTIFS(Однолинейка!$J$3:$J$3000,C455,Однолинейка!$A$3:$A$3000,Щит_спец)+COUNTIFS(Однолинейка!$K$3:$K$3000,C455,Однолинейка!$A$3:$A$3000,Щит_спец)),IF(A455="Модуль",IF(C455="","",COUNTIFS(Однолинейка!$AW$3:$AW$3000,"?*",Однолинейка!$AI$3:$AI$3000,C455,Однолинейка!$A$3:$A$3000,Щит_спец)),IF(A455="Клемма",IF(C455="","",IF(C455=$S$7,SUMIFS(Однолинейка!$BW$3:$BW$3000,Однолинейка!$A$3:$A$3000,Щит_спец),IF(C455=$S$8,SUMIFS(Однолинейка!$BX$3:$BX$3000,Однолинейка!$A$3:$A$3000,Щит_спец),""))),""))))</f>
        <v/>
      </c>
      <c r="O455" s="74"/>
      <c r="P455" s="38" t="str">
        <f t="shared" si="63"/>
        <v/>
      </c>
      <c r="U455" s="38" t="str">
        <f t="shared" si="64"/>
        <v/>
      </c>
      <c r="V455" s="38" t="str">
        <f t="shared" si="65"/>
        <v/>
      </c>
      <c r="W455" s="38" t="str">
        <f>IF(AND(U455&lt;&gt;"",OR($S$4="(все)",B455=$S$4),IF($S$4="(все)",COUNTIF($U$4:U455,U455),COUNTIFS($U$4:U455,U455,$B$4:B455,B455))=1),MAX($W$3:W454)+1,"")</f>
        <v/>
      </c>
      <c r="X455" s="38" t="str">
        <f t="shared" si="66"/>
        <v/>
      </c>
      <c r="Y455" s="38" t="str">
        <f>IF(AND(A455="Аппарат",C455&lt;&gt;"",OR($S$5="(все)",B455=$S$5)),MAX($Y$3:Y454)+1,"")</f>
        <v/>
      </c>
      <c r="Z455" s="38" t="str">
        <f t="shared" si="67"/>
        <v/>
      </c>
      <c r="AA455" s="38" t="str">
        <f>IF(AND(A455="Модуль",C455&lt;&gt;"",OR($S$6="(все)",B455=$S$6)),MAX($AA$3:AA454)+1,"")</f>
        <v/>
      </c>
      <c r="AB455" s="38" t="str">
        <f t="shared" si="68"/>
        <v/>
      </c>
      <c r="AC455" s="38" t="str">
        <f>IF(OR(B455="",COUNTIF($B$4:B455,B455)&gt;1),"",MAX($AC$3:AC454)+1)</f>
        <v/>
      </c>
      <c r="AD455" s="38" t="str">
        <f t="shared" si="69"/>
        <v/>
      </c>
      <c r="AE455" s="38" t="str">
        <f t="shared" si="70"/>
        <v/>
      </c>
      <c r="AF455" s="38" t="str">
        <f t="shared" si="71"/>
        <v/>
      </c>
    </row>
    <row r="456" spans="1:32" x14ac:dyDescent="0.3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38" t="str">
        <f>IF(OR(A456="Автомат",A456="Дифавтомат"),IF(W456="","",COUNTIFS(Однолинейка!$H$3:$H$3000,U456,Однолинейка!$A$3:$A$3000,Щит_спец)),IF(A456="Аппарат",IF(C456="","",COUNTIFS(Однолинейка!$I$3:$I$3000,C456,Однолинейка!$A$3:$A$3000,Щит_спец)+COUNTIFS(Однолинейка!$J$3:$J$3000,C456,Однолинейка!$A$3:$A$3000,Щит_спец)+COUNTIFS(Однолинейка!$K$3:$K$3000,C456,Однолинейка!$A$3:$A$3000,Щит_спец)),IF(A456="Модуль",IF(C456="","",COUNTIFS(Однолинейка!$AW$3:$AW$3000,"?*",Однолинейка!$AI$3:$AI$3000,C456,Однолинейка!$A$3:$A$3000,Щит_спец)),IF(A456="Клемма",IF(C456="","",IF(C456=$S$7,SUMIFS(Однолинейка!$BW$3:$BW$3000,Однолинейка!$A$3:$A$3000,Щит_спец),IF(C456=$S$8,SUMIFS(Однолинейка!$BX$3:$BX$3000,Однолинейка!$A$3:$A$3000,Щит_спец),""))),""))))</f>
        <v/>
      </c>
      <c r="O456" s="74"/>
      <c r="P456" s="38" t="str">
        <f t="shared" si="63"/>
        <v/>
      </c>
      <c r="U456" s="38" t="str">
        <f t="shared" si="64"/>
        <v/>
      </c>
      <c r="V456" s="38" t="str">
        <f t="shared" si="65"/>
        <v/>
      </c>
      <c r="W456" s="38" t="str">
        <f>IF(AND(U456&lt;&gt;"",OR($S$4="(все)",B456=$S$4),IF($S$4="(все)",COUNTIF($U$4:U456,U456),COUNTIFS($U$4:U456,U456,$B$4:B456,B456))=1),MAX($W$3:W455)+1,"")</f>
        <v/>
      </c>
      <c r="X456" s="38" t="str">
        <f t="shared" si="66"/>
        <v/>
      </c>
      <c r="Y456" s="38" t="str">
        <f>IF(AND(A456="Аппарат",C456&lt;&gt;"",OR($S$5="(все)",B456=$S$5)),MAX($Y$3:Y455)+1,"")</f>
        <v/>
      </c>
      <c r="Z456" s="38" t="str">
        <f t="shared" si="67"/>
        <v/>
      </c>
      <c r="AA456" s="38" t="str">
        <f>IF(AND(A456="Модуль",C456&lt;&gt;"",OR($S$6="(все)",B456=$S$6)),MAX($AA$3:AA455)+1,"")</f>
        <v/>
      </c>
      <c r="AB456" s="38" t="str">
        <f t="shared" si="68"/>
        <v/>
      </c>
      <c r="AC456" s="38" t="str">
        <f>IF(OR(B456="",COUNTIF($B$4:B456,B456)&gt;1),"",MAX($AC$3:AC455)+1)</f>
        <v/>
      </c>
      <c r="AD456" s="38" t="str">
        <f t="shared" si="69"/>
        <v/>
      </c>
      <c r="AE456" s="38" t="str">
        <f t="shared" si="70"/>
        <v/>
      </c>
      <c r="AF456" s="38" t="str">
        <f t="shared" si="71"/>
        <v/>
      </c>
    </row>
    <row r="457" spans="1:32" x14ac:dyDescent="0.3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38" t="str">
        <f>IF(OR(A457="Автомат",A457="Дифавтомат"),IF(W457="","",COUNTIFS(Однолинейка!$H$3:$H$3000,U457,Однолинейка!$A$3:$A$3000,Щит_спец)),IF(A457="Аппарат",IF(C457="","",COUNTIFS(Однолинейка!$I$3:$I$3000,C457,Однолинейка!$A$3:$A$3000,Щит_спец)+COUNTIFS(Однолинейка!$J$3:$J$3000,C457,Однолинейка!$A$3:$A$3000,Щит_спец)+COUNTIFS(Однолинейка!$K$3:$K$3000,C457,Однолинейка!$A$3:$A$3000,Щит_спец)),IF(A457="Модуль",IF(C457="","",COUNTIFS(Однолинейка!$AW$3:$AW$3000,"?*",Однолинейка!$AI$3:$AI$3000,C457,Однолинейка!$A$3:$A$3000,Щит_спец)),IF(A457="Клемма",IF(C457="","",IF(C457=$S$7,SUMIFS(Однолинейка!$BW$3:$BW$3000,Однолинейка!$A$3:$A$3000,Щит_спец),IF(C457=$S$8,SUMIFS(Однолинейка!$BX$3:$BX$3000,Однолинейка!$A$3:$A$3000,Щит_спец),""))),""))))</f>
        <v/>
      </c>
      <c r="O457" s="74"/>
      <c r="P457" s="38" t="str">
        <f t="shared" si="63"/>
        <v/>
      </c>
      <c r="U457" s="38" t="str">
        <f t="shared" si="64"/>
        <v/>
      </c>
      <c r="V457" s="38" t="str">
        <f t="shared" si="65"/>
        <v/>
      </c>
      <c r="W457" s="38" t="str">
        <f>IF(AND(U457&lt;&gt;"",OR($S$4="(все)",B457=$S$4),IF($S$4="(все)",COUNTIF($U$4:U457,U457),COUNTIFS($U$4:U457,U457,$B$4:B457,B457))=1),MAX($W$3:W456)+1,"")</f>
        <v/>
      </c>
      <c r="X457" s="38" t="str">
        <f t="shared" si="66"/>
        <v/>
      </c>
      <c r="Y457" s="38" t="str">
        <f>IF(AND(A457="Аппарат",C457&lt;&gt;"",OR($S$5="(все)",B457=$S$5)),MAX($Y$3:Y456)+1,"")</f>
        <v/>
      </c>
      <c r="Z457" s="38" t="str">
        <f t="shared" si="67"/>
        <v/>
      </c>
      <c r="AA457" s="38" t="str">
        <f>IF(AND(A457="Модуль",C457&lt;&gt;"",OR($S$6="(все)",B457=$S$6)),MAX($AA$3:AA456)+1,"")</f>
        <v/>
      </c>
      <c r="AB457" s="38" t="str">
        <f t="shared" si="68"/>
        <v/>
      </c>
      <c r="AC457" s="38" t="str">
        <f>IF(OR(B457="",COUNTIF($B$4:B457,B457)&gt;1),"",MAX($AC$3:AC456)+1)</f>
        <v/>
      </c>
      <c r="AD457" s="38" t="str">
        <f t="shared" si="69"/>
        <v/>
      </c>
      <c r="AE457" s="38" t="str">
        <f t="shared" si="70"/>
        <v/>
      </c>
      <c r="AF457" s="38" t="str">
        <f t="shared" si="71"/>
        <v/>
      </c>
    </row>
    <row r="458" spans="1:32" x14ac:dyDescent="0.3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38" t="str">
        <f>IF(OR(A458="Автомат",A458="Дифавтомат"),IF(W458="","",COUNTIFS(Однолинейка!$H$3:$H$3000,U458,Однолинейка!$A$3:$A$3000,Щит_спец)),IF(A458="Аппарат",IF(C458="","",COUNTIFS(Однолинейка!$I$3:$I$3000,C458,Однолинейка!$A$3:$A$3000,Щит_спец)+COUNTIFS(Однолинейка!$J$3:$J$3000,C458,Однолинейка!$A$3:$A$3000,Щит_спец)+COUNTIFS(Однолинейка!$K$3:$K$3000,C458,Однолинейка!$A$3:$A$3000,Щит_спец)),IF(A458="Модуль",IF(C458="","",COUNTIFS(Однолинейка!$AW$3:$AW$3000,"?*",Однолинейка!$AI$3:$AI$3000,C458,Однолинейка!$A$3:$A$3000,Щит_спец)),IF(A458="Клемма",IF(C458="","",IF(C458=$S$7,SUMIFS(Однолинейка!$BW$3:$BW$3000,Однолинейка!$A$3:$A$3000,Щит_спец),IF(C458=$S$8,SUMIFS(Однолинейка!$BX$3:$BX$3000,Однолинейка!$A$3:$A$3000,Щит_спец),""))),""))))</f>
        <v/>
      </c>
      <c r="O458" s="74"/>
      <c r="P458" s="38" t="str">
        <f t="shared" si="63"/>
        <v/>
      </c>
      <c r="U458" s="38" t="str">
        <f t="shared" si="64"/>
        <v/>
      </c>
      <c r="V458" s="38" t="str">
        <f t="shared" si="65"/>
        <v/>
      </c>
      <c r="W458" s="38" t="str">
        <f>IF(AND(U458&lt;&gt;"",OR($S$4="(все)",B458=$S$4),IF($S$4="(все)",COUNTIF($U$4:U458,U458),COUNTIFS($U$4:U458,U458,$B$4:B458,B458))=1),MAX($W$3:W457)+1,"")</f>
        <v/>
      </c>
      <c r="X458" s="38" t="str">
        <f t="shared" si="66"/>
        <v/>
      </c>
      <c r="Y458" s="38" t="str">
        <f>IF(AND(A458="Аппарат",C458&lt;&gt;"",OR($S$5="(все)",B458=$S$5)),MAX($Y$3:Y457)+1,"")</f>
        <v/>
      </c>
      <c r="Z458" s="38" t="str">
        <f t="shared" si="67"/>
        <v/>
      </c>
      <c r="AA458" s="38" t="str">
        <f>IF(AND(A458="Модуль",C458&lt;&gt;"",OR($S$6="(все)",B458=$S$6)),MAX($AA$3:AA457)+1,"")</f>
        <v/>
      </c>
      <c r="AB458" s="38" t="str">
        <f t="shared" si="68"/>
        <v/>
      </c>
      <c r="AC458" s="38" t="str">
        <f>IF(OR(B458="",COUNTIF($B$4:B458,B458)&gt;1),"",MAX($AC$3:AC457)+1)</f>
        <v/>
      </c>
      <c r="AD458" s="38" t="str">
        <f t="shared" si="69"/>
        <v/>
      </c>
      <c r="AE458" s="38" t="str">
        <f t="shared" si="70"/>
        <v/>
      </c>
      <c r="AF458" s="38" t="str">
        <f t="shared" si="71"/>
        <v/>
      </c>
    </row>
    <row r="459" spans="1:32" x14ac:dyDescent="0.3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38" t="str">
        <f>IF(OR(A459="Автомат",A459="Дифавтомат"),IF(W459="","",COUNTIFS(Однолинейка!$H$3:$H$3000,U459,Однолинейка!$A$3:$A$3000,Щит_спец)),IF(A459="Аппарат",IF(C459="","",COUNTIFS(Однолинейка!$I$3:$I$3000,C459,Однолинейка!$A$3:$A$3000,Щит_спец)+COUNTIFS(Однолинейка!$J$3:$J$3000,C459,Однолинейка!$A$3:$A$3000,Щит_спец)+COUNTIFS(Однолинейка!$K$3:$K$3000,C459,Однолинейка!$A$3:$A$3000,Щит_спец)),IF(A459="Модуль",IF(C459="","",COUNTIFS(Однолинейка!$AW$3:$AW$3000,"?*",Однолинейка!$AI$3:$AI$3000,C459,Однолинейка!$A$3:$A$3000,Щит_спец)),IF(A459="Клемма",IF(C459="","",IF(C459=$S$7,SUMIFS(Однолинейка!$BW$3:$BW$3000,Однолинейка!$A$3:$A$3000,Щит_спец),IF(C459=$S$8,SUMIFS(Однолинейка!$BX$3:$BX$3000,Однолинейка!$A$3:$A$3000,Щит_спец),""))),""))))</f>
        <v/>
      </c>
      <c r="O459" s="74"/>
      <c r="P459" s="38" t="str">
        <f t="shared" si="63"/>
        <v/>
      </c>
      <c r="U459" s="38" t="str">
        <f t="shared" si="64"/>
        <v/>
      </c>
      <c r="V459" s="38" t="str">
        <f t="shared" si="65"/>
        <v/>
      </c>
      <c r="W459" s="38" t="str">
        <f>IF(AND(U459&lt;&gt;"",OR($S$4="(все)",B459=$S$4),IF($S$4="(все)",COUNTIF($U$4:U459,U459),COUNTIFS($U$4:U459,U459,$B$4:B459,B459))=1),MAX($W$3:W458)+1,"")</f>
        <v/>
      </c>
      <c r="X459" s="38" t="str">
        <f t="shared" si="66"/>
        <v/>
      </c>
      <c r="Y459" s="38" t="str">
        <f>IF(AND(A459="Аппарат",C459&lt;&gt;"",OR($S$5="(все)",B459=$S$5)),MAX($Y$3:Y458)+1,"")</f>
        <v/>
      </c>
      <c r="Z459" s="38" t="str">
        <f t="shared" si="67"/>
        <v/>
      </c>
      <c r="AA459" s="38" t="str">
        <f>IF(AND(A459="Модуль",C459&lt;&gt;"",OR($S$6="(все)",B459=$S$6)),MAX($AA$3:AA458)+1,"")</f>
        <v/>
      </c>
      <c r="AB459" s="38" t="str">
        <f t="shared" si="68"/>
        <v/>
      </c>
      <c r="AC459" s="38" t="str">
        <f>IF(OR(B459="",COUNTIF($B$4:B459,B459)&gt;1),"",MAX($AC$3:AC458)+1)</f>
        <v/>
      </c>
      <c r="AD459" s="38" t="str">
        <f t="shared" si="69"/>
        <v/>
      </c>
      <c r="AE459" s="38" t="str">
        <f t="shared" si="70"/>
        <v/>
      </c>
      <c r="AF459" s="38" t="str">
        <f t="shared" si="71"/>
        <v/>
      </c>
    </row>
    <row r="460" spans="1:32" x14ac:dyDescent="0.3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38" t="str">
        <f>IF(OR(A460="Автомат",A460="Дифавтомат"),IF(W460="","",COUNTIFS(Однолинейка!$H$3:$H$3000,U460,Однолинейка!$A$3:$A$3000,Щит_спец)),IF(A460="Аппарат",IF(C460="","",COUNTIFS(Однолинейка!$I$3:$I$3000,C460,Однолинейка!$A$3:$A$3000,Щит_спец)+COUNTIFS(Однолинейка!$J$3:$J$3000,C460,Однолинейка!$A$3:$A$3000,Щит_спец)+COUNTIFS(Однолинейка!$K$3:$K$3000,C460,Однолинейка!$A$3:$A$3000,Щит_спец)),IF(A460="Модуль",IF(C460="","",COUNTIFS(Однолинейка!$AW$3:$AW$3000,"?*",Однолинейка!$AI$3:$AI$3000,C460,Однолинейка!$A$3:$A$3000,Щит_спец)),IF(A460="Клемма",IF(C460="","",IF(C460=$S$7,SUMIFS(Однолинейка!$BW$3:$BW$3000,Однолинейка!$A$3:$A$3000,Щит_спец),IF(C460=$S$8,SUMIFS(Однолинейка!$BX$3:$BX$3000,Однолинейка!$A$3:$A$3000,Щит_спец),""))),""))))</f>
        <v/>
      </c>
      <c r="O460" s="74"/>
      <c r="P460" s="38" t="str">
        <f t="shared" si="63"/>
        <v/>
      </c>
      <c r="U460" s="38" t="str">
        <f t="shared" si="64"/>
        <v/>
      </c>
      <c r="V460" s="38" t="str">
        <f t="shared" si="65"/>
        <v/>
      </c>
      <c r="W460" s="38" t="str">
        <f>IF(AND(U460&lt;&gt;"",OR($S$4="(все)",B460=$S$4),IF($S$4="(все)",COUNTIF($U$4:U460,U460),COUNTIFS($U$4:U460,U460,$B$4:B460,B460))=1),MAX($W$3:W459)+1,"")</f>
        <v/>
      </c>
      <c r="X460" s="38" t="str">
        <f t="shared" si="66"/>
        <v/>
      </c>
      <c r="Y460" s="38" t="str">
        <f>IF(AND(A460="Аппарат",C460&lt;&gt;"",OR($S$5="(все)",B460=$S$5)),MAX($Y$3:Y459)+1,"")</f>
        <v/>
      </c>
      <c r="Z460" s="38" t="str">
        <f t="shared" si="67"/>
        <v/>
      </c>
      <c r="AA460" s="38" t="str">
        <f>IF(AND(A460="Модуль",C460&lt;&gt;"",OR($S$6="(все)",B460=$S$6)),MAX($AA$3:AA459)+1,"")</f>
        <v/>
      </c>
      <c r="AB460" s="38" t="str">
        <f t="shared" si="68"/>
        <v/>
      </c>
      <c r="AC460" s="38" t="str">
        <f>IF(OR(B460="",COUNTIF($B$4:B460,B460)&gt;1),"",MAX($AC$3:AC459)+1)</f>
        <v/>
      </c>
      <c r="AD460" s="38" t="str">
        <f t="shared" si="69"/>
        <v/>
      </c>
      <c r="AE460" s="38" t="str">
        <f t="shared" si="70"/>
        <v/>
      </c>
      <c r="AF460" s="38" t="str">
        <f t="shared" si="71"/>
        <v/>
      </c>
    </row>
    <row r="461" spans="1:32" x14ac:dyDescent="0.3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38" t="str">
        <f>IF(OR(A461="Автомат",A461="Дифавтомат"),IF(W461="","",COUNTIFS(Однолинейка!$H$3:$H$3000,U461,Однолинейка!$A$3:$A$3000,Щит_спец)),IF(A461="Аппарат",IF(C461="","",COUNTIFS(Однолинейка!$I$3:$I$3000,C461,Однолинейка!$A$3:$A$3000,Щит_спец)+COUNTIFS(Однолинейка!$J$3:$J$3000,C461,Однолинейка!$A$3:$A$3000,Щит_спец)+COUNTIFS(Однолинейка!$K$3:$K$3000,C461,Однолинейка!$A$3:$A$3000,Щит_спец)),IF(A461="Модуль",IF(C461="","",COUNTIFS(Однолинейка!$AW$3:$AW$3000,"?*",Однолинейка!$AI$3:$AI$3000,C461,Однолинейка!$A$3:$A$3000,Щит_спец)),IF(A461="Клемма",IF(C461="","",IF(C461=$S$7,SUMIFS(Однолинейка!$BW$3:$BW$3000,Однолинейка!$A$3:$A$3000,Щит_спец),IF(C461=$S$8,SUMIFS(Однолинейка!$BX$3:$BX$3000,Однолинейка!$A$3:$A$3000,Щит_спец),""))),""))))</f>
        <v/>
      </c>
      <c r="O461" s="74"/>
      <c r="P461" s="38" t="str">
        <f t="shared" si="63"/>
        <v/>
      </c>
      <c r="U461" s="38" t="str">
        <f t="shared" si="64"/>
        <v/>
      </c>
      <c r="V461" s="38" t="str">
        <f t="shared" si="65"/>
        <v/>
      </c>
      <c r="W461" s="38" t="str">
        <f>IF(AND(U461&lt;&gt;"",OR($S$4="(все)",B461=$S$4),IF($S$4="(все)",COUNTIF($U$4:U461,U461),COUNTIFS($U$4:U461,U461,$B$4:B461,B461))=1),MAX($W$3:W460)+1,"")</f>
        <v/>
      </c>
      <c r="X461" s="38" t="str">
        <f t="shared" si="66"/>
        <v/>
      </c>
      <c r="Y461" s="38" t="str">
        <f>IF(AND(A461="Аппарат",C461&lt;&gt;"",OR($S$5="(все)",B461=$S$5)),MAX($Y$3:Y460)+1,"")</f>
        <v/>
      </c>
      <c r="Z461" s="38" t="str">
        <f t="shared" si="67"/>
        <v/>
      </c>
      <c r="AA461" s="38" t="str">
        <f>IF(AND(A461="Модуль",C461&lt;&gt;"",OR($S$6="(все)",B461=$S$6)),MAX($AA$3:AA460)+1,"")</f>
        <v/>
      </c>
      <c r="AB461" s="38" t="str">
        <f t="shared" si="68"/>
        <v/>
      </c>
      <c r="AC461" s="38" t="str">
        <f>IF(OR(B461="",COUNTIF($B$4:B461,B461)&gt;1),"",MAX($AC$3:AC460)+1)</f>
        <v/>
      </c>
      <c r="AD461" s="38" t="str">
        <f t="shared" si="69"/>
        <v/>
      </c>
      <c r="AE461" s="38" t="str">
        <f t="shared" si="70"/>
        <v/>
      </c>
      <c r="AF461" s="38" t="str">
        <f t="shared" si="71"/>
        <v/>
      </c>
    </row>
    <row r="462" spans="1:32" x14ac:dyDescent="0.3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38" t="str">
        <f>IF(OR(A462="Автомат",A462="Дифавтомат"),IF(W462="","",COUNTIFS(Однолинейка!$H$3:$H$3000,U462,Однолинейка!$A$3:$A$3000,Щит_спец)),IF(A462="Аппарат",IF(C462="","",COUNTIFS(Однолинейка!$I$3:$I$3000,C462,Однолинейка!$A$3:$A$3000,Щит_спец)+COUNTIFS(Однолинейка!$J$3:$J$3000,C462,Однолинейка!$A$3:$A$3000,Щит_спец)+COUNTIFS(Однолинейка!$K$3:$K$3000,C462,Однолинейка!$A$3:$A$3000,Щит_спец)),IF(A462="Модуль",IF(C462="","",COUNTIFS(Однолинейка!$AW$3:$AW$3000,"?*",Однолинейка!$AI$3:$AI$3000,C462,Однолинейка!$A$3:$A$3000,Щит_спец)),IF(A462="Клемма",IF(C462="","",IF(C462=$S$7,SUMIFS(Однолинейка!$BW$3:$BW$3000,Однолинейка!$A$3:$A$3000,Щит_спец),IF(C462=$S$8,SUMIFS(Однолинейка!$BX$3:$BX$3000,Однолинейка!$A$3:$A$3000,Щит_спец),""))),""))))</f>
        <v/>
      </c>
      <c r="O462" s="74"/>
      <c r="P462" s="38" t="str">
        <f t="shared" si="63"/>
        <v/>
      </c>
      <c r="U462" s="38" t="str">
        <f t="shared" si="64"/>
        <v/>
      </c>
      <c r="V462" s="38" t="str">
        <f t="shared" si="65"/>
        <v/>
      </c>
      <c r="W462" s="38" t="str">
        <f>IF(AND(U462&lt;&gt;"",OR($S$4="(все)",B462=$S$4),IF($S$4="(все)",COUNTIF($U$4:U462,U462),COUNTIFS($U$4:U462,U462,$B$4:B462,B462))=1),MAX($W$3:W461)+1,"")</f>
        <v/>
      </c>
      <c r="X462" s="38" t="str">
        <f t="shared" si="66"/>
        <v/>
      </c>
      <c r="Y462" s="38" t="str">
        <f>IF(AND(A462="Аппарат",C462&lt;&gt;"",OR($S$5="(все)",B462=$S$5)),MAX($Y$3:Y461)+1,"")</f>
        <v/>
      </c>
      <c r="Z462" s="38" t="str">
        <f t="shared" si="67"/>
        <v/>
      </c>
      <c r="AA462" s="38" t="str">
        <f>IF(AND(A462="Модуль",C462&lt;&gt;"",OR($S$6="(все)",B462=$S$6)),MAX($AA$3:AA461)+1,"")</f>
        <v/>
      </c>
      <c r="AB462" s="38" t="str">
        <f t="shared" si="68"/>
        <v/>
      </c>
      <c r="AC462" s="38" t="str">
        <f>IF(OR(B462="",COUNTIF($B$4:B462,B462)&gt;1),"",MAX($AC$3:AC461)+1)</f>
        <v/>
      </c>
      <c r="AD462" s="38" t="str">
        <f t="shared" si="69"/>
        <v/>
      </c>
      <c r="AE462" s="38" t="str">
        <f t="shared" si="70"/>
        <v/>
      </c>
      <c r="AF462" s="38" t="str">
        <f t="shared" si="71"/>
        <v/>
      </c>
    </row>
    <row r="463" spans="1:32" x14ac:dyDescent="0.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38" t="str">
        <f>IF(OR(A463="Автомат",A463="Дифавтомат"),IF(W463="","",COUNTIFS(Однолинейка!$H$3:$H$3000,U463,Однолинейка!$A$3:$A$3000,Щит_спец)),IF(A463="Аппарат",IF(C463="","",COUNTIFS(Однолинейка!$I$3:$I$3000,C463,Однолинейка!$A$3:$A$3000,Щит_спец)+COUNTIFS(Однолинейка!$J$3:$J$3000,C463,Однолинейка!$A$3:$A$3000,Щит_спец)+COUNTIFS(Однолинейка!$K$3:$K$3000,C463,Однолинейка!$A$3:$A$3000,Щит_спец)),IF(A463="Модуль",IF(C463="","",COUNTIFS(Однолинейка!$AW$3:$AW$3000,"?*",Однолинейка!$AI$3:$AI$3000,C463,Однолинейка!$A$3:$A$3000,Щит_спец)),IF(A463="Клемма",IF(C463="","",IF(C463=$S$7,SUMIFS(Однолинейка!$BW$3:$BW$3000,Однолинейка!$A$3:$A$3000,Щит_спец),IF(C463=$S$8,SUMIFS(Однолинейка!$BX$3:$BX$3000,Однолинейка!$A$3:$A$3000,Щит_спец),""))),""))))</f>
        <v/>
      </c>
      <c r="O463" s="74"/>
      <c r="P463" s="38" t="str">
        <f t="shared" si="63"/>
        <v/>
      </c>
      <c r="U463" s="38" t="str">
        <f t="shared" si="64"/>
        <v/>
      </c>
      <c r="V463" s="38" t="str">
        <f t="shared" si="65"/>
        <v/>
      </c>
      <c r="W463" s="38" t="str">
        <f>IF(AND(U463&lt;&gt;"",OR($S$4="(все)",B463=$S$4),IF($S$4="(все)",COUNTIF($U$4:U463,U463),COUNTIFS($U$4:U463,U463,$B$4:B463,B463))=1),MAX($W$3:W462)+1,"")</f>
        <v/>
      </c>
      <c r="X463" s="38" t="str">
        <f t="shared" si="66"/>
        <v/>
      </c>
      <c r="Y463" s="38" t="str">
        <f>IF(AND(A463="Аппарат",C463&lt;&gt;"",OR($S$5="(все)",B463=$S$5)),MAX($Y$3:Y462)+1,"")</f>
        <v/>
      </c>
      <c r="Z463" s="38" t="str">
        <f t="shared" si="67"/>
        <v/>
      </c>
      <c r="AA463" s="38" t="str">
        <f>IF(AND(A463="Модуль",C463&lt;&gt;"",OR($S$6="(все)",B463=$S$6)),MAX($AA$3:AA462)+1,"")</f>
        <v/>
      </c>
      <c r="AB463" s="38" t="str">
        <f t="shared" si="68"/>
        <v/>
      </c>
      <c r="AC463" s="38" t="str">
        <f>IF(OR(B463="",COUNTIF($B$4:B463,B463)&gt;1),"",MAX($AC$3:AC462)+1)</f>
        <v/>
      </c>
      <c r="AD463" s="38" t="str">
        <f t="shared" si="69"/>
        <v/>
      </c>
      <c r="AE463" s="38" t="str">
        <f t="shared" si="70"/>
        <v/>
      </c>
      <c r="AF463" s="38" t="str">
        <f t="shared" si="71"/>
        <v/>
      </c>
    </row>
    <row r="464" spans="1:32" x14ac:dyDescent="0.3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38" t="str">
        <f>IF(OR(A464="Автомат",A464="Дифавтомат"),IF(W464="","",COUNTIFS(Однолинейка!$H$3:$H$3000,U464,Однолинейка!$A$3:$A$3000,Щит_спец)),IF(A464="Аппарат",IF(C464="","",COUNTIFS(Однолинейка!$I$3:$I$3000,C464,Однолинейка!$A$3:$A$3000,Щит_спец)+COUNTIFS(Однолинейка!$J$3:$J$3000,C464,Однолинейка!$A$3:$A$3000,Щит_спец)+COUNTIFS(Однолинейка!$K$3:$K$3000,C464,Однолинейка!$A$3:$A$3000,Щит_спец)),IF(A464="Модуль",IF(C464="","",COUNTIFS(Однолинейка!$AW$3:$AW$3000,"?*",Однолинейка!$AI$3:$AI$3000,C464,Однолинейка!$A$3:$A$3000,Щит_спец)),IF(A464="Клемма",IF(C464="","",IF(C464=$S$7,SUMIFS(Однолинейка!$BW$3:$BW$3000,Однолинейка!$A$3:$A$3000,Щит_спец),IF(C464=$S$8,SUMIFS(Однолинейка!$BX$3:$BX$3000,Однолинейка!$A$3:$A$3000,Щит_спец),""))),""))))</f>
        <v/>
      </c>
      <c r="O464" s="74"/>
      <c r="P464" s="38" t="str">
        <f t="shared" si="63"/>
        <v/>
      </c>
      <c r="U464" s="38" t="str">
        <f t="shared" si="64"/>
        <v/>
      </c>
      <c r="V464" s="38" t="str">
        <f t="shared" si="65"/>
        <v/>
      </c>
      <c r="W464" s="38" t="str">
        <f>IF(AND(U464&lt;&gt;"",OR($S$4="(все)",B464=$S$4),IF($S$4="(все)",COUNTIF($U$4:U464,U464),COUNTIFS($U$4:U464,U464,$B$4:B464,B464))=1),MAX($W$3:W463)+1,"")</f>
        <v/>
      </c>
      <c r="X464" s="38" t="str">
        <f t="shared" si="66"/>
        <v/>
      </c>
      <c r="Y464" s="38" t="str">
        <f>IF(AND(A464="Аппарат",C464&lt;&gt;"",OR($S$5="(все)",B464=$S$5)),MAX($Y$3:Y463)+1,"")</f>
        <v/>
      </c>
      <c r="Z464" s="38" t="str">
        <f t="shared" si="67"/>
        <v/>
      </c>
      <c r="AA464" s="38" t="str">
        <f>IF(AND(A464="Модуль",C464&lt;&gt;"",OR($S$6="(все)",B464=$S$6)),MAX($AA$3:AA463)+1,"")</f>
        <v/>
      </c>
      <c r="AB464" s="38" t="str">
        <f t="shared" si="68"/>
        <v/>
      </c>
      <c r="AC464" s="38" t="str">
        <f>IF(OR(B464="",COUNTIF($B$4:B464,B464)&gt;1),"",MAX($AC$3:AC463)+1)</f>
        <v/>
      </c>
      <c r="AD464" s="38" t="str">
        <f t="shared" si="69"/>
        <v/>
      </c>
      <c r="AE464" s="38" t="str">
        <f t="shared" si="70"/>
        <v/>
      </c>
      <c r="AF464" s="38" t="str">
        <f t="shared" si="71"/>
        <v/>
      </c>
    </row>
    <row r="465" spans="1:32" x14ac:dyDescent="0.3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38" t="str">
        <f>IF(OR(A465="Автомат",A465="Дифавтомат"),IF(W465="","",COUNTIFS(Однолинейка!$H$3:$H$3000,U465,Однолинейка!$A$3:$A$3000,Щит_спец)),IF(A465="Аппарат",IF(C465="","",COUNTIFS(Однолинейка!$I$3:$I$3000,C465,Однолинейка!$A$3:$A$3000,Щит_спец)+COUNTIFS(Однолинейка!$J$3:$J$3000,C465,Однолинейка!$A$3:$A$3000,Щит_спец)+COUNTIFS(Однолинейка!$K$3:$K$3000,C465,Однолинейка!$A$3:$A$3000,Щит_спец)),IF(A465="Модуль",IF(C465="","",COUNTIFS(Однолинейка!$AW$3:$AW$3000,"?*",Однолинейка!$AI$3:$AI$3000,C465,Однолинейка!$A$3:$A$3000,Щит_спец)),IF(A465="Клемма",IF(C465="","",IF(C465=$S$7,SUMIFS(Однолинейка!$BW$3:$BW$3000,Однолинейка!$A$3:$A$3000,Щит_спец),IF(C465=$S$8,SUMIFS(Однолинейка!$BX$3:$BX$3000,Однолинейка!$A$3:$A$3000,Щит_спец),""))),""))))</f>
        <v/>
      </c>
      <c r="O465" s="74"/>
      <c r="P465" s="38" t="str">
        <f t="shared" si="63"/>
        <v/>
      </c>
      <c r="U465" s="38" t="str">
        <f t="shared" si="64"/>
        <v/>
      </c>
      <c r="V465" s="38" t="str">
        <f t="shared" si="65"/>
        <v/>
      </c>
      <c r="W465" s="38" t="str">
        <f>IF(AND(U465&lt;&gt;"",OR($S$4="(все)",B465=$S$4),IF($S$4="(все)",COUNTIF($U$4:U465,U465),COUNTIFS($U$4:U465,U465,$B$4:B465,B465))=1),MAX($W$3:W464)+1,"")</f>
        <v/>
      </c>
      <c r="X465" s="38" t="str">
        <f t="shared" si="66"/>
        <v/>
      </c>
      <c r="Y465" s="38" t="str">
        <f>IF(AND(A465="Аппарат",C465&lt;&gt;"",OR($S$5="(все)",B465=$S$5)),MAX($Y$3:Y464)+1,"")</f>
        <v/>
      </c>
      <c r="Z465" s="38" t="str">
        <f t="shared" si="67"/>
        <v/>
      </c>
      <c r="AA465" s="38" t="str">
        <f>IF(AND(A465="Модуль",C465&lt;&gt;"",OR($S$6="(все)",B465=$S$6)),MAX($AA$3:AA464)+1,"")</f>
        <v/>
      </c>
      <c r="AB465" s="38" t="str">
        <f t="shared" si="68"/>
        <v/>
      </c>
      <c r="AC465" s="38" t="str">
        <f>IF(OR(B465="",COUNTIF($B$4:B465,B465)&gt;1),"",MAX($AC$3:AC464)+1)</f>
        <v/>
      </c>
      <c r="AD465" s="38" t="str">
        <f t="shared" si="69"/>
        <v/>
      </c>
      <c r="AE465" s="38" t="str">
        <f t="shared" si="70"/>
        <v/>
      </c>
      <c r="AF465" s="38" t="str">
        <f t="shared" si="71"/>
        <v/>
      </c>
    </row>
    <row r="466" spans="1:32" x14ac:dyDescent="0.3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38" t="str">
        <f>IF(OR(A466="Автомат",A466="Дифавтомат"),IF(W466="","",COUNTIFS(Однолинейка!$H$3:$H$3000,U466,Однолинейка!$A$3:$A$3000,Щит_спец)),IF(A466="Аппарат",IF(C466="","",COUNTIFS(Однолинейка!$I$3:$I$3000,C466,Однолинейка!$A$3:$A$3000,Щит_спец)+COUNTIFS(Однолинейка!$J$3:$J$3000,C466,Однолинейка!$A$3:$A$3000,Щит_спец)+COUNTIFS(Однолинейка!$K$3:$K$3000,C466,Однолинейка!$A$3:$A$3000,Щит_спец)),IF(A466="Модуль",IF(C466="","",COUNTIFS(Однолинейка!$AW$3:$AW$3000,"?*",Однолинейка!$AI$3:$AI$3000,C466,Однолинейка!$A$3:$A$3000,Щит_спец)),IF(A466="Клемма",IF(C466="","",IF(C466=$S$7,SUMIFS(Однолинейка!$BW$3:$BW$3000,Однолинейка!$A$3:$A$3000,Щит_спец),IF(C466=$S$8,SUMIFS(Однолинейка!$BX$3:$BX$3000,Однолинейка!$A$3:$A$3000,Щит_спец),""))),""))))</f>
        <v/>
      </c>
      <c r="O466" s="74"/>
      <c r="P466" s="38" t="str">
        <f t="shared" si="63"/>
        <v/>
      </c>
      <c r="U466" s="38" t="str">
        <f t="shared" si="64"/>
        <v/>
      </c>
      <c r="V466" s="38" t="str">
        <f t="shared" si="65"/>
        <v/>
      </c>
      <c r="W466" s="38" t="str">
        <f>IF(AND(U466&lt;&gt;"",OR($S$4="(все)",B466=$S$4),IF($S$4="(все)",COUNTIF($U$4:U466,U466),COUNTIFS($U$4:U466,U466,$B$4:B466,B466))=1),MAX($W$3:W465)+1,"")</f>
        <v/>
      </c>
      <c r="X466" s="38" t="str">
        <f t="shared" si="66"/>
        <v/>
      </c>
      <c r="Y466" s="38" t="str">
        <f>IF(AND(A466="Аппарат",C466&lt;&gt;"",OR($S$5="(все)",B466=$S$5)),MAX($Y$3:Y465)+1,"")</f>
        <v/>
      </c>
      <c r="Z466" s="38" t="str">
        <f t="shared" si="67"/>
        <v/>
      </c>
      <c r="AA466" s="38" t="str">
        <f>IF(AND(A466="Модуль",C466&lt;&gt;"",OR($S$6="(все)",B466=$S$6)),MAX($AA$3:AA465)+1,"")</f>
        <v/>
      </c>
      <c r="AB466" s="38" t="str">
        <f t="shared" si="68"/>
        <v/>
      </c>
      <c r="AC466" s="38" t="str">
        <f>IF(OR(B466="",COUNTIF($B$4:B466,B466)&gt;1),"",MAX($AC$3:AC465)+1)</f>
        <v/>
      </c>
      <c r="AD466" s="38" t="str">
        <f t="shared" si="69"/>
        <v/>
      </c>
      <c r="AE466" s="38" t="str">
        <f t="shared" si="70"/>
        <v/>
      </c>
      <c r="AF466" s="38" t="str">
        <f t="shared" si="71"/>
        <v/>
      </c>
    </row>
    <row r="467" spans="1:32" x14ac:dyDescent="0.3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38" t="str">
        <f>IF(OR(A467="Автомат",A467="Дифавтомат"),IF(W467="","",COUNTIFS(Однолинейка!$H$3:$H$3000,U467,Однолинейка!$A$3:$A$3000,Щит_спец)),IF(A467="Аппарат",IF(C467="","",COUNTIFS(Однолинейка!$I$3:$I$3000,C467,Однолинейка!$A$3:$A$3000,Щит_спец)+COUNTIFS(Однолинейка!$J$3:$J$3000,C467,Однолинейка!$A$3:$A$3000,Щит_спец)+COUNTIFS(Однолинейка!$K$3:$K$3000,C467,Однолинейка!$A$3:$A$3000,Щит_спец)),IF(A467="Модуль",IF(C467="","",COUNTIFS(Однолинейка!$AW$3:$AW$3000,"?*",Однолинейка!$AI$3:$AI$3000,C467,Однолинейка!$A$3:$A$3000,Щит_спец)),IF(A467="Клемма",IF(C467="","",IF(C467=$S$7,SUMIFS(Однолинейка!$BW$3:$BW$3000,Однолинейка!$A$3:$A$3000,Щит_спец),IF(C467=$S$8,SUMIFS(Однолинейка!$BX$3:$BX$3000,Однолинейка!$A$3:$A$3000,Щит_спец),""))),""))))</f>
        <v/>
      </c>
      <c r="O467" s="74"/>
      <c r="P467" s="38" t="str">
        <f t="shared" si="63"/>
        <v/>
      </c>
      <c r="U467" s="38" t="str">
        <f t="shared" si="64"/>
        <v/>
      </c>
      <c r="V467" s="38" t="str">
        <f t="shared" si="65"/>
        <v/>
      </c>
      <c r="W467" s="38" t="str">
        <f>IF(AND(U467&lt;&gt;"",OR($S$4="(все)",B467=$S$4),IF($S$4="(все)",COUNTIF($U$4:U467,U467),COUNTIFS($U$4:U467,U467,$B$4:B467,B467))=1),MAX($W$3:W466)+1,"")</f>
        <v/>
      </c>
      <c r="X467" s="38" t="str">
        <f t="shared" si="66"/>
        <v/>
      </c>
      <c r="Y467" s="38" t="str">
        <f>IF(AND(A467="Аппарат",C467&lt;&gt;"",OR($S$5="(все)",B467=$S$5)),MAX($Y$3:Y466)+1,"")</f>
        <v/>
      </c>
      <c r="Z467" s="38" t="str">
        <f t="shared" si="67"/>
        <v/>
      </c>
      <c r="AA467" s="38" t="str">
        <f>IF(AND(A467="Модуль",C467&lt;&gt;"",OR($S$6="(все)",B467=$S$6)),MAX($AA$3:AA466)+1,"")</f>
        <v/>
      </c>
      <c r="AB467" s="38" t="str">
        <f t="shared" si="68"/>
        <v/>
      </c>
      <c r="AC467" s="38" t="str">
        <f>IF(OR(B467="",COUNTIF($B$4:B467,B467)&gt;1),"",MAX($AC$3:AC466)+1)</f>
        <v/>
      </c>
      <c r="AD467" s="38" t="str">
        <f t="shared" si="69"/>
        <v/>
      </c>
      <c r="AE467" s="38" t="str">
        <f t="shared" si="70"/>
        <v/>
      </c>
      <c r="AF467" s="38" t="str">
        <f t="shared" si="71"/>
        <v/>
      </c>
    </row>
    <row r="468" spans="1:32" x14ac:dyDescent="0.3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38" t="str">
        <f>IF(OR(A468="Автомат",A468="Дифавтомат"),IF(W468="","",COUNTIFS(Однолинейка!$H$3:$H$3000,U468,Однолинейка!$A$3:$A$3000,Щит_спец)),IF(A468="Аппарат",IF(C468="","",COUNTIFS(Однолинейка!$I$3:$I$3000,C468,Однолинейка!$A$3:$A$3000,Щит_спец)+COUNTIFS(Однолинейка!$J$3:$J$3000,C468,Однолинейка!$A$3:$A$3000,Щит_спец)+COUNTIFS(Однолинейка!$K$3:$K$3000,C468,Однолинейка!$A$3:$A$3000,Щит_спец)),IF(A468="Модуль",IF(C468="","",COUNTIFS(Однолинейка!$AW$3:$AW$3000,"?*",Однолинейка!$AI$3:$AI$3000,C468,Однолинейка!$A$3:$A$3000,Щит_спец)),IF(A468="Клемма",IF(C468="","",IF(C468=$S$7,SUMIFS(Однолинейка!$BW$3:$BW$3000,Однолинейка!$A$3:$A$3000,Щит_спец),IF(C468=$S$8,SUMIFS(Однолинейка!$BX$3:$BX$3000,Однолинейка!$A$3:$A$3000,Щит_спец),""))),""))))</f>
        <v/>
      </c>
      <c r="O468" s="74"/>
      <c r="P468" s="38" t="str">
        <f t="shared" si="63"/>
        <v/>
      </c>
      <c r="U468" s="38" t="str">
        <f t="shared" si="64"/>
        <v/>
      </c>
      <c r="V468" s="38" t="str">
        <f t="shared" si="65"/>
        <v/>
      </c>
      <c r="W468" s="38" t="str">
        <f>IF(AND(U468&lt;&gt;"",OR($S$4="(все)",B468=$S$4),IF($S$4="(все)",COUNTIF($U$4:U468,U468),COUNTIFS($U$4:U468,U468,$B$4:B468,B468))=1),MAX($W$3:W467)+1,"")</f>
        <v/>
      </c>
      <c r="X468" s="38" t="str">
        <f t="shared" si="66"/>
        <v/>
      </c>
      <c r="Y468" s="38" t="str">
        <f>IF(AND(A468="Аппарат",C468&lt;&gt;"",OR($S$5="(все)",B468=$S$5)),MAX($Y$3:Y467)+1,"")</f>
        <v/>
      </c>
      <c r="Z468" s="38" t="str">
        <f t="shared" si="67"/>
        <v/>
      </c>
      <c r="AA468" s="38" t="str">
        <f>IF(AND(A468="Модуль",C468&lt;&gt;"",OR($S$6="(все)",B468=$S$6)),MAX($AA$3:AA467)+1,"")</f>
        <v/>
      </c>
      <c r="AB468" s="38" t="str">
        <f t="shared" si="68"/>
        <v/>
      </c>
      <c r="AC468" s="38" t="str">
        <f>IF(OR(B468="",COUNTIF($B$4:B468,B468)&gt;1),"",MAX($AC$3:AC467)+1)</f>
        <v/>
      </c>
      <c r="AD468" s="38" t="str">
        <f t="shared" si="69"/>
        <v/>
      </c>
      <c r="AE468" s="38" t="str">
        <f t="shared" si="70"/>
        <v/>
      </c>
      <c r="AF468" s="38" t="str">
        <f t="shared" si="71"/>
        <v/>
      </c>
    </row>
    <row r="469" spans="1:32" x14ac:dyDescent="0.3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38" t="str">
        <f>IF(OR(A469="Автомат",A469="Дифавтомат"),IF(W469="","",COUNTIFS(Однолинейка!$H$3:$H$3000,U469,Однолинейка!$A$3:$A$3000,Щит_спец)),IF(A469="Аппарат",IF(C469="","",COUNTIFS(Однолинейка!$I$3:$I$3000,C469,Однолинейка!$A$3:$A$3000,Щит_спец)+COUNTIFS(Однолинейка!$J$3:$J$3000,C469,Однолинейка!$A$3:$A$3000,Щит_спец)+COUNTIFS(Однолинейка!$K$3:$K$3000,C469,Однолинейка!$A$3:$A$3000,Щит_спец)),IF(A469="Модуль",IF(C469="","",COUNTIFS(Однолинейка!$AW$3:$AW$3000,"?*",Однолинейка!$AI$3:$AI$3000,C469,Однолинейка!$A$3:$A$3000,Щит_спец)),IF(A469="Клемма",IF(C469="","",IF(C469=$S$7,SUMIFS(Однолинейка!$BW$3:$BW$3000,Однолинейка!$A$3:$A$3000,Щит_спец),IF(C469=$S$8,SUMIFS(Однолинейка!$BX$3:$BX$3000,Однолинейка!$A$3:$A$3000,Щит_спец),""))),""))))</f>
        <v/>
      </c>
      <c r="O469" s="74"/>
      <c r="P469" s="38" t="str">
        <f t="shared" si="63"/>
        <v/>
      </c>
      <c r="U469" s="38" t="str">
        <f t="shared" si="64"/>
        <v/>
      </c>
      <c r="V469" s="38" t="str">
        <f t="shared" si="65"/>
        <v/>
      </c>
      <c r="W469" s="38" t="str">
        <f>IF(AND(U469&lt;&gt;"",OR($S$4="(все)",B469=$S$4),IF($S$4="(все)",COUNTIF($U$4:U469,U469),COUNTIFS($U$4:U469,U469,$B$4:B469,B469))=1),MAX($W$3:W468)+1,"")</f>
        <v/>
      </c>
      <c r="X469" s="38" t="str">
        <f t="shared" si="66"/>
        <v/>
      </c>
      <c r="Y469" s="38" t="str">
        <f>IF(AND(A469="Аппарат",C469&lt;&gt;"",OR($S$5="(все)",B469=$S$5)),MAX($Y$3:Y468)+1,"")</f>
        <v/>
      </c>
      <c r="Z469" s="38" t="str">
        <f t="shared" si="67"/>
        <v/>
      </c>
      <c r="AA469" s="38" t="str">
        <f>IF(AND(A469="Модуль",C469&lt;&gt;"",OR($S$6="(все)",B469=$S$6)),MAX($AA$3:AA468)+1,"")</f>
        <v/>
      </c>
      <c r="AB469" s="38" t="str">
        <f t="shared" si="68"/>
        <v/>
      </c>
      <c r="AC469" s="38" t="str">
        <f>IF(OR(B469="",COUNTIF($B$4:B469,B469)&gt;1),"",MAX($AC$3:AC468)+1)</f>
        <v/>
      </c>
      <c r="AD469" s="38" t="str">
        <f t="shared" si="69"/>
        <v/>
      </c>
      <c r="AE469" s="38" t="str">
        <f t="shared" si="70"/>
        <v/>
      </c>
      <c r="AF469" s="38" t="str">
        <f t="shared" si="71"/>
        <v/>
      </c>
    </row>
    <row r="470" spans="1:32" x14ac:dyDescent="0.3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38" t="str">
        <f>IF(OR(A470="Автомат",A470="Дифавтомат"),IF(W470="","",COUNTIFS(Однолинейка!$H$3:$H$3000,U470,Однолинейка!$A$3:$A$3000,Щит_спец)),IF(A470="Аппарат",IF(C470="","",COUNTIFS(Однолинейка!$I$3:$I$3000,C470,Однолинейка!$A$3:$A$3000,Щит_спец)+COUNTIFS(Однолинейка!$J$3:$J$3000,C470,Однолинейка!$A$3:$A$3000,Щит_спец)+COUNTIFS(Однолинейка!$K$3:$K$3000,C470,Однолинейка!$A$3:$A$3000,Щит_спец)),IF(A470="Модуль",IF(C470="","",COUNTIFS(Однолинейка!$AW$3:$AW$3000,"?*",Однолинейка!$AI$3:$AI$3000,C470,Однолинейка!$A$3:$A$3000,Щит_спец)),IF(A470="Клемма",IF(C470="","",IF(C470=$S$7,SUMIFS(Однолинейка!$BW$3:$BW$3000,Однолинейка!$A$3:$A$3000,Щит_спец),IF(C470=$S$8,SUMIFS(Однолинейка!$BX$3:$BX$3000,Однолинейка!$A$3:$A$3000,Щит_спец),""))),""))))</f>
        <v/>
      </c>
      <c r="O470" s="74"/>
      <c r="P470" s="38" t="str">
        <f t="shared" si="63"/>
        <v/>
      </c>
      <c r="U470" s="38" t="str">
        <f t="shared" si="64"/>
        <v/>
      </c>
      <c r="V470" s="38" t="str">
        <f t="shared" si="65"/>
        <v/>
      </c>
      <c r="W470" s="38" t="str">
        <f>IF(AND(U470&lt;&gt;"",OR($S$4="(все)",B470=$S$4),IF($S$4="(все)",COUNTIF($U$4:U470,U470),COUNTIFS($U$4:U470,U470,$B$4:B470,B470))=1),MAX($W$3:W469)+1,"")</f>
        <v/>
      </c>
      <c r="X470" s="38" t="str">
        <f t="shared" si="66"/>
        <v/>
      </c>
      <c r="Y470" s="38" t="str">
        <f>IF(AND(A470="Аппарат",C470&lt;&gt;"",OR($S$5="(все)",B470=$S$5)),MAX($Y$3:Y469)+1,"")</f>
        <v/>
      </c>
      <c r="Z470" s="38" t="str">
        <f t="shared" si="67"/>
        <v/>
      </c>
      <c r="AA470" s="38" t="str">
        <f>IF(AND(A470="Модуль",C470&lt;&gt;"",OR($S$6="(все)",B470=$S$6)),MAX($AA$3:AA469)+1,"")</f>
        <v/>
      </c>
      <c r="AB470" s="38" t="str">
        <f t="shared" si="68"/>
        <v/>
      </c>
      <c r="AC470" s="38" t="str">
        <f>IF(OR(B470="",COUNTIF($B$4:B470,B470)&gt;1),"",MAX($AC$3:AC469)+1)</f>
        <v/>
      </c>
      <c r="AD470" s="38" t="str">
        <f t="shared" si="69"/>
        <v/>
      </c>
      <c r="AE470" s="38" t="str">
        <f t="shared" si="70"/>
        <v/>
      </c>
      <c r="AF470" s="38" t="str">
        <f t="shared" si="71"/>
        <v/>
      </c>
    </row>
    <row r="471" spans="1:32" x14ac:dyDescent="0.3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38" t="str">
        <f>IF(OR(A471="Автомат",A471="Дифавтомат"),IF(W471="","",COUNTIFS(Однолинейка!$H$3:$H$3000,U471,Однолинейка!$A$3:$A$3000,Щит_спец)),IF(A471="Аппарат",IF(C471="","",COUNTIFS(Однолинейка!$I$3:$I$3000,C471,Однолинейка!$A$3:$A$3000,Щит_спец)+COUNTIFS(Однолинейка!$J$3:$J$3000,C471,Однолинейка!$A$3:$A$3000,Щит_спец)+COUNTIFS(Однолинейка!$K$3:$K$3000,C471,Однолинейка!$A$3:$A$3000,Щит_спец)),IF(A471="Модуль",IF(C471="","",COUNTIFS(Однолинейка!$AW$3:$AW$3000,"?*",Однолинейка!$AI$3:$AI$3000,C471,Однолинейка!$A$3:$A$3000,Щит_спец)),IF(A471="Клемма",IF(C471="","",IF(C471=$S$7,SUMIFS(Однолинейка!$BW$3:$BW$3000,Однолинейка!$A$3:$A$3000,Щит_спец),IF(C471=$S$8,SUMIFS(Однолинейка!$BX$3:$BX$3000,Однолинейка!$A$3:$A$3000,Щит_спец),""))),""))))</f>
        <v/>
      </c>
      <c r="O471" s="74"/>
      <c r="P471" s="38" t="str">
        <f t="shared" si="63"/>
        <v/>
      </c>
      <c r="U471" s="38" t="str">
        <f t="shared" si="64"/>
        <v/>
      </c>
      <c r="V471" s="38" t="str">
        <f t="shared" si="65"/>
        <v/>
      </c>
      <c r="W471" s="38" t="str">
        <f>IF(AND(U471&lt;&gt;"",OR($S$4="(все)",B471=$S$4),IF($S$4="(все)",COUNTIF($U$4:U471,U471),COUNTIFS($U$4:U471,U471,$B$4:B471,B471))=1),MAX($W$3:W470)+1,"")</f>
        <v/>
      </c>
      <c r="X471" s="38" t="str">
        <f t="shared" si="66"/>
        <v/>
      </c>
      <c r="Y471" s="38" t="str">
        <f>IF(AND(A471="Аппарат",C471&lt;&gt;"",OR($S$5="(все)",B471=$S$5)),MAX($Y$3:Y470)+1,"")</f>
        <v/>
      </c>
      <c r="Z471" s="38" t="str">
        <f t="shared" si="67"/>
        <v/>
      </c>
      <c r="AA471" s="38" t="str">
        <f>IF(AND(A471="Модуль",C471&lt;&gt;"",OR($S$6="(все)",B471=$S$6)),MAX($AA$3:AA470)+1,"")</f>
        <v/>
      </c>
      <c r="AB471" s="38" t="str">
        <f t="shared" si="68"/>
        <v/>
      </c>
      <c r="AC471" s="38" t="str">
        <f>IF(OR(B471="",COUNTIF($B$4:B471,B471)&gt;1),"",MAX($AC$3:AC470)+1)</f>
        <v/>
      </c>
      <c r="AD471" s="38" t="str">
        <f t="shared" si="69"/>
        <v/>
      </c>
      <c r="AE471" s="38" t="str">
        <f t="shared" si="70"/>
        <v/>
      </c>
      <c r="AF471" s="38" t="str">
        <f t="shared" si="71"/>
        <v/>
      </c>
    </row>
    <row r="472" spans="1:32" x14ac:dyDescent="0.3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38" t="str">
        <f>IF(OR(A472="Автомат",A472="Дифавтомат"),IF(W472="","",COUNTIFS(Однолинейка!$H$3:$H$3000,U472,Однолинейка!$A$3:$A$3000,Щит_спец)),IF(A472="Аппарат",IF(C472="","",COUNTIFS(Однолинейка!$I$3:$I$3000,C472,Однолинейка!$A$3:$A$3000,Щит_спец)+COUNTIFS(Однолинейка!$J$3:$J$3000,C472,Однолинейка!$A$3:$A$3000,Щит_спец)+COUNTIFS(Однолинейка!$K$3:$K$3000,C472,Однолинейка!$A$3:$A$3000,Щит_спец)),IF(A472="Модуль",IF(C472="","",COUNTIFS(Однолинейка!$AW$3:$AW$3000,"?*",Однолинейка!$AI$3:$AI$3000,C472,Однолинейка!$A$3:$A$3000,Щит_спец)),IF(A472="Клемма",IF(C472="","",IF(C472=$S$7,SUMIFS(Однолинейка!$BW$3:$BW$3000,Однолинейка!$A$3:$A$3000,Щит_спец),IF(C472=$S$8,SUMIFS(Однолинейка!$BX$3:$BX$3000,Однолинейка!$A$3:$A$3000,Щит_спец),""))),""))))</f>
        <v/>
      </c>
      <c r="O472" s="74"/>
      <c r="P472" s="38" t="str">
        <f t="shared" si="63"/>
        <v/>
      </c>
      <c r="U472" s="38" t="str">
        <f t="shared" si="64"/>
        <v/>
      </c>
      <c r="V472" s="38" t="str">
        <f t="shared" si="65"/>
        <v/>
      </c>
      <c r="W472" s="38" t="str">
        <f>IF(AND(U472&lt;&gt;"",OR($S$4="(все)",B472=$S$4),IF($S$4="(все)",COUNTIF($U$4:U472,U472),COUNTIFS($U$4:U472,U472,$B$4:B472,B472))=1),MAX($W$3:W471)+1,"")</f>
        <v/>
      </c>
      <c r="X472" s="38" t="str">
        <f t="shared" si="66"/>
        <v/>
      </c>
      <c r="Y472" s="38" t="str">
        <f>IF(AND(A472="Аппарат",C472&lt;&gt;"",OR($S$5="(все)",B472=$S$5)),MAX($Y$3:Y471)+1,"")</f>
        <v/>
      </c>
      <c r="Z472" s="38" t="str">
        <f t="shared" si="67"/>
        <v/>
      </c>
      <c r="AA472" s="38" t="str">
        <f>IF(AND(A472="Модуль",C472&lt;&gt;"",OR($S$6="(все)",B472=$S$6)),MAX($AA$3:AA471)+1,"")</f>
        <v/>
      </c>
      <c r="AB472" s="38" t="str">
        <f t="shared" si="68"/>
        <v/>
      </c>
      <c r="AC472" s="38" t="str">
        <f>IF(OR(B472="",COUNTIF($B$4:B472,B472)&gt;1),"",MAX($AC$3:AC471)+1)</f>
        <v/>
      </c>
      <c r="AD472" s="38" t="str">
        <f t="shared" si="69"/>
        <v/>
      </c>
      <c r="AE472" s="38" t="str">
        <f t="shared" si="70"/>
        <v/>
      </c>
      <c r="AF472" s="38" t="str">
        <f t="shared" si="71"/>
        <v/>
      </c>
    </row>
    <row r="473" spans="1:32" x14ac:dyDescent="0.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38" t="str">
        <f>IF(OR(A473="Автомат",A473="Дифавтомат"),IF(W473="","",COUNTIFS(Однолинейка!$H$3:$H$3000,U473,Однолинейка!$A$3:$A$3000,Щит_спец)),IF(A473="Аппарат",IF(C473="","",COUNTIFS(Однолинейка!$I$3:$I$3000,C473,Однолинейка!$A$3:$A$3000,Щит_спец)+COUNTIFS(Однолинейка!$J$3:$J$3000,C473,Однолинейка!$A$3:$A$3000,Щит_спец)+COUNTIFS(Однолинейка!$K$3:$K$3000,C473,Однолинейка!$A$3:$A$3000,Щит_спец)),IF(A473="Модуль",IF(C473="","",COUNTIFS(Однолинейка!$AW$3:$AW$3000,"?*",Однолинейка!$AI$3:$AI$3000,C473,Однолинейка!$A$3:$A$3000,Щит_спец)),IF(A473="Клемма",IF(C473="","",IF(C473=$S$7,SUMIFS(Однолинейка!$BW$3:$BW$3000,Однолинейка!$A$3:$A$3000,Щит_спец),IF(C473=$S$8,SUMIFS(Однолинейка!$BX$3:$BX$3000,Однолинейка!$A$3:$A$3000,Щит_спец),""))),""))))</f>
        <v/>
      </c>
      <c r="O473" s="74"/>
      <c r="P473" s="38" t="str">
        <f t="shared" si="63"/>
        <v/>
      </c>
      <c r="U473" s="38" t="str">
        <f t="shared" si="64"/>
        <v/>
      </c>
      <c r="V473" s="38" t="str">
        <f t="shared" si="65"/>
        <v/>
      </c>
      <c r="W473" s="38" t="str">
        <f>IF(AND(U473&lt;&gt;"",OR($S$4="(все)",B473=$S$4),IF($S$4="(все)",COUNTIF($U$4:U473,U473),COUNTIFS($U$4:U473,U473,$B$4:B473,B473))=1),MAX($W$3:W472)+1,"")</f>
        <v/>
      </c>
      <c r="X473" s="38" t="str">
        <f t="shared" si="66"/>
        <v/>
      </c>
      <c r="Y473" s="38" t="str">
        <f>IF(AND(A473="Аппарат",C473&lt;&gt;"",OR($S$5="(все)",B473=$S$5)),MAX($Y$3:Y472)+1,"")</f>
        <v/>
      </c>
      <c r="Z473" s="38" t="str">
        <f t="shared" si="67"/>
        <v/>
      </c>
      <c r="AA473" s="38" t="str">
        <f>IF(AND(A473="Модуль",C473&lt;&gt;"",OR($S$6="(все)",B473=$S$6)),MAX($AA$3:AA472)+1,"")</f>
        <v/>
      </c>
      <c r="AB473" s="38" t="str">
        <f t="shared" si="68"/>
        <v/>
      </c>
      <c r="AC473" s="38" t="str">
        <f>IF(OR(B473="",COUNTIF($B$4:B473,B473)&gt;1),"",MAX($AC$3:AC472)+1)</f>
        <v/>
      </c>
      <c r="AD473" s="38" t="str">
        <f t="shared" si="69"/>
        <v/>
      </c>
      <c r="AE473" s="38" t="str">
        <f t="shared" si="70"/>
        <v/>
      </c>
      <c r="AF473" s="38" t="str">
        <f t="shared" si="71"/>
        <v/>
      </c>
    </row>
    <row r="474" spans="1:32" x14ac:dyDescent="0.3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38" t="str">
        <f>IF(OR(A474="Автомат",A474="Дифавтомат"),IF(W474="","",COUNTIFS(Однолинейка!$H$3:$H$3000,U474,Однолинейка!$A$3:$A$3000,Щит_спец)),IF(A474="Аппарат",IF(C474="","",COUNTIFS(Однолинейка!$I$3:$I$3000,C474,Однолинейка!$A$3:$A$3000,Щит_спец)+COUNTIFS(Однолинейка!$J$3:$J$3000,C474,Однолинейка!$A$3:$A$3000,Щит_спец)+COUNTIFS(Однолинейка!$K$3:$K$3000,C474,Однолинейка!$A$3:$A$3000,Щит_спец)),IF(A474="Модуль",IF(C474="","",COUNTIFS(Однолинейка!$AW$3:$AW$3000,"?*",Однолинейка!$AI$3:$AI$3000,C474,Однолинейка!$A$3:$A$3000,Щит_спец)),IF(A474="Клемма",IF(C474="","",IF(C474=$S$7,SUMIFS(Однолинейка!$BW$3:$BW$3000,Однолинейка!$A$3:$A$3000,Щит_спец),IF(C474=$S$8,SUMIFS(Однолинейка!$BX$3:$BX$3000,Однолинейка!$A$3:$A$3000,Щит_спец),""))),""))))</f>
        <v/>
      </c>
      <c r="O474" s="74"/>
      <c r="P474" s="38" t="str">
        <f t="shared" si="63"/>
        <v/>
      </c>
      <c r="U474" s="38" t="str">
        <f t="shared" si="64"/>
        <v/>
      </c>
      <c r="V474" s="38" t="str">
        <f t="shared" si="65"/>
        <v/>
      </c>
      <c r="W474" s="38" t="str">
        <f>IF(AND(U474&lt;&gt;"",OR($S$4="(все)",B474=$S$4),IF($S$4="(все)",COUNTIF($U$4:U474,U474),COUNTIFS($U$4:U474,U474,$B$4:B474,B474))=1),MAX($W$3:W473)+1,"")</f>
        <v/>
      </c>
      <c r="X474" s="38" t="str">
        <f t="shared" si="66"/>
        <v/>
      </c>
      <c r="Y474" s="38" t="str">
        <f>IF(AND(A474="Аппарат",C474&lt;&gt;"",OR($S$5="(все)",B474=$S$5)),MAX($Y$3:Y473)+1,"")</f>
        <v/>
      </c>
      <c r="Z474" s="38" t="str">
        <f t="shared" si="67"/>
        <v/>
      </c>
      <c r="AA474" s="38" t="str">
        <f>IF(AND(A474="Модуль",C474&lt;&gt;"",OR($S$6="(все)",B474=$S$6)),MAX($AA$3:AA473)+1,"")</f>
        <v/>
      </c>
      <c r="AB474" s="38" t="str">
        <f t="shared" si="68"/>
        <v/>
      </c>
      <c r="AC474" s="38" t="str">
        <f>IF(OR(B474="",COUNTIF($B$4:B474,B474)&gt;1),"",MAX($AC$3:AC473)+1)</f>
        <v/>
      </c>
      <c r="AD474" s="38" t="str">
        <f t="shared" si="69"/>
        <v/>
      </c>
      <c r="AE474" s="38" t="str">
        <f t="shared" si="70"/>
        <v/>
      </c>
      <c r="AF474" s="38" t="str">
        <f t="shared" si="71"/>
        <v/>
      </c>
    </row>
    <row r="475" spans="1:32" x14ac:dyDescent="0.3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38" t="str">
        <f>IF(OR(A475="Автомат",A475="Дифавтомат"),IF(W475="","",COUNTIFS(Однолинейка!$H$3:$H$3000,U475,Однолинейка!$A$3:$A$3000,Щит_спец)),IF(A475="Аппарат",IF(C475="","",COUNTIFS(Однолинейка!$I$3:$I$3000,C475,Однолинейка!$A$3:$A$3000,Щит_спец)+COUNTIFS(Однолинейка!$J$3:$J$3000,C475,Однолинейка!$A$3:$A$3000,Щит_спец)+COUNTIFS(Однолинейка!$K$3:$K$3000,C475,Однолинейка!$A$3:$A$3000,Щит_спец)),IF(A475="Модуль",IF(C475="","",COUNTIFS(Однолинейка!$AW$3:$AW$3000,"?*",Однолинейка!$AI$3:$AI$3000,C475,Однолинейка!$A$3:$A$3000,Щит_спец)),IF(A475="Клемма",IF(C475="","",IF(C475=$S$7,SUMIFS(Однолинейка!$BW$3:$BW$3000,Однолинейка!$A$3:$A$3000,Щит_спец),IF(C475=$S$8,SUMIFS(Однолинейка!$BX$3:$BX$3000,Однолинейка!$A$3:$A$3000,Щит_спец),""))),""))))</f>
        <v/>
      </c>
      <c r="O475" s="74"/>
      <c r="P475" s="38" t="str">
        <f t="shared" si="63"/>
        <v/>
      </c>
      <c r="U475" s="38" t="str">
        <f t="shared" si="64"/>
        <v/>
      </c>
      <c r="V475" s="38" t="str">
        <f t="shared" si="65"/>
        <v/>
      </c>
      <c r="W475" s="38" t="str">
        <f>IF(AND(U475&lt;&gt;"",OR($S$4="(все)",B475=$S$4),IF($S$4="(все)",COUNTIF($U$4:U475,U475),COUNTIFS($U$4:U475,U475,$B$4:B475,B475))=1),MAX($W$3:W474)+1,"")</f>
        <v/>
      </c>
      <c r="X475" s="38" t="str">
        <f t="shared" si="66"/>
        <v/>
      </c>
      <c r="Y475" s="38" t="str">
        <f>IF(AND(A475="Аппарат",C475&lt;&gt;"",OR($S$5="(все)",B475=$S$5)),MAX($Y$3:Y474)+1,"")</f>
        <v/>
      </c>
      <c r="Z475" s="38" t="str">
        <f t="shared" si="67"/>
        <v/>
      </c>
      <c r="AA475" s="38" t="str">
        <f>IF(AND(A475="Модуль",C475&lt;&gt;"",OR($S$6="(все)",B475=$S$6)),MAX($AA$3:AA474)+1,"")</f>
        <v/>
      </c>
      <c r="AB475" s="38" t="str">
        <f t="shared" si="68"/>
        <v/>
      </c>
      <c r="AC475" s="38" t="str">
        <f>IF(OR(B475="",COUNTIF($B$4:B475,B475)&gt;1),"",MAX($AC$3:AC474)+1)</f>
        <v/>
      </c>
      <c r="AD475" s="38" t="str">
        <f t="shared" si="69"/>
        <v/>
      </c>
      <c r="AE475" s="38" t="str">
        <f t="shared" si="70"/>
        <v/>
      </c>
      <c r="AF475" s="38" t="str">
        <f t="shared" si="71"/>
        <v/>
      </c>
    </row>
    <row r="476" spans="1:32" x14ac:dyDescent="0.3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38" t="str">
        <f>IF(OR(A476="Автомат",A476="Дифавтомат"),IF(W476="","",COUNTIFS(Однолинейка!$H$3:$H$3000,U476,Однолинейка!$A$3:$A$3000,Щит_спец)),IF(A476="Аппарат",IF(C476="","",COUNTIFS(Однолинейка!$I$3:$I$3000,C476,Однолинейка!$A$3:$A$3000,Щит_спец)+COUNTIFS(Однолинейка!$J$3:$J$3000,C476,Однолинейка!$A$3:$A$3000,Щит_спец)+COUNTIFS(Однолинейка!$K$3:$K$3000,C476,Однолинейка!$A$3:$A$3000,Щит_спец)),IF(A476="Модуль",IF(C476="","",COUNTIFS(Однолинейка!$AW$3:$AW$3000,"?*",Однолинейка!$AI$3:$AI$3000,C476,Однолинейка!$A$3:$A$3000,Щит_спец)),IF(A476="Клемма",IF(C476="","",IF(C476=$S$7,SUMIFS(Однолинейка!$BW$3:$BW$3000,Однолинейка!$A$3:$A$3000,Щит_спец),IF(C476=$S$8,SUMIFS(Однолинейка!$BX$3:$BX$3000,Однолинейка!$A$3:$A$3000,Щит_спец),""))),""))))</f>
        <v/>
      </c>
      <c r="O476" s="74"/>
      <c r="P476" s="38" t="str">
        <f t="shared" si="63"/>
        <v/>
      </c>
      <c r="U476" s="38" t="str">
        <f t="shared" si="64"/>
        <v/>
      </c>
      <c r="V476" s="38" t="str">
        <f t="shared" si="65"/>
        <v/>
      </c>
      <c r="W476" s="38" t="str">
        <f>IF(AND(U476&lt;&gt;"",OR($S$4="(все)",B476=$S$4),IF($S$4="(все)",COUNTIF($U$4:U476,U476),COUNTIFS($U$4:U476,U476,$B$4:B476,B476))=1),MAX($W$3:W475)+1,"")</f>
        <v/>
      </c>
      <c r="X476" s="38" t="str">
        <f t="shared" si="66"/>
        <v/>
      </c>
      <c r="Y476" s="38" t="str">
        <f>IF(AND(A476="Аппарат",C476&lt;&gt;"",OR($S$5="(все)",B476=$S$5)),MAX($Y$3:Y475)+1,"")</f>
        <v/>
      </c>
      <c r="Z476" s="38" t="str">
        <f t="shared" si="67"/>
        <v/>
      </c>
      <c r="AA476" s="38" t="str">
        <f>IF(AND(A476="Модуль",C476&lt;&gt;"",OR($S$6="(все)",B476=$S$6)),MAX($AA$3:AA475)+1,"")</f>
        <v/>
      </c>
      <c r="AB476" s="38" t="str">
        <f t="shared" si="68"/>
        <v/>
      </c>
      <c r="AC476" s="38" t="str">
        <f>IF(OR(B476="",COUNTIF($B$4:B476,B476)&gt;1),"",MAX($AC$3:AC475)+1)</f>
        <v/>
      </c>
      <c r="AD476" s="38" t="str">
        <f t="shared" si="69"/>
        <v/>
      </c>
      <c r="AE476" s="38" t="str">
        <f t="shared" si="70"/>
        <v/>
      </c>
      <c r="AF476" s="38" t="str">
        <f t="shared" si="71"/>
        <v/>
      </c>
    </row>
    <row r="477" spans="1:32" x14ac:dyDescent="0.3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38" t="str">
        <f>IF(OR(A477="Автомат",A477="Дифавтомат"),IF(W477="","",COUNTIFS(Однолинейка!$H$3:$H$3000,U477,Однолинейка!$A$3:$A$3000,Щит_спец)),IF(A477="Аппарат",IF(C477="","",COUNTIFS(Однолинейка!$I$3:$I$3000,C477,Однолинейка!$A$3:$A$3000,Щит_спец)+COUNTIFS(Однолинейка!$J$3:$J$3000,C477,Однолинейка!$A$3:$A$3000,Щит_спец)+COUNTIFS(Однолинейка!$K$3:$K$3000,C477,Однолинейка!$A$3:$A$3000,Щит_спец)),IF(A477="Модуль",IF(C477="","",COUNTIFS(Однолинейка!$AW$3:$AW$3000,"?*",Однолинейка!$AI$3:$AI$3000,C477,Однолинейка!$A$3:$A$3000,Щит_спец)),IF(A477="Клемма",IF(C477="","",IF(C477=$S$7,SUMIFS(Однолинейка!$BW$3:$BW$3000,Однолинейка!$A$3:$A$3000,Щит_спец),IF(C477=$S$8,SUMIFS(Однолинейка!$BX$3:$BX$3000,Однолинейка!$A$3:$A$3000,Щит_спец),""))),""))))</f>
        <v/>
      </c>
      <c r="O477" s="74"/>
      <c r="P477" s="38" t="str">
        <f t="shared" si="63"/>
        <v/>
      </c>
      <c r="U477" s="38" t="str">
        <f t="shared" si="64"/>
        <v/>
      </c>
      <c r="V477" s="38" t="str">
        <f t="shared" si="65"/>
        <v/>
      </c>
      <c r="W477" s="38" t="str">
        <f>IF(AND(U477&lt;&gt;"",OR($S$4="(все)",B477=$S$4),IF($S$4="(все)",COUNTIF($U$4:U477,U477),COUNTIFS($U$4:U477,U477,$B$4:B477,B477))=1),MAX($W$3:W476)+1,"")</f>
        <v/>
      </c>
      <c r="X477" s="38" t="str">
        <f t="shared" si="66"/>
        <v/>
      </c>
      <c r="Y477" s="38" t="str">
        <f>IF(AND(A477="Аппарат",C477&lt;&gt;"",OR($S$5="(все)",B477=$S$5)),MAX($Y$3:Y476)+1,"")</f>
        <v/>
      </c>
      <c r="Z477" s="38" t="str">
        <f t="shared" si="67"/>
        <v/>
      </c>
      <c r="AA477" s="38" t="str">
        <f>IF(AND(A477="Модуль",C477&lt;&gt;"",OR($S$6="(все)",B477=$S$6)),MAX($AA$3:AA476)+1,"")</f>
        <v/>
      </c>
      <c r="AB477" s="38" t="str">
        <f t="shared" si="68"/>
        <v/>
      </c>
      <c r="AC477" s="38" t="str">
        <f>IF(OR(B477="",COUNTIF($B$4:B477,B477)&gt;1),"",MAX($AC$3:AC476)+1)</f>
        <v/>
      </c>
      <c r="AD477" s="38" t="str">
        <f t="shared" si="69"/>
        <v/>
      </c>
      <c r="AE477" s="38" t="str">
        <f t="shared" si="70"/>
        <v/>
      </c>
      <c r="AF477" s="38" t="str">
        <f t="shared" si="71"/>
        <v/>
      </c>
    </row>
    <row r="478" spans="1:32" x14ac:dyDescent="0.3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38" t="str">
        <f>IF(OR(A478="Автомат",A478="Дифавтомат"),IF(W478="","",COUNTIFS(Однолинейка!$H$3:$H$3000,U478,Однолинейка!$A$3:$A$3000,Щит_спец)),IF(A478="Аппарат",IF(C478="","",COUNTIFS(Однолинейка!$I$3:$I$3000,C478,Однолинейка!$A$3:$A$3000,Щит_спец)+COUNTIFS(Однолинейка!$J$3:$J$3000,C478,Однолинейка!$A$3:$A$3000,Щит_спец)+COUNTIFS(Однолинейка!$K$3:$K$3000,C478,Однолинейка!$A$3:$A$3000,Щит_спец)),IF(A478="Модуль",IF(C478="","",COUNTIFS(Однолинейка!$AW$3:$AW$3000,"?*",Однолинейка!$AI$3:$AI$3000,C478,Однолинейка!$A$3:$A$3000,Щит_спец)),IF(A478="Клемма",IF(C478="","",IF(C478=$S$7,SUMIFS(Однолинейка!$BW$3:$BW$3000,Однолинейка!$A$3:$A$3000,Щит_спец),IF(C478=$S$8,SUMIFS(Однолинейка!$BX$3:$BX$3000,Однолинейка!$A$3:$A$3000,Щит_спец),""))),""))))</f>
        <v/>
      </c>
      <c r="O478" s="74"/>
      <c r="P478" s="38" t="str">
        <f t="shared" si="63"/>
        <v/>
      </c>
      <c r="U478" s="38" t="str">
        <f t="shared" si="64"/>
        <v/>
      </c>
      <c r="V478" s="38" t="str">
        <f t="shared" si="65"/>
        <v/>
      </c>
      <c r="W478" s="38" t="str">
        <f>IF(AND(U478&lt;&gt;"",OR($S$4="(все)",B478=$S$4),IF($S$4="(все)",COUNTIF($U$4:U478,U478),COUNTIFS($U$4:U478,U478,$B$4:B478,B478))=1),MAX($W$3:W477)+1,"")</f>
        <v/>
      </c>
      <c r="X478" s="38" t="str">
        <f t="shared" si="66"/>
        <v/>
      </c>
      <c r="Y478" s="38" t="str">
        <f>IF(AND(A478="Аппарат",C478&lt;&gt;"",OR($S$5="(все)",B478=$S$5)),MAX($Y$3:Y477)+1,"")</f>
        <v/>
      </c>
      <c r="Z478" s="38" t="str">
        <f t="shared" si="67"/>
        <v/>
      </c>
      <c r="AA478" s="38" t="str">
        <f>IF(AND(A478="Модуль",C478&lt;&gt;"",OR($S$6="(все)",B478=$S$6)),MAX($AA$3:AA477)+1,"")</f>
        <v/>
      </c>
      <c r="AB478" s="38" t="str">
        <f t="shared" si="68"/>
        <v/>
      </c>
      <c r="AC478" s="38" t="str">
        <f>IF(OR(B478="",COUNTIF($B$4:B478,B478)&gt;1),"",MAX($AC$3:AC477)+1)</f>
        <v/>
      </c>
      <c r="AD478" s="38" t="str">
        <f t="shared" si="69"/>
        <v/>
      </c>
      <c r="AE478" s="38" t="str">
        <f t="shared" si="70"/>
        <v/>
      </c>
      <c r="AF478" s="38" t="str">
        <f t="shared" si="71"/>
        <v/>
      </c>
    </row>
    <row r="479" spans="1:32" x14ac:dyDescent="0.3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38" t="str">
        <f>IF(OR(A479="Автомат",A479="Дифавтомат"),IF(W479="","",COUNTIFS(Однолинейка!$H$3:$H$3000,U479,Однолинейка!$A$3:$A$3000,Щит_спец)),IF(A479="Аппарат",IF(C479="","",COUNTIFS(Однолинейка!$I$3:$I$3000,C479,Однолинейка!$A$3:$A$3000,Щит_спец)+COUNTIFS(Однолинейка!$J$3:$J$3000,C479,Однолинейка!$A$3:$A$3000,Щит_спец)+COUNTIFS(Однолинейка!$K$3:$K$3000,C479,Однолинейка!$A$3:$A$3000,Щит_спец)),IF(A479="Модуль",IF(C479="","",COUNTIFS(Однолинейка!$AW$3:$AW$3000,"?*",Однолинейка!$AI$3:$AI$3000,C479,Однолинейка!$A$3:$A$3000,Щит_спец)),IF(A479="Клемма",IF(C479="","",IF(C479=$S$7,SUMIFS(Однолинейка!$BW$3:$BW$3000,Однолинейка!$A$3:$A$3000,Щит_спец),IF(C479=$S$8,SUMIFS(Однолинейка!$BX$3:$BX$3000,Однолинейка!$A$3:$A$3000,Щит_спец),""))),""))))</f>
        <v/>
      </c>
      <c r="O479" s="74"/>
      <c r="P479" s="38" t="str">
        <f t="shared" si="63"/>
        <v/>
      </c>
      <c r="U479" s="38" t="str">
        <f t="shared" si="64"/>
        <v/>
      </c>
      <c r="V479" s="38" t="str">
        <f t="shared" si="65"/>
        <v/>
      </c>
      <c r="W479" s="38" t="str">
        <f>IF(AND(U479&lt;&gt;"",OR($S$4="(все)",B479=$S$4),IF($S$4="(все)",COUNTIF($U$4:U479,U479),COUNTIFS($U$4:U479,U479,$B$4:B479,B479))=1),MAX($W$3:W478)+1,"")</f>
        <v/>
      </c>
      <c r="X479" s="38" t="str">
        <f t="shared" si="66"/>
        <v/>
      </c>
      <c r="Y479" s="38" t="str">
        <f>IF(AND(A479="Аппарат",C479&lt;&gt;"",OR($S$5="(все)",B479=$S$5)),MAX($Y$3:Y478)+1,"")</f>
        <v/>
      </c>
      <c r="Z479" s="38" t="str">
        <f t="shared" si="67"/>
        <v/>
      </c>
      <c r="AA479" s="38" t="str">
        <f>IF(AND(A479="Модуль",C479&lt;&gt;"",OR($S$6="(все)",B479=$S$6)),MAX($AA$3:AA478)+1,"")</f>
        <v/>
      </c>
      <c r="AB479" s="38" t="str">
        <f t="shared" si="68"/>
        <v/>
      </c>
      <c r="AC479" s="38" t="str">
        <f>IF(OR(B479="",COUNTIF($B$4:B479,B479)&gt;1),"",MAX($AC$3:AC478)+1)</f>
        <v/>
      </c>
      <c r="AD479" s="38" t="str">
        <f t="shared" si="69"/>
        <v/>
      </c>
      <c r="AE479" s="38" t="str">
        <f t="shared" si="70"/>
        <v/>
      </c>
      <c r="AF479" s="38" t="str">
        <f t="shared" si="71"/>
        <v/>
      </c>
    </row>
    <row r="480" spans="1:32" x14ac:dyDescent="0.3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38" t="str">
        <f>IF(OR(A480="Автомат",A480="Дифавтомат"),IF(W480="","",COUNTIFS(Однолинейка!$H$3:$H$3000,U480,Однолинейка!$A$3:$A$3000,Щит_спец)),IF(A480="Аппарат",IF(C480="","",COUNTIFS(Однолинейка!$I$3:$I$3000,C480,Однолинейка!$A$3:$A$3000,Щит_спец)+COUNTIFS(Однолинейка!$J$3:$J$3000,C480,Однолинейка!$A$3:$A$3000,Щит_спец)+COUNTIFS(Однолинейка!$K$3:$K$3000,C480,Однолинейка!$A$3:$A$3000,Щит_спец)),IF(A480="Модуль",IF(C480="","",COUNTIFS(Однолинейка!$AW$3:$AW$3000,"?*",Однолинейка!$AI$3:$AI$3000,C480,Однолинейка!$A$3:$A$3000,Щит_спец)),IF(A480="Клемма",IF(C480="","",IF(C480=$S$7,SUMIFS(Однолинейка!$BW$3:$BW$3000,Однолинейка!$A$3:$A$3000,Щит_спец),IF(C480=$S$8,SUMIFS(Однолинейка!$BX$3:$BX$3000,Однолинейка!$A$3:$A$3000,Щит_спец),""))),""))))</f>
        <v/>
      </c>
      <c r="O480" s="74"/>
      <c r="P480" s="38" t="str">
        <f t="shared" si="63"/>
        <v/>
      </c>
      <c r="U480" s="38" t="str">
        <f t="shared" si="64"/>
        <v/>
      </c>
      <c r="V480" s="38" t="str">
        <f t="shared" si="65"/>
        <v/>
      </c>
      <c r="W480" s="38" t="str">
        <f>IF(AND(U480&lt;&gt;"",OR($S$4="(все)",B480=$S$4),IF($S$4="(все)",COUNTIF($U$4:U480,U480),COUNTIFS($U$4:U480,U480,$B$4:B480,B480))=1),MAX($W$3:W479)+1,"")</f>
        <v/>
      </c>
      <c r="X480" s="38" t="str">
        <f t="shared" si="66"/>
        <v/>
      </c>
      <c r="Y480" s="38" t="str">
        <f>IF(AND(A480="Аппарат",C480&lt;&gt;"",OR($S$5="(все)",B480=$S$5)),MAX($Y$3:Y479)+1,"")</f>
        <v/>
      </c>
      <c r="Z480" s="38" t="str">
        <f t="shared" si="67"/>
        <v/>
      </c>
      <c r="AA480" s="38" t="str">
        <f>IF(AND(A480="Модуль",C480&lt;&gt;"",OR($S$6="(все)",B480=$S$6)),MAX($AA$3:AA479)+1,"")</f>
        <v/>
      </c>
      <c r="AB480" s="38" t="str">
        <f t="shared" si="68"/>
        <v/>
      </c>
      <c r="AC480" s="38" t="str">
        <f>IF(OR(B480="",COUNTIF($B$4:B480,B480)&gt;1),"",MAX($AC$3:AC479)+1)</f>
        <v/>
      </c>
      <c r="AD480" s="38" t="str">
        <f t="shared" si="69"/>
        <v/>
      </c>
      <c r="AE480" s="38" t="str">
        <f t="shared" si="70"/>
        <v/>
      </c>
      <c r="AF480" s="38" t="str">
        <f t="shared" si="71"/>
        <v/>
      </c>
    </row>
    <row r="481" spans="1:32" x14ac:dyDescent="0.3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38" t="str">
        <f>IF(OR(A481="Автомат",A481="Дифавтомат"),IF(W481="","",COUNTIFS(Однолинейка!$H$3:$H$3000,U481,Однолинейка!$A$3:$A$3000,Щит_спец)),IF(A481="Аппарат",IF(C481="","",COUNTIFS(Однолинейка!$I$3:$I$3000,C481,Однолинейка!$A$3:$A$3000,Щит_спец)+COUNTIFS(Однолинейка!$J$3:$J$3000,C481,Однолинейка!$A$3:$A$3000,Щит_спец)+COUNTIFS(Однолинейка!$K$3:$K$3000,C481,Однолинейка!$A$3:$A$3000,Щит_спец)),IF(A481="Модуль",IF(C481="","",COUNTIFS(Однолинейка!$AW$3:$AW$3000,"?*",Однолинейка!$AI$3:$AI$3000,C481,Однолинейка!$A$3:$A$3000,Щит_спец)),IF(A481="Клемма",IF(C481="","",IF(C481=$S$7,SUMIFS(Однолинейка!$BW$3:$BW$3000,Однолинейка!$A$3:$A$3000,Щит_спец),IF(C481=$S$8,SUMIFS(Однолинейка!$BX$3:$BX$3000,Однолинейка!$A$3:$A$3000,Щит_спец),""))),""))))</f>
        <v/>
      </c>
      <c r="O481" s="74"/>
      <c r="P481" s="38" t="str">
        <f t="shared" si="63"/>
        <v/>
      </c>
      <c r="U481" s="38" t="str">
        <f t="shared" si="64"/>
        <v/>
      </c>
      <c r="V481" s="38" t="str">
        <f t="shared" si="65"/>
        <v/>
      </c>
      <c r="W481" s="38" t="str">
        <f>IF(AND(U481&lt;&gt;"",OR($S$4="(все)",B481=$S$4),IF($S$4="(все)",COUNTIF($U$4:U481,U481),COUNTIFS($U$4:U481,U481,$B$4:B481,B481))=1),MAX($W$3:W480)+1,"")</f>
        <v/>
      </c>
      <c r="X481" s="38" t="str">
        <f t="shared" si="66"/>
        <v/>
      </c>
      <c r="Y481" s="38" t="str">
        <f>IF(AND(A481="Аппарат",C481&lt;&gt;"",OR($S$5="(все)",B481=$S$5)),MAX($Y$3:Y480)+1,"")</f>
        <v/>
      </c>
      <c r="Z481" s="38" t="str">
        <f t="shared" si="67"/>
        <v/>
      </c>
      <c r="AA481" s="38" t="str">
        <f>IF(AND(A481="Модуль",C481&lt;&gt;"",OR($S$6="(все)",B481=$S$6)),MAX($AA$3:AA480)+1,"")</f>
        <v/>
      </c>
      <c r="AB481" s="38" t="str">
        <f t="shared" si="68"/>
        <v/>
      </c>
      <c r="AC481" s="38" t="str">
        <f>IF(OR(B481="",COUNTIF($B$4:B481,B481)&gt;1),"",MAX($AC$3:AC480)+1)</f>
        <v/>
      </c>
      <c r="AD481" s="38" t="str">
        <f t="shared" si="69"/>
        <v/>
      </c>
      <c r="AE481" s="38" t="str">
        <f t="shared" si="70"/>
        <v/>
      </c>
      <c r="AF481" s="38" t="str">
        <f t="shared" si="71"/>
        <v/>
      </c>
    </row>
    <row r="482" spans="1:32" x14ac:dyDescent="0.3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38" t="str">
        <f>IF(OR(A482="Автомат",A482="Дифавтомат"),IF(W482="","",COUNTIFS(Однолинейка!$H$3:$H$3000,U482,Однолинейка!$A$3:$A$3000,Щит_спец)),IF(A482="Аппарат",IF(C482="","",COUNTIFS(Однолинейка!$I$3:$I$3000,C482,Однолинейка!$A$3:$A$3000,Щит_спец)+COUNTIFS(Однолинейка!$J$3:$J$3000,C482,Однолинейка!$A$3:$A$3000,Щит_спец)+COUNTIFS(Однолинейка!$K$3:$K$3000,C482,Однолинейка!$A$3:$A$3000,Щит_спец)),IF(A482="Модуль",IF(C482="","",COUNTIFS(Однолинейка!$AW$3:$AW$3000,"?*",Однолинейка!$AI$3:$AI$3000,C482,Однолинейка!$A$3:$A$3000,Щит_спец)),IF(A482="Клемма",IF(C482="","",IF(C482=$S$7,SUMIFS(Однолинейка!$BW$3:$BW$3000,Однолинейка!$A$3:$A$3000,Щит_спец),IF(C482=$S$8,SUMIFS(Однолинейка!$BX$3:$BX$3000,Однолинейка!$A$3:$A$3000,Щит_спец),""))),""))))</f>
        <v/>
      </c>
      <c r="O482" s="74"/>
      <c r="P482" s="38" t="str">
        <f t="shared" si="63"/>
        <v/>
      </c>
      <c r="U482" s="38" t="str">
        <f t="shared" si="64"/>
        <v/>
      </c>
      <c r="V482" s="38" t="str">
        <f t="shared" si="65"/>
        <v/>
      </c>
      <c r="W482" s="38" t="str">
        <f>IF(AND(U482&lt;&gt;"",OR($S$4="(все)",B482=$S$4),IF($S$4="(все)",COUNTIF($U$4:U482,U482),COUNTIFS($U$4:U482,U482,$B$4:B482,B482))=1),MAX($W$3:W481)+1,"")</f>
        <v/>
      </c>
      <c r="X482" s="38" t="str">
        <f t="shared" si="66"/>
        <v/>
      </c>
      <c r="Y482" s="38" t="str">
        <f>IF(AND(A482="Аппарат",C482&lt;&gt;"",OR($S$5="(все)",B482=$S$5)),MAX($Y$3:Y481)+1,"")</f>
        <v/>
      </c>
      <c r="Z482" s="38" t="str">
        <f t="shared" si="67"/>
        <v/>
      </c>
      <c r="AA482" s="38" t="str">
        <f>IF(AND(A482="Модуль",C482&lt;&gt;"",OR($S$6="(все)",B482=$S$6)),MAX($AA$3:AA481)+1,"")</f>
        <v/>
      </c>
      <c r="AB482" s="38" t="str">
        <f t="shared" si="68"/>
        <v/>
      </c>
      <c r="AC482" s="38" t="str">
        <f>IF(OR(B482="",COUNTIF($B$4:B482,B482)&gt;1),"",MAX($AC$3:AC481)+1)</f>
        <v/>
      </c>
      <c r="AD482" s="38" t="str">
        <f t="shared" si="69"/>
        <v/>
      </c>
      <c r="AE482" s="38" t="str">
        <f t="shared" si="70"/>
        <v/>
      </c>
      <c r="AF482" s="38" t="str">
        <f t="shared" si="71"/>
        <v/>
      </c>
    </row>
    <row r="483" spans="1:32" x14ac:dyDescent="0.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38" t="str">
        <f>IF(OR(A483="Автомат",A483="Дифавтомат"),IF(W483="","",COUNTIFS(Однолинейка!$H$3:$H$3000,U483,Однолинейка!$A$3:$A$3000,Щит_спец)),IF(A483="Аппарат",IF(C483="","",COUNTIFS(Однолинейка!$I$3:$I$3000,C483,Однолинейка!$A$3:$A$3000,Щит_спец)+COUNTIFS(Однолинейка!$J$3:$J$3000,C483,Однолинейка!$A$3:$A$3000,Щит_спец)+COUNTIFS(Однолинейка!$K$3:$K$3000,C483,Однолинейка!$A$3:$A$3000,Щит_спец)),IF(A483="Модуль",IF(C483="","",COUNTIFS(Однолинейка!$AW$3:$AW$3000,"?*",Однолинейка!$AI$3:$AI$3000,C483,Однолинейка!$A$3:$A$3000,Щит_спец)),IF(A483="Клемма",IF(C483="","",IF(C483=$S$7,SUMIFS(Однолинейка!$BW$3:$BW$3000,Однолинейка!$A$3:$A$3000,Щит_спец),IF(C483=$S$8,SUMIFS(Однолинейка!$BX$3:$BX$3000,Однолинейка!$A$3:$A$3000,Щит_спец),""))),""))))</f>
        <v/>
      </c>
      <c r="O483" s="74"/>
      <c r="P483" s="38" t="str">
        <f t="shared" si="63"/>
        <v/>
      </c>
      <c r="U483" s="38" t="str">
        <f t="shared" si="64"/>
        <v/>
      </c>
      <c r="V483" s="38" t="str">
        <f t="shared" si="65"/>
        <v/>
      </c>
      <c r="W483" s="38" t="str">
        <f>IF(AND(U483&lt;&gt;"",OR($S$4="(все)",B483=$S$4),IF($S$4="(все)",COUNTIF($U$4:U483,U483),COUNTIFS($U$4:U483,U483,$B$4:B483,B483))=1),MAX($W$3:W482)+1,"")</f>
        <v/>
      </c>
      <c r="X483" s="38" t="str">
        <f t="shared" si="66"/>
        <v/>
      </c>
      <c r="Y483" s="38" t="str">
        <f>IF(AND(A483="Аппарат",C483&lt;&gt;"",OR($S$5="(все)",B483=$S$5)),MAX($Y$3:Y482)+1,"")</f>
        <v/>
      </c>
      <c r="Z483" s="38" t="str">
        <f t="shared" si="67"/>
        <v/>
      </c>
      <c r="AA483" s="38" t="str">
        <f>IF(AND(A483="Модуль",C483&lt;&gt;"",OR($S$6="(все)",B483=$S$6)),MAX($AA$3:AA482)+1,"")</f>
        <v/>
      </c>
      <c r="AB483" s="38" t="str">
        <f t="shared" si="68"/>
        <v/>
      </c>
      <c r="AC483" s="38" t="str">
        <f>IF(OR(B483="",COUNTIF($B$4:B483,B483)&gt;1),"",MAX($AC$3:AC482)+1)</f>
        <v/>
      </c>
      <c r="AD483" s="38" t="str">
        <f t="shared" si="69"/>
        <v/>
      </c>
      <c r="AE483" s="38" t="str">
        <f t="shared" si="70"/>
        <v/>
      </c>
      <c r="AF483" s="38" t="str">
        <f t="shared" si="71"/>
        <v/>
      </c>
    </row>
    <row r="484" spans="1:32" x14ac:dyDescent="0.3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38" t="str">
        <f>IF(OR(A484="Автомат",A484="Дифавтомат"),IF(W484="","",COUNTIFS(Однолинейка!$H$3:$H$3000,U484,Однолинейка!$A$3:$A$3000,Щит_спец)),IF(A484="Аппарат",IF(C484="","",COUNTIFS(Однолинейка!$I$3:$I$3000,C484,Однолинейка!$A$3:$A$3000,Щит_спец)+COUNTIFS(Однолинейка!$J$3:$J$3000,C484,Однолинейка!$A$3:$A$3000,Щит_спец)+COUNTIFS(Однолинейка!$K$3:$K$3000,C484,Однолинейка!$A$3:$A$3000,Щит_спец)),IF(A484="Модуль",IF(C484="","",COUNTIFS(Однолинейка!$AW$3:$AW$3000,"?*",Однолинейка!$AI$3:$AI$3000,C484,Однолинейка!$A$3:$A$3000,Щит_спец)),IF(A484="Клемма",IF(C484="","",IF(C484=$S$7,SUMIFS(Однолинейка!$BW$3:$BW$3000,Однолинейка!$A$3:$A$3000,Щит_спец),IF(C484=$S$8,SUMIFS(Однолинейка!$BX$3:$BX$3000,Однолинейка!$A$3:$A$3000,Щит_спец),""))),""))))</f>
        <v/>
      </c>
      <c r="O484" s="74"/>
      <c r="P484" s="38" t="str">
        <f t="shared" si="63"/>
        <v/>
      </c>
      <c r="U484" s="38" t="str">
        <f t="shared" si="64"/>
        <v/>
      </c>
      <c r="V484" s="38" t="str">
        <f t="shared" si="65"/>
        <v/>
      </c>
      <c r="W484" s="38" t="str">
        <f>IF(AND(U484&lt;&gt;"",OR($S$4="(все)",B484=$S$4),IF($S$4="(все)",COUNTIF($U$4:U484,U484),COUNTIFS($U$4:U484,U484,$B$4:B484,B484))=1),MAX($W$3:W483)+1,"")</f>
        <v/>
      </c>
      <c r="X484" s="38" t="str">
        <f t="shared" si="66"/>
        <v/>
      </c>
      <c r="Y484" s="38" t="str">
        <f>IF(AND(A484="Аппарат",C484&lt;&gt;"",OR($S$5="(все)",B484=$S$5)),MAX($Y$3:Y483)+1,"")</f>
        <v/>
      </c>
      <c r="Z484" s="38" t="str">
        <f t="shared" si="67"/>
        <v/>
      </c>
      <c r="AA484" s="38" t="str">
        <f>IF(AND(A484="Модуль",C484&lt;&gt;"",OR($S$6="(все)",B484=$S$6)),MAX($AA$3:AA483)+1,"")</f>
        <v/>
      </c>
      <c r="AB484" s="38" t="str">
        <f t="shared" si="68"/>
        <v/>
      </c>
      <c r="AC484" s="38" t="str">
        <f>IF(OR(B484="",COUNTIF($B$4:B484,B484)&gt;1),"",MAX($AC$3:AC483)+1)</f>
        <v/>
      </c>
      <c r="AD484" s="38" t="str">
        <f t="shared" si="69"/>
        <v/>
      </c>
      <c r="AE484" s="38" t="str">
        <f t="shared" si="70"/>
        <v/>
      </c>
      <c r="AF484" s="38" t="str">
        <f t="shared" si="71"/>
        <v/>
      </c>
    </row>
    <row r="485" spans="1:32" x14ac:dyDescent="0.3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38" t="str">
        <f>IF(OR(A485="Автомат",A485="Дифавтомат"),IF(W485="","",COUNTIFS(Однолинейка!$H$3:$H$3000,U485,Однолинейка!$A$3:$A$3000,Щит_спец)),IF(A485="Аппарат",IF(C485="","",COUNTIFS(Однолинейка!$I$3:$I$3000,C485,Однолинейка!$A$3:$A$3000,Щит_спец)+COUNTIFS(Однолинейка!$J$3:$J$3000,C485,Однолинейка!$A$3:$A$3000,Щит_спец)+COUNTIFS(Однолинейка!$K$3:$K$3000,C485,Однолинейка!$A$3:$A$3000,Щит_спец)),IF(A485="Модуль",IF(C485="","",COUNTIFS(Однолинейка!$AW$3:$AW$3000,"?*",Однолинейка!$AI$3:$AI$3000,C485,Однолинейка!$A$3:$A$3000,Щит_спец)),IF(A485="Клемма",IF(C485="","",IF(C485=$S$7,SUMIFS(Однолинейка!$BW$3:$BW$3000,Однолинейка!$A$3:$A$3000,Щит_спец),IF(C485=$S$8,SUMIFS(Однолинейка!$BX$3:$BX$3000,Однолинейка!$A$3:$A$3000,Щит_спец),""))),""))))</f>
        <v/>
      </c>
      <c r="O485" s="74"/>
      <c r="P485" s="38" t="str">
        <f t="shared" si="63"/>
        <v/>
      </c>
      <c r="U485" s="38" t="str">
        <f t="shared" si="64"/>
        <v/>
      </c>
      <c r="V485" s="38" t="str">
        <f t="shared" si="65"/>
        <v/>
      </c>
      <c r="W485" s="38" t="str">
        <f>IF(AND(U485&lt;&gt;"",OR($S$4="(все)",B485=$S$4),IF($S$4="(все)",COUNTIF($U$4:U485,U485),COUNTIFS($U$4:U485,U485,$B$4:B485,B485))=1),MAX($W$3:W484)+1,"")</f>
        <v/>
      </c>
      <c r="X485" s="38" t="str">
        <f t="shared" si="66"/>
        <v/>
      </c>
      <c r="Y485" s="38" t="str">
        <f>IF(AND(A485="Аппарат",C485&lt;&gt;"",OR($S$5="(все)",B485=$S$5)),MAX($Y$3:Y484)+1,"")</f>
        <v/>
      </c>
      <c r="Z485" s="38" t="str">
        <f t="shared" si="67"/>
        <v/>
      </c>
      <c r="AA485" s="38" t="str">
        <f>IF(AND(A485="Модуль",C485&lt;&gt;"",OR($S$6="(все)",B485=$S$6)),MAX($AA$3:AA484)+1,"")</f>
        <v/>
      </c>
      <c r="AB485" s="38" t="str">
        <f t="shared" si="68"/>
        <v/>
      </c>
      <c r="AC485" s="38" t="str">
        <f>IF(OR(B485="",COUNTIF($B$4:B485,B485)&gt;1),"",MAX($AC$3:AC484)+1)</f>
        <v/>
      </c>
      <c r="AD485" s="38" t="str">
        <f t="shared" si="69"/>
        <v/>
      </c>
      <c r="AE485" s="38" t="str">
        <f t="shared" si="70"/>
        <v/>
      </c>
      <c r="AF485" s="38" t="str">
        <f t="shared" si="71"/>
        <v/>
      </c>
    </row>
    <row r="486" spans="1:32" x14ac:dyDescent="0.3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38" t="str">
        <f>IF(OR(A486="Автомат",A486="Дифавтомат"),IF(W486="","",COUNTIFS(Однолинейка!$H$3:$H$3000,U486,Однолинейка!$A$3:$A$3000,Щит_спец)),IF(A486="Аппарат",IF(C486="","",COUNTIFS(Однолинейка!$I$3:$I$3000,C486,Однолинейка!$A$3:$A$3000,Щит_спец)+COUNTIFS(Однолинейка!$J$3:$J$3000,C486,Однолинейка!$A$3:$A$3000,Щит_спец)+COUNTIFS(Однолинейка!$K$3:$K$3000,C486,Однолинейка!$A$3:$A$3000,Щит_спец)),IF(A486="Модуль",IF(C486="","",COUNTIFS(Однолинейка!$AW$3:$AW$3000,"?*",Однолинейка!$AI$3:$AI$3000,C486,Однолинейка!$A$3:$A$3000,Щит_спец)),IF(A486="Клемма",IF(C486="","",IF(C486=$S$7,SUMIFS(Однолинейка!$BW$3:$BW$3000,Однолинейка!$A$3:$A$3000,Щит_спец),IF(C486=$S$8,SUMIFS(Однолинейка!$BX$3:$BX$3000,Однолинейка!$A$3:$A$3000,Щит_спец),""))),""))))</f>
        <v/>
      </c>
      <c r="O486" s="74"/>
      <c r="P486" s="38" t="str">
        <f t="shared" si="63"/>
        <v/>
      </c>
      <c r="U486" s="38" t="str">
        <f t="shared" si="64"/>
        <v/>
      </c>
      <c r="V486" s="38" t="str">
        <f t="shared" si="65"/>
        <v/>
      </c>
      <c r="W486" s="38" t="str">
        <f>IF(AND(U486&lt;&gt;"",OR($S$4="(все)",B486=$S$4),IF($S$4="(все)",COUNTIF($U$4:U486,U486),COUNTIFS($U$4:U486,U486,$B$4:B486,B486))=1),MAX($W$3:W485)+1,"")</f>
        <v/>
      </c>
      <c r="X486" s="38" t="str">
        <f t="shared" si="66"/>
        <v/>
      </c>
      <c r="Y486" s="38" t="str">
        <f>IF(AND(A486="Аппарат",C486&lt;&gt;"",OR($S$5="(все)",B486=$S$5)),MAX($Y$3:Y485)+1,"")</f>
        <v/>
      </c>
      <c r="Z486" s="38" t="str">
        <f t="shared" si="67"/>
        <v/>
      </c>
      <c r="AA486" s="38" t="str">
        <f>IF(AND(A486="Модуль",C486&lt;&gt;"",OR($S$6="(все)",B486=$S$6)),MAX($AA$3:AA485)+1,"")</f>
        <v/>
      </c>
      <c r="AB486" s="38" t="str">
        <f t="shared" si="68"/>
        <v/>
      </c>
      <c r="AC486" s="38" t="str">
        <f>IF(OR(B486="",COUNTIF($B$4:B486,B486)&gt;1),"",MAX($AC$3:AC485)+1)</f>
        <v/>
      </c>
      <c r="AD486" s="38" t="str">
        <f t="shared" si="69"/>
        <v/>
      </c>
      <c r="AE486" s="38" t="str">
        <f t="shared" si="70"/>
        <v/>
      </c>
      <c r="AF486" s="38" t="str">
        <f t="shared" si="71"/>
        <v/>
      </c>
    </row>
    <row r="487" spans="1:32" x14ac:dyDescent="0.3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38" t="str">
        <f>IF(OR(A487="Автомат",A487="Дифавтомат"),IF(W487="","",COUNTIFS(Однолинейка!$H$3:$H$3000,U487,Однолинейка!$A$3:$A$3000,Щит_спец)),IF(A487="Аппарат",IF(C487="","",COUNTIFS(Однолинейка!$I$3:$I$3000,C487,Однолинейка!$A$3:$A$3000,Щит_спец)+COUNTIFS(Однолинейка!$J$3:$J$3000,C487,Однолинейка!$A$3:$A$3000,Щит_спец)+COUNTIFS(Однолинейка!$K$3:$K$3000,C487,Однолинейка!$A$3:$A$3000,Щит_спец)),IF(A487="Модуль",IF(C487="","",COUNTIFS(Однолинейка!$AW$3:$AW$3000,"?*",Однолинейка!$AI$3:$AI$3000,C487,Однолинейка!$A$3:$A$3000,Щит_спец)),IF(A487="Клемма",IF(C487="","",IF(C487=$S$7,SUMIFS(Однолинейка!$BW$3:$BW$3000,Однолинейка!$A$3:$A$3000,Щит_спец),IF(C487=$S$8,SUMIFS(Однолинейка!$BX$3:$BX$3000,Однолинейка!$A$3:$A$3000,Щит_спец),""))),""))))</f>
        <v/>
      </c>
      <c r="O487" s="74"/>
      <c r="P487" s="38" t="str">
        <f t="shared" si="63"/>
        <v/>
      </c>
      <c r="U487" s="38" t="str">
        <f t="shared" si="64"/>
        <v/>
      </c>
      <c r="V487" s="38" t="str">
        <f t="shared" si="65"/>
        <v/>
      </c>
      <c r="W487" s="38" t="str">
        <f>IF(AND(U487&lt;&gt;"",OR($S$4="(все)",B487=$S$4),IF($S$4="(все)",COUNTIF($U$4:U487,U487),COUNTIFS($U$4:U487,U487,$B$4:B487,B487))=1),MAX($W$3:W486)+1,"")</f>
        <v/>
      </c>
      <c r="X487" s="38" t="str">
        <f t="shared" si="66"/>
        <v/>
      </c>
      <c r="Y487" s="38" t="str">
        <f>IF(AND(A487="Аппарат",C487&lt;&gt;"",OR($S$5="(все)",B487=$S$5)),MAX($Y$3:Y486)+1,"")</f>
        <v/>
      </c>
      <c r="Z487" s="38" t="str">
        <f t="shared" si="67"/>
        <v/>
      </c>
      <c r="AA487" s="38" t="str">
        <f>IF(AND(A487="Модуль",C487&lt;&gt;"",OR($S$6="(все)",B487=$S$6)),MAX($AA$3:AA486)+1,"")</f>
        <v/>
      </c>
      <c r="AB487" s="38" t="str">
        <f t="shared" si="68"/>
        <v/>
      </c>
      <c r="AC487" s="38" t="str">
        <f>IF(OR(B487="",COUNTIF($B$4:B487,B487)&gt;1),"",MAX($AC$3:AC486)+1)</f>
        <v/>
      </c>
      <c r="AD487" s="38" t="str">
        <f t="shared" si="69"/>
        <v/>
      </c>
      <c r="AE487" s="38" t="str">
        <f t="shared" si="70"/>
        <v/>
      </c>
      <c r="AF487" s="38" t="str">
        <f t="shared" si="71"/>
        <v/>
      </c>
    </row>
    <row r="488" spans="1:32" x14ac:dyDescent="0.3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38" t="str">
        <f>IF(OR(A488="Автомат",A488="Дифавтомат"),IF(W488="","",COUNTIFS(Однолинейка!$H$3:$H$3000,U488,Однолинейка!$A$3:$A$3000,Щит_спец)),IF(A488="Аппарат",IF(C488="","",COUNTIFS(Однолинейка!$I$3:$I$3000,C488,Однолинейка!$A$3:$A$3000,Щит_спец)+COUNTIFS(Однолинейка!$J$3:$J$3000,C488,Однолинейка!$A$3:$A$3000,Щит_спец)+COUNTIFS(Однолинейка!$K$3:$K$3000,C488,Однолинейка!$A$3:$A$3000,Щит_спец)),IF(A488="Модуль",IF(C488="","",COUNTIFS(Однолинейка!$AW$3:$AW$3000,"?*",Однолинейка!$AI$3:$AI$3000,C488,Однолинейка!$A$3:$A$3000,Щит_спец)),IF(A488="Клемма",IF(C488="","",IF(C488=$S$7,SUMIFS(Однолинейка!$BW$3:$BW$3000,Однолинейка!$A$3:$A$3000,Щит_спец),IF(C488=$S$8,SUMIFS(Однолинейка!$BX$3:$BX$3000,Однолинейка!$A$3:$A$3000,Щит_спец),""))),""))))</f>
        <v/>
      </c>
      <c r="O488" s="74"/>
      <c r="P488" s="38" t="str">
        <f t="shared" si="63"/>
        <v/>
      </c>
      <c r="U488" s="38" t="str">
        <f t="shared" si="64"/>
        <v/>
      </c>
      <c r="V488" s="38" t="str">
        <f t="shared" si="65"/>
        <v/>
      </c>
      <c r="W488" s="38" t="str">
        <f>IF(AND(U488&lt;&gt;"",OR($S$4="(все)",B488=$S$4),IF($S$4="(все)",COUNTIF($U$4:U488,U488),COUNTIFS($U$4:U488,U488,$B$4:B488,B488))=1),MAX($W$3:W487)+1,"")</f>
        <v/>
      </c>
      <c r="X488" s="38" t="str">
        <f t="shared" si="66"/>
        <v/>
      </c>
      <c r="Y488" s="38" t="str">
        <f>IF(AND(A488="Аппарат",C488&lt;&gt;"",OR($S$5="(все)",B488=$S$5)),MAX($Y$3:Y487)+1,"")</f>
        <v/>
      </c>
      <c r="Z488" s="38" t="str">
        <f t="shared" si="67"/>
        <v/>
      </c>
      <c r="AA488" s="38" t="str">
        <f>IF(AND(A488="Модуль",C488&lt;&gt;"",OR($S$6="(все)",B488=$S$6)),MAX($AA$3:AA487)+1,"")</f>
        <v/>
      </c>
      <c r="AB488" s="38" t="str">
        <f t="shared" si="68"/>
        <v/>
      </c>
      <c r="AC488" s="38" t="str">
        <f>IF(OR(B488="",COUNTIF($B$4:B488,B488)&gt;1),"",MAX($AC$3:AC487)+1)</f>
        <v/>
      </c>
      <c r="AD488" s="38" t="str">
        <f t="shared" si="69"/>
        <v/>
      </c>
      <c r="AE488" s="38" t="str">
        <f t="shared" si="70"/>
        <v/>
      </c>
      <c r="AF488" s="38" t="str">
        <f t="shared" si="71"/>
        <v/>
      </c>
    </row>
    <row r="489" spans="1:32" x14ac:dyDescent="0.3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38" t="str">
        <f>IF(OR(A489="Автомат",A489="Дифавтомат"),IF(W489="","",COUNTIFS(Однолинейка!$H$3:$H$3000,U489,Однолинейка!$A$3:$A$3000,Щит_спец)),IF(A489="Аппарат",IF(C489="","",COUNTIFS(Однолинейка!$I$3:$I$3000,C489,Однолинейка!$A$3:$A$3000,Щит_спец)+COUNTIFS(Однолинейка!$J$3:$J$3000,C489,Однолинейка!$A$3:$A$3000,Щит_спец)+COUNTIFS(Однолинейка!$K$3:$K$3000,C489,Однолинейка!$A$3:$A$3000,Щит_спец)),IF(A489="Модуль",IF(C489="","",COUNTIFS(Однолинейка!$AW$3:$AW$3000,"?*",Однолинейка!$AI$3:$AI$3000,C489,Однолинейка!$A$3:$A$3000,Щит_спец)),IF(A489="Клемма",IF(C489="","",IF(C489=$S$7,SUMIFS(Однолинейка!$BW$3:$BW$3000,Однолинейка!$A$3:$A$3000,Щит_спец),IF(C489=$S$8,SUMIFS(Однолинейка!$BX$3:$BX$3000,Однолинейка!$A$3:$A$3000,Щит_спец),""))),""))))</f>
        <v/>
      </c>
      <c r="O489" s="74"/>
      <c r="P489" s="38" t="str">
        <f t="shared" si="63"/>
        <v/>
      </c>
      <c r="U489" s="38" t="str">
        <f t="shared" si="64"/>
        <v/>
      </c>
      <c r="V489" s="38" t="str">
        <f t="shared" si="65"/>
        <v/>
      </c>
      <c r="W489" s="38" t="str">
        <f>IF(AND(U489&lt;&gt;"",OR($S$4="(все)",B489=$S$4),IF($S$4="(все)",COUNTIF($U$4:U489,U489),COUNTIFS($U$4:U489,U489,$B$4:B489,B489))=1),MAX($W$3:W488)+1,"")</f>
        <v/>
      </c>
      <c r="X489" s="38" t="str">
        <f t="shared" si="66"/>
        <v/>
      </c>
      <c r="Y489" s="38" t="str">
        <f>IF(AND(A489="Аппарат",C489&lt;&gt;"",OR($S$5="(все)",B489=$S$5)),MAX($Y$3:Y488)+1,"")</f>
        <v/>
      </c>
      <c r="Z489" s="38" t="str">
        <f t="shared" si="67"/>
        <v/>
      </c>
      <c r="AA489" s="38" t="str">
        <f>IF(AND(A489="Модуль",C489&lt;&gt;"",OR($S$6="(все)",B489=$S$6)),MAX($AA$3:AA488)+1,"")</f>
        <v/>
      </c>
      <c r="AB489" s="38" t="str">
        <f t="shared" si="68"/>
        <v/>
      </c>
      <c r="AC489" s="38" t="str">
        <f>IF(OR(B489="",COUNTIF($B$4:B489,B489)&gt;1),"",MAX($AC$3:AC488)+1)</f>
        <v/>
      </c>
      <c r="AD489" s="38" t="str">
        <f t="shared" si="69"/>
        <v/>
      </c>
      <c r="AE489" s="38" t="str">
        <f t="shared" si="70"/>
        <v/>
      </c>
      <c r="AF489" s="38" t="str">
        <f t="shared" si="71"/>
        <v/>
      </c>
    </row>
    <row r="490" spans="1:32" x14ac:dyDescent="0.3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38" t="str">
        <f>IF(OR(A490="Автомат",A490="Дифавтомат"),IF(W490="","",COUNTIFS(Однолинейка!$H$3:$H$3000,U490,Однолинейка!$A$3:$A$3000,Щит_спец)),IF(A490="Аппарат",IF(C490="","",COUNTIFS(Однолинейка!$I$3:$I$3000,C490,Однолинейка!$A$3:$A$3000,Щит_спец)+COUNTIFS(Однолинейка!$J$3:$J$3000,C490,Однолинейка!$A$3:$A$3000,Щит_спец)+COUNTIFS(Однолинейка!$K$3:$K$3000,C490,Однолинейка!$A$3:$A$3000,Щит_спец)),IF(A490="Модуль",IF(C490="","",COUNTIFS(Однолинейка!$AW$3:$AW$3000,"?*",Однолинейка!$AI$3:$AI$3000,C490,Однолинейка!$A$3:$A$3000,Щит_спец)),IF(A490="Клемма",IF(C490="","",IF(C490=$S$7,SUMIFS(Однолинейка!$BW$3:$BW$3000,Однолинейка!$A$3:$A$3000,Щит_спец),IF(C490=$S$8,SUMIFS(Однолинейка!$BX$3:$BX$3000,Однолинейка!$A$3:$A$3000,Щит_спец),""))),""))))</f>
        <v/>
      </c>
      <c r="O490" s="74"/>
      <c r="P490" s="38" t="str">
        <f t="shared" si="63"/>
        <v/>
      </c>
      <c r="U490" s="38" t="str">
        <f t="shared" si="64"/>
        <v/>
      </c>
      <c r="V490" s="38" t="str">
        <f t="shared" si="65"/>
        <v/>
      </c>
      <c r="W490" s="38" t="str">
        <f>IF(AND(U490&lt;&gt;"",OR($S$4="(все)",B490=$S$4),IF($S$4="(все)",COUNTIF($U$4:U490,U490),COUNTIFS($U$4:U490,U490,$B$4:B490,B490))=1),MAX($W$3:W489)+1,"")</f>
        <v/>
      </c>
      <c r="X490" s="38" t="str">
        <f t="shared" si="66"/>
        <v/>
      </c>
      <c r="Y490" s="38" t="str">
        <f>IF(AND(A490="Аппарат",C490&lt;&gt;"",OR($S$5="(все)",B490=$S$5)),MAX($Y$3:Y489)+1,"")</f>
        <v/>
      </c>
      <c r="Z490" s="38" t="str">
        <f t="shared" si="67"/>
        <v/>
      </c>
      <c r="AA490" s="38" t="str">
        <f>IF(AND(A490="Модуль",C490&lt;&gt;"",OR($S$6="(все)",B490=$S$6)),MAX($AA$3:AA489)+1,"")</f>
        <v/>
      </c>
      <c r="AB490" s="38" t="str">
        <f t="shared" si="68"/>
        <v/>
      </c>
      <c r="AC490" s="38" t="str">
        <f>IF(OR(B490="",COUNTIF($B$4:B490,B490)&gt;1),"",MAX($AC$3:AC489)+1)</f>
        <v/>
      </c>
      <c r="AD490" s="38" t="str">
        <f t="shared" si="69"/>
        <v/>
      </c>
      <c r="AE490" s="38" t="str">
        <f t="shared" si="70"/>
        <v/>
      </c>
      <c r="AF490" s="38" t="str">
        <f t="shared" si="71"/>
        <v/>
      </c>
    </row>
    <row r="491" spans="1:32" x14ac:dyDescent="0.3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38" t="str">
        <f>IF(OR(A491="Автомат",A491="Дифавтомат"),IF(W491="","",COUNTIFS(Однолинейка!$H$3:$H$3000,U491,Однолинейка!$A$3:$A$3000,Щит_спец)),IF(A491="Аппарат",IF(C491="","",COUNTIFS(Однолинейка!$I$3:$I$3000,C491,Однолинейка!$A$3:$A$3000,Щит_спец)+COUNTIFS(Однолинейка!$J$3:$J$3000,C491,Однолинейка!$A$3:$A$3000,Щит_спец)+COUNTIFS(Однолинейка!$K$3:$K$3000,C491,Однолинейка!$A$3:$A$3000,Щит_спец)),IF(A491="Модуль",IF(C491="","",COUNTIFS(Однолинейка!$AW$3:$AW$3000,"?*",Однолинейка!$AI$3:$AI$3000,C491,Однолинейка!$A$3:$A$3000,Щит_спец)),IF(A491="Клемма",IF(C491="","",IF(C491=$S$7,SUMIFS(Однолинейка!$BW$3:$BW$3000,Однолинейка!$A$3:$A$3000,Щит_спец),IF(C491=$S$8,SUMIFS(Однолинейка!$BX$3:$BX$3000,Однолинейка!$A$3:$A$3000,Щит_спец),""))),""))))</f>
        <v/>
      </c>
      <c r="O491" s="74"/>
      <c r="P491" s="38" t="str">
        <f t="shared" si="63"/>
        <v/>
      </c>
      <c r="U491" s="38" t="str">
        <f t="shared" si="64"/>
        <v/>
      </c>
      <c r="V491" s="38" t="str">
        <f t="shared" si="65"/>
        <v/>
      </c>
      <c r="W491" s="38" t="str">
        <f>IF(AND(U491&lt;&gt;"",OR($S$4="(все)",B491=$S$4),IF($S$4="(все)",COUNTIF($U$4:U491,U491),COUNTIFS($U$4:U491,U491,$B$4:B491,B491))=1),MAX($W$3:W490)+1,"")</f>
        <v/>
      </c>
      <c r="X491" s="38" t="str">
        <f t="shared" si="66"/>
        <v/>
      </c>
      <c r="Y491" s="38" t="str">
        <f>IF(AND(A491="Аппарат",C491&lt;&gt;"",OR($S$5="(все)",B491=$S$5)),MAX($Y$3:Y490)+1,"")</f>
        <v/>
      </c>
      <c r="Z491" s="38" t="str">
        <f t="shared" si="67"/>
        <v/>
      </c>
      <c r="AA491" s="38" t="str">
        <f>IF(AND(A491="Модуль",C491&lt;&gt;"",OR($S$6="(все)",B491=$S$6)),MAX($AA$3:AA490)+1,"")</f>
        <v/>
      </c>
      <c r="AB491" s="38" t="str">
        <f t="shared" si="68"/>
        <v/>
      </c>
      <c r="AC491" s="38" t="str">
        <f>IF(OR(B491="",COUNTIF($B$4:B491,B491)&gt;1),"",MAX($AC$3:AC490)+1)</f>
        <v/>
      </c>
      <c r="AD491" s="38" t="str">
        <f t="shared" si="69"/>
        <v/>
      </c>
      <c r="AE491" s="38" t="str">
        <f t="shared" si="70"/>
        <v/>
      </c>
      <c r="AF491" s="38" t="str">
        <f t="shared" si="71"/>
        <v/>
      </c>
    </row>
    <row r="492" spans="1:32" x14ac:dyDescent="0.3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38" t="str">
        <f>IF(OR(A492="Автомат",A492="Дифавтомат"),IF(W492="","",COUNTIFS(Однолинейка!$H$3:$H$3000,U492,Однолинейка!$A$3:$A$3000,Щит_спец)),IF(A492="Аппарат",IF(C492="","",COUNTIFS(Однолинейка!$I$3:$I$3000,C492,Однолинейка!$A$3:$A$3000,Щит_спец)+COUNTIFS(Однолинейка!$J$3:$J$3000,C492,Однолинейка!$A$3:$A$3000,Щит_спец)+COUNTIFS(Однолинейка!$K$3:$K$3000,C492,Однолинейка!$A$3:$A$3000,Щит_спец)),IF(A492="Модуль",IF(C492="","",COUNTIFS(Однолинейка!$AW$3:$AW$3000,"?*",Однолинейка!$AI$3:$AI$3000,C492,Однолинейка!$A$3:$A$3000,Щит_спец)),IF(A492="Клемма",IF(C492="","",IF(C492=$S$7,SUMIFS(Однолинейка!$BW$3:$BW$3000,Однолинейка!$A$3:$A$3000,Щит_спец),IF(C492=$S$8,SUMIFS(Однолинейка!$BX$3:$BX$3000,Однолинейка!$A$3:$A$3000,Щит_спец),""))),""))))</f>
        <v/>
      </c>
      <c r="O492" s="74"/>
      <c r="P492" s="38" t="str">
        <f t="shared" si="63"/>
        <v/>
      </c>
      <c r="U492" s="38" t="str">
        <f t="shared" si="64"/>
        <v/>
      </c>
      <c r="V492" s="38" t="str">
        <f t="shared" si="65"/>
        <v/>
      </c>
      <c r="W492" s="38" t="str">
        <f>IF(AND(U492&lt;&gt;"",OR($S$4="(все)",B492=$S$4),IF($S$4="(все)",COUNTIF($U$4:U492,U492),COUNTIFS($U$4:U492,U492,$B$4:B492,B492))=1),MAX($W$3:W491)+1,"")</f>
        <v/>
      </c>
      <c r="X492" s="38" t="str">
        <f t="shared" si="66"/>
        <v/>
      </c>
      <c r="Y492" s="38" t="str">
        <f>IF(AND(A492="Аппарат",C492&lt;&gt;"",OR($S$5="(все)",B492=$S$5)),MAX($Y$3:Y491)+1,"")</f>
        <v/>
      </c>
      <c r="Z492" s="38" t="str">
        <f t="shared" si="67"/>
        <v/>
      </c>
      <c r="AA492" s="38" t="str">
        <f>IF(AND(A492="Модуль",C492&lt;&gt;"",OR($S$6="(все)",B492=$S$6)),MAX($AA$3:AA491)+1,"")</f>
        <v/>
      </c>
      <c r="AB492" s="38" t="str">
        <f t="shared" si="68"/>
        <v/>
      </c>
      <c r="AC492" s="38" t="str">
        <f>IF(OR(B492="",COUNTIF($B$4:B492,B492)&gt;1),"",MAX($AC$3:AC491)+1)</f>
        <v/>
      </c>
      <c r="AD492" s="38" t="str">
        <f t="shared" si="69"/>
        <v/>
      </c>
      <c r="AE492" s="38" t="str">
        <f t="shared" si="70"/>
        <v/>
      </c>
      <c r="AF492" s="38" t="str">
        <f t="shared" si="71"/>
        <v/>
      </c>
    </row>
    <row r="493" spans="1:32" x14ac:dyDescent="0.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38" t="str">
        <f>IF(OR(A493="Автомат",A493="Дифавтомат"),IF(W493="","",COUNTIFS(Однолинейка!$H$3:$H$3000,U493,Однолинейка!$A$3:$A$3000,Щит_спец)),IF(A493="Аппарат",IF(C493="","",COUNTIFS(Однолинейка!$I$3:$I$3000,C493,Однолинейка!$A$3:$A$3000,Щит_спец)+COUNTIFS(Однолинейка!$J$3:$J$3000,C493,Однолинейка!$A$3:$A$3000,Щит_спец)+COUNTIFS(Однолинейка!$K$3:$K$3000,C493,Однолинейка!$A$3:$A$3000,Щит_спец)),IF(A493="Модуль",IF(C493="","",COUNTIFS(Однолинейка!$AW$3:$AW$3000,"?*",Однолинейка!$AI$3:$AI$3000,C493,Однолинейка!$A$3:$A$3000,Щит_спец)),IF(A493="Клемма",IF(C493="","",IF(C493=$S$7,SUMIFS(Однолинейка!$BW$3:$BW$3000,Однолинейка!$A$3:$A$3000,Щит_спец),IF(C493=$S$8,SUMIFS(Однолинейка!$BX$3:$BX$3000,Однолинейка!$A$3:$A$3000,Щит_спец),""))),""))))</f>
        <v/>
      </c>
      <c r="O493" s="74"/>
      <c r="P493" s="38" t="str">
        <f t="shared" si="63"/>
        <v/>
      </c>
      <c r="U493" s="38" t="str">
        <f t="shared" si="64"/>
        <v/>
      </c>
      <c r="V493" s="38" t="str">
        <f t="shared" si="65"/>
        <v/>
      </c>
      <c r="W493" s="38" t="str">
        <f>IF(AND(U493&lt;&gt;"",OR($S$4="(все)",B493=$S$4),IF($S$4="(все)",COUNTIF($U$4:U493,U493),COUNTIFS($U$4:U493,U493,$B$4:B493,B493))=1),MAX($W$3:W492)+1,"")</f>
        <v/>
      </c>
      <c r="X493" s="38" t="str">
        <f t="shared" si="66"/>
        <v/>
      </c>
      <c r="Y493" s="38" t="str">
        <f>IF(AND(A493="Аппарат",C493&lt;&gt;"",OR($S$5="(все)",B493=$S$5)),MAX($Y$3:Y492)+1,"")</f>
        <v/>
      </c>
      <c r="Z493" s="38" t="str">
        <f t="shared" si="67"/>
        <v/>
      </c>
      <c r="AA493" s="38" t="str">
        <f>IF(AND(A493="Модуль",C493&lt;&gt;"",OR($S$6="(все)",B493=$S$6)),MAX($AA$3:AA492)+1,"")</f>
        <v/>
      </c>
      <c r="AB493" s="38" t="str">
        <f t="shared" si="68"/>
        <v/>
      </c>
      <c r="AC493" s="38" t="str">
        <f>IF(OR(B493="",COUNTIF($B$4:B493,B493)&gt;1),"",MAX($AC$3:AC492)+1)</f>
        <v/>
      </c>
      <c r="AD493" s="38" t="str">
        <f t="shared" si="69"/>
        <v/>
      </c>
      <c r="AE493" s="38" t="str">
        <f t="shared" si="70"/>
        <v/>
      </c>
      <c r="AF493" s="38" t="str">
        <f t="shared" si="71"/>
        <v/>
      </c>
    </row>
    <row r="494" spans="1:32" x14ac:dyDescent="0.3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38" t="str">
        <f>IF(OR(A494="Автомат",A494="Дифавтомат"),IF(W494="","",COUNTIFS(Однолинейка!$H$3:$H$3000,U494,Однолинейка!$A$3:$A$3000,Щит_спец)),IF(A494="Аппарат",IF(C494="","",COUNTIFS(Однолинейка!$I$3:$I$3000,C494,Однолинейка!$A$3:$A$3000,Щит_спец)+COUNTIFS(Однолинейка!$J$3:$J$3000,C494,Однолинейка!$A$3:$A$3000,Щит_спец)+COUNTIFS(Однолинейка!$K$3:$K$3000,C494,Однолинейка!$A$3:$A$3000,Щит_спец)),IF(A494="Модуль",IF(C494="","",COUNTIFS(Однолинейка!$AW$3:$AW$3000,"?*",Однолинейка!$AI$3:$AI$3000,C494,Однолинейка!$A$3:$A$3000,Щит_спец)),IF(A494="Клемма",IF(C494="","",IF(C494=$S$7,SUMIFS(Однолинейка!$BW$3:$BW$3000,Однолинейка!$A$3:$A$3000,Щит_спец),IF(C494=$S$8,SUMIFS(Однолинейка!$BX$3:$BX$3000,Однолинейка!$A$3:$A$3000,Щит_спец),""))),""))))</f>
        <v/>
      </c>
      <c r="O494" s="74"/>
      <c r="P494" s="38" t="str">
        <f t="shared" si="63"/>
        <v/>
      </c>
      <c r="U494" s="38" t="str">
        <f t="shared" si="64"/>
        <v/>
      </c>
      <c r="V494" s="38" t="str">
        <f t="shared" si="65"/>
        <v/>
      </c>
      <c r="W494" s="38" t="str">
        <f>IF(AND(U494&lt;&gt;"",OR($S$4="(все)",B494=$S$4),IF($S$4="(все)",COUNTIF($U$4:U494,U494),COUNTIFS($U$4:U494,U494,$B$4:B494,B494))=1),MAX($W$3:W493)+1,"")</f>
        <v/>
      </c>
      <c r="X494" s="38" t="str">
        <f t="shared" si="66"/>
        <v/>
      </c>
      <c r="Y494" s="38" t="str">
        <f>IF(AND(A494="Аппарат",C494&lt;&gt;"",OR($S$5="(все)",B494=$S$5)),MAX($Y$3:Y493)+1,"")</f>
        <v/>
      </c>
      <c r="Z494" s="38" t="str">
        <f t="shared" si="67"/>
        <v/>
      </c>
      <c r="AA494" s="38" t="str">
        <f>IF(AND(A494="Модуль",C494&lt;&gt;"",OR($S$6="(все)",B494=$S$6)),MAX($AA$3:AA493)+1,"")</f>
        <v/>
      </c>
      <c r="AB494" s="38" t="str">
        <f t="shared" si="68"/>
        <v/>
      </c>
      <c r="AC494" s="38" t="str">
        <f>IF(OR(B494="",COUNTIF($B$4:B494,B494)&gt;1),"",MAX($AC$3:AC493)+1)</f>
        <v/>
      </c>
      <c r="AD494" s="38" t="str">
        <f t="shared" si="69"/>
        <v/>
      </c>
      <c r="AE494" s="38" t="str">
        <f t="shared" si="70"/>
        <v/>
      </c>
      <c r="AF494" s="38" t="str">
        <f t="shared" si="71"/>
        <v/>
      </c>
    </row>
    <row r="495" spans="1:32" x14ac:dyDescent="0.3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38" t="str">
        <f>IF(OR(A495="Автомат",A495="Дифавтомат"),IF(W495="","",COUNTIFS(Однолинейка!$H$3:$H$3000,U495,Однолинейка!$A$3:$A$3000,Щит_спец)),IF(A495="Аппарат",IF(C495="","",COUNTIFS(Однолинейка!$I$3:$I$3000,C495,Однолинейка!$A$3:$A$3000,Щит_спец)+COUNTIFS(Однолинейка!$J$3:$J$3000,C495,Однолинейка!$A$3:$A$3000,Щит_спец)+COUNTIFS(Однолинейка!$K$3:$K$3000,C495,Однолинейка!$A$3:$A$3000,Щит_спец)),IF(A495="Модуль",IF(C495="","",COUNTIFS(Однолинейка!$AW$3:$AW$3000,"?*",Однолинейка!$AI$3:$AI$3000,C495,Однолинейка!$A$3:$A$3000,Щит_спец)),IF(A495="Клемма",IF(C495="","",IF(C495=$S$7,SUMIFS(Однолинейка!$BW$3:$BW$3000,Однолинейка!$A$3:$A$3000,Щит_спец),IF(C495=$S$8,SUMIFS(Однолинейка!$BX$3:$BX$3000,Однолинейка!$A$3:$A$3000,Щит_спец),""))),""))))</f>
        <v/>
      </c>
      <c r="O495" s="74"/>
      <c r="P495" s="38" t="str">
        <f t="shared" si="63"/>
        <v/>
      </c>
      <c r="U495" s="38" t="str">
        <f t="shared" si="64"/>
        <v/>
      </c>
      <c r="V495" s="38" t="str">
        <f t="shared" si="65"/>
        <v/>
      </c>
      <c r="W495" s="38" t="str">
        <f>IF(AND(U495&lt;&gt;"",OR($S$4="(все)",B495=$S$4),IF($S$4="(все)",COUNTIF($U$4:U495,U495),COUNTIFS($U$4:U495,U495,$B$4:B495,B495))=1),MAX($W$3:W494)+1,"")</f>
        <v/>
      </c>
      <c r="X495" s="38" t="str">
        <f t="shared" si="66"/>
        <v/>
      </c>
      <c r="Y495" s="38" t="str">
        <f>IF(AND(A495="Аппарат",C495&lt;&gt;"",OR($S$5="(все)",B495=$S$5)),MAX($Y$3:Y494)+1,"")</f>
        <v/>
      </c>
      <c r="Z495" s="38" t="str">
        <f t="shared" si="67"/>
        <v/>
      </c>
      <c r="AA495" s="38" t="str">
        <f>IF(AND(A495="Модуль",C495&lt;&gt;"",OR($S$6="(все)",B495=$S$6)),MAX($AA$3:AA494)+1,"")</f>
        <v/>
      </c>
      <c r="AB495" s="38" t="str">
        <f t="shared" si="68"/>
        <v/>
      </c>
      <c r="AC495" s="38" t="str">
        <f>IF(OR(B495="",COUNTIF($B$4:B495,B495)&gt;1),"",MAX($AC$3:AC494)+1)</f>
        <v/>
      </c>
      <c r="AD495" s="38" t="str">
        <f t="shared" si="69"/>
        <v/>
      </c>
      <c r="AE495" s="38" t="str">
        <f t="shared" si="70"/>
        <v/>
      </c>
      <c r="AF495" s="38" t="str">
        <f t="shared" si="71"/>
        <v/>
      </c>
    </row>
    <row r="496" spans="1:32" x14ac:dyDescent="0.3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38" t="str">
        <f>IF(OR(A496="Автомат",A496="Дифавтомат"),IF(W496="","",COUNTIFS(Однолинейка!$H$3:$H$3000,U496,Однолинейка!$A$3:$A$3000,Щит_спец)),IF(A496="Аппарат",IF(C496="","",COUNTIFS(Однолинейка!$I$3:$I$3000,C496,Однолинейка!$A$3:$A$3000,Щит_спец)+COUNTIFS(Однолинейка!$J$3:$J$3000,C496,Однолинейка!$A$3:$A$3000,Щит_спец)+COUNTIFS(Однолинейка!$K$3:$K$3000,C496,Однолинейка!$A$3:$A$3000,Щит_спец)),IF(A496="Модуль",IF(C496="","",COUNTIFS(Однолинейка!$AW$3:$AW$3000,"?*",Однолинейка!$AI$3:$AI$3000,C496,Однолинейка!$A$3:$A$3000,Щит_спец)),IF(A496="Клемма",IF(C496="","",IF(C496=$S$7,SUMIFS(Однолинейка!$BW$3:$BW$3000,Однолинейка!$A$3:$A$3000,Щит_спец),IF(C496=$S$8,SUMIFS(Однолинейка!$BX$3:$BX$3000,Однолинейка!$A$3:$A$3000,Щит_спец),""))),""))))</f>
        <v/>
      </c>
      <c r="O496" s="74"/>
      <c r="P496" s="38" t="str">
        <f t="shared" si="63"/>
        <v/>
      </c>
      <c r="U496" s="38" t="str">
        <f t="shared" si="64"/>
        <v/>
      </c>
      <c r="V496" s="38" t="str">
        <f t="shared" si="65"/>
        <v/>
      </c>
      <c r="W496" s="38" t="str">
        <f>IF(AND(U496&lt;&gt;"",OR($S$4="(все)",B496=$S$4),IF($S$4="(все)",COUNTIF($U$4:U496,U496),COUNTIFS($U$4:U496,U496,$B$4:B496,B496))=1),MAX($W$3:W495)+1,"")</f>
        <v/>
      </c>
      <c r="X496" s="38" t="str">
        <f t="shared" si="66"/>
        <v/>
      </c>
      <c r="Y496" s="38" t="str">
        <f>IF(AND(A496="Аппарат",C496&lt;&gt;"",OR($S$5="(все)",B496=$S$5)),MAX($Y$3:Y495)+1,"")</f>
        <v/>
      </c>
      <c r="Z496" s="38" t="str">
        <f t="shared" si="67"/>
        <v/>
      </c>
      <c r="AA496" s="38" t="str">
        <f>IF(AND(A496="Модуль",C496&lt;&gt;"",OR($S$6="(все)",B496=$S$6)),MAX($AA$3:AA495)+1,"")</f>
        <v/>
      </c>
      <c r="AB496" s="38" t="str">
        <f t="shared" si="68"/>
        <v/>
      </c>
      <c r="AC496" s="38" t="str">
        <f>IF(OR(B496="",COUNTIF($B$4:B496,B496)&gt;1),"",MAX($AC$3:AC495)+1)</f>
        <v/>
      </c>
      <c r="AD496" s="38" t="str">
        <f t="shared" si="69"/>
        <v/>
      </c>
      <c r="AE496" s="38" t="str">
        <f t="shared" si="70"/>
        <v/>
      </c>
      <c r="AF496" s="38" t="str">
        <f t="shared" si="71"/>
        <v/>
      </c>
    </row>
    <row r="497" spans="1:32" x14ac:dyDescent="0.3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38" t="str">
        <f>IF(OR(A497="Автомат",A497="Дифавтомат"),IF(W497="","",COUNTIFS(Однолинейка!$H$3:$H$3000,U497,Однолинейка!$A$3:$A$3000,Щит_спец)),IF(A497="Аппарат",IF(C497="","",COUNTIFS(Однолинейка!$I$3:$I$3000,C497,Однолинейка!$A$3:$A$3000,Щит_спец)+COUNTIFS(Однолинейка!$J$3:$J$3000,C497,Однолинейка!$A$3:$A$3000,Щит_спец)+COUNTIFS(Однолинейка!$K$3:$K$3000,C497,Однолинейка!$A$3:$A$3000,Щит_спец)),IF(A497="Модуль",IF(C497="","",COUNTIFS(Однолинейка!$AW$3:$AW$3000,"?*",Однолинейка!$AI$3:$AI$3000,C497,Однолинейка!$A$3:$A$3000,Щит_спец)),IF(A497="Клемма",IF(C497="","",IF(C497=$S$7,SUMIFS(Однолинейка!$BW$3:$BW$3000,Однолинейка!$A$3:$A$3000,Щит_спец),IF(C497=$S$8,SUMIFS(Однолинейка!$BX$3:$BX$3000,Однолинейка!$A$3:$A$3000,Щит_спец),""))),""))))</f>
        <v/>
      </c>
      <c r="O497" s="74"/>
      <c r="P497" s="38" t="str">
        <f t="shared" si="63"/>
        <v/>
      </c>
      <c r="U497" s="38" t="str">
        <f t="shared" si="64"/>
        <v/>
      </c>
      <c r="V497" s="38" t="str">
        <f t="shared" si="65"/>
        <v/>
      </c>
      <c r="W497" s="38" t="str">
        <f>IF(AND(U497&lt;&gt;"",OR($S$4="(все)",B497=$S$4),IF($S$4="(все)",COUNTIF($U$4:U497,U497),COUNTIFS($U$4:U497,U497,$B$4:B497,B497))=1),MAX($W$3:W496)+1,"")</f>
        <v/>
      </c>
      <c r="X497" s="38" t="str">
        <f t="shared" si="66"/>
        <v/>
      </c>
      <c r="Y497" s="38" t="str">
        <f>IF(AND(A497="Аппарат",C497&lt;&gt;"",OR($S$5="(все)",B497=$S$5)),MAX($Y$3:Y496)+1,"")</f>
        <v/>
      </c>
      <c r="Z497" s="38" t="str">
        <f t="shared" si="67"/>
        <v/>
      </c>
      <c r="AA497" s="38" t="str">
        <f>IF(AND(A497="Модуль",C497&lt;&gt;"",OR($S$6="(все)",B497=$S$6)),MAX($AA$3:AA496)+1,"")</f>
        <v/>
      </c>
      <c r="AB497" s="38" t="str">
        <f t="shared" si="68"/>
        <v/>
      </c>
      <c r="AC497" s="38" t="str">
        <f>IF(OR(B497="",COUNTIF($B$4:B497,B497)&gt;1),"",MAX($AC$3:AC496)+1)</f>
        <v/>
      </c>
      <c r="AD497" s="38" t="str">
        <f t="shared" si="69"/>
        <v/>
      </c>
      <c r="AE497" s="38" t="str">
        <f t="shared" si="70"/>
        <v/>
      </c>
      <c r="AF497" s="38" t="str">
        <f t="shared" si="71"/>
        <v/>
      </c>
    </row>
    <row r="498" spans="1:32" x14ac:dyDescent="0.3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38" t="str">
        <f>IF(OR(A498="Автомат",A498="Дифавтомат"),IF(W498="","",COUNTIFS(Однолинейка!$H$3:$H$3000,U498,Однолинейка!$A$3:$A$3000,Щит_спец)),IF(A498="Аппарат",IF(C498="","",COUNTIFS(Однолинейка!$I$3:$I$3000,C498,Однолинейка!$A$3:$A$3000,Щит_спец)+COUNTIFS(Однолинейка!$J$3:$J$3000,C498,Однолинейка!$A$3:$A$3000,Щит_спец)+COUNTIFS(Однолинейка!$K$3:$K$3000,C498,Однолинейка!$A$3:$A$3000,Щит_спец)),IF(A498="Модуль",IF(C498="","",COUNTIFS(Однолинейка!$AW$3:$AW$3000,"?*",Однолинейка!$AI$3:$AI$3000,C498,Однолинейка!$A$3:$A$3000,Щит_спец)),IF(A498="Клемма",IF(C498="","",IF(C498=$S$7,SUMIFS(Однолинейка!$BW$3:$BW$3000,Однолинейка!$A$3:$A$3000,Щит_спец),IF(C498=$S$8,SUMIFS(Однолинейка!$BX$3:$BX$3000,Однолинейка!$A$3:$A$3000,Щит_спец),""))),""))))</f>
        <v/>
      </c>
      <c r="O498" s="74"/>
      <c r="P498" s="38" t="str">
        <f t="shared" si="63"/>
        <v/>
      </c>
      <c r="U498" s="38" t="str">
        <f t="shared" si="64"/>
        <v/>
      </c>
      <c r="V498" s="38" t="str">
        <f t="shared" si="65"/>
        <v/>
      </c>
      <c r="W498" s="38" t="str">
        <f>IF(AND(U498&lt;&gt;"",OR($S$4="(все)",B498=$S$4),IF($S$4="(все)",COUNTIF($U$4:U498,U498),COUNTIFS($U$4:U498,U498,$B$4:B498,B498))=1),MAX($W$3:W497)+1,"")</f>
        <v/>
      </c>
      <c r="X498" s="38" t="str">
        <f t="shared" si="66"/>
        <v/>
      </c>
      <c r="Y498" s="38" t="str">
        <f>IF(AND(A498="Аппарат",C498&lt;&gt;"",OR($S$5="(все)",B498=$S$5)),MAX($Y$3:Y497)+1,"")</f>
        <v/>
      </c>
      <c r="Z498" s="38" t="str">
        <f t="shared" si="67"/>
        <v/>
      </c>
      <c r="AA498" s="38" t="str">
        <f>IF(AND(A498="Модуль",C498&lt;&gt;"",OR($S$6="(все)",B498=$S$6)),MAX($AA$3:AA497)+1,"")</f>
        <v/>
      </c>
      <c r="AB498" s="38" t="str">
        <f t="shared" si="68"/>
        <v/>
      </c>
      <c r="AC498" s="38" t="str">
        <f>IF(OR(B498="",COUNTIF($B$4:B498,B498)&gt;1),"",MAX($AC$3:AC497)+1)</f>
        <v/>
      </c>
      <c r="AD498" s="38" t="str">
        <f t="shared" si="69"/>
        <v/>
      </c>
      <c r="AE498" s="38" t="str">
        <f t="shared" si="70"/>
        <v/>
      </c>
      <c r="AF498" s="38" t="str">
        <f t="shared" si="71"/>
        <v/>
      </c>
    </row>
    <row r="499" spans="1:32" x14ac:dyDescent="0.3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38" t="str">
        <f>IF(OR(A499="Автомат",A499="Дифавтомат"),IF(W499="","",COUNTIFS(Однолинейка!$H$3:$H$3000,U499,Однолинейка!$A$3:$A$3000,Щит_спец)),IF(A499="Аппарат",IF(C499="","",COUNTIFS(Однолинейка!$I$3:$I$3000,C499,Однолинейка!$A$3:$A$3000,Щит_спец)+COUNTIFS(Однолинейка!$J$3:$J$3000,C499,Однолинейка!$A$3:$A$3000,Щит_спец)+COUNTIFS(Однолинейка!$K$3:$K$3000,C499,Однолинейка!$A$3:$A$3000,Щит_спец)),IF(A499="Модуль",IF(C499="","",COUNTIFS(Однолинейка!$AW$3:$AW$3000,"?*",Однолинейка!$AI$3:$AI$3000,C499,Однолинейка!$A$3:$A$3000,Щит_спец)),IF(A499="Клемма",IF(C499="","",IF(C499=$S$7,SUMIFS(Однолинейка!$BW$3:$BW$3000,Однолинейка!$A$3:$A$3000,Щит_спец),IF(C499=$S$8,SUMIFS(Однолинейка!$BX$3:$BX$3000,Однолинейка!$A$3:$A$3000,Щит_спец),""))),""))))</f>
        <v/>
      </c>
      <c r="O499" s="74"/>
      <c r="P499" s="38" t="str">
        <f t="shared" si="63"/>
        <v/>
      </c>
      <c r="U499" s="38" t="str">
        <f t="shared" si="64"/>
        <v/>
      </c>
      <c r="V499" s="38" t="str">
        <f t="shared" si="65"/>
        <v/>
      </c>
      <c r="W499" s="38" t="str">
        <f>IF(AND(U499&lt;&gt;"",OR($S$4="(все)",B499=$S$4),IF($S$4="(все)",COUNTIF($U$4:U499,U499),COUNTIFS($U$4:U499,U499,$B$4:B499,B499))=1),MAX($W$3:W498)+1,"")</f>
        <v/>
      </c>
      <c r="X499" s="38" t="str">
        <f t="shared" si="66"/>
        <v/>
      </c>
      <c r="Y499" s="38" t="str">
        <f>IF(AND(A499="Аппарат",C499&lt;&gt;"",OR($S$5="(все)",B499=$S$5)),MAX($Y$3:Y498)+1,"")</f>
        <v/>
      </c>
      <c r="Z499" s="38" t="str">
        <f t="shared" si="67"/>
        <v/>
      </c>
      <c r="AA499" s="38" t="str">
        <f>IF(AND(A499="Модуль",C499&lt;&gt;"",OR($S$6="(все)",B499=$S$6)),MAX($AA$3:AA498)+1,"")</f>
        <v/>
      </c>
      <c r="AB499" s="38" t="str">
        <f t="shared" si="68"/>
        <v/>
      </c>
      <c r="AC499" s="38" t="str">
        <f>IF(OR(B499="",COUNTIF($B$4:B499,B499)&gt;1),"",MAX($AC$3:AC498)+1)</f>
        <v/>
      </c>
      <c r="AD499" s="38" t="str">
        <f t="shared" si="69"/>
        <v/>
      </c>
      <c r="AE499" s="38" t="str">
        <f t="shared" si="70"/>
        <v/>
      </c>
      <c r="AF499" s="38" t="str">
        <f t="shared" si="71"/>
        <v/>
      </c>
    </row>
    <row r="500" spans="1:32" x14ac:dyDescent="0.3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38" t="str">
        <f>IF(OR(A500="Автомат",A500="Дифавтомат"),IF(W500="","",COUNTIFS(Однолинейка!$H$3:$H$3000,U500,Однолинейка!$A$3:$A$3000,Щит_спец)),IF(A500="Аппарат",IF(C500="","",COUNTIFS(Однолинейка!$I$3:$I$3000,C500,Однолинейка!$A$3:$A$3000,Щит_спец)+COUNTIFS(Однолинейка!$J$3:$J$3000,C500,Однолинейка!$A$3:$A$3000,Щит_спец)+COUNTIFS(Однолинейка!$K$3:$K$3000,C500,Однолинейка!$A$3:$A$3000,Щит_спец)),IF(A500="Модуль",IF(C500="","",COUNTIFS(Однолинейка!$AW$3:$AW$3000,"?*",Однолинейка!$AI$3:$AI$3000,C500,Однолинейка!$A$3:$A$3000,Щит_спец)),IF(A500="Клемма",IF(C500="","",IF(C500=$S$7,SUMIFS(Однолинейка!$BW$3:$BW$3000,Однолинейка!$A$3:$A$3000,Щит_спец),IF(C500=$S$8,SUMIFS(Однолинейка!$BX$3:$BX$3000,Однолинейка!$A$3:$A$3000,Щит_спец),""))),""))))</f>
        <v/>
      </c>
      <c r="O500" s="74"/>
      <c r="P500" s="38" t="str">
        <f t="shared" si="63"/>
        <v/>
      </c>
      <c r="U500" s="38" t="str">
        <f t="shared" si="64"/>
        <v/>
      </c>
      <c r="V500" s="38" t="str">
        <f t="shared" si="65"/>
        <v/>
      </c>
      <c r="W500" s="38" t="str">
        <f>IF(AND(U500&lt;&gt;"",OR($S$4="(все)",B500=$S$4),IF($S$4="(все)",COUNTIF($U$4:U500,U500),COUNTIFS($U$4:U500,U500,$B$4:B500,B500))=1),MAX($W$3:W499)+1,"")</f>
        <v/>
      </c>
      <c r="X500" s="38" t="str">
        <f t="shared" si="66"/>
        <v/>
      </c>
      <c r="Y500" s="38" t="str">
        <f>IF(AND(A500="Аппарат",C500&lt;&gt;"",OR($S$5="(все)",B500=$S$5)),MAX($Y$3:Y499)+1,"")</f>
        <v/>
      </c>
      <c r="Z500" s="38" t="str">
        <f t="shared" si="67"/>
        <v/>
      </c>
      <c r="AA500" s="38" t="str">
        <f>IF(AND(A500="Модуль",C500&lt;&gt;"",OR($S$6="(все)",B500=$S$6)),MAX($AA$3:AA499)+1,"")</f>
        <v/>
      </c>
      <c r="AB500" s="38" t="str">
        <f t="shared" si="68"/>
        <v/>
      </c>
      <c r="AC500" s="38" t="str">
        <f>IF(OR(B500="",COUNTIF($B$4:B500,B500)&gt;1),"",MAX($AC$3:AC499)+1)</f>
        <v/>
      </c>
      <c r="AD500" s="38" t="str">
        <f t="shared" si="69"/>
        <v/>
      </c>
      <c r="AE500" s="38" t="str">
        <f t="shared" si="70"/>
        <v/>
      </c>
      <c r="AF500" s="38" t="str">
        <f t="shared" si="71"/>
        <v/>
      </c>
    </row>
  </sheetData>
  <autoFilter ref="A3:P500" xr:uid="{00000000-0009-0000-0000-000002000000}"/>
  <conditionalFormatting sqref="P4:P500">
    <cfRule type="expression" dxfId="14" priority="2">
      <formula>N($P4)&gt;0</formula>
    </cfRule>
  </conditionalFormatting>
  <conditionalFormatting sqref="R28:R37">
    <cfRule type="expression" dxfId="13" priority="1">
      <formula>$R28&lt;&gt;""</formula>
    </cfRule>
  </conditionalFormatting>
  <dataValidations count="4">
    <dataValidation type="list" allowBlank="1" sqref="A4:A500" xr:uid="{00000000-0002-0000-0200-000000000000}">
      <formula1>$R$12:$R$25</formula1>
    </dataValidation>
    <dataValidation type="list" allowBlank="1" sqref="K4:K500" xr:uid="{00000000-0002-0000-0200-000001000000}">
      <formula1>"да,нет"</formula1>
    </dataValidation>
    <dataValidation type="list" allowBlank="1" sqref="I4:I500" xr:uid="{00000000-0002-0000-0200-000002000000}">
      <formula1>"1P,2P,3P,4P"</formula1>
    </dataValidation>
    <dataValidation type="list" allowBlank="1" sqref="S4:S6" xr:uid="{00000000-0002-0000-0200-000003000000}">
      <formula1>Список_произв</formula1>
    </dataValidation>
  </dataValidations>
  <pageMargins left="0.4" right="0.4" top="0.5" bottom="0.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D7D31"/>
  </sheetPr>
  <dimension ref="B1:L160"/>
  <sheetViews>
    <sheetView topLeftCell="A52" workbookViewId="0">
      <selection activeCell="C11" sqref="C11"/>
    </sheetView>
  </sheetViews>
  <sheetFormatPr defaultRowHeight="14.4" x14ac:dyDescent="0.3"/>
  <cols>
    <col min="2" max="2" width="9.6640625" customWidth="1"/>
    <col min="3" max="3" width="115.88671875" customWidth="1"/>
    <col min="4" max="6" width="20.6640625" customWidth="1"/>
    <col min="7" max="9" width="9.6640625" customWidth="1"/>
    <col min="10" max="10" width="20.6640625" customWidth="1"/>
  </cols>
  <sheetData>
    <row r="1" spans="2:12" ht="15" thickBot="1" x14ac:dyDescent="0.35">
      <c r="C1" s="125" t="s">
        <v>1413</v>
      </c>
      <c r="D1" s="126" t="s">
        <v>1414</v>
      </c>
      <c r="L1" s="127" t="str">
        <f>IF(D1="все","*",D1)</f>
        <v>*</v>
      </c>
    </row>
    <row r="2" spans="2:12" ht="43.8" thickBot="1" x14ac:dyDescent="0.35">
      <c r="B2" s="9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54</v>
      </c>
      <c r="H2" s="1" t="s">
        <v>51</v>
      </c>
      <c r="I2" s="1" t="s">
        <v>52</v>
      </c>
      <c r="J2" s="10" t="s">
        <v>53</v>
      </c>
    </row>
    <row r="3" spans="2:12" x14ac:dyDescent="0.3">
      <c r="B3" s="28" t="s">
        <v>40</v>
      </c>
      <c r="C3" s="27" t="s">
        <v>261</v>
      </c>
      <c r="D3" s="8"/>
      <c r="E3" s="8"/>
      <c r="F3" s="8"/>
      <c r="G3" s="8"/>
      <c r="H3" s="8"/>
      <c r="I3" s="8"/>
      <c r="J3" s="8"/>
    </row>
    <row r="4" spans="2:12" x14ac:dyDescent="0.3">
      <c r="B4" s="29" t="s">
        <v>275</v>
      </c>
      <c r="C4" s="30" t="s">
        <v>262</v>
      </c>
      <c r="D4" s="33"/>
      <c r="E4" s="31" t="s">
        <v>294</v>
      </c>
      <c r="F4" s="32" t="s">
        <v>304</v>
      </c>
      <c r="G4" s="32" t="s">
        <v>268</v>
      </c>
      <c r="H4" s="32">
        <v>1</v>
      </c>
      <c r="I4" s="5"/>
      <c r="J4" s="5"/>
    </row>
    <row r="5" spans="2:12" x14ac:dyDescent="0.3">
      <c r="B5" s="29" t="s">
        <v>276</v>
      </c>
      <c r="C5" s="30" t="s">
        <v>263</v>
      </c>
      <c r="D5" s="33"/>
      <c r="E5" s="31" t="s">
        <v>295</v>
      </c>
      <c r="F5" s="32" t="s">
        <v>304</v>
      </c>
      <c r="G5" s="32" t="s">
        <v>268</v>
      </c>
      <c r="H5" s="32">
        <v>1</v>
      </c>
      <c r="I5" s="5"/>
      <c r="J5" s="5"/>
    </row>
    <row r="6" spans="2:12" x14ac:dyDescent="0.3">
      <c r="B6" s="29" t="s">
        <v>277</v>
      </c>
      <c r="C6" s="30" t="s">
        <v>425</v>
      </c>
      <c r="D6" s="33"/>
      <c r="E6" s="31" t="s">
        <v>426</v>
      </c>
      <c r="F6" s="32" t="s">
        <v>304</v>
      </c>
      <c r="G6" s="32" t="s">
        <v>268</v>
      </c>
      <c r="H6" s="32">
        <v>1</v>
      </c>
      <c r="I6" s="5"/>
      <c r="J6" s="5"/>
    </row>
    <row r="7" spans="2:12" x14ac:dyDescent="0.3">
      <c r="B7" s="29" t="s">
        <v>278</v>
      </c>
      <c r="C7" s="30" t="s">
        <v>264</v>
      </c>
      <c r="D7" s="33"/>
      <c r="E7" s="31" t="s">
        <v>296</v>
      </c>
      <c r="F7" s="32" t="s">
        <v>304</v>
      </c>
      <c r="G7" s="32" t="s">
        <v>268</v>
      </c>
      <c r="H7" s="32">
        <v>1</v>
      </c>
      <c r="I7" s="5"/>
      <c r="J7" s="5"/>
    </row>
    <row r="8" spans="2:12" x14ac:dyDescent="0.3">
      <c r="B8" s="29" t="s">
        <v>279</v>
      </c>
      <c r="C8" s="30" t="s">
        <v>265</v>
      </c>
      <c r="D8" s="33"/>
      <c r="E8" s="31" t="s">
        <v>297</v>
      </c>
      <c r="F8" s="32" t="s">
        <v>304</v>
      </c>
      <c r="G8" s="32" t="s">
        <v>268</v>
      </c>
      <c r="H8" s="32">
        <v>1</v>
      </c>
      <c r="I8" s="5"/>
      <c r="J8" s="5"/>
    </row>
    <row r="9" spans="2:12" x14ac:dyDescent="0.3">
      <c r="B9" s="29" t="s">
        <v>280</v>
      </c>
      <c r="C9" s="30" t="s">
        <v>266</v>
      </c>
      <c r="D9" s="33"/>
      <c r="E9" s="31" t="s">
        <v>298</v>
      </c>
      <c r="F9" s="32" t="s">
        <v>304</v>
      </c>
      <c r="G9" s="32" t="s">
        <v>268</v>
      </c>
      <c r="H9" s="32">
        <v>1</v>
      </c>
      <c r="I9" s="5"/>
      <c r="J9" s="5"/>
    </row>
    <row r="10" spans="2:12" x14ac:dyDescent="0.3">
      <c r="B10" s="29" t="s">
        <v>281</v>
      </c>
      <c r="C10" s="30" t="s">
        <v>267</v>
      </c>
      <c r="D10" s="33"/>
      <c r="E10" s="31" t="s">
        <v>299</v>
      </c>
      <c r="F10" s="32" t="s">
        <v>304</v>
      </c>
      <c r="G10" s="32" t="s">
        <v>268</v>
      </c>
      <c r="H10" s="32">
        <v>1</v>
      </c>
      <c r="I10" s="5"/>
      <c r="J10" s="5"/>
    </row>
    <row r="11" spans="2:12" x14ac:dyDescent="0.3">
      <c r="B11" s="29" t="s">
        <v>282</v>
      </c>
      <c r="C11" s="30" t="s">
        <v>269</v>
      </c>
      <c r="D11" s="33"/>
      <c r="E11" s="31" t="s">
        <v>300</v>
      </c>
      <c r="F11" s="32" t="s">
        <v>304</v>
      </c>
      <c r="G11" s="32" t="s">
        <v>273</v>
      </c>
      <c r="H11" s="32">
        <v>3</v>
      </c>
      <c r="I11" s="5"/>
      <c r="J11" s="5"/>
    </row>
    <row r="12" spans="2:12" x14ac:dyDescent="0.3">
      <c r="B12" s="29" t="s">
        <v>283</v>
      </c>
      <c r="C12" s="30" t="s">
        <v>270</v>
      </c>
      <c r="D12" s="33"/>
      <c r="E12" s="31" t="s">
        <v>301</v>
      </c>
      <c r="F12" s="32" t="s">
        <v>304</v>
      </c>
      <c r="G12" s="32" t="s">
        <v>273</v>
      </c>
      <c r="H12" s="32">
        <v>1</v>
      </c>
      <c r="I12" s="5"/>
      <c r="J12" s="5"/>
    </row>
    <row r="13" spans="2:12" x14ac:dyDescent="0.3">
      <c r="B13" s="29" t="s">
        <v>284</v>
      </c>
      <c r="C13" s="30" t="s">
        <v>292</v>
      </c>
      <c r="D13" s="33"/>
      <c r="E13" s="31" t="s">
        <v>293</v>
      </c>
      <c r="F13" s="32" t="s">
        <v>304</v>
      </c>
      <c r="G13" s="32" t="s">
        <v>268</v>
      </c>
      <c r="H13" s="32">
        <v>1</v>
      </c>
      <c r="I13" s="5"/>
      <c r="J13" s="5"/>
    </row>
    <row r="14" spans="2:12" x14ac:dyDescent="0.3">
      <c r="B14" s="29" t="s">
        <v>285</v>
      </c>
      <c r="C14" s="30" t="s">
        <v>271</v>
      </c>
      <c r="D14" s="33"/>
      <c r="E14" s="31" t="s">
        <v>302</v>
      </c>
      <c r="F14" s="32" t="s">
        <v>304</v>
      </c>
      <c r="G14" s="32" t="s">
        <v>268</v>
      </c>
      <c r="H14" s="32">
        <v>1</v>
      </c>
      <c r="I14" s="5"/>
      <c r="J14" s="5"/>
    </row>
    <row r="15" spans="2:12" x14ac:dyDescent="0.3">
      <c r="B15" s="29" t="s">
        <v>286</v>
      </c>
      <c r="C15" s="30" t="s">
        <v>272</v>
      </c>
      <c r="D15" s="33"/>
      <c r="E15" s="31" t="s">
        <v>303</v>
      </c>
      <c r="F15" s="32" t="s">
        <v>304</v>
      </c>
      <c r="G15" s="32" t="s">
        <v>274</v>
      </c>
      <c r="H15" s="32">
        <v>2</v>
      </c>
      <c r="I15" s="5"/>
      <c r="J15" s="5"/>
    </row>
    <row r="16" spans="2:12" ht="18" customHeight="1" x14ac:dyDescent="0.3">
      <c r="B16" s="29" t="s">
        <v>287</v>
      </c>
      <c r="C16" s="30" t="s">
        <v>305</v>
      </c>
      <c r="D16" s="33"/>
      <c r="E16" s="31" t="s">
        <v>306</v>
      </c>
      <c r="F16" s="32" t="s">
        <v>304</v>
      </c>
      <c r="G16" s="32" t="s">
        <v>307</v>
      </c>
      <c r="H16" s="32">
        <v>1</v>
      </c>
      <c r="I16" s="5"/>
      <c r="J16" s="5"/>
    </row>
    <row r="17" spans="2:10" x14ac:dyDescent="0.3">
      <c r="B17" s="29" t="s">
        <v>288</v>
      </c>
      <c r="C17" s="30" t="s">
        <v>308</v>
      </c>
      <c r="D17" s="33"/>
      <c r="E17" s="31" t="s">
        <v>309</v>
      </c>
      <c r="F17" s="32" t="s">
        <v>310</v>
      </c>
      <c r="G17" s="32" t="s">
        <v>307</v>
      </c>
      <c r="H17" s="32">
        <v>1</v>
      </c>
      <c r="I17" s="5"/>
      <c r="J17" s="5"/>
    </row>
    <row r="18" spans="2:10" x14ac:dyDescent="0.3">
      <c r="B18" s="29" t="s">
        <v>289</v>
      </c>
      <c r="C18" s="30" t="s">
        <v>427</v>
      </c>
      <c r="D18" s="33"/>
      <c r="E18" s="31" t="s">
        <v>429</v>
      </c>
      <c r="F18" s="32" t="s">
        <v>310</v>
      </c>
      <c r="G18" s="32" t="s">
        <v>307</v>
      </c>
      <c r="H18" s="32">
        <v>2</v>
      </c>
      <c r="I18" s="5"/>
      <c r="J18" s="5"/>
    </row>
    <row r="19" spans="2:10" x14ac:dyDescent="0.3">
      <c r="B19" s="29" t="s">
        <v>290</v>
      </c>
      <c r="C19" s="30" t="s">
        <v>428</v>
      </c>
      <c r="D19" s="33"/>
      <c r="E19" s="31" t="s">
        <v>430</v>
      </c>
      <c r="F19" s="32" t="s">
        <v>310</v>
      </c>
      <c r="G19" s="32" t="s">
        <v>307</v>
      </c>
      <c r="H19" s="32">
        <v>2</v>
      </c>
      <c r="I19" s="5"/>
      <c r="J19" s="5"/>
    </row>
    <row r="20" spans="2:10" x14ac:dyDescent="0.3">
      <c r="B20" s="29" t="s">
        <v>291</v>
      </c>
      <c r="C20" s="30" t="s">
        <v>894</v>
      </c>
      <c r="D20" s="33"/>
      <c r="E20" s="31" t="s">
        <v>316</v>
      </c>
      <c r="F20" s="32" t="s">
        <v>311</v>
      </c>
      <c r="G20" s="32" t="s">
        <v>307</v>
      </c>
      <c r="H20" s="32">
        <v>7</v>
      </c>
      <c r="I20" s="5"/>
      <c r="J20" s="5"/>
    </row>
    <row r="21" spans="2:10" x14ac:dyDescent="0.3">
      <c r="B21" s="29" t="s">
        <v>431</v>
      </c>
      <c r="C21" s="30" t="s">
        <v>915</v>
      </c>
      <c r="D21" s="33"/>
      <c r="E21" s="31" t="s">
        <v>318</v>
      </c>
      <c r="F21" s="32" t="s">
        <v>311</v>
      </c>
      <c r="G21" s="32" t="s">
        <v>307</v>
      </c>
      <c r="H21" s="32">
        <v>27</v>
      </c>
      <c r="I21" s="5"/>
      <c r="J21" s="5"/>
    </row>
    <row r="22" spans="2:10" x14ac:dyDescent="0.3">
      <c r="B22" s="29" t="s">
        <v>432</v>
      </c>
      <c r="C22" s="30" t="s">
        <v>322</v>
      </c>
      <c r="D22" s="33"/>
      <c r="E22" s="31" t="s">
        <v>323</v>
      </c>
      <c r="F22" s="32" t="s">
        <v>324</v>
      </c>
      <c r="G22" s="32" t="s">
        <v>307</v>
      </c>
      <c r="H22" s="32">
        <v>4</v>
      </c>
      <c r="I22" s="5"/>
      <c r="J22" s="5"/>
    </row>
    <row r="23" spans="2:10" x14ac:dyDescent="0.3">
      <c r="B23" s="29" t="s">
        <v>433</v>
      </c>
      <c r="C23" s="30" t="s">
        <v>328</v>
      </c>
      <c r="D23" s="33"/>
      <c r="E23" s="31" t="s">
        <v>329</v>
      </c>
      <c r="F23" s="32" t="s">
        <v>327</v>
      </c>
      <c r="G23" s="32" t="s">
        <v>307</v>
      </c>
      <c r="H23" s="32">
        <v>1</v>
      </c>
      <c r="I23" s="5"/>
      <c r="J23" s="5"/>
    </row>
    <row r="24" spans="2:10" x14ac:dyDescent="0.3">
      <c r="B24" s="29" t="s">
        <v>434</v>
      </c>
      <c r="C24" s="30" t="s">
        <v>394</v>
      </c>
      <c r="D24" s="33"/>
      <c r="E24" s="31" t="s">
        <v>395</v>
      </c>
      <c r="F24" s="32" t="s">
        <v>312</v>
      </c>
      <c r="G24" s="32" t="s">
        <v>307</v>
      </c>
      <c r="H24" s="32">
        <v>1</v>
      </c>
      <c r="I24" s="5"/>
      <c r="J24" s="5"/>
    </row>
    <row r="25" spans="2:10" x14ac:dyDescent="0.3">
      <c r="B25" s="29" t="s">
        <v>435</v>
      </c>
      <c r="C25" s="30" t="s">
        <v>396</v>
      </c>
      <c r="D25" s="33"/>
      <c r="E25" s="31" t="s">
        <v>397</v>
      </c>
      <c r="F25" s="32" t="s">
        <v>312</v>
      </c>
      <c r="G25" s="32" t="s">
        <v>307</v>
      </c>
      <c r="H25" s="32">
        <v>2</v>
      </c>
      <c r="I25" s="5"/>
      <c r="J25" s="5"/>
    </row>
    <row r="26" spans="2:10" x14ac:dyDescent="0.3">
      <c r="B26" s="29" t="s">
        <v>436</v>
      </c>
      <c r="C26" s="30" t="s">
        <v>951</v>
      </c>
      <c r="D26" s="33"/>
      <c r="E26" s="31" t="s">
        <v>342</v>
      </c>
      <c r="F26" s="32" t="s">
        <v>304</v>
      </c>
      <c r="G26" s="32" t="s">
        <v>307</v>
      </c>
      <c r="H26" s="32">
        <v>52</v>
      </c>
      <c r="I26" s="5"/>
      <c r="J26" s="5"/>
    </row>
    <row r="27" spans="2:10" x14ac:dyDescent="0.3">
      <c r="B27" s="29" t="s">
        <v>437</v>
      </c>
      <c r="C27" s="30" t="s">
        <v>952</v>
      </c>
      <c r="D27" s="33"/>
      <c r="E27" s="31" t="s">
        <v>424</v>
      </c>
      <c r="F27" s="32" t="s">
        <v>304</v>
      </c>
      <c r="G27" s="32" t="s">
        <v>307</v>
      </c>
      <c r="H27" s="32">
        <v>24</v>
      </c>
      <c r="I27" s="5"/>
      <c r="J27" s="5"/>
    </row>
    <row r="28" spans="2:10" x14ac:dyDescent="0.3">
      <c r="B28" s="29" t="s">
        <v>438</v>
      </c>
      <c r="C28" s="30" t="s">
        <v>343</v>
      </c>
      <c r="D28" s="33"/>
      <c r="E28" s="31" t="s">
        <v>344</v>
      </c>
      <c r="F28" s="32" t="s">
        <v>304</v>
      </c>
      <c r="G28" s="32" t="s">
        <v>307</v>
      </c>
      <c r="H28" s="32">
        <v>15</v>
      </c>
      <c r="I28" s="5"/>
      <c r="J28" s="5"/>
    </row>
    <row r="29" spans="2:10" x14ac:dyDescent="0.3">
      <c r="B29" s="29" t="s">
        <v>439</v>
      </c>
      <c r="C29" s="30" t="s">
        <v>953</v>
      </c>
      <c r="D29" s="33"/>
      <c r="E29" s="31" t="s">
        <v>335</v>
      </c>
      <c r="F29" s="32" t="s">
        <v>304</v>
      </c>
      <c r="G29" s="32" t="s">
        <v>307</v>
      </c>
      <c r="H29" s="32">
        <v>8</v>
      </c>
      <c r="I29" s="5"/>
      <c r="J29" s="5"/>
    </row>
    <row r="30" spans="2:10" x14ac:dyDescent="0.3">
      <c r="B30" s="29" t="s">
        <v>440</v>
      </c>
      <c r="C30" s="30" t="s">
        <v>954</v>
      </c>
      <c r="D30" s="33"/>
      <c r="E30" s="31" t="s">
        <v>410</v>
      </c>
      <c r="F30" s="32" t="s">
        <v>304</v>
      </c>
      <c r="G30" s="32" t="s">
        <v>307</v>
      </c>
      <c r="H30" s="32">
        <v>6</v>
      </c>
      <c r="I30" s="5"/>
      <c r="J30" s="5"/>
    </row>
    <row r="31" spans="2:10" x14ac:dyDescent="0.3">
      <c r="B31" s="29" t="s">
        <v>441</v>
      </c>
      <c r="C31" s="30" t="s">
        <v>955</v>
      </c>
      <c r="D31" s="33"/>
      <c r="E31" s="31" t="s">
        <v>417</v>
      </c>
      <c r="F31" s="32" t="s">
        <v>304</v>
      </c>
      <c r="G31" s="32" t="s">
        <v>307</v>
      </c>
      <c r="H31" s="32">
        <v>1</v>
      </c>
      <c r="I31" s="5"/>
      <c r="J31" s="5"/>
    </row>
    <row r="32" spans="2:10" x14ac:dyDescent="0.3">
      <c r="B32" s="29" t="s">
        <v>442</v>
      </c>
      <c r="C32" s="30" t="s">
        <v>336</v>
      </c>
      <c r="D32" s="33"/>
      <c r="E32" s="31" t="s">
        <v>337</v>
      </c>
      <c r="F32" s="32" t="s">
        <v>304</v>
      </c>
      <c r="G32" s="32" t="s">
        <v>307</v>
      </c>
      <c r="H32" s="32">
        <v>5</v>
      </c>
      <c r="I32" s="5"/>
      <c r="J32" s="5"/>
    </row>
    <row r="33" spans="2:10" x14ac:dyDescent="0.3">
      <c r="B33" s="29" t="s">
        <v>443</v>
      </c>
      <c r="C33" s="30" t="s">
        <v>338</v>
      </c>
      <c r="D33" s="33"/>
      <c r="E33" s="31" t="s">
        <v>339</v>
      </c>
      <c r="F33" s="32" t="s">
        <v>304</v>
      </c>
      <c r="G33" s="32" t="s">
        <v>307</v>
      </c>
      <c r="H33" s="32">
        <v>5</v>
      </c>
      <c r="I33" s="5"/>
      <c r="J33" s="5"/>
    </row>
    <row r="34" spans="2:10" x14ac:dyDescent="0.3">
      <c r="B34" s="29" t="s">
        <v>444</v>
      </c>
      <c r="C34" s="30" t="s">
        <v>340</v>
      </c>
      <c r="D34" s="33"/>
      <c r="E34" s="31" t="s">
        <v>341</v>
      </c>
      <c r="F34" s="32" t="s">
        <v>304</v>
      </c>
      <c r="G34" s="32" t="s">
        <v>307</v>
      </c>
      <c r="H34" s="32">
        <v>5</v>
      </c>
      <c r="I34" s="5"/>
      <c r="J34" s="5"/>
    </row>
    <row r="35" spans="2:10" x14ac:dyDescent="0.3">
      <c r="B35" s="29" t="s">
        <v>445</v>
      </c>
      <c r="C35" s="30" t="s">
        <v>411</v>
      </c>
      <c r="D35" s="33"/>
      <c r="E35" s="31" t="s">
        <v>412</v>
      </c>
      <c r="F35" s="32" t="s">
        <v>304</v>
      </c>
      <c r="G35" s="32" t="s">
        <v>307</v>
      </c>
      <c r="H35" s="32">
        <v>6</v>
      </c>
      <c r="I35" s="5"/>
      <c r="J35" s="5"/>
    </row>
    <row r="36" spans="2:10" x14ac:dyDescent="0.3">
      <c r="B36" s="29" t="s">
        <v>446</v>
      </c>
      <c r="C36" s="30" t="s">
        <v>413</v>
      </c>
      <c r="D36" s="33"/>
      <c r="E36" s="31" t="s">
        <v>414</v>
      </c>
      <c r="F36" s="32" t="s">
        <v>304</v>
      </c>
      <c r="G36" s="32" t="s">
        <v>307</v>
      </c>
      <c r="H36" s="32">
        <v>6</v>
      </c>
      <c r="I36" s="5"/>
      <c r="J36" s="5"/>
    </row>
    <row r="37" spans="2:10" x14ac:dyDescent="0.3">
      <c r="B37" s="29" t="s">
        <v>447</v>
      </c>
      <c r="C37" s="30" t="s">
        <v>415</v>
      </c>
      <c r="D37" s="33"/>
      <c r="E37" s="31" t="s">
        <v>416</v>
      </c>
      <c r="F37" s="32" t="s">
        <v>304</v>
      </c>
      <c r="G37" s="32" t="s">
        <v>307</v>
      </c>
      <c r="H37" s="32">
        <v>6</v>
      </c>
      <c r="I37" s="5"/>
      <c r="J37" s="5"/>
    </row>
    <row r="38" spans="2:10" x14ac:dyDescent="0.3">
      <c r="B38" s="29" t="s">
        <v>448</v>
      </c>
      <c r="C38" s="30" t="s">
        <v>418</v>
      </c>
      <c r="D38" s="33"/>
      <c r="E38" s="31" t="s">
        <v>419</v>
      </c>
      <c r="F38" s="32" t="s">
        <v>304</v>
      </c>
      <c r="G38" s="32" t="s">
        <v>307</v>
      </c>
      <c r="H38" s="32">
        <v>1</v>
      </c>
      <c r="I38" s="5"/>
      <c r="J38" s="5"/>
    </row>
    <row r="39" spans="2:10" x14ac:dyDescent="0.3">
      <c r="B39" s="29" t="s">
        <v>449</v>
      </c>
      <c r="C39" s="30" t="s">
        <v>420</v>
      </c>
      <c r="D39" s="33"/>
      <c r="E39" s="31" t="s">
        <v>421</v>
      </c>
      <c r="F39" s="32" t="s">
        <v>304</v>
      </c>
      <c r="G39" s="32" t="s">
        <v>307</v>
      </c>
      <c r="H39" s="32">
        <v>1</v>
      </c>
      <c r="I39" s="5"/>
      <c r="J39" s="5"/>
    </row>
    <row r="40" spans="2:10" x14ac:dyDescent="0.3">
      <c r="B40" s="29" t="s">
        <v>450</v>
      </c>
      <c r="C40" s="30" t="s">
        <v>422</v>
      </c>
      <c r="D40" s="33"/>
      <c r="E40" s="31" t="s">
        <v>423</v>
      </c>
      <c r="F40" s="32" t="s">
        <v>304</v>
      </c>
      <c r="G40" s="32" t="s">
        <v>307</v>
      </c>
      <c r="H40" s="32">
        <v>1</v>
      </c>
      <c r="I40" s="5"/>
      <c r="J40" s="5"/>
    </row>
    <row r="41" spans="2:10" x14ac:dyDescent="0.3">
      <c r="B41" s="29" t="s">
        <v>451</v>
      </c>
      <c r="C41" s="30" t="s">
        <v>345</v>
      </c>
      <c r="D41" s="33"/>
      <c r="E41" s="31" t="s">
        <v>346</v>
      </c>
      <c r="F41" s="32" t="s">
        <v>304</v>
      </c>
      <c r="G41" s="32" t="s">
        <v>307</v>
      </c>
      <c r="H41" s="32">
        <v>20</v>
      </c>
      <c r="I41" s="5"/>
      <c r="J41" s="5"/>
    </row>
    <row r="42" spans="2:10" x14ac:dyDescent="0.3">
      <c r="B42" s="29" t="s">
        <v>452</v>
      </c>
      <c r="C42" s="30" t="s">
        <v>347</v>
      </c>
      <c r="D42" s="33"/>
      <c r="E42" s="31" t="s">
        <v>348</v>
      </c>
      <c r="F42" s="32" t="s">
        <v>304</v>
      </c>
      <c r="G42" s="32" t="s">
        <v>307</v>
      </c>
      <c r="H42" s="32">
        <v>20</v>
      </c>
      <c r="I42" s="5"/>
      <c r="J42" s="5"/>
    </row>
    <row r="43" spans="2:10" x14ac:dyDescent="0.3">
      <c r="B43" s="29" t="s">
        <v>453</v>
      </c>
      <c r="C43" s="30" t="s">
        <v>349</v>
      </c>
      <c r="D43" s="33"/>
      <c r="E43" s="31" t="s">
        <v>350</v>
      </c>
      <c r="F43" s="32" t="s">
        <v>351</v>
      </c>
      <c r="G43" s="32" t="s">
        <v>352</v>
      </c>
      <c r="H43" s="32">
        <v>150</v>
      </c>
      <c r="I43" s="5"/>
      <c r="J43" s="5"/>
    </row>
    <row r="44" spans="2:10" x14ac:dyDescent="0.3">
      <c r="B44" s="29" t="s">
        <v>454</v>
      </c>
      <c r="C44" s="30" t="s">
        <v>353</v>
      </c>
      <c r="D44" s="33"/>
      <c r="E44" s="31" t="s">
        <v>350</v>
      </c>
      <c r="F44" s="32" t="s">
        <v>351</v>
      </c>
      <c r="G44" s="32" t="s">
        <v>352</v>
      </c>
      <c r="H44" s="32">
        <v>150</v>
      </c>
      <c r="I44" s="5"/>
      <c r="J44" s="5"/>
    </row>
    <row r="45" spans="2:10" x14ac:dyDescent="0.3">
      <c r="B45" s="29" t="s">
        <v>455</v>
      </c>
      <c r="C45" s="30" t="s">
        <v>354</v>
      </c>
      <c r="D45" s="33"/>
      <c r="E45" s="31" t="s">
        <v>350</v>
      </c>
      <c r="F45" s="32" t="s">
        <v>351</v>
      </c>
      <c r="G45" s="32" t="s">
        <v>352</v>
      </c>
      <c r="H45" s="32">
        <v>150</v>
      </c>
      <c r="I45" s="5"/>
      <c r="J45" s="5"/>
    </row>
    <row r="46" spans="2:10" x14ac:dyDescent="0.3">
      <c r="B46" s="29" t="s">
        <v>456</v>
      </c>
      <c r="C46" s="30" t="s">
        <v>355</v>
      </c>
      <c r="D46" s="33"/>
      <c r="E46" s="31" t="s">
        <v>350</v>
      </c>
      <c r="F46" s="32" t="s">
        <v>351</v>
      </c>
      <c r="G46" s="32" t="s">
        <v>352</v>
      </c>
      <c r="H46" s="32">
        <v>150</v>
      </c>
      <c r="I46" s="5"/>
      <c r="J46" s="5"/>
    </row>
    <row r="47" spans="2:10" x14ac:dyDescent="0.3">
      <c r="B47" s="29" t="s">
        <v>457</v>
      </c>
      <c r="C47" s="30" t="s">
        <v>398</v>
      </c>
      <c r="D47" s="33"/>
      <c r="E47" s="31" t="s">
        <v>350</v>
      </c>
      <c r="F47" s="32" t="s">
        <v>351</v>
      </c>
      <c r="G47" s="32" t="s">
        <v>352</v>
      </c>
      <c r="H47" s="32">
        <v>50</v>
      </c>
      <c r="I47" s="5"/>
      <c r="J47" s="5"/>
    </row>
    <row r="48" spans="2:10" x14ac:dyDescent="0.3">
      <c r="B48" s="29" t="s">
        <v>458</v>
      </c>
      <c r="C48" s="30" t="s">
        <v>356</v>
      </c>
      <c r="D48" s="33"/>
      <c r="E48" s="31" t="s">
        <v>357</v>
      </c>
      <c r="F48" s="32" t="s">
        <v>351</v>
      </c>
      <c r="G48" s="32" t="s">
        <v>352</v>
      </c>
      <c r="H48" s="32">
        <v>100</v>
      </c>
      <c r="I48" s="5"/>
      <c r="J48" s="5"/>
    </row>
    <row r="49" spans="2:10" x14ac:dyDescent="0.3">
      <c r="B49" s="29" t="s">
        <v>459</v>
      </c>
      <c r="C49" s="30" t="s">
        <v>358</v>
      </c>
      <c r="D49" s="33"/>
      <c r="E49" s="31" t="s">
        <v>357</v>
      </c>
      <c r="F49" s="32" t="s">
        <v>351</v>
      </c>
      <c r="G49" s="32" t="s">
        <v>352</v>
      </c>
      <c r="H49" s="32">
        <v>100</v>
      </c>
      <c r="I49" s="5"/>
      <c r="J49" s="5"/>
    </row>
    <row r="50" spans="2:10" x14ac:dyDescent="0.3">
      <c r="B50" s="29" t="s">
        <v>460</v>
      </c>
      <c r="C50" s="30" t="s">
        <v>359</v>
      </c>
      <c r="D50" s="33"/>
      <c r="E50" s="31" t="s">
        <v>357</v>
      </c>
      <c r="F50" s="32" t="s">
        <v>351</v>
      </c>
      <c r="G50" s="32" t="s">
        <v>352</v>
      </c>
      <c r="H50" s="32">
        <v>100</v>
      </c>
      <c r="I50" s="5"/>
      <c r="J50" s="5"/>
    </row>
    <row r="51" spans="2:10" x14ac:dyDescent="0.3">
      <c r="B51" s="29" t="s">
        <v>461</v>
      </c>
      <c r="C51" s="30" t="s">
        <v>360</v>
      </c>
      <c r="D51" s="33"/>
      <c r="E51" s="31" t="s">
        <v>357</v>
      </c>
      <c r="F51" s="32" t="s">
        <v>351</v>
      </c>
      <c r="G51" s="32" t="s">
        <v>352</v>
      </c>
      <c r="H51" s="32">
        <v>100</v>
      </c>
      <c r="I51" s="5"/>
      <c r="J51" s="5"/>
    </row>
    <row r="52" spans="2:10" x14ac:dyDescent="0.3">
      <c r="B52" s="29" t="s">
        <v>462</v>
      </c>
      <c r="C52" s="30" t="s">
        <v>399</v>
      </c>
      <c r="D52" s="33"/>
      <c r="E52" s="31" t="s">
        <v>357</v>
      </c>
      <c r="F52" s="32" t="s">
        <v>351</v>
      </c>
      <c r="G52" s="32" t="s">
        <v>352</v>
      </c>
      <c r="H52" s="32">
        <v>30</v>
      </c>
      <c r="I52" s="5"/>
      <c r="J52" s="5"/>
    </row>
    <row r="53" spans="2:10" x14ac:dyDescent="0.3">
      <c r="B53" s="29" t="s">
        <v>463</v>
      </c>
      <c r="C53" s="30" t="s">
        <v>361</v>
      </c>
      <c r="D53" s="33"/>
      <c r="E53" s="31" t="s">
        <v>362</v>
      </c>
      <c r="F53" s="32" t="s">
        <v>351</v>
      </c>
      <c r="G53" s="32" t="s">
        <v>352</v>
      </c>
      <c r="H53" s="32">
        <v>30</v>
      </c>
      <c r="I53" s="5"/>
      <c r="J53" s="5"/>
    </row>
    <row r="54" spans="2:10" x14ac:dyDescent="0.3">
      <c r="B54" s="29" t="s">
        <v>464</v>
      </c>
      <c r="C54" s="30" t="s">
        <v>363</v>
      </c>
      <c r="D54" s="33"/>
      <c r="E54" s="31" t="s">
        <v>362</v>
      </c>
      <c r="F54" s="32" t="s">
        <v>351</v>
      </c>
      <c r="G54" s="32" t="s">
        <v>352</v>
      </c>
      <c r="H54" s="32">
        <v>30</v>
      </c>
      <c r="I54" s="5"/>
      <c r="J54" s="5"/>
    </row>
    <row r="55" spans="2:10" x14ac:dyDescent="0.3">
      <c r="B55" s="29" t="s">
        <v>465</v>
      </c>
      <c r="C55" s="30" t="s">
        <v>364</v>
      </c>
      <c r="D55" s="33"/>
      <c r="E55" s="31" t="s">
        <v>362</v>
      </c>
      <c r="F55" s="32" t="s">
        <v>351</v>
      </c>
      <c r="G55" s="32" t="s">
        <v>352</v>
      </c>
      <c r="H55" s="32">
        <v>30</v>
      </c>
      <c r="I55" s="5"/>
      <c r="J55" s="5"/>
    </row>
    <row r="56" spans="2:10" x14ac:dyDescent="0.3">
      <c r="B56" s="29" t="s">
        <v>466</v>
      </c>
      <c r="C56" s="30" t="s">
        <v>365</v>
      </c>
      <c r="D56" s="33"/>
      <c r="E56" s="31" t="s">
        <v>362</v>
      </c>
      <c r="F56" s="32" t="s">
        <v>351</v>
      </c>
      <c r="G56" s="32" t="s">
        <v>352</v>
      </c>
      <c r="H56" s="32">
        <v>30</v>
      </c>
      <c r="I56" s="5"/>
      <c r="J56" s="5"/>
    </row>
    <row r="57" spans="2:10" x14ac:dyDescent="0.3">
      <c r="B57" s="29" t="s">
        <v>467</v>
      </c>
      <c r="C57" s="30" t="s">
        <v>400</v>
      </c>
      <c r="D57" s="33"/>
      <c r="E57" s="31" t="s">
        <v>362</v>
      </c>
      <c r="F57" s="32" t="s">
        <v>351</v>
      </c>
      <c r="G57" s="32" t="s">
        <v>352</v>
      </c>
      <c r="H57" s="32">
        <v>10</v>
      </c>
      <c r="I57" s="5"/>
      <c r="J57" s="5"/>
    </row>
    <row r="58" spans="2:10" x14ac:dyDescent="0.3">
      <c r="B58" s="29" t="s">
        <v>468</v>
      </c>
      <c r="C58" s="30" t="s">
        <v>401</v>
      </c>
      <c r="D58" s="33"/>
      <c r="E58" s="31" t="s">
        <v>406</v>
      </c>
      <c r="F58" s="32" t="s">
        <v>351</v>
      </c>
      <c r="G58" s="32" t="s">
        <v>352</v>
      </c>
      <c r="H58" s="32">
        <v>12</v>
      </c>
      <c r="I58" s="5"/>
      <c r="J58" s="5"/>
    </row>
    <row r="59" spans="2:10" x14ac:dyDescent="0.3">
      <c r="B59" s="29" t="s">
        <v>469</v>
      </c>
      <c r="C59" s="30" t="s">
        <v>402</v>
      </c>
      <c r="D59" s="33"/>
      <c r="E59" s="31" t="s">
        <v>406</v>
      </c>
      <c r="F59" s="32" t="s">
        <v>351</v>
      </c>
      <c r="G59" s="32" t="s">
        <v>352</v>
      </c>
      <c r="H59" s="32">
        <v>12</v>
      </c>
      <c r="I59" s="5"/>
      <c r="J59" s="5"/>
    </row>
    <row r="60" spans="2:10" x14ac:dyDescent="0.3">
      <c r="B60" s="29" t="s">
        <v>470</v>
      </c>
      <c r="C60" s="30" t="s">
        <v>403</v>
      </c>
      <c r="D60" s="33"/>
      <c r="E60" s="31" t="s">
        <v>406</v>
      </c>
      <c r="F60" s="32" t="s">
        <v>351</v>
      </c>
      <c r="G60" s="32" t="s">
        <v>352</v>
      </c>
      <c r="H60" s="32">
        <v>12</v>
      </c>
      <c r="I60" s="5"/>
      <c r="J60" s="5"/>
    </row>
    <row r="61" spans="2:10" x14ac:dyDescent="0.3">
      <c r="B61" s="29" t="s">
        <v>471</v>
      </c>
      <c r="C61" s="30" t="s">
        <v>404</v>
      </c>
      <c r="D61" s="33"/>
      <c r="E61" s="31" t="s">
        <v>406</v>
      </c>
      <c r="F61" s="32" t="s">
        <v>351</v>
      </c>
      <c r="G61" s="32" t="s">
        <v>352</v>
      </c>
      <c r="H61" s="32">
        <v>12</v>
      </c>
      <c r="I61" s="5"/>
      <c r="J61" s="5"/>
    </row>
    <row r="62" spans="2:10" x14ac:dyDescent="0.3">
      <c r="B62" s="29" t="s">
        <v>472</v>
      </c>
      <c r="C62" s="30" t="s">
        <v>405</v>
      </c>
      <c r="D62" s="33"/>
      <c r="E62" s="31" t="s">
        <v>406</v>
      </c>
      <c r="F62" s="32" t="s">
        <v>351</v>
      </c>
      <c r="G62" s="32" t="s">
        <v>352</v>
      </c>
      <c r="H62" s="32">
        <v>8</v>
      </c>
      <c r="I62" s="5"/>
      <c r="J62" s="5"/>
    </row>
    <row r="63" spans="2:10" x14ac:dyDescent="0.3">
      <c r="B63" s="29" t="s">
        <v>473</v>
      </c>
      <c r="C63" s="30" t="s">
        <v>366</v>
      </c>
      <c r="D63" s="33"/>
      <c r="E63" s="31" t="s">
        <v>367</v>
      </c>
      <c r="F63" s="32" t="s">
        <v>368</v>
      </c>
      <c r="G63" s="32" t="s">
        <v>369</v>
      </c>
      <c r="H63" s="32">
        <v>2</v>
      </c>
      <c r="I63" s="5"/>
      <c r="J63" s="5"/>
    </row>
    <row r="64" spans="2:10" x14ac:dyDescent="0.3">
      <c r="B64" s="29" t="s">
        <v>474</v>
      </c>
      <c r="C64" s="30" t="s">
        <v>370</v>
      </c>
      <c r="D64" s="33"/>
      <c r="E64" s="31" t="s">
        <v>956</v>
      </c>
      <c r="F64" s="32" t="s">
        <v>368</v>
      </c>
      <c r="G64" s="32" t="s">
        <v>369</v>
      </c>
      <c r="H64" s="32">
        <v>2</v>
      </c>
      <c r="I64" s="5"/>
      <c r="J64" s="5"/>
    </row>
    <row r="65" spans="2:10" x14ac:dyDescent="0.3">
      <c r="B65" s="29" t="s">
        <v>475</v>
      </c>
      <c r="C65" s="30" t="s">
        <v>371</v>
      </c>
      <c r="D65" s="33"/>
      <c r="E65" s="31" t="s">
        <v>957</v>
      </c>
      <c r="F65" s="32" t="s">
        <v>368</v>
      </c>
      <c r="G65" s="32" t="s">
        <v>369</v>
      </c>
      <c r="H65" s="32">
        <v>2</v>
      </c>
      <c r="I65" s="5"/>
      <c r="J65" s="5"/>
    </row>
    <row r="66" spans="2:10" x14ac:dyDescent="0.3">
      <c r="B66" s="29" t="s">
        <v>476</v>
      </c>
      <c r="C66" s="30" t="s">
        <v>372</v>
      </c>
      <c r="D66" s="33"/>
      <c r="E66" s="31" t="s">
        <v>373</v>
      </c>
      <c r="F66" s="32" t="s">
        <v>368</v>
      </c>
      <c r="G66" s="32" t="s">
        <v>369</v>
      </c>
      <c r="H66" s="32">
        <v>2</v>
      </c>
      <c r="I66" s="5"/>
      <c r="J66" s="5"/>
    </row>
    <row r="67" spans="2:10" x14ac:dyDescent="0.3">
      <c r="B67" s="29" t="s">
        <v>477</v>
      </c>
      <c r="C67" s="30" t="s">
        <v>374</v>
      </c>
      <c r="D67" s="33"/>
      <c r="E67" s="31" t="s">
        <v>375</v>
      </c>
      <c r="F67" s="32" t="s">
        <v>368</v>
      </c>
      <c r="G67" s="32" t="s">
        <v>369</v>
      </c>
      <c r="H67" s="32">
        <v>1</v>
      </c>
      <c r="I67" s="5"/>
      <c r="J67" s="5"/>
    </row>
    <row r="68" spans="2:10" x14ac:dyDescent="0.3">
      <c r="B68" s="29" t="s">
        <v>478</v>
      </c>
      <c r="C68" s="30" t="s">
        <v>376</v>
      </c>
      <c r="D68" s="33"/>
      <c r="E68" s="31" t="s">
        <v>377</v>
      </c>
      <c r="F68" s="32" t="s">
        <v>368</v>
      </c>
      <c r="G68" s="32" t="s">
        <v>369</v>
      </c>
      <c r="H68" s="32">
        <v>1</v>
      </c>
      <c r="I68" s="5"/>
      <c r="J68" s="5"/>
    </row>
    <row r="69" spans="2:10" x14ac:dyDescent="0.3">
      <c r="B69" s="29" t="s">
        <v>479</v>
      </c>
      <c r="C69" s="30" t="s">
        <v>407</v>
      </c>
      <c r="D69" s="33"/>
      <c r="E69" s="31" t="s">
        <v>958</v>
      </c>
      <c r="F69" s="32" t="s">
        <v>368</v>
      </c>
      <c r="G69" s="32" t="s">
        <v>307</v>
      </c>
      <c r="H69" s="32">
        <v>40</v>
      </c>
      <c r="I69" s="5"/>
      <c r="J69" s="5"/>
    </row>
    <row r="70" spans="2:10" x14ac:dyDescent="0.3">
      <c r="B70" s="29" t="s">
        <v>480</v>
      </c>
      <c r="C70" s="30" t="s">
        <v>408</v>
      </c>
      <c r="D70" s="33"/>
      <c r="E70" s="31" t="s">
        <v>959</v>
      </c>
      <c r="F70" s="32" t="s">
        <v>368</v>
      </c>
      <c r="G70" s="32" t="s">
        <v>307</v>
      </c>
      <c r="H70" s="32">
        <v>20</v>
      </c>
      <c r="I70" s="5"/>
      <c r="J70" s="5"/>
    </row>
    <row r="71" spans="2:10" x14ac:dyDescent="0.3">
      <c r="B71" s="29" t="s">
        <v>481</v>
      </c>
      <c r="C71" s="30" t="s">
        <v>378</v>
      </c>
      <c r="D71" s="33"/>
      <c r="E71" s="31" t="s">
        <v>379</v>
      </c>
      <c r="F71" s="32" t="s">
        <v>324</v>
      </c>
      <c r="G71" s="32" t="s">
        <v>307</v>
      </c>
      <c r="H71" s="32">
        <v>1</v>
      </c>
      <c r="I71" s="5"/>
      <c r="J71" s="5"/>
    </row>
    <row r="72" spans="2:10" x14ac:dyDescent="0.3">
      <c r="B72" s="29" t="s">
        <v>482</v>
      </c>
      <c r="C72" s="30" t="s">
        <v>380</v>
      </c>
      <c r="D72" s="33"/>
      <c r="E72" s="31" t="s">
        <v>381</v>
      </c>
      <c r="F72" s="32" t="s">
        <v>304</v>
      </c>
      <c r="G72" s="32" t="s">
        <v>307</v>
      </c>
      <c r="H72" s="32">
        <v>1</v>
      </c>
      <c r="I72" s="5"/>
      <c r="J72" s="5"/>
    </row>
    <row r="73" spans="2:10" x14ac:dyDescent="0.3">
      <c r="B73" s="29" t="s">
        <v>483</v>
      </c>
      <c r="C73" s="30" t="s">
        <v>382</v>
      </c>
      <c r="D73" s="33"/>
      <c r="E73" s="31" t="s">
        <v>383</v>
      </c>
      <c r="F73" s="32" t="s">
        <v>304</v>
      </c>
      <c r="G73" s="32" t="s">
        <v>307</v>
      </c>
      <c r="H73" s="32">
        <v>1</v>
      </c>
      <c r="I73" s="5"/>
      <c r="J73" s="5"/>
    </row>
    <row r="74" spans="2:10" x14ac:dyDescent="0.3">
      <c r="B74" s="29" t="s">
        <v>484</v>
      </c>
      <c r="C74" s="30" t="s">
        <v>384</v>
      </c>
      <c r="D74" s="33"/>
      <c r="E74" s="31" t="s">
        <v>385</v>
      </c>
      <c r="F74" s="32" t="s">
        <v>304</v>
      </c>
      <c r="G74" s="32" t="s">
        <v>307</v>
      </c>
      <c r="H74" s="32">
        <v>1</v>
      </c>
      <c r="I74" s="5"/>
      <c r="J74" s="5"/>
    </row>
    <row r="75" spans="2:10" x14ac:dyDescent="0.3">
      <c r="B75" s="29" t="s">
        <v>485</v>
      </c>
      <c r="C75" s="30" t="s">
        <v>386</v>
      </c>
      <c r="D75" s="33"/>
      <c r="E75" s="31"/>
      <c r="F75" s="32"/>
      <c r="G75" s="32" t="s">
        <v>387</v>
      </c>
      <c r="H75" s="32">
        <v>1</v>
      </c>
      <c r="I75" s="5"/>
      <c r="J75" s="5"/>
    </row>
    <row r="76" spans="2:10" x14ac:dyDescent="0.3">
      <c r="B76" s="29"/>
      <c r="C76" s="30"/>
      <c r="D76" s="33"/>
      <c r="E76" s="31"/>
      <c r="F76" s="32"/>
      <c r="G76" s="32"/>
      <c r="H76" s="32"/>
      <c r="I76" s="5"/>
      <c r="J76" s="5"/>
    </row>
    <row r="77" spans="2:10" x14ac:dyDescent="0.3">
      <c r="B77" s="29"/>
      <c r="C77" s="30"/>
      <c r="D77" s="33"/>
      <c r="E77" s="31"/>
      <c r="F77" s="32"/>
      <c r="G77" s="32"/>
      <c r="H77" s="32"/>
      <c r="I77" s="5"/>
      <c r="J77" s="5"/>
    </row>
    <row r="78" spans="2:10" x14ac:dyDescent="0.3">
      <c r="B78" s="29"/>
      <c r="C78" s="30"/>
      <c r="D78" s="33"/>
      <c r="E78" s="31"/>
      <c r="F78" s="32"/>
      <c r="G78" s="32"/>
      <c r="H78" s="32"/>
      <c r="I78" s="5"/>
      <c r="J78" s="5"/>
    </row>
    <row r="79" spans="2:10" x14ac:dyDescent="0.3">
      <c r="B79" s="29"/>
      <c r="C79" s="30"/>
      <c r="D79" s="33"/>
      <c r="E79" s="31"/>
      <c r="F79" s="32"/>
      <c r="G79" s="32"/>
      <c r="H79" s="32"/>
      <c r="I79" s="5"/>
      <c r="J79" s="5"/>
    </row>
    <row r="80" spans="2:10" x14ac:dyDescent="0.3">
      <c r="B80" s="29"/>
      <c r="C80" s="30"/>
      <c r="D80" s="33"/>
      <c r="E80" s="31"/>
      <c r="F80" s="32"/>
      <c r="G80" s="32"/>
      <c r="H80" s="32"/>
      <c r="I80" s="5"/>
      <c r="J80" s="5"/>
    </row>
    <row r="81" spans="2:10" x14ac:dyDescent="0.3">
      <c r="B81" s="29"/>
      <c r="C81" s="30"/>
      <c r="D81" s="33"/>
      <c r="E81" s="31"/>
      <c r="F81" s="32"/>
      <c r="G81" s="32"/>
      <c r="H81" s="32"/>
      <c r="I81" s="5"/>
      <c r="J81" s="5"/>
    </row>
    <row r="82" spans="2:10" x14ac:dyDescent="0.3">
      <c r="B82" s="29"/>
      <c r="C82" s="30"/>
      <c r="D82" s="33"/>
      <c r="E82" s="31"/>
      <c r="F82" s="32"/>
      <c r="G82" s="32"/>
      <c r="H82" s="32"/>
      <c r="I82" s="5"/>
      <c r="J82" s="5"/>
    </row>
    <row r="83" spans="2:10" x14ac:dyDescent="0.3">
      <c r="B83" s="29"/>
      <c r="C83" s="30"/>
      <c r="D83" s="33"/>
      <c r="E83" s="31"/>
      <c r="F83" s="32"/>
      <c r="G83" s="32"/>
      <c r="H83" s="32"/>
      <c r="I83" s="5"/>
      <c r="J83" s="5"/>
    </row>
    <row r="84" spans="2:10" x14ac:dyDescent="0.3">
      <c r="B84" s="29"/>
      <c r="C84" s="30"/>
      <c r="D84" s="33"/>
      <c r="E84" s="31"/>
      <c r="F84" s="32"/>
      <c r="G84" s="32"/>
      <c r="H84" s="32"/>
      <c r="I84" s="5"/>
      <c r="J84" s="5"/>
    </row>
    <row r="85" spans="2:10" x14ac:dyDescent="0.3">
      <c r="B85" s="29"/>
      <c r="C85" s="30"/>
      <c r="D85" s="33"/>
      <c r="E85" s="31"/>
      <c r="F85" s="32"/>
      <c r="G85" s="32"/>
      <c r="H85" s="32"/>
      <c r="I85" s="5"/>
      <c r="J85" s="5"/>
    </row>
    <row r="86" spans="2:10" x14ac:dyDescent="0.3">
      <c r="B86" s="29"/>
      <c r="C86" s="30"/>
      <c r="D86" s="33"/>
      <c r="E86" s="31"/>
      <c r="F86" s="32"/>
      <c r="G86" s="32"/>
      <c r="H86" s="32"/>
      <c r="I86" s="5"/>
      <c r="J86" s="5"/>
    </row>
    <row r="87" spans="2:10" x14ac:dyDescent="0.3">
      <c r="B87" s="29"/>
      <c r="C87" s="30"/>
      <c r="D87" s="33"/>
      <c r="E87" s="31"/>
      <c r="F87" s="32"/>
      <c r="G87" s="32"/>
      <c r="H87" s="32"/>
      <c r="I87" s="5"/>
      <c r="J87" s="5"/>
    </row>
    <row r="88" spans="2:10" x14ac:dyDescent="0.3">
      <c r="B88" s="29"/>
      <c r="C88" s="30"/>
      <c r="D88" s="33"/>
      <c r="E88" s="31"/>
      <c r="F88" s="32"/>
      <c r="G88" s="32"/>
      <c r="H88" s="32"/>
      <c r="I88" s="5"/>
      <c r="J88" s="5"/>
    </row>
    <row r="89" spans="2:10" x14ac:dyDescent="0.3">
      <c r="B89" s="29"/>
      <c r="C89" s="30"/>
      <c r="D89" s="33"/>
      <c r="E89" s="31"/>
      <c r="F89" s="32"/>
      <c r="G89" s="32"/>
      <c r="H89" s="32"/>
      <c r="I89" s="5"/>
      <c r="J89" s="5"/>
    </row>
    <row r="90" spans="2:10" x14ac:dyDescent="0.3">
      <c r="B90" s="29"/>
      <c r="C90" s="30"/>
      <c r="D90" s="33"/>
      <c r="E90" s="31"/>
      <c r="F90" s="32"/>
      <c r="G90" s="32"/>
      <c r="H90" s="32"/>
      <c r="I90" s="5"/>
      <c r="J90" s="5"/>
    </row>
    <row r="91" spans="2:10" x14ac:dyDescent="0.3">
      <c r="B91" s="29"/>
      <c r="C91" s="30"/>
      <c r="D91" s="33"/>
      <c r="E91" s="31"/>
      <c r="F91" s="32"/>
      <c r="G91" s="32"/>
      <c r="H91" s="32"/>
      <c r="I91" s="5"/>
      <c r="J91" s="5"/>
    </row>
    <row r="92" spans="2:10" x14ac:dyDescent="0.3">
      <c r="B92" s="29"/>
      <c r="C92" s="30"/>
      <c r="D92" s="33"/>
      <c r="E92" s="31"/>
      <c r="F92" s="32"/>
      <c r="G92" s="32"/>
      <c r="H92" s="32"/>
      <c r="I92" s="5"/>
      <c r="J92" s="5"/>
    </row>
    <row r="93" spans="2:10" x14ac:dyDescent="0.3">
      <c r="B93" s="29"/>
      <c r="C93" s="30"/>
      <c r="D93" s="33"/>
      <c r="E93" s="31"/>
      <c r="F93" s="32"/>
      <c r="G93" s="32"/>
      <c r="H93" s="32"/>
      <c r="I93" s="5"/>
      <c r="J93" s="5"/>
    </row>
    <row r="94" spans="2:10" x14ac:dyDescent="0.3">
      <c r="B94" s="29"/>
      <c r="C94" s="30"/>
      <c r="D94" s="33"/>
      <c r="E94" s="31"/>
      <c r="F94" s="32"/>
      <c r="G94" s="32"/>
      <c r="H94" s="32"/>
      <c r="I94" s="5"/>
      <c r="J94" s="5"/>
    </row>
    <row r="95" spans="2:10" x14ac:dyDescent="0.3">
      <c r="B95" s="29"/>
      <c r="C95" s="30"/>
      <c r="D95" s="33"/>
      <c r="E95" s="31"/>
      <c r="F95" s="32"/>
      <c r="G95" s="32"/>
      <c r="H95" s="32"/>
      <c r="I95" s="5"/>
      <c r="J95" s="5"/>
    </row>
    <row r="96" spans="2:10" x14ac:dyDescent="0.3">
      <c r="B96" s="29"/>
      <c r="C96" s="30"/>
      <c r="D96" s="33"/>
      <c r="E96" s="31"/>
      <c r="F96" s="32"/>
      <c r="G96" s="32"/>
      <c r="H96" s="32"/>
      <c r="I96" s="5"/>
      <c r="J96" s="5"/>
    </row>
    <row r="97" spans="2:10" x14ac:dyDescent="0.3">
      <c r="B97" s="29"/>
      <c r="C97" s="30"/>
      <c r="D97" s="33"/>
      <c r="E97" s="31"/>
      <c r="F97" s="32"/>
      <c r="G97" s="32"/>
      <c r="H97" s="32"/>
      <c r="I97" s="5"/>
      <c r="J97" s="5"/>
    </row>
    <row r="98" spans="2:10" x14ac:dyDescent="0.3">
      <c r="B98" s="29"/>
      <c r="C98" s="30"/>
      <c r="D98" s="33"/>
      <c r="E98" s="31"/>
      <c r="F98" s="32"/>
      <c r="G98" s="32"/>
      <c r="H98" s="32"/>
      <c r="I98" s="5"/>
      <c r="J98" s="5"/>
    </row>
    <row r="99" spans="2:10" x14ac:dyDescent="0.3">
      <c r="B99" s="29"/>
      <c r="C99" s="30"/>
      <c r="D99" s="33"/>
      <c r="E99" s="31"/>
      <c r="F99" s="32"/>
      <c r="G99" s="32"/>
      <c r="H99" s="32"/>
      <c r="I99" s="5"/>
      <c r="J99" s="5"/>
    </row>
    <row r="100" spans="2:10" x14ac:dyDescent="0.3">
      <c r="B100" s="29"/>
      <c r="C100" s="30"/>
      <c r="D100" s="33"/>
      <c r="E100" s="31"/>
      <c r="F100" s="32"/>
      <c r="G100" s="32"/>
      <c r="H100" s="32"/>
      <c r="I100" s="5"/>
      <c r="J100" s="5"/>
    </row>
    <row r="101" spans="2:10" x14ac:dyDescent="0.3">
      <c r="B101" s="29"/>
      <c r="C101" s="30"/>
      <c r="D101" s="33"/>
      <c r="E101" s="31"/>
      <c r="F101" s="32"/>
      <c r="G101" s="32"/>
      <c r="H101" s="32"/>
      <c r="I101" s="5"/>
      <c r="J101" s="5"/>
    </row>
    <row r="102" spans="2:10" x14ac:dyDescent="0.3">
      <c r="B102" s="29"/>
      <c r="C102" s="30"/>
      <c r="D102" s="33"/>
      <c r="E102" s="31"/>
      <c r="F102" s="32"/>
      <c r="G102" s="32"/>
      <c r="H102" s="32"/>
      <c r="I102" s="5"/>
      <c r="J102" s="5"/>
    </row>
    <row r="103" spans="2:10" x14ac:dyDescent="0.3">
      <c r="B103" s="29"/>
      <c r="C103" s="30"/>
      <c r="D103" s="33"/>
      <c r="E103" s="31"/>
      <c r="F103" s="32"/>
      <c r="G103" s="32"/>
      <c r="H103" s="32"/>
      <c r="I103" s="5"/>
      <c r="J103" s="5"/>
    </row>
    <row r="104" spans="2:10" x14ac:dyDescent="0.3">
      <c r="B104" s="29"/>
      <c r="C104" s="30"/>
      <c r="D104" s="33"/>
      <c r="E104" s="31"/>
      <c r="F104" s="32"/>
      <c r="G104" s="32"/>
      <c r="H104" s="32"/>
      <c r="I104" s="5"/>
      <c r="J104" s="5"/>
    </row>
    <row r="105" spans="2:10" x14ac:dyDescent="0.3">
      <c r="B105" s="29"/>
      <c r="C105" s="30"/>
      <c r="D105" s="33"/>
      <c r="E105" s="31"/>
      <c r="F105" s="32"/>
      <c r="G105" s="32"/>
      <c r="H105" s="32"/>
      <c r="I105" s="5"/>
      <c r="J105" s="5"/>
    </row>
    <row r="106" spans="2:10" x14ac:dyDescent="0.3">
      <c r="B106" s="29"/>
      <c r="C106" s="30"/>
      <c r="D106" s="33"/>
      <c r="E106" s="31"/>
      <c r="F106" s="32"/>
      <c r="G106" s="32"/>
      <c r="H106" s="32"/>
      <c r="I106" s="5"/>
      <c r="J106" s="5"/>
    </row>
    <row r="107" spans="2:10" x14ac:dyDescent="0.3">
      <c r="B107" s="29"/>
      <c r="C107" s="30"/>
      <c r="D107" s="33"/>
      <c r="E107" s="31"/>
      <c r="F107" s="32"/>
      <c r="G107" s="32"/>
      <c r="H107" s="32"/>
      <c r="I107" s="5"/>
      <c r="J107" s="5"/>
    </row>
    <row r="108" spans="2:10" x14ac:dyDescent="0.3">
      <c r="B108" s="29"/>
      <c r="C108" s="30"/>
      <c r="D108" s="33"/>
      <c r="E108" s="31"/>
      <c r="F108" s="32"/>
      <c r="G108" s="32"/>
      <c r="H108" s="32"/>
      <c r="I108" s="5"/>
      <c r="J108" s="5"/>
    </row>
    <row r="109" spans="2:10" x14ac:dyDescent="0.3">
      <c r="B109" s="29"/>
      <c r="C109" s="30"/>
      <c r="D109" s="33"/>
      <c r="E109" s="31"/>
      <c r="F109" s="32"/>
      <c r="G109" s="32"/>
      <c r="H109" s="32"/>
      <c r="I109" s="5"/>
      <c r="J109" s="5"/>
    </row>
    <row r="110" spans="2:10" x14ac:dyDescent="0.3">
      <c r="B110" s="29"/>
      <c r="C110" s="30"/>
      <c r="D110" s="33"/>
      <c r="E110" s="31"/>
      <c r="F110" s="32"/>
      <c r="G110" s="32"/>
      <c r="H110" s="32"/>
      <c r="I110" s="5"/>
      <c r="J110" s="5"/>
    </row>
    <row r="111" spans="2:10" x14ac:dyDescent="0.3">
      <c r="B111" s="29"/>
      <c r="C111" s="30"/>
      <c r="D111" s="33"/>
      <c r="E111" s="31"/>
      <c r="F111" s="32"/>
      <c r="G111" s="32"/>
      <c r="H111" s="32"/>
      <c r="I111" s="5"/>
      <c r="J111" s="5"/>
    </row>
    <row r="112" spans="2:10" x14ac:dyDescent="0.3">
      <c r="B112" s="29"/>
      <c r="C112" s="30"/>
      <c r="D112" s="33"/>
      <c r="E112" s="31"/>
      <c r="F112" s="32"/>
      <c r="G112" s="32"/>
      <c r="H112" s="32"/>
      <c r="I112" s="5"/>
      <c r="J112" s="5"/>
    </row>
    <row r="113" spans="2:10" x14ac:dyDescent="0.3">
      <c r="B113" s="29"/>
      <c r="C113" s="30"/>
      <c r="D113" s="33"/>
      <c r="E113" s="31"/>
      <c r="F113" s="32"/>
      <c r="G113" s="32"/>
      <c r="H113" s="32"/>
      <c r="I113" s="5"/>
      <c r="J113" s="5"/>
    </row>
    <row r="114" spans="2:10" x14ac:dyDescent="0.3">
      <c r="B114" s="29"/>
      <c r="C114" s="30"/>
      <c r="D114" s="33"/>
      <c r="E114" s="31"/>
      <c r="F114" s="32"/>
      <c r="G114" s="32"/>
      <c r="H114" s="32"/>
      <c r="I114" s="5"/>
      <c r="J114" s="5"/>
    </row>
    <row r="115" spans="2:10" x14ac:dyDescent="0.3">
      <c r="B115" s="29"/>
      <c r="C115" s="30"/>
      <c r="D115" s="33"/>
      <c r="E115" s="31"/>
      <c r="F115" s="32"/>
      <c r="G115" s="32"/>
      <c r="H115" s="32"/>
      <c r="I115" s="5"/>
      <c r="J115" s="5"/>
    </row>
    <row r="116" spans="2:10" x14ac:dyDescent="0.3">
      <c r="B116" s="29"/>
      <c r="C116" s="30"/>
      <c r="D116" s="33"/>
      <c r="E116" s="31"/>
      <c r="F116" s="32"/>
      <c r="G116" s="32"/>
      <c r="H116" s="32"/>
      <c r="I116" s="5"/>
      <c r="J116" s="5"/>
    </row>
    <row r="117" spans="2:10" x14ac:dyDescent="0.3">
      <c r="B117" s="29"/>
      <c r="C117" s="30"/>
      <c r="D117" s="33"/>
      <c r="E117" s="31"/>
      <c r="F117" s="32"/>
      <c r="G117" s="32"/>
      <c r="H117" s="32"/>
      <c r="I117" s="5"/>
      <c r="J117" s="5"/>
    </row>
    <row r="118" spans="2:10" x14ac:dyDescent="0.3">
      <c r="B118" s="29"/>
      <c r="C118" s="30"/>
      <c r="D118" s="33"/>
      <c r="E118" s="31"/>
      <c r="F118" s="32"/>
      <c r="G118" s="32"/>
      <c r="H118" s="32"/>
      <c r="I118" s="5"/>
      <c r="J118" s="5"/>
    </row>
    <row r="119" spans="2:10" x14ac:dyDescent="0.3">
      <c r="B119" s="29"/>
      <c r="C119" s="30"/>
      <c r="D119" s="33"/>
      <c r="E119" s="31"/>
      <c r="F119" s="32"/>
      <c r="G119" s="32"/>
      <c r="H119" s="32"/>
      <c r="I119" s="5"/>
      <c r="J119" s="5"/>
    </row>
    <row r="120" spans="2:10" x14ac:dyDescent="0.3">
      <c r="B120" s="29"/>
      <c r="C120" s="30"/>
      <c r="D120" s="33"/>
      <c r="E120" s="31"/>
      <c r="F120" s="32"/>
      <c r="G120" s="32"/>
      <c r="H120" s="32"/>
      <c r="I120" s="5"/>
      <c r="J120" s="5"/>
    </row>
    <row r="121" spans="2:10" x14ac:dyDescent="0.3">
      <c r="B121" s="29"/>
      <c r="C121" s="30"/>
      <c r="D121" s="33"/>
      <c r="E121" s="31"/>
      <c r="F121" s="32"/>
      <c r="G121" s="32"/>
      <c r="H121" s="32"/>
      <c r="I121" s="5"/>
      <c r="J121" s="5"/>
    </row>
    <row r="122" spans="2:10" x14ac:dyDescent="0.3">
      <c r="B122" s="29"/>
      <c r="C122" s="30"/>
      <c r="D122" s="33"/>
      <c r="E122" s="31"/>
      <c r="F122" s="32"/>
      <c r="G122" s="32"/>
      <c r="H122" s="32"/>
      <c r="I122" s="5"/>
      <c r="J122" s="5"/>
    </row>
    <row r="123" spans="2:10" x14ac:dyDescent="0.3">
      <c r="B123" s="29"/>
      <c r="C123" s="30"/>
      <c r="D123" s="33"/>
      <c r="E123" s="31"/>
      <c r="F123" s="32"/>
      <c r="G123" s="32"/>
      <c r="H123" s="32"/>
      <c r="I123" s="5"/>
      <c r="J123" s="5"/>
    </row>
    <row r="124" spans="2:10" x14ac:dyDescent="0.3">
      <c r="B124" s="29"/>
      <c r="C124" s="30"/>
      <c r="D124" s="33"/>
      <c r="E124" s="31"/>
      <c r="F124" s="32"/>
      <c r="G124" s="32"/>
      <c r="H124" s="32"/>
      <c r="I124" s="5"/>
      <c r="J124" s="5"/>
    </row>
    <row r="125" spans="2:10" x14ac:dyDescent="0.3">
      <c r="B125" s="29"/>
      <c r="C125" s="30"/>
      <c r="D125" s="33"/>
      <c r="E125" s="31"/>
      <c r="F125" s="32"/>
      <c r="G125" s="32"/>
      <c r="H125" s="32"/>
      <c r="I125" s="5"/>
      <c r="J125" s="5"/>
    </row>
    <row r="126" spans="2:10" x14ac:dyDescent="0.3">
      <c r="B126" s="29"/>
      <c r="C126" s="30"/>
      <c r="D126" s="33"/>
      <c r="E126" s="31"/>
      <c r="F126" s="32"/>
      <c r="G126" s="32"/>
      <c r="H126" s="32"/>
      <c r="I126" s="5"/>
      <c r="J126" s="5"/>
    </row>
    <row r="127" spans="2:10" x14ac:dyDescent="0.3">
      <c r="B127" s="29"/>
      <c r="C127" s="30"/>
      <c r="D127" s="33"/>
      <c r="E127" s="31"/>
      <c r="F127" s="32"/>
      <c r="G127" s="32"/>
      <c r="H127" s="32"/>
      <c r="I127" s="5"/>
      <c r="J127" s="5"/>
    </row>
    <row r="128" spans="2:10" x14ac:dyDescent="0.3">
      <c r="B128" s="29"/>
      <c r="C128" s="30"/>
      <c r="D128" s="33"/>
      <c r="E128" s="31"/>
      <c r="F128" s="32"/>
      <c r="G128" s="32"/>
      <c r="H128" s="32"/>
      <c r="I128" s="5"/>
      <c r="J128" s="5"/>
    </row>
    <row r="129" spans="2:10" x14ac:dyDescent="0.3">
      <c r="B129" s="29"/>
      <c r="C129" s="30"/>
      <c r="D129" s="33"/>
      <c r="E129" s="31"/>
      <c r="F129" s="32"/>
      <c r="G129" s="32"/>
      <c r="H129" s="32"/>
      <c r="I129" s="5"/>
      <c r="J129" s="5"/>
    </row>
    <row r="130" spans="2:10" x14ac:dyDescent="0.3">
      <c r="B130" s="29"/>
      <c r="C130" s="30"/>
      <c r="D130" s="33"/>
      <c r="E130" s="31"/>
      <c r="F130" s="32"/>
      <c r="G130" s="32"/>
      <c r="H130" s="32"/>
      <c r="I130" s="5"/>
      <c r="J130" s="5"/>
    </row>
    <row r="131" spans="2:10" x14ac:dyDescent="0.3">
      <c r="B131" s="29"/>
      <c r="C131" s="30"/>
      <c r="D131" s="33"/>
      <c r="E131" s="31"/>
      <c r="F131" s="32"/>
      <c r="G131" s="32"/>
      <c r="H131" s="32"/>
      <c r="I131" s="5"/>
      <c r="J131" s="5"/>
    </row>
    <row r="132" spans="2:10" x14ac:dyDescent="0.3">
      <c r="B132" s="29"/>
      <c r="C132" s="30"/>
      <c r="D132" s="33"/>
      <c r="E132" s="31"/>
      <c r="F132" s="32"/>
      <c r="G132" s="32"/>
      <c r="H132" s="32"/>
      <c r="I132" s="5"/>
      <c r="J132" s="5"/>
    </row>
    <row r="133" spans="2:10" x14ac:dyDescent="0.3">
      <c r="B133" s="29"/>
      <c r="C133" s="30"/>
      <c r="D133" s="33"/>
      <c r="E133" s="31"/>
      <c r="F133" s="32"/>
      <c r="G133" s="32"/>
      <c r="H133" s="32"/>
      <c r="I133" s="5"/>
      <c r="J133" s="5"/>
    </row>
    <row r="134" spans="2:10" x14ac:dyDescent="0.3">
      <c r="B134" s="29"/>
      <c r="C134" s="30"/>
      <c r="D134" s="33"/>
      <c r="E134" s="31"/>
      <c r="F134" s="32"/>
      <c r="G134" s="32"/>
      <c r="H134" s="32"/>
      <c r="I134" s="5"/>
      <c r="J134" s="5"/>
    </row>
    <row r="135" spans="2:10" x14ac:dyDescent="0.3">
      <c r="B135" s="29"/>
      <c r="C135" s="30"/>
      <c r="D135" s="33"/>
      <c r="E135" s="31"/>
      <c r="F135" s="32"/>
      <c r="G135" s="32"/>
      <c r="H135" s="32"/>
      <c r="I135" s="5"/>
      <c r="J135" s="5"/>
    </row>
    <row r="136" spans="2:10" x14ac:dyDescent="0.3">
      <c r="B136" s="29"/>
      <c r="C136" s="30"/>
      <c r="D136" s="33"/>
      <c r="E136" s="31"/>
      <c r="F136" s="32"/>
      <c r="G136" s="32"/>
      <c r="H136" s="32"/>
      <c r="I136" s="5"/>
      <c r="J136" s="5"/>
    </row>
    <row r="137" spans="2:10" x14ac:dyDescent="0.3">
      <c r="B137" s="29"/>
      <c r="C137" s="30"/>
      <c r="D137" s="33"/>
      <c r="E137" s="31"/>
      <c r="F137" s="32"/>
      <c r="G137" s="32"/>
      <c r="H137" s="32"/>
      <c r="I137" s="5"/>
      <c r="J137" s="5"/>
    </row>
    <row r="138" spans="2:10" x14ac:dyDescent="0.3">
      <c r="B138" s="29"/>
      <c r="C138" s="30"/>
      <c r="D138" s="33"/>
      <c r="E138" s="31"/>
      <c r="F138" s="32"/>
      <c r="G138" s="32"/>
      <c r="H138" s="32"/>
      <c r="I138" s="5"/>
      <c r="J138" s="5"/>
    </row>
    <row r="139" spans="2:10" x14ac:dyDescent="0.3">
      <c r="B139" s="29"/>
      <c r="C139" s="30"/>
      <c r="D139" s="33"/>
      <c r="E139" s="31"/>
      <c r="F139" s="32"/>
      <c r="G139" s="32"/>
      <c r="H139" s="32"/>
      <c r="I139" s="5"/>
      <c r="J139" s="5"/>
    </row>
    <row r="140" spans="2:10" x14ac:dyDescent="0.3">
      <c r="B140" s="29"/>
      <c r="C140" s="30"/>
      <c r="D140" s="33"/>
      <c r="E140" s="31"/>
      <c r="F140" s="32"/>
      <c r="G140" s="32"/>
      <c r="H140" s="32"/>
      <c r="I140" s="5"/>
      <c r="J140" s="5"/>
    </row>
    <row r="141" spans="2:10" x14ac:dyDescent="0.3">
      <c r="B141" s="29"/>
      <c r="C141" s="30"/>
      <c r="D141" s="33"/>
      <c r="E141" s="31"/>
      <c r="F141" s="32"/>
      <c r="G141" s="32"/>
      <c r="H141" s="32"/>
      <c r="I141" s="5"/>
      <c r="J141" s="5"/>
    </row>
    <row r="142" spans="2:10" x14ac:dyDescent="0.3">
      <c r="B142" s="29"/>
      <c r="C142" s="30"/>
      <c r="D142" s="33"/>
      <c r="E142" s="31"/>
      <c r="F142" s="32"/>
      <c r="G142" s="32"/>
      <c r="H142" s="32"/>
      <c r="I142" s="5"/>
      <c r="J142" s="5"/>
    </row>
    <row r="143" spans="2:10" x14ac:dyDescent="0.3">
      <c r="B143" s="29"/>
      <c r="C143" s="30"/>
      <c r="D143" s="33"/>
      <c r="E143" s="31"/>
      <c r="F143" s="32"/>
      <c r="G143" s="32"/>
      <c r="H143" s="32"/>
      <c r="I143" s="5"/>
      <c r="J143" s="5"/>
    </row>
    <row r="144" spans="2:10" x14ac:dyDescent="0.3">
      <c r="B144" s="29"/>
      <c r="C144" s="30"/>
      <c r="D144" s="33"/>
      <c r="E144" s="31"/>
      <c r="F144" s="32"/>
      <c r="G144" s="32"/>
      <c r="H144" s="32"/>
      <c r="I144" s="5"/>
      <c r="J144" s="5"/>
    </row>
    <row r="145" spans="2:10" x14ac:dyDescent="0.3">
      <c r="B145" s="29"/>
      <c r="C145" s="30"/>
      <c r="D145" s="33"/>
      <c r="E145" s="31"/>
      <c r="F145" s="32"/>
      <c r="G145" s="32"/>
      <c r="H145" s="32"/>
      <c r="I145" s="5"/>
      <c r="J145" s="5"/>
    </row>
    <row r="146" spans="2:10" x14ac:dyDescent="0.3">
      <c r="B146" s="29"/>
      <c r="C146" s="30"/>
      <c r="D146" s="33"/>
      <c r="E146" s="31"/>
      <c r="F146" s="32"/>
      <c r="G146" s="32"/>
      <c r="H146" s="32"/>
      <c r="I146" s="5"/>
      <c r="J146" s="5"/>
    </row>
    <row r="147" spans="2:10" x14ac:dyDescent="0.3">
      <c r="B147" s="29"/>
      <c r="C147" s="30"/>
      <c r="D147" s="33"/>
      <c r="E147" s="31"/>
      <c r="F147" s="32"/>
      <c r="G147" s="32"/>
      <c r="H147" s="32"/>
      <c r="I147" s="5"/>
      <c r="J147" s="5"/>
    </row>
    <row r="148" spans="2:10" x14ac:dyDescent="0.3">
      <c r="B148" s="29"/>
      <c r="C148" s="30"/>
      <c r="D148" s="33"/>
      <c r="E148" s="31"/>
      <c r="F148" s="32"/>
      <c r="G148" s="32"/>
      <c r="H148" s="32"/>
      <c r="I148" s="5"/>
      <c r="J148" s="5"/>
    </row>
    <row r="149" spans="2:10" x14ac:dyDescent="0.3">
      <c r="B149" s="29"/>
      <c r="C149" s="30"/>
      <c r="D149" s="33"/>
      <c r="E149" s="31"/>
      <c r="F149" s="32"/>
      <c r="G149" s="32"/>
      <c r="H149" s="32"/>
      <c r="I149" s="5"/>
      <c r="J149" s="5"/>
    </row>
    <row r="150" spans="2:10" x14ac:dyDescent="0.3">
      <c r="B150" s="29"/>
      <c r="C150" s="30"/>
      <c r="D150" s="33"/>
      <c r="E150" s="31"/>
      <c r="F150" s="32"/>
      <c r="G150" s="32"/>
      <c r="H150" s="32"/>
      <c r="I150" s="5"/>
      <c r="J150" s="5"/>
    </row>
    <row r="151" spans="2:10" x14ac:dyDescent="0.3">
      <c r="B151" s="29"/>
      <c r="C151" s="30"/>
      <c r="D151" s="33"/>
      <c r="E151" s="31"/>
      <c r="F151" s="32"/>
      <c r="G151" s="32"/>
      <c r="H151" s="32"/>
      <c r="I151" s="5"/>
      <c r="J151" s="5"/>
    </row>
    <row r="152" spans="2:10" x14ac:dyDescent="0.3">
      <c r="B152" s="29"/>
      <c r="C152" s="30"/>
      <c r="D152" s="33"/>
      <c r="E152" s="31"/>
      <c r="F152" s="32"/>
      <c r="G152" s="32"/>
      <c r="H152" s="32"/>
      <c r="I152" s="5"/>
      <c r="J152" s="5"/>
    </row>
    <row r="153" spans="2:10" x14ac:dyDescent="0.3">
      <c r="B153" s="29"/>
      <c r="C153" s="30"/>
      <c r="D153" s="33"/>
      <c r="E153" s="31"/>
      <c r="F153" s="32"/>
      <c r="G153" s="32"/>
      <c r="H153" s="32"/>
      <c r="I153" s="5"/>
      <c r="J153" s="5"/>
    </row>
    <row r="154" spans="2:10" x14ac:dyDescent="0.3">
      <c r="B154" s="29"/>
      <c r="C154" s="30"/>
      <c r="D154" s="33"/>
      <c r="E154" s="31"/>
      <c r="F154" s="32"/>
      <c r="G154" s="32"/>
      <c r="H154" s="32"/>
      <c r="I154" s="5"/>
      <c r="J154" s="5"/>
    </row>
    <row r="155" spans="2:10" x14ac:dyDescent="0.3">
      <c r="B155" s="29"/>
      <c r="C155" s="30"/>
      <c r="D155" s="33"/>
      <c r="E155" s="31"/>
      <c r="F155" s="32"/>
      <c r="G155" s="32"/>
      <c r="H155" s="32"/>
      <c r="I155" s="5"/>
      <c r="J155" s="5"/>
    </row>
    <row r="156" spans="2:10" x14ac:dyDescent="0.3">
      <c r="B156" s="29"/>
      <c r="C156" s="30"/>
      <c r="D156" s="33"/>
      <c r="E156" s="31"/>
      <c r="F156" s="32"/>
      <c r="G156" s="32"/>
      <c r="H156" s="32"/>
      <c r="I156" s="5"/>
      <c r="J156" s="5"/>
    </row>
    <row r="157" spans="2:10" x14ac:dyDescent="0.3">
      <c r="B157" s="29"/>
      <c r="C157" s="30"/>
      <c r="D157" s="33"/>
      <c r="E157" s="31"/>
      <c r="F157" s="32"/>
      <c r="G157" s="32"/>
      <c r="H157" s="32"/>
      <c r="I157" s="5"/>
      <c r="J157" s="5"/>
    </row>
    <row r="158" spans="2:10" x14ac:dyDescent="0.3">
      <c r="B158" s="29"/>
      <c r="C158" s="30"/>
      <c r="D158" s="33"/>
      <c r="E158" s="31"/>
      <c r="F158" s="32"/>
      <c r="G158" s="32"/>
      <c r="H158" s="32"/>
      <c r="I158" s="5"/>
      <c r="J158" s="5"/>
    </row>
    <row r="159" spans="2:10" x14ac:dyDescent="0.3">
      <c r="B159" s="29"/>
      <c r="C159" s="30"/>
      <c r="D159" s="33"/>
      <c r="E159" s="31"/>
      <c r="F159" s="32"/>
      <c r="G159" s="32"/>
      <c r="H159" s="32"/>
      <c r="I159" s="5"/>
      <c r="J159" s="5"/>
    </row>
    <row r="160" spans="2:10" x14ac:dyDescent="0.3">
      <c r="B160" s="29"/>
      <c r="C160" s="30"/>
      <c r="D160" s="33"/>
      <c r="E160" s="31"/>
      <c r="F160" s="32"/>
      <c r="G160" s="32"/>
      <c r="H160" s="32"/>
      <c r="I160" s="5"/>
      <c r="J160" s="5"/>
    </row>
  </sheetData>
  <phoneticPr fontId="3" type="noConversion"/>
  <dataValidations count="1">
    <dataValidation type="list" allowBlank="1" showInputMessage="1" sqref="D1" xr:uid="{A25CD08A-6E40-4B75-BB4F-5DCDCE9BAE1B}">
      <formula1>Список_щитов</formula1>
    </dataValidation>
  </dataValidation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AB53-39B8-42F9-A3BB-E53E025B4A51}">
  <sheetPr>
    <tabColor rgb="FFA6A6A6"/>
  </sheetPr>
  <dimension ref="A1:S160"/>
  <sheetViews>
    <sheetView topLeftCell="B52" workbookViewId="0">
      <selection activeCell="C11" sqref="C11"/>
    </sheetView>
  </sheetViews>
  <sheetFormatPr defaultRowHeight="14.4" outlineLevelCol="1" x14ac:dyDescent="0.3"/>
  <cols>
    <col min="1" max="1" width="4" hidden="1" customWidth="1"/>
    <col min="2" max="2" width="9.6640625" customWidth="1"/>
    <col min="3" max="3" width="115.88671875" customWidth="1"/>
    <col min="4" max="6" width="20.6640625" customWidth="1"/>
    <col min="7" max="9" width="9.6640625" customWidth="1"/>
    <col min="10" max="10" width="20.6640625" customWidth="1"/>
    <col min="11" max="11" width="3" customWidth="1"/>
    <col min="12" max="12" width="40" hidden="1" customWidth="1" outlineLevel="1"/>
    <col min="13" max="19" width="11" hidden="1" customWidth="1" outlineLevel="1"/>
  </cols>
  <sheetData>
    <row r="1" spans="1:15" ht="15" thickBot="1" x14ac:dyDescent="0.35">
      <c r="C1" s="30" t="str">
        <f>IF(Каталог!$R$28="","ЧЕРНОВИК — считается сам, не править. Перенос в «Спецификацию»: выделите B4:J160 → Копировать → лист «Спецификация», ячейка B4 → Вставить → Значения (или кнопка/макрос «ОбновитьСпецификацию»).","ВНИМАНИЕ: в однолинейке есть позиции, которых нет в Каталоге: "&amp;Каталог!$R$28&amp;IF(Каталог!$R$29="","",", "&amp;Каталог!$R$29)&amp;IF(Каталог!$R$30="","",", "&amp;Каталог!$R$30)&amp;" — добавьте их в Каталог.")</f>
        <v>ВНИМАНИЕ: в однолинейке есть позиции, которых нет в Каталоге: 4P С16А 30мА — добавьте их в Каталог.</v>
      </c>
      <c r="K1" s="36" t="str">
        <f>"Щит: "&amp;Спецификация!$D$1&amp;" (выбор — «Спецификация» D1)"</f>
        <v>Щит: все (выбор — «Спецификация» D1)</v>
      </c>
    </row>
    <row r="2" spans="1:15" ht="43.8" thickBot="1" x14ac:dyDescent="0.35">
      <c r="B2" s="9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54</v>
      </c>
      <c r="H2" s="1" t="s">
        <v>51</v>
      </c>
      <c r="I2" s="1" t="s">
        <v>52</v>
      </c>
      <c r="J2" s="10" t="s">
        <v>53</v>
      </c>
      <c r="L2" s="1" t="s">
        <v>1013</v>
      </c>
      <c r="M2" s="1" t="s">
        <v>51</v>
      </c>
      <c r="N2" s="1" t="s">
        <v>1014</v>
      </c>
      <c r="O2" s="1" t="s">
        <v>1015</v>
      </c>
    </row>
    <row r="3" spans="1:15" ht="28.8" x14ac:dyDescent="0.3">
      <c r="B3" s="28" t="s">
        <v>40</v>
      </c>
      <c r="C3" s="27" t="s">
        <v>261</v>
      </c>
      <c r="D3" s="8"/>
      <c r="E3" s="8"/>
      <c r="F3" s="8"/>
      <c r="G3" s="8"/>
      <c r="H3" s="8"/>
      <c r="I3" s="8"/>
      <c r="J3" s="8"/>
      <c r="L3" s="1" t="s">
        <v>1016</v>
      </c>
    </row>
    <row r="4" spans="1:15" x14ac:dyDescent="0.3">
      <c r="A4" s="29">
        <f>IFERROR(MATCH(ROW()-3,Каталог!$AF$4:$AF$500,0),"")</f>
        <v>36</v>
      </c>
      <c r="B4" s="29" t="str">
        <f t="shared" ref="B4:B35" si="0">IF($A4="","",$B$3&amp;"."&amp;(ROW()-3))</f>
        <v>1.1</v>
      </c>
      <c r="C4" s="30" t="str">
        <f>IF($A4="","",INDEX(Каталог!$G$4:$G$500,$A4)&amp;"")</f>
        <v>Крыша и основание RAL9005 с направляющими для корпусов CQE N, ШхГ 800х400 мм, комплект RAM block</v>
      </c>
      <c r="D4" s="33"/>
      <c r="E4" s="31" t="str">
        <f>IF($A4="","",INDEX(Каталог!$H$4:$H$500,$A4)&amp;"")</f>
        <v>R5NKTB84</v>
      </c>
      <c r="F4" s="32" t="str">
        <f>IF($A4="","",INDEX(Каталог!$B$4:$B$500,$A4)&amp;"")</f>
        <v>DKC</v>
      </c>
      <c r="G4" s="32" t="str">
        <f>IF($A4="","",INDEX(Каталог!$M$4:$M$500,$A4)&amp;"")</f>
        <v>Комплект</v>
      </c>
      <c r="H4" s="32">
        <f>IF($A4="","",INDEX(Каталог!$P$4:$P$500,$A4))</f>
        <v>1</v>
      </c>
      <c r="I4" s="5"/>
      <c r="J4" s="5"/>
      <c r="L4" s="30" t="str">
        <f>IFERROR(INDEX(Однолинейка!$H$3:$H$1000,MATCH(1,Однолинейка!$BM$3:$BM$1000,0)),"")</f>
        <v>2P С16А 30мА</v>
      </c>
      <c r="M4" s="32">
        <f>IF(L4="","",COUNTIF(Однолинейка!$H$3:$H$1000,L4))</f>
        <v>27</v>
      </c>
    </row>
    <row r="5" spans="1:15" x14ac:dyDescent="0.3">
      <c r="A5" s="29">
        <f>IFERROR(MATCH(ROW()-3,Каталог!$AF$4:$AF$500,0),"")</f>
        <v>37</v>
      </c>
      <c r="B5" s="29" t="str">
        <f t="shared" si="0"/>
        <v>1.2</v>
      </c>
      <c r="C5" s="30" t="str">
        <f>IF($A5="","",INDEX(Каталог!$G$4:$G$500,$A5)&amp;"")</f>
        <v>Стойки вертикальные RAL7035 для корпусов CQE N, В=1800 мм, комплект - 4 шт. RAM block</v>
      </c>
      <c r="D5" s="33"/>
      <c r="E5" s="31" t="str">
        <f>IF($A5="","",INDEX(Каталог!$H$4:$H$500,$A5)&amp;"")</f>
        <v>R5NKMN18</v>
      </c>
      <c r="F5" s="32" t="str">
        <f>IF($A5="","",INDEX(Каталог!$B$4:$B$500,$A5)&amp;"")</f>
        <v>DKC</v>
      </c>
      <c r="G5" s="32" t="str">
        <f>IF($A5="","",INDEX(Каталог!$M$4:$M$500,$A5)&amp;"")</f>
        <v>Комплект</v>
      </c>
      <c r="H5" s="32">
        <f>IF($A5="","",INDEX(Каталог!$P$4:$P$500,$A5))</f>
        <v>1</v>
      </c>
      <c r="I5" s="5"/>
      <c r="J5" s="5"/>
      <c r="L5" s="30" t="str">
        <f>IFERROR(INDEX(Однолинейка!$H$3:$H$1000,MATCH(2,Однолинейка!$BM$3:$BM$1000,0)),"")</f>
        <v>4P С16А 30мА</v>
      </c>
      <c r="M5" s="32">
        <f>IF(L5="","",COUNTIF(Однолинейка!$H$3:$H$1000,L5))</f>
        <v>1</v>
      </c>
    </row>
    <row r="6" spans="1:15" x14ac:dyDescent="0.3">
      <c r="A6" s="29">
        <f>IFERROR(MATCH(ROW()-3,Каталог!$AF$4:$AF$500,0),"")</f>
        <v>38</v>
      </c>
      <c r="B6" s="29" t="str">
        <f t="shared" si="0"/>
        <v>1.3</v>
      </c>
      <c r="C6" s="30" t="str">
        <f>IF($A6="","",INDEX(Каталог!$G$4:$G$500,$A6)&amp;"")</f>
        <v>Дверь стеклянная для корпусов CQE N, ВхШ 1800x800 мм RAM block</v>
      </c>
      <c r="D6" s="33"/>
      <c r="E6" s="31" t="str">
        <f>IF($A6="","",INDEX(Каталог!$H$4:$H$500,$A6)&amp;"")</f>
        <v>R5NCPTE1880</v>
      </c>
      <c r="F6" s="32" t="str">
        <f>IF($A6="","",INDEX(Каталог!$B$4:$B$500,$A6)&amp;"")</f>
        <v>DKC</v>
      </c>
      <c r="G6" s="32" t="str">
        <f>IF($A6="","",INDEX(Каталог!$M$4:$M$500,$A6)&amp;"")</f>
        <v>Комплект</v>
      </c>
      <c r="H6" s="32">
        <f>IF($A6="","",INDEX(Каталог!$P$4:$P$500,$A6))</f>
        <v>1</v>
      </c>
      <c r="I6" s="5"/>
      <c r="J6" s="5"/>
      <c r="L6" s="30" t="str">
        <f>IFERROR(INDEX(Однолинейка!$H$3:$H$1000,MATCH(3,Однолинейка!$BM$3:$BM$1000,0)),"")</f>
        <v>1P С10А</v>
      </c>
      <c r="M6" s="32">
        <f>IF(L6="","",COUNTIF(Однолинейка!$H$3:$H$1000,L6))</f>
        <v>7</v>
      </c>
    </row>
    <row r="7" spans="1:15" x14ac:dyDescent="0.3">
      <c r="A7" s="29">
        <f>IFERROR(MATCH(ROW()-3,Каталог!$AF$4:$AF$500,0),"")</f>
        <v>39</v>
      </c>
      <c r="B7" s="29" t="str">
        <f t="shared" si="0"/>
        <v>1.4</v>
      </c>
      <c r="C7" s="30" t="str">
        <f>IF($A7="","",INDEX(Каталог!$G$4:$G$500,$A7)&amp;"")</f>
        <v>Панель задняя для корпусов CQE N, ВхШ 1800х800 мм RAM block</v>
      </c>
      <c r="D7" s="33"/>
      <c r="E7" s="31" t="str">
        <f>IF($A7="","",INDEX(Каталог!$H$4:$H$500,$A7)&amp;"")</f>
        <v>R5NCRE1880</v>
      </c>
      <c r="F7" s="32" t="str">
        <f>IF($A7="","",INDEX(Каталог!$B$4:$B$500,$A7)&amp;"")</f>
        <v>DKC</v>
      </c>
      <c r="G7" s="32" t="str">
        <f>IF($A7="","",INDEX(Каталог!$M$4:$M$500,$A7)&amp;"")</f>
        <v>Комплект</v>
      </c>
      <c r="H7" s="32">
        <f>IF($A7="","",INDEX(Каталог!$P$4:$P$500,$A7))</f>
        <v>1</v>
      </c>
      <c r="I7" s="5"/>
      <c r="J7" s="5"/>
      <c r="L7" s="30" t="str">
        <f>IFERROR(INDEX(Однолинейка!$H$3:$H$1000,MATCH(4,Однолинейка!$BM$3:$BM$1000,0)),"")</f>
        <v/>
      </c>
      <c r="M7" s="32" t="str">
        <f>IF(L7="","",COUNTIF(Однолинейка!$H$3:$H$1000,L7))</f>
        <v/>
      </c>
    </row>
    <row r="8" spans="1:15" x14ac:dyDescent="0.3">
      <c r="A8" s="29">
        <f>IFERROR(MATCH(ROW()-3,Каталог!$AF$4:$AF$500,0),"")</f>
        <v>40</v>
      </c>
      <c r="B8" s="29" t="str">
        <f t="shared" si="0"/>
        <v>1.5</v>
      </c>
      <c r="C8" s="30" t="str">
        <f>IF($A8="","",INDEX(Каталог!$G$4:$G$500,$A8)&amp;"")</f>
        <v>Углы цоколя с пластиковыми заглушками для корпусов CQE &amp; CQE N, В=200 мм, RAL9005, комплект - 4 шт. RAM block</v>
      </c>
      <c r="D8" s="33"/>
      <c r="E8" s="31" t="str">
        <f>IF($A8="","",INDEX(Каталог!$H$4:$H$500,$A8)&amp;"")</f>
        <v>R5NBP02B</v>
      </c>
      <c r="F8" s="32" t="str">
        <f>IF($A8="","",INDEX(Каталог!$B$4:$B$500,$A8)&amp;"")</f>
        <v>DKC</v>
      </c>
      <c r="G8" s="32" t="str">
        <f>IF($A8="","",INDEX(Каталог!$M$4:$M$500,$A8)&amp;"")</f>
        <v>Комплект</v>
      </c>
      <c r="H8" s="32">
        <f>IF($A8="","",INDEX(Каталог!$P$4:$P$500,$A8))</f>
        <v>1</v>
      </c>
      <c r="I8" s="5"/>
      <c r="J8" s="5"/>
      <c r="L8" s="30" t="str">
        <f>IFERROR(INDEX(Однолинейка!$H$3:$H$1000,MATCH(5,Однолинейка!$BM$3:$BM$1000,0)),"")</f>
        <v/>
      </c>
      <c r="M8" s="32" t="str">
        <f>IF(L8="","",COUNTIF(Однолинейка!$H$3:$H$1000,L8))</f>
        <v/>
      </c>
    </row>
    <row r="9" spans="1:15" x14ac:dyDescent="0.3">
      <c r="A9" s="29">
        <f>IFERROR(MATCH(ROW()-3,Каталог!$AF$4:$AF$500,0),"")</f>
        <v>41</v>
      </c>
      <c r="B9" s="29" t="str">
        <f t="shared" si="0"/>
        <v>1.6</v>
      </c>
      <c r="C9" s="30" t="str">
        <f>IF($A9="","",INDEX(Каталог!$G$4:$G$500,$A9)&amp;"")</f>
        <v>Панели цоколя для корпусов CQE &amp; CQE N, ШхГ 800 мм, В=200 мм, RAL9005, комплект - 2 шт. RAM block</v>
      </c>
      <c r="D9" s="33"/>
      <c r="E9" s="31" t="str">
        <f>IF($A9="","",INDEX(Каталог!$H$4:$H$500,$A9)&amp;"")</f>
        <v>R5NFPB82</v>
      </c>
      <c r="F9" s="32" t="str">
        <f>IF($A9="","",INDEX(Каталог!$B$4:$B$500,$A9)&amp;"")</f>
        <v>DKC</v>
      </c>
      <c r="G9" s="32" t="str">
        <f>IF($A9="","",INDEX(Каталог!$M$4:$M$500,$A9)&amp;"")</f>
        <v>Комплект</v>
      </c>
      <c r="H9" s="32">
        <f>IF($A9="","",INDEX(Каталог!$P$4:$P$500,$A9))</f>
        <v>1</v>
      </c>
      <c r="I9" s="5"/>
      <c r="J9" s="5"/>
      <c r="L9" s="30" t="str">
        <f>IFERROR(INDEX(Однолинейка!$H$3:$H$1000,MATCH(6,Однолинейка!$BM$3:$BM$1000,0)),"")</f>
        <v/>
      </c>
      <c r="M9" s="32" t="str">
        <f>IF(L9="","",COUNTIF(Однолинейка!$H$3:$H$1000,L9))</f>
        <v/>
      </c>
    </row>
    <row r="10" spans="1:15" x14ac:dyDescent="0.3">
      <c r="A10" s="29">
        <f>IFERROR(MATCH(ROW()-3,Каталог!$AF$4:$AF$500,0),"")</f>
        <v>42</v>
      </c>
      <c r="B10" s="29" t="str">
        <f t="shared" si="0"/>
        <v>1.7</v>
      </c>
      <c r="C10" s="30" t="str">
        <f>IF($A10="","",INDEX(Каталог!$G$4:$G$500,$A10)&amp;"")</f>
        <v>Фиксатор панели цоколя R5NFP, R5NFPB для корпусов CQE &amp; CQE N, комплект - 4 шт. RAM block</v>
      </c>
      <c r="D10" s="33"/>
      <c r="E10" s="31" t="str">
        <f>IF($A10="","",INDEX(Каталог!$H$4:$H$500,$A10)&amp;"")</f>
        <v>R5NKFP02</v>
      </c>
      <c r="F10" s="32" t="str">
        <f>IF($A10="","",INDEX(Каталог!$B$4:$B$500,$A10)&amp;"")</f>
        <v>DKC</v>
      </c>
      <c r="G10" s="32" t="str">
        <f>IF($A10="","",INDEX(Каталог!$M$4:$M$500,$A10)&amp;"")</f>
        <v>Комплект</v>
      </c>
      <c r="H10" s="32">
        <f>IF($A10="","",INDEX(Каталог!$P$4:$P$500,$A10))</f>
        <v>1</v>
      </c>
      <c r="I10" s="5"/>
      <c r="J10" s="5"/>
      <c r="L10" s="30" t="str">
        <f>IFERROR(INDEX(Однолинейка!$H$3:$H$1000,MATCH(7,Однолинейка!$BM$3:$BM$1000,0)),"")</f>
        <v/>
      </c>
      <c r="M10" s="32" t="str">
        <f>IF(L10="","",COUNTIF(Однолинейка!$H$3:$H$1000,L10))</f>
        <v/>
      </c>
    </row>
    <row r="11" spans="1:15" x14ac:dyDescent="0.3">
      <c r="A11" s="29">
        <f>IFERROR(MATCH(ROW()-3,Каталог!$AF$4:$AF$500,0),"")</f>
        <v>43</v>
      </c>
      <c r="B11" s="29" t="str">
        <f t="shared" si="0"/>
        <v>1.8</v>
      </c>
      <c r="C11" s="30" t="str">
        <f>IF($A11="","",INDEX(Каталог!$G$4:$G$500,$A11)&amp;"")</f>
        <v>Рейка широкая поперечная для корпусов CQE &amp; CQE N, Ш=800 мм, упаковка - 4 шт. RAM block</v>
      </c>
      <c r="D11" s="33"/>
      <c r="E11" s="31" t="str">
        <f>IF($A11="","",INDEX(Каталог!$H$4:$H$500,$A11)&amp;"")</f>
        <v>R5NPDF800</v>
      </c>
      <c r="F11" s="32" t="str">
        <f>IF($A11="","",INDEX(Каталог!$B$4:$B$500,$A11)&amp;"")</f>
        <v>DKC</v>
      </c>
      <c r="G11" s="32" t="str">
        <f>IF($A11="","",INDEX(Каталог!$M$4:$M$500,$A11)&amp;"")</f>
        <v>Упаковка</v>
      </c>
      <c r="H11" s="32">
        <f>IF($A11="","",INDEX(Каталог!$P$4:$P$500,$A11))</f>
        <v>3</v>
      </c>
      <c r="I11" s="5"/>
      <c r="J11" s="5"/>
      <c r="L11" s="30" t="str">
        <f>IFERROR(INDEX(Однолинейка!$H$3:$H$1000,MATCH(8,Однолинейка!$BM$3:$BM$1000,0)),"")</f>
        <v/>
      </c>
      <c r="M11" s="32" t="str">
        <f>IF(L11="","",COUNTIF(Однолинейка!$H$3:$H$1000,L11))</f>
        <v/>
      </c>
    </row>
    <row r="12" spans="1:15" x14ac:dyDescent="0.3">
      <c r="A12" s="29">
        <f>IFERROR(MATCH(ROW()-3,Каталог!$AF$4:$AF$500,0),"")</f>
        <v>44</v>
      </c>
      <c r="B12" s="29" t="str">
        <f t="shared" si="0"/>
        <v>1.9</v>
      </c>
      <c r="C12" s="30" t="str">
        <f>IF($A12="","",INDEX(Каталог!$G$4:$G$500,$A12)&amp;"")</f>
        <v>Рейка для фиксации кабеля для корпусов CQE N, Ш=800 мм, упаковка - 2 шт. RAM block</v>
      </c>
      <c r="D12" s="33"/>
      <c r="E12" s="31" t="str">
        <f>IF($A12="","",INDEX(Каталог!$H$4:$H$500,$A12)&amp;"")</f>
        <v>R5NPAC800</v>
      </c>
      <c r="F12" s="32" t="str">
        <f>IF($A12="","",INDEX(Каталог!$B$4:$B$500,$A12)&amp;"")</f>
        <v>DKC</v>
      </c>
      <c r="G12" s="32" t="str">
        <f>IF($A12="","",INDEX(Каталог!$M$4:$M$500,$A12)&amp;"")</f>
        <v>Упаковка</v>
      </c>
      <c r="H12" s="32">
        <f>IF($A12="","",INDEX(Каталог!$P$4:$P$500,$A12))</f>
        <v>1</v>
      </c>
      <c r="I12" s="5"/>
      <c r="J12" s="5"/>
      <c r="L12" s="30" t="str">
        <f>IFERROR(INDEX(Однолинейка!$H$3:$H$1000,MATCH(9,Однолинейка!$BM$3:$BM$1000,0)),"")</f>
        <v/>
      </c>
      <c r="M12" s="32" t="str">
        <f>IF(L12="","",COUNTIF(Однолинейка!$H$3:$H$1000,L12))</f>
        <v/>
      </c>
    </row>
    <row r="13" spans="1:15" x14ac:dyDescent="0.3">
      <c r="A13" s="29">
        <f>IFERROR(MATCH(ROW()-3,Каталог!$AF$4:$AF$500,0),"")</f>
        <v>45</v>
      </c>
      <c r="B13" s="29" t="str">
        <f t="shared" si="0"/>
        <v>1.10</v>
      </c>
      <c r="C13" s="30" t="str">
        <f>IF($A13="","",INDEX(Каталог!$G$4:$G$500,$A13)&amp;"")</f>
        <v>Рейки широкие вертикальные для корпусов CQE N, В=1800 мм, упаковка - 2 шт. RAM block</v>
      </c>
      <c r="D13" s="33"/>
      <c r="E13" s="31" t="str">
        <f>IF($A13="","",INDEX(Каталог!$H$4:$H$500,$A13)&amp;"")</f>
        <v>R5NPDV18</v>
      </c>
      <c r="F13" s="32" t="str">
        <f>IF($A13="","",INDEX(Каталог!$B$4:$B$500,$A13)&amp;"")</f>
        <v>DKC</v>
      </c>
      <c r="G13" s="32" t="str">
        <f>IF($A13="","",INDEX(Каталог!$M$4:$M$500,$A13)&amp;"")</f>
        <v>Комплект</v>
      </c>
      <c r="H13" s="32">
        <f>IF($A13="","",INDEX(Каталог!$P$4:$P$500,$A13))</f>
        <v>1</v>
      </c>
      <c r="I13" s="5"/>
      <c r="J13" s="5"/>
      <c r="L13" s="30" t="str">
        <f>IFERROR(INDEX(Однолинейка!$H$3:$H$1000,MATCH(10,Однолинейка!$BM$3:$BM$1000,0)),"")</f>
        <v/>
      </c>
      <c r="M13" s="32" t="str">
        <f>IF(L13="","",COUNTIF(Однолинейка!$H$3:$H$1000,L13))</f>
        <v/>
      </c>
    </row>
    <row r="14" spans="1:15" x14ac:dyDescent="0.3">
      <c r="A14" s="29">
        <f>IFERROR(MATCH(ROW()-3,Каталог!$AF$4:$AF$500,0),"")</f>
        <v>46</v>
      </c>
      <c r="B14" s="29" t="str">
        <f t="shared" si="0"/>
        <v>1.11</v>
      </c>
      <c r="C14" s="30" t="str">
        <f>IF($A14="","",INDEX(Каталог!$G$4:$G$500,$A14)&amp;"")</f>
        <v>Комплект кабелей заземления CQE RAM block</v>
      </c>
      <c r="D14" s="33"/>
      <c r="E14" s="31" t="str">
        <f>IF($A14="","",INDEX(Каталог!$H$4:$H$500,$A14)&amp;"")</f>
        <v>R5ES01</v>
      </c>
      <c r="F14" s="32" t="str">
        <f>IF($A14="","",INDEX(Каталог!$B$4:$B$500,$A14)&amp;"")</f>
        <v>DKC</v>
      </c>
      <c r="G14" s="32" t="str">
        <f>IF($A14="","",INDEX(Каталог!$M$4:$M$500,$A14)&amp;"")</f>
        <v>Комплект</v>
      </c>
      <c r="H14" s="32">
        <f>IF($A14="","",INDEX(Каталог!$P$4:$P$500,$A14))</f>
        <v>1</v>
      </c>
      <c r="I14" s="5"/>
      <c r="J14" s="5"/>
      <c r="L14" s="30" t="str">
        <f>IFERROR(INDEX(Однолинейка!$H$3:$H$1000,MATCH(11,Однолинейка!$BM$3:$BM$1000,0)),"")</f>
        <v/>
      </c>
      <c r="M14" s="32" t="str">
        <f>IF(L14="","",COUNTIF(Однолинейка!$H$3:$H$1000,L14))</f>
        <v/>
      </c>
    </row>
    <row r="15" spans="1:15" x14ac:dyDescent="0.3">
      <c r="A15" s="29">
        <f>IFERROR(MATCH(ROW()-3,Каталог!$AF$4:$AF$500,0),"")</f>
        <v>47</v>
      </c>
      <c r="B15" s="29" t="str">
        <f t="shared" si="0"/>
        <v>1.12</v>
      </c>
      <c r="C15" s="30" t="str">
        <f>IF($A15="","",INDEX(Каталог!$G$4:$G$500,$A15)&amp;"")</f>
        <v>П-образный профиль для защиты кромок, для дверей и панелей RAM block</v>
      </c>
      <c r="D15" s="33"/>
      <c r="E15" s="31" t="str">
        <f>IF($A15="","",INDEX(Каталог!$H$4:$H$500,$A15)&amp;"")</f>
        <v>R5PP01</v>
      </c>
      <c r="F15" s="32" t="str">
        <f>IF($A15="","",INDEX(Каталог!$B$4:$B$500,$A15)&amp;"")</f>
        <v>DKC</v>
      </c>
      <c r="G15" s="32" t="str">
        <f>IF($A15="","",INDEX(Каталог!$M$4:$M$500,$A15)&amp;"")</f>
        <v>Метр</v>
      </c>
      <c r="H15" s="32">
        <f>IF($A15="","",INDEX(Каталог!$P$4:$P$500,$A15))</f>
        <v>2</v>
      </c>
      <c r="I15" s="5"/>
      <c r="J15" s="5"/>
      <c r="L15" s="30" t="str">
        <f>IFERROR(INDEX(Однолинейка!$H$3:$H$1000,MATCH(12,Однолинейка!$BM$3:$BM$1000,0)),"")</f>
        <v/>
      </c>
      <c r="M15" s="32" t="str">
        <f>IF(L15="","",COUNTIF(Однолинейка!$H$3:$H$1000,L15))</f>
        <v/>
      </c>
    </row>
    <row r="16" spans="1:15" ht="18" customHeight="1" x14ac:dyDescent="0.3">
      <c r="A16" s="29">
        <f>IFERROR(MATCH(ROW()-3,Каталог!$AF$4:$AF$500,0),"")</f>
        <v>48</v>
      </c>
      <c r="B16" s="29" t="str">
        <f t="shared" si="0"/>
        <v>1.13</v>
      </c>
      <c r="C16" s="30" t="str">
        <f>IF($A16="","",INDEX(Каталог!$G$4:$G$500,$A16)&amp;"")</f>
        <v>Концевой выключатель с двумя контактами, нормально открытый + нормально закрытый (NO+NC). С поворотным регулируемым рычажным роликом</v>
      </c>
      <c r="D16" s="33"/>
      <c r="E16" s="31" t="str">
        <f>IF($A16="","",INDEX(Каталог!$H$4:$H$500,$A16)&amp;"")</f>
        <v>R5MC131</v>
      </c>
      <c r="F16" s="32" t="str">
        <f>IF($A16="","",INDEX(Каталог!$B$4:$B$500,$A16)&amp;"")</f>
        <v>DKC</v>
      </c>
      <c r="G16" s="32" t="str">
        <f>IF($A16="","",INDEX(Каталог!$M$4:$M$500,$A16)&amp;"")</f>
        <v>шт.</v>
      </c>
      <c r="H16" s="32">
        <f>IF($A16="","",INDEX(Каталог!$P$4:$P$500,$A16))</f>
        <v>1</v>
      </c>
      <c r="I16" s="5"/>
      <c r="J16" s="5"/>
      <c r="L16" s="30" t="str">
        <f>IFERROR(INDEX(Однолинейка!$H$3:$H$1000,MATCH(13,Однолинейка!$BM$3:$BM$1000,0)),"")</f>
        <v/>
      </c>
      <c r="M16" s="32" t="str">
        <f>IF(L16="","",COUNTIF(Однолинейка!$H$3:$H$1000,L16))</f>
        <v/>
      </c>
    </row>
    <row r="17" spans="1:13" x14ac:dyDescent="0.3">
      <c r="A17" s="29">
        <f>IFERROR(MATCH(ROW()-3,Каталог!$AF$4:$AF$500,0),"")</f>
        <v>49</v>
      </c>
      <c r="B17" s="29" t="str">
        <f t="shared" si="0"/>
        <v>1.14</v>
      </c>
      <c r="C17" s="30" t="str">
        <f>IF($A17="","",INDEX(Каталог!$G$4:$G$500,$A17)&amp;"")</f>
        <v>Светодиодная лента COB-X480-4mm 24V Day4000 (4 W/m, IP20, CSP, 5m) (Arlight, -) 042031</v>
      </c>
      <c r="D17" s="33"/>
      <c r="E17" s="31" t="str">
        <f>IF($A17="","",INDEX(Каталог!$H$4:$H$500,$A17)&amp;"")</f>
        <v>042031</v>
      </c>
      <c r="F17" s="32" t="str">
        <f>IF($A17="","",INDEX(Каталог!$B$4:$B$500,$A17)&amp;"")</f>
        <v>arlight</v>
      </c>
      <c r="G17" s="32" t="str">
        <f>IF($A17="","",INDEX(Каталог!$M$4:$M$500,$A17)&amp;"")</f>
        <v>шт.</v>
      </c>
      <c r="H17" s="32">
        <f>IF($A17="","",INDEX(Каталог!$P$4:$P$500,$A17))</f>
        <v>1</v>
      </c>
      <c r="I17" s="5"/>
      <c r="J17" s="5"/>
      <c r="L17" s="30" t="str">
        <f>IFERROR(INDEX(Однолинейка!$H$3:$H$1000,MATCH(14,Однолинейка!$BM$3:$BM$1000,0)),"")</f>
        <v/>
      </c>
      <c r="M17" s="32" t="str">
        <f>IF(L17="","",COUNTIF(Однолинейка!$H$3:$H$1000,L17))</f>
        <v/>
      </c>
    </row>
    <row r="18" spans="1:13" x14ac:dyDescent="0.3">
      <c r="A18" s="29">
        <f>IFERROR(MATCH(ROW()-3,Каталог!$AF$4:$AF$500,0),"")</f>
        <v>50</v>
      </c>
      <c r="B18" s="29" t="str">
        <f t="shared" si="0"/>
        <v>1.15</v>
      </c>
      <c r="C18" s="30" t="str">
        <f>IF($A18="","",INDEX(Каталог!$G$4:$G$500,$A18)&amp;"")</f>
        <v>Профиль: Arlight MIC-M-2000 ANOD, алюминий, накладной, 2 м</v>
      </c>
      <c r="D18" s="33"/>
      <c r="E18" s="31" t="str">
        <f>IF($A18="","",INDEX(Каталог!$H$4:$H$500,$A18)&amp;"")</f>
        <v>044541</v>
      </c>
      <c r="F18" s="32" t="str">
        <f>IF($A18="","",INDEX(Каталог!$B$4:$B$500,$A18)&amp;"")</f>
        <v>arlight</v>
      </c>
      <c r="G18" s="32" t="str">
        <f>IF($A18="","",INDEX(Каталог!$M$4:$M$500,$A18)&amp;"")</f>
        <v>шт.</v>
      </c>
      <c r="H18" s="32">
        <f>IF($A18="","",INDEX(Каталог!$P$4:$P$500,$A18))</f>
        <v>2</v>
      </c>
      <c r="I18" s="5"/>
      <c r="J18" s="5"/>
      <c r="L18" s="30" t="str">
        <f>IFERROR(INDEX(Однолинейка!$H$3:$H$1000,MATCH(15,Однолинейка!$BM$3:$BM$1000,0)),"")</f>
        <v/>
      </c>
      <c r="M18" s="32" t="str">
        <f>IF(L18="","",COUNTIF(Однолинейка!$H$3:$H$1000,L18))</f>
        <v/>
      </c>
    </row>
    <row r="19" spans="1:13" x14ac:dyDescent="0.3">
      <c r="A19" s="29">
        <f>IFERROR(MATCH(ROW()-3,Каталог!$AF$4:$AF$500,0),"")</f>
        <v>51</v>
      </c>
      <c r="B19" s="29" t="str">
        <f t="shared" si="0"/>
        <v>1.16</v>
      </c>
      <c r="C19" s="30" t="str">
        <f>IF($A19="","",INDEX(Каталог!$G$4:$G$500,$A19)&amp;"")</f>
        <v>Рассеиватель: Arlight Экран матовый для PDS, MIC, 2 м</v>
      </c>
      <c r="D19" s="33"/>
      <c r="E19" s="31" t="str">
        <f>IF($A19="","",INDEX(Каталог!$H$4:$H$500,$A19)&amp;"")</f>
        <v>012037</v>
      </c>
      <c r="F19" s="32" t="str">
        <f>IF($A19="","",INDEX(Каталог!$B$4:$B$500,$A19)&amp;"")</f>
        <v>arlight</v>
      </c>
      <c r="G19" s="32" t="str">
        <f>IF($A19="","",INDEX(Каталог!$M$4:$M$500,$A19)&amp;"")</f>
        <v>шт.</v>
      </c>
      <c r="H19" s="32">
        <f>IF($A19="","",INDEX(Каталог!$P$4:$P$500,$A19))</f>
        <v>2</v>
      </c>
      <c r="I19" s="5"/>
      <c r="J19" s="5"/>
      <c r="L19" s="30" t="str">
        <f>IFERROR(INDEX(Однолинейка!$H$3:$H$1000,MATCH(16,Однолинейка!$BM$3:$BM$1000,0)),"")</f>
        <v/>
      </c>
      <c r="M19" s="32" t="str">
        <f>IF(L19="","",COUNTIF(Однолинейка!$H$3:$H$1000,L19))</f>
        <v/>
      </c>
    </row>
    <row r="20" spans="1:13" x14ac:dyDescent="0.3">
      <c r="A20" s="29">
        <f>IFERROR(MATCH(ROW()-3,Каталог!$AF$4:$AF$500,0),"")</f>
        <v>1</v>
      </c>
      <c r="B20" s="29" t="str">
        <f t="shared" si="0"/>
        <v>1.17</v>
      </c>
      <c r="C20" s="30" t="str">
        <f>IF($A20="","",INDEX(Каталог!$G$4:$G$500,$A20)&amp;"")</f>
        <v>Автоматический выключатель NB1-63 1P 10А 6кА х-ка C (DB)</v>
      </c>
      <c r="D20" s="33"/>
      <c r="E20" s="31" t="str">
        <f>IF($A20="","",INDEX(Каталог!$H$4:$H$500,$A20)&amp;"")</f>
        <v>179614</v>
      </c>
      <c r="F20" s="32" t="str">
        <f>IF($A20="","",INDEX(Каталог!$B$4:$B$500,$A20)&amp;"")</f>
        <v>Chint</v>
      </c>
      <c r="G20" s="32" t="str">
        <f>IF($A20="","",INDEX(Каталог!$M$4:$M$500,$A20)&amp;"")</f>
        <v>шт.</v>
      </c>
      <c r="H20" s="32">
        <f>IF($A20="","",INDEX(Каталог!$P$4:$P$500,$A20))</f>
        <v>7</v>
      </c>
      <c r="I20" s="5"/>
      <c r="J20" s="5"/>
      <c r="L20" s="30" t="str">
        <f>IFERROR(INDEX(Однолинейка!$H$3:$H$1000,MATCH(17,Однолинейка!$BM$3:$BM$1000,0)),"")</f>
        <v/>
      </c>
      <c r="M20" s="32" t="str">
        <f>IF(L20="","",COUNTIF(Однолинейка!$H$3:$H$1000,L20))</f>
        <v/>
      </c>
    </row>
    <row r="21" spans="1:13" x14ac:dyDescent="0.3">
      <c r="A21" s="29">
        <f>IFERROR(MATCH(ROW()-3,Каталог!$AF$4:$AF$500,0),"")</f>
        <v>6</v>
      </c>
      <c r="B21" s="29" t="str">
        <f t="shared" si="0"/>
        <v>1.18</v>
      </c>
      <c r="C21" s="30" t="str">
        <f>IF($A21="","",INDEX(Каталог!$G$4:$G$500,$A21)&amp;"")</f>
        <v>Дифавтомат (АВДТ) NB1L 1P+N C16 30мА тип A 6кА</v>
      </c>
      <c r="D21" s="33"/>
      <c r="E21" s="31" t="str">
        <f>IF($A21="","",INDEX(Каталог!$H$4:$H$500,$A21)&amp;"")</f>
        <v>203019</v>
      </c>
      <c r="F21" s="32" t="str">
        <f>IF($A21="","",INDEX(Каталог!$B$4:$B$500,$A21)&amp;"")</f>
        <v>Chint</v>
      </c>
      <c r="G21" s="32" t="str">
        <f>IF($A21="","",INDEX(Каталог!$M$4:$M$500,$A21)&amp;"")</f>
        <v>шт.</v>
      </c>
      <c r="H21" s="32">
        <f>IF($A21="","",INDEX(Каталог!$P$4:$P$500,$A21))</f>
        <v>27</v>
      </c>
      <c r="I21" s="5"/>
      <c r="J21" s="5"/>
      <c r="L21" s="30" t="str">
        <f>IFERROR(INDEX(Однолинейка!$H$3:$H$1000,MATCH(18,Однолинейка!$BM$3:$BM$1000,0)),"")</f>
        <v/>
      </c>
      <c r="M21" s="32" t="str">
        <f>IF(L21="","",COUNTIF(Однолинейка!$H$3:$H$1000,L21))</f>
        <v/>
      </c>
    </row>
    <row r="22" spans="1:13" x14ac:dyDescent="0.3">
      <c r="A22" s="29">
        <f>IFERROR(MATCH(ROW()-3,Каталог!$AF$4:$AF$500,0),"")</f>
        <v>9</v>
      </c>
      <c r="B22" s="29" t="str">
        <f t="shared" si="0"/>
        <v>1.19</v>
      </c>
      <c r="C22" s="30" t="str">
        <f>IF($A22="","",INDEX(Каталог!$G$4:$G$500,$A22)&amp;"")</f>
        <v>Модуль защиты контактов MK-5-1</v>
      </c>
      <c r="D22" s="33"/>
      <c r="E22" s="31" t="str">
        <f>IF($A22="","",INDEX(Каталог!$H$4:$H$500,$A22)&amp;"")</f>
        <v>EA06.002.001</v>
      </c>
      <c r="F22" s="32" t="str">
        <f>IF($A22="","",INDEX(Каталог!$B$4:$B$500,$A22)&amp;"")</f>
        <v>Россия</v>
      </c>
      <c r="G22" s="32" t="str">
        <f>IF($A22="","",INDEX(Каталог!$M$4:$M$500,$A22)&amp;"")</f>
        <v>шт.</v>
      </c>
      <c r="H22" s="32">
        <f>IF($A22="","",INDEX(Каталог!$P$4:$P$500,$A22))</f>
        <v>4</v>
      </c>
      <c r="I22" s="5"/>
      <c r="J22" s="5"/>
      <c r="L22" s="30" t="str">
        <f>IFERROR(INDEX(Однолинейка!$H$3:$H$1000,MATCH(19,Однолинейка!$BM$3:$BM$1000,0)),"")</f>
        <v/>
      </c>
      <c r="M22" s="32" t="str">
        <f>IF(L22="","",COUNTIF(Однолинейка!$H$3:$H$1000,L22))</f>
        <v/>
      </c>
    </row>
    <row r="23" spans="1:13" x14ac:dyDescent="0.3">
      <c r="A23" s="29">
        <f>IFERROR(MATCH(ROW()-3,Каталог!$AF$4:$AF$500,0),"")</f>
        <v>19</v>
      </c>
      <c r="B23" s="29" t="str">
        <f t="shared" si="0"/>
        <v>1.20</v>
      </c>
      <c r="C23" s="30" t="str">
        <f>IF($A23="","",INDEX(Каталог!$G$4:$G$500,$A23)&amp;"")</f>
        <v>Многофункциональный актуатор KNX</v>
      </c>
      <c r="D23" s="33"/>
      <c r="E23" s="31" t="str">
        <f>IF($A23="","",INDEX(Каталог!$H$4:$H$500,$A23)&amp;"")</f>
        <v>ZIOMB24V2</v>
      </c>
      <c r="F23" s="32" t="str">
        <f>IF($A23="","",INDEX(Каталог!$B$4:$B$500,$A23)&amp;"")</f>
        <v>Zennio</v>
      </c>
      <c r="G23" s="32" t="str">
        <f>IF($A23="","",INDEX(Каталог!$M$4:$M$500,$A23)&amp;"")</f>
        <v>шт.</v>
      </c>
      <c r="H23" s="32">
        <f>IF($A23="","",INDEX(Каталог!$P$4:$P$500,$A23))</f>
        <v>1</v>
      </c>
      <c r="I23" s="5"/>
      <c r="J23" s="5"/>
      <c r="L23" s="30" t="str">
        <f>IFERROR(INDEX(Однолинейка!$H$3:$H$1000,MATCH(20,Однолинейка!$BM$3:$BM$1000,0)),"")</f>
        <v/>
      </c>
      <c r="M23" s="32" t="str">
        <f>IF(L23="","",COUNTIF(Однолинейка!$H$3:$H$1000,L23))</f>
        <v/>
      </c>
    </row>
    <row r="24" spans="1:13" x14ac:dyDescent="0.3">
      <c r="A24" s="29">
        <f>IFERROR(MATCH(ROW()-3,Каталог!$AF$4:$AF$500,0),"")</f>
        <v>52</v>
      </c>
      <c r="B24" s="29" t="str">
        <f t="shared" si="0"/>
        <v>1.21</v>
      </c>
      <c r="C24" s="30" t="str">
        <f>IF($A24="","",INDEX(Каталог!$G$4:$G$500,$A24)&amp;"")</f>
        <v>Шина нулевая в корпусе (4x15)</v>
      </c>
      <c r="D24" s="33"/>
      <c r="E24" s="31" t="str">
        <f>IF($A24="","",INDEX(Каталог!$H$4:$H$500,$A24)&amp;"")</f>
        <v>sn0-4x15</v>
      </c>
      <c r="F24" s="32" t="str">
        <f>IF($A24="","",INDEX(Каталог!$B$4:$B$500,$A24)&amp;"")</f>
        <v>EKF</v>
      </c>
      <c r="G24" s="32" t="str">
        <f>IF($A24="","",INDEX(Каталог!$M$4:$M$500,$A24)&amp;"")</f>
        <v>шт.</v>
      </c>
      <c r="H24" s="32">
        <f>IF($A24="","",INDEX(Каталог!$P$4:$P$500,$A24))</f>
        <v>1</v>
      </c>
      <c r="I24" s="5"/>
      <c r="J24" s="5"/>
      <c r="L24" s="30" t="s">
        <v>1017</v>
      </c>
      <c r="M24" s="32">
        <f>COUNTIF(Однолинейка!$H$3:$H$1000,"?*")</f>
        <v>35</v>
      </c>
    </row>
    <row r="25" spans="1:13" x14ac:dyDescent="0.3">
      <c r="A25" s="29">
        <f>IFERROR(MATCH(ROW()-3,Каталог!$AF$4:$AF$500,0),"")</f>
        <v>53</v>
      </c>
      <c r="B25" s="29" t="str">
        <f t="shared" si="0"/>
        <v>1.22</v>
      </c>
      <c r="C25" s="30" t="str">
        <f>IF($A25="","",INDEX(Каталог!$G$4:$G$500,$A25)&amp;"")</f>
        <v>Шина нулевая в корпусе (4x7)</v>
      </c>
      <c r="D25" s="33"/>
      <c r="E25" s="31" t="str">
        <f>IF($A25="","",INDEX(Каталог!$H$4:$H$500,$A25)&amp;"")</f>
        <v>sn0-4x7</v>
      </c>
      <c r="F25" s="32" t="str">
        <f>IF($A25="","",INDEX(Каталог!$B$4:$B$500,$A25)&amp;"")</f>
        <v>EKF</v>
      </c>
      <c r="G25" s="32" t="str">
        <f>IF($A25="","",INDEX(Каталог!$M$4:$M$500,$A25)&amp;"")</f>
        <v>шт.</v>
      </c>
      <c r="H25" s="32">
        <f>IF($A25="","",INDEX(Каталог!$P$4:$P$500,$A25))</f>
        <v>2</v>
      </c>
      <c r="I25" s="5"/>
      <c r="J25" s="5"/>
    </row>
    <row r="26" spans="1:13" ht="28.8" x14ac:dyDescent="0.3">
      <c r="A26" s="29">
        <f>IFERROR(MATCH(ROW()-3,Каталог!$AF$4:$AF$500,0),"")</f>
        <v>30</v>
      </c>
      <c r="B26" s="29" t="str">
        <f t="shared" si="0"/>
        <v>1.23</v>
      </c>
      <c r="C26" s="30" t="str">
        <f>IF($A26="","",INDEX(Каталог!$G$4:$G$500,$A26)&amp;"")</f>
        <v>Клемма трёхуровневая push-in, 6 точек, 2.5 кв.мм</v>
      </c>
      <c r="D26" s="33"/>
      <c r="E26" s="31" t="str">
        <f>IF($A26="","",INDEX(Каталог!$H$4:$H$500,$A26)&amp;"")</f>
        <v>VPR-2.5-3L-GY</v>
      </c>
      <c r="F26" s="32" t="str">
        <f>IF($A26="","",INDEX(Каталог!$B$4:$B$500,$A26)&amp;"")</f>
        <v>DKC</v>
      </c>
      <c r="G26" s="32" t="str">
        <f>IF($A26="","",INDEX(Каталог!$M$4:$M$500,$A26)&amp;"")</f>
        <v>шт.</v>
      </c>
      <c r="H26" s="32">
        <f>IF($A26="","",INDEX(Каталог!$P$4:$P$500,$A26))</f>
        <v>52</v>
      </c>
      <c r="I26" s="5"/>
      <c r="J26" s="5"/>
      <c r="L26" s="1" t="s">
        <v>1018</v>
      </c>
    </row>
    <row r="27" spans="1:13" x14ac:dyDescent="0.3">
      <c r="A27" s="29">
        <f>IFERROR(MATCH(ROW()-3,Каталог!$AF$4:$AF$500,0),"")</f>
        <v>31</v>
      </c>
      <c r="B27" s="29" t="str">
        <f t="shared" si="0"/>
        <v>1.24</v>
      </c>
      <c r="C27" s="30" t="str">
        <f>IF($A27="","",INDEX(Каталог!$G$4:$G$500,$A27)&amp;"")</f>
        <v>Клемма проходная push-in, 4 точки, 2.5 кв.мм, серая</v>
      </c>
      <c r="D27" s="33"/>
      <c r="E27" s="31" t="str">
        <f>IF($A27="","",INDEX(Каталог!$H$4:$H$500,$A27)&amp;"")</f>
        <v>VPR-2.5-QUATTRO-GY</v>
      </c>
      <c r="F27" s="32" t="str">
        <f>IF($A27="","",INDEX(Каталог!$B$4:$B$500,$A27)&amp;"")</f>
        <v>DKC</v>
      </c>
      <c r="G27" s="32" t="str">
        <f>IF($A27="","",INDEX(Каталог!$M$4:$M$500,$A27)&amp;"")</f>
        <v>шт.</v>
      </c>
      <c r="H27" s="32">
        <f>IF($A27="","",INDEX(Каталог!$P$4:$P$500,$A27))</f>
        <v>24</v>
      </c>
      <c r="I27" s="5"/>
      <c r="J27" s="5"/>
      <c r="L27" s="30" t="str">
        <f>IFERROR(INDEX(Однолинейка!$I$3:$I$1000,MATCH(1,Однолинейка!$BN$3:$BN$1000,0)),IFERROR(INDEX(Однолинейка!$J$3:$J$1000,MATCH(1,Однолинейка!$BO$3:$BO$1000,0)),IFERROR(INDEX(Однолинейка!$K$3:$K$1000,MATCH(1,Однолинейка!$BP$3:$BP$1000,0)),"")))</f>
        <v>МК-5-1</v>
      </c>
      <c r="M27" s="32">
        <f>IF(L27="","",COUNTIF(Однолинейка!$I$3:$I$1000,L27)+COUNTIF(Однолинейка!$J$3:$J$1000,L27)+COUNTIF(Однолинейка!$K$3:$K$1000,L27))</f>
        <v>4</v>
      </c>
    </row>
    <row r="28" spans="1:13" x14ac:dyDescent="0.3">
      <c r="A28" s="29">
        <f>IFERROR(MATCH(ROW()-3,Каталог!$AF$4:$AF$500,0),"")</f>
        <v>32</v>
      </c>
      <c r="B28" s="29" t="str">
        <f t="shared" si="0"/>
        <v>1.25</v>
      </c>
      <c r="C28" s="30" t="str">
        <f>IF($A28="","",INDEX(Каталог!$G$4:$G$500,$A28)&amp;"")</f>
        <v>Изолятор торцевой для клеммы VPR-2.5-3L</v>
      </c>
      <c r="D28" s="33"/>
      <c r="E28" s="31" t="str">
        <f>IF($A28="","",INDEX(Каталог!$H$4:$H$500,$A28)&amp;"")</f>
        <v>D-VPR-2.5-3L</v>
      </c>
      <c r="F28" s="32" t="str">
        <f>IF($A28="","",INDEX(Каталог!$B$4:$B$500,$A28)&amp;"")</f>
        <v>DKC</v>
      </c>
      <c r="G28" s="32" t="str">
        <f>IF($A28="","",INDEX(Каталог!$M$4:$M$500,$A28)&amp;"")</f>
        <v>шт.</v>
      </c>
      <c r="H28" s="32">
        <f>IF($A28="","",INDEX(Каталог!$P$4:$P$500,$A28))</f>
        <v>15</v>
      </c>
      <c r="I28" s="5"/>
      <c r="J28" s="5"/>
      <c r="L28" s="30" t="str">
        <f>IFERROR(INDEX(Однолинейка!$I$3:$I$1000,MATCH(2,Однолинейка!$BN$3:$BN$1000,0)),IFERROR(INDEX(Однолинейка!$J$3:$J$1000,MATCH(2,Однолинейка!$BO$3:$BO$1000,0)),IFERROR(INDEX(Однолинейка!$K$3:$K$1000,MATCH(2,Однолинейка!$BP$3:$BP$1000,0)),"")))</f>
        <v/>
      </c>
      <c r="M28" s="32" t="str">
        <f>IF(L28="","",COUNTIF(Однолинейка!$I$3:$I$1000,L28)+COUNTIF(Однолинейка!$J$3:$J$1000,L28)+COUNTIF(Однолинейка!$K$3:$K$1000,L28))</f>
        <v/>
      </c>
    </row>
    <row r="29" spans="1:13" x14ac:dyDescent="0.3">
      <c r="A29" s="29">
        <f>IFERROR(MATCH(ROW()-3,Каталог!$AF$4:$AF$500,0),"")</f>
        <v>33</v>
      </c>
      <c r="B29" s="29" t="str">
        <f t="shared" si="0"/>
        <v>1.26</v>
      </c>
      <c r="C29" s="30" t="str">
        <f>IF($A29="","",INDEX(Каталог!$G$4:$G$500,$A29)&amp;"")</f>
        <v>Клемма проходная push-in, 2 точки, 4 кв.мм, серая</v>
      </c>
      <c r="D29" s="33"/>
      <c r="E29" s="31" t="str">
        <f>IF($A29="","",INDEX(Каталог!$H$4:$H$500,$A29)&amp;"")</f>
        <v>VPR-4-GY</v>
      </c>
      <c r="F29" s="32" t="str">
        <f>IF($A29="","",INDEX(Каталог!$B$4:$B$500,$A29)&amp;"")</f>
        <v>DKC</v>
      </c>
      <c r="G29" s="32" t="str">
        <f>IF($A29="","",INDEX(Каталог!$M$4:$M$500,$A29)&amp;"")</f>
        <v>шт.</v>
      </c>
      <c r="H29" s="32">
        <f>IF($A29="","",INDEX(Каталог!$P$4:$P$500,$A29))</f>
        <v>8</v>
      </c>
      <c r="I29" s="5"/>
      <c r="J29" s="5"/>
      <c r="L29" s="30" t="str">
        <f>IFERROR(INDEX(Однолинейка!$I$3:$I$1000,MATCH(3,Однолинейка!$BN$3:$BN$1000,0)),IFERROR(INDEX(Однолинейка!$J$3:$J$1000,MATCH(3,Однолинейка!$BO$3:$BO$1000,0)),IFERROR(INDEX(Однолинейка!$K$3:$K$1000,MATCH(3,Однолинейка!$BP$3:$BP$1000,0)),"")))</f>
        <v/>
      </c>
      <c r="M29" s="32" t="str">
        <f>IF(L29="","",COUNTIF(Однолинейка!$I$3:$I$1000,L29)+COUNTIF(Однолинейка!$J$3:$J$1000,L29)+COUNTIF(Однолинейка!$K$3:$K$1000,L29))</f>
        <v/>
      </c>
    </row>
    <row r="30" spans="1:13" x14ac:dyDescent="0.3">
      <c r="A30" s="29">
        <f>IFERROR(MATCH(ROW()-3,Каталог!$AF$4:$AF$500,0),"")</f>
        <v>34</v>
      </c>
      <c r="B30" s="29" t="str">
        <f t="shared" si="0"/>
        <v>1.27</v>
      </c>
      <c r="C30" s="30" t="str">
        <f>IF($A30="","",INDEX(Каталог!$G$4:$G$500,$A30)&amp;"")</f>
        <v>Клемма проходная push-in, 2 точки, 6 кв.мм, серая</v>
      </c>
      <c r="D30" s="33"/>
      <c r="E30" s="31" t="str">
        <f>IF($A30="","",INDEX(Каталог!$H$4:$H$500,$A30)&amp;"")</f>
        <v>VPR-6-GY</v>
      </c>
      <c r="F30" s="32" t="str">
        <f>IF($A30="","",INDEX(Каталог!$B$4:$B$500,$A30)&amp;"")</f>
        <v>DKC</v>
      </c>
      <c r="G30" s="32" t="str">
        <f>IF($A30="","",INDEX(Каталог!$M$4:$M$500,$A30)&amp;"")</f>
        <v>шт.</v>
      </c>
      <c r="H30" s="32">
        <f>IF($A30="","",INDEX(Каталог!$P$4:$P$500,$A30))</f>
        <v>6</v>
      </c>
      <c r="I30" s="5"/>
      <c r="J30" s="5"/>
      <c r="L30" s="30" t="str">
        <f>IFERROR(INDEX(Однолинейка!$I$3:$I$1000,MATCH(4,Однолинейка!$BN$3:$BN$1000,0)),IFERROR(INDEX(Однолинейка!$J$3:$J$1000,MATCH(4,Однолинейка!$BO$3:$BO$1000,0)),IFERROR(INDEX(Однолинейка!$K$3:$K$1000,MATCH(4,Однолинейка!$BP$3:$BP$1000,0)),"")))</f>
        <v/>
      </c>
      <c r="M30" s="32" t="str">
        <f>IF(L30="","",COUNTIF(Однолинейка!$I$3:$I$1000,L30)+COUNTIF(Однолинейка!$J$3:$J$1000,L30)+COUNTIF(Однолинейка!$K$3:$K$1000,L30))</f>
        <v/>
      </c>
    </row>
    <row r="31" spans="1:13" x14ac:dyDescent="0.3">
      <c r="A31" s="29">
        <f>IFERROR(MATCH(ROW()-3,Каталог!$AF$4:$AF$500,0),"")</f>
        <v>35</v>
      </c>
      <c r="B31" s="29" t="str">
        <f t="shared" si="0"/>
        <v>1.28</v>
      </c>
      <c r="C31" s="30" t="str">
        <f>IF($A31="","",INDEX(Каталог!$G$4:$G$500,$A31)&amp;"")</f>
        <v>Клемма проходная push-in, 2 точки, 16 кв.мм, серая</v>
      </c>
      <c r="D31" s="33"/>
      <c r="E31" s="31" t="str">
        <f>IF($A31="","",INDEX(Каталог!$H$4:$H$500,$A31)&amp;"")</f>
        <v>VPR-16-GY</v>
      </c>
      <c r="F31" s="32" t="str">
        <f>IF($A31="","",INDEX(Каталог!$B$4:$B$500,$A31)&amp;"")</f>
        <v>DKC</v>
      </c>
      <c r="G31" s="32" t="str">
        <f>IF($A31="","",INDEX(Каталог!$M$4:$M$500,$A31)&amp;"")</f>
        <v>шт.</v>
      </c>
      <c r="H31" s="32">
        <f>IF($A31="","",INDEX(Каталог!$P$4:$P$500,$A31))</f>
        <v>1</v>
      </c>
      <c r="I31" s="5"/>
      <c r="J31" s="5"/>
      <c r="L31" s="30" t="str">
        <f>IFERROR(INDEX(Однолинейка!$I$3:$I$1000,MATCH(5,Однолинейка!$BN$3:$BN$1000,0)),IFERROR(INDEX(Однолинейка!$J$3:$J$1000,MATCH(5,Однолинейка!$BO$3:$BO$1000,0)),IFERROR(INDEX(Однолинейка!$K$3:$K$1000,MATCH(5,Однолинейка!$BP$3:$BP$1000,0)),"")))</f>
        <v/>
      </c>
      <c r="M31" s="32" t="str">
        <f>IF(L31="","",COUNTIF(Однолинейка!$I$3:$I$1000,L31)+COUNTIF(Однолинейка!$J$3:$J$1000,L31)+COUNTIF(Однолинейка!$K$3:$K$1000,L31))</f>
        <v/>
      </c>
    </row>
    <row r="32" spans="1:13" x14ac:dyDescent="0.3">
      <c r="A32" s="29">
        <f>IFERROR(MATCH(ROW()-3,Каталог!$AF$4:$AF$500,0),"")</f>
        <v>54</v>
      </c>
      <c r="B32" s="29" t="str">
        <f t="shared" si="0"/>
        <v>1.29</v>
      </c>
      <c r="C32" s="30" t="str">
        <f>IF($A32="","",INDEX(Каталог!$G$4:$G$500,$A32)&amp;"")</f>
        <v>Клемма проходная, зажим push-in, 2 точки подключения, 4 кв.мм, синяя</v>
      </c>
      <c r="D32" s="33"/>
      <c r="E32" s="31" t="str">
        <f>IF($A32="","",INDEX(Каталог!$H$4:$H$500,$A32)&amp;"")</f>
        <v>VPR-4-BU</v>
      </c>
      <c r="F32" s="32" t="str">
        <f>IF($A32="","",INDEX(Каталог!$B$4:$B$500,$A32)&amp;"")</f>
        <v>DKC</v>
      </c>
      <c r="G32" s="32" t="str">
        <f>IF($A32="","",INDEX(Каталог!$M$4:$M$500,$A32)&amp;"")</f>
        <v>шт.</v>
      </c>
      <c r="H32" s="32">
        <f>IF($A32="","",INDEX(Каталог!$P$4:$P$500,$A32))</f>
        <v>5</v>
      </c>
      <c r="I32" s="5"/>
      <c r="J32" s="5"/>
      <c r="L32" s="30" t="str">
        <f>IFERROR(INDEX(Однолинейка!$I$3:$I$1000,MATCH(6,Однолинейка!$BN$3:$BN$1000,0)),IFERROR(INDEX(Однолинейка!$J$3:$J$1000,MATCH(6,Однолинейка!$BO$3:$BO$1000,0)),IFERROR(INDEX(Однолинейка!$K$3:$K$1000,MATCH(6,Однолинейка!$BP$3:$BP$1000,0)),"")))</f>
        <v/>
      </c>
      <c r="M32" s="32" t="str">
        <f>IF(L32="","",COUNTIF(Однолинейка!$I$3:$I$1000,L32)+COUNTIF(Однолинейка!$J$3:$J$1000,L32)+COUNTIF(Однолинейка!$K$3:$K$1000,L32))</f>
        <v/>
      </c>
    </row>
    <row r="33" spans="1:13" x14ac:dyDescent="0.3">
      <c r="A33" s="29">
        <f>IFERROR(MATCH(ROW()-3,Каталог!$AF$4:$AF$500,0),"")</f>
        <v>55</v>
      </c>
      <c r="B33" s="29" t="str">
        <f t="shared" si="0"/>
        <v>1.30</v>
      </c>
      <c r="C33" s="30" t="str">
        <f>IF($A33="","",INDEX(Каталог!$G$4:$G$500,$A33)&amp;"")</f>
        <v>Клемма заземления, зажим push-in, 2 точки подключения, 4 кв.мм</v>
      </c>
      <c r="D33" s="33"/>
      <c r="E33" s="31" t="str">
        <f>IF($A33="","",INDEX(Каталог!$H$4:$H$500,$A33)&amp;"")</f>
        <v>VPR-4-PE-YG</v>
      </c>
      <c r="F33" s="32" t="str">
        <f>IF($A33="","",INDEX(Каталог!$B$4:$B$500,$A33)&amp;"")</f>
        <v>DKC</v>
      </c>
      <c r="G33" s="32" t="str">
        <f>IF($A33="","",INDEX(Каталог!$M$4:$M$500,$A33)&amp;"")</f>
        <v>шт.</v>
      </c>
      <c r="H33" s="32">
        <f>IF($A33="","",INDEX(Каталог!$P$4:$P$500,$A33))</f>
        <v>5</v>
      </c>
      <c r="I33" s="5"/>
      <c r="J33" s="5"/>
      <c r="L33" s="30" t="str">
        <f>IFERROR(INDEX(Однолинейка!$I$3:$I$1000,MATCH(7,Однолинейка!$BN$3:$BN$1000,0)),IFERROR(INDEX(Однолинейка!$J$3:$J$1000,MATCH(7,Однолинейка!$BO$3:$BO$1000,0)),IFERROR(INDEX(Однолинейка!$K$3:$K$1000,MATCH(7,Однолинейка!$BP$3:$BP$1000,0)),"")))</f>
        <v/>
      </c>
      <c r="M33" s="32" t="str">
        <f>IF(L33="","",COUNTIF(Однолинейка!$I$3:$I$1000,L33)+COUNTIF(Однолинейка!$J$3:$J$1000,L33)+COUNTIF(Однолинейка!$K$3:$K$1000,L33))</f>
        <v/>
      </c>
    </row>
    <row r="34" spans="1:13" x14ac:dyDescent="0.3">
      <c r="A34" s="29">
        <f>IFERROR(MATCH(ROW()-3,Каталог!$AF$4:$AF$500,0),"")</f>
        <v>56</v>
      </c>
      <c r="B34" s="29" t="str">
        <f t="shared" si="0"/>
        <v>1.31</v>
      </c>
      <c r="C34" s="30" t="str">
        <f>IF($A34="","",INDEX(Каталог!$G$4:$G$500,$A34)&amp;"")</f>
        <v>Изолятор торцевой для клеммы VPR-4</v>
      </c>
      <c r="D34" s="33"/>
      <c r="E34" s="31" t="str">
        <f>IF($A34="","",INDEX(Каталог!$H$4:$H$500,$A34)&amp;"")</f>
        <v>D-VPR-4</v>
      </c>
      <c r="F34" s="32" t="str">
        <f>IF($A34="","",INDEX(Каталог!$B$4:$B$500,$A34)&amp;"")</f>
        <v>DKC</v>
      </c>
      <c r="G34" s="32" t="str">
        <f>IF($A34="","",INDEX(Каталог!$M$4:$M$500,$A34)&amp;"")</f>
        <v>шт.</v>
      </c>
      <c r="H34" s="32">
        <f>IF($A34="","",INDEX(Каталог!$P$4:$P$500,$A34))</f>
        <v>5</v>
      </c>
      <c r="I34" s="5"/>
      <c r="J34" s="5"/>
      <c r="L34" s="30" t="str">
        <f>IFERROR(INDEX(Однолинейка!$I$3:$I$1000,MATCH(8,Однолинейка!$BN$3:$BN$1000,0)),IFERROR(INDEX(Однолинейка!$J$3:$J$1000,MATCH(8,Однолинейка!$BO$3:$BO$1000,0)),IFERROR(INDEX(Однолинейка!$K$3:$K$1000,MATCH(8,Однолинейка!$BP$3:$BP$1000,0)),"")))</f>
        <v/>
      </c>
      <c r="M34" s="32" t="str">
        <f>IF(L34="","",COUNTIF(Однолинейка!$I$3:$I$1000,L34)+COUNTIF(Однолинейка!$J$3:$J$1000,L34)+COUNTIF(Однолинейка!$K$3:$K$1000,L34))</f>
        <v/>
      </c>
    </row>
    <row r="35" spans="1:13" x14ac:dyDescent="0.3">
      <c r="A35" s="29">
        <f>IFERROR(MATCH(ROW()-3,Каталог!$AF$4:$AF$500,0),"")</f>
        <v>57</v>
      </c>
      <c r="B35" s="29" t="str">
        <f t="shared" si="0"/>
        <v>1.32</v>
      </c>
      <c r="C35" s="30" t="str">
        <f>IF($A35="","",INDEX(Каталог!$G$4:$G$500,$A35)&amp;"")</f>
        <v>Клемма проходная, зажим push-in, 2 точки подключения, 6 кв.мм, синяя</v>
      </c>
      <c r="D35" s="33"/>
      <c r="E35" s="31" t="str">
        <f>IF($A35="","",INDEX(Каталог!$H$4:$H$500,$A35)&amp;"")</f>
        <v>VPR-6-BU</v>
      </c>
      <c r="F35" s="32" t="str">
        <f>IF($A35="","",INDEX(Каталог!$B$4:$B$500,$A35)&amp;"")</f>
        <v>DKC</v>
      </c>
      <c r="G35" s="32" t="str">
        <f>IF($A35="","",INDEX(Каталог!$M$4:$M$500,$A35)&amp;"")</f>
        <v>шт.</v>
      </c>
      <c r="H35" s="32">
        <f>IF($A35="","",INDEX(Каталог!$P$4:$P$500,$A35))</f>
        <v>6</v>
      </c>
      <c r="I35" s="5"/>
      <c r="J35" s="5"/>
      <c r="L35" s="30" t="str">
        <f>IFERROR(INDEX(Однолинейка!$I$3:$I$1000,MATCH(9,Однолинейка!$BN$3:$BN$1000,0)),IFERROR(INDEX(Однолинейка!$J$3:$J$1000,MATCH(9,Однолинейка!$BO$3:$BO$1000,0)),IFERROR(INDEX(Однолинейка!$K$3:$K$1000,MATCH(9,Однолинейка!$BP$3:$BP$1000,0)),"")))</f>
        <v/>
      </c>
      <c r="M35" s="32" t="str">
        <f>IF(L35="","",COUNTIF(Однолинейка!$I$3:$I$1000,L35)+COUNTIF(Однолинейка!$J$3:$J$1000,L35)+COUNTIF(Однолинейка!$K$3:$K$1000,L35))</f>
        <v/>
      </c>
    </row>
    <row r="36" spans="1:13" x14ac:dyDescent="0.3">
      <c r="A36" s="29">
        <f>IFERROR(MATCH(ROW()-3,Каталог!$AF$4:$AF$500,0),"")</f>
        <v>58</v>
      </c>
      <c r="B36" s="29" t="str">
        <f t="shared" ref="B36:B67" si="1">IF($A36="","",$B$3&amp;"."&amp;(ROW()-3))</f>
        <v>1.33</v>
      </c>
      <c r="C36" s="30" t="str">
        <f>IF($A36="","",INDEX(Каталог!$G$4:$G$500,$A36)&amp;"")</f>
        <v>Клемма заземления, зажим push-in, 2 точки подключения, 6 кв.мм</v>
      </c>
      <c r="D36" s="33"/>
      <c r="E36" s="31" t="str">
        <f>IF($A36="","",INDEX(Каталог!$H$4:$H$500,$A36)&amp;"")</f>
        <v>VPR-6-PE-YG</v>
      </c>
      <c r="F36" s="32" t="str">
        <f>IF($A36="","",INDEX(Каталог!$B$4:$B$500,$A36)&amp;"")</f>
        <v>DKC</v>
      </c>
      <c r="G36" s="32" t="str">
        <f>IF($A36="","",INDEX(Каталог!$M$4:$M$500,$A36)&amp;"")</f>
        <v>шт.</v>
      </c>
      <c r="H36" s="32">
        <f>IF($A36="","",INDEX(Каталог!$P$4:$P$500,$A36))</f>
        <v>6</v>
      </c>
      <c r="I36" s="5"/>
      <c r="J36" s="5"/>
      <c r="L36" s="30" t="str">
        <f>IFERROR(INDEX(Однолинейка!$I$3:$I$1000,MATCH(10,Однолинейка!$BN$3:$BN$1000,0)),IFERROR(INDEX(Однолинейка!$J$3:$J$1000,MATCH(10,Однолинейка!$BO$3:$BO$1000,0)),IFERROR(INDEX(Однолинейка!$K$3:$K$1000,MATCH(10,Однолинейка!$BP$3:$BP$1000,0)),"")))</f>
        <v/>
      </c>
      <c r="M36" s="32" t="str">
        <f>IF(L36="","",COUNTIF(Однолинейка!$I$3:$I$1000,L36)+COUNTIF(Однолинейка!$J$3:$J$1000,L36)+COUNTIF(Однолинейка!$K$3:$K$1000,L36))</f>
        <v/>
      </c>
    </row>
    <row r="37" spans="1:13" x14ac:dyDescent="0.3">
      <c r="A37" s="29">
        <f>IFERROR(MATCH(ROW()-3,Каталог!$AF$4:$AF$500,0),"")</f>
        <v>59</v>
      </c>
      <c r="B37" s="29" t="str">
        <f t="shared" si="1"/>
        <v>1.34</v>
      </c>
      <c r="C37" s="30" t="str">
        <f>IF($A37="","",INDEX(Каталог!$G$4:$G$500,$A37)&amp;"")</f>
        <v>Изолятор торцевой для клеммы VPR-6</v>
      </c>
      <c r="D37" s="33"/>
      <c r="E37" s="31" t="str">
        <f>IF($A37="","",INDEX(Каталог!$H$4:$H$500,$A37)&amp;"")</f>
        <v>D-VPR-6</v>
      </c>
      <c r="F37" s="32" t="str">
        <f>IF($A37="","",INDEX(Каталог!$B$4:$B$500,$A37)&amp;"")</f>
        <v>DKC</v>
      </c>
      <c r="G37" s="32" t="str">
        <f>IF($A37="","",INDEX(Каталог!$M$4:$M$500,$A37)&amp;"")</f>
        <v>шт.</v>
      </c>
      <c r="H37" s="32">
        <f>IF($A37="","",INDEX(Каталог!$P$4:$P$500,$A37))</f>
        <v>6</v>
      </c>
      <c r="I37" s="5"/>
      <c r="J37" s="5"/>
    </row>
    <row r="38" spans="1:13" x14ac:dyDescent="0.3">
      <c r="A38" s="29">
        <f>IFERROR(MATCH(ROW()-3,Каталог!$AF$4:$AF$500,0),"")</f>
        <v>60</v>
      </c>
      <c r="B38" s="29" t="str">
        <f t="shared" si="1"/>
        <v>1.35</v>
      </c>
      <c r="C38" s="30" t="str">
        <f>IF($A38="","",INDEX(Каталог!$G$4:$G$500,$A38)&amp;"")</f>
        <v>Клемма проходная, зажим push-in, 2 точки подключения, 16 кв.мм, синяя</v>
      </c>
      <c r="D38" s="33"/>
      <c r="E38" s="31" t="str">
        <f>IF($A38="","",INDEX(Каталог!$H$4:$H$500,$A38)&amp;"")</f>
        <v>VPR-16-BU</v>
      </c>
      <c r="F38" s="32" t="str">
        <f>IF($A38="","",INDEX(Каталог!$B$4:$B$500,$A38)&amp;"")</f>
        <v>DKC</v>
      </c>
      <c r="G38" s="32" t="str">
        <f>IF($A38="","",INDEX(Каталог!$M$4:$M$500,$A38)&amp;"")</f>
        <v>шт.</v>
      </c>
      <c r="H38" s="32">
        <f>IF($A38="","",INDEX(Каталог!$P$4:$P$500,$A38))</f>
        <v>1</v>
      </c>
      <c r="I38" s="5"/>
      <c r="J38" s="5"/>
      <c r="L38" s="1" t="s">
        <v>1019</v>
      </c>
    </row>
    <row r="39" spans="1:13" x14ac:dyDescent="0.3">
      <c r="A39" s="29">
        <f>IFERROR(MATCH(ROW()-3,Каталог!$AF$4:$AF$500,0),"")</f>
        <v>61</v>
      </c>
      <c r="B39" s="29" t="str">
        <f t="shared" si="1"/>
        <v>1.36</v>
      </c>
      <c r="C39" s="30" t="str">
        <f>IF($A39="","",INDEX(Каталог!$G$4:$G$500,$A39)&amp;"")</f>
        <v>Клемма заземления, зажим push-in, 2 точки подключения, 16 кв.мм</v>
      </c>
      <c r="D39" s="33"/>
      <c r="E39" s="31" t="str">
        <f>IF($A39="","",INDEX(Каталог!$H$4:$H$500,$A39)&amp;"")</f>
        <v>VPR-16-PE-YG</v>
      </c>
      <c r="F39" s="32" t="str">
        <f>IF($A39="","",INDEX(Каталог!$B$4:$B$500,$A39)&amp;"")</f>
        <v>DKC</v>
      </c>
      <c r="G39" s="32" t="str">
        <f>IF($A39="","",INDEX(Каталог!$M$4:$M$500,$A39)&amp;"")</f>
        <v>шт.</v>
      </c>
      <c r="H39" s="32">
        <f>IF($A39="","",INDEX(Каталог!$P$4:$P$500,$A39))</f>
        <v>1</v>
      </c>
      <c r="I39" s="5"/>
      <c r="J39" s="5"/>
      <c r="L39" s="30" t="str">
        <f>IFERROR(INDEX(Однолинейка!$AI$3:$AI$1000,MATCH(1,Однолинейка!$BT$3:$BT$1000,0)),"")</f>
        <v>ZIOMB24V2</v>
      </c>
      <c r="M39" s="32">
        <f>IF(L39="","",COUNTIFS(Однолинейка!$AW$3:$AW$1000,"?*",Однолинейка!$AI$3:$AI$1000,L39))</f>
        <v>1</v>
      </c>
    </row>
    <row r="40" spans="1:13" x14ac:dyDescent="0.3">
      <c r="A40" s="29">
        <f>IFERROR(MATCH(ROW()-3,Каталог!$AF$4:$AF$500,0),"")</f>
        <v>62</v>
      </c>
      <c r="B40" s="29" t="str">
        <f t="shared" si="1"/>
        <v>1.37</v>
      </c>
      <c r="C40" s="30" t="str">
        <f>IF($A40="","",INDEX(Каталог!$G$4:$G$500,$A40)&amp;"")</f>
        <v>Изолятор торцевой для клемм VPR-16</v>
      </c>
      <c r="D40" s="33"/>
      <c r="E40" s="31" t="str">
        <f>IF($A40="","",INDEX(Каталог!$H$4:$H$500,$A40)&amp;"")</f>
        <v>D-VPR-16</v>
      </c>
      <c r="F40" s="32" t="str">
        <f>IF($A40="","",INDEX(Каталог!$B$4:$B$500,$A40)&amp;"")</f>
        <v>DKC</v>
      </c>
      <c r="G40" s="32" t="str">
        <f>IF($A40="","",INDEX(Каталог!$M$4:$M$500,$A40)&amp;"")</f>
        <v>шт.</v>
      </c>
      <c r="H40" s="32">
        <f>IF($A40="","",INDEX(Каталог!$P$4:$P$500,$A40))</f>
        <v>1</v>
      </c>
      <c r="I40" s="5"/>
      <c r="J40" s="5"/>
      <c r="L40" s="30" t="str">
        <f>IFERROR(INDEX(Однолинейка!$AI$3:$AI$1000,MATCH(2,Однолинейка!$BT$3:$BT$1000,0)),"")</f>
        <v/>
      </c>
      <c r="M40" s="32" t="str">
        <f>IF(L40="","",COUNTIFS(Однолинейка!$AW$3:$AW$1000,"?*",Однолинейка!$AI$3:$AI$1000,L40))</f>
        <v/>
      </c>
    </row>
    <row r="41" spans="1:13" x14ac:dyDescent="0.3">
      <c r="A41" s="29">
        <f>IFERROR(MATCH(ROW()-3,Каталог!$AF$4:$AF$500,0),"")</f>
        <v>63</v>
      </c>
      <c r="B41" s="29" t="str">
        <f t="shared" si="1"/>
        <v>1.38</v>
      </c>
      <c r="C41" s="30" t="str">
        <f>IF($A41="","",INDEX(Каталог!$G$4:$G$500,$A41)&amp;"")</f>
        <v>Перемычка вставная, для клемм на 2.5 кв.мм, 10-и полюсная</v>
      </c>
      <c r="D41" s="33"/>
      <c r="E41" s="31" t="str">
        <f>IF($A41="","",INDEX(Каталог!$H$4:$H$500,$A41)&amp;"")</f>
        <v>SBF-10-5</v>
      </c>
      <c r="F41" s="32" t="str">
        <f>IF($A41="","",INDEX(Каталог!$B$4:$B$500,$A41)&amp;"")</f>
        <v>DKC</v>
      </c>
      <c r="G41" s="32" t="str">
        <f>IF($A41="","",INDEX(Каталог!$M$4:$M$500,$A41)&amp;"")</f>
        <v>шт.</v>
      </c>
      <c r="H41" s="32">
        <f>IF($A41="","",INDEX(Каталог!$P$4:$P$500,$A41))</f>
        <v>20</v>
      </c>
      <c r="I41" s="5"/>
      <c r="J41" s="5"/>
      <c r="L41" s="30" t="str">
        <f>IFERROR(INDEX(Однолинейка!$AI$3:$AI$1000,MATCH(3,Однолинейка!$BT$3:$BT$1000,0)),"")</f>
        <v/>
      </c>
      <c r="M41" s="32" t="str">
        <f>IF(L41="","",COUNTIFS(Однолинейка!$AW$3:$AW$1000,"?*",Однолинейка!$AI$3:$AI$1000,L41))</f>
        <v/>
      </c>
    </row>
    <row r="42" spans="1:13" x14ac:dyDescent="0.3">
      <c r="A42" s="29">
        <f>IFERROR(MATCH(ROW()-3,Каталог!$AF$4:$AF$500,0),"")</f>
        <v>64</v>
      </c>
      <c r="B42" s="29" t="str">
        <f t="shared" si="1"/>
        <v>1.39</v>
      </c>
      <c r="C42" s="30" t="str">
        <f>IF($A42="","",INDEX(Каталог!$G$4:$G$500,$A42)&amp;"")</f>
        <v>Торцевой фиксатор на рейку 35мм, ширина 9,5 мм</v>
      </c>
      <c r="D42" s="33"/>
      <c r="E42" s="31" t="str">
        <f>IF($A42="","",INDEX(Каталог!$H$4:$H$500,$A42)&amp;"")</f>
        <v>UK-E</v>
      </c>
      <c r="F42" s="32" t="str">
        <f>IF($A42="","",INDEX(Каталог!$B$4:$B$500,$A42)&amp;"")</f>
        <v>DKC</v>
      </c>
      <c r="G42" s="32" t="str">
        <f>IF($A42="","",INDEX(Каталог!$M$4:$M$500,$A42)&amp;"")</f>
        <v>шт.</v>
      </c>
      <c r="H42" s="32">
        <f>IF($A42="","",INDEX(Каталог!$P$4:$P$500,$A42))</f>
        <v>20</v>
      </c>
      <c r="I42" s="5"/>
      <c r="J42" s="5"/>
      <c r="L42" s="30" t="str">
        <f>IFERROR(INDEX(Однолинейка!$AI$3:$AI$1000,MATCH(4,Однолинейка!$BT$3:$BT$1000,0)),"")</f>
        <v/>
      </c>
      <c r="M42" s="32" t="str">
        <f>IF(L42="","",COUNTIFS(Однолинейка!$AW$3:$AW$1000,"?*",Однолинейка!$AI$3:$AI$1000,L42))</f>
        <v/>
      </c>
    </row>
    <row r="43" spans="1:13" x14ac:dyDescent="0.3">
      <c r="A43" s="29">
        <f>IFERROR(MATCH(ROW()-3,Каталог!$AF$4:$AF$500,0),"")</f>
        <v>65</v>
      </c>
      <c r="B43" s="29" t="str">
        <f t="shared" si="1"/>
        <v>1.40</v>
      </c>
      <c r="C43" s="30" t="str">
        <f>IF($A43="","",INDEX(Каталог!$G$4:$G$500,$A43)&amp;"")</f>
        <v xml:space="preserve">Провод ПуГВ 1,5 кв. мм красный, многопроволочный </v>
      </c>
      <c r="D43" s="33"/>
      <c r="E43" s="31" t="str">
        <f>IF($A43="","",INDEX(Каталог!$H$4:$H$500,$A43)&amp;"")</f>
        <v>ПуГВ 1.5</v>
      </c>
      <c r="F43" s="32" t="str">
        <f>IF($A43="","",INDEX(Каталог!$B$4:$B$500,$A43)&amp;"")</f>
        <v>РЭК</v>
      </c>
      <c r="G43" s="32" t="str">
        <f>IF($A43="","",INDEX(Каталог!$M$4:$M$500,$A43)&amp;"")</f>
        <v>м.</v>
      </c>
      <c r="H43" s="32">
        <f>IF($A43="","",INDEX(Каталог!$P$4:$P$500,$A43))</f>
        <v>150</v>
      </c>
      <c r="I43" s="5"/>
      <c r="J43" s="5"/>
      <c r="L43" s="30" t="str">
        <f>IFERROR(INDEX(Однолинейка!$AI$3:$AI$1000,MATCH(5,Однолинейка!$BT$3:$BT$1000,0)),"")</f>
        <v/>
      </c>
      <c r="M43" s="32" t="str">
        <f>IF(L43="","",COUNTIFS(Однолинейка!$AW$3:$AW$1000,"?*",Однолинейка!$AI$3:$AI$1000,L43))</f>
        <v/>
      </c>
    </row>
    <row r="44" spans="1:13" x14ac:dyDescent="0.3">
      <c r="A44" s="29">
        <f>IFERROR(MATCH(ROW()-3,Каталог!$AF$4:$AF$500,0),"")</f>
        <v>66</v>
      </c>
      <c r="B44" s="29" t="str">
        <f t="shared" si="1"/>
        <v>1.41</v>
      </c>
      <c r="C44" s="30" t="str">
        <f>IF($A44="","",INDEX(Каталог!$G$4:$G$500,$A44)&amp;"")</f>
        <v>Провод ПуГВ 1,5 кв. мм белый, многопроволочный</v>
      </c>
      <c r="D44" s="33"/>
      <c r="E44" s="31" t="str">
        <f>IF($A44="","",INDEX(Каталог!$H$4:$H$500,$A44)&amp;"")</f>
        <v>ПуГВ 1.5</v>
      </c>
      <c r="F44" s="32" t="str">
        <f>IF($A44="","",INDEX(Каталог!$B$4:$B$500,$A44)&amp;"")</f>
        <v>РЭК</v>
      </c>
      <c r="G44" s="32" t="str">
        <f>IF($A44="","",INDEX(Каталог!$M$4:$M$500,$A44)&amp;"")</f>
        <v>м.</v>
      </c>
      <c r="H44" s="32">
        <f>IF($A44="","",INDEX(Каталог!$P$4:$P$500,$A44))</f>
        <v>150</v>
      </c>
      <c r="I44" s="5"/>
      <c r="J44" s="5"/>
      <c r="L44" s="30" t="str">
        <f>IFERROR(INDEX(Однолинейка!$AI$3:$AI$1000,MATCH(6,Однолинейка!$BT$3:$BT$1000,0)),"")</f>
        <v/>
      </c>
      <c r="M44" s="32" t="str">
        <f>IF(L44="","",COUNTIFS(Однолинейка!$AW$3:$AW$1000,"?*",Однолинейка!$AI$3:$AI$1000,L44))</f>
        <v/>
      </c>
    </row>
    <row r="45" spans="1:13" x14ac:dyDescent="0.3">
      <c r="A45" s="29">
        <f>IFERROR(MATCH(ROW()-3,Каталог!$AF$4:$AF$500,0),"")</f>
        <v>67</v>
      </c>
      <c r="B45" s="29" t="str">
        <f t="shared" si="1"/>
        <v>1.42</v>
      </c>
      <c r="C45" s="30" t="str">
        <f>IF($A45="","",INDEX(Каталог!$G$4:$G$500,$A45)&amp;"")</f>
        <v xml:space="preserve">Провод ПуГВ 1,5 кв. мм черный, многопроволочный </v>
      </c>
      <c r="D45" s="33"/>
      <c r="E45" s="31" t="str">
        <f>IF($A45="","",INDEX(Каталог!$H$4:$H$500,$A45)&amp;"")</f>
        <v>ПуГВ 1.5</v>
      </c>
      <c r="F45" s="32" t="str">
        <f>IF($A45="","",INDEX(Каталог!$B$4:$B$500,$A45)&amp;"")</f>
        <v>РЭК</v>
      </c>
      <c r="G45" s="32" t="str">
        <f>IF($A45="","",INDEX(Каталог!$M$4:$M$500,$A45)&amp;"")</f>
        <v>м.</v>
      </c>
      <c r="H45" s="32">
        <f>IF($A45="","",INDEX(Каталог!$P$4:$P$500,$A45))</f>
        <v>150</v>
      </c>
      <c r="I45" s="5"/>
      <c r="J45" s="5"/>
      <c r="L45" s="30" t="str">
        <f>IFERROR(INDEX(Однолинейка!$AI$3:$AI$1000,MATCH(7,Однолинейка!$BT$3:$BT$1000,0)),"")</f>
        <v/>
      </c>
      <c r="M45" s="32" t="str">
        <f>IF(L45="","",COUNTIFS(Однолинейка!$AW$3:$AW$1000,"?*",Однолинейка!$AI$3:$AI$1000,L45))</f>
        <v/>
      </c>
    </row>
    <row r="46" spans="1:13" x14ac:dyDescent="0.3">
      <c r="A46" s="29">
        <f>IFERROR(MATCH(ROW()-3,Каталог!$AF$4:$AF$500,0),"")</f>
        <v>68</v>
      </c>
      <c r="B46" s="29" t="str">
        <f t="shared" si="1"/>
        <v>1.43</v>
      </c>
      <c r="C46" s="30" t="str">
        <f>IF($A46="","",INDEX(Каталог!$G$4:$G$500,$A46)&amp;"")</f>
        <v xml:space="preserve">Провод ПуГВ 1,5 кв. мм синий, многопроволочный </v>
      </c>
      <c r="D46" s="33"/>
      <c r="E46" s="31" t="str">
        <f>IF($A46="","",INDEX(Каталог!$H$4:$H$500,$A46)&amp;"")</f>
        <v>ПуГВ 1.5</v>
      </c>
      <c r="F46" s="32" t="str">
        <f>IF($A46="","",INDEX(Каталог!$B$4:$B$500,$A46)&amp;"")</f>
        <v>РЭК</v>
      </c>
      <c r="G46" s="32" t="str">
        <f>IF($A46="","",INDEX(Каталог!$M$4:$M$500,$A46)&amp;"")</f>
        <v>м.</v>
      </c>
      <c r="H46" s="32">
        <f>IF($A46="","",INDEX(Каталог!$P$4:$P$500,$A46))</f>
        <v>150</v>
      </c>
      <c r="I46" s="5"/>
      <c r="J46" s="5"/>
      <c r="L46" s="30" t="str">
        <f>IFERROR(INDEX(Однолинейка!$AI$3:$AI$1000,MATCH(8,Однолинейка!$BT$3:$BT$1000,0)),"")</f>
        <v/>
      </c>
      <c r="M46" s="32" t="str">
        <f>IF(L46="","",COUNTIFS(Однолинейка!$AW$3:$AW$1000,"?*",Однолинейка!$AI$3:$AI$1000,L46))</f>
        <v/>
      </c>
    </row>
    <row r="47" spans="1:13" x14ac:dyDescent="0.3">
      <c r="A47" s="29">
        <f>IFERROR(MATCH(ROW()-3,Каталог!$AF$4:$AF$500,0),"")</f>
        <v>69</v>
      </c>
      <c r="B47" s="29" t="str">
        <f t="shared" si="1"/>
        <v>1.44</v>
      </c>
      <c r="C47" s="30" t="str">
        <f>IF($A47="","",INDEX(Каталог!$G$4:$G$500,$A47)&amp;"")</f>
        <v xml:space="preserve">Провод ПуГВ 1,5 кв. мм Ж/З, многопроволочный </v>
      </c>
      <c r="D47" s="33"/>
      <c r="E47" s="31" t="str">
        <f>IF($A47="","",INDEX(Каталог!$H$4:$H$500,$A47)&amp;"")</f>
        <v>ПуГВ 1.5</v>
      </c>
      <c r="F47" s="32" t="str">
        <f>IF($A47="","",INDEX(Каталог!$B$4:$B$500,$A47)&amp;"")</f>
        <v>РЭК</v>
      </c>
      <c r="G47" s="32" t="str">
        <f>IF($A47="","",INDEX(Каталог!$M$4:$M$500,$A47)&amp;"")</f>
        <v>м.</v>
      </c>
      <c r="H47" s="32">
        <f>IF($A47="","",INDEX(Каталог!$P$4:$P$500,$A47))</f>
        <v>50</v>
      </c>
      <c r="I47" s="5"/>
      <c r="J47" s="5"/>
      <c r="L47" s="30" t="str">
        <f>IFERROR(INDEX(Однолинейка!$AI$3:$AI$1000,MATCH(9,Однолинейка!$BT$3:$BT$1000,0)),"")</f>
        <v/>
      </c>
      <c r="M47" s="32" t="str">
        <f>IF(L47="","",COUNTIFS(Однолинейка!$AW$3:$AW$1000,"?*",Однолинейка!$AI$3:$AI$1000,L47))</f>
        <v/>
      </c>
    </row>
    <row r="48" spans="1:13" x14ac:dyDescent="0.3">
      <c r="A48" s="29">
        <f>IFERROR(MATCH(ROW()-3,Каталог!$AF$4:$AF$500,0),"")</f>
        <v>70</v>
      </c>
      <c r="B48" s="29" t="str">
        <f t="shared" si="1"/>
        <v>1.45</v>
      </c>
      <c r="C48" s="30" t="str">
        <f>IF($A48="","",INDEX(Каталог!$G$4:$G$500,$A48)&amp;"")</f>
        <v xml:space="preserve">Провод ПуГВ 2,5 кв. мм красный, многопроволочный </v>
      </c>
      <c r="D48" s="33"/>
      <c r="E48" s="31" t="str">
        <f>IF($A48="","",INDEX(Каталог!$H$4:$H$500,$A48)&amp;"")</f>
        <v>ПуГВ 2.5</v>
      </c>
      <c r="F48" s="32" t="str">
        <f>IF($A48="","",INDEX(Каталог!$B$4:$B$500,$A48)&amp;"")</f>
        <v>РЭК</v>
      </c>
      <c r="G48" s="32" t="str">
        <f>IF($A48="","",INDEX(Каталог!$M$4:$M$500,$A48)&amp;"")</f>
        <v>м.</v>
      </c>
      <c r="H48" s="32">
        <f>IF($A48="","",INDEX(Каталог!$P$4:$P$500,$A48))</f>
        <v>100</v>
      </c>
      <c r="I48" s="5"/>
      <c r="J48" s="5"/>
      <c r="L48" s="30" t="str">
        <f>IFERROR(INDEX(Однолинейка!$AI$3:$AI$1000,MATCH(10,Однолинейка!$BT$3:$BT$1000,0)),"")</f>
        <v/>
      </c>
      <c r="M48" s="32" t="str">
        <f>IF(L48="","",COUNTIFS(Однолинейка!$AW$3:$AW$1000,"?*",Однолинейка!$AI$3:$AI$1000,L48))</f>
        <v/>
      </c>
    </row>
    <row r="49" spans="1:15" x14ac:dyDescent="0.3">
      <c r="A49" s="29">
        <f>IFERROR(MATCH(ROW()-3,Каталог!$AF$4:$AF$500,0),"")</f>
        <v>71</v>
      </c>
      <c r="B49" s="29" t="str">
        <f t="shared" si="1"/>
        <v>1.46</v>
      </c>
      <c r="C49" s="30" t="str">
        <f>IF($A49="","",INDEX(Каталог!$G$4:$G$500,$A49)&amp;"")</f>
        <v>Провод ПуГВ 2,5 кв. мм белый, многопроволочный</v>
      </c>
      <c r="D49" s="33"/>
      <c r="E49" s="31" t="str">
        <f>IF($A49="","",INDEX(Каталог!$H$4:$H$500,$A49)&amp;"")</f>
        <v>ПуГВ 2.5</v>
      </c>
      <c r="F49" s="32" t="str">
        <f>IF($A49="","",INDEX(Каталог!$B$4:$B$500,$A49)&amp;"")</f>
        <v>РЭК</v>
      </c>
      <c r="G49" s="32" t="str">
        <f>IF($A49="","",INDEX(Каталог!$M$4:$M$500,$A49)&amp;"")</f>
        <v>м.</v>
      </c>
      <c r="H49" s="32">
        <f>IF($A49="","",INDEX(Каталог!$P$4:$P$500,$A49))</f>
        <v>100</v>
      </c>
      <c r="I49" s="5"/>
      <c r="J49" s="5"/>
    </row>
    <row r="50" spans="1:15" ht="28.8" x14ac:dyDescent="0.3">
      <c r="A50" s="29">
        <f>IFERROR(MATCH(ROW()-3,Каталог!$AF$4:$AF$500,0),"")</f>
        <v>72</v>
      </c>
      <c r="B50" s="29" t="str">
        <f t="shared" si="1"/>
        <v>1.47</v>
      </c>
      <c r="C50" s="30" t="str">
        <f>IF($A50="","",INDEX(Каталог!$G$4:$G$500,$A50)&amp;"")</f>
        <v xml:space="preserve">Провод ПуГВ 2,5 кв. мм черный, многопроволочный </v>
      </c>
      <c r="D50" s="33"/>
      <c r="E50" s="31" t="str">
        <f>IF($A50="","",INDEX(Каталог!$H$4:$H$500,$A50)&amp;"")</f>
        <v>ПуГВ 2.5</v>
      </c>
      <c r="F50" s="32" t="str">
        <f>IF($A50="","",INDEX(Каталог!$B$4:$B$500,$A50)&amp;"")</f>
        <v>РЭК</v>
      </c>
      <c r="G50" s="32" t="str">
        <f>IF($A50="","",INDEX(Каталог!$M$4:$M$500,$A50)&amp;"")</f>
        <v>м.</v>
      </c>
      <c r="H50" s="32">
        <f>IF($A50="","",INDEX(Каталог!$P$4:$P$500,$A50))</f>
        <v>100</v>
      </c>
      <c r="I50" s="5"/>
      <c r="J50" s="5"/>
      <c r="L50" s="1" t="s">
        <v>1020</v>
      </c>
    </row>
    <row r="51" spans="1:15" x14ac:dyDescent="0.3">
      <c r="A51" s="29">
        <f>IFERROR(MATCH(ROW()-3,Каталог!$AF$4:$AF$500,0),"")</f>
        <v>73</v>
      </c>
      <c r="B51" s="29" t="str">
        <f t="shared" si="1"/>
        <v>1.48</v>
      </c>
      <c r="C51" s="30" t="str">
        <f>IF($A51="","",INDEX(Каталог!$G$4:$G$500,$A51)&amp;"")</f>
        <v xml:space="preserve">Провод ПуГВ 2,5 кв. мм синий, многопроволочный </v>
      </c>
      <c r="D51" s="33"/>
      <c r="E51" s="31" t="str">
        <f>IF($A51="","",INDEX(Каталог!$H$4:$H$500,$A51)&amp;"")</f>
        <v>ПуГВ 2.5</v>
      </c>
      <c r="F51" s="32" t="str">
        <f>IF($A51="","",INDEX(Каталог!$B$4:$B$500,$A51)&amp;"")</f>
        <v>РЭК</v>
      </c>
      <c r="G51" s="32" t="str">
        <f>IF($A51="","",INDEX(Каталог!$M$4:$M$500,$A51)&amp;"")</f>
        <v>м.</v>
      </c>
      <c r="H51" s="32">
        <f>IF($A51="","",INDEX(Каталог!$P$4:$P$500,$A51))</f>
        <v>100</v>
      </c>
      <c r="I51" s="5"/>
      <c r="J51" s="5"/>
      <c r="L51" s="30" t="str">
        <f>IFERROR(INDEX(Однолинейка!$BQ$3:$BQ$1000,MATCH(1,Однолинейка!$BR$3:$BR$1000,0)),"")</f>
        <v>3х2,5</v>
      </c>
      <c r="M51" s="32">
        <f>IF(L51="","",COUNTIF(Однолинейка!$BQ$3:$BQ$1000,L51))</f>
        <v>28</v>
      </c>
      <c r="N51" s="32">
        <f>IF(L51="","",SUMIF(Однолинейка!$BQ$3:$BQ$1000,L51,Однолинейка!$BW$3:$BW$1000))</f>
        <v>28</v>
      </c>
      <c r="O51" s="32">
        <f>IF(L51="","",SUMIF(Однолинейка!$BQ$3:$BQ$1000,L51,Однолинейка!$BX$3:$BX$1000))</f>
        <v>0</v>
      </c>
    </row>
    <row r="52" spans="1:15" x14ac:dyDescent="0.3">
      <c r="A52" s="29">
        <f>IFERROR(MATCH(ROW()-3,Каталог!$AF$4:$AF$500,0),"")</f>
        <v>74</v>
      </c>
      <c r="B52" s="29" t="str">
        <f t="shared" si="1"/>
        <v>1.49</v>
      </c>
      <c r="C52" s="30" t="str">
        <f>IF($A52="","",INDEX(Каталог!$G$4:$G$500,$A52)&amp;"")</f>
        <v xml:space="preserve">Провод ПуГВ 2,5 кв. мм Ж/З, многопроволочный </v>
      </c>
      <c r="D52" s="33"/>
      <c r="E52" s="31" t="str">
        <f>IF($A52="","",INDEX(Каталог!$H$4:$H$500,$A52)&amp;"")</f>
        <v>ПуГВ 2.5</v>
      </c>
      <c r="F52" s="32" t="str">
        <f>IF($A52="","",INDEX(Каталог!$B$4:$B$500,$A52)&amp;"")</f>
        <v>РЭК</v>
      </c>
      <c r="G52" s="32" t="str">
        <f>IF($A52="","",INDEX(Каталог!$M$4:$M$500,$A52)&amp;"")</f>
        <v>м.</v>
      </c>
      <c r="H52" s="32">
        <f>IF($A52="","",INDEX(Каталог!$P$4:$P$500,$A52))</f>
        <v>30</v>
      </c>
      <c r="I52" s="5"/>
      <c r="J52" s="5"/>
      <c r="L52" s="30" t="str">
        <f>IFERROR(INDEX(Однолинейка!$BQ$3:$BQ$1000,MATCH(2,Однолинейка!$BR$3:$BR$1000,0)),"")</f>
        <v>5х2,5</v>
      </c>
      <c r="M52" s="32">
        <f>IF(L52="","",COUNTIF(Однолинейка!$BQ$3:$BQ$1000,L52))</f>
        <v>1</v>
      </c>
      <c r="N52" s="32">
        <f>IF(L52="","",SUMIF(Однолинейка!$BQ$3:$BQ$1000,L52,Однолинейка!$BW$3:$BW$1000))</f>
        <v>1</v>
      </c>
      <c r="O52" s="32">
        <f>IF(L52="","",SUMIF(Однолинейка!$BQ$3:$BQ$1000,L52,Однолинейка!$BX$3:$BX$1000))</f>
        <v>2</v>
      </c>
    </row>
    <row r="53" spans="1:15" x14ac:dyDescent="0.3">
      <c r="A53" s="29">
        <f>IFERROR(MATCH(ROW()-3,Каталог!$AF$4:$AF$500,0),"")</f>
        <v>75</v>
      </c>
      <c r="B53" s="29" t="str">
        <f t="shared" si="1"/>
        <v>1.50</v>
      </c>
      <c r="C53" s="30" t="str">
        <f>IF($A53="","",INDEX(Каталог!$G$4:$G$500,$A53)&amp;"")</f>
        <v xml:space="preserve">Провод ПуГВ 4 кв. мм красный, многопроволочный </v>
      </c>
      <c r="D53" s="33"/>
      <c r="E53" s="31" t="str">
        <f>IF($A53="","",INDEX(Каталог!$H$4:$H$500,$A53)&amp;"")</f>
        <v>ПуГВ 4</v>
      </c>
      <c r="F53" s="32" t="str">
        <f>IF($A53="","",INDEX(Каталог!$B$4:$B$500,$A53)&amp;"")</f>
        <v>РЭК</v>
      </c>
      <c r="G53" s="32" t="str">
        <f>IF($A53="","",INDEX(Каталог!$M$4:$M$500,$A53)&amp;"")</f>
        <v>м.</v>
      </c>
      <c r="H53" s="32">
        <f>IF($A53="","",INDEX(Каталог!$P$4:$P$500,$A53))</f>
        <v>30</v>
      </c>
      <c r="I53" s="5"/>
      <c r="J53" s="5"/>
      <c r="L53" s="30" t="str">
        <f>IFERROR(INDEX(Однолинейка!$BQ$3:$BQ$1000,MATCH(3,Однолинейка!$BR$3:$BR$1000,0)),"")</f>
        <v>3х1,5</v>
      </c>
      <c r="M53" s="32">
        <f>IF(L53="","",COUNTIF(Однолинейка!$BQ$3:$BQ$1000,L53))</f>
        <v>12</v>
      </c>
      <c r="N53" s="32">
        <f>IF(L53="","",SUMIF(Однолинейка!$BQ$3:$BQ$1000,L53,Однолинейка!$BW$3:$BW$1000))</f>
        <v>12</v>
      </c>
      <c r="O53" s="32">
        <f>IF(L53="","",SUMIF(Однолинейка!$BQ$3:$BQ$1000,L53,Однолинейка!$BX$3:$BX$1000))</f>
        <v>0</v>
      </c>
    </row>
    <row r="54" spans="1:15" x14ac:dyDescent="0.3">
      <c r="A54" s="29">
        <f>IFERROR(MATCH(ROW()-3,Каталог!$AF$4:$AF$500,0),"")</f>
        <v>76</v>
      </c>
      <c r="B54" s="29" t="str">
        <f t="shared" si="1"/>
        <v>1.51</v>
      </c>
      <c r="C54" s="30" t="str">
        <f>IF($A54="","",INDEX(Каталог!$G$4:$G$500,$A54)&amp;"")</f>
        <v>Провод ПуГВ 4 кв. мм белый, многопроволочный</v>
      </c>
      <c r="D54" s="33"/>
      <c r="E54" s="31" t="str">
        <f>IF($A54="","",INDEX(Каталог!$H$4:$H$500,$A54)&amp;"")</f>
        <v>ПуГВ 4</v>
      </c>
      <c r="F54" s="32" t="str">
        <f>IF($A54="","",INDEX(Каталог!$B$4:$B$500,$A54)&amp;"")</f>
        <v>РЭК</v>
      </c>
      <c r="G54" s="32" t="str">
        <f>IF($A54="","",INDEX(Каталог!$M$4:$M$500,$A54)&amp;"")</f>
        <v>м.</v>
      </c>
      <c r="H54" s="32">
        <f>IF($A54="","",INDEX(Каталог!$P$4:$P$500,$A54))</f>
        <v>30</v>
      </c>
      <c r="I54" s="5"/>
      <c r="J54" s="5"/>
      <c r="L54" s="30" t="str">
        <f>IFERROR(INDEX(Однолинейка!$BQ$3:$BQ$1000,MATCH(4,Однолинейка!$BR$3:$BR$1000,0)),"")</f>
        <v>5х1,5</v>
      </c>
      <c r="M54" s="32">
        <f>IF(L54="","",COUNTIF(Однолинейка!$BQ$3:$BQ$1000,L54))</f>
        <v>11</v>
      </c>
      <c r="N54" s="32">
        <f>IF(L54="","",SUMIF(Однолинейка!$BQ$3:$BQ$1000,L54,Однолинейка!$BW$3:$BW$1000))</f>
        <v>11</v>
      </c>
      <c r="O54" s="32">
        <f>IF(L54="","",SUMIF(Однолинейка!$BQ$3:$BQ$1000,L54,Однолинейка!$BX$3:$BX$1000))</f>
        <v>22</v>
      </c>
    </row>
    <row r="55" spans="1:15" x14ac:dyDescent="0.3">
      <c r="A55" s="29">
        <f>IFERROR(MATCH(ROW()-3,Каталог!$AF$4:$AF$500,0),"")</f>
        <v>77</v>
      </c>
      <c r="B55" s="29" t="str">
        <f t="shared" si="1"/>
        <v>1.52</v>
      </c>
      <c r="C55" s="30" t="str">
        <f>IF($A55="","",INDEX(Каталог!$G$4:$G$500,$A55)&amp;"")</f>
        <v xml:space="preserve">Провод ПуГВ 4 кв. мм черный, многопроволочный </v>
      </c>
      <c r="D55" s="33"/>
      <c r="E55" s="31" t="str">
        <f>IF($A55="","",INDEX(Каталог!$H$4:$H$500,$A55)&amp;"")</f>
        <v>ПуГВ 4</v>
      </c>
      <c r="F55" s="32" t="str">
        <f>IF($A55="","",INDEX(Каталог!$B$4:$B$500,$A55)&amp;"")</f>
        <v>РЭК</v>
      </c>
      <c r="G55" s="32" t="str">
        <f>IF($A55="","",INDEX(Каталог!$M$4:$M$500,$A55)&amp;"")</f>
        <v>м.</v>
      </c>
      <c r="H55" s="32">
        <f>IF($A55="","",INDEX(Каталог!$P$4:$P$500,$A55))</f>
        <v>30</v>
      </c>
      <c r="I55" s="5"/>
      <c r="J55" s="5"/>
      <c r="L55" s="30" t="str">
        <f>IFERROR(INDEX(Однолинейка!$BQ$3:$BQ$1000,MATCH(5,Однолинейка!$BR$3:$BR$1000,0)),"")</f>
        <v/>
      </c>
      <c r="M55" s="32" t="str">
        <f>IF(L55="","",COUNTIF(Однолинейка!$BQ$3:$BQ$1000,L55))</f>
        <v/>
      </c>
      <c r="N55" s="32" t="str">
        <f>IF(L55="","",SUMIF(Однолинейка!$BQ$3:$BQ$1000,L55,Однолинейка!$BW$3:$BW$1000))</f>
        <v/>
      </c>
      <c r="O55" s="32" t="str">
        <f>IF(L55="","",SUMIF(Однолинейка!$BQ$3:$BQ$1000,L55,Однолинейка!$BX$3:$BX$1000))</f>
        <v/>
      </c>
    </row>
    <row r="56" spans="1:15" x14ac:dyDescent="0.3">
      <c r="A56" s="29">
        <f>IFERROR(MATCH(ROW()-3,Каталог!$AF$4:$AF$500,0),"")</f>
        <v>78</v>
      </c>
      <c r="B56" s="29" t="str">
        <f t="shared" si="1"/>
        <v>1.53</v>
      </c>
      <c r="C56" s="30" t="str">
        <f>IF($A56="","",INDEX(Каталог!$G$4:$G$500,$A56)&amp;"")</f>
        <v xml:space="preserve">Провод ПуГВ 4 кв. мм синий, многопроволочный </v>
      </c>
      <c r="D56" s="33"/>
      <c r="E56" s="31" t="str">
        <f>IF($A56="","",INDEX(Каталог!$H$4:$H$500,$A56)&amp;"")</f>
        <v>ПуГВ 4</v>
      </c>
      <c r="F56" s="32" t="str">
        <f>IF($A56="","",INDEX(Каталог!$B$4:$B$500,$A56)&amp;"")</f>
        <v>РЭК</v>
      </c>
      <c r="G56" s="32" t="str">
        <f>IF($A56="","",INDEX(Каталог!$M$4:$M$500,$A56)&amp;"")</f>
        <v>м.</v>
      </c>
      <c r="H56" s="32">
        <f>IF($A56="","",INDEX(Каталог!$P$4:$P$500,$A56))</f>
        <v>30</v>
      </c>
      <c r="I56" s="5"/>
      <c r="J56" s="5"/>
      <c r="L56" s="30" t="str">
        <f>IFERROR(INDEX(Однолинейка!$BQ$3:$BQ$1000,MATCH(6,Однолинейка!$BR$3:$BR$1000,0)),"")</f>
        <v/>
      </c>
      <c r="M56" s="32" t="str">
        <f>IF(L56="","",COUNTIF(Однолинейка!$BQ$3:$BQ$1000,L56))</f>
        <v/>
      </c>
      <c r="N56" s="32" t="str">
        <f>IF(L56="","",SUMIF(Однолинейка!$BQ$3:$BQ$1000,L56,Однолинейка!$BW$3:$BW$1000))</f>
        <v/>
      </c>
      <c r="O56" s="32" t="str">
        <f>IF(L56="","",SUMIF(Однолинейка!$BQ$3:$BQ$1000,L56,Однолинейка!$BX$3:$BX$1000))</f>
        <v/>
      </c>
    </row>
    <row r="57" spans="1:15" x14ac:dyDescent="0.3">
      <c r="A57" s="29">
        <f>IFERROR(MATCH(ROW()-3,Каталог!$AF$4:$AF$500,0),"")</f>
        <v>79</v>
      </c>
      <c r="B57" s="29" t="str">
        <f t="shared" si="1"/>
        <v>1.54</v>
      </c>
      <c r="C57" s="30" t="str">
        <f>IF($A57="","",INDEX(Каталог!$G$4:$G$500,$A57)&amp;"")</f>
        <v xml:space="preserve">Провод ПуГВ 4 кв. мм Ж/З, многопроволочный </v>
      </c>
      <c r="D57" s="33"/>
      <c r="E57" s="31" t="str">
        <f>IF($A57="","",INDEX(Каталог!$H$4:$H$500,$A57)&amp;"")</f>
        <v>ПуГВ 4</v>
      </c>
      <c r="F57" s="32" t="str">
        <f>IF($A57="","",INDEX(Каталог!$B$4:$B$500,$A57)&amp;"")</f>
        <v>РЭК</v>
      </c>
      <c r="G57" s="32" t="str">
        <f>IF($A57="","",INDEX(Каталог!$M$4:$M$500,$A57)&amp;"")</f>
        <v>м.</v>
      </c>
      <c r="H57" s="32">
        <f>IF($A57="","",INDEX(Каталог!$P$4:$P$500,$A57))</f>
        <v>10</v>
      </c>
      <c r="I57" s="5"/>
      <c r="J57" s="5"/>
      <c r="L57" s="30" t="str">
        <f>IFERROR(INDEX(Однолинейка!$BQ$3:$BQ$1000,MATCH(7,Однолинейка!$BR$3:$BR$1000,0)),"")</f>
        <v/>
      </c>
      <c r="M57" s="32" t="str">
        <f>IF(L57="","",COUNTIF(Однолинейка!$BQ$3:$BQ$1000,L57))</f>
        <v/>
      </c>
      <c r="N57" s="32" t="str">
        <f>IF(L57="","",SUMIF(Однолинейка!$BQ$3:$BQ$1000,L57,Однолинейка!$BW$3:$BW$1000))</f>
        <v/>
      </c>
      <c r="O57" s="32" t="str">
        <f>IF(L57="","",SUMIF(Однолинейка!$BQ$3:$BQ$1000,L57,Однолинейка!$BX$3:$BX$1000))</f>
        <v/>
      </c>
    </row>
    <row r="58" spans="1:15" x14ac:dyDescent="0.3">
      <c r="A58" s="29">
        <f>IFERROR(MATCH(ROW()-3,Каталог!$AF$4:$AF$500,0),"")</f>
        <v>80</v>
      </c>
      <c r="B58" s="29" t="str">
        <f t="shared" si="1"/>
        <v>1.55</v>
      </c>
      <c r="C58" s="30" t="str">
        <f>IF($A58="","",INDEX(Каталог!$G$4:$G$500,$A58)&amp;"")</f>
        <v xml:space="preserve">Провод ПуГВ 16 кв. мм красный, многопроволочный </v>
      </c>
      <c r="D58" s="33"/>
      <c r="E58" s="31" t="str">
        <f>IF($A58="","",INDEX(Каталог!$H$4:$H$500,$A58)&amp;"")</f>
        <v>ПуГВ 16</v>
      </c>
      <c r="F58" s="32" t="str">
        <f>IF($A58="","",INDEX(Каталог!$B$4:$B$500,$A58)&amp;"")</f>
        <v>РЭК</v>
      </c>
      <c r="G58" s="32" t="str">
        <f>IF($A58="","",INDEX(Каталог!$M$4:$M$500,$A58)&amp;"")</f>
        <v>м.</v>
      </c>
      <c r="H58" s="32">
        <f>IF($A58="","",INDEX(Каталог!$P$4:$P$500,$A58))</f>
        <v>12</v>
      </c>
      <c r="I58" s="5"/>
      <c r="J58" s="5"/>
      <c r="L58" s="30" t="str">
        <f>IFERROR(INDEX(Однолинейка!$BQ$3:$BQ$1000,MATCH(8,Однолинейка!$BR$3:$BR$1000,0)),"")</f>
        <v/>
      </c>
      <c r="M58" s="32" t="str">
        <f>IF(L58="","",COUNTIF(Однолинейка!$BQ$3:$BQ$1000,L58))</f>
        <v/>
      </c>
      <c r="N58" s="32" t="str">
        <f>IF(L58="","",SUMIF(Однолинейка!$BQ$3:$BQ$1000,L58,Однолинейка!$BW$3:$BW$1000))</f>
        <v/>
      </c>
      <c r="O58" s="32" t="str">
        <f>IF(L58="","",SUMIF(Однолинейка!$BQ$3:$BQ$1000,L58,Однолинейка!$BX$3:$BX$1000))</f>
        <v/>
      </c>
    </row>
    <row r="59" spans="1:15" x14ac:dyDescent="0.3">
      <c r="A59" s="29">
        <f>IFERROR(MATCH(ROW()-3,Каталог!$AF$4:$AF$500,0),"")</f>
        <v>81</v>
      </c>
      <c r="B59" s="29" t="str">
        <f t="shared" si="1"/>
        <v>1.56</v>
      </c>
      <c r="C59" s="30" t="str">
        <f>IF($A59="","",INDEX(Каталог!$G$4:$G$500,$A59)&amp;"")</f>
        <v>Провод ПуГВ 16 кв. мм белый, многопроволочный</v>
      </c>
      <c r="D59" s="33"/>
      <c r="E59" s="31" t="str">
        <f>IF($A59="","",INDEX(Каталог!$H$4:$H$500,$A59)&amp;"")</f>
        <v>ПуГВ 16</v>
      </c>
      <c r="F59" s="32" t="str">
        <f>IF($A59="","",INDEX(Каталог!$B$4:$B$500,$A59)&amp;"")</f>
        <v>РЭК</v>
      </c>
      <c r="G59" s="32" t="str">
        <f>IF($A59="","",INDEX(Каталог!$M$4:$M$500,$A59)&amp;"")</f>
        <v>м.</v>
      </c>
      <c r="H59" s="32">
        <f>IF($A59="","",INDEX(Каталог!$P$4:$P$500,$A59))</f>
        <v>12</v>
      </c>
      <c r="I59" s="5"/>
      <c r="J59" s="5"/>
      <c r="L59" s="30" t="str">
        <f>IFERROR(INDEX(Однолинейка!$BQ$3:$BQ$1000,MATCH(9,Однолинейка!$BR$3:$BR$1000,0)),"")</f>
        <v/>
      </c>
      <c r="M59" s="32" t="str">
        <f>IF(L59="","",COUNTIF(Однолинейка!$BQ$3:$BQ$1000,L59))</f>
        <v/>
      </c>
      <c r="N59" s="32" t="str">
        <f>IF(L59="","",SUMIF(Однолинейка!$BQ$3:$BQ$1000,L59,Однолинейка!$BW$3:$BW$1000))</f>
        <v/>
      </c>
      <c r="O59" s="32" t="str">
        <f>IF(L59="","",SUMIF(Однолинейка!$BQ$3:$BQ$1000,L59,Однолинейка!$BX$3:$BX$1000))</f>
        <v/>
      </c>
    </row>
    <row r="60" spans="1:15" x14ac:dyDescent="0.3">
      <c r="A60" s="29">
        <f>IFERROR(MATCH(ROW()-3,Каталог!$AF$4:$AF$500,0),"")</f>
        <v>82</v>
      </c>
      <c r="B60" s="29" t="str">
        <f t="shared" si="1"/>
        <v>1.57</v>
      </c>
      <c r="C60" s="30" t="str">
        <f>IF($A60="","",INDEX(Каталог!$G$4:$G$500,$A60)&amp;"")</f>
        <v xml:space="preserve">Провод ПуГВ 16 кв. мм черный, многопроволочный </v>
      </c>
      <c r="D60" s="33"/>
      <c r="E60" s="31" t="str">
        <f>IF($A60="","",INDEX(Каталог!$H$4:$H$500,$A60)&amp;"")</f>
        <v>ПуГВ 16</v>
      </c>
      <c r="F60" s="32" t="str">
        <f>IF($A60="","",INDEX(Каталог!$B$4:$B$500,$A60)&amp;"")</f>
        <v>РЭК</v>
      </c>
      <c r="G60" s="32" t="str">
        <f>IF($A60="","",INDEX(Каталог!$M$4:$M$500,$A60)&amp;"")</f>
        <v>м.</v>
      </c>
      <c r="H60" s="32">
        <f>IF($A60="","",INDEX(Каталог!$P$4:$P$500,$A60))</f>
        <v>12</v>
      </c>
      <c r="I60" s="5"/>
      <c r="J60" s="5"/>
      <c r="L60" s="30" t="str">
        <f>IFERROR(INDEX(Однолинейка!$BQ$3:$BQ$1000,MATCH(10,Однолинейка!$BR$3:$BR$1000,0)),"")</f>
        <v/>
      </c>
      <c r="M60" s="32" t="str">
        <f>IF(L60="","",COUNTIF(Однолинейка!$BQ$3:$BQ$1000,L60))</f>
        <v/>
      </c>
      <c r="N60" s="32" t="str">
        <f>IF(L60="","",SUMIF(Однолинейка!$BQ$3:$BQ$1000,L60,Однолинейка!$BW$3:$BW$1000))</f>
        <v/>
      </c>
      <c r="O60" s="32" t="str">
        <f>IF(L60="","",SUMIF(Однолинейка!$BQ$3:$BQ$1000,L60,Однолинейка!$BX$3:$BX$1000))</f>
        <v/>
      </c>
    </row>
    <row r="61" spans="1:15" x14ac:dyDescent="0.3">
      <c r="A61" s="29">
        <f>IFERROR(MATCH(ROW()-3,Каталог!$AF$4:$AF$500,0),"")</f>
        <v>83</v>
      </c>
      <c r="B61" s="29" t="str">
        <f t="shared" si="1"/>
        <v>1.58</v>
      </c>
      <c r="C61" s="30" t="str">
        <f>IF($A61="","",INDEX(Каталог!$G$4:$G$500,$A61)&amp;"")</f>
        <v xml:space="preserve">Провод ПуГВ 16 кв. мм синий, многопроволочный </v>
      </c>
      <c r="D61" s="33"/>
      <c r="E61" s="31" t="str">
        <f>IF($A61="","",INDEX(Каталог!$H$4:$H$500,$A61)&amp;"")</f>
        <v>ПуГВ 16</v>
      </c>
      <c r="F61" s="32" t="str">
        <f>IF($A61="","",INDEX(Каталог!$B$4:$B$500,$A61)&amp;"")</f>
        <v>РЭК</v>
      </c>
      <c r="G61" s="32" t="str">
        <f>IF($A61="","",INDEX(Каталог!$M$4:$M$500,$A61)&amp;"")</f>
        <v>м.</v>
      </c>
      <c r="H61" s="32">
        <f>IF($A61="","",INDEX(Каталог!$P$4:$P$500,$A61))</f>
        <v>12</v>
      </c>
      <c r="I61" s="5"/>
      <c r="J61" s="5"/>
      <c r="L61" s="30" t="s">
        <v>1021</v>
      </c>
      <c r="M61" s="32">
        <f>COUNTIF(Однолинейка!$AY$3:$AY$1000,1)</f>
        <v>52</v>
      </c>
    </row>
    <row r="62" spans="1:15" x14ac:dyDescent="0.3">
      <c r="A62" s="29">
        <f>IFERROR(MATCH(ROW()-3,Каталог!$AF$4:$AF$500,0),"")</f>
        <v>84</v>
      </c>
      <c r="B62" s="29" t="str">
        <f t="shared" si="1"/>
        <v>1.59</v>
      </c>
      <c r="C62" s="30" t="str">
        <f>IF($A62="","",INDEX(Каталог!$G$4:$G$500,$A62)&amp;"")</f>
        <v xml:space="preserve">Провод ПуГВ 16 кв. мм Ж/З, многопроволочный </v>
      </c>
      <c r="D62" s="33"/>
      <c r="E62" s="31" t="str">
        <f>IF($A62="","",INDEX(Каталог!$H$4:$H$500,$A62)&amp;"")</f>
        <v>ПуГВ 16</v>
      </c>
      <c r="F62" s="32" t="str">
        <f>IF($A62="","",INDEX(Каталог!$B$4:$B$500,$A62)&amp;"")</f>
        <v>РЭК</v>
      </c>
      <c r="G62" s="32" t="str">
        <f>IF($A62="","",INDEX(Каталог!$M$4:$M$500,$A62)&amp;"")</f>
        <v>м.</v>
      </c>
      <c r="H62" s="32">
        <f>IF($A62="","",INDEX(Каталог!$P$4:$P$500,$A62))</f>
        <v>8</v>
      </c>
      <c r="I62" s="5"/>
      <c r="J62" s="5"/>
      <c r="L62" s="30" t="s">
        <v>1022</v>
      </c>
      <c r="M62" s="32">
        <f>SUM(Однолинейка!$BW$3:$BW$1000)</f>
        <v>52</v>
      </c>
    </row>
    <row r="63" spans="1:15" x14ac:dyDescent="0.3">
      <c r="A63" s="29">
        <f>IFERROR(MATCH(ROW()-3,Каталог!$AF$4:$AF$500,0),"")</f>
        <v>85</v>
      </c>
      <c r="B63" s="29" t="str">
        <f t="shared" si="1"/>
        <v>1.60</v>
      </c>
      <c r="C63" s="30" t="str">
        <f>IF($A63="","",INDEX(Каталог!$G$4:$G$500,$A63)&amp;"")</f>
        <v>Наконечник НШВИ 1.5-12 (100шт)</v>
      </c>
      <c r="D63" s="33"/>
      <c r="E63" s="31" t="str">
        <f>IF($A63="","",INDEX(Каталог!$H$4:$H$500,$A63)&amp;"")</f>
        <v>79441</v>
      </c>
      <c r="F63" s="32" t="str">
        <f>IF($A63="","",INDEX(Каталог!$B$4:$B$500,$A63)&amp;"")</f>
        <v>КВТ</v>
      </c>
      <c r="G63" s="32" t="str">
        <f>IF($A63="","",INDEX(Каталог!$M$4:$M$500,$A63)&amp;"")</f>
        <v>упак.</v>
      </c>
      <c r="H63" s="32">
        <f>IF($A63="","",INDEX(Каталог!$P$4:$P$500,$A63))</f>
        <v>2</v>
      </c>
      <c r="I63" s="5"/>
      <c r="J63" s="5"/>
      <c r="L63" s="30" t="s">
        <v>1023</v>
      </c>
      <c r="M63" s="32">
        <f>SUM(Однолинейка!$BX$3:$BX$1000)</f>
        <v>24</v>
      </c>
    </row>
    <row r="64" spans="1:15" ht="27.6" x14ac:dyDescent="0.3">
      <c r="A64" s="29">
        <f>IFERROR(MATCH(ROW()-3,Каталог!$AF$4:$AF$500,0),"")</f>
        <v>86</v>
      </c>
      <c r="B64" s="29" t="str">
        <f t="shared" si="1"/>
        <v>1.61</v>
      </c>
      <c r="C64" s="30" t="str">
        <f>IF($A64="","",INDEX(Каталог!$G$4:$G$500,$A64)&amp;"")</f>
        <v>Наконечник НШВИ(2) 1.5-12 (100шт)</v>
      </c>
      <c r="D64" s="33"/>
      <c r="E64" s="31" t="str">
        <f>IF($A64="","",INDEX(Каталог!$H$4:$H$500,$A64)&amp;"")</f>
        <v>79467</v>
      </c>
      <c r="F64" s="32" t="str">
        <f>IF($A64="","",INDEX(Каталог!$B$4:$B$500,$A64)&amp;"")</f>
        <v>КВТ</v>
      </c>
      <c r="G64" s="32" t="str">
        <f>IF($A64="","",INDEX(Каталог!$M$4:$M$500,$A64)&amp;"")</f>
        <v>упак.</v>
      </c>
      <c r="H64" s="32">
        <f>IF($A64="","",INDEX(Каталог!$P$4:$P$500,$A64))</f>
        <v>2</v>
      </c>
      <c r="I64" s="5"/>
      <c r="J64" s="5"/>
      <c r="L64" s="30" t="s">
        <v>1024</v>
      </c>
    </row>
    <row r="65" spans="1:12" x14ac:dyDescent="0.3">
      <c r="A65" s="29">
        <f>IFERROR(MATCH(ROW()-3,Каталог!$AF$4:$AF$500,0),"")</f>
        <v>87</v>
      </c>
      <c r="B65" s="29" t="str">
        <f t="shared" si="1"/>
        <v>1.62</v>
      </c>
      <c r="C65" s="30" t="str">
        <f>IF($A65="","",INDEX(Каталог!$G$4:$G$500,$A65)&amp;"")</f>
        <v>Наконечник НШВИ 2.5-12 (100шт)</v>
      </c>
      <c r="D65" s="33"/>
      <c r="E65" s="31" t="str">
        <f>IF($A65="","",INDEX(Каталог!$H$4:$H$500,$A65)&amp;"")</f>
        <v>79444</v>
      </c>
      <c r="F65" s="32" t="str">
        <f>IF($A65="","",INDEX(Каталог!$B$4:$B$500,$A65)&amp;"")</f>
        <v>КВТ</v>
      </c>
      <c r="G65" s="32" t="str">
        <f>IF($A65="","",INDEX(Каталог!$M$4:$M$500,$A65)&amp;"")</f>
        <v>упак.</v>
      </c>
      <c r="H65" s="32">
        <f>IF($A65="","",INDEX(Каталог!$P$4:$P$500,$A65))</f>
        <v>2</v>
      </c>
      <c r="I65" s="5"/>
      <c r="J65" s="5"/>
      <c r="L65" s="30"/>
    </row>
    <row r="66" spans="1:12" x14ac:dyDescent="0.3">
      <c r="A66" s="29">
        <f>IFERROR(MATCH(ROW()-3,Каталог!$AF$4:$AF$500,0),"")</f>
        <v>88</v>
      </c>
      <c r="B66" s="29" t="str">
        <f t="shared" si="1"/>
        <v>1.63</v>
      </c>
      <c r="C66" s="30" t="str">
        <f>IF($A66="","",INDEX(Каталог!$G$4:$G$500,$A66)&amp;"")</f>
        <v>Наконечник НШВИ(2) 2.5-13 (100шт)</v>
      </c>
      <c r="D66" s="33"/>
      <c r="E66" s="31" t="str">
        <f>IF($A66="","",INDEX(Каталог!$H$4:$H$500,$A66)&amp;"")</f>
        <v>79469</v>
      </c>
      <c r="F66" s="32" t="str">
        <f>IF($A66="","",INDEX(Каталог!$B$4:$B$500,$A66)&amp;"")</f>
        <v>КВТ</v>
      </c>
      <c r="G66" s="32" t="str">
        <f>IF($A66="","",INDEX(Каталог!$M$4:$M$500,$A66)&amp;"")</f>
        <v>упак.</v>
      </c>
      <c r="H66" s="32">
        <f>IF($A66="","",INDEX(Каталог!$P$4:$P$500,$A66))</f>
        <v>2</v>
      </c>
      <c r="I66" s="5"/>
      <c r="J66" s="5"/>
      <c r="L66" s="30"/>
    </row>
    <row r="67" spans="1:12" x14ac:dyDescent="0.3">
      <c r="A67" s="29">
        <f>IFERROR(MATCH(ROW()-3,Каталог!$AF$4:$AF$500,0),"")</f>
        <v>89</v>
      </c>
      <c r="B67" s="29" t="str">
        <f t="shared" si="1"/>
        <v>1.64</v>
      </c>
      <c r="C67" s="30" t="str">
        <f>IF($A67="","",INDEX(Каталог!$G$4:$G$500,$A67)&amp;"")</f>
        <v>Наконечник НШВИ 4.0–12 (100шт)</v>
      </c>
      <c r="D67" s="33"/>
      <c r="E67" s="31" t="str">
        <f>IF($A67="","",INDEX(Каталог!$H$4:$H$500,$A67)&amp;"")</f>
        <v>79447</v>
      </c>
      <c r="F67" s="32" t="str">
        <f>IF($A67="","",INDEX(Каталог!$B$4:$B$500,$A67)&amp;"")</f>
        <v>КВТ</v>
      </c>
      <c r="G67" s="32" t="str">
        <f>IF($A67="","",INDEX(Каталог!$M$4:$M$500,$A67)&amp;"")</f>
        <v>упак.</v>
      </c>
      <c r="H67" s="32">
        <f>IF($A67="","",INDEX(Каталог!$P$4:$P$500,$A67))</f>
        <v>1</v>
      </c>
      <c r="I67" s="5"/>
      <c r="J67" s="5"/>
    </row>
    <row r="68" spans="1:12" x14ac:dyDescent="0.3">
      <c r="A68" s="29">
        <f>IFERROR(MATCH(ROW()-3,Каталог!$AF$4:$AF$500,0),"")</f>
        <v>90</v>
      </c>
      <c r="B68" s="29" t="str">
        <f t="shared" ref="B68:B99" si="2">IF($A68="","",$B$3&amp;"."&amp;(ROW()-3))</f>
        <v>1.65</v>
      </c>
      <c r="C68" s="30" t="str">
        <f>IF($A68="","",INDEX(Каталог!$G$4:$G$500,$A68)&amp;"")</f>
        <v>Наконечник НШВИ(2) 4.0-12 (100шт)</v>
      </c>
      <c r="D68" s="33"/>
      <c r="E68" s="31" t="str">
        <f>IF($A68="","",INDEX(Каталог!$H$4:$H$500,$A68)&amp;"")</f>
        <v>79470</v>
      </c>
      <c r="F68" s="32" t="str">
        <f>IF($A68="","",INDEX(Каталог!$B$4:$B$500,$A68)&amp;"")</f>
        <v>КВТ</v>
      </c>
      <c r="G68" s="32" t="str">
        <f>IF($A68="","",INDEX(Каталог!$M$4:$M$500,$A68)&amp;"")</f>
        <v>упак.</v>
      </c>
      <c r="H68" s="32">
        <f>IF($A68="","",INDEX(Каталог!$P$4:$P$500,$A68))</f>
        <v>1</v>
      </c>
      <c r="I68" s="5"/>
      <c r="J68" s="5"/>
    </row>
    <row r="69" spans="1:12" x14ac:dyDescent="0.3">
      <c r="A69" s="29">
        <f>IFERROR(MATCH(ROW()-3,Каталог!$AF$4:$AF$500,0),"")</f>
        <v>91</v>
      </c>
      <c r="B69" s="29" t="str">
        <f t="shared" si="2"/>
        <v>1.66</v>
      </c>
      <c r="C69" s="30" t="str">
        <f>IF($A69="","",INDEX(Каталог!$G$4:$G$500,$A69)&amp;"")</f>
        <v>Наконечник НШВИ 16–12 (100шт)</v>
      </c>
      <c r="D69" s="33"/>
      <c r="E69" s="31" t="str">
        <f>IF($A69="","",INDEX(Каталог!$H$4:$H$500,$A69)&amp;"")</f>
        <v>79452</v>
      </c>
      <c r="F69" s="32" t="str">
        <f>IF($A69="","",INDEX(Каталог!$B$4:$B$500,$A69)&amp;"")</f>
        <v>КВТ</v>
      </c>
      <c r="G69" s="32" t="str">
        <f>IF($A69="","",INDEX(Каталог!$M$4:$M$500,$A69)&amp;"")</f>
        <v>шт.</v>
      </c>
      <c r="H69" s="32">
        <f>IF($A69="","",INDEX(Каталог!$P$4:$P$500,$A69))</f>
        <v>40</v>
      </c>
      <c r="I69" s="5"/>
      <c r="J69" s="5"/>
    </row>
    <row r="70" spans="1:12" x14ac:dyDescent="0.3">
      <c r="A70" s="29">
        <f>IFERROR(MATCH(ROW()-3,Каталог!$AF$4:$AF$500,0),"")</f>
        <v>92</v>
      </c>
      <c r="B70" s="29" t="str">
        <f t="shared" si="2"/>
        <v>1.67</v>
      </c>
      <c r="C70" s="30" t="str">
        <f>IF($A70="","",INDEX(Каталог!$G$4:$G$500,$A70)&amp;"")</f>
        <v>Наконечник НШВИ(2) 16–14 (100шт)</v>
      </c>
      <c r="D70" s="33"/>
      <c r="E70" s="31" t="str">
        <f>IF($A70="","",INDEX(Каталог!$H$4:$H$500,$A70)&amp;"")</f>
        <v>79473</v>
      </c>
      <c r="F70" s="32" t="str">
        <f>IF($A70="","",INDEX(Каталог!$B$4:$B$500,$A70)&amp;"")</f>
        <v>КВТ</v>
      </c>
      <c r="G70" s="32" t="str">
        <f>IF($A70="","",INDEX(Каталог!$M$4:$M$500,$A70)&amp;"")</f>
        <v>шт.</v>
      </c>
      <c r="H70" s="32">
        <f>IF($A70="","",INDEX(Каталог!$P$4:$P$500,$A70))</f>
        <v>20</v>
      </c>
      <c r="I70" s="5"/>
      <c r="J70" s="5"/>
    </row>
    <row r="71" spans="1:12" x14ac:dyDescent="0.3">
      <c r="A71" s="29">
        <f>IFERROR(MATCH(ROW()-3,Каталог!$AF$4:$AF$500,0),"")</f>
        <v>93</v>
      </c>
      <c r="B71" s="29" t="str">
        <f t="shared" si="2"/>
        <v>1.68</v>
      </c>
      <c r="C71" s="30" t="str">
        <f>IF($A71="","",INDEX(Каталог!$G$4:$G$500,$A71)&amp;"")</f>
        <v>Огнетушитель порошковый самосрабатывающий</v>
      </c>
      <c r="D71" s="33"/>
      <c r="E71" s="31" t="str">
        <f>IF($A71="","",INDEX(Каталог!$H$4:$H$500,$A71)&amp;"")</f>
        <v>ОСП-1</v>
      </c>
      <c r="F71" s="32" t="str">
        <f>IF($A71="","",INDEX(Каталог!$B$4:$B$500,$A71)&amp;"")</f>
        <v>Россия</v>
      </c>
      <c r="G71" s="32" t="str">
        <f>IF($A71="","",INDEX(Каталог!$M$4:$M$500,$A71)&amp;"")</f>
        <v>шт.</v>
      </c>
      <c r="H71" s="32">
        <f>IF($A71="","",INDEX(Каталог!$P$4:$P$500,$A71))</f>
        <v>1</v>
      </c>
      <c r="I71" s="5"/>
      <c r="J71" s="5"/>
    </row>
    <row r="72" spans="1:12" x14ac:dyDescent="0.3">
      <c r="A72" s="29">
        <f>IFERROR(MATCH(ROW()-3,Каталог!$AF$4:$AF$500,0),"")</f>
        <v>94</v>
      </c>
      <c r="B72" s="29" t="str">
        <f t="shared" si="2"/>
        <v>1.69</v>
      </c>
      <c r="C72" s="30" t="str">
        <f>IF($A72="","",INDEX(Каталог!$G$4:$G$500,$A72)&amp;"")</f>
        <v>Термостат модульный с регулируемым диапазоном температуры -10…+80°C, NO-контакт</v>
      </c>
      <c r="D72" s="33"/>
      <c r="E72" s="31" t="str">
        <f>IF($A72="","",INDEX(Каталог!$H$4:$H$500,$A72)&amp;"")</f>
        <v>R5MTHNO</v>
      </c>
      <c r="F72" s="32" t="str">
        <f>IF($A72="","",INDEX(Каталог!$B$4:$B$500,$A72)&amp;"")</f>
        <v>DKC</v>
      </c>
      <c r="G72" s="32" t="str">
        <f>IF($A72="","",INDEX(Каталог!$M$4:$M$500,$A72)&amp;"")</f>
        <v>шт.</v>
      </c>
      <c r="H72" s="32">
        <f>IF($A72="","",INDEX(Каталог!$P$4:$P$500,$A72))</f>
        <v>1</v>
      </c>
      <c r="I72" s="5"/>
      <c r="J72" s="5"/>
    </row>
    <row r="73" spans="1:12" x14ac:dyDescent="0.3">
      <c r="A73" s="29">
        <f>IFERROR(MATCH(ROW()-3,Каталог!$AF$4:$AF$500,0),"")</f>
        <v>95</v>
      </c>
      <c r="B73" s="29" t="str">
        <f t="shared" si="2"/>
        <v>1.70</v>
      </c>
      <c r="C73" s="30" t="str">
        <f>IF($A73="","",INDEX(Каталог!$G$4:$G$500,$A73)&amp;"")</f>
        <v>Вентилятор с фильтром RV 44/46 м3/ч, 230 В, 150x150 мм, IP54</v>
      </c>
      <c r="D73" s="33"/>
      <c r="E73" s="31" t="str">
        <f>IF($A73="","",INDEX(Каталог!$H$4:$H$500,$A73)&amp;"")</f>
        <v>R5RV12230</v>
      </c>
      <c r="F73" s="32" t="str">
        <f>IF($A73="","",INDEX(Каталог!$B$4:$B$500,$A73)&amp;"")</f>
        <v>DKC</v>
      </c>
      <c r="G73" s="32" t="str">
        <f>IF($A73="","",INDEX(Каталог!$M$4:$M$500,$A73)&amp;"")</f>
        <v>шт.</v>
      </c>
      <c r="H73" s="32">
        <f>IF($A73="","",INDEX(Каталог!$P$4:$P$500,$A73))</f>
        <v>1</v>
      </c>
      <c r="I73" s="5"/>
      <c r="J73" s="5"/>
    </row>
    <row r="74" spans="1:12" x14ac:dyDescent="0.3">
      <c r="A74" s="29">
        <f>IFERROR(MATCH(ROW()-3,Каталог!$AF$4:$AF$500,0),"")</f>
        <v>96</v>
      </c>
      <c r="B74" s="29" t="str">
        <f t="shared" si="2"/>
        <v>1.71</v>
      </c>
      <c r="C74" s="30" t="str">
        <f>IF($A74="","",INDEX(Каталог!$G$4:$G$500,$A74)&amp;"")</f>
        <v>Вентиляционная решетка с фильтром RF 150x150 мм, IP54</v>
      </c>
      <c r="D74" s="33"/>
      <c r="E74" s="31" t="str">
        <f>IF($A74="","",INDEX(Каталог!$H$4:$H$500,$A74)&amp;"")</f>
        <v>R5RF12</v>
      </c>
      <c r="F74" s="32" t="str">
        <f>IF($A74="","",INDEX(Каталог!$B$4:$B$500,$A74)&amp;"")</f>
        <v>DKC</v>
      </c>
      <c r="G74" s="32" t="str">
        <f>IF($A74="","",INDEX(Каталог!$M$4:$M$500,$A74)&amp;"")</f>
        <v>шт.</v>
      </c>
      <c r="H74" s="32">
        <f>IF($A74="","",INDEX(Каталог!$P$4:$P$500,$A74))</f>
        <v>1</v>
      </c>
      <c r="I74" s="5"/>
      <c r="J74" s="5"/>
    </row>
    <row r="75" spans="1:12" x14ac:dyDescent="0.3">
      <c r="A75" s="29">
        <f>IFERROR(MATCH(ROW()-3,Каталог!$AF$4:$AF$500,0),"")</f>
        <v>97</v>
      </c>
      <c r="B75" s="29" t="str">
        <f t="shared" si="2"/>
        <v>1.72</v>
      </c>
      <c r="C75" s="30" t="str">
        <f>IF($A75="","",INDEX(Каталог!$G$4:$G$500,$A75)&amp;"")</f>
        <v xml:space="preserve">Расходные материалы (наконечники для кабелей ПуГВ, бирки, термоусадка 4-х цветов (Б,Ч,К,С)стяжки, изолента и т. д.) </v>
      </c>
      <c r="D75" s="33"/>
      <c r="E75" s="31" t="str">
        <f>IF($A75="","",INDEX(Каталог!$H$4:$H$500,$A75)&amp;"")</f>
        <v/>
      </c>
      <c r="F75" s="32" t="str">
        <f>IF($A75="","",INDEX(Каталог!$B$4:$B$500,$A75)&amp;"")</f>
        <v/>
      </c>
      <c r="G75" s="32" t="str">
        <f>IF($A75="","",INDEX(Каталог!$M$4:$M$500,$A75)&amp;"")</f>
        <v>комп.</v>
      </c>
      <c r="H75" s="32">
        <f>IF($A75="","",INDEX(Каталог!$P$4:$P$500,$A75))</f>
        <v>1</v>
      </c>
      <c r="I75" s="5"/>
      <c r="J75" s="5"/>
    </row>
    <row r="76" spans="1:12" x14ac:dyDescent="0.3">
      <c r="A76" s="29" t="str">
        <f>IFERROR(MATCH(ROW()-3,Каталог!$AF$4:$AF$500,0),"")</f>
        <v/>
      </c>
      <c r="B76" s="29" t="str">
        <f t="shared" si="2"/>
        <v/>
      </c>
      <c r="C76" s="30" t="str">
        <f>IF($A76="","",INDEX(Каталог!$G$4:$G$500,$A76)&amp;"")</f>
        <v/>
      </c>
      <c r="D76" s="33"/>
      <c r="E76" s="31" t="str">
        <f>IF($A76="","",INDEX(Каталог!$H$4:$H$500,$A76)&amp;"")</f>
        <v/>
      </c>
      <c r="F76" s="32" t="str">
        <f>IF($A76="","",INDEX(Каталог!$B$4:$B$500,$A76)&amp;"")</f>
        <v/>
      </c>
      <c r="G76" s="32" t="str">
        <f>IF($A76="","",INDEX(Каталог!$M$4:$M$500,$A76)&amp;"")</f>
        <v/>
      </c>
      <c r="H76" s="32" t="str">
        <f>IF($A76="","",INDEX(Каталог!$P$4:$P$500,$A76))</f>
        <v/>
      </c>
      <c r="I76" s="5"/>
      <c r="J76" s="5"/>
    </row>
    <row r="77" spans="1:12" x14ac:dyDescent="0.3">
      <c r="A77" s="29" t="str">
        <f>IFERROR(MATCH(ROW()-3,Каталог!$AF$4:$AF$500,0),"")</f>
        <v/>
      </c>
      <c r="B77" s="29" t="str">
        <f t="shared" si="2"/>
        <v/>
      </c>
      <c r="C77" s="30" t="str">
        <f>IF($A77="","",INDEX(Каталог!$G$4:$G$500,$A77)&amp;"")</f>
        <v/>
      </c>
      <c r="D77" s="33"/>
      <c r="E77" s="31" t="str">
        <f>IF($A77="","",INDEX(Каталог!$H$4:$H$500,$A77)&amp;"")</f>
        <v/>
      </c>
      <c r="F77" s="32" t="str">
        <f>IF($A77="","",INDEX(Каталог!$B$4:$B$500,$A77)&amp;"")</f>
        <v/>
      </c>
      <c r="G77" s="32" t="str">
        <f>IF($A77="","",INDEX(Каталог!$M$4:$M$500,$A77)&amp;"")</f>
        <v/>
      </c>
      <c r="H77" s="32" t="str">
        <f>IF($A77="","",INDEX(Каталог!$P$4:$P$500,$A77))</f>
        <v/>
      </c>
      <c r="I77" s="5"/>
      <c r="J77" s="5"/>
    </row>
    <row r="78" spans="1:12" x14ac:dyDescent="0.3">
      <c r="A78" s="29" t="str">
        <f>IFERROR(MATCH(ROW()-3,Каталог!$AF$4:$AF$500,0),"")</f>
        <v/>
      </c>
      <c r="B78" s="29" t="str">
        <f t="shared" si="2"/>
        <v/>
      </c>
      <c r="C78" s="30" t="str">
        <f>IF($A78="","",INDEX(Каталог!$G$4:$G$500,$A78)&amp;"")</f>
        <v/>
      </c>
      <c r="D78" s="33"/>
      <c r="E78" s="31" t="str">
        <f>IF($A78="","",INDEX(Каталог!$H$4:$H$500,$A78)&amp;"")</f>
        <v/>
      </c>
      <c r="F78" s="32" t="str">
        <f>IF($A78="","",INDEX(Каталог!$B$4:$B$500,$A78)&amp;"")</f>
        <v/>
      </c>
      <c r="G78" s="32" t="str">
        <f>IF($A78="","",INDEX(Каталог!$M$4:$M$500,$A78)&amp;"")</f>
        <v/>
      </c>
      <c r="H78" s="32" t="str">
        <f>IF($A78="","",INDEX(Каталог!$P$4:$P$500,$A78))</f>
        <v/>
      </c>
      <c r="I78" s="5"/>
      <c r="J78" s="5"/>
    </row>
    <row r="79" spans="1:12" x14ac:dyDescent="0.3">
      <c r="A79" s="29" t="str">
        <f>IFERROR(MATCH(ROW()-3,Каталог!$AF$4:$AF$500,0),"")</f>
        <v/>
      </c>
      <c r="B79" s="29" t="str">
        <f t="shared" si="2"/>
        <v/>
      </c>
      <c r="C79" s="30" t="str">
        <f>IF($A79="","",INDEX(Каталог!$G$4:$G$500,$A79)&amp;"")</f>
        <v/>
      </c>
      <c r="D79" s="33"/>
      <c r="E79" s="31" t="str">
        <f>IF($A79="","",INDEX(Каталог!$H$4:$H$500,$A79)&amp;"")</f>
        <v/>
      </c>
      <c r="F79" s="32" t="str">
        <f>IF($A79="","",INDEX(Каталог!$B$4:$B$500,$A79)&amp;"")</f>
        <v/>
      </c>
      <c r="G79" s="32" t="str">
        <f>IF($A79="","",INDEX(Каталог!$M$4:$M$500,$A79)&amp;"")</f>
        <v/>
      </c>
      <c r="H79" s="32" t="str">
        <f>IF($A79="","",INDEX(Каталог!$P$4:$P$500,$A79))</f>
        <v/>
      </c>
      <c r="I79" s="5"/>
      <c r="J79" s="5"/>
    </row>
    <row r="80" spans="1:12" x14ac:dyDescent="0.3">
      <c r="A80" s="29" t="str">
        <f>IFERROR(MATCH(ROW()-3,Каталог!$AF$4:$AF$500,0),"")</f>
        <v/>
      </c>
      <c r="B80" s="29" t="str">
        <f t="shared" si="2"/>
        <v/>
      </c>
      <c r="C80" s="30" t="str">
        <f>IF($A80="","",INDEX(Каталог!$G$4:$G$500,$A80)&amp;"")</f>
        <v/>
      </c>
      <c r="D80" s="33"/>
      <c r="E80" s="31" t="str">
        <f>IF($A80="","",INDEX(Каталог!$H$4:$H$500,$A80)&amp;"")</f>
        <v/>
      </c>
      <c r="F80" s="32" t="str">
        <f>IF($A80="","",INDEX(Каталог!$B$4:$B$500,$A80)&amp;"")</f>
        <v/>
      </c>
      <c r="G80" s="32" t="str">
        <f>IF($A80="","",INDEX(Каталог!$M$4:$M$500,$A80)&amp;"")</f>
        <v/>
      </c>
      <c r="H80" s="32" t="str">
        <f>IF($A80="","",INDEX(Каталог!$P$4:$P$500,$A80))</f>
        <v/>
      </c>
      <c r="I80" s="5"/>
      <c r="J80" s="5"/>
    </row>
    <row r="81" spans="1:10" x14ac:dyDescent="0.3">
      <c r="A81" s="29" t="str">
        <f>IFERROR(MATCH(ROW()-3,Каталог!$AF$4:$AF$500,0),"")</f>
        <v/>
      </c>
      <c r="B81" s="29" t="str">
        <f t="shared" si="2"/>
        <v/>
      </c>
      <c r="C81" s="30" t="str">
        <f>IF($A81="","",INDEX(Каталог!$G$4:$G$500,$A81)&amp;"")</f>
        <v/>
      </c>
      <c r="D81" s="33"/>
      <c r="E81" s="31" t="str">
        <f>IF($A81="","",INDEX(Каталог!$H$4:$H$500,$A81)&amp;"")</f>
        <v/>
      </c>
      <c r="F81" s="32" t="str">
        <f>IF($A81="","",INDEX(Каталог!$B$4:$B$500,$A81)&amp;"")</f>
        <v/>
      </c>
      <c r="G81" s="32" t="str">
        <f>IF($A81="","",INDEX(Каталог!$M$4:$M$500,$A81)&amp;"")</f>
        <v/>
      </c>
      <c r="H81" s="32" t="str">
        <f>IF($A81="","",INDEX(Каталог!$P$4:$P$500,$A81))</f>
        <v/>
      </c>
      <c r="I81" s="5"/>
      <c r="J81" s="5"/>
    </row>
    <row r="82" spans="1:10" x14ac:dyDescent="0.3">
      <c r="A82" s="29" t="str">
        <f>IFERROR(MATCH(ROW()-3,Каталог!$AF$4:$AF$500,0),"")</f>
        <v/>
      </c>
      <c r="B82" s="29" t="str">
        <f t="shared" si="2"/>
        <v/>
      </c>
      <c r="C82" s="30" t="str">
        <f>IF($A82="","",INDEX(Каталог!$G$4:$G$500,$A82)&amp;"")</f>
        <v/>
      </c>
      <c r="D82" s="33"/>
      <c r="E82" s="31" t="str">
        <f>IF($A82="","",INDEX(Каталог!$H$4:$H$500,$A82)&amp;"")</f>
        <v/>
      </c>
      <c r="F82" s="32" t="str">
        <f>IF($A82="","",INDEX(Каталог!$B$4:$B$500,$A82)&amp;"")</f>
        <v/>
      </c>
      <c r="G82" s="32" t="str">
        <f>IF($A82="","",INDEX(Каталог!$M$4:$M$500,$A82)&amp;"")</f>
        <v/>
      </c>
      <c r="H82" s="32" t="str">
        <f>IF($A82="","",INDEX(Каталог!$P$4:$P$500,$A82))</f>
        <v/>
      </c>
      <c r="I82" s="5"/>
      <c r="J82" s="5"/>
    </row>
    <row r="83" spans="1:10" x14ac:dyDescent="0.3">
      <c r="A83" s="29" t="str">
        <f>IFERROR(MATCH(ROW()-3,Каталог!$AF$4:$AF$500,0),"")</f>
        <v/>
      </c>
      <c r="B83" s="29" t="str">
        <f t="shared" si="2"/>
        <v/>
      </c>
      <c r="C83" s="30" t="str">
        <f>IF($A83="","",INDEX(Каталог!$G$4:$G$500,$A83)&amp;"")</f>
        <v/>
      </c>
      <c r="D83" s="33"/>
      <c r="E83" s="31" t="str">
        <f>IF($A83="","",INDEX(Каталог!$H$4:$H$500,$A83)&amp;"")</f>
        <v/>
      </c>
      <c r="F83" s="32" t="str">
        <f>IF($A83="","",INDEX(Каталог!$B$4:$B$500,$A83)&amp;"")</f>
        <v/>
      </c>
      <c r="G83" s="32" t="str">
        <f>IF($A83="","",INDEX(Каталог!$M$4:$M$500,$A83)&amp;"")</f>
        <v/>
      </c>
      <c r="H83" s="32" t="str">
        <f>IF($A83="","",INDEX(Каталог!$P$4:$P$500,$A83))</f>
        <v/>
      </c>
      <c r="I83" s="5"/>
      <c r="J83" s="5"/>
    </row>
    <row r="84" spans="1:10" x14ac:dyDescent="0.3">
      <c r="A84" s="29" t="str">
        <f>IFERROR(MATCH(ROW()-3,Каталог!$AF$4:$AF$500,0),"")</f>
        <v/>
      </c>
      <c r="B84" s="29" t="str">
        <f t="shared" si="2"/>
        <v/>
      </c>
      <c r="C84" s="30" t="str">
        <f>IF($A84="","",INDEX(Каталог!$G$4:$G$500,$A84)&amp;"")</f>
        <v/>
      </c>
      <c r="D84" s="33"/>
      <c r="E84" s="31" t="str">
        <f>IF($A84="","",INDEX(Каталог!$H$4:$H$500,$A84)&amp;"")</f>
        <v/>
      </c>
      <c r="F84" s="32" t="str">
        <f>IF($A84="","",INDEX(Каталог!$B$4:$B$500,$A84)&amp;"")</f>
        <v/>
      </c>
      <c r="G84" s="32" t="str">
        <f>IF($A84="","",INDEX(Каталог!$M$4:$M$500,$A84)&amp;"")</f>
        <v/>
      </c>
      <c r="H84" s="32" t="str">
        <f>IF($A84="","",INDEX(Каталог!$P$4:$P$500,$A84))</f>
        <v/>
      </c>
      <c r="I84" s="5"/>
      <c r="J84" s="5"/>
    </row>
    <row r="85" spans="1:10" x14ac:dyDescent="0.3">
      <c r="A85" s="29" t="str">
        <f>IFERROR(MATCH(ROW()-3,Каталог!$AF$4:$AF$500,0),"")</f>
        <v/>
      </c>
      <c r="B85" s="29" t="str">
        <f t="shared" si="2"/>
        <v/>
      </c>
      <c r="C85" s="30" t="str">
        <f>IF($A85="","",INDEX(Каталог!$G$4:$G$500,$A85)&amp;"")</f>
        <v/>
      </c>
      <c r="D85" s="33"/>
      <c r="E85" s="31" t="str">
        <f>IF($A85="","",INDEX(Каталог!$H$4:$H$500,$A85)&amp;"")</f>
        <v/>
      </c>
      <c r="F85" s="32" t="str">
        <f>IF($A85="","",INDEX(Каталог!$B$4:$B$500,$A85)&amp;"")</f>
        <v/>
      </c>
      <c r="G85" s="32" t="str">
        <f>IF($A85="","",INDEX(Каталог!$M$4:$M$500,$A85)&amp;"")</f>
        <v/>
      </c>
      <c r="H85" s="32" t="str">
        <f>IF($A85="","",INDEX(Каталог!$P$4:$P$500,$A85))</f>
        <v/>
      </c>
      <c r="I85" s="5"/>
      <c r="J85" s="5"/>
    </row>
    <row r="86" spans="1:10" x14ac:dyDescent="0.3">
      <c r="A86" s="29" t="str">
        <f>IFERROR(MATCH(ROW()-3,Каталог!$AF$4:$AF$500,0),"")</f>
        <v/>
      </c>
      <c r="B86" s="29" t="str">
        <f t="shared" si="2"/>
        <v/>
      </c>
      <c r="C86" s="30" t="str">
        <f>IF($A86="","",INDEX(Каталог!$G$4:$G$500,$A86)&amp;"")</f>
        <v/>
      </c>
      <c r="D86" s="33"/>
      <c r="E86" s="31" t="str">
        <f>IF($A86="","",INDEX(Каталог!$H$4:$H$500,$A86)&amp;"")</f>
        <v/>
      </c>
      <c r="F86" s="32" t="str">
        <f>IF($A86="","",INDEX(Каталог!$B$4:$B$500,$A86)&amp;"")</f>
        <v/>
      </c>
      <c r="G86" s="32" t="str">
        <f>IF($A86="","",INDEX(Каталог!$M$4:$M$500,$A86)&amp;"")</f>
        <v/>
      </c>
      <c r="H86" s="32" t="str">
        <f>IF($A86="","",INDEX(Каталог!$P$4:$P$500,$A86))</f>
        <v/>
      </c>
      <c r="I86" s="5"/>
      <c r="J86" s="5"/>
    </row>
    <row r="87" spans="1:10" x14ac:dyDescent="0.3">
      <c r="A87" s="29" t="str">
        <f>IFERROR(MATCH(ROW()-3,Каталог!$AF$4:$AF$500,0),"")</f>
        <v/>
      </c>
      <c r="B87" s="29" t="str">
        <f t="shared" si="2"/>
        <v/>
      </c>
      <c r="C87" s="30" t="str">
        <f>IF($A87="","",INDEX(Каталог!$G$4:$G$500,$A87)&amp;"")</f>
        <v/>
      </c>
      <c r="D87" s="33"/>
      <c r="E87" s="31" t="str">
        <f>IF($A87="","",INDEX(Каталог!$H$4:$H$500,$A87)&amp;"")</f>
        <v/>
      </c>
      <c r="F87" s="32" t="str">
        <f>IF($A87="","",INDEX(Каталог!$B$4:$B$500,$A87)&amp;"")</f>
        <v/>
      </c>
      <c r="G87" s="32" t="str">
        <f>IF($A87="","",INDEX(Каталог!$M$4:$M$500,$A87)&amp;"")</f>
        <v/>
      </c>
      <c r="H87" s="32" t="str">
        <f>IF($A87="","",INDEX(Каталог!$P$4:$P$500,$A87))</f>
        <v/>
      </c>
      <c r="I87" s="5"/>
      <c r="J87" s="5"/>
    </row>
    <row r="88" spans="1:10" x14ac:dyDescent="0.3">
      <c r="A88" s="29" t="str">
        <f>IFERROR(MATCH(ROW()-3,Каталог!$AF$4:$AF$500,0),"")</f>
        <v/>
      </c>
      <c r="B88" s="29" t="str">
        <f t="shared" si="2"/>
        <v/>
      </c>
      <c r="C88" s="30" t="str">
        <f>IF($A88="","",INDEX(Каталог!$G$4:$G$500,$A88)&amp;"")</f>
        <v/>
      </c>
      <c r="D88" s="33"/>
      <c r="E88" s="31" t="str">
        <f>IF($A88="","",INDEX(Каталог!$H$4:$H$500,$A88)&amp;"")</f>
        <v/>
      </c>
      <c r="F88" s="32" t="str">
        <f>IF($A88="","",INDEX(Каталог!$B$4:$B$500,$A88)&amp;"")</f>
        <v/>
      </c>
      <c r="G88" s="32" t="str">
        <f>IF($A88="","",INDEX(Каталог!$M$4:$M$500,$A88)&amp;"")</f>
        <v/>
      </c>
      <c r="H88" s="32" t="str">
        <f>IF($A88="","",INDEX(Каталог!$P$4:$P$500,$A88))</f>
        <v/>
      </c>
      <c r="I88" s="5"/>
      <c r="J88" s="5"/>
    </row>
    <row r="89" spans="1:10" x14ac:dyDescent="0.3">
      <c r="A89" s="29" t="str">
        <f>IFERROR(MATCH(ROW()-3,Каталог!$AF$4:$AF$500,0),"")</f>
        <v/>
      </c>
      <c r="B89" s="29" t="str">
        <f t="shared" si="2"/>
        <v/>
      </c>
      <c r="C89" s="30" t="str">
        <f>IF($A89="","",INDEX(Каталог!$G$4:$G$500,$A89)&amp;"")</f>
        <v/>
      </c>
      <c r="D89" s="33"/>
      <c r="E89" s="31" t="str">
        <f>IF($A89="","",INDEX(Каталог!$H$4:$H$500,$A89)&amp;"")</f>
        <v/>
      </c>
      <c r="F89" s="32" t="str">
        <f>IF($A89="","",INDEX(Каталог!$B$4:$B$500,$A89)&amp;"")</f>
        <v/>
      </c>
      <c r="G89" s="32" t="str">
        <f>IF($A89="","",INDEX(Каталог!$M$4:$M$500,$A89)&amp;"")</f>
        <v/>
      </c>
      <c r="H89" s="32" t="str">
        <f>IF($A89="","",INDEX(Каталог!$P$4:$P$500,$A89))</f>
        <v/>
      </c>
      <c r="I89" s="5"/>
      <c r="J89" s="5"/>
    </row>
    <row r="90" spans="1:10" x14ac:dyDescent="0.3">
      <c r="A90" s="29" t="str">
        <f>IFERROR(MATCH(ROW()-3,Каталог!$AF$4:$AF$500,0),"")</f>
        <v/>
      </c>
      <c r="B90" s="29" t="str">
        <f t="shared" si="2"/>
        <v/>
      </c>
      <c r="C90" s="30" t="str">
        <f>IF($A90="","",INDEX(Каталог!$G$4:$G$500,$A90)&amp;"")</f>
        <v/>
      </c>
      <c r="D90" s="33"/>
      <c r="E90" s="31" t="str">
        <f>IF($A90="","",INDEX(Каталог!$H$4:$H$500,$A90)&amp;"")</f>
        <v/>
      </c>
      <c r="F90" s="32" t="str">
        <f>IF($A90="","",INDEX(Каталог!$B$4:$B$500,$A90)&amp;"")</f>
        <v/>
      </c>
      <c r="G90" s="32" t="str">
        <f>IF($A90="","",INDEX(Каталог!$M$4:$M$500,$A90)&amp;"")</f>
        <v/>
      </c>
      <c r="H90" s="32" t="str">
        <f>IF($A90="","",INDEX(Каталог!$P$4:$P$500,$A90))</f>
        <v/>
      </c>
      <c r="I90" s="5"/>
      <c r="J90" s="5"/>
    </row>
    <row r="91" spans="1:10" x14ac:dyDescent="0.3">
      <c r="A91" s="29" t="str">
        <f>IFERROR(MATCH(ROW()-3,Каталог!$AF$4:$AF$500,0),"")</f>
        <v/>
      </c>
      <c r="B91" s="29" t="str">
        <f t="shared" si="2"/>
        <v/>
      </c>
      <c r="C91" s="30" t="str">
        <f>IF($A91="","",INDEX(Каталог!$G$4:$G$500,$A91)&amp;"")</f>
        <v/>
      </c>
      <c r="D91" s="33"/>
      <c r="E91" s="31" t="str">
        <f>IF($A91="","",INDEX(Каталог!$H$4:$H$500,$A91)&amp;"")</f>
        <v/>
      </c>
      <c r="F91" s="32" t="str">
        <f>IF($A91="","",INDEX(Каталог!$B$4:$B$500,$A91)&amp;"")</f>
        <v/>
      </c>
      <c r="G91" s="32" t="str">
        <f>IF($A91="","",INDEX(Каталог!$M$4:$M$500,$A91)&amp;"")</f>
        <v/>
      </c>
      <c r="H91" s="32" t="str">
        <f>IF($A91="","",INDEX(Каталог!$P$4:$P$500,$A91))</f>
        <v/>
      </c>
      <c r="I91" s="5"/>
      <c r="J91" s="5"/>
    </row>
    <row r="92" spans="1:10" x14ac:dyDescent="0.3">
      <c r="A92" s="29" t="str">
        <f>IFERROR(MATCH(ROW()-3,Каталог!$AF$4:$AF$500,0),"")</f>
        <v/>
      </c>
      <c r="B92" s="29" t="str">
        <f t="shared" si="2"/>
        <v/>
      </c>
      <c r="C92" s="30" t="str">
        <f>IF($A92="","",INDEX(Каталог!$G$4:$G$500,$A92)&amp;"")</f>
        <v/>
      </c>
      <c r="D92" s="33"/>
      <c r="E92" s="31" t="str">
        <f>IF($A92="","",INDEX(Каталог!$H$4:$H$500,$A92)&amp;"")</f>
        <v/>
      </c>
      <c r="F92" s="32" t="str">
        <f>IF($A92="","",INDEX(Каталог!$B$4:$B$500,$A92)&amp;"")</f>
        <v/>
      </c>
      <c r="G92" s="32" t="str">
        <f>IF($A92="","",INDEX(Каталог!$M$4:$M$500,$A92)&amp;"")</f>
        <v/>
      </c>
      <c r="H92" s="32" t="str">
        <f>IF($A92="","",INDEX(Каталог!$P$4:$P$500,$A92))</f>
        <v/>
      </c>
      <c r="I92" s="5"/>
      <c r="J92" s="5"/>
    </row>
    <row r="93" spans="1:10" x14ac:dyDescent="0.3">
      <c r="A93" s="29" t="str">
        <f>IFERROR(MATCH(ROW()-3,Каталог!$AF$4:$AF$500,0),"")</f>
        <v/>
      </c>
      <c r="B93" s="29" t="str">
        <f t="shared" si="2"/>
        <v/>
      </c>
      <c r="C93" s="30" t="str">
        <f>IF($A93="","",INDEX(Каталог!$G$4:$G$500,$A93)&amp;"")</f>
        <v/>
      </c>
      <c r="D93" s="33"/>
      <c r="E93" s="31" t="str">
        <f>IF($A93="","",INDEX(Каталог!$H$4:$H$500,$A93)&amp;"")</f>
        <v/>
      </c>
      <c r="F93" s="32" t="str">
        <f>IF($A93="","",INDEX(Каталог!$B$4:$B$500,$A93)&amp;"")</f>
        <v/>
      </c>
      <c r="G93" s="32" t="str">
        <f>IF($A93="","",INDEX(Каталог!$M$4:$M$500,$A93)&amp;"")</f>
        <v/>
      </c>
      <c r="H93" s="32" t="str">
        <f>IF($A93="","",INDEX(Каталог!$P$4:$P$500,$A93))</f>
        <v/>
      </c>
      <c r="I93" s="5"/>
      <c r="J93" s="5"/>
    </row>
    <row r="94" spans="1:10" x14ac:dyDescent="0.3">
      <c r="A94" s="29" t="str">
        <f>IFERROR(MATCH(ROW()-3,Каталог!$AF$4:$AF$500,0),"")</f>
        <v/>
      </c>
      <c r="B94" s="29" t="str">
        <f t="shared" si="2"/>
        <v/>
      </c>
      <c r="C94" s="30" t="str">
        <f>IF($A94="","",INDEX(Каталог!$G$4:$G$500,$A94)&amp;"")</f>
        <v/>
      </c>
      <c r="D94" s="33"/>
      <c r="E94" s="31" t="str">
        <f>IF($A94="","",INDEX(Каталог!$H$4:$H$500,$A94)&amp;"")</f>
        <v/>
      </c>
      <c r="F94" s="32" t="str">
        <f>IF($A94="","",INDEX(Каталог!$B$4:$B$500,$A94)&amp;"")</f>
        <v/>
      </c>
      <c r="G94" s="32" t="str">
        <f>IF($A94="","",INDEX(Каталог!$M$4:$M$500,$A94)&amp;"")</f>
        <v/>
      </c>
      <c r="H94" s="32" t="str">
        <f>IF($A94="","",INDEX(Каталог!$P$4:$P$500,$A94))</f>
        <v/>
      </c>
      <c r="I94" s="5"/>
      <c r="J94" s="5"/>
    </row>
    <row r="95" spans="1:10" x14ac:dyDescent="0.3">
      <c r="A95" s="29" t="str">
        <f>IFERROR(MATCH(ROW()-3,Каталог!$AF$4:$AF$500,0),"")</f>
        <v/>
      </c>
      <c r="B95" s="29" t="str">
        <f t="shared" si="2"/>
        <v/>
      </c>
      <c r="C95" s="30" t="str">
        <f>IF($A95="","",INDEX(Каталог!$G$4:$G$500,$A95)&amp;"")</f>
        <v/>
      </c>
      <c r="D95" s="33"/>
      <c r="E95" s="31" t="str">
        <f>IF($A95="","",INDEX(Каталог!$H$4:$H$500,$A95)&amp;"")</f>
        <v/>
      </c>
      <c r="F95" s="32" t="str">
        <f>IF($A95="","",INDEX(Каталог!$B$4:$B$500,$A95)&amp;"")</f>
        <v/>
      </c>
      <c r="G95" s="32" t="str">
        <f>IF($A95="","",INDEX(Каталог!$M$4:$M$500,$A95)&amp;"")</f>
        <v/>
      </c>
      <c r="H95" s="32" t="str">
        <f>IF($A95="","",INDEX(Каталог!$P$4:$P$500,$A95))</f>
        <v/>
      </c>
      <c r="I95" s="5"/>
      <c r="J95" s="5"/>
    </row>
    <row r="96" spans="1:10" x14ac:dyDescent="0.3">
      <c r="A96" s="29" t="str">
        <f>IFERROR(MATCH(ROW()-3,Каталог!$AF$4:$AF$500,0),"")</f>
        <v/>
      </c>
      <c r="B96" s="29" t="str">
        <f t="shared" si="2"/>
        <v/>
      </c>
      <c r="C96" s="30" t="str">
        <f>IF($A96="","",INDEX(Каталог!$G$4:$G$500,$A96)&amp;"")</f>
        <v/>
      </c>
      <c r="D96" s="33"/>
      <c r="E96" s="31" t="str">
        <f>IF($A96="","",INDEX(Каталог!$H$4:$H$500,$A96)&amp;"")</f>
        <v/>
      </c>
      <c r="F96" s="32" t="str">
        <f>IF($A96="","",INDEX(Каталог!$B$4:$B$500,$A96)&amp;"")</f>
        <v/>
      </c>
      <c r="G96" s="32" t="str">
        <f>IF($A96="","",INDEX(Каталог!$M$4:$M$500,$A96)&amp;"")</f>
        <v/>
      </c>
      <c r="H96" s="32" t="str">
        <f>IF($A96="","",INDEX(Каталог!$P$4:$P$500,$A96))</f>
        <v/>
      </c>
      <c r="I96" s="5"/>
      <c r="J96" s="5"/>
    </row>
    <row r="97" spans="1:10" x14ac:dyDescent="0.3">
      <c r="A97" s="29" t="str">
        <f>IFERROR(MATCH(ROW()-3,Каталог!$AF$4:$AF$500,0),"")</f>
        <v/>
      </c>
      <c r="B97" s="29" t="str">
        <f t="shared" si="2"/>
        <v/>
      </c>
      <c r="C97" s="30" t="str">
        <f>IF($A97="","",INDEX(Каталог!$G$4:$G$500,$A97)&amp;"")</f>
        <v/>
      </c>
      <c r="D97" s="33"/>
      <c r="E97" s="31" t="str">
        <f>IF($A97="","",INDEX(Каталог!$H$4:$H$500,$A97)&amp;"")</f>
        <v/>
      </c>
      <c r="F97" s="32" t="str">
        <f>IF($A97="","",INDEX(Каталог!$B$4:$B$500,$A97)&amp;"")</f>
        <v/>
      </c>
      <c r="G97" s="32" t="str">
        <f>IF($A97="","",INDEX(Каталог!$M$4:$M$500,$A97)&amp;"")</f>
        <v/>
      </c>
      <c r="H97" s="32" t="str">
        <f>IF($A97="","",INDEX(Каталог!$P$4:$P$500,$A97))</f>
        <v/>
      </c>
      <c r="I97" s="5"/>
      <c r="J97" s="5"/>
    </row>
    <row r="98" spans="1:10" x14ac:dyDescent="0.3">
      <c r="A98" s="29" t="str">
        <f>IFERROR(MATCH(ROW()-3,Каталог!$AF$4:$AF$500,0),"")</f>
        <v/>
      </c>
      <c r="B98" s="29" t="str">
        <f t="shared" si="2"/>
        <v/>
      </c>
      <c r="C98" s="30" t="str">
        <f>IF($A98="","",INDEX(Каталог!$G$4:$G$500,$A98)&amp;"")</f>
        <v/>
      </c>
      <c r="D98" s="33"/>
      <c r="E98" s="31" t="str">
        <f>IF($A98="","",INDEX(Каталог!$H$4:$H$500,$A98)&amp;"")</f>
        <v/>
      </c>
      <c r="F98" s="32" t="str">
        <f>IF($A98="","",INDEX(Каталог!$B$4:$B$500,$A98)&amp;"")</f>
        <v/>
      </c>
      <c r="G98" s="32" t="str">
        <f>IF($A98="","",INDEX(Каталог!$M$4:$M$500,$A98)&amp;"")</f>
        <v/>
      </c>
      <c r="H98" s="32" t="str">
        <f>IF($A98="","",INDEX(Каталог!$P$4:$P$500,$A98))</f>
        <v/>
      </c>
      <c r="I98" s="5"/>
      <c r="J98" s="5"/>
    </row>
    <row r="99" spans="1:10" x14ac:dyDescent="0.3">
      <c r="A99" s="29" t="str">
        <f>IFERROR(MATCH(ROW()-3,Каталог!$AF$4:$AF$500,0),"")</f>
        <v/>
      </c>
      <c r="B99" s="29" t="str">
        <f t="shared" si="2"/>
        <v/>
      </c>
      <c r="C99" s="30" t="str">
        <f>IF($A99="","",INDEX(Каталог!$G$4:$G$500,$A99)&amp;"")</f>
        <v/>
      </c>
      <c r="D99" s="33"/>
      <c r="E99" s="31" t="str">
        <f>IF($A99="","",INDEX(Каталог!$H$4:$H$500,$A99)&amp;"")</f>
        <v/>
      </c>
      <c r="F99" s="32" t="str">
        <f>IF($A99="","",INDEX(Каталог!$B$4:$B$500,$A99)&amp;"")</f>
        <v/>
      </c>
      <c r="G99" s="32" t="str">
        <f>IF($A99="","",INDEX(Каталог!$M$4:$M$500,$A99)&amp;"")</f>
        <v/>
      </c>
      <c r="H99" s="32" t="str">
        <f>IF($A99="","",INDEX(Каталог!$P$4:$P$500,$A99))</f>
        <v/>
      </c>
      <c r="I99" s="5"/>
      <c r="J99" s="5"/>
    </row>
    <row r="100" spans="1:10" x14ac:dyDescent="0.3">
      <c r="A100" s="29" t="str">
        <f>IFERROR(MATCH(ROW()-3,Каталог!$AF$4:$AF$500,0),"")</f>
        <v/>
      </c>
      <c r="B100" s="29" t="str">
        <f t="shared" ref="B100:B131" si="3">IF($A100="","",$B$3&amp;"."&amp;(ROW()-3))</f>
        <v/>
      </c>
      <c r="C100" s="30" t="str">
        <f>IF($A100="","",INDEX(Каталог!$G$4:$G$500,$A100)&amp;"")</f>
        <v/>
      </c>
      <c r="D100" s="33"/>
      <c r="E100" s="31" t="str">
        <f>IF($A100="","",INDEX(Каталог!$H$4:$H$500,$A100)&amp;"")</f>
        <v/>
      </c>
      <c r="F100" s="32" t="str">
        <f>IF($A100="","",INDEX(Каталог!$B$4:$B$500,$A100)&amp;"")</f>
        <v/>
      </c>
      <c r="G100" s="32" t="str">
        <f>IF($A100="","",INDEX(Каталог!$M$4:$M$500,$A100)&amp;"")</f>
        <v/>
      </c>
      <c r="H100" s="32" t="str">
        <f>IF($A100="","",INDEX(Каталог!$P$4:$P$500,$A100))</f>
        <v/>
      </c>
      <c r="I100" s="5"/>
      <c r="J100" s="5"/>
    </row>
    <row r="101" spans="1:10" x14ac:dyDescent="0.3">
      <c r="A101" s="29" t="str">
        <f>IFERROR(MATCH(ROW()-3,Каталог!$AF$4:$AF$500,0),"")</f>
        <v/>
      </c>
      <c r="B101" s="29" t="str">
        <f t="shared" si="3"/>
        <v/>
      </c>
      <c r="C101" s="30" t="str">
        <f>IF($A101="","",INDEX(Каталог!$G$4:$G$500,$A101)&amp;"")</f>
        <v/>
      </c>
      <c r="D101" s="33"/>
      <c r="E101" s="31" t="str">
        <f>IF($A101="","",INDEX(Каталог!$H$4:$H$500,$A101)&amp;"")</f>
        <v/>
      </c>
      <c r="F101" s="32" t="str">
        <f>IF($A101="","",INDEX(Каталог!$B$4:$B$500,$A101)&amp;"")</f>
        <v/>
      </c>
      <c r="G101" s="32" t="str">
        <f>IF($A101="","",INDEX(Каталог!$M$4:$M$500,$A101)&amp;"")</f>
        <v/>
      </c>
      <c r="H101" s="32" t="str">
        <f>IF($A101="","",INDEX(Каталог!$P$4:$P$500,$A101))</f>
        <v/>
      </c>
      <c r="I101" s="5"/>
      <c r="J101" s="5"/>
    </row>
    <row r="102" spans="1:10" x14ac:dyDescent="0.3">
      <c r="A102" s="29" t="str">
        <f>IFERROR(MATCH(ROW()-3,Каталог!$AF$4:$AF$500,0),"")</f>
        <v/>
      </c>
      <c r="B102" s="29" t="str">
        <f t="shared" si="3"/>
        <v/>
      </c>
      <c r="C102" s="30" t="str">
        <f>IF($A102="","",INDEX(Каталог!$G$4:$G$500,$A102)&amp;"")</f>
        <v/>
      </c>
      <c r="D102" s="33"/>
      <c r="E102" s="31" t="str">
        <f>IF($A102="","",INDEX(Каталог!$H$4:$H$500,$A102)&amp;"")</f>
        <v/>
      </c>
      <c r="F102" s="32" t="str">
        <f>IF($A102="","",INDEX(Каталог!$B$4:$B$500,$A102)&amp;"")</f>
        <v/>
      </c>
      <c r="G102" s="32" t="str">
        <f>IF($A102="","",INDEX(Каталог!$M$4:$M$500,$A102)&amp;"")</f>
        <v/>
      </c>
      <c r="H102" s="32" t="str">
        <f>IF($A102="","",INDEX(Каталог!$P$4:$P$500,$A102))</f>
        <v/>
      </c>
      <c r="I102" s="5"/>
      <c r="J102" s="5"/>
    </row>
    <row r="103" spans="1:10" x14ac:dyDescent="0.3">
      <c r="A103" s="29" t="str">
        <f>IFERROR(MATCH(ROW()-3,Каталог!$AF$4:$AF$500,0),"")</f>
        <v/>
      </c>
      <c r="B103" s="29" t="str">
        <f t="shared" si="3"/>
        <v/>
      </c>
      <c r="C103" s="30" t="str">
        <f>IF($A103="","",INDEX(Каталог!$G$4:$G$500,$A103)&amp;"")</f>
        <v/>
      </c>
      <c r="D103" s="33"/>
      <c r="E103" s="31" t="str">
        <f>IF($A103="","",INDEX(Каталог!$H$4:$H$500,$A103)&amp;"")</f>
        <v/>
      </c>
      <c r="F103" s="32" t="str">
        <f>IF($A103="","",INDEX(Каталог!$B$4:$B$500,$A103)&amp;"")</f>
        <v/>
      </c>
      <c r="G103" s="32" t="str">
        <f>IF($A103="","",INDEX(Каталог!$M$4:$M$500,$A103)&amp;"")</f>
        <v/>
      </c>
      <c r="H103" s="32" t="str">
        <f>IF($A103="","",INDEX(Каталог!$P$4:$P$500,$A103))</f>
        <v/>
      </c>
      <c r="I103" s="5"/>
      <c r="J103" s="5"/>
    </row>
    <row r="104" spans="1:10" x14ac:dyDescent="0.3">
      <c r="A104" s="29" t="str">
        <f>IFERROR(MATCH(ROW()-3,Каталог!$AF$4:$AF$500,0),"")</f>
        <v/>
      </c>
      <c r="B104" s="29" t="str">
        <f t="shared" si="3"/>
        <v/>
      </c>
      <c r="C104" s="30" t="str">
        <f>IF($A104="","",INDEX(Каталог!$G$4:$G$500,$A104)&amp;"")</f>
        <v/>
      </c>
      <c r="D104" s="33"/>
      <c r="E104" s="31" t="str">
        <f>IF($A104="","",INDEX(Каталог!$H$4:$H$500,$A104)&amp;"")</f>
        <v/>
      </c>
      <c r="F104" s="32" t="str">
        <f>IF($A104="","",INDEX(Каталог!$B$4:$B$500,$A104)&amp;"")</f>
        <v/>
      </c>
      <c r="G104" s="32" t="str">
        <f>IF($A104="","",INDEX(Каталог!$M$4:$M$500,$A104)&amp;"")</f>
        <v/>
      </c>
      <c r="H104" s="32" t="str">
        <f>IF($A104="","",INDEX(Каталог!$P$4:$P$500,$A104))</f>
        <v/>
      </c>
      <c r="I104" s="5"/>
      <c r="J104" s="5"/>
    </row>
    <row r="105" spans="1:10" x14ac:dyDescent="0.3">
      <c r="A105" s="29" t="str">
        <f>IFERROR(MATCH(ROW()-3,Каталог!$AF$4:$AF$500,0),"")</f>
        <v/>
      </c>
      <c r="B105" s="29" t="str">
        <f t="shared" si="3"/>
        <v/>
      </c>
      <c r="C105" s="30" t="str">
        <f>IF($A105="","",INDEX(Каталог!$G$4:$G$500,$A105)&amp;"")</f>
        <v/>
      </c>
      <c r="D105" s="33"/>
      <c r="E105" s="31" t="str">
        <f>IF($A105="","",INDEX(Каталог!$H$4:$H$500,$A105)&amp;"")</f>
        <v/>
      </c>
      <c r="F105" s="32" t="str">
        <f>IF($A105="","",INDEX(Каталог!$B$4:$B$500,$A105)&amp;"")</f>
        <v/>
      </c>
      <c r="G105" s="32" t="str">
        <f>IF($A105="","",INDEX(Каталог!$M$4:$M$500,$A105)&amp;"")</f>
        <v/>
      </c>
      <c r="H105" s="32" t="str">
        <f>IF($A105="","",INDEX(Каталог!$P$4:$P$500,$A105))</f>
        <v/>
      </c>
      <c r="I105" s="5"/>
      <c r="J105" s="5"/>
    </row>
    <row r="106" spans="1:10" x14ac:dyDescent="0.3">
      <c r="A106" s="29" t="str">
        <f>IFERROR(MATCH(ROW()-3,Каталог!$AF$4:$AF$500,0),"")</f>
        <v/>
      </c>
      <c r="B106" s="29" t="str">
        <f t="shared" si="3"/>
        <v/>
      </c>
      <c r="C106" s="30" t="str">
        <f>IF($A106="","",INDEX(Каталог!$G$4:$G$500,$A106)&amp;"")</f>
        <v/>
      </c>
      <c r="D106" s="33"/>
      <c r="E106" s="31" t="str">
        <f>IF($A106="","",INDEX(Каталог!$H$4:$H$500,$A106)&amp;"")</f>
        <v/>
      </c>
      <c r="F106" s="32" t="str">
        <f>IF($A106="","",INDEX(Каталог!$B$4:$B$500,$A106)&amp;"")</f>
        <v/>
      </c>
      <c r="G106" s="32" t="str">
        <f>IF($A106="","",INDEX(Каталог!$M$4:$M$500,$A106)&amp;"")</f>
        <v/>
      </c>
      <c r="H106" s="32" t="str">
        <f>IF($A106="","",INDEX(Каталог!$P$4:$P$500,$A106))</f>
        <v/>
      </c>
      <c r="I106" s="5"/>
      <c r="J106" s="5"/>
    </row>
    <row r="107" spans="1:10" x14ac:dyDescent="0.3">
      <c r="A107" s="29" t="str">
        <f>IFERROR(MATCH(ROW()-3,Каталог!$AF$4:$AF$500,0),"")</f>
        <v/>
      </c>
      <c r="B107" s="29" t="str">
        <f t="shared" si="3"/>
        <v/>
      </c>
      <c r="C107" s="30" t="str">
        <f>IF($A107="","",INDEX(Каталог!$G$4:$G$500,$A107)&amp;"")</f>
        <v/>
      </c>
      <c r="D107" s="33"/>
      <c r="E107" s="31" t="str">
        <f>IF($A107="","",INDEX(Каталог!$H$4:$H$500,$A107)&amp;"")</f>
        <v/>
      </c>
      <c r="F107" s="32" t="str">
        <f>IF($A107="","",INDEX(Каталог!$B$4:$B$500,$A107)&amp;"")</f>
        <v/>
      </c>
      <c r="G107" s="32" t="str">
        <f>IF($A107="","",INDEX(Каталог!$M$4:$M$500,$A107)&amp;"")</f>
        <v/>
      </c>
      <c r="H107" s="32" t="str">
        <f>IF($A107="","",INDEX(Каталог!$P$4:$P$500,$A107))</f>
        <v/>
      </c>
      <c r="I107" s="5"/>
      <c r="J107" s="5"/>
    </row>
    <row r="108" spans="1:10" x14ac:dyDescent="0.3">
      <c r="A108" s="29" t="str">
        <f>IFERROR(MATCH(ROW()-3,Каталог!$AF$4:$AF$500,0),"")</f>
        <v/>
      </c>
      <c r="B108" s="29" t="str">
        <f t="shared" si="3"/>
        <v/>
      </c>
      <c r="C108" s="30" t="str">
        <f>IF($A108="","",INDEX(Каталог!$G$4:$G$500,$A108)&amp;"")</f>
        <v/>
      </c>
      <c r="D108" s="33"/>
      <c r="E108" s="31" t="str">
        <f>IF($A108="","",INDEX(Каталог!$H$4:$H$500,$A108)&amp;"")</f>
        <v/>
      </c>
      <c r="F108" s="32" t="str">
        <f>IF($A108="","",INDEX(Каталог!$B$4:$B$500,$A108)&amp;"")</f>
        <v/>
      </c>
      <c r="G108" s="32" t="str">
        <f>IF($A108="","",INDEX(Каталог!$M$4:$M$500,$A108)&amp;"")</f>
        <v/>
      </c>
      <c r="H108" s="32" t="str">
        <f>IF($A108="","",INDEX(Каталог!$P$4:$P$500,$A108))</f>
        <v/>
      </c>
      <c r="I108" s="5"/>
      <c r="J108" s="5"/>
    </row>
    <row r="109" spans="1:10" x14ac:dyDescent="0.3">
      <c r="A109" s="29" t="str">
        <f>IFERROR(MATCH(ROW()-3,Каталог!$AF$4:$AF$500,0),"")</f>
        <v/>
      </c>
      <c r="B109" s="29" t="str">
        <f t="shared" si="3"/>
        <v/>
      </c>
      <c r="C109" s="30" t="str">
        <f>IF($A109="","",INDEX(Каталог!$G$4:$G$500,$A109)&amp;"")</f>
        <v/>
      </c>
      <c r="D109" s="33"/>
      <c r="E109" s="31" t="str">
        <f>IF($A109="","",INDEX(Каталог!$H$4:$H$500,$A109)&amp;"")</f>
        <v/>
      </c>
      <c r="F109" s="32" t="str">
        <f>IF($A109="","",INDEX(Каталог!$B$4:$B$500,$A109)&amp;"")</f>
        <v/>
      </c>
      <c r="G109" s="32" t="str">
        <f>IF($A109="","",INDEX(Каталог!$M$4:$M$500,$A109)&amp;"")</f>
        <v/>
      </c>
      <c r="H109" s="32" t="str">
        <f>IF($A109="","",INDEX(Каталог!$P$4:$P$500,$A109))</f>
        <v/>
      </c>
      <c r="I109" s="5"/>
      <c r="J109" s="5"/>
    </row>
    <row r="110" spans="1:10" x14ac:dyDescent="0.3">
      <c r="A110" s="29" t="str">
        <f>IFERROR(MATCH(ROW()-3,Каталог!$AF$4:$AF$500,0),"")</f>
        <v/>
      </c>
      <c r="B110" s="29" t="str">
        <f t="shared" si="3"/>
        <v/>
      </c>
      <c r="C110" s="30" t="str">
        <f>IF($A110="","",INDEX(Каталог!$G$4:$G$500,$A110)&amp;"")</f>
        <v/>
      </c>
      <c r="D110" s="33"/>
      <c r="E110" s="31" t="str">
        <f>IF($A110="","",INDEX(Каталог!$H$4:$H$500,$A110)&amp;"")</f>
        <v/>
      </c>
      <c r="F110" s="32" t="str">
        <f>IF($A110="","",INDEX(Каталог!$B$4:$B$500,$A110)&amp;"")</f>
        <v/>
      </c>
      <c r="G110" s="32" t="str">
        <f>IF($A110="","",INDEX(Каталог!$M$4:$M$500,$A110)&amp;"")</f>
        <v/>
      </c>
      <c r="H110" s="32" t="str">
        <f>IF($A110="","",INDEX(Каталог!$P$4:$P$500,$A110))</f>
        <v/>
      </c>
      <c r="I110" s="5"/>
      <c r="J110" s="5"/>
    </row>
    <row r="111" spans="1:10" x14ac:dyDescent="0.3">
      <c r="A111" s="29" t="str">
        <f>IFERROR(MATCH(ROW()-3,Каталог!$AF$4:$AF$500,0),"")</f>
        <v/>
      </c>
      <c r="B111" s="29" t="str">
        <f t="shared" si="3"/>
        <v/>
      </c>
      <c r="C111" s="30" t="str">
        <f>IF($A111="","",INDEX(Каталог!$G$4:$G$500,$A111)&amp;"")</f>
        <v/>
      </c>
      <c r="D111" s="33"/>
      <c r="E111" s="31" t="str">
        <f>IF($A111="","",INDEX(Каталог!$H$4:$H$500,$A111)&amp;"")</f>
        <v/>
      </c>
      <c r="F111" s="32" t="str">
        <f>IF($A111="","",INDEX(Каталог!$B$4:$B$500,$A111)&amp;"")</f>
        <v/>
      </c>
      <c r="G111" s="32" t="str">
        <f>IF($A111="","",INDEX(Каталог!$M$4:$M$500,$A111)&amp;"")</f>
        <v/>
      </c>
      <c r="H111" s="32" t="str">
        <f>IF($A111="","",INDEX(Каталог!$P$4:$P$500,$A111))</f>
        <v/>
      </c>
      <c r="I111" s="5"/>
      <c r="J111" s="5"/>
    </row>
    <row r="112" spans="1:10" x14ac:dyDescent="0.3">
      <c r="A112" s="29" t="str">
        <f>IFERROR(MATCH(ROW()-3,Каталог!$AF$4:$AF$500,0),"")</f>
        <v/>
      </c>
      <c r="B112" s="29" t="str">
        <f t="shared" si="3"/>
        <v/>
      </c>
      <c r="C112" s="30" t="str">
        <f>IF($A112="","",INDEX(Каталог!$G$4:$G$500,$A112)&amp;"")</f>
        <v/>
      </c>
      <c r="D112" s="33"/>
      <c r="E112" s="31" t="str">
        <f>IF($A112="","",INDEX(Каталог!$H$4:$H$500,$A112)&amp;"")</f>
        <v/>
      </c>
      <c r="F112" s="32" t="str">
        <f>IF($A112="","",INDEX(Каталог!$B$4:$B$500,$A112)&amp;"")</f>
        <v/>
      </c>
      <c r="G112" s="32" t="str">
        <f>IF($A112="","",INDEX(Каталог!$M$4:$M$500,$A112)&amp;"")</f>
        <v/>
      </c>
      <c r="H112" s="32" t="str">
        <f>IF($A112="","",INDEX(Каталог!$P$4:$P$500,$A112))</f>
        <v/>
      </c>
      <c r="I112" s="5"/>
      <c r="J112" s="5"/>
    </row>
    <row r="113" spans="1:10" x14ac:dyDescent="0.3">
      <c r="A113" s="29" t="str">
        <f>IFERROR(MATCH(ROW()-3,Каталог!$AF$4:$AF$500,0),"")</f>
        <v/>
      </c>
      <c r="B113" s="29" t="str">
        <f t="shared" si="3"/>
        <v/>
      </c>
      <c r="C113" s="30" t="str">
        <f>IF($A113="","",INDEX(Каталог!$G$4:$G$500,$A113)&amp;"")</f>
        <v/>
      </c>
      <c r="D113" s="33"/>
      <c r="E113" s="31" t="str">
        <f>IF($A113="","",INDEX(Каталог!$H$4:$H$500,$A113)&amp;"")</f>
        <v/>
      </c>
      <c r="F113" s="32" t="str">
        <f>IF($A113="","",INDEX(Каталог!$B$4:$B$500,$A113)&amp;"")</f>
        <v/>
      </c>
      <c r="G113" s="32" t="str">
        <f>IF($A113="","",INDEX(Каталог!$M$4:$M$500,$A113)&amp;"")</f>
        <v/>
      </c>
      <c r="H113" s="32" t="str">
        <f>IF($A113="","",INDEX(Каталог!$P$4:$P$500,$A113))</f>
        <v/>
      </c>
      <c r="I113" s="5"/>
      <c r="J113" s="5"/>
    </row>
    <row r="114" spans="1:10" x14ac:dyDescent="0.3">
      <c r="A114" s="29" t="str">
        <f>IFERROR(MATCH(ROW()-3,Каталог!$AF$4:$AF$500,0),"")</f>
        <v/>
      </c>
      <c r="B114" s="29" t="str">
        <f t="shared" si="3"/>
        <v/>
      </c>
      <c r="C114" s="30" t="str">
        <f>IF($A114="","",INDEX(Каталог!$G$4:$G$500,$A114)&amp;"")</f>
        <v/>
      </c>
      <c r="D114" s="33"/>
      <c r="E114" s="31" t="str">
        <f>IF($A114="","",INDEX(Каталог!$H$4:$H$500,$A114)&amp;"")</f>
        <v/>
      </c>
      <c r="F114" s="32" t="str">
        <f>IF($A114="","",INDEX(Каталог!$B$4:$B$500,$A114)&amp;"")</f>
        <v/>
      </c>
      <c r="G114" s="32" t="str">
        <f>IF($A114="","",INDEX(Каталог!$M$4:$M$500,$A114)&amp;"")</f>
        <v/>
      </c>
      <c r="H114" s="32" t="str">
        <f>IF($A114="","",INDEX(Каталог!$P$4:$P$500,$A114))</f>
        <v/>
      </c>
      <c r="I114" s="5"/>
      <c r="J114" s="5"/>
    </row>
    <row r="115" spans="1:10" x14ac:dyDescent="0.3">
      <c r="A115" s="29" t="str">
        <f>IFERROR(MATCH(ROW()-3,Каталог!$AF$4:$AF$500,0),"")</f>
        <v/>
      </c>
      <c r="B115" s="29" t="str">
        <f t="shared" si="3"/>
        <v/>
      </c>
      <c r="C115" s="30" t="str">
        <f>IF($A115="","",INDEX(Каталог!$G$4:$G$500,$A115)&amp;"")</f>
        <v/>
      </c>
      <c r="D115" s="33"/>
      <c r="E115" s="31" t="str">
        <f>IF($A115="","",INDEX(Каталог!$H$4:$H$500,$A115)&amp;"")</f>
        <v/>
      </c>
      <c r="F115" s="32" t="str">
        <f>IF($A115="","",INDEX(Каталог!$B$4:$B$500,$A115)&amp;"")</f>
        <v/>
      </c>
      <c r="G115" s="32" t="str">
        <f>IF($A115="","",INDEX(Каталог!$M$4:$M$500,$A115)&amp;"")</f>
        <v/>
      </c>
      <c r="H115" s="32" t="str">
        <f>IF($A115="","",INDEX(Каталог!$P$4:$P$500,$A115))</f>
        <v/>
      </c>
      <c r="I115" s="5"/>
      <c r="J115" s="5"/>
    </row>
    <row r="116" spans="1:10" x14ac:dyDescent="0.3">
      <c r="A116" s="29" t="str">
        <f>IFERROR(MATCH(ROW()-3,Каталог!$AF$4:$AF$500,0),"")</f>
        <v/>
      </c>
      <c r="B116" s="29" t="str">
        <f t="shared" si="3"/>
        <v/>
      </c>
      <c r="C116" s="30" t="str">
        <f>IF($A116="","",INDEX(Каталог!$G$4:$G$500,$A116)&amp;"")</f>
        <v/>
      </c>
      <c r="D116" s="33"/>
      <c r="E116" s="31" t="str">
        <f>IF($A116="","",INDEX(Каталог!$H$4:$H$500,$A116)&amp;"")</f>
        <v/>
      </c>
      <c r="F116" s="32" t="str">
        <f>IF($A116="","",INDEX(Каталог!$B$4:$B$500,$A116)&amp;"")</f>
        <v/>
      </c>
      <c r="G116" s="32" t="str">
        <f>IF($A116="","",INDEX(Каталог!$M$4:$M$500,$A116)&amp;"")</f>
        <v/>
      </c>
      <c r="H116" s="32" t="str">
        <f>IF($A116="","",INDEX(Каталог!$P$4:$P$500,$A116))</f>
        <v/>
      </c>
      <c r="I116" s="5"/>
      <c r="J116" s="5"/>
    </row>
    <row r="117" spans="1:10" x14ac:dyDescent="0.3">
      <c r="A117" s="29" t="str">
        <f>IFERROR(MATCH(ROW()-3,Каталог!$AF$4:$AF$500,0),"")</f>
        <v/>
      </c>
      <c r="B117" s="29" t="str">
        <f t="shared" si="3"/>
        <v/>
      </c>
      <c r="C117" s="30" t="str">
        <f>IF($A117="","",INDEX(Каталог!$G$4:$G$500,$A117)&amp;"")</f>
        <v/>
      </c>
      <c r="D117" s="33"/>
      <c r="E117" s="31" t="str">
        <f>IF($A117="","",INDEX(Каталог!$H$4:$H$500,$A117)&amp;"")</f>
        <v/>
      </c>
      <c r="F117" s="32" t="str">
        <f>IF($A117="","",INDEX(Каталог!$B$4:$B$500,$A117)&amp;"")</f>
        <v/>
      </c>
      <c r="G117" s="32" t="str">
        <f>IF($A117="","",INDEX(Каталог!$M$4:$M$500,$A117)&amp;"")</f>
        <v/>
      </c>
      <c r="H117" s="32" t="str">
        <f>IF($A117="","",INDEX(Каталог!$P$4:$P$500,$A117))</f>
        <v/>
      </c>
      <c r="I117" s="5"/>
      <c r="J117" s="5"/>
    </row>
    <row r="118" spans="1:10" x14ac:dyDescent="0.3">
      <c r="A118" s="29" t="str">
        <f>IFERROR(MATCH(ROW()-3,Каталог!$AF$4:$AF$500,0),"")</f>
        <v/>
      </c>
      <c r="B118" s="29" t="str">
        <f t="shared" si="3"/>
        <v/>
      </c>
      <c r="C118" s="30" t="str">
        <f>IF($A118="","",INDEX(Каталог!$G$4:$G$500,$A118)&amp;"")</f>
        <v/>
      </c>
      <c r="D118" s="33"/>
      <c r="E118" s="31" t="str">
        <f>IF($A118="","",INDEX(Каталог!$H$4:$H$500,$A118)&amp;"")</f>
        <v/>
      </c>
      <c r="F118" s="32" t="str">
        <f>IF($A118="","",INDEX(Каталог!$B$4:$B$500,$A118)&amp;"")</f>
        <v/>
      </c>
      <c r="G118" s="32" t="str">
        <f>IF($A118="","",INDEX(Каталог!$M$4:$M$500,$A118)&amp;"")</f>
        <v/>
      </c>
      <c r="H118" s="32" t="str">
        <f>IF($A118="","",INDEX(Каталог!$P$4:$P$500,$A118))</f>
        <v/>
      </c>
      <c r="I118" s="5"/>
      <c r="J118" s="5"/>
    </row>
    <row r="119" spans="1:10" x14ac:dyDescent="0.3">
      <c r="A119" s="29" t="str">
        <f>IFERROR(MATCH(ROW()-3,Каталог!$AF$4:$AF$500,0),"")</f>
        <v/>
      </c>
      <c r="B119" s="29" t="str">
        <f t="shared" si="3"/>
        <v/>
      </c>
      <c r="C119" s="30" t="str">
        <f>IF($A119="","",INDEX(Каталог!$G$4:$G$500,$A119)&amp;"")</f>
        <v/>
      </c>
      <c r="D119" s="33"/>
      <c r="E119" s="31" t="str">
        <f>IF($A119="","",INDEX(Каталог!$H$4:$H$500,$A119)&amp;"")</f>
        <v/>
      </c>
      <c r="F119" s="32" t="str">
        <f>IF($A119="","",INDEX(Каталог!$B$4:$B$500,$A119)&amp;"")</f>
        <v/>
      </c>
      <c r="G119" s="32" t="str">
        <f>IF($A119="","",INDEX(Каталог!$M$4:$M$500,$A119)&amp;"")</f>
        <v/>
      </c>
      <c r="H119" s="32" t="str">
        <f>IF($A119="","",INDEX(Каталог!$P$4:$P$500,$A119))</f>
        <v/>
      </c>
      <c r="I119" s="5"/>
      <c r="J119" s="5"/>
    </row>
    <row r="120" spans="1:10" x14ac:dyDescent="0.3">
      <c r="A120" s="29" t="str">
        <f>IFERROR(MATCH(ROW()-3,Каталог!$AF$4:$AF$500,0),"")</f>
        <v/>
      </c>
      <c r="B120" s="29" t="str">
        <f t="shared" si="3"/>
        <v/>
      </c>
      <c r="C120" s="30" t="str">
        <f>IF($A120="","",INDEX(Каталог!$G$4:$G$500,$A120)&amp;"")</f>
        <v/>
      </c>
      <c r="D120" s="33"/>
      <c r="E120" s="31" t="str">
        <f>IF($A120="","",INDEX(Каталог!$H$4:$H$500,$A120)&amp;"")</f>
        <v/>
      </c>
      <c r="F120" s="32" t="str">
        <f>IF($A120="","",INDEX(Каталог!$B$4:$B$500,$A120)&amp;"")</f>
        <v/>
      </c>
      <c r="G120" s="32" t="str">
        <f>IF($A120="","",INDEX(Каталог!$M$4:$M$500,$A120)&amp;"")</f>
        <v/>
      </c>
      <c r="H120" s="32" t="str">
        <f>IF($A120="","",INDEX(Каталог!$P$4:$P$500,$A120))</f>
        <v/>
      </c>
      <c r="I120" s="5"/>
      <c r="J120" s="5"/>
    </row>
    <row r="121" spans="1:10" x14ac:dyDescent="0.3">
      <c r="A121" s="29" t="str">
        <f>IFERROR(MATCH(ROW()-3,Каталог!$AF$4:$AF$500,0),"")</f>
        <v/>
      </c>
      <c r="B121" s="29" t="str">
        <f t="shared" si="3"/>
        <v/>
      </c>
      <c r="C121" s="30" t="str">
        <f>IF($A121="","",INDEX(Каталог!$G$4:$G$500,$A121)&amp;"")</f>
        <v/>
      </c>
      <c r="D121" s="33"/>
      <c r="E121" s="31" t="str">
        <f>IF($A121="","",INDEX(Каталог!$H$4:$H$500,$A121)&amp;"")</f>
        <v/>
      </c>
      <c r="F121" s="32" t="str">
        <f>IF($A121="","",INDEX(Каталог!$B$4:$B$500,$A121)&amp;"")</f>
        <v/>
      </c>
      <c r="G121" s="32" t="str">
        <f>IF($A121="","",INDEX(Каталог!$M$4:$M$500,$A121)&amp;"")</f>
        <v/>
      </c>
      <c r="H121" s="32" t="str">
        <f>IF($A121="","",INDEX(Каталог!$P$4:$P$500,$A121))</f>
        <v/>
      </c>
      <c r="I121" s="5"/>
      <c r="J121" s="5"/>
    </row>
    <row r="122" spans="1:10" x14ac:dyDescent="0.3">
      <c r="A122" s="29" t="str">
        <f>IFERROR(MATCH(ROW()-3,Каталог!$AF$4:$AF$500,0),"")</f>
        <v/>
      </c>
      <c r="B122" s="29" t="str">
        <f t="shared" si="3"/>
        <v/>
      </c>
      <c r="C122" s="30" t="str">
        <f>IF($A122="","",INDEX(Каталог!$G$4:$G$500,$A122)&amp;"")</f>
        <v/>
      </c>
      <c r="D122" s="33"/>
      <c r="E122" s="31" t="str">
        <f>IF($A122="","",INDEX(Каталог!$H$4:$H$500,$A122)&amp;"")</f>
        <v/>
      </c>
      <c r="F122" s="32" t="str">
        <f>IF($A122="","",INDEX(Каталог!$B$4:$B$500,$A122)&amp;"")</f>
        <v/>
      </c>
      <c r="G122" s="32" t="str">
        <f>IF($A122="","",INDEX(Каталог!$M$4:$M$500,$A122)&amp;"")</f>
        <v/>
      </c>
      <c r="H122" s="32" t="str">
        <f>IF($A122="","",INDEX(Каталог!$P$4:$P$500,$A122))</f>
        <v/>
      </c>
      <c r="I122" s="5"/>
      <c r="J122" s="5"/>
    </row>
    <row r="123" spans="1:10" x14ac:dyDescent="0.3">
      <c r="A123" s="29" t="str">
        <f>IFERROR(MATCH(ROW()-3,Каталог!$AF$4:$AF$500,0),"")</f>
        <v/>
      </c>
      <c r="B123" s="29" t="str">
        <f t="shared" si="3"/>
        <v/>
      </c>
      <c r="C123" s="30" t="str">
        <f>IF($A123="","",INDEX(Каталог!$G$4:$G$500,$A123)&amp;"")</f>
        <v/>
      </c>
      <c r="D123" s="33"/>
      <c r="E123" s="31" t="str">
        <f>IF($A123="","",INDEX(Каталог!$H$4:$H$500,$A123)&amp;"")</f>
        <v/>
      </c>
      <c r="F123" s="32" t="str">
        <f>IF($A123="","",INDEX(Каталог!$B$4:$B$500,$A123)&amp;"")</f>
        <v/>
      </c>
      <c r="G123" s="32" t="str">
        <f>IF($A123="","",INDEX(Каталог!$M$4:$M$500,$A123)&amp;"")</f>
        <v/>
      </c>
      <c r="H123" s="32" t="str">
        <f>IF($A123="","",INDEX(Каталог!$P$4:$P$500,$A123))</f>
        <v/>
      </c>
      <c r="I123" s="5"/>
      <c r="J123" s="5"/>
    </row>
    <row r="124" spans="1:10" x14ac:dyDescent="0.3">
      <c r="A124" s="29" t="str">
        <f>IFERROR(MATCH(ROW()-3,Каталог!$AF$4:$AF$500,0),"")</f>
        <v/>
      </c>
      <c r="B124" s="29" t="str">
        <f t="shared" si="3"/>
        <v/>
      </c>
      <c r="C124" s="30" t="str">
        <f>IF($A124="","",INDEX(Каталог!$G$4:$G$500,$A124)&amp;"")</f>
        <v/>
      </c>
      <c r="D124" s="33"/>
      <c r="E124" s="31" t="str">
        <f>IF($A124="","",INDEX(Каталог!$H$4:$H$500,$A124)&amp;"")</f>
        <v/>
      </c>
      <c r="F124" s="32" t="str">
        <f>IF($A124="","",INDEX(Каталог!$B$4:$B$500,$A124)&amp;"")</f>
        <v/>
      </c>
      <c r="G124" s="32" t="str">
        <f>IF($A124="","",INDEX(Каталог!$M$4:$M$500,$A124)&amp;"")</f>
        <v/>
      </c>
      <c r="H124" s="32" t="str">
        <f>IF($A124="","",INDEX(Каталог!$P$4:$P$500,$A124))</f>
        <v/>
      </c>
      <c r="I124" s="5"/>
      <c r="J124" s="5"/>
    </row>
    <row r="125" spans="1:10" x14ac:dyDescent="0.3">
      <c r="A125" s="29" t="str">
        <f>IFERROR(MATCH(ROW()-3,Каталог!$AF$4:$AF$500,0),"")</f>
        <v/>
      </c>
      <c r="B125" s="29" t="str">
        <f t="shared" si="3"/>
        <v/>
      </c>
      <c r="C125" s="30" t="str">
        <f>IF($A125="","",INDEX(Каталог!$G$4:$G$500,$A125)&amp;"")</f>
        <v/>
      </c>
      <c r="D125" s="33"/>
      <c r="E125" s="31" t="str">
        <f>IF($A125="","",INDEX(Каталог!$H$4:$H$500,$A125)&amp;"")</f>
        <v/>
      </c>
      <c r="F125" s="32" t="str">
        <f>IF($A125="","",INDEX(Каталог!$B$4:$B$500,$A125)&amp;"")</f>
        <v/>
      </c>
      <c r="G125" s="32" t="str">
        <f>IF($A125="","",INDEX(Каталог!$M$4:$M$500,$A125)&amp;"")</f>
        <v/>
      </c>
      <c r="H125" s="32" t="str">
        <f>IF($A125="","",INDEX(Каталог!$P$4:$P$500,$A125))</f>
        <v/>
      </c>
      <c r="I125" s="5"/>
      <c r="J125" s="5"/>
    </row>
    <row r="126" spans="1:10" x14ac:dyDescent="0.3">
      <c r="A126" s="29" t="str">
        <f>IFERROR(MATCH(ROW()-3,Каталог!$AF$4:$AF$500,0),"")</f>
        <v/>
      </c>
      <c r="B126" s="29" t="str">
        <f t="shared" si="3"/>
        <v/>
      </c>
      <c r="C126" s="30" t="str">
        <f>IF($A126="","",INDEX(Каталог!$G$4:$G$500,$A126)&amp;"")</f>
        <v/>
      </c>
      <c r="D126" s="33"/>
      <c r="E126" s="31" t="str">
        <f>IF($A126="","",INDEX(Каталог!$H$4:$H$500,$A126)&amp;"")</f>
        <v/>
      </c>
      <c r="F126" s="32" t="str">
        <f>IF($A126="","",INDEX(Каталог!$B$4:$B$500,$A126)&amp;"")</f>
        <v/>
      </c>
      <c r="G126" s="32" t="str">
        <f>IF($A126="","",INDEX(Каталог!$M$4:$M$500,$A126)&amp;"")</f>
        <v/>
      </c>
      <c r="H126" s="32" t="str">
        <f>IF($A126="","",INDEX(Каталог!$P$4:$P$500,$A126))</f>
        <v/>
      </c>
      <c r="I126" s="5"/>
      <c r="J126" s="5"/>
    </row>
    <row r="127" spans="1:10" x14ac:dyDescent="0.3">
      <c r="A127" s="29" t="str">
        <f>IFERROR(MATCH(ROW()-3,Каталог!$AF$4:$AF$500,0),"")</f>
        <v/>
      </c>
      <c r="B127" s="29" t="str">
        <f t="shared" si="3"/>
        <v/>
      </c>
      <c r="C127" s="30" t="str">
        <f>IF($A127="","",INDEX(Каталог!$G$4:$G$500,$A127)&amp;"")</f>
        <v/>
      </c>
      <c r="D127" s="33"/>
      <c r="E127" s="31" t="str">
        <f>IF($A127="","",INDEX(Каталог!$H$4:$H$500,$A127)&amp;"")</f>
        <v/>
      </c>
      <c r="F127" s="32" t="str">
        <f>IF($A127="","",INDEX(Каталог!$B$4:$B$500,$A127)&amp;"")</f>
        <v/>
      </c>
      <c r="G127" s="32" t="str">
        <f>IF($A127="","",INDEX(Каталог!$M$4:$M$500,$A127)&amp;"")</f>
        <v/>
      </c>
      <c r="H127" s="32" t="str">
        <f>IF($A127="","",INDEX(Каталог!$P$4:$P$500,$A127))</f>
        <v/>
      </c>
      <c r="I127" s="5"/>
      <c r="J127" s="5"/>
    </row>
    <row r="128" spans="1:10" x14ac:dyDescent="0.3">
      <c r="A128" s="29" t="str">
        <f>IFERROR(MATCH(ROW()-3,Каталог!$AF$4:$AF$500,0),"")</f>
        <v/>
      </c>
      <c r="B128" s="29" t="str">
        <f t="shared" si="3"/>
        <v/>
      </c>
      <c r="C128" s="30" t="str">
        <f>IF($A128="","",INDEX(Каталог!$G$4:$G$500,$A128)&amp;"")</f>
        <v/>
      </c>
      <c r="D128" s="33"/>
      <c r="E128" s="31" t="str">
        <f>IF($A128="","",INDEX(Каталог!$H$4:$H$500,$A128)&amp;"")</f>
        <v/>
      </c>
      <c r="F128" s="32" t="str">
        <f>IF($A128="","",INDEX(Каталог!$B$4:$B$500,$A128)&amp;"")</f>
        <v/>
      </c>
      <c r="G128" s="32" t="str">
        <f>IF($A128="","",INDEX(Каталог!$M$4:$M$500,$A128)&amp;"")</f>
        <v/>
      </c>
      <c r="H128" s="32" t="str">
        <f>IF($A128="","",INDEX(Каталог!$P$4:$P$500,$A128))</f>
        <v/>
      </c>
      <c r="I128" s="5"/>
      <c r="J128" s="5"/>
    </row>
    <row r="129" spans="1:10" x14ac:dyDescent="0.3">
      <c r="A129" s="29" t="str">
        <f>IFERROR(MATCH(ROW()-3,Каталог!$AF$4:$AF$500,0),"")</f>
        <v/>
      </c>
      <c r="B129" s="29" t="str">
        <f t="shared" si="3"/>
        <v/>
      </c>
      <c r="C129" s="30" t="str">
        <f>IF($A129="","",INDEX(Каталог!$G$4:$G$500,$A129)&amp;"")</f>
        <v/>
      </c>
      <c r="D129" s="33"/>
      <c r="E129" s="31" t="str">
        <f>IF($A129="","",INDEX(Каталог!$H$4:$H$500,$A129)&amp;"")</f>
        <v/>
      </c>
      <c r="F129" s="32" t="str">
        <f>IF($A129="","",INDEX(Каталог!$B$4:$B$500,$A129)&amp;"")</f>
        <v/>
      </c>
      <c r="G129" s="32" t="str">
        <f>IF($A129="","",INDEX(Каталог!$M$4:$M$500,$A129)&amp;"")</f>
        <v/>
      </c>
      <c r="H129" s="32" t="str">
        <f>IF($A129="","",INDEX(Каталог!$P$4:$P$500,$A129))</f>
        <v/>
      </c>
      <c r="I129" s="5"/>
      <c r="J129" s="5"/>
    </row>
    <row r="130" spans="1:10" x14ac:dyDescent="0.3">
      <c r="A130" s="29" t="str">
        <f>IFERROR(MATCH(ROW()-3,Каталог!$AF$4:$AF$500,0),"")</f>
        <v/>
      </c>
      <c r="B130" s="29" t="str">
        <f t="shared" si="3"/>
        <v/>
      </c>
      <c r="C130" s="30" t="str">
        <f>IF($A130="","",INDEX(Каталог!$G$4:$G$500,$A130)&amp;"")</f>
        <v/>
      </c>
      <c r="D130" s="33"/>
      <c r="E130" s="31" t="str">
        <f>IF($A130="","",INDEX(Каталог!$H$4:$H$500,$A130)&amp;"")</f>
        <v/>
      </c>
      <c r="F130" s="32" t="str">
        <f>IF($A130="","",INDEX(Каталог!$B$4:$B$500,$A130)&amp;"")</f>
        <v/>
      </c>
      <c r="G130" s="32" t="str">
        <f>IF($A130="","",INDEX(Каталог!$M$4:$M$500,$A130)&amp;"")</f>
        <v/>
      </c>
      <c r="H130" s="32" t="str">
        <f>IF($A130="","",INDEX(Каталог!$P$4:$P$500,$A130))</f>
        <v/>
      </c>
      <c r="I130" s="5"/>
      <c r="J130" s="5"/>
    </row>
    <row r="131" spans="1:10" x14ac:dyDescent="0.3">
      <c r="A131" s="29" t="str">
        <f>IFERROR(MATCH(ROW()-3,Каталог!$AF$4:$AF$500,0),"")</f>
        <v/>
      </c>
      <c r="B131" s="29" t="str">
        <f t="shared" si="3"/>
        <v/>
      </c>
      <c r="C131" s="30" t="str">
        <f>IF($A131="","",INDEX(Каталог!$G$4:$G$500,$A131)&amp;"")</f>
        <v/>
      </c>
      <c r="D131" s="33"/>
      <c r="E131" s="31" t="str">
        <f>IF($A131="","",INDEX(Каталог!$H$4:$H$500,$A131)&amp;"")</f>
        <v/>
      </c>
      <c r="F131" s="32" t="str">
        <f>IF($A131="","",INDEX(Каталог!$B$4:$B$500,$A131)&amp;"")</f>
        <v/>
      </c>
      <c r="G131" s="32" t="str">
        <f>IF($A131="","",INDEX(Каталог!$M$4:$M$500,$A131)&amp;"")</f>
        <v/>
      </c>
      <c r="H131" s="32" t="str">
        <f>IF($A131="","",INDEX(Каталог!$P$4:$P$500,$A131))</f>
        <v/>
      </c>
      <c r="I131" s="5"/>
      <c r="J131" s="5"/>
    </row>
    <row r="132" spans="1:10" x14ac:dyDescent="0.3">
      <c r="A132" s="29" t="str">
        <f>IFERROR(MATCH(ROW()-3,Каталог!$AF$4:$AF$500,0),"")</f>
        <v/>
      </c>
      <c r="B132" s="29" t="str">
        <f t="shared" ref="B132:B160" si="4">IF($A132="","",$B$3&amp;"."&amp;(ROW()-3))</f>
        <v/>
      </c>
      <c r="C132" s="30" t="str">
        <f>IF($A132="","",INDEX(Каталог!$G$4:$G$500,$A132)&amp;"")</f>
        <v/>
      </c>
      <c r="D132" s="33"/>
      <c r="E132" s="31" t="str">
        <f>IF($A132="","",INDEX(Каталог!$H$4:$H$500,$A132)&amp;"")</f>
        <v/>
      </c>
      <c r="F132" s="32" t="str">
        <f>IF($A132="","",INDEX(Каталог!$B$4:$B$500,$A132)&amp;"")</f>
        <v/>
      </c>
      <c r="G132" s="32" t="str">
        <f>IF($A132="","",INDEX(Каталог!$M$4:$M$500,$A132)&amp;"")</f>
        <v/>
      </c>
      <c r="H132" s="32" t="str">
        <f>IF($A132="","",INDEX(Каталог!$P$4:$P$500,$A132))</f>
        <v/>
      </c>
      <c r="I132" s="5"/>
      <c r="J132" s="5"/>
    </row>
    <row r="133" spans="1:10" x14ac:dyDescent="0.3">
      <c r="A133" s="29" t="str">
        <f>IFERROR(MATCH(ROW()-3,Каталог!$AF$4:$AF$500,0),"")</f>
        <v/>
      </c>
      <c r="B133" s="29" t="str">
        <f t="shared" si="4"/>
        <v/>
      </c>
      <c r="C133" s="30" t="str">
        <f>IF($A133="","",INDEX(Каталог!$G$4:$G$500,$A133)&amp;"")</f>
        <v/>
      </c>
      <c r="D133" s="33"/>
      <c r="E133" s="31" t="str">
        <f>IF($A133="","",INDEX(Каталог!$H$4:$H$500,$A133)&amp;"")</f>
        <v/>
      </c>
      <c r="F133" s="32" t="str">
        <f>IF($A133="","",INDEX(Каталог!$B$4:$B$500,$A133)&amp;"")</f>
        <v/>
      </c>
      <c r="G133" s="32" t="str">
        <f>IF($A133="","",INDEX(Каталог!$M$4:$M$500,$A133)&amp;"")</f>
        <v/>
      </c>
      <c r="H133" s="32" t="str">
        <f>IF($A133="","",INDEX(Каталог!$P$4:$P$500,$A133))</f>
        <v/>
      </c>
      <c r="I133" s="5"/>
      <c r="J133" s="5"/>
    </row>
    <row r="134" spans="1:10" x14ac:dyDescent="0.3">
      <c r="A134" s="29" t="str">
        <f>IFERROR(MATCH(ROW()-3,Каталог!$AF$4:$AF$500,0),"")</f>
        <v/>
      </c>
      <c r="B134" s="29" t="str">
        <f t="shared" si="4"/>
        <v/>
      </c>
      <c r="C134" s="30" t="str">
        <f>IF($A134="","",INDEX(Каталог!$G$4:$G$500,$A134)&amp;"")</f>
        <v/>
      </c>
      <c r="D134" s="33"/>
      <c r="E134" s="31" t="str">
        <f>IF($A134="","",INDEX(Каталог!$H$4:$H$500,$A134)&amp;"")</f>
        <v/>
      </c>
      <c r="F134" s="32" t="str">
        <f>IF($A134="","",INDEX(Каталог!$B$4:$B$500,$A134)&amp;"")</f>
        <v/>
      </c>
      <c r="G134" s="32" t="str">
        <f>IF($A134="","",INDEX(Каталог!$M$4:$M$500,$A134)&amp;"")</f>
        <v/>
      </c>
      <c r="H134" s="32" t="str">
        <f>IF($A134="","",INDEX(Каталог!$P$4:$P$500,$A134))</f>
        <v/>
      </c>
      <c r="I134" s="5"/>
      <c r="J134" s="5"/>
    </row>
    <row r="135" spans="1:10" x14ac:dyDescent="0.3">
      <c r="A135" s="29" t="str">
        <f>IFERROR(MATCH(ROW()-3,Каталог!$AF$4:$AF$500,0),"")</f>
        <v/>
      </c>
      <c r="B135" s="29" t="str">
        <f t="shared" si="4"/>
        <v/>
      </c>
      <c r="C135" s="30" t="str">
        <f>IF($A135="","",INDEX(Каталог!$G$4:$G$500,$A135)&amp;"")</f>
        <v/>
      </c>
      <c r="D135" s="33"/>
      <c r="E135" s="31" t="str">
        <f>IF($A135="","",INDEX(Каталог!$H$4:$H$500,$A135)&amp;"")</f>
        <v/>
      </c>
      <c r="F135" s="32" t="str">
        <f>IF($A135="","",INDEX(Каталог!$B$4:$B$500,$A135)&amp;"")</f>
        <v/>
      </c>
      <c r="G135" s="32" t="str">
        <f>IF($A135="","",INDEX(Каталог!$M$4:$M$500,$A135)&amp;"")</f>
        <v/>
      </c>
      <c r="H135" s="32" t="str">
        <f>IF($A135="","",INDEX(Каталог!$P$4:$P$500,$A135))</f>
        <v/>
      </c>
      <c r="I135" s="5"/>
      <c r="J135" s="5"/>
    </row>
    <row r="136" spans="1:10" x14ac:dyDescent="0.3">
      <c r="A136" s="29" t="str">
        <f>IFERROR(MATCH(ROW()-3,Каталог!$AF$4:$AF$500,0),"")</f>
        <v/>
      </c>
      <c r="B136" s="29" t="str">
        <f t="shared" si="4"/>
        <v/>
      </c>
      <c r="C136" s="30" t="str">
        <f>IF($A136="","",INDEX(Каталог!$G$4:$G$500,$A136)&amp;"")</f>
        <v/>
      </c>
      <c r="D136" s="33"/>
      <c r="E136" s="31" t="str">
        <f>IF($A136="","",INDEX(Каталог!$H$4:$H$500,$A136)&amp;"")</f>
        <v/>
      </c>
      <c r="F136" s="32" t="str">
        <f>IF($A136="","",INDEX(Каталог!$B$4:$B$500,$A136)&amp;"")</f>
        <v/>
      </c>
      <c r="G136" s="32" t="str">
        <f>IF($A136="","",INDEX(Каталог!$M$4:$M$500,$A136)&amp;"")</f>
        <v/>
      </c>
      <c r="H136" s="32" t="str">
        <f>IF($A136="","",INDEX(Каталог!$P$4:$P$500,$A136))</f>
        <v/>
      </c>
      <c r="I136" s="5"/>
      <c r="J136" s="5"/>
    </row>
    <row r="137" spans="1:10" x14ac:dyDescent="0.3">
      <c r="A137" s="29" t="str">
        <f>IFERROR(MATCH(ROW()-3,Каталог!$AF$4:$AF$500,0),"")</f>
        <v/>
      </c>
      <c r="B137" s="29" t="str">
        <f t="shared" si="4"/>
        <v/>
      </c>
      <c r="C137" s="30" t="str">
        <f>IF($A137="","",INDEX(Каталог!$G$4:$G$500,$A137)&amp;"")</f>
        <v/>
      </c>
      <c r="D137" s="33"/>
      <c r="E137" s="31" t="str">
        <f>IF($A137="","",INDEX(Каталог!$H$4:$H$500,$A137)&amp;"")</f>
        <v/>
      </c>
      <c r="F137" s="32" t="str">
        <f>IF($A137="","",INDEX(Каталог!$B$4:$B$500,$A137)&amp;"")</f>
        <v/>
      </c>
      <c r="G137" s="32" t="str">
        <f>IF($A137="","",INDEX(Каталог!$M$4:$M$500,$A137)&amp;"")</f>
        <v/>
      </c>
      <c r="H137" s="32" t="str">
        <f>IF($A137="","",INDEX(Каталог!$P$4:$P$500,$A137))</f>
        <v/>
      </c>
      <c r="I137" s="5"/>
      <c r="J137" s="5"/>
    </row>
    <row r="138" spans="1:10" x14ac:dyDescent="0.3">
      <c r="A138" s="29" t="str">
        <f>IFERROR(MATCH(ROW()-3,Каталог!$AF$4:$AF$500,0),"")</f>
        <v/>
      </c>
      <c r="B138" s="29" t="str">
        <f t="shared" si="4"/>
        <v/>
      </c>
      <c r="C138" s="30" t="str">
        <f>IF($A138="","",INDEX(Каталог!$G$4:$G$500,$A138)&amp;"")</f>
        <v/>
      </c>
      <c r="D138" s="33"/>
      <c r="E138" s="31" t="str">
        <f>IF($A138="","",INDEX(Каталог!$H$4:$H$500,$A138)&amp;"")</f>
        <v/>
      </c>
      <c r="F138" s="32" t="str">
        <f>IF($A138="","",INDEX(Каталог!$B$4:$B$500,$A138)&amp;"")</f>
        <v/>
      </c>
      <c r="G138" s="32" t="str">
        <f>IF($A138="","",INDEX(Каталог!$M$4:$M$500,$A138)&amp;"")</f>
        <v/>
      </c>
      <c r="H138" s="32" t="str">
        <f>IF($A138="","",INDEX(Каталог!$P$4:$P$500,$A138))</f>
        <v/>
      </c>
      <c r="I138" s="5"/>
      <c r="J138" s="5"/>
    </row>
    <row r="139" spans="1:10" x14ac:dyDescent="0.3">
      <c r="A139" s="29" t="str">
        <f>IFERROR(MATCH(ROW()-3,Каталог!$AF$4:$AF$500,0),"")</f>
        <v/>
      </c>
      <c r="B139" s="29" t="str">
        <f t="shared" si="4"/>
        <v/>
      </c>
      <c r="C139" s="30" t="str">
        <f>IF($A139="","",INDEX(Каталог!$G$4:$G$500,$A139)&amp;"")</f>
        <v/>
      </c>
      <c r="D139" s="33"/>
      <c r="E139" s="31" t="str">
        <f>IF($A139="","",INDEX(Каталог!$H$4:$H$500,$A139)&amp;"")</f>
        <v/>
      </c>
      <c r="F139" s="32" t="str">
        <f>IF($A139="","",INDEX(Каталог!$B$4:$B$500,$A139)&amp;"")</f>
        <v/>
      </c>
      <c r="G139" s="32" t="str">
        <f>IF($A139="","",INDEX(Каталог!$M$4:$M$500,$A139)&amp;"")</f>
        <v/>
      </c>
      <c r="H139" s="32" t="str">
        <f>IF($A139="","",INDEX(Каталог!$P$4:$P$500,$A139))</f>
        <v/>
      </c>
      <c r="I139" s="5"/>
      <c r="J139" s="5"/>
    </row>
    <row r="140" spans="1:10" x14ac:dyDescent="0.3">
      <c r="A140" s="29" t="str">
        <f>IFERROR(MATCH(ROW()-3,Каталог!$AF$4:$AF$500,0),"")</f>
        <v/>
      </c>
      <c r="B140" s="29" t="str">
        <f t="shared" si="4"/>
        <v/>
      </c>
      <c r="C140" s="30" t="str">
        <f>IF($A140="","",INDEX(Каталог!$G$4:$G$500,$A140)&amp;"")</f>
        <v/>
      </c>
      <c r="D140" s="33"/>
      <c r="E140" s="31" t="str">
        <f>IF($A140="","",INDEX(Каталог!$H$4:$H$500,$A140)&amp;"")</f>
        <v/>
      </c>
      <c r="F140" s="32" t="str">
        <f>IF($A140="","",INDEX(Каталог!$B$4:$B$500,$A140)&amp;"")</f>
        <v/>
      </c>
      <c r="G140" s="32" t="str">
        <f>IF($A140="","",INDEX(Каталог!$M$4:$M$500,$A140)&amp;"")</f>
        <v/>
      </c>
      <c r="H140" s="32" t="str">
        <f>IF($A140="","",INDEX(Каталог!$P$4:$P$500,$A140))</f>
        <v/>
      </c>
      <c r="I140" s="5"/>
      <c r="J140" s="5"/>
    </row>
    <row r="141" spans="1:10" x14ac:dyDescent="0.3">
      <c r="A141" s="29" t="str">
        <f>IFERROR(MATCH(ROW()-3,Каталог!$AF$4:$AF$500,0),"")</f>
        <v/>
      </c>
      <c r="B141" s="29" t="str">
        <f t="shared" si="4"/>
        <v/>
      </c>
      <c r="C141" s="30" t="str">
        <f>IF($A141="","",INDEX(Каталог!$G$4:$G$500,$A141)&amp;"")</f>
        <v/>
      </c>
      <c r="D141" s="33"/>
      <c r="E141" s="31" t="str">
        <f>IF($A141="","",INDEX(Каталог!$H$4:$H$500,$A141)&amp;"")</f>
        <v/>
      </c>
      <c r="F141" s="32" t="str">
        <f>IF($A141="","",INDEX(Каталог!$B$4:$B$500,$A141)&amp;"")</f>
        <v/>
      </c>
      <c r="G141" s="32" t="str">
        <f>IF($A141="","",INDEX(Каталог!$M$4:$M$500,$A141)&amp;"")</f>
        <v/>
      </c>
      <c r="H141" s="32" t="str">
        <f>IF($A141="","",INDEX(Каталог!$P$4:$P$500,$A141))</f>
        <v/>
      </c>
      <c r="I141" s="5"/>
      <c r="J141" s="5"/>
    </row>
    <row r="142" spans="1:10" x14ac:dyDescent="0.3">
      <c r="A142" s="29" t="str">
        <f>IFERROR(MATCH(ROW()-3,Каталог!$AF$4:$AF$500,0),"")</f>
        <v/>
      </c>
      <c r="B142" s="29" t="str">
        <f t="shared" si="4"/>
        <v/>
      </c>
      <c r="C142" s="30" t="str">
        <f>IF($A142="","",INDEX(Каталог!$G$4:$G$500,$A142)&amp;"")</f>
        <v/>
      </c>
      <c r="D142" s="33"/>
      <c r="E142" s="31" t="str">
        <f>IF($A142="","",INDEX(Каталог!$H$4:$H$500,$A142)&amp;"")</f>
        <v/>
      </c>
      <c r="F142" s="32" t="str">
        <f>IF($A142="","",INDEX(Каталог!$B$4:$B$500,$A142)&amp;"")</f>
        <v/>
      </c>
      <c r="G142" s="32" t="str">
        <f>IF($A142="","",INDEX(Каталог!$M$4:$M$500,$A142)&amp;"")</f>
        <v/>
      </c>
      <c r="H142" s="32" t="str">
        <f>IF($A142="","",INDEX(Каталог!$P$4:$P$500,$A142))</f>
        <v/>
      </c>
      <c r="I142" s="5"/>
      <c r="J142" s="5"/>
    </row>
    <row r="143" spans="1:10" x14ac:dyDescent="0.3">
      <c r="A143" s="29" t="str">
        <f>IFERROR(MATCH(ROW()-3,Каталог!$AF$4:$AF$500,0),"")</f>
        <v/>
      </c>
      <c r="B143" s="29" t="str">
        <f t="shared" si="4"/>
        <v/>
      </c>
      <c r="C143" s="30" t="str">
        <f>IF($A143="","",INDEX(Каталог!$G$4:$G$500,$A143)&amp;"")</f>
        <v/>
      </c>
      <c r="D143" s="33"/>
      <c r="E143" s="31" t="str">
        <f>IF($A143="","",INDEX(Каталог!$H$4:$H$500,$A143)&amp;"")</f>
        <v/>
      </c>
      <c r="F143" s="32" t="str">
        <f>IF($A143="","",INDEX(Каталог!$B$4:$B$500,$A143)&amp;"")</f>
        <v/>
      </c>
      <c r="G143" s="32" t="str">
        <f>IF($A143="","",INDEX(Каталог!$M$4:$M$500,$A143)&amp;"")</f>
        <v/>
      </c>
      <c r="H143" s="32" t="str">
        <f>IF($A143="","",INDEX(Каталог!$P$4:$P$500,$A143))</f>
        <v/>
      </c>
      <c r="I143" s="5"/>
      <c r="J143" s="5"/>
    </row>
    <row r="144" spans="1:10" x14ac:dyDescent="0.3">
      <c r="A144" s="29" t="str">
        <f>IFERROR(MATCH(ROW()-3,Каталог!$AF$4:$AF$500,0),"")</f>
        <v/>
      </c>
      <c r="B144" s="29" t="str">
        <f t="shared" si="4"/>
        <v/>
      </c>
      <c r="C144" s="30" t="str">
        <f>IF($A144="","",INDEX(Каталог!$G$4:$G$500,$A144)&amp;"")</f>
        <v/>
      </c>
      <c r="D144" s="33"/>
      <c r="E144" s="31" t="str">
        <f>IF($A144="","",INDEX(Каталог!$H$4:$H$500,$A144)&amp;"")</f>
        <v/>
      </c>
      <c r="F144" s="32" t="str">
        <f>IF($A144="","",INDEX(Каталог!$B$4:$B$500,$A144)&amp;"")</f>
        <v/>
      </c>
      <c r="G144" s="32" t="str">
        <f>IF($A144="","",INDEX(Каталог!$M$4:$M$500,$A144)&amp;"")</f>
        <v/>
      </c>
      <c r="H144" s="32" t="str">
        <f>IF($A144="","",INDEX(Каталог!$P$4:$P$500,$A144))</f>
        <v/>
      </c>
      <c r="I144" s="5"/>
      <c r="J144" s="5"/>
    </row>
    <row r="145" spans="1:10" x14ac:dyDescent="0.3">
      <c r="A145" s="29" t="str">
        <f>IFERROR(MATCH(ROW()-3,Каталог!$AF$4:$AF$500,0),"")</f>
        <v/>
      </c>
      <c r="B145" s="29" t="str">
        <f t="shared" si="4"/>
        <v/>
      </c>
      <c r="C145" s="30" t="str">
        <f>IF($A145="","",INDEX(Каталог!$G$4:$G$500,$A145)&amp;"")</f>
        <v/>
      </c>
      <c r="D145" s="33"/>
      <c r="E145" s="31" t="str">
        <f>IF($A145="","",INDEX(Каталог!$H$4:$H$500,$A145)&amp;"")</f>
        <v/>
      </c>
      <c r="F145" s="32" t="str">
        <f>IF($A145="","",INDEX(Каталог!$B$4:$B$500,$A145)&amp;"")</f>
        <v/>
      </c>
      <c r="G145" s="32" t="str">
        <f>IF($A145="","",INDEX(Каталог!$M$4:$M$500,$A145)&amp;"")</f>
        <v/>
      </c>
      <c r="H145" s="32" t="str">
        <f>IF($A145="","",INDEX(Каталог!$P$4:$P$500,$A145))</f>
        <v/>
      </c>
      <c r="I145" s="5"/>
      <c r="J145" s="5"/>
    </row>
    <row r="146" spans="1:10" x14ac:dyDescent="0.3">
      <c r="A146" s="29" t="str">
        <f>IFERROR(MATCH(ROW()-3,Каталог!$AF$4:$AF$500,0),"")</f>
        <v/>
      </c>
      <c r="B146" s="29" t="str">
        <f t="shared" si="4"/>
        <v/>
      </c>
      <c r="C146" s="30" t="str">
        <f>IF($A146="","",INDEX(Каталог!$G$4:$G$500,$A146)&amp;"")</f>
        <v/>
      </c>
      <c r="D146" s="33"/>
      <c r="E146" s="31" t="str">
        <f>IF($A146="","",INDEX(Каталог!$H$4:$H$500,$A146)&amp;"")</f>
        <v/>
      </c>
      <c r="F146" s="32" t="str">
        <f>IF($A146="","",INDEX(Каталог!$B$4:$B$500,$A146)&amp;"")</f>
        <v/>
      </c>
      <c r="G146" s="32" t="str">
        <f>IF($A146="","",INDEX(Каталог!$M$4:$M$500,$A146)&amp;"")</f>
        <v/>
      </c>
      <c r="H146" s="32" t="str">
        <f>IF($A146="","",INDEX(Каталог!$P$4:$P$500,$A146))</f>
        <v/>
      </c>
      <c r="I146" s="5"/>
      <c r="J146" s="5"/>
    </row>
    <row r="147" spans="1:10" x14ac:dyDescent="0.3">
      <c r="A147" s="29" t="str">
        <f>IFERROR(MATCH(ROW()-3,Каталог!$AF$4:$AF$500,0),"")</f>
        <v/>
      </c>
      <c r="B147" s="29" t="str">
        <f t="shared" si="4"/>
        <v/>
      </c>
      <c r="C147" s="30" t="str">
        <f>IF($A147="","",INDEX(Каталог!$G$4:$G$500,$A147)&amp;"")</f>
        <v/>
      </c>
      <c r="D147" s="33"/>
      <c r="E147" s="31" t="str">
        <f>IF($A147="","",INDEX(Каталог!$H$4:$H$500,$A147)&amp;"")</f>
        <v/>
      </c>
      <c r="F147" s="32" t="str">
        <f>IF($A147="","",INDEX(Каталог!$B$4:$B$500,$A147)&amp;"")</f>
        <v/>
      </c>
      <c r="G147" s="32" t="str">
        <f>IF($A147="","",INDEX(Каталог!$M$4:$M$500,$A147)&amp;"")</f>
        <v/>
      </c>
      <c r="H147" s="32" t="str">
        <f>IF($A147="","",INDEX(Каталог!$P$4:$P$500,$A147))</f>
        <v/>
      </c>
      <c r="I147" s="5"/>
      <c r="J147" s="5"/>
    </row>
    <row r="148" spans="1:10" x14ac:dyDescent="0.3">
      <c r="A148" s="29" t="str">
        <f>IFERROR(MATCH(ROW()-3,Каталог!$AF$4:$AF$500,0),"")</f>
        <v/>
      </c>
      <c r="B148" s="29" t="str">
        <f t="shared" si="4"/>
        <v/>
      </c>
      <c r="C148" s="30" t="str">
        <f>IF($A148="","",INDEX(Каталог!$G$4:$G$500,$A148)&amp;"")</f>
        <v/>
      </c>
      <c r="D148" s="33"/>
      <c r="E148" s="31" t="str">
        <f>IF($A148="","",INDEX(Каталог!$H$4:$H$500,$A148)&amp;"")</f>
        <v/>
      </c>
      <c r="F148" s="32" t="str">
        <f>IF($A148="","",INDEX(Каталог!$B$4:$B$500,$A148)&amp;"")</f>
        <v/>
      </c>
      <c r="G148" s="32" t="str">
        <f>IF($A148="","",INDEX(Каталог!$M$4:$M$500,$A148)&amp;"")</f>
        <v/>
      </c>
      <c r="H148" s="32" t="str">
        <f>IF($A148="","",INDEX(Каталог!$P$4:$P$500,$A148))</f>
        <v/>
      </c>
      <c r="I148" s="5"/>
      <c r="J148" s="5"/>
    </row>
    <row r="149" spans="1:10" x14ac:dyDescent="0.3">
      <c r="A149" s="29" t="str">
        <f>IFERROR(MATCH(ROW()-3,Каталог!$AF$4:$AF$500,0),"")</f>
        <v/>
      </c>
      <c r="B149" s="29" t="str">
        <f t="shared" si="4"/>
        <v/>
      </c>
      <c r="C149" s="30" t="str">
        <f>IF($A149="","",INDEX(Каталог!$G$4:$G$500,$A149)&amp;"")</f>
        <v/>
      </c>
      <c r="D149" s="33"/>
      <c r="E149" s="31" t="str">
        <f>IF($A149="","",INDEX(Каталог!$H$4:$H$500,$A149)&amp;"")</f>
        <v/>
      </c>
      <c r="F149" s="32" t="str">
        <f>IF($A149="","",INDEX(Каталог!$B$4:$B$500,$A149)&amp;"")</f>
        <v/>
      </c>
      <c r="G149" s="32" t="str">
        <f>IF($A149="","",INDEX(Каталог!$M$4:$M$500,$A149)&amp;"")</f>
        <v/>
      </c>
      <c r="H149" s="32" t="str">
        <f>IF($A149="","",INDEX(Каталог!$P$4:$P$500,$A149))</f>
        <v/>
      </c>
      <c r="I149" s="5"/>
      <c r="J149" s="5"/>
    </row>
    <row r="150" spans="1:10" x14ac:dyDescent="0.3">
      <c r="A150" s="29" t="str">
        <f>IFERROR(MATCH(ROW()-3,Каталог!$AF$4:$AF$500,0),"")</f>
        <v/>
      </c>
      <c r="B150" s="29" t="str">
        <f t="shared" si="4"/>
        <v/>
      </c>
      <c r="C150" s="30" t="str">
        <f>IF($A150="","",INDEX(Каталог!$G$4:$G$500,$A150)&amp;"")</f>
        <v/>
      </c>
      <c r="D150" s="33"/>
      <c r="E150" s="31" t="str">
        <f>IF($A150="","",INDEX(Каталог!$H$4:$H$500,$A150)&amp;"")</f>
        <v/>
      </c>
      <c r="F150" s="32" t="str">
        <f>IF($A150="","",INDEX(Каталог!$B$4:$B$500,$A150)&amp;"")</f>
        <v/>
      </c>
      <c r="G150" s="32" t="str">
        <f>IF($A150="","",INDEX(Каталог!$M$4:$M$500,$A150)&amp;"")</f>
        <v/>
      </c>
      <c r="H150" s="32" t="str">
        <f>IF($A150="","",INDEX(Каталог!$P$4:$P$500,$A150))</f>
        <v/>
      </c>
      <c r="I150" s="5"/>
      <c r="J150" s="5"/>
    </row>
    <row r="151" spans="1:10" x14ac:dyDescent="0.3">
      <c r="A151" s="29" t="str">
        <f>IFERROR(MATCH(ROW()-3,Каталог!$AF$4:$AF$500,0),"")</f>
        <v/>
      </c>
      <c r="B151" s="29" t="str">
        <f t="shared" si="4"/>
        <v/>
      </c>
      <c r="C151" s="30" t="str">
        <f>IF($A151="","",INDEX(Каталог!$G$4:$G$500,$A151)&amp;"")</f>
        <v/>
      </c>
      <c r="D151" s="33"/>
      <c r="E151" s="31" t="str">
        <f>IF($A151="","",INDEX(Каталог!$H$4:$H$500,$A151)&amp;"")</f>
        <v/>
      </c>
      <c r="F151" s="32" t="str">
        <f>IF($A151="","",INDEX(Каталог!$B$4:$B$500,$A151)&amp;"")</f>
        <v/>
      </c>
      <c r="G151" s="32" t="str">
        <f>IF($A151="","",INDEX(Каталог!$M$4:$M$500,$A151)&amp;"")</f>
        <v/>
      </c>
      <c r="H151" s="32" t="str">
        <f>IF($A151="","",INDEX(Каталог!$P$4:$P$500,$A151))</f>
        <v/>
      </c>
      <c r="I151" s="5"/>
      <c r="J151" s="5"/>
    </row>
    <row r="152" spans="1:10" x14ac:dyDescent="0.3">
      <c r="A152" s="29" t="str">
        <f>IFERROR(MATCH(ROW()-3,Каталог!$AF$4:$AF$500,0),"")</f>
        <v/>
      </c>
      <c r="B152" s="29" t="str">
        <f t="shared" si="4"/>
        <v/>
      </c>
      <c r="C152" s="30" t="str">
        <f>IF($A152="","",INDEX(Каталог!$G$4:$G$500,$A152)&amp;"")</f>
        <v/>
      </c>
      <c r="D152" s="33"/>
      <c r="E152" s="31" t="str">
        <f>IF($A152="","",INDEX(Каталог!$H$4:$H$500,$A152)&amp;"")</f>
        <v/>
      </c>
      <c r="F152" s="32" t="str">
        <f>IF($A152="","",INDEX(Каталог!$B$4:$B$500,$A152)&amp;"")</f>
        <v/>
      </c>
      <c r="G152" s="32" t="str">
        <f>IF($A152="","",INDEX(Каталог!$M$4:$M$500,$A152)&amp;"")</f>
        <v/>
      </c>
      <c r="H152" s="32" t="str">
        <f>IF($A152="","",INDEX(Каталог!$P$4:$P$500,$A152))</f>
        <v/>
      </c>
      <c r="I152" s="5"/>
      <c r="J152" s="5"/>
    </row>
    <row r="153" spans="1:10" x14ac:dyDescent="0.3">
      <c r="A153" s="29" t="str">
        <f>IFERROR(MATCH(ROW()-3,Каталог!$AF$4:$AF$500,0),"")</f>
        <v/>
      </c>
      <c r="B153" s="29" t="str">
        <f t="shared" si="4"/>
        <v/>
      </c>
      <c r="C153" s="30" t="str">
        <f>IF($A153="","",INDEX(Каталог!$G$4:$G$500,$A153)&amp;"")</f>
        <v/>
      </c>
      <c r="D153" s="33"/>
      <c r="E153" s="31" t="str">
        <f>IF($A153="","",INDEX(Каталог!$H$4:$H$500,$A153)&amp;"")</f>
        <v/>
      </c>
      <c r="F153" s="32" t="str">
        <f>IF($A153="","",INDEX(Каталог!$B$4:$B$500,$A153)&amp;"")</f>
        <v/>
      </c>
      <c r="G153" s="32" t="str">
        <f>IF($A153="","",INDEX(Каталог!$M$4:$M$500,$A153)&amp;"")</f>
        <v/>
      </c>
      <c r="H153" s="32" t="str">
        <f>IF($A153="","",INDEX(Каталог!$P$4:$P$500,$A153))</f>
        <v/>
      </c>
      <c r="I153" s="5"/>
      <c r="J153" s="5"/>
    </row>
    <row r="154" spans="1:10" x14ac:dyDescent="0.3">
      <c r="A154" s="29" t="str">
        <f>IFERROR(MATCH(ROW()-3,Каталог!$AF$4:$AF$500,0),"")</f>
        <v/>
      </c>
      <c r="B154" s="29" t="str">
        <f t="shared" si="4"/>
        <v/>
      </c>
      <c r="C154" s="30" t="str">
        <f>IF($A154="","",INDEX(Каталог!$G$4:$G$500,$A154)&amp;"")</f>
        <v/>
      </c>
      <c r="D154" s="33"/>
      <c r="E154" s="31" t="str">
        <f>IF($A154="","",INDEX(Каталог!$H$4:$H$500,$A154)&amp;"")</f>
        <v/>
      </c>
      <c r="F154" s="32" t="str">
        <f>IF($A154="","",INDEX(Каталог!$B$4:$B$500,$A154)&amp;"")</f>
        <v/>
      </c>
      <c r="G154" s="32" t="str">
        <f>IF($A154="","",INDEX(Каталог!$M$4:$M$500,$A154)&amp;"")</f>
        <v/>
      </c>
      <c r="H154" s="32" t="str">
        <f>IF($A154="","",INDEX(Каталог!$P$4:$P$500,$A154))</f>
        <v/>
      </c>
      <c r="I154" s="5"/>
      <c r="J154" s="5"/>
    </row>
    <row r="155" spans="1:10" x14ac:dyDescent="0.3">
      <c r="A155" s="29" t="str">
        <f>IFERROR(MATCH(ROW()-3,Каталог!$AF$4:$AF$500,0),"")</f>
        <v/>
      </c>
      <c r="B155" s="29" t="str">
        <f t="shared" si="4"/>
        <v/>
      </c>
      <c r="C155" s="30" t="str">
        <f>IF($A155="","",INDEX(Каталог!$G$4:$G$500,$A155)&amp;"")</f>
        <v/>
      </c>
      <c r="D155" s="33"/>
      <c r="E155" s="31" t="str">
        <f>IF($A155="","",INDEX(Каталог!$H$4:$H$500,$A155)&amp;"")</f>
        <v/>
      </c>
      <c r="F155" s="32" t="str">
        <f>IF($A155="","",INDEX(Каталог!$B$4:$B$500,$A155)&amp;"")</f>
        <v/>
      </c>
      <c r="G155" s="32" t="str">
        <f>IF($A155="","",INDEX(Каталог!$M$4:$M$500,$A155)&amp;"")</f>
        <v/>
      </c>
      <c r="H155" s="32" t="str">
        <f>IF($A155="","",INDEX(Каталог!$P$4:$P$500,$A155))</f>
        <v/>
      </c>
      <c r="I155" s="5"/>
      <c r="J155" s="5"/>
    </row>
    <row r="156" spans="1:10" x14ac:dyDescent="0.3">
      <c r="A156" s="29" t="str">
        <f>IFERROR(MATCH(ROW()-3,Каталог!$AF$4:$AF$500,0),"")</f>
        <v/>
      </c>
      <c r="B156" s="29" t="str">
        <f t="shared" si="4"/>
        <v/>
      </c>
      <c r="C156" s="30" t="str">
        <f>IF($A156="","",INDEX(Каталог!$G$4:$G$500,$A156)&amp;"")</f>
        <v/>
      </c>
      <c r="D156" s="33"/>
      <c r="E156" s="31" t="str">
        <f>IF($A156="","",INDEX(Каталог!$H$4:$H$500,$A156)&amp;"")</f>
        <v/>
      </c>
      <c r="F156" s="32" t="str">
        <f>IF($A156="","",INDEX(Каталог!$B$4:$B$500,$A156)&amp;"")</f>
        <v/>
      </c>
      <c r="G156" s="32" t="str">
        <f>IF($A156="","",INDEX(Каталог!$M$4:$M$500,$A156)&amp;"")</f>
        <v/>
      </c>
      <c r="H156" s="32" t="str">
        <f>IF($A156="","",INDEX(Каталог!$P$4:$P$500,$A156))</f>
        <v/>
      </c>
      <c r="I156" s="5"/>
      <c r="J156" s="5"/>
    </row>
    <row r="157" spans="1:10" x14ac:dyDescent="0.3">
      <c r="A157" s="29" t="str">
        <f>IFERROR(MATCH(ROW()-3,Каталог!$AF$4:$AF$500,0),"")</f>
        <v/>
      </c>
      <c r="B157" s="29" t="str">
        <f t="shared" si="4"/>
        <v/>
      </c>
      <c r="C157" s="30" t="str">
        <f>IF($A157="","",INDEX(Каталог!$G$4:$G$500,$A157)&amp;"")</f>
        <v/>
      </c>
      <c r="D157" s="33"/>
      <c r="E157" s="31" t="str">
        <f>IF($A157="","",INDEX(Каталог!$H$4:$H$500,$A157)&amp;"")</f>
        <v/>
      </c>
      <c r="F157" s="32" t="str">
        <f>IF($A157="","",INDEX(Каталог!$B$4:$B$500,$A157)&amp;"")</f>
        <v/>
      </c>
      <c r="G157" s="32" t="str">
        <f>IF($A157="","",INDEX(Каталог!$M$4:$M$500,$A157)&amp;"")</f>
        <v/>
      </c>
      <c r="H157" s="32" t="str">
        <f>IF($A157="","",INDEX(Каталог!$P$4:$P$500,$A157))</f>
        <v/>
      </c>
      <c r="I157" s="5"/>
      <c r="J157" s="5"/>
    </row>
    <row r="158" spans="1:10" x14ac:dyDescent="0.3">
      <c r="A158" s="29" t="str">
        <f>IFERROR(MATCH(ROW()-3,Каталог!$AF$4:$AF$500,0),"")</f>
        <v/>
      </c>
      <c r="B158" s="29" t="str">
        <f t="shared" si="4"/>
        <v/>
      </c>
      <c r="C158" s="30" t="str">
        <f>IF($A158="","",INDEX(Каталог!$G$4:$G$500,$A158)&amp;"")</f>
        <v/>
      </c>
      <c r="D158" s="33"/>
      <c r="E158" s="31" t="str">
        <f>IF($A158="","",INDEX(Каталог!$H$4:$H$500,$A158)&amp;"")</f>
        <v/>
      </c>
      <c r="F158" s="32" t="str">
        <f>IF($A158="","",INDEX(Каталог!$B$4:$B$500,$A158)&amp;"")</f>
        <v/>
      </c>
      <c r="G158" s="32" t="str">
        <f>IF($A158="","",INDEX(Каталог!$M$4:$M$500,$A158)&amp;"")</f>
        <v/>
      </c>
      <c r="H158" s="32" t="str">
        <f>IF($A158="","",INDEX(Каталог!$P$4:$P$500,$A158))</f>
        <v/>
      </c>
      <c r="I158" s="5"/>
      <c r="J158" s="5"/>
    </row>
    <row r="159" spans="1:10" x14ac:dyDescent="0.3">
      <c r="A159" s="29" t="str">
        <f>IFERROR(MATCH(ROW()-3,Каталог!$AF$4:$AF$500,0),"")</f>
        <v/>
      </c>
      <c r="B159" s="29" t="str">
        <f t="shared" si="4"/>
        <v/>
      </c>
      <c r="C159" s="30" t="str">
        <f>IF($A159="","",INDEX(Каталог!$G$4:$G$500,$A159)&amp;"")</f>
        <v/>
      </c>
      <c r="D159" s="33"/>
      <c r="E159" s="31" t="str">
        <f>IF($A159="","",INDEX(Каталог!$H$4:$H$500,$A159)&amp;"")</f>
        <v/>
      </c>
      <c r="F159" s="32" t="str">
        <f>IF($A159="","",INDEX(Каталог!$B$4:$B$500,$A159)&amp;"")</f>
        <v/>
      </c>
      <c r="G159" s="32" t="str">
        <f>IF($A159="","",INDEX(Каталог!$M$4:$M$500,$A159)&amp;"")</f>
        <v/>
      </c>
      <c r="H159" s="32" t="str">
        <f>IF($A159="","",INDEX(Каталог!$P$4:$P$500,$A159))</f>
        <v/>
      </c>
      <c r="I159" s="5"/>
      <c r="J159" s="5"/>
    </row>
    <row r="160" spans="1:10" x14ac:dyDescent="0.3">
      <c r="A160" s="29" t="str">
        <f>IFERROR(MATCH(ROW()-3,Каталог!$AF$4:$AF$500,0),"")</f>
        <v/>
      </c>
      <c r="B160" s="29" t="str">
        <f t="shared" si="4"/>
        <v/>
      </c>
      <c r="C160" s="30" t="str">
        <f>IF($A160="","",INDEX(Каталог!$G$4:$G$500,$A160)&amp;"")</f>
        <v/>
      </c>
      <c r="D160" s="33"/>
      <c r="E160" s="31" t="str">
        <f>IF($A160="","",INDEX(Каталог!$H$4:$H$500,$A160)&amp;"")</f>
        <v/>
      </c>
      <c r="F160" s="32" t="str">
        <f>IF($A160="","",INDEX(Каталог!$B$4:$B$500,$A160)&amp;"")</f>
        <v/>
      </c>
      <c r="G160" s="32" t="str">
        <f>IF($A160="","",INDEX(Каталог!$M$4:$M$500,$A160)&amp;"")</f>
        <v/>
      </c>
      <c r="H160" s="32" t="str">
        <f>IF($A160="","",INDEX(Каталог!$P$4:$P$500,$A160))</f>
        <v/>
      </c>
      <c r="I160" s="5"/>
      <c r="J160" s="5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D00-000001000000}">
            <xm:f>Каталог!$R$28&lt;&gt;""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D7D31"/>
  </sheetPr>
  <dimension ref="A1:F12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.77734375" customWidth="1"/>
    <col min="2" max="2" width="12.77734375" customWidth="1"/>
    <col min="3" max="3" width="16.77734375" customWidth="1"/>
    <col min="4" max="4" width="46.77734375" customWidth="1"/>
    <col min="5" max="5" width="16.77734375" customWidth="1"/>
    <col min="6" max="6" width="50.77734375" customWidth="1"/>
  </cols>
  <sheetData>
    <row r="1" spans="1:6" x14ac:dyDescent="0.3">
      <c r="A1" s="36" t="s">
        <v>1436</v>
      </c>
    </row>
    <row r="3" spans="1:6" x14ac:dyDescent="0.3">
      <c r="A3" s="117" t="s">
        <v>892</v>
      </c>
      <c r="B3" s="117" t="s">
        <v>4</v>
      </c>
      <c r="C3" s="117" t="s">
        <v>1437</v>
      </c>
      <c r="D3" s="117" t="s">
        <v>1438</v>
      </c>
      <c r="E3" s="117" t="s">
        <v>519</v>
      </c>
      <c r="F3" s="117" t="s">
        <v>6</v>
      </c>
    </row>
    <row r="4" spans="1:6" x14ac:dyDescent="0.3">
      <c r="A4" cm="1">
        <f t="array" ref="A4:F122">_xlfn.LET(_xlpm.kk,_xlfn.TOCOL(_xlfn.HSTACK(Линии[_бирка 1],Линии[_бирка 2],Линии[_бирка 3],Линии[_бирка 4],Линии[_бирка 5],Линии[_бирка 6]),1),_xlpm.ii,_xlfn.TOCOL(_xlfn.HSTACK(Линии[_бирка 1 линия],Линии[_бирка 2 линия],Линии[_бирка 3 линия],Линии[_бирка 4 линия],Линии[_бирка 5 линия],Линии[_бирка 6 линия]),1),IF(ROWS(_xlpm.kk)=0,"нет",_xlfn.LET(_xlpm.u,_xlfn.UNIQUE(_xlpm.kk),_xlpm.inf,_xlfn.XLOOKUP(_xlpm.u,_xlpm.kk,_xlpm.ii),_xlfn.HSTACK(_xlfn.SEQUENCE(ROWS(_xlpm.u)),_xlfn.TEXTBEFORE(_xlpm.u,"¦"),_xlfn.TEXTBEFORE(_xlfn.TEXTAFTER(_xlpm.u,"¦"),"¦"),_xlfn.TEXTAFTER(_xlpm.u,"¦",2),_xlfn.TEXTBEFORE(_xlpm.inf,"¦"),_xlfn.TEXTAFTER(_xlpm.inf,"¦")))))</f>
        <v>1</v>
      </c>
      <c r="B4" t="e">
        <v>#N/A</v>
      </c>
      <c r="C4" t="e">
        <v>#N/A</v>
      </c>
      <c r="D4" t="e">
        <v>#VALUE!</v>
      </c>
      <c r="E4" t="e">
        <v>#N/A</v>
      </c>
      <c r="F4" t="e">
        <v>#N/A</v>
      </c>
    </row>
    <row r="5" spans="1:6" x14ac:dyDescent="0.3">
      <c r="A5">
        <v>2</v>
      </c>
      <c r="B5" t="str">
        <v>ЩР</v>
      </c>
      <c r="C5" t="str">
        <v>QFD1</v>
      </c>
      <c r="D5" t="str">
        <v>XT1</v>
      </c>
      <c r="E5" t="str">
        <v>R.1.01.1</v>
      </c>
      <c r="F5" t="str">
        <v>Розеточная группа  Пом. №01</v>
      </c>
    </row>
    <row r="6" spans="1:6" x14ac:dyDescent="0.3">
      <c r="A6">
        <v>3</v>
      </c>
      <c r="B6" t="str">
        <v>ЩР</v>
      </c>
      <c r="C6" t="str">
        <v>XT1</v>
      </c>
      <c r="D6" t="str">
        <v>кабель ВВГнг(А)-LS (3х2,5) → Розеточная группа  Пом. №01</v>
      </c>
      <c r="E6" t="str">
        <v>R.1.01.1</v>
      </c>
      <c r="F6" t="str">
        <v>Розеточная группа  Пом. №01</v>
      </c>
    </row>
    <row r="7" spans="1:6" x14ac:dyDescent="0.3">
      <c r="A7">
        <v>4</v>
      </c>
      <c r="B7" t="str">
        <v>ЩР</v>
      </c>
      <c r="C7" t="str">
        <v>QFD1</v>
      </c>
      <c r="D7" t="str">
        <v>XT2</v>
      </c>
      <c r="E7" t="str">
        <v>R.1.02.1</v>
      </c>
      <c r="F7" t="str">
        <v>Розеточная группа  Пом. №02</v>
      </c>
    </row>
    <row r="8" spans="1:6" x14ac:dyDescent="0.3">
      <c r="A8">
        <v>5</v>
      </c>
      <c r="B8" t="str">
        <v>ЩР</v>
      </c>
      <c r="C8" t="str">
        <v>XT2</v>
      </c>
      <c r="D8" t="str">
        <v>кабель ВВГнг(А)-LS (3х2,5) → Розеточная группа  Пом. №02</v>
      </c>
      <c r="E8" t="str">
        <v>R.1.02.1</v>
      </c>
      <c r="F8" t="str">
        <v>Розеточная группа  Пом. №02</v>
      </c>
    </row>
    <row r="9" spans="1:6" x14ac:dyDescent="0.3">
      <c r="A9">
        <v>6</v>
      </c>
      <c r="B9" t="str">
        <v>ЩР</v>
      </c>
      <c r="C9" t="str">
        <v>QFD2</v>
      </c>
      <c r="D9" t="str">
        <v>XT2</v>
      </c>
      <c r="E9" t="str">
        <v>R.1.03.1</v>
      </c>
      <c r="F9" t="str">
        <v>Розеточная группа  Пом. №03</v>
      </c>
    </row>
    <row r="10" spans="1:6" x14ac:dyDescent="0.3">
      <c r="A10">
        <v>7</v>
      </c>
      <c r="B10" t="str">
        <v>ЩР</v>
      </c>
      <c r="C10" t="str">
        <v>XT2</v>
      </c>
      <c r="D10" t="str">
        <v>кабель ВВГнг(А)-LS (3х2,5) → Розеточная группа  Пом. №03</v>
      </c>
      <c r="E10" t="str">
        <v>R.1.03.1</v>
      </c>
      <c r="F10" t="str">
        <v>Розеточная группа  Пом. №03</v>
      </c>
    </row>
    <row r="11" spans="1:6" x14ac:dyDescent="0.3">
      <c r="A11">
        <v>8</v>
      </c>
      <c r="B11" t="str">
        <v>ЩР</v>
      </c>
      <c r="C11" t="str">
        <v>QFD3</v>
      </c>
      <c r="D11" t="str">
        <v>XT3</v>
      </c>
      <c r="E11" t="str">
        <v>R.1.03.2</v>
      </c>
      <c r="F11" t="str">
        <v>Розеточная группа  Пом. №03</v>
      </c>
    </row>
    <row r="12" spans="1:6" x14ac:dyDescent="0.3">
      <c r="A12">
        <v>9</v>
      </c>
      <c r="B12" t="str">
        <v>ЩР</v>
      </c>
      <c r="C12" t="str">
        <v>XT3</v>
      </c>
      <c r="D12" t="str">
        <v>кабель ВВГнг(А)-LS (3х2,5) → Розеточная группа  Пом. №03</v>
      </c>
      <c r="E12" t="str">
        <v>R.1.03.2</v>
      </c>
      <c r="F12" t="str">
        <v>Розеточная группа  Пом. №03</v>
      </c>
    </row>
    <row r="13" spans="1:6" x14ac:dyDescent="0.3">
      <c r="A13">
        <v>10</v>
      </c>
      <c r="B13" t="str">
        <v>ЩР</v>
      </c>
      <c r="C13" t="str">
        <v>QFD4</v>
      </c>
      <c r="D13" t="str">
        <v>XT4</v>
      </c>
      <c r="E13" t="str">
        <v>R.1.03.3</v>
      </c>
      <c r="F13" t="str">
        <v>Розеточная группа  Пом. №03 Сушильная машина</v>
      </c>
    </row>
    <row r="14" spans="1:6" x14ac:dyDescent="0.3">
      <c r="A14">
        <v>11</v>
      </c>
      <c r="B14" t="str">
        <v>ЩР</v>
      </c>
      <c r="C14" t="str">
        <v>XT4</v>
      </c>
      <c r="D14" t="str">
        <v>кабель ВВГнг(А)-LS (3х2,5) → Розеточная группа  Пом. №03 Сушильная машина</v>
      </c>
      <c r="E14" t="str">
        <v>R.1.03.3</v>
      </c>
      <c r="F14" t="str">
        <v>Розеточная группа  Пом. №03 Сушильная машина</v>
      </c>
    </row>
    <row r="15" spans="1:6" x14ac:dyDescent="0.3">
      <c r="A15">
        <v>12</v>
      </c>
      <c r="B15" t="str">
        <v>ЩР</v>
      </c>
      <c r="C15" t="str">
        <v>QFD5</v>
      </c>
      <c r="D15" t="str">
        <v>XT5</v>
      </c>
      <c r="E15" t="str">
        <v>R.1.03.4</v>
      </c>
      <c r="F15" t="str">
        <v>Розеточная группа  Пом. №03 Стиральная машина</v>
      </c>
    </row>
    <row r="16" spans="1:6" x14ac:dyDescent="0.3">
      <c r="A16">
        <v>13</v>
      </c>
      <c r="B16" t="str">
        <v>ЩР</v>
      </c>
      <c r="C16" t="str">
        <v>XT5</v>
      </c>
      <c r="D16" t="str">
        <v>кабель ВВГнг(А)-LS (5х2,5) → Розеточная группа  Пом. №03 Стиральная машина</v>
      </c>
      <c r="E16" t="str">
        <v>R.1.03.4</v>
      </c>
      <c r="F16" t="str">
        <v>Розеточная группа  Пом. №03 Стиральная машина</v>
      </c>
    </row>
    <row r="17" spans="1:6" x14ac:dyDescent="0.3">
      <c r="A17">
        <v>14</v>
      </c>
      <c r="B17" t="str">
        <v>ЩР</v>
      </c>
      <c r="C17" t="str">
        <v>QFD6</v>
      </c>
      <c r="D17" t="str">
        <v>XT6</v>
      </c>
      <c r="E17" t="str">
        <v>R.1.05.1</v>
      </c>
      <c r="F17" t="str">
        <v>Розеточная группа  Пом. №05</v>
      </c>
    </row>
    <row r="18" spans="1:6" x14ac:dyDescent="0.3">
      <c r="A18">
        <v>15</v>
      </c>
      <c r="B18" t="str">
        <v>ЩР</v>
      </c>
      <c r="C18" t="str">
        <v>XT6</v>
      </c>
      <c r="D18" t="str">
        <v>кабель ВВГнг(А)-LS (3х2,5) → Розеточная группа  Пом. №05</v>
      </c>
      <c r="E18" t="str">
        <v>R.1.05.1</v>
      </c>
      <c r="F18" t="str">
        <v>Розеточная группа  Пом. №05</v>
      </c>
    </row>
    <row r="19" spans="1:6" x14ac:dyDescent="0.3">
      <c r="A19">
        <v>16</v>
      </c>
      <c r="B19" t="str">
        <v>ЩР</v>
      </c>
      <c r="C19" t="str">
        <v>QFD7</v>
      </c>
      <c r="D19" t="str">
        <v>XT7</v>
      </c>
      <c r="E19" t="str">
        <v>R.1.05.2</v>
      </c>
      <c r="F19" t="str">
        <v>Розеточная группа  Пом. №05</v>
      </c>
    </row>
    <row r="20" spans="1:6" x14ac:dyDescent="0.3">
      <c r="A20">
        <v>17</v>
      </c>
      <c r="B20" t="str">
        <v>ЩР</v>
      </c>
      <c r="C20" t="str">
        <v>XT7</v>
      </c>
      <c r="D20" t="str">
        <v>кабель ВВГнг(А)-LS (3х2,5) → Розеточная группа  Пом. №05</v>
      </c>
      <c r="E20" t="str">
        <v>R.1.05.2</v>
      </c>
      <c r="F20" t="str">
        <v>Розеточная группа  Пом. №05</v>
      </c>
    </row>
    <row r="21" spans="1:6" x14ac:dyDescent="0.3">
      <c r="A21">
        <v>18</v>
      </c>
      <c r="B21" t="str">
        <v>ЩР</v>
      </c>
      <c r="C21" t="str">
        <v>QFD8</v>
      </c>
      <c r="D21" t="str">
        <v>XT8</v>
      </c>
      <c r="E21" t="str">
        <v>R.1.05.3</v>
      </c>
      <c r="F21" t="str">
        <v>Розеточная группа  Пом. №05</v>
      </c>
    </row>
    <row r="22" spans="1:6" x14ac:dyDescent="0.3">
      <c r="A22">
        <v>19</v>
      </c>
      <c r="B22" t="str">
        <v>ЩР</v>
      </c>
      <c r="C22" t="str">
        <v>XT8</v>
      </c>
      <c r="D22" t="str">
        <v>кабель ВВГнг(А)-LS (3х2,5) → Розеточная группа  Пом. №05</v>
      </c>
      <c r="E22" t="str">
        <v>R.1.05.3</v>
      </c>
      <c r="F22" t="str">
        <v>Розеточная группа  Пом. №05</v>
      </c>
    </row>
    <row r="23" spans="1:6" x14ac:dyDescent="0.3">
      <c r="A23">
        <v>20</v>
      </c>
      <c r="B23" t="str">
        <v>ЩР</v>
      </c>
      <c r="C23" t="str">
        <v>QFD9</v>
      </c>
      <c r="D23" t="str">
        <v>XT9</v>
      </c>
      <c r="E23" t="str">
        <v>R.1.05.4</v>
      </c>
      <c r="F23" t="str">
        <v>Розеточная группа  Пом. №05 Варочная поверхность</v>
      </c>
    </row>
    <row r="24" spans="1:6" x14ac:dyDescent="0.3">
      <c r="A24">
        <v>21</v>
      </c>
      <c r="B24" t="str">
        <v>ЩР</v>
      </c>
      <c r="C24" t="str">
        <v>XT9</v>
      </c>
      <c r="D24" t="str">
        <v>кабель ВВГнг(А)-LS (3х2,5) → Розеточная группа  Пом. №05 Варочная поверхность</v>
      </c>
      <c r="E24" t="str">
        <v>R.1.05.4</v>
      </c>
      <c r="F24" t="str">
        <v>Розеточная группа  Пом. №05 Варочная поверхность</v>
      </c>
    </row>
    <row r="25" spans="1:6" x14ac:dyDescent="0.3">
      <c r="A25">
        <v>22</v>
      </c>
      <c r="B25" t="str">
        <v>ЩР</v>
      </c>
      <c r="C25" t="str">
        <v>QFD10</v>
      </c>
      <c r="D25" t="str">
        <v>XT10</v>
      </c>
      <c r="E25" t="str">
        <v>R.1.05.5</v>
      </c>
      <c r="F25" t="str">
        <v>Розеточная группа  Пом. №05 Вытяжка</v>
      </c>
    </row>
    <row r="26" spans="1:6" x14ac:dyDescent="0.3">
      <c r="A26">
        <v>23</v>
      </c>
      <c r="B26" t="str">
        <v>ЩР</v>
      </c>
      <c r="C26" t="str">
        <v>XT10</v>
      </c>
      <c r="D26" t="str">
        <v>кабель ВВГнг(А)-LS (3х2,5) → Розеточная группа  Пом. №05 Вытяжка</v>
      </c>
      <c r="E26" t="str">
        <v>R.1.05.5</v>
      </c>
      <c r="F26" t="str">
        <v>Розеточная группа  Пом. №05 Вытяжка</v>
      </c>
    </row>
    <row r="27" spans="1:6" x14ac:dyDescent="0.3">
      <c r="A27">
        <v>24</v>
      </c>
      <c r="B27" t="str">
        <v>ЩР</v>
      </c>
      <c r="C27" t="str">
        <v>QFD11</v>
      </c>
      <c r="D27" t="str">
        <v>XT11</v>
      </c>
      <c r="E27" t="str">
        <v>R.1.05.6</v>
      </c>
      <c r="F27" t="str">
        <v>Розеточная группа  Пом. №05 ПММ, измельчитель</v>
      </c>
    </row>
    <row r="28" spans="1:6" x14ac:dyDescent="0.3">
      <c r="A28">
        <v>25</v>
      </c>
      <c r="B28" t="str">
        <v>ЩР</v>
      </c>
      <c r="C28" t="str">
        <v>XT11</v>
      </c>
      <c r="D28" t="str">
        <v>кабель ВВГнг(А)-LS (3х2,5) → Розеточная группа  Пом. №05 ПММ, измельчитель</v>
      </c>
      <c r="E28" t="str">
        <v>R.1.05.6</v>
      </c>
      <c r="F28" t="str">
        <v>Розеточная группа  Пом. №05 ПММ, измельчитель</v>
      </c>
    </row>
    <row r="29" spans="1:6" x14ac:dyDescent="0.3">
      <c r="A29">
        <v>26</v>
      </c>
      <c r="B29" t="str">
        <v>ЩР</v>
      </c>
      <c r="C29" t="str">
        <v>QFD12</v>
      </c>
      <c r="D29" t="str">
        <v>XT12</v>
      </c>
      <c r="E29" t="str">
        <v>R.1.05.7</v>
      </c>
      <c r="F29" t="str">
        <v>Розеточная группа  Пом. №05 Холодильник</v>
      </c>
    </row>
    <row r="30" spans="1:6" x14ac:dyDescent="0.3">
      <c r="A30">
        <v>27</v>
      </c>
      <c r="B30" t="str">
        <v>ЩР</v>
      </c>
      <c r="C30" t="str">
        <v>XT12</v>
      </c>
      <c r="D30" t="str">
        <v>кабель ВВГнг(А)-LS (3х2,5) → Розеточная группа  Пом. №05 Холодильник</v>
      </c>
      <c r="E30" t="str">
        <v>R.1.05.7</v>
      </c>
      <c r="F30" t="str">
        <v>Розеточная группа  Пом. №05 Холодильник</v>
      </c>
    </row>
    <row r="31" spans="1:6" x14ac:dyDescent="0.3">
      <c r="A31">
        <v>28</v>
      </c>
      <c r="B31" t="str">
        <v>ЩР</v>
      </c>
      <c r="C31" t="str">
        <v>QFD13</v>
      </c>
      <c r="D31" t="str">
        <v>XT13</v>
      </c>
      <c r="E31" t="str">
        <v>R.1.05.8</v>
      </c>
      <c r="F31" t="str">
        <v>Розеточная группа  Пом. №05 СВЧ</v>
      </c>
    </row>
    <row r="32" spans="1:6" x14ac:dyDescent="0.3">
      <c r="A32">
        <v>29</v>
      </c>
      <c r="B32" t="str">
        <v>ЩР</v>
      </c>
      <c r="C32" t="str">
        <v>XT13</v>
      </c>
      <c r="D32" t="str">
        <v>кабель ВВГнг(А)-LS (3х2,5) → Розеточная группа  Пом. №05 СВЧ</v>
      </c>
      <c r="E32" t="str">
        <v>R.1.05.8</v>
      </c>
      <c r="F32" t="str">
        <v>Розеточная группа  Пом. №05 СВЧ</v>
      </c>
    </row>
    <row r="33" spans="1:6" x14ac:dyDescent="0.3">
      <c r="A33">
        <v>30</v>
      </c>
      <c r="B33" t="str">
        <v>ЩР</v>
      </c>
      <c r="C33" t="str">
        <v>QFD14</v>
      </c>
      <c r="D33" t="str">
        <v>XT14</v>
      </c>
      <c r="E33" t="str">
        <v>R.1.05.9</v>
      </c>
      <c r="F33" t="str">
        <v>Розеточная группа  Пом. №05 Духовой шкаф</v>
      </c>
    </row>
    <row r="34" spans="1:6" x14ac:dyDescent="0.3">
      <c r="A34">
        <v>31</v>
      </c>
      <c r="B34" t="str">
        <v>ЩР</v>
      </c>
      <c r="C34" t="str">
        <v>XT14</v>
      </c>
      <c r="D34" t="str">
        <v>кабель ВВГнг(А)-LS (3х2,5) → Розеточная группа  Пом. №05 Духовой шкаф</v>
      </c>
      <c r="E34" t="str">
        <v>R.1.05.9</v>
      </c>
      <c r="F34" t="str">
        <v>Розеточная группа  Пом. №05 Духовой шкаф</v>
      </c>
    </row>
    <row r="35" spans="1:6" x14ac:dyDescent="0.3">
      <c r="A35">
        <v>32</v>
      </c>
      <c r="B35" t="str">
        <v>ЩР</v>
      </c>
      <c r="C35" t="str">
        <v>QFD15</v>
      </c>
      <c r="D35" t="str">
        <v>XT16</v>
      </c>
      <c r="E35" t="str">
        <v>R.1.05.10</v>
      </c>
      <c r="F35" t="str">
        <v>Розеточная группа  Пом. №05</v>
      </c>
    </row>
    <row r="36" spans="1:6" x14ac:dyDescent="0.3">
      <c r="A36">
        <v>33</v>
      </c>
      <c r="B36" t="str">
        <v>ЩР</v>
      </c>
      <c r="C36" t="str">
        <v>XT16</v>
      </c>
      <c r="D36" t="str">
        <v>кабель ВВГнг(А)-LS (3х2,5) → Розеточная группа  Пом. №05</v>
      </c>
      <c r="E36" t="str">
        <v>R.1.05.10</v>
      </c>
      <c r="F36" t="str">
        <v>Розеточная группа  Пом. №05</v>
      </c>
    </row>
    <row r="37" spans="1:6" x14ac:dyDescent="0.3">
      <c r="A37">
        <v>34</v>
      </c>
      <c r="B37" t="str">
        <v>ЩР</v>
      </c>
      <c r="C37" t="str">
        <v>QFD16</v>
      </c>
      <c r="D37" t="str">
        <v>XT17</v>
      </c>
      <c r="E37" t="str">
        <v>R.1.05.11</v>
      </c>
      <c r="F37" t="str">
        <v>Розеточная группа  Пом. №05</v>
      </c>
    </row>
    <row r="38" spans="1:6" x14ac:dyDescent="0.3">
      <c r="A38">
        <v>35</v>
      </c>
      <c r="B38" t="str">
        <v>ЩР</v>
      </c>
      <c r="C38" t="str">
        <v>XT17</v>
      </c>
      <c r="D38" t="str">
        <v>кабель ВВГнг(А)-LS (3х2,5) → Розеточная группа  Пом. №05</v>
      </c>
      <c r="E38" t="str">
        <v>R.1.05.11</v>
      </c>
      <c r="F38" t="str">
        <v>Розеточная группа  Пом. №05</v>
      </c>
    </row>
    <row r="39" spans="1:6" x14ac:dyDescent="0.3">
      <c r="A39">
        <v>36</v>
      </c>
      <c r="B39" t="str">
        <v>ЩР</v>
      </c>
      <c r="C39" t="str">
        <v>QFD17</v>
      </c>
      <c r="D39" t="str">
        <v>XT15</v>
      </c>
      <c r="E39" t="str">
        <v>R.1.06.1</v>
      </c>
      <c r="F39" t="str">
        <v>Розеточная группа  Пом. №06</v>
      </c>
    </row>
    <row r="40" spans="1:6" x14ac:dyDescent="0.3">
      <c r="A40">
        <v>37</v>
      </c>
      <c r="B40" t="str">
        <v>ЩР</v>
      </c>
      <c r="C40" t="str">
        <v>XT15</v>
      </c>
      <c r="D40" t="str">
        <v>кабель ВВГнг(А)-LS (3х2,5) → Розеточная группа  Пом. №06</v>
      </c>
      <c r="E40" t="str">
        <v>R.1.06.1</v>
      </c>
      <c r="F40" t="str">
        <v>Розеточная группа  Пом. №06</v>
      </c>
    </row>
    <row r="41" spans="1:6" x14ac:dyDescent="0.3">
      <c r="A41">
        <v>38</v>
      </c>
      <c r="B41" t="str">
        <v>ЩР</v>
      </c>
      <c r="C41" t="str">
        <v>QFD18</v>
      </c>
      <c r="D41" t="str">
        <v>XT16</v>
      </c>
      <c r="E41" t="str">
        <v>R.1.06.2</v>
      </c>
      <c r="F41" t="str">
        <v>Розеточная группа  Пом. №06</v>
      </c>
    </row>
    <row r="42" spans="1:6" x14ac:dyDescent="0.3">
      <c r="A42">
        <v>39</v>
      </c>
      <c r="B42" t="str">
        <v>ЩР</v>
      </c>
      <c r="C42" t="str">
        <v>XT16</v>
      </c>
      <c r="D42" t="str">
        <v>кабель ВВГнг(А)-LS (3х2,5) → Розеточная группа  Пом. №06</v>
      </c>
      <c r="E42" t="str">
        <v>R.1.06.2</v>
      </c>
      <c r="F42" t="str">
        <v>Розеточная группа  Пом. №06</v>
      </c>
    </row>
    <row r="43" spans="1:6" x14ac:dyDescent="0.3">
      <c r="A43">
        <v>40</v>
      </c>
      <c r="B43" t="str">
        <v>ЩР</v>
      </c>
      <c r="C43" t="str">
        <v>QFD19</v>
      </c>
      <c r="D43" t="str">
        <v>XT17</v>
      </c>
      <c r="E43" t="str">
        <v>R.1.07.1</v>
      </c>
      <c r="F43" t="str">
        <v>Розеточная группа  Пом. №07</v>
      </c>
    </row>
    <row r="44" spans="1:6" x14ac:dyDescent="0.3">
      <c r="A44">
        <v>41</v>
      </c>
      <c r="B44" t="str">
        <v>ЩР</v>
      </c>
      <c r="C44" t="str">
        <v>XT17</v>
      </c>
      <c r="D44" t="str">
        <v>кабель ВВГнг(А)-LS (3х2,5) → Розеточная группа  Пом. №07</v>
      </c>
      <c r="E44" t="str">
        <v>R.1.07.1</v>
      </c>
      <c r="F44" t="str">
        <v>Розеточная группа  Пом. №07</v>
      </c>
    </row>
    <row r="45" spans="1:6" x14ac:dyDescent="0.3">
      <c r="A45">
        <v>42</v>
      </c>
      <c r="B45" t="str">
        <v>ЩР</v>
      </c>
      <c r="C45" t="str">
        <v>QFD20</v>
      </c>
      <c r="D45" t="str">
        <v>XT18</v>
      </c>
      <c r="E45" t="str">
        <v>R.1.07.2</v>
      </c>
      <c r="F45" t="str">
        <v>Розеточная группа  Пом. №07</v>
      </c>
    </row>
    <row r="46" spans="1:6" x14ac:dyDescent="0.3">
      <c r="A46">
        <v>43</v>
      </c>
      <c r="B46" t="str">
        <v>ЩР</v>
      </c>
      <c r="C46" t="str">
        <v>XT18</v>
      </c>
      <c r="D46" t="str">
        <v>кабель ВВГнг(А)-LS (3х2,5) → Розеточная группа  Пом. №07</v>
      </c>
      <c r="E46" t="str">
        <v>R.1.07.2</v>
      </c>
      <c r="F46" t="str">
        <v>Розеточная группа  Пом. №07</v>
      </c>
    </row>
    <row r="47" spans="1:6" x14ac:dyDescent="0.3">
      <c r="A47">
        <v>44</v>
      </c>
      <c r="B47" t="str">
        <v>ЩР</v>
      </c>
      <c r="C47" t="str">
        <v>QFD21</v>
      </c>
      <c r="D47" t="str">
        <v>XT19</v>
      </c>
      <c r="E47" t="str">
        <v>R.1.07.3</v>
      </c>
      <c r="F47" t="str">
        <v>Розеточная группа  Пом. №07 Полотенцесушители</v>
      </c>
    </row>
    <row r="48" spans="1:6" x14ac:dyDescent="0.3">
      <c r="A48">
        <v>45</v>
      </c>
      <c r="B48" t="str">
        <v>ЩР</v>
      </c>
      <c r="C48" t="str">
        <v>XT19</v>
      </c>
      <c r="D48" t="str">
        <v>кабель ВВГнг(А)-LS (3х2,5) → Розеточная группа  Пом. №07 Полотенцесушители</v>
      </c>
      <c r="E48" t="str">
        <v>R.1.07.3</v>
      </c>
      <c r="F48" t="str">
        <v>Розеточная группа  Пом. №07 Полотенцесушители</v>
      </c>
    </row>
    <row r="49" spans="1:6" x14ac:dyDescent="0.3">
      <c r="A49">
        <v>46</v>
      </c>
      <c r="B49" t="str">
        <v>ЩР</v>
      </c>
      <c r="C49" t="str">
        <v>QFD22</v>
      </c>
      <c r="D49" t="str">
        <v>XT20</v>
      </c>
      <c r="E49" t="str">
        <v>R.1.08.1</v>
      </c>
      <c r="F49" t="str">
        <v>Розеточная группа  Пом. №08</v>
      </c>
    </row>
    <row r="50" spans="1:6" x14ac:dyDescent="0.3">
      <c r="A50">
        <v>47</v>
      </c>
      <c r="B50" t="str">
        <v>ЩР</v>
      </c>
      <c r="C50" t="str">
        <v>XT20</v>
      </c>
      <c r="D50" t="str">
        <v>кабель ВВГнг(А)-LS (3х2,5) → Розеточная группа  Пом. №08</v>
      </c>
      <c r="E50" t="str">
        <v>R.1.08.1</v>
      </c>
      <c r="F50" t="str">
        <v>Розеточная группа  Пом. №08</v>
      </c>
    </row>
    <row r="51" spans="1:6" x14ac:dyDescent="0.3">
      <c r="A51">
        <v>48</v>
      </c>
      <c r="B51" t="str">
        <v>ЩР</v>
      </c>
      <c r="C51" t="str">
        <v>QFD23</v>
      </c>
      <c r="D51" t="str">
        <v>XT21</v>
      </c>
      <c r="E51" t="str">
        <v>R.1.08.2</v>
      </c>
      <c r="F51" t="str">
        <v>Розеточная группа  Пом. №08</v>
      </c>
    </row>
    <row r="52" spans="1:6" x14ac:dyDescent="0.3">
      <c r="A52">
        <v>49</v>
      </c>
      <c r="B52" t="str">
        <v>ЩР</v>
      </c>
      <c r="C52" t="str">
        <v>XT21</v>
      </c>
      <c r="D52" t="str">
        <v>кабель ВВГнг(А)-LS (3х2,5) → Розеточная группа  Пом. №08</v>
      </c>
      <c r="E52" t="str">
        <v>R.1.08.2</v>
      </c>
      <c r="F52" t="str">
        <v>Розеточная группа  Пом. №08</v>
      </c>
    </row>
    <row r="53" spans="1:6" x14ac:dyDescent="0.3">
      <c r="A53">
        <v>50</v>
      </c>
      <c r="B53" t="str">
        <v>ЩР</v>
      </c>
      <c r="C53" t="str">
        <v>QFD24</v>
      </c>
      <c r="D53" t="str">
        <v>XT22</v>
      </c>
      <c r="E53" t="str">
        <v>R.1.09.1</v>
      </c>
      <c r="F53" t="str">
        <v>Розеточная группа  Пом. №09</v>
      </c>
    </row>
    <row r="54" spans="1:6" x14ac:dyDescent="0.3">
      <c r="A54">
        <v>51</v>
      </c>
      <c r="B54" t="str">
        <v>ЩР</v>
      </c>
      <c r="C54" t="str">
        <v>XT22</v>
      </c>
      <c r="D54" t="str">
        <v>кабель ВВГнг(А)-LS (3х2,5) → Розеточная группа  Пом. №09</v>
      </c>
      <c r="E54" t="str">
        <v>R.1.09.1</v>
      </c>
      <c r="F54" t="str">
        <v>Розеточная группа  Пом. №09</v>
      </c>
    </row>
    <row r="55" spans="1:6" x14ac:dyDescent="0.3">
      <c r="A55">
        <v>52</v>
      </c>
      <c r="B55" t="str">
        <v>ЩР</v>
      </c>
      <c r="C55" t="str">
        <v>QFD25</v>
      </c>
      <c r="D55" t="str">
        <v>XT23</v>
      </c>
      <c r="E55" t="str">
        <v>R.1.09.2</v>
      </c>
      <c r="F55" t="str">
        <v>Розеточная группа  Пом. №09</v>
      </c>
    </row>
    <row r="56" spans="1:6" x14ac:dyDescent="0.3">
      <c r="A56">
        <v>53</v>
      </c>
      <c r="B56" t="str">
        <v>ЩР</v>
      </c>
      <c r="C56" t="str">
        <v>XT23</v>
      </c>
      <c r="D56" t="str">
        <v>кабель ВВГнг(А)-LS (3х2,5) → Розеточная группа  Пом. №09</v>
      </c>
      <c r="E56" t="str">
        <v>R.1.09.2</v>
      </c>
      <c r="F56" t="str">
        <v>Розеточная группа  Пом. №09</v>
      </c>
    </row>
    <row r="57" spans="1:6" x14ac:dyDescent="0.3">
      <c r="A57">
        <v>54</v>
      </c>
      <c r="B57" t="str">
        <v>ЩР</v>
      </c>
      <c r="C57" t="str">
        <v>QFD26</v>
      </c>
      <c r="D57" t="str">
        <v>XT24</v>
      </c>
      <c r="E57" t="str">
        <v>R.1.10.1</v>
      </c>
      <c r="F57" t="str">
        <v>Розеточная группа  Пом. №10</v>
      </c>
    </row>
    <row r="58" spans="1:6" x14ac:dyDescent="0.3">
      <c r="A58">
        <v>55</v>
      </c>
      <c r="B58" t="str">
        <v>ЩР</v>
      </c>
      <c r="C58" t="str">
        <v>XT24</v>
      </c>
      <c r="D58" t="str">
        <v>кабель ВВГнг(А)-LS (3х2,5) → Розеточная группа  Пом. №10</v>
      </c>
      <c r="E58" t="str">
        <v>R.1.10.1</v>
      </c>
      <c r="F58" t="str">
        <v>Розеточная группа  Пом. №10</v>
      </c>
    </row>
    <row r="59" spans="1:6" x14ac:dyDescent="0.3">
      <c r="A59">
        <v>56</v>
      </c>
      <c r="B59" t="str">
        <v>ЩР</v>
      </c>
      <c r="C59" t="str">
        <v>QFD27</v>
      </c>
      <c r="D59" t="str">
        <v>XT28</v>
      </c>
      <c r="E59" t="str">
        <v>R.1.10.2</v>
      </c>
      <c r="F59" t="str">
        <v>Розеточная группа  Пом. №10</v>
      </c>
    </row>
    <row r="60" spans="1:6" x14ac:dyDescent="0.3">
      <c r="A60">
        <v>57</v>
      </c>
      <c r="B60" t="str">
        <v>ЩР</v>
      </c>
      <c r="C60" t="str">
        <v>XT28</v>
      </c>
      <c r="D60" t="str">
        <v>кабель ВВГнг(А)-LS (3х2,5) → Розеточная группа  Пом. №10</v>
      </c>
      <c r="E60" t="str">
        <v>R.1.10.2</v>
      </c>
      <c r="F60" t="str">
        <v>Розеточная группа  Пом. №10</v>
      </c>
    </row>
    <row r="61" spans="1:6" x14ac:dyDescent="0.3">
      <c r="A61">
        <v>58</v>
      </c>
      <c r="B61" t="str">
        <v>ЩР</v>
      </c>
      <c r="C61" t="str">
        <v>QFD28</v>
      </c>
      <c r="D61" t="str">
        <v>XT29</v>
      </c>
      <c r="E61" t="str">
        <v>R.1.14.1</v>
      </c>
      <c r="F61" t="str">
        <v>Розеточная группа  Пом. №14</v>
      </c>
    </row>
    <row r="62" spans="1:6" x14ac:dyDescent="0.3">
      <c r="A62">
        <v>59</v>
      </c>
      <c r="B62" t="str">
        <v>ЩР</v>
      </c>
      <c r="C62" t="str">
        <v>XT29</v>
      </c>
      <c r="D62" t="str">
        <v>кабель ВВГнг(А)-LS (3х2,5) → Розеточная группа  Пом. №14</v>
      </c>
      <c r="E62" t="str">
        <v>R.1.14.1</v>
      </c>
      <c r="F62" t="str">
        <v>Розеточная группа  Пом. №14</v>
      </c>
    </row>
    <row r="63" spans="1:6" x14ac:dyDescent="0.3">
      <c r="A63">
        <v>60</v>
      </c>
      <c r="B63" t="str">
        <v>ЩР</v>
      </c>
      <c r="C63" t="str">
        <v>QF29</v>
      </c>
      <c r="D63" t="str">
        <v>XT30</v>
      </c>
      <c r="E63" t="str">
        <v>L.1.01.1</v>
      </c>
      <c r="F63" t="str">
        <v>Группа освещения  Пом. №01</v>
      </c>
    </row>
    <row r="64" spans="1:6" x14ac:dyDescent="0.3">
      <c r="A64">
        <v>61</v>
      </c>
      <c r="B64" t="str">
        <v>ЩР</v>
      </c>
      <c r="C64" t="str">
        <v>XT30</v>
      </c>
      <c r="D64" t="str">
        <v>кабель ВВГнг(А)-LS (3х1,5) → Группа освещения  Пом. №01</v>
      </c>
      <c r="E64" t="str">
        <v>L.1.01.1</v>
      </c>
      <c r="F64" t="str">
        <v>Группа освещения  Пом. №01</v>
      </c>
    </row>
    <row r="65" spans="1:6" x14ac:dyDescent="0.3">
      <c r="A65">
        <v>62</v>
      </c>
      <c r="B65" t="str">
        <v>ЩР</v>
      </c>
      <c r="C65" t="str">
        <v>QF30</v>
      </c>
      <c r="D65" t="str">
        <v>R.1 к.1</v>
      </c>
      <c r="E65" t="str">
        <v>L.1.04.1</v>
      </c>
      <c r="F65" t="str">
        <v>Группа освещения  Пом. №04</v>
      </c>
    </row>
    <row r="66" spans="1:6" x14ac:dyDescent="0.3">
      <c r="A66">
        <v>63</v>
      </c>
      <c r="B66" t="str">
        <v>ЩР</v>
      </c>
      <c r="C66" t="str">
        <v>R.1 к.1</v>
      </c>
      <c r="D66" t="str">
        <v>XT31</v>
      </c>
      <c r="E66" t="str">
        <v>L.1.04.1</v>
      </c>
      <c r="F66" t="str">
        <v>Группа освещения  Пом. №04</v>
      </c>
    </row>
    <row r="67" spans="1:6" x14ac:dyDescent="0.3">
      <c r="A67">
        <v>64</v>
      </c>
      <c r="B67" t="str">
        <v>ЩР</v>
      </c>
      <c r="C67" t="str">
        <v>XT31</v>
      </c>
      <c r="D67" t="str">
        <v>кабель ВВГнг(А)-LS (3х1,5) → Группа освещения  Пом. №04</v>
      </c>
      <c r="E67" t="str">
        <v>L.1.04.1</v>
      </c>
      <c r="F67" t="str">
        <v>Группа освещения  Пом. №04</v>
      </c>
    </row>
    <row r="68" spans="1:6" x14ac:dyDescent="0.3">
      <c r="A68">
        <v>65</v>
      </c>
      <c r="B68" t="str">
        <v>ЩР</v>
      </c>
      <c r="C68" t="str">
        <v>QF30</v>
      </c>
      <c r="D68" t="str">
        <v>R.1 к.2</v>
      </c>
      <c r="E68" t="str">
        <v>L.1.04.2</v>
      </c>
      <c r="F68" t="str">
        <v>Группа освещения  Пом. №04</v>
      </c>
    </row>
    <row r="69" spans="1:6" x14ac:dyDescent="0.3">
      <c r="A69">
        <v>66</v>
      </c>
      <c r="B69" t="str">
        <v>ЩР</v>
      </c>
      <c r="C69" t="str">
        <v>R.1 к.2</v>
      </c>
      <c r="D69" t="str">
        <v>XT32</v>
      </c>
      <c r="E69" t="str">
        <v>L.1.04.2</v>
      </c>
      <c r="F69" t="str">
        <v>Группа освещения  Пом. №04</v>
      </c>
    </row>
    <row r="70" spans="1:6" x14ac:dyDescent="0.3">
      <c r="A70">
        <v>67</v>
      </c>
      <c r="B70" t="str">
        <v>ЩР</v>
      </c>
      <c r="C70" t="str">
        <v>XT32</v>
      </c>
      <c r="D70" t="str">
        <v>кабель ВВГнг(А)-LS (3х1,5) → Группа освещения  Пом. №04</v>
      </c>
      <c r="E70" t="str">
        <v>L.1.04.2</v>
      </c>
      <c r="F70" t="str">
        <v>Группа освещения  Пом. №04</v>
      </c>
    </row>
    <row r="71" spans="1:6" x14ac:dyDescent="0.3">
      <c r="A71">
        <v>68</v>
      </c>
      <c r="B71" t="str">
        <v>ЩР</v>
      </c>
      <c r="C71" t="str">
        <v>QF30</v>
      </c>
      <c r="D71" t="str">
        <v>R.1 к.3</v>
      </c>
      <c r="E71" t="str">
        <v>L.1.06.2</v>
      </c>
      <c r="F71" t="str">
        <v>Группа освещения  Пом. №06</v>
      </c>
    </row>
    <row r="72" spans="1:6" x14ac:dyDescent="0.3">
      <c r="A72">
        <v>69</v>
      </c>
      <c r="B72" t="str">
        <v>ЩР</v>
      </c>
      <c r="C72" t="str">
        <v>R.1 к.3</v>
      </c>
      <c r="D72" t="str">
        <v>XT33</v>
      </c>
      <c r="E72" t="str">
        <v>L.1.06.2</v>
      </c>
      <c r="F72" t="str">
        <v>Группа освещения  Пом. №06</v>
      </c>
    </row>
    <row r="73" spans="1:6" x14ac:dyDescent="0.3">
      <c r="A73">
        <v>70</v>
      </c>
      <c r="B73" t="str">
        <v>ЩР</v>
      </c>
      <c r="C73" t="str">
        <v>XT33</v>
      </c>
      <c r="D73" t="str">
        <v>кабель ВВГнг(А)-LS (3х1,5) → Группа освещения  Пом. №06</v>
      </c>
      <c r="E73" t="str">
        <v>L.1.06.2</v>
      </c>
      <c r="F73" t="str">
        <v>Группа освещения  Пом. №06</v>
      </c>
    </row>
    <row r="74" spans="1:6" x14ac:dyDescent="0.3">
      <c r="A74">
        <v>71</v>
      </c>
      <c r="B74" t="str">
        <v>ЩР</v>
      </c>
      <c r="C74" t="str">
        <v>QF30</v>
      </c>
      <c r="D74" t="str">
        <v>R.1 к.4</v>
      </c>
      <c r="E74" t="str">
        <v>L.1.08.2</v>
      </c>
      <c r="F74" t="str">
        <v>Группа освещения  Пом. №08</v>
      </c>
    </row>
    <row r="75" spans="1:6" x14ac:dyDescent="0.3">
      <c r="A75">
        <v>72</v>
      </c>
      <c r="B75" t="str">
        <v>ЩР</v>
      </c>
      <c r="C75" t="str">
        <v>R.1 к.4</v>
      </c>
      <c r="D75" t="str">
        <v>XT34</v>
      </c>
      <c r="E75" t="str">
        <v>L.1.08.2</v>
      </c>
      <c r="F75" t="str">
        <v>Группа освещения  Пом. №08</v>
      </c>
    </row>
    <row r="76" spans="1:6" x14ac:dyDescent="0.3">
      <c r="A76">
        <v>73</v>
      </c>
      <c r="B76" t="str">
        <v>ЩР</v>
      </c>
      <c r="C76" t="str">
        <v>XT34</v>
      </c>
      <c r="D76" t="str">
        <v>кабель ВВГнг(А)-LS (3х1,5) → Группа освещения  Пом. №08</v>
      </c>
      <c r="E76" t="str">
        <v>L.1.08.2</v>
      </c>
      <c r="F76" t="str">
        <v>Группа освещения  Пом. №08</v>
      </c>
    </row>
    <row r="77" spans="1:6" x14ac:dyDescent="0.3">
      <c r="A77">
        <v>74</v>
      </c>
      <c r="B77" t="str">
        <v>ЩР</v>
      </c>
      <c r="C77" t="str">
        <v>QF31</v>
      </c>
      <c r="D77" t="str">
        <v>R.1 к.5</v>
      </c>
      <c r="E77" t="str">
        <v>L.1.10.2</v>
      </c>
      <c r="F77" t="str">
        <v>Группа освещения  Пом. №10</v>
      </c>
    </row>
    <row r="78" spans="1:6" x14ac:dyDescent="0.3">
      <c r="A78">
        <v>75</v>
      </c>
      <c r="B78" t="str">
        <v>ЩР</v>
      </c>
      <c r="C78" t="str">
        <v>R.1 к.5</v>
      </c>
      <c r="D78" t="str">
        <v>XT35</v>
      </c>
      <c r="E78" t="str">
        <v>L.1.10.2</v>
      </c>
      <c r="F78" t="str">
        <v>Группа освещения  Пом. №10</v>
      </c>
    </row>
    <row r="79" spans="1:6" x14ac:dyDescent="0.3">
      <c r="A79">
        <v>76</v>
      </c>
      <c r="B79" t="str">
        <v>ЩР</v>
      </c>
      <c r="C79" t="str">
        <v>XT35</v>
      </c>
      <c r="D79" t="str">
        <v>кабель ВВГнг(А)-LS (3х1,5) → Группа освещения  Пом. №10</v>
      </c>
      <c r="E79" t="str">
        <v>L.1.10.2</v>
      </c>
      <c r="F79" t="str">
        <v>Группа освещения  Пом. №10</v>
      </c>
    </row>
    <row r="80" spans="1:6" x14ac:dyDescent="0.3">
      <c r="A80">
        <v>77</v>
      </c>
      <c r="B80" t="str">
        <v>ЩР</v>
      </c>
      <c r="C80" t="str">
        <v>QF31</v>
      </c>
      <c r="D80" t="str">
        <v>R.1 к.6</v>
      </c>
      <c r="E80" t="str">
        <v>L.1.14.1</v>
      </c>
      <c r="F80" t="str">
        <v>Группа освещения  Пом. №14</v>
      </c>
    </row>
    <row r="81" spans="1:6" x14ac:dyDescent="0.3">
      <c r="A81">
        <v>78</v>
      </c>
      <c r="B81" t="str">
        <v>ЩР</v>
      </c>
      <c r="C81" t="str">
        <v>R.1 к.6</v>
      </c>
      <c r="D81" t="str">
        <v>XT36</v>
      </c>
      <c r="E81" t="str">
        <v>L.1.14.1</v>
      </c>
      <c r="F81" t="str">
        <v>Группа освещения  Пом. №14</v>
      </c>
    </row>
    <row r="82" spans="1:6" x14ac:dyDescent="0.3">
      <c r="A82">
        <v>79</v>
      </c>
      <c r="B82" t="str">
        <v>ЩР</v>
      </c>
      <c r="C82" t="str">
        <v>XT36</v>
      </c>
      <c r="D82" t="str">
        <v>кабель ВВГнг(А)-LS (3х1,5) → Группа освещения  Пом. №14</v>
      </c>
      <c r="E82" t="str">
        <v>L.1.14.1</v>
      </c>
      <c r="F82" t="str">
        <v>Группа освещения  Пом. №14</v>
      </c>
    </row>
    <row r="83" spans="1:6" x14ac:dyDescent="0.3">
      <c r="A83">
        <v>80</v>
      </c>
      <c r="B83" t="str">
        <v>ЩР</v>
      </c>
      <c r="C83" t="str">
        <v>QF31</v>
      </c>
      <c r="D83" t="str">
        <v>R.1 к.7</v>
      </c>
      <c r="E83" t="str">
        <v>L.1.14.2</v>
      </c>
      <c r="F83" t="str">
        <v>Группа освещения  Пом. №14</v>
      </c>
    </row>
    <row r="84" spans="1:6" x14ac:dyDescent="0.3">
      <c r="A84">
        <v>81</v>
      </c>
      <c r="B84" t="str">
        <v>ЩР</v>
      </c>
      <c r="C84" t="str">
        <v>R.1 к.7</v>
      </c>
      <c r="D84" t="str">
        <v>XT37</v>
      </c>
      <c r="E84" t="str">
        <v>L.1.14.2</v>
      </c>
      <c r="F84" t="str">
        <v>Группа освещения  Пом. №14</v>
      </c>
    </row>
    <row r="85" spans="1:6" x14ac:dyDescent="0.3">
      <c r="A85">
        <v>82</v>
      </c>
      <c r="B85" t="str">
        <v>ЩР</v>
      </c>
      <c r="C85" t="str">
        <v>XT37</v>
      </c>
      <c r="D85" t="str">
        <v>кабель ВВГнг(А)-LS (3х1,5) → Группа освещения  Пом. №14</v>
      </c>
      <c r="E85" t="str">
        <v>L.1.14.2</v>
      </c>
      <c r="F85" t="str">
        <v>Группа освещения  Пом. №14</v>
      </c>
    </row>
    <row r="86" spans="1:6" x14ac:dyDescent="0.3">
      <c r="A86">
        <v>83</v>
      </c>
      <c r="B86" t="str">
        <v>ЩР</v>
      </c>
      <c r="C86" t="str">
        <v>QF31</v>
      </c>
      <c r="D86" t="str">
        <v>R.1 к.8</v>
      </c>
      <c r="E86" t="str">
        <v>L.2.05.2</v>
      </c>
      <c r="F86" t="str">
        <v>Группа освещения  Пом. №05</v>
      </c>
    </row>
    <row r="87" spans="1:6" x14ac:dyDescent="0.3">
      <c r="A87">
        <v>84</v>
      </c>
      <c r="B87" t="str">
        <v>ЩР</v>
      </c>
      <c r="C87" t="str">
        <v>R.1 к.8</v>
      </c>
      <c r="D87" t="str">
        <v>XT38</v>
      </c>
      <c r="E87" t="str">
        <v>L.2.05.2</v>
      </c>
      <c r="F87" t="str">
        <v>Группа освещения  Пом. №05</v>
      </c>
    </row>
    <row r="88" spans="1:6" x14ac:dyDescent="0.3">
      <c r="A88">
        <v>85</v>
      </c>
      <c r="B88" t="str">
        <v>ЩР</v>
      </c>
      <c r="C88" t="str">
        <v>XT38</v>
      </c>
      <c r="D88" t="str">
        <v>кабель ВВГнг(А)-LS (3х1,5) → Группа освещения  Пом. №05</v>
      </c>
      <c r="E88" t="str">
        <v>L.2.05.2</v>
      </c>
      <c r="F88" t="str">
        <v>Группа освещения  Пом. №05</v>
      </c>
    </row>
    <row r="89" spans="1:6" x14ac:dyDescent="0.3">
      <c r="A89">
        <v>86</v>
      </c>
      <c r="B89" t="str">
        <v>ЩР</v>
      </c>
      <c r="C89" t="str">
        <v>QF31</v>
      </c>
      <c r="D89" t="str">
        <v>R.1 к.9</v>
      </c>
      <c r="E89" t="str">
        <v>L.2.09.1</v>
      </c>
      <c r="F89" t="str">
        <v>Группа освещения  Пом. №09</v>
      </c>
    </row>
    <row r="90" spans="1:6" x14ac:dyDescent="0.3">
      <c r="A90">
        <v>87</v>
      </c>
      <c r="B90" t="str">
        <v>ЩР</v>
      </c>
      <c r="C90" t="str">
        <v>R.1 к.9</v>
      </c>
      <c r="D90" t="str">
        <v>XT39</v>
      </c>
      <c r="E90" t="str">
        <v>L.2.09.1</v>
      </c>
      <c r="F90" t="str">
        <v>Группа освещения  Пом. №09</v>
      </c>
    </row>
    <row r="91" spans="1:6" x14ac:dyDescent="0.3">
      <c r="A91">
        <v>88</v>
      </c>
      <c r="B91" t="str">
        <v>ЩР</v>
      </c>
      <c r="C91" t="str">
        <v>XT39</v>
      </c>
      <c r="D91" t="str">
        <v>кабель ВВГнг(А)-LS (3х1,5) → Группа освещения  Пом. №09</v>
      </c>
      <c r="E91" t="str">
        <v>L.2.09.1</v>
      </c>
      <c r="F91" t="str">
        <v>Группа освещения  Пом. №09</v>
      </c>
    </row>
    <row r="92" spans="1:6" x14ac:dyDescent="0.3">
      <c r="A92">
        <v>89</v>
      </c>
      <c r="B92" t="str">
        <v>ЩР</v>
      </c>
      <c r="C92" t="str">
        <v>QF31</v>
      </c>
      <c r="D92" t="str">
        <v>R.1 к.10</v>
      </c>
      <c r="E92" t="str">
        <v>L.2.13.2</v>
      </c>
      <c r="F92" t="str">
        <v>Группа освещения  Пом. №13</v>
      </c>
    </row>
    <row r="93" spans="1:6" x14ac:dyDescent="0.3">
      <c r="A93">
        <v>90</v>
      </c>
      <c r="B93" t="str">
        <v>ЩР</v>
      </c>
      <c r="C93" t="str">
        <v>R.1 к.10</v>
      </c>
      <c r="D93" t="str">
        <v>XT40</v>
      </c>
      <c r="E93" t="str">
        <v>L.2.13.2</v>
      </c>
      <c r="F93" t="str">
        <v>Группа освещения  Пом. №13</v>
      </c>
    </row>
    <row r="94" spans="1:6" x14ac:dyDescent="0.3">
      <c r="A94">
        <v>91</v>
      </c>
      <c r="B94" t="str">
        <v>ЩР</v>
      </c>
      <c r="C94" t="str">
        <v>XT40</v>
      </c>
      <c r="D94" t="str">
        <v>кабель ВВГнг(А)-LS (3х1,5) → Группа освещения  Пом. №13</v>
      </c>
      <c r="E94" t="str">
        <v>L.2.13.2</v>
      </c>
      <c r="F94" t="str">
        <v>Группа освещения  Пом. №13</v>
      </c>
    </row>
    <row r="95" spans="1:6" x14ac:dyDescent="0.3">
      <c r="A95">
        <v>92</v>
      </c>
      <c r="B95" t="str">
        <v>ЩР</v>
      </c>
      <c r="C95" t="str">
        <v>QF32</v>
      </c>
      <c r="D95" t="str">
        <v>МК-5-1</v>
      </c>
      <c r="E95" t="str">
        <v>L.1.02.1</v>
      </c>
      <c r="F95" t="str">
        <v>Группа освещения  Пом. №02</v>
      </c>
    </row>
    <row r="96" spans="1:6" x14ac:dyDescent="0.3">
      <c r="A96">
        <v>93</v>
      </c>
      <c r="B96" t="str">
        <v>ЩР</v>
      </c>
      <c r="C96" t="str">
        <v>МК-5-1</v>
      </c>
      <c r="D96" t="str">
        <v>XT41</v>
      </c>
      <c r="E96" t="str">
        <v>L.1.02.1</v>
      </c>
      <c r="F96" t="str">
        <v>Группа освещения  Пом. №02</v>
      </c>
    </row>
    <row r="97" spans="1:6" x14ac:dyDescent="0.3">
      <c r="A97">
        <v>94</v>
      </c>
      <c r="B97" t="str">
        <v>ЩР</v>
      </c>
      <c r="C97" t="str">
        <v>XT41</v>
      </c>
      <c r="D97" t="str">
        <v>кабель ВВГнг(А)-LS (5х1,5) → Группа освещения  Пом. №02</v>
      </c>
      <c r="E97" t="str">
        <v>L.1.02.1</v>
      </c>
      <c r="F97" t="str">
        <v>Группа освещения  Пом. №02</v>
      </c>
    </row>
    <row r="98" spans="1:6" x14ac:dyDescent="0.3">
      <c r="A98">
        <v>95</v>
      </c>
      <c r="B98" t="str">
        <v>ЩР</v>
      </c>
      <c r="C98" t="str">
        <v>МК-5-1</v>
      </c>
      <c r="D98" t="str">
        <v>XT42</v>
      </c>
      <c r="E98" t="str">
        <v>L.1.06.1</v>
      </c>
      <c r="F98" t="str">
        <v>Группа освещения  Пом. №06</v>
      </c>
    </row>
    <row r="99" spans="1:6" x14ac:dyDescent="0.3">
      <c r="A99">
        <v>96</v>
      </c>
      <c r="B99" t="str">
        <v>ЩР</v>
      </c>
      <c r="C99" t="str">
        <v>XT42</v>
      </c>
      <c r="D99" t="str">
        <v>кабель ВВГнг(А)-LS (5х1,5) → Группа освещения  Пом. №06</v>
      </c>
      <c r="E99" t="str">
        <v>L.1.06.1</v>
      </c>
      <c r="F99" t="str">
        <v>Группа освещения  Пом. №06</v>
      </c>
    </row>
    <row r="100" spans="1:6" x14ac:dyDescent="0.3">
      <c r="A100">
        <v>97</v>
      </c>
      <c r="B100" t="str">
        <v>ЩР</v>
      </c>
      <c r="C100" t="str">
        <v>МК-5-1</v>
      </c>
      <c r="D100" t="str">
        <v>XT43</v>
      </c>
      <c r="E100" t="str">
        <v>L.1.08.1</v>
      </c>
      <c r="F100" t="str">
        <v>Группа освещения  Пом. №08</v>
      </c>
    </row>
    <row r="101" spans="1:6" x14ac:dyDescent="0.3">
      <c r="A101">
        <v>98</v>
      </c>
      <c r="B101" t="str">
        <v>ЩР</v>
      </c>
      <c r="C101" t="str">
        <v>XT43</v>
      </c>
      <c r="D101" t="str">
        <v>кабель ВВГнг(А)-LS (5х1,5) → Группа освещения  Пом. №08</v>
      </c>
      <c r="E101" t="str">
        <v>L.1.08.1</v>
      </c>
      <c r="F101" t="str">
        <v>Группа освещения  Пом. №08</v>
      </c>
    </row>
    <row r="102" spans="1:6" x14ac:dyDescent="0.3">
      <c r="A102">
        <v>99</v>
      </c>
      <c r="B102" t="str">
        <v>ЩР</v>
      </c>
      <c r="C102" t="str">
        <v>МК-5-1</v>
      </c>
      <c r="D102" t="str">
        <v>XT44</v>
      </c>
      <c r="E102" t="str">
        <v>L.1.10.1</v>
      </c>
      <c r="F102" t="str">
        <v>Группа освещения  Пом. №10</v>
      </c>
    </row>
    <row r="103" spans="1:6" x14ac:dyDescent="0.3">
      <c r="A103">
        <v>100</v>
      </c>
      <c r="B103" t="str">
        <v>ЩР</v>
      </c>
      <c r="C103" t="str">
        <v>XT44</v>
      </c>
      <c r="D103" t="str">
        <v>кабель ВВГнг(А)-LS (5х1,5) → Группа освещения  Пом. №10</v>
      </c>
      <c r="E103" t="str">
        <v>L.1.10.1</v>
      </c>
      <c r="F103" t="str">
        <v>Группа освещения  Пом. №10</v>
      </c>
    </row>
    <row r="104" spans="1:6" x14ac:dyDescent="0.3">
      <c r="A104">
        <v>101</v>
      </c>
      <c r="B104" t="str">
        <v>ЩР</v>
      </c>
      <c r="C104" t="str">
        <v>QF33</v>
      </c>
      <c r="D104" t="str">
        <v>МК-5-1</v>
      </c>
      <c r="E104" t="str">
        <v>L.2.01.1</v>
      </c>
      <c r="F104" t="str">
        <v>Группа освещения  Пом. №01</v>
      </c>
    </row>
    <row r="105" spans="1:6" x14ac:dyDescent="0.3">
      <c r="A105">
        <v>102</v>
      </c>
      <c r="B105" t="str">
        <v>ЩР</v>
      </c>
      <c r="C105" t="str">
        <v>МК-5-1</v>
      </c>
      <c r="D105" t="str">
        <v>XT45</v>
      </c>
      <c r="E105" t="str">
        <v>L.2.01.1</v>
      </c>
      <c r="F105" t="str">
        <v>Группа освещения  Пом. №01</v>
      </c>
    </row>
    <row r="106" spans="1:6" x14ac:dyDescent="0.3">
      <c r="A106">
        <v>103</v>
      </c>
      <c r="B106" t="str">
        <v>ЩР</v>
      </c>
      <c r="C106" t="str">
        <v>XT45</v>
      </c>
      <c r="D106" t="str">
        <v>кабель ВВГнг(А)-LS (5х1,5) → Группа освещения  Пом. №01</v>
      </c>
      <c r="E106" t="str">
        <v>L.2.01.1</v>
      </c>
      <c r="F106" t="str">
        <v>Группа освещения  Пом. №01</v>
      </c>
    </row>
    <row r="107" spans="1:6" x14ac:dyDescent="0.3">
      <c r="A107">
        <v>104</v>
      </c>
      <c r="B107" t="str">
        <v>ЩР</v>
      </c>
      <c r="C107" t="str">
        <v>МК-5-1</v>
      </c>
      <c r="D107" t="str">
        <v>XT46</v>
      </c>
      <c r="E107" t="str">
        <v>L.2.05.1</v>
      </c>
      <c r="F107" t="str">
        <v>Группа освещения  Пом. №05</v>
      </c>
    </row>
    <row r="108" spans="1:6" x14ac:dyDescent="0.3">
      <c r="A108">
        <v>105</v>
      </c>
      <c r="B108" t="str">
        <v>ЩР</v>
      </c>
      <c r="C108" t="str">
        <v>XT46</v>
      </c>
      <c r="D108" t="str">
        <v>кабель ВВГнг(А)-LS (5х1,5) → Группа освещения  Пом. №05</v>
      </c>
      <c r="E108" t="str">
        <v>L.2.05.1</v>
      </c>
      <c r="F108" t="str">
        <v>Группа освещения  Пом. №05</v>
      </c>
    </row>
    <row r="109" spans="1:6" x14ac:dyDescent="0.3">
      <c r="A109">
        <v>106</v>
      </c>
      <c r="B109" t="str">
        <v>ЩР</v>
      </c>
      <c r="C109" t="str">
        <v>QF34</v>
      </c>
      <c r="D109" t="str">
        <v>МК-5-1</v>
      </c>
      <c r="E109" t="str">
        <v>L.2.08.1</v>
      </c>
      <c r="F109" t="str">
        <v>Группа освещения  Пом. №08</v>
      </c>
    </row>
    <row r="110" spans="1:6" x14ac:dyDescent="0.3">
      <c r="A110">
        <v>107</v>
      </c>
      <c r="B110" t="str">
        <v>ЩР</v>
      </c>
      <c r="C110" t="str">
        <v>МК-5-1</v>
      </c>
      <c r="D110" t="str">
        <v>XT47</v>
      </c>
      <c r="E110" t="str">
        <v>L.2.08.1</v>
      </c>
      <c r="F110" t="str">
        <v>Группа освещения  Пом. №08</v>
      </c>
    </row>
    <row r="111" spans="1:6" x14ac:dyDescent="0.3">
      <c r="A111">
        <v>108</v>
      </c>
      <c r="B111" t="str">
        <v>ЩР</v>
      </c>
      <c r="C111" t="str">
        <v>XT47</v>
      </c>
      <c r="D111" t="str">
        <v>кабель ВВГнг(А)-LS (5х1,5) → Группа освещения  Пом. №08</v>
      </c>
      <c r="E111" t="str">
        <v>L.2.08.1</v>
      </c>
      <c r="F111" t="str">
        <v>Группа освещения  Пом. №08</v>
      </c>
    </row>
    <row r="112" spans="1:6" x14ac:dyDescent="0.3">
      <c r="A112">
        <v>109</v>
      </c>
      <c r="B112" t="str">
        <v>ЩР</v>
      </c>
      <c r="C112" t="str">
        <v>МК-5-1</v>
      </c>
      <c r="D112" t="str">
        <v>XT48</v>
      </c>
      <c r="E112" t="str">
        <v>L.2.09.2</v>
      </c>
      <c r="F112" t="str">
        <v>Группа освещения  Пом. №09</v>
      </c>
    </row>
    <row r="113" spans="1:6" x14ac:dyDescent="0.3">
      <c r="A113">
        <v>110</v>
      </c>
      <c r="B113" t="str">
        <v>ЩР</v>
      </c>
      <c r="C113" t="str">
        <v>XT48</v>
      </c>
      <c r="D113" t="str">
        <v>кабель ВВГнг(А)-LS (5х1,5) → Группа освещения  Пом. №09</v>
      </c>
      <c r="E113" t="str">
        <v>L.2.09.2</v>
      </c>
      <c r="F113" t="str">
        <v>Группа освещения  Пом. №09</v>
      </c>
    </row>
    <row r="114" spans="1:6" x14ac:dyDescent="0.3">
      <c r="A114">
        <v>111</v>
      </c>
      <c r="B114" t="str">
        <v>ЩР</v>
      </c>
      <c r="C114" t="str">
        <v>МК-5-1</v>
      </c>
      <c r="D114" t="str">
        <v>XT49</v>
      </c>
      <c r="E114" t="str">
        <v>L.2.11.1</v>
      </c>
      <c r="F114" t="str">
        <v>Группа освещения  Пом. №11</v>
      </c>
    </row>
    <row r="115" spans="1:6" x14ac:dyDescent="0.3">
      <c r="A115">
        <v>112</v>
      </c>
      <c r="B115" t="str">
        <v>ЩР</v>
      </c>
      <c r="C115" t="str">
        <v>XT49</v>
      </c>
      <c r="D115" t="str">
        <v>кабель ВВГнг(А)-LS (5х1,5) → Группа освещения  Пом. №11</v>
      </c>
      <c r="E115" t="str">
        <v>L.2.11.1</v>
      </c>
      <c r="F115" t="str">
        <v>Группа освещения  Пом. №11</v>
      </c>
    </row>
    <row r="116" spans="1:6" x14ac:dyDescent="0.3">
      <c r="A116">
        <v>113</v>
      </c>
      <c r="B116" t="str">
        <v>ЩР</v>
      </c>
      <c r="C116" t="str">
        <v>МК-5-1</v>
      </c>
      <c r="D116" t="str">
        <v>XT50</v>
      </c>
      <c r="E116" t="str">
        <v>L.2.12.1</v>
      </c>
      <c r="F116" t="str">
        <v>Группа освещения  Пом. №12</v>
      </c>
    </row>
    <row r="117" spans="1:6" x14ac:dyDescent="0.3">
      <c r="A117">
        <v>114</v>
      </c>
      <c r="B117" t="str">
        <v>ЩР</v>
      </c>
      <c r="C117" t="str">
        <v>XT50</v>
      </c>
      <c r="D117" t="str">
        <v>кабель ВВГнг(А)-LS (5х1,5) → Группа освещения  Пом. №12</v>
      </c>
      <c r="E117" t="str">
        <v>L.2.12.1</v>
      </c>
      <c r="F117" t="str">
        <v>Группа освещения  Пом. №12</v>
      </c>
    </row>
    <row r="118" spans="1:6" x14ac:dyDescent="0.3">
      <c r="A118">
        <v>115</v>
      </c>
      <c r="B118" t="str">
        <v>ЩР</v>
      </c>
      <c r="C118" t="str">
        <v>QF35</v>
      </c>
      <c r="D118" t="str">
        <v>МК-5-1</v>
      </c>
      <c r="E118" t="str">
        <v>L.2.13.1</v>
      </c>
      <c r="F118" t="str">
        <v>Группа освещения  Пом. №13</v>
      </c>
    </row>
    <row r="119" spans="1:6" x14ac:dyDescent="0.3">
      <c r="A119">
        <v>116</v>
      </c>
      <c r="B119" t="str">
        <v>ЩР</v>
      </c>
      <c r="C119" t="str">
        <v>МК-5-1</v>
      </c>
      <c r="D119" t="str">
        <v>XT51</v>
      </c>
      <c r="E119" t="str">
        <v>L.2.13.1</v>
      </c>
      <c r="F119" t="str">
        <v>Группа освещения  Пом. №13</v>
      </c>
    </row>
    <row r="120" spans="1:6" x14ac:dyDescent="0.3">
      <c r="A120">
        <v>117</v>
      </c>
      <c r="B120" t="str">
        <v>ЩР</v>
      </c>
      <c r="C120" t="str">
        <v>XT51</v>
      </c>
      <c r="D120" t="str">
        <v>кабель ВВГнг(А)-LS (5х1,5) → Группа освещения  Пом. №13</v>
      </c>
      <c r="E120" t="str">
        <v>L.2.13.1</v>
      </c>
      <c r="F120" t="str">
        <v>Группа освещения  Пом. №13</v>
      </c>
    </row>
    <row r="121" spans="1:6" x14ac:dyDescent="0.3">
      <c r="A121">
        <v>118</v>
      </c>
      <c r="B121" t="str">
        <v>ЩР</v>
      </c>
      <c r="C121" t="str">
        <v>МК-5-1</v>
      </c>
      <c r="D121" t="str">
        <v>XT52</v>
      </c>
      <c r="E121" t="str">
        <v>L.2.12.2</v>
      </c>
      <c r="F121" t="str">
        <v>Группа освещения  Пом. №12</v>
      </c>
    </row>
    <row r="122" spans="1:6" x14ac:dyDescent="0.3">
      <c r="A122">
        <v>119</v>
      </c>
      <c r="B122" t="str">
        <v>ЩР</v>
      </c>
      <c r="C122" t="str">
        <v>XT52</v>
      </c>
      <c r="D122" t="str">
        <v>кабель ВВГнг(А)-LS (3х1,5) → Группа освещения  Пом. №12</v>
      </c>
      <c r="E122" t="str">
        <v>L.2.12.2</v>
      </c>
      <c r="F122" t="str">
        <v>Группа освещения  Пом. №12</v>
      </c>
    </row>
  </sheetData>
  <pageMargins left="0.4" right="0.4" top="0.5" bottom="0.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35205-D41B-4B15-BF11-3E0F3C55B743}">
  <sheetPr>
    <tabColor rgb="FF00B050"/>
  </sheetPr>
  <dimension ref="B1:F334"/>
  <sheetViews>
    <sheetView showGridLines="0" workbookViewId="0"/>
  </sheetViews>
  <sheetFormatPr defaultRowHeight="13.2" x14ac:dyDescent="0.3"/>
  <cols>
    <col min="1" max="1" width="3.77734375" style="81" customWidth="1"/>
    <col min="2" max="2" width="30.77734375" style="81" customWidth="1"/>
    <col min="3" max="3" width="34.77734375" style="81" customWidth="1"/>
    <col min="4" max="4" width="22.77734375" style="81" customWidth="1"/>
    <col min="5" max="5" width="34.77734375" style="81" customWidth="1"/>
    <col min="6" max="6" width="22.77734375" style="81" customWidth="1"/>
    <col min="7" max="16384" width="8.88671875" style="81"/>
  </cols>
  <sheetData>
    <row r="1" spans="2:6" ht="13.5" customHeight="1" x14ac:dyDescent="0.3">
      <c r="B1" s="135" t="s">
        <v>1628</v>
      </c>
      <c r="C1" s="135"/>
      <c r="D1" s="135"/>
      <c r="E1" s="135"/>
      <c r="F1" s="135"/>
    </row>
    <row r="2" spans="2:6" ht="13.5" customHeight="1" x14ac:dyDescent="0.3">
      <c r="B2" s="94" t="s">
        <v>1629</v>
      </c>
      <c r="C2" s="94"/>
      <c r="D2" s="94"/>
      <c r="E2" s="94"/>
      <c r="F2" s="94"/>
    </row>
    <row r="3" spans="2:6" ht="13.5" customHeight="1" x14ac:dyDescent="0.3">
      <c r="B3" s="94" t="s">
        <v>1630</v>
      </c>
      <c r="C3" s="94"/>
      <c r="D3" s="94"/>
      <c r="E3" s="94"/>
      <c r="F3" s="94"/>
    </row>
    <row r="4" spans="2:6" ht="27" customHeight="1" x14ac:dyDescent="0.3">
      <c r="B4" s="94" t="s">
        <v>1631</v>
      </c>
      <c r="C4" s="94"/>
      <c r="D4" s="94"/>
      <c r="E4" s="94"/>
      <c r="F4" s="94"/>
    </row>
    <row r="5" spans="2:6" ht="13.5" customHeight="1" x14ac:dyDescent="0.3">
      <c r="B5" s="94" t="s">
        <v>1632</v>
      </c>
      <c r="C5" s="94"/>
      <c r="D5" s="94"/>
      <c r="E5" s="94"/>
      <c r="F5" s="94"/>
    </row>
    <row r="6" spans="2:6" ht="13.5" customHeight="1" x14ac:dyDescent="0.3">
      <c r="B6" s="94" t="s">
        <v>1633</v>
      </c>
      <c r="C6" s="94"/>
      <c r="D6" s="94"/>
      <c r="E6" s="94"/>
      <c r="F6" s="94"/>
    </row>
    <row r="7" spans="2:6" ht="40.5" customHeight="1" x14ac:dyDescent="0.3">
      <c r="B7" s="94" t="s">
        <v>1634</v>
      </c>
      <c r="C7" s="94"/>
      <c r="D7" s="94"/>
      <c r="E7" s="94"/>
      <c r="F7" s="94"/>
    </row>
    <row r="8" spans="2:6" ht="13.5" customHeight="1" x14ac:dyDescent="0.3">
      <c r="B8" s="94" t="s">
        <v>1635</v>
      </c>
      <c r="C8" s="94"/>
      <c r="D8" s="94"/>
      <c r="E8" s="94"/>
      <c r="F8" s="94"/>
    </row>
    <row r="9" spans="2:6" ht="13.5" customHeight="1" x14ac:dyDescent="0.3">
      <c r="B9" s="94" t="s">
        <v>1636</v>
      </c>
      <c r="C9" s="94"/>
      <c r="D9" s="94"/>
      <c r="E9" s="94"/>
      <c r="F9" s="94"/>
    </row>
    <row r="10" spans="2:6" x14ac:dyDescent="0.3">
      <c r="B10" s="85" t="s">
        <v>1637</v>
      </c>
      <c r="C10" s="85" t="s">
        <v>1638</v>
      </c>
      <c r="D10" s="85" t="s">
        <v>1639</v>
      </c>
    </row>
    <row r="11" spans="2:6" ht="39.6" x14ac:dyDescent="0.3">
      <c r="B11" s="87" t="s">
        <v>1640</v>
      </c>
      <c r="C11" s="87" t="s">
        <v>1641</v>
      </c>
      <c r="D11" s="87" t="s">
        <v>1642</v>
      </c>
    </row>
    <row r="12" spans="2:6" ht="39.6" x14ac:dyDescent="0.3">
      <c r="B12" s="87" t="s">
        <v>1643</v>
      </c>
      <c r="C12" s="87" t="s">
        <v>1644</v>
      </c>
      <c r="D12" s="87" t="s">
        <v>1645</v>
      </c>
    </row>
    <row r="13" spans="2:6" ht="39.6" x14ac:dyDescent="0.3">
      <c r="B13" s="87" t="s">
        <v>1646</v>
      </c>
      <c r="C13" s="87" t="s">
        <v>948</v>
      </c>
      <c r="D13" s="87" t="s">
        <v>1647</v>
      </c>
    </row>
    <row r="14" spans="2:6" ht="52.8" x14ac:dyDescent="0.3">
      <c r="B14" s="87" t="s">
        <v>1648</v>
      </c>
      <c r="C14" s="87" t="s">
        <v>948</v>
      </c>
      <c r="D14" s="87" t="s">
        <v>1649</v>
      </c>
    </row>
    <row r="15" spans="2:6" ht="52.8" x14ac:dyDescent="0.3">
      <c r="B15" s="87" t="s">
        <v>1650</v>
      </c>
      <c r="C15" s="87" t="s">
        <v>948</v>
      </c>
      <c r="D15" s="87" t="s">
        <v>1651</v>
      </c>
    </row>
    <row r="16" spans="2:6" ht="26.4" x14ac:dyDescent="0.3">
      <c r="B16" s="87" t="s">
        <v>1652</v>
      </c>
      <c r="C16" s="87" t="s">
        <v>948</v>
      </c>
      <c r="D16" s="87" t="s">
        <v>1653</v>
      </c>
    </row>
    <row r="17" spans="2:6" ht="26.4" x14ac:dyDescent="0.3">
      <c r="B17" s="87" t="s">
        <v>1654</v>
      </c>
      <c r="C17" s="87" t="s">
        <v>948</v>
      </c>
      <c r="D17" s="87" t="s">
        <v>1655</v>
      </c>
    </row>
    <row r="18" spans="2:6" ht="52.8" x14ac:dyDescent="0.3">
      <c r="B18" s="87" t="s">
        <v>1656</v>
      </c>
      <c r="C18" s="87" t="s">
        <v>948</v>
      </c>
      <c r="D18" s="87" t="s">
        <v>1657</v>
      </c>
    </row>
    <row r="20" spans="2:6" ht="27" customHeight="1" x14ac:dyDescent="0.3">
      <c r="B20" s="96" t="s">
        <v>1658</v>
      </c>
      <c r="C20" s="96"/>
      <c r="D20" s="96"/>
      <c r="E20" s="96"/>
      <c r="F20" s="96"/>
    </row>
    <row r="21" spans="2:6" ht="13.5" customHeight="1" x14ac:dyDescent="0.3">
      <c r="B21" s="94" t="s">
        <v>1659</v>
      </c>
      <c r="C21" s="94"/>
      <c r="D21" s="94"/>
      <c r="E21" s="94"/>
      <c r="F21" s="94"/>
    </row>
    <row r="22" spans="2:6" x14ac:dyDescent="0.3">
      <c r="B22" s="92"/>
      <c r="C22" s="92"/>
      <c r="D22" s="92"/>
      <c r="E22" s="92"/>
      <c r="F22" s="92"/>
    </row>
    <row r="23" spans="2:6" ht="13.5" customHeight="1" x14ac:dyDescent="0.3">
      <c r="B23" s="136" t="s">
        <v>1660</v>
      </c>
      <c r="C23" s="136"/>
      <c r="D23" s="136"/>
      <c r="E23" s="136"/>
      <c r="F23" s="136"/>
    </row>
    <row r="24" spans="2:6" x14ac:dyDescent="0.3">
      <c r="B24" s="85" t="s">
        <v>892</v>
      </c>
      <c r="C24" s="85" t="s">
        <v>1661</v>
      </c>
      <c r="D24" s="85" t="s">
        <v>1662</v>
      </c>
      <c r="E24" s="85" t="s">
        <v>1663</v>
      </c>
      <c r="F24" s="85" t="s">
        <v>1664</v>
      </c>
    </row>
    <row r="25" spans="2:6" x14ac:dyDescent="0.3">
      <c r="B25" s="87">
        <v>1</v>
      </c>
      <c r="C25" s="87" t="s">
        <v>1665</v>
      </c>
      <c r="D25" s="87" t="s">
        <v>1666</v>
      </c>
      <c r="E25" s="87" t="s">
        <v>1667</v>
      </c>
      <c r="F25" s="87" t="s">
        <v>1668</v>
      </c>
    </row>
    <row r="26" spans="2:6" ht="52.8" x14ac:dyDescent="0.3">
      <c r="B26" s="87">
        <v>2</v>
      </c>
      <c r="C26" s="87" t="s">
        <v>1669</v>
      </c>
      <c r="D26" s="87" t="s">
        <v>1670</v>
      </c>
      <c r="E26" s="87" t="s">
        <v>1671</v>
      </c>
      <c r="F26" s="87" t="s">
        <v>1672</v>
      </c>
    </row>
    <row r="27" spans="2:6" ht="26.4" x14ac:dyDescent="0.3">
      <c r="B27" s="87">
        <v>3</v>
      </c>
      <c r="C27" s="87" t="s">
        <v>1673</v>
      </c>
      <c r="D27" s="87" t="s">
        <v>1666</v>
      </c>
      <c r="E27" s="87" t="s">
        <v>1674</v>
      </c>
      <c r="F27" s="87" t="s">
        <v>1675</v>
      </c>
    </row>
    <row r="28" spans="2:6" ht="66" x14ac:dyDescent="0.3">
      <c r="B28" s="87">
        <v>4</v>
      </c>
      <c r="C28" s="87" t="s">
        <v>1676</v>
      </c>
      <c r="D28" s="87" t="s">
        <v>1670</v>
      </c>
      <c r="E28" s="87" t="s">
        <v>1677</v>
      </c>
      <c r="F28" s="87" t="s">
        <v>1678</v>
      </c>
    </row>
    <row r="29" spans="2:6" ht="26.4" x14ac:dyDescent="0.3">
      <c r="B29" s="87">
        <v>5</v>
      </c>
      <c r="C29" s="87" t="s">
        <v>1679</v>
      </c>
      <c r="D29" s="87" t="s">
        <v>1666</v>
      </c>
      <c r="E29" s="87" t="s">
        <v>1680</v>
      </c>
      <c r="F29" s="87" t="s">
        <v>1668</v>
      </c>
    </row>
    <row r="30" spans="2:6" x14ac:dyDescent="0.3">
      <c r="B30" s="87">
        <v>6</v>
      </c>
      <c r="C30" s="87" t="s">
        <v>1681</v>
      </c>
      <c r="D30" s="87" t="s">
        <v>1682</v>
      </c>
      <c r="E30" s="87" t="s">
        <v>1683</v>
      </c>
      <c r="F30" s="87" t="s">
        <v>1668</v>
      </c>
    </row>
    <row r="31" spans="2:6" ht="39.6" x14ac:dyDescent="0.3">
      <c r="B31" s="87">
        <v>7</v>
      </c>
      <c r="C31" s="87" t="s">
        <v>1684</v>
      </c>
      <c r="D31" s="87" t="s">
        <v>1666</v>
      </c>
      <c r="E31" s="87" t="s">
        <v>1685</v>
      </c>
      <c r="F31" s="87" t="s">
        <v>1686</v>
      </c>
    </row>
    <row r="32" spans="2:6" ht="26.4" x14ac:dyDescent="0.3">
      <c r="B32" s="87">
        <v>8</v>
      </c>
      <c r="C32" s="87" t="s">
        <v>1687</v>
      </c>
      <c r="D32" s="87" t="s">
        <v>1670</v>
      </c>
      <c r="E32" s="87" t="s">
        <v>1688</v>
      </c>
      <c r="F32" s="87" t="s">
        <v>1689</v>
      </c>
    </row>
    <row r="33" spans="2:6" ht="26.4" x14ac:dyDescent="0.3">
      <c r="B33" s="87">
        <v>9</v>
      </c>
      <c r="C33" s="87" t="s">
        <v>1690</v>
      </c>
      <c r="D33" s="87" t="s">
        <v>1691</v>
      </c>
      <c r="E33" s="87" t="s">
        <v>1692</v>
      </c>
      <c r="F33" s="87" t="s">
        <v>1693</v>
      </c>
    </row>
    <row r="34" spans="2:6" ht="39.6" x14ac:dyDescent="0.3">
      <c r="B34" s="87">
        <v>10</v>
      </c>
      <c r="C34" s="87" t="s">
        <v>1694</v>
      </c>
      <c r="D34" s="87" t="s">
        <v>1695</v>
      </c>
      <c r="E34" s="87" t="s">
        <v>1696</v>
      </c>
      <c r="F34" s="87" t="s">
        <v>1697</v>
      </c>
    </row>
    <row r="35" spans="2:6" ht="39.6" x14ac:dyDescent="0.3">
      <c r="B35" s="87">
        <v>11</v>
      </c>
      <c r="C35" s="87" t="s">
        <v>1698</v>
      </c>
      <c r="D35" s="87" t="s">
        <v>1670</v>
      </c>
      <c r="E35" s="87" t="s">
        <v>1699</v>
      </c>
      <c r="F35" s="87" t="s">
        <v>1700</v>
      </c>
    </row>
    <row r="36" spans="2:6" ht="52.8" x14ac:dyDescent="0.3">
      <c r="B36" s="87">
        <v>12</v>
      </c>
      <c r="C36" s="87" t="s">
        <v>1701</v>
      </c>
      <c r="D36" s="87" t="s">
        <v>1670</v>
      </c>
      <c r="E36" s="87" t="s">
        <v>1702</v>
      </c>
      <c r="F36" s="87" t="s">
        <v>1703</v>
      </c>
    </row>
    <row r="37" spans="2:6" ht="39.6" x14ac:dyDescent="0.3">
      <c r="B37" s="87">
        <v>13</v>
      </c>
      <c r="C37" s="87" t="s">
        <v>1704</v>
      </c>
      <c r="D37" s="87" t="s">
        <v>1670</v>
      </c>
      <c r="E37" s="87" t="s">
        <v>1705</v>
      </c>
      <c r="F37" s="87" t="s">
        <v>1706</v>
      </c>
    </row>
    <row r="38" spans="2:6" ht="26.4" x14ac:dyDescent="0.3">
      <c r="B38" s="87">
        <v>14</v>
      </c>
      <c r="C38" s="87" t="s">
        <v>1707</v>
      </c>
      <c r="D38" s="87" t="s">
        <v>1666</v>
      </c>
      <c r="E38" s="87" t="s">
        <v>1708</v>
      </c>
      <c r="F38" s="87" t="s">
        <v>1709</v>
      </c>
    </row>
    <row r="39" spans="2:6" ht="26.4" x14ac:dyDescent="0.3">
      <c r="B39" s="87">
        <v>15</v>
      </c>
      <c r="C39" s="87" t="s">
        <v>1710</v>
      </c>
      <c r="D39" s="87" t="s">
        <v>1670</v>
      </c>
      <c r="E39" s="87" t="s">
        <v>1711</v>
      </c>
      <c r="F39" s="87" t="s">
        <v>1712</v>
      </c>
    </row>
    <row r="40" spans="2:6" ht="26.4" x14ac:dyDescent="0.3">
      <c r="B40" s="87">
        <v>16</v>
      </c>
      <c r="C40" s="87" t="s">
        <v>171</v>
      </c>
      <c r="D40" s="87" t="s">
        <v>1666</v>
      </c>
      <c r="E40" s="87" t="s">
        <v>1713</v>
      </c>
      <c r="F40" s="87" t="s">
        <v>1668</v>
      </c>
    </row>
    <row r="41" spans="2:6" ht="26.4" x14ac:dyDescent="0.3">
      <c r="B41" s="87">
        <v>17</v>
      </c>
      <c r="C41" s="87" t="s">
        <v>1714</v>
      </c>
      <c r="D41" s="87" t="s">
        <v>1666</v>
      </c>
      <c r="E41" s="87" t="s">
        <v>1715</v>
      </c>
      <c r="F41" s="87" t="s">
        <v>1668</v>
      </c>
    </row>
    <row r="42" spans="2:6" ht="26.4" x14ac:dyDescent="0.3">
      <c r="B42" s="87">
        <v>18</v>
      </c>
      <c r="C42" s="87" t="s">
        <v>1716</v>
      </c>
      <c r="D42" s="87" t="s">
        <v>1670</v>
      </c>
      <c r="E42" s="87" t="s">
        <v>1717</v>
      </c>
      <c r="F42" s="87" t="s">
        <v>1718</v>
      </c>
    </row>
    <row r="43" spans="2:6" ht="39.6" x14ac:dyDescent="0.3">
      <c r="B43" s="87">
        <v>19</v>
      </c>
      <c r="C43" s="87" t="s">
        <v>1719</v>
      </c>
      <c r="D43" s="87" t="s">
        <v>1691</v>
      </c>
      <c r="E43" s="87" t="s">
        <v>1720</v>
      </c>
      <c r="F43" s="87" t="s">
        <v>1721</v>
      </c>
    </row>
    <row r="44" spans="2:6" x14ac:dyDescent="0.3">
      <c r="B44" s="87">
        <v>20</v>
      </c>
      <c r="C44" s="87" t="s">
        <v>1722</v>
      </c>
      <c r="D44" s="87" t="s">
        <v>1670</v>
      </c>
      <c r="E44" s="87" t="s">
        <v>1723</v>
      </c>
      <c r="F44" s="87" t="s">
        <v>1724</v>
      </c>
    </row>
    <row r="46" spans="2:6" ht="13.5" customHeight="1" x14ac:dyDescent="0.3">
      <c r="B46" s="94" t="s">
        <v>1659</v>
      </c>
      <c r="C46" s="94"/>
      <c r="D46" s="94"/>
      <c r="E46" s="94"/>
      <c r="F46" s="94"/>
    </row>
    <row r="47" spans="2:6" x14ac:dyDescent="0.3">
      <c r="B47" s="92"/>
      <c r="C47" s="92"/>
      <c r="D47" s="92"/>
      <c r="E47" s="92"/>
      <c r="F47" s="92"/>
    </row>
    <row r="48" spans="2:6" ht="13.5" customHeight="1" x14ac:dyDescent="0.3">
      <c r="B48" s="136" t="s">
        <v>1725</v>
      </c>
      <c r="C48" s="136"/>
      <c r="D48" s="136"/>
      <c r="E48" s="136"/>
      <c r="F48" s="136"/>
    </row>
    <row r="49" spans="2:6" ht="13.5" customHeight="1" x14ac:dyDescent="0.3">
      <c r="B49" s="94" t="s">
        <v>1726</v>
      </c>
      <c r="C49" s="94"/>
      <c r="D49" s="94"/>
      <c r="E49" s="94"/>
      <c r="F49" s="94"/>
    </row>
    <row r="50" spans="2:6" ht="13.5" customHeight="1" x14ac:dyDescent="0.3">
      <c r="B50" s="94" t="s">
        <v>1727</v>
      </c>
      <c r="C50" s="94"/>
      <c r="D50" s="94"/>
      <c r="E50" s="94"/>
      <c r="F50" s="94"/>
    </row>
    <row r="51" spans="2:6" x14ac:dyDescent="0.3">
      <c r="B51" s="85" t="s">
        <v>1728</v>
      </c>
      <c r="C51" s="85" t="s">
        <v>1729</v>
      </c>
      <c r="D51" s="85" t="s">
        <v>1730</v>
      </c>
    </row>
    <row r="52" spans="2:6" x14ac:dyDescent="0.3">
      <c r="B52" s="87" t="s">
        <v>6</v>
      </c>
      <c r="C52" s="87" t="s">
        <v>1731</v>
      </c>
      <c r="D52" s="87" t="s">
        <v>1732</v>
      </c>
    </row>
    <row r="53" spans="2:6" x14ac:dyDescent="0.3">
      <c r="B53" s="87" t="s">
        <v>1135</v>
      </c>
      <c r="C53" s="87" t="s">
        <v>32</v>
      </c>
      <c r="D53" s="87" t="s">
        <v>1733</v>
      </c>
    </row>
    <row r="54" spans="2:6" ht="26.4" x14ac:dyDescent="0.3">
      <c r="B54" s="87" t="s">
        <v>1734</v>
      </c>
      <c r="C54" s="87" t="s">
        <v>1735</v>
      </c>
      <c r="D54" s="87" t="s">
        <v>1736</v>
      </c>
    </row>
    <row r="55" spans="2:6" ht="26.4" x14ac:dyDescent="0.3">
      <c r="B55" s="87" t="s">
        <v>1737</v>
      </c>
      <c r="C55" s="87" t="s">
        <v>1738</v>
      </c>
      <c r="D55" s="87" t="s">
        <v>1739</v>
      </c>
    </row>
    <row r="56" spans="2:6" ht="26.4" x14ac:dyDescent="0.3">
      <c r="B56" s="87" t="s">
        <v>1740</v>
      </c>
      <c r="C56" s="87" t="s">
        <v>1741</v>
      </c>
      <c r="D56" s="87" t="s">
        <v>1742</v>
      </c>
    </row>
    <row r="57" spans="2:6" ht="26.4" x14ac:dyDescent="0.3">
      <c r="B57" s="87" t="s">
        <v>1743</v>
      </c>
      <c r="C57" s="87" t="s">
        <v>581</v>
      </c>
      <c r="D57" s="87" t="s">
        <v>1744</v>
      </c>
    </row>
    <row r="58" spans="2:6" x14ac:dyDescent="0.3">
      <c r="B58" s="87" t="s">
        <v>780</v>
      </c>
      <c r="C58" s="87" t="s">
        <v>1745</v>
      </c>
      <c r="D58" s="87" t="s">
        <v>1746</v>
      </c>
    </row>
    <row r="59" spans="2:6" x14ac:dyDescent="0.3">
      <c r="B59" s="87" t="s">
        <v>1034</v>
      </c>
      <c r="C59" s="87" t="s">
        <v>1747</v>
      </c>
      <c r="D59" s="87" t="s">
        <v>1748</v>
      </c>
    </row>
    <row r="60" spans="2:6" ht="26.4" x14ac:dyDescent="0.3">
      <c r="B60" s="87" t="s">
        <v>1749</v>
      </c>
      <c r="C60" s="87" t="s">
        <v>1750</v>
      </c>
      <c r="D60" s="87" t="s">
        <v>1751</v>
      </c>
    </row>
    <row r="62" spans="2:6" ht="13.5" customHeight="1" x14ac:dyDescent="0.3">
      <c r="B62" s="94" t="s">
        <v>1752</v>
      </c>
      <c r="C62" s="94"/>
      <c r="D62" s="94"/>
      <c r="E62" s="94"/>
      <c r="F62" s="94"/>
    </row>
    <row r="63" spans="2:6" ht="13.5" customHeight="1" x14ac:dyDescent="0.3">
      <c r="B63" s="94" t="s">
        <v>1659</v>
      </c>
      <c r="C63" s="94"/>
      <c r="D63" s="94"/>
      <c r="E63" s="94"/>
      <c r="F63" s="94"/>
    </row>
    <row r="64" spans="2:6" x14ac:dyDescent="0.3">
      <c r="B64" s="92"/>
      <c r="C64" s="92"/>
      <c r="D64" s="92"/>
      <c r="E64" s="92"/>
      <c r="F64" s="92"/>
    </row>
    <row r="65" spans="2:6" ht="13.5" customHeight="1" x14ac:dyDescent="0.3">
      <c r="B65" s="136" t="s">
        <v>1753</v>
      </c>
      <c r="C65" s="136"/>
      <c r="D65" s="136"/>
      <c r="E65" s="136"/>
      <c r="F65" s="136"/>
    </row>
    <row r="66" spans="2:6" ht="13.5" customHeight="1" x14ac:dyDescent="0.3">
      <c r="B66" s="94" t="s">
        <v>1754</v>
      </c>
      <c r="C66" s="94"/>
      <c r="D66" s="94"/>
      <c r="E66" s="94"/>
      <c r="F66" s="94"/>
    </row>
    <row r="67" spans="2:6" ht="13.5" customHeight="1" x14ac:dyDescent="0.3">
      <c r="B67" s="94" t="s">
        <v>1755</v>
      </c>
      <c r="C67" s="94"/>
      <c r="D67" s="94"/>
      <c r="E67" s="94"/>
      <c r="F67" s="94"/>
    </row>
    <row r="68" spans="2:6" ht="13.5" customHeight="1" x14ac:dyDescent="0.3">
      <c r="B68" s="94" t="s">
        <v>1756</v>
      </c>
      <c r="C68" s="94"/>
      <c r="D68" s="94"/>
      <c r="E68" s="94"/>
      <c r="F68" s="94"/>
    </row>
    <row r="69" spans="2:6" ht="13.5" customHeight="1" x14ac:dyDescent="0.3">
      <c r="B69" s="94" t="s">
        <v>1757</v>
      </c>
      <c r="C69" s="94"/>
      <c r="D69" s="94"/>
      <c r="E69" s="94"/>
      <c r="F69" s="94"/>
    </row>
    <row r="70" spans="2:6" ht="13.5" customHeight="1" x14ac:dyDescent="0.3">
      <c r="B70" s="94" t="s">
        <v>1758</v>
      </c>
      <c r="C70" s="94"/>
      <c r="D70" s="94"/>
      <c r="E70" s="94"/>
      <c r="F70" s="94"/>
    </row>
    <row r="71" spans="2:6" ht="13.5" customHeight="1" x14ac:dyDescent="0.3">
      <c r="B71" s="94" t="s">
        <v>1759</v>
      </c>
      <c r="C71" s="94"/>
      <c r="D71" s="94"/>
      <c r="E71" s="94"/>
      <c r="F71" s="94"/>
    </row>
    <row r="72" spans="2:6" ht="13.5" customHeight="1" x14ac:dyDescent="0.3">
      <c r="B72" s="137" t="s">
        <v>1760</v>
      </c>
      <c r="C72" s="137"/>
      <c r="D72" s="137"/>
      <c r="E72" s="137"/>
      <c r="F72" s="137"/>
    </row>
    <row r="73" spans="2:6" ht="13.5" customHeight="1" x14ac:dyDescent="0.3">
      <c r="B73" s="94" t="s">
        <v>1761</v>
      </c>
      <c r="C73" s="94"/>
      <c r="D73" s="94"/>
      <c r="E73" s="94"/>
      <c r="F73" s="94"/>
    </row>
    <row r="74" spans="2:6" ht="13.5" customHeight="1" x14ac:dyDescent="0.3">
      <c r="B74" s="94" t="s">
        <v>1762</v>
      </c>
      <c r="C74" s="94"/>
      <c r="D74" s="94"/>
      <c r="E74" s="94"/>
      <c r="F74" s="94"/>
    </row>
    <row r="75" spans="2:6" ht="13.5" customHeight="1" x14ac:dyDescent="0.3">
      <c r="B75" s="94" t="s">
        <v>1763</v>
      </c>
      <c r="C75" s="94"/>
      <c r="D75" s="94"/>
      <c r="E75" s="94"/>
      <c r="F75" s="94"/>
    </row>
    <row r="76" spans="2:6" ht="27" customHeight="1" x14ac:dyDescent="0.3">
      <c r="B76" s="94" t="s">
        <v>1764</v>
      </c>
      <c r="C76" s="94"/>
      <c r="D76" s="94"/>
      <c r="E76" s="94"/>
      <c r="F76" s="94"/>
    </row>
    <row r="77" spans="2:6" ht="13.5" customHeight="1" x14ac:dyDescent="0.3">
      <c r="B77" s="94" t="s">
        <v>1765</v>
      </c>
      <c r="C77" s="94"/>
      <c r="D77" s="94"/>
      <c r="E77" s="94"/>
      <c r="F77" s="94"/>
    </row>
    <row r="78" spans="2:6" ht="13.5" customHeight="1" x14ac:dyDescent="0.3">
      <c r="B78" s="94" t="s">
        <v>1766</v>
      </c>
      <c r="C78" s="94"/>
      <c r="D78" s="94"/>
      <c r="E78" s="94"/>
      <c r="F78" s="94"/>
    </row>
    <row r="79" spans="2:6" ht="13.5" customHeight="1" x14ac:dyDescent="0.3">
      <c r="B79" s="94" t="s">
        <v>1659</v>
      </c>
      <c r="C79" s="94"/>
      <c r="D79" s="94"/>
      <c r="E79" s="94"/>
      <c r="F79" s="94"/>
    </row>
    <row r="80" spans="2:6" x14ac:dyDescent="0.3">
      <c r="B80" s="92"/>
      <c r="C80" s="92"/>
      <c r="D80" s="92"/>
      <c r="E80" s="92"/>
      <c r="F80" s="92"/>
    </row>
    <row r="81" spans="2:6" ht="13.5" customHeight="1" x14ac:dyDescent="0.3">
      <c r="B81" s="136" t="s">
        <v>1767</v>
      </c>
      <c r="C81" s="136"/>
      <c r="D81" s="136"/>
      <c r="E81" s="136"/>
      <c r="F81" s="136"/>
    </row>
    <row r="82" spans="2:6" ht="13.5" customHeight="1" x14ac:dyDescent="0.3">
      <c r="B82" s="137" t="s">
        <v>1768</v>
      </c>
      <c r="C82" s="137"/>
      <c r="D82" s="137"/>
      <c r="E82" s="137"/>
      <c r="F82" s="137"/>
    </row>
    <row r="83" spans="2:6" ht="13.5" customHeight="1" x14ac:dyDescent="0.3">
      <c r="B83" s="94" t="s">
        <v>1769</v>
      </c>
      <c r="C83" s="94"/>
      <c r="D83" s="94"/>
      <c r="E83" s="94"/>
      <c r="F83" s="94"/>
    </row>
    <row r="84" spans="2:6" ht="13.5" customHeight="1" x14ac:dyDescent="0.3">
      <c r="B84" s="94" t="s">
        <v>1770</v>
      </c>
      <c r="C84" s="94"/>
      <c r="D84" s="94"/>
      <c r="E84" s="94"/>
      <c r="F84" s="94"/>
    </row>
    <row r="85" spans="2:6" ht="13.5" customHeight="1" x14ac:dyDescent="0.3">
      <c r="B85" s="94" t="s">
        <v>1771</v>
      </c>
      <c r="C85" s="94"/>
      <c r="D85" s="94"/>
      <c r="E85" s="94"/>
      <c r="F85" s="94"/>
    </row>
    <row r="86" spans="2:6" ht="13.5" customHeight="1" x14ac:dyDescent="0.3">
      <c r="B86" s="94" t="s">
        <v>1772</v>
      </c>
      <c r="C86" s="94"/>
      <c r="D86" s="94"/>
      <c r="E86" s="94"/>
      <c r="F86" s="94"/>
    </row>
    <row r="87" spans="2:6" ht="13.5" customHeight="1" x14ac:dyDescent="0.3">
      <c r="B87" s="94" t="s">
        <v>1773</v>
      </c>
      <c r="C87" s="94"/>
      <c r="D87" s="94"/>
      <c r="E87" s="94"/>
      <c r="F87" s="94"/>
    </row>
    <row r="88" spans="2:6" ht="13.5" customHeight="1" x14ac:dyDescent="0.3">
      <c r="B88" s="137" t="s">
        <v>1774</v>
      </c>
      <c r="C88" s="137"/>
      <c r="D88" s="137"/>
      <c r="E88" s="137"/>
      <c r="F88" s="137"/>
    </row>
    <row r="89" spans="2:6" ht="13.5" customHeight="1" x14ac:dyDescent="0.3">
      <c r="B89" s="94" t="s">
        <v>1775</v>
      </c>
      <c r="C89" s="94"/>
      <c r="D89" s="94"/>
      <c r="E89" s="94"/>
      <c r="F89" s="94"/>
    </row>
    <row r="90" spans="2:6" ht="13.5" customHeight="1" x14ac:dyDescent="0.3">
      <c r="B90" s="94" t="s">
        <v>1776</v>
      </c>
      <c r="C90" s="94"/>
      <c r="D90" s="94"/>
      <c r="E90" s="94"/>
      <c r="F90" s="94"/>
    </row>
    <row r="91" spans="2:6" ht="13.5" customHeight="1" x14ac:dyDescent="0.3">
      <c r="B91" s="94" t="s">
        <v>1777</v>
      </c>
      <c r="C91" s="94"/>
      <c r="D91" s="94"/>
      <c r="E91" s="94"/>
      <c r="F91" s="94"/>
    </row>
    <row r="92" spans="2:6" ht="13.5" customHeight="1" x14ac:dyDescent="0.3">
      <c r="B92" s="94" t="s">
        <v>1778</v>
      </c>
      <c r="C92" s="94"/>
      <c r="D92" s="94"/>
      <c r="E92" s="94"/>
      <c r="F92" s="94"/>
    </row>
    <row r="93" spans="2:6" ht="13.5" customHeight="1" x14ac:dyDescent="0.3">
      <c r="B93" s="94" t="s">
        <v>1779</v>
      </c>
      <c r="C93" s="94"/>
      <c r="D93" s="94"/>
      <c r="E93" s="94"/>
      <c r="F93" s="94"/>
    </row>
    <row r="94" spans="2:6" ht="13.5" customHeight="1" x14ac:dyDescent="0.3">
      <c r="B94" s="94" t="s">
        <v>1780</v>
      </c>
      <c r="C94" s="94"/>
      <c r="D94" s="94"/>
      <c r="E94" s="94"/>
      <c r="F94" s="94"/>
    </row>
    <row r="95" spans="2:6" ht="13.5" customHeight="1" x14ac:dyDescent="0.3">
      <c r="B95" s="94" t="s">
        <v>1781</v>
      </c>
      <c r="C95" s="94"/>
      <c r="D95" s="94"/>
      <c r="E95" s="94"/>
      <c r="F95" s="94"/>
    </row>
    <row r="96" spans="2:6" ht="13.5" customHeight="1" x14ac:dyDescent="0.3">
      <c r="B96" s="94" t="s">
        <v>1782</v>
      </c>
      <c r="C96" s="94"/>
      <c r="D96" s="94"/>
      <c r="E96" s="94"/>
      <c r="F96" s="94"/>
    </row>
    <row r="97" spans="2:6" ht="13.5" customHeight="1" x14ac:dyDescent="0.3">
      <c r="B97" s="94" t="s">
        <v>1783</v>
      </c>
      <c r="C97" s="94"/>
      <c r="D97" s="94"/>
      <c r="E97" s="94"/>
      <c r="F97" s="94"/>
    </row>
    <row r="98" spans="2:6" ht="27" customHeight="1" x14ac:dyDescent="0.3">
      <c r="B98" s="94" t="s">
        <v>1784</v>
      </c>
      <c r="C98" s="94"/>
      <c r="D98" s="94"/>
      <c r="E98" s="94"/>
      <c r="F98" s="94"/>
    </row>
    <row r="99" spans="2:6" ht="27" customHeight="1" x14ac:dyDescent="0.3">
      <c r="B99" s="94" t="s">
        <v>1785</v>
      </c>
      <c r="C99" s="94"/>
      <c r="D99" s="94"/>
      <c r="E99" s="94"/>
      <c r="F99" s="94"/>
    </row>
    <row r="100" spans="2:6" ht="27" customHeight="1" x14ac:dyDescent="0.3">
      <c r="B100" s="134" t="s">
        <v>1786</v>
      </c>
      <c r="C100" s="134"/>
      <c r="D100" s="134"/>
      <c r="E100" s="134"/>
      <c r="F100" s="134"/>
    </row>
    <row r="101" spans="2:6" ht="13.5" customHeight="1" x14ac:dyDescent="0.3">
      <c r="B101" s="137" t="s">
        <v>1787</v>
      </c>
      <c r="C101" s="137"/>
      <c r="D101" s="137"/>
      <c r="E101" s="137"/>
      <c r="F101" s="137"/>
    </row>
    <row r="102" spans="2:6" ht="27" customHeight="1" x14ac:dyDescent="0.3">
      <c r="B102" s="94" t="s">
        <v>1788</v>
      </c>
      <c r="C102" s="94"/>
      <c r="D102" s="94"/>
      <c r="E102" s="94"/>
      <c r="F102" s="94"/>
    </row>
    <row r="103" spans="2:6" ht="13.5" customHeight="1" x14ac:dyDescent="0.3">
      <c r="B103" s="94" t="s">
        <v>1789</v>
      </c>
      <c r="C103" s="94"/>
      <c r="D103" s="94"/>
      <c r="E103" s="94"/>
      <c r="F103" s="94"/>
    </row>
    <row r="104" spans="2:6" ht="13.5" customHeight="1" x14ac:dyDescent="0.3">
      <c r="B104" s="94" t="s">
        <v>1790</v>
      </c>
      <c r="C104" s="94"/>
      <c r="D104" s="94"/>
      <c r="E104" s="94"/>
      <c r="F104" s="94"/>
    </row>
    <row r="105" spans="2:6" ht="13.5" customHeight="1" x14ac:dyDescent="0.3">
      <c r="B105" s="94" t="s">
        <v>1791</v>
      </c>
      <c r="C105" s="94"/>
      <c r="D105" s="94"/>
      <c r="E105" s="94"/>
      <c r="F105" s="94"/>
    </row>
    <row r="106" spans="2:6" ht="13.5" customHeight="1" x14ac:dyDescent="0.3">
      <c r="B106" s="94" t="s">
        <v>1659</v>
      </c>
      <c r="C106" s="94"/>
      <c r="D106" s="94"/>
      <c r="E106" s="94"/>
      <c r="F106" s="94"/>
    </row>
    <row r="107" spans="2:6" x14ac:dyDescent="0.3">
      <c r="B107" s="92"/>
      <c r="C107" s="92"/>
      <c r="D107" s="92"/>
      <c r="E107" s="92"/>
      <c r="F107" s="92"/>
    </row>
    <row r="108" spans="2:6" ht="13.5" customHeight="1" x14ac:dyDescent="0.3">
      <c r="B108" s="136" t="s">
        <v>1792</v>
      </c>
      <c r="C108" s="136"/>
      <c r="D108" s="136"/>
      <c r="E108" s="136"/>
      <c r="F108" s="136"/>
    </row>
    <row r="109" spans="2:6" ht="13.5" customHeight="1" x14ac:dyDescent="0.3">
      <c r="B109" s="94" t="s">
        <v>1793</v>
      </c>
      <c r="C109" s="94"/>
      <c r="D109" s="94"/>
      <c r="E109" s="94"/>
      <c r="F109" s="94"/>
    </row>
    <row r="110" spans="2:6" ht="13.5" customHeight="1" x14ac:dyDescent="0.3">
      <c r="B110" s="94" t="s">
        <v>1794</v>
      </c>
      <c r="C110" s="94"/>
      <c r="D110" s="94"/>
      <c r="E110" s="94"/>
      <c r="F110" s="94"/>
    </row>
    <row r="111" spans="2:6" ht="13.5" customHeight="1" x14ac:dyDescent="0.3">
      <c r="B111" s="94" t="s">
        <v>1795</v>
      </c>
      <c r="C111" s="94"/>
      <c r="D111" s="94"/>
      <c r="E111" s="94"/>
      <c r="F111" s="94"/>
    </row>
    <row r="112" spans="2:6" ht="13.5" customHeight="1" x14ac:dyDescent="0.3">
      <c r="B112" s="94" t="s">
        <v>1796</v>
      </c>
      <c r="C112" s="94"/>
      <c r="D112" s="94"/>
      <c r="E112" s="94"/>
      <c r="F112" s="94"/>
    </row>
    <row r="113" spans="2:6" ht="13.5" customHeight="1" x14ac:dyDescent="0.3">
      <c r="B113" s="94" t="s">
        <v>1797</v>
      </c>
      <c r="C113" s="94"/>
      <c r="D113" s="94"/>
      <c r="E113" s="94"/>
      <c r="F113" s="94"/>
    </row>
    <row r="114" spans="2:6" ht="13.5" customHeight="1" x14ac:dyDescent="0.3">
      <c r="B114" s="94" t="s">
        <v>1798</v>
      </c>
      <c r="C114" s="94"/>
      <c r="D114" s="94"/>
      <c r="E114" s="94"/>
      <c r="F114" s="94"/>
    </row>
    <row r="115" spans="2:6" ht="13.5" customHeight="1" x14ac:dyDescent="0.3">
      <c r="B115" s="94" t="s">
        <v>1799</v>
      </c>
      <c r="C115" s="94"/>
      <c r="D115" s="94"/>
      <c r="E115" s="94"/>
      <c r="F115" s="94"/>
    </row>
    <row r="116" spans="2:6" ht="40.5" customHeight="1" x14ac:dyDescent="0.3">
      <c r="B116" s="94" t="s">
        <v>1800</v>
      </c>
      <c r="C116" s="94"/>
      <c r="D116" s="94"/>
      <c r="E116" s="94"/>
      <c r="F116" s="94"/>
    </row>
    <row r="117" spans="2:6" ht="27" customHeight="1" x14ac:dyDescent="0.3">
      <c r="B117" s="94" t="s">
        <v>1801</v>
      </c>
      <c r="C117" s="94"/>
      <c r="D117" s="94"/>
      <c r="E117" s="94"/>
      <c r="F117" s="94"/>
    </row>
    <row r="118" spans="2:6" ht="13.5" customHeight="1" x14ac:dyDescent="0.3">
      <c r="B118" s="94" t="s">
        <v>1802</v>
      </c>
      <c r="C118" s="94"/>
      <c r="D118" s="94"/>
      <c r="E118" s="94"/>
      <c r="F118" s="94"/>
    </row>
    <row r="119" spans="2:6" ht="27" customHeight="1" x14ac:dyDescent="0.3">
      <c r="B119" s="94" t="s">
        <v>1803</v>
      </c>
      <c r="C119" s="94"/>
      <c r="D119" s="94"/>
      <c r="E119" s="94"/>
      <c r="F119" s="94"/>
    </row>
    <row r="120" spans="2:6" ht="27" customHeight="1" x14ac:dyDescent="0.3">
      <c r="B120" s="94" t="s">
        <v>1804</v>
      </c>
      <c r="C120" s="94"/>
      <c r="D120" s="94"/>
      <c r="E120" s="94"/>
      <c r="F120" s="94"/>
    </row>
    <row r="121" spans="2:6" ht="13.5" customHeight="1" x14ac:dyDescent="0.3">
      <c r="B121" s="94" t="s">
        <v>1805</v>
      </c>
      <c r="C121" s="94"/>
      <c r="D121" s="94"/>
      <c r="E121" s="94"/>
      <c r="F121" s="94"/>
    </row>
    <row r="122" spans="2:6" ht="27" customHeight="1" x14ac:dyDescent="0.3">
      <c r="B122" s="94" t="s">
        <v>1806</v>
      </c>
      <c r="C122" s="94"/>
      <c r="D122" s="94"/>
      <c r="E122" s="94"/>
      <c r="F122" s="94"/>
    </row>
    <row r="123" spans="2:6" ht="13.5" customHeight="1" x14ac:dyDescent="0.3">
      <c r="B123" s="94" t="s">
        <v>1659</v>
      </c>
      <c r="C123" s="94"/>
      <c r="D123" s="94"/>
      <c r="E123" s="94"/>
      <c r="F123" s="94"/>
    </row>
    <row r="124" spans="2:6" x14ac:dyDescent="0.3">
      <c r="B124" s="92"/>
      <c r="C124" s="92"/>
      <c r="D124" s="92"/>
      <c r="E124" s="92"/>
      <c r="F124" s="92"/>
    </row>
    <row r="125" spans="2:6" ht="13.5" customHeight="1" x14ac:dyDescent="0.3">
      <c r="B125" s="136" t="s">
        <v>1807</v>
      </c>
      <c r="C125" s="136"/>
      <c r="D125" s="136"/>
      <c r="E125" s="136"/>
      <c r="F125" s="136"/>
    </row>
    <row r="126" spans="2:6" ht="13.5" customHeight="1" x14ac:dyDescent="0.3">
      <c r="B126" s="94" t="s">
        <v>1808</v>
      </c>
      <c r="C126" s="94"/>
      <c r="D126" s="94"/>
      <c r="E126" s="94"/>
      <c r="F126" s="94"/>
    </row>
    <row r="127" spans="2:6" ht="27" customHeight="1" x14ac:dyDescent="0.3">
      <c r="B127" s="94" t="s">
        <v>1809</v>
      </c>
      <c r="C127" s="94"/>
      <c r="D127" s="94"/>
      <c r="E127" s="94"/>
      <c r="F127" s="94"/>
    </row>
    <row r="128" spans="2:6" ht="13.5" customHeight="1" x14ac:dyDescent="0.3">
      <c r="B128" s="94" t="s">
        <v>1810</v>
      </c>
      <c r="C128" s="94"/>
      <c r="D128" s="94"/>
      <c r="E128" s="94"/>
      <c r="F128" s="94"/>
    </row>
    <row r="129" spans="2:6" ht="13.5" customHeight="1" x14ac:dyDescent="0.3">
      <c r="B129" s="94" t="s">
        <v>1811</v>
      </c>
      <c r="C129" s="94"/>
      <c r="D129" s="94"/>
      <c r="E129" s="94"/>
      <c r="F129" s="94"/>
    </row>
    <row r="130" spans="2:6" ht="13.5" customHeight="1" x14ac:dyDescent="0.3">
      <c r="B130" s="94" t="s">
        <v>1812</v>
      </c>
      <c r="C130" s="94"/>
      <c r="D130" s="94"/>
      <c r="E130" s="94"/>
      <c r="F130" s="94"/>
    </row>
    <row r="131" spans="2:6" ht="13.5" customHeight="1" x14ac:dyDescent="0.3">
      <c r="B131" s="94" t="s">
        <v>1813</v>
      </c>
      <c r="C131" s="94"/>
      <c r="D131" s="94"/>
      <c r="E131" s="94"/>
      <c r="F131" s="94"/>
    </row>
    <row r="132" spans="2:6" ht="13.5" customHeight="1" x14ac:dyDescent="0.3">
      <c r="B132" s="94" t="s">
        <v>1659</v>
      </c>
      <c r="C132" s="94"/>
      <c r="D132" s="94"/>
      <c r="E132" s="94"/>
      <c r="F132" s="94"/>
    </row>
    <row r="133" spans="2:6" x14ac:dyDescent="0.3">
      <c r="B133" s="92"/>
      <c r="C133" s="92"/>
      <c r="D133" s="92"/>
      <c r="E133" s="92"/>
      <c r="F133" s="92"/>
    </row>
    <row r="134" spans="2:6" ht="13.5" customHeight="1" x14ac:dyDescent="0.3">
      <c r="B134" s="136" t="s">
        <v>1814</v>
      </c>
      <c r="C134" s="136"/>
      <c r="D134" s="136"/>
      <c r="E134" s="136"/>
      <c r="F134" s="136"/>
    </row>
    <row r="135" spans="2:6" ht="13.5" customHeight="1" x14ac:dyDescent="0.3">
      <c r="B135" s="94" t="s">
        <v>1815</v>
      </c>
      <c r="C135" s="94"/>
      <c r="D135" s="94"/>
      <c r="E135" s="94"/>
      <c r="F135" s="94"/>
    </row>
    <row r="136" spans="2:6" ht="13.5" customHeight="1" x14ac:dyDescent="0.3">
      <c r="B136" s="94" t="s">
        <v>1816</v>
      </c>
      <c r="C136" s="94"/>
      <c r="D136" s="94"/>
      <c r="E136" s="94"/>
      <c r="F136" s="94"/>
    </row>
    <row r="137" spans="2:6" ht="13.5" customHeight="1" x14ac:dyDescent="0.3">
      <c r="B137" s="94" t="s">
        <v>1817</v>
      </c>
      <c r="C137" s="94"/>
      <c r="D137" s="94"/>
      <c r="E137" s="94"/>
      <c r="F137" s="94"/>
    </row>
    <row r="138" spans="2:6" ht="13.5" customHeight="1" x14ac:dyDescent="0.3">
      <c r="B138" s="94" t="s">
        <v>1818</v>
      </c>
      <c r="C138" s="94"/>
      <c r="D138" s="94"/>
      <c r="E138" s="94"/>
      <c r="F138" s="94"/>
    </row>
    <row r="139" spans="2:6" ht="13.5" customHeight="1" x14ac:dyDescent="0.3">
      <c r="B139" s="94" t="s">
        <v>1819</v>
      </c>
      <c r="C139" s="94"/>
      <c r="D139" s="94"/>
      <c r="E139" s="94"/>
      <c r="F139" s="94"/>
    </row>
    <row r="140" spans="2:6" ht="13.5" customHeight="1" x14ac:dyDescent="0.3">
      <c r="B140" s="94" t="s">
        <v>1820</v>
      </c>
      <c r="C140" s="94"/>
      <c r="D140" s="94"/>
      <c r="E140" s="94"/>
      <c r="F140" s="94"/>
    </row>
    <row r="141" spans="2:6" ht="13.5" customHeight="1" x14ac:dyDescent="0.3">
      <c r="B141" s="94" t="s">
        <v>1821</v>
      </c>
      <c r="C141" s="94"/>
      <c r="D141" s="94"/>
      <c r="E141" s="94"/>
      <c r="F141" s="94"/>
    </row>
    <row r="142" spans="2:6" ht="13.5" customHeight="1" x14ac:dyDescent="0.3">
      <c r="B142" s="94" t="s">
        <v>1822</v>
      </c>
      <c r="C142" s="94"/>
      <c r="D142" s="94"/>
      <c r="E142" s="94"/>
      <c r="F142" s="94"/>
    </row>
    <row r="143" spans="2:6" ht="13.5" customHeight="1" x14ac:dyDescent="0.3">
      <c r="B143" s="94" t="s">
        <v>1823</v>
      </c>
      <c r="C143" s="94"/>
      <c r="D143" s="94"/>
      <c r="E143" s="94"/>
      <c r="F143" s="94"/>
    </row>
    <row r="144" spans="2:6" ht="40.5" customHeight="1" x14ac:dyDescent="0.3">
      <c r="B144" s="94" t="s">
        <v>1824</v>
      </c>
      <c r="C144" s="94"/>
      <c r="D144" s="94"/>
      <c r="E144" s="94"/>
      <c r="F144" s="94"/>
    </row>
    <row r="145" spans="2:6" ht="13.5" customHeight="1" x14ac:dyDescent="0.3">
      <c r="B145" s="94" t="s">
        <v>1825</v>
      </c>
      <c r="C145" s="94"/>
      <c r="D145" s="94"/>
      <c r="E145" s="94"/>
      <c r="F145" s="94"/>
    </row>
    <row r="146" spans="2:6" ht="13.5" customHeight="1" x14ac:dyDescent="0.3">
      <c r="B146" s="94" t="s">
        <v>1826</v>
      </c>
      <c r="C146" s="94"/>
      <c r="D146" s="94"/>
      <c r="E146" s="94"/>
      <c r="F146" s="94"/>
    </row>
    <row r="147" spans="2:6" ht="13.5" customHeight="1" x14ac:dyDescent="0.3">
      <c r="B147" s="94" t="s">
        <v>1659</v>
      </c>
      <c r="C147" s="94"/>
      <c r="D147" s="94"/>
      <c r="E147" s="94"/>
      <c r="F147" s="94"/>
    </row>
    <row r="148" spans="2:6" x14ac:dyDescent="0.3">
      <c r="B148" s="92"/>
      <c r="C148" s="92"/>
      <c r="D148" s="92"/>
      <c r="E148" s="92"/>
      <c r="F148" s="92"/>
    </row>
    <row r="149" spans="2:6" ht="13.5" customHeight="1" x14ac:dyDescent="0.3">
      <c r="B149" s="136" t="s">
        <v>1827</v>
      </c>
      <c r="C149" s="136"/>
      <c r="D149" s="136"/>
      <c r="E149" s="136"/>
      <c r="F149" s="136"/>
    </row>
    <row r="150" spans="2:6" ht="13.5" customHeight="1" x14ac:dyDescent="0.3">
      <c r="B150" s="137" t="s">
        <v>1828</v>
      </c>
      <c r="C150" s="137"/>
      <c r="D150" s="137"/>
      <c r="E150" s="137"/>
      <c r="F150" s="137"/>
    </row>
    <row r="151" spans="2:6" ht="13.5" customHeight="1" x14ac:dyDescent="0.3">
      <c r="B151" s="94" t="s">
        <v>1829</v>
      </c>
      <c r="C151" s="94"/>
      <c r="D151" s="94"/>
      <c r="E151" s="94"/>
      <c r="F151" s="94"/>
    </row>
    <row r="152" spans="2:6" ht="13.5" customHeight="1" x14ac:dyDescent="0.3">
      <c r="B152" s="94" t="s">
        <v>1830</v>
      </c>
      <c r="C152" s="94"/>
      <c r="D152" s="94"/>
      <c r="E152" s="94"/>
      <c r="F152" s="94"/>
    </row>
    <row r="153" spans="2:6" ht="13.5" customHeight="1" x14ac:dyDescent="0.3">
      <c r="B153" s="94" t="s">
        <v>1831</v>
      </c>
      <c r="C153" s="94"/>
      <c r="D153" s="94"/>
      <c r="E153" s="94"/>
      <c r="F153" s="94"/>
    </row>
    <row r="154" spans="2:6" ht="13.5" customHeight="1" x14ac:dyDescent="0.3">
      <c r="B154" s="94" t="s">
        <v>1832</v>
      </c>
      <c r="C154" s="94"/>
      <c r="D154" s="94"/>
      <c r="E154" s="94"/>
      <c r="F154" s="94"/>
    </row>
    <row r="155" spans="2:6" ht="13.5" customHeight="1" x14ac:dyDescent="0.3">
      <c r="B155" s="94" t="s">
        <v>1833</v>
      </c>
      <c r="C155" s="94"/>
      <c r="D155" s="94"/>
      <c r="E155" s="94"/>
      <c r="F155" s="94"/>
    </row>
    <row r="156" spans="2:6" ht="13.5" customHeight="1" x14ac:dyDescent="0.3">
      <c r="B156" s="137" t="s">
        <v>1834</v>
      </c>
      <c r="C156" s="137"/>
      <c r="D156" s="137"/>
      <c r="E156" s="137"/>
      <c r="F156" s="137"/>
    </row>
    <row r="157" spans="2:6" ht="13.5" customHeight="1" x14ac:dyDescent="0.3">
      <c r="B157" s="94" t="s">
        <v>1835</v>
      </c>
      <c r="C157" s="94"/>
      <c r="D157" s="94"/>
      <c r="E157" s="94"/>
      <c r="F157" s="94"/>
    </row>
    <row r="158" spans="2:6" ht="13.5" customHeight="1" x14ac:dyDescent="0.3">
      <c r="B158" s="94" t="s">
        <v>1836</v>
      </c>
      <c r="C158" s="94"/>
      <c r="D158" s="94"/>
      <c r="E158" s="94"/>
      <c r="F158" s="94"/>
    </row>
    <row r="159" spans="2:6" ht="13.5" customHeight="1" x14ac:dyDescent="0.3">
      <c r="B159" s="137" t="s">
        <v>1837</v>
      </c>
      <c r="C159" s="137"/>
      <c r="D159" s="137"/>
      <c r="E159" s="137"/>
      <c r="F159" s="137"/>
    </row>
    <row r="160" spans="2:6" ht="13.5" customHeight="1" x14ac:dyDescent="0.3">
      <c r="B160" s="94" t="s">
        <v>1838</v>
      </c>
      <c r="C160" s="94"/>
      <c r="D160" s="94"/>
      <c r="E160" s="94"/>
      <c r="F160" s="94"/>
    </row>
    <row r="161" spans="2:6" ht="13.5" customHeight="1" x14ac:dyDescent="0.3">
      <c r="B161" s="94" t="s">
        <v>1839</v>
      </c>
      <c r="C161" s="94"/>
      <c r="D161" s="94"/>
      <c r="E161" s="94"/>
      <c r="F161" s="94"/>
    </row>
    <row r="162" spans="2:6" ht="27" customHeight="1" x14ac:dyDescent="0.3">
      <c r="B162" s="94" t="s">
        <v>1840</v>
      </c>
      <c r="C162" s="94"/>
      <c r="D162" s="94"/>
      <c r="E162" s="94"/>
      <c r="F162" s="94"/>
    </row>
    <row r="163" spans="2:6" ht="13.5" customHeight="1" x14ac:dyDescent="0.3">
      <c r="B163" s="94" t="s">
        <v>1841</v>
      </c>
      <c r="C163" s="94"/>
      <c r="D163" s="94"/>
      <c r="E163" s="94"/>
      <c r="F163" s="94"/>
    </row>
    <row r="164" spans="2:6" ht="40.5" customHeight="1" x14ac:dyDescent="0.3">
      <c r="B164" s="94" t="s">
        <v>1842</v>
      </c>
      <c r="C164" s="94"/>
      <c r="D164" s="94"/>
      <c r="E164" s="94"/>
      <c r="F164" s="94"/>
    </row>
    <row r="165" spans="2:6" ht="13.5" customHeight="1" x14ac:dyDescent="0.3">
      <c r="B165" s="94" t="s">
        <v>1802</v>
      </c>
      <c r="C165" s="94"/>
      <c r="D165" s="94"/>
      <c r="E165" s="94"/>
      <c r="F165" s="94"/>
    </row>
    <row r="166" spans="2:6" ht="13.5" customHeight="1" x14ac:dyDescent="0.3">
      <c r="B166" s="94" t="s">
        <v>1843</v>
      </c>
      <c r="C166" s="94"/>
      <c r="D166" s="94"/>
      <c r="E166" s="94"/>
      <c r="F166" s="94"/>
    </row>
    <row r="167" spans="2:6" ht="13.5" customHeight="1" x14ac:dyDescent="0.3">
      <c r="B167" s="94" t="s">
        <v>1844</v>
      </c>
      <c r="C167" s="94"/>
      <c r="D167" s="94"/>
      <c r="E167" s="94"/>
      <c r="F167" s="94"/>
    </row>
    <row r="168" spans="2:6" ht="13.5" customHeight="1" x14ac:dyDescent="0.3">
      <c r="B168" s="94" t="s">
        <v>1845</v>
      </c>
      <c r="C168" s="94"/>
      <c r="D168" s="94"/>
      <c r="E168" s="94"/>
      <c r="F168" s="94"/>
    </row>
    <row r="169" spans="2:6" ht="13.5" customHeight="1" x14ac:dyDescent="0.3">
      <c r="B169" s="94" t="s">
        <v>1846</v>
      </c>
      <c r="C169" s="94"/>
      <c r="D169" s="94"/>
      <c r="E169" s="94"/>
      <c r="F169" s="94"/>
    </row>
    <row r="170" spans="2:6" ht="13.5" customHeight="1" x14ac:dyDescent="0.3">
      <c r="B170" s="94" t="s">
        <v>1847</v>
      </c>
      <c r="C170" s="94"/>
      <c r="D170" s="94"/>
      <c r="E170" s="94"/>
      <c r="F170" s="94"/>
    </row>
    <row r="171" spans="2:6" ht="27" customHeight="1" x14ac:dyDescent="0.3">
      <c r="B171" s="94" t="s">
        <v>1848</v>
      </c>
      <c r="C171" s="94"/>
      <c r="D171" s="94"/>
      <c r="E171" s="94"/>
      <c r="F171" s="94"/>
    </row>
    <row r="172" spans="2:6" ht="13.5" customHeight="1" x14ac:dyDescent="0.3">
      <c r="B172" s="94" t="s">
        <v>1849</v>
      </c>
      <c r="C172" s="94"/>
      <c r="D172" s="94"/>
      <c r="E172" s="94"/>
      <c r="F172" s="94"/>
    </row>
    <row r="173" spans="2:6" ht="13.5" customHeight="1" x14ac:dyDescent="0.3">
      <c r="B173" s="137" t="s">
        <v>1850</v>
      </c>
      <c r="C173" s="137"/>
      <c r="D173" s="137"/>
      <c r="E173" s="137"/>
      <c r="F173" s="137"/>
    </row>
    <row r="174" spans="2:6" ht="13.5" customHeight="1" x14ac:dyDescent="0.3">
      <c r="B174" s="94" t="s">
        <v>1851</v>
      </c>
      <c r="C174" s="94"/>
      <c r="D174" s="94"/>
      <c r="E174" s="94"/>
      <c r="F174" s="94"/>
    </row>
    <row r="175" spans="2:6" ht="27" customHeight="1" x14ac:dyDescent="0.3">
      <c r="B175" s="94" t="s">
        <v>1852</v>
      </c>
      <c r="C175" s="94"/>
      <c r="D175" s="94"/>
      <c r="E175" s="94"/>
      <c r="F175" s="94"/>
    </row>
    <row r="176" spans="2:6" ht="27" customHeight="1" x14ac:dyDescent="0.3">
      <c r="B176" s="94" t="s">
        <v>1853</v>
      </c>
      <c r="C176" s="94"/>
      <c r="D176" s="94"/>
      <c r="E176" s="94"/>
      <c r="F176" s="94"/>
    </row>
    <row r="177" spans="2:6" ht="13.5" customHeight="1" x14ac:dyDescent="0.3">
      <c r="B177" s="94" t="s">
        <v>1854</v>
      </c>
      <c r="C177" s="94"/>
      <c r="D177" s="94"/>
      <c r="E177" s="94"/>
      <c r="F177" s="94"/>
    </row>
    <row r="178" spans="2:6" ht="13.5" customHeight="1" x14ac:dyDescent="0.3">
      <c r="B178" s="137" t="s">
        <v>1855</v>
      </c>
      <c r="C178" s="137"/>
      <c r="D178" s="137"/>
      <c r="E178" s="137"/>
      <c r="F178" s="137"/>
    </row>
    <row r="179" spans="2:6" ht="40.5" customHeight="1" x14ac:dyDescent="0.3">
      <c r="B179" s="96" t="s">
        <v>1856</v>
      </c>
      <c r="C179" s="96"/>
      <c r="D179" s="96"/>
      <c r="E179" s="96"/>
      <c r="F179" s="96"/>
    </row>
    <row r="180" spans="2:6" ht="13.5" customHeight="1" x14ac:dyDescent="0.3">
      <c r="B180" s="94" t="s">
        <v>1659</v>
      </c>
      <c r="C180" s="94"/>
      <c r="D180" s="94"/>
      <c r="E180" s="94"/>
      <c r="F180" s="94"/>
    </row>
    <row r="181" spans="2:6" x14ac:dyDescent="0.3">
      <c r="B181" s="92"/>
      <c r="C181" s="92"/>
      <c r="D181" s="92"/>
      <c r="E181" s="92"/>
      <c r="F181" s="92"/>
    </row>
    <row r="182" spans="2:6" ht="13.5" customHeight="1" x14ac:dyDescent="0.3">
      <c r="B182" s="136" t="s">
        <v>1857</v>
      </c>
      <c r="C182" s="136"/>
      <c r="D182" s="136"/>
      <c r="E182" s="136"/>
      <c r="F182" s="136"/>
    </row>
    <row r="183" spans="2:6" ht="13.5" customHeight="1" x14ac:dyDescent="0.3">
      <c r="B183" s="137" t="s">
        <v>1858</v>
      </c>
      <c r="C183" s="137"/>
      <c r="D183" s="137"/>
      <c r="E183" s="137"/>
      <c r="F183" s="137"/>
    </row>
    <row r="184" spans="2:6" x14ac:dyDescent="0.3">
      <c r="B184" s="85" t="s">
        <v>1057</v>
      </c>
      <c r="C184" s="85" t="s">
        <v>1859</v>
      </c>
      <c r="D184" s="85" t="s">
        <v>1860</v>
      </c>
    </row>
    <row r="185" spans="2:6" ht="26.4" x14ac:dyDescent="0.3">
      <c r="B185" s="87" t="s">
        <v>806</v>
      </c>
      <c r="C185" s="87" t="s">
        <v>1861</v>
      </c>
      <c r="D185" s="87" t="s">
        <v>1862</v>
      </c>
    </row>
    <row r="186" spans="2:6" ht="52.8" x14ac:dyDescent="0.3">
      <c r="B186" s="87" t="s">
        <v>837</v>
      </c>
      <c r="C186" s="87" t="s">
        <v>1863</v>
      </c>
      <c r="D186" s="87" t="s">
        <v>1864</v>
      </c>
    </row>
    <row r="187" spans="2:6" ht="26.4" x14ac:dyDescent="0.3">
      <c r="B187" s="87" t="s">
        <v>817</v>
      </c>
      <c r="C187" s="87" t="s">
        <v>1865</v>
      </c>
      <c r="D187" s="87" t="s">
        <v>1866</v>
      </c>
    </row>
    <row r="188" spans="2:6" x14ac:dyDescent="0.3">
      <c r="B188" s="87" t="s">
        <v>792</v>
      </c>
      <c r="C188" s="87" t="s">
        <v>1867</v>
      </c>
      <c r="D188" s="87" t="s">
        <v>1868</v>
      </c>
    </row>
    <row r="189" spans="2:6" ht="26.4" x14ac:dyDescent="0.3">
      <c r="B189" s="87" t="s">
        <v>4</v>
      </c>
      <c r="C189" s="87" t="s">
        <v>1869</v>
      </c>
      <c r="D189" s="87" t="s">
        <v>1870</v>
      </c>
    </row>
    <row r="191" spans="2:6" ht="13.5" customHeight="1" x14ac:dyDescent="0.3">
      <c r="B191" s="137" t="s">
        <v>1871</v>
      </c>
      <c r="C191" s="137"/>
      <c r="D191" s="137"/>
      <c r="E191" s="137"/>
      <c r="F191" s="137"/>
    </row>
    <row r="192" spans="2:6" ht="13.5" customHeight="1" x14ac:dyDescent="0.3">
      <c r="B192" s="94" t="s">
        <v>1872</v>
      </c>
      <c r="C192" s="94"/>
      <c r="D192" s="94"/>
      <c r="E192" s="94"/>
      <c r="F192" s="94"/>
    </row>
    <row r="193" spans="2:6" ht="13.5" customHeight="1" x14ac:dyDescent="0.3">
      <c r="B193" s="94" t="s">
        <v>1873</v>
      </c>
      <c r="C193" s="94"/>
      <c r="D193" s="94"/>
      <c r="E193" s="94"/>
      <c r="F193" s="94"/>
    </row>
    <row r="194" spans="2:6" x14ac:dyDescent="0.3">
      <c r="B194" s="85" t="s">
        <v>786</v>
      </c>
      <c r="C194" s="85" t="s">
        <v>1874</v>
      </c>
      <c r="D194" s="85">
        <v>20</v>
      </c>
      <c r="E194" s="85">
        <v>30</v>
      </c>
      <c r="F194" s="85">
        <v>40</v>
      </c>
    </row>
    <row r="195" spans="2:6" x14ac:dyDescent="0.3">
      <c r="B195" s="87" t="s">
        <v>774</v>
      </c>
      <c r="C195" s="87" t="s">
        <v>1875</v>
      </c>
      <c r="D195" s="87" t="s">
        <v>1876</v>
      </c>
      <c r="E195" s="87" t="s">
        <v>1877</v>
      </c>
      <c r="F195" s="87" t="s">
        <v>1878</v>
      </c>
    </row>
    <row r="197" spans="2:6" ht="13.5" customHeight="1" x14ac:dyDescent="0.3">
      <c r="B197" s="94" t="s">
        <v>1879</v>
      </c>
      <c r="C197" s="94"/>
      <c r="D197" s="94"/>
      <c r="E197" s="94"/>
      <c r="F197" s="94"/>
    </row>
    <row r="198" spans="2:6" ht="13.5" customHeight="1" x14ac:dyDescent="0.3">
      <c r="B198" s="94" t="s">
        <v>1839</v>
      </c>
      <c r="C198" s="94"/>
      <c r="D198" s="94"/>
      <c r="E198" s="94"/>
      <c r="F198" s="94"/>
    </row>
    <row r="199" spans="2:6" ht="13.5" customHeight="1" x14ac:dyDescent="0.3">
      <c r="B199" s="94" t="s">
        <v>1880</v>
      </c>
      <c r="C199" s="94"/>
      <c r="D199" s="94"/>
      <c r="E199" s="94"/>
      <c r="F199" s="94"/>
    </row>
    <row r="200" spans="2:6" ht="27" customHeight="1" x14ac:dyDescent="0.3">
      <c r="B200" s="94" t="s">
        <v>1881</v>
      </c>
      <c r="C200" s="94"/>
      <c r="D200" s="94"/>
      <c r="E200" s="94"/>
      <c r="F200" s="94"/>
    </row>
    <row r="201" spans="2:6" ht="13.5" customHeight="1" x14ac:dyDescent="0.3">
      <c r="B201" s="94" t="s">
        <v>1882</v>
      </c>
      <c r="C201" s="94"/>
      <c r="D201" s="94"/>
      <c r="E201" s="94"/>
      <c r="F201" s="94"/>
    </row>
    <row r="202" spans="2:6" ht="27" customHeight="1" x14ac:dyDescent="0.3">
      <c r="B202" s="94" t="s">
        <v>1883</v>
      </c>
      <c r="C202" s="94"/>
      <c r="D202" s="94"/>
      <c r="E202" s="94"/>
      <c r="F202" s="94"/>
    </row>
    <row r="203" spans="2:6" ht="40.5" customHeight="1" x14ac:dyDescent="0.3">
      <c r="B203" s="94" t="s">
        <v>1884</v>
      </c>
      <c r="C203" s="94"/>
      <c r="D203" s="94"/>
      <c r="E203" s="94"/>
      <c r="F203" s="94"/>
    </row>
    <row r="204" spans="2:6" ht="13.5" customHeight="1" x14ac:dyDescent="0.3">
      <c r="B204" s="94" t="s">
        <v>1885</v>
      </c>
      <c r="C204" s="94"/>
      <c r="D204" s="94"/>
      <c r="E204" s="94"/>
      <c r="F204" s="94"/>
    </row>
    <row r="205" spans="2:6" ht="13.5" customHeight="1" x14ac:dyDescent="0.3">
      <c r="B205" s="94" t="s">
        <v>1886</v>
      </c>
      <c r="C205" s="94"/>
      <c r="D205" s="94"/>
      <c r="E205" s="94"/>
      <c r="F205" s="94"/>
    </row>
    <row r="206" spans="2:6" ht="13.5" customHeight="1" x14ac:dyDescent="0.3">
      <c r="B206" s="94" t="s">
        <v>1887</v>
      </c>
      <c r="C206" s="94"/>
      <c r="D206" s="94"/>
      <c r="E206" s="94"/>
      <c r="F206" s="94"/>
    </row>
    <row r="207" spans="2:6" ht="27" customHeight="1" x14ac:dyDescent="0.3">
      <c r="B207" s="94" t="s">
        <v>1888</v>
      </c>
      <c r="C207" s="94"/>
      <c r="D207" s="94"/>
      <c r="E207" s="94"/>
      <c r="F207" s="94"/>
    </row>
    <row r="208" spans="2:6" ht="27" customHeight="1" x14ac:dyDescent="0.3">
      <c r="B208" s="94" t="s">
        <v>1889</v>
      </c>
      <c r="C208" s="94"/>
      <c r="D208" s="94"/>
      <c r="E208" s="94"/>
      <c r="F208" s="94"/>
    </row>
    <row r="209" spans="2:6" ht="13.5" customHeight="1" x14ac:dyDescent="0.3">
      <c r="B209" s="94" t="s">
        <v>1890</v>
      </c>
      <c r="C209" s="94"/>
      <c r="D209" s="94"/>
      <c r="E209" s="94"/>
      <c r="F209" s="94"/>
    </row>
    <row r="210" spans="2:6" ht="13.5" customHeight="1" x14ac:dyDescent="0.3">
      <c r="B210" s="94" t="s">
        <v>1891</v>
      </c>
      <c r="C210" s="94"/>
      <c r="D210" s="94"/>
      <c r="E210" s="94"/>
      <c r="F210" s="94"/>
    </row>
    <row r="211" spans="2:6" ht="27" customHeight="1" x14ac:dyDescent="0.3">
      <c r="B211" s="94" t="s">
        <v>1892</v>
      </c>
      <c r="C211" s="94"/>
      <c r="D211" s="94"/>
      <c r="E211" s="94"/>
      <c r="F211" s="94"/>
    </row>
    <row r="212" spans="2:6" ht="13.5" customHeight="1" x14ac:dyDescent="0.3">
      <c r="B212" s="94" t="s">
        <v>1893</v>
      </c>
      <c r="C212" s="94"/>
      <c r="D212" s="94"/>
      <c r="E212" s="94"/>
      <c r="F212" s="94"/>
    </row>
    <row r="213" spans="2:6" ht="13.5" customHeight="1" x14ac:dyDescent="0.3">
      <c r="B213" s="94" t="s">
        <v>1894</v>
      </c>
      <c r="C213" s="94"/>
      <c r="D213" s="94"/>
      <c r="E213" s="94"/>
      <c r="F213" s="94"/>
    </row>
    <row r="214" spans="2:6" ht="13.5" customHeight="1" x14ac:dyDescent="0.3">
      <c r="B214" s="94" t="s">
        <v>1895</v>
      </c>
      <c r="C214" s="94"/>
      <c r="D214" s="94"/>
      <c r="E214" s="94"/>
      <c r="F214" s="94"/>
    </row>
    <row r="215" spans="2:6" ht="13.5" customHeight="1" x14ac:dyDescent="0.3">
      <c r="B215" s="137" t="s">
        <v>1896</v>
      </c>
      <c r="C215" s="137"/>
      <c r="D215" s="137"/>
      <c r="E215" s="137"/>
      <c r="F215" s="137"/>
    </row>
    <row r="216" spans="2:6" ht="27" customHeight="1" x14ac:dyDescent="0.3">
      <c r="B216" s="94" t="s">
        <v>1897</v>
      </c>
      <c r="C216" s="94"/>
      <c r="D216" s="94"/>
      <c r="E216" s="94"/>
      <c r="F216" s="94"/>
    </row>
    <row r="217" spans="2:6" ht="13.5" customHeight="1" x14ac:dyDescent="0.3">
      <c r="B217" s="94" t="s">
        <v>1898</v>
      </c>
      <c r="C217" s="94"/>
      <c r="D217" s="94"/>
      <c r="E217" s="94"/>
      <c r="F217" s="94"/>
    </row>
    <row r="218" spans="2:6" ht="13.5" customHeight="1" x14ac:dyDescent="0.3">
      <c r="B218" s="94" t="s">
        <v>1899</v>
      </c>
      <c r="C218" s="94"/>
      <c r="D218" s="94"/>
      <c r="E218" s="94"/>
      <c r="F218" s="94"/>
    </row>
    <row r="219" spans="2:6" ht="13.5" customHeight="1" x14ac:dyDescent="0.3">
      <c r="B219" s="94" t="s">
        <v>1900</v>
      </c>
      <c r="C219" s="94"/>
      <c r="D219" s="94"/>
      <c r="E219" s="94"/>
      <c r="F219" s="94"/>
    </row>
    <row r="220" spans="2:6" ht="27" customHeight="1" x14ac:dyDescent="0.3">
      <c r="B220" s="94" t="s">
        <v>1901</v>
      </c>
      <c r="C220" s="94"/>
      <c r="D220" s="94"/>
      <c r="E220" s="94"/>
      <c r="F220" s="94"/>
    </row>
    <row r="221" spans="2:6" ht="13.5" customHeight="1" x14ac:dyDescent="0.3">
      <c r="B221" s="137" t="s">
        <v>1902</v>
      </c>
      <c r="C221" s="137"/>
      <c r="D221" s="137"/>
      <c r="E221" s="137"/>
      <c r="F221" s="137"/>
    </row>
    <row r="222" spans="2:6" ht="13.5" customHeight="1" x14ac:dyDescent="0.3">
      <c r="B222" s="94" t="s">
        <v>1903</v>
      </c>
      <c r="C222" s="94"/>
      <c r="D222" s="94"/>
      <c r="E222" s="94"/>
      <c r="F222" s="94"/>
    </row>
    <row r="223" spans="2:6" ht="40.5" customHeight="1" x14ac:dyDescent="0.3">
      <c r="B223" s="94" t="s">
        <v>1904</v>
      </c>
      <c r="C223" s="94"/>
      <c r="D223" s="94"/>
      <c r="E223" s="94"/>
      <c r="F223" s="94"/>
    </row>
    <row r="224" spans="2:6" ht="13.5" customHeight="1" x14ac:dyDescent="0.3">
      <c r="B224" s="94" t="s">
        <v>1905</v>
      </c>
      <c r="C224" s="94"/>
      <c r="D224" s="94"/>
      <c r="E224" s="94"/>
      <c r="F224" s="94"/>
    </row>
    <row r="225" spans="2:6" ht="13.5" customHeight="1" x14ac:dyDescent="0.3">
      <c r="B225" s="94" t="s">
        <v>1659</v>
      </c>
      <c r="C225" s="94"/>
      <c r="D225" s="94"/>
      <c r="E225" s="94"/>
      <c r="F225" s="94"/>
    </row>
    <row r="226" spans="2:6" x14ac:dyDescent="0.3">
      <c r="B226" s="92"/>
      <c r="C226" s="92"/>
      <c r="D226" s="92"/>
      <c r="E226" s="92"/>
      <c r="F226" s="92"/>
    </row>
    <row r="227" spans="2:6" ht="13.5" customHeight="1" x14ac:dyDescent="0.3">
      <c r="B227" s="136" t="s">
        <v>1906</v>
      </c>
      <c r="C227" s="136"/>
      <c r="D227" s="136"/>
      <c r="E227" s="136"/>
      <c r="F227" s="136"/>
    </row>
    <row r="228" spans="2:6" x14ac:dyDescent="0.3">
      <c r="B228" s="85" t="s">
        <v>1907</v>
      </c>
      <c r="C228" s="85" t="s">
        <v>1908</v>
      </c>
      <c r="D228" s="85" t="s">
        <v>1909</v>
      </c>
      <c r="E228" s="85" t="s">
        <v>1910</v>
      </c>
      <c r="F228" s="85" t="s">
        <v>1662</v>
      </c>
    </row>
    <row r="229" spans="2:6" x14ac:dyDescent="0.3">
      <c r="B229" s="87" t="s">
        <v>1911</v>
      </c>
      <c r="C229" s="87" t="s">
        <v>1912</v>
      </c>
      <c r="D229" s="87" t="s">
        <v>1913</v>
      </c>
      <c r="E229" s="87" t="s">
        <v>1914</v>
      </c>
      <c r="F229" s="87" t="s">
        <v>948</v>
      </c>
    </row>
    <row r="230" spans="2:6" ht="52.8" x14ac:dyDescent="0.3">
      <c r="B230" s="87">
        <v>32</v>
      </c>
      <c r="C230" s="87" t="s">
        <v>988</v>
      </c>
      <c r="D230" s="87" t="s">
        <v>1915</v>
      </c>
      <c r="E230" s="87" t="s">
        <v>1916</v>
      </c>
      <c r="F230" s="87" t="s">
        <v>1666</v>
      </c>
    </row>
    <row r="231" spans="2:6" ht="26.4" x14ac:dyDescent="0.3">
      <c r="B231" s="87">
        <v>33</v>
      </c>
      <c r="C231" s="87" t="s">
        <v>1432</v>
      </c>
      <c r="D231" s="87" t="s">
        <v>1917</v>
      </c>
      <c r="E231" s="87" t="s">
        <v>1918</v>
      </c>
      <c r="F231" s="87" t="s">
        <v>1666</v>
      </c>
    </row>
    <row r="232" spans="2:6" x14ac:dyDescent="0.3">
      <c r="B232" s="87" t="s">
        <v>1919</v>
      </c>
      <c r="C232" s="87" t="s">
        <v>1920</v>
      </c>
      <c r="D232" s="87" t="s">
        <v>1921</v>
      </c>
      <c r="E232" s="87" t="s">
        <v>1922</v>
      </c>
      <c r="F232" s="87" t="s">
        <v>1670</v>
      </c>
    </row>
    <row r="233" spans="2:6" ht="52.8" x14ac:dyDescent="0.3">
      <c r="B233" s="87">
        <v>37</v>
      </c>
      <c r="C233" s="87" t="s">
        <v>1923</v>
      </c>
      <c r="D233" s="87" t="s">
        <v>1924</v>
      </c>
      <c r="E233" s="87" t="s">
        <v>1925</v>
      </c>
      <c r="F233" s="87" t="s">
        <v>1670</v>
      </c>
    </row>
    <row r="234" spans="2:6" x14ac:dyDescent="0.3">
      <c r="B234" s="87">
        <v>38</v>
      </c>
      <c r="C234" s="87" t="s">
        <v>1926</v>
      </c>
      <c r="D234" s="87"/>
      <c r="E234" s="87" t="s">
        <v>1927</v>
      </c>
      <c r="F234" s="87" t="s">
        <v>1666</v>
      </c>
    </row>
    <row r="235" spans="2:6" x14ac:dyDescent="0.3">
      <c r="B235" s="87">
        <v>39</v>
      </c>
      <c r="C235" s="87" t="s">
        <v>1928</v>
      </c>
      <c r="D235" s="87" t="s">
        <v>1929</v>
      </c>
      <c r="E235" s="87" t="s">
        <v>1930</v>
      </c>
      <c r="F235" s="87" t="s">
        <v>1666</v>
      </c>
    </row>
    <row r="236" spans="2:6" ht="66" x14ac:dyDescent="0.3">
      <c r="B236" s="87">
        <v>40</v>
      </c>
      <c r="C236" s="87" t="s">
        <v>1931</v>
      </c>
      <c r="D236" s="87" t="s">
        <v>1932</v>
      </c>
      <c r="E236" s="87" t="s">
        <v>1933</v>
      </c>
      <c r="F236" s="87" t="s">
        <v>1666</v>
      </c>
    </row>
    <row r="237" spans="2:6" ht="26.4" x14ac:dyDescent="0.3">
      <c r="B237" s="87">
        <v>41</v>
      </c>
      <c r="C237" s="87" t="s">
        <v>1934</v>
      </c>
      <c r="D237" s="87" t="s">
        <v>1935</v>
      </c>
      <c r="E237" s="87" t="s">
        <v>1936</v>
      </c>
      <c r="F237" s="87" t="s">
        <v>1670</v>
      </c>
    </row>
    <row r="239" spans="2:6" ht="13.5" customHeight="1" x14ac:dyDescent="0.3">
      <c r="B239" s="94" t="s">
        <v>1937</v>
      </c>
      <c r="C239" s="94"/>
      <c r="D239" s="94"/>
      <c r="E239" s="94"/>
      <c r="F239" s="94"/>
    </row>
    <row r="240" spans="2:6" ht="13.5" customHeight="1" x14ac:dyDescent="0.3">
      <c r="B240" s="94" t="s">
        <v>1938</v>
      </c>
      <c r="C240" s="94"/>
      <c r="D240" s="94"/>
      <c r="E240" s="94"/>
      <c r="F240" s="94"/>
    </row>
    <row r="241" spans="2:6" ht="13.5" customHeight="1" x14ac:dyDescent="0.3">
      <c r="B241" s="94" t="s">
        <v>1939</v>
      </c>
      <c r="C241" s="94"/>
      <c r="D241" s="94"/>
      <c r="E241" s="94"/>
      <c r="F241" s="94"/>
    </row>
    <row r="242" spans="2:6" ht="13.5" customHeight="1" x14ac:dyDescent="0.3">
      <c r="B242" s="94" t="s">
        <v>1659</v>
      </c>
      <c r="C242" s="94"/>
      <c r="D242" s="94"/>
      <c r="E242" s="94"/>
      <c r="F242" s="94"/>
    </row>
    <row r="243" spans="2:6" x14ac:dyDescent="0.3">
      <c r="B243" s="92"/>
      <c r="C243" s="92"/>
      <c r="D243" s="92"/>
      <c r="E243" s="92"/>
      <c r="F243" s="92"/>
    </row>
    <row r="244" spans="2:6" ht="13.5" customHeight="1" x14ac:dyDescent="0.3">
      <c r="B244" s="136" t="s">
        <v>1940</v>
      </c>
      <c r="C244" s="136"/>
      <c r="D244" s="136"/>
      <c r="E244" s="136"/>
      <c r="F244" s="136"/>
    </row>
    <row r="245" spans="2:6" ht="13.5" customHeight="1" x14ac:dyDescent="0.3">
      <c r="B245" s="94" t="s">
        <v>1941</v>
      </c>
      <c r="C245" s="94"/>
      <c r="D245" s="94"/>
      <c r="E245" s="94"/>
      <c r="F245" s="94"/>
    </row>
    <row r="246" spans="2:6" x14ac:dyDescent="0.3">
      <c r="B246" s="85" t="s">
        <v>1092</v>
      </c>
      <c r="C246" s="85" t="s">
        <v>1002</v>
      </c>
    </row>
    <row r="247" spans="2:6" ht="26.4" x14ac:dyDescent="0.3">
      <c r="B247" s="87" t="s">
        <v>1093</v>
      </c>
      <c r="C247" s="87" t="s">
        <v>1047</v>
      </c>
    </row>
    <row r="248" spans="2:6" ht="26.4" x14ac:dyDescent="0.3">
      <c r="B248" s="87" t="s">
        <v>1942</v>
      </c>
      <c r="C248" s="87" t="s">
        <v>999</v>
      </c>
    </row>
    <row r="249" spans="2:6" x14ac:dyDescent="0.3">
      <c r="B249" s="87" t="s">
        <v>1094</v>
      </c>
      <c r="C249" s="87" t="s">
        <v>999</v>
      </c>
    </row>
    <row r="250" spans="2:6" x14ac:dyDescent="0.3">
      <c r="B250" s="87" t="s">
        <v>1095</v>
      </c>
      <c r="C250" s="87" t="s">
        <v>1046</v>
      </c>
    </row>
    <row r="251" spans="2:6" x14ac:dyDescent="0.3">
      <c r="B251" s="87" t="s">
        <v>1943</v>
      </c>
      <c r="C251" s="87" t="s">
        <v>1045</v>
      </c>
    </row>
    <row r="253" spans="2:6" ht="13.5" customHeight="1" x14ac:dyDescent="0.3">
      <c r="B253" s="94" t="s">
        <v>1839</v>
      </c>
      <c r="C253" s="94"/>
      <c r="D253" s="94"/>
      <c r="E253" s="94"/>
      <c r="F253" s="94"/>
    </row>
    <row r="254" spans="2:6" ht="27" customHeight="1" x14ac:dyDescent="0.3">
      <c r="B254" s="94" t="s">
        <v>1944</v>
      </c>
      <c r="C254" s="94"/>
      <c r="D254" s="94"/>
      <c r="E254" s="94"/>
      <c r="F254" s="94"/>
    </row>
    <row r="255" spans="2:6" ht="27" customHeight="1" x14ac:dyDescent="0.3">
      <c r="B255" s="94" t="s">
        <v>1945</v>
      </c>
      <c r="C255" s="94"/>
      <c r="D255" s="94"/>
      <c r="E255" s="94"/>
      <c r="F255" s="94"/>
    </row>
    <row r="256" spans="2:6" ht="13.5" customHeight="1" x14ac:dyDescent="0.3">
      <c r="B256" s="94" t="s">
        <v>1946</v>
      </c>
      <c r="C256" s="94"/>
      <c r="D256" s="94"/>
      <c r="E256" s="94"/>
      <c r="F256" s="94"/>
    </row>
    <row r="257" spans="2:6" ht="13.5" customHeight="1" x14ac:dyDescent="0.3">
      <c r="B257" s="94" t="s">
        <v>1947</v>
      </c>
      <c r="C257" s="94"/>
      <c r="D257" s="94"/>
      <c r="E257" s="94"/>
      <c r="F257" s="94"/>
    </row>
    <row r="258" spans="2:6" ht="40.5" customHeight="1" x14ac:dyDescent="0.3">
      <c r="B258" s="94" t="s">
        <v>1948</v>
      </c>
      <c r="C258" s="94"/>
      <c r="D258" s="94"/>
      <c r="E258" s="94"/>
      <c r="F258" s="94"/>
    </row>
    <row r="259" spans="2:6" ht="13.5" customHeight="1" x14ac:dyDescent="0.3">
      <c r="B259" s="94" t="s">
        <v>1949</v>
      </c>
      <c r="C259" s="94"/>
      <c r="D259" s="94"/>
      <c r="E259" s="94"/>
      <c r="F259" s="94"/>
    </row>
    <row r="260" spans="2:6" ht="13.5" customHeight="1" x14ac:dyDescent="0.3">
      <c r="B260" s="94" t="s">
        <v>1950</v>
      </c>
      <c r="C260" s="94"/>
      <c r="D260" s="94"/>
      <c r="E260" s="94"/>
      <c r="F260" s="94"/>
    </row>
    <row r="261" spans="2:6" ht="13.5" customHeight="1" x14ac:dyDescent="0.3">
      <c r="B261" s="94" t="s">
        <v>1951</v>
      </c>
      <c r="C261" s="94"/>
      <c r="D261" s="94"/>
      <c r="E261" s="94"/>
      <c r="F261" s="94"/>
    </row>
    <row r="262" spans="2:6" ht="13.5" customHeight="1" x14ac:dyDescent="0.3">
      <c r="B262" s="94" t="s">
        <v>1952</v>
      </c>
      <c r="C262" s="94"/>
      <c r="D262" s="94"/>
      <c r="E262" s="94"/>
      <c r="F262" s="94"/>
    </row>
    <row r="263" spans="2:6" ht="13.5" customHeight="1" x14ac:dyDescent="0.3">
      <c r="B263" s="94" t="s">
        <v>1953</v>
      </c>
      <c r="C263" s="94"/>
      <c r="D263" s="94"/>
      <c r="E263" s="94"/>
      <c r="F263" s="94"/>
    </row>
    <row r="264" spans="2:6" ht="27" customHeight="1" x14ac:dyDescent="0.3">
      <c r="B264" s="94" t="s">
        <v>1954</v>
      </c>
      <c r="C264" s="94"/>
      <c r="D264" s="94"/>
      <c r="E264" s="94"/>
      <c r="F264" s="94"/>
    </row>
    <row r="265" spans="2:6" ht="13.5" customHeight="1" x14ac:dyDescent="0.3">
      <c r="B265" s="94" t="s">
        <v>1659</v>
      </c>
      <c r="C265" s="94"/>
      <c r="D265" s="94"/>
      <c r="E265" s="94"/>
      <c r="F265" s="94"/>
    </row>
    <row r="266" spans="2:6" x14ac:dyDescent="0.3">
      <c r="B266" s="92"/>
      <c r="C266" s="92"/>
      <c r="D266" s="92"/>
      <c r="E266" s="92"/>
      <c r="F266" s="92"/>
    </row>
    <row r="267" spans="2:6" ht="13.5" customHeight="1" x14ac:dyDescent="0.3">
      <c r="B267" s="136" t="s">
        <v>1955</v>
      </c>
      <c r="C267" s="136"/>
      <c r="D267" s="136"/>
      <c r="E267" s="136"/>
      <c r="F267" s="136"/>
    </row>
    <row r="268" spans="2:6" ht="27" customHeight="1" x14ac:dyDescent="0.3">
      <c r="B268" s="94" t="s">
        <v>1956</v>
      </c>
      <c r="C268" s="94"/>
      <c r="D268" s="94"/>
      <c r="E268" s="94"/>
      <c r="F268" s="94"/>
    </row>
    <row r="269" spans="2:6" ht="13.5" customHeight="1" x14ac:dyDescent="0.3">
      <c r="B269" s="94" t="s">
        <v>1957</v>
      </c>
      <c r="C269" s="94"/>
      <c r="D269" s="94"/>
      <c r="E269" s="94"/>
      <c r="F269" s="94"/>
    </row>
    <row r="270" spans="2:6" ht="40.5" customHeight="1" x14ac:dyDescent="0.3">
      <c r="B270" s="94" t="s">
        <v>1958</v>
      </c>
      <c r="C270" s="94"/>
      <c r="D270" s="94"/>
      <c r="E270" s="94"/>
      <c r="F270" s="94"/>
    </row>
    <row r="271" spans="2:6" ht="13.5" customHeight="1" x14ac:dyDescent="0.3">
      <c r="B271" s="94" t="s">
        <v>1959</v>
      </c>
      <c r="C271" s="94"/>
      <c r="D271" s="94"/>
      <c r="E271" s="94"/>
      <c r="F271" s="94"/>
    </row>
    <row r="272" spans="2:6" ht="13.5" customHeight="1" x14ac:dyDescent="0.3">
      <c r="B272" s="94" t="s">
        <v>1659</v>
      </c>
      <c r="C272" s="94"/>
      <c r="D272" s="94"/>
      <c r="E272" s="94"/>
      <c r="F272" s="94"/>
    </row>
    <row r="273" spans="2:6" x14ac:dyDescent="0.3">
      <c r="B273" s="92"/>
      <c r="C273" s="92"/>
      <c r="D273" s="92"/>
      <c r="E273" s="92"/>
      <c r="F273" s="92"/>
    </row>
    <row r="274" spans="2:6" ht="13.5" customHeight="1" x14ac:dyDescent="0.3">
      <c r="B274" s="136" t="s">
        <v>1960</v>
      </c>
      <c r="C274" s="136"/>
      <c r="D274" s="136"/>
      <c r="E274" s="136"/>
      <c r="F274" s="136"/>
    </row>
    <row r="275" spans="2:6" ht="27" customHeight="1" x14ac:dyDescent="0.3">
      <c r="B275" s="94" t="s">
        <v>1961</v>
      </c>
      <c r="C275" s="94"/>
      <c r="D275" s="94"/>
      <c r="E275" s="94"/>
      <c r="F275" s="94"/>
    </row>
    <row r="276" spans="2:6" ht="13.5" customHeight="1" x14ac:dyDescent="0.3">
      <c r="B276" s="94" t="s">
        <v>1962</v>
      </c>
      <c r="C276" s="94"/>
      <c r="D276" s="94"/>
      <c r="E276" s="94"/>
      <c r="F276" s="94"/>
    </row>
    <row r="277" spans="2:6" ht="13.5" customHeight="1" x14ac:dyDescent="0.3">
      <c r="B277" s="94" t="s">
        <v>1659</v>
      </c>
      <c r="C277" s="94"/>
      <c r="D277" s="94"/>
      <c r="E277" s="94"/>
      <c r="F277" s="94"/>
    </row>
    <row r="278" spans="2:6" x14ac:dyDescent="0.3">
      <c r="B278" s="92"/>
      <c r="C278" s="92"/>
      <c r="D278" s="92"/>
      <c r="E278" s="92"/>
      <c r="F278" s="92"/>
    </row>
    <row r="279" spans="2:6" ht="13.5" customHeight="1" x14ac:dyDescent="0.3">
      <c r="B279" s="136" t="s">
        <v>1963</v>
      </c>
      <c r="C279" s="136"/>
      <c r="D279" s="136"/>
      <c r="E279" s="136"/>
      <c r="F279" s="136"/>
    </row>
    <row r="280" spans="2:6" ht="27" customHeight="1" x14ac:dyDescent="0.3">
      <c r="B280" s="94" t="s">
        <v>1964</v>
      </c>
      <c r="C280" s="94"/>
      <c r="D280" s="94"/>
      <c r="E280" s="94"/>
      <c r="F280" s="94"/>
    </row>
    <row r="281" spans="2:6" ht="13.5" customHeight="1" x14ac:dyDescent="0.3">
      <c r="B281" s="94" t="s">
        <v>1965</v>
      </c>
      <c r="C281" s="94"/>
      <c r="D281" s="94"/>
      <c r="E281" s="94"/>
      <c r="F281" s="94"/>
    </row>
    <row r="282" spans="2:6" ht="13.5" customHeight="1" x14ac:dyDescent="0.3">
      <c r="B282" s="94" t="s">
        <v>1659</v>
      </c>
      <c r="C282" s="94"/>
      <c r="D282" s="94"/>
      <c r="E282" s="94"/>
      <c r="F282" s="94"/>
    </row>
    <row r="283" spans="2:6" x14ac:dyDescent="0.3">
      <c r="B283" s="92"/>
      <c r="C283" s="92"/>
      <c r="D283" s="92"/>
      <c r="E283" s="92"/>
      <c r="F283" s="92"/>
    </row>
    <row r="284" spans="2:6" ht="13.5" customHeight="1" x14ac:dyDescent="0.3">
      <c r="B284" s="136" t="s">
        <v>1966</v>
      </c>
      <c r="C284" s="136"/>
      <c r="D284" s="136"/>
      <c r="E284" s="136"/>
      <c r="F284" s="136"/>
    </row>
    <row r="285" spans="2:6" ht="27" customHeight="1" x14ac:dyDescent="0.3">
      <c r="B285" s="94" t="s">
        <v>1967</v>
      </c>
      <c r="C285" s="94"/>
      <c r="D285" s="94"/>
      <c r="E285" s="94"/>
      <c r="F285" s="94"/>
    </row>
    <row r="286" spans="2:6" x14ac:dyDescent="0.3">
      <c r="B286" s="85" t="s">
        <v>1968</v>
      </c>
      <c r="C286" s="85" t="s">
        <v>1661</v>
      </c>
      <c r="D286" s="85" t="s">
        <v>1969</v>
      </c>
      <c r="E286" s="85" t="s">
        <v>1970</v>
      </c>
    </row>
    <row r="287" spans="2:6" x14ac:dyDescent="0.3">
      <c r="B287" s="87" t="s">
        <v>5</v>
      </c>
      <c r="C287" s="87" t="s">
        <v>1971</v>
      </c>
      <c r="D287" s="87" t="s">
        <v>1972</v>
      </c>
      <c r="E287" s="87" t="s">
        <v>1973</v>
      </c>
    </row>
    <row r="288" spans="2:6" x14ac:dyDescent="0.3">
      <c r="B288" s="87" t="s">
        <v>1974</v>
      </c>
      <c r="C288" s="87" t="s">
        <v>1975</v>
      </c>
      <c r="D288" s="87" t="s">
        <v>1976</v>
      </c>
      <c r="E288" s="87" t="s">
        <v>1977</v>
      </c>
    </row>
    <row r="289" spans="2:6" x14ac:dyDescent="0.3">
      <c r="B289" s="87" t="s">
        <v>1978</v>
      </c>
      <c r="C289" s="87" t="s">
        <v>1979</v>
      </c>
      <c r="D289" s="87" t="s">
        <v>1980</v>
      </c>
      <c r="E289" s="87" t="s">
        <v>1981</v>
      </c>
    </row>
    <row r="290" spans="2:6" ht="26.4" x14ac:dyDescent="0.3">
      <c r="B290" s="87" t="s">
        <v>1982</v>
      </c>
      <c r="C290" s="87" t="s">
        <v>1983</v>
      </c>
      <c r="D290" s="87" t="s">
        <v>1984</v>
      </c>
      <c r="E290" s="87" t="s">
        <v>1985</v>
      </c>
    </row>
    <row r="291" spans="2:6" ht="26.4" x14ac:dyDescent="0.3">
      <c r="B291" s="87" t="s">
        <v>1986</v>
      </c>
      <c r="C291" s="87" t="s">
        <v>1987</v>
      </c>
      <c r="D291" s="87" t="s">
        <v>1988</v>
      </c>
      <c r="E291" s="87" t="s">
        <v>1989</v>
      </c>
    </row>
    <row r="292" spans="2:6" x14ac:dyDescent="0.3">
      <c r="B292" s="87" t="s">
        <v>1990</v>
      </c>
      <c r="C292" s="87" t="s">
        <v>1991</v>
      </c>
      <c r="D292" s="87" t="s">
        <v>1992</v>
      </c>
      <c r="E292" s="87" t="s">
        <v>1993</v>
      </c>
    </row>
    <row r="293" spans="2:6" x14ac:dyDescent="0.3">
      <c r="B293" s="87" t="s">
        <v>1994</v>
      </c>
      <c r="C293" s="87" t="s">
        <v>1995</v>
      </c>
      <c r="D293" s="87" t="s">
        <v>948</v>
      </c>
      <c r="E293" s="87" t="s">
        <v>1996</v>
      </c>
    </row>
    <row r="295" spans="2:6" ht="13.5" customHeight="1" x14ac:dyDescent="0.3">
      <c r="B295" s="94" t="s">
        <v>1997</v>
      </c>
      <c r="C295" s="94"/>
      <c r="D295" s="94"/>
      <c r="E295" s="94"/>
      <c r="F295" s="94"/>
    </row>
    <row r="296" spans="2:6" ht="27" customHeight="1" x14ac:dyDescent="0.3">
      <c r="B296" s="94" t="s">
        <v>1998</v>
      </c>
      <c r="C296" s="94"/>
      <c r="D296" s="94"/>
      <c r="E296" s="94"/>
      <c r="F296" s="94"/>
    </row>
    <row r="297" spans="2:6" ht="27" customHeight="1" x14ac:dyDescent="0.3">
      <c r="B297" s="94" t="s">
        <v>1999</v>
      </c>
      <c r="C297" s="94"/>
      <c r="D297" s="94"/>
      <c r="E297" s="94"/>
      <c r="F297" s="94"/>
    </row>
    <row r="298" spans="2:6" ht="27" customHeight="1" x14ac:dyDescent="0.3">
      <c r="B298" s="94" t="s">
        <v>2000</v>
      </c>
      <c r="C298" s="94"/>
      <c r="D298" s="94"/>
      <c r="E298" s="94"/>
      <c r="F298" s="94"/>
    </row>
    <row r="299" spans="2:6" ht="40.5" customHeight="1" x14ac:dyDescent="0.3">
      <c r="B299" s="96" t="s">
        <v>2001</v>
      </c>
      <c r="C299" s="96"/>
      <c r="D299" s="96"/>
      <c r="E299" s="96"/>
      <c r="F299" s="96"/>
    </row>
    <row r="300" spans="2:6" ht="13.5" customHeight="1" x14ac:dyDescent="0.3">
      <c r="B300" s="94" t="s">
        <v>1659</v>
      </c>
      <c r="C300" s="94"/>
      <c r="D300" s="94"/>
      <c r="E300" s="94"/>
      <c r="F300" s="94"/>
    </row>
    <row r="301" spans="2:6" x14ac:dyDescent="0.3">
      <c r="B301" s="92"/>
      <c r="C301" s="92"/>
      <c r="D301" s="92"/>
      <c r="E301" s="92"/>
      <c r="F301" s="92"/>
    </row>
    <row r="302" spans="2:6" ht="13.5" customHeight="1" x14ac:dyDescent="0.3">
      <c r="B302" s="136" t="s">
        <v>2002</v>
      </c>
      <c r="C302" s="136"/>
      <c r="D302" s="136"/>
      <c r="E302" s="136"/>
      <c r="F302" s="136"/>
    </row>
    <row r="303" spans="2:6" ht="13.5" customHeight="1" x14ac:dyDescent="0.3">
      <c r="B303" s="94" t="s">
        <v>2003</v>
      </c>
      <c r="C303" s="94"/>
      <c r="D303" s="94"/>
      <c r="E303" s="94"/>
      <c r="F303" s="94"/>
    </row>
    <row r="304" spans="2:6" ht="13.5" customHeight="1" x14ac:dyDescent="0.3">
      <c r="B304" s="94" t="s">
        <v>2004</v>
      </c>
      <c r="C304" s="94"/>
      <c r="D304" s="94"/>
      <c r="E304" s="94"/>
      <c r="F304" s="94"/>
    </row>
    <row r="305" spans="2:6" ht="13.5" customHeight="1" x14ac:dyDescent="0.3">
      <c r="B305" s="94" t="s">
        <v>2005</v>
      </c>
      <c r="C305" s="94"/>
      <c r="D305" s="94"/>
      <c r="E305" s="94"/>
      <c r="F305" s="94"/>
    </row>
    <row r="306" spans="2:6" ht="13.5" customHeight="1" x14ac:dyDescent="0.3">
      <c r="B306" s="94" t="s">
        <v>2006</v>
      </c>
      <c r="C306" s="94"/>
      <c r="D306" s="94"/>
      <c r="E306" s="94"/>
      <c r="F306" s="94"/>
    </row>
    <row r="307" spans="2:6" ht="13.5" customHeight="1" x14ac:dyDescent="0.3">
      <c r="B307" s="94" t="s">
        <v>2007</v>
      </c>
      <c r="C307" s="94"/>
      <c r="D307" s="94"/>
      <c r="E307" s="94"/>
      <c r="F307" s="94"/>
    </row>
    <row r="308" spans="2:6" ht="13.5" customHeight="1" x14ac:dyDescent="0.3">
      <c r="B308" s="94" t="s">
        <v>2008</v>
      </c>
      <c r="C308" s="94"/>
      <c r="D308" s="94"/>
      <c r="E308" s="94"/>
      <c r="F308" s="94"/>
    </row>
    <row r="309" spans="2:6" ht="13.5" customHeight="1" x14ac:dyDescent="0.3">
      <c r="B309" s="94" t="s">
        <v>1659</v>
      </c>
      <c r="C309" s="94"/>
      <c r="D309" s="94"/>
      <c r="E309" s="94"/>
      <c r="F309" s="94"/>
    </row>
    <row r="310" spans="2:6" x14ac:dyDescent="0.3">
      <c r="B310" s="92"/>
      <c r="C310" s="92"/>
      <c r="D310" s="92"/>
      <c r="E310" s="92"/>
      <c r="F310" s="92"/>
    </row>
    <row r="311" spans="2:6" ht="13.5" customHeight="1" x14ac:dyDescent="0.3">
      <c r="B311" s="136" t="s">
        <v>2009</v>
      </c>
      <c r="C311" s="136"/>
      <c r="D311" s="136"/>
      <c r="E311" s="136"/>
      <c r="F311" s="136"/>
    </row>
    <row r="312" spans="2:6" ht="27" customHeight="1" x14ac:dyDescent="0.3">
      <c r="B312" s="94" t="s">
        <v>2010</v>
      </c>
      <c r="C312" s="94"/>
      <c r="D312" s="94"/>
      <c r="E312" s="94"/>
      <c r="F312" s="94"/>
    </row>
    <row r="313" spans="2:6" x14ac:dyDescent="0.3">
      <c r="B313" s="85" t="s">
        <v>1661</v>
      </c>
      <c r="C313" s="85" t="s">
        <v>2011</v>
      </c>
      <c r="D313" s="85" t="s">
        <v>2012</v>
      </c>
    </row>
    <row r="314" spans="2:6" ht="26.4" x14ac:dyDescent="0.3">
      <c r="B314" s="87" t="s">
        <v>2013</v>
      </c>
      <c r="C314" s="87" t="s">
        <v>2014</v>
      </c>
      <c r="D314" s="87" t="s">
        <v>2015</v>
      </c>
    </row>
    <row r="315" spans="2:6" ht="52.8" x14ac:dyDescent="0.3">
      <c r="B315" s="87" t="s">
        <v>2016</v>
      </c>
      <c r="C315" s="87">
        <v>1</v>
      </c>
      <c r="D315" s="87" t="s">
        <v>2017</v>
      </c>
    </row>
    <row r="316" spans="2:6" ht="52.8" x14ac:dyDescent="0.3">
      <c r="B316" s="87" t="s">
        <v>1701</v>
      </c>
      <c r="C316" s="87" t="s">
        <v>2018</v>
      </c>
      <c r="D316" s="87" t="s">
        <v>2019</v>
      </c>
    </row>
    <row r="317" spans="2:6" ht="39.6" x14ac:dyDescent="0.3">
      <c r="B317" s="87" t="s">
        <v>2020</v>
      </c>
      <c r="C317" s="87" t="s">
        <v>2021</v>
      </c>
      <c r="D317" s="87" t="s">
        <v>2022</v>
      </c>
    </row>
    <row r="318" spans="2:6" ht="39.6" x14ac:dyDescent="0.3">
      <c r="B318" s="87" t="s">
        <v>2023</v>
      </c>
      <c r="C318" s="87" t="s">
        <v>2024</v>
      </c>
      <c r="D318" s="87" t="s">
        <v>2025</v>
      </c>
    </row>
    <row r="319" spans="2:6" ht="26.4" x14ac:dyDescent="0.3">
      <c r="B319" s="87" t="s">
        <v>2026</v>
      </c>
      <c r="C319" s="87" t="s">
        <v>568</v>
      </c>
      <c r="D319" s="87" t="s">
        <v>2027</v>
      </c>
    </row>
    <row r="320" spans="2:6" ht="39.6" x14ac:dyDescent="0.3">
      <c r="B320" s="87" t="s">
        <v>2028</v>
      </c>
      <c r="C320" s="87" t="s">
        <v>2029</v>
      </c>
      <c r="D320" s="87" t="s">
        <v>2030</v>
      </c>
    </row>
    <row r="321" spans="2:6" ht="52.8" x14ac:dyDescent="0.3">
      <c r="B321" s="87" t="s">
        <v>2031</v>
      </c>
      <c r="C321" s="87" t="s">
        <v>2032</v>
      </c>
      <c r="D321" s="87" t="s">
        <v>2033</v>
      </c>
    </row>
    <row r="323" spans="2:6" ht="40.5" customHeight="1" x14ac:dyDescent="0.3">
      <c r="B323" s="94" t="s">
        <v>2034</v>
      </c>
      <c r="C323" s="94"/>
      <c r="D323" s="94"/>
      <c r="E323" s="94"/>
      <c r="F323" s="94"/>
    </row>
    <row r="324" spans="2:6" ht="40.5" customHeight="1" x14ac:dyDescent="0.3">
      <c r="B324" s="94" t="s">
        <v>2035</v>
      </c>
      <c r="C324" s="94"/>
      <c r="D324" s="94"/>
      <c r="E324" s="94"/>
      <c r="F324" s="94"/>
    </row>
    <row r="325" spans="2:6" ht="40.5" customHeight="1" x14ac:dyDescent="0.3">
      <c r="B325" s="94" t="s">
        <v>2036</v>
      </c>
      <c r="C325" s="94"/>
      <c r="D325" s="94"/>
      <c r="E325" s="94"/>
      <c r="F325" s="94"/>
    </row>
    <row r="326" spans="2:6" x14ac:dyDescent="0.3">
      <c r="B326" s="92"/>
      <c r="C326" s="92"/>
      <c r="D326" s="92"/>
      <c r="E326" s="92"/>
      <c r="F326" s="92"/>
    </row>
    <row r="327" spans="2:6" ht="13.5" customHeight="1" x14ac:dyDescent="0.3">
      <c r="B327" s="136" t="s">
        <v>2037</v>
      </c>
      <c r="C327" s="136"/>
      <c r="D327" s="136"/>
      <c r="E327" s="136"/>
      <c r="F327" s="136"/>
    </row>
    <row r="328" spans="2:6" ht="27" customHeight="1" x14ac:dyDescent="0.3">
      <c r="B328" s="94" t="s">
        <v>2038</v>
      </c>
      <c r="C328" s="94"/>
      <c r="D328" s="94"/>
      <c r="E328" s="94"/>
      <c r="F328" s="94"/>
    </row>
    <row r="329" spans="2:6" ht="27" customHeight="1" x14ac:dyDescent="0.3">
      <c r="B329" s="94" t="s">
        <v>2039</v>
      </c>
      <c r="C329" s="94"/>
      <c r="D329" s="94"/>
      <c r="E329" s="94"/>
      <c r="F329" s="94"/>
    </row>
    <row r="330" spans="2:6" ht="27" customHeight="1" x14ac:dyDescent="0.3">
      <c r="B330" s="94" t="s">
        <v>2040</v>
      </c>
      <c r="C330" s="94"/>
      <c r="D330" s="94"/>
      <c r="E330" s="94"/>
      <c r="F330" s="94"/>
    </row>
    <row r="331" spans="2:6" ht="13.5" customHeight="1" x14ac:dyDescent="0.3">
      <c r="B331" s="94" t="s">
        <v>2041</v>
      </c>
      <c r="C331" s="94"/>
      <c r="D331" s="94"/>
      <c r="E331" s="94"/>
      <c r="F331" s="94"/>
    </row>
    <row r="332" spans="2:6" ht="13.5" customHeight="1" x14ac:dyDescent="0.3">
      <c r="B332" s="94" t="s">
        <v>2042</v>
      </c>
      <c r="C332" s="94"/>
      <c r="D332" s="94"/>
      <c r="E332" s="94"/>
      <c r="F332" s="94"/>
    </row>
    <row r="333" spans="2:6" ht="27" customHeight="1" x14ac:dyDescent="0.3">
      <c r="B333" s="94" t="s">
        <v>2043</v>
      </c>
      <c r="C333" s="94"/>
      <c r="D333" s="94"/>
      <c r="E333" s="94"/>
      <c r="F333" s="94"/>
    </row>
    <row r="334" spans="2:6" ht="27" customHeight="1" x14ac:dyDescent="0.3">
      <c r="B334" s="94" t="s">
        <v>2044</v>
      </c>
      <c r="C334" s="94"/>
      <c r="D334" s="94"/>
      <c r="E334" s="94"/>
      <c r="F334" s="94"/>
    </row>
  </sheetData>
  <mergeCells count="226">
    <mergeCell ref="B331:F331"/>
    <mergeCell ref="B332:F332"/>
    <mergeCell ref="B333:F333"/>
    <mergeCell ref="B334:F334"/>
    <mergeCell ref="B325:F325"/>
    <mergeCell ref="B327:F327"/>
    <mergeCell ref="B328:F328"/>
    <mergeCell ref="B329:F329"/>
    <mergeCell ref="B330:F330"/>
    <mergeCell ref="B309:F309"/>
    <mergeCell ref="B311:F311"/>
    <mergeCell ref="B312:F312"/>
    <mergeCell ref="B323:F323"/>
    <mergeCell ref="B324:F324"/>
    <mergeCell ref="B303:F303"/>
    <mergeCell ref="B304:F304"/>
    <mergeCell ref="B305:F305"/>
    <mergeCell ref="B306:F306"/>
    <mergeCell ref="B307:F307"/>
    <mergeCell ref="B308:F308"/>
    <mergeCell ref="B297:F297"/>
    <mergeCell ref="B298:F298"/>
    <mergeCell ref="B299:F299"/>
    <mergeCell ref="B300:F300"/>
    <mergeCell ref="B302:F302"/>
    <mergeCell ref="B282:F282"/>
    <mergeCell ref="B284:F284"/>
    <mergeCell ref="B285:F285"/>
    <mergeCell ref="B295:F295"/>
    <mergeCell ref="B296:F296"/>
    <mergeCell ref="B276:F276"/>
    <mergeCell ref="B277:F277"/>
    <mergeCell ref="B279:F279"/>
    <mergeCell ref="B280:F280"/>
    <mergeCell ref="B281:F281"/>
    <mergeCell ref="B270:F270"/>
    <mergeCell ref="B271:F271"/>
    <mergeCell ref="B272:F272"/>
    <mergeCell ref="B274:F274"/>
    <mergeCell ref="B275:F275"/>
    <mergeCell ref="B264:F264"/>
    <mergeCell ref="B265:F265"/>
    <mergeCell ref="B267:F267"/>
    <mergeCell ref="B268:F268"/>
    <mergeCell ref="B269:F269"/>
    <mergeCell ref="B258:F258"/>
    <mergeCell ref="B259:F259"/>
    <mergeCell ref="B260:F260"/>
    <mergeCell ref="B261:F261"/>
    <mergeCell ref="B262:F262"/>
    <mergeCell ref="B263:F263"/>
    <mergeCell ref="B245:F245"/>
    <mergeCell ref="B253:F253"/>
    <mergeCell ref="B254:F254"/>
    <mergeCell ref="B255:F255"/>
    <mergeCell ref="B256:F256"/>
    <mergeCell ref="B257:F257"/>
    <mergeCell ref="B239:F239"/>
    <mergeCell ref="B240:F240"/>
    <mergeCell ref="B241:F241"/>
    <mergeCell ref="B242:F242"/>
    <mergeCell ref="B244:F244"/>
    <mergeCell ref="B222:F222"/>
    <mergeCell ref="B223:F223"/>
    <mergeCell ref="B224:F224"/>
    <mergeCell ref="B225:F225"/>
    <mergeCell ref="B227:F227"/>
    <mergeCell ref="B216:F216"/>
    <mergeCell ref="B217:F217"/>
    <mergeCell ref="B218:F218"/>
    <mergeCell ref="B219:F219"/>
    <mergeCell ref="B220:F220"/>
    <mergeCell ref="B221:F221"/>
    <mergeCell ref="B210:F210"/>
    <mergeCell ref="B211:F211"/>
    <mergeCell ref="B212:F212"/>
    <mergeCell ref="B213:F213"/>
    <mergeCell ref="B214:F214"/>
    <mergeCell ref="B215:F215"/>
    <mergeCell ref="B204:F204"/>
    <mergeCell ref="B205:F205"/>
    <mergeCell ref="B206:F206"/>
    <mergeCell ref="B207:F207"/>
    <mergeCell ref="B208:F208"/>
    <mergeCell ref="B209:F209"/>
    <mergeCell ref="B198:F198"/>
    <mergeCell ref="B199:F199"/>
    <mergeCell ref="B200:F200"/>
    <mergeCell ref="B201:F201"/>
    <mergeCell ref="B202:F202"/>
    <mergeCell ref="B203:F203"/>
    <mergeCell ref="B182:F182"/>
    <mergeCell ref="B183:F183"/>
    <mergeCell ref="B191:F191"/>
    <mergeCell ref="B192:F192"/>
    <mergeCell ref="B193:F193"/>
    <mergeCell ref="B197:F197"/>
    <mergeCell ref="B176:F176"/>
    <mergeCell ref="B177:F177"/>
    <mergeCell ref="B178:F178"/>
    <mergeCell ref="B179:F179"/>
    <mergeCell ref="B180:F180"/>
    <mergeCell ref="B170:F170"/>
    <mergeCell ref="B171:F171"/>
    <mergeCell ref="B172:F172"/>
    <mergeCell ref="B173:F173"/>
    <mergeCell ref="B174:F174"/>
    <mergeCell ref="B175:F175"/>
    <mergeCell ref="B164:F164"/>
    <mergeCell ref="B165:F165"/>
    <mergeCell ref="B166:F166"/>
    <mergeCell ref="B167:F167"/>
    <mergeCell ref="B168:F168"/>
    <mergeCell ref="B169:F169"/>
    <mergeCell ref="B158:F158"/>
    <mergeCell ref="B159:F159"/>
    <mergeCell ref="B160:F160"/>
    <mergeCell ref="B161:F161"/>
    <mergeCell ref="B162:F162"/>
    <mergeCell ref="B163:F163"/>
    <mergeCell ref="B152:F152"/>
    <mergeCell ref="B153:F153"/>
    <mergeCell ref="B154:F154"/>
    <mergeCell ref="B155:F155"/>
    <mergeCell ref="B156:F156"/>
    <mergeCell ref="B157:F157"/>
    <mergeCell ref="B146:F146"/>
    <mergeCell ref="B147:F147"/>
    <mergeCell ref="B149:F149"/>
    <mergeCell ref="B150:F150"/>
    <mergeCell ref="B151:F151"/>
    <mergeCell ref="B140:F140"/>
    <mergeCell ref="B141:F141"/>
    <mergeCell ref="B142:F142"/>
    <mergeCell ref="B143:F143"/>
    <mergeCell ref="B144:F144"/>
    <mergeCell ref="B145:F145"/>
    <mergeCell ref="B134:F134"/>
    <mergeCell ref="B135:F135"/>
    <mergeCell ref="B136:F136"/>
    <mergeCell ref="B137:F137"/>
    <mergeCell ref="B138:F138"/>
    <mergeCell ref="B139:F139"/>
    <mergeCell ref="B128:F128"/>
    <mergeCell ref="B129:F129"/>
    <mergeCell ref="B130:F130"/>
    <mergeCell ref="B131:F131"/>
    <mergeCell ref="B132:F132"/>
    <mergeCell ref="B122:F122"/>
    <mergeCell ref="B123:F123"/>
    <mergeCell ref="B125:F125"/>
    <mergeCell ref="B126:F126"/>
    <mergeCell ref="B127:F127"/>
    <mergeCell ref="B116:F116"/>
    <mergeCell ref="B117:F117"/>
    <mergeCell ref="B118:F118"/>
    <mergeCell ref="B119:F119"/>
    <mergeCell ref="B120:F120"/>
    <mergeCell ref="B121:F121"/>
    <mergeCell ref="B110:F110"/>
    <mergeCell ref="B111:F111"/>
    <mergeCell ref="B112:F112"/>
    <mergeCell ref="B113:F113"/>
    <mergeCell ref="B114:F114"/>
    <mergeCell ref="B115:F115"/>
    <mergeCell ref="B104:F104"/>
    <mergeCell ref="B105:F105"/>
    <mergeCell ref="B106:F106"/>
    <mergeCell ref="B108:F108"/>
    <mergeCell ref="B109:F109"/>
    <mergeCell ref="B98:F98"/>
    <mergeCell ref="B99:F99"/>
    <mergeCell ref="B100:F100"/>
    <mergeCell ref="B101:F101"/>
    <mergeCell ref="B102:F102"/>
    <mergeCell ref="B103:F103"/>
    <mergeCell ref="B92:F92"/>
    <mergeCell ref="B93:F93"/>
    <mergeCell ref="B94:F94"/>
    <mergeCell ref="B95:F95"/>
    <mergeCell ref="B96:F96"/>
    <mergeCell ref="B97:F97"/>
    <mergeCell ref="B86:F86"/>
    <mergeCell ref="B87:F87"/>
    <mergeCell ref="B88:F88"/>
    <mergeCell ref="B89:F89"/>
    <mergeCell ref="B90:F90"/>
    <mergeCell ref="B91:F91"/>
    <mergeCell ref="B81:F81"/>
    <mergeCell ref="B82:F82"/>
    <mergeCell ref="B83:F83"/>
    <mergeCell ref="B84:F84"/>
    <mergeCell ref="B85:F85"/>
    <mergeCell ref="B74:F74"/>
    <mergeCell ref="B75:F75"/>
    <mergeCell ref="B76:F76"/>
    <mergeCell ref="B77:F77"/>
    <mergeCell ref="B78:F78"/>
    <mergeCell ref="B79:F79"/>
    <mergeCell ref="B68:F68"/>
    <mergeCell ref="B69:F69"/>
    <mergeCell ref="B70:F70"/>
    <mergeCell ref="B71:F71"/>
    <mergeCell ref="B72:F72"/>
    <mergeCell ref="B73:F73"/>
    <mergeCell ref="B62:F62"/>
    <mergeCell ref="B63:F63"/>
    <mergeCell ref="B65:F65"/>
    <mergeCell ref="B66:F66"/>
    <mergeCell ref="B67:F67"/>
    <mergeCell ref="B23:F23"/>
    <mergeCell ref="B46:F46"/>
    <mergeCell ref="B48:F48"/>
    <mergeCell ref="B49:F49"/>
    <mergeCell ref="B50:F50"/>
    <mergeCell ref="B7:F7"/>
    <mergeCell ref="B8:F8"/>
    <mergeCell ref="B9:F9"/>
    <mergeCell ref="B20:F20"/>
    <mergeCell ref="B21:F21"/>
    <mergeCell ref="B1:F1"/>
    <mergeCell ref="B2:F2"/>
    <mergeCell ref="B3:F3"/>
    <mergeCell ref="B4:F4"/>
    <mergeCell ref="B5:F5"/>
    <mergeCell ref="B6:F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4DD2-CE3E-49FC-9737-C2896BBDF5F2}">
  <sheetPr>
    <tabColor rgb="FF4472C4"/>
  </sheetPr>
  <dimension ref="A1:CA193"/>
  <sheetViews>
    <sheetView topLeftCell="Z1" zoomScale="70" zoomScaleNormal="70" workbookViewId="0">
      <selection activeCell="AE6" sqref="AE6"/>
    </sheetView>
  </sheetViews>
  <sheetFormatPr defaultRowHeight="14.4" x14ac:dyDescent="0.3"/>
  <cols>
    <col min="13" max="13" width="22" style="20" bestFit="1" customWidth="1"/>
    <col min="14" max="14" width="14" customWidth="1"/>
    <col min="17" max="17" width="38.109375" bestFit="1" customWidth="1"/>
    <col min="18" max="18" width="8.109375" customWidth="1"/>
    <col min="19" max="25" width="17.44140625" customWidth="1"/>
    <col min="26" max="26" width="22" customWidth="1"/>
    <col min="27" max="27" width="17.44140625" customWidth="1"/>
    <col min="28" max="28" width="25.6640625" bestFit="1" customWidth="1"/>
    <col min="31" max="31" width="17.88671875" customWidth="1"/>
    <col min="33" max="33" width="12.6640625" customWidth="1"/>
    <col min="36" max="36" width="28.44140625" customWidth="1"/>
    <col min="43" max="43" width="25.88671875" customWidth="1"/>
    <col min="44" max="44" width="20.33203125" customWidth="1"/>
    <col min="45" max="45" width="24.109375" customWidth="1"/>
    <col min="46" max="46" width="3" customWidth="1"/>
    <col min="47" max="47" width="12" customWidth="1"/>
    <col min="48" max="48" width="26" customWidth="1"/>
    <col min="49" max="49" width="7" customWidth="1"/>
    <col min="50" max="50" width="10" customWidth="1"/>
    <col min="51" max="51" width="12" customWidth="1"/>
    <col min="52" max="52" width="10" customWidth="1"/>
    <col min="53" max="53" width="28" customWidth="1"/>
    <col min="54" max="54" width="30" customWidth="1"/>
    <col min="55" max="55" width="14" customWidth="1"/>
    <col min="56" max="56" width="14.77734375" customWidth="1"/>
    <col min="57" max="57" width="48" customWidth="1"/>
    <col min="58" max="58" width="10" customWidth="1"/>
    <col min="59" max="59" width="3" customWidth="1"/>
    <col min="60" max="60" width="8" customWidth="1"/>
    <col min="61" max="61" width="9" customWidth="1"/>
    <col min="62" max="62" width="14" customWidth="1"/>
    <col min="63" max="63" width="9" customWidth="1"/>
    <col min="64" max="64" width="11" customWidth="1"/>
    <col min="65" max="66" width="10" customWidth="1"/>
    <col min="67" max="67" width="3" customWidth="1"/>
    <col min="68" max="68" width="13" customWidth="1"/>
    <col min="69" max="69" width="8" customWidth="1"/>
    <col min="70" max="70" width="110" customWidth="1"/>
    <col min="71" max="71" width="3" customWidth="1"/>
    <col min="72" max="72" width="40" customWidth="1"/>
    <col min="73" max="73" width="12" customWidth="1"/>
    <col min="74" max="74" width="60" customWidth="1"/>
    <col min="75" max="75" width="3" customWidth="1"/>
    <col min="76" max="76" width="10" customWidth="1"/>
    <col min="77" max="77" width="12" customWidth="1"/>
    <col min="78" max="79" width="16" customWidth="1"/>
  </cols>
  <sheetData>
    <row r="1" spans="1:79" ht="15" thickBot="1" x14ac:dyDescent="0.35">
      <c r="A1" s="141" t="s">
        <v>2065</v>
      </c>
    </row>
    <row r="2" spans="1:79" ht="15" thickBot="1" x14ac:dyDescent="0.35">
      <c r="I2" s="37"/>
      <c r="L2" s="98" t="s">
        <v>55</v>
      </c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100"/>
      <c r="AJ2" s="15" t="s">
        <v>65</v>
      </c>
      <c r="AK2" s="15"/>
      <c r="AQ2" s="101" t="s">
        <v>765</v>
      </c>
      <c r="AR2" s="101"/>
      <c r="AS2" s="101"/>
      <c r="AU2" s="73"/>
      <c r="AZ2" s="35"/>
      <c r="BA2" s="73" t="s">
        <v>775</v>
      </c>
      <c r="BD2" s="78"/>
      <c r="BE2" s="36" t="s">
        <v>776</v>
      </c>
      <c r="BP2" s="36" t="s">
        <v>777</v>
      </c>
      <c r="BT2" s="36"/>
      <c r="BX2" s="36" t="s">
        <v>778</v>
      </c>
    </row>
    <row r="3" spans="1:79" ht="28.05" customHeight="1" x14ac:dyDescent="0.3">
      <c r="B3" s="2" t="s">
        <v>3</v>
      </c>
      <c r="C3" s="2" t="s">
        <v>15</v>
      </c>
      <c r="D3" s="2" t="s">
        <v>779</v>
      </c>
      <c r="F3" s="2" t="s">
        <v>5</v>
      </c>
      <c r="G3" s="2" t="s">
        <v>7</v>
      </c>
      <c r="I3" s="2"/>
      <c r="J3" s="2"/>
      <c r="L3" s="11"/>
      <c r="M3" s="24"/>
      <c r="N3" s="12"/>
      <c r="P3" s="64"/>
      <c r="Q3" s="64"/>
      <c r="R3" s="64"/>
      <c r="S3" s="64"/>
      <c r="T3" s="65"/>
      <c r="U3" s="63"/>
      <c r="V3" s="63"/>
      <c r="W3" s="63"/>
      <c r="X3" s="63"/>
      <c r="Y3" s="63"/>
      <c r="Z3" s="35"/>
      <c r="AA3" s="11" t="s">
        <v>10</v>
      </c>
      <c r="AB3" s="11" t="s">
        <v>182</v>
      </c>
      <c r="AD3" s="11"/>
      <c r="AE3" s="11"/>
      <c r="AF3" s="11"/>
      <c r="AG3" s="12"/>
      <c r="AJ3" s="15" t="s">
        <v>9</v>
      </c>
      <c r="AK3" s="15" t="s">
        <v>66</v>
      </c>
      <c r="AL3" t="s">
        <v>150</v>
      </c>
      <c r="AM3" t="s">
        <v>14</v>
      </c>
      <c r="AN3" t="s">
        <v>3</v>
      </c>
      <c r="AO3" t="s">
        <v>151</v>
      </c>
      <c r="AQ3" s="67" t="s">
        <v>766</v>
      </c>
      <c r="AR3" s="67" t="s">
        <v>6</v>
      </c>
      <c r="AS3" s="67" t="s">
        <v>767</v>
      </c>
      <c r="AU3" s="64"/>
      <c r="AV3" s="64"/>
      <c r="AW3" s="64"/>
      <c r="AX3" s="64"/>
      <c r="AY3" s="64"/>
      <c r="AZ3" s="35"/>
      <c r="BA3" s="64" t="s">
        <v>781</v>
      </c>
      <c r="BB3" s="64" t="s">
        <v>782</v>
      </c>
      <c r="BC3" s="64" t="s">
        <v>783</v>
      </c>
      <c r="BD3" s="78"/>
      <c r="BE3" s="35" t="s">
        <v>784</v>
      </c>
      <c r="BF3" s="35"/>
      <c r="BH3" s="35" t="s">
        <v>785</v>
      </c>
      <c r="BI3" s="35"/>
      <c r="BJ3" s="35"/>
      <c r="BK3" s="35"/>
      <c r="BL3" s="35"/>
      <c r="BM3" s="35"/>
      <c r="BN3" s="35"/>
      <c r="BP3" s="35" t="s">
        <v>786</v>
      </c>
      <c r="BQ3" s="35" t="s">
        <v>774</v>
      </c>
      <c r="BR3" s="35" t="s">
        <v>787</v>
      </c>
      <c r="BT3" s="35"/>
      <c r="BU3" s="35"/>
      <c r="BV3" s="35"/>
      <c r="BX3" s="35" t="s">
        <v>788</v>
      </c>
      <c r="BY3" s="35" t="s">
        <v>789</v>
      </c>
      <c r="BZ3" s="35" t="s">
        <v>790</v>
      </c>
      <c r="CA3" s="35" t="s">
        <v>791</v>
      </c>
    </row>
    <row r="4" spans="1:79" ht="27.6" x14ac:dyDescent="0.3">
      <c r="B4" s="14">
        <v>0.75</v>
      </c>
      <c r="C4" s="14">
        <v>0.13</v>
      </c>
      <c r="D4" s="14">
        <v>2.2499999999999999E-2</v>
      </c>
      <c r="F4" s="14">
        <v>0</v>
      </c>
      <c r="G4" s="14">
        <v>6</v>
      </c>
      <c r="I4" s="14"/>
      <c r="J4" s="14"/>
      <c r="L4" s="16"/>
      <c r="M4" s="16"/>
      <c r="N4" s="16"/>
      <c r="O4" s="17"/>
      <c r="P4" s="26"/>
      <c r="Q4" s="26"/>
      <c r="R4" s="26"/>
      <c r="S4" s="26"/>
      <c r="T4" s="26"/>
      <c r="U4" s="26"/>
      <c r="V4" s="26"/>
      <c r="W4" s="26"/>
      <c r="X4" s="26"/>
      <c r="Y4" s="26"/>
      <c r="Z4" s="74"/>
      <c r="AA4" s="16" t="s">
        <v>183</v>
      </c>
      <c r="AB4" s="16" t="s">
        <v>185</v>
      </c>
      <c r="AC4" s="17"/>
      <c r="AD4" s="18"/>
      <c r="AE4" s="16"/>
      <c r="AF4" s="16"/>
      <c r="AG4" s="16"/>
      <c r="AJ4" s="13" t="str">
        <f>AL4&amp;" ("&amp;AM4&amp;"х"&amp;AN4&amp;") "&amp;AO4</f>
        <v>ВВГнг(А)-LS (2х1,5) 1</v>
      </c>
      <c r="AK4" s="14" t="s">
        <v>67</v>
      </c>
      <c r="AL4" t="s">
        <v>12</v>
      </c>
      <c r="AM4">
        <v>2</v>
      </c>
      <c r="AN4">
        <v>1.5</v>
      </c>
      <c r="AO4">
        <v>1</v>
      </c>
      <c r="AQ4" s="68" t="s">
        <v>710</v>
      </c>
      <c r="AR4" s="68" t="s">
        <v>768</v>
      </c>
      <c r="AS4" s="69"/>
      <c r="AU4" s="26"/>
      <c r="AY4" s="26"/>
      <c r="AZ4" s="74"/>
      <c r="BA4" s="26" t="s">
        <v>793</v>
      </c>
      <c r="BB4" s="26" t="s">
        <v>794</v>
      </c>
      <c r="BC4" s="26" t="s">
        <v>567</v>
      </c>
      <c r="BD4" s="79"/>
      <c r="BE4" s="37" t="s">
        <v>795</v>
      </c>
      <c r="BF4" s="74">
        <v>17</v>
      </c>
      <c r="BH4" s="35" t="s">
        <v>4</v>
      </c>
      <c r="BI4" s="35" t="s">
        <v>515</v>
      </c>
      <c r="BJ4" s="35" t="s">
        <v>564</v>
      </c>
      <c r="BK4" s="35" t="s">
        <v>565</v>
      </c>
      <c r="BL4" s="35" t="s">
        <v>796</v>
      </c>
      <c r="BM4" s="35" t="s">
        <v>797</v>
      </c>
      <c r="BN4" s="35" t="s">
        <v>798</v>
      </c>
      <c r="BP4" s="74">
        <v>0</v>
      </c>
      <c r="BQ4" s="74">
        <v>0.8</v>
      </c>
      <c r="BR4" s="37" t="s">
        <v>799</v>
      </c>
      <c r="BT4" s="74"/>
      <c r="BU4" s="74"/>
      <c r="BV4" s="37"/>
      <c r="BX4" s="74">
        <v>1.5</v>
      </c>
      <c r="BY4" s="74">
        <v>23</v>
      </c>
      <c r="BZ4" s="74">
        <v>19</v>
      </c>
      <c r="CA4" s="74">
        <v>19</v>
      </c>
    </row>
    <row r="5" spans="1:79" x14ac:dyDescent="0.3">
      <c r="B5" s="14">
        <v>1</v>
      </c>
      <c r="C5" s="14">
        <v>0.11</v>
      </c>
      <c r="D5" s="14">
        <v>2.2499999999999999E-2</v>
      </c>
      <c r="F5" s="14">
        <v>5.4</v>
      </c>
      <c r="G5" s="14">
        <v>10</v>
      </c>
      <c r="I5" s="14"/>
      <c r="J5" s="14"/>
      <c r="L5" s="16"/>
      <c r="M5" s="16"/>
      <c r="N5" s="16"/>
      <c r="O5" s="17"/>
      <c r="P5" s="26"/>
      <c r="Q5" s="26"/>
      <c r="R5" s="26"/>
      <c r="S5" s="26"/>
      <c r="T5" s="26"/>
      <c r="U5" s="26"/>
      <c r="V5" s="26"/>
      <c r="W5" s="26"/>
      <c r="X5" s="26"/>
      <c r="Y5" s="26"/>
      <c r="Z5" s="74"/>
      <c r="AA5" s="16" t="s">
        <v>184</v>
      </c>
      <c r="AB5" s="16" t="s">
        <v>186</v>
      </c>
      <c r="AC5" s="17"/>
      <c r="AD5" s="18"/>
      <c r="AE5" s="16"/>
      <c r="AF5" s="16"/>
      <c r="AG5" s="16"/>
      <c r="AJ5" s="13" t="str">
        <f t="shared" ref="AJ5:AJ68" si="0">AL5&amp;" ("&amp;AM5&amp;"х"&amp;AN5&amp;") "&amp;AO5</f>
        <v>ВВГнг(А)-LS (2х1,5) 2</v>
      </c>
      <c r="AK5" s="14" t="s">
        <v>68</v>
      </c>
      <c r="AL5" t="s">
        <v>12</v>
      </c>
      <c r="AM5">
        <v>2</v>
      </c>
      <c r="AN5">
        <v>1.5</v>
      </c>
      <c r="AO5">
        <v>2</v>
      </c>
      <c r="AQ5" s="68" t="s">
        <v>232</v>
      </c>
      <c r="AR5" s="68" t="s">
        <v>232</v>
      </c>
      <c r="AS5" s="70"/>
      <c r="AU5" s="26"/>
      <c r="AY5" s="26"/>
      <c r="AZ5" s="74"/>
      <c r="BA5" s="26" t="s">
        <v>801</v>
      </c>
      <c r="BB5" s="26" t="s">
        <v>802</v>
      </c>
      <c r="BC5" s="26" t="s">
        <v>576</v>
      </c>
      <c r="BD5" s="79"/>
      <c r="BE5" s="37" t="s">
        <v>569</v>
      </c>
      <c r="BF5" s="74">
        <v>10</v>
      </c>
      <c r="BH5" s="38" t="str">
        <f>IFERROR(INDEX(Однолинейка!$A$1:$A$1000,(MATCH(1,Однолинейка!$BS$1:$BS$1000,0))),"")</f>
        <v>ЩР</v>
      </c>
      <c r="BI5" s="38" t="str">
        <f>IFERROR(INDEX(Однолинейка!$AW$1:$AW$1000,(MATCH(1,Однолинейка!$BS$1:$BS$1000,0))),"")</f>
        <v>R.1</v>
      </c>
      <c r="BJ5" s="38" t="str">
        <f>IF(BI5="","",INDEX(Однолинейка!$AI$1:$AI$1000,(MATCH(1,Однолинейка!$BS$1:$BS$1000,0))))</f>
        <v>ZIOMB24V2</v>
      </c>
      <c r="BK5" s="38">
        <f t="shared" ref="BK5:BK39" si="1">IF(BI5="","",IFERROR(VLOOKUP(BJ5,Модули_спр,3,FALSE),""))</f>
        <v>24</v>
      </c>
      <c r="BL5" s="38">
        <f>IF(BI5="","",_xlfn.MAXIFS(Однолинейка!$O$3:$O$1000,Однолинейка!$AH$3:$AH$1000,BI5,Однолинейка!$A$3:$A$1000,BH5))</f>
        <v>10</v>
      </c>
      <c r="BM5" s="38">
        <f>IF(BI5="","",COUNTIFS(Однолинейка!$AH$3:$AH$1000,BI5,Однолинейка!$A$3:$A$1000,BH5,Однолинейка!$N$3:$N$1000,"р"))</f>
        <v>0</v>
      </c>
      <c r="BN5" s="38">
        <f t="shared" ref="BN5:BN39" si="2">IF(OR(BI5="",BK5=""),"",BK5-BL5)</f>
        <v>14</v>
      </c>
      <c r="BP5" s="74">
        <v>14</v>
      </c>
      <c r="BQ5" s="74">
        <v>0.8</v>
      </c>
      <c r="BT5" s="74"/>
      <c r="BU5" s="74"/>
      <c r="BV5" s="37"/>
      <c r="BX5" s="74">
        <v>2.5</v>
      </c>
      <c r="BY5" s="74">
        <v>30</v>
      </c>
      <c r="BZ5" s="74">
        <v>27</v>
      </c>
      <c r="CA5" s="74">
        <v>25</v>
      </c>
    </row>
    <row r="6" spans="1:79" x14ac:dyDescent="0.3">
      <c r="B6" s="14">
        <v>1.5</v>
      </c>
      <c r="C6" s="14">
        <v>0.11</v>
      </c>
      <c r="D6" s="14">
        <v>2.2499999999999999E-2</v>
      </c>
      <c r="F6" s="14">
        <v>9</v>
      </c>
      <c r="G6" s="14">
        <v>16</v>
      </c>
      <c r="I6" s="14"/>
      <c r="J6" s="14"/>
      <c r="L6" s="16"/>
      <c r="M6" s="16"/>
      <c r="N6" s="16"/>
      <c r="O6" s="17"/>
      <c r="P6" s="26"/>
      <c r="Q6" s="26"/>
      <c r="R6" s="26"/>
      <c r="S6" s="26"/>
      <c r="T6" s="26"/>
      <c r="U6" s="26"/>
      <c r="V6" s="26"/>
      <c r="W6" s="26"/>
      <c r="X6" s="26"/>
      <c r="Y6" s="26"/>
      <c r="Z6" s="74"/>
      <c r="AA6" s="16" t="s">
        <v>187</v>
      </c>
      <c r="AB6" s="16" t="s">
        <v>188</v>
      </c>
      <c r="AC6" s="17"/>
      <c r="AD6" s="18"/>
      <c r="AE6" s="16"/>
      <c r="AF6" s="16"/>
      <c r="AG6" s="16"/>
      <c r="AJ6" s="13" t="str">
        <f t="shared" si="0"/>
        <v>ВВГнг(А)-LS (2х2,5) 1</v>
      </c>
      <c r="AK6" s="14" t="s">
        <v>69</v>
      </c>
      <c r="AL6" t="s">
        <v>12</v>
      </c>
      <c r="AM6">
        <v>2</v>
      </c>
      <c r="AN6">
        <v>2.5</v>
      </c>
      <c r="AO6">
        <v>1</v>
      </c>
      <c r="AQ6" s="68" t="s">
        <v>769</v>
      </c>
      <c r="AR6" s="68" t="s">
        <v>770</v>
      </c>
      <c r="AS6" s="71"/>
      <c r="AU6" s="26"/>
      <c r="AY6" s="26"/>
      <c r="AZ6" s="74"/>
      <c r="BA6" s="26" t="s">
        <v>803</v>
      </c>
      <c r="BB6" s="26" t="s">
        <v>804</v>
      </c>
      <c r="BC6" s="26" t="s">
        <v>590</v>
      </c>
      <c r="BD6" s="79"/>
      <c r="BH6" s="38" t="str">
        <f>IFERROR(INDEX(Однолинейка!$A$1:$A$1000,(MATCH(2,Однолинейка!$BS$1:$BS$1000,0))),"")</f>
        <v/>
      </c>
      <c r="BI6" s="38" t="str">
        <f>IFERROR(INDEX(Однолинейка!$AW$1:$AW$1000,(MATCH(2,Однолинейка!$BS$1:$BS$1000,0))),"")</f>
        <v/>
      </c>
      <c r="BJ6" s="38" t="str">
        <f>IF(BI6="","",INDEX(Однолинейка!$AI$1:$AI$1000,(MATCH(2,Однолинейка!$BS$1:$BS$1000,0))))</f>
        <v/>
      </c>
      <c r="BK6" s="38" t="str">
        <f t="shared" si="1"/>
        <v/>
      </c>
      <c r="BL6" s="38" t="str">
        <f>IF(BI6="","",_xlfn.MAXIFS(Однолинейка!$O$3:$O$1000,Однолинейка!$AH$3:$AH$1000,BI6,Однолинейка!$A$3:$A$1000,BH6))</f>
        <v/>
      </c>
      <c r="BM6" s="38" t="str">
        <f>IF(BI6="","",COUNTIFS(Однолинейка!$AH$3:$AH$1000,BI6,Однолинейка!$A$3:$A$1000,BH6,Однолинейка!$N$3:$N$1000,"р"))</f>
        <v/>
      </c>
      <c r="BN6" s="38" t="str">
        <f t="shared" si="2"/>
        <v/>
      </c>
      <c r="BP6" s="74">
        <v>20</v>
      </c>
      <c r="BQ6" s="74">
        <v>0.65</v>
      </c>
      <c r="BT6" s="74"/>
      <c r="BU6" s="74"/>
      <c r="BX6" s="74">
        <v>4</v>
      </c>
      <c r="BY6" s="74">
        <v>41</v>
      </c>
      <c r="BZ6" s="74">
        <v>38</v>
      </c>
      <c r="CA6" s="74">
        <v>35</v>
      </c>
    </row>
    <row r="7" spans="1:79" ht="31.2" customHeight="1" x14ac:dyDescent="0.3">
      <c r="B7" s="14">
        <v>2.5</v>
      </c>
      <c r="C7" s="14">
        <v>0.1</v>
      </c>
      <c r="D7" s="14">
        <v>2.2499999999999999E-2</v>
      </c>
      <c r="F7" s="14">
        <v>14.4</v>
      </c>
      <c r="G7" s="14">
        <v>20</v>
      </c>
      <c r="I7" s="14"/>
      <c r="J7" s="14"/>
      <c r="L7" s="16"/>
      <c r="M7" s="16"/>
      <c r="N7" s="16"/>
      <c r="O7" s="17"/>
      <c r="P7" s="26"/>
      <c r="Q7" s="26"/>
      <c r="R7" s="26"/>
      <c r="S7" s="26"/>
      <c r="T7" s="26"/>
      <c r="U7" s="26"/>
      <c r="V7" s="26"/>
      <c r="W7" s="26"/>
      <c r="X7" s="26"/>
      <c r="Y7" s="26"/>
      <c r="Z7" s="74"/>
      <c r="AA7" s="16" t="s">
        <v>189</v>
      </c>
      <c r="AB7" s="16" t="s">
        <v>190</v>
      </c>
      <c r="AC7" s="17"/>
      <c r="AD7" s="18"/>
      <c r="AE7" s="16"/>
      <c r="AF7" s="16"/>
      <c r="AG7" s="16"/>
      <c r="AJ7" s="13" t="str">
        <f t="shared" si="0"/>
        <v>ВВГнг(А)-LS (2х2,5) 2</v>
      </c>
      <c r="AK7" s="14" t="s">
        <v>70</v>
      </c>
      <c r="AL7" t="s">
        <v>12</v>
      </c>
      <c r="AM7">
        <v>2</v>
      </c>
      <c r="AN7">
        <v>2.5</v>
      </c>
      <c r="AO7">
        <v>2</v>
      </c>
      <c r="AQ7" s="102" t="s">
        <v>771</v>
      </c>
      <c r="AR7" s="102"/>
      <c r="AS7" s="102"/>
      <c r="AU7" s="26"/>
      <c r="AV7" s="26"/>
      <c r="AW7" s="26"/>
      <c r="AX7" s="26"/>
      <c r="AY7" s="26"/>
      <c r="AZ7" s="74"/>
      <c r="BA7" s="26" t="s">
        <v>807</v>
      </c>
      <c r="BB7" s="26" t="s">
        <v>808</v>
      </c>
      <c r="BC7" s="26" t="s">
        <v>587</v>
      </c>
      <c r="BD7" s="79"/>
      <c r="BE7" s="35" t="s">
        <v>809</v>
      </c>
      <c r="BF7" s="35"/>
      <c r="BH7" s="38" t="str">
        <f>IFERROR(INDEX(Однолинейка!$A$1:$A$1000,(MATCH(3,Однолинейка!$BS$1:$BS$1000,0))),"")</f>
        <v/>
      </c>
      <c r="BI7" s="38" t="str">
        <f>IFERROR(INDEX(Однолинейка!$AW$1:$AW$1000,(MATCH(3,Однолинейка!$BS$1:$BS$1000,0))),"")</f>
        <v/>
      </c>
      <c r="BJ7" s="38" t="str">
        <f>IF(BI7="","",INDEX(Однолинейка!$AI$1:$AI$1000,(MATCH(3,Однолинейка!$BS$1:$BS$1000,0))))</f>
        <v/>
      </c>
      <c r="BK7" s="38" t="str">
        <f t="shared" si="1"/>
        <v/>
      </c>
      <c r="BL7" s="38" t="str">
        <f>IF(BI7="","",_xlfn.MAXIFS(Однолинейка!$O$3:$O$1000,Однолинейка!$AH$3:$AH$1000,BI7,Однолинейка!$A$3:$A$1000,BH7))</f>
        <v/>
      </c>
      <c r="BM7" s="38" t="str">
        <f>IF(BI7="","",COUNTIFS(Однолинейка!$AH$3:$AH$1000,BI7,Однолинейка!$A$3:$A$1000,BH7,Однолинейка!$N$3:$N$1000,"р"))</f>
        <v/>
      </c>
      <c r="BN7" s="38" t="str">
        <f t="shared" si="2"/>
        <v/>
      </c>
      <c r="BP7" s="74">
        <v>30</v>
      </c>
      <c r="BQ7" s="74">
        <v>0.6</v>
      </c>
      <c r="BT7" s="74"/>
      <c r="BU7" s="74"/>
      <c r="BX7" s="74">
        <v>6</v>
      </c>
      <c r="BY7" s="74">
        <v>50</v>
      </c>
      <c r="BZ7" s="74">
        <v>50</v>
      </c>
      <c r="CA7" s="74">
        <v>42</v>
      </c>
    </row>
    <row r="8" spans="1:79" x14ac:dyDescent="0.3">
      <c r="B8" s="14">
        <v>4</v>
      </c>
      <c r="C8" s="14">
        <v>9.5000000000000001E-2</v>
      </c>
      <c r="D8" s="14">
        <v>2.2499999999999999E-2</v>
      </c>
      <c r="F8" s="14">
        <v>18</v>
      </c>
      <c r="G8" s="14">
        <v>25</v>
      </c>
      <c r="I8" s="14"/>
      <c r="J8" s="14"/>
      <c r="L8" s="16"/>
      <c r="M8" s="16"/>
      <c r="N8" s="16"/>
      <c r="O8" s="17"/>
      <c r="P8" s="26"/>
      <c r="Q8" s="26"/>
      <c r="R8" s="26"/>
      <c r="S8" s="26"/>
      <c r="T8" s="26"/>
      <c r="U8" s="26"/>
      <c r="V8" s="26"/>
      <c r="W8" s="26"/>
      <c r="X8" s="26"/>
      <c r="Y8" s="26"/>
      <c r="Z8" s="74"/>
      <c r="AA8" s="16"/>
      <c r="AB8" s="16"/>
      <c r="AC8" s="17"/>
      <c r="AD8" s="18"/>
      <c r="AE8" s="16"/>
      <c r="AF8" s="16"/>
      <c r="AG8" s="16"/>
      <c r="AJ8" s="13" t="str">
        <f t="shared" si="0"/>
        <v>ВВГнг(А)-LS (3х1,5) 1</v>
      </c>
      <c r="AK8" s="14" t="s">
        <v>71</v>
      </c>
      <c r="AL8" t="s">
        <v>12</v>
      </c>
      <c r="AM8">
        <v>3</v>
      </c>
      <c r="AN8">
        <v>1.5</v>
      </c>
      <c r="AO8">
        <v>1</v>
      </c>
      <c r="AQ8" s="72"/>
      <c r="AR8" s="72"/>
      <c r="AS8" s="72"/>
      <c r="AU8" s="26"/>
      <c r="AV8" s="26"/>
      <c r="AW8" s="26"/>
      <c r="AX8" s="26"/>
      <c r="AY8" s="26"/>
      <c r="AZ8" s="74"/>
      <c r="BA8" s="26" t="s">
        <v>810</v>
      </c>
      <c r="BB8" s="26" t="s">
        <v>811</v>
      </c>
      <c r="BC8" s="26" t="s">
        <v>582</v>
      </c>
      <c r="BD8" s="79"/>
      <c r="BE8" s="37" t="s">
        <v>573</v>
      </c>
      <c r="BF8" s="38">
        <f>COUNTIF(Однолинейка!$E$3:$E$1000,"?*")</f>
        <v>35</v>
      </c>
      <c r="BH8" s="38" t="str">
        <f>IFERROR(INDEX(Однолинейка!$A$1:$A$1000,(MATCH(4,Однолинейка!$BS$1:$BS$1000,0))),"")</f>
        <v/>
      </c>
      <c r="BI8" s="38" t="str">
        <f>IFERROR(INDEX(Однолинейка!$AW$1:$AW$1000,(MATCH(4,Однолинейка!$BS$1:$BS$1000,0))),"")</f>
        <v/>
      </c>
      <c r="BJ8" s="38" t="str">
        <f>IF(BI8="","",INDEX(Однолинейка!$AI$1:$AI$1000,(MATCH(4,Однолинейка!$BS$1:$BS$1000,0))))</f>
        <v/>
      </c>
      <c r="BK8" s="38" t="str">
        <f t="shared" si="1"/>
        <v/>
      </c>
      <c r="BL8" s="38" t="str">
        <f>IF(BI8="","",_xlfn.MAXIFS(Однолинейка!$O$3:$O$1000,Однолинейка!$AH$3:$AH$1000,BI8,Однолинейка!$A$3:$A$1000,BH8))</f>
        <v/>
      </c>
      <c r="BM8" s="38" t="str">
        <f>IF(BI8="","",COUNTIFS(Однолинейка!$AH$3:$AH$1000,BI8,Однолинейка!$A$3:$A$1000,BH8,Однолинейка!$N$3:$N$1000,"р"))</f>
        <v/>
      </c>
      <c r="BN8" s="38" t="str">
        <f t="shared" si="2"/>
        <v/>
      </c>
      <c r="BP8" s="74">
        <v>40</v>
      </c>
      <c r="BQ8" s="74">
        <v>0.55000000000000004</v>
      </c>
      <c r="BT8" s="74"/>
      <c r="BU8" s="74"/>
      <c r="BX8" s="74">
        <v>10</v>
      </c>
      <c r="BY8" s="74">
        <v>80</v>
      </c>
      <c r="BZ8" s="74">
        <v>70</v>
      </c>
      <c r="CA8" s="74">
        <v>55</v>
      </c>
    </row>
    <row r="9" spans="1:79" x14ac:dyDescent="0.3">
      <c r="B9" s="14">
        <v>6</v>
      </c>
      <c r="C9" s="14">
        <v>0.09</v>
      </c>
      <c r="D9" s="14">
        <v>2.2499999999999999E-2</v>
      </c>
      <c r="F9" s="14">
        <v>22.5</v>
      </c>
      <c r="G9" s="14">
        <v>32</v>
      </c>
      <c r="I9" s="14"/>
      <c r="J9" s="14"/>
      <c r="L9" s="16"/>
      <c r="M9" s="16"/>
      <c r="N9" s="16"/>
      <c r="O9" s="17"/>
      <c r="P9" s="26"/>
      <c r="Q9" s="26"/>
      <c r="R9" s="26"/>
      <c r="S9" s="26"/>
      <c r="T9" s="26"/>
      <c r="U9" s="26"/>
      <c r="V9" s="26"/>
      <c r="W9" s="26"/>
      <c r="X9" s="26"/>
      <c r="Y9" s="26"/>
      <c r="Z9" s="74"/>
      <c r="AA9" s="16"/>
      <c r="AB9" s="16"/>
      <c r="AC9" s="17"/>
      <c r="AD9" s="18"/>
      <c r="AE9" s="16"/>
      <c r="AF9" s="16"/>
      <c r="AG9" s="16"/>
      <c r="AJ9" s="13" t="str">
        <f t="shared" si="0"/>
        <v>ВВГнг(А)-LS (3х1,5) 2</v>
      </c>
      <c r="AK9" s="14" t="s">
        <v>72</v>
      </c>
      <c r="AL9" t="s">
        <v>12</v>
      </c>
      <c r="AM9">
        <v>3</v>
      </c>
      <c r="AN9">
        <v>1.5</v>
      </c>
      <c r="AO9">
        <v>2</v>
      </c>
      <c r="AQ9" s="72"/>
      <c r="AR9" s="72"/>
      <c r="AS9" s="72"/>
      <c r="AU9" s="26"/>
      <c r="AV9" s="26"/>
      <c r="AW9" s="26"/>
      <c r="AX9" s="26"/>
      <c r="AY9" s="26"/>
      <c r="AZ9" s="74"/>
      <c r="BA9" s="26" t="s">
        <v>813</v>
      </c>
      <c r="BB9" s="26" t="s">
        <v>814</v>
      </c>
      <c r="BC9" s="26" t="s">
        <v>585</v>
      </c>
      <c r="BD9" s="79"/>
      <c r="BE9" s="37" t="s">
        <v>577</v>
      </c>
      <c r="BF9" s="38">
        <f>COUNTIF(Однолинейка!$AJ$3:$AJ$1000,"QFD*")</f>
        <v>28</v>
      </c>
      <c r="BH9" s="38" t="str">
        <f>IFERROR(INDEX(Однолинейка!$A$1:$A$1000,(MATCH(5,Однолинейка!$BS$1:$BS$1000,0))),"")</f>
        <v/>
      </c>
      <c r="BI9" s="38" t="str">
        <f>IFERROR(INDEX(Однолинейка!$AW$1:$AW$1000,(MATCH(5,Однолинейка!$BS$1:$BS$1000,0))),"")</f>
        <v/>
      </c>
      <c r="BJ9" s="38" t="str">
        <f>IF(BI9="","",INDEX(Однолинейка!$AI$1:$AI$1000,(MATCH(5,Однолинейка!$BS$1:$BS$1000,0))))</f>
        <v/>
      </c>
      <c r="BK9" s="38" t="str">
        <f t="shared" si="1"/>
        <v/>
      </c>
      <c r="BL9" s="38" t="str">
        <f>IF(BI9="","",_xlfn.MAXIFS(Однолинейка!$O$3:$O$1000,Однолинейка!$AH$3:$AH$1000,BI9,Однолинейка!$A$3:$A$1000,BH9))</f>
        <v/>
      </c>
      <c r="BM9" s="38" t="str">
        <f>IF(BI9="","",COUNTIFS(Однолинейка!$AH$3:$AH$1000,BI9,Однолинейка!$A$3:$A$1000,BH9,Однолинейка!$N$3:$N$1000,"р"))</f>
        <v/>
      </c>
      <c r="BN9" s="38" t="str">
        <f t="shared" si="2"/>
        <v/>
      </c>
      <c r="BP9" s="74">
        <v>50</v>
      </c>
      <c r="BQ9" s="74">
        <v>0.5</v>
      </c>
      <c r="BT9" s="74"/>
      <c r="BU9" s="74"/>
      <c r="BX9" s="74">
        <v>16</v>
      </c>
      <c r="BY9" s="74">
        <v>100</v>
      </c>
      <c r="BZ9" s="74">
        <v>90</v>
      </c>
      <c r="CA9" s="74">
        <v>75</v>
      </c>
    </row>
    <row r="10" spans="1:79" x14ac:dyDescent="0.3">
      <c r="B10" s="14">
        <v>10</v>
      </c>
      <c r="C10" s="14">
        <v>7.2999999999999995E-2</v>
      </c>
      <c r="D10" s="14">
        <v>2.2499999999999999E-2</v>
      </c>
      <c r="F10" s="14">
        <v>28.8</v>
      </c>
      <c r="G10" s="14">
        <v>40</v>
      </c>
      <c r="I10" s="14"/>
      <c r="J10" s="14"/>
      <c r="L10" s="16"/>
      <c r="M10" s="16"/>
      <c r="N10" s="16"/>
      <c r="O10" s="17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74"/>
      <c r="AA10" s="16"/>
      <c r="AB10" s="16"/>
      <c r="AC10" s="17"/>
      <c r="AD10" s="18"/>
      <c r="AE10" s="16"/>
      <c r="AF10" s="16"/>
      <c r="AG10" s="16"/>
      <c r="AJ10" s="13" t="str">
        <f t="shared" si="0"/>
        <v>ВВГнг(А)-LS (3х2,5) 1</v>
      </c>
      <c r="AK10" s="14" t="s">
        <v>73</v>
      </c>
      <c r="AL10" t="s">
        <v>12</v>
      </c>
      <c r="AM10">
        <v>3</v>
      </c>
      <c r="AN10">
        <v>2.5</v>
      </c>
      <c r="AO10">
        <v>1</v>
      </c>
      <c r="AU10" s="26"/>
      <c r="AV10" s="26"/>
      <c r="AW10" s="26"/>
      <c r="AX10" s="26"/>
      <c r="AY10" s="26"/>
      <c r="AZ10" s="74"/>
      <c r="BA10" s="26" t="s">
        <v>818</v>
      </c>
      <c r="BB10" s="26" t="s">
        <v>814</v>
      </c>
      <c r="BC10" s="26" t="s">
        <v>592</v>
      </c>
      <c r="BD10" s="79"/>
      <c r="BE10" s="37" t="s">
        <v>819</v>
      </c>
      <c r="BF10" s="38">
        <f>COUNTIF(Однолинейка!$AY$3:$AY$1000,1)</f>
        <v>52</v>
      </c>
      <c r="BH10" s="38" t="str">
        <f>IFERROR(INDEX(Однолинейка!$A$1:$A$1000,(MATCH(6,Однолинейка!$BS$1:$BS$1000,0))),"")</f>
        <v/>
      </c>
      <c r="BI10" s="38" t="str">
        <f>IFERROR(INDEX(Однолинейка!$AW$1:$AW$1000,(MATCH(6,Однолинейка!$BS$1:$BS$1000,0))),"")</f>
        <v/>
      </c>
      <c r="BJ10" s="38" t="str">
        <f>IF(BI10="","",INDEX(Однолинейка!$AI$1:$AI$1000,(MATCH(6,Однолинейка!$BS$1:$BS$1000,0))))</f>
        <v/>
      </c>
      <c r="BK10" s="38" t="str">
        <f t="shared" si="1"/>
        <v/>
      </c>
      <c r="BL10" s="38" t="str">
        <f>IF(BI10="","",_xlfn.MAXIFS(Однолинейка!$O$3:$O$1000,Однолинейка!$AH$3:$AH$1000,BI10,Однолинейка!$A$3:$A$1000,BH10))</f>
        <v/>
      </c>
      <c r="BM10" s="38" t="str">
        <f>IF(BI10="","",COUNTIFS(Однолинейка!$AH$3:$AH$1000,BI10,Однолинейка!$A$3:$A$1000,BH10,Однолинейка!$N$3:$N$1000,"р"))</f>
        <v/>
      </c>
      <c r="BN10" s="38" t="str">
        <f t="shared" si="2"/>
        <v/>
      </c>
      <c r="BP10" s="74">
        <v>60</v>
      </c>
      <c r="BQ10" s="74">
        <v>0.48</v>
      </c>
      <c r="BT10" s="74"/>
      <c r="BU10" s="74"/>
      <c r="BX10" s="74">
        <v>25</v>
      </c>
      <c r="BY10" s="74">
        <v>140</v>
      </c>
      <c r="BZ10" s="74">
        <v>115</v>
      </c>
      <c r="CA10" s="74">
        <v>95</v>
      </c>
    </row>
    <row r="11" spans="1:79" x14ac:dyDescent="0.3">
      <c r="B11" s="14">
        <v>16</v>
      </c>
      <c r="C11" s="14">
        <v>6.7500000000000004E-2</v>
      </c>
      <c r="D11" s="14">
        <v>2.2499999999999999E-2</v>
      </c>
      <c r="F11" s="14">
        <v>36</v>
      </c>
      <c r="G11" s="14">
        <v>50</v>
      </c>
      <c r="I11" s="14"/>
      <c r="J11" s="14"/>
      <c r="L11" s="16"/>
      <c r="M11" s="16"/>
      <c r="N11" s="16"/>
      <c r="O11" s="17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74"/>
      <c r="AA11" s="16"/>
      <c r="AB11" s="16"/>
      <c r="AC11" s="17"/>
      <c r="AD11" s="18"/>
      <c r="AE11" s="16"/>
      <c r="AF11" s="16"/>
      <c r="AG11" s="16"/>
      <c r="AJ11" s="13" t="str">
        <f t="shared" si="0"/>
        <v>ВВГнг(А)-LS (3х2,5) 2</v>
      </c>
      <c r="AK11" s="14" t="s">
        <v>74</v>
      </c>
      <c r="AL11" t="s">
        <v>12</v>
      </c>
      <c r="AM11">
        <v>3</v>
      </c>
      <c r="AN11">
        <v>2.5</v>
      </c>
      <c r="AO11">
        <v>2</v>
      </c>
      <c r="AU11" s="26"/>
      <c r="AV11" s="26"/>
      <c r="AW11" s="26"/>
      <c r="AX11" s="26"/>
      <c r="AY11" s="26"/>
      <c r="AZ11" s="74"/>
      <c r="BA11" s="26"/>
      <c r="BB11" s="26"/>
      <c r="BC11" s="26"/>
      <c r="BD11" s="79"/>
      <c r="BE11" s="37" t="s">
        <v>822</v>
      </c>
      <c r="BF11" s="38">
        <f>SUM(Однолинейка!$BW$3:$BW$1000)</f>
        <v>52</v>
      </c>
      <c r="BH11" s="38" t="str">
        <f>IFERROR(INDEX(Однолинейка!$A$1:$A$1000,(MATCH(7,Однолинейка!$BS$1:$BS$1000,0))),"")</f>
        <v/>
      </c>
      <c r="BI11" s="38" t="str">
        <f>IFERROR(INDEX(Однолинейка!$AW$1:$AW$1000,(MATCH(7,Однолинейка!$BS$1:$BS$1000,0))),"")</f>
        <v/>
      </c>
      <c r="BJ11" s="38" t="str">
        <f>IF(BI11="","",INDEX(Однолинейка!$AI$1:$AI$1000,(MATCH(7,Однолинейка!$BS$1:$BS$1000,0))))</f>
        <v/>
      </c>
      <c r="BK11" s="38" t="str">
        <f t="shared" si="1"/>
        <v/>
      </c>
      <c r="BL11" s="38" t="str">
        <f>IF(BI11="","",_xlfn.MAXIFS(Однолинейка!$O$3:$O$1000,Однолинейка!$AH$3:$AH$1000,BI11,Однолинейка!$A$3:$A$1000,BH11))</f>
        <v/>
      </c>
      <c r="BM11" s="38" t="str">
        <f>IF(BI11="","",COUNTIFS(Однолинейка!$AH$3:$AH$1000,BI11,Однолинейка!$A$3:$A$1000,BH11,Однолинейка!$N$3:$N$1000,"р"))</f>
        <v/>
      </c>
      <c r="BN11" s="38" t="str">
        <f t="shared" si="2"/>
        <v/>
      </c>
      <c r="BP11" s="74">
        <v>70</v>
      </c>
      <c r="BQ11" s="74">
        <v>0.45</v>
      </c>
      <c r="BR11" s="37" t="s">
        <v>823</v>
      </c>
      <c r="BT11" s="74"/>
      <c r="BU11" s="74"/>
      <c r="BX11" s="74">
        <v>35</v>
      </c>
      <c r="BY11" s="74">
        <v>170</v>
      </c>
      <c r="BZ11" s="74">
        <v>140</v>
      </c>
      <c r="CA11" s="74">
        <v>120</v>
      </c>
    </row>
    <row r="12" spans="1:79" x14ac:dyDescent="0.3">
      <c r="B12" s="14">
        <v>25</v>
      </c>
      <c r="C12" s="14">
        <v>6.6199999999999995E-2</v>
      </c>
      <c r="D12" s="14">
        <v>2.2499999999999999E-2</v>
      </c>
      <c r="F12" s="14">
        <v>45</v>
      </c>
      <c r="G12" s="14">
        <v>63</v>
      </c>
      <c r="I12" s="14"/>
      <c r="J12" s="14"/>
      <c r="L12" s="16"/>
      <c r="M12" s="16"/>
      <c r="N12" s="16"/>
      <c r="O12" s="17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74"/>
      <c r="AA12" s="16"/>
      <c r="AB12" s="16"/>
      <c r="AC12" s="17"/>
      <c r="AD12" s="18"/>
      <c r="AE12" s="16"/>
      <c r="AF12" s="16"/>
      <c r="AG12" s="16"/>
      <c r="AJ12" s="13" t="str">
        <f t="shared" si="0"/>
        <v>ВВГнг(А)-LS (3х4) 1</v>
      </c>
      <c r="AK12" s="14" t="s">
        <v>75</v>
      </c>
      <c r="AL12" t="s">
        <v>12</v>
      </c>
      <c r="AM12">
        <v>3</v>
      </c>
      <c r="AN12">
        <v>4</v>
      </c>
      <c r="AO12">
        <v>1</v>
      </c>
      <c r="AU12" s="26"/>
      <c r="AV12" s="26"/>
      <c r="AW12" s="26"/>
      <c r="AY12" s="26"/>
      <c r="AZ12" s="74"/>
      <c r="BA12" s="26"/>
      <c r="BB12" s="26"/>
      <c r="BC12" s="26"/>
      <c r="BD12" s="79"/>
      <c r="BE12" s="37" t="s">
        <v>825</v>
      </c>
      <c r="BF12" s="38">
        <f>SUM(Однолинейка!$BX$3:$BX$1000)</f>
        <v>24</v>
      </c>
      <c r="BH12" s="38" t="str">
        <f>IFERROR(INDEX(Однолинейка!$A$1:$A$1000,(MATCH(8,Однолинейка!$BS$1:$BS$1000,0))),"")</f>
        <v/>
      </c>
      <c r="BI12" s="38" t="str">
        <f>IFERROR(INDEX(Однолинейка!$AW$1:$AW$1000,(MATCH(8,Однолинейка!$BS$1:$BS$1000,0))),"")</f>
        <v/>
      </c>
      <c r="BJ12" s="38" t="str">
        <f>IF(BI12="","",INDEX(Однолинейка!$AI$1:$AI$1000,(MATCH(8,Однолинейка!$BS$1:$BS$1000,0))))</f>
        <v/>
      </c>
      <c r="BK12" s="38" t="str">
        <f t="shared" si="1"/>
        <v/>
      </c>
      <c r="BL12" s="38" t="str">
        <f>IF(BI12="","",_xlfn.MAXIFS(Однолинейка!$O$3:$O$1000,Однолинейка!$AH$3:$AH$1000,BI12,Однолинейка!$A$3:$A$1000,BH12))</f>
        <v/>
      </c>
      <c r="BM12" s="38" t="str">
        <f>IF(BI12="","",COUNTIFS(Однолинейка!$AH$3:$AH$1000,BI12,Однолинейка!$A$3:$A$1000,BH12,Однолинейка!$N$3:$N$1000,"р"))</f>
        <v/>
      </c>
      <c r="BN12" s="38" t="str">
        <f t="shared" si="2"/>
        <v/>
      </c>
      <c r="BT12" s="74"/>
      <c r="BU12" s="74"/>
      <c r="BX12" s="74">
        <v>50</v>
      </c>
      <c r="BY12" s="74">
        <v>215</v>
      </c>
      <c r="BZ12" s="74">
        <v>175</v>
      </c>
      <c r="CA12" s="74">
        <v>145</v>
      </c>
    </row>
    <row r="13" spans="1:79" x14ac:dyDescent="0.3">
      <c r="B13" s="14">
        <v>35</v>
      </c>
      <c r="C13" s="14">
        <v>6.3700000000000007E-2</v>
      </c>
      <c r="D13" s="14">
        <v>2.2499999999999999E-2</v>
      </c>
      <c r="F13" s="14">
        <v>56.7</v>
      </c>
      <c r="G13" s="14">
        <v>80</v>
      </c>
      <c r="I13" s="14"/>
      <c r="J13" s="14"/>
      <c r="L13" s="16"/>
      <c r="M13" s="3"/>
      <c r="N13" s="16"/>
      <c r="O13" s="17"/>
      <c r="P13" s="26"/>
      <c r="Q13" s="19"/>
      <c r="R13" s="26"/>
      <c r="S13" s="26"/>
      <c r="T13" s="26"/>
      <c r="U13" s="26"/>
      <c r="V13" s="26"/>
      <c r="W13" s="26"/>
      <c r="X13" s="26"/>
      <c r="Y13" s="26"/>
      <c r="Z13" s="74"/>
      <c r="AA13" s="16"/>
      <c r="AB13" s="16"/>
      <c r="AC13" s="17"/>
      <c r="AD13" s="18"/>
      <c r="AE13" s="16"/>
      <c r="AF13" s="16"/>
      <c r="AG13" s="16"/>
      <c r="AJ13" s="13" t="str">
        <f t="shared" si="0"/>
        <v>ВВГнг(А)-LS (3х4) 2</v>
      </c>
      <c r="AK13" s="14" t="s">
        <v>76</v>
      </c>
      <c r="AL13" t="s">
        <v>12</v>
      </c>
      <c r="AM13">
        <v>3</v>
      </c>
      <c r="AN13">
        <v>4</v>
      </c>
      <c r="AO13">
        <v>2</v>
      </c>
      <c r="AU13" s="26"/>
      <c r="AY13" s="26"/>
      <c r="AZ13" s="74"/>
      <c r="BA13" s="26"/>
      <c r="BB13" s="26"/>
      <c r="BC13" s="26"/>
      <c r="BD13" s="79"/>
      <c r="BE13" s="37" t="s">
        <v>583</v>
      </c>
      <c r="BF13" s="38">
        <f>COUNTIF(Однолинейка!$AW$3:$AW$1000,"?*")</f>
        <v>1</v>
      </c>
      <c r="BH13" s="38" t="str">
        <f>IFERROR(INDEX(Однолинейка!$A$1:$A$1000,(MATCH(9,Однолинейка!$BS$1:$BS$1000,0))),"")</f>
        <v/>
      </c>
      <c r="BI13" s="38" t="str">
        <f>IFERROR(INDEX(Однолинейка!$AW$1:$AW$1000,(MATCH(9,Однолинейка!$BS$1:$BS$1000,0))),"")</f>
        <v/>
      </c>
      <c r="BJ13" s="38" t="str">
        <f>IF(BI13="","",INDEX(Однолинейка!$AI$1:$AI$1000,(MATCH(9,Однолинейка!$BS$1:$BS$1000,0))))</f>
        <v/>
      </c>
      <c r="BK13" s="38" t="str">
        <f t="shared" si="1"/>
        <v/>
      </c>
      <c r="BL13" s="38" t="str">
        <f>IF(BI13="","",_xlfn.MAXIFS(Однолинейка!$O$3:$O$1000,Однолинейка!$AH$3:$AH$1000,BI13,Однолинейка!$A$3:$A$1000,BH13))</f>
        <v/>
      </c>
      <c r="BM13" s="38" t="str">
        <f>IF(BI13="","",COUNTIFS(Однолинейка!$AH$3:$AH$1000,BI13,Однолинейка!$A$3:$A$1000,BH13,Однолинейка!$N$3:$N$1000,"р"))</f>
        <v/>
      </c>
      <c r="BN13" s="38" t="str">
        <f t="shared" si="2"/>
        <v/>
      </c>
      <c r="BP13" s="35" t="s">
        <v>827</v>
      </c>
      <c r="BQ13" s="35"/>
      <c r="BT13" s="74"/>
      <c r="BU13" s="74"/>
      <c r="BX13" s="74">
        <v>70</v>
      </c>
      <c r="BY13" s="74">
        <v>270</v>
      </c>
      <c r="BZ13" s="74">
        <v>215</v>
      </c>
      <c r="CA13" s="74">
        <v>180</v>
      </c>
    </row>
    <row r="14" spans="1:79" x14ac:dyDescent="0.3">
      <c r="B14" s="14">
        <v>50</v>
      </c>
      <c r="C14" s="14">
        <v>6.25E-2</v>
      </c>
      <c r="D14" s="14">
        <v>2.2499999999999999E-2</v>
      </c>
      <c r="F14" s="14">
        <v>72</v>
      </c>
      <c r="G14" s="14">
        <v>100</v>
      </c>
      <c r="I14" s="14"/>
      <c r="J14" s="14"/>
      <c r="L14" s="16"/>
      <c r="M14" s="16"/>
      <c r="N14" s="16"/>
      <c r="O14" s="17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74"/>
      <c r="AA14" s="16"/>
      <c r="AB14" s="16"/>
      <c r="AC14" s="17"/>
      <c r="AD14" s="18"/>
      <c r="AE14" s="16"/>
      <c r="AF14" s="16"/>
      <c r="AG14" s="16"/>
      <c r="AJ14" s="13" t="str">
        <f t="shared" si="0"/>
        <v>ВВГнг(А)-LS (3х6) 1</v>
      </c>
      <c r="AK14" s="14" t="s">
        <v>77</v>
      </c>
      <c r="AL14" t="s">
        <v>12</v>
      </c>
      <c r="AM14">
        <v>3</v>
      </c>
      <c r="AN14">
        <v>6</v>
      </c>
      <c r="AO14">
        <v>1</v>
      </c>
      <c r="AU14" s="26"/>
      <c r="AV14" s="26"/>
      <c r="AW14" s="26"/>
      <c r="AY14" s="26"/>
      <c r="AZ14" s="74"/>
      <c r="BA14" s="26"/>
      <c r="BB14" s="26"/>
      <c r="BC14" s="26"/>
      <c r="BD14" s="79"/>
      <c r="BE14" s="37" t="s">
        <v>829</v>
      </c>
      <c r="BF14" s="38">
        <f>COUNTIF(Однолинейка!$BU$3:$BU$1000,2)</f>
        <v>6</v>
      </c>
      <c r="BH14" s="38" t="str">
        <f>IFERROR(INDEX(Однолинейка!$A$1:$A$1000,(MATCH(10,Однолинейка!$BS$1:$BS$1000,0))),"")</f>
        <v/>
      </c>
      <c r="BI14" s="38" t="str">
        <f>IFERROR(INDEX(Однолинейка!$AW$1:$AW$1000,(MATCH(10,Однолинейка!$BS$1:$BS$1000,0))),"")</f>
        <v/>
      </c>
      <c r="BJ14" s="38" t="str">
        <f>IF(BI14="","",INDEX(Однолинейка!$AI$1:$AI$1000,(MATCH(10,Однолинейка!$BS$1:$BS$1000,0))))</f>
        <v/>
      </c>
      <c r="BK14" s="38" t="str">
        <f t="shared" si="1"/>
        <v/>
      </c>
      <c r="BL14" s="38" t="str">
        <f>IF(BI14="","",_xlfn.MAXIFS(Однолинейка!$O$3:$O$1000,Однолинейка!$AH$3:$AH$1000,BI14,Однолинейка!$A$3:$A$1000,BH14))</f>
        <v/>
      </c>
      <c r="BM14" s="38" t="str">
        <f>IF(BI14="","",COUNTIFS(Однолинейка!$AH$3:$AH$1000,BI14,Однолинейка!$A$3:$A$1000,BH14,Однолинейка!$N$3:$N$1000,"р"))</f>
        <v/>
      </c>
      <c r="BN14" s="38" t="str">
        <f t="shared" si="2"/>
        <v/>
      </c>
      <c r="BP14" s="37" t="s">
        <v>830</v>
      </c>
      <c r="BQ14" s="74">
        <v>0.9</v>
      </c>
      <c r="BR14" s="37" t="s">
        <v>831</v>
      </c>
      <c r="BT14" s="74"/>
      <c r="BU14" s="74"/>
      <c r="BX14" s="74">
        <v>95</v>
      </c>
      <c r="BY14" s="74">
        <v>325</v>
      </c>
      <c r="BZ14" s="74">
        <v>260</v>
      </c>
      <c r="CA14" s="74">
        <v>220</v>
      </c>
    </row>
    <row r="15" spans="1:79" x14ac:dyDescent="0.3">
      <c r="B15" s="14">
        <v>70</v>
      </c>
      <c r="C15" s="14">
        <v>6.1199999999999997E-2</v>
      </c>
      <c r="D15" s="14">
        <v>2.2499999999999999E-2</v>
      </c>
      <c r="F15" s="14">
        <v>90</v>
      </c>
      <c r="G15" s="14">
        <v>125</v>
      </c>
      <c r="I15" s="14"/>
      <c r="J15" s="14"/>
      <c r="L15" s="16"/>
      <c r="M15" s="16"/>
      <c r="N15" s="16"/>
      <c r="O15" s="17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74"/>
      <c r="AA15" s="16"/>
      <c r="AB15" s="16"/>
      <c r="AC15" s="17"/>
      <c r="AD15" s="18"/>
      <c r="AE15" s="16"/>
      <c r="AF15" s="16"/>
      <c r="AG15" s="16"/>
      <c r="AJ15" s="13" t="str">
        <f t="shared" si="0"/>
        <v>ВВГнг(А)-LS (3х6) 2</v>
      </c>
      <c r="AK15" s="14" t="s">
        <v>78</v>
      </c>
      <c r="AL15" t="s">
        <v>12</v>
      </c>
      <c r="AM15">
        <v>3</v>
      </c>
      <c r="AN15">
        <v>6</v>
      </c>
      <c r="AO15">
        <v>2</v>
      </c>
      <c r="AU15" s="26"/>
      <c r="AV15" s="26"/>
      <c r="AW15" s="26"/>
      <c r="AY15" s="26"/>
      <c r="AZ15" s="74"/>
      <c r="BA15" s="26"/>
      <c r="BB15" s="26"/>
      <c r="BC15" s="26"/>
      <c r="BD15" s="79"/>
      <c r="BE15" s="37" t="s">
        <v>832</v>
      </c>
      <c r="BF15" s="38">
        <f>COUNTIF(Однолинейка!$BU$3:$BU$1000,1)</f>
        <v>23</v>
      </c>
      <c r="BH15" s="38" t="str">
        <f>IFERROR(INDEX(Однолинейка!$A$1:$A$1000,(MATCH(11,Однолинейка!$BS$1:$BS$1000,0))),"")</f>
        <v/>
      </c>
      <c r="BI15" s="38" t="str">
        <f>IFERROR(INDEX(Однолинейка!$AW$1:$AW$1000,(MATCH(11,Однолинейка!$BS$1:$BS$1000,0))),"")</f>
        <v/>
      </c>
      <c r="BJ15" s="38" t="str">
        <f>IF(BI15="","",INDEX(Однолинейка!$AI$1:$AI$1000,(MATCH(11,Однолинейка!$BS$1:$BS$1000,0))))</f>
        <v/>
      </c>
      <c r="BK15" s="38" t="str">
        <f t="shared" si="1"/>
        <v/>
      </c>
      <c r="BL15" s="38" t="str">
        <f>IF(BI15="","",_xlfn.MAXIFS(Однолинейка!$O$3:$O$1000,Однолинейка!$AH$3:$AH$1000,BI15,Однолинейка!$A$3:$A$1000,BH15))</f>
        <v/>
      </c>
      <c r="BM15" s="38" t="str">
        <f>IF(BI15="","",COUNTIFS(Однолинейка!$AH$3:$AH$1000,BI15,Однолинейка!$A$3:$A$1000,BH15,Однолинейка!$N$3:$N$1000,"р"))</f>
        <v/>
      </c>
      <c r="BN15" s="38" t="str">
        <f t="shared" si="2"/>
        <v/>
      </c>
      <c r="BT15" s="74"/>
      <c r="BU15" s="74"/>
      <c r="BX15" s="74">
        <v>120</v>
      </c>
      <c r="BY15" s="74">
        <v>385</v>
      </c>
      <c r="BZ15" s="74">
        <v>300</v>
      </c>
      <c r="CA15" s="74">
        <v>260</v>
      </c>
    </row>
    <row r="16" spans="1:79" x14ac:dyDescent="0.3">
      <c r="B16" s="14">
        <v>95</v>
      </c>
      <c r="C16" s="14">
        <v>6.0199999999999997E-2</v>
      </c>
      <c r="D16" s="14">
        <v>2.2499999999999999E-2</v>
      </c>
      <c r="F16" s="14">
        <v>112.5</v>
      </c>
      <c r="G16" s="14">
        <v>160</v>
      </c>
      <c r="I16" s="14"/>
      <c r="J16" s="14"/>
      <c r="L16" s="16"/>
      <c r="M16" s="21"/>
      <c r="N16" s="16"/>
      <c r="O16" s="17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74"/>
      <c r="AA16" s="16"/>
      <c r="AB16" s="16"/>
      <c r="AC16" s="17"/>
      <c r="AD16" s="18"/>
      <c r="AE16" s="16"/>
      <c r="AF16" s="16"/>
      <c r="AG16" s="16"/>
      <c r="AJ16" s="13" t="str">
        <f t="shared" si="0"/>
        <v>ВВГнг(А)-LS (5х1,5) 1</v>
      </c>
      <c r="AK16" s="14" t="s">
        <v>79</v>
      </c>
      <c r="AL16" t="s">
        <v>12</v>
      </c>
      <c r="AM16">
        <v>5</v>
      </c>
      <c r="AN16">
        <v>1.5</v>
      </c>
      <c r="AO16">
        <v>1</v>
      </c>
      <c r="AU16" s="26"/>
      <c r="AV16" s="26"/>
      <c r="AW16" s="26"/>
      <c r="AY16" s="26"/>
      <c r="AZ16" s="74"/>
      <c r="BA16" s="26"/>
      <c r="BB16" s="26"/>
      <c r="BC16" s="26"/>
      <c r="BD16" s="79"/>
      <c r="BE16" s="37" t="s">
        <v>1025</v>
      </c>
      <c r="BF16" s="38" t="e">
        <f>COUNTIF(#REF!,"НЕ ОБЕСПЕЧЕНА")</f>
        <v>#REF!</v>
      </c>
      <c r="BH16" s="38" t="str">
        <f>IFERROR(INDEX(Однолинейка!$A$1:$A$1000,(MATCH(12,Однолинейка!$BS$1:$BS$1000,0))),"")</f>
        <v/>
      </c>
      <c r="BI16" s="38" t="str">
        <f>IFERROR(INDEX(Однолинейка!$AW$1:$AW$1000,(MATCH(12,Однолинейка!$BS$1:$BS$1000,0))),"")</f>
        <v/>
      </c>
      <c r="BJ16" s="38" t="str">
        <f>IF(BI16="","",INDEX(Однолинейка!$AI$1:$AI$1000,(MATCH(12,Однолинейка!$BS$1:$BS$1000,0))))</f>
        <v/>
      </c>
      <c r="BK16" s="38" t="str">
        <f t="shared" si="1"/>
        <v/>
      </c>
      <c r="BL16" s="38" t="str">
        <f>IF(BI16="","",_xlfn.MAXIFS(Однолинейка!$O$3:$O$1000,Однолинейка!$AH$3:$AH$1000,BI16,Однолинейка!$A$3:$A$1000,BH16))</f>
        <v/>
      </c>
      <c r="BM16" s="38" t="str">
        <f>IF(BI16="","",COUNTIFS(Однолинейка!$AH$3:$AH$1000,BI16,Однолинейка!$A$3:$A$1000,BH16,Однолинейка!$N$3:$N$1000,"р"))</f>
        <v/>
      </c>
      <c r="BN16" s="38" t="str">
        <f t="shared" si="2"/>
        <v/>
      </c>
      <c r="BP16" s="35" t="s">
        <v>833</v>
      </c>
      <c r="BQ16" s="35"/>
      <c r="BR16" s="35" t="s">
        <v>834</v>
      </c>
      <c r="BT16" s="74"/>
      <c r="BU16" s="74"/>
      <c r="BX16" s="74">
        <v>150</v>
      </c>
      <c r="BY16" s="74">
        <v>440</v>
      </c>
      <c r="BZ16" s="74">
        <v>350</v>
      </c>
      <c r="CA16" s="74">
        <v>305</v>
      </c>
    </row>
    <row r="17" spans="2:79" x14ac:dyDescent="0.3">
      <c r="B17" s="14">
        <v>150</v>
      </c>
      <c r="C17" s="14">
        <v>5.96E-2</v>
      </c>
      <c r="D17" s="14">
        <v>2.2499999999999999E-2</v>
      </c>
      <c r="F17" s="14">
        <v>144</v>
      </c>
      <c r="G17" s="14">
        <v>200</v>
      </c>
      <c r="I17" s="14"/>
      <c r="J17" s="14"/>
      <c r="L17" s="16"/>
      <c r="M17" s="16"/>
      <c r="N17" s="16"/>
      <c r="O17" s="17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74"/>
      <c r="AA17" s="23"/>
      <c r="AB17" s="23"/>
      <c r="AC17" s="17"/>
      <c r="AD17" s="18"/>
      <c r="AE17" s="16"/>
      <c r="AF17" s="16"/>
      <c r="AG17" s="16"/>
      <c r="AJ17" s="13" t="str">
        <f t="shared" si="0"/>
        <v>ВВГнг(А)-LS (5х1,5) 2</v>
      </c>
      <c r="AK17" s="14" t="s">
        <v>80</v>
      </c>
      <c r="AL17" t="s">
        <v>12</v>
      </c>
      <c r="AM17">
        <v>5</v>
      </c>
      <c r="AN17">
        <v>1.5</v>
      </c>
      <c r="AO17">
        <v>2</v>
      </c>
      <c r="AU17" s="26"/>
      <c r="AY17" s="26"/>
      <c r="AZ17" s="74"/>
      <c r="BA17" s="26"/>
      <c r="BB17" s="26"/>
      <c r="BC17" s="26"/>
      <c r="BD17" s="79"/>
      <c r="BH17" s="38" t="str">
        <f>IFERROR(INDEX(Однолинейка!$A$1:$A$1000,(MATCH(13,Однолинейка!$BS$1:$BS$1000,0))),"")</f>
        <v/>
      </c>
      <c r="BI17" s="38" t="str">
        <f>IFERROR(INDEX(Однолинейка!$AW$1:$AW$1000,(MATCH(13,Однолинейка!$BS$1:$BS$1000,0))),"")</f>
        <v/>
      </c>
      <c r="BJ17" s="38" t="str">
        <f>IF(BI17="","",INDEX(Однолинейка!$AI$1:$AI$1000,(MATCH(13,Однолинейка!$BS$1:$BS$1000,0))))</f>
        <v/>
      </c>
      <c r="BK17" s="38" t="str">
        <f t="shared" si="1"/>
        <v/>
      </c>
      <c r="BL17" s="38" t="str">
        <f>IF(BI17="","",_xlfn.MAXIFS(Однолинейка!$O$3:$O$1000,Однолинейка!$AH$3:$AH$1000,BI17,Однолинейка!$A$3:$A$1000,BH17))</f>
        <v/>
      </c>
      <c r="BM17" s="38" t="str">
        <f>IF(BI17="","",COUNTIFS(Однолинейка!$AH$3:$AH$1000,BI17,Однолинейка!$A$3:$A$1000,BH17,Однолинейка!$N$3:$N$1000,"р"))</f>
        <v/>
      </c>
      <c r="BN17" s="38" t="str">
        <f t="shared" si="2"/>
        <v/>
      </c>
      <c r="BP17" s="38" t="s">
        <v>806</v>
      </c>
      <c r="BR17" s="37" t="s">
        <v>835</v>
      </c>
      <c r="BT17" s="74"/>
      <c r="BU17" s="74"/>
      <c r="BX17" s="74">
        <v>185</v>
      </c>
      <c r="BY17" s="74">
        <v>510</v>
      </c>
      <c r="BZ17" s="74">
        <v>405</v>
      </c>
      <c r="CA17" s="74">
        <v>350</v>
      </c>
    </row>
    <row r="18" spans="2:79" x14ac:dyDescent="0.3">
      <c r="B18" s="14">
        <v>185</v>
      </c>
      <c r="C18" s="14">
        <v>5.96E-2</v>
      </c>
      <c r="D18" s="14">
        <v>2.2499999999999999E-2</v>
      </c>
      <c r="F18" s="14">
        <v>180</v>
      </c>
      <c r="G18" s="14">
        <v>250</v>
      </c>
      <c r="I18" s="14"/>
      <c r="J18" s="14"/>
      <c r="L18" s="16"/>
      <c r="M18" s="16"/>
      <c r="N18" s="16"/>
      <c r="O18" s="17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74"/>
      <c r="AA18" s="23"/>
      <c r="AB18" s="23"/>
      <c r="AC18" s="17"/>
      <c r="AD18" s="18"/>
      <c r="AE18" s="16"/>
      <c r="AF18" s="16"/>
      <c r="AG18" s="16"/>
      <c r="AJ18" s="13" t="str">
        <f t="shared" si="0"/>
        <v>ВВГнг(А)-LS (5х2,5) 1</v>
      </c>
      <c r="AK18" s="14" t="s">
        <v>81</v>
      </c>
      <c r="AL18" t="s">
        <v>12</v>
      </c>
      <c r="AM18">
        <v>5</v>
      </c>
      <c r="AN18">
        <v>2.5</v>
      </c>
      <c r="AO18">
        <v>1</v>
      </c>
      <c r="AU18" s="26"/>
      <c r="AV18" s="26"/>
      <c r="AW18" s="26"/>
      <c r="AY18" s="26"/>
      <c r="AZ18" s="74"/>
      <c r="BA18" s="26"/>
      <c r="BB18" s="26"/>
      <c r="BC18" s="26"/>
      <c r="BD18" s="79"/>
      <c r="BE18" s="35" t="s">
        <v>836</v>
      </c>
      <c r="BF18" s="35"/>
      <c r="BH18" s="38" t="str">
        <f>IFERROR(INDEX(Однолинейка!$A$1:$A$1000,(MATCH(14,Однолинейка!$BS$1:$BS$1000,0))),"")</f>
        <v/>
      </c>
      <c r="BI18" s="38" t="str">
        <f>IFERROR(INDEX(Однолинейка!$AW$1:$AW$1000,(MATCH(14,Однолинейка!$BS$1:$BS$1000,0))),"")</f>
        <v/>
      </c>
      <c r="BJ18" s="38" t="str">
        <f>IF(BI18="","",INDEX(Однолинейка!$AI$1:$AI$1000,(MATCH(14,Однолинейка!$BS$1:$BS$1000,0))))</f>
        <v/>
      </c>
      <c r="BK18" s="38" t="str">
        <f t="shared" si="1"/>
        <v/>
      </c>
      <c r="BL18" s="38" t="str">
        <f>IF(BI18="","",_xlfn.MAXIFS(Однолинейка!$O$3:$O$1000,Однолинейка!$AH$3:$AH$1000,BI18,Однолинейка!$A$3:$A$1000,BH18))</f>
        <v/>
      </c>
      <c r="BM18" s="38" t="str">
        <f>IF(BI18="","",COUNTIFS(Однолинейка!$AH$3:$AH$1000,BI18,Однолинейка!$A$3:$A$1000,BH18,Однолинейка!$N$3:$N$1000,"р"))</f>
        <v/>
      </c>
      <c r="BN18" s="38" t="str">
        <f t="shared" si="2"/>
        <v/>
      </c>
      <c r="BP18" s="38" t="s">
        <v>837</v>
      </c>
      <c r="BR18" s="37" t="s">
        <v>838</v>
      </c>
      <c r="BT18" s="74"/>
      <c r="BU18" s="74"/>
      <c r="BX18" s="74">
        <v>240</v>
      </c>
      <c r="BY18" s="74">
        <v>605</v>
      </c>
      <c r="BZ18" s="74"/>
      <c r="CA18" s="74"/>
    </row>
    <row r="19" spans="2:79" x14ac:dyDescent="0.3">
      <c r="B19" s="14">
        <v>240</v>
      </c>
      <c r="C19" s="14">
        <v>5.8700000000000002E-2</v>
      </c>
      <c r="D19" s="14">
        <v>2.2499999999999999E-2</v>
      </c>
      <c r="F19" s="14">
        <v>225</v>
      </c>
      <c r="G19" s="14">
        <v>315</v>
      </c>
      <c r="I19" s="14"/>
      <c r="J19" s="14"/>
      <c r="L19" s="16"/>
      <c r="M19" s="16"/>
      <c r="N19" s="16"/>
      <c r="O19" s="17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74"/>
      <c r="AA19" s="23"/>
      <c r="AB19" s="23"/>
      <c r="AC19" s="17"/>
      <c r="AD19" s="18"/>
      <c r="AE19" s="16"/>
      <c r="AF19" s="16"/>
      <c r="AG19" s="16"/>
      <c r="AJ19" s="13" t="str">
        <f t="shared" si="0"/>
        <v>ВВГнг(А)-LS (5х2,5) 2</v>
      </c>
      <c r="AK19" s="14" t="s">
        <v>82</v>
      </c>
      <c r="AL19" t="s">
        <v>12</v>
      </c>
      <c r="AM19">
        <v>5</v>
      </c>
      <c r="AN19">
        <v>2.5</v>
      </c>
      <c r="AO19">
        <v>2</v>
      </c>
      <c r="AU19" s="26"/>
      <c r="AV19" s="26"/>
      <c r="AW19" s="26"/>
      <c r="AX19" s="26"/>
      <c r="AY19" s="26"/>
      <c r="AZ19" s="74"/>
      <c r="BA19" s="26"/>
      <c r="BB19" s="26"/>
      <c r="BC19" s="26"/>
      <c r="BD19" s="79"/>
      <c r="BE19" s="37" t="s">
        <v>586</v>
      </c>
      <c r="BH19" s="38" t="str">
        <f>IFERROR(INDEX(Однолинейка!$A$1:$A$1000,(MATCH(15,Однолинейка!$BS$1:$BS$1000,0))),"")</f>
        <v/>
      </c>
      <c r="BI19" s="38" t="str">
        <f>IFERROR(INDEX(Однолинейка!$AW$1:$AW$1000,(MATCH(15,Однолинейка!$BS$1:$BS$1000,0))),"")</f>
        <v/>
      </c>
      <c r="BJ19" s="38" t="str">
        <f>IF(BI19="","",INDEX(Однолинейка!$AI$1:$AI$1000,(MATCH(15,Однолинейка!$BS$1:$BS$1000,0))))</f>
        <v/>
      </c>
      <c r="BK19" s="38" t="str">
        <f t="shared" si="1"/>
        <v/>
      </c>
      <c r="BL19" s="38" t="str">
        <f>IF(BI19="","",_xlfn.MAXIFS(Однолинейка!$O$3:$O$1000,Однолинейка!$AH$3:$AH$1000,BI19,Однолинейка!$A$3:$A$1000,BH19))</f>
        <v/>
      </c>
      <c r="BM19" s="38" t="str">
        <f>IF(BI19="","",COUNTIFS(Однолинейка!$AH$3:$AH$1000,BI19,Однолинейка!$A$3:$A$1000,BH19,Однолинейка!$N$3:$N$1000,"р"))</f>
        <v/>
      </c>
      <c r="BN19" s="38" t="str">
        <f t="shared" si="2"/>
        <v/>
      </c>
      <c r="BP19" s="38" t="s">
        <v>817</v>
      </c>
      <c r="BR19" s="37" t="s">
        <v>839</v>
      </c>
      <c r="BT19" s="74"/>
      <c r="BU19" s="74"/>
    </row>
    <row r="20" spans="2:79" x14ac:dyDescent="0.3">
      <c r="F20" s="14">
        <v>283.5</v>
      </c>
      <c r="G20" s="14">
        <v>400</v>
      </c>
      <c r="L20" s="16"/>
      <c r="M20" s="16"/>
      <c r="N20" s="16"/>
      <c r="O20" s="17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74"/>
      <c r="AA20" s="23"/>
      <c r="AB20" s="23"/>
      <c r="AC20" s="17"/>
      <c r="AD20" s="18"/>
      <c r="AE20" s="16"/>
      <c r="AF20" s="16"/>
      <c r="AG20" s="16"/>
      <c r="AJ20" s="13" t="str">
        <f t="shared" si="0"/>
        <v>ВВГнг(А)-LS (5х4) 1</v>
      </c>
      <c r="AK20" s="14" t="s">
        <v>83</v>
      </c>
      <c r="AL20" t="s">
        <v>12</v>
      </c>
      <c r="AM20">
        <v>5</v>
      </c>
      <c r="AN20">
        <v>4</v>
      </c>
      <c r="AO20">
        <v>1</v>
      </c>
      <c r="AU20" s="26"/>
      <c r="AV20" s="26"/>
      <c r="AW20" s="26"/>
      <c r="AX20" s="26"/>
      <c r="AY20" s="26"/>
      <c r="AZ20" s="74"/>
      <c r="BA20" s="26"/>
      <c r="BB20" s="26"/>
      <c r="BC20" s="26"/>
      <c r="BD20" s="79"/>
      <c r="BE20" s="37" t="s">
        <v>840</v>
      </c>
      <c r="BH20" s="38" t="str">
        <f>IFERROR(INDEX(Однолинейка!$A$1:$A$1000,(MATCH(16,Однолинейка!$BS$1:$BS$1000,0))),"")</f>
        <v/>
      </c>
      <c r="BI20" s="38" t="str">
        <f>IFERROR(INDEX(Однолинейка!$AW$1:$AW$1000,(MATCH(16,Однолинейка!$BS$1:$BS$1000,0))),"")</f>
        <v/>
      </c>
      <c r="BJ20" s="38" t="str">
        <f>IF(BI20="","",INDEX(Однолинейка!$AI$1:$AI$1000,(MATCH(16,Однолинейка!$BS$1:$BS$1000,0))))</f>
        <v/>
      </c>
      <c r="BK20" s="38" t="str">
        <f t="shared" si="1"/>
        <v/>
      </c>
      <c r="BL20" s="38" t="str">
        <f>IF(BI20="","",_xlfn.MAXIFS(Однолинейка!$O$3:$O$1000,Однолинейка!$AH$3:$AH$1000,BI20,Однолинейка!$A$3:$A$1000,BH20))</f>
        <v/>
      </c>
      <c r="BM20" s="38" t="str">
        <f>IF(BI20="","",COUNTIFS(Однолинейка!$AH$3:$AH$1000,BI20,Однолинейка!$A$3:$A$1000,BH20,Однолинейка!$N$3:$N$1000,"р"))</f>
        <v/>
      </c>
      <c r="BN20" s="38" t="str">
        <f t="shared" si="2"/>
        <v/>
      </c>
      <c r="BP20" s="38" t="s">
        <v>792</v>
      </c>
      <c r="BR20" s="37" t="s">
        <v>841</v>
      </c>
      <c r="BT20" s="74"/>
      <c r="BU20" s="74"/>
      <c r="BX20" s="37" t="s">
        <v>842</v>
      </c>
    </row>
    <row r="21" spans="2:79" x14ac:dyDescent="0.3">
      <c r="F21" s="14">
        <v>360</v>
      </c>
      <c r="G21" s="14">
        <v>500</v>
      </c>
      <c r="L21" s="16"/>
      <c r="M21" s="16"/>
      <c r="N21" s="16"/>
      <c r="O21" s="17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74"/>
      <c r="AA21" s="23"/>
      <c r="AB21" s="23"/>
      <c r="AC21" s="17"/>
      <c r="AD21" s="18"/>
      <c r="AE21" s="16"/>
      <c r="AF21" s="16"/>
      <c r="AG21" s="16"/>
      <c r="AJ21" s="13" t="str">
        <f t="shared" si="0"/>
        <v>ВВГнг(А)-LS (5х4) 2</v>
      </c>
      <c r="AK21" s="14" t="s">
        <v>84</v>
      </c>
      <c r="AL21" t="s">
        <v>12</v>
      </c>
      <c r="AM21">
        <v>5</v>
      </c>
      <c r="AN21">
        <v>4</v>
      </c>
      <c r="AO21">
        <v>2</v>
      </c>
      <c r="AU21" s="26"/>
      <c r="AY21" s="26"/>
      <c r="AZ21" s="74"/>
      <c r="BA21" s="26"/>
      <c r="BB21" s="26"/>
      <c r="BC21" s="26"/>
      <c r="BD21" s="79"/>
      <c r="BE21" s="37" t="s">
        <v>843</v>
      </c>
      <c r="BH21" s="38" t="str">
        <f>IFERROR(INDEX(Однолинейка!$A$1:$A$1000,(MATCH(17,Однолинейка!$BS$1:$BS$1000,0))),"")</f>
        <v/>
      </c>
      <c r="BI21" s="38" t="str">
        <f>IFERROR(INDEX(Однолинейка!$AW$1:$AW$1000,(MATCH(17,Однолинейка!$BS$1:$BS$1000,0))),"")</f>
        <v/>
      </c>
      <c r="BJ21" s="38" t="str">
        <f>IF(BI21="","",INDEX(Однолинейка!$AI$1:$AI$1000,(MATCH(17,Однолинейка!$BS$1:$BS$1000,0))))</f>
        <v/>
      </c>
      <c r="BK21" s="38" t="str">
        <f t="shared" si="1"/>
        <v/>
      </c>
      <c r="BL21" s="38" t="str">
        <f>IF(BI21="","",_xlfn.MAXIFS(Однолинейка!$O$3:$O$1000,Однолинейка!$AH$3:$AH$1000,BI21,Однолинейка!$A$3:$A$1000,BH21))</f>
        <v/>
      </c>
      <c r="BM21" s="38" t="str">
        <f>IF(BI21="","",COUNTIFS(Однолинейка!$AH$3:$AH$1000,BI21,Однолинейка!$A$3:$A$1000,BH21,Однолинейка!$N$3:$N$1000,"р"))</f>
        <v/>
      </c>
      <c r="BN21" s="38" t="str">
        <f t="shared" si="2"/>
        <v/>
      </c>
      <c r="BT21" s="74"/>
      <c r="BU21" s="74"/>
    </row>
    <row r="22" spans="2:79" x14ac:dyDescent="0.3">
      <c r="F22" s="14">
        <v>450</v>
      </c>
      <c r="G22" s="14">
        <v>630</v>
      </c>
      <c r="L22" s="16"/>
      <c r="M22" s="16"/>
      <c r="N22" s="16"/>
      <c r="O22" s="17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74"/>
      <c r="AA22" s="23"/>
      <c r="AB22" s="23"/>
      <c r="AC22" s="17"/>
      <c r="AD22" s="18"/>
      <c r="AE22" s="16"/>
      <c r="AF22" s="16"/>
      <c r="AG22" s="16"/>
      <c r="AJ22" s="13" t="str">
        <f t="shared" si="0"/>
        <v>ВВГнг(А)-LS (5х6) 1</v>
      </c>
      <c r="AK22" s="14" t="s">
        <v>85</v>
      </c>
      <c r="AL22" t="s">
        <v>12</v>
      </c>
      <c r="AM22">
        <v>5</v>
      </c>
      <c r="AN22">
        <v>6</v>
      </c>
      <c r="AO22">
        <v>1</v>
      </c>
      <c r="AU22" s="26"/>
      <c r="AV22" s="26"/>
      <c r="AW22" s="26"/>
      <c r="AY22" s="26"/>
      <c r="AZ22" s="74"/>
      <c r="BA22" s="26"/>
      <c r="BB22" s="26"/>
      <c r="BC22" s="26"/>
      <c r="BD22" s="79"/>
      <c r="BE22" s="37" t="s">
        <v>844</v>
      </c>
      <c r="BH22" s="38" t="str">
        <f>IFERROR(INDEX(Однолинейка!$A$1:$A$1000,(MATCH(18,Однолинейка!$BS$1:$BS$1000,0))),"")</f>
        <v/>
      </c>
      <c r="BI22" s="38" t="str">
        <f>IFERROR(INDEX(Однолинейка!$AW$1:$AW$1000,(MATCH(18,Однолинейка!$BS$1:$BS$1000,0))),"")</f>
        <v/>
      </c>
      <c r="BJ22" s="38" t="str">
        <f>IF(BI22="","",INDEX(Однолинейка!$AI$1:$AI$1000,(MATCH(18,Однолинейка!$BS$1:$BS$1000,0))))</f>
        <v/>
      </c>
      <c r="BK22" s="38" t="str">
        <f t="shared" si="1"/>
        <v/>
      </c>
      <c r="BL22" s="38" t="str">
        <f>IF(BI22="","",_xlfn.MAXIFS(Однолинейка!$O$3:$O$1000,Однолинейка!$AH$3:$AH$1000,BI22,Однолинейка!$A$3:$A$1000,BH22))</f>
        <v/>
      </c>
      <c r="BM22" s="38" t="str">
        <f>IF(BI22="","",COUNTIFS(Однолинейка!$AH$3:$AH$1000,BI22,Однолинейка!$A$3:$A$1000,BH22,Однолинейка!$N$3:$N$1000,"р"))</f>
        <v/>
      </c>
      <c r="BN22" s="38" t="str">
        <f t="shared" si="2"/>
        <v/>
      </c>
      <c r="BP22" s="35" t="s">
        <v>845</v>
      </c>
      <c r="BQ22" s="35"/>
      <c r="BT22" s="74"/>
      <c r="BU22" s="74"/>
    </row>
    <row r="23" spans="2:79" x14ac:dyDescent="0.3">
      <c r="F23" s="14">
        <v>567</v>
      </c>
      <c r="G23" s="14" t="s">
        <v>8</v>
      </c>
      <c r="L23" s="16"/>
      <c r="M23" s="16"/>
      <c r="N23" s="16"/>
      <c r="O23" s="17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74"/>
      <c r="AA23" s="23"/>
      <c r="AB23" s="23"/>
      <c r="AC23" s="17"/>
      <c r="AD23" s="18"/>
      <c r="AE23" s="16"/>
      <c r="AF23" s="16"/>
      <c r="AG23" s="16"/>
      <c r="AJ23" s="13" t="str">
        <f t="shared" si="0"/>
        <v>ВВГнг(А)-LS (5х6) 2</v>
      </c>
      <c r="AK23" s="14" t="s">
        <v>86</v>
      </c>
      <c r="AL23" t="s">
        <v>12</v>
      </c>
      <c r="AM23">
        <v>5</v>
      </c>
      <c r="AN23">
        <v>6</v>
      </c>
      <c r="AO23">
        <v>2</v>
      </c>
      <c r="AU23" s="26"/>
      <c r="AY23" s="26"/>
      <c r="AZ23" s="74"/>
      <c r="BA23" s="26"/>
      <c r="BB23" s="26"/>
      <c r="BC23" s="26"/>
      <c r="BD23" s="79"/>
      <c r="BE23" s="37" t="s">
        <v>846</v>
      </c>
      <c r="BH23" s="38" t="str">
        <f>IFERROR(INDEX(Однолинейка!$A$1:$A$1000,(MATCH(19,Однолинейка!$BS$1:$BS$1000,0))),"")</f>
        <v/>
      </c>
      <c r="BI23" s="38" t="str">
        <f>IFERROR(INDEX(Однолинейка!$AW$1:$AW$1000,(MATCH(19,Однолинейка!$BS$1:$BS$1000,0))),"")</f>
        <v/>
      </c>
      <c r="BJ23" s="38" t="str">
        <f>IF(BI23="","",INDEX(Однолинейка!$AI$1:$AI$1000,(MATCH(19,Однолинейка!$BS$1:$BS$1000,0))))</f>
        <v/>
      </c>
      <c r="BK23" s="38" t="str">
        <f t="shared" si="1"/>
        <v/>
      </c>
      <c r="BL23" s="38" t="str">
        <f>IF(BI23="","",_xlfn.MAXIFS(Однолинейка!$O$3:$O$1000,Однолинейка!$AH$3:$AH$1000,BI23,Однолинейка!$A$3:$A$1000,BH23))</f>
        <v/>
      </c>
      <c r="BM23" s="38" t="str">
        <f>IF(BI23="","",COUNTIFS(Однолинейка!$AH$3:$AH$1000,BI23,Однолинейка!$A$3:$A$1000,BH23,Однолинейка!$N$3:$N$1000,"р"))</f>
        <v/>
      </c>
      <c r="BN23" s="38" t="str">
        <f t="shared" si="2"/>
        <v/>
      </c>
      <c r="BR23" s="37" t="s">
        <v>847</v>
      </c>
      <c r="BT23" s="74"/>
      <c r="BU23" s="74"/>
    </row>
    <row r="24" spans="2:79" x14ac:dyDescent="0.3">
      <c r="L24" s="16"/>
      <c r="M24" s="16"/>
      <c r="N24" s="16"/>
      <c r="O24" s="17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74"/>
      <c r="AA24" s="23"/>
      <c r="AB24" s="23"/>
      <c r="AC24" s="17"/>
      <c r="AD24" s="18"/>
      <c r="AE24" s="16"/>
      <c r="AF24" s="16"/>
      <c r="AG24" s="16"/>
      <c r="AJ24" s="13" t="str">
        <f t="shared" si="0"/>
        <v>ВВГнг(А)-LS (5х10) 1</v>
      </c>
      <c r="AK24" s="14" t="s">
        <v>87</v>
      </c>
      <c r="AL24" t="s">
        <v>12</v>
      </c>
      <c r="AM24">
        <v>5</v>
      </c>
      <c r="AN24">
        <v>10</v>
      </c>
      <c r="AO24">
        <v>1</v>
      </c>
      <c r="AU24" s="26"/>
      <c r="AV24" s="26"/>
      <c r="AW24" s="26"/>
      <c r="AY24" s="26"/>
      <c r="AZ24" s="74"/>
      <c r="BA24" s="26"/>
      <c r="BB24" s="26"/>
      <c r="BC24" s="26"/>
      <c r="BD24" s="79"/>
      <c r="BE24" s="37" t="s">
        <v>849</v>
      </c>
      <c r="BH24" s="38" t="str">
        <f>IFERROR(INDEX(Однолинейка!$A$1:$A$1000,(MATCH(20,Однолинейка!$BS$1:$BS$1000,0))),"")</f>
        <v/>
      </c>
      <c r="BI24" s="38" t="str">
        <f>IFERROR(INDEX(Однолинейка!$AW$1:$AW$1000,(MATCH(20,Однолинейка!$BS$1:$BS$1000,0))),"")</f>
        <v/>
      </c>
      <c r="BJ24" s="38" t="str">
        <f>IF(BI24="","",INDEX(Однолинейка!$AI$1:$AI$1000,(MATCH(20,Однолинейка!$BS$1:$BS$1000,0))))</f>
        <v/>
      </c>
      <c r="BK24" s="38" t="str">
        <f t="shared" si="1"/>
        <v/>
      </c>
      <c r="BL24" s="38" t="str">
        <f>IF(BI24="","",_xlfn.MAXIFS(Однолинейка!$O$3:$O$1000,Однолинейка!$AH$3:$AH$1000,BI24,Однолинейка!$A$3:$A$1000,BH24))</f>
        <v/>
      </c>
      <c r="BM24" s="38" t="str">
        <f>IF(BI24="","",COUNTIFS(Однолинейка!$AH$3:$AH$1000,BI24,Однолинейка!$A$3:$A$1000,BH24,Однолинейка!$N$3:$N$1000,"р"))</f>
        <v/>
      </c>
      <c r="BN24" s="38" t="str">
        <f t="shared" si="2"/>
        <v/>
      </c>
      <c r="BR24" s="37" t="s">
        <v>850</v>
      </c>
      <c r="BT24" s="74"/>
      <c r="BU24" s="74"/>
    </row>
    <row r="25" spans="2:79" x14ac:dyDescent="0.3">
      <c r="L25" s="16"/>
      <c r="M25" s="16"/>
      <c r="N25" s="16"/>
      <c r="O25" s="17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74"/>
      <c r="AA25" s="23"/>
      <c r="AB25" s="23"/>
      <c r="AC25" s="17"/>
      <c r="AD25" s="18"/>
      <c r="AE25" s="16"/>
      <c r="AF25" s="16"/>
      <c r="AG25" s="16"/>
      <c r="AJ25" s="13" t="str">
        <f t="shared" si="0"/>
        <v>ВВГнг(А)-LS (5х10) 2</v>
      </c>
      <c r="AK25" s="14" t="s">
        <v>88</v>
      </c>
      <c r="AL25" t="s">
        <v>12</v>
      </c>
      <c r="AM25">
        <v>5</v>
      </c>
      <c r="AN25">
        <v>10</v>
      </c>
      <c r="AO25">
        <v>2</v>
      </c>
      <c r="AU25" s="26"/>
      <c r="AV25" s="26"/>
      <c r="AW25" s="26"/>
      <c r="AY25" s="26"/>
      <c r="AZ25" s="74"/>
      <c r="BA25" s="26"/>
      <c r="BB25" s="26"/>
      <c r="BC25" s="26"/>
      <c r="BD25" s="79"/>
      <c r="BE25" s="37" t="s">
        <v>851</v>
      </c>
      <c r="BH25" s="38" t="str">
        <f>IFERROR(INDEX(Однолинейка!$A$1:$A$1000,(MATCH(21,Однолинейка!$BS$1:$BS$1000,0))),"")</f>
        <v/>
      </c>
      <c r="BI25" s="38" t="str">
        <f>IFERROR(INDEX(Однолинейка!$AW$1:$AW$1000,(MATCH(21,Однолинейка!$BS$1:$BS$1000,0))),"")</f>
        <v/>
      </c>
      <c r="BJ25" s="38" t="str">
        <f>IF(BI25="","",INDEX(Однолинейка!$AI$1:$AI$1000,(MATCH(21,Однолинейка!$BS$1:$BS$1000,0))))</f>
        <v/>
      </c>
      <c r="BK25" s="38" t="str">
        <f t="shared" si="1"/>
        <v/>
      </c>
      <c r="BL25" s="38" t="str">
        <f>IF(BI25="","",_xlfn.MAXIFS(Однолинейка!$O$3:$O$1000,Однолинейка!$AH$3:$AH$1000,BI25,Однолинейка!$A$3:$A$1000,BH25))</f>
        <v/>
      </c>
      <c r="BM25" s="38" t="str">
        <f>IF(BI25="","",COUNTIFS(Однолинейка!$AH$3:$AH$1000,BI25,Однолинейка!$A$3:$A$1000,BH25,Однолинейка!$N$3:$N$1000,"р"))</f>
        <v/>
      </c>
      <c r="BN25" s="38" t="str">
        <f t="shared" si="2"/>
        <v/>
      </c>
      <c r="BR25" s="37" t="s">
        <v>852</v>
      </c>
      <c r="BT25" s="74"/>
      <c r="BU25" s="74"/>
    </row>
    <row r="26" spans="2:79" x14ac:dyDescent="0.3">
      <c r="L26" s="16"/>
      <c r="M26" s="16"/>
      <c r="N26" s="16"/>
      <c r="O26" s="17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74"/>
      <c r="AA26" s="23"/>
      <c r="AB26" s="23"/>
      <c r="AC26" s="17"/>
      <c r="AD26" s="17"/>
      <c r="AE26" s="17"/>
      <c r="AF26" s="17"/>
      <c r="AG26" s="17"/>
      <c r="AJ26" s="13" t="str">
        <f t="shared" si="0"/>
        <v>ВВГнг(А)-LS (5х16) 1</v>
      </c>
      <c r="AK26" s="14" t="s">
        <v>89</v>
      </c>
      <c r="AL26" t="s">
        <v>12</v>
      </c>
      <c r="AM26">
        <v>5</v>
      </c>
      <c r="AN26">
        <v>16</v>
      </c>
      <c r="AO26">
        <v>1</v>
      </c>
      <c r="AU26" s="26"/>
      <c r="AY26" s="26"/>
      <c r="AZ26" s="74"/>
      <c r="BA26" s="26"/>
      <c r="BB26" s="26"/>
      <c r="BC26" s="26"/>
      <c r="BD26" s="79"/>
      <c r="BE26" s="37" t="s">
        <v>853</v>
      </c>
      <c r="BH26" s="38" t="str">
        <f>IFERROR(INDEX(Однолинейка!$A$1:$A$1000,(MATCH(22,Однолинейка!$BS$1:$BS$1000,0))),"")</f>
        <v/>
      </c>
      <c r="BI26" s="38" t="str">
        <f>IFERROR(INDEX(Однолинейка!$AW$1:$AW$1000,(MATCH(22,Однолинейка!$BS$1:$BS$1000,0))),"")</f>
        <v/>
      </c>
      <c r="BJ26" s="38" t="str">
        <f>IF(BI26="","",INDEX(Однолинейка!$AI$1:$AI$1000,(MATCH(22,Однолинейка!$BS$1:$BS$1000,0))))</f>
        <v/>
      </c>
      <c r="BK26" s="38" t="str">
        <f t="shared" si="1"/>
        <v/>
      </c>
      <c r="BL26" s="38" t="str">
        <f>IF(BI26="","",_xlfn.MAXIFS(Однолинейка!$O$3:$O$1000,Однолинейка!$AH$3:$AH$1000,BI26,Однолинейка!$A$3:$A$1000,BH26))</f>
        <v/>
      </c>
      <c r="BM26" s="38" t="str">
        <f>IF(BI26="","",COUNTIFS(Однолинейка!$AH$3:$AH$1000,BI26,Однолинейка!$A$3:$A$1000,BH26,Однолинейка!$N$3:$N$1000,"р"))</f>
        <v/>
      </c>
      <c r="BN26" s="38" t="str">
        <f t="shared" si="2"/>
        <v/>
      </c>
      <c r="BR26" s="37" t="s">
        <v>854</v>
      </c>
      <c r="BT26" s="74"/>
      <c r="BU26" s="74"/>
    </row>
    <row r="27" spans="2:79" x14ac:dyDescent="0.3">
      <c r="L27" s="16"/>
      <c r="M27" s="16"/>
      <c r="N27" s="16"/>
      <c r="O27" s="17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74"/>
      <c r="AA27" s="23"/>
      <c r="AB27" s="23"/>
      <c r="AC27" s="17"/>
      <c r="AD27" s="17"/>
      <c r="AE27" s="17"/>
      <c r="AF27" s="17"/>
      <c r="AG27" s="17"/>
      <c r="AJ27" s="13" t="str">
        <f t="shared" si="0"/>
        <v>ВВГнг(А)-LS (5х16) 2</v>
      </c>
      <c r="AK27" s="14" t="s">
        <v>90</v>
      </c>
      <c r="AL27" t="s">
        <v>12</v>
      </c>
      <c r="AM27">
        <v>5</v>
      </c>
      <c r="AN27">
        <v>16</v>
      </c>
      <c r="AO27">
        <v>2</v>
      </c>
      <c r="AU27" s="26"/>
      <c r="AY27" s="26"/>
      <c r="AZ27" s="74"/>
      <c r="BA27" s="26"/>
      <c r="BB27" s="26"/>
      <c r="BC27" s="26"/>
      <c r="BD27" s="79"/>
      <c r="BH27" s="38" t="str">
        <f>IFERROR(INDEX(Однолинейка!$A$1:$A$1000,(MATCH(23,Однолинейка!$BS$1:$BS$1000,0))),"")</f>
        <v/>
      </c>
      <c r="BI27" s="38" t="str">
        <f>IFERROR(INDEX(Однолинейка!$AW$1:$AW$1000,(MATCH(23,Однолинейка!$BS$1:$BS$1000,0))),"")</f>
        <v/>
      </c>
      <c r="BJ27" s="38" t="str">
        <f>IF(BI27="","",INDEX(Однолинейка!$AI$1:$AI$1000,(MATCH(23,Однолинейка!$BS$1:$BS$1000,0))))</f>
        <v/>
      </c>
      <c r="BK27" s="38" t="str">
        <f t="shared" si="1"/>
        <v/>
      </c>
      <c r="BL27" s="38" t="str">
        <f>IF(BI27="","",_xlfn.MAXIFS(Однолинейка!$O$3:$O$1000,Однолинейка!$AH$3:$AH$1000,BI27,Однолинейка!$A$3:$A$1000,BH27))</f>
        <v/>
      </c>
      <c r="BM27" s="38" t="str">
        <f>IF(BI27="","",COUNTIFS(Однолинейка!$AH$3:$AH$1000,BI27,Однолинейка!$A$3:$A$1000,BH27,Однолинейка!$N$3:$N$1000,"р"))</f>
        <v/>
      </c>
      <c r="BN27" s="38" t="str">
        <f t="shared" si="2"/>
        <v/>
      </c>
      <c r="BT27" s="74"/>
      <c r="BU27" s="74"/>
    </row>
    <row r="28" spans="2:79" ht="27.6" x14ac:dyDescent="0.3">
      <c r="L28" s="16"/>
      <c r="M28" s="16"/>
      <c r="N28" s="16"/>
      <c r="O28" s="17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74"/>
      <c r="AA28" s="23"/>
      <c r="AB28" s="23"/>
      <c r="AC28" s="17"/>
      <c r="AD28" s="17"/>
      <c r="AE28" s="17"/>
      <c r="AF28" s="17"/>
      <c r="AG28" s="17"/>
      <c r="AJ28" s="13" t="str">
        <f t="shared" si="0"/>
        <v>ВВГнг(А)-LS (5х25) 1</v>
      </c>
      <c r="AK28" s="14" t="s">
        <v>91</v>
      </c>
      <c r="AL28" t="s">
        <v>12</v>
      </c>
      <c r="AM28">
        <v>5</v>
      </c>
      <c r="AN28">
        <v>25</v>
      </c>
      <c r="AO28">
        <v>1</v>
      </c>
      <c r="AU28" s="26"/>
      <c r="AY28" s="26"/>
      <c r="AZ28" s="74"/>
      <c r="BA28" s="26"/>
      <c r="BB28" s="26"/>
      <c r="BC28" s="26"/>
      <c r="BD28" s="79"/>
      <c r="BH28" s="38" t="str">
        <f>IFERROR(INDEX(Однолинейка!$A$1:$A$1000,(MATCH(24,Однолинейка!$BS$1:$BS$1000,0))),"")</f>
        <v/>
      </c>
      <c r="BI28" s="38" t="str">
        <f>IFERROR(INDEX(Однолинейка!$AW$1:$AW$1000,(MATCH(24,Однолинейка!$BS$1:$BS$1000,0))),"")</f>
        <v/>
      </c>
      <c r="BJ28" s="38" t="str">
        <f>IF(BI28="","",INDEX(Однолинейка!$AI$1:$AI$1000,(MATCH(24,Однолинейка!$BS$1:$BS$1000,0))))</f>
        <v/>
      </c>
      <c r="BK28" s="38" t="str">
        <f t="shared" si="1"/>
        <v/>
      </c>
      <c r="BL28" s="38" t="str">
        <f>IF(BI28="","",_xlfn.MAXIFS(Однолинейка!$O$3:$O$1000,Однолинейка!$AH$3:$AH$1000,BI28,Однолинейка!$A$3:$A$1000,BH28))</f>
        <v/>
      </c>
      <c r="BM28" s="38" t="str">
        <f>IF(BI28="","",COUNTIFS(Однолинейка!$AH$3:$AH$1000,BI28,Однолинейка!$A$3:$A$1000,BH28,Однолинейка!$N$3:$N$1000,"р"))</f>
        <v/>
      </c>
      <c r="BN28" s="38" t="str">
        <f t="shared" si="2"/>
        <v/>
      </c>
      <c r="BP28" s="35" t="s">
        <v>855</v>
      </c>
      <c r="BQ28" s="35"/>
      <c r="BT28" s="74"/>
      <c r="BU28" s="74"/>
    </row>
    <row r="29" spans="2:79" x14ac:dyDescent="0.3">
      <c r="L29" s="16"/>
      <c r="M29" s="16"/>
      <c r="N29" s="16"/>
      <c r="O29" s="17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74"/>
      <c r="AA29" s="23"/>
      <c r="AB29" s="23"/>
      <c r="AC29" s="17"/>
      <c r="AD29" s="17"/>
      <c r="AE29" s="17"/>
      <c r="AF29" s="17"/>
      <c r="AG29" s="17"/>
      <c r="AJ29" s="13" t="str">
        <f t="shared" si="0"/>
        <v>ВВГнг(А)-LS (5х25) 2</v>
      </c>
      <c r="AK29" s="14" t="s">
        <v>92</v>
      </c>
      <c r="AL29" t="s">
        <v>12</v>
      </c>
      <c r="AM29">
        <v>5</v>
      </c>
      <c r="AN29">
        <v>25</v>
      </c>
      <c r="AO29">
        <v>2</v>
      </c>
      <c r="AU29" s="26"/>
      <c r="AY29" s="26"/>
      <c r="AZ29" s="74"/>
      <c r="BA29" s="26"/>
      <c r="BB29" s="26"/>
      <c r="BC29" s="26"/>
      <c r="BD29" s="79"/>
      <c r="BH29" s="38" t="str">
        <f>IFERROR(INDEX(Однолинейка!$A$1:$A$1000,(MATCH(25,Однолинейка!$BS$1:$BS$1000,0))),"")</f>
        <v/>
      </c>
      <c r="BI29" s="38" t="str">
        <f>IFERROR(INDEX(Однолинейка!$AW$1:$AW$1000,(MATCH(25,Однолинейка!$BS$1:$BS$1000,0))),"")</f>
        <v/>
      </c>
      <c r="BJ29" s="38" t="str">
        <f>IF(BI29="","",INDEX(Однолинейка!$AI$1:$AI$1000,(MATCH(25,Однолинейка!$BS$1:$BS$1000,0))))</f>
        <v/>
      </c>
      <c r="BK29" s="38" t="str">
        <f t="shared" si="1"/>
        <v/>
      </c>
      <c r="BL29" s="38" t="str">
        <f>IF(BI29="","",_xlfn.MAXIFS(Однолинейка!$O$3:$O$1000,Однолинейка!$AH$3:$AH$1000,BI29,Однолинейка!$A$3:$A$1000,BH29))</f>
        <v/>
      </c>
      <c r="BM29" s="38" t="str">
        <f>IF(BI29="","",COUNTIFS(Однолинейка!$AH$3:$AH$1000,BI29,Однолинейка!$A$3:$A$1000,BH29,Однолинейка!$N$3:$N$1000,"р"))</f>
        <v/>
      </c>
      <c r="BN29" s="38" t="str">
        <f t="shared" si="2"/>
        <v/>
      </c>
      <c r="BP29" s="37" t="s">
        <v>856</v>
      </c>
      <c r="BQ29" s="74">
        <v>0.4</v>
      </c>
      <c r="BR29" s="37" t="s">
        <v>857</v>
      </c>
      <c r="BT29" s="74"/>
      <c r="BU29" s="74"/>
    </row>
    <row r="30" spans="2:79" x14ac:dyDescent="0.3">
      <c r="L30" s="16"/>
      <c r="M30" s="16"/>
      <c r="N30" s="16"/>
      <c r="O30" s="17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74"/>
      <c r="AA30" s="23"/>
      <c r="AB30" s="23"/>
      <c r="AC30" s="17"/>
      <c r="AD30" s="17"/>
      <c r="AE30" s="17"/>
      <c r="AF30" s="17"/>
      <c r="AG30" s="17"/>
      <c r="AJ30" s="13" t="str">
        <f t="shared" si="0"/>
        <v>ВВГнг(А)-LS (5х35) 1</v>
      </c>
      <c r="AK30" s="14" t="s">
        <v>93</v>
      </c>
      <c r="AL30" t="s">
        <v>12</v>
      </c>
      <c r="AM30">
        <v>5</v>
      </c>
      <c r="AN30">
        <v>35</v>
      </c>
      <c r="AO30">
        <v>1</v>
      </c>
      <c r="AU30" s="26"/>
      <c r="AV30" s="26"/>
      <c r="AW30" s="26"/>
      <c r="AX30" s="26"/>
      <c r="AY30" s="26"/>
      <c r="AZ30" s="74"/>
      <c r="BA30" s="26"/>
      <c r="BB30" s="26"/>
      <c r="BC30" s="26"/>
      <c r="BD30" s="79"/>
      <c r="BH30" s="38" t="str">
        <f>IFERROR(INDEX(Однолинейка!$A$1:$A$1000,(MATCH(26,Однолинейка!$BS$1:$BS$1000,0))),"")</f>
        <v/>
      </c>
      <c r="BI30" s="38" t="str">
        <f>IFERROR(INDEX(Однолинейка!$AW$1:$AW$1000,(MATCH(26,Однолинейка!$BS$1:$BS$1000,0))),"")</f>
        <v/>
      </c>
      <c r="BJ30" s="38" t="str">
        <f>IF(BI30="","",INDEX(Однолинейка!$AI$1:$AI$1000,(MATCH(26,Однолинейка!$BS$1:$BS$1000,0))))</f>
        <v/>
      </c>
      <c r="BK30" s="38" t="str">
        <f t="shared" si="1"/>
        <v/>
      </c>
      <c r="BL30" s="38" t="str">
        <f>IF(BI30="","",_xlfn.MAXIFS(Однолинейка!$O$3:$O$1000,Однолинейка!$AH$3:$AH$1000,BI30,Однолинейка!$A$3:$A$1000,BH30))</f>
        <v/>
      </c>
      <c r="BM30" s="38" t="str">
        <f>IF(BI30="","",COUNTIFS(Однолинейка!$AH$3:$AH$1000,BI30,Однолинейка!$A$3:$A$1000,BH30,Однолинейка!$N$3:$N$1000,"р"))</f>
        <v/>
      </c>
      <c r="BN30" s="38" t="str">
        <f t="shared" si="2"/>
        <v/>
      </c>
      <c r="BP30" s="37" t="s">
        <v>858</v>
      </c>
      <c r="BQ30" s="74">
        <v>1</v>
      </c>
      <c r="BR30" s="37" t="s">
        <v>859</v>
      </c>
      <c r="BT30" s="74"/>
      <c r="BU30" s="74"/>
    </row>
    <row r="31" spans="2:79" x14ac:dyDescent="0.3">
      <c r="L31" s="16"/>
      <c r="M31" s="16"/>
      <c r="N31" s="16"/>
      <c r="O31" s="17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74"/>
      <c r="AA31" s="23"/>
      <c r="AB31" s="23"/>
      <c r="AC31" s="17"/>
      <c r="AD31" s="17"/>
      <c r="AE31" s="17"/>
      <c r="AF31" s="17"/>
      <c r="AG31" s="17"/>
      <c r="AJ31" s="13" t="str">
        <f t="shared" si="0"/>
        <v>ВВГнг(А)-LS (5х35) 2</v>
      </c>
      <c r="AK31" s="14" t="s">
        <v>94</v>
      </c>
      <c r="AL31" t="s">
        <v>12</v>
      </c>
      <c r="AM31">
        <v>5</v>
      </c>
      <c r="AN31">
        <v>35</v>
      </c>
      <c r="AO31">
        <v>2</v>
      </c>
      <c r="AU31" s="26"/>
      <c r="AY31" s="26"/>
      <c r="AZ31" s="74"/>
      <c r="BD31" s="79"/>
      <c r="BH31" s="38" t="str">
        <f>IFERROR(INDEX(Однолинейка!$A$1:$A$1000,(MATCH(27,Однолинейка!$BS$1:$BS$1000,0))),"")</f>
        <v/>
      </c>
      <c r="BI31" s="38" t="str">
        <f>IFERROR(INDEX(Однолинейка!$AW$1:$AW$1000,(MATCH(27,Однолинейка!$BS$1:$BS$1000,0))),"")</f>
        <v/>
      </c>
      <c r="BJ31" s="38" t="str">
        <f>IF(BI31="","",INDEX(Однолинейка!$AI$1:$AI$1000,(MATCH(27,Однолинейка!$BS$1:$BS$1000,0))))</f>
        <v/>
      </c>
      <c r="BK31" s="38" t="str">
        <f t="shared" si="1"/>
        <v/>
      </c>
      <c r="BL31" s="38" t="str">
        <f>IF(BI31="","",_xlfn.MAXIFS(Однолинейка!$O$3:$O$1000,Однолинейка!$AH$3:$AH$1000,BI31,Однолинейка!$A$3:$A$1000,BH31))</f>
        <v/>
      </c>
      <c r="BM31" s="38" t="str">
        <f>IF(BI31="","",COUNTIFS(Однолинейка!$AH$3:$AH$1000,BI31,Однолинейка!$A$3:$A$1000,BH31,Однолинейка!$N$3:$N$1000,"р"))</f>
        <v/>
      </c>
      <c r="BN31" s="38" t="str">
        <f t="shared" si="2"/>
        <v/>
      </c>
      <c r="BP31" s="37"/>
      <c r="BQ31" s="74"/>
      <c r="BR31" s="37" t="s">
        <v>860</v>
      </c>
      <c r="BT31" s="74"/>
      <c r="BU31" s="74"/>
    </row>
    <row r="32" spans="2:79" x14ac:dyDescent="0.3">
      <c r="L32" s="16"/>
      <c r="M32" s="16"/>
      <c r="N32" s="16"/>
      <c r="O32" s="17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74"/>
      <c r="AA32" s="23"/>
      <c r="AB32" s="23"/>
      <c r="AC32" s="17"/>
      <c r="AD32" s="17"/>
      <c r="AE32" s="17"/>
      <c r="AF32" s="17"/>
      <c r="AG32" s="17"/>
      <c r="AJ32" s="13" t="str">
        <f t="shared" si="0"/>
        <v>ВВГнг(А)-LS (5х50) 1</v>
      </c>
      <c r="AK32" s="14" t="s">
        <v>95</v>
      </c>
      <c r="AL32" t="s">
        <v>12</v>
      </c>
      <c r="AM32">
        <v>5</v>
      </c>
      <c r="AN32">
        <v>50</v>
      </c>
      <c r="AO32">
        <v>1</v>
      </c>
      <c r="AU32" s="26"/>
      <c r="AV32" s="26"/>
      <c r="AW32" s="26"/>
      <c r="AY32" s="26"/>
      <c r="AZ32" s="74"/>
      <c r="BA32" s="26" t="s">
        <v>861</v>
      </c>
      <c r="BD32" s="79"/>
      <c r="BH32" s="38" t="str">
        <f>IFERROR(INDEX(Однолинейка!$A$1:$A$1000,(MATCH(28,Однолинейка!$BS$1:$BS$1000,0))),"")</f>
        <v/>
      </c>
      <c r="BI32" s="38" t="str">
        <f>IFERROR(INDEX(Однолинейка!$AW$1:$AW$1000,(MATCH(28,Однолинейка!$BS$1:$BS$1000,0))),"")</f>
        <v/>
      </c>
      <c r="BJ32" s="38" t="str">
        <f>IF(BI32="","",INDEX(Однолинейка!$AI$1:$AI$1000,(MATCH(28,Однолинейка!$BS$1:$BS$1000,0))))</f>
        <v/>
      </c>
      <c r="BK32" s="38" t="str">
        <f t="shared" si="1"/>
        <v/>
      </c>
      <c r="BL32" s="38" t="str">
        <f>IF(BI32="","",_xlfn.MAXIFS(Однолинейка!$O$3:$O$1000,Однолинейка!$AH$3:$AH$1000,BI32,Однолинейка!$A$3:$A$1000,BH32))</f>
        <v/>
      </c>
      <c r="BM32" s="38" t="str">
        <f>IF(BI32="","",COUNTIFS(Однолинейка!$AH$3:$AH$1000,BI32,Однолинейка!$A$3:$A$1000,BH32,Однолинейка!$N$3:$N$1000,"р"))</f>
        <v/>
      </c>
      <c r="BN32" s="38" t="str">
        <f t="shared" si="2"/>
        <v/>
      </c>
      <c r="BT32" s="74"/>
      <c r="BU32" s="74"/>
    </row>
    <row r="33" spans="12:73" x14ac:dyDescent="0.3">
      <c r="L33" s="16"/>
      <c r="M33" s="16"/>
      <c r="N33" s="16"/>
      <c r="O33" s="17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74"/>
      <c r="AA33" s="23"/>
      <c r="AB33" s="23"/>
      <c r="AC33" s="17"/>
      <c r="AD33" s="17"/>
      <c r="AE33" s="17"/>
      <c r="AF33" s="17"/>
      <c r="AG33" s="17"/>
      <c r="AJ33" s="13" t="str">
        <f t="shared" si="0"/>
        <v>ВВГнг(А)-LS (5х50) 2</v>
      </c>
      <c r="AK33" s="14" t="s">
        <v>96</v>
      </c>
      <c r="AL33" t="s">
        <v>12</v>
      </c>
      <c r="AM33">
        <v>5</v>
      </c>
      <c r="AN33">
        <v>50</v>
      </c>
      <c r="AO33">
        <v>2</v>
      </c>
      <c r="AU33" s="26"/>
      <c r="AV33" s="26"/>
      <c r="AW33" s="26"/>
      <c r="AX33" s="26"/>
      <c r="AY33" s="26"/>
      <c r="AZ33" s="74"/>
      <c r="BD33" s="79"/>
      <c r="BH33" s="38" t="str">
        <f>IFERROR(INDEX(Однолинейка!$A$1:$A$1000,(MATCH(29,Однолинейка!$BS$1:$BS$1000,0))),"")</f>
        <v/>
      </c>
      <c r="BI33" s="38" t="str">
        <f>IFERROR(INDEX(Однолинейка!$AW$1:$AW$1000,(MATCH(29,Однолинейка!$BS$1:$BS$1000,0))),"")</f>
        <v/>
      </c>
      <c r="BJ33" s="38" t="str">
        <f>IF(BI33="","",INDEX(Однолинейка!$AI$1:$AI$1000,(MATCH(29,Однолинейка!$BS$1:$BS$1000,0))))</f>
        <v/>
      </c>
      <c r="BK33" s="38" t="str">
        <f t="shared" si="1"/>
        <v/>
      </c>
      <c r="BL33" s="38" t="str">
        <f>IF(BI33="","",_xlfn.MAXIFS(Однолинейка!$O$3:$O$1000,Однолинейка!$AH$3:$AH$1000,BI33,Однолинейка!$A$3:$A$1000,BH33))</f>
        <v/>
      </c>
      <c r="BM33" s="38" t="str">
        <f>IF(BI33="","",COUNTIFS(Однолинейка!$AH$3:$AH$1000,BI33,Однолинейка!$A$3:$A$1000,BH33,Однолинейка!$N$3:$N$1000,"р"))</f>
        <v/>
      </c>
      <c r="BN33" s="38" t="str">
        <f t="shared" si="2"/>
        <v/>
      </c>
      <c r="BT33" s="74"/>
      <c r="BU33" s="74"/>
    </row>
    <row r="34" spans="12:73" x14ac:dyDescent="0.3">
      <c r="L34" s="16"/>
      <c r="M34" s="16"/>
      <c r="N34" s="16"/>
      <c r="O34" s="17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74"/>
      <c r="AA34" s="23"/>
      <c r="AB34" s="23"/>
      <c r="AC34" s="17"/>
      <c r="AD34" s="17"/>
      <c r="AE34" s="17"/>
      <c r="AF34" s="17"/>
      <c r="AG34" s="17"/>
      <c r="AJ34" s="13" t="str">
        <f t="shared" si="0"/>
        <v>ВВГнг(А)-LS (5х95) 1</v>
      </c>
      <c r="AK34" s="14" t="s">
        <v>97</v>
      </c>
      <c r="AL34" t="s">
        <v>12</v>
      </c>
      <c r="AM34">
        <v>5</v>
      </c>
      <c r="AN34">
        <v>95</v>
      </c>
      <c r="AO34">
        <v>1</v>
      </c>
      <c r="AU34" s="26"/>
      <c r="AV34" s="26"/>
      <c r="AW34" s="26"/>
      <c r="AY34" s="26"/>
      <c r="AZ34" s="74"/>
      <c r="BD34" s="79"/>
      <c r="BH34" s="38" t="str">
        <f>IFERROR(INDEX(Однолинейка!$A$1:$A$1000,(MATCH(30,Однолинейка!$BS$1:$BS$1000,0))),"")</f>
        <v/>
      </c>
      <c r="BI34" s="38" t="str">
        <f>IFERROR(INDEX(Однолинейка!$AW$1:$AW$1000,(MATCH(30,Однолинейка!$BS$1:$BS$1000,0))),"")</f>
        <v/>
      </c>
      <c r="BJ34" s="38" t="str">
        <f>IF(BI34="","",INDEX(Однолинейка!$AI$1:$AI$1000,(MATCH(30,Однолинейка!$BS$1:$BS$1000,0))))</f>
        <v/>
      </c>
      <c r="BK34" s="38" t="str">
        <f t="shared" si="1"/>
        <v/>
      </c>
      <c r="BL34" s="38" t="str">
        <f>IF(BI34="","",_xlfn.MAXIFS(Однолинейка!$O$3:$O$1000,Однолинейка!$AH$3:$AH$1000,BI34,Однолинейка!$A$3:$A$1000,BH34))</f>
        <v/>
      </c>
      <c r="BM34" s="38" t="str">
        <f>IF(BI34="","",COUNTIFS(Однолинейка!$AH$3:$AH$1000,BI34,Однолинейка!$A$3:$A$1000,BH34,Однолинейка!$N$3:$N$1000,"р"))</f>
        <v/>
      </c>
      <c r="BN34" s="38" t="str">
        <f t="shared" si="2"/>
        <v/>
      </c>
    </row>
    <row r="35" spans="12:73" x14ac:dyDescent="0.3">
      <c r="L35" s="16"/>
      <c r="M35" s="16"/>
      <c r="N35" s="16"/>
      <c r="O35" s="17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74"/>
      <c r="AA35" s="23"/>
      <c r="AB35" s="23"/>
      <c r="AC35" s="17"/>
      <c r="AD35" s="17"/>
      <c r="AE35" s="17"/>
      <c r="AF35" s="17"/>
      <c r="AG35" s="17"/>
      <c r="AJ35" s="13" t="str">
        <f t="shared" si="0"/>
        <v>ВВГнг(А)-LS (5х95) 2</v>
      </c>
      <c r="AK35" s="14" t="s">
        <v>98</v>
      </c>
      <c r="AL35" t="s">
        <v>12</v>
      </c>
      <c r="AM35">
        <v>5</v>
      </c>
      <c r="AN35">
        <v>95</v>
      </c>
      <c r="AO35">
        <v>2</v>
      </c>
      <c r="AU35" s="26"/>
      <c r="AY35" s="26"/>
      <c r="AZ35" s="74"/>
      <c r="BD35" s="79"/>
      <c r="BH35" s="38" t="str">
        <f>IFERROR(INDEX(Однолинейка!$A$1:$A$1000,(MATCH(31,Однолинейка!$BS$1:$BS$1000,0))),"")</f>
        <v/>
      </c>
      <c r="BI35" s="38" t="str">
        <f>IFERROR(INDEX(Однолинейка!$AW$1:$AW$1000,(MATCH(31,Однолинейка!$BS$1:$BS$1000,0))),"")</f>
        <v/>
      </c>
      <c r="BJ35" s="38" t="str">
        <f>IF(BI35="","",INDEX(Однолинейка!$AI$1:$AI$1000,(MATCH(31,Однолинейка!$BS$1:$BS$1000,0))))</f>
        <v/>
      </c>
      <c r="BK35" s="38" t="str">
        <f t="shared" si="1"/>
        <v/>
      </c>
      <c r="BL35" s="38" t="str">
        <f>IF(BI35="","",_xlfn.MAXIFS(Однолинейка!$O$3:$O$1000,Однолинейка!$AH$3:$AH$1000,BI35,Однолинейка!$A$3:$A$1000,BH35))</f>
        <v/>
      </c>
      <c r="BM35" s="38" t="str">
        <f>IF(BI35="","",COUNTIFS(Однолинейка!$AH$3:$AH$1000,BI35,Однолинейка!$A$3:$A$1000,BH35,Однолинейка!$N$3:$N$1000,"р"))</f>
        <v/>
      </c>
      <c r="BN35" s="38" t="str">
        <f t="shared" si="2"/>
        <v/>
      </c>
    </row>
    <row r="36" spans="12:73" x14ac:dyDescent="0.3">
      <c r="L36" s="16"/>
      <c r="M36" s="16"/>
      <c r="N36" s="16"/>
      <c r="O36" s="17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74"/>
      <c r="AA36" s="23"/>
      <c r="AB36" s="23"/>
      <c r="AC36" s="17"/>
      <c r="AD36" s="17"/>
      <c r="AE36" s="17"/>
      <c r="AF36" s="17"/>
      <c r="AG36" s="17"/>
      <c r="AJ36" s="13" t="str">
        <f t="shared" si="0"/>
        <v>ВВГнг(А)-LS (5х120) 1</v>
      </c>
      <c r="AK36" s="14" t="s">
        <v>99</v>
      </c>
      <c r="AL36" t="s">
        <v>12</v>
      </c>
      <c r="AM36">
        <v>5</v>
      </c>
      <c r="AN36">
        <v>120</v>
      </c>
      <c r="AO36">
        <v>1</v>
      </c>
      <c r="AU36" s="26"/>
      <c r="AY36" s="26"/>
      <c r="AZ36" s="74"/>
      <c r="BD36" s="79"/>
      <c r="BH36" s="38" t="str">
        <f>IFERROR(INDEX(Однолинейка!$A$1:$A$1000,(MATCH(32,Однолинейка!$BS$1:$BS$1000,0))),"")</f>
        <v/>
      </c>
      <c r="BI36" s="38" t="str">
        <f>IFERROR(INDEX(Однолинейка!$AW$1:$AW$1000,(MATCH(32,Однолинейка!$BS$1:$BS$1000,0))),"")</f>
        <v/>
      </c>
      <c r="BJ36" s="38" t="str">
        <f>IF(BI36="","",INDEX(Однолинейка!$AI$1:$AI$1000,(MATCH(32,Однолинейка!$BS$1:$BS$1000,0))))</f>
        <v/>
      </c>
      <c r="BK36" s="38" t="str">
        <f t="shared" si="1"/>
        <v/>
      </c>
      <c r="BL36" s="38" t="str">
        <f>IF(BI36="","",_xlfn.MAXIFS(Однолинейка!$O$3:$O$1000,Однолинейка!$AH$3:$AH$1000,BI36,Однолинейка!$A$3:$A$1000,BH36))</f>
        <v/>
      </c>
      <c r="BM36" s="38" t="str">
        <f>IF(BI36="","",COUNTIFS(Однолинейка!$AH$3:$AH$1000,BI36,Однолинейка!$A$3:$A$1000,BH36,Однолинейка!$N$3:$N$1000,"р"))</f>
        <v/>
      </c>
      <c r="BN36" s="38" t="str">
        <f t="shared" si="2"/>
        <v/>
      </c>
    </row>
    <row r="37" spans="12:73" x14ac:dyDescent="0.3">
      <c r="L37" s="16"/>
      <c r="M37" s="16"/>
      <c r="N37" s="16"/>
      <c r="O37" s="17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74"/>
      <c r="AA37" s="23"/>
      <c r="AB37" s="23"/>
      <c r="AC37" s="17"/>
      <c r="AD37" s="17"/>
      <c r="AE37" s="17"/>
      <c r="AF37" s="17"/>
      <c r="AG37" s="17"/>
      <c r="AJ37" s="13" t="str">
        <f t="shared" si="0"/>
        <v>ВВГнг(А)-LS (5х120) 2</v>
      </c>
      <c r="AK37" s="14" t="s">
        <v>100</v>
      </c>
      <c r="AL37" t="s">
        <v>12</v>
      </c>
      <c r="AM37">
        <v>5</v>
      </c>
      <c r="AN37">
        <v>120</v>
      </c>
      <c r="AO37">
        <v>2</v>
      </c>
      <c r="AU37" s="26"/>
      <c r="AY37" s="26"/>
      <c r="AZ37" s="74"/>
      <c r="BD37" s="79"/>
      <c r="BH37" s="38" t="str">
        <f>IFERROR(INDEX(Однолинейка!$A$1:$A$1000,(MATCH(33,Однолинейка!$BS$1:$BS$1000,0))),"")</f>
        <v/>
      </c>
      <c r="BI37" s="38" t="str">
        <f>IFERROR(INDEX(Однолинейка!$AW$1:$AW$1000,(MATCH(33,Однолинейка!$BS$1:$BS$1000,0))),"")</f>
        <v/>
      </c>
      <c r="BJ37" s="38" t="str">
        <f>IF(BI37="","",INDEX(Однолинейка!$AI$1:$AI$1000,(MATCH(33,Однолинейка!$BS$1:$BS$1000,0))))</f>
        <v/>
      </c>
      <c r="BK37" s="38" t="str">
        <f t="shared" si="1"/>
        <v/>
      </c>
      <c r="BL37" s="38" t="str">
        <f>IF(BI37="","",_xlfn.MAXIFS(Однолинейка!$O$3:$O$1000,Однолинейка!$AH$3:$AH$1000,BI37,Однолинейка!$A$3:$A$1000,BH37))</f>
        <v/>
      </c>
      <c r="BM37" s="38" t="str">
        <f>IF(BI37="","",COUNTIFS(Однолинейка!$AH$3:$AH$1000,BI37,Однолинейка!$A$3:$A$1000,BH37,Однолинейка!$N$3:$N$1000,"р"))</f>
        <v/>
      </c>
      <c r="BN37" s="38" t="str">
        <f t="shared" si="2"/>
        <v/>
      </c>
    </row>
    <row r="38" spans="12:73" x14ac:dyDescent="0.3">
      <c r="L38" s="16"/>
      <c r="M38" s="16"/>
      <c r="N38" s="16"/>
      <c r="O38" s="17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74"/>
      <c r="AA38" s="23"/>
      <c r="AB38" s="23"/>
      <c r="AC38" s="17"/>
      <c r="AD38" s="17"/>
      <c r="AE38" s="17"/>
      <c r="AF38" s="17"/>
      <c r="AG38" s="17"/>
      <c r="AJ38" s="13" t="str">
        <f t="shared" si="0"/>
        <v>ВВГнг(А)-LS (5х95) 1</v>
      </c>
      <c r="AK38" s="14" t="s">
        <v>101</v>
      </c>
      <c r="AL38" t="s">
        <v>12</v>
      </c>
      <c r="AM38">
        <v>5</v>
      </c>
      <c r="AN38">
        <v>95</v>
      </c>
      <c r="AO38">
        <v>1</v>
      </c>
      <c r="AU38" s="26"/>
      <c r="AY38" s="26"/>
      <c r="AZ38" s="74"/>
      <c r="BD38" s="79"/>
      <c r="BH38" s="38" t="str">
        <f>IFERROR(INDEX(Однолинейка!$A$1:$A$1000,(MATCH(34,Однолинейка!$BS$1:$BS$1000,0))),"")</f>
        <v/>
      </c>
      <c r="BI38" s="38" t="str">
        <f>IFERROR(INDEX(Однолинейка!$AW$1:$AW$1000,(MATCH(34,Однолинейка!$BS$1:$BS$1000,0))),"")</f>
        <v/>
      </c>
      <c r="BJ38" s="38" t="str">
        <f>IF(BI38="","",INDEX(Однолинейка!$AI$1:$AI$1000,(MATCH(34,Однолинейка!$BS$1:$BS$1000,0))))</f>
        <v/>
      </c>
      <c r="BK38" s="38" t="str">
        <f t="shared" si="1"/>
        <v/>
      </c>
      <c r="BL38" s="38" t="str">
        <f>IF(BI38="","",_xlfn.MAXIFS(Однолинейка!$O$3:$O$1000,Однолинейка!$AH$3:$AH$1000,BI38,Однолинейка!$A$3:$A$1000,BH38))</f>
        <v/>
      </c>
      <c r="BM38" s="38" t="str">
        <f>IF(BI38="","",COUNTIFS(Однолинейка!$AH$3:$AH$1000,BI38,Однолинейка!$A$3:$A$1000,BH38,Однолинейка!$N$3:$N$1000,"р"))</f>
        <v/>
      </c>
      <c r="BN38" s="38" t="str">
        <f t="shared" si="2"/>
        <v/>
      </c>
    </row>
    <row r="39" spans="12:73" x14ac:dyDescent="0.3">
      <c r="L39" s="16"/>
      <c r="M39" s="16"/>
      <c r="N39" s="16"/>
      <c r="O39" s="17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74"/>
      <c r="AA39" s="23"/>
      <c r="AB39" s="23"/>
      <c r="AC39" s="17"/>
      <c r="AD39" s="17"/>
      <c r="AE39" s="17"/>
      <c r="AF39" s="17"/>
      <c r="AG39" s="17"/>
      <c r="AJ39" s="13" t="str">
        <f t="shared" si="0"/>
        <v>ВВГнг(А)-LS (5х95) 2</v>
      </c>
      <c r="AK39" s="14" t="s">
        <v>102</v>
      </c>
      <c r="AL39" t="s">
        <v>12</v>
      </c>
      <c r="AM39">
        <v>5</v>
      </c>
      <c r="AN39">
        <v>95</v>
      </c>
      <c r="AO39">
        <v>2</v>
      </c>
      <c r="AU39" s="26"/>
      <c r="AY39" s="26"/>
      <c r="AZ39" s="74"/>
      <c r="BD39" s="79"/>
      <c r="BH39" s="38" t="str">
        <f>IFERROR(INDEX(Однолинейка!$A$1:$A$1000,(MATCH(35,Однолинейка!$BS$1:$BS$1000,0))),"")</f>
        <v/>
      </c>
      <c r="BI39" s="38" t="str">
        <f>IFERROR(INDEX(Однолинейка!$AW$1:$AW$1000,(MATCH(35,Однолинейка!$BS$1:$BS$1000,0))),"")</f>
        <v/>
      </c>
      <c r="BJ39" s="38" t="str">
        <f>IF(BI39="","",INDEX(Однолинейка!$AI$1:$AI$1000,(MATCH(35,Однолинейка!$BS$1:$BS$1000,0))))</f>
        <v/>
      </c>
      <c r="BK39" s="38" t="str">
        <f t="shared" si="1"/>
        <v/>
      </c>
      <c r="BL39" s="38" t="str">
        <f>IF(BI39="","",_xlfn.MAXIFS(Однолинейка!$O$3:$O$1000,Однолинейка!$AH$3:$AH$1000,BI39,Однолинейка!$A$3:$A$1000,BH39))</f>
        <v/>
      </c>
      <c r="BM39" s="38" t="str">
        <f>IF(BI39="","",COUNTIFS(Однолинейка!$AH$3:$AH$1000,BI39,Однолинейка!$A$3:$A$1000,BH39,Однолинейка!$N$3:$N$1000,"р"))</f>
        <v/>
      </c>
      <c r="BN39" s="38" t="str">
        <f t="shared" si="2"/>
        <v/>
      </c>
    </row>
    <row r="40" spans="12:73" x14ac:dyDescent="0.3">
      <c r="L40" s="16"/>
      <c r="M40" s="16"/>
      <c r="N40" s="16"/>
      <c r="O40" s="17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74"/>
      <c r="AA40" s="23"/>
      <c r="AB40" s="23"/>
      <c r="AC40" s="17"/>
      <c r="AD40" s="17"/>
      <c r="AE40" s="17"/>
      <c r="AF40" s="17"/>
      <c r="AG40" s="17"/>
      <c r="AJ40" s="13" t="str">
        <f t="shared" si="0"/>
        <v>ВВГнг(А)-LS (5х120) 1</v>
      </c>
      <c r="AK40" s="14" t="s">
        <v>103</v>
      </c>
      <c r="AL40" t="s">
        <v>12</v>
      </c>
      <c r="AM40">
        <v>5</v>
      </c>
      <c r="AN40">
        <v>120</v>
      </c>
      <c r="AO40">
        <v>1</v>
      </c>
      <c r="AU40" s="26"/>
      <c r="AY40" s="26"/>
      <c r="AZ40" s="74"/>
      <c r="BD40" s="79"/>
    </row>
    <row r="41" spans="12:73" ht="55.2" x14ac:dyDescent="0.3">
      <c r="L41" s="16"/>
      <c r="M41" s="16"/>
      <c r="N41" s="16"/>
      <c r="O41" s="17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74"/>
      <c r="AA41" s="23"/>
      <c r="AB41" s="23"/>
      <c r="AC41" s="17"/>
      <c r="AD41" s="17"/>
      <c r="AE41" s="17"/>
      <c r="AF41" s="17"/>
      <c r="AG41" s="17"/>
      <c r="AJ41" s="13" t="str">
        <f t="shared" si="0"/>
        <v>ВВГнг(А)-LS (5х120) 2</v>
      </c>
      <c r="AK41" s="14" t="s">
        <v>104</v>
      </c>
      <c r="AL41" t="s">
        <v>12</v>
      </c>
      <c r="AM41">
        <v>5</v>
      </c>
      <c r="AN41">
        <v>120</v>
      </c>
      <c r="AO41">
        <v>2</v>
      </c>
      <c r="AU41" s="26"/>
      <c r="AY41" s="26"/>
      <c r="AZ41" s="74"/>
      <c r="BD41" s="79"/>
      <c r="BH41" s="35" t="s">
        <v>862</v>
      </c>
      <c r="BI41" s="35"/>
      <c r="BJ41" s="35"/>
      <c r="BK41" s="35"/>
      <c r="BL41" s="35"/>
      <c r="BM41" s="35"/>
      <c r="BN41" s="35">
        <f>SUM(BN5:BN39)</f>
        <v>14</v>
      </c>
    </row>
    <row r="42" spans="12:73" x14ac:dyDescent="0.3">
      <c r="L42" s="16"/>
      <c r="M42" s="16"/>
      <c r="N42" s="16"/>
      <c r="O42" s="17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74"/>
      <c r="AA42" s="23"/>
      <c r="AB42" s="23"/>
      <c r="AC42" s="17"/>
      <c r="AD42" s="17"/>
      <c r="AE42" s="17"/>
      <c r="AF42" s="17"/>
      <c r="AG42" s="17"/>
      <c r="AJ42" s="13" t="str">
        <f t="shared" si="0"/>
        <v>ВБШВнг(А)-LS (5х10) 1</v>
      </c>
      <c r="AK42" s="14" t="s">
        <v>142</v>
      </c>
      <c r="AL42" t="s">
        <v>153</v>
      </c>
      <c r="AM42">
        <v>5</v>
      </c>
      <c r="AN42">
        <v>10</v>
      </c>
      <c r="AO42">
        <v>1</v>
      </c>
      <c r="AU42" s="26"/>
      <c r="AY42" s="26"/>
      <c r="AZ42" s="74"/>
      <c r="BD42" s="79"/>
    </row>
    <row r="43" spans="12:73" x14ac:dyDescent="0.3">
      <c r="L43" s="16"/>
      <c r="M43" s="16"/>
      <c r="N43" s="16"/>
      <c r="O43" s="17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74"/>
      <c r="AA43" s="23"/>
      <c r="AB43" s="23"/>
      <c r="AC43" s="17"/>
      <c r="AD43" s="17"/>
      <c r="AE43" s="17"/>
      <c r="AF43" s="17"/>
      <c r="AG43" s="17"/>
      <c r="AJ43" s="13" t="str">
        <f t="shared" si="0"/>
        <v>ВБШВнг(А)-LS (5х10) 2</v>
      </c>
      <c r="AK43" s="14" t="s">
        <v>105</v>
      </c>
      <c r="AL43" t="s">
        <v>153</v>
      </c>
      <c r="AM43">
        <v>5</v>
      </c>
      <c r="AN43">
        <v>10</v>
      </c>
      <c r="AO43">
        <v>2</v>
      </c>
      <c r="AU43" s="26"/>
      <c r="AY43" s="26"/>
      <c r="AZ43" s="74"/>
      <c r="BD43" s="79"/>
    </row>
    <row r="44" spans="12:73" x14ac:dyDescent="0.3">
      <c r="L44" s="16"/>
      <c r="M44" s="16"/>
      <c r="N44" s="16"/>
      <c r="O44" s="17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74"/>
      <c r="AA44" s="23"/>
      <c r="AB44" s="23"/>
      <c r="AC44" s="17"/>
      <c r="AD44" s="17"/>
      <c r="AE44" s="17"/>
      <c r="AF44" s="17"/>
      <c r="AG44" s="17"/>
      <c r="AJ44" s="13" t="str">
        <f t="shared" si="0"/>
        <v>ВБШВнг(А)-LS (5х16) 1</v>
      </c>
      <c r="AK44" s="14" t="s">
        <v>106</v>
      </c>
      <c r="AL44" t="s">
        <v>153</v>
      </c>
      <c r="AM44">
        <v>5</v>
      </c>
      <c r="AN44">
        <v>16</v>
      </c>
      <c r="AO44">
        <v>1</v>
      </c>
      <c r="AU44" s="26"/>
      <c r="AY44" s="26"/>
      <c r="AZ44" s="74"/>
      <c r="BD44" s="79"/>
    </row>
    <row r="45" spans="12:73" x14ac:dyDescent="0.3">
      <c r="L45" s="16"/>
      <c r="M45" s="16"/>
      <c r="N45" s="16"/>
      <c r="O45" s="17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74"/>
      <c r="AA45" s="23"/>
      <c r="AB45" s="23"/>
      <c r="AC45" s="17"/>
      <c r="AD45" s="17"/>
      <c r="AE45" s="17"/>
      <c r="AF45" s="17"/>
      <c r="AG45" s="17"/>
      <c r="AJ45" s="13" t="str">
        <f t="shared" si="0"/>
        <v>ВБШВнг(А)-LS (5х16) 2</v>
      </c>
      <c r="AK45" s="14" t="s">
        <v>107</v>
      </c>
      <c r="AL45" t="s">
        <v>153</v>
      </c>
      <c r="AM45">
        <v>5</v>
      </c>
      <c r="AN45">
        <v>16</v>
      </c>
      <c r="AO45">
        <v>2</v>
      </c>
      <c r="AU45" s="26"/>
      <c r="AY45" s="26"/>
      <c r="AZ45" s="74"/>
      <c r="BD45" s="79"/>
    </row>
    <row r="46" spans="12:73" x14ac:dyDescent="0.3">
      <c r="L46" s="16"/>
      <c r="M46" s="16"/>
      <c r="N46" s="16"/>
      <c r="O46" s="17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74"/>
      <c r="AA46" s="23"/>
      <c r="AB46" s="23"/>
      <c r="AC46" s="17"/>
      <c r="AD46" s="17"/>
      <c r="AE46" s="17"/>
      <c r="AF46" s="17"/>
      <c r="AG46" s="17"/>
      <c r="AJ46" s="13" t="str">
        <f t="shared" si="0"/>
        <v>ВБШВнг(А)-LS (5х25) 1</v>
      </c>
      <c r="AK46" s="14" t="s">
        <v>108</v>
      </c>
      <c r="AL46" t="s">
        <v>153</v>
      </c>
      <c r="AM46">
        <v>5</v>
      </c>
      <c r="AN46">
        <v>25</v>
      </c>
      <c r="AO46">
        <v>1</v>
      </c>
      <c r="AU46" s="26"/>
      <c r="AY46" s="26"/>
      <c r="AZ46" s="74"/>
      <c r="BD46" s="79"/>
    </row>
    <row r="47" spans="12:73" x14ac:dyDescent="0.3">
      <c r="L47" s="16"/>
      <c r="M47" s="16"/>
      <c r="N47" s="16"/>
      <c r="O47" s="17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74"/>
      <c r="AA47" s="23"/>
      <c r="AB47" s="23"/>
      <c r="AC47" s="17"/>
      <c r="AD47" s="17"/>
      <c r="AE47" s="17"/>
      <c r="AF47" s="17"/>
      <c r="AG47" s="17"/>
      <c r="AJ47" s="13" t="str">
        <f t="shared" si="0"/>
        <v>ВБШВнг(А)-LS (5х25) 2</v>
      </c>
      <c r="AK47" s="14" t="s">
        <v>109</v>
      </c>
      <c r="AL47" t="s">
        <v>153</v>
      </c>
      <c r="AM47">
        <v>5</v>
      </c>
      <c r="AN47">
        <v>25</v>
      </c>
      <c r="AO47">
        <v>2</v>
      </c>
      <c r="AU47" s="26"/>
      <c r="AY47" s="26"/>
      <c r="AZ47" s="74"/>
      <c r="BD47" s="79"/>
    </row>
    <row r="48" spans="12:73" x14ac:dyDescent="0.3">
      <c r="L48" s="16"/>
      <c r="M48" s="16"/>
      <c r="N48" s="16"/>
      <c r="O48" s="17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74"/>
      <c r="AA48" s="23"/>
      <c r="AB48" s="23"/>
      <c r="AC48" s="17"/>
      <c r="AD48" s="17"/>
      <c r="AE48" s="17"/>
      <c r="AF48" s="17"/>
      <c r="AG48" s="17"/>
      <c r="AJ48" s="13" t="str">
        <f t="shared" si="0"/>
        <v>ВБШВнг(А)-LS (5х35) 1</v>
      </c>
      <c r="AK48" s="14" t="s">
        <v>110</v>
      </c>
      <c r="AL48" t="s">
        <v>153</v>
      </c>
      <c r="AM48">
        <v>5</v>
      </c>
      <c r="AN48">
        <v>35</v>
      </c>
      <c r="AO48">
        <v>1</v>
      </c>
      <c r="AU48" s="26"/>
      <c r="AY48" s="26"/>
      <c r="AZ48" s="74"/>
      <c r="BD48" s="79"/>
    </row>
    <row r="49" spans="12:56" x14ac:dyDescent="0.3">
      <c r="L49" s="16"/>
      <c r="M49" s="16"/>
      <c r="N49" s="16"/>
      <c r="O49" s="17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74"/>
      <c r="AA49" s="23"/>
      <c r="AB49" s="23"/>
      <c r="AC49" s="17"/>
      <c r="AD49" s="17"/>
      <c r="AE49" s="17"/>
      <c r="AF49" s="17"/>
      <c r="AG49" s="17"/>
      <c r="AJ49" s="13" t="str">
        <f t="shared" si="0"/>
        <v>ВБШВнг(А)-LS (5х35) 2</v>
      </c>
      <c r="AK49" s="14" t="s">
        <v>111</v>
      </c>
      <c r="AL49" t="s">
        <v>153</v>
      </c>
      <c r="AM49">
        <v>5</v>
      </c>
      <c r="AN49">
        <v>35</v>
      </c>
      <c r="AO49">
        <v>2</v>
      </c>
      <c r="AU49" s="26"/>
      <c r="AY49" s="26"/>
      <c r="AZ49" s="74"/>
      <c r="BD49" s="79"/>
    </row>
    <row r="50" spans="12:56" x14ac:dyDescent="0.3">
      <c r="L50" s="16"/>
      <c r="M50" s="16"/>
      <c r="N50" s="16"/>
      <c r="O50" s="17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74"/>
      <c r="AA50" s="23"/>
      <c r="AB50" s="23"/>
      <c r="AC50" s="17"/>
      <c r="AD50" s="17"/>
      <c r="AE50" s="17"/>
      <c r="AF50" s="17"/>
      <c r="AG50" s="17"/>
      <c r="AJ50" s="13" t="str">
        <f t="shared" si="0"/>
        <v>ВБШВнг(А)-LS (5х50) 1</v>
      </c>
      <c r="AK50" s="14" t="s">
        <v>112</v>
      </c>
      <c r="AL50" t="s">
        <v>153</v>
      </c>
      <c r="AM50">
        <v>5</v>
      </c>
      <c r="AN50">
        <v>50</v>
      </c>
      <c r="AO50">
        <v>1</v>
      </c>
      <c r="AU50" s="26"/>
      <c r="AY50" s="26"/>
      <c r="AZ50" s="74"/>
      <c r="BD50" s="79"/>
    </row>
    <row r="51" spans="12:56" x14ac:dyDescent="0.3">
      <c r="L51" s="16"/>
      <c r="M51" s="16"/>
      <c r="N51" s="16"/>
      <c r="O51" s="17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74"/>
      <c r="AA51" s="23"/>
      <c r="AB51" s="23"/>
      <c r="AC51" s="17"/>
      <c r="AD51" s="17"/>
      <c r="AE51" s="17"/>
      <c r="AF51" s="17"/>
      <c r="AG51" s="17"/>
      <c r="AJ51" s="13" t="str">
        <f t="shared" si="0"/>
        <v>ВБШВнг(А)-LS (5х50) 2</v>
      </c>
      <c r="AK51" s="14" t="s">
        <v>113</v>
      </c>
      <c r="AL51" t="s">
        <v>153</v>
      </c>
      <c r="AM51">
        <v>5</v>
      </c>
      <c r="AN51">
        <v>50</v>
      </c>
      <c r="AO51">
        <v>2</v>
      </c>
      <c r="AU51" s="26"/>
      <c r="AY51" s="26"/>
      <c r="AZ51" s="74"/>
      <c r="BD51" s="79"/>
    </row>
    <row r="52" spans="12:56" x14ac:dyDescent="0.3">
      <c r="AJ52" s="13" t="str">
        <f t="shared" si="0"/>
        <v>ВБШВнг(А)-LS (5х95) 1</v>
      </c>
      <c r="AK52" s="14" t="s">
        <v>114</v>
      </c>
      <c r="AL52" t="s">
        <v>153</v>
      </c>
      <c r="AM52">
        <v>5</v>
      </c>
      <c r="AN52">
        <v>95</v>
      </c>
      <c r="AO52">
        <v>1</v>
      </c>
      <c r="AY52" s="26"/>
      <c r="BD52" s="80"/>
    </row>
    <row r="53" spans="12:56" x14ac:dyDescent="0.3">
      <c r="AJ53" s="13" t="str">
        <f t="shared" si="0"/>
        <v>ВБШВнг(А)-LS (5х95) 2</v>
      </c>
      <c r="AK53" s="14" t="s">
        <v>115</v>
      </c>
      <c r="AL53" t="s">
        <v>153</v>
      </c>
      <c r="AM53">
        <v>5</v>
      </c>
      <c r="AN53">
        <v>95</v>
      </c>
      <c r="AO53">
        <v>2</v>
      </c>
      <c r="AU53" s="64"/>
    </row>
    <row r="54" spans="12:56" x14ac:dyDescent="0.3">
      <c r="AJ54" s="13" t="str">
        <f t="shared" si="0"/>
        <v>ВБШВнг(А)-LS (5х120) 1</v>
      </c>
      <c r="AK54" s="14" t="s">
        <v>116</v>
      </c>
      <c r="AL54" t="s">
        <v>153</v>
      </c>
      <c r="AM54">
        <v>5</v>
      </c>
      <c r="AN54">
        <v>120</v>
      </c>
      <c r="AO54">
        <v>1</v>
      </c>
      <c r="AU54" s="26"/>
      <c r="AV54" s="26"/>
      <c r="AW54" s="26"/>
      <c r="AY54" s="26"/>
    </row>
    <row r="55" spans="12:56" x14ac:dyDescent="0.3">
      <c r="AJ55" s="13" t="str">
        <f t="shared" si="0"/>
        <v>ВБШВнг(А)-LS (5х120) 2</v>
      </c>
      <c r="AK55" s="14" t="s">
        <v>117</v>
      </c>
      <c r="AL55" t="s">
        <v>153</v>
      </c>
      <c r="AM55">
        <v>5</v>
      </c>
      <c r="AN55">
        <v>120</v>
      </c>
      <c r="AO55">
        <v>2</v>
      </c>
      <c r="AU55" s="26"/>
      <c r="AV55" s="26"/>
      <c r="AW55" s="26"/>
      <c r="AY55" s="26"/>
    </row>
    <row r="56" spans="12:56" x14ac:dyDescent="0.3">
      <c r="AJ56" s="13" t="str">
        <f t="shared" si="0"/>
        <v>КГВВнг(А)-LS (2х0,75) 1</v>
      </c>
      <c r="AK56" s="14" t="s">
        <v>118</v>
      </c>
      <c r="AL56" t="s">
        <v>143</v>
      </c>
      <c r="AM56">
        <v>2</v>
      </c>
      <c r="AN56">
        <v>0.75</v>
      </c>
      <c r="AO56">
        <v>1</v>
      </c>
      <c r="AU56" s="26"/>
      <c r="AV56" s="26"/>
      <c r="AW56" s="26"/>
      <c r="AY56" s="26"/>
    </row>
    <row r="57" spans="12:56" x14ac:dyDescent="0.3">
      <c r="AJ57" s="13" t="str">
        <f t="shared" si="0"/>
        <v>КГВВнг(А)-LS (2х0,75) 2</v>
      </c>
      <c r="AK57" s="14" t="s">
        <v>119</v>
      </c>
      <c r="AL57" t="s">
        <v>143</v>
      </c>
      <c r="AM57">
        <v>2</v>
      </c>
      <c r="AN57">
        <v>0.75</v>
      </c>
      <c r="AO57">
        <v>2</v>
      </c>
      <c r="AU57" s="26"/>
      <c r="AV57" s="26"/>
      <c r="AW57" s="26"/>
      <c r="AY57" s="26"/>
    </row>
    <row r="58" spans="12:56" x14ac:dyDescent="0.3">
      <c r="AJ58" s="13" t="str">
        <f t="shared" si="0"/>
        <v>КГВВнг(А)-LS (2х1,5) 1</v>
      </c>
      <c r="AK58" s="14" t="s">
        <v>118</v>
      </c>
      <c r="AL58" t="s">
        <v>143</v>
      </c>
      <c r="AM58">
        <v>2</v>
      </c>
      <c r="AN58">
        <v>1.5</v>
      </c>
      <c r="AO58">
        <v>1</v>
      </c>
      <c r="AY58" s="26"/>
    </row>
    <row r="59" spans="12:56" x14ac:dyDescent="0.3">
      <c r="AJ59" s="13" t="str">
        <f t="shared" si="0"/>
        <v>КГВВнг(А)-LS (2х1,5) 2</v>
      </c>
      <c r="AK59" s="14" t="s">
        <v>119</v>
      </c>
      <c r="AL59" t="s">
        <v>143</v>
      </c>
      <c r="AM59">
        <v>2</v>
      </c>
      <c r="AN59">
        <v>1.5</v>
      </c>
      <c r="AO59">
        <v>2</v>
      </c>
      <c r="AY59" s="26"/>
    </row>
    <row r="60" spans="12:56" x14ac:dyDescent="0.3">
      <c r="AJ60" s="13" t="str">
        <f t="shared" si="0"/>
        <v>КГВВнг(А)-LS (2х2,5) 1</v>
      </c>
      <c r="AK60" s="14" t="s">
        <v>120</v>
      </c>
      <c r="AL60" t="s">
        <v>143</v>
      </c>
      <c r="AM60">
        <v>2</v>
      </c>
      <c r="AN60">
        <v>2.5</v>
      </c>
      <c r="AO60">
        <v>1</v>
      </c>
      <c r="AY60" s="26"/>
    </row>
    <row r="61" spans="12:56" x14ac:dyDescent="0.3">
      <c r="AJ61" s="13" t="str">
        <f t="shared" si="0"/>
        <v>КГВВнг(А)-LS (2х2,5) 2</v>
      </c>
      <c r="AK61" s="14" t="s">
        <v>121</v>
      </c>
      <c r="AL61" t="s">
        <v>143</v>
      </c>
      <c r="AM61">
        <v>2</v>
      </c>
      <c r="AN61">
        <v>2.5</v>
      </c>
      <c r="AO61">
        <v>2</v>
      </c>
      <c r="AY61" s="26"/>
    </row>
    <row r="62" spans="12:56" x14ac:dyDescent="0.3">
      <c r="AJ62" s="13" t="str">
        <f t="shared" si="0"/>
        <v>КГВВнг(А)-LS (3х1,5) 1</v>
      </c>
      <c r="AK62" s="14" t="s">
        <v>122</v>
      </c>
      <c r="AL62" t="s">
        <v>143</v>
      </c>
      <c r="AM62">
        <v>3</v>
      </c>
      <c r="AN62">
        <v>1.5</v>
      </c>
      <c r="AO62">
        <v>1</v>
      </c>
      <c r="AY62" s="26"/>
    </row>
    <row r="63" spans="12:56" x14ac:dyDescent="0.3">
      <c r="AJ63" s="13" t="str">
        <f t="shared" si="0"/>
        <v>КГВВнг(А)-LS (3х1,5) 2</v>
      </c>
      <c r="AK63" s="14" t="s">
        <v>123</v>
      </c>
      <c r="AL63" t="s">
        <v>143</v>
      </c>
      <c r="AM63">
        <v>3</v>
      </c>
      <c r="AN63">
        <v>1.5</v>
      </c>
      <c r="AO63">
        <v>2</v>
      </c>
      <c r="AY63" s="26"/>
    </row>
    <row r="64" spans="12:56" x14ac:dyDescent="0.3">
      <c r="AJ64" s="13" t="str">
        <f t="shared" si="0"/>
        <v>КГВВнг(А)-LS (3х2,5) 1</v>
      </c>
      <c r="AK64" s="14" t="s">
        <v>124</v>
      </c>
      <c r="AL64" t="s">
        <v>143</v>
      </c>
      <c r="AM64">
        <v>3</v>
      </c>
      <c r="AN64">
        <v>2.5</v>
      </c>
      <c r="AO64">
        <v>1</v>
      </c>
      <c r="AY64" s="26"/>
    </row>
    <row r="65" spans="36:51" x14ac:dyDescent="0.3">
      <c r="AJ65" s="13" t="str">
        <f t="shared" si="0"/>
        <v>КГВВнг(А)-LS (3х2,5) 2</v>
      </c>
      <c r="AK65" s="14" t="s">
        <v>125</v>
      </c>
      <c r="AL65" t="s">
        <v>143</v>
      </c>
      <c r="AM65">
        <v>3</v>
      </c>
      <c r="AN65">
        <v>2.5</v>
      </c>
      <c r="AO65">
        <v>2</v>
      </c>
      <c r="AY65" s="26"/>
    </row>
    <row r="66" spans="36:51" x14ac:dyDescent="0.3">
      <c r="AJ66" s="13" t="str">
        <f t="shared" si="0"/>
        <v>КГВВнг(А)-LS (5х1,5) 1</v>
      </c>
      <c r="AK66" s="14" t="s">
        <v>126</v>
      </c>
      <c r="AL66" t="s">
        <v>143</v>
      </c>
      <c r="AM66">
        <v>5</v>
      </c>
      <c r="AN66">
        <v>1.5</v>
      </c>
      <c r="AO66">
        <v>1</v>
      </c>
      <c r="AY66" s="26"/>
    </row>
    <row r="67" spans="36:51" x14ac:dyDescent="0.3">
      <c r="AJ67" s="13" t="str">
        <f t="shared" si="0"/>
        <v>КГВВнг(А)-LS (5х1,5) 2</v>
      </c>
      <c r="AK67" s="14" t="s">
        <v>127</v>
      </c>
      <c r="AL67" t="s">
        <v>143</v>
      </c>
      <c r="AM67">
        <v>5</v>
      </c>
      <c r="AN67">
        <v>1.5</v>
      </c>
      <c r="AO67">
        <v>2</v>
      </c>
      <c r="AY67" s="26"/>
    </row>
    <row r="68" spans="36:51" x14ac:dyDescent="0.3">
      <c r="AJ68" s="13" t="str">
        <f t="shared" si="0"/>
        <v>КГВВнг(А)-LS (5х2,5) 1</v>
      </c>
      <c r="AK68" s="14" t="s">
        <v>128</v>
      </c>
      <c r="AL68" t="s">
        <v>143</v>
      </c>
      <c r="AM68">
        <v>5</v>
      </c>
      <c r="AN68">
        <v>2.5</v>
      </c>
      <c r="AO68">
        <v>1</v>
      </c>
      <c r="AY68" s="26"/>
    </row>
    <row r="69" spans="36:51" x14ac:dyDescent="0.3">
      <c r="AJ69" s="13" t="str">
        <f t="shared" ref="AJ69:AJ132" si="3">AL69&amp;" ("&amp;AM69&amp;"х"&amp;AN69&amp;") "&amp;AO69</f>
        <v>КГВВнг(А)-LS (5х2,5) 2</v>
      </c>
      <c r="AK69" s="14" t="s">
        <v>129</v>
      </c>
      <c r="AL69" t="s">
        <v>143</v>
      </c>
      <c r="AM69">
        <v>5</v>
      </c>
      <c r="AN69">
        <v>2.5</v>
      </c>
      <c r="AO69">
        <v>2</v>
      </c>
      <c r="AY69" s="26"/>
    </row>
    <row r="70" spans="36:51" x14ac:dyDescent="0.3">
      <c r="AJ70" s="13" t="str">
        <f t="shared" si="3"/>
        <v>КГВВнг(А)-LS (5х4) 1</v>
      </c>
      <c r="AK70" s="14" t="s">
        <v>130</v>
      </c>
      <c r="AL70" t="s">
        <v>143</v>
      </c>
      <c r="AM70">
        <v>5</v>
      </c>
      <c r="AN70">
        <v>4</v>
      </c>
      <c r="AO70">
        <v>1</v>
      </c>
      <c r="AY70" s="26"/>
    </row>
    <row r="71" spans="36:51" x14ac:dyDescent="0.3">
      <c r="AJ71" s="13" t="str">
        <f t="shared" si="3"/>
        <v>КГВВнг(А)-LS (5х4) 2</v>
      </c>
      <c r="AK71" s="14" t="s">
        <v>131</v>
      </c>
      <c r="AL71" t="s">
        <v>143</v>
      </c>
      <c r="AM71">
        <v>5</v>
      </c>
      <c r="AN71">
        <v>4</v>
      </c>
      <c r="AO71">
        <v>2</v>
      </c>
      <c r="AY71" s="26"/>
    </row>
    <row r="72" spans="36:51" x14ac:dyDescent="0.3">
      <c r="AJ72" s="13" t="str">
        <f t="shared" si="3"/>
        <v>КГВВнг(А)-LS (5х6) 1</v>
      </c>
      <c r="AK72" s="14" t="s">
        <v>132</v>
      </c>
      <c r="AL72" t="s">
        <v>143</v>
      </c>
      <c r="AM72">
        <v>5</v>
      </c>
      <c r="AN72">
        <v>6</v>
      </c>
      <c r="AO72">
        <v>1</v>
      </c>
      <c r="AY72" s="26"/>
    </row>
    <row r="73" spans="36:51" x14ac:dyDescent="0.3">
      <c r="AJ73" s="13" t="str">
        <f t="shared" si="3"/>
        <v>КГВВнг(А)-LS (5х6) 2</v>
      </c>
      <c r="AK73" s="14" t="s">
        <v>133</v>
      </c>
      <c r="AL73" t="s">
        <v>143</v>
      </c>
      <c r="AM73">
        <v>5</v>
      </c>
      <c r="AN73">
        <v>6</v>
      </c>
      <c r="AO73">
        <v>2</v>
      </c>
    </row>
    <row r="74" spans="36:51" x14ac:dyDescent="0.3">
      <c r="AJ74" s="13" t="str">
        <f t="shared" si="3"/>
        <v>КГВВнг(А)-LS (4х0,75) 1</v>
      </c>
      <c r="AK74" s="14" t="s">
        <v>134</v>
      </c>
      <c r="AL74" t="s">
        <v>143</v>
      </c>
      <c r="AM74">
        <v>4</v>
      </c>
      <c r="AN74">
        <v>0.75</v>
      </c>
      <c r="AO74">
        <v>1</v>
      </c>
    </row>
    <row r="75" spans="36:51" x14ac:dyDescent="0.3">
      <c r="AJ75" s="13" t="str">
        <f t="shared" si="3"/>
        <v>КГВВнг(А)-LS (4х0,75) 2</v>
      </c>
      <c r="AK75" s="14" t="s">
        <v>135</v>
      </c>
      <c r="AL75" t="s">
        <v>143</v>
      </c>
      <c r="AM75">
        <v>4</v>
      </c>
      <c r="AN75">
        <v>0.75</v>
      </c>
      <c r="AO75">
        <v>2</v>
      </c>
      <c r="AU75" s="26"/>
    </row>
    <row r="76" spans="36:51" x14ac:dyDescent="0.3">
      <c r="AJ76" s="13" t="str">
        <f t="shared" si="3"/>
        <v>ПУГВ (1х2,5) 1</v>
      </c>
      <c r="AK76" s="14" t="s">
        <v>136</v>
      </c>
      <c r="AL76" t="s">
        <v>63</v>
      </c>
      <c r="AM76">
        <v>1</v>
      </c>
      <c r="AN76">
        <v>2.5</v>
      </c>
      <c r="AO76">
        <v>1</v>
      </c>
    </row>
    <row r="77" spans="36:51" x14ac:dyDescent="0.3">
      <c r="AJ77" s="13" t="str">
        <f t="shared" si="3"/>
        <v>ПУГВ (1х2,5) 2</v>
      </c>
      <c r="AK77" s="14" t="s">
        <v>137</v>
      </c>
      <c r="AL77" t="s">
        <v>63</v>
      </c>
      <c r="AM77">
        <v>1</v>
      </c>
      <c r="AN77">
        <v>2.5</v>
      </c>
      <c r="AO77">
        <v>2</v>
      </c>
    </row>
    <row r="78" spans="36:51" x14ac:dyDescent="0.3">
      <c r="AJ78" s="13" t="str">
        <f t="shared" si="3"/>
        <v>ПУГВ (1х4) 1</v>
      </c>
      <c r="AK78" s="14" t="s">
        <v>136</v>
      </c>
      <c r="AL78" t="s">
        <v>63</v>
      </c>
      <c r="AM78">
        <v>1</v>
      </c>
      <c r="AN78">
        <v>4</v>
      </c>
      <c r="AO78">
        <v>1</v>
      </c>
    </row>
    <row r="79" spans="36:51" x14ac:dyDescent="0.3">
      <c r="AJ79" s="13" t="str">
        <f t="shared" si="3"/>
        <v>ПУГВ (1х4) 2</v>
      </c>
      <c r="AK79" s="14" t="s">
        <v>137</v>
      </c>
      <c r="AL79" t="s">
        <v>63</v>
      </c>
      <c r="AM79">
        <v>1</v>
      </c>
      <c r="AN79">
        <v>4</v>
      </c>
      <c r="AO79">
        <v>2</v>
      </c>
    </row>
    <row r="80" spans="36:51" x14ac:dyDescent="0.3">
      <c r="AJ80" s="13" t="str">
        <f t="shared" si="3"/>
        <v>ПУГВ (1х6) 1</v>
      </c>
      <c r="AK80" s="14" t="s">
        <v>136</v>
      </c>
      <c r="AL80" t="s">
        <v>63</v>
      </c>
      <c r="AM80">
        <v>1</v>
      </c>
      <c r="AN80">
        <v>6</v>
      </c>
      <c r="AO80">
        <v>1</v>
      </c>
    </row>
    <row r="81" spans="36:41" x14ac:dyDescent="0.3">
      <c r="AJ81" s="13" t="str">
        <f t="shared" si="3"/>
        <v>ПУГВ (1х6) 2</v>
      </c>
      <c r="AK81" s="14" t="s">
        <v>137</v>
      </c>
      <c r="AL81" t="s">
        <v>63</v>
      </c>
      <c r="AM81">
        <v>1</v>
      </c>
      <c r="AN81">
        <v>6</v>
      </c>
      <c r="AO81">
        <v>2</v>
      </c>
    </row>
    <row r="82" spans="36:41" x14ac:dyDescent="0.3">
      <c r="AJ82" s="13" t="str">
        <f t="shared" si="3"/>
        <v>ПУГВ (1х10) 1</v>
      </c>
      <c r="AK82" s="14" t="s">
        <v>138</v>
      </c>
      <c r="AL82" t="s">
        <v>63</v>
      </c>
      <c r="AM82">
        <v>1</v>
      </c>
      <c r="AN82">
        <v>10</v>
      </c>
      <c r="AO82">
        <v>1</v>
      </c>
    </row>
    <row r="83" spans="36:41" x14ac:dyDescent="0.3">
      <c r="AJ83" s="13" t="str">
        <f t="shared" si="3"/>
        <v>ПУГВ (1х10) 2</v>
      </c>
      <c r="AK83" s="14" t="s">
        <v>139</v>
      </c>
      <c r="AL83" t="s">
        <v>63</v>
      </c>
      <c r="AM83">
        <v>1</v>
      </c>
      <c r="AN83">
        <v>10</v>
      </c>
      <c r="AO83">
        <v>2</v>
      </c>
    </row>
    <row r="84" spans="36:41" x14ac:dyDescent="0.3">
      <c r="AJ84" s="13" t="str">
        <f t="shared" si="3"/>
        <v>ПУГВ (1х25) 1</v>
      </c>
      <c r="AK84" s="14" t="s">
        <v>138</v>
      </c>
      <c r="AL84" t="s">
        <v>63</v>
      </c>
      <c r="AM84">
        <v>1</v>
      </c>
      <c r="AN84">
        <v>25</v>
      </c>
      <c r="AO84">
        <v>1</v>
      </c>
    </row>
    <row r="85" spans="36:41" x14ac:dyDescent="0.3">
      <c r="AJ85" s="13" t="str">
        <f t="shared" si="3"/>
        <v>ПУГВ (1х25) 2</v>
      </c>
      <c r="AK85" s="14" t="s">
        <v>139</v>
      </c>
      <c r="AL85" t="s">
        <v>63</v>
      </c>
      <c r="AM85">
        <v>1</v>
      </c>
      <c r="AN85">
        <v>25</v>
      </c>
      <c r="AO85">
        <v>2</v>
      </c>
    </row>
    <row r="86" spans="36:41" x14ac:dyDescent="0.3">
      <c r="AJ86" s="13" t="str">
        <f t="shared" si="3"/>
        <v>КВБбШвнг(А)-LS (14х2,5) 1</v>
      </c>
      <c r="AK86" s="14" t="s">
        <v>69</v>
      </c>
      <c r="AL86" t="s">
        <v>154</v>
      </c>
      <c r="AM86">
        <v>14</v>
      </c>
      <c r="AN86">
        <v>2.5</v>
      </c>
      <c r="AO86">
        <v>1</v>
      </c>
    </row>
    <row r="87" spans="36:41" x14ac:dyDescent="0.3">
      <c r="AJ87" s="13" t="str">
        <f t="shared" si="3"/>
        <v>КВБбШвнг(А)-LS (14х2,5) 2</v>
      </c>
      <c r="AK87" s="14" t="s">
        <v>70</v>
      </c>
      <c r="AL87" t="s">
        <v>154</v>
      </c>
      <c r="AM87">
        <v>14</v>
      </c>
      <c r="AN87">
        <v>2.5</v>
      </c>
      <c r="AO87">
        <v>2</v>
      </c>
    </row>
    <row r="88" spans="36:41" x14ac:dyDescent="0.3">
      <c r="AJ88" s="13" t="str">
        <f t="shared" si="3"/>
        <v>ППГнг(А)-FRHF (2х1,5) 1</v>
      </c>
      <c r="AK88" s="14" t="s">
        <v>67</v>
      </c>
      <c r="AL88" t="s">
        <v>147</v>
      </c>
      <c r="AM88">
        <v>2</v>
      </c>
      <c r="AN88">
        <v>1.5</v>
      </c>
      <c r="AO88">
        <v>1</v>
      </c>
    </row>
    <row r="89" spans="36:41" x14ac:dyDescent="0.3">
      <c r="AJ89" s="13" t="str">
        <f t="shared" si="3"/>
        <v>ППГнг(А)-FRHF (2х1,5) 2</v>
      </c>
      <c r="AK89" s="14" t="s">
        <v>68</v>
      </c>
      <c r="AL89" t="s">
        <v>147</v>
      </c>
      <c r="AM89">
        <v>2</v>
      </c>
      <c r="AN89">
        <v>1.5</v>
      </c>
      <c r="AO89">
        <v>2</v>
      </c>
    </row>
    <row r="90" spans="36:41" x14ac:dyDescent="0.3">
      <c r="AJ90" s="13" t="str">
        <f t="shared" si="3"/>
        <v>ППГнг(А)-FRHF (2х2,5) 1</v>
      </c>
      <c r="AK90" s="14" t="s">
        <v>69</v>
      </c>
      <c r="AL90" t="s">
        <v>147</v>
      </c>
      <c r="AM90">
        <v>2</v>
      </c>
      <c r="AN90">
        <v>2.5</v>
      </c>
      <c r="AO90">
        <v>1</v>
      </c>
    </row>
    <row r="91" spans="36:41" x14ac:dyDescent="0.3">
      <c r="AJ91" s="13" t="str">
        <f t="shared" si="3"/>
        <v>ППГнг(А)-FRHF (2х2,5) 2</v>
      </c>
      <c r="AK91" s="14" t="s">
        <v>70</v>
      </c>
      <c r="AL91" t="s">
        <v>147</v>
      </c>
      <c r="AM91">
        <v>2</v>
      </c>
      <c r="AN91">
        <v>2.5</v>
      </c>
      <c r="AO91">
        <v>2</v>
      </c>
    </row>
    <row r="92" spans="36:41" x14ac:dyDescent="0.3">
      <c r="AJ92" s="13" t="str">
        <f t="shared" si="3"/>
        <v>ППГнг(А)-FRHF (3х1,5) 1</v>
      </c>
      <c r="AK92" s="14" t="s">
        <v>71</v>
      </c>
      <c r="AL92" t="s">
        <v>147</v>
      </c>
      <c r="AM92">
        <v>3</v>
      </c>
      <c r="AN92">
        <v>1.5</v>
      </c>
      <c r="AO92">
        <v>1</v>
      </c>
    </row>
    <row r="93" spans="36:41" x14ac:dyDescent="0.3">
      <c r="AJ93" s="13" t="str">
        <f t="shared" si="3"/>
        <v>ППГнг(А)-FRHF (3х1,5) 2</v>
      </c>
      <c r="AK93" s="14" t="s">
        <v>72</v>
      </c>
      <c r="AL93" t="s">
        <v>147</v>
      </c>
      <c r="AM93">
        <v>3</v>
      </c>
      <c r="AN93">
        <v>1.5</v>
      </c>
      <c r="AO93">
        <v>2</v>
      </c>
    </row>
    <row r="94" spans="36:41" x14ac:dyDescent="0.3">
      <c r="AJ94" s="13" t="str">
        <f t="shared" si="3"/>
        <v>ППГнг(А)-FRHF (3х2,5) 1</v>
      </c>
      <c r="AK94" s="14" t="s">
        <v>73</v>
      </c>
      <c r="AL94" t="s">
        <v>147</v>
      </c>
      <c r="AM94">
        <v>3</v>
      </c>
      <c r="AN94">
        <v>2.5</v>
      </c>
      <c r="AO94">
        <v>1</v>
      </c>
    </row>
    <row r="95" spans="36:41" x14ac:dyDescent="0.3">
      <c r="AJ95" s="13" t="str">
        <f t="shared" si="3"/>
        <v>ППГнг(А)-FRHF (3х2,5) 2</v>
      </c>
      <c r="AK95" s="14" t="s">
        <v>74</v>
      </c>
      <c r="AL95" t="s">
        <v>147</v>
      </c>
      <c r="AM95">
        <v>3</v>
      </c>
      <c r="AN95">
        <v>2.5</v>
      </c>
      <c r="AO95">
        <v>2</v>
      </c>
    </row>
    <row r="96" spans="36:41" x14ac:dyDescent="0.3">
      <c r="AJ96" s="13" t="str">
        <f t="shared" si="3"/>
        <v>ППГнг(А)-FRHF (3х4) 1</v>
      </c>
      <c r="AK96" s="14" t="s">
        <v>75</v>
      </c>
      <c r="AL96" t="s">
        <v>147</v>
      </c>
      <c r="AM96">
        <v>3</v>
      </c>
      <c r="AN96">
        <v>4</v>
      </c>
      <c r="AO96">
        <v>1</v>
      </c>
    </row>
    <row r="97" spans="36:41" x14ac:dyDescent="0.3">
      <c r="AJ97" s="13" t="str">
        <f t="shared" si="3"/>
        <v>ППГнг(А)-FRHF (3х4) 2</v>
      </c>
      <c r="AK97" s="14" t="s">
        <v>76</v>
      </c>
      <c r="AL97" t="s">
        <v>147</v>
      </c>
      <c r="AM97">
        <v>3</v>
      </c>
      <c r="AN97">
        <v>4</v>
      </c>
      <c r="AO97">
        <v>2</v>
      </c>
    </row>
    <row r="98" spans="36:41" x14ac:dyDescent="0.3">
      <c r="AJ98" s="13" t="str">
        <f t="shared" si="3"/>
        <v>ППГнг(А)-FRHF (3х6) 1</v>
      </c>
      <c r="AK98" s="14" t="s">
        <v>77</v>
      </c>
      <c r="AL98" t="s">
        <v>147</v>
      </c>
      <c r="AM98">
        <v>3</v>
      </c>
      <c r="AN98">
        <v>6</v>
      </c>
      <c r="AO98">
        <v>1</v>
      </c>
    </row>
    <row r="99" spans="36:41" x14ac:dyDescent="0.3">
      <c r="AJ99" s="13" t="str">
        <f t="shared" si="3"/>
        <v>ППГнг(А)-FRHF (3х6) 2</v>
      </c>
      <c r="AK99" s="14" t="s">
        <v>78</v>
      </c>
      <c r="AL99" t="s">
        <v>147</v>
      </c>
      <c r="AM99">
        <v>3</v>
      </c>
      <c r="AN99">
        <v>6</v>
      </c>
      <c r="AO99">
        <v>2</v>
      </c>
    </row>
    <row r="100" spans="36:41" x14ac:dyDescent="0.3">
      <c r="AJ100" s="13" t="str">
        <f t="shared" si="3"/>
        <v>ППГнг(А)-FRHF (5х1,5) 1</v>
      </c>
      <c r="AK100" s="14" t="s">
        <v>79</v>
      </c>
      <c r="AL100" t="s">
        <v>147</v>
      </c>
      <c r="AM100">
        <v>5</v>
      </c>
      <c r="AN100">
        <v>1.5</v>
      </c>
      <c r="AO100">
        <v>1</v>
      </c>
    </row>
    <row r="101" spans="36:41" x14ac:dyDescent="0.3">
      <c r="AJ101" s="13" t="str">
        <f t="shared" si="3"/>
        <v>ППГнг(А)-FRHF (5х1,5) 2</v>
      </c>
      <c r="AK101" s="14" t="s">
        <v>80</v>
      </c>
      <c r="AL101" t="s">
        <v>147</v>
      </c>
      <c r="AM101">
        <v>5</v>
      </c>
      <c r="AN101">
        <v>1.5</v>
      </c>
      <c r="AO101">
        <v>2</v>
      </c>
    </row>
    <row r="102" spans="36:41" x14ac:dyDescent="0.3">
      <c r="AJ102" s="13" t="str">
        <f t="shared" si="3"/>
        <v>ППГнг(А)-FRHF (5х2,5) 1</v>
      </c>
      <c r="AK102" s="14" t="s">
        <v>81</v>
      </c>
      <c r="AL102" t="s">
        <v>147</v>
      </c>
      <c r="AM102">
        <v>5</v>
      </c>
      <c r="AN102">
        <v>2.5</v>
      </c>
      <c r="AO102">
        <v>1</v>
      </c>
    </row>
    <row r="103" spans="36:41" x14ac:dyDescent="0.3">
      <c r="AJ103" s="13" t="str">
        <f t="shared" si="3"/>
        <v>ППГнг(А)-FRHF (5х2,5) 2</v>
      </c>
      <c r="AK103" s="14" t="s">
        <v>82</v>
      </c>
      <c r="AL103" t="s">
        <v>147</v>
      </c>
      <c r="AM103">
        <v>5</v>
      </c>
      <c r="AN103">
        <v>2.5</v>
      </c>
      <c r="AO103">
        <v>2</v>
      </c>
    </row>
    <row r="104" spans="36:41" x14ac:dyDescent="0.3">
      <c r="AJ104" s="13" t="str">
        <f t="shared" si="3"/>
        <v>ППГнг(А)-FRHF (5х4) 1</v>
      </c>
      <c r="AK104" s="14" t="s">
        <v>83</v>
      </c>
      <c r="AL104" t="s">
        <v>147</v>
      </c>
      <c r="AM104">
        <v>5</v>
      </c>
      <c r="AN104">
        <v>4</v>
      </c>
      <c r="AO104">
        <v>1</v>
      </c>
    </row>
    <row r="105" spans="36:41" x14ac:dyDescent="0.3">
      <c r="AJ105" s="13" t="str">
        <f t="shared" si="3"/>
        <v>ППГнг(А)-FRHF (5х4) 2</v>
      </c>
      <c r="AK105" s="14" t="s">
        <v>84</v>
      </c>
      <c r="AL105" t="s">
        <v>147</v>
      </c>
      <c r="AM105">
        <v>5</v>
      </c>
      <c r="AN105">
        <v>4</v>
      </c>
      <c r="AO105">
        <v>2</v>
      </c>
    </row>
    <row r="106" spans="36:41" x14ac:dyDescent="0.3">
      <c r="AJ106" s="13" t="str">
        <f t="shared" si="3"/>
        <v>ППГнг(А)-FRHF (5х6) 1</v>
      </c>
      <c r="AK106" s="14" t="s">
        <v>85</v>
      </c>
      <c r="AL106" t="s">
        <v>147</v>
      </c>
      <c r="AM106">
        <v>5</v>
      </c>
      <c r="AN106">
        <v>6</v>
      </c>
      <c r="AO106">
        <v>1</v>
      </c>
    </row>
    <row r="107" spans="36:41" x14ac:dyDescent="0.3">
      <c r="AJ107" s="13" t="str">
        <f t="shared" si="3"/>
        <v>ППГнг(А)-FRHF (5х6) 2</v>
      </c>
      <c r="AK107" s="14" t="s">
        <v>86</v>
      </c>
      <c r="AL107" t="s">
        <v>147</v>
      </c>
      <c r="AM107">
        <v>5</v>
      </c>
      <c r="AN107">
        <v>6</v>
      </c>
      <c r="AO107">
        <v>2</v>
      </c>
    </row>
    <row r="108" spans="36:41" x14ac:dyDescent="0.3">
      <c r="AJ108" s="13" t="str">
        <f t="shared" si="3"/>
        <v>ППГнг(А)-FRHF (5х10) 1</v>
      </c>
      <c r="AK108" s="14" t="s">
        <v>87</v>
      </c>
      <c r="AL108" t="s">
        <v>147</v>
      </c>
      <c r="AM108">
        <v>5</v>
      </c>
      <c r="AN108">
        <v>10</v>
      </c>
      <c r="AO108">
        <v>1</v>
      </c>
    </row>
    <row r="109" spans="36:41" x14ac:dyDescent="0.3">
      <c r="AJ109" s="13" t="str">
        <f t="shared" si="3"/>
        <v>ППГнг(А)-FRHF (5х10) 2</v>
      </c>
      <c r="AK109" s="14" t="s">
        <v>88</v>
      </c>
      <c r="AL109" t="s">
        <v>147</v>
      </c>
      <c r="AM109">
        <v>5</v>
      </c>
      <c r="AN109">
        <v>10</v>
      </c>
      <c r="AO109">
        <v>2</v>
      </c>
    </row>
    <row r="110" spans="36:41" x14ac:dyDescent="0.3">
      <c r="AJ110" s="13" t="str">
        <f t="shared" si="3"/>
        <v>ППГнг(А)-FRHF (5х16) 1</v>
      </c>
      <c r="AK110" s="14" t="s">
        <v>89</v>
      </c>
      <c r="AL110" t="s">
        <v>147</v>
      </c>
      <c r="AM110">
        <v>5</v>
      </c>
      <c r="AN110">
        <v>16</v>
      </c>
      <c r="AO110">
        <v>1</v>
      </c>
    </row>
    <row r="111" spans="36:41" x14ac:dyDescent="0.3">
      <c r="AJ111" s="13" t="str">
        <f t="shared" si="3"/>
        <v>ППГнг(А)-FRHF (5х16) 2</v>
      </c>
      <c r="AK111" s="14" t="s">
        <v>90</v>
      </c>
      <c r="AL111" t="s">
        <v>147</v>
      </c>
      <c r="AM111">
        <v>5</v>
      </c>
      <c r="AN111">
        <v>16</v>
      </c>
      <c r="AO111">
        <v>2</v>
      </c>
    </row>
    <row r="112" spans="36:41" x14ac:dyDescent="0.3">
      <c r="AJ112" s="13" t="str">
        <f t="shared" si="3"/>
        <v>ППГнг(А)-FRHF (5х25) 1</v>
      </c>
      <c r="AK112" s="14" t="s">
        <v>91</v>
      </c>
      <c r="AL112" t="s">
        <v>147</v>
      </c>
      <c r="AM112">
        <v>5</v>
      </c>
      <c r="AN112">
        <v>25</v>
      </c>
      <c r="AO112">
        <v>1</v>
      </c>
    </row>
    <row r="113" spans="36:41" x14ac:dyDescent="0.3">
      <c r="AJ113" s="13" t="str">
        <f t="shared" si="3"/>
        <v>ППГнг(А)-FRHF (5х25) 2</v>
      </c>
      <c r="AK113" s="14" t="s">
        <v>92</v>
      </c>
      <c r="AL113" t="s">
        <v>147</v>
      </c>
      <c r="AM113">
        <v>5</v>
      </c>
      <c r="AN113">
        <v>25</v>
      </c>
      <c r="AO113">
        <v>2</v>
      </c>
    </row>
    <row r="114" spans="36:41" x14ac:dyDescent="0.3">
      <c r="AJ114" s="13" t="str">
        <f t="shared" si="3"/>
        <v>ППГнг(А)-FRHF (5х35) 1</v>
      </c>
      <c r="AK114" s="14" t="s">
        <v>93</v>
      </c>
      <c r="AL114" t="s">
        <v>147</v>
      </c>
      <c r="AM114">
        <v>5</v>
      </c>
      <c r="AN114">
        <v>35</v>
      </c>
      <c r="AO114">
        <v>1</v>
      </c>
    </row>
    <row r="115" spans="36:41" x14ac:dyDescent="0.3">
      <c r="AJ115" s="13" t="str">
        <f t="shared" si="3"/>
        <v>ППГнг(А)-FRHF (5х35) 1</v>
      </c>
      <c r="AK115" s="14" t="s">
        <v>94</v>
      </c>
      <c r="AL115" t="s">
        <v>147</v>
      </c>
      <c r="AM115">
        <v>5</v>
      </c>
      <c r="AN115">
        <v>35</v>
      </c>
      <c r="AO115">
        <v>1</v>
      </c>
    </row>
    <row r="116" spans="36:41" x14ac:dyDescent="0.3">
      <c r="AJ116" s="13" t="str">
        <f t="shared" si="3"/>
        <v>ППГнг(А)-FRHF (5х50) 1</v>
      </c>
      <c r="AK116" s="14" t="s">
        <v>95</v>
      </c>
      <c r="AL116" t="s">
        <v>147</v>
      </c>
      <c r="AM116">
        <v>5</v>
      </c>
      <c r="AN116">
        <v>50</v>
      </c>
      <c r="AO116">
        <v>1</v>
      </c>
    </row>
    <row r="117" spans="36:41" x14ac:dyDescent="0.3">
      <c r="AJ117" s="13" t="str">
        <f t="shared" si="3"/>
        <v>ППГнг(А)-FRHF (5х50) 2</v>
      </c>
      <c r="AK117" s="14" t="s">
        <v>96</v>
      </c>
      <c r="AL117" t="s">
        <v>147</v>
      </c>
      <c r="AM117">
        <v>5</v>
      </c>
      <c r="AN117">
        <v>50</v>
      </c>
      <c r="AO117">
        <v>2</v>
      </c>
    </row>
    <row r="118" spans="36:41" x14ac:dyDescent="0.3">
      <c r="AJ118" s="13" t="str">
        <f t="shared" si="3"/>
        <v>ППГнг(А)-FRHF (5х95) 1</v>
      </c>
      <c r="AK118" s="14" t="s">
        <v>97</v>
      </c>
      <c r="AL118" t="s">
        <v>147</v>
      </c>
      <c r="AM118">
        <v>5</v>
      </c>
      <c r="AN118">
        <v>95</v>
      </c>
      <c r="AO118">
        <v>1</v>
      </c>
    </row>
    <row r="119" spans="36:41" x14ac:dyDescent="0.3">
      <c r="AJ119" s="13" t="str">
        <f t="shared" si="3"/>
        <v>ППГнг(А)-FRHF (5х95) 2</v>
      </c>
      <c r="AK119" s="14" t="s">
        <v>98</v>
      </c>
      <c r="AL119" t="s">
        <v>147</v>
      </c>
      <c r="AM119">
        <v>5</v>
      </c>
      <c r="AN119">
        <v>95</v>
      </c>
      <c r="AO119">
        <v>2</v>
      </c>
    </row>
    <row r="120" spans="36:41" x14ac:dyDescent="0.3">
      <c r="AJ120" s="13" t="str">
        <f t="shared" si="3"/>
        <v>ППГнг(А)-FRHF (5х120) 1</v>
      </c>
      <c r="AK120" s="14" t="s">
        <v>99</v>
      </c>
      <c r="AL120" t="s">
        <v>147</v>
      </c>
      <c r="AM120">
        <v>5</v>
      </c>
      <c r="AN120">
        <v>120</v>
      </c>
      <c r="AO120">
        <v>1</v>
      </c>
    </row>
    <row r="121" spans="36:41" x14ac:dyDescent="0.3">
      <c r="AJ121" s="13" t="str">
        <f t="shared" si="3"/>
        <v>ППГнг(А)-FRHF (5х120) 2</v>
      </c>
      <c r="AK121" s="14" t="s">
        <v>100</v>
      </c>
      <c r="AL121" t="s">
        <v>147</v>
      </c>
      <c r="AM121">
        <v>5</v>
      </c>
      <c r="AN121">
        <v>120</v>
      </c>
      <c r="AO121">
        <v>2</v>
      </c>
    </row>
    <row r="122" spans="36:41" x14ac:dyDescent="0.3">
      <c r="AJ122" s="13" t="str">
        <f t="shared" si="3"/>
        <v>ППГнг(А)-HF (2х1,5) 1</v>
      </c>
      <c r="AK122" s="14" t="s">
        <v>67</v>
      </c>
      <c r="AL122" t="s">
        <v>149</v>
      </c>
      <c r="AM122">
        <v>2</v>
      </c>
      <c r="AN122">
        <v>1.5</v>
      </c>
      <c r="AO122">
        <v>1</v>
      </c>
    </row>
    <row r="123" spans="36:41" x14ac:dyDescent="0.3">
      <c r="AJ123" s="13" t="str">
        <f t="shared" si="3"/>
        <v>ППГнг(А)-HF (2х1,5) 2</v>
      </c>
      <c r="AK123" s="14" t="s">
        <v>68</v>
      </c>
      <c r="AL123" t="s">
        <v>149</v>
      </c>
      <c r="AM123">
        <v>2</v>
      </c>
      <c r="AN123">
        <v>1.5</v>
      </c>
      <c r="AO123">
        <v>2</v>
      </c>
    </row>
    <row r="124" spans="36:41" x14ac:dyDescent="0.3">
      <c r="AJ124" s="13" t="str">
        <f t="shared" si="3"/>
        <v>ППГнг(А)-HF (2х2,5) 1</v>
      </c>
      <c r="AK124" s="14" t="s">
        <v>69</v>
      </c>
      <c r="AL124" t="s">
        <v>149</v>
      </c>
      <c r="AM124">
        <v>2</v>
      </c>
      <c r="AN124">
        <v>2.5</v>
      </c>
      <c r="AO124">
        <v>1</v>
      </c>
    </row>
    <row r="125" spans="36:41" x14ac:dyDescent="0.3">
      <c r="AJ125" s="13" t="str">
        <f t="shared" si="3"/>
        <v>ППГнг(А)-HF (2х2,5) 2</v>
      </c>
      <c r="AK125" s="14" t="s">
        <v>70</v>
      </c>
      <c r="AL125" t="s">
        <v>149</v>
      </c>
      <c r="AM125">
        <v>2</v>
      </c>
      <c r="AN125">
        <v>2.5</v>
      </c>
      <c r="AO125">
        <v>2</v>
      </c>
    </row>
    <row r="126" spans="36:41" x14ac:dyDescent="0.3">
      <c r="AJ126" s="13" t="str">
        <f t="shared" si="3"/>
        <v>ППГнг(А)-HF (3х1,5) 1</v>
      </c>
      <c r="AK126" s="14" t="s">
        <v>71</v>
      </c>
      <c r="AL126" t="s">
        <v>149</v>
      </c>
      <c r="AM126">
        <v>3</v>
      </c>
      <c r="AN126">
        <v>1.5</v>
      </c>
      <c r="AO126">
        <v>1</v>
      </c>
    </row>
    <row r="127" spans="36:41" x14ac:dyDescent="0.3">
      <c r="AJ127" s="13" t="str">
        <f t="shared" si="3"/>
        <v>ППГнг(А)-HF (3х1,5) 2</v>
      </c>
      <c r="AK127" s="14" t="s">
        <v>72</v>
      </c>
      <c r="AL127" t="s">
        <v>149</v>
      </c>
      <c r="AM127">
        <v>3</v>
      </c>
      <c r="AN127">
        <v>1.5</v>
      </c>
      <c r="AO127">
        <v>2</v>
      </c>
    </row>
    <row r="128" spans="36:41" x14ac:dyDescent="0.3">
      <c r="AJ128" s="13" t="str">
        <f t="shared" si="3"/>
        <v>ППГнг(А)-HF (3х2,5) 1</v>
      </c>
      <c r="AK128" s="14" t="s">
        <v>73</v>
      </c>
      <c r="AL128" t="s">
        <v>149</v>
      </c>
      <c r="AM128">
        <v>3</v>
      </c>
      <c r="AN128">
        <v>2.5</v>
      </c>
      <c r="AO128">
        <v>1</v>
      </c>
    </row>
    <row r="129" spans="36:41" x14ac:dyDescent="0.3">
      <c r="AJ129" s="13" t="str">
        <f t="shared" si="3"/>
        <v>ППГнг(А)-HF (3х2,5) 2</v>
      </c>
      <c r="AK129" s="14" t="s">
        <v>74</v>
      </c>
      <c r="AL129" t="s">
        <v>149</v>
      </c>
      <c r="AM129">
        <v>3</v>
      </c>
      <c r="AN129">
        <v>2.5</v>
      </c>
      <c r="AO129">
        <v>2</v>
      </c>
    </row>
    <row r="130" spans="36:41" x14ac:dyDescent="0.3">
      <c r="AJ130" s="13" t="str">
        <f t="shared" si="3"/>
        <v>ППГнг(А)-HF (3х4) 1</v>
      </c>
      <c r="AK130" s="14" t="s">
        <v>75</v>
      </c>
      <c r="AL130" t="s">
        <v>149</v>
      </c>
      <c r="AM130">
        <v>3</v>
      </c>
      <c r="AN130">
        <v>4</v>
      </c>
      <c r="AO130">
        <v>1</v>
      </c>
    </row>
    <row r="131" spans="36:41" x14ac:dyDescent="0.3">
      <c r="AJ131" s="13" t="str">
        <f t="shared" si="3"/>
        <v>ППГнг(А)-HF (3х4) 2</v>
      </c>
      <c r="AK131" s="14" t="s">
        <v>76</v>
      </c>
      <c r="AL131" t="s">
        <v>149</v>
      </c>
      <c r="AM131">
        <v>3</v>
      </c>
      <c r="AN131">
        <v>4</v>
      </c>
      <c r="AO131">
        <v>2</v>
      </c>
    </row>
    <row r="132" spans="36:41" x14ac:dyDescent="0.3">
      <c r="AJ132" s="13" t="str">
        <f t="shared" si="3"/>
        <v>ППГнг(А)-HF (3х6) 1</v>
      </c>
      <c r="AK132" s="14" t="s">
        <v>77</v>
      </c>
      <c r="AL132" t="s">
        <v>149</v>
      </c>
      <c r="AM132">
        <v>3</v>
      </c>
      <c r="AN132">
        <v>6</v>
      </c>
      <c r="AO132">
        <v>1</v>
      </c>
    </row>
    <row r="133" spans="36:41" x14ac:dyDescent="0.3">
      <c r="AJ133" s="13" t="str">
        <f t="shared" ref="AJ133:AJ193" si="4">AL133&amp;" ("&amp;AM133&amp;"х"&amp;AN133&amp;") "&amp;AO133</f>
        <v>ППГнг(А)-HF (3х6) 2</v>
      </c>
      <c r="AK133" s="14" t="s">
        <v>78</v>
      </c>
      <c r="AL133" t="s">
        <v>149</v>
      </c>
      <c r="AM133">
        <v>3</v>
      </c>
      <c r="AN133">
        <v>6</v>
      </c>
      <c r="AO133">
        <v>2</v>
      </c>
    </row>
    <row r="134" spans="36:41" x14ac:dyDescent="0.3">
      <c r="AJ134" s="13" t="str">
        <f t="shared" si="4"/>
        <v>ППГнг(А)-HF (5х1,5) 1</v>
      </c>
      <c r="AK134" s="14" t="s">
        <v>79</v>
      </c>
      <c r="AL134" t="s">
        <v>149</v>
      </c>
      <c r="AM134">
        <v>5</v>
      </c>
      <c r="AN134">
        <v>1.5</v>
      </c>
      <c r="AO134">
        <v>1</v>
      </c>
    </row>
    <row r="135" spans="36:41" x14ac:dyDescent="0.3">
      <c r="AJ135" s="13" t="str">
        <f t="shared" si="4"/>
        <v>ППГнг(А)-HF (5х1,5) 2</v>
      </c>
      <c r="AK135" s="14" t="s">
        <v>80</v>
      </c>
      <c r="AL135" t="s">
        <v>149</v>
      </c>
      <c r="AM135">
        <v>5</v>
      </c>
      <c r="AN135">
        <v>1.5</v>
      </c>
      <c r="AO135">
        <v>2</v>
      </c>
    </row>
    <row r="136" spans="36:41" x14ac:dyDescent="0.3">
      <c r="AJ136" s="13" t="str">
        <f t="shared" si="4"/>
        <v>ППГнг(А)-HF (5х2,5) 1</v>
      </c>
      <c r="AK136" s="14" t="s">
        <v>81</v>
      </c>
      <c r="AL136" t="s">
        <v>149</v>
      </c>
      <c r="AM136">
        <v>5</v>
      </c>
      <c r="AN136">
        <v>2.5</v>
      </c>
      <c r="AO136">
        <v>1</v>
      </c>
    </row>
    <row r="137" spans="36:41" x14ac:dyDescent="0.3">
      <c r="AJ137" s="13" t="str">
        <f t="shared" si="4"/>
        <v>ППГнг(А)-HF (5х2,5) 2</v>
      </c>
      <c r="AK137" s="14" t="s">
        <v>82</v>
      </c>
      <c r="AL137" t="s">
        <v>149</v>
      </c>
      <c r="AM137">
        <v>5</v>
      </c>
      <c r="AN137">
        <v>2.5</v>
      </c>
      <c r="AO137">
        <v>2</v>
      </c>
    </row>
    <row r="138" spans="36:41" x14ac:dyDescent="0.3">
      <c r="AJ138" s="13" t="str">
        <f t="shared" si="4"/>
        <v>ППГнг(А)-HF (5х4) 1</v>
      </c>
      <c r="AK138" s="14" t="s">
        <v>83</v>
      </c>
      <c r="AL138" t="s">
        <v>149</v>
      </c>
      <c r="AM138">
        <v>5</v>
      </c>
      <c r="AN138">
        <v>4</v>
      </c>
      <c r="AO138">
        <v>1</v>
      </c>
    </row>
    <row r="139" spans="36:41" x14ac:dyDescent="0.3">
      <c r="AJ139" s="13" t="str">
        <f t="shared" si="4"/>
        <v>ППГнг(А)-HF (5х4) 2</v>
      </c>
      <c r="AK139" s="14" t="s">
        <v>84</v>
      </c>
      <c r="AL139" t="s">
        <v>149</v>
      </c>
      <c r="AM139">
        <v>5</v>
      </c>
      <c r="AN139">
        <v>4</v>
      </c>
      <c r="AO139">
        <v>2</v>
      </c>
    </row>
    <row r="140" spans="36:41" x14ac:dyDescent="0.3">
      <c r="AJ140" s="13" t="str">
        <f t="shared" si="4"/>
        <v>ППГнг(А)-HF (5х6) 1</v>
      </c>
      <c r="AK140" s="14" t="s">
        <v>85</v>
      </c>
      <c r="AL140" t="s">
        <v>149</v>
      </c>
      <c r="AM140">
        <v>5</v>
      </c>
      <c r="AN140">
        <v>6</v>
      </c>
      <c r="AO140">
        <v>1</v>
      </c>
    </row>
    <row r="141" spans="36:41" x14ac:dyDescent="0.3">
      <c r="AJ141" s="13" t="str">
        <f t="shared" si="4"/>
        <v>ППГнг(А)-HF (5х6) 2</v>
      </c>
      <c r="AK141" s="14" t="s">
        <v>86</v>
      </c>
      <c r="AL141" t="s">
        <v>149</v>
      </c>
      <c r="AM141">
        <v>5</v>
      </c>
      <c r="AN141">
        <v>6</v>
      </c>
      <c r="AO141">
        <v>2</v>
      </c>
    </row>
    <row r="142" spans="36:41" x14ac:dyDescent="0.3">
      <c r="AJ142" s="13" t="str">
        <f t="shared" si="4"/>
        <v>ППГнг(А)-HF (5х10) 1</v>
      </c>
      <c r="AK142" s="14" t="s">
        <v>87</v>
      </c>
      <c r="AL142" t="s">
        <v>149</v>
      </c>
      <c r="AM142">
        <v>5</v>
      </c>
      <c r="AN142">
        <v>10</v>
      </c>
      <c r="AO142">
        <v>1</v>
      </c>
    </row>
    <row r="143" spans="36:41" x14ac:dyDescent="0.3">
      <c r="AJ143" s="13" t="str">
        <f t="shared" si="4"/>
        <v>ППГнг(А)-HF (5х10) 2</v>
      </c>
      <c r="AK143" s="14" t="s">
        <v>88</v>
      </c>
      <c r="AL143" t="s">
        <v>149</v>
      </c>
      <c r="AM143">
        <v>5</v>
      </c>
      <c r="AN143">
        <v>10</v>
      </c>
      <c r="AO143">
        <v>2</v>
      </c>
    </row>
    <row r="144" spans="36:41" x14ac:dyDescent="0.3">
      <c r="AJ144" s="13" t="str">
        <f t="shared" si="4"/>
        <v>ППГнг(А)-HF (5х16) 1</v>
      </c>
      <c r="AK144" s="14" t="s">
        <v>89</v>
      </c>
      <c r="AL144" t="s">
        <v>149</v>
      </c>
      <c r="AM144">
        <v>5</v>
      </c>
      <c r="AN144">
        <v>16</v>
      </c>
      <c r="AO144">
        <v>1</v>
      </c>
    </row>
    <row r="145" spans="36:41" x14ac:dyDescent="0.3">
      <c r="AJ145" s="13" t="str">
        <f t="shared" si="4"/>
        <v>ППГнг(А)-HF (5х16) 2</v>
      </c>
      <c r="AK145" s="14" t="s">
        <v>90</v>
      </c>
      <c r="AL145" t="s">
        <v>149</v>
      </c>
      <c r="AM145">
        <v>5</v>
      </c>
      <c r="AN145">
        <v>16</v>
      </c>
      <c r="AO145">
        <v>2</v>
      </c>
    </row>
    <row r="146" spans="36:41" x14ac:dyDescent="0.3">
      <c r="AJ146" s="13" t="str">
        <f t="shared" si="4"/>
        <v>ППГнг(А)-HF (5х25) 1</v>
      </c>
      <c r="AK146" s="14" t="s">
        <v>91</v>
      </c>
      <c r="AL146" t="s">
        <v>149</v>
      </c>
      <c r="AM146">
        <v>5</v>
      </c>
      <c r="AN146">
        <v>25</v>
      </c>
      <c r="AO146">
        <v>1</v>
      </c>
    </row>
    <row r="147" spans="36:41" x14ac:dyDescent="0.3">
      <c r="AJ147" s="13" t="str">
        <f t="shared" si="4"/>
        <v>ППГнг(А)-HF (5х25) 2</v>
      </c>
      <c r="AK147" s="14" t="s">
        <v>92</v>
      </c>
      <c r="AL147" t="s">
        <v>149</v>
      </c>
      <c r="AM147">
        <v>5</v>
      </c>
      <c r="AN147">
        <v>25</v>
      </c>
      <c r="AO147">
        <v>2</v>
      </c>
    </row>
    <row r="148" spans="36:41" x14ac:dyDescent="0.3">
      <c r="AJ148" s="13" t="str">
        <f t="shared" si="4"/>
        <v>ППГнг(А)-HF (5х35) 1</v>
      </c>
      <c r="AK148" s="14" t="s">
        <v>93</v>
      </c>
      <c r="AL148" t="s">
        <v>149</v>
      </c>
      <c r="AM148">
        <v>5</v>
      </c>
      <c r="AN148">
        <v>35</v>
      </c>
      <c r="AO148">
        <v>1</v>
      </c>
    </row>
    <row r="149" spans="36:41" x14ac:dyDescent="0.3">
      <c r="AJ149" s="13" t="str">
        <f t="shared" si="4"/>
        <v>ППГнг(А)-HF (5х35) 2</v>
      </c>
      <c r="AK149" s="14" t="s">
        <v>94</v>
      </c>
      <c r="AL149" t="s">
        <v>149</v>
      </c>
      <c r="AM149">
        <v>5</v>
      </c>
      <c r="AN149">
        <v>35</v>
      </c>
      <c r="AO149">
        <v>2</v>
      </c>
    </row>
    <row r="150" spans="36:41" x14ac:dyDescent="0.3">
      <c r="AJ150" s="13" t="str">
        <f t="shared" si="4"/>
        <v>ППГнг(А)-HF (5х50) 1</v>
      </c>
      <c r="AK150" s="14" t="s">
        <v>95</v>
      </c>
      <c r="AL150" t="s">
        <v>149</v>
      </c>
      <c r="AM150">
        <v>5</v>
      </c>
      <c r="AN150">
        <v>50</v>
      </c>
      <c r="AO150">
        <v>1</v>
      </c>
    </row>
    <row r="151" spans="36:41" x14ac:dyDescent="0.3">
      <c r="AJ151" s="13" t="str">
        <f t="shared" si="4"/>
        <v>ППГнг(А)-HF (5х50) 2</v>
      </c>
      <c r="AK151" s="14" t="s">
        <v>96</v>
      </c>
      <c r="AL151" t="s">
        <v>149</v>
      </c>
      <c r="AM151">
        <v>5</v>
      </c>
      <c r="AN151">
        <v>50</v>
      </c>
      <c r="AO151">
        <v>2</v>
      </c>
    </row>
    <row r="152" spans="36:41" x14ac:dyDescent="0.3">
      <c r="AJ152" s="13" t="str">
        <f t="shared" si="4"/>
        <v>ППГнг(А)-HF (5х95) 1</v>
      </c>
      <c r="AK152" s="14" t="s">
        <v>97</v>
      </c>
      <c r="AL152" t="s">
        <v>149</v>
      </c>
      <c r="AM152">
        <v>5</v>
      </c>
      <c r="AN152">
        <v>95</v>
      </c>
      <c r="AO152">
        <v>1</v>
      </c>
    </row>
    <row r="153" spans="36:41" x14ac:dyDescent="0.3">
      <c r="AJ153" s="13" t="str">
        <f t="shared" si="4"/>
        <v>ППГнг(А)-HF (5х95) 2</v>
      </c>
      <c r="AK153" s="14" t="s">
        <v>98</v>
      </c>
      <c r="AL153" t="s">
        <v>149</v>
      </c>
      <c r="AM153">
        <v>5</v>
      </c>
      <c r="AN153">
        <v>95</v>
      </c>
      <c r="AO153">
        <v>2</v>
      </c>
    </row>
    <row r="154" spans="36:41" x14ac:dyDescent="0.3">
      <c r="AJ154" s="13" t="str">
        <f t="shared" si="4"/>
        <v>ППГнг(А)-HF (5х120) 1</v>
      </c>
      <c r="AK154" s="14" t="s">
        <v>99</v>
      </c>
      <c r="AL154" t="s">
        <v>149</v>
      </c>
      <c r="AM154">
        <v>5</v>
      </c>
      <c r="AN154">
        <v>120</v>
      </c>
      <c r="AO154">
        <v>1</v>
      </c>
    </row>
    <row r="155" spans="36:41" x14ac:dyDescent="0.3">
      <c r="AJ155" s="13" t="str">
        <f t="shared" si="4"/>
        <v>ППГнг(А)-HF (5х120) 2</v>
      </c>
      <c r="AK155" s="14" t="s">
        <v>100</v>
      </c>
      <c r="AL155" t="s">
        <v>149</v>
      </c>
      <c r="AM155">
        <v>5</v>
      </c>
      <c r="AN155">
        <v>120</v>
      </c>
      <c r="AO155">
        <v>2</v>
      </c>
    </row>
    <row r="156" spans="36:41" x14ac:dyDescent="0.3">
      <c r="AJ156" s="13" t="str">
        <f t="shared" si="4"/>
        <v>ВВГнг(А)-FRLS (2х1,5) 1</v>
      </c>
      <c r="AK156" s="14" t="s">
        <v>67</v>
      </c>
      <c r="AL156" t="s">
        <v>152</v>
      </c>
      <c r="AM156">
        <v>2</v>
      </c>
      <c r="AN156">
        <v>1.5</v>
      </c>
      <c r="AO156">
        <v>1</v>
      </c>
    </row>
    <row r="157" spans="36:41" x14ac:dyDescent="0.3">
      <c r="AJ157" s="13" t="str">
        <f t="shared" si="4"/>
        <v>ВВГнг(А)-FRLS (2х1,5) 2</v>
      </c>
      <c r="AK157" s="14" t="s">
        <v>68</v>
      </c>
      <c r="AL157" t="s">
        <v>152</v>
      </c>
      <c r="AM157">
        <v>2</v>
      </c>
      <c r="AN157">
        <v>1.5</v>
      </c>
      <c r="AO157">
        <v>2</v>
      </c>
    </row>
    <row r="158" spans="36:41" x14ac:dyDescent="0.3">
      <c r="AJ158" s="13" t="str">
        <f t="shared" si="4"/>
        <v>ВВГнг(А)-FRLS (2х2,5) 1</v>
      </c>
      <c r="AK158" s="14" t="s">
        <v>69</v>
      </c>
      <c r="AL158" t="s">
        <v>152</v>
      </c>
      <c r="AM158">
        <v>2</v>
      </c>
      <c r="AN158">
        <v>2.5</v>
      </c>
      <c r="AO158">
        <v>1</v>
      </c>
    </row>
    <row r="159" spans="36:41" x14ac:dyDescent="0.3">
      <c r="AJ159" s="13" t="str">
        <f t="shared" si="4"/>
        <v>ВВГнг(А)-FRLS (2х2,5) 2</v>
      </c>
      <c r="AK159" s="14" t="s">
        <v>70</v>
      </c>
      <c r="AL159" t="s">
        <v>152</v>
      </c>
      <c r="AM159">
        <v>2</v>
      </c>
      <c r="AN159">
        <v>2.5</v>
      </c>
      <c r="AO159">
        <v>2</v>
      </c>
    </row>
    <row r="160" spans="36:41" x14ac:dyDescent="0.3">
      <c r="AJ160" s="13" t="str">
        <f t="shared" si="4"/>
        <v>ВВГнг(А)-FRLS (3х1,5) 1</v>
      </c>
      <c r="AK160" s="14" t="s">
        <v>71</v>
      </c>
      <c r="AL160" t="s">
        <v>152</v>
      </c>
      <c r="AM160">
        <v>3</v>
      </c>
      <c r="AN160">
        <v>1.5</v>
      </c>
      <c r="AO160">
        <v>1</v>
      </c>
    </row>
    <row r="161" spans="36:41" x14ac:dyDescent="0.3">
      <c r="AJ161" s="13" t="str">
        <f t="shared" si="4"/>
        <v>ВВГнг(А)-FRLS (3х1,5) 2</v>
      </c>
      <c r="AK161" s="14" t="s">
        <v>72</v>
      </c>
      <c r="AL161" t="s">
        <v>152</v>
      </c>
      <c r="AM161">
        <v>3</v>
      </c>
      <c r="AN161">
        <v>1.5</v>
      </c>
      <c r="AO161">
        <v>2</v>
      </c>
    </row>
    <row r="162" spans="36:41" x14ac:dyDescent="0.3">
      <c r="AJ162" s="13" t="str">
        <f t="shared" si="4"/>
        <v>ВВГнг(А)-FRLS (3х2,5) 1</v>
      </c>
      <c r="AK162" s="14" t="s">
        <v>73</v>
      </c>
      <c r="AL162" t="s">
        <v>152</v>
      </c>
      <c r="AM162">
        <v>3</v>
      </c>
      <c r="AN162">
        <v>2.5</v>
      </c>
      <c r="AO162">
        <v>1</v>
      </c>
    </row>
    <row r="163" spans="36:41" x14ac:dyDescent="0.3">
      <c r="AJ163" s="13" t="str">
        <f t="shared" si="4"/>
        <v>ВВГнг(А)-FRLS (3х2,5) 2</v>
      </c>
      <c r="AK163" s="14" t="s">
        <v>74</v>
      </c>
      <c r="AL163" t="s">
        <v>152</v>
      </c>
      <c r="AM163">
        <v>3</v>
      </c>
      <c r="AN163">
        <v>2.5</v>
      </c>
      <c r="AO163">
        <v>2</v>
      </c>
    </row>
    <row r="164" spans="36:41" x14ac:dyDescent="0.3">
      <c r="AJ164" s="13" t="str">
        <f t="shared" si="4"/>
        <v>ВВГнг(А)-FRLS (3х4) 1</v>
      </c>
      <c r="AK164" s="14" t="s">
        <v>75</v>
      </c>
      <c r="AL164" t="s">
        <v>152</v>
      </c>
      <c r="AM164">
        <v>3</v>
      </c>
      <c r="AN164">
        <v>4</v>
      </c>
      <c r="AO164">
        <v>1</v>
      </c>
    </row>
    <row r="165" spans="36:41" x14ac:dyDescent="0.3">
      <c r="AJ165" s="13" t="str">
        <f t="shared" si="4"/>
        <v>ВВГнг(А)-FRLS (3х4) 2</v>
      </c>
      <c r="AK165" s="14" t="s">
        <v>76</v>
      </c>
      <c r="AL165" t="s">
        <v>152</v>
      </c>
      <c r="AM165">
        <v>3</v>
      </c>
      <c r="AN165">
        <v>4</v>
      </c>
      <c r="AO165">
        <v>2</v>
      </c>
    </row>
    <row r="166" spans="36:41" x14ac:dyDescent="0.3">
      <c r="AJ166" s="13" t="str">
        <f t="shared" si="4"/>
        <v>ВВГнг(А)-FRLS (3х6) 1</v>
      </c>
      <c r="AK166" s="14" t="s">
        <v>77</v>
      </c>
      <c r="AL166" t="s">
        <v>152</v>
      </c>
      <c r="AM166">
        <v>3</v>
      </c>
      <c r="AN166">
        <v>6</v>
      </c>
      <c r="AO166">
        <v>1</v>
      </c>
    </row>
    <row r="167" spans="36:41" x14ac:dyDescent="0.3">
      <c r="AJ167" s="13" t="str">
        <f t="shared" si="4"/>
        <v>ВВГнг(А)-FRLS (3х6) 2</v>
      </c>
      <c r="AK167" s="14" t="s">
        <v>78</v>
      </c>
      <c r="AL167" t="s">
        <v>152</v>
      </c>
      <c r="AM167">
        <v>3</v>
      </c>
      <c r="AN167">
        <v>6</v>
      </c>
      <c r="AO167">
        <v>2</v>
      </c>
    </row>
    <row r="168" spans="36:41" x14ac:dyDescent="0.3">
      <c r="AJ168" s="13" t="str">
        <f t="shared" si="4"/>
        <v>ВВГнг(А)-FRLS (5х1,5) 1</v>
      </c>
      <c r="AK168" s="14" t="s">
        <v>79</v>
      </c>
      <c r="AL168" t="s">
        <v>152</v>
      </c>
      <c r="AM168">
        <v>5</v>
      </c>
      <c r="AN168">
        <v>1.5</v>
      </c>
      <c r="AO168">
        <v>1</v>
      </c>
    </row>
    <row r="169" spans="36:41" x14ac:dyDescent="0.3">
      <c r="AJ169" s="13" t="str">
        <f t="shared" si="4"/>
        <v>ВВГнг(А)-FRLS (5х1,5) 2</v>
      </c>
      <c r="AK169" s="14" t="s">
        <v>80</v>
      </c>
      <c r="AL169" t="s">
        <v>152</v>
      </c>
      <c r="AM169">
        <v>5</v>
      </c>
      <c r="AN169">
        <v>1.5</v>
      </c>
      <c r="AO169">
        <v>2</v>
      </c>
    </row>
    <row r="170" spans="36:41" x14ac:dyDescent="0.3">
      <c r="AJ170" s="13" t="str">
        <f t="shared" si="4"/>
        <v>ВВГнг(А)-FRLS (5х2,5) 1</v>
      </c>
      <c r="AK170" s="14" t="s">
        <v>81</v>
      </c>
      <c r="AL170" t="s">
        <v>152</v>
      </c>
      <c r="AM170">
        <v>5</v>
      </c>
      <c r="AN170">
        <v>2.5</v>
      </c>
      <c r="AO170">
        <v>1</v>
      </c>
    </row>
    <row r="171" spans="36:41" x14ac:dyDescent="0.3">
      <c r="AJ171" s="13" t="str">
        <f t="shared" si="4"/>
        <v>ВВГнг(А)-FRLS (5х2,5) 2</v>
      </c>
      <c r="AK171" s="14" t="s">
        <v>82</v>
      </c>
      <c r="AL171" t="s">
        <v>152</v>
      </c>
      <c r="AM171">
        <v>5</v>
      </c>
      <c r="AN171">
        <v>2.5</v>
      </c>
      <c r="AO171">
        <v>2</v>
      </c>
    </row>
    <row r="172" spans="36:41" x14ac:dyDescent="0.3">
      <c r="AJ172" s="13" t="str">
        <f t="shared" si="4"/>
        <v>ВВГнг(А)-FRLS (5х4) 1</v>
      </c>
      <c r="AK172" s="14" t="s">
        <v>83</v>
      </c>
      <c r="AL172" t="s">
        <v>152</v>
      </c>
      <c r="AM172">
        <v>5</v>
      </c>
      <c r="AN172">
        <v>4</v>
      </c>
      <c r="AO172">
        <v>1</v>
      </c>
    </row>
    <row r="173" spans="36:41" x14ac:dyDescent="0.3">
      <c r="AJ173" s="13" t="str">
        <f t="shared" si="4"/>
        <v>ВВГнг(А)-FRLS (5х4) 1</v>
      </c>
      <c r="AK173" s="14" t="s">
        <v>84</v>
      </c>
      <c r="AL173" t="s">
        <v>152</v>
      </c>
      <c r="AM173">
        <v>5</v>
      </c>
      <c r="AN173">
        <v>4</v>
      </c>
      <c r="AO173">
        <v>1</v>
      </c>
    </row>
    <row r="174" spans="36:41" x14ac:dyDescent="0.3">
      <c r="AJ174" s="13" t="str">
        <f t="shared" si="4"/>
        <v>ВВГнг(А)-FRLS (5х6) 1</v>
      </c>
      <c r="AK174" s="14" t="s">
        <v>85</v>
      </c>
      <c r="AL174" t="s">
        <v>152</v>
      </c>
      <c r="AM174">
        <v>5</v>
      </c>
      <c r="AN174">
        <v>6</v>
      </c>
      <c r="AO174">
        <v>1</v>
      </c>
    </row>
    <row r="175" spans="36:41" x14ac:dyDescent="0.3">
      <c r="AJ175" s="13" t="str">
        <f t="shared" si="4"/>
        <v>ВВГнг(А)-FRLS (5х6) 2</v>
      </c>
      <c r="AK175" s="14" t="s">
        <v>86</v>
      </c>
      <c r="AL175" t="s">
        <v>152</v>
      </c>
      <c r="AM175">
        <v>5</v>
      </c>
      <c r="AN175">
        <v>6</v>
      </c>
      <c r="AO175">
        <v>2</v>
      </c>
    </row>
    <row r="176" spans="36:41" x14ac:dyDescent="0.3">
      <c r="AJ176" s="13" t="str">
        <f t="shared" si="4"/>
        <v>ВВГнг(А)-FRLS (5х10) 1</v>
      </c>
      <c r="AK176" s="14" t="s">
        <v>87</v>
      </c>
      <c r="AL176" t="s">
        <v>152</v>
      </c>
      <c r="AM176">
        <v>5</v>
      </c>
      <c r="AN176">
        <v>10</v>
      </c>
      <c r="AO176">
        <v>1</v>
      </c>
    </row>
    <row r="177" spans="36:41" x14ac:dyDescent="0.3">
      <c r="AJ177" s="13" t="str">
        <f t="shared" si="4"/>
        <v>ВВГнг(А)-FRLS (5х10) 2</v>
      </c>
      <c r="AK177" s="14" t="s">
        <v>88</v>
      </c>
      <c r="AL177" t="s">
        <v>152</v>
      </c>
      <c r="AM177">
        <v>5</v>
      </c>
      <c r="AN177">
        <v>10</v>
      </c>
      <c r="AO177">
        <v>2</v>
      </c>
    </row>
    <row r="178" spans="36:41" x14ac:dyDescent="0.3">
      <c r="AJ178" s="13" t="str">
        <f t="shared" si="4"/>
        <v>ВВГнг(А)-FRLS (5х16) 1</v>
      </c>
      <c r="AK178" s="14" t="s">
        <v>89</v>
      </c>
      <c r="AL178" t="s">
        <v>152</v>
      </c>
      <c r="AM178">
        <v>5</v>
      </c>
      <c r="AN178">
        <v>16</v>
      </c>
      <c r="AO178">
        <v>1</v>
      </c>
    </row>
    <row r="179" spans="36:41" x14ac:dyDescent="0.3">
      <c r="AJ179" s="13" t="str">
        <f t="shared" si="4"/>
        <v>ВВГнг(А)-FRLS (5х16) 2</v>
      </c>
      <c r="AK179" s="14" t="s">
        <v>90</v>
      </c>
      <c r="AL179" t="s">
        <v>152</v>
      </c>
      <c r="AM179">
        <v>5</v>
      </c>
      <c r="AN179">
        <v>16</v>
      </c>
      <c r="AO179">
        <v>2</v>
      </c>
    </row>
    <row r="180" spans="36:41" x14ac:dyDescent="0.3">
      <c r="AJ180" s="13" t="str">
        <f t="shared" si="4"/>
        <v>ВВГнг(А)-FRLS (5х25) 1</v>
      </c>
      <c r="AK180" s="14" t="s">
        <v>91</v>
      </c>
      <c r="AL180" t="s">
        <v>152</v>
      </c>
      <c r="AM180">
        <v>5</v>
      </c>
      <c r="AN180">
        <v>25</v>
      </c>
      <c r="AO180">
        <v>1</v>
      </c>
    </row>
    <row r="181" spans="36:41" x14ac:dyDescent="0.3">
      <c r="AJ181" s="13" t="str">
        <f t="shared" si="4"/>
        <v>ВВГнг(А)-FRLS (5х25) 2</v>
      </c>
      <c r="AK181" s="14" t="s">
        <v>92</v>
      </c>
      <c r="AL181" t="s">
        <v>152</v>
      </c>
      <c r="AM181">
        <v>5</v>
      </c>
      <c r="AN181">
        <v>25</v>
      </c>
      <c r="AO181">
        <v>2</v>
      </c>
    </row>
    <row r="182" spans="36:41" x14ac:dyDescent="0.3">
      <c r="AJ182" s="13" t="str">
        <f t="shared" si="4"/>
        <v>ВВГнг(А)-FRLS (5х35) 1</v>
      </c>
      <c r="AK182" s="14" t="s">
        <v>93</v>
      </c>
      <c r="AL182" t="s">
        <v>152</v>
      </c>
      <c r="AM182">
        <v>5</v>
      </c>
      <c r="AN182">
        <v>35</v>
      </c>
      <c r="AO182">
        <v>1</v>
      </c>
    </row>
    <row r="183" spans="36:41" x14ac:dyDescent="0.3">
      <c r="AJ183" s="13" t="str">
        <f t="shared" si="4"/>
        <v>ВВГнг(А)-FRLS (5х35) 2</v>
      </c>
      <c r="AK183" s="14" t="s">
        <v>94</v>
      </c>
      <c r="AL183" t="s">
        <v>152</v>
      </c>
      <c r="AM183">
        <v>5</v>
      </c>
      <c r="AN183">
        <v>35</v>
      </c>
      <c r="AO183">
        <v>2</v>
      </c>
    </row>
    <row r="184" spans="36:41" x14ac:dyDescent="0.3">
      <c r="AJ184" s="13" t="str">
        <f t="shared" si="4"/>
        <v>ВВГнг(А)-FRLS (5х50) 1</v>
      </c>
      <c r="AK184" s="14" t="s">
        <v>95</v>
      </c>
      <c r="AL184" t="s">
        <v>152</v>
      </c>
      <c r="AM184">
        <v>5</v>
      </c>
      <c r="AN184">
        <v>50</v>
      </c>
      <c r="AO184">
        <v>1</v>
      </c>
    </row>
    <row r="185" spans="36:41" x14ac:dyDescent="0.3">
      <c r="AJ185" s="13" t="str">
        <f t="shared" si="4"/>
        <v>ВВГнг(А)-FRLS (5х50) 2</v>
      </c>
      <c r="AK185" s="14" t="s">
        <v>96</v>
      </c>
      <c r="AL185" t="s">
        <v>152</v>
      </c>
      <c r="AM185">
        <v>5</v>
      </c>
      <c r="AN185">
        <v>50</v>
      </c>
      <c r="AO185">
        <v>2</v>
      </c>
    </row>
    <row r="186" spans="36:41" x14ac:dyDescent="0.3">
      <c r="AJ186" s="13" t="str">
        <f t="shared" si="4"/>
        <v>ВВГнг(А)-FRLS (5х95) 1</v>
      </c>
      <c r="AK186" s="14" t="s">
        <v>97</v>
      </c>
      <c r="AL186" t="s">
        <v>152</v>
      </c>
      <c r="AM186">
        <v>5</v>
      </c>
      <c r="AN186">
        <v>95</v>
      </c>
      <c r="AO186">
        <v>1</v>
      </c>
    </row>
    <row r="187" spans="36:41" x14ac:dyDescent="0.3">
      <c r="AJ187" s="13" t="str">
        <f t="shared" si="4"/>
        <v>ВВГнг(А)-FRLS (5х95) 2</v>
      </c>
      <c r="AK187" s="14" t="s">
        <v>98</v>
      </c>
      <c r="AL187" t="s">
        <v>152</v>
      </c>
      <c r="AM187">
        <v>5</v>
      </c>
      <c r="AN187">
        <v>95</v>
      </c>
      <c r="AO187">
        <v>2</v>
      </c>
    </row>
    <row r="188" spans="36:41" x14ac:dyDescent="0.3">
      <c r="AJ188" s="13" t="str">
        <f t="shared" si="4"/>
        <v>ВВГнг(А)-FRLS (5х120) 1</v>
      </c>
      <c r="AK188" s="14" t="s">
        <v>99</v>
      </c>
      <c r="AL188" t="s">
        <v>152</v>
      </c>
      <c r="AM188">
        <v>5</v>
      </c>
      <c r="AN188">
        <v>120</v>
      </c>
      <c r="AO188">
        <v>1</v>
      </c>
    </row>
    <row r="189" spans="36:41" x14ac:dyDescent="0.3">
      <c r="AJ189" s="13" t="str">
        <f t="shared" si="4"/>
        <v>ВВГнг(А)-FRLS (5х120) 2</v>
      </c>
      <c r="AK189" s="14" t="s">
        <v>100</v>
      </c>
      <c r="AL189" t="s">
        <v>152</v>
      </c>
      <c r="AM189">
        <v>5</v>
      </c>
      <c r="AN189">
        <v>120</v>
      </c>
      <c r="AO189">
        <v>2</v>
      </c>
    </row>
    <row r="190" spans="36:41" x14ac:dyDescent="0.3">
      <c r="AJ190" s="13" t="str">
        <f t="shared" si="4"/>
        <v>ВВГнг(А)-FRLS (5х95) 1</v>
      </c>
      <c r="AK190" s="14" t="s">
        <v>101</v>
      </c>
      <c r="AL190" t="s">
        <v>152</v>
      </c>
      <c r="AM190">
        <v>5</v>
      </c>
      <c r="AN190">
        <v>95</v>
      </c>
      <c r="AO190">
        <v>1</v>
      </c>
    </row>
    <row r="191" spans="36:41" x14ac:dyDescent="0.3">
      <c r="AJ191" s="13" t="str">
        <f t="shared" si="4"/>
        <v>ВВГнг(А)-FRLS (5х95) 2</v>
      </c>
      <c r="AK191" s="14" t="s">
        <v>102</v>
      </c>
      <c r="AL191" t="s">
        <v>152</v>
      </c>
      <c r="AM191">
        <v>5</v>
      </c>
      <c r="AN191">
        <v>95</v>
      </c>
      <c r="AO191">
        <v>2</v>
      </c>
    </row>
    <row r="192" spans="36:41" x14ac:dyDescent="0.3">
      <c r="AJ192" s="13" t="str">
        <f t="shared" si="4"/>
        <v>ВВГнг(А)-FRLS (5х120) 1</v>
      </c>
      <c r="AK192" s="14" t="s">
        <v>103</v>
      </c>
      <c r="AL192" t="s">
        <v>152</v>
      </c>
      <c r="AM192">
        <v>5</v>
      </c>
      <c r="AN192">
        <v>120</v>
      </c>
      <c r="AO192">
        <v>1</v>
      </c>
    </row>
    <row r="193" spans="36:41" x14ac:dyDescent="0.3">
      <c r="AJ193" s="13" t="str">
        <f t="shared" si="4"/>
        <v>ВВГнг(А)-FRLS (5х120) 2</v>
      </c>
      <c r="AK193" s="14" t="s">
        <v>104</v>
      </c>
      <c r="AL193" t="s">
        <v>152</v>
      </c>
      <c r="AM193">
        <v>5</v>
      </c>
      <c r="AN193">
        <v>120</v>
      </c>
      <c r="AO193">
        <v>2</v>
      </c>
    </row>
  </sheetData>
  <sheetProtection formatCells="0" formatColumns="0" formatRows="0"/>
  <mergeCells count="3">
    <mergeCell ref="L2:AG2"/>
    <mergeCell ref="AQ2:AS2"/>
    <mergeCell ref="AQ7:AS7"/>
  </mergeCells>
  <conditionalFormatting sqref="P9">
    <cfRule type="duplicateValues" dxfId="42" priority="23"/>
    <cfRule type="expression" dxfId="41" priority="24">
      <formula>_xlfn.ISFORMULA(P9)=TRUE</formula>
    </cfRule>
    <cfRule type="duplicateValues" dxfId="40" priority="25"/>
    <cfRule type="expression" dxfId="39" priority="26">
      <formula>_xlfn.ISFORMULA(P9)=TRUE</formula>
    </cfRule>
  </conditionalFormatting>
  <conditionalFormatting sqref="P12">
    <cfRule type="duplicateValues" dxfId="38" priority="18"/>
    <cfRule type="duplicateValues" dxfId="37" priority="19"/>
    <cfRule type="duplicateValues" dxfId="36" priority="20"/>
    <cfRule type="duplicateValues" dxfId="35" priority="21"/>
    <cfRule type="expression" dxfId="34" priority="22">
      <formula>_xlfn.ISFORMULA(P12)=TRUE</formula>
    </cfRule>
  </conditionalFormatting>
  <conditionalFormatting sqref="P14">
    <cfRule type="duplicateValues" dxfId="33" priority="14"/>
    <cfRule type="duplicateValues" dxfId="32" priority="15"/>
    <cfRule type="duplicateValues" dxfId="31" priority="16"/>
    <cfRule type="expression" dxfId="30" priority="17">
      <formula>_xlfn.ISFORMULA(P14)=TRUE</formula>
    </cfRule>
  </conditionalFormatting>
  <conditionalFormatting sqref="P18">
    <cfRule type="duplicateValues" dxfId="29" priority="6"/>
    <cfRule type="duplicateValues" dxfId="28" priority="7"/>
    <cfRule type="duplicateValues" dxfId="27" priority="8"/>
    <cfRule type="expression" dxfId="26" priority="9">
      <formula>_xlfn.ISFORMULA(P18)=TRUE</formula>
    </cfRule>
  </conditionalFormatting>
  <conditionalFormatting sqref="P45">
    <cfRule type="duplicateValues" dxfId="25" priority="31"/>
    <cfRule type="duplicateValues" dxfId="24" priority="32"/>
    <cfRule type="duplicateValues" dxfId="23" priority="33"/>
    <cfRule type="expression" dxfId="22" priority="34">
      <formula>_xlfn.ISFORMULA(P45)=TRUE</formula>
    </cfRule>
  </conditionalFormatting>
  <conditionalFormatting sqref="Q14">
    <cfRule type="duplicateValues" dxfId="21" priority="10"/>
    <cfRule type="duplicateValues" dxfId="20" priority="11"/>
    <cfRule type="duplicateValues" dxfId="19" priority="12"/>
    <cfRule type="expression" dxfId="18" priority="13">
      <formula>_xlfn.ISFORMULA(Q14)=TRUE</formula>
    </cfRule>
  </conditionalFormatting>
  <conditionalFormatting sqref="Q22:Q25">
    <cfRule type="expression" dxfId="17" priority="2">
      <formula>_xlfn.ISFORMULA(Q22)=TRUE</formula>
    </cfRule>
  </conditionalFormatting>
  <conditionalFormatting sqref="Q28">
    <cfRule type="expression" dxfId="16" priority="1">
      <formula>_xlfn.ISFORMULA(Q28)=TRUE</formula>
    </cfRule>
  </conditionalFormatting>
  <conditionalFormatting sqref="AV4:AV51">
    <cfRule type="expression" dxfId="15" priority="35">
      <formula>AND($AU4&lt;&gt;"",$AV4="")</formula>
    </cfRule>
  </conditionalFormatting>
  <dataValidations count="3">
    <dataValidation type="list" allowBlank="1" sqref="AV4:AV72" xr:uid="{00000000-0002-0000-0100-000000000000}">
      <formula1>$BA$4:$BA$30</formula1>
    </dataValidation>
    <dataValidation type="list" allowBlank="1" sqref="AW4:AW72" xr:uid="{00000000-0002-0000-0100-000001000000}">
      <formula1>"да,нет"</formula1>
    </dataValidation>
    <dataValidation type="list" allowBlank="1" showInputMessage="1" showErrorMessage="1" sqref="BD4:BD51" xr:uid="{18C5CAD0-3A30-44B0-A3DD-7B9358C61B4C}">
      <formula1>"да,нет"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60DF-5547-4C44-98CC-F4B5A8B0B139}">
  <sheetPr>
    <tabColor rgb="FFA6A6A6"/>
  </sheetPr>
  <dimension ref="B1:AF503"/>
  <sheetViews>
    <sheetView workbookViewId="0"/>
  </sheetViews>
  <sheetFormatPr defaultRowHeight="14.4" x14ac:dyDescent="0.3"/>
  <cols>
    <col min="2" max="2" width="18.109375" customWidth="1"/>
    <col min="3" max="3" width="7" bestFit="1" customWidth="1"/>
    <col min="4" max="4" width="9" bestFit="1" customWidth="1"/>
    <col min="5" max="6" width="6.109375" bestFit="1" customWidth="1"/>
    <col min="8" max="8" width="8.5546875" bestFit="1" customWidth="1"/>
    <col min="10" max="10" width="8.5546875" bestFit="1" customWidth="1"/>
    <col min="11" max="11" width="9.5546875" bestFit="1" customWidth="1"/>
    <col min="13" max="13" width="14.5546875" bestFit="1" customWidth="1"/>
    <col min="17" max="17" width="19.33203125" customWidth="1"/>
    <col min="18" max="18" width="15" customWidth="1"/>
    <col min="20" max="20" width="20.88671875" style="22" bestFit="1" customWidth="1"/>
    <col min="21" max="21" width="19" bestFit="1" customWidth="1"/>
    <col min="22" max="22" width="17.33203125" bestFit="1" customWidth="1"/>
    <col min="23" max="24" width="17.33203125" customWidth="1"/>
    <col min="26" max="26" width="10.88671875" bestFit="1" customWidth="1"/>
    <col min="27" max="27" width="7.88671875" bestFit="1" customWidth="1"/>
    <col min="30" max="30" width="11.33203125" bestFit="1" customWidth="1"/>
    <col min="31" max="31" width="10.88671875" bestFit="1" customWidth="1"/>
  </cols>
  <sheetData>
    <row r="1" spans="2:32" x14ac:dyDescent="0.3">
      <c r="T1" s="22">
        <v>1</v>
      </c>
      <c r="U1">
        <v>2</v>
      </c>
      <c r="V1">
        <v>3</v>
      </c>
      <c r="W1">
        <v>4</v>
      </c>
      <c r="X1">
        <v>5</v>
      </c>
    </row>
    <row r="2" spans="2:32" x14ac:dyDescent="0.3">
      <c r="B2" s="3" t="s">
        <v>161</v>
      </c>
      <c r="C2" s="20"/>
      <c r="D2" s="20"/>
      <c r="E2" s="20"/>
      <c r="F2" s="20"/>
      <c r="M2" s="3" t="s">
        <v>162</v>
      </c>
      <c r="Q2" s="3" t="s">
        <v>172</v>
      </c>
      <c r="Z2" s="3" t="s">
        <v>179</v>
      </c>
      <c r="AA2" t="s">
        <v>180</v>
      </c>
      <c r="AD2" s="3" t="s">
        <v>178</v>
      </c>
      <c r="AE2" t="s">
        <v>181</v>
      </c>
    </row>
    <row r="3" spans="2:32" x14ac:dyDescent="0.3">
      <c r="B3" s="3" t="s">
        <v>1</v>
      </c>
      <c r="C3" s="3" t="s">
        <v>167</v>
      </c>
      <c r="D3" s="3" t="s">
        <v>168</v>
      </c>
      <c r="E3" s="3" t="s">
        <v>169</v>
      </c>
      <c r="F3" s="3" t="s">
        <v>170</v>
      </c>
      <c r="G3" s="3" t="s">
        <v>158</v>
      </c>
      <c r="H3" s="3" t="s">
        <v>164</v>
      </c>
      <c r="I3" s="3" t="s">
        <v>159</v>
      </c>
      <c r="J3" s="3" t="s">
        <v>163</v>
      </c>
      <c r="K3" s="3" t="s">
        <v>160</v>
      </c>
      <c r="M3" s="3" t="s">
        <v>1</v>
      </c>
      <c r="N3" s="3" t="s">
        <v>165</v>
      </c>
      <c r="O3" s="3" t="s">
        <v>166</v>
      </c>
      <c r="Q3" s="3" t="s">
        <v>29</v>
      </c>
      <c r="R3" s="3" t="s">
        <v>173</v>
      </c>
      <c r="S3" s="3" t="s">
        <v>3</v>
      </c>
      <c r="T3" s="3" t="s">
        <v>9</v>
      </c>
      <c r="U3" s="3" t="s">
        <v>174</v>
      </c>
      <c r="V3" s="3" t="s">
        <v>192</v>
      </c>
      <c r="W3" s="3" t="s">
        <v>202</v>
      </c>
      <c r="X3" s="3" t="s">
        <v>203</v>
      </c>
      <c r="Z3" s="3" t="s">
        <v>177</v>
      </c>
      <c r="AA3" s="3" t="s">
        <v>157</v>
      </c>
      <c r="AB3" s="3" t="s">
        <v>176</v>
      </c>
      <c r="AD3" s="3" t="s">
        <v>177</v>
      </c>
      <c r="AE3" s="3" t="s">
        <v>157</v>
      </c>
      <c r="AF3" s="3" t="s">
        <v>176</v>
      </c>
    </row>
    <row r="4" spans="2:32" x14ac:dyDescent="0.3">
      <c r="B4" s="3">
        <v>0.09</v>
      </c>
      <c r="C4" s="3">
        <v>0.37</v>
      </c>
      <c r="D4" s="3">
        <v>1.67</v>
      </c>
      <c r="E4" s="3">
        <f>ROUNDUP(B4/G4/K4/0.22,2)</f>
        <v>0.85</v>
      </c>
      <c r="F4" s="3">
        <f>ROUNDUP(E4*J4,2)</f>
        <v>2.98</v>
      </c>
      <c r="G4" s="3">
        <v>0.56999999999999995</v>
      </c>
      <c r="H4" s="3">
        <v>4.5</v>
      </c>
      <c r="I4" s="3">
        <v>0.65</v>
      </c>
      <c r="J4" s="3">
        <v>3.5</v>
      </c>
      <c r="K4" s="3">
        <v>0.85</v>
      </c>
      <c r="M4" s="3">
        <v>0.01</v>
      </c>
      <c r="N4" s="3">
        <v>40</v>
      </c>
      <c r="O4" s="3">
        <v>0.11</v>
      </c>
      <c r="Q4" s="3" t="s">
        <v>12</v>
      </c>
      <c r="R4" s="3">
        <v>1</v>
      </c>
      <c r="S4" s="3">
        <v>1.5</v>
      </c>
      <c r="T4" s="21" t="str">
        <f>Q4&amp;" ("&amp;R4&amp;"х"&amp;S4&amp;")"</f>
        <v>ВВГнг(А)-LS (1х1,5)</v>
      </c>
      <c r="U4" s="3">
        <v>5.4</v>
      </c>
      <c r="V4" s="3">
        <f>IF((U4*1.2)&lt;14,14,U4*1.2)</f>
        <v>14</v>
      </c>
      <c r="W4" s="3" t="str">
        <f>"Ø"&amp;VLOOKUP(V4,$Z$4:$AA$10,2,TRUE)</f>
        <v>Ø20</v>
      </c>
      <c r="X4" s="3" t="str">
        <f>"Ø"&amp;VLOOKUP(V4,$AD$4:$AE$10,2,TRUE)</f>
        <v>Ø20</v>
      </c>
      <c r="Z4" s="3">
        <v>0</v>
      </c>
      <c r="AA4" s="3">
        <v>16</v>
      </c>
      <c r="AB4" s="3">
        <v>16</v>
      </c>
      <c r="AD4" s="3">
        <v>0</v>
      </c>
      <c r="AE4" s="3">
        <v>16</v>
      </c>
      <c r="AF4" s="3">
        <v>16</v>
      </c>
    </row>
    <row r="5" spans="2:32" x14ac:dyDescent="0.3">
      <c r="B5" s="3">
        <v>0.12</v>
      </c>
      <c r="C5" s="3">
        <v>0.49</v>
      </c>
      <c r="D5" s="3">
        <v>2.4500000000000002</v>
      </c>
      <c r="E5" s="3">
        <f t="shared" ref="E5:E16" si="0">ROUNDUP(B5/G5/K5/0.22,2)</f>
        <v>1.1300000000000001</v>
      </c>
      <c r="F5" s="3">
        <f t="shared" ref="F5:F16" si="1">ROUNDUP(E5*J5,2)</f>
        <v>3.96</v>
      </c>
      <c r="G5" s="3">
        <v>0.56999999999999995</v>
      </c>
      <c r="H5" s="3">
        <v>5</v>
      </c>
      <c r="I5" s="3">
        <v>0.66</v>
      </c>
      <c r="J5" s="3">
        <v>3.5</v>
      </c>
      <c r="K5" s="3">
        <v>0.85</v>
      </c>
      <c r="M5" s="3">
        <v>1.2E-2</v>
      </c>
      <c r="N5" s="3">
        <v>40</v>
      </c>
      <c r="O5" s="3">
        <v>0.13</v>
      </c>
      <c r="Q5" s="3" t="s">
        <v>12</v>
      </c>
      <c r="R5" s="3">
        <v>2</v>
      </c>
      <c r="S5" s="3">
        <v>1.5</v>
      </c>
      <c r="T5" s="21" t="str">
        <f t="shared" ref="T5:T23" si="2">Q5&amp;" ("&amp;R5&amp;"х"&amp;S5&amp;")"</f>
        <v>ВВГнг(А)-LS (2х1,5)</v>
      </c>
      <c r="U5" s="3">
        <v>9</v>
      </c>
      <c r="V5" s="3">
        <f t="shared" ref="V5:V68" si="3">IF((U5*1.2)&lt;14,14,U5*1.2)</f>
        <v>14</v>
      </c>
      <c r="W5" s="3" t="str">
        <f t="shared" ref="W5:W68" si="4">"Ø"&amp;VLOOKUP(V5,$Z$4:$AA$10,2,TRUE)</f>
        <v>Ø20</v>
      </c>
      <c r="X5" s="3" t="str">
        <f t="shared" ref="X5:X68" si="5">"Ø"&amp;VLOOKUP(V5,$AD$4:$AE$10,2,TRUE)</f>
        <v>Ø20</v>
      </c>
      <c r="Z5" s="3">
        <v>11.5</v>
      </c>
      <c r="AA5" s="3">
        <v>20</v>
      </c>
      <c r="AB5" s="3">
        <v>20</v>
      </c>
      <c r="AD5" s="3">
        <v>11.3</v>
      </c>
      <c r="AE5" s="3">
        <v>20</v>
      </c>
      <c r="AF5" s="3">
        <v>20</v>
      </c>
    </row>
    <row r="6" spans="2:32" x14ac:dyDescent="0.3">
      <c r="B6" s="3">
        <v>0.18</v>
      </c>
      <c r="C6" s="3">
        <v>0.67</v>
      </c>
      <c r="D6" s="3">
        <v>3.35</v>
      </c>
      <c r="E6" s="3">
        <f t="shared" si="0"/>
        <v>1.57</v>
      </c>
      <c r="F6" s="3">
        <f t="shared" si="1"/>
        <v>5.5</v>
      </c>
      <c r="G6" s="3">
        <v>0.6</v>
      </c>
      <c r="H6" s="3">
        <v>5</v>
      </c>
      <c r="I6" s="3">
        <v>0.68</v>
      </c>
      <c r="J6" s="3">
        <v>3.5</v>
      </c>
      <c r="K6" s="3">
        <v>0.87</v>
      </c>
      <c r="M6" s="3">
        <v>1.4999999999999999E-2</v>
      </c>
      <c r="N6" s="3">
        <v>45</v>
      </c>
      <c r="O6" s="3">
        <v>0.16</v>
      </c>
      <c r="Q6" s="3" t="s">
        <v>12</v>
      </c>
      <c r="R6" s="3">
        <v>3</v>
      </c>
      <c r="S6" s="3">
        <v>1.5</v>
      </c>
      <c r="T6" s="21" t="str">
        <f t="shared" si="2"/>
        <v>ВВГнг(А)-LS (3х1,5)</v>
      </c>
      <c r="U6" s="3">
        <v>9.4</v>
      </c>
      <c r="V6" s="3">
        <f t="shared" si="3"/>
        <v>14</v>
      </c>
      <c r="W6" s="3" t="str">
        <f t="shared" si="4"/>
        <v>Ø20</v>
      </c>
      <c r="X6" s="3" t="str">
        <f t="shared" si="5"/>
        <v>Ø20</v>
      </c>
      <c r="Z6" s="3">
        <v>14.9</v>
      </c>
      <c r="AA6" s="3">
        <v>25</v>
      </c>
      <c r="AB6" s="3">
        <v>25</v>
      </c>
      <c r="AD6" s="3">
        <v>14.5</v>
      </c>
      <c r="AE6" s="3">
        <v>25</v>
      </c>
      <c r="AF6" s="3">
        <v>25</v>
      </c>
    </row>
    <row r="7" spans="2:32" x14ac:dyDescent="0.3">
      <c r="B7" s="3">
        <v>0.25</v>
      </c>
      <c r="C7" s="3">
        <v>0.87</v>
      </c>
      <c r="D7" s="3">
        <v>4.3499999999999996</v>
      </c>
      <c r="E7" s="3">
        <f t="shared" si="0"/>
        <v>1.95</v>
      </c>
      <c r="F7" s="3">
        <f t="shared" si="1"/>
        <v>6.83</v>
      </c>
      <c r="G7" s="3">
        <v>0.65</v>
      </c>
      <c r="H7" s="3">
        <v>5</v>
      </c>
      <c r="I7" s="3">
        <v>0.67</v>
      </c>
      <c r="J7" s="3">
        <v>3.5</v>
      </c>
      <c r="K7" s="3">
        <v>0.9</v>
      </c>
      <c r="M7" s="3">
        <v>0.02</v>
      </c>
      <c r="N7" s="3">
        <v>45</v>
      </c>
      <c r="O7" s="3">
        <v>0.22</v>
      </c>
      <c r="Q7" s="3" t="s">
        <v>12</v>
      </c>
      <c r="R7" s="3">
        <v>4</v>
      </c>
      <c r="S7" s="3">
        <v>1.5</v>
      </c>
      <c r="T7" s="21" t="str">
        <f t="shared" si="2"/>
        <v>ВВГнг(А)-LS (4х1,5)</v>
      </c>
      <c r="U7" s="3">
        <v>10.199999999999999</v>
      </c>
      <c r="V7" s="3">
        <f t="shared" si="3"/>
        <v>14</v>
      </c>
      <c r="W7" s="3" t="str">
        <f t="shared" si="4"/>
        <v>Ø20</v>
      </c>
      <c r="X7" s="3" t="str">
        <f t="shared" si="5"/>
        <v>Ø20</v>
      </c>
      <c r="Z7" s="3">
        <v>19</v>
      </c>
      <c r="AA7" s="3">
        <v>32</v>
      </c>
      <c r="AB7" s="3">
        <v>32</v>
      </c>
      <c r="AD7" s="3">
        <v>18.7</v>
      </c>
      <c r="AE7" s="3">
        <v>32</v>
      </c>
      <c r="AF7" s="3">
        <v>32</v>
      </c>
    </row>
    <row r="8" spans="2:32" x14ac:dyDescent="0.3">
      <c r="B8" s="3">
        <v>0.37</v>
      </c>
      <c r="C8" s="3">
        <v>1.18</v>
      </c>
      <c r="D8" s="3">
        <v>5.8999999999999995</v>
      </c>
      <c r="E8" s="3">
        <f t="shared" si="0"/>
        <v>2.69</v>
      </c>
      <c r="F8" s="3">
        <f t="shared" si="1"/>
        <v>9.42</v>
      </c>
      <c r="G8" s="3">
        <v>0.68</v>
      </c>
      <c r="H8" s="3">
        <v>5</v>
      </c>
      <c r="I8" s="3">
        <v>0.7</v>
      </c>
      <c r="J8" s="3">
        <v>3.5</v>
      </c>
      <c r="K8" s="3">
        <v>0.92</v>
      </c>
      <c r="M8" s="3">
        <v>0.03</v>
      </c>
      <c r="N8" s="3">
        <v>50</v>
      </c>
      <c r="O8" s="3">
        <v>0.31</v>
      </c>
      <c r="Q8" s="3" t="s">
        <v>12</v>
      </c>
      <c r="R8" s="3">
        <v>5</v>
      </c>
      <c r="S8" s="3">
        <v>1.5</v>
      </c>
      <c r="T8" s="21" t="str">
        <f t="shared" si="2"/>
        <v>ВВГнг(А)-LS (5х1,5)</v>
      </c>
      <c r="U8" s="3">
        <v>11</v>
      </c>
      <c r="V8" s="3">
        <f t="shared" si="3"/>
        <v>14</v>
      </c>
      <c r="W8" s="3" t="str">
        <f t="shared" si="4"/>
        <v>Ø20</v>
      </c>
      <c r="X8" s="3" t="str">
        <f t="shared" si="5"/>
        <v>Ø20</v>
      </c>
      <c r="Z8" s="3">
        <v>24.9</v>
      </c>
      <c r="AA8" s="3">
        <v>40</v>
      </c>
      <c r="AB8" s="3">
        <v>40</v>
      </c>
      <c r="AD8" s="3">
        <v>24.3</v>
      </c>
      <c r="AE8" s="3">
        <v>40</v>
      </c>
      <c r="AF8" s="3">
        <v>40</v>
      </c>
    </row>
    <row r="9" spans="2:32" x14ac:dyDescent="0.3">
      <c r="B9" s="3">
        <v>0.55000000000000004</v>
      </c>
      <c r="C9" s="3">
        <v>1.66</v>
      </c>
      <c r="D9" s="3">
        <v>8.2999999999999989</v>
      </c>
      <c r="E9" s="3">
        <f t="shared" si="0"/>
        <v>3.7899999999999996</v>
      </c>
      <c r="F9" s="3">
        <f t="shared" si="1"/>
        <v>13.27</v>
      </c>
      <c r="G9" s="3">
        <v>0.71</v>
      </c>
      <c r="H9" s="3">
        <v>5</v>
      </c>
      <c r="I9" s="3">
        <v>0.71</v>
      </c>
      <c r="J9" s="3">
        <v>3.5</v>
      </c>
      <c r="K9" s="3">
        <v>0.93</v>
      </c>
      <c r="M9" s="3">
        <v>3.5999999999999997E-2</v>
      </c>
      <c r="N9" s="3">
        <v>50</v>
      </c>
      <c r="O9" s="3">
        <v>0.38</v>
      </c>
      <c r="Q9" s="3" t="s">
        <v>12</v>
      </c>
      <c r="R9" s="3">
        <v>1</v>
      </c>
      <c r="S9" s="3">
        <v>2.5</v>
      </c>
      <c r="T9" s="21" t="str">
        <f t="shared" si="2"/>
        <v>ВВГнг(А)-LS (1х2,5)</v>
      </c>
      <c r="U9" s="3">
        <v>5.8</v>
      </c>
      <c r="V9" s="3">
        <f t="shared" si="3"/>
        <v>14</v>
      </c>
      <c r="W9" s="3" t="str">
        <f t="shared" si="4"/>
        <v>Ø20</v>
      </c>
      <c r="X9" s="3" t="str">
        <f t="shared" si="5"/>
        <v>Ø20</v>
      </c>
      <c r="Z9" s="3">
        <v>31.8</v>
      </c>
      <c r="AA9" s="3">
        <v>50</v>
      </c>
      <c r="AB9" s="3">
        <v>50</v>
      </c>
      <c r="AD9" s="3">
        <v>30.7</v>
      </c>
      <c r="AE9" s="3">
        <v>50</v>
      </c>
      <c r="AF9" s="3">
        <v>50</v>
      </c>
    </row>
    <row r="10" spans="2:32" x14ac:dyDescent="0.3">
      <c r="B10" s="3">
        <v>0.75</v>
      </c>
      <c r="C10" s="3">
        <v>2.08</v>
      </c>
      <c r="D10" s="3">
        <v>10.4</v>
      </c>
      <c r="E10" s="3">
        <f t="shared" si="0"/>
        <v>4.97</v>
      </c>
      <c r="F10" s="3">
        <f t="shared" si="1"/>
        <v>17.400000000000002</v>
      </c>
      <c r="G10" s="3">
        <v>0.73</v>
      </c>
      <c r="H10" s="3">
        <v>5</v>
      </c>
      <c r="I10" s="3">
        <v>0.75</v>
      </c>
      <c r="J10" s="3">
        <v>3.5</v>
      </c>
      <c r="K10" s="3">
        <v>0.94</v>
      </c>
      <c r="M10" s="3">
        <v>0.04</v>
      </c>
      <c r="N10" s="3">
        <v>50</v>
      </c>
      <c r="O10" s="3">
        <v>0.4</v>
      </c>
      <c r="Q10" s="3" t="s">
        <v>12</v>
      </c>
      <c r="R10" s="3">
        <v>2</v>
      </c>
      <c r="S10" s="3">
        <v>2.5</v>
      </c>
      <c r="T10" s="21" t="str">
        <f t="shared" si="2"/>
        <v>ВВГнг(А)-LS (2х2,5)</v>
      </c>
      <c r="U10" s="3">
        <v>9.6999999999999993</v>
      </c>
      <c r="V10" s="3">
        <f t="shared" si="3"/>
        <v>14</v>
      </c>
      <c r="W10" s="3" t="str">
        <f t="shared" si="4"/>
        <v>Ø20</v>
      </c>
      <c r="X10" s="3" t="str">
        <f t="shared" si="5"/>
        <v>Ø20</v>
      </c>
      <c r="Z10" s="3">
        <v>40.200000000000003</v>
      </c>
      <c r="AA10" s="3" t="s">
        <v>204</v>
      </c>
      <c r="AB10" s="3" t="s">
        <v>204</v>
      </c>
      <c r="AD10" s="3">
        <v>38.9</v>
      </c>
      <c r="AE10" s="3" t="s">
        <v>204</v>
      </c>
      <c r="AF10" s="3" t="s">
        <v>204</v>
      </c>
    </row>
    <row r="11" spans="2:32" x14ac:dyDescent="0.3">
      <c r="B11" s="3">
        <v>1.1000000000000001</v>
      </c>
      <c r="C11" s="3">
        <v>2.85</v>
      </c>
      <c r="D11" s="3">
        <v>14.25</v>
      </c>
      <c r="E11" s="3">
        <f t="shared" si="0"/>
        <v>6.91</v>
      </c>
      <c r="F11" s="3">
        <f t="shared" si="1"/>
        <v>24.19</v>
      </c>
      <c r="G11" s="3">
        <v>0.76200000000000001</v>
      </c>
      <c r="H11" s="3">
        <v>5</v>
      </c>
      <c r="I11" s="3">
        <v>0.77</v>
      </c>
      <c r="J11" s="3">
        <v>3.5</v>
      </c>
      <c r="K11" s="3">
        <v>0.95</v>
      </c>
      <c r="M11" s="3">
        <v>4.4999999999999998E-2</v>
      </c>
      <c r="N11" s="3">
        <v>50</v>
      </c>
      <c r="O11" s="3">
        <v>0.45</v>
      </c>
      <c r="Q11" s="3" t="s">
        <v>12</v>
      </c>
      <c r="R11" s="3">
        <v>3</v>
      </c>
      <c r="S11" s="3">
        <v>2.5</v>
      </c>
      <c r="T11" s="21" t="str">
        <f t="shared" si="2"/>
        <v>ВВГнг(А)-LS (3х2,5)</v>
      </c>
      <c r="U11" s="3">
        <v>10.199999999999999</v>
      </c>
      <c r="V11" s="3">
        <f t="shared" si="3"/>
        <v>14</v>
      </c>
      <c r="W11" s="3" t="str">
        <f t="shared" si="4"/>
        <v>Ø20</v>
      </c>
      <c r="X11" s="3" t="str">
        <f t="shared" si="5"/>
        <v>Ø20</v>
      </c>
    </row>
    <row r="12" spans="2:32" x14ac:dyDescent="0.3">
      <c r="B12" s="3">
        <v>1.5</v>
      </c>
      <c r="C12" s="3">
        <v>3.63</v>
      </c>
      <c r="D12" s="3">
        <v>19.239999999999998</v>
      </c>
      <c r="E12" s="3">
        <f t="shared" si="0"/>
        <v>9.15</v>
      </c>
      <c r="F12" s="3">
        <f t="shared" si="1"/>
        <v>32.03</v>
      </c>
      <c r="G12" s="3">
        <v>0.78500000000000003</v>
      </c>
      <c r="H12" s="3">
        <v>5.3</v>
      </c>
      <c r="I12" s="3">
        <v>0.8</v>
      </c>
      <c r="J12" s="3">
        <v>3.5</v>
      </c>
      <c r="K12" s="3">
        <v>0.95</v>
      </c>
      <c r="M12" s="3">
        <v>0.06</v>
      </c>
      <c r="N12" s="3">
        <v>50</v>
      </c>
      <c r="O12" s="3">
        <v>0.75</v>
      </c>
      <c r="Q12" s="3" t="s">
        <v>12</v>
      </c>
      <c r="R12" s="3">
        <v>4</v>
      </c>
      <c r="S12" s="3">
        <v>2.5</v>
      </c>
      <c r="T12" s="21" t="str">
        <f t="shared" si="2"/>
        <v>ВВГнг(А)-LS (4х2,5)</v>
      </c>
      <c r="U12" s="3">
        <v>11.1</v>
      </c>
      <c r="V12" s="3">
        <f t="shared" si="3"/>
        <v>14</v>
      </c>
      <c r="W12" s="3" t="str">
        <f t="shared" si="4"/>
        <v>Ø20</v>
      </c>
      <c r="X12" s="3" t="str">
        <f t="shared" si="5"/>
        <v>Ø20</v>
      </c>
    </row>
    <row r="13" spans="2:32" x14ac:dyDescent="0.3">
      <c r="B13" s="3">
        <v>2.2000000000000002</v>
      </c>
      <c r="C13" s="3">
        <v>5.29</v>
      </c>
      <c r="D13" s="3">
        <v>31.740000000000002</v>
      </c>
      <c r="E13" s="3">
        <f t="shared" si="0"/>
        <v>13.16</v>
      </c>
      <c r="F13" s="3">
        <f t="shared" si="1"/>
        <v>46.06</v>
      </c>
      <c r="G13" s="3">
        <v>0.8</v>
      </c>
      <c r="H13" s="3">
        <v>6</v>
      </c>
      <c r="I13" s="3">
        <v>0.79</v>
      </c>
      <c r="J13" s="3">
        <v>3.5</v>
      </c>
      <c r="K13" s="3">
        <v>0.95</v>
      </c>
      <c r="M13" s="3">
        <v>0.08</v>
      </c>
      <c r="N13" s="3">
        <v>50</v>
      </c>
      <c r="O13" s="3">
        <v>0.81</v>
      </c>
      <c r="Q13" s="3" t="s">
        <v>12</v>
      </c>
      <c r="R13" s="3">
        <v>5</v>
      </c>
      <c r="S13" s="3">
        <v>2.5</v>
      </c>
      <c r="T13" s="21" t="str">
        <f t="shared" si="2"/>
        <v>ВВГнг(А)-LS (5х2,5)</v>
      </c>
      <c r="U13" s="3">
        <v>12</v>
      </c>
      <c r="V13" s="3">
        <f t="shared" si="3"/>
        <v>14.399999999999999</v>
      </c>
      <c r="W13" s="3" t="str">
        <f t="shared" si="4"/>
        <v>Ø20</v>
      </c>
      <c r="X13" s="3" t="str">
        <f t="shared" si="5"/>
        <v>Ø20</v>
      </c>
    </row>
    <row r="14" spans="2:32" x14ac:dyDescent="0.3">
      <c r="B14" s="3">
        <v>3</v>
      </c>
      <c r="C14" s="3">
        <v>6.73</v>
      </c>
      <c r="D14" s="3">
        <v>47.11</v>
      </c>
      <c r="E14" s="3">
        <f t="shared" si="0"/>
        <v>17.380000000000003</v>
      </c>
      <c r="F14" s="3">
        <f t="shared" si="1"/>
        <v>60.83</v>
      </c>
      <c r="G14" s="3">
        <v>0.82599999999999996</v>
      </c>
      <c r="H14" s="3">
        <v>7</v>
      </c>
      <c r="I14" s="3">
        <v>0.82</v>
      </c>
      <c r="J14" s="3">
        <v>3.5</v>
      </c>
      <c r="K14" s="3">
        <v>0.95</v>
      </c>
      <c r="M14" s="3">
        <v>0.1</v>
      </c>
      <c r="N14" s="3">
        <v>50</v>
      </c>
      <c r="O14" s="3">
        <v>1</v>
      </c>
      <c r="Q14" s="3" t="s">
        <v>12</v>
      </c>
      <c r="R14" s="3">
        <v>1</v>
      </c>
      <c r="S14" s="3">
        <v>4</v>
      </c>
      <c r="T14" s="21" t="str">
        <f t="shared" si="2"/>
        <v>ВВГнг(А)-LS (1х4)</v>
      </c>
      <c r="U14" s="3">
        <v>6.6</v>
      </c>
      <c r="V14" s="3">
        <f t="shared" si="3"/>
        <v>14</v>
      </c>
      <c r="W14" s="3" t="str">
        <f t="shared" si="4"/>
        <v>Ø20</v>
      </c>
      <c r="X14" s="3" t="str">
        <f t="shared" si="5"/>
        <v>Ø20</v>
      </c>
    </row>
    <row r="15" spans="2:32" x14ac:dyDescent="0.3">
      <c r="B15" s="3">
        <v>3.7</v>
      </c>
      <c r="C15" s="3">
        <v>8.1199999999999992</v>
      </c>
      <c r="D15" s="3">
        <v>56.839999999999996</v>
      </c>
      <c r="E15" s="3">
        <f t="shared" si="0"/>
        <v>21.23</v>
      </c>
      <c r="F15" s="3">
        <f t="shared" si="1"/>
        <v>74.31</v>
      </c>
      <c r="G15" s="3">
        <v>0.83400000000000007</v>
      </c>
      <c r="H15" s="3">
        <v>7</v>
      </c>
      <c r="I15" s="3">
        <v>0.83</v>
      </c>
      <c r="J15" s="3">
        <v>3.5</v>
      </c>
      <c r="K15" s="3">
        <v>0.95</v>
      </c>
      <c r="M15" s="3">
        <v>0.15</v>
      </c>
      <c r="N15" s="3">
        <v>65</v>
      </c>
      <c r="O15" s="3">
        <v>1.6</v>
      </c>
      <c r="Q15" s="3" t="s">
        <v>12</v>
      </c>
      <c r="R15" s="3">
        <v>2</v>
      </c>
      <c r="S15" s="3">
        <v>4</v>
      </c>
      <c r="T15" s="21" t="str">
        <f t="shared" si="2"/>
        <v>ВВГнг(А)-LS (2х4)</v>
      </c>
      <c r="U15" s="3">
        <v>11.4</v>
      </c>
      <c r="V15" s="3">
        <f t="shared" si="3"/>
        <v>14</v>
      </c>
      <c r="W15" s="3" t="str">
        <f t="shared" si="4"/>
        <v>Ø20</v>
      </c>
      <c r="X15" s="3" t="str">
        <f t="shared" si="5"/>
        <v>Ø20</v>
      </c>
    </row>
    <row r="16" spans="2:32" x14ac:dyDescent="0.3">
      <c r="B16" s="3">
        <v>4</v>
      </c>
      <c r="C16" s="3">
        <v>8.59</v>
      </c>
      <c r="D16" s="3">
        <v>60.129999999999995</v>
      </c>
      <c r="E16" s="3">
        <f t="shared" si="0"/>
        <v>22.740000000000002</v>
      </c>
      <c r="F16" s="3">
        <f t="shared" si="1"/>
        <v>79.59</v>
      </c>
      <c r="G16" s="3">
        <v>0.84200000000000008</v>
      </c>
      <c r="H16" s="3">
        <v>7</v>
      </c>
      <c r="I16" s="3">
        <v>0.84</v>
      </c>
      <c r="J16" s="3">
        <v>3.5</v>
      </c>
      <c r="K16" s="3">
        <v>0.95</v>
      </c>
      <c r="M16" s="3">
        <v>0.2</v>
      </c>
      <c r="N16" s="3">
        <v>65</v>
      </c>
      <c r="O16" s="3">
        <v>2</v>
      </c>
      <c r="Q16" s="3" t="s">
        <v>12</v>
      </c>
      <c r="R16" s="3">
        <v>3</v>
      </c>
      <c r="S16" s="3">
        <v>4</v>
      </c>
      <c r="T16" s="21" t="str">
        <f t="shared" si="2"/>
        <v>ВВГнг(А)-LS (3х4)</v>
      </c>
      <c r="U16" s="3">
        <v>12.1</v>
      </c>
      <c r="V16" s="3">
        <f t="shared" si="3"/>
        <v>14.52</v>
      </c>
      <c r="W16" s="3" t="str">
        <f t="shared" si="4"/>
        <v>Ø20</v>
      </c>
      <c r="X16" s="3" t="str">
        <f t="shared" si="5"/>
        <v>Ø25</v>
      </c>
    </row>
    <row r="17" spans="2:24" x14ac:dyDescent="0.3">
      <c r="B17" s="3">
        <v>5.5</v>
      </c>
      <c r="C17" s="3">
        <v>11.34</v>
      </c>
      <c r="D17" s="3">
        <v>79.38</v>
      </c>
      <c r="E17" s="3">
        <f t="shared" ref="E17" si="6">ROUNDUP(B17/G17/K17/0.22,2)</f>
        <v>30.71</v>
      </c>
      <c r="F17" s="3">
        <f t="shared" ref="F17" si="7">ROUNDUP(E17*J17,2)</f>
        <v>199.62</v>
      </c>
      <c r="G17" s="3">
        <v>0.85699999999999998</v>
      </c>
      <c r="H17" s="3">
        <v>7</v>
      </c>
      <c r="I17" s="3">
        <v>0.86</v>
      </c>
      <c r="J17" s="3">
        <v>6.5</v>
      </c>
      <c r="K17" s="3">
        <v>0.95</v>
      </c>
      <c r="M17" s="3">
        <v>0.25</v>
      </c>
      <c r="N17" s="3">
        <v>65</v>
      </c>
      <c r="O17" s="3">
        <v>2.6</v>
      </c>
      <c r="Q17" s="3" t="s">
        <v>12</v>
      </c>
      <c r="R17" s="3">
        <v>4</v>
      </c>
      <c r="S17" s="3">
        <v>4</v>
      </c>
      <c r="T17" s="21" t="str">
        <f t="shared" si="2"/>
        <v>ВВГнг(А)-LS (4х4)</v>
      </c>
      <c r="U17" s="3">
        <v>13.2</v>
      </c>
      <c r="V17" s="3">
        <f t="shared" si="3"/>
        <v>15.839999999999998</v>
      </c>
      <c r="W17" s="3" t="str">
        <f t="shared" si="4"/>
        <v>Ø25</v>
      </c>
      <c r="X17" s="3" t="str">
        <f t="shared" si="5"/>
        <v>Ø25</v>
      </c>
    </row>
    <row r="18" spans="2:24" x14ac:dyDescent="0.3">
      <c r="B18" s="3">
        <v>7.5</v>
      </c>
      <c r="C18" s="3">
        <v>15.23</v>
      </c>
      <c r="D18" s="3">
        <v>114.26</v>
      </c>
      <c r="E18" s="3"/>
      <c r="F18" s="3"/>
      <c r="G18" s="3">
        <v>0.87</v>
      </c>
      <c r="H18" s="3">
        <v>7.5</v>
      </c>
      <c r="I18" s="3">
        <v>0.86</v>
      </c>
      <c r="J18" s="3"/>
      <c r="K18" s="3"/>
      <c r="M18" s="3">
        <v>0.3</v>
      </c>
      <c r="N18" s="3">
        <v>70</v>
      </c>
      <c r="O18" s="3">
        <v>2.8</v>
      </c>
      <c r="Q18" s="3" t="s">
        <v>12</v>
      </c>
      <c r="R18" s="3">
        <v>5</v>
      </c>
      <c r="S18" s="3">
        <v>4</v>
      </c>
      <c r="T18" s="21" t="str">
        <f t="shared" si="2"/>
        <v>ВВГнг(А)-LS (5х4)</v>
      </c>
      <c r="U18" s="3">
        <v>14.4</v>
      </c>
      <c r="V18" s="3">
        <f t="shared" si="3"/>
        <v>17.28</v>
      </c>
      <c r="W18" s="3" t="str">
        <f t="shared" si="4"/>
        <v>Ø25</v>
      </c>
      <c r="X18" s="3" t="str">
        <f t="shared" si="5"/>
        <v>Ø25</v>
      </c>
    </row>
    <row r="19" spans="2:24" x14ac:dyDescent="0.3">
      <c r="B19" s="3">
        <v>9.1999999999999993</v>
      </c>
      <c r="C19" s="3">
        <v>18.79</v>
      </c>
      <c r="D19" s="3">
        <v>131.53</v>
      </c>
      <c r="E19" s="3"/>
      <c r="F19" s="3"/>
      <c r="G19" s="3">
        <v>0.875</v>
      </c>
      <c r="H19" s="3">
        <v>7</v>
      </c>
      <c r="I19" s="3">
        <v>0.85</v>
      </c>
      <c r="J19" s="3"/>
      <c r="K19" s="3"/>
      <c r="M19" s="3">
        <v>0.4</v>
      </c>
      <c r="N19" s="3">
        <v>70</v>
      </c>
      <c r="O19" s="3">
        <v>3.6</v>
      </c>
      <c r="Q19" s="3" t="s">
        <v>12</v>
      </c>
      <c r="R19" s="3">
        <v>1</v>
      </c>
      <c r="S19" s="3">
        <v>6</v>
      </c>
      <c r="T19" s="21" t="str">
        <f t="shared" si="2"/>
        <v>ВВГнг(А)-LS (1х6)</v>
      </c>
      <c r="U19" s="3">
        <v>7.1</v>
      </c>
      <c r="V19" s="3">
        <f t="shared" si="3"/>
        <v>14</v>
      </c>
      <c r="W19" s="3" t="str">
        <f t="shared" si="4"/>
        <v>Ø20</v>
      </c>
      <c r="X19" s="3" t="str">
        <f t="shared" si="5"/>
        <v>Ø20</v>
      </c>
    </row>
    <row r="20" spans="2:24" x14ac:dyDescent="0.3">
      <c r="B20" s="3">
        <v>11</v>
      </c>
      <c r="C20" s="3">
        <v>22.24</v>
      </c>
      <c r="D20" s="3">
        <v>166.79999999999998</v>
      </c>
      <c r="E20" s="3"/>
      <c r="F20" s="3"/>
      <c r="G20" s="3">
        <v>0.88400000000000001</v>
      </c>
      <c r="H20" s="3">
        <v>7.5</v>
      </c>
      <c r="I20" s="3">
        <v>0.85</v>
      </c>
      <c r="J20" s="3"/>
      <c r="K20" s="3"/>
      <c r="Q20" s="3" t="s">
        <v>12</v>
      </c>
      <c r="R20" s="3">
        <v>2</v>
      </c>
      <c r="S20" s="3">
        <v>6</v>
      </c>
      <c r="T20" s="21" t="str">
        <f t="shared" si="2"/>
        <v>ВВГнг(А)-LS (2х6)</v>
      </c>
      <c r="U20" s="3">
        <v>12.4</v>
      </c>
      <c r="V20" s="3">
        <f t="shared" si="3"/>
        <v>14.879999999999999</v>
      </c>
      <c r="W20" s="3" t="str">
        <f t="shared" si="4"/>
        <v>Ø20</v>
      </c>
      <c r="X20" s="3" t="str">
        <f t="shared" si="5"/>
        <v>Ø25</v>
      </c>
    </row>
    <row r="21" spans="2:24" x14ac:dyDescent="0.3">
      <c r="B21" s="3">
        <v>15</v>
      </c>
      <c r="C21" s="3">
        <v>29.3</v>
      </c>
      <c r="D21" s="3">
        <v>205.1</v>
      </c>
      <c r="E21" s="3"/>
      <c r="F21" s="3"/>
      <c r="G21" s="3">
        <v>0.89400000000000002</v>
      </c>
      <c r="H21" s="3">
        <v>7</v>
      </c>
      <c r="I21" s="3">
        <v>0.87</v>
      </c>
      <c r="J21" s="3"/>
      <c r="K21" s="3"/>
      <c r="Q21" s="3" t="s">
        <v>12</v>
      </c>
      <c r="R21" s="3">
        <v>3</v>
      </c>
      <c r="S21" s="3">
        <v>6</v>
      </c>
      <c r="T21" s="21" t="str">
        <f t="shared" si="2"/>
        <v>ВВГнг(А)-LS (3х6)</v>
      </c>
      <c r="U21" s="3">
        <v>13.1</v>
      </c>
      <c r="V21" s="3">
        <f t="shared" si="3"/>
        <v>15.719999999999999</v>
      </c>
      <c r="W21" s="3" t="str">
        <f t="shared" si="4"/>
        <v>Ø25</v>
      </c>
      <c r="X21" s="3" t="str">
        <f t="shared" si="5"/>
        <v>Ø25</v>
      </c>
    </row>
    <row r="22" spans="2:24" x14ac:dyDescent="0.3">
      <c r="B22" s="3">
        <v>18.5</v>
      </c>
      <c r="C22" s="3">
        <v>35.9</v>
      </c>
      <c r="D22" s="3">
        <v>251.29999999999998</v>
      </c>
      <c r="E22" s="3"/>
      <c r="F22" s="3"/>
      <c r="G22" s="3">
        <v>0.9</v>
      </c>
      <c r="H22" s="3">
        <v>7</v>
      </c>
      <c r="I22" s="3">
        <v>0.87</v>
      </c>
      <c r="J22" s="3"/>
      <c r="K22" s="3"/>
      <c r="Q22" s="3" t="s">
        <v>12</v>
      </c>
      <c r="R22" s="3">
        <v>4</v>
      </c>
      <c r="S22" s="3">
        <v>6</v>
      </c>
      <c r="T22" s="21" t="str">
        <f t="shared" si="2"/>
        <v>ВВГнг(А)-LS (4х6)</v>
      </c>
      <c r="U22" s="3">
        <v>14.4</v>
      </c>
      <c r="V22" s="3">
        <f t="shared" si="3"/>
        <v>17.28</v>
      </c>
      <c r="W22" s="3" t="str">
        <f t="shared" si="4"/>
        <v>Ø25</v>
      </c>
      <c r="X22" s="3" t="str">
        <f t="shared" si="5"/>
        <v>Ø25</v>
      </c>
    </row>
    <row r="23" spans="2:24" x14ac:dyDescent="0.3">
      <c r="B23" s="3">
        <v>22</v>
      </c>
      <c r="C23" s="3">
        <v>42.45</v>
      </c>
      <c r="D23" s="3">
        <v>297.15000000000003</v>
      </c>
      <c r="E23" s="3"/>
      <c r="F23" s="3"/>
      <c r="G23" s="3">
        <v>0.90500000000000003</v>
      </c>
      <c r="H23" s="3">
        <v>7</v>
      </c>
      <c r="I23" s="3">
        <v>0.87</v>
      </c>
      <c r="J23" s="3"/>
      <c r="K23" s="3"/>
      <c r="Q23" s="3" t="s">
        <v>12</v>
      </c>
      <c r="R23" s="3">
        <v>5</v>
      </c>
      <c r="S23" s="3">
        <v>6</v>
      </c>
      <c r="T23" s="21" t="str">
        <f t="shared" si="2"/>
        <v>ВВГнг(А)-LS (5х6)</v>
      </c>
      <c r="U23" s="3">
        <v>15.7</v>
      </c>
      <c r="V23" s="3">
        <f t="shared" si="3"/>
        <v>18.84</v>
      </c>
      <c r="W23" s="3" t="str">
        <f t="shared" si="4"/>
        <v>Ø25</v>
      </c>
      <c r="X23" s="3" t="str">
        <f t="shared" si="5"/>
        <v>Ø32</v>
      </c>
    </row>
    <row r="24" spans="2:24" x14ac:dyDescent="0.3">
      <c r="B24" s="3">
        <v>27</v>
      </c>
      <c r="C24" s="3">
        <v>51.82</v>
      </c>
      <c r="D24" s="3">
        <v>362.74</v>
      </c>
      <c r="E24" s="3"/>
      <c r="F24" s="3"/>
      <c r="G24" s="3">
        <v>0.91</v>
      </c>
      <c r="H24" s="3">
        <v>7</v>
      </c>
      <c r="I24" s="3">
        <v>0.87</v>
      </c>
      <c r="J24" s="3"/>
      <c r="K24" s="3"/>
      <c r="Q24" s="3" t="s">
        <v>152</v>
      </c>
      <c r="R24" s="3">
        <v>1</v>
      </c>
      <c r="S24" s="3">
        <v>1.5</v>
      </c>
      <c r="T24" s="21" t="str">
        <f>Q24&amp;" ("&amp;R24&amp;"х"&amp;S24&amp;")"</f>
        <v>ВВГнг(А)-FRLS (1х1,5)</v>
      </c>
      <c r="U24" s="3">
        <v>7.2</v>
      </c>
      <c r="V24" s="3">
        <f t="shared" si="3"/>
        <v>14</v>
      </c>
      <c r="W24" s="3" t="str">
        <f t="shared" si="4"/>
        <v>Ø20</v>
      </c>
      <c r="X24" s="3" t="str">
        <f t="shared" si="5"/>
        <v>Ø20</v>
      </c>
    </row>
    <row r="25" spans="2:24" x14ac:dyDescent="0.3">
      <c r="B25" s="3">
        <v>30</v>
      </c>
      <c r="C25" s="3">
        <v>56.03</v>
      </c>
      <c r="D25" s="3">
        <v>392.21000000000004</v>
      </c>
      <c r="E25" s="3"/>
      <c r="F25" s="3"/>
      <c r="G25" s="3">
        <v>0.91400000000000003</v>
      </c>
      <c r="H25" s="3">
        <v>7</v>
      </c>
      <c r="I25" s="3">
        <v>0.89</v>
      </c>
      <c r="J25" s="3"/>
      <c r="K25" s="3"/>
      <c r="Q25" s="3" t="s">
        <v>152</v>
      </c>
      <c r="R25" s="3">
        <v>2</v>
      </c>
      <c r="S25" s="3">
        <v>1.5</v>
      </c>
      <c r="T25" s="21" t="str">
        <f t="shared" ref="T25:T43" si="8">Q25&amp;" ("&amp;R25&amp;"х"&amp;S25&amp;")"</f>
        <v>ВВГнг(А)-FRLS (2х1,5)</v>
      </c>
      <c r="U25" s="3">
        <v>14.1</v>
      </c>
      <c r="V25" s="3">
        <f t="shared" si="3"/>
        <v>16.919999999999998</v>
      </c>
      <c r="W25" s="3" t="str">
        <f t="shared" si="4"/>
        <v>Ø25</v>
      </c>
      <c r="X25" s="3" t="str">
        <f t="shared" si="5"/>
        <v>Ø25</v>
      </c>
    </row>
    <row r="26" spans="2:24" x14ac:dyDescent="0.3">
      <c r="B26" s="3">
        <v>37</v>
      </c>
      <c r="C26" s="3">
        <v>68.66</v>
      </c>
      <c r="D26" s="3">
        <v>514.94999999999993</v>
      </c>
      <c r="E26" s="3"/>
      <c r="F26" s="3"/>
      <c r="G26" s="3">
        <v>0.92</v>
      </c>
      <c r="H26" s="3">
        <v>7.5</v>
      </c>
      <c r="I26" s="3">
        <v>0.89</v>
      </c>
      <c r="J26" s="3"/>
      <c r="K26" s="3"/>
      <c r="Q26" s="3" t="s">
        <v>152</v>
      </c>
      <c r="R26" s="3">
        <v>3</v>
      </c>
      <c r="S26" s="3">
        <v>1.5</v>
      </c>
      <c r="T26" s="21" t="str">
        <f t="shared" si="8"/>
        <v>ВВГнг(А)-FRLS (3х1,5)</v>
      </c>
      <c r="U26" s="3">
        <v>14.8</v>
      </c>
      <c r="V26" s="3">
        <f t="shared" si="3"/>
        <v>17.760000000000002</v>
      </c>
      <c r="W26" s="3" t="str">
        <f t="shared" si="4"/>
        <v>Ø25</v>
      </c>
      <c r="X26" s="3" t="str">
        <f t="shared" si="5"/>
        <v>Ø25</v>
      </c>
    </row>
    <row r="27" spans="2:24" x14ac:dyDescent="0.3">
      <c r="B27" s="3">
        <v>45</v>
      </c>
      <c r="C27" s="3">
        <v>83.05</v>
      </c>
      <c r="D27" s="3">
        <v>622.86</v>
      </c>
      <c r="E27" s="3"/>
      <c r="F27" s="3"/>
      <c r="G27" s="3">
        <v>0.92500000000000004</v>
      </c>
      <c r="H27" s="3">
        <v>7.5</v>
      </c>
      <c r="I27" s="3">
        <v>0.89</v>
      </c>
      <c r="J27" s="3"/>
      <c r="K27" s="3"/>
      <c r="Q27" s="3" t="s">
        <v>152</v>
      </c>
      <c r="R27" s="3">
        <v>4</v>
      </c>
      <c r="S27" s="3">
        <v>1.5</v>
      </c>
      <c r="T27" s="21" t="str">
        <f t="shared" si="8"/>
        <v>ВВГнг(А)-FRLS (4х1,5)</v>
      </c>
      <c r="U27" s="3">
        <v>15.9</v>
      </c>
      <c r="V27" s="3">
        <f t="shared" si="3"/>
        <v>19.079999999999998</v>
      </c>
      <c r="W27" s="3" t="str">
        <f t="shared" si="4"/>
        <v>Ø32</v>
      </c>
      <c r="X27" s="3" t="str">
        <f t="shared" si="5"/>
        <v>Ø32</v>
      </c>
    </row>
    <row r="28" spans="2:24" x14ac:dyDescent="0.3">
      <c r="B28" s="3">
        <v>55</v>
      </c>
      <c r="C28" s="3">
        <v>100.96</v>
      </c>
      <c r="D28" s="3">
        <v>706.71999999999991</v>
      </c>
      <c r="E28" s="3"/>
      <c r="F28" s="3"/>
      <c r="G28" s="3">
        <v>0.93</v>
      </c>
      <c r="H28" s="3">
        <v>7</v>
      </c>
      <c r="I28" s="3">
        <v>0.89</v>
      </c>
      <c r="J28" s="3"/>
      <c r="K28" s="3"/>
      <c r="Q28" s="3" t="s">
        <v>152</v>
      </c>
      <c r="R28" s="3">
        <v>5</v>
      </c>
      <c r="S28" s="3">
        <v>1.5</v>
      </c>
      <c r="T28" s="21" t="str">
        <f t="shared" si="8"/>
        <v>ВВГнг(А)-FRLS (5х1,5)</v>
      </c>
      <c r="U28" s="3">
        <v>17.2</v>
      </c>
      <c r="V28" s="3">
        <f t="shared" si="3"/>
        <v>20.639999999999997</v>
      </c>
      <c r="W28" s="3" t="str">
        <f t="shared" si="4"/>
        <v>Ø32</v>
      </c>
      <c r="X28" s="3" t="str">
        <f t="shared" si="5"/>
        <v>Ø32</v>
      </c>
    </row>
    <row r="29" spans="2:24" x14ac:dyDescent="0.3">
      <c r="B29" s="3">
        <v>75</v>
      </c>
      <c r="C29" s="3">
        <v>138.35</v>
      </c>
      <c r="D29" s="3">
        <v>1037.6300000000001</v>
      </c>
      <c r="E29" s="3"/>
      <c r="F29" s="3"/>
      <c r="G29" s="3">
        <v>0.93599999999999994</v>
      </c>
      <c r="H29" s="3">
        <v>7.5</v>
      </c>
      <c r="I29" s="3">
        <v>0.88</v>
      </c>
      <c r="J29" s="3"/>
      <c r="K29" s="3"/>
      <c r="Q29" s="3" t="s">
        <v>152</v>
      </c>
      <c r="R29" s="3">
        <v>1</v>
      </c>
      <c r="S29" s="3">
        <v>2.5</v>
      </c>
      <c r="T29" s="21" t="str">
        <f t="shared" si="8"/>
        <v>ВВГнг(А)-FRLS (1х2,5)</v>
      </c>
      <c r="U29" s="3">
        <v>7.6</v>
      </c>
      <c r="V29" s="3">
        <f t="shared" si="3"/>
        <v>14</v>
      </c>
      <c r="W29" s="3" t="str">
        <f t="shared" si="4"/>
        <v>Ø20</v>
      </c>
      <c r="X29" s="3" t="str">
        <f t="shared" si="5"/>
        <v>Ø20</v>
      </c>
    </row>
    <row r="30" spans="2:24" x14ac:dyDescent="0.3">
      <c r="B30" s="3">
        <v>76</v>
      </c>
      <c r="C30" s="3">
        <v>140.19</v>
      </c>
      <c r="D30" s="3">
        <v>1051.43</v>
      </c>
      <c r="E30" s="3"/>
      <c r="F30" s="3"/>
      <c r="G30" s="3">
        <v>0.93599999999999994</v>
      </c>
      <c r="H30" s="3">
        <v>7.5</v>
      </c>
      <c r="I30" s="3">
        <v>0.88</v>
      </c>
      <c r="J30" s="3"/>
      <c r="K30" s="3"/>
      <c r="Q30" s="3" t="s">
        <v>152</v>
      </c>
      <c r="R30" s="3">
        <v>2</v>
      </c>
      <c r="S30" s="3">
        <v>2.5</v>
      </c>
      <c r="T30" s="21" t="str">
        <f t="shared" si="8"/>
        <v>ВВГнг(А)-FRLS (2х2,5)</v>
      </c>
      <c r="U30" s="3">
        <v>14.9</v>
      </c>
      <c r="V30" s="3">
        <f t="shared" si="3"/>
        <v>17.88</v>
      </c>
      <c r="W30" s="3" t="str">
        <f t="shared" si="4"/>
        <v>Ø25</v>
      </c>
      <c r="X30" s="3" t="str">
        <f t="shared" si="5"/>
        <v>Ø25</v>
      </c>
    </row>
    <row r="31" spans="2:24" x14ac:dyDescent="0.3">
      <c r="B31" s="3">
        <v>90</v>
      </c>
      <c r="C31" s="3">
        <v>163.63</v>
      </c>
      <c r="D31" s="3">
        <v>1227.23</v>
      </c>
      <c r="E31" s="3"/>
      <c r="F31" s="3"/>
      <c r="G31" s="3">
        <v>0.93900000000000006</v>
      </c>
      <c r="H31" s="3">
        <v>7.5</v>
      </c>
      <c r="I31" s="3">
        <v>0.89</v>
      </c>
      <c r="J31" s="3"/>
      <c r="K31" s="3"/>
      <c r="Q31" s="3" t="s">
        <v>152</v>
      </c>
      <c r="R31" s="3">
        <v>3</v>
      </c>
      <c r="S31" s="3">
        <v>2.5</v>
      </c>
      <c r="T31" s="21" t="str">
        <f t="shared" si="8"/>
        <v>ВВГнг(А)-FRLS (3х2,5)</v>
      </c>
      <c r="U31" s="3">
        <v>15.6</v>
      </c>
      <c r="V31" s="3">
        <f t="shared" si="3"/>
        <v>18.72</v>
      </c>
      <c r="W31" s="3" t="str">
        <f t="shared" si="4"/>
        <v>Ø25</v>
      </c>
      <c r="X31" s="3" t="str">
        <f t="shared" si="5"/>
        <v>Ø32</v>
      </c>
    </row>
    <row r="32" spans="2:24" x14ac:dyDescent="0.3">
      <c r="B32" s="3">
        <v>110</v>
      </c>
      <c r="C32" s="3">
        <v>198.72</v>
      </c>
      <c r="D32" s="3">
        <v>1291.68</v>
      </c>
      <c r="E32" s="3"/>
      <c r="F32" s="3"/>
      <c r="G32" s="3">
        <v>0.94499999999999995</v>
      </c>
      <c r="H32" s="3">
        <v>6.5</v>
      </c>
      <c r="I32" s="3">
        <v>0.89</v>
      </c>
      <c r="J32" s="3"/>
      <c r="K32" s="3"/>
      <c r="Q32" s="3" t="s">
        <v>152</v>
      </c>
      <c r="R32" s="3">
        <v>4</v>
      </c>
      <c r="S32" s="3">
        <v>2.5</v>
      </c>
      <c r="T32" s="21" t="str">
        <f t="shared" si="8"/>
        <v>ВВГнг(А)-FRLS (4х2,5)</v>
      </c>
      <c r="U32" s="3">
        <v>16.8</v>
      </c>
      <c r="V32" s="3">
        <f t="shared" si="3"/>
        <v>20.16</v>
      </c>
      <c r="W32" s="3" t="str">
        <f t="shared" si="4"/>
        <v>Ø32</v>
      </c>
      <c r="X32" s="3" t="str">
        <f t="shared" si="5"/>
        <v>Ø32</v>
      </c>
    </row>
    <row r="33" spans="2:24" x14ac:dyDescent="0.3">
      <c r="B33" s="3">
        <v>132</v>
      </c>
      <c r="C33" s="3">
        <v>237.71</v>
      </c>
      <c r="D33" s="3">
        <v>1545.12</v>
      </c>
      <c r="E33" s="3"/>
      <c r="F33" s="3"/>
      <c r="G33" s="3">
        <v>0.94799999999999995</v>
      </c>
      <c r="H33" s="3">
        <v>6.5</v>
      </c>
      <c r="I33" s="3">
        <v>0.89</v>
      </c>
      <c r="J33" s="3"/>
      <c r="K33" s="3"/>
      <c r="Q33" s="3" t="s">
        <v>152</v>
      </c>
      <c r="R33" s="3">
        <v>5</v>
      </c>
      <c r="S33" s="3">
        <v>2.5</v>
      </c>
      <c r="T33" s="21" t="str">
        <f t="shared" si="8"/>
        <v>ВВГнг(А)-FRLS (5х2,5)</v>
      </c>
      <c r="U33" s="3">
        <v>18.2</v>
      </c>
      <c r="V33" s="3">
        <f t="shared" si="3"/>
        <v>21.84</v>
      </c>
      <c r="W33" s="3" t="str">
        <f t="shared" si="4"/>
        <v>Ø32</v>
      </c>
      <c r="X33" s="3" t="str">
        <f t="shared" si="5"/>
        <v>Ø32</v>
      </c>
    </row>
    <row r="34" spans="2:24" x14ac:dyDescent="0.3">
      <c r="B34" s="3">
        <v>160</v>
      </c>
      <c r="C34" s="3">
        <v>281.5</v>
      </c>
      <c r="D34" s="3">
        <v>1548.25</v>
      </c>
      <c r="E34" s="3"/>
      <c r="F34" s="3"/>
      <c r="G34" s="3">
        <v>0.94900000000000007</v>
      </c>
      <c r="H34" s="3">
        <v>5.5</v>
      </c>
      <c r="I34" s="3">
        <v>0.91</v>
      </c>
      <c r="J34" s="3"/>
      <c r="K34" s="3"/>
      <c r="Q34" s="3" t="s">
        <v>152</v>
      </c>
      <c r="R34" s="3">
        <v>1</v>
      </c>
      <c r="S34" s="3">
        <v>4</v>
      </c>
      <c r="T34" s="21" t="str">
        <f t="shared" si="8"/>
        <v>ВВГнг(А)-FRLS (1х4)</v>
      </c>
      <c r="U34" s="3">
        <v>8.5</v>
      </c>
      <c r="V34" s="3">
        <f t="shared" si="3"/>
        <v>14</v>
      </c>
      <c r="W34" s="3" t="str">
        <f t="shared" si="4"/>
        <v>Ø20</v>
      </c>
      <c r="X34" s="3" t="str">
        <f t="shared" si="5"/>
        <v>Ø20</v>
      </c>
    </row>
    <row r="35" spans="2:24" x14ac:dyDescent="0.3">
      <c r="B35" s="3">
        <v>200</v>
      </c>
      <c r="C35" s="3">
        <v>348.05</v>
      </c>
      <c r="D35" s="3">
        <v>1914.26</v>
      </c>
      <c r="E35" s="3"/>
      <c r="F35" s="3"/>
      <c r="G35" s="3">
        <v>0.94900000000000007</v>
      </c>
      <c r="H35" s="3">
        <v>5.5</v>
      </c>
      <c r="I35" s="3">
        <v>0.92</v>
      </c>
      <c r="J35" s="3"/>
      <c r="K35" s="3"/>
      <c r="Q35" s="3" t="s">
        <v>152</v>
      </c>
      <c r="R35" s="3">
        <v>2</v>
      </c>
      <c r="S35" s="3">
        <v>4</v>
      </c>
      <c r="T35" s="21" t="str">
        <f t="shared" si="8"/>
        <v>ВВГнг(А)-FRLS (2х4)</v>
      </c>
      <c r="U35" s="3">
        <v>16.600000000000001</v>
      </c>
      <c r="V35" s="3">
        <f t="shared" si="3"/>
        <v>19.920000000000002</v>
      </c>
      <c r="W35" s="3" t="str">
        <f t="shared" si="4"/>
        <v>Ø32</v>
      </c>
      <c r="X35" s="3" t="str">
        <f t="shared" si="5"/>
        <v>Ø32</v>
      </c>
    </row>
    <row r="36" spans="2:24" x14ac:dyDescent="0.3">
      <c r="B36" s="3">
        <v>250</v>
      </c>
      <c r="C36" s="3">
        <v>433.69</v>
      </c>
      <c r="D36" s="3">
        <v>2992.46</v>
      </c>
      <c r="E36" s="3"/>
      <c r="F36" s="3"/>
      <c r="G36" s="3">
        <v>0.95200000000000007</v>
      </c>
      <c r="H36" s="3">
        <v>6.9</v>
      </c>
      <c r="I36" s="3">
        <v>0.92</v>
      </c>
      <c r="J36" s="3"/>
      <c r="K36" s="3"/>
      <c r="Q36" s="3" t="s">
        <v>152</v>
      </c>
      <c r="R36" s="3">
        <v>3</v>
      </c>
      <c r="S36" s="3">
        <v>4</v>
      </c>
      <c r="T36" s="21" t="str">
        <f t="shared" si="8"/>
        <v>ВВГнг(А)-FRLS (3х4)</v>
      </c>
      <c r="U36" s="3">
        <v>17.5</v>
      </c>
      <c r="V36" s="3">
        <f t="shared" si="3"/>
        <v>21</v>
      </c>
      <c r="W36" s="3" t="str">
        <f t="shared" si="4"/>
        <v>Ø32</v>
      </c>
      <c r="X36" s="3" t="str">
        <f t="shared" si="5"/>
        <v>Ø32</v>
      </c>
    </row>
    <row r="37" spans="2:24" x14ac:dyDescent="0.3">
      <c r="B37" s="3">
        <v>315</v>
      </c>
      <c r="C37" s="3">
        <v>546.45000000000005</v>
      </c>
      <c r="D37" s="3">
        <v>3770.51</v>
      </c>
      <c r="E37" s="3"/>
      <c r="F37" s="3"/>
      <c r="G37" s="3">
        <v>0.95200000000000007</v>
      </c>
      <c r="H37" s="3">
        <v>6.9</v>
      </c>
      <c r="I37" s="3">
        <v>0.92</v>
      </c>
      <c r="J37" s="3"/>
      <c r="K37" s="3"/>
      <c r="Q37" s="3" t="s">
        <v>152</v>
      </c>
      <c r="R37" s="3">
        <v>4</v>
      </c>
      <c r="S37" s="3">
        <v>4</v>
      </c>
      <c r="T37" s="21" t="str">
        <f t="shared" si="8"/>
        <v>ВВГнг(А)-FRLS (4х4)</v>
      </c>
      <c r="U37" s="3">
        <v>18.899999999999999</v>
      </c>
      <c r="V37" s="3">
        <f t="shared" si="3"/>
        <v>22.679999999999996</v>
      </c>
      <c r="W37" s="3" t="str">
        <f t="shared" si="4"/>
        <v>Ø32</v>
      </c>
      <c r="X37" s="3" t="str">
        <f t="shared" si="5"/>
        <v>Ø32</v>
      </c>
    </row>
    <row r="38" spans="2:24" x14ac:dyDescent="0.3">
      <c r="Q38" s="3" t="s">
        <v>152</v>
      </c>
      <c r="R38" s="3">
        <v>5</v>
      </c>
      <c r="S38" s="3">
        <v>4</v>
      </c>
      <c r="T38" s="21" t="str">
        <f t="shared" si="8"/>
        <v>ВВГнг(А)-FRLS (5х4)</v>
      </c>
      <c r="U38" s="3">
        <v>20.6</v>
      </c>
      <c r="V38" s="3">
        <f t="shared" si="3"/>
        <v>24.720000000000002</v>
      </c>
      <c r="W38" s="3" t="str">
        <f t="shared" si="4"/>
        <v>Ø32</v>
      </c>
      <c r="X38" s="3" t="str">
        <f t="shared" si="5"/>
        <v>Ø40</v>
      </c>
    </row>
    <row r="39" spans="2:24" x14ac:dyDescent="0.3">
      <c r="Q39" s="3" t="s">
        <v>152</v>
      </c>
      <c r="R39" s="3">
        <v>1</v>
      </c>
      <c r="S39" s="3">
        <v>6</v>
      </c>
      <c r="T39" s="21" t="str">
        <f t="shared" si="8"/>
        <v>ВВГнг(А)-FRLS (1х6)</v>
      </c>
      <c r="U39" s="3">
        <v>9.1999999999999993</v>
      </c>
      <c r="V39" s="3">
        <f t="shared" si="3"/>
        <v>14</v>
      </c>
      <c r="W39" s="3" t="str">
        <f t="shared" si="4"/>
        <v>Ø20</v>
      </c>
      <c r="X39" s="3" t="str">
        <f t="shared" si="5"/>
        <v>Ø20</v>
      </c>
    </row>
    <row r="40" spans="2:24" x14ac:dyDescent="0.3">
      <c r="Q40" s="3" t="s">
        <v>152</v>
      </c>
      <c r="R40" s="3">
        <v>2</v>
      </c>
      <c r="S40" s="3">
        <v>6</v>
      </c>
      <c r="T40" s="21" t="str">
        <f t="shared" si="8"/>
        <v>ВВГнг(А)-FRLS (2х6)</v>
      </c>
      <c r="U40" s="3">
        <v>17.600000000000001</v>
      </c>
      <c r="V40" s="3">
        <f t="shared" si="3"/>
        <v>21.12</v>
      </c>
      <c r="W40" s="3" t="str">
        <f t="shared" si="4"/>
        <v>Ø32</v>
      </c>
      <c r="X40" s="3" t="str">
        <f t="shared" si="5"/>
        <v>Ø32</v>
      </c>
    </row>
    <row r="41" spans="2:24" x14ac:dyDescent="0.3">
      <c r="Q41" s="3" t="s">
        <v>152</v>
      </c>
      <c r="R41" s="3">
        <v>3</v>
      </c>
      <c r="S41" s="3">
        <v>6</v>
      </c>
      <c r="T41" s="21" t="str">
        <f t="shared" si="8"/>
        <v>ВВГнг(А)-FRLS (3х6)</v>
      </c>
      <c r="U41" s="3">
        <v>18.5</v>
      </c>
      <c r="V41" s="3">
        <f t="shared" si="3"/>
        <v>22.2</v>
      </c>
      <c r="W41" s="3" t="str">
        <f t="shared" si="4"/>
        <v>Ø32</v>
      </c>
      <c r="X41" s="3" t="str">
        <f t="shared" si="5"/>
        <v>Ø32</v>
      </c>
    </row>
    <row r="42" spans="2:24" x14ac:dyDescent="0.3">
      <c r="Q42" s="3" t="s">
        <v>152</v>
      </c>
      <c r="R42" s="3">
        <v>4</v>
      </c>
      <c r="S42" s="3">
        <v>6</v>
      </c>
      <c r="T42" s="21" t="str">
        <f t="shared" si="8"/>
        <v>ВВГнг(А)-FRLS (4х6)</v>
      </c>
      <c r="U42" s="3">
        <v>20.100000000000001</v>
      </c>
      <c r="V42" s="3">
        <f t="shared" si="3"/>
        <v>24.12</v>
      </c>
      <c r="W42" s="3" t="str">
        <f t="shared" si="4"/>
        <v>Ø32</v>
      </c>
      <c r="X42" s="3" t="str">
        <f t="shared" si="5"/>
        <v>Ø32</v>
      </c>
    </row>
    <row r="43" spans="2:24" x14ac:dyDescent="0.3">
      <c r="Q43" s="3" t="s">
        <v>152</v>
      </c>
      <c r="R43" s="3">
        <v>5</v>
      </c>
      <c r="S43" s="3">
        <v>6</v>
      </c>
      <c r="T43" s="21" t="str">
        <f t="shared" si="8"/>
        <v>ВВГнг(А)-FRLS (5х6)</v>
      </c>
      <c r="U43" s="3">
        <v>21.9</v>
      </c>
      <c r="V43" s="3">
        <f t="shared" si="3"/>
        <v>26.279999999999998</v>
      </c>
      <c r="W43" s="3" t="str">
        <f t="shared" si="4"/>
        <v>Ø40</v>
      </c>
      <c r="X43" s="3" t="str">
        <f t="shared" si="5"/>
        <v>Ø40</v>
      </c>
    </row>
    <row r="44" spans="2:24" x14ac:dyDescent="0.3">
      <c r="Q44" s="3" t="s">
        <v>149</v>
      </c>
      <c r="R44" s="3">
        <v>1</v>
      </c>
      <c r="S44" s="3">
        <v>1.5</v>
      </c>
      <c r="T44" s="21" t="str">
        <f>Q44&amp;" ("&amp;R44&amp;"х"&amp;S44&amp;")"</f>
        <v>ППГнг(А)-HF (1х1,5)</v>
      </c>
      <c r="U44" s="3">
        <v>5.5</v>
      </c>
      <c r="V44" s="3">
        <f t="shared" si="3"/>
        <v>14</v>
      </c>
      <c r="W44" s="3" t="str">
        <f t="shared" si="4"/>
        <v>Ø20</v>
      </c>
      <c r="X44" s="3" t="str">
        <f t="shared" si="5"/>
        <v>Ø20</v>
      </c>
    </row>
    <row r="45" spans="2:24" x14ac:dyDescent="0.3">
      <c r="Q45" s="3" t="s">
        <v>149</v>
      </c>
      <c r="R45" s="3">
        <v>2</v>
      </c>
      <c r="S45" s="3">
        <v>1.5</v>
      </c>
      <c r="T45" s="21" t="str">
        <f t="shared" ref="T45:T63" si="9">Q45&amp;" ("&amp;R45&amp;"х"&amp;S45&amp;")"</f>
        <v>ППГнг(А)-HF (2х1,5)</v>
      </c>
      <c r="U45" s="3">
        <v>9</v>
      </c>
      <c r="V45" s="3">
        <f t="shared" si="3"/>
        <v>14</v>
      </c>
      <c r="W45" s="3" t="str">
        <f t="shared" si="4"/>
        <v>Ø20</v>
      </c>
      <c r="X45" s="3" t="str">
        <f t="shared" si="5"/>
        <v>Ø20</v>
      </c>
    </row>
    <row r="46" spans="2:24" x14ac:dyDescent="0.3">
      <c r="Q46" s="3" t="s">
        <v>149</v>
      </c>
      <c r="R46" s="3">
        <v>3</v>
      </c>
      <c r="S46" s="3">
        <v>1.5</v>
      </c>
      <c r="T46" s="21" t="str">
        <f t="shared" si="9"/>
        <v>ППГнг(А)-HF (3х1,5)</v>
      </c>
      <c r="U46" s="3">
        <v>9.4</v>
      </c>
      <c r="V46" s="3">
        <f t="shared" si="3"/>
        <v>14</v>
      </c>
      <c r="W46" s="3" t="str">
        <f t="shared" si="4"/>
        <v>Ø20</v>
      </c>
      <c r="X46" s="3" t="str">
        <f t="shared" si="5"/>
        <v>Ø20</v>
      </c>
    </row>
    <row r="47" spans="2:24" x14ac:dyDescent="0.3">
      <c r="Q47" s="3" t="s">
        <v>149</v>
      </c>
      <c r="R47" s="3">
        <v>4</v>
      </c>
      <c r="S47" s="3">
        <v>1.5</v>
      </c>
      <c r="T47" s="21" t="str">
        <f t="shared" si="9"/>
        <v>ППГнг(А)-HF (4х1,5)</v>
      </c>
      <c r="U47" s="3">
        <v>10.1</v>
      </c>
      <c r="V47" s="3">
        <f t="shared" si="3"/>
        <v>14</v>
      </c>
      <c r="W47" s="3" t="str">
        <f t="shared" si="4"/>
        <v>Ø20</v>
      </c>
      <c r="X47" s="3" t="str">
        <f t="shared" si="5"/>
        <v>Ø20</v>
      </c>
    </row>
    <row r="48" spans="2:24" x14ac:dyDescent="0.3">
      <c r="Q48" s="3" t="s">
        <v>149</v>
      </c>
      <c r="R48" s="3">
        <v>5</v>
      </c>
      <c r="S48" s="3">
        <v>1.5</v>
      </c>
      <c r="T48" s="21" t="str">
        <f t="shared" si="9"/>
        <v>ППГнг(А)-HF (5х1,5)</v>
      </c>
      <c r="U48" s="3">
        <v>10.8</v>
      </c>
      <c r="V48" s="3">
        <f t="shared" si="3"/>
        <v>14</v>
      </c>
      <c r="W48" s="3" t="str">
        <f t="shared" si="4"/>
        <v>Ø20</v>
      </c>
      <c r="X48" s="3" t="str">
        <f t="shared" si="5"/>
        <v>Ø20</v>
      </c>
    </row>
    <row r="49" spans="17:24" x14ac:dyDescent="0.3">
      <c r="Q49" s="3" t="s">
        <v>149</v>
      </c>
      <c r="R49" s="3">
        <v>1</v>
      </c>
      <c r="S49" s="3">
        <v>2.5</v>
      </c>
      <c r="T49" s="21" t="str">
        <f t="shared" si="9"/>
        <v>ППГнг(А)-HF (1х2,5)</v>
      </c>
      <c r="U49" s="3">
        <v>5.9</v>
      </c>
      <c r="V49" s="3">
        <f t="shared" si="3"/>
        <v>14</v>
      </c>
      <c r="W49" s="3" t="str">
        <f t="shared" si="4"/>
        <v>Ø20</v>
      </c>
      <c r="X49" s="3" t="str">
        <f t="shared" si="5"/>
        <v>Ø20</v>
      </c>
    </row>
    <row r="50" spans="17:24" x14ac:dyDescent="0.3">
      <c r="Q50" s="3" t="s">
        <v>149</v>
      </c>
      <c r="R50" s="3">
        <v>2</v>
      </c>
      <c r="S50" s="3">
        <v>2.5</v>
      </c>
      <c r="T50" s="21" t="str">
        <f t="shared" si="9"/>
        <v>ППГнг(А)-HF (2х2,5)</v>
      </c>
      <c r="U50" s="3">
        <v>9.6999999999999993</v>
      </c>
      <c r="V50" s="3">
        <f t="shared" si="3"/>
        <v>14</v>
      </c>
      <c r="W50" s="3" t="str">
        <f t="shared" si="4"/>
        <v>Ø20</v>
      </c>
      <c r="X50" s="3" t="str">
        <f t="shared" si="5"/>
        <v>Ø20</v>
      </c>
    </row>
    <row r="51" spans="17:24" x14ac:dyDescent="0.3">
      <c r="Q51" s="3" t="s">
        <v>149</v>
      </c>
      <c r="R51" s="3">
        <v>3</v>
      </c>
      <c r="S51" s="3">
        <v>2.5</v>
      </c>
      <c r="T51" s="21" t="str">
        <f t="shared" si="9"/>
        <v>ППГнг(А)-HF (3х2,5)</v>
      </c>
      <c r="U51" s="3">
        <v>10.199999999999999</v>
      </c>
      <c r="V51" s="3">
        <f t="shared" si="3"/>
        <v>14</v>
      </c>
      <c r="W51" s="3" t="str">
        <f t="shared" si="4"/>
        <v>Ø20</v>
      </c>
      <c r="X51" s="3" t="str">
        <f t="shared" si="5"/>
        <v>Ø20</v>
      </c>
    </row>
    <row r="52" spans="17:24" x14ac:dyDescent="0.3">
      <c r="Q52" s="3" t="s">
        <v>149</v>
      </c>
      <c r="R52" s="3">
        <v>4</v>
      </c>
      <c r="S52" s="3">
        <v>2.5</v>
      </c>
      <c r="T52" s="21" t="str">
        <f t="shared" si="9"/>
        <v>ППГнг(А)-HF (4х2,5)</v>
      </c>
      <c r="U52" s="3">
        <v>11</v>
      </c>
      <c r="V52" s="3">
        <f t="shared" si="3"/>
        <v>14</v>
      </c>
      <c r="W52" s="3" t="str">
        <f t="shared" si="4"/>
        <v>Ø20</v>
      </c>
      <c r="X52" s="3" t="str">
        <f t="shared" si="5"/>
        <v>Ø20</v>
      </c>
    </row>
    <row r="53" spans="17:24" x14ac:dyDescent="0.3">
      <c r="Q53" s="3" t="s">
        <v>149</v>
      </c>
      <c r="R53" s="3">
        <v>5</v>
      </c>
      <c r="S53" s="3">
        <v>2.5</v>
      </c>
      <c r="T53" s="21" t="str">
        <f t="shared" si="9"/>
        <v>ППГнг(А)-HF (5х2,5)</v>
      </c>
      <c r="U53" s="3">
        <v>11.9</v>
      </c>
      <c r="V53" s="3">
        <f t="shared" si="3"/>
        <v>14.28</v>
      </c>
      <c r="W53" s="3" t="str">
        <f t="shared" si="4"/>
        <v>Ø20</v>
      </c>
      <c r="X53" s="3" t="str">
        <f t="shared" si="5"/>
        <v>Ø20</v>
      </c>
    </row>
    <row r="54" spans="17:24" x14ac:dyDescent="0.3">
      <c r="Q54" s="3" t="s">
        <v>149</v>
      </c>
      <c r="R54" s="3">
        <v>1</v>
      </c>
      <c r="S54" s="3">
        <v>4</v>
      </c>
      <c r="T54" s="21" t="str">
        <f t="shared" si="9"/>
        <v>ППГнг(А)-HF (1х4)</v>
      </c>
      <c r="U54" s="3">
        <v>6.5</v>
      </c>
      <c r="V54" s="3">
        <f t="shared" si="3"/>
        <v>14</v>
      </c>
      <c r="W54" s="3" t="str">
        <f t="shared" si="4"/>
        <v>Ø20</v>
      </c>
      <c r="X54" s="3" t="str">
        <f t="shared" si="5"/>
        <v>Ø20</v>
      </c>
    </row>
    <row r="55" spans="17:24" x14ac:dyDescent="0.3">
      <c r="Q55" s="3" t="s">
        <v>149</v>
      </c>
      <c r="R55" s="3">
        <v>2</v>
      </c>
      <c r="S55" s="3">
        <v>4</v>
      </c>
      <c r="T55" s="21" t="str">
        <f t="shared" si="9"/>
        <v>ППГнг(А)-HF (2х4)</v>
      </c>
      <c r="U55" s="3">
        <v>11.1</v>
      </c>
      <c r="V55" s="3">
        <f t="shared" si="3"/>
        <v>14</v>
      </c>
      <c r="W55" s="3" t="str">
        <f t="shared" si="4"/>
        <v>Ø20</v>
      </c>
      <c r="X55" s="3" t="str">
        <f t="shared" si="5"/>
        <v>Ø20</v>
      </c>
    </row>
    <row r="56" spans="17:24" x14ac:dyDescent="0.3">
      <c r="Q56" s="3" t="s">
        <v>149</v>
      </c>
      <c r="R56" s="3">
        <v>3</v>
      </c>
      <c r="S56" s="3">
        <v>4</v>
      </c>
      <c r="T56" s="21" t="str">
        <f t="shared" si="9"/>
        <v>ППГнг(А)-HF (3х4)</v>
      </c>
      <c r="U56" s="3">
        <v>11.6</v>
      </c>
      <c r="V56" s="3">
        <f t="shared" si="3"/>
        <v>14</v>
      </c>
      <c r="W56" s="3" t="str">
        <f t="shared" si="4"/>
        <v>Ø20</v>
      </c>
      <c r="X56" s="3" t="str">
        <f t="shared" si="5"/>
        <v>Ø20</v>
      </c>
    </row>
    <row r="57" spans="17:24" x14ac:dyDescent="0.3">
      <c r="Q57" s="3" t="s">
        <v>149</v>
      </c>
      <c r="R57" s="3">
        <v>4</v>
      </c>
      <c r="S57" s="3">
        <v>4</v>
      </c>
      <c r="T57" s="21" t="str">
        <f t="shared" si="9"/>
        <v>ППГнг(А)-HF (4х4)</v>
      </c>
      <c r="U57" s="3">
        <v>12.6</v>
      </c>
      <c r="V57" s="3">
        <f t="shared" si="3"/>
        <v>15.12</v>
      </c>
      <c r="W57" s="3" t="str">
        <f t="shared" si="4"/>
        <v>Ø25</v>
      </c>
      <c r="X57" s="3" t="str">
        <f t="shared" si="5"/>
        <v>Ø25</v>
      </c>
    </row>
    <row r="58" spans="17:24" x14ac:dyDescent="0.3">
      <c r="Q58" s="3" t="s">
        <v>149</v>
      </c>
      <c r="R58" s="3">
        <v>5</v>
      </c>
      <c r="S58" s="3">
        <v>4</v>
      </c>
      <c r="T58" s="21" t="str">
        <f t="shared" si="9"/>
        <v>ППГнг(А)-HF (5х4)</v>
      </c>
      <c r="U58" s="3">
        <v>13.7</v>
      </c>
      <c r="V58" s="3">
        <f t="shared" si="3"/>
        <v>16.439999999999998</v>
      </c>
      <c r="W58" s="3" t="str">
        <f t="shared" si="4"/>
        <v>Ø25</v>
      </c>
      <c r="X58" s="3" t="str">
        <f t="shared" si="5"/>
        <v>Ø25</v>
      </c>
    </row>
    <row r="59" spans="17:24" x14ac:dyDescent="0.3">
      <c r="Q59" s="3" t="s">
        <v>149</v>
      </c>
      <c r="R59" s="3">
        <v>1</v>
      </c>
      <c r="S59" s="3">
        <v>6</v>
      </c>
      <c r="T59" s="21" t="str">
        <f t="shared" si="9"/>
        <v>ППГнг(А)-HF (1х6)</v>
      </c>
      <c r="U59" s="3">
        <v>7</v>
      </c>
      <c r="V59" s="3">
        <f t="shared" si="3"/>
        <v>14</v>
      </c>
      <c r="W59" s="3" t="str">
        <f t="shared" si="4"/>
        <v>Ø20</v>
      </c>
      <c r="X59" s="3" t="str">
        <f t="shared" si="5"/>
        <v>Ø20</v>
      </c>
    </row>
    <row r="60" spans="17:24" x14ac:dyDescent="0.3">
      <c r="Q60" s="3" t="s">
        <v>149</v>
      </c>
      <c r="R60" s="3">
        <v>2</v>
      </c>
      <c r="S60" s="3">
        <v>6</v>
      </c>
      <c r="T60" s="21" t="str">
        <f t="shared" si="9"/>
        <v>ППГнг(А)-HF (2х6)</v>
      </c>
      <c r="U60" s="3">
        <v>12.1</v>
      </c>
      <c r="V60" s="3">
        <f t="shared" si="3"/>
        <v>14.52</v>
      </c>
      <c r="W60" s="3" t="str">
        <f t="shared" si="4"/>
        <v>Ø20</v>
      </c>
      <c r="X60" s="3" t="str">
        <f t="shared" si="5"/>
        <v>Ø25</v>
      </c>
    </row>
    <row r="61" spans="17:24" x14ac:dyDescent="0.3">
      <c r="Q61" s="3" t="s">
        <v>149</v>
      </c>
      <c r="R61" s="3">
        <v>3</v>
      </c>
      <c r="S61" s="3">
        <v>6</v>
      </c>
      <c r="T61" s="21" t="str">
        <f t="shared" si="9"/>
        <v>ППГнг(А)-HF (3х6)</v>
      </c>
      <c r="U61" s="3">
        <v>12.7</v>
      </c>
      <c r="V61" s="3">
        <f t="shared" si="3"/>
        <v>15.239999999999998</v>
      </c>
      <c r="W61" s="3" t="str">
        <f t="shared" si="4"/>
        <v>Ø25</v>
      </c>
      <c r="X61" s="3" t="str">
        <f t="shared" si="5"/>
        <v>Ø25</v>
      </c>
    </row>
    <row r="62" spans="17:24" x14ac:dyDescent="0.3">
      <c r="Q62" s="3" t="s">
        <v>149</v>
      </c>
      <c r="R62" s="3">
        <v>4</v>
      </c>
      <c r="S62" s="3">
        <v>6</v>
      </c>
      <c r="T62" s="21" t="str">
        <f t="shared" si="9"/>
        <v>ППГнг(А)-HF (4х6)</v>
      </c>
      <c r="U62" s="3">
        <v>13.8</v>
      </c>
      <c r="V62" s="3">
        <f t="shared" si="3"/>
        <v>16.559999999999999</v>
      </c>
      <c r="W62" s="3" t="str">
        <f t="shared" si="4"/>
        <v>Ø25</v>
      </c>
      <c r="X62" s="3" t="str">
        <f t="shared" si="5"/>
        <v>Ø25</v>
      </c>
    </row>
    <row r="63" spans="17:24" x14ac:dyDescent="0.3">
      <c r="Q63" s="3" t="s">
        <v>149</v>
      </c>
      <c r="R63" s="3">
        <v>5</v>
      </c>
      <c r="S63" s="3">
        <v>6</v>
      </c>
      <c r="T63" s="21" t="str">
        <f t="shared" si="9"/>
        <v>ППГнг(А)-HF (5х6)</v>
      </c>
      <c r="U63" s="3">
        <v>15</v>
      </c>
      <c r="V63" s="3">
        <f t="shared" si="3"/>
        <v>18</v>
      </c>
      <c r="W63" s="3" t="str">
        <f t="shared" si="4"/>
        <v>Ø25</v>
      </c>
      <c r="X63" s="3" t="str">
        <f t="shared" si="5"/>
        <v>Ø25</v>
      </c>
    </row>
    <row r="64" spans="17:24" x14ac:dyDescent="0.3">
      <c r="Q64" s="3" t="s">
        <v>147</v>
      </c>
      <c r="R64" s="3">
        <v>1</v>
      </c>
      <c r="S64" s="3">
        <v>1.5</v>
      </c>
      <c r="T64" s="21" t="str">
        <f>Q64&amp;" ("&amp;R64&amp;"х"&amp;S64&amp;")"</f>
        <v>ППГнг(А)-FRHF (1х1,5)</v>
      </c>
      <c r="U64" s="3">
        <v>6.5</v>
      </c>
      <c r="V64" s="3">
        <f t="shared" si="3"/>
        <v>14</v>
      </c>
      <c r="W64" s="3" t="str">
        <f t="shared" si="4"/>
        <v>Ø20</v>
      </c>
      <c r="X64" s="3" t="str">
        <f t="shared" si="5"/>
        <v>Ø20</v>
      </c>
    </row>
    <row r="65" spans="17:24" x14ac:dyDescent="0.3">
      <c r="Q65" s="3" t="s">
        <v>147</v>
      </c>
      <c r="R65" s="3">
        <v>2</v>
      </c>
      <c r="S65" s="3">
        <v>1.5</v>
      </c>
      <c r="T65" s="21" t="str">
        <f t="shared" ref="T65:T91" si="10">Q65&amp;" ("&amp;R65&amp;"х"&amp;S65&amp;")"</f>
        <v>ППГнг(А)-FRHF (2х1,5)</v>
      </c>
      <c r="U65" s="3">
        <v>10.3</v>
      </c>
      <c r="V65" s="3">
        <f t="shared" si="3"/>
        <v>14</v>
      </c>
      <c r="W65" s="3" t="str">
        <f t="shared" si="4"/>
        <v>Ø20</v>
      </c>
      <c r="X65" s="3" t="str">
        <f t="shared" si="5"/>
        <v>Ø20</v>
      </c>
    </row>
    <row r="66" spans="17:24" x14ac:dyDescent="0.3">
      <c r="Q66" s="3" t="s">
        <v>147</v>
      </c>
      <c r="R66" s="3">
        <v>3</v>
      </c>
      <c r="S66" s="3">
        <v>1.5</v>
      </c>
      <c r="T66" s="21" t="str">
        <f t="shared" si="10"/>
        <v>ППГнг(А)-FRHF (3х1,5)</v>
      </c>
      <c r="U66" s="3">
        <v>10.8</v>
      </c>
      <c r="V66" s="3">
        <f t="shared" si="3"/>
        <v>14</v>
      </c>
      <c r="W66" s="3" t="str">
        <f t="shared" si="4"/>
        <v>Ø20</v>
      </c>
      <c r="X66" s="3" t="str">
        <f t="shared" si="5"/>
        <v>Ø20</v>
      </c>
    </row>
    <row r="67" spans="17:24" x14ac:dyDescent="0.3">
      <c r="Q67" s="3" t="s">
        <v>147</v>
      </c>
      <c r="R67" s="3">
        <v>4</v>
      </c>
      <c r="S67" s="3">
        <v>1.5</v>
      </c>
      <c r="T67" s="21" t="str">
        <f t="shared" si="10"/>
        <v>ППГнг(А)-FRHF (4х1,5)</v>
      </c>
      <c r="U67" s="3">
        <v>11.7</v>
      </c>
      <c r="V67" s="3">
        <f t="shared" si="3"/>
        <v>14.04</v>
      </c>
      <c r="W67" s="3" t="str">
        <f t="shared" si="4"/>
        <v>Ø20</v>
      </c>
      <c r="X67" s="3" t="str">
        <f t="shared" si="5"/>
        <v>Ø20</v>
      </c>
    </row>
    <row r="68" spans="17:24" x14ac:dyDescent="0.3">
      <c r="Q68" s="3" t="s">
        <v>147</v>
      </c>
      <c r="R68" s="3">
        <v>5</v>
      </c>
      <c r="S68" s="3">
        <v>1.5</v>
      </c>
      <c r="T68" s="21" t="str">
        <f t="shared" si="10"/>
        <v>ППГнг(А)-FRHF (5х1,5)</v>
      </c>
      <c r="U68" s="3">
        <v>13.1</v>
      </c>
      <c r="V68" s="3">
        <f t="shared" si="3"/>
        <v>15.719999999999999</v>
      </c>
      <c r="W68" s="3" t="str">
        <f t="shared" si="4"/>
        <v>Ø25</v>
      </c>
      <c r="X68" s="3" t="str">
        <f t="shared" si="5"/>
        <v>Ø25</v>
      </c>
    </row>
    <row r="69" spans="17:24" x14ac:dyDescent="0.3">
      <c r="Q69" s="3" t="s">
        <v>147</v>
      </c>
      <c r="R69" s="3">
        <v>1</v>
      </c>
      <c r="S69" s="3">
        <v>2.5</v>
      </c>
      <c r="T69" s="21" t="str">
        <f t="shared" si="10"/>
        <v>ППГнг(А)-FRHF (1х2,5)</v>
      </c>
      <c r="U69" s="3">
        <v>6.9</v>
      </c>
      <c r="V69" s="3">
        <f t="shared" ref="V69:V132" si="11">IF((U69*1.2)&lt;14,14,U69*1.2)</f>
        <v>14</v>
      </c>
      <c r="W69" s="3" t="str">
        <f t="shared" ref="W69:W132" si="12">"Ø"&amp;VLOOKUP(V69,$Z$4:$AA$10,2,TRUE)</f>
        <v>Ø20</v>
      </c>
      <c r="X69" s="3" t="str">
        <f t="shared" ref="X69:X132" si="13">"Ø"&amp;VLOOKUP(V69,$AD$4:$AE$10,2,TRUE)</f>
        <v>Ø20</v>
      </c>
    </row>
    <row r="70" spans="17:24" x14ac:dyDescent="0.3">
      <c r="Q70" s="3" t="s">
        <v>147</v>
      </c>
      <c r="R70" s="3">
        <v>2</v>
      </c>
      <c r="S70" s="3">
        <v>2.5</v>
      </c>
      <c r="T70" s="21" t="str">
        <f t="shared" si="10"/>
        <v>ППГнг(А)-FRHF (2х2,5)</v>
      </c>
      <c r="U70" s="3">
        <v>11.1</v>
      </c>
      <c r="V70" s="3">
        <f t="shared" si="11"/>
        <v>14</v>
      </c>
      <c r="W70" s="3" t="str">
        <f t="shared" si="12"/>
        <v>Ø20</v>
      </c>
      <c r="X70" s="3" t="str">
        <f t="shared" si="13"/>
        <v>Ø20</v>
      </c>
    </row>
    <row r="71" spans="17:24" x14ac:dyDescent="0.3">
      <c r="Q71" s="3" t="s">
        <v>147</v>
      </c>
      <c r="R71" s="3">
        <v>3</v>
      </c>
      <c r="S71" s="3">
        <v>2.5</v>
      </c>
      <c r="T71" s="21" t="str">
        <f t="shared" si="10"/>
        <v>ППГнг(А)-FRHF (3х2,5)</v>
      </c>
      <c r="U71" s="3">
        <v>11.6</v>
      </c>
      <c r="V71" s="3">
        <f t="shared" si="11"/>
        <v>14</v>
      </c>
      <c r="W71" s="3" t="str">
        <f t="shared" si="12"/>
        <v>Ø20</v>
      </c>
      <c r="X71" s="3" t="str">
        <f t="shared" si="13"/>
        <v>Ø20</v>
      </c>
    </row>
    <row r="72" spans="17:24" x14ac:dyDescent="0.3">
      <c r="Q72" s="3" t="s">
        <v>147</v>
      </c>
      <c r="R72" s="3">
        <v>4</v>
      </c>
      <c r="S72" s="3">
        <v>2.5</v>
      </c>
      <c r="T72" s="21" t="str">
        <f t="shared" si="10"/>
        <v>ППГнг(А)-FRHF (4х2,5)</v>
      </c>
      <c r="U72" s="3">
        <v>12.5</v>
      </c>
      <c r="V72" s="3">
        <f t="shared" si="11"/>
        <v>15</v>
      </c>
      <c r="W72" s="3" t="str">
        <f t="shared" si="12"/>
        <v>Ø25</v>
      </c>
      <c r="X72" s="3" t="str">
        <f t="shared" si="13"/>
        <v>Ø25</v>
      </c>
    </row>
    <row r="73" spans="17:24" x14ac:dyDescent="0.3">
      <c r="Q73" s="3" t="s">
        <v>147</v>
      </c>
      <c r="R73" s="3">
        <v>5</v>
      </c>
      <c r="S73" s="3">
        <v>2.5</v>
      </c>
      <c r="T73" s="21" t="str">
        <f t="shared" si="10"/>
        <v>ППГнг(А)-FRHF (5х2,5)</v>
      </c>
      <c r="U73" s="3">
        <v>13.6</v>
      </c>
      <c r="V73" s="3">
        <f t="shared" si="11"/>
        <v>16.32</v>
      </c>
      <c r="W73" s="3" t="str">
        <f t="shared" si="12"/>
        <v>Ø25</v>
      </c>
      <c r="X73" s="3" t="str">
        <f t="shared" si="13"/>
        <v>Ø25</v>
      </c>
    </row>
    <row r="74" spans="17:24" x14ac:dyDescent="0.3">
      <c r="Q74" s="3" t="s">
        <v>147</v>
      </c>
      <c r="R74" s="3">
        <v>1</v>
      </c>
      <c r="S74" s="3">
        <v>4</v>
      </c>
      <c r="T74" s="21" t="str">
        <f t="shared" si="10"/>
        <v>ППГнг(А)-FRHF (1х4)</v>
      </c>
      <c r="U74" s="3">
        <v>7.6</v>
      </c>
      <c r="V74" s="3">
        <f t="shared" si="11"/>
        <v>14</v>
      </c>
      <c r="W74" s="3" t="str">
        <f t="shared" si="12"/>
        <v>Ø20</v>
      </c>
      <c r="X74" s="3" t="str">
        <f t="shared" si="13"/>
        <v>Ø20</v>
      </c>
    </row>
    <row r="75" spans="17:24" x14ac:dyDescent="0.3">
      <c r="Q75" s="3" t="s">
        <v>147</v>
      </c>
      <c r="R75" s="3">
        <v>2</v>
      </c>
      <c r="S75" s="3">
        <v>4</v>
      </c>
      <c r="T75" s="21" t="str">
        <f t="shared" si="10"/>
        <v>ППГнг(А)-FRHF (2х4)</v>
      </c>
      <c r="U75" s="3">
        <v>12.4</v>
      </c>
      <c r="V75" s="3">
        <f t="shared" si="11"/>
        <v>14.879999999999999</v>
      </c>
      <c r="W75" s="3" t="str">
        <f t="shared" si="12"/>
        <v>Ø20</v>
      </c>
      <c r="X75" s="3" t="str">
        <f t="shared" si="13"/>
        <v>Ø25</v>
      </c>
    </row>
    <row r="76" spans="17:24" x14ac:dyDescent="0.3">
      <c r="Q76" s="3" t="s">
        <v>147</v>
      </c>
      <c r="R76" s="3">
        <v>3</v>
      </c>
      <c r="S76" s="3">
        <v>4</v>
      </c>
      <c r="T76" s="21" t="str">
        <f t="shared" si="10"/>
        <v>ППГнг(А)-FRHF (3х4)</v>
      </c>
      <c r="U76" s="3">
        <v>13.1</v>
      </c>
      <c r="V76" s="3">
        <f t="shared" si="11"/>
        <v>15.719999999999999</v>
      </c>
      <c r="W76" s="3" t="str">
        <f t="shared" si="12"/>
        <v>Ø25</v>
      </c>
      <c r="X76" s="3" t="str">
        <f t="shared" si="13"/>
        <v>Ø25</v>
      </c>
    </row>
    <row r="77" spans="17:24" x14ac:dyDescent="0.3">
      <c r="Q77" s="3" t="s">
        <v>147</v>
      </c>
      <c r="R77" s="3">
        <v>4</v>
      </c>
      <c r="S77" s="3">
        <v>4</v>
      </c>
      <c r="T77" s="21" t="str">
        <f t="shared" si="10"/>
        <v>ППГнг(А)-FRHF (4х4)</v>
      </c>
      <c r="U77" s="3">
        <v>14.2</v>
      </c>
      <c r="V77" s="3">
        <f t="shared" si="11"/>
        <v>17.04</v>
      </c>
      <c r="W77" s="3" t="str">
        <f t="shared" si="12"/>
        <v>Ø25</v>
      </c>
      <c r="X77" s="3" t="str">
        <f t="shared" si="13"/>
        <v>Ø25</v>
      </c>
    </row>
    <row r="78" spans="17:24" x14ac:dyDescent="0.3">
      <c r="Q78" s="3" t="s">
        <v>147</v>
      </c>
      <c r="R78" s="3">
        <v>5</v>
      </c>
      <c r="S78" s="3">
        <v>4</v>
      </c>
      <c r="T78" s="21" t="str">
        <f t="shared" si="10"/>
        <v>ППГнг(А)-FRHF (5х4)</v>
      </c>
      <c r="U78" s="3">
        <v>15.4</v>
      </c>
      <c r="V78" s="3">
        <f t="shared" si="11"/>
        <v>18.48</v>
      </c>
      <c r="W78" s="3" t="str">
        <f t="shared" si="12"/>
        <v>Ø25</v>
      </c>
      <c r="X78" s="3" t="str">
        <f t="shared" si="13"/>
        <v>Ø25</v>
      </c>
    </row>
    <row r="79" spans="17:24" x14ac:dyDescent="0.3">
      <c r="Q79" s="3" t="s">
        <v>147</v>
      </c>
      <c r="R79" s="3">
        <v>1</v>
      </c>
      <c r="S79" s="3">
        <v>6</v>
      </c>
      <c r="T79" s="21" t="str">
        <f t="shared" si="10"/>
        <v>ППГнг(А)-FRHF (1х6)</v>
      </c>
      <c r="U79" s="3">
        <v>9</v>
      </c>
      <c r="V79" s="3">
        <f t="shared" si="11"/>
        <v>14</v>
      </c>
      <c r="W79" s="3" t="str">
        <f t="shared" si="12"/>
        <v>Ø20</v>
      </c>
      <c r="X79" s="3" t="str">
        <f t="shared" si="13"/>
        <v>Ø20</v>
      </c>
    </row>
    <row r="80" spans="17:24" x14ac:dyDescent="0.3">
      <c r="Q80" s="3" t="s">
        <v>147</v>
      </c>
      <c r="R80" s="3">
        <v>2</v>
      </c>
      <c r="S80" s="3">
        <v>6</v>
      </c>
      <c r="T80" s="21" t="str">
        <f t="shared" si="10"/>
        <v>ППГнг(А)-FRHF (2х6)</v>
      </c>
      <c r="U80" s="3">
        <v>14</v>
      </c>
      <c r="V80" s="3">
        <f t="shared" si="11"/>
        <v>16.8</v>
      </c>
      <c r="W80" s="3" t="str">
        <f t="shared" si="12"/>
        <v>Ø25</v>
      </c>
      <c r="X80" s="3" t="str">
        <f t="shared" si="13"/>
        <v>Ø25</v>
      </c>
    </row>
    <row r="81" spans="17:24" x14ac:dyDescent="0.3">
      <c r="Q81" s="3" t="s">
        <v>147</v>
      </c>
      <c r="R81" s="3">
        <v>3</v>
      </c>
      <c r="S81" s="3">
        <v>6</v>
      </c>
      <c r="T81" s="21" t="str">
        <f t="shared" si="10"/>
        <v>ППГнг(А)-FRHF (3х6)</v>
      </c>
      <c r="U81" s="3">
        <v>14.8</v>
      </c>
      <c r="V81" s="3">
        <f t="shared" si="11"/>
        <v>17.760000000000002</v>
      </c>
      <c r="W81" s="3" t="str">
        <f t="shared" si="12"/>
        <v>Ø25</v>
      </c>
      <c r="X81" s="3" t="str">
        <f t="shared" si="13"/>
        <v>Ø25</v>
      </c>
    </row>
    <row r="82" spans="17:24" x14ac:dyDescent="0.3">
      <c r="Q82" s="3" t="s">
        <v>147</v>
      </c>
      <c r="R82" s="3">
        <v>4</v>
      </c>
      <c r="S82" s="3">
        <v>6</v>
      </c>
      <c r="T82" s="21" t="str">
        <f t="shared" si="10"/>
        <v>ППГнг(А)-FRHF (4х6)</v>
      </c>
      <c r="U82" s="3">
        <v>16.100000000000001</v>
      </c>
      <c r="V82" s="3">
        <f t="shared" si="11"/>
        <v>19.32</v>
      </c>
      <c r="W82" s="3" t="str">
        <f t="shared" si="12"/>
        <v>Ø32</v>
      </c>
      <c r="X82" s="3" t="str">
        <f t="shared" si="13"/>
        <v>Ø32</v>
      </c>
    </row>
    <row r="83" spans="17:24" x14ac:dyDescent="0.3">
      <c r="Q83" s="3" t="s">
        <v>147</v>
      </c>
      <c r="R83" s="3">
        <v>5</v>
      </c>
      <c r="S83" s="3">
        <v>6</v>
      </c>
      <c r="T83" s="21" t="str">
        <f t="shared" si="10"/>
        <v>ППГнг(А)-FRHF (5х6)</v>
      </c>
      <c r="U83" s="3">
        <v>17.600000000000001</v>
      </c>
      <c r="V83" s="3">
        <f t="shared" si="11"/>
        <v>21.12</v>
      </c>
      <c r="W83" s="3" t="str">
        <f t="shared" si="12"/>
        <v>Ø32</v>
      </c>
      <c r="X83" s="3" t="str">
        <f t="shared" si="13"/>
        <v>Ø32</v>
      </c>
    </row>
    <row r="84" spans="17:24" x14ac:dyDescent="0.3">
      <c r="Q84" s="3" t="s">
        <v>143</v>
      </c>
      <c r="R84" s="3">
        <v>1</v>
      </c>
      <c r="S84" s="3">
        <v>0.75</v>
      </c>
      <c r="T84" s="21" t="str">
        <f t="shared" si="10"/>
        <v>КГВВнг(А)-LS (1х0,75)</v>
      </c>
      <c r="U84" s="3">
        <v>2.2999999999999998</v>
      </c>
      <c r="V84" s="3">
        <f t="shared" si="11"/>
        <v>14</v>
      </c>
      <c r="W84" s="3" t="str">
        <f t="shared" si="12"/>
        <v>Ø20</v>
      </c>
      <c r="X84" s="3" t="str">
        <f t="shared" si="13"/>
        <v>Ø20</v>
      </c>
    </row>
    <row r="85" spans="17:24" x14ac:dyDescent="0.3">
      <c r="Q85" s="25" t="s">
        <v>143</v>
      </c>
      <c r="R85" s="3">
        <v>2</v>
      </c>
      <c r="S85" s="3">
        <v>0.75</v>
      </c>
      <c r="T85" s="21" t="str">
        <f t="shared" si="10"/>
        <v>КГВВнг(А)-LS (2х0,75)</v>
      </c>
      <c r="U85" s="3">
        <v>7</v>
      </c>
      <c r="V85" s="3">
        <f t="shared" si="11"/>
        <v>14</v>
      </c>
      <c r="W85" s="3" t="str">
        <f t="shared" si="12"/>
        <v>Ø20</v>
      </c>
      <c r="X85" s="3" t="str">
        <f t="shared" si="13"/>
        <v>Ø20</v>
      </c>
    </row>
    <row r="86" spans="17:24" x14ac:dyDescent="0.3">
      <c r="Q86" s="25" t="s">
        <v>143</v>
      </c>
      <c r="R86" s="3">
        <v>3</v>
      </c>
      <c r="S86" s="3">
        <v>0.75</v>
      </c>
      <c r="T86" s="21" t="str">
        <f t="shared" si="10"/>
        <v>КГВВнг(А)-LS (3х0,75)</v>
      </c>
      <c r="U86" s="3">
        <v>7.3</v>
      </c>
      <c r="V86" s="3">
        <f t="shared" si="11"/>
        <v>14</v>
      </c>
      <c r="W86" s="3" t="str">
        <f t="shared" si="12"/>
        <v>Ø20</v>
      </c>
      <c r="X86" s="3" t="str">
        <f t="shared" si="13"/>
        <v>Ø20</v>
      </c>
    </row>
    <row r="87" spans="17:24" x14ac:dyDescent="0.3">
      <c r="Q87" s="25" t="s">
        <v>143</v>
      </c>
      <c r="R87" s="3">
        <v>4</v>
      </c>
      <c r="S87" s="3">
        <v>0.75</v>
      </c>
      <c r="T87" s="21" t="str">
        <f t="shared" si="10"/>
        <v>КГВВнг(А)-LS (4х0,75)</v>
      </c>
      <c r="U87" s="3">
        <v>7.9</v>
      </c>
      <c r="V87" s="3">
        <f t="shared" si="11"/>
        <v>14</v>
      </c>
      <c r="W87" s="3" t="str">
        <f t="shared" si="12"/>
        <v>Ø20</v>
      </c>
      <c r="X87" s="3" t="str">
        <f t="shared" si="13"/>
        <v>Ø20</v>
      </c>
    </row>
    <row r="88" spans="17:24" x14ac:dyDescent="0.3">
      <c r="Q88" s="25" t="s">
        <v>143</v>
      </c>
      <c r="R88" s="3">
        <v>5</v>
      </c>
      <c r="S88" s="3">
        <v>0.75</v>
      </c>
      <c r="T88" s="21" t="str">
        <f t="shared" si="10"/>
        <v>КГВВнг(А)-LS (5х0,75)</v>
      </c>
      <c r="U88" s="3">
        <v>9.1999999999999993</v>
      </c>
      <c r="V88" s="3">
        <f t="shared" si="11"/>
        <v>14</v>
      </c>
      <c r="W88" s="3" t="str">
        <f t="shared" si="12"/>
        <v>Ø20</v>
      </c>
      <c r="X88" s="3" t="str">
        <f t="shared" si="13"/>
        <v>Ø20</v>
      </c>
    </row>
    <row r="89" spans="17:24" x14ac:dyDescent="0.3">
      <c r="Q89" s="25" t="s">
        <v>143</v>
      </c>
      <c r="R89" s="3">
        <v>6</v>
      </c>
      <c r="S89" s="3">
        <v>0.75</v>
      </c>
      <c r="T89" s="21" t="str">
        <f t="shared" si="10"/>
        <v>КГВВнг(А)-LS (6х0,75)</v>
      </c>
      <c r="U89" s="3">
        <v>9.6</v>
      </c>
      <c r="V89" s="3">
        <f t="shared" si="11"/>
        <v>14</v>
      </c>
      <c r="W89" s="3" t="str">
        <f t="shared" si="12"/>
        <v>Ø20</v>
      </c>
      <c r="X89" s="3" t="str">
        <f t="shared" si="13"/>
        <v>Ø20</v>
      </c>
    </row>
    <row r="90" spans="17:24" x14ac:dyDescent="0.3">
      <c r="Q90" s="25" t="s">
        <v>143</v>
      </c>
      <c r="R90" s="3">
        <v>7</v>
      </c>
      <c r="S90" s="3">
        <v>0.75</v>
      </c>
      <c r="T90" s="21" t="str">
        <f t="shared" si="10"/>
        <v>КГВВнг(А)-LS (7х0,75)</v>
      </c>
      <c r="U90" s="3">
        <v>9.9</v>
      </c>
      <c r="V90" s="3">
        <f t="shared" si="11"/>
        <v>14</v>
      </c>
      <c r="W90" s="3" t="str">
        <f t="shared" si="12"/>
        <v>Ø20</v>
      </c>
      <c r="X90" s="3" t="str">
        <f t="shared" si="13"/>
        <v>Ø20</v>
      </c>
    </row>
    <row r="91" spans="17:24" x14ac:dyDescent="0.3">
      <c r="Q91" s="25" t="s">
        <v>143</v>
      </c>
      <c r="R91" s="3">
        <v>10</v>
      </c>
      <c r="S91" s="3">
        <v>0.75</v>
      </c>
      <c r="T91" s="21" t="str">
        <f t="shared" si="10"/>
        <v>КГВВнг(А)-LS (10х0,75)</v>
      </c>
      <c r="U91" s="3">
        <v>11.6</v>
      </c>
      <c r="V91" s="3">
        <f t="shared" si="11"/>
        <v>14</v>
      </c>
      <c r="W91" s="3" t="str">
        <f t="shared" si="12"/>
        <v>Ø20</v>
      </c>
      <c r="X91" s="3" t="str">
        <f t="shared" si="13"/>
        <v>Ø20</v>
      </c>
    </row>
    <row r="92" spans="17:24" x14ac:dyDescent="0.3">
      <c r="Q92" s="25" t="s">
        <v>143</v>
      </c>
      <c r="R92" s="3">
        <v>14</v>
      </c>
      <c r="S92" s="3">
        <v>0.75</v>
      </c>
      <c r="T92" s="21" t="str">
        <f t="shared" ref="T92:T96" si="14">Q92&amp;" ("&amp;R92&amp;"х"&amp;S92&amp;")"</f>
        <v>КГВВнг(А)-LS (14х0,75)</v>
      </c>
      <c r="U92" s="3">
        <v>13.1</v>
      </c>
      <c r="V92" s="3">
        <f t="shared" si="11"/>
        <v>15.719999999999999</v>
      </c>
      <c r="W92" s="3" t="str">
        <f t="shared" si="12"/>
        <v>Ø25</v>
      </c>
      <c r="X92" s="3" t="str">
        <f t="shared" si="13"/>
        <v>Ø25</v>
      </c>
    </row>
    <row r="93" spans="17:24" x14ac:dyDescent="0.3">
      <c r="Q93" s="25" t="s">
        <v>143</v>
      </c>
      <c r="R93" s="3">
        <v>19</v>
      </c>
      <c r="S93" s="3">
        <v>0.75</v>
      </c>
      <c r="T93" s="21" t="str">
        <f t="shared" si="14"/>
        <v>КГВВнг(А)-LS (19х0,75)</v>
      </c>
      <c r="U93" s="3">
        <v>14.5</v>
      </c>
      <c r="V93" s="3">
        <f t="shared" si="11"/>
        <v>17.399999999999999</v>
      </c>
      <c r="W93" s="3" t="str">
        <f t="shared" si="12"/>
        <v>Ø25</v>
      </c>
      <c r="X93" s="3" t="str">
        <f t="shared" si="13"/>
        <v>Ø25</v>
      </c>
    </row>
    <row r="94" spans="17:24" x14ac:dyDescent="0.3">
      <c r="Q94" s="25" t="s">
        <v>143</v>
      </c>
      <c r="R94" s="3">
        <v>27</v>
      </c>
      <c r="S94" s="3">
        <v>0.75</v>
      </c>
      <c r="T94" s="21" t="str">
        <f t="shared" si="14"/>
        <v>КГВВнг(А)-LS (27х0,75)</v>
      </c>
      <c r="U94" s="3">
        <v>17.2</v>
      </c>
      <c r="V94" s="3">
        <f t="shared" si="11"/>
        <v>20.639999999999997</v>
      </c>
      <c r="W94" s="3" t="str">
        <f t="shared" si="12"/>
        <v>Ø32</v>
      </c>
      <c r="X94" s="3" t="str">
        <f t="shared" si="13"/>
        <v>Ø32</v>
      </c>
    </row>
    <row r="95" spans="17:24" x14ac:dyDescent="0.3">
      <c r="Q95" s="25" t="s">
        <v>143</v>
      </c>
      <c r="R95" s="3">
        <v>37</v>
      </c>
      <c r="S95" s="3">
        <v>0.75</v>
      </c>
      <c r="T95" s="21" t="str">
        <f t="shared" si="14"/>
        <v>КГВВнг(А)-LS (37х0,75)</v>
      </c>
      <c r="U95" s="3">
        <v>18.5</v>
      </c>
      <c r="V95" s="3">
        <f t="shared" si="11"/>
        <v>22.2</v>
      </c>
      <c r="W95" s="3" t="str">
        <f t="shared" si="12"/>
        <v>Ø32</v>
      </c>
      <c r="X95" s="3" t="str">
        <f t="shared" si="13"/>
        <v>Ø32</v>
      </c>
    </row>
    <row r="96" spans="17:24" x14ac:dyDescent="0.3">
      <c r="Q96" s="25" t="s">
        <v>143</v>
      </c>
      <c r="R96" s="3">
        <v>52</v>
      </c>
      <c r="S96" s="3">
        <v>0.75</v>
      </c>
      <c r="T96" s="21" t="str">
        <f t="shared" si="14"/>
        <v>КГВВнг(А)-LS (52х0,75)</v>
      </c>
      <c r="U96" s="3">
        <v>21.6</v>
      </c>
      <c r="V96" s="3">
        <f t="shared" si="11"/>
        <v>25.92</v>
      </c>
      <c r="W96" s="3" t="str">
        <f t="shared" si="12"/>
        <v>Ø40</v>
      </c>
      <c r="X96" s="3" t="str">
        <f t="shared" si="13"/>
        <v>Ø40</v>
      </c>
    </row>
    <row r="97" spans="17:24" x14ac:dyDescent="0.3">
      <c r="Q97" s="25" t="s">
        <v>143</v>
      </c>
      <c r="R97" s="3">
        <v>1</v>
      </c>
      <c r="S97" s="3">
        <v>1</v>
      </c>
      <c r="T97" s="21" t="str">
        <f t="shared" ref="T97:T101" si="15">Q97&amp;" ("&amp;R97&amp;"х"&amp;S97&amp;")"</f>
        <v>КГВВнг(А)-LS (1х1)</v>
      </c>
      <c r="U97" s="3">
        <v>2.8</v>
      </c>
      <c r="V97" s="3">
        <f t="shared" si="11"/>
        <v>14</v>
      </c>
      <c r="W97" s="3" t="str">
        <f t="shared" si="12"/>
        <v>Ø20</v>
      </c>
      <c r="X97" s="3" t="str">
        <f t="shared" si="13"/>
        <v>Ø20</v>
      </c>
    </row>
    <row r="98" spans="17:24" x14ac:dyDescent="0.3">
      <c r="Q98" s="25" t="s">
        <v>143</v>
      </c>
      <c r="R98" s="3">
        <v>2</v>
      </c>
      <c r="S98" s="3">
        <v>1</v>
      </c>
      <c r="T98" s="21" t="str">
        <f t="shared" si="15"/>
        <v>КГВВнг(А)-LS (2х1)</v>
      </c>
      <c r="U98" s="3">
        <v>7.3</v>
      </c>
      <c r="V98" s="3">
        <f t="shared" si="11"/>
        <v>14</v>
      </c>
      <c r="W98" s="3" t="str">
        <f t="shared" si="12"/>
        <v>Ø20</v>
      </c>
      <c r="X98" s="3" t="str">
        <f t="shared" si="13"/>
        <v>Ø20</v>
      </c>
    </row>
    <row r="99" spans="17:24" x14ac:dyDescent="0.3">
      <c r="Q99" s="25" t="s">
        <v>143</v>
      </c>
      <c r="R99" s="3">
        <v>3</v>
      </c>
      <c r="S99" s="3">
        <v>1</v>
      </c>
      <c r="T99" s="21" t="str">
        <f t="shared" si="15"/>
        <v>КГВВнг(А)-LS (3х1)</v>
      </c>
      <c r="U99" s="3">
        <v>7.7</v>
      </c>
      <c r="V99" s="3">
        <f t="shared" si="11"/>
        <v>14</v>
      </c>
      <c r="W99" s="3" t="str">
        <f t="shared" si="12"/>
        <v>Ø20</v>
      </c>
      <c r="X99" s="3" t="str">
        <f t="shared" si="13"/>
        <v>Ø20</v>
      </c>
    </row>
    <row r="100" spans="17:24" x14ac:dyDescent="0.3">
      <c r="Q100" s="25" t="s">
        <v>143</v>
      </c>
      <c r="R100" s="3">
        <v>4</v>
      </c>
      <c r="S100" s="3">
        <v>1</v>
      </c>
      <c r="T100" s="21" t="str">
        <f t="shared" si="15"/>
        <v>КГВВнг(А)-LS (4х1)</v>
      </c>
      <c r="U100" s="3">
        <v>8.3000000000000007</v>
      </c>
      <c r="V100" s="3">
        <f t="shared" si="11"/>
        <v>14</v>
      </c>
      <c r="W100" s="3" t="str">
        <f t="shared" si="12"/>
        <v>Ø20</v>
      </c>
      <c r="X100" s="3" t="str">
        <f t="shared" si="13"/>
        <v>Ø20</v>
      </c>
    </row>
    <row r="101" spans="17:24" x14ac:dyDescent="0.3">
      <c r="Q101" s="25" t="s">
        <v>143</v>
      </c>
      <c r="R101" s="3">
        <v>5</v>
      </c>
      <c r="S101" s="3">
        <v>1</v>
      </c>
      <c r="T101" s="21" t="str">
        <f t="shared" si="15"/>
        <v>КГВВнг(А)-LS (5х1)</v>
      </c>
      <c r="U101" s="3">
        <v>9.6</v>
      </c>
      <c r="V101" s="3">
        <f t="shared" si="11"/>
        <v>14</v>
      </c>
      <c r="W101" s="3" t="str">
        <f t="shared" si="12"/>
        <v>Ø20</v>
      </c>
      <c r="X101" s="3" t="str">
        <f t="shared" si="13"/>
        <v>Ø20</v>
      </c>
    </row>
    <row r="102" spans="17:24" x14ac:dyDescent="0.3">
      <c r="Q102" s="25" t="s">
        <v>143</v>
      </c>
      <c r="R102" s="3">
        <v>7</v>
      </c>
      <c r="S102" s="3">
        <v>1</v>
      </c>
      <c r="T102" s="21" t="str">
        <f t="shared" ref="T102:T113" si="16">Q102&amp;" ("&amp;R102&amp;"х"&amp;S102&amp;")"</f>
        <v>КГВВнг(А)-LS (7х1)</v>
      </c>
      <c r="U102" s="3">
        <v>10.4</v>
      </c>
      <c r="V102" s="3">
        <f t="shared" si="11"/>
        <v>14</v>
      </c>
      <c r="W102" s="3" t="str">
        <f t="shared" si="12"/>
        <v>Ø20</v>
      </c>
      <c r="X102" s="3" t="str">
        <f t="shared" si="13"/>
        <v>Ø20</v>
      </c>
    </row>
    <row r="103" spans="17:24" x14ac:dyDescent="0.3">
      <c r="Q103" s="25" t="s">
        <v>143</v>
      </c>
      <c r="R103" s="3">
        <v>10</v>
      </c>
      <c r="S103" s="3">
        <v>1</v>
      </c>
      <c r="T103" s="21" t="str">
        <f t="shared" si="16"/>
        <v>КГВВнг(А)-LS (10х1)</v>
      </c>
      <c r="U103" s="3">
        <v>12.8</v>
      </c>
      <c r="V103" s="3">
        <f t="shared" si="11"/>
        <v>15.36</v>
      </c>
      <c r="W103" s="3" t="str">
        <f t="shared" si="12"/>
        <v>Ø25</v>
      </c>
      <c r="X103" s="3" t="str">
        <f t="shared" si="13"/>
        <v>Ø25</v>
      </c>
    </row>
    <row r="104" spans="17:24" x14ac:dyDescent="0.3">
      <c r="Q104" s="25" t="s">
        <v>143</v>
      </c>
      <c r="R104" s="3">
        <v>14</v>
      </c>
      <c r="S104" s="3">
        <v>1</v>
      </c>
      <c r="T104" s="21" t="str">
        <f t="shared" si="16"/>
        <v>КГВВнг(А)-LS (14х1)</v>
      </c>
      <c r="U104" s="3">
        <v>13.9</v>
      </c>
      <c r="V104" s="3">
        <f t="shared" si="11"/>
        <v>16.68</v>
      </c>
      <c r="W104" s="3" t="str">
        <f t="shared" si="12"/>
        <v>Ø25</v>
      </c>
      <c r="X104" s="3" t="str">
        <f t="shared" si="13"/>
        <v>Ø25</v>
      </c>
    </row>
    <row r="105" spans="17:24" x14ac:dyDescent="0.3">
      <c r="Q105" s="25" t="s">
        <v>143</v>
      </c>
      <c r="R105" s="3">
        <v>19</v>
      </c>
      <c r="S105" s="3">
        <v>1</v>
      </c>
      <c r="T105" s="21" t="str">
        <f t="shared" si="16"/>
        <v>КГВВнг(А)-LS (19х1)</v>
      </c>
      <c r="U105" s="3">
        <v>14.6</v>
      </c>
      <c r="V105" s="3">
        <f t="shared" si="11"/>
        <v>17.52</v>
      </c>
      <c r="W105" s="3" t="str">
        <f t="shared" si="12"/>
        <v>Ø25</v>
      </c>
      <c r="X105" s="3" t="str">
        <f t="shared" si="13"/>
        <v>Ø25</v>
      </c>
    </row>
    <row r="106" spans="17:24" x14ac:dyDescent="0.3">
      <c r="Q106" s="25" t="s">
        <v>143</v>
      </c>
      <c r="R106" s="3">
        <v>27</v>
      </c>
      <c r="S106" s="3">
        <v>1</v>
      </c>
      <c r="T106" s="21" t="str">
        <f t="shared" si="16"/>
        <v>КГВВнг(А)-LS (27х1)</v>
      </c>
      <c r="U106" s="3">
        <v>17.3</v>
      </c>
      <c r="V106" s="3">
        <f t="shared" si="11"/>
        <v>20.76</v>
      </c>
      <c r="W106" s="3" t="str">
        <f t="shared" si="12"/>
        <v>Ø32</v>
      </c>
      <c r="X106" s="3" t="str">
        <f t="shared" si="13"/>
        <v>Ø32</v>
      </c>
    </row>
    <row r="107" spans="17:24" x14ac:dyDescent="0.3">
      <c r="Q107" s="25" t="s">
        <v>143</v>
      </c>
      <c r="R107" s="3">
        <v>37</v>
      </c>
      <c r="S107" s="3">
        <v>1</v>
      </c>
      <c r="T107" s="21" t="str">
        <f t="shared" si="16"/>
        <v>КГВВнг(А)-LS (37х1)</v>
      </c>
      <c r="U107" s="3">
        <v>19.600000000000001</v>
      </c>
      <c r="V107" s="3">
        <f t="shared" si="11"/>
        <v>23.52</v>
      </c>
      <c r="W107" s="3" t="str">
        <f t="shared" si="12"/>
        <v>Ø32</v>
      </c>
      <c r="X107" s="3" t="str">
        <f t="shared" si="13"/>
        <v>Ø32</v>
      </c>
    </row>
    <row r="108" spans="17:24" x14ac:dyDescent="0.3">
      <c r="Q108" s="25" t="s">
        <v>143</v>
      </c>
      <c r="R108" s="3">
        <v>52</v>
      </c>
      <c r="S108" s="3">
        <v>1</v>
      </c>
      <c r="T108" s="21" t="str">
        <f t="shared" si="16"/>
        <v>КГВВнг(А)-LS (52х1)</v>
      </c>
      <c r="U108" s="3">
        <v>22.9</v>
      </c>
      <c r="V108" s="3">
        <f t="shared" si="11"/>
        <v>27.479999999999997</v>
      </c>
      <c r="W108" s="3" t="str">
        <f t="shared" si="12"/>
        <v>Ø40</v>
      </c>
      <c r="X108" s="3" t="str">
        <f t="shared" si="13"/>
        <v>Ø40</v>
      </c>
    </row>
    <row r="109" spans="17:24" x14ac:dyDescent="0.3">
      <c r="Q109" s="25" t="s">
        <v>143</v>
      </c>
      <c r="R109" s="3">
        <v>1</v>
      </c>
      <c r="S109" s="3">
        <v>1.5</v>
      </c>
      <c r="T109" s="21" t="str">
        <f t="shared" si="16"/>
        <v>КГВВнг(А)-LS (1х1,5)</v>
      </c>
      <c r="U109" s="3">
        <v>5.6</v>
      </c>
      <c r="V109" s="3">
        <f t="shared" si="11"/>
        <v>14</v>
      </c>
      <c r="W109" s="3" t="str">
        <f t="shared" si="12"/>
        <v>Ø20</v>
      </c>
      <c r="X109" s="3" t="str">
        <f t="shared" si="13"/>
        <v>Ø20</v>
      </c>
    </row>
    <row r="110" spans="17:24" x14ac:dyDescent="0.3">
      <c r="Q110" s="25" t="s">
        <v>143</v>
      </c>
      <c r="R110" s="3">
        <v>2</v>
      </c>
      <c r="S110" s="3">
        <v>1.5</v>
      </c>
      <c r="T110" s="21" t="str">
        <f t="shared" si="16"/>
        <v>КГВВнг(А)-LS (2х1,5)</v>
      </c>
      <c r="U110" s="3">
        <v>8.1999999999999993</v>
      </c>
      <c r="V110" s="3">
        <f t="shared" si="11"/>
        <v>14</v>
      </c>
      <c r="W110" s="3" t="str">
        <f t="shared" si="12"/>
        <v>Ø20</v>
      </c>
      <c r="X110" s="3" t="str">
        <f t="shared" si="13"/>
        <v>Ø20</v>
      </c>
    </row>
    <row r="111" spans="17:24" x14ac:dyDescent="0.3">
      <c r="Q111" s="25" t="s">
        <v>143</v>
      </c>
      <c r="R111" s="3">
        <v>3</v>
      </c>
      <c r="S111" s="3">
        <v>1.5</v>
      </c>
      <c r="T111" s="21" t="str">
        <f t="shared" si="16"/>
        <v>КГВВнг(А)-LS (3х1,5)</v>
      </c>
      <c r="U111" s="3">
        <v>9.3000000000000007</v>
      </c>
      <c r="V111" s="3">
        <f t="shared" si="11"/>
        <v>14</v>
      </c>
      <c r="W111" s="3" t="str">
        <f t="shared" si="12"/>
        <v>Ø20</v>
      </c>
      <c r="X111" s="3" t="str">
        <f t="shared" si="13"/>
        <v>Ø20</v>
      </c>
    </row>
    <row r="112" spans="17:24" x14ac:dyDescent="0.3">
      <c r="Q112" s="25" t="s">
        <v>143</v>
      </c>
      <c r="R112" s="3">
        <v>4</v>
      </c>
      <c r="S112" s="3">
        <v>1.5</v>
      </c>
      <c r="T112" s="21" t="str">
        <f t="shared" si="16"/>
        <v>КГВВнг(А)-LS (4х1,5)</v>
      </c>
      <c r="U112" s="3">
        <v>10</v>
      </c>
      <c r="V112" s="3">
        <f t="shared" si="11"/>
        <v>14</v>
      </c>
      <c r="W112" s="3" t="str">
        <f t="shared" si="12"/>
        <v>Ø20</v>
      </c>
      <c r="X112" s="3" t="str">
        <f t="shared" si="13"/>
        <v>Ø20</v>
      </c>
    </row>
    <row r="113" spans="17:24" x14ac:dyDescent="0.3">
      <c r="Q113" s="25" t="s">
        <v>143</v>
      </c>
      <c r="R113" s="3">
        <v>5</v>
      </c>
      <c r="S113" s="3">
        <v>1.5</v>
      </c>
      <c r="T113" s="21" t="str">
        <f t="shared" si="16"/>
        <v>КГВВнг(А)-LS (5х1,5)</v>
      </c>
      <c r="U113" s="3">
        <v>11.2</v>
      </c>
      <c r="V113" s="3">
        <f t="shared" si="11"/>
        <v>14</v>
      </c>
      <c r="W113" s="3" t="str">
        <f t="shared" si="12"/>
        <v>Ø20</v>
      </c>
      <c r="X113" s="3" t="str">
        <f t="shared" si="13"/>
        <v>Ø20</v>
      </c>
    </row>
    <row r="114" spans="17:24" x14ac:dyDescent="0.3">
      <c r="Q114" s="25" t="s">
        <v>143</v>
      </c>
      <c r="R114" s="3">
        <v>7</v>
      </c>
      <c r="S114" s="3">
        <v>1.5</v>
      </c>
      <c r="T114" s="21" t="str">
        <f t="shared" ref="T114:T158" si="17">Q114&amp;" ("&amp;R114&amp;"х"&amp;S114&amp;")"</f>
        <v>КГВВнг(А)-LS (7х1,5)</v>
      </c>
      <c r="U114" s="3">
        <v>11.8</v>
      </c>
      <c r="V114" s="3">
        <f t="shared" si="11"/>
        <v>14.16</v>
      </c>
      <c r="W114" s="3" t="str">
        <f t="shared" si="12"/>
        <v>Ø20</v>
      </c>
      <c r="X114" s="3" t="str">
        <f t="shared" si="13"/>
        <v>Ø20</v>
      </c>
    </row>
    <row r="115" spans="17:24" x14ac:dyDescent="0.3">
      <c r="Q115" s="25" t="s">
        <v>143</v>
      </c>
      <c r="R115" s="3">
        <v>10</v>
      </c>
      <c r="S115" s="3">
        <v>1.5</v>
      </c>
      <c r="T115" s="21" t="str">
        <f t="shared" si="17"/>
        <v>КГВВнг(А)-LS (10х1,5)</v>
      </c>
      <c r="U115" s="3">
        <v>14.7</v>
      </c>
      <c r="V115" s="3">
        <f t="shared" si="11"/>
        <v>17.639999999999997</v>
      </c>
      <c r="W115" s="3" t="str">
        <f t="shared" si="12"/>
        <v>Ø25</v>
      </c>
      <c r="X115" s="3" t="str">
        <f t="shared" si="13"/>
        <v>Ø25</v>
      </c>
    </row>
    <row r="116" spans="17:24" x14ac:dyDescent="0.3">
      <c r="Q116" s="25" t="s">
        <v>143</v>
      </c>
      <c r="R116" s="3">
        <v>14</v>
      </c>
      <c r="S116" s="3">
        <v>1.5</v>
      </c>
      <c r="T116" s="21" t="str">
        <f t="shared" si="17"/>
        <v>КГВВнг(А)-LS (14х1,5)</v>
      </c>
      <c r="U116" s="3">
        <v>15.9</v>
      </c>
      <c r="V116" s="3">
        <f t="shared" si="11"/>
        <v>19.079999999999998</v>
      </c>
      <c r="W116" s="3" t="str">
        <f t="shared" si="12"/>
        <v>Ø32</v>
      </c>
      <c r="X116" s="3" t="str">
        <f t="shared" si="13"/>
        <v>Ø32</v>
      </c>
    </row>
    <row r="117" spans="17:24" x14ac:dyDescent="0.3">
      <c r="Q117" s="25" t="s">
        <v>143</v>
      </c>
      <c r="R117" s="3">
        <v>19</v>
      </c>
      <c r="S117" s="3">
        <v>1.5</v>
      </c>
      <c r="T117" s="21" t="str">
        <f t="shared" si="17"/>
        <v>КГВВнг(А)-LS (19х1,5)</v>
      </c>
      <c r="U117" s="3">
        <v>17.600000000000001</v>
      </c>
      <c r="V117" s="3">
        <f t="shared" si="11"/>
        <v>21.12</v>
      </c>
      <c r="W117" s="3" t="str">
        <f t="shared" si="12"/>
        <v>Ø32</v>
      </c>
      <c r="X117" s="3" t="str">
        <f t="shared" si="13"/>
        <v>Ø32</v>
      </c>
    </row>
    <row r="118" spans="17:24" x14ac:dyDescent="0.3">
      <c r="Q118" s="25" t="s">
        <v>143</v>
      </c>
      <c r="R118" s="3">
        <v>27</v>
      </c>
      <c r="S118" s="3">
        <v>1.5</v>
      </c>
      <c r="T118" s="21" t="str">
        <f t="shared" si="17"/>
        <v>КГВВнг(А)-LS (27х1,5)</v>
      </c>
      <c r="U118" s="3">
        <v>21.4</v>
      </c>
      <c r="V118" s="3">
        <f t="shared" si="11"/>
        <v>25.679999999999996</v>
      </c>
      <c r="W118" s="3" t="str">
        <f t="shared" si="12"/>
        <v>Ø40</v>
      </c>
      <c r="X118" s="3" t="str">
        <f t="shared" si="13"/>
        <v>Ø40</v>
      </c>
    </row>
    <row r="119" spans="17:24" x14ac:dyDescent="0.3">
      <c r="Q119" s="25" t="s">
        <v>143</v>
      </c>
      <c r="R119" s="3">
        <v>37</v>
      </c>
      <c r="S119" s="3">
        <v>1.5</v>
      </c>
      <c r="T119" s="21" t="str">
        <f t="shared" si="17"/>
        <v>КГВВнг(А)-LS (37х1,5)</v>
      </c>
      <c r="U119" s="3">
        <v>22.3</v>
      </c>
      <c r="V119" s="3">
        <f t="shared" si="11"/>
        <v>26.76</v>
      </c>
      <c r="W119" s="3" t="str">
        <f t="shared" si="12"/>
        <v>Ø40</v>
      </c>
      <c r="X119" s="3" t="str">
        <f t="shared" si="13"/>
        <v>Ø40</v>
      </c>
    </row>
    <row r="120" spans="17:24" x14ac:dyDescent="0.3">
      <c r="Q120" s="25" t="s">
        <v>143</v>
      </c>
      <c r="R120" s="3">
        <v>52</v>
      </c>
      <c r="S120" s="3">
        <v>1.5</v>
      </c>
      <c r="T120" s="21" t="str">
        <f t="shared" si="17"/>
        <v>КГВВнг(А)-LS (52х1,5)</v>
      </c>
      <c r="U120" s="3">
        <v>25.3</v>
      </c>
      <c r="V120" s="3">
        <f t="shared" si="11"/>
        <v>30.36</v>
      </c>
      <c r="W120" s="3" t="str">
        <f t="shared" si="12"/>
        <v>Ø40</v>
      </c>
      <c r="X120" s="3" t="str">
        <f t="shared" si="13"/>
        <v>Ø40</v>
      </c>
    </row>
    <row r="121" spans="17:24" x14ac:dyDescent="0.3">
      <c r="Q121" s="25" t="s">
        <v>143</v>
      </c>
      <c r="R121" s="3">
        <v>1</v>
      </c>
      <c r="S121" s="3">
        <v>2.5</v>
      </c>
      <c r="T121" s="21" t="str">
        <f t="shared" si="17"/>
        <v>КГВВнг(А)-LS (1х2,5)</v>
      </c>
      <c r="U121" s="3">
        <v>6.1</v>
      </c>
      <c r="V121" s="3">
        <f t="shared" si="11"/>
        <v>14</v>
      </c>
      <c r="W121" s="3" t="str">
        <f t="shared" si="12"/>
        <v>Ø20</v>
      </c>
      <c r="X121" s="3" t="str">
        <f t="shared" si="13"/>
        <v>Ø20</v>
      </c>
    </row>
    <row r="122" spans="17:24" x14ac:dyDescent="0.3">
      <c r="Q122" s="25" t="s">
        <v>143</v>
      </c>
      <c r="R122" s="3">
        <v>2</v>
      </c>
      <c r="S122" s="3">
        <v>2.5</v>
      </c>
      <c r="T122" s="21" t="str">
        <f t="shared" si="17"/>
        <v>КГВВнг(А)-LS (2х2,5)</v>
      </c>
      <c r="U122" s="3">
        <v>10.1</v>
      </c>
      <c r="V122" s="3">
        <f t="shared" si="11"/>
        <v>14</v>
      </c>
      <c r="W122" s="3" t="str">
        <f t="shared" si="12"/>
        <v>Ø20</v>
      </c>
      <c r="X122" s="3" t="str">
        <f t="shared" si="13"/>
        <v>Ø20</v>
      </c>
    </row>
    <row r="123" spans="17:24" x14ac:dyDescent="0.3">
      <c r="Q123" s="25" t="s">
        <v>143</v>
      </c>
      <c r="R123" s="3">
        <v>3</v>
      </c>
      <c r="S123" s="3">
        <v>2.5</v>
      </c>
      <c r="T123" s="21" t="str">
        <f t="shared" si="17"/>
        <v>КГВВнг(А)-LS (3х2,5)</v>
      </c>
      <c r="U123" s="3">
        <v>10.6</v>
      </c>
      <c r="V123" s="3">
        <f t="shared" si="11"/>
        <v>14</v>
      </c>
      <c r="W123" s="3" t="str">
        <f t="shared" si="12"/>
        <v>Ø20</v>
      </c>
      <c r="X123" s="3" t="str">
        <f t="shared" si="13"/>
        <v>Ø20</v>
      </c>
    </row>
    <row r="124" spans="17:24" x14ac:dyDescent="0.3">
      <c r="Q124" s="25" t="s">
        <v>143</v>
      </c>
      <c r="R124" s="3">
        <v>4</v>
      </c>
      <c r="S124" s="3">
        <v>2.5</v>
      </c>
      <c r="T124" s="21" t="str">
        <f t="shared" si="17"/>
        <v>КГВВнг(А)-LS (4х2,5)</v>
      </c>
      <c r="U124" s="3">
        <v>11.6</v>
      </c>
      <c r="V124" s="3">
        <f t="shared" si="11"/>
        <v>14</v>
      </c>
      <c r="W124" s="3" t="str">
        <f t="shared" si="12"/>
        <v>Ø20</v>
      </c>
      <c r="X124" s="3" t="str">
        <f t="shared" si="13"/>
        <v>Ø20</v>
      </c>
    </row>
    <row r="125" spans="17:24" x14ac:dyDescent="0.3">
      <c r="Q125" s="25" t="s">
        <v>143</v>
      </c>
      <c r="R125" s="3">
        <v>5</v>
      </c>
      <c r="S125" s="3">
        <v>2.5</v>
      </c>
      <c r="T125" s="21" t="str">
        <f t="shared" si="17"/>
        <v>КГВВнг(А)-LS (5х2,5)</v>
      </c>
      <c r="U125" s="3">
        <v>11</v>
      </c>
      <c r="V125" s="3">
        <f t="shared" si="11"/>
        <v>14</v>
      </c>
      <c r="W125" s="3" t="str">
        <f t="shared" si="12"/>
        <v>Ø20</v>
      </c>
      <c r="X125" s="3" t="str">
        <f t="shared" si="13"/>
        <v>Ø20</v>
      </c>
    </row>
    <row r="126" spans="17:24" x14ac:dyDescent="0.3">
      <c r="Q126" s="25" t="s">
        <v>143</v>
      </c>
      <c r="R126" s="3">
        <v>7</v>
      </c>
      <c r="S126" s="3">
        <v>2.5</v>
      </c>
      <c r="T126" s="21" t="str">
        <f t="shared" si="17"/>
        <v>КГВВнг(А)-LS (7х2,5)</v>
      </c>
      <c r="U126" s="3">
        <v>11.8</v>
      </c>
      <c r="V126" s="3">
        <f t="shared" si="11"/>
        <v>14.16</v>
      </c>
      <c r="W126" s="3" t="str">
        <f t="shared" si="12"/>
        <v>Ø20</v>
      </c>
      <c r="X126" s="3" t="str">
        <f t="shared" si="13"/>
        <v>Ø20</v>
      </c>
    </row>
    <row r="127" spans="17:24" x14ac:dyDescent="0.3">
      <c r="Q127" s="25" t="s">
        <v>143</v>
      </c>
      <c r="R127" s="3">
        <v>10</v>
      </c>
      <c r="S127" s="3">
        <v>2.5</v>
      </c>
      <c r="T127" s="21" t="str">
        <f t="shared" si="17"/>
        <v>КГВВнг(А)-LS (10х2,5)</v>
      </c>
      <c r="U127" s="3">
        <v>14.8</v>
      </c>
      <c r="V127" s="3">
        <f t="shared" si="11"/>
        <v>17.760000000000002</v>
      </c>
      <c r="W127" s="3" t="str">
        <f t="shared" si="12"/>
        <v>Ø25</v>
      </c>
      <c r="X127" s="3" t="str">
        <f t="shared" si="13"/>
        <v>Ø25</v>
      </c>
    </row>
    <row r="128" spans="17:24" x14ac:dyDescent="0.3">
      <c r="Q128" s="25" t="s">
        <v>143</v>
      </c>
      <c r="R128" s="3">
        <v>14</v>
      </c>
      <c r="S128" s="3">
        <v>2.5</v>
      </c>
      <c r="T128" s="21" t="str">
        <f t="shared" si="17"/>
        <v>КГВВнг(А)-LS (14х2,5)</v>
      </c>
      <c r="U128" s="3">
        <v>16</v>
      </c>
      <c r="V128" s="3">
        <f t="shared" si="11"/>
        <v>19.2</v>
      </c>
      <c r="W128" s="3" t="str">
        <f t="shared" si="12"/>
        <v>Ø32</v>
      </c>
      <c r="X128" s="3" t="str">
        <f t="shared" si="13"/>
        <v>Ø32</v>
      </c>
    </row>
    <row r="129" spans="17:24" x14ac:dyDescent="0.3">
      <c r="Q129" s="25" t="s">
        <v>143</v>
      </c>
      <c r="R129" s="3">
        <v>19</v>
      </c>
      <c r="S129" s="3">
        <v>2.5</v>
      </c>
      <c r="T129" s="21" t="str">
        <f t="shared" si="17"/>
        <v>КГВВнг(А)-LS (19х2,5)</v>
      </c>
      <c r="U129" s="3">
        <v>17.7</v>
      </c>
      <c r="V129" s="3">
        <f t="shared" si="11"/>
        <v>21.24</v>
      </c>
      <c r="W129" s="3" t="str">
        <f t="shared" si="12"/>
        <v>Ø32</v>
      </c>
      <c r="X129" s="3" t="str">
        <f t="shared" si="13"/>
        <v>Ø32</v>
      </c>
    </row>
    <row r="130" spans="17:24" x14ac:dyDescent="0.3">
      <c r="Q130" s="25" t="s">
        <v>143</v>
      </c>
      <c r="R130" s="3">
        <v>27</v>
      </c>
      <c r="S130" s="3">
        <v>2.5</v>
      </c>
      <c r="T130" s="21" t="str">
        <f t="shared" si="17"/>
        <v>КГВВнг(А)-LS (27х2,5)</v>
      </c>
      <c r="U130" s="3">
        <v>21.5</v>
      </c>
      <c r="V130" s="3">
        <f t="shared" si="11"/>
        <v>25.8</v>
      </c>
      <c r="W130" s="3" t="str">
        <f t="shared" si="12"/>
        <v>Ø40</v>
      </c>
      <c r="X130" s="3" t="str">
        <f t="shared" si="13"/>
        <v>Ø40</v>
      </c>
    </row>
    <row r="131" spans="17:24" x14ac:dyDescent="0.3">
      <c r="Q131" s="25" t="s">
        <v>143</v>
      </c>
      <c r="R131" s="3">
        <v>37</v>
      </c>
      <c r="S131" s="3">
        <v>2.5</v>
      </c>
      <c r="T131" s="21" t="str">
        <f t="shared" si="17"/>
        <v>КГВВнг(А)-LS (37х2,5)</v>
      </c>
      <c r="U131" s="3">
        <v>24.4</v>
      </c>
      <c r="V131" s="3">
        <f t="shared" si="11"/>
        <v>29.279999999999998</v>
      </c>
      <c r="W131" s="3" t="str">
        <f t="shared" si="12"/>
        <v>Ø40</v>
      </c>
      <c r="X131" s="3" t="str">
        <f t="shared" si="13"/>
        <v>Ø40</v>
      </c>
    </row>
    <row r="132" spans="17:24" x14ac:dyDescent="0.3">
      <c r="Q132" s="25" t="s">
        <v>143</v>
      </c>
      <c r="R132" s="3">
        <v>1</v>
      </c>
      <c r="S132" s="3">
        <v>4</v>
      </c>
      <c r="T132" s="21" t="str">
        <f t="shared" si="17"/>
        <v>КГВВнг(А)-LS (1х4)</v>
      </c>
      <c r="U132" s="3">
        <v>6.8</v>
      </c>
      <c r="V132" s="3">
        <f t="shared" si="11"/>
        <v>14</v>
      </c>
      <c r="W132" s="3" t="str">
        <f t="shared" si="12"/>
        <v>Ø20</v>
      </c>
      <c r="X132" s="3" t="str">
        <f t="shared" si="13"/>
        <v>Ø20</v>
      </c>
    </row>
    <row r="133" spans="17:24" x14ac:dyDescent="0.3">
      <c r="Q133" s="25" t="s">
        <v>143</v>
      </c>
      <c r="R133" s="3">
        <v>2</v>
      </c>
      <c r="S133" s="3">
        <v>4</v>
      </c>
      <c r="T133" s="21" t="str">
        <f t="shared" si="17"/>
        <v>КГВВнг(А)-LS (2х4)</v>
      </c>
      <c r="U133" s="3">
        <v>11.1</v>
      </c>
      <c r="V133" s="3">
        <f t="shared" ref="V133:V158" si="18">IF((U133*1.2)&lt;14,14,U133*1.2)</f>
        <v>14</v>
      </c>
      <c r="W133" s="3" t="str">
        <f t="shared" ref="W133:W196" si="19">"Ø"&amp;VLOOKUP(V133,$Z$4:$AA$10,2,TRUE)</f>
        <v>Ø20</v>
      </c>
      <c r="X133" s="3" t="str">
        <f t="shared" ref="X133:X196" si="20">"Ø"&amp;VLOOKUP(V133,$AD$4:$AE$10,2,TRUE)</f>
        <v>Ø20</v>
      </c>
    </row>
    <row r="134" spans="17:24" x14ac:dyDescent="0.3">
      <c r="Q134" s="25" t="s">
        <v>143</v>
      </c>
      <c r="R134" s="3">
        <v>3</v>
      </c>
      <c r="S134" s="3">
        <v>4</v>
      </c>
      <c r="T134" s="21" t="str">
        <f t="shared" si="17"/>
        <v>КГВВнг(А)-LS (3х4)</v>
      </c>
      <c r="U134" s="3">
        <v>11.8</v>
      </c>
      <c r="V134" s="3">
        <f t="shared" si="18"/>
        <v>14.16</v>
      </c>
      <c r="W134" s="3" t="str">
        <f t="shared" si="19"/>
        <v>Ø20</v>
      </c>
      <c r="X134" s="3" t="str">
        <f t="shared" si="20"/>
        <v>Ø20</v>
      </c>
    </row>
    <row r="135" spans="17:24" x14ac:dyDescent="0.3">
      <c r="Q135" s="25" t="s">
        <v>143</v>
      </c>
      <c r="R135" s="3">
        <v>4</v>
      </c>
      <c r="S135" s="3">
        <v>4</v>
      </c>
      <c r="T135" s="21" t="str">
        <f t="shared" si="17"/>
        <v>КГВВнг(А)-LS (4х4)</v>
      </c>
      <c r="U135" s="3">
        <v>12.8</v>
      </c>
      <c r="V135" s="3">
        <f t="shared" si="18"/>
        <v>15.36</v>
      </c>
      <c r="W135" s="3" t="str">
        <f t="shared" si="19"/>
        <v>Ø25</v>
      </c>
      <c r="X135" s="3" t="str">
        <f t="shared" si="20"/>
        <v>Ø25</v>
      </c>
    </row>
    <row r="136" spans="17:24" x14ac:dyDescent="0.3">
      <c r="Q136" s="25" t="s">
        <v>143</v>
      </c>
      <c r="R136" s="3">
        <v>5</v>
      </c>
      <c r="S136" s="3">
        <v>4</v>
      </c>
      <c r="T136" s="21" t="str">
        <f t="shared" si="17"/>
        <v>КГВВнг(А)-LS (5х4)</v>
      </c>
      <c r="U136" s="3">
        <v>14</v>
      </c>
      <c r="V136" s="3">
        <f t="shared" si="18"/>
        <v>16.8</v>
      </c>
      <c r="W136" s="3" t="str">
        <f t="shared" si="19"/>
        <v>Ø25</v>
      </c>
      <c r="X136" s="3" t="str">
        <f t="shared" si="20"/>
        <v>Ø25</v>
      </c>
    </row>
    <row r="137" spans="17:24" x14ac:dyDescent="0.3">
      <c r="Q137" s="25" t="s">
        <v>143</v>
      </c>
      <c r="R137" s="3">
        <v>7</v>
      </c>
      <c r="S137" s="3">
        <v>4</v>
      </c>
      <c r="T137" s="21" t="str">
        <f t="shared" si="17"/>
        <v>КГВВнг(А)-LS (7х4)</v>
      </c>
      <c r="U137" s="3">
        <v>15.1</v>
      </c>
      <c r="V137" s="3">
        <f t="shared" si="18"/>
        <v>18.119999999999997</v>
      </c>
      <c r="W137" s="3" t="str">
        <f t="shared" si="19"/>
        <v>Ø25</v>
      </c>
      <c r="X137" s="3" t="str">
        <f t="shared" si="20"/>
        <v>Ø25</v>
      </c>
    </row>
    <row r="138" spans="17:24" x14ac:dyDescent="0.3">
      <c r="Q138" s="25" t="s">
        <v>143</v>
      </c>
      <c r="R138" s="3">
        <v>10</v>
      </c>
      <c r="S138" s="3">
        <v>4</v>
      </c>
      <c r="T138" s="21" t="str">
        <f t="shared" si="17"/>
        <v>КГВВнг(А)-LS (10х4)</v>
      </c>
      <c r="U138" s="3">
        <v>17.600000000000001</v>
      </c>
      <c r="V138" s="3">
        <f t="shared" si="18"/>
        <v>21.12</v>
      </c>
      <c r="W138" s="3" t="str">
        <f t="shared" si="19"/>
        <v>Ø32</v>
      </c>
      <c r="X138" s="3" t="str">
        <f t="shared" si="20"/>
        <v>Ø32</v>
      </c>
    </row>
    <row r="139" spans="17:24" x14ac:dyDescent="0.3">
      <c r="Q139" s="25" t="s">
        <v>143</v>
      </c>
      <c r="R139" s="3">
        <v>1</v>
      </c>
      <c r="S139" s="3">
        <v>6</v>
      </c>
      <c r="T139" s="21" t="str">
        <f t="shared" si="17"/>
        <v>КГВВнг(А)-LS (1х6)</v>
      </c>
      <c r="U139" s="3">
        <v>7.3</v>
      </c>
      <c r="V139" s="3">
        <f t="shared" si="18"/>
        <v>14</v>
      </c>
      <c r="W139" s="3" t="str">
        <f t="shared" si="19"/>
        <v>Ø20</v>
      </c>
      <c r="X139" s="3" t="str">
        <f t="shared" si="20"/>
        <v>Ø20</v>
      </c>
    </row>
    <row r="140" spans="17:24" x14ac:dyDescent="0.3">
      <c r="Q140" s="25" t="s">
        <v>143</v>
      </c>
      <c r="R140" s="3">
        <v>2</v>
      </c>
      <c r="S140" s="3">
        <v>6</v>
      </c>
      <c r="T140" s="21" t="str">
        <f t="shared" si="17"/>
        <v>КГВВнг(А)-LS (2х6)</v>
      </c>
      <c r="U140" s="3">
        <v>12.3</v>
      </c>
      <c r="V140" s="3">
        <f t="shared" si="18"/>
        <v>14.76</v>
      </c>
      <c r="W140" s="3" t="str">
        <f t="shared" si="19"/>
        <v>Ø20</v>
      </c>
      <c r="X140" s="3" t="str">
        <f t="shared" si="20"/>
        <v>Ø25</v>
      </c>
    </row>
    <row r="141" spans="17:24" x14ac:dyDescent="0.3">
      <c r="Q141" s="25" t="s">
        <v>143</v>
      </c>
      <c r="R141" s="3">
        <v>3</v>
      </c>
      <c r="S141" s="3">
        <v>6</v>
      </c>
      <c r="T141" s="21" t="str">
        <f t="shared" si="17"/>
        <v>КГВВнг(А)-LS (3х6)</v>
      </c>
      <c r="U141" s="3">
        <v>13</v>
      </c>
      <c r="V141" s="3">
        <f t="shared" si="18"/>
        <v>15.6</v>
      </c>
      <c r="W141" s="3" t="str">
        <f t="shared" si="19"/>
        <v>Ø25</v>
      </c>
      <c r="X141" s="3" t="str">
        <f t="shared" si="20"/>
        <v>Ø25</v>
      </c>
    </row>
    <row r="142" spans="17:24" x14ac:dyDescent="0.3">
      <c r="Q142" s="25" t="s">
        <v>143</v>
      </c>
      <c r="R142" s="3">
        <v>4</v>
      </c>
      <c r="S142" s="3">
        <v>6</v>
      </c>
      <c r="T142" s="21" t="str">
        <f t="shared" si="17"/>
        <v>КГВВнг(А)-LS (4х6)</v>
      </c>
      <c r="U142" s="3">
        <v>14.2</v>
      </c>
      <c r="V142" s="3">
        <f t="shared" si="18"/>
        <v>17.04</v>
      </c>
      <c r="W142" s="3" t="str">
        <f t="shared" si="19"/>
        <v>Ø25</v>
      </c>
      <c r="X142" s="3" t="str">
        <f t="shared" si="20"/>
        <v>Ø25</v>
      </c>
    </row>
    <row r="143" spans="17:24" x14ac:dyDescent="0.3">
      <c r="Q143" s="25" t="s">
        <v>143</v>
      </c>
      <c r="R143" s="3">
        <v>5</v>
      </c>
      <c r="S143" s="3">
        <v>6</v>
      </c>
      <c r="T143" s="21" t="str">
        <f t="shared" si="17"/>
        <v>КГВВнг(А)-LS (5х6)</v>
      </c>
      <c r="U143" s="3">
        <v>15.6</v>
      </c>
      <c r="V143" s="3">
        <f t="shared" si="18"/>
        <v>18.72</v>
      </c>
      <c r="W143" s="3" t="str">
        <f t="shared" si="19"/>
        <v>Ø25</v>
      </c>
      <c r="X143" s="3" t="str">
        <f t="shared" si="20"/>
        <v>Ø32</v>
      </c>
    </row>
    <row r="144" spans="17:24" x14ac:dyDescent="0.3">
      <c r="Q144" s="3" t="s">
        <v>175</v>
      </c>
      <c r="R144" s="3">
        <v>1</v>
      </c>
      <c r="S144" s="3">
        <v>1.5</v>
      </c>
      <c r="T144" s="21" t="str">
        <f t="shared" si="17"/>
        <v>ПуГВ (1х1,5)</v>
      </c>
      <c r="U144" s="3">
        <v>3</v>
      </c>
      <c r="V144" s="3">
        <f t="shared" si="18"/>
        <v>14</v>
      </c>
      <c r="W144" s="3" t="str">
        <f t="shared" si="19"/>
        <v>Ø20</v>
      </c>
      <c r="X144" s="3" t="str">
        <f t="shared" si="20"/>
        <v>Ø20</v>
      </c>
    </row>
    <row r="145" spans="17:24" x14ac:dyDescent="0.3">
      <c r="Q145" s="3" t="s">
        <v>175</v>
      </c>
      <c r="R145" s="3">
        <v>1</v>
      </c>
      <c r="S145" s="3">
        <v>2.5</v>
      </c>
      <c r="T145" s="21" t="str">
        <f t="shared" si="17"/>
        <v>ПуГВ (1х2,5)</v>
      </c>
      <c r="U145" s="3">
        <v>3.6</v>
      </c>
      <c r="V145" s="3">
        <f t="shared" si="18"/>
        <v>14</v>
      </c>
      <c r="W145" s="3" t="str">
        <f t="shared" si="19"/>
        <v>Ø20</v>
      </c>
      <c r="X145" s="3" t="str">
        <f t="shared" si="20"/>
        <v>Ø20</v>
      </c>
    </row>
    <row r="146" spans="17:24" x14ac:dyDescent="0.3">
      <c r="Q146" s="3" t="s">
        <v>175</v>
      </c>
      <c r="R146" s="3">
        <v>1</v>
      </c>
      <c r="S146" s="3">
        <v>4</v>
      </c>
      <c r="T146" s="21" t="str">
        <f t="shared" si="17"/>
        <v>ПуГВ (1х4)</v>
      </c>
      <c r="U146" s="3">
        <v>3.9</v>
      </c>
      <c r="V146" s="3">
        <f t="shared" si="18"/>
        <v>14</v>
      </c>
      <c r="W146" s="3" t="str">
        <f t="shared" si="19"/>
        <v>Ø20</v>
      </c>
      <c r="X146" s="3" t="str">
        <f t="shared" si="20"/>
        <v>Ø20</v>
      </c>
    </row>
    <row r="147" spans="17:24" x14ac:dyDescent="0.3">
      <c r="Q147" s="3" t="s">
        <v>175</v>
      </c>
      <c r="R147" s="3">
        <v>1</v>
      </c>
      <c r="S147" s="3">
        <v>6</v>
      </c>
      <c r="T147" s="21" t="str">
        <f t="shared" si="17"/>
        <v>ПуГВ (1х6)</v>
      </c>
      <c r="U147" s="3">
        <v>4.7</v>
      </c>
      <c r="V147" s="3">
        <f t="shared" si="18"/>
        <v>14</v>
      </c>
      <c r="W147" s="3" t="str">
        <f t="shared" si="19"/>
        <v>Ø20</v>
      </c>
      <c r="X147" s="3" t="str">
        <f t="shared" si="20"/>
        <v>Ø20</v>
      </c>
    </row>
    <row r="148" spans="17:24" x14ac:dyDescent="0.3">
      <c r="Q148" s="3" t="s">
        <v>175</v>
      </c>
      <c r="R148" s="3">
        <v>1</v>
      </c>
      <c r="S148" s="3">
        <v>10</v>
      </c>
      <c r="T148" s="21" t="str">
        <f t="shared" si="17"/>
        <v>ПуГВ (1х10)</v>
      </c>
      <c r="U148" s="3">
        <v>6</v>
      </c>
      <c r="V148" s="3">
        <f t="shared" si="18"/>
        <v>14</v>
      </c>
      <c r="W148" s="3" t="str">
        <f t="shared" si="19"/>
        <v>Ø20</v>
      </c>
      <c r="X148" s="3" t="str">
        <f t="shared" si="20"/>
        <v>Ø20</v>
      </c>
    </row>
    <row r="149" spans="17:24" x14ac:dyDescent="0.3">
      <c r="Q149" s="3" t="s">
        <v>175</v>
      </c>
      <c r="R149" s="3">
        <v>1</v>
      </c>
      <c r="S149" s="3">
        <v>16</v>
      </c>
      <c r="T149" s="21" t="str">
        <f t="shared" si="17"/>
        <v>ПуГВ (1х16)</v>
      </c>
      <c r="U149" s="3">
        <v>7.6</v>
      </c>
      <c r="V149" s="3">
        <f t="shared" si="18"/>
        <v>14</v>
      </c>
      <c r="W149" s="3" t="str">
        <f t="shared" si="19"/>
        <v>Ø20</v>
      </c>
      <c r="X149" s="3" t="str">
        <f t="shared" si="20"/>
        <v>Ø20</v>
      </c>
    </row>
    <row r="150" spans="17:24" x14ac:dyDescent="0.3">
      <c r="Q150" s="3" t="s">
        <v>175</v>
      </c>
      <c r="R150" s="3">
        <v>1</v>
      </c>
      <c r="S150" s="3">
        <v>25</v>
      </c>
      <c r="T150" s="21" t="str">
        <f t="shared" si="17"/>
        <v>ПуГВ (1х25)</v>
      </c>
      <c r="U150" s="3">
        <v>9.6</v>
      </c>
      <c r="V150" s="3">
        <f t="shared" si="18"/>
        <v>14</v>
      </c>
      <c r="W150" s="3" t="str">
        <f t="shared" si="19"/>
        <v>Ø20</v>
      </c>
      <c r="X150" s="3" t="str">
        <f t="shared" si="20"/>
        <v>Ø20</v>
      </c>
    </row>
    <row r="151" spans="17:24" x14ac:dyDescent="0.3">
      <c r="Q151" s="3" t="s">
        <v>175</v>
      </c>
      <c r="R151" s="3">
        <v>1</v>
      </c>
      <c r="S151" s="3">
        <v>35</v>
      </c>
      <c r="T151" s="21" t="str">
        <f t="shared" si="17"/>
        <v>ПуГВ (1х35)</v>
      </c>
      <c r="U151" s="3">
        <v>10.9</v>
      </c>
      <c r="V151" s="3">
        <f t="shared" si="18"/>
        <v>14</v>
      </c>
      <c r="W151" s="3" t="str">
        <f t="shared" si="19"/>
        <v>Ø20</v>
      </c>
      <c r="X151" s="3" t="str">
        <f t="shared" si="20"/>
        <v>Ø20</v>
      </c>
    </row>
    <row r="152" spans="17:24" x14ac:dyDescent="0.3">
      <c r="Q152" s="3" t="s">
        <v>175</v>
      </c>
      <c r="R152" s="3">
        <v>1</v>
      </c>
      <c r="S152" s="3">
        <v>50</v>
      </c>
      <c r="T152" s="21" t="str">
        <f t="shared" si="17"/>
        <v>ПуГВ (1х50)</v>
      </c>
      <c r="U152" s="3">
        <v>12.6</v>
      </c>
      <c r="V152" s="3">
        <f t="shared" si="18"/>
        <v>15.12</v>
      </c>
      <c r="W152" s="3" t="str">
        <f t="shared" si="19"/>
        <v>Ø25</v>
      </c>
      <c r="X152" s="3" t="str">
        <f t="shared" si="20"/>
        <v>Ø25</v>
      </c>
    </row>
    <row r="153" spans="17:24" x14ac:dyDescent="0.3">
      <c r="Q153" s="3" t="s">
        <v>175</v>
      </c>
      <c r="R153" s="3">
        <v>1</v>
      </c>
      <c r="S153" s="3">
        <v>70</v>
      </c>
      <c r="T153" s="21" t="str">
        <f t="shared" si="17"/>
        <v>ПуГВ (1х70)</v>
      </c>
      <c r="U153" s="3">
        <v>14.6</v>
      </c>
      <c r="V153" s="3">
        <f t="shared" si="18"/>
        <v>17.52</v>
      </c>
      <c r="W153" s="3" t="str">
        <f t="shared" si="19"/>
        <v>Ø25</v>
      </c>
      <c r="X153" s="3" t="str">
        <f t="shared" si="20"/>
        <v>Ø25</v>
      </c>
    </row>
    <row r="154" spans="17:24" x14ac:dyDescent="0.3">
      <c r="Q154" s="3" t="s">
        <v>175</v>
      </c>
      <c r="R154" s="3">
        <v>1</v>
      </c>
      <c r="S154" s="3">
        <v>95</v>
      </c>
      <c r="T154" s="21" t="str">
        <f t="shared" si="17"/>
        <v>ПуГВ (1х95)</v>
      </c>
      <c r="U154" s="3">
        <v>17.2</v>
      </c>
      <c r="V154" s="3">
        <f t="shared" si="18"/>
        <v>20.639999999999997</v>
      </c>
      <c r="W154" s="3" t="str">
        <f t="shared" si="19"/>
        <v>Ø32</v>
      </c>
      <c r="X154" s="3" t="str">
        <f t="shared" si="20"/>
        <v>Ø32</v>
      </c>
    </row>
    <row r="155" spans="17:24" x14ac:dyDescent="0.3">
      <c r="Q155" s="3" t="s">
        <v>175</v>
      </c>
      <c r="R155" s="3">
        <v>1</v>
      </c>
      <c r="S155" s="3">
        <v>120</v>
      </c>
      <c r="T155" s="21" t="str">
        <f t="shared" si="17"/>
        <v>ПуГВ (1х120)</v>
      </c>
      <c r="U155" s="3">
        <v>18.8</v>
      </c>
      <c r="V155" s="3">
        <f t="shared" si="18"/>
        <v>22.56</v>
      </c>
      <c r="W155" s="3" t="str">
        <f t="shared" si="19"/>
        <v>Ø32</v>
      </c>
      <c r="X155" s="3" t="str">
        <f t="shared" si="20"/>
        <v>Ø32</v>
      </c>
    </row>
    <row r="156" spans="17:24" x14ac:dyDescent="0.3">
      <c r="Q156" s="3" t="s">
        <v>175</v>
      </c>
      <c r="R156" s="3">
        <v>1</v>
      </c>
      <c r="S156" s="3">
        <v>150</v>
      </c>
      <c r="T156" s="21" t="str">
        <f t="shared" si="17"/>
        <v>ПуГВ (1х150)</v>
      </c>
      <c r="U156" s="3">
        <v>21</v>
      </c>
      <c r="V156" s="3">
        <f t="shared" si="18"/>
        <v>25.2</v>
      </c>
      <c r="W156" s="3" t="str">
        <f t="shared" si="19"/>
        <v>Ø40</v>
      </c>
      <c r="X156" s="3" t="str">
        <f t="shared" si="20"/>
        <v>Ø40</v>
      </c>
    </row>
    <row r="157" spans="17:24" x14ac:dyDescent="0.3">
      <c r="Q157" s="3" t="s">
        <v>175</v>
      </c>
      <c r="R157" s="3">
        <v>1</v>
      </c>
      <c r="S157" s="3">
        <v>185</v>
      </c>
      <c r="T157" s="21" t="str">
        <f t="shared" si="17"/>
        <v>ПуГВ (1х185)</v>
      </c>
      <c r="U157" s="3">
        <v>23.4</v>
      </c>
      <c r="V157" s="3">
        <f t="shared" si="18"/>
        <v>28.08</v>
      </c>
      <c r="W157" s="3" t="str">
        <f t="shared" si="19"/>
        <v>Ø40</v>
      </c>
      <c r="X157" s="3" t="str">
        <f t="shared" si="20"/>
        <v>Ø40</v>
      </c>
    </row>
    <row r="158" spans="17:24" x14ac:dyDescent="0.3">
      <c r="Q158" s="3" t="s">
        <v>175</v>
      </c>
      <c r="R158" s="3">
        <v>1</v>
      </c>
      <c r="S158" s="3">
        <v>240</v>
      </c>
      <c r="T158" s="21" t="str">
        <f t="shared" si="17"/>
        <v>ПуГВ (1х240)</v>
      </c>
      <c r="U158" s="3">
        <v>27.3</v>
      </c>
      <c r="V158" s="3">
        <f t="shared" si="18"/>
        <v>32.76</v>
      </c>
      <c r="W158" s="3" t="str">
        <f t="shared" si="19"/>
        <v>Ø50</v>
      </c>
      <c r="X158" s="3" t="str">
        <f t="shared" si="20"/>
        <v>Ø50</v>
      </c>
    </row>
    <row r="159" spans="17:24" x14ac:dyDescent="0.3">
      <c r="Q159" s="3"/>
      <c r="R159" s="3"/>
      <c r="S159" s="3"/>
      <c r="T159" s="21" t="s">
        <v>229</v>
      </c>
      <c r="U159" s="3">
        <v>4.9000000000000004</v>
      </c>
      <c r="V159" s="3">
        <f t="shared" ref="V159:V196" si="21">U159*1.2</f>
        <v>5.88</v>
      </c>
      <c r="W159" s="3" t="str">
        <f t="shared" si="19"/>
        <v>Ø16</v>
      </c>
      <c r="X159" s="3" t="str">
        <f t="shared" si="20"/>
        <v>Ø16</v>
      </c>
    </row>
    <row r="160" spans="17:24" x14ac:dyDescent="0.3">
      <c r="Q160" s="3"/>
      <c r="R160" s="3"/>
      <c r="S160" s="3"/>
      <c r="T160" s="21" t="s">
        <v>209</v>
      </c>
      <c r="U160" s="3">
        <v>7</v>
      </c>
      <c r="V160" s="3">
        <f t="shared" si="21"/>
        <v>8.4</v>
      </c>
      <c r="W160" s="3" t="str">
        <f t="shared" si="19"/>
        <v>Ø16</v>
      </c>
      <c r="X160" s="3" t="str">
        <f t="shared" si="20"/>
        <v>Ø16</v>
      </c>
    </row>
    <row r="161" spans="17:24" x14ac:dyDescent="0.3">
      <c r="Q161" s="3"/>
      <c r="R161" s="3"/>
      <c r="S161" s="3"/>
      <c r="T161" s="21" t="s">
        <v>198</v>
      </c>
      <c r="U161" s="3"/>
      <c r="V161" s="3">
        <f t="shared" si="21"/>
        <v>0</v>
      </c>
      <c r="W161" s="3" t="str">
        <f t="shared" si="19"/>
        <v>Ø16</v>
      </c>
      <c r="X161" s="3" t="str">
        <f t="shared" si="20"/>
        <v>Ø16</v>
      </c>
    </row>
    <row r="162" spans="17:24" x14ac:dyDescent="0.3">
      <c r="Q162" s="3"/>
      <c r="R162" s="3"/>
      <c r="S162" s="3"/>
      <c r="T162" s="21" t="s">
        <v>199</v>
      </c>
      <c r="U162" s="3"/>
      <c r="V162" s="3">
        <f t="shared" si="21"/>
        <v>0</v>
      </c>
      <c r="W162" s="3" t="str">
        <f t="shared" si="19"/>
        <v>Ø16</v>
      </c>
      <c r="X162" s="3" t="str">
        <f t="shared" si="20"/>
        <v>Ø16</v>
      </c>
    </row>
    <row r="163" spans="17:24" x14ac:dyDescent="0.3">
      <c r="Q163" s="3"/>
      <c r="R163" s="3"/>
      <c r="S163" s="3"/>
      <c r="T163" s="21" t="s">
        <v>211</v>
      </c>
      <c r="U163" s="3"/>
      <c r="V163" s="3">
        <f t="shared" si="21"/>
        <v>0</v>
      </c>
      <c r="W163" s="3" t="str">
        <f t="shared" si="19"/>
        <v>Ø16</v>
      </c>
      <c r="X163" s="3" t="str">
        <f t="shared" si="20"/>
        <v>Ø16</v>
      </c>
    </row>
    <row r="164" spans="17:24" x14ac:dyDescent="0.3">
      <c r="Q164" s="3" t="s">
        <v>194</v>
      </c>
      <c r="R164" s="3"/>
      <c r="S164" s="3"/>
      <c r="T164" s="21"/>
      <c r="U164" s="3"/>
      <c r="V164" s="3">
        <f t="shared" si="21"/>
        <v>0</v>
      </c>
      <c r="W164" s="3" t="str">
        <f t="shared" si="19"/>
        <v>Ø16</v>
      </c>
      <c r="X164" s="3" t="str">
        <f t="shared" si="20"/>
        <v>Ø16</v>
      </c>
    </row>
    <row r="165" spans="17:24" x14ac:dyDescent="0.3">
      <c r="Q165" s="3"/>
      <c r="R165" s="3"/>
      <c r="S165" s="3"/>
      <c r="T165" s="21"/>
      <c r="U165" s="3"/>
      <c r="V165" s="3">
        <f t="shared" si="21"/>
        <v>0</v>
      </c>
      <c r="W165" s="3" t="str">
        <f t="shared" si="19"/>
        <v>Ø16</v>
      </c>
      <c r="X165" s="3" t="str">
        <f t="shared" si="20"/>
        <v>Ø16</v>
      </c>
    </row>
    <row r="166" spans="17:24" x14ac:dyDescent="0.3">
      <c r="Q166" s="3"/>
      <c r="R166" s="3"/>
      <c r="S166" s="3"/>
      <c r="T166" s="21"/>
      <c r="U166" s="3"/>
      <c r="V166" s="3">
        <f t="shared" si="21"/>
        <v>0</v>
      </c>
      <c r="W166" s="3" t="str">
        <f t="shared" si="19"/>
        <v>Ø16</v>
      </c>
      <c r="X166" s="3" t="str">
        <f t="shared" si="20"/>
        <v>Ø16</v>
      </c>
    </row>
    <row r="167" spans="17:24" x14ac:dyDescent="0.3">
      <c r="Q167" s="3" t="s">
        <v>195</v>
      </c>
      <c r="R167" s="3"/>
      <c r="S167" s="3"/>
      <c r="T167" s="21"/>
      <c r="U167" s="3"/>
      <c r="V167" s="3">
        <f t="shared" si="21"/>
        <v>0</v>
      </c>
      <c r="W167" s="3" t="str">
        <f t="shared" si="19"/>
        <v>Ø16</v>
      </c>
      <c r="X167" s="3" t="str">
        <f t="shared" si="20"/>
        <v>Ø16</v>
      </c>
    </row>
    <row r="168" spans="17:24" x14ac:dyDescent="0.3">
      <c r="Q168" s="3" t="s">
        <v>197</v>
      </c>
      <c r="R168" s="3"/>
      <c r="S168" s="3"/>
      <c r="T168" s="21"/>
      <c r="U168" s="3"/>
      <c r="V168" s="3">
        <f t="shared" si="21"/>
        <v>0</v>
      </c>
      <c r="W168" s="3" t="str">
        <f t="shared" si="19"/>
        <v>Ø16</v>
      </c>
      <c r="X168" s="3" t="str">
        <f t="shared" si="20"/>
        <v>Ø16</v>
      </c>
    </row>
    <row r="169" spans="17:24" x14ac:dyDescent="0.3">
      <c r="Q169" s="3"/>
      <c r="R169" s="3"/>
      <c r="S169" s="3"/>
      <c r="T169" s="21"/>
      <c r="U169" s="3"/>
      <c r="V169" s="3">
        <f t="shared" si="21"/>
        <v>0</v>
      </c>
      <c r="W169" s="3" t="str">
        <f t="shared" si="19"/>
        <v>Ø16</v>
      </c>
      <c r="X169" s="3" t="str">
        <f t="shared" si="20"/>
        <v>Ø16</v>
      </c>
    </row>
    <row r="170" spans="17:24" x14ac:dyDescent="0.3">
      <c r="Q170" s="3"/>
      <c r="R170" s="3"/>
      <c r="S170" s="3"/>
      <c r="T170" s="21" t="s">
        <v>196</v>
      </c>
      <c r="U170" s="3"/>
      <c r="V170" s="3">
        <f t="shared" si="21"/>
        <v>0</v>
      </c>
      <c r="W170" s="3" t="str">
        <f t="shared" si="19"/>
        <v>Ø16</v>
      </c>
      <c r="X170" s="3" t="str">
        <f t="shared" si="20"/>
        <v>Ø16</v>
      </c>
    </row>
    <row r="171" spans="17:24" x14ac:dyDescent="0.3">
      <c r="Q171" s="3"/>
      <c r="R171" s="3"/>
      <c r="S171" s="3"/>
      <c r="T171" s="21"/>
      <c r="U171" s="3"/>
      <c r="V171" s="3">
        <f t="shared" si="21"/>
        <v>0</v>
      </c>
      <c r="W171" s="3" t="str">
        <f t="shared" si="19"/>
        <v>Ø16</v>
      </c>
      <c r="X171" s="3" t="str">
        <f t="shared" si="20"/>
        <v>Ø16</v>
      </c>
    </row>
    <row r="172" spans="17:24" x14ac:dyDescent="0.3">
      <c r="Q172" s="3"/>
      <c r="R172" s="3"/>
      <c r="S172" s="3"/>
      <c r="T172" s="21"/>
      <c r="U172" s="25"/>
      <c r="V172" s="25"/>
      <c r="W172" s="25"/>
      <c r="X172" s="25"/>
    </row>
    <row r="173" spans="17:24" x14ac:dyDescent="0.3">
      <c r="Q173" s="3"/>
      <c r="R173" s="3"/>
      <c r="S173" s="3"/>
      <c r="T173" s="21"/>
      <c r="U173" s="3"/>
      <c r="V173" s="3">
        <f t="shared" si="21"/>
        <v>0</v>
      </c>
      <c r="W173" s="3" t="str">
        <f t="shared" si="19"/>
        <v>Ø16</v>
      </c>
      <c r="X173" s="3" t="str">
        <f t="shared" si="20"/>
        <v>Ø16</v>
      </c>
    </row>
    <row r="174" spans="17:24" x14ac:dyDescent="0.3">
      <c r="Q174" s="3"/>
      <c r="R174" s="3"/>
      <c r="S174" s="3"/>
      <c r="T174" s="21"/>
      <c r="U174" s="3"/>
      <c r="V174" s="3">
        <f t="shared" si="21"/>
        <v>0</v>
      </c>
      <c r="W174" s="3" t="str">
        <f t="shared" si="19"/>
        <v>Ø16</v>
      </c>
      <c r="X174" s="3" t="str">
        <f t="shared" si="20"/>
        <v>Ø16</v>
      </c>
    </row>
    <row r="175" spans="17:24" x14ac:dyDescent="0.3">
      <c r="Q175" s="3"/>
      <c r="R175" s="3"/>
      <c r="S175" s="3"/>
      <c r="T175" s="21"/>
      <c r="U175" s="3"/>
      <c r="V175" s="3">
        <f t="shared" si="21"/>
        <v>0</v>
      </c>
      <c r="W175" s="3" t="str">
        <f t="shared" si="19"/>
        <v>Ø16</v>
      </c>
      <c r="X175" s="3" t="str">
        <f t="shared" si="20"/>
        <v>Ø16</v>
      </c>
    </row>
    <row r="176" spans="17:24" x14ac:dyDescent="0.3">
      <c r="Q176" s="3"/>
      <c r="R176" s="3"/>
      <c r="S176" s="3"/>
      <c r="T176" s="21"/>
      <c r="U176" s="3"/>
      <c r="V176" s="3">
        <f t="shared" si="21"/>
        <v>0</v>
      </c>
      <c r="W176" s="3" t="str">
        <f t="shared" si="19"/>
        <v>Ø16</v>
      </c>
      <c r="X176" s="3" t="str">
        <f t="shared" si="20"/>
        <v>Ø16</v>
      </c>
    </row>
    <row r="177" spans="17:24" x14ac:dyDescent="0.3">
      <c r="Q177" s="3"/>
      <c r="R177" s="3"/>
      <c r="S177" s="3"/>
      <c r="T177" s="21"/>
      <c r="U177" s="3"/>
      <c r="V177" s="3">
        <f t="shared" si="21"/>
        <v>0</v>
      </c>
      <c r="W177" s="3" t="str">
        <f t="shared" si="19"/>
        <v>Ø16</v>
      </c>
      <c r="X177" s="3" t="str">
        <f t="shared" si="20"/>
        <v>Ø16</v>
      </c>
    </row>
    <row r="178" spans="17:24" x14ac:dyDescent="0.3">
      <c r="Q178" s="3"/>
      <c r="R178" s="3"/>
      <c r="S178" s="3"/>
      <c r="T178" s="21"/>
      <c r="U178" s="3"/>
      <c r="V178" s="3">
        <f t="shared" si="21"/>
        <v>0</v>
      </c>
      <c r="W178" s="3" t="str">
        <f t="shared" si="19"/>
        <v>Ø16</v>
      </c>
      <c r="X178" s="3" t="str">
        <f t="shared" si="20"/>
        <v>Ø16</v>
      </c>
    </row>
    <row r="179" spans="17:24" x14ac:dyDescent="0.3">
      <c r="Q179" s="3"/>
      <c r="R179" s="3"/>
      <c r="S179" s="3"/>
      <c r="T179" s="21"/>
      <c r="U179" s="3"/>
      <c r="V179" s="3">
        <f t="shared" si="21"/>
        <v>0</v>
      </c>
      <c r="W179" s="3" t="str">
        <f t="shared" si="19"/>
        <v>Ø16</v>
      </c>
      <c r="X179" s="3" t="str">
        <f t="shared" si="20"/>
        <v>Ø16</v>
      </c>
    </row>
    <row r="180" spans="17:24" x14ac:dyDescent="0.3">
      <c r="Q180" s="3"/>
      <c r="R180" s="3"/>
      <c r="S180" s="3"/>
      <c r="T180" s="21"/>
      <c r="U180" s="3"/>
      <c r="V180" s="3">
        <f t="shared" si="21"/>
        <v>0</v>
      </c>
      <c r="W180" s="3" t="str">
        <f t="shared" si="19"/>
        <v>Ø16</v>
      </c>
      <c r="X180" s="3" t="str">
        <f t="shared" si="20"/>
        <v>Ø16</v>
      </c>
    </row>
    <row r="181" spans="17:24" x14ac:dyDescent="0.3">
      <c r="Q181" s="3"/>
      <c r="R181" s="3"/>
      <c r="S181" s="3"/>
      <c r="T181" s="21"/>
      <c r="U181" s="3"/>
      <c r="V181" s="3">
        <f t="shared" si="21"/>
        <v>0</v>
      </c>
      <c r="W181" s="3" t="str">
        <f t="shared" si="19"/>
        <v>Ø16</v>
      </c>
      <c r="X181" s="3" t="str">
        <f t="shared" si="20"/>
        <v>Ø16</v>
      </c>
    </row>
    <row r="182" spans="17:24" x14ac:dyDescent="0.3">
      <c r="Q182" s="3"/>
      <c r="R182" s="3"/>
      <c r="S182" s="3"/>
      <c r="T182" s="21"/>
      <c r="U182" s="3"/>
      <c r="V182" s="3">
        <f t="shared" si="21"/>
        <v>0</v>
      </c>
      <c r="W182" s="3" t="str">
        <f t="shared" si="19"/>
        <v>Ø16</v>
      </c>
      <c r="X182" s="3" t="str">
        <f t="shared" si="20"/>
        <v>Ø16</v>
      </c>
    </row>
    <row r="183" spans="17:24" x14ac:dyDescent="0.3">
      <c r="Q183" s="3"/>
      <c r="R183" s="3"/>
      <c r="S183" s="3"/>
      <c r="T183" s="21"/>
      <c r="U183" s="3"/>
      <c r="V183" s="3">
        <f t="shared" si="21"/>
        <v>0</v>
      </c>
      <c r="W183" s="3" t="str">
        <f t="shared" si="19"/>
        <v>Ø16</v>
      </c>
      <c r="X183" s="3" t="str">
        <f t="shared" si="20"/>
        <v>Ø16</v>
      </c>
    </row>
    <row r="184" spans="17:24" x14ac:dyDescent="0.3">
      <c r="Q184" s="3"/>
      <c r="R184" s="3"/>
      <c r="S184" s="3"/>
      <c r="T184" s="21"/>
      <c r="U184" s="3"/>
      <c r="V184" s="3">
        <f t="shared" si="21"/>
        <v>0</v>
      </c>
      <c r="W184" s="3" t="str">
        <f t="shared" si="19"/>
        <v>Ø16</v>
      </c>
      <c r="X184" s="3" t="str">
        <f t="shared" si="20"/>
        <v>Ø16</v>
      </c>
    </row>
    <row r="185" spans="17:24" x14ac:dyDescent="0.3">
      <c r="Q185" s="3"/>
      <c r="R185" s="3"/>
      <c r="S185" s="3"/>
      <c r="T185" s="21"/>
      <c r="U185" s="3"/>
      <c r="V185" s="3">
        <f t="shared" si="21"/>
        <v>0</v>
      </c>
      <c r="W185" s="3" t="str">
        <f t="shared" si="19"/>
        <v>Ø16</v>
      </c>
      <c r="X185" s="3" t="str">
        <f t="shared" si="20"/>
        <v>Ø16</v>
      </c>
    </row>
    <row r="186" spans="17:24" x14ac:dyDescent="0.3">
      <c r="Q186" s="3"/>
      <c r="R186" s="3"/>
      <c r="S186" s="3"/>
      <c r="T186" s="21"/>
      <c r="U186" s="3"/>
      <c r="V186" s="3">
        <f t="shared" si="21"/>
        <v>0</v>
      </c>
      <c r="W186" s="3" t="str">
        <f t="shared" si="19"/>
        <v>Ø16</v>
      </c>
      <c r="X186" s="3" t="str">
        <f t="shared" si="20"/>
        <v>Ø16</v>
      </c>
    </row>
    <row r="187" spans="17:24" x14ac:dyDescent="0.3">
      <c r="Q187" s="3"/>
      <c r="R187" s="3"/>
      <c r="S187" s="3"/>
      <c r="T187" s="21"/>
      <c r="U187" s="3"/>
      <c r="V187" s="3">
        <f t="shared" si="21"/>
        <v>0</v>
      </c>
      <c r="W187" s="3" t="str">
        <f t="shared" si="19"/>
        <v>Ø16</v>
      </c>
      <c r="X187" s="3" t="str">
        <f t="shared" si="20"/>
        <v>Ø16</v>
      </c>
    </row>
    <row r="188" spans="17:24" x14ac:dyDescent="0.3">
      <c r="Q188" s="3"/>
      <c r="R188" s="3"/>
      <c r="S188" s="3"/>
      <c r="T188" s="21"/>
      <c r="U188" s="3"/>
      <c r="V188" s="3">
        <f t="shared" si="21"/>
        <v>0</v>
      </c>
      <c r="W188" s="3" t="str">
        <f t="shared" si="19"/>
        <v>Ø16</v>
      </c>
      <c r="X188" s="3" t="str">
        <f t="shared" si="20"/>
        <v>Ø16</v>
      </c>
    </row>
    <row r="189" spans="17:24" x14ac:dyDescent="0.3">
      <c r="Q189" s="3"/>
      <c r="R189" s="3"/>
      <c r="S189" s="3"/>
      <c r="T189" s="21"/>
      <c r="U189" s="3"/>
      <c r="V189" s="3">
        <f t="shared" si="21"/>
        <v>0</v>
      </c>
      <c r="W189" s="3" t="str">
        <f t="shared" si="19"/>
        <v>Ø16</v>
      </c>
      <c r="X189" s="3" t="str">
        <f t="shared" si="20"/>
        <v>Ø16</v>
      </c>
    </row>
    <row r="190" spans="17:24" x14ac:dyDescent="0.3">
      <c r="Q190" s="3"/>
      <c r="R190" s="3"/>
      <c r="S190" s="3"/>
      <c r="T190" s="21"/>
      <c r="U190" s="3"/>
      <c r="V190" s="3">
        <f t="shared" si="21"/>
        <v>0</v>
      </c>
      <c r="W190" s="3" t="str">
        <f t="shared" si="19"/>
        <v>Ø16</v>
      </c>
      <c r="X190" s="3" t="str">
        <f t="shared" si="20"/>
        <v>Ø16</v>
      </c>
    </row>
    <row r="191" spans="17:24" x14ac:dyDescent="0.3">
      <c r="Q191" s="3"/>
      <c r="R191" s="3"/>
      <c r="S191" s="3"/>
      <c r="T191" s="21"/>
      <c r="U191" s="3"/>
      <c r="V191" s="3">
        <f t="shared" si="21"/>
        <v>0</v>
      </c>
      <c r="W191" s="3" t="str">
        <f t="shared" si="19"/>
        <v>Ø16</v>
      </c>
      <c r="X191" s="3" t="str">
        <f t="shared" si="20"/>
        <v>Ø16</v>
      </c>
    </row>
    <row r="192" spans="17:24" x14ac:dyDescent="0.3">
      <c r="Q192" s="3"/>
      <c r="R192" s="3"/>
      <c r="S192" s="3"/>
      <c r="T192" s="21"/>
      <c r="U192" s="3"/>
      <c r="V192" s="3">
        <f t="shared" si="21"/>
        <v>0</v>
      </c>
      <c r="W192" s="3" t="str">
        <f t="shared" si="19"/>
        <v>Ø16</v>
      </c>
      <c r="X192" s="3" t="str">
        <f t="shared" si="20"/>
        <v>Ø16</v>
      </c>
    </row>
    <row r="193" spans="17:24" x14ac:dyDescent="0.3">
      <c r="Q193" s="3"/>
      <c r="R193" s="3"/>
      <c r="S193" s="3"/>
      <c r="T193" s="21"/>
      <c r="U193" s="3"/>
      <c r="V193" s="3">
        <f t="shared" si="21"/>
        <v>0</v>
      </c>
      <c r="W193" s="3" t="str">
        <f t="shared" si="19"/>
        <v>Ø16</v>
      </c>
      <c r="X193" s="3" t="str">
        <f t="shared" si="20"/>
        <v>Ø16</v>
      </c>
    </row>
    <row r="194" spans="17:24" x14ac:dyDescent="0.3">
      <c r="Q194" s="3"/>
      <c r="R194" s="3"/>
      <c r="S194" s="3"/>
      <c r="T194" s="21"/>
      <c r="U194" s="3"/>
      <c r="V194" s="3">
        <f t="shared" si="21"/>
        <v>0</v>
      </c>
      <c r="W194" s="3" t="str">
        <f t="shared" si="19"/>
        <v>Ø16</v>
      </c>
      <c r="X194" s="3" t="str">
        <f t="shared" si="20"/>
        <v>Ø16</v>
      </c>
    </row>
    <row r="195" spans="17:24" x14ac:dyDescent="0.3">
      <c r="Q195" s="3"/>
      <c r="R195" s="3"/>
      <c r="S195" s="3"/>
      <c r="T195" s="21"/>
      <c r="U195" s="3"/>
      <c r="V195" s="3">
        <f t="shared" si="21"/>
        <v>0</v>
      </c>
      <c r="W195" s="3" t="str">
        <f t="shared" si="19"/>
        <v>Ø16</v>
      </c>
      <c r="X195" s="3" t="str">
        <f t="shared" si="20"/>
        <v>Ø16</v>
      </c>
    </row>
    <row r="196" spans="17:24" x14ac:dyDescent="0.3">
      <c r="Q196" s="3"/>
      <c r="R196" s="3"/>
      <c r="S196" s="3"/>
      <c r="T196" s="21"/>
      <c r="U196" s="3"/>
      <c r="V196" s="3">
        <f t="shared" si="21"/>
        <v>0</v>
      </c>
      <c r="W196" s="3" t="str">
        <f t="shared" si="19"/>
        <v>Ø16</v>
      </c>
      <c r="X196" s="3" t="str">
        <f t="shared" si="20"/>
        <v>Ø16</v>
      </c>
    </row>
    <row r="197" spans="17:24" x14ac:dyDescent="0.3">
      <c r="Q197" s="3"/>
      <c r="R197" s="3"/>
      <c r="S197" s="3"/>
      <c r="T197" s="21"/>
      <c r="U197" s="3"/>
      <c r="V197" s="3">
        <f t="shared" ref="V197:V260" si="22">U197*1.2</f>
        <v>0</v>
      </c>
      <c r="W197" s="3" t="str">
        <f t="shared" ref="W197:W260" si="23">"Ø"&amp;VLOOKUP(V197,$Z$4:$AA$10,2,TRUE)</f>
        <v>Ø16</v>
      </c>
      <c r="X197" s="3" t="str">
        <f t="shared" ref="X197:X260" si="24">"Ø"&amp;VLOOKUP(V197,$AD$4:$AE$10,2,TRUE)</f>
        <v>Ø16</v>
      </c>
    </row>
    <row r="198" spans="17:24" x14ac:dyDescent="0.3">
      <c r="Q198" s="3"/>
      <c r="R198" s="3"/>
      <c r="S198" s="3"/>
      <c r="T198" s="21"/>
      <c r="U198" s="3"/>
      <c r="V198" s="3">
        <f t="shared" si="22"/>
        <v>0</v>
      </c>
      <c r="W198" s="3" t="str">
        <f t="shared" si="23"/>
        <v>Ø16</v>
      </c>
      <c r="X198" s="3" t="str">
        <f t="shared" si="24"/>
        <v>Ø16</v>
      </c>
    </row>
    <row r="199" spans="17:24" x14ac:dyDescent="0.3">
      <c r="Q199" s="3"/>
      <c r="R199" s="3"/>
      <c r="S199" s="3"/>
      <c r="T199" s="21"/>
      <c r="U199" s="3"/>
      <c r="V199" s="3">
        <f t="shared" si="22"/>
        <v>0</v>
      </c>
      <c r="W199" s="3" t="str">
        <f t="shared" si="23"/>
        <v>Ø16</v>
      </c>
      <c r="X199" s="3" t="str">
        <f t="shared" si="24"/>
        <v>Ø16</v>
      </c>
    </row>
    <row r="200" spans="17:24" x14ac:dyDescent="0.3">
      <c r="Q200" s="3"/>
      <c r="R200" s="3"/>
      <c r="S200" s="3"/>
      <c r="T200" s="21"/>
      <c r="U200" s="3"/>
      <c r="V200" s="3">
        <f t="shared" si="22"/>
        <v>0</v>
      </c>
      <c r="W200" s="3" t="str">
        <f t="shared" si="23"/>
        <v>Ø16</v>
      </c>
      <c r="X200" s="3" t="str">
        <f t="shared" si="24"/>
        <v>Ø16</v>
      </c>
    </row>
    <row r="201" spans="17:24" x14ac:dyDescent="0.3">
      <c r="Q201" s="3"/>
      <c r="R201" s="3"/>
      <c r="S201" s="3"/>
      <c r="T201" s="21"/>
      <c r="U201" s="3"/>
      <c r="V201" s="3">
        <f t="shared" si="22"/>
        <v>0</v>
      </c>
      <c r="W201" s="3" t="str">
        <f t="shared" si="23"/>
        <v>Ø16</v>
      </c>
      <c r="X201" s="3" t="str">
        <f t="shared" si="24"/>
        <v>Ø16</v>
      </c>
    </row>
    <row r="202" spans="17:24" x14ac:dyDescent="0.3">
      <c r="Q202" s="3"/>
      <c r="R202" s="3"/>
      <c r="S202" s="3"/>
      <c r="T202" s="21"/>
      <c r="U202" s="3"/>
      <c r="V202" s="3">
        <f t="shared" si="22"/>
        <v>0</v>
      </c>
      <c r="W202" s="3" t="str">
        <f t="shared" si="23"/>
        <v>Ø16</v>
      </c>
      <c r="X202" s="3" t="str">
        <f t="shared" si="24"/>
        <v>Ø16</v>
      </c>
    </row>
    <row r="203" spans="17:24" x14ac:dyDescent="0.3">
      <c r="Q203" s="3"/>
      <c r="R203" s="3"/>
      <c r="S203" s="3"/>
      <c r="T203" s="21"/>
      <c r="U203" s="3"/>
      <c r="V203" s="3">
        <f t="shared" si="22"/>
        <v>0</v>
      </c>
      <c r="W203" s="3" t="str">
        <f t="shared" si="23"/>
        <v>Ø16</v>
      </c>
      <c r="X203" s="3" t="str">
        <f t="shared" si="24"/>
        <v>Ø16</v>
      </c>
    </row>
    <row r="204" spans="17:24" x14ac:dyDescent="0.3">
      <c r="Q204" s="3"/>
      <c r="R204" s="3"/>
      <c r="S204" s="3"/>
      <c r="T204" s="21"/>
      <c r="U204" s="3"/>
      <c r="V204" s="3">
        <f t="shared" si="22"/>
        <v>0</v>
      </c>
      <c r="W204" s="3" t="str">
        <f t="shared" si="23"/>
        <v>Ø16</v>
      </c>
      <c r="X204" s="3" t="str">
        <f t="shared" si="24"/>
        <v>Ø16</v>
      </c>
    </row>
    <row r="205" spans="17:24" x14ac:dyDescent="0.3">
      <c r="Q205" s="3"/>
      <c r="R205" s="3"/>
      <c r="S205" s="3"/>
      <c r="T205" s="21"/>
      <c r="U205" s="3"/>
      <c r="V205" s="3">
        <f t="shared" si="22"/>
        <v>0</v>
      </c>
      <c r="W205" s="3" t="str">
        <f t="shared" si="23"/>
        <v>Ø16</v>
      </c>
      <c r="X205" s="3" t="str">
        <f t="shared" si="24"/>
        <v>Ø16</v>
      </c>
    </row>
    <row r="206" spans="17:24" x14ac:dyDescent="0.3">
      <c r="Q206" s="3"/>
      <c r="R206" s="3"/>
      <c r="S206" s="3"/>
      <c r="T206" s="21"/>
      <c r="U206" s="3"/>
      <c r="V206" s="3">
        <f t="shared" si="22"/>
        <v>0</v>
      </c>
      <c r="W206" s="3" t="str">
        <f t="shared" si="23"/>
        <v>Ø16</v>
      </c>
      <c r="X206" s="3" t="str">
        <f t="shared" si="24"/>
        <v>Ø16</v>
      </c>
    </row>
    <row r="207" spans="17:24" x14ac:dyDescent="0.3">
      <c r="Q207" s="3"/>
      <c r="R207" s="3"/>
      <c r="S207" s="3"/>
      <c r="T207" s="21"/>
      <c r="U207" s="3"/>
      <c r="V207" s="3">
        <f t="shared" si="22"/>
        <v>0</v>
      </c>
      <c r="W207" s="3" t="str">
        <f t="shared" si="23"/>
        <v>Ø16</v>
      </c>
      <c r="X207" s="3" t="str">
        <f t="shared" si="24"/>
        <v>Ø16</v>
      </c>
    </row>
    <row r="208" spans="17:24" x14ac:dyDescent="0.3">
      <c r="Q208" s="3"/>
      <c r="R208" s="3"/>
      <c r="S208" s="3"/>
      <c r="T208" s="21"/>
      <c r="U208" s="3"/>
      <c r="V208" s="3">
        <f t="shared" si="22"/>
        <v>0</v>
      </c>
      <c r="W208" s="3" t="str">
        <f t="shared" si="23"/>
        <v>Ø16</v>
      </c>
      <c r="X208" s="3" t="str">
        <f t="shared" si="24"/>
        <v>Ø16</v>
      </c>
    </row>
    <row r="209" spans="17:24" x14ac:dyDescent="0.3">
      <c r="Q209" s="3"/>
      <c r="R209" s="3"/>
      <c r="S209" s="3"/>
      <c r="T209" s="21"/>
      <c r="U209" s="3"/>
      <c r="V209" s="3">
        <f t="shared" si="22"/>
        <v>0</v>
      </c>
      <c r="W209" s="3" t="str">
        <f t="shared" si="23"/>
        <v>Ø16</v>
      </c>
      <c r="X209" s="3" t="str">
        <f t="shared" si="24"/>
        <v>Ø16</v>
      </c>
    </row>
    <row r="210" spans="17:24" x14ac:dyDescent="0.3">
      <c r="Q210" s="3"/>
      <c r="R210" s="3"/>
      <c r="S210" s="3"/>
      <c r="T210" s="21"/>
      <c r="U210" s="3"/>
      <c r="V210" s="3">
        <f t="shared" si="22"/>
        <v>0</v>
      </c>
      <c r="W210" s="3" t="str">
        <f t="shared" si="23"/>
        <v>Ø16</v>
      </c>
      <c r="X210" s="3" t="str">
        <f t="shared" si="24"/>
        <v>Ø16</v>
      </c>
    </row>
    <row r="211" spans="17:24" x14ac:dyDescent="0.3">
      <c r="Q211" s="3"/>
      <c r="R211" s="3"/>
      <c r="S211" s="3"/>
      <c r="T211" s="21"/>
      <c r="U211" s="3"/>
      <c r="V211" s="3">
        <f t="shared" si="22"/>
        <v>0</v>
      </c>
      <c r="W211" s="3" t="str">
        <f t="shared" si="23"/>
        <v>Ø16</v>
      </c>
      <c r="X211" s="3" t="str">
        <f t="shared" si="24"/>
        <v>Ø16</v>
      </c>
    </row>
    <row r="212" spans="17:24" x14ac:dyDescent="0.3">
      <c r="Q212" s="3"/>
      <c r="R212" s="3"/>
      <c r="S212" s="3"/>
      <c r="T212" s="21"/>
      <c r="U212" s="3"/>
      <c r="V212" s="3">
        <f t="shared" si="22"/>
        <v>0</v>
      </c>
      <c r="W212" s="3" t="str">
        <f t="shared" si="23"/>
        <v>Ø16</v>
      </c>
      <c r="X212" s="3" t="str">
        <f t="shared" si="24"/>
        <v>Ø16</v>
      </c>
    </row>
    <row r="213" spans="17:24" x14ac:dyDescent="0.3">
      <c r="Q213" s="3"/>
      <c r="R213" s="3"/>
      <c r="S213" s="3"/>
      <c r="T213" s="21"/>
      <c r="U213" s="3"/>
      <c r="V213" s="3">
        <f t="shared" si="22"/>
        <v>0</v>
      </c>
      <c r="W213" s="3" t="str">
        <f t="shared" si="23"/>
        <v>Ø16</v>
      </c>
      <c r="X213" s="3" t="str">
        <f t="shared" si="24"/>
        <v>Ø16</v>
      </c>
    </row>
    <row r="214" spans="17:24" x14ac:dyDescent="0.3">
      <c r="Q214" s="3"/>
      <c r="R214" s="3"/>
      <c r="S214" s="3"/>
      <c r="T214" s="21"/>
      <c r="U214" s="3"/>
      <c r="V214" s="3">
        <f t="shared" si="22"/>
        <v>0</v>
      </c>
      <c r="W214" s="3" t="str">
        <f t="shared" si="23"/>
        <v>Ø16</v>
      </c>
      <c r="X214" s="3" t="str">
        <f t="shared" si="24"/>
        <v>Ø16</v>
      </c>
    </row>
    <row r="215" spans="17:24" x14ac:dyDescent="0.3">
      <c r="Q215" s="3"/>
      <c r="R215" s="3"/>
      <c r="S215" s="3"/>
      <c r="T215" s="21"/>
      <c r="U215" s="3"/>
      <c r="V215" s="3">
        <f t="shared" si="22"/>
        <v>0</v>
      </c>
      <c r="W215" s="3" t="str">
        <f t="shared" si="23"/>
        <v>Ø16</v>
      </c>
      <c r="X215" s="3" t="str">
        <f t="shared" si="24"/>
        <v>Ø16</v>
      </c>
    </row>
    <row r="216" spans="17:24" x14ac:dyDescent="0.3">
      <c r="Q216" s="3"/>
      <c r="R216" s="3"/>
      <c r="S216" s="3"/>
      <c r="T216" s="21"/>
      <c r="U216" s="3"/>
      <c r="V216" s="3">
        <f t="shared" si="22"/>
        <v>0</v>
      </c>
      <c r="W216" s="3" t="str">
        <f t="shared" si="23"/>
        <v>Ø16</v>
      </c>
      <c r="X216" s="3" t="str">
        <f t="shared" si="24"/>
        <v>Ø16</v>
      </c>
    </row>
    <row r="217" spans="17:24" x14ac:dyDescent="0.3">
      <c r="Q217" s="3"/>
      <c r="R217" s="3"/>
      <c r="S217" s="3"/>
      <c r="T217" s="21"/>
      <c r="U217" s="3"/>
      <c r="V217" s="3">
        <f t="shared" si="22"/>
        <v>0</v>
      </c>
      <c r="W217" s="3" t="str">
        <f t="shared" si="23"/>
        <v>Ø16</v>
      </c>
      <c r="X217" s="3" t="str">
        <f t="shared" si="24"/>
        <v>Ø16</v>
      </c>
    </row>
    <row r="218" spans="17:24" x14ac:dyDescent="0.3">
      <c r="Q218" s="3"/>
      <c r="R218" s="3"/>
      <c r="S218" s="3"/>
      <c r="T218" s="21"/>
      <c r="U218" s="3"/>
      <c r="V218" s="3">
        <f t="shared" si="22"/>
        <v>0</v>
      </c>
      <c r="W218" s="3" t="str">
        <f t="shared" si="23"/>
        <v>Ø16</v>
      </c>
      <c r="X218" s="3" t="str">
        <f t="shared" si="24"/>
        <v>Ø16</v>
      </c>
    </row>
    <row r="219" spans="17:24" x14ac:dyDescent="0.3">
      <c r="Q219" s="3"/>
      <c r="R219" s="3"/>
      <c r="S219" s="3"/>
      <c r="T219" s="21"/>
      <c r="U219" s="3"/>
      <c r="V219" s="3">
        <f t="shared" si="22"/>
        <v>0</v>
      </c>
      <c r="W219" s="3" t="str">
        <f t="shared" si="23"/>
        <v>Ø16</v>
      </c>
      <c r="X219" s="3" t="str">
        <f t="shared" si="24"/>
        <v>Ø16</v>
      </c>
    </row>
    <row r="220" spans="17:24" x14ac:dyDescent="0.3">
      <c r="Q220" s="3"/>
      <c r="R220" s="3"/>
      <c r="S220" s="3"/>
      <c r="T220" s="21"/>
      <c r="U220" s="3"/>
      <c r="V220" s="3">
        <f t="shared" si="22"/>
        <v>0</v>
      </c>
      <c r="W220" s="3" t="str">
        <f t="shared" si="23"/>
        <v>Ø16</v>
      </c>
      <c r="X220" s="3" t="str">
        <f t="shared" si="24"/>
        <v>Ø16</v>
      </c>
    </row>
    <row r="221" spans="17:24" x14ac:dyDescent="0.3">
      <c r="Q221" s="3"/>
      <c r="R221" s="3"/>
      <c r="S221" s="3"/>
      <c r="T221" s="21"/>
      <c r="U221" s="3"/>
      <c r="V221" s="3">
        <f t="shared" si="22"/>
        <v>0</v>
      </c>
      <c r="W221" s="3" t="str">
        <f t="shared" si="23"/>
        <v>Ø16</v>
      </c>
      <c r="X221" s="3" t="str">
        <f t="shared" si="24"/>
        <v>Ø16</v>
      </c>
    </row>
    <row r="222" spans="17:24" x14ac:dyDescent="0.3">
      <c r="Q222" s="3"/>
      <c r="R222" s="3"/>
      <c r="S222" s="3"/>
      <c r="T222" s="21"/>
      <c r="U222" s="3"/>
      <c r="V222" s="3">
        <f t="shared" si="22"/>
        <v>0</v>
      </c>
      <c r="W222" s="3" t="str">
        <f t="shared" si="23"/>
        <v>Ø16</v>
      </c>
      <c r="X222" s="3" t="str">
        <f t="shared" si="24"/>
        <v>Ø16</v>
      </c>
    </row>
    <row r="223" spans="17:24" x14ac:dyDescent="0.3">
      <c r="Q223" s="3"/>
      <c r="R223" s="3"/>
      <c r="S223" s="3"/>
      <c r="T223" s="21"/>
      <c r="U223" s="3"/>
      <c r="V223" s="3">
        <f t="shared" si="22"/>
        <v>0</v>
      </c>
      <c r="W223" s="3" t="str">
        <f t="shared" si="23"/>
        <v>Ø16</v>
      </c>
      <c r="X223" s="3" t="str">
        <f t="shared" si="24"/>
        <v>Ø16</v>
      </c>
    </row>
    <row r="224" spans="17:24" x14ac:dyDescent="0.3">
      <c r="Q224" s="3"/>
      <c r="R224" s="3"/>
      <c r="S224" s="3"/>
      <c r="T224" s="21"/>
      <c r="U224" s="3"/>
      <c r="V224" s="3">
        <f t="shared" si="22"/>
        <v>0</v>
      </c>
      <c r="W224" s="3" t="str">
        <f t="shared" si="23"/>
        <v>Ø16</v>
      </c>
      <c r="X224" s="3" t="str">
        <f t="shared" si="24"/>
        <v>Ø16</v>
      </c>
    </row>
    <row r="225" spans="17:24" x14ac:dyDescent="0.3">
      <c r="Q225" s="3"/>
      <c r="R225" s="3"/>
      <c r="S225" s="3"/>
      <c r="T225" s="21"/>
      <c r="U225" s="3"/>
      <c r="V225" s="3">
        <f t="shared" si="22"/>
        <v>0</v>
      </c>
      <c r="W225" s="3" t="str">
        <f t="shared" si="23"/>
        <v>Ø16</v>
      </c>
      <c r="X225" s="3" t="str">
        <f t="shared" si="24"/>
        <v>Ø16</v>
      </c>
    </row>
    <row r="226" spans="17:24" x14ac:dyDescent="0.3">
      <c r="Q226" s="3"/>
      <c r="R226" s="3"/>
      <c r="S226" s="3"/>
      <c r="T226" s="21"/>
      <c r="U226" s="3"/>
      <c r="V226" s="3">
        <f t="shared" si="22"/>
        <v>0</v>
      </c>
      <c r="W226" s="3" t="str">
        <f t="shared" si="23"/>
        <v>Ø16</v>
      </c>
      <c r="X226" s="3" t="str">
        <f t="shared" si="24"/>
        <v>Ø16</v>
      </c>
    </row>
    <row r="227" spans="17:24" x14ac:dyDescent="0.3">
      <c r="Q227" s="3"/>
      <c r="R227" s="3"/>
      <c r="S227" s="3"/>
      <c r="T227" s="21"/>
      <c r="U227" s="3"/>
      <c r="V227" s="3">
        <f t="shared" si="22"/>
        <v>0</v>
      </c>
      <c r="W227" s="3" t="str">
        <f t="shared" si="23"/>
        <v>Ø16</v>
      </c>
      <c r="X227" s="3" t="str">
        <f t="shared" si="24"/>
        <v>Ø16</v>
      </c>
    </row>
    <row r="228" spans="17:24" x14ac:dyDescent="0.3">
      <c r="Q228" s="3"/>
      <c r="R228" s="3"/>
      <c r="S228" s="3"/>
      <c r="T228" s="21"/>
      <c r="U228" s="3"/>
      <c r="V228" s="3">
        <f t="shared" si="22"/>
        <v>0</v>
      </c>
      <c r="W228" s="3" t="str">
        <f t="shared" si="23"/>
        <v>Ø16</v>
      </c>
      <c r="X228" s="3" t="str">
        <f t="shared" si="24"/>
        <v>Ø16</v>
      </c>
    </row>
    <row r="229" spans="17:24" x14ac:dyDescent="0.3">
      <c r="Q229" s="3"/>
      <c r="R229" s="3"/>
      <c r="S229" s="3"/>
      <c r="T229" s="21"/>
      <c r="U229" s="3"/>
      <c r="V229" s="3">
        <f t="shared" si="22"/>
        <v>0</v>
      </c>
      <c r="W229" s="3" t="str">
        <f t="shared" si="23"/>
        <v>Ø16</v>
      </c>
      <c r="X229" s="3" t="str">
        <f t="shared" si="24"/>
        <v>Ø16</v>
      </c>
    </row>
    <row r="230" spans="17:24" x14ac:dyDescent="0.3">
      <c r="Q230" s="3"/>
      <c r="R230" s="3"/>
      <c r="S230" s="3"/>
      <c r="T230" s="21"/>
      <c r="U230" s="3"/>
      <c r="V230" s="3">
        <f t="shared" si="22"/>
        <v>0</v>
      </c>
      <c r="W230" s="3" t="str">
        <f t="shared" si="23"/>
        <v>Ø16</v>
      </c>
      <c r="X230" s="3" t="str">
        <f t="shared" si="24"/>
        <v>Ø16</v>
      </c>
    </row>
    <row r="231" spans="17:24" x14ac:dyDescent="0.3">
      <c r="Q231" s="3"/>
      <c r="R231" s="3"/>
      <c r="S231" s="3"/>
      <c r="T231" s="21"/>
      <c r="U231" s="3"/>
      <c r="V231" s="3">
        <f t="shared" si="22"/>
        <v>0</v>
      </c>
      <c r="W231" s="3" t="str">
        <f t="shared" si="23"/>
        <v>Ø16</v>
      </c>
      <c r="X231" s="3" t="str">
        <f t="shared" si="24"/>
        <v>Ø16</v>
      </c>
    </row>
    <row r="232" spans="17:24" x14ac:dyDescent="0.3">
      <c r="Q232" s="3"/>
      <c r="R232" s="3"/>
      <c r="S232" s="3"/>
      <c r="T232" s="21"/>
      <c r="U232" s="3"/>
      <c r="V232" s="3">
        <f t="shared" si="22"/>
        <v>0</v>
      </c>
      <c r="W232" s="3" t="str">
        <f t="shared" si="23"/>
        <v>Ø16</v>
      </c>
      <c r="X232" s="3" t="str">
        <f t="shared" si="24"/>
        <v>Ø16</v>
      </c>
    </row>
    <row r="233" spans="17:24" x14ac:dyDescent="0.3">
      <c r="Q233" s="3"/>
      <c r="R233" s="3"/>
      <c r="S233" s="3"/>
      <c r="T233" s="21"/>
      <c r="U233" s="3"/>
      <c r="V233" s="3">
        <f t="shared" si="22"/>
        <v>0</v>
      </c>
      <c r="W233" s="3" t="str">
        <f t="shared" si="23"/>
        <v>Ø16</v>
      </c>
      <c r="X233" s="3" t="str">
        <f t="shared" si="24"/>
        <v>Ø16</v>
      </c>
    </row>
    <row r="234" spans="17:24" x14ac:dyDescent="0.3">
      <c r="Q234" s="3"/>
      <c r="R234" s="3"/>
      <c r="S234" s="3"/>
      <c r="T234" s="21"/>
      <c r="U234" s="3"/>
      <c r="V234" s="3">
        <f t="shared" si="22"/>
        <v>0</v>
      </c>
      <c r="W234" s="3" t="str">
        <f t="shared" si="23"/>
        <v>Ø16</v>
      </c>
      <c r="X234" s="3" t="str">
        <f t="shared" si="24"/>
        <v>Ø16</v>
      </c>
    </row>
    <row r="235" spans="17:24" x14ac:dyDescent="0.3">
      <c r="Q235" s="3"/>
      <c r="R235" s="3"/>
      <c r="S235" s="3"/>
      <c r="T235" s="21"/>
      <c r="U235" s="3"/>
      <c r="V235" s="3">
        <f t="shared" si="22"/>
        <v>0</v>
      </c>
      <c r="W235" s="3" t="str">
        <f t="shared" si="23"/>
        <v>Ø16</v>
      </c>
      <c r="X235" s="3" t="str">
        <f t="shared" si="24"/>
        <v>Ø16</v>
      </c>
    </row>
    <row r="236" spans="17:24" x14ac:dyDescent="0.3">
      <c r="Q236" s="3"/>
      <c r="R236" s="3"/>
      <c r="S236" s="3"/>
      <c r="T236" s="21"/>
      <c r="U236" s="3"/>
      <c r="V236" s="3">
        <f t="shared" si="22"/>
        <v>0</v>
      </c>
      <c r="W236" s="3" t="str">
        <f t="shared" si="23"/>
        <v>Ø16</v>
      </c>
      <c r="X236" s="3" t="str">
        <f t="shared" si="24"/>
        <v>Ø16</v>
      </c>
    </row>
    <row r="237" spans="17:24" x14ac:dyDescent="0.3">
      <c r="Q237" s="3"/>
      <c r="R237" s="3"/>
      <c r="S237" s="3"/>
      <c r="T237" s="21"/>
      <c r="U237" s="3"/>
      <c r="V237" s="3">
        <f t="shared" si="22"/>
        <v>0</v>
      </c>
      <c r="W237" s="3" t="str">
        <f t="shared" si="23"/>
        <v>Ø16</v>
      </c>
      <c r="X237" s="3" t="str">
        <f t="shared" si="24"/>
        <v>Ø16</v>
      </c>
    </row>
    <row r="238" spans="17:24" x14ac:dyDescent="0.3">
      <c r="Q238" s="3"/>
      <c r="R238" s="3"/>
      <c r="S238" s="3"/>
      <c r="T238" s="21"/>
      <c r="U238" s="3"/>
      <c r="V238" s="3">
        <f t="shared" si="22"/>
        <v>0</v>
      </c>
      <c r="W238" s="3" t="str">
        <f t="shared" si="23"/>
        <v>Ø16</v>
      </c>
      <c r="X238" s="3" t="str">
        <f t="shared" si="24"/>
        <v>Ø16</v>
      </c>
    </row>
    <row r="239" spans="17:24" x14ac:dyDescent="0.3">
      <c r="Q239" s="3"/>
      <c r="R239" s="3"/>
      <c r="S239" s="3"/>
      <c r="T239" s="21"/>
      <c r="U239" s="3"/>
      <c r="V239" s="3">
        <f t="shared" si="22"/>
        <v>0</v>
      </c>
      <c r="W239" s="3" t="str">
        <f t="shared" si="23"/>
        <v>Ø16</v>
      </c>
      <c r="X239" s="3" t="str">
        <f t="shared" si="24"/>
        <v>Ø16</v>
      </c>
    </row>
    <row r="240" spans="17:24" x14ac:dyDescent="0.3">
      <c r="Q240" s="3"/>
      <c r="R240" s="3"/>
      <c r="S240" s="3"/>
      <c r="T240" s="21"/>
      <c r="U240" s="3"/>
      <c r="V240" s="3">
        <f t="shared" si="22"/>
        <v>0</v>
      </c>
      <c r="W240" s="3" t="str">
        <f t="shared" si="23"/>
        <v>Ø16</v>
      </c>
      <c r="X240" s="3" t="str">
        <f t="shared" si="24"/>
        <v>Ø16</v>
      </c>
    </row>
    <row r="241" spans="17:24" x14ac:dyDescent="0.3">
      <c r="Q241" s="3"/>
      <c r="R241" s="3"/>
      <c r="S241" s="3"/>
      <c r="T241" s="21"/>
      <c r="U241" s="3"/>
      <c r="V241" s="3">
        <f t="shared" si="22"/>
        <v>0</v>
      </c>
      <c r="W241" s="3" t="str">
        <f t="shared" si="23"/>
        <v>Ø16</v>
      </c>
      <c r="X241" s="3" t="str">
        <f t="shared" si="24"/>
        <v>Ø16</v>
      </c>
    </row>
    <row r="242" spans="17:24" x14ac:dyDescent="0.3">
      <c r="Q242" s="3"/>
      <c r="R242" s="3"/>
      <c r="S242" s="3"/>
      <c r="T242" s="21"/>
      <c r="U242" s="3"/>
      <c r="V242" s="3">
        <f t="shared" si="22"/>
        <v>0</v>
      </c>
      <c r="W242" s="3" t="str">
        <f t="shared" si="23"/>
        <v>Ø16</v>
      </c>
      <c r="X242" s="3" t="str">
        <f t="shared" si="24"/>
        <v>Ø16</v>
      </c>
    </row>
    <row r="243" spans="17:24" x14ac:dyDescent="0.3">
      <c r="Q243" s="3"/>
      <c r="R243" s="3"/>
      <c r="S243" s="3"/>
      <c r="T243" s="21"/>
      <c r="U243" s="3"/>
      <c r="V243" s="3">
        <f t="shared" si="22"/>
        <v>0</v>
      </c>
      <c r="W243" s="3" t="str">
        <f t="shared" si="23"/>
        <v>Ø16</v>
      </c>
      <c r="X243" s="3" t="str">
        <f t="shared" si="24"/>
        <v>Ø16</v>
      </c>
    </row>
    <row r="244" spans="17:24" x14ac:dyDescent="0.3">
      <c r="Q244" s="3"/>
      <c r="R244" s="3"/>
      <c r="S244" s="3"/>
      <c r="T244" s="21"/>
      <c r="U244" s="3"/>
      <c r="V244" s="3">
        <f t="shared" si="22"/>
        <v>0</v>
      </c>
      <c r="W244" s="3" t="str">
        <f t="shared" si="23"/>
        <v>Ø16</v>
      </c>
      <c r="X244" s="3" t="str">
        <f t="shared" si="24"/>
        <v>Ø16</v>
      </c>
    </row>
    <row r="245" spans="17:24" x14ac:dyDescent="0.3">
      <c r="Q245" s="3"/>
      <c r="R245" s="3"/>
      <c r="S245" s="3"/>
      <c r="T245" s="21"/>
      <c r="U245" s="3"/>
      <c r="V245" s="3">
        <f t="shared" si="22"/>
        <v>0</v>
      </c>
      <c r="W245" s="3" t="str">
        <f t="shared" si="23"/>
        <v>Ø16</v>
      </c>
      <c r="X245" s="3" t="str">
        <f t="shared" si="24"/>
        <v>Ø16</v>
      </c>
    </row>
    <row r="246" spans="17:24" x14ac:dyDescent="0.3">
      <c r="Q246" s="3"/>
      <c r="R246" s="3"/>
      <c r="S246" s="3"/>
      <c r="T246" s="21"/>
      <c r="U246" s="3"/>
      <c r="V246" s="3">
        <f t="shared" si="22"/>
        <v>0</v>
      </c>
      <c r="W246" s="3" t="str">
        <f t="shared" si="23"/>
        <v>Ø16</v>
      </c>
      <c r="X246" s="3" t="str">
        <f t="shared" si="24"/>
        <v>Ø16</v>
      </c>
    </row>
    <row r="247" spans="17:24" x14ac:dyDescent="0.3">
      <c r="Q247" s="3"/>
      <c r="R247" s="3"/>
      <c r="S247" s="3"/>
      <c r="T247" s="21"/>
      <c r="U247" s="3"/>
      <c r="V247" s="3">
        <f t="shared" si="22"/>
        <v>0</v>
      </c>
      <c r="W247" s="3" t="str">
        <f t="shared" si="23"/>
        <v>Ø16</v>
      </c>
      <c r="X247" s="3" t="str">
        <f t="shared" si="24"/>
        <v>Ø16</v>
      </c>
    </row>
    <row r="248" spans="17:24" x14ac:dyDescent="0.3">
      <c r="Q248" s="3"/>
      <c r="R248" s="3"/>
      <c r="S248" s="3"/>
      <c r="T248" s="21"/>
      <c r="U248" s="3"/>
      <c r="V248" s="3">
        <f t="shared" si="22"/>
        <v>0</v>
      </c>
      <c r="W248" s="3" t="str">
        <f t="shared" si="23"/>
        <v>Ø16</v>
      </c>
      <c r="X248" s="3" t="str">
        <f t="shared" si="24"/>
        <v>Ø16</v>
      </c>
    </row>
    <row r="249" spans="17:24" x14ac:dyDescent="0.3">
      <c r="Q249" s="3"/>
      <c r="R249" s="3"/>
      <c r="S249" s="3"/>
      <c r="T249" s="21"/>
      <c r="U249" s="3"/>
      <c r="V249" s="3">
        <f t="shared" si="22"/>
        <v>0</v>
      </c>
      <c r="W249" s="3" t="str">
        <f t="shared" si="23"/>
        <v>Ø16</v>
      </c>
      <c r="X249" s="3" t="str">
        <f t="shared" si="24"/>
        <v>Ø16</v>
      </c>
    </row>
    <row r="250" spans="17:24" x14ac:dyDescent="0.3">
      <c r="Q250" s="3"/>
      <c r="R250" s="3"/>
      <c r="S250" s="3"/>
      <c r="T250" s="21"/>
      <c r="U250" s="3"/>
      <c r="V250" s="3">
        <f t="shared" si="22"/>
        <v>0</v>
      </c>
      <c r="W250" s="3" t="str">
        <f t="shared" si="23"/>
        <v>Ø16</v>
      </c>
      <c r="X250" s="3" t="str">
        <f t="shared" si="24"/>
        <v>Ø16</v>
      </c>
    </row>
    <row r="251" spans="17:24" x14ac:dyDescent="0.3">
      <c r="Q251" s="3"/>
      <c r="R251" s="3"/>
      <c r="S251" s="3"/>
      <c r="T251" s="21"/>
      <c r="U251" s="3"/>
      <c r="V251" s="3">
        <f t="shared" si="22"/>
        <v>0</v>
      </c>
      <c r="W251" s="3" t="str">
        <f t="shared" si="23"/>
        <v>Ø16</v>
      </c>
      <c r="X251" s="3" t="str">
        <f t="shared" si="24"/>
        <v>Ø16</v>
      </c>
    </row>
    <row r="252" spans="17:24" x14ac:dyDescent="0.3">
      <c r="Q252" s="3"/>
      <c r="R252" s="3"/>
      <c r="S252" s="3"/>
      <c r="T252" s="21"/>
      <c r="U252" s="3"/>
      <c r="V252" s="3">
        <f t="shared" si="22"/>
        <v>0</v>
      </c>
      <c r="W252" s="3" t="str">
        <f t="shared" si="23"/>
        <v>Ø16</v>
      </c>
      <c r="X252" s="3" t="str">
        <f t="shared" si="24"/>
        <v>Ø16</v>
      </c>
    </row>
    <row r="253" spans="17:24" x14ac:dyDescent="0.3">
      <c r="Q253" s="3"/>
      <c r="R253" s="3"/>
      <c r="S253" s="3"/>
      <c r="T253" s="21"/>
      <c r="U253" s="3"/>
      <c r="V253" s="3">
        <f t="shared" si="22"/>
        <v>0</v>
      </c>
      <c r="W253" s="3" t="str">
        <f t="shared" si="23"/>
        <v>Ø16</v>
      </c>
      <c r="X253" s="3" t="str">
        <f t="shared" si="24"/>
        <v>Ø16</v>
      </c>
    </row>
    <row r="254" spans="17:24" x14ac:dyDescent="0.3">
      <c r="Q254" s="3"/>
      <c r="R254" s="3"/>
      <c r="S254" s="3"/>
      <c r="T254" s="21"/>
      <c r="U254" s="3"/>
      <c r="V254" s="3">
        <f t="shared" si="22"/>
        <v>0</v>
      </c>
      <c r="W254" s="3" t="str">
        <f t="shared" si="23"/>
        <v>Ø16</v>
      </c>
      <c r="X254" s="3" t="str">
        <f t="shared" si="24"/>
        <v>Ø16</v>
      </c>
    </row>
    <row r="255" spans="17:24" x14ac:dyDescent="0.3">
      <c r="Q255" s="3"/>
      <c r="R255" s="3"/>
      <c r="S255" s="3"/>
      <c r="T255" s="21"/>
      <c r="U255" s="3"/>
      <c r="V255" s="3">
        <f t="shared" si="22"/>
        <v>0</v>
      </c>
      <c r="W255" s="3" t="str">
        <f t="shared" si="23"/>
        <v>Ø16</v>
      </c>
      <c r="X255" s="3" t="str">
        <f t="shared" si="24"/>
        <v>Ø16</v>
      </c>
    </row>
    <row r="256" spans="17:24" x14ac:dyDescent="0.3">
      <c r="Q256" s="3"/>
      <c r="R256" s="3"/>
      <c r="S256" s="3"/>
      <c r="T256" s="21"/>
      <c r="U256" s="3"/>
      <c r="V256" s="3">
        <f t="shared" si="22"/>
        <v>0</v>
      </c>
      <c r="W256" s="3" t="str">
        <f t="shared" si="23"/>
        <v>Ø16</v>
      </c>
      <c r="X256" s="3" t="str">
        <f t="shared" si="24"/>
        <v>Ø16</v>
      </c>
    </row>
    <row r="257" spans="17:24" x14ac:dyDescent="0.3">
      <c r="Q257" s="3"/>
      <c r="R257" s="3"/>
      <c r="S257" s="3"/>
      <c r="T257" s="21"/>
      <c r="U257" s="3"/>
      <c r="V257" s="3">
        <f t="shared" si="22"/>
        <v>0</v>
      </c>
      <c r="W257" s="3" t="str">
        <f t="shared" si="23"/>
        <v>Ø16</v>
      </c>
      <c r="X257" s="3" t="str">
        <f t="shared" si="24"/>
        <v>Ø16</v>
      </c>
    </row>
    <row r="258" spans="17:24" x14ac:dyDescent="0.3">
      <c r="Q258" s="3"/>
      <c r="R258" s="3"/>
      <c r="S258" s="3"/>
      <c r="T258" s="21"/>
      <c r="U258" s="3"/>
      <c r="V258" s="3">
        <f t="shared" si="22"/>
        <v>0</v>
      </c>
      <c r="W258" s="3" t="str">
        <f t="shared" si="23"/>
        <v>Ø16</v>
      </c>
      <c r="X258" s="3" t="str">
        <f t="shared" si="24"/>
        <v>Ø16</v>
      </c>
    </row>
    <row r="259" spans="17:24" x14ac:dyDescent="0.3">
      <c r="Q259" s="3"/>
      <c r="R259" s="3"/>
      <c r="S259" s="3"/>
      <c r="T259" s="21"/>
      <c r="U259" s="3"/>
      <c r="V259" s="3">
        <f t="shared" si="22"/>
        <v>0</v>
      </c>
      <c r="W259" s="3" t="str">
        <f t="shared" si="23"/>
        <v>Ø16</v>
      </c>
      <c r="X259" s="3" t="str">
        <f t="shared" si="24"/>
        <v>Ø16</v>
      </c>
    </row>
    <row r="260" spans="17:24" x14ac:dyDescent="0.3">
      <c r="Q260" s="3"/>
      <c r="R260" s="3"/>
      <c r="S260" s="3"/>
      <c r="T260" s="21"/>
      <c r="U260" s="3"/>
      <c r="V260" s="3">
        <f t="shared" si="22"/>
        <v>0</v>
      </c>
      <c r="W260" s="3" t="str">
        <f t="shared" si="23"/>
        <v>Ø16</v>
      </c>
      <c r="X260" s="3" t="str">
        <f t="shared" si="24"/>
        <v>Ø16</v>
      </c>
    </row>
    <row r="261" spans="17:24" x14ac:dyDescent="0.3">
      <c r="Q261" s="3"/>
      <c r="R261" s="3"/>
      <c r="S261" s="3"/>
      <c r="T261" s="21"/>
      <c r="U261" s="3"/>
      <c r="V261" s="3">
        <f t="shared" ref="V261:V324" si="25">U261*1.2</f>
        <v>0</v>
      </c>
      <c r="W261" s="3" t="str">
        <f t="shared" ref="W261:W324" si="26">"Ø"&amp;VLOOKUP(V261,$Z$4:$AA$10,2,TRUE)</f>
        <v>Ø16</v>
      </c>
      <c r="X261" s="3" t="str">
        <f t="shared" ref="X261:X324" si="27">"Ø"&amp;VLOOKUP(V261,$AD$4:$AE$10,2,TRUE)</f>
        <v>Ø16</v>
      </c>
    </row>
    <row r="262" spans="17:24" x14ac:dyDescent="0.3">
      <c r="Q262" s="3"/>
      <c r="R262" s="3"/>
      <c r="S262" s="3"/>
      <c r="T262" s="21"/>
      <c r="U262" s="3"/>
      <c r="V262" s="3">
        <f t="shared" si="25"/>
        <v>0</v>
      </c>
      <c r="W262" s="3" t="str">
        <f t="shared" si="26"/>
        <v>Ø16</v>
      </c>
      <c r="X262" s="3" t="str">
        <f t="shared" si="27"/>
        <v>Ø16</v>
      </c>
    </row>
    <row r="263" spans="17:24" x14ac:dyDescent="0.3">
      <c r="Q263" s="3"/>
      <c r="R263" s="3"/>
      <c r="S263" s="3"/>
      <c r="T263" s="21"/>
      <c r="U263" s="3"/>
      <c r="V263" s="3">
        <f t="shared" si="25"/>
        <v>0</v>
      </c>
      <c r="W263" s="3" t="str">
        <f t="shared" si="26"/>
        <v>Ø16</v>
      </c>
      <c r="X263" s="3" t="str">
        <f t="shared" si="27"/>
        <v>Ø16</v>
      </c>
    </row>
    <row r="264" spans="17:24" x14ac:dyDescent="0.3">
      <c r="Q264" s="3"/>
      <c r="R264" s="3"/>
      <c r="S264" s="3"/>
      <c r="T264" s="21"/>
      <c r="U264" s="3"/>
      <c r="V264" s="3">
        <f t="shared" si="25"/>
        <v>0</v>
      </c>
      <c r="W264" s="3" t="str">
        <f t="shared" si="26"/>
        <v>Ø16</v>
      </c>
      <c r="X264" s="3" t="str">
        <f t="shared" si="27"/>
        <v>Ø16</v>
      </c>
    </row>
    <row r="265" spans="17:24" x14ac:dyDescent="0.3">
      <c r="Q265" s="3"/>
      <c r="R265" s="3"/>
      <c r="S265" s="3"/>
      <c r="T265" s="21"/>
      <c r="U265" s="3"/>
      <c r="V265" s="3">
        <f t="shared" si="25"/>
        <v>0</v>
      </c>
      <c r="W265" s="3" t="str">
        <f t="shared" si="26"/>
        <v>Ø16</v>
      </c>
      <c r="X265" s="3" t="str">
        <f t="shared" si="27"/>
        <v>Ø16</v>
      </c>
    </row>
    <row r="266" spans="17:24" x14ac:dyDescent="0.3">
      <c r="Q266" s="3"/>
      <c r="R266" s="3"/>
      <c r="S266" s="3"/>
      <c r="T266" s="21"/>
      <c r="U266" s="3"/>
      <c r="V266" s="3">
        <f t="shared" si="25"/>
        <v>0</v>
      </c>
      <c r="W266" s="3" t="str">
        <f t="shared" si="26"/>
        <v>Ø16</v>
      </c>
      <c r="X266" s="3" t="str">
        <f t="shared" si="27"/>
        <v>Ø16</v>
      </c>
    </row>
    <row r="267" spans="17:24" x14ac:dyDescent="0.3">
      <c r="Q267" s="3"/>
      <c r="R267" s="3"/>
      <c r="S267" s="3"/>
      <c r="T267" s="21"/>
      <c r="U267" s="3"/>
      <c r="V267" s="3">
        <f t="shared" si="25"/>
        <v>0</v>
      </c>
      <c r="W267" s="3" t="str">
        <f t="shared" si="26"/>
        <v>Ø16</v>
      </c>
      <c r="X267" s="3" t="str">
        <f t="shared" si="27"/>
        <v>Ø16</v>
      </c>
    </row>
    <row r="268" spans="17:24" x14ac:dyDescent="0.3">
      <c r="Q268" s="3"/>
      <c r="R268" s="3"/>
      <c r="S268" s="3"/>
      <c r="T268" s="21"/>
      <c r="U268" s="3"/>
      <c r="V268" s="3">
        <f t="shared" si="25"/>
        <v>0</v>
      </c>
      <c r="W268" s="3" t="str">
        <f t="shared" si="26"/>
        <v>Ø16</v>
      </c>
      <c r="X268" s="3" t="str">
        <f t="shared" si="27"/>
        <v>Ø16</v>
      </c>
    </row>
    <row r="269" spans="17:24" x14ac:dyDescent="0.3">
      <c r="Q269" s="3"/>
      <c r="R269" s="3"/>
      <c r="S269" s="3"/>
      <c r="T269" s="21"/>
      <c r="U269" s="3"/>
      <c r="V269" s="3">
        <f t="shared" si="25"/>
        <v>0</v>
      </c>
      <c r="W269" s="3" t="str">
        <f t="shared" si="26"/>
        <v>Ø16</v>
      </c>
      <c r="X269" s="3" t="str">
        <f t="shared" si="27"/>
        <v>Ø16</v>
      </c>
    </row>
    <row r="270" spans="17:24" x14ac:dyDescent="0.3">
      <c r="Q270" s="3"/>
      <c r="R270" s="3"/>
      <c r="S270" s="3"/>
      <c r="T270" s="21"/>
      <c r="U270" s="3"/>
      <c r="V270" s="3">
        <f t="shared" si="25"/>
        <v>0</v>
      </c>
      <c r="W270" s="3" t="str">
        <f t="shared" si="26"/>
        <v>Ø16</v>
      </c>
      <c r="X270" s="3" t="str">
        <f t="shared" si="27"/>
        <v>Ø16</v>
      </c>
    </row>
    <row r="271" spans="17:24" x14ac:dyDescent="0.3">
      <c r="Q271" s="3"/>
      <c r="R271" s="3"/>
      <c r="S271" s="3"/>
      <c r="T271" s="21"/>
      <c r="U271" s="3"/>
      <c r="V271" s="3">
        <f t="shared" si="25"/>
        <v>0</v>
      </c>
      <c r="W271" s="3" t="str">
        <f t="shared" si="26"/>
        <v>Ø16</v>
      </c>
      <c r="X271" s="3" t="str">
        <f t="shared" si="27"/>
        <v>Ø16</v>
      </c>
    </row>
    <row r="272" spans="17:24" x14ac:dyDescent="0.3">
      <c r="Q272" s="3"/>
      <c r="R272" s="3"/>
      <c r="S272" s="3"/>
      <c r="T272" s="21"/>
      <c r="U272" s="3"/>
      <c r="V272" s="3">
        <f t="shared" si="25"/>
        <v>0</v>
      </c>
      <c r="W272" s="3" t="str">
        <f t="shared" si="26"/>
        <v>Ø16</v>
      </c>
      <c r="X272" s="3" t="str">
        <f t="shared" si="27"/>
        <v>Ø16</v>
      </c>
    </row>
    <row r="273" spans="17:24" x14ac:dyDescent="0.3">
      <c r="Q273" s="3"/>
      <c r="R273" s="3"/>
      <c r="S273" s="3"/>
      <c r="T273" s="21"/>
      <c r="U273" s="3"/>
      <c r="V273" s="3">
        <f t="shared" si="25"/>
        <v>0</v>
      </c>
      <c r="W273" s="3" t="str">
        <f t="shared" si="26"/>
        <v>Ø16</v>
      </c>
      <c r="X273" s="3" t="str">
        <f t="shared" si="27"/>
        <v>Ø16</v>
      </c>
    </row>
    <row r="274" spans="17:24" x14ac:dyDescent="0.3">
      <c r="Q274" s="3"/>
      <c r="R274" s="3"/>
      <c r="S274" s="3"/>
      <c r="T274" s="21"/>
      <c r="U274" s="3"/>
      <c r="V274" s="3">
        <f t="shared" si="25"/>
        <v>0</v>
      </c>
      <c r="W274" s="3" t="str">
        <f t="shared" si="26"/>
        <v>Ø16</v>
      </c>
      <c r="X274" s="3" t="str">
        <f t="shared" si="27"/>
        <v>Ø16</v>
      </c>
    </row>
    <row r="275" spans="17:24" x14ac:dyDescent="0.3">
      <c r="Q275" s="3"/>
      <c r="R275" s="3"/>
      <c r="S275" s="3"/>
      <c r="T275" s="21"/>
      <c r="U275" s="3"/>
      <c r="V275" s="3">
        <f t="shared" si="25"/>
        <v>0</v>
      </c>
      <c r="W275" s="3" t="str">
        <f t="shared" si="26"/>
        <v>Ø16</v>
      </c>
      <c r="X275" s="3" t="str">
        <f t="shared" si="27"/>
        <v>Ø16</v>
      </c>
    </row>
    <row r="276" spans="17:24" x14ac:dyDescent="0.3">
      <c r="Q276" s="3"/>
      <c r="R276" s="3"/>
      <c r="S276" s="3"/>
      <c r="T276" s="21"/>
      <c r="U276" s="3"/>
      <c r="V276" s="3">
        <f t="shared" si="25"/>
        <v>0</v>
      </c>
      <c r="W276" s="3" t="str">
        <f t="shared" si="26"/>
        <v>Ø16</v>
      </c>
      <c r="X276" s="3" t="str">
        <f t="shared" si="27"/>
        <v>Ø16</v>
      </c>
    </row>
    <row r="277" spans="17:24" x14ac:dyDescent="0.3">
      <c r="Q277" s="3"/>
      <c r="R277" s="3"/>
      <c r="S277" s="3"/>
      <c r="T277" s="21"/>
      <c r="U277" s="3"/>
      <c r="V277" s="3">
        <f t="shared" si="25"/>
        <v>0</v>
      </c>
      <c r="W277" s="3" t="str">
        <f t="shared" si="26"/>
        <v>Ø16</v>
      </c>
      <c r="X277" s="3" t="str">
        <f t="shared" si="27"/>
        <v>Ø16</v>
      </c>
    </row>
    <row r="278" spans="17:24" x14ac:dyDescent="0.3">
      <c r="Q278" s="3"/>
      <c r="R278" s="3"/>
      <c r="S278" s="3"/>
      <c r="T278" s="21"/>
      <c r="U278" s="3"/>
      <c r="V278" s="3">
        <f t="shared" si="25"/>
        <v>0</v>
      </c>
      <c r="W278" s="3" t="str">
        <f t="shared" si="26"/>
        <v>Ø16</v>
      </c>
      <c r="X278" s="3" t="str">
        <f t="shared" si="27"/>
        <v>Ø16</v>
      </c>
    </row>
    <row r="279" spans="17:24" x14ac:dyDescent="0.3">
      <c r="Q279" s="3"/>
      <c r="R279" s="3"/>
      <c r="S279" s="3"/>
      <c r="T279" s="21"/>
      <c r="U279" s="3"/>
      <c r="V279" s="3">
        <f t="shared" si="25"/>
        <v>0</v>
      </c>
      <c r="W279" s="3" t="str">
        <f t="shared" si="26"/>
        <v>Ø16</v>
      </c>
      <c r="X279" s="3" t="str">
        <f t="shared" si="27"/>
        <v>Ø16</v>
      </c>
    </row>
    <row r="280" spans="17:24" x14ac:dyDescent="0.3">
      <c r="Q280" s="3"/>
      <c r="R280" s="3"/>
      <c r="S280" s="3"/>
      <c r="T280" s="21"/>
      <c r="U280" s="3"/>
      <c r="V280" s="3">
        <f t="shared" si="25"/>
        <v>0</v>
      </c>
      <c r="W280" s="3" t="str">
        <f t="shared" si="26"/>
        <v>Ø16</v>
      </c>
      <c r="X280" s="3" t="str">
        <f t="shared" si="27"/>
        <v>Ø16</v>
      </c>
    </row>
    <row r="281" spans="17:24" x14ac:dyDescent="0.3">
      <c r="Q281" s="3"/>
      <c r="R281" s="3"/>
      <c r="S281" s="3"/>
      <c r="T281" s="21"/>
      <c r="U281" s="3"/>
      <c r="V281" s="3">
        <f t="shared" si="25"/>
        <v>0</v>
      </c>
      <c r="W281" s="3" t="str">
        <f t="shared" si="26"/>
        <v>Ø16</v>
      </c>
      <c r="X281" s="3" t="str">
        <f t="shared" si="27"/>
        <v>Ø16</v>
      </c>
    </row>
    <row r="282" spans="17:24" x14ac:dyDescent="0.3">
      <c r="Q282" s="3"/>
      <c r="R282" s="3"/>
      <c r="S282" s="3"/>
      <c r="T282" s="21"/>
      <c r="U282" s="3"/>
      <c r="V282" s="3">
        <f t="shared" si="25"/>
        <v>0</v>
      </c>
      <c r="W282" s="3" t="str">
        <f t="shared" si="26"/>
        <v>Ø16</v>
      </c>
      <c r="X282" s="3" t="str">
        <f t="shared" si="27"/>
        <v>Ø16</v>
      </c>
    </row>
    <row r="283" spans="17:24" x14ac:dyDescent="0.3">
      <c r="Q283" s="3"/>
      <c r="R283" s="3"/>
      <c r="S283" s="3"/>
      <c r="T283" s="21"/>
      <c r="U283" s="3"/>
      <c r="V283" s="3">
        <f t="shared" si="25"/>
        <v>0</v>
      </c>
      <c r="W283" s="3" t="str">
        <f t="shared" si="26"/>
        <v>Ø16</v>
      </c>
      <c r="X283" s="3" t="str">
        <f t="shared" si="27"/>
        <v>Ø16</v>
      </c>
    </row>
    <row r="284" spans="17:24" x14ac:dyDescent="0.3">
      <c r="Q284" s="3"/>
      <c r="R284" s="3"/>
      <c r="S284" s="3"/>
      <c r="T284" s="21"/>
      <c r="U284" s="3"/>
      <c r="V284" s="3">
        <f t="shared" si="25"/>
        <v>0</v>
      </c>
      <c r="W284" s="3" t="str">
        <f t="shared" si="26"/>
        <v>Ø16</v>
      </c>
      <c r="X284" s="3" t="str">
        <f t="shared" si="27"/>
        <v>Ø16</v>
      </c>
    </row>
    <row r="285" spans="17:24" x14ac:dyDescent="0.3">
      <c r="Q285" s="3"/>
      <c r="R285" s="3"/>
      <c r="S285" s="3"/>
      <c r="T285" s="21"/>
      <c r="U285" s="3"/>
      <c r="V285" s="3">
        <f t="shared" si="25"/>
        <v>0</v>
      </c>
      <c r="W285" s="3" t="str">
        <f t="shared" si="26"/>
        <v>Ø16</v>
      </c>
      <c r="X285" s="3" t="str">
        <f t="shared" si="27"/>
        <v>Ø16</v>
      </c>
    </row>
    <row r="286" spans="17:24" x14ac:dyDescent="0.3">
      <c r="Q286" s="3"/>
      <c r="R286" s="3"/>
      <c r="S286" s="3"/>
      <c r="T286" s="21"/>
      <c r="U286" s="3"/>
      <c r="V286" s="3">
        <f t="shared" si="25"/>
        <v>0</v>
      </c>
      <c r="W286" s="3" t="str">
        <f t="shared" si="26"/>
        <v>Ø16</v>
      </c>
      <c r="X286" s="3" t="str">
        <f t="shared" si="27"/>
        <v>Ø16</v>
      </c>
    </row>
    <row r="287" spans="17:24" x14ac:dyDescent="0.3">
      <c r="Q287" s="3"/>
      <c r="R287" s="3"/>
      <c r="S287" s="3"/>
      <c r="T287" s="21"/>
      <c r="U287" s="3"/>
      <c r="V287" s="3">
        <f t="shared" si="25"/>
        <v>0</v>
      </c>
      <c r="W287" s="3" t="str">
        <f t="shared" si="26"/>
        <v>Ø16</v>
      </c>
      <c r="X287" s="3" t="str">
        <f t="shared" si="27"/>
        <v>Ø16</v>
      </c>
    </row>
    <row r="288" spans="17:24" x14ac:dyDescent="0.3">
      <c r="Q288" s="3"/>
      <c r="R288" s="3"/>
      <c r="S288" s="3"/>
      <c r="T288" s="21"/>
      <c r="U288" s="3"/>
      <c r="V288" s="3">
        <f t="shared" si="25"/>
        <v>0</v>
      </c>
      <c r="W288" s="3" t="str">
        <f t="shared" si="26"/>
        <v>Ø16</v>
      </c>
      <c r="X288" s="3" t="str">
        <f t="shared" si="27"/>
        <v>Ø16</v>
      </c>
    </row>
    <row r="289" spans="17:24" x14ac:dyDescent="0.3">
      <c r="Q289" s="3"/>
      <c r="R289" s="3"/>
      <c r="S289" s="3"/>
      <c r="T289" s="21"/>
      <c r="U289" s="3"/>
      <c r="V289" s="3">
        <f t="shared" si="25"/>
        <v>0</v>
      </c>
      <c r="W289" s="3" t="str">
        <f t="shared" si="26"/>
        <v>Ø16</v>
      </c>
      <c r="X289" s="3" t="str">
        <f t="shared" si="27"/>
        <v>Ø16</v>
      </c>
    </row>
    <row r="290" spans="17:24" x14ac:dyDescent="0.3">
      <c r="Q290" s="3"/>
      <c r="R290" s="3"/>
      <c r="S290" s="3"/>
      <c r="T290" s="21"/>
      <c r="U290" s="3"/>
      <c r="V290" s="3">
        <f t="shared" si="25"/>
        <v>0</v>
      </c>
      <c r="W290" s="3" t="str">
        <f t="shared" si="26"/>
        <v>Ø16</v>
      </c>
      <c r="X290" s="3" t="str">
        <f t="shared" si="27"/>
        <v>Ø16</v>
      </c>
    </row>
    <row r="291" spans="17:24" x14ac:dyDescent="0.3">
      <c r="Q291" s="3"/>
      <c r="R291" s="3"/>
      <c r="S291" s="3"/>
      <c r="T291" s="21"/>
      <c r="U291" s="3"/>
      <c r="V291" s="3">
        <f t="shared" si="25"/>
        <v>0</v>
      </c>
      <c r="W291" s="3" t="str">
        <f t="shared" si="26"/>
        <v>Ø16</v>
      </c>
      <c r="X291" s="3" t="str">
        <f t="shared" si="27"/>
        <v>Ø16</v>
      </c>
    </row>
    <row r="292" spans="17:24" x14ac:dyDescent="0.3">
      <c r="Q292" s="3"/>
      <c r="R292" s="3"/>
      <c r="S292" s="3"/>
      <c r="T292" s="21"/>
      <c r="U292" s="3"/>
      <c r="V292" s="3">
        <f t="shared" si="25"/>
        <v>0</v>
      </c>
      <c r="W292" s="3" t="str">
        <f t="shared" si="26"/>
        <v>Ø16</v>
      </c>
      <c r="X292" s="3" t="str">
        <f t="shared" si="27"/>
        <v>Ø16</v>
      </c>
    </row>
    <row r="293" spans="17:24" x14ac:dyDescent="0.3">
      <c r="Q293" s="3"/>
      <c r="R293" s="3"/>
      <c r="S293" s="3"/>
      <c r="T293" s="21"/>
      <c r="U293" s="3"/>
      <c r="V293" s="3">
        <f t="shared" si="25"/>
        <v>0</v>
      </c>
      <c r="W293" s="3" t="str">
        <f t="shared" si="26"/>
        <v>Ø16</v>
      </c>
      <c r="X293" s="3" t="str">
        <f t="shared" si="27"/>
        <v>Ø16</v>
      </c>
    </row>
    <row r="294" spans="17:24" x14ac:dyDescent="0.3">
      <c r="Q294" s="3"/>
      <c r="R294" s="3"/>
      <c r="S294" s="3"/>
      <c r="T294" s="21"/>
      <c r="U294" s="3"/>
      <c r="V294" s="3">
        <f t="shared" si="25"/>
        <v>0</v>
      </c>
      <c r="W294" s="3" t="str">
        <f t="shared" si="26"/>
        <v>Ø16</v>
      </c>
      <c r="X294" s="3" t="str">
        <f t="shared" si="27"/>
        <v>Ø16</v>
      </c>
    </row>
    <row r="295" spans="17:24" x14ac:dyDescent="0.3">
      <c r="Q295" s="3"/>
      <c r="R295" s="3"/>
      <c r="S295" s="3"/>
      <c r="T295" s="21"/>
      <c r="U295" s="3"/>
      <c r="V295" s="3">
        <f t="shared" si="25"/>
        <v>0</v>
      </c>
      <c r="W295" s="3" t="str">
        <f t="shared" si="26"/>
        <v>Ø16</v>
      </c>
      <c r="X295" s="3" t="str">
        <f t="shared" si="27"/>
        <v>Ø16</v>
      </c>
    </row>
    <row r="296" spans="17:24" x14ac:dyDescent="0.3">
      <c r="Q296" s="3"/>
      <c r="R296" s="3"/>
      <c r="S296" s="3"/>
      <c r="T296" s="21"/>
      <c r="U296" s="3"/>
      <c r="V296" s="3">
        <f t="shared" si="25"/>
        <v>0</v>
      </c>
      <c r="W296" s="3" t="str">
        <f t="shared" si="26"/>
        <v>Ø16</v>
      </c>
      <c r="X296" s="3" t="str">
        <f t="shared" si="27"/>
        <v>Ø16</v>
      </c>
    </row>
    <row r="297" spans="17:24" x14ac:dyDescent="0.3">
      <c r="Q297" s="3"/>
      <c r="R297" s="3"/>
      <c r="S297" s="3"/>
      <c r="T297" s="21"/>
      <c r="U297" s="3"/>
      <c r="V297" s="3">
        <f t="shared" si="25"/>
        <v>0</v>
      </c>
      <c r="W297" s="3" t="str">
        <f t="shared" si="26"/>
        <v>Ø16</v>
      </c>
      <c r="X297" s="3" t="str">
        <f t="shared" si="27"/>
        <v>Ø16</v>
      </c>
    </row>
    <row r="298" spans="17:24" x14ac:dyDescent="0.3">
      <c r="Q298" s="3"/>
      <c r="R298" s="3"/>
      <c r="S298" s="3"/>
      <c r="T298" s="21"/>
      <c r="U298" s="3"/>
      <c r="V298" s="3">
        <f t="shared" si="25"/>
        <v>0</v>
      </c>
      <c r="W298" s="3" t="str">
        <f t="shared" si="26"/>
        <v>Ø16</v>
      </c>
      <c r="X298" s="3" t="str">
        <f t="shared" si="27"/>
        <v>Ø16</v>
      </c>
    </row>
    <row r="299" spans="17:24" x14ac:dyDescent="0.3">
      <c r="Q299" s="3"/>
      <c r="R299" s="3"/>
      <c r="S299" s="3"/>
      <c r="T299" s="21"/>
      <c r="U299" s="3"/>
      <c r="V299" s="3">
        <f t="shared" si="25"/>
        <v>0</v>
      </c>
      <c r="W299" s="3" t="str">
        <f t="shared" si="26"/>
        <v>Ø16</v>
      </c>
      <c r="X299" s="3" t="str">
        <f t="shared" si="27"/>
        <v>Ø16</v>
      </c>
    </row>
    <row r="300" spans="17:24" x14ac:dyDescent="0.3">
      <c r="Q300" s="3"/>
      <c r="R300" s="3"/>
      <c r="S300" s="3"/>
      <c r="T300" s="21"/>
      <c r="U300" s="3"/>
      <c r="V300" s="3">
        <f t="shared" si="25"/>
        <v>0</v>
      </c>
      <c r="W300" s="3" t="str">
        <f t="shared" si="26"/>
        <v>Ø16</v>
      </c>
      <c r="X300" s="3" t="str">
        <f t="shared" si="27"/>
        <v>Ø16</v>
      </c>
    </row>
    <row r="301" spans="17:24" x14ac:dyDescent="0.3">
      <c r="Q301" s="3"/>
      <c r="R301" s="3"/>
      <c r="S301" s="3"/>
      <c r="T301" s="21"/>
      <c r="U301" s="3"/>
      <c r="V301" s="3">
        <f t="shared" si="25"/>
        <v>0</v>
      </c>
      <c r="W301" s="3" t="str">
        <f t="shared" si="26"/>
        <v>Ø16</v>
      </c>
      <c r="X301" s="3" t="str">
        <f t="shared" si="27"/>
        <v>Ø16</v>
      </c>
    </row>
    <row r="302" spans="17:24" x14ac:dyDescent="0.3">
      <c r="Q302" s="3"/>
      <c r="R302" s="3"/>
      <c r="S302" s="3"/>
      <c r="T302" s="21"/>
      <c r="U302" s="3"/>
      <c r="V302" s="3">
        <f t="shared" si="25"/>
        <v>0</v>
      </c>
      <c r="W302" s="3" t="str">
        <f t="shared" si="26"/>
        <v>Ø16</v>
      </c>
      <c r="X302" s="3" t="str">
        <f t="shared" si="27"/>
        <v>Ø16</v>
      </c>
    </row>
    <row r="303" spans="17:24" x14ac:dyDescent="0.3">
      <c r="Q303" s="3"/>
      <c r="R303" s="3"/>
      <c r="S303" s="3"/>
      <c r="T303" s="21"/>
      <c r="U303" s="3"/>
      <c r="V303" s="3">
        <f t="shared" si="25"/>
        <v>0</v>
      </c>
      <c r="W303" s="3" t="str">
        <f t="shared" si="26"/>
        <v>Ø16</v>
      </c>
      <c r="X303" s="3" t="str">
        <f t="shared" si="27"/>
        <v>Ø16</v>
      </c>
    </row>
    <row r="304" spans="17:24" x14ac:dyDescent="0.3">
      <c r="Q304" s="3"/>
      <c r="R304" s="3"/>
      <c r="S304" s="3"/>
      <c r="T304" s="21"/>
      <c r="U304" s="3"/>
      <c r="V304" s="3">
        <f t="shared" si="25"/>
        <v>0</v>
      </c>
      <c r="W304" s="3" t="str">
        <f t="shared" si="26"/>
        <v>Ø16</v>
      </c>
      <c r="X304" s="3" t="str">
        <f t="shared" si="27"/>
        <v>Ø16</v>
      </c>
    </row>
    <row r="305" spans="17:24" x14ac:dyDescent="0.3">
      <c r="Q305" s="3"/>
      <c r="R305" s="3"/>
      <c r="S305" s="3"/>
      <c r="T305" s="21"/>
      <c r="U305" s="3"/>
      <c r="V305" s="3">
        <f t="shared" si="25"/>
        <v>0</v>
      </c>
      <c r="W305" s="3" t="str">
        <f t="shared" si="26"/>
        <v>Ø16</v>
      </c>
      <c r="X305" s="3" t="str">
        <f t="shared" si="27"/>
        <v>Ø16</v>
      </c>
    </row>
    <row r="306" spans="17:24" x14ac:dyDescent="0.3">
      <c r="Q306" s="3"/>
      <c r="R306" s="3"/>
      <c r="S306" s="3"/>
      <c r="T306" s="21"/>
      <c r="U306" s="3"/>
      <c r="V306" s="3">
        <f t="shared" si="25"/>
        <v>0</v>
      </c>
      <c r="W306" s="3" t="str">
        <f t="shared" si="26"/>
        <v>Ø16</v>
      </c>
      <c r="X306" s="3" t="str">
        <f t="shared" si="27"/>
        <v>Ø16</v>
      </c>
    </row>
    <row r="307" spans="17:24" x14ac:dyDescent="0.3">
      <c r="Q307" s="3"/>
      <c r="R307" s="3"/>
      <c r="S307" s="3"/>
      <c r="T307" s="21"/>
      <c r="U307" s="3"/>
      <c r="V307" s="3">
        <f t="shared" si="25"/>
        <v>0</v>
      </c>
      <c r="W307" s="3" t="str">
        <f t="shared" si="26"/>
        <v>Ø16</v>
      </c>
      <c r="X307" s="3" t="str">
        <f t="shared" si="27"/>
        <v>Ø16</v>
      </c>
    </row>
    <row r="308" spans="17:24" x14ac:dyDescent="0.3">
      <c r="Q308" s="3"/>
      <c r="R308" s="3"/>
      <c r="S308" s="3"/>
      <c r="T308" s="21"/>
      <c r="U308" s="3"/>
      <c r="V308" s="3">
        <f t="shared" si="25"/>
        <v>0</v>
      </c>
      <c r="W308" s="3" t="str">
        <f t="shared" si="26"/>
        <v>Ø16</v>
      </c>
      <c r="X308" s="3" t="str">
        <f t="shared" si="27"/>
        <v>Ø16</v>
      </c>
    </row>
    <row r="309" spans="17:24" x14ac:dyDescent="0.3">
      <c r="Q309" s="3"/>
      <c r="R309" s="3"/>
      <c r="S309" s="3"/>
      <c r="T309" s="21"/>
      <c r="U309" s="3"/>
      <c r="V309" s="3">
        <f t="shared" si="25"/>
        <v>0</v>
      </c>
      <c r="W309" s="3" t="str">
        <f t="shared" si="26"/>
        <v>Ø16</v>
      </c>
      <c r="X309" s="3" t="str">
        <f t="shared" si="27"/>
        <v>Ø16</v>
      </c>
    </row>
    <row r="310" spans="17:24" x14ac:dyDescent="0.3">
      <c r="Q310" s="3"/>
      <c r="R310" s="3"/>
      <c r="S310" s="3"/>
      <c r="T310" s="21"/>
      <c r="U310" s="3"/>
      <c r="V310" s="3">
        <f t="shared" si="25"/>
        <v>0</v>
      </c>
      <c r="W310" s="3" t="str">
        <f t="shared" si="26"/>
        <v>Ø16</v>
      </c>
      <c r="X310" s="3" t="str">
        <f t="shared" si="27"/>
        <v>Ø16</v>
      </c>
    </row>
    <row r="311" spans="17:24" x14ac:dyDescent="0.3">
      <c r="Q311" s="3"/>
      <c r="R311" s="3"/>
      <c r="S311" s="3"/>
      <c r="T311" s="21"/>
      <c r="U311" s="3"/>
      <c r="V311" s="3">
        <f t="shared" si="25"/>
        <v>0</v>
      </c>
      <c r="W311" s="3" t="str">
        <f t="shared" si="26"/>
        <v>Ø16</v>
      </c>
      <c r="X311" s="3" t="str">
        <f t="shared" si="27"/>
        <v>Ø16</v>
      </c>
    </row>
    <row r="312" spans="17:24" x14ac:dyDescent="0.3">
      <c r="Q312" s="3"/>
      <c r="R312" s="3"/>
      <c r="S312" s="3"/>
      <c r="T312" s="21"/>
      <c r="U312" s="3"/>
      <c r="V312" s="3">
        <f t="shared" si="25"/>
        <v>0</v>
      </c>
      <c r="W312" s="3" t="str">
        <f t="shared" si="26"/>
        <v>Ø16</v>
      </c>
      <c r="X312" s="3" t="str">
        <f t="shared" si="27"/>
        <v>Ø16</v>
      </c>
    </row>
    <row r="313" spans="17:24" x14ac:dyDescent="0.3">
      <c r="Q313" s="3"/>
      <c r="R313" s="3"/>
      <c r="S313" s="3"/>
      <c r="T313" s="21"/>
      <c r="U313" s="3"/>
      <c r="V313" s="3">
        <f t="shared" si="25"/>
        <v>0</v>
      </c>
      <c r="W313" s="3" t="str">
        <f t="shared" si="26"/>
        <v>Ø16</v>
      </c>
      <c r="X313" s="3" t="str">
        <f t="shared" si="27"/>
        <v>Ø16</v>
      </c>
    </row>
    <row r="314" spans="17:24" x14ac:dyDescent="0.3">
      <c r="Q314" s="3"/>
      <c r="R314" s="3"/>
      <c r="S314" s="3"/>
      <c r="T314" s="21"/>
      <c r="U314" s="3"/>
      <c r="V314" s="3">
        <f t="shared" si="25"/>
        <v>0</v>
      </c>
      <c r="W314" s="3" t="str">
        <f t="shared" si="26"/>
        <v>Ø16</v>
      </c>
      <c r="X314" s="3" t="str">
        <f t="shared" si="27"/>
        <v>Ø16</v>
      </c>
    </row>
    <row r="315" spans="17:24" x14ac:dyDescent="0.3">
      <c r="Q315" s="3"/>
      <c r="R315" s="3"/>
      <c r="S315" s="3"/>
      <c r="T315" s="21"/>
      <c r="U315" s="3"/>
      <c r="V315" s="3">
        <f t="shared" si="25"/>
        <v>0</v>
      </c>
      <c r="W315" s="3" t="str">
        <f t="shared" si="26"/>
        <v>Ø16</v>
      </c>
      <c r="X315" s="3" t="str">
        <f t="shared" si="27"/>
        <v>Ø16</v>
      </c>
    </row>
    <row r="316" spans="17:24" x14ac:dyDescent="0.3">
      <c r="Q316" s="3"/>
      <c r="R316" s="3"/>
      <c r="S316" s="3"/>
      <c r="T316" s="21"/>
      <c r="U316" s="3"/>
      <c r="V316" s="3">
        <f t="shared" si="25"/>
        <v>0</v>
      </c>
      <c r="W316" s="3" t="str">
        <f t="shared" si="26"/>
        <v>Ø16</v>
      </c>
      <c r="X316" s="3" t="str">
        <f t="shared" si="27"/>
        <v>Ø16</v>
      </c>
    </row>
    <row r="317" spans="17:24" x14ac:dyDescent="0.3">
      <c r="Q317" s="3"/>
      <c r="R317" s="3"/>
      <c r="S317" s="3"/>
      <c r="T317" s="21"/>
      <c r="U317" s="3"/>
      <c r="V317" s="3">
        <f t="shared" si="25"/>
        <v>0</v>
      </c>
      <c r="W317" s="3" t="str">
        <f t="shared" si="26"/>
        <v>Ø16</v>
      </c>
      <c r="X317" s="3" t="str">
        <f t="shared" si="27"/>
        <v>Ø16</v>
      </c>
    </row>
    <row r="318" spans="17:24" x14ac:dyDescent="0.3">
      <c r="Q318" s="3"/>
      <c r="R318" s="3"/>
      <c r="S318" s="3"/>
      <c r="T318" s="21"/>
      <c r="U318" s="3"/>
      <c r="V318" s="3">
        <f t="shared" si="25"/>
        <v>0</v>
      </c>
      <c r="W318" s="3" t="str">
        <f t="shared" si="26"/>
        <v>Ø16</v>
      </c>
      <c r="X318" s="3" t="str">
        <f t="shared" si="27"/>
        <v>Ø16</v>
      </c>
    </row>
    <row r="319" spans="17:24" x14ac:dyDescent="0.3">
      <c r="Q319" s="3"/>
      <c r="R319" s="3"/>
      <c r="S319" s="3"/>
      <c r="T319" s="21"/>
      <c r="U319" s="3"/>
      <c r="V319" s="3">
        <f t="shared" si="25"/>
        <v>0</v>
      </c>
      <c r="W319" s="3" t="str">
        <f t="shared" si="26"/>
        <v>Ø16</v>
      </c>
      <c r="X319" s="3" t="str">
        <f t="shared" si="27"/>
        <v>Ø16</v>
      </c>
    </row>
    <row r="320" spans="17:24" x14ac:dyDescent="0.3">
      <c r="Q320" s="3"/>
      <c r="R320" s="3"/>
      <c r="S320" s="3"/>
      <c r="T320" s="21"/>
      <c r="U320" s="3"/>
      <c r="V320" s="3">
        <f t="shared" si="25"/>
        <v>0</v>
      </c>
      <c r="W320" s="3" t="str">
        <f t="shared" si="26"/>
        <v>Ø16</v>
      </c>
      <c r="X320" s="3" t="str">
        <f t="shared" si="27"/>
        <v>Ø16</v>
      </c>
    </row>
    <row r="321" spans="17:24" x14ac:dyDescent="0.3">
      <c r="Q321" s="3"/>
      <c r="R321" s="3"/>
      <c r="S321" s="3"/>
      <c r="T321" s="21"/>
      <c r="U321" s="3"/>
      <c r="V321" s="3">
        <f t="shared" si="25"/>
        <v>0</v>
      </c>
      <c r="W321" s="3" t="str">
        <f t="shared" si="26"/>
        <v>Ø16</v>
      </c>
      <c r="X321" s="3" t="str">
        <f t="shared" si="27"/>
        <v>Ø16</v>
      </c>
    </row>
    <row r="322" spans="17:24" x14ac:dyDescent="0.3">
      <c r="Q322" s="3"/>
      <c r="R322" s="3"/>
      <c r="S322" s="3"/>
      <c r="T322" s="21"/>
      <c r="U322" s="3"/>
      <c r="V322" s="3">
        <f t="shared" si="25"/>
        <v>0</v>
      </c>
      <c r="W322" s="3" t="str">
        <f t="shared" si="26"/>
        <v>Ø16</v>
      </c>
      <c r="X322" s="3" t="str">
        <f t="shared" si="27"/>
        <v>Ø16</v>
      </c>
    </row>
    <row r="323" spans="17:24" x14ac:dyDescent="0.3">
      <c r="Q323" s="3"/>
      <c r="R323" s="3"/>
      <c r="S323" s="3"/>
      <c r="T323" s="21"/>
      <c r="U323" s="3"/>
      <c r="V323" s="3">
        <f t="shared" si="25"/>
        <v>0</v>
      </c>
      <c r="W323" s="3" t="str">
        <f t="shared" si="26"/>
        <v>Ø16</v>
      </c>
      <c r="X323" s="3" t="str">
        <f t="shared" si="27"/>
        <v>Ø16</v>
      </c>
    </row>
    <row r="324" spans="17:24" x14ac:dyDescent="0.3">
      <c r="Q324" s="3"/>
      <c r="R324" s="3"/>
      <c r="S324" s="3"/>
      <c r="T324" s="21"/>
      <c r="U324" s="3"/>
      <c r="V324" s="3">
        <f t="shared" si="25"/>
        <v>0</v>
      </c>
      <c r="W324" s="3" t="str">
        <f t="shared" si="26"/>
        <v>Ø16</v>
      </c>
      <c r="X324" s="3" t="str">
        <f t="shared" si="27"/>
        <v>Ø16</v>
      </c>
    </row>
    <row r="325" spans="17:24" x14ac:dyDescent="0.3">
      <c r="Q325" s="3"/>
      <c r="R325" s="3"/>
      <c r="S325" s="3"/>
      <c r="T325" s="21"/>
      <c r="U325" s="3"/>
      <c r="V325" s="3">
        <f t="shared" ref="V325:V388" si="28">U325*1.2</f>
        <v>0</v>
      </c>
      <c r="W325" s="3" t="str">
        <f t="shared" ref="W325:W388" si="29">"Ø"&amp;VLOOKUP(V325,$Z$4:$AA$10,2,TRUE)</f>
        <v>Ø16</v>
      </c>
      <c r="X325" s="3" t="str">
        <f t="shared" ref="X325:X388" si="30">"Ø"&amp;VLOOKUP(V325,$AD$4:$AE$10,2,TRUE)</f>
        <v>Ø16</v>
      </c>
    </row>
    <row r="326" spans="17:24" x14ac:dyDescent="0.3">
      <c r="Q326" s="3"/>
      <c r="R326" s="3"/>
      <c r="S326" s="3"/>
      <c r="T326" s="21"/>
      <c r="U326" s="3"/>
      <c r="V326" s="3">
        <f t="shared" si="28"/>
        <v>0</v>
      </c>
      <c r="W326" s="3" t="str">
        <f t="shared" si="29"/>
        <v>Ø16</v>
      </c>
      <c r="X326" s="3" t="str">
        <f t="shared" si="30"/>
        <v>Ø16</v>
      </c>
    </row>
    <row r="327" spans="17:24" x14ac:dyDescent="0.3">
      <c r="Q327" s="3"/>
      <c r="R327" s="3"/>
      <c r="S327" s="3"/>
      <c r="T327" s="21"/>
      <c r="U327" s="3"/>
      <c r="V327" s="3">
        <f t="shared" si="28"/>
        <v>0</v>
      </c>
      <c r="W327" s="3" t="str">
        <f t="shared" si="29"/>
        <v>Ø16</v>
      </c>
      <c r="X327" s="3" t="str">
        <f t="shared" si="30"/>
        <v>Ø16</v>
      </c>
    </row>
    <row r="328" spans="17:24" x14ac:dyDescent="0.3">
      <c r="Q328" s="3"/>
      <c r="R328" s="3"/>
      <c r="S328" s="3"/>
      <c r="T328" s="21"/>
      <c r="U328" s="3"/>
      <c r="V328" s="3">
        <f t="shared" si="28"/>
        <v>0</v>
      </c>
      <c r="W328" s="3" t="str">
        <f t="shared" si="29"/>
        <v>Ø16</v>
      </c>
      <c r="X328" s="3" t="str">
        <f t="shared" si="30"/>
        <v>Ø16</v>
      </c>
    </row>
    <row r="329" spans="17:24" x14ac:dyDescent="0.3">
      <c r="Q329" s="3"/>
      <c r="R329" s="3"/>
      <c r="S329" s="3"/>
      <c r="T329" s="21"/>
      <c r="U329" s="3"/>
      <c r="V329" s="3">
        <f t="shared" si="28"/>
        <v>0</v>
      </c>
      <c r="W329" s="3" t="str">
        <f t="shared" si="29"/>
        <v>Ø16</v>
      </c>
      <c r="X329" s="3" t="str">
        <f t="shared" si="30"/>
        <v>Ø16</v>
      </c>
    </row>
    <row r="330" spans="17:24" x14ac:dyDescent="0.3">
      <c r="Q330" s="3"/>
      <c r="R330" s="3"/>
      <c r="S330" s="3"/>
      <c r="T330" s="21"/>
      <c r="U330" s="3"/>
      <c r="V330" s="3">
        <f t="shared" si="28"/>
        <v>0</v>
      </c>
      <c r="W330" s="3" t="str">
        <f t="shared" si="29"/>
        <v>Ø16</v>
      </c>
      <c r="X330" s="3" t="str">
        <f t="shared" si="30"/>
        <v>Ø16</v>
      </c>
    </row>
    <row r="331" spans="17:24" x14ac:dyDescent="0.3">
      <c r="Q331" s="3"/>
      <c r="R331" s="3"/>
      <c r="S331" s="3"/>
      <c r="T331" s="21"/>
      <c r="U331" s="3"/>
      <c r="V331" s="3">
        <f t="shared" si="28"/>
        <v>0</v>
      </c>
      <c r="W331" s="3" t="str">
        <f t="shared" si="29"/>
        <v>Ø16</v>
      </c>
      <c r="X331" s="3" t="str">
        <f t="shared" si="30"/>
        <v>Ø16</v>
      </c>
    </row>
    <row r="332" spans="17:24" x14ac:dyDescent="0.3">
      <c r="Q332" s="3"/>
      <c r="R332" s="3"/>
      <c r="S332" s="3"/>
      <c r="T332" s="21"/>
      <c r="U332" s="3"/>
      <c r="V332" s="3">
        <f t="shared" si="28"/>
        <v>0</v>
      </c>
      <c r="W332" s="3" t="str">
        <f t="shared" si="29"/>
        <v>Ø16</v>
      </c>
      <c r="X332" s="3" t="str">
        <f t="shared" si="30"/>
        <v>Ø16</v>
      </c>
    </row>
    <row r="333" spans="17:24" x14ac:dyDescent="0.3">
      <c r="Q333" s="3"/>
      <c r="R333" s="3"/>
      <c r="S333" s="3"/>
      <c r="T333" s="21"/>
      <c r="U333" s="3"/>
      <c r="V333" s="3">
        <f t="shared" si="28"/>
        <v>0</v>
      </c>
      <c r="W333" s="3" t="str">
        <f t="shared" si="29"/>
        <v>Ø16</v>
      </c>
      <c r="X333" s="3" t="str">
        <f t="shared" si="30"/>
        <v>Ø16</v>
      </c>
    </row>
    <row r="334" spans="17:24" x14ac:dyDescent="0.3">
      <c r="Q334" s="3"/>
      <c r="R334" s="3"/>
      <c r="S334" s="3"/>
      <c r="T334" s="21"/>
      <c r="U334" s="3"/>
      <c r="V334" s="3">
        <f t="shared" si="28"/>
        <v>0</v>
      </c>
      <c r="W334" s="3" t="str">
        <f t="shared" si="29"/>
        <v>Ø16</v>
      </c>
      <c r="X334" s="3" t="str">
        <f t="shared" si="30"/>
        <v>Ø16</v>
      </c>
    </row>
    <row r="335" spans="17:24" x14ac:dyDescent="0.3">
      <c r="Q335" s="3"/>
      <c r="R335" s="3"/>
      <c r="S335" s="3"/>
      <c r="T335" s="21"/>
      <c r="U335" s="3"/>
      <c r="V335" s="3">
        <f t="shared" si="28"/>
        <v>0</v>
      </c>
      <c r="W335" s="3" t="str">
        <f t="shared" si="29"/>
        <v>Ø16</v>
      </c>
      <c r="X335" s="3" t="str">
        <f t="shared" si="30"/>
        <v>Ø16</v>
      </c>
    </row>
    <row r="336" spans="17:24" x14ac:dyDescent="0.3">
      <c r="Q336" s="3"/>
      <c r="R336" s="3"/>
      <c r="S336" s="3"/>
      <c r="T336" s="21"/>
      <c r="U336" s="3"/>
      <c r="V336" s="3">
        <f t="shared" si="28"/>
        <v>0</v>
      </c>
      <c r="W336" s="3" t="str">
        <f t="shared" si="29"/>
        <v>Ø16</v>
      </c>
      <c r="X336" s="3" t="str">
        <f t="shared" si="30"/>
        <v>Ø16</v>
      </c>
    </row>
    <row r="337" spans="17:24" x14ac:dyDescent="0.3">
      <c r="Q337" s="3"/>
      <c r="R337" s="3"/>
      <c r="S337" s="3"/>
      <c r="T337" s="21"/>
      <c r="U337" s="3"/>
      <c r="V337" s="3">
        <f t="shared" si="28"/>
        <v>0</v>
      </c>
      <c r="W337" s="3" t="str">
        <f t="shared" si="29"/>
        <v>Ø16</v>
      </c>
      <c r="X337" s="3" t="str">
        <f t="shared" si="30"/>
        <v>Ø16</v>
      </c>
    </row>
    <row r="338" spans="17:24" x14ac:dyDescent="0.3">
      <c r="Q338" s="3"/>
      <c r="R338" s="3"/>
      <c r="S338" s="3"/>
      <c r="T338" s="21"/>
      <c r="U338" s="3"/>
      <c r="V338" s="3">
        <f t="shared" si="28"/>
        <v>0</v>
      </c>
      <c r="W338" s="3" t="str">
        <f t="shared" si="29"/>
        <v>Ø16</v>
      </c>
      <c r="X338" s="3" t="str">
        <f t="shared" si="30"/>
        <v>Ø16</v>
      </c>
    </row>
    <row r="339" spans="17:24" x14ac:dyDescent="0.3">
      <c r="Q339" s="3"/>
      <c r="R339" s="3"/>
      <c r="S339" s="3"/>
      <c r="T339" s="21"/>
      <c r="U339" s="3"/>
      <c r="V339" s="3">
        <f t="shared" si="28"/>
        <v>0</v>
      </c>
      <c r="W339" s="3" t="str">
        <f t="shared" si="29"/>
        <v>Ø16</v>
      </c>
      <c r="X339" s="3" t="str">
        <f t="shared" si="30"/>
        <v>Ø16</v>
      </c>
    </row>
    <row r="340" spans="17:24" x14ac:dyDescent="0.3">
      <c r="Q340" s="3"/>
      <c r="R340" s="3"/>
      <c r="S340" s="3"/>
      <c r="T340" s="21"/>
      <c r="U340" s="3"/>
      <c r="V340" s="3">
        <f t="shared" si="28"/>
        <v>0</v>
      </c>
      <c r="W340" s="3" t="str">
        <f t="shared" si="29"/>
        <v>Ø16</v>
      </c>
      <c r="X340" s="3" t="str">
        <f t="shared" si="30"/>
        <v>Ø16</v>
      </c>
    </row>
    <row r="341" spans="17:24" x14ac:dyDescent="0.3">
      <c r="Q341" s="3"/>
      <c r="R341" s="3"/>
      <c r="S341" s="3"/>
      <c r="T341" s="21"/>
      <c r="U341" s="3"/>
      <c r="V341" s="3">
        <f t="shared" si="28"/>
        <v>0</v>
      </c>
      <c r="W341" s="3" t="str">
        <f t="shared" si="29"/>
        <v>Ø16</v>
      </c>
      <c r="X341" s="3" t="str">
        <f t="shared" si="30"/>
        <v>Ø16</v>
      </c>
    </row>
    <row r="342" spans="17:24" x14ac:dyDescent="0.3">
      <c r="Q342" s="3"/>
      <c r="R342" s="3"/>
      <c r="S342" s="3"/>
      <c r="T342" s="21"/>
      <c r="U342" s="3"/>
      <c r="V342" s="3">
        <f t="shared" si="28"/>
        <v>0</v>
      </c>
      <c r="W342" s="3" t="str">
        <f t="shared" si="29"/>
        <v>Ø16</v>
      </c>
      <c r="X342" s="3" t="str">
        <f t="shared" si="30"/>
        <v>Ø16</v>
      </c>
    </row>
    <row r="343" spans="17:24" x14ac:dyDescent="0.3">
      <c r="Q343" s="3"/>
      <c r="R343" s="3"/>
      <c r="S343" s="3"/>
      <c r="T343" s="21"/>
      <c r="U343" s="3"/>
      <c r="V343" s="3">
        <f t="shared" si="28"/>
        <v>0</v>
      </c>
      <c r="W343" s="3" t="str">
        <f t="shared" si="29"/>
        <v>Ø16</v>
      </c>
      <c r="X343" s="3" t="str">
        <f t="shared" si="30"/>
        <v>Ø16</v>
      </c>
    </row>
    <row r="344" spans="17:24" x14ac:dyDescent="0.3">
      <c r="Q344" s="3"/>
      <c r="R344" s="3"/>
      <c r="S344" s="3"/>
      <c r="T344" s="21"/>
      <c r="U344" s="3"/>
      <c r="V344" s="3">
        <f t="shared" si="28"/>
        <v>0</v>
      </c>
      <c r="W344" s="3" t="str">
        <f t="shared" si="29"/>
        <v>Ø16</v>
      </c>
      <c r="X344" s="3" t="str">
        <f t="shared" si="30"/>
        <v>Ø16</v>
      </c>
    </row>
    <row r="345" spans="17:24" x14ac:dyDescent="0.3">
      <c r="Q345" s="3"/>
      <c r="R345" s="3"/>
      <c r="S345" s="3"/>
      <c r="T345" s="21"/>
      <c r="U345" s="3"/>
      <c r="V345" s="3">
        <f t="shared" si="28"/>
        <v>0</v>
      </c>
      <c r="W345" s="3" t="str">
        <f t="shared" si="29"/>
        <v>Ø16</v>
      </c>
      <c r="X345" s="3" t="str">
        <f t="shared" si="30"/>
        <v>Ø16</v>
      </c>
    </row>
    <row r="346" spans="17:24" x14ac:dyDescent="0.3">
      <c r="Q346" s="3"/>
      <c r="R346" s="3"/>
      <c r="S346" s="3"/>
      <c r="T346" s="21"/>
      <c r="U346" s="3"/>
      <c r="V346" s="3">
        <f t="shared" si="28"/>
        <v>0</v>
      </c>
      <c r="W346" s="3" t="str">
        <f t="shared" si="29"/>
        <v>Ø16</v>
      </c>
      <c r="X346" s="3" t="str">
        <f t="shared" si="30"/>
        <v>Ø16</v>
      </c>
    </row>
    <row r="347" spans="17:24" x14ac:dyDescent="0.3">
      <c r="Q347" s="3"/>
      <c r="R347" s="3"/>
      <c r="S347" s="3"/>
      <c r="T347" s="21"/>
      <c r="U347" s="3"/>
      <c r="V347" s="3">
        <f t="shared" si="28"/>
        <v>0</v>
      </c>
      <c r="W347" s="3" t="str">
        <f t="shared" si="29"/>
        <v>Ø16</v>
      </c>
      <c r="X347" s="3" t="str">
        <f t="shared" si="30"/>
        <v>Ø16</v>
      </c>
    </row>
    <row r="348" spans="17:24" x14ac:dyDescent="0.3">
      <c r="Q348" s="3"/>
      <c r="R348" s="3"/>
      <c r="S348" s="3"/>
      <c r="T348" s="21"/>
      <c r="U348" s="3"/>
      <c r="V348" s="3">
        <f t="shared" si="28"/>
        <v>0</v>
      </c>
      <c r="W348" s="3" t="str">
        <f t="shared" si="29"/>
        <v>Ø16</v>
      </c>
      <c r="X348" s="3" t="str">
        <f t="shared" si="30"/>
        <v>Ø16</v>
      </c>
    </row>
    <row r="349" spans="17:24" x14ac:dyDescent="0.3">
      <c r="Q349" s="3"/>
      <c r="R349" s="3"/>
      <c r="S349" s="3"/>
      <c r="T349" s="21"/>
      <c r="U349" s="3"/>
      <c r="V349" s="3">
        <f t="shared" si="28"/>
        <v>0</v>
      </c>
      <c r="W349" s="3" t="str">
        <f t="shared" si="29"/>
        <v>Ø16</v>
      </c>
      <c r="X349" s="3" t="str">
        <f t="shared" si="30"/>
        <v>Ø16</v>
      </c>
    </row>
    <row r="350" spans="17:24" x14ac:dyDescent="0.3">
      <c r="Q350" s="3"/>
      <c r="R350" s="3"/>
      <c r="S350" s="3"/>
      <c r="T350" s="21"/>
      <c r="U350" s="3"/>
      <c r="V350" s="3">
        <f t="shared" si="28"/>
        <v>0</v>
      </c>
      <c r="W350" s="3" t="str">
        <f t="shared" si="29"/>
        <v>Ø16</v>
      </c>
      <c r="X350" s="3" t="str">
        <f t="shared" si="30"/>
        <v>Ø16</v>
      </c>
    </row>
    <row r="351" spans="17:24" x14ac:dyDescent="0.3">
      <c r="Q351" s="3"/>
      <c r="R351" s="3"/>
      <c r="S351" s="3"/>
      <c r="T351" s="21"/>
      <c r="U351" s="3"/>
      <c r="V351" s="3">
        <f t="shared" si="28"/>
        <v>0</v>
      </c>
      <c r="W351" s="3" t="str">
        <f t="shared" si="29"/>
        <v>Ø16</v>
      </c>
      <c r="X351" s="3" t="str">
        <f t="shared" si="30"/>
        <v>Ø16</v>
      </c>
    </row>
    <row r="352" spans="17:24" x14ac:dyDescent="0.3">
      <c r="Q352" s="3"/>
      <c r="R352" s="3"/>
      <c r="S352" s="3"/>
      <c r="T352" s="21"/>
      <c r="U352" s="3"/>
      <c r="V352" s="3">
        <f t="shared" si="28"/>
        <v>0</v>
      </c>
      <c r="W352" s="3" t="str">
        <f t="shared" si="29"/>
        <v>Ø16</v>
      </c>
      <c r="X352" s="3" t="str">
        <f t="shared" si="30"/>
        <v>Ø16</v>
      </c>
    </row>
    <row r="353" spans="17:24" x14ac:dyDescent="0.3">
      <c r="Q353" s="3"/>
      <c r="R353" s="3"/>
      <c r="S353" s="3"/>
      <c r="T353" s="21"/>
      <c r="U353" s="3"/>
      <c r="V353" s="3">
        <f t="shared" si="28"/>
        <v>0</v>
      </c>
      <c r="W353" s="3" t="str">
        <f t="shared" si="29"/>
        <v>Ø16</v>
      </c>
      <c r="X353" s="3" t="str">
        <f t="shared" si="30"/>
        <v>Ø16</v>
      </c>
    </row>
    <row r="354" spans="17:24" x14ac:dyDescent="0.3">
      <c r="Q354" s="3"/>
      <c r="R354" s="3"/>
      <c r="S354" s="3"/>
      <c r="T354" s="21"/>
      <c r="U354" s="3"/>
      <c r="V354" s="3">
        <f t="shared" si="28"/>
        <v>0</v>
      </c>
      <c r="W354" s="3" t="str">
        <f t="shared" si="29"/>
        <v>Ø16</v>
      </c>
      <c r="X354" s="3" t="str">
        <f t="shared" si="30"/>
        <v>Ø16</v>
      </c>
    </row>
    <row r="355" spans="17:24" x14ac:dyDescent="0.3">
      <c r="Q355" s="3"/>
      <c r="R355" s="3"/>
      <c r="S355" s="3"/>
      <c r="T355" s="21"/>
      <c r="U355" s="3"/>
      <c r="V355" s="3">
        <f t="shared" si="28"/>
        <v>0</v>
      </c>
      <c r="W355" s="3" t="str">
        <f t="shared" si="29"/>
        <v>Ø16</v>
      </c>
      <c r="X355" s="3" t="str">
        <f t="shared" si="30"/>
        <v>Ø16</v>
      </c>
    </row>
    <row r="356" spans="17:24" x14ac:dyDescent="0.3">
      <c r="Q356" s="3"/>
      <c r="R356" s="3"/>
      <c r="S356" s="3"/>
      <c r="T356" s="21"/>
      <c r="U356" s="3"/>
      <c r="V356" s="3">
        <f t="shared" si="28"/>
        <v>0</v>
      </c>
      <c r="W356" s="3" t="str">
        <f t="shared" si="29"/>
        <v>Ø16</v>
      </c>
      <c r="X356" s="3" t="str">
        <f t="shared" si="30"/>
        <v>Ø16</v>
      </c>
    </row>
    <row r="357" spans="17:24" x14ac:dyDescent="0.3">
      <c r="Q357" s="3"/>
      <c r="R357" s="3"/>
      <c r="S357" s="3"/>
      <c r="T357" s="21"/>
      <c r="U357" s="3"/>
      <c r="V357" s="3">
        <f t="shared" si="28"/>
        <v>0</v>
      </c>
      <c r="W357" s="3" t="str">
        <f t="shared" si="29"/>
        <v>Ø16</v>
      </c>
      <c r="X357" s="3" t="str">
        <f t="shared" si="30"/>
        <v>Ø16</v>
      </c>
    </row>
    <row r="358" spans="17:24" x14ac:dyDescent="0.3">
      <c r="Q358" s="3"/>
      <c r="R358" s="3"/>
      <c r="S358" s="3"/>
      <c r="T358" s="21"/>
      <c r="U358" s="3"/>
      <c r="V358" s="3">
        <f t="shared" si="28"/>
        <v>0</v>
      </c>
      <c r="W358" s="3" t="str">
        <f t="shared" si="29"/>
        <v>Ø16</v>
      </c>
      <c r="X358" s="3" t="str">
        <f t="shared" si="30"/>
        <v>Ø16</v>
      </c>
    </row>
    <row r="359" spans="17:24" x14ac:dyDescent="0.3">
      <c r="Q359" s="3"/>
      <c r="R359" s="3"/>
      <c r="S359" s="3"/>
      <c r="T359" s="21"/>
      <c r="U359" s="3"/>
      <c r="V359" s="3">
        <f t="shared" si="28"/>
        <v>0</v>
      </c>
      <c r="W359" s="3" t="str">
        <f t="shared" si="29"/>
        <v>Ø16</v>
      </c>
      <c r="X359" s="3" t="str">
        <f t="shared" si="30"/>
        <v>Ø16</v>
      </c>
    </row>
    <row r="360" spans="17:24" x14ac:dyDescent="0.3">
      <c r="Q360" s="3"/>
      <c r="R360" s="3"/>
      <c r="S360" s="3"/>
      <c r="T360" s="21"/>
      <c r="U360" s="3"/>
      <c r="V360" s="3">
        <f t="shared" si="28"/>
        <v>0</v>
      </c>
      <c r="W360" s="3" t="str">
        <f t="shared" si="29"/>
        <v>Ø16</v>
      </c>
      <c r="X360" s="3" t="str">
        <f t="shared" si="30"/>
        <v>Ø16</v>
      </c>
    </row>
    <row r="361" spans="17:24" x14ac:dyDescent="0.3">
      <c r="Q361" s="3"/>
      <c r="R361" s="3"/>
      <c r="S361" s="3"/>
      <c r="T361" s="21"/>
      <c r="U361" s="3"/>
      <c r="V361" s="3">
        <f t="shared" si="28"/>
        <v>0</v>
      </c>
      <c r="W361" s="3" t="str">
        <f t="shared" si="29"/>
        <v>Ø16</v>
      </c>
      <c r="X361" s="3" t="str">
        <f t="shared" si="30"/>
        <v>Ø16</v>
      </c>
    </row>
    <row r="362" spans="17:24" x14ac:dyDescent="0.3">
      <c r="Q362" s="3"/>
      <c r="R362" s="3"/>
      <c r="S362" s="3"/>
      <c r="T362" s="21"/>
      <c r="U362" s="3"/>
      <c r="V362" s="3">
        <f t="shared" si="28"/>
        <v>0</v>
      </c>
      <c r="W362" s="3" t="str">
        <f t="shared" si="29"/>
        <v>Ø16</v>
      </c>
      <c r="X362" s="3" t="str">
        <f t="shared" si="30"/>
        <v>Ø16</v>
      </c>
    </row>
    <row r="363" spans="17:24" x14ac:dyDescent="0.3">
      <c r="Q363" s="3"/>
      <c r="R363" s="3"/>
      <c r="S363" s="3"/>
      <c r="T363" s="21"/>
      <c r="U363" s="3"/>
      <c r="V363" s="3">
        <f t="shared" si="28"/>
        <v>0</v>
      </c>
      <c r="W363" s="3" t="str">
        <f t="shared" si="29"/>
        <v>Ø16</v>
      </c>
      <c r="X363" s="3" t="str">
        <f t="shared" si="30"/>
        <v>Ø16</v>
      </c>
    </row>
    <row r="364" spans="17:24" x14ac:dyDescent="0.3">
      <c r="Q364" s="3"/>
      <c r="R364" s="3"/>
      <c r="S364" s="3"/>
      <c r="T364" s="21"/>
      <c r="U364" s="3"/>
      <c r="V364" s="3">
        <f t="shared" si="28"/>
        <v>0</v>
      </c>
      <c r="W364" s="3" t="str">
        <f t="shared" si="29"/>
        <v>Ø16</v>
      </c>
      <c r="X364" s="3" t="str">
        <f t="shared" si="30"/>
        <v>Ø16</v>
      </c>
    </row>
    <row r="365" spans="17:24" x14ac:dyDescent="0.3">
      <c r="Q365" s="3"/>
      <c r="R365" s="3"/>
      <c r="S365" s="3"/>
      <c r="T365" s="21"/>
      <c r="U365" s="3"/>
      <c r="V365" s="3">
        <f t="shared" si="28"/>
        <v>0</v>
      </c>
      <c r="W365" s="3" t="str">
        <f t="shared" si="29"/>
        <v>Ø16</v>
      </c>
      <c r="X365" s="3" t="str">
        <f t="shared" si="30"/>
        <v>Ø16</v>
      </c>
    </row>
    <row r="366" spans="17:24" x14ac:dyDescent="0.3">
      <c r="Q366" s="3"/>
      <c r="R366" s="3"/>
      <c r="S366" s="3"/>
      <c r="T366" s="21"/>
      <c r="U366" s="3"/>
      <c r="V366" s="3">
        <f t="shared" si="28"/>
        <v>0</v>
      </c>
      <c r="W366" s="3" t="str">
        <f t="shared" si="29"/>
        <v>Ø16</v>
      </c>
      <c r="X366" s="3" t="str">
        <f t="shared" si="30"/>
        <v>Ø16</v>
      </c>
    </row>
    <row r="367" spans="17:24" x14ac:dyDescent="0.3">
      <c r="Q367" s="3"/>
      <c r="R367" s="3"/>
      <c r="S367" s="3"/>
      <c r="T367" s="21"/>
      <c r="U367" s="3"/>
      <c r="V367" s="3">
        <f t="shared" si="28"/>
        <v>0</v>
      </c>
      <c r="W367" s="3" t="str">
        <f t="shared" si="29"/>
        <v>Ø16</v>
      </c>
      <c r="X367" s="3" t="str">
        <f t="shared" si="30"/>
        <v>Ø16</v>
      </c>
    </row>
    <row r="368" spans="17:24" x14ac:dyDescent="0.3">
      <c r="Q368" s="3"/>
      <c r="R368" s="3"/>
      <c r="S368" s="3"/>
      <c r="T368" s="21"/>
      <c r="U368" s="3"/>
      <c r="V368" s="3">
        <f t="shared" si="28"/>
        <v>0</v>
      </c>
      <c r="W368" s="3" t="str">
        <f t="shared" si="29"/>
        <v>Ø16</v>
      </c>
      <c r="X368" s="3" t="str">
        <f t="shared" si="30"/>
        <v>Ø16</v>
      </c>
    </row>
    <row r="369" spans="17:24" x14ac:dyDescent="0.3">
      <c r="Q369" s="3"/>
      <c r="R369" s="3"/>
      <c r="S369" s="3"/>
      <c r="T369" s="21"/>
      <c r="U369" s="3"/>
      <c r="V369" s="3">
        <f t="shared" si="28"/>
        <v>0</v>
      </c>
      <c r="W369" s="3" t="str">
        <f t="shared" si="29"/>
        <v>Ø16</v>
      </c>
      <c r="X369" s="3" t="str">
        <f t="shared" si="30"/>
        <v>Ø16</v>
      </c>
    </row>
    <row r="370" spans="17:24" x14ac:dyDescent="0.3">
      <c r="Q370" s="3"/>
      <c r="R370" s="3"/>
      <c r="S370" s="3"/>
      <c r="T370" s="21"/>
      <c r="U370" s="3"/>
      <c r="V370" s="3">
        <f t="shared" si="28"/>
        <v>0</v>
      </c>
      <c r="W370" s="3" t="str">
        <f t="shared" si="29"/>
        <v>Ø16</v>
      </c>
      <c r="X370" s="3" t="str">
        <f t="shared" si="30"/>
        <v>Ø16</v>
      </c>
    </row>
    <row r="371" spans="17:24" x14ac:dyDescent="0.3">
      <c r="Q371" s="3"/>
      <c r="R371" s="3"/>
      <c r="S371" s="3"/>
      <c r="T371" s="21"/>
      <c r="U371" s="3"/>
      <c r="V371" s="3">
        <f t="shared" si="28"/>
        <v>0</v>
      </c>
      <c r="W371" s="3" t="str">
        <f t="shared" si="29"/>
        <v>Ø16</v>
      </c>
      <c r="X371" s="3" t="str">
        <f t="shared" si="30"/>
        <v>Ø16</v>
      </c>
    </row>
    <row r="372" spans="17:24" x14ac:dyDescent="0.3">
      <c r="Q372" s="3"/>
      <c r="R372" s="3"/>
      <c r="S372" s="3"/>
      <c r="T372" s="21"/>
      <c r="U372" s="3"/>
      <c r="V372" s="3">
        <f t="shared" si="28"/>
        <v>0</v>
      </c>
      <c r="W372" s="3" t="str">
        <f t="shared" si="29"/>
        <v>Ø16</v>
      </c>
      <c r="X372" s="3" t="str">
        <f t="shared" si="30"/>
        <v>Ø16</v>
      </c>
    </row>
    <row r="373" spans="17:24" x14ac:dyDescent="0.3">
      <c r="Q373" s="3"/>
      <c r="R373" s="3"/>
      <c r="S373" s="3"/>
      <c r="T373" s="21"/>
      <c r="U373" s="3"/>
      <c r="V373" s="3">
        <f t="shared" si="28"/>
        <v>0</v>
      </c>
      <c r="W373" s="3" t="str">
        <f t="shared" si="29"/>
        <v>Ø16</v>
      </c>
      <c r="X373" s="3" t="str">
        <f t="shared" si="30"/>
        <v>Ø16</v>
      </c>
    </row>
    <row r="374" spans="17:24" x14ac:dyDescent="0.3">
      <c r="Q374" s="3"/>
      <c r="R374" s="3"/>
      <c r="S374" s="3"/>
      <c r="T374" s="21"/>
      <c r="U374" s="3"/>
      <c r="V374" s="3">
        <f t="shared" si="28"/>
        <v>0</v>
      </c>
      <c r="W374" s="3" t="str">
        <f t="shared" si="29"/>
        <v>Ø16</v>
      </c>
      <c r="X374" s="3" t="str">
        <f t="shared" si="30"/>
        <v>Ø16</v>
      </c>
    </row>
    <row r="375" spans="17:24" x14ac:dyDescent="0.3">
      <c r="Q375" s="3"/>
      <c r="R375" s="3"/>
      <c r="S375" s="3"/>
      <c r="T375" s="21"/>
      <c r="U375" s="3"/>
      <c r="V375" s="3">
        <f t="shared" si="28"/>
        <v>0</v>
      </c>
      <c r="W375" s="3" t="str">
        <f t="shared" si="29"/>
        <v>Ø16</v>
      </c>
      <c r="X375" s="3" t="str">
        <f t="shared" si="30"/>
        <v>Ø16</v>
      </c>
    </row>
    <row r="376" spans="17:24" x14ac:dyDescent="0.3">
      <c r="Q376" s="3"/>
      <c r="R376" s="3"/>
      <c r="S376" s="3"/>
      <c r="T376" s="21"/>
      <c r="U376" s="3"/>
      <c r="V376" s="3">
        <f t="shared" si="28"/>
        <v>0</v>
      </c>
      <c r="W376" s="3" t="str">
        <f t="shared" si="29"/>
        <v>Ø16</v>
      </c>
      <c r="X376" s="3" t="str">
        <f t="shared" si="30"/>
        <v>Ø16</v>
      </c>
    </row>
    <row r="377" spans="17:24" x14ac:dyDescent="0.3">
      <c r="Q377" s="3"/>
      <c r="R377" s="3"/>
      <c r="S377" s="3"/>
      <c r="T377" s="21"/>
      <c r="U377" s="3"/>
      <c r="V377" s="3">
        <f t="shared" si="28"/>
        <v>0</v>
      </c>
      <c r="W377" s="3" t="str">
        <f t="shared" si="29"/>
        <v>Ø16</v>
      </c>
      <c r="X377" s="3" t="str">
        <f t="shared" si="30"/>
        <v>Ø16</v>
      </c>
    </row>
    <row r="378" spans="17:24" x14ac:dyDescent="0.3">
      <c r="Q378" s="3"/>
      <c r="R378" s="3"/>
      <c r="S378" s="3"/>
      <c r="T378" s="21"/>
      <c r="U378" s="3"/>
      <c r="V378" s="3">
        <f t="shared" si="28"/>
        <v>0</v>
      </c>
      <c r="W378" s="3" t="str">
        <f t="shared" si="29"/>
        <v>Ø16</v>
      </c>
      <c r="X378" s="3" t="str">
        <f t="shared" si="30"/>
        <v>Ø16</v>
      </c>
    </row>
    <row r="379" spans="17:24" x14ac:dyDescent="0.3">
      <c r="Q379" s="3"/>
      <c r="R379" s="3"/>
      <c r="S379" s="3"/>
      <c r="T379" s="21"/>
      <c r="U379" s="3"/>
      <c r="V379" s="3">
        <f t="shared" si="28"/>
        <v>0</v>
      </c>
      <c r="W379" s="3" t="str">
        <f t="shared" si="29"/>
        <v>Ø16</v>
      </c>
      <c r="X379" s="3" t="str">
        <f t="shared" si="30"/>
        <v>Ø16</v>
      </c>
    </row>
    <row r="380" spans="17:24" x14ac:dyDescent="0.3">
      <c r="Q380" s="3"/>
      <c r="R380" s="3"/>
      <c r="S380" s="3"/>
      <c r="T380" s="21"/>
      <c r="U380" s="3"/>
      <c r="V380" s="3">
        <f t="shared" si="28"/>
        <v>0</v>
      </c>
      <c r="W380" s="3" t="str">
        <f t="shared" si="29"/>
        <v>Ø16</v>
      </c>
      <c r="X380" s="3" t="str">
        <f t="shared" si="30"/>
        <v>Ø16</v>
      </c>
    </row>
    <row r="381" spans="17:24" x14ac:dyDescent="0.3">
      <c r="Q381" s="3"/>
      <c r="R381" s="3"/>
      <c r="S381" s="3"/>
      <c r="T381" s="21"/>
      <c r="U381" s="3"/>
      <c r="V381" s="3">
        <f t="shared" si="28"/>
        <v>0</v>
      </c>
      <c r="W381" s="3" t="str">
        <f t="shared" si="29"/>
        <v>Ø16</v>
      </c>
      <c r="X381" s="3" t="str">
        <f t="shared" si="30"/>
        <v>Ø16</v>
      </c>
    </row>
    <row r="382" spans="17:24" x14ac:dyDescent="0.3">
      <c r="Q382" s="3"/>
      <c r="R382" s="3"/>
      <c r="S382" s="3"/>
      <c r="T382" s="21"/>
      <c r="U382" s="3"/>
      <c r="V382" s="3">
        <f t="shared" si="28"/>
        <v>0</v>
      </c>
      <c r="W382" s="3" t="str">
        <f t="shared" si="29"/>
        <v>Ø16</v>
      </c>
      <c r="X382" s="3" t="str">
        <f t="shared" si="30"/>
        <v>Ø16</v>
      </c>
    </row>
    <row r="383" spans="17:24" x14ac:dyDescent="0.3">
      <c r="Q383" s="3"/>
      <c r="R383" s="3"/>
      <c r="S383" s="3"/>
      <c r="T383" s="21"/>
      <c r="U383" s="3"/>
      <c r="V383" s="3">
        <f t="shared" si="28"/>
        <v>0</v>
      </c>
      <c r="W383" s="3" t="str">
        <f t="shared" si="29"/>
        <v>Ø16</v>
      </c>
      <c r="X383" s="3" t="str">
        <f t="shared" si="30"/>
        <v>Ø16</v>
      </c>
    </row>
    <row r="384" spans="17:24" x14ac:dyDescent="0.3">
      <c r="Q384" s="3"/>
      <c r="R384" s="3"/>
      <c r="S384" s="3"/>
      <c r="T384" s="21"/>
      <c r="U384" s="3"/>
      <c r="V384" s="3">
        <f t="shared" si="28"/>
        <v>0</v>
      </c>
      <c r="W384" s="3" t="str">
        <f t="shared" si="29"/>
        <v>Ø16</v>
      </c>
      <c r="X384" s="3" t="str">
        <f t="shared" si="30"/>
        <v>Ø16</v>
      </c>
    </row>
    <row r="385" spans="17:24" x14ac:dyDescent="0.3">
      <c r="Q385" s="3"/>
      <c r="R385" s="3"/>
      <c r="S385" s="3"/>
      <c r="T385" s="21"/>
      <c r="U385" s="3"/>
      <c r="V385" s="3">
        <f t="shared" si="28"/>
        <v>0</v>
      </c>
      <c r="W385" s="3" t="str">
        <f t="shared" si="29"/>
        <v>Ø16</v>
      </c>
      <c r="X385" s="3" t="str">
        <f t="shared" si="30"/>
        <v>Ø16</v>
      </c>
    </row>
    <row r="386" spans="17:24" x14ac:dyDescent="0.3">
      <c r="Q386" s="3"/>
      <c r="R386" s="3"/>
      <c r="S386" s="3"/>
      <c r="T386" s="21"/>
      <c r="U386" s="3"/>
      <c r="V386" s="3">
        <f t="shared" si="28"/>
        <v>0</v>
      </c>
      <c r="W386" s="3" t="str">
        <f t="shared" si="29"/>
        <v>Ø16</v>
      </c>
      <c r="X386" s="3" t="str">
        <f t="shared" si="30"/>
        <v>Ø16</v>
      </c>
    </row>
    <row r="387" spans="17:24" x14ac:dyDescent="0.3">
      <c r="Q387" s="3"/>
      <c r="R387" s="3"/>
      <c r="S387" s="3"/>
      <c r="T387" s="21"/>
      <c r="U387" s="3"/>
      <c r="V387" s="3">
        <f t="shared" si="28"/>
        <v>0</v>
      </c>
      <c r="W387" s="3" t="str">
        <f t="shared" si="29"/>
        <v>Ø16</v>
      </c>
      <c r="X387" s="3" t="str">
        <f t="shared" si="30"/>
        <v>Ø16</v>
      </c>
    </row>
    <row r="388" spans="17:24" x14ac:dyDescent="0.3">
      <c r="Q388" s="3"/>
      <c r="R388" s="3"/>
      <c r="S388" s="3"/>
      <c r="T388" s="21"/>
      <c r="U388" s="3"/>
      <c r="V388" s="3">
        <f t="shared" si="28"/>
        <v>0</v>
      </c>
      <c r="W388" s="3" t="str">
        <f t="shared" si="29"/>
        <v>Ø16</v>
      </c>
      <c r="X388" s="3" t="str">
        <f t="shared" si="30"/>
        <v>Ø16</v>
      </c>
    </row>
    <row r="389" spans="17:24" x14ac:dyDescent="0.3">
      <c r="Q389" s="3"/>
      <c r="R389" s="3"/>
      <c r="S389" s="3"/>
      <c r="T389" s="21"/>
      <c r="U389" s="3"/>
      <c r="V389" s="3">
        <f t="shared" ref="V389:V452" si="31">U389*1.2</f>
        <v>0</v>
      </c>
      <c r="W389" s="3" t="str">
        <f t="shared" ref="W389:W452" si="32">"Ø"&amp;VLOOKUP(V389,$Z$4:$AA$10,2,TRUE)</f>
        <v>Ø16</v>
      </c>
      <c r="X389" s="3" t="str">
        <f t="shared" ref="X389:X452" si="33">"Ø"&amp;VLOOKUP(V389,$AD$4:$AE$10,2,TRUE)</f>
        <v>Ø16</v>
      </c>
    </row>
    <row r="390" spans="17:24" x14ac:dyDescent="0.3">
      <c r="Q390" s="3"/>
      <c r="R390" s="3"/>
      <c r="S390" s="3"/>
      <c r="T390" s="21"/>
      <c r="U390" s="3"/>
      <c r="V390" s="3">
        <f t="shared" si="31"/>
        <v>0</v>
      </c>
      <c r="W390" s="3" t="str">
        <f t="shared" si="32"/>
        <v>Ø16</v>
      </c>
      <c r="X390" s="3" t="str">
        <f t="shared" si="33"/>
        <v>Ø16</v>
      </c>
    </row>
    <row r="391" spans="17:24" x14ac:dyDescent="0.3">
      <c r="Q391" s="3"/>
      <c r="R391" s="3"/>
      <c r="S391" s="3"/>
      <c r="T391" s="21"/>
      <c r="U391" s="3"/>
      <c r="V391" s="3">
        <f t="shared" si="31"/>
        <v>0</v>
      </c>
      <c r="W391" s="3" t="str">
        <f t="shared" si="32"/>
        <v>Ø16</v>
      </c>
      <c r="X391" s="3" t="str">
        <f t="shared" si="33"/>
        <v>Ø16</v>
      </c>
    </row>
    <row r="392" spans="17:24" x14ac:dyDescent="0.3">
      <c r="Q392" s="3"/>
      <c r="R392" s="3"/>
      <c r="S392" s="3"/>
      <c r="T392" s="21"/>
      <c r="U392" s="3"/>
      <c r="V392" s="3">
        <f t="shared" si="31"/>
        <v>0</v>
      </c>
      <c r="W392" s="3" t="str">
        <f t="shared" si="32"/>
        <v>Ø16</v>
      </c>
      <c r="X392" s="3" t="str">
        <f t="shared" si="33"/>
        <v>Ø16</v>
      </c>
    </row>
    <row r="393" spans="17:24" x14ac:dyDescent="0.3">
      <c r="Q393" s="3"/>
      <c r="R393" s="3"/>
      <c r="S393" s="3"/>
      <c r="T393" s="21"/>
      <c r="U393" s="3"/>
      <c r="V393" s="3">
        <f t="shared" si="31"/>
        <v>0</v>
      </c>
      <c r="W393" s="3" t="str">
        <f t="shared" si="32"/>
        <v>Ø16</v>
      </c>
      <c r="X393" s="3" t="str">
        <f t="shared" si="33"/>
        <v>Ø16</v>
      </c>
    </row>
    <row r="394" spans="17:24" x14ac:dyDescent="0.3">
      <c r="Q394" s="3"/>
      <c r="R394" s="3"/>
      <c r="S394" s="3"/>
      <c r="T394" s="21"/>
      <c r="U394" s="3"/>
      <c r="V394" s="3">
        <f t="shared" si="31"/>
        <v>0</v>
      </c>
      <c r="W394" s="3" t="str">
        <f t="shared" si="32"/>
        <v>Ø16</v>
      </c>
      <c r="X394" s="3" t="str">
        <f t="shared" si="33"/>
        <v>Ø16</v>
      </c>
    </row>
    <row r="395" spans="17:24" x14ac:dyDescent="0.3">
      <c r="Q395" s="3"/>
      <c r="R395" s="3"/>
      <c r="S395" s="3"/>
      <c r="T395" s="21"/>
      <c r="U395" s="3"/>
      <c r="V395" s="3">
        <f t="shared" si="31"/>
        <v>0</v>
      </c>
      <c r="W395" s="3" t="str">
        <f t="shared" si="32"/>
        <v>Ø16</v>
      </c>
      <c r="X395" s="3" t="str">
        <f t="shared" si="33"/>
        <v>Ø16</v>
      </c>
    </row>
    <row r="396" spans="17:24" x14ac:dyDescent="0.3">
      <c r="Q396" s="3"/>
      <c r="R396" s="3"/>
      <c r="S396" s="3"/>
      <c r="T396" s="21"/>
      <c r="U396" s="3"/>
      <c r="V396" s="3">
        <f t="shared" si="31"/>
        <v>0</v>
      </c>
      <c r="W396" s="3" t="str">
        <f t="shared" si="32"/>
        <v>Ø16</v>
      </c>
      <c r="X396" s="3" t="str">
        <f t="shared" si="33"/>
        <v>Ø16</v>
      </c>
    </row>
    <row r="397" spans="17:24" x14ac:dyDescent="0.3">
      <c r="Q397" s="3"/>
      <c r="R397" s="3"/>
      <c r="S397" s="3"/>
      <c r="T397" s="21"/>
      <c r="U397" s="3"/>
      <c r="V397" s="3">
        <f t="shared" si="31"/>
        <v>0</v>
      </c>
      <c r="W397" s="3" t="str">
        <f t="shared" si="32"/>
        <v>Ø16</v>
      </c>
      <c r="X397" s="3" t="str">
        <f t="shared" si="33"/>
        <v>Ø16</v>
      </c>
    </row>
    <row r="398" spans="17:24" x14ac:dyDescent="0.3">
      <c r="Q398" s="3"/>
      <c r="R398" s="3"/>
      <c r="S398" s="3"/>
      <c r="T398" s="21"/>
      <c r="U398" s="3"/>
      <c r="V398" s="3">
        <f t="shared" si="31"/>
        <v>0</v>
      </c>
      <c r="W398" s="3" t="str">
        <f t="shared" si="32"/>
        <v>Ø16</v>
      </c>
      <c r="X398" s="3" t="str">
        <f t="shared" si="33"/>
        <v>Ø16</v>
      </c>
    </row>
    <row r="399" spans="17:24" x14ac:dyDescent="0.3">
      <c r="Q399" s="3"/>
      <c r="R399" s="3"/>
      <c r="S399" s="3"/>
      <c r="T399" s="21"/>
      <c r="U399" s="3"/>
      <c r="V399" s="3">
        <f t="shared" si="31"/>
        <v>0</v>
      </c>
      <c r="W399" s="3" t="str">
        <f t="shared" si="32"/>
        <v>Ø16</v>
      </c>
      <c r="X399" s="3" t="str">
        <f t="shared" si="33"/>
        <v>Ø16</v>
      </c>
    </row>
    <row r="400" spans="17:24" x14ac:dyDescent="0.3">
      <c r="Q400" s="3"/>
      <c r="R400" s="3"/>
      <c r="S400" s="3"/>
      <c r="T400" s="21"/>
      <c r="U400" s="3"/>
      <c r="V400" s="3">
        <f t="shared" si="31"/>
        <v>0</v>
      </c>
      <c r="W400" s="3" t="str">
        <f t="shared" si="32"/>
        <v>Ø16</v>
      </c>
      <c r="X400" s="3" t="str">
        <f t="shared" si="33"/>
        <v>Ø16</v>
      </c>
    </row>
    <row r="401" spans="17:24" x14ac:dyDescent="0.3">
      <c r="Q401" s="3"/>
      <c r="R401" s="3"/>
      <c r="S401" s="3"/>
      <c r="T401" s="21"/>
      <c r="U401" s="3"/>
      <c r="V401" s="3">
        <f t="shared" si="31"/>
        <v>0</v>
      </c>
      <c r="W401" s="3" t="str">
        <f t="shared" si="32"/>
        <v>Ø16</v>
      </c>
      <c r="X401" s="3" t="str">
        <f t="shared" si="33"/>
        <v>Ø16</v>
      </c>
    </row>
    <row r="402" spans="17:24" x14ac:dyDescent="0.3">
      <c r="Q402" s="3"/>
      <c r="R402" s="3"/>
      <c r="S402" s="3"/>
      <c r="T402" s="21"/>
      <c r="U402" s="3"/>
      <c r="V402" s="3">
        <f t="shared" si="31"/>
        <v>0</v>
      </c>
      <c r="W402" s="3" t="str">
        <f t="shared" si="32"/>
        <v>Ø16</v>
      </c>
      <c r="X402" s="3" t="str">
        <f t="shared" si="33"/>
        <v>Ø16</v>
      </c>
    </row>
    <row r="403" spans="17:24" x14ac:dyDescent="0.3">
      <c r="Q403" s="3"/>
      <c r="R403" s="3"/>
      <c r="S403" s="3"/>
      <c r="T403" s="21"/>
      <c r="U403" s="3"/>
      <c r="V403" s="3">
        <f t="shared" si="31"/>
        <v>0</v>
      </c>
      <c r="W403" s="3" t="str">
        <f t="shared" si="32"/>
        <v>Ø16</v>
      </c>
      <c r="X403" s="3" t="str">
        <f t="shared" si="33"/>
        <v>Ø16</v>
      </c>
    </row>
    <row r="404" spans="17:24" x14ac:dyDescent="0.3">
      <c r="Q404" s="3"/>
      <c r="R404" s="3"/>
      <c r="S404" s="3"/>
      <c r="T404" s="21"/>
      <c r="U404" s="3"/>
      <c r="V404" s="3">
        <f t="shared" si="31"/>
        <v>0</v>
      </c>
      <c r="W404" s="3" t="str">
        <f t="shared" si="32"/>
        <v>Ø16</v>
      </c>
      <c r="X404" s="3" t="str">
        <f t="shared" si="33"/>
        <v>Ø16</v>
      </c>
    </row>
    <row r="405" spans="17:24" x14ac:dyDescent="0.3">
      <c r="Q405" s="3"/>
      <c r="R405" s="3"/>
      <c r="S405" s="3"/>
      <c r="T405" s="21"/>
      <c r="U405" s="3"/>
      <c r="V405" s="3">
        <f t="shared" si="31"/>
        <v>0</v>
      </c>
      <c r="W405" s="3" t="str">
        <f t="shared" si="32"/>
        <v>Ø16</v>
      </c>
      <c r="X405" s="3" t="str">
        <f t="shared" si="33"/>
        <v>Ø16</v>
      </c>
    </row>
    <row r="406" spans="17:24" x14ac:dyDescent="0.3">
      <c r="Q406" s="3"/>
      <c r="R406" s="3"/>
      <c r="S406" s="3"/>
      <c r="T406" s="21"/>
      <c r="U406" s="3"/>
      <c r="V406" s="3">
        <f t="shared" si="31"/>
        <v>0</v>
      </c>
      <c r="W406" s="3" t="str">
        <f t="shared" si="32"/>
        <v>Ø16</v>
      </c>
      <c r="X406" s="3" t="str">
        <f t="shared" si="33"/>
        <v>Ø16</v>
      </c>
    </row>
    <row r="407" spans="17:24" x14ac:dyDescent="0.3">
      <c r="Q407" s="3"/>
      <c r="R407" s="3"/>
      <c r="S407" s="3"/>
      <c r="T407" s="21"/>
      <c r="U407" s="3"/>
      <c r="V407" s="3">
        <f t="shared" si="31"/>
        <v>0</v>
      </c>
      <c r="W407" s="3" t="str">
        <f t="shared" si="32"/>
        <v>Ø16</v>
      </c>
      <c r="X407" s="3" t="str">
        <f t="shared" si="33"/>
        <v>Ø16</v>
      </c>
    </row>
    <row r="408" spans="17:24" x14ac:dyDescent="0.3">
      <c r="Q408" s="3"/>
      <c r="R408" s="3"/>
      <c r="S408" s="3"/>
      <c r="T408" s="21"/>
      <c r="U408" s="3"/>
      <c r="V408" s="3">
        <f t="shared" si="31"/>
        <v>0</v>
      </c>
      <c r="W408" s="3" t="str">
        <f t="shared" si="32"/>
        <v>Ø16</v>
      </c>
      <c r="X408" s="3" t="str">
        <f t="shared" si="33"/>
        <v>Ø16</v>
      </c>
    </row>
    <row r="409" spans="17:24" x14ac:dyDescent="0.3">
      <c r="Q409" s="3"/>
      <c r="R409" s="3"/>
      <c r="S409" s="3"/>
      <c r="T409" s="21"/>
      <c r="U409" s="3"/>
      <c r="V409" s="3">
        <f t="shared" si="31"/>
        <v>0</v>
      </c>
      <c r="W409" s="3" t="str">
        <f t="shared" si="32"/>
        <v>Ø16</v>
      </c>
      <c r="X409" s="3" t="str">
        <f t="shared" si="33"/>
        <v>Ø16</v>
      </c>
    </row>
    <row r="410" spans="17:24" x14ac:dyDescent="0.3">
      <c r="Q410" s="3"/>
      <c r="R410" s="3"/>
      <c r="S410" s="3"/>
      <c r="T410" s="21"/>
      <c r="U410" s="3"/>
      <c r="V410" s="3">
        <f t="shared" si="31"/>
        <v>0</v>
      </c>
      <c r="W410" s="3" t="str">
        <f t="shared" si="32"/>
        <v>Ø16</v>
      </c>
      <c r="X410" s="3" t="str">
        <f t="shared" si="33"/>
        <v>Ø16</v>
      </c>
    </row>
    <row r="411" spans="17:24" x14ac:dyDescent="0.3">
      <c r="Q411" s="3"/>
      <c r="R411" s="3"/>
      <c r="S411" s="3"/>
      <c r="T411" s="21"/>
      <c r="U411" s="3"/>
      <c r="V411" s="3">
        <f t="shared" si="31"/>
        <v>0</v>
      </c>
      <c r="W411" s="3" t="str">
        <f t="shared" si="32"/>
        <v>Ø16</v>
      </c>
      <c r="X411" s="3" t="str">
        <f t="shared" si="33"/>
        <v>Ø16</v>
      </c>
    </row>
    <row r="412" spans="17:24" x14ac:dyDescent="0.3">
      <c r="Q412" s="3"/>
      <c r="R412" s="3"/>
      <c r="S412" s="3"/>
      <c r="T412" s="21"/>
      <c r="U412" s="3"/>
      <c r="V412" s="3">
        <f t="shared" si="31"/>
        <v>0</v>
      </c>
      <c r="W412" s="3" t="str">
        <f t="shared" si="32"/>
        <v>Ø16</v>
      </c>
      <c r="X412" s="3" t="str">
        <f t="shared" si="33"/>
        <v>Ø16</v>
      </c>
    </row>
    <row r="413" spans="17:24" x14ac:dyDescent="0.3">
      <c r="Q413" s="3"/>
      <c r="R413" s="3"/>
      <c r="S413" s="3"/>
      <c r="T413" s="21"/>
      <c r="U413" s="3"/>
      <c r="V413" s="3">
        <f t="shared" si="31"/>
        <v>0</v>
      </c>
      <c r="W413" s="3" t="str">
        <f t="shared" si="32"/>
        <v>Ø16</v>
      </c>
      <c r="X413" s="3" t="str">
        <f t="shared" si="33"/>
        <v>Ø16</v>
      </c>
    </row>
    <row r="414" spans="17:24" x14ac:dyDescent="0.3">
      <c r="Q414" s="3"/>
      <c r="R414" s="3"/>
      <c r="S414" s="3"/>
      <c r="T414" s="21"/>
      <c r="U414" s="3"/>
      <c r="V414" s="3">
        <f t="shared" si="31"/>
        <v>0</v>
      </c>
      <c r="W414" s="3" t="str">
        <f t="shared" si="32"/>
        <v>Ø16</v>
      </c>
      <c r="X414" s="3" t="str">
        <f t="shared" si="33"/>
        <v>Ø16</v>
      </c>
    </row>
    <row r="415" spans="17:24" x14ac:dyDescent="0.3">
      <c r="Q415" s="3"/>
      <c r="R415" s="3"/>
      <c r="S415" s="3"/>
      <c r="T415" s="21"/>
      <c r="U415" s="3"/>
      <c r="V415" s="3">
        <f t="shared" si="31"/>
        <v>0</v>
      </c>
      <c r="W415" s="3" t="str">
        <f t="shared" si="32"/>
        <v>Ø16</v>
      </c>
      <c r="X415" s="3" t="str">
        <f t="shared" si="33"/>
        <v>Ø16</v>
      </c>
    </row>
    <row r="416" spans="17:24" x14ac:dyDescent="0.3">
      <c r="Q416" s="3"/>
      <c r="R416" s="3"/>
      <c r="S416" s="3"/>
      <c r="T416" s="21"/>
      <c r="U416" s="3"/>
      <c r="V416" s="3">
        <f t="shared" si="31"/>
        <v>0</v>
      </c>
      <c r="W416" s="3" t="str">
        <f t="shared" si="32"/>
        <v>Ø16</v>
      </c>
      <c r="X416" s="3" t="str">
        <f t="shared" si="33"/>
        <v>Ø16</v>
      </c>
    </row>
    <row r="417" spans="17:24" x14ac:dyDescent="0.3">
      <c r="Q417" s="3"/>
      <c r="R417" s="3"/>
      <c r="S417" s="3"/>
      <c r="T417" s="21"/>
      <c r="U417" s="3"/>
      <c r="V417" s="3">
        <f t="shared" si="31"/>
        <v>0</v>
      </c>
      <c r="W417" s="3" t="str">
        <f t="shared" si="32"/>
        <v>Ø16</v>
      </c>
      <c r="X417" s="3" t="str">
        <f t="shared" si="33"/>
        <v>Ø16</v>
      </c>
    </row>
    <row r="418" spans="17:24" x14ac:dyDescent="0.3">
      <c r="Q418" s="3"/>
      <c r="R418" s="3"/>
      <c r="S418" s="3"/>
      <c r="T418" s="21"/>
      <c r="U418" s="3"/>
      <c r="V418" s="3">
        <f t="shared" si="31"/>
        <v>0</v>
      </c>
      <c r="W418" s="3" t="str">
        <f t="shared" si="32"/>
        <v>Ø16</v>
      </c>
      <c r="X418" s="3" t="str">
        <f t="shared" si="33"/>
        <v>Ø16</v>
      </c>
    </row>
    <row r="419" spans="17:24" x14ac:dyDescent="0.3">
      <c r="Q419" s="3"/>
      <c r="R419" s="3"/>
      <c r="S419" s="3"/>
      <c r="T419" s="21"/>
      <c r="U419" s="3"/>
      <c r="V419" s="3">
        <f t="shared" si="31"/>
        <v>0</v>
      </c>
      <c r="W419" s="3" t="str">
        <f t="shared" si="32"/>
        <v>Ø16</v>
      </c>
      <c r="X419" s="3" t="str">
        <f t="shared" si="33"/>
        <v>Ø16</v>
      </c>
    </row>
    <row r="420" spans="17:24" x14ac:dyDescent="0.3">
      <c r="Q420" s="3"/>
      <c r="R420" s="3"/>
      <c r="S420" s="3"/>
      <c r="T420" s="21"/>
      <c r="U420" s="3"/>
      <c r="V420" s="3">
        <f t="shared" si="31"/>
        <v>0</v>
      </c>
      <c r="W420" s="3" t="str">
        <f t="shared" si="32"/>
        <v>Ø16</v>
      </c>
      <c r="X420" s="3" t="str">
        <f t="shared" si="33"/>
        <v>Ø16</v>
      </c>
    </row>
    <row r="421" spans="17:24" x14ac:dyDescent="0.3">
      <c r="Q421" s="3"/>
      <c r="R421" s="3"/>
      <c r="S421" s="3"/>
      <c r="T421" s="21"/>
      <c r="U421" s="3"/>
      <c r="V421" s="3">
        <f t="shared" si="31"/>
        <v>0</v>
      </c>
      <c r="W421" s="3" t="str">
        <f t="shared" si="32"/>
        <v>Ø16</v>
      </c>
      <c r="X421" s="3" t="str">
        <f t="shared" si="33"/>
        <v>Ø16</v>
      </c>
    </row>
    <row r="422" spans="17:24" x14ac:dyDescent="0.3">
      <c r="Q422" s="3"/>
      <c r="R422" s="3"/>
      <c r="S422" s="3"/>
      <c r="T422" s="21"/>
      <c r="U422" s="3"/>
      <c r="V422" s="3">
        <f t="shared" si="31"/>
        <v>0</v>
      </c>
      <c r="W422" s="3" t="str">
        <f t="shared" si="32"/>
        <v>Ø16</v>
      </c>
      <c r="X422" s="3" t="str">
        <f t="shared" si="33"/>
        <v>Ø16</v>
      </c>
    </row>
    <row r="423" spans="17:24" x14ac:dyDescent="0.3">
      <c r="Q423" s="3"/>
      <c r="R423" s="3"/>
      <c r="S423" s="3"/>
      <c r="T423" s="21"/>
      <c r="U423" s="3"/>
      <c r="V423" s="3">
        <f t="shared" si="31"/>
        <v>0</v>
      </c>
      <c r="W423" s="3" t="str">
        <f t="shared" si="32"/>
        <v>Ø16</v>
      </c>
      <c r="X423" s="3" t="str">
        <f t="shared" si="33"/>
        <v>Ø16</v>
      </c>
    </row>
    <row r="424" spans="17:24" x14ac:dyDescent="0.3">
      <c r="Q424" s="3"/>
      <c r="R424" s="3"/>
      <c r="S424" s="3"/>
      <c r="T424" s="21"/>
      <c r="U424" s="3"/>
      <c r="V424" s="3">
        <f t="shared" si="31"/>
        <v>0</v>
      </c>
      <c r="W424" s="3" t="str">
        <f t="shared" si="32"/>
        <v>Ø16</v>
      </c>
      <c r="X424" s="3" t="str">
        <f t="shared" si="33"/>
        <v>Ø16</v>
      </c>
    </row>
    <row r="425" spans="17:24" x14ac:dyDescent="0.3">
      <c r="Q425" s="3"/>
      <c r="R425" s="3"/>
      <c r="S425" s="3"/>
      <c r="T425" s="21"/>
      <c r="U425" s="3"/>
      <c r="V425" s="3">
        <f t="shared" si="31"/>
        <v>0</v>
      </c>
      <c r="W425" s="3" t="str">
        <f t="shared" si="32"/>
        <v>Ø16</v>
      </c>
      <c r="X425" s="3" t="str">
        <f t="shared" si="33"/>
        <v>Ø16</v>
      </c>
    </row>
    <row r="426" spans="17:24" x14ac:dyDescent="0.3">
      <c r="Q426" s="3"/>
      <c r="R426" s="3"/>
      <c r="S426" s="3"/>
      <c r="T426" s="21"/>
      <c r="U426" s="3"/>
      <c r="V426" s="3">
        <f t="shared" si="31"/>
        <v>0</v>
      </c>
      <c r="W426" s="3" t="str">
        <f t="shared" si="32"/>
        <v>Ø16</v>
      </c>
      <c r="X426" s="3" t="str">
        <f t="shared" si="33"/>
        <v>Ø16</v>
      </c>
    </row>
    <row r="427" spans="17:24" x14ac:dyDescent="0.3">
      <c r="Q427" s="3"/>
      <c r="R427" s="3"/>
      <c r="S427" s="3"/>
      <c r="T427" s="21"/>
      <c r="U427" s="3"/>
      <c r="V427" s="3">
        <f t="shared" si="31"/>
        <v>0</v>
      </c>
      <c r="W427" s="3" t="str">
        <f t="shared" si="32"/>
        <v>Ø16</v>
      </c>
      <c r="X427" s="3" t="str">
        <f t="shared" si="33"/>
        <v>Ø16</v>
      </c>
    </row>
    <row r="428" spans="17:24" x14ac:dyDescent="0.3">
      <c r="Q428" s="3"/>
      <c r="R428" s="3"/>
      <c r="S428" s="3"/>
      <c r="T428" s="21"/>
      <c r="U428" s="3"/>
      <c r="V428" s="3">
        <f t="shared" si="31"/>
        <v>0</v>
      </c>
      <c r="W428" s="3" t="str">
        <f t="shared" si="32"/>
        <v>Ø16</v>
      </c>
      <c r="X428" s="3" t="str">
        <f t="shared" si="33"/>
        <v>Ø16</v>
      </c>
    </row>
    <row r="429" spans="17:24" x14ac:dyDescent="0.3">
      <c r="Q429" s="3"/>
      <c r="R429" s="3"/>
      <c r="S429" s="3"/>
      <c r="T429" s="21"/>
      <c r="U429" s="3"/>
      <c r="V429" s="3">
        <f t="shared" si="31"/>
        <v>0</v>
      </c>
      <c r="W429" s="3" t="str">
        <f t="shared" si="32"/>
        <v>Ø16</v>
      </c>
      <c r="X429" s="3" t="str">
        <f t="shared" si="33"/>
        <v>Ø16</v>
      </c>
    </row>
    <row r="430" spans="17:24" x14ac:dyDescent="0.3">
      <c r="Q430" s="3"/>
      <c r="R430" s="3"/>
      <c r="S430" s="3"/>
      <c r="T430" s="21"/>
      <c r="U430" s="3"/>
      <c r="V430" s="3">
        <f t="shared" si="31"/>
        <v>0</v>
      </c>
      <c r="W430" s="3" t="str">
        <f t="shared" si="32"/>
        <v>Ø16</v>
      </c>
      <c r="X430" s="3" t="str">
        <f t="shared" si="33"/>
        <v>Ø16</v>
      </c>
    </row>
    <row r="431" spans="17:24" x14ac:dyDescent="0.3">
      <c r="Q431" s="3"/>
      <c r="R431" s="3"/>
      <c r="S431" s="3"/>
      <c r="T431" s="21"/>
      <c r="U431" s="3"/>
      <c r="V431" s="3">
        <f t="shared" si="31"/>
        <v>0</v>
      </c>
      <c r="W431" s="3" t="str">
        <f t="shared" si="32"/>
        <v>Ø16</v>
      </c>
      <c r="X431" s="3" t="str">
        <f t="shared" si="33"/>
        <v>Ø16</v>
      </c>
    </row>
    <row r="432" spans="17:24" x14ac:dyDescent="0.3">
      <c r="Q432" s="3"/>
      <c r="R432" s="3"/>
      <c r="S432" s="3"/>
      <c r="T432" s="21"/>
      <c r="U432" s="3"/>
      <c r="V432" s="3">
        <f t="shared" si="31"/>
        <v>0</v>
      </c>
      <c r="W432" s="3" t="str">
        <f t="shared" si="32"/>
        <v>Ø16</v>
      </c>
      <c r="X432" s="3" t="str">
        <f t="shared" si="33"/>
        <v>Ø16</v>
      </c>
    </row>
    <row r="433" spans="17:24" x14ac:dyDescent="0.3">
      <c r="Q433" s="3"/>
      <c r="R433" s="3"/>
      <c r="S433" s="3"/>
      <c r="T433" s="21"/>
      <c r="U433" s="3"/>
      <c r="V433" s="3">
        <f t="shared" si="31"/>
        <v>0</v>
      </c>
      <c r="W433" s="3" t="str">
        <f t="shared" si="32"/>
        <v>Ø16</v>
      </c>
      <c r="X433" s="3" t="str">
        <f t="shared" si="33"/>
        <v>Ø16</v>
      </c>
    </row>
    <row r="434" spans="17:24" x14ac:dyDescent="0.3">
      <c r="Q434" s="3"/>
      <c r="R434" s="3"/>
      <c r="S434" s="3"/>
      <c r="T434" s="21"/>
      <c r="U434" s="3"/>
      <c r="V434" s="3">
        <f t="shared" si="31"/>
        <v>0</v>
      </c>
      <c r="W434" s="3" t="str">
        <f t="shared" si="32"/>
        <v>Ø16</v>
      </c>
      <c r="X434" s="3" t="str">
        <f t="shared" si="33"/>
        <v>Ø16</v>
      </c>
    </row>
    <row r="435" spans="17:24" x14ac:dyDescent="0.3">
      <c r="Q435" s="3"/>
      <c r="R435" s="3"/>
      <c r="S435" s="3"/>
      <c r="T435" s="21"/>
      <c r="U435" s="3"/>
      <c r="V435" s="3">
        <f t="shared" si="31"/>
        <v>0</v>
      </c>
      <c r="W435" s="3" t="str">
        <f t="shared" si="32"/>
        <v>Ø16</v>
      </c>
      <c r="X435" s="3" t="str">
        <f t="shared" si="33"/>
        <v>Ø16</v>
      </c>
    </row>
    <row r="436" spans="17:24" x14ac:dyDescent="0.3">
      <c r="Q436" s="3"/>
      <c r="R436" s="3"/>
      <c r="S436" s="3"/>
      <c r="T436" s="21"/>
      <c r="U436" s="3"/>
      <c r="V436" s="3">
        <f t="shared" si="31"/>
        <v>0</v>
      </c>
      <c r="W436" s="3" t="str">
        <f t="shared" si="32"/>
        <v>Ø16</v>
      </c>
      <c r="X436" s="3" t="str">
        <f t="shared" si="33"/>
        <v>Ø16</v>
      </c>
    </row>
    <row r="437" spans="17:24" x14ac:dyDescent="0.3">
      <c r="Q437" s="3"/>
      <c r="R437" s="3"/>
      <c r="S437" s="3"/>
      <c r="T437" s="21"/>
      <c r="U437" s="3"/>
      <c r="V437" s="3">
        <f t="shared" si="31"/>
        <v>0</v>
      </c>
      <c r="W437" s="3" t="str">
        <f t="shared" si="32"/>
        <v>Ø16</v>
      </c>
      <c r="X437" s="3" t="str">
        <f t="shared" si="33"/>
        <v>Ø16</v>
      </c>
    </row>
    <row r="438" spans="17:24" x14ac:dyDescent="0.3">
      <c r="Q438" s="3"/>
      <c r="R438" s="3"/>
      <c r="S438" s="3"/>
      <c r="T438" s="21"/>
      <c r="U438" s="3"/>
      <c r="V438" s="3">
        <f t="shared" si="31"/>
        <v>0</v>
      </c>
      <c r="W438" s="3" t="str">
        <f t="shared" si="32"/>
        <v>Ø16</v>
      </c>
      <c r="X438" s="3" t="str">
        <f t="shared" si="33"/>
        <v>Ø16</v>
      </c>
    </row>
    <row r="439" spans="17:24" x14ac:dyDescent="0.3">
      <c r="Q439" s="3"/>
      <c r="R439" s="3"/>
      <c r="S439" s="3"/>
      <c r="T439" s="21"/>
      <c r="U439" s="3"/>
      <c r="V439" s="3">
        <f t="shared" si="31"/>
        <v>0</v>
      </c>
      <c r="W439" s="3" t="str">
        <f t="shared" si="32"/>
        <v>Ø16</v>
      </c>
      <c r="X439" s="3" t="str">
        <f t="shared" si="33"/>
        <v>Ø16</v>
      </c>
    </row>
    <row r="440" spans="17:24" x14ac:dyDescent="0.3">
      <c r="Q440" s="3"/>
      <c r="R440" s="3"/>
      <c r="S440" s="3"/>
      <c r="T440" s="21"/>
      <c r="U440" s="3"/>
      <c r="V440" s="3">
        <f t="shared" si="31"/>
        <v>0</v>
      </c>
      <c r="W440" s="3" t="str">
        <f t="shared" si="32"/>
        <v>Ø16</v>
      </c>
      <c r="X440" s="3" t="str">
        <f t="shared" si="33"/>
        <v>Ø16</v>
      </c>
    </row>
    <row r="441" spans="17:24" x14ac:dyDescent="0.3">
      <c r="Q441" s="3"/>
      <c r="R441" s="3"/>
      <c r="S441" s="3"/>
      <c r="T441" s="21"/>
      <c r="U441" s="3"/>
      <c r="V441" s="3">
        <f t="shared" si="31"/>
        <v>0</v>
      </c>
      <c r="W441" s="3" t="str">
        <f t="shared" si="32"/>
        <v>Ø16</v>
      </c>
      <c r="X441" s="3" t="str">
        <f t="shared" si="33"/>
        <v>Ø16</v>
      </c>
    </row>
    <row r="442" spans="17:24" x14ac:dyDescent="0.3">
      <c r="Q442" s="3"/>
      <c r="R442" s="3"/>
      <c r="S442" s="3"/>
      <c r="T442" s="21"/>
      <c r="U442" s="3"/>
      <c r="V442" s="3">
        <f t="shared" si="31"/>
        <v>0</v>
      </c>
      <c r="W442" s="3" t="str">
        <f t="shared" si="32"/>
        <v>Ø16</v>
      </c>
      <c r="X442" s="3" t="str">
        <f t="shared" si="33"/>
        <v>Ø16</v>
      </c>
    </row>
    <row r="443" spans="17:24" x14ac:dyDescent="0.3">
      <c r="Q443" s="3"/>
      <c r="R443" s="3"/>
      <c r="S443" s="3"/>
      <c r="T443" s="21"/>
      <c r="U443" s="3"/>
      <c r="V443" s="3">
        <f t="shared" si="31"/>
        <v>0</v>
      </c>
      <c r="W443" s="3" t="str">
        <f t="shared" si="32"/>
        <v>Ø16</v>
      </c>
      <c r="X443" s="3" t="str">
        <f t="shared" si="33"/>
        <v>Ø16</v>
      </c>
    </row>
    <row r="444" spans="17:24" x14ac:dyDescent="0.3">
      <c r="Q444" s="3"/>
      <c r="R444" s="3"/>
      <c r="S444" s="3"/>
      <c r="T444" s="21"/>
      <c r="U444" s="3"/>
      <c r="V444" s="3">
        <f t="shared" si="31"/>
        <v>0</v>
      </c>
      <c r="W444" s="3" t="str">
        <f t="shared" si="32"/>
        <v>Ø16</v>
      </c>
      <c r="X444" s="3" t="str">
        <f t="shared" si="33"/>
        <v>Ø16</v>
      </c>
    </row>
    <row r="445" spans="17:24" x14ac:dyDescent="0.3">
      <c r="Q445" s="3"/>
      <c r="R445" s="3"/>
      <c r="S445" s="3"/>
      <c r="T445" s="21"/>
      <c r="U445" s="3"/>
      <c r="V445" s="3">
        <f t="shared" si="31"/>
        <v>0</v>
      </c>
      <c r="W445" s="3" t="str">
        <f t="shared" si="32"/>
        <v>Ø16</v>
      </c>
      <c r="X445" s="3" t="str">
        <f t="shared" si="33"/>
        <v>Ø16</v>
      </c>
    </row>
    <row r="446" spans="17:24" x14ac:dyDescent="0.3">
      <c r="Q446" s="3"/>
      <c r="R446" s="3"/>
      <c r="S446" s="3"/>
      <c r="T446" s="21"/>
      <c r="U446" s="3"/>
      <c r="V446" s="3">
        <f t="shared" si="31"/>
        <v>0</v>
      </c>
      <c r="W446" s="3" t="str">
        <f t="shared" si="32"/>
        <v>Ø16</v>
      </c>
      <c r="X446" s="3" t="str">
        <f t="shared" si="33"/>
        <v>Ø16</v>
      </c>
    </row>
    <row r="447" spans="17:24" x14ac:dyDescent="0.3">
      <c r="Q447" s="3"/>
      <c r="R447" s="3"/>
      <c r="S447" s="3"/>
      <c r="T447" s="21"/>
      <c r="U447" s="3"/>
      <c r="V447" s="3">
        <f t="shared" si="31"/>
        <v>0</v>
      </c>
      <c r="W447" s="3" t="str">
        <f t="shared" si="32"/>
        <v>Ø16</v>
      </c>
      <c r="X447" s="3" t="str">
        <f t="shared" si="33"/>
        <v>Ø16</v>
      </c>
    </row>
    <row r="448" spans="17:24" x14ac:dyDescent="0.3">
      <c r="Q448" s="3"/>
      <c r="R448" s="3"/>
      <c r="S448" s="3"/>
      <c r="T448" s="21"/>
      <c r="U448" s="3"/>
      <c r="V448" s="3">
        <f t="shared" si="31"/>
        <v>0</v>
      </c>
      <c r="W448" s="3" t="str">
        <f t="shared" si="32"/>
        <v>Ø16</v>
      </c>
      <c r="X448" s="3" t="str">
        <f t="shared" si="33"/>
        <v>Ø16</v>
      </c>
    </row>
    <row r="449" spans="17:24" x14ac:dyDescent="0.3">
      <c r="Q449" s="3"/>
      <c r="R449" s="3"/>
      <c r="S449" s="3"/>
      <c r="T449" s="21"/>
      <c r="U449" s="3"/>
      <c r="V449" s="3">
        <f t="shared" si="31"/>
        <v>0</v>
      </c>
      <c r="W449" s="3" t="str">
        <f t="shared" si="32"/>
        <v>Ø16</v>
      </c>
      <c r="X449" s="3" t="str">
        <f t="shared" si="33"/>
        <v>Ø16</v>
      </c>
    </row>
    <row r="450" spans="17:24" x14ac:dyDescent="0.3">
      <c r="Q450" s="3"/>
      <c r="R450" s="3"/>
      <c r="S450" s="3"/>
      <c r="T450" s="21"/>
      <c r="U450" s="3"/>
      <c r="V450" s="3">
        <f t="shared" si="31"/>
        <v>0</v>
      </c>
      <c r="W450" s="3" t="str">
        <f t="shared" si="32"/>
        <v>Ø16</v>
      </c>
      <c r="X450" s="3" t="str">
        <f t="shared" si="33"/>
        <v>Ø16</v>
      </c>
    </row>
    <row r="451" spans="17:24" x14ac:dyDescent="0.3">
      <c r="Q451" s="3"/>
      <c r="R451" s="3"/>
      <c r="S451" s="3"/>
      <c r="T451" s="21"/>
      <c r="U451" s="3"/>
      <c r="V451" s="3">
        <f t="shared" si="31"/>
        <v>0</v>
      </c>
      <c r="W451" s="3" t="str">
        <f t="shared" si="32"/>
        <v>Ø16</v>
      </c>
      <c r="X451" s="3" t="str">
        <f t="shared" si="33"/>
        <v>Ø16</v>
      </c>
    </row>
    <row r="452" spans="17:24" x14ac:dyDescent="0.3">
      <c r="Q452" s="3"/>
      <c r="R452" s="3"/>
      <c r="S452" s="3"/>
      <c r="T452" s="21"/>
      <c r="U452" s="3"/>
      <c r="V452" s="3">
        <f t="shared" si="31"/>
        <v>0</v>
      </c>
      <c r="W452" s="3" t="str">
        <f t="shared" si="32"/>
        <v>Ø16</v>
      </c>
      <c r="X452" s="3" t="str">
        <f t="shared" si="33"/>
        <v>Ø16</v>
      </c>
    </row>
    <row r="453" spans="17:24" x14ac:dyDescent="0.3">
      <c r="Q453" s="3"/>
      <c r="R453" s="3"/>
      <c r="S453" s="3"/>
      <c r="T453" s="21"/>
      <c r="U453" s="3"/>
      <c r="V453" s="3">
        <f t="shared" ref="V453:V503" si="34">U453*1.2</f>
        <v>0</v>
      </c>
      <c r="W453" s="3" t="str">
        <f t="shared" ref="W453:W503" si="35">"Ø"&amp;VLOOKUP(V453,$Z$4:$AA$10,2,TRUE)</f>
        <v>Ø16</v>
      </c>
      <c r="X453" s="3" t="str">
        <f t="shared" ref="X453:X503" si="36">"Ø"&amp;VLOOKUP(V453,$AD$4:$AE$10,2,TRUE)</f>
        <v>Ø16</v>
      </c>
    </row>
    <row r="454" spans="17:24" x14ac:dyDescent="0.3">
      <c r="Q454" s="3"/>
      <c r="R454" s="3"/>
      <c r="S454" s="3"/>
      <c r="T454" s="21"/>
      <c r="U454" s="3"/>
      <c r="V454" s="3">
        <f t="shared" si="34"/>
        <v>0</v>
      </c>
      <c r="W454" s="3" t="str">
        <f t="shared" si="35"/>
        <v>Ø16</v>
      </c>
      <c r="X454" s="3" t="str">
        <f t="shared" si="36"/>
        <v>Ø16</v>
      </c>
    </row>
    <row r="455" spans="17:24" x14ac:dyDescent="0.3">
      <c r="Q455" s="3"/>
      <c r="R455" s="3"/>
      <c r="S455" s="3"/>
      <c r="T455" s="21"/>
      <c r="U455" s="3"/>
      <c r="V455" s="3">
        <f t="shared" si="34"/>
        <v>0</v>
      </c>
      <c r="W455" s="3" t="str">
        <f t="shared" si="35"/>
        <v>Ø16</v>
      </c>
      <c r="X455" s="3" t="str">
        <f t="shared" si="36"/>
        <v>Ø16</v>
      </c>
    </row>
    <row r="456" spans="17:24" x14ac:dyDescent="0.3">
      <c r="Q456" s="3"/>
      <c r="R456" s="3"/>
      <c r="S456" s="3"/>
      <c r="T456" s="21"/>
      <c r="U456" s="3"/>
      <c r="V456" s="3">
        <f t="shared" si="34"/>
        <v>0</v>
      </c>
      <c r="W456" s="3" t="str">
        <f t="shared" si="35"/>
        <v>Ø16</v>
      </c>
      <c r="X456" s="3" t="str">
        <f t="shared" si="36"/>
        <v>Ø16</v>
      </c>
    </row>
    <row r="457" spans="17:24" x14ac:dyDescent="0.3">
      <c r="Q457" s="3"/>
      <c r="R457" s="3"/>
      <c r="S457" s="3"/>
      <c r="T457" s="21"/>
      <c r="U457" s="3"/>
      <c r="V457" s="3">
        <f t="shared" si="34"/>
        <v>0</v>
      </c>
      <c r="W457" s="3" t="str">
        <f t="shared" si="35"/>
        <v>Ø16</v>
      </c>
      <c r="X457" s="3" t="str">
        <f t="shared" si="36"/>
        <v>Ø16</v>
      </c>
    </row>
    <row r="458" spans="17:24" x14ac:dyDescent="0.3">
      <c r="Q458" s="3"/>
      <c r="R458" s="3"/>
      <c r="S458" s="3"/>
      <c r="T458" s="21"/>
      <c r="U458" s="3"/>
      <c r="V458" s="3">
        <f t="shared" si="34"/>
        <v>0</v>
      </c>
      <c r="W458" s="3" t="str">
        <f t="shared" si="35"/>
        <v>Ø16</v>
      </c>
      <c r="X458" s="3" t="str">
        <f t="shared" si="36"/>
        <v>Ø16</v>
      </c>
    </row>
    <row r="459" spans="17:24" x14ac:dyDescent="0.3">
      <c r="Q459" s="3"/>
      <c r="R459" s="3"/>
      <c r="S459" s="3"/>
      <c r="T459" s="21"/>
      <c r="U459" s="3"/>
      <c r="V459" s="3">
        <f t="shared" si="34"/>
        <v>0</v>
      </c>
      <c r="W459" s="3" t="str">
        <f t="shared" si="35"/>
        <v>Ø16</v>
      </c>
      <c r="X459" s="3" t="str">
        <f t="shared" si="36"/>
        <v>Ø16</v>
      </c>
    </row>
    <row r="460" spans="17:24" x14ac:dyDescent="0.3">
      <c r="Q460" s="3"/>
      <c r="R460" s="3"/>
      <c r="S460" s="3"/>
      <c r="T460" s="21"/>
      <c r="U460" s="3"/>
      <c r="V460" s="3">
        <f t="shared" si="34"/>
        <v>0</v>
      </c>
      <c r="W460" s="3" t="str">
        <f t="shared" si="35"/>
        <v>Ø16</v>
      </c>
      <c r="X460" s="3" t="str">
        <f t="shared" si="36"/>
        <v>Ø16</v>
      </c>
    </row>
    <row r="461" spans="17:24" x14ac:dyDescent="0.3">
      <c r="Q461" s="3"/>
      <c r="R461" s="3"/>
      <c r="S461" s="3"/>
      <c r="T461" s="21"/>
      <c r="U461" s="3"/>
      <c r="V461" s="3">
        <f t="shared" si="34"/>
        <v>0</v>
      </c>
      <c r="W461" s="3" t="str">
        <f t="shared" si="35"/>
        <v>Ø16</v>
      </c>
      <c r="X461" s="3" t="str">
        <f t="shared" si="36"/>
        <v>Ø16</v>
      </c>
    </row>
    <row r="462" spans="17:24" x14ac:dyDescent="0.3">
      <c r="Q462" s="3"/>
      <c r="R462" s="3"/>
      <c r="S462" s="3"/>
      <c r="T462" s="21"/>
      <c r="U462" s="3"/>
      <c r="V462" s="3">
        <f t="shared" si="34"/>
        <v>0</v>
      </c>
      <c r="W462" s="3" t="str">
        <f t="shared" si="35"/>
        <v>Ø16</v>
      </c>
      <c r="X462" s="3" t="str">
        <f t="shared" si="36"/>
        <v>Ø16</v>
      </c>
    </row>
    <row r="463" spans="17:24" x14ac:dyDescent="0.3">
      <c r="Q463" s="3"/>
      <c r="R463" s="3"/>
      <c r="S463" s="3"/>
      <c r="T463" s="21"/>
      <c r="U463" s="3"/>
      <c r="V463" s="3">
        <f t="shared" si="34"/>
        <v>0</v>
      </c>
      <c r="W463" s="3" t="str">
        <f t="shared" si="35"/>
        <v>Ø16</v>
      </c>
      <c r="X463" s="3" t="str">
        <f t="shared" si="36"/>
        <v>Ø16</v>
      </c>
    </row>
    <row r="464" spans="17:24" x14ac:dyDescent="0.3">
      <c r="Q464" s="3"/>
      <c r="R464" s="3"/>
      <c r="S464" s="3"/>
      <c r="T464" s="21"/>
      <c r="U464" s="3"/>
      <c r="V464" s="3">
        <f t="shared" si="34"/>
        <v>0</v>
      </c>
      <c r="W464" s="3" t="str">
        <f t="shared" si="35"/>
        <v>Ø16</v>
      </c>
      <c r="X464" s="3" t="str">
        <f t="shared" si="36"/>
        <v>Ø16</v>
      </c>
    </row>
    <row r="465" spans="17:24" x14ac:dyDescent="0.3">
      <c r="Q465" s="3"/>
      <c r="R465" s="3"/>
      <c r="S465" s="3"/>
      <c r="T465" s="21"/>
      <c r="U465" s="3"/>
      <c r="V465" s="3">
        <f t="shared" si="34"/>
        <v>0</v>
      </c>
      <c r="W465" s="3" t="str">
        <f t="shared" si="35"/>
        <v>Ø16</v>
      </c>
      <c r="X465" s="3" t="str">
        <f t="shared" si="36"/>
        <v>Ø16</v>
      </c>
    </row>
    <row r="466" spans="17:24" x14ac:dyDescent="0.3">
      <c r="Q466" s="3"/>
      <c r="R466" s="3"/>
      <c r="S466" s="3"/>
      <c r="T466" s="21"/>
      <c r="U466" s="3"/>
      <c r="V466" s="3">
        <f t="shared" si="34"/>
        <v>0</v>
      </c>
      <c r="W466" s="3" t="str">
        <f t="shared" si="35"/>
        <v>Ø16</v>
      </c>
      <c r="X466" s="3" t="str">
        <f t="shared" si="36"/>
        <v>Ø16</v>
      </c>
    </row>
    <row r="467" spans="17:24" x14ac:dyDescent="0.3">
      <c r="Q467" s="3"/>
      <c r="R467" s="3"/>
      <c r="S467" s="3"/>
      <c r="T467" s="21"/>
      <c r="U467" s="3"/>
      <c r="V467" s="3">
        <f t="shared" si="34"/>
        <v>0</v>
      </c>
      <c r="W467" s="3" t="str">
        <f t="shared" si="35"/>
        <v>Ø16</v>
      </c>
      <c r="X467" s="3" t="str">
        <f t="shared" si="36"/>
        <v>Ø16</v>
      </c>
    </row>
    <row r="468" spans="17:24" x14ac:dyDescent="0.3">
      <c r="Q468" s="3"/>
      <c r="R468" s="3"/>
      <c r="S468" s="3"/>
      <c r="T468" s="21"/>
      <c r="U468" s="3"/>
      <c r="V468" s="3">
        <f t="shared" si="34"/>
        <v>0</v>
      </c>
      <c r="W468" s="3" t="str">
        <f t="shared" si="35"/>
        <v>Ø16</v>
      </c>
      <c r="X468" s="3" t="str">
        <f t="shared" si="36"/>
        <v>Ø16</v>
      </c>
    </row>
    <row r="469" spans="17:24" x14ac:dyDescent="0.3">
      <c r="Q469" s="3"/>
      <c r="R469" s="3"/>
      <c r="S469" s="3"/>
      <c r="T469" s="21"/>
      <c r="U469" s="3"/>
      <c r="V469" s="3">
        <f t="shared" si="34"/>
        <v>0</v>
      </c>
      <c r="W469" s="3" t="str">
        <f t="shared" si="35"/>
        <v>Ø16</v>
      </c>
      <c r="X469" s="3" t="str">
        <f t="shared" si="36"/>
        <v>Ø16</v>
      </c>
    </row>
    <row r="470" spans="17:24" x14ac:dyDescent="0.3">
      <c r="Q470" s="3"/>
      <c r="R470" s="3"/>
      <c r="S470" s="3"/>
      <c r="T470" s="21"/>
      <c r="U470" s="3"/>
      <c r="V470" s="3">
        <f t="shared" si="34"/>
        <v>0</v>
      </c>
      <c r="W470" s="3" t="str">
        <f t="shared" si="35"/>
        <v>Ø16</v>
      </c>
      <c r="X470" s="3" t="str">
        <f t="shared" si="36"/>
        <v>Ø16</v>
      </c>
    </row>
    <row r="471" spans="17:24" x14ac:dyDescent="0.3">
      <c r="Q471" s="3"/>
      <c r="R471" s="3"/>
      <c r="S471" s="3"/>
      <c r="T471" s="21"/>
      <c r="U471" s="3"/>
      <c r="V471" s="3">
        <f t="shared" si="34"/>
        <v>0</v>
      </c>
      <c r="W471" s="3" t="str">
        <f t="shared" si="35"/>
        <v>Ø16</v>
      </c>
      <c r="X471" s="3" t="str">
        <f t="shared" si="36"/>
        <v>Ø16</v>
      </c>
    </row>
    <row r="472" spans="17:24" x14ac:dyDescent="0.3">
      <c r="Q472" s="3"/>
      <c r="R472" s="3"/>
      <c r="S472" s="3"/>
      <c r="T472" s="21"/>
      <c r="U472" s="3"/>
      <c r="V472" s="3">
        <f t="shared" si="34"/>
        <v>0</v>
      </c>
      <c r="W472" s="3" t="str">
        <f t="shared" si="35"/>
        <v>Ø16</v>
      </c>
      <c r="X472" s="3" t="str">
        <f t="shared" si="36"/>
        <v>Ø16</v>
      </c>
    </row>
    <row r="473" spans="17:24" x14ac:dyDescent="0.3">
      <c r="Q473" s="3"/>
      <c r="R473" s="3"/>
      <c r="S473" s="3"/>
      <c r="T473" s="21"/>
      <c r="U473" s="3"/>
      <c r="V473" s="3">
        <f t="shared" si="34"/>
        <v>0</v>
      </c>
      <c r="W473" s="3" t="str">
        <f t="shared" si="35"/>
        <v>Ø16</v>
      </c>
      <c r="X473" s="3" t="str">
        <f t="shared" si="36"/>
        <v>Ø16</v>
      </c>
    </row>
    <row r="474" spans="17:24" x14ac:dyDescent="0.3">
      <c r="Q474" s="3"/>
      <c r="R474" s="3"/>
      <c r="S474" s="3"/>
      <c r="T474" s="21"/>
      <c r="U474" s="3"/>
      <c r="V474" s="3">
        <f t="shared" si="34"/>
        <v>0</v>
      </c>
      <c r="W474" s="3" t="str">
        <f t="shared" si="35"/>
        <v>Ø16</v>
      </c>
      <c r="X474" s="3" t="str">
        <f t="shared" si="36"/>
        <v>Ø16</v>
      </c>
    </row>
    <row r="475" spans="17:24" x14ac:dyDescent="0.3">
      <c r="Q475" s="3"/>
      <c r="R475" s="3"/>
      <c r="S475" s="3"/>
      <c r="T475" s="21"/>
      <c r="U475" s="3"/>
      <c r="V475" s="3">
        <f t="shared" si="34"/>
        <v>0</v>
      </c>
      <c r="W475" s="3" t="str">
        <f t="shared" si="35"/>
        <v>Ø16</v>
      </c>
      <c r="X475" s="3" t="str">
        <f t="shared" si="36"/>
        <v>Ø16</v>
      </c>
    </row>
    <row r="476" spans="17:24" x14ac:dyDescent="0.3">
      <c r="Q476" s="3"/>
      <c r="R476" s="3"/>
      <c r="S476" s="3"/>
      <c r="T476" s="21"/>
      <c r="U476" s="3"/>
      <c r="V476" s="3">
        <f t="shared" si="34"/>
        <v>0</v>
      </c>
      <c r="W476" s="3" t="str">
        <f t="shared" si="35"/>
        <v>Ø16</v>
      </c>
      <c r="X476" s="3" t="str">
        <f t="shared" si="36"/>
        <v>Ø16</v>
      </c>
    </row>
    <row r="477" spans="17:24" x14ac:dyDescent="0.3">
      <c r="Q477" s="3"/>
      <c r="R477" s="3"/>
      <c r="S477" s="3"/>
      <c r="T477" s="21"/>
      <c r="U477" s="3"/>
      <c r="V477" s="3">
        <f t="shared" si="34"/>
        <v>0</v>
      </c>
      <c r="W477" s="3" t="str">
        <f t="shared" si="35"/>
        <v>Ø16</v>
      </c>
      <c r="X477" s="3" t="str">
        <f t="shared" si="36"/>
        <v>Ø16</v>
      </c>
    </row>
    <row r="478" spans="17:24" x14ac:dyDescent="0.3">
      <c r="Q478" s="3"/>
      <c r="R478" s="3"/>
      <c r="S478" s="3"/>
      <c r="T478" s="21"/>
      <c r="U478" s="3"/>
      <c r="V478" s="3">
        <f t="shared" si="34"/>
        <v>0</v>
      </c>
      <c r="W478" s="3" t="str">
        <f t="shared" si="35"/>
        <v>Ø16</v>
      </c>
      <c r="X478" s="3" t="str">
        <f t="shared" si="36"/>
        <v>Ø16</v>
      </c>
    </row>
    <row r="479" spans="17:24" x14ac:dyDescent="0.3">
      <c r="Q479" s="3"/>
      <c r="R479" s="3"/>
      <c r="S479" s="3"/>
      <c r="T479" s="21"/>
      <c r="U479" s="3"/>
      <c r="V479" s="3">
        <f t="shared" si="34"/>
        <v>0</v>
      </c>
      <c r="W479" s="3" t="str">
        <f t="shared" si="35"/>
        <v>Ø16</v>
      </c>
      <c r="X479" s="3" t="str">
        <f t="shared" si="36"/>
        <v>Ø16</v>
      </c>
    </row>
    <row r="480" spans="17:24" x14ac:dyDescent="0.3">
      <c r="Q480" s="3"/>
      <c r="R480" s="3"/>
      <c r="S480" s="3"/>
      <c r="T480" s="21"/>
      <c r="U480" s="3"/>
      <c r="V480" s="3">
        <f t="shared" si="34"/>
        <v>0</v>
      </c>
      <c r="W480" s="3" t="str">
        <f t="shared" si="35"/>
        <v>Ø16</v>
      </c>
      <c r="X480" s="3" t="str">
        <f t="shared" si="36"/>
        <v>Ø16</v>
      </c>
    </row>
    <row r="481" spans="17:24" x14ac:dyDescent="0.3">
      <c r="Q481" s="3"/>
      <c r="R481" s="3"/>
      <c r="S481" s="3"/>
      <c r="T481" s="21"/>
      <c r="U481" s="3"/>
      <c r="V481" s="3">
        <f t="shared" si="34"/>
        <v>0</v>
      </c>
      <c r="W481" s="3" t="str">
        <f t="shared" si="35"/>
        <v>Ø16</v>
      </c>
      <c r="X481" s="3" t="str">
        <f t="shared" si="36"/>
        <v>Ø16</v>
      </c>
    </row>
    <row r="482" spans="17:24" x14ac:dyDescent="0.3">
      <c r="Q482" s="3"/>
      <c r="R482" s="3"/>
      <c r="S482" s="3"/>
      <c r="T482" s="21"/>
      <c r="U482" s="3"/>
      <c r="V482" s="3">
        <f t="shared" si="34"/>
        <v>0</v>
      </c>
      <c r="W482" s="3" t="str">
        <f t="shared" si="35"/>
        <v>Ø16</v>
      </c>
      <c r="X482" s="3" t="str">
        <f t="shared" si="36"/>
        <v>Ø16</v>
      </c>
    </row>
    <row r="483" spans="17:24" x14ac:dyDescent="0.3">
      <c r="Q483" s="3"/>
      <c r="R483" s="3"/>
      <c r="S483" s="3"/>
      <c r="T483" s="21"/>
      <c r="U483" s="3"/>
      <c r="V483" s="3">
        <f t="shared" si="34"/>
        <v>0</v>
      </c>
      <c r="W483" s="3" t="str">
        <f t="shared" si="35"/>
        <v>Ø16</v>
      </c>
      <c r="X483" s="3" t="str">
        <f t="shared" si="36"/>
        <v>Ø16</v>
      </c>
    </row>
    <row r="484" spans="17:24" x14ac:dyDescent="0.3">
      <c r="Q484" s="3"/>
      <c r="R484" s="3"/>
      <c r="S484" s="3"/>
      <c r="T484" s="21"/>
      <c r="U484" s="3"/>
      <c r="V484" s="3">
        <f t="shared" si="34"/>
        <v>0</v>
      </c>
      <c r="W484" s="3" t="str">
        <f t="shared" si="35"/>
        <v>Ø16</v>
      </c>
      <c r="X484" s="3" t="str">
        <f t="shared" si="36"/>
        <v>Ø16</v>
      </c>
    </row>
    <row r="485" spans="17:24" x14ac:dyDescent="0.3">
      <c r="Q485" s="3"/>
      <c r="R485" s="3"/>
      <c r="S485" s="3"/>
      <c r="T485" s="21"/>
      <c r="U485" s="3"/>
      <c r="V485" s="3">
        <f t="shared" si="34"/>
        <v>0</v>
      </c>
      <c r="W485" s="3" t="str">
        <f t="shared" si="35"/>
        <v>Ø16</v>
      </c>
      <c r="X485" s="3" t="str">
        <f t="shared" si="36"/>
        <v>Ø16</v>
      </c>
    </row>
    <row r="486" spans="17:24" x14ac:dyDescent="0.3">
      <c r="Q486" s="3"/>
      <c r="R486" s="3"/>
      <c r="S486" s="3"/>
      <c r="T486" s="21"/>
      <c r="U486" s="3"/>
      <c r="V486" s="3">
        <f t="shared" si="34"/>
        <v>0</v>
      </c>
      <c r="W486" s="3" t="str">
        <f t="shared" si="35"/>
        <v>Ø16</v>
      </c>
      <c r="X486" s="3" t="str">
        <f t="shared" si="36"/>
        <v>Ø16</v>
      </c>
    </row>
    <row r="487" spans="17:24" x14ac:dyDescent="0.3">
      <c r="Q487" s="3"/>
      <c r="R487" s="3"/>
      <c r="S487" s="3"/>
      <c r="T487" s="21"/>
      <c r="U487" s="3"/>
      <c r="V487" s="3">
        <f t="shared" si="34"/>
        <v>0</v>
      </c>
      <c r="W487" s="3" t="str">
        <f t="shared" si="35"/>
        <v>Ø16</v>
      </c>
      <c r="X487" s="3" t="str">
        <f t="shared" si="36"/>
        <v>Ø16</v>
      </c>
    </row>
    <row r="488" spans="17:24" x14ac:dyDescent="0.3">
      <c r="Q488" s="3"/>
      <c r="R488" s="3"/>
      <c r="S488" s="3"/>
      <c r="T488" s="21"/>
      <c r="U488" s="3"/>
      <c r="V488" s="3">
        <f t="shared" si="34"/>
        <v>0</v>
      </c>
      <c r="W488" s="3" t="str">
        <f t="shared" si="35"/>
        <v>Ø16</v>
      </c>
      <c r="X488" s="3" t="str">
        <f t="shared" si="36"/>
        <v>Ø16</v>
      </c>
    </row>
    <row r="489" spans="17:24" x14ac:dyDescent="0.3">
      <c r="Q489" s="3"/>
      <c r="R489" s="3"/>
      <c r="S489" s="3"/>
      <c r="T489" s="21"/>
      <c r="U489" s="3"/>
      <c r="V489" s="3">
        <f t="shared" si="34"/>
        <v>0</v>
      </c>
      <c r="W489" s="3" t="str">
        <f t="shared" si="35"/>
        <v>Ø16</v>
      </c>
      <c r="X489" s="3" t="str">
        <f t="shared" si="36"/>
        <v>Ø16</v>
      </c>
    </row>
    <row r="490" spans="17:24" x14ac:dyDescent="0.3">
      <c r="Q490" s="3"/>
      <c r="R490" s="3"/>
      <c r="S490" s="3"/>
      <c r="T490" s="21"/>
      <c r="U490" s="3"/>
      <c r="V490" s="3">
        <f t="shared" si="34"/>
        <v>0</v>
      </c>
      <c r="W490" s="3" t="str">
        <f t="shared" si="35"/>
        <v>Ø16</v>
      </c>
      <c r="X490" s="3" t="str">
        <f t="shared" si="36"/>
        <v>Ø16</v>
      </c>
    </row>
    <row r="491" spans="17:24" x14ac:dyDescent="0.3">
      <c r="Q491" s="3"/>
      <c r="R491" s="3"/>
      <c r="S491" s="3"/>
      <c r="T491" s="21"/>
      <c r="U491" s="3"/>
      <c r="V491" s="3">
        <f t="shared" si="34"/>
        <v>0</v>
      </c>
      <c r="W491" s="3" t="str">
        <f t="shared" si="35"/>
        <v>Ø16</v>
      </c>
      <c r="X491" s="3" t="str">
        <f t="shared" si="36"/>
        <v>Ø16</v>
      </c>
    </row>
    <row r="492" spans="17:24" x14ac:dyDescent="0.3">
      <c r="Q492" s="3"/>
      <c r="R492" s="3"/>
      <c r="S492" s="3"/>
      <c r="T492" s="21"/>
      <c r="U492" s="3"/>
      <c r="V492" s="3">
        <f t="shared" si="34"/>
        <v>0</v>
      </c>
      <c r="W492" s="3" t="str">
        <f t="shared" si="35"/>
        <v>Ø16</v>
      </c>
      <c r="X492" s="3" t="str">
        <f t="shared" si="36"/>
        <v>Ø16</v>
      </c>
    </row>
    <row r="493" spans="17:24" x14ac:dyDescent="0.3">
      <c r="Q493" s="3"/>
      <c r="R493" s="3"/>
      <c r="S493" s="3"/>
      <c r="T493" s="21"/>
      <c r="U493" s="3"/>
      <c r="V493" s="3">
        <f t="shared" si="34"/>
        <v>0</v>
      </c>
      <c r="W493" s="3" t="str">
        <f t="shared" si="35"/>
        <v>Ø16</v>
      </c>
      <c r="X493" s="3" t="str">
        <f t="shared" si="36"/>
        <v>Ø16</v>
      </c>
    </row>
    <row r="494" spans="17:24" x14ac:dyDescent="0.3">
      <c r="Q494" s="3"/>
      <c r="R494" s="3"/>
      <c r="S494" s="3"/>
      <c r="T494" s="21"/>
      <c r="U494" s="3"/>
      <c r="V494" s="3">
        <f t="shared" si="34"/>
        <v>0</v>
      </c>
      <c r="W494" s="3" t="str">
        <f t="shared" si="35"/>
        <v>Ø16</v>
      </c>
      <c r="X494" s="3" t="str">
        <f t="shared" si="36"/>
        <v>Ø16</v>
      </c>
    </row>
    <row r="495" spans="17:24" x14ac:dyDescent="0.3">
      <c r="Q495" s="3"/>
      <c r="R495" s="3"/>
      <c r="S495" s="3"/>
      <c r="T495" s="21"/>
      <c r="U495" s="3"/>
      <c r="V495" s="3">
        <f t="shared" si="34"/>
        <v>0</v>
      </c>
      <c r="W495" s="3" t="str">
        <f t="shared" si="35"/>
        <v>Ø16</v>
      </c>
      <c r="X495" s="3" t="str">
        <f t="shared" si="36"/>
        <v>Ø16</v>
      </c>
    </row>
    <row r="496" spans="17:24" x14ac:dyDescent="0.3">
      <c r="Q496" s="3"/>
      <c r="R496" s="3"/>
      <c r="S496" s="3"/>
      <c r="T496" s="21"/>
      <c r="U496" s="3"/>
      <c r="V496" s="3">
        <f t="shared" si="34"/>
        <v>0</v>
      </c>
      <c r="W496" s="3" t="str">
        <f t="shared" si="35"/>
        <v>Ø16</v>
      </c>
      <c r="X496" s="3" t="str">
        <f t="shared" si="36"/>
        <v>Ø16</v>
      </c>
    </row>
    <row r="497" spans="17:24" x14ac:dyDescent="0.3">
      <c r="Q497" s="3"/>
      <c r="R497" s="3"/>
      <c r="S497" s="3"/>
      <c r="T497" s="21"/>
      <c r="U497" s="3"/>
      <c r="V497" s="3">
        <f t="shared" si="34"/>
        <v>0</v>
      </c>
      <c r="W497" s="3" t="str">
        <f t="shared" si="35"/>
        <v>Ø16</v>
      </c>
      <c r="X497" s="3" t="str">
        <f t="shared" si="36"/>
        <v>Ø16</v>
      </c>
    </row>
    <row r="498" spans="17:24" x14ac:dyDescent="0.3">
      <c r="Q498" s="3"/>
      <c r="R498" s="3"/>
      <c r="S498" s="3"/>
      <c r="T498" s="21"/>
      <c r="U498" s="3"/>
      <c r="V498" s="3">
        <f t="shared" si="34"/>
        <v>0</v>
      </c>
      <c r="W498" s="3" t="str">
        <f t="shared" si="35"/>
        <v>Ø16</v>
      </c>
      <c r="X498" s="3" t="str">
        <f t="shared" si="36"/>
        <v>Ø16</v>
      </c>
    </row>
    <row r="499" spans="17:24" x14ac:dyDescent="0.3">
      <c r="Q499" s="3"/>
      <c r="R499" s="3"/>
      <c r="S499" s="3"/>
      <c r="T499" s="21"/>
      <c r="U499" s="3"/>
      <c r="V499" s="3">
        <f t="shared" si="34"/>
        <v>0</v>
      </c>
      <c r="W499" s="3" t="str">
        <f t="shared" si="35"/>
        <v>Ø16</v>
      </c>
      <c r="X499" s="3" t="str">
        <f t="shared" si="36"/>
        <v>Ø16</v>
      </c>
    </row>
    <row r="500" spans="17:24" x14ac:dyDescent="0.3">
      <c r="Q500" s="3"/>
      <c r="R500" s="3"/>
      <c r="S500" s="3"/>
      <c r="T500" s="21"/>
      <c r="U500" s="3"/>
      <c r="V500" s="3">
        <f t="shared" si="34"/>
        <v>0</v>
      </c>
      <c r="W500" s="3" t="str">
        <f t="shared" si="35"/>
        <v>Ø16</v>
      </c>
      <c r="X500" s="3" t="str">
        <f t="shared" si="36"/>
        <v>Ø16</v>
      </c>
    </row>
    <row r="501" spans="17:24" x14ac:dyDescent="0.3">
      <c r="Q501" s="3"/>
      <c r="R501" s="3"/>
      <c r="S501" s="3"/>
      <c r="T501" s="21"/>
      <c r="U501" s="3"/>
      <c r="V501" s="3">
        <f t="shared" si="34"/>
        <v>0</v>
      </c>
      <c r="W501" s="3" t="str">
        <f t="shared" si="35"/>
        <v>Ø16</v>
      </c>
      <c r="X501" s="3" t="str">
        <f t="shared" si="36"/>
        <v>Ø16</v>
      </c>
    </row>
    <row r="502" spans="17:24" x14ac:dyDescent="0.3">
      <c r="Q502" s="3"/>
      <c r="R502" s="3"/>
      <c r="S502" s="3"/>
      <c r="T502" s="21"/>
      <c r="U502" s="3"/>
      <c r="V502" s="3">
        <f t="shared" si="34"/>
        <v>0</v>
      </c>
      <c r="W502" s="3" t="str">
        <f t="shared" si="35"/>
        <v>Ø16</v>
      </c>
      <c r="X502" s="3" t="str">
        <f t="shared" si="36"/>
        <v>Ø16</v>
      </c>
    </row>
    <row r="503" spans="17:24" x14ac:dyDescent="0.3">
      <c r="Q503" s="3"/>
      <c r="R503" s="3"/>
      <c r="S503" s="3"/>
      <c r="T503" s="21"/>
      <c r="U503" s="3"/>
      <c r="V503" s="3">
        <f t="shared" si="34"/>
        <v>0</v>
      </c>
      <c r="W503" s="3" t="str">
        <f t="shared" si="35"/>
        <v>Ø16</v>
      </c>
      <c r="X503" s="3" t="str">
        <f t="shared" si="36"/>
        <v>Ø16</v>
      </c>
    </row>
  </sheetData>
  <sortState xmlns:xlrd2="http://schemas.microsoft.com/office/spreadsheetml/2017/richdata2" ref="B4:K38">
    <sortCondition ref="K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19</vt:i4>
      </vt:variant>
      <vt:variant>
        <vt:lpstr>Именованные диапазоны</vt:lpstr>
      </vt:variant>
      <vt:variant>
        <vt:i4>54</vt:i4>
      </vt:variant>
    </vt:vector>
  </HeadingPairs>
  <TitlesOfParts>
    <vt:vector size="73" baseType="lpstr">
      <vt:lpstr>Гайд</vt:lpstr>
      <vt:lpstr>Проверка</vt:lpstr>
      <vt:lpstr>Объект</vt:lpstr>
      <vt:lpstr>Коды</vt:lpstr>
      <vt:lpstr>Щиты</vt:lpstr>
      <vt:lpstr>Итоги_щитов</vt:lpstr>
      <vt:lpstr>Шины</vt:lpstr>
      <vt:lpstr>Линии</vt:lpstr>
      <vt:lpstr>Режимы</vt:lpstr>
      <vt:lpstr>Расчёт_нагрузок</vt:lpstr>
      <vt:lpstr>Кабельный_журнал</vt:lpstr>
      <vt:lpstr>Однолинейка</vt:lpstr>
      <vt:lpstr>Каталог</vt:lpstr>
      <vt:lpstr>Спецификация</vt:lpstr>
      <vt:lpstr>Спецификация_авто</vt:lpstr>
      <vt:lpstr>Бирки</vt:lpstr>
      <vt:lpstr>Методика</vt:lpstr>
      <vt:lpstr>Таблицы_норм</vt:lpstr>
      <vt:lpstr>Справочная_потребители</vt:lpstr>
      <vt:lpstr>c_min</vt:lpstr>
      <vt:lpstr>dU_пит</vt:lpstr>
      <vt:lpstr>Iдоп_1ж</vt:lpstr>
      <vt:lpstr>Iдоп_2ж</vt:lpstr>
      <vt:lpstr>Iдоп_3ж</vt:lpstr>
      <vt:lpstr>Iдоп_S</vt:lpstr>
      <vt:lpstr>k_пк</vt:lpstr>
      <vt:lpstr>R_пер</vt:lpstr>
      <vt:lpstr>Uн_лин</vt:lpstr>
      <vt:lpstr>ρкз_Al</vt:lpstr>
      <vt:lpstr>ρкз_Cu</vt:lpstr>
      <vt:lpstr>Автомат_номиналы</vt:lpstr>
      <vt:lpstr>гофра_пвх</vt:lpstr>
      <vt:lpstr>гофра_пнд</vt:lpstr>
      <vt:lpstr>Запас_кабеля</vt:lpstr>
      <vt:lpstr>ИБП_cos_вх</vt:lpstr>
      <vt:lpstr>ИБП_cos_вых</vt:lpstr>
      <vt:lpstr>ИБП_k</vt:lpstr>
      <vt:lpstr>ИБП_t</vt:lpstr>
      <vt:lpstr>ИБП_U</vt:lpstr>
      <vt:lpstr>ИБП_загрузка</vt:lpstr>
      <vt:lpstr>ИБП_заряд</vt:lpstr>
      <vt:lpstr>ИБП_КПД</vt:lpstr>
      <vt:lpstr>ИБП_ряд</vt:lpstr>
      <vt:lpstr>К_прокл</vt:lpstr>
      <vt:lpstr>Кабель_диаметр</vt:lpstr>
      <vt:lpstr>Кабель_номиналы</vt:lpstr>
      <vt:lpstr>Кабель_обозначение</vt:lpstr>
      <vt:lpstr>Кабель_сопротивление</vt:lpstr>
      <vt:lpstr>Категории_ПЗ</vt:lpstr>
      <vt:lpstr>Ко_сил</vt:lpstr>
      <vt:lpstr>Коды_вид</vt:lpstr>
      <vt:lpstr>Коды_группа</vt:lpstr>
      <vt:lpstr>Коды_код</vt:lpstr>
      <vt:lpstr>Коды_пожарная</vt:lpstr>
      <vt:lpstr>Кс_К</vt:lpstr>
      <vt:lpstr>Кс_Р</vt:lpstr>
      <vt:lpstr>Кс75_k</vt:lpstr>
      <vt:lpstr>Кс75_n</vt:lpstr>
      <vt:lpstr>Методика</vt:lpstr>
      <vt:lpstr>Мин_автомат_БП</vt:lpstr>
      <vt:lpstr>Модули_спр</vt:lpstr>
      <vt:lpstr>Потребители_обозначение</vt:lpstr>
      <vt:lpstr>Спецификация</vt:lpstr>
      <vt:lpstr>Список_щитов</vt:lpstr>
      <vt:lpstr>Справочная_двигатели</vt:lpstr>
      <vt:lpstr>Справочная_ЛЭД</vt:lpstr>
      <vt:lpstr>Справочная_ПТО</vt:lpstr>
      <vt:lpstr>Столбцов_на_лист</vt:lpstr>
      <vt:lpstr>УГО_блоки</vt:lpstr>
      <vt:lpstr>УГО_спр</vt:lpstr>
      <vt:lpstr>Управление_цвета</vt:lpstr>
      <vt:lpstr>Щит_спец</vt:lpstr>
      <vt:lpstr>Этаж_обозначение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Une-com</dc:creator>
  <cp:lastModifiedBy>marat</cp:lastModifiedBy>
  <dcterms:created xsi:type="dcterms:W3CDTF">2015-06-05T18:19:34Z</dcterms:created>
  <dcterms:modified xsi:type="dcterms:W3CDTF">2026-10-04T08:32:08Z</dcterms:modified>
</cp:coreProperties>
</file>