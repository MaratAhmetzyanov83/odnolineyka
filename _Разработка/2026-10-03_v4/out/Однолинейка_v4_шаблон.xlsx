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SX_Однолинейка\odnolineyka\_Разработка\2026-10-03_v4\out\"/>
    </mc:Choice>
  </mc:AlternateContent>
  <xr:revisionPtr revIDLastSave="0" documentId="13_ncr:1_{E297FE2B-6338-4958-8CC0-8FDEA8DF3A36}" xr6:coauthVersionLast="47" xr6:coauthVersionMax="47" xr10:uidLastSave="{00000000-0000-0000-0000-000000000000}"/>
  <bookViews>
    <workbookView xWindow="-108" yWindow="-108" windowWidth="23256" windowHeight="13896" xr2:uid="{6F064ABD-BBF2-4C61-AEC3-7F7A262BA80C}"/>
  </bookViews>
  <sheets>
    <sheet name="Гайд" sheetId="61" r:id="rId1"/>
    <sheet name="Проверка" sheetId="60" r:id="rId2"/>
    <sheet name="Объект" sheetId="51" r:id="rId3"/>
    <sheet name="Коды" sheetId="52" r:id="rId4"/>
    <sheet name="Щиты" sheetId="53" r:id="rId5"/>
    <sheet name="Итоги_щитов" sheetId="59" r:id="rId6"/>
    <sheet name="Шины" sheetId="55" r:id="rId7"/>
    <sheet name="Линии" sheetId="54" r:id="rId8"/>
    <sheet name="Режимы" sheetId="56" r:id="rId9"/>
    <sheet name="Расчёт_нагрузок" sheetId="57" r:id="rId10"/>
    <sheet name="Кабельный_журнал" sheetId="58" r:id="rId11"/>
    <sheet name="Однолинейка" sheetId="40" r:id="rId12"/>
    <sheet name="Каталог" sheetId="42" r:id="rId13"/>
    <sheet name="Спецификация" sheetId="44" r:id="rId14"/>
    <sheet name="Спецификация_авто" sheetId="16" r:id="rId15"/>
    <sheet name="Бирки" sheetId="43" r:id="rId16"/>
    <sheet name="Методика" sheetId="62" r:id="rId17"/>
    <sheet name="Таблицы_норм" sheetId="10" r:id="rId18"/>
    <sheet name="Справочная_потребители" sheetId="19" state="hidden" r:id="rId19"/>
  </sheets>
  <definedNames>
    <definedName name="_xlnm._FilterDatabase" localSheetId="12" hidden="1">Каталог!$A$3:$P$500</definedName>
    <definedName name="_xlnm._FilterDatabase" localSheetId="11" hidden="1">Однолинейка!$A$2:$AD$1000</definedName>
    <definedName name="c_min">Объект!$C$7</definedName>
    <definedName name="dU_пит">Таблицы_норм!$BQ$31</definedName>
    <definedName name="Iдоп_1ж">Таблицы_норм!$BY$4:$BY$18</definedName>
    <definedName name="Iдоп_2ж">Таблицы_норм!$BZ$4:$BZ$17</definedName>
    <definedName name="Iдоп_3ж">Таблицы_норм!$CA$4:$CA$17</definedName>
    <definedName name="Iдоп_S">Таблицы_норм!$BX$4:$BX$18</definedName>
    <definedName name="k_пк">Объект!$C$9</definedName>
    <definedName name="R_пер">Объект!$C$6</definedName>
    <definedName name="Uн_лин">Таблицы_норм!$BQ$29</definedName>
    <definedName name="ρкз_Al">Объект!$C$5</definedName>
    <definedName name="ρкз_Cu">Объект!$C$4</definedName>
    <definedName name="Автомат_номиналы">Таблицы_норм!$F$4:$G$23</definedName>
    <definedName name="гофра_пвх">Справочная_потребители!$Z$4:$AB$9</definedName>
    <definedName name="гофра_пнд">Справочная_потребители!$AD$4:$AF$9</definedName>
    <definedName name="Запас_кабеля">Кабельный_журнал!$P$2</definedName>
    <definedName name="ИБП_cos_вх">Объект!$C$22</definedName>
    <definedName name="ИБП_cos_вых">Объект!$C$16</definedName>
    <definedName name="ИБП_k">Объект!$C$20</definedName>
    <definedName name="ИБП_t">Объект!$C$17</definedName>
    <definedName name="ИБП_U">Объект!$C$18</definedName>
    <definedName name="ИБП_загрузка">Объект!$C$15</definedName>
    <definedName name="ИБП_заряд">Объект!$C$21</definedName>
    <definedName name="ИБП_КПД">Объект!$C$19</definedName>
    <definedName name="ИБП_ряд">Объект!$C$24:$N$24</definedName>
    <definedName name="К_прокл">Таблицы_норм!$BQ$30</definedName>
    <definedName name="Кабель_диаметр">Справочная_потребители!$T$4:$X$503</definedName>
    <definedName name="Кабель_номиналы">Таблицы_норм!$I$4:$J$19</definedName>
    <definedName name="Кабель_обозначение">Кабели[]</definedName>
    <definedName name="Кабель_сопротивление">Таблицы_норм!$B$4:$D$19</definedName>
    <definedName name="Категории_ПЗ">Таблицы_норм!$BT$4:$BT$33</definedName>
    <definedName name="Ко_сил">Таблицы_норм!$BQ$14</definedName>
    <definedName name="Коды_вид">Коды[Вид нагрузки]</definedName>
    <definedName name="Коды_группа">Коды[Группа Кс]</definedName>
    <definedName name="Коды_код">Коды[Код]</definedName>
    <definedName name="Коды_пожарная">Коды[Пожарная]</definedName>
    <definedName name="Кс_К">Таблицы_норм!$BQ$4:$BQ$11</definedName>
    <definedName name="Кс_Р">Таблицы_норм!$BP$4:$BP$11</definedName>
    <definedName name="Кс75_k">Объект!$G$3:$G$14</definedName>
    <definedName name="Кс75_n">Объект!$F$3:$F$14</definedName>
    <definedName name="Методика">Объект!$C$8</definedName>
    <definedName name="Мин_автомат_БП">Таблицы_норм!$BF$5</definedName>
    <definedName name="Модели_список">OFFSET(Каталог!$AB$3,0,0,1+MAX(Каталог!$AA$4:$AA$500),1)</definedName>
    <definedName name="Модули_спр">Каталог!$C$4:$F$500</definedName>
    <definedName name="Потребители_обозначение">Коды[[Код]:[Сечение]]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исок_щитов">Щиты[Щит]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Таблицы_норм!$AJ$4:$AK$200</definedName>
    <definedName name="Столбцов_на_лист">Таблицы_норм!$BF$4</definedName>
    <definedName name="УГО_блоки">Таблицы_норм!$BA$4:$BC$30</definedName>
    <definedName name="УГО_спр">УГО[]</definedName>
    <definedName name="Управление_цвета">Таблицы_норм!$AQ$4:$AS$10</definedName>
    <definedName name="Щит_спец">Спецификация!$L$1</definedName>
    <definedName name="Этаж_обозначение">Этажи[]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42" l="1"/>
  <c r="U5" i="42"/>
  <c r="U6" i="42"/>
  <c r="U7" i="42"/>
  <c r="U8" i="42"/>
  <c r="V8" i="42" s="1"/>
  <c r="U9" i="42"/>
  <c r="U10" i="42"/>
  <c r="U11" i="42"/>
  <c r="U12" i="42"/>
  <c r="V12" i="42" s="1"/>
  <c r="U13" i="42"/>
  <c r="U14" i="42"/>
  <c r="U15" i="42"/>
  <c r="V15" i="42" s="1"/>
  <c r="U16" i="42"/>
  <c r="U17" i="42"/>
  <c r="U18" i="42"/>
  <c r="V18" i="42" s="1"/>
  <c r="U19" i="42"/>
  <c r="U20" i="42"/>
  <c r="U21" i="42"/>
  <c r="U22" i="42"/>
  <c r="U23" i="42"/>
  <c r="U24" i="42"/>
  <c r="U25" i="42"/>
  <c r="U26" i="42"/>
  <c r="U27" i="42"/>
  <c r="V27" i="42" s="1"/>
  <c r="U28" i="42"/>
  <c r="V28" i="42" s="1"/>
  <c r="U29" i="42"/>
  <c r="V29" i="42" s="1"/>
  <c r="U30" i="42"/>
  <c r="U31" i="42"/>
  <c r="U32" i="42"/>
  <c r="U33" i="42"/>
  <c r="V33" i="42" s="1"/>
  <c r="U34" i="42"/>
  <c r="U35" i="42"/>
  <c r="U36" i="42"/>
  <c r="U37" i="42"/>
  <c r="U38" i="42"/>
  <c r="U39" i="42"/>
  <c r="U40" i="42"/>
  <c r="U41" i="42"/>
  <c r="U42" i="42"/>
  <c r="U43" i="42"/>
  <c r="U44" i="42"/>
  <c r="U45" i="42"/>
  <c r="V45" i="42" s="1"/>
  <c r="U46" i="42"/>
  <c r="V46" i="42" s="1"/>
  <c r="U47" i="42"/>
  <c r="V47" i="42" s="1"/>
  <c r="U48" i="42"/>
  <c r="U49" i="42"/>
  <c r="V49" i="42" s="1"/>
  <c r="U50" i="42"/>
  <c r="V50" i="42" s="1"/>
  <c r="U51" i="42"/>
  <c r="U52" i="42"/>
  <c r="U53" i="42"/>
  <c r="U54" i="42"/>
  <c r="U55" i="42"/>
  <c r="V55" i="42" s="1"/>
  <c r="U56" i="42"/>
  <c r="V56" i="42" s="1"/>
  <c r="U57" i="42"/>
  <c r="U58" i="42"/>
  <c r="U59" i="42"/>
  <c r="V59" i="42" s="1"/>
  <c r="U60" i="42"/>
  <c r="U61" i="42"/>
  <c r="U62" i="42"/>
  <c r="V62" i="42" s="1"/>
  <c r="U63" i="42"/>
  <c r="V63" i="42" s="1"/>
  <c r="U64" i="42"/>
  <c r="U65" i="42"/>
  <c r="U66" i="42"/>
  <c r="U67" i="42"/>
  <c r="U68" i="42"/>
  <c r="U69" i="42"/>
  <c r="U70" i="42"/>
  <c r="U71" i="42"/>
  <c r="V71" i="42" s="1"/>
  <c r="U72" i="42"/>
  <c r="U73" i="42"/>
  <c r="U74" i="42"/>
  <c r="V74" i="42" s="1"/>
  <c r="U75" i="42"/>
  <c r="V75" i="42" s="1"/>
  <c r="U76" i="42"/>
  <c r="U77" i="42"/>
  <c r="U78" i="42"/>
  <c r="V78" i="42" s="1"/>
  <c r="U79" i="42"/>
  <c r="V79" i="42" s="1"/>
  <c r="U80" i="42"/>
  <c r="U81" i="42"/>
  <c r="V81" i="42" s="1"/>
  <c r="U82" i="42"/>
  <c r="U83" i="42"/>
  <c r="U84" i="42"/>
  <c r="U85" i="42"/>
  <c r="U86" i="42"/>
  <c r="U87" i="42"/>
  <c r="V87" i="42" s="1"/>
  <c r="U88" i="42"/>
  <c r="U89" i="42"/>
  <c r="U90" i="42"/>
  <c r="U91" i="42"/>
  <c r="U92" i="42"/>
  <c r="U93" i="42"/>
  <c r="U94" i="42"/>
  <c r="V94" i="42" s="1"/>
  <c r="U95" i="42"/>
  <c r="U96" i="42"/>
  <c r="U97" i="42"/>
  <c r="V97" i="42" s="1"/>
  <c r="U98" i="42"/>
  <c r="U99" i="42"/>
  <c r="U100" i="42"/>
  <c r="U101" i="42"/>
  <c r="U102" i="42"/>
  <c r="U103" i="42"/>
  <c r="U104" i="42"/>
  <c r="V104" i="42" s="1"/>
  <c r="U105" i="42"/>
  <c r="U106" i="42"/>
  <c r="U107" i="42"/>
  <c r="U108" i="42"/>
  <c r="U109" i="42"/>
  <c r="V109" i="42" s="1"/>
  <c r="U110" i="42"/>
  <c r="V110" i="42" s="1"/>
  <c r="U111" i="42"/>
  <c r="U112" i="42"/>
  <c r="U113" i="42"/>
  <c r="V113" i="42" s="1"/>
  <c r="U114" i="42"/>
  <c r="U115" i="42"/>
  <c r="U116" i="42"/>
  <c r="U117" i="42"/>
  <c r="U118" i="42"/>
  <c r="U119" i="42"/>
  <c r="V119" i="42" s="1"/>
  <c r="U120" i="42"/>
  <c r="V120" i="42" s="1"/>
  <c r="U121" i="42"/>
  <c r="U122" i="42"/>
  <c r="V122" i="42" s="1"/>
  <c r="U123" i="42"/>
  <c r="V123" i="42" s="1"/>
  <c r="U124" i="42"/>
  <c r="U125" i="42"/>
  <c r="U126" i="42"/>
  <c r="V126" i="42" s="1"/>
  <c r="U127" i="42"/>
  <c r="U128" i="42"/>
  <c r="U129" i="42"/>
  <c r="V129" i="42" s="1"/>
  <c r="U130" i="42"/>
  <c r="U131" i="42"/>
  <c r="U132" i="42"/>
  <c r="U133" i="42"/>
  <c r="U134" i="42"/>
  <c r="U135" i="42"/>
  <c r="V135" i="42" s="1"/>
  <c r="U136" i="42"/>
  <c r="U137" i="42"/>
  <c r="U138" i="42"/>
  <c r="U139" i="42"/>
  <c r="V139" i="42" s="1"/>
  <c r="U140" i="42"/>
  <c r="U141" i="42"/>
  <c r="V141" i="42" s="1"/>
  <c r="U142" i="42"/>
  <c r="V142" i="42" s="1"/>
  <c r="U143" i="42"/>
  <c r="V143" i="42" s="1"/>
  <c r="U144" i="42"/>
  <c r="U145" i="42"/>
  <c r="U146" i="42"/>
  <c r="V146" i="42" s="1"/>
  <c r="U147" i="42"/>
  <c r="U148" i="42"/>
  <c r="U149" i="42"/>
  <c r="U150" i="42"/>
  <c r="U151" i="42"/>
  <c r="V151" i="42" s="1"/>
  <c r="U152" i="42"/>
  <c r="U153" i="42"/>
  <c r="V153" i="42" s="1"/>
  <c r="U154" i="42"/>
  <c r="U155" i="42"/>
  <c r="V155" i="42" s="1"/>
  <c r="U156" i="42"/>
  <c r="U157" i="42"/>
  <c r="U158" i="42"/>
  <c r="V158" i="42" s="1"/>
  <c r="U159" i="42"/>
  <c r="V159" i="42" s="1"/>
  <c r="U160" i="42"/>
  <c r="U161" i="42"/>
  <c r="V161" i="42" s="1"/>
  <c r="U162" i="42"/>
  <c r="U163" i="42"/>
  <c r="U164" i="42"/>
  <c r="U165" i="42"/>
  <c r="U166" i="42"/>
  <c r="U167" i="42"/>
  <c r="V167" i="42" s="1"/>
  <c r="U168" i="42"/>
  <c r="V168" i="42" s="1"/>
  <c r="U169" i="42"/>
  <c r="U170" i="42"/>
  <c r="V170" i="42" s="1"/>
  <c r="U171" i="42"/>
  <c r="U172" i="42"/>
  <c r="U173" i="42"/>
  <c r="U174" i="42"/>
  <c r="V174" i="42" s="1"/>
  <c r="U175" i="42"/>
  <c r="U176" i="42"/>
  <c r="U177" i="42"/>
  <c r="V177" i="42" s="1"/>
  <c r="U178" i="42"/>
  <c r="U179" i="42"/>
  <c r="U180" i="42"/>
  <c r="U181" i="42"/>
  <c r="U182" i="42"/>
  <c r="U183" i="42"/>
  <c r="V183" i="42" s="1"/>
  <c r="U184" i="42"/>
  <c r="V184" i="42" s="1"/>
  <c r="U185" i="42"/>
  <c r="U186" i="42"/>
  <c r="U187" i="42"/>
  <c r="U188" i="42"/>
  <c r="U189" i="42"/>
  <c r="U190" i="42"/>
  <c r="V190" i="42" s="1"/>
  <c r="U191" i="42"/>
  <c r="U192" i="42"/>
  <c r="V192" i="42" s="1"/>
  <c r="U193" i="42"/>
  <c r="V193" i="42" s="1"/>
  <c r="U194" i="42"/>
  <c r="U195" i="42"/>
  <c r="U196" i="42"/>
  <c r="U197" i="42"/>
  <c r="U198" i="42"/>
  <c r="U199" i="42"/>
  <c r="V199" i="42" s="1"/>
  <c r="U200" i="42"/>
  <c r="U201" i="42"/>
  <c r="U202" i="42"/>
  <c r="U203" i="42"/>
  <c r="V203" i="42" s="1"/>
  <c r="U204" i="42"/>
  <c r="U205" i="42"/>
  <c r="V205" i="42" s="1"/>
  <c r="U206" i="42"/>
  <c r="V206" i="42" s="1"/>
  <c r="U207" i="42"/>
  <c r="V207" i="42" s="1"/>
  <c r="U208" i="42"/>
  <c r="U209" i="42"/>
  <c r="U210" i="42"/>
  <c r="U211" i="42"/>
  <c r="U212" i="42"/>
  <c r="U213" i="42"/>
  <c r="U214" i="42"/>
  <c r="U215" i="42"/>
  <c r="V215" i="42" s="1"/>
  <c r="U216" i="42"/>
  <c r="U217" i="42"/>
  <c r="U218" i="42"/>
  <c r="V218" i="42" s="1"/>
  <c r="U219" i="42"/>
  <c r="V219" i="42" s="1"/>
  <c r="U220" i="42"/>
  <c r="U221" i="42"/>
  <c r="U222" i="42"/>
  <c r="V222" i="42" s="1"/>
  <c r="U223" i="42"/>
  <c r="V223" i="42" s="1"/>
  <c r="U224" i="42"/>
  <c r="V224" i="42" s="1"/>
  <c r="U225" i="42"/>
  <c r="U226" i="42"/>
  <c r="U227" i="42"/>
  <c r="V227" i="42" s="1"/>
  <c r="U228" i="42"/>
  <c r="U229" i="42"/>
  <c r="U230" i="42"/>
  <c r="U231" i="42"/>
  <c r="V231" i="42" s="1"/>
  <c r="U232" i="42"/>
  <c r="V232" i="42" s="1"/>
  <c r="U233" i="42"/>
  <c r="U234" i="42"/>
  <c r="V234" i="42" s="1"/>
  <c r="U235" i="42"/>
  <c r="V235" i="42" s="1"/>
  <c r="U236" i="42"/>
  <c r="U237" i="42"/>
  <c r="U238" i="42"/>
  <c r="V238" i="42" s="1"/>
  <c r="U239" i="42"/>
  <c r="V239" i="42" s="1"/>
  <c r="U240" i="42"/>
  <c r="V240" i="42" s="1"/>
  <c r="U241" i="42"/>
  <c r="U242" i="42"/>
  <c r="U243" i="42"/>
  <c r="U244" i="42"/>
  <c r="U245" i="42"/>
  <c r="U246" i="42"/>
  <c r="U247" i="42"/>
  <c r="V247" i="42" s="1"/>
  <c r="U248" i="42"/>
  <c r="U249" i="42"/>
  <c r="U250" i="42"/>
  <c r="V250" i="42" s="1"/>
  <c r="U251" i="42"/>
  <c r="V251" i="42" s="1"/>
  <c r="U252" i="42"/>
  <c r="U253" i="42"/>
  <c r="U254" i="42"/>
  <c r="V254" i="42" s="1"/>
  <c r="U255" i="42"/>
  <c r="V255" i="42" s="1"/>
  <c r="U256" i="42"/>
  <c r="U257" i="42"/>
  <c r="V257" i="42" s="1"/>
  <c r="U258" i="42"/>
  <c r="U259" i="42"/>
  <c r="U260" i="42"/>
  <c r="U261" i="42"/>
  <c r="U262" i="42"/>
  <c r="U263" i="42"/>
  <c r="U264" i="42"/>
  <c r="V264" i="42" s="1"/>
  <c r="U265" i="42"/>
  <c r="U266" i="42"/>
  <c r="V266" i="42" s="1"/>
  <c r="U267" i="42"/>
  <c r="U268" i="42"/>
  <c r="U269" i="42"/>
  <c r="V269" i="42" s="1"/>
  <c r="U270" i="42"/>
  <c r="V270" i="42" s="1"/>
  <c r="U271" i="42"/>
  <c r="U272" i="42"/>
  <c r="U273" i="42"/>
  <c r="U274" i="42"/>
  <c r="U275" i="42"/>
  <c r="U276" i="42"/>
  <c r="U277" i="42"/>
  <c r="U278" i="42"/>
  <c r="U279" i="42"/>
  <c r="U280" i="42"/>
  <c r="V280" i="42" s="1"/>
  <c r="U281" i="42"/>
  <c r="U282" i="42"/>
  <c r="U283" i="42"/>
  <c r="U284" i="42"/>
  <c r="U285" i="42"/>
  <c r="V285" i="42" s="1"/>
  <c r="U286" i="42"/>
  <c r="V286" i="42" s="1"/>
  <c r="U287" i="42"/>
  <c r="U288" i="42"/>
  <c r="V288" i="42" s="1"/>
  <c r="U289" i="42"/>
  <c r="V289" i="42" s="1"/>
  <c r="U290" i="42"/>
  <c r="U291" i="42"/>
  <c r="U292" i="42"/>
  <c r="U293" i="42"/>
  <c r="U294" i="42"/>
  <c r="U295" i="42"/>
  <c r="V295" i="42" s="1"/>
  <c r="U296" i="42"/>
  <c r="U297" i="42"/>
  <c r="U298" i="42"/>
  <c r="U299" i="42"/>
  <c r="U300" i="42"/>
  <c r="V300" i="42" s="1"/>
  <c r="U301" i="42"/>
  <c r="U302" i="42"/>
  <c r="V302" i="42" s="1"/>
  <c r="U303" i="42"/>
  <c r="U304" i="42"/>
  <c r="U305" i="42"/>
  <c r="U306" i="42"/>
  <c r="U307" i="42"/>
  <c r="U308" i="42"/>
  <c r="V308" i="42" s="1"/>
  <c r="U309" i="42"/>
  <c r="U310" i="42"/>
  <c r="U311" i="42"/>
  <c r="U312" i="42"/>
  <c r="U313" i="42"/>
  <c r="U314" i="42"/>
  <c r="U315" i="42"/>
  <c r="U316" i="42"/>
  <c r="U317" i="42"/>
  <c r="U318" i="42"/>
  <c r="U319" i="42"/>
  <c r="V319" i="42" s="1"/>
  <c r="U320" i="42"/>
  <c r="V320" i="42" s="1"/>
  <c r="U321" i="42"/>
  <c r="U322" i="42"/>
  <c r="U323" i="42"/>
  <c r="U324" i="42"/>
  <c r="V324" i="42" s="1"/>
  <c r="U325" i="42"/>
  <c r="U326" i="42"/>
  <c r="U327" i="42"/>
  <c r="V327" i="42" s="1"/>
  <c r="U328" i="42"/>
  <c r="U329" i="42"/>
  <c r="U330" i="42"/>
  <c r="U331" i="42"/>
  <c r="V331" i="42" s="1"/>
  <c r="U332" i="42"/>
  <c r="V332" i="42" s="1"/>
  <c r="U333" i="42"/>
  <c r="V333" i="42" s="1"/>
  <c r="U334" i="42"/>
  <c r="V334" i="42" s="1"/>
  <c r="U335" i="42"/>
  <c r="U336" i="42"/>
  <c r="V336" i="42" s="1"/>
  <c r="U337" i="42"/>
  <c r="U338" i="42"/>
  <c r="U339" i="42"/>
  <c r="U340" i="42"/>
  <c r="U341" i="42"/>
  <c r="U342" i="42"/>
  <c r="U343" i="42"/>
  <c r="U344" i="42"/>
  <c r="V344" i="42" s="1"/>
  <c r="U345" i="42"/>
  <c r="U346" i="42"/>
  <c r="V346" i="42" s="1"/>
  <c r="U347" i="42"/>
  <c r="V347" i="42" s="1"/>
  <c r="U348" i="42"/>
  <c r="V348" i="42" s="1"/>
  <c r="U349" i="42"/>
  <c r="U350" i="42"/>
  <c r="V350" i="42" s="1"/>
  <c r="U351" i="42"/>
  <c r="V351" i="42" s="1"/>
  <c r="U352" i="42"/>
  <c r="U353" i="42"/>
  <c r="V353" i="42" s="1"/>
  <c r="U354" i="42"/>
  <c r="U355" i="42"/>
  <c r="U356" i="42"/>
  <c r="V356" i="42" s="1"/>
  <c r="U357" i="42"/>
  <c r="U358" i="42"/>
  <c r="U359" i="42"/>
  <c r="U360" i="42"/>
  <c r="V360" i="42" s="1"/>
  <c r="U361" i="42"/>
  <c r="U362" i="42"/>
  <c r="V362" i="42" s="1"/>
  <c r="U363" i="42"/>
  <c r="U364" i="42"/>
  <c r="U365" i="42"/>
  <c r="V365" i="42" s="1"/>
  <c r="U366" i="42"/>
  <c r="V366" i="42" s="1"/>
  <c r="U367" i="42"/>
  <c r="V367" i="42" s="1"/>
  <c r="U368" i="42"/>
  <c r="V368" i="42" s="1"/>
  <c r="U369" i="42"/>
  <c r="U370" i="42"/>
  <c r="U371" i="42"/>
  <c r="U372" i="42"/>
  <c r="V372" i="42" s="1"/>
  <c r="U373" i="42"/>
  <c r="U374" i="42"/>
  <c r="U375" i="42"/>
  <c r="U376" i="42"/>
  <c r="V376" i="42" s="1"/>
  <c r="U377" i="42"/>
  <c r="U378" i="42"/>
  <c r="V378" i="42" s="1"/>
  <c r="U379" i="42"/>
  <c r="U380" i="42"/>
  <c r="U381" i="42"/>
  <c r="U382" i="42"/>
  <c r="V382" i="42" s="1"/>
  <c r="U383" i="42"/>
  <c r="U384" i="42"/>
  <c r="V384" i="42" s="1"/>
  <c r="U385" i="42"/>
  <c r="V385" i="42" s="1"/>
  <c r="U386" i="42"/>
  <c r="V386" i="42" s="1"/>
  <c r="U387" i="42"/>
  <c r="U388" i="42"/>
  <c r="U389" i="42"/>
  <c r="U390" i="42"/>
  <c r="U391" i="42"/>
  <c r="V391" i="42" s="1"/>
  <c r="U392" i="42"/>
  <c r="U393" i="42"/>
  <c r="V393" i="42" s="1"/>
  <c r="U394" i="42"/>
  <c r="U395" i="42"/>
  <c r="U396" i="42"/>
  <c r="V396" i="42" s="1"/>
  <c r="U397" i="42"/>
  <c r="U398" i="42"/>
  <c r="V398" i="42" s="1"/>
  <c r="U399" i="42"/>
  <c r="U400" i="42"/>
  <c r="V400" i="42" s="1"/>
  <c r="U401" i="42"/>
  <c r="V401" i="42" s="1"/>
  <c r="U402" i="42"/>
  <c r="U403" i="42"/>
  <c r="U404" i="42"/>
  <c r="U405" i="42"/>
  <c r="V405" i="42" s="1"/>
  <c r="U406" i="42"/>
  <c r="U407" i="42"/>
  <c r="V407" i="42" s="1"/>
  <c r="U408" i="42"/>
  <c r="V408" i="42" s="1"/>
  <c r="U409" i="42"/>
  <c r="U410" i="42"/>
  <c r="V410" i="42" s="1"/>
  <c r="U411" i="42"/>
  <c r="U412" i="42"/>
  <c r="V412" i="42" s="1"/>
  <c r="U413" i="42"/>
  <c r="U414" i="42"/>
  <c r="V414" i="42" s="1"/>
  <c r="U415" i="42"/>
  <c r="U416" i="42"/>
  <c r="V416" i="42" s="1"/>
  <c r="U417" i="42"/>
  <c r="V417" i="42" s="1"/>
  <c r="U418" i="42"/>
  <c r="U419" i="42"/>
  <c r="U420" i="42"/>
  <c r="U421" i="42"/>
  <c r="U422" i="42"/>
  <c r="U423" i="42"/>
  <c r="V423" i="42" s="1"/>
  <c r="U424" i="42"/>
  <c r="V424" i="42" s="1"/>
  <c r="U425" i="42"/>
  <c r="U426" i="42"/>
  <c r="U427" i="42"/>
  <c r="U428" i="42"/>
  <c r="V428" i="42" s="1"/>
  <c r="U429" i="42"/>
  <c r="V429" i="42" s="1"/>
  <c r="U430" i="42"/>
  <c r="V430" i="42" s="1"/>
  <c r="U431" i="42"/>
  <c r="V431" i="42" s="1"/>
  <c r="U432" i="42"/>
  <c r="V432" i="42" s="1"/>
  <c r="U433" i="42"/>
  <c r="U434" i="42"/>
  <c r="U435" i="42"/>
  <c r="U436" i="42"/>
  <c r="V436" i="42" s="1"/>
  <c r="U437" i="42"/>
  <c r="U438" i="42"/>
  <c r="U439" i="42"/>
  <c r="V439" i="42" s="1"/>
  <c r="U440" i="42"/>
  <c r="V440" i="42" s="1"/>
  <c r="U441" i="42"/>
  <c r="U442" i="42"/>
  <c r="V442" i="42" s="1"/>
  <c r="U443" i="42"/>
  <c r="V443" i="42" s="1"/>
  <c r="U444" i="42"/>
  <c r="U445" i="42"/>
  <c r="U446" i="42"/>
  <c r="V446" i="42" s="1"/>
  <c r="U447" i="42"/>
  <c r="V447" i="42" s="1"/>
  <c r="U448" i="42"/>
  <c r="U449" i="42"/>
  <c r="U450" i="42"/>
  <c r="V450" i="42" s="1"/>
  <c r="U451" i="42"/>
  <c r="U452" i="42"/>
  <c r="U453" i="42"/>
  <c r="U454" i="42"/>
  <c r="U455" i="42"/>
  <c r="V455" i="42" s="1"/>
  <c r="U456" i="42"/>
  <c r="V456" i="42" s="1"/>
  <c r="U457" i="42"/>
  <c r="U458" i="42"/>
  <c r="V458" i="42" s="1"/>
  <c r="U459" i="42"/>
  <c r="V459" i="42" s="1"/>
  <c r="U460" i="42"/>
  <c r="V460" i="42" s="1"/>
  <c r="U461" i="42"/>
  <c r="V461" i="42" s="1"/>
  <c r="U462" i="42"/>
  <c r="V462" i="42" s="1"/>
  <c r="U463" i="42"/>
  <c r="V463" i="42" s="1"/>
  <c r="U464" i="42"/>
  <c r="U465" i="42"/>
  <c r="U466" i="42"/>
  <c r="U467" i="42"/>
  <c r="U468" i="42"/>
  <c r="V468" i="42" s="1"/>
  <c r="U469" i="42"/>
  <c r="U470" i="42"/>
  <c r="U471" i="42"/>
  <c r="U472" i="42"/>
  <c r="V472" i="42" s="1"/>
  <c r="U473" i="42"/>
  <c r="U474" i="42"/>
  <c r="V474" i="42" s="1"/>
  <c r="U475" i="42"/>
  <c r="U476" i="42"/>
  <c r="V476" i="42" s="1"/>
  <c r="U477" i="42"/>
  <c r="U478" i="42"/>
  <c r="V478" i="42" s="1"/>
  <c r="U479" i="42"/>
  <c r="U480" i="42"/>
  <c r="V480" i="42" s="1"/>
  <c r="U481" i="42"/>
  <c r="V481" i="42" s="1"/>
  <c r="U482" i="42"/>
  <c r="U483" i="42"/>
  <c r="V483" i="42" s="1"/>
  <c r="U484" i="42"/>
  <c r="V484" i="42" s="1"/>
  <c r="U485" i="42"/>
  <c r="U486" i="42"/>
  <c r="U487" i="42"/>
  <c r="U488" i="42"/>
  <c r="V488" i="42" s="1"/>
  <c r="U489" i="42"/>
  <c r="U490" i="42"/>
  <c r="V490" i="42" s="1"/>
  <c r="U491" i="42"/>
  <c r="U492" i="42"/>
  <c r="V492" i="42" s="1"/>
  <c r="U493" i="42"/>
  <c r="V493" i="42" s="1"/>
  <c r="U494" i="42"/>
  <c r="V494" i="42" s="1"/>
  <c r="U495" i="42"/>
  <c r="U496" i="42"/>
  <c r="V496" i="42" s="1"/>
  <c r="U497" i="42"/>
  <c r="V497" i="42" s="1"/>
  <c r="U498" i="42"/>
  <c r="U499" i="42"/>
  <c r="U500" i="42"/>
  <c r="V500" i="42" s="1"/>
  <c r="N35" i="42"/>
  <c r="N36" i="42"/>
  <c r="N37" i="42"/>
  <c r="N38" i="42"/>
  <c r="P38" i="42" s="1"/>
  <c r="AE38" i="42" s="1"/>
  <c r="AF38" i="42" s="1"/>
  <c r="N39" i="42"/>
  <c r="N40" i="42"/>
  <c r="N41" i="42"/>
  <c r="N42" i="42"/>
  <c r="P42" i="42" s="1"/>
  <c r="AE42" i="42" s="1"/>
  <c r="AF42" i="42" s="1"/>
  <c r="N43" i="42"/>
  <c r="P43" i="42" s="1"/>
  <c r="AE43" i="42" s="1"/>
  <c r="AF43" i="42" s="1"/>
  <c r="N44" i="42"/>
  <c r="P44" i="42" s="1"/>
  <c r="AE44" i="42" s="1"/>
  <c r="AF44" i="42" s="1"/>
  <c r="N45" i="42"/>
  <c r="P45" i="42" s="1"/>
  <c r="AE45" i="42" s="1"/>
  <c r="AF45" i="42" s="1"/>
  <c r="N46" i="42"/>
  <c r="P46" i="42" s="1"/>
  <c r="AE46" i="42" s="1"/>
  <c r="AF46" i="42" s="1"/>
  <c r="N47" i="42"/>
  <c r="P47" i="42" s="1"/>
  <c r="AE47" i="42" s="1"/>
  <c r="AF47" i="42" s="1"/>
  <c r="N48" i="42"/>
  <c r="N49" i="42"/>
  <c r="P49" i="42" s="1"/>
  <c r="AE49" i="42" s="1"/>
  <c r="AF49" i="42" s="1"/>
  <c r="N50" i="42"/>
  <c r="N51" i="42"/>
  <c r="P51" i="42" s="1"/>
  <c r="AE51" i="42" s="1"/>
  <c r="AF51" i="42" s="1"/>
  <c r="N52" i="42"/>
  <c r="N53" i="42"/>
  <c r="N54" i="42"/>
  <c r="N55" i="42"/>
  <c r="N56" i="42"/>
  <c r="N57" i="42"/>
  <c r="N58" i="42"/>
  <c r="P58" i="42" s="1"/>
  <c r="AE58" i="42" s="1"/>
  <c r="AF58" i="42" s="1"/>
  <c r="N59" i="42"/>
  <c r="P59" i="42" s="1"/>
  <c r="AE59" i="42" s="1"/>
  <c r="AF59" i="42" s="1"/>
  <c r="N60" i="42"/>
  <c r="P60" i="42" s="1"/>
  <c r="AE60" i="42" s="1"/>
  <c r="AF60" i="42" s="1"/>
  <c r="N61" i="42"/>
  <c r="P61" i="42" s="1"/>
  <c r="AE61" i="42" s="1"/>
  <c r="AF61" i="42" s="1"/>
  <c r="N62" i="42"/>
  <c r="P62" i="42" s="1"/>
  <c r="AE62" i="42" s="1"/>
  <c r="AF62" i="42" s="1"/>
  <c r="N63" i="42"/>
  <c r="P63" i="42" s="1"/>
  <c r="AE63" i="42" s="1"/>
  <c r="AF63" i="42" s="1"/>
  <c r="N64" i="42"/>
  <c r="P64" i="42" s="1"/>
  <c r="AE64" i="42" s="1"/>
  <c r="AF64" i="42" s="1"/>
  <c r="N65" i="42"/>
  <c r="P65" i="42" s="1"/>
  <c r="AE65" i="42" s="1"/>
  <c r="AF65" i="42" s="1"/>
  <c r="N66" i="42"/>
  <c r="N67" i="42"/>
  <c r="P67" i="42" s="1"/>
  <c r="AE67" i="42" s="1"/>
  <c r="AF67" i="42" s="1"/>
  <c r="N68" i="42"/>
  <c r="N69" i="42"/>
  <c r="P69" i="42" s="1"/>
  <c r="AE69" i="42" s="1"/>
  <c r="AF69" i="42" s="1"/>
  <c r="N70" i="42"/>
  <c r="N71" i="42"/>
  <c r="N72" i="42"/>
  <c r="N73" i="42"/>
  <c r="N74" i="42"/>
  <c r="P74" i="42" s="1"/>
  <c r="AE74" i="42" s="1"/>
  <c r="AF74" i="42" s="1"/>
  <c r="N75" i="42"/>
  <c r="P75" i="42" s="1"/>
  <c r="AE75" i="42" s="1"/>
  <c r="AF75" i="42" s="1"/>
  <c r="N76" i="42"/>
  <c r="P76" i="42" s="1"/>
  <c r="AE76" i="42" s="1"/>
  <c r="AF76" i="42" s="1"/>
  <c r="N77" i="42"/>
  <c r="P77" i="42" s="1"/>
  <c r="AE77" i="42" s="1"/>
  <c r="AF77" i="42" s="1"/>
  <c r="N78" i="42"/>
  <c r="P78" i="42" s="1"/>
  <c r="AE78" i="42" s="1"/>
  <c r="AF78" i="42" s="1"/>
  <c r="N79" i="42"/>
  <c r="P79" i="42" s="1"/>
  <c r="AE79" i="42" s="1"/>
  <c r="AF79" i="42" s="1"/>
  <c r="N80" i="42"/>
  <c r="P80" i="42" s="1"/>
  <c r="AE80" i="42" s="1"/>
  <c r="AF80" i="42" s="1"/>
  <c r="N81" i="42"/>
  <c r="P81" i="42" s="1"/>
  <c r="AE81" i="42" s="1"/>
  <c r="AF81" i="42" s="1"/>
  <c r="N82" i="42"/>
  <c r="N83" i="42"/>
  <c r="P83" i="42" s="1"/>
  <c r="AE83" i="42" s="1"/>
  <c r="AF83" i="42" s="1"/>
  <c r="N84" i="42"/>
  <c r="N85" i="42"/>
  <c r="P85" i="42" s="1"/>
  <c r="AE85" i="42" s="1"/>
  <c r="AF85" i="42" s="1"/>
  <c r="N86" i="42"/>
  <c r="N87" i="42"/>
  <c r="N88" i="42"/>
  <c r="N89" i="42"/>
  <c r="P89" i="42" s="1"/>
  <c r="AE89" i="42" s="1"/>
  <c r="AF89" i="42" s="1"/>
  <c r="N90" i="42"/>
  <c r="P90" i="42" s="1"/>
  <c r="AE90" i="42" s="1"/>
  <c r="AF90" i="42" s="1"/>
  <c r="N91" i="42"/>
  <c r="P91" i="42" s="1"/>
  <c r="AE91" i="42" s="1"/>
  <c r="AF91" i="42" s="1"/>
  <c r="N92" i="42"/>
  <c r="P92" i="42" s="1"/>
  <c r="AE92" i="42" s="1"/>
  <c r="AF92" i="42" s="1"/>
  <c r="N93" i="42"/>
  <c r="P93" i="42" s="1"/>
  <c r="AE93" i="42" s="1"/>
  <c r="AF93" i="42" s="1"/>
  <c r="N94" i="42"/>
  <c r="P94" i="42" s="1"/>
  <c r="AE94" i="42" s="1"/>
  <c r="AF94" i="42" s="1"/>
  <c r="N95" i="42"/>
  <c r="P95" i="42" s="1"/>
  <c r="AE95" i="42" s="1"/>
  <c r="AF95" i="42" s="1"/>
  <c r="N96" i="42"/>
  <c r="P96" i="42" s="1"/>
  <c r="AE96" i="42" s="1"/>
  <c r="AF96" i="42" s="1"/>
  <c r="N97" i="42"/>
  <c r="P97" i="42" s="1"/>
  <c r="AE97" i="42" s="1"/>
  <c r="AF97" i="42" s="1"/>
  <c r="N98" i="42"/>
  <c r="N99" i="42"/>
  <c r="P99" i="42" s="1"/>
  <c r="AE99" i="42" s="1"/>
  <c r="AF99" i="42" s="1"/>
  <c r="N100" i="42"/>
  <c r="N101" i="42"/>
  <c r="N102" i="42"/>
  <c r="P102" i="42" s="1"/>
  <c r="AE102" i="42" s="1"/>
  <c r="AF102" i="42" s="1"/>
  <c r="N103" i="42"/>
  <c r="N104" i="42"/>
  <c r="N105" i="42"/>
  <c r="P105" i="42" s="1"/>
  <c r="AE105" i="42" s="1"/>
  <c r="AF105" i="42" s="1"/>
  <c r="N106" i="42"/>
  <c r="P106" i="42" s="1"/>
  <c r="AE106" i="42" s="1"/>
  <c r="AF106" i="42" s="1"/>
  <c r="N107" i="42"/>
  <c r="P107" i="42" s="1"/>
  <c r="AE107" i="42" s="1"/>
  <c r="AF107" i="42" s="1"/>
  <c r="N108" i="42"/>
  <c r="P108" i="42" s="1"/>
  <c r="AE108" i="42" s="1"/>
  <c r="AF108" i="42" s="1"/>
  <c r="N109" i="42"/>
  <c r="P109" i="42" s="1"/>
  <c r="AE109" i="42" s="1"/>
  <c r="AF109" i="42" s="1"/>
  <c r="N110" i="42"/>
  <c r="P110" i="42" s="1"/>
  <c r="AE110" i="42" s="1"/>
  <c r="AF110" i="42" s="1"/>
  <c r="N111" i="42"/>
  <c r="N112" i="42"/>
  <c r="P112" i="42" s="1"/>
  <c r="AE112" i="42" s="1"/>
  <c r="AF112" i="42" s="1"/>
  <c r="N113" i="42"/>
  <c r="P113" i="42" s="1"/>
  <c r="AE113" i="42" s="1"/>
  <c r="AF113" i="42" s="1"/>
  <c r="N114" i="42"/>
  <c r="N115" i="42"/>
  <c r="N116" i="42"/>
  <c r="N117" i="42"/>
  <c r="P117" i="42" s="1"/>
  <c r="AE117" i="42" s="1"/>
  <c r="AF117" i="42" s="1"/>
  <c r="N118" i="42"/>
  <c r="P118" i="42" s="1"/>
  <c r="AE118" i="42" s="1"/>
  <c r="AF118" i="42" s="1"/>
  <c r="N119" i="42"/>
  <c r="P119" i="42" s="1"/>
  <c r="AE119" i="42" s="1"/>
  <c r="AF119" i="42" s="1"/>
  <c r="N120" i="42"/>
  <c r="P120" i="42" s="1"/>
  <c r="AE120" i="42" s="1"/>
  <c r="AF120" i="42" s="1"/>
  <c r="N121" i="42"/>
  <c r="P121" i="42" s="1"/>
  <c r="AE121" i="42" s="1"/>
  <c r="AF121" i="42" s="1"/>
  <c r="N122" i="42"/>
  <c r="N123" i="42"/>
  <c r="P123" i="42" s="1"/>
  <c r="AE123" i="42" s="1"/>
  <c r="AF123" i="42" s="1"/>
  <c r="N124" i="42"/>
  <c r="P124" i="42" s="1"/>
  <c r="AE124" i="42" s="1"/>
  <c r="AF124" i="42" s="1"/>
  <c r="N125" i="42"/>
  <c r="P125" i="42" s="1"/>
  <c r="AE125" i="42" s="1"/>
  <c r="AF125" i="42" s="1"/>
  <c r="N126" i="42"/>
  <c r="P126" i="42" s="1"/>
  <c r="AE126" i="42" s="1"/>
  <c r="AF126" i="42" s="1"/>
  <c r="N127" i="42"/>
  <c r="N128" i="42"/>
  <c r="P128" i="42" s="1"/>
  <c r="AE128" i="42" s="1"/>
  <c r="AF128" i="42" s="1"/>
  <c r="N129" i="42"/>
  <c r="P129" i="42" s="1"/>
  <c r="AE129" i="42" s="1"/>
  <c r="AF129" i="42" s="1"/>
  <c r="N130" i="42"/>
  <c r="P130" i="42" s="1"/>
  <c r="AE130" i="42" s="1"/>
  <c r="AF130" i="42" s="1"/>
  <c r="N131" i="42"/>
  <c r="N132" i="42"/>
  <c r="N133" i="42"/>
  <c r="N134" i="42"/>
  <c r="P134" i="42" s="1"/>
  <c r="AE134" i="42" s="1"/>
  <c r="AF134" i="42" s="1"/>
  <c r="N135" i="42"/>
  <c r="N136" i="42"/>
  <c r="P136" i="42" s="1"/>
  <c r="AE136" i="42" s="1"/>
  <c r="AF136" i="42" s="1"/>
  <c r="N137" i="42"/>
  <c r="N138" i="42"/>
  <c r="N139" i="42"/>
  <c r="P139" i="42" s="1"/>
  <c r="AE139" i="42" s="1"/>
  <c r="AF139" i="42" s="1"/>
  <c r="N140" i="42"/>
  <c r="P140" i="42" s="1"/>
  <c r="AE140" i="42" s="1"/>
  <c r="AF140" i="42" s="1"/>
  <c r="N141" i="42"/>
  <c r="P141" i="42" s="1"/>
  <c r="AE141" i="42" s="1"/>
  <c r="AF141" i="42" s="1"/>
  <c r="N142" i="42"/>
  <c r="P142" i="42" s="1"/>
  <c r="AE142" i="42" s="1"/>
  <c r="AF142" i="42" s="1"/>
  <c r="N143" i="42"/>
  <c r="P143" i="42" s="1"/>
  <c r="AE143" i="42" s="1"/>
  <c r="AF143" i="42" s="1"/>
  <c r="N144" i="42"/>
  <c r="P144" i="42" s="1"/>
  <c r="AE144" i="42" s="1"/>
  <c r="AF144" i="42" s="1"/>
  <c r="N145" i="42"/>
  <c r="P145" i="42" s="1"/>
  <c r="AE145" i="42" s="1"/>
  <c r="AF145" i="42" s="1"/>
  <c r="N146" i="42"/>
  <c r="P146" i="42" s="1"/>
  <c r="AE146" i="42" s="1"/>
  <c r="AF146" i="42" s="1"/>
  <c r="N147" i="42"/>
  <c r="N148" i="42"/>
  <c r="N149" i="42"/>
  <c r="N150" i="42"/>
  <c r="P150" i="42" s="1"/>
  <c r="AE150" i="42" s="1"/>
  <c r="AF150" i="42" s="1"/>
  <c r="N151" i="42"/>
  <c r="N152" i="42"/>
  <c r="N153" i="42"/>
  <c r="P153" i="42" s="1"/>
  <c r="AE153" i="42" s="1"/>
  <c r="AF153" i="42" s="1"/>
  <c r="N154" i="42"/>
  <c r="P154" i="42" s="1"/>
  <c r="AE154" i="42" s="1"/>
  <c r="AF154" i="42" s="1"/>
  <c r="N155" i="42"/>
  <c r="P155" i="42" s="1"/>
  <c r="AE155" i="42" s="1"/>
  <c r="AF155" i="42" s="1"/>
  <c r="N156" i="42"/>
  <c r="P156" i="42" s="1"/>
  <c r="AE156" i="42" s="1"/>
  <c r="AF156" i="42" s="1"/>
  <c r="N157" i="42"/>
  <c r="P157" i="42" s="1"/>
  <c r="AE157" i="42" s="1"/>
  <c r="AF157" i="42" s="1"/>
  <c r="N158" i="42"/>
  <c r="P158" i="42" s="1"/>
  <c r="AE158" i="42" s="1"/>
  <c r="AF158" i="42" s="1"/>
  <c r="N159" i="42"/>
  <c r="P159" i="42" s="1"/>
  <c r="AE159" i="42" s="1"/>
  <c r="AF159" i="42" s="1"/>
  <c r="N160" i="42"/>
  <c r="N161" i="42"/>
  <c r="P161" i="42" s="1"/>
  <c r="AE161" i="42" s="1"/>
  <c r="AF161" i="42" s="1"/>
  <c r="N162" i="42"/>
  <c r="N163" i="42"/>
  <c r="P163" i="42" s="1"/>
  <c r="AE163" i="42" s="1"/>
  <c r="AF163" i="42" s="1"/>
  <c r="N164" i="42"/>
  <c r="N165" i="42"/>
  <c r="N166" i="42"/>
  <c r="P166" i="42" s="1"/>
  <c r="AE166" i="42" s="1"/>
  <c r="AF166" i="42" s="1"/>
  <c r="N167" i="42"/>
  <c r="P167" i="42" s="1"/>
  <c r="AE167" i="42" s="1"/>
  <c r="AF167" i="42" s="1"/>
  <c r="N168" i="42"/>
  <c r="N169" i="42"/>
  <c r="N170" i="42"/>
  <c r="P170" i="42" s="1"/>
  <c r="AE170" i="42" s="1"/>
  <c r="AF170" i="42" s="1"/>
  <c r="N171" i="42"/>
  <c r="P171" i="42" s="1"/>
  <c r="AE171" i="42" s="1"/>
  <c r="AF171" i="42" s="1"/>
  <c r="N172" i="42"/>
  <c r="P172" i="42" s="1"/>
  <c r="AE172" i="42" s="1"/>
  <c r="AF172" i="42" s="1"/>
  <c r="N173" i="42"/>
  <c r="P173" i="42" s="1"/>
  <c r="AE173" i="42" s="1"/>
  <c r="AF173" i="42" s="1"/>
  <c r="N174" i="42"/>
  <c r="P174" i="42" s="1"/>
  <c r="AE174" i="42" s="1"/>
  <c r="AF174" i="42" s="1"/>
  <c r="N175" i="42"/>
  <c r="P175" i="42" s="1"/>
  <c r="AE175" i="42" s="1"/>
  <c r="AF175" i="42" s="1"/>
  <c r="N176" i="42"/>
  <c r="P176" i="42" s="1"/>
  <c r="AE176" i="42" s="1"/>
  <c r="AF176" i="42" s="1"/>
  <c r="N177" i="42"/>
  <c r="P177" i="42" s="1"/>
  <c r="AE177" i="42" s="1"/>
  <c r="AF177" i="42" s="1"/>
  <c r="N178" i="42"/>
  <c r="N179" i="42"/>
  <c r="P179" i="42" s="1"/>
  <c r="AE179" i="42" s="1"/>
  <c r="AF179" i="42" s="1"/>
  <c r="N180" i="42"/>
  <c r="N181" i="42"/>
  <c r="N182" i="42"/>
  <c r="P182" i="42" s="1"/>
  <c r="AE182" i="42" s="1"/>
  <c r="AF182" i="42" s="1"/>
  <c r="N183" i="42"/>
  <c r="P183" i="42" s="1"/>
  <c r="AE183" i="42" s="1"/>
  <c r="AF183" i="42" s="1"/>
  <c r="N184" i="42"/>
  <c r="N185" i="42"/>
  <c r="P185" i="42" s="1"/>
  <c r="AE185" i="42" s="1"/>
  <c r="AF185" i="42" s="1"/>
  <c r="N186" i="42"/>
  <c r="P186" i="42" s="1"/>
  <c r="AE186" i="42" s="1"/>
  <c r="AF186" i="42" s="1"/>
  <c r="N187" i="42"/>
  <c r="P187" i="42" s="1"/>
  <c r="AE187" i="42" s="1"/>
  <c r="AF187" i="42" s="1"/>
  <c r="N188" i="42"/>
  <c r="P188" i="42" s="1"/>
  <c r="AE188" i="42" s="1"/>
  <c r="AF188" i="42" s="1"/>
  <c r="N189" i="42"/>
  <c r="P189" i="42" s="1"/>
  <c r="AE189" i="42" s="1"/>
  <c r="AF189" i="42" s="1"/>
  <c r="N190" i="42"/>
  <c r="P190" i="42" s="1"/>
  <c r="AE190" i="42" s="1"/>
  <c r="AF190" i="42" s="1"/>
  <c r="N191" i="42"/>
  <c r="P191" i="42" s="1"/>
  <c r="AE191" i="42" s="1"/>
  <c r="AF191" i="42" s="1"/>
  <c r="N192" i="42"/>
  <c r="N193" i="42"/>
  <c r="P193" i="42" s="1"/>
  <c r="AE193" i="42" s="1"/>
  <c r="AF193" i="42" s="1"/>
  <c r="N194" i="42"/>
  <c r="N195" i="42"/>
  <c r="N196" i="42"/>
  <c r="N197" i="42"/>
  <c r="N198" i="42"/>
  <c r="P198" i="42" s="1"/>
  <c r="AE198" i="42" s="1"/>
  <c r="AF198" i="42" s="1"/>
  <c r="N199" i="42"/>
  <c r="N200" i="42"/>
  <c r="P200" i="42" s="1"/>
  <c r="AE200" i="42" s="1"/>
  <c r="AF200" i="42" s="1"/>
  <c r="N201" i="42"/>
  <c r="P201" i="42" s="1"/>
  <c r="AE201" i="42" s="1"/>
  <c r="AF201" i="42" s="1"/>
  <c r="N202" i="42"/>
  <c r="P202" i="42" s="1"/>
  <c r="AE202" i="42" s="1"/>
  <c r="AF202" i="42" s="1"/>
  <c r="N203" i="42"/>
  <c r="P203" i="42" s="1"/>
  <c r="AE203" i="42" s="1"/>
  <c r="AF203" i="42" s="1"/>
  <c r="N204" i="42"/>
  <c r="P204" i="42" s="1"/>
  <c r="AE204" i="42" s="1"/>
  <c r="AF204" i="42" s="1"/>
  <c r="N205" i="42"/>
  <c r="P205" i="42" s="1"/>
  <c r="AE205" i="42" s="1"/>
  <c r="AF205" i="42" s="1"/>
  <c r="N206" i="42"/>
  <c r="P206" i="42" s="1"/>
  <c r="AE206" i="42" s="1"/>
  <c r="AF206" i="42" s="1"/>
  <c r="N207" i="42"/>
  <c r="P207" i="42" s="1"/>
  <c r="AE207" i="42" s="1"/>
  <c r="AF207" i="42" s="1"/>
  <c r="N208" i="42"/>
  <c r="N209" i="42"/>
  <c r="P209" i="42" s="1"/>
  <c r="AE209" i="42" s="1"/>
  <c r="AF209" i="42" s="1"/>
  <c r="N210" i="42"/>
  <c r="N211" i="42"/>
  <c r="P211" i="42" s="1"/>
  <c r="AE211" i="42" s="1"/>
  <c r="AF211" i="42" s="1"/>
  <c r="N212" i="42"/>
  <c r="N213" i="42"/>
  <c r="N214" i="42"/>
  <c r="P214" i="42" s="1"/>
  <c r="AE214" i="42" s="1"/>
  <c r="AF214" i="42" s="1"/>
  <c r="N215" i="42"/>
  <c r="P215" i="42" s="1"/>
  <c r="AE215" i="42" s="1"/>
  <c r="AF215" i="42" s="1"/>
  <c r="N216" i="42"/>
  <c r="N217" i="42"/>
  <c r="P217" i="42" s="1"/>
  <c r="AE217" i="42" s="1"/>
  <c r="AF217" i="42" s="1"/>
  <c r="N218" i="42"/>
  <c r="P218" i="42" s="1"/>
  <c r="AE218" i="42" s="1"/>
  <c r="AF218" i="42" s="1"/>
  <c r="N219" i="42"/>
  <c r="P219" i="42" s="1"/>
  <c r="AE219" i="42" s="1"/>
  <c r="AF219" i="42" s="1"/>
  <c r="N220" i="42"/>
  <c r="P220" i="42" s="1"/>
  <c r="AE220" i="42" s="1"/>
  <c r="AF220" i="42" s="1"/>
  <c r="N221" i="42"/>
  <c r="P221" i="42" s="1"/>
  <c r="AE221" i="42" s="1"/>
  <c r="AF221" i="42" s="1"/>
  <c r="N222" i="42"/>
  <c r="P222" i="42" s="1"/>
  <c r="AE222" i="42" s="1"/>
  <c r="AF222" i="42" s="1"/>
  <c r="N223" i="42"/>
  <c r="P223" i="42" s="1"/>
  <c r="AE223" i="42" s="1"/>
  <c r="AF223" i="42" s="1"/>
  <c r="N224" i="42"/>
  <c r="P224" i="42" s="1"/>
  <c r="AE224" i="42" s="1"/>
  <c r="AF224" i="42" s="1"/>
  <c r="N225" i="42"/>
  <c r="N226" i="42"/>
  <c r="P226" i="42" s="1"/>
  <c r="AE226" i="42" s="1"/>
  <c r="AF226" i="42" s="1"/>
  <c r="N227" i="42"/>
  <c r="P227" i="42" s="1"/>
  <c r="AE227" i="42" s="1"/>
  <c r="AF227" i="42" s="1"/>
  <c r="N228" i="42"/>
  <c r="N229" i="42"/>
  <c r="N230" i="42"/>
  <c r="N231" i="42"/>
  <c r="P231" i="42" s="1"/>
  <c r="AE231" i="42" s="1"/>
  <c r="AF231" i="42" s="1"/>
  <c r="N232" i="42"/>
  <c r="N233" i="42"/>
  <c r="P233" i="42" s="1"/>
  <c r="AE233" i="42" s="1"/>
  <c r="AF233" i="42" s="1"/>
  <c r="N234" i="42"/>
  <c r="P234" i="42" s="1"/>
  <c r="AE234" i="42" s="1"/>
  <c r="AF234" i="42" s="1"/>
  <c r="N235" i="42"/>
  <c r="P235" i="42" s="1"/>
  <c r="AE235" i="42" s="1"/>
  <c r="AF235" i="42" s="1"/>
  <c r="N236" i="42"/>
  <c r="P236" i="42" s="1"/>
  <c r="AE236" i="42" s="1"/>
  <c r="AF236" i="42" s="1"/>
  <c r="N237" i="42"/>
  <c r="P237" i="42" s="1"/>
  <c r="AE237" i="42" s="1"/>
  <c r="AF237" i="42" s="1"/>
  <c r="N238" i="42"/>
  <c r="N239" i="42"/>
  <c r="P239" i="42" s="1"/>
  <c r="AE239" i="42" s="1"/>
  <c r="AF239" i="42" s="1"/>
  <c r="N240" i="42"/>
  <c r="P240" i="42" s="1"/>
  <c r="AE240" i="42" s="1"/>
  <c r="AF240" i="42" s="1"/>
  <c r="N241" i="42"/>
  <c r="P241" i="42" s="1"/>
  <c r="AE241" i="42" s="1"/>
  <c r="AF241" i="42" s="1"/>
  <c r="N242" i="42"/>
  <c r="P242" i="42" s="1"/>
  <c r="AE242" i="42" s="1"/>
  <c r="AF242" i="42" s="1"/>
  <c r="N243" i="42"/>
  <c r="N244" i="42"/>
  <c r="N245" i="42"/>
  <c r="N246" i="42"/>
  <c r="N247" i="42"/>
  <c r="N248" i="42"/>
  <c r="N249" i="42"/>
  <c r="P249" i="42" s="1"/>
  <c r="AE249" i="42" s="1"/>
  <c r="AF249" i="42" s="1"/>
  <c r="N250" i="42"/>
  <c r="P250" i="42" s="1"/>
  <c r="AE250" i="42" s="1"/>
  <c r="AF250" i="42" s="1"/>
  <c r="N251" i="42"/>
  <c r="P251" i="42" s="1"/>
  <c r="AE251" i="42" s="1"/>
  <c r="AF251" i="42" s="1"/>
  <c r="N252" i="42"/>
  <c r="P252" i="42" s="1"/>
  <c r="AE252" i="42" s="1"/>
  <c r="AF252" i="42" s="1"/>
  <c r="N253" i="42"/>
  <c r="P253" i="42" s="1"/>
  <c r="AE253" i="42" s="1"/>
  <c r="AF253" i="42" s="1"/>
  <c r="N254" i="42"/>
  <c r="P254" i="42" s="1"/>
  <c r="AE254" i="42" s="1"/>
  <c r="AF254" i="42" s="1"/>
  <c r="N255" i="42"/>
  <c r="P255" i="42" s="1"/>
  <c r="AE255" i="42" s="1"/>
  <c r="AF255" i="42" s="1"/>
  <c r="N256" i="42"/>
  <c r="P256" i="42" s="1"/>
  <c r="AE256" i="42" s="1"/>
  <c r="AF256" i="42" s="1"/>
  <c r="N257" i="42"/>
  <c r="P257" i="42" s="1"/>
  <c r="AE257" i="42" s="1"/>
  <c r="AF257" i="42" s="1"/>
  <c r="N258" i="42"/>
  <c r="N259" i="42"/>
  <c r="P259" i="42" s="1"/>
  <c r="AE259" i="42" s="1"/>
  <c r="AF259" i="42" s="1"/>
  <c r="N260" i="42"/>
  <c r="N261" i="42"/>
  <c r="N262" i="42"/>
  <c r="P262" i="42" s="1"/>
  <c r="AE262" i="42" s="1"/>
  <c r="AF262" i="42" s="1"/>
  <c r="N263" i="42"/>
  <c r="N264" i="42"/>
  <c r="N265" i="42"/>
  <c r="P265" i="42" s="1"/>
  <c r="AE265" i="42" s="1"/>
  <c r="AF265" i="42" s="1"/>
  <c r="N266" i="42"/>
  <c r="P266" i="42" s="1"/>
  <c r="AE266" i="42" s="1"/>
  <c r="AF266" i="42" s="1"/>
  <c r="N267" i="42"/>
  <c r="P267" i="42" s="1"/>
  <c r="AE267" i="42" s="1"/>
  <c r="AF267" i="42" s="1"/>
  <c r="N268" i="42"/>
  <c r="P268" i="42" s="1"/>
  <c r="AE268" i="42" s="1"/>
  <c r="AF268" i="42" s="1"/>
  <c r="N269" i="42"/>
  <c r="P269" i="42" s="1"/>
  <c r="AE269" i="42" s="1"/>
  <c r="AF269" i="42" s="1"/>
  <c r="N270" i="42"/>
  <c r="P270" i="42" s="1"/>
  <c r="AE270" i="42" s="1"/>
  <c r="AF270" i="42" s="1"/>
  <c r="N271" i="42"/>
  <c r="P271" i="42" s="1"/>
  <c r="AE271" i="42" s="1"/>
  <c r="AF271" i="42" s="1"/>
  <c r="N272" i="42"/>
  <c r="P272" i="42" s="1"/>
  <c r="AE272" i="42" s="1"/>
  <c r="AF272" i="42" s="1"/>
  <c r="N273" i="42"/>
  <c r="P273" i="42" s="1"/>
  <c r="AE273" i="42" s="1"/>
  <c r="AF273" i="42" s="1"/>
  <c r="N274" i="42"/>
  <c r="N275" i="42"/>
  <c r="N276" i="42"/>
  <c r="N277" i="42"/>
  <c r="N278" i="42"/>
  <c r="P278" i="42" s="1"/>
  <c r="AE278" i="42" s="1"/>
  <c r="AF278" i="42" s="1"/>
  <c r="N279" i="42"/>
  <c r="N280" i="42"/>
  <c r="P280" i="42" s="1"/>
  <c r="AE280" i="42" s="1"/>
  <c r="AF280" i="42" s="1"/>
  <c r="N281" i="42"/>
  <c r="P281" i="42" s="1"/>
  <c r="AE281" i="42" s="1"/>
  <c r="AF281" i="42" s="1"/>
  <c r="N282" i="42"/>
  <c r="P282" i="42" s="1"/>
  <c r="AE282" i="42" s="1"/>
  <c r="AF282" i="42" s="1"/>
  <c r="N283" i="42"/>
  <c r="P283" i="42" s="1"/>
  <c r="AE283" i="42" s="1"/>
  <c r="AF283" i="42" s="1"/>
  <c r="N284" i="42"/>
  <c r="P284" i="42" s="1"/>
  <c r="AE284" i="42" s="1"/>
  <c r="AF284" i="42" s="1"/>
  <c r="N285" i="42"/>
  <c r="P285" i="42" s="1"/>
  <c r="AE285" i="42" s="1"/>
  <c r="AF285" i="42" s="1"/>
  <c r="N286" i="42"/>
  <c r="P286" i="42" s="1"/>
  <c r="AE286" i="42" s="1"/>
  <c r="AF286" i="42" s="1"/>
  <c r="N287" i="42"/>
  <c r="P287" i="42" s="1"/>
  <c r="AE287" i="42" s="1"/>
  <c r="AF287" i="42" s="1"/>
  <c r="N288" i="42"/>
  <c r="N289" i="42"/>
  <c r="P289" i="42" s="1"/>
  <c r="AE289" i="42" s="1"/>
  <c r="AF289" i="42" s="1"/>
  <c r="N290" i="42"/>
  <c r="N291" i="42"/>
  <c r="N292" i="42"/>
  <c r="N293" i="42"/>
  <c r="N294" i="42"/>
  <c r="P294" i="42" s="1"/>
  <c r="AE294" i="42" s="1"/>
  <c r="AF294" i="42" s="1"/>
  <c r="N295" i="42"/>
  <c r="P295" i="42" s="1"/>
  <c r="AE295" i="42" s="1"/>
  <c r="AF295" i="42" s="1"/>
  <c r="N296" i="42"/>
  <c r="P296" i="42" s="1"/>
  <c r="AE296" i="42" s="1"/>
  <c r="AF296" i="42" s="1"/>
  <c r="N297" i="42"/>
  <c r="P297" i="42" s="1"/>
  <c r="AE297" i="42" s="1"/>
  <c r="AF297" i="42" s="1"/>
  <c r="N298" i="42"/>
  <c r="P298" i="42" s="1"/>
  <c r="AE298" i="42" s="1"/>
  <c r="AF298" i="42" s="1"/>
  <c r="N299" i="42"/>
  <c r="P299" i="42" s="1"/>
  <c r="AE299" i="42" s="1"/>
  <c r="AF299" i="42" s="1"/>
  <c r="N300" i="42"/>
  <c r="P300" i="42" s="1"/>
  <c r="AE300" i="42" s="1"/>
  <c r="AF300" i="42" s="1"/>
  <c r="N301" i="42"/>
  <c r="P301" i="42" s="1"/>
  <c r="AE301" i="42" s="1"/>
  <c r="AF301" i="42" s="1"/>
  <c r="N302" i="42"/>
  <c r="P302" i="42" s="1"/>
  <c r="AE302" i="42" s="1"/>
  <c r="AF302" i="42" s="1"/>
  <c r="N303" i="42"/>
  <c r="P303" i="42" s="1"/>
  <c r="AE303" i="42" s="1"/>
  <c r="AF303" i="42" s="1"/>
  <c r="N304" i="42"/>
  <c r="N305" i="42"/>
  <c r="P305" i="42" s="1"/>
  <c r="AE305" i="42" s="1"/>
  <c r="AF305" i="42" s="1"/>
  <c r="N306" i="42"/>
  <c r="N307" i="42"/>
  <c r="N308" i="42"/>
  <c r="N309" i="42"/>
  <c r="N310" i="42"/>
  <c r="P310" i="42" s="1"/>
  <c r="AE310" i="42" s="1"/>
  <c r="AF310" i="42" s="1"/>
  <c r="N311" i="42"/>
  <c r="P311" i="42" s="1"/>
  <c r="AE311" i="42" s="1"/>
  <c r="AF311" i="42" s="1"/>
  <c r="N312" i="42"/>
  <c r="P312" i="42" s="1"/>
  <c r="AE312" i="42" s="1"/>
  <c r="AF312" i="42" s="1"/>
  <c r="N313" i="42"/>
  <c r="P313" i="42" s="1"/>
  <c r="AE313" i="42" s="1"/>
  <c r="AF313" i="42" s="1"/>
  <c r="N314" i="42"/>
  <c r="P314" i="42" s="1"/>
  <c r="AE314" i="42" s="1"/>
  <c r="AF314" i="42" s="1"/>
  <c r="N315" i="42"/>
  <c r="P315" i="42" s="1"/>
  <c r="AE315" i="42" s="1"/>
  <c r="AF315" i="42" s="1"/>
  <c r="N316" i="42"/>
  <c r="P316" i="42" s="1"/>
  <c r="AE316" i="42" s="1"/>
  <c r="AF316" i="42" s="1"/>
  <c r="N317" i="42"/>
  <c r="P317" i="42" s="1"/>
  <c r="AE317" i="42" s="1"/>
  <c r="AF317" i="42" s="1"/>
  <c r="N318" i="42"/>
  <c r="P318" i="42" s="1"/>
  <c r="AE318" i="42" s="1"/>
  <c r="AF318" i="42" s="1"/>
  <c r="N319" i="42"/>
  <c r="P319" i="42" s="1"/>
  <c r="AE319" i="42" s="1"/>
  <c r="AF319" i="42" s="1"/>
  <c r="N320" i="42"/>
  <c r="N321" i="42"/>
  <c r="P321" i="42" s="1"/>
  <c r="AE321" i="42" s="1"/>
  <c r="AF321" i="42" s="1"/>
  <c r="N322" i="42"/>
  <c r="P322" i="42" s="1"/>
  <c r="AE322" i="42" s="1"/>
  <c r="AF322" i="42" s="1"/>
  <c r="N323" i="42"/>
  <c r="P323" i="42" s="1"/>
  <c r="AE323" i="42" s="1"/>
  <c r="AF323" i="42" s="1"/>
  <c r="N324" i="42"/>
  <c r="N325" i="42"/>
  <c r="N326" i="42"/>
  <c r="P326" i="42" s="1"/>
  <c r="AE326" i="42" s="1"/>
  <c r="AF326" i="42" s="1"/>
  <c r="N327" i="42"/>
  <c r="N328" i="42"/>
  <c r="P328" i="42" s="1"/>
  <c r="AE328" i="42" s="1"/>
  <c r="AF328" i="42" s="1"/>
  <c r="N329" i="42"/>
  <c r="P329" i="42" s="1"/>
  <c r="AE329" i="42" s="1"/>
  <c r="AF329" i="42" s="1"/>
  <c r="N330" i="42"/>
  <c r="P330" i="42" s="1"/>
  <c r="AE330" i="42" s="1"/>
  <c r="AF330" i="42" s="1"/>
  <c r="N331" i="42"/>
  <c r="P331" i="42" s="1"/>
  <c r="AE331" i="42" s="1"/>
  <c r="AF331" i="42" s="1"/>
  <c r="N332" i="42"/>
  <c r="P332" i="42" s="1"/>
  <c r="AE332" i="42" s="1"/>
  <c r="AF332" i="42" s="1"/>
  <c r="N333" i="42"/>
  <c r="P333" i="42" s="1"/>
  <c r="AE333" i="42" s="1"/>
  <c r="AF333" i="42" s="1"/>
  <c r="N334" i="42"/>
  <c r="P334" i="42" s="1"/>
  <c r="AE334" i="42" s="1"/>
  <c r="AF334" i="42" s="1"/>
  <c r="N335" i="42"/>
  <c r="P335" i="42" s="1"/>
  <c r="AE335" i="42" s="1"/>
  <c r="AF335" i="42" s="1"/>
  <c r="N336" i="42"/>
  <c r="P336" i="42" s="1"/>
  <c r="AE336" i="42" s="1"/>
  <c r="AF336" i="42" s="1"/>
  <c r="N337" i="42"/>
  <c r="N338" i="42"/>
  <c r="P338" i="42" s="1"/>
  <c r="AE338" i="42" s="1"/>
  <c r="AF338" i="42" s="1"/>
  <c r="N339" i="42"/>
  <c r="P339" i="42" s="1"/>
  <c r="AE339" i="42" s="1"/>
  <c r="AF339" i="42" s="1"/>
  <c r="N340" i="42"/>
  <c r="N341" i="42"/>
  <c r="N342" i="42"/>
  <c r="P342" i="42" s="1"/>
  <c r="AE342" i="42" s="1"/>
  <c r="AF342" i="42" s="1"/>
  <c r="N343" i="42"/>
  <c r="P343" i="42" s="1"/>
  <c r="AE343" i="42" s="1"/>
  <c r="AF343" i="42" s="1"/>
  <c r="N344" i="42"/>
  <c r="N345" i="42"/>
  <c r="P345" i="42" s="1"/>
  <c r="AE345" i="42" s="1"/>
  <c r="AF345" i="42" s="1"/>
  <c r="N346" i="42"/>
  <c r="P346" i="42" s="1"/>
  <c r="AE346" i="42" s="1"/>
  <c r="AF346" i="42" s="1"/>
  <c r="N347" i="42"/>
  <c r="P347" i="42" s="1"/>
  <c r="AE347" i="42" s="1"/>
  <c r="AF347" i="42" s="1"/>
  <c r="N348" i="42"/>
  <c r="P348" i="42" s="1"/>
  <c r="AE348" i="42" s="1"/>
  <c r="AF348" i="42" s="1"/>
  <c r="N349" i="42"/>
  <c r="P349" i="42" s="1"/>
  <c r="AE349" i="42" s="1"/>
  <c r="AF349" i="42" s="1"/>
  <c r="N350" i="42"/>
  <c r="P350" i="42" s="1"/>
  <c r="AE350" i="42" s="1"/>
  <c r="AF350" i="42" s="1"/>
  <c r="N351" i="42"/>
  <c r="P351" i="42" s="1"/>
  <c r="AE351" i="42" s="1"/>
  <c r="AF351" i="42" s="1"/>
  <c r="N352" i="42"/>
  <c r="P352" i="42" s="1"/>
  <c r="AE352" i="42" s="1"/>
  <c r="AF352" i="42" s="1"/>
  <c r="N353" i="42"/>
  <c r="P353" i="42" s="1"/>
  <c r="AE353" i="42" s="1"/>
  <c r="AF353" i="42" s="1"/>
  <c r="N354" i="42"/>
  <c r="N355" i="42"/>
  <c r="P355" i="42" s="1"/>
  <c r="AE355" i="42" s="1"/>
  <c r="AF355" i="42" s="1"/>
  <c r="N356" i="42"/>
  <c r="N357" i="42"/>
  <c r="N358" i="42"/>
  <c r="P358" i="42" s="1"/>
  <c r="AE358" i="42" s="1"/>
  <c r="AF358" i="42" s="1"/>
  <c r="N359" i="42"/>
  <c r="N360" i="42"/>
  <c r="N361" i="42"/>
  <c r="P361" i="42" s="1"/>
  <c r="AE361" i="42" s="1"/>
  <c r="AF361" i="42" s="1"/>
  <c r="N362" i="42"/>
  <c r="P362" i="42" s="1"/>
  <c r="AE362" i="42" s="1"/>
  <c r="AF362" i="42" s="1"/>
  <c r="N363" i="42"/>
  <c r="P363" i="42" s="1"/>
  <c r="AE363" i="42" s="1"/>
  <c r="AF363" i="42" s="1"/>
  <c r="N364" i="42"/>
  <c r="P364" i="42" s="1"/>
  <c r="AE364" i="42" s="1"/>
  <c r="AF364" i="42" s="1"/>
  <c r="N365" i="42"/>
  <c r="P365" i="42" s="1"/>
  <c r="AE365" i="42" s="1"/>
  <c r="AF365" i="42" s="1"/>
  <c r="N366" i="42"/>
  <c r="P366" i="42" s="1"/>
  <c r="AE366" i="42" s="1"/>
  <c r="AF366" i="42" s="1"/>
  <c r="N367" i="42"/>
  <c r="P367" i="42" s="1"/>
  <c r="AE367" i="42" s="1"/>
  <c r="AF367" i="42" s="1"/>
  <c r="N368" i="42"/>
  <c r="P368" i="42" s="1"/>
  <c r="AE368" i="42" s="1"/>
  <c r="AF368" i="42" s="1"/>
  <c r="N369" i="42"/>
  <c r="P369" i="42" s="1"/>
  <c r="AE369" i="42" s="1"/>
  <c r="AF369" i="42" s="1"/>
  <c r="N370" i="42"/>
  <c r="P370" i="42" s="1"/>
  <c r="AE370" i="42" s="1"/>
  <c r="AF370" i="42" s="1"/>
  <c r="N371" i="42"/>
  <c r="P371" i="42" s="1"/>
  <c r="AE371" i="42" s="1"/>
  <c r="AF371" i="42" s="1"/>
  <c r="N372" i="42"/>
  <c r="N373" i="42"/>
  <c r="N374" i="42"/>
  <c r="N375" i="42"/>
  <c r="N376" i="42"/>
  <c r="N377" i="42"/>
  <c r="P377" i="42" s="1"/>
  <c r="AE377" i="42" s="1"/>
  <c r="AF377" i="42" s="1"/>
  <c r="N378" i="42"/>
  <c r="P378" i="42" s="1"/>
  <c r="AE378" i="42" s="1"/>
  <c r="AF378" i="42" s="1"/>
  <c r="N379" i="42"/>
  <c r="P379" i="42" s="1"/>
  <c r="AE379" i="42" s="1"/>
  <c r="AF379" i="42" s="1"/>
  <c r="N380" i="42"/>
  <c r="P380" i="42" s="1"/>
  <c r="AE380" i="42" s="1"/>
  <c r="AF380" i="42" s="1"/>
  <c r="N381" i="42"/>
  <c r="P381" i="42" s="1"/>
  <c r="AE381" i="42" s="1"/>
  <c r="AF381" i="42" s="1"/>
  <c r="N382" i="42"/>
  <c r="P382" i="42" s="1"/>
  <c r="AE382" i="42" s="1"/>
  <c r="AF382" i="42" s="1"/>
  <c r="N383" i="42"/>
  <c r="P383" i="42" s="1"/>
  <c r="AE383" i="42" s="1"/>
  <c r="AF383" i="42" s="1"/>
  <c r="N384" i="42"/>
  <c r="N385" i="42"/>
  <c r="P385" i="42" s="1"/>
  <c r="AE385" i="42" s="1"/>
  <c r="AF385" i="42" s="1"/>
  <c r="N386" i="42"/>
  <c r="P386" i="42" s="1"/>
  <c r="AE386" i="42" s="1"/>
  <c r="AF386" i="42" s="1"/>
  <c r="N387" i="42"/>
  <c r="N388" i="42"/>
  <c r="N389" i="42"/>
  <c r="N390" i="42"/>
  <c r="P390" i="42" s="1"/>
  <c r="AE390" i="42" s="1"/>
  <c r="AF390" i="42" s="1"/>
  <c r="N391" i="42"/>
  <c r="N392" i="42"/>
  <c r="P392" i="42" s="1"/>
  <c r="AE392" i="42" s="1"/>
  <c r="AF392" i="42" s="1"/>
  <c r="N393" i="42"/>
  <c r="P393" i="42" s="1"/>
  <c r="AE393" i="42" s="1"/>
  <c r="AF393" i="42" s="1"/>
  <c r="N394" i="42"/>
  <c r="P394" i="42" s="1"/>
  <c r="AE394" i="42" s="1"/>
  <c r="AF394" i="42" s="1"/>
  <c r="N395" i="42"/>
  <c r="P395" i="42" s="1"/>
  <c r="AE395" i="42" s="1"/>
  <c r="AF395" i="42" s="1"/>
  <c r="N396" i="42"/>
  <c r="P396" i="42" s="1"/>
  <c r="AE396" i="42" s="1"/>
  <c r="AF396" i="42" s="1"/>
  <c r="N397" i="42"/>
  <c r="P397" i="42" s="1"/>
  <c r="AE397" i="42" s="1"/>
  <c r="AF397" i="42" s="1"/>
  <c r="N398" i="42"/>
  <c r="P398" i="42" s="1"/>
  <c r="AE398" i="42" s="1"/>
  <c r="AF398" i="42" s="1"/>
  <c r="N399" i="42"/>
  <c r="P399" i="42" s="1"/>
  <c r="AE399" i="42" s="1"/>
  <c r="AF399" i="42" s="1"/>
  <c r="N400" i="42"/>
  <c r="P400" i="42" s="1"/>
  <c r="AE400" i="42" s="1"/>
  <c r="AF400" i="42" s="1"/>
  <c r="N401" i="42"/>
  <c r="P401" i="42" s="1"/>
  <c r="AE401" i="42" s="1"/>
  <c r="AF401" i="42" s="1"/>
  <c r="N402" i="42"/>
  <c r="P402" i="42" s="1"/>
  <c r="AE402" i="42" s="1"/>
  <c r="AF402" i="42" s="1"/>
  <c r="N403" i="42"/>
  <c r="N404" i="42"/>
  <c r="N405" i="42"/>
  <c r="N406" i="42"/>
  <c r="P406" i="42" s="1"/>
  <c r="AE406" i="42" s="1"/>
  <c r="AF406" i="42" s="1"/>
  <c r="N407" i="42"/>
  <c r="P407" i="42" s="1"/>
  <c r="AE407" i="42" s="1"/>
  <c r="AF407" i="42" s="1"/>
  <c r="N408" i="42"/>
  <c r="P408" i="42" s="1"/>
  <c r="AE408" i="42" s="1"/>
  <c r="AF408" i="42" s="1"/>
  <c r="N409" i="42"/>
  <c r="P409" i="42" s="1"/>
  <c r="AE409" i="42" s="1"/>
  <c r="AF409" i="42" s="1"/>
  <c r="N410" i="42"/>
  <c r="P410" i="42" s="1"/>
  <c r="AE410" i="42" s="1"/>
  <c r="AF410" i="42" s="1"/>
  <c r="N411" i="42"/>
  <c r="P411" i="42" s="1"/>
  <c r="AE411" i="42" s="1"/>
  <c r="AF411" i="42" s="1"/>
  <c r="N412" i="42"/>
  <c r="P412" i="42" s="1"/>
  <c r="AE412" i="42" s="1"/>
  <c r="AF412" i="42" s="1"/>
  <c r="N413" i="42"/>
  <c r="P413" i="42" s="1"/>
  <c r="AE413" i="42" s="1"/>
  <c r="AF413" i="42" s="1"/>
  <c r="N414" i="42"/>
  <c r="P414" i="42" s="1"/>
  <c r="AE414" i="42" s="1"/>
  <c r="AF414" i="42" s="1"/>
  <c r="N415" i="42"/>
  <c r="N416" i="42"/>
  <c r="P416" i="42" s="1"/>
  <c r="AE416" i="42" s="1"/>
  <c r="AF416" i="42" s="1"/>
  <c r="N417" i="42"/>
  <c r="P417" i="42" s="1"/>
  <c r="AE417" i="42" s="1"/>
  <c r="AF417" i="42" s="1"/>
  <c r="N418" i="42"/>
  <c r="P418" i="42" s="1"/>
  <c r="AE418" i="42" s="1"/>
  <c r="AF418" i="42" s="1"/>
  <c r="N419" i="42"/>
  <c r="N420" i="42"/>
  <c r="N421" i="42"/>
  <c r="N422" i="42"/>
  <c r="N423" i="42"/>
  <c r="N424" i="42"/>
  <c r="P424" i="42" s="1"/>
  <c r="AE424" i="42" s="1"/>
  <c r="AF424" i="42" s="1"/>
  <c r="N425" i="42"/>
  <c r="P425" i="42" s="1"/>
  <c r="AE425" i="42" s="1"/>
  <c r="AF425" i="42" s="1"/>
  <c r="N426" i="42"/>
  <c r="P426" i="42" s="1"/>
  <c r="AE426" i="42" s="1"/>
  <c r="AF426" i="42" s="1"/>
  <c r="N427" i="42"/>
  <c r="P427" i="42" s="1"/>
  <c r="AE427" i="42" s="1"/>
  <c r="AF427" i="42" s="1"/>
  <c r="N428" i="42"/>
  <c r="P428" i="42" s="1"/>
  <c r="AE428" i="42" s="1"/>
  <c r="AF428" i="42" s="1"/>
  <c r="N429" i="42"/>
  <c r="P429" i="42" s="1"/>
  <c r="AE429" i="42" s="1"/>
  <c r="AF429" i="42" s="1"/>
  <c r="N430" i="42"/>
  <c r="P430" i="42" s="1"/>
  <c r="AE430" i="42" s="1"/>
  <c r="AF430" i="42" s="1"/>
  <c r="N431" i="42"/>
  <c r="P431" i="42" s="1"/>
  <c r="AE431" i="42" s="1"/>
  <c r="AF431" i="42" s="1"/>
  <c r="N432" i="42"/>
  <c r="P432" i="42" s="1"/>
  <c r="AE432" i="42" s="1"/>
  <c r="AF432" i="42" s="1"/>
  <c r="N433" i="42"/>
  <c r="P433" i="42" s="1"/>
  <c r="AE433" i="42" s="1"/>
  <c r="AF433" i="42" s="1"/>
  <c r="N434" i="42"/>
  <c r="N435" i="42"/>
  <c r="P435" i="42" s="1"/>
  <c r="AE435" i="42" s="1"/>
  <c r="AF435" i="42" s="1"/>
  <c r="N436" i="42"/>
  <c r="N437" i="42"/>
  <c r="N438" i="42"/>
  <c r="P438" i="42" s="1"/>
  <c r="AE438" i="42" s="1"/>
  <c r="AF438" i="42" s="1"/>
  <c r="N439" i="42"/>
  <c r="N440" i="42"/>
  <c r="N441" i="42"/>
  <c r="N442" i="42"/>
  <c r="P442" i="42" s="1"/>
  <c r="AE442" i="42" s="1"/>
  <c r="AF442" i="42" s="1"/>
  <c r="N443" i="42"/>
  <c r="P443" i="42" s="1"/>
  <c r="AE443" i="42" s="1"/>
  <c r="AF443" i="42" s="1"/>
  <c r="N444" i="42"/>
  <c r="P444" i="42" s="1"/>
  <c r="AE444" i="42" s="1"/>
  <c r="AF444" i="42" s="1"/>
  <c r="N445" i="42"/>
  <c r="P445" i="42" s="1"/>
  <c r="AE445" i="42" s="1"/>
  <c r="AF445" i="42" s="1"/>
  <c r="N446" i="42"/>
  <c r="P446" i="42" s="1"/>
  <c r="AE446" i="42" s="1"/>
  <c r="AF446" i="42" s="1"/>
  <c r="N447" i="42"/>
  <c r="P447" i="42" s="1"/>
  <c r="AE447" i="42" s="1"/>
  <c r="AF447" i="42" s="1"/>
  <c r="N448" i="42"/>
  <c r="P448" i="42" s="1"/>
  <c r="AE448" i="42" s="1"/>
  <c r="AF448" i="42" s="1"/>
  <c r="N449" i="42"/>
  <c r="P449" i="42" s="1"/>
  <c r="AE449" i="42" s="1"/>
  <c r="AF449" i="42" s="1"/>
  <c r="N450" i="42"/>
  <c r="N451" i="42"/>
  <c r="P451" i="42" s="1"/>
  <c r="AE451" i="42" s="1"/>
  <c r="AF451" i="42" s="1"/>
  <c r="N452" i="42"/>
  <c r="N453" i="42"/>
  <c r="N454" i="42"/>
  <c r="P454" i="42" s="1"/>
  <c r="AE454" i="42" s="1"/>
  <c r="AF454" i="42" s="1"/>
  <c r="N455" i="42"/>
  <c r="P455" i="42" s="1"/>
  <c r="AE455" i="42" s="1"/>
  <c r="AF455" i="42" s="1"/>
  <c r="N456" i="42"/>
  <c r="N457" i="42"/>
  <c r="P457" i="42" s="1"/>
  <c r="AE457" i="42" s="1"/>
  <c r="AF457" i="42" s="1"/>
  <c r="N458" i="42"/>
  <c r="P458" i="42" s="1"/>
  <c r="AE458" i="42" s="1"/>
  <c r="AF458" i="42" s="1"/>
  <c r="N459" i="42"/>
  <c r="P459" i="42" s="1"/>
  <c r="AE459" i="42" s="1"/>
  <c r="AF459" i="42" s="1"/>
  <c r="N460" i="42"/>
  <c r="P460" i="42" s="1"/>
  <c r="AE460" i="42" s="1"/>
  <c r="AF460" i="42" s="1"/>
  <c r="N461" i="42"/>
  <c r="P461" i="42" s="1"/>
  <c r="AE461" i="42" s="1"/>
  <c r="AF461" i="42" s="1"/>
  <c r="N462" i="42"/>
  <c r="P462" i="42" s="1"/>
  <c r="AE462" i="42" s="1"/>
  <c r="AF462" i="42" s="1"/>
  <c r="N463" i="42"/>
  <c r="P463" i="42" s="1"/>
  <c r="AE463" i="42" s="1"/>
  <c r="AF463" i="42" s="1"/>
  <c r="N464" i="42"/>
  <c r="P464" i="42" s="1"/>
  <c r="AE464" i="42" s="1"/>
  <c r="AF464" i="42" s="1"/>
  <c r="N465" i="42"/>
  <c r="P465" i="42" s="1"/>
  <c r="AE465" i="42" s="1"/>
  <c r="AF465" i="42" s="1"/>
  <c r="N466" i="42"/>
  <c r="P466" i="42" s="1"/>
  <c r="AE466" i="42" s="1"/>
  <c r="AF466" i="42" s="1"/>
  <c r="N467" i="42"/>
  <c r="N468" i="42"/>
  <c r="N469" i="42"/>
  <c r="N470" i="42"/>
  <c r="P470" i="42" s="1"/>
  <c r="AE470" i="42" s="1"/>
  <c r="AF470" i="42" s="1"/>
  <c r="N471" i="42"/>
  <c r="N472" i="42"/>
  <c r="P472" i="42" s="1"/>
  <c r="AE472" i="42" s="1"/>
  <c r="AF472" i="42" s="1"/>
  <c r="N473" i="42"/>
  <c r="P473" i="42" s="1"/>
  <c r="AE473" i="42" s="1"/>
  <c r="AF473" i="42" s="1"/>
  <c r="N474" i="42"/>
  <c r="P474" i="42" s="1"/>
  <c r="AE474" i="42" s="1"/>
  <c r="AF474" i="42" s="1"/>
  <c r="N475" i="42"/>
  <c r="P475" i="42" s="1"/>
  <c r="AE475" i="42" s="1"/>
  <c r="AF475" i="42" s="1"/>
  <c r="N476" i="42"/>
  <c r="P476" i="42" s="1"/>
  <c r="AE476" i="42" s="1"/>
  <c r="AF476" i="42" s="1"/>
  <c r="N477" i="42"/>
  <c r="P477" i="42" s="1"/>
  <c r="AE477" i="42" s="1"/>
  <c r="AF477" i="42" s="1"/>
  <c r="N478" i="42"/>
  <c r="P478" i="42" s="1"/>
  <c r="AE478" i="42" s="1"/>
  <c r="AF478" i="42" s="1"/>
  <c r="N479" i="42"/>
  <c r="P479" i="42" s="1"/>
  <c r="AE479" i="42" s="1"/>
  <c r="AF479" i="42" s="1"/>
  <c r="N480" i="42"/>
  <c r="P480" i="42" s="1"/>
  <c r="AE480" i="42" s="1"/>
  <c r="AF480" i="42" s="1"/>
  <c r="N481" i="42"/>
  <c r="P481" i="42" s="1"/>
  <c r="AE481" i="42" s="1"/>
  <c r="AF481" i="42" s="1"/>
  <c r="N482" i="42"/>
  <c r="P482" i="42" s="1"/>
  <c r="AE482" i="42" s="1"/>
  <c r="AF482" i="42" s="1"/>
  <c r="N483" i="42"/>
  <c r="N484" i="42"/>
  <c r="N485" i="42"/>
  <c r="P485" i="42" s="1"/>
  <c r="AE485" i="42" s="1"/>
  <c r="AF485" i="42" s="1"/>
  <c r="N486" i="42"/>
  <c r="N487" i="42"/>
  <c r="N488" i="42"/>
  <c r="N489" i="42"/>
  <c r="P489" i="42" s="1"/>
  <c r="AE489" i="42" s="1"/>
  <c r="AF489" i="42" s="1"/>
  <c r="N490" i="42"/>
  <c r="P490" i="42" s="1"/>
  <c r="AE490" i="42" s="1"/>
  <c r="AF490" i="42" s="1"/>
  <c r="N491" i="42"/>
  <c r="P491" i="42" s="1"/>
  <c r="AE491" i="42" s="1"/>
  <c r="AF491" i="42" s="1"/>
  <c r="N492" i="42"/>
  <c r="P492" i="42" s="1"/>
  <c r="AE492" i="42" s="1"/>
  <c r="AF492" i="42" s="1"/>
  <c r="N493" i="42"/>
  <c r="P493" i="42" s="1"/>
  <c r="AE493" i="42" s="1"/>
  <c r="AF493" i="42" s="1"/>
  <c r="N494" i="42"/>
  <c r="P494" i="42" s="1"/>
  <c r="AE494" i="42" s="1"/>
  <c r="AF494" i="42" s="1"/>
  <c r="N495" i="42"/>
  <c r="P495" i="42" s="1"/>
  <c r="AE495" i="42" s="1"/>
  <c r="AF495" i="42" s="1"/>
  <c r="N496" i="42"/>
  <c r="P496" i="42" s="1"/>
  <c r="AE496" i="42" s="1"/>
  <c r="AF496" i="42" s="1"/>
  <c r="N497" i="42"/>
  <c r="P497" i="42" s="1"/>
  <c r="AE497" i="42" s="1"/>
  <c r="AF497" i="42" s="1"/>
  <c r="N498" i="42"/>
  <c r="N499" i="42"/>
  <c r="P499" i="42" s="1"/>
  <c r="AE499" i="42" s="1"/>
  <c r="AF499" i="42" s="1"/>
  <c r="N500" i="42"/>
  <c r="K1" i="16"/>
  <c r="L1" i="44"/>
  <c r="G4" i="57"/>
  <c r="C79" i="56"/>
  <c r="E5" i="56"/>
  <c r="AB3" i="56" a="1"/>
  <c r="AB3" i="56"/>
  <c r="AD3" i="56" s="1" a="1"/>
  <c r="AD3" i="56" s="1"/>
  <c r="D3" i="56"/>
  <c r="BW10" i="53"/>
  <c r="BT10" i="53"/>
  <c r="C22" i="59" s="1"/>
  <c r="BQ10" i="53"/>
  <c r="BH10" i="53"/>
  <c r="BF10" i="53"/>
  <c r="BD10" i="53"/>
  <c r="BC10" i="53"/>
  <c r="BB10" i="53"/>
  <c r="AX10" i="53"/>
  <c r="AY10" i="53" s="1" a="1"/>
  <c r="AY10" i="53" s="1"/>
  <c r="AQ10" i="53"/>
  <c r="AP10" i="53"/>
  <c r="AO10" i="53"/>
  <c r="AN10" i="53"/>
  <c r="AM10" i="53"/>
  <c r="AL10" i="53"/>
  <c r="AK10" i="53"/>
  <c r="AJ10" i="53"/>
  <c r="GW3" i="54"/>
  <c r="GQ3" i="54"/>
  <c r="GP3" i="54"/>
  <c r="GO3" i="54"/>
  <c r="GM3" i="54"/>
  <c r="GL3" i="54"/>
  <c r="GK3" i="54"/>
  <c r="GJ3" i="54"/>
  <c r="GI3" i="54"/>
  <c r="GH3" i="54"/>
  <c r="GG3" i="54"/>
  <c r="GF3" i="54"/>
  <c r="GE3" i="54"/>
  <c r="FL3" i="54"/>
  <c r="FM3" i="54" s="1"/>
  <c r="FB3" i="54"/>
  <c r="ER3" i="54"/>
  <c r="ES3" i="54" s="1"/>
  <c r="EP3" i="54"/>
  <c r="GN3" i="54" s="1"/>
  <c r="EO3" i="54"/>
  <c r="EN3" i="54"/>
  <c r="EJ3" i="54"/>
  <c r="EI3" i="54"/>
  <c r="EH3" i="54"/>
  <c r="EG3" i="54"/>
  <c r="EF3" i="54"/>
  <c r="EE3" i="54"/>
  <c r="ED3" i="54"/>
  <c r="EC3" i="54"/>
  <c r="EB3" i="54"/>
  <c r="EA3" i="54"/>
  <c r="DV3" i="54"/>
  <c r="DU3" i="54"/>
  <c r="DT3" i="54"/>
  <c r="DS3" i="54"/>
  <c r="DQ3" i="54"/>
  <c r="DP3" i="54"/>
  <c r="AA3" i="56" s="1" a="1"/>
  <c r="AA3" i="56" s="1"/>
  <c r="DO3" i="54"/>
  <c r="DM3" i="54"/>
  <c r="DL3" i="54"/>
  <c r="DK3" i="54"/>
  <c r="DJ3" i="54" a="1"/>
  <c r="DJ3" i="54" s="1"/>
  <c r="DN3" i="54" s="1"/>
  <c r="DI3" i="54"/>
  <c r="DH3" i="54"/>
  <c r="DF3" i="54"/>
  <c r="DE3" i="54" a="1"/>
  <c r="DE3" i="54" s="1"/>
  <c r="AE3" i="56" s="1" a="1"/>
  <c r="AE3" i="56" s="1"/>
  <c r="DD3" i="54"/>
  <c r="DC3" i="54"/>
  <c r="CZ3" i="54"/>
  <c r="CN3" i="54"/>
  <c r="CX3" i="54" s="1"/>
  <c r="CE3" i="54"/>
  <c r="BW3" i="54"/>
  <c r="BV3" i="54"/>
  <c r="BY3" i="54" s="1"/>
  <c r="BS3" i="54" a="1"/>
  <c r="BS3" i="54"/>
  <c r="BT3" i="54" s="1"/>
  <c r="BQ3" i="54"/>
  <c r="BO3" i="54"/>
  <c r="BN3" i="54" a="1"/>
  <c r="BN3" i="54" s="1"/>
  <c r="BM3" i="54" a="1"/>
  <c r="BM3" i="54" s="1"/>
  <c r="CA3" i="54" s="1"/>
  <c r="BK3" i="54"/>
  <c r="BJ3" i="54"/>
  <c r="BI3" i="54"/>
  <c r="CG3" i="54" s="1"/>
  <c r="BH3" i="54"/>
  <c r="BZ3" i="54" s="1"/>
  <c r="BG3" i="54"/>
  <c r="BF3" i="54"/>
  <c r="BC3" i="54"/>
  <c r="BB3" i="54"/>
  <c r="BA3" i="54"/>
  <c r="AI10" i="53" s="1"/>
  <c r="BU10" i="53" s="1" a="1"/>
  <c r="BU10" i="53" s="1"/>
  <c r="AY3" i="54"/>
  <c r="E3" i="54" s="1"/>
  <c r="AZ3" i="54" s="1"/>
  <c r="AW3" i="54"/>
  <c r="AX3" i="54" s="1"/>
  <c r="AV3" i="54"/>
  <c r="AU3" i="54"/>
  <c r="AT3" i="54"/>
  <c r="DW3" i="54" s="1"/>
  <c r="AS3" i="54" a="1"/>
  <c r="AS3" i="54" s="1"/>
  <c r="CY3" i="54" s="1"/>
  <c r="V503" i="19"/>
  <c r="W503" i="19" s="1"/>
  <c r="V502" i="19"/>
  <c r="V501" i="19"/>
  <c r="V500" i="19"/>
  <c r="W500" i="19" s="1"/>
  <c r="V499" i="19"/>
  <c r="X499" i="19" s="1"/>
  <c r="V498" i="19"/>
  <c r="X498" i="19" s="1"/>
  <c r="V497" i="19"/>
  <c r="X497" i="19" s="1"/>
  <c r="V496" i="19"/>
  <c r="X496" i="19" s="1"/>
  <c r="V495" i="19"/>
  <c r="W495" i="19" s="1"/>
  <c r="V494" i="19"/>
  <c r="X494" i="19" s="1"/>
  <c r="V493" i="19"/>
  <c r="X493" i="19" s="1"/>
  <c r="V492" i="19"/>
  <c r="X492" i="19" s="1"/>
  <c r="V491" i="19"/>
  <c r="W491" i="19" s="1"/>
  <c r="V490" i="19"/>
  <c r="W490" i="19" s="1"/>
  <c r="V489" i="19"/>
  <c r="W489" i="19" s="1"/>
  <c r="V488" i="19"/>
  <c r="V487" i="19"/>
  <c r="W487" i="19" s="1"/>
  <c r="V486" i="19"/>
  <c r="V485" i="19"/>
  <c r="X485" i="19" s="1"/>
  <c r="V484" i="19"/>
  <c r="V483" i="19"/>
  <c r="W483" i="19" s="1"/>
  <c r="V482" i="19"/>
  <c r="W482" i="19" s="1"/>
  <c r="V481" i="19"/>
  <c r="X481" i="19" s="1"/>
  <c r="V480" i="19"/>
  <c r="X480" i="19" s="1"/>
  <c r="V479" i="19"/>
  <c r="V478" i="19"/>
  <c r="V477" i="19"/>
  <c r="W477" i="19" s="1"/>
  <c r="V476" i="19"/>
  <c r="X476" i="19" s="1"/>
  <c r="V475" i="19"/>
  <c r="W475" i="19" s="1"/>
  <c r="V474" i="19"/>
  <c r="V473" i="19"/>
  <c r="X473" i="19" s="1"/>
  <c r="V472" i="19"/>
  <c r="X472" i="19" s="1"/>
  <c r="V471" i="19"/>
  <c r="W471" i="19" s="1"/>
  <c r="V470" i="19"/>
  <c r="W470" i="19" s="1"/>
  <c r="V469" i="19"/>
  <c r="X469" i="19" s="1"/>
  <c r="V468" i="19"/>
  <c r="X468" i="19" s="1"/>
  <c r="V467" i="19"/>
  <c r="V466" i="19"/>
  <c r="W466" i="19" s="1"/>
  <c r="V465" i="19"/>
  <c r="X465" i="19" s="1"/>
  <c r="V464" i="19"/>
  <c r="X464" i="19" s="1"/>
  <c r="V463" i="19"/>
  <c r="W463" i="19" s="1"/>
  <c r="V462" i="19"/>
  <c r="X462" i="19" s="1"/>
  <c r="V461" i="19"/>
  <c r="V460" i="19"/>
  <c r="X460" i="19" s="1"/>
  <c r="V459" i="19"/>
  <c r="W459" i="19" s="1"/>
  <c r="V458" i="19"/>
  <c r="X458" i="19" s="1"/>
  <c r="V457" i="19"/>
  <c r="X457" i="19" s="1"/>
  <c r="V456" i="19"/>
  <c r="X456" i="19" s="1"/>
  <c r="V455" i="19"/>
  <c r="W455" i="19" s="1"/>
  <c r="V454" i="19"/>
  <c r="X454" i="19" s="1"/>
  <c r="V453" i="19"/>
  <c r="V452" i="19"/>
  <c r="X452" i="19" s="1"/>
  <c r="V451" i="19"/>
  <c r="W451" i="19" s="1"/>
  <c r="V450" i="19"/>
  <c r="W450" i="19" s="1"/>
  <c r="V449" i="19"/>
  <c r="V448" i="19"/>
  <c r="X448" i="19" s="1"/>
  <c r="V447" i="19"/>
  <c r="W447" i="19" s="1"/>
  <c r="V446" i="19"/>
  <c r="X446" i="19" s="1"/>
  <c r="V445" i="19"/>
  <c r="X445" i="19" s="1"/>
  <c r="V444" i="19"/>
  <c r="V443" i="19"/>
  <c r="V442" i="19"/>
  <c r="V441" i="19"/>
  <c r="V440" i="19"/>
  <c r="X440" i="19" s="1"/>
  <c r="V439" i="19"/>
  <c r="W439" i="19" s="1"/>
  <c r="V438" i="19"/>
  <c r="X438" i="19" s="1"/>
  <c r="V437" i="19"/>
  <c r="X437" i="19" s="1"/>
  <c r="V436" i="19"/>
  <c r="W436" i="19" s="1"/>
  <c r="V435" i="19"/>
  <c r="X435" i="19" s="1"/>
  <c r="V434" i="19"/>
  <c r="X434" i="19" s="1"/>
  <c r="V433" i="19"/>
  <c r="X433" i="19" s="1"/>
  <c r="V432" i="19"/>
  <c r="X432" i="19" s="1"/>
  <c r="V431" i="19"/>
  <c r="V430" i="19"/>
  <c r="W430" i="19" s="1"/>
  <c r="V429" i="19"/>
  <c r="X429" i="19" s="1"/>
  <c r="V428" i="19"/>
  <c r="X428" i="19" s="1"/>
  <c r="V427" i="19"/>
  <c r="W427" i="19" s="1"/>
  <c r="V426" i="19"/>
  <c r="V425" i="19"/>
  <c r="W425" i="19" s="1"/>
  <c r="V424" i="19"/>
  <c r="X424" i="19" s="1"/>
  <c r="V423" i="19"/>
  <c r="W423" i="19" s="1"/>
  <c r="V422" i="19"/>
  <c r="X422" i="19" s="1"/>
  <c r="V421" i="19"/>
  <c r="X421" i="19" s="1"/>
  <c r="V420" i="19"/>
  <c r="V419" i="19"/>
  <c r="V418" i="19"/>
  <c r="W418" i="19" s="1"/>
  <c r="V417" i="19"/>
  <c r="X417" i="19" s="1"/>
  <c r="V416" i="19"/>
  <c r="X416" i="19" s="1"/>
  <c r="V415" i="19"/>
  <c r="W415" i="19" s="1"/>
  <c r="V414" i="19"/>
  <c r="V413" i="19"/>
  <c r="W413" i="19" s="1"/>
  <c r="V412" i="19"/>
  <c r="X412" i="19" s="1"/>
  <c r="V411" i="19"/>
  <c r="W411" i="19" s="1"/>
  <c r="V410" i="19"/>
  <c r="V409" i="19"/>
  <c r="V408" i="19"/>
  <c r="X408" i="19" s="1"/>
  <c r="V407" i="19"/>
  <c r="V406" i="19"/>
  <c r="X406" i="19" s="1"/>
  <c r="V405" i="19"/>
  <c r="X405" i="19" s="1"/>
  <c r="V404" i="19"/>
  <c r="X404" i="19" s="1"/>
  <c r="V403" i="19"/>
  <c r="W403" i="19" s="1"/>
  <c r="V402" i="19"/>
  <c r="X402" i="19" s="1"/>
  <c r="V401" i="19"/>
  <c r="W401" i="19" s="1"/>
  <c r="V400" i="19"/>
  <c r="X400" i="19" s="1"/>
  <c r="V399" i="19"/>
  <c r="V398" i="19"/>
  <c r="X398" i="19" s="1"/>
  <c r="V397" i="19"/>
  <c r="V396" i="19"/>
  <c r="X396" i="19" s="1"/>
  <c r="V395" i="19"/>
  <c r="W395" i="19" s="1"/>
  <c r="V394" i="19"/>
  <c r="X394" i="19" s="1"/>
  <c r="V393" i="19"/>
  <c r="V392" i="19"/>
  <c r="X392" i="19" s="1"/>
  <c r="V391" i="19"/>
  <c r="W391" i="19" s="1"/>
  <c r="V390" i="19"/>
  <c r="X390" i="19" s="1"/>
  <c r="V389" i="19"/>
  <c r="X389" i="19" s="1"/>
  <c r="V388" i="19"/>
  <c r="X388" i="19" s="1"/>
  <c r="V387" i="19"/>
  <c r="V386" i="19"/>
  <c r="X386" i="19" s="1"/>
  <c r="V385" i="19"/>
  <c r="V384" i="19"/>
  <c r="V383" i="19"/>
  <c r="X383" i="19" s="1"/>
  <c r="V382" i="19"/>
  <c r="X382" i="19" s="1"/>
  <c r="V381" i="19"/>
  <c r="X381" i="19" s="1"/>
  <c r="V380" i="19"/>
  <c r="V379" i="19"/>
  <c r="V378" i="19"/>
  <c r="X378" i="19" s="1"/>
  <c r="V377" i="19"/>
  <c r="V376" i="19"/>
  <c r="X376" i="19" s="1"/>
  <c r="V375" i="19"/>
  <c r="W375" i="19" s="1"/>
  <c r="V374" i="19"/>
  <c r="X374" i="19" s="1"/>
  <c r="V373" i="19"/>
  <c r="V372" i="19"/>
  <c r="V371" i="19"/>
  <c r="X371" i="19" s="1"/>
  <c r="V370" i="19"/>
  <c r="X370" i="19" s="1"/>
  <c r="V369" i="19"/>
  <c r="X369" i="19" s="1"/>
  <c r="V368" i="19"/>
  <c r="X368" i="19" s="1"/>
  <c r="V367" i="19"/>
  <c r="V366" i="19"/>
  <c r="X366" i="19" s="1"/>
  <c r="V365" i="19"/>
  <c r="X365" i="19" s="1"/>
  <c r="V364" i="19"/>
  <c r="V363" i="19"/>
  <c r="W363" i="19" s="1"/>
  <c r="V362" i="19"/>
  <c r="W362" i="19" s="1"/>
  <c r="V361" i="19"/>
  <c r="V360" i="19"/>
  <c r="X360" i="19" s="1"/>
  <c r="V359" i="19"/>
  <c r="W359" i="19" s="1"/>
  <c r="V358" i="19"/>
  <c r="V357" i="19"/>
  <c r="X357" i="19" s="1"/>
  <c r="V356" i="19"/>
  <c r="V355" i="19"/>
  <c r="V354" i="19"/>
  <c r="X354" i="19" s="1"/>
  <c r="V353" i="19"/>
  <c r="X353" i="19" s="1"/>
  <c r="V352" i="19"/>
  <c r="X352" i="19" s="1"/>
  <c r="V351" i="19"/>
  <c r="X351" i="19" s="1"/>
  <c r="V350" i="19"/>
  <c r="V349" i="19"/>
  <c r="V348" i="19"/>
  <c r="X348" i="19" s="1"/>
  <c r="V347" i="19"/>
  <c r="W347" i="19" s="1"/>
  <c r="V346" i="19"/>
  <c r="W346" i="19" s="1"/>
  <c r="V345" i="19"/>
  <c r="X345" i="19" s="1"/>
  <c r="V344" i="19"/>
  <c r="X344" i="19" s="1"/>
  <c r="V343" i="19"/>
  <c r="W343" i="19" s="1"/>
  <c r="V342" i="19"/>
  <c r="X342" i="19" s="1"/>
  <c r="V341" i="19"/>
  <c r="X341" i="19" s="1"/>
  <c r="V340" i="19"/>
  <c r="X340" i="19" s="1"/>
  <c r="V339" i="19"/>
  <c r="W339" i="19" s="1"/>
  <c r="V338" i="19"/>
  <c r="X338" i="19" s="1"/>
  <c r="V337" i="19"/>
  <c r="X337" i="19" s="1"/>
  <c r="V336" i="19"/>
  <c r="X336" i="19" s="1"/>
  <c r="V335" i="19"/>
  <c r="X335" i="19" s="1"/>
  <c r="V334" i="19"/>
  <c r="X334" i="19" s="1"/>
  <c r="V333" i="19"/>
  <c r="V332" i="19"/>
  <c r="V331" i="19"/>
  <c r="W331" i="19" s="1"/>
  <c r="V330" i="19"/>
  <c r="X330" i="19" s="1"/>
  <c r="V329" i="19"/>
  <c r="V328" i="19"/>
  <c r="X328" i="19" s="1"/>
  <c r="V327" i="19"/>
  <c r="W327" i="19" s="1"/>
  <c r="V326" i="19"/>
  <c r="W326" i="19" s="1"/>
  <c r="V325" i="19"/>
  <c r="X325" i="19" s="1"/>
  <c r="V324" i="19"/>
  <c r="X324" i="19" s="1"/>
  <c r="V323" i="19"/>
  <c r="W323" i="19" s="1"/>
  <c r="V322" i="19"/>
  <c r="X322" i="19" s="1"/>
  <c r="V321" i="19"/>
  <c r="V320" i="19"/>
  <c r="V319" i="19"/>
  <c r="W319" i="19" s="1"/>
  <c r="V318" i="19"/>
  <c r="X318" i="19" s="1"/>
  <c r="V317" i="19"/>
  <c r="X317" i="19" s="1"/>
  <c r="V316" i="19"/>
  <c r="V315" i="19"/>
  <c r="V314" i="19"/>
  <c r="V313" i="19"/>
  <c r="X313" i="19" s="1"/>
  <c r="V312" i="19"/>
  <c r="X312" i="19" s="1"/>
  <c r="V311" i="19"/>
  <c r="W311" i="19" s="1"/>
  <c r="V310" i="19"/>
  <c r="W310" i="19" s="1"/>
  <c r="V309" i="19"/>
  <c r="X309" i="19" s="1"/>
  <c r="V308" i="19"/>
  <c r="V307" i="19"/>
  <c r="X307" i="19" s="1"/>
  <c r="V306" i="19"/>
  <c r="W306" i="19" s="1"/>
  <c r="V305" i="19"/>
  <c r="X305" i="19" s="1"/>
  <c r="V304" i="19"/>
  <c r="X304" i="19" s="1"/>
  <c r="V303" i="19"/>
  <c r="W303" i="19" s="1"/>
  <c r="V302" i="19"/>
  <c r="W302" i="19" s="1"/>
  <c r="V301" i="19"/>
  <c r="X301" i="19" s="1"/>
  <c r="V300" i="19"/>
  <c r="X300" i="19" s="1"/>
  <c r="V299" i="19"/>
  <c r="W299" i="19" s="1"/>
  <c r="V298" i="19"/>
  <c r="V297" i="19"/>
  <c r="V296" i="19"/>
  <c r="X296" i="19" s="1"/>
  <c r="V295" i="19"/>
  <c r="W295" i="19" s="1"/>
  <c r="V294" i="19"/>
  <c r="W294" i="19" s="1"/>
  <c r="V293" i="19"/>
  <c r="X293" i="19" s="1"/>
  <c r="V292" i="19"/>
  <c r="V291" i="19"/>
  <c r="X291" i="19" s="1"/>
  <c r="V290" i="19"/>
  <c r="V289" i="19"/>
  <c r="X289" i="19" s="1"/>
  <c r="V288" i="19"/>
  <c r="X288" i="19" s="1"/>
  <c r="V287" i="19"/>
  <c r="V286" i="19"/>
  <c r="V285" i="19"/>
  <c r="W285" i="19" s="1"/>
  <c r="V284" i="19"/>
  <c r="X284" i="19" s="1"/>
  <c r="V283" i="19"/>
  <c r="W283" i="19" s="1"/>
  <c r="V282" i="19"/>
  <c r="W282" i="19" s="1"/>
  <c r="V281" i="19"/>
  <c r="V280" i="19"/>
  <c r="X280" i="19" s="1"/>
  <c r="V279" i="19"/>
  <c r="V278" i="19"/>
  <c r="X278" i="19" s="1"/>
  <c r="V277" i="19"/>
  <c r="X277" i="19" s="1"/>
  <c r="V276" i="19"/>
  <c r="X276" i="19" s="1"/>
  <c r="V275" i="19"/>
  <c r="W275" i="19" s="1"/>
  <c r="V274" i="19"/>
  <c r="V273" i="19"/>
  <c r="X273" i="19" s="1"/>
  <c r="V272" i="19"/>
  <c r="X272" i="19" s="1"/>
  <c r="V271" i="19"/>
  <c r="X271" i="19" s="1"/>
  <c r="V270" i="19"/>
  <c r="X270" i="19" s="1"/>
  <c r="V269" i="19"/>
  <c r="V268" i="19"/>
  <c r="V267" i="19"/>
  <c r="W267" i="19" s="1"/>
  <c r="V266" i="19"/>
  <c r="X266" i="19" s="1"/>
  <c r="V265" i="19"/>
  <c r="X265" i="19" s="1"/>
  <c r="V264" i="19"/>
  <c r="X264" i="19" s="1"/>
  <c r="V263" i="19"/>
  <c r="W263" i="19" s="1"/>
  <c r="V262" i="19"/>
  <c r="W262" i="19" s="1"/>
  <c r="V261" i="19"/>
  <c r="X261" i="19" s="1"/>
  <c r="V260" i="19"/>
  <c r="X260" i="19" s="1"/>
  <c r="V259" i="19"/>
  <c r="W259" i="19" s="1"/>
  <c r="V258" i="19"/>
  <c r="X258" i="19" s="1"/>
  <c r="V257" i="19"/>
  <c r="X257" i="19" s="1"/>
  <c r="V256" i="19"/>
  <c r="V255" i="19"/>
  <c r="V254" i="19"/>
  <c r="X254" i="19" s="1"/>
  <c r="V253" i="19"/>
  <c r="X253" i="19" s="1"/>
  <c r="V252" i="19"/>
  <c r="V251" i="19"/>
  <c r="V250" i="19"/>
  <c r="W250" i="19" s="1"/>
  <c r="V249" i="19"/>
  <c r="X249" i="19" s="1"/>
  <c r="V248" i="19"/>
  <c r="X248" i="19" s="1"/>
  <c r="V247" i="19"/>
  <c r="W247" i="19" s="1"/>
  <c r="V246" i="19"/>
  <c r="V245" i="19"/>
  <c r="V244" i="19"/>
  <c r="V243" i="19"/>
  <c r="X243" i="19" s="1"/>
  <c r="V242" i="19"/>
  <c r="W242" i="19" s="1"/>
  <c r="V241" i="19"/>
  <c r="X241" i="19" s="1"/>
  <c r="V240" i="19"/>
  <c r="X240" i="19" s="1"/>
  <c r="V239" i="19"/>
  <c r="V238" i="19"/>
  <c r="X238" i="19" s="1"/>
  <c r="V237" i="19"/>
  <c r="X237" i="19" s="1"/>
  <c r="V236" i="19"/>
  <c r="V235" i="19"/>
  <c r="W235" i="19" s="1"/>
  <c r="V234" i="19"/>
  <c r="V233" i="19"/>
  <c r="W233" i="19" s="1"/>
  <c r="V232" i="19"/>
  <c r="X232" i="19" s="1"/>
  <c r="V231" i="19"/>
  <c r="W231" i="19" s="1"/>
  <c r="V230" i="19"/>
  <c r="V229" i="19"/>
  <c r="X229" i="19" s="1"/>
  <c r="V228" i="19"/>
  <c r="V227" i="19"/>
  <c r="X227" i="19" s="1"/>
  <c r="V226" i="19"/>
  <c r="X226" i="19" s="1"/>
  <c r="V225" i="19"/>
  <c r="X225" i="19" s="1"/>
  <c r="V224" i="19"/>
  <c r="X224" i="19" s="1"/>
  <c r="V223" i="19"/>
  <c r="X223" i="19" s="1"/>
  <c r="W222" i="19"/>
  <c r="V222" i="19"/>
  <c r="X222" i="19" s="1"/>
  <c r="V221" i="19"/>
  <c r="W221" i="19" s="1"/>
  <c r="V220" i="19"/>
  <c r="X220" i="19" s="1"/>
  <c r="V219" i="19"/>
  <c r="W219" i="19" s="1"/>
  <c r="V218" i="19"/>
  <c r="W218" i="19" s="1"/>
  <c r="V217" i="19"/>
  <c r="V216" i="19"/>
  <c r="X216" i="19" s="1"/>
  <c r="V215" i="19"/>
  <c r="W215" i="19" s="1"/>
  <c r="V214" i="19"/>
  <c r="X214" i="19" s="1"/>
  <c r="V213" i="19"/>
  <c r="X213" i="19" s="1"/>
  <c r="V212" i="19"/>
  <c r="X212" i="19" s="1"/>
  <c r="V211" i="19"/>
  <c r="V210" i="19"/>
  <c r="V209" i="19"/>
  <c r="W209" i="19" s="1"/>
  <c r="V208" i="19"/>
  <c r="X208" i="19" s="1"/>
  <c r="V207" i="19"/>
  <c r="V206" i="19"/>
  <c r="X206" i="19" s="1"/>
  <c r="V205" i="19"/>
  <c r="V204" i="19"/>
  <c r="V203" i="19"/>
  <c r="W203" i="19" s="1"/>
  <c r="V202" i="19"/>
  <c r="X202" i="19" s="1"/>
  <c r="V201" i="19"/>
  <c r="X201" i="19" s="1"/>
  <c r="V200" i="19"/>
  <c r="X200" i="19" s="1"/>
  <c r="V199" i="19"/>
  <c r="W199" i="19" s="1"/>
  <c r="V198" i="19"/>
  <c r="X198" i="19" s="1"/>
  <c r="V197" i="19"/>
  <c r="V196" i="19"/>
  <c r="X196" i="19" s="1"/>
  <c r="V195" i="19"/>
  <c r="W195" i="19" s="1"/>
  <c r="V194" i="19"/>
  <c r="V193" i="19"/>
  <c r="X193" i="19" s="1"/>
  <c r="V192" i="19"/>
  <c r="X192" i="19" s="1"/>
  <c r="V191" i="19"/>
  <c r="X191" i="19" s="1"/>
  <c r="V190" i="19"/>
  <c r="X190" i="19" s="1"/>
  <c r="V189" i="19"/>
  <c r="X189" i="19" s="1"/>
  <c r="V188" i="19"/>
  <c r="X188" i="19" s="1"/>
  <c r="V187" i="19"/>
  <c r="V186" i="19"/>
  <c r="X186" i="19" s="1"/>
  <c r="V185" i="19"/>
  <c r="X185" i="19" s="1"/>
  <c r="V184" i="19"/>
  <c r="X184" i="19" s="1"/>
  <c r="V183" i="19"/>
  <c r="W183" i="19" s="1"/>
  <c r="V182" i="19"/>
  <c r="X182" i="19" s="1"/>
  <c r="V181" i="19"/>
  <c r="X181" i="19" s="1"/>
  <c r="V180" i="19"/>
  <c r="V179" i="19"/>
  <c r="X179" i="19" s="1"/>
  <c r="V178" i="19"/>
  <c r="X178" i="19" s="1"/>
  <c r="V177" i="19"/>
  <c r="X177" i="19" s="1"/>
  <c r="V176" i="19"/>
  <c r="X176" i="19" s="1"/>
  <c r="V175" i="19"/>
  <c r="V174" i="19"/>
  <c r="X174" i="19" s="1"/>
  <c r="V173" i="19"/>
  <c r="X173" i="19" s="1"/>
  <c r="V171" i="19"/>
  <c r="X171" i="19" s="1"/>
  <c r="V170" i="19"/>
  <c r="W170" i="19" s="1"/>
  <c r="V169" i="19"/>
  <c r="W169" i="19" s="1"/>
  <c r="V168" i="19"/>
  <c r="W168" i="19" s="1"/>
  <c r="V167" i="19"/>
  <c r="X167" i="19" s="1"/>
  <c r="V166" i="19"/>
  <c r="W166" i="19" s="1"/>
  <c r="V165" i="19"/>
  <c r="V164" i="19"/>
  <c r="X164" i="19" s="1"/>
  <c r="V163" i="19"/>
  <c r="V162" i="19"/>
  <c r="X162" i="19" s="1"/>
  <c r="V161" i="19"/>
  <c r="V160" i="19"/>
  <c r="X160" i="19" s="1"/>
  <c r="V159" i="19"/>
  <c r="X159" i="19" s="1"/>
  <c r="V158" i="19"/>
  <c r="T158" i="19"/>
  <c r="V157" i="19"/>
  <c r="T157" i="19"/>
  <c r="V156" i="19"/>
  <c r="W156" i="19" s="1"/>
  <c r="T156" i="19"/>
  <c r="V155" i="19"/>
  <c r="W155" i="19" s="1"/>
  <c r="T155" i="19"/>
  <c r="V154" i="19"/>
  <c r="X154" i="19" s="1"/>
  <c r="T154" i="19"/>
  <c r="V153" i="19"/>
  <c r="T153" i="19"/>
  <c r="V152" i="19"/>
  <c r="W152" i="19" s="1"/>
  <c r="T152" i="19"/>
  <c r="V151" i="19"/>
  <c r="T151" i="19"/>
  <c r="V150" i="19"/>
  <c r="T150" i="19"/>
  <c r="V149" i="19"/>
  <c r="T149" i="19"/>
  <c r="V148" i="19"/>
  <c r="T148" i="19"/>
  <c r="V147" i="19"/>
  <c r="W147" i="19" s="1"/>
  <c r="T147" i="19"/>
  <c r="V146" i="19"/>
  <c r="X146" i="19" s="1"/>
  <c r="T146" i="19"/>
  <c r="V145" i="19"/>
  <c r="X145" i="19" s="1"/>
  <c r="T145" i="19"/>
  <c r="V144" i="19"/>
  <c r="W144" i="19" s="1"/>
  <c r="T144" i="19"/>
  <c r="V143" i="19"/>
  <c r="T143" i="19"/>
  <c r="V142" i="19"/>
  <c r="T142" i="19"/>
  <c r="V141" i="19"/>
  <c r="X141" i="19" s="1"/>
  <c r="T141" i="19"/>
  <c r="V140" i="19"/>
  <c r="W140" i="19" s="1"/>
  <c r="T140" i="19"/>
  <c r="V139" i="19"/>
  <c r="T139" i="19"/>
  <c r="V138" i="19"/>
  <c r="W138" i="19" s="1"/>
  <c r="T138" i="19"/>
  <c r="V137" i="19"/>
  <c r="X137" i="19" s="1"/>
  <c r="T137" i="19"/>
  <c r="V136" i="19"/>
  <c r="W136" i="19" s="1"/>
  <c r="T136" i="19"/>
  <c r="V135" i="19"/>
  <c r="W135" i="19" s="1"/>
  <c r="T135" i="19"/>
  <c r="V134" i="19"/>
  <c r="W134" i="19" s="1"/>
  <c r="T134" i="19"/>
  <c r="V133" i="19"/>
  <c r="X133" i="19" s="1"/>
  <c r="T133" i="19"/>
  <c r="V132" i="19"/>
  <c r="W132" i="19" s="1"/>
  <c r="T132" i="19"/>
  <c r="V131" i="19"/>
  <c r="W131" i="19" s="1"/>
  <c r="T131" i="19"/>
  <c r="V130" i="19"/>
  <c r="T130" i="19"/>
  <c r="V129" i="19"/>
  <c r="T129" i="19"/>
  <c r="V128" i="19"/>
  <c r="W128" i="19" s="1"/>
  <c r="T128" i="19"/>
  <c r="V127" i="19"/>
  <c r="T127" i="19"/>
  <c r="V126" i="19"/>
  <c r="W126" i="19" s="1"/>
  <c r="T126" i="19"/>
  <c r="V125" i="19"/>
  <c r="W125" i="19" s="1"/>
  <c r="T125" i="19"/>
  <c r="V124" i="19"/>
  <c r="T124" i="19"/>
  <c r="V123" i="19"/>
  <c r="W123" i="19" s="1"/>
  <c r="T123" i="19"/>
  <c r="V122" i="19"/>
  <c r="X122" i="19" s="1"/>
  <c r="T122" i="19"/>
  <c r="V121" i="19"/>
  <c r="T121" i="19"/>
  <c r="V120" i="19"/>
  <c r="W120" i="19" s="1"/>
  <c r="T120" i="19"/>
  <c r="V119" i="19"/>
  <c r="W119" i="19" s="1"/>
  <c r="T119" i="19"/>
  <c r="V118" i="19"/>
  <c r="T118" i="19"/>
  <c r="V117" i="19"/>
  <c r="W117" i="19" s="1"/>
  <c r="T117" i="19"/>
  <c r="V116" i="19"/>
  <c r="W116" i="19" s="1"/>
  <c r="T116" i="19"/>
  <c r="V115" i="19"/>
  <c r="W115" i="19" s="1"/>
  <c r="T115" i="19"/>
  <c r="V114" i="19"/>
  <c r="X114" i="19" s="1"/>
  <c r="T114" i="19"/>
  <c r="V113" i="19"/>
  <c r="X113" i="19" s="1"/>
  <c r="T113" i="19"/>
  <c r="V112" i="19"/>
  <c r="W112" i="19" s="1"/>
  <c r="T112" i="19"/>
  <c r="V111" i="19"/>
  <c r="T111" i="19"/>
  <c r="V110" i="19"/>
  <c r="X110" i="19" s="1"/>
  <c r="T110" i="19"/>
  <c r="V109" i="19"/>
  <c r="X109" i="19" s="1"/>
  <c r="T109" i="19"/>
  <c r="V108" i="19"/>
  <c r="W108" i="19" s="1"/>
  <c r="T108" i="19"/>
  <c r="V107" i="19"/>
  <c r="T107" i="19"/>
  <c r="V106" i="19"/>
  <c r="T106" i="19"/>
  <c r="V105" i="19"/>
  <c r="X105" i="19" s="1"/>
  <c r="T105" i="19"/>
  <c r="V104" i="19"/>
  <c r="W104" i="19" s="1"/>
  <c r="T104" i="19"/>
  <c r="V103" i="19"/>
  <c r="W103" i="19" s="1"/>
  <c r="T103" i="19"/>
  <c r="V102" i="19"/>
  <c r="T102" i="19"/>
  <c r="V101" i="19"/>
  <c r="W101" i="19" s="1"/>
  <c r="T101" i="19"/>
  <c r="V100" i="19"/>
  <c r="W100" i="19" s="1"/>
  <c r="T100" i="19"/>
  <c r="V99" i="19"/>
  <c r="W99" i="19" s="1"/>
  <c r="T99" i="19"/>
  <c r="V98" i="19"/>
  <c r="T98" i="19"/>
  <c r="V97" i="19"/>
  <c r="W97" i="19" s="1"/>
  <c r="T97" i="19"/>
  <c r="V96" i="19"/>
  <c r="W96" i="19" s="1"/>
  <c r="T96" i="19"/>
  <c r="V95" i="19"/>
  <c r="T95" i="19"/>
  <c r="V94" i="19"/>
  <c r="T94" i="19"/>
  <c r="V93" i="19"/>
  <c r="W93" i="19" s="1"/>
  <c r="T93" i="19"/>
  <c r="V92" i="19"/>
  <c r="T92" i="19"/>
  <c r="V91" i="19"/>
  <c r="W91" i="19" s="1"/>
  <c r="T91" i="19"/>
  <c r="V90" i="19"/>
  <c r="X90" i="19" s="1"/>
  <c r="T90" i="19"/>
  <c r="V89" i="19"/>
  <c r="T89" i="19"/>
  <c r="V88" i="19"/>
  <c r="W88" i="19" s="1"/>
  <c r="T88" i="19"/>
  <c r="V87" i="19"/>
  <c r="W87" i="19" s="1"/>
  <c r="T87" i="19"/>
  <c r="V86" i="19"/>
  <c r="T86" i="19"/>
  <c r="V85" i="19"/>
  <c r="W85" i="19" s="1"/>
  <c r="T85" i="19"/>
  <c r="V84" i="19"/>
  <c r="T84" i="19"/>
  <c r="V83" i="19"/>
  <c r="W83" i="19" s="1"/>
  <c r="T83" i="19"/>
  <c r="V82" i="19"/>
  <c r="X82" i="19" s="1"/>
  <c r="T82" i="19"/>
  <c r="V81" i="19"/>
  <c r="X81" i="19" s="1"/>
  <c r="T81" i="19"/>
  <c r="V80" i="19"/>
  <c r="W80" i="19" s="1"/>
  <c r="T80" i="19"/>
  <c r="V79" i="19"/>
  <c r="T79" i="19"/>
  <c r="X78" i="19"/>
  <c r="V78" i="19"/>
  <c r="W78" i="19" s="1"/>
  <c r="T78" i="19"/>
  <c r="V77" i="19"/>
  <c r="W77" i="19" s="1"/>
  <c r="T77" i="19"/>
  <c r="V76" i="19"/>
  <c r="T76" i="19"/>
  <c r="V75" i="19"/>
  <c r="T75" i="19"/>
  <c r="V74" i="19"/>
  <c r="W74" i="19" s="1"/>
  <c r="T74" i="19"/>
  <c r="V73" i="19"/>
  <c r="X73" i="19" s="1"/>
  <c r="T73" i="19"/>
  <c r="V72" i="19"/>
  <c r="W72" i="19" s="1"/>
  <c r="T72" i="19"/>
  <c r="V71" i="19"/>
  <c r="W71" i="19" s="1"/>
  <c r="T71" i="19"/>
  <c r="V70" i="19"/>
  <c r="W70" i="19" s="1"/>
  <c r="T70" i="19"/>
  <c r="V69" i="19"/>
  <c r="W69" i="19" s="1"/>
  <c r="T69" i="19"/>
  <c r="V68" i="19"/>
  <c r="W68" i="19" s="1"/>
  <c r="T68" i="19"/>
  <c r="V67" i="19"/>
  <c r="W67" i="19" s="1"/>
  <c r="T67" i="19"/>
  <c r="V66" i="19"/>
  <c r="T66" i="19"/>
  <c r="V65" i="19"/>
  <c r="T65" i="19"/>
  <c r="V64" i="19"/>
  <c r="W64" i="19" s="1"/>
  <c r="T64" i="19"/>
  <c r="V63" i="19"/>
  <c r="W63" i="19" s="1"/>
  <c r="T63" i="19"/>
  <c r="V62" i="19"/>
  <c r="T62" i="19"/>
  <c r="V61" i="19"/>
  <c r="T61" i="19"/>
  <c r="V60" i="19"/>
  <c r="W60" i="19" s="1"/>
  <c r="T60" i="19"/>
  <c r="V59" i="19"/>
  <c r="W59" i="19" s="1"/>
  <c r="T59" i="19"/>
  <c r="V58" i="19"/>
  <c r="X58" i="19" s="1"/>
  <c r="T58" i="19"/>
  <c r="V57" i="19"/>
  <c r="T57" i="19"/>
  <c r="V56" i="19"/>
  <c r="W56" i="19" s="1"/>
  <c r="T56" i="19"/>
  <c r="V55" i="19"/>
  <c r="W55" i="19" s="1"/>
  <c r="T55" i="19"/>
  <c r="V54" i="19"/>
  <c r="W54" i="19" s="1"/>
  <c r="T54" i="19"/>
  <c r="V53" i="19"/>
  <c r="T53" i="19"/>
  <c r="V52" i="19"/>
  <c r="T52" i="19"/>
  <c r="V51" i="19"/>
  <c r="W51" i="19" s="1"/>
  <c r="T51" i="19"/>
  <c r="V50" i="19"/>
  <c r="X50" i="19" s="1"/>
  <c r="T50" i="19"/>
  <c r="V49" i="19"/>
  <c r="X49" i="19" s="1"/>
  <c r="T49" i="19"/>
  <c r="V48" i="19"/>
  <c r="W48" i="19" s="1"/>
  <c r="T48" i="19"/>
  <c r="V47" i="19"/>
  <c r="T47" i="19"/>
  <c r="V46" i="19"/>
  <c r="X46" i="19" s="1"/>
  <c r="T46" i="19"/>
  <c r="V45" i="19"/>
  <c r="X45" i="19" s="1"/>
  <c r="T45" i="19"/>
  <c r="V44" i="19"/>
  <c r="W44" i="19" s="1"/>
  <c r="T44" i="19"/>
  <c r="V43" i="19"/>
  <c r="T43" i="19"/>
  <c r="V42" i="19"/>
  <c r="T42" i="19"/>
  <c r="V41" i="19"/>
  <c r="X41" i="19" s="1"/>
  <c r="T41" i="19"/>
  <c r="V40" i="19"/>
  <c r="W40" i="19" s="1"/>
  <c r="T40" i="19"/>
  <c r="V39" i="19"/>
  <c r="W39" i="19" s="1"/>
  <c r="T39" i="19"/>
  <c r="V38" i="19"/>
  <c r="W38" i="19" s="1"/>
  <c r="T38" i="19"/>
  <c r="V37" i="19"/>
  <c r="T37" i="19"/>
  <c r="V36" i="19"/>
  <c r="W36" i="19" s="1"/>
  <c r="T36" i="19"/>
  <c r="V35" i="19"/>
  <c r="W35" i="19" s="1"/>
  <c r="T35" i="19"/>
  <c r="V34" i="19"/>
  <c r="T34" i="19"/>
  <c r="V33" i="19"/>
  <c r="W33" i="19" s="1"/>
  <c r="T33" i="19"/>
  <c r="V32" i="19"/>
  <c r="W32" i="19" s="1"/>
  <c r="T32" i="19"/>
  <c r="V31" i="19"/>
  <c r="W31" i="19" s="1"/>
  <c r="T31" i="19"/>
  <c r="V30" i="19"/>
  <c r="W30" i="19" s="1"/>
  <c r="T30" i="19"/>
  <c r="V29" i="19"/>
  <c r="W29" i="19" s="1"/>
  <c r="T29" i="19"/>
  <c r="V28" i="19"/>
  <c r="W28" i="19" s="1"/>
  <c r="T28" i="19"/>
  <c r="V27" i="19"/>
  <c r="W27" i="19" s="1"/>
  <c r="T27" i="19"/>
  <c r="V26" i="19"/>
  <c r="X26" i="19" s="1"/>
  <c r="T26" i="19"/>
  <c r="V25" i="19"/>
  <c r="T25" i="19"/>
  <c r="V24" i="19"/>
  <c r="W24" i="19" s="1"/>
  <c r="T24" i="19"/>
  <c r="V23" i="19"/>
  <c r="T23" i="19"/>
  <c r="V22" i="19"/>
  <c r="X22" i="19" s="1"/>
  <c r="T22" i="19"/>
  <c r="V21" i="19"/>
  <c r="X21" i="19" s="1"/>
  <c r="T21" i="19"/>
  <c r="V20" i="19"/>
  <c r="T20" i="19"/>
  <c r="V19" i="19"/>
  <c r="W19" i="19" s="1"/>
  <c r="T19" i="19"/>
  <c r="V18" i="19"/>
  <c r="X18" i="19" s="1"/>
  <c r="T18" i="19"/>
  <c r="V17" i="19"/>
  <c r="X17" i="19" s="1"/>
  <c r="T17" i="19"/>
  <c r="E17" i="19"/>
  <c r="F17" i="19" s="1"/>
  <c r="V16" i="19"/>
  <c r="T16" i="19"/>
  <c r="E16" i="19"/>
  <c r="F16" i="19" s="1"/>
  <c r="V15" i="19"/>
  <c r="X15" i="19" s="1"/>
  <c r="T15" i="19"/>
  <c r="E15" i="19"/>
  <c r="F15" i="19" s="1"/>
  <c r="V14" i="19"/>
  <c r="W14" i="19" s="1"/>
  <c r="T14" i="19"/>
  <c r="E14" i="19"/>
  <c r="F14" i="19" s="1"/>
  <c r="V13" i="19"/>
  <c r="W13" i="19" s="1"/>
  <c r="T13" i="19"/>
  <c r="E13" i="19"/>
  <c r="F13" i="19" s="1"/>
  <c r="V12" i="19"/>
  <c r="X12" i="19" s="1"/>
  <c r="T12" i="19"/>
  <c r="E12" i="19"/>
  <c r="F12" i="19" s="1"/>
  <c r="V11" i="19"/>
  <c r="W11" i="19" s="1"/>
  <c r="T11" i="19"/>
  <c r="E11" i="19"/>
  <c r="F11" i="19" s="1"/>
  <c r="V10" i="19"/>
  <c r="W10" i="19" s="1"/>
  <c r="T10" i="19"/>
  <c r="E10" i="19"/>
  <c r="F10" i="19" s="1"/>
  <c r="V9" i="19"/>
  <c r="X9" i="19" s="1"/>
  <c r="T9" i="19"/>
  <c r="E9" i="19"/>
  <c r="F9" i="19" s="1"/>
  <c r="V8" i="19"/>
  <c r="T8" i="19"/>
  <c r="E8" i="19"/>
  <c r="F8" i="19" s="1"/>
  <c r="V7" i="19"/>
  <c r="T7" i="19"/>
  <c r="E7" i="19"/>
  <c r="F7" i="19" s="1"/>
  <c r="V6" i="19"/>
  <c r="X6" i="19" s="1"/>
  <c r="T6" i="19"/>
  <c r="E6" i="19"/>
  <c r="F6" i="19" s="1"/>
  <c r="V5" i="19"/>
  <c r="W5" i="19" s="1"/>
  <c r="T5" i="19"/>
  <c r="E5" i="19"/>
  <c r="F5" i="19" s="1"/>
  <c r="V4" i="19"/>
  <c r="W4" i="19" s="1"/>
  <c r="T4" i="19"/>
  <c r="E4" i="19"/>
  <c r="F4" i="19" s="1"/>
  <c r="AC500" i="42"/>
  <c r="AA500" i="42"/>
  <c r="Y500" i="42"/>
  <c r="P500" i="42"/>
  <c r="AE500" i="42" s="1"/>
  <c r="AF500" i="42" s="1"/>
  <c r="AC499" i="42"/>
  <c r="AA499" i="42"/>
  <c r="Y499" i="42"/>
  <c r="V499" i="42"/>
  <c r="AC498" i="42"/>
  <c r="AA498" i="42"/>
  <c r="Y498" i="42"/>
  <c r="V498" i="42"/>
  <c r="P498" i="42"/>
  <c r="AE498" i="42" s="1"/>
  <c r="AF498" i="42" s="1"/>
  <c r="AC497" i="42"/>
  <c r="AA497" i="42"/>
  <c r="Y497" i="42"/>
  <c r="AC496" i="42"/>
  <c r="AA496" i="42"/>
  <c r="Y496" i="42"/>
  <c r="AC495" i="42"/>
  <c r="AA495" i="42"/>
  <c r="Y495" i="42"/>
  <c r="V495" i="42"/>
  <c r="AC494" i="42"/>
  <c r="AA494" i="42"/>
  <c r="Y494" i="42"/>
  <c r="AC493" i="42"/>
  <c r="AA493" i="42"/>
  <c r="Y493" i="42"/>
  <c r="AC492" i="42"/>
  <c r="AA492" i="42"/>
  <c r="Y492" i="42"/>
  <c r="AC491" i="42"/>
  <c r="AA491" i="42"/>
  <c r="Y491" i="42"/>
  <c r="V491" i="42"/>
  <c r="AC490" i="42"/>
  <c r="AA490" i="42"/>
  <c r="Y490" i="42"/>
  <c r="AC489" i="42"/>
  <c r="AA489" i="42"/>
  <c r="Y489" i="42"/>
  <c r="AC488" i="42"/>
  <c r="AA488" i="42"/>
  <c r="Y488" i="42"/>
  <c r="P488" i="42"/>
  <c r="AE488" i="42" s="1"/>
  <c r="AF488" i="42" s="1"/>
  <c r="AC487" i="42"/>
  <c r="AA487" i="42"/>
  <c r="Y487" i="42"/>
  <c r="P487" i="42"/>
  <c r="AE487" i="42" s="1"/>
  <c r="AF487" i="42" s="1"/>
  <c r="AC486" i="42"/>
  <c r="AA486" i="42"/>
  <c r="Y486" i="42"/>
  <c r="V486" i="42"/>
  <c r="P486" i="42"/>
  <c r="AE486" i="42" s="1"/>
  <c r="AF486" i="42" s="1"/>
  <c r="AC485" i="42"/>
  <c r="AA485" i="42"/>
  <c r="Y485" i="42"/>
  <c r="AC484" i="42"/>
  <c r="AA484" i="42"/>
  <c r="Y484" i="42"/>
  <c r="P484" i="42"/>
  <c r="AE484" i="42" s="1"/>
  <c r="AF484" i="42" s="1"/>
  <c r="AC483" i="42"/>
  <c r="AA483" i="42"/>
  <c r="Y483" i="42"/>
  <c r="P483" i="42"/>
  <c r="AE483" i="42" s="1"/>
  <c r="AF483" i="42" s="1"/>
  <c r="AC482" i="42"/>
  <c r="AA482" i="42"/>
  <c r="Y482" i="42"/>
  <c r="V482" i="42"/>
  <c r="AC481" i="42"/>
  <c r="AA481" i="42"/>
  <c r="Y481" i="42"/>
  <c r="AC480" i="42"/>
  <c r="AA480" i="42"/>
  <c r="Y480" i="42"/>
  <c r="AC479" i="42"/>
  <c r="AA479" i="42"/>
  <c r="Y479" i="42"/>
  <c r="V479" i="42"/>
  <c r="AC478" i="42"/>
  <c r="AA478" i="42"/>
  <c r="Y478" i="42"/>
  <c r="AC477" i="42"/>
  <c r="AA477" i="42"/>
  <c r="Y477" i="42"/>
  <c r="AC476" i="42"/>
  <c r="AA476" i="42"/>
  <c r="Y476" i="42"/>
  <c r="AC475" i="42"/>
  <c r="AA475" i="42"/>
  <c r="Y475" i="42"/>
  <c r="V475" i="42"/>
  <c r="AC474" i="42"/>
  <c r="AA474" i="42"/>
  <c r="Y474" i="42"/>
  <c r="AC473" i="42"/>
  <c r="AA473" i="42"/>
  <c r="Y473" i="42"/>
  <c r="V473" i="42"/>
  <c r="AC472" i="42"/>
  <c r="AA472" i="42"/>
  <c r="Y472" i="42"/>
  <c r="AC471" i="42"/>
  <c r="AA471" i="42"/>
  <c r="Y471" i="42"/>
  <c r="P471" i="42"/>
  <c r="AE471" i="42" s="1"/>
  <c r="AF471" i="42" s="1"/>
  <c r="AC470" i="42"/>
  <c r="AA470" i="42"/>
  <c r="Y470" i="42"/>
  <c r="V470" i="42"/>
  <c r="AC469" i="42"/>
  <c r="AA469" i="42"/>
  <c r="Y469" i="42"/>
  <c r="P469" i="42"/>
  <c r="AE469" i="42" s="1"/>
  <c r="AF469" i="42" s="1"/>
  <c r="AC468" i="42"/>
  <c r="AA468" i="42"/>
  <c r="Y468" i="42"/>
  <c r="P468" i="42"/>
  <c r="AE468" i="42" s="1"/>
  <c r="AF468" i="42" s="1"/>
  <c r="AC467" i="42"/>
  <c r="AA467" i="42"/>
  <c r="Y467" i="42"/>
  <c r="V467" i="42"/>
  <c r="P467" i="42"/>
  <c r="AE467" i="42" s="1"/>
  <c r="AF467" i="42" s="1"/>
  <c r="AC466" i="42"/>
  <c r="AA466" i="42"/>
  <c r="Y466" i="42"/>
  <c r="V466" i="42"/>
  <c r="AC465" i="42"/>
  <c r="AA465" i="42"/>
  <c r="Y465" i="42"/>
  <c r="AC464" i="42"/>
  <c r="AA464" i="42"/>
  <c r="Y464" i="42"/>
  <c r="V464" i="42"/>
  <c r="AC463" i="42"/>
  <c r="AA463" i="42"/>
  <c r="Y463" i="42"/>
  <c r="AC462" i="42"/>
  <c r="AA462" i="42"/>
  <c r="Y462" i="42"/>
  <c r="AC461" i="42"/>
  <c r="AA461" i="42"/>
  <c r="Y461" i="42"/>
  <c r="AC460" i="42"/>
  <c r="AA460" i="42"/>
  <c r="Y460" i="42"/>
  <c r="AC459" i="42"/>
  <c r="AA459" i="42"/>
  <c r="Y459" i="42"/>
  <c r="AC458" i="42"/>
  <c r="AA458" i="42"/>
  <c r="Y458" i="42"/>
  <c r="AC457" i="42"/>
  <c r="AA457" i="42"/>
  <c r="Y457" i="42"/>
  <c r="V457" i="42"/>
  <c r="AC456" i="42"/>
  <c r="AA456" i="42"/>
  <c r="Y456" i="42"/>
  <c r="P456" i="42"/>
  <c r="AE456" i="42" s="1"/>
  <c r="AF456" i="42" s="1"/>
  <c r="AC455" i="42"/>
  <c r="AA455" i="42"/>
  <c r="Y455" i="42"/>
  <c r="AC454" i="42"/>
  <c r="AA454" i="42"/>
  <c r="Y454" i="42"/>
  <c r="V454" i="42"/>
  <c r="AC453" i="42"/>
  <c r="AA453" i="42"/>
  <c r="Y453" i="42"/>
  <c r="V453" i="42"/>
  <c r="P453" i="42"/>
  <c r="AE453" i="42" s="1"/>
  <c r="AF453" i="42" s="1"/>
  <c r="AC452" i="42"/>
  <c r="AA452" i="42"/>
  <c r="Y452" i="42"/>
  <c r="V452" i="42"/>
  <c r="P452" i="42"/>
  <c r="AE452" i="42" s="1"/>
  <c r="AF452" i="42" s="1"/>
  <c r="AC451" i="42"/>
  <c r="AA451" i="42"/>
  <c r="Y451" i="42"/>
  <c r="AC450" i="42"/>
  <c r="AA450" i="42"/>
  <c r="Y450" i="42"/>
  <c r="P450" i="42"/>
  <c r="AE450" i="42" s="1"/>
  <c r="AF450" i="42" s="1"/>
  <c r="AC449" i="42"/>
  <c r="AA449" i="42"/>
  <c r="Y449" i="42"/>
  <c r="AC448" i="42"/>
  <c r="AA448" i="42"/>
  <c r="Y448" i="42"/>
  <c r="V448" i="42"/>
  <c r="AC447" i="42"/>
  <c r="AA447" i="42"/>
  <c r="Y447" i="42"/>
  <c r="AC446" i="42"/>
  <c r="AA446" i="42"/>
  <c r="Y446" i="42"/>
  <c r="AC445" i="42"/>
  <c r="AA445" i="42"/>
  <c r="Y445" i="42"/>
  <c r="V445" i="42"/>
  <c r="AC444" i="42"/>
  <c r="AA444" i="42"/>
  <c r="Y444" i="42"/>
  <c r="AC443" i="42"/>
  <c r="AA443" i="42"/>
  <c r="Y443" i="42"/>
  <c r="AC442" i="42"/>
  <c r="AA442" i="42"/>
  <c r="Y442" i="42"/>
  <c r="AC441" i="42"/>
  <c r="AA441" i="42"/>
  <c r="Y441" i="42"/>
  <c r="V441" i="42"/>
  <c r="P441" i="42"/>
  <c r="AE441" i="42" s="1"/>
  <c r="AF441" i="42" s="1"/>
  <c r="AC440" i="42"/>
  <c r="AA440" i="42"/>
  <c r="Y440" i="42"/>
  <c r="P440" i="42"/>
  <c r="AE440" i="42" s="1"/>
  <c r="AF440" i="42" s="1"/>
  <c r="AC439" i="42"/>
  <c r="AA439" i="42"/>
  <c r="Y439" i="42"/>
  <c r="P439" i="42"/>
  <c r="AE439" i="42" s="1"/>
  <c r="AF439" i="42" s="1"/>
  <c r="AC438" i="42"/>
  <c r="AA438" i="42"/>
  <c r="Y438" i="42"/>
  <c r="V438" i="42"/>
  <c r="AC437" i="42"/>
  <c r="AA437" i="42"/>
  <c r="Y437" i="42"/>
  <c r="P437" i="42"/>
  <c r="AE437" i="42" s="1"/>
  <c r="AF437" i="42" s="1"/>
  <c r="AC436" i="42"/>
  <c r="AA436" i="42"/>
  <c r="Y436" i="42"/>
  <c r="P436" i="42"/>
  <c r="AE436" i="42" s="1"/>
  <c r="AF436" i="42" s="1"/>
  <c r="AC435" i="42"/>
  <c r="AA435" i="42"/>
  <c r="Y435" i="42"/>
  <c r="V435" i="42"/>
  <c r="AC434" i="42"/>
  <c r="AA434" i="42"/>
  <c r="Y434" i="42"/>
  <c r="V434" i="42"/>
  <c r="P434" i="42"/>
  <c r="AE434" i="42" s="1"/>
  <c r="AF434" i="42" s="1"/>
  <c r="AC433" i="42"/>
  <c r="AA433" i="42"/>
  <c r="Y433" i="42"/>
  <c r="AC432" i="42"/>
  <c r="AA432" i="42"/>
  <c r="Y432" i="42"/>
  <c r="AC431" i="42"/>
  <c r="AA431" i="42"/>
  <c r="Y431" i="42"/>
  <c r="AC430" i="42"/>
  <c r="AA430" i="42"/>
  <c r="Y430" i="42"/>
  <c r="AC429" i="42"/>
  <c r="AA429" i="42"/>
  <c r="Y429" i="42"/>
  <c r="AC428" i="42"/>
  <c r="AA428" i="42"/>
  <c r="Y428" i="42"/>
  <c r="AC427" i="42"/>
  <c r="AA427" i="42"/>
  <c r="Y427" i="42"/>
  <c r="AC426" i="42"/>
  <c r="AA426" i="42"/>
  <c r="Y426" i="42"/>
  <c r="V426" i="42"/>
  <c r="AC425" i="42"/>
  <c r="AA425" i="42"/>
  <c r="Y425" i="42"/>
  <c r="AC424" i="42"/>
  <c r="AA424" i="42"/>
  <c r="Y424" i="42"/>
  <c r="AC423" i="42"/>
  <c r="AA423" i="42"/>
  <c r="Y423" i="42"/>
  <c r="P423" i="42"/>
  <c r="AE423" i="42" s="1"/>
  <c r="AF423" i="42" s="1"/>
  <c r="AC422" i="42"/>
  <c r="AA422" i="42"/>
  <c r="Y422" i="42"/>
  <c r="V422" i="42"/>
  <c r="P422" i="42"/>
  <c r="AE422" i="42" s="1"/>
  <c r="AF422" i="42" s="1"/>
  <c r="AC421" i="42"/>
  <c r="AA421" i="42"/>
  <c r="Y421" i="42"/>
  <c r="V421" i="42"/>
  <c r="P421" i="42"/>
  <c r="AE421" i="42" s="1"/>
  <c r="AF421" i="42" s="1"/>
  <c r="AC420" i="42"/>
  <c r="AA420" i="42"/>
  <c r="Y420" i="42"/>
  <c r="P420" i="42"/>
  <c r="AE420" i="42" s="1"/>
  <c r="AF420" i="42" s="1"/>
  <c r="AC419" i="42"/>
  <c r="AA419" i="42"/>
  <c r="Y419" i="42"/>
  <c r="V419" i="42"/>
  <c r="P419" i="42"/>
  <c r="AE419" i="42" s="1"/>
  <c r="AF419" i="42" s="1"/>
  <c r="AC418" i="42"/>
  <c r="AA418" i="42"/>
  <c r="Y418" i="42"/>
  <c r="V418" i="42"/>
  <c r="AC417" i="42"/>
  <c r="AA417" i="42"/>
  <c r="Y417" i="42"/>
  <c r="AC416" i="42"/>
  <c r="AA416" i="42"/>
  <c r="Y416" i="42"/>
  <c r="AC415" i="42"/>
  <c r="AA415" i="42"/>
  <c r="Y415" i="42"/>
  <c r="V415" i="42"/>
  <c r="P415" i="42"/>
  <c r="AE415" i="42" s="1"/>
  <c r="AF415" i="42" s="1"/>
  <c r="AC414" i="42"/>
  <c r="AA414" i="42"/>
  <c r="Y414" i="42"/>
  <c r="AC413" i="42"/>
  <c r="AA413" i="42"/>
  <c r="Y413" i="42"/>
  <c r="AC412" i="42"/>
  <c r="AA412" i="42"/>
  <c r="Y412" i="42"/>
  <c r="AC411" i="42"/>
  <c r="AA411" i="42"/>
  <c r="Y411" i="42"/>
  <c r="AC410" i="42"/>
  <c r="AA410" i="42"/>
  <c r="Y410" i="42"/>
  <c r="AC409" i="42"/>
  <c r="AA409" i="42"/>
  <c r="Y409" i="42"/>
  <c r="V409" i="42"/>
  <c r="AC408" i="42"/>
  <c r="AA408" i="42"/>
  <c r="Y408" i="42"/>
  <c r="AC407" i="42"/>
  <c r="AA407" i="42"/>
  <c r="Y407" i="42"/>
  <c r="AC406" i="42"/>
  <c r="AA406" i="42"/>
  <c r="Y406" i="42"/>
  <c r="V406" i="42"/>
  <c r="AC405" i="42"/>
  <c r="AA405" i="42"/>
  <c r="Y405" i="42"/>
  <c r="P405" i="42"/>
  <c r="AE405" i="42" s="1"/>
  <c r="AF405" i="42" s="1"/>
  <c r="AC404" i="42"/>
  <c r="AA404" i="42"/>
  <c r="Y404" i="42"/>
  <c r="P404" i="42"/>
  <c r="AE404" i="42" s="1"/>
  <c r="AF404" i="42" s="1"/>
  <c r="AC403" i="42"/>
  <c r="AA403" i="42"/>
  <c r="Y403" i="42"/>
  <c r="V403" i="42"/>
  <c r="P403" i="42"/>
  <c r="AE403" i="42" s="1"/>
  <c r="AF403" i="42" s="1"/>
  <c r="AC402" i="42"/>
  <c r="AA402" i="42"/>
  <c r="Y402" i="42"/>
  <c r="V402" i="42"/>
  <c r="AC401" i="42"/>
  <c r="AA401" i="42"/>
  <c r="Y401" i="42"/>
  <c r="AC400" i="42"/>
  <c r="AA400" i="42"/>
  <c r="Y400" i="42"/>
  <c r="AC399" i="42"/>
  <c r="AA399" i="42"/>
  <c r="Y399" i="42"/>
  <c r="AC398" i="42"/>
  <c r="AA398" i="42"/>
  <c r="Y398" i="42"/>
  <c r="AC397" i="42"/>
  <c r="AA397" i="42"/>
  <c r="Y397" i="42"/>
  <c r="AC396" i="42"/>
  <c r="AA396" i="42"/>
  <c r="Y396" i="42"/>
  <c r="AC395" i="42"/>
  <c r="AA395" i="42"/>
  <c r="Y395" i="42"/>
  <c r="AC394" i="42"/>
  <c r="AA394" i="42"/>
  <c r="Y394" i="42"/>
  <c r="V394" i="42"/>
  <c r="AC393" i="42"/>
  <c r="AA393" i="42"/>
  <c r="Y393" i="42"/>
  <c r="AC392" i="42"/>
  <c r="AA392" i="42"/>
  <c r="Y392" i="42"/>
  <c r="V392" i="42"/>
  <c r="AC391" i="42"/>
  <c r="AA391" i="42"/>
  <c r="Y391" i="42"/>
  <c r="P391" i="42"/>
  <c r="AE391" i="42" s="1"/>
  <c r="AF391" i="42" s="1"/>
  <c r="AC390" i="42"/>
  <c r="AA390" i="42"/>
  <c r="Y390" i="42"/>
  <c r="V390" i="42"/>
  <c r="AC389" i="42"/>
  <c r="AA389" i="42"/>
  <c r="Y389" i="42"/>
  <c r="P389" i="42"/>
  <c r="AE389" i="42" s="1"/>
  <c r="AF389" i="42" s="1"/>
  <c r="AC388" i="42"/>
  <c r="AA388" i="42"/>
  <c r="Y388" i="42"/>
  <c r="P388" i="42"/>
  <c r="AE388" i="42" s="1"/>
  <c r="AF388" i="42" s="1"/>
  <c r="AC387" i="42"/>
  <c r="AA387" i="42"/>
  <c r="Y387" i="42"/>
  <c r="P387" i="42"/>
  <c r="AE387" i="42" s="1"/>
  <c r="AF387" i="42" s="1"/>
  <c r="AC386" i="42"/>
  <c r="AA386" i="42"/>
  <c r="Y386" i="42"/>
  <c r="AC385" i="42"/>
  <c r="AA385" i="42"/>
  <c r="Y385" i="42"/>
  <c r="AC384" i="42"/>
  <c r="AA384" i="42"/>
  <c r="Y384" i="42"/>
  <c r="P384" i="42"/>
  <c r="AE384" i="42" s="1"/>
  <c r="AF384" i="42" s="1"/>
  <c r="AC383" i="42"/>
  <c r="AA383" i="42"/>
  <c r="Y383" i="42"/>
  <c r="V383" i="42"/>
  <c r="AC382" i="42"/>
  <c r="AA382" i="42"/>
  <c r="Y382" i="42"/>
  <c r="AC381" i="42"/>
  <c r="AA381" i="42"/>
  <c r="Y381" i="42"/>
  <c r="AC380" i="42"/>
  <c r="AA380" i="42"/>
  <c r="Y380" i="42"/>
  <c r="AC379" i="42"/>
  <c r="AA379" i="42"/>
  <c r="Y379" i="42"/>
  <c r="V379" i="42"/>
  <c r="AC378" i="42"/>
  <c r="AA378" i="42"/>
  <c r="Y378" i="42"/>
  <c r="AC377" i="42"/>
  <c r="AA377" i="42"/>
  <c r="Y377" i="42"/>
  <c r="V377" i="42"/>
  <c r="AC376" i="42"/>
  <c r="AA376" i="42"/>
  <c r="Y376" i="42"/>
  <c r="P376" i="42"/>
  <c r="AE376" i="42" s="1"/>
  <c r="AF376" i="42" s="1"/>
  <c r="AC375" i="42"/>
  <c r="AA375" i="42"/>
  <c r="Y375" i="42"/>
  <c r="P375" i="42"/>
  <c r="AE375" i="42" s="1"/>
  <c r="AF375" i="42" s="1"/>
  <c r="AC374" i="42"/>
  <c r="AA374" i="42"/>
  <c r="Y374" i="42"/>
  <c r="V374" i="42"/>
  <c r="P374" i="42"/>
  <c r="AE374" i="42" s="1"/>
  <c r="AF374" i="42" s="1"/>
  <c r="AC373" i="42"/>
  <c r="AA373" i="42"/>
  <c r="Y373" i="42"/>
  <c r="P373" i="42"/>
  <c r="AE373" i="42" s="1"/>
  <c r="AF373" i="42" s="1"/>
  <c r="AC372" i="42"/>
  <c r="AA372" i="42"/>
  <c r="Y372" i="42"/>
  <c r="P372" i="42"/>
  <c r="AE372" i="42" s="1"/>
  <c r="AF372" i="42" s="1"/>
  <c r="AC371" i="42"/>
  <c r="AA371" i="42"/>
  <c r="Y371" i="42"/>
  <c r="V371" i="42"/>
  <c r="AC370" i="42"/>
  <c r="AA370" i="42"/>
  <c r="Y370" i="42"/>
  <c r="V370" i="42"/>
  <c r="AC369" i="42"/>
  <c r="AA369" i="42"/>
  <c r="Y369" i="42"/>
  <c r="V369" i="42"/>
  <c r="AC368" i="42"/>
  <c r="AA368" i="42"/>
  <c r="Y368" i="42"/>
  <c r="AC367" i="42"/>
  <c r="AA367" i="42"/>
  <c r="Y367" i="42"/>
  <c r="AC366" i="42"/>
  <c r="AA366" i="42"/>
  <c r="Y366" i="42"/>
  <c r="AC365" i="42"/>
  <c r="AA365" i="42"/>
  <c r="Y365" i="42"/>
  <c r="AC364" i="42"/>
  <c r="AA364" i="42"/>
  <c r="Y364" i="42"/>
  <c r="V364" i="42"/>
  <c r="AC363" i="42"/>
  <c r="AA363" i="42"/>
  <c r="Y363" i="42"/>
  <c r="AC362" i="42"/>
  <c r="AA362" i="42"/>
  <c r="Y362" i="42"/>
  <c r="AC361" i="42"/>
  <c r="AA361" i="42"/>
  <c r="Y361" i="42"/>
  <c r="V361" i="42"/>
  <c r="AC360" i="42"/>
  <c r="AA360" i="42"/>
  <c r="Y360" i="42"/>
  <c r="P360" i="42"/>
  <c r="AE360" i="42" s="1"/>
  <c r="AF360" i="42" s="1"/>
  <c r="AC359" i="42"/>
  <c r="AA359" i="42"/>
  <c r="Y359" i="42"/>
  <c r="P359" i="42"/>
  <c r="AE359" i="42" s="1"/>
  <c r="AF359" i="42" s="1"/>
  <c r="AC358" i="42"/>
  <c r="AA358" i="42"/>
  <c r="Y358" i="42"/>
  <c r="V358" i="42"/>
  <c r="AC357" i="42"/>
  <c r="AA357" i="42"/>
  <c r="Y357" i="42"/>
  <c r="V357" i="42"/>
  <c r="P357" i="42"/>
  <c r="AE357" i="42" s="1"/>
  <c r="AF357" i="42" s="1"/>
  <c r="AC356" i="42"/>
  <c r="AA356" i="42"/>
  <c r="Y356" i="42"/>
  <c r="P356" i="42"/>
  <c r="AE356" i="42" s="1"/>
  <c r="AF356" i="42" s="1"/>
  <c r="AC355" i="42"/>
  <c r="AA355" i="42"/>
  <c r="Y355" i="42"/>
  <c r="AC354" i="42"/>
  <c r="AA354" i="42"/>
  <c r="Y354" i="42"/>
  <c r="V354" i="42"/>
  <c r="P354" i="42"/>
  <c r="AE354" i="42" s="1"/>
  <c r="AF354" i="42" s="1"/>
  <c r="AC353" i="42"/>
  <c r="AA353" i="42"/>
  <c r="Y353" i="42"/>
  <c r="AC352" i="42"/>
  <c r="AA352" i="42"/>
  <c r="Y352" i="42"/>
  <c r="V352" i="42"/>
  <c r="AC351" i="42"/>
  <c r="AA351" i="42"/>
  <c r="Y351" i="42"/>
  <c r="AC350" i="42"/>
  <c r="AA350" i="42"/>
  <c r="Y350" i="42"/>
  <c r="AC349" i="42"/>
  <c r="AA349" i="42"/>
  <c r="Y349" i="42"/>
  <c r="V349" i="42"/>
  <c r="AC348" i="42"/>
  <c r="AA348" i="42"/>
  <c r="Y348" i="42"/>
  <c r="AC347" i="42"/>
  <c r="AA347" i="42"/>
  <c r="Y347" i="42"/>
  <c r="AC346" i="42"/>
  <c r="AA346" i="42"/>
  <c r="Y346" i="42"/>
  <c r="AC345" i="42"/>
  <c r="AA345" i="42"/>
  <c r="Y345" i="42"/>
  <c r="V345" i="42"/>
  <c r="AC344" i="42"/>
  <c r="AA344" i="42"/>
  <c r="Y344" i="42"/>
  <c r="P344" i="42"/>
  <c r="AE344" i="42" s="1"/>
  <c r="AF344" i="42" s="1"/>
  <c r="AC343" i="42"/>
  <c r="AA343" i="42"/>
  <c r="Y343" i="42"/>
  <c r="AC342" i="42"/>
  <c r="AA342" i="42"/>
  <c r="Y342" i="42"/>
  <c r="V342" i="42"/>
  <c r="AC341" i="42"/>
  <c r="AA341" i="42"/>
  <c r="Y341" i="42"/>
  <c r="P341" i="42"/>
  <c r="AE341" i="42" s="1"/>
  <c r="AF341" i="42" s="1"/>
  <c r="AC340" i="42"/>
  <c r="AA340" i="42"/>
  <c r="Y340" i="42"/>
  <c r="V340" i="42"/>
  <c r="P340" i="42"/>
  <c r="AE340" i="42" s="1"/>
  <c r="AF340" i="42" s="1"/>
  <c r="AC339" i="42"/>
  <c r="AA339" i="42"/>
  <c r="Y339" i="42"/>
  <c r="V339" i="42"/>
  <c r="AC338" i="42"/>
  <c r="AA338" i="42"/>
  <c r="Y338" i="42"/>
  <c r="V338" i="42"/>
  <c r="AC337" i="42"/>
  <c r="AA337" i="42"/>
  <c r="Y337" i="42"/>
  <c r="P337" i="42"/>
  <c r="AE337" i="42" s="1"/>
  <c r="AF337" i="42" s="1"/>
  <c r="AC336" i="42"/>
  <c r="AA336" i="42"/>
  <c r="Y336" i="42"/>
  <c r="AC335" i="42"/>
  <c r="AA335" i="42"/>
  <c r="Y335" i="42"/>
  <c r="AC334" i="42"/>
  <c r="AA334" i="42"/>
  <c r="Y334" i="42"/>
  <c r="AC333" i="42"/>
  <c r="AA333" i="42"/>
  <c r="Y333" i="42"/>
  <c r="AC332" i="42"/>
  <c r="AA332" i="42"/>
  <c r="Y332" i="42"/>
  <c r="AC331" i="42"/>
  <c r="AA331" i="42"/>
  <c r="Y331" i="42"/>
  <c r="AC330" i="42"/>
  <c r="AA330" i="42"/>
  <c r="Y330" i="42"/>
  <c r="V330" i="42"/>
  <c r="AC329" i="42"/>
  <c r="AA329" i="42"/>
  <c r="Y329" i="42"/>
  <c r="V329" i="42"/>
  <c r="AC328" i="42"/>
  <c r="AA328" i="42"/>
  <c r="Y328" i="42"/>
  <c r="V328" i="42"/>
  <c r="AC327" i="42"/>
  <c r="AA327" i="42"/>
  <c r="Y327" i="42"/>
  <c r="P327" i="42"/>
  <c r="AE327" i="42" s="1"/>
  <c r="AF327" i="42" s="1"/>
  <c r="AC326" i="42"/>
  <c r="AA326" i="42"/>
  <c r="Y326" i="42"/>
  <c r="V326" i="42"/>
  <c r="AC325" i="42"/>
  <c r="AA325" i="42"/>
  <c r="Y325" i="42"/>
  <c r="V325" i="42"/>
  <c r="P325" i="42"/>
  <c r="AE325" i="42" s="1"/>
  <c r="AF325" i="42" s="1"/>
  <c r="AC324" i="42"/>
  <c r="AA324" i="42"/>
  <c r="Y324" i="42"/>
  <c r="P324" i="42"/>
  <c r="AE324" i="42" s="1"/>
  <c r="AF324" i="42" s="1"/>
  <c r="AC323" i="42"/>
  <c r="AA323" i="42"/>
  <c r="Y323" i="42"/>
  <c r="AC322" i="42"/>
  <c r="AA322" i="42"/>
  <c r="Y322" i="42"/>
  <c r="V322" i="42"/>
  <c r="AC321" i="42"/>
  <c r="AA321" i="42"/>
  <c r="Y321" i="42"/>
  <c r="AC320" i="42"/>
  <c r="AA320" i="42"/>
  <c r="Y320" i="42"/>
  <c r="P320" i="42"/>
  <c r="AE320" i="42" s="1"/>
  <c r="AF320" i="42" s="1"/>
  <c r="AC319" i="42"/>
  <c r="AA319" i="42"/>
  <c r="Y319" i="42"/>
  <c r="AC318" i="42"/>
  <c r="AA318" i="42"/>
  <c r="Y318" i="42"/>
  <c r="V318" i="42"/>
  <c r="AC317" i="42"/>
  <c r="AA317" i="42"/>
  <c r="Y317" i="42"/>
  <c r="AC316" i="42"/>
  <c r="AA316" i="42"/>
  <c r="Y316" i="42"/>
  <c r="AC315" i="42"/>
  <c r="AA315" i="42"/>
  <c r="Y315" i="42"/>
  <c r="AC314" i="42"/>
  <c r="AA314" i="42"/>
  <c r="Y314" i="42"/>
  <c r="V314" i="42"/>
  <c r="AC313" i="42"/>
  <c r="AA313" i="42"/>
  <c r="Y313" i="42"/>
  <c r="AC312" i="42"/>
  <c r="AA312" i="42"/>
  <c r="Y312" i="42"/>
  <c r="V312" i="42"/>
  <c r="AC311" i="42"/>
  <c r="AA311" i="42"/>
  <c r="Y311" i="42"/>
  <c r="AC310" i="42"/>
  <c r="AA310" i="42"/>
  <c r="Y310" i="42"/>
  <c r="V310" i="42"/>
  <c r="AC309" i="42"/>
  <c r="AA309" i="42"/>
  <c r="Y309" i="42"/>
  <c r="V309" i="42"/>
  <c r="P309" i="42"/>
  <c r="AE309" i="42" s="1"/>
  <c r="AF309" i="42" s="1"/>
  <c r="AC308" i="42"/>
  <c r="AA308" i="42"/>
  <c r="Y308" i="42"/>
  <c r="P308" i="42"/>
  <c r="AE308" i="42" s="1"/>
  <c r="AF308" i="42" s="1"/>
  <c r="AC307" i="42"/>
  <c r="AA307" i="42"/>
  <c r="Y307" i="42"/>
  <c r="P307" i="42"/>
  <c r="AE307" i="42" s="1"/>
  <c r="AF307" i="42" s="1"/>
  <c r="AC306" i="42"/>
  <c r="AA306" i="42"/>
  <c r="Y306" i="42"/>
  <c r="V306" i="42"/>
  <c r="P306" i="42"/>
  <c r="AE306" i="42" s="1"/>
  <c r="AF306" i="42" s="1"/>
  <c r="AC305" i="42"/>
  <c r="AA305" i="42"/>
  <c r="Y305" i="42"/>
  <c r="V305" i="42"/>
  <c r="AC304" i="42"/>
  <c r="AA304" i="42"/>
  <c r="Y304" i="42"/>
  <c r="P304" i="42"/>
  <c r="AE304" i="42" s="1"/>
  <c r="AF304" i="42" s="1"/>
  <c r="AC303" i="42"/>
  <c r="AA303" i="42"/>
  <c r="Y303" i="42"/>
  <c r="V303" i="42"/>
  <c r="AC302" i="42"/>
  <c r="AA302" i="42"/>
  <c r="Y302" i="42"/>
  <c r="AC301" i="42"/>
  <c r="AA301" i="42"/>
  <c r="Y301" i="42"/>
  <c r="AC300" i="42"/>
  <c r="AA300" i="42"/>
  <c r="Y300" i="42"/>
  <c r="AC299" i="42"/>
  <c r="AA299" i="42"/>
  <c r="Y299" i="42"/>
  <c r="V299" i="42"/>
  <c r="AC298" i="42"/>
  <c r="AA298" i="42"/>
  <c r="Y298" i="42"/>
  <c r="V298" i="42"/>
  <c r="AC297" i="42"/>
  <c r="AA297" i="42"/>
  <c r="Y297" i="42"/>
  <c r="V297" i="42"/>
  <c r="AC296" i="42"/>
  <c r="AA296" i="42"/>
  <c r="Y296" i="42"/>
  <c r="AC295" i="42"/>
  <c r="AA295" i="42"/>
  <c r="Y295" i="42"/>
  <c r="AC294" i="42"/>
  <c r="AA294" i="42"/>
  <c r="Y294" i="42"/>
  <c r="V294" i="42"/>
  <c r="AC293" i="42"/>
  <c r="AA293" i="42"/>
  <c r="Y293" i="42"/>
  <c r="V293" i="42"/>
  <c r="P293" i="42"/>
  <c r="AE293" i="42" s="1"/>
  <c r="AF293" i="42" s="1"/>
  <c r="AC292" i="42"/>
  <c r="AA292" i="42"/>
  <c r="Y292" i="42"/>
  <c r="P292" i="42"/>
  <c r="AE292" i="42" s="1"/>
  <c r="AF292" i="42" s="1"/>
  <c r="AC291" i="42"/>
  <c r="AA291" i="42"/>
  <c r="Y291" i="42"/>
  <c r="V291" i="42"/>
  <c r="P291" i="42"/>
  <c r="AE291" i="42" s="1"/>
  <c r="AF291" i="42" s="1"/>
  <c r="AC290" i="42"/>
  <c r="AA290" i="42"/>
  <c r="Y290" i="42"/>
  <c r="P290" i="42"/>
  <c r="AE290" i="42" s="1"/>
  <c r="AF290" i="42" s="1"/>
  <c r="AC289" i="42"/>
  <c r="AA289" i="42"/>
  <c r="Y289" i="42"/>
  <c r="AC288" i="42"/>
  <c r="AA288" i="42"/>
  <c r="Y288" i="42"/>
  <c r="P288" i="42"/>
  <c r="AE288" i="42" s="1"/>
  <c r="AF288" i="42" s="1"/>
  <c r="AC287" i="42"/>
  <c r="AA287" i="42"/>
  <c r="Y287" i="42"/>
  <c r="AC286" i="42"/>
  <c r="AA286" i="42"/>
  <c r="Y286" i="42"/>
  <c r="AC285" i="42"/>
  <c r="AA285" i="42"/>
  <c r="Y285" i="42"/>
  <c r="AC284" i="42"/>
  <c r="AA284" i="42"/>
  <c r="Y284" i="42"/>
  <c r="AC283" i="42"/>
  <c r="AA283" i="42"/>
  <c r="Y283" i="42"/>
  <c r="AC282" i="42"/>
  <c r="AA282" i="42"/>
  <c r="Y282" i="42"/>
  <c r="V282" i="42"/>
  <c r="AC281" i="42"/>
  <c r="AA281" i="42"/>
  <c r="Y281" i="42"/>
  <c r="AC280" i="42"/>
  <c r="AA280" i="42"/>
  <c r="Y280" i="42"/>
  <c r="AC279" i="42"/>
  <c r="AA279" i="42"/>
  <c r="Y279" i="42"/>
  <c r="P279" i="42"/>
  <c r="AE279" i="42" s="1"/>
  <c r="AF279" i="42" s="1"/>
  <c r="AC278" i="42"/>
  <c r="AA278" i="42"/>
  <c r="Y278" i="42"/>
  <c r="V278" i="42"/>
  <c r="AC277" i="42"/>
  <c r="AA277" i="42"/>
  <c r="Y277" i="42"/>
  <c r="V277" i="42"/>
  <c r="P277" i="42"/>
  <c r="AE277" i="42" s="1"/>
  <c r="AF277" i="42" s="1"/>
  <c r="AC276" i="42"/>
  <c r="AA276" i="42"/>
  <c r="Y276" i="42"/>
  <c r="P276" i="42"/>
  <c r="AE276" i="42" s="1"/>
  <c r="AF276" i="42" s="1"/>
  <c r="AC275" i="42"/>
  <c r="AA275" i="42"/>
  <c r="Y275" i="42"/>
  <c r="V275" i="42"/>
  <c r="P275" i="42"/>
  <c r="AE275" i="42" s="1"/>
  <c r="AF275" i="42" s="1"/>
  <c r="AC274" i="42"/>
  <c r="AA274" i="42"/>
  <c r="Y274" i="42"/>
  <c r="V274" i="42"/>
  <c r="P274" i="42"/>
  <c r="AE274" i="42" s="1"/>
  <c r="AF274" i="42" s="1"/>
  <c r="AC273" i="42"/>
  <c r="AA273" i="42"/>
  <c r="Y273" i="42"/>
  <c r="AC272" i="42"/>
  <c r="AA272" i="42"/>
  <c r="Y272" i="42"/>
  <c r="AC271" i="42"/>
  <c r="AA271" i="42"/>
  <c r="Y271" i="42"/>
  <c r="V271" i="42"/>
  <c r="AC270" i="42"/>
  <c r="AA270" i="42"/>
  <c r="Y270" i="42"/>
  <c r="AC269" i="42"/>
  <c r="AA269" i="42"/>
  <c r="Y269" i="42"/>
  <c r="AC268" i="42"/>
  <c r="AA268" i="42"/>
  <c r="Y268" i="42"/>
  <c r="AC267" i="42"/>
  <c r="AA267" i="42"/>
  <c r="Y267" i="42"/>
  <c r="V267" i="42"/>
  <c r="AC266" i="42"/>
  <c r="AA266" i="42"/>
  <c r="Y266" i="42"/>
  <c r="AC265" i="42"/>
  <c r="AA265" i="42"/>
  <c r="Y265" i="42"/>
  <c r="V265" i="42"/>
  <c r="AC264" i="42"/>
  <c r="AA264" i="42"/>
  <c r="Y264" i="42"/>
  <c r="P264" i="42"/>
  <c r="AE264" i="42" s="1"/>
  <c r="AF264" i="42" s="1"/>
  <c r="AC263" i="42"/>
  <c r="AA263" i="42"/>
  <c r="Y263" i="42"/>
  <c r="V263" i="42"/>
  <c r="P263" i="42"/>
  <c r="AE263" i="42" s="1"/>
  <c r="AF263" i="42" s="1"/>
  <c r="AC262" i="42"/>
  <c r="AA262" i="42"/>
  <c r="Y262" i="42"/>
  <c r="V262" i="42"/>
  <c r="AC261" i="42"/>
  <c r="AA261" i="42"/>
  <c r="Y261" i="42"/>
  <c r="P261" i="42"/>
  <c r="AE261" i="42" s="1"/>
  <c r="AF261" i="42" s="1"/>
  <c r="AC260" i="42"/>
  <c r="AA260" i="42"/>
  <c r="Y260" i="42"/>
  <c r="P260" i="42"/>
  <c r="AE260" i="42" s="1"/>
  <c r="AF260" i="42" s="1"/>
  <c r="AC259" i="42"/>
  <c r="AA259" i="42"/>
  <c r="Y259" i="42"/>
  <c r="V259" i="42"/>
  <c r="AC258" i="42"/>
  <c r="AA258" i="42"/>
  <c r="Y258" i="42"/>
  <c r="V258" i="42"/>
  <c r="P258" i="42"/>
  <c r="AE258" i="42" s="1"/>
  <c r="AF258" i="42" s="1"/>
  <c r="AC257" i="42"/>
  <c r="AA257" i="42"/>
  <c r="Y257" i="42"/>
  <c r="AC256" i="42"/>
  <c r="AA256" i="42"/>
  <c r="Y256" i="42"/>
  <c r="V256" i="42"/>
  <c r="AC255" i="42"/>
  <c r="AA255" i="42"/>
  <c r="Y255" i="42"/>
  <c r="AC254" i="42"/>
  <c r="AA254" i="42"/>
  <c r="Y254" i="42"/>
  <c r="AC253" i="42"/>
  <c r="AA253" i="42"/>
  <c r="Y253" i="42"/>
  <c r="AC252" i="42"/>
  <c r="AA252" i="42"/>
  <c r="Y252" i="42"/>
  <c r="AC251" i="42"/>
  <c r="AA251" i="42"/>
  <c r="Y251" i="42"/>
  <c r="AC250" i="42"/>
  <c r="AA250" i="42"/>
  <c r="Y250" i="42"/>
  <c r="AC249" i="42"/>
  <c r="AA249" i="42"/>
  <c r="Y249" i="42"/>
  <c r="V249" i="42"/>
  <c r="AC248" i="42"/>
  <c r="AA248" i="42"/>
  <c r="Y248" i="42"/>
  <c r="V248" i="42"/>
  <c r="P248" i="42"/>
  <c r="AE248" i="42" s="1"/>
  <c r="AF248" i="42" s="1"/>
  <c r="AC247" i="42"/>
  <c r="AA247" i="42"/>
  <c r="Y247" i="42"/>
  <c r="P247" i="42"/>
  <c r="AE247" i="42" s="1"/>
  <c r="AF247" i="42" s="1"/>
  <c r="AC246" i="42"/>
  <c r="AA246" i="42"/>
  <c r="Y246" i="42"/>
  <c r="V246" i="42"/>
  <c r="P246" i="42"/>
  <c r="AE246" i="42" s="1"/>
  <c r="AF246" i="42" s="1"/>
  <c r="AC245" i="42"/>
  <c r="AA245" i="42"/>
  <c r="Y245" i="42"/>
  <c r="P245" i="42"/>
  <c r="AE245" i="42" s="1"/>
  <c r="AF245" i="42" s="1"/>
  <c r="AC244" i="42"/>
  <c r="AA244" i="42"/>
  <c r="Y244" i="42"/>
  <c r="P244" i="42"/>
  <c r="AE244" i="42" s="1"/>
  <c r="AF244" i="42" s="1"/>
  <c r="AC243" i="42"/>
  <c r="AA243" i="42"/>
  <c r="Y243" i="42"/>
  <c r="V243" i="42"/>
  <c r="P243" i="42"/>
  <c r="AE243" i="42" s="1"/>
  <c r="AF243" i="42" s="1"/>
  <c r="AC242" i="42"/>
  <c r="AA242" i="42"/>
  <c r="Y242" i="42"/>
  <c r="V242" i="42"/>
  <c r="AC241" i="42"/>
  <c r="AA241" i="42"/>
  <c r="Y241" i="42"/>
  <c r="V241" i="42"/>
  <c r="AC240" i="42"/>
  <c r="AA240" i="42"/>
  <c r="Y240" i="42"/>
  <c r="AC239" i="42"/>
  <c r="AA239" i="42"/>
  <c r="Y239" i="42"/>
  <c r="AC238" i="42"/>
  <c r="AA238" i="42"/>
  <c r="Y238" i="42"/>
  <c r="P238" i="42"/>
  <c r="AE238" i="42" s="1"/>
  <c r="AF238" i="42" s="1"/>
  <c r="AC237" i="42"/>
  <c r="AA237" i="42"/>
  <c r="Y237" i="42"/>
  <c r="AC236" i="42"/>
  <c r="AA236" i="42"/>
  <c r="Y236" i="42"/>
  <c r="AC235" i="42"/>
  <c r="AA235" i="42"/>
  <c r="Y235" i="42"/>
  <c r="AC234" i="42"/>
  <c r="AA234" i="42"/>
  <c r="Y234" i="42"/>
  <c r="AC233" i="42"/>
  <c r="AA233" i="42"/>
  <c r="Y233" i="42"/>
  <c r="V233" i="42"/>
  <c r="AC232" i="42"/>
  <c r="AA232" i="42"/>
  <c r="Y232" i="42"/>
  <c r="P232" i="42"/>
  <c r="AE232" i="42" s="1"/>
  <c r="AF232" i="42" s="1"/>
  <c r="AC231" i="42"/>
  <c r="AA231" i="42"/>
  <c r="Y231" i="42"/>
  <c r="AC230" i="42"/>
  <c r="AA230" i="42"/>
  <c r="Y230" i="42"/>
  <c r="V230" i="42"/>
  <c r="P230" i="42"/>
  <c r="AE230" i="42" s="1"/>
  <c r="AF230" i="42" s="1"/>
  <c r="AC229" i="42"/>
  <c r="AA229" i="42"/>
  <c r="Y229" i="42"/>
  <c r="P229" i="42"/>
  <c r="AE229" i="42" s="1"/>
  <c r="AF229" i="42" s="1"/>
  <c r="AC228" i="42"/>
  <c r="AA228" i="42"/>
  <c r="Y228" i="42"/>
  <c r="P228" i="42"/>
  <c r="AE228" i="42" s="1"/>
  <c r="AF228" i="42" s="1"/>
  <c r="AC227" i="42"/>
  <c r="AA227" i="42"/>
  <c r="Y227" i="42"/>
  <c r="AC226" i="42"/>
  <c r="AA226" i="42"/>
  <c r="Y226" i="42"/>
  <c r="V226" i="42"/>
  <c r="AC225" i="42"/>
  <c r="AA225" i="42"/>
  <c r="Y225" i="42"/>
  <c r="V225" i="42"/>
  <c r="P225" i="42"/>
  <c r="AE225" i="42" s="1"/>
  <c r="AF225" i="42" s="1"/>
  <c r="AC224" i="42"/>
  <c r="AA224" i="42"/>
  <c r="Y224" i="42"/>
  <c r="AC223" i="42"/>
  <c r="AA223" i="42"/>
  <c r="Y223" i="42"/>
  <c r="AC222" i="42"/>
  <c r="AA222" i="42"/>
  <c r="Y222" i="42"/>
  <c r="AC221" i="42"/>
  <c r="AA221" i="42"/>
  <c r="Y221" i="42"/>
  <c r="V221" i="42"/>
  <c r="AC220" i="42"/>
  <c r="AA220" i="42"/>
  <c r="Y220" i="42"/>
  <c r="AC219" i="42"/>
  <c r="AA219" i="42"/>
  <c r="Y219" i="42"/>
  <c r="AC218" i="42"/>
  <c r="AA218" i="42"/>
  <c r="Y218" i="42"/>
  <c r="AC217" i="42"/>
  <c r="AA217" i="42"/>
  <c r="Y217" i="42"/>
  <c r="V217" i="42"/>
  <c r="AC216" i="42"/>
  <c r="AA216" i="42"/>
  <c r="Y216" i="42"/>
  <c r="P216" i="42"/>
  <c r="AE216" i="42" s="1"/>
  <c r="AF216" i="42" s="1"/>
  <c r="AC215" i="42"/>
  <c r="AA215" i="42"/>
  <c r="Y215" i="42"/>
  <c r="AC214" i="42"/>
  <c r="AA214" i="42"/>
  <c r="Y214" i="42"/>
  <c r="V214" i="42"/>
  <c r="AC213" i="42"/>
  <c r="AA213" i="42"/>
  <c r="Y213" i="42"/>
  <c r="P213" i="42"/>
  <c r="AE213" i="42" s="1"/>
  <c r="AF213" i="42" s="1"/>
  <c r="AC212" i="42"/>
  <c r="AA212" i="42"/>
  <c r="Y212" i="42"/>
  <c r="P212" i="42"/>
  <c r="AE212" i="42" s="1"/>
  <c r="AF212" i="42" s="1"/>
  <c r="AC211" i="42"/>
  <c r="AA211" i="42"/>
  <c r="Y211" i="42"/>
  <c r="V211" i="42"/>
  <c r="AC210" i="42"/>
  <c r="AA210" i="42"/>
  <c r="Y210" i="42"/>
  <c r="V210" i="42"/>
  <c r="P210" i="42"/>
  <c r="AE210" i="42" s="1"/>
  <c r="AF210" i="42" s="1"/>
  <c r="AC209" i="42"/>
  <c r="AA209" i="42"/>
  <c r="Y209" i="42"/>
  <c r="V209" i="42"/>
  <c r="AC208" i="42"/>
  <c r="AA208" i="42"/>
  <c r="Y208" i="42"/>
  <c r="P208" i="42"/>
  <c r="AE208" i="42" s="1"/>
  <c r="AF208" i="42" s="1"/>
  <c r="AC207" i="42"/>
  <c r="AA207" i="42"/>
  <c r="Y207" i="42"/>
  <c r="AC206" i="42"/>
  <c r="AA206" i="42"/>
  <c r="Y206" i="42"/>
  <c r="AC205" i="42"/>
  <c r="AA205" i="42"/>
  <c r="Y205" i="42"/>
  <c r="AC204" i="42"/>
  <c r="AA204" i="42"/>
  <c r="Y204" i="42"/>
  <c r="AC203" i="42"/>
  <c r="AA203" i="42"/>
  <c r="Y203" i="42"/>
  <c r="AC202" i="42"/>
  <c r="AA202" i="42"/>
  <c r="Y202" i="42"/>
  <c r="V202" i="42"/>
  <c r="AC201" i="42"/>
  <c r="AA201" i="42"/>
  <c r="Y201" i="42"/>
  <c r="V201" i="42"/>
  <c r="AC200" i="42"/>
  <c r="AA200" i="42"/>
  <c r="Y200" i="42"/>
  <c r="AC199" i="42"/>
  <c r="AA199" i="42"/>
  <c r="Y199" i="42"/>
  <c r="P199" i="42"/>
  <c r="AE199" i="42" s="1"/>
  <c r="AF199" i="42" s="1"/>
  <c r="AC198" i="42"/>
  <c r="AA198" i="42"/>
  <c r="Y198" i="42"/>
  <c r="V198" i="42"/>
  <c r="AC197" i="42"/>
  <c r="AA197" i="42"/>
  <c r="Y197" i="42"/>
  <c r="V197" i="42"/>
  <c r="P197" i="42"/>
  <c r="AE197" i="42" s="1"/>
  <c r="AF197" i="42" s="1"/>
  <c r="AC196" i="42"/>
  <c r="AA196" i="42"/>
  <c r="Y196" i="42"/>
  <c r="P196" i="42"/>
  <c r="AE196" i="42" s="1"/>
  <c r="AF196" i="42" s="1"/>
  <c r="AC195" i="42"/>
  <c r="AA195" i="42"/>
  <c r="Y195" i="42"/>
  <c r="V195" i="42"/>
  <c r="P195" i="42"/>
  <c r="AE195" i="42" s="1"/>
  <c r="AF195" i="42" s="1"/>
  <c r="AC194" i="42"/>
  <c r="AA194" i="42"/>
  <c r="Y194" i="42"/>
  <c r="V194" i="42"/>
  <c r="P194" i="42"/>
  <c r="AE194" i="42" s="1"/>
  <c r="AF194" i="42" s="1"/>
  <c r="AC193" i="42"/>
  <c r="AA193" i="42"/>
  <c r="Y193" i="42"/>
  <c r="AC192" i="42"/>
  <c r="AA192" i="42"/>
  <c r="Y192" i="42"/>
  <c r="P192" i="42"/>
  <c r="AE192" i="42" s="1"/>
  <c r="AF192" i="42" s="1"/>
  <c r="AC191" i="42"/>
  <c r="AA191" i="42"/>
  <c r="Y191" i="42"/>
  <c r="V191" i="42"/>
  <c r="AC190" i="42"/>
  <c r="AA190" i="42"/>
  <c r="Y190" i="42"/>
  <c r="AC189" i="42"/>
  <c r="AA189" i="42"/>
  <c r="Y189" i="42"/>
  <c r="AC188" i="42"/>
  <c r="AA188" i="42"/>
  <c r="Y188" i="42"/>
  <c r="AC187" i="42"/>
  <c r="AA187" i="42"/>
  <c r="Y187" i="42"/>
  <c r="V187" i="42"/>
  <c r="AC186" i="42"/>
  <c r="AA186" i="42"/>
  <c r="Y186" i="42"/>
  <c r="V186" i="42"/>
  <c r="AC185" i="42"/>
  <c r="AA185" i="42"/>
  <c r="Y185" i="42"/>
  <c r="V185" i="42"/>
  <c r="AC184" i="42"/>
  <c r="AA184" i="42"/>
  <c r="Y184" i="42"/>
  <c r="P184" i="42"/>
  <c r="AE184" i="42" s="1"/>
  <c r="AF184" i="42" s="1"/>
  <c r="AC183" i="42"/>
  <c r="AA183" i="42"/>
  <c r="Y183" i="42"/>
  <c r="AC182" i="42"/>
  <c r="AA182" i="42"/>
  <c r="Y182" i="42"/>
  <c r="V182" i="42"/>
  <c r="AC181" i="42"/>
  <c r="AA181" i="42"/>
  <c r="Y181" i="42"/>
  <c r="P181" i="42"/>
  <c r="AE181" i="42" s="1"/>
  <c r="AF181" i="42" s="1"/>
  <c r="AC180" i="42"/>
  <c r="AA180" i="42"/>
  <c r="Y180" i="42"/>
  <c r="P180" i="42"/>
  <c r="AE180" i="42" s="1"/>
  <c r="AF180" i="42" s="1"/>
  <c r="AC179" i="42"/>
  <c r="AA179" i="42"/>
  <c r="Y179" i="42"/>
  <c r="V179" i="42"/>
  <c r="AC178" i="42"/>
  <c r="AA178" i="42"/>
  <c r="Y178" i="42"/>
  <c r="V178" i="42"/>
  <c r="P178" i="42"/>
  <c r="AE178" i="42" s="1"/>
  <c r="AF178" i="42" s="1"/>
  <c r="AC177" i="42"/>
  <c r="AA177" i="42"/>
  <c r="Y177" i="42"/>
  <c r="AC176" i="42"/>
  <c r="AA176" i="42"/>
  <c r="Y176" i="42"/>
  <c r="AC175" i="42"/>
  <c r="AA175" i="42"/>
  <c r="Y175" i="42"/>
  <c r="V175" i="42"/>
  <c r="AC174" i="42"/>
  <c r="AA174" i="42"/>
  <c r="Y174" i="42"/>
  <c r="AC173" i="42"/>
  <c r="AA173" i="42"/>
  <c r="Y173" i="42"/>
  <c r="AC172" i="42"/>
  <c r="AA172" i="42"/>
  <c r="Y172" i="42"/>
  <c r="AC171" i="42"/>
  <c r="AA171" i="42"/>
  <c r="Y171" i="42"/>
  <c r="V171" i="42"/>
  <c r="AC170" i="42"/>
  <c r="AA170" i="42"/>
  <c r="Y170" i="42"/>
  <c r="AC169" i="42"/>
  <c r="AA169" i="42"/>
  <c r="Y169" i="42"/>
  <c r="V169" i="42"/>
  <c r="P169" i="42"/>
  <c r="AE169" i="42" s="1"/>
  <c r="AF169" i="42" s="1"/>
  <c r="AC168" i="42"/>
  <c r="AA168" i="42"/>
  <c r="Y168" i="42"/>
  <c r="P168" i="42"/>
  <c r="AE168" i="42" s="1"/>
  <c r="AF168" i="42" s="1"/>
  <c r="AC167" i="42"/>
  <c r="AA167" i="42"/>
  <c r="Y167" i="42"/>
  <c r="AC166" i="42"/>
  <c r="AA166" i="42"/>
  <c r="Y166" i="42"/>
  <c r="V166" i="42"/>
  <c r="AC165" i="42"/>
  <c r="AA165" i="42"/>
  <c r="Y165" i="42"/>
  <c r="P165" i="42"/>
  <c r="AE165" i="42" s="1"/>
  <c r="AF165" i="42" s="1"/>
  <c r="AC164" i="42"/>
  <c r="AA164" i="42"/>
  <c r="Y164" i="42"/>
  <c r="P164" i="42"/>
  <c r="AE164" i="42" s="1"/>
  <c r="AF164" i="42" s="1"/>
  <c r="AC163" i="42"/>
  <c r="AA163" i="42"/>
  <c r="Y163" i="42"/>
  <c r="V163" i="42"/>
  <c r="AC162" i="42"/>
  <c r="AA162" i="42"/>
  <c r="Y162" i="42"/>
  <c r="V162" i="42"/>
  <c r="P162" i="42"/>
  <c r="AE162" i="42" s="1"/>
  <c r="AF162" i="42" s="1"/>
  <c r="AC161" i="42"/>
  <c r="AA161" i="42"/>
  <c r="Y161" i="42"/>
  <c r="AC160" i="42"/>
  <c r="AA160" i="42"/>
  <c r="Y160" i="42"/>
  <c r="V160" i="42"/>
  <c r="P160" i="42"/>
  <c r="AE160" i="42" s="1"/>
  <c r="AF160" i="42" s="1"/>
  <c r="AC159" i="42"/>
  <c r="AA159" i="42"/>
  <c r="Y159" i="42"/>
  <c r="AC158" i="42"/>
  <c r="AA158" i="42"/>
  <c r="Y158" i="42"/>
  <c r="AC157" i="42"/>
  <c r="AA157" i="42"/>
  <c r="Y157" i="42"/>
  <c r="V157" i="42"/>
  <c r="AC156" i="42"/>
  <c r="AA156" i="42"/>
  <c r="Y156" i="42"/>
  <c r="AC155" i="42"/>
  <c r="AA155" i="42"/>
  <c r="Y155" i="42"/>
  <c r="AC154" i="42"/>
  <c r="AA154" i="42"/>
  <c r="Y154" i="42"/>
  <c r="V154" i="42"/>
  <c r="AC153" i="42"/>
  <c r="AA153" i="42"/>
  <c r="Y153" i="42"/>
  <c r="AC152" i="42"/>
  <c r="AA152" i="42"/>
  <c r="Y152" i="42"/>
  <c r="P152" i="42"/>
  <c r="AE152" i="42" s="1"/>
  <c r="AF152" i="42" s="1"/>
  <c r="AC151" i="42"/>
  <c r="AA151" i="42"/>
  <c r="Y151" i="42"/>
  <c r="P151" i="42"/>
  <c r="AE151" i="42" s="1"/>
  <c r="AF151" i="42" s="1"/>
  <c r="AC150" i="42"/>
  <c r="AA150" i="42"/>
  <c r="Y150" i="42"/>
  <c r="V150" i="42"/>
  <c r="AC149" i="42"/>
  <c r="AA149" i="42"/>
  <c r="Y149" i="42"/>
  <c r="P149" i="42"/>
  <c r="AE149" i="42" s="1"/>
  <c r="AF149" i="42" s="1"/>
  <c r="AC148" i="42"/>
  <c r="AA148" i="42"/>
  <c r="Y148" i="42"/>
  <c r="P148" i="42"/>
  <c r="AE148" i="42" s="1"/>
  <c r="AF148" i="42" s="1"/>
  <c r="AC147" i="42"/>
  <c r="AA147" i="42"/>
  <c r="Y147" i="42"/>
  <c r="V147" i="42"/>
  <c r="P147" i="42"/>
  <c r="AE147" i="42" s="1"/>
  <c r="AF147" i="42" s="1"/>
  <c r="AC146" i="42"/>
  <c r="AA146" i="42"/>
  <c r="Y146" i="42"/>
  <c r="AC145" i="42"/>
  <c r="AA145" i="42"/>
  <c r="Y145" i="42"/>
  <c r="V145" i="42"/>
  <c r="AC144" i="42"/>
  <c r="AA144" i="42"/>
  <c r="Y144" i="42"/>
  <c r="AC143" i="42"/>
  <c r="AA143" i="42"/>
  <c r="Y143" i="42"/>
  <c r="AC142" i="42"/>
  <c r="AA142" i="42"/>
  <c r="Y142" i="42"/>
  <c r="AC141" i="42"/>
  <c r="AA141" i="42"/>
  <c r="Y141" i="42"/>
  <c r="AC140" i="42"/>
  <c r="AA140" i="42"/>
  <c r="Y140" i="42"/>
  <c r="AC139" i="42"/>
  <c r="AA139" i="42"/>
  <c r="Y139" i="42"/>
  <c r="AC138" i="42"/>
  <c r="AA138" i="42"/>
  <c r="Y138" i="42"/>
  <c r="V138" i="42"/>
  <c r="P138" i="42"/>
  <c r="AE138" i="42" s="1"/>
  <c r="AF138" i="42" s="1"/>
  <c r="AC137" i="42"/>
  <c r="AA137" i="42"/>
  <c r="Y137" i="42"/>
  <c r="V137" i="42"/>
  <c r="P137" i="42"/>
  <c r="AE137" i="42" s="1"/>
  <c r="AF137" i="42" s="1"/>
  <c r="AC136" i="42"/>
  <c r="AA136" i="42"/>
  <c r="Y136" i="42"/>
  <c r="AC135" i="42"/>
  <c r="AA135" i="42"/>
  <c r="Y135" i="42"/>
  <c r="P135" i="42"/>
  <c r="AE135" i="42" s="1"/>
  <c r="AF135" i="42" s="1"/>
  <c r="AC134" i="42"/>
  <c r="AA134" i="42"/>
  <c r="Y134" i="42"/>
  <c r="V134" i="42"/>
  <c r="AC133" i="42"/>
  <c r="AA133" i="42"/>
  <c r="Y133" i="42"/>
  <c r="P133" i="42"/>
  <c r="AE133" i="42" s="1"/>
  <c r="AF133" i="42" s="1"/>
  <c r="AC132" i="42"/>
  <c r="AA132" i="42"/>
  <c r="Y132" i="42"/>
  <c r="P132" i="42"/>
  <c r="AE132" i="42" s="1"/>
  <c r="AF132" i="42" s="1"/>
  <c r="AC131" i="42"/>
  <c r="AA131" i="42"/>
  <c r="Y131" i="42"/>
  <c r="V131" i="42"/>
  <c r="P131" i="42"/>
  <c r="AE131" i="42" s="1"/>
  <c r="AF131" i="42" s="1"/>
  <c r="AC130" i="42"/>
  <c r="AA130" i="42"/>
  <c r="Y130" i="42"/>
  <c r="V130" i="42"/>
  <c r="AC129" i="42"/>
  <c r="AA129" i="42"/>
  <c r="Y129" i="42"/>
  <c r="AC128" i="42"/>
  <c r="AA128" i="42"/>
  <c r="Y128" i="42"/>
  <c r="AC127" i="42"/>
  <c r="AA127" i="42"/>
  <c r="Y127" i="42"/>
  <c r="V127" i="42"/>
  <c r="P127" i="42"/>
  <c r="AE127" i="42" s="1"/>
  <c r="AF127" i="42" s="1"/>
  <c r="AC126" i="42"/>
  <c r="AA126" i="42"/>
  <c r="Y126" i="42"/>
  <c r="AC125" i="42"/>
  <c r="AA125" i="42"/>
  <c r="Y125" i="42"/>
  <c r="AC124" i="42"/>
  <c r="AA124" i="42"/>
  <c r="Y124" i="42"/>
  <c r="AC123" i="42"/>
  <c r="AA123" i="42"/>
  <c r="Y123" i="42"/>
  <c r="AC122" i="42"/>
  <c r="AA122" i="42"/>
  <c r="Y122" i="42"/>
  <c r="P122" i="42"/>
  <c r="AE122" i="42" s="1"/>
  <c r="AF122" i="42" s="1"/>
  <c r="AC121" i="42"/>
  <c r="AA121" i="42"/>
  <c r="Y121" i="42"/>
  <c r="V121" i="42"/>
  <c r="AC120" i="42"/>
  <c r="AA120" i="42"/>
  <c r="Y120" i="42"/>
  <c r="AC119" i="42"/>
  <c r="AA119" i="42"/>
  <c r="Y119" i="42"/>
  <c r="AC118" i="42"/>
  <c r="AA118" i="42"/>
  <c r="Y118" i="42"/>
  <c r="V118" i="42"/>
  <c r="AC117" i="42"/>
  <c r="AA117" i="42"/>
  <c r="Y117" i="42"/>
  <c r="V117" i="42"/>
  <c r="AC116" i="42"/>
  <c r="AA116" i="42"/>
  <c r="Y116" i="42"/>
  <c r="P116" i="42"/>
  <c r="AE116" i="42" s="1"/>
  <c r="AF116" i="42" s="1"/>
  <c r="AC115" i="42"/>
  <c r="AA115" i="42"/>
  <c r="Y115" i="42"/>
  <c r="V115" i="42"/>
  <c r="P115" i="42"/>
  <c r="AE115" i="42" s="1"/>
  <c r="AF115" i="42" s="1"/>
  <c r="AC114" i="42"/>
  <c r="AA114" i="42"/>
  <c r="Y114" i="42"/>
  <c r="V114" i="42"/>
  <c r="P114" i="42"/>
  <c r="AE114" i="42" s="1"/>
  <c r="AF114" i="42" s="1"/>
  <c r="AC113" i="42"/>
  <c r="AA113" i="42"/>
  <c r="Y113" i="42"/>
  <c r="AC112" i="42"/>
  <c r="AA112" i="42"/>
  <c r="Y112" i="42"/>
  <c r="AC111" i="42"/>
  <c r="AA111" i="42"/>
  <c r="Y111" i="42"/>
  <c r="V111" i="42"/>
  <c r="P111" i="42"/>
  <c r="AE111" i="42" s="1"/>
  <c r="AF111" i="42" s="1"/>
  <c r="AC110" i="42"/>
  <c r="AA110" i="42"/>
  <c r="Y110" i="42"/>
  <c r="AC109" i="42"/>
  <c r="AA109" i="42"/>
  <c r="Y109" i="42"/>
  <c r="AC108" i="42"/>
  <c r="AA108" i="42"/>
  <c r="Y108" i="42"/>
  <c r="AC107" i="42"/>
  <c r="AA107" i="42"/>
  <c r="Y107" i="42"/>
  <c r="V107" i="42"/>
  <c r="AC106" i="42"/>
  <c r="AA106" i="42"/>
  <c r="Y106" i="42"/>
  <c r="V106" i="42"/>
  <c r="AC105" i="42"/>
  <c r="AA105" i="42"/>
  <c r="Y105" i="42"/>
  <c r="V105" i="42"/>
  <c r="AC104" i="42"/>
  <c r="AA104" i="42"/>
  <c r="Y104" i="42"/>
  <c r="P104" i="42"/>
  <c r="AE104" i="42" s="1"/>
  <c r="AF104" i="42" s="1"/>
  <c r="AC103" i="42"/>
  <c r="AA103" i="42"/>
  <c r="Y103" i="42"/>
  <c r="V103" i="42"/>
  <c r="P103" i="42"/>
  <c r="AE103" i="42" s="1"/>
  <c r="AF103" i="42" s="1"/>
  <c r="AC102" i="42"/>
  <c r="AA102" i="42"/>
  <c r="Y102" i="42"/>
  <c r="V102" i="42"/>
  <c r="AC101" i="42"/>
  <c r="AA101" i="42"/>
  <c r="Y101" i="42"/>
  <c r="V101" i="42"/>
  <c r="P101" i="42"/>
  <c r="AE101" i="42" s="1"/>
  <c r="AF101" i="42" s="1"/>
  <c r="AC100" i="42"/>
  <c r="AA100" i="42"/>
  <c r="Y100" i="42"/>
  <c r="P100" i="42"/>
  <c r="AE100" i="42" s="1"/>
  <c r="AF100" i="42" s="1"/>
  <c r="AC99" i="42"/>
  <c r="AA99" i="42"/>
  <c r="Y99" i="42"/>
  <c r="V99" i="42"/>
  <c r="AC98" i="42"/>
  <c r="AA98" i="42"/>
  <c r="Y98" i="42"/>
  <c r="V98" i="42"/>
  <c r="P98" i="42"/>
  <c r="AE98" i="42" s="1"/>
  <c r="AF98" i="42" s="1"/>
  <c r="AC97" i="42"/>
  <c r="AA97" i="42"/>
  <c r="Y97" i="42"/>
  <c r="AC96" i="42"/>
  <c r="AA96" i="42"/>
  <c r="Y96" i="42"/>
  <c r="AC95" i="42"/>
  <c r="AA95" i="42"/>
  <c r="Y95" i="42"/>
  <c r="V95" i="42"/>
  <c r="AC94" i="42"/>
  <c r="AA94" i="42"/>
  <c r="Y94" i="42"/>
  <c r="AC93" i="42"/>
  <c r="AA93" i="42"/>
  <c r="Y93" i="42"/>
  <c r="AC92" i="42"/>
  <c r="AA92" i="42"/>
  <c r="Y92" i="42"/>
  <c r="AC91" i="42"/>
  <c r="AA91" i="42"/>
  <c r="Y91" i="42"/>
  <c r="V91" i="42"/>
  <c r="AC90" i="42"/>
  <c r="AA90" i="42"/>
  <c r="Y90" i="42"/>
  <c r="V90" i="42"/>
  <c r="AC89" i="42"/>
  <c r="AA89" i="42"/>
  <c r="Y89" i="42"/>
  <c r="V89" i="42"/>
  <c r="AA88" i="42"/>
  <c r="Y88" i="42"/>
  <c r="P88" i="42"/>
  <c r="AE88" i="42" s="1"/>
  <c r="AF88" i="42" s="1"/>
  <c r="AC87" i="42"/>
  <c r="AA87" i="42"/>
  <c r="Y87" i="42"/>
  <c r="P87" i="42"/>
  <c r="AE87" i="42" s="1"/>
  <c r="AF87" i="42" s="1"/>
  <c r="AC86" i="42"/>
  <c r="AA86" i="42"/>
  <c r="Y86" i="42"/>
  <c r="V86" i="42"/>
  <c r="P86" i="42"/>
  <c r="AE86" i="42" s="1"/>
  <c r="AF86" i="42" s="1"/>
  <c r="AC85" i="42"/>
  <c r="AA85" i="42"/>
  <c r="Y85" i="42"/>
  <c r="AC84" i="42"/>
  <c r="AA84" i="42"/>
  <c r="Y84" i="42"/>
  <c r="P84" i="42"/>
  <c r="AE84" i="42" s="1"/>
  <c r="AF84" i="42" s="1"/>
  <c r="AC83" i="42"/>
  <c r="AA83" i="42"/>
  <c r="Y83" i="42"/>
  <c r="V83" i="42"/>
  <c r="AC82" i="42"/>
  <c r="AA82" i="42"/>
  <c r="Y82" i="42"/>
  <c r="V82" i="42"/>
  <c r="P82" i="42"/>
  <c r="AE82" i="42" s="1"/>
  <c r="AF82" i="42" s="1"/>
  <c r="AC81" i="42"/>
  <c r="AA81" i="42"/>
  <c r="Y81" i="42"/>
  <c r="AC80" i="42"/>
  <c r="AA80" i="42"/>
  <c r="Y80" i="42"/>
  <c r="AC79" i="42"/>
  <c r="AA79" i="42"/>
  <c r="Y79" i="42"/>
  <c r="AC78" i="42"/>
  <c r="AA78" i="42"/>
  <c r="Y78" i="42"/>
  <c r="AC77" i="42"/>
  <c r="AA77" i="42"/>
  <c r="Y77" i="42"/>
  <c r="AC76" i="42"/>
  <c r="AA76" i="42"/>
  <c r="Y76" i="42"/>
  <c r="AC75" i="42"/>
  <c r="AA75" i="42"/>
  <c r="Y75" i="42"/>
  <c r="AC74" i="42"/>
  <c r="AA74" i="42"/>
  <c r="Y74" i="42"/>
  <c r="AC73" i="42"/>
  <c r="AA73" i="42"/>
  <c r="Y73" i="42"/>
  <c r="V73" i="42"/>
  <c r="P73" i="42"/>
  <c r="AE73" i="42" s="1"/>
  <c r="AF73" i="42" s="1"/>
  <c r="AC72" i="42"/>
  <c r="AA72" i="42"/>
  <c r="Y72" i="42"/>
  <c r="P72" i="42"/>
  <c r="AE72" i="42" s="1"/>
  <c r="AF72" i="42" s="1"/>
  <c r="AC71" i="42"/>
  <c r="AA71" i="42"/>
  <c r="Y71" i="42"/>
  <c r="P71" i="42"/>
  <c r="AE71" i="42" s="1"/>
  <c r="AF71" i="42" s="1"/>
  <c r="AC70" i="42"/>
  <c r="AA70" i="42"/>
  <c r="Y70" i="42"/>
  <c r="V70" i="42"/>
  <c r="P70" i="42"/>
  <c r="AE70" i="42" s="1"/>
  <c r="AF70" i="42" s="1"/>
  <c r="AC69" i="42"/>
  <c r="AA69" i="42"/>
  <c r="Y69" i="42"/>
  <c r="V69" i="42"/>
  <c r="AA68" i="42"/>
  <c r="Y68" i="42"/>
  <c r="P68" i="42"/>
  <c r="AE68" i="42" s="1"/>
  <c r="AF68" i="42" s="1"/>
  <c r="AC67" i="42"/>
  <c r="AA67" i="42"/>
  <c r="Y67" i="42"/>
  <c r="V67" i="42"/>
  <c r="AC66" i="42"/>
  <c r="AA66" i="42"/>
  <c r="Y66" i="42"/>
  <c r="V66" i="42"/>
  <c r="P66" i="42"/>
  <c r="AE66" i="42" s="1"/>
  <c r="AF66" i="42" s="1"/>
  <c r="AC65" i="42"/>
  <c r="AA65" i="42"/>
  <c r="Y65" i="42"/>
  <c r="AC64" i="42"/>
  <c r="AA64" i="42"/>
  <c r="Y64" i="42"/>
  <c r="AC63" i="42"/>
  <c r="AA63" i="42"/>
  <c r="Y63" i="42"/>
  <c r="AC62" i="42"/>
  <c r="AA62" i="42"/>
  <c r="Y62" i="42"/>
  <c r="AC61" i="42"/>
  <c r="AA61" i="42"/>
  <c r="Y61" i="42"/>
  <c r="V61" i="42"/>
  <c r="AC60" i="42"/>
  <c r="AA60" i="42"/>
  <c r="Y60" i="42"/>
  <c r="AC59" i="42"/>
  <c r="AA59" i="42"/>
  <c r="Y59" i="42"/>
  <c r="AC58" i="42"/>
  <c r="AA58" i="42"/>
  <c r="Y58" i="42"/>
  <c r="V58" i="42"/>
  <c r="AC57" i="42"/>
  <c r="AA57" i="42"/>
  <c r="Y57" i="42"/>
  <c r="P57" i="42"/>
  <c r="AE57" i="42" s="1"/>
  <c r="AF57" i="42" s="1"/>
  <c r="AC56" i="42"/>
  <c r="AA56" i="42"/>
  <c r="Y56" i="42"/>
  <c r="P56" i="42"/>
  <c r="AE56" i="42" s="1"/>
  <c r="AF56" i="42" s="1"/>
  <c r="AA55" i="42"/>
  <c r="Y55" i="42"/>
  <c r="P55" i="42"/>
  <c r="AE55" i="42" s="1"/>
  <c r="AF55" i="42" s="1"/>
  <c r="AC54" i="42"/>
  <c r="AA54" i="42"/>
  <c r="Y54" i="42"/>
  <c r="V54" i="42"/>
  <c r="P54" i="42"/>
  <c r="AE54" i="42" s="1"/>
  <c r="AF54" i="42" s="1"/>
  <c r="AC53" i="42"/>
  <c r="AA53" i="42"/>
  <c r="Y53" i="42"/>
  <c r="P53" i="42"/>
  <c r="AE53" i="42" s="1"/>
  <c r="AF53" i="42" s="1"/>
  <c r="AC52" i="42"/>
  <c r="AA52" i="42"/>
  <c r="Y52" i="42"/>
  <c r="P52" i="42"/>
  <c r="AE52" i="42" s="1"/>
  <c r="AF52" i="42" s="1"/>
  <c r="AC51" i="42"/>
  <c r="AA51" i="42"/>
  <c r="Y51" i="42"/>
  <c r="V51" i="42"/>
  <c r="AC50" i="42"/>
  <c r="AA50" i="42"/>
  <c r="Y50" i="42"/>
  <c r="P50" i="42"/>
  <c r="AE50" i="42" s="1"/>
  <c r="AF50" i="42" s="1"/>
  <c r="AC49" i="42"/>
  <c r="AA49" i="42"/>
  <c r="Y49" i="42"/>
  <c r="AC48" i="42"/>
  <c r="AA48" i="42"/>
  <c r="Y48" i="42"/>
  <c r="P48" i="42"/>
  <c r="AE48" i="42" s="1"/>
  <c r="AF48" i="42" s="1"/>
  <c r="AC47" i="42"/>
  <c r="AA47" i="42"/>
  <c r="Y47" i="42"/>
  <c r="AC46" i="42"/>
  <c r="AA46" i="42"/>
  <c r="Y46" i="42"/>
  <c r="AC45" i="42"/>
  <c r="AA45" i="42"/>
  <c r="Y45" i="42"/>
  <c r="AC44" i="42"/>
  <c r="AA44" i="42"/>
  <c r="Y44" i="42"/>
  <c r="AC43" i="42"/>
  <c r="AA43" i="42"/>
  <c r="Y43" i="42"/>
  <c r="AC42" i="42"/>
  <c r="AA42" i="42"/>
  <c r="Y42" i="42"/>
  <c r="AC41" i="42"/>
  <c r="AA41" i="42"/>
  <c r="Y41" i="42"/>
  <c r="P41" i="42"/>
  <c r="AE41" i="42" s="1"/>
  <c r="AF41" i="42" s="1"/>
  <c r="AC40" i="42"/>
  <c r="AA40" i="42"/>
  <c r="Y40" i="42"/>
  <c r="P40" i="42"/>
  <c r="AE40" i="42" s="1"/>
  <c r="AF40" i="42" s="1"/>
  <c r="AC39" i="42"/>
  <c r="AA39" i="42"/>
  <c r="Y39" i="42"/>
  <c r="P39" i="42"/>
  <c r="AE39" i="42" s="1"/>
  <c r="AF39" i="42" s="1"/>
  <c r="AC38" i="42"/>
  <c r="AA38" i="42"/>
  <c r="Y38" i="42"/>
  <c r="AC37" i="42"/>
  <c r="AA37" i="42"/>
  <c r="Y37" i="42"/>
  <c r="P37" i="42"/>
  <c r="AE37" i="42" s="1"/>
  <c r="AF37" i="42" s="1"/>
  <c r="AC36" i="42"/>
  <c r="AA36" i="42"/>
  <c r="Y36" i="42"/>
  <c r="P36" i="42"/>
  <c r="AE36" i="42" s="1"/>
  <c r="AF36" i="42" s="1"/>
  <c r="AC35" i="42"/>
  <c r="AA35" i="42"/>
  <c r="Y35" i="42"/>
  <c r="P35" i="42"/>
  <c r="AE35" i="42" s="1"/>
  <c r="AF35" i="42" s="1"/>
  <c r="AC34" i="42"/>
  <c r="AA34" i="42"/>
  <c r="Y34" i="42"/>
  <c r="V34" i="42"/>
  <c r="AA33" i="42"/>
  <c r="Y33" i="42"/>
  <c r="AC32" i="42"/>
  <c r="Y32" i="42"/>
  <c r="V32" i="42"/>
  <c r="Y31" i="42"/>
  <c r="V31" i="42"/>
  <c r="AC30" i="42"/>
  <c r="Y30" i="42"/>
  <c r="AC29" i="42"/>
  <c r="Y29" i="42"/>
  <c r="AC28" i="42"/>
  <c r="Y28" i="42"/>
  <c r="AC27" i="42"/>
  <c r="Y27" i="42"/>
  <c r="AC26" i="42"/>
  <c r="Y26" i="42"/>
  <c r="V26" i="42"/>
  <c r="AC25" i="42"/>
  <c r="Y25" i="42"/>
  <c r="AC24" i="42"/>
  <c r="Y24" i="42"/>
  <c r="AC23" i="42"/>
  <c r="Y23" i="42"/>
  <c r="AC22" i="42"/>
  <c r="Y22" i="42"/>
  <c r="V22" i="42"/>
  <c r="AA21" i="42"/>
  <c r="V21" i="42"/>
  <c r="AC20" i="42"/>
  <c r="AA20" i="42"/>
  <c r="AC19" i="42"/>
  <c r="AA19" i="42"/>
  <c r="AC18" i="42"/>
  <c r="AA18" i="42"/>
  <c r="AA17" i="42"/>
  <c r="V17" i="42"/>
  <c r="AC16" i="42"/>
  <c r="AA16" i="42"/>
  <c r="AC15" i="42"/>
  <c r="AA15" i="42"/>
  <c r="AC14" i="42"/>
  <c r="AA14" i="42"/>
  <c r="AC13" i="42"/>
  <c r="AA13" i="42"/>
  <c r="AA12" i="42"/>
  <c r="AC11" i="42"/>
  <c r="AA11" i="42"/>
  <c r="Y11" i="42"/>
  <c r="AC10" i="42"/>
  <c r="AA10" i="42"/>
  <c r="Y10" i="42"/>
  <c r="AC9" i="42"/>
  <c r="AA9" i="42"/>
  <c r="Y9" i="42"/>
  <c r="V9" i="42"/>
  <c r="AC8" i="42"/>
  <c r="AA8" i="42"/>
  <c r="Y8" i="42"/>
  <c r="AC7" i="42"/>
  <c r="AA7" i="42"/>
  <c r="Y7" i="42"/>
  <c r="AC6" i="42"/>
  <c r="AA6" i="42"/>
  <c r="Y6" i="42"/>
  <c r="AC5" i="42"/>
  <c r="AA5" i="42"/>
  <c r="Y5" i="42"/>
  <c r="AC4" i="42"/>
  <c r="AA4" i="42"/>
  <c r="Y4" i="42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EQ3" i="54" l="1"/>
  <c r="C21" i="59"/>
  <c r="X302" i="19"/>
  <c r="CI3" i="54"/>
  <c r="X483" i="19"/>
  <c r="CM3" i="54"/>
  <c r="X294" i="19"/>
  <c r="BU3" i="54"/>
  <c r="BP3" i="54"/>
  <c r="W10" i="53" a="1"/>
  <c r="W10" i="53" s="1"/>
  <c r="BK10" i="53" a="1"/>
  <c r="BK10" i="53" s="1"/>
  <c r="BO10" i="53" a="1"/>
  <c r="BO10" i="53" s="1"/>
  <c r="GT3" i="54"/>
  <c r="ET3" i="54"/>
  <c r="BX3" i="54"/>
  <c r="AC3" i="56" a="1"/>
  <c r="AC3" i="56" s="1"/>
  <c r="C83" i="56" s="1" a="1"/>
  <c r="C83" i="56" s="1"/>
  <c r="C76" i="56" a="1"/>
  <c r="C76" i="56" s="1"/>
  <c r="CP3" i="54"/>
  <c r="CV3" i="54"/>
  <c r="CW3" i="54"/>
  <c r="C78" i="56" a="1"/>
  <c r="C78" i="56" s="1"/>
  <c r="C75" i="56" a="1"/>
  <c r="C75" i="56" s="1"/>
  <c r="C77" i="56" a="1"/>
  <c r="C77" i="56" s="1"/>
  <c r="EK3" i="54"/>
  <c r="EL3" i="54" s="1"/>
  <c r="EM3" i="54" s="1"/>
  <c r="CF3" i="54"/>
  <c r="C19" i="59"/>
  <c r="CB3" i="54"/>
  <c r="CC3" i="54" s="1"/>
  <c r="CD3" i="54" s="1"/>
  <c r="CS3" i="54"/>
  <c r="CR3" i="54"/>
  <c r="CU3" i="54"/>
  <c r="CQ3" i="54"/>
  <c r="CT3" i="54"/>
  <c r="CO3" i="54"/>
  <c r="BR3" i="54"/>
  <c r="DX3" i="54"/>
  <c r="BD3" i="54"/>
  <c r="U10" i="53" a="1"/>
  <c r="U10" i="53" s="1"/>
  <c r="BV10" i="53" a="1"/>
  <c r="BV10" i="53" s="1"/>
  <c r="BS10" i="53" a="1"/>
  <c r="BS10" i="53" s="1"/>
  <c r="BE10" i="53" a="1"/>
  <c r="BE10" i="53" s="1"/>
  <c r="CJ3" i="54"/>
  <c r="CK3" i="54"/>
  <c r="CL3" i="54" s="1"/>
  <c r="FH3" i="54" s="1"/>
  <c r="FJ3" i="54" s="1"/>
  <c r="BL3" i="54"/>
  <c r="X418" i="19"/>
  <c r="X259" i="19"/>
  <c r="X319" i="19"/>
  <c r="W457" i="19"/>
  <c r="X10" i="19"/>
  <c r="X30" i="19"/>
  <c r="X85" i="19"/>
  <c r="W201" i="19"/>
  <c r="X306" i="19"/>
  <c r="X126" i="19"/>
  <c r="W174" i="19"/>
  <c r="X250" i="19"/>
  <c r="X323" i="19"/>
  <c r="W402" i="19"/>
  <c r="W193" i="19"/>
  <c r="X450" i="19"/>
  <c r="W406" i="19"/>
  <c r="W255" i="19"/>
  <c r="X255" i="19"/>
  <c r="X449" i="19"/>
  <c r="W449" i="19"/>
  <c r="X37" i="19"/>
  <c r="W37" i="19"/>
  <c r="X101" i="19"/>
  <c r="X116" i="19"/>
  <c r="X466" i="19"/>
  <c r="W109" i="19"/>
  <c r="W217" i="19"/>
  <c r="X217" i="19"/>
  <c r="W366" i="19"/>
  <c r="W424" i="19"/>
  <c r="W426" i="19"/>
  <c r="X426" i="19"/>
  <c r="X401" i="19"/>
  <c r="X414" i="19"/>
  <c r="W414" i="19"/>
  <c r="W297" i="19"/>
  <c r="X297" i="19"/>
  <c r="W238" i="19"/>
  <c r="X358" i="19"/>
  <c r="W358" i="19"/>
  <c r="X169" i="19"/>
  <c r="X242" i="19"/>
  <c r="W313" i="19"/>
  <c r="X500" i="19"/>
  <c r="X103" i="19"/>
  <c r="W185" i="19"/>
  <c r="W314" i="19"/>
  <c r="X314" i="19"/>
  <c r="X13" i="19"/>
  <c r="W133" i="19"/>
  <c r="X28" i="19"/>
  <c r="W476" i="19"/>
  <c r="X490" i="19"/>
  <c r="X436" i="19"/>
  <c r="X463" i="19"/>
  <c r="X31" i="19"/>
  <c r="X54" i="19"/>
  <c r="X77" i="19"/>
  <c r="X135" i="19"/>
  <c r="W345" i="19"/>
  <c r="W389" i="19"/>
  <c r="X415" i="19"/>
  <c r="X482" i="19"/>
  <c r="X495" i="19"/>
  <c r="X63" i="19"/>
  <c r="X262" i="19"/>
  <c r="X471" i="19"/>
  <c r="BF16" i="10"/>
  <c r="W273" i="42"/>
  <c r="W68" i="42"/>
  <c r="W188" i="42"/>
  <c r="W486" i="19"/>
  <c r="X486" i="19"/>
  <c r="W9" i="19"/>
  <c r="X94" i="19"/>
  <c r="W94" i="19"/>
  <c r="W407" i="19"/>
  <c r="X407" i="19"/>
  <c r="X256" i="19"/>
  <c r="W256" i="19"/>
  <c r="W157" i="19"/>
  <c r="X157" i="19"/>
  <c r="X120" i="19"/>
  <c r="W150" i="19"/>
  <c r="X150" i="19"/>
  <c r="W106" i="19"/>
  <c r="X106" i="19"/>
  <c r="W372" i="19"/>
  <c r="X372" i="19"/>
  <c r="W441" i="19"/>
  <c r="X441" i="19"/>
  <c r="W129" i="19"/>
  <c r="X129" i="19"/>
  <c r="X329" i="19"/>
  <c r="W329" i="19"/>
  <c r="X409" i="19"/>
  <c r="W409" i="19"/>
  <c r="X74" i="19"/>
  <c r="X87" i="19"/>
  <c r="W102" i="19"/>
  <c r="X102" i="19"/>
  <c r="W52" i="19"/>
  <c r="X52" i="19"/>
  <c r="W431" i="19"/>
  <c r="X431" i="19"/>
  <c r="W474" i="19"/>
  <c r="X474" i="19"/>
  <c r="W16" i="19"/>
  <c r="X16" i="19"/>
  <c r="X195" i="19"/>
  <c r="X209" i="19"/>
  <c r="W278" i="19"/>
  <c r="W148" i="19"/>
  <c r="X148" i="19"/>
  <c r="X444" i="19"/>
  <c r="W444" i="19"/>
  <c r="X430" i="19"/>
  <c r="X478" i="19"/>
  <c r="W478" i="19"/>
  <c r="X24" i="19"/>
  <c r="X233" i="19"/>
  <c r="W246" i="19"/>
  <c r="X246" i="19"/>
  <c r="W234" i="19"/>
  <c r="X234" i="19"/>
  <c r="W46" i="19"/>
  <c r="X221" i="19"/>
  <c r="W387" i="19"/>
  <c r="X387" i="19"/>
  <c r="X14" i="19"/>
  <c r="X33" i="19"/>
  <c r="X69" i="19"/>
  <c r="W188" i="19"/>
  <c r="W214" i="19"/>
  <c r="W273" i="19"/>
  <c r="X285" i="19"/>
  <c r="X310" i="19"/>
  <c r="X346" i="19"/>
  <c r="W422" i="19"/>
  <c r="X503" i="19"/>
  <c r="X55" i="19"/>
  <c r="X97" i="19"/>
  <c r="X117" i="19"/>
  <c r="W226" i="19"/>
  <c r="W261" i="19"/>
  <c r="W337" i="19"/>
  <c r="X470" i="19"/>
  <c r="W492" i="19"/>
  <c r="X11" i="19"/>
  <c r="W22" i="19"/>
  <c r="X71" i="19"/>
  <c r="W192" i="19"/>
  <c r="W227" i="19"/>
  <c r="X326" i="19"/>
  <c r="W338" i="19"/>
  <c r="W200" i="42"/>
  <c r="W363" i="42"/>
  <c r="W292" i="42"/>
  <c r="W229" i="42"/>
  <c r="V229" i="42"/>
  <c r="W220" i="42"/>
  <c r="W321" i="42"/>
  <c r="W49" i="42"/>
  <c r="W52" i="42"/>
  <c r="W65" i="42"/>
  <c r="V65" i="42"/>
  <c r="W148" i="42"/>
  <c r="W43" i="42"/>
  <c r="W25" i="42"/>
  <c r="W133" i="42"/>
  <c r="V133" i="42"/>
  <c r="W197" i="42"/>
  <c r="W413" i="42"/>
  <c r="W451" i="42"/>
  <c r="W463" i="42"/>
  <c r="W469" i="42"/>
  <c r="W493" i="42"/>
  <c r="W136" i="42"/>
  <c r="W279" i="42"/>
  <c r="W40" i="42"/>
  <c r="W124" i="42"/>
  <c r="W212" i="42"/>
  <c r="W253" i="42"/>
  <c r="W425" i="42"/>
  <c r="W88" i="42"/>
  <c r="W152" i="42"/>
  <c r="W355" i="42"/>
  <c r="W411" i="42"/>
  <c r="W449" i="42"/>
  <c r="W84" i="42"/>
  <c r="W173" i="42"/>
  <c r="W387" i="42"/>
  <c r="W72" i="42"/>
  <c r="V173" i="42"/>
  <c r="V387" i="42"/>
  <c r="W399" i="42"/>
  <c r="W53" i="42"/>
  <c r="W164" i="42"/>
  <c r="W361" i="42"/>
  <c r="W204" i="42"/>
  <c r="W14" i="42"/>
  <c r="W140" i="42"/>
  <c r="W236" i="42"/>
  <c r="W283" i="42"/>
  <c r="W276" i="42"/>
  <c r="W13" i="42"/>
  <c r="W176" i="42"/>
  <c r="W315" i="42"/>
  <c r="W375" i="42"/>
  <c r="W37" i="42"/>
  <c r="W100" i="42"/>
  <c r="W112" i="42"/>
  <c r="W30" i="42"/>
  <c r="W149" i="42"/>
  <c r="W189" i="42"/>
  <c r="V189" i="42"/>
  <c r="V149" i="42"/>
  <c r="W245" i="42"/>
  <c r="W304" i="42"/>
  <c r="W41" i="42"/>
  <c r="W60" i="42"/>
  <c r="W373" i="42"/>
  <c r="W109" i="42"/>
  <c r="V253" i="42"/>
  <c r="W268" i="42"/>
  <c r="W381" i="42"/>
  <c r="V268" i="42"/>
  <c r="V425" i="42"/>
  <c r="W437" i="42"/>
  <c r="W44" i="42"/>
  <c r="W85" i="42"/>
  <c r="W307" i="42"/>
  <c r="W57" i="42"/>
  <c r="W128" i="42"/>
  <c r="W213" i="42"/>
  <c r="W125" i="42"/>
  <c r="V245" i="42"/>
  <c r="W343" i="42"/>
  <c r="W19" i="42"/>
  <c r="W48" i="42"/>
  <c r="W196" i="42"/>
  <c r="W205" i="42"/>
  <c r="W272" i="42"/>
  <c r="W444" i="42"/>
  <c r="W477" i="42"/>
  <c r="W313" i="42"/>
  <c r="W337" i="42"/>
  <c r="V213" i="42"/>
  <c r="W216" i="42"/>
  <c r="W269" i="42"/>
  <c r="W64" i="42"/>
  <c r="W181" i="42"/>
  <c r="W208" i="42"/>
  <c r="W228" i="42"/>
  <c r="W237" i="42"/>
  <c r="W281" i="42"/>
  <c r="W471" i="42"/>
  <c r="W23" i="42"/>
  <c r="W76" i="42"/>
  <c r="W101" i="42"/>
  <c r="W35" i="42"/>
  <c r="W92" i="42"/>
  <c r="W260" i="42"/>
  <c r="W24" i="42"/>
  <c r="V181" i="42"/>
  <c r="V237" i="42"/>
  <c r="W311" i="42"/>
  <c r="W317" i="42"/>
  <c r="W341" i="42"/>
  <c r="W465" i="42"/>
  <c r="W433" i="42"/>
  <c r="W301" i="42"/>
  <c r="V307" i="42"/>
  <c r="W316" i="42"/>
  <c r="W38" i="42"/>
  <c r="V57" i="42"/>
  <c r="W116" i="42"/>
  <c r="V125" i="42"/>
  <c r="W172" i="42"/>
  <c r="W252" i="42"/>
  <c r="W335" i="42"/>
  <c r="W380" i="42"/>
  <c r="W389" i="42"/>
  <c r="W36" i="42"/>
  <c r="W93" i="42"/>
  <c r="W108" i="42"/>
  <c r="W157" i="42"/>
  <c r="W261" i="42"/>
  <c r="V261" i="42"/>
  <c r="V380" i="42"/>
  <c r="V389" i="42"/>
  <c r="W395" i="42"/>
  <c r="W404" i="42"/>
  <c r="W427" i="42"/>
  <c r="W20" i="42"/>
  <c r="W42" i="42"/>
  <c r="W80" i="42"/>
  <c r="W156" i="42"/>
  <c r="W165" i="42"/>
  <c r="W180" i="42"/>
  <c r="W284" i="42"/>
  <c r="W296" i="42"/>
  <c r="W323" i="42"/>
  <c r="W388" i="42"/>
  <c r="W403" i="42"/>
  <c r="W420" i="42"/>
  <c r="W467" i="42"/>
  <c r="W16" i="42"/>
  <c r="W39" i="42"/>
  <c r="W77" i="42"/>
  <c r="W96" i="42"/>
  <c r="W117" i="42"/>
  <c r="W132" i="42"/>
  <c r="W141" i="42"/>
  <c r="W144" i="42"/>
  <c r="V165" i="42"/>
  <c r="W221" i="42"/>
  <c r="W244" i="42"/>
  <c r="W287" i="42"/>
  <c r="W290" i="42"/>
  <c r="V296" i="42"/>
  <c r="W359" i="42"/>
  <c r="W397" i="42"/>
  <c r="W485" i="42"/>
  <c r="X165" i="19"/>
  <c r="W165" i="19"/>
  <c r="X380" i="19"/>
  <c r="W380" i="19"/>
  <c r="W342" i="19"/>
  <c r="W354" i="19"/>
  <c r="X142" i="19"/>
  <c r="W142" i="19"/>
  <c r="X210" i="19"/>
  <c r="W210" i="19"/>
  <c r="W244" i="19"/>
  <c r="X244" i="19"/>
  <c r="X281" i="19"/>
  <c r="W281" i="19"/>
  <c r="X197" i="19"/>
  <c r="W197" i="19"/>
  <c r="W61" i="19"/>
  <c r="X61" i="19"/>
  <c r="X158" i="19"/>
  <c r="W158" i="19"/>
  <c r="W308" i="19"/>
  <c r="X308" i="19"/>
  <c r="X320" i="19"/>
  <c r="W320" i="19"/>
  <c r="W151" i="19"/>
  <c r="X151" i="19"/>
  <c r="W20" i="19"/>
  <c r="X20" i="19"/>
  <c r="X62" i="19"/>
  <c r="W62" i="19"/>
  <c r="W76" i="19"/>
  <c r="X76" i="19"/>
  <c r="X399" i="19"/>
  <c r="W399" i="19"/>
  <c r="X161" i="19"/>
  <c r="W161" i="19"/>
  <c r="X501" i="19"/>
  <c r="W501" i="19"/>
  <c r="W410" i="19"/>
  <c r="X410" i="19"/>
  <c r="W467" i="19"/>
  <c r="X467" i="19"/>
  <c r="X274" i="19"/>
  <c r="W274" i="19"/>
  <c r="X118" i="19"/>
  <c r="W118" i="19"/>
  <c r="W23" i="19"/>
  <c r="X23" i="19"/>
  <c r="X230" i="19"/>
  <c r="W230" i="19"/>
  <c r="X373" i="19"/>
  <c r="W373" i="19"/>
  <c r="X384" i="19"/>
  <c r="W384" i="19"/>
  <c r="X453" i="19"/>
  <c r="W453" i="19"/>
  <c r="W124" i="19"/>
  <c r="X124" i="19"/>
  <c r="X321" i="19"/>
  <c r="W321" i="19"/>
  <c r="X7" i="19"/>
  <c r="W7" i="19"/>
  <c r="W42" i="19"/>
  <c r="X42" i="19"/>
  <c r="W84" i="19"/>
  <c r="X84" i="19"/>
  <c r="X286" i="19"/>
  <c r="W286" i="19"/>
  <c r="X488" i="19"/>
  <c r="W488" i="19"/>
  <c r="W180" i="19"/>
  <c r="X180" i="19"/>
  <c r="X479" i="19"/>
  <c r="W479" i="19"/>
  <c r="W239" i="19"/>
  <c r="X239" i="19"/>
  <c r="X252" i="19"/>
  <c r="W252" i="19"/>
  <c r="X290" i="19"/>
  <c r="W290" i="19"/>
  <c r="W349" i="19"/>
  <c r="X349" i="19"/>
  <c r="X86" i="19"/>
  <c r="W86" i="19"/>
  <c r="W127" i="19"/>
  <c r="X127" i="19"/>
  <c r="X207" i="19"/>
  <c r="W207" i="19"/>
  <c r="X149" i="19"/>
  <c r="W149" i="19"/>
  <c r="X194" i="19"/>
  <c r="W194" i="19"/>
  <c r="X218" i="19"/>
  <c r="X364" i="19"/>
  <c r="W364" i="19"/>
  <c r="X377" i="19"/>
  <c r="W377" i="19"/>
  <c r="W298" i="19"/>
  <c r="X298" i="19"/>
  <c r="X355" i="19"/>
  <c r="W355" i="19"/>
  <c r="X502" i="19"/>
  <c r="W502" i="19"/>
  <c r="X4" i="19"/>
  <c r="X44" i="19"/>
  <c r="W65" i="19"/>
  <c r="X65" i="19"/>
  <c r="W92" i="19"/>
  <c r="X92" i="19"/>
  <c r="X287" i="19"/>
  <c r="W287" i="19"/>
  <c r="X393" i="19"/>
  <c r="W393" i="19"/>
  <c r="W211" i="19"/>
  <c r="X211" i="19"/>
  <c r="X53" i="19"/>
  <c r="W53" i="19"/>
  <c r="W279" i="19"/>
  <c r="X279" i="19"/>
  <c r="X245" i="19"/>
  <c r="W245" i="19"/>
  <c r="X385" i="19"/>
  <c r="W385" i="19"/>
  <c r="W95" i="19"/>
  <c r="X95" i="19"/>
  <c r="X316" i="19"/>
  <c r="W316" i="19"/>
  <c r="X442" i="19"/>
  <c r="W442" i="19"/>
  <c r="X236" i="19"/>
  <c r="W236" i="19"/>
  <c r="W271" i="19"/>
  <c r="X350" i="19"/>
  <c r="W350" i="19"/>
  <c r="X362" i="19"/>
  <c r="X419" i="19"/>
  <c r="W419" i="19"/>
  <c r="W21" i="19"/>
  <c r="W45" i="19"/>
  <c r="X56" i="19"/>
  <c r="W110" i="19"/>
  <c r="W141" i="19"/>
  <c r="X152" i="19"/>
  <c r="W167" i="19"/>
  <c r="W178" i="19"/>
  <c r="W186" i="19"/>
  <c r="W220" i="19"/>
  <c r="W296" i="19"/>
  <c r="W322" i="19"/>
  <c r="X339" i="19"/>
  <c r="W374" i="19"/>
  <c r="W383" i="19"/>
  <c r="W390" i="19"/>
  <c r="W408" i="19"/>
  <c r="W434" i="19"/>
  <c r="X451" i="19"/>
  <c r="X477" i="19"/>
  <c r="W494" i="19"/>
  <c r="X5" i="19"/>
  <c r="X39" i="19"/>
  <c r="W280" i="19"/>
  <c r="W348" i="19"/>
  <c r="X425" i="19"/>
  <c r="X88" i="19"/>
  <c r="W181" i="19"/>
  <c r="X215" i="19"/>
  <c r="W223" i="19"/>
  <c r="W249" i="19"/>
  <c r="W257" i="19"/>
  <c r="W265" i="19"/>
  <c r="X282" i="19"/>
  <c r="W325" i="19"/>
  <c r="W335" i="19"/>
  <c r="W428" i="19"/>
  <c r="W437" i="19"/>
  <c r="W454" i="19"/>
  <c r="W472" i="19"/>
  <c r="W162" i="19"/>
  <c r="W171" i="19"/>
  <c r="W232" i="19"/>
  <c r="W291" i="19"/>
  <c r="W309" i="19"/>
  <c r="X343" i="19"/>
  <c r="W351" i="19"/>
  <c r="W386" i="19"/>
  <c r="X403" i="19"/>
  <c r="X447" i="19"/>
  <c r="W465" i="19"/>
  <c r="W498" i="19"/>
  <c r="W182" i="19"/>
  <c r="W191" i="19"/>
  <c r="W198" i="19"/>
  <c r="W216" i="19"/>
  <c r="W258" i="19"/>
  <c r="X275" i="19"/>
  <c r="W300" i="19"/>
  <c r="W360" i="19"/>
  <c r="W370" i="19"/>
  <c r="W378" i="19"/>
  <c r="W438" i="19"/>
  <c r="W473" i="19"/>
  <c r="X489" i="19"/>
  <c r="X60" i="19"/>
  <c r="X108" i="19"/>
  <c r="X119" i="19"/>
  <c r="X138" i="19"/>
  <c r="X156" i="19"/>
  <c r="W284" i="19"/>
  <c r="W344" i="19"/>
  <c r="X413" i="19"/>
  <c r="W448" i="19"/>
  <c r="V53" i="42"/>
  <c r="V77" i="42"/>
  <c r="V85" i="42"/>
  <c r="V93" i="42"/>
  <c r="W320" i="42"/>
  <c r="W327" i="42"/>
  <c r="W358" i="42"/>
  <c r="W365" i="42"/>
  <c r="W372" i="42"/>
  <c r="W379" i="42"/>
  <c r="W410" i="42"/>
  <c r="W417" i="42"/>
  <c r="W448" i="42"/>
  <c r="W455" i="42"/>
  <c r="V24" i="42"/>
  <c r="W17" i="42"/>
  <c r="W97" i="42"/>
  <c r="AC12" i="42"/>
  <c r="W33" i="42"/>
  <c r="V35" i="42"/>
  <c r="W285" i="42"/>
  <c r="V36" i="42"/>
  <c r="W61" i="42"/>
  <c r="W69" i="42"/>
  <c r="V279" i="42"/>
  <c r="V290" i="42"/>
  <c r="V301" i="42"/>
  <c r="V311" i="42"/>
  <c r="V337" i="42"/>
  <c r="W344" i="42"/>
  <c r="W351" i="42"/>
  <c r="V375" i="42"/>
  <c r="W382" i="42"/>
  <c r="W396" i="42"/>
  <c r="V413" i="42"/>
  <c r="V420" i="42"/>
  <c r="V427" i="42"/>
  <c r="W434" i="42"/>
  <c r="W441" i="42"/>
  <c r="V465" i="42"/>
  <c r="W472" i="42"/>
  <c r="W479" i="42"/>
  <c r="V485" i="42"/>
  <c r="W488" i="42"/>
  <c r="V10" i="42"/>
  <c r="V23" i="42"/>
  <c r="W12" i="42"/>
  <c r="W15" i="42"/>
  <c r="W21" i="42"/>
  <c r="W22" i="42"/>
  <c r="W26" i="42"/>
  <c r="W46" i="42"/>
  <c r="W54" i="42"/>
  <c r="W62" i="42"/>
  <c r="W274" i="42"/>
  <c r="W45" i="42"/>
  <c r="V37" i="42"/>
  <c r="V38" i="42"/>
  <c r="V39" i="42"/>
  <c r="V40" i="42"/>
  <c r="V41" i="42"/>
  <c r="V42" i="42"/>
  <c r="V43" i="42"/>
  <c r="V44" i="42"/>
  <c r="V52" i="42"/>
  <c r="V60" i="42"/>
  <c r="V68" i="42"/>
  <c r="V76" i="42"/>
  <c r="V84" i="42"/>
  <c r="V92" i="42"/>
  <c r="V100" i="42"/>
  <c r="V108" i="42"/>
  <c r="V116" i="42"/>
  <c r="V124" i="42"/>
  <c r="V132" i="42"/>
  <c r="V140" i="42"/>
  <c r="V148" i="42"/>
  <c r="V156" i="42"/>
  <c r="V164" i="42"/>
  <c r="V172" i="42"/>
  <c r="V180" i="42"/>
  <c r="V188" i="42"/>
  <c r="V196" i="42"/>
  <c r="V204" i="42"/>
  <c r="V212" i="42"/>
  <c r="V220" i="42"/>
  <c r="V228" i="42"/>
  <c r="V236" i="42"/>
  <c r="V244" i="42"/>
  <c r="V252" i="42"/>
  <c r="V260" i="42"/>
  <c r="V273" i="42"/>
  <c r="V284" i="42"/>
  <c r="V315" i="42"/>
  <c r="V323" i="42"/>
  <c r="W330" i="42"/>
  <c r="W368" i="42"/>
  <c r="V399" i="42"/>
  <c r="W406" i="42"/>
  <c r="V437" i="42"/>
  <c r="V444" i="42"/>
  <c r="V451" i="42"/>
  <c r="W458" i="42"/>
  <c r="W482" i="42"/>
  <c r="V4" i="42"/>
  <c r="V6" i="42"/>
  <c r="V11" i="42"/>
  <c r="V14" i="42"/>
  <c r="V20" i="42"/>
  <c r="V25" i="42"/>
  <c r="W89" i="42"/>
  <c r="W78" i="42"/>
  <c r="W34" i="42"/>
  <c r="W354" i="42"/>
  <c r="W392" i="42"/>
  <c r="W430" i="42"/>
  <c r="V13" i="42"/>
  <c r="W70" i="42"/>
  <c r="AD4" i="42"/>
  <c r="W267" i="42"/>
  <c r="W278" i="42"/>
  <c r="W295" i="42"/>
  <c r="W306" i="42"/>
  <c r="W319" i="42"/>
  <c r="W326" i="42"/>
  <c r="W333" i="42"/>
  <c r="W340" i="42"/>
  <c r="W347" i="42"/>
  <c r="W378" i="42"/>
  <c r="W385" i="42"/>
  <c r="W416" i="42"/>
  <c r="W423" i="42"/>
  <c r="W454" i="42"/>
  <c r="W461" i="42"/>
  <c r="W468" i="42"/>
  <c r="W475" i="42"/>
  <c r="W59" i="42"/>
  <c r="W67" i="42"/>
  <c r="W83" i="42"/>
  <c r="W99" i="42"/>
  <c r="W115" i="42"/>
  <c r="W131" i="42"/>
  <c r="W147" i="42"/>
  <c r="W171" i="42"/>
  <c r="W179" i="42"/>
  <c r="W187" i="42"/>
  <c r="W195" i="42"/>
  <c r="W203" i="42"/>
  <c r="W211" i="42"/>
  <c r="W219" i="42"/>
  <c r="W227" i="42"/>
  <c r="W235" i="42"/>
  <c r="W243" i="42"/>
  <c r="W251" i="42"/>
  <c r="W259" i="42"/>
  <c r="V272" i="42"/>
  <c r="V283" i="42"/>
  <c r="W289" i="42"/>
  <c r="W300" i="42"/>
  <c r="W310" i="42"/>
  <c r="V343" i="42"/>
  <c r="W350" i="42"/>
  <c r="W357" i="42"/>
  <c r="W364" i="42"/>
  <c r="W371" i="42"/>
  <c r="V381" i="42"/>
  <c r="V388" i="42"/>
  <c r="V395" i="42"/>
  <c r="W402" i="42"/>
  <c r="W409" i="42"/>
  <c r="V433" i="42"/>
  <c r="W440" i="42"/>
  <c r="W447" i="42"/>
  <c r="V471" i="42"/>
  <c r="W478" i="42"/>
  <c r="W51" i="42"/>
  <c r="W75" i="42"/>
  <c r="W91" i="42"/>
  <c r="W107" i="42"/>
  <c r="W123" i="42"/>
  <c r="W139" i="42"/>
  <c r="W155" i="42"/>
  <c r="W163" i="42"/>
  <c r="W294" i="42"/>
  <c r="W336" i="42"/>
  <c r="W374" i="42"/>
  <c r="W426" i="42"/>
  <c r="W464" i="42"/>
  <c r="W484" i="42"/>
  <c r="W487" i="42"/>
  <c r="W490" i="42"/>
  <c r="W50" i="42"/>
  <c r="W58" i="42"/>
  <c r="W66" i="42"/>
  <c r="W74" i="42"/>
  <c r="W82" i="42"/>
  <c r="W90" i="42"/>
  <c r="W98" i="42"/>
  <c r="W106" i="42"/>
  <c r="W114" i="42"/>
  <c r="W122" i="42"/>
  <c r="W130" i="42"/>
  <c r="W138" i="42"/>
  <c r="W146" i="42"/>
  <c r="W154" i="42"/>
  <c r="W162" i="42"/>
  <c r="W170" i="42"/>
  <c r="W178" i="42"/>
  <c r="W186" i="42"/>
  <c r="W194" i="42"/>
  <c r="W202" i="42"/>
  <c r="W210" i="42"/>
  <c r="W218" i="42"/>
  <c r="W226" i="42"/>
  <c r="W234" i="42"/>
  <c r="W242" i="42"/>
  <c r="W250" i="42"/>
  <c r="W258" i="42"/>
  <c r="W266" i="42"/>
  <c r="W277" i="42"/>
  <c r="W305" i="42"/>
  <c r="W314" i="42"/>
  <c r="W318" i="42"/>
  <c r="W322" i="42"/>
  <c r="W329" i="42"/>
  <c r="W360" i="42"/>
  <c r="W367" i="42"/>
  <c r="W398" i="42"/>
  <c r="W405" i="42"/>
  <c r="W412" i="42"/>
  <c r="W419" i="42"/>
  <c r="W450" i="42"/>
  <c r="W457" i="42"/>
  <c r="W481" i="42"/>
  <c r="V487" i="42"/>
  <c r="W288" i="42"/>
  <c r="W299" i="42"/>
  <c r="W346" i="42"/>
  <c r="W353" i="42"/>
  <c r="W384" i="42"/>
  <c r="W391" i="42"/>
  <c r="W422" i="42"/>
  <c r="W429" i="42"/>
  <c r="W436" i="42"/>
  <c r="W443" i="42"/>
  <c r="W474" i="42"/>
  <c r="W498" i="42"/>
  <c r="W209" i="42"/>
  <c r="W271" i="42"/>
  <c r="V276" i="42"/>
  <c r="W293" i="42"/>
  <c r="V304" i="42"/>
  <c r="W309" i="42"/>
  <c r="W325" i="42"/>
  <c r="W332" i="42"/>
  <c r="W339" i="42"/>
  <c r="V363" i="42"/>
  <c r="W370" i="42"/>
  <c r="W377" i="42"/>
  <c r="W408" i="42"/>
  <c r="W415" i="42"/>
  <c r="W446" i="42"/>
  <c r="W453" i="42"/>
  <c r="W460" i="42"/>
  <c r="V477" i="42"/>
  <c r="W492" i="42"/>
  <c r="W495" i="42"/>
  <c r="W499" i="42"/>
  <c r="W491" i="42"/>
  <c r="W496" i="42"/>
  <c r="V16" i="42"/>
  <c r="W225" i="42"/>
  <c r="W233" i="42"/>
  <c r="W28" i="42"/>
  <c r="V72" i="42"/>
  <c r="V144" i="42"/>
  <c r="V216" i="42"/>
  <c r="V287" i="42"/>
  <c r="V335" i="42"/>
  <c r="W342" i="42"/>
  <c r="W356" i="42"/>
  <c r="V373" i="42"/>
  <c r="W394" i="42"/>
  <c r="W401" i="42"/>
  <c r="W432" i="42"/>
  <c r="W439" i="42"/>
  <c r="W470" i="42"/>
  <c r="W489" i="42"/>
  <c r="W4" i="42"/>
  <c r="W18" i="42"/>
  <c r="W137" i="42"/>
  <c r="W145" i="42"/>
  <c r="W153" i="42"/>
  <c r="W185" i="42"/>
  <c r="W193" i="42"/>
  <c r="W201" i="42"/>
  <c r="V48" i="42"/>
  <c r="V80" i="42"/>
  <c r="V88" i="42"/>
  <c r="V96" i="42"/>
  <c r="V112" i="42"/>
  <c r="V128" i="42"/>
  <c r="V136" i="42"/>
  <c r="V152" i="42"/>
  <c r="V176" i="42"/>
  <c r="V208" i="42"/>
  <c r="V313" i="42"/>
  <c r="V317" i="42"/>
  <c r="W168" i="42"/>
  <c r="W184" i="42"/>
  <c r="W224" i="42"/>
  <c r="W232" i="42"/>
  <c r="W240" i="42"/>
  <c r="W248" i="42"/>
  <c r="W256" i="42"/>
  <c r="W264" i="42"/>
  <c r="W270" i="42"/>
  <c r="V281" i="42"/>
  <c r="V292" i="42"/>
  <c r="W298" i="42"/>
  <c r="V321" i="42"/>
  <c r="W328" i="42"/>
  <c r="V359" i="42"/>
  <c r="W366" i="42"/>
  <c r="V397" i="42"/>
  <c r="V404" i="42"/>
  <c r="V411" i="42"/>
  <c r="W418" i="42"/>
  <c r="V449" i="42"/>
  <c r="W456" i="42"/>
  <c r="V489" i="42"/>
  <c r="W500" i="42"/>
  <c r="V7" i="42"/>
  <c r="W129" i="42"/>
  <c r="V64" i="42"/>
  <c r="V200" i="42"/>
  <c r="W349" i="42"/>
  <c r="Y12" i="42"/>
  <c r="W29" i="42"/>
  <c r="V30" i="42"/>
  <c r="W56" i="42"/>
  <c r="W104" i="42"/>
  <c r="W120" i="42"/>
  <c r="W160" i="42"/>
  <c r="W192" i="42"/>
  <c r="W352" i="42"/>
  <c r="W390" i="42"/>
  <c r="W442" i="42"/>
  <c r="W480" i="42"/>
  <c r="W486" i="42"/>
  <c r="W497" i="42"/>
  <c r="W27" i="42"/>
  <c r="W177" i="42"/>
  <c r="W217" i="42"/>
  <c r="W257" i="42"/>
  <c r="W265" i="42"/>
  <c r="AA22" i="42"/>
  <c r="W47" i="42"/>
  <c r="W55" i="42"/>
  <c r="W63" i="42"/>
  <c r="W79" i="42"/>
  <c r="W103" i="42"/>
  <c r="W119" i="42"/>
  <c r="W135" i="42"/>
  <c r="W151" i="42"/>
  <c r="W167" i="42"/>
  <c r="W183" i="42"/>
  <c r="W199" i="42"/>
  <c r="W215" i="42"/>
  <c r="W231" i="42"/>
  <c r="W247" i="42"/>
  <c r="W255" i="42"/>
  <c r="W263" i="42"/>
  <c r="W275" i="42"/>
  <c r="W286" i="42"/>
  <c r="W303" i="42"/>
  <c r="W308" i="42"/>
  <c r="W338" i="42"/>
  <c r="W345" i="42"/>
  <c r="W376" i="42"/>
  <c r="W383" i="42"/>
  <c r="W414" i="42"/>
  <c r="W421" i="42"/>
  <c r="W428" i="42"/>
  <c r="W435" i="42"/>
  <c r="W466" i="42"/>
  <c r="W473" i="42"/>
  <c r="V5" i="42"/>
  <c r="W105" i="42"/>
  <c r="W113" i="42"/>
  <c r="W161" i="42"/>
  <c r="W169" i="42"/>
  <c r="W241" i="42"/>
  <c r="W249" i="42"/>
  <c r="W282" i="42"/>
  <c r="W31" i="42"/>
  <c r="W71" i="42"/>
  <c r="W87" i="42"/>
  <c r="W95" i="42"/>
  <c r="W111" i="42"/>
  <c r="W127" i="42"/>
  <c r="W143" i="42"/>
  <c r="W159" i="42"/>
  <c r="W175" i="42"/>
  <c r="W191" i="42"/>
  <c r="W207" i="42"/>
  <c r="W223" i="42"/>
  <c r="W239" i="42"/>
  <c r="W32" i="42"/>
  <c r="W297" i="42"/>
  <c r="W312" i="42"/>
  <c r="V316" i="42"/>
  <c r="W324" i="42"/>
  <c r="W331" i="42"/>
  <c r="V341" i="42"/>
  <c r="V355" i="42"/>
  <c r="W362" i="42"/>
  <c r="W369" i="42"/>
  <c r="W400" i="42"/>
  <c r="W407" i="42"/>
  <c r="W438" i="42"/>
  <c r="W445" i="42"/>
  <c r="W452" i="42"/>
  <c r="W459" i="42"/>
  <c r="V469" i="42"/>
  <c r="W483" i="42"/>
  <c r="V19" i="42"/>
  <c r="W73" i="42"/>
  <c r="W81" i="42"/>
  <c r="W121" i="42"/>
  <c r="W86" i="42"/>
  <c r="W94" i="42"/>
  <c r="W102" i="42"/>
  <c r="W110" i="42"/>
  <c r="W118" i="42"/>
  <c r="W126" i="42"/>
  <c r="W134" i="42"/>
  <c r="W142" i="42"/>
  <c r="W150" i="42"/>
  <c r="W158" i="42"/>
  <c r="W166" i="42"/>
  <c r="W174" i="42"/>
  <c r="W182" i="42"/>
  <c r="W190" i="42"/>
  <c r="W198" i="42"/>
  <c r="W206" i="42"/>
  <c r="W214" i="42"/>
  <c r="W222" i="42"/>
  <c r="W230" i="42"/>
  <c r="W238" i="42"/>
  <c r="W246" i="42"/>
  <c r="W254" i="42"/>
  <c r="W262" i="42"/>
  <c r="W280" i="42"/>
  <c r="W291" i="42"/>
  <c r="W302" i="42"/>
  <c r="W334" i="42"/>
  <c r="W348" i="42"/>
  <c r="W386" i="42"/>
  <c r="W393" i="42"/>
  <c r="W424" i="42"/>
  <c r="W431" i="42"/>
  <c r="W462" i="42"/>
  <c r="W476" i="42"/>
  <c r="W494" i="42"/>
  <c r="W367" i="19"/>
  <c r="X367" i="19"/>
  <c r="X163" i="19"/>
  <c r="W163" i="19"/>
  <c r="X420" i="19"/>
  <c r="W420" i="19"/>
  <c r="X268" i="19"/>
  <c r="W268" i="19"/>
  <c r="W361" i="19"/>
  <c r="X361" i="19"/>
  <c r="W251" i="19"/>
  <c r="X251" i="19"/>
  <c r="X269" i="19"/>
  <c r="W269" i="19"/>
  <c r="W175" i="19"/>
  <c r="X175" i="19"/>
  <c r="W79" i="19"/>
  <c r="X79" i="19"/>
  <c r="X38" i="19"/>
  <c r="X121" i="19"/>
  <c r="W121" i="19"/>
  <c r="X98" i="19"/>
  <c r="W98" i="19"/>
  <c r="W75" i="19"/>
  <c r="X75" i="19"/>
  <c r="W139" i="19"/>
  <c r="X139" i="19"/>
  <c r="X292" i="19"/>
  <c r="W292" i="19"/>
  <c r="X57" i="19"/>
  <c r="W57" i="19"/>
  <c r="X34" i="19"/>
  <c r="W34" i="19"/>
  <c r="X93" i="19"/>
  <c r="X134" i="19"/>
  <c r="W379" i="19"/>
  <c r="X379" i="19"/>
  <c r="X397" i="19"/>
  <c r="W397" i="19"/>
  <c r="X303" i="19"/>
  <c r="X29" i="19"/>
  <c r="X70" i="19"/>
  <c r="W111" i="19"/>
  <c r="X111" i="19"/>
  <c r="X153" i="19"/>
  <c r="W153" i="19"/>
  <c r="X228" i="19"/>
  <c r="W228" i="19"/>
  <c r="W47" i="19"/>
  <c r="X47" i="19"/>
  <c r="X168" i="19"/>
  <c r="X204" i="19"/>
  <c r="W204" i="19"/>
  <c r="X484" i="19"/>
  <c r="W484" i="19"/>
  <c r="W107" i="19"/>
  <c r="X107" i="19"/>
  <c r="X130" i="19"/>
  <c r="W130" i="19"/>
  <c r="W187" i="19"/>
  <c r="X187" i="19"/>
  <c r="X205" i="19"/>
  <c r="W205" i="19"/>
  <c r="X356" i="19"/>
  <c r="W356" i="19"/>
  <c r="X89" i="19"/>
  <c r="W89" i="19"/>
  <c r="X332" i="19"/>
  <c r="W332" i="19"/>
  <c r="X461" i="19"/>
  <c r="W461" i="19"/>
  <c r="W43" i="19"/>
  <c r="X43" i="19"/>
  <c r="X66" i="19"/>
  <c r="W66" i="19"/>
  <c r="X125" i="19"/>
  <c r="W315" i="19"/>
  <c r="X315" i="19"/>
  <c r="X333" i="19"/>
  <c r="W333" i="19"/>
  <c r="W443" i="19"/>
  <c r="X443" i="19"/>
  <c r="X8" i="19"/>
  <c r="W8" i="19"/>
  <c r="X25" i="19"/>
  <c r="W25" i="19"/>
  <c r="W143" i="19"/>
  <c r="X143" i="19"/>
  <c r="W12" i="19"/>
  <c r="X36" i="19"/>
  <c r="X68" i="19"/>
  <c r="X100" i="19"/>
  <c r="X132" i="19"/>
  <c r="W160" i="19"/>
  <c r="W184" i="19"/>
  <c r="W190" i="19"/>
  <c r="W213" i="19"/>
  <c r="W225" i="19"/>
  <c r="W248" i="19"/>
  <c r="W254" i="19"/>
  <c r="W277" i="19"/>
  <c r="W289" i="19"/>
  <c r="W312" i="19"/>
  <c r="W318" i="19"/>
  <c r="W341" i="19"/>
  <c r="W353" i="19"/>
  <c r="W376" i="19"/>
  <c r="W382" i="19"/>
  <c r="W405" i="19"/>
  <c r="W417" i="19"/>
  <c r="W440" i="19"/>
  <c r="W446" i="19"/>
  <c r="W469" i="19"/>
  <c r="W481" i="19"/>
  <c r="W15" i="19"/>
  <c r="W18" i="19"/>
  <c r="X27" i="19"/>
  <c r="W41" i="19"/>
  <c r="W50" i="19"/>
  <c r="X59" i="19"/>
  <c r="W73" i="19"/>
  <c r="W82" i="19"/>
  <c r="X91" i="19"/>
  <c r="W105" i="19"/>
  <c r="W114" i="19"/>
  <c r="X123" i="19"/>
  <c r="W137" i="19"/>
  <c r="W146" i="19"/>
  <c r="X155" i="19"/>
  <c r="W173" i="19"/>
  <c r="W196" i="19"/>
  <c r="X219" i="19"/>
  <c r="W237" i="19"/>
  <c r="W260" i="19"/>
  <c r="X283" i="19"/>
  <c r="W301" i="19"/>
  <c r="W324" i="19"/>
  <c r="X347" i="19"/>
  <c r="W365" i="19"/>
  <c r="W388" i="19"/>
  <c r="X411" i="19"/>
  <c r="W429" i="19"/>
  <c r="W452" i="19"/>
  <c r="X475" i="19"/>
  <c r="W493" i="19"/>
  <c r="X32" i="19"/>
  <c r="X64" i="19"/>
  <c r="X96" i="19"/>
  <c r="X128" i="19"/>
  <c r="X166" i="19"/>
  <c r="W179" i="19"/>
  <c r="W202" i="19"/>
  <c r="W208" i="19"/>
  <c r="X231" i="19"/>
  <c r="W243" i="19"/>
  <c r="W266" i="19"/>
  <c r="W272" i="19"/>
  <c r="X295" i="19"/>
  <c r="W307" i="19"/>
  <c r="W330" i="19"/>
  <c r="W336" i="19"/>
  <c r="X359" i="19"/>
  <c r="W371" i="19"/>
  <c r="W394" i="19"/>
  <c r="W400" i="19"/>
  <c r="X423" i="19"/>
  <c r="W435" i="19"/>
  <c r="W458" i="19"/>
  <c r="W464" i="19"/>
  <c r="X487" i="19"/>
  <c r="W499" i="19"/>
  <c r="W412" i="19"/>
  <c r="X19" i="19"/>
  <c r="X51" i="19"/>
  <c r="X83" i="19"/>
  <c r="X115" i="19"/>
  <c r="X147" i="19"/>
  <c r="X203" i="19"/>
  <c r="X267" i="19"/>
  <c r="X331" i="19"/>
  <c r="X395" i="19"/>
  <c r="X459" i="19"/>
  <c r="W396" i="19"/>
  <c r="W460" i="19"/>
  <c r="X48" i="19"/>
  <c r="X80" i="19"/>
  <c r="X112" i="19"/>
  <c r="X144" i="19"/>
  <c r="W176" i="19"/>
  <c r="X199" i="19"/>
  <c r="W240" i="19"/>
  <c r="X263" i="19"/>
  <c r="W304" i="19"/>
  <c r="X327" i="19"/>
  <c r="W368" i="19"/>
  <c r="X391" i="19"/>
  <c r="W432" i="19"/>
  <c r="X455" i="19"/>
  <c r="W496" i="19"/>
  <c r="X140" i="19"/>
  <c r="W164" i="19"/>
  <c r="W177" i="19"/>
  <c r="W200" i="19"/>
  <c r="W206" i="19"/>
  <c r="W229" i="19"/>
  <c r="W241" i="19"/>
  <c r="W264" i="19"/>
  <c r="W270" i="19"/>
  <c r="W293" i="19"/>
  <c r="W305" i="19"/>
  <c r="W328" i="19"/>
  <c r="W334" i="19"/>
  <c r="W357" i="19"/>
  <c r="W369" i="19"/>
  <c r="W392" i="19"/>
  <c r="W398" i="19"/>
  <c r="W421" i="19"/>
  <c r="W433" i="19"/>
  <c r="W456" i="19"/>
  <c r="W462" i="19"/>
  <c r="W485" i="19"/>
  <c r="W497" i="19"/>
  <c r="W6" i="19"/>
  <c r="W17" i="19"/>
  <c r="W26" i="19"/>
  <c r="X35" i="19"/>
  <c r="W49" i="19"/>
  <c r="W58" i="19"/>
  <c r="X67" i="19"/>
  <c r="W81" i="19"/>
  <c r="W90" i="19"/>
  <c r="X99" i="19"/>
  <c r="W113" i="19"/>
  <c r="W122" i="19"/>
  <c r="X131" i="19"/>
  <c r="W145" i="19"/>
  <c r="W154" i="19"/>
  <c r="X170" i="19"/>
  <c r="W189" i="19"/>
  <c r="W212" i="19"/>
  <c r="X235" i="19"/>
  <c r="W253" i="19"/>
  <c r="W276" i="19"/>
  <c r="X299" i="19"/>
  <c r="W317" i="19"/>
  <c r="W340" i="19"/>
  <c r="X363" i="19"/>
  <c r="W381" i="19"/>
  <c r="W404" i="19"/>
  <c r="X427" i="19"/>
  <c r="W445" i="19"/>
  <c r="W468" i="19"/>
  <c r="X491" i="19"/>
  <c r="X40" i="19"/>
  <c r="X72" i="19"/>
  <c r="X104" i="19"/>
  <c r="X136" i="19"/>
  <c r="W159" i="19"/>
  <c r="X183" i="19"/>
  <c r="W224" i="19"/>
  <c r="X247" i="19"/>
  <c r="W288" i="19"/>
  <c r="X311" i="19"/>
  <c r="W352" i="19"/>
  <c r="X375" i="19"/>
  <c r="W416" i="19"/>
  <c r="X439" i="19"/>
  <c r="W480" i="19"/>
  <c r="H75" i="56" l="1" a="1"/>
  <c r="H75" i="56" s="1"/>
  <c r="C31" i="56" a="1"/>
  <c r="C31" i="56" s="1"/>
  <c r="E53" i="56" a="1"/>
  <c r="E53" i="56" s="1"/>
  <c r="H79" i="56" a="1"/>
  <c r="H79" i="56" s="1"/>
  <c r="G53" i="56" a="1"/>
  <c r="G53" i="56" s="1"/>
  <c r="H76" i="56" a="1"/>
  <c r="H76" i="56" s="1"/>
  <c r="C84" i="56"/>
  <c r="C85" i="56" s="1" a="1"/>
  <c r="C85" i="56" s="1"/>
  <c r="C86" i="56" s="1"/>
  <c r="C87" i="56"/>
  <c r="H9" i="56" a="1"/>
  <c r="H9" i="56" s="1"/>
  <c r="D76" i="56" a="1"/>
  <c r="D76" i="56" s="1"/>
  <c r="C20" i="56" a="1"/>
  <c r="C20" i="56" s="1"/>
  <c r="F53" i="56" a="1"/>
  <c r="F53" i="56" s="1"/>
  <c r="D9" i="56" a="1"/>
  <c r="D9" i="56" s="1"/>
  <c r="H78" i="56" a="1"/>
  <c r="H78" i="56" s="1"/>
  <c r="C42" i="56" a="1"/>
  <c r="C42" i="56" s="1"/>
  <c r="A17" i="57" a="1"/>
  <c r="A17" i="57" s="1"/>
  <c r="C16" i="57" a="1"/>
  <c r="DB3" i="54"/>
  <c r="DA3" i="54" a="1"/>
  <c r="DA3" i="54" s="1"/>
  <c r="D31" i="56" a="1"/>
  <c r="D31" i="56" s="1"/>
  <c r="C53" i="56" a="1"/>
  <c r="C53" i="56" s="1"/>
  <c r="F9" i="56" a="1"/>
  <c r="F9" i="56" s="1"/>
  <c r="C64" i="56" a="1"/>
  <c r="C64" i="56" s="1"/>
  <c r="D53" i="56" a="1"/>
  <c r="D53" i="56" s="1"/>
  <c r="D20" i="56" a="1"/>
  <c r="D20" i="56" s="1"/>
  <c r="G9" i="56" a="1"/>
  <c r="G9" i="56" s="1"/>
  <c r="C5" i="56" a="1"/>
  <c r="C5" i="56" s="1"/>
  <c r="BM10" i="53"/>
  <c r="BN10" i="53" s="1"/>
  <c r="C4" i="59"/>
  <c r="BG10" i="53"/>
  <c r="BI10" i="53"/>
  <c r="BJ10" i="53" s="1"/>
  <c r="AF10" i="53" a="1"/>
  <c r="AF10" i="53" s="1"/>
  <c r="BS3" i="40" a="1"/>
  <c r="BS3" i="40" s="1"/>
  <c r="BI36" i="10" s="1"/>
  <c r="BK3" i="40" a="1"/>
  <c r="BK3" i="40" s="1"/>
  <c r="BB3" i="40" a="1"/>
  <c r="BB3" i="40" s="1"/>
  <c r="AT3" i="40" a="1"/>
  <c r="AT3" i="40" s="1"/>
  <c r="AL3" i="40" a="1"/>
  <c r="AL3" i="40" s="1"/>
  <c r="V3" i="40" a="1"/>
  <c r="V3" i="40" s="1"/>
  <c r="N3" i="40" a="1"/>
  <c r="N3" i="40" s="1"/>
  <c r="F3" i="40" a="1"/>
  <c r="F3" i="40" s="1"/>
  <c r="BZ3" i="40" a="1"/>
  <c r="BZ3" i="40" s="1"/>
  <c r="BP3" i="40" a="1"/>
  <c r="BP3" i="40" s="1"/>
  <c r="AS3" i="40" a="1"/>
  <c r="AS3" i="40" s="1"/>
  <c r="AI3" i="40" a="1"/>
  <c r="AI3" i="40" s="1"/>
  <c r="DY3" i="54"/>
  <c r="AF3" i="40" s="1" a="1"/>
  <c r="AF3" i="40" s="1"/>
  <c r="BO3" i="40" a="1"/>
  <c r="BO3" i="40" s="1"/>
  <c r="BN3" i="40" a="1"/>
  <c r="BN3" i="40" s="1"/>
  <c r="AG3" i="40" a="1"/>
  <c r="AG3" i="40" s="1"/>
  <c r="W3" i="40" a="1"/>
  <c r="W3" i="40" s="1"/>
  <c r="B3" i="40" a="1"/>
  <c r="B3" i="40" s="1"/>
  <c r="BE3" i="40" a="1"/>
  <c r="BE3" i="40" s="1"/>
  <c r="BY3" i="40" a="1"/>
  <c r="BY3" i="40" s="1"/>
  <c r="AR3" i="40" a="1"/>
  <c r="AR3" i="40" s="1"/>
  <c r="AH3" i="40" a="1"/>
  <c r="AH3" i="40" s="1"/>
  <c r="L3" i="40" a="1"/>
  <c r="L3" i="40" s="1"/>
  <c r="BV3" i="40" a="1"/>
  <c r="BV3" i="40" s="1"/>
  <c r="BL3" i="40" a="1"/>
  <c r="BL3" i="40" s="1"/>
  <c r="AO3" i="40" a="1"/>
  <c r="AO3" i="40" s="1"/>
  <c r="I3" i="40" a="1"/>
  <c r="I3" i="40" s="1"/>
  <c r="DR3" i="54"/>
  <c r="C3" i="40" s="1" a="1"/>
  <c r="C3" i="40" s="1"/>
  <c r="BJ3" i="40" a="1"/>
  <c r="BJ3" i="40" s="1"/>
  <c r="S3" i="40" a="1"/>
  <c r="S3" i="40" s="1"/>
  <c r="BE3" i="54"/>
  <c r="GD3" i="54" s="1"/>
  <c r="BD3" i="40" s="1" a="1"/>
  <c r="BD3" i="40" s="1"/>
  <c r="BI3" i="40" a="1"/>
  <c r="BI3" i="40" s="1"/>
  <c r="AB3" i="40" a="1"/>
  <c r="AB3" i="40" s="1"/>
  <c r="R3" i="40" a="1"/>
  <c r="R3" i="40" s="1"/>
  <c r="AN3" i="40" a="1"/>
  <c r="AN3" i="40" s="1"/>
  <c r="H3" i="40" a="1"/>
  <c r="H3" i="40" s="1"/>
  <c r="M24" i="16" s="1"/>
  <c r="AW3" i="40" a="1"/>
  <c r="AW3" i="40" s="1"/>
  <c r="AM3" i="40" a="1"/>
  <c r="AM3" i="40" s="1"/>
  <c r="Q3" i="40" a="1"/>
  <c r="Q3" i="40" s="1"/>
  <c r="BH3" i="40" a="1"/>
  <c r="BH3" i="40" s="1"/>
  <c r="AK3" i="40" a="1"/>
  <c r="AK3" i="40" s="1"/>
  <c r="AA3" i="40" a="1"/>
  <c r="AA3" i="40" s="1"/>
  <c r="T3" i="40" a="1"/>
  <c r="T3" i="40" s="1"/>
  <c r="AJ3" i="40" a="1"/>
  <c r="AJ3" i="40" s="1"/>
  <c r="BF9" i="10" s="1"/>
  <c r="BG3" i="40" a="1"/>
  <c r="BG3" i="40" s="1"/>
  <c r="BF3" i="40" a="1"/>
  <c r="BF3" i="40" s="1"/>
  <c r="DZ3" i="54"/>
  <c r="AV3" i="40" a="1"/>
  <c r="AV3" i="40" s="1"/>
  <c r="AU3" i="40" a="1"/>
  <c r="AU3" i="40" s="1"/>
  <c r="A3" i="40" a="1"/>
  <c r="A3" i="40" s="1"/>
  <c r="BA3" i="40" a="1"/>
  <c r="BA3" i="40" s="1"/>
  <c r="U3" i="40" a="1"/>
  <c r="U3" i="40" s="1"/>
  <c r="AQ3" i="40" a="1"/>
  <c r="AQ3" i="40" s="1"/>
  <c r="AP3" i="40" a="1"/>
  <c r="AP3" i="40" s="1"/>
  <c r="K3" i="40" a="1"/>
  <c r="K3" i="40" s="1"/>
  <c r="BM3" i="40" a="1"/>
  <c r="BM3" i="40" s="1"/>
  <c r="L17" i="16" s="1"/>
  <c r="AZ3" i="40" a="1"/>
  <c r="AZ3" i="40" s="1"/>
  <c r="O3" i="40" a="1"/>
  <c r="O3" i="40" s="1"/>
  <c r="J3" i="40" a="1"/>
  <c r="J3" i="40" s="1"/>
  <c r="E3" i="40" a="1"/>
  <c r="E3" i="40" s="1"/>
  <c r="BF8" i="10" s="1"/>
  <c r="D3" i="40" a="1"/>
  <c r="D3" i="40" s="1"/>
  <c r="Z3" i="40" a="1"/>
  <c r="Z3" i="40" s="1"/>
  <c r="Y3" i="40" a="1"/>
  <c r="Y3" i="40" s="1"/>
  <c r="D77" i="56" a="1"/>
  <c r="D77" i="56" s="1"/>
  <c r="E9" i="56" a="1"/>
  <c r="E9" i="56" s="1"/>
  <c r="EV3" i="54"/>
  <c r="EU3" i="54"/>
  <c r="GU3" i="54" s="1"/>
  <c r="BT3" i="40" s="1" a="1"/>
  <c r="BT3" i="40" s="1"/>
  <c r="O5" i="58" a="1"/>
  <c r="O5" i="58" s="1"/>
  <c r="A5" i="58" a="1"/>
  <c r="A5" i="58" s="1"/>
  <c r="CH3" i="54"/>
  <c r="EX3" i="54" s="1"/>
  <c r="D42" i="56" a="1"/>
  <c r="D42" i="56" s="1"/>
  <c r="DG3" i="54"/>
  <c r="FF3" i="54"/>
  <c r="FG3" i="54"/>
  <c r="FE3" i="54"/>
  <c r="FI3" i="54" s="1"/>
  <c r="FD3" i="54"/>
  <c r="D75" i="56" a="1"/>
  <c r="D75" i="56" s="1"/>
  <c r="D78" i="56" a="1"/>
  <c r="D78" i="56" s="1"/>
  <c r="H53" i="56" a="1"/>
  <c r="H53" i="56" s="1"/>
  <c r="D79" i="56" a="1"/>
  <c r="D79" i="56" s="1"/>
  <c r="C9" i="56" a="1"/>
  <c r="C9" i="56" s="1"/>
  <c r="H77" i="56" a="1"/>
  <c r="H77" i="56" s="1"/>
  <c r="AC17" i="42"/>
  <c r="AC21" i="42" s="1"/>
  <c r="Y13" i="42"/>
  <c r="Z5" i="42" s="1"/>
  <c r="Z4" i="42"/>
  <c r="L9" i="16"/>
  <c r="L8" i="16"/>
  <c r="L19" i="16"/>
  <c r="AB4" i="42"/>
  <c r="AA23" i="42"/>
  <c r="AB5" i="42" s="1"/>
  <c r="BI23" i="10"/>
  <c r="BH38" i="10"/>
  <c r="BI29" i="10"/>
  <c r="BH22" i="10"/>
  <c r="BI10" i="10"/>
  <c r="BI5" i="10"/>
  <c r="BH29" i="10"/>
  <c r="BI20" i="10"/>
  <c r="BH10" i="10"/>
  <c r="BI8" i="10"/>
  <c r="BI39" i="10"/>
  <c r="BH5" i="10"/>
  <c r="BI25" i="10"/>
  <c r="BH36" i="10"/>
  <c r="BI27" i="10"/>
  <c r="BH20" i="10"/>
  <c r="BI13" i="10"/>
  <c r="BI34" i="10"/>
  <c r="BH27" i="10"/>
  <c r="BH13" i="10"/>
  <c r="BH34" i="10"/>
  <c r="BH39" i="10"/>
  <c r="BH23" i="10"/>
  <c r="BI18" i="10"/>
  <c r="BH18" i="10"/>
  <c r="BH11" i="10"/>
  <c r="BH37" i="10"/>
  <c r="BI30" i="10"/>
  <c r="BI37" i="10"/>
  <c r="BH30" i="10"/>
  <c r="BI21" i="10"/>
  <c r="BI14" i="10"/>
  <c r="BH6" i="10"/>
  <c r="BI28" i="10"/>
  <c r="BI35" i="10"/>
  <c r="BH28" i="10"/>
  <c r="BI9" i="10"/>
  <c r="BH9" i="10"/>
  <c r="BH33" i="10"/>
  <c r="BH24" i="10"/>
  <c r="BH7" i="10"/>
  <c r="BI16" i="10"/>
  <c r="BH32" i="10"/>
  <c r="BI6" i="10"/>
  <c r="BH35" i="10"/>
  <c r="BI26" i="10"/>
  <c r="BH19" i="10"/>
  <c r="BH31" i="10"/>
  <c r="BH15" i="10"/>
  <c r="BH16" i="10"/>
  <c r="BH21" i="10"/>
  <c r="BH26" i="10"/>
  <c r="BI17" i="10"/>
  <c r="BI12" i="10"/>
  <c r="BI24" i="10"/>
  <c r="BH12" i="10"/>
  <c r="BI22" i="10"/>
  <c r="BI32" i="10"/>
  <c r="BH25" i="10"/>
  <c r="BH8" i="10"/>
  <c r="BH14" i="10"/>
  <c r="BH17" i="10"/>
  <c r="BI31" i="10"/>
  <c r="BI15" i="10"/>
  <c r="BI7" i="10"/>
  <c r="BI38" i="10"/>
  <c r="AD5" i="42"/>
  <c r="X4" i="42"/>
  <c r="W5" i="42"/>
  <c r="Y14" i="42"/>
  <c r="L6" i="16" l="1"/>
  <c r="L13" i="16"/>
  <c r="BI33" i="10"/>
  <c r="BI19" i="10"/>
  <c r="BI11" i="10"/>
  <c r="BJ11" i="10" s="1"/>
  <c r="CA3" i="40" a="1"/>
  <c r="CA3" i="40" s="1"/>
  <c r="L7" i="16"/>
  <c r="L16" i="16"/>
  <c r="AG16" i="42" s="1"/>
  <c r="AH16" i="42" s="1"/>
  <c r="GR3" i="54"/>
  <c r="EY3" i="54"/>
  <c r="GY3" i="54"/>
  <c r="BX3" i="40" s="1" a="1"/>
  <c r="BX3" i="40" s="1"/>
  <c r="N34" i="42" s="1"/>
  <c r="P34" i="42" s="1"/>
  <c r="AE34" i="42" s="1"/>
  <c r="AF34" i="42" s="1"/>
  <c r="GX3" i="54"/>
  <c r="BW3" i="40" s="1" a="1"/>
  <c r="BW3" i="40" s="1"/>
  <c r="N33" i="42" s="1"/>
  <c r="P33" i="42" s="1"/>
  <c r="AE33" i="42" s="1"/>
  <c r="AF33" i="42" s="1"/>
  <c r="L10" i="16"/>
  <c r="AG10" i="42" s="1"/>
  <c r="AH10" i="42" s="1"/>
  <c r="C88" i="56"/>
  <c r="D5" i="56"/>
  <c r="L14" i="16"/>
  <c r="M14" i="16" s="1"/>
  <c r="L11" i="16"/>
  <c r="C3" i="54"/>
  <c r="L15" i="16"/>
  <c r="AG15" i="42" s="1"/>
  <c r="AH15" i="42" s="1"/>
  <c r="AY3" i="40" a="1"/>
  <c r="AY3" i="40" s="1"/>
  <c r="G12" i="57"/>
  <c r="C16" i="57"/>
  <c r="G7" i="57" s="1"/>
  <c r="G9" i="57"/>
  <c r="G8" i="57"/>
  <c r="L12" i="16"/>
  <c r="L22" i="16"/>
  <c r="AG22" i="42" s="1"/>
  <c r="AH22" i="42" s="1"/>
  <c r="N4" i="42"/>
  <c r="P4" i="42" s="1"/>
  <c r="AE4" i="42" s="1"/>
  <c r="AF4" i="42" s="1"/>
  <c r="AA10" i="53"/>
  <c r="C15" i="59" s="1"/>
  <c r="AE10" i="53" a="1"/>
  <c r="AE10" i="53" s="1"/>
  <c r="AR10" i="53"/>
  <c r="BR10" i="53" a="1"/>
  <c r="BR10" i="53" s="1"/>
  <c r="AB10" i="53" a="1"/>
  <c r="AB10" i="53" s="1"/>
  <c r="AV10" i="53"/>
  <c r="C10" i="59" s="1"/>
  <c r="AH10" i="53"/>
  <c r="AW10" i="53"/>
  <c r="C11" i="59" s="1"/>
  <c r="AG10" i="53"/>
  <c r="X10" i="53"/>
  <c r="AU10" i="53"/>
  <c r="C9" i="59" s="1"/>
  <c r="AT10" i="53"/>
  <c r="C8" i="59" s="1"/>
  <c r="L18" i="16"/>
  <c r="L20" i="16"/>
  <c r="M20" i="16" s="1"/>
  <c r="L5" i="16"/>
  <c r="M5" i="16" s="1"/>
  <c r="L21" i="16"/>
  <c r="AG21" i="42" s="1"/>
  <c r="AH21" i="42" s="1"/>
  <c r="N27" i="42"/>
  <c r="P27" i="42" s="1"/>
  <c r="AE27" i="42" s="1"/>
  <c r="AF27" i="42" s="1"/>
  <c r="N26" i="42"/>
  <c r="P26" i="42" s="1"/>
  <c r="AE26" i="42" s="1"/>
  <c r="AF26" i="42" s="1"/>
  <c r="N24" i="42"/>
  <c r="P24" i="42" s="1"/>
  <c r="AE24" i="42" s="1"/>
  <c r="AF24" i="42" s="1"/>
  <c r="N25" i="42"/>
  <c r="P25" i="42" s="1"/>
  <c r="AE25" i="42" s="1"/>
  <c r="AF25" i="42" s="1"/>
  <c r="N30" i="42"/>
  <c r="P30" i="42" s="1"/>
  <c r="AE30" i="42" s="1"/>
  <c r="AF30" i="42" s="1"/>
  <c r="N22" i="42"/>
  <c r="P22" i="42" s="1"/>
  <c r="AE22" i="42" s="1"/>
  <c r="AF22" i="42" s="1"/>
  <c r="BF13" i="10"/>
  <c r="N31" i="42"/>
  <c r="P31" i="42" s="1"/>
  <c r="AE31" i="42" s="1"/>
  <c r="AF31" i="42" s="1"/>
  <c r="N28" i="42"/>
  <c r="P28" i="42" s="1"/>
  <c r="AE28" i="42" s="1"/>
  <c r="AF28" i="42" s="1"/>
  <c r="N29" i="42"/>
  <c r="P29" i="42" s="1"/>
  <c r="AE29" i="42" s="1"/>
  <c r="AF29" i="42" s="1"/>
  <c r="N32" i="42"/>
  <c r="P32" i="42" s="1"/>
  <c r="AE32" i="42" s="1"/>
  <c r="AF32" i="42" s="1"/>
  <c r="N23" i="42"/>
  <c r="P23" i="42" s="1"/>
  <c r="AE23" i="42" s="1"/>
  <c r="AF23" i="42" s="1"/>
  <c r="H15" i="57"/>
  <c r="G15" i="57"/>
  <c r="C15" i="57"/>
  <c r="L4" i="16"/>
  <c r="M4" i="16" s="1"/>
  <c r="FA3" i="54"/>
  <c r="EZ3" i="54"/>
  <c r="GC3" i="54"/>
  <c r="AD3" i="40" s="1" a="1"/>
  <c r="AD3" i="40" s="1"/>
  <c r="EW3" i="54"/>
  <c r="AX3" i="40" s="1" a="1"/>
  <c r="AX3" i="40" s="1"/>
  <c r="FC3" i="54"/>
  <c r="X3" i="40" s="1" a="1"/>
  <c r="X3" i="40" s="1"/>
  <c r="W6" i="42"/>
  <c r="N5" i="42"/>
  <c r="P5" i="42" s="1"/>
  <c r="AE5" i="42" s="1"/>
  <c r="AF5" i="42" s="1"/>
  <c r="L23" i="16"/>
  <c r="M23" i="16" s="1"/>
  <c r="N17" i="42"/>
  <c r="P17" i="42" s="1"/>
  <c r="AE17" i="42" s="1"/>
  <c r="AF17" i="42" s="1"/>
  <c r="N18" i="42"/>
  <c r="P18" i="42" s="1"/>
  <c r="AE18" i="42" s="1"/>
  <c r="AF18" i="42" s="1"/>
  <c r="N19" i="42"/>
  <c r="P19" i="42" s="1"/>
  <c r="AE19" i="42" s="1"/>
  <c r="AF19" i="42" s="1"/>
  <c r="N20" i="42"/>
  <c r="P20" i="42" s="1"/>
  <c r="AE20" i="42" s="1"/>
  <c r="AF20" i="42" s="1"/>
  <c r="N16" i="42"/>
  <c r="P16" i="42" s="1"/>
  <c r="AE16" i="42" s="1"/>
  <c r="AF16" i="42" s="1"/>
  <c r="N21" i="42"/>
  <c r="P21" i="42" s="1"/>
  <c r="AE21" i="42" s="1"/>
  <c r="AF21" i="42" s="1"/>
  <c r="N14" i="42"/>
  <c r="P14" i="42" s="1"/>
  <c r="AE14" i="42" s="1"/>
  <c r="AF14" i="42" s="1"/>
  <c r="N13" i="42"/>
  <c r="P13" i="42" s="1"/>
  <c r="AE13" i="42" s="1"/>
  <c r="AF13" i="42" s="1"/>
  <c r="N12" i="42"/>
  <c r="P12" i="42" s="1"/>
  <c r="AE12" i="42" s="1"/>
  <c r="AF12" i="42" s="1"/>
  <c r="N15" i="42"/>
  <c r="P15" i="42" s="1"/>
  <c r="AE15" i="42" s="1"/>
  <c r="AF15" i="42" s="1"/>
  <c r="L35" i="16"/>
  <c r="L33" i="16"/>
  <c r="L31" i="16"/>
  <c r="L36" i="16"/>
  <c r="L29" i="16"/>
  <c r="L27" i="16"/>
  <c r="L30" i="16"/>
  <c r="L34" i="16"/>
  <c r="L28" i="16"/>
  <c r="L32" i="16"/>
  <c r="AD6" i="42"/>
  <c r="AD7" i="42"/>
  <c r="AC31" i="42"/>
  <c r="AC33" i="42" s="1"/>
  <c r="AD9" i="42" s="1"/>
  <c r="X5" i="42"/>
  <c r="M16" i="16"/>
  <c r="BL9" i="10"/>
  <c r="BK9" i="10"/>
  <c r="BN9" i="10" s="1"/>
  <c r="BJ9" i="10"/>
  <c r="BM9" i="10"/>
  <c r="M15" i="16"/>
  <c r="BM33" i="10"/>
  <c r="BL33" i="10"/>
  <c r="BK33" i="10"/>
  <c r="BN33" i="10" s="1"/>
  <c r="BJ33" i="10"/>
  <c r="BL19" i="10"/>
  <c r="BJ19" i="10"/>
  <c r="BK19" i="10"/>
  <c r="BN19" i="10" s="1"/>
  <c r="BM19" i="10"/>
  <c r="BK11" i="10"/>
  <c r="BN11" i="10" s="1"/>
  <c r="BM11" i="10"/>
  <c r="BL11" i="10"/>
  <c r="BJ36" i="10"/>
  <c r="BL36" i="10"/>
  <c r="BK36" i="10"/>
  <c r="BN36" i="10" s="1"/>
  <c r="BM36" i="10"/>
  <c r="M8" i="16"/>
  <c r="AG8" i="42"/>
  <c r="AH8" i="42" s="1"/>
  <c r="BM7" i="10"/>
  <c r="BL7" i="10"/>
  <c r="BJ7" i="10"/>
  <c r="BK7" i="10"/>
  <c r="BN7" i="10" s="1"/>
  <c r="BM35" i="10"/>
  <c r="BL35" i="10"/>
  <c r="BK35" i="10"/>
  <c r="BN35" i="10" s="1"/>
  <c r="BJ35" i="10"/>
  <c r="BJ10" i="10"/>
  <c r="BL10" i="10"/>
  <c r="BM10" i="10"/>
  <c r="BK10" i="10"/>
  <c r="BN10" i="10" s="1"/>
  <c r="M17" i="16"/>
  <c r="AG17" i="42"/>
  <c r="AH17" i="42" s="1"/>
  <c r="BM38" i="10"/>
  <c r="BK38" i="10"/>
  <c r="BN38" i="10" s="1"/>
  <c r="BL38" i="10"/>
  <c r="BJ38" i="10"/>
  <c r="BJ5" i="10"/>
  <c r="BM5" i="10"/>
  <c r="BL5" i="10"/>
  <c r="BK5" i="10"/>
  <c r="BN5" i="10" s="1"/>
  <c r="AD8" i="42"/>
  <c r="BM15" i="10"/>
  <c r="BL15" i="10"/>
  <c r="BK15" i="10"/>
  <c r="BN15" i="10" s="1"/>
  <c r="BJ15" i="10"/>
  <c r="BL28" i="10"/>
  <c r="BK28" i="10"/>
  <c r="BN28" i="10" s="1"/>
  <c r="BJ28" i="10"/>
  <c r="BM28" i="10"/>
  <c r="M13" i="16"/>
  <c r="AG13" i="42"/>
  <c r="AH13" i="42" s="1"/>
  <c r="Y15" i="42"/>
  <c r="BM31" i="10"/>
  <c r="BL31" i="10"/>
  <c r="BK31" i="10"/>
  <c r="BN31" i="10" s="1"/>
  <c r="BJ31" i="10"/>
  <c r="BL34" i="10"/>
  <c r="BK34" i="10"/>
  <c r="BN34" i="10" s="1"/>
  <c r="BJ34" i="10"/>
  <c r="BM34" i="10"/>
  <c r="BK29" i="10"/>
  <c r="BN29" i="10" s="1"/>
  <c r="BJ29" i="10"/>
  <c r="BM29" i="10"/>
  <c r="BL29" i="10"/>
  <c r="M19" i="16"/>
  <c r="AG19" i="42"/>
  <c r="AH19" i="42" s="1"/>
  <c r="M7" i="16"/>
  <c r="AG7" i="42"/>
  <c r="AH7" i="42" s="1"/>
  <c r="BM14" i="10"/>
  <c r="BL14" i="10"/>
  <c r="BJ14" i="10"/>
  <c r="BK14" i="10"/>
  <c r="BN14" i="10" s="1"/>
  <c r="BK13" i="10"/>
  <c r="BN13" i="10" s="1"/>
  <c r="BJ13" i="10"/>
  <c r="BM13" i="10"/>
  <c r="BL13" i="10"/>
  <c r="AA24" i="42"/>
  <c r="BK26" i="10"/>
  <c r="BN26" i="10" s="1"/>
  <c r="BM26" i="10"/>
  <c r="BL26" i="10"/>
  <c r="BJ26" i="10"/>
  <c r="BM21" i="10"/>
  <c r="BK21" i="10"/>
  <c r="BN21" i="10" s="1"/>
  <c r="BJ21" i="10"/>
  <c r="BL21" i="10"/>
  <c r="BJ23" i="10"/>
  <c r="BM23" i="10"/>
  <c r="BL23" i="10"/>
  <c r="BK23" i="10"/>
  <c r="BN23" i="10" s="1"/>
  <c r="BK27" i="10"/>
  <c r="BN27" i="10" s="1"/>
  <c r="BJ27" i="10"/>
  <c r="BL27" i="10"/>
  <c r="BM27" i="10"/>
  <c r="M9" i="16"/>
  <c r="AG9" i="42"/>
  <c r="AH9" i="42" s="1"/>
  <c r="BK6" i="10"/>
  <c r="BN6" i="10" s="1"/>
  <c r="BL6" i="10"/>
  <c r="BM6" i="10"/>
  <c r="BJ6" i="10"/>
  <c r="BJ37" i="10"/>
  <c r="BM37" i="10"/>
  <c r="BL37" i="10"/>
  <c r="BK37" i="10"/>
  <c r="BN37" i="10" s="1"/>
  <c r="M62" i="16"/>
  <c r="BF11" i="10"/>
  <c r="BM32" i="10"/>
  <c r="BJ32" i="10"/>
  <c r="BL32" i="10"/>
  <c r="BK32" i="10"/>
  <c r="BN32" i="10" s="1"/>
  <c r="BJ30" i="10"/>
  <c r="BK30" i="10"/>
  <c r="BN30" i="10" s="1"/>
  <c r="BM30" i="10"/>
  <c r="BL30" i="10"/>
  <c r="BM25" i="10"/>
  <c r="BL25" i="10"/>
  <c r="BK25" i="10"/>
  <c r="BN25" i="10" s="1"/>
  <c r="BJ25" i="10"/>
  <c r="M12" i="16"/>
  <c r="AG12" i="42"/>
  <c r="AH12" i="42" s="1"/>
  <c r="BM22" i="10"/>
  <c r="BL22" i="10"/>
  <c r="BK22" i="10"/>
  <c r="BN22" i="10" s="1"/>
  <c r="BJ22" i="10"/>
  <c r="BM16" i="10"/>
  <c r="BL16" i="10"/>
  <c r="BK16" i="10"/>
  <c r="BN16" i="10" s="1"/>
  <c r="BJ16" i="10"/>
  <c r="BJ39" i="10"/>
  <c r="BK39" i="10"/>
  <c r="BN39" i="10" s="1"/>
  <c r="BM39" i="10"/>
  <c r="BL39" i="10"/>
  <c r="M63" i="16"/>
  <c r="BF12" i="10"/>
  <c r="BL24" i="10"/>
  <c r="BK24" i="10"/>
  <c r="BN24" i="10" s="1"/>
  <c r="BM24" i="10"/>
  <c r="BJ24" i="10"/>
  <c r="BM8" i="10"/>
  <c r="BL8" i="10"/>
  <c r="BK8" i="10"/>
  <c r="BN8" i="10" s="1"/>
  <c r="BJ8" i="10"/>
  <c r="BM12" i="10"/>
  <c r="BL12" i="10"/>
  <c r="BK12" i="10"/>
  <c r="BN12" i="10" s="1"/>
  <c r="BJ12" i="10"/>
  <c r="BM18" i="10"/>
  <c r="BL18" i="10"/>
  <c r="BK18" i="10"/>
  <c r="BN18" i="10" s="1"/>
  <c r="BJ18" i="10"/>
  <c r="Z6" i="42"/>
  <c r="BL17" i="10"/>
  <c r="BM17" i="10"/>
  <c r="BK17" i="10"/>
  <c r="BN17" i="10" s="1"/>
  <c r="BJ17" i="10"/>
  <c r="BJ20" i="10"/>
  <c r="BK20" i="10"/>
  <c r="BN20" i="10" s="1"/>
  <c r="BM20" i="10"/>
  <c r="BL20" i="10"/>
  <c r="M6" i="16"/>
  <c r="AG6" i="42"/>
  <c r="AH6" i="42" s="1"/>
  <c r="M11" i="16"/>
  <c r="AG11" i="42"/>
  <c r="AH11" i="42" s="1"/>
  <c r="AG4" i="42" l="1"/>
  <c r="AH4" i="42" s="1"/>
  <c r="AG5" i="42"/>
  <c r="AH5" i="42" s="1"/>
  <c r="M21" i="16"/>
  <c r="AG20" i="42"/>
  <c r="AH20" i="42" s="1"/>
  <c r="M22" i="16"/>
  <c r="M10" i="16"/>
  <c r="M28" i="16"/>
  <c r="AG25" i="42"/>
  <c r="AH25" i="42" s="1"/>
  <c r="M61" i="16"/>
  <c r="BF10" i="10"/>
  <c r="N6" i="42"/>
  <c r="P6" i="42" s="1"/>
  <c r="AE6" i="42" s="1"/>
  <c r="AF6" i="42" s="1"/>
  <c r="AG23" i="42"/>
  <c r="AH23" i="42" s="1"/>
  <c r="AS10" i="53" a="1"/>
  <c r="AS10" i="53" s="1"/>
  <c r="C7" i="59" s="1"/>
  <c r="C6" i="59"/>
  <c r="AZ10" i="53"/>
  <c r="C12" i="59" s="1"/>
  <c r="M30" i="16"/>
  <c r="AG27" i="42"/>
  <c r="AH27" i="42" s="1"/>
  <c r="BL10" i="53" a="1"/>
  <c r="BL10" i="53" s="1"/>
  <c r="BP10" i="53" a="1"/>
  <c r="BP10" i="53" s="1"/>
  <c r="AD10" i="53" s="1"/>
  <c r="C26" i="59" s="1"/>
  <c r="AG33" i="42"/>
  <c r="AH33" i="42" s="1"/>
  <c r="M36" i="16"/>
  <c r="W7" i="42"/>
  <c r="G6" i="57"/>
  <c r="C27" i="59"/>
  <c r="X6" i="42"/>
  <c r="I15" i="57"/>
  <c r="J15" i="57" s="1"/>
  <c r="AG24" i="42"/>
  <c r="AH24" i="42" s="1"/>
  <c r="M27" i="16"/>
  <c r="M33" i="16"/>
  <c r="AG30" i="42"/>
  <c r="AH30" i="42" s="1"/>
  <c r="FK3" i="54"/>
  <c r="G3" i="40" a="1"/>
  <c r="G3" i="40" s="1"/>
  <c r="AG14" i="42"/>
  <c r="AH14" i="42" s="1"/>
  <c r="M18" i="16"/>
  <c r="AG18" i="42"/>
  <c r="AH18" i="42" s="1"/>
  <c r="FN3" i="54"/>
  <c r="FO3" i="54" s="1"/>
  <c r="P3" i="40" a="1"/>
  <c r="P3" i="40" s="1"/>
  <c r="M34" i="16"/>
  <c r="AG31" i="42"/>
  <c r="AH31" i="42" s="1"/>
  <c r="BA10" i="53"/>
  <c r="C5" i="59"/>
  <c r="AG26" i="42"/>
  <c r="AH26" i="42" s="1"/>
  <c r="M29" i="16"/>
  <c r="AG28" i="42"/>
  <c r="AH28" i="42" s="1"/>
  <c r="M31" i="16"/>
  <c r="C24" i="59"/>
  <c r="G10" i="57"/>
  <c r="AG32" i="42"/>
  <c r="AH32" i="42" s="1"/>
  <c r="M35" i="16"/>
  <c r="GB3" i="54"/>
  <c r="AC3" i="40" s="1" a="1"/>
  <c r="AC3" i="40" s="1"/>
  <c r="M3" i="40" a="1"/>
  <c r="M3" i="40" s="1"/>
  <c r="M32" i="16"/>
  <c r="AG29" i="42"/>
  <c r="AH29" i="42" s="1"/>
  <c r="GS3" i="54"/>
  <c r="BR3" i="40" s="1" a="1"/>
  <c r="BR3" i="40" s="1"/>
  <c r="BQ3" i="40" a="1"/>
  <c r="BQ3" i="40" s="1"/>
  <c r="BN41" i="10"/>
  <c r="AA25" i="42"/>
  <c r="AA26" i="42" s="1"/>
  <c r="AB6" i="42"/>
  <c r="AB7" i="42"/>
  <c r="Z7" i="42"/>
  <c r="Y16" i="42"/>
  <c r="W8" i="42"/>
  <c r="AC55" i="42"/>
  <c r="AC68" i="42" s="1"/>
  <c r="AC10" i="53" l="1"/>
  <c r="V10" i="53"/>
  <c r="GV3" i="54"/>
  <c r="BU3" i="40" s="1" a="1"/>
  <c r="BU3" i="40" s="1"/>
  <c r="AE1" i="40" s="1"/>
  <c r="AR3" i="54"/>
  <c r="D5" i="60" s="1" a="1"/>
  <c r="D5" i="60" s="1"/>
  <c r="AE3" i="40" a="1"/>
  <c r="AE3" i="40" s="1"/>
  <c r="Y10" i="53"/>
  <c r="X8" i="42"/>
  <c r="N8" i="42"/>
  <c r="P8" i="42" s="1"/>
  <c r="AE8" i="42" s="1"/>
  <c r="AF8" i="42" s="1"/>
  <c r="C14" i="59"/>
  <c r="C20" i="59" s="1"/>
  <c r="Z10" i="53"/>
  <c r="C18" i="59" s="1"/>
  <c r="L60" i="16"/>
  <c r="L56" i="16"/>
  <c r="L54" i="16"/>
  <c r="L57" i="16"/>
  <c r="L58" i="16"/>
  <c r="L53" i="16"/>
  <c r="L59" i="16"/>
  <c r="L55" i="16"/>
  <c r="L51" i="16"/>
  <c r="L52" i="16"/>
  <c r="X7" i="42"/>
  <c r="N7" i="42"/>
  <c r="P7" i="42" s="1"/>
  <c r="AE7" i="42" s="1"/>
  <c r="AF7" i="42" s="1"/>
  <c r="FP3" i="54" a="1"/>
  <c r="FP3" i="54" s="1"/>
  <c r="FV3" i="54" a="1"/>
  <c r="FV3" i="54" s="1"/>
  <c r="FW3" i="54" s="1"/>
  <c r="FZ3" i="54" a="1"/>
  <c r="FZ3" i="54" s="1"/>
  <c r="GA3" i="54" s="1"/>
  <c r="FR3" i="54" a="1"/>
  <c r="FR3" i="54" s="1"/>
  <c r="FS3" i="54" s="1"/>
  <c r="FX3" i="54" a="1"/>
  <c r="FX3" i="54" s="1"/>
  <c r="FY3" i="54" s="1"/>
  <c r="FT3" i="54" a="1"/>
  <c r="FT3" i="54" s="1"/>
  <c r="FU3" i="54" s="1"/>
  <c r="AB8" i="42"/>
  <c r="AD11" i="42"/>
  <c r="AD10" i="42"/>
  <c r="AC88" i="42"/>
  <c r="AD154" i="42" s="1"/>
  <c r="W9" i="42"/>
  <c r="N9" i="42" s="1"/>
  <c r="Y17" i="42"/>
  <c r="Z8" i="42"/>
  <c r="AA27" i="42"/>
  <c r="AD167" i="42" l="1"/>
  <c r="AD296" i="42"/>
  <c r="M53" i="16"/>
  <c r="O53" i="16"/>
  <c r="N53" i="16"/>
  <c r="O56" i="16"/>
  <c r="N56" i="16"/>
  <c r="M56" i="16"/>
  <c r="N54" i="16"/>
  <c r="M54" i="16"/>
  <c r="O54" i="16"/>
  <c r="FQ3" i="54"/>
  <c r="A4" i="43" a="1"/>
  <c r="A4" i="43" s="1"/>
  <c r="C13" i="59"/>
  <c r="F4" i="59" a="1"/>
  <c r="F4" i="59" s="1"/>
  <c r="M52" i="16"/>
  <c r="O52" i="16"/>
  <c r="N52" i="16"/>
  <c r="O58" i="16"/>
  <c r="N58" i="16"/>
  <c r="M58" i="16"/>
  <c r="N60" i="16"/>
  <c r="M60" i="16"/>
  <c r="O60" i="16"/>
  <c r="M55" i="16"/>
  <c r="O55" i="16"/>
  <c r="N55" i="16"/>
  <c r="A5" i="60" a="1"/>
  <c r="A5" i="60" s="1"/>
  <c r="A2" i="60"/>
  <c r="N57" i="16"/>
  <c r="M57" i="16"/>
  <c r="O57" i="16"/>
  <c r="O51" i="16"/>
  <c r="N51" i="16"/>
  <c r="M51" i="16"/>
  <c r="N59" i="16"/>
  <c r="M59" i="16"/>
  <c r="O59" i="16"/>
  <c r="G11" i="57"/>
  <c r="C25" i="59"/>
  <c r="AD187" i="42"/>
  <c r="AD90" i="42"/>
  <c r="AD96" i="42"/>
  <c r="AD461" i="42"/>
  <c r="AD434" i="42"/>
  <c r="AD194" i="42"/>
  <c r="AD291" i="42"/>
  <c r="AD61" i="42"/>
  <c r="AD230" i="42"/>
  <c r="AD483" i="42"/>
  <c r="AD63" i="42"/>
  <c r="AD37" i="42"/>
  <c r="AD345" i="42"/>
  <c r="AD260" i="42"/>
  <c r="AD470" i="42"/>
  <c r="AD118" i="42"/>
  <c r="AD252" i="42"/>
  <c r="AD216" i="42"/>
  <c r="AD395" i="42"/>
  <c r="AD111" i="42"/>
  <c r="AD70" i="42"/>
  <c r="AD108" i="42"/>
  <c r="AD364" i="42"/>
  <c r="AD83" i="42"/>
  <c r="AD257" i="42"/>
  <c r="AD264" i="42"/>
  <c r="AD89" i="42"/>
  <c r="AD317" i="42"/>
  <c r="AD130" i="42"/>
  <c r="AD279" i="42"/>
  <c r="AD416" i="42"/>
  <c r="AD378" i="42"/>
  <c r="AD330" i="42"/>
  <c r="AD102" i="42"/>
  <c r="AD211" i="42"/>
  <c r="AD333" i="42"/>
  <c r="AD40" i="42"/>
  <c r="AD180" i="42"/>
  <c r="AD16" i="42"/>
  <c r="AD365" i="42"/>
  <c r="AD290" i="42"/>
  <c r="AD113" i="42"/>
  <c r="AD348" i="42"/>
  <c r="AD436" i="42"/>
  <c r="AD242" i="42"/>
  <c r="AD438" i="42"/>
  <c r="AD382" i="42"/>
  <c r="AD236" i="42"/>
  <c r="AD251" i="42"/>
  <c r="AD105" i="42"/>
  <c r="AD325" i="42"/>
  <c r="AD467" i="42"/>
  <c r="AD169" i="42"/>
  <c r="AD256" i="42"/>
  <c r="AD469" i="42"/>
  <c r="AD370" i="42"/>
  <c r="AD52" i="42"/>
  <c r="AD455" i="42"/>
  <c r="AD72" i="42"/>
  <c r="AD362" i="42"/>
  <c r="AD235" i="42"/>
  <c r="AD450" i="42"/>
  <c r="AD249" i="42"/>
  <c r="AD334" i="42"/>
  <c r="AD386" i="42"/>
  <c r="AD366" i="42"/>
  <c r="AD122" i="42"/>
  <c r="AD87" i="42"/>
  <c r="AD175" i="42"/>
  <c r="AD138" i="42"/>
  <c r="AD465" i="42"/>
  <c r="AD493" i="42"/>
  <c r="AD413" i="42"/>
  <c r="AD171" i="42"/>
  <c r="AD486" i="42"/>
  <c r="AD127" i="42"/>
  <c r="AD168" i="42"/>
  <c r="AD141" i="42"/>
  <c r="AD398" i="42"/>
  <c r="AD19" i="42"/>
  <c r="AD278" i="42"/>
  <c r="AD409" i="42"/>
  <c r="AD161" i="42"/>
  <c r="AD482" i="42"/>
  <c r="AD406" i="42"/>
  <c r="AD338" i="42"/>
  <c r="AD239" i="42"/>
  <c r="AD497" i="42"/>
  <c r="AD352" i="42"/>
  <c r="AD155" i="42"/>
  <c r="AD412" i="42"/>
  <c r="AD410" i="42"/>
  <c r="AD308" i="42"/>
  <c r="AD305" i="42"/>
  <c r="AD214" i="42"/>
  <c r="AD337" i="42"/>
  <c r="AD374" i="42"/>
  <c r="AD170" i="42"/>
  <c r="AD73" i="42"/>
  <c r="AD51" i="42"/>
  <c r="AD276" i="42"/>
  <c r="AD21" i="42"/>
  <c r="AD78" i="42"/>
  <c r="AD360" i="42"/>
  <c r="AD442" i="42"/>
  <c r="AD60" i="42"/>
  <c r="AD452" i="42"/>
  <c r="AD172" i="42"/>
  <c r="AD404" i="42"/>
  <c r="AD327" i="42"/>
  <c r="AD221" i="42"/>
  <c r="AD481" i="42"/>
  <c r="AD288" i="42"/>
  <c r="AD85" i="42"/>
  <c r="AD81" i="42"/>
  <c r="AD373" i="42"/>
  <c r="AD369" i="42"/>
  <c r="AD119" i="42"/>
  <c r="AD329" i="42"/>
  <c r="AD149" i="42"/>
  <c r="AD202" i="42"/>
  <c r="AD24" i="42"/>
  <c r="AD206" i="42"/>
  <c r="AD269" i="42"/>
  <c r="AD284" i="42"/>
  <c r="AD383" i="42"/>
  <c r="AD266" i="42"/>
  <c r="AD394" i="42"/>
  <c r="AD499" i="42"/>
  <c r="AD389" i="42"/>
  <c r="AD407" i="42"/>
  <c r="AD472" i="42"/>
  <c r="AD76" i="42"/>
  <c r="AD44" i="42"/>
  <c r="AD45" i="42"/>
  <c r="AD77" i="42"/>
  <c r="AD357" i="42"/>
  <c r="AD56" i="42"/>
  <c r="AD201" i="42"/>
  <c r="AD273" i="42"/>
  <c r="AD459" i="42"/>
  <c r="AD303" i="42"/>
  <c r="AD299" i="42"/>
  <c r="AD174" i="42"/>
  <c r="AD479" i="42"/>
  <c r="AD34" i="42"/>
  <c r="AD178" i="42"/>
  <c r="AD403" i="42"/>
  <c r="AD144" i="42"/>
  <c r="AD271" i="42"/>
  <c r="AD310" i="42"/>
  <c r="AD165" i="42"/>
  <c r="AD466" i="42"/>
  <c r="AD36" i="42"/>
  <c r="AD490" i="42"/>
  <c r="AD376" i="42"/>
  <c r="AD397" i="42"/>
  <c r="AD261" i="42"/>
  <c r="AD152" i="42"/>
  <c r="AD200" i="42"/>
  <c r="AD381" i="42"/>
  <c r="AD203" i="42"/>
  <c r="AD129" i="42"/>
  <c r="AD421" i="42"/>
  <c r="AD449" i="42"/>
  <c r="AD282" i="42"/>
  <c r="AD69" i="42"/>
  <c r="AD328" i="42"/>
  <c r="AD440" i="42"/>
  <c r="AD423" i="42"/>
  <c r="AD246" i="42"/>
  <c r="AD259" i="42"/>
  <c r="AD468" i="42"/>
  <c r="AD426" i="42"/>
  <c r="AD164" i="42"/>
  <c r="AD151" i="42"/>
  <c r="AD39" i="42"/>
  <c r="AD116" i="42"/>
  <c r="AD136" i="42"/>
  <c r="AD358" i="42"/>
  <c r="AD66" i="42"/>
  <c r="AD439" i="42"/>
  <c r="AD335" i="42"/>
  <c r="AD473" i="42"/>
  <c r="AD79" i="42"/>
  <c r="AD195" i="42"/>
  <c r="AD408" i="42"/>
  <c r="AD64" i="42"/>
  <c r="AD350" i="42"/>
  <c r="AD298" i="42"/>
  <c r="AD228" i="42"/>
  <c r="AD343" i="42"/>
  <c r="AD495" i="42"/>
  <c r="AD100" i="42"/>
  <c r="AD115" i="42"/>
  <c r="AD287" i="42"/>
  <c r="AD68" i="42"/>
  <c r="AD321" i="42"/>
  <c r="AD48" i="42"/>
  <c r="AD258" i="42"/>
  <c r="AD417" i="42"/>
  <c r="AD25" i="42"/>
  <c r="AD20" i="42"/>
  <c r="AD247" i="42"/>
  <c r="AD268" i="42"/>
  <c r="AD356" i="42"/>
  <c r="AD183" i="42"/>
  <c r="AD474" i="42"/>
  <c r="AD191" i="42"/>
  <c r="AD143" i="42"/>
  <c r="AD367" i="42"/>
  <c r="AD28" i="42"/>
  <c r="AD312" i="42"/>
  <c r="AD285" i="42"/>
  <c r="AD429" i="42"/>
  <c r="AD134" i="42"/>
  <c r="AD173" i="42"/>
  <c r="AD125" i="42"/>
  <c r="AD311" i="42"/>
  <c r="AD30" i="42"/>
  <c r="AD363" i="42"/>
  <c r="AD390" i="42"/>
  <c r="AD379" i="42"/>
  <c r="AD313" i="42"/>
  <c r="AD233" i="42"/>
  <c r="AD250" i="42"/>
  <c r="AD204" i="42"/>
  <c r="AD156" i="42"/>
  <c r="AD38" i="42"/>
  <c r="AD253" i="42"/>
  <c r="AD415" i="42"/>
  <c r="AD190" i="42"/>
  <c r="AD213" i="42"/>
  <c r="AD189" i="42"/>
  <c r="AD160" i="42"/>
  <c r="AD199" i="42"/>
  <c r="AD53" i="42"/>
  <c r="AD186" i="42"/>
  <c r="AD22" i="42"/>
  <c r="AD131" i="42"/>
  <c r="AD443" i="42"/>
  <c r="AD420" i="42"/>
  <c r="AD46" i="42"/>
  <c r="AD222" i="42"/>
  <c r="AD209" i="42"/>
  <c r="AD476" i="42"/>
  <c r="AD480" i="42"/>
  <c r="AD95" i="42"/>
  <c r="AD294" i="42"/>
  <c r="AD277" i="42"/>
  <c r="AD50" i="42"/>
  <c r="AD385" i="42"/>
  <c r="AD319" i="42"/>
  <c r="AD464" i="42"/>
  <c r="AD340" i="42"/>
  <c r="AD324" i="42"/>
  <c r="AD427" i="42"/>
  <c r="AD207" i="42"/>
  <c r="AD418" i="42"/>
  <c r="AD245" i="42"/>
  <c r="AD316" i="42"/>
  <c r="AD231" i="42"/>
  <c r="AD377" i="42"/>
  <c r="AD331" i="42"/>
  <c r="AD430" i="42"/>
  <c r="AD26" i="42"/>
  <c r="AD208" i="42"/>
  <c r="AD147" i="42"/>
  <c r="AD471" i="42"/>
  <c r="AD456" i="42"/>
  <c r="AD47" i="42"/>
  <c r="AD18" i="42"/>
  <c r="AD133" i="42"/>
  <c r="AD135" i="42"/>
  <c r="AD491" i="42"/>
  <c r="AD197" i="42"/>
  <c r="AD388" i="42"/>
  <c r="AD462" i="42"/>
  <c r="Y18" i="42"/>
  <c r="Y19" i="42" s="1"/>
  <c r="Z10" i="42"/>
  <c r="AD372" i="42"/>
  <c r="AD342" i="42"/>
  <c r="AD145" i="42"/>
  <c r="AD179" i="42"/>
  <c r="AD346" i="42"/>
  <c r="AD272" i="42"/>
  <c r="AD344" i="42"/>
  <c r="AD371" i="42"/>
  <c r="AD496" i="42"/>
  <c r="AD146" i="42"/>
  <c r="AD453" i="42"/>
  <c r="AD307" i="42"/>
  <c r="AA28" i="42"/>
  <c r="AB10" i="42" s="1"/>
  <c r="AB9" i="42"/>
  <c r="AA29" i="42"/>
  <c r="AD375" i="42"/>
  <c r="AD361" i="42"/>
  <c r="AD59" i="42"/>
  <c r="AD114" i="42"/>
  <c r="AD447" i="42"/>
  <c r="P9" i="42"/>
  <c r="AE9" i="42" s="1"/>
  <c r="AF9" i="42" s="1"/>
  <c r="W10" i="42"/>
  <c r="X9" i="42"/>
  <c r="AD323" i="42"/>
  <c r="AD176" i="42"/>
  <c r="AD315" i="42"/>
  <c r="AD237" i="42"/>
  <c r="AD402" i="42"/>
  <c r="AD339" i="42"/>
  <c r="AD463" i="42"/>
  <c r="AD405" i="42"/>
  <c r="AD120" i="42"/>
  <c r="AD198" i="42"/>
  <c r="AD318" i="42"/>
  <c r="AD267" i="42"/>
  <c r="AD27" i="42"/>
  <c r="AD82" i="42"/>
  <c r="AD232" i="42"/>
  <c r="AD445" i="42"/>
  <c r="AD322" i="42"/>
  <c r="AD177" i="42"/>
  <c r="AD487" i="42"/>
  <c r="AD281" i="42"/>
  <c r="AD320" i="42"/>
  <c r="AD451" i="42"/>
  <c r="AD103" i="42"/>
  <c r="AD286" i="42"/>
  <c r="AD163" i="42"/>
  <c r="AD15" i="42"/>
  <c r="AD215" i="42"/>
  <c r="AD428" i="42"/>
  <c r="AD457" i="42"/>
  <c r="AD355" i="42"/>
  <c r="AD351" i="42"/>
  <c r="AD400" i="42"/>
  <c r="AD488" i="42"/>
  <c r="AD14" i="42"/>
  <c r="AD99" i="42"/>
  <c r="AD182" i="42"/>
  <c r="AD292" i="42"/>
  <c r="AD424" i="42"/>
  <c r="AD304" i="42"/>
  <c r="AD58" i="42"/>
  <c r="AD225" i="42"/>
  <c r="AD92" i="42"/>
  <c r="AD193" i="42"/>
  <c r="AD441" i="42"/>
  <c r="AD433" i="42"/>
  <c r="AD368" i="42"/>
  <c r="AD32" i="42"/>
  <c r="AD301" i="42"/>
  <c r="AD86" i="42"/>
  <c r="AD80" i="42"/>
  <c r="AD98" i="42"/>
  <c r="AD226" i="42"/>
  <c r="AD444" i="42"/>
  <c r="AD393" i="42"/>
  <c r="AD219" i="42"/>
  <c r="AD489" i="42"/>
  <c r="AD353" i="42"/>
  <c r="AD241" i="42"/>
  <c r="AD435" i="42"/>
  <c r="AD244" i="42"/>
  <c r="AD380" i="42"/>
  <c r="AD84" i="42"/>
  <c r="AD12" i="42"/>
  <c r="AD42" i="42"/>
  <c r="AD132" i="42"/>
  <c r="AD431" i="42"/>
  <c r="AD384" i="42"/>
  <c r="AD255" i="42"/>
  <c r="AD159" i="42"/>
  <c r="AD314" i="42"/>
  <c r="AD150" i="42"/>
  <c r="AD104" i="42"/>
  <c r="AD55" i="42"/>
  <c r="AD97" i="42"/>
  <c r="AD223" i="42"/>
  <c r="AD117" i="42"/>
  <c r="AD88" i="42"/>
  <c r="AD185" i="42"/>
  <c r="AD227" i="42"/>
  <c r="AD422" i="42"/>
  <c r="AD196" i="42"/>
  <c r="AD391" i="42"/>
  <c r="AD184" i="42"/>
  <c r="AD35" i="42"/>
  <c r="AD411" i="42"/>
  <c r="AD326" i="42"/>
  <c r="AD419" i="42"/>
  <c r="AD139" i="42"/>
  <c r="AD212" i="42"/>
  <c r="AD67" i="42"/>
  <c r="AD229" i="42"/>
  <c r="AD359" i="42"/>
  <c r="AD498" i="42"/>
  <c r="AD137" i="42"/>
  <c r="AD238" i="42"/>
  <c r="AD128" i="42"/>
  <c r="AD220" i="42"/>
  <c r="AD354" i="42"/>
  <c r="AD275" i="42"/>
  <c r="AD477" i="42"/>
  <c r="AD13" i="42"/>
  <c r="AD29" i="42"/>
  <c r="AD399" i="42"/>
  <c r="AD181" i="42"/>
  <c r="AD107" i="42"/>
  <c r="AD162" i="42"/>
  <c r="AD188" i="42"/>
  <c r="AD263" i="42"/>
  <c r="AD41" i="42"/>
  <c r="AD347" i="42"/>
  <c r="AD218" i="42"/>
  <c r="AD49" i="42"/>
  <c r="AD302" i="42"/>
  <c r="AD124" i="42"/>
  <c r="AD392" i="42"/>
  <c r="AD492" i="42"/>
  <c r="AD123" i="42"/>
  <c r="AD500" i="42"/>
  <c r="AD349" i="42"/>
  <c r="AD460" i="42"/>
  <c r="AD210" i="42"/>
  <c r="AD306" i="42"/>
  <c r="AD262" i="42"/>
  <c r="AD75" i="42"/>
  <c r="AD166" i="42"/>
  <c r="AD341" i="42"/>
  <c r="AD158" i="42"/>
  <c r="AD478" i="42"/>
  <c r="AD280" i="42"/>
  <c r="AD446" i="42"/>
  <c r="AD121" i="42"/>
  <c r="AD224" i="42"/>
  <c r="AD396" i="42"/>
  <c r="AD142" i="42"/>
  <c r="AD57" i="42"/>
  <c r="AD62" i="42"/>
  <c r="AD148" i="42"/>
  <c r="AD31" i="42"/>
  <c r="AD289" i="42"/>
  <c r="AD240" i="42"/>
  <c r="AD106" i="42"/>
  <c r="AD254" i="42"/>
  <c r="AD65" i="42"/>
  <c r="AD274" i="42"/>
  <c r="AD94" i="42"/>
  <c r="AD309" i="42"/>
  <c r="AD17" i="42"/>
  <c r="AD192" i="42"/>
  <c r="AD448" i="42"/>
  <c r="AD432" i="42"/>
  <c r="AD71" i="42"/>
  <c r="AD484" i="42"/>
  <c r="AD293" i="42"/>
  <c r="AD332" i="42"/>
  <c r="AD93" i="42"/>
  <c r="AD485" i="42"/>
  <c r="AD243" i="42"/>
  <c r="AD458" i="42"/>
  <c r="AD43" i="42"/>
  <c r="AD295" i="42"/>
  <c r="AD437" i="42"/>
  <c r="AD109" i="42"/>
  <c r="Z9" i="42"/>
  <c r="AD283" i="42"/>
  <c r="AD270" i="42"/>
  <c r="AD153" i="42"/>
  <c r="AD110" i="42"/>
  <c r="AD475" i="42"/>
  <c r="AD248" i="42"/>
  <c r="AD297" i="42"/>
  <c r="AD454" i="42"/>
  <c r="AD401" i="42"/>
  <c r="AD414" i="42"/>
  <c r="AD265" i="42"/>
  <c r="AD91" i="42"/>
  <c r="AD157" i="42"/>
  <c r="AD54" i="42"/>
  <c r="AD74" i="42"/>
  <c r="AD101" i="42"/>
  <c r="AD126" i="42"/>
  <c r="AD494" i="42"/>
  <c r="AD217" i="42"/>
  <c r="AD300" i="42"/>
  <c r="AD234" i="42"/>
  <c r="AD425" i="42"/>
  <c r="AD112" i="42"/>
  <c r="AD140" i="42"/>
  <c r="AD23" i="42"/>
  <c r="AD205" i="42"/>
  <c r="AD387" i="42"/>
  <c r="AD336" i="42"/>
  <c r="AD33" i="42"/>
  <c r="X10" i="42" l="1"/>
  <c r="N10" i="42"/>
  <c r="P10" i="42" s="1"/>
  <c r="AE10" i="42" s="1"/>
  <c r="AF10" i="42" s="1"/>
  <c r="C16" i="59"/>
  <c r="C17" i="59" s="1"/>
  <c r="C23" i="59"/>
  <c r="Y20" i="42"/>
  <c r="AB11" i="42"/>
  <c r="Y21" i="42"/>
  <c r="Z418" i="42" s="1"/>
  <c r="Z473" i="42"/>
  <c r="Z11" i="42"/>
  <c r="Z26" i="42"/>
  <c r="W11" i="42"/>
  <c r="X325" i="42" s="1"/>
  <c r="X147" i="42"/>
  <c r="AA30" i="42"/>
  <c r="X420" i="42" l="1"/>
  <c r="X410" i="42"/>
  <c r="X312" i="42"/>
  <c r="N11" i="42"/>
  <c r="X54" i="42"/>
  <c r="X319" i="42"/>
  <c r="X494" i="42"/>
  <c r="X446" i="42"/>
  <c r="X441" i="42"/>
  <c r="X228" i="42"/>
  <c r="X373" i="42"/>
  <c r="X396" i="42"/>
  <c r="X191" i="42"/>
  <c r="X281" i="42"/>
  <c r="X350" i="42"/>
  <c r="X91" i="42"/>
  <c r="X293" i="42"/>
  <c r="X46" i="42"/>
  <c r="X339" i="42"/>
  <c r="X209" i="42"/>
  <c r="X43" i="42"/>
  <c r="X256" i="42"/>
  <c r="X13" i="42"/>
  <c r="X491" i="42"/>
  <c r="X473" i="42"/>
  <c r="Z131" i="42"/>
  <c r="Z24" i="42"/>
  <c r="Z460" i="42"/>
  <c r="Z266" i="42"/>
  <c r="X44" i="42"/>
  <c r="Z159" i="42"/>
  <c r="X448" i="42"/>
  <c r="Z441" i="42"/>
  <c r="Z184" i="42"/>
  <c r="Z258" i="42"/>
  <c r="Z189" i="42"/>
  <c r="Z429" i="42"/>
  <c r="Z417" i="42"/>
  <c r="X183" i="42"/>
  <c r="Z61" i="42"/>
  <c r="Z352" i="42"/>
  <c r="Z224" i="42"/>
  <c r="Z465" i="42"/>
  <c r="X158" i="42"/>
  <c r="Z119" i="42"/>
  <c r="Z59" i="42"/>
  <c r="Z391" i="42"/>
  <c r="Z219" i="42"/>
  <c r="Z367" i="42"/>
  <c r="Z256" i="42"/>
  <c r="X454" i="42"/>
  <c r="Z251" i="42"/>
  <c r="X23" i="42"/>
  <c r="Z145" i="42"/>
  <c r="Z434" i="42"/>
  <c r="Z68" i="42"/>
  <c r="Z375" i="42"/>
  <c r="Z472" i="42"/>
  <c r="Z446" i="42"/>
  <c r="Z232" i="42"/>
  <c r="Z212" i="42"/>
  <c r="Z181" i="42"/>
  <c r="Z329" i="42"/>
  <c r="Z299" i="42"/>
  <c r="Z362" i="42"/>
  <c r="Z455" i="42"/>
  <c r="Z124" i="42"/>
  <c r="Z500" i="42"/>
  <c r="Z421" i="42"/>
  <c r="X192" i="42"/>
  <c r="Z344" i="42"/>
  <c r="Z333" i="42"/>
  <c r="X201" i="42"/>
  <c r="Z84" i="42"/>
  <c r="Z368" i="42"/>
  <c r="Z244" i="42"/>
  <c r="X462" i="42"/>
  <c r="X280" i="42"/>
  <c r="Z127" i="42"/>
  <c r="X245" i="42"/>
  <c r="Z183" i="42"/>
  <c r="X113" i="42"/>
  <c r="Z400" i="42"/>
  <c r="Z223" i="42"/>
  <c r="Z281" i="42"/>
  <c r="X138" i="42"/>
  <c r="Z99" i="42"/>
  <c r="Z378" i="42"/>
  <c r="Z319" i="42"/>
  <c r="Z312" i="42"/>
  <c r="Z294" i="42"/>
  <c r="Z129" i="42"/>
  <c r="Z81" i="42"/>
  <c r="Z292" i="42"/>
  <c r="Z307" i="42"/>
  <c r="Z247" i="42"/>
  <c r="Z431" i="42"/>
  <c r="Z342" i="42"/>
  <c r="X291" i="42"/>
  <c r="Z488" i="42"/>
  <c r="Z318" i="42"/>
  <c r="Z89" i="42"/>
  <c r="Z67" i="42"/>
  <c r="X364" i="42"/>
  <c r="Z49" i="42"/>
  <c r="Z153" i="42"/>
  <c r="Z458" i="42"/>
  <c r="Z130" i="42"/>
  <c r="Z409" i="42"/>
  <c r="X74" i="42"/>
  <c r="X223" i="42"/>
  <c r="Z277" i="42"/>
  <c r="X15" i="42"/>
  <c r="Z487" i="42"/>
  <c r="X447" i="42"/>
  <c r="Z336" i="42"/>
  <c r="X381" i="42"/>
  <c r="Z401" i="42"/>
  <c r="Z308" i="42"/>
  <c r="Z142" i="42"/>
  <c r="Z105" i="42"/>
  <c r="Z187" i="42"/>
  <c r="Z215" i="42"/>
  <c r="Z135" i="42"/>
  <c r="Z221" i="42"/>
  <c r="Z405" i="42"/>
  <c r="Z486" i="42"/>
  <c r="X47" i="42"/>
  <c r="Z15" i="42"/>
  <c r="X342" i="42"/>
  <c r="Z293" i="42"/>
  <c r="X296" i="42"/>
  <c r="X422" i="42"/>
  <c r="X303" i="42"/>
  <c r="Z91" i="42"/>
  <c r="X174" i="42"/>
  <c r="Z194" i="42"/>
  <c r="X276" i="42"/>
  <c r="Z337" i="42"/>
  <c r="X69" i="42"/>
  <c r="Z257" i="42"/>
  <c r="Z22" i="42"/>
  <c r="Z475" i="42"/>
  <c r="Z165" i="42"/>
  <c r="Z195" i="42"/>
  <c r="Z326" i="42"/>
  <c r="Z360" i="42"/>
  <c r="Z107" i="42"/>
  <c r="Z33" i="42"/>
  <c r="Z110" i="42"/>
  <c r="Z340" i="42"/>
  <c r="Z406" i="42"/>
  <c r="Z176" i="42"/>
  <c r="Z298" i="42"/>
  <c r="Z490" i="42"/>
  <c r="Z425" i="42"/>
  <c r="Z288" i="42"/>
  <c r="Z228" i="42"/>
  <c r="Z197" i="42"/>
  <c r="Z390" i="42"/>
  <c r="Z301" i="42"/>
  <c r="X432" i="42"/>
  <c r="Z50" i="42"/>
  <c r="Z470" i="42"/>
  <c r="Z163" i="42"/>
  <c r="Z171" i="42"/>
  <c r="X135" i="42"/>
  <c r="X187" i="42"/>
  <c r="X288" i="42"/>
  <c r="Z85" i="42"/>
  <c r="Z332" i="42"/>
  <c r="Z72" i="42"/>
  <c r="X375" i="42"/>
  <c r="X357" i="42"/>
  <c r="Z29" i="42"/>
  <c r="Z313" i="42"/>
  <c r="Z144" i="42"/>
  <c r="Z310" i="42"/>
  <c r="X271" i="42"/>
  <c r="Z166" i="42"/>
  <c r="Z450" i="42"/>
  <c r="X62" i="42"/>
  <c r="Z374" i="42"/>
  <c r="Z283" i="42"/>
  <c r="Z376" i="42"/>
  <c r="Z356" i="42"/>
  <c r="X261" i="42"/>
  <c r="X160" i="42"/>
  <c r="X279" i="42"/>
  <c r="X383" i="42"/>
  <c r="X156" i="42"/>
  <c r="X475" i="42"/>
  <c r="X93" i="42"/>
  <c r="X24" i="42"/>
  <c r="X299" i="42"/>
  <c r="X486" i="42"/>
  <c r="X105" i="42"/>
  <c r="X277" i="42"/>
  <c r="X284" i="42"/>
  <c r="Z146" i="42"/>
  <c r="X316" i="42"/>
  <c r="X200" i="42"/>
  <c r="X408" i="42"/>
  <c r="X394" i="42"/>
  <c r="X210" i="42"/>
  <c r="X431" i="42"/>
  <c r="X304" i="42"/>
  <c r="X260" i="42"/>
  <c r="X50" i="42"/>
  <c r="X438" i="42"/>
  <c r="X418" i="42"/>
  <c r="Z492" i="42"/>
  <c r="X60" i="42"/>
  <c r="X11" i="42"/>
  <c r="X464" i="42"/>
  <c r="X38" i="42"/>
  <c r="X403" i="42"/>
  <c r="X367" i="42"/>
  <c r="X126" i="42"/>
  <c r="X92" i="42"/>
  <c r="X336" i="42"/>
  <c r="X435" i="42"/>
  <c r="Z45" i="42"/>
  <c r="X315" i="42"/>
  <c r="Z289" i="42"/>
  <c r="Z185" i="42"/>
  <c r="X56" i="42"/>
  <c r="Z104" i="42"/>
  <c r="Z170" i="42"/>
  <c r="Z90" i="42"/>
  <c r="Z98" i="42"/>
  <c r="Z175" i="42"/>
  <c r="Z420" i="42"/>
  <c r="Z16" i="42"/>
  <c r="Z57" i="42"/>
  <c r="X220" i="42"/>
  <c r="X246" i="42"/>
  <c r="X112" i="42"/>
  <c r="X453" i="42"/>
  <c r="Z384" i="42"/>
  <c r="X310" i="42"/>
  <c r="X443" i="42"/>
  <c r="X329" i="42"/>
  <c r="X79" i="42"/>
  <c r="X235" i="42"/>
  <c r="X465" i="42"/>
  <c r="Z324" i="42"/>
  <c r="Z335" i="42"/>
  <c r="Z303" i="42"/>
  <c r="Z213" i="42"/>
  <c r="Z114" i="42"/>
  <c r="X225" i="42"/>
  <c r="Z316" i="42"/>
  <c r="Z351" i="42"/>
  <c r="Z343" i="42"/>
  <c r="Z48" i="42"/>
  <c r="X95" i="42"/>
  <c r="X97" i="42"/>
  <c r="Z297" i="42"/>
  <c r="X407" i="42"/>
  <c r="X298" i="42"/>
  <c r="X487" i="42"/>
  <c r="X450" i="42"/>
  <c r="X166" i="42"/>
  <c r="Z53" i="42"/>
  <c r="Z133" i="42"/>
  <c r="Z96" i="42"/>
  <c r="Z411" i="42"/>
  <c r="X361" i="42"/>
  <c r="Z354" i="42"/>
  <c r="Z227" i="42"/>
  <c r="Z322" i="42"/>
  <c r="Z323" i="42"/>
  <c r="Z95" i="42"/>
  <c r="X369" i="42"/>
  <c r="X165" i="42"/>
  <c r="X136" i="42"/>
  <c r="Z193" i="42"/>
  <c r="X419" i="42"/>
  <c r="X360" i="42"/>
  <c r="X66" i="42"/>
  <c r="X77" i="42"/>
  <c r="X490" i="42"/>
  <c r="X101" i="42"/>
  <c r="X238" i="42"/>
  <c r="Z207" i="42"/>
  <c r="Z28" i="42"/>
  <c r="Z164" i="42"/>
  <c r="Z359" i="42"/>
  <c r="Z76" i="42"/>
  <c r="Z430" i="42"/>
  <c r="Z206" i="42"/>
  <c r="Z21" i="42"/>
  <c r="Z17" i="42"/>
  <c r="Z43" i="42"/>
  <c r="Z39" i="42"/>
  <c r="Z100" i="42"/>
  <c r="Z467" i="42"/>
  <c r="Z128" i="42"/>
  <c r="Z379" i="42"/>
  <c r="Z296" i="42"/>
  <c r="Z448" i="42"/>
  <c r="Z116" i="42"/>
  <c r="Z14" i="42"/>
  <c r="Z371" i="42"/>
  <c r="Z274" i="42"/>
  <c r="Z495" i="42"/>
  <c r="Z97" i="42"/>
  <c r="Z489" i="42"/>
  <c r="Z64" i="42"/>
  <c r="Z478" i="42"/>
  <c r="Z410" i="42"/>
  <c r="Z77" i="42"/>
  <c r="Z435" i="42"/>
  <c r="Z208" i="42"/>
  <c r="Z423" i="42"/>
  <c r="Z438" i="42"/>
  <c r="Z491" i="42"/>
  <c r="Z370" i="42"/>
  <c r="Z172" i="42"/>
  <c r="Z468" i="42"/>
  <c r="Z13" i="42"/>
  <c r="Z92" i="42"/>
  <c r="Z252" i="42"/>
  <c r="Z498" i="42"/>
  <c r="Z239" i="42"/>
  <c r="Z440" i="42"/>
  <c r="Z42" i="42"/>
  <c r="Z499" i="42"/>
  <c r="Z397" i="42"/>
  <c r="Z264" i="42"/>
  <c r="Z474" i="42"/>
  <c r="Z236" i="42"/>
  <c r="Z395" i="42"/>
  <c r="Z230" i="42"/>
  <c r="Z377" i="42"/>
  <c r="Z483" i="42"/>
  <c r="Z137" i="42"/>
  <c r="Z320" i="42"/>
  <c r="Z140" i="42"/>
  <c r="Z361" i="42"/>
  <c r="Z457" i="42"/>
  <c r="Z300" i="42"/>
  <c r="Z304" i="42"/>
  <c r="Z439" i="42"/>
  <c r="Z109" i="42"/>
  <c r="Z369" i="42"/>
  <c r="Z63" i="42"/>
  <c r="Z169" i="42"/>
  <c r="Z295" i="42"/>
  <c r="Z217" i="42"/>
  <c r="Z245" i="42"/>
  <c r="Z284" i="42"/>
  <c r="Z432" i="42"/>
  <c r="Z180" i="42"/>
  <c r="Z37" i="42"/>
  <c r="Z327" i="42"/>
  <c r="Z199" i="42"/>
  <c r="Z493" i="42"/>
  <c r="Z156" i="42"/>
  <c r="Z19" i="42"/>
  <c r="Z12" i="42"/>
  <c r="Z20" i="42"/>
  <c r="Z103" i="42"/>
  <c r="Z113" i="42"/>
  <c r="Z267" i="42"/>
  <c r="Z108" i="42"/>
  <c r="Z117" i="42"/>
  <c r="Z462" i="42"/>
  <c r="Z302" i="42"/>
  <c r="Z214" i="42"/>
  <c r="Z407" i="42"/>
  <c r="Z168" i="42"/>
  <c r="Z383" i="42"/>
  <c r="Z280" i="42"/>
  <c r="Z80" i="42"/>
  <c r="Z463" i="42"/>
  <c r="Z386" i="42"/>
  <c r="Z445" i="42"/>
  <c r="Z449" i="42"/>
  <c r="Z141" i="42"/>
  <c r="Z94" i="42"/>
  <c r="Z126" i="42"/>
  <c r="Z40" i="42"/>
  <c r="Z355" i="42"/>
  <c r="Z412" i="42"/>
  <c r="Z396" i="42"/>
  <c r="Z419" i="42"/>
  <c r="Z471" i="42"/>
  <c r="Z56" i="42"/>
  <c r="Z73" i="42"/>
  <c r="Z62" i="42"/>
  <c r="Z481" i="42"/>
  <c r="Z309" i="42"/>
  <c r="Z479" i="42"/>
  <c r="Z325" i="42"/>
  <c r="Z464" i="42"/>
  <c r="Z276" i="42"/>
  <c r="Z265" i="42"/>
  <c r="Z86" i="42"/>
  <c r="Z408" i="42"/>
  <c r="Z477" i="42"/>
  <c r="Z254" i="42"/>
  <c r="Z160" i="42"/>
  <c r="Z262" i="42"/>
  <c r="Z148" i="42"/>
  <c r="Z240" i="42"/>
  <c r="Z380" i="42"/>
  <c r="Z271" i="42"/>
  <c r="Z291" i="42"/>
  <c r="Z152" i="42"/>
  <c r="Z480" i="42"/>
  <c r="Z286" i="42"/>
  <c r="Z186" i="42"/>
  <c r="Z222" i="42"/>
  <c r="Z282" i="42"/>
  <c r="Z248" i="42"/>
  <c r="Z373" i="42"/>
  <c r="Z58" i="42"/>
  <c r="Z278" i="42"/>
  <c r="Z485" i="42"/>
  <c r="Z204" i="42"/>
  <c r="Z290" i="42"/>
  <c r="Z41" i="42"/>
  <c r="Z225" i="42"/>
  <c r="Z120" i="42"/>
  <c r="Z415" i="42"/>
  <c r="Z452" i="42"/>
  <c r="Z188" i="42"/>
  <c r="Z190" i="42"/>
  <c r="Z403" i="42"/>
  <c r="Z444" i="42"/>
  <c r="Z237" i="42"/>
  <c r="Z287" i="42"/>
  <c r="Z269" i="42"/>
  <c r="Z192" i="42"/>
  <c r="Z106" i="42"/>
  <c r="Z346" i="42"/>
  <c r="Z132" i="42"/>
  <c r="Z334" i="42"/>
  <c r="Z27" i="42"/>
  <c r="Z30" i="42"/>
  <c r="Z466" i="42"/>
  <c r="Z216" i="42"/>
  <c r="Z101" i="42"/>
  <c r="Z203" i="42"/>
  <c r="Z285" i="42"/>
  <c r="Z249" i="42"/>
  <c r="Z347" i="42"/>
  <c r="Z442" i="42"/>
  <c r="Z273" i="42"/>
  <c r="Z25" i="42"/>
  <c r="Z272" i="42"/>
  <c r="Z427" i="42"/>
  <c r="Z306" i="42"/>
  <c r="Z157" i="42"/>
  <c r="Z402" i="42"/>
  <c r="Z46" i="42"/>
  <c r="Z220" i="42"/>
  <c r="Z150" i="42"/>
  <c r="Z112" i="42"/>
  <c r="Z456" i="42"/>
  <c r="Z161" i="42"/>
  <c r="Z229" i="42"/>
  <c r="Z497" i="42"/>
  <c r="Z399" i="42"/>
  <c r="Z311" i="42"/>
  <c r="Z250" i="42"/>
  <c r="Z154" i="42"/>
  <c r="Z32" i="42"/>
  <c r="Z424" i="42"/>
  <c r="Z177" i="42"/>
  <c r="Z87" i="42"/>
  <c r="Z71" i="42"/>
  <c r="Z496" i="42"/>
  <c r="Z328" i="42"/>
  <c r="Z174" i="42"/>
  <c r="Z36" i="42"/>
  <c r="Z270" i="42"/>
  <c r="Z121" i="42"/>
  <c r="Z182" i="42"/>
  <c r="Z200" i="42"/>
  <c r="Z102" i="42"/>
  <c r="Z422" i="42"/>
  <c r="Z476" i="42"/>
  <c r="Z54" i="42"/>
  <c r="Z428" i="42"/>
  <c r="Z147" i="42"/>
  <c r="Z305" i="42"/>
  <c r="Z413" i="42"/>
  <c r="Z173" i="42"/>
  <c r="Z365" i="42"/>
  <c r="Z155" i="42"/>
  <c r="Z260" i="42"/>
  <c r="Z443" i="42"/>
  <c r="Z60" i="42"/>
  <c r="Z198" i="42"/>
  <c r="Z381" i="42"/>
  <c r="Z118" i="42"/>
  <c r="Z393" i="42"/>
  <c r="Z143" i="42"/>
  <c r="Z125" i="42"/>
  <c r="Z372" i="42"/>
  <c r="Z47" i="42"/>
  <c r="Z426" i="42"/>
  <c r="Z210" i="42"/>
  <c r="Z38" i="42"/>
  <c r="Z66" i="42"/>
  <c r="Z349" i="42"/>
  <c r="Z364" i="42"/>
  <c r="Z51" i="42"/>
  <c r="Z139" i="42"/>
  <c r="Z18" i="42"/>
  <c r="Z357" i="42"/>
  <c r="Z55" i="42"/>
  <c r="Z93" i="42"/>
  <c r="Z201" i="42"/>
  <c r="Z451" i="42"/>
  <c r="Z314" i="42"/>
  <c r="Z35" i="42"/>
  <c r="Z234" i="42"/>
  <c r="P11" i="42"/>
  <c r="AE11" i="42" s="1"/>
  <c r="AF11" i="42" s="1"/>
  <c r="A55" i="16" s="1"/>
  <c r="X493" i="42"/>
  <c r="X29" i="42"/>
  <c r="X437" i="42"/>
  <c r="X170" i="42"/>
  <c r="X196" i="42"/>
  <c r="X108" i="42"/>
  <c r="X330" i="42"/>
  <c r="X81" i="42"/>
  <c r="X414" i="42"/>
  <c r="X219" i="42"/>
  <c r="X353" i="42"/>
  <c r="X254" i="42"/>
  <c r="X359" i="42"/>
  <c r="X395" i="42"/>
  <c r="X186" i="42"/>
  <c r="X480" i="42"/>
  <c r="X34" i="42"/>
  <c r="X55" i="42"/>
  <c r="X387" i="42"/>
  <c r="X250" i="42"/>
  <c r="X302" i="42"/>
  <c r="X338" i="42"/>
  <c r="X184" i="42"/>
  <c r="X451" i="42"/>
  <c r="X341" i="42"/>
  <c r="X333" i="42"/>
  <c r="X444" i="42"/>
  <c r="X417" i="42"/>
  <c r="X489" i="42"/>
  <c r="X98" i="42"/>
  <c r="X362" i="42"/>
  <c r="X468" i="42"/>
  <c r="X409" i="42"/>
  <c r="X61" i="42"/>
  <c r="X439" i="42"/>
  <c r="X297" i="42"/>
  <c r="X162" i="42"/>
  <c r="X426" i="42"/>
  <c r="X87" i="42"/>
  <c r="X70" i="42"/>
  <c r="X355" i="42"/>
  <c r="X488" i="42"/>
  <c r="X483" i="42"/>
  <c r="X266" i="42"/>
  <c r="X163" i="42"/>
  <c r="X306" i="42"/>
  <c r="X131" i="42"/>
  <c r="X457" i="42"/>
  <c r="X234" i="42"/>
  <c r="X382" i="42"/>
  <c r="X122" i="42"/>
  <c r="X213" i="42"/>
  <c r="X90" i="42"/>
  <c r="X27" i="42"/>
  <c r="X402" i="42"/>
  <c r="X320" i="42"/>
  <c r="X230" i="42"/>
  <c r="X251" i="42"/>
  <c r="X137" i="42"/>
  <c r="X386" i="42"/>
  <c r="X171" i="42"/>
  <c r="X300" i="42"/>
  <c r="X204" i="42"/>
  <c r="X208" i="42"/>
  <c r="X124" i="42"/>
  <c r="X37" i="42"/>
  <c r="X485" i="42"/>
  <c r="X133" i="42"/>
  <c r="X323" i="42"/>
  <c r="X218" i="42"/>
  <c r="X476" i="42"/>
  <c r="X391" i="42"/>
  <c r="X318" i="42"/>
  <c r="X321" i="42"/>
  <c r="X496" i="42"/>
  <c r="X458" i="42"/>
  <c r="X82" i="42"/>
  <c r="X474" i="42"/>
  <c r="X115" i="42"/>
  <c r="X119" i="42"/>
  <c r="X247" i="42"/>
  <c r="X215" i="42"/>
  <c r="X28" i="42"/>
  <c r="X222" i="42"/>
  <c r="X145" i="42"/>
  <c r="X42" i="42"/>
  <c r="X411" i="42"/>
  <c r="X176" i="42"/>
  <c r="X30" i="42"/>
  <c r="X78" i="42"/>
  <c r="X84" i="42"/>
  <c r="X85" i="42"/>
  <c r="X379" i="42"/>
  <c r="X151" i="42"/>
  <c r="X224" i="42"/>
  <c r="X16" i="42"/>
  <c r="X398" i="42"/>
  <c r="X212" i="42"/>
  <c r="X268" i="42"/>
  <c r="X399" i="42"/>
  <c r="X194" i="42"/>
  <c r="X497" i="42"/>
  <c r="X120" i="42"/>
  <c r="X433" i="42"/>
  <c r="X14" i="42"/>
  <c r="X211" i="42"/>
  <c r="X19" i="42"/>
  <c r="X52" i="42"/>
  <c r="X255" i="42"/>
  <c r="X427" i="42"/>
  <c r="X41" i="42"/>
  <c r="X155" i="42"/>
  <c r="X205" i="42"/>
  <c r="X275" i="42"/>
  <c r="X150" i="42"/>
  <c r="X203" i="42"/>
  <c r="X445" i="42"/>
  <c r="X178" i="42"/>
  <c r="X354" i="42"/>
  <c r="X18" i="42"/>
  <c r="X264" i="42"/>
  <c r="X282" i="42"/>
  <c r="X159" i="42"/>
  <c r="X214" i="42"/>
  <c r="X347" i="42"/>
  <c r="X132" i="42"/>
  <c r="X22" i="42"/>
  <c r="X380" i="42"/>
  <c r="X236" i="42"/>
  <c r="X376" i="42"/>
  <c r="X272" i="42"/>
  <c r="X185" i="42"/>
  <c r="X40" i="42"/>
  <c r="X495" i="42"/>
  <c r="X149" i="42"/>
  <c r="X35" i="42"/>
  <c r="X344" i="42"/>
  <c r="X157" i="42"/>
  <c r="X257" i="42"/>
  <c r="X64" i="42"/>
  <c r="X94" i="42"/>
  <c r="X237" i="42"/>
  <c r="X371" i="42"/>
  <c r="X127" i="42"/>
  <c r="X331" i="42"/>
  <c r="X144" i="42"/>
  <c r="X140" i="42"/>
  <c r="X75" i="42"/>
  <c r="X500" i="42"/>
  <c r="X248" i="42"/>
  <c r="X100" i="42"/>
  <c r="X471" i="42"/>
  <c r="X351" i="42"/>
  <c r="X139" i="42"/>
  <c r="X86" i="42"/>
  <c r="X83" i="42"/>
  <c r="X143" i="42"/>
  <c r="X492" i="42"/>
  <c r="X335" i="42"/>
  <c r="X449" i="42"/>
  <c r="X252" i="42"/>
  <c r="X17" i="42"/>
  <c r="X221" i="42"/>
  <c r="X39" i="42"/>
  <c r="X76" i="42"/>
  <c r="X327" i="42"/>
  <c r="X190" i="42"/>
  <c r="X31" i="42"/>
  <c r="X88" i="42"/>
  <c r="X470" i="42"/>
  <c r="X96" i="42"/>
  <c r="X384" i="42"/>
  <c r="X114" i="42"/>
  <c r="X460" i="42"/>
  <c r="X374" i="42"/>
  <c r="X59" i="42"/>
  <c r="X287" i="42"/>
  <c r="X313" i="42"/>
  <c r="X116" i="42"/>
  <c r="X253" i="42"/>
  <c r="X390" i="42"/>
  <c r="X478" i="42"/>
  <c r="X175" i="42"/>
  <c r="X305" i="42"/>
  <c r="X308" i="42"/>
  <c r="X270" i="42"/>
  <c r="X392" i="42"/>
  <c r="X482" i="42"/>
  <c r="X263" i="42"/>
  <c r="X181" i="42"/>
  <c r="X428" i="42"/>
  <c r="X48" i="42"/>
  <c r="X424" i="42"/>
  <c r="X195" i="42"/>
  <c r="X368" i="42"/>
  <c r="X242" i="42"/>
  <c r="X182" i="42"/>
  <c r="X278" i="42"/>
  <c r="X378" i="42"/>
  <c r="X32" i="42"/>
  <c r="X57" i="42"/>
  <c r="X104" i="42"/>
  <c r="X421" i="42"/>
  <c r="X283" i="42"/>
  <c r="X141" i="42"/>
  <c r="X72" i="42"/>
  <c r="X285" i="42"/>
  <c r="X269" i="42"/>
  <c r="X289" i="42"/>
  <c r="X273" i="42"/>
  <c r="X233" i="42"/>
  <c r="X292" i="42"/>
  <c r="X128" i="42"/>
  <c r="X452" i="42"/>
  <c r="X103" i="42"/>
  <c r="X20" i="42"/>
  <c r="X301" i="42"/>
  <c r="X413" i="42"/>
  <c r="X459" i="42"/>
  <c r="X334" i="42"/>
  <c r="X199" i="42"/>
  <c r="X352" i="42"/>
  <c r="X477" i="42"/>
  <c r="X241" i="42"/>
  <c r="X167" i="42"/>
  <c r="X164" i="42"/>
  <c r="X442" i="42"/>
  <c r="X423" i="42"/>
  <c r="X142" i="42"/>
  <c r="X455" i="42"/>
  <c r="X377" i="42"/>
  <c r="X169" i="42"/>
  <c r="X322" i="42"/>
  <c r="X244" i="42"/>
  <c r="X121" i="42"/>
  <c r="X469" i="42"/>
  <c r="X397" i="42"/>
  <c r="X415" i="42"/>
  <c r="X461" i="42"/>
  <c r="X499" i="42"/>
  <c r="X436" i="42"/>
  <c r="X406" i="42"/>
  <c r="X498" i="42"/>
  <c r="X479" i="42"/>
  <c r="X177" i="42"/>
  <c r="X45" i="42"/>
  <c r="X152" i="42"/>
  <c r="X258" i="42"/>
  <c r="X317" i="42"/>
  <c r="X370" i="42"/>
  <c r="X466" i="42"/>
  <c r="X107" i="42"/>
  <c r="X484" i="42"/>
  <c r="X207" i="42"/>
  <c r="X189" i="42"/>
  <c r="X349" i="42"/>
  <c r="X188" i="42"/>
  <c r="X400" i="42"/>
  <c r="X345" i="42"/>
  <c r="X216" i="42"/>
  <c r="X456" i="42"/>
  <c r="X295" i="42"/>
  <c r="X102" i="42"/>
  <c r="X309" i="42"/>
  <c r="X117" i="42"/>
  <c r="X197" i="42"/>
  <c r="X123" i="42"/>
  <c r="X340" i="42"/>
  <c r="X68" i="42"/>
  <c r="X148" i="42"/>
  <c r="X372" i="42"/>
  <c r="X134" i="42"/>
  <c r="X65" i="42"/>
  <c r="X328" i="42"/>
  <c r="X243" i="42"/>
  <c r="X358" i="42"/>
  <c r="X36" i="42"/>
  <c r="X173" i="42"/>
  <c r="X125" i="42"/>
  <c r="X179" i="42"/>
  <c r="X467" i="42"/>
  <c r="X405" i="42"/>
  <c r="X274" i="42"/>
  <c r="X161" i="42"/>
  <c r="X348" i="42"/>
  <c r="X326" i="42"/>
  <c r="X110" i="42"/>
  <c r="X26" i="42"/>
  <c r="X240" i="42"/>
  <c r="X51" i="42"/>
  <c r="X71" i="42"/>
  <c r="X63" i="42"/>
  <c r="X146" i="42"/>
  <c r="X239" i="42"/>
  <c r="X363" i="42"/>
  <c r="X58" i="42"/>
  <c r="X202" i="42"/>
  <c r="X12" i="42"/>
  <c r="X267" i="42"/>
  <c r="X346" i="42"/>
  <c r="X21" i="42"/>
  <c r="X385" i="42"/>
  <c r="X286" i="42"/>
  <c r="X154" i="42"/>
  <c r="X33" i="42"/>
  <c r="X67" i="42"/>
  <c r="X99" i="42"/>
  <c r="X111" i="42"/>
  <c r="X311" i="42"/>
  <c r="X294" i="42"/>
  <c r="X416" i="42"/>
  <c r="X324" i="42"/>
  <c r="X290" i="42"/>
  <c r="X259" i="42"/>
  <c r="X366" i="42"/>
  <c r="X217" i="42"/>
  <c r="X389" i="42"/>
  <c r="X226" i="42"/>
  <c r="X412" i="42"/>
  <c r="X307" i="42"/>
  <c r="X172" i="42"/>
  <c r="X206" i="42"/>
  <c r="X227" i="42"/>
  <c r="X53" i="42"/>
  <c r="X168" i="42"/>
  <c r="X425" i="42"/>
  <c r="X332" i="42"/>
  <c r="X180" i="42"/>
  <c r="X129" i="42"/>
  <c r="X401" i="42"/>
  <c r="X232" i="42"/>
  <c r="X109" i="42"/>
  <c r="X472" i="42"/>
  <c r="X25" i="42"/>
  <c r="X89" i="42"/>
  <c r="X393" i="42"/>
  <c r="X481" i="42"/>
  <c r="X404" i="42"/>
  <c r="X80" i="42"/>
  <c r="X356" i="42"/>
  <c r="X365" i="42"/>
  <c r="X265" i="42"/>
  <c r="X429" i="42"/>
  <c r="Z218" i="42"/>
  <c r="Z238" i="42"/>
  <c r="Z158" i="42"/>
  <c r="X314" i="42"/>
  <c r="Z388" i="42"/>
  <c r="Z75" i="42"/>
  <c r="X463" i="42"/>
  <c r="Z136" i="42"/>
  <c r="Z78" i="42"/>
  <c r="Z74" i="42"/>
  <c r="Z330" i="42"/>
  <c r="Z348" i="42"/>
  <c r="Z167" i="42"/>
  <c r="Z88" i="42"/>
  <c r="X153" i="42"/>
  <c r="Z191" i="42"/>
  <c r="Z69" i="42"/>
  <c r="Z253" i="42"/>
  <c r="Z321" i="42"/>
  <c r="Z387" i="42"/>
  <c r="Z196" i="42"/>
  <c r="Z416" i="42"/>
  <c r="Z341" i="42"/>
  <c r="Z363" i="42"/>
  <c r="Z469" i="42"/>
  <c r="Z436" i="42"/>
  <c r="Z151" i="42"/>
  <c r="Z178" i="42"/>
  <c r="Z279" i="42"/>
  <c r="Z433" i="42"/>
  <c r="Z392" i="42"/>
  <c r="Z211" i="42"/>
  <c r="Z447" i="42"/>
  <c r="Z205" i="42"/>
  <c r="Z242" i="42"/>
  <c r="X198" i="42"/>
  <c r="Z235" i="42"/>
  <c r="X249" i="42"/>
  <c r="Z366" i="42"/>
  <c r="Z123" i="42"/>
  <c r="Z79" i="42"/>
  <c r="Z111" i="42"/>
  <c r="Z350" i="42"/>
  <c r="X229" i="42"/>
  <c r="X440" i="42"/>
  <c r="Z261" i="42"/>
  <c r="Z404" i="42"/>
  <c r="Z353" i="42"/>
  <c r="Z149" i="42"/>
  <c r="Z345" i="42"/>
  <c r="Z331" i="42"/>
  <c r="Z338" i="42"/>
  <c r="Z83" i="42"/>
  <c r="AA31" i="42"/>
  <c r="Z385" i="42"/>
  <c r="Z259" i="42"/>
  <c r="Z461" i="42"/>
  <c r="Z44" i="42"/>
  <c r="Z246" i="42"/>
  <c r="Z241" i="42"/>
  <c r="X118" i="42"/>
  <c r="X262" i="42"/>
  <c r="X73" i="42"/>
  <c r="X193" i="42"/>
  <c r="X49" i="42"/>
  <c r="Z414" i="42"/>
  <c r="Z459" i="42"/>
  <c r="X231" i="42"/>
  <c r="Z317" i="42"/>
  <c r="Z162" i="42"/>
  <c r="X430" i="42"/>
  <c r="Z263" i="42"/>
  <c r="Z275" i="42"/>
  <c r="Z202" i="42"/>
  <c r="Z115" i="42"/>
  <c r="Z484" i="42"/>
  <c r="X434" i="42"/>
  <c r="Z243" i="42"/>
  <c r="Z389" i="42"/>
  <c r="Z233" i="42"/>
  <c r="Z315" i="42"/>
  <c r="Z226" i="42"/>
  <c r="Z70" i="42"/>
  <c r="Z122" i="42"/>
  <c r="Z134" i="42"/>
  <c r="Z31" i="42"/>
  <c r="X337" i="42"/>
  <c r="Z358" i="42"/>
  <c r="Z494" i="42"/>
  <c r="Z179" i="42"/>
  <c r="Z65" i="42"/>
  <c r="X106" i="42"/>
  <c r="Z394" i="42"/>
  <c r="Z453" i="42"/>
  <c r="X343" i="42"/>
  <c r="Z382" i="42"/>
  <c r="Z231" i="42"/>
  <c r="X388" i="42"/>
  <c r="Z255" i="42"/>
  <c r="Z398" i="42"/>
  <c r="Z82" i="42"/>
  <c r="X130" i="42"/>
  <c r="Z437" i="42"/>
  <c r="Z52" i="42"/>
  <c r="Z454" i="42"/>
  <c r="Z23" i="42"/>
  <c r="Z482" i="42"/>
  <c r="Z209" i="42"/>
  <c r="Z138" i="42"/>
  <c r="Z339" i="42"/>
  <c r="Z268" i="42"/>
  <c r="Z34" i="42"/>
  <c r="A104" i="16" l="1"/>
  <c r="H104" i="16" s="1"/>
  <c r="F55" i="16"/>
  <c r="E55" i="16"/>
  <c r="C55" i="16"/>
  <c r="B55" i="16"/>
  <c r="H55" i="16"/>
  <c r="G55" i="16"/>
  <c r="A141" i="16"/>
  <c r="A111" i="16"/>
  <c r="A57" i="16"/>
  <c r="A98" i="16"/>
  <c r="A20" i="16"/>
  <c r="A155" i="16"/>
  <c r="A129" i="16"/>
  <c r="A150" i="16"/>
  <c r="A7" i="16"/>
  <c r="A135" i="16"/>
  <c r="A61" i="16"/>
  <c r="A60" i="16"/>
  <c r="A70" i="16"/>
  <c r="A21" i="16"/>
  <c r="A49" i="16"/>
  <c r="A140" i="16"/>
  <c r="A138" i="16"/>
  <c r="A13" i="16"/>
  <c r="A153" i="16"/>
  <c r="A24" i="16"/>
  <c r="A69" i="16"/>
  <c r="A126" i="16"/>
  <c r="A142" i="16"/>
  <c r="A32" i="16"/>
  <c r="A143" i="16"/>
  <c r="A76" i="16"/>
  <c r="A74" i="16"/>
  <c r="A94" i="16"/>
  <c r="A18" i="16"/>
  <c r="A82" i="16"/>
  <c r="A97" i="16"/>
  <c r="A9" i="16"/>
  <c r="A40" i="16"/>
  <c r="A145" i="16"/>
  <c r="A51" i="16"/>
  <c r="A127" i="16"/>
  <c r="A73" i="16"/>
  <c r="A114" i="16"/>
  <c r="A39" i="16"/>
  <c r="A15" i="16"/>
  <c r="A95" i="16"/>
  <c r="A101" i="16"/>
  <c r="A137" i="16"/>
  <c r="A16" i="16"/>
  <c r="A77" i="16"/>
  <c r="A50" i="16"/>
  <c r="A4" i="16"/>
  <c r="A43" i="16"/>
  <c r="A78" i="16"/>
  <c r="A159" i="16"/>
  <c r="A19" i="16"/>
  <c r="A109" i="16"/>
  <c r="A119" i="16"/>
  <c r="A134" i="16"/>
  <c r="A79" i="16"/>
  <c r="A157" i="16"/>
  <c r="A28" i="16"/>
  <c r="A35" i="16"/>
  <c r="A71" i="16"/>
  <c r="A54" i="16"/>
  <c r="A96" i="16"/>
  <c r="A47" i="16"/>
  <c r="A117" i="16"/>
  <c r="A93" i="16"/>
  <c r="A156" i="16"/>
  <c r="A146" i="16"/>
  <c r="A90" i="16"/>
  <c r="A27" i="16"/>
  <c r="A14" i="16"/>
  <c r="A148" i="16"/>
  <c r="A12" i="16"/>
  <c r="A115" i="16"/>
  <c r="A91" i="16"/>
  <c r="A118" i="16"/>
  <c r="A112" i="16"/>
  <c r="A125" i="16"/>
  <c r="A29" i="16"/>
  <c r="A92" i="16"/>
  <c r="A17" i="16"/>
  <c r="A81" i="16"/>
  <c r="A147" i="16"/>
  <c r="A11" i="16"/>
  <c r="A26" i="16"/>
  <c r="A22" i="16"/>
  <c r="A133" i="16"/>
  <c r="A65" i="16"/>
  <c r="A89" i="16"/>
  <c r="A64" i="16"/>
  <c r="A37" i="16"/>
  <c r="A107" i="16"/>
  <c r="A62" i="16"/>
  <c r="A59" i="16"/>
  <c r="A108" i="16"/>
  <c r="A42" i="16"/>
  <c r="A123" i="16"/>
  <c r="A38" i="16"/>
  <c r="A124" i="16"/>
  <c r="A23" i="16"/>
  <c r="A105" i="16"/>
  <c r="A75" i="16"/>
  <c r="A30" i="16"/>
  <c r="A144" i="16"/>
  <c r="A53" i="16"/>
  <c r="A44" i="16"/>
  <c r="A100" i="16"/>
  <c r="A5" i="16"/>
  <c r="A48" i="16"/>
  <c r="A132" i="16"/>
  <c r="A41" i="16"/>
  <c r="A85" i="16"/>
  <c r="A56" i="16"/>
  <c r="A31" i="16"/>
  <c r="A10" i="16"/>
  <c r="A99" i="16"/>
  <c r="A36" i="16"/>
  <c r="A52" i="16"/>
  <c r="A110" i="16"/>
  <c r="A130" i="16"/>
  <c r="A149" i="16"/>
  <c r="A151" i="16"/>
  <c r="A102" i="16"/>
  <c r="A33" i="16"/>
  <c r="A122" i="16"/>
  <c r="A106" i="16"/>
  <c r="A58" i="16"/>
  <c r="A139" i="16"/>
  <c r="A120" i="16"/>
  <c r="A68" i="16"/>
  <c r="A128" i="16"/>
  <c r="A63" i="16"/>
  <c r="A86" i="16"/>
  <c r="A116" i="16"/>
  <c r="A8" i="16"/>
  <c r="A87" i="16"/>
  <c r="A80" i="16"/>
  <c r="A66" i="16"/>
  <c r="A67" i="16"/>
  <c r="A121" i="16"/>
  <c r="A25" i="16"/>
  <c r="A103" i="16"/>
  <c r="A160" i="16"/>
  <c r="A154" i="16"/>
  <c r="A84" i="16"/>
  <c r="A45" i="16"/>
  <c r="A158" i="16"/>
  <c r="A83" i="16"/>
  <c r="A72" i="16"/>
  <c r="A152" i="16"/>
  <c r="AA32" i="42"/>
  <c r="AB116" i="42" s="1"/>
  <c r="A113" i="16"/>
  <c r="A88" i="16"/>
  <c r="A34" i="16"/>
  <c r="A136" i="16"/>
  <c r="A46" i="16"/>
  <c r="A131" i="16"/>
  <c r="A6" i="16"/>
  <c r="AB211" i="42" l="1"/>
  <c r="AB56" i="42"/>
  <c r="AB104" i="42"/>
  <c r="AB160" i="42"/>
  <c r="C104" i="16"/>
  <c r="AB39" i="42"/>
  <c r="AB200" i="42"/>
  <c r="AB128" i="42"/>
  <c r="AB349" i="42"/>
  <c r="E104" i="16"/>
  <c r="B104" i="16"/>
  <c r="AB107" i="42"/>
  <c r="AB267" i="42"/>
  <c r="AB44" i="42"/>
  <c r="AB120" i="42"/>
  <c r="AB298" i="42"/>
  <c r="G104" i="16"/>
  <c r="AB64" i="42"/>
  <c r="AB32" i="42"/>
  <c r="F104" i="16"/>
  <c r="H85" i="16"/>
  <c r="G85" i="16"/>
  <c r="F85" i="16"/>
  <c r="E85" i="16"/>
  <c r="C85" i="16"/>
  <c r="B85" i="16"/>
  <c r="G50" i="16"/>
  <c r="F50" i="16"/>
  <c r="E50" i="16"/>
  <c r="C50" i="16"/>
  <c r="B50" i="16"/>
  <c r="H50" i="16"/>
  <c r="H160" i="16"/>
  <c r="G160" i="16"/>
  <c r="B160" i="16"/>
  <c r="E160" i="16"/>
  <c r="F160" i="16"/>
  <c r="C160" i="16"/>
  <c r="H29" i="16"/>
  <c r="E29" i="16"/>
  <c r="G29" i="16"/>
  <c r="C29" i="16"/>
  <c r="B29" i="16"/>
  <c r="F29" i="16"/>
  <c r="F70" i="16"/>
  <c r="H70" i="16"/>
  <c r="G70" i="16"/>
  <c r="E70" i="16"/>
  <c r="C70" i="16"/>
  <c r="B70" i="16"/>
  <c r="G103" i="16"/>
  <c r="F103" i="16"/>
  <c r="B103" i="16"/>
  <c r="H103" i="16"/>
  <c r="C103" i="16"/>
  <c r="E103" i="16"/>
  <c r="E125" i="16"/>
  <c r="B125" i="16"/>
  <c r="F125" i="16"/>
  <c r="C125" i="16"/>
  <c r="G125" i="16"/>
  <c r="H125" i="16"/>
  <c r="H94" i="16"/>
  <c r="E94" i="16"/>
  <c r="G94" i="16"/>
  <c r="C94" i="16"/>
  <c r="F94" i="16"/>
  <c r="B94" i="16"/>
  <c r="B46" i="16"/>
  <c r="F46" i="16"/>
  <c r="E46" i="16"/>
  <c r="H46" i="16"/>
  <c r="G46" i="16"/>
  <c r="C46" i="16"/>
  <c r="F62" i="16"/>
  <c r="E62" i="16"/>
  <c r="C62" i="16"/>
  <c r="H62" i="16"/>
  <c r="G62" i="16"/>
  <c r="B62" i="16"/>
  <c r="H71" i="16"/>
  <c r="C71" i="16"/>
  <c r="G71" i="16"/>
  <c r="F71" i="16"/>
  <c r="B71" i="16"/>
  <c r="E71" i="16"/>
  <c r="H5" i="16"/>
  <c r="G5" i="16"/>
  <c r="C5" i="16"/>
  <c r="F5" i="16"/>
  <c r="E5" i="16"/>
  <c r="B5" i="16"/>
  <c r="F118" i="16"/>
  <c r="C118" i="16"/>
  <c r="G118" i="16"/>
  <c r="B118" i="16"/>
  <c r="H118" i="16"/>
  <c r="E118" i="16"/>
  <c r="H135" i="16"/>
  <c r="F135" i="16"/>
  <c r="E135" i="16"/>
  <c r="C135" i="16"/>
  <c r="B135" i="16"/>
  <c r="G135" i="16"/>
  <c r="AB498" i="42"/>
  <c r="AB408" i="42"/>
  <c r="AB282" i="42"/>
  <c r="AB417" i="42"/>
  <c r="AB447" i="42"/>
  <c r="AB315" i="42"/>
  <c r="AB427" i="42"/>
  <c r="AB481" i="42"/>
  <c r="AB489" i="42"/>
  <c r="AB90" i="42"/>
  <c r="AB399" i="42"/>
  <c r="AB378" i="42"/>
  <c r="AB371" i="42"/>
  <c r="AB50" i="42"/>
  <c r="AB265" i="42"/>
  <c r="AB247" i="42"/>
  <c r="AB344" i="42"/>
  <c r="AB329" i="42"/>
  <c r="AB273" i="42"/>
  <c r="AB81" i="42"/>
  <c r="AB25" i="42"/>
  <c r="AB356" i="42"/>
  <c r="AB78" i="42"/>
  <c r="AB388" i="42"/>
  <c r="AB35" i="42"/>
  <c r="AB434" i="42"/>
  <c r="AB440" i="42"/>
  <c r="AB73" i="42"/>
  <c r="AB285" i="42"/>
  <c r="AB173" i="42"/>
  <c r="AB453" i="42"/>
  <c r="AB420" i="42"/>
  <c r="AB79" i="42"/>
  <c r="AB16" i="42"/>
  <c r="AB372" i="42"/>
  <c r="AB495" i="42"/>
  <c r="AB230" i="42"/>
  <c r="AB98" i="42"/>
  <c r="AB117" i="42"/>
  <c r="AB384" i="42"/>
  <c r="AB143" i="42"/>
  <c r="AB340" i="42"/>
  <c r="AB367" i="42"/>
  <c r="AB341" i="42"/>
  <c r="AB338" i="42"/>
  <c r="AB305" i="42"/>
  <c r="AB277" i="42"/>
  <c r="AB49" i="42"/>
  <c r="AB74" i="42"/>
  <c r="AB85" i="42"/>
  <c r="AB146" i="42"/>
  <c r="AB351" i="42"/>
  <c r="AB106" i="42"/>
  <c r="AB193" i="42"/>
  <c r="AB425" i="42"/>
  <c r="AB214" i="42"/>
  <c r="AB270" i="42"/>
  <c r="AB276" i="42"/>
  <c r="AB65" i="42"/>
  <c r="AB271" i="42"/>
  <c r="AB483" i="42"/>
  <c r="AB435" i="42"/>
  <c r="AB405" i="42"/>
  <c r="AB151" i="42"/>
  <c r="AB320" i="42"/>
  <c r="AB471" i="42"/>
  <c r="AB359" i="42"/>
  <c r="AB461" i="42"/>
  <c r="AB62" i="42"/>
  <c r="AB316" i="42"/>
  <c r="AB21" i="42"/>
  <c r="AB456" i="42"/>
  <c r="AB63" i="42"/>
  <c r="AB465" i="42"/>
  <c r="AB346" i="42"/>
  <c r="AB436" i="42"/>
  <c r="AB47" i="42"/>
  <c r="AB229" i="42"/>
  <c r="AB370" i="42"/>
  <c r="AB294" i="42"/>
  <c r="AB392" i="42"/>
  <c r="AB217" i="42"/>
  <c r="AB472" i="42"/>
  <c r="AB186" i="42"/>
  <c r="AB382" i="42"/>
  <c r="AB358" i="42"/>
  <c r="AB403" i="42"/>
  <c r="AB488" i="42"/>
  <c r="AB395" i="42"/>
  <c r="AB213" i="42"/>
  <c r="AB469" i="42"/>
  <c r="AB226" i="42"/>
  <c r="AB462" i="42"/>
  <c r="AB402" i="42"/>
  <c r="AB437" i="42"/>
  <c r="AB430" i="42"/>
  <c r="AB443" i="42"/>
  <c r="AB330" i="42"/>
  <c r="AB451" i="42"/>
  <c r="AB398" i="42"/>
  <c r="AB302" i="42"/>
  <c r="AB369" i="42"/>
  <c r="AB363" i="42"/>
  <c r="AB55" i="42"/>
  <c r="AB476" i="42"/>
  <c r="AB82" i="42"/>
  <c r="AB204" i="42"/>
  <c r="AB268" i="42"/>
  <c r="AB455" i="42"/>
  <c r="AB339" i="42"/>
  <c r="AB256" i="42"/>
  <c r="AB122" i="42"/>
  <c r="AB413" i="42"/>
  <c r="AB343" i="42"/>
  <c r="AB415" i="42"/>
  <c r="AB166" i="42"/>
  <c r="AB303" i="42"/>
  <c r="AB97" i="42"/>
  <c r="AB485" i="42"/>
  <c r="AB181" i="42"/>
  <c r="AB499" i="42"/>
  <c r="AB199" i="42"/>
  <c r="AB354" i="42"/>
  <c r="AB26" i="42"/>
  <c r="AB296" i="42"/>
  <c r="AB118" i="42"/>
  <c r="AB183" i="42"/>
  <c r="AB445" i="42"/>
  <c r="AB223" i="42"/>
  <c r="AB194" i="42"/>
  <c r="AB385" i="42"/>
  <c r="AB162" i="42"/>
  <c r="AB112" i="42"/>
  <c r="AB347" i="42"/>
  <c r="AB444" i="42"/>
  <c r="AB13" i="42"/>
  <c r="AB121" i="42"/>
  <c r="AB299" i="42"/>
  <c r="AB207" i="42"/>
  <c r="AB314" i="42"/>
  <c r="AB421" i="42"/>
  <c r="AB102" i="42"/>
  <c r="AB274" i="42"/>
  <c r="AB292" i="42"/>
  <c r="AB175" i="42"/>
  <c r="AB424" i="42"/>
  <c r="AB110" i="42"/>
  <c r="AB57" i="42"/>
  <c r="AB328" i="42"/>
  <c r="AB389" i="42"/>
  <c r="AB12" i="42"/>
  <c r="AB141" i="42"/>
  <c r="AB439" i="42"/>
  <c r="AB324" i="42"/>
  <c r="AB83" i="42"/>
  <c r="AB377" i="42"/>
  <c r="AB300" i="42"/>
  <c r="AB159" i="42"/>
  <c r="AB383" i="42"/>
  <c r="AB169" i="42"/>
  <c r="AB258" i="42"/>
  <c r="AB45" i="42"/>
  <c r="AB323" i="42"/>
  <c r="AB129" i="42"/>
  <c r="AB86" i="42"/>
  <c r="AB345" i="42"/>
  <c r="AB309" i="42"/>
  <c r="AB410" i="42"/>
  <c r="AB394" i="42"/>
  <c r="AB473" i="42"/>
  <c r="AB133" i="42"/>
  <c r="AB137" i="42"/>
  <c r="AB61" i="42"/>
  <c r="AB140" i="42"/>
  <c r="AB350" i="42"/>
  <c r="AB313" i="42"/>
  <c r="AB293" i="42"/>
  <c r="AB390" i="42"/>
  <c r="AB470" i="42"/>
  <c r="AB19" i="42"/>
  <c r="AB101" i="42"/>
  <c r="AB237" i="42"/>
  <c r="AB438" i="42"/>
  <c r="AB386" i="42"/>
  <c r="AB23" i="42"/>
  <c r="AB246" i="42"/>
  <c r="AB361" i="42"/>
  <c r="AB262" i="42"/>
  <c r="AB467" i="42"/>
  <c r="AB463" i="42"/>
  <c r="AB411" i="42"/>
  <c r="AB352" i="42"/>
  <c r="AB218" i="42"/>
  <c r="AB189" i="42"/>
  <c r="AB89" i="42"/>
  <c r="AB479" i="42"/>
  <c r="AB187" i="42"/>
  <c r="AB431" i="42"/>
  <c r="AB20" i="42"/>
  <c r="AB466" i="42"/>
  <c r="AB474" i="42"/>
  <c r="AB327" i="42"/>
  <c r="AB254" i="42"/>
  <c r="AB368" i="42"/>
  <c r="AB22" i="42"/>
  <c r="AB486" i="42"/>
  <c r="AB454" i="42"/>
  <c r="AB379" i="42"/>
  <c r="AB58" i="42"/>
  <c r="AB242" i="42"/>
  <c r="AB449" i="42"/>
  <c r="AB158" i="42"/>
  <c r="AB448" i="42"/>
  <c r="AB286" i="42"/>
  <c r="AB355" i="42"/>
  <c r="AB409" i="42"/>
  <c r="AB178" i="42"/>
  <c r="AB360" i="42"/>
  <c r="AB221" i="42"/>
  <c r="AB380" i="42"/>
  <c r="AB290" i="42"/>
  <c r="AB111" i="42"/>
  <c r="AB69" i="42"/>
  <c r="AB459" i="42"/>
  <c r="AB491" i="42"/>
  <c r="AB225" i="42"/>
  <c r="AB496" i="42"/>
  <c r="AB71" i="42"/>
  <c r="AB364" i="42"/>
  <c r="AB30" i="42"/>
  <c r="AB261" i="42"/>
  <c r="AB201" i="42"/>
  <c r="AB130" i="42"/>
  <c r="AB400" i="42"/>
  <c r="AB209" i="42"/>
  <c r="AB239" i="42"/>
  <c r="AB238" i="42"/>
  <c r="AB333" i="42"/>
  <c r="AB492" i="42"/>
  <c r="AB210" i="42"/>
  <c r="AB450" i="42"/>
  <c r="AB428" i="42"/>
  <c r="AB167" i="42"/>
  <c r="AB312" i="42"/>
  <c r="AB255" i="42"/>
  <c r="AB125" i="42"/>
  <c r="AB342" i="42"/>
  <c r="AB381" i="42"/>
  <c r="AB297" i="42"/>
  <c r="AB480" i="42"/>
  <c r="AB337" i="42"/>
  <c r="AB464" i="42"/>
  <c r="AB322" i="42"/>
  <c r="AB127" i="42"/>
  <c r="AB490" i="42"/>
  <c r="AB362" i="42"/>
  <c r="AB279" i="42"/>
  <c r="AB248" i="42"/>
  <c r="AB87" i="42"/>
  <c r="AB493" i="42"/>
  <c r="AB15" i="42"/>
  <c r="AB170" i="42"/>
  <c r="AB366" i="42"/>
  <c r="AB477" i="42"/>
  <c r="AB135" i="42"/>
  <c r="AB457" i="42"/>
  <c r="AB17" i="42"/>
  <c r="AB269" i="42"/>
  <c r="AB452" i="42"/>
  <c r="AB215" i="42"/>
  <c r="AB301" i="42"/>
  <c r="AB387" i="42"/>
  <c r="AB494" i="42"/>
  <c r="AB280" i="42"/>
  <c r="AB51" i="42"/>
  <c r="AB53" i="42"/>
  <c r="AB441" i="42"/>
  <c r="AB206" i="42"/>
  <c r="AB500" i="42"/>
  <c r="AB393" i="42"/>
  <c r="AB442" i="42"/>
  <c r="AB103" i="42"/>
  <c r="AB77" i="42"/>
  <c r="AB250" i="42"/>
  <c r="AB119" i="42"/>
  <c r="AB27" i="42"/>
  <c r="AB266" i="42"/>
  <c r="AB429" i="42"/>
  <c r="AB375" i="42"/>
  <c r="AB365" i="42"/>
  <c r="AB418" i="42"/>
  <c r="AB423" i="42"/>
  <c r="AB487" i="42"/>
  <c r="AB54" i="42"/>
  <c r="AB419" i="42"/>
  <c r="AB311" i="42"/>
  <c r="AB318" i="42"/>
  <c r="AB153" i="42"/>
  <c r="AB336" i="42"/>
  <c r="AB245" i="42"/>
  <c r="AB253" i="42"/>
  <c r="AB24" i="42"/>
  <c r="AB154" i="42"/>
  <c r="AB404" i="42"/>
  <c r="AB142" i="42"/>
  <c r="AB291" i="42"/>
  <c r="AB331" i="42"/>
  <c r="AB188" i="42"/>
  <c r="AB259" i="42"/>
  <c r="AB396" i="42"/>
  <c r="AB197" i="42"/>
  <c r="AB326" i="42"/>
  <c r="AB391" i="42"/>
  <c r="AB165" i="42"/>
  <c r="AB95" i="42"/>
  <c r="AB475" i="42"/>
  <c r="AB149" i="42"/>
  <c r="AB307" i="42"/>
  <c r="AB468" i="42"/>
  <c r="AB319" i="42"/>
  <c r="AB373" i="42"/>
  <c r="AB407" i="42"/>
  <c r="AB185" i="42"/>
  <c r="AB321" i="42"/>
  <c r="AB283" i="42"/>
  <c r="AB34" i="42"/>
  <c r="AB357" i="42"/>
  <c r="AB174" i="42"/>
  <c r="AB310" i="42"/>
  <c r="AB446" i="42"/>
  <c r="AB163" i="42"/>
  <c r="AB109" i="42"/>
  <c r="AB176" i="42"/>
  <c r="AB70" i="42"/>
  <c r="AB306" i="42"/>
  <c r="AB484" i="42"/>
  <c r="AB260" i="42"/>
  <c r="AB196" i="42"/>
  <c r="AB105" i="42"/>
  <c r="AB335" i="42"/>
  <c r="AB249" i="42"/>
  <c r="AB257" i="42"/>
  <c r="AB155" i="42"/>
  <c r="AB195" i="42"/>
  <c r="AB458" i="42"/>
  <c r="AB236" i="42"/>
  <c r="AB222" i="42"/>
  <c r="AB134" i="42"/>
  <c r="AB126" i="42"/>
  <c r="AB92" i="42"/>
  <c r="AB334" i="42"/>
  <c r="AB234" i="42"/>
  <c r="AB374" i="42"/>
  <c r="AB205" i="42"/>
  <c r="AB482" i="42"/>
  <c r="AB115" i="42"/>
  <c r="AB281" i="42"/>
  <c r="AB99" i="42"/>
  <c r="AB88" i="42"/>
  <c r="AB67" i="42"/>
  <c r="AB244" i="42"/>
  <c r="AB172" i="42"/>
  <c r="AB272" i="42"/>
  <c r="AB275" i="42"/>
  <c r="AB60" i="42"/>
  <c r="AB241" i="42"/>
  <c r="AB478" i="42"/>
  <c r="AB91" i="42"/>
  <c r="AB18" i="42"/>
  <c r="AB376" i="42"/>
  <c r="AB416" i="42"/>
  <c r="AB14" i="42"/>
  <c r="AB94" i="42"/>
  <c r="AB422" i="42"/>
  <c r="AB263" i="42"/>
  <c r="AB150" i="42"/>
  <c r="AB406" i="42"/>
  <c r="AB208" i="42"/>
  <c r="AB231" i="42"/>
  <c r="AB138" i="42"/>
  <c r="AB289" i="42"/>
  <c r="AB114" i="42"/>
  <c r="AB264" i="42"/>
  <c r="AB144" i="42"/>
  <c r="AB171" i="42"/>
  <c r="AB93" i="42"/>
  <c r="AB191" i="42"/>
  <c r="AB433" i="42"/>
  <c r="AB147" i="42"/>
  <c r="AB353" i="42"/>
  <c r="AB243" i="42"/>
  <c r="AB220" i="42"/>
  <c r="AB48" i="42"/>
  <c r="AB198" i="42"/>
  <c r="AB37" i="42"/>
  <c r="AB72" i="42"/>
  <c r="AB123" i="42"/>
  <c r="AB184" i="42"/>
  <c r="AB190" i="42"/>
  <c r="AB348" i="42"/>
  <c r="AB31" i="42"/>
  <c r="AB240" i="42"/>
  <c r="AB216" i="42"/>
  <c r="AB426" i="42"/>
  <c r="AB145" i="42"/>
  <c r="AB46" i="42"/>
  <c r="AB156" i="42"/>
  <c r="AB460" i="42"/>
  <c r="AB212" i="42"/>
  <c r="AB43" i="42"/>
  <c r="AB288" i="42"/>
  <c r="AB168" i="42"/>
  <c r="AB177" i="42"/>
  <c r="AB33" i="42"/>
  <c r="AB252" i="42"/>
  <c r="AB182" i="42"/>
  <c r="AB41" i="42"/>
  <c r="AB132" i="42"/>
  <c r="AB325" i="42"/>
  <c r="AB287" i="42"/>
  <c r="AB228" i="42"/>
  <c r="AB113" i="42"/>
  <c r="AB180" i="42"/>
  <c r="AB100" i="42"/>
  <c r="AB161" i="42"/>
  <c r="AB131" i="42"/>
  <c r="AB412" i="42"/>
  <c r="AB304" i="42"/>
  <c r="AB36" i="42"/>
  <c r="AB401" i="42"/>
  <c r="AB179" i="42"/>
  <c r="AB414" i="42"/>
  <c r="AB28" i="42"/>
  <c r="AB192" i="42"/>
  <c r="AB233" i="42"/>
  <c r="AB136" i="42"/>
  <c r="AB202" i="42"/>
  <c r="AB397" i="42"/>
  <c r="AB29" i="42"/>
  <c r="AB308" i="42"/>
  <c r="AB203" i="42"/>
  <c r="G37" i="16"/>
  <c r="H37" i="16"/>
  <c r="F37" i="16"/>
  <c r="E37" i="16"/>
  <c r="C37" i="16"/>
  <c r="B37" i="16"/>
  <c r="G95" i="16"/>
  <c r="F95" i="16"/>
  <c r="H95" i="16"/>
  <c r="E95" i="16"/>
  <c r="C95" i="16"/>
  <c r="B95" i="16"/>
  <c r="AB75" i="42"/>
  <c r="H44" i="16"/>
  <c r="F44" i="16"/>
  <c r="E44" i="16"/>
  <c r="C44" i="16"/>
  <c r="B44" i="16"/>
  <c r="G44" i="16"/>
  <c r="C32" i="16"/>
  <c r="G32" i="16"/>
  <c r="F32" i="16"/>
  <c r="E32" i="16"/>
  <c r="B32" i="16"/>
  <c r="H32" i="16"/>
  <c r="AB432" i="42"/>
  <c r="H149" i="16"/>
  <c r="F149" i="16"/>
  <c r="G149" i="16"/>
  <c r="E149" i="16"/>
  <c r="C149" i="16"/>
  <c r="B149" i="16"/>
  <c r="G79" i="16"/>
  <c r="C79" i="16"/>
  <c r="B79" i="16"/>
  <c r="H79" i="16"/>
  <c r="F79" i="16"/>
  <c r="E79" i="16"/>
  <c r="AB235" i="42"/>
  <c r="C87" i="16"/>
  <c r="B87" i="16"/>
  <c r="F87" i="16"/>
  <c r="G87" i="16"/>
  <c r="H87" i="16"/>
  <c r="E87" i="16"/>
  <c r="H65" i="16"/>
  <c r="G65" i="16"/>
  <c r="F65" i="16"/>
  <c r="B65" i="16"/>
  <c r="C65" i="16"/>
  <c r="E65" i="16"/>
  <c r="G114" i="16"/>
  <c r="F114" i="16"/>
  <c r="E114" i="16"/>
  <c r="C114" i="16"/>
  <c r="H114" i="16"/>
  <c r="B114" i="16"/>
  <c r="AB232" i="42"/>
  <c r="H8" i="16"/>
  <c r="G8" i="16"/>
  <c r="F8" i="16"/>
  <c r="E8" i="16"/>
  <c r="C8" i="16"/>
  <c r="B8" i="16"/>
  <c r="H133" i="16"/>
  <c r="G133" i="16"/>
  <c r="F133" i="16"/>
  <c r="E133" i="16"/>
  <c r="C133" i="16"/>
  <c r="B133" i="16"/>
  <c r="F69" i="16"/>
  <c r="E69" i="16"/>
  <c r="B69" i="16"/>
  <c r="H69" i="16"/>
  <c r="G69" i="16"/>
  <c r="C69" i="16"/>
  <c r="B20" i="16"/>
  <c r="E20" i="16"/>
  <c r="C20" i="16"/>
  <c r="G20" i="16"/>
  <c r="F20" i="16"/>
  <c r="H20" i="16"/>
  <c r="C116" i="16"/>
  <c r="F116" i="16"/>
  <c r="E116" i="16"/>
  <c r="H116" i="16"/>
  <c r="B116" i="16"/>
  <c r="G116" i="16"/>
  <c r="F27" i="16"/>
  <c r="H27" i="16"/>
  <c r="B27" i="16"/>
  <c r="G27" i="16"/>
  <c r="E27" i="16"/>
  <c r="C27" i="16"/>
  <c r="AB251" i="42"/>
  <c r="H36" i="16"/>
  <c r="G36" i="16"/>
  <c r="C36" i="16"/>
  <c r="B36" i="16"/>
  <c r="F36" i="16"/>
  <c r="E36" i="16"/>
  <c r="G90" i="16"/>
  <c r="B90" i="16"/>
  <c r="E90" i="16"/>
  <c r="C90" i="16"/>
  <c r="F90" i="16"/>
  <c r="H90" i="16"/>
  <c r="B153" i="16"/>
  <c r="E153" i="16"/>
  <c r="C153" i="16"/>
  <c r="F153" i="16"/>
  <c r="H153" i="16"/>
  <c r="G153" i="16"/>
  <c r="AB38" i="42"/>
  <c r="AB332" i="42"/>
  <c r="AB139" i="42"/>
  <c r="H63" i="16"/>
  <c r="C63" i="16"/>
  <c r="B63" i="16"/>
  <c r="E63" i="16"/>
  <c r="F63" i="16"/>
  <c r="G63" i="16"/>
  <c r="C99" i="16"/>
  <c r="B99" i="16"/>
  <c r="E99" i="16"/>
  <c r="H99" i="16"/>
  <c r="G99" i="16"/>
  <c r="F99" i="16"/>
  <c r="H23" i="16"/>
  <c r="G23" i="16"/>
  <c r="F23" i="16"/>
  <c r="B23" i="16"/>
  <c r="E23" i="16"/>
  <c r="C23" i="16"/>
  <c r="C11" i="16"/>
  <c r="B11" i="16"/>
  <c r="G11" i="16"/>
  <c r="E11" i="16"/>
  <c r="F11" i="16"/>
  <c r="H11" i="16"/>
  <c r="G146" i="16"/>
  <c r="F146" i="16"/>
  <c r="E146" i="16"/>
  <c r="C146" i="16"/>
  <c r="B146" i="16"/>
  <c r="H146" i="16"/>
  <c r="G159" i="16"/>
  <c r="F159" i="16"/>
  <c r="E159" i="16"/>
  <c r="C159" i="16"/>
  <c r="B159" i="16"/>
  <c r="H159" i="16"/>
  <c r="C145" i="16"/>
  <c r="B145" i="16"/>
  <c r="G145" i="16"/>
  <c r="H145" i="16"/>
  <c r="F145" i="16"/>
  <c r="E145" i="16"/>
  <c r="G13" i="16"/>
  <c r="H13" i="16"/>
  <c r="F13" i="16"/>
  <c r="B13" i="16"/>
  <c r="E13" i="16"/>
  <c r="C13" i="16"/>
  <c r="H42" i="16"/>
  <c r="G42" i="16"/>
  <c r="C42" i="16"/>
  <c r="B42" i="16"/>
  <c r="F42" i="16"/>
  <c r="E42" i="16"/>
  <c r="F47" i="16"/>
  <c r="H47" i="16"/>
  <c r="G47" i="16"/>
  <c r="E47" i="16"/>
  <c r="C47" i="16"/>
  <c r="B47" i="16"/>
  <c r="G108" i="16"/>
  <c r="F108" i="16"/>
  <c r="E108" i="16"/>
  <c r="B108" i="16"/>
  <c r="H108" i="16"/>
  <c r="C108" i="16"/>
  <c r="E18" i="16"/>
  <c r="C18" i="16"/>
  <c r="B18" i="16"/>
  <c r="H18" i="16"/>
  <c r="G18" i="16"/>
  <c r="F18" i="16"/>
  <c r="B59" i="16"/>
  <c r="H59" i="16"/>
  <c r="G59" i="16"/>
  <c r="F59" i="16"/>
  <c r="E59" i="16"/>
  <c r="C59" i="16"/>
  <c r="E54" i="16"/>
  <c r="F54" i="16"/>
  <c r="C54" i="16"/>
  <c r="H54" i="16"/>
  <c r="G54" i="16"/>
  <c r="B54" i="16"/>
  <c r="E122" i="16"/>
  <c r="G122" i="16"/>
  <c r="F122" i="16"/>
  <c r="C122" i="16"/>
  <c r="B122" i="16"/>
  <c r="H122" i="16"/>
  <c r="E137" i="16"/>
  <c r="C137" i="16"/>
  <c r="B137" i="16"/>
  <c r="H137" i="16"/>
  <c r="G137" i="16"/>
  <c r="F137" i="16"/>
  <c r="H33" i="16"/>
  <c r="G33" i="16"/>
  <c r="F33" i="16"/>
  <c r="B33" i="16"/>
  <c r="C33" i="16"/>
  <c r="E33" i="16"/>
  <c r="C101" i="16"/>
  <c r="B101" i="16"/>
  <c r="H101" i="16"/>
  <c r="G101" i="16"/>
  <c r="F101" i="16"/>
  <c r="E101" i="16"/>
  <c r="AB219" i="42"/>
  <c r="C100" i="16"/>
  <c r="F100" i="16"/>
  <c r="H100" i="16"/>
  <c r="B100" i="16"/>
  <c r="G100" i="16"/>
  <c r="E100" i="16"/>
  <c r="G143" i="16"/>
  <c r="F143" i="16"/>
  <c r="E143" i="16"/>
  <c r="C143" i="16"/>
  <c r="B143" i="16"/>
  <c r="H143" i="16"/>
  <c r="AB68" i="42"/>
  <c r="E66" i="16"/>
  <c r="B66" i="16"/>
  <c r="H66" i="16"/>
  <c r="G66" i="16"/>
  <c r="F66" i="16"/>
  <c r="C66" i="16"/>
  <c r="F115" i="16"/>
  <c r="G115" i="16"/>
  <c r="E115" i="16"/>
  <c r="C115" i="16"/>
  <c r="B115" i="16"/>
  <c r="H115" i="16"/>
  <c r="F150" i="16"/>
  <c r="E150" i="16"/>
  <c r="C150" i="16"/>
  <c r="H150" i="16"/>
  <c r="G150" i="16"/>
  <c r="B150" i="16"/>
  <c r="F34" i="16"/>
  <c r="E34" i="16"/>
  <c r="C34" i="16"/>
  <c r="B34" i="16"/>
  <c r="H34" i="16"/>
  <c r="G34" i="16"/>
  <c r="H80" i="16"/>
  <c r="G80" i="16"/>
  <c r="F80" i="16"/>
  <c r="B80" i="16"/>
  <c r="E80" i="16"/>
  <c r="C80" i="16"/>
  <c r="H12" i="16"/>
  <c r="E12" i="16"/>
  <c r="C12" i="16"/>
  <c r="B12" i="16"/>
  <c r="F12" i="16"/>
  <c r="G12" i="16"/>
  <c r="H39" i="16"/>
  <c r="G39" i="16"/>
  <c r="C39" i="16"/>
  <c r="B39" i="16"/>
  <c r="E39" i="16"/>
  <c r="F39" i="16"/>
  <c r="AB148" i="42"/>
  <c r="E144" i="16"/>
  <c r="C144" i="16"/>
  <c r="H144" i="16"/>
  <c r="B144" i="16"/>
  <c r="G144" i="16"/>
  <c r="F144" i="16"/>
  <c r="F134" i="16"/>
  <c r="H134" i="16"/>
  <c r="G134" i="16"/>
  <c r="B134" i="16"/>
  <c r="E134" i="16"/>
  <c r="C134" i="16"/>
  <c r="B155" i="16"/>
  <c r="G155" i="16"/>
  <c r="F155" i="16"/>
  <c r="C155" i="16"/>
  <c r="H155" i="16"/>
  <c r="E155" i="16"/>
  <c r="AB164" i="42"/>
  <c r="B119" i="16"/>
  <c r="H119" i="16"/>
  <c r="G119" i="16"/>
  <c r="F119" i="16"/>
  <c r="E119" i="16"/>
  <c r="C119" i="16"/>
  <c r="AB278" i="42"/>
  <c r="C52" i="16"/>
  <c r="B52" i="16"/>
  <c r="G52" i="16"/>
  <c r="F52" i="16"/>
  <c r="E52" i="16"/>
  <c r="H52" i="16"/>
  <c r="G127" i="16"/>
  <c r="F127" i="16"/>
  <c r="E127" i="16"/>
  <c r="C127" i="16"/>
  <c r="B127" i="16"/>
  <c r="H127" i="16"/>
  <c r="AB40" i="42"/>
  <c r="H26" i="16"/>
  <c r="B26" i="16"/>
  <c r="G26" i="16"/>
  <c r="F26" i="16"/>
  <c r="E26" i="16"/>
  <c r="C26" i="16"/>
  <c r="F51" i="16"/>
  <c r="C51" i="16"/>
  <c r="G51" i="16"/>
  <c r="H51" i="16"/>
  <c r="E51" i="16"/>
  <c r="B51" i="16"/>
  <c r="AB227" i="42"/>
  <c r="AB52" i="42"/>
  <c r="C158" i="16"/>
  <c r="B158" i="16"/>
  <c r="F158" i="16"/>
  <c r="H158" i="16"/>
  <c r="G158" i="16"/>
  <c r="E158" i="16"/>
  <c r="G128" i="16"/>
  <c r="C128" i="16"/>
  <c r="F128" i="16"/>
  <c r="H128" i="16"/>
  <c r="B128" i="16"/>
  <c r="E128" i="16"/>
  <c r="G10" i="16"/>
  <c r="H10" i="16"/>
  <c r="F10" i="16"/>
  <c r="B10" i="16"/>
  <c r="E10" i="16"/>
  <c r="C10" i="16"/>
  <c r="G124" i="16"/>
  <c r="C124" i="16"/>
  <c r="B124" i="16"/>
  <c r="E124" i="16"/>
  <c r="H124" i="16"/>
  <c r="F124" i="16"/>
  <c r="F147" i="16"/>
  <c r="H147" i="16"/>
  <c r="G147" i="16"/>
  <c r="E147" i="16"/>
  <c r="C147" i="16"/>
  <c r="B147" i="16"/>
  <c r="G156" i="16"/>
  <c r="E156" i="16"/>
  <c r="C156" i="16"/>
  <c r="B156" i="16"/>
  <c r="F156" i="16"/>
  <c r="H156" i="16"/>
  <c r="F78" i="16"/>
  <c r="B78" i="16"/>
  <c r="G78" i="16"/>
  <c r="H78" i="16"/>
  <c r="E78" i="16"/>
  <c r="C78" i="16"/>
  <c r="F40" i="16"/>
  <c r="E40" i="16"/>
  <c r="C40" i="16"/>
  <c r="B40" i="16"/>
  <c r="H40" i="16"/>
  <c r="G40" i="16"/>
  <c r="E138" i="16"/>
  <c r="G138" i="16"/>
  <c r="B138" i="16"/>
  <c r="H138" i="16"/>
  <c r="F138" i="16"/>
  <c r="C138" i="16"/>
  <c r="C57" i="16"/>
  <c r="G57" i="16"/>
  <c r="F57" i="16"/>
  <c r="B57" i="16"/>
  <c r="E57" i="16"/>
  <c r="H57" i="16"/>
  <c r="E154" i="16"/>
  <c r="H154" i="16"/>
  <c r="C154" i="16"/>
  <c r="F154" i="16"/>
  <c r="G154" i="16"/>
  <c r="B154" i="16"/>
  <c r="H92" i="16"/>
  <c r="G92" i="16"/>
  <c r="F92" i="16"/>
  <c r="B92" i="16"/>
  <c r="E92" i="16"/>
  <c r="C92" i="16"/>
  <c r="H21" i="16"/>
  <c r="G21" i="16"/>
  <c r="C21" i="16"/>
  <c r="F21" i="16"/>
  <c r="B21" i="16"/>
  <c r="E21" i="16"/>
  <c r="C113" i="16"/>
  <c r="H113" i="16"/>
  <c r="G113" i="16"/>
  <c r="E113" i="16"/>
  <c r="F113" i="16"/>
  <c r="B113" i="16"/>
  <c r="H58" i="16"/>
  <c r="E58" i="16"/>
  <c r="G58" i="16"/>
  <c r="B58" i="16"/>
  <c r="F58" i="16"/>
  <c r="C58" i="16"/>
  <c r="E96" i="16"/>
  <c r="C96" i="16"/>
  <c r="B96" i="16"/>
  <c r="F96" i="16"/>
  <c r="G96" i="16"/>
  <c r="H96" i="16"/>
  <c r="C132" i="16"/>
  <c r="B132" i="16"/>
  <c r="H132" i="16"/>
  <c r="E132" i="16"/>
  <c r="F132" i="16"/>
  <c r="G132" i="16"/>
  <c r="B60" i="16"/>
  <c r="H60" i="16"/>
  <c r="G60" i="16"/>
  <c r="F60" i="16"/>
  <c r="C60" i="16"/>
  <c r="E60" i="16"/>
  <c r="H48" i="16"/>
  <c r="G48" i="16"/>
  <c r="F48" i="16"/>
  <c r="E48" i="16"/>
  <c r="C48" i="16"/>
  <c r="B48" i="16"/>
  <c r="H112" i="16"/>
  <c r="G112" i="16"/>
  <c r="F112" i="16"/>
  <c r="E112" i="16"/>
  <c r="C112" i="16"/>
  <c r="B112" i="16"/>
  <c r="H61" i="16"/>
  <c r="E61" i="16"/>
  <c r="F61" i="16"/>
  <c r="C61" i="16"/>
  <c r="B61" i="16"/>
  <c r="G61" i="16"/>
  <c r="H136" i="16"/>
  <c r="B136" i="16"/>
  <c r="F136" i="16"/>
  <c r="G136" i="16"/>
  <c r="E136" i="16"/>
  <c r="C136" i="16"/>
  <c r="H72" i="16"/>
  <c r="C72" i="16"/>
  <c r="B72" i="16"/>
  <c r="F72" i="16"/>
  <c r="E72" i="16"/>
  <c r="G72" i="16"/>
  <c r="B107" i="16"/>
  <c r="H107" i="16"/>
  <c r="G107" i="16"/>
  <c r="F107" i="16"/>
  <c r="E107" i="16"/>
  <c r="C107" i="16"/>
  <c r="H76" i="16"/>
  <c r="G76" i="16"/>
  <c r="B76" i="16"/>
  <c r="F76" i="16"/>
  <c r="E76" i="16"/>
  <c r="C76" i="16"/>
  <c r="B67" i="16"/>
  <c r="C67" i="16"/>
  <c r="G67" i="16"/>
  <c r="F67" i="16"/>
  <c r="H67" i="16"/>
  <c r="E67" i="16"/>
  <c r="B91" i="16"/>
  <c r="F91" i="16"/>
  <c r="E91" i="16"/>
  <c r="G91" i="16"/>
  <c r="C91" i="16"/>
  <c r="H91" i="16"/>
  <c r="H7" i="16"/>
  <c r="G7" i="16"/>
  <c r="F7" i="16"/>
  <c r="E7" i="16"/>
  <c r="B7" i="16"/>
  <c r="C7" i="16"/>
  <c r="AB224" i="42"/>
  <c r="H151" i="16"/>
  <c r="C151" i="16"/>
  <c r="B151" i="16"/>
  <c r="G151" i="16"/>
  <c r="E151" i="16"/>
  <c r="F151" i="16"/>
  <c r="E157" i="16"/>
  <c r="F157" i="16"/>
  <c r="B157" i="16"/>
  <c r="H157" i="16"/>
  <c r="C157" i="16"/>
  <c r="G157" i="16"/>
  <c r="AB66" i="42"/>
  <c r="B89" i="16"/>
  <c r="H89" i="16"/>
  <c r="G89" i="16"/>
  <c r="C89" i="16"/>
  <c r="F89" i="16"/>
  <c r="E89" i="16"/>
  <c r="F142" i="16"/>
  <c r="E142" i="16"/>
  <c r="C142" i="16"/>
  <c r="G142" i="16"/>
  <c r="H142" i="16"/>
  <c r="B142" i="16"/>
  <c r="AB497" i="42"/>
  <c r="G130" i="16"/>
  <c r="F130" i="16"/>
  <c r="E130" i="16"/>
  <c r="C130" i="16"/>
  <c r="H130" i="16"/>
  <c r="B130" i="16"/>
  <c r="C148" i="16"/>
  <c r="H148" i="16"/>
  <c r="G148" i="16"/>
  <c r="F148" i="16"/>
  <c r="E148" i="16"/>
  <c r="B148" i="16"/>
  <c r="H126" i="16"/>
  <c r="G126" i="16"/>
  <c r="B126" i="16"/>
  <c r="C126" i="16"/>
  <c r="F126" i="16"/>
  <c r="E126" i="16"/>
  <c r="AB80" i="42"/>
  <c r="E110" i="16"/>
  <c r="H110" i="16"/>
  <c r="G110" i="16"/>
  <c r="B110" i="16"/>
  <c r="F110" i="16"/>
  <c r="C110" i="16"/>
  <c r="H14" i="16"/>
  <c r="G14" i="16"/>
  <c r="F14" i="16"/>
  <c r="B14" i="16"/>
  <c r="E14" i="16"/>
  <c r="C14" i="16"/>
  <c r="AB152" i="42"/>
  <c r="B75" i="16"/>
  <c r="C75" i="16"/>
  <c r="H75" i="16"/>
  <c r="G75" i="16"/>
  <c r="F75" i="16"/>
  <c r="E75" i="16"/>
  <c r="E109" i="16"/>
  <c r="H109" i="16"/>
  <c r="C109" i="16"/>
  <c r="B109" i="16"/>
  <c r="G109" i="16"/>
  <c r="F109" i="16"/>
  <c r="AB84" i="42"/>
  <c r="E105" i="16"/>
  <c r="B105" i="16"/>
  <c r="H105" i="16"/>
  <c r="G105" i="16"/>
  <c r="C105" i="16"/>
  <c r="F105" i="16"/>
  <c r="F19" i="16"/>
  <c r="H19" i="16"/>
  <c r="G19" i="16"/>
  <c r="B19" i="16"/>
  <c r="E19" i="16"/>
  <c r="C19" i="16"/>
  <c r="H6" i="16"/>
  <c r="E6" i="16"/>
  <c r="G6" i="16"/>
  <c r="B6" i="16"/>
  <c r="F6" i="16"/>
  <c r="C6" i="16"/>
  <c r="AB59" i="42"/>
  <c r="AB157" i="42"/>
  <c r="H152" i="16"/>
  <c r="B152" i="16"/>
  <c r="C152" i="16"/>
  <c r="G152" i="16"/>
  <c r="F152" i="16"/>
  <c r="E152" i="16"/>
  <c r="H45" i="16"/>
  <c r="B45" i="16"/>
  <c r="G45" i="16"/>
  <c r="F45" i="16"/>
  <c r="E45" i="16"/>
  <c r="C45" i="16"/>
  <c r="C68" i="16"/>
  <c r="H68" i="16"/>
  <c r="G68" i="16"/>
  <c r="F68" i="16"/>
  <c r="E68" i="16"/>
  <c r="B68" i="16"/>
  <c r="H31" i="16"/>
  <c r="G31" i="16"/>
  <c r="C31" i="16"/>
  <c r="F31" i="16"/>
  <c r="E31" i="16"/>
  <c r="B31" i="16"/>
  <c r="H38" i="16"/>
  <c r="G38" i="16"/>
  <c r="C38" i="16"/>
  <c r="E38" i="16"/>
  <c r="B38" i="16"/>
  <c r="F38" i="16"/>
  <c r="G81" i="16"/>
  <c r="F81" i="16"/>
  <c r="B81" i="16"/>
  <c r="H81" i="16"/>
  <c r="E81" i="16"/>
  <c r="C81" i="16"/>
  <c r="E93" i="16"/>
  <c r="H93" i="16"/>
  <c r="B93" i="16"/>
  <c r="F93" i="16"/>
  <c r="C93" i="16"/>
  <c r="G93" i="16"/>
  <c r="E43" i="16"/>
  <c r="H43" i="16"/>
  <c r="G43" i="16"/>
  <c r="F43" i="16"/>
  <c r="C43" i="16"/>
  <c r="B43" i="16"/>
  <c r="F9" i="16"/>
  <c r="E9" i="16"/>
  <c r="C9" i="16"/>
  <c r="B9" i="16"/>
  <c r="H9" i="16"/>
  <c r="G9" i="16"/>
  <c r="G140" i="16"/>
  <c r="E140" i="16"/>
  <c r="C140" i="16"/>
  <c r="B140" i="16"/>
  <c r="H140" i="16"/>
  <c r="F140" i="16"/>
  <c r="G111" i="16"/>
  <c r="C111" i="16"/>
  <c r="B111" i="16"/>
  <c r="F111" i="16"/>
  <c r="E111" i="16"/>
  <c r="H111" i="16"/>
  <c r="B139" i="16"/>
  <c r="H139" i="16"/>
  <c r="C139" i="16"/>
  <c r="G139" i="16"/>
  <c r="F139" i="16"/>
  <c r="E139" i="16"/>
  <c r="G82" i="16"/>
  <c r="H82" i="16"/>
  <c r="F82" i="16"/>
  <c r="E82" i="16"/>
  <c r="B82" i="16"/>
  <c r="C82" i="16"/>
  <c r="G41" i="16"/>
  <c r="H41" i="16"/>
  <c r="F41" i="16"/>
  <c r="B41" i="16"/>
  <c r="E41" i="16"/>
  <c r="C41" i="16"/>
  <c r="E77" i="16"/>
  <c r="H77" i="16"/>
  <c r="G77" i="16"/>
  <c r="B77" i="16"/>
  <c r="C77" i="16"/>
  <c r="F77" i="16"/>
  <c r="B106" i="16"/>
  <c r="E106" i="16"/>
  <c r="C106" i="16"/>
  <c r="H106" i="16"/>
  <c r="G106" i="16"/>
  <c r="F106" i="16"/>
  <c r="G16" i="16"/>
  <c r="F16" i="16"/>
  <c r="E16" i="16"/>
  <c r="C16" i="16"/>
  <c r="H16" i="16"/>
  <c r="B16" i="16"/>
  <c r="H25" i="16"/>
  <c r="G25" i="16"/>
  <c r="F25" i="16"/>
  <c r="B25" i="16"/>
  <c r="E25" i="16"/>
  <c r="C25" i="16"/>
  <c r="E74" i="16"/>
  <c r="C74" i="16"/>
  <c r="H74" i="16"/>
  <c r="G74" i="16"/>
  <c r="F74" i="16"/>
  <c r="B74" i="16"/>
  <c r="G121" i="16"/>
  <c r="F121" i="16"/>
  <c r="B121" i="16"/>
  <c r="C121" i="16"/>
  <c r="H121" i="16"/>
  <c r="E121" i="16"/>
  <c r="H35" i="16"/>
  <c r="G35" i="16"/>
  <c r="F35" i="16"/>
  <c r="E35" i="16"/>
  <c r="B35" i="16"/>
  <c r="C35" i="16"/>
  <c r="AB124" i="42"/>
  <c r="F102" i="16"/>
  <c r="B102" i="16"/>
  <c r="C102" i="16"/>
  <c r="H102" i="16"/>
  <c r="G102" i="16"/>
  <c r="E102" i="16"/>
  <c r="H28" i="16"/>
  <c r="B28" i="16"/>
  <c r="G28" i="16"/>
  <c r="F28" i="16"/>
  <c r="C28" i="16"/>
  <c r="E28" i="16"/>
  <c r="E83" i="16"/>
  <c r="H83" i="16"/>
  <c r="G83" i="16"/>
  <c r="F83" i="16"/>
  <c r="C83" i="16"/>
  <c r="B83" i="16"/>
  <c r="G64" i="16"/>
  <c r="F64" i="16"/>
  <c r="E64" i="16"/>
  <c r="C64" i="16"/>
  <c r="B64" i="16"/>
  <c r="H64" i="16"/>
  <c r="B15" i="16"/>
  <c r="E15" i="16"/>
  <c r="C15" i="16"/>
  <c r="F15" i="16"/>
  <c r="G15" i="16"/>
  <c r="H15" i="16"/>
  <c r="AB76" i="42"/>
  <c r="H53" i="16"/>
  <c r="G53" i="16"/>
  <c r="F53" i="16"/>
  <c r="B53" i="16"/>
  <c r="C53" i="16"/>
  <c r="E53" i="16"/>
  <c r="C129" i="16"/>
  <c r="F129" i="16"/>
  <c r="E129" i="16"/>
  <c r="G129" i="16"/>
  <c r="H129" i="16"/>
  <c r="B129" i="16"/>
  <c r="AB108" i="42"/>
  <c r="AB284" i="42"/>
  <c r="F30" i="16"/>
  <c r="H30" i="16"/>
  <c r="G30" i="16"/>
  <c r="E30" i="16"/>
  <c r="B30" i="16"/>
  <c r="C30" i="16"/>
  <c r="G73" i="16"/>
  <c r="H73" i="16"/>
  <c r="F73" i="16"/>
  <c r="E73" i="16"/>
  <c r="C73" i="16"/>
  <c r="B73" i="16"/>
  <c r="AB295" i="42"/>
  <c r="H22" i="16"/>
  <c r="G22" i="16"/>
  <c r="F22" i="16"/>
  <c r="E22" i="16"/>
  <c r="C22" i="16"/>
  <c r="B22" i="16"/>
  <c r="G24" i="16"/>
  <c r="F24" i="16"/>
  <c r="H24" i="16"/>
  <c r="E24" i="16"/>
  <c r="C24" i="16"/>
  <c r="B24" i="16"/>
  <c r="H98" i="16"/>
  <c r="G98" i="16"/>
  <c r="B98" i="16"/>
  <c r="F98" i="16"/>
  <c r="E98" i="16"/>
  <c r="C98" i="16"/>
  <c r="F86" i="16"/>
  <c r="G86" i="16"/>
  <c r="E86" i="16"/>
  <c r="H86" i="16"/>
  <c r="C86" i="16"/>
  <c r="B86" i="16"/>
  <c r="F131" i="16"/>
  <c r="C131" i="16"/>
  <c r="E131" i="16"/>
  <c r="B131" i="16"/>
  <c r="H131" i="16"/>
  <c r="G131" i="16"/>
  <c r="H88" i="16"/>
  <c r="C88" i="16"/>
  <c r="F88" i="16"/>
  <c r="E88" i="16"/>
  <c r="B88" i="16"/>
  <c r="G88" i="16"/>
  <c r="AB42" i="42"/>
  <c r="AB96" i="42"/>
  <c r="C84" i="16"/>
  <c r="B84" i="16"/>
  <c r="E84" i="16"/>
  <c r="H84" i="16"/>
  <c r="G84" i="16"/>
  <c r="F84" i="16"/>
  <c r="H120" i="16"/>
  <c r="B120" i="16"/>
  <c r="G120" i="16"/>
  <c r="F120" i="16"/>
  <c r="E120" i="16"/>
  <c r="C120" i="16"/>
  <c r="H56" i="16"/>
  <c r="G56" i="16"/>
  <c r="C56" i="16"/>
  <c r="F56" i="16"/>
  <c r="E56" i="16"/>
  <c r="B56" i="16"/>
  <c r="B123" i="16"/>
  <c r="F123" i="16"/>
  <c r="H123" i="16"/>
  <c r="G123" i="16"/>
  <c r="C123" i="16"/>
  <c r="E123" i="16"/>
  <c r="H17" i="16"/>
  <c r="F17" i="16"/>
  <c r="E17" i="16"/>
  <c r="C17" i="16"/>
  <c r="B17" i="16"/>
  <c r="G17" i="16"/>
  <c r="H117" i="16"/>
  <c r="G117" i="16"/>
  <c r="F117" i="16"/>
  <c r="E117" i="16"/>
  <c r="C117" i="16"/>
  <c r="B117" i="16"/>
  <c r="B4" i="16"/>
  <c r="H4" i="16"/>
  <c r="G4" i="16"/>
  <c r="F4" i="16"/>
  <c r="E4" i="16"/>
  <c r="C4" i="16"/>
  <c r="H97" i="16"/>
  <c r="E97" i="16"/>
  <c r="C97" i="16"/>
  <c r="B97" i="16"/>
  <c r="G97" i="16"/>
  <c r="F97" i="16"/>
  <c r="C49" i="16"/>
  <c r="H49" i="16"/>
  <c r="G49" i="16"/>
  <c r="F49" i="16"/>
  <c r="B49" i="16"/>
  <c r="E49" i="16"/>
  <c r="E141" i="16"/>
  <c r="H141" i="16"/>
  <c r="B141" i="16"/>
  <c r="G141" i="16"/>
  <c r="C141" i="16"/>
  <c r="F141" i="16"/>
  <c r="AB317" i="42"/>
  <c r="L39" i="16" l="1"/>
  <c r="L41" i="16"/>
  <c r="L45" i="16"/>
  <c r="L40" i="16"/>
  <c r="L48" i="16"/>
  <c r="L46" i="16"/>
  <c r="L43" i="16"/>
  <c r="L42" i="16"/>
  <c r="L47" i="16"/>
  <c r="L44" i="16"/>
  <c r="M44" i="16" l="1"/>
  <c r="AG39" i="42"/>
  <c r="AH39" i="42" s="1"/>
  <c r="BF15" i="10"/>
  <c r="BF14" i="10"/>
  <c r="M47" i="16"/>
  <c r="AG42" i="42"/>
  <c r="AH42" i="42" s="1"/>
  <c r="M46" i="16"/>
  <c r="AG41" i="42"/>
  <c r="AH41" i="42" s="1"/>
  <c r="M40" i="16"/>
  <c r="AG35" i="42"/>
  <c r="AH35" i="42" s="1"/>
  <c r="M43" i="16"/>
  <c r="AG38" i="42"/>
  <c r="AH38" i="42" s="1"/>
  <c r="M45" i="16"/>
  <c r="AG40" i="42"/>
  <c r="AH40" i="42" s="1"/>
  <c r="M48" i="16"/>
  <c r="AG43" i="42"/>
  <c r="AH43" i="42" s="1"/>
  <c r="M41" i="16"/>
  <c r="AG36" i="42"/>
  <c r="AH36" i="42" s="1"/>
  <c r="M42" i="16"/>
  <c r="AG37" i="42"/>
  <c r="AH37" i="42" s="1"/>
  <c r="M39" i="16"/>
  <c r="AG34" i="42"/>
  <c r="AH34" i="42" s="1"/>
  <c r="R36" i="42" l="1"/>
  <c r="R29" i="42"/>
  <c r="R35" i="42"/>
  <c r="R34" i="42"/>
  <c r="R31" i="42"/>
  <c r="R33" i="42"/>
  <c r="R32" i="42"/>
  <c r="R30" i="42"/>
  <c r="R28" i="42"/>
  <c r="C1" i="16" s="1"/>
  <c r="R3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9" authorId="0" shapeId="0" xr:uid="{EFE4272A-52B7-4B56-9E90-3512C40FD0C7}">
      <text>
        <r>
          <rPr>
            <b/>
            <sz val="9"/>
            <color indexed="81"/>
            <rFont val="Tahoma"/>
            <family val="2"/>
            <charset val="204"/>
          </rPr>
          <t>Имя щита (как в «Линии» столбец «Щит»).</t>
        </r>
      </text>
    </comment>
    <comment ref="B9" authorId="0" shapeId="0" xr:uid="{273741DE-8C6D-4771-B035-10D3EF04F526}">
      <text>
        <r>
          <rPr>
            <b/>
            <sz val="9"/>
            <color indexed="81"/>
            <rFont val="Tahoma"/>
            <family val="2"/>
            <charset val="204"/>
          </rPr>
          <t>Обычно пусто: определяется сам по линии-фидеру в «Линиях». Вписывайте, только если фидера в книге нет. Для ВРУ / ГРЩ — пусто.</t>
        </r>
      </text>
    </comment>
    <comment ref="C9" authorId="0" shapeId="0" xr:uid="{20CC2B9F-3437-4701-AAD5-69033C5A230B}">
      <text>
        <r>
          <rPr>
            <b/>
            <sz val="9"/>
            <color indexed="81"/>
            <rFont val="Tahoma"/>
            <family val="2"/>
            <charset val="204"/>
          </rPr>
          <t>Число вводов 1 / 2 / 3.</t>
        </r>
      </text>
    </comment>
    <comment ref="D9" authorId="0" shapeId="0" xr:uid="{A7AF6109-276C-4EA0-94E7-908E9AFDF90F}">
      <text>
        <r>
          <rPr>
            <b/>
            <sz val="9"/>
            <color indexed="81"/>
            <rFont val="Tahoma"/>
            <family val="2"/>
            <charset val="204"/>
          </rPr>
          <t>да / нет</t>
        </r>
      </text>
    </comment>
    <comment ref="E9" authorId="0" shapeId="0" xr:uid="{37FAFD16-AE79-410F-B8A7-B43E6E7FC5A3}">
      <text>
        <r>
          <rPr>
            <b/>
            <sz val="9"/>
            <color indexed="81"/>
            <rFont val="Tahoma"/>
            <family val="2"/>
            <charset val="204"/>
          </rPr>
          <t>Ввод 1 / 2 / 3 — от какого ввода питается ИБП (ЩГП).</t>
        </r>
      </text>
    </comment>
    <comment ref="F9" authorId="0" shapeId="0" xr:uid="{4B055E56-3EEE-4496-AFA1-BB8F6B5B4AA7}">
      <text>
        <r>
          <rPr>
            <b/>
            <sz val="9"/>
            <color indexed="81"/>
            <rFont val="Tahoma"/>
            <family val="2"/>
            <charset val="204"/>
          </rPr>
          <t>Первые места схемы под вводной узел (вводы, АВР, байпас) — рисуете сами. По умолчанию 15. Строки узла в схеме не рисуются (режим «рисовать» — нарисовать).</t>
        </r>
      </text>
    </comment>
    <comment ref="G9" authorId="0" shapeId="0" xr:uid="{944AEDA0-1A52-416F-82D7-03D032B9CB05}">
      <text>
        <r>
          <rPr>
            <b/>
            <sz val="9"/>
            <color indexed="81"/>
            <rFont val="Tahoma"/>
            <family val="2"/>
            <charset val="204"/>
          </rPr>
          <t>Только для ВРУ / ГРЩ: «ТП» — щит питается от своего трансформатора; иначе — от сети (введите Iкз).</t>
        </r>
      </text>
    </comment>
    <comment ref="I9" authorId="0" shapeId="0" xr:uid="{680EDA4A-B070-4AB7-910B-9F17ED0EDD70}">
      <text>
        <r>
          <rPr>
            <b/>
            <sz val="9"/>
            <color indexed="81"/>
            <rFont val="Tahoma"/>
            <family val="2"/>
            <charset val="204"/>
          </rPr>
          <t>Iкз min (1ф) на вводе — от сетевой организации.</t>
        </r>
      </text>
    </comment>
    <comment ref="J9" authorId="0" shapeId="0" xr:uid="{0CF77616-2692-4FEE-B9A5-C676506D60D2}">
      <text>
        <r>
          <rPr>
            <b/>
            <sz val="9"/>
            <color indexed="81"/>
            <rFont val="Tahoma"/>
            <family val="2"/>
            <charset val="204"/>
          </rPr>
          <t>Iкз max (3ф) на вводе — от сетевой организации.</t>
        </r>
      </text>
    </comment>
    <comment ref="L9" authorId="0" shapeId="0" xr:uid="{EF242B97-B265-4C37-9CBE-86433DBEFE4B}">
      <text>
        <r>
          <rPr>
            <b/>
            <sz val="9"/>
            <color indexed="81"/>
            <rFont val="Tahoma"/>
            <family val="2"/>
            <charset val="204"/>
          </rPr>
          <t>Д/Yн или Y/Yн</t>
        </r>
      </text>
    </comment>
    <comment ref="Q9" authorId="0" shapeId="0" xr:uid="{DBB674CF-1C8B-464A-AA2E-8E4B91C57807}">
      <text>
        <r>
          <rPr>
            <b/>
            <sz val="9"/>
            <color indexed="81"/>
            <rFont val="Tahoma"/>
            <family val="2"/>
            <charset val="204"/>
          </rPr>
          <t>медь / алюминий</t>
        </r>
      </text>
    </comment>
    <comment ref="S9" authorId="0" shapeId="0" xr:uid="{B5CA13BF-E358-4F60-BB2D-AEF9F06C1209}">
      <text>
        <r>
          <rPr>
            <b/>
            <sz val="9"/>
            <color indexed="81"/>
            <rFont val="Tahoma"/>
            <family val="2"/>
            <charset val="204"/>
          </rPr>
          <t>B / C / D</t>
        </r>
      </text>
    </comment>
    <comment ref="T9" authorId="0" shapeId="0" xr:uid="{410FFCED-6716-4A62-B702-8C00D524A4A2}">
      <text>
        <r>
          <rPr>
            <b/>
            <sz val="9"/>
            <color indexed="81"/>
            <rFont val="Tahoma"/>
            <family val="2"/>
            <charset val="204"/>
          </rPr>
          <t>Для щита без вышестоящего в книге: какую категорию даёт питающая линия. Пусто — по своей схеме.</t>
        </r>
      </text>
    </comment>
    <comment ref="U9" authorId="0" shapeId="0" xr:uid="{36EFC61F-85A2-4D2C-B504-1DC185FC61C2}">
      <text>
        <r>
          <rPr>
            <b/>
            <sz val="9"/>
            <color indexed="81"/>
            <rFont val="Tahoma"/>
            <family val="2"/>
            <charset val="204"/>
          </rPr>
          <t>Вышестоящий щит: вручную или по линии-фидеру.</t>
        </r>
      </text>
    </comment>
    <comment ref="X9" authorId="0" shapeId="0" xr:uid="{3C1B9F1B-D14B-44D8-BF75-9E8B0CF7A021}">
      <text>
        <r>
          <rPr>
            <b/>
            <sz val="9"/>
            <color indexed="81"/>
            <rFont val="Tahoma"/>
            <family val="2"/>
            <charset val="204"/>
          </rPr>
          <t>Сумма установленной мощности щита и всех нижестоящих (без группы «Нет»).</t>
        </r>
      </text>
    </comment>
    <comment ref="Y9" authorId="0" shapeId="0" xr:uid="{9A8B2111-9949-486C-8C30-A5381AC1A5AD}">
      <text>
        <r>
          <rPr>
            <b/>
            <sz val="9"/>
            <color indexed="81"/>
            <rFont val="Tahoma"/>
            <family val="2"/>
            <charset val="204"/>
          </rPr>
          <t>Рр = kп.к·Руст быт·Кс + Ко·Рр сил + Руст пост + Р отоп + 0,7·Р ВНГ (СП 256 п. 7.1.10, Изм. 9).</t>
        </r>
      </text>
    </comment>
    <comment ref="Z9" authorId="0" shapeId="0" xr:uid="{0434752B-6C3B-467B-B039-F263865954A0}">
      <text>
        <r>
          <rPr>
            <b/>
            <sz val="9"/>
            <color indexed="81"/>
            <rFont val="Tahoma"/>
            <family val="2"/>
            <charset val="204"/>
          </rPr>
          <t>По наиболее нагруженной фазе.</t>
        </r>
      </text>
    </comment>
    <comment ref="AB9" authorId="0" shapeId="0" xr:uid="{4366A67C-B7F5-4B7A-B031-3F442C6E800F}">
      <text>
        <r>
          <rPr>
            <b/>
            <sz val="9"/>
            <color indexed="81"/>
            <rFont val="Tahoma"/>
            <family val="2"/>
            <charset val="204"/>
          </rPr>
          <t>ΔU от ВРУ до шин щита = ΔU источника + Σ ΔU фидеров на пути.</t>
        </r>
      </text>
    </comment>
    <comment ref="AE9" authorId="0" shapeId="0" xr:uid="{6B5CC5A4-01E9-46FB-ABE0-9B5E9F1F8097}">
      <text>
        <r>
          <rPr>
            <b/>
            <sz val="9"/>
            <color indexed="81"/>
            <rFont val="Tahoma"/>
            <family val="2"/>
            <charset val="204"/>
          </rPr>
          <t>1 ввод — III (или II, если питающая линия I/II: один кабель не даёт I, ПУЭ 1.2.19); 2+ ввода без АВР — II; с АВР — I.</t>
        </r>
      </text>
    </comment>
    <comment ref="AF9" authorId="0" shapeId="0" xr:uid="{6E5D84E5-F55C-4080-8543-5083A1E78601}">
      <text>
        <r>
          <rPr>
            <b/>
            <sz val="9"/>
            <color indexed="81"/>
            <rFont val="Tahoma"/>
            <family val="2"/>
            <charset val="204"/>
          </rPr>
          <t>Цепочка щитов от ГРЩ до этого щита.</t>
        </r>
      </text>
    </comment>
    <comment ref="AS9" authorId="0" shapeId="0" xr:uid="{E3E1A652-C316-4A08-900F-69F36E4968AB}">
      <text>
        <r>
          <rPr>
            <b/>
            <sz val="9"/>
            <color indexed="81"/>
            <rFont val="Tahoma"/>
            <family val="2"/>
            <charset val="204"/>
          </rPr>
          <t>СП 256 табл. 7.2 по сумме Руст быт щита, линейная интерполяция.</t>
        </r>
      </text>
    </comment>
    <comment ref="AT9" authorId="0" shapeId="0" xr:uid="{9AB29683-B421-4570-81BA-3E78FF1F87D9}">
      <text>
        <r>
          <rPr>
            <b/>
            <sz val="9"/>
            <color indexed="81"/>
            <rFont val="Tahoma"/>
            <family val="2"/>
            <charset val="204"/>
          </rPr>
          <t>Σ P·Кс силовых линий.</t>
        </r>
      </text>
    </comment>
    <comment ref="AV9" authorId="0" shapeId="0" xr:uid="{042351D2-FA3B-4887-AA5C-EA7A65D4604A}">
      <text>
        <r>
          <rPr>
            <b/>
            <sz val="9"/>
            <color indexed="81"/>
            <rFont val="Tahoma"/>
            <family val="2"/>
            <charset val="204"/>
          </rPr>
          <t>Электроотопление, Кс = 1 (СП 256, Изм. 9).</t>
        </r>
      </text>
    </comment>
    <comment ref="AW9" authorId="0" shapeId="0" xr:uid="{2FB72468-9E6D-4DCF-AB57-39ABB2925311}">
      <text>
        <r>
          <rPr>
            <b/>
            <sz val="9"/>
            <color indexed="81"/>
            <rFont val="Tahoma"/>
            <family val="2"/>
            <charset val="204"/>
          </rPr>
          <t>Водонагреватели × 0,7 (СП 256, Изм. 9).</t>
        </r>
      </text>
    </comment>
    <comment ref="AY9" authorId="0" shapeId="0" xr:uid="{32C224B2-80BB-4CF0-9868-906683BA0722}">
      <text>
        <r>
          <rPr>
            <b/>
            <sz val="9"/>
            <color indexed="81"/>
            <rFont val="Tahoma"/>
            <family val="2"/>
            <charset val="204"/>
          </rPr>
          <t>СП 256 табл. 7.5 по числу силовых линий щита (доля сантехники 100–85 %; таблица — лист «Объект»). Применяется в режиме «нормы 2026», если Кс линии не задан.</t>
        </r>
      </text>
    </comment>
    <comment ref="AZ9" authorId="0" shapeId="0" xr:uid="{17642B8A-5E8A-43AC-8534-CD126C76C123}">
      <text>
        <r>
          <rPr>
            <b/>
            <sz val="9"/>
            <color indexed="81"/>
            <rFont val="Tahoma"/>
            <family val="2"/>
            <charset val="204"/>
          </rPr>
          <t>0,9 — совмещение бытовой и силовой нагрузки (СП 256 формула 6). В режиме «нормы 2026» — только если на щите есть обе.</t>
        </r>
      </text>
    </comment>
    <comment ref="BL9" authorId="0" shapeId="0" xr:uid="{F5433D65-CB10-4C82-AD6D-8C36F67EF368}">
      <text>
        <r>
          <rPr>
            <b/>
            <sz val="9"/>
            <color indexed="81"/>
            <rFont val="Tahoma"/>
            <family val="2"/>
            <charset val="204"/>
          </rPr>
          <t>Zшин = Zсети + Σ(петля фидеров + Rпер) на пути (ГОСТ 28249).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2" authorId="0" shapeId="0" xr:uid="{283683B9-F61A-420C-8C1C-03A864E39A3A}">
      <text>
        <r>
          <rPr>
            <b/>
            <sz val="9"/>
            <color indexed="81"/>
            <rFont val="Tahoma"/>
            <family val="2"/>
            <charset val="204"/>
          </rPr>
          <t>Имя щита. Все места щита — подряд, в порядке мест на схеме.</t>
        </r>
      </text>
    </comment>
    <comment ref="B2" authorId="0" shapeId="0" xr:uid="{4A2DCD1E-9BDC-4A69-88AF-396360964A89}">
      <text>
        <r>
          <rPr>
            <b/>
            <sz val="9"/>
            <color indexed="81"/>
            <rFont val="Tahoma"/>
            <family val="2"/>
            <charset val="204"/>
          </rPr>
          <t>Колонка на схеме (шаг 20 мм). Пусто — следующее место по порядку (после вводного узла). Число — своё место (пропуск = пустая колонка). «-» — строки нет на схеме.</t>
        </r>
      </text>
    </comment>
    <comment ref="C2" authorId="0" shapeId="0" xr:uid="{9659749D-C931-451E-B489-4B62431DF7A6}">
      <text>
        <r>
          <rPr>
            <b/>
            <sz val="9"/>
            <color indexed="81"/>
            <rFont val="Tahoma"/>
            <family val="2"/>
            <charset val="204"/>
          </rPr>
          <t>Лист схемы A3 и место на нём (мест на лист — «Справочная»/«Таблицы_норм» BF4). «узел» — вводной узел щита.</t>
        </r>
      </text>
    </comment>
    <comment ref="D2" authorId="0" shapeId="0" xr:uid="{8BE564C5-8549-48BA-9952-1070ADE9F407}">
      <text>
        <r>
          <rPr>
            <b/>
            <sz val="9"/>
            <color indexed="81"/>
            <rFont val="Tahoma"/>
            <family val="2"/>
            <charset val="204"/>
          </rPr>
          <t>Код.Помещение.№ (пример: R.1.05.4). Код — «Справочная» P.</t>
        </r>
      </text>
    </comment>
    <comment ref="E2" authorId="0" shapeId="0" xr:uid="{98ED7C7E-978C-4652-9602-015CE14F4DC5}">
      <text>
        <r>
          <rPr>
            <b/>
            <sz val="9"/>
            <color indexed="81"/>
            <rFont val="Tahoma"/>
            <family val="2"/>
            <charset val="204"/>
          </rPr>
          <t>Подставляется по коду автоматически. Можно переписать своим текстом. Если стереть — снова по коду (формулу можно протянуть из соседней ячейки).</t>
        </r>
      </text>
    </comment>
    <comment ref="F2" authorId="0" shapeId="0" xr:uid="{1DB69AA5-1555-45B2-80BF-A1F7CB8F8799}">
      <text>
        <r>
          <rPr>
            <b/>
            <sz val="9"/>
            <color indexed="81"/>
            <rFont val="Tahoma"/>
            <family val="2"/>
            <charset val="204"/>
          </rPr>
          <t>Обычно не нужно: если номер линии совпадает с именем щита на листе «Щиты», фидер определяется сам. Заполняйте, только если номер другой (пример: линия ЩСПЗ.1 питает щит ЩСПЗ).</t>
        </r>
      </text>
    </comment>
    <comment ref="I2" authorId="0" shapeId="0" xr:uid="{22D757C2-BBD0-416B-9788-B5C5752D2671}">
      <text>
        <r>
          <rPr>
            <b/>
            <sz val="9"/>
            <color indexed="81"/>
            <rFont val="Tahoma"/>
            <family val="2"/>
            <charset val="204"/>
          </rPr>
          <t>1 или 3. Пусто — по коду.</t>
        </r>
      </text>
    </comment>
    <comment ref="J2" authorId="0" shapeId="0" xr:uid="{E21D055C-51DA-48A3-B882-95F66D84C321}">
      <text>
        <r>
          <rPr>
            <b/>
            <sz val="9"/>
            <color indexed="81"/>
            <rFont val="Tahoma"/>
            <family val="2"/>
            <charset val="204"/>
          </rPr>
          <t>230 или 400. Пусто — по коду.</t>
        </r>
      </text>
    </comment>
    <comment ref="K2" authorId="0" shapeId="0" xr:uid="{7FEEA2A9-949F-4B48-98B2-3BD24AFC8CF2}">
      <text>
        <r>
          <rPr>
            <b/>
            <sz val="9"/>
            <color indexed="81"/>
            <rFont val="Tahoma"/>
            <family val="2"/>
            <charset val="204"/>
          </rPr>
          <t>Быт — табл. 7.2 по сумме; Сил — Кс линии или табл. 7.5; Пост — 1; Отоп — 1 и ВНГ — 0,7 отдельно (СП 256, Изм. 9); Нет — не учитывается.</t>
        </r>
      </text>
    </comment>
    <comment ref="L2" authorId="0" shapeId="0" xr:uid="{09319C86-1989-4E7C-A605-A1F9849AADEF}">
      <text>
        <r>
          <rPr>
            <b/>
            <sz val="9"/>
            <color indexed="81"/>
            <rFont val="Tahoma"/>
            <family val="2"/>
            <charset val="204"/>
          </rPr>
          <t>Кс силовой линии (СП 256 табл. 7.5). Пусто — 1.</t>
        </r>
      </text>
    </comment>
    <comment ref="M2" authorId="0" shapeId="0" xr:uid="{E4327EBB-C948-42E9-A79B-7868D93B305D}">
      <text>
        <r>
          <rPr>
            <b/>
            <sz val="9"/>
            <color indexed="81"/>
            <rFont val="Tahoma"/>
            <family val="2"/>
            <charset val="204"/>
          </rPr>
          <t>Пусто — 0,95, для двигателей по таблице.</t>
        </r>
      </text>
    </comment>
    <comment ref="O2" authorId="0" shapeId="0" xr:uid="{CC3D7C17-0EEB-42CC-BDA4-1AF6DF338CFB}">
      <text>
        <r>
          <rPr>
            <b/>
            <sz val="9"/>
            <color indexed="81"/>
            <rFont val="Tahoma"/>
            <family val="2"/>
            <charset val="204"/>
          </rPr>
          <t>1, 2, 3 или 1,2,3. Пусто — по кругу L1→L2→L3.</t>
        </r>
      </text>
    </comment>
    <comment ref="P2" authorId="0" shapeId="0" xr:uid="{B2B401B0-B65A-468D-B5FB-944B43E963CA}">
      <text>
        <r>
          <rPr>
            <b/>
            <sz val="9"/>
            <color indexed="81"/>
            <rFont val="Tahoma"/>
            <family val="2"/>
            <charset val="204"/>
          </rPr>
          <t>м. Пусто — сумма длин из чертежа (DWG).</t>
        </r>
      </text>
    </comment>
    <comment ref="U2" authorId="0" shapeId="0" xr:uid="{971566B7-084E-4A34-AD33-0E155F8599E4}">
      <text>
        <r>
          <rPr>
            <b/>
            <sz val="9"/>
            <color indexed="81"/>
            <rFont val="Tahoma"/>
            <family val="2"/>
            <charset val="204"/>
          </rPr>
          <t>Обозначение из «Справочная» L (мс, мфр…). Пусто — по коду.</t>
        </r>
      </text>
    </comment>
    <comment ref="W2" authorId="0" shapeId="0" xr:uid="{6461E1A3-A6A0-4A26-A609-58E5B480C2EF}">
      <text>
        <r>
          <rPr>
            <b/>
            <sz val="9"/>
            <color indexed="81"/>
            <rFont val="Tahoma"/>
            <family val="2"/>
            <charset val="204"/>
          </rPr>
          <t>Пусто — по коду или подбор по автомату.</t>
        </r>
      </text>
    </comment>
    <comment ref="X2" authorId="0" shapeId="0" xr:uid="{2D1E08C2-FE22-458A-BC90-9B20CECCC161}">
      <text>
        <r>
          <rPr>
            <b/>
            <sz val="9"/>
            <color indexed="81"/>
            <rFont val="Tahoma"/>
            <family val="2"/>
            <charset val="204"/>
          </rPr>
          <t>Номинал автомата линии вручную, А.</t>
        </r>
      </text>
    </comment>
    <comment ref="Z2" authorId="0" shapeId="0" xr:uid="{BC62E144-D146-49D7-899D-F031AB32688B}">
      <text>
        <r>
          <rPr>
            <b/>
            <sz val="9"/>
            <color indexed="81"/>
            <rFont val="Tahoma"/>
            <family val="2"/>
            <charset val="204"/>
          </rPr>
          <t>Строка таблицы нагрузок для пояснительной записки: рабочее освещение, розеточная сеть, вентиляция. Пусто — по коду.</t>
        </r>
      </text>
    </comment>
    <comment ref="AC2" authorId="0" shapeId="0" xr:uid="{EC02E9DF-76DB-48E5-B2B3-1E50C9BDA494}">
      <text>
        <r>
          <rPr>
            <b/>
            <sz val="9"/>
            <color indexed="81"/>
            <rFont val="Tahoma"/>
            <family val="2"/>
            <charset val="204"/>
          </rPr>
          <t>Пусто — основная шина. Пишется в строке с автоматом.</t>
        </r>
      </text>
    </comment>
    <comment ref="AD2" authorId="0" shapeId="0" xr:uid="{51E46660-6094-489E-8749-53CE8BECD56C}">
      <text>
        <r>
          <rPr>
            <b/>
            <sz val="9"/>
            <color indexed="81"/>
            <rFont val="Tahoma"/>
            <family val="2"/>
            <charset val="204"/>
          </rPr>
          <t>«авто» или текст (1P C16A) в первой строке группы.</t>
        </r>
      </text>
    </comment>
    <comment ref="AE2" authorId="0" shapeId="0" xr:uid="{37AB57BF-515D-41F0-9F1D-73FE25F775F5}">
      <text>
        <r>
          <rPr>
            <b/>
            <sz val="9"/>
            <color indexed="81"/>
            <rFont val="Tahoma"/>
            <family val="2"/>
            <charset val="204"/>
          </rPr>
          <t>Пусто — по коду (лист «Коды», таблица УГО). Число — ток утечки: 10, 30, 100, 300. «нет» — без дифзащиты. «да» = 30 мА.</t>
        </r>
      </text>
    </comment>
    <comment ref="AI2" authorId="0" shapeId="0" xr:uid="{470D4651-80CA-46F5-A78F-32FAE44C37BD}">
      <text>
        <r>
          <rPr>
            <b/>
            <sz val="9"/>
            <color indexed="81"/>
            <rFont val="Tahoma"/>
            <family val="2"/>
            <charset val="204"/>
          </rPr>
          <t>Модель — в первой строке модуля; следующие строки идут на его каналы. «-» — в первой строке ПОСЛЕ модуля (модуль закончился).</t>
        </r>
      </text>
    </comment>
    <comment ref="AJ2" authorId="0" shapeId="0" xr:uid="{2D721F5E-B6F2-4C1F-AFB3-3EAE57A5DEA0}">
      <text>
        <r>
          <rPr>
            <b/>
            <sz val="9"/>
            <color indexed="81"/>
            <rFont val="Tahoma"/>
            <family val="2"/>
            <charset val="204"/>
          </rPr>
          <t>Пусто — авто; № вручную; = параллельно; + в тот же кабель; р — резерв; б/к — без клеммы.</t>
        </r>
      </text>
    </comment>
    <comment ref="AK2" authorId="0" shapeId="0" xr:uid="{2301F44B-BC3F-4C38-9F0B-1C372FAC9568}">
      <text>
        <r>
          <rPr>
            <b/>
            <sz val="9"/>
            <color indexed="81"/>
            <rFont val="Tahoma"/>
            <family val="2"/>
            <charset val="204"/>
          </rPr>
          <t>Пусто — номер XT по порядку; «нет» — клемма без номера.</t>
        </r>
      </text>
    </comment>
    <comment ref="AL2" authorId="0" shapeId="0" xr:uid="{421F2167-A22C-4CA2-87E7-DBC85EBEC8D5}">
      <text>
        <r>
          <rPr>
            <b/>
            <sz val="9"/>
            <color indexed="81"/>
            <rFont val="Tahoma"/>
            <family val="2"/>
            <charset val="204"/>
          </rPr>
          <t>Пусто — как обычно. «вручную» — строка только в таблице, в схеме не рисуется. «рисовать» — нарисовать строку вводного узла (по умолчанию вводной узел не рисуется).</t>
        </r>
      </text>
    </comment>
    <comment ref="AR2" authorId="0" shapeId="0" xr:uid="{5E66A09E-105C-4407-8B68-8F255C31E72C}">
      <text>
        <r>
          <rPr>
            <b/>
            <sz val="9"/>
            <color indexed="81"/>
            <rFont val="Tahoma"/>
            <family val="2"/>
            <charset val="204"/>
          </rPr>
          <t>Все замечания по строке. Сводка по объекту — лист «Проверка».</t>
        </r>
      </text>
    </comment>
    <comment ref="BF2" authorId="0" shapeId="0" xr:uid="{36006487-75B8-45AA-A58B-F08BF755C8B5}">
      <text>
        <r>
          <rPr>
            <b/>
            <sz val="9"/>
            <color indexed="81"/>
            <rFont val="Tahoma"/>
            <family val="2"/>
            <charset val="204"/>
          </rPr>
          <t>Мощность линии; для фидера — Руст нижестоящего щита.</t>
        </r>
      </text>
    </comment>
    <comment ref="BM2" authorId="0" shapeId="0" xr:uid="{91812CB8-D615-4BEA-AC84-0AE54678B26E}">
      <text>
        <r>
          <rPr>
            <b/>
            <sz val="9"/>
            <color indexed="81"/>
            <rFont val="Tahoma"/>
            <family val="2"/>
            <charset val="204"/>
          </rPr>
          <t>Ручной; для двигателей — по мощности; иначе 0,95. В режиме «нормы 2026» силовые — 0,8 (СП 256 п. 7.1.12).</t>
        </r>
      </text>
    </comment>
    <comment ref="BN2" authorId="0" shapeId="0" xr:uid="{487E0CE4-ED3B-40EA-851D-5D89B13BECDF}">
      <text>
        <r>
          <rPr>
            <b/>
            <sz val="9"/>
            <color indexed="81"/>
            <rFont val="Tahoma"/>
            <family val="2"/>
            <charset val="204"/>
          </rPr>
          <t>1ф: P/(Uф·cos φ); 3ф: P/(√3·Uн·cos φ). Фидер — Iр нижестоящего щита.</t>
        </r>
      </text>
    </comment>
    <comment ref="BO2" authorId="0" shapeId="0" xr:uid="{C153F0E1-C2C1-455A-9CBE-DD709CB848BE}">
      <text>
        <r>
          <rPr>
            <b/>
            <sz val="9"/>
            <color indexed="81"/>
            <rFont val="Tahoma"/>
            <family val="2"/>
            <charset val="204"/>
          </rPr>
          <t>Наименьший номинал с Iр ≤ 0,9·In (ГОСТ Р 50571.4.43 п. 433.1 + запас 10 %).</t>
        </r>
      </text>
    </comment>
    <comment ref="BS2" authorId="0" shapeId="0" xr:uid="{88BA8AFA-A710-4839-AEAD-C1924F27AB2A}">
      <text>
        <r>
          <rPr>
            <b/>
            <sz val="9"/>
            <color indexed="81"/>
            <rFont val="Tahoma"/>
            <family val="2"/>
            <charset val="204"/>
          </rPr>
          <t>Наименьшее сечение с Iдоп·k ≥ In. Таблица — ПУЭ 1.3.7 (медь, воздух), 4–5 жил ×0,92 (ПУЭ 1.3.10).</t>
        </r>
      </text>
    </comment>
    <comment ref="BW2" authorId="0" shapeId="0" xr:uid="{6B5033E9-4A64-4F0C-944E-E0C73C06BBBF}">
      <text>
        <r>
          <rPr>
            <b/>
            <sz val="9"/>
            <color indexed="81"/>
            <rFont val="Tahoma"/>
            <family val="2"/>
            <charset val="204"/>
          </rPr>
          <t>Опуск·(2n−1) + длина по плану + подъём на этаж.</t>
        </r>
      </text>
    </comment>
    <comment ref="CC2" authorId="0" shapeId="0" xr:uid="{BEA9E5C6-BABA-471C-BEC0-E2C82029FB5E}">
      <text>
        <r>
          <rPr>
            <b/>
            <sz val="9"/>
            <color indexed="81"/>
            <rFont val="Tahoma"/>
            <family val="2"/>
            <charset val="204"/>
          </rPr>
          <t>ΔU = b·(ρ·L/S·cos φ + x·L·sin φ)·I (ГОСТ Р 50571.5.52 прил. G), % от Uф.</t>
        </r>
      </text>
    </comment>
    <comment ref="CE2" authorId="0" shapeId="0" xr:uid="{66C3A052-90A4-4641-959B-06AE2BBBAD48}">
      <text>
        <r>
          <rPr>
            <b/>
            <sz val="9"/>
            <color indexed="81"/>
            <rFont val="Tahoma"/>
            <family val="2"/>
            <charset val="204"/>
          </rPr>
          <t>СП 256 п. 8.23: от ВРУ до светильников ≤ 3 %, до прочих ≤ 4 %.</t>
        </r>
      </text>
    </comment>
    <comment ref="CL2" authorId="0" shapeId="0" xr:uid="{7AB64ABB-1C3F-4B38-9089-2A1E752A2EE8}">
      <text>
        <r>
          <rPr>
            <b/>
            <sz val="9"/>
            <color indexed="81"/>
            <rFont val="Tahoma"/>
            <family val="2"/>
            <charset val="204"/>
          </rPr>
          <t>Iкз = c_min·Uф / (Zшин + 2·ρкз·L/S), ρкз = 1,5·ρ20 (ГОСТ 28249 п. 2.4.2).</t>
        </r>
      </text>
    </comment>
    <comment ref="DO2" authorId="0" shapeId="0" xr:uid="{61471E38-FA06-4729-8475-9926B345F159}">
      <text>
        <r>
          <rPr>
            <b/>
            <sz val="9"/>
            <color indexed="81"/>
            <rFont val="Tahoma"/>
            <family val="2"/>
            <charset val="204"/>
          </rPr>
          <t>Требуемая категория выше, чем даёт схема (ПУЭ 1.2.17–1.2.21, СП 256 п. 6.13, 8.10).</t>
        </r>
      </text>
    </comment>
    <comment ref="EH2" authorId="0" shapeId="0" xr:uid="{8A195F8A-D487-4EF5-B914-77F61DA9EDBC}">
      <text>
        <r>
          <rPr>
            <b/>
            <sz val="9"/>
            <color indexed="81"/>
            <rFont val="Tahoma"/>
            <family val="2"/>
            <charset val="204"/>
          </rPr>
          <t>Самая строгая уставка среди линий группы (меньший ток утечки).</t>
        </r>
      </text>
    </comment>
    <comment ref="EP2" authorId="0" shapeId="0" xr:uid="{2F7C6EF2-7D90-4EB9-9BCC-5C65F03DDD4D}">
      <text>
        <r>
          <rPr>
            <b/>
            <sz val="9"/>
            <color indexed="81"/>
            <rFont val="Tahoma"/>
            <family val="2"/>
            <charset val="204"/>
          </rPr>
          <t>Групповой автомат: ток группы, мин. автомат по типу, дифзащита (мА), полюса.</t>
        </r>
      </text>
    </comment>
    <comment ref="FB2" authorId="0" shapeId="0" xr:uid="{1C028078-749C-453B-9318-D30DAC39A74D}">
      <text>
        <r>
          <rPr>
            <b/>
            <sz val="9"/>
            <color indexed="81"/>
            <rFont val="Tahoma"/>
            <family val="2"/>
            <charset val="204"/>
          </rPr>
          <t>ПЕРЕГРУЗ: ток группы &gt; In. КАБЕЛЬ НЕ ЗАЩИЩЁН: In &gt; Iдоп кабеля (ГОСТ Р 50571.4.43 п. 433.1).</t>
        </r>
      </text>
    </comment>
    <comment ref="FJ2" authorId="0" shapeId="0" xr:uid="{E2F06B20-3856-4E56-9AD4-034E23D0B0B8}">
      <text>
        <r>
          <rPr>
            <b/>
            <sz val="9"/>
            <color indexed="81"/>
            <rFont val="Tahoma"/>
            <family val="2"/>
            <charset val="204"/>
          </rPr>
          <t>ПУЭ 1.7.79: ≤ 0,4 с. Iкз/In ≥ 5 (B), 10 (C), 20 (D) — ГОСТ IEC 60898-1.</t>
        </r>
      </text>
    </comment>
    <comment ref="FK2" authorId="0" shapeId="0" xr:uid="{B92C0E3A-86DE-4311-82F9-16A41319AB94}">
      <text>
        <r>
          <rPr>
            <b/>
            <sz val="9"/>
            <color indexed="81"/>
            <rFont val="Tahoma"/>
            <family val="2"/>
            <charset val="204"/>
          </rPr>
          <t>Красный — ошибка (дубль, перегруз, кабель не защищён, канал, без 30 мА), жёлтый — проверить.</t>
        </r>
      </text>
    </comment>
    <comment ref="FM2" authorId="0" shapeId="0" xr:uid="{301DB891-6840-43ED-9503-C75F37EA098B}">
      <text>
        <r>
          <rPr>
            <b/>
            <sz val="9"/>
            <color indexed="81"/>
            <rFont val="Tahoma"/>
            <family val="2"/>
            <charset val="204"/>
          </rPr>
          <t>Отключающая способность автомата не меньше Iкз max на шинах (ГОСТ Р 50571.4.43, СП 256).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<sst xmlns="http://schemas.openxmlformats.org/spreadsheetml/2006/main" count="3150" uniqueCount="1831">
  <si>
    <t>Номер линии</t>
  </si>
  <si>
    <t>Мощность, кВт</t>
  </si>
  <si>
    <t>Кол-во фаз</t>
  </si>
  <si>
    <t>Сечение</t>
  </si>
  <si>
    <t>Щит</t>
  </si>
  <si>
    <t>Ток</t>
  </si>
  <si>
    <t>Наименование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</si>
  <si>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</si>
  <si>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</si>
  <si>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</si>
  <si>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</si>
  <si>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</si>
  <si>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</si>
  <si>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</si>
  <si>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</si>
  <si>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</si>
  <si>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Сечение (ручное)</t>
  </si>
  <si>
    <t>автомат (ручное)</t>
  </si>
  <si>
    <t>кВт</t>
  </si>
  <si>
    <t>%</t>
  </si>
  <si>
    <t>А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</si>
  <si>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</si>
  <si>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</si>
  <si>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</si>
  <si>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</si>
  <si>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</si>
  <si>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</si>
  <si>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</si>
  <si>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</si>
  <si>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</si>
  <si>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Длина, м</t>
  </si>
  <si>
    <t>Дата прокладки</t>
  </si>
  <si>
    <t>R</t>
  </si>
  <si>
    <t>Розеточная группа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</si>
  <si>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</si>
  <si>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</si>
  <si>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</si>
  <si>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</si>
  <si>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</si>
  <si>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</si>
  <si>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</si>
  <si>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</si>
  <si>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</si>
  <si>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1 - этаж/2 - шлейф</t>
  </si>
  <si>
    <t>Длина линии (по плану)</t>
  </si>
  <si>
    <t>ютп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</si>
  <si>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</si>
  <si>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</si>
  <si>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</si>
  <si>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</si>
  <si>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</si>
  <si>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</si>
  <si>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</si>
  <si>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</si>
  <si>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</si>
  <si>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Заполнить!!!</t>
  </si>
  <si>
    <t>Помещение</t>
  </si>
  <si>
    <t>Этаж/Шлейф</t>
  </si>
  <si>
    <t>Кол-во потребителей (для длины)</t>
  </si>
  <si>
    <t>Ввод</t>
  </si>
  <si>
    <t>Ввод питающей линии</t>
  </si>
  <si>
    <t>Вытяжной вентилятор</t>
  </si>
  <si>
    <t>ре</t>
  </si>
  <si>
    <t>ПУГВ</t>
  </si>
  <si>
    <t>Потолок - 1/Пол - 2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</si>
  <si>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</si>
  <si>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</si>
  <si>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</si>
  <si>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</si>
  <si>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</si>
  <si>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</si>
  <si>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</si>
  <si>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</si>
  <si>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</si>
  <si>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</si>
  <si>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</si>
  <si>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</si>
  <si>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</si>
  <si>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</si>
  <si>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</si>
  <si>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</si>
  <si>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</si>
  <si>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</si>
  <si>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</si>
  <si>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</si>
  <si>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</si>
  <si>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</si>
  <si>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</si>
  <si>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</si>
  <si>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</si>
  <si>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</si>
  <si>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</si>
  <si>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</si>
  <si>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</si>
  <si>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</si>
  <si>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</si>
  <si>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</si>
  <si>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</si>
  <si>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</si>
  <si>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</si>
  <si>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</si>
  <si>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</si>
  <si>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</si>
  <si>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</si>
  <si>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</si>
  <si>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</si>
  <si>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</si>
  <si>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</si>
  <si>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</si>
  <si>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</si>
  <si>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</si>
  <si>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</si>
  <si>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</si>
  <si>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</si>
  <si>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</si>
  <si>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</si>
  <si>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</si>
  <si>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</si>
  <si>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</si>
  <si>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</si>
  <si>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</si>
  <si>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</si>
  <si>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</si>
  <si>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</si>
  <si>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</si>
  <si>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</si>
  <si>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</si>
  <si>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</si>
  <si>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</si>
  <si>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</si>
  <si>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</si>
  <si>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</si>
  <si>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</si>
  <si>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</si>
  <si>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</si>
  <si>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</si>
  <si>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</si>
  <si>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</si>
  <si>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</si>
  <si>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</si>
  <si>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</si>
  <si>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</si>
  <si>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</si>
  <si>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</si>
  <si>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</si>
  <si>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</si>
  <si>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</si>
  <si>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</si>
  <si>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</si>
  <si>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</si>
  <si>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Тип кабеля</t>
  </si>
  <si>
    <t>Пол/Потолок</t>
  </si>
  <si>
    <t>ВВГнг(А)-FRLS</t>
  </si>
  <si>
    <t>ВБШВнг(А)-LS</t>
  </si>
  <si>
    <t>КВБбШвнг(А)-LS</t>
  </si>
  <si>
    <t>ТП</t>
  </si>
  <si>
    <t>В</t>
  </si>
  <si>
    <t>Д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</si>
  <si>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</si>
  <si>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</si>
  <si>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</si>
  <si>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</si>
  <si>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</si>
  <si>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</si>
  <si>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</si>
  <si>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</si>
  <si>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</si>
  <si>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</si>
  <si>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</si>
  <si>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</si>
  <si>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</si>
  <si>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КРМ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</si>
  <si>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</si>
  <si>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</si>
  <si>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</si>
  <si>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</si>
  <si>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</si>
  <si>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</si>
  <si>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</si>
  <si>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</si>
  <si>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</si>
  <si>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</si>
  <si>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</si>
  <si>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</si>
  <si>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</si>
  <si>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</si>
  <si>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</si>
  <si>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</si>
  <si>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</si>
  <si>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</si>
  <si>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</si>
  <si>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</si>
  <si>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</si>
  <si>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</si>
  <si>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</si>
  <si>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</si>
  <si>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</si>
  <si>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</si>
  <si>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</si>
  <si>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</si>
  <si>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</si>
  <si>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</si>
  <si>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</si>
  <si>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</si>
  <si>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</si>
  <si>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АСУ</t>
  </si>
  <si>
    <t>кн</t>
  </si>
  <si>
    <t>SH</t>
  </si>
  <si>
    <t>J-Y(St)Y 2х2х0.8</t>
  </si>
  <si>
    <t>кф</t>
  </si>
  <si>
    <t>КИПЭВ 2х2х0.6</t>
  </si>
  <si>
    <t>кс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</si>
  <si>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</si>
  <si>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</si>
  <si>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</si>
  <si>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</si>
  <si>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</si>
  <si>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</si>
  <si>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</si>
  <si>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</si>
  <si>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</si>
  <si>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</si>
  <si>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</si>
  <si>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</si>
  <si>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</si>
  <si>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</si>
  <si>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</si>
  <si>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</si>
  <si>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</si>
  <si>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</si>
  <si>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</si>
  <si>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</si>
  <si>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</si>
  <si>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</si>
  <si>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</si>
  <si>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</si>
  <si>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</si>
  <si>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</si>
  <si>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</si>
  <si>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</si>
  <si>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</si>
  <si>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</si>
  <si>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</si>
  <si>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</si>
  <si>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</si>
  <si>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</si>
  <si>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</si>
  <si>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</si>
  <si>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</si>
  <si>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</si>
  <si>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</si>
  <si>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</si>
  <si>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</si>
  <si>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</si>
  <si>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</si>
  <si>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</si>
  <si>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</si>
  <si>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</si>
  <si>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</si>
  <si>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</si>
  <si>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</si>
  <si>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</si>
  <si>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</si>
  <si>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</si>
  <si>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</si>
  <si>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</si>
  <si>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</si>
  <si>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</si>
  <si>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</si>
  <si>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</si>
  <si>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</si>
  <si>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</si>
  <si>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</si>
  <si>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</si>
  <si>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</si>
  <si>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</si>
  <si>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</si>
  <si>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</si>
  <si>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</si>
  <si>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</si>
  <si>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</si>
  <si>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</si>
  <si>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</si>
  <si>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</si>
  <si>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</si>
  <si>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</si>
  <si>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</si>
  <si>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</si>
  <si>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</si>
  <si>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</si>
  <si>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</si>
  <si>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</si>
  <si>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</si>
  <si>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</si>
  <si>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</si>
  <si>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256101</t>
  </si>
  <si>
    <t>643001</t>
  </si>
  <si>
    <t>179616</t>
  </si>
  <si>
    <t>179614</t>
  </si>
  <si>
    <t>982114</t>
  </si>
  <si>
    <t>203019</t>
  </si>
  <si>
    <t>256099</t>
  </si>
  <si>
    <t>Arlight</t>
  </si>
  <si>
    <t>028422</t>
  </si>
  <si>
    <t>Модуль защиты контактов MK-5-1</t>
  </si>
  <si>
    <t>EA06.002.001</t>
  </si>
  <si>
    <t>Россия</t>
  </si>
  <si>
    <t>5</t>
  </si>
  <si>
    <t>ZPSU640</t>
  </si>
  <si>
    <t>Zennio</t>
  </si>
  <si>
    <t>Многофункциональный актуатор KNX</t>
  </si>
  <si>
    <t>ZIOMB24V2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</si>
  <si>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</si>
  <si>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</si>
  <si>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</si>
  <si>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</si>
  <si>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</si>
  <si>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VPR-4-GY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</si>
  <si>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</si>
  <si>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</si>
  <si>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</si>
  <si>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</si>
  <si>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</si>
  <si>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</si>
  <si>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VPR-2.5-3L-GY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</si>
  <si>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</si>
  <si>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</si>
  <si>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</si>
  <si>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</si>
  <si>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</si>
  <si>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</si>
  <si>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</si>
  <si>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</si>
  <si>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</si>
  <si>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</si>
  <si>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</si>
  <si>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</si>
  <si>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</si>
  <si>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</si>
  <si>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</si>
  <si>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</si>
  <si>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</si>
  <si>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</si>
  <si>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</si>
  <si>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</si>
  <si>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</si>
  <si>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</si>
  <si>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</si>
  <si>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</si>
  <si>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</si>
  <si>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</si>
  <si>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</si>
  <si>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</si>
  <si>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</si>
  <si>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</si>
  <si>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</si>
  <si>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</si>
  <si>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</si>
  <si>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</si>
  <si>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</si>
  <si>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</si>
  <si>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</si>
  <si>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</si>
  <si>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</si>
  <si>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</si>
  <si>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</si>
  <si>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</si>
  <si>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</si>
  <si>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</si>
  <si>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</si>
  <si>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040231</t>
  </si>
  <si>
    <t>Реле контроля напряжения и тока NJVA1-100 3P+N 100А</t>
  </si>
  <si>
    <t>508572</t>
  </si>
  <si>
    <t>LD</t>
  </si>
  <si>
    <t>Питание подсветок</t>
  </si>
  <si>
    <t>816139</t>
  </si>
  <si>
    <t>Шина нулевая в корпусе (4x15)</t>
  </si>
  <si>
    <t>sn0-4x15</t>
  </si>
  <si>
    <t>Шина нулевая в корпусе (4x7)</t>
  </si>
  <si>
    <t>sn0-4x7</t>
  </si>
  <si>
    <t xml:space="preserve">Провод ПуГВ 1,5 кв. мм Ж/З, многопроволочный </t>
  </si>
  <si>
    <t xml:space="preserve">Провод ПуГВ 2,5 кв. мм Ж/З, многопроволочный </t>
  </si>
  <si>
    <t xml:space="preserve">Провод ПуГВ 4 кв. мм Ж/З, многопроволочный 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</si>
  <si>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</si>
  <si>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</si>
  <si>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</si>
  <si>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</si>
  <si>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</si>
  <si>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ПуГВ 16</t>
  </si>
  <si>
    <t>Наконечник НШВИ 16–12 (100шт)</t>
  </si>
  <si>
    <t>Наконечник НШВИ(2) 16–14 (100шт)</t>
  </si>
  <si>
    <t>203296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</si>
  <si>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</si>
  <si>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</si>
  <si>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</si>
  <si>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</si>
  <si>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</si>
  <si>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</si>
  <si>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</si>
  <si>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</si>
  <si>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</si>
  <si>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</si>
  <si>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</si>
  <si>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</si>
  <si>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</si>
  <si>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</si>
  <si>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</si>
  <si>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</si>
  <si>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</si>
  <si>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</si>
  <si>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</si>
  <si>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</si>
  <si>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</si>
  <si>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</si>
  <si>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</si>
  <si>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</si>
  <si>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</si>
  <si>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</si>
  <si>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</si>
  <si>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</si>
  <si>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</si>
  <si>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</si>
  <si>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</si>
  <si>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</si>
  <si>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</si>
  <si>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</si>
  <si>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</si>
  <si>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</si>
  <si>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</si>
  <si>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</si>
  <si>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</si>
  <si>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</si>
  <si>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</si>
  <si>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</si>
  <si>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</si>
  <si>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</si>
  <si>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</si>
  <si>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</si>
  <si>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</si>
  <si>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</si>
  <si>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</si>
  <si>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</si>
  <si>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</si>
  <si>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</si>
  <si>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</si>
  <si>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</si>
  <si>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</si>
  <si>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</si>
  <si>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</si>
  <si>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</si>
  <si>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</si>
  <si>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</si>
  <si>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</si>
  <si>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</si>
  <si>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</si>
  <si>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</si>
  <si>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</si>
  <si>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</si>
  <si>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</si>
  <si>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</si>
  <si>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</si>
  <si>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</si>
  <si>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</si>
  <si>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</si>
  <si>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</si>
  <si>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</si>
  <si>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</si>
  <si>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</si>
  <si>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</si>
  <si>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</si>
  <si>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</si>
  <si>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</si>
  <si>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</si>
  <si>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</si>
  <si>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</si>
  <si>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</si>
  <si>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</si>
  <si>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</si>
  <si>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</si>
  <si>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</si>
  <si>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</si>
  <si>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</si>
  <si>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</si>
  <si>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</si>
  <si>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</si>
  <si>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</si>
  <si>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ZIO-MB24</t>
  </si>
  <si>
    <t>ZIOMB8V3</t>
  </si>
  <si>
    <t>уточнить-Z</t>
  </si>
  <si>
    <t>уточнить-R</t>
  </si>
  <si>
    <t>Модель</t>
  </si>
  <si>
    <t>Каналов</t>
  </si>
  <si>
    <t>УГО</t>
  </si>
  <si>
    <t>SOCKET</t>
  </si>
  <si>
    <t>нет</t>
  </si>
  <si>
    <t>Мин. автомат перед БП / трансформатором, А</t>
  </si>
  <si>
    <t>ZIOMB16V3</t>
  </si>
  <si>
    <t>реле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</si>
  <si>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</si>
  <si>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</si>
  <si>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</si>
  <si>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</si>
  <si>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</si>
  <si>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</si>
  <si>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</si>
  <si>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</si>
  <si>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DA</t>
  </si>
  <si>
    <t>Z</t>
  </si>
  <si>
    <t>MOTOR</t>
  </si>
  <si>
    <t>Модулей всего</t>
  </si>
  <si>
    <t>К</t>
  </si>
  <si>
    <t>HEAT</t>
  </si>
  <si>
    <t>1. Ток группы = сумма токов линий группы (линия в нескольких строках считается один раз).</t>
  </si>
  <si>
    <t>VALVE</t>
  </si>
  <si>
    <t>ЭК</t>
  </si>
  <si>
    <t>TE</t>
  </si>
  <si>
    <t>SERVO</t>
  </si>
  <si>
    <t>ТЕ</t>
  </si>
  <si>
    <t>BOX</t>
  </si>
  <si>
    <t>DWG: гофра ПВХ по плану, м</t>
  </si>
  <si>
    <t>DWG: гофра ПНД по плану, м</t>
  </si>
  <si>
    <t>DWG: хэндлы полилиний</t>
  </si>
  <si>
    <t>DWG: примечание</t>
  </si>
  <si>
    <t>авто</t>
  </si>
  <si>
    <t>Доп информация из выноски</t>
  </si>
  <si>
    <t>Relay</t>
  </si>
  <si>
    <t>Марка кабеля</t>
  </si>
  <si>
    <t>Макс. автомат
по кабелю, А</t>
  </si>
  <si>
    <t>мин. по типу</t>
  </si>
  <si>
    <t>Мин. автомат, А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</si>
  <si>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</si>
  <si>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</si>
  <si>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</si>
  <si>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</si>
  <si>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</si>
  <si>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</si>
  <si>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</si>
  <si>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</si>
  <si>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</si>
  <si>
    <t>Кс</t>
  </si>
  <si>
    <t>ЗНАЧКИ УГО ДЛЯ ОДНОЛИНЕЙКИ</t>
  </si>
  <si>
    <t>НАСТРОЙКИ ОДНОЛИНЕЙКИ И СВОДКА (перенесено с листа «Справочник_схемы»)</t>
  </si>
  <si>
    <t>КОЭФФИЦИЕНТ СПРОСА (СП 256.1325800.2016, расчётные нагрузки)</t>
  </si>
  <si>
    <t>ДОПУСТИМЫЙ ДЛИТЕЛЬНЫЙ ТОК, А (ПУЭ табл. 1.3.6, медь, в воздухе)</t>
  </si>
  <si>
    <t>ρ при рабочей t° (ГОСТ Р 50571.5.52 прил. G), Ом·мм²/м</t>
  </si>
  <si>
    <t>Группа Кс</t>
  </si>
  <si>
    <t>УГО (выбирается в AV)</t>
  </si>
  <si>
    <t>Блок AutoCAD (из 02_Однолинейка.dwg)</t>
  </si>
  <si>
    <t>Код программы (не менять)</t>
  </si>
  <si>
    <t>НАСТРОЙКИ (жёлтые — можно менять)</t>
  </si>
  <si>
    <t>МОДУЛИ В ПРОЕКТЕ — СВОБОДНЫЕ КАНАЛЫ</t>
  </si>
  <si>
    <t>Руст быт, кВт</t>
  </si>
  <si>
    <t>Квартиры/дома повышенной комфортности (СП 31-110-2003 табл. 6.2, те же значения в СП 256). Между точками — линейная интерполяция.</t>
  </si>
  <si>
    <t>Сечение, мм²</t>
  </si>
  <si>
    <t>Одножильные</t>
  </si>
  <si>
    <t>Двухжильные (1ф: L+N, PE не нагружен)</t>
  </si>
  <si>
    <t>Трёхжильные (3ф); 4–5 жил ×0,92</t>
  </si>
  <si>
    <t>Нет</t>
  </si>
  <si>
    <t>Розетка</t>
  </si>
  <si>
    <t>Розетка1</t>
  </si>
  <si>
    <t>Мест (столбцов схемы) на лист A3</t>
  </si>
  <si>
    <t>Занято (посл. №)</t>
  </si>
  <si>
    <t>Резерв «р»</t>
  </si>
  <si>
    <t>Свободно</t>
  </si>
  <si>
    <t>до 14 кВт — 0,8 (строка 0 кВт нужна для интерполяции)</t>
  </si>
  <si>
    <t>Рабочее освещение</t>
  </si>
  <si>
    <t>Светильник</t>
  </si>
  <si>
    <t>$RECOVER_230831092053-0</t>
  </si>
  <si>
    <t>Сервопривод</t>
  </si>
  <si>
    <t>Сервопривод-1</t>
  </si>
  <si>
    <t>Розеточная сеть и бытовые приборы</t>
  </si>
  <si>
    <t>Быт</t>
  </si>
  <si>
    <t>Клапан</t>
  </si>
  <si>
    <t>EK.1</t>
  </si>
  <si>
    <t>ИТОГИ ПО ОДНОЛИНЕЙКЕ</t>
  </si>
  <si>
    <t>Привод (двигатель)</t>
  </si>
  <si>
    <t>Привод</t>
  </si>
  <si>
    <t>Электрический тёплый пол</t>
  </si>
  <si>
    <t>Нагреватель</t>
  </si>
  <si>
    <t>(условный значок программы)</t>
  </si>
  <si>
    <t>Электроотопление (конвекторы, камины)</t>
  </si>
  <si>
    <t>Слаботочные системы, автоматизация, KNX</t>
  </si>
  <si>
    <t>Пост</t>
  </si>
  <si>
    <t>Прочее (прямоуг. с подписью)</t>
  </si>
  <si>
    <t>Клемм XT (номеров)</t>
  </si>
  <si>
    <t>Кондиционирование и увлажнение</t>
  </si>
  <si>
    <t>Системы безопасности и связи</t>
  </si>
  <si>
    <t xml:space="preserve">  трёхуровневых блоков</t>
  </si>
  <si>
    <t>70 кВт и более — 0,45</t>
  </si>
  <si>
    <t>Вентиляция</t>
  </si>
  <si>
    <t xml:space="preserve">  доп. проходных</t>
  </si>
  <si>
    <t>Водонагреватели</t>
  </si>
  <si>
    <t>НАСТРОЙКИ</t>
  </si>
  <si>
    <t>Приводы (шторы, ворота, краны)</t>
  </si>
  <si>
    <t>Строк с ошибками (красные в AE)</t>
  </si>
  <si>
    <t>Ко сил.</t>
  </si>
  <si>
    <t>Коэффициент участия силовой нагрузки в максимуме: Рр = Рр.быт + 0,9·Рр.сил (СП 256, расчёт жилого дома)</t>
  </si>
  <si>
    <t>Строк с предупреждениями (жёлтые в AE)</t>
  </si>
  <si>
    <t>ГРУППЫ</t>
  </si>
  <si>
    <t>«Исходные данные»: AZ — группа (пусто = по коду, столбец AZ этой страницы), BA — Кс для «Сил», BB — секция (1/2)</t>
  </si>
  <si>
    <t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</si>
  <si>
    <t>КАК ПОДБИРАЕТСЯ АВТОМАТ («авто»)</t>
  </si>
  <si>
    <t>Сил</t>
  </si>
  <si>
    <t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</si>
  <si>
    <t>Постоянная, Кс = 1 и без Ко: обогрев кровли/воронок, слаботочные шкафы, АСУ, питание KNX, СПЗ.</t>
  </si>
  <si>
    <t>2. Номинал по току — по таблице «Автомат_номиналы» (эта страница, F:G).</t>
  </si>
  <si>
    <t>Не учитывается в Руст и Рр: вводы, резервные линии и двигатели, транзит.</t>
  </si>
  <si>
    <t>Сечение подбирается как наименьшее, у которого Iдоп·k ≥ In автомата (ГОСТ Р 50571.4.43: Ib ≤ In ≤ Iz); k = 0,92 для 4–5-жильных в 3ф (ПУЭ 1.3.10) × «К прокл.». 240 мм² — только одножильные (в табл. 1.3.6 для многожильных нет).</t>
  </si>
  <si>
    <t>3. Итог = наибольший из: по току, «Мин. автомат» по коду (AX: розетки 16 А, свет 10 А) и ручного автомата из «Исходных данных».</t>
  </si>
  <si>
    <t>4. «Макс. автомат по кабелю» — по сечению (I:J). Если итог больше — «КАБЕЛЬ НЕ ЗАЩИЩЁН».</t>
  </si>
  <si>
    <t>ФОРМУЛА</t>
  </si>
  <si>
    <t>5. Если после автомата БП/трансформатор — берётся ток и мин. номинал BF5.</t>
  </si>
  <si>
    <t>Рр = Руст.быт · Кс(табл.) + Ко · Σ(Pсил · Кс) + Σ Pпост;   Кс итоговый = Рр / Руст — он идёт в «Нагрузка_щитов» V9 и в «В Акад».</t>
  </si>
  <si>
    <t>Прочее</t>
  </si>
  <si>
    <t>6. Полюса: 3 фазы → 3P (4P с 30 мА), 1 фаза → 1P (2P с 30 мА).</t>
  </si>
  <si>
    <t>Iр — по наиболее нагруженной фазе: Iр = Pф.max · Кс итог / (0,22 · cos φ), но не меньше симметричного Рр / (√3 · 0,38 · cos φ).</t>
  </si>
  <si>
    <t>7. 30 мА: столбец F «Однолинейки» или по коду (AW).</t>
  </si>
  <si>
    <t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</si>
  <si>
    <t>8. Свой текст в «Автомат» (например «2P С20А 30мА») — используется как есть и проверяется.</t>
  </si>
  <si>
    <t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</si>
  <si>
    <t>НАСТРОЙКИ СЕТИ</t>
  </si>
  <si>
    <t>Uн, кВ</t>
  </si>
  <si>
    <t>Номинальное линейное напряжение (ГОСТ 29322-2014: 230/400 В). Фазное = Uн/√3. Для 380 В впишите 0,38.</t>
  </si>
  <si>
    <t>К прокл.</t>
  </si>
  <si>
    <t>Общий коэффициент снижения допустимого тока (пучок, многослойно в лотке/коробе — ПУЭ табл. 1.3.12, температура). В воздухе/лотке однорядно — 1.</t>
  </si>
  <si>
    <t>ΔU до шин щита теперь считается на листе «Питание_щита».</t>
  </si>
  <si>
    <t>Свой значок: впишите название в BA и точное имя блока в BB (код оставьте пустым) — блок возьмётся из библиотеки DWG.</t>
  </si>
  <si>
    <t>Свободных каналов всего</t>
  </si>
  <si>
    <t>Доп. коды (нет в списке P — латиница/кириллица и т.п.)</t>
  </si>
  <si>
    <t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</si>
  <si>
    <t>список автоматов</t>
  </si>
  <si>
    <t>список аппаратов</t>
  </si>
  <si>
    <t>список модулей</t>
  </si>
  <si>
    <t>список произв.</t>
  </si>
  <si>
    <t>Категория (раздел)</t>
  </si>
  <si>
    <t>Производитель</t>
  </si>
  <si>
    <t>Модель (как в таблице)</t>
  </si>
  <si>
    <t>Префикс модуля</t>
  </si>
  <si>
    <t>Тип каналов</t>
  </si>
  <si>
    <t>Наименование для спецификации</t>
  </si>
  <si>
    <t>Полюса</t>
  </si>
  <si>
    <t>Номинал, А</t>
  </si>
  <si>
    <t>Ширина, мод. DIN</t>
  </si>
  <si>
    <t>Ед.</t>
  </si>
  <si>
    <t>Вручную / запас (+)</t>
  </si>
  <si>
    <t>ИТОГО в спецификацию</t>
  </si>
  <si>
    <t>Значение</t>
  </si>
  <si>
    <t>обозначение</t>
  </si>
  <si>
    <t>ключ</t>
  </si>
  <si>
    <t>№ авт.</t>
  </si>
  <si>
    <t>№ апп.</t>
  </si>
  <si>
    <t>№ мод.</t>
  </si>
  <si>
    <t>№ произв.</t>
  </si>
  <si>
    <t>(все)</t>
  </si>
  <si>
    <t>ключ сортировки</t>
  </si>
  <si>
    <t>№ в спецификации</t>
  </si>
  <si>
    <t>нет в каталоге</t>
  </si>
  <si>
    <t>№</t>
  </si>
  <si>
    <t>NB1-63 1P C10</t>
  </si>
  <si>
    <t>Автоматический выключатель NB1-63 1P 10А 6кА х-ка C (DB)</t>
  </si>
  <si>
    <t>1P</t>
  </si>
  <si>
    <t>Производитель автоматов</t>
  </si>
  <si>
    <t>NB1-63 1P C16</t>
  </si>
  <si>
    <t>Автоматический выключатель NB1-63 1P 16А 6кА х-ка C (DB)</t>
  </si>
  <si>
    <t>Производитель аппаратов</t>
  </si>
  <si>
    <t>NB1-63 3P C20</t>
  </si>
  <si>
    <t>Автоматический выключатель NB1-63 3P 20А 6кА х-ка C (DB)</t>
  </si>
  <si>
    <t>179702</t>
  </si>
  <si>
    <t>3P</t>
  </si>
  <si>
    <t>Производитель модулей</t>
  </si>
  <si>
    <t>NB1-63 4P C50</t>
  </si>
  <si>
    <t>Автоматический выключатель NB1-63 4P 50А 6кА х-ка C (DB)</t>
  </si>
  <si>
    <t>179750</t>
  </si>
  <si>
    <t>4P</t>
  </si>
  <si>
    <t>Клемма трёхуровневая (модель)</t>
  </si>
  <si>
    <t>NXB-125 3P C80</t>
  </si>
  <si>
    <t>Автоматический выключатель NXB-125 3P C80 10кА х-ка C</t>
  </si>
  <si>
    <t>Клемма проходная доп. (модель)</t>
  </si>
  <si>
    <t>Дифавтомат</t>
  </si>
  <si>
    <t>NB1L 1P+N C16 30мА</t>
  </si>
  <si>
    <t>Дифавтомат (АВДТ) NB1L 1P+N C16 30мА тип A 6кА</t>
  </si>
  <si>
    <t>2P</t>
  </si>
  <si>
    <t>Трёхуровневых на 4–5-жильную линию, если по коду не задано</t>
  </si>
  <si>
    <t>NB1L 1P+N C20 30мА</t>
  </si>
  <si>
    <t>Дифавтомат (АВДТ) NB1L 1P+N C20 30мА тип A 6кА</t>
  </si>
  <si>
    <t>NB1L 1P+N C32 30мА</t>
  </si>
  <si>
    <t>Дифавтомат (АВДТ) NB1L 1P+N C32 30мА тип A 6кА</t>
  </si>
  <si>
    <t>ПОРЯДОК РАЗДЕЛОВ СПЕЦИФИКАЦИИ (можно менять и дописывать)</t>
  </si>
  <si>
    <t>Аппарат</t>
  </si>
  <si>
    <t>Корпус</t>
  </si>
  <si>
    <t>КМ NCH8-63/40</t>
  </si>
  <si>
    <t>Контактор модульный NCH8-63/40 63А 4НО AC220/230В</t>
  </si>
  <si>
    <t>КМ NCH8-40/40</t>
  </si>
  <si>
    <t>Контактор модульный NCH8-40/40 40А 4НО AC220/230В</t>
  </si>
  <si>
    <t>NJVA1-100</t>
  </si>
  <si>
    <t>NZK1-32 2P</t>
  </si>
  <si>
    <t>Модульный переключатель NZK1-32 2P 32А 3 положения</t>
  </si>
  <si>
    <t>БП 24V 480W</t>
  </si>
  <si>
    <t>Блок питания ARV-DRP480-PFC-24 (24V, 20A, 480W)</t>
  </si>
  <si>
    <t>Шины</t>
  </si>
  <si>
    <t>БП 24V 75W</t>
  </si>
  <si>
    <t>БП 12V 135W</t>
  </si>
  <si>
    <t>Провод</t>
  </si>
  <si>
    <t>БП 12V 15W</t>
  </si>
  <si>
    <t>Универсальный источник питания KNX</t>
  </si>
  <si>
    <t>Актуатор клапанов отопления 230В</t>
  </si>
  <si>
    <t>Универсальный 4-канальный диммер 220V</t>
  </si>
  <si>
    <t>ЕСТЬ В ОДНОЛИНЕЙКЕ, НО НЕТ В КАТАЛОГЕ — добавьте строку:</t>
  </si>
  <si>
    <t>IN</t>
  </si>
  <si>
    <t>входы</t>
  </si>
  <si>
    <t>SMART-DALI-104</t>
  </si>
  <si>
    <t>диммер DALI</t>
  </si>
  <si>
    <t>Диммер SMART-DALI-104-62-ADDR-DIM-DT6-DIN White (12-24V, 4x5A)</t>
  </si>
  <si>
    <t>—</t>
  </si>
  <si>
    <t>Модель уточнить</t>
  </si>
  <si>
    <t>датчики</t>
  </si>
  <si>
    <t>Клемма трёхуровневая push-in, 6 точек, 2.5 кв.мм</t>
  </si>
  <si>
    <t>Клемма проходная push-in, 4 точки, 2.5 кв.мм, серая</t>
  </si>
  <si>
    <t>Клемма проходная push-in, 2 точки, 4 кв.мм, серая</t>
  </si>
  <si>
    <t>Клемма проходная push-in, 2 точки, 6 кв.мм, серая</t>
  </si>
  <si>
    <t>Клемма проходная push-in, 2 точки, 16 кв.мм, серая</t>
  </si>
  <si>
    <t>79467</t>
  </si>
  <si>
    <t>79444</t>
  </si>
  <si>
    <t>79452</t>
  </si>
  <si>
    <t>79473</t>
  </si>
  <si>
    <t>Расходные материалы (наконечни</t>
  </si>
  <si>
    <t>Кс (для Сил)</t>
  </si>
  <si>
    <t>Группа Кс (итог)</t>
  </si>
  <si>
    <t>ΔU от ВРУ, %</t>
  </si>
  <si>
    <t>К прокл. линии (пусто = общий)</t>
  </si>
  <si>
    <t>Iкз min в конце линии, А</t>
  </si>
  <si>
    <t>Iкз / In</t>
  </si>
  <si>
    <t>Zпетли в конце, Ом</t>
  </si>
  <si>
    <t>Iкз max в конце, кА</t>
  </si>
  <si>
    <t>Статус строки
(что проверить)</t>
  </si>
  <si>
    <t>тип автомата №</t>
  </si>
  <si>
    <t>аппарат 1 №</t>
  </si>
  <si>
    <t>аппарат 2 №</t>
  </si>
  <si>
    <t>аппарат 3 №</t>
  </si>
  <si>
    <t>кабель клеммы</t>
  </si>
  <si>
    <t>вид клеммы №</t>
  </si>
  <si>
    <t>модуль №</t>
  </si>
  <si>
    <t>модель №</t>
  </si>
  <si>
    <t>уровень</t>
  </si>
  <si>
    <t>№ линии</t>
  </si>
  <si>
    <t>3L клемм</t>
  </si>
  <si>
    <t>доп. проходных</t>
  </si>
  <si>
    <t>УГО (рус)</t>
  </si>
  <si>
    <t>кА</t>
  </si>
  <si>
    <t>кВА</t>
  </si>
  <si>
    <t>Кабелей параллельно</t>
  </si>
  <si>
    <t>Показатель</t>
  </si>
  <si>
    <t>cos φ</t>
  </si>
  <si>
    <t>ΔU питающей линии</t>
  </si>
  <si>
    <t>Iкз min (1ф) на шинах</t>
  </si>
  <si>
    <t>Iкз max (3ф) на шинах</t>
  </si>
  <si>
    <t>Руст, кВт</t>
  </si>
  <si>
    <t>Руст пост, кВт</t>
  </si>
  <si>
    <t>Iр, А</t>
  </si>
  <si>
    <t>≈ 1,5·ρ20</t>
  </si>
  <si>
    <t>Рр сил, кВт</t>
  </si>
  <si>
    <t>Секция</t>
  </si>
  <si>
    <t>Объект:</t>
  </si>
  <si>
    <t>(название и адрес объекта)</t>
  </si>
  <si>
    <t>II</t>
  </si>
  <si>
    <t>Режим:</t>
  </si>
  <si>
    <t>tg φ</t>
  </si>
  <si>
    <t>Категория</t>
  </si>
  <si>
    <t>Руст</t>
  </si>
  <si>
    <t>Рр</t>
  </si>
  <si>
    <t>Напряжение сети</t>
  </si>
  <si>
    <t>Система заземления</t>
  </si>
  <si>
    <t>TN-C-S</t>
  </si>
  <si>
    <t>Категория надёжности электроснабжения</t>
  </si>
  <si>
    <t>Установленная мощность Руст, кВт</t>
  </si>
  <si>
    <t>Расчётная мощность Рр, кВт / Sр, кВА / cos φ</t>
  </si>
  <si>
    <t>Расчётный ток Iр, А</t>
  </si>
  <si>
    <t>Компенсация реактивной мощности</t>
  </si>
  <si>
    <t>ПОДСЧЁТ ПО ЛИСТУ «ОДНОЛИНЕЙКА» (считается сам)</t>
  </si>
  <si>
    <t>Трёхуровн.</t>
  </si>
  <si>
    <t>Доп. проходных</t>
  </si>
  <si>
    <t>Автоматы и дифавтоматы (полюса, номинал, 30 мА)</t>
  </si>
  <si>
    <t xml:space="preserve">  всего автоматов</t>
  </si>
  <si>
    <t>Аппараты после автоматов (трансформаторы, БП, МК, КМ)</t>
  </si>
  <si>
    <t>Модули умного дома (по модели)</t>
  </si>
  <si>
    <t>Клеммы XT по кабелю линии (жилы × сечение)</t>
  </si>
  <si>
    <t xml:space="preserve">  всего клемм XT</t>
  </si>
  <si>
    <t>Клемма трёхуровневая (по настройке Каталога)</t>
  </si>
  <si>
    <t>Клемма проходная доп. (по настройке Каталога)</t>
  </si>
  <si>
    <t>Трёхуровневая = L/N/PE одной линии; у 5-жильных ещё 2 проходные на доп. жилы.</t>
  </si>
  <si>
    <t>Линий с необеспеченной категорией (v3.12)</t>
  </si>
  <si>
    <t>Ввод 1</t>
  </si>
  <si>
    <t>Тип шины</t>
  </si>
  <si>
    <t>Категория надёжности (ввод: I особая / I / II / III; пусто = III)</t>
  </si>
  <si>
    <t>Категория (итог)</t>
  </si>
  <si>
    <t>Пожарная (итог)</t>
  </si>
  <si>
    <t>Источник для режимов</t>
  </si>
  <si>
    <t>Категория обеспечена</t>
  </si>
  <si>
    <t>Категория: проверка</t>
  </si>
  <si>
    <t>Пожарная</t>
  </si>
  <si>
    <t>Кс быт</t>
  </si>
  <si>
    <t>Рр, кВт</t>
  </si>
  <si>
    <t>Qр, квар</t>
  </si>
  <si>
    <t>Sр, кВА</t>
  </si>
  <si>
    <t>Ввод 2</t>
  </si>
  <si>
    <t>Ввод 3</t>
  </si>
  <si>
    <t>ИБП</t>
  </si>
  <si>
    <t>ДГУ</t>
  </si>
  <si>
    <t>Итого</t>
  </si>
  <si>
    <t>Не обеспечено, линий</t>
  </si>
  <si>
    <t>I особая</t>
  </si>
  <si>
    <t>I</t>
  </si>
  <si>
    <t>III</t>
  </si>
  <si>
    <t>Шина</t>
  </si>
  <si>
    <t>Допустимая загрузка ИБП</t>
  </si>
  <si>
    <t>Проверка</t>
  </si>
  <si>
    <t>мин</t>
  </si>
  <si>
    <t>КПД инвертора</t>
  </si>
  <si>
    <t>Секция (1/2/3; пусто = 1)</t>
  </si>
  <si>
    <t>1. ТЕРМИНЫ</t>
  </si>
  <si>
    <t>Термин</t>
  </si>
  <si>
    <t>Место</t>
  </si>
  <si>
    <t>Группа</t>
  </si>
  <si>
    <t>Фидер</t>
  </si>
  <si>
    <t>2. ПРАВИЛА КНИГИ</t>
  </si>
  <si>
    <t>ВНИМАНИЕ: Перед массовой правкой сохраните копию книги. После макросов Ctrl+Z не работает.</t>
  </si>
  <si>
    <t>4. ПОРЯДОК РАБОТЫ (КРАТКО)</t>
  </si>
  <si>
    <t>4</t>
  </si>
  <si>
    <t>6</t>
  </si>
  <si>
    <t>7</t>
  </si>
  <si>
    <t>8</t>
  </si>
  <si>
    <t>5.1</t>
  </si>
  <si>
    <t>5.2</t>
  </si>
  <si>
    <t>5.3</t>
  </si>
  <si>
    <t>6.1</t>
  </si>
  <si>
    <t>6.2</t>
  </si>
  <si>
    <t>6.3</t>
  </si>
  <si>
    <t>6.4</t>
  </si>
  <si>
    <t>6.5</t>
  </si>
  <si>
    <t>7.1</t>
  </si>
  <si>
    <t>7.2</t>
  </si>
  <si>
    <t>7.3</t>
  </si>
  <si>
    <t>8.1</t>
  </si>
  <si>
    <t>8.2</t>
  </si>
  <si>
    <t>8.3</t>
  </si>
  <si>
    <t>8.4</t>
  </si>
  <si>
    <t>Что нужно</t>
  </si>
  <si>
    <t>Что ввести</t>
  </si>
  <si>
    <t>Линия со своим автоматом</t>
  </si>
  <si>
    <t>Несколько линий на одном автомате</t>
  </si>
  <si>
    <t>Вторая шина (ИБП, секция)</t>
  </si>
  <si>
    <t>10.1</t>
  </si>
  <si>
    <t>11.1</t>
  </si>
  <si>
    <t>11.2</t>
  </si>
  <si>
    <t>11.3</t>
  </si>
  <si>
    <t>12.1</t>
  </si>
  <si>
    <t>12.2</t>
  </si>
  <si>
    <t>Схема</t>
  </si>
  <si>
    <t>1 ввод, питающая линия пусто или III</t>
  </si>
  <si>
    <t>2–3 ввода без АВР</t>
  </si>
  <si>
    <t>2–3 ввода с АВР</t>
  </si>
  <si>
    <t>Режимы!C3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</si>
  <si>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</si>
  <si>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</si>
  <si>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</si>
  <si>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</si>
  <si>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</si>
  <si>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</si>
  <si>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</si>
  <si>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</si>
  <si>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</si>
  <si>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</si>
  <si>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Лист</t>
  </si>
  <si>
    <t>Режимы</t>
  </si>
  <si>
    <t>Расчёт_нагрузок</t>
  </si>
  <si>
    <t>Кабельный_журнал</t>
  </si>
  <si>
    <t>Бирки</t>
  </si>
  <si>
    <t>Каталог!A1</t>
  </si>
  <si>
    <t>ОСТОРОЖНО: «Обновить спецификацию» стирает «Спецификация» B4:J160. Ручные правки делайте в «Каталоге».</t>
  </si>
  <si>
    <t>Автомат больше допустимого тока кабеля. Увеличьте сечение или уменьшите автомат.</t>
  </si>
  <si>
    <t>ОБЪЕКТ: настройки</t>
  </si>
  <si>
    <t>Объект</t>
  </si>
  <si>
    <t>название и адрес</t>
  </si>
  <si>
    <t>ρ меди для Iкз min, Ом·мм²/м</t>
  </si>
  <si>
    <t>≈ 1,5·ρ20 (ГОСТ 28249 п. 2.4.2)</t>
  </si>
  <si>
    <t>ρ алюминия для Iкз min, Ом·мм²/м</t>
  </si>
  <si>
    <t>Переходные сопротивления на щит, Ом</t>
  </si>
  <si>
    <t>контакты и аппараты на каждый щит</t>
  </si>
  <si>
    <t>c_min для Iкз min</t>
  </si>
  <si>
    <t>МЭК 60909-0</t>
  </si>
  <si>
    <t>Методика расчёта</t>
  </si>
  <si>
    <t>нормы 2026</t>
  </si>
  <si>
    <t>v3.12 — как старая книга (для сверки); нормы 2026 — исправления по СП 256 с Изм. 9 (см. «Методика»)</t>
  </si>
  <si>
    <t>kп.к — региональный коэффициент</t>
  </si>
  <si>
    <t>СП 256 табл. 7.5а (ЦФО 0,81, СЗФО 0,91…); для частного дома по умолчанию 1</t>
  </si>
  <si>
    <t>Сеть (Uн), К прокладки, Кс быт, Ко — «Справочная» BP:BQ.</t>
  </si>
  <si>
    <t>Число силовых ЭП</t>
  </si>
  <si>
    <t>Кс (СП 256 табл. 7.5)</t>
  </si>
  <si>
    <t>КОДЫ ПОТРЕБИТЕЛЕЙ, УГО, ЭТАЖИ, КАБЕЛИ — новая строка дописывается сразу под таблицей, таблица растёт сама</t>
  </si>
  <si>
    <t>Код</t>
  </si>
  <si>
    <t>Опуск, м</t>
  </si>
  <si>
    <t>Пуск: 1 нет/2 двигатель/3 свет</t>
  </si>
  <si>
    <t>Жил</t>
  </si>
  <si>
    <t>Фаз</t>
  </si>
  <si>
    <t>Вид нагрузки</t>
  </si>
  <si>
    <t>Код (УГО)</t>
  </si>
  <si>
    <t>Дифзащита, мА (да = 30)</t>
  </si>
  <si>
    <t>3L клемм на линию</t>
  </si>
  <si>
    <t>Название этажа</t>
  </si>
  <si>
    <t>Подъём, м</t>
  </si>
  <si>
    <t>По другим этажам, м</t>
  </si>
  <si>
    <t>Обозначение</t>
  </si>
  <si>
    <t>Сечение в марке (1 да / 2 нет)</t>
  </si>
  <si>
    <t>Питается от</t>
  </si>
  <si>
    <t>Вводов</t>
  </si>
  <si>
    <t>АВР</t>
  </si>
  <si>
    <t>ИБП от</t>
  </si>
  <si>
    <t>Мест под вводной узел</t>
  </si>
  <si>
    <t>Питание: от (ТП / сеть)</t>
  </si>
  <si>
    <t>ΔU до питающего, %</t>
  </si>
  <si>
    <t>Iкз min от сети, А</t>
  </si>
  <si>
    <t>Iкз max от сети, кА</t>
  </si>
  <si>
    <t>Sтр, кВА</t>
  </si>
  <si>
    <t>Схема тр-ра</t>
  </si>
  <si>
    <t>Питающий кабель: S, мм²</t>
  </si>
  <si>
    <t>Материал</t>
  </si>
  <si>
    <t>In питающего аппарата, А</t>
  </si>
  <si>
    <t>Хар-ка аппарата</t>
  </si>
  <si>
    <t>Кат. питающей линии (ручн.)</t>
  </si>
  <si>
    <t>Питается от (итог)</t>
  </si>
  <si>
    <t>Замечания щита</t>
  </si>
  <si>
    <t>Линия фидера</t>
  </si>
  <si>
    <t>ΔU до шин, %</t>
  </si>
  <si>
    <t>Iкз min на шинах, А</t>
  </si>
  <si>
    <t>Iкз max на шинах, кА</t>
  </si>
  <si>
    <t>Категория шины «Ввод»</t>
  </si>
  <si>
    <t>Путь</t>
  </si>
  <si>
    <t>Корень</t>
  </si>
  <si>
    <t>Уровень</t>
  </si>
  <si>
    <t>_строка фидера</t>
  </si>
  <si>
    <t>_Руст собств</t>
  </si>
  <si>
    <t>_быт собств</t>
  </si>
  <si>
    <t>_сил собств</t>
  </si>
  <si>
    <t>_пост собств</t>
  </si>
  <si>
    <t>_P собств</t>
  </si>
  <si>
    <t>_Pcos собств</t>
  </si>
  <si>
    <t>_отоп собств</t>
  </si>
  <si>
    <t>_внг собств</t>
  </si>
  <si>
    <t>Р отопления, кВт</t>
  </si>
  <si>
    <t>Рр ВНГ, кВт</t>
  </si>
  <si>
    <t>_n силовых</t>
  </si>
  <si>
    <t>Кс силовых (табл. 7.5)</t>
  </si>
  <si>
    <t>Ко</t>
  </si>
  <si>
    <t>Кс итог</t>
  </si>
  <si>
    <t>P L1, кВт</t>
  </si>
  <si>
    <t>P L2, кВт</t>
  </si>
  <si>
    <t>P L3, кВт</t>
  </si>
  <si>
    <t>_ΔU фидера</t>
  </si>
  <si>
    <t>_ΔU пит. линии</t>
  </si>
  <si>
    <t>_ΔU источника</t>
  </si>
  <si>
    <t>_петля пит. кабеля</t>
  </si>
  <si>
    <t>_Zсети</t>
  </si>
  <si>
    <t>_Zисточника</t>
  </si>
  <si>
    <t>_Zфидера</t>
  </si>
  <si>
    <t>Zпетли на шинах, Ом</t>
  </si>
  <si>
    <t>_Zmax сети</t>
  </si>
  <si>
    <t>_Zmax источника</t>
  </si>
  <si>
    <t>_Zmax фидера</t>
  </si>
  <si>
    <t>Zmax на шинах, Ом</t>
  </si>
  <si>
    <t>_ранг собств</t>
  </si>
  <si>
    <t>Высшая категория нагрузки</t>
  </si>
  <si>
    <t>Категория фидера</t>
  </si>
  <si>
    <t>Iпуск max, А</t>
  </si>
  <si>
    <t>Источник фидера</t>
  </si>
  <si>
    <t>Пожарный фидер</t>
  </si>
  <si>
    <t>ЩР</t>
  </si>
  <si>
    <t>ШИНЫ: тип шины вручную. Без строки здесь — по имени (ИБП / ДГУ) или по секции линии (Ввод 1 / 2 / 3).</t>
  </si>
  <si>
    <t>Тип</t>
  </si>
  <si>
    <t>№ места</t>
  </si>
  <si>
    <t>Лист / место</t>
  </si>
  <si>
    <t>Питает щит</t>
  </si>
  <si>
    <t>Группа Кс (Быт/Сил/Пост/Отоп/ВНГ/Нет; пусто = по коду)</t>
  </si>
  <si>
    <t>cos φ (ручн.)</t>
  </si>
  <si>
    <t>Фаза (ручная)</t>
  </si>
  <si>
    <t>Вид нагрузки (пусто = по коду)</t>
  </si>
  <si>
    <t>Пожарная (ввод: да / нет; пусто = по коду)</t>
  </si>
  <si>
    <t>Автомат «авто» или текст</t>
  </si>
  <si>
    <t>Дифзащита, мА</t>
  </si>
  <si>
    <t>Аппарат 1</t>
  </si>
  <si>
    <t>Режим</t>
  </si>
  <si>
    <t>Замечания</t>
  </si>
  <si>
    <t>_n</t>
  </si>
  <si>
    <t>_часть1</t>
  </si>
  <si>
    <t>_часть2</t>
  </si>
  <si>
    <t>Наименование по коду</t>
  </si>
  <si>
    <t>Наименование (итог)</t>
  </si>
  <si>
    <t>_фидер</t>
  </si>
  <si>
    <t>_№ щита</t>
  </si>
  <si>
    <t>_мест узла</t>
  </si>
  <si>
    <t>_№ места (итог)</t>
  </si>
  <si>
    <t>_зона</t>
  </si>
  <si>
    <t>U, В</t>
  </si>
  <si>
    <t>Марка (итог)</t>
  </si>
  <si>
    <t>Сечение задано</t>
  </si>
  <si>
    <t>_тип пуска</t>
  </si>
  <si>
    <t>_k жил</t>
  </si>
  <si>
    <t>_К прокл</t>
  </si>
  <si>
    <t>_столбец Iдоп</t>
  </si>
  <si>
    <t>_ρ</t>
  </si>
  <si>
    <t>_x</t>
  </si>
  <si>
    <t>_Lплан</t>
  </si>
  <si>
    <t>_гофра ПВХ</t>
  </si>
  <si>
    <t>_гофра ПНД</t>
  </si>
  <si>
    <t>_b</t>
  </si>
  <si>
    <t>_sin</t>
  </si>
  <si>
    <t>_ΔU, В</t>
  </si>
  <si>
    <t>ΔU, %</t>
  </si>
  <si>
    <t>Допустимо ΔU, %</t>
  </si>
  <si>
    <t>_кабель</t>
  </si>
  <si>
    <t>_кабель с сечением</t>
  </si>
  <si>
    <t>_Zкабеля</t>
  </si>
  <si>
    <t>_Zmax кабеля</t>
  </si>
  <si>
    <t>_Руст (без Нет)</t>
  </si>
  <si>
    <t>_Руст быт</t>
  </si>
  <si>
    <t>_Рр сил</t>
  </si>
  <si>
    <t>_Руст пост</t>
  </si>
  <si>
    <t>_Р отопления</t>
  </si>
  <si>
    <t>_Рр ВНГ</t>
  </si>
  <si>
    <t>_P для cos</t>
  </si>
  <si>
    <t>_P·cos</t>
  </si>
  <si>
    <t>_фаза №</t>
  </si>
  <si>
    <t>_фаза авто</t>
  </si>
  <si>
    <t>_Iпуск двиг.</t>
  </si>
  <si>
    <t>_Iпуск LED</t>
  </si>
  <si>
    <t>Iпуск, А</t>
  </si>
  <si>
    <t>_шина группы</t>
  </si>
  <si>
    <t>Шина (итог)</t>
  </si>
  <si>
    <t>_секция №</t>
  </si>
  <si>
    <t>_ранг категории</t>
  </si>
  <si>
    <t>_ранг для фидера</t>
  </si>
  <si>
    <t>_путь щита</t>
  </si>
  <si>
    <t>Вид нагрузки (итог)</t>
  </si>
  <si>
    <t>Лист схемы</t>
  </si>
  <si>
    <t>Кабель (строкой)</t>
  </si>
  <si>
    <t>_Р схемы</t>
  </si>
  <si>
    <t>_Ток схемы</t>
  </si>
  <si>
    <t>_фаз</t>
  </si>
  <si>
    <t>_дифзащита по коду, мА</t>
  </si>
  <si>
    <t>_в кабель выше</t>
  </si>
  <si>
    <t>_гр.</t>
  </si>
  <si>
    <t>_гр. (перенос)</t>
  </si>
  <si>
    <t>_мин. по типу</t>
  </si>
  <si>
    <t>_макс. автомат по кабелю</t>
  </si>
  <si>
    <t>_ток группы</t>
  </si>
  <si>
    <t>_номинал по току</t>
  </si>
  <si>
    <t>_по току</t>
  </si>
  <si>
    <t>_мин. по кабелям</t>
  </si>
  <si>
    <t>_фаз гр.</t>
  </si>
  <si>
    <t>Дифзащита группы, мА</t>
  </si>
  <si>
    <t>_дифзащита гр. (0/1)</t>
  </si>
  <si>
    <t>_QF нач.</t>
  </si>
  <si>
    <t>_QF гр.</t>
  </si>
  <si>
    <t>_аппараты гр.</t>
  </si>
  <si>
    <t>_БП/тр-р</t>
  </si>
  <si>
    <t>_номинал</t>
  </si>
  <si>
    <t>_полюса</t>
  </si>
  <si>
    <t>Автомат (схема)</t>
  </si>
  <si>
    <t>_номинал итог</t>
  </si>
  <si>
    <t>_префикс</t>
  </si>
  <si>
    <t>_модуль нач.</t>
  </si>
  <si>
    <t>_модуль гр.</t>
  </si>
  <si>
    <t>_модель гр.</t>
  </si>
  <si>
    <t>Канал (итог)</t>
  </si>
  <si>
    <t>_посл. канал</t>
  </si>
  <si>
    <t>_клемма</t>
  </si>
  <si>
    <t>Клемма (итог)</t>
  </si>
  <si>
    <t>_Модуль (схема)</t>
  </si>
  <si>
    <t>Проверка автомата</t>
  </si>
  <si>
    <t>Проверка канала</t>
  </si>
  <si>
    <t>_In гр.</t>
  </si>
  <si>
    <t>_автомат гр.</t>
  </si>
  <si>
    <t>_дифзащита гр. (строки)</t>
  </si>
  <si>
    <t>_мА гр. (строки)</t>
  </si>
  <si>
    <t>_кратность</t>
  </si>
  <si>
    <t>Отключение ≤ 0,4 с</t>
  </si>
  <si>
    <t>Статус</t>
  </si>
  <si>
    <t>Icu автомата, кА</t>
  </si>
  <si>
    <t>Проверка Icu</t>
  </si>
  <si>
    <t>_цепь для бирок</t>
  </si>
  <si>
    <t>_цепь с кабелем</t>
  </si>
  <si>
    <t>_бирка 1</t>
  </si>
  <si>
    <t>_бирка 1 линия</t>
  </si>
  <si>
    <t>_бирка 2</t>
  </si>
  <si>
    <t>_бирка 2 линия</t>
  </si>
  <si>
    <t>_бирка 3</t>
  </si>
  <si>
    <t>_бирка 3 линия</t>
  </si>
  <si>
    <t>_бирка 4</t>
  </si>
  <si>
    <t>_бирка 4 линия</t>
  </si>
  <si>
    <t>_бирка 5</t>
  </si>
  <si>
    <t>_бирка 5 линия</t>
  </si>
  <si>
    <t>_бирка 6</t>
  </si>
  <si>
    <t>_бирка 6 линия</t>
  </si>
  <si>
    <t>_модель (схема)</t>
  </si>
  <si>
    <t>_цепь</t>
  </si>
  <si>
    <t>_draw</t>
  </si>
  <si>
    <t>_bus2</t>
  </si>
  <si>
    <t>_rcd</t>
  </si>
  <si>
    <t>_chtype</t>
  </si>
  <si>
    <t>_dev1</t>
  </si>
  <si>
    <t>_dev2</t>
  </si>
  <si>
    <t>_dev3</t>
  </si>
  <si>
    <t>_УГО (рус)</t>
  </si>
  <si>
    <t>_sym</t>
  </si>
  <si>
    <t>_hasline</t>
  </si>
  <si>
    <t>_тип автомата №</t>
  </si>
  <si>
    <t>_аппарат 1 №</t>
  </si>
  <si>
    <t>_аппарат 2 №</t>
  </si>
  <si>
    <t>_аппарат 3 №</t>
  </si>
  <si>
    <t>_кабель клеммы</t>
  </si>
  <si>
    <t>_вид клеммы №</t>
  </si>
  <si>
    <t>_модуль №</t>
  </si>
  <si>
    <t>_модель №</t>
  </si>
  <si>
    <t>_уровень</t>
  </si>
  <si>
    <t>_№ линии</t>
  </si>
  <si>
    <t>_3L клемм</t>
  </si>
  <si>
    <t>_доп. проходных</t>
  </si>
  <si>
    <t>ИБП (для щитов с шиной ИБП)</t>
  </si>
  <si>
    <t>cos φ на выходе ИБП</t>
  </si>
  <si>
    <t>Автономия, мин</t>
  </si>
  <si>
    <t>Напряжение АКБ, В</t>
  </si>
  <si>
    <t>Коэффициент разряда / старения АКБ</t>
  </si>
  <si>
    <t>Заряд АКБ, доля мощности</t>
  </si>
  <si>
    <t>cos φ на входе ИБП</t>
  </si>
  <si>
    <t>Ряд типоразмеров ИБП, кВА</t>
  </si>
  <si>
    <t>РЕЖИМЫ: нагрузка выбранного щита (вместе со всеми нижестоящими) по вводам в разных режимах</t>
  </si>
  <si>
    <t>Как читать: столбцы — источники (Ввод 1/2/3, ИБП, ДГУ), блоки — режимы. На «Нормальный» и «Аварийный» проверяются вводы, аппараты и кабели (берётся больший). Пожарные — отдельно, в максимум не входят. Блок 7 — кВт по категориям для ТУ.</t>
  </si>
  <si>
    <t>Щит:</t>
  </si>
  <si>
    <t>в составе</t>
  </si>
  <si>
    <t>нижний щит</t>
  </si>
  <si>
    <t>источник</t>
  </si>
  <si>
    <t>пожарная</t>
  </si>
  <si>
    <t>категория</t>
  </si>
  <si>
    <t>Вход ИБП, кВт / квар:</t>
  </si>
  <si>
    <t>1. НОРМАЛЬНЫЙ РЕЖИМ (секционный выключатель отключён, пожарные не входят; ИБП — нагрузка на выходе, справочно)</t>
  </si>
  <si>
    <t>Итого (вводы)</t>
  </si>
  <si>
    <t>Кс (Рр / Руст)</t>
  </si>
  <si>
    <t>2. АВАРИЙНЫЙ: потерян Ввод 1 (его нагрузка и вход ИБП — на Ввод 2)</t>
  </si>
  <si>
    <t>3. АВАРИЙНЫЙ: потерян Ввод 2 (его нагрузка и вход ИБП — на Ввод 1)</t>
  </si>
  <si>
    <t>4. ПОТЕРЯНЫ ВСЕ ВВОДЫ: работают только ИБП и ДГУ</t>
  </si>
  <si>
    <t>5. ПОЖАР: пожарные нагрузки (в расчётный максимум не входят, СП 256 п. 7.1.9; Кс пожарных = 1)</t>
  </si>
  <si>
    <t>6. НОРМАЛЬНЫЙ + ПОЖАРНЫЕ (проверка вводов при пожаре)</t>
  </si>
  <si>
    <t>7. ПО КАТЕГОРИЯМ НАДЁЖНОСТИ (для ТУ и пояснительной записки; ИБП — нагрузка на выходе)</t>
  </si>
  <si>
    <t>Линий</t>
  </si>
  <si>
    <t>Пожарные: Руст, кВт</t>
  </si>
  <si>
    <t>Пожарные: Рр, кВт</t>
  </si>
  <si>
    <t>Кс быт применяется к каждому набору линий отдельно (табл. 7.2 по сумме Руст быт набора), поэтому сумма строк может отличаться от «Итого».</t>
  </si>
  <si>
    <t>8. ИБП ВЫБРАННОГО ЩИТА (нагрузка шин ИБП, без пожарных)</t>
  </si>
  <si>
    <t>P на выходе, кВт</t>
  </si>
  <si>
    <t>Требуемая S по загрузке, кВА</t>
  </si>
  <si>
    <t>Типоразмер ИБП, кВА</t>
  </si>
  <si>
    <t>Загрузка принятого ИБП</t>
  </si>
  <si>
    <t>Ёмкость АКБ, А·ч</t>
  </si>
  <si>
    <t>Вход ИБП, кВт (на ввод)</t>
  </si>
  <si>
    <t>ТАБЛИЦА НАГРУЗОК ДЛЯ ПОЯСНИТЕЛЬНОЙ ЗАПИСКИ</t>
  </si>
  <si>
    <t>Щит (ВРУ):</t>
  </si>
  <si>
    <t>Весь щит</t>
  </si>
  <si>
    <t>ОСНОВНЫЕ ПОКАЗАТЕЛИ</t>
  </si>
  <si>
    <t>ΔU от ВРУ до шин щита, %</t>
  </si>
  <si>
    <t>Iкз min (1ф) / Iкз max (3ф) на шинах</t>
  </si>
  <si>
    <t>Наименование электроприёмника (вид нагрузки)</t>
  </si>
  <si>
    <t>Итого (сумма строк)</t>
  </si>
  <si>
    <t>Расчётная нагрузка щита: Рр = kп.к·Руст быт·Кс + Ко·Рр сил + Руст пост + Р отоп + 0,7·Р ВНГ (СП 256)</t>
  </si>
  <si>
    <t>Как считается: строка = вид нагрузки (столбец «Вид нагрузки» в «Линиях», пусто — по коду). Кс бытовой нагрузки — по таблице СП 256 по сумме Руст быт ВСЕГО щита, поэтому строки складываются в «Итого». Строка «Расчётная нагрузка» учитывает Ко = 0,9 и kп.к. Пожарные нагрузки не входят (СП 256 п. 7.1.9). Для записки: выберите щит и режим, скопируйте A14:J… и вставьте как значения.</t>
  </si>
  <si>
    <t>КАБЕЛЬНЫЙ ЖУРНАЛ. Для AutoCAD — макрос «Выгрузить журнал» (лёгкий файл для Data Link).</t>
  </si>
  <si>
    <t>Количество кабелей и сечение</t>
  </si>
  <si>
    <t>Запас длины:</t>
  </si>
  <si>
    <t>Кабель (марка, сечение)</t>
  </si>
  <si>
    <t>С запасом, м</t>
  </si>
  <si>
    <t>Спецификация для щита (все — весь объект):</t>
  </si>
  <si>
    <t>все</t>
  </si>
  <si>
    <t>По однолинейке (авто; щит — «Спецификация» D1)</t>
  </si>
  <si>
    <t>ИТОГИ ПО ЩИТАМ (данные под однолинейку)</t>
  </si>
  <si>
    <t xml:space="preserve">  в т. ч. бытовая</t>
  </si>
  <si>
    <t>Кс быт (табл. 7.2)</t>
  </si>
  <si>
    <t>Рр силовой (Σ P·Кс)</t>
  </si>
  <si>
    <t>Руст постоянной</t>
  </si>
  <si>
    <t>Р отопления (Кс 1)</t>
  </si>
  <si>
    <t>Рр ВНГ (×0,7)</t>
  </si>
  <si>
    <t>Кс итог = Рр / Руст</t>
  </si>
  <si>
    <t>Qр = Рр·tg φ</t>
  </si>
  <si>
    <t>квар</t>
  </si>
  <si>
    <t>Sр</t>
  </si>
  <si>
    <t>Iр (по наиб. нагруженной фазе)</t>
  </si>
  <si>
    <t>P L1 / L2 / L3</t>
  </si>
  <si>
    <t>L1р / L2р / L3р (P·Кс итог)</t>
  </si>
  <si>
    <t>Перекос фаз (max−min)/max</t>
  </si>
  <si>
    <t>Наибольший пусковой ток</t>
  </si>
  <si>
    <t>ΔU от ВРУ до шин</t>
  </si>
  <si>
    <t>Iкз min, А</t>
  </si>
  <si>
    <t>Iкз max, кА</t>
  </si>
  <si>
    <t>Карточка слева — для таблицы под однолинейкой выбранного щита (скопируйте B4:D27 как значения). Справа — все щиты объекта.</t>
  </si>
  <si>
    <t>БИРКИ: строка на каждый провод — от автомата до устройства, от устройства до клеммы, от клеммы — кабель к потребителю</t>
  </si>
  <si>
    <t>Откуда</t>
  </si>
  <si>
    <t>Куда</t>
  </si>
  <si>
    <t>ПРОВЕРКА ОБЪЕКТА</t>
  </si>
  <si>
    <t>Перейти</t>
  </si>
  <si>
    <t>ЛИНИЯ (ввод)</t>
  </si>
  <si>
    <t>КАБЕЛЬ (ввод)</t>
  </si>
  <si>
    <t>КАТЕГОРИИ (ввод)</t>
  </si>
  <si>
    <t>СХЕМА (ввод)</t>
  </si>
  <si>
    <t>DWG (заполняет DLN)</t>
  </si>
  <si>
    <t>ЗАМЕЧАНИЯ</t>
  </si>
  <si>
    <t>КАТЕГОРИИ (расчёт)</t>
  </si>
  <si>
    <t>СХЕМА (расчёт)</t>
  </si>
  <si>
    <t>СХЕМА ЩИТА (ввод для каждого щита)</t>
  </si>
  <si>
    <t>ТОЛЬКО ДЛЯ ВРУ / ГРЩ: сеть и питающий кабель (ввод)</t>
  </si>
  <si>
    <t>РЕЗУЛЬТАТ (считается сам)</t>
  </si>
  <si>
    <t>ГАЙД ПО ОДНОЛИНЕЙКЕ v4</t>
  </si>
  <si>
    <t>Одна книга — один объект: все щиты, все линии, все расчёты. Связей между файлами нет. Текст написан по правилам ASD-STE100: одно действие в предложении, один термин — одно значение.</t>
  </si>
  <si>
    <t>Разделы 4–15 — порядок работы. На листах «Объект», «Щиты», «Шины» есть свой короткий гайд. Как и по каким нормам всё считается — лист «Методика».</t>
  </si>
  <si>
    <t>Здание или комплекс. Одна книга = один объект.</t>
  </si>
  <si>
    <t>Электрический щит объекта. Каждый щит — одна строка на листе «Щиты».</t>
  </si>
  <si>
    <t>Щиты!A10</t>
  </si>
  <si>
    <t>ВРУ (корневой щит)</t>
  </si>
  <si>
    <t>Щит без вышестоящего щита в книге: ГРЩ, ВРУ. Для него вводятся данные сети.</t>
  </si>
  <si>
    <t>Отходящая цепь щита. Одна строка на листе «Линии» = одно место схемы.</t>
  </si>
  <si>
    <t>Линии!A3</t>
  </si>
  <si>
    <t>Текст вида «Код.Помещение.№». Пример: R.1.05.4. Код ищется на листе «Коды».</t>
  </si>
  <si>
    <t>Колонка на схеме (шаг 20 мм). На листе A3 — 17 мест (настройка «Таблицы_норм» BF4).</t>
  </si>
  <si>
    <t>Вводной узел</t>
  </si>
  <si>
    <t>Первые места схемы щита (обычно 1–15): вводы, АВР, байпас. Вы рисуете их сами. Строки узла в схеме не рисуются.</t>
  </si>
  <si>
    <t>Линия, которая питает другой щит этой книги. Номер линии = имя щита — фидер найден автоматически.</t>
  </si>
  <si>
    <t>Несколько линий на одном автомате. Автомат стоит в первой строке группы.</t>
  </si>
  <si>
    <t>Дифзащита</t>
  </si>
  <si>
    <t>Ток утечки защиты (УЗО, дифавтомат): 10, 30, 100, 300 мА. Пусто — по коду.</t>
  </si>
  <si>
    <t>Жёлтый столбец</t>
  </si>
  <si>
    <t>Ввод. Вводите данные только сюда.</t>
  </si>
  <si>
    <t>Серый столбец</t>
  </si>
  <si>
    <t>Расчёт. Значение считается само. Служебные столбцы свёрнуты кнопкой «+» над таблицей.</t>
  </si>
  <si>
    <t>ОСТОРОЖНО: Не сортируйте таблицу «Линии». Порядок строк = порядок мест и групп на схеме.</t>
  </si>
  <si>
    <t>ОСТОРОЖНО: Не переименовывайте листы, таблицы и заголовки столбцов. Формулы и программы AutoCAD ищут их по имени.</t>
  </si>
  <si>
    <t>ОСТОРОЖНО: Не вводите данные в серые столбцы и на лист «Однолинейка». Лист «Однолинейка» считается сам.</t>
  </si>
  <si>
    <t>ВНИМАНИЕ: Новую строку добавляйте внутри таблицы: правая кнопка на строке → «Вставить» → «Строки таблицы выше». Формулы продлятся сами.</t>
  </si>
  <si>
    <t>3. ЛИСТЫ</t>
  </si>
  <si>
    <t>Что на нём</t>
  </si>
  <si>
    <t>Все замечания объекта одним списком. Начинайте и заканчивайте работу здесь.</t>
  </si>
  <si>
    <t>Проверка!A1</t>
  </si>
  <si>
    <t>Настройки объекта: методика, kп.к, ток КЗ, Кс силовых, ИБП. Внизу — гайд по настройке.</t>
  </si>
  <si>
    <t>Объект!B1</t>
  </si>
  <si>
    <t>Коды</t>
  </si>
  <si>
    <t>Коды потребителей, УГО, этажи, кабели. Таблицы растут сами.</t>
  </si>
  <si>
    <t>Коды!A3</t>
  </si>
  <si>
    <t>Щиты</t>
  </si>
  <si>
    <t>Щиты объекта: схема (ввод) и результат. Сверху — гайд.</t>
  </si>
  <si>
    <t>Итоги_щитов</t>
  </si>
  <si>
    <t>Карточка щита для таблицы под однолинейкой и сводка по всем щитам.</t>
  </si>
  <si>
    <t>Итоги_щитов!C3</t>
  </si>
  <si>
    <t>Тип шины вручную — только если не определяется сам. Сверху — гайд.</t>
  </si>
  <si>
    <t>Шины!A8</t>
  </si>
  <si>
    <t>Линии</t>
  </si>
  <si>
    <t>Главный лист ввода: все линии всех щитов.</t>
  </si>
  <si>
    <t>Линии!A2</t>
  </si>
  <si>
    <t>Нагрузка щита по вводам: нормальный, аварийный, пожар, категории, ИБП.</t>
  </si>
  <si>
    <t>Таблица нагрузок для пояснительной записки.</t>
  </si>
  <si>
    <t>Расчёт_нагрузок!C4</t>
  </si>
  <si>
    <t>Журнал кабелей (как в v3.12) и сводка по маркам.</t>
  </si>
  <si>
    <t>Кабельный_журнал!A2</t>
  </si>
  <si>
    <t>Однолинейка</t>
  </si>
  <si>
    <t>Расчётный лист для AutoCAD (SXDRAW, SXLAYOUT). Не изменяйте его.</t>
  </si>
  <si>
    <t>Однолинейка!A1</t>
  </si>
  <si>
    <t>Каталог, Спецификация, Спецификация_авто</t>
  </si>
  <si>
    <t>Оборудование и спецификация. Щит — «Спецификация» D1.</t>
  </si>
  <si>
    <t>Спецификация!D1</t>
  </si>
  <si>
    <t>Строка на каждый провод: откуда — куда.</t>
  </si>
  <si>
    <t>Бирки!A3</t>
  </si>
  <si>
    <t>Методика</t>
  </si>
  <si>
    <t>Как считается каждая величина и по какой норме.</t>
  </si>
  <si>
    <t>Таблицы_норм</t>
  </si>
  <si>
    <t>Допустимые токи, сопротивления, номиналы, Кс быт, настройки сети. Обычно не меняют.</t>
  </si>
  <si>
    <t>Заполните лист «Объект» (раздел 5).</t>
  </si>
  <si>
    <t>Объект!C3</t>
  </si>
  <si>
    <t>Внесите щиты на лист «Щиты» (раздел 6).</t>
  </si>
  <si>
    <t>Проверьте коды потребителей на листе «Коды» (раздел 7).</t>
  </si>
  <si>
    <t>Коды!A4</t>
  </si>
  <si>
    <t>Заполните линии на листе «Линии» (раздел 8).</t>
  </si>
  <si>
    <t>Если нужно, задайте тип шины на листе «Шины» (раздел 9).</t>
  </si>
  <si>
    <t>Шины!A9</t>
  </si>
  <si>
    <t>Откройте лист «Проверка» и устраните замечания (раздел 10).</t>
  </si>
  <si>
    <t>Возьмите результаты: «Итоги_щитов», «Режимы», «Расчёт_нагрузок», журнал, бирки (разделы 11–13).</t>
  </si>
  <si>
    <t>Нарисуйте схему в AutoCAD и выпустите спецификацию (разделы 14–15).</t>
  </si>
  <si>
    <t>5. ЛИСТ «ОБЪЕКТ»</t>
  </si>
  <si>
    <t>C3 — введите название и адрес объекта.</t>
  </si>
  <si>
    <t>C8 — методика. Для нового проекта оставьте «нормы 2026».</t>
  </si>
  <si>
    <t>Объект!C8</t>
  </si>
  <si>
    <t>C9 — kп.к. Для частного дома оставьте 1.</t>
  </si>
  <si>
    <t>Объект!C9</t>
  </si>
  <si>
    <t>ПРИМЕЧАНИЕ: Что значит каждая настройка и на что влияет — гайд внизу листа «Объект».</t>
  </si>
  <si>
    <t>6. ЛИСТ «ЩИТЫ»</t>
  </si>
  <si>
    <t>Щит — введите имя щита. Каждый щит — одна строка.</t>
  </si>
  <si>
    <t>Вводов, АВР, ИБП от — введите схему щита.</t>
  </si>
  <si>
    <t>Щиты!C10</t>
  </si>
  <si>
    <t>Мест под вводной узел — сколько первых мест схемы занимает вводной узел (обычно 15).</t>
  </si>
  <si>
    <t>«Питается от» оставьте пусто. Книга найдёт фидер сама. Заполняйте, только если фидера нет в «Линиях».</t>
  </si>
  <si>
    <t>Для ВРУ / ГРЩ введите данные сети: Iкз min и Iкз max от сетевой организации или «ТП» и Sтр.</t>
  </si>
  <si>
    <t>ОСТОРОЖНО: Без данных сети книга не считает ток КЗ и не проверяет отключение 0,4 с ни в одном щите.</t>
  </si>
  <si>
    <t>7. ЛИСТ «КОДЫ»</t>
  </si>
  <si>
    <t>Найдите код в таблице «Коды» (столбец A).</t>
  </si>
  <si>
    <t>Чтобы добавить код, введите его в первую пустую строку под таблицей. Таблица расширится сама.</t>
  </si>
  <si>
    <t>В таблице «УГО» задайте значок, дифзащиту (мА, «да» = 30), минимальный автомат, клеммы 3L.</t>
  </si>
  <si>
    <t>Коды!O4</t>
  </si>
  <si>
    <t>ВНИМАНИЕ: Один код = одно определение на весь объект. Если изменить опуск кода, изменятся длины всех его линий.</t>
  </si>
  <si>
    <t>8. ЛИСТ «ЛИНИИ»</t>
  </si>
  <si>
    <t>Строка = одно место схемы. Щиты разделены линией и цветом. Строки вводного узла подсвечены голубым.</t>
  </si>
  <si>
    <t>Щит — введите щит. Места одного щита ставьте подряд.</t>
  </si>
  <si>
    <t>№ места — оставьте пусто: место будет следующим по порядку, после вводного узла. Число — своё место (пропуск = пустая колонка). «-» — строки нет на схеме.</t>
  </si>
  <si>
    <t>Линии!B3</t>
  </si>
  <si>
    <t>«Лист / место» показывает лист схемы A3 и место на нём. «узел» — строка вводного узла.</t>
  </si>
  <si>
    <t>Линии!C3</t>
  </si>
  <si>
    <t>Номер линии — введите номер. Наименование подставится по коду. Чтобы переписать — введите свой текст в «Наименование».</t>
  </si>
  <si>
    <t>Линии!D3</t>
  </si>
  <si>
    <t>8.5</t>
  </si>
  <si>
    <t>Питает щит — заполняйте, только если номер фидера не совпадает с именем щита.</t>
  </si>
  <si>
    <t>8.6</t>
  </si>
  <si>
    <t>Мощность, кол-во, фазы, напряжение, группа Кс, длины, кабель — введите или оставьте пусто (по коду, по чертежу).</t>
  </si>
  <si>
    <t>8.7</t>
  </si>
  <si>
    <t>Категория надёжности и «Пожарная» — для линий, которым они нужны.</t>
  </si>
  <si>
    <t>8.8</t>
  </si>
  <si>
    <t>Схема: «Автомат» = «авто» в первой строке группы. Дифзащита, аппараты, модуль, канал, клемма — как в v3.12.</t>
  </si>
  <si>
    <t>Линии!AC3</t>
  </si>
  <si>
    <t>8.9</t>
  </si>
  <si>
    <t>Режим: «вручную» — строка только в таблице; «рисовать» — нарисовать строку вводного узла.</t>
  </si>
  <si>
    <t>Автомат = «авто». Клемма пусто (номер по порядку) или своя.</t>
  </si>
  <si>
    <t>Первая строка: «авто». Следующие строки: автомат пусто.</t>
  </si>
  <si>
    <t>Дифзащита 30 / 100 / 300 мА</t>
  </si>
  <si>
    <t>Дифзащита = 30 (100, 300). «нет» — без неё.</t>
  </si>
  <si>
    <t>Шина = имя шины в строке с автоматом.</t>
  </si>
  <si>
    <t>Линия на модуле</t>
  </si>
  <si>
    <t>Модуль = модель в первой строке модуля. «-» — в первой строке после модуля. Канал: пусто — авто, № — вручную.</t>
  </si>
  <si>
    <t>Параллельная линия, резерв, тот же кабель, без клеммы</t>
  </si>
  <si>
    <t>Канал = «=», «р», «+», «б/к».</t>
  </si>
  <si>
    <t>Клемма без номера</t>
  </si>
  <si>
    <t>Клемма = «нет».</t>
  </si>
  <si>
    <t>ПРИМЕЧАНИЕ: Справа серые столбцы: «Замечания», ток, автомат, сечение, ΔU, Iкз, категория. Примечание к заголовку — формула и норма.</t>
  </si>
  <si>
    <t>9. ЛИСТ «ШИНЫ»</t>
  </si>
  <si>
    <t>9.1</t>
  </si>
  <si>
    <t>Обычно лист пустой: имя шины с «ИБП» или «ДГУ» определяется само, иначе — по секции линии.</t>
  </si>
  <si>
    <t>9.2</t>
  </si>
  <si>
    <t>Заполните строку, только если имя шины не говорит о типе (пример: шина «ЩГП» от ИБП).</t>
  </si>
  <si>
    <t>10. ЛИСТ «ПРОВЕРКА»</t>
  </si>
  <si>
    <t>Слева — замечания по щитам. Справа — по линиям. «→» — перейти к строке.</t>
  </si>
  <si>
    <t>Проверка!A4</t>
  </si>
  <si>
    <t>Замечание</t>
  </si>
  <si>
    <t>Что сделать</t>
  </si>
  <si>
    <t>нет данных сети для ТКЗ</t>
  </si>
  <si>
    <t>Введите Iкз от сетевой организации или трансформатор в строке ВРУ на листе «Щиты».</t>
  </si>
  <si>
    <t>ПЕРЕГРУЗ</t>
  </si>
  <si>
    <t>Ток группы больше номинала. Увеличьте автомат или разделите группу.</t>
  </si>
  <si>
    <t>КАБЕЛЬ НЕ ЗАЩИЩЁН</t>
  </si>
  <si>
    <t>категория … не обеспечена</t>
  </si>
  <si>
    <t>Нужен второй ввод с АВР у щита или шина ИБП/ДГУ. Или снизьте требуемую категорию.</t>
  </si>
  <si>
    <t>розетка без дифзащиты до 30 мА</t>
  </si>
  <si>
    <t>Поставьте дифзащиту 30 мА (или 10 мА) на розеточную группу (ПУЭ 7.1.79).</t>
  </si>
  <si>
    <t>Icu … &lt; Iкз max</t>
  </si>
  <si>
    <t>Выберите автомат с большей отключающей способностью.</t>
  </si>
  <si>
    <t>потери … &gt; …</t>
  </si>
  <si>
    <t>Увеличьте сечение или сократите длину.</t>
  </si>
  <si>
    <t>не на схеме</t>
  </si>
  <si>
    <t>Уберите «-» из № места или удалите строку.</t>
  </si>
  <si>
    <t>11. ЛИСТЫ «ИТОГИ_ЩИТОВ» И «РЕЖИМЫ»</t>
  </si>
  <si>
    <t>«Итоги_щитов» C3 — выберите щит. Карточка B4:D27 — данные под однолинейку (Руст, Кс, Рр, cos φ, Iр, фазы).</t>
  </si>
  <si>
    <t>Справа на «Итогах_щитов» — все щиты объекта одной таблицей.</t>
  </si>
  <si>
    <t>«Режимы» C3 — выберите щит. Смотрите нормальный, аварийный, пожар; блок 7 — кВт по категориям для ТУ; блок 8 — ИБП.</t>
  </si>
  <si>
    <t>ПРИМЕЧАНИЕ: Пожарные нагрузки не входят в расчётный максимум (СП 256 п. 7.1.9).</t>
  </si>
  <si>
    <t>12. ЛИСТ «РАСЧЁТ_НАГРУЗОК» (ДЛЯ ПОЯСНИТЕЛЬНОЙ ЗАПИСКИ)</t>
  </si>
  <si>
    <t>C3 — объект. C4 — щит. C5 — режим: весь щит или секция.</t>
  </si>
  <si>
    <t>Скопируйте таблицу и основные показатели в пояснительную записку как значения.</t>
  </si>
  <si>
    <t>13. ЖУРНАЛ И БИРКИ</t>
  </si>
  <si>
    <t>«Кабельный_журнал»: маркировка, трасса, кабель по проекту. «Проложено», испытания, дата — заполняют на монтаже.</t>
  </si>
  <si>
    <t>P2 — запас длины для сводки по маркам кабеля (0,2 = 20 %).</t>
  </si>
  <si>
    <t>Кабельный_журнал!P2</t>
  </si>
  <si>
    <t>Для AutoCAD запустите макрос «Выгрузить журнал». В Data Link укажите этот лёгкий файл.</t>
  </si>
  <si>
    <t>«Бирки»: строка на каждый провод — от автомата к устройству, от устройства к клемме, от клеммы — кабель.</t>
  </si>
  <si>
    <t>14. СХЕМА В AUTOCAD</t>
  </si>
  <si>
    <t>Выполните SXDRAW. Выберите эту книгу, лист «Однолинейка», щит. Один щит — один чертёж.</t>
  </si>
  <si>
    <t>После правки книги выполните SXUPDATE. Компоновка щита — SXLAYOUT.</t>
  </si>
  <si>
    <t>Вводной узел нарисуйте сами. Строку узла можно нарисовать: Режим = «рисовать».</t>
  </si>
  <si>
    <t>15. СПЕЦИФИКАЦИЯ</t>
  </si>
  <si>
    <t>«Спецификация» D1 — выберите щит или «все».</t>
  </si>
  <si>
    <t>Проверьте «Каталог»: N — по схеме выбранного щита, O — запас вручную.</t>
  </si>
  <si>
    <t>Нажмите «Обновить спецификацию» (макрос SX_Spec). Источник — лист «Спецификация_авто».</t>
  </si>
  <si>
    <t>Спецификация_авто!A1</t>
  </si>
  <si>
    <t>16. ГДЕ ПОДРОБНЕЕ</t>
  </si>
  <si>
    <t>Лист «Методика» и документ 4_Инструкции/Методика_расчёта.md — формулы, нормы, проверка по нормам РФ. Пример со всеми случаями — «Однолинейка_v4_пример_все_случаи.xlsx».</t>
  </si>
  <si>
    <t>Методика расчёта однолинейки и проверка по нормам РФ</t>
  </si>
  <si>
    <t>Версия книги: v3.12 → v4. Дата проверки: 03.10.2026, дополнено 04.10.2026.</t>
  </si>
  <si>
    <t>Пояснительная записка (ПЗ) — текстовая часть проекта; в книге v4 сокращение «ПЗ» не используется.</t>
  </si>
  <si>
    <t>Документ описывает каждый расчёт книги: формулу, исходные данные, место в книге, норму и вердикт. Он же — техническое задание на v4: раздел «В v4» у каждого расчёта говорит, что исправить.</t>
  </si>
  <si>
    <t>Как читать вердикт у каждого расчёта:</t>
  </si>
  <si>
    <t>•  ✅ соответствует — книга считает так, как требует норма. Ничего делать не нужно.</t>
  </si>
  <si>
    <t>•  ⚠️ упрощение / уточнить — расчёт допустим, но упрощён (например, не учтено сопротивление дуги) или зависит от решения инженера (например, какой Кс принять). Что именно упрощено — в столбце «Суть», что сделано или надо сделать — в столбце «В v4». Результат пользоваться можно, но прочитайте пояснение.</t>
  </si>
  <si>
    <t>•  ❌ расхождение — книга v3.12 могла дать результат не по норме. В v4 это исправлено или вынесено в проверку (лист «Проверка»).</t>
  </si>
  <si>
    <t>Нормы и редакции, по которым проверено:</t>
  </si>
  <si>
    <t>Документ</t>
  </si>
  <si>
    <t>Редакция</t>
  </si>
  <si>
    <t>Что из него берём</t>
  </si>
  <si>
    <t>ПУЭ, 7-е изд.</t>
  </si>
  <si>
    <t>гл. 1.2, 1.3, 1.7</t>
  </si>
  <si>
    <t>категории, допустимые токи, автоматическое отключение</t>
  </si>
  <si>
    <t>СП 256.1325800.2016</t>
  </si>
  <si>
    <t>ред. 01.03.2022 (изм. 1–5) + Изменение № 6 (2023) + Изменение № 9 (введено 26.01.2026)</t>
  </si>
  <si>
    <t>расчётные нагрузки, потери напряжения, КРМ, схемы</t>
  </si>
  <si>
    <t>ГОСТ Р 50571.4.43-2012</t>
  </si>
  <si>
    <t>защита от сверхтока: Iр ≤ In ≤ Iдоп, термическая стойкость</t>
  </si>
  <si>
    <t>ГОСТ Р 50571.5.52-2011</t>
  </si>
  <si>
    <t>потери напряжения (прил. G), способы прокладки, поправочные коэффициенты</t>
  </si>
  <si>
    <t>ГОСТ 31996-2012</t>
  </si>
  <si>
    <t>допустимые токи кабелей с ПВХ-изоляцией (ВВГнг и т. п.)</t>
  </si>
  <si>
    <t>ГОСТ 28249-93</t>
  </si>
  <si>
    <t>токи КЗ в установках до 1 кВ</t>
  </si>
  <si>
    <t>ГОСТ IEC 60898-1</t>
  </si>
  <si>
    <t>зоны мгновенного расцепления B / C / D</t>
  </si>
  <si>
    <t>СП 6.13130.2021</t>
  </si>
  <si>
    <t>электроснабжение систем противопожарной защиты</t>
  </si>
  <si>
    <t>ВНИМАНИЕ: формулировки Изменения № 9 к СП 256 проверены по пересказу официального текста. Перед внедрением в v4 сверьте табл. 7.2 и подраздел 7.5 с официальной публикацией.</t>
  </si>
  <si>
    <t>---</t>
  </si>
  <si>
    <t>1. Сводка проверки</t>
  </si>
  <si>
    <t>Расчёт</t>
  </si>
  <si>
    <t>Вердикт</t>
  </si>
  <si>
    <t>Суть</t>
  </si>
  <si>
    <t>В v4</t>
  </si>
  <si>
    <t>Ток линии</t>
  </si>
  <si>
    <t>✅</t>
  </si>
  <si>
    <t>I = P / (U·cos φ)</t>
  </si>
  <si>
    <t>без изменений</t>
  </si>
  <si>
    <t>cos φ линии</t>
  </si>
  <si>
    <t>⚠️</t>
  </si>
  <si>
    <t>по умолчанию 0,95 для всех, кроме кодов «двигатель»</t>
  </si>
  <si>
    <t>cos φ по типу нагрузки (СП 256 п. 7.1.12: насосы и вентиляция 0,8)</t>
  </si>
  <si>
    <t>Автомат линии по току</t>
  </si>
  <si>
    <t>ближайший стандартный с Iр ≤ 0,9·In (запас 10 %)</t>
  </si>
  <si>
    <t>без изменений, запас вынести в настройку</t>
  </si>
  <si>
    <t>Сечение кабеля</t>
  </si>
  <si>
    <t>ПУЭ табл. 1.3.7 (подписано «1.3.6»), один общий К прокладки</t>
  </si>
  <si>
    <t>ГОСТ 31996 / паспорт производителя, способ прокладки и коэффициенты по ГОСТ Р 50571.5.52</t>
  </si>
  <si>
    <t>Согласование автомат ↔ кабель</t>
  </si>
  <si>
    <t>In ≤ Iдоп·k, проверка «кабель не защищён»</t>
  </si>
  <si>
    <t>Длина линии</t>
  </si>
  <si>
    <t>✅ (проектный приём)</t>
  </si>
  <si>
    <t>план + опуски + подъём на этаж</t>
  </si>
  <si>
    <t>Потери напряжения</t>
  </si>
  <si>
    <t>формула ГОСТ Р 50571.5.52 прил. G, пределы 3 % / 4 % СП 256 п. 8.23</t>
  </si>
  <si>
    <t>добавить +0,005 %/м после 100 м и проверку 7,5 % от ТП</t>
  </si>
  <si>
    <t>Iкз min, отключение 0,4 с</t>
  </si>
  <si>
    <t>без сопротивления дуги, PE = фазе, только медь</t>
  </si>
  <si>
    <t>дуга по ГОСТ 28249, сечение PE, алюминий</t>
  </si>
  <si>
    <t>Iкз max, отключающая способность</t>
  </si>
  <si>
    <t>❌</t>
  </si>
  <si>
    <t>Iкз max считается, но с Icu аппарата не сравнивается</t>
  </si>
  <si>
    <t>автоматическая проверка Icu ≥ Iкз max</t>
  </si>
  <si>
    <t>Кс бытовой нагрузки</t>
  </si>
  <si>
    <t>⚠️ / ❌</t>
  </si>
  <si>
    <t>табл. 7.2 верна, но отопление и тёплые полы снижаются Кс (по Изм. 9 — отдельно, Кс 1 и 0,7)</t>
  </si>
  <si>
    <t>группы «Отопление» и «ВНГ / тёплый пол»</t>
  </si>
  <si>
    <t>Кс силовой нагрузки</t>
  </si>
  <si>
    <t>вводится вручную (в объекте ЖД везде 0,5)</t>
  </si>
  <si>
    <t>автоматически по табл. 7.5 по числу электроприёмников</t>
  </si>
  <si>
    <t>Ко = 0,9</t>
  </si>
  <si>
    <t>применяется к любому щиту, в т. ч. чисто силовому</t>
  </si>
  <si>
    <t>только там, где сходятся квартиры и силовая нагрузка (ВРУ дома)</t>
  </si>
  <si>
    <t>kп.к (региональный)</t>
  </si>
  <si>
    <t>отсутствует (СП 256 формула 6, табл. 7.5а: ЦФО 0,81)</t>
  </si>
  <si>
    <t>настройка объекта + решение о применимости</t>
  </si>
  <si>
    <t>Пожарные нагрузки</t>
  </si>
  <si>
    <t>не входят в расчётный максимум (СП 256 п. 7.1.9)</t>
  </si>
  <si>
    <t>исправить ссылку (в книге — СП 31-110)</t>
  </si>
  <si>
    <t>cos φ и Iр щита</t>
  </si>
  <si>
    <t>cos φ щита — средневзвешенный по P, а не через Q</t>
  </si>
  <si>
    <t>Q = Σ P·tg φ, cos φ = P / S</t>
  </si>
  <si>
    <t>СП 256 п. 7.3.1–7.3.2: не требуется при ≤ 50 квар на ввод</t>
  </si>
  <si>
    <t>Категории надёжности</t>
  </si>
  <si>
    <t>ПУЭ 1.2.17–1.2.21, СП 256 табл. 6.1, п. 6.13, 8.10</t>
  </si>
  <si>
    <t>Питающая линия щита</t>
  </si>
  <si>
    <t>uк трансформатора 5,5 % константой, Y/Yн — «×3»</t>
  </si>
  <si>
    <t>uк и Zт(1) из паспорта трансформатора</t>
  </si>
  <si>
    <t>Лист «ТКЗ»</t>
  </si>
  <si>
    <t>старый расчёт (220 / Z, без коэффициентов), в основной не входит</t>
  </si>
  <si>
    <t>удалить, всё считает «Питание_щита»</t>
  </si>
  <si>
    <t>Запас кабеля 20 % в журнале</t>
  </si>
  <si>
    <t>не норма, проектный приём</t>
  </si>
  <si>
    <t>настройка объекта</t>
  </si>
  <si>
    <t>2. Исходные данные линии и значения «по коду»</t>
  </si>
  <si>
    <t>Одна линия = одна строка «Исходных данных». Номер линии имеет вид Код.Помещение.№ (пример: K.1.002A.1).</t>
  </si>
  <si>
    <t>Код (часть до первой точки) ищется в «Справочной» P4:P51. Из строки кода берутся значения по умолчанию:</t>
  </si>
  <si>
    <t>Что</t>
  </si>
  <si>
    <t>Столбец кода в «Справочной»</t>
  </si>
  <si>
    <t>Куда идёт</t>
  </si>
  <si>
    <t>Q</t>
  </si>
  <si>
    <t>«Исходные данные» B</t>
  </si>
  <si>
    <t>длина линии</t>
  </si>
  <si>
    <t>Этаж / шлейф</t>
  </si>
  <si>
    <t>S</t>
  </si>
  <si>
    <t>способ подписи и подъём на этаж</t>
  </si>
  <si>
    <t>Тип пускового тока: 1 — нет, 2 — двигатель, 3 — светодиоды</t>
  </si>
  <si>
    <t>T</t>
  </si>
  <si>
    <t>cos φ и Iпуск</t>
  </si>
  <si>
    <t>Марка кабеля, жилы, напряжение, фазы, сечение</t>
  </si>
  <si>
    <t>U, V, W, X, Y</t>
  </si>
  <si>
    <t>N, O, F, H, Q</t>
  </si>
  <si>
    <t>Вид нагрузки (строка таблицы для пояснительной записки)</t>
  </si>
  <si>
    <t>«Исходные данные» BE</t>
  </si>
  <si>
    <t>AZ</t>
  </si>
  <si>
    <t>«Исходные данные» BC</t>
  </si>
  <si>
    <t>BD</t>
  </si>
  <si>
    <t>«Исходные данные» BQ</t>
  </si>
  <si>
    <t>УГО, 30 мА, мин. автомат, клемм 3L</t>
  </si>
  <si>
    <t>AV, AW, AX, AY</t>
  </si>
  <si>
    <t>«Однолинейка»</t>
  </si>
  <si>
    <t>Ручной ввод в «Исходных данных» всегда важнее значения по коду.</t>
  </si>
  <si>
    <t>3. Ток линии</t>
  </si>
  <si>
    <t>Формула ('Исходные данные'!T):</t>
  </si>
  <si>
    <t>•  однофазная линия: I = P / (Uф · cos φ), где Uф = Uн / √3 = 0,4 / 1,732 = 0,231 кВ;</t>
  </si>
  <si>
    <t>•  трёхфазная линия: I = P / (√3 · Uн · cos φ), Uн = 0,4 кВ.</t>
  </si>
  <si>
    <t>P — кВт, U — кВ, I — А. Uн берётся из «Справочной» BQ29.</t>
  </si>
  <si>
    <t>Для линии, которая питает нижестоящий щит, ток берётся из файла этого щита («Нижестоящие_щиты» J).</t>
  </si>
  <si>
    <t>Норма: закон Ома для активной мощности, без особых требований. Вердикт: ✅.</t>
  </si>
  <si>
    <t>cos φ линии ('Исходные данные'!P)</t>
  </si>
  <si>
    <t>•  код с типом «двигатель» (T = 2): cos φ по мощности из «Справочная_потребители» B:K (3ф — столбец I, 1ф — столбец K);</t>
  </si>
  <si>
    <t>•  все остальные: 0,95;</t>
  </si>
  <si>
    <t>•  фидер нижестоящего щита: cos φ из его файла.</t>
  </si>
  <si>
    <t>Норма: СП 256 п. 7.1.12 даёт коэффициенты мощности питающих линий: квартиры с электроплитами 0,98 (с кондиционерами 0,93), с газовыми плитами 0,96 (0,92), хозяйственные насосы, вентиляционные установки и другие сантехнические устройства — 0,8.</t>
  </si>
  <si>
    <t>Вердикт: ⚠️. Вентиляция, ККБ и насосы с кодом не «двигатель» получают 0,95. Ток таких линий занижен до 16 % (0,95 / 0,8 = 1,19).</t>
  </si>
  <si>
    <t>В v4: cos φ по типу нагрузки из справочника кодов; значение 0,8 для вентиляции и насосов по умолчанию.</t>
  </si>
  <si>
    <t>4. Аппарат защиты</t>
  </si>
  <si>
    <t>4.1 Номинал по току линии ('Исходные данные'!U)</t>
  </si>
  <si>
    <t>In = наименьший номинал ряда, для которого Iр ≤ 0,9 · In.</t>
  </si>
  <si>
    <t>Таблица «Справочная» F4:G23: пороги тока = 0,9 × предыдущего номинала (6 А до 5,4 А; 10 А до 9 А; 16 А до 14,4 А …).</t>
  </si>
  <si>
    <t>Если введён автомат вручную (R), берётся он.</t>
  </si>
  <si>
    <t>Норма: ГОСТ Р 50571.4.43, п. 433.1: Iр ≤ In ≤ Iдоп. Запас 10 % нормой не требуется, это проектный запас.</t>
  </si>
  <si>
    <t>Вердикт: ✅ (в запас).</t>
  </si>
  <si>
    <t>4.2 Групповой автомат (Однолинейка!Z:AU)</t>
  </si>
  <si>
    <t>Если на один автомат подключено несколько линий (группа), номинал считается так:</t>
  </si>
  <si>
    <t>1. Ток группы Z = сумма токов линий группы (линии «в тот же кабель» не суммируются).</t>
  </si>
  <si>
    <t>2. Номинал по току AA — по той же таблице с запасом 10 %.</t>
  </si>
  <si>
    <t>3. Минимальный номинал по типу BB = больший из: автомат вручную («Исходные данные» R) и минимальный автомат кода («Справочная» AX).</t>
  </si>
  <si>
    <t>4. Номинал AO = max(AA, max BB по группе).</t>
  </si>
  <si>
    <t>5. Если в группе есть блок питания или трансформатор — не меньше «Справочная» BF5.</t>
  </si>
  <si>
    <t>6. Итог AU берётся из текста автомата (H), например «1P С16А» → 16.</t>
  </si>
  <si>
    <t>Проверки (Однолинейка!W):</t>
  </si>
  <si>
    <t>•  «ПЕРЕГРУЗ», если ток группы &gt; In;</t>
  </si>
  <si>
    <t>•  «КАБЕЛЬ НЕ ЗАЩИЩЁН», если In &gt; наименьшего «максимального автомата по кабелю» среди линий группы (AB, AP). Проверка не делается за БП / трансформатором.</t>
  </si>
  <si>
    <t>Вердикт: ✅. Требование Iр ≤ In ≤ Iдоп (ГОСТ Р 50571.4.43, п. 433.1) выполнено. Условие I2 ≤ 1,45·Iдоп для модульных автоматов по ГОСТ IEC 60898-1 выполняется автоматически (I2 = 1,45·In).</t>
  </si>
  <si>
    <t>ПРИМЕЧАНИЕ: сечение линии подбирается по её собственному автомату (4.1), а не по групповому. Если групповой автомат больше, сработает проверка «КАБЕЛЬ НЕ ЗАЩИЩЁН». Это правильно, но в v4 сечение лучше подбирать сразу по групповому автомату.</t>
  </si>
  <si>
    <t>4.3 Полюса и 30 мА (Однолинейка!AR:AT)</t>
  </si>
  <si>
    <t>•  30 мА: текст автомата содержит «мА», или F = «да», или хотя бы у одной линии группы код требует 30 мА («Справочная» AW); F = «нет» отменяет.</t>
  </si>
  <si>
    <t>•  Полюса: 3ф — 3P (с 30 мА 4P), 1ф — 1P (с 30 мА 2P).</t>
  </si>
  <si>
    <t>•  Предупреждение «розетка без 30 мА» для кода R.</t>
  </si>
  <si>
    <t>Норма: ПУЭ 7.1.79 и СП 256 (применение ВДТ для розеточных сетей). Вердикт: ✅.</t>
  </si>
  <si>
    <t>5. Сечение кабеля ('Исходные данные'!V)</t>
  </si>
  <si>
    <t>Алгоритм:</t>
  </si>
  <si>
    <t>1. Требуемый допустимый ток: Iтреб = In / (k_жил · К_прокл).</t>
  </si>
  <si>
    <t>•  k_жил = 0,92 для 3ф кабеля с 4–5 жилами, иначе 1;</t>
  </si>
  <si>
    <t>•  К_прокл — из «Исходные данные» BH, иначе общий («Справочная» BQ30, сейчас 1).</t>
  </si>
  <si>
    <t>2. Столбец таблицы: одножильные (O = 1), двухжильные (1ф, нагружены L и N), трёхжильные (3ф).</t>
  </si>
  <si>
    <t>3. Берётся наименьшее сечение с Iдоп ≥ Iтреб. Больше 240 мм² — «Не исп».</t>
  </si>
  <si>
    <t>4. Сечение вручную (Q) важнее расчёта.</t>
  </si>
  <si>
    <t>Таблица («Справочная» BX:CA) — медь, прокладка в воздухе. Значения совпадают с ПУЭ табл. 1.3.7 (кабели с медными жилами в ПВХ / резиновой оболочке): 1,5 мм² — 23 / 19 / 19 А; 2,5 — 30 / 27 / 25 А; 25 — 140 / 115 / 95 А и т. д. В книге таблица подписана «ПУЭ табл. 1.3.6» — это ошибка подписи. Коэффициент 0,92 для четырёхжильных кабелей — ПУЭ п. 1.3.10.</t>
  </si>
  <si>
    <t>Норма: ГОСТ Р 50571.4.43 (In ≤ Iдоп); допустимые токи кабелей с ПВХ-изоляцией по ГОСТ 31996-2012 или по документации изготовителя; поправки на способ прокладки, группу и температуру — ГОСТ Р 50571.5.52.</t>
  </si>
  <si>
    <t>Вердикт: ⚠️.</t>
  </si>
  <si>
    <t>•  Таблица ПУЭ 1.3.7 исторически для резиновой изоляции. Для ВВГнг и ППГнг первичны данные изготовителя, затем ГОСТ 31996-2012, затем ГОСТ Р 50571.5.52.</t>
  </si>
  <si>
    <t>•  Поправочные коэффициенты на совместную прокладку (группу) и температуру не учитываются: только один общий К прокладки на линию. При пучке кабелей в лотке результат может быть завышен.</t>
  </si>
  <si>
    <t>•  Алюминиевые жилы не поддерживаются.</t>
  </si>
  <si>
    <t>В v4: таблица допустимых токов по ГОСТ 31996 (медь и алюминий, воздух и земля); способ прокладки на линию; коэффициент группы и температуры по ГОСТ Р 50571.5.52; подпись источника в заголовке.</t>
  </si>
  <si>
    <t>6. Длина линии ('Исходные данные'!M)</t>
  </si>
  <si>
    <t>L = Опуск · (2·n − 1) + Lплан + Подъём_этажа + По_другим_этажам</t>
  </si>
  <si>
    <t>•  Опуск — «Справочная» R по коду (м), n — число потребителей G: к каждому потребителю кабель опускается и поднимается, кроме последнего;</t>
  </si>
  <si>
    <t>•  Lплан — «Исходные данные» I (заполняет DLN.lsp из чертежа);</t>
  </si>
  <si>
    <t>•  подъём — «Справочная» AF:AG по этажу (только для кодов «этаж»).</t>
  </si>
  <si>
    <t>Разбивка по способу прокладки: лоток J, гофра ПВХ K, гофра ПНД L (K, L — из чертежа минус 4 м на опуски).</t>
  </si>
  <si>
    <t>Норма: не нормируется, проектный приём. Вердикт: ✅.</t>
  </si>
  <si>
    <t>7. Потери напряжения ('Исходные данные'!AA:AB, BG)</t>
  </si>
  <si>
    <t>Формула (ГОСТ Р 50571.5.52, прил. G):</t>
  </si>
  <si>
    <t>ΔU = b · (ρ · L / S · cos φ + x · L · sin φ / 1000) · I, В</t>
  </si>
  <si>
    <t>•  b = 2 для однофазной линии (фаза + нейтраль), 1 для трёхфазной;</t>
  </si>
  <si>
    <t>•  ρ = 0,0225 Ом·мм²/м — медь при рабочей температуре (1,25·ρ20), «Справочная» D;</t>
  </si>
  <si>
    <t>•  x — индуктивное сопротивление, Ом/км, по сечению («Справочная» C, 0,13…0,059);</t>
  </si>
  <si>
    <t>•  L — м, S — мм², I — А.</t>
  </si>
  <si>
    <t>ΔU% = ΔU / Uф · 100 (Uф = 231 В). Для трёхфазной линии это равно отношению линейных величин.</t>
  </si>
  <si>
    <t>Итог от ВРУ (BG) = ΔU линии + ΔU от ВРУ до шин щита («Питание_щита» стр. 33).</t>
  </si>
  <si>
    <t>Пределы (BF): светильники — 3 %, прочие — 4 %.</t>
  </si>
  <si>
    <t>Норма: СП 256 п. 8.23: потери от ВРУ здания до наиболее удалённых светильников не более 3 %, до прочих потребителей не более 4 %. При длине более 100 м допускается +0,005 % на каждый метр сверх 100, но не более +0,5 %. Суммарно от шин 0,4 кВ ТП до наиболее удалённого светильника — не более 7,5 %. (ГОСТ Р 50571.5.52 табл. G.52.1 даёт 3 % / 5 % — СП 256 строже, книга берёт СП 256.)</t>
  </si>
  <si>
    <t>Вердикт: ✅ формула и пределы. Не реализованы: надбавка за длину &gt; 100 м (в запас) и проверка 7,5 % от ТП.</t>
  </si>
  <si>
    <t>В v4: надбавка 0,005 %/м; ΔU внешней сети (от ТП до ВРУ) как исходное данное объекта и проверка 7,5 %.</t>
  </si>
  <si>
    <t>8. Токи КЗ и автоматическое отключение</t>
  </si>
  <si>
    <t>8.1 Сопротивление петли на шинах щита (Питание_щита!C34)</t>
  </si>
  <si>
    <t>•  если щит связан с вышестоящим: Zшин = Zшин вышестоящего (по связи) + Rпер;</t>
  </si>
  <si>
    <t>•  если щит — ВРУ от ТП: Zт = uк · Uн² / Sт (uк = 5,5 %, для Y/Yн ×3) + петля питающего кабеля + Rпер;</t>
  </si>
  <si>
    <t>•  если известен Iкз min от сетевой организации: Z = c_min · Uф / Iкз min.</t>
  </si>
  <si>
    <t>Петля питающего кабеля: 2 · ρкз · L / (S · n), ρкз(Cu) = 0,0263, ρкз(Al) = 0,042 Ом·мм²/м (≈1,5·ρ20).</t>
  </si>
  <si>
    <t>Rпер = 0,015 Ом на каждый щит («Питание_щита» C53).</t>
  </si>
  <si>
    <t>8.2 Iкз min в конце линии ('Исходные данные'!BL, BI)</t>
  </si>
  <si>
    <t>Zпетли = Zшин + 2 · ρкз(Cu) · L / S</t>
  </si>
  <si>
    <t>Iкз min = c_min · Uф / Zпетли, c_min = 0,95.</t>
  </si>
  <si>
    <t>8.3 Проверка отключения ('Исходные данные'!BJ, BK)</t>
  </si>
  <si>
    <t>Iкз min / In ≥ 5 (характеристика B), ≥ 10 (C), ≥ 20 (D) → «ok». Иначе «ok (УЗО 30 мА)», если у группы есть 30 мА, или «мало».</t>
  </si>
  <si>
    <t>Нормы:</t>
  </si>
  <si>
    <t>•  ПУЭ п. 1.7.79, табл. 1.7.1: время автоматического отключения в системе TN при Uф = 220 В — не более 0,4 с для групповых цепей; для распределительных цепей — не более 5 с;</t>
  </si>
  <si>
    <t>•  ГОСТ IEC 60898-1: зона мгновенного расцепления B — 3…5·In, C — 5…10·In, D — 10…20·In. Книга берёт верхнюю границу (в запас);</t>
  </si>
  <si>
    <t>•  ГОСТ 28249-93: п. 2.4.2 — нагрев проводников при КЗ, коэффициент 1,5 допускается при приближённых расчётах (совпадает с ρкз); п. 1.5 — рекомендуется учитывать сопротивление дуги и нагрев; п. 2.6 — переходные сопротивления контактов: 0,1 мОм на кабельное соединение, 1,0 мОм на коммутационный аппарат.</t>
  </si>
  <si>
    <t>•  Сопротивление дуги не учитывается: расчётный Iкз min получается выше реального. Это не в запас.</t>
  </si>
  <si>
    <t>•  Rпер 15 мОм на щит взят из справочной практики, а не из ГОСТ 28249. Частично компенсирует отсутствие дуги.</t>
  </si>
  <si>
    <t>•  Сечение PE принимается равным сечению фазы. Для кабелей с уменьшенным PE (например, 4×95+1×50) петля занижена.</t>
  </si>
  <si>
    <t>•  Индуктивное сопротивление линий не учитывается (существенно только от 50–70 мм²).</t>
  </si>
  <si>
    <t>•  В линиях только медь.</t>
  </si>
  <si>
    <t>•  c_min = 0,95 взят из МЭК 60909-0 (коэффициент напряжения для минимального тока КЗ в сетях до 1 кВ), в ГОСТ 28249 такого коэффициента нет. Допустимо.</t>
  </si>
  <si>
    <t>В v4: сопротивление дуги по ГОСТ 28249; сечение PE отдельно; материал жил; x линии от 35 мм².</t>
  </si>
  <si>
    <t>8.4 Iкз max и отключающая способность ('Исходные данные'!BM, Питание_щита!C36)</t>
  </si>
  <si>
    <t>Iкз max = 1,05 · Uф / (Zшин(3ф) + ρ20 · L / S), ρ20 = 0,0175.</t>
  </si>
  <si>
    <t>Норма: ГОСТ Р 50571.4.43 и СП 256 (в линиях I категории аппараты проверяются по режиму КЗ, ГОСТ IEC 60898-2 п. 8.8): отключающая способность аппарата ≥ Iкз max в месте установки.</t>
  </si>
  <si>
    <t>Вердикт: ❌. Iкз max считается, но с отключающей способностью (Icu, например 6 кА) не сравнивается. Сравнение оставлено инженеру (подсказка на «Питание_щита» стр. 36).</t>
  </si>
  <si>
    <t>В v4: Icu аппарата в «Каталоге»; автоматическая проверка Icu ≥ Iкз max на шинах.</t>
  </si>
  <si>
    <t>8.5 Данные для ТКЗ в объекте ЖД</t>
  </si>
  <si>
    <t>ВНИМАНИЕ: в объекте ЖД ТКЗ не считаются ни в одном щите. В ГРЩ‑ЖД на «Питание_щита» не введены Iкз от сетевой организации или данные трансформатора. Поэтому Zшин пусты, и столбцы BI:BM (Iкз, отключение 0,4 с) у всех нижних щитов пустые. Запросите у сетевой организации Iкз min / max на вводе и введите их в ГРЩ, раздел 2.</t>
  </si>
  <si>
    <t>9. Расчётная нагрузка щита (Нагрузка_щитов!AE:AH)</t>
  </si>
  <si>
    <t>9.1 Группы нагрузки</t>
  </si>
  <si>
    <t>Что относится</t>
  </si>
  <si>
    <t>Как считается</t>
  </si>
  <si>
    <t>розетки, свет, кондиционеры, тёплый пол, бытовые щиты</t>
  </si>
  <si>
    <t>Кс по табл. СП 256 по сумме Руст быт щита</t>
  </si>
  <si>
    <t>вентиляция, насосы, пищеблок, бассейн, хаммам</t>
  </si>
  <si>
    <t>Кс своей линии («Исходные данные» BA; пусто = 1), затем × Ко</t>
  </si>
  <si>
    <t>обогрев кровли, слаботочные шкафы, АСУ, СПЗ</t>
  </si>
  <si>
    <t>Кс = 1, без Ко</t>
  </si>
  <si>
    <t>вводы, резерв, транзит</t>
  </si>
  <si>
    <t>не учитывается</t>
  </si>
  <si>
    <t>фидер нижестоящего щита</t>
  </si>
  <si>
    <t>составляющие берутся из файла щита</t>
  </si>
  <si>
    <t>9.2 Формула</t>
  </si>
  <si>
    <t>Рр = Руст.быт · Кс.быт + Ко · Σ(Pсил · Кс) + Руст.пост, Ко = 0,9 («Справочная» BQ14).</t>
  </si>
  <si>
    <t>Кс быт — линейная интерполяция по таблице «Справочная» BP4:BQ11:</t>
  </si>
  <si>
    <t>≤14</t>
  </si>
  <si>
    <t>0,8</t>
  </si>
  <si>
    <t>0,65</t>
  </si>
  <si>
    <t>0,6</t>
  </si>
  <si>
    <t>0,55</t>
  </si>
  <si>
    <t>Считается для всего щита (аварийный режим) и по секциям 1 и 2. «Кс итоговый» = Рр / Руст.</t>
  </si>
  <si>
    <t>•  СП 256 табл. 7.2 (Кс для квартир повышенной комфортности по заявленной мощности) — значения совпадают ✅;</t>
  </si>
  <si>
    <t>•  СП 256 табл. 7.1, прим. 4 и 11: квартиры повышенной комфортности — по заданию или по заявленной мощности с Кс (табл. 7.2) и Ко (табл. 7.3); одноквартирный дом 55–300 м² — по удельным нагрузкам табл. 7.1;</t>
  </si>
  <si>
    <t>•  СП 256 п. 7.1.10, формула (6): Рр.ж.д = kп.к · Ркв + 0,9 · Рс; kп.к — табл. 7.5а (ЦФО 0,81, СЗФО 0,91 …);</t>
  </si>
  <si>
    <t>•  СП 256 п. 7.1.8, табл. 7.5: Кс для сантехнического оборудования и холодильных машин по числу электроприёмников (доля 100–85 %: 2 — 1,0; 3 — 0,9; 5 — 0,8; 8 — 0,75; 10 — 0,7; 15–20 — 0,65; 30 — 0,6; 50–100 — 0,55; 200 — 0,5; резервные не учитываются);</t>
  </si>
  <si>
    <t>•  Изменение № 9 к СП 256 (с 26.01.2026): к нагрузке квартир (домов) повышенной комфортности электроотопление прибавляется отдельно с Кс = 1, электроводонагреватели (и, по пересказу, тёплые полы) — с коэффициентом 0,7. Новый подраздел 7.5 — расчёт для ОИЖС (формула 17, табл. 7.19: 1 дом — 12 кВт с газовой плитой, 16,2 кВт с электроплитой + отопление, ВНГ, обогрев кровли отдельными слагаемыми).</t>
  </si>
  <si>
    <t>Вердикт:</t>
  </si>
  <si>
    <t>•  Кс быт по табл. 7.2 — ✅;</t>
  </si>
  <si>
    <t>•  отопление и тёплые полы в группе «Быт» снижаются табличным Кс — ❌ по Изм. 9 (должны идти отдельно с 1 и 0,7);</t>
  </si>
  <si>
    <t>•  Кс силовой нагрузки вводится вручную — ⚠️ (в объекте ЖД у всех линий ЩОВ‑001 стоит 0,5; по табл. 7.5 для 34 электроприёмников ≈ 0,59);</t>
  </si>
  <si>
    <t>•  Ко = 0,9 применяется на любом щите — ⚠️: по формуле (6) это коэффициент совмещения квартирной и силовой нагрузки на вводе дома. На чисто силовом щите (ЩОВ) он занижает Рр на 10 %;</t>
  </si>
  <si>
    <t>•  kп.к отсутствует — ⚠️ (нужно решение: применим ли он к дому повышенной комфортности; для многоквартирных домов обязателен).</t>
  </si>
  <si>
    <t>В v4:</t>
  </si>
  <si>
    <t>•  выбор метода на объект: «квартира / дом повышенной комфортности (табл. 7.2 + 7.3)», «ОИЖС (п. 7.5)», «многоквартирный дом (табл. 7.1 + kп.к)», «общественное здание»;</t>
  </si>
  <si>
    <t>•  группы «Отопление» (Кс 1) и «ВНГ / тёплый пол» (0,7);</t>
  </si>
  <si>
    <t>•  Кс сантехники и вентиляции — автоматически по табл. 7.5 по числу работающих электроприёмников и доле;</t>
  </si>
  <si>
    <t>•  Ко только на щите, где есть и бытовая, и силовая нагрузка (флажок «ВРУ дома»).</t>
  </si>
  <si>
    <t>9.3 Ток щита, cos φ, фазы</t>
  </si>
  <si>
    <t>•  Фаза линии назначается по кругу L1 → L2 → L3 для однофазных линий, трёхфазные — на все фазы («Разбивка_по_щитам» S:T). Вручную — «Нагрузка_щитов» E.</t>
  </si>
  <si>
    <t>•  Мощность фазы = Σ однофазных этой фазы + Σ трёхфазных / 3.</t>
  </si>
  <si>
    <t>•  Iр = max( Pфазы.max · Кс.итог / (Uф · cos φ) ; Рр / (√3 · Uн · cos φ) ) — по наиболее нагруженной фазе.</t>
  </si>
  <si>
    <t>•  cos φ щита = Σ(P · cos φ) / ΣP.</t>
  </si>
  <si>
    <t>Вердикт: ⚠️. Ток по наиболее нагруженной фазе — правильный инженерный приём. cos φ щита правильнее считать через реактивную мощность: Q = Σ P·tg φ, cos φ = P / √(P² + Q²). При смеси 0,95 и 0,8 ошибка — 1–2 %.</t>
  </si>
  <si>
    <t>9.4 Пожарные нагрузки</t>
  </si>
  <si>
    <t>Пожарные линии (BO = «да» или код с признаком «пожарная») идут отдельным режимом «Пожар» и в расчётный максимум не входят.</t>
  </si>
  <si>
    <t>Норма: СП 256 п. 7.1.9: мощность электроприёмников противопожарных устройств и резервных двигателей при расчёте нагрузок питающих линий и вводов не учитывается, кроме случаев, когда она определяет выбор аппаратов и сечений; для линий одновременно работающих противопожарных устройств Кс = 1.</t>
  </si>
  <si>
    <t>Вердикт: ✅. В книге ссылка на «СП 31-110-2003 п. 6.9» — заменить на СП 256 п. 7.1.9.</t>
  </si>
  <si>
    <t>10. Питающая линия и шины щита (Питание_щита, раздел 3)</t>
  </si>
  <si>
    <t>Строка</t>
  </si>
  <si>
    <t>Величина</t>
  </si>
  <si>
    <t>Формула</t>
  </si>
  <si>
    <t>Норма</t>
  </si>
  <si>
    <t>29–31</t>
  </si>
  <si>
    <t>Рр, Iр, cos φ щита</t>
  </si>
  <si>
    <t>из «Нагрузка_щитов»</t>
  </si>
  <si>
    <t>см. разд. 9</t>
  </si>
  <si>
    <t>(ρ·L/(S·n)·cos φ + 0,08·L/n·sin φ /1000)·Iр / Uф·100, ρ = 0,0225 (Cu) / 0,036 (Al)</t>
  </si>
  <si>
    <t>ГОСТ Р 50571.5.52 прил. G (x = 0,08 мОм/м)</t>
  </si>
  <si>
    <t>ΔU вышестоящего + ΔU питающей; для ВРУ = 0</t>
  </si>
  <si>
    <t>СП 256 п. 8.23</t>
  </si>
  <si>
    <t>34–36</t>
  </si>
  <si>
    <t>Zпетли, Iкз min, Iкз max на шинах</t>
  </si>
  <si>
    <t>см. разд. 8</t>
  </si>
  <si>
    <t>ГОСТ 28249</t>
  </si>
  <si>
    <t>Iдоп питающего кабеля</t>
  </si>
  <si>
    <t>ПУЭ 1.3.7 × 0,92 (4–5 жил) × n × К прокл; для Al — «ПУЭ 1.3.7» вручную</t>
  </si>
  <si>
    <t>ГОСТ 31996</t>
  </si>
  <si>
    <t>Iр ≤ In ≤ Iдоп</t>
  </si>
  <si>
    <t>ГОСТ Р 50571.4.43 п. 433.1</t>
  </si>
  <si>
    <t>Отключение КЗ на шинах</t>
  </si>
  <si>
    <t>Iкз min ≥ 5 / 10 / 20 · In</t>
  </si>
  <si>
    <t>ПУЭ 1.7.79 (распред. цепи ≤ 5 с)</t>
  </si>
  <si>
    <t>Термическая стойкость кабеля</t>
  </si>
  <si>
    <t>t = (k·S / Iкз max)², k = 115 (Cu, ПВХ) / 76 (Al); если t &lt; 0,1 с — проверить по I²t аппарата</t>
  </si>
  <si>
    <t>ГОСТ Р 50571.4.43 п. 434.5.2</t>
  </si>
  <si>
    <t>Селективность</t>
  </si>
  <si>
    <t>In ≥ 1,6 · max In отходящих</t>
  </si>
  <si>
    <t>ориентир; подтверждать картами селективности изготовителя</t>
  </si>
  <si>
    <t>Трансформатор: Zт = uк · Uн² / Sт, uк = 5,5 % константой; для Y/Yн сопротивление петли ×3.</t>
  </si>
  <si>
    <t>Вердикт: ⚠️. ГОСТ 28249 требует сопротивления нулевой последовательности по данным изготовителя. Множитель 3 — грубая оценка.</t>
  </si>
  <si>
    <t>В v4: uк, Sт и схема из паспорта; Zт(1) / 3 по таблице изготовителя.</t>
  </si>
  <si>
    <t>11. Категории надёжности, режимы, ИБП</t>
  </si>
  <si>
    <t>Обеспечиваемая категория шины:</t>
  </si>
  <si>
    <t>1 ввод, питающая линия I особая / I / II</t>
  </si>
  <si>
    <t>шина ИБП или ДГУ</t>
  </si>
  <si>
    <t>•  ПУЭ 1.2.17–1.2.21: категория определяется последствиями перерыва питания; I — два независимых взаимно резервирующих источника, перерыв только на время автоматического восстановления (1.2.19); II — допускается перерыв на время ручного переключения (1.2.20);</t>
  </si>
  <si>
    <t>•  СП 256 табл. 6.1 — категории электроприёмников жилых и общественных зданий; п. 6.13 и 8.10 — АВР на вводе или самостоятельный щит с АВР у электроприёмников I категории;</t>
  </si>
  <si>
    <t>•  СП 6.13130.2021 — системы противопожарной защиты по I категории.</t>
  </si>
  <si>
    <t>Вердикт: ✅. Ограничение «один кабель — не выше II» соответствует ПУЭ 1.2.19 и СП 256 п. 8.10.</t>
  </si>
  <si>
    <t>Режимы («Режимы»): нормальный (СВ отключён), аварийный (потеря ввода 1 или 2), максимум аварийного, потеряны все вводы (только ИБП и ДГУ), пожар (вне максимума), нормальный + пожарные. Рр каждого набора линий считается по формуле разд. 9.2 заново (Кс быт — по сумме своего набора).</t>
  </si>
  <si>
    <t>Вердикт: ✅ (методика СП 256 п. 7.1.9 и разд. 9.2).</t>
  </si>
  <si>
    <t>ИБП («ИБП»):</t>
  </si>
  <si>
    <t>•  требуемая S = P / cos φ вых / допустимая загрузка (0,75);</t>
  </si>
  <si>
    <t>•  ёмкость АКБ, А·ч = P · 1000 · t / 60 / (U · КПД · k), k = 0,8 (разряд и старение);</t>
  </si>
  <si>
    <t>•  вход ИБП: P вх = P / КПД · (1 + заряд АКБ 10 %).</t>
  </si>
  <si>
    <t>Норма: не нормируется; время автономии для систем противопожарной защиты — по СП 6.13130 и СП 484.1311500. Вердикт: ⚠️ (инженерная методика, автономию задаёт проектировщик по нормам на конкретную систему).</t>
  </si>
  <si>
    <t>12. Таблица нагрузок для пояснительной записки и компенсация</t>
  </si>
  <si>
    <t>«Расчёт_нагрузок»: строки по видам нагрузки («Справочная» BT:BV, в v4 — столбец «Вид нагрузки»), для каждой — Руст, Кс = Рр / Руст, cos φ (средневзвешенный или из «Справочной» BU), tg φ, Рр, Qр = Рр·tg φ, Sр, Iр = Sр / (√3·Uн). Итог щита — с Ко = 0,9.</t>
  </si>
  <si>
    <t>Компенсация: Qку = Рр · (tg φ − 0,35); если &lt; 50 квар — «не требуется».</t>
  </si>
  <si>
    <t>Норма: СП 256 п. 7.3.1: для жилых и общественных зданий КРМ, как правило, не требуется; п. 7.3.2: для тепловых пунктов, насосных и т. п. — не требуется, если мощность КУ на рабочем вводе ≤ 50 квар (≈ 250 кВт нагрузки). Целевой tg φ = 0,35 — из приказа Минэнерго № 380 (предельные значения для потребителей), в СП 256 не задан.</t>
  </si>
  <si>
    <t>Вердикт: ✅.</t>
  </si>
  <si>
    <t>13. Кабельный журнал и спецификация</t>
  </si>
  <si>
    <t>•  Длина кабеля в журнале = длина трассы × (1 + запас 20 %) («Кабельный_журнал» D3). Запас — проектный приём, не норма. ⚠️ Вынести в настройку объекта.</t>
  </si>
  <si>
    <t>•  Спецификация считает автоматы, аппараты, модули, клеммы по «Однолинейке» (Каталог N) + ручной запас (O). Расчётом не является.</t>
  </si>
  <si>
    <t>14. Лист «ТКЗ»</t>
  </si>
  <si>
    <t>Старый ручной расчёт по участкам: Iкз = 220 / Zпетли, без c_min, без нагрева, свой справочник автоматов. В основной расчёт не входит (v1.04: «для тестирования»).</t>
  </si>
  <si>
    <t>Вердикт: ❌ (дублирует и противоречит «Питание_щита»). В v4: удалить.</t>
  </si>
  <si>
    <t>15. Пример: линия ККБ‑1 щита ЩОВ‑001 (объект ЖД)</t>
  </si>
  <si>
    <t>Исходные данные: P = 28 кВт, 3ф, 400 В, кабель ВВГнг(А)-LS 5×25 (сечение задано вручную), L = 34 м, автомат вручную 63 А, cos φ = 0,95, группа «Сил», Кс = 0,5.</t>
  </si>
  <si>
    <t>Шаг</t>
  </si>
  <si>
    <t>Результат</t>
  </si>
  <si>
    <t>В книге</t>
  </si>
  <si>
    <t>28 / (1,732 · 0,4 · 0,95)</t>
  </si>
  <si>
    <t>42,54 А</t>
  </si>
  <si>
    <t>T = 42,54 ✅</t>
  </si>
  <si>
    <t>Номинал по току</t>
  </si>
  <si>
    <t>42,54 &gt; 36 и ≤ 45 → 50 А (Iр ≤ 0,9·In)</t>
  </si>
  <si>
    <t>50 А</t>
  </si>
  <si>
    <t>«Однолинейка» AA = 50 ✅</t>
  </si>
  <si>
    <t>Номинал итог</t>
  </si>
  <si>
    <t>max(50; ручной 63)</t>
  </si>
  <si>
    <t>63 А</t>
  </si>
  <si>
    <t>AU = 63 ✅</t>
  </si>
  <si>
    <t>Iдоп кабеля</t>
  </si>
  <si>
    <t>ПУЭ 1.3.7, 3-жил., 25 мм² = 95 А × 0,92</t>
  </si>
  <si>
    <t>87,4 А ≥ 63 А</t>
  </si>
  <si>
    <t>«Однолинейка» AB = 80 (ближайший номинал ≤ 87,4) ✅</t>
  </si>
  <si>
    <t>ΔU</t>
  </si>
  <si>
    <t>1 · (0,0225·34/25·0,95 + 0,0662·34·0,31/1000) · 42,54 = 1,27 В</t>
  </si>
  <si>
    <t>0,55 %</t>
  </si>
  <si>
    <t>AB = 0,55 ✅</t>
  </si>
  <si>
    <t>ΔU от ВРУ</t>
  </si>
  <si>
    <t>0,55 + 0,5 (до шин ЩОВ‑001)</t>
  </si>
  <si>
    <t>1,05 % ≤ 4 %</t>
  </si>
  <si>
    <t>BG = 1,05 ✅</t>
  </si>
  <si>
    <t>Iкз, 0,4 с</t>
  </si>
  <si>
    <t>нет данных сети в ГРЩ</t>
  </si>
  <si>
    <t>пусто ⚠️ (разд. 8.5)</t>
  </si>
  <si>
    <t>Что даст проверка по нормам для этой линии:</t>
  </si>
  <si>
    <t>•  cos φ ККБ по СП 256 п. 7.1.12 — 0,8 → I = 28 / (1,732·0,4·0,8) = 50,5 А. Номинал по току с запасом 10 % → 63 А (совпадает с ручным), Iдоп 87,4 А — сечение достаточно.</t>
  </si>
  <si>
    <t>Щит ЩОВ‑001 целиком: Руст = 211,22 кВт (вся нагрузка «Сил»), Σ P·Кс = 105,61 кВт, Рр = 0,9 · 105,61 = 95,05 кВт, Iр = 146,4 А (по наиболее нагруженной фазе 71,36 кВт).</t>
  </si>
  <si>
    <t>По нормам: Кс по табл. 7.5 для 34 электроприёмников ≈ 0,59 (вместо 0,5), без Ко (щит чисто силовой), cos φ 0,8 → Рр ≈ 211,22 · 0,59 ≈ 125 кВт (+31 %), Iр ≈ 125 / (1,732·0,4·0,8) ≈ 225 А (+54 %).</t>
  </si>
  <si>
    <t>ВНИМАНИЕ: это оценка для иллюстрации. Точный Кс зависит от числа одновременно работающих электроприёмников без резервных (табл. 7.5, прим. 3) и доли сантехнической нагрузки. Решение — за инженером. Питающая линия ЩОВ‑001 защищена аппаратом 400 А, поэтому вывод по аппарату не меняется, но расчётная нагрузка объекта для ТУ вырастет.</t>
  </si>
  <si>
    <t>16. Что решить инженеру до v4</t>
  </si>
  <si>
    <t>1. Метод расчёта бытовой нагрузки объекта ЖД: дом повышенной комфортности (табл. 7.2) или ОИЖС (п. 7.5, Изм. 9).</t>
  </si>
  <si>
    <t>2. kп.к: применять ли региональный коэффициент к отдельному дому.</t>
  </si>
  <si>
    <t>3. Таблица допустимых токов: ГОСТ 31996 или данные конкретного изготовителя кабеля.</t>
  </si>
  <si>
    <t>4. cos φ вентиляции и насосов: 0,8 по СП 256 или паспортные значения.</t>
  </si>
  <si>
    <t>5. Кс силовой нагрузки: автоматически по табл. 7.5 или вручную по заданию технологов.</t>
  </si>
  <si>
    <t>6. Данные сети для ТКЗ: запросить у сетевой организации Iкз min / max на вводе ГРЩ.</t>
  </si>
  <si>
    <t>17. Что реализовано в v4</t>
  </si>
  <si>
    <t>Книга v4 — один файл на объект. Методика выбирается на листе «Объект» (C8): «v3.12» — формулы как в старой книге (для сверки), «нормы 2026» — с исправлениями ниже. Расчёт в обоих режимах одинаков, кроме перечисленного.</t>
  </si>
  <si>
    <t>v3.12</t>
  </si>
  <si>
    <t>нормы 2026 (v4)</t>
  </si>
  <si>
    <t>cos φ силовых линий без ручного значения</t>
  </si>
  <si>
    <t>0,95</t>
  </si>
  <si>
    <t>0,8 (СП 256 п. 7.1.12)</t>
  </si>
  <si>
    <t>Кс силовых линий без ручного значения</t>
  </si>
  <si>
    <t>по табл. 7.5 СП 256 по числу силовых линий щита (таблица на листе «Объект»)</t>
  </si>
  <si>
    <t>на любом щите</t>
  </si>
  <si>
    <t>только если на щите есть и бытовая, и силовая нагрузка (формула 6)</t>
  </si>
  <si>
    <t>Электроотопление</t>
  </si>
  <si>
    <t>в группе «Быт» (снижается Кс)</t>
  </si>
  <si>
    <t>группа «Отоп», Кс = 1, отдельным слагаемым (Изм. 9)</t>
  </si>
  <si>
    <t>Водонагреватели (тёплые полы)</t>
  </si>
  <si>
    <t>в группе «Быт»</t>
  </si>
  <si>
    <t>группа «ВНГ», × 0,7 отдельным слагаемым (Изм. 9)</t>
  </si>
  <si>
    <t>kп.к</t>
  </si>
  <si>
    <t>настройка объекта (C9), по умолчанию 1</t>
  </si>
  <si>
    <t>Допустимая ΔU</t>
  </si>
  <si>
    <t>3 % / 4 %</t>
  </si>
  <si>
    <t>3 % / 4 % + 0,005 %/м после 100 м, не более +0,5 % (СП 256 п. 8.23)</t>
  </si>
  <si>
    <t>Отключающая способность</t>
  </si>
  <si>
    <t>не проверялась</t>
  </si>
  <si>
    <t>Icu автомата (из «Каталога») ≥ Iкз max на шинах — замечание в «Проверке»</t>
  </si>
  <si>
    <t>Сборка нагрузки по щитам. Для каждого щита вычисляется путь от ВРУ (лист «Щиты», столбец «Путь»). Нагрузка щита = составляющие всех линий щита и нижестоящих щитов (Руст быт, Σ P·Кс силовых, Руст пост, Р отоп, 0,7·Р ВНГ, Σ P·cos φ); Кс быт и Ко применяются к сумме. ΔU до шин и Zпетли нижнего щита = ΔU / петля источника + Σ по фидерам на пути (+ Rпер на каждый щит).</t>
  </si>
  <si>
    <t>Режимы (лист «Нагрузки»): линии нижних щитов относятся к источнику своего фидера в выбранном щите; линия на шине ИБП/ДГУ нижнего щита в текущей версии относится к источнику фидера (подстановка входа ИБП нижнего щита — в следующей версии). Пожарная линия-фидер делает пожарной всю нагрузку нижнего щита.</t>
  </si>
  <si>
    <t>Сверка v4 с v3.12 на объекте ЖД (режим «v3.12»): автоматы 348/349, сечения 346/350, cos φ 350/350, длины 331/350, 12 щитов из 17 — полностью. Остальные расхождения — исправления v3.12: ошибка шаблона в формуле фаз (строки 29–127 листа «Нагрузка_щитов» брали фазу соседней строки), подключение ЩГП и ЩО‑001, учёт линии вне схемы, объединение справочников кодов.</t>
  </si>
  <si>
    <t>Источники</t>
  </si>
  <si>
    <t>•  СП 256.1325800.2016, ред. 01.03.2022 — полный текст (КонсультантПлюс, опубликован на сайте ГУ МЧС): https://22.mchs.gov.ru/uploads/resource/2023-03-02/8cd1efa9150e03022668bf3a9b3922e2.docx</t>
  </si>
  <si>
    <t>•  Изменение № 9 к СП 256.1325800.2016 (приказ Минстроя от 25.12.2025 № 846/пр): https://meganorm.ru/mega_doc/norm_update_01032026/prikaz/0/izmenenie_N_9_k_sp_256_1325800_2016_elektroustanovki_zhilykh.html</t>
  </si>
  <si>
    <t>•  Изменение № 6 к СП 256.1325800.2016: https://meganorm.ru/mega_doc/norm/prikaz/13/izmenenie_N_6_k_sp_256_1325800_2016_elektroustanovki_zhilykh.html</t>
  </si>
  <si>
    <t>•  ГОСТ 28249-93: https://dnaop.com/html/65618/doc-%D0%93%D0%9E%D0%A1%D0%A2_28249-93</t>
  </si>
  <si>
    <t>•  ГОСТ Р 50571.5.52-2011, прил. G: https://www.normacs.info/answers/5995, https://meganorm.ru/Data2/1/4293792/4293792410.htm</t>
  </si>
  <si>
    <t>•  Выбор допустимых токов кабелей (изготовитель → ГОСТ 31996 → ГОСТ Р 50571.5.52), ответ эксперта NormaCS: https://www.normacs.info/answers/6099</t>
  </si>
  <si>
    <t>•  ПУЭ 7-е изд. (табл. 1.3.7, п. 1.3.10, п. 1.7.79, п. 1.2.17–1.2.21), ГОСТ Р 50571.4.43-2012, ГОСТ IEC 60898-1 — по тексту норм, номера пунктов сверить при выпуске v4.</t>
  </si>
  <si>
    <t>КАК НАСТРАИВАТЬ ЛИСТ «ОБЪЕКТ»</t>
  </si>
  <si>
    <t>Лист задаёт настройки ВСЕГО объекта. Обычно меняют только C3 (название), C8 (методика) и C9 (kп.к). Остальное — по необходимости.</t>
  </si>
  <si>
    <t>C3 Объект — название и адрес. Идёт в таблицу для пояснительной записки.</t>
  </si>
  <si>
    <t>C4–C7 Ток КЗ: ρ меди/алюминия при нагреве, переходные сопротивления на каждый щит, c_min. Влияют на Iкз min в конце линий и проверку отключения ≤ 0,4 с. Значения по ГОСТ 28249 — не меняйте без причины.</t>
  </si>
  <si>
    <t>C8 Методика: «нормы 2026» — расчёт по СП 256 с Изм. 9 (cos φ силовых 0,8, Кс силовых по табл. 7.5, Ко только при бытовой + силовой нагрузке, отопление и ВНГ отдельно). «v3.12» — как старая книга, только для сверки.</t>
  </si>
  <si>
    <t>C9 kп.к — региональный коэффициент к бытовой нагрузке (СП 256 табл. 7.5а). Частный дом — 1. Многоквартирный дом — значение региона (ЦФО 0,81).</t>
  </si>
  <si>
    <t>F2:G14 Кс силовых по числу электроприёмников (СП 256 табл. 7.5, доля сантехники 100–85 %). Применяется к силовым линиям без ручного Кс в режиме «нормы 2026».</t>
  </si>
  <si>
    <t>B15:C22 ИБП — допустимая загрузка, cos φ, автономия, напряжение АКБ, КПД, разряд, заряд. Влияют на подбор ИБП и на нагрузку входа ИБП на вводе (лист «Режимы»).</t>
  </si>
  <si>
    <t>Где ещё настройки: Uн, общий К прокладки, таблица Кс быт, мест на лист схемы — лист «Таблицы_норм» (BF4, BQ29, BQ30, BP4:BQ11).</t>
  </si>
  <si>
    <t>КАК ЗАПОЛНЯТЬ ЛИСТ «ЩИТЫ»</t>
  </si>
  <si>
    <t>ЩИТЫ: одна строка — один щит объекта. Жёлтые столбцы — ввод, серые — результат. Свёрнутые столбцы (кнопка «+» над таблицей) — подробности расчёта.</t>
  </si>
  <si>
    <t>Для КАЖДОГО щита: Щит (имя, как в «Линиях»), Вводов (1/2/3), АВР (да/нет), ИБП от (Ввод 1/2/3), Мест под вводной узел (обычно 15).</t>
  </si>
  <si>
    <t>«Питается от» обычно НЕ заполняйте: книга сама находит линию-фидер в «Линиях» (номер линии = имя щита, или столбец «Питает щит»).</t>
  </si>
  <si>
    <t>Только для ВРУ / ГРЩ (щит без вышестоящего): данные сети — Iкз min и Iкз max от сетевой организации, или «ТП» и мощность трансформатора; питающий кабель и аппарат. Без них ток КЗ не считается ни в одном щите.</t>
  </si>
  <si>
    <t>Результат: Руст, Рр, Iр, cos φ — щит вместе со всеми нижестоящими; ΔU до шин и Iкз — от ВРУ по фидерам; «Категория шины «Ввод»» — какую категорию даёт схема; «Замечания щита» — что исправить.</t>
  </si>
  <si>
    <t>КАК ЗАПОЛНЯТЬ ЛИСТ «ШИНЫ»</t>
  </si>
  <si>
    <t>ШИНЫ: нужен, только если тип шины НЕ определяется сам. Обычно лист пустой.</t>
  </si>
  <si>
    <t>Как определяется сам: в «Линиях» в столбце «Шина» (в строке с автоматом) пишется имя шины. Имя содержит «ИБП» → шина ИБП (категория I особая); «ДГУ» → шина ДГУ; иначе — основная шина секции линии (Ввод 1/2/3 по столбцу «Секция»).</t>
  </si>
  <si>
    <t>Когда заполнять: имя шины не говорит о её типе. Пример: шина «ЩГП» питается от ИБП → строка: Шина = ЩГП, Щит = ЩР-1 (или пусто — для всех щитов), Тип = ИБП. Пример: «Шина вентиляции» без резерва → Тип = Одиночная (категория III).</t>
  </si>
  <si>
    <t>Типы: Ввод 1 / Ввод 2 / Ввод 3 — источник по секции; ИБП, ДГУ — отдельный источник (I особая); Одиночная — без резерва (III). Тип влияет на категорию линий и на режимы (лист «Режимы»).</t>
  </si>
  <si>
    <t>ТАБЛИЦЫ НОРМ: допустимые токи кабелей (BX:CA), сопротивления (B:D), номиналы автоматов (F:G), Кс быт (BP:BQ), настройки сети (BQ29:BQ31), мест на лист схемы (BF4), УГО → блоки AutoCAD (BA:BC). Коды потребителей, УГО, этажи, кабели — на листе «Коды».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</si>
</sst>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rgb="FF80808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206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0C4D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5" fillId="0" borderId="0"/>
    <xf numFmtId="0" fontId="1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0" fontId="12" fillId="8" borderId="10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0" xfId="0" applyNumberFormat="1" applyFont="1" applyFill="1" applyBorder="1" applyAlignment="1">
      <alignment vertical="center"/>
    </xf>
    <xf numFmtId="0" fontId="9" fillId="6" borderId="10" xfId="0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11" xfId="0" applyNumberFormat="1" applyFont="1" applyFill="1" applyBorder="1" applyAlignment="1">
      <alignment horizontal="center" vertical="center" wrapText="1"/>
    </xf>
    <xf numFmtId="0" fontId="11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horizontal="center" vertical="center"/>
    </xf>
    <xf numFmtId="0" fontId="10" fillId="9" borderId="10" xfId="0" applyNumberFormat="1" applyFont="1" applyFill="1" applyBorder="1" applyAlignment="1">
      <alignment horizontal="center" vertical="center" wrapText="1"/>
    </xf>
    <xf numFmtId="0" fontId="10" fillId="6" borderId="11" xfId="0" applyNumberFormat="1" applyFont="1" applyFill="1" applyBorder="1" applyAlignment="1">
      <alignment horizontal="center" vertical="center" wrapText="1"/>
    </xf>
    <xf numFmtId="0" fontId="11" fillId="10" borderId="11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9" fillId="13" borderId="10" xfId="0" applyNumberFormat="1" applyFont="1" applyFill="1" applyBorder="1" applyAlignment="1">
      <alignment horizontal="center" vertical="center"/>
    </xf>
    <xf numFmtId="0" fontId="10" fillId="13" borderId="10" xfId="0" applyNumberFormat="1" applyFont="1" applyFill="1" applyBorder="1" applyAlignment="1">
      <alignment horizontal="center" vertical="center" wrapText="1"/>
    </xf>
    <xf numFmtId="0" fontId="10" fillId="14" borderId="11" xfId="0" applyNumberFormat="1" applyFont="1" applyFill="1" applyBorder="1" applyAlignment="1">
      <alignment horizontal="center" vertical="center" wrapText="1"/>
    </xf>
    <xf numFmtId="0" fontId="11" fillId="14" borderId="11" xfId="0" applyNumberFormat="1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vertical="center"/>
    </xf>
    <xf numFmtId="0" fontId="10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vertical="center"/>
    </xf>
    <xf numFmtId="2" fontId="9" fillId="9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2" fontId="9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 wrapText="1"/>
    </xf>
    <xf numFmtId="0" fontId="9" fillId="15" borderId="10" xfId="0" applyNumberFormat="1" applyFont="1" applyFill="1" applyBorder="1" applyAlignment="1">
      <alignment horizontal="center" vertical="center"/>
    </xf>
    <xf numFmtId="0" fontId="9" fillId="15" borderId="1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wrapText="1"/>
    </xf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11" fillId="15" borderId="11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wrapText="1"/>
    </xf>
    <xf numFmtId="0" fontId="1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16" fillId="18" borderId="0" xfId="0" applyFont="1" applyFill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9" fillId="6" borderId="10" xfId="0" applyNumberFormat="1" applyFont="1" applyFill="1" applyBorder="1" applyAlignment="1" applyProtection="1">
      <alignment vertical="center"/>
      <protection locked="0"/>
    </xf>
    <xf numFmtId="0" fontId="9" fillId="6" borderId="11" xfId="0" applyNumberFormat="1" applyFont="1" applyFill="1" applyBorder="1" applyAlignment="1" applyProtection="1">
      <alignment horizontal="center" vertic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>
      <alignment horizontal="center" wrapText="1"/>
    </xf>
    <xf numFmtId="0" fontId="0" fillId="22" borderId="0" xfId="0" applyFill="1" applyAlignment="1" applyProtection="1">
      <alignment horizontal="center"/>
      <protection locked="0"/>
    </xf>
    <xf numFmtId="0" fontId="18" fillId="0" borderId="0" xfId="0" applyFont="1"/>
    <xf numFmtId="0" fontId="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7" fillId="23" borderId="0" xfId="0" applyFont="1" applyFill="1" applyAlignment="1">
      <alignment vertical="top"/>
    </xf>
    <xf numFmtId="0" fontId="21" fillId="23" borderId="0" xfId="0" applyFont="1" applyFill="1" applyAlignment="1">
      <alignment vertical="top"/>
    </xf>
    <xf numFmtId="0" fontId="19" fillId="21" borderId="12" xfId="0" applyFont="1" applyFill="1" applyBorder="1" applyAlignment="1">
      <alignment vertical="top" wrapText="1"/>
    </xf>
    <xf numFmtId="0" fontId="19" fillId="21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19" fillId="0" borderId="0" xfId="0" quotePrefix="1" applyFont="1" applyAlignment="1">
      <alignment vertical="top"/>
    </xf>
    <xf numFmtId="0" fontId="25" fillId="0" borderId="0" xfId="5" applyFont="1" applyAlignment="1">
      <alignment vertical="top"/>
    </xf>
    <xf numFmtId="0" fontId="25" fillId="0" borderId="12" xfId="5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19" fillId="24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7" fillId="0" borderId="0" xfId="0" applyFont="1" applyFill="1" applyAlignment="1">
      <alignment horizontal="left" wrapText="1"/>
    </xf>
    <xf numFmtId="0" fontId="11" fillId="9" borderId="11" xfId="0" applyNumberFormat="1" applyFont="1" applyFill="1" applyBorder="1" applyAlignment="1">
      <alignment horizontal="center" vertical="center"/>
    </xf>
    <xf numFmtId="0" fontId="11" fillId="9" borderId="10" xfId="0" applyNumberFormat="1" applyFont="1" applyFill="1" applyBorder="1" applyAlignment="1">
      <alignment horizontal="center" vertical="center"/>
    </xf>
    <xf numFmtId="0" fontId="11" fillId="15" borderId="11" xfId="0" applyNumberFormat="1" applyFont="1" applyFill="1" applyBorder="1" applyAlignment="1">
      <alignment horizontal="center" vertical="center"/>
    </xf>
    <xf numFmtId="0" fontId="11" fillId="15" borderId="10" xfId="0" applyNumberFormat="1" applyFont="1" applyFill="1" applyBorder="1" applyAlignment="1">
      <alignment horizontal="center" vertical="center"/>
    </xf>
    <xf numFmtId="0" fontId="11" fillId="11" borderId="11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2" borderId="10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numFmtId="0" fontId="11" fillId="13" borderId="10" xfId="0" applyNumberFormat="1" applyFont="1" applyFill="1" applyBorder="1" applyAlignment="1">
      <alignment horizontal="center" vertical="center"/>
    </xf>
    <xf numFmtId="0" fontId="27" fillId="0" borderId="0" xfId="0" applyFont="1"/>
    <xf numFmtId="0" fontId="0" fillId="22" borderId="0" xfId="0" applyFill="1"/>
    <xf numFmtId="0" fontId="0" fillId="0" borderId="0" xfId="0" quotePrefix="1"/>
    <xf numFmtId="0" fontId="20" fillId="0" borderId="0" xfId="0" applyFont="1"/>
    <xf numFmtId="0" fontId="11" fillId="21" borderId="0" xfId="0" applyFont="1" applyFill="1"/>
    <xf numFmtId="0" fontId="11" fillId="21" borderId="0" xfId="0" applyFont="1" applyFill="1" applyAlignment="1">
      <alignment horizontal="right"/>
    </xf>
    <xf numFmtId="0" fontId="11" fillId="21" borderId="0" xfId="0" applyFont="1" applyFill="1" applyAlignment="1">
      <alignment wrapText="1"/>
    </xf>
    <xf numFmtId="0" fontId="11" fillId="0" borderId="0" xfId="0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22" borderId="0" xfId="0" applyFont="1" applyFill="1"/>
    <xf numFmtId="0" fontId="28" fillId="0" borderId="0" xfId="0" applyFont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0" fontId="0" fillId="22" borderId="0" xfId="0" applyFill="1" applyAlignment="1">
      <alignment wrapText="1"/>
    </xf>
    <xf numFmtId="0" fontId="0" fillId="9" borderId="0" xfId="0" applyFill="1" applyAlignment="1">
      <alignment wrapText="1"/>
    </xf>
    <xf numFmtId="0" fontId="11" fillId="26" borderId="0" xfId="0" applyFont="1" applyFill="1"/>
    <xf numFmtId="0" fontId="0" fillId="9" borderId="0" xfId="0" applyFill="1"/>
    <xf numFmtId="0" fontId="7" fillId="9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23" borderId="0" xfId="0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31" fillId="23" borderId="0" xfId="0" applyFont="1" applyFill="1"/>
    <xf numFmtId="0" fontId="0" fillId="23" borderId="0" xfId="0" applyFill="1"/>
    <xf numFmtId="0" fontId="0" fillId="0" borderId="0" xfId="0" applyAlignment="1">
      <alignment vertical="top" wrapText="1"/>
    </xf>
    <xf numFmtId="0" fontId="32" fillId="0" borderId="0" xfId="0" applyFont="1"/>
  </cellXfs>
  <cellStyles count="6">
    <cellStyle name="Гиперссылка" xfId="5" builtinId="8"/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1">
    <dxf>
      <font>
        <b/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border>
        <top style="dashed">
          <color rgb="FF808080"/>
        </top>
      </border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indexed="64"/>
          <bgColor rgb="FFF2F2F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E5E0C-535E-4D44-845F-B3DC8B82C3B3}" name="Коды" displayName="Коды" ref="A3:M33" totalsRowShown="0" headerRowDxfId="90">
  <autoFilter ref="A3:M33" xr:uid="{295E5E0C-535E-4D44-845F-B3DC8B82C3B3}"/>
  <tableColumns count="13">
    <tableColumn id="1" xr3:uid="{DB9DA9C9-72EE-4EB2-9086-F04F42011D01}" name="Код"/>
    <tableColumn id="2" xr3:uid="{94DAAD3F-E480-49A2-8185-A1F4FF63BF3E}" name="Наименование"/>
    <tableColumn id="3" xr3:uid="{C156288D-69F6-484A-B49D-5FC7470E6331}" name="Опуск, м"/>
    <tableColumn id="4" xr3:uid="{92EC99EF-6415-448E-98A9-17AA5A6F46E6}" name="1 - этаж/2 - шлейф"/>
    <tableColumn id="5" xr3:uid="{37990378-2E65-4151-B4A6-8405E2E93390}" name="Пуск: 1 нет/2 двигатель/3 свет"/>
    <tableColumn id="6" xr3:uid="{95E2A8D6-3EA4-4FCD-84A1-A8EEFB23D1D3}" name="Марка кабеля"/>
    <tableColumn id="7" xr3:uid="{B4EDBDE3-4AF7-408A-963D-2CFFA5E43D8A}" name="Жил"/>
    <tableColumn id="8" xr3:uid="{E26EB552-0B20-4482-8BAC-A9FEF07DFBA2}" name="Напряжение"/>
    <tableColumn id="9" xr3:uid="{23E15007-F110-4048-A750-7F2E6A5C2EBD}" name="Фаз"/>
    <tableColumn id="10" xr3:uid="{D36D3408-1079-49E3-8204-A170C1CFD08D}" name="Сечение"/>
    <tableColumn id="11" xr3:uid="{6A5F22E4-9381-44D0-A2F9-47B0BEDA4F9A}" name="Вид нагрузки"/>
    <tableColumn id="12" xr3:uid="{BA8CD877-A53E-4D74-B4F1-6D79B9002800}" name="Группа Кс"/>
    <tableColumn id="13" xr3:uid="{5F0EBDA1-8361-44DF-8A49-048C0B18F580}" name="Пожарна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BB8A-AA5E-4ADD-9843-F063A5E131F4}" name="УГО" displayName="УГО" ref="O3:S38" totalsRowShown="0" headerRowDxfId="89">
  <autoFilter ref="O3:S38" xr:uid="{F954BB8A-AA5E-4ADD-9843-F063A5E131F4}"/>
  <tableColumns count="5">
    <tableColumn id="1" xr3:uid="{FD0DC219-E10A-4BDA-8C74-FF5C44AC6D20}" name="Код (УГО)"/>
    <tableColumn id="2" xr3:uid="{1DA6932A-03E3-44EC-8ACB-604AD52FB859}" name="УГО"/>
    <tableColumn id="3" xr3:uid="{196602BF-C278-47F9-A8A8-D2C1DA03AFD4}" name="Дифзащита, мА (да = 30)"/>
    <tableColumn id="4" xr3:uid="{D03EDE5B-7F49-4119-9F38-2A1BCBAD4282}" name="Мин. автомат, А"/>
    <tableColumn id="5" xr3:uid="{AD18B7B9-2E09-45A4-A440-89ECC27B484D}" name="3L клемм на линию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6B5C8-B31F-4F0B-A0FD-0229AFECDBED}" name="Этажи" displayName="Этажи" ref="U3:X7" totalsRowShown="0" headerRowDxfId="88">
  <autoFilter ref="U3:X7" xr:uid="{3026B5C8-B31F-4F0B-A0FD-0229AFECDBED}"/>
  <tableColumns count="4">
    <tableColumn id="1" xr3:uid="{84B7F66E-2ED4-4126-9F08-D1EAB3AE5C8D}" name="Этаж"/>
    <tableColumn id="2" xr3:uid="{471C3F5C-FC3B-40F5-B903-8B3340EB5842}" name="Название этажа"/>
    <tableColumn id="3" xr3:uid="{082149A6-A56F-4079-BD5F-FC7264252A56}" name="Подъём, м"/>
    <tableColumn id="4" xr3:uid="{5CC44BAA-1C4C-4F89-A947-51C2A5659217}" name="По другим этажам, м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4D6EAE-6867-4E66-9905-360082AAC51E}" name="Кабели" displayName="Кабели" ref="Z3:AB15" totalsRowShown="0" headerRowDxfId="87">
  <autoFilter ref="Z3:AB15" xr:uid="{914D6EAE-6867-4E66-9905-360082AAC51E}"/>
  <tableColumns count="3">
    <tableColumn id="1" xr3:uid="{276F90B6-A9AA-426E-8399-38F7CEAB9439}" name="Обозначение"/>
    <tableColumn id="2" xr3:uid="{6DB1A5A9-CB30-4E30-BD16-23C42993DB4B}" name="Кабель"/>
    <tableColumn id="3" xr3:uid="{820F43B1-8685-4B38-B0F8-409A5EC4A548}" name="Сечение в марке (1 да / 2 нет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61C883-B74B-4478-8158-5F571506C6ED}" name="Щиты" displayName="Щиты" ref="A9:BW10" totalsRowShown="0">
  <autoFilter ref="A9:BW10" xr:uid="{E461C883-B74B-4478-8158-5F571506C6ED}"/>
  <tableColumns count="75">
    <tableColumn id="1" xr3:uid="{66F7D786-697F-41D1-A26B-2FF1D1DD4A62}" name="Щит"/>
    <tableColumn id="2" xr3:uid="{86EF29A4-C67B-4090-AC18-DD574B79AEAD}" name="Питается от"/>
    <tableColumn id="3" xr3:uid="{78F82557-5685-4622-B82A-56024F13F705}" name="Вводов"/>
    <tableColumn id="4" xr3:uid="{E5817C3E-7CB7-49B1-A3F1-5B14DABA9ED5}" name="АВР"/>
    <tableColumn id="5" xr3:uid="{7E0F5A6D-4E79-415C-A41C-7282785D4F2D}" name="ИБП от"/>
    <tableColumn id="6" xr3:uid="{942DCA2F-10A5-4E58-B141-A32B4001381F}" name="Мест под вводной узел"/>
    <tableColumn id="7" xr3:uid="{D91F2B2F-6006-4E81-A1A5-6DBF94C5C282}" name="Питание: от (ТП / сеть)"/>
    <tableColumn id="8" xr3:uid="{A4A9F95B-D0A6-4614-9B72-8D89E828BFDD}" name="ΔU до питающего, %"/>
    <tableColumn id="9" xr3:uid="{1B7C189E-23DD-4D77-B16D-9CCE1B20A765}" name="Iкз min от сети, А"/>
    <tableColumn id="10" xr3:uid="{ECEA41D6-DDCD-497C-9866-79BE828182F6}" name="Iкз max от сети, кА"/>
    <tableColumn id="11" xr3:uid="{B68EFF52-7129-4098-BC44-E0DC59B7B3B3}" name="Sтр, кВА"/>
    <tableColumn id="12" xr3:uid="{6412A328-FA77-4151-986A-879A3ACEE5F9}" name="Схема тр-ра"/>
    <tableColumn id="13" xr3:uid="{3355B63D-478A-42AA-AEC7-3F69812E1DFC}" name="Питающий кабель: S, мм²"/>
    <tableColumn id="14" xr3:uid="{A6E0A293-A025-491E-BB29-CF9DBC473BAB}" name="Жил"/>
    <tableColumn id="15" xr3:uid="{D3291102-F7E8-4D19-B8D8-545FA074F993}" name="Кабелей параллельно"/>
    <tableColumn id="16" xr3:uid="{3803457D-DC82-45A3-BF2D-A81B0F0F2333}" name="Длина, м"/>
    <tableColumn id="17" xr3:uid="{58D88D1D-2028-4306-844C-420F90383BA5}" name="Материал"/>
    <tableColumn id="18" xr3:uid="{F3567BDD-A682-448A-802E-DC3F78E5AF45}" name="In питающего аппарата, А"/>
    <tableColumn id="19" xr3:uid="{51E33DB8-CBB9-4D65-AF68-DF8FE955EAD6}" name="Хар-ка аппарата"/>
    <tableColumn id="20" xr3:uid="{CE1B2F32-B9A7-4AEB-B738-ADF50C4FFA52}" name="Кат. питающей линии (ручн.)"/>
    <tableColumn id="21" xr3:uid="{B4A8E5D3-F378-4521-8A33-BE93AF8C24CA}" name="Питается от (итог)">
      <calculatedColumnFormula array="1">IF(Щиты[[#This Row],[Питается от]]&lt;&gt;"",Щиты[[#This Row],[Питается от]],IFERROR(INDEX(Линии[Щит],Щиты[[#This Row],[_строка фидера]]),""))</calculatedColumnFormula>
    </tableColumn>
    <tableColumn id="22" xr3:uid="{54565363-DA84-40ED-B805-C8BDC9C992A3}" name="Замечания щита">
      <calculatedColumnFormula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calculatedColumnFormula>
    </tableColumn>
    <tableColumn id="23" xr3:uid="{FE0F4770-97AA-476E-ADDD-773E57C7021D}" name="Линия фидера">
      <calculatedColumnFormula array="1">IF(Щиты[[#This Row],[_строка фидера]]="","",INDEX(Линии[Номер линии],Щиты[[#This Row],[_строка фидера]]))</calculatedColumnFormula>
    </tableColumn>
    <tableColumn id="24" xr3:uid="{06366018-0FD6-4191-8B73-B0975CD1E902}" name="Руст, кВт" dataDxfId="86">
      <calculatedColumnFormula>SUMIFS(Щиты[_Руст собств],Щиты[Путь],"*|"&amp;Щиты[[#This Row],[Щит]]&amp;"|*")</calculatedColumnFormula>
    </tableColumn>
    <tableColumn id="25" xr3:uid="{D132813E-FC2C-4097-BA46-9D1788D7A40F}" name="Рр, кВт" dataDxfId="85">
      <calculatedColumnFormula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calculatedColumnFormula>
    </tableColumn>
    <tableColumn id="26" xr3:uid="{84A1F867-0A76-4F8E-992A-104F167BF6EF}" name="Iр, А" dataDxfId="84">
      <calculatedColumnFormula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calculatedColumnFormula>
    </tableColumn>
    <tableColumn id="27" xr3:uid="{9E61DAF2-BA4F-4076-ADAA-0073D5CD5D91}" name="cos φ" dataDxfId="83">
      <calculatedColumnFormula>IFERROR(SUMIFS(Щиты[_Pcos собств],Щиты[Путь],"*|"&amp;Щиты[[#This Row],[Щит]]&amp;"|*")/SUMIFS(Щиты[_P собств],Щиты[Путь],"*|"&amp;Щиты[[#This Row],[Щит]]&amp;"|*"),0.95)</calculatedColumnFormula>
    </tableColumn>
    <tableColumn id="28" xr3:uid="{8CF8CD61-EAAB-4BCB-A8F1-78EC9C07BC51}" name="ΔU до шин, %" dataDxfId="82">
      <calculatedColumnFormula array="1">SUMPRODUCT(--ISNUMBER(SEARCH("|"&amp;Щиты[Щит]&amp;"|",Щиты[[#This Row],[Путь]])),IFERROR(--Щиты[_ΔU фидера],0)+IFERROR(--Щиты[_ΔU источника],0))</calculatedColumnFormula>
    </tableColumn>
    <tableColumn id="29" xr3:uid="{23FF12FE-985B-469C-AF73-019C33892BA3}" name="Iкз min на шинах, А" dataDxfId="81">
      <calculatedColumnFormula>IF(ISNUMBER(Щиты[[#This Row],[Zпетли на шинах, Ом]]),c_min*(Uн_лин*1000/SQRT(3))/Щиты[[#This Row],[Zпетли на шинах, Ом]],"")</calculatedColumnFormula>
    </tableColumn>
    <tableColumn id="30" xr3:uid="{DA6488FD-85E1-4BCD-9744-C00BC49C07EC}" name="Iкз max на шинах, кА" dataDxfId="80">
      <calculatedColumnFormula>IF(ISNUMBER(Щиты[[#This Row],[Zmax на шинах, Ом]]),1.05*(Uн_лин*1000/SQRT(3))/Щиты[[#This Row],[Zmax на шинах, Ом]]/1000,"")</calculatedColumnFormula>
    </tableColumn>
    <tableColumn id="31" xr3:uid="{F6C9C42F-9ACD-4852-8E3A-7A041F078B24}" name="Категория шины «Ввод»">
      <calculatedColumnFormula array="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calculatedColumnFormula>
    </tableColumn>
    <tableColumn id="32" xr3:uid="{FC1580DF-561F-424B-A332-3E050499227B}" name="Путь">
      <calculatedColumnFormula array="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calculatedColumnFormula>
    </tableColumn>
    <tableColumn id="33" xr3:uid="{F176EA27-D85F-4360-833C-E97E7F1F3395}" name="Корень" dataDxfId="79">
      <calculatedColumnFormula>_xlfn.TEXTBEFORE(MID(Щиты[[#This Row],[Путь]],2,999),"|")</calculatedColumnFormula>
    </tableColumn>
    <tableColumn id="34" xr3:uid="{086172D1-A9C1-4268-B0C9-3DA44D1EF5DD}" name="Уровень">
      <calculatedColumnFormula>LEN(Щиты[[#This Row],[Путь]])-LEN(SUBSTITUTE(Щиты[[#This Row],[Путь]],"|",""))-2</calculatedColumnFormula>
    </tableColumn>
    <tableColumn id="35" xr3:uid="{37B97D4F-9E72-48EB-8183-82925E6F6204}" name="_строка фидера">
      <calculatedColumnFormula>IFERROR(_xlfn.XMATCH(Щиты[[#This Row],[Щит]],Линии[_фидер]),"")</calculatedColumnFormula>
    </tableColumn>
    <tableColumn id="36" xr3:uid="{9643C5A4-8C7B-4CA8-AB41-EDDC7D7433A7}" name="_Руст собств">
      <calculatedColumnFormula>SUMIFS(Линии[_Руст (без Нет)],Линии[Щит],Щиты[[#This Row],[Щит]])</calculatedColumnFormula>
    </tableColumn>
    <tableColumn id="37" xr3:uid="{B1965386-6D92-4BC5-BA39-BFF240098C7C}" name="_быт собств">
      <calculatedColumnFormula>SUMIFS(Линии[_Руст быт],Линии[Щит],Щиты[[#This Row],[Щит]])</calculatedColumnFormula>
    </tableColumn>
    <tableColumn id="38" xr3:uid="{EEC925AB-9553-4588-B97A-8A1B77C6BB5D}" name="_сил собств">
      <calculatedColumnFormula>SUMIFS(Линии[_Рр сил],Линии[Щит],Щиты[[#This Row],[Щит]])</calculatedColumnFormula>
    </tableColumn>
    <tableColumn id="39" xr3:uid="{F48F4ADE-8125-4688-BA1F-37609BED0677}" name="_пост собств">
      <calculatedColumnFormula>SUMIFS(Линии[_Руст пост],Линии[Щит],Щиты[[#This Row],[Щит]])</calculatedColumnFormula>
    </tableColumn>
    <tableColumn id="40" xr3:uid="{FE1F422E-CD04-4CE4-B821-5CEFD85FEDC7}" name="_P собств">
      <calculatedColumnFormula>SUMIFS(Линии[_P для cos],Линии[Щит],Щиты[[#This Row],[Щит]])</calculatedColumnFormula>
    </tableColumn>
    <tableColumn id="41" xr3:uid="{A292B789-AC73-40DC-A6D5-7FCEC11C8840}" name="_Pcos собств">
      <calculatedColumnFormula>SUMIFS(Линии[_P·cos],Линии[Щит],Щиты[[#This Row],[Щит]])</calculatedColumnFormula>
    </tableColumn>
    <tableColumn id="42" xr3:uid="{B2B96B1A-10F1-44D3-8015-68A6A5A38982}" name="_отоп собств">
      <calculatedColumnFormula>SUMIFS(Линии[_Р отопления],Линии[Щит],Щиты[[#This Row],[Щит]])</calculatedColumnFormula>
    </tableColumn>
    <tableColumn id="43" xr3:uid="{E826F130-831D-4628-9444-B372E65008AC}" name="_внг собств">
      <calculatedColumnFormula>SUMIFS(Линии[_Рр ВНГ],Линии[Щит],Щиты[[#This Row],[Щит]])</calculatedColumnFormula>
    </tableColumn>
    <tableColumn id="44" xr3:uid="{0A1AB4EA-2A4C-4444-8DC6-491B2A79661B}" name="Руст быт, кВт" dataDxfId="78">
      <calculatedColumnFormula>SUMIFS(Щиты[_быт собств],Щиты[Путь],"*|"&amp;Щиты[[#This Row],[Щит]]&amp;"|*")</calculatedColumnFormula>
    </tableColumn>
    <tableColumn id="45" xr3:uid="{26D07219-4287-4871-B253-B4C7A76B4237}" name="Кс быт" dataDxfId="77">
      <calculatedColumnFormula array="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calculatedColumnFormula>
    </tableColumn>
    <tableColumn id="46" xr3:uid="{53814049-3AC0-4A1C-9F23-4BB760808C87}" name="Рр сил, кВт" dataDxfId="76">
      <calculatedColumnFormula>SUMIFS(Щиты[_сил собств],Щиты[Путь],"*|"&amp;Щиты[[#This Row],[Щит]]&amp;"|*")</calculatedColumnFormula>
    </tableColumn>
    <tableColumn id="47" xr3:uid="{D5624C4E-8F1D-4427-ADA8-42FED4415F40}" name="Руст пост, кВт" dataDxfId="75">
      <calculatedColumnFormula>SUMIFS(Щиты[_пост собств],Щиты[Путь],"*|"&amp;Щиты[[#This Row],[Щит]]&amp;"|*")</calculatedColumnFormula>
    </tableColumn>
    <tableColumn id="48" xr3:uid="{2B8C3BA5-379C-4725-BC85-EB1E3A083579}" name="Р отопления, кВт" dataDxfId="74">
      <calculatedColumnFormula>SUMIFS(Щиты[_отоп собств],Щиты[Путь],"*|"&amp;Щиты[[#This Row],[Щит]]&amp;"|*")</calculatedColumnFormula>
    </tableColumn>
    <tableColumn id="49" xr3:uid="{938D4D0D-C77B-47AC-9430-A969F2584D40}" name="Рр ВНГ, кВт" dataDxfId="73">
      <calculatedColumnFormula>SUMIFS(Щиты[_внг собств],Щиты[Путь],"*|"&amp;Щиты[[#This Row],[Щит]]&amp;"|*")</calculatedColumnFormula>
    </tableColumn>
    <tableColumn id="50" xr3:uid="{0A5D0CCD-CD61-4498-BBE6-469958D0951D}" name="_n силовых">
      <calculatedColumnFormula>COUNTIFS(Линии[Щит],Щиты[[#This Row],[Щит]],Линии[Группа Кс (итог)],"Сил")</calculatedColumnFormula>
    </tableColumn>
    <tableColumn id="51" xr3:uid="{3565DF8A-E958-4939-914B-BADDD60799CD}" name="Кс силовых (табл. 7.5)" dataDxfId="72">
      <calculatedColumnFormula array="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calculatedColumnFormula>
    </tableColumn>
    <tableColumn id="52" xr3:uid="{A99A8BFE-2FBA-4446-9511-52D028761BB3}" name="Ко" dataDxfId="71">
      <calculatedColumnFormula>IF(Методика="нормы 2026",IF(AND(Щиты[[#This Row],[Руст быт, кВт]]&gt;0,Щиты[[#This Row],[Рр сил, кВт]]&gt;0),Ко_сил,1),Ко_сил)</calculatedColumnFormula>
    </tableColumn>
    <tableColumn id="53" xr3:uid="{7F063D42-7918-44D0-AABB-C1B729513B09}" name="Кс итог" dataDxfId="70">
      <calculatedColumnFormula>IF(Щиты[[#This Row],[Руст, кВт]]=0,0,Щиты[[#This Row],[Рр, кВт]]/Щиты[[#This Row],[Руст, кВт]])</calculatedColumnFormula>
    </tableColumn>
    <tableColumn id="54" xr3:uid="{633523F7-1D24-43A9-81E6-892D2A033EBD}" name="P L1, кВт" dataDxfId="69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calculatedColumnFormula>
    </tableColumn>
    <tableColumn id="55" xr3:uid="{4C905DDC-9633-40DF-96DD-CC04A9192C59}" name="P L2, кВт" dataDxfId="68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calculatedColumnFormula>
    </tableColumn>
    <tableColumn id="56" xr3:uid="{0DD0CBD8-6918-4C2E-A2C4-812C684A0B47}" name="P L3, кВт" dataDxfId="67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calculatedColumnFormula>
    </tableColumn>
    <tableColumn id="57" xr3:uid="{1D90E107-C6A9-47E0-9F28-E91F40EEFAA1}" name="_ΔU фидера">
      <calculatedColumnFormula array="1">IF(Щиты[[#This Row],[_строка фидера]]="","",INDEX(Линии[ΔU, %],Щиты[[#This Row],[_строка фидера]]))</calculatedColumnFormula>
    </tableColumn>
    <tableColumn id="58" xr3:uid="{724ADAAA-7A30-4ABA-AA24-2A81A3E0F242}" name="_ΔU пит. линии">
      <calculatedColumnFormula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calculatedColumnFormula>
    </tableColumn>
    <tableColumn id="59" xr3:uid="{0BD1185C-383E-49AE-B078-1221C2B4D20F}" name="_ΔU источника">
      <calculatedColumnFormula>IF(Щиты[[#This Row],[Питается от (итог)]]&lt;&gt;"",0,IF(LEFT(UPPER(TRIM(Щиты[[#This Row],[Питание: от (ТП / сеть)]])),2)="ТП",0,N(Щиты[[#This Row],[ΔU до питающего, %]])+Щиты[[#This Row],[_ΔU пит. линии]]))</calculatedColumnFormula>
    </tableColumn>
    <tableColumn id="60" xr3:uid="{E5800177-C91D-4908-A47E-42BA07982786}" name="_петля пит. кабеля">
      <calculatedColumnFormula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calculatedColumnFormula>
    </tableColumn>
    <tableColumn id="61" xr3:uid="{A9075BD7-75C6-4954-81D4-D252A0561ADA}" name="_Zсети">
      <calculatedColumnFormula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calculatedColumnFormula>
    </tableColumn>
    <tableColumn id="62" xr3:uid="{DDB75AAE-60D5-481C-B1EE-C8C656430AF7}" name="_Zисточника">
      <calculatedColumnFormula>IF(Щиты[[#This Row],[_Zсети]]="","",Щиты[[#This Row],[_Zсети]]+Щиты[[#This Row],[_петля пит. кабеля]])</calculatedColumnFormula>
    </tableColumn>
    <tableColumn id="63" xr3:uid="{AFD3D18D-143E-4F3F-AECC-A38B79433EA3}" name="_Zфидера">
      <calculatedColumnFormula array="1">IF(Щиты[[#This Row],[_строка фидера]]="","",INDEX(Линии[_Zкабеля],Щиты[[#This Row],[_строка фидера]]))</calculatedColumnFormula>
    </tableColumn>
    <tableColumn id="64" xr3:uid="{CF99A3D4-7D2E-4A28-9675-6E8AA43B8ACA}" name="Zпетли на шинах, Ом" dataDxfId="66">
      <calculatedColumnFormula array="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calculatedColumnFormula>
    </tableColumn>
    <tableColumn id="65" xr3:uid="{4453CEE8-0B97-4670-AA12-73FF93169A10}" name="_Zmax сети">
      <calculatedColumnFormula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calculatedColumnFormula>
    </tableColumn>
    <tableColumn id="66" xr3:uid="{587A3EFB-1C04-42A3-A03B-FDF0F0964438}" name="_Zmax источника">
      <calculatedColumnFormula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calculatedColumnFormula>
    </tableColumn>
    <tableColumn id="67" xr3:uid="{8742B6C3-B29F-4CDA-B2F6-82005DBEB0BE}" name="_Zmax фидера">
      <calculatedColumnFormula array="1">IF(Щиты[[#This Row],[_строка фидера]]="","",INDEX(Линии[_Zmax кабеля],Щиты[[#This Row],[_строка фидера]]))</calculatedColumnFormula>
    </tableColumn>
    <tableColumn id="68" xr3:uid="{279AD717-06C6-4531-8F3C-C74054631B40}" name="Zmax на шинах, Ом" dataDxfId="65">
      <calculatedColumnFormula array="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calculatedColumnFormula>
    </tableColumn>
    <tableColumn id="69" xr3:uid="{4246234A-1A12-4D50-AC0F-F23EBE10FBFE}" name="_ранг собств">
      <calculatedColumnFormula>_xlfn.MAXIFS(Линии[_ранг для фидера],Линии[Щит],Щиты[[#This Row],[Щит]])</calculatedColumnFormula>
    </tableColumn>
    <tableColumn id="70" xr3:uid="{D11E24B1-39E7-4CE9-A981-10A9217ED3BD}" name="Высшая категория нагрузки">
      <calculatedColumnFormula array="1">IFERROR(INDEX({"III","II","I","I особая"},MAX(1,_xlfn.MAXIFS(Щиты[_ранг собств],Щиты[Путь],"*|"&amp;Щиты[[#This Row],[Щит]]&amp;"|*"))),"III")</calculatedColumnFormula>
    </tableColumn>
    <tableColumn id="71" xr3:uid="{A60B28DA-3AFB-48DA-BC44-1929BBAF919D}" name="Категория фидера">
      <calculatedColumnFormula array="1">IF(Щиты[[#This Row],[_строка фидера]]="","",INDEX(Линии[Категория (итог)],Щиты[[#This Row],[_строка фидера]]))</calculatedColumnFormula>
    </tableColumn>
    <tableColumn id="72" xr3:uid="{2E206969-BBC5-491F-A89A-5E5D7DCF34EA}" name="Iпуск max, А" dataDxfId="64">
      <calculatedColumnFormula>_xlfn.MAXIFS(Линии[Iпуск, А],Линии[Щит],Щиты[[#This Row],[Щит]])</calculatedColumnFormula>
    </tableColumn>
    <tableColumn id="73" xr3:uid="{EE5419DE-4F87-41FE-854D-F1800F96C708}" name="Источник фидера">
      <calculatedColumnFormula array="1">IF(Щиты[[#This Row],[_строка фидера]]="","",INDEX(Линии[Источник для режимов],Щиты[[#This Row],[_строка фидера]]))</calculatedColumnFormula>
    </tableColumn>
    <tableColumn id="74" xr3:uid="{1AEC5C33-4AAD-4756-8E34-DBCC5E6567AE}" name="Пожарный фидер">
      <calculatedColumnFormula array="1">IF(Щиты[[#This Row],[_строка фидера]]="","",INDEX(Линии[Пожарная (итог)],Щиты[[#This Row],[_строка фидера]]))</calculatedColumnFormula>
    </tableColumn>
    <tableColumn id="75" xr3:uid="{EC8914D7-690E-47E3-8489-924DA642E243}" name="Не обеспечено, линий">
      <calculatedColumnFormula>COUNTIFS(Линии[Щит],Щиты[[#This Row],[Щит]],Линии[Категория: проверка],"НЕ ОБЕСПЕЧЕНА")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87CD48-12CD-4740-AEF0-F288FB55BD78}" name="Шины" displayName="Шины" ref="A8:C9" totalsRowShown="0">
  <autoFilter ref="A8:C9" xr:uid="{6B87CD48-12CD-4740-AEF0-F288FB55BD78}"/>
  <tableColumns count="3">
    <tableColumn id="1" xr3:uid="{8C781B63-3021-42F7-9819-65EFF3BB797E}" name="Шина"/>
    <tableColumn id="2" xr3:uid="{711633FB-D867-48D2-853B-9F29821198F7}" name="Щит"/>
    <tableColumn id="3" xr3:uid="{676A1E35-0C56-4EC8-B2FF-38BFAEFC5ADE}" name="Тип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3691F0-694D-443E-8ED5-80D6295AF6B8}" name="Линии" displayName="Линии" ref="A2:GY3" totalsRowShown="0">
  <autoFilter ref="A2:GY3" xr:uid="{743691F0-694D-443E-8ED5-80D6295AF6B8}"/>
  <tableColumns count="207">
    <tableColumn id="1" xr3:uid="{35C0B192-AB6A-47A1-92EF-B6C850B9E6BD}" name="Щит"/>
    <tableColumn id="2" xr3:uid="{1476A40A-C50A-43EA-8E8D-A922F616B71A}" name="№ места"/>
    <tableColumn id="3" xr3:uid="{F6E1D631-0806-42B6-A6C2-4A226CFCC1B7}" name="Лист / место">
      <calculatedColumnFormula>IF(BD3="","",IF(BE3="вводной узел","узел ","")&amp;"л."&amp;(INT((BD3-1)/Столбцов_на_лист)+1)&amp;" / "&amp;(MOD(BD3-1,Столбцов_на_лист)+1))</calculatedColumnFormula>
    </tableColumn>
    <tableColumn id="4" xr3:uid="{468ECF29-0D7C-4C2A-ACA3-7DD45CC3373E}" name="Номер линии"/>
    <tableColumn id="5" xr3:uid="{761F9568-65A0-4EA5-9818-D7F35C0DC6AA}" name="Наименование" dataDxfId="47">
      <calculatedColumnFormula>AY3</calculatedColumnFormula>
    </tableColumn>
    <tableColumn id="6" xr3:uid="{4DD4AC42-D11D-4091-8F35-224D543503A7}" name="Питает щит"/>
    <tableColumn id="7" xr3:uid="{98F2F581-9CA1-41CE-8866-E3D5E7F0C040}" name="Мощность, кВт"/>
    <tableColumn id="8" xr3:uid="{D39A0E97-DDBE-4EAD-BA86-1DAFECE8638A}" name="Кол-во потребителей (для длины)"/>
    <tableColumn id="9" xr3:uid="{2E421EE1-EE90-4EBF-9C31-0719538C4DC2}" name="Кол-во фаз"/>
    <tableColumn id="10" xr3:uid="{E56B329B-4235-4B27-8F75-BC2E843013FC}" name="Напряжение"/>
    <tableColumn id="11" xr3:uid="{CEFBC8A6-E6C7-4AA7-A9C1-8C3F8C3D7B41}" name="Группа Кс (Быт/Сил/Пост/Отоп/ВНГ/Нет; пусто = по коду)"/>
    <tableColumn id="12" xr3:uid="{BF80FDD8-3A40-4A9D-BE1D-4AA8FA61676A}" name="Кс (для Сил)"/>
    <tableColumn id="13" xr3:uid="{D679C963-3DF6-4EAD-808C-1E5114615A0D}" name="cos φ (ручн.)"/>
    <tableColumn id="14" xr3:uid="{32099292-43F4-4C16-B2A1-BE4507143FAA}" name="Секция (1/2/3; пусто = 1)"/>
    <tableColumn id="15" xr3:uid="{FABDC2ED-04B2-4A1D-BACE-5900D42366E3}" name="Фаза (ручная)"/>
    <tableColumn id="16" xr3:uid="{06355AE9-B9B9-4207-BE40-65957BAF8DDC}" name="Длина линии (по плану)"/>
    <tableColumn id="17" xr3:uid="{63E2DBB7-841A-4D0C-9828-12C916926B1E}" name="Лоток"/>
    <tableColumn id="18" xr3:uid="{4C3D50D4-A0DB-4B18-B88D-1C3D3A3CAC0C}" name="Гофра ПВХ"/>
    <tableColumn id="19" xr3:uid="{6A6C7E1D-2734-4077-BA86-7029958000DD}" name="Гофра ПНД"/>
    <tableColumn id="20" xr3:uid="{8A896F2E-B3A4-4919-B972-287D592C314F}" name="Потолок - 1/Пол - 2"/>
    <tableColumn id="21" xr3:uid="{2E8AC44F-6E34-4B71-A4E0-17318B3DAC85}" name="Марка кабеля"/>
    <tableColumn id="22" xr3:uid="{238341A9-52D9-47EB-8708-F0EAEDC8FDF7}" name="Кол-во жил"/>
    <tableColumn id="23" xr3:uid="{DEE73996-DC8A-492B-8365-46CA176A3C9D}" name="Сечение (ручное)"/>
    <tableColumn id="24" xr3:uid="{F837EF98-9930-4B7A-A2E2-F322A7DA4AA4}" name="автомат (ручное)"/>
    <tableColumn id="25" xr3:uid="{62942BFF-7289-468D-8822-7B4221CE7B1B}" name="К прокл. линии (пусто = общий)"/>
    <tableColumn id="26" xr3:uid="{68E3E3DE-D5F7-410D-8F15-8983DA38C116}" name="Вид нагрузки (пусто = по коду)"/>
    <tableColumn id="27" xr3:uid="{92194DC4-A611-416B-A559-225E7CD26A39}" name="Категория надёжности (ввод: I особая / I / II / III; пусто = III)"/>
    <tableColumn id="28" xr3:uid="{F1BF9610-8D5B-4DBF-9DB5-B2210086876B}" name="Пожарная (ввод: да / нет; пусто = по коду)"/>
    <tableColumn id="29" xr3:uid="{00D0E2A5-2D12-4BFE-8C9F-83882BC8FABE}" name="Шина"/>
    <tableColumn id="30" xr3:uid="{36A41736-3E01-4851-B72F-EFD2824134D3}" name="Автомат «авто» или текст"/>
    <tableColumn id="31" xr3:uid="{43434CF8-90C4-4BDC-B93F-897E076C89BA}" name="Дифзащита, мА"/>
    <tableColumn id="32" xr3:uid="{B2CD8348-2F7D-4EE5-AA1A-7A873B1117EB}" name="Аппарат 1"/>
    <tableColumn id="33" xr3:uid="{358B7F7D-CFBD-4DB1-A4A4-9DA77A4163FF}" name="Аппарат 2"/>
    <tableColumn id="34" xr3:uid="{90F325A9-DAA4-495C-A9CA-EE35CEA556F1}" name="Аппарат 3"/>
    <tableColumn id="35" xr3:uid="{06D5C0BE-772B-43F6-843A-F969CAD92F70}" name="Модуль"/>
    <tableColumn id="36" xr3:uid="{2425C7A9-1794-4D61-9D25-A3AB2A999B0A}" name="Канал"/>
    <tableColumn id="37" xr3:uid="{5067C999-9A1F-40C3-BC38-CF66EBDBA495}" name="Клемма"/>
    <tableColumn id="38" xr3:uid="{8351C755-D9B9-41C7-AFED-80B69BE26693}" name="Режим"/>
    <tableColumn id="39" xr3:uid="{01F8FF39-1806-474F-94C1-B237DCEFB18C}" name="DWG: гофра ПВХ по плану, м"/>
    <tableColumn id="40" xr3:uid="{98187AE3-9E1F-464D-957F-AE0EF700594B}" name="DWG: гофра ПНД по плану, м"/>
    <tableColumn id="41" xr3:uid="{7BD827F8-7961-4439-B227-E50A09DF4DDE}" name="DWG: хэндлы полилиний"/>
    <tableColumn id="42" xr3:uid="{03C86347-A0C3-4896-BCEF-B65B8A101641}" name="DWG: примечание"/>
    <tableColumn id="43" xr3:uid="{5D7DF0D3-FF96-4442-99FF-A650C6238BC2}" name="Доп информация из выноски"/>
    <tableColumn id="44" xr3:uid="{8C21560C-1790-4BDB-8E68-65B70044BF91}" name="Замечания">
      <calculatedColumnFormula>_xlfn.TEXTJOIN("; ",TRUE,FK3,IF(DO3="НЕ ОБЕСПЕЧЕНА","категория "&amp;DE3&amp;" не обеспечена (есть "&amp;DL3&amp;")",""),IF(LEFT(FM3,3)="Icu",FM3,""),IF(AND(D3&lt;&gt;"",BS3="Не исп"),"сечение не подобрано",""))</calculatedColumnFormula>
    </tableColumn>
    <tableColumn id="45" xr3:uid="{97BF235A-2EC1-47C3-9C4D-C94391750FA6}" name="_n">
      <calculatedColumnFormula array="1">ROW()-ROW(Линии[#Headers])</calculatedColumnFormula>
    </tableColumn>
    <tableColumn id="46" xr3:uid="{019C597A-9319-4BFD-B7CF-E14417C00987}" name="Код" dataDxfId="63">
      <calculatedColumnFormula>IF(D3="","",IFERROR(LEFT(D3,SEARCH(".",D3)-1),D3))</calculatedColumnFormula>
    </tableColumn>
    <tableColumn id="47" xr3:uid="{6500F43C-FB44-4EA8-8C8E-D0449422ED1C}" name="_часть1">
      <calculatedColumnFormula>IFERROR(RIGHT(D3,LEN(D3)-SEARCH(".",D3)),"")</calculatedColumnFormula>
    </tableColumn>
    <tableColumn id="48" xr3:uid="{393EF057-B08C-40CF-80B5-0AE098F7DCFB}" name="Этаж/Шлейф">
      <calculatedColumnFormula>IFERROR(LEFT(AU3,SEARCH(".",AU3)-1),AU3)</calculatedColumnFormula>
    </tableColumn>
    <tableColumn id="49" xr3:uid="{6BC7B9EC-ACD3-4881-AC71-7498AE086EF7}" name="_часть2">
      <calculatedColumnFormula>IFERROR(RIGHT(AU3,LEN(AU3)-SEARCH(".",AU3)),"")</calculatedColumnFormula>
    </tableColumn>
    <tableColumn id="50" xr3:uid="{B643EC34-8A54-4255-B22E-450FC3D99E01}" name="Помещение">
      <calculatedColumnFormula>IFERROR(LEFT(AW3,SEARCH(".",AW3)-1),AW3)</calculatedColumnFormula>
    </tableColumn>
    <tableColumn id="51" xr3:uid="{EEFB3059-5680-4B95-B88B-2F77B84C73B8}" name="Наименование по коду">
      <calculatedColumnFormula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calculatedColumnFormula>
    </tableColumn>
    <tableColumn id="52" xr3:uid="{2878FBF1-97DA-406F-816C-6738D134C80D}" name="Наименование (итог)">
      <calculatedColumnFormula>IF(E3&lt;&gt;"",E3,AY3)</calculatedColumnFormula>
    </tableColumn>
    <tableColumn id="53" xr3:uid="{99B80364-0E7F-4A37-9DD3-998B2EDF89D1}" name="_фидер">
      <calculatedColumnFormula>IF(F3&lt;&gt;"",F3,IF(AND(D3&lt;&gt;"",D3&lt;&gt;A3,ISNUMBER(_xlfn.XMATCH(D3,Щиты[Щит]))),D3,""))</calculatedColumnFormula>
    </tableColumn>
    <tableColumn id="54" xr3:uid="{EC5F2116-F633-4EB9-9EDC-882F30396C07}" name="_№ щита">
      <calculatedColumnFormula>IFERROR(_xlfn.XMATCH(A3,Щиты[Щит]),0)</calculatedColumnFormula>
    </tableColumn>
    <tableColumn id="55" xr3:uid="{00544E0E-0B65-491E-89B4-F5BB8D80E609}" name="_мест узла">
      <calculatedColumnFormula>IFERROR(N(_xlfn.XLOOKUP(A3,Щиты[Щит],Щиты[Мест под вводной узел])),15)</calculatedColumnFormula>
    </tableColumn>
    <tableColumn id="56" xr3:uid="{5C362C3D-695A-46E2-A67C-10FB4D853B3C}" name="_№ места (итог)">
      <calculatedColumnFormula>IF(B3="-","",IF(ISNUMBER(B3),B3,_xlfn.LET(_xlpm.prev,IF(OR(AS3=1,A3&lt;&gt;A2),0,N(IF(AS3=1,"",BD2))),_xlpm.nx,_xlpm.prev+1,IF(AND(AL3&lt;&gt;"вручную",_xlpm.nx&lt;=BC3),BC3+1,_xlpm.nx))))</calculatedColumnFormula>
    </tableColumn>
    <tableColumn id="57" xr3:uid="{2B94BAE8-30FE-42D4-B888-C3E519B1CA9F}" name="_зона">
      <calculatedColumnFormula>IF(BD3="","",IF(BD3&lt;=BC3,"вводной узел","линии"))</calculatedColumnFormula>
    </tableColumn>
    <tableColumn id="58" xr3:uid="{B9AD2B47-793B-403E-82AA-A11019BA4965}" name="Р, кВт" dataDxfId="62">
      <calculatedColumnFormula>IF(D3="","",IF(BA3&lt;&gt;"",IFERROR(_xlfn.XLOOKUP(BA3,Щиты[Щит],Щиты[Руст, кВт]),0),N(G3)))</calculatedColumnFormula>
    </tableColumn>
    <tableColumn id="59" xr3:uid="{C1B28107-E60F-4884-BE7A-0975E05D79BC}" name="U, В">
      <calculatedColumnFormula>IF(J3&lt;&gt;"",J3,IF(D3="","",IFERROR(IF(VLOOKUP(AT3,Потребители_обозначение,8,FALSE)=0,"",VLOOKUP(AT3,Потребители_обозначение,8,FALSE)),"")))</calculatedColumnFormula>
    </tableColumn>
    <tableColumn id="60" xr3:uid="{C732F4FC-DCE3-4B0A-88D8-740D5C2BB527}" name="Фаз">
      <calculatedColumnFormula>IF(I3&lt;&gt;"",I3,IF(D3="","",IFERROR(IF(VLOOKUP(AT3,Потребители_обозначение,9,FALSE)=0,"",VLOOKUP(AT3,Потребители_обозначение,9,FALSE)),"")))</calculatedColumnFormula>
    </tableColumn>
    <tableColumn id="61" xr3:uid="{2A1E5BD6-24E9-4D3C-BE37-EAD19CAB923A}" name="Марка (итог)">
      <calculatedColumnFormula>IF(U3&lt;&gt;"",U3,IF(D3="","",IFERROR(IF(VLOOKUP(AT3,Потребители_обозначение,6,FALSE)=0,"",VLOOKUP(AT3,Потребители_обозначение,6,FALSE)),"")))</calculatedColumnFormula>
    </tableColumn>
    <tableColumn id="62" xr3:uid="{8A36D127-2348-4D4D-9DF5-7C34CAB12A9D}" name="Жил">
      <calculatedColumnFormula>IF(V3&lt;&gt;"",V3,IF(D3="","",IFERROR(IF(VLOOKUP(AT3,Потребители_обозначение,7,FALSE)=0,"",VLOOKUP(AT3,Потребители_обозначение,7,FALSE)),"")))</calculatedColumnFormula>
    </tableColumn>
    <tableColumn id="63" xr3:uid="{F5360841-8DCB-4B56-B6A7-96E7F653BD11}" name="Сечение задано">
      <calculatedColumnFormula>IF(W3&lt;&gt;"",W3,IF(D3="","",IFERROR(IF(VLOOKUP(AT3,Потребители_обозначение,10,FALSE)=0,"",VLOOKUP(AT3,Потребители_обозначение,10,FALSE)),"")))</calculatedColumnFormula>
    </tableColumn>
    <tableColumn id="64" xr3:uid="{A5771A29-489B-4BB4-989C-692BDB7E2427}" name="_тип пуска">
      <calculatedColumnFormula>IFERROR(VLOOKUP(AT3,Потребители_обозначение,5,FALSE),0)</calculatedColumnFormula>
    </tableColumn>
    <tableColumn id="65" xr3:uid="{9A6E6F85-A446-4C02-821D-E423FBE371BF}" name="cos φ" dataDxfId="61">
      <calculatedColumnFormula array="1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calculatedColumnFormula>
    </tableColumn>
    <tableColumn id="66" xr3:uid="{C4BCBDA4-1057-40BA-920C-41EA1BDF372D}" name="Ток, А" dataDxfId="60">
      <calculatedColumnFormula array="1">IF(D3="","",IF(BA3&lt;&gt;"",IFERROR(_xlfn.XLOOKUP(BA3,Щиты[Щит],Щиты[Iр, А]),""),IFERROR(_xlfn.IFS(BH3=1,BF3/((Uн_лин/SQRT(3))*BM3),BH3=3,BF3/(SQRT(3)*Uн_лин*BM3)),"")))</calculatedColumnFormula>
    </tableColumn>
    <tableColumn id="67" xr3:uid="{02C073BD-7DE2-43D5-AE44-C10807454771}" name="Автомат">
      <calculatedColumnFormula>IF(D3="","",IF(N(X3)=0,IFERROR(VLOOKUP(BN3,Автомат_номиналы,2,TRUE),""),X3))</calculatedColumnFormula>
    </tableColumn>
    <tableColumn id="68" xr3:uid="{E4AD8A91-47AC-465F-835D-7948A7519CC0}" name="_k жил">
      <calculatedColumnFormula>IF(N(BJ3)=1,1,IF(BH3=1,1,IF(N(BJ3)&gt;=4,0.92,1)))</calculatedColumnFormula>
    </tableColumn>
    <tableColumn id="69" xr3:uid="{5216F8D0-97A4-4445-84DC-9D104CD2CC29}" name="_К прокл">
      <calculatedColumnFormula>IF(ISNUMBER(Y3),Y3,К_прокл)</calculatedColumnFormula>
    </tableColumn>
    <tableColumn id="70" xr3:uid="{C7909F07-1356-439D-BEA3-15538D506C9F}" name="_столбец Iдоп">
      <calculatedColumnFormula>IF(N(BJ3)=1,1,IF(BH3=1,2,3))</calculatedColumnFormula>
    </tableColumn>
    <tableColumn id="71" xr3:uid="{BE607961-D4D1-4940-9ADC-FB488C3100E6}" name="Сечение">
      <calculatedColumnFormula array="1">IF(D3="","",IF(N(BK3)&lt;&gt;0,BK3,IFERROR(_xlfn.LET(_xlpm.need,BO3/(BP3*BQ3),_xlpm.t,CHOOSE(BR3,Iдоп_1ж,Iдоп_2ж,Iдоп_3ж),_xlpm.k,_xlfn.XMATCH(_xlpm.need,_xlpm.t,1),IF(ISNA(_xlpm.k),"Не исп",INDEX(Iдоп_S,_xlpm.k))),"Не исп")))</calculatedColumnFormula>
    </tableColumn>
    <tableColumn id="72" xr3:uid="{1B4F2EC0-149B-4116-AF2A-7E148C1A9C92}" name="_ρ">
      <calculatedColumnFormula>IFERROR(VLOOKUP(BS3,Кабель_сопротивление,3,FALSE),"")</calculatedColumnFormula>
    </tableColumn>
    <tableColumn id="73" xr3:uid="{B6324029-EC42-4BD2-9990-149D5540B055}" name="_x">
      <calculatedColumnFormula>IFERROR(VLOOKUP(BS3,Кабель_сопротивление,2,FALSE),"")</calculatedColumnFormula>
    </tableColumn>
    <tableColumn id="74" xr3:uid="{295101B5-BFBA-4997-A1D9-CCF56AC7710D}" name="_Lплан">
      <calculatedColumnFormula>IF(P3&lt;&gt;"",P3,IF(COUNT(AM3,AN3)=0,"",ROUNDUP(SUM(AM3,AN3),0)))</calculatedColumnFormula>
    </tableColumn>
    <tableColumn id="75" xr3:uid="{F0849C41-3E38-4F1A-8CEF-70071432811C}" name="Длина, м" dataDxfId="59">
      <calculatedColumnFormula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calculatedColumnFormula>
    </tableColumn>
    <tableColumn id="76" xr3:uid="{54C0658C-2B09-4FFD-ABD2-7CB3EEBB4A46}" name="_гофра ПВХ">
      <calculatedColumnFormula>IF(R3&lt;&gt;"",R3,IF(OR(BV3="",T3=""),"",IF(T3=1,MAX(0,BW3-ROUNDUP(N(AN3),0)-4),ROUNDUP(N(AM3),0))))</calculatedColumnFormula>
    </tableColumn>
    <tableColumn id="77" xr3:uid="{0DC496A6-869C-4FAB-A2EE-8712B828DD62}" name="_гофра ПНД">
      <calculatedColumnFormula>IF(S3&lt;&gt;"",S3,IF(OR(BV3="",T3=""),"",IF(T3=2,MAX(0,BW3-ROUNDUP(N(AM3),0)-4),ROUNDUP(N(AN3),0))))</calculatedColumnFormula>
    </tableColumn>
    <tableColumn id="78" xr3:uid="{72E2FDE5-2844-4796-A76D-46DFFF04B333}" name="_b">
      <calculatedColumnFormula>IF(BH3=1,2,IF(BH3=3,1,""))</calculatedColumnFormula>
    </tableColumn>
    <tableColumn id="79" xr3:uid="{7073C441-6BB0-44D6-9801-282096D2DFFB}" name="_sin">
      <calculatedColumnFormula>IFERROR(ROUND(SIN(ACOS(BM3)),2),"")</calculatedColumnFormula>
    </tableColumn>
    <tableColumn id="80" xr3:uid="{0CD24A63-D49C-4D1C-93D1-3CDCD260EBEF}" name="_ΔU, В">
      <calculatedColumnFormula>IFERROR(BZ3*(BT3*BW3/BS3*BM3+BU3*BW3*CA3/1000)*BN3,"")</calculatedColumnFormula>
    </tableColumn>
    <tableColumn id="81" xr3:uid="{AA544537-36F0-4634-B51E-B8F970B60ACF}" name="ΔU, %" dataDxfId="58">
      <calculatedColumnFormula>IFERROR(ROUNDUP(CB3/((Uн_лин/SQRT(3))*1000)*100,2),"")</calculatedColumnFormula>
    </tableColumn>
    <tableColumn id="82" xr3:uid="{8523B9CC-7D8A-4D9D-A032-A9126681ACF6}" name="ΔU от ВРУ, %" dataDxfId="57">
      <calculatedColumnFormula>IF(ISNUMBER(CC3),CC3+IFERROR(_xlfn.XLOOKUP(A3,Щиты[Щит],Щиты[ΔU до шин, %]),0),"")</calculatedColumnFormula>
    </tableColumn>
    <tableColumn id="83" xr3:uid="{1A8DAA42-41A4-4398-89A5-C982D5FBE914}" name="Допустимо ΔU, %" dataDxfId="56">
      <calculatedColumnFormula>IF(D3="","",IF(IFERROR(VLOOKUP(AT3,УГО_спр,2,FALSE),"")="Светильник",3,4)+IF(Методика="нормы 2026",MIN(0.5,MAX(0,N(BW3)-100)*0.005),0))</calculatedColumnFormula>
    </tableColumn>
    <tableColumn id="84" xr3:uid="{CC28A7A7-CAC9-4A54-B026-6DB89AD26BCA}" name="_кабель">
      <calculatedColumnFormula>IFERROR(VLOOKUP(BI3,Кабель_обозначение,2,FALSE),"")</calculatedColumnFormula>
    </tableColumn>
    <tableColumn id="85" xr3:uid="{9C0E4B00-046D-4C1D-A7BD-1B5E0E796C88}" name="_кабель с сечением">
      <calculatedColumnFormula>IFERROR(IF(VLOOKUP(BI3,Кабель_обозначение,3,FALSE)=1,CF3&amp;" ("&amp;BJ3&amp;"х"&amp;BS3&amp;")",CF3),"")</calculatedColumnFormula>
    </tableColumn>
    <tableColumn id="86" xr3:uid="{CEDFF369-D006-4BED-9479-7E2248FEDA68}" name="Кабель">
      <calculatedColumnFormula>IF(OR(D3="",CF3="",AND(G3&lt;&gt;"",NOT(ISNUMBER(G3)))),"",IF(BS3=0,CF3,CG3&amp;CHAR(10)&amp;"L="&amp;BW3&amp;"-"&amp;CC3&amp;"%"))</calculatedColumnFormula>
    </tableColumn>
    <tableColumn id="87" xr3:uid="{11080CEA-20F5-4FE2-9CBB-A1F9E4D9133F}" name="_Zкабеля">
      <calculatedColumnFormula>IFERROR(2*ρкз_Cu*BW3/BS3,"")</calculatedColumnFormula>
    </tableColumn>
    <tableColumn id="88" xr3:uid="{1DBD6A2D-1926-44E1-8287-61E3E4B65C9B}" name="_Zmax кабеля">
      <calculatedColumnFormula>IFERROR(0.0175*N(BW3)/BS3,"")</calculatedColumnFormula>
    </tableColumn>
    <tableColumn id="89" xr3:uid="{DCE50C78-73B6-4CBC-AEA1-FD375BF5E0C5}" name="Zпетли в конце, Ом" dataDxfId="55">
      <calculatedColumnFormula>IFERROR(IF(OR(D3="",NOT(ISNUMBER(BS3)),N(BW3)=0),"",_xlfn.XLOOKUP(A3,Щиты[Щит],Щиты[Zпетли на шинах, Ом])+CI3),"")</calculatedColumnFormula>
    </tableColumn>
    <tableColumn id="90" xr3:uid="{1E080920-5320-42F8-BED9-EAB4799FCC47}" name="Iкз min в конце линии, А" dataDxfId="54">
      <calculatedColumnFormula>IF(ISNUMBER(CK3),c_min*(Uн_лин*1000/SQRT(3))/CK3,"")</calculatedColumnFormula>
    </tableColumn>
    <tableColumn id="91" xr3:uid="{4333C88D-8624-4541-95CC-35D591E6E5AB}" name="Iкз max в конце, кА" dataDxfId="53">
      <calculatedColumnFormula>IFERROR(IF(OR(D3="",NOT(ISNUMBER(BS3))),"",1.05*(Uн_лин*1000/SQRT(3))/(_xlfn.XLOOKUP(A3,Щиты[Щит],Щиты[Zmax на шинах, Ом])+CJ3)/1000),"")</calculatedColumnFormula>
    </tableColumn>
    <tableColumn id="92" xr3:uid="{AFEA4D8A-AE11-4B8C-A830-AAA4BCFF9124}" name="Группа Кс (итог)" dataDxfId="52">
      <calculatedColumnFormula>IF(D3="","",IF(BA3&lt;&gt;"","Щит",IF(K3&lt;&gt;"",K3,IF(ISNUMBER(L3),"Сил",IF(IFERROR(_xlfn.XLOOKUP(AT3,Коды_код,Коды_группа)&amp;"","")="","Быт",_xlfn.XLOOKUP(AT3,Коды_код,Коды_группа)&amp;"")))))</calculatedColumnFormula>
    </tableColumn>
    <tableColumn id="93" xr3:uid="{3E8A29EF-A33A-42D4-8C8B-3F79F9C5D738}" name="Кс" dataDxfId="51">
      <calculatedColumnFormula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calculatedColumnFormula>
    </tableColumn>
    <tableColumn id="94" xr3:uid="{4A454873-366A-44F0-99FF-9C12A1E20A12}" name="Секция">
      <calculatedColumnFormula>IF(CN3="","",IFERROR(MIN(3,MAX(1,INT(--N3))),1))</calculatedColumnFormula>
    </tableColumn>
    <tableColumn id="95" xr3:uid="{42C039BB-4005-43E9-9420-87C922ABA811}" name="_Руст (без Нет)">
      <calculatedColumnFormula>IF(OR(CN3="",CN3="Нет",CN3="Щит"),0,N(BF3))</calculatedColumnFormula>
    </tableColumn>
    <tableColumn id="96" xr3:uid="{E7E50FFD-F9BD-4006-BB70-4D5D5FFE89C2}" name="_Руст быт">
      <calculatedColumnFormula>IF(CN3="Быт",N(BF3),0)</calculatedColumnFormula>
    </tableColumn>
    <tableColumn id="97" xr3:uid="{D7C1AFBD-005C-4029-9094-171822600DA1}" name="_Рр сил">
      <calculatedColumnFormula>IF(CN3="Сил",N(BF3)*N(CO3),0)</calculatedColumnFormula>
    </tableColumn>
    <tableColumn id="98" xr3:uid="{932F043A-07E1-4D04-BA04-15F2C00A9979}" name="_Руст пост">
      <calculatedColumnFormula>IF(CN3="Пост",N(BF3),0)</calculatedColumnFormula>
    </tableColumn>
    <tableColumn id="99" xr3:uid="{625EDDB5-64E6-45B3-AFF6-5804D63596F6}" name="_Р отопления">
      <calculatedColumnFormula>IF(CN3="Отоп",N(BF3),0)</calculatedColumnFormula>
    </tableColumn>
    <tableColumn id="100" xr3:uid="{517716A5-02A4-4D96-8D59-9EE5A7640732}" name="_Рр ВНГ">
      <calculatedColumnFormula>IF(CN3="ВНГ",N(BF3)*0.7,0)</calculatedColumnFormula>
    </tableColumn>
    <tableColumn id="101" xr3:uid="{7DFBC66A-ABE3-4DFD-BA09-8CD988A52542}" name="_P для cos">
      <calculatedColumnFormula>IF(OR(D3="",CN3="Щит"),0,N(BF3))</calculatedColumnFormula>
    </tableColumn>
    <tableColumn id="102" xr3:uid="{0D56E4E9-174E-46FB-A75C-E319088E52E7}" name="_P·cos">
      <calculatedColumnFormula>IF(OR(D3="",CN3="Щит"),0,N(BF3)*N(BM3))</calculatedColumnFormula>
    </tableColumn>
    <tableColumn id="103" xr3:uid="{A4A18F1E-AB93-4756-9E76-1ADE773463E3}" name="_фаза №">
      <calculatedColumnFormula>_xlfn.LET(_xlpm.prev,IF(OR(OR(AS3=1,A3&lt;&gt;A2)),0,N(IF(AS3=1,"",CY2))),IF(OR(D3="",BH3=3),_xlpm.prev,IF(_xlpm.prev&gt;=3,1,_xlpm.prev+1)))</calculatedColumnFormula>
    </tableColumn>
    <tableColumn id="104" xr3:uid="{94581A60-8AF4-4748-8BD7-E98FBCBFEA0B}" name="_фаза авто">
      <calculatedColumnFormula>IF(D3="","",IF(BH3=3,"L1,L2,L3","L"&amp;MAX(1,CY3)))</calculatedColumnFormula>
    </tableColumn>
    <tableColumn id="105" xr3:uid="{4A213465-CC36-426B-9EF6-DEC7FFD3EE9C}" name="_Iпуск двиг.">
      <calculatedColumnFormula array="1">IFERROR(IF(BL3=2,_xlfn.IFS(BH3=3,VLOOKUP(BF3,Справочная_двигатели,3,FALSE),BH3=1,VLOOKUP(BF3,Справочная_двигатели,5,TRUE)),0),0)</calculatedColumnFormula>
    </tableColumn>
    <tableColumn id="106" xr3:uid="{403BDA57-792C-4542-B26B-961FED8B4619}" name="_Iпуск LED">
      <calculatedColumnFormula>IFERROR(IF(BL3=3,VLOOKUP(BF3,Справочная_ЛЭД,2,TRUE),0),0)</calculatedColumnFormula>
    </tableColumn>
    <tableColumn id="107" xr3:uid="{73E1D355-FF18-4FDE-A66D-318535186D28}" name="Iпуск, А" dataDxfId="50">
      <calculatedColumnFormula>IF(D3="","",IF(DA3=0,DB3,DA3))</calculatedColumnFormula>
    </tableColumn>
    <tableColumn id="108" xr3:uid="{23D6CDBA-7341-4F80-9CA0-D1808FB5C07C}" name="Фаза">
      <calculatedColumnFormula>IF(D3="","",IF(O3="упр","",IF(O3="",CZ3,IF(O3&amp;""="1,2,3","L1,L2,L3","L"&amp;O3))))</calculatedColumnFormula>
    </tableColumn>
    <tableColumn id="109" xr3:uid="{58286537-5874-4317-83DE-18A6015352F8}" name="Категория (итог)">
      <calculatedColumnFormula array="1">IF(D3="","",IFERROR(INDEX({"I особая","I","II","III"},MATCH(TRIM(AA3&amp;""),{"I особая","I","II","III"},0)),"III"))</calculatedColumnFormula>
    </tableColumn>
    <tableColumn id="110" xr3:uid="{4C59292E-A116-452F-88EF-01BF55882F30}" name="Пожарная (итог)">
      <calculatedColumnFormula>IF(D3="","",IF(TRIM(AB3&amp;"")&lt;&gt;"",IF(LOWER(TRIM(AB3&amp;""))="да","да","нет"),IF(IFERROR(_xlfn.XLOOKUP(AT3,Коды_код,Коды_пожарная),"")="да","да","нет")))</calculatedColumnFormula>
    </tableColumn>
    <tableColumn id="111" xr3:uid="{45D8D592-83D0-45D8-824D-877033D714AE}" name="_шина группы">
      <calculatedColumnFormula>IF(AC3&lt;&gt;"",AC3,IF(AD3&lt;&gt;"","",IF(EK3="","",IF(AS3=1,"",DG2))))</calculatedColumnFormula>
    </tableColumn>
    <tableColumn id="112" xr3:uid="{23892473-5722-4861-A590-9A469F70CBDE}" name="Шина (итог)">
      <calculatedColumnFormula>IF(D3="","",IF(DG3="","основная",DG3))</calculatedColumnFormula>
    </tableColumn>
    <tableColumn id="113" xr3:uid="{A989359A-0210-4CF2-AEA0-03C2EC66B15D}" name="_секция №">
      <calculatedColumnFormula>IFERROR(MIN(3,MAX(1,INT(--N3))),1)</calculatedColumnFormula>
    </tableColumn>
    <tableColumn id="114" xr3:uid="{43D4ADA9-9652-442A-B310-856FC90B4586}" name="Тип шины">
      <calculatedColumnFormula array="1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calculatedColumnFormula>
    </tableColumn>
    <tableColumn id="115" xr3:uid="{3E159E0D-6CD0-4416-AD8F-4410E6BA0F26}" name="Источник для режимов">
      <calculatedColumnFormula>IF(D3="","",IF(OR(DJ3="ИБП",DJ3="ДГУ"),DJ3,IF(LEFT(DJ3,5)="Ввод ",DJ3,"Ввод "&amp;DI3)))</calculatedColumnFormula>
    </tableColumn>
    <tableColumn id="116" xr3:uid="{4D1CD18B-836C-4C3B-BF38-67C4FCE94CAB}" name="Категория обеспечена">
      <calculatedColumnFormula>IF(D3="","",IF(OR(DJ3="ИБП",DJ3="ДГУ"),"I особая",IF(DJ3="Одиночная","III",_xlfn.XLOOKUP(A3,Щиты[Щит],Щиты[Категория шины «Ввод»],"III"))))</calculatedColumnFormula>
    </tableColumn>
    <tableColumn id="117" xr3:uid="{867EB810-720C-4E09-BB89-CA950FD0892E}" name="_ранг категории">
      <calculatedColumnFormula>IF(D3="",0,IFERROR(MATCH(DE3,{"III","II","I","I особая"},0),1))</calculatedColumnFormula>
    </tableColumn>
    <tableColumn id="118" xr3:uid="{8D4A459F-14AE-4581-AA6F-E04B524EF2E5}" name="_ранг для фидера">
      <calculatedColumnFormula>IF(OR(DJ3="ИБП",DJ3="ДГУ"),MIN(DM3,3),DM3)</calculatedColumnFormula>
    </tableColumn>
    <tableColumn id="119" xr3:uid="{90108382-2ADD-4FE4-BF92-F2FAB4A939D1}" name="Категория: проверка">
      <calculatedColumnFormula>IF(D3="","",IF(DM3&gt;IFERROR(MATCH(DL3,{"III","II","I","I особая"},0),1),"НЕ ОБЕСПЕЧЕНА","ОК"))</calculatedColumnFormula>
    </tableColumn>
    <tableColumn id="120" xr3:uid="{19E32C5B-2EEF-4C8F-B892-FF36711C896E}" name="_путь щита">
      <calculatedColumnFormula>IF(A3="","",_xlfn.XLOOKUP(A3,Щиты[Щит],Щиты[Путь],""))</calculatedColumnFormula>
    </tableColumn>
    <tableColumn id="121" xr3:uid="{538B19F0-FDE3-428E-8952-92654655C982}" name="Вид нагрузки (итог)">
      <calculatedColumnFormula>IF(D3="","",IF(Z3&lt;&gt;"",Z3,IF(IFERROR(_xlfn.XLOOKUP(AT3,Коды_код,Коды_вид)&amp;"","")="","Прочее",_xlfn.XLOOKUP(AT3,Коды_код,Коды_вид)&amp;"")))</calculatedColumnFormula>
    </tableColumn>
    <tableColumn id="122" xr3:uid="{77E66D17-AF25-4C81-AC6C-F21613C2BD84}" name="Лист схемы">
      <calculatedColumnFormula>IF(BD3="","",INT((BD3-1)/Столбцов_на_лист)+1)</calculatedColumnFormula>
    </tableColumn>
    <tableColumn id="123" xr3:uid="{F3F69743-C2BC-42DA-8526-76E2A1B84007}" name="Кабель (строкой)">
      <calculatedColumnFormula>IF(D3="","",SUBSTITUTE(CH3,CHAR(10)," "))</calculatedColumnFormula>
    </tableColumn>
    <tableColumn id="124" xr3:uid="{1296EA2D-009A-428C-9783-C5CB893BFBDA}" name="_Р схемы">
      <calculatedColumnFormula>IF(D3="","",IFERROR(--BF3,""))</calculatedColumnFormula>
    </tableColumn>
    <tableColumn id="125" xr3:uid="{E4C62146-290C-4520-AFD4-C85D32C59A52}" name="_Ток схемы">
      <calculatedColumnFormula>IF(D3="","",IFERROR(ROUNDUP(BN3,2),""))</calculatedColumnFormula>
    </tableColumn>
    <tableColumn id="126" xr3:uid="{DFBE231C-B015-4176-918C-799E053BD608}" name="_фаз">
      <calculatedColumnFormula>IF(D3="","",IFERROR(--BH3,1))</calculatedColumnFormula>
    </tableColumn>
    <tableColumn id="127" xr3:uid="{E68358E0-B7F2-420E-93C3-0AB4349F04C9}" name="_дифзащита по коду, мА">
      <calculatedColumnFormula>IF(AT3="",0,_xlfn.LET(_xlpm.v,IFERROR(VLOOKUP(D3,УГО_спр,3,FALSE),IFERROR(VLOOKUP(AT3,УГО_спр,3,FALSE),IFERROR(VLOOKUP(LEFT(AT3,2),УГО_спр,3,FALSE),""))),IF(_xlpm.v="да",30,IF(ISNUMBER(_xlpm.v),_xlpm.v,0))))</calculatedColumnFormula>
    </tableColumn>
    <tableColumn id="128" xr3:uid="{B14E0DA7-6D65-4A64-8A88-3D91D2A81B09}" name="_в кабель выше">
      <calculatedColumnFormula>IF(OR(AJ3="+",AND(D3&lt;&gt;"",D3=IF(AS3=1,"",D2))),1,0)</calculatedColumnFormula>
    </tableColumn>
    <tableColumn id="129" xr3:uid="{6C94D2F2-36BE-4AA0-9B26-E3A36B2DB541}" name="_гр.">
      <calculatedColumnFormula>IF(BD3="","",IF(AD3&lt;&gt;"",COUNTIFS(A$3:A3,A3,AD$3:AD3,"?*"),IF(OR(OR(AS3=1,A3&lt;&gt;A2),AL3="вручную"),"",IF(AS3=1,"",DZ2))))</calculatedColumnFormula>
    </tableColumn>
    <tableColumn id="130" xr3:uid="{50CED921-6A43-427C-967A-39AB93953E38}" name="_гр. (перенос)">
      <calculatedColumnFormula>IF(BD3="",IF(OR(AS3=1,A3&lt;&gt;A2),"",IF(AS3=1,"",DZ2)),DY3)</calculatedColumnFormula>
    </tableColumn>
    <tableColumn id="131" xr3:uid="{898A471B-95FD-4499-B838-30D630723C46}" name="_мин. по типу">
      <calculatedColumnFormula>IF(D3="",0,MAX(IFERROR(--X3,0),IFERROR(--VLOOKUP(D3,УГО_спр,4,FALSE),IFERROR(--VLOOKUP(AT3,УГО_спр,4,FALSE),IFERROR(--VLOOKUP(LEFT(AT3,2),УГО_спр,4,FALSE),0)))))</calculatedColumnFormula>
    </tableColumn>
    <tableColumn id="132" xr3:uid="{E1E2CFB1-4EF0-420D-B0F4-71F441B0C941}" name="_макс. автомат по кабелю">
      <calculatedColumnFormula>IF(D3="","",IFERROR(LOOKUP(INDEX(CHOOSE(BR3,Iдоп_1ж,Iдоп_2ж,Iдоп_3ж),MATCH(BS3,Iдоп_S,0))*BP3*BQ3,{6,10,16,20,25,32,40,50,63,80,100,125,160,200,250,315,400,500,630}),""))</calculatedColumnFormula>
    </tableColumn>
    <tableColumn id="133" xr3:uid="{AD6357BB-57FE-48BE-A8FC-9A86D5177327}" name="_ток группы">
      <calculatedColumnFormula>IF(AD3="","",SUMIFS(Линии[_Ток схемы],Линии[_гр.],DY3,Линии[Щит],A3,Линии[_в кабель выше],0))</calculatedColumnFormula>
    </tableColumn>
    <tableColumn id="134" xr3:uid="{41729F29-1115-48F3-BF61-685B30CA242A}" name="_номинал по току">
      <calculatedColumnFormula>IF(AD3="","",IFERROR(VLOOKUP(EC3,Автомат_номиналы,2,TRUE),""))</calculatedColumnFormula>
    </tableColumn>
    <tableColumn id="135" xr3:uid="{9B3A0CCF-E4C5-4606-A606-E78EACBAD76E}" name="_по току">
      <calculatedColumnFormula>IF(AD3="","",MAX(N(ED3),_xlfn.MAXIFS(Линии[_мин. по типу],Линии[_гр.],DY3,Линии[Щит],A3)))</calculatedColumnFormula>
    </tableColumn>
    <tableColumn id="136" xr3:uid="{DA500905-7A54-43F3-AB4A-7AAC18BB4FE5}" name="_мин. по кабелям">
      <calculatedColumnFormula>IF(AD3="","",_xlfn.MINIFS(Линии[_макс. автомат по кабелю],Линии[_гр.],DY3,Линии[Щит],A3))</calculatedColumnFormula>
    </tableColumn>
    <tableColumn id="137" xr3:uid="{48E8BD0E-CC17-431E-B29F-677ED53AD005}" name="_фаз гр.">
      <calculatedColumnFormula>IF(AD3="","",MAX(1,_xlfn.MAXIFS(Линии[_фаз],Линии[_гр.],DY3,Линии[Щит],A3)))</calculatedColumnFormula>
    </tableColumn>
    <tableColumn id="138" xr3:uid="{6FDD78D9-31A6-441E-809D-44D84C334989}" name="Дифзащита группы, мА">
      <calculatedColumnFormula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calculatedColumnFormula>
    </tableColumn>
    <tableColumn id="139" xr3:uid="{9CD30E8B-50DA-448A-B9BE-27B0F8105771}" name="_дифзащита гр. (0/1)">
      <calculatedColumnFormula>IF(AD3="","",IF(N(EH3)&gt;0,1,0))</calculatedColumnFormula>
    </tableColumn>
    <tableColumn id="140" xr3:uid="{45731E26-838F-40AB-806A-9157DBDAF124}" name="_QF нач.">
      <calculatedColumnFormula>IF(AD3="","",IF(EI3=1,"QFD","QF")&amp;DY3)</calculatedColumnFormula>
    </tableColumn>
    <tableColumn id="141" xr3:uid="{7C903BB4-1EF2-4CB6-BF5A-CAA90E39E70E}" name="_QF гр.">
      <calculatedColumnFormula>IF(EJ3&lt;&gt;"",EJ3,IF(OR(OR(AS3=1,A3&lt;&gt;A2),AL3="вручную"),"",IF(AS3=1,"",EK2)))</calculatedColumnFormula>
    </tableColumn>
    <tableColumn id="142" xr3:uid="{8AF67B1B-68BB-49A7-8F33-29B12651E756}" name="_аппараты гр.">
      <calculatedColumnFormula>IF(EJ3&lt;&gt;"",_xlfn.TEXTJOIN(" → ",TRUE,AF3,AG3,AH3),IF(EK3="","",IF(AS3=1,"",EL2)))</calculatedColumnFormula>
    </tableColumn>
    <tableColumn id="143" xr3:uid="{DDFB652E-9C03-412A-BBDA-8DDFC1F42E64}" name="_БП/тр-р">
      <calculatedColumnFormula>IF(EL3="",0,IF(OR(LEFT(EL3,2)="T ",LEFT(EL3,2)="Т ",ISNUMBER(SEARCH("→ T ",EL3)),ISNUMBER(SEARCH("→ Т ",EL3)),ISNUMBER(SEARCH("БП",EL3))),1,0))</calculatedColumnFormula>
    </tableColumn>
    <tableColumn id="144" xr3:uid="{2DE6F594-E536-4173-B123-69B4F8C2749F}" name="_номинал">
      <calculatedColumnFormula>IF(AD3="","",IF(EM3=1,MAX(EE3,Мин_автомат_БП),EE3))</calculatedColumnFormula>
    </tableColumn>
    <tableColumn id="145" xr3:uid="{0B904FB3-2A2E-463B-8E1F-AF87A53602A2}" name="_полюса">
      <calculatedColumnFormula>IF(AD3="","",IF(EG3&gt;=3,IF(EI3=1,"4P","3P"),IF(EI3=1,"2P","1P")))</calculatedColumnFormula>
    </tableColumn>
    <tableColumn id="146" xr3:uid="{BD47C695-DFEE-45B3-98A7-23E5439E6AA4}" name="Автомат (схема)">
      <calculatedColumnFormula>IF(AD3="","",IF(AND(AD3&lt;&gt;"авто",AD3&lt;&gt;"+"),AD3,EO3&amp;" С"&amp;EN3&amp;"А"&amp;IF(EI3=1," "&amp;EH3&amp;"мА","")))</calculatedColumnFormula>
    </tableColumn>
    <tableColumn id="147" xr3:uid="{39071C35-E891-41FE-904F-3166F434D5EF}" name="_номинал итог">
      <calculatedColumnFormula>IF(EP3="","",_xlfn.LET(_xlpm.t,SUBSTITUTE(SUBSTITUTE(UPPER(EP3),"С","C"),"А","A"),_xlpm.c,FIND("C",_xlpm.t),IFERROR(--MID(_xlpm.t,_xlpm.c+1,FIND("A",_xlpm.t&amp;"A",_xlpm.c)-_xlpm.c-1),"")))</calculatedColumnFormula>
    </tableColumn>
    <tableColumn id="148" xr3:uid="{7DB9266E-7DBA-40A8-A530-C4B91E6381AE}" name="_префикс">
      <calculatedColumnFormula>IF(OR(AI3="",AI3="-"),"",IFERROR(VLOOKUP(AI3,Модули_спр,2,FALSE),"R"))</calculatedColumnFormula>
    </tableColumn>
    <tableColumn id="149" xr3:uid="{CE21AFB0-90C6-4111-8B3D-865E46CC4400}" name="_модуль нач.">
      <calculatedColumnFormula>IF(ER3="","",ER3&amp;"."&amp;COUNTIFS(A$3:A3,A3,ER$3:ER3,ER3))</calculatedColumnFormula>
    </tableColumn>
    <tableColumn id="150" xr3:uid="{CBD0A9AC-9A7B-465D-AB88-F714EF93F5F0}" name="_модуль гр.">
      <calculatedColumnFormula>IF(AI3="-","",IF(ES3&lt;&gt;"",ES3,IF(OR(AS3=1,A3&lt;&gt;A2),"",IF(AS3=1,"",ET2))))</calculatedColumnFormula>
    </tableColumn>
    <tableColumn id="151" xr3:uid="{2D46FF39-37CC-42B4-962E-6BC758A50CCC}" name="_модель гр.">
      <calculatedColumnFormula>IF(ET3="","",IF(AND(AI3&lt;&gt;"",AI3&lt;&gt;"-"),AI3,IF(AS3=1,"",EU2)))</calculatedColumnFormula>
    </tableColumn>
    <tableColumn id="152" xr3:uid="{A99AC0ED-31D3-4A5E-99FB-54104402F8E5}" name="Канал (итог)">
      <calculatedColumnFormula>IF(AJ3="=",IF(AS3=1,"",EW2),IF(ISNUMBER(AJ3),AJ3,IF(ET3="","",IF(OR(D3&lt;&gt;"",AJ3="+",AJ3="р"),IF(OR(ES3&lt;&gt;"",IF(AS3=1,"",EW2)=""),1,IF(AS3=1,"",EW2)+1),""))))</calculatedColumnFormula>
    </tableColumn>
    <tableColumn id="153" xr3:uid="{4322ABE1-5D8A-4802-8EB3-2483F421182E}" name="_посл. канал">
      <calculatedColumnFormula>IF(EV3&lt;&gt;"",EV3,IF(OR(OR(AS3=1,A3&lt;&gt;A2),AI3="-",ES3&lt;&gt;""),"",IF(AS3=1,"",EW2)))</calculatedColumnFormula>
    </tableColumn>
    <tableColumn id="154" xr3:uid="{085006ED-F5B3-4530-82DF-D41F85E1BFFE}" name="_клемма">
      <calculatedColumnFormula>IF(AJ3="б/к",0,IF(OR(ISNUMBER(SEARCH("L=",CH3)),AJ3="+",AJ3="="),1,0))</calculatedColumnFormula>
    </tableColumn>
    <tableColumn id="155" xr3:uid="{6995B8F0-D694-4DE4-898C-8843FDE66A67}" name="Клемма (итог)">
      <calculatedColumnFormula>IF(AK3="нет","",IF(AK3&lt;&gt;"",AK3,IF(EX3=1,"XT"&amp;COUNTIFS(A$3:A3,A3,EX$3:EX3,1),"")))</calculatedColumnFormula>
    </tableColumn>
    <tableColumn id="156" xr3:uid="{389CC12A-5715-46A2-89E3-85517DBC5959}" name="QF">
      <calculatedColumnFormula>IF(OR(D3&lt;&gt;"",EV3&lt;&gt;"",EX3=1),EK3,"")</calculatedColumnFormula>
    </tableColumn>
    <tableColumn id="157" xr3:uid="{C2B3EA0B-4A39-49A7-90A8-57D359F9763D}" name="_Модуль (схема)">
      <calculatedColumnFormula>IF(OR(EV3&lt;&gt;"",AND(AI3&lt;&gt;"",AI3&lt;&gt;"-")),ET3,"")</calculatedColumnFormula>
    </tableColumn>
    <tableColumn id="158" xr3:uid="{5D6E3CA5-84D9-4746-97F8-37095F7B6E50}" name="Проверка автомата">
      <calculatedColumnFormula>IF(AD3="","",IF(NOT(ISNUMBER(EQ3)),"",IF(EC3&gt;EQ3,"ПЕРЕГРУЗ",IF(AND(EM3=0,EF3&gt;0,EQ3&gt;EF3),"КАБЕЛЬ НЕ ЗАЩИЩЁН","ok"))))</calculatedColumnFormula>
    </tableColumn>
    <tableColumn id="159" xr3:uid="{C330CDE2-7D3E-4503-AD1D-CF93D77DDB3E}" name="Проверка канала">
      <calculatedColumnFormula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calculatedColumnFormula>
    </tableColumn>
    <tableColumn id="160" xr3:uid="{C85D9FF0-E7E6-40DF-A88B-7D4507B22C86}" name="_In гр.">
      <calculatedColumnFormula>IF(AD3&lt;&gt;"",EQ3,IF(EK3="","",IF(AS3=1,"",FD2)))</calculatedColumnFormula>
    </tableColumn>
    <tableColumn id="161" xr3:uid="{7968C453-2899-4C70-9E04-35B2F953CB88}" name="_автомат гр.">
      <calculatedColumnFormula>IF(AD3&lt;&gt;"",EP3,IF(EK3="","",IF(AS3=1,"",FE2)))</calculatedColumnFormula>
    </tableColumn>
    <tableColumn id="162" xr3:uid="{1EE597EB-E176-420F-A037-CDE6FE7104B1}" name="_дифзащита гр. (строки)">
      <calculatedColumnFormula>IF(AD3&lt;&gt;"",EI3,IF(EK3="","",IF(AS3=1,"",FF2)))</calculatedColumnFormula>
    </tableColumn>
    <tableColumn id="163" xr3:uid="{FA878338-2ADF-475E-A476-07005D2560CB}" name="_мА гр. (строки)">
      <calculatedColumnFormula>IF(AD3&lt;&gt;"",EH3,IF(EK3="","",IF(AS3=1,"",FG2)))</calculatedColumnFormula>
    </tableColumn>
    <tableColumn id="164" xr3:uid="{ED95D44E-B96E-47EC-9EC5-431EB623445C}" name="Iкз / In" dataDxfId="49">
      <calculatedColumnFormula>IFERROR(IF(ISNUMBER(CL3),CL3/IFERROR(--FD3,N(BO3)),""),"")</calculatedColumnFormula>
    </tableColumn>
    <tableColumn id="165" xr3:uid="{5F01B67B-5F16-4200-B33D-A2A4D2F086A3}" name="_кратность">
      <calculatedColumnFormula>IF(OR(ISNUMBER(SEARCH(" B"," "&amp;FE3)),ISNUMBER(SEARCH(" В"," "&amp;FE3))),5,IF(ISNUMBER(SEARCH(" D"," "&amp;FE3)),20,10))</calculatedColumnFormula>
    </tableColumn>
    <tableColumn id="166" xr3:uid="{0B111BE9-D256-4EAF-A4B9-255461905CD9}" name="Отключение ≤ 0,4 с">
      <calculatedColumnFormula>IF(NOT(ISNUMBER(FH3)),"",IF(FH3&gt;=FI3,"ok",IF(N(FF3)=1,"ok (дифзащита "&amp;FG3&amp;" мА)","мало: Iкз &lt; "&amp;FI3&amp;"·In")))</calculatedColumnFormula>
    </tableColumn>
    <tableColumn id="167" xr3:uid="{0226AA82-336B-43B8-8041-4676676814A2}" name="Статус">
      <calculatedColumnFormula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calculatedColumnFormula>
    </tableColumn>
    <tableColumn id="168" xr3:uid="{F4D6B037-2BB4-4D99-A632-36EC7A0DFFB2}" name="Icu автомата, кА" dataDxfId="48">
      <calculatedColumnFormula>IF(AD3="","",_xlfn.LET(_xlpm.t,IFERROR(_xlfn.XLOOKUP(EP3,Каталог!$U$4:$U$500,Каталог!$G$4:$G$500),""),_xlpm.k,SEARCH("кА",_xlpm.t),IFERROR(--TRIM(RIGHT(SUBSTITUTE(MID(_xlpm.t,MAX(1,_xlpm.k-4),_xlpm.k-MAX(1,_xlpm.k-4))," ",REPT(" ",9)),5)),"")))</calculatedColumnFormula>
    </tableColumn>
    <tableColumn id="169" xr3:uid="{5677A3C4-FC54-4173-9B30-9DE6708755EB}" name="Проверка Icu">
      <calculatedColumnFormula>IF(OR(FL3="",AD3=""),"",IF(_xlfn.XLOOKUP(A3,Щиты[Щит],Щиты[Iкз max на шинах, кА],"")="","",IF(FL3&lt;_xlfn.XLOOKUP(A3,Щиты[Щит],Щиты[Iкз max на шинах, кА]),"Icu "&amp;FL3&amp;" кА &lt; Iкз max","ok")))</calculatedColumnFormula>
    </tableColumn>
    <tableColumn id="170" xr3:uid="{8331ED48-4B95-47FA-8CEC-9ED1AA9F89A6}" name="_цепь для бирок">
      <calculatedColumnFormula>IF(OR(AL3="вручную",BD3="",AND(D3="",EY3="")),"",_xlfn.TEXTJOIN("|",TRUE,EK3,SUBSTITUTE(EL3," → ","|"),IF(ET3&lt;&gt;"",ET3&amp;IF(EV3&lt;&gt;""," к."&amp;EV3,""),""),EY3))</calculatedColumnFormula>
    </tableColumn>
    <tableColumn id="171" xr3:uid="{1F09B2B2-586A-45D2-AE9F-087B84BF3504}" name="_цепь с кабелем">
      <calculatedColumnFormula>IF(FN3="","",FN3&amp;IF(D3&lt;&gt;"","|кабель "&amp;CG3&amp;" → "&amp;AZ3,""))</calculatedColumnFormula>
    </tableColumn>
    <tableColumn id="172" xr3:uid="{19F7AA90-72E0-4589-81FB-1C914E8ED71E}" name="_бирка 1">
      <calculatedColumnFormula array="1">IF(FO3="","",_xlfn.LET(_xlpm.nd,_xlfn.TEXTSPLIT(FO3,"|"),IF(COLUMNS(_xlpm.nd)&gt;1,A3&amp;"¦"&amp;INDEX(_xlpm.nd,1)&amp;"¦"&amp;INDEX(_xlpm.nd,2),"")))</calculatedColumnFormula>
    </tableColumn>
    <tableColumn id="173" xr3:uid="{64682F41-41DA-47A1-80FE-8013ACD90466}" name="_бирка 1 линия">
      <calculatedColumnFormula>IF(FP3="","",D3&amp;"¦"&amp;AZ3)</calculatedColumnFormula>
    </tableColumn>
    <tableColumn id="174" xr3:uid="{A925DB19-5F4B-464F-921F-0CFDE0DFD2EA}" name="_бирка 2">
      <calculatedColumnFormula array="1">IF(FO3="","",_xlfn.LET(_xlpm.nd,_xlfn.TEXTSPLIT(FO3,"|"),IF(COLUMNS(_xlpm.nd)&gt;2,A3&amp;"¦"&amp;INDEX(_xlpm.nd,2)&amp;"¦"&amp;INDEX(_xlpm.nd,3),"")))</calculatedColumnFormula>
    </tableColumn>
    <tableColumn id="175" xr3:uid="{42604849-1D68-4269-8974-DA3F87205FAB}" name="_бирка 2 линия">
      <calculatedColumnFormula>IF(FR3="","",D3&amp;"¦"&amp;AZ3)</calculatedColumnFormula>
    </tableColumn>
    <tableColumn id="176" xr3:uid="{C06EC7D2-7E8C-454E-958F-72A632AFC6EF}" name="_бирка 3">
      <calculatedColumnFormula array="1">IF(FO3="","",_xlfn.LET(_xlpm.nd,_xlfn.TEXTSPLIT(FO3,"|"),IF(COLUMNS(_xlpm.nd)&gt;3,A3&amp;"¦"&amp;INDEX(_xlpm.nd,3)&amp;"¦"&amp;INDEX(_xlpm.nd,4),"")))</calculatedColumnFormula>
    </tableColumn>
    <tableColumn id="177" xr3:uid="{F611F8D2-8197-4BFF-9AC8-F2B946F8B6A5}" name="_бирка 3 линия">
      <calculatedColumnFormula>IF(FT3="","",D3&amp;"¦"&amp;AZ3)</calculatedColumnFormula>
    </tableColumn>
    <tableColumn id="178" xr3:uid="{132C9FA6-F68B-4784-A178-1407D29D585A}" name="_бирка 4">
      <calculatedColumnFormula array="1">IF(FO3="","",_xlfn.LET(_xlpm.nd,_xlfn.TEXTSPLIT(FO3,"|"),IF(COLUMNS(_xlpm.nd)&gt;4,A3&amp;"¦"&amp;INDEX(_xlpm.nd,4)&amp;"¦"&amp;INDEX(_xlpm.nd,5),"")))</calculatedColumnFormula>
    </tableColumn>
    <tableColumn id="179" xr3:uid="{CDA7082F-49BB-40AA-99C7-70BE2A467ECB}" name="_бирка 4 линия">
      <calculatedColumnFormula>IF(FV3="","",D3&amp;"¦"&amp;AZ3)</calculatedColumnFormula>
    </tableColumn>
    <tableColumn id="180" xr3:uid="{CF7D2677-B14D-4FD7-8DA2-E5F3D1D7813E}" name="_бирка 5">
      <calculatedColumnFormula array="1">IF(FO3="","",_xlfn.LET(_xlpm.nd,_xlfn.TEXTSPLIT(FO3,"|"),IF(COLUMNS(_xlpm.nd)&gt;5,A3&amp;"¦"&amp;INDEX(_xlpm.nd,5)&amp;"¦"&amp;INDEX(_xlpm.nd,6),"")))</calculatedColumnFormula>
    </tableColumn>
    <tableColumn id="181" xr3:uid="{3B4B53B2-6A75-4C7B-A031-EB8F1EFEE465}" name="_бирка 5 линия">
      <calculatedColumnFormula>IF(FX3="","",D3&amp;"¦"&amp;AZ3)</calculatedColumnFormula>
    </tableColumn>
    <tableColumn id="182" xr3:uid="{607933D1-6252-4C8B-A0C7-8C9651541473}" name="_бирка 6">
      <calculatedColumnFormula array="1">IF(FO3="","",_xlfn.LET(_xlpm.nd,_xlfn.TEXTSPLIT(FO3,"|"),IF(COLUMNS(_xlpm.nd)&gt;6,A3&amp;"¦"&amp;INDEX(_xlpm.nd,6)&amp;"¦"&amp;INDEX(_xlpm.nd,7),"")))</calculatedColumnFormula>
    </tableColumn>
    <tableColumn id="183" xr3:uid="{9CC2624A-E6D8-4020-ABD6-920DE1C15543}" name="_бирка 6 линия">
      <calculatedColumnFormula>IF(FZ3="","",D3&amp;"¦"&amp;AZ3)</calculatedColumnFormula>
    </tableColumn>
    <tableColumn id="184" xr3:uid="{A389A3BC-0B00-43EB-A4DE-3CB93F744470}" name="_модель (схема)">
      <calculatedColumnFormula>IF(FA3="","",EU3)</calculatedColumnFormula>
    </tableColumn>
    <tableColumn id="185" xr3:uid="{DB25312E-75D6-49BC-B417-278956810D58}" name="_цепь">
      <calculatedColumnFormula>IF(AND(D3="",EV3="",EY3=""),"",_xlfn.TEXTJOIN(" → ",TRUE,EK3,EL3,IF(ET3&lt;&gt;"",ET3&amp;IF(EV3&lt;&gt;""," к."&amp;EV3,""),IF(EV3&lt;&gt;"","к."&amp;EV3,"")),EY3,IF(DX3=1,"(в кабель выше)","")))</calculatedColumnFormula>
    </tableColumn>
    <tableColumn id="186" xr3:uid="{D91CE864-8E23-419C-AC16-69C2B9F4C70A}" name="_draw">
      <calculatedColumnFormula>IF(OR(BD3="",AL3="вручную",AND(BE3="вводной узел",AL3&lt;&gt;"рисовать")),0,1)</calculatedColumnFormula>
    </tableColumn>
    <tableColumn id="187" xr3:uid="{E6716C07-90AE-4CEC-A580-27C1044E5374}" name="_bus2">
      <calculatedColumnFormula>IF(AC3="",0,1)</calculatedColumnFormula>
    </tableColumn>
    <tableColumn id="188" xr3:uid="{58F3361E-2786-4FA1-8C87-2365BC647FBD}" name="_rcd">
      <calculatedColumnFormula>IF(EJ3="",0,IF(LEFT(EJ3,3)="QFD",1,0))</calculatedColumnFormula>
    </tableColumn>
    <tableColumn id="189" xr3:uid="{D0614EAE-8F77-4EDA-B26C-500776B267C0}" name="_chtype">
      <calculatedColumnFormula>IF(AJ3="=","=",IF(AJ3="+","+",IF(AJ3="р","R","")))</calculatedColumnFormula>
    </tableColumn>
    <tableColumn id="190" xr3:uid="{71210245-D683-4083-B658-2F58FC1E3753}" name="_dev1">
      <calculatedColumnFormula>IF(AF3="","",IF(OR(LEFT(AF3,1)="T",LEFT(AF3,1)="Т"),"T",IF(LEFT(UPPER(AF3),2)="БП","PS",IF(OR(LEFT(UPPER(AF3),2)="МК",LEFT(UPPER(AF3),2)="MK"),"MK",IF(OR(LEFT(UPPER(AF3),2)="КМ",LEFT(UPPER(AF3),2)="KM"),"KM","X")))))</calculatedColumnFormula>
    </tableColumn>
    <tableColumn id="191" xr3:uid="{493CA0E4-8A50-44F2-90A4-BD071619AD63}" name="_dev2">
      <calculatedColumnFormula>IF(AG3="","",IF(OR(LEFT(AG3,1)="T",LEFT(AG3,1)="Т"),"T",IF(LEFT(UPPER(AG3),2)="БП","PS",IF(OR(LEFT(UPPER(AG3),2)="МК",LEFT(UPPER(AG3),2)="MK"),"MK",IF(OR(LEFT(UPPER(AG3),2)="КМ",LEFT(UPPER(AG3),2)="KM"),"KM","X")))))</calculatedColumnFormula>
    </tableColumn>
    <tableColumn id="192" xr3:uid="{8BE3C5D0-6962-46FA-92EA-B8007B4750AE}" name="_dev3">
      <calculatedColumnFormula>IF(AH3="","",IF(OR(LEFT(AH3,1)="T",LEFT(AH3,1)="Т"),"T",IF(LEFT(UPPER(AH3),2)="БП","PS",IF(OR(LEFT(UPPER(AH3),2)="МК",LEFT(UPPER(AH3),2)="MK"),"MK",IF(OR(LEFT(UPPER(AH3),2)="КМ",LEFT(UPPER(AH3),2)="KM"),"KM","X")))))</calculatedColumnFormula>
    </tableColumn>
    <tableColumn id="193" xr3:uid="{7949438E-166B-4F98-807D-4B0FA666FCC2}" name="_УГО (рус)">
      <calculatedColumnFormula>IF(D3="","",IFERROR(VLOOKUP(D3,УГО_спр,2,FALSE),IFERROR(VLOOKUP(AT3,УГО_спр,2,FALSE),IFERROR(VLOOKUP(LEFT(AT3,2),УГО_спр,2,FALSE),""))))</calculatedColumnFormula>
    </tableColumn>
    <tableColumn id="194" xr3:uid="{5A20D213-6199-470B-99DA-C1CF1A7F3D29}" name="_sym">
      <calculatedColumnFormula>IF(D3="","",IF(OR(GK3="",GK3=0),"BOX",IFERROR(IF(VLOOKUP(GK3,УГО_блоки,3,FALSE)&amp;""&lt;&gt;"",VLOOKUP(GK3,УГО_блоки,3,FALSE),VLOOKUP(GK3,УГО_блоки,2,FALSE)),GK3)))</calculatedColumnFormula>
    </tableColumn>
    <tableColumn id="195" xr3:uid="{0475F278-6174-42BF-A236-6AAD37697862}" name="_hasline">
      <calculatedColumnFormula>IF(D3="",0,1)</calculatedColumnFormula>
    </tableColumn>
    <tableColumn id="196" xr3:uid="{1C385FAE-082E-4C32-9901-DA0EBE682439}" name="_тип автомата №">
      <calculatedColumnFormula>IF(EP3="","",IF(COUNTIF(EP$3:EP3,EP3)=1,MAX(GN$2:GN2)+1,""))</calculatedColumnFormula>
    </tableColumn>
    <tableColumn id="197" xr3:uid="{B3B6BF89-33DC-46C8-8B2E-4B13C83581C9}" name="_аппарат 1 №">
      <calculatedColumnFormula>IF(AF3="","",IF(COUNTIF(AF$3:AF3,AF3)+COUNTIF(AG$2:AG2,AF3)+COUNTIF(AH$2:AH2,AF3)=1,MAX(GO$2:GQ2)+1,""))</calculatedColumnFormula>
    </tableColumn>
    <tableColumn id="198" xr3:uid="{2D9D7570-87F9-4E74-B233-D7BD96F41BA7}" name="_аппарат 2 №">
      <calculatedColumnFormula>IF(AG3="","",IF(COUNTIF(AF$3:AF3,AG3)+COUNTIF(AG$3:AG3,AG3)+COUNTIF(AH$2:AH2,AG3)=1,MAX(GO$2:GQ2,GO3)+1,""))</calculatedColumnFormula>
    </tableColumn>
    <tableColumn id="199" xr3:uid="{54FF3BE5-A050-4F55-BD8E-EFCD3590A0AE}" name="_аппарат 3 №">
      <calculatedColumnFormula>IF(AH3="","",IF(COUNTIF(AF$3:AF3,AH3)+COUNTIF(AG$3:AG3,AH3)+COUNTIF(AH$3:AH3,AH3)=1,MAX(GO$2:GQ2,GO3,GP3)+1,""))</calculatedColumnFormula>
    </tableColumn>
    <tableColumn id="200" xr3:uid="{EE5B1D7C-46A1-4AA6-949C-BF946E375BA9}" name="_кабель клеммы">
      <calculatedColumnFormula>IF(EX3=1,IFERROR(MID(DS3,FIND(" (",DS3)+2,FIND(")",DS3,FIND(" (",DS3))-FIND(" (",DS3)-2),"?"),"")</calculatedColumnFormula>
    </tableColumn>
    <tableColumn id="201" xr3:uid="{500AF765-3578-4E1D-BBA8-97EDE025AA6F}" name="_вид клеммы №">
      <calculatedColumnFormula>IF(GR3="","",IF(COUNTIF(GR$3:GR3,GR3)=1,MAX(GS$2:GS2)+1,""))</calculatedColumnFormula>
    </tableColumn>
    <tableColumn id="202" xr3:uid="{D08BBA26-221F-4C20-807C-C38BA3CB1347}" name="_модуль №">
      <calculatedColumnFormula>IF(ES3="","",COUNTIF(ES$3:ES3,"?*"))</calculatedColumnFormula>
    </tableColumn>
    <tableColumn id="203" xr3:uid="{FD3E114E-0F3A-4E1C-AAE9-CF7520E4BB95}" name="_модель №">
      <calculatedColumnFormula>IF(OR(ES3="",EU3=""),"",IF(COUNTIFS(ES$3:ES3,"?*",EU$3:EU3,EU3)=1,MAX(GU$2:GU2)+1,""))</calculatedColumnFormula>
    </tableColumn>
    <tableColumn id="204" xr3:uid="{824375B4-B0B8-49D4-BB99-7E726EB86CFA}" name="_уровень">
      <calculatedColumnFormula>IF(FK3="",0,IF(OR(ISNUMBER(SEARCH("дубль",FK3)),ISNUMBER(SEARCH("ПЕРЕГРУЗ",FK3)),ISNUMBER(SEARCH("ЗАЩИЩ",FK3)),ISNUMBER(SEARCH("КАНАЛ",FK3)),ISNUMBER(SEARCH("без диф",FK3))),2,1))</calculatedColumnFormula>
    </tableColumn>
    <tableColumn id="205" xr3:uid="{F00DF945-8A88-4D9E-AA3E-7DBAA62571E7}" name="_№ линии">
      <calculatedColumnFormula>IF(D3="","",COUNTIF(D$3:D3,"?*"))</calculatedColumnFormula>
    </tableColumn>
    <tableColumn id="206" xr3:uid="{D124DC7B-1545-44C3-B98A-FF0BA19E7711}" name="_3L клемм">
      <calculatedColumnFormula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calculatedColumnFormula>
    </tableColumn>
    <tableColumn id="207" xr3:uid="{0C03BFA9-8A87-4F82-BE82-5A7CE936A710}" name="_доп. проходных">
      <calculatedColumnFormula>IF(EX3&lt;&gt;1,0,MAX(0,IFERROR(--LEFT(SUBSTITUTE(GR3,"x","х"),FIND("х",SUBSTITUTE(GR3,"x","х"))-1),3)-3*GX3))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3E9D-7C79-48DF-B0EA-D2C0D371586C}">
  <sheetPr>
    <tabColor rgb="FF00B050"/>
    <pageSetUpPr fitToPage="1"/>
  </sheetPr>
  <dimension ref="A1:D140"/>
  <sheetViews>
    <sheetView showGridLines="0" tabSelected="1" workbookViewId="0"/>
  </sheetViews>
  <sheetFormatPr defaultRowHeight="13.2" x14ac:dyDescent="0.3"/>
  <cols>
    <col min="1" max="1" width="8.77734375" style="81" customWidth="1"/>
    <col min="2" max="2" width="34.77734375" style="81" customWidth="1"/>
    <col min="3" max="3" width="80.77734375" style="81" customWidth="1"/>
    <col min="4" max="4" width="24.77734375" style="81" customWidth="1"/>
    <col min="5" max="16384" width="8.88671875" style="81"/>
  </cols>
  <sheetData>
    <row r="1" spans="1:4" ht="24" customHeight="1" x14ac:dyDescent="0.3">
      <c r="A1" s="82" t="s">
        <v>1217</v>
      </c>
    </row>
    <row r="2" spans="1:4" ht="13.5" customHeight="1" x14ac:dyDescent="0.3">
      <c r="A2" s="94" t="s">
        <v>1218</v>
      </c>
      <c r="B2" s="94"/>
      <c r="C2" s="94"/>
      <c r="D2" s="94"/>
    </row>
    <row r="3" spans="1:4" ht="13.5" customHeight="1" x14ac:dyDescent="0.3">
      <c r="A3" s="94" t="s">
        <v>1219</v>
      </c>
      <c r="B3" s="94"/>
      <c r="C3" s="94"/>
      <c r="D3" s="94"/>
    </row>
    <row r="5" spans="1:4" ht="15.6" x14ac:dyDescent="0.3">
      <c r="A5" s="84" t="s">
        <v>819</v>
      </c>
      <c r="B5" s="83"/>
      <c r="C5" s="83"/>
      <c r="D5" s="83"/>
    </row>
    <row r="6" spans="1:4" x14ac:dyDescent="0.3">
      <c r="B6" s="85" t="s">
        <v>820</v>
      </c>
      <c r="C6" s="85" t="s">
        <v>646</v>
      </c>
      <c r="D6" s="86"/>
    </row>
    <row r="7" spans="1:4" ht="13.5" customHeight="1" x14ac:dyDescent="0.3">
      <c r="B7" s="87" t="s">
        <v>881</v>
      </c>
      <c r="C7" s="87" t="s">
        <v>1220</v>
      </c>
      <c r="D7" s="88"/>
    </row>
    <row r="8" spans="1:4" ht="13.5" customHeight="1" x14ac:dyDescent="0.3">
      <c r="B8" s="87" t="s">
        <v>4</v>
      </c>
      <c r="C8" s="87" t="s">
        <v>1221</v>
      </c>
      <c r="D8" s="91" t="s">
        <v>1222</v>
      </c>
    </row>
    <row r="9" spans="1:4" ht="13.5" customHeight="1" x14ac:dyDescent="0.3">
      <c r="B9" s="87" t="s">
        <v>1223</v>
      </c>
      <c r="C9" s="87" t="s">
        <v>1224</v>
      </c>
      <c r="D9" s="88"/>
    </row>
    <row r="10" spans="1:4" ht="13.5" customHeight="1" x14ac:dyDescent="0.3">
      <c r="B10" s="87" t="s">
        <v>446</v>
      </c>
      <c r="C10" s="87" t="s">
        <v>1225</v>
      </c>
      <c r="D10" s="91" t="s">
        <v>1226</v>
      </c>
    </row>
    <row r="11" spans="1:4" ht="13.5" customHeight="1" x14ac:dyDescent="0.3">
      <c r="B11" s="87" t="s">
        <v>0</v>
      </c>
      <c r="C11" s="87" t="s">
        <v>1227</v>
      </c>
      <c r="D11" s="88"/>
    </row>
    <row r="12" spans="1:4" ht="27" customHeight="1" x14ac:dyDescent="0.3">
      <c r="B12" s="87" t="s">
        <v>821</v>
      </c>
      <c r="C12" s="87" t="s">
        <v>1228</v>
      </c>
      <c r="D12" s="88"/>
    </row>
    <row r="13" spans="1:4" ht="27" customHeight="1" x14ac:dyDescent="0.3">
      <c r="B13" s="87" t="s">
        <v>1229</v>
      </c>
      <c r="C13" s="87" t="s">
        <v>1230</v>
      </c>
      <c r="D13" s="88"/>
    </row>
    <row r="14" spans="1:4" ht="27" customHeight="1" x14ac:dyDescent="0.3">
      <c r="B14" s="87" t="s">
        <v>823</v>
      </c>
      <c r="C14" s="87" t="s">
        <v>1231</v>
      </c>
      <c r="D14" s="88"/>
    </row>
    <row r="15" spans="1:4" ht="13.5" customHeight="1" x14ac:dyDescent="0.3">
      <c r="B15" s="87" t="s">
        <v>822</v>
      </c>
      <c r="C15" s="87" t="s">
        <v>1232</v>
      </c>
      <c r="D15" s="88"/>
    </row>
    <row r="16" spans="1:4" ht="13.5" customHeight="1" x14ac:dyDescent="0.3">
      <c r="B16" s="87" t="s">
        <v>1233</v>
      </c>
      <c r="C16" s="87" t="s">
        <v>1234</v>
      </c>
      <c r="D16" s="88"/>
    </row>
    <row r="17" spans="1:4" ht="13.5" customHeight="1" x14ac:dyDescent="0.3">
      <c r="B17" s="87" t="s">
        <v>1235</v>
      </c>
      <c r="C17" s="87" t="s">
        <v>1236</v>
      </c>
      <c r="D17" s="88"/>
    </row>
    <row r="18" spans="1:4" ht="27" customHeight="1" x14ac:dyDescent="0.3">
      <c r="B18" s="87" t="s">
        <v>1237</v>
      </c>
      <c r="C18" s="87" t="s">
        <v>1238</v>
      </c>
      <c r="D18" s="88"/>
    </row>
    <row r="20" spans="1:4" ht="15.6" x14ac:dyDescent="0.3">
      <c r="A20" s="84" t="s">
        <v>824</v>
      </c>
      <c r="B20" s="83"/>
      <c r="C20" s="83"/>
      <c r="D20" s="83"/>
    </row>
    <row r="21" spans="1:4" ht="13.5" customHeight="1" x14ac:dyDescent="0.3">
      <c r="A21" s="95" t="s">
        <v>1239</v>
      </c>
      <c r="B21" s="95"/>
      <c r="C21" s="95"/>
      <c r="D21" s="95"/>
    </row>
    <row r="22" spans="1:4" ht="13.5" customHeight="1" x14ac:dyDescent="0.3">
      <c r="A22" s="95" t="s">
        <v>1240</v>
      </c>
      <c r="B22" s="95"/>
      <c r="C22" s="95"/>
      <c r="D22" s="95"/>
    </row>
    <row r="23" spans="1:4" ht="13.5" customHeight="1" x14ac:dyDescent="0.3">
      <c r="A23" s="95" t="s">
        <v>1241</v>
      </c>
      <c r="B23" s="95"/>
      <c r="C23" s="95"/>
      <c r="D23" s="95"/>
    </row>
    <row r="24" spans="1:4" ht="13.5" customHeight="1" x14ac:dyDescent="0.3">
      <c r="A24" s="96" t="s">
        <v>1242</v>
      </c>
      <c r="B24" s="96"/>
      <c r="C24" s="96"/>
      <c r="D24" s="96"/>
    </row>
    <row r="25" spans="1:4" ht="13.5" customHeight="1" x14ac:dyDescent="0.3">
      <c r="A25" s="96" t="s">
        <v>825</v>
      </c>
      <c r="B25" s="96"/>
      <c r="C25" s="96"/>
      <c r="D25" s="96"/>
    </row>
    <row r="27" spans="1:4" ht="15.6" x14ac:dyDescent="0.3">
      <c r="A27" s="84" t="s">
        <v>1243</v>
      </c>
      <c r="B27" s="83"/>
      <c r="C27" s="83"/>
      <c r="D27" s="83"/>
    </row>
    <row r="28" spans="1:4" x14ac:dyDescent="0.3">
      <c r="B28" s="85" t="s">
        <v>872</v>
      </c>
      <c r="C28" s="85" t="s">
        <v>1244</v>
      </c>
      <c r="D28" s="86"/>
    </row>
    <row r="29" spans="1:4" ht="13.5" customHeight="1" x14ac:dyDescent="0.3">
      <c r="B29" s="87" t="s">
        <v>815</v>
      </c>
      <c r="C29" s="87" t="s">
        <v>1245</v>
      </c>
      <c r="D29" s="91" t="s">
        <v>1246</v>
      </c>
    </row>
    <row r="30" spans="1:4" ht="27" customHeight="1" x14ac:dyDescent="0.3">
      <c r="B30" s="87" t="s">
        <v>881</v>
      </c>
      <c r="C30" s="87" t="s">
        <v>1247</v>
      </c>
      <c r="D30" s="91" t="s">
        <v>1248</v>
      </c>
    </row>
    <row r="31" spans="1:4" ht="13.5" customHeight="1" x14ac:dyDescent="0.3">
      <c r="B31" s="87" t="s">
        <v>1249</v>
      </c>
      <c r="C31" s="87" t="s">
        <v>1250</v>
      </c>
      <c r="D31" s="91" t="s">
        <v>1251</v>
      </c>
    </row>
    <row r="32" spans="1:4" ht="13.5" customHeight="1" x14ac:dyDescent="0.3">
      <c r="B32" s="87" t="s">
        <v>1252</v>
      </c>
      <c r="C32" s="87" t="s">
        <v>1253</v>
      </c>
      <c r="D32" s="91" t="s">
        <v>1222</v>
      </c>
    </row>
    <row r="33" spans="1:4" ht="13.5" customHeight="1" x14ac:dyDescent="0.3">
      <c r="B33" s="87" t="s">
        <v>1254</v>
      </c>
      <c r="C33" s="87" t="s">
        <v>1255</v>
      </c>
      <c r="D33" s="91" t="s">
        <v>1256</v>
      </c>
    </row>
    <row r="34" spans="1:4" ht="13.5" customHeight="1" x14ac:dyDescent="0.3">
      <c r="B34" s="87" t="s">
        <v>699</v>
      </c>
      <c r="C34" s="87" t="s">
        <v>1257</v>
      </c>
      <c r="D34" s="91" t="s">
        <v>1258</v>
      </c>
    </row>
    <row r="35" spans="1:4" ht="13.5" customHeight="1" x14ac:dyDescent="0.3">
      <c r="B35" s="87" t="s">
        <v>1259</v>
      </c>
      <c r="C35" s="87" t="s">
        <v>1260</v>
      </c>
      <c r="D35" s="91" t="s">
        <v>1261</v>
      </c>
    </row>
    <row r="36" spans="1:4" ht="13.5" customHeight="1" x14ac:dyDescent="0.3">
      <c r="B36" s="87" t="s">
        <v>873</v>
      </c>
      <c r="C36" s="87" t="s">
        <v>1262</v>
      </c>
      <c r="D36" s="91" t="s">
        <v>861</v>
      </c>
    </row>
    <row r="37" spans="1:4" ht="13.5" customHeight="1" x14ac:dyDescent="0.3">
      <c r="B37" s="87" t="s">
        <v>874</v>
      </c>
      <c r="C37" s="87" t="s">
        <v>1263</v>
      </c>
      <c r="D37" s="91" t="s">
        <v>1264</v>
      </c>
    </row>
    <row r="38" spans="1:4" ht="13.5" customHeight="1" x14ac:dyDescent="0.3">
      <c r="B38" s="87" t="s">
        <v>875</v>
      </c>
      <c r="C38" s="87" t="s">
        <v>1265</v>
      </c>
      <c r="D38" s="91" t="s">
        <v>1266</v>
      </c>
    </row>
    <row r="39" spans="1:4" ht="13.5" customHeight="1" x14ac:dyDescent="0.3">
      <c r="B39" s="87" t="s">
        <v>1267</v>
      </c>
      <c r="C39" s="87" t="s">
        <v>1268</v>
      </c>
      <c r="D39" s="91" t="s">
        <v>1269</v>
      </c>
    </row>
    <row r="40" spans="1:4" ht="27" customHeight="1" x14ac:dyDescent="0.3">
      <c r="B40" s="87" t="s">
        <v>1270</v>
      </c>
      <c r="C40" s="87" t="s">
        <v>1271</v>
      </c>
      <c r="D40" s="91" t="s">
        <v>1272</v>
      </c>
    </row>
    <row r="41" spans="1:4" ht="13.5" customHeight="1" x14ac:dyDescent="0.3">
      <c r="B41" s="87" t="s">
        <v>876</v>
      </c>
      <c r="C41" s="87" t="s">
        <v>1273</v>
      </c>
      <c r="D41" s="91" t="s">
        <v>1274</v>
      </c>
    </row>
    <row r="42" spans="1:4" ht="13.5" customHeight="1" x14ac:dyDescent="0.3">
      <c r="B42" s="87" t="s">
        <v>1275</v>
      </c>
      <c r="C42" s="87" t="s">
        <v>1276</v>
      </c>
      <c r="D42" s="88"/>
    </row>
    <row r="43" spans="1:4" ht="27" customHeight="1" x14ac:dyDescent="0.3">
      <c r="B43" s="87" t="s">
        <v>1277</v>
      </c>
      <c r="C43" s="87" t="s">
        <v>1278</v>
      </c>
      <c r="D43" s="88"/>
    </row>
    <row r="45" spans="1:4" ht="15.6" x14ac:dyDescent="0.3">
      <c r="A45" s="84" t="s">
        <v>826</v>
      </c>
      <c r="B45" s="83"/>
      <c r="C45" s="83"/>
      <c r="D45" s="83"/>
    </row>
    <row r="46" spans="1:4" ht="13.5" customHeight="1" x14ac:dyDescent="0.3">
      <c r="A46" s="89" t="s">
        <v>40</v>
      </c>
      <c r="B46" s="94" t="s">
        <v>1279</v>
      </c>
      <c r="C46" s="94"/>
      <c r="D46" s="90" t="s">
        <v>1280</v>
      </c>
    </row>
    <row r="47" spans="1:4" ht="13.5" customHeight="1" x14ac:dyDescent="0.3">
      <c r="A47" s="89" t="s">
        <v>41</v>
      </c>
      <c r="B47" s="94" t="s">
        <v>1281</v>
      </c>
      <c r="C47" s="94"/>
      <c r="D47" s="90" t="s">
        <v>1222</v>
      </c>
    </row>
    <row r="48" spans="1:4" ht="13.5" customHeight="1" x14ac:dyDescent="0.3">
      <c r="A48" s="89" t="s">
        <v>42</v>
      </c>
      <c r="B48" s="94" t="s">
        <v>1282</v>
      </c>
      <c r="C48" s="94"/>
      <c r="D48" s="90" t="s">
        <v>1283</v>
      </c>
    </row>
    <row r="49" spans="1:4" ht="13.5" customHeight="1" x14ac:dyDescent="0.3">
      <c r="A49" s="89" t="s">
        <v>827</v>
      </c>
      <c r="B49" s="94" t="s">
        <v>1284</v>
      </c>
      <c r="C49" s="94"/>
      <c r="D49" s="90" t="s">
        <v>1226</v>
      </c>
    </row>
    <row r="50" spans="1:4" ht="13.5" customHeight="1" x14ac:dyDescent="0.3">
      <c r="A50" s="89" t="s">
        <v>307</v>
      </c>
      <c r="B50" s="94" t="s">
        <v>1285</v>
      </c>
      <c r="C50" s="94"/>
      <c r="D50" s="90" t="s">
        <v>1286</v>
      </c>
    </row>
    <row r="51" spans="1:4" ht="13.5" customHeight="1" x14ac:dyDescent="0.3">
      <c r="A51" s="89" t="s">
        <v>828</v>
      </c>
      <c r="B51" s="94" t="s">
        <v>1287</v>
      </c>
      <c r="C51" s="94"/>
      <c r="D51" s="90" t="s">
        <v>1246</v>
      </c>
    </row>
    <row r="52" spans="1:4" ht="13.5" customHeight="1" x14ac:dyDescent="0.3">
      <c r="A52" s="89" t="s">
        <v>829</v>
      </c>
      <c r="B52" s="94" t="s">
        <v>1288</v>
      </c>
      <c r="C52" s="94"/>
    </row>
    <row r="53" spans="1:4" ht="13.5" customHeight="1" x14ac:dyDescent="0.3">
      <c r="A53" s="89" t="s">
        <v>830</v>
      </c>
      <c r="B53" s="94" t="s">
        <v>1289</v>
      </c>
      <c r="C53" s="94"/>
    </row>
    <row r="55" spans="1:4" ht="15.6" x14ac:dyDescent="0.3">
      <c r="A55" s="84" t="s">
        <v>1290</v>
      </c>
      <c r="B55" s="83"/>
      <c r="C55" s="83"/>
      <c r="D55" s="83"/>
    </row>
    <row r="56" spans="1:4" ht="13.5" customHeight="1" x14ac:dyDescent="0.3">
      <c r="A56" s="89" t="s">
        <v>831</v>
      </c>
      <c r="B56" s="94" t="s">
        <v>1291</v>
      </c>
      <c r="C56" s="94"/>
      <c r="D56" s="90" t="s">
        <v>1280</v>
      </c>
    </row>
    <row r="57" spans="1:4" ht="13.5" customHeight="1" x14ac:dyDescent="0.3">
      <c r="A57" s="89" t="s">
        <v>832</v>
      </c>
      <c r="B57" s="94" t="s">
        <v>1292</v>
      </c>
      <c r="C57" s="94"/>
      <c r="D57" s="90" t="s">
        <v>1293</v>
      </c>
    </row>
    <row r="58" spans="1:4" ht="13.5" customHeight="1" x14ac:dyDescent="0.3">
      <c r="A58" s="89" t="s">
        <v>833</v>
      </c>
      <c r="B58" s="94" t="s">
        <v>1294</v>
      </c>
      <c r="C58" s="94"/>
      <c r="D58" s="90" t="s">
        <v>1295</v>
      </c>
    </row>
    <row r="59" spans="1:4" ht="13.5" customHeight="1" x14ac:dyDescent="0.3">
      <c r="A59" s="97" t="s">
        <v>1296</v>
      </c>
      <c r="B59" s="97"/>
      <c r="C59" s="97"/>
      <c r="D59" s="97"/>
    </row>
    <row r="61" spans="1:4" ht="15.6" x14ac:dyDescent="0.3">
      <c r="A61" s="84" t="s">
        <v>1297</v>
      </c>
      <c r="B61" s="83"/>
      <c r="C61" s="83"/>
      <c r="D61" s="83"/>
    </row>
    <row r="62" spans="1:4" ht="13.5" customHeight="1" x14ac:dyDescent="0.3">
      <c r="A62" s="89" t="s">
        <v>834</v>
      </c>
      <c r="B62" s="94" t="s">
        <v>1298</v>
      </c>
      <c r="C62" s="94"/>
      <c r="D62" s="90" t="s">
        <v>1222</v>
      </c>
    </row>
    <row r="63" spans="1:4" ht="13.5" customHeight="1" x14ac:dyDescent="0.3">
      <c r="A63" s="89" t="s">
        <v>835</v>
      </c>
      <c r="B63" s="94" t="s">
        <v>1299</v>
      </c>
      <c r="C63" s="94"/>
      <c r="D63" s="90" t="s">
        <v>1300</v>
      </c>
    </row>
    <row r="64" spans="1:4" ht="13.5" customHeight="1" x14ac:dyDescent="0.3">
      <c r="A64" s="89" t="s">
        <v>836</v>
      </c>
      <c r="B64" s="94" t="s">
        <v>1301</v>
      </c>
      <c r="C64" s="94"/>
    </row>
    <row r="65" spans="1:4" ht="13.5" customHeight="1" x14ac:dyDescent="0.3">
      <c r="A65" s="89" t="s">
        <v>837</v>
      </c>
      <c r="B65" s="94" t="s">
        <v>1302</v>
      </c>
      <c r="C65" s="94"/>
    </row>
    <row r="66" spans="1:4" ht="13.5" customHeight="1" x14ac:dyDescent="0.3">
      <c r="A66" s="89" t="s">
        <v>838</v>
      </c>
      <c r="B66" s="94" t="s">
        <v>1303</v>
      </c>
      <c r="C66" s="94"/>
    </row>
    <row r="67" spans="1:4" ht="13.5" customHeight="1" x14ac:dyDescent="0.3">
      <c r="A67" s="95" t="s">
        <v>1304</v>
      </c>
      <c r="B67" s="95"/>
      <c r="C67" s="95"/>
      <c r="D67" s="95"/>
    </row>
    <row r="69" spans="1:4" ht="15.6" x14ac:dyDescent="0.3">
      <c r="A69" s="84" t="s">
        <v>1305</v>
      </c>
      <c r="B69" s="83"/>
      <c r="C69" s="83"/>
      <c r="D69" s="83"/>
    </row>
    <row r="70" spans="1:4" ht="13.5" customHeight="1" x14ac:dyDescent="0.3">
      <c r="A70" s="89" t="s">
        <v>839</v>
      </c>
      <c r="B70" s="94" t="s">
        <v>1306</v>
      </c>
      <c r="C70" s="94"/>
      <c r="D70" s="90" t="s">
        <v>1283</v>
      </c>
    </row>
    <row r="71" spans="1:4" ht="13.5" customHeight="1" x14ac:dyDescent="0.3">
      <c r="A71" s="89" t="s">
        <v>840</v>
      </c>
      <c r="B71" s="94" t="s">
        <v>1307</v>
      </c>
      <c r="C71" s="94"/>
    </row>
    <row r="72" spans="1:4" ht="13.5" customHeight="1" x14ac:dyDescent="0.3">
      <c r="A72" s="89" t="s">
        <v>841</v>
      </c>
      <c r="B72" s="94" t="s">
        <v>1308</v>
      </c>
      <c r="C72" s="94"/>
      <c r="D72" s="90" t="s">
        <v>1309</v>
      </c>
    </row>
    <row r="73" spans="1:4" ht="13.5" customHeight="1" x14ac:dyDescent="0.3">
      <c r="A73" s="96" t="s">
        <v>1310</v>
      </c>
      <c r="B73" s="96"/>
      <c r="C73" s="96"/>
      <c r="D73" s="96"/>
    </row>
    <row r="75" spans="1:4" ht="15.6" x14ac:dyDescent="0.3">
      <c r="A75" s="84" t="s">
        <v>1311</v>
      </c>
      <c r="B75" s="83"/>
      <c r="C75" s="83"/>
      <c r="D75" s="83"/>
    </row>
    <row r="76" spans="1:4" ht="13.5" customHeight="1" x14ac:dyDescent="0.3">
      <c r="A76" s="94" t="s">
        <v>1312</v>
      </c>
      <c r="B76" s="94"/>
      <c r="C76" s="94"/>
      <c r="D76" s="94"/>
    </row>
    <row r="77" spans="1:4" ht="13.5" customHeight="1" x14ac:dyDescent="0.3">
      <c r="A77" s="89" t="s">
        <v>842</v>
      </c>
      <c r="B77" s="94" t="s">
        <v>1313</v>
      </c>
      <c r="C77" s="94"/>
      <c r="D77" s="90" t="s">
        <v>1226</v>
      </c>
    </row>
    <row r="78" spans="1:4" ht="27" customHeight="1" x14ac:dyDescent="0.3">
      <c r="A78" s="89" t="s">
        <v>843</v>
      </c>
      <c r="B78" s="94" t="s">
        <v>1314</v>
      </c>
      <c r="C78" s="94"/>
      <c r="D78" s="90" t="s">
        <v>1315</v>
      </c>
    </row>
    <row r="79" spans="1:4" ht="13.5" customHeight="1" x14ac:dyDescent="0.3">
      <c r="A79" s="89" t="s">
        <v>844</v>
      </c>
      <c r="B79" s="94" t="s">
        <v>1316</v>
      </c>
      <c r="C79" s="94"/>
      <c r="D79" s="90" t="s">
        <v>1317</v>
      </c>
    </row>
    <row r="80" spans="1:4" ht="27" customHeight="1" x14ac:dyDescent="0.3">
      <c r="A80" s="89" t="s">
        <v>845</v>
      </c>
      <c r="B80" s="94" t="s">
        <v>1318</v>
      </c>
      <c r="C80" s="94"/>
      <c r="D80" s="90" t="s">
        <v>1319</v>
      </c>
    </row>
    <row r="81" spans="1:4" ht="13.5" customHeight="1" x14ac:dyDescent="0.3">
      <c r="A81" s="89" t="s">
        <v>1320</v>
      </c>
      <c r="B81" s="94" t="s">
        <v>1321</v>
      </c>
      <c r="C81" s="94"/>
    </row>
    <row r="82" spans="1:4" ht="27" customHeight="1" x14ac:dyDescent="0.3">
      <c r="A82" s="89" t="s">
        <v>1322</v>
      </c>
      <c r="B82" s="94" t="s">
        <v>1323</v>
      </c>
      <c r="C82" s="94"/>
    </row>
    <row r="83" spans="1:4" ht="13.5" customHeight="1" x14ac:dyDescent="0.3">
      <c r="A83" s="89" t="s">
        <v>1324</v>
      </c>
      <c r="B83" s="94" t="s">
        <v>1325</v>
      </c>
      <c r="C83" s="94"/>
    </row>
    <row r="84" spans="1:4" ht="27" customHeight="1" x14ac:dyDescent="0.3">
      <c r="A84" s="89" t="s">
        <v>1326</v>
      </c>
      <c r="B84" s="94" t="s">
        <v>1327</v>
      </c>
      <c r="C84" s="94"/>
      <c r="D84" s="90" t="s">
        <v>1328</v>
      </c>
    </row>
    <row r="85" spans="1:4" ht="13.5" customHeight="1" x14ac:dyDescent="0.3">
      <c r="A85" s="89" t="s">
        <v>1329</v>
      </c>
      <c r="B85" s="94" t="s">
        <v>1330</v>
      </c>
      <c r="C85" s="94"/>
    </row>
    <row r="86" spans="1:4" x14ac:dyDescent="0.3">
      <c r="B86" s="85" t="s">
        <v>846</v>
      </c>
      <c r="C86" s="85" t="s">
        <v>847</v>
      </c>
      <c r="D86" s="86"/>
    </row>
    <row r="87" spans="1:4" ht="13.5" customHeight="1" x14ac:dyDescent="0.3">
      <c r="B87" s="87" t="s">
        <v>848</v>
      </c>
      <c r="C87" s="87" t="s">
        <v>1331</v>
      </c>
      <c r="D87" s="88"/>
    </row>
    <row r="88" spans="1:4" ht="13.5" customHeight="1" x14ac:dyDescent="0.3">
      <c r="B88" s="87" t="s">
        <v>849</v>
      </c>
      <c r="C88" s="87" t="s">
        <v>1332</v>
      </c>
      <c r="D88" s="88"/>
    </row>
    <row r="89" spans="1:4" ht="13.5" customHeight="1" x14ac:dyDescent="0.3">
      <c r="B89" s="87" t="s">
        <v>1333</v>
      </c>
      <c r="C89" s="87" t="s">
        <v>1334</v>
      </c>
      <c r="D89" s="88"/>
    </row>
    <row r="90" spans="1:4" ht="13.5" customHeight="1" x14ac:dyDescent="0.3">
      <c r="B90" s="87" t="s">
        <v>850</v>
      </c>
      <c r="C90" s="87" t="s">
        <v>1335</v>
      </c>
      <c r="D90" s="88"/>
    </row>
    <row r="91" spans="1:4" ht="27" customHeight="1" x14ac:dyDescent="0.3">
      <c r="B91" s="87" t="s">
        <v>1336</v>
      </c>
      <c r="C91" s="87" t="s">
        <v>1337</v>
      </c>
      <c r="D91" s="88"/>
    </row>
    <row r="92" spans="1:4" ht="27" customHeight="1" x14ac:dyDescent="0.3">
      <c r="B92" s="87" t="s">
        <v>1338</v>
      </c>
      <c r="C92" s="87" t="s">
        <v>1339</v>
      </c>
      <c r="D92" s="88"/>
    </row>
    <row r="93" spans="1:4" ht="13.5" customHeight="1" x14ac:dyDescent="0.3">
      <c r="B93" s="87" t="s">
        <v>1340</v>
      </c>
      <c r="C93" s="87" t="s">
        <v>1341</v>
      </c>
      <c r="D93" s="88"/>
    </row>
    <row r="94" spans="1:4" ht="13.5" customHeight="1" x14ac:dyDescent="0.3">
      <c r="A94" s="97" t="s">
        <v>1342</v>
      </c>
      <c r="B94" s="97"/>
      <c r="C94" s="97"/>
      <c r="D94" s="97"/>
    </row>
    <row r="96" spans="1:4" ht="15.6" x14ac:dyDescent="0.3">
      <c r="A96" s="84" t="s">
        <v>1343</v>
      </c>
      <c r="B96" s="83"/>
      <c r="C96" s="83"/>
      <c r="D96" s="83"/>
    </row>
    <row r="97" spans="1:4" ht="13.5" customHeight="1" x14ac:dyDescent="0.3">
      <c r="A97" s="89" t="s">
        <v>1344</v>
      </c>
      <c r="B97" s="94" t="s">
        <v>1345</v>
      </c>
      <c r="C97" s="94"/>
    </row>
    <row r="98" spans="1:4" ht="13.5" customHeight="1" x14ac:dyDescent="0.3">
      <c r="A98" s="89" t="s">
        <v>1346</v>
      </c>
      <c r="B98" s="94" t="s">
        <v>1347</v>
      </c>
      <c r="C98" s="94"/>
      <c r="D98" s="90" t="s">
        <v>1286</v>
      </c>
    </row>
    <row r="100" spans="1:4" ht="15.6" x14ac:dyDescent="0.3">
      <c r="A100" s="84" t="s">
        <v>1348</v>
      </c>
      <c r="B100" s="83"/>
      <c r="C100" s="83"/>
      <c r="D100" s="83"/>
    </row>
    <row r="101" spans="1:4" ht="13.5" customHeight="1" x14ac:dyDescent="0.3">
      <c r="A101" s="89" t="s">
        <v>851</v>
      </c>
      <c r="B101" s="94" t="s">
        <v>1349</v>
      </c>
      <c r="C101" s="94"/>
      <c r="D101" s="90" t="s">
        <v>1350</v>
      </c>
    </row>
    <row r="102" spans="1:4" x14ac:dyDescent="0.3">
      <c r="B102" s="85" t="s">
        <v>1351</v>
      </c>
      <c r="C102" s="85" t="s">
        <v>1352</v>
      </c>
      <c r="D102" s="86"/>
    </row>
    <row r="103" spans="1:4" ht="27" customHeight="1" x14ac:dyDescent="0.3">
      <c r="B103" s="87" t="s">
        <v>1353</v>
      </c>
      <c r="C103" s="87" t="s">
        <v>1354</v>
      </c>
      <c r="D103" s="88"/>
    </row>
    <row r="104" spans="1:4" ht="13.5" customHeight="1" x14ac:dyDescent="0.3">
      <c r="B104" s="87" t="s">
        <v>1355</v>
      </c>
      <c r="C104" s="87" t="s">
        <v>1356</v>
      </c>
      <c r="D104" s="88"/>
    </row>
    <row r="105" spans="1:4" ht="13.5" customHeight="1" x14ac:dyDescent="0.3">
      <c r="B105" s="87" t="s">
        <v>1357</v>
      </c>
      <c r="C105" s="87" t="s">
        <v>879</v>
      </c>
      <c r="D105" s="88"/>
    </row>
    <row r="106" spans="1:4" ht="27" customHeight="1" x14ac:dyDescent="0.3">
      <c r="B106" s="87" t="s">
        <v>1358</v>
      </c>
      <c r="C106" s="87" t="s">
        <v>1359</v>
      </c>
      <c r="D106" s="88"/>
    </row>
    <row r="107" spans="1:4" ht="13.5" customHeight="1" x14ac:dyDescent="0.3">
      <c r="B107" s="87" t="s">
        <v>1360</v>
      </c>
      <c r="C107" s="87" t="s">
        <v>1361</v>
      </c>
      <c r="D107" s="88"/>
    </row>
    <row r="108" spans="1:4" ht="13.5" customHeight="1" x14ac:dyDescent="0.3">
      <c r="B108" s="87" t="s">
        <v>1362</v>
      </c>
      <c r="C108" s="87" t="s">
        <v>1363</v>
      </c>
      <c r="D108" s="88"/>
    </row>
    <row r="109" spans="1:4" ht="13.5" customHeight="1" x14ac:dyDescent="0.3">
      <c r="B109" s="87" t="s">
        <v>1364</v>
      </c>
      <c r="C109" s="87" t="s">
        <v>1365</v>
      </c>
      <c r="D109" s="88"/>
    </row>
    <row r="110" spans="1:4" ht="13.5" customHeight="1" x14ac:dyDescent="0.3">
      <c r="B110" s="87" t="s">
        <v>1366</v>
      </c>
      <c r="C110" s="87" t="s">
        <v>1367</v>
      </c>
      <c r="D110" s="88"/>
    </row>
    <row r="112" spans="1:4" ht="15.6" x14ac:dyDescent="0.3">
      <c r="A112" s="84" t="s">
        <v>1368</v>
      </c>
      <c r="B112" s="83"/>
      <c r="C112" s="83"/>
      <c r="D112" s="83"/>
    </row>
    <row r="113" spans="1:4" ht="27" customHeight="1" x14ac:dyDescent="0.3">
      <c r="A113" s="89" t="s">
        <v>852</v>
      </c>
      <c r="B113" s="94" t="s">
        <v>1369</v>
      </c>
      <c r="C113" s="94"/>
      <c r="D113" s="90" t="s">
        <v>1256</v>
      </c>
    </row>
    <row r="114" spans="1:4" ht="13.5" customHeight="1" x14ac:dyDescent="0.3">
      <c r="A114" s="89" t="s">
        <v>853</v>
      </c>
      <c r="B114" s="94" t="s">
        <v>1370</v>
      </c>
      <c r="C114" s="94"/>
    </row>
    <row r="115" spans="1:4" ht="27" customHeight="1" x14ac:dyDescent="0.3">
      <c r="A115" s="89" t="s">
        <v>854</v>
      </c>
      <c r="B115" s="94" t="s">
        <v>1371</v>
      </c>
      <c r="C115" s="94"/>
      <c r="D115" s="90" t="s">
        <v>861</v>
      </c>
    </row>
    <row r="116" spans="1:4" ht="13.5" customHeight="1" x14ac:dyDescent="0.3">
      <c r="A116" s="97" t="s">
        <v>1372</v>
      </c>
      <c r="B116" s="97"/>
      <c r="C116" s="97"/>
      <c r="D116" s="97"/>
    </row>
    <row r="118" spans="1:4" ht="15.6" x14ac:dyDescent="0.3">
      <c r="A118" s="84" t="s">
        <v>1373</v>
      </c>
      <c r="B118" s="83"/>
      <c r="C118" s="83"/>
      <c r="D118" s="83"/>
    </row>
    <row r="119" spans="1:4" ht="13.5" customHeight="1" x14ac:dyDescent="0.3">
      <c r="A119" s="89" t="s">
        <v>855</v>
      </c>
      <c r="B119" s="94" t="s">
        <v>1374</v>
      </c>
      <c r="C119" s="94"/>
      <c r="D119" s="90" t="s">
        <v>1264</v>
      </c>
    </row>
    <row r="120" spans="1:4" ht="13.5" customHeight="1" x14ac:dyDescent="0.3">
      <c r="A120" s="89" t="s">
        <v>856</v>
      </c>
      <c r="B120" s="94" t="s">
        <v>1375</v>
      </c>
      <c r="C120" s="94"/>
    </row>
    <row r="122" spans="1:4" ht="15.6" x14ac:dyDescent="0.3">
      <c r="A122" s="84" t="s">
        <v>1376</v>
      </c>
      <c r="B122" s="83"/>
      <c r="C122" s="83"/>
      <c r="D122" s="83"/>
    </row>
    <row r="123" spans="1:4" ht="27" customHeight="1" x14ac:dyDescent="0.3">
      <c r="A123" s="89" t="s">
        <v>862</v>
      </c>
      <c r="B123" s="94" t="s">
        <v>1377</v>
      </c>
      <c r="C123" s="94"/>
      <c r="D123" s="90" t="s">
        <v>1266</v>
      </c>
    </row>
    <row r="124" spans="1:4" ht="13.5" customHeight="1" x14ac:dyDescent="0.3">
      <c r="A124" s="89" t="s">
        <v>863</v>
      </c>
      <c r="B124" s="94" t="s">
        <v>1378</v>
      </c>
      <c r="C124" s="94"/>
      <c r="D124" s="90" t="s">
        <v>1379</v>
      </c>
    </row>
    <row r="125" spans="1:4" ht="13.5" customHeight="1" x14ac:dyDescent="0.3">
      <c r="A125" s="89" t="s">
        <v>864</v>
      </c>
      <c r="B125" s="94" t="s">
        <v>1380</v>
      </c>
      <c r="C125" s="94"/>
    </row>
    <row r="126" spans="1:4" ht="13.5" customHeight="1" x14ac:dyDescent="0.3">
      <c r="A126" s="89" t="s">
        <v>865</v>
      </c>
      <c r="B126" s="94" t="s">
        <v>1381</v>
      </c>
      <c r="C126" s="94"/>
      <c r="D126" s="90" t="s">
        <v>1274</v>
      </c>
    </row>
    <row r="128" spans="1:4" ht="15.6" x14ac:dyDescent="0.3">
      <c r="A128" s="84" t="s">
        <v>1382</v>
      </c>
      <c r="B128" s="83"/>
      <c r="C128" s="83"/>
      <c r="D128" s="83"/>
    </row>
    <row r="129" spans="1:4" ht="13.5" customHeight="1" x14ac:dyDescent="0.3">
      <c r="A129" s="89" t="s">
        <v>866</v>
      </c>
      <c r="B129" s="94" t="s">
        <v>1383</v>
      </c>
      <c r="C129" s="94"/>
    </row>
    <row r="130" spans="1:4" ht="13.5" customHeight="1" x14ac:dyDescent="0.3">
      <c r="A130" s="89" t="s">
        <v>867</v>
      </c>
      <c r="B130" s="94" t="s">
        <v>1384</v>
      </c>
      <c r="C130" s="94"/>
    </row>
    <row r="131" spans="1:4" ht="13.5" customHeight="1" x14ac:dyDescent="0.3">
      <c r="A131" s="89" t="s">
        <v>868</v>
      </c>
      <c r="B131" s="94" t="s">
        <v>1385</v>
      </c>
      <c r="C131" s="94"/>
    </row>
    <row r="133" spans="1:4" ht="15.6" x14ac:dyDescent="0.3">
      <c r="A133" s="84" t="s">
        <v>1386</v>
      </c>
      <c r="B133" s="83"/>
      <c r="C133" s="83"/>
      <c r="D133" s="83"/>
    </row>
    <row r="134" spans="1:4" ht="13.5" customHeight="1" x14ac:dyDescent="0.3">
      <c r="A134" s="89" t="s">
        <v>869</v>
      </c>
      <c r="B134" s="94" t="s">
        <v>1387</v>
      </c>
      <c r="C134" s="94"/>
      <c r="D134" s="90" t="s">
        <v>1272</v>
      </c>
    </row>
    <row r="135" spans="1:4" ht="13.5" customHeight="1" x14ac:dyDescent="0.3">
      <c r="A135" s="89" t="s">
        <v>870</v>
      </c>
      <c r="B135" s="94" t="s">
        <v>1388</v>
      </c>
      <c r="C135" s="94"/>
      <c r="D135" s="90" t="s">
        <v>877</v>
      </c>
    </row>
    <row r="136" spans="1:4" ht="13.5" customHeight="1" x14ac:dyDescent="0.3">
      <c r="A136" s="89" t="s">
        <v>871</v>
      </c>
      <c r="B136" s="94" t="s">
        <v>1389</v>
      </c>
      <c r="C136" s="94"/>
      <c r="D136" s="90" t="s">
        <v>1390</v>
      </c>
    </row>
    <row r="137" spans="1:4" ht="13.5" customHeight="1" x14ac:dyDescent="0.3">
      <c r="A137" s="95" t="s">
        <v>878</v>
      </c>
      <c r="B137" s="95"/>
      <c r="C137" s="95"/>
      <c r="D137" s="95"/>
    </row>
    <row r="139" spans="1:4" ht="15.6" x14ac:dyDescent="0.3">
      <c r="A139" s="84" t="s">
        <v>1391</v>
      </c>
      <c r="B139" s="83"/>
      <c r="C139" s="83"/>
      <c r="D139" s="83"/>
    </row>
    <row r="140" spans="1:4" ht="13.5" customHeight="1" x14ac:dyDescent="0.3">
      <c r="A140" s="94" t="s">
        <v>1392</v>
      </c>
      <c r="B140" s="94"/>
      <c r="C140" s="94"/>
      <c r="D140" s="94"/>
    </row>
  </sheetData>
  <mergeCells count="61">
    <mergeCell ref="A140:D140"/>
    <mergeCell ref="B130:C130"/>
    <mergeCell ref="B131:C131"/>
    <mergeCell ref="B134:C134"/>
    <mergeCell ref="B135:C135"/>
    <mergeCell ref="B136:C136"/>
    <mergeCell ref="A137:D137"/>
    <mergeCell ref="B120:C120"/>
    <mergeCell ref="B123:C123"/>
    <mergeCell ref="B124:C124"/>
    <mergeCell ref="B125:C125"/>
    <mergeCell ref="B126:C126"/>
    <mergeCell ref="B129:C129"/>
    <mergeCell ref="B101:C101"/>
    <mergeCell ref="B113:C113"/>
    <mergeCell ref="B114:C114"/>
    <mergeCell ref="B115:C115"/>
    <mergeCell ref="A116:D116"/>
    <mergeCell ref="B119:C119"/>
    <mergeCell ref="B83:C83"/>
    <mergeCell ref="B84:C84"/>
    <mergeCell ref="B85:C85"/>
    <mergeCell ref="A94:D94"/>
    <mergeCell ref="B97:C97"/>
    <mergeCell ref="B98:C98"/>
    <mergeCell ref="B77:C77"/>
    <mergeCell ref="B78:C78"/>
    <mergeCell ref="B79:C79"/>
    <mergeCell ref="B80:C80"/>
    <mergeCell ref="B81:C81"/>
    <mergeCell ref="B82:C82"/>
    <mergeCell ref="A67:D67"/>
    <mergeCell ref="B70:C70"/>
    <mergeCell ref="B71:C71"/>
    <mergeCell ref="B72:C72"/>
    <mergeCell ref="A73:D73"/>
    <mergeCell ref="A76:D76"/>
    <mergeCell ref="A59:D59"/>
    <mergeCell ref="B62:C62"/>
    <mergeCell ref="B63:C63"/>
    <mergeCell ref="B64:C64"/>
    <mergeCell ref="B65:C65"/>
    <mergeCell ref="B66:C66"/>
    <mergeCell ref="B51:C51"/>
    <mergeCell ref="B52:C52"/>
    <mergeCell ref="B53:C53"/>
    <mergeCell ref="B56:C56"/>
    <mergeCell ref="B57:C57"/>
    <mergeCell ref="B58:C58"/>
    <mergeCell ref="A25:D25"/>
    <mergeCell ref="B46:C46"/>
    <mergeCell ref="B47:C47"/>
    <mergeCell ref="B48:C48"/>
    <mergeCell ref="B49:C49"/>
    <mergeCell ref="B50:C50"/>
    <mergeCell ref="A2:D2"/>
    <mergeCell ref="A3:D3"/>
    <mergeCell ref="A21:D21"/>
    <mergeCell ref="A22:D22"/>
    <mergeCell ref="A23:D23"/>
    <mergeCell ref="A24:D24"/>
  </mergeCells>
  <hyperlinks>
    <hyperlink ref="D8" location="Щиты!A10" display="Щиты!A10" xr:uid="{35D6D115-095C-415F-8855-30BB54F13B9A}"/>
    <hyperlink ref="D10" location="Линии!A3" display="Линии!A3" xr:uid="{902B9783-069B-490D-A0ED-708683E63E5A}"/>
    <hyperlink ref="D29" location="Проверка!A1" display="Проверка!A1" xr:uid="{89319CA6-F8F8-4533-B106-4603DBB4D822}"/>
    <hyperlink ref="D30" location="Объект!B1" display="Объект!B1" xr:uid="{F786B946-47C4-48BB-A146-A375DAFDCB2D}"/>
    <hyperlink ref="D31" location="Коды!A3" display="Коды!A3" xr:uid="{302EB669-986D-44D2-855F-84A471ABA85E}"/>
    <hyperlink ref="D32" location="Щиты!A10" display="Щиты!A10" xr:uid="{15928858-0B5E-4B22-B1E9-714364FBEE83}"/>
    <hyperlink ref="D33" location="Итоги_щитов!C3" display="Итоги_щитов!C3" xr:uid="{C08E3596-F7C2-4102-8260-A77EE03639EA}"/>
    <hyperlink ref="D34" location="Шины!A8" display="Шины!A8" xr:uid="{132DC044-E706-4526-9422-A819F46B37B7}"/>
    <hyperlink ref="D35" location="Линии!A2" display="Линии!A2" xr:uid="{875B8ABE-78C7-4FF1-B706-B15C2FD79AD6}"/>
    <hyperlink ref="D36" location="Режимы!C3" display="Режимы!C3" xr:uid="{6D06C308-C532-4BF9-8C89-42B55244903A}"/>
    <hyperlink ref="D37" location="Расчёт_нагрузок!C4" display="Расчёт_нагрузок!C4" xr:uid="{3B02CF06-A055-4BCE-AAB4-157D442B8D91}"/>
    <hyperlink ref="D38" location="Кабельный_журнал!A2" display="Кабельный_журнал!A2" xr:uid="{0D0EBC38-92D4-4099-91C5-4F0C100E25CB}"/>
    <hyperlink ref="D39" location="Однолинейка!A1" display="Однолинейка!A1" xr:uid="{957CF124-5739-4610-900F-E5F70958997B}"/>
    <hyperlink ref="D40" location="Спецификация!D1" display="Спецификация!D1" xr:uid="{8B76F8DC-90A7-4B60-B100-60C4041982DD}"/>
    <hyperlink ref="D41" location="Бирки!A3" display="Бирки!A3" xr:uid="{309E62E1-18FA-4FAC-BC91-E2BE24FFA468}"/>
    <hyperlink ref="D46" location="Объект!C3" display="Объект!C3" xr:uid="{5308A5DB-03CE-4590-BA39-221E3242CA27}"/>
    <hyperlink ref="D47" location="Щиты!A10" display="Щиты!A10" xr:uid="{24ECB344-4A67-438F-9AEE-9DE56A68880D}"/>
    <hyperlink ref="D48" location="Коды!A4" display="Коды!A4" xr:uid="{0F4B5D65-D158-4521-BC09-F00146535114}"/>
    <hyperlink ref="D49" location="Линии!A3" display="Линии!A3" xr:uid="{24206519-1250-4C5A-B93A-83E63036678B}"/>
    <hyperlink ref="D50" location="Шины!A9" display="Шины!A9" xr:uid="{5D4FEF86-4062-4A1F-B66C-67792F1FBDBC}"/>
    <hyperlink ref="D51" location="Проверка!A1" display="Проверка!A1" xr:uid="{7307E494-C66E-49AA-9A93-52E123FF674C}"/>
    <hyperlink ref="D56" location="Объект!C3" display="Объект!C3" xr:uid="{42742B0C-DA8A-4D1F-B37A-581FDC95C351}"/>
    <hyperlink ref="D57" location="Объект!C8" display="Объект!C8" xr:uid="{1F25E70B-4354-4301-9E39-F1BB40FF61A5}"/>
    <hyperlink ref="D58" location="Объект!C9" display="Объект!C9" xr:uid="{7E2F87F5-267E-4685-8858-CC7478159B57}"/>
    <hyperlink ref="D62" location="Щиты!A10" display="Щиты!A10" xr:uid="{2EDD6D07-7937-461E-A01D-E247763834F2}"/>
    <hyperlink ref="D63" location="Щиты!C10" display="Щиты!C10" xr:uid="{C74E8613-831C-47EB-9BF2-C6FA538A2F6F}"/>
    <hyperlink ref="D70" location="Коды!A4" display="Коды!A4" xr:uid="{F4CB8236-B7ED-4DBB-892D-C27E3625B2AB}"/>
    <hyperlink ref="D72" location="Коды!O4" display="Коды!O4" xr:uid="{1FB29B9E-7897-4004-94EB-157248F30ABF}"/>
    <hyperlink ref="D77" location="Линии!A3" display="Линии!A3" xr:uid="{059B0AAC-0ACB-41EA-9123-47A9F6F53C49}"/>
    <hyperlink ref="D78" location="Линии!B3" display="Линии!B3" xr:uid="{C208E659-D279-4CB4-9789-B890552DEC7A}"/>
    <hyperlink ref="D79" location="Линии!C3" display="Линии!C3" xr:uid="{45E19D8D-576B-4862-B321-2AAA5A0CC42D}"/>
    <hyperlink ref="D80" location="Линии!D3" display="Линии!D3" xr:uid="{E67F5218-5527-44EE-8F26-7104F53A2539}"/>
    <hyperlink ref="D84" location="Линии!AC3" display="Линии!AC3" xr:uid="{DB74B112-C6D5-496F-A136-960CC9B5D5B9}"/>
    <hyperlink ref="D98" location="Шины!A9" display="Шины!A9" xr:uid="{0E646527-C510-4693-AD9C-E5B2881ECCB0}"/>
    <hyperlink ref="D101" location="Проверка!A4" display="Проверка!A4" xr:uid="{BD29D1C1-BB68-40B8-B263-A61C35D9F822}"/>
    <hyperlink ref="D113" location="Итоги_щитов!C3" display="Итоги_щитов!C3" xr:uid="{0E10566B-78E6-4CD1-803B-8E9544181C1D}"/>
    <hyperlink ref="D115" location="Режимы!C3" display="Режимы!C3" xr:uid="{8194B22A-7950-4F7A-A525-DACCBC00C5C8}"/>
    <hyperlink ref="D119" location="Расчёт_нагрузок!C4" display="Расчёт_нагрузок!C4" xr:uid="{30B42A71-40DA-4847-84A0-BF3B4BE99913}"/>
    <hyperlink ref="D123" location="Кабельный_журнал!A2" display="Кабельный_журнал!A2" xr:uid="{2043DE0E-B0F5-4FEE-BC78-D4CE81A4BAF9}"/>
    <hyperlink ref="D124" location="Кабельный_журнал!P2" display="Кабельный_журнал!P2" xr:uid="{C8C2F14F-FFD7-4633-8510-24B4983AF7FA}"/>
    <hyperlink ref="D126" location="Бирки!A3" display="Бирки!A3" xr:uid="{838DA5C6-195D-411C-AC44-F37F066D40E7}"/>
    <hyperlink ref="D134" location="Спецификация!D1" display="Спецификация!D1" xr:uid="{C03FBF23-7596-4E86-A9AA-D74E49C174C0}"/>
    <hyperlink ref="D135" location="Каталог!A1" display="Каталог!A1" xr:uid="{1BB476FE-565A-45B7-B21C-8D438649C502}"/>
    <hyperlink ref="D136" location="Спецификация_авто!A1" display="Спецификация_авто!A1" xr:uid="{CC9EDFFE-32C4-4D39-BA94-81FE73624A95}"/>
  </hyperlink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A022-A3A7-42DF-8FF7-16F8B08803F4}">
  <sheetPr>
    <tabColor rgb="FFFF0000"/>
  </sheetPr>
  <dimension ref="A1:I5"/>
  <sheetViews>
    <sheetView workbookViewId="0"/>
  </sheetViews>
  <sheetFormatPr defaultRowHeight="14.4" x14ac:dyDescent="0.3"/>
  <cols>
    <col min="1" max="1" width="12.77734375" customWidth="1"/>
    <col min="2" max="2" width="70.77734375" style="4" customWidth="1"/>
    <col min="4" max="4" width="12.77734375" customWidth="1"/>
    <col min="5" max="5" width="8.77734375" customWidth="1"/>
    <col min="6" max="6" width="16.77734375" customWidth="1"/>
    <col min="7" max="7" width="40.77734375" customWidth="1"/>
    <col min="8" max="8" width="70.77734375" style="4" customWidth="1"/>
    <col min="9" max="9" width="8.77734375" customWidth="1"/>
  </cols>
  <sheetData>
    <row r="1" spans="1:9" ht="18" x14ac:dyDescent="0.35">
      <c r="A1" s="113" t="s">
        <v>1204</v>
      </c>
    </row>
    <row r="2" spans="1:9" x14ac:dyDescent="0.3">
      <c r="A2" t="str">
        <f>"Замечаний: щиты — "&amp;COUNTIF(Щиты[Замечания щита],"?*")&amp;", линии — "&amp;COUNTIF(Линии[Замечания],"?*")&amp;". Методика: "&amp;Методика</f>
        <v>Замечаний: щиты — 1, линии — 0. Методика: нормы 2026</v>
      </c>
    </row>
    <row r="4" spans="1:9" x14ac:dyDescent="0.3">
      <c r="A4" s="117" t="s">
        <v>4</v>
      </c>
      <c r="B4" s="119" t="s">
        <v>930</v>
      </c>
      <c r="D4" s="117" t="s">
        <v>4</v>
      </c>
      <c r="E4" s="117" t="s">
        <v>978</v>
      </c>
      <c r="F4" s="117" t="s">
        <v>0</v>
      </c>
      <c r="G4" s="117" t="s">
        <v>6</v>
      </c>
      <c r="H4" s="119" t="s">
        <v>990</v>
      </c>
      <c r="I4" s="117" t="s">
        <v>1205</v>
      </c>
    </row>
    <row r="5" spans="1:9" x14ac:dyDescent="0.3">
      <c r="A5" t="str" cm="1">
        <f t="array" ref="A5:B5">_xlfn._xlws.FILTER(_xlfn.HSTACK(Щиты[Щит],Щиты[Замечания щита]),Щиты[Замечания щита]&lt;&gt;"","замечаний нет")</f>
        <v>ЩР</v>
      </c>
      <c r="B5" s="4" t="str">
        <v>нет данных сети для ТКЗ: введите Iкз от сетевой организации или трансформатор</v>
      </c>
      <c r="D5" t="str" cm="1">
        <f t="array" ref="D5">_xlfn._xlws.FILTER(_xlfn.HSTACK(Линии[Щит],Линии[№ места],Линии[Номер линии],Линии[Наименование],Линии[Замечания],HYPERLINK("#'Линии'!C"&amp;(Линии[_n]+2),"→")),Линии[Замечания]&lt;&gt;"","замечаний нет")</f>
        <v>замечаний нет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E622-A70E-44C8-9FA6-AE2A7F86E4F3}">
  <sheetPr>
    <tabColor rgb="FFFFF2CC"/>
  </sheetPr>
  <dimension ref="B1:N36"/>
  <sheetViews>
    <sheetView workbookViewId="0"/>
  </sheetViews>
  <sheetFormatPr defaultRowHeight="14.4" x14ac:dyDescent="0.3"/>
  <cols>
    <col min="2" max="2" width="42.77734375" customWidth="1"/>
    <col min="3" max="3" width="18.77734375" customWidth="1"/>
    <col min="4" max="4" width="60.77734375" customWidth="1"/>
    <col min="6" max="6" width="16.77734375" customWidth="1"/>
    <col min="7" max="7" width="20.77734375" customWidth="1"/>
  </cols>
  <sheetData>
    <row r="1" spans="2:7" ht="18" x14ac:dyDescent="0.35">
      <c r="B1" s="113" t="s">
        <v>880</v>
      </c>
    </row>
    <row r="2" spans="2:7" x14ac:dyDescent="0.3">
      <c r="F2" s="36" t="s">
        <v>896</v>
      </c>
      <c r="G2" s="36" t="s">
        <v>897</v>
      </c>
    </row>
    <row r="3" spans="2:7" x14ac:dyDescent="0.3">
      <c r="B3" t="s">
        <v>881</v>
      </c>
      <c r="C3" s="114"/>
      <c r="D3" t="s">
        <v>882</v>
      </c>
      <c r="F3" s="114">
        <v>1</v>
      </c>
      <c r="G3" s="114">
        <v>1</v>
      </c>
    </row>
    <row r="4" spans="2:7" x14ac:dyDescent="0.3">
      <c r="B4" t="s">
        <v>883</v>
      </c>
      <c r="C4" s="114">
        <v>2.63E-2</v>
      </c>
      <c r="D4" t="s">
        <v>884</v>
      </c>
      <c r="F4" s="114">
        <v>2</v>
      </c>
      <c r="G4" s="114">
        <v>1</v>
      </c>
    </row>
    <row r="5" spans="2:7" x14ac:dyDescent="0.3">
      <c r="B5" t="s">
        <v>885</v>
      </c>
      <c r="C5" s="114">
        <v>4.2000000000000003E-2</v>
      </c>
      <c r="D5" t="s">
        <v>759</v>
      </c>
      <c r="F5" s="114">
        <v>3</v>
      </c>
      <c r="G5" s="114">
        <v>0.9</v>
      </c>
    </row>
    <row r="6" spans="2:7" x14ac:dyDescent="0.3">
      <c r="B6" t="s">
        <v>886</v>
      </c>
      <c r="C6" s="114">
        <v>1.4999999999999999E-2</v>
      </c>
      <c r="D6" t="s">
        <v>887</v>
      </c>
      <c r="F6" s="114">
        <v>5</v>
      </c>
      <c r="G6" s="114">
        <v>0.8</v>
      </c>
    </row>
    <row r="7" spans="2:7" x14ac:dyDescent="0.3">
      <c r="B7" t="s">
        <v>888</v>
      </c>
      <c r="C7" s="114">
        <v>0.95</v>
      </c>
      <c r="D7" t="s">
        <v>889</v>
      </c>
      <c r="F7" s="114">
        <v>8</v>
      </c>
      <c r="G7" s="114">
        <v>0.75</v>
      </c>
    </row>
    <row r="8" spans="2:7" x14ac:dyDescent="0.3">
      <c r="B8" t="s">
        <v>890</v>
      </c>
      <c r="C8" s="114" t="s">
        <v>891</v>
      </c>
      <c r="D8" t="s">
        <v>892</v>
      </c>
      <c r="F8" s="114">
        <v>10</v>
      </c>
      <c r="G8" s="114">
        <v>0.7</v>
      </c>
    </row>
    <row r="9" spans="2:7" x14ac:dyDescent="0.3">
      <c r="B9" t="s">
        <v>893</v>
      </c>
      <c r="C9" s="114">
        <v>1</v>
      </c>
      <c r="D9" t="s">
        <v>894</v>
      </c>
      <c r="F9" s="114">
        <v>15</v>
      </c>
      <c r="G9" s="114">
        <v>0.65</v>
      </c>
    </row>
    <row r="10" spans="2:7" x14ac:dyDescent="0.3">
      <c r="F10" s="114">
        <v>20</v>
      </c>
      <c r="G10" s="114">
        <v>0.65</v>
      </c>
    </row>
    <row r="11" spans="2:7" x14ac:dyDescent="0.3">
      <c r="B11" t="s">
        <v>895</v>
      </c>
      <c r="F11" s="114">
        <v>30</v>
      </c>
      <c r="G11" s="114">
        <v>0.6</v>
      </c>
    </row>
    <row r="12" spans="2:7" x14ac:dyDescent="0.3">
      <c r="F12" s="114">
        <v>50</v>
      </c>
      <c r="G12" s="114">
        <v>0.55000000000000004</v>
      </c>
    </row>
    <row r="13" spans="2:7" x14ac:dyDescent="0.3">
      <c r="F13" s="114">
        <v>100</v>
      </c>
      <c r="G13" s="114">
        <v>0.55000000000000004</v>
      </c>
    </row>
    <row r="14" spans="2:7" x14ac:dyDescent="0.3">
      <c r="B14" s="36" t="s">
        <v>1126</v>
      </c>
      <c r="F14" s="114">
        <v>200</v>
      </c>
      <c r="G14" s="114">
        <v>0.5</v>
      </c>
    </row>
    <row r="15" spans="2:7" x14ac:dyDescent="0.3">
      <c r="B15" t="s">
        <v>814</v>
      </c>
      <c r="C15" s="114">
        <v>0.75</v>
      </c>
    </row>
    <row r="16" spans="2:7" x14ac:dyDescent="0.3">
      <c r="B16" t="s">
        <v>1127</v>
      </c>
      <c r="C16" s="114">
        <v>0.9</v>
      </c>
    </row>
    <row r="17" spans="2:14" x14ac:dyDescent="0.3">
      <c r="B17" t="s">
        <v>1128</v>
      </c>
      <c r="C17" s="114">
        <v>15</v>
      </c>
      <c r="D17" t="s">
        <v>816</v>
      </c>
    </row>
    <row r="18" spans="2:14" x14ac:dyDescent="0.3">
      <c r="B18" t="s">
        <v>1129</v>
      </c>
      <c r="C18" s="114">
        <v>240</v>
      </c>
      <c r="D18" t="s">
        <v>156</v>
      </c>
    </row>
    <row r="19" spans="2:14" x14ac:dyDescent="0.3">
      <c r="B19" t="s">
        <v>817</v>
      </c>
      <c r="C19" s="114">
        <v>0.95</v>
      </c>
    </row>
    <row r="20" spans="2:14" x14ac:dyDescent="0.3">
      <c r="B20" t="s">
        <v>1130</v>
      </c>
      <c r="C20" s="114">
        <v>0.8</v>
      </c>
    </row>
    <row r="21" spans="2:14" x14ac:dyDescent="0.3">
      <c r="B21" t="s">
        <v>1131</v>
      </c>
      <c r="C21" s="114">
        <v>0.1</v>
      </c>
    </row>
    <row r="22" spans="2:14" x14ac:dyDescent="0.3">
      <c r="B22" t="s">
        <v>1132</v>
      </c>
      <c r="C22" s="114">
        <v>0.95</v>
      </c>
    </row>
    <row r="24" spans="2:14" x14ac:dyDescent="0.3">
      <c r="B24" t="s">
        <v>1133</v>
      </c>
      <c r="C24" s="114">
        <v>6</v>
      </c>
      <c r="D24" s="114">
        <v>10</v>
      </c>
      <c r="E24" s="114">
        <v>15</v>
      </c>
      <c r="F24" s="114">
        <v>20</v>
      </c>
      <c r="G24" s="114">
        <v>30</v>
      </c>
      <c r="H24" s="114">
        <v>40</v>
      </c>
      <c r="I24" s="114">
        <v>60</v>
      </c>
      <c r="J24" s="114">
        <v>80</v>
      </c>
      <c r="K24" s="114">
        <v>100</v>
      </c>
      <c r="L24" s="114">
        <v>120</v>
      </c>
      <c r="M24" s="114">
        <v>160</v>
      </c>
      <c r="N24" s="114">
        <v>200</v>
      </c>
    </row>
    <row r="28" spans="2:14" ht="15.6" x14ac:dyDescent="0.3">
      <c r="B28" s="138" t="s">
        <v>1810</v>
      </c>
      <c r="C28" s="139"/>
      <c r="D28" s="139"/>
    </row>
    <row r="29" spans="2:14" ht="15" customHeight="1" x14ac:dyDescent="0.3">
      <c r="B29" s="140" t="s">
        <v>1811</v>
      </c>
      <c r="C29" s="140"/>
      <c r="D29" s="140"/>
    </row>
    <row r="30" spans="2:14" ht="15" customHeight="1" x14ac:dyDescent="0.3">
      <c r="B30" s="140" t="s">
        <v>1812</v>
      </c>
      <c r="C30" s="140"/>
      <c r="D30" s="140"/>
    </row>
    <row r="31" spans="2:14" ht="30" customHeight="1" x14ac:dyDescent="0.3">
      <c r="B31" s="140" t="s">
        <v>1813</v>
      </c>
      <c r="C31" s="140"/>
      <c r="D31" s="140"/>
    </row>
    <row r="32" spans="2:14" ht="30" customHeight="1" x14ac:dyDescent="0.3">
      <c r="B32" s="140" t="s">
        <v>1814</v>
      </c>
      <c r="C32" s="140"/>
      <c r="D32" s="140"/>
    </row>
    <row r="33" spans="2:4" ht="15" customHeight="1" x14ac:dyDescent="0.3">
      <c r="B33" s="140" t="s">
        <v>1815</v>
      </c>
      <c r="C33" s="140"/>
      <c r="D33" s="140"/>
    </row>
    <row r="34" spans="2:4" ht="30" customHeight="1" x14ac:dyDescent="0.3">
      <c r="B34" s="140" t="s">
        <v>1816</v>
      </c>
      <c r="C34" s="140"/>
      <c r="D34" s="140"/>
    </row>
    <row r="35" spans="2:4" ht="30" customHeight="1" x14ac:dyDescent="0.3">
      <c r="B35" s="140" t="s">
        <v>1817</v>
      </c>
      <c r="C35" s="140"/>
      <c r="D35" s="140"/>
    </row>
    <row r="36" spans="2:4" ht="15" customHeight="1" x14ac:dyDescent="0.3">
      <c r="B36" s="140" t="s">
        <v>1818</v>
      </c>
      <c r="C36" s="140"/>
      <c r="D36" s="140"/>
    </row>
  </sheetData>
  <mergeCells count="8">
    <mergeCell ref="B35:D35"/>
    <mergeCell ref="B36:D36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C8" xr:uid="{67241753-0676-48ED-AF4C-323A32CB5C96}">
      <formula1>"v3.12,нормы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E113-B324-4699-AA95-F96D1576786F}">
  <sheetPr>
    <tabColor rgb="FF00B0F0"/>
  </sheetPr>
  <dimension ref="A1:AB38"/>
  <sheetViews>
    <sheetView workbookViewId="0"/>
  </sheetViews>
  <sheetFormatPr defaultColWidth="12.77734375" defaultRowHeight="14.4" x14ac:dyDescent="0.3"/>
  <cols>
    <col min="2" max="2" width="30.77734375" customWidth="1"/>
  </cols>
  <sheetData>
    <row r="1" spans="1:28" x14ac:dyDescent="0.3">
      <c r="A1" s="36" t="s">
        <v>898</v>
      </c>
    </row>
    <row r="3" spans="1:28" ht="45" customHeight="1" x14ac:dyDescent="0.3">
      <c r="A3" s="4" t="s">
        <v>899</v>
      </c>
      <c r="B3" s="4" t="s">
        <v>6</v>
      </c>
      <c r="C3" s="4" t="s">
        <v>900</v>
      </c>
      <c r="D3" s="4" t="s">
        <v>43</v>
      </c>
      <c r="E3" s="4" t="s">
        <v>901</v>
      </c>
      <c r="F3" s="4" t="s">
        <v>526</v>
      </c>
      <c r="G3" s="4" t="s">
        <v>902</v>
      </c>
      <c r="H3" s="4" t="s">
        <v>191</v>
      </c>
      <c r="I3" s="4" t="s">
        <v>903</v>
      </c>
      <c r="J3" s="4" t="s">
        <v>3</v>
      </c>
      <c r="K3" s="4" t="s">
        <v>904</v>
      </c>
      <c r="L3" s="4" t="s">
        <v>545</v>
      </c>
      <c r="M3" s="4" t="s">
        <v>799</v>
      </c>
      <c r="O3" s="4" t="s">
        <v>905</v>
      </c>
      <c r="P3" s="4" t="s">
        <v>492</v>
      </c>
      <c r="Q3" s="4" t="s">
        <v>906</v>
      </c>
      <c r="R3" s="4" t="s">
        <v>529</v>
      </c>
      <c r="S3" s="4" t="s">
        <v>907</v>
      </c>
      <c r="U3" s="4" t="s">
        <v>36</v>
      </c>
      <c r="V3" s="4" t="s">
        <v>908</v>
      </c>
      <c r="W3" s="4" t="s">
        <v>909</v>
      </c>
      <c r="X3" s="4" t="s">
        <v>910</v>
      </c>
      <c r="Z3" s="4" t="s">
        <v>911</v>
      </c>
      <c r="AA3" s="4" t="s">
        <v>9</v>
      </c>
      <c r="AB3" s="4" t="s">
        <v>912</v>
      </c>
    </row>
    <row r="4" spans="1:28" x14ac:dyDescent="0.3">
      <c r="A4" t="s">
        <v>59</v>
      </c>
      <c r="B4" t="s">
        <v>60</v>
      </c>
      <c r="C4">
        <v>5</v>
      </c>
      <c r="D4">
        <v>1</v>
      </c>
      <c r="E4">
        <v>1</v>
      </c>
      <c r="L4" t="s">
        <v>557</v>
      </c>
      <c r="M4" t="s">
        <v>494</v>
      </c>
      <c r="O4" t="s">
        <v>59</v>
      </c>
      <c r="U4" s="115" t="s">
        <v>39</v>
      </c>
      <c r="V4" t="s">
        <v>38</v>
      </c>
      <c r="Z4" t="s">
        <v>11</v>
      </c>
      <c r="AA4" t="s">
        <v>12</v>
      </c>
      <c r="AB4">
        <v>1</v>
      </c>
    </row>
    <row r="5" spans="1:28" x14ac:dyDescent="0.3">
      <c r="A5" t="s">
        <v>212</v>
      </c>
      <c r="B5" t="s">
        <v>214</v>
      </c>
      <c r="C5">
        <v>5</v>
      </c>
      <c r="D5">
        <v>1</v>
      </c>
      <c r="E5">
        <v>1</v>
      </c>
      <c r="L5" t="s">
        <v>557</v>
      </c>
      <c r="M5" t="s">
        <v>494</v>
      </c>
      <c r="O5" t="s">
        <v>212</v>
      </c>
      <c r="U5" s="115" t="s">
        <v>40</v>
      </c>
      <c r="Z5" t="s">
        <v>13</v>
      </c>
      <c r="AA5" t="s">
        <v>152</v>
      </c>
      <c r="AB5">
        <v>1</v>
      </c>
    </row>
    <row r="6" spans="1:28" x14ac:dyDescent="0.3">
      <c r="A6" t="s">
        <v>213</v>
      </c>
      <c r="B6" t="s">
        <v>215</v>
      </c>
      <c r="C6">
        <v>5</v>
      </c>
      <c r="D6">
        <v>1</v>
      </c>
      <c r="E6">
        <v>1</v>
      </c>
      <c r="L6" t="s">
        <v>557</v>
      </c>
      <c r="M6" t="s">
        <v>494</v>
      </c>
      <c r="O6" t="s">
        <v>213</v>
      </c>
      <c r="U6" s="115" t="s">
        <v>41</v>
      </c>
      <c r="Z6" t="s">
        <v>45</v>
      </c>
      <c r="AA6" t="s">
        <v>228</v>
      </c>
      <c r="AB6">
        <v>2</v>
      </c>
    </row>
    <row r="7" spans="1:28" x14ac:dyDescent="0.3">
      <c r="A7" t="s">
        <v>32</v>
      </c>
      <c r="B7" t="s">
        <v>33</v>
      </c>
      <c r="C7">
        <v>2</v>
      </c>
      <c r="D7">
        <v>1</v>
      </c>
      <c r="E7">
        <v>1</v>
      </c>
      <c r="F7" t="s">
        <v>11</v>
      </c>
      <c r="G7">
        <v>3</v>
      </c>
      <c r="H7">
        <v>230</v>
      </c>
      <c r="I7">
        <v>1</v>
      </c>
      <c r="J7">
        <v>2.5</v>
      </c>
      <c r="K7" t="s">
        <v>570</v>
      </c>
      <c r="L7" t="s">
        <v>571</v>
      </c>
      <c r="M7" t="s">
        <v>494</v>
      </c>
      <c r="O7" t="s">
        <v>32</v>
      </c>
      <c r="P7" t="s">
        <v>558</v>
      </c>
      <c r="Q7" t="s">
        <v>498</v>
      </c>
      <c r="R7">
        <v>16</v>
      </c>
      <c r="U7" s="115" t="s">
        <v>42</v>
      </c>
      <c r="V7" t="s">
        <v>37</v>
      </c>
      <c r="Z7" t="s">
        <v>62</v>
      </c>
      <c r="AA7" t="s">
        <v>175</v>
      </c>
      <c r="AB7">
        <v>1</v>
      </c>
    </row>
    <row r="8" spans="1:28" x14ac:dyDescent="0.3">
      <c r="A8" t="s">
        <v>34</v>
      </c>
      <c r="B8" t="s">
        <v>35</v>
      </c>
      <c r="C8">
        <v>1</v>
      </c>
      <c r="D8">
        <v>1</v>
      </c>
      <c r="E8">
        <v>1</v>
      </c>
      <c r="F8" t="s">
        <v>11</v>
      </c>
      <c r="G8">
        <v>3</v>
      </c>
      <c r="H8">
        <v>230</v>
      </c>
      <c r="I8">
        <v>1</v>
      </c>
      <c r="J8">
        <v>1.5</v>
      </c>
      <c r="K8" t="s">
        <v>565</v>
      </c>
      <c r="L8" t="s">
        <v>571</v>
      </c>
      <c r="M8" t="s">
        <v>494</v>
      </c>
      <c r="O8" t="s">
        <v>34</v>
      </c>
      <c r="P8" t="s">
        <v>566</v>
      </c>
      <c r="Q8" t="s">
        <v>494</v>
      </c>
      <c r="R8">
        <v>10</v>
      </c>
      <c r="Z8" t="s">
        <v>140</v>
      </c>
      <c r="AA8" t="s">
        <v>141</v>
      </c>
      <c r="AB8">
        <v>1</v>
      </c>
    </row>
    <row r="9" spans="1:28" x14ac:dyDescent="0.3">
      <c r="A9" t="s">
        <v>216</v>
      </c>
      <c r="B9" t="s">
        <v>217</v>
      </c>
      <c r="C9">
        <v>1</v>
      </c>
      <c r="D9">
        <v>1</v>
      </c>
      <c r="E9">
        <v>1</v>
      </c>
      <c r="K9" t="s">
        <v>565</v>
      </c>
      <c r="L9" t="s">
        <v>571</v>
      </c>
      <c r="M9" t="s">
        <v>494</v>
      </c>
      <c r="O9" t="s">
        <v>216</v>
      </c>
      <c r="P9" t="s">
        <v>566</v>
      </c>
      <c r="Q9" t="s">
        <v>494</v>
      </c>
      <c r="R9">
        <v>10</v>
      </c>
      <c r="Z9" t="s">
        <v>145</v>
      </c>
      <c r="AA9" t="s">
        <v>143</v>
      </c>
      <c r="AB9">
        <v>1</v>
      </c>
    </row>
    <row r="10" spans="1:28" x14ac:dyDescent="0.3">
      <c r="A10" t="s">
        <v>218</v>
      </c>
      <c r="B10" t="s">
        <v>219</v>
      </c>
      <c r="C10">
        <v>2</v>
      </c>
      <c r="D10">
        <v>1</v>
      </c>
      <c r="E10">
        <v>1</v>
      </c>
      <c r="K10" t="s">
        <v>581</v>
      </c>
      <c r="L10" t="s">
        <v>582</v>
      </c>
      <c r="M10" t="s">
        <v>494</v>
      </c>
      <c r="O10" t="s">
        <v>218</v>
      </c>
      <c r="P10" t="s">
        <v>558</v>
      </c>
      <c r="Q10" t="s">
        <v>494</v>
      </c>
      <c r="R10">
        <v>16</v>
      </c>
      <c r="Z10" t="s">
        <v>144</v>
      </c>
      <c r="AA10" t="s">
        <v>146</v>
      </c>
      <c r="AB10">
        <v>2</v>
      </c>
    </row>
    <row r="11" spans="1:28" x14ac:dyDescent="0.3">
      <c r="A11" t="s">
        <v>220</v>
      </c>
      <c r="B11" t="s">
        <v>221</v>
      </c>
      <c r="C11">
        <v>2</v>
      </c>
      <c r="D11">
        <v>1</v>
      </c>
      <c r="E11">
        <v>1</v>
      </c>
      <c r="K11" t="s">
        <v>586</v>
      </c>
      <c r="L11" t="s">
        <v>582</v>
      </c>
      <c r="M11" t="s">
        <v>494</v>
      </c>
      <c r="O11" t="s">
        <v>220</v>
      </c>
      <c r="P11" t="s">
        <v>558</v>
      </c>
      <c r="Q11" t="s">
        <v>494</v>
      </c>
      <c r="R11">
        <v>16</v>
      </c>
      <c r="Z11" t="s">
        <v>148</v>
      </c>
      <c r="AA11" t="s">
        <v>149</v>
      </c>
      <c r="AB11">
        <v>1</v>
      </c>
    </row>
    <row r="12" spans="1:28" x14ac:dyDescent="0.3">
      <c r="A12" t="s">
        <v>205</v>
      </c>
      <c r="B12" t="s">
        <v>222</v>
      </c>
      <c r="C12">
        <v>1</v>
      </c>
      <c r="D12">
        <v>1</v>
      </c>
      <c r="E12">
        <v>1</v>
      </c>
      <c r="K12" t="s">
        <v>581</v>
      </c>
      <c r="L12" t="s">
        <v>582</v>
      </c>
      <c r="M12" t="s">
        <v>494</v>
      </c>
      <c r="O12" t="s">
        <v>205</v>
      </c>
      <c r="P12" t="s">
        <v>583</v>
      </c>
      <c r="Q12" t="s">
        <v>494</v>
      </c>
      <c r="Z12" t="s">
        <v>206</v>
      </c>
      <c r="AA12" t="s">
        <v>208</v>
      </c>
      <c r="AB12">
        <v>2</v>
      </c>
    </row>
    <row r="13" spans="1:28" x14ac:dyDescent="0.3">
      <c r="A13" t="s">
        <v>223</v>
      </c>
      <c r="B13" t="s">
        <v>224</v>
      </c>
      <c r="C13">
        <v>1</v>
      </c>
      <c r="D13">
        <v>1</v>
      </c>
      <c r="E13">
        <v>1</v>
      </c>
      <c r="K13" t="s">
        <v>581</v>
      </c>
      <c r="L13" t="s">
        <v>582</v>
      </c>
      <c r="M13" t="s">
        <v>494</v>
      </c>
      <c r="O13" t="s">
        <v>223</v>
      </c>
      <c r="Z13" t="s">
        <v>209</v>
      </c>
      <c r="AA13" t="s">
        <v>210</v>
      </c>
      <c r="AB13">
        <v>2</v>
      </c>
    </row>
    <row r="14" spans="1:28" x14ac:dyDescent="0.3">
      <c r="A14" t="s">
        <v>156</v>
      </c>
      <c r="B14" t="s">
        <v>61</v>
      </c>
      <c r="C14">
        <v>1</v>
      </c>
      <c r="D14">
        <v>1</v>
      </c>
      <c r="E14">
        <v>1</v>
      </c>
      <c r="K14" t="s">
        <v>589</v>
      </c>
      <c r="L14" t="s">
        <v>571</v>
      </c>
      <c r="M14" t="s">
        <v>494</v>
      </c>
      <c r="O14" t="s">
        <v>156</v>
      </c>
      <c r="P14" t="s">
        <v>575</v>
      </c>
      <c r="Q14" t="s">
        <v>494</v>
      </c>
      <c r="Z14" t="s">
        <v>211</v>
      </c>
      <c r="AA14" t="s">
        <v>196</v>
      </c>
      <c r="AB14">
        <v>2</v>
      </c>
    </row>
    <row r="15" spans="1:28" x14ac:dyDescent="0.3">
      <c r="A15" t="s">
        <v>155</v>
      </c>
      <c r="B15" t="s">
        <v>251</v>
      </c>
      <c r="C15">
        <v>2</v>
      </c>
      <c r="D15">
        <v>1</v>
      </c>
      <c r="E15">
        <v>1</v>
      </c>
      <c r="K15" t="s">
        <v>577</v>
      </c>
      <c r="L15" t="s">
        <v>571</v>
      </c>
      <c r="M15" t="s">
        <v>494</v>
      </c>
      <c r="O15" t="s">
        <v>155</v>
      </c>
      <c r="P15" t="s">
        <v>578</v>
      </c>
      <c r="Q15" t="s">
        <v>498</v>
      </c>
      <c r="Z15" t="s">
        <v>230</v>
      </c>
      <c r="AA15" t="s">
        <v>229</v>
      </c>
    </row>
    <row r="16" spans="1:28" x14ac:dyDescent="0.3">
      <c r="A16" t="s">
        <v>255</v>
      </c>
      <c r="B16" t="s">
        <v>225</v>
      </c>
      <c r="C16">
        <v>1</v>
      </c>
      <c r="D16">
        <v>1</v>
      </c>
      <c r="E16">
        <v>1</v>
      </c>
      <c r="K16" t="s">
        <v>593</v>
      </c>
      <c r="L16" t="s">
        <v>582</v>
      </c>
      <c r="M16" t="s">
        <v>494</v>
      </c>
      <c r="O16" t="s">
        <v>255</v>
      </c>
      <c r="P16" t="s">
        <v>572</v>
      </c>
      <c r="Q16" t="s">
        <v>494</v>
      </c>
    </row>
    <row r="17" spans="1:19" x14ac:dyDescent="0.3">
      <c r="A17" t="s">
        <v>254</v>
      </c>
      <c r="B17" t="s">
        <v>226</v>
      </c>
      <c r="C17">
        <v>1</v>
      </c>
      <c r="D17">
        <v>1</v>
      </c>
      <c r="E17">
        <v>1</v>
      </c>
      <c r="K17" t="s">
        <v>581</v>
      </c>
      <c r="L17" t="s">
        <v>582</v>
      </c>
      <c r="M17" t="s">
        <v>494</v>
      </c>
      <c r="O17" t="s">
        <v>254</v>
      </c>
    </row>
    <row r="18" spans="1:19" x14ac:dyDescent="0.3">
      <c r="A18" t="s">
        <v>207</v>
      </c>
      <c r="B18" t="s">
        <v>227</v>
      </c>
      <c r="C18">
        <v>1</v>
      </c>
      <c r="D18">
        <v>1</v>
      </c>
      <c r="E18">
        <v>1</v>
      </c>
      <c r="K18" t="s">
        <v>593</v>
      </c>
      <c r="L18" t="s">
        <v>571</v>
      </c>
      <c r="M18" t="s">
        <v>494</v>
      </c>
      <c r="O18" t="s">
        <v>207</v>
      </c>
      <c r="P18" t="s">
        <v>575</v>
      </c>
      <c r="Q18" t="s">
        <v>494</v>
      </c>
      <c r="S18">
        <v>2</v>
      </c>
    </row>
    <row r="19" spans="1:19" x14ac:dyDescent="0.3">
      <c r="A19" t="s">
        <v>231</v>
      </c>
      <c r="B19" t="s">
        <v>232</v>
      </c>
      <c r="C19">
        <v>1</v>
      </c>
      <c r="D19">
        <v>2</v>
      </c>
      <c r="E19">
        <v>1</v>
      </c>
      <c r="K19" t="s">
        <v>565</v>
      </c>
      <c r="L19" t="s">
        <v>571</v>
      </c>
      <c r="M19" t="s">
        <v>494</v>
      </c>
      <c r="O19" t="s">
        <v>231</v>
      </c>
      <c r="P19" t="s">
        <v>566</v>
      </c>
      <c r="Q19" t="s">
        <v>494</v>
      </c>
      <c r="R19">
        <v>10</v>
      </c>
    </row>
    <row r="20" spans="1:19" x14ac:dyDescent="0.3">
      <c r="A20" t="s">
        <v>233</v>
      </c>
      <c r="B20" t="s">
        <v>234</v>
      </c>
      <c r="C20">
        <v>1</v>
      </c>
      <c r="D20">
        <v>1</v>
      </c>
      <c r="E20">
        <v>1</v>
      </c>
      <c r="K20" t="s">
        <v>586</v>
      </c>
      <c r="L20" t="s">
        <v>582</v>
      </c>
      <c r="M20" t="s">
        <v>494</v>
      </c>
      <c r="O20" t="s">
        <v>233</v>
      </c>
    </row>
    <row r="21" spans="1:19" x14ac:dyDescent="0.3">
      <c r="A21" t="s">
        <v>256</v>
      </c>
      <c r="B21" t="s">
        <v>235</v>
      </c>
      <c r="C21">
        <v>1</v>
      </c>
      <c r="D21">
        <v>1</v>
      </c>
      <c r="E21">
        <v>1</v>
      </c>
      <c r="K21" t="s">
        <v>585</v>
      </c>
      <c r="L21" t="s">
        <v>571</v>
      </c>
      <c r="M21" t="s">
        <v>494</v>
      </c>
      <c r="O21" t="s">
        <v>256</v>
      </c>
      <c r="P21" t="s">
        <v>575</v>
      </c>
      <c r="Q21" t="s">
        <v>494</v>
      </c>
    </row>
    <row r="22" spans="1:19" x14ac:dyDescent="0.3">
      <c r="A22" t="s">
        <v>236</v>
      </c>
      <c r="B22" t="s">
        <v>237</v>
      </c>
      <c r="C22">
        <v>1</v>
      </c>
      <c r="D22">
        <v>1</v>
      </c>
      <c r="E22">
        <v>1</v>
      </c>
      <c r="K22" t="s">
        <v>589</v>
      </c>
      <c r="L22" t="s">
        <v>602</v>
      </c>
      <c r="M22" t="s">
        <v>494</v>
      </c>
      <c r="O22" t="s">
        <v>236</v>
      </c>
    </row>
    <row r="23" spans="1:19" x14ac:dyDescent="0.3">
      <c r="A23" t="s">
        <v>238</v>
      </c>
      <c r="B23" t="s">
        <v>239</v>
      </c>
      <c r="C23">
        <v>1</v>
      </c>
      <c r="D23">
        <v>1</v>
      </c>
      <c r="E23">
        <v>1</v>
      </c>
      <c r="K23" t="s">
        <v>585</v>
      </c>
      <c r="L23" t="s">
        <v>571</v>
      </c>
      <c r="M23" t="s">
        <v>494</v>
      </c>
      <c r="O23" t="s">
        <v>238</v>
      </c>
      <c r="P23" t="s">
        <v>575</v>
      </c>
      <c r="Q23" t="s">
        <v>494</v>
      </c>
    </row>
    <row r="24" spans="1:19" x14ac:dyDescent="0.3">
      <c r="A24" t="s">
        <v>240</v>
      </c>
      <c r="B24" t="s">
        <v>241</v>
      </c>
      <c r="C24">
        <v>1</v>
      </c>
      <c r="D24">
        <v>1</v>
      </c>
      <c r="E24">
        <v>1</v>
      </c>
      <c r="K24" t="s">
        <v>591</v>
      </c>
      <c r="L24" t="s">
        <v>571</v>
      </c>
      <c r="M24" t="s">
        <v>494</v>
      </c>
      <c r="O24" t="s">
        <v>240</v>
      </c>
      <c r="P24" t="s">
        <v>578</v>
      </c>
      <c r="Q24" t="s">
        <v>498</v>
      </c>
    </row>
    <row r="25" spans="1:19" x14ac:dyDescent="0.3">
      <c r="A25" t="s">
        <v>242</v>
      </c>
      <c r="B25" t="s">
        <v>243</v>
      </c>
      <c r="C25">
        <v>0</v>
      </c>
      <c r="D25">
        <v>1</v>
      </c>
      <c r="E25">
        <v>1</v>
      </c>
      <c r="K25" t="s">
        <v>581</v>
      </c>
      <c r="L25" t="s">
        <v>582</v>
      </c>
      <c r="M25" t="s">
        <v>494</v>
      </c>
      <c r="O25" t="s">
        <v>242</v>
      </c>
    </row>
    <row r="26" spans="1:19" x14ac:dyDescent="0.3">
      <c r="A26" t="s">
        <v>244</v>
      </c>
      <c r="B26" t="s">
        <v>245</v>
      </c>
      <c r="C26">
        <v>0</v>
      </c>
      <c r="D26">
        <v>1</v>
      </c>
      <c r="E26">
        <v>1</v>
      </c>
      <c r="K26" t="s">
        <v>581</v>
      </c>
      <c r="L26" t="s">
        <v>582</v>
      </c>
      <c r="M26" t="s">
        <v>494</v>
      </c>
      <c r="O26" t="s">
        <v>244</v>
      </c>
    </row>
    <row r="27" spans="1:19" x14ac:dyDescent="0.3">
      <c r="A27" t="s">
        <v>246</v>
      </c>
      <c r="B27" t="s">
        <v>247</v>
      </c>
      <c r="C27">
        <v>1</v>
      </c>
      <c r="D27">
        <v>1</v>
      </c>
      <c r="E27">
        <v>1</v>
      </c>
      <c r="L27" t="s">
        <v>557</v>
      </c>
      <c r="M27" t="s">
        <v>494</v>
      </c>
      <c r="O27" t="s">
        <v>246</v>
      </c>
    </row>
    <row r="28" spans="1:19" x14ac:dyDescent="0.3">
      <c r="A28" t="s">
        <v>259</v>
      </c>
      <c r="B28" t="s">
        <v>248</v>
      </c>
      <c r="C28">
        <v>1</v>
      </c>
      <c r="D28">
        <v>1</v>
      </c>
      <c r="E28">
        <v>1</v>
      </c>
      <c r="L28" t="s">
        <v>557</v>
      </c>
      <c r="M28" t="s">
        <v>494</v>
      </c>
      <c r="O28" t="s">
        <v>259</v>
      </c>
    </row>
    <row r="29" spans="1:19" x14ac:dyDescent="0.3">
      <c r="A29" t="s">
        <v>249</v>
      </c>
      <c r="B29" t="s">
        <v>250</v>
      </c>
      <c r="C29">
        <v>1</v>
      </c>
      <c r="D29">
        <v>1</v>
      </c>
      <c r="E29">
        <v>1</v>
      </c>
      <c r="K29" t="s">
        <v>586</v>
      </c>
      <c r="L29" t="s">
        <v>582</v>
      </c>
      <c r="M29" t="s">
        <v>494</v>
      </c>
      <c r="O29" t="s">
        <v>249</v>
      </c>
      <c r="P29" t="s">
        <v>558</v>
      </c>
      <c r="Q29" t="s">
        <v>494</v>
      </c>
      <c r="R29">
        <v>16</v>
      </c>
    </row>
    <row r="30" spans="1:19" x14ac:dyDescent="0.3">
      <c r="A30" t="s">
        <v>253</v>
      </c>
      <c r="B30" t="s">
        <v>252</v>
      </c>
      <c r="C30">
        <v>1</v>
      </c>
      <c r="D30">
        <v>1</v>
      </c>
      <c r="E30">
        <v>1</v>
      </c>
      <c r="K30" t="s">
        <v>581</v>
      </c>
      <c r="L30" t="s">
        <v>582</v>
      </c>
      <c r="M30" t="s">
        <v>494</v>
      </c>
      <c r="O30" t="s">
        <v>253</v>
      </c>
    </row>
    <row r="31" spans="1:19" x14ac:dyDescent="0.3">
      <c r="A31" t="s">
        <v>257</v>
      </c>
      <c r="B31" t="s">
        <v>258</v>
      </c>
      <c r="C31">
        <v>1</v>
      </c>
      <c r="D31">
        <v>1</v>
      </c>
      <c r="E31">
        <v>1</v>
      </c>
      <c r="K31" t="s">
        <v>589</v>
      </c>
      <c r="L31" t="s">
        <v>602</v>
      </c>
      <c r="M31" t="s">
        <v>494</v>
      </c>
      <c r="O31" t="s">
        <v>257</v>
      </c>
      <c r="P31" t="s">
        <v>575</v>
      </c>
      <c r="Q31" t="s">
        <v>494</v>
      </c>
    </row>
    <row r="32" spans="1:19" x14ac:dyDescent="0.3">
      <c r="A32" t="s">
        <v>373</v>
      </c>
      <c r="B32" t="s">
        <v>374</v>
      </c>
      <c r="C32">
        <v>3</v>
      </c>
      <c r="D32">
        <v>1</v>
      </c>
      <c r="E32">
        <v>1</v>
      </c>
      <c r="K32" t="s">
        <v>565</v>
      </c>
      <c r="L32" t="s">
        <v>571</v>
      </c>
      <c r="M32" t="s">
        <v>494</v>
      </c>
      <c r="O32" t="s">
        <v>373</v>
      </c>
      <c r="P32" t="s">
        <v>566</v>
      </c>
      <c r="Q32" t="s">
        <v>494</v>
      </c>
      <c r="R32">
        <v>10</v>
      </c>
    </row>
    <row r="33" spans="1:17" x14ac:dyDescent="0.3">
      <c r="A33" t="s">
        <v>419</v>
      </c>
      <c r="B33" t="s">
        <v>420</v>
      </c>
      <c r="C33">
        <v>1</v>
      </c>
      <c r="D33">
        <v>1</v>
      </c>
      <c r="E33">
        <v>1</v>
      </c>
      <c r="K33" t="s">
        <v>580</v>
      </c>
      <c r="L33" t="s">
        <v>571</v>
      </c>
      <c r="M33" t="s">
        <v>494</v>
      </c>
      <c r="O33" t="s">
        <v>419</v>
      </c>
      <c r="P33" t="s">
        <v>578</v>
      </c>
      <c r="Q33" t="s">
        <v>494</v>
      </c>
    </row>
    <row r="34" spans="1:17" x14ac:dyDescent="0.3">
      <c r="O34" t="s">
        <v>628</v>
      </c>
    </row>
    <row r="35" spans="1:17" x14ac:dyDescent="0.3">
      <c r="O35" t="s">
        <v>510</v>
      </c>
      <c r="P35" t="s">
        <v>575</v>
      </c>
      <c r="Q35" t="s">
        <v>494</v>
      </c>
    </row>
    <row r="36" spans="1:17" x14ac:dyDescent="0.3">
      <c r="O36" t="s">
        <v>514</v>
      </c>
      <c r="P36" t="s">
        <v>572</v>
      </c>
      <c r="Q36" t="s">
        <v>494</v>
      </c>
    </row>
    <row r="37" spans="1:17" x14ac:dyDescent="0.3">
      <c r="O37" t="s">
        <v>515</v>
      </c>
      <c r="P37" t="s">
        <v>568</v>
      </c>
      <c r="Q37" t="s">
        <v>494</v>
      </c>
    </row>
    <row r="38" spans="1:17" x14ac:dyDescent="0.3">
      <c r="O38" t="s">
        <v>517</v>
      </c>
      <c r="P38" t="s">
        <v>568</v>
      </c>
      <c r="Q38" t="s">
        <v>494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F1F7-9FA2-4C69-AFE1-B78718150D32}">
  <sheetPr>
    <tabColor rgb="FFFFF2CC"/>
  </sheetPr>
  <dimension ref="A1:BX10"/>
  <sheetViews>
    <sheetView workbookViewId="0"/>
  </sheetViews>
  <sheetFormatPr defaultColWidth="11.77734375" defaultRowHeight="14.4" outlineLevelCol="1" x14ac:dyDescent="0.3"/>
  <cols>
    <col min="32" max="75" width="0" hidden="1" customWidth="1" outlineLevel="1"/>
    <col min="76" max="76" width="11.77734375" collapsed="1"/>
  </cols>
  <sheetData>
    <row r="1" spans="1:75" s="93" customFormat="1" ht="15.6" x14ac:dyDescent="0.3">
      <c r="B1" s="138" t="s">
        <v>1819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75" s="93" customFormat="1" ht="15" customHeight="1" x14ac:dyDescent="0.3">
      <c r="B2" s="140" t="s">
        <v>1820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75" s="93" customFormat="1" ht="15" customHeight="1" x14ac:dyDescent="0.3">
      <c r="B3" s="140" t="s">
        <v>1821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75" s="93" customFormat="1" ht="15" customHeight="1" x14ac:dyDescent="0.3">
      <c r="B4" s="140" t="s">
        <v>1822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75" s="93" customFormat="1" ht="30" customHeight="1" x14ac:dyDescent="0.3">
      <c r="B5" s="140" t="s">
        <v>1823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75" s="93" customFormat="1" ht="30" customHeight="1" x14ac:dyDescent="0.3">
      <c r="B6" s="140" t="s">
        <v>1824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75" s="93" customFormat="1" x14ac:dyDescent="0.3"/>
    <row r="8" spans="1:75" x14ac:dyDescent="0.3">
      <c r="A8" s="132" t="s">
        <v>1214</v>
      </c>
      <c r="G8" s="132" t="s">
        <v>1215</v>
      </c>
      <c r="U8" s="132" t="s">
        <v>1216</v>
      </c>
    </row>
    <row r="9" spans="1:75" ht="60" customHeight="1" x14ac:dyDescent="0.3">
      <c r="A9" s="130" t="s">
        <v>4</v>
      </c>
      <c r="B9" s="130" t="s">
        <v>913</v>
      </c>
      <c r="C9" s="130" t="s">
        <v>914</v>
      </c>
      <c r="D9" s="130" t="s">
        <v>915</v>
      </c>
      <c r="E9" s="130" t="s">
        <v>916</v>
      </c>
      <c r="F9" s="130" t="s">
        <v>917</v>
      </c>
      <c r="G9" s="130" t="s">
        <v>918</v>
      </c>
      <c r="H9" s="130" t="s">
        <v>919</v>
      </c>
      <c r="I9" s="130" t="s">
        <v>920</v>
      </c>
      <c r="J9" s="130" t="s">
        <v>921</v>
      </c>
      <c r="K9" s="130" t="s">
        <v>922</v>
      </c>
      <c r="L9" s="130" t="s">
        <v>923</v>
      </c>
      <c r="M9" s="130" t="s">
        <v>924</v>
      </c>
      <c r="N9" s="130" t="s">
        <v>902</v>
      </c>
      <c r="O9" s="130" t="s">
        <v>750</v>
      </c>
      <c r="P9" s="130" t="s">
        <v>30</v>
      </c>
      <c r="Q9" s="130" t="s">
        <v>925</v>
      </c>
      <c r="R9" s="130" t="s">
        <v>926</v>
      </c>
      <c r="S9" s="130" t="s">
        <v>927</v>
      </c>
      <c r="T9" s="130" t="s">
        <v>928</v>
      </c>
      <c r="U9" s="131" t="s">
        <v>929</v>
      </c>
      <c r="V9" s="131" t="s">
        <v>930</v>
      </c>
      <c r="W9" s="131" t="s">
        <v>931</v>
      </c>
      <c r="X9" s="131" t="s">
        <v>756</v>
      </c>
      <c r="Y9" s="131" t="s">
        <v>801</v>
      </c>
      <c r="Z9" s="131" t="s">
        <v>758</v>
      </c>
      <c r="AA9" s="131" t="s">
        <v>752</v>
      </c>
      <c r="AB9" s="131" t="s">
        <v>932</v>
      </c>
      <c r="AC9" s="131" t="s">
        <v>933</v>
      </c>
      <c r="AD9" s="131" t="s">
        <v>934</v>
      </c>
      <c r="AE9" s="131" t="s">
        <v>935</v>
      </c>
      <c r="AF9" s="131" t="s">
        <v>936</v>
      </c>
      <c r="AG9" s="131" t="s">
        <v>937</v>
      </c>
      <c r="AH9" s="131" t="s">
        <v>938</v>
      </c>
      <c r="AI9" s="131" t="s">
        <v>939</v>
      </c>
      <c r="AJ9" s="131" t="s">
        <v>940</v>
      </c>
      <c r="AK9" s="131" t="s">
        <v>941</v>
      </c>
      <c r="AL9" s="131" t="s">
        <v>942</v>
      </c>
      <c r="AM9" s="131" t="s">
        <v>943</v>
      </c>
      <c r="AN9" s="131" t="s">
        <v>944</v>
      </c>
      <c r="AO9" s="131" t="s">
        <v>945</v>
      </c>
      <c r="AP9" s="131" t="s">
        <v>946</v>
      </c>
      <c r="AQ9" s="131" t="s">
        <v>947</v>
      </c>
      <c r="AR9" s="131" t="s">
        <v>551</v>
      </c>
      <c r="AS9" s="131" t="s">
        <v>800</v>
      </c>
      <c r="AT9" s="131" t="s">
        <v>760</v>
      </c>
      <c r="AU9" s="131" t="s">
        <v>757</v>
      </c>
      <c r="AV9" s="131" t="s">
        <v>948</v>
      </c>
      <c r="AW9" s="131" t="s">
        <v>949</v>
      </c>
      <c r="AX9" s="131" t="s">
        <v>950</v>
      </c>
      <c r="AY9" s="131" t="s">
        <v>951</v>
      </c>
      <c r="AZ9" s="131" t="s">
        <v>952</v>
      </c>
      <c r="BA9" s="131" t="s">
        <v>953</v>
      </c>
      <c r="BB9" s="131" t="s">
        <v>954</v>
      </c>
      <c r="BC9" s="131" t="s">
        <v>955</v>
      </c>
      <c r="BD9" s="131" t="s">
        <v>956</v>
      </c>
      <c r="BE9" s="131" t="s">
        <v>957</v>
      </c>
      <c r="BF9" s="131" t="s">
        <v>958</v>
      </c>
      <c r="BG9" s="131" t="s">
        <v>959</v>
      </c>
      <c r="BH9" s="131" t="s">
        <v>960</v>
      </c>
      <c r="BI9" s="131" t="s">
        <v>961</v>
      </c>
      <c r="BJ9" s="131" t="s">
        <v>962</v>
      </c>
      <c r="BK9" s="131" t="s">
        <v>963</v>
      </c>
      <c r="BL9" s="131" t="s">
        <v>964</v>
      </c>
      <c r="BM9" s="131" t="s">
        <v>965</v>
      </c>
      <c r="BN9" s="131" t="s">
        <v>966</v>
      </c>
      <c r="BO9" s="131" t="s">
        <v>967</v>
      </c>
      <c r="BP9" s="131" t="s">
        <v>968</v>
      </c>
      <c r="BQ9" s="131" t="s">
        <v>969</v>
      </c>
      <c r="BR9" s="131" t="s">
        <v>970</v>
      </c>
      <c r="BS9" s="131" t="s">
        <v>971</v>
      </c>
      <c r="BT9" s="131" t="s">
        <v>972</v>
      </c>
      <c r="BU9" s="131" t="s">
        <v>973</v>
      </c>
      <c r="BV9" s="131" t="s">
        <v>974</v>
      </c>
      <c r="BW9" s="131" t="s">
        <v>809</v>
      </c>
    </row>
    <row r="10" spans="1:75" x14ac:dyDescent="0.3">
      <c r="A10" t="s">
        <v>975</v>
      </c>
      <c r="F10">
        <v>15</v>
      </c>
      <c r="U10" t="str" cm="1">
        <f t="array" ref="U10">IF(Щиты[[#This Row],[Питается от]]&lt;&gt;"",Щиты[[#This Row],[Питается от]],IFERROR(INDEX(Линии[Щит],Щиты[[#This Row],[_строка фидера]]),""))</f>
        <v/>
      </c>
      <c r="V1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нет данных сети для ТКЗ: введите Iкз от сетевой организации или трансформатор</v>
      </c>
      <c r="W10" t="str" cm="1">
        <f t="array" ref="W10">IF(Щиты[[#This Row],[_строка фидера]]="","",INDEX(Линии[Номер линии],Щиты[[#This Row],[_строка фидера]]))</f>
        <v/>
      </c>
      <c r="X10" s="6">
        <f>SUMIFS(Щиты[_Руст собств],Щиты[Путь],"*|"&amp;Щиты[[#This Row],[Щит]]&amp;"|*")</f>
        <v>0</v>
      </c>
      <c r="Y10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0</v>
      </c>
      <c r="Z10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0</v>
      </c>
      <c r="AA10" s="6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10" s="6" cm="1">
        <f t="array" ref="AB10">SUMPRODUCT(--ISNUMBER(SEARCH("|"&amp;Щиты[Щит]&amp;"|",Щиты[[#This Row],[Путь]])),IFERROR(--Щиты[_ΔU фидера],0)+IFERROR(--Щиты[_ΔU источника],0))</f>
        <v>0</v>
      </c>
      <c r="AC10" s="6" t="str">
        <f>IF(ISNUMBER(Щиты[[#This Row],[Zпетли на шинах, Ом]]),c_min*(Uн_лин*1000/SQRT(3))/Щиты[[#This Row],[Zпетли на шинах, Ом]],"")</f>
        <v/>
      </c>
      <c r="AD10" s="6" t="str">
        <f>IF(ISNUMBER(Щиты[[#This Row],[Zmax на шинах, Ом]]),1.05*(Uн_лин*1000/SQRT(3))/Щиты[[#This Row],[Zmax на шинах, Ом]]/1000,"")</f>
        <v/>
      </c>
      <c r="AE10" t="str" cm="1">
        <f t="array" ref="AE1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III</v>
      </c>
      <c r="AF10" t="str" cm="1">
        <f t="array" ref="AF1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|ЩР|</v>
      </c>
      <c r="AG10" s="6" t="str">
        <f>_xlfn.TEXTBEFORE(MID(Щиты[[#This Row],[Путь]],2,999),"|")</f>
        <v>ЩР</v>
      </c>
      <c r="AH10">
        <f>LEN(Щиты[[#This Row],[Путь]])-LEN(SUBSTITUTE(Щиты[[#This Row],[Путь]],"|",""))-2</f>
        <v>0</v>
      </c>
      <c r="AI10" t="str">
        <f>IFERROR(_xlfn.XMATCH(Щиты[[#This Row],[Щит]],Линии[_фидер]),"")</f>
        <v/>
      </c>
      <c r="AJ10">
        <f>SUMIFS(Линии[_Руст (без Нет)],Линии[Щит],Щиты[[#This Row],[Щит]])</f>
        <v>0</v>
      </c>
      <c r="AK10">
        <f>SUMIFS(Линии[_Руст быт],Линии[Щит],Щиты[[#This Row],[Щит]])</f>
        <v>0</v>
      </c>
      <c r="AL10">
        <f>SUMIFS(Линии[_Рр сил],Линии[Щит],Щиты[[#This Row],[Щит]])</f>
        <v>0</v>
      </c>
      <c r="AM10">
        <f>SUMIFS(Линии[_Руст пост],Линии[Щит],Щиты[[#This Row],[Щит]])</f>
        <v>0</v>
      </c>
      <c r="AN10">
        <f>SUMIFS(Линии[_P для cos],Линии[Щит],Щиты[[#This Row],[Щит]])</f>
        <v>0</v>
      </c>
      <c r="AO10">
        <f>SUMIFS(Линии[_P·cos],Линии[Щит],Щиты[[#This Row],[Щит]])</f>
        <v>0</v>
      </c>
      <c r="AP10">
        <f>SUMIFS(Линии[_Р отопления],Линии[Щит],Щиты[[#This Row],[Щит]])</f>
        <v>0</v>
      </c>
      <c r="AQ10">
        <f>SUMIFS(Линии[_Рр ВНГ],Линии[Щит],Щиты[[#This Row],[Щит]])</f>
        <v>0</v>
      </c>
      <c r="AR10" s="6">
        <f>SUMIFS(Щиты[_быт собств],Щиты[Путь],"*|"&amp;Щиты[[#This Row],[Щит]]&amp;"|*")</f>
        <v>0</v>
      </c>
      <c r="AS10" s="6" cm="1">
        <f t="array" ref="AS1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0" s="6">
        <f>SUMIFS(Щиты[_сил собств],Щиты[Путь],"*|"&amp;Щиты[[#This Row],[Щит]]&amp;"|*")</f>
        <v>0</v>
      </c>
      <c r="AU10" s="6">
        <f>SUMIFS(Щиты[_пост собств],Щиты[Путь],"*|"&amp;Щиты[[#This Row],[Щит]]&amp;"|*")</f>
        <v>0</v>
      </c>
      <c r="AV10" s="6">
        <f>SUMIFS(Щиты[_отоп собств],Щиты[Путь],"*|"&amp;Щиты[[#This Row],[Щит]]&amp;"|*")</f>
        <v>0</v>
      </c>
      <c r="AW10" s="6">
        <f>SUMIFS(Щиты[_внг собств],Щиты[Путь],"*|"&amp;Щиты[[#This Row],[Щит]]&amp;"|*")</f>
        <v>0</v>
      </c>
      <c r="AX10">
        <f>COUNTIFS(Линии[Щит],Щиты[[#This Row],[Щит]],Линии[Группа Кс (итог)],"Сил")</f>
        <v>0</v>
      </c>
      <c r="AY10" s="6" cm="1">
        <f t="array" ref="AY1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0" s="6">
        <f>IF(Методика="нормы 2026",IF(AND(Щиты[[#This Row],[Руст быт, кВт]]&gt;0,Щиты[[#This Row],[Рр сил, кВт]]&gt;0),Ко_сил,1),Ко_сил)</f>
        <v>1</v>
      </c>
      <c r="BA10" s="6">
        <f>IF(Щиты[[#This Row],[Руст, кВт]]=0,0,Щиты[[#This Row],[Рр, кВт]]/Щиты[[#This Row],[Руст, кВт]])</f>
        <v>0</v>
      </c>
      <c r="BB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</v>
      </c>
      <c r="BC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10" t="str" cm="1">
        <f t="array" ref="BE10">IF(Щиты[[#This Row],[_строка фидера]]="","",INDEX(Линии[ΔU, %],Щиты[[#This Row],[_строка фидера]]))</f>
        <v/>
      </c>
      <c r="BF1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0" t="str">
        <f>IF(Щиты[[#This Row],[_Zсети]]="","",Щиты[[#This Row],[_Zсети]]+Щиты[[#This Row],[_петля пит. кабеля]])</f>
        <v/>
      </c>
      <c r="BK10" t="str" cm="1">
        <f t="array" ref="BK10">IF(Щиты[[#This Row],[_строка фидера]]="","",INDEX(Линии[_Zкабеля],Щиты[[#This Row],[_строка фидера]]))</f>
        <v/>
      </c>
      <c r="BL10" s="6" t="str" cm="1">
        <f t="array" ref="BL1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0" t="str" cm="1">
        <f t="array" ref="BO10">IF(Щиты[[#This Row],[_строка фидера]]="","",INDEX(Линии[_Zmax кабеля],Щиты[[#This Row],[_строка фидера]]))</f>
        <v/>
      </c>
      <c r="BP10" s="6" t="str" cm="1">
        <f t="array" ref="BP1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0">
        <f>_xlfn.MAXIFS(Линии[_ранг для фидера],Линии[Щит],Щиты[[#This Row],[Щит]])</f>
        <v>0</v>
      </c>
      <c r="BR10" t="str" cm="1">
        <f t="array" ref="BR10">IFERROR(INDEX({"III","II","I","I особая"},MAX(1,_xlfn.MAXIFS(Щиты[_ранг собств],Щиты[Путь],"*|"&amp;Щиты[[#This Row],[Щит]]&amp;"|*"))),"III")</f>
        <v>III</v>
      </c>
      <c r="BS10" t="str" cm="1">
        <f t="array" ref="BS10">IF(Щиты[[#This Row],[_строка фидера]]="","",INDEX(Линии[Категория (итог)],Щиты[[#This Row],[_строка фидера]]))</f>
        <v/>
      </c>
      <c r="BT10" s="6">
        <f>_xlfn.MAXIFS(Линии[Iпуск, А],Линии[Щит],Щиты[[#This Row],[Щит]])</f>
        <v>0</v>
      </c>
      <c r="BU10" t="str" cm="1">
        <f t="array" ref="BU10">IF(Щиты[[#This Row],[_строка фидера]]="","",INDEX(Линии[Источник для режимов],Щиты[[#This Row],[_строка фидера]]))</f>
        <v/>
      </c>
      <c r="BV10" t="str" cm="1">
        <f t="array" ref="BV10">IF(Щиты[[#This Row],[_строка фидера]]="","",INDEX(Линии[Пожарная (итог)],Щиты[[#This Row],[_строка фидера]]))</f>
        <v/>
      </c>
      <c r="BW10">
        <f>COUNTIFS(Линии[Щит],Щиты[[#This Row],[Щит]],Линии[Категория: проверка],"НЕ ОБЕСПЕЧЕНА")</f>
        <v>0</v>
      </c>
    </row>
  </sheetData>
  <mergeCells count="5">
    <mergeCell ref="B2:M2"/>
    <mergeCell ref="B3:M3"/>
    <mergeCell ref="B4:M4"/>
    <mergeCell ref="B5:M5"/>
    <mergeCell ref="B6:M6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CA14-8004-4B6B-A9F3-A45AB6AADF06}">
  <sheetPr>
    <tabColor rgb="FFED7D31"/>
  </sheetPr>
  <dimension ref="B1:S300"/>
  <sheetViews>
    <sheetView workbookViewId="0"/>
  </sheetViews>
  <sheetFormatPr defaultRowHeight="14.4" x14ac:dyDescent="0.3"/>
  <cols>
    <col min="2" max="2" width="34.77734375" customWidth="1"/>
    <col min="3" max="3" width="22.77734375" customWidth="1"/>
    <col min="4" max="4" width="6.77734375" customWidth="1"/>
    <col min="6" max="19" width="11.77734375" customWidth="1"/>
  </cols>
  <sheetData>
    <row r="1" spans="2:19" ht="18" x14ac:dyDescent="0.35">
      <c r="B1" s="113" t="s">
        <v>1181</v>
      </c>
    </row>
    <row r="3" spans="2:19" ht="28.8" x14ac:dyDescent="0.3">
      <c r="B3" t="s">
        <v>1136</v>
      </c>
      <c r="C3" s="114" t="s">
        <v>975</v>
      </c>
      <c r="F3" s="119" t="s">
        <v>4</v>
      </c>
      <c r="G3" s="119" t="s">
        <v>913</v>
      </c>
      <c r="H3" s="119" t="s">
        <v>756</v>
      </c>
      <c r="I3" s="119" t="s">
        <v>953</v>
      </c>
      <c r="J3" s="119" t="s">
        <v>801</v>
      </c>
      <c r="K3" s="119" t="s">
        <v>752</v>
      </c>
      <c r="L3" s="119" t="s">
        <v>758</v>
      </c>
      <c r="M3" s="119" t="s">
        <v>954</v>
      </c>
      <c r="N3" s="119" t="s">
        <v>955</v>
      </c>
      <c r="O3" s="119" t="s">
        <v>956</v>
      </c>
      <c r="P3" s="119" t="s">
        <v>932</v>
      </c>
      <c r="Q3" s="119" t="s">
        <v>1198</v>
      </c>
      <c r="R3" s="119" t="s">
        <v>1199</v>
      </c>
      <c r="S3" s="119" t="s">
        <v>767</v>
      </c>
    </row>
    <row r="4" spans="2:19" x14ac:dyDescent="0.3">
      <c r="B4" s="128" t="s">
        <v>913</v>
      </c>
      <c r="C4" s="129" t="str">
        <f>_xlfn.XLOOKUP($C$3,Щиты[Щит],Щиты[Питается от (итог)],"")</f>
        <v/>
      </c>
      <c r="D4" s="128"/>
      <c r="F4" t="str" cm="1">
        <f t="array" ref="F4:S4">_xlfn.HSTACK(Щиты[Щит],Щиты[Питается от (итог)],Щиты[Руст, кВт],Щиты[Кс итог],Щиты[Рр, кВт],Щиты[cos φ],Щиты[Iр, А],Щиты[P L1, кВт],Щиты[P L2, кВт],Щиты[P L3, кВт],Щиты[ΔU до шин, %],Щиты[Iкз min на шинах, А],Щиты[Iкз max на шинах, кА],Щиты[Категория шины «Ввод»])</f>
        <v>ЩР</v>
      </c>
      <c r="G4" t="str">
        <v/>
      </c>
      <c r="H4" s="6">
        <v>0</v>
      </c>
      <c r="I4" s="6">
        <v>0</v>
      </c>
      <c r="J4" s="6">
        <v>0</v>
      </c>
      <c r="K4" s="6">
        <v>0.95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 t="str">
        <v/>
      </c>
      <c r="R4" s="6" t="str">
        <v/>
      </c>
      <c r="S4" t="str">
        <v>III</v>
      </c>
    </row>
    <row r="5" spans="2:19" x14ac:dyDescent="0.3">
      <c r="B5" s="128" t="s">
        <v>768</v>
      </c>
      <c r="C5" s="129">
        <f>_xlfn.XLOOKUP($C$3,Щиты[Щит],Щиты[Руст, кВт],"")</f>
        <v>0</v>
      </c>
      <c r="D5" s="128" t="s">
        <v>18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2:19" x14ac:dyDescent="0.3">
      <c r="B6" s="128" t="s">
        <v>1182</v>
      </c>
      <c r="C6" s="129">
        <f>_xlfn.XLOOKUP($C$3,Щиты[Щит],Щиты[Руст быт, кВт],"")</f>
        <v>0</v>
      </c>
      <c r="D6" s="128" t="s">
        <v>18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9" x14ac:dyDescent="0.3">
      <c r="B7" s="128" t="s">
        <v>1183</v>
      </c>
      <c r="C7" s="129">
        <f>_xlfn.XLOOKUP($C$3,Щиты[Щит],Щиты[Кс быт],"")</f>
        <v>0.8</v>
      </c>
      <c r="D7" s="128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9" x14ac:dyDescent="0.3">
      <c r="B8" s="128" t="s">
        <v>1184</v>
      </c>
      <c r="C8" s="129">
        <f>_xlfn.XLOOKUP($C$3,Щиты[Щит],Щиты[Рр сил, кВт],"")</f>
        <v>0</v>
      </c>
      <c r="D8" s="128" t="s">
        <v>18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2:19" x14ac:dyDescent="0.3">
      <c r="B9" s="128" t="s">
        <v>1185</v>
      </c>
      <c r="C9" s="129">
        <f>_xlfn.XLOOKUP($C$3,Щиты[Щит],Щиты[Руст пост, кВт],"")</f>
        <v>0</v>
      </c>
      <c r="D9" s="128" t="s">
        <v>18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9" x14ac:dyDescent="0.3">
      <c r="B10" s="128" t="s">
        <v>1186</v>
      </c>
      <c r="C10" s="129">
        <f>_xlfn.XLOOKUP($C$3,Щиты[Щит],Щиты[Р отопления, кВт],"")</f>
        <v>0</v>
      </c>
      <c r="D10" s="128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9" x14ac:dyDescent="0.3">
      <c r="B11" s="128" t="s">
        <v>1187</v>
      </c>
      <c r="C11" s="129">
        <f>_xlfn.XLOOKUP($C$3,Щиты[Щит],Щиты[Рр ВНГ, кВт],"")</f>
        <v>0</v>
      </c>
      <c r="D11" s="128" t="s">
        <v>18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2:19" x14ac:dyDescent="0.3">
      <c r="B12" s="128" t="s">
        <v>952</v>
      </c>
      <c r="C12" s="129">
        <f>_xlfn.XLOOKUP($C$3,Щиты[Щит],Щиты[Ко],"")</f>
        <v>1</v>
      </c>
      <c r="D12" s="12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9" x14ac:dyDescent="0.3">
      <c r="B13" s="128" t="s">
        <v>769</v>
      </c>
      <c r="C13" s="129">
        <f>_xlfn.XLOOKUP($C$3,Щиты[Щит],Щиты[Рр, кВт],"")</f>
        <v>0</v>
      </c>
      <c r="D13" s="128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2:19" x14ac:dyDescent="0.3">
      <c r="B14" s="128" t="s">
        <v>1188</v>
      </c>
      <c r="C14" s="129">
        <f>_xlfn.XLOOKUP($C$3,Щиты[Щит],Щиты[Кс итог],"")</f>
        <v>0</v>
      </c>
      <c r="D14" s="12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19" x14ac:dyDescent="0.3">
      <c r="B15" s="128" t="s">
        <v>752</v>
      </c>
      <c r="C15" s="129">
        <f>_xlfn.XLOOKUP($C$3,Щиты[Щит],Щиты[cos φ],"")</f>
        <v>0.95</v>
      </c>
      <c r="D15" s="12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2:19" x14ac:dyDescent="0.3">
      <c r="B16" s="128" t="s">
        <v>1189</v>
      </c>
      <c r="C16" s="129">
        <f>IFERROR(C13*TAN(ACOS(C15)),"")</f>
        <v>0</v>
      </c>
      <c r="D16" s="128" t="s">
        <v>1190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2:18" x14ac:dyDescent="0.3">
      <c r="B17" s="128" t="s">
        <v>1191</v>
      </c>
      <c r="C17" s="129">
        <f>IFERROR(SQRT(C13^2+C16^2),"")</f>
        <v>0</v>
      </c>
      <c r="D17" s="128" t="s">
        <v>749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18" x14ac:dyDescent="0.3">
      <c r="B18" s="128" t="s">
        <v>1192</v>
      </c>
      <c r="C18" s="129">
        <f>_xlfn.XLOOKUP($C$3,Щиты[Щит],Щиты[Iр, А],"")</f>
        <v>0</v>
      </c>
      <c r="D18" s="128" t="s">
        <v>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18" x14ac:dyDescent="0.3">
      <c r="B19" s="128" t="s">
        <v>1193</v>
      </c>
      <c r="C19" s="129" t="str">
        <f>IFERROR(FIXED(_xlfn.XLOOKUP($C$3,Щиты[Щит],Щиты[P L1, кВт],""),2)&amp;" / "&amp;FIXED(_xlfn.XLOOKUP($C$3,Щиты[Щит],Щиты[P L2, кВт],""),2)&amp;" / "&amp;FIXED(_xlfn.XLOOKUP($C$3,Щиты[Щит],Щиты[P L3, кВт],""),2),"")</f>
        <v>0,00 / 0,00 / 0,00</v>
      </c>
      <c r="D19" s="128" t="s">
        <v>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18" x14ac:dyDescent="0.3">
      <c r="B20" s="128" t="s">
        <v>1194</v>
      </c>
      <c r="C20" s="129" t="str">
        <f>IFERROR(FIXED(_xlfn.XLOOKUP($C$3,Щиты[Щит],Щиты[P L1, кВт],"")*C14,2)&amp;" / "&amp;FIXED(_xlfn.XLOOKUP($C$3,Щиты[Щит],Щиты[P L2, кВт],"")*C14,2)&amp;" / "&amp;FIXED(_xlfn.XLOOKUP($C$3,Щиты[Щит],Щиты[P L3, кВт],"")*C14,2),"")</f>
        <v>0,00 / 0,00 / 0,00</v>
      </c>
      <c r="D20" s="128" t="s">
        <v>18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2:18" x14ac:dyDescent="0.3">
      <c r="B21" s="128" t="s">
        <v>1195</v>
      </c>
      <c r="C21" s="129" t="str">
        <f>IFERROR(_xlfn.LET(_xlpm.a,_xlfn.XLOOKUP($C$3,Щиты[Щит],Щиты[P L1, кВт],""),_xlpm.b,_xlfn.XLOOKUP($C$3,Щиты[Щит],Щиты[P L2, кВт],""),_xlpm.cc,_xlfn.XLOOKUP($C$3,Щиты[Щит],Щиты[P L3, кВт],""),(MAX(_xlpm.a,_xlpm.b,_xlpm.cc)-MIN(_xlpm.a,_xlpm.b,_xlpm.cc))/MAX(_xlpm.a,_xlpm.b,_xlpm.cc)*100),"")</f>
        <v/>
      </c>
      <c r="D21" s="128" t="s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8" x14ac:dyDescent="0.3">
      <c r="B22" s="128" t="s">
        <v>1196</v>
      </c>
      <c r="C22" s="129">
        <f>_xlfn.XLOOKUP($C$3,Щиты[Щит],Щиты[Iпуск max, А],"")</f>
        <v>0</v>
      </c>
      <c r="D22" s="128" t="s">
        <v>20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8" x14ac:dyDescent="0.3">
      <c r="B23" s="128" t="s">
        <v>777</v>
      </c>
      <c r="C23" s="129" t="str">
        <f>IFERROR(IF((TAN(ACOS(C15))-0.35)*C13&lt;50,"не требуется (&lt; 50 квар, СП 256 п. 7.3)",FIXED((TAN(ACOS(C15))-0.35)*C13,1)&amp;" квар"),"")</f>
        <v>не требуется (&lt; 50 квар, СП 256 п. 7.3)</v>
      </c>
      <c r="D23" s="1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8" x14ac:dyDescent="0.3">
      <c r="B24" s="128" t="s">
        <v>1197</v>
      </c>
      <c r="C24" s="129">
        <f>_xlfn.XLOOKUP($C$3,Щиты[Щит],Щиты[ΔU до шин, %],"")</f>
        <v>0</v>
      </c>
      <c r="D24" s="128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x14ac:dyDescent="0.3">
      <c r="B25" s="128" t="s">
        <v>754</v>
      </c>
      <c r="C25" s="129" t="str">
        <f>_xlfn.XLOOKUP($C$3,Щиты[Щит],Щиты[Iкз min на шинах, А],"")</f>
        <v/>
      </c>
      <c r="D25" s="128" t="s">
        <v>20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8" x14ac:dyDescent="0.3">
      <c r="B26" s="128" t="s">
        <v>755</v>
      </c>
      <c r="C26" s="129" t="str">
        <f>_xlfn.XLOOKUP($C$3,Щиты[Щит],Щиты[Iкз max на шинах, кА],"")</f>
        <v/>
      </c>
      <c r="D26" s="128" t="s">
        <v>748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8" x14ac:dyDescent="0.3">
      <c r="B27" s="128" t="s">
        <v>935</v>
      </c>
      <c r="C27" s="129" t="str">
        <f>_xlfn.XLOOKUP($C$3,Щиты[Щит],Щиты[Категория шины «Ввод»],"")</f>
        <v>III</v>
      </c>
      <c r="D27" s="1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x14ac:dyDescent="0.3">
      <c r="C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8" x14ac:dyDescent="0.3">
      <c r="B29" s="116" t="s">
        <v>1200</v>
      </c>
      <c r="C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8" x14ac:dyDescent="0.3">
      <c r="C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8" x14ac:dyDescent="0.3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8" x14ac:dyDescent="0.3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3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3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3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3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3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3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3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3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3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3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3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3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3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3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3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3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3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3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3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3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3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3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3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3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3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3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3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8:18" x14ac:dyDescent="0.3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8:18" x14ac:dyDescent="0.3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8:18" x14ac:dyDescent="0.3"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8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8:18" x14ac:dyDescent="0.3"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8:18" x14ac:dyDescent="0.3"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8:18" x14ac:dyDescent="0.3"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8:18" x14ac:dyDescent="0.3"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8:18" x14ac:dyDescent="0.3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8:18" x14ac:dyDescent="0.3"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8:18" x14ac:dyDescent="0.3"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8:18" x14ac:dyDescent="0.3"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8:18" x14ac:dyDescent="0.3"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8:18" x14ac:dyDescent="0.3"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8:18" x14ac:dyDescent="0.3"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8:18" x14ac:dyDescent="0.3"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8:18" x14ac:dyDescent="0.3"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8:18" x14ac:dyDescent="0.3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8:18" x14ac:dyDescent="0.3"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8:18" x14ac:dyDescent="0.3"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8:18" x14ac:dyDescent="0.3"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8:18" x14ac:dyDescent="0.3"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8:18" x14ac:dyDescent="0.3"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8:18" x14ac:dyDescent="0.3"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8:18" x14ac:dyDescent="0.3"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8:18" x14ac:dyDescent="0.3"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8:18" x14ac:dyDescent="0.3"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8:18" x14ac:dyDescent="0.3"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8:18" x14ac:dyDescent="0.3"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8:18" x14ac:dyDescent="0.3"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8:18" x14ac:dyDescent="0.3"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8:18" x14ac:dyDescent="0.3"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8:18" x14ac:dyDescent="0.3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8:18" x14ac:dyDescent="0.3"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8:18" x14ac:dyDescent="0.3"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8:18" x14ac:dyDescent="0.3"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8:18" x14ac:dyDescent="0.3"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8:18" x14ac:dyDescent="0.3"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8:18" x14ac:dyDescent="0.3"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8:18" x14ac:dyDescent="0.3"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8:18" x14ac:dyDescent="0.3"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8:18" x14ac:dyDescent="0.3"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8:18" x14ac:dyDescent="0.3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8:18" x14ac:dyDescent="0.3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8:18" x14ac:dyDescent="0.3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8:18" x14ac:dyDescent="0.3"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8:18" x14ac:dyDescent="0.3"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8:18" x14ac:dyDescent="0.3"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8:18" x14ac:dyDescent="0.3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8:18" x14ac:dyDescent="0.3"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8:18" x14ac:dyDescent="0.3"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8:18" x14ac:dyDescent="0.3"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8:18" x14ac:dyDescent="0.3"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8:18" x14ac:dyDescent="0.3"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8:18" x14ac:dyDescent="0.3"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8:18" x14ac:dyDescent="0.3"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8:18" x14ac:dyDescent="0.3"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8:18" x14ac:dyDescent="0.3"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8:18" x14ac:dyDescent="0.3"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8:18" x14ac:dyDescent="0.3"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8:18" x14ac:dyDescent="0.3"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8:18" x14ac:dyDescent="0.3"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8:18" x14ac:dyDescent="0.3"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8:18" x14ac:dyDescent="0.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8:18" x14ac:dyDescent="0.3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8:18" x14ac:dyDescent="0.3"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8:18" x14ac:dyDescent="0.3"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8:18" x14ac:dyDescent="0.3"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8:18" x14ac:dyDescent="0.3"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8:18" x14ac:dyDescent="0.3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8:18" x14ac:dyDescent="0.3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8:18" x14ac:dyDescent="0.3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8:18" x14ac:dyDescent="0.3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8:18" x14ac:dyDescent="0.3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8:18" x14ac:dyDescent="0.3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8:18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8:18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8:18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8:18" x14ac:dyDescent="0.3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8:18" x14ac:dyDescent="0.3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8:18" x14ac:dyDescent="0.3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8:18" x14ac:dyDescent="0.3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8:18" x14ac:dyDescent="0.3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8:18" x14ac:dyDescent="0.3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8:18" x14ac:dyDescent="0.3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8:18" x14ac:dyDescent="0.3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8:18" x14ac:dyDescent="0.3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8:18" x14ac:dyDescent="0.3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8:18" x14ac:dyDescent="0.3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8:18" x14ac:dyDescent="0.3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8:18" x14ac:dyDescent="0.3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8:18" x14ac:dyDescent="0.3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8:18" x14ac:dyDescent="0.3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8:18" x14ac:dyDescent="0.3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8:18" x14ac:dyDescent="0.3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8:18" x14ac:dyDescent="0.3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8:18" x14ac:dyDescent="0.3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8:18" x14ac:dyDescent="0.3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8:18" x14ac:dyDescent="0.3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8:18" x14ac:dyDescent="0.3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8:18" x14ac:dyDescent="0.3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8:18" x14ac:dyDescent="0.3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8:18" x14ac:dyDescent="0.3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8:18" x14ac:dyDescent="0.3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8:18" x14ac:dyDescent="0.3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8:18" x14ac:dyDescent="0.3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8:18" x14ac:dyDescent="0.3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8:18" x14ac:dyDescent="0.3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8:18" x14ac:dyDescent="0.3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8:18" x14ac:dyDescent="0.3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8:18" x14ac:dyDescent="0.3"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8:18" x14ac:dyDescent="0.3"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8:18" x14ac:dyDescent="0.3"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8:18" x14ac:dyDescent="0.3"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8:18" x14ac:dyDescent="0.3"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8:18" x14ac:dyDescent="0.3"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8:18" x14ac:dyDescent="0.3"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8:18" x14ac:dyDescent="0.3"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8:18" x14ac:dyDescent="0.3"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8:18" x14ac:dyDescent="0.3"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8:18" x14ac:dyDescent="0.3"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8:18" x14ac:dyDescent="0.3"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8:18" x14ac:dyDescent="0.3"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8:18" x14ac:dyDescent="0.3"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8:18" x14ac:dyDescent="0.3"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8:18" x14ac:dyDescent="0.3"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8:18" x14ac:dyDescent="0.3"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8:18" x14ac:dyDescent="0.3"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8:18" x14ac:dyDescent="0.3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8:18" x14ac:dyDescent="0.3"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8:18" x14ac:dyDescent="0.3"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8:18" x14ac:dyDescent="0.3"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8:18" x14ac:dyDescent="0.3"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8:18" x14ac:dyDescent="0.3"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8:18" x14ac:dyDescent="0.3"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8:18" x14ac:dyDescent="0.3"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8:18" x14ac:dyDescent="0.3"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8:18" x14ac:dyDescent="0.3"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8:18" x14ac:dyDescent="0.3"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8:18" x14ac:dyDescent="0.3"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8:18" x14ac:dyDescent="0.3"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8:18" x14ac:dyDescent="0.3"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8:18" x14ac:dyDescent="0.3"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8:18" x14ac:dyDescent="0.3"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8:18" x14ac:dyDescent="0.3"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8:18" x14ac:dyDescent="0.3"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8:18" x14ac:dyDescent="0.3"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8:18" x14ac:dyDescent="0.3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8:18" x14ac:dyDescent="0.3"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8:18" x14ac:dyDescent="0.3"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8:18" x14ac:dyDescent="0.3"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8:18" x14ac:dyDescent="0.3"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8:18" x14ac:dyDescent="0.3"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8:18" x14ac:dyDescent="0.3"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8:18" x14ac:dyDescent="0.3"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8:18" x14ac:dyDescent="0.3"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8:18" x14ac:dyDescent="0.3"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8:18" x14ac:dyDescent="0.3"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8:18" x14ac:dyDescent="0.3"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8:18" x14ac:dyDescent="0.3"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8:18" x14ac:dyDescent="0.3"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8:18" x14ac:dyDescent="0.3"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8:18" x14ac:dyDescent="0.3"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8:18" x14ac:dyDescent="0.3"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8:18" x14ac:dyDescent="0.3"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8:18" x14ac:dyDescent="0.3"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8:18" x14ac:dyDescent="0.3"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8:18" x14ac:dyDescent="0.3"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8:18" x14ac:dyDescent="0.3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8:18" x14ac:dyDescent="0.3"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8:18" x14ac:dyDescent="0.3"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8:18" x14ac:dyDescent="0.3"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8:18" x14ac:dyDescent="0.3"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8:18" x14ac:dyDescent="0.3"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8:18" x14ac:dyDescent="0.3"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8:18" x14ac:dyDescent="0.3"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8:18" x14ac:dyDescent="0.3"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8:18" x14ac:dyDescent="0.3"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8:18" x14ac:dyDescent="0.3"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8:18" x14ac:dyDescent="0.3"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8:18" x14ac:dyDescent="0.3"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8:18" x14ac:dyDescent="0.3"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8:18" x14ac:dyDescent="0.3"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8:18" x14ac:dyDescent="0.3"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8:18" x14ac:dyDescent="0.3"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8:18" x14ac:dyDescent="0.3"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8:18" x14ac:dyDescent="0.3"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8:18" x14ac:dyDescent="0.3"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8:18" x14ac:dyDescent="0.3"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8:18" x14ac:dyDescent="0.3"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8:18" x14ac:dyDescent="0.3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8:18" x14ac:dyDescent="0.3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8:18" x14ac:dyDescent="0.3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8:18" x14ac:dyDescent="0.3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8:18" x14ac:dyDescent="0.3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8:18" x14ac:dyDescent="0.3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8:18" x14ac:dyDescent="0.3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8:18" x14ac:dyDescent="0.3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8:18" x14ac:dyDescent="0.3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8:18" x14ac:dyDescent="0.3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8:18" x14ac:dyDescent="0.3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8:18" x14ac:dyDescent="0.3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8:18" x14ac:dyDescent="0.3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8:18" x14ac:dyDescent="0.3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8:18" x14ac:dyDescent="0.3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8:18" x14ac:dyDescent="0.3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8:18" x14ac:dyDescent="0.3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8:18" x14ac:dyDescent="0.3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8:18" x14ac:dyDescent="0.3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8:18" x14ac:dyDescent="0.3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8:18" x14ac:dyDescent="0.3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8:18" x14ac:dyDescent="0.3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8:18" x14ac:dyDescent="0.3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8:18" x14ac:dyDescent="0.3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8:18" x14ac:dyDescent="0.3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8:18" x14ac:dyDescent="0.3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8:18" x14ac:dyDescent="0.3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8:18" x14ac:dyDescent="0.3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8:18" x14ac:dyDescent="0.3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8:18" x14ac:dyDescent="0.3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8:18" x14ac:dyDescent="0.3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8:18" x14ac:dyDescent="0.3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8:18" x14ac:dyDescent="0.3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8:18" x14ac:dyDescent="0.3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8:18" x14ac:dyDescent="0.3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8:18" x14ac:dyDescent="0.3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8:18" x14ac:dyDescent="0.3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8:18" x14ac:dyDescent="0.3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8:18" x14ac:dyDescent="0.3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8:18" x14ac:dyDescent="0.3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8:18" x14ac:dyDescent="0.3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8:18" x14ac:dyDescent="0.3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8:18" x14ac:dyDescent="0.3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8:18" x14ac:dyDescent="0.3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8:18" x14ac:dyDescent="0.3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8:18" x14ac:dyDescent="0.3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8:18" x14ac:dyDescent="0.3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8:18" x14ac:dyDescent="0.3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8:18" x14ac:dyDescent="0.3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8:18" x14ac:dyDescent="0.3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8:18" x14ac:dyDescent="0.3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</sheetData>
  <dataValidations count="1">
    <dataValidation type="list" allowBlank="1" showInputMessage="1" showErrorMessage="1" sqref="C3" xr:uid="{5B81ADDE-A379-43F9-B48C-31B17B4E13BB}">
      <formula1>Список_щитов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EF38-6987-4C6C-9725-B52AE0A2D34B}">
  <sheetPr>
    <tabColor rgb="FFFFF2CC"/>
  </sheetPr>
  <dimension ref="A1:M8"/>
  <sheetViews>
    <sheetView workbookViewId="0"/>
  </sheetViews>
  <sheetFormatPr defaultRowHeight="14.4" x14ac:dyDescent="0.3"/>
  <cols>
    <col min="1" max="3" width="18.77734375" customWidth="1"/>
  </cols>
  <sheetData>
    <row r="1" spans="1:13" s="93" customFormat="1" ht="15.6" x14ac:dyDescent="0.3">
      <c r="B1" s="138" t="s">
        <v>1825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s="93" customFormat="1" ht="15" customHeight="1" x14ac:dyDescent="0.3">
      <c r="B2" s="140" t="s">
        <v>1826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s="93" customFormat="1" ht="30" customHeight="1" x14ac:dyDescent="0.3">
      <c r="B3" s="140" t="s">
        <v>1827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s="93" customFormat="1" ht="30" customHeight="1" x14ac:dyDescent="0.3">
      <c r="B4" s="140" t="s">
        <v>1828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s="93" customFormat="1" ht="30" customHeight="1" x14ac:dyDescent="0.3">
      <c r="B5" s="140" t="s">
        <v>1829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s="93" customFormat="1" x14ac:dyDescent="0.3"/>
    <row r="7" spans="1:13" x14ac:dyDescent="0.3">
      <c r="A7" s="36" t="s">
        <v>976</v>
      </c>
    </row>
    <row r="8" spans="1:13" x14ac:dyDescent="0.3">
      <c r="A8" t="s">
        <v>813</v>
      </c>
      <c r="B8" t="s">
        <v>4</v>
      </c>
      <c r="C8" t="s">
        <v>977</v>
      </c>
    </row>
  </sheetData>
  <mergeCells count="4">
    <mergeCell ref="B2:M2"/>
    <mergeCell ref="B3:M3"/>
    <mergeCell ref="B4:M4"/>
    <mergeCell ref="B5:M5"/>
  </mergeCells>
  <dataValidations count="1">
    <dataValidation type="list" allowBlank="1" showInputMessage="1" showErrorMessage="1" sqref="C9" xr:uid="{F458F1E9-D590-4C71-A7B0-332DD2D7A184}">
      <formula1>"Ввод 1,Ввод 2,Ввод 3,ИБП,ДГУ,Одиночная"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12C5-31FD-4916-ACB2-A5560E4CF804}">
  <sheetPr>
    <tabColor rgb="FFFFF2CC"/>
  </sheetPr>
  <dimension ref="A1:GZ3"/>
  <sheetViews>
    <sheetView workbookViewId="0">
      <pane xSplit="3" ySplit="2" topLeftCell="D3" activePane="bottomRight" state="frozenSplit"/>
      <selection pane="bottomLeft" activeCell="A3" sqref="A3"/>
      <selection pane="topRight" activeCell="D1" sqref="D1"/>
      <selection pane="bottomRight"/>
    </sheetView>
  </sheetViews>
  <sheetFormatPr defaultColWidth="11.77734375" defaultRowHeight="14.4" outlineLevelCol="1" x14ac:dyDescent="0.3"/>
  <cols>
    <col min="45" max="57" width="0" hidden="1" customWidth="1" outlineLevel="1"/>
    <col min="58" max="58" width="11.77734375" collapsed="1"/>
    <col min="59" max="59" width="0" hidden="1" customWidth="1" outlineLevel="1"/>
    <col min="60" max="60" width="11.77734375" collapsed="1"/>
    <col min="61" max="64" width="0" hidden="1" customWidth="1" outlineLevel="1"/>
    <col min="65" max="65" width="11.77734375" collapsed="1"/>
    <col min="68" max="70" width="0" hidden="1" customWidth="1" outlineLevel="1"/>
    <col min="71" max="71" width="11.77734375" collapsed="1"/>
    <col min="72" max="74" width="0" hidden="1" customWidth="1" outlineLevel="1"/>
    <col min="75" max="75" width="11.77734375" collapsed="1"/>
    <col min="76" max="80" width="0" hidden="1" customWidth="1" outlineLevel="1"/>
    <col min="81" max="81" width="11.77734375" collapsed="1"/>
    <col min="84" max="85" width="0" hidden="1" customWidth="1" outlineLevel="1"/>
    <col min="86" max="86" width="11.77734375" collapsed="1"/>
    <col min="87" max="88" width="0" hidden="1" customWidth="1" outlineLevel="1"/>
    <col min="89" max="89" width="11.77734375" collapsed="1"/>
    <col min="94" max="107" width="0" hidden="1" customWidth="1" outlineLevel="1"/>
    <col min="108" max="108" width="11.77734375" collapsed="1"/>
    <col min="111" max="111" width="0" hidden="1" customWidth="1" outlineLevel="1"/>
    <col min="112" max="112" width="11.77734375" collapsed="1"/>
    <col min="113" max="113" width="0" hidden="1" customWidth="1" outlineLevel="1"/>
    <col min="114" max="114" width="11.77734375" collapsed="1"/>
    <col min="117" max="118" width="0" hidden="1" customWidth="1" outlineLevel="1"/>
    <col min="119" max="119" width="11.77734375" collapsed="1"/>
    <col min="120" max="145" width="0" hidden="1" customWidth="1" outlineLevel="1"/>
    <col min="146" max="146" width="11.77734375" collapsed="1"/>
    <col min="147" max="155" width="0" hidden="1" customWidth="1" outlineLevel="1"/>
    <col min="156" max="156" width="11.77734375" collapsed="1"/>
    <col min="157" max="157" width="0" hidden="1" customWidth="1" outlineLevel="1"/>
    <col min="158" max="158" width="11.77734375" collapsed="1"/>
    <col min="159" max="163" width="0" hidden="1" customWidth="1" outlineLevel="1"/>
    <col min="164" max="164" width="11.77734375" collapsed="1"/>
    <col min="165" max="165" width="0" hidden="1" customWidth="1" outlineLevel="1"/>
    <col min="166" max="166" width="11.77734375" collapsed="1"/>
    <col min="168" max="168" width="0" hidden="1" customWidth="1" outlineLevel="1"/>
    <col min="169" max="169" width="11.77734375" collapsed="1"/>
    <col min="170" max="207" width="0" hidden="1" customWidth="1" outlineLevel="1"/>
    <col min="208" max="208" width="11.77734375" collapsed="1"/>
  </cols>
  <sheetData>
    <row r="1" spans="1:207" x14ac:dyDescent="0.3">
      <c r="A1" s="132" t="s">
        <v>1206</v>
      </c>
      <c r="P1" s="132" t="s">
        <v>1207</v>
      </c>
      <c r="Z1" s="132" t="s">
        <v>1208</v>
      </c>
      <c r="AC1" s="132" t="s">
        <v>1209</v>
      </c>
      <c r="AM1" s="132" t="s">
        <v>1210</v>
      </c>
      <c r="AR1" s="132" t="s">
        <v>1211</v>
      </c>
      <c r="DE1" s="132" t="s">
        <v>1212</v>
      </c>
      <c r="EP1" s="132" t="s">
        <v>1213</v>
      </c>
    </row>
    <row r="2" spans="1:207" ht="60" customHeight="1" x14ac:dyDescent="0.3">
      <c r="A2" s="130" t="s">
        <v>4</v>
      </c>
      <c r="B2" s="130" t="s">
        <v>978</v>
      </c>
      <c r="C2" s="131" t="s">
        <v>979</v>
      </c>
      <c r="D2" s="130" t="s">
        <v>0</v>
      </c>
      <c r="E2" s="130" t="s">
        <v>6</v>
      </c>
      <c r="F2" s="130" t="s">
        <v>980</v>
      </c>
      <c r="G2" s="130" t="s">
        <v>1</v>
      </c>
      <c r="H2" s="130" t="s">
        <v>58</v>
      </c>
      <c r="I2" s="130" t="s">
        <v>2</v>
      </c>
      <c r="J2" s="130" t="s">
        <v>191</v>
      </c>
      <c r="K2" s="130" t="s">
        <v>981</v>
      </c>
      <c r="L2" s="130" t="s">
        <v>726</v>
      </c>
      <c r="M2" s="130" t="s">
        <v>982</v>
      </c>
      <c r="N2" s="130" t="s">
        <v>818</v>
      </c>
      <c r="O2" s="130" t="s">
        <v>983</v>
      </c>
      <c r="P2" s="130" t="s">
        <v>44</v>
      </c>
      <c r="Q2" s="130" t="s">
        <v>193</v>
      </c>
      <c r="R2" s="130" t="s">
        <v>201</v>
      </c>
      <c r="S2" s="130" t="s">
        <v>200</v>
      </c>
      <c r="T2" s="130" t="s">
        <v>64</v>
      </c>
      <c r="U2" s="130" t="s">
        <v>526</v>
      </c>
      <c r="V2" s="130" t="s">
        <v>14</v>
      </c>
      <c r="W2" s="130" t="s">
        <v>16</v>
      </c>
      <c r="X2" s="130" t="s">
        <v>17</v>
      </c>
      <c r="Y2" s="130" t="s">
        <v>729</v>
      </c>
      <c r="Z2" s="130" t="s">
        <v>984</v>
      </c>
      <c r="AA2" s="130" t="s">
        <v>793</v>
      </c>
      <c r="AB2" s="130" t="s">
        <v>985</v>
      </c>
      <c r="AC2" s="130" t="s">
        <v>813</v>
      </c>
      <c r="AD2" s="130" t="s">
        <v>986</v>
      </c>
      <c r="AE2" s="130" t="s">
        <v>987</v>
      </c>
      <c r="AF2" s="130" t="s">
        <v>988</v>
      </c>
      <c r="AG2" s="130" t="s">
        <v>439</v>
      </c>
      <c r="AH2" s="130" t="s">
        <v>440</v>
      </c>
      <c r="AI2" s="130" t="s">
        <v>442</v>
      </c>
      <c r="AJ2" s="130" t="s">
        <v>444</v>
      </c>
      <c r="AK2" s="130" t="s">
        <v>445</v>
      </c>
      <c r="AL2" s="130" t="s">
        <v>989</v>
      </c>
      <c r="AM2" s="130" t="s">
        <v>519</v>
      </c>
      <c r="AN2" s="130" t="s">
        <v>520</v>
      </c>
      <c r="AO2" s="130" t="s">
        <v>521</v>
      </c>
      <c r="AP2" s="130" t="s">
        <v>522</v>
      </c>
      <c r="AQ2" s="130" t="s">
        <v>524</v>
      </c>
      <c r="AR2" s="131" t="s">
        <v>990</v>
      </c>
      <c r="AS2" s="131" t="s">
        <v>991</v>
      </c>
      <c r="AT2" s="131" t="s">
        <v>899</v>
      </c>
      <c r="AU2" s="131" t="s">
        <v>992</v>
      </c>
      <c r="AV2" s="131" t="s">
        <v>57</v>
      </c>
      <c r="AW2" s="131" t="s">
        <v>993</v>
      </c>
      <c r="AX2" s="131" t="s">
        <v>56</v>
      </c>
      <c r="AY2" s="131" t="s">
        <v>994</v>
      </c>
      <c r="AZ2" s="131" t="s">
        <v>995</v>
      </c>
      <c r="BA2" s="131" t="s">
        <v>996</v>
      </c>
      <c r="BB2" s="131" t="s">
        <v>997</v>
      </c>
      <c r="BC2" s="131" t="s">
        <v>998</v>
      </c>
      <c r="BD2" s="131" t="s">
        <v>999</v>
      </c>
      <c r="BE2" s="131" t="s">
        <v>1000</v>
      </c>
      <c r="BF2" s="131" t="s">
        <v>447</v>
      </c>
      <c r="BG2" s="131" t="s">
        <v>1001</v>
      </c>
      <c r="BH2" s="131" t="s">
        <v>903</v>
      </c>
      <c r="BI2" s="131" t="s">
        <v>1002</v>
      </c>
      <c r="BJ2" s="131" t="s">
        <v>902</v>
      </c>
      <c r="BK2" s="131" t="s">
        <v>1003</v>
      </c>
      <c r="BL2" s="131" t="s">
        <v>1004</v>
      </c>
      <c r="BM2" s="131" t="s">
        <v>752</v>
      </c>
      <c r="BN2" s="131" t="s">
        <v>448</v>
      </c>
      <c r="BO2" s="131" t="s">
        <v>7</v>
      </c>
      <c r="BP2" s="131" t="s">
        <v>1005</v>
      </c>
      <c r="BQ2" s="131" t="s">
        <v>1006</v>
      </c>
      <c r="BR2" s="131" t="s">
        <v>1007</v>
      </c>
      <c r="BS2" s="131" t="s">
        <v>3</v>
      </c>
      <c r="BT2" s="131" t="s">
        <v>1008</v>
      </c>
      <c r="BU2" s="131" t="s">
        <v>1009</v>
      </c>
      <c r="BV2" s="131" t="s">
        <v>1010</v>
      </c>
      <c r="BW2" s="131" t="s">
        <v>30</v>
      </c>
      <c r="BX2" s="131" t="s">
        <v>1011</v>
      </c>
      <c r="BY2" s="131" t="s">
        <v>1012</v>
      </c>
      <c r="BZ2" s="131" t="s">
        <v>1013</v>
      </c>
      <c r="CA2" s="131" t="s">
        <v>1014</v>
      </c>
      <c r="CB2" s="131" t="s">
        <v>1015</v>
      </c>
      <c r="CC2" s="131" t="s">
        <v>1016</v>
      </c>
      <c r="CD2" s="131" t="s">
        <v>728</v>
      </c>
      <c r="CE2" s="131" t="s">
        <v>1017</v>
      </c>
      <c r="CF2" s="131" t="s">
        <v>1018</v>
      </c>
      <c r="CG2" s="131" t="s">
        <v>1019</v>
      </c>
      <c r="CH2" s="131" t="s">
        <v>9</v>
      </c>
      <c r="CI2" s="131" t="s">
        <v>1020</v>
      </c>
      <c r="CJ2" s="131" t="s">
        <v>1021</v>
      </c>
      <c r="CK2" s="131" t="s">
        <v>732</v>
      </c>
      <c r="CL2" s="131" t="s">
        <v>730</v>
      </c>
      <c r="CM2" s="131" t="s">
        <v>733</v>
      </c>
      <c r="CN2" s="131" t="s">
        <v>727</v>
      </c>
      <c r="CO2" s="131" t="s">
        <v>539</v>
      </c>
      <c r="CP2" s="131" t="s">
        <v>761</v>
      </c>
      <c r="CQ2" s="131" t="s">
        <v>1022</v>
      </c>
      <c r="CR2" s="131" t="s">
        <v>1023</v>
      </c>
      <c r="CS2" s="131" t="s">
        <v>1024</v>
      </c>
      <c r="CT2" s="131" t="s">
        <v>1025</v>
      </c>
      <c r="CU2" s="131" t="s">
        <v>1026</v>
      </c>
      <c r="CV2" s="131" t="s">
        <v>1027</v>
      </c>
      <c r="CW2" s="131" t="s">
        <v>1028</v>
      </c>
      <c r="CX2" s="131" t="s">
        <v>1029</v>
      </c>
      <c r="CY2" s="131" t="s">
        <v>1030</v>
      </c>
      <c r="CZ2" s="131" t="s">
        <v>1031</v>
      </c>
      <c r="DA2" s="131" t="s">
        <v>1032</v>
      </c>
      <c r="DB2" s="131" t="s">
        <v>1033</v>
      </c>
      <c r="DC2" s="131" t="s">
        <v>1034</v>
      </c>
      <c r="DD2" s="131" t="s">
        <v>449</v>
      </c>
      <c r="DE2" s="131" t="s">
        <v>794</v>
      </c>
      <c r="DF2" s="131" t="s">
        <v>795</v>
      </c>
      <c r="DG2" s="131" t="s">
        <v>1035</v>
      </c>
      <c r="DH2" s="131" t="s">
        <v>1036</v>
      </c>
      <c r="DI2" s="131" t="s">
        <v>1037</v>
      </c>
      <c r="DJ2" s="131" t="s">
        <v>792</v>
      </c>
      <c r="DK2" s="131" t="s">
        <v>796</v>
      </c>
      <c r="DL2" s="131" t="s">
        <v>797</v>
      </c>
      <c r="DM2" s="131" t="s">
        <v>1038</v>
      </c>
      <c r="DN2" s="131" t="s">
        <v>1039</v>
      </c>
      <c r="DO2" s="131" t="s">
        <v>798</v>
      </c>
      <c r="DP2" s="131" t="s">
        <v>1040</v>
      </c>
      <c r="DQ2" s="131" t="s">
        <v>1041</v>
      </c>
      <c r="DR2" s="131" t="s">
        <v>1042</v>
      </c>
      <c r="DS2" s="131" t="s">
        <v>1043</v>
      </c>
      <c r="DT2" s="131" t="s">
        <v>1044</v>
      </c>
      <c r="DU2" s="131" t="s">
        <v>1045</v>
      </c>
      <c r="DV2" s="131" t="s">
        <v>1046</v>
      </c>
      <c r="DW2" s="131" t="s">
        <v>1047</v>
      </c>
      <c r="DX2" s="131" t="s">
        <v>1048</v>
      </c>
      <c r="DY2" s="131" t="s">
        <v>1049</v>
      </c>
      <c r="DZ2" s="131" t="s">
        <v>1050</v>
      </c>
      <c r="EA2" s="131" t="s">
        <v>1051</v>
      </c>
      <c r="EB2" s="131" t="s">
        <v>1052</v>
      </c>
      <c r="EC2" s="131" t="s">
        <v>1053</v>
      </c>
      <c r="ED2" s="131" t="s">
        <v>1054</v>
      </c>
      <c r="EE2" s="131" t="s">
        <v>1055</v>
      </c>
      <c r="EF2" s="131" t="s">
        <v>1056</v>
      </c>
      <c r="EG2" s="131" t="s">
        <v>1057</v>
      </c>
      <c r="EH2" s="131" t="s">
        <v>1058</v>
      </c>
      <c r="EI2" s="131" t="s">
        <v>1059</v>
      </c>
      <c r="EJ2" s="131" t="s">
        <v>1060</v>
      </c>
      <c r="EK2" s="131" t="s">
        <v>1061</v>
      </c>
      <c r="EL2" s="131" t="s">
        <v>1062</v>
      </c>
      <c r="EM2" s="131" t="s">
        <v>1063</v>
      </c>
      <c r="EN2" s="131" t="s">
        <v>1064</v>
      </c>
      <c r="EO2" s="131" t="s">
        <v>1065</v>
      </c>
      <c r="EP2" s="131" t="s">
        <v>1066</v>
      </c>
      <c r="EQ2" s="131" t="s">
        <v>1067</v>
      </c>
      <c r="ER2" s="131" t="s">
        <v>1068</v>
      </c>
      <c r="ES2" s="131" t="s">
        <v>1069</v>
      </c>
      <c r="ET2" s="131" t="s">
        <v>1070</v>
      </c>
      <c r="EU2" s="131" t="s">
        <v>1071</v>
      </c>
      <c r="EV2" s="131" t="s">
        <v>1072</v>
      </c>
      <c r="EW2" s="131" t="s">
        <v>1073</v>
      </c>
      <c r="EX2" s="131" t="s">
        <v>1074</v>
      </c>
      <c r="EY2" s="131" t="s">
        <v>1075</v>
      </c>
      <c r="EZ2" s="131" t="s">
        <v>437</v>
      </c>
      <c r="FA2" s="131" t="s">
        <v>1076</v>
      </c>
      <c r="FB2" s="131" t="s">
        <v>1077</v>
      </c>
      <c r="FC2" s="131" t="s">
        <v>1078</v>
      </c>
      <c r="FD2" s="131" t="s">
        <v>1079</v>
      </c>
      <c r="FE2" s="131" t="s">
        <v>1080</v>
      </c>
      <c r="FF2" s="131" t="s">
        <v>1081</v>
      </c>
      <c r="FG2" s="131" t="s">
        <v>1082</v>
      </c>
      <c r="FH2" s="131" t="s">
        <v>731</v>
      </c>
      <c r="FI2" s="131" t="s">
        <v>1083</v>
      </c>
      <c r="FJ2" s="131" t="s">
        <v>1084</v>
      </c>
      <c r="FK2" s="131" t="s">
        <v>1085</v>
      </c>
      <c r="FL2" s="131" t="s">
        <v>1086</v>
      </c>
      <c r="FM2" s="131" t="s">
        <v>1087</v>
      </c>
      <c r="FN2" s="131" t="s">
        <v>1088</v>
      </c>
      <c r="FO2" s="131" t="s">
        <v>1089</v>
      </c>
      <c r="FP2" s="131" t="s">
        <v>1090</v>
      </c>
      <c r="FQ2" s="131" t="s">
        <v>1091</v>
      </c>
      <c r="FR2" s="131" t="s">
        <v>1092</v>
      </c>
      <c r="FS2" s="131" t="s">
        <v>1093</v>
      </c>
      <c r="FT2" s="131" t="s">
        <v>1094</v>
      </c>
      <c r="FU2" s="131" t="s">
        <v>1095</v>
      </c>
      <c r="FV2" s="131" t="s">
        <v>1096</v>
      </c>
      <c r="FW2" s="131" t="s">
        <v>1097</v>
      </c>
      <c r="FX2" s="131" t="s">
        <v>1098</v>
      </c>
      <c r="FY2" s="131" t="s">
        <v>1099</v>
      </c>
      <c r="FZ2" s="131" t="s">
        <v>1100</v>
      </c>
      <c r="GA2" s="131" t="s">
        <v>1101</v>
      </c>
      <c r="GB2" s="131" t="s">
        <v>1102</v>
      </c>
      <c r="GC2" s="131" t="s">
        <v>1103</v>
      </c>
      <c r="GD2" s="131" t="s">
        <v>1104</v>
      </c>
      <c r="GE2" s="131" t="s">
        <v>1105</v>
      </c>
      <c r="GF2" s="131" t="s">
        <v>1106</v>
      </c>
      <c r="GG2" s="131" t="s">
        <v>1107</v>
      </c>
      <c r="GH2" s="131" t="s">
        <v>1108</v>
      </c>
      <c r="GI2" s="131" t="s">
        <v>1109</v>
      </c>
      <c r="GJ2" s="131" t="s">
        <v>1110</v>
      </c>
      <c r="GK2" s="131" t="s">
        <v>1111</v>
      </c>
      <c r="GL2" s="131" t="s">
        <v>1112</v>
      </c>
      <c r="GM2" s="131" t="s">
        <v>1113</v>
      </c>
      <c r="GN2" s="131" t="s">
        <v>1114</v>
      </c>
      <c r="GO2" s="131" t="s">
        <v>1115</v>
      </c>
      <c r="GP2" s="131" t="s">
        <v>1116</v>
      </c>
      <c r="GQ2" s="131" t="s">
        <v>1117</v>
      </c>
      <c r="GR2" s="131" t="s">
        <v>1118</v>
      </c>
      <c r="GS2" s="131" t="s">
        <v>1119</v>
      </c>
      <c r="GT2" s="131" t="s">
        <v>1120</v>
      </c>
      <c r="GU2" s="131" t="s">
        <v>1121</v>
      </c>
      <c r="GV2" s="131" t="s">
        <v>1122</v>
      </c>
      <c r="GW2" s="131" t="s">
        <v>1123</v>
      </c>
      <c r="GX2" s="131" t="s">
        <v>1124</v>
      </c>
      <c r="GY2" s="131" t="s">
        <v>1125</v>
      </c>
    </row>
    <row r="3" spans="1:207" x14ac:dyDescent="0.3">
      <c r="C3" t="str">
        <f>IF(BD3="","",IF(BE3="вводной узел","узел ","")&amp;"л."&amp;(INT((BD3-1)/Столбцов_на_лист)+1)&amp;" / "&amp;(MOD(BD3-1,Столбцов_на_лист)+1))</f>
        <v>л.1 / 16</v>
      </c>
      <c r="E3" s="133" t="str">
        <f>AY3</f>
        <v/>
      </c>
      <c r="AR3" t="str">
        <f>_xlfn.TEXTJOIN("; ",TRUE,FK3,IF(DO3="НЕ ОБЕСПЕЧЕНА","категория "&amp;DE3&amp;" не обеспечена (есть "&amp;DL3&amp;")",""),IF(LEFT(FM3,3)="Icu",FM3,""),IF(AND(D3&lt;&gt;"",BS3="Не исп"),"сечение не подобрано",""))</f>
        <v/>
      </c>
      <c r="AS3" cm="1">
        <f t="array" ref="AS3">ROW()-ROW(Линии[#Headers])</f>
        <v>1</v>
      </c>
      <c r="AT3" s="6" t="str">
        <f>IF(D3="","",IFERROR(LEFT(D3,SEARCH(".",D3)-1),D3))</f>
        <v/>
      </c>
      <c r="AU3" t="str">
        <f>IFERROR(RIGHT(D3,LEN(D3)-SEARCH(".",D3)),"")</f>
        <v/>
      </c>
      <c r="AV3" t="str">
        <f>IFERROR(LEFT(AU3,SEARCH(".",AU3)-1),AU3)</f>
        <v/>
      </c>
      <c r="AW3" t="str">
        <f>IFERROR(RIGHT(AU3,LEN(AU3)-SEARCH(".",AU3)),"")</f>
        <v/>
      </c>
      <c r="AX3" t="str">
        <f>IFERROR(LEFT(AW3,SEARCH(".",AW3)-1),AW3)</f>
        <v/>
      </c>
      <c r="AY3" t="str">
        <f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f>
        <v/>
      </c>
      <c r="AZ3" t="str">
        <f>IF(E3&lt;&gt;"",E3,AY3)</f>
        <v/>
      </c>
      <c r="BA3" t="str">
        <f>IF(F3&lt;&gt;"",F3,IF(AND(D3&lt;&gt;"",D3&lt;&gt;A3,ISNUMBER(_xlfn.XMATCH(D3,Щиты[Щит]))),D3,""))</f>
        <v/>
      </c>
      <c r="BB3">
        <f>IFERROR(_xlfn.XMATCH(A3,Щиты[Щит]),0)</f>
        <v>0</v>
      </c>
      <c r="BC3">
        <f>IFERROR(N(_xlfn.XLOOKUP(A3,Щиты[Щит],Щиты[Мест под вводной узел])),15)</f>
        <v>15</v>
      </c>
      <c r="BD3">
        <f>IF(B3="-","",IF(ISNUMBER(B3),B3,_xlfn.LET(_xlpm.prev,IF(OR(AS3=1,A3&lt;&gt;A2),0,N(IF(AS3=1,"",BD2))),_xlpm.nx,_xlpm.prev+1,IF(AND(AL3&lt;&gt;"вручную",_xlpm.nx&lt;=BC3),BC3+1,_xlpm.nx))))</f>
        <v>16</v>
      </c>
      <c r="BE3" t="str">
        <f>IF(BD3="","",IF(BD3&lt;=BC3,"вводной узел","линии"))</f>
        <v>линии</v>
      </c>
      <c r="BF3" s="6" t="str">
        <f>IF(D3="","",IF(BA3&lt;&gt;"",IFERROR(_xlfn.XLOOKUP(BA3,Щиты[Щит],Щиты[Руст, кВт]),0),N(G3)))</f>
        <v/>
      </c>
      <c r="BG3" t="str">
        <f>IF(J3&lt;&gt;"",J3,IF(D3="","",IFERROR(IF(VLOOKUP(AT3,Потребители_обозначение,8,FALSE)=0,"",VLOOKUP(AT3,Потребители_обозначение,8,FALSE)),"")))</f>
        <v/>
      </c>
      <c r="BH3" t="str">
        <f>IF(I3&lt;&gt;"",I3,IF(D3="","",IFERROR(IF(VLOOKUP(AT3,Потребители_обозначение,9,FALSE)=0,"",VLOOKUP(AT3,Потребители_обозначение,9,FALSE)),"")))</f>
        <v/>
      </c>
      <c r="BI3" t="str">
        <f>IF(U3&lt;&gt;"",U3,IF(D3="","",IFERROR(IF(VLOOKUP(AT3,Потребители_обозначение,6,FALSE)=0,"",VLOOKUP(AT3,Потребители_обозначение,6,FALSE)),"")))</f>
        <v/>
      </c>
      <c r="BJ3" t="str">
        <f>IF(V3&lt;&gt;"",V3,IF(D3="","",IFERROR(IF(VLOOKUP(AT3,Потребители_обозначение,7,FALSE)=0,"",VLOOKUP(AT3,Потребители_обозначение,7,FALSE)),"")))</f>
        <v/>
      </c>
      <c r="BK3" t="str">
        <f>IF(W3&lt;&gt;"",W3,IF(D3="","",IFERROR(IF(VLOOKUP(AT3,Потребители_обозначение,10,FALSE)=0,"",VLOOKUP(AT3,Потребители_обозначение,10,FALSE)),"")))</f>
        <v/>
      </c>
      <c r="BL3">
        <f>IFERROR(VLOOKUP(AT3,Потребители_обозначение,5,FALSE),0)</f>
        <v>0</v>
      </c>
      <c r="BM3" s="6" t="str" cm="1">
        <f t="array" ref="BM3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f>
        <v/>
      </c>
      <c r="BN3" s="6" t="str" cm="1">
        <f t="array" ref="BN3">IF(D3="","",IF(BA3&lt;&gt;"",IFERROR(_xlfn.XLOOKUP(BA3,Щиты[Щит],Щиты[Iр, А]),""),IFERROR(_xlfn.IFS(BH3=1,BF3/((Uн_лин/SQRT(3))*BM3),BH3=3,BF3/(SQRT(3)*Uн_лин*BM3)),"")))</f>
        <v/>
      </c>
      <c r="BO3" t="str">
        <f>IF(D3="","",IF(N(X3)=0,IFERROR(VLOOKUP(BN3,Автомат_номиналы,2,TRUE),""),X3))</f>
        <v/>
      </c>
      <c r="BP3">
        <f>IF(N(BJ3)=1,1,IF(BH3=1,1,IF(N(BJ3)&gt;=4,0.92,1)))</f>
        <v>1</v>
      </c>
      <c r="BQ3">
        <f>IF(ISNUMBER(Y3),Y3,К_прокл)</f>
        <v>1</v>
      </c>
      <c r="BR3">
        <f>IF(N(BJ3)=1,1,IF(BH3=1,2,3))</f>
        <v>3</v>
      </c>
      <c r="BS3" t="str" cm="1">
        <f t="array" ref="BS3">IF(D3="","",IF(N(BK3)&lt;&gt;0,BK3,IFERROR(_xlfn.LET(_xlpm.need,BO3/(BP3*BQ3),_xlpm.t,CHOOSE(BR3,Iдоп_1ж,Iдоп_2ж,Iдоп_3ж),_xlpm.k,_xlfn.XMATCH(_xlpm.need,_xlpm.t,1),IF(ISNA(_xlpm.k),"Не исп",INDEX(Iдоп_S,_xlpm.k))),"Не исп")))</f>
        <v/>
      </c>
      <c r="BT3" t="str">
        <f>IFERROR(VLOOKUP(BS3,Кабель_сопротивление,3,FALSE),"")</f>
        <v/>
      </c>
      <c r="BU3" t="str">
        <f>IFERROR(VLOOKUP(BS3,Кабель_сопротивление,2,FALSE),"")</f>
        <v/>
      </c>
      <c r="BV3" t="str">
        <f>IF(P3&lt;&gt;"",P3,IF(COUNT(AM3,AN3)=0,"",ROUNDUP(SUM(AM3,AN3),0)))</f>
        <v/>
      </c>
      <c r="BW3" s="6" t="str">
        <f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f>
        <v/>
      </c>
      <c r="BX3" t="str">
        <f>IF(R3&lt;&gt;"",R3,IF(OR(BV3="",T3=""),"",IF(T3=1,MAX(0,BW3-ROUNDUP(N(AN3),0)-4),ROUNDUP(N(AM3),0))))</f>
        <v/>
      </c>
      <c r="BY3" t="str">
        <f>IF(S3&lt;&gt;"",S3,IF(OR(BV3="",T3=""),"",IF(T3=2,MAX(0,BW3-ROUNDUP(N(AM3),0)-4),ROUNDUP(N(AN3),0))))</f>
        <v/>
      </c>
      <c r="BZ3" t="str">
        <f>IF(BH3=1,2,IF(BH3=3,1,""))</f>
        <v/>
      </c>
      <c r="CA3" t="str">
        <f>IFERROR(ROUND(SIN(ACOS(BM3)),2),"")</f>
        <v/>
      </c>
      <c r="CB3" t="str">
        <f>IFERROR(BZ3*(BT3*BW3/BS3*BM3+BU3*BW3*CA3/1000)*BN3,"")</f>
        <v/>
      </c>
      <c r="CC3" s="6" t="str">
        <f>IFERROR(ROUNDUP(CB3/((Uн_лин/SQRT(3))*1000)*100,2),"")</f>
        <v/>
      </c>
      <c r="CD3" s="6" t="str">
        <f>IF(ISNUMBER(CC3),CC3+IFERROR(_xlfn.XLOOKUP(A3,Щиты[Щит],Щиты[ΔU до шин, %]),0),"")</f>
        <v/>
      </c>
      <c r="CE3" s="6" t="str">
        <f>IF(D3="","",IF(IFERROR(VLOOKUP(AT3,УГО_спр,2,FALSE),"")="Светильник",3,4)+IF(Методика="нормы 2026",MIN(0.5,MAX(0,N(BW3)-100)*0.005),0))</f>
        <v/>
      </c>
      <c r="CF3" t="str">
        <f>IFERROR(VLOOKUP(BI3,Кабель_обозначение,2,FALSE),"")</f>
        <v/>
      </c>
      <c r="CG3" t="str">
        <f>IFERROR(IF(VLOOKUP(BI3,Кабель_обозначение,3,FALSE)=1,CF3&amp;" ("&amp;BJ3&amp;"х"&amp;BS3&amp;")",CF3),"")</f>
        <v/>
      </c>
      <c r="CH3" t="str">
        <f>IF(OR(D3="",CF3="",AND(G3&lt;&gt;"",NOT(ISNUMBER(G3)))),"",IF(BS3=0,CF3,CG3&amp;CHAR(10)&amp;"L="&amp;BW3&amp;"-"&amp;CC3&amp;"%"))</f>
        <v/>
      </c>
      <c r="CI3" t="str">
        <f>IFERROR(2*ρкз_Cu*BW3/BS3,"")</f>
        <v/>
      </c>
      <c r="CJ3" t="str">
        <f>IFERROR(0.0175*N(BW3)/BS3,"")</f>
        <v/>
      </c>
      <c r="CK3" s="6" t="str">
        <f>IFERROR(IF(OR(D3="",NOT(ISNUMBER(BS3)),N(BW3)=0),"",_xlfn.XLOOKUP(A3,Щиты[Щит],Щиты[Zпетли на шинах, Ом])+CI3),"")</f>
        <v/>
      </c>
      <c r="CL3" s="6" t="str">
        <f>IF(ISNUMBER(CK3),c_min*(Uн_лин*1000/SQRT(3))/CK3,"")</f>
        <v/>
      </c>
      <c r="CM3" s="6" t="str">
        <f>IFERROR(IF(OR(D3="",NOT(ISNUMBER(BS3))),"",1.05*(Uн_лин*1000/SQRT(3))/(_xlfn.XLOOKUP(A3,Щиты[Щит],Щиты[Zmax на шинах, Ом])+CJ3)/1000),"")</f>
        <v/>
      </c>
      <c r="CN3" s="6" t="str">
        <f>IF(D3="","",IF(BA3&lt;&gt;"","Щит",IF(K3&lt;&gt;"",K3,IF(ISNUMBER(L3),"Сил",IF(IFERROR(_xlfn.XLOOKUP(AT3,Коды_код,Коды_группа)&amp;"","")="","Быт",_xlfn.XLOOKUP(AT3,Коды_код,Коды_группа)&amp;"")))))</f>
        <v/>
      </c>
      <c r="CO3" s="6" t="str">
        <f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f>
        <v/>
      </c>
      <c r="CP3" t="str">
        <f>IF(CN3="","",IFERROR(MIN(3,MAX(1,INT(--N3))),1))</f>
        <v/>
      </c>
      <c r="CQ3">
        <f>IF(OR(CN3="",CN3="Нет",CN3="Щит"),0,N(BF3))</f>
        <v>0</v>
      </c>
      <c r="CR3">
        <f>IF(CN3="Быт",N(BF3),0)</f>
        <v>0</v>
      </c>
      <c r="CS3">
        <f>IF(CN3="Сил",N(BF3)*N(CO3),0)</f>
        <v>0</v>
      </c>
      <c r="CT3">
        <f>IF(CN3="Пост",N(BF3),0)</f>
        <v>0</v>
      </c>
      <c r="CU3">
        <f>IF(CN3="Отоп",N(BF3),0)</f>
        <v>0</v>
      </c>
      <c r="CV3">
        <f>IF(CN3="ВНГ",N(BF3)*0.7,0)</f>
        <v>0</v>
      </c>
      <c r="CW3">
        <f>IF(OR(D3="",CN3="Щит"),0,N(BF3))</f>
        <v>0</v>
      </c>
      <c r="CX3">
        <f>IF(OR(D3="",CN3="Щит"),0,N(BF3)*N(BM3))</f>
        <v>0</v>
      </c>
      <c r="CY3">
        <f>_xlfn.LET(_xlpm.prev,IF(OR(OR(AS3=1,A3&lt;&gt;A2)),0,N(IF(AS3=1,"",CY2))),IF(OR(D3="",BH3=3),_xlpm.prev,IF(_xlpm.prev&gt;=3,1,_xlpm.prev+1)))</f>
        <v>0</v>
      </c>
      <c r="CZ3" t="str">
        <f>IF(D3="","",IF(BH3=3,"L1,L2,L3","L"&amp;MAX(1,CY3)))</f>
        <v/>
      </c>
      <c r="DA3" cm="1">
        <f t="array" ref="DA3">IFERROR(IF(BL3=2,_xlfn.IFS(BH3=3,VLOOKUP(BF3,Справочная_двигатели,3,FALSE),BH3=1,VLOOKUP(BF3,Справочная_двигатели,5,TRUE)),0),0)</f>
        <v>0</v>
      </c>
      <c r="DB3">
        <f>IFERROR(IF(BL3=3,VLOOKUP(BF3,Справочная_ЛЭД,2,TRUE),0),0)</f>
        <v>0</v>
      </c>
      <c r="DC3" s="6" t="str">
        <f>IF(D3="","",IF(DA3=0,DB3,DA3))</f>
        <v/>
      </c>
      <c r="DD3" t="str">
        <f>IF(D3="","",IF(O3="упр","",IF(O3="",CZ3,IF(O3&amp;""="1,2,3","L1,L2,L3","L"&amp;O3))))</f>
        <v/>
      </c>
      <c r="DE3" t="str" cm="1">
        <f t="array" ref="DE3">IF(D3="","",IFERROR(INDEX({"I особая","I","II","III"},MATCH(TRIM(AA3&amp;""),{"I особая","I","II","III"},0)),"III"))</f>
        <v/>
      </c>
      <c r="DF3" t="str">
        <f>IF(D3="","",IF(TRIM(AB3&amp;"")&lt;&gt;"",IF(LOWER(TRIM(AB3&amp;""))="да","да","нет"),IF(IFERROR(_xlfn.XLOOKUP(AT3,Коды_код,Коды_пожарная),"")="да","да","нет")))</f>
        <v/>
      </c>
      <c r="DG3" t="str">
        <f>IF(AC3&lt;&gt;"",AC3,IF(AD3&lt;&gt;"","",IF(EK3="","",IF(AS3=1,"",DG2))))</f>
        <v/>
      </c>
      <c r="DH3" t="str">
        <f>IF(D3="","",IF(DG3="","основная",DG3))</f>
        <v/>
      </c>
      <c r="DI3">
        <f>IFERROR(MIN(3,MAX(1,INT(--N3))),1)</f>
        <v>1</v>
      </c>
      <c r="DJ3" t="str" cm="1">
        <f t="array" ref="DJ3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f>
        <v/>
      </c>
      <c r="DK3" t="str">
        <f>IF(D3="","",IF(OR(DJ3="ИБП",DJ3="ДГУ"),DJ3,IF(LEFT(DJ3,5)="Ввод ",DJ3,"Ввод "&amp;DI3)))</f>
        <v/>
      </c>
      <c r="DL3" t="str">
        <f>IF(D3="","",IF(OR(DJ3="ИБП",DJ3="ДГУ"),"I особая",IF(DJ3="Одиночная","III",_xlfn.XLOOKUP(A3,Щиты[Щит],Щиты[Категория шины «Ввод»],"III"))))</f>
        <v/>
      </c>
      <c r="DM3">
        <f>IF(D3="",0,IFERROR(MATCH(DE3,{"III","II","I","I особая"},0),1))</f>
        <v>0</v>
      </c>
      <c r="DN3">
        <f>IF(OR(DJ3="ИБП",DJ3="ДГУ"),MIN(DM3,3),DM3)</f>
        <v>0</v>
      </c>
      <c r="DO3" t="str">
        <f>IF(D3="","",IF(DM3&gt;IFERROR(MATCH(DL3,{"III","II","I","I особая"},0),1),"НЕ ОБЕСПЕЧЕНА","ОК"))</f>
        <v/>
      </c>
      <c r="DP3" t="str">
        <f>IF(A3="","",_xlfn.XLOOKUP(A3,Щиты[Щит],Щиты[Путь],""))</f>
        <v/>
      </c>
      <c r="DQ3" t="str">
        <f>IF(D3="","",IF(Z3&lt;&gt;"",Z3,IF(IFERROR(_xlfn.XLOOKUP(AT3,Коды_код,Коды_вид)&amp;"","")="","Прочее",_xlfn.XLOOKUP(AT3,Коды_код,Коды_вид)&amp;"")))</f>
        <v/>
      </c>
      <c r="DR3">
        <f>IF(BD3="","",INT((BD3-1)/Столбцов_на_лист)+1)</f>
        <v>1</v>
      </c>
      <c r="DS3" t="str">
        <f>IF(D3="","",SUBSTITUTE(CH3,CHAR(10)," "))</f>
        <v/>
      </c>
      <c r="DT3" t="str">
        <f>IF(D3="","",IFERROR(--BF3,""))</f>
        <v/>
      </c>
      <c r="DU3" t="str">
        <f>IF(D3="","",IFERROR(ROUNDUP(BN3,2),""))</f>
        <v/>
      </c>
      <c r="DV3" t="str">
        <f>IF(D3="","",IFERROR(--BH3,1))</f>
        <v/>
      </c>
      <c r="DW3">
        <f>IF(AT3="",0,_xlfn.LET(_xlpm.v,IFERROR(VLOOKUP(D3,УГО_спр,3,FALSE),IFERROR(VLOOKUP(AT3,УГО_спр,3,FALSE),IFERROR(VLOOKUP(LEFT(AT3,2),УГО_спр,3,FALSE),""))),IF(_xlpm.v="да",30,IF(ISNUMBER(_xlpm.v),_xlpm.v,0))))</f>
        <v>0</v>
      </c>
      <c r="DX3">
        <f>IF(OR(AJ3="+",AND(D3&lt;&gt;"",D3=IF(AS3=1,"",D2))),1,0)</f>
        <v>0</v>
      </c>
      <c r="DY3" t="str">
        <f>IF(BD3="","",IF(AD3&lt;&gt;"",COUNTIFS(A$3:A3,A3,AD$3:AD3,"?*"),IF(OR(OR(AS3=1,A3&lt;&gt;A2),AL3="вручную"),"",IF(AS3=1,"",DZ2))))</f>
        <v/>
      </c>
      <c r="DZ3" t="str">
        <f>IF(BD3="",IF(OR(AS3=1,A3&lt;&gt;A2),"",IF(AS3=1,"",DZ2)),DY3)</f>
        <v/>
      </c>
      <c r="EA3">
        <f>IF(D3="",0,MAX(IFERROR(--X3,0),IFERROR(--VLOOKUP(D3,УГО_спр,4,FALSE),IFERROR(--VLOOKUP(AT3,УГО_спр,4,FALSE),IFERROR(--VLOOKUP(LEFT(AT3,2),УГО_спр,4,FALSE),0)))))</f>
        <v>0</v>
      </c>
      <c r="EB3" t="str">
        <f>IF(D3="","",IFERROR(LOOKUP(INDEX(CHOOSE(BR3,Iдоп_1ж,Iдоп_2ж,Iдоп_3ж),MATCH(BS3,Iдоп_S,0))*BP3*BQ3,{6,10,16,20,25,32,40,50,63,80,100,125,160,200,250,315,400,500,630}),""))</f>
        <v/>
      </c>
      <c r="EC3" t="str">
        <f>IF(AD3="","",SUMIFS(Линии[_Ток схемы],Линии[_гр.],DY3,Линии[Щит],A3,Линии[_в кабель выше],0))</f>
        <v/>
      </c>
      <c r="ED3" t="str">
        <f>IF(AD3="","",IFERROR(VLOOKUP(EC3,Автомат_номиналы,2,TRUE),""))</f>
        <v/>
      </c>
      <c r="EE3" t="str">
        <f>IF(AD3="","",MAX(N(ED3),_xlfn.MAXIFS(Линии[_мин. по типу],Линии[_гр.],DY3,Линии[Щит],A3)))</f>
        <v/>
      </c>
      <c r="EF3" t="str">
        <f>IF(AD3="","",_xlfn.MINIFS(Линии[_макс. автомат по кабелю],Линии[_гр.],DY3,Линии[Щит],A3))</f>
        <v/>
      </c>
      <c r="EG3" t="str">
        <f>IF(AD3="","",MAX(1,_xlfn.MAXIFS(Линии[_фаз],Линии[_гр.],DY3,Линии[Щит],A3)))</f>
        <v/>
      </c>
      <c r="EH3" t="str">
        <f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f>
        <v/>
      </c>
      <c r="EI3" t="str">
        <f>IF(AD3="","",IF(N(EH3)&gt;0,1,0))</f>
        <v/>
      </c>
      <c r="EJ3" t="str">
        <f>IF(AD3="","",IF(EI3=1,"QFD","QF")&amp;DY3)</f>
        <v/>
      </c>
      <c r="EK3" t="str">
        <f>IF(EJ3&lt;&gt;"",EJ3,IF(OR(OR(AS3=1,A3&lt;&gt;A2),AL3="вручную"),"",IF(AS3=1,"",EK2)))</f>
        <v/>
      </c>
      <c r="EL3" t="str">
        <f>IF(EJ3&lt;&gt;"",_xlfn.TEXTJOIN(" → ",TRUE,AF3,AG3,AH3),IF(EK3="","",IF(AS3=1,"",EL2)))</f>
        <v/>
      </c>
      <c r="EM3">
        <f>IF(EL3="",0,IF(OR(LEFT(EL3,2)="T ",LEFT(EL3,2)="Т ",ISNUMBER(SEARCH("→ T ",EL3)),ISNUMBER(SEARCH("→ Т ",EL3)),ISNUMBER(SEARCH("БП",EL3))),1,0))</f>
        <v>0</v>
      </c>
      <c r="EN3" t="str">
        <f>IF(AD3="","",IF(EM3=1,MAX(EE3,Мин_автомат_БП),EE3))</f>
        <v/>
      </c>
      <c r="EO3" t="str">
        <f>IF(AD3="","",IF(EG3&gt;=3,IF(EI3=1,"4P","3P"),IF(EI3=1,"2P","1P")))</f>
        <v/>
      </c>
      <c r="EP3" t="str">
        <f>IF(AD3="","",IF(AND(AD3&lt;&gt;"авто",AD3&lt;&gt;"+"),AD3,EO3&amp;" С"&amp;EN3&amp;"А"&amp;IF(EI3=1," "&amp;EH3&amp;"мА","")))</f>
        <v/>
      </c>
      <c r="EQ3" t="str">
        <f>IF(EP3="","",_xlfn.LET(_xlpm.t,SUBSTITUTE(SUBSTITUTE(UPPER(EP3),"С","C"),"А","A"),_xlpm.c,FIND("C",_xlpm.t),IFERROR(--MID(_xlpm.t,_xlpm.c+1,FIND("A",_xlpm.t&amp;"A",_xlpm.c)-_xlpm.c-1),"")))</f>
        <v/>
      </c>
      <c r="ER3" t="str">
        <f>IF(OR(AI3="",AI3="-"),"",IFERROR(VLOOKUP(AI3,Модули_спр,2,FALSE),"R"))</f>
        <v/>
      </c>
      <c r="ES3" t="str">
        <f>IF(ER3="","",ER3&amp;"."&amp;COUNTIFS(A$3:A3,A3,ER$3:ER3,ER3))</f>
        <v/>
      </c>
      <c r="ET3" t="str">
        <f>IF(AI3="-","",IF(ES3&lt;&gt;"",ES3,IF(OR(AS3=1,A3&lt;&gt;A2),"",IF(AS3=1,"",ET2))))</f>
        <v/>
      </c>
      <c r="EU3" t="str">
        <f>IF(ET3="","",IF(AND(AI3&lt;&gt;"",AI3&lt;&gt;"-"),AI3,IF(AS3=1,"",EU2)))</f>
        <v/>
      </c>
      <c r="EV3" t="str">
        <f>IF(AJ3="=",IF(AS3=1,"",EW2),IF(ISNUMBER(AJ3),AJ3,IF(ET3="","",IF(OR(D3&lt;&gt;"",AJ3="+",AJ3="р"),IF(OR(ES3&lt;&gt;"",IF(AS3=1,"",EW2)=""),1,IF(AS3=1,"",EW2)+1),""))))</f>
        <v/>
      </c>
      <c r="EW3" t="str">
        <f>IF(EV3&lt;&gt;"",EV3,IF(OR(OR(AS3=1,A3&lt;&gt;A2),AI3="-",ES3&lt;&gt;""),"",IF(AS3=1,"",EW2)))</f>
        <v/>
      </c>
      <c r="EX3">
        <f>IF(AJ3="б/к",0,IF(OR(ISNUMBER(SEARCH("L=",CH3)),AJ3="+",AJ3="="),1,0))</f>
        <v>0</v>
      </c>
      <c r="EY3" t="str">
        <f>IF(AK3="нет","",IF(AK3&lt;&gt;"",AK3,IF(EX3=1,"XT"&amp;COUNTIFS(A$3:A3,A3,EX$3:EX3,1),"")))</f>
        <v/>
      </c>
      <c r="EZ3" t="str">
        <f>IF(OR(D3&lt;&gt;"",EV3&lt;&gt;"",EX3=1),EK3,"")</f>
        <v/>
      </c>
      <c r="FA3" t="str">
        <f>IF(OR(EV3&lt;&gt;"",AND(AI3&lt;&gt;"",AI3&lt;&gt;"-")),ET3,"")</f>
        <v/>
      </c>
      <c r="FB3" t="str">
        <f>IF(AD3="","",IF(NOT(ISNUMBER(EQ3)),"",IF(EC3&gt;EQ3,"ПЕРЕГРУЗ",IF(AND(EM3=0,EF3&gt;0,EQ3&gt;EF3),"КАБЕЛЬ НЕ ЗАЩИЩЁН","ok"))))</f>
        <v/>
      </c>
      <c r="FC3" t="str">
        <f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f>
        <v/>
      </c>
      <c r="FD3" t="str">
        <f>IF(AD3&lt;&gt;"",EQ3,IF(EK3="","",IF(AS3=1,"",FD2)))</f>
        <v/>
      </c>
      <c r="FE3" t="str">
        <f>IF(AD3&lt;&gt;"",EP3,IF(EK3="","",IF(AS3=1,"",FE2)))</f>
        <v/>
      </c>
      <c r="FF3" t="str">
        <f>IF(AD3&lt;&gt;"",EI3,IF(EK3="","",IF(AS3=1,"",FF2)))</f>
        <v/>
      </c>
      <c r="FG3" t="str">
        <f>IF(AD3&lt;&gt;"",EH3,IF(EK3="","",IF(AS3=1,"",FG2)))</f>
        <v/>
      </c>
      <c r="FH3" s="6" t="str">
        <f>IFERROR(IF(ISNUMBER(CL3),CL3/IFERROR(--FD3,N(BO3)),""),"")</f>
        <v/>
      </c>
      <c r="FI3">
        <f>IF(OR(ISNUMBER(SEARCH(" B"," "&amp;FE3)),ISNUMBER(SEARCH(" В"," "&amp;FE3))),5,IF(ISNUMBER(SEARCH(" D"," "&amp;FE3)),20,10))</f>
        <v>10</v>
      </c>
      <c r="FJ3" t="str">
        <f>IF(NOT(ISNUMBER(FH3)),"",IF(FH3&gt;=FI3,"ok",IF(N(FF3)=1,"ok (дифзащита "&amp;FG3&amp;" мА)","мало: Iкз &lt; "&amp;FI3&amp;"·In")))</f>
        <v/>
      </c>
      <c r="FK3" t="str">
        <f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f>
        <v/>
      </c>
      <c r="FL3" s="6" t="str">
        <f>IF(AD3="","",_xlfn.LET(_xlpm.t,IFERROR(_xlfn.XLOOKUP(EP3,Каталог!$U$4:$U$500,Каталог!$G$4:$G$500),""),_xlpm.k,SEARCH("кА",_xlpm.t),IFERROR(--TRIM(RIGHT(SUBSTITUTE(MID(_xlpm.t,MAX(1,_xlpm.k-4),_xlpm.k-MAX(1,_xlpm.k-4))," ",REPT(" ",9)),5)),"")))</f>
        <v/>
      </c>
      <c r="FM3" t="str">
        <f>IF(OR(FL3="",AD3=""),"",IF(_xlfn.XLOOKUP(A3,Щиты[Щит],Щиты[Iкз max на шинах, кА],"")="","",IF(FL3&lt;_xlfn.XLOOKUP(A3,Щиты[Щит],Щиты[Iкз max на шинах, кА]),"Icu "&amp;FL3&amp;" кА &lt; Iкз max","ok")))</f>
        <v/>
      </c>
      <c r="FN3" t="str">
        <f>IF(OR(AL3="вручную",BD3="",AND(D3="",EY3="")),"",_xlfn.TEXTJOIN("|",TRUE,EK3,SUBSTITUTE(EL3," → ","|"),IF(ET3&lt;&gt;"",ET3&amp;IF(EV3&lt;&gt;""," к."&amp;EV3,""),""),EY3))</f>
        <v/>
      </c>
      <c r="FO3" t="str">
        <f>IF(FN3="","",FN3&amp;IF(D3&lt;&gt;"","|кабель "&amp;CG3&amp;" → "&amp;AZ3,""))</f>
        <v/>
      </c>
      <c r="FP3" t="str" cm="1">
        <f t="array" ref="FP3">IF(FO3="","",_xlfn.LET(_xlpm.nd,_xlfn.TEXTSPLIT(FO3,"|"),IF(COLUMNS(_xlpm.nd)&gt;1,A3&amp;"¦"&amp;INDEX(_xlpm.nd,1)&amp;"¦"&amp;INDEX(_xlpm.nd,2),"")))</f>
        <v/>
      </c>
      <c r="FQ3" t="str">
        <f>IF(FP3="","",D3&amp;"¦"&amp;AZ3)</f>
        <v/>
      </c>
      <c r="FR3" t="str" cm="1">
        <f t="array" ref="FR3">IF(FO3="","",_xlfn.LET(_xlpm.nd,_xlfn.TEXTSPLIT(FO3,"|"),IF(COLUMNS(_xlpm.nd)&gt;2,A3&amp;"¦"&amp;INDEX(_xlpm.nd,2)&amp;"¦"&amp;INDEX(_xlpm.nd,3),"")))</f>
        <v/>
      </c>
      <c r="FS3" t="str">
        <f>IF(FR3="","",D3&amp;"¦"&amp;AZ3)</f>
        <v/>
      </c>
      <c r="FT3" t="str" cm="1">
        <f t="array" ref="FT3">IF(FO3="","",_xlfn.LET(_xlpm.nd,_xlfn.TEXTSPLIT(FO3,"|"),IF(COLUMNS(_xlpm.nd)&gt;3,A3&amp;"¦"&amp;INDEX(_xlpm.nd,3)&amp;"¦"&amp;INDEX(_xlpm.nd,4),"")))</f>
        <v/>
      </c>
      <c r="FU3" t="str">
        <f>IF(FT3="","",D3&amp;"¦"&amp;AZ3)</f>
        <v/>
      </c>
      <c r="FV3" t="str" cm="1">
        <f t="array" ref="FV3">IF(FO3="","",_xlfn.LET(_xlpm.nd,_xlfn.TEXTSPLIT(FO3,"|"),IF(COLUMNS(_xlpm.nd)&gt;4,A3&amp;"¦"&amp;INDEX(_xlpm.nd,4)&amp;"¦"&amp;INDEX(_xlpm.nd,5),"")))</f>
        <v/>
      </c>
      <c r="FW3" t="str">
        <f>IF(FV3="","",D3&amp;"¦"&amp;AZ3)</f>
        <v/>
      </c>
      <c r="FX3" t="str" cm="1">
        <f t="array" ref="FX3">IF(FO3="","",_xlfn.LET(_xlpm.nd,_xlfn.TEXTSPLIT(FO3,"|"),IF(COLUMNS(_xlpm.nd)&gt;5,A3&amp;"¦"&amp;INDEX(_xlpm.nd,5)&amp;"¦"&amp;INDEX(_xlpm.nd,6),"")))</f>
        <v/>
      </c>
      <c r="FY3" t="str">
        <f>IF(FX3="","",D3&amp;"¦"&amp;AZ3)</f>
        <v/>
      </c>
      <c r="FZ3" t="str" cm="1">
        <f t="array" ref="FZ3">IF(FO3="","",_xlfn.LET(_xlpm.nd,_xlfn.TEXTSPLIT(FO3,"|"),IF(COLUMNS(_xlpm.nd)&gt;6,A3&amp;"¦"&amp;INDEX(_xlpm.nd,6)&amp;"¦"&amp;INDEX(_xlpm.nd,7),"")))</f>
        <v/>
      </c>
      <c r="GA3" t="str">
        <f>IF(FZ3="","",D3&amp;"¦"&amp;AZ3)</f>
        <v/>
      </c>
      <c r="GB3" t="str">
        <f>IF(FA3="","",EU3)</f>
        <v/>
      </c>
      <c r="GC3" t="str">
        <f>IF(AND(D3="",EV3="",EY3=""),"",_xlfn.TEXTJOIN(" → ",TRUE,EK3,EL3,IF(ET3&lt;&gt;"",ET3&amp;IF(EV3&lt;&gt;""," к."&amp;EV3,""),IF(EV3&lt;&gt;"","к."&amp;EV3,"")),EY3,IF(DX3=1,"(в кабель выше)","")))</f>
        <v/>
      </c>
      <c r="GD3">
        <f>IF(OR(BD3="",AL3="вручную",AND(BE3="вводной узел",AL3&lt;&gt;"рисовать")),0,1)</f>
        <v>1</v>
      </c>
      <c r="GE3">
        <f>IF(AC3="",0,1)</f>
        <v>0</v>
      </c>
      <c r="GF3">
        <f>IF(EJ3="",0,IF(LEFT(EJ3,3)="QFD",1,0))</f>
        <v>0</v>
      </c>
      <c r="GG3" t="str">
        <f>IF(AJ3="=","=",IF(AJ3="+","+",IF(AJ3="р","R","")))</f>
        <v/>
      </c>
      <c r="GH3" t="str">
        <f>IF(AF3="","",IF(OR(LEFT(AF3,1)="T",LEFT(AF3,1)="Т"),"T",IF(LEFT(UPPER(AF3),2)="БП","PS",IF(OR(LEFT(UPPER(AF3),2)="МК",LEFT(UPPER(AF3),2)="MK"),"MK",IF(OR(LEFT(UPPER(AF3),2)="КМ",LEFT(UPPER(AF3),2)="KM"),"KM","X")))))</f>
        <v/>
      </c>
      <c r="GI3" t="str">
        <f>IF(AG3="","",IF(OR(LEFT(AG3,1)="T",LEFT(AG3,1)="Т"),"T",IF(LEFT(UPPER(AG3),2)="БП","PS",IF(OR(LEFT(UPPER(AG3),2)="МК",LEFT(UPPER(AG3),2)="MK"),"MK",IF(OR(LEFT(UPPER(AG3),2)="КМ",LEFT(UPPER(AG3),2)="KM"),"KM","X")))))</f>
        <v/>
      </c>
      <c r="GJ3" t="str">
        <f>IF(AH3="","",IF(OR(LEFT(AH3,1)="T",LEFT(AH3,1)="Т"),"T",IF(LEFT(UPPER(AH3),2)="БП","PS",IF(OR(LEFT(UPPER(AH3),2)="МК",LEFT(UPPER(AH3),2)="MK"),"MK",IF(OR(LEFT(UPPER(AH3),2)="КМ",LEFT(UPPER(AH3),2)="KM"),"KM","X")))))</f>
        <v/>
      </c>
      <c r="GK3" t="str">
        <f>IF(D3="","",IFERROR(VLOOKUP(D3,УГО_спр,2,FALSE),IFERROR(VLOOKUP(AT3,УГО_спр,2,FALSE),IFERROR(VLOOKUP(LEFT(AT3,2),УГО_спр,2,FALSE),""))))</f>
        <v/>
      </c>
      <c r="GL3" t="str">
        <f>IF(D3="","",IF(OR(GK3="",GK3=0),"BOX",IFERROR(IF(VLOOKUP(GK3,УГО_блоки,3,FALSE)&amp;""&lt;&gt;"",VLOOKUP(GK3,УГО_блоки,3,FALSE),VLOOKUP(GK3,УГО_блоки,2,FALSE)),GK3)))</f>
        <v/>
      </c>
      <c r="GM3">
        <f>IF(D3="",0,1)</f>
        <v>0</v>
      </c>
      <c r="GN3" t="str">
        <f>IF(EP3="","",IF(COUNTIF(EP$3:EP3,EP3)=1,MAX(GN$2:GN2)+1,""))</f>
        <v/>
      </c>
      <c r="GO3" t="str">
        <f>IF(AF3="","",IF(COUNTIF(AF$3:AF3,AF3)+COUNTIF(AG$2:AG2,AF3)+COUNTIF(AH$2:AH2,AF3)=1,MAX(GO$2:GQ2)+1,""))</f>
        <v/>
      </c>
      <c r="GP3" t="str">
        <f>IF(AG3="","",IF(COUNTIF(AF$3:AF3,AG3)+COUNTIF(AG$3:AG3,AG3)+COUNTIF(AH$2:AH2,AG3)=1,MAX(GO$2:GQ2,GO3)+1,""))</f>
        <v/>
      </c>
      <c r="GQ3" t="str">
        <f>IF(AH3="","",IF(COUNTIF(AF$3:AF3,AH3)+COUNTIF(AG$3:AG3,AH3)+COUNTIF(AH$3:AH3,AH3)=1,MAX(GO$2:GQ2,GO3,GP3)+1,""))</f>
        <v/>
      </c>
      <c r="GR3" t="str">
        <f>IF(EX3=1,IFERROR(MID(DS3,FIND(" (",DS3)+2,FIND(")",DS3,FIND(" (",DS3))-FIND(" (",DS3)-2),"?"),"")</f>
        <v/>
      </c>
      <c r="GS3" t="str">
        <f>IF(GR3="","",IF(COUNTIF(GR$3:GR3,GR3)=1,MAX(GS$2:GS2)+1,""))</f>
        <v/>
      </c>
      <c r="GT3" t="str">
        <f>IF(ES3="","",COUNTIF(ES$3:ES3,"?*"))</f>
        <v/>
      </c>
      <c r="GU3" t="str">
        <f>IF(OR(ES3="",EU3=""),"",IF(COUNTIFS(ES$3:ES3,"?*",EU$3:EU3,EU3)=1,MAX(GU$2:GU2)+1,""))</f>
        <v/>
      </c>
      <c r="GV3">
        <f>IF(FK3="",0,IF(OR(ISNUMBER(SEARCH("дубль",FK3)),ISNUMBER(SEARCH("ПЕРЕГРУЗ",FK3)),ISNUMBER(SEARCH("ЗАЩИЩ",FK3)),ISNUMBER(SEARCH("КАНАЛ",FK3)),ISNUMBER(SEARCH("без диф",FK3))),2,1))</f>
        <v>0</v>
      </c>
      <c r="GW3" t="str">
        <f>IF(D3="","",COUNTIF(D$3:D3,"?*"))</f>
        <v/>
      </c>
      <c r="GX3">
        <f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f>
        <v>0</v>
      </c>
      <c r="GY3">
        <f>IF(EX3&lt;&gt;1,0,MAX(0,IFERROR(--LEFT(SUBSTITUTE(GR3,"x","х"),FIND("х",SUBSTITUTE(GR3,"x","х"))-1),3)-3*GX3))</f>
        <v>0</v>
      </c>
    </row>
  </sheetData>
  <conditionalFormatting sqref="A3:GY304">
    <cfRule type="expression" dxfId="46" priority="1" stopIfTrue="1">
      <formula>$BE3="вводной узел"</formula>
    </cfRule>
    <cfRule type="expression" dxfId="45" priority="2" stopIfTrue="1">
      <formula>ODD($BB3)</formula>
    </cfRule>
    <cfRule type="expression" dxfId="44" priority="3" stopIfTrue="1">
      <formula>AND($AS3&gt;1,$A3&lt;&gt;$A2)</formula>
    </cfRule>
    <cfRule type="expression" dxfId="43" priority="4" stopIfTrue="1">
      <formula>AND($A3=$A2,$DR3&lt;&gt;$DR2,$DR3&lt;&gt;"")</formula>
    </cfRule>
  </conditionalFormatting>
  <dataValidations count="1">
    <dataValidation type="list" allowBlank="1" showInputMessage="1" sqref="AL3" xr:uid="{203B0137-A1D1-4527-9B2E-95001BBC840B}">
      <formula1>"вручную,рисовать"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36BB-3983-4B8D-8CD4-AF71FBE0658F}">
  <sheetPr>
    <tabColor rgb="FFED7D31"/>
  </sheetPr>
  <dimension ref="B1:AE88"/>
  <sheetViews>
    <sheetView workbookViewId="0"/>
  </sheetViews>
  <sheetFormatPr defaultRowHeight="14.4" x14ac:dyDescent="0.3"/>
  <cols>
    <col min="2" max="2" width="34.77734375" customWidth="1"/>
    <col min="3" max="9" width="13.77734375" customWidth="1"/>
    <col min="27" max="31" width="0" hidden="1" customWidth="1"/>
  </cols>
  <sheetData>
    <row r="1" spans="2:31" ht="18" x14ac:dyDescent="0.35">
      <c r="B1" s="113" t="s">
        <v>1134</v>
      </c>
    </row>
    <row r="2" spans="2:31" x14ac:dyDescent="0.3">
      <c r="AA2" t="s">
        <v>1137</v>
      </c>
      <c r="AB2" t="s">
        <v>1138</v>
      </c>
      <c r="AC2" t="s">
        <v>1139</v>
      </c>
      <c r="AD2" t="s">
        <v>1140</v>
      </c>
      <c r="AE2" t="s">
        <v>1141</v>
      </c>
    </row>
    <row r="3" spans="2:31" x14ac:dyDescent="0.3">
      <c r="B3" t="s">
        <v>1136</v>
      </c>
      <c r="C3" s="114" t="s">
        <v>975</v>
      </c>
      <c r="D3" t="str">
        <f>"Вводов: "&amp;_xlfn.XLOOKUP($C$3,Щиты[Щит],Щиты[Вводов],"")&amp;", АВР: "&amp;_xlfn.XLOOKUP($C$3,Щиты[Щит],Щиты[АВР],"")&amp;", ИБП питается от: "&amp;_xlfn.XLOOKUP($C$3,Щиты[Щит],Щиты[ИБП от],"Ввод 1")</f>
        <v xml:space="preserve">Вводов: , АВР: , ИБП питается от: </v>
      </c>
      <c r="E3" t="s">
        <v>1135</v>
      </c>
      <c r="AA3" cm="1">
        <f t="array" ref="AA3">--(ISNUMBER(SEARCH("|"&amp;$C$3&amp;"|",Линии[_путь щита]))*(Линии[Номер линии]&lt;&gt;""))</f>
        <v>0</v>
      </c>
      <c r="AB3" t="str" cm="1">
        <f t="array" ref="AB3">IFERROR(_xlfn.TEXTBEFORE(_xlfn.TEXTAFTER(Линии[_путь щита],"|"&amp;$C$3&amp;"|"),"|"),"")</f>
        <v/>
      </c>
      <c r="AC3" t="str" cm="1">
        <f t="array" ref="AC3">IF(_xlfn.ANCHORARRAY(AB3)="",Линии[Источник для режимов],_xlfn.XLOOKUP(_xlfn.ANCHORARRAY(AB3),Щиты[Щит],Щиты[Источник фидера],"Ввод 1"))</f>
        <v/>
      </c>
      <c r="AD3" t="str" cm="1">
        <f t="array" ref="AD3">IF(_xlfn.ANCHORARRAY(AB3)="",Линии[Пожарная (итог)],IF(_xlfn.XLOOKUP(_xlfn.ANCHORARRAY(AB3),Щиты[Щит],Щиты[Пожарный фидер],"нет")="да","да",Линии[Пожарная (итог)]))</f>
        <v/>
      </c>
      <c r="AE3" t="str" cm="1">
        <f t="array" ref="AE3">Линии[Категория (итог)]</f>
        <v/>
      </c>
    </row>
    <row r="5" spans="2:31" x14ac:dyDescent="0.3">
      <c r="B5" t="s">
        <v>1142</v>
      </c>
      <c r="C5" cm="1">
        <f t="array" ref="C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r,_xlpm.РАСЧЁТ(_xlfn.ANCHORARRAY(AA3)*(_xlfn.ANCHORARRAY(AC3)="ИБП")*(_xlfn.ANCHORARRAY(AD3)="нет"),0,0),INDEX(_xlpm.r,5)/ИБП_КПД*(1+ИБП_заряд)))</f>
        <v>0</v>
      </c>
      <c r="D5">
        <f>C5*TAN(ACOS(ИБП_cos_вх))</f>
        <v>0</v>
      </c>
      <c r="E5" s="116" t="str">
        <f>_xlfn.XLOOKUP($C$3,Щиты[Щит],Щиты[ИБП от],"Ввод 1")&amp;""</f>
        <v/>
      </c>
    </row>
    <row r="7" spans="2:31" x14ac:dyDescent="0.3">
      <c r="B7" s="36" t="s">
        <v>1143</v>
      </c>
    </row>
    <row r="8" spans="2:31" x14ac:dyDescent="0.3">
      <c r="B8" s="117" t="s">
        <v>751</v>
      </c>
      <c r="C8" s="118" t="s">
        <v>791</v>
      </c>
      <c r="D8" s="118" t="s">
        <v>804</v>
      </c>
      <c r="E8" s="118" t="s">
        <v>805</v>
      </c>
      <c r="F8" s="118" t="s">
        <v>806</v>
      </c>
      <c r="G8" s="118" t="s">
        <v>807</v>
      </c>
      <c r="H8" s="118" t="s">
        <v>1144</v>
      </c>
    </row>
    <row r="9" spans="2:31" x14ac:dyDescent="0.3">
      <c r="B9" t="s">
        <v>756</v>
      </c>
      <c r="C9" s="6" cm="1">
        <f t="array" ref="C9:C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1")*(_xlfn.ANCHORARRAY(AD3)="нет"),IF(OR($E$5="Ввод 1"),$C$5,0),IF(OR($E$5="Ввод 1"),$D$5,0)))</f>
        <v>0</v>
      </c>
      <c r="D9" s="6" cm="1">
        <f t="array" ref="D9:D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2")*(_xlfn.ANCHORARRAY(AD3)="нет"),IF(OR($E$5="Ввод 2"),$C$5,0),IF(OR($E$5="Ввод 2"),$D$5,0)))</f>
        <v>0</v>
      </c>
      <c r="E9" s="6" cm="1">
        <f t="array" ref="E9:E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F9" s="6" cm="1">
        <f t="array" ref="F9:F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G9" s="6" cm="1">
        <f t="array" ref="G9:G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H9" s="6" cm="1">
        <f t="array" ref="H9:H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3"))*(_xlfn.ANCHORARRAY(AD3)="нет"),IF(OR($E$5="Ввод 1",$E$5="Ввод 2",$E$5="Ввод 3"),$C$5,0),IF(OR($E$5="Ввод 1",$E$5="Ввод 2",$E$5="Ввод 3"),$D$5,0)))</f>
        <v>0</v>
      </c>
    </row>
    <row r="10" spans="2:31" x14ac:dyDescent="0.3">
      <c r="B10" t="s">
        <v>1145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2:31" x14ac:dyDescent="0.3">
      <c r="B11" t="s">
        <v>752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2:31" x14ac:dyDescent="0.3">
      <c r="B12" t="s">
        <v>766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2:31" x14ac:dyDescent="0.3">
      <c r="B13" t="s">
        <v>801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2:31" x14ac:dyDescent="0.3">
      <c r="B14" t="s">
        <v>802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2:31" x14ac:dyDescent="0.3">
      <c r="B15" t="s">
        <v>803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spans="2:31" x14ac:dyDescent="0.3">
      <c r="B16" t="s">
        <v>758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8" spans="2:4" x14ac:dyDescent="0.3">
      <c r="B18" s="36" t="s">
        <v>1146</v>
      </c>
    </row>
    <row r="19" spans="2:4" x14ac:dyDescent="0.3">
      <c r="B19" s="117" t="s">
        <v>751</v>
      </c>
      <c r="C19" s="118" t="s">
        <v>804</v>
      </c>
      <c r="D19" s="118" t="s">
        <v>805</v>
      </c>
    </row>
    <row r="20" spans="2:4" x14ac:dyDescent="0.3">
      <c r="B20" t="s">
        <v>756</v>
      </c>
      <c r="C20" s="6" cm="1">
        <f t="array" ref="C20:C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0</v>
      </c>
      <c r="D20" s="6" cm="1">
        <f t="array" ref="D20:D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</row>
    <row r="21" spans="2:4" x14ac:dyDescent="0.3">
      <c r="B21" t="s">
        <v>1145</v>
      </c>
      <c r="C21" s="6">
        <v>0</v>
      </c>
      <c r="D21" s="6">
        <v>0</v>
      </c>
    </row>
    <row r="22" spans="2:4" x14ac:dyDescent="0.3">
      <c r="B22" t="s">
        <v>752</v>
      </c>
      <c r="C22" s="6">
        <v>0</v>
      </c>
      <c r="D22" s="6">
        <v>0</v>
      </c>
    </row>
    <row r="23" spans="2:4" x14ac:dyDescent="0.3">
      <c r="B23" t="s">
        <v>766</v>
      </c>
      <c r="C23" s="6">
        <v>0</v>
      </c>
      <c r="D23" s="6">
        <v>0</v>
      </c>
    </row>
    <row r="24" spans="2:4" x14ac:dyDescent="0.3">
      <c r="B24" t="s">
        <v>801</v>
      </c>
      <c r="C24" s="6">
        <v>0</v>
      </c>
      <c r="D24" s="6">
        <v>0</v>
      </c>
    </row>
    <row r="25" spans="2:4" x14ac:dyDescent="0.3">
      <c r="B25" t="s">
        <v>802</v>
      </c>
      <c r="C25" s="6">
        <v>0</v>
      </c>
      <c r="D25" s="6">
        <v>0</v>
      </c>
    </row>
    <row r="26" spans="2:4" x14ac:dyDescent="0.3">
      <c r="B26" t="s">
        <v>803</v>
      </c>
      <c r="C26" s="6">
        <v>0</v>
      </c>
      <c r="D26" s="6">
        <v>0</v>
      </c>
    </row>
    <row r="27" spans="2:4" x14ac:dyDescent="0.3">
      <c r="B27" t="s">
        <v>758</v>
      </c>
      <c r="C27" s="6">
        <v>0</v>
      </c>
      <c r="D27" s="6">
        <v>0</v>
      </c>
    </row>
    <row r="29" spans="2:4" x14ac:dyDescent="0.3">
      <c r="B29" s="36" t="s">
        <v>1147</v>
      </c>
    </row>
    <row r="30" spans="2:4" x14ac:dyDescent="0.3">
      <c r="B30" s="117" t="s">
        <v>751</v>
      </c>
      <c r="C30" s="118" t="s">
        <v>791</v>
      </c>
      <c r="D30" s="118" t="s">
        <v>805</v>
      </c>
    </row>
    <row r="31" spans="2:4" x14ac:dyDescent="0.3">
      <c r="B31" t="s">
        <v>756</v>
      </c>
      <c r="C31" s="6" cm="1">
        <f t="array" ref="C31:C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0</v>
      </c>
      <c r="D31" s="6" cm="1">
        <f t="array" ref="D31:D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</row>
    <row r="32" spans="2:4" x14ac:dyDescent="0.3">
      <c r="B32" t="s">
        <v>1145</v>
      </c>
      <c r="C32" s="6">
        <v>0</v>
      </c>
      <c r="D32" s="6">
        <v>0</v>
      </c>
    </row>
    <row r="33" spans="2:4" x14ac:dyDescent="0.3">
      <c r="B33" t="s">
        <v>752</v>
      </c>
      <c r="C33" s="6">
        <v>0</v>
      </c>
      <c r="D33" s="6">
        <v>0</v>
      </c>
    </row>
    <row r="34" spans="2:4" x14ac:dyDescent="0.3">
      <c r="B34" t="s">
        <v>766</v>
      </c>
      <c r="C34" s="6">
        <v>0</v>
      </c>
      <c r="D34" s="6">
        <v>0</v>
      </c>
    </row>
    <row r="35" spans="2:4" x14ac:dyDescent="0.3">
      <c r="B35" t="s">
        <v>801</v>
      </c>
      <c r="C35" s="6">
        <v>0</v>
      </c>
      <c r="D35" s="6">
        <v>0</v>
      </c>
    </row>
    <row r="36" spans="2:4" x14ac:dyDescent="0.3">
      <c r="B36" t="s">
        <v>802</v>
      </c>
      <c r="C36" s="6">
        <v>0</v>
      </c>
      <c r="D36" s="6">
        <v>0</v>
      </c>
    </row>
    <row r="37" spans="2:4" x14ac:dyDescent="0.3">
      <c r="B37" t="s">
        <v>803</v>
      </c>
      <c r="C37" s="6">
        <v>0</v>
      </c>
      <c r="D37" s="6">
        <v>0</v>
      </c>
    </row>
    <row r="38" spans="2:4" x14ac:dyDescent="0.3">
      <c r="B38" t="s">
        <v>758</v>
      </c>
      <c r="C38" s="6">
        <v>0</v>
      </c>
      <c r="D38" s="6">
        <v>0</v>
      </c>
    </row>
    <row r="40" spans="2:4" x14ac:dyDescent="0.3">
      <c r="B40" s="36" t="s">
        <v>1148</v>
      </c>
    </row>
    <row r="41" spans="2:4" x14ac:dyDescent="0.3">
      <c r="B41" s="117" t="s">
        <v>751</v>
      </c>
      <c r="C41" s="118" t="s">
        <v>806</v>
      </c>
      <c r="D41" s="118" t="s">
        <v>807</v>
      </c>
    </row>
    <row r="42" spans="2:4" x14ac:dyDescent="0.3">
      <c r="B42" t="s">
        <v>756</v>
      </c>
      <c r="C42" s="6" cm="1">
        <f t="array" ref="C42:C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D42" s="6" cm="1">
        <f t="array" ref="D42:D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</row>
    <row r="43" spans="2:4" x14ac:dyDescent="0.3">
      <c r="B43" t="s">
        <v>1145</v>
      </c>
      <c r="C43" s="6">
        <v>0</v>
      </c>
      <c r="D43" s="6">
        <v>0</v>
      </c>
    </row>
    <row r="44" spans="2:4" x14ac:dyDescent="0.3">
      <c r="B44" t="s">
        <v>752</v>
      </c>
      <c r="C44" s="6">
        <v>0</v>
      </c>
      <c r="D44" s="6">
        <v>0</v>
      </c>
    </row>
    <row r="45" spans="2:4" x14ac:dyDescent="0.3">
      <c r="B45" t="s">
        <v>766</v>
      </c>
      <c r="C45" s="6">
        <v>0</v>
      </c>
      <c r="D45" s="6">
        <v>0</v>
      </c>
    </row>
    <row r="46" spans="2:4" x14ac:dyDescent="0.3">
      <c r="B46" t="s">
        <v>801</v>
      </c>
      <c r="C46" s="6">
        <v>0</v>
      </c>
      <c r="D46" s="6">
        <v>0</v>
      </c>
    </row>
    <row r="47" spans="2:4" x14ac:dyDescent="0.3">
      <c r="B47" t="s">
        <v>802</v>
      </c>
      <c r="C47" s="6">
        <v>0</v>
      </c>
      <c r="D47" s="6">
        <v>0</v>
      </c>
    </row>
    <row r="48" spans="2:4" x14ac:dyDescent="0.3">
      <c r="B48" t="s">
        <v>803</v>
      </c>
      <c r="C48" s="6">
        <v>0</v>
      </c>
      <c r="D48" s="6">
        <v>0</v>
      </c>
    </row>
    <row r="49" spans="2:8" x14ac:dyDescent="0.3">
      <c r="B49" t="s">
        <v>758</v>
      </c>
      <c r="C49" s="6">
        <v>0</v>
      </c>
      <c r="D49" s="6">
        <v>0</v>
      </c>
    </row>
    <row r="51" spans="2:8" x14ac:dyDescent="0.3">
      <c r="B51" s="36" t="s">
        <v>1149</v>
      </c>
    </row>
    <row r="52" spans="2:8" x14ac:dyDescent="0.3">
      <c r="B52" s="117" t="s">
        <v>751</v>
      </c>
      <c r="C52" s="118" t="s">
        <v>791</v>
      </c>
      <c r="D52" s="118" t="s">
        <v>804</v>
      </c>
      <c r="E52" s="118" t="s">
        <v>805</v>
      </c>
      <c r="F52" s="118" t="s">
        <v>806</v>
      </c>
      <c r="G52" s="118" t="s">
        <v>807</v>
      </c>
      <c r="H52" s="118" t="s">
        <v>808</v>
      </c>
    </row>
    <row r="53" spans="2:8" x14ac:dyDescent="0.3">
      <c r="B53" t="s">
        <v>756</v>
      </c>
      <c r="C53" s="6" cm="1">
        <f t="array" ref="C53:C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1")*(_xlfn.ANCHORARRAY(AD3)="да"),0,0))</f>
        <v>0</v>
      </c>
      <c r="D53" s="6" cm="1">
        <f t="array" ref="D53:D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2")*(_xlfn.ANCHORARRAY(AD3)="да"),0,0))</f>
        <v>0</v>
      </c>
      <c r="E53" s="6" cm="1">
        <f t="array" ref="E53:E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3")*(_xlfn.ANCHORARRAY(AD3)="да"),0,0))</f>
        <v>0</v>
      </c>
      <c r="F53" s="6" cm="1">
        <f t="array" ref="F53:F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да"),0,0))</f>
        <v>0</v>
      </c>
      <c r="G53" s="6" cm="1">
        <f t="array" ref="G53:G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да"),0,0))</f>
        <v>0</v>
      </c>
      <c r="H53" s="6" cm="1">
        <f t="array" ref="H53:H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D3)="да"),0,0))</f>
        <v>0</v>
      </c>
    </row>
    <row r="54" spans="2:8" x14ac:dyDescent="0.3">
      <c r="B54" t="s">
        <v>1145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2:8" x14ac:dyDescent="0.3">
      <c r="B55" t="s">
        <v>752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2:8" x14ac:dyDescent="0.3">
      <c r="B56" t="s">
        <v>766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2:8" x14ac:dyDescent="0.3">
      <c r="B57" t="s">
        <v>801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spans="2:8" x14ac:dyDescent="0.3">
      <c r="B58" t="s">
        <v>802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2:8" x14ac:dyDescent="0.3">
      <c r="B59" t="s">
        <v>803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2:8" x14ac:dyDescent="0.3">
      <c r="B60" t="s">
        <v>758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2" spans="2:8" x14ac:dyDescent="0.3">
      <c r="B62" s="36" t="s">
        <v>1150</v>
      </c>
    </row>
    <row r="63" spans="2:8" x14ac:dyDescent="0.3">
      <c r="B63" s="117" t="s">
        <v>751</v>
      </c>
      <c r="C63" s="118" t="s">
        <v>1144</v>
      </c>
    </row>
    <row r="64" spans="2:8" x14ac:dyDescent="0.3">
      <c r="B64" t="s">
        <v>756</v>
      </c>
      <c r="C64" s="6" cm="1">
        <f t="array" ref="C64:C71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3")),IF(OR($E$5="Ввод 1",$E$5="Ввод 2",$E$5="Ввод 3"),$C$5,0),IF(OR($E$5="Ввод 1",$E$5="Ввод 2",$E$5="Ввод 3"),$D$5,0)))</f>
        <v>0</v>
      </c>
    </row>
    <row r="65" spans="2:9" x14ac:dyDescent="0.3">
      <c r="B65" t="s">
        <v>1145</v>
      </c>
      <c r="C65" s="6">
        <v>0</v>
      </c>
    </row>
    <row r="66" spans="2:9" x14ac:dyDescent="0.3">
      <c r="B66" t="s">
        <v>752</v>
      </c>
      <c r="C66" s="6">
        <v>0</v>
      </c>
    </row>
    <row r="67" spans="2:9" x14ac:dyDescent="0.3">
      <c r="B67" t="s">
        <v>766</v>
      </c>
      <c r="C67" s="6">
        <v>0</v>
      </c>
    </row>
    <row r="68" spans="2:9" x14ac:dyDescent="0.3">
      <c r="B68" t="s">
        <v>801</v>
      </c>
      <c r="C68" s="6">
        <v>0</v>
      </c>
    </row>
    <row r="69" spans="2:9" x14ac:dyDescent="0.3">
      <c r="B69" t="s">
        <v>802</v>
      </c>
      <c r="C69" s="6">
        <v>0</v>
      </c>
    </row>
    <row r="70" spans="2:9" x14ac:dyDescent="0.3">
      <c r="B70" t="s">
        <v>803</v>
      </c>
      <c r="C70" s="6">
        <v>0</v>
      </c>
    </row>
    <row r="71" spans="2:9" x14ac:dyDescent="0.3">
      <c r="B71" t="s">
        <v>758</v>
      </c>
      <c r="C71" s="6">
        <v>0</v>
      </c>
    </row>
    <row r="73" spans="2:9" x14ac:dyDescent="0.3">
      <c r="B73" s="36" t="s">
        <v>1151</v>
      </c>
    </row>
    <row r="74" spans="2:9" x14ac:dyDescent="0.3">
      <c r="B74" s="117" t="s">
        <v>767</v>
      </c>
      <c r="C74" s="117" t="s">
        <v>1152</v>
      </c>
      <c r="D74" s="117" t="s">
        <v>756</v>
      </c>
      <c r="E74" s="117" t="s">
        <v>801</v>
      </c>
      <c r="F74" s="117" t="s">
        <v>802</v>
      </c>
      <c r="G74" s="117" t="s">
        <v>803</v>
      </c>
      <c r="H74" s="117" t="s">
        <v>1153</v>
      </c>
      <c r="I74" s="117" t="s">
        <v>1154</v>
      </c>
    </row>
    <row r="75" spans="2:9" x14ac:dyDescent="0.3">
      <c r="B75" t="s">
        <v>810</v>
      </c>
      <c r="C75" cm="1">
        <f t="array" ref="C75">SUM(_xlfn.ANCHORARRAY(AA3)*(_xlfn.ANCHORARRAY(AE3)="I особая"))</f>
        <v>0</v>
      </c>
      <c r="D75" s="6" cm="1">
        <f t="array" ref="D75:G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особая")*(_xlfn.ANCHORARRAY(AD3)="нет"),0,0),_xlfn.HSTACK(INDEX(_xlpm.x,1),INDEX(_xlpm.x,5),INDEX(_xlpm.x,6),INDEX(_xlpm.x,7))))</f>
        <v>0</v>
      </c>
      <c r="E75" s="6">
        <v>0</v>
      </c>
      <c r="F75" s="6">
        <v>0</v>
      </c>
      <c r="G75" s="6">
        <v>0</v>
      </c>
      <c r="H75" s="6" cm="1">
        <f t="array" ref="H75:I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особая")*(_xlfn.ANCHORARRAY(AD3)="да"),0,0),_xlfn.HSTACK(INDEX(_xlpm.x,1),INDEX(_xlpm.x,5))))</f>
        <v>0</v>
      </c>
      <c r="I75" s="6">
        <v>0</v>
      </c>
    </row>
    <row r="76" spans="2:9" x14ac:dyDescent="0.3">
      <c r="B76" t="s">
        <v>811</v>
      </c>
      <c r="C76" cm="1">
        <f t="array" ref="C76">SUM(_xlfn.ANCHORARRAY(AA3)*(_xlfn.ANCHORARRAY(AE3)="I"))</f>
        <v>0</v>
      </c>
      <c r="D76" s="6" cm="1">
        <f t="array" ref="D76:G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нет"),0,0),_xlfn.HSTACK(INDEX(_xlpm.x,1),INDEX(_xlpm.x,5),INDEX(_xlpm.x,6),INDEX(_xlpm.x,7))))</f>
        <v>0</v>
      </c>
      <c r="E76" s="6">
        <v>0</v>
      </c>
      <c r="F76" s="6">
        <v>0</v>
      </c>
      <c r="G76" s="6">
        <v>0</v>
      </c>
      <c r="H76" s="6" cm="1">
        <f t="array" ref="H76:I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да"),0,0),_xlfn.HSTACK(INDEX(_xlpm.x,1),INDEX(_xlpm.x,5))))</f>
        <v>0</v>
      </c>
      <c r="I76" s="6">
        <v>0</v>
      </c>
    </row>
    <row r="77" spans="2:9" x14ac:dyDescent="0.3">
      <c r="B77" t="s">
        <v>764</v>
      </c>
      <c r="C77" cm="1">
        <f t="array" ref="C77">SUM(_xlfn.ANCHORARRAY(AA3)*(_xlfn.ANCHORARRAY(AE3)="II"))</f>
        <v>0</v>
      </c>
      <c r="D77" s="6" cm="1">
        <f t="array" ref="D77:G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нет"),0,0),_xlfn.HSTACK(INDEX(_xlpm.x,1),INDEX(_xlpm.x,5),INDEX(_xlpm.x,6),INDEX(_xlpm.x,7))))</f>
        <v>0</v>
      </c>
      <c r="E77" s="6">
        <v>0</v>
      </c>
      <c r="F77" s="6">
        <v>0</v>
      </c>
      <c r="G77" s="6">
        <v>0</v>
      </c>
      <c r="H77" s="6" cm="1">
        <f t="array" ref="H77:I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да"),0,0),_xlfn.HSTACK(INDEX(_xlpm.x,1),INDEX(_xlpm.x,5))))</f>
        <v>0</v>
      </c>
      <c r="I77" s="6">
        <v>0</v>
      </c>
    </row>
    <row r="78" spans="2:9" x14ac:dyDescent="0.3">
      <c r="B78" t="s">
        <v>812</v>
      </c>
      <c r="C78" cm="1">
        <f t="array" ref="C78">SUM(_xlfn.ANCHORARRAY(AA3)*(_xlfn.ANCHORARRAY(AE3)="III"))</f>
        <v>0</v>
      </c>
      <c r="D78" s="6" cm="1">
        <f t="array" ref="D78:G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нет"),0,0),_xlfn.HSTACK(INDEX(_xlpm.x,1),INDEX(_xlpm.x,5),INDEX(_xlpm.x,6),INDEX(_xlpm.x,7))))</f>
        <v>0</v>
      </c>
      <c r="E78" s="6">
        <v>0</v>
      </c>
      <c r="F78" s="6">
        <v>0</v>
      </c>
      <c r="G78" s="6">
        <v>0</v>
      </c>
      <c r="H78" s="6" cm="1">
        <f t="array" ref="H78:I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да"),0,0),_xlfn.HSTACK(INDEX(_xlpm.x,1),INDEX(_xlpm.x,5))))</f>
        <v>0</v>
      </c>
      <c r="I78" s="6">
        <v>0</v>
      </c>
    </row>
    <row r="79" spans="2:9" x14ac:dyDescent="0.3">
      <c r="B79" t="s">
        <v>808</v>
      </c>
      <c r="C79">
        <f>SUM(_xlfn.ANCHORARRAY(AA3))</f>
        <v>0</v>
      </c>
      <c r="D79" s="6" cm="1">
        <f t="array" ref="D79:G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нет"),0,0),_xlfn.HSTACK(INDEX(_xlpm.x,1),INDEX(_xlpm.x,5),INDEX(_xlpm.x,6),INDEX(_xlpm.x,7))))</f>
        <v>0</v>
      </c>
      <c r="E79" s="6">
        <v>0</v>
      </c>
      <c r="F79" s="6">
        <v>0</v>
      </c>
      <c r="G79" s="6">
        <v>0</v>
      </c>
      <c r="H79" s="6" cm="1">
        <f t="array" ref="H79:I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да"),0,0),_xlfn.HSTACK(INDEX(_xlpm.x,1),INDEX(_xlpm.x,5))))</f>
        <v>0</v>
      </c>
      <c r="I79" s="6">
        <v>0</v>
      </c>
    </row>
    <row r="80" spans="2:9" x14ac:dyDescent="0.3">
      <c r="B80" s="116" t="s">
        <v>1155</v>
      </c>
    </row>
    <row r="82" spans="2:3" x14ac:dyDescent="0.3">
      <c r="B82" s="36" t="s">
        <v>1156</v>
      </c>
    </row>
    <row r="83" spans="2:3" x14ac:dyDescent="0.3">
      <c r="B83" t="s">
        <v>1157</v>
      </c>
      <c r="C83" s="6" cm="1">
        <f t="array" ref="C83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INDEX(_xlpm.РАСЧЁТ(_xlfn.ANCHORARRAY(AA3)*(_xlfn.ANCHORARRAY(AC3)="ИБП")*(_xlfn.ANCHORARRAY(AD3)="нет"),0,0),5))</f>
        <v>0</v>
      </c>
    </row>
    <row r="84" spans="2:3" x14ac:dyDescent="0.3">
      <c r="B84" t="s">
        <v>1158</v>
      </c>
      <c r="C84" s="6">
        <f>C83/ИБП_cos_вых/ИБП_загрузка</f>
        <v>0</v>
      </c>
    </row>
    <row r="85" spans="2:3" x14ac:dyDescent="0.3">
      <c r="B85" t="s">
        <v>1159</v>
      </c>
      <c r="C85" s="6" cm="1">
        <f t="array" ref="C85">IFERROR(MIN(_xlfn._xlws.FILTER(ИБП_ряд,ИБП_ряд&gt;=C84)),"больше ряда")</f>
        <v>6</v>
      </c>
    </row>
    <row r="86" spans="2:3" x14ac:dyDescent="0.3">
      <c r="B86" t="s">
        <v>1160</v>
      </c>
      <c r="C86" s="6">
        <f>IFERROR(C83/ИБП_cos_вых/C85,"")</f>
        <v>0</v>
      </c>
    </row>
    <row r="87" spans="2:3" x14ac:dyDescent="0.3">
      <c r="B87" t="s">
        <v>1161</v>
      </c>
      <c r="C87" s="6">
        <f>C83*1000*ИБП_t/60/(ИБП_U*ИБП_КПД*ИБП_k)</f>
        <v>0</v>
      </c>
    </row>
    <row r="88" spans="2:3" x14ac:dyDescent="0.3">
      <c r="B88" t="s">
        <v>1162</v>
      </c>
      <c r="C88" s="6">
        <f>C5</f>
        <v>0</v>
      </c>
    </row>
  </sheetData>
  <dataValidations count="1">
    <dataValidation type="list" allowBlank="1" showInputMessage="1" showErrorMessage="1" sqref="C3" xr:uid="{3424EDBB-169B-4234-A391-3DA5F302C58F}">
      <formula1>Список_щитов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EE5F-CAF1-4CA9-BC59-F3BCF16775AF}">
  <sheetPr>
    <tabColor rgb="FFED7D31"/>
  </sheetPr>
  <dimension ref="A1:L200"/>
  <sheetViews>
    <sheetView workbookViewId="0"/>
  </sheetViews>
  <sheetFormatPr defaultRowHeight="14.4" x14ac:dyDescent="0.3"/>
  <cols>
    <col min="1" max="1" width="5.77734375" customWidth="1"/>
    <col min="2" max="2" width="48.77734375" customWidth="1"/>
    <col min="3" max="3" width="11.77734375" customWidth="1"/>
    <col min="4" max="6" width="8.77734375" customWidth="1"/>
    <col min="7" max="10" width="11.77734375" customWidth="1"/>
    <col min="12" max="12" width="60.77734375" customWidth="1"/>
  </cols>
  <sheetData>
    <row r="1" spans="1:12" ht="18" x14ac:dyDescent="0.35">
      <c r="A1" s="113" t="s">
        <v>1163</v>
      </c>
    </row>
    <row r="3" spans="1:12" ht="409.6" x14ac:dyDescent="0.3">
      <c r="B3" t="s">
        <v>762</v>
      </c>
      <c r="C3" s="114" t="s">
        <v>763</v>
      </c>
      <c r="E3" s="36" t="s">
        <v>1166</v>
      </c>
      <c r="L3" s="4" t="s">
        <v>1172</v>
      </c>
    </row>
    <row r="4" spans="1:12" x14ac:dyDescent="0.3">
      <c r="B4" t="s">
        <v>1164</v>
      </c>
      <c r="C4" s="114" t="s">
        <v>975</v>
      </c>
      <c r="E4" t="s">
        <v>770</v>
      </c>
      <c r="G4" t="str">
        <f>"~"&amp;FIXED(Uн_лин*1000,0)&amp;"/"&amp;FIXED(Uн_лин*1000/SQRT(3),0)&amp;" В, 50 Гц"</f>
        <v>~400/231 В, 50 Гц</v>
      </c>
    </row>
    <row r="5" spans="1:12" x14ac:dyDescent="0.3">
      <c r="B5" t="s">
        <v>765</v>
      </c>
      <c r="C5" s="114" t="s">
        <v>1165</v>
      </c>
      <c r="E5" t="s">
        <v>771</v>
      </c>
      <c r="G5" t="s">
        <v>772</v>
      </c>
    </row>
    <row r="6" spans="1:12" x14ac:dyDescent="0.3">
      <c r="E6" t="s">
        <v>773</v>
      </c>
      <c r="G6" t="str">
        <f>_xlfn.XLOOKUP($C$4,Щиты[Щит],Щиты[Категория шины «Ввод»],"")</f>
        <v>III</v>
      </c>
    </row>
    <row r="7" spans="1:12" x14ac:dyDescent="0.3">
      <c r="E7" t="s">
        <v>774</v>
      </c>
      <c r="G7" t="str">
        <f>FIXED(C16,2)</f>
        <v>0,00</v>
      </c>
    </row>
    <row r="8" spans="1:12" x14ac:dyDescent="0.3">
      <c r="E8" t="s">
        <v>775</v>
      </c>
      <c r="G8" t="str">
        <f>FIXED(G16,2)&amp;" / "&amp;FIXED(I16,2)&amp;" / "&amp;FIXED(IF(I16=0,0,G16/I16),2)</f>
        <v>0,00 / 0,00 / 0,00</v>
      </c>
    </row>
    <row r="9" spans="1:12" x14ac:dyDescent="0.3">
      <c r="E9" t="s">
        <v>776</v>
      </c>
      <c r="G9" t="str">
        <f>FIXED(J16,1)</f>
        <v>0,0</v>
      </c>
    </row>
    <row r="10" spans="1:12" x14ac:dyDescent="0.3">
      <c r="E10" t="s">
        <v>1167</v>
      </c>
      <c r="G10" t="str">
        <f>IFERROR(FIXED(_xlfn.XLOOKUP($C$4,Щиты[Щит],Щиты[ΔU до шин, %]),2),"—")</f>
        <v>0,00</v>
      </c>
    </row>
    <row r="11" spans="1:12" x14ac:dyDescent="0.3">
      <c r="E11" t="s">
        <v>1168</v>
      </c>
      <c r="G11" t="str">
        <f>IFERROR(FIXED(_xlfn.XLOOKUP($C$4,Щиты[Щит],Щиты[Iкз min на шинах, А]),0)&amp;" А / "&amp;FIXED(_xlfn.XLOOKUP($C$4,Щиты[Щит],Щиты[Iкз max на шинах, кА]),1)&amp;" кА","нет данных сети")</f>
        <v>нет данных сети</v>
      </c>
    </row>
    <row r="12" spans="1:12" x14ac:dyDescent="0.3">
      <c r="E12" t="s">
        <v>777</v>
      </c>
      <c r="G12" t="str">
        <f>IF(N(G16)=0,"",IF(G16*(IF(G16=0,0,H16/G16)-0.35)&lt;50,"не требуется (&lt; 50 квар на ввод, СП 256 п. 7.3)",ROUND(G16*(H16/G16-0.35),1)&amp;" квар"))</f>
        <v/>
      </c>
    </row>
    <row r="14" spans="1:12" ht="100.8" x14ac:dyDescent="0.3">
      <c r="A14" s="119" t="s">
        <v>657</v>
      </c>
      <c r="B14" s="119" t="s">
        <v>1169</v>
      </c>
      <c r="C14" s="119" t="s">
        <v>756</v>
      </c>
      <c r="D14" s="119" t="s">
        <v>539</v>
      </c>
      <c r="E14" s="119" t="s">
        <v>752</v>
      </c>
      <c r="F14" s="119" t="s">
        <v>766</v>
      </c>
      <c r="G14" s="119" t="s">
        <v>801</v>
      </c>
      <c r="H14" s="119" t="s">
        <v>802</v>
      </c>
      <c r="I14" s="119" t="s">
        <v>803</v>
      </c>
      <c r="J14" s="119" t="s">
        <v>758</v>
      </c>
    </row>
    <row r="15" spans="1:12" x14ac:dyDescent="0.3">
      <c r="A15" s="122"/>
      <c r="B15" s="36" t="s">
        <v>1170</v>
      </c>
      <c r="C15" s="121">
        <f>IFERROR(SUM(INDEX(_xlfn.ANCHORARRAY(A17),0,3)),0)</f>
        <v>0</v>
      </c>
      <c r="D15" s="121"/>
      <c r="E15" s="121"/>
      <c r="F15" s="121"/>
      <c r="G15" s="121">
        <f>IFERROR(SUM(INDEX(_xlfn.ANCHORARRAY(A17),0,7)),0)</f>
        <v>0</v>
      </c>
      <c r="H15" s="121">
        <f>IFERROR(SUM(INDEX(_xlfn.ANCHORARRAY(A17),0,8)),0)</f>
        <v>0</v>
      </c>
      <c r="I15" s="121">
        <f>SQRT(G15^2+H15^2)</f>
        <v>0</v>
      </c>
      <c r="J15" s="121">
        <f>I15/(SQRT(3)*Uн_лин)</f>
        <v>0</v>
      </c>
    </row>
    <row r="16" spans="1:12" ht="201.6" x14ac:dyDescent="0.3">
      <c r="A16" s="122"/>
      <c r="B16" s="120" t="s">
        <v>1171</v>
      </c>
      <c r="C16" s="121" cm="1">
        <f t="array" ref="C16:J1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pr,k_пк*_xlpm.byt*_xlpm.kc+_xlpm.ko*_xlpm.sil+_xlpm.post+_xlpm.otop+_xlpm.vng,_xlpm.qv_,_xlpm.pr*TAN(ACOS(_xlpm.cs_)),_xlfn.HSTACK(_xlpm.pall,IF(_xlpm.pall=0,0,_xlpm.pr/_xlpm.pall),_xlpm.cs_,TAN(ACOS(_xlpm.cs_)),_xlpm.pr,_xlpm.qv_,SQRT(_xlpm.pr^2+_xlpm.qv_^2),SQRT(_xlpm.pr^2+_xlpm.qv_^2)/(SQRT(3)*Uн_лин)))</f>
        <v>0</v>
      </c>
      <c r="D16" s="121">
        <v>0</v>
      </c>
      <c r="E16" s="121">
        <v>0.95</v>
      </c>
      <c r="F16" s="121">
        <v>0.32868410517886321</v>
      </c>
      <c r="G16" s="121">
        <v>0</v>
      </c>
      <c r="H16" s="121">
        <v>0</v>
      </c>
      <c r="I16" s="121">
        <v>0</v>
      </c>
      <c r="J16" s="121">
        <v>0</v>
      </c>
    </row>
    <row r="17" spans="1:10" x14ac:dyDescent="0.3">
      <c r="A17" s="7" cm="1">
        <f t="array" ref="A17:J17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2026",IF(AND(_xlpm.byt&gt;0,_xlpm.sil&gt;0),Ко_сил,1),Ко_сил),_xlpm.cs_,IF(_xlpm.pw=0,0.95,_xlpm.pc/_xlpm.pw),_xlpm.kinds,_xlfn.UNIQUE(_xlfn._xlws.FILTER(Линии[Вид нагрузки (итог)],_xlpm.m,"")),_xlpm.rows,_xlfn.REDUCE("",_xlpm.kinds,_xlfn.LAMBDA(_xlpm.acc,_xlpm.k,_xlfn.LET(_xlpm.mk,_xlpm.m*(Линии[Вид нагрузки (итог)]=_xlpm.k),_xlpm.bb_,SUM(_xlpm.mk*Линии[_Руст быт]),_xlpm.ss_,SUM(_xlpm.mk*Линии[_Рр сил]),_xlpm.pp_,SUM(_xlpm.mk*Линии[_Руст пост]),_xlpm.oo_,SUM(_xlpm.mk*Линии[_Р отопления]),_xlpm.vv_,SUM(_xlpm.mk*Линии[_Рр ВНГ]),_xlpm.aa_,SUM(_xlpm.mk*Линии[_Руст (без Нет)]),_xlpm.ww_,SUM(_xlpm.mk*Линии[_P для cos]),_xlpm.cc_,SUM(_xlpm.mk*Линии[_P·cos]),_xlpm.cs,IF(_xlpm.ww_=0,0.95,_xlpm.cc_/_xlpm.ww_),_xlpm.prr_,k_пк*_xlpm.bb_*_xlpm.kc+_xlpm.ss_+_xlpm.pp_+_xlpm.oo_+_xlpm.vv_,_xlpm.qq_,_xlpm.prr_*TAN(ACOS(_xlpm.cs)),_xlfn.VSTACK(_xlpm.acc,_xlfn.HSTACK(_xlpm.k,_xlpm.aa_,IF(_xlpm.aa_=0,0,_xlpm.prr_/_xlpm.aa_),_xlpm.cs,TAN(ACOS(_xlpm.cs)),_xlpm.prr_,_xlpm.qq_,SQRT(_xlpm.prr_^2+_xlpm.qq_^2),SQRT(_xlpm.prr_^2+_xlpm.qq_^2)/(SQRT(3)*Uн_лин)))))),_xlpm.b0,_xlfn.DROP(_xlpm.rows,1),_xlpm.body,_xlfn._xlws.FILTER(_xlpm.b0,(_xlfn.CHOOSECOLS(_xlpm.b0,2)&lt;&gt;0)+(_xlfn.CHOOSECOLS(_xlpm.b0,6)&lt;&gt;0),_xlpm.b0),_xlfn.HSTACK(_xlfn.SEQUENCE(ROWS(_xlpm.body)),_xlpm.body))</f>
        <v>1</v>
      </c>
      <c r="B17" t="str">
        <v/>
      </c>
      <c r="C17" s="6">
        <v>0</v>
      </c>
      <c r="D17" s="6">
        <v>0</v>
      </c>
      <c r="E17" s="6">
        <v>0.95</v>
      </c>
      <c r="F17" s="6">
        <v>0.32868410517886321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3">
      <c r="A18" s="7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7"/>
      <c r="C19" s="6"/>
      <c r="D19" s="6"/>
      <c r="E19" s="6"/>
      <c r="F19" s="6"/>
      <c r="G19" s="6"/>
      <c r="H19" s="6"/>
      <c r="I19" s="6"/>
      <c r="J19" s="6"/>
    </row>
    <row r="20" spans="1:10" x14ac:dyDescent="0.3">
      <c r="A20" s="7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7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7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7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7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7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7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/>
      <c r="C35" s="6"/>
      <c r="D35" s="6"/>
      <c r="E35" s="6"/>
      <c r="F35" s="6"/>
      <c r="G35" s="6"/>
      <c r="H35" s="6"/>
      <c r="I35" s="6"/>
      <c r="J35" s="6"/>
    </row>
    <row r="36" spans="1:10" x14ac:dyDescent="0.3">
      <c r="A36" s="7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/>
      <c r="C37" s="6"/>
      <c r="D37" s="6"/>
      <c r="E37" s="6"/>
      <c r="F37" s="6"/>
      <c r="G37" s="6"/>
      <c r="H37" s="6"/>
      <c r="I37" s="6"/>
      <c r="J37" s="6"/>
    </row>
    <row r="38" spans="1:10" x14ac:dyDescent="0.3">
      <c r="A38" s="7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7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7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7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7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7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7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7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7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7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7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/>
      <c r="C57" s="6"/>
      <c r="D57" s="6"/>
      <c r="E57" s="6"/>
      <c r="F57" s="6"/>
      <c r="G57" s="6"/>
      <c r="H57" s="6"/>
      <c r="I57" s="6"/>
      <c r="J57" s="6"/>
    </row>
    <row r="58" spans="1:10" x14ac:dyDescent="0.3">
      <c r="A58" s="7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7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7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/>
      <c r="C61" s="6"/>
      <c r="D61" s="6"/>
      <c r="E61" s="6"/>
      <c r="F61" s="6"/>
      <c r="G61" s="6"/>
      <c r="H61" s="6"/>
      <c r="I61" s="6"/>
      <c r="J61" s="6"/>
    </row>
    <row r="62" spans="1:10" x14ac:dyDescent="0.3">
      <c r="A62" s="7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/>
      <c r="C63" s="6"/>
      <c r="D63" s="6"/>
      <c r="E63" s="6"/>
      <c r="F63" s="6"/>
      <c r="G63" s="6"/>
      <c r="H63" s="6"/>
      <c r="I63" s="6"/>
      <c r="J63" s="6"/>
    </row>
    <row r="64" spans="1:10" x14ac:dyDescent="0.3">
      <c r="A64" s="7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7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/>
      <c r="C67" s="6"/>
      <c r="D67" s="6"/>
      <c r="E67" s="6"/>
      <c r="F67" s="6"/>
      <c r="G67" s="6"/>
      <c r="H67" s="6"/>
      <c r="I67" s="6"/>
      <c r="J67" s="6"/>
    </row>
    <row r="68" spans="1:10" x14ac:dyDescent="0.3">
      <c r="A68" s="7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/>
      <c r="C69" s="6"/>
      <c r="D69" s="6"/>
      <c r="E69" s="6"/>
      <c r="F69" s="6"/>
      <c r="G69" s="6"/>
      <c r="H69" s="6"/>
      <c r="I69" s="6"/>
      <c r="J69" s="6"/>
    </row>
    <row r="70" spans="1:10" x14ac:dyDescent="0.3">
      <c r="A70" s="7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/>
      <c r="C71" s="6"/>
      <c r="D71" s="6"/>
      <c r="E71" s="6"/>
      <c r="F71" s="6"/>
      <c r="G71" s="6"/>
      <c r="H71" s="6"/>
      <c r="I71" s="6"/>
      <c r="J71" s="6"/>
    </row>
    <row r="72" spans="1:10" x14ac:dyDescent="0.3">
      <c r="A72" s="7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/>
      <c r="C73" s="6"/>
      <c r="D73" s="6"/>
      <c r="E73" s="6"/>
      <c r="F73" s="6"/>
      <c r="G73" s="6"/>
      <c r="H73" s="6"/>
      <c r="I73" s="6"/>
      <c r="J73" s="6"/>
    </row>
    <row r="74" spans="1:10" x14ac:dyDescent="0.3">
      <c r="A74" s="7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/>
      <c r="C75" s="6"/>
      <c r="D75" s="6"/>
      <c r="E75" s="6"/>
      <c r="F75" s="6"/>
      <c r="G75" s="6"/>
      <c r="H75" s="6"/>
      <c r="I75" s="6"/>
      <c r="J75" s="6"/>
    </row>
    <row r="76" spans="1:10" x14ac:dyDescent="0.3">
      <c r="A76" s="7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/>
      <c r="C77" s="6"/>
      <c r="D77" s="6"/>
      <c r="E77" s="6"/>
      <c r="F77" s="6"/>
      <c r="G77" s="6"/>
      <c r="H77" s="6"/>
      <c r="I77" s="6"/>
      <c r="J77" s="6"/>
    </row>
    <row r="78" spans="1:10" x14ac:dyDescent="0.3">
      <c r="A78" s="7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7"/>
      <c r="C79" s="6"/>
      <c r="D79" s="6"/>
      <c r="E79" s="6"/>
      <c r="F79" s="6"/>
      <c r="G79" s="6"/>
      <c r="H79" s="6"/>
      <c r="I79" s="6"/>
      <c r="J79" s="6"/>
    </row>
    <row r="80" spans="1:10" x14ac:dyDescent="0.3">
      <c r="A80" s="7"/>
      <c r="C80" s="6"/>
      <c r="D80" s="6"/>
      <c r="E80" s="6"/>
      <c r="F80" s="6"/>
      <c r="G80" s="6"/>
      <c r="H80" s="6"/>
      <c r="I80" s="6"/>
      <c r="J80" s="6"/>
    </row>
    <row r="81" spans="1:10" x14ac:dyDescent="0.3">
      <c r="A81" s="7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s="7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s="7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/>
      <c r="C85" s="6"/>
      <c r="D85" s="6"/>
      <c r="E85" s="6"/>
      <c r="F85" s="6"/>
      <c r="G85" s="6"/>
      <c r="H85" s="6"/>
      <c r="I85" s="6"/>
      <c r="J85" s="6"/>
    </row>
    <row r="86" spans="1:10" x14ac:dyDescent="0.3">
      <c r="A86" s="7"/>
      <c r="C86" s="6"/>
      <c r="D86" s="6"/>
      <c r="E86" s="6"/>
      <c r="F86" s="6"/>
      <c r="G86" s="6"/>
      <c r="H86" s="6"/>
      <c r="I86" s="6"/>
      <c r="J86" s="6"/>
    </row>
    <row r="87" spans="1:10" x14ac:dyDescent="0.3">
      <c r="A87" s="7"/>
      <c r="C87" s="6"/>
      <c r="D87" s="6"/>
      <c r="E87" s="6"/>
      <c r="F87" s="6"/>
      <c r="G87" s="6"/>
      <c r="H87" s="6"/>
      <c r="I87" s="6"/>
      <c r="J87" s="6"/>
    </row>
    <row r="88" spans="1:10" x14ac:dyDescent="0.3">
      <c r="A88" s="7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/>
      <c r="C89" s="6"/>
      <c r="D89" s="6"/>
      <c r="E89" s="6"/>
      <c r="F89" s="6"/>
      <c r="G89" s="6"/>
      <c r="H89" s="6"/>
      <c r="I89" s="6"/>
      <c r="J89" s="6"/>
    </row>
    <row r="90" spans="1:10" x14ac:dyDescent="0.3">
      <c r="A90" s="7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/>
      <c r="C91" s="6"/>
      <c r="D91" s="6"/>
      <c r="E91" s="6"/>
      <c r="F91" s="6"/>
      <c r="G91" s="6"/>
      <c r="H91" s="6"/>
      <c r="I91" s="6"/>
      <c r="J91" s="6"/>
    </row>
    <row r="92" spans="1:10" x14ac:dyDescent="0.3">
      <c r="A92" s="7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/>
      <c r="C93" s="6"/>
      <c r="D93" s="6"/>
      <c r="E93" s="6"/>
      <c r="F93" s="6"/>
      <c r="G93" s="6"/>
      <c r="H93" s="6"/>
      <c r="I93" s="6"/>
      <c r="J93" s="6"/>
    </row>
    <row r="94" spans="1:10" x14ac:dyDescent="0.3">
      <c r="A94" s="7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/>
      <c r="C95" s="6"/>
      <c r="D95" s="6"/>
      <c r="E95" s="6"/>
      <c r="F95" s="6"/>
      <c r="G95" s="6"/>
      <c r="H95" s="6"/>
      <c r="I95" s="6"/>
      <c r="J95" s="6"/>
    </row>
    <row r="96" spans="1:10" x14ac:dyDescent="0.3">
      <c r="A96" s="7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/>
      <c r="C97" s="6"/>
      <c r="D97" s="6"/>
      <c r="E97" s="6"/>
      <c r="F97" s="6"/>
      <c r="G97" s="6"/>
      <c r="H97" s="6"/>
      <c r="I97" s="6"/>
      <c r="J97" s="6"/>
    </row>
    <row r="98" spans="1:10" x14ac:dyDescent="0.3">
      <c r="A98" s="7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/>
      <c r="C99" s="6"/>
      <c r="D99" s="6"/>
      <c r="E99" s="6"/>
      <c r="F99" s="6"/>
      <c r="G99" s="6"/>
      <c r="H99" s="6"/>
      <c r="I99" s="6"/>
      <c r="J99" s="6"/>
    </row>
    <row r="100" spans="1:10" x14ac:dyDescent="0.3">
      <c r="A100" s="7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/>
      <c r="C101" s="6"/>
      <c r="D101" s="6"/>
      <c r="E101" s="6"/>
      <c r="F101" s="6"/>
      <c r="G101" s="6"/>
      <c r="H101" s="6"/>
      <c r="I101" s="6"/>
      <c r="J101" s="6"/>
    </row>
    <row r="102" spans="1:10" x14ac:dyDescent="0.3">
      <c r="A102" s="7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/>
      <c r="C103" s="6"/>
      <c r="D103" s="6"/>
      <c r="E103" s="6"/>
      <c r="F103" s="6"/>
      <c r="G103" s="6"/>
      <c r="H103" s="6"/>
      <c r="I103" s="6"/>
      <c r="J103" s="6"/>
    </row>
    <row r="104" spans="1:10" x14ac:dyDescent="0.3">
      <c r="A104" s="7"/>
      <c r="C104" s="6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C105" s="6"/>
      <c r="D105" s="6"/>
      <c r="E105" s="6"/>
      <c r="F105" s="6"/>
      <c r="G105" s="6"/>
      <c r="H105" s="6"/>
      <c r="I105" s="6"/>
      <c r="J105" s="6"/>
    </row>
    <row r="106" spans="1:10" x14ac:dyDescent="0.3">
      <c r="A106" s="7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/>
      <c r="C107" s="6"/>
      <c r="D107" s="6"/>
      <c r="E107" s="6"/>
      <c r="F107" s="6"/>
      <c r="G107" s="6"/>
      <c r="H107" s="6"/>
      <c r="I107" s="6"/>
      <c r="J107" s="6"/>
    </row>
    <row r="108" spans="1:10" x14ac:dyDescent="0.3">
      <c r="A108" s="7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/>
      <c r="C109" s="6"/>
      <c r="D109" s="6"/>
      <c r="E109" s="6"/>
      <c r="F109" s="6"/>
      <c r="G109" s="6"/>
      <c r="H109" s="6"/>
      <c r="I109" s="6"/>
      <c r="J109" s="6"/>
    </row>
    <row r="110" spans="1:10" x14ac:dyDescent="0.3">
      <c r="A110" s="7"/>
      <c r="C110" s="6"/>
      <c r="D110" s="6"/>
      <c r="E110" s="6"/>
      <c r="F110" s="6"/>
      <c r="G110" s="6"/>
      <c r="H110" s="6"/>
      <c r="I110" s="6"/>
      <c r="J110" s="6"/>
    </row>
    <row r="111" spans="1:10" x14ac:dyDescent="0.3">
      <c r="A111" s="7"/>
      <c r="C111" s="6"/>
      <c r="D111" s="6"/>
      <c r="E111" s="6"/>
      <c r="F111" s="6"/>
      <c r="G111" s="6"/>
      <c r="H111" s="6"/>
      <c r="I111" s="6"/>
      <c r="J111" s="6"/>
    </row>
    <row r="112" spans="1:10" x14ac:dyDescent="0.3">
      <c r="A112" s="7"/>
      <c r="C112" s="6"/>
      <c r="D112" s="6"/>
      <c r="E112" s="6"/>
      <c r="F112" s="6"/>
      <c r="G112" s="6"/>
      <c r="H112" s="6"/>
      <c r="I112" s="6"/>
      <c r="J112" s="6"/>
    </row>
    <row r="113" spans="1:10" x14ac:dyDescent="0.3">
      <c r="A113" s="7"/>
      <c r="C113" s="6"/>
      <c r="D113" s="6"/>
      <c r="E113" s="6"/>
      <c r="F113" s="6"/>
      <c r="G113" s="6"/>
      <c r="H113" s="6"/>
      <c r="I113" s="6"/>
      <c r="J113" s="6"/>
    </row>
    <row r="114" spans="1:10" x14ac:dyDescent="0.3">
      <c r="A114" s="7"/>
      <c r="C114" s="6"/>
      <c r="D114" s="6"/>
      <c r="E114" s="6"/>
      <c r="F114" s="6"/>
      <c r="G114" s="6"/>
      <c r="H114" s="6"/>
      <c r="I114" s="6"/>
      <c r="J114" s="6"/>
    </row>
    <row r="115" spans="1:10" x14ac:dyDescent="0.3">
      <c r="A115" s="7"/>
      <c r="C115" s="6"/>
      <c r="D115" s="6"/>
      <c r="E115" s="6"/>
      <c r="F115" s="6"/>
      <c r="G115" s="6"/>
      <c r="H115" s="6"/>
      <c r="I115" s="6"/>
      <c r="J115" s="6"/>
    </row>
    <row r="116" spans="1:10" x14ac:dyDescent="0.3">
      <c r="A116" s="7"/>
      <c r="C116" s="6"/>
      <c r="D116" s="6"/>
      <c r="E116" s="6"/>
      <c r="F116" s="6"/>
      <c r="G116" s="6"/>
      <c r="H116" s="6"/>
      <c r="I116" s="6"/>
      <c r="J116" s="6"/>
    </row>
    <row r="117" spans="1:10" x14ac:dyDescent="0.3">
      <c r="A117" s="7"/>
      <c r="C117" s="6"/>
      <c r="D117" s="6"/>
      <c r="E117" s="6"/>
      <c r="F117" s="6"/>
      <c r="G117" s="6"/>
      <c r="H117" s="6"/>
      <c r="I117" s="6"/>
      <c r="J117" s="6"/>
    </row>
    <row r="118" spans="1:10" x14ac:dyDescent="0.3">
      <c r="A118" s="7"/>
      <c r="C118" s="6"/>
      <c r="D118" s="6"/>
      <c r="E118" s="6"/>
      <c r="F118" s="6"/>
      <c r="G118" s="6"/>
      <c r="H118" s="6"/>
      <c r="I118" s="6"/>
      <c r="J118" s="6"/>
    </row>
    <row r="119" spans="1:10" x14ac:dyDescent="0.3">
      <c r="A119" s="7"/>
      <c r="C119" s="6"/>
      <c r="D119" s="6"/>
      <c r="E119" s="6"/>
      <c r="F119" s="6"/>
      <c r="G119" s="6"/>
      <c r="H119" s="6"/>
      <c r="I119" s="6"/>
      <c r="J119" s="6"/>
    </row>
    <row r="120" spans="1:10" x14ac:dyDescent="0.3">
      <c r="A120" s="7"/>
      <c r="C120" s="6"/>
      <c r="D120" s="6"/>
      <c r="E120" s="6"/>
      <c r="F120" s="6"/>
      <c r="G120" s="6"/>
      <c r="H120" s="6"/>
      <c r="I120" s="6"/>
      <c r="J120" s="6"/>
    </row>
    <row r="121" spans="1:10" x14ac:dyDescent="0.3">
      <c r="A121" s="7"/>
      <c r="C121" s="6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C122" s="6"/>
      <c r="D122" s="6"/>
      <c r="E122" s="6"/>
      <c r="F122" s="6"/>
      <c r="G122" s="6"/>
      <c r="H122" s="6"/>
      <c r="I122" s="6"/>
      <c r="J122" s="6"/>
    </row>
    <row r="123" spans="1:10" x14ac:dyDescent="0.3">
      <c r="A123" s="7"/>
      <c r="C123" s="6"/>
      <c r="D123" s="6"/>
      <c r="E123" s="6"/>
      <c r="F123" s="6"/>
      <c r="G123" s="6"/>
      <c r="H123" s="6"/>
      <c r="I123" s="6"/>
      <c r="J123" s="6"/>
    </row>
    <row r="124" spans="1:10" x14ac:dyDescent="0.3">
      <c r="A124" s="7"/>
      <c r="C124" s="6"/>
      <c r="D124" s="6"/>
      <c r="E124" s="6"/>
      <c r="F124" s="6"/>
      <c r="G124" s="6"/>
      <c r="H124" s="6"/>
      <c r="I124" s="6"/>
      <c r="J124" s="6"/>
    </row>
    <row r="125" spans="1:10" x14ac:dyDescent="0.3">
      <c r="A125" s="7"/>
      <c r="C125" s="6"/>
      <c r="D125" s="6"/>
      <c r="E125" s="6"/>
      <c r="F125" s="6"/>
      <c r="G125" s="6"/>
      <c r="H125" s="6"/>
      <c r="I125" s="6"/>
      <c r="J125" s="6"/>
    </row>
    <row r="126" spans="1:10" x14ac:dyDescent="0.3">
      <c r="A126" s="7"/>
      <c r="C126" s="6"/>
      <c r="D126" s="6"/>
      <c r="E126" s="6"/>
      <c r="F126" s="6"/>
      <c r="G126" s="6"/>
      <c r="H126" s="6"/>
      <c r="I126" s="6"/>
      <c r="J126" s="6"/>
    </row>
    <row r="127" spans="1:10" x14ac:dyDescent="0.3">
      <c r="A127" s="7"/>
      <c r="C127" s="6"/>
      <c r="D127" s="6"/>
      <c r="E127" s="6"/>
      <c r="F127" s="6"/>
      <c r="G127" s="6"/>
      <c r="H127" s="6"/>
      <c r="I127" s="6"/>
      <c r="J127" s="6"/>
    </row>
    <row r="128" spans="1:10" x14ac:dyDescent="0.3">
      <c r="A128" s="7"/>
      <c r="C128" s="6"/>
      <c r="D128" s="6"/>
      <c r="E128" s="6"/>
      <c r="F128" s="6"/>
      <c r="G128" s="6"/>
      <c r="H128" s="6"/>
      <c r="I128" s="6"/>
      <c r="J128" s="6"/>
    </row>
    <row r="129" spans="1:10" x14ac:dyDescent="0.3">
      <c r="A129" s="7"/>
      <c r="C129" s="6"/>
      <c r="D129" s="6"/>
      <c r="E129" s="6"/>
      <c r="F129" s="6"/>
      <c r="G129" s="6"/>
      <c r="H129" s="6"/>
      <c r="I129" s="6"/>
      <c r="J129" s="6"/>
    </row>
    <row r="130" spans="1:10" x14ac:dyDescent="0.3">
      <c r="A130" s="7"/>
      <c r="C130" s="6"/>
      <c r="D130" s="6"/>
      <c r="E130" s="6"/>
      <c r="F130" s="6"/>
      <c r="G130" s="6"/>
      <c r="H130" s="6"/>
      <c r="I130" s="6"/>
      <c r="J130" s="6"/>
    </row>
    <row r="131" spans="1:10" x14ac:dyDescent="0.3">
      <c r="A131" s="7"/>
      <c r="C131" s="6"/>
      <c r="D131" s="6"/>
      <c r="E131" s="6"/>
      <c r="F131" s="6"/>
      <c r="G131" s="6"/>
      <c r="H131" s="6"/>
      <c r="I131" s="6"/>
      <c r="J131" s="6"/>
    </row>
    <row r="132" spans="1:10" x14ac:dyDescent="0.3">
      <c r="A132" s="7"/>
      <c r="C132" s="6"/>
      <c r="D132" s="6"/>
      <c r="E132" s="6"/>
      <c r="F132" s="6"/>
      <c r="G132" s="6"/>
      <c r="H132" s="6"/>
      <c r="I132" s="6"/>
      <c r="J132" s="6"/>
    </row>
    <row r="133" spans="1:10" x14ac:dyDescent="0.3">
      <c r="A133" s="7"/>
      <c r="C133" s="6"/>
      <c r="D133" s="6"/>
      <c r="E133" s="6"/>
      <c r="F133" s="6"/>
      <c r="G133" s="6"/>
      <c r="H133" s="6"/>
      <c r="I133" s="6"/>
      <c r="J133" s="6"/>
    </row>
    <row r="134" spans="1:10" x14ac:dyDescent="0.3">
      <c r="A134" s="7"/>
      <c r="C134" s="6"/>
      <c r="D134" s="6"/>
      <c r="E134" s="6"/>
      <c r="F134" s="6"/>
      <c r="G134" s="6"/>
      <c r="H134" s="6"/>
      <c r="I134" s="6"/>
      <c r="J134" s="6"/>
    </row>
    <row r="135" spans="1:10" x14ac:dyDescent="0.3">
      <c r="A135" s="7"/>
      <c r="C135" s="6"/>
      <c r="D135" s="6"/>
      <c r="E135" s="6"/>
      <c r="F135" s="6"/>
      <c r="G135" s="6"/>
      <c r="H135" s="6"/>
      <c r="I135" s="6"/>
      <c r="J135" s="6"/>
    </row>
    <row r="136" spans="1:10" x14ac:dyDescent="0.3">
      <c r="A136" s="7"/>
      <c r="C136" s="6"/>
      <c r="D136" s="6"/>
      <c r="E136" s="6"/>
      <c r="F136" s="6"/>
      <c r="G136" s="6"/>
      <c r="H136" s="6"/>
      <c r="I136" s="6"/>
      <c r="J136" s="6"/>
    </row>
    <row r="137" spans="1:10" x14ac:dyDescent="0.3">
      <c r="A137" s="7"/>
      <c r="C137" s="6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C138" s="6"/>
      <c r="D138" s="6"/>
      <c r="E138" s="6"/>
      <c r="F138" s="6"/>
      <c r="G138" s="6"/>
      <c r="H138" s="6"/>
      <c r="I138" s="6"/>
      <c r="J138" s="6"/>
    </row>
    <row r="139" spans="1:10" x14ac:dyDescent="0.3">
      <c r="A139" s="7"/>
      <c r="C139" s="6"/>
      <c r="D139" s="6"/>
      <c r="E139" s="6"/>
      <c r="F139" s="6"/>
      <c r="G139" s="6"/>
      <c r="H139" s="6"/>
      <c r="I139" s="6"/>
      <c r="J139" s="6"/>
    </row>
    <row r="140" spans="1:10" x14ac:dyDescent="0.3">
      <c r="A140" s="7"/>
      <c r="C140" s="6"/>
      <c r="D140" s="6"/>
      <c r="E140" s="6"/>
      <c r="F140" s="6"/>
      <c r="G140" s="6"/>
      <c r="H140" s="6"/>
      <c r="I140" s="6"/>
      <c r="J140" s="6"/>
    </row>
    <row r="141" spans="1:10" x14ac:dyDescent="0.3">
      <c r="A141" s="7"/>
      <c r="C141" s="6"/>
      <c r="D141" s="6"/>
      <c r="E141" s="6"/>
      <c r="F141" s="6"/>
      <c r="G141" s="6"/>
      <c r="H141" s="6"/>
      <c r="I141" s="6"/>
      <c r="J141" s="6"/>
    </row>
    <row r="142" spans="1:10" x14ac:dyDescent="0.3">
      <c r="A142" s="7"/>
      <c r="C142" s="6"/>
      <c r="D142" s="6"/>
      <c r="E142" s="6"/>
      <c r="F142" s="6"/>
      <c r="G142" s="6"/>
      <c r="H142" s="6"/>
      <c r="I142" s="6"/>
      <c r="J142" s="6"/>
    </row>
    <row r="143" spans="1:10" x14ac:dyDescent="0.3">
      <c r="A143" s="7"/>
      <c r="C143" s="6"/>
      <c r="D143" s="6"/>
      <c r="E143" s="6"/>
      <c r="F143" s="6"/>
      <c r="G143" s="6"/>
      <c r="H143" s="6"/>
      <c r="I143" s="6"/>
      <c r="J143" s="6"/>
    </row>
    <row r="144" spans="1:10" x14ac:dyDescent="0.3">
      <c r="A144" s="7"/>
      <c r="C144" s="6"/>
      <c r="D144" s="6"/>
      <c r="E144" s="6"/>
      <c r="F144" s="6"/>
      <c r="G144" s="6"/>
      <c r="H144" s="6"/>
      <c r="I144" s="6"/>
      <c r="J144" s="6"/>
    </row>
    <row r="145" spans="1:10" x14ac:dyDescent="0.3">
      <c r="A145" s="7"/>
      <c r="C145" s="6"/>
      <c r="D145" s="6"/>
      <c r="E145" s="6"/>
      <c r="F145" s="6"/>
      <c r="G145" s="6"/>
      <c r="H145" s="6"/>
      <c r="I145" s="6"/>
      <c r="J145" s="6"/>
    </row>
    <row r="146" spans="1:10" x14ac:dyDescent="0.3">
      <c r="A146" s="7"/>
      <c r="C146" s="6"/>
      <c r="D146" s="6"/>
      <c r="E146" s="6"/>
      <c r="F146" s="6"/>
      <c r="G146" s="6"/>
      <c r="H146" s="6"/>
      <c r="I146" s="6"/>
      <c r="J146" s="6"/>
    </row>
    <row r="147" spans="1:10" x14ac:dyDescent="0.3">
      <c r="A147" s="7"/>
      <c r="C147" s="6"/>
      <c r="D147" s="6"/>
      <c r="E147" s="6"/>
      <c r="F147" s="6"/>
      <c r="G147" s="6"/>
      <c r="H147" s="6"/>
      <c r="I147" s="6"/>
      <c r="J147" s="6"/>
    </row>
    <row r="148" spans="1:10" x14ac:dyDescent="0.3">
      <c r="A148" s="7"/>
      <c r="C148" s="6"/>
      <c r="D148" s="6"/>
      <c r="E148" s="6"/>
      <c r="F148" s="6"/>
      <c r="G148" s="6"/>
      <c r="H148" s="6"/>
      <c r="I148" s="6"/>
      <c r="J148" s="6"/>
    </row>
    <row r="149" spans="1:10" x14ac:dyDescent="0.3">
      <c r="A149" s="7"/>
      <c r="C149" s="6"/>
      <c r="D149" s="6"/>
      <c r="E149" s="6"/>
      <c r="F149" s="6"/>
      <c r="G149" s="6"/>
      <c r="H149" s="6"/>
      <c r="I149" s="6"/>
      <c r="J149" s="6"/>
    </row>
    <row r="150" spans="1:10" x14ac:dyDescent="0.3">
      <c r="A150" s="7"/>
      <c r="C150" s="6"/>
      <c r="D150" s="6"/>
      <c r="E150" s="6"/>
      <c r="F150" s="6"/>
      <c r="G150" s="6"/>
      <c r="H150" s="6"/>
      <c r="I150" s="6"/>
      <c r="J150" s="6"/>
    </row>
    <row r="151" spans="1:10" x14ac:dyDescent="0.3">
      <c r="A151" s="7"/>
      <c r="C151" s="6"/>
      <c r="D151" s="6"/>
      <c r="E151" s="6"/>
      <c r="F151" s="6"/>
      <c r="G151" s="6"/>
      <c r="H151" s="6"/>
      <c r="I151" s="6"/>
      <c r="J151" s="6"/>
    </row>
    <row r="152" spans="1:10" x14ac:dyDescent="0.3">
      <c r="A152" s="7"/>
      <c r="C152" s="6"/>
      <c r="D152" s="6"/>
      <c r="E152" s="6"/>
      <c r="F152" s="6"/>
      <c r="G152" s="6"/>
      <c r="H152" s="6"/>
      <c r="I152" s="6"/>
      <c r="J152" s="6"/>
    </row>
    <row r="153" spans="1:10" x14ac:dyDescent="0.3">
      <c r="A153" s="7"/>
      <c r="C153" s="6"/>
      <c r="D153" s="6"/>
      <c r="E153" s="6"/>
      <c r="F153" s="6"/>
      <c r="G153" s="6"/>
      <c r="H153" s="6"/>
      <c r="I153" s="6"/>
      <c r="J153" s="6"/>
    </row>
    <row r="154" spans="1:10" x14ac:dyDescent="0.3">
      <c r="A154" s="7"/>
      <c r="C154" s="6"/>
      <c r="D154" s="6"/>
      <c r="E154" s="6"/>
      <c r="F154" s="6"/>
      <c r="G154" s="6"/>
      <c r="H154" s="6"/>
      <c r="I154" s="6"/>
      <c r="J154" s="6"/>
    </row>
    <row r="155" spans="1:10" x14ac:dyDescent="0.3">
      <c r="A155" s="7"/>
      <c r="C155" s="6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C156" s="6"/>
      <c r="D156" s="6"/>
      <c r="E156" s="6"/>
      <c r="F156" s="6"/>
      <c r="G156" s="6"/>
      <c r="H156" s="6"/>
      <c r="I156" s="6"/>
      <c r="J156" s="6"/>
    </row>
    <row r="157" spans="1:10" x14ac:dyDescent="0.3">
      <c r="A157" s="7"/>
      <c r="C157" s="6"/>
      <c r="D157" s="6"/>
      <c r="E157" s="6"/>
      <c r="F157" s="6"/>
      <c r="G157" s="6"/>
      <c r="H157" s="6"/>
      <c r="I157" s="6"/>
      <c r="J157" s="6"/>
    </row>
    <row r="158" spans="1:10" x14ac:dyDescent="0.3">
      <c r="A158" s="7"/>
      <c r="C158" s="6"/>
      <c r="D158" s="6"/>
      <c r="E158" s="6"/>
      <c r="F158" s="6"/>
      <c r="G158" s="6"/>
      <c r="H158" s="6"/>
      <c r="I158" s="6"/>
      <c r="J158" s="6"/>
    </row>
    <row r="159" spans="1:10" x14ac:dyDescent="0.3">
      <c r="A159" s="7"/>
      <c r="C159" s="6"/>
      <c r="D159" s="6"/>
      <c r="E159" s="6"/>
      <c r="F159" s="6"/>
      <c r="G159" s="6"/>
      <c r="H159" s="6"/>
      <c r="I159" s="6"/>
      <c r="J159" s="6"/>
    </row>
    <row r="160" spans="1:10" x14ac:dyDescent="0.3">
      <c r="A160" s="7"/>
      <c r="C160" s="6"/>
      <c r="D160" s="6"/>
      <c r="E160" s="6"/>
      <c r="F160" s="6"/>
      <c r="G160" s="6"/>
      <c r="H160" s="6"/>
      <c r="I160" s="6"/>
      <c r="J160" s="6"/>
    </row>
    <row r="161" spans="1:10" x14ac:dyDescent="0.3">
      <c r="A161" s="7"/>
      <c r="C161" s="6"/>
      <c r="D161" s="6"/>
      <c r="E161" s="6"/>
      <c r="F161" s="6"/>
      <c r="G161" s="6"/>
      <c r="H161" s="6"/>
      <c r="I161" s="6"/>
      <c r="J161" s="6"/>
    </row>
    <row r="162" spans="1:10" x14ac:dyDescent="0.3">
      <c r="A162" s="7"/>
      <c r="C162" s="6"/>
      <c r="D162" s="6"/>
      <c r="E162" s="6"/>
      <c r="F162" s="6"/>
      <c r="G162" s="6"/>
      <c r="H162" s="6"/>
      <c r="I162" s="6"/>
      <c r="J162" s="6"/>
    </row>
    <row r="163" spans="1:10" x14ac:dyDescent="0.3">
      <c r="A163" s="7"/>
      <c r="C163" s="6"/>
      <c r="D163" s="6"/>
      <c r="E163" s="6"/>
      <c r="F163" s="6"/>
      <c r="G163" s="6"/>
      <c r="H163" s="6"/>
      <c r="I163" s="6"/>
      <c r="J163" s="6"/>
    </row>
    <row r="164" spans="1:10" x14ac:dyDescent="0.3">
      <c r="A164" s="7"/>
      <c r="C164" s="6"/>
      <c r="D164" s="6"/>
      <c r="E164" s="6"/>
      <c r="F164" s="6"/>
      <c r="G164" s="6"/>
      <c r="H164" s="6"/>
      <c r="I164" s="6"/>
      <c r="J164" s="6"/>
    </row>
    <row r="165" spans="1:10" x14ac:dyDescent="0.3">
      <c r="A165" s="7"/>
      <c r="C165" s="6"/>
      <c r="D165" s="6"/>
      <c r="E165" s="6"/>
      <c r="F165" s="6"/>
      <c r="G165" s="6"/>
      <c r="H165" s="6"/>
      <c r="I165" s="6"/>
      <c r="J165" s="6"/>
    </row>
    <row r="166" spans="1:10" x14ac:dyDescent="0.3">
      <c r="A166" s="7"/>
      <c r="C166" s="6"/>
      <c r="D166" s="6"/>
      <c r="E166" s="6"/>
      <c r="F166" s="6"/>
      <c r="G166" s="6"/>
      <c r="H166" s="6"/>
      <c r="I166" s="6"/>
      <c r="J166" s="6"/>
    </row>
    <row r="167" spans="1:10" x14ac:dyDescent="0.3">
      <c r="A167" s="7"/>
      <c r="C167" s="6"/>
      <c r="D167" s="6"/>
      <c r="E167" s="6"/>
      <c r="F167" s="6"/>
      <c r="G167" s="6"/>
      <c r="H167" s="6"/>
      <c r="I167" s="6"/>
      <c r="J167" s="6"/>
    </row>
    <row r="168" spans="1:10" x14ac:dyDescent="0.3">
      <c r="A168" s="7"/>
      <c r="C168" s="6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C169" s="6"/>
      <c r="D169" s="6"/>
      <c r="E169" s="6"/>
      <c r="F169" s="6"/>
      <c r="G169" s="6"/>
      <c r="H169" s="6"/>
      <c r="I169" s="6"/>
      <c r="J169" s="6"/>
    </row>
    <row r="170" spans="1:10" x14ac:dyDescent="0.3">
      <c r="A170" s="7"/>
      <c r="C170" s="6"/>
      <c r="D170" s="6"/>
      <c r="E170" s="6"/>
      <c r="F170" s="6"/>
      <c r="G170" s="6"/>
      <c r="H170" s="6"/>
      <c r="I170" s="6"/>
      <c r="J170" s="6"/>
    </row>
    <row r="171" spans="1:10" x14ac:dyDescent="0.3">
      <c r="A171" s="7"/>
      <c r="C171" s="6"/>
      <c r="D171" s="6"/>
      <c r="E171" s="6"/>
      <c r="F171" s="6"/>
      <c r="G171" s="6"/>
      <c r="H171" s="6"/>
      <c r="I171" s="6"/>
      <c r="J171" s="6"/>
    </row>
    <row r="172" spans="1:10" x14ac:dyDescent="0.3">
      <c r="A172" s="7"/>
      <c r="C172" s="6"/>
      <c r="D172" s="6"/>
      <c r="E172" s="6"/>
      <c r="F172" s="6"/>
      <c r="G172" s="6"/>
      <c r="H172" s="6"/>
      <c r="I172" s="6"/>
      <c r="J172" s="6"/>
    </row>
    <row r="173" spans="1:10" x14ac:dyDescent="0.3">
      <c r="A173" s="7"/>
      <c r="C173" s="6"/>
      <c r="D173" s="6"/>
      <c r="E173" s="6"/>
      <c r="F173" s="6"/>
      <c r="G173" s="6"/>
      <c r="H173" s="6"/>
      <c r="I173" s="6"/>
      <c r="J173" s="6"/>
    </row>
    <row r="174" spans="1:10" x14ac:dyDescent="0.3">
      <c r="A174" s="7"/>
      <c r="C174" s="6"/>
      <c r="D174" s="6"/>
      <c r="E174" s="6"/>
      <c r="F174" s="6"/>
      <c r="G174" s="6"/>
      <c r="H174" s="6"/>
      <c r="I174" s="6"/>
      <c r="J174" s="6"/>
    </row>
    <row r="175" spans="1:10" x14ac:dyDescent="0.3">
      <c r="A175" s="7"/>
      <c r="C175" s="6"/>
      <c r="D175" s="6"/>
      <c r="E175" s="6"/>
      <c r="F175" s="6"/>
      <c r="G175" s="6"/>
      <c r="H175" s="6"/>
      <c r="I175" s="6"/>
      <c r="J175" s="6"/>
    </row>
    <row r="176" spans="1:10" x14ac:dyDescent="0.3">
      <c r="A176" s="7"/>
      <c r="C176" s="6"/>
      <c r="D176" s="6"/>
      <c r="E176" s="6"/>
      <c r="F176" s="6"/>
      <c r="G176" s="6"/>
      <c r="H176" s="6"/>
      <c r="I176" s="6"/>
      <c r="J176" s="6"/>
    </row>
    <row r="177" spans="1:10" x14ac:dyDescent="0.3">
      <c r="A177" s="7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7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7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7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7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C182" s="6"/>
      <c r="D182" s="6"/>
      <c r="E182" s="6"/>
      <c r="F182" s="6"/>
      <c r="G182" s="6"/>
      <c r="H182" s="6"/>
      <c r="I182" s="6"/>
      <c r="J182" s="6"/>
    </row>
    <row r="183" spans="1:10" x14ac:dyDescent="0.3">
      <c r="A183" s="7"/>
      <c r="C183" s="6"/>
      <c r="D183" s="6"/>
      <c r="E183" s="6"/>
      <c r="F183" s="6"/>
      <c r="G183" s="6"/>
      <c r="H183" s="6"/>
      <c r="I183" s="6"/>
      <c r="J183" s="6"/>
    </row>
    <row r="184" spans="1:10" x14ac:dyDescent="0.3">
      <c r="A184" s="7"/>
      <c r="C184" s="6"/>
      <c r="D184" s="6"/>
      <c r="E184" s="6"/>
      <c r="F184" s="6"/>
      <c r="G184" s="6"/>
      <c r="H184" s="6"/>
      <c r="I184" s="6"/>
      <c r="J184" s="6"/>
    </row>
    <row r="185" spans="1:10" x14ac:dyDescent="0.3">
      <c r="A185" s="7"/>
      <c r="C185" s="6"/>
      <c r="D185" s="6"/>
      <c r="E185" s="6"/>
      <c r="F185" s="6"/>
      <c r="G185" s="6"/>
      <c r="H185" s="6"/>
      <c r="I185" s="6"/>
      <c r="J185" s="6"/>
    </row>
    <row r="186" spans="1:10" x14ac:dyDescent="0.3">
      <c r="A186" s="7"/>
      <c r="C186" s="6"/>
      <c r="D186" s="6"/>
      <c r="E186" s="6"/>
      <c r="F186" s="6"/>
      <c r="G186" s="6"/>
      <c r="H186" s="6"/>
      <c r="I186" s="6"/>
      <c r="J186" s="6"/>
    </row>
    <row r="187" spans="1:10" x14ac:dyDescent="0.3">
      <c r="A187" s="7"/>
      <c r="C187" s="6"/>
      <c r="D187" s="6"/>
      <c r="E187" s="6"/>
      <c r="F187" s="6"/>
      <c r="G187" s="6"/>
      <c r="H187" s="6"/>
      <c r="I187" s="6"/>
      <c r="J187" s="6"/>
    </row>
    <row r="188" spans="1:10" x14ac:dyDescent="0.3">
      <c r="A188" s="7"/>
      <c r="C188" s="6"/>
      <c r="D188" s="6"/>
      <c r="E188" s="6"/>
      <c r="F188" s="6"/>
      <c r="G188" s="6"/>
      <c r="H188" s="6"/>
      <c r="I188" s="6"/>
      <c r="J188" s="6"/>
    </row>
    <row r="189" spans="1:10" x14ac:dyDescent="0.3">
      <c r="A189" s="7"/>
      <c r="C189" s="6"/>
      <c r="D189" s="6"/>
      <c r="E189" s="6"/>
      <c r="F189" s="6"/>
      <c r="G189" s="6"/>
      <c r="H189" s="6"/>
      <c r="I189" s="6"/>
      <c r="J189" s="6"/>
    </row>
    <row r="190" spans="1:10" x14ac:dyDescent="0.3">
      <c r="A190" s="7"/>
      <c r="C190" s="6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C191" s="6"/>
      <c r="D191" s="6"/>
      <c r="E191" s="6"/>
      <c r="F191" s="6"/>
      <c r="G191" s="6"/>
      <c r="H191" s="6"/>
      <c r="I191" s="6"/>
      <c r="J191" s="6"/>
    </row>
    <row r="192" spans="1:10" x14ac:dyDescent="0.3">
      <c r="A192" s="7"/>
      <c r="C192" s="6"/>
      <c r="D192" s="6"/>
      <c r="E192" s="6"/>
      <c r="F192" s="6"/>
      <c r="G192" s="6"/>
      <c r="H192" s="6"/>
      <c r="I192" s="6"/>
      <c r="J192" s="6"/>
    </row>
    <row r="193" spans="1:10" x14ac:dyDescent="0.3">
      <c r="A193" s="7"/>
      <c r="C193" s="6"/>
      <c r="D193" s="6"/>
      <c r="E193" s="6"/>
      <c r="F193" s="6"/>
      <c r="G193" s="6"/>
      <c r="H193" s="6"/>
      <c r="I193" s="6"/>
      <c r="J193" s="6"/>
    </row>
    <row r="194" spans="1:10" x14ac:dyDescent="0.3">
      <c r="A194" s="7"/>
      <c r="C194" s="6"/>
      <c r="D194" s="6"/>
      <c r="E194" s="6"/>
      <c r="F194" s="6"/>
      <c r="G194" s="6"/>
      <c r="H194" s="6"/>
      <c r="I194" s="6"/>
      <c r="J194" s="6"/>
    </row>
    <row r="195" spans="1:10" x14ac:dyDescent="0.3">
      <c r="A195" s="7"/>
      <c r="C195" s="6"/>
      <c r="D195" s="6"/>
      <c r="E195" s="6"/>
      <c r="F195" s="6"/>
      <c r="G195" s="6"/>
      <c r="H195" s="6"/>
      <c r="I195" s="6"/>
      <c r="J195" s="6"/>
    </row>
    <row r="196" spans="1:10" x14ac:dyDescent="0.3">
      <c r="A196" s="7"/>
      <c r="C196" s="6"/>
      <c r="D196" s="6"/>
      <c r="E196" s="6"/>
      <c r="F196" s="6"/>
      <c r="G196" s="6"/>
      <c r="H196" s="6"/>
      <c r="I196" s="6"/>
      <c r="J196" s="6"/>
    </row>
    <row r="197" spans="1:10" x14ac:dyDescent="0.3">
      <c r="A197" s="7"/>
      <c r="C197" s="6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C198" s="6"/>
      <c r="D198" s="6"/>
      <c r="E198" s="6"/>
      <c r="F198" s="6"/>
      <c r="G198" s="6"/>
      <c r="H198" s="6"/>
      <c r="I198" s="6"/>
      <c r="J198" s="6"/>
    </row>
    <row r="199" spans="1:10" x14ac:dyDescent="0.3">
      <c r="A199" s="7"/>
      <c r="C199" s="6"/>
      <c r="D199" s="6"/>
      <c r="E199" s="6"/>
      <c r="F199" s="6"/>
      <c r="G199" s="6"/>
      <c r="H199" s="6"/>
      <c r="I199" s="6"/>
      <c r="J199" s="6"/>
    </row>
    <row r="200" spans="1:10" x14ac:dyDescent="0.3">
      <c r="A200" s="7"/>
      <c r="C200" s="6"/>
      <c r="D200" s="6"/>
      <c r="E200" s="6"/>
      <c r="F200" s="6"/>
      <c r="G200" s="6"/>
      <c r="H200" s="6"/>
      <c r="I200" s="6"/>
      <c r="J200" s="6"/>
    </row>
  </sheetData>
  <dataValidations count="2">
    <dataValidation type="list" allowBlank="1" showInputMessage="1" showErrorMessage="1" sqref="C4" xr:uid="{99C0C366-0E27-4F67-8297-4EA549F38F9C}">
      <formula1>Список_щитов</formula1>
    </dataValidation>
    <dataValidation type="list" allowBlank="1" showInputMessage="1" showErrorMessage="1" sqref="C5" xr:uid="{27295968-B980-45F4-8106-6A1EAB93AC79}">
      <formula1>"Весь щит,Секция 1,Секция 2,Секция 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5241-54B7-408F-A3FC-9A623971DDAF}">
  <sheetPr>
    <tabColor rgb="FFED7D31"/>
  </sheetPr>
  <dimension ref="A1:Q5"/>
  <sheetViews>
    <sheetView workbookViewId="0"/>
  </sheetViews>
  <sheetFormatPr defaultRowHeight="14.4" x14ac:dyDescent="0.3"/>
  <cols>
    <col min="1" max="1" width="16.77734375" customWidth="1"/>
    <col min="2" max="2" width="12.77734375" customWidth="1"/>
    <col min="3" max="3" width="40.77734375" customWidth="1"/>
    <col min="4" max="4" width="26.77734375" customWidth="1"/>
    <col min="5" max="5" width="9.77734375" customWidth="1"/>
    <col min="6" max="7" width="14.77734375" customWidth="1"/>
    <col min="8" max="8" width="9.77734375" customWidth="1"/>
    <col min="9" max="9" width="12.77734375" customWidth="1"/>
    <col min="10" max="10" width="14.77734375" customWidth="1"/>
    <col min="11" max="11" width="9.77734375" customWidth="1"/>
    <col min="12" max="13" width="11.77734375" customWidth="1"/>
    <col min="15" max="15" width="28.77734375" customWidth="1"/>
    <col min="16" max="17" width="12.77734375" customWidth="1"/>
  </cols>
  <sheetData>
    <row r="1" spans="1:17" x14ac:dyDescent="0.3">
      <c r="A1" s="36" t="s">
        <v>1173</v>
      </c>
    </row>
    <row r="2" spans="1:17" x14ac:dyDescent="0.3">
      <c r="A2" s="123" t="s">
        <v>21</v>
      </c>
      <c r="B2" s="123" t="s">
        <v>22</v>
      </c>
      <c r="C2" s="123"/>
      <c r="D2" s="123" t="s">
        <v>9</v>
      </c>
      <c r="E2" s="123"/>
      <c r="F2" s="123"/>
      <c r="G2" s="123"/>
      <c r="H2" s="123"/>
      <c r="I2" s="123" t="s">
        <v>9</v>
      </c>
      <c r="J2" s="123"/>
      <c r="K2" s="123"/>
      <c r="L2" s="123" t="s">
        <v>23</v>
      </c>
      <c r="M2" s="123" t="s">
        <v>31</v>
      </c>
      <c r="O2" t="s">
        <v>1175</v>
      </c>
      <c r="P2" s="114">
        <v>0.2</v>
      </c>
    </row>
    <row r="3" spans="1:17" x14ac:dyDescent="0.3">
      <c r="A3" s="123"/>
      <c r="B3" s="123" t="s">
        <v>24</v>
      </c>
      <c r="C3" s="123" t="s">
        <v>25</v>
      </c>
      <c r="D3" s="123" t="s">
        <v>26</v>
      </c>
      <c r="E3" s="123"/>
      <c r="F3" s="123"/>
      <c r="G3" s="123"/>
      <c r="H3" s="123"/>
      <c r="I3" s="123" t="s">
        <v>27</v>
      </c>
      <c r="J3" s="123"/>
      <c r="K3" s="123"/>
      <c r="L3" s="123"/>
      <c r="M3" s="123"/>
    </row>
    <row r="4" spans="1:17" ht="72" x14ac:dyDescent="0.3">
      <c r="A4" s="123"/>
      <c r="B4" s="123"/>
      <c r="C4" s="123"/>
      <c r="D4" s="124" t="s">
        <v>1174</v>
      </c>
      <c r="E4" s="124" t="s">
        <v>193</v>
      </c>
      <c r="F4" s="124" t="s">
        <v>188</v>
      </c>
      <c r="G4" s="124" t="s">
        <v>190</v>
      </c>
      <c r="H4" s="124" t="s">
        <v>28</v>
      </c>
      <c r="I4" s="124" t="s">
        <v>29</v>
      </c>
      <c r="J4" s="124" t="s">
        <v>1174</v>
      </c>
      <c r="K4" s="124" t="s">
        <v>30</v>
      </c>
      <c r="L4" s="123"/>
      <c r="M4" s="123"/>
      <c r="O4" s="117" t="s">
        <v>1176</v>
      </c>
      <c r="P4" s="117" t="s">
        <v>28</v>
      </c>
      <c r="Q4" s="117" t="s">
        <v>1177</v>
      </c>
    </row>
    <row r="5" spans="1:17" x14ac:dyDescent="0.3">
      <c r="A5" t="str" cm="1">
        <f t="array" ref="A5">_xlfn.LET(_xlpm.m,(Линии[Номер линии]&lt;&gt;"")*(Линии[_кабель]&lt;&gt;""),_xlpm.n,SUM(_xlpm.m),_xlpm.cs,_xlfn._xlws.FILTER(Линии[_кабель с сечением],_xlpm.m),_xlpm.tr,_xlfn._xlws.FILTER(IFERROR(--Линии[Лоток],0),_xlpm.m),_xlpm.pv,_xlfn._xlws.FILTER(IFERROR(--Линии[_гофра ПВХ],0),_xlpm.m),_xlpm.pn,_xlfn._xlws.FILTER(IFERROR(--Линии[_гофра ПНД],0),_xlpm.m),_xlpm.dpv,IFERROR(VLOOKUP(_xlpm.cs,Кабель_диаметр,4,FALSE),""),_xlpm.dpn,IFERROR(VLOOKUP(_xlpm.cs,Кабель_диаметр,5,FALSE),""),IF(_xlpm.n=0,"нет линий",_xlfn.HSTACK(_xlfn._xlws.FILTER(Линии[Номер линии],_xlpm.m),_xlfn._xlws.FILTER(Линии[Щит],_xlpm.m),_xlfn._xlws.FILTER(Линии[Наименование (итог)],_xlpm.m),_xlpm.cs,IF(_xlpm.tr=0,"","L="&amp;_xlpm.tr),IF(_xlpm.pv=0,"",_xlpm.dpv&amp;" L="&amp;_xlpm.pv),IF(_xlpm.pn=0,"",_xlpm.dpn&amp;" L="&amp;_xlpm.pn),_xlfn._xlws.FILTER(Линии[Длина, м],_xlpm.m))))</f>
        <v>нет линий</v>
      </c>
      <c r="O5" t="str" cm="1">
        <f t="array" ref="O5:Q5">_xlfn.LET(_xlpm.k,Линии[_кабель с сечением],_xlpm.m,(Линии[Номер линии]&lt;&gt;"")*(Линии[_кабель]&lt;&gt;""),_xlpm.u,_xlfn.UNIQUE(_xlfn._xlws.FILTER(_xlpm.k,_xlpm.m,"")),_xlpm.l,_xlfn.MAP(_xlpm.u,_xlfn.LAMBDA(_xlpm.x,SUM(_xlpm.m*(_xlpm.k=_xlpm.x)*IFERROR(--Линии[Длина, м],0)))),_xlfn.HSTACK(_xlpm.u,_xlpm.l,ROUNDUP(_xlpm.l*(1+Запас_кабеля),0)))</f>
        <v/>
      </c>
      <c r="P5">
        <v>0</v>
      </c>
      <c r="Q5">
        <v>0</v>
      </c>
    </row>
  </sheetData>
  <mergeCells count="10">
    <mergeCell ref="I3:K3"/>
    <mergeCell ref="I2:K2"/>
    <mergeCell ref="L2:L4"/>
    <mergeCell ref="M2:M4"/>
    <mergeCell ref="A2:A4"/>
    <mergeCell ref="B2:C2"/>
    <mergeCell ref="B3:B4"/>
    <mergeCell ref="C3:C4"/>
    <mergeCell ref="D2:H2"/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outlinePr summaryBelow="0" summaryRight="0"/>
  </sheetPr>
  <dimension ref="A1:CA1000"/>
  <sheetViews>
    <sheetView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 collapsed="1"/>
    <col min="23" max="23" width="17" hidden="1" customWidth="1" outlineLevel="1"/>
    <col min="24" max="24" width="14" hidden="1" customWidth="1" outlineLevel="1"/>
    <col min="25" max="25" width="11" customWidth="1" collapsed="1"/>
    <col min="26" max="27" width="8" hidden="1" customWidth="1" outlineLevel="1"/>
    <col min="28" max="28" width="9" hidden="1" customWidth="1" outlineLevel="1"/>
    <col min="29" max="29" width="11" hidden="1" customWidth="1" outlineLevel="1"/>
    <col min="30" max="30" width="50" hidden="1" customWidth="1" outlineLevel="1"/>
    <col min="31" max="31" width="3" customWidth="1" collapsed="1"/>
    <col min="32" max="53" width="9" hidden="1" customWidth="1" outlineLevel="1"/>
    <col min="54" max="64" width="6" hidden="1" customWidth="1" outlineLevel="1"/>
    <col min="65" max="77" width="8" hidden="1" customWidth="1" outlineLevel="1"/>
    <col min="78" max="79" width="0" hidden="1" customWidth="1" outlineLevel="1"/>
  </cols>
  <sheetData>
    <row r="1" spans="1:79" ht="21.6" customHeight="1" x14ac:dyDescent="0.3">
      <c r="A1" s="103" t="s">
        <v>421</v>
      </c>
      <c r="B1" s="104"/>
      <c r="C1" s="104"/>
      <c r="D1" s="45" t="s">
        <v>422</v>
      </c>
      <c r="E1" s="107" t="s">
        <v>423</v>
      </c>
      <c r="F1" s="108"/>
      <c r="G1" s="108"/>
      <c r="H1" s="108"/>
      <c r="I1" s="109" t="s">
        <v>424</v>
      </c>
      <c r="J1" s="110"/>
      <c r="K1" s="110"/>
      <c r="L1" s="111" t="s">
        <v>425</v>
      </c>
      <c r="M1" s="112"/>
      <c r="N1" s="112"/>
      <c r="O1" s="112"/>
      <c r="P1" s="52" t="s">
        <v>426</v>
      </c>
      <c r="Q1" s="41" t="s">
        <v>427</v>
      </c>
      <c r="R1" s="103" t="s">
        <v>428</v>
      </c>
      <c r="S1" s="104"/>
      <c r="T1" s="104"/>
      <c r="U1" s="104"/>
      <c r="V1" s="104"/>
      <c r="W1" s="103" t="s">
        <v>429</v>
      </c>
      <c r="X1" s="104"/>
      <c r="Y1" s="105" t="s">
        <v>430</v>
      </c>
      <c r="Z1" s="106"/>
      <c r="AA1" s="106"/>
      <c r="AB1" s="106"/>
      <c r="AC1" s="106"/>
      <c r="AD1" s="106"/>
      <c r="AE1" s="66" t="str">
        <f>"Ошибок: "&amp;COUNTIF($BU$3:$BU$3000,2)&amp;"   Предупреждений: "&amp;COUNTIF($BU$3:$BU$3000,1)</f>
        <v>Ошибок: 0   Предупреждений: 0</v>
      </c>
      <c r="AF1" s="36" t="s">
        <v>431</v>
      </c>
      <c r="BC1" s="34" t="s">
        <v>432</v>
      </c>
    </row>
    <row r="2" spans="1:79" ht="84" customHeight="1" x14ac:dyDescent="0.3">
      <c r="A2" s="40" t="s">
        <v>4</v>
      </c>
      <c r="B2" s="43" t="s">
        <v>433</v>
      </c>
      <c r="C2" s="43" t="s">
        <v>434</v>
      </c>
      <c r="D2" s="44" t="s">
        <v>435</v>
      </c>
      <c r="E2" s="44" t="s">
        <v>436</v>
      </c>
      <c r="F2" s="46" t="s">
        <v>987</v>
      </c>
      <c r="G2" s="48" t="s">
        <v>437</v>
      </c>
      <c r="H2" s="48" t="s">
        <v>7</v>
      </c>
      <c r="I2" s="44" t="s">
        <v>438</v>
      </c>
      <c r="J2" s="46" t="s">
        <v>439</v>
      </c>
      <c r="K2" s="46" t="s">
        <v>440</v>
      </c>
      <c r="L2" s="44" t="s">
        <v>441</v>
      </c>
      <c r="M2" s="50" t="s">
        <v>442</v>
      </c>
      <c r="N2" s="46" t="s">
        <v>443</v>
      </c>
      <c r="O2" s="50" t="s">
        <v>444</v>
      </c>
      <c r="P2" s="51" t="s">
        <v>445</v>
      </c>
      <c r="Q2" s="40" t="s">
        <v>9</v>
      </c>
      <c r="R2" s="40" t="s">
        <v>446</v>
      </c>
      <c r="S2" s="43" t="s">
        <v>6</v>
      </c>
      <c r="T2" s="43" t="s">
        <v>447</v>
      </c>
      <c r="U2" s="43" t="s">
        <v>448</v>
      </c>
      <c r="V2" s="43" t="s">
        <v>449</v>
      </c>
      <c r="W2" s="40" t="s">
        <v>7</v>
      </c>
      <c r="X2" s="43" t="s">
        <v>444</v>
      </c>
      <c r="Y2" s="44" t="s">
        <v>450</v>
      </c>
      <c r="Z2" s="60" t="s">
        <v>451</v>
      </c>
      <c r="AA2" s="60" t="s">
        <v>452</v>
      </c>
      <c r="AB2" s="60" t="s">
        <v>527</v>
      </c>
      <c r="AC2" s="60" t="s">
        <v>453</v>
      </c>
      <c r="AD2" s="60" t="s">
        <v>454</v>
      </c>
      <c r="AE2" s="60" t="s">
        <v>734</v>
      </c>
      <c r="AF2" s="35" t="s">
        <v>455</v>
      </c>
      <c r="AG2" s="35" t="s">
        <v>456</v>
      </c>
      <c r="AH2" s="35" t="s">
        <v>457</v>
      </c>
      <c r="AI2" s="35" t="s">
        <v>458</v>
      </c>
      <c r="AJ2" s="35" t="s">
        <v>459</v>
      </c>
      <c r="AK2" s="35" t="s">
        <v>460</v>
      </c>
      <c r="AL2" s="35" t="s">
        <v>461</v>
      </c>
      <c r="AM2" s="35" t="s">
        <v>462</v>
      </c>
      <c r="AN2" s="35" t="s">
        <v>463</v>
      </c>
      <c r="AO2" s="35" t="s">
        <v>464</v>
      </c>
      <c r="AP2" s="35" t="s">
        <v>465</v>
      </c>
      <c r="AQ2" s="35" t="s">
        <v>466</v>
      </c>
      <c r="AR2" s="35" t="s">
        <v>467</v>
      </c>
      <c r="AS2" s="35" t="s">
        <v>468</v>
      </c>
      <c r="AT2" s="35" t="s">
        <v>469</v>
      </c>
      <c r="AU2" s="35" t="s">
        <v>470</v>
      </c>
      <c r="AV2" s="35" t="s">
        <v>471</v>
      </c>
      <c r="AW2" s="35" t="s">
        <v>472</v>
      </c>
      <c r="AX2" s="35" t="s">
        <v>473</v>
      </c>
      <c r="AY2" s="35" t="s">
        <v>474</v>
      </c>
      <c r="AZ2" s="35" t="s">
        <v>475</v>
      </c>
      <c r="BA2" s="35" t="s">
        <v>476</v>
      </c>
      <c r="BB2" s="35" t="s">
        <v>528</v>
      </c>
      <c r="BD2" s="35" t="s">
        <v>477</v>
      </c>
      <c r="BE2" s="35" t="s">
        <v>478</v>
      </c>
      <c r="BF2" s="35" t="s">
        <v>479</v>
      </c>
      <c r="BG2" s="35" t="s">
        <v>480</v>
      </c>
      <c r="BH2" s="35" t="s">
        <v>481</v>
      </c>
      <c r="BI2" s="35" t="s">
        <v>482</v>
      </c>
      <c r="BJ2" s="35" t="s">
        <v>483</v>
      </c>
      <c r="BK2" s="35" t="s">
        <v>484</v>
      </c>
      <c r="BL2" s="35" t="s">
        <v>485</v>
      </c>
      <c r="BM2" s="35" t="s">
        <v>735</v>
      </c>
      <c r="BN2" s="35" t="s">
        <v>736</v>
      </c>
      <c r="BO2" s="35" t="s">
        <v>737</v>
      </c>
      <c r="BP2" s="35" t="s">
        <v>738</v>
      </c>
      <c r="BQ2" s="35" t="s">
        <v>739</v>
      </c>
      <c r="BR2" s="35" t="s">
        <v>740</v>
      </c>
      <c r="BS2" s="35" t="s">
        <v>741</v>
      </c>
      <c r="BT2" s="35" t="s">
        <v>742</v>
      </c>
      <c r="BU2" s="35" t="s">
        <v>743</v>
      </c>
      <c r="BV2" s="35" t="s">
        <v>744</v>
      </c>
      <c r="BW2" s="35" t="s">
        <v>745</v>
      </c>
      <c r="BX2" s="35" t="s">
        <v>746</v>
      </c>
      <c r="BY2" s="35" t="s">
        <v>747</v>
      </c>
      <c r="BZ2" t="s">
        <v>997</v>
      </c>
      <c r="CA2" t="s">
        <v>1000</v>
      </c>
    </row>
    <row r="3" spans="1:79" x14ac:dyDescent="0.3">
      <c r="A3" s="39" t="str" cm="1">
        <f t="array" ref="A3">_xlfn.LET(_xlpm.v,_xlfn._xlws.FILTER(Линии[Щит],Линии[_№ места (итог)]&lt;&gt;""),IF(_xlpm.v="","",_xlpm.v))</f>
        <v/>
      </c>
      <c r="B3" s="42" cm="1">
        <f t="array" ref="B3">_xlfn.LET(_xlpm.v,_xlfn._xlws.FILTER(Линии[_№ места (итог)],Линии[_№ места (итог)]&lt;&gt;""),IF(_xlpm.v="","",_xlpm.v))</f>
        <v>16</v>
      </c>
      <c r="C3" s="42" cm="1">
        <f t="array" ref="C3">_xlfn.LET(_xlpm.v,_xlfn._xlws.FILTER(Линии[Лист схемы],Линии[_№ места (итог)]&lt;&gt;""),IF(_xlpm.v="","",_xlpm.v))</f>
        <v>1</v>
      </c>
      <c r="D3" s="75" t="str" cm="1">
        <f t="array" ref="D3">_xlfn.LET(_xlpm.v,_xlfn._xlws.FILTER(Линии[Шина],Линии[_№ места (итог)]&lt;&gt;""),IF(_xlpm.v="","",_xlpm.v))</f>
        <v/>
      </c>
      <c r="E3" s="75" t="str" cm="1">
        <f t="array" ref="E3">_xlfn.LET(_xlpm.v,_xlfn._xlws.FILTER(Линии[Автомат «авто» или текст],Линии[_№ места (итог)]&lt;&gt;""),IF(_xlpm.v="","",_xlpm.v))</f>
        <v/>
      </c>
      <c r="F3" s="76" t="str" cm="1">
        <f t="array" ref="F3">_xlfn.LET(_xlpm.v,_xlfn._xlws.FILTER(Линии[Дифзащита, мА],Линии[_№ места (итог)]&lt;&gt;""),IF(_xlpm.v="","",_xlpm.v))</f>
        <v/>
      </c>
      <c r="G3" s="47" t="str" cm="1">
        <f t="array" ref="G3">_xlfn.LET(_xlpm.v,_xlfn._xlws.FILTER(Линии[QF],Линии[_№ места (итог)]&lt;&gt;""),IF(_xlpm.v="","",_xlpm.v))</f>
        <v/>
      </c>
      <c r="H3" s="47" t="str" cm="1">
        <f t="array" ref="H3">_xlfn.LET(_xlpm.v,_xlfn._xlws.FILTER(Линии[Автомат (схема)],Линии[_№ места (итог)]&lt;&gt;""),IF(_xlpm.v="","",_xlpm.v))</f>
        <v/>
      </c>
      <c r="I3" s="75" t="str" cm="1">
        <f t="array" ref="I3">_xlfn.LET(_xlpm.v,_xlfn._xlws.FILTER(Линии[Аппарат 1],Линии[_№ места (итог)]&lt;&gt;""),IF(_xlpm.v="","",_xlpm.v))</f>
        <v/>
      </c>
      <c r="J3" s="76" t="str" cm="1">
        <f t="array" ref="J3">_xlfn.LET(_xlpm.v,_xlfn._xlws.FILTER(Линии[Аппарат 2],Линии[_№ места (итог)]&lt;&gt;""),IF(_xlpm.v="","",_xlpm.v))</f>
        <v/>
      </c>
      <c r="K3" s="76" t="str" cm="1">
        <f t="array" ref="K3">_xlfn.LET(_xlpm.v,_xlfn._xlws.FILTER(Линии[Аппарат 3],Линии[_№ места (итог)]&lt;&gt;""),IF(_xlpm.v="","",_xlpm.v))</f>
        <v/>
      </c>
      <c r="L3" s="75" t="str" cm="1">
        <f t="array" ref="L3">_xlfn.LET(_xlpm.v,_xlfn._xlws.FILTER(Линии[Модуль],Линии[_№ места (итог)]&lt;&gt;""),IF(_xlpm.v="","",_xlpm.v))</f>
        <v/>
      </c>
      <c r="M3" s="49" t="str" cm="1">
        <f t="array" ref="M3">_xlfn.LET(_xlpm.v,_xlfn._xlws.FILTER(Линии[_Модуль (схема)],Линии[_№ места (итог)]&lt;&gt;""),IF(_xlpm.v="","",_xlpm.v))</f>
        <v/>
      </c>
      <c r="N3" s="76" t="str" cm="1">
        <f t="array" ref="N3">_xlfn.LET(_xlpm.v,_xlfn._xlws.FILTER(Линии[Канал],Линии[_№ места (итог)]&lt;&gt;""),IF(_xlpm.v="","",_xlpm.v))</f>
        <v/>
      </c>
      <c r="O3" s="49" t="str" cm="1">
        <f t="array" ref="O3">_xlfn.LET(_xlpm.v,_xlfn._xlws.FILTER(Линии[Канал (итог)],Линии[_№ места (итог)]&lt;&gt;""),IF(_xlpm.v="","",_xlpm.v))</f>
        <v/>
      </c>
      <c r="P3" s="77" t="str" cm="1">
        <f t="array" ref="P3">_xlfn.LET(_xlpm.v,_xlfn._xlws.FILTER(Линии[Клемма (итог)],Линии[_№ места (итог)]&lt;&gt;""),IF(_xlpm.v="","",_xlpm.v))</f>
        <v/>
      </c>
      <c r="Q3" s="53" t="str" cm="1">
        <f t="array" ref="Q3">_xlfn.LET(_xlpm.v,_xlfn._xlws.FILTER(Линии[Кабель (строкой)],Линии[_№ места (итог)]&lt;&gt;""),IF(_xlpm.v="","",_xlpm.v))</f>
        <v/>
      </c>
      <c r="R3" s="54" t="str" cm="1">
        <f t="array" ref="R3">_xlfn.LET(_xlpm.v,_xlfn._xlws.FILTER(Линии[Номер линии],Линии[_№ места (итог)]&lt;&gt;""),IF(_xlpm.v="","",_xlpm.v))</f>
        <v/>
      </c>
      <c r="S3" s="55" t="str" cm="1">
        <f t="array" ref="S3">_xlfn.LET(_xlpm.v,_xlfn._xlws.FILTER(Линии[Наименование (итог)],Линии[_№ места (итог)]&lt;&gt;""),IF(_xlpm.v="","",_xlpm.v))</f>
        <v/>
      </c>
      <c r="T3" s="56" t="str" cm="1">
        <f t="array" ref="T3">_xlfn.LET(_xlpm.v,_xlfn._xlws.FILTER(Линии[_Р схемы],Линии[_№ места (итог)]&lt;&gt;""),IF(_xlpm.v="","",_xlpm.v))</f>
        <v/>
      </c>
      <c r="U3" s="56" t="str" cm="1">
        <f t="array" ref="U3">_xlfn.LET(_xlpm.v,_xlfn._xlws.FILTER(Линии[_Ток схемы],Линии[_№ места (итог)]&lt;&gt;""),IF(_xlpm.v="","",_xlpm.v))</f>
        <v/>
      </c>
      <c r="V3" s="42" t="str" cm="1">
        <f t="array" ref="V3">_xlfn.LET(_xlpm.v,_xlfn._xlws.FILTER(Линии[Фаза],Линии[_№ места (итог)]&lt;&gt;""),IF(_xlpm.v="","",_xlpm.v))</f>
        <v/>
      </c>
      <c r="W3" s="57" t="str" cm="1">
        <f t="array" ref="W3">_xlfn.LET(_xlpm.v,_xlfn._xlws.FILTER(Линии[Проверка автомата],Линии[_№ места (итог)]&lt;&gt;""),IF(_xlpm.v="","",_xlpm.v))</f>
        <v/>
      </c>
      <c r="X3" s="58" t="str" cm="1">
        <f t="array" ref="X3">_xlfn.LET(_xlpm.v,_xlfn._xlws.FILTER(Линии[Проверка канала],Линии[_№ места (итог)]&lt;&gt;""),IF(_xlpm.v="","",_xlpm.v))</f>
        <v/>
      </c>
      <c r="Y3" s="75" t="str" cm="1">
        <f t="array" ref="Y3">_xlfn.LET(_xlpm.v,_xlfn._xlws.FILTER(Линии[Режим],Линии[_№ места (итог)]&lt;&gt;""),IF(_xlpm.v="","",_xlpm.v))</f>
        <v/>
      </c>
      <c r="Z3" s="59" t="str" cm="1">
        <f t="array" ref="Z3">_xlfn.LET(_xlpm.v,_xlfn._xlws.FILTER(Линии[_ток группы],Линии[_№ места (итог)]&lt;&gt;""),IF(_xlpm.v="","",_xlpm.v))</f>
        <v/>
      </c>
      <c r="AA3" s="61" t="str" cm="1">
        <f t="array" ref="AA3">_xlfn.LET(_xlpm.v,_xlfn._xlws.FILTER(Линии[_номинал по току],Линии[_№ места (итог)]&lt;&gt;""),IF(_xlpm.v="","",_xlpm.v))</f>
        <v/>
      </c>
      <c r="AB3" s="61" t="str" cm="1">
        <f t="array" ref="AB3">_xlfn.LET(_xlpm.v,_xlfn._xlws.FILTER(Линии[_макс. автомат по кабелю],Линии[_№ места (итог)]&lt;&gt;""),IF(_xlpm.v="","",_xlpm.v))</f>
        <v/>
      </c>
      <c r="AC3" s="61" t="str" cm="1">
        <f t="array" ref="AC3">_xlfn.LET(_xlpm.v,_xlfn._xlws.FILTER(Линии[_модель (схема)],Линии[_№ места (итог)]&lt;&gt;""),IF(_xlpm.v="","",_xlpm.v))</f>
        <v/>
      </c>
      <c r="AD3" s="62" t="str" cm="1">
        <f t="array" ref="AD3">_xlfn.LET(_xlpm.v,_xlfn._xlws.FILTER(Линии[_цепь],Линии[_№ места (итог)]&lt;&gt;""),IF(_xlpm.v="","",_xlpm.v))</f>
        <v/>
      </c>
      <c r="AE3" s="62" t="str" cm="1">
        <f t="array" ref="AE3">_xlfn.LET(_xlpm.v,_xlfn._xlws.FILTER(Линии[Статус],Линии[_№ места (итог)]&lt;&gt;""),IF(_xlpm.v="","",_xlpm.v))</f>
        <v/>
      </c>
      <c r="AF3" s="34" t="str" cm="1">
        <f t="array" ref="AF3">_xlfn.LET(_xlpm.v,_xlfn._xlws.FILTER(Линии[_гр.],Линии[_№ места (итог)]&lt;&gt;""),IF(_xlpm.v="","",_xlpm.v))</f>
        <v/>
      </c>
      <c r="AG3" s="34" t="str" cm="1">
        <f t="array" ref="AG3">_xlfn.LET(_xlpm.v,_xlfn._xlws.FILTER(Линии[_QF гр.],Линии[_№ места (итог)]&lt;&gt;""),IF(_xlpm.v="","",_xlpm.v))</f>
        <v/>
      </c>
      <c r="AH3" s="34" t="str" cm="1">
        <f t="array" ref="AH3">_xlfn.LET(_xlpm.v,_xlfn._xlws.FILTER(Линии[_модуль гр.],Линии[_№ места (итог)]&lt;&gt;""),IF(_xlpm.v="","",_xlpm.v))</f>
        <v/>
      </c>
      <c r="AI3" s="34" t="str" cm="1">
        <f t="array" ref="AI3">_xlfn.LET(_xlpm.v,_xlfn._xlws.FILTER(Линии[_модель гр.],Линии[_№ места (итог)]&lt;&gt;""),IF(_xlpm.v="","",_xlpm.v))</f>
        <v/>
      </c>
      <c r="AJ3" s="34" t="str" cm="1">
        <f t="array" ref="AJ3">_xlfn.LET(_xlpm.v,_xlfn._xlws.FILTER(Линии[_QF нач.],Линии[_№ места (итог)]&lt;&gt;""),IF(_xlpm.v="","",_xlpm.v))</f>
        <v/>
      </c>
      <c r="AK3" s="34" t="str" cm="1">
        <f t="array" ref="AK3">_xlfn.LET(_xlpm.v,_xlfn._xlws.FILTER(Линии[_фаз],Линии[_№ места (итог)]&lt;&gt;""),IF(_xlpm.v="","",_xlpm.v))</f>
        <v/>
      </c>
      <c r="AL3" s="34" t="str" cm="1">
        <f t="array" ref="AL3">_xlfn.LET(_xlpm.v,_xlfn._xlws.FILTER(Линии[Код],Линии[_№ места (итог)]&lt;&gt;""),IF(_xlpm.v="","",_xlpm.v))</f>
        <v/>
      </c>
      <c r="AM3" s="34" cm="1">
        <f t="array" ref="AM3">_xlfn.LET(_xlpm.v,_xlfn._xlws.FILTER(Линии[_дифзащита по коду, мА],Линии[_№ места (итог)]&lt;&gt;""),IF(_xlpm.v="","",_xlpm.v))</f>
        <v>0</v>
      </c>
      <c r="AN3" s="34" cm="1">
        <f t="array" ref="AN3">_xlfn.LET(_xlpm.v,_xlfn._xlws.FILTER(Линии[_в кабель выше],Линии[_№ места (итог)]&lt;&gt;""),IF(_xlpm.v="","",_xlpm.v))</f>
        <v>0</v>
      </c>
      <c r="AO3" s="34" t="str" cm="1">
        <f t="array" ref="AO3">_xlfn.LET(_xlpm.v,_xlfn._xlws.FILTER(Линии[_по току],Линии[_№ места (итог)]&lt;&gt;""),IF(_xlpm.v="","",_xlpm.v))</f>
        <v/>
      </c>
      <c r="AP3" s="34" t="str" cm="1">
        <f t="array" ref="AP3">_xlfn.LET(_xlpm.v,_xlfn._xlws.FILTER(Линии[_мин. по кабелям],Линии[_№ места (итог)]&lt;&gt;""),IF(_xlpm.v="","",_xlpm.v))</f>
        <v/>
      </c>
      <c r="AQ3" s="34" t="str" cm="1">
        <f t="array" ref="AQ3">_xlfn.LET(_xlpm.v,_xlfn._xlws.FILTER(Линии[_номинал],Линии[_№ места (итог)]&lt;&gt;""),IF(_xlpm.v="","",_xlpm.v))</f>
        <v/>
      </c>
      <c r="AR3" s="34" t="str" cm="1">
        <f t="array" ref="AR3">_xlfn.LET(_xlpm.v,_xlfn._xlws.FILTER(Линии[_фаз гр.],Линии[_№ места (итог)]&lt;&gt;""),IF(_xlpm.v="","",_xlpm.v))</f>
        <v/>
      </c>
      <c r="AS3" s="34" t="str" cm="1">
        <f t="array" ref="AS3">_xlfn.LET(_xlpm.v,_xlfn._xlws.FILTER(Линии[_дифзащита гр. (0/1)],Линии[_№ места (итог)]&lt;&gt;""),IF(_xlpm.v="","",_xlpm.v))</f>
        <v/>
      </c>
      <c r="AT3" s="34" t="str" cm="1">
        <f t="array" ref="AT3">_xlfn.LET(_xlpm.v,_xlfn._xlws.FILTER(Линии[_полюса],Линии[_№ места (итог)]&lt;&gt;""),IF(_xlpm.v="","",_xlpm.v))</f>
        <v/>
      </c>
      <c r="AU3" s="34" t="str" cm="1">
        <f t="array" ref="AU3">_xlfn.LET(_xlpm.v,_xlfn._xlws.FILTER(Линии[_номинал итог],Линии[_№ места (итог)]&lt;&gt;""),IF(_xlpm.v="","",_xlpm.v))</f>
        <v/>
      </c>
      <c r="AV3" s="34" t="str" cm="1">
        <f t="array" ref="AV3">_xlfn.LET(_xlpm.v,_xlfn._xlws.FILTER(Линии[_префикс],Линии[_№ места (итог)]&lt;&gt;""),IF(_xlpm.v="","",_xlpm.v))</f>
        <v/>
      </c>
      <c r="AW3" s="34" t="str" cm="1">
        <f t="array" ref="AW3">_xlfn.LET(_xlpm.v,_xlfn._xlws.FILTER(Линии[_модуль нач.],Линии[_№ места (итог)]&lt;&gt;""),IF(_xlpm.v="","",_xlpm.v))</f>
        <v/>
      </c>
      <c r="AX3" s="34" t="str" cm="1">
        <f t="array" ref="AX3">_xlfn.LET(_xlpm.v,_xlfn._xlws.FILTER(Линии[_посл. канал],Линии[_№ места (итог)]&lt;&gt;""),IF(_xlpm.v="","",_xlpm.v))</f>
        <v/>
      </c>
      <c r="AY3" s="34" cm="1">
        <f t="array" ref="AY3">_xlfn.LET(_xlpm.v,_xlfn._xlws.FILTER(Линии[_клемма],Линии[_№ места (итог)]&lt;&gt;""),IF(_xlpm.v="","",_xlpm.v))</f>
        <v>0</v>
      </c>
      <c r="AZ3" s="34" t="str" cm="1">
        <f t="array" ref="AZ3">_xlfn.LET(_xlpm.v,_xlfn._xlws.FILTER(Линии[_аппараты гр.],Линии[_№ места (итог)]&lt;&gt;""),IF(_xlpm.v="","",_xlpm.v))</f>
        <v/>
      </c>
      <c r="BA3" s="34" cm="1">
        <f t="array" ref="BA3">_xlfn.LET(_xlpm.v,_xlfn._xlws.FILTER(Линии[_БП/тр-р],Линии[_№ места (итог)]&lt;&gt;""),IF(_xlpm.v="","",_xlpm.v))</f>
        <v>0</v>
      </c>
      <c r="BB3" s="34" cm="1">
        <f t="array" ref="BB3">_xlfn.LET(_xlpm.v,_xlfn._xlws.FILTER(Линии[_мин. по типу],Линии[_№ места (итог)]&lt;&gt;""),IF(_xlpm.v="","",_xlpm.v))</f>
        <v>0</v>
      </c>
      <c r="BD3" s="34" cm="1">
        <f t="array" ref="BD3">_xlfn.LET(_xlpm.v,_xlfn._xlws.FILTER(Линии[_draw],Линии[_№ места (итог)]&lt;&gt;""),IF(_xlpm.v="","",_xlpm.v))</f>
        <v>1</v>
      </c>
      <c r="BE3" s="34" cm="1">
        <f t="array" ref="BE3">_xlfn.LET(_xlpm.v,_xlfn._xlws.FILTER(Линии[_bus2],Линии[_№ места (итог)]&lt;&gt;""),IF(_xlpm.v="","",_xlpm.v))</f>
        <v>0</v>
      </c>
      <c r="BF3" s="34" cm="1">
        <f t="array" ref="BF3">_xlfn.LET(_xlpm.v,_xlfn._xlws.FILTER(Линии[_rcd],Линии[_№ места (итог)]&lt;&gt;""),IF(_xlpm.v="","",_xlpm.v))</f>
        <v>0</v>
      </c>
      <c r="BG3" s="34" t="str" cm="1">
        <f t="array" ref="BG3">_xlfn.LET(_xlpm.v,_xlfn._xlws.FILTER(Линии[_chtype],Линии[_№ места (итог)]&lt;&gt;""),IF(_xlpm.v="","",_xlpm.v))</f>
        <v/>
      </c>
      <c r="BH3" s="34" t="str" cm="1">
        <f t="array" ref="BH3">_xlfn.LET(_xlpm.v,_xlfn._xlws.FILTER(Линии[_dev1],Линии[_№ места (итог)]&lt;&gt;""),IF(_xlpm.v="","",_xlpm.v))</f>
        <v/>
      </c>
      <c r="BI3" s="34" t="str" cm="1">
        <f t="array" ref="BI3">_xlfn.LET(_xlpm.v,_xlfn._xlws.FILTER(Линии[_dev2],Линии[_№ места (итог)]&lt;&gt;""),IF(_xlpm.v="","",_xlpm.v))</f>
        <v/>
      </c>
      <c r="BJ3" s="34" t="str" cm="1">
        <f t="array" ref="BJ3">_xlfn.LET(_xlpm.v,_xlfn._xlws.FILTER(Линии[_dev3],Линии[_№ места (итог)]&lt;&gt;""),IF(_xlpm.v="","",_xlpm.v))</f>
        <v/>
      </c>
      <c r="BK3" s="34" t="str" cm="1">
        <f t="array" ref="BK3">_xlfn.LET(_xlpm.v,_xlfn._xlws.FILTER(Линии[_sym],Линии[_№ места (итог)]&lt;&gt;""),IF(_xlpm.v="","",_xlpm.v))</f>
        <v/>
      </c>
      <c r="BL3" s="34" cm="1">
        <f t="array" ref="BL3">_xlfn.LET(_xlpm.v,_xlfn._xlws.FILTER(Линии[_hasline],Линии[_№ места (итог)]&lt;&gt;""),IF(_xlpm.v="","",_xlpm.v))</f>
        <v>0</v>
      </c>
      <c r="BM3" s="34" t="str" cm="1">
        <f t="array" ref="BM3">_xlfn.LET(_xlpm.v,_xlfn._xlws.FILTER(Линии[_тип автомата №],Линии[_№ места (итог)]&lt;&gt;""),IF(_xlpm.v="","",_xlpm.v))</f>
        <v/>
      </c>
      <c r="BN3" s="34" t="str" cm="1">
        <f t="array" ref="BN3">_xlfn.LET(_xlpm.v,_xlfn._xlws.FILTER(Линии[_аппарат 1 №],Линии[_№ места (итог)]&lt;&gt;""),IF(_xlpm.v="","",_xlpm.v))</f>
        <v/>
      </c>
      <c r="BO3" s="34" t="str" cm="1">
        <f t="array" ref="BO3">_xlfn.LET(_xlpm.v,_xlfn._xlws.FILTER(Линии[_аппарат 2 №],Линии[_№ места (итог)]&lt;&gt;""),IF(_xlpm.v="","",_xlpm.v))</f>
        <v/>
      </c>
      <c r="BP3" s="34" t="str" cm="1">
        <f t="array" ref="BP3">_xlfn.LET(_xlpm.v,_xlfn._xlws.FILTER(Линии[_аппарат 3 №],Линии[_№ места (итог)]&lt;&gt;""),IF(_xlpm.v="","",_xlpm.v))</f>
        <v/>
      </c>
      <c r="BQ3" s="34" t="str" cm="1">
        <f t="array" ref="BQ3">_xlfn.LET(_xlpm.v,_xlfn._xlws.FILTER(Линии[_кабель клеммы],Линии[_№ места (итог)]&lt;&gt;""),IF(_xlpm.v="","",_xlpm.v))</f>
        <v/>
      </c>
      <c r="BR3" s="34" t="str" cm="1">
        <f t="array" ref="BR3">_xlfn.LET(_xlpm.v,_xlfn._xlws.FILTER(Линии[_вид клеммы №],Линии[_№ места (итог)]&lt;&gt;""),IF(_xlpm.v="","",_xlpm.v))</f>
        <v/>
      </c>
      <c r="BS3" s="34" t="str" cm="1">
        <f t="array" ref="BS3">_xlfn.LET(_xlpm.v,_xlfn._xlws.FILTER(Линии[_модуль №],Линии[_№ места (итог)]&lt;&gt;""),IF(_xlpm.v="","",_xlpm.v))</f>
        <v/>
      </c>
      <c r="BT3" s="34" t="str" cm="1">
        <f t="array" ref="BT3">_xlfn.LET(_xlpm.v,_xlfn._xlws.FILTER(Линии[_модель №],Линии[_№ места (итог)]&lt;&gt;""),IF(_xlpm.v="","",_xlpm.v))</f>
        <v/>
      </c>
      <c r="BU3" s="34" cm="1">
        <f t="array" ref="BU3">_xlfn.LET(_xlpm.v,_xlfn._xlws.FILTER(Линии[_уровень],Линии[_№ места (итог)]&lt;&gt;""),IF(_xlpm.v="","",_xlpm.v))</f>
        <v>0</v>
      </c>
      <c r="BV3" s="34" t="str" cm="1">
        <f t="array" ref="BV3">_xlfn.LET(_xlpm.v,_xlfn._xlws.FILTER(Линии[_№ линии],Линии[_№ места (итог)]&lt;&gt;""),IF(_xlpm.v="","",_xlpm.v))</f>
        <v/>
      </c>
      <c r="BW3" s="34" cm="1">
        <f t="array" ref="BW3">_xlfn.LET(_xlpm.v,_xlfn._xlws.FILTER(Линии[_3L клемм],Линии[_№ места (итог)]&lt;&gt;""),IF(_xlpm.v="","",_xlpm.v))</f>
        <v>0</v>
      </c>
      <c r="BX3" s="34" cm="1">
        <f t="array" ref="BX3">_xlfn.LET(_xlpm.v,_xlfn._xlws.FILTER(Линии[_доп. проходных],Линии[_№ места (итог)]&lt;&gt;""),IF(_xlpm.v="","",_xlpm.v))</f>
        <v>0</v>
      </c>
      <c r="BY3" s="34" t="str" cm="1">
        <f t="array" ref="BY3">_xlfn.LET(_xlpm.v,_xlfn._xlws.FILTER(Линии[_УГО (рус)],Линии[_№ места (итог)]&lt;&gt;""),IF(_xlpm.v="","",_xlpm.v))</f>
        <v/>
      </c>
      <c r="BZ3" cm="1">
        <f t="array" ref="BZ3">_xlfn.LET(_xlpm.v,_xlfn._xlws.FILTER(Линии[_№ щита],Линии[_№ места (итог)]&lt;&gt;""),IF(_xlpm.v="","",_xlpm.v))</f>
        <v>0</v>
      </c>
      <c r="CA3" t="str" cm="1">
        <f t="array" ref="CA3">_xlfn.LET(_xlpm.v,_xlfn._xlws.FILTER(Линии[_зона],Линии[_№ места (итог)]&lt;&gt;""),IF(_xlpm.v="","",_xlpm.v))</f>
        <v>линии</v>
      </c>
    </row>
    <row r="4" spans="1:79" x14ac:dyDescent="0.3">
      <c r="A4" s="39"/>
      <c r="B4" s="42"/>
      <c r="C4" s="42"/>
      <c r="D4" s="75"/>
      <c r="E4" s="75"/>
      <c r="F4" s="76"/>
      <c r="G4" s="47"/>
      <c r="H4" s="47"/>
      <c r="I4" s="75"/>
      <c r="J4" s="76"/>
      <c r="K4" s="76"/>
      <c r="L4" s="75"/>
      <c r="M4" s="49"/>
      <c r="N4" s="76"/>
      <c r="O4" s="49"/>
      <c r="P4" s="77"/>
      <c r="Q4" s="53"/>
      <c r="R4" s="54"/>
      <c r="S4" s="55"/>
      <c r="T4" s="56"/>
      <c r="U4" s="56"/>
      <c r="V4" s="42"/>
      <c r="W4" s="57"/>
      <c r="X4" s="58"/>
      <c r="Y4" s="75"/>
      <c r="Z4" s="59"/>
      <c r="AA4" s="61"/>
      <c r="AB4" s="61"/>
      <c r="AC4" s="61"/>
      <c r="AD4" s="62"/>
      <c r="AE4" s="62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</row>
    <row r="5" spans="1:79" x14ac:dyDescent="0.3">
      <c r="A5" s="39"/>
      <c r="B5" s="42"/>
      <c r="C5" s="42"/>
      <c r="D5" s="75"/>
      <c r="E5" s="75"/>
      <c r="F5" s="76"/>
      <c r="G5" s="47"/>
      <c r="H5" s="47"/>
      <c r="I5" s="75"/>
      <c r="J5" s="76"/>
      <c r="K5" s="76"/>
      <c r="L5" s="75"/>
      <c r="M5" s="49"/>
      <c r="N5" s="76"/>
      <c r="O5" s="49"/>
      <c r="P5" s="77"/>
      <c r="Q5" s="53"/>
      <c r="R5" s="54"/>
      <c r="S5" s="55"/>
      <c r="T5" s="56"/>
      <c r="U5" s="56"/>
      <c r="V5" s="42"/>
      <c r="W5" s="57"/>
      <c r="X5" s="58"/>
      <c r="Y5" s="75"/>
      <c r="Z5" s="59"/>
      <c r="AA5" s="61"/>
      <c r="AB5" s="61"/>
      <c r="AC5" s="61"/>
      <c r="AD5" s="62"/>
      <c r="AE5" s="62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</row>
    <row r="6" spans="1:79" x14ac:dyDescent="0.3">
      <c r="A6" s="39"/>
      <c r="B6" s="42"/>
      <c r="C6" s="42"/>
      <c r="D6" s="75"/>
      <c r="E6" s="75"/>
      <c r="F6" s="76"/>
      <c r="G6" s="47"/>
      <c r="H6" s="47"/>
      <c r="I6" s="75"/>
      <c r="J6" s="76"/>
      <c r="K6" s="76"/>
      <c r="L6" s="75"/>
      <c r="M6" s="49"/>
      <c r="N6" s="76"/>
      <c r="O6" s="49"/>
      <c r="P6" s="77"/>
      <c r="Q6" s="53"/>
      <c r="R6" s="54"/>
      <c r="S6" s="55"/>
      <c r="T6" s="56"/>
      <c r="U6" s="56"/>
      <c r="V6" s="42"/>
      <c r="W6" s="57"/>
      <c r="X6" s="58"/>
      <c r="Y6" s="75"/>
      <c r="Z6" s="59"/>
      <c r="AA6" s="61"/>
      <c r="AB6" s="61"/>
      <c r="AC6" s="61"/>
      <c r="AD6" s="62"/>
      <c r="AE6" s="62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</row>
    <row r="7" spans="1:79" x14ac:dyDescent="0.3">
      <c r="A7" s="39"/>
      <c r="B7" s="42"/>
      <c r="C7" s="42"/>
      <c r="D7" s="75"/>
      <c r="E7" s="75"/>
      <c r="F7" s="76"/>
      <c r="G7" s="47"/>
      <c r="H7" s="47"/>
      <c r="I7" s="75"/>
      <c r="J7" s="76"/>
      <c r="K7" s="76"/>
      <c r="L7" s="75"/>
      <c r="M7" s="49"/>
      <c r="N7" s="76"/>
      <c r="O7" s="49"/>
      <c r="P7" s="77"/>
      <c r="Q7" s="53"/>
      <c r="R7" s="54"/>
      <c r="S7" s="55"/>
      <c r="T7" s="56"/>
      <c r="U7" s="56"/>
      <c r="V7" s="42"/>
      <c r="W7" s="57"/>
      <c r="X7" s="58"/>
      <c r="Y7" s="75"/>
      <c r="Z7" s="59"/>
      <c r="AA7" s="61"/>
      <c r="AB7" s="61"/>
      <c r="AC7" s="61"/>
      <c r="AD7" s="62"/>
      <c r="AE7" s="62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</row>
    <row r="8" spans="1:79" x14ac:dyDescent="0.3">
      <c r="A8" s="39"/>
      <c r="B8" s="42"/>
      <c r="C8" s="42"/>
      <c r="D8" s="75"/>
      <c r="E8" s="75"/>
      <c r="F8" s="76"/>
      <c r="G8" s="47"/>
      <c r="H8" s="47"/>
      <c r="I8" s="75"/>
      <c r="J8" s="76"/>
      <c r="K8" s="76"/>
      <c r="L8" s="75"/>
      <c r="M8" s="49"/>
      <c r="N8" s="76"/>
      <c r="O8" s="49"/>
      <c r="P8" s="77"/>
      <c r="Q8" s="53"/>
      <c r="R8" s="54"/>
      <c r="S8" s="55"/>
      <c r="T8" s="56"/>
      <c r="U8" s="56"/>
      <c r="V8" s="42"/>
      <c r="W8" s="57"/>
      <c r="X8" s="58"/>
      <c r="Y8" s="75"/>
      <c r="Z8" s="59"/>
      <c r="AA8" s="61"/>
      <c r="AB8" s="61"/>
      <c r="AC8" s="61"/>
      <c r="AD8" s="62"/>
      <c r="AE8" s="62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</row>
    <row r="9" spans="1:79" x14ac:dyDescent="0.3">
      <c r="A9" s="39"/>
      <c r="B9" s="42"/>
      <c r="C9" s="42"/>
      <c r="D9" s="75"/>
      <c r="E9" s="75"/>
      <c r="F9" s="76"/>
      <c r="G9" s="47"/>
      <c r="H9" s="47"/>
      <c r="I9" s="75"/>
      <c r="J9" s="76"/>
      <c r="K9" s="76"/>
      <c r="L9" s="75"/>
      <c r="M9" s="49"/>
      <c r="N9" s="76"/>
      <c r="O9" s="49"/>
      <c r="P9" s="77"/>
      <c r="Q9" s="53"/>
      <c r="R9" s="54"/>
      <c r="S9" s="55"/>
      <c r="T9" s="56"/>
      <c r="U9" s="56"/>
      <c r="V9" s="42"/>
      <c r="W9" s="57"/>
      <c r="X9" s="58"/>
      <c r="Y9" s="75"/>
      <c r="Z9" s="59"/>
      <c r="AA9" s="61"/>
      <c r="AB9" s="61"/>
      <c r="AC9" s="61"/>
      <c r="AD9" s="62"/>
      <c r="AE9" s="62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</row>
    <row r="10" spans="1:79" x14ac:dyDescent="0.3">
      <c r="A10" s="39"/>
      <c r="B10" s="42"/>
      <c r="C10" s="42"/>
      <c r="D10" s="75"/>
      <c r="E10" s="75"/>
      <c r="F10" s="76"/>
      <c r="G10" s="47"/>
      <c r="H10" s="47"/>
      <c r="I10" s="75"/>
      <c r="J10" s="76"/>
      <c r="K10" s="76"/>
      <c r="L10" s="75"/>
      <c r="M10" s="49"/>
      <c r="N10" s="76"/>
      <c r="O10" s="49"/>
      <c r="P10" s="77"/>
      <c r="Q10" s="53"/>
      <c r="R10" s="54"/>
      <c r="S10" s="55"/>
      <c r="T10" s="56"/>
      <c r="U10" s="56"/>
      <c r="V10" s="42"/>
      <c r="W10" s="57"/>
      <c r="X10" s="58"/>
      <c r="Y10" s="75"/>
      <c r="Z10" s="59"/>
      <c r="AA10" s="61"/>
      <c r="AB10" s="61"/>
      <c r="AC10" s="61"/>
      <c r="AD10" s="62"/>
      <c r="AE10" s="62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</row>
    <row r="11" spans="1:79" x14ac:dyDescent="0.3">
      <c r="A11" s="39"/>
      <c r="B11" s="42"/>
      <c r="C11" s="42"/>
      <c r="D11" s="75"/>
      <c r="E11" s="75"/>
      <c r="F11" s="76"/>
      <c r="G11" s="47"/>
      <c r="H11" s="47"/>
      <c r="I11" s="75"/>
      <c r="J11" s="76"/>
      <c r="K11" s="76"/>
      <c r="L11" s="75"/>
      <c r="M11" s="49"/>
      <c r="N11" s="76"/>
      <c r="O11" s="49"/>
      <c r="P11" s="77"/>
      <c r="Q11" s="53"/>
      <c r="R11" s="54"/>
      <c r="S11" s="55"/>
      <c r="T11" s="56"/>
      <c r="U11" s="56"/>
      <c r="V11" s="42"/>
      <c r="W11" s="57"/>
      <c r="X11" s="58"/>
      <c r="Y11" s="75"/>
      <c r="Z11" s="59"/>
      <c r="AA11" s="61"/>
      <c r="AB11" s="61"/>
      <c r="AC11" s="61"/>
      <c r="AD11" s="62"/>
      <c r="AE11" s="62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</row>
    <row r="12" spans="1:79" x14ac:dyDescent="0.3">
      <c r="A12" s="39"/>
      <c r="B12" s="42"/>
      <c r="C12" s="42"/>
      <c r="D12" s="75"/>
      <c r="E12" s="75"/>
      <c r="F12" s="76"/>
      <c r="G12" s="47"/>
      <c r="H12" s="47"/>
      <c r="I12" s="75"/>
      <c r="J12" s="76"/>
      <c r="K12" s="76"/>
      <c r="L12" s="75"/>
      <c r="M12" s="49"/>
      <c r="N12" s="76"/>
      <c r="O12" s="49"/>
      <c r="P12" s="77"/>
      <c r="Q12" s="53"/>
      <c r="R12" s="54"/>
      <c r="S12" s="55"/>
      <c r="T12" s="56"/>
      <c r="U12" s="56"/>
      <c r="V12" s="42"/>
      <c r="W12" s="57"/>
      <c r="X12" s="58"/>
      <c r="Y12" s="75"/>
      <c r="Z12" s="59"/>
      <c r="AA12" s="61"/>
      <c r="AB12" s="61"/>
      <c r="AC12" s="61"/>
      <c r="AD12" s="62"/>
      <c r="AE12" s="62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</row>
    <row r="13" spans="1:79" x14ac:dyDescent="0.3">
      <c r="A13" s="39"/>
      <c r="B13" s="42"/>
      <c r="C13" s="42"/>
      <c r="D13" s="75"/>
      <c r="E13" s="75"/>
      <c r="F13" s="76"/>
      <c r="G13" s="47"/>
      <c r="H13" s="47"/>
      <c r="I13" s="75"/>
      <c r="J13" s="76"/>
      <c r="K13" s="76"/>
      <c r="L13" s="75"/>
      <c r="M13" s="49"/>
      <c r="N13" s="76"/>
      <c r="O13" s="49"/>
      <c r="P13" s="77"/>
      <c r="Q13" s="53"/>
      <c r="R13" s="54"/>
      <c r="S13" s="55"/>
      <c r="T13" s="56"/>
      <c r="U13" s="56"/>
      <c r="V13" s="42"/>
      <c r="W13" s="57"/>
      <c r="X13" s="58"/>
      <c r="Y13" s="75"/>
      <c r="Z13" s="59"/>
      <c r="AA13" s="61"/>
      <c r="AB13" s="61"/>
      <c r="AC13" s="61"/>
      <c r="AD13" s="62"/>
      <c r="AE13" s="62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</row>
    <row r="14" spans="1:79" x14ac:dyDescent="0.3">
      <c r="A14" s="39"/>
      <c r="B14" s="42"/>
      <c r="C14" s="42"/>
      <c r="D14" s="75"/>
      <c r="E14" s="75"/>
      <c r="F14" s="76"/>
      <c r="G14" s="47"/>
      <c r="H14" s="47"/>
      <c r="I14" s="75"/>
      <c r="J14" s="76"/>
      <c r="K14" s="76"/>
      <c r="L14" s="75"/>
      <c r="M14" s="49"/>
      <c r="N14" s="76"/>
      <c r="O14" s="49"/>
      <c r="P14" s="77"/>
      <c r="Q14" s="53"/>
      <c r="R14" s="54"/>
      <c r="S14" s="55"/>
      <c r="T14" s="56"/>
      <c r="U14" s="56"/>
      <c r="V14" s="42"/>
      <c r="W14" s="57"/>
      <c r="X14" s="58"/>
      <c r="Y14" s="75"/>
      <c r="Z14" s="59"/>
      <c r="AA14" s="61"/>
      <c r="AB14" s="61"/>
      <c r="AC14" s="61"/>
      <c r="AD14" s="62"/>
      <c r="AE14" s="62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</row>
    <row r="15" spans="1:79" x14ac:dyDescent="0.3">
      <c r="A15" s="39"/>
      <c r="B15" s="42"/>
      <c r="C15" s="42"/>
      <c r="D15" s="75"/>
      <c r="E15" s="75"/>
      <c r="F15" s="76"/>
      <c r="G15" s="47"/>
      <c r="H15" s="47"/>
      <c r="I15" s="75"/>
      <c r="J15" s="76"/>
      <c r="K15" s="76"/>
      <c r="L15" s="75"/>
      <c r="M15" s="49"/>
      <c r="N15" s="76"/>
      <c r="O15" s="49"/>
      <c r="P15" s="77"/>
      <c r="Q15" s="53"/>
      <c r="R15" s="54"/>
      <c r="S15" s="55"/>
      <c r="T15" s="56"/>
      <c r="U15" s="56"/>
      <c r="V15" s="42"/>
      <c r="W15" s="57"/>
      <c r="X15" s="58"/>
      <c r="Y15" s="75"/>
      <c r="Z15" s="59"/>
      <c r="AA15" s="61"/>
      <c r="AB15" s="61"/>
      <c r="AC15" s="61"/>
      <c r="AD15" s="62"/>
      <c r="AE15" s="62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</row>
    <row r="16" spans="1:79" x14ac:dyDescent="0.3">
      <c r="A16" s="39"/>
      <c r="B16" s="42"/>
      <c r="C16" s="42"/>
      <c r="D16" s="75"/>
      <c r="E16" s="75"/>
      <c r="F16" s="76"/>
      <c r="G16" s="47"/>
      <c r="H16" s="47"/>
      <c r="I16" s="75"/>
      <c r="J16" s="76"/>
      <c r="K16" s="76"/>
      <c r="L16" s="75"/>
      <c r="M16" s="49"/>
      <c r="N16" s="76"/>
      <c r="O16" s="49"/>
      <c r="P16" s="77"/>
      <c r="Q16" s="53"/>
      <c r="R16" s="54"/>
      <c r="S16" s="55"/>
      <c r="T16" s="56"/>
      <c r="U16" s="56"/>
      <c r="V16" s="42"/>
      <c r="W16" s="57"/>
      <c r="X16" s="58"/>
      <c r="Y16" s="75"/>
      <c r="Z16" s="59"/>
      <c r="AA16" s="61"/>
      <c r="AB16" s="61"/>
      <c r="AC16" s="61"/>
      <c r="AD16" s="62"/>
      <c r="AE16" s="62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</row>
    <row r="17" spans="1:77" x14ac:dyDescent="0.3">
      <c r="A17" s="39"/>
      <c r="B17" s="42"/>
      <c r="C17" s="42"/>
      <c r="D17" s="75"/>
      <c r="E17" s="75"/>
      <c r="F17" s="76"/>
      <c r="G17" s="47"/>
      <c r="H17" s="47"/>
      <c r="I17" s="75"/>
      <c r="J17" s="76"/>
      <c r="K17" s="76"/>
      <c r="L17" s="75"/>
      <c r="M17" s="49"/>
      <c r="N17" s="76"/>
      <c r="O17" s="49"/>
      <c r="P17" s="77"/>
      <c r="Q17" s="53"/>
      <c r="R17" s="54"/>
      <c r="S17" s="55"/>
      <c r="T17" s="56"/>
      <c r="U17" s="56"/>
      <c r="V17" s="42"/>
      <c r="W17" s="57"/>
      <c r="X17" s="58"/>
      <c r="Y17" s="75"/>
      <c r="Z17" s="59"/>
      <c r="AA17" s="61"/>
      <c r="AB17" s="61"/>
      <c r="AC17" s="61"/>
      <c r="AD17" s="62"/>
      <c r="AE17" s="62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</row>
    <row r="18" spans="1:77" x14ac:dyDescent="0.3">
      <c r="A18" s="39"/>
      <c r="B18" s="42"/>
      <c r="C18" s="42"/>
      <c r="D18" s="75"/>
      <c r="E18" s="75"/>
      <c r="F18" s="76"/>
      <c r="G18" s="47"/>
      <c r="H18" s="47"/>
      <c r="I18" s="75"/>
      <c r="J18" s="76"/>
      <c r="K18" s="76"/>
      <c r="L18" s="75"/>
      <c r="M18" s="49"/>
      <c r="N18" s="76"/>
      <c r="O18" s="49"/>
      <c r="P18" s="77"/>
      <c r="Q18" s="53"/>
      <c r="R18" s="54"/>
      <c r="S18" s="55"/>
      <c r="T18" s="56"/>
      <c r="U18" s="56"/>
      <c r="V18" s="42"/>
      <c r="W18" s="57"/>
      <c r="X18" s="58"/>
      <c r="Y18" s="75"/>
      <c r="Z18" s="59"/>
      <c r="AA18" s="61"/>
      <c r="AB18" s="61"/>
      <c r="AC18" s="61"/>
      <c r="AD18" s="62"/>
      <c r="AE18" s="62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</row>
    <row r="19" spans="1:77" x14ac:dyDescent="0.3">
      <c r="A19" s="39"/>
      <c r="B19" s="42"/>
      <c r="C19" s="42"/>
      <c r="D19" s="75"/>
      <c r="E19" s="75"/>
      <c r="F19" s="76"/>
      <c r="G19" s="47"/>
      <c r="H19" s="47"/>
      <c r="I19" s="75"/>
      <c r="J19" s="76"/>
      <c r="K19" s="76"/>
      <c r="L19" s="75"/>
      <c r="M19" s="49"/>
      <c r="N19" s="76"/>
      <c r="O19" s="49"/>
      <c r="P19" s="77"/>
      <c r="Q19" s="53"/>
      <c r="R19" s="54"/>
      <c r="S19" s="55"/>
      <c r="T19" s="56"/>
      <c r="U19" s="56"/>
      <c r="V19" s="42"/>
      <c r="W19" s="57"/>
      <c r="X19" s="58"/>
      <c r="Y19" s="75"/>
      <c r="Z19" s="59"/>
      <c r="AA19" s="61"/>
      <c r="AB19" s="61"/>
      <c r="AC19" s="61"/>
      <c r="AD19" s="62"/>
      <c r="AE19" s="62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</row>
    <row r="20" spans="1:77" x14ac:dyDescent="0.3">
      <c r="A20" s="39"/>
      <c r="B20" s="42"/>
      <c r="C20" s="42"/>
      <c r="D20" s="75"/>
      <c r="E20" s="75"/>
      <c r="F20" s="76"/>
      <c r="G20" s="47"/>
      <c r="H20" s="47"/>
      <c r="I20" s="75"/>
      <c r="J20" s="76"/>
      <c r="K20" s="76"/>
      <c r="L20" s="75"/>
      <c r="M20" s="49"/>
      <c r="N20" s="76"/>
      <c r="O20" s="49"/>
      <c r="P20" s="77"/>
      <c r="Q20" s="53"/>
      <c r="R20" s="54"/>
      <c r="S20" s="55"/>
      <c r="T20" s="56"/>
      <c r="U20" s="56"/>
      <c r="V20" s="42"/>
      <c r="W20" s="57"/>
      <c r="X20" s="58"/>
      <c r="Y20" s="75"/>
      <c r="Z20" s="59"/>
      <c r="AA20" s="61"/>
      <c r="AB20" s="61"/>
      <c r="AC20" s="61"/>
      <c r="AD20" s="62"/>
      <c r="AE20" s="62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</row>
    <row r="21" spans="1:77" x14ac:dyDescent="0.3">
      <c r="A21" s="39"/>
      <c r="B21" s="42"/>
      <c r="C21" s="42"/>
      <c r="D21" s="75"/>
      <c r="E21" s="75"/>
      <c r="F21" s="76"/>
      <c r="G21" s="47"/>
      <c r="H21" s="47"/>
      <c r="I21" s="75"/>
      <c r="J21" s="76"/>
      <c r="K21" s="76"/>
      <c r="L21" s="75"/>
      <c r="M21" s="49"/>
      <c r="N21" s="76"/>
      <c r="O21" s="49"/>
      <c r="P21" s="77"/>
      <c r="Q21" s="53"/>
      <c r="R21" s="54"/>
      <c r="S21" s="55"/>
      <c r="T21" s="56"/>
      <c r="U21" s="56"/>
      <c r="V21" s="42"/>
      <c r="W21" s="57"/>
      <c r="X21" s="58"/>
      <c r="Y21" s="75"/>
      <c r="Z21" s="59"/>
      <c r="AA21" s="61"/>
      <c r="AB21" s="61"/>
      <c r="AC21" s="61"/>
      <c r="AD21" s="62"/>
      <c r="AE21" s="62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</row>
    <row r="22" spans="1:77" x14ac:dyDescent="0.3">
      <c r="A22" s="39"/>
      <c r="B22" s="42"/>
      <c r="C22" s="42"/>
      <c r="D22" s="75"/>
      <c r="E22" s="75"/>
      <c r="F22" s="76"/>
      <c r="G22" s="47"/>
      <c r="H22" s="47"/>
      <c r="I22" s="75"/>
      <c r="J22" s="76"/>
      <c r="K22" s="76"/>
      <c r="L22" s="75"/>
      <c r="M22" s="49"/>
      <c r="N22" s="76"/>
      <c r="O22" s="49"/>
      <c r="P22" s="77"/>
      <c r="Q22" s="53"/>
      <c r="R22" s="54"/>
      <c r="S22" s="55"/>
      <c r="T22" s="56"/>
      <c r="U22" s="56"/>
      <c r="V22" s="42"/>
      <c r="W22" s="57"/>
      <c r="X22" s="58"/>
      <c r="Y22" s="75"/>
      <c r="Z22" s="59"/>
      <c r="AA22" s="61"/>
      <c r="AB22" s="61"/>
      <c r="AC22" s="61"/>
      <c r="AD22" s="62"/>
      <c r="AE22" s="62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</row>
    <row r="23" spans="1:77" x14ac:dyDescent="0.3">
      <c r="A23" s="39"/>
      <c r="B23" s="42"/>
      <c r="C23" s="42"/>
      <c r="D23" s="75"/>
      <c r="E23" s="75"/>
      <c r="F23" s="76"/>
      <c r="G23" s="47"/>
      <c r="H23" s="47"/>
      <c r="I23" s="75"/>
      <c r="J23" s="76"/>
      <c r="K23" s="76"/>
      <c r="L23" s="75"/>
      <c r="M23" s="49"/>
      <c r="N23" s="76"/>
      <c r="O23" s="49"/>
      <c r="P23" s="77"/>
      <c r="Q23" s="53"/>
      <c r="R23" s="54"/>
      <c r="S23" s="55"/>
      <c r="T23" s="56"/>
      <c r="U23" s="56"/>
      <c r="V23" s="42"/>
      <c r="W23" s="57"/>
      <c r="X23" s="58"/>
      <c r="Y23" s="75"/>
      <c r="Z23" s="59"/>
      <c r="AA23" s="61"/>
      <c r="AB23" s="61"/>
      <c r="AC23" s="61"/>
      <c r="AD23" s="62"/>
      <c r="AE23" s="62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</row>
    <row r="24" spans="1:77" x14ac:dyDescent="0.3">
      <c r="A24" s="39"/>
      <c r="B24" s="42"/>
      <c r="C24" s="42"/>
      <c r="D24" s="75"/>
      <c r="E24" s="75"/>
      <c r="F24" s="76"/>
      <c r="G24" s="47"/>
      <c r="H24" s="47"/>
      <c r="I24" s="75"/>
      <c r="J24" s="76"/>
      <c r="K24" s="76"/>
      <c r="L24" s="75"/>
      <c r="M24" s="49"/>
      <c r="N24" s="76"/>
      <c r="O24" s="49"/>
      <c r="P24" s="77"/>
      <c r="Q24" s="53"/>
      <c r="R24" s="54"/>
      <c r="S24" s="55"/>
      <c r="T24" s="56"/>
      <c r="U24" s="56"/>
      <c r="V24" s="42"/>
      <c r="W24" s="57"/>
      <c r="X24" s="58"/>
      <c r="Y24" s="75"/>
      <c r="Z24" s="59"/>
      <c r="AA24" s="61"/>
      <c r="AB24" s="61"/>
      <c r="AC24" s="61"/>
      <c r="AD24" s="62"/>
      <c r="AE24" s="62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</row>
    <row r="25" spans="1:77" x14ac:dyDescent="0.3">
      <c r="A25" s="39"/>
      <c r="B25" s="42"/>
      <c r="C25" s="42"/>
      <c r="D25" s="75"/>
      <c r="E25" s="75"/>
      <c r="F25" s="76"/>
      <c r="G25" s="47"/>
      <c r="H25" s="47"/>
      <c r="I25" s="75"/>
      <c r="J25" s="76"/>
      <c r="K25" s="76"/>
      <c r="L25" s="75"/>
      <c r="M25" s="49"/>
      <c r="N25" s="76"/>
      <c r="O25" s="49"/>
      <c r="P25" s="77"/>
      <c r="Q25" s="53"/>
      <c r="R25" s="54"/>
      <c r="S25" s="55"/>
      <c r="T25" s="56"/>
      <c r="U25" s="56"/>
      <c r="V25" s="42"/>
      <c r="W25" s="57"/>
      <c r="X25" s="58"/>
      <c r="Y25" s="75"/>
      <c r="Z25" s="59"/>
      <c r="AA25" s="61"/>
      <c r="AB25" s="61"/>
      <c r="AC25" s="61"/>
      <c r="AD25" s="62"/>
      <c r="AE25" s="62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</row>
    <row r="26" spans="1:77" x14ac:dyDescent="0.3">
      <c r="A26" s="39"/>
      <c r="B26" s="42"/>
      <c r="C26" s="42"/>
      <c r="D26" s="75"/>
      <c r="E26" s="75"/>
      <c r="F26" s="76"/>
      <c r="G26" s="47"/>
      <c r="H26" s="47"/>
      <c r="I26" s="75"/>
      <c r="J26" s="76"/>
      <c r="K26" s="76"/>
      <c r="L26" s="75"/>
      <c r="M26" s="49"/>
      <c r="N26" s="76"/>
      <c r="O26" s="49"/>
      <c r="P26" s="77"/>
      <c r="Q26" s="53"/>
      <c r="R26" s="54"/>
      <c r="S26" s="55"/>
      <c r="T26" s="56"/>
      <c r="U26" s="56"/>
      <c r="V26" s="42"/>
      <c r="W26" s="57"/>
      <c r="X26" s="58"/>
      <c r="Y26" s="75"/>
      <c r="Z26" s="59"/>
      <c r="AA26" s="61"/>
      <c r="AB26" s="61"/>
      <c r="AC26" s="61"/>
      <c r="AD26" s="62"/>
      <c r="AE26" s="62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</row>
    <row r="27" spans="1:77" x14ac:dyDescent="0.3">
      <c r="A27" s="39"/>
      <c r="B27" s="42"/>
      <c r="C27" s="42"/>
      <c r="D27" s="75"/>
      <c r="E27" s="75"/>
      <c r="F27" s="76"/>
      <c r="G27" s="47"/>
      <c r="H27" s="47"/>
      <c r="I27" s="75"/>
      <c r="J27" s="76"/>
      <c r="K27" s="76"/>
      <c r="L27" s="75"/>
      <c r="M27" s="49"/>
      <c r="N27" s="76"/>
      <c r="O27" s="49"/>
      <c r="P27" s="77"/>
      <c r="Q27" s="53"/>
      <c r="R27" s="54"/>
      <c r="S27" s="55"/>
      <c r="T27" s="56"/>
      <c r="U27" s="56"/>
      <c r="V27" s="42"/>
      <c r="W27" s="57"/>
      <c r="X27" s="58"/>
      <c r="Y27" s="75"/>
      <c r="Z27" s="59"/>
      <c r="AA27" s="61"/>
      <c r="AB27" s="61"/>
      <c r="AC27" s="61"/>
      <c r="AD27" s="62"/>
      <c r="AE27" s="62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</row>
    <row r="28" spans="1:77" x14ac:dyDescent="0.3">
      <c r="A28" s="39"/>
      <c r="B28" s="42"/>
      <c r="C28" s="42"/>
      <c r="D28" s="75"/>
      <c r="E28" s="75"/>
      <c r="F28" s="76"/>
      <c r="G28" s="47"/>
      <c r="H28" s="47"/>
      <c r="I28" s="75"/>
      <c r="J28" s="76"/>
      <c r="K28" s="76"/>
      <c r="L28" s="75"/>
      <c r="M28" s="49"/>
      <c r="N28" s="76"/>
      <c r="O28" s="49"/>
      <c r="P28" s="77"/>
      <c r="Q28" s="53"/>
      <c r="R28" s="54"/>
      <c r="S28" s="55"/>
      <c r="T28" s="56"/>
      <c r="U28" s="56"/>
      <c r="V28" s="42"/>
      <c r="W28" s="57"/>
      <c r="X28" s="58"/>
      <c r="Y28" s="75"/>
      <c r="Z28" s="59"/>
      <c r="AA28" s="61"/>
      <c r="AB28" s="61"/>
      <c r="AC28" s="61"/>
      <c r="AD28" s="62"/>
      <c r="AE28" s="62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</row>
    <row r="29" spans="1:77" x14ac:dyDescent="0.3">
      <c r="A29" s="39"/>
      <c r="B29" s="42"/>
      <c r="C29" s="42"/>
      <c r="D29" s="75"/>
      <c r="E29" s="75"/>
      <c r="F29" s="76"/>
      <c r="G29" s="47"/>
      <c r="H29" s="47"/>
      <c r="I29" s="75"/>
      <c r="J29" s="76"/>
      <c r="K29" s="76"/>
      <c r="L29" s="75"/>
      <c r="M29" s="49"/>
      <c r="N29" s="76"/>
      <c r="O29" s="49"/>
      <c r="P29" s="77"/>
      <c r="Q29" s="53"/>
      <c r="R29" s="54"/>
      <c r="S29" s="55"/>
      <c r="T29" s="56"/>
      <c r="U29" s="56"/>
      <c r="V29" s="42"/>
      <c r="W29" s="57"/>
      <c r="X29" s="58"/>
      <c r="Y29" s="75"/>
      <c r="Z29" s="59"/>
      <c r="AA29" s="61"/>
      <c r="AB29" s="61"/>
      <c r="AC29" s="61"/>
      <c r="AD29" s="62"/>
      <c r="AE29" s="62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</row>
    <row r="30" spans="1:77" x14ac:dyDescent="0.3">
      <c r="A30" s="39"/>
      <c r="B30" s="42"/>
      <c r="C30" s="42"/>
      <c r="D30" s="75"/>
      <c r="E30" s="75"/>
      <c r="F30" s="76"/>
      <c r="G30" s="47"/>
      <c r="H30" s="47"/>
      <c r="I30" s="75"/>
      <c r="J30" s="76"/>
      <c r="K30" s="76"/>
      <c r="L30" s="75"/>
      <c r="M30" s="49"/>
      <c r="N30" s="76"/>
      <c r="O30" s="49"/>
      <c r="P30" s="77"/>
      <c r="Q30" s="53"/>
      <c r="R30" s="54"/>
      <c r="S30" s="55"/>
      <c r="T30" s="56"/>
      <c r="U30" s="56"/>
      <c r="V30" s="42"/>
      <c r="W30" s="57"/>
      <c r="X30" s="58"/>
      <c r="Y30" s="75"/>
      <c r="Z30" s="59"/>
      <c r="AA30" s="61"/>
      <c r="AB30" s="61"/>
      <c r="AC30" s="61"/>
      <c r="AD30" s="62"/>
      <c r="AE30" s="62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</row>
    <row r="31" spans="1:77" x14ac:dyDescent="0.3">
      <c r="A31" s="39"/>
      <c r="B31" s="42"/>
      <c r="C31" s="42"/>
      <c r="D31" s="75"/>
      <c r="E31" s="75"/>
      <c r="F31" s="76"/>
      <c r="G31" s="47"/>
      <c r="H31" s="47"/>
      <c r="I31" s="75"/>
      <c r="J31" s="76"/>
      <c r="K31" s="76"/>
      <c r="L31" s="75"/>
      <c r="M31" s="49"/>
      <c r="N31" s="76"/>
      <c r="O31" s="49"/>
      <c r="P31" s="77"/>
      <c r="Q31" s="53"/>
      <c r="R31" s="54"/>
      <c r="S31" s="55"/>
      <c r="T31" s="56"/>
      <c r="U31" s="56"/>
      <c r="V31" s="42"/>
      <c r="W31" s="57"/>
      <c r="X31" s="58"/>
      <c r="Y31" s="75"/>
      <c r="Z31" s="59"/>
      <c r="AA31" s="61"/>
      <c r="AB31" s="61"/>
      <c r="AC31" s="61"/>
      <c r="AD31" s="62"/>
      <c r="AE31" s="62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</row>
    <row r="32" spans="1:77" x14ac:dyDescent="0.3">
      <c r="A32" s="39"/>
      <c r="B32" s="42"/>
      <c r="C32" s="42"/>
      <c r="D32" s="75"/>
      <c r="E32" s="75"/>
      <c r="F32" s="76"/>
      <c r="G32" s="47"/>
      <c r="H32" s="47"/>
      <c r="I32" s="75"/>
      <c r="J32" s="76"/>
      <c r="K32" s="76"/>
      <c r="L32" s="75"/>
      <c r="M32" s="49"/>
      <c r="N32" s="76"/>
      <c r="O32" s="49"/>
      <c r="P32" s="77"/>
      <c r="Q32" s="53"/>
      <c r="R32" s="54"/>
      <c r="S32" s="55"/>
      <c r="T32" s="56"/>
      <c r="U32" s="56"/>
      <c r="V32" s="42"/>
      <c r="W32" s="57"/>
      <c r="X32" s="58"/>
      <c r="Y32" s="75"/>
      <c r="Z32" s="59"/>
      <c r="AA32" s="61"/>
      <c r="AB32" s="61"/>
      <c r="AC32" s="61"/>
      <c r="AD32" s="62"/>
      <c r="AE32" s="62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</row>
    <row r="33" spans="1:77" x14ac:dyDescent="0.3">
      <c r="A33" s="39"/>
      <c r="B33" s="42"/>
      <c r="C33" s="42"/>
      <c r="D33" s="75"/>
      <c r="E33" s="75"/>
      <c r="F33" s="76"/>
      <c r="G33" s="47"/>
      <c r="H33" s="47"/>
      <c r="I33" s="75"/>
      <c r="J33" s="76"/>
      <c r="K33" s="76"/>
      <c r="L33" s="75"/>
      <c r="M33" s="49"/>
      <c r="N33" s="76"/>
      <c r="O33" s="49"/>
      <c r="P33" s="77"/>
      <c r="Q33" s="53"/>
      <c r="R33" s="54"/>
      <c r="S33" s="55"/>
      <c r="T33" s="56"/>
      <c r="U33" s="56"/>
      <c r="V33" s="42"/>
      <c r="W33" s="57"/>
      <c r="X33" s="58"/>
      <c r="Y33" s="75"/>
      <c r="Z33" s="59"/>
      <c r="AA33" s="61"/>
      <c r="AB33" s="61"/>
      <c r="AC33" s="61"/>
      <c r="AD33" s="62"/>
      <c r="AE33" s="62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</row>
    <row r="34" spans="1:77" x14ac:dyDescent="0.3">
      <c r="A34" s="39"/>
      <c r="B34" s="42"/>
      <c r="C34" s="42"/>
      <c r="D34" s="75"/>
      <c r="E34" s="75"/>
      <c r="F34" s="76"/>
      <c r="G34" s="47"/>
      <c r="H34" s="47"/>
      <c r="I34" s="75"/>
      <c r="J34" s="76"/>
      <c r="K34" s="76"/>
      <c r="L34" s="75"/>
      <c r="M34" s="49"/>
      <c r="N34" s="76"/>
      <c r="O34" s="49"/>
      <c r="P34" s="77"/>
      <c r="Q34" s="53"/>
      <c r="R34" s="54"/>
      <c r="S34" s="55"/>
      <c r="T34" s="56"/>
      <c r="U34" s="56"/>
      <c r="V34" s="42"/>
      <c r="W34" s="57"/>
      <c r="X34" s="58"/>
      <c r="Y34" s="75"/>
      <c r="Z34" s="59"/>
      <c r="AA34" s="61"/>
      <c r="AB34" s="61"/>
      <c r="AC34" s="61"/>
      <c r="AD34" s="62"/>
      <c r="AE34" s="62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</row>
    <row r="35" spans="1:77" x14ac:dyDescent="0.3">
      <c r="A35" s="39"/>
      <c r="B35" s="42"/>
      <c r="C35" s="42"/>
      <c r="D35" s="75"/>
      <c r="E35" s="75"/>
      <c r="F35" s="76"/>
      <c r="G35" s="47"/>
      <c r="H35" s="47"/>
      <c r="I35" s="75"/>
      <c r="J35" s="76"/>
      <c r="K35" s="76"/>
      <c r="L35" s="75"/>
      <c r="M35" s="49"/>
      <c r="N35" s="76"/>
      <c r="O35" s="49"/>
      <c r="P35" s="77"/>
      <c r="Q35" s="53"/>
      <c r="R35" s="54"/>
      <c r="S35" s="55"/>
      <c r="T35" s="56"/>
      <c r="U35" s="56"/>
      <c r="V35" s="42"/>
      <c r="W35" s="57"/>
      <c r="X35" s="58"/>
      <c r="Y35" s="75"/>
      <c r="Z35" s="59"/>
      <c r="AA35" s="61"/>
      <c r="AB35" s="61"/>
      <c r="AC35" s="61"/>
      <c r="AD35" s="62"/>
      <c r="AE35" s="62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</row>
    <row r="36" spans="1:77" x14ac:dyDescent="0.3">
      <c r="A36" s="39"/>
      <c r="B36" s="42"/>
      <c r="C36" s="42"/>
      <c r="D36" s="75"/>
      <c r="E36" s="75"/>
      <c r="F36" s="76"/>
      <c r="G36" s="47"/>
      <c r="H36" s="47"/>
      <c r="I36" s="75"/>
      <c r="J36" s="76"/>
      <c r="K36" s="76"/>
      <c r="L36" s="75"/>
      <c r="M36" s="49"/>
      <c r="N36" s="76"/>
      <c r="O36" s="49"/>
      <c r="P36" s="77"/>
      <c r="Q36" s="53"/>
      <c r="R36" s="54"/>
      <c r="S36" s="55"/>
      <c r="T36" s="56"/>
      <c r="U36" s="56"/>
      <c r="V36" s="42"/>
      <c r="W36" s="57"/>
      <c r="X36" s="58"/>
      <c r="Y36" s="75"/>
      <c r="Z36" s="59"/>
      <c r="AA36" s="61"/>
      <c r="AB36" s="61"/>
      <c r="AC36" s="61"/>
      <c r="AD36" s="62"/>
      <c r="AE36" s="62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</row>
    <row r="37" spans="1:77" x14ac:dyDescent="0.3">
      <c r="A37" s="39"/>
      <c r="B37" s="42"/>
      <c r="C37" s="42"/>
      <c r="D37" s="75"/>
      <c r="E37" s="75"/>
      <c r="F37" s="76"/>
      <c r="G37" s="47"/>
      <c r="H37" s="47"/>
      <c r="I37" s="75"/>
      <c r="J37" s="76"/>
      <c r="K37" s="76"/>
      <c r="L37" s="75"/>
      <c r="M37" s="49"/>
      <c r="N37" s="76"/>
      <c r="O37" s="49"/>
      <c r="P37" s="77"/>
      <c r="Q37" s="53"/>
      <c r="R37" s="54"/>
      <c r="S37" s="55"/>
      <c r="T37" s="56"/>
      <c r="U37" s="56"/>
      <c r="V37" s="42"/>
      <c r="W37" s="57"/>
      <c r="X37" s="58"/>
      <c r="Y37" s="75"/>
      <c r="Z37" s="59"/>
      <c r="AA37" s="61"/>
      <c r="AB37" s="61"/>
      <c r="AC37" s="61"/>
      <c r="AD37" s="62"/>
      <c r="AE37" s="62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</row>
    <row r="38" spans="1:77" x14ac:dyDescent="0.3">
      <c r="A38" s="39"/>
      <c r="B38" s="42"/>
      <c r="C38" s="42"/>
      <c r="D38" s="75"/>
      <c r="E38" s="75"/>
      <c r="F38" s="76"/>
      <c r="G38" s="47"/>
      <c r="H38" s="47"/>
      <c r="I38" s="75"/>
      <c r="J38" s="76"/>
      <c r="K38" s="76"/>
      <c r="L38" s="75"/>
      <c r="M38" s="49"/>
      <c r="N38" s="76"/>
      <c r="O38" s="49"/>
      <c r="P38" s="77"/>
      <c r="Q38" s="53"/>
      <c r="R38" s="54"/>
      <c r="S38" s="55"/>
      <c r="T38" s="56"/>
      <c r="U38" s="56"/>
      <c r="V38" s="42"/>
      <c r="W38" s="57"/>
      <c r="X38" s="58"/>
      <c r="Y38" s="75"/>
      <c r="Z38" s="59"/>
      <c r="AA38" s="61"/>
      <c r="AB38" s="61"/>
      <c r="AC38" s="61"/>
      <c r="AD38" s="62"/>
      <c r="AE38" s="62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</row>
    <row r="39" spans="1:77" x14ac:dyDescent="0.3">
      <c r="A39" s="39"/>
      <c r="B39" s="42"/>
      <c r="C39" s="42"/>
      <c r="D39" s="75"/>
      <c r="E39" s="75"/>
      <c r="F39" s="76"/>
      <c r="G39" s="47"/>
      <c r="H39" s="47"/>
      <c r="I39" s="75"/>
      <c r="J39" s="76"/>
      <c r="K39" s="76"/>
      <c r="L39" s="75"/>
      <c r="M39" s="49"/>
      <c r="N39" s="76"/>
      <c r="O39" s="49"/>
      <c r="P39" s="77"/>
      <c r="Q39" s="53"/>
      <c r="R39" s="54"/>
      <c r="S39" s="55"/>
      <c r="T39" s="56"/>
      <c r="U39" s="56"/>
      <c r="V39" s="42"/>
      <c r="W39" s="57"/>
      <c r="X39" s="58"/>
      <c r="Y39" s="75"/>
      <c r="Z39" s="59"/>
      <c r="AA39" s="61"/>
      <c r="AB39" s="61"/>
      <c r="AC39" s="61"/>
      <c r="AD39" s="62"/>
      <c r="AE39" s="62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</row>
    <row r="40" spans="1:77" x14ac:dyDescent="0.3">
      <c r="A40" s="39"/>
      <c r="B40" s="42"/>
      <c r="C40" s="42"/>
      <c r="D40" s="75"/>
      <c r="E40" s="75"/>
      <c r="F40" s="76"/>
      <c r="G40" s="47"/>
      <c r="H40" s="47"/>
      <c r="I40" s="75"/>
      <c r="J40" s="76"/>
      <c r="K40" s="76"/>
      <c r="L40" s="75"/>
      <c r="M40" s="49"/>
      <c r="N40" s="76"/>
      <c r="O40" s="49"/>
      <c r="P40" s="77"/>
      <c r="Q40" s="53"/>
      <c r="R40" s="54"/>
      <c r="S40" s="55"/>
      <c r="T40" s="56"/>
      <c r="U40" s="56"/>
      <c r="V40" s="42"/>
      <c r="W40" s="57"/>
      <c r="X40" s="58"/>
      <c r="Y40" s="75"/>
      <c r="Z40" s="59"/>
      <c r="AA40" s="61"/>
      <c r="AB40" s="61"/>
      <c r="AC40" s="61"/>
      <c r="AD40" s="62"/>
      <c r="AE40" s="62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</row>
    <row r="41" spans="1:77" x14ac:dyDescent="0.3">
      <c r="A41" s="39"/>
      <c r="B41" s="42"/>
      <c r="C41" s="42"/>
      <c r="D41" s="75"/>
      <c r="E41" s="75"/>
      <c r="F41" s="76"/>
      <c r="G41" s="47"/>
      <c r="H41" s="47"/>
      <c r="I41" s="75"/>
      <c r="J41" s="76"/>
      <c r="K41" s="76"/>
      <c r="L41" s="75"/>
      <c r="M41" s="49"/>
      <c r="N41" s="76"/>
      <c r="O41" s="49"/>
      <c r="P41" s="77"/>
      <c r="Q41" s="53"/>
      <c r="R41" s="54"/>
      <c r="S41" s="55"/>
      <c r="T41" s="56"/>
      <c r="U41" s="56"/>
      <c r="V41" s="42"/>
      <c r="W41" s="57"/>
      <c r="X41" s="58"/>
      <c r="Y41" s="75"/>
      <c r="Z41" s="59"/>
      <c r="AA41" s="61"/>
      <c r="AB41" s="61"/>
      <c r="AC41" s="61"/>
      <c r="AD41" s="62"/>
      <c r="AE41" s="62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</row>
    <row r="42" spans="1:77" x14ac:dyDescent="0.3">
      <c r="A42" s="39"/>
      <c r="B42" s="42"/>
      <c r="C42" s="42"/>
      <c r="D42" s="75"/>
      <c r="E42" s="75"/>
      <c r="F42" s="76"/>
      <c r="G42" s="47"/>
      <c r="H42" s="47"/>
      <c r="I42" s="75"/>
      <c r="J42" s="76"/>
      <c r="K42" s="76"/>
      <c r="L42" s="75"/>
      <c r="M42" s="49"/>
      <c r="N42" s="76"/>
      <c r="O42" s="49"/>
      <c r="P42" s="77"/>
      <c r="Q42" s="53"/>
      <c r="R42" s="54"/>
      <c r="S42" s="55"/>
      <c r="T42" s="56"/>
      <c r="U42" s="56"/>
      <c r="V42" s="42"/>
      <c r="W42" s="57"/>
      <c r="X42" s="58"/>
      <c r="Y42" s="75"/>
      <c r="Z42" s="59"/>
      <c r="AA42" s="61"/>
      <c r="AB42" s="61"/>
      <c r="AC42" s="61"/>
      <c r="AD42" s="62"/>
      <c r="AE42" s="62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</row>
    <row r="43" spans="1:77" x14ac:dyDescent="0.3">
      <c r="A43" s="39"/>
      <c r="B43" s="42"/>
      <c r="C43" s="42"/>
      <c r="D43" s="75"/>
      <c r="E43" s="75"/>
      <c r="F43" s="76"/>
      <c r="G43" s="47"/>
      <c r="H43" s="47"/>
      <c r="I43" s="75"/>
      <c r="J43" s="76"/>
      <c r="K43" s="76"/>
      <c r="L43" s="75"/>
      <c r="M43" s="49"/>
      <c r="N43" s="76"/>
      <c r="O43" s="49"/>
      <c r="P43" s="77"/>
      <c r="Q43" s="53"/>
      <c r="R43" s="54"/>
      <c r="S43" s="55"/>
      <c r="T43" s="56"/>
      <c r="U43" s="56"/>
      <c r="V43" s="42"/>
      <c r="W43" s="57"/>
      <c r="X43" s="58"/>
      <c r="Y43" s="75"/>
      <c r="Z43" s="59"/>
      <c r="AA43" s="61"/>
      <c r="AB43" s="61"/>
      <c r="AC43" s="61"/>
      <c r="AD43" s="62"/>
      <c r="AE43" s="62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</row>
    <row r="44" spans="1:77" x14ac:dyDescent="0.3">
      <c r="A44" s="39"/>
      <c r="B44" s="42"/>
      <c r="C44" s="42"/>
      <c r="D44" s="75"/>
      <c r="E44" s="75"/>
      <c r="F44" s="76"/>
      <c r="G44" s="47"/>
      <c r="H44" s="47"/>
      <c r="I44" s="75"/>
      <c r="J44" s="76"/>
      <c r="K44" s="76"/>
      <c r="L44" s="75"/>
      <c r="M44" s="49"/>
      <c r="N44" s="76"/>
      <c r="O44" s="49"/>
      <c r="P44" s="77"/>
      <c r="Q44" s="53"/>
      <c r="R44" s="54"/>
      <c r="S44" s="55"/>
      <c r="T44" s="56"/>
      <c r="U44" s="56"/>
      <c r="V44" s="42"/>
      <c r="W44" s="57"/>
      <c r="X44" s="58"/>
      <c r="Y44" s="75"/>
      <c r="Z44" s="59"/>
      <c r="AA44" s="61"/>
      <c r="AB44" s="61"/>
      <c r="AC44" s="61"/>
      <c r="AD44" s="62"/>
      <c r="AE44" s="62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</row>
    <row r="45" spans="1:77" x14ac:dyDescent="0.3">
      <c r="A45" s="39"/>
      <c r="B45" s="42"/>
      <c r="C45" s="42"/>
      <c r="D45" s="75"/>
      <c r="E45" s="75"/>
      <c r="F45" s="76"/>
      <c r="G45" s="47"/>
      <c r="H45" s="47"/>
      <c r="I45" s="75"/>
      <c r="J45" s="76"/>
      <c r="K45" s="76"/>
      <c r="L45" s="75"/>
      <c r="M45" s="49"/>
      <c r="N45" s="76"/>
      <c r="O45" s="49"/>
      <c r="P45" s="77"/>
      <c r="Q45" s="53"/>
      <c r="R45" s="54"/>
      <c r="S45" s="55"/>
      <c r="T45" s="56"/>
      <c r="U45" s="56"/>
      <c r="V45" s="42"/>
      <c r="W45" s="57"/>
      <c r="X45" s="58"/>
      <c r="Y45" s="75"/>
      <c r="Z45" s="59"/>
      <c r="AA45" s="61"/>
      <c r="AB45" s="61"/>
      <c r="AC45" s="61"/>
      <c r="AD45" s="62"/>
      <c r="AE45" s="62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</row>
    <row r="46" spans="1:77" x14ac:dyDescent="0.3">
      <c r="A46" s="39"/>
      <c r="B46" s="42"/>
      <c r="C46" s="42"/>
      <c r="D46" s="75"/>
      <c r="E46" s="75"/>
      <c r="F46" s="76"/>
      <c r="G46" s="47"/>
      <c r="H46" s="47"/>
      <c r="I46" s="75"/>
      <c r="J46" s="76"/>
      <c r="K46" s="76"/>
      <c r="L46" s="75"/>
      <c r="M46" s="49"/>
      <c r="N46" s="76"/>
      <c r="O46" s="49"/>
      <c r="P46" s="77"/>
      <c r="Q46" s="53"/>
      <c r="R46" s="54"/>
      <c r="S46" s="55"/>
      <c r="T46" s="56"/>
      <c r="U46" s="56"/>
      <c r="V46" s="42"/>
      <c r="W46" s="57"/>
      <c r="X46" s="58"/>
      <c r="Y46" s="75"/>
      <c r="Z46" s="59"/>
      <c r="AA46" s="61"/>
      <c r="AB46" s="61"/>
      <c r="AC46" s="61"/>
      <c r="AD46" s="62"/>
      <c r="AE46" s="62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</row>
    <row r="47" spans="1:77" x14ac:dyDescent="0.3">
      <c r="A47" s="39"/>
      <c r="B47" s="42"/>
      <c r="C47" s="42"/>
      <c r="D47" s="75"/>
      <c r="E47" s="75"/>
      <c r="F47" s="76"/>
      <c r="G47" s="47"/>
      <c r="H47" s="47"/>
      <c r="I47" s="75"/>
      <c r="J47" s="76"/>
      <c r="K47" s="76"/>
      <c r="L47" s="75"/>
      <c r="M47" s="49"/>
      <c r="N47" s="76"/>
      <c r="O47" s="49"/>
      <c r="P47" s="77"/>
      <c r="Q47" s="53"/>
      <c r="R47" s="54"/>
      <c r="S47" s="55"/>
      <c r="T47" s="56"/>
      <c r="U47" s="56"/>
      <c r="V47" s="42"/>
      <c r="W47" s="57"/>
      <c r="X47" s="58"/>
      <c r="Y47" s="75"/>
      <c r="Z47" s="59"/>
      <c r="AA47" s="61"/>
      <c r="AB47" s="61"/>
      <c r="AC47" s="61"/>
      <c r="AD47" s="62"/>
      <c r="AE47" s="62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</row>
    <row r="48" spans="1:77" x14ac:dyDescent="0.3">
      <c r="A48" s="39"/>
      <c r="B48" s="42"/>
      <c r="C48" s="42"/>
      <c r="D48" s="75"/>
      <c r="E48" s="75"/>
      <c r="F48" s="76"/>
      <c r="G48" s="47"/>
      <c r="H48" s="47"/>
      <c r="I48" s="75"/>
      <c r="J48" s="76"/>
      <c r="K48" s="76"/>
      <c r="L48" s="75"/>
      <c r="M48" s="49"/>
      <c r="N48" s="76"/>
      <c r="O48" s="49"/>
      <c r="P48" s="77"/>
      <c r="Q48" s="53"/>
      <c r="R48" s="54"/>
      <c r="S48" s="55"/>
      <c r="T48" s="56"/>
      <c r="U48" s="56"/>
      <c r="V48" s="42"/>
      <c r="W48" s="57"/>
      <c r="X48" s="58"/>
      <c r="Y48" s="75"/>
      <c r="Z48" s="59"/>
      <c r="AA48" s="61"/>
      <c r="AB48" s="61"/>
      <c r="AC48" s="61"/>
      <c r="AD48" s="62"/>
      <c r="AE48" s="62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</row>
    <row r="49" spans="1:77" x14ac:dyDescent="0.3">
      <c r="A49" s="39"/>
      <c r="B49" s="42"/>
      <c r="C49" s="42"/>
      <c r="D49" s="75"/>
      <c r="E49" s="75"/>
      <c r="F49" s="76"/>
      <c r="G49" s="47"/>
      <c r="H49" s="47"/>
      <c r="I49" s="75"/>
      <c r="J49" s="76"/>
      <c r="K49" s="76"/>
      <c r="L49" s="75"/>
      <c r="M49" s="49"/>
      <c r="N49" s="76"/>
      <c r="O49" s="49"/>
      <c r="P49" s="77"/>
      <c r="Q49" s="53"/>
      <c r="R49" s="54"/>
      <c r="S49" s="55"/>
      <c r="T49" s="56"/>
      <c r="U49" s="56"/>
      <c r="V49" s="42"/>
      <c r="W49" s="57"/>
      <c r="X49" s="58"/>
      <c r="Y49" s="75"/>
      <c r="Z49" s="59"/>
      <c r="AA49" s="61"/>
      <c r="AB49" s="61"/>
      <c r="AC49" s="61"/>
      <c r="AD49" s="62"/>
      <c r="AE49" s="62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</row>
    <row r="50" spans="1:77" x14ac:dyDescent="0.3">
      <c r="A50" s="39"/>
      <c r="B50" s="42"/>
      <c r="C50" s="42"/>
      <c r="D50" s="75"/>
      <c r="E50" s="75"/>
      <c r="F50" s="76"/>
      <c r="G50" s="47"/>
      <c r="H50" s="47"/>
      <c r="I50" s="75"/>
      <c r="J50" s="76"/>
      <c r="K50" s="76"/>
      <c r="L50" s="75"/>
      <c r="M50" s="49"/>
      <c r="N50" s="76"/>
      <c r="O50" s="49"/>
      <c r="P50" s="77"/>
      <c r="Q50" s="53"/>
      <c r="R50" s="54"/>
      <c r="S50" s="55"/>
      <c r="T50" s="56"/>
      <c r="U50" s="56"/>
      <c r="V50" s="42"/>
      <c r="W50" s="57"/>
      <c r="X50" s="58"/>
      <c r="Y50" s="75"/>
      <c r="Z50" s="59"/>
      <c r="AA50" s="61"/>
      <c r="AB50" s="61"/>
      <c r="AC50" s="61"/>
      <c r="AD50" s="62"/>
      <c r="AE50" s="62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</row>
    <row r="51" spans="1:77" x14ac:dyDescent="0.3">
      <c r="A51" s="39"/>
      <c r="B51" s="42"/>
      <c r="C51" s="42"/>
      <c r="D51" s="75"/>
      <c r="E51" s="75"/>
      <c r="F51" s="76"/>
      <c r="G51" s="47"/>
      <c r="H51" s="47"/>
      <c r="I51" s="75"/>
      <c r="J51" s="76"/>
      <c r="K51" s="76"/>
      <c r="L51" s="75"/>
      <c r="M51" s="49"/>
      <c r="N51" s="76"/>
      <c r="O51" s="49"/>
      <c r="P51" s="77"/>
      <c r="Q51" s="53"/>
      <c r="R51" s="54"/>
      <c r="S51" s="55"/>
      <c r="T51" s="56"/>
      <c r="U51" s="56"/>
      <c r="V51" s="42"/>
      <c r="W51" s="57"/>
      <c r="X51" s="58"/>
      <c r="Y51" s="75"/>
      <c r="Z51" s="59"/>
      <c r="AA51" s="61"/>
      <c r="AB51" s="61"/>
      <c r="AC51" s="61"/>
      <c r="AD51" s="62"/>
      <c r="AE51" s="62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</row>
    <row r="52" spans="1:77" x14ac:dyDescent="0.3">
      <c r="A52" s="39"/>
      <c r="B52" s="42"/>
      <c r="C52" s="42"/>
      <c r="D52" s="75"/>
      <c r="E52" s="75"/>
      <c r="F52" s="76"/>
      <c r="G52" s="47"/>
      <c r="H52" s="47"/>
      <c r="I52" s="75"/>
      <c r="J52" s="76"/>
      <c r="K52" s="76"/>
      <c r="L52" s="75"/>
      <c r="M52" s="49"/>
      <c r="N52" s="76"/>
      <c r="O52" s="49"/>
      <c r="P52" s="77"/>
      <c r="Q52" s="53"/>
      <c r="R52" s="54"/>
      <c r="S52" s="55"/>
      <c r="T52" s="56"/>
      <c r="U52" s="56"/>
      <c r="V52" s="42"/>
      <c r="W52" s="57"/>
      <c r="X52" s="58"/>
      <c r="Y52" s="75"/>
      <c r="Z52" s="59"/>
      <c r="AA52" s="61"/>
      <c r="AB52" s="61"/>
      <c r="AC52" s="61"/>
      <c r="AD52" s="62"/>
      <c r="AE52" s="62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</row>
    <row r="53" spans="1:77" x14ac:dyDescent="0.3">
      <c r="A53" s="39"/>
      <c r="B53" s="42"/>
      <c r="C53" s="42"/>
      <c r="D53" s="75"/>
      <c r="E53" s="75"/>
      <c r="F53" s="76"/>
      <c r="G53" s="47"/>
      <c r="H53" s="47"/>
      <c r="I53" s="75"/>
      <c r="J53" s="76"/>
      <c r="K53" s="76"/>
      <c r="L53" s="75"/>
      <c r="M53" s="49"/>
      <c r="N53" s="76"/>
      <c r="O53" s="49"/>
      <c r="P53" s="77"/>
      <c r="Q53" s="53"/>
      <c r="R53" s="54"/>
      <c r="S53" s="55"/>
      <c r="T53" s="56"/>
      <c r="U53" s="56"/>
      <c r="V53" s="42"/>
      <c r="W53" s="57"/>
      <c r="X53" s="58"/>
      <c r="Y53" s="75"/>
      <c r="Z53" s="59"/>
      <c r="AA53" s="61"/>
      <c r="AB53" s="61"/>
      <c r="AC53" s="61"/>
      <c r="AD53" s="62"/>
      <c r="AE53" s="62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</row>
    <row r="54" spans="1:77" x14ac:dyDescent="0.3">
      <c r="A54" s="39"/>
      <c r="B54" s="42"/>
      <c r="C54" s="42"/>
      <c r="D54" s="75"/>
      <c r="E54" s="75"/>
      <c r="F54" s="76"/>
      <c r="G54" s="47"/>
      <c r="H54" s="47"/>
      <c r="I54" s="75"/>
      <c r="J54" s="76"/>
      <c r="K54" s="76"/>
      <c r="L54" s="75"/>
      <c r="M54" s="49"/>
      <c r="N54" s="76"/>
      <c r="O54" s="49"/>
      <c r="P54" s="77"/>
      <c r="Q54" s="53"/>
      <c r="R54" s="54"/>
      <c r="S54" s="55"/>
      <c r="T54" s="56"/>
      <c r="U54" s="56"/>
      <c r="V54" s="42"/>
      <c r="W54" s="57"/>
      <c r="X54" s="58"/>
      <c r="Y54" s="75"/>
      <c r="Z54" s="59"/>
      <c r="AA54" s="61"/>
      <c r="AB54" s="61"/>
      <c r="AC54" s="61"/>
      <c r="AD54" s="62"/>
      <c r="AE54" s="62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</row>
    <row r="55" spans="1:77" x14ac:dyDescent="0.3">
      <c r="A55" s="39"/>
      <c r="B55" s="42"/>
      <c r="C55" s="42"/>
      <c r="D55" s="75"/>
      <c r="E55" s="75"/>
      <c r="F55" s="76"/>
      <c r="G55" s="47"/>
      <c r="H55" s="47"/>
      <c r="I55" s="75"/>
      <c r="J55" s="76"/>
      <c r="K55" s="76"/>
      <c r="L55" s="75"/>
      <c r="M55" s="49"/>
      <c r="N55" s="76"/>
      <c r="O55" s="49"/>
      <c r="P55" s="77"/>
      <c r="Q55" s="53"/>
      <c r="R55" s="54"/>
      <c r="S55" s="55"/>
      <c r="T55" s="56"/>
      <c r="U55" s="56"/>
      <c r="V55" s="42"/>
      <c r="W55" s="57"/>
      <c r="X55" s="58"/>
      <c r="Y55" s="75"/>
      <c r="Z55" s="59"/>
      <c r="AA55" s="61"/>
      <c r="AB55" s="61"/>
      <c r="AC55" s="61"/>
      <c r="AD55" s="62"/>
      <c r="AE55" s="62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</row>
    <row r="56" spans="1:77" x14ac:dyDescent="0.3">
      <c r="A56" s="39"/>
      <c r="B56" s="42"/>
      <c r="C56" s="42"/>
      <c r="D56" s="75"/>
      <c r="E56" s="75"/>
      <c r="F56" s="76"/>
      <c r="G56" s="47"/>
      <c r="H56" s="47"/>
      <c r="I56" s="75"/>
      <c r="J56" s="76"/>
      <c r="K56" s="76"/>
      <c r="L56" s="75"/>
      <c r="M56" s="49"/>
      <c r="N56" s="76"/>
      <c r="O56" s="49"/>
      <c r="P56" s="77"/>
      <c r="Q56" s="53"/>
      <c r="R56" s="54"/>
      <c r="S56" s="55"/>
      <c r="T56" s="56"/>
      <c r="U56" s="56"/>
      <c r="V56" s="42"/>
      <c r="W56" s="57"/>
      <c r="X56" s="58"/>
      <c r="Y56" s="75"/>
      <c r="Z56" s="59"/>
      <c r="AA56" s="61"/>
      <c r="AB56" s="61"/>
      <c r="AC56" s="61"/>
      <c r="AD56" s="62"/>
      <c r="AE56" s="62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</row>
    <row r="57" spans="1:77" x14ac:dyDescent="0.3">
      <c r="A57" s="39"/>
      <c r="B57" s="42"/>
      <c r="C57" s="42"/>
      <c r="D57" s="75"/>
      <c r="E57" s="75"/>
      <c r="F57" s="76"/>
      <c r="G57" s="47"/>
      <c r="H57" s="47"/>
      <c r="I57" s="75"/>
      <c r="J57" s="76"/>
      <c r="K57" s="76"/>
      <c r="L57" s="75"/>
      <c r="M57" s="49"/>
      <c r="N57" s="76"/>
      <c r="O57" s="49"/>
      <c r="P57" s="77"/>
      <c r="Q57" s="53"/>
      <c r="R57" s="54"/>
      <c r="S57" s="55"/>
      <c r="T57" s="56"/>
      <c r="U57" s="56"/>
      <c r="V57" s="42"/>
      <c r="W57" s="57"/>
      <c r="X57" s="58"/>
      <c r="Y57" s="75"/>
      <c r="Z57" s="59"/>
      <c r="AA57" s="61"/>
      <c r="AB57" s="61"/>
      <c r="AC57" s="61"/>
      <c r="AD57" s="62"/>
      <c r="AE57" s="62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</row>
    <row r="58" spans="1:77" x14ac:dyDescent="0.3">
      <c r="A58" s="39"/>
      <c r="B58" s="42"/>
      <c r="C58" s="42"/>
      <c r="D58" s="75"/>
      <c r="E58" s="75"/>
      <c r="F58" s="76"/>
      <c r="G58" s="47"/>
      <c r="H58" s="47"/>
      <c r="I58" s="75"/>
      <c r="J58" s="76"/>
      <c r="K58" s="76"/>
      <c r="L58" s="75"/>
      <c r="M58" s="49"/>
      <c r="N58" s="76"/>
      <c r="O58" s="49"/>
      <c r="P58" s="77"/>
      <c r="Q58" s="53"/>
      <c r="R58" s="54"/>
      <c r="S58" s="55"/>
      <c r="T58" s="56"/>
      <c r="U58" s="56"/>
      <c r="V58" s="42"/>
      <c r="W58" s="57"/>
      <c r="X58" s="58"/>
      <c r="Y58" s="75"/>
      <c r="Z58" s="59"/>
      <c r="AA58" s="61"/>
      <c r="AB58" s="61"/>
      <c r="AC58" s="61"/>
      <c r="AD58" s="62"/>
      <c r="AE58" s="62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</row>
    <row r="59" spans="1:77" x14ac:dyDescent="0.3">
      <c r="A59" s="39"/>
      <c r="B59" s="42"/>
      <c r="C59" s="42"/>
      <c r="D59" s="75"/>
      <c r="E59" s="75"/>
      <c r="F59" s="76"/>
      <c r="G59" s="47"/>
      <c r="H59" s="47"/>
      <c r="I59" s="75"/>
      <c r="J59" s="76"/>
      <c r="K59" s="76"/>
      <c r="L59" s="75"/>
      <c r="M59" s="49"/>
      <c r="N59" s="76"/>
      <c r="O59" s="49"/>
      <c r="P59" s="77"/>
      <c r="Q59" s="53"/>
      <c r="R59" s="54"/>
      <c r="S59" s="55"/>
      <c r="T59" s="56"/>
      <c r="U59" s="56"/>
      <c r="V59" s="42"/>
      <c r="W59" s="57"/>
      <c r="X59" s="58"/>
      <c r="Y59" s="75"/>
      <c r="Z59" s="59"/>
      <c r="AA59" s="61"/>
      <c r="AB59" s="61"/>
      <c r="AC59" s="61"/>
      <c r="AD59" s="62"/>
      <c r="AE59" s="62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</row>
    <row r="60" spans="1:77" x14ac:dyDescent="0.3">
      <c r="A60" s="39"/>
      <c r="B60" s="42"/>
      <c r="C60" s="42"/>
      <c r="D60" s="75"/>
      <c r="E60" s="75"/>
      <c r="F60" s="76"/>
      <c r="G60" s="47"/>
      <c r="H60" s="47"/>
      <c r="I60" s="75"/>
      <c r="J60" s="76"/>
      <c r="K60" s="76"/>
      <c r="L60" s="75"/>
      <c r="M60" s="49"/>
      <c r="N60" s="76"/>
      <c r="O60" s="49"/>
      <c r="P60" s="77"/>
      <c r="Q60" s="53"/>
      <c r="R60" s="54"/>
      <c r="S60" s="55"/>
      <c r="T60" s="56"/>
      <c r="U60" s="56"/>
      <c r="V60" s="42"/>
      <c r="W60" s="57"/>
      <c r="X60" s="58"/>
      <c r="Y60" s="75"/>
      <c r="Z60" s="59"/>
      <c r="AA60" s="61"/>
      <c r="AB60" s="61"/>
      <c r="AC60" s="61"/>
      <c r="AD60" s="62"/>
      <c r="AE60" s="62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</row>
    <row r="61" spans="1:77" x14ac:dyDescent="0.3">
      <c r="A61" s="39"/>
      <c r="B61" s="42"/>
      <c r="C61" s="42"/>
      <c r="D61" s="75"/>
      <c r="E61" s="75"/>
      <c r="F61" s="76"/>
      <c r="G61" s="47"/>
      <c r="H61" s="47"/>
      <c r="I61" s="75"/>
      <c r="J61" s="76"/>
      <c r="K61" s="76"/>
      <c r="L61" s="75"/>
      <c r="M61" s="49"/>
      <c r="N61" s="76"/>
      <c r="O61" s="49"/>
      <c r="P61" s="77"/>
      <c r="Q61" s="53"/>
      <c r="R61" s="54"/>
      <c r="S61" s="55"/>
      <c r="T61" s="56"/>
      <c r="U61" s="56"/>
      <c r="V61" s="42"/>
      <c r="W61" s="57"/>
      <c r="X61" s="58"/>
      <c r="Y61" s="75"/>
      <c r="Z61" s="59"/>
      <c r="AA61" s="61"/>
      <c r="AB61" s="61"/>
      <c r="AC61" s="61"/>
      <c r="AD61" s="62"/>
      <c r="AE61" s="62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</row>
    <row r="62" spans="1:77" x14ac:dyDescent="0.3">
      <c r="A62" s="39"/>
      <c r="B62" s="42"/>
      <c r="C62" s="42"/>
      <c r="D62" s="75"/>
      <c r="E62" s="75"/>
      <c r="F62" s="76"/>
      <c r="G62" s="47"/>
      <c r="H62" s="47"/>
      <c r="I62" s="75"/>
      <c r="J62" s="76"/>
      <c r="K62" s="76"/>
      <c r="L62" s="75"/>
      <c r="M62" s="49"/>
      <c r="N62" s="76"/>
      <c r="O62" s="49"/>
      <c r="P62" s="77"/>
      <c r="Q62" s="53"/>
      <c r="R62" s="54"/>
      <c r="S62" s="55"/>
      <c r="T62" s="56"/>
      <c r="U62" s="56"/>
      <c r="V62" s="42"/>
      <c r="W62" s="57"/>
      <c r="X62" s="58"/>
      <c r="Y62" s="75"/>
      <c r="Z62" s="59"/>
      <c r="AA62" s="61"/>
      <c r="AB62" s="61"/>
      <c r="AC62" s="61"/>
      <c r="AD62" s="62"/>
      <c r="AE62" s="62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</row>
    <row r="63" spans="1:77" x14ac:dyDescent="0.3">
      <c r="A63" s="39"/>
      <c r="B63" s="42"/>
      <c r="C63" s="42"/>
      <c r="D63" s="75"/>
      <c r="E63" s="75"/>
      <c r="F63" s="76"/>
      <c r="G63" s="47"/>
      <c r="H63" s="47"/>
      <c r="I63" s="75"/>
      <c r="J63" s="76"/>
      <c r="K63" s="76"/>
      <c r="L63" s="75"/>
      <c r="M63" s="49"/>
      <c r="N63" s="76"/>
      <c r="O63" s="49"/>
      <c r="P63" s="77"/>
      <c r="Q63" s="53"/>
      <c r="R63" s="54"/>
      <c r="S63" s="55"/>
      <c r="T63" s="56"/>
      <c r="U63" s="56"/>
      <c r="V63" s="42"/>
      <c r="W63" s="57"/>
      <c r="X63" s="58"/>
      <c r="Y63" s="75"/>
      <c r="Z63" s="59"/>
      <c r="AA63" s="61"/>
      <c r="AB63" s="61"/>
      <c r="AC63" s="61"/>
      <c r="AD63" s="62"/>
      <c r="AE63" s="62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</row>
    <row r="64" spans="1:77" x14ac:dyDescent="0.3">
      <c r="A64" s="39"/>
      <c r="B64" s="42"/>
      <c r="C64" s="42"/>
      <c r="D64" s="75"/>
      <c r="E64" s="75"/>
      <c r="F64" s="76"/>
      <c r="G64" s="47"/>
      <c r="H64" s="47"/>
      <c r="I64" s="75"/>
      <c r="J64" s="76"/>
      <c r="K64" s="76"/>
      <c r="L64" s="75"/>
      <c r="M64" s="49"/>
      <c r="N64" s="76"/>
      <c r="O64" s="49"/>
      <c r="P64" s="77"/>
      <c r="Q64" s="53"/>
      <c r="R64" s="54"/>
      <c r="S64" s="55"/>
      <c r="T64" s="56"/>
      <c r="U64" s="56"/>
      <c r="V64" s="42"/>
      <c r="W64" s="57"/>
      <c r="X64" s="58"/>
      <c r="Y64" s="75"/>
      <c r="Z64" s="59"/>
      <c r="AA64" s="61"/>
      <c r="AB64" s="61"/>
      <c r="AC64" s="61"/>
      <c r="AD64" s="62"/>
      <c r="AE64" s="62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</row>
    <row r="65" spans="1:77" x14ac:dyDescent="0.3">
      <c r="A65" s="39"/>
      <c r="B65" s="42"/>
      <c r="C65" s="42"/>
      <c r="D65" s="75"/>
      <c r="E65" s="75"/>
      <c r="F65" s="76"/>
      <c r="G65" s="47"/>
      <c r="H65" s="47"/>
      <c r="I65" s="75"/>
      <c r="J65" s="76"/>
      <c r="K65" s="76"/>
      <c r="L65" s="75"/>
      <c r="M65" s="49"/>
      <c r="N65" s="76"/>
      <c r="O65" s="49"/>
      <c r="P65" s="77"/>
      <c r="Q65" s="53"/>
      <c r="R65" s="54"/>
      <c r="S65" s="55"/>
      <c r="T65" s="56"/>
      <c r="U65" s="56"/>
      <c r="V65" s="42"/>
      <c r="W65" s="57"/>
      <c r="X65" s="58"/>
      <c r="Y65" s="75"/>
      <c r="Z65" s="59"/>
      <c r="AA65" s="61"/>
      <c r="AB65" s="61"/>
      <c r="AC65" s="61"/>
      <c r="AD65" s="62"/>
      <c r="AE65" s="62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</row>
    <row r="66" spans="1:77" x14ac:dyDescent="0.3">
      <c r="A66" s="39"/>
      <c r="B66" s="42"/>
      <c r="C66" s="42"/>
      <c r="D66" s="75"/>
      <c r="E66" s="75"/>
      <c r="F66" s="76"/>
      <c r="G66" s="47"/>
      <c r="H66" s="47"/>
      <c r="I66" s="75"/>
      <c r="J66" s="76"/>
      <c r="K66" s="76"/>
      <c r="L66" s="75"/>
      <c r="M66" s="49"/>
      <c r="N66" s="76"/>
      <c r="O66" s="49"/>
      <c r="P66" s="77"/>
      <c r="Q66" s="53"/>
      <c r="R66" s="54"/>
      <c r="S66" s="55"/>
      <c r="T66" s="56"/>
      <c r="U66" s="56"/>
      <c r="V66" s="42"/>
      <c r="W66" s="57"/>
      <c r="X66" s="58"/>
      <c r="Y66" s="75"/>
      <c r="Z66" s="59"/>
      <c r="AA66" s="61"/>
      <c r="AB66" s="61"/>
      <c r="AC66" s="61"/>
      <c r="AD66" s="62"/>
      <c r="AE66" s="62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</row>
    <row r="67" spans="1:77" x14ac:dyDescent="0.3">
      <c r="A67" s="39"/>
      <c r="B67" s="42"/>
      <c r="C67" s="42"/>
      <c r="D67" s="75"/>
      <c r="E67" s="75"/>
      <c r="F67" s="76"/>
      <c r="G67" s="47"/>
      <c r="H67" s="47"/>
      <c r="I67" s="75"/>
      <c r="J67" s="76"/>
      <c r="K67" s="76"/>
      <c r="L67" s="75"/>
      <c r="M67" s="49"/>
      <c r="N67" s="76"/>
      <c r="O67" s="49"/>
      <c r="P67" s="77"/>
      <c r="Q67" s="53"/>
      <c r="R67" s="54"/>
      <c r="S67" s="55"/>
      <c r="T67" s="56"/>
      <c r="U67" s="56"/>
      <c r="V67" s="42"/>
      <c r="W67" s="57"/>
      <c r="X67" s="58"/>
      <c r="Y67" s="75"/>
      <c r="Z67" s="59"/>
      <c r="AA67" s="61"/>
      <c r="AB67" s="61"/>
      <c r="AC67" s="61"/>
      <c r="AD67" s="62"/>
      <c r="AE67" s="62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</row>
    <row r="68" spans="1:77" x14ac:dyDescent="0.3">
      <c r="A68" s="39"/>
      <c r="B68" s="42"/>
      <c r="C68" s="42"/>
      <c r="D68" s="75"/>
      <c r="E68" s="75"/>
      <c r="F68" s="76"/>
      <c r="G68" s="47"/>
      <c r="H68" s="47"/>
      <c r="I68" s="75"/>
      <c r="J68" s="76"/>
      <c r="K68" s="76"/>
      <c r="L68" s="75"/>
      <c r="M68" s="49"/>
      <c r="N68" s="76"/>
      <c r="O68" s="49"/>
      <c r="P68" s="77"/>
      <c r="Q68" s="53"/>
      <c r="R68" s="54"/>
      <c r="S68" s="55"/>
      <c r="T68" s="56"/>
      <c r="U68" s="56"/>
      <c r="V68" s="42"/>
      <c r="W68" s="57"/>
      <c r="X68" s="58"/>
      <c r="Y68" s="75"/>
      <c r="Z68" s="59"/>
      <c r="AA68" s="61"/>
      <c r="AB68" s="61"/>
      <c r="AC68" s="61"/>
      <c r="AD68" s="62"/>
      <c r="AE68" s="62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</row>
    <row r="69" spans="1:77" x14ac:dyDescent="0.3">
      <c r="A69" s="39"/>
      <c r="B69" s="42"/>
      <c r="C69" s="42"/>
      <c r="D69" s="75"/>
      <c r="E69" s="75"/>
      <c r="F69" s="76"/>
      <c r="G69" s="47"/>
      <c r="H69" s="47"/>
      <c r="I69" s="75"/>
      <c r="J69" s="76"/>
      <c r="K69" s="76"/>
      <c r="L69" s="75"/>
      <c r="M69" s="49"/>
      <c r="N69" s="76"/>
      <c r="O69" s="49"/>
      <c r="P69" s="77"/>
      <c r="Q69" s="53"/>
      <c r="R69" s="54"/>
      <c r="S69" s="55"/>
      <c r="T69" s="56"/>
      <c r="U69" s="56"/>
      <c r="V69" s="42"/>
      <c r="W69" s="57"/>
      <c r="X69" s="58"/>
      <c r="Y69" s="75"/>
      <c r="Z69" s="59"/>
      <c r="AA69" s="61"/>
      <c r="AB69" s="61"/>
      <c r="AC69" s="61"/>
      <c r="AD69" s="62"/>
      <c r="AE69" s="62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</row>
    <row r="70" spans="1:77" x14ac:dyDescent="0.3">
      <c r="A70" s="39"/>
      <c r="B70" s="42"/>
      <c r="C70" s="42"/>
      <c r="D70" s="75"/>
      <c r="E70" s="75"/>
      <c r="F70" s="76"/>
      <c r="G70" s="47"/>
      <c r="H70" s="47"/>
      <c r="I70" s="75"/>
      <c r="J70" s="76"/>
      <c r="K70" s="76"/>
      <c r="L70" s="75"/>
      <c r="M70" s="49"/>
      <c r="N70" s="76"/>
      <c r="O70" s="49"/>
      <c r="P70" s="77"/>
      <c r="Q70" s="53"/>
      <c r="R70" s="54"/>
      <c r="S70" s="55"/>
      <c r="T70" s="56"/>
      <c r="U70" s="56"/>
      <c r="V70" s="42"/>
      <c r="W70" s="57"/>
      <c r="X70" s="58"/>
      <c r="Y70" s="75"/>
      <c r="Z70" s="59"/>
      <c r="AA70" s="61"/>
      <c r="AB70" s="61"/>
      <c r="AC70" s="61"/>
      <c r="AD70" s="62"/>
      <c r="AE70" s="62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</row>
    <row r="71" spans="1:77" x14ac:dyDescent="0.3">
      <c r="A71" s="39"/>
      <c r="B71" s="42"/>
      <c r="C71" s="42"/>
      <c r="D71" s="75"/>
      <c r="E71" s="75"/>
      <c r="F71" s="76"/>
      <c r="G71" s="47"/>
      <c r="H71" s="47"/>
      <c r="I71" s="75"/>
      <c r="J71" s="76"/>
      <c r="K71" s="76"/>
      <c r="L71" s="75"/>
      <c r="M71" s="49"/>
      <c r="N71" s="76"/>
      <c r="O71" s="49"/>
      <c r="P71" s="77"/>
      <c r="Q71" s="53"/>
      <c r="R71" s="54"/>
      <c r="S71" s="55"/>
      <c r="T71" s="56"/>
      <c r="U71" s="56"/>
      <c r="V71" s="42"/>
      <c r="W71" s="57"/>
      <c r="X71" s="58"/>
      <c r="Y71" s="75"/>
      <c r="Z71" s="59"/>
      <c r="AA71" s="61"/>
      <c r="AB71" s="61"/>
      <c r="AC71" s="61"/>
      <c r="AD71" s="62"/>
      <c r="AE71" s="62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1:77" x14ac:dyDescent="0.3">
      <c r="A72" s="39"/>
      <c r="B72" s="42"/>
      <c r="C72" s="42"/>
      <c r="D72" s="75"/>
      <c r="E72" s="75"/>
      <c r="F72" s="76"/>
      <c r="G72" s="47"/>
      <c r="H72" s="47"/>
      <c r="I72" s="75"/>
      <c r="J72" s="76"/>
      <c r="K72" s="76"/>
      <c r="L72" s="75"/>
      <c r="M72" s="49"/>
      <c r="N72" s="76"/>
      <c r="O72" s="49"/>
      <c r="P72" s="77"/>
      <c r="Q72" s="53"/>
      <c r="R72" s="54"/>
      <c r="S72" s="55"/>
      <c r="T72" s="56"/>
      <c r="U72" s="56"/>
      <c r="V72" s="42"/>
      <c r="W72" s="57"/>
      <c r="X72" s="58"/>
      <c r="Y72" s="75"/>
      <c r="Z72" s="59"/>
      <c r="AA72" s="61"/>
      <c r="AB72" s="61"/>
      <c r="AC72" s="61"/>
      <c r="AD72" s="62"/>
      <c r="AE72" s="62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1:77" x14ac:dyDescent="0.3">
      <c r="A73" s="39"/>
      <c r="B73" s="42"/>
      <c r="C73" s="42"/>
      <c r="D73" s="75"/>
      <c r="E73" s="75"/>
      <c r="F73" s="76"/>
      <c r="G73" s="47"/>
      <c r="H73" s="47"/>
      <c r="I73" s="75"/>
      <c r="J73" s="76"/>
      <c r="K73" s="76"/>
      <c r="L73" s="75"/>
      <c r="M73" s="49"/>
      <c r="N73" s="76"/>
      <c r="O73" s="49"/>
      <c r="P73" s="77"/>
      <c r="Q73" s="53"/>
      <c r="R73" s="54"/>
      <c r="S73" s="55"/>
      <c r="T73" s="56"/>
      <c r="U73" s="56"/>
      <c r="V73" s="42"/>
      <c r="W73" s="57"/>
      <c r="X73" s="58"/>
      <c r="Y73" s="75"/>
      <c r="Z73" s="59"/>
      <c r="AA73" s="61"/>
      <c r="AB73" s="61"/>
      <c r="AC73" s="61"/>
      <c r="AD73" s="62"/>
      <c r="AE73" s="62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7" x14ac:dyDescent="0.3">
      <c r="A74" s="39"/>
      <c r="B74" s="42"/>
      <c r="C74" s="42"/>
      <c r="D74" s="75"/>
      <c r="E74" s="75"/>
      <c r="F74" s="76"/>
      <c r="G74" s="47"/>
      <c r="H74" s="47"/>
      <c r="I74" s="75"/>
      <c r="J74" s="76"/>
      <c r="K74" s="76"/>
      <c r="L74" s="75"/>
      <c r="M74" s="49"/>
      <c r="N74" s="76"/>
      <c r="O74" s="49"/>
      <c r="P74" s="77"/>
      <c r="Q74" s="53"/>
      <c r="R74" s="54"/>
      <c r="S74" s="55"/>
      <c r="T74" s="56"/>
      <c r="U74" s="56"/>
      <c r="V74" s="42"/>
      <c r="W74" s="57"/>
      <c r="X74" s="58"/>
      <c r="Y74" s="75"/>
      <c r="Z74" s="59"/>
      <c r="AA74" s="61"/>
      <c r="AB74" s="61"/>
      <c r="AC74" s="61"/>
      <c r="AD74" s="62"/>
      <c r="AE74" s="62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7" x14ac:dyDescent="0.3">
      <c r="A75" s="39"/>
      <c r="B75" s="42"/>
      <c r="C75" s="42"/>
      <c r="D75" s="75"/>
      <c r="E75" s="75"/>
      <c r="F75" s="76"/>
      <c r="G75" s="47"/>
      <c r="H75" s="47"/>
      <c r="I75" s="75"/>
      <c r="J75" s="76"/>
      <c r="K75" s="76"/>
      <c r="L75" s="75"/>
      <c r="M75" s="49"/>
      <c r="N75" s="76"/>
      <c r="O75" s="49"/>
      <c r="P75" s="77"/>
      <c r="Q75" s="53"/>
      <c r="R75" s="54"/>
      <c r="S75" s="55"/>
      <c r="T75" s="56"/>
      <c r="U75" s="56"/>
      <c r="V75" s="42"/>
      <c r="W75" s="57"/>
      <c r="X75" s="58"/>
      <c r="Y75" s="75"/>
      <c r="Z75" s="59"/>
      <c r="AA75" s="61"/>
      <c r="AB75" s="61"/>
      <c r="AC75" s="61"/>
      <c r="AD75" s="62"/>
      <c r="AE75" s="62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7" x14ac:dyDescent="0.3">
      <c r="A76" s="39"/>
      <c r="B76" s="42"/>
      <c r="C76" s="42"/>
      <c r="D76" s="75"/>
      <c r="E76" s="75"/>
      <c r="F76" s="76"/>
      <c r="G76" s="47"/>
      <c r="H76" s="47"/>
      <c r="I76" s="75"/>
      <c r="J76" s="76"/>
      <c r="K76" s="76"/>
      <c r="L76" s="75"/>
      <c r="M76" s="49"/>
      <c r="N76" s="76"/>
      <c r="O76" s="49"/>
      <c r="P76" s="77"/>
      <c r="Q76" s="53"/>
      <c r="R76" s="54"/>
      <c r="S76" s="55"/>
      <c r="T76" s="56"/>
      <c r="U76" s="56"/>
      <c r="V76" s="42"/>
      <c r="W76" s="57"/>
      <c r="X76" s="58"/>
      <c r="Y76" s="75"/>
      <c r="Z76" s="59"/>
      <c r="AA76" s="61"/>
      <c r="AB76" s="61"/>
      <c r="AC76" s="61"/>
      <c r="AD76" s="62"/>
      <c r="AE76" s="62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7" x14ac:dyDescent="0.3">
      <c r="A77" s="39"/>
      <c r="B77" s="42"/>
      <c r="C77" s="42"/>
      <c r="D77" s="75"/>
      <c r="E77" s="75"/>
      <c r="F77" s="76"/>
      <c r="G77" s="47"/>
      <c r="H77" s="47"/>
      <c r="I77" s="75"/>
      <c r="J77" s="76"/>
      <c r="K77" s="76"/>
      <c r="L77" s="75"/>
      <c r="M77" s="49"/>
      <c r="N77" s="76"/>
      <c r="O77" s="49"/>
      <c r="P77" s="77"/>
      <c r="Q77" s="53"/>
      <c r="R77" s="54"/>
      <c r="S77" s="55"/>
      <c r="T77" s="56"/>
      <c r="U77" s="56"/>
      <c r="V77" s="42"/>
      <c r="W77" s="57"/>
      <c r="X77" s="58"/>
      <c r="Y77" s="75"/>
      <c r="Z77" s="59"/>
      <c r="AA77" s="61"/>
      <c r="AB77" s="61"/>
      <c r="AC77" s="61"/>
      <c r="AD77" s="62"/>
      <c r="AE77" s="62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7" x14ac:dyDescent="0.3">
      <c r="A78" s="39"/>
      <c r="B78" s="42"/>
      <c r="C78" s="42"/>
      <c r="D78" s="75"/>
      <c r="E78" s="75"/>
      <c r="F78" s="76"/>
      <c r="G78" s="47"/>
      <c r="H78" s="47"/>
      <c r="I78" s="75"/>
      <c r="J78" s="76"/>
      <c r="K78" s="76"/>
      <c r="L78" s="75"/>
      <c r="M78" s="49"/>
      <c r="N78" s="76"/>
      <c r="O78" s="49"/>
      <c r="P78" s="77"/>
      <c r="Q78" s="53"/>
      <c r="R78" s="54"/>
      <c r="S78" s="55"/>
      <c r="T78" s="56"/>
      <c r="U78" s="56"/>
      <c r="V78" s="42"/>
      <c r="W78" s="57"/>
      <c r="X78" s="58"/>
      <c r="Y78" s="75"/>
      <c r="Z78" s="59"/>
      <c r="AA78" s="61"/>
      <c r="AB78" s="61"/>
      <c r="AC78" s="61"/>
      <c r="AD78" s="62"/>
      <c r="AE78" s="62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7" x14ac:dyDescent="0.3">
      <c r="A79" s="39"/>
      <c r="B79" s="42"/>
      <c r="C79" s="42"/>
      <c r="D79" s="75"/>
      <c r="E79" s="75"/>
      <c r="F79" s="76"/>
      <c r="G79" s="47"/>
      <c r="H79" s="47"/>
      <c r="I79" s="75"/>
      <c r="J79" s="76"/>
      <c r="K79" s="76"/>
      <c r="L79" s="75"/>
      <c r="M79" s="49"/>
      <c r="N79" s="76"/>
      <c r="O79" s="49"/>
      <c r="P79" s="77"/>
      <c r="Q79" s="53"/>
      <c r="R79" s="54"/>
      <c r="S79" s="55"/>
      <c r="T79" s="56"/>
      <c r="U79" s="56"/>
      <c r="V79" s="42"/>
      <c r="W79" s="57"/>
      <c r="X79" s="58"/>
      <c r="Y79" s="75"/>
      <c r="Z79" s="59"/>
      <c r="AA79" s="61"/>
      <c r="AB79" s="61"/>
      <c r="AC79" s="61"/>
      <c r="AD79" s="62"/>
      <c r="AE79" s="62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7" x14ac:dyDescent="0.3">
      <c r="A80" s="39"/>
      <c r="B80" s="42"/>
      <c r="C80" s="42"/>
      <c r="D80" s="75"/>
      <c r="E80" s="75"/>
      <c r="F80" s="76"/>
      <c r="G80" s="47"/>
      <c r="H80" s="47"/>
      <c r="I80" s="75"/>
      <c r="J80" s="76"/>
      <c r="K80" s="76"/>
      <c r="L80" s="75"/>
      <c r="M80" s="49"/>
      <c r="N80" s="76"/>
      <c r="O80" s="49"/>
      <c r="P80" s="77"/>
      <c r="Q80" s="53"/>
      <c r="R80" s="54"/>
      <c r="S80" s="55"/>
      <c r="T80" s="56"/>
      <c r="U80" s="56"/>
      <c r="V80" s="42"/>
      <c r="W80" s="57"/>
      <c r="X80" s="58"/>
      <c r="Y80" s="75"/>
      <c r="Z80" s="59"/>
      <c r="AA80" s="61"/>
      <c r="AB80" s="61"/>
      <c r="AC80" s="61"/>
      <c r="AD80" s="62"/>
      <c r="AE80" s="62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1:77" x14ac:dyDescent="0.3">
      <c r="A81" s="39"/>
      <c r="B81" s="42"/>
      <c r="C81" s="42"/>
      <c r="D81" s="75"/>
      <c r="E81" s="75"/>
      <c r="F81" s="76"/>
      <c r="G81" s="47"/>
      <c r="H81" s="47"/>
      <c r="I81" s="75"/>
      <c r="J81" s="76"/>
      <c r="K81" s="76"/>
      <c r="L81" s="75"/>
      <c r="M81" s="49"/>
      <c r="N81" s="76"/>
      <c r="O81" s="49"/>
      <c r="P81" s="77"/>
      <c r="Q81" s="53"/>
      <c r="R81" s="54"/>
      <c r="S81" s="55"/>
      <c r="T81" s="56"/>
      <c r="U81" s="56"/>
      <c r="V81" s="42"/>
      <c r="W81" s="57"/>
      <c r="X81" s="58"/>
      <c r="Y81" s="75"/>
      <c r="Z81" s="59"/>
      <c r="AA81" s="61"/>
      <c r="AB81" s="61"/>
      <c r="AC81" s="61"/>
      <c r="AD81" s="62"/>
      <c r="AE81" s="62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1:77" x14ac:dyDescent="0.3">
      <c r="A82" s="39"/>
      <c r="B82" s="42"/>
      <c r="C82" s="42"/>
      <c r="D82" s="75"/>
      <c r="E82" s="75"/>
      <c r="F82" s="76"/>
      <c r="G82" s="47"/>
      <c r="H82" s="47"/>
      <c r="I82" s="75"/>
      <c r="J82" s="76"/>
      <c r="K82" s="76"/>
      <c r="L82" s="75"/>
      <c r="M82" s="49"/>
      <c r="N82" s="76"/>
      <c r="O82" s="49"/>
      <c r="P82" s="77"/>
      <c r="Q82" s="53"/>
      <c r="R82" s="54"/>
      <c r="S82" s="55"/>
      <c r="T82" s="56"/>
      <c r="U82" s="56"/>
      <c r="V82" s="42"/>
      <c r="W82" s="57"/>
      <c r="X82" s="58"/>
      <c r="Y82" s="75"/>
      <c r="Z82" s="59"/>
      <c r="AA82" s="61"/>
      <c r="AB82" s="61"/>
      <c r="AC82" s="61"/>
      <c r="AD82" s="62"/>
      <c r="AE82" s="62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</row>
    <row r="83" spans="1:77" x14ac:dyDescent="0.3">
      <c r="A83" s="39"/>
      <c r="B83" s="42"/>
      <c r="C83" s="42"/>
      <c r="D83" s="75"/>
      <c r="E83" s="75"/>
      <c r="F83" s="76"/>
      <c r="G83" s="47"/>
      <c r="H83" s="47"/>
      <c r="I83" s="75"/>
      <c r="J83" s="76"/>
      <c r="K83" s="76"/>
      <c r="L83" s="75"/>
      <c r="M83" s="49"/>
      <c r="N83" s="76"/>
      <c r="O83" s="49"/>
      <c r="P83" s="77"/>
      <c r="Q83" s="53"/>
      <c r="R83" s="54"/>
      <c r="S83" s="55"/>
      <c r="T83" s="56"/>
      <c r="U83" s="56"/>
      <c r="V83" s="42"/>
      <c r="W83" s="57"/>
      <c r="X83" s="58"/>
      <c r="Y83" s="75"/>
      <c r="Z83" s="59"/>
      <c r="AA83" s="61"/>
      <c r="AB83" s="61"/>
      <c r="AC83" s="61"/>
      <c r="AD83" s="62"/>
      <c r="AE83" s="62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</row>
    <row r="84" spans="1:77" x14ac:dyDescent="0.3">
      <c r="A84" s="39"/>
      <c r="B84" s="42"/>
      <c r="C84" s="42"/>
      <c r="D84" s="75"/>
      <c r="E84" s="75"/>
      <c r="F84" s="76"/>
      <c r="G84" s="47"/>
      <c r="H84" s="47"/>
      <c r="I84" s="75"/>
      <c r="J84" s="76"/>
      <c r="K84" s="76"/>
      <c r="L84" s="75"/>
      <c r="M84" s="49"/>
      <c r="N84" s="76"/>
      <c r="O84" s="49"/>
      <c r="P84" s="77"/>
      <c r="Q84" s="53"/>
      <c r="R84" s="54"/>
      <c r="S84" s="55"/>
      <c r="T84" s="56"/>
      <c r="U84" s="56"/>
      <c r="V84" s="42"/>
      <c r="W84" s="57"/>
      <c r="X84" s="58"/>
      <c r="Y84" s="75"/>
      <c r="Z84" s="59"/>
      <c r="AA84" s="61"/>
      <c r="AB84" s="61"/>
      <c r="AC84" s="61"/>
      <c r="AD84" s="62"/>
      <c r="AE84" s="62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</row>
    <row r="85" spans="1:77" x14ac:dyDescent="0.3">
      <c r="A85" s="39"/>
      <c r="B85" s="42"/>
      <c r="C85" s="42"/>
      <c r="D85" s="75"/>
      <c r="E85" s="75"/>
      <c r="F85" s="76"/>
      <c r="G85" s="47"/>
      <c r="H85" s="47"/>
      <c r="I85" s="75"/>
      <c r="J85" s="76"/>
      <c r="K85" s="76"/>
      <c r="L85" s="75"/>
      <c r="M85" s="49"/>
      <c r="N85" s="76"/>
      <c r="O85" s="49"/>
      <c r="P85" s="77"/>
      <c r="Q85" s="53"/>
      <c r="R85" s="54"/>
      <c r="S85" s="55"/>
      <c r="T85" s="56"/>
      <c r="U85" s="56"/>
      <c r="V85" s="42"/>
      <c r="W85" s="57"/>
      <c r="X85" s="58"/>
      <c r="Y85" s="75"/>
      <c r="Z85" s="59"/>
      <c r="AA85" s="61"/>
      <c r="AB85" s="61"/>
      <c r="AC85" s="61"/>
      <c r="AD85" s="62"/>
      <c r="AE85" s="62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</row>
    <row r="86" spans="1:77" x14ac:dyDescent="0.3">
      <c r="A86" s="39"/>
      <c r="B86" s="42"/>
      <c r="C86" s="42"/>
      <c r="D86" s="75"/>
      <c r="E86" s="75"/>
      <c r="F86" s="76"/>
      <c r="G86" s="47"/>
      <c r="H86" s="47"/>
      <c r="I86" s="75"/>
      <c r="J86" s="76"/>
      <c r="K86" s="76"/>
      <c r="L86" s="75"/>
      <c r="M86" s="49"/>
      <c r="N86" s="76"/>
      <c r="O86" s="49"/>
      <c r="P86" s="77"/>
      <c r="Q86" s="53"/>
      <c r="R86" s="54"/>
      <c r="S86" s="55"/>
      <c r="T86" s="56"/>
      <c r="U86" s="56"/>
      <c r="V86" s="42"/>
      <c r="W86" s="57"/>
      <c r="X86" s="58"/>
      <c r="Y86" s="75"/>
      <c r="Z86" s="59"/>
      <c r="AA86" s="61"/>
      <c r="AB86" s="61"/>
      <c r="AC86" s="61"/>
      <c r="AD86" s="62"/>
      <c r="AE86" s="62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</row>
    <row r="87" spans="1:77" x14ac:dyDescent="0.3">
      <c r="A87" s="39"/>
      <c r="B87" s="42"/>
      <c r="C87" s="42"/>
      <c r="D87" s="75"/>
      <c r="E87" s="75"/>
      <c r="F87" s="76"/>
      <c r="G87" s="47"/>
      <c r="H87" s="47"/>
      <c r="I87" s="75"/>
      <c r="J87" s="76"/>
      <c r="K87" s="76"/>
      <c r="L87" s="75"/>
      <c r="M87" s="49"/>
      <c r="N87" s="76"/>
      <c r="O87" s="49"/>
      <c r="P87" s="77"/>
      <c r="Q87" s="53"/>
      <c r="R87" s="54"/>
      <c r="S87" s="55"/>
      <c r="T87" s="56"/>
      <c r="U87" s="56"/>
      <c r="V87" s="42"/>
      <c r="W87" s="57"/>
      <c r="X87" s="58"/>
      <c r="Y87" s="75"/>
      <c r="Z87" s="59"/>
      <c r="AA87" s="61"/>
      <c r="AB87" s="61"/>
      <c r="AC87" s="61"/>
      <c r="AD87" s="62"/>
      <c r="AE87" s="62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</row>
    <row r="88" spans="1:77" x14ac:dyDescent="0.3">
      <c r="A88" s="39"/>
      <c r="B88" s="42"/>
      <c r="C88" s="42"/>
      <c r="D88" s="75"/>
      <c r="E88" s="75"/>
      <c r="F88" s="76"/>
      <c r="G88" s="47"/>
      <c r="H88" s="47"/>
      <c r="I88" s="75"/>
      <c r="J88" s="76"/>
      <c r="K88" s="76"/>
      <c r="L88" s="75"/>
      <c r="M88" s="49"/>
      <c r="N88" s="76"/>
      <c r="O88" s="49"/>
      <c r="P88" s="77"/>
      <c r="Q88" s="53"/>
      <c r="R88" s="54"/>
      <c r="S88" s="55"/>
      <c r="T88" s="56"/>
      <c r="U88" s="56"/>
      <c r="V88" s="42"/>
      <c r="W88" s="57"/>
      <c r="X88" s="58"/>
      <c r="Y88" s="75"/>
      <c r="Z88" s="59"/>
      <c r="AA88" s="61"/>
      <c r="AB88" s="61"/>
      <c r="AC88" s="61"/>
      <c r="AD88" s="62"/>
      <c r="AE88" s="62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</row>
    <row r="89" spans="1:77" x14ac:dyDescent="0.3">
      <c r="A89" s="39"/>
      <c r="B89" s="42"/>
      <c r="C89" s="42"/>
      <c r="D89" s="75"/>
      <c r="E89" s="75"/>
      <c r="F89" s="76"/>
      <c r="G89" s="47"/>
      <c r="H89" s="47"/>
      <c r="I89" s="75"/>
      <c r="J89" s="76"/>
      <c r="K89" s="76"/>
      <c r="L89" s="75"/>
      <c r="M89" s="49"/>
      <c r="N89" s="76"/>
      <c r="O89" s="49"/>
      <c r="P89" s="77"/>
      <c r="Q89" s="53"/>
      <c r="R89" s="54"/>
      <c r="S89" s="55"/>
      <c r="T89" s="56"/>
      <c r="U89" s="56"/>
      <c r="V89" s="42"/>
      <c r="W89" s="57"/>
      <c r="X89" s="58"/>
      <c r="Y89" s="75"/>
      <c r="Z89" s="59"/>
      <c r="AA89" s="61"/>
      <c r="AB89" s="61"/>
      <c r="AC89" s="61"/>
      <c r="AD89" s="62"/>
      <c r="AE89" s="62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</row>
    <row r="90" spans="1:77" x14ac:dyDescent="0.3">
      <c r="A90" s="39"/>
      <c r="B90" s="42"/>
      <c r="C90" s="42"/>
      <c r="D90" s="75"/>
      <c r="E90" s="75"/>
      <c r="F90" s="76"/>
      <c r="G90" s="47"/>
      <c r="H90" s="47"/>
      <c r="I90" s="75"/>
      <c r="J90" s="76"/>
      <c r="K90" s="76"/>
      <c r="L90" s="75"/>
      <c r="M90" s="49"/>
      <c r="N90" s="76"/>
      <c r="O90" s="49"/>
      <c r="P90" s="77"/>
      <c r="Q90" s="53"/>
      <c r="R90" s="54"/>
      <c r="S90" s="55"/>
      <c r="T90" s="56"/>
      <c r="U90" s="56"/>
      <c r="V90" s="42"/>
      <c r="W90" s="57"/>
      <c r="X90" s="58"/>
      <c r="Y90" s="75"/>
      <c r="Z90" s="59"/>
      <c r="AA90" s="61"/>
      <c r="AB90" s="61"/>
      <c r="AC90" s="61"/>
      <c r="AD90" s="62"/>
      <c r="AE90" s="62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</row>
    <row r="91" spans="1:77" x14ac:dyDescent="0.3">
      <c r="A91" s="39"/>
      <c r="B91" s="42"/>
      <c r="C91" s="42"/>
      <c r="D91" s="75"/>
      <c r="E91" s="75"/>
      <c r="F91" s="76"/>
      <c r="G91" s="47"/>
      <c r="H91" s="47"/>
      <c r="I91" s="75"/>
      <c r="J91" s="76"/>
      <c r="K91" s="76"/>
      <c r="L91" s="75"/>
      <c r="M91" s="49"/>
      <c r="N91" s="76"/>
      <c r="O91" s="49"/>
      <c r="P91" s="77"/>
      <c r="Q91" s="53"/>
      <c r="R91" s="54"/>
      <c r="S91" s="55"/>
      <c r="T91" s="56"/>
      <c r="U91" s="56"/>
      <c r="V91" s="42"/>
      <c r="W91" s="57"/>
      <c r="X91" s="58"/>
      <c r="Y91" s="75"/>
      <c r="Z91" s="59"/>
      <c r="AA91" s="61"/>
      <c r="AB91" s="61"/>
      <c r="AC91" s="61"/>
      <c r="AD91" s="62"/>
      <c r="AE91" s="62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</row>
    <row r="92" spans="1:77" x14ac:dyDescent="0.3">
      <c r="A92" s="39"/>
      <c r="B92" s="42"/>
      <c r="C92" s="42"/>
      <c r="D92" s="75"/>
      <c r="E92" s="75"/>
      <c r="F92" s="76"/>
      <c r="G92" s="47"/>
      <c r="H92" s="47"/>
      <c r="I92" s="75"/>
      <c r="J92" s="76"/>
      <c r="K92" s="76"/>
      <c r="L92" s="75"/>
      <c r="M92" s="49"/>
      <c r="N92" s="76"/>
      <c r="O92" s="49"/>
      <c r="P92" s="77"/>
      <c r="Q92" s="53"/>
      <c r="R92" s="54"/>
      <c r="S92" s="55"/>
      <c r="T92" s="56"/>
      <c r="U92" s="56"/>
      <c r="V92" s="42"/>
      <c r="W92" s="57"/>
      <c r="X92" s="58"/>
      <c r="Y92" s="75"/>
      <c r="Z92" s="59"/>
      <c r="AA92" s="61"/>
      <c r="AB92" s="61"/>
      <c r="AC92" s="61"/>
      <c r="AD92" s="62"/>
      <c r="AE92" s="62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</row>
    <row r="93" spans="1:77" x14ac:dyDescent="0.3">
      <c r="A93" s="39"/>
      <c r="B93" s="42"/>
      <c r="C93" s="42"/>
      <c r="D93" s="75"/>
      <c r="E93" s="75"/>
      <c r="F93" s="76"/>
      <c r="G93" s="47"/>
      <c r="H93" s="47"/>
      <c r="I93" s="75"/>
      <c r="J93" s="76"/>
      <c r="K93" s="76"/>
      <c r="L93" s="75"/>
      <c r="M93" s="49"/>
      <c r="N93" s="76"/>
      <c r="O93" s="49"/>
      <c r="P93" s="77"/>
      <c r="Q93" s="53"/>
      <c r="R93" s="54"/>
      <c r="S93" s="55"/>
      <c r="T93" s="56"/>
      <c r="U93" s="56"/>
      <c r="V93" s="42"/>
      <c r="W93" s="57"/>
      <c r="X93" s="58"/>
      <c r="Y93" s="75"/>
      <c r="Z93" s="59"/>
      <c r="AA93" s="61"/>
      <c r="AB93" s="61"/>
      <c r="AC93" s="61"/>
      <c r="AD93" s="62"/>
      <c r="AE93" s="62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</row>
    <row r="94" spans="1:77" x14ac:dyDescent="0.3">
      <c r="A94" s="39"/>
      <c r="B94" s="42"/>
      <c r="C94" s="42"/>
      <c r="D94" s="75"/>
      <c r="E94" s="75"/>
      <c r="F94" s="76"/>
      <c r="G94" s="47"/>
      <c r="H94" s="47"/>
      <c r="I94" s="75"/>
      <c r="J94" s="76"/>
      <c r="K94" s="76"/>
      <c r="L94" s="75"/>
      <c r="M94" s="49"/>
      <c r="N94" s="76"/>
      <c r="O94" s="49"/>
      <c r="P94" s="77"/>
      <c r="Q94" s="53"/>
      <c r="R94" s="54"/>
      <c r="S94" s="55"/>
      <c r="T94" s="56"/>
      <c r="U94" s="56"/>
      <c r="V94" s="42"/>
      <c r="W94" s="57"/>
      <c r="X94" s="58"/>
      <c r="Y94" s="75"/>
      <c r="Z94" s="59"/>
      <c r="AA94" s="61"/>
      <c r="AB94" s="61"/>
      <c r="AC94" s="61"/>
      <c r="AD94" s="62"/>
      <c r="AE94" s="62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</row>
    <row r="95" spans="1:77" x14ac:dyDescent="0.3">
      <c r="A95" s="39"/>
      <c r="B95" s="42"/>
      <c r="C95" s="42"/>
      <c r="D95" s="75"/>
      <c r="E95" s="75"/>
      <c r="F95" s="76"/>
      <c r="G95" s="47"/>
      <c r="H95" s="47"/>
      <c r="I95" s="75"/>
      <c r="J95" s="76"/>
      <c r="K95" s="76"/>
      <c r="L95" s="75"/>
      <c r="M95" s="49"/>
      <c r="N95" s="76"/>
      <c r="O95" s="49"/>
      <c r="P95" s="77"/>
      <c r="Q95" s="53"/>
      <c r="R95" s="54"/>
      <c r="S95" s="55"/>
      <c r="T95" s="56"/>
      <c r="U95" s="56"/>
      <c r="V95" s="42"/>
      <c r="W95" s="57"/>
      <c r="X95" s="58"/>
      <c r="Y95" s="75"/>
      <c r="Z95" s="59"/>
      <c r="AA95" s="61"/>
      <c r="AB95" s="61"/>
      <c r="AC95" s="61"/>
      <c r="AD95" s="62"/>
      <c r="AE95" s="62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</row>
    <row r="96" spans="1:77" x14ac:dyDescent="0.3">
      <c r="A96" s="39"/>
      <c r="B96" s="42"/>
      <c r="C96" s="42"/>
      <c r="D96" s="75"/>
      <c r="E96" s="75"/>
      <c r="F96" s="76"/>
      <c r="G96" s="47"/>
      <c r="H96" s="47"/>
      <c r="I96" s="75"/>
      <c r="J96" s="76"/>
      <c r="K96" s="76"/>
      <c r="L96" s="75"/>
      <c r="M96" s="49"/>
      <c r="N96" s="76"/>
      <c r="O96" s="49"/>
      <c r="P96" s="77"/>
      <c r="Q96" s="53"/>
      <c r="R96" s="54"/>
      <c r="S96" s="55"/>
      <c r="T96" s="56"/>
      <c r="U96" s="56"/>
      <c r="V96" s="42"/>
      <c r="W96" s="57"/>
      <c r="X96" s="58"/>
      <c r="Y96" s="75"/>
      <c r="Z96" s="59"/>
      <c r="AA96" s="61"/>
      <c r="AB96" s="61"/>
      <c r="AC96" s="61"/>
      <c r="AD96" s="62"/>
      <c r="AE96" s="62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</row>
    <row r="97" spans="1:77" x14ac:dyDescent="0.3">
      <c r="A97" s="39"/>
      <c r="B97" s="42"/>
      <c r="C97" s="42"/>
      <c r="D97" s="75"/>
      <c r="E97" s="75"/>
      <c r="F97" s="76"/>
      <c r="G97" s="47"/>
      <c r="H97" s="47"/>
      <c r="I97" s="75"/>
      <c r="J97" s="76"/>
      <c r="K97" s="76"/>
      <c r="L97" s="75"/>
      <c r="M97" s="49"/>
      <c r="N97" s="76"/>
      <c r="O97" s="49"/>
      <c r="P97" s="77"/>
      <c r="Q97" s="53"/>
      <c r="R97" s="54"/>
      <c r="S97" s="55"/>
      <c r="T97" s="56"/>
      <c r="U97" s="56"/>
      <c r="V97" s="42"/>
      <c r="W97" s="57"/>
      <c r="X97" s="58"/>
      <c r="Y97" s="75"/>
      <c r="Z97" s="59"/>
      <c r="AA97" s="61"/>
      <c r="AB97" s="61"/>
      <c r="AC97" s="61"/>
      <c r="AD97" s="62"/>
      <c r="AE97" s="62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</row>
    <row r="98" spans="1:77" x14ac:dyDescent="0.3">
      <c r="A98" s="39"/>
      <c r="B98" s="42"/>
      <c r="C98" s="42"/>
      <c r="D98" s="75"/>
      <c r="E98" s="75"/>
      <c r="F98" s="76"/>
      <c r="G98" s="47"/>
      <c r="H98" s="47"/>
      <c r="I98" s="75"/>
      <c r="J98" s="76"/>
      <c r="K98" s="76"/>
      <c r="L98" s="75"/>
      <c r="M98" s="49"/>
      <c r="N98" s="76"/>
      <c r="O98" s="49"/>
      <c r="P98" s="77"/>
      <c r="Q98" s="53"/>
      <c r="R98" s="54"/>
      <c r="S98" s="55"/>
      <c r="T98" s="56"/>
      <c r="U98" s="56"/>
      <c r="V98" s="42"/>
      <c r="W98" s="57"/>
      <c r="X98" s="58"/>
      <c r="Y98" s="75"/>
      <c r="Z98" s="59"/>
      <c r="AA98" s="61"/>
      <c r="AB98" s="61"/>
      <c r="AC98" s="61"/>
      <c r="AD98" s="62"/>
      <c r="AE98" s="62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</row>
    <row r="99" spans="1:77" x14ac:dyDescent="0.3">
      <c r="A99" s="39"/>
      <c r="B99" s="42"/>
      <c r="C99" s="42"/>
      <c r="D99" s="75"/>
      <c r="E99" s="75"/>
      <c r="F99" s="76"/>
      <c r="G99" s="47"/>
      <c r="H99" s="47"/>
      <c r="I99" s="75"/>
      <c r="J99" s="76"/>
      <c r="K99" s="76"/>
      <c r="L99" s="75"/>
      <c r="M99" s="49"/>
      <c r="N99" s="76"/>
      <c r="O99" s="49"/>
      <c r="P99" s="77"/>
      <c r="Q99" s="53"/>
      <c r="R99" s="54"/>
      <c r="S99" s="55"/>
      <c r="T99" s="56"/>
      <c r="U99" s="56"/>
      <c r="V99" s="42"/>
      <c r="W99" s="57"/>
      <c r="X99" s="58"/>
      <c r="Y99" s="75"/>
      <c r="Z99" s="59"/>
      <c r="AA99" s="61"/>
      <c r="AB99" s="61"/>
      <c r="AC99" s="61"/>
      <c r="AD99" s="62"/>
      <c r="AE99" s="62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</row>
    <row r="100" spans="1:77" x14ac:dyDescent="0.3">
      <c r="A100" s="39"/>
      <c r="B100" s="42"/>
      <c r="C100" s="42"/>
      <c r="D100" s="75"/>
      <c r="E100" s="75"/>
      <c r="F100" s="76"/>
      <c r="G100" s="47"/>
      <c r="H100" s="47"/>
      <c r="I100" s="75"/>
      <c r="J100" s="76"/>
      <c r="K100" s="76"/>
      <c r="L100" s="75"/>
      <c r="M100" s="49"/>
      <c r="N100" s="76"/>
      <c r="O100" s="49"/>
      <c r="P100" s="77"/>
      <c r="Q100" s="53"/>
      <c r="R100" s="54"/>
      <c r="S100" s="55"/>
      <c r="T100" s="56"/>
      <c r="U100" s="56"/>
      <c r="V100" s="42"/>
      <c r="W100" s="57"/>
      <c r="X100" s="58"/>
      <c r="Y100" s="75"/>
      <c r="Z100" s="59"/>
      <c r="AA100" s="61"/>
      <c r="AB100" s="61"/>
      <c r="AC100" s="61"/>
      <c r="AD100" s="62"/>
      <c r="AE100" s="62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</row>
    <row r="101" spans="1:77" x14ac:dyDescent="0.3">
      <c r="A101" s="39"/>
      <c r="B101" s="42"/>
      <c r="C101" s="42"/>
      <c r="D101" s="75"/>
      <c r="E101" s="75"/>
      <c r="F101" s="76"/>
      <c r="G101" s="47"/>
      <c r="H101" s="47"/>
      <c r="I101" s="75"/>
      <c r="J101" s="76"/>
      <c r="K101" s="76"/>
      <c r="L101" s="75"/>
      <c r="M101" s="49"/>
      <c r="N101" s="76"/>
      <c r="O101" s="49"/>
      <c r="P101" s="77"/>
      <c r="Q101" s="53"/>
      <c r="R101" s="54"/>
      <c r="S101" s="55"/>
      <c r="T101" s="56"/>
      <c r="U101" s="56"/>
      <c r="V101" s="42"/>
      <c r="W101" s="57"/>
      <c r="X101" s="58"/>
      <c r="Y101" s="75"/>
      <c r="Z101" s="59"/>
      <c r="AA101" s="61"/>
      <c r="AB101" s="61"/>
      <c r="AC101" s="61"/>
      <c r="AD101" s="62"/>
      <c r="AE101" s="62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</row>
    <row r="102" spans="1:77" x14ac:dyDescent="0.3">
      <c r="A102" s="39"/>
      <c r="B102" s="42"/>
      <c r="C102" s="42"/>
      <c r="D102" s="75"/>
      <c r="E102" s="75"/>
      <c r="F102" s="76"/>
      <c r="G102" s="47"/>
      <c r="H102" s="47"/>
      <c r="I102" s="75"/>
      <c r="J102" s="76"/>
      <c r="K102" s="76"/>
      <c r="L102" s="75"/>
      <c r="M102" s="49"/>
      <c r="N102" s="76"/>
      <c r="O102" s="49"/>
      <c r="P102" s="77"/>
      <c r="Q102" s="53"/>
      <c r="R102" s="54"/>
      <c r="S102" s="55"/>
      <c r="T102" s="56"/>
      <c r="U102" s="56"/>
      <c r="V102" s="42"/>
      <c r="W102" s="57"/>
      <c r="X102" s="58"/>
      <c r="Y102" s="75"/>
      <c r="Z102" s="59"/>
      <c r="AA102" s="61"/>
      <c r="AB102" s="61"/>
      <c r="AC102" s="61"/>
      <c r="AD102" s="62"/>
      <c r="AE102" s="62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</row>
    <row r="103" spans="1:77" x14ac:dyDescent="0.3">
      <c r="A103" s="39"/>
      <c r="B103" s="42"/>
      <c r="C103" s="42"/>
      <c r="D103" s="75"/>
      <c r="E103" s="75"/>
      <c r="F103" s="76"/>
      <c r="G103" s="47"/>
      <c r="H103" s="47"/>
      <c r="I103" s="75"/>
      <c r="J103" s="76"/>
      <c r="K103" s="76"/>
      <c r="L103" s="75"/>
      <c r="M103" s="49"/>
      <c r="N103" s="76"/>
      <c r="O103" s="49"/>
      <c r="P103" s="77"/>
      <c r="Q103" s="53"/>
      <c r="R103" s="54"/>
      <c r="S103" s="55"/>
      <c r="T103" s="56"/>
      <c r="U103" s="56"/>
      <c r="V103" s="42"/>
      <c r="W103" s="57"/>
      <c r="X103" s="58"/>
      <c r="Y103" s="75"/>
      <c r="Z103" s="59"/>
      <c r="AA103" s="61"/>
      <c r="AB103" s="61"/>
      <c r="AC103" s="61"/>
      <c r="AD103" s="62"/>
      <c r="AE103" s="62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</row>
    <row r="104" spans="1:77" x14ac:dyDescent="0.3">
      <c r="A104" s="39"/>
      <c r="B104" s="42"/>
      <c r="C104" s="42"/>
      <c r="D104" s="75"/>
      <c r="E104" s="75"/>
      <c r="F104" s="76"/>
      <c r="G104" s="47"/>
      <c r="H104" s="47"/>
      <c r="I104" s="75"/>
      <c r="J104" s="76"/>
      <c r="K104" s="76"/>
      <c r="L104" s="75"/>
      <c r="M104" s="49"/>
      <c r="N104" s="76"/>
      <c r="O104" s="49"/>
      <c r="P104" s="77"/>
      <c r="Q104" s="53"/>
      <c r="R104" s="54"/>
      <c r="S104" s="55"/>
      <c r="T104" s="56"/>
      <c r="U104" s="56"/>
      <c r="V104" s="42"/>
      <c r="W104" s="57"/>
      <c r="X104" s="58"/>
      <c r="Y104" s="75"/>
      <c r="Z104" s="59"/>
      <c r="AA104" s="61"/>
      <c r="AB104" s="61"/>
      <c r="AC104" s="61"/>
      <c r="AD104" s="62"/>
      <c r="AE104" s="62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</row>
    <row r="105" spans="1:77" x14ac:dyDescent="0.3">
      <c r="A105" s="39"/>
      <c r="B105" s="42"/>
      <c r="C105" s="42"/>
      <c r="D105" s="75"/>
      <c r="E105" s="75"/>
      <c r="F105" s="76"/>
      <c r="G105" s="47"/>
      <c r="H105" s="47"/>
      <c r="I105" s="75"/>
      <c r="J105" s="76"/>
      <c r="K105" s="76"/>
      <c r="L105" s="75"/>
      <c r="M105" s="49"/>
      <c r="N105" s="76"/>
      <c r="O105" s="49"/>
      <c r="P105" s="77"/>
      <c r="Q105" s="53"/>
      <c r="R105" s="54"/>
      <c r="S105" s="55"/>
      <c r="T105" s="56"/>
      <c r="U105" s="56"/>
      <c r="V105" s="42"/>
      <c r="W105" s="57"/>
      <c r="X105" s="58"/>
      <c r="Y105" s="75"/>
      <c r="Z105" s="59"/>
      <c r="AA105" s="61"/>
      <c r="AB105" s="61"/>
      <c r="AC105" s="61"/>
      <c r="AD105" s="62"/>
      <c r="AE105" s="62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</row>
    <row r="106" spans="1:77" x14ac:dyDescent="0.3">
      <c r="A106" s="39"/>
      <c r="B106" s="42"/>
      <c r="C106" s="42"/>
      <c r="D106" s="75"/>
      <c r="E106" s="75"/>
      <c r="F106" s="76"/>
      <c r="G106" s="47"/>
      <c r="H106" s="47"/>
      <c r="I106" s="75"/>
      <c r="J106" s="76"/>
      <c r="K106" s="76"/>
      <c r="L106" s="75"/>
      <c r="M106" s="49"/>
      <c r="N106" s="76"/>
      <c r="O106" s="49"/>
      <c r="P106" s="77"/>
      <c r="Q106" s="53"/>
      <c r="R106" s="54"/>
      <c r="S106" s="55"/>
      <c r="T106" s="56"/>
      <c r="U106" s="56"/>
      <c r="V106" s="42"/>
      <c r="W106" s="57"/>
      <c r="X106" s="58"/>
      <c r="Y106" s="75"/>
      <c r="Z106" s="59"/>
      <c r="AA106" s="61"/>
      <c r="AB106" s="61"/>
      <c r="AC106" s="61"/>
      <c r="AD106" s="62"/>
      <c r="AE106" s="62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</row>
    <row r="107" spans="1:77" x14ac:dyDescent="0.3">
      <c r="A107" s="39"/>
      <c r="B107" s="42"/>
      <c r="C107" s="42"/>
      <c r="D107" s="75"/>
      <c r="E107" s="75"/>
      <c r="F107" s="76"/>
      <c r="G107" s="47"/>
      <c r="H107" s="47"/>
      <c r="I107" s="75"/>
      <c r="J107" s="76"/>
      <c r="K107" s="76"/>
      <c r="L107" s="75"/>
      <c r="M107" s="49"/>
      <c r="N107" s="76"/>
      <c r="O107" s="49"/>
      <c r="P107" s="77"/>
      <c r="Q107" s="53"/>
      <c r="R107" s="54"/>
      <c r="S107" s="55"/>
      <c r="T107" s="56"/>
      <c r="U107" s="56"/>
      <c r="V107" s="42"/>
      <c r="W107" s="57"/>
      <c r="X107" s="58"/>
      <c r="Y107" s="75"/>
      <c r="Z107" s="59"/>
      <c r="AA107" s="61"/>
      <c r="AB107" s="61"/>
      <c r="AC107" s="61"/>
      <c r="AD107" s="62"/>
      <c r="AE107" s="62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</row>
    <row r="108" spans="1:77" x14ac:dyDescent="0.3">
      <c r="A108" s="39"/>
      <c r="B108" s="42"/>
      <c r="C108" s="42"/>
      <c r="D108" s="75"/>
      <c r="E108" s="75"/>
      <c r="F108" s="76"/>
      <c r="G108" s="47"/>
      <c r="H108" s="47"/>
      <c r="I108" s="75"/>
      <c r="J108" s="76"/>
      <c r="K108" s="76"/>
      <c r="L108" s="75"/>
      <c r="M108" s="49"/>
      <c r="N108" s="76"/>
      <c r="O108" s="49"/>
      <c r="P108" s="77"/>
      <c r="Q108" s="53"/>
      <c r="R108" s="54"/>
      <c r="S108" s="55"/>
      <c r="T108" s="56"/>
      <c r="U108" s="56"/>
      <c r="V108" s="42"/>
      <c r="W108" s="57"/>
      <c r="X108" s="58"/>
      <c r="Y108" s="75"/>
      <c r="Z108" s="59"/>
      <c r="AA108" s="61"/>
      <c r="AB108" s="61"/>
      <c r="AC108" s="61"/>
      <c r="AD108" s="62"/>
      <c r="AE108" s="62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</row>
    <row r="109" spans="1:77" x14ac:dyDescent="0.3">
      <c r="A109" s="39"/>
      <c r="B109" s="42"/>
      <c r="C109" s="42"/>
      <c r="D109" s="75"/>
      <c r="E109" s="75"/>
      <c r="F109" s="76"/>
      <c r="G109" s="47"/>
      <c r="H109" s="47"/>
      <c r="I109" s="75"/>
      <c r="J109" s="76"/>
      <c r="K109" s="76"/>
      <c r="L109" s="75"/>
      <c r="M109" s="49"/>
      <c r="N109" s="76"/>
      <c r="O109" s="49"/>
      <c r="P109" s="77"/>
      <c r="Q109" s="53"/>
      <c r="R109" s="54"/>
      <c r="S109" s="55"/>
      <c r="T109" s="56"/>
      <c r="U109" s="56"/>
      <c r="V109" s="42"/>
      <c r="W109" s="57"/>
      <c r="X109" s="58"/>
      <c r="Y109" s="75"/>
      <c r="Z109" s="59"/>
      <c r="AA109" s="61"/>
      <c r="AB109" s="61"/>
      <c r="AC109" s="61"/>
      <c r="AD109" s="62"/>
      <c r="AE109" s="62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</row>
    <row r="110" spans="1:77" x14ac:dyDescent="0.3">
      <c r="A110" s="39"/>
      <c r="B110" s="42"/>
      <c r="C110" s="42"/>
      <c r="D110" s="75"/>
      <c r="E110" s="75"/>
      <c r="F110" s="76"/>
      <c r="G110" s="47"/>
      <c r="H110" s="47"/>
      <c r="I110" s="75"/>
      <c r="J110" s="76"/>
      <c r="K110" s="76"/>
      <c r="L110" s="75"/>
      <c r="M110" s="49"/>
      <c r="N110" s="76"/>
      <c r="O110" s="49"/>
      <c r="P110" s="77"/>
      <c r="Q110" s="53"/>
      <c r="R110" s="54"/>
      <c r="S110" s="55"/>
      <c r="T110" s="56"/>
      <c r="U110" s="56"/>
      <c r="V110" s="42"/>
      <c r="W110" s="57"/>
      <c r="X110" s="58"/>
      <c r="Y110" s="75"/>
      <c r="Z110" s="59"/>
      <c r="AA110" s="61"/>
      <c r="AB110" s="61"/>
      <c r="AC110" s="61"/>
      <c r="AD110" s="62"/>
      <c r="AE110" s="62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</row>
    <row r="111" spans="1:77" x14ac:dyDescent="0.3">
      <c r="A111" s="39"/>
      <c r="B111" s="42"/>
      <c r="C111" s="42"/>
      <c r="D111" s="75"/>
      <c r="E111" s="75"/>
      <c r="F111" s="76"/>
      <c r="G111" s="47"/>
      <c r="H111" s="47"/>
      <c r="I111" s="75"/>
      <c r="J111" s="76"/>
      <c r="K111" s="76"/>
      <c r="L111" s="75"/>
      <c r="M111" s="49"/>
      <c r="N111" s="76"/>
      <c r="O111" s="49"/>
      <c r="P111" s="77"/>
      <c r="Q111" s="53"/>
      <c r="R111" s="54"/>
      <c r="S111" s="55"/>
      <c r="T111" s="56"/>
      <c r="U111" s="56"/>
      <c r="V111" s="42"/>
      <c r="W111" s="57"/>
      <c r="X111" s="58"/>
      <c r="Y111" s="75"/>
      <c r="Z111" s="59"/>
      <c r="AA111" s="61"/>
      <c r="AB111" s="61"/>
      <c r="AC111" s="61"/>
      <c r="AD111" s="62"/>
      <c r="AE111" s="62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</row>
    <row r="112" spans="1:77" x14ac:dyDescent="0.3">
      <c r="A112" s="39"/>
      <c r="B112" s="42"/>
      <c r="C112" s="42"/>
      <c r="D112" s="75"/>
      <c r="E112" s="75"/>
      <c r="F112" s="76"/>
      <c r="G112" s="47"/>
      <c r="H112" s="47"/>
      <c r="I112" s="75"/>
      <c r="J112" s="76"/>
      <c r="K112" s="76"/>
      <c r="L112" s="75"/>
      <c r="M112" s="49"/>
      <c r="N112" s="76"/>
      <c r="O112" s="49"/>
      <c r="P112" s="77"/>
      <c r="Q112" s="53"/>
      <c r="R112" s="54"/>
      <c r="S112" s="55"/>
      <c r="T112" s="56"/>
      <c r="U112" s="56"/>
      <c r="V112" s="42"/>
      <c r="W112" s="57"/>
      <c r="X112" s="58"/>
      <c r="Y112" s="75"/>
      <c r="Z112" s="59"/>
      <c r="AA112" s="61"/>
      <c r="AB112" s="61"/>
      <c r="AC112" s="61"/>
      <c r="AD112" s="62"/>
      <c r="AE112" s="62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</row>
    <row r="113" spans="1:77" x14ac:dyDescent="0.3">
      <c r="A113" s="39"/>
      <c r="B113" s="42"/>
      <c r="C113" s="42"/>
      <c r="D113" s="75"/>
      <c r="E113" s="75"/>
      <c r="F113" s="76"/>
      <c r="G113" s="47"/>
      <c r="H113" s="47"/>
      <c r="I113" s="75"/>
      <c r="J113" s="76"/>
      <c r="K113" s="76"/>
      <c r="L113" s="75"/>
      <c r="M113" s="49"/>
      <c r="N113" s="76"/>
      <c r="O113" s="49"/>
      <c r="P113" s="77"/>
      <c r="Q113" s="53"/>
      <c r="R113" s="54"/>
      <c r="S113" s="55"/>
      <c r="T113" s="56"/>
      <c r="U113" s="56"/>
      <c r="V113" s="42"/>
      <c r="W113" s="57"/>
      <c r="X113" s="58"/>
      <c r="Y113" s="75"/>
      <c r="Z113" s="59"/>
      <c r="AA113" s="61"/>
      <c r="AB113" s="61"/>
      <c r="AC113" s="61"/>
      <c r="AD113" s="62"/>
      <c r="AE113" s="62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</row>
    <row r="114" spans="1:77" x14ac:dyDescent="0.3">
      <c r="A114" s="39"/>
      <c r="B114" s="42"/>
      <c r="C114" s="42"/>
      <c r="D114" s="75"/>
      <c r="E114" s="75"/>
      <c r="F114" s="76"/>
      <c r="G114" s="47"/>
      <c r="H114" s="47"/>
      <c r="I114" s="75"/>
      <c r="J114" s="76"/>
      <c r="K114" s="76"/>
      <c r="L114" s="75"/>
      <c r="M114" s="49"/>
      <c r="N114" s="76"/>
      <c r="O114" s="49"/>
      <c r="P114" s="77"/>
      <c r="Q114" s="53"/>
      <c r="R114" s="54"/>
      <c r="S114" s="55"/>
      <c r="T114" s="56"/>
      <c r="U114" s="56"/>
      <c r="V114" s="42"/>
      <c r="W114" s="57"/>
      <c r="X114" s="58"/>
      <c r="Y114" s="75"/>
      <c r="Z114" s="59"/>
      <c r="AA114" s="61"/>
      <c r="AB114" s="61"/>
      <c r="AC114" s="61"/>
      <c r="AD114" s="62"/>
      <c r="AE114" s="62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</row>
    <row r="115" spans="1:77" x14ac:dyDescent="0.3">
      <c r="A115" s="39"/>
      <c r="B115" s="42"/>
      <c r="C115" s="42"/>
      <c r="D115" s="75"/>
      <c r="E115" s="75"/>
      <c r="F115" s="76"/>
      <c r="G115" s="47"/>
      <c r="H115" s="47"/>
      <c r="I115" s="75"/>
      <c r="J115" s="76"/>
      <c r="K115" s="76"/>
      <c r="L115" s="75"/>
      <c r="M115" s="49"/>
      <c r="N115" s="76"/>
      <c r="O115" s="49"/>
      <c r="P115" s="77"/>
      <c r="Q115" s="53"/>
      <c r="R115" s="54"/>
      <c r="S115" s="55"/>
      <c r="T115" s="56"/>
      <c r="U115" s="56"/>
      <c r="V115" s="42"/>
      <c r="W115" s="57"/>
      <c r="X115" s="58"/>
      <c r="Y115" s="75"/>
      <c r="Z115" s="59"/>
      <c r="AA115" s="61"/>
      <c r="AB115" s="61"/>
      <c r="AC115" s="61"/>
      <c r="AD115" s="62"/>
      <c r="AE115" s="62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</row>
    <row r="116" spans="1:77" x14ac:dyDescent="0.3">
      <c r="A116" s="39"/>
      <c r="B116" s="42"/>
      <c r="C116" s="42"/>
      <c r="D116" s="75"/>
      <c r="E116" s="75"/>
      <c r="F116" s="76"/>
      <c r="G116" s="47"/>
      <c r="H116" s="47"/>
      <c r="I116" s="75"/>
      <c r="J116" s="76"/>
      <c r="K116" s="76"/>
      <c r="L116" s="75"/>
      <c r="M116" s="49"/>
      <c r="N116" s="76"/>
      <c r="O116" s="49"/>
      <c r="P116" s="77"/>
      <c r="Q116" s="53"/>
      <c r="R116" s="54"/>
      <c r="S116" s="55"/>
      <c r="T116" s="56"/>
      <c r="U116" s="56"/>
      <c r="V116" s="42"/>
      <c r="W116" s="57"/>
      <c r="X116" s="58"/>
      <c r="Y116" s="75"/>
      <c r="Z116" s="59"/>
      <c r="AA116" s="61"/>
      <c r="AB116" s="61"/>
      <c r="AC116" s="61"/>
      <c r="AD116" s="62"/>
      <c r="AE116" s="62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</row>
    <row r="117" spans="1:77" x14ac:dyDescent="0.3">
      <c r="A117" s="39"/>
      <c r="B117" s="42"/>
      <c r="C117" s="42"/>
      <c r="D117" s="75"/>
      <c r="E117" s="75"/>
      <c r="F117" s="76"/>
      <c r="G117" s="47"/>
      <c r="H117" s="47"/>
      <c r="I117" s="75"/>
      <c r="J117" s="76"/>
      <c r="K117" s="76"/>
      <c r="L117" s="75"/>
      <c r="M117" s="49"/>
      <c r="N117" s="76"/>
      <c r="O117" s="49"/>
      <c r="P117" s="77"/>
      <c r="Q117" s="53"/>
      <c r="R117" s="54"/>
      <c r="S117" s="55"/>
      <c r="T117" s="56"/>
      <c r="U117" s="56"/>
      <c r="V117" s="42"/>
      <c r="W117" s="57"/>
      <c r="X117" s="58"/>
      <c r="Y117" s="75"/>
      <c r="Z117" s="59"/>
      <c r="AA117" s="61"/>
      <c r="AB117" s="61"/>
      <c r="AC117" s="61"/>
      <c r="AD117" s="62"/>
      <c r="AE117" s="62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</row>
    <row r="118" spans="1:77" x14ac:dyDescent="0.3">
      <c r="A118" s="39"/>
      <c r="B118" s="42"/>
      <c r="C118" s="42"/>
      <c r="D118" s="75"/>
      <c r="E118" s="75"/>
      <c r="F118" s="76"/>
      <c r="G118" s="47"/>
      <c r="H118" s="47"/>
      <c r="I118" s="75"/>
      <c r="J118" s="76"/>
      <c r="K118" s="76"/>
      <c r="L118" s="75"/>
      <c r="M118" s="49"/>
      <c r="N118" s="76"/>
      <c r="O118" s="49"/>
      <c r="P118" s="77"/>
      <c r="Q118" s="53"/>
      <c r="R118" s="54"/>
      <c r="S118" s="55"/>
      <c r="T118" s="56"/>
      <c r="U118" s="56"/>
      <c r="V118" s="42"/>
      <c r="W118" s="57"/>
      <c r="X118" s="58"/>
      <c r="Y118" s="75"/>
      <c r="Z118" s="59"/>
      <c r="AA118" s="61"/>
      <c r="AB118" s="61"/>
      <c r="AC118" s="61"/>
      <c r="AD118" s="62"/>
      <c r="AE118" s="62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</row>
    <row r="119" spans="1:77" x14ac:dyDescent="0.3">
      <c r="A119" s="39"/>
      <c r="B119" s="42"/>
      <c r="C119" s="42"/>
      <c r="D119" s="75"/>
      <c r="E119" s="75"/>
      <c r="F119" s="76"/>
      <c r="G119" s="47"/>
      <c r="H119" s="47"/>
      <c r="I119" s="75"/>
      <c r="J119" s="76"/>
      <c r="K119" s="76"/>
      <c r="L119" s="75"/>
      <c r="M119" s="49"/>
      <c r="N119" s="76"/>
      <c r="O119" s="49"/>
      <c r="P119" s="77"/>
      <c r="Q119" s="53"/>
      <c r="R119" s="54"/>
      <c r="S119" s="55"/>
      <c r="T119" s="56"/>
      <c r="U119" s="56"/>
      <c r="V119" s="42"/>
      <c r="W119" s="57"/>
      <c r="X119" s="58"/>
      <c r="Y119" s="75"/>
      <c r="Z119" s="59"/>
      <c r="AA119" s="61"/>
      <c r="AB119" s="61"/>
      <c r="AC119" s="61"/>
      <c r="AD119" s="62"/>
      <c r="AE119" s="62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</row>
    <row r="120" spans="1:77" x14ac:dyDescent="0.3">
      <c r="A120" s="39"/>
      <c r="B120" s="42"/>
      <c r="C120" s="42"/>
      <c r="D120" s="75"/>
      <c r="E120" s="75"/>
      <c r="F120" s="76"/>
      <c r="G120" s="47"/>
      <c r="H120" s="47"/>
      <c r="I120" s="75"/>
      <c r="J120" s="76"/>
      <c r="K120" s="76"/>
      <c r="L120" s="75"/>
      <c r="M120" s="49"/>
      <c r="N120" s="76"/>
      <c r="O120" s="49"/>
      <c r="P120" s="77"/>
      <c r="Q120" s="53"/>
      <c r="R120" s="54"/>
      <c r="S120" s="55"/>
      <c r="T120" s="56"/>
      <c r="U120" s="56"/>
      <c r="V120" s="42"/>
      <c r="W120" s="57"/>
      <c r="X120" s="58"/>
      <c r="Y120" s="75"/>
      <c r="Z120" s="59"/>
      <c r="AA120" s="61"/>
      <c r="AB120" s="61"/>
      <c r="AC120" s="61"/>
      <c r="AD120" s="62"/>
      <c r="AE120" s="62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</row>
    <row r="121" spans="1:77" x14ac:dyDescent="0.3">
      <c r="A121" s="39"/>
      <c r="B121" s="42"/>
      <c r="C121" s="42"/>
      <c r="D121" s="75"/>
      <c r="E121" s="75"/>
      <c r="F121" s="76"/>
      <c r="G121" s="47"/>
      <c r="H121" s="47"/>
      <c r="I121" s="75"/>
      <c r="J121" s="76"/>
      <c r="K121" s="76"/>
      <c r="L121" s="75"/>
      <c r="M121" s="49"/>
      <c r="N121" s="76"/>
      <c r="O121" s="49"/>
      <c r="P121" s="77"/>
      <c r="Q121" s="53"/>
      <c r="R121" s="54"/>
      <c r="S121" s="55"/>
      <c r="T121" s="56"/>
      <c r="U121" s="56"/>
      <c r="V121" s="42"/>
      <c r="W121" s="57"/>
      <c r="X121" s="58"/>
      <c r="Y121" s="75"/>
      <c r="Z121" s="59"/>
      <c r="AA121" s="61"/>
      <c r="AB121" s="61"/>
      <c r="AC121" s="61"/>
      <c r="AD121" s="62"/>
      <c r="AE121" s="62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</row>
    <row r="122" spans="1:77" x14ac:dyDescent="0.3">
      <c r="A122" s="39"/>
      <c r="B122" s="42"/>
      <c r="C122" s="42"/>
      <c r="D122" s="75"/>
      <c r="E122" s="75"/>
      <c r="F122" s="76"/>
      <c r="G122" s="47"/>
      <c r="H122" s="47"/>
      <c r="I122" s="75"/>
      <c r="J122" s="76"/>
      <c r="K122" s="76"/>
      <c r="L122" s="75"/>
      <c r="M122" s="49"/>
      <c r="N122" s="76"/>
      <c r="O122" s="49"/>
      <c r="P122" s="77"/>
      <c r="Q122" s="53"/>
      <c r="R122" s="54"/>
      <c r="S122" s="55"/>
      <c r="T122" s="56"/>
      <c r="U122" s="56"/>
      <c r="V122" s="42"/>
      <c r="W122" s="57"/>
      <c r="X122" s="58"/>
      <c r="Y122" s="75"/>
      <c r="Z122" s="59"/>
      <c r="AA122" s="61"/>
      <c r="AB122" s="61"/>
      <c r="AC122" s="61"/>
      <c r="AD122" s="62"/>
      <c r="AE122" s="62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</row>
    <row r="123" spans="1:77" x14ac:dyDescent="0.3">
      <c r="A123" s="39"/>
      <c r="B123" s="42"/>
      <c r="C123" s="42"/>
      <c r="D123" s="75"/>
      <c r="E123" s="75"/>
      <c r="F123" s="76"/>
      <c r="G123" s="47"/>
      <c r="H123" s="47"/>
      <c r="I123" s="75"/>
      <c r="J123" s="76"/>
      <c r="K123" s="76"/>
      <c r="L123" s="75"/>
      <c r="M123" s="49"/>
      <c r="N123" s="76"/>
      <c r="O123" s="49"/>
      <c r="P123" s="77"/>
      <c r="Q123" s="53"/>
      <c r="R123" s="54"/>
      <c r="S123" s="55"/>
      <c r="T123" s="56"/>
      <c r="U123" s="56"/>
      <c r="V123" s="42"/>
      <c r="W123" s="57"/>
      <c r="X123" s="58"/>
      <c r="Y123" s="75"/>
      <c r="Z123" s="59"/>
      <c r="AA123" s="61"/>
      <c r="AB123" s="61"/>
      <c r="AC123" s="61"/>
      <c r="AD123" s="62"/>
      <c r="AE123" s="62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</row>
    <row r="124" spans="1:77" x14ac:dyDescent="0.3">
      <c r="A124" s="39"/>
      <c r="B124" s="42"/>
      <c r="C124" s="42"/>
      <c r="D124" s="75"/>
      <c r="E124" s="75"/>
      <c r="F124" s="76"/>
      <c r="G124" s="47"/>
      <c r="H124" s="47"/>
      <c r="I124" s="75"/>
      <c r="J124" s="76"/>
      <c r="K124" s="76"/>
      <c r="L124" s="75"/>
      <c r="M124" s="49"/>
      <c r="N124" s="76"/>
      <c r="O124" s="49"/>
      <c r="P124" s="77"/>
      <c r="Q124" s="53"/>
      <c r="R124" s="54"/>
      <c r="S124" s="55"/>
      <c r="T124" s="56"/>
      <c r="U124" s="56"/>
      <c r="V124" s="42"/>
      <c r="W124" s="57"/>
      <c r="X124" s="58"/>
      <c r="Y124" s="75"/>
      <c r="Z124" s="59"/>
      <c r="AA124" s="61"/>
      <c r="AB124" s="61"/>
      <c r="AC124" s="61"/>
      <c r="AD124" s="62"/>
      <c r="AE124" s="62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</row>
    <row r="125" spans="1:77" x14ac:dyDescent="0.3">
      <c r="A125" s="39"/>
      <c r="B125" s="42"/>
      <c r="C125" s="42"/>
      <c r="D125" s="75"/>
      <c r="E125" s="75"/>
      <c r="F125" s="76"/>
      <c r="G125" s="47"/>
      <c r="H125" s="47"/>
      <c r="I125" s="75"/>
      <c r="J125" s="76"/>
      <c r="K125" s="76"/>
      <c r="L125" s="75"/>
      <c r="M125" s="49"/>
      <c r="N125" s="76"/>
      <c r="O125" s="49"/>
      <c r="P125" s="77"/>
      <c r="Q125" s="53"/>
      <c r="R125" s="54"/>
      <c r="S125" s="55"/>
      <c r="T125" s="56"/>
      <c r="U125" s="56"/>
      <c r="V125" s="42"/>
      <c r="W125" s="57"/>
      <c r="X125" s="58"/>
      <c r="Y125" s="75"/>
      <c r="Z125" s="59"/>
      <c r="AA125" s="61"/>
      <c r="AB125" s="61"/>
      <c r="AC125" s="61"/>
      <c r="AD125" s="62"/>
      <c r="AE125" s="62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</row>
    <row r="126" spans="1:77" x14ac:dyDescent="0.3">
      <c r="A126" s="39"/>
      <c r="B126" s="42"/>
      <c r="C126" s="42"/>
      <c r="D126" s="75"/>
      <c r="E126" s="75"/>
      <c r="F126" s="76"/>
      <c r="G126" s="47"/>
      <c r="H126" s="47"/>
      <c r="I126" s="75"/>
      <c r="J126" s="76"/>
      <c r="K126" s="76"/>
      <c r="L126" s="75"/>
      <c r="M126" s="49"/>
      <c r="N126" s="76"/>
      <c r="O126" s="49"/>
      <c r="P126" s="77"/>
      <c r="Q126" s="53"/>
      <c r="R126" s="54"/>
      <c r="S126" s="55"/>
      <c r="T126" s="56"/>
      <c r="U126" s="56"/>
      <c r="V126" s="42"/>
      <c r="W126" s="57"/>
      <c r="X126" s="58"/>
      <c r="Y126" s="75"/>
      <c r="Z126" s="59"/>
      <c r="AA126" s="61"/>
      <c r="AB126" s="61"/>
      <c r="AC126" s="61"/>
      <c r="AD126" s="62"/>
      <c r="AE126" s="62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</row>
    <row r="127" spans="1:77" x14ac:dyDescent="0.3">
      <c r="A127" s="39"/>
      <c r="B127" s="42"/>
      <c r="C127" s="42"/>
      <c r="D127" s="75"/>
      <c r="E127" s="75"/>
      <c r="F127" s="76"/>
      <c r="G127" s="47"/>
      <c r="H127" s="47"/>
      <c r="I127" s="75"/>
      <c r="J127" s="76"/>
      <c r="K127" s="76"/>
      <c r="L127" s="75"/>
      <c r="M127" s="49"/>
      <c r="N127" s="76"/>
      <c r="O127" s="49"/>
      <c r="P127" s="77"/>
      <c r="Q127" s="53"/>
      <c r="R127" s="54"/>
      <c r="S127" s="55"/>
      <c r="T127" s="56"/>
      <c r="U127" s="56"/>
      <c r="V127" s="42"/>
      <c r="W127" s="57"/>
      <c r="X127" s="58"/>
      <c r="Y127" s="75"/>
      <c r="Z127" s="59"/>
      <c r="AA127" s="61"/>
      <c r="AB127" s="61"/>
      <c r="AC127" s="61"/>
      <c r="AD127" s="62"/>
      <c r="AE127" s="62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</row>
    <row r="128" spans="1:77" x14ac:dyDescent="0.3">
      <c r="A128" s="39"/>
      <c r="B128" s="42"/>
      <c r="C128" s="42"/>
      <c r="D128" s="75"/>
      <c r="E128" s="75"/>
      <c r="F128" s="76"/>
      <c r="G128" s="47"/>
      <c r="H128" s="47"/>
      <c r="I128" s="75"/>
      <c r="J128" s="76"/>
      <c r="K128" s="76"/>
      <c r="L128" s="75"/>
      <c r="M128" s="49"/>
      <c r="N128" s="76"/>
      <c r="O128" s="49"/>
      <c r="P128" s="77"/>
      <c r="Q128" s="53"/>
      <c r="R128" s="54"/>
      <c r="S128" s="55"/>
      <c r="T128" s="56"/>
      <c r="U128" s="56"/>
      <c r="V128" s="42"/>
      <c r="W128" s="57"/>
      <c r="X128" s="58"/>
      <c r="Y128" s="75"/>
      <c r="Z128" s="59"/>
      <c r="AA128" s="61"/>
      <c r="AB128" s="61"/>
      <c r="AC128" s="61"/>
      <c r="AD128" s="62"/>
      <c r="AE128" s="62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</row>
    <row r="129" spans="1:77" x14ac:dyDescent="0.3">
      <c r="A129" s="39"/>
      <c r="B129" s="42"/>
      <c r="C129" s="42"/>
      <c r="D129" s="75"/>
      <c r="E129" s="75"/>
      <c r="F129" s="76"/>
      <c r="G129" s="47"/>
      <c r="H129" s="47"/>
      <c r="I129" s="75"/>
      <c r="J129" s="76"/>
      <c r="K129" s="76"/>
      <c r="L129" s="75"/>
      <c r="M129" s="49"/>
      <c r="N129" s="76"/>
      <c r="O129" s="49"/>
      <c r="P129" s="77"/>
      <c r="Q129" s="53"/>
      <c r="R129" s="54"/>
      <c r="S129" s="55"/>
      <c r="T129" s="56"/>
      <c r="U129" s="56"/>
      <c r="V129" s="42"/>
      <c r="W129" s="57"/>
      <c r="X129" s="58"/>
      <c r="Y129" s="75"/>
      <c r="Z129" s="59"/>
      <c r="AA129" s="61"/>
      <c r="AB129" s="61"/>
      <c r="AC129" s="61"/>
      <c r="AD129" s="62"/>
      <c r="AE129" s="62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</row>
    <row r="130" spans="1:77" x14ac:dyDescent="0.3">
      <c r="A130" s="39"/>
      <c r="B130" s="42"/>
      <c r="C130" s="42"/>
      <c r="D130" s="75"/>
      <c r="E130" s="75"/>
      <c r="F130" s="76"/>
      <c r="G130" s="47"/>
      <c r="H130" s="47"/>
      <c r="I130" s="75"/>
      <c r="J130" s="76"/>
      <c r="K130" s="76"/>
      <c r="L130" s="75"/>
      <c r="M130" s="49"/>
      <c r="N130" s="76"/>
      <c r="O130" s="49"/>
      <c r="P130" s="77"/>
      <c r="Q130" s="53"/>
      <c r="R130" s="54"/>
      <c r="S130" s="55"/>
      <c r="T130" s="56"/>
      <c r="U130" s="56"/>
      <c r="V130" s="42"/>
      <c r="W130" s="57"/>
      <c r="X130" s="58"/>
      <c r="Y130" s="75"/>
      <c r="Z130" s="59"/>
      <c r="AA130" s="61"/>
      <c r="AB130" s="61"/>
      <c r="AC130" s="61"/>
      <c r="AD130" s="62"/>
      <c r="AE130" s="62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</row>
    <row r="131" spans="1:77" x14ac:dyDescent="0.3">
      <c r="A131" s="39"/>
      <c r="B131" s="42"/>
      <c r="C131" s="42"/>
      <c r="D131" s="75"/>
      <c r="E131" s="75"/>
      <c r="F131" s="76"/>
      <c r="G131" s="47"/>
      <c r="H131" s="47"/>
      <c r="I131" s="75"/>
      <c r="J131" s="76"/>
      <c r="K131" s="76"/>
      <c r="L131" s="75"/>
      <c r="M131" s="49"/>
      <c r="N131" s="76"/>
      <c r="O131" s="49"/>
      <c r="P131" s="77"/>
      <c r="Q131" s="53"/>
      <c r="R131" s="54"/>
      <c r="S131" s="55"/>
      <c r="T131" s="56"/>
      <c r="U131" s="56"/>
      <c r="V131" s="42"/>
      <c r="W131" s="57"/>
      <c r="X131" s="58"/>
      <c r="Y131" s="75"/>
      <c r="Z131" s="59"/>
      <c r="AA131" s="61"/>
      <c r="AB131" s="61"/>
      <c r="AC131" s="61"/>
      <c r="AD131" s="62"/>
      <c r="AE131" s="62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</row>
    <row r="132" spans="1:77" x14ac:dyDescent="0.3">
      <c r="A132" s="39"/>
      <c r="B132" s="42"/>
      <c r="C132" s="42"/>
      <c r="D132" s="75"/>
      <c r="E132" s="75"/>
      <c r="F132" s="76"/>
      <c r="G132" s="47"/>
      <c r="H132" s="47"/>
      <c r="I132" s="75"/>
      <c r="J132" s="76"/>
      <c r="K132" s="76"/>
      <c r="L132" s="75"/>
      <c r="M132" s="49"/>
      <c r="N132" s="76"/>
      <c r="O132" s="49"/>
      <c r="P132" s="77"/>
      <c r="Q132" s="53"/>
      <c r="R132" s="54"/>
      <c r="S132" s="55"/>
      <c r="T132" s="56"/>
      <c r="U132" s="56"/>
      <c r="V132" s="42"/>
      <c r="W132" s="57"/>
      <c r="X132" s="58"/>
      <c r="Y132" s="75"/>
      <c r="Z132" s="59"/>
      <c r="AA132" s="61"/>
      <c r="AB132" s="61"/>
      <c r="AC132" s="61"/>
      <c r="AD132" s="62"/>
      <c r="AE132" s="62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</row>
    <row r="133" spans="1:77" x14ac:dyDescent="0.3">
      <c r="A133" s="39"/>
      <c r="B133" s="42"/>
      <c r="C133" s="42"/>
      <c r="D133" s="75"/>
      <c r="E133" s="75"/>
      <c r="F133" s="76"/>
      <c r="G133" s="47"/>
      <c r="H133" s="47"/>
      <c r="I133" s="75"/>
      <c r="J133" s="76"/>
      <c r="K133" s="76"/>
      <c r="L133" s="75"/>
      <c r="M133" s="49"/>
      <c r="N133" s="76"/>
      <c r="O133" s="49"/>
      <c r="P133" s="77"/>
      <c r="Q133" s="53"/>
      <c r="R133" s="54"/>
      <c r="S133" s="55"/>
      <c r="T133" s="56"/>
      <c r="U133" s="56"/>
      <c r="V133" s="42"/>
      <c r="W133" s="57"/>
      <c r="X133" s="58"/>
      <c r="Y133" s="75"/>
      <c r="Z133" s="59"/>
      <c r="AA133" s="61"/>
      <c r="AB133" s="61"/>
      <c r="AC133" s="61"/>
      <c r="AD133" s="62"/>
      <c r="AE133" s="62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</row>
    <row r="134" spans="1:77" x14ac:dyDescent="0.3">
      <c r="A134" s="39"/>
      <c r="B134" s="42"/>
      <c r="C134" s="42"/>
      <c r="D134" s="75"/>
      <c r="E134" s="75"/>
      <c r="F134" s="76"/>
      <c r="G134" s="47"/>
      <c r="H134" s="47"/>
      <c r="I134" s="75"/>
      <c r="J134" s="76"/>
      <c r="K134" s="76"/>
      <c r="L134" s="75"/>
      <c r="M134" s="49"/>
      <c r="N134" s="76"/>
      <c r="O134" s="49"/>
      <c r="P134" s="77"/>
      <c r="Q134" s="53"/>
      <c r="R134" s="54"/>
      <c r="S134" s="55"/>
      <c r="T134" s="56"/>
      <c r="U134" s="56"/>
      <c r="V134" s="42"/>
      <c r="W134" s="57"/>
      <c r="X134" s="58"/>
      <c r="Y134" s="75"/>
      <c r="Z134" s="59"/>
      <c r="AA134" s="61"/>
      <c r="AB134" s="61"/>
      <c r="AC134" s="61"/>
      <c r="AD134" s="62"/>
      <c r="AE134" s="62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</row>
    <row r="135" spans="1:77" x14ac:dyDescent="0.3">
      <c r="A135" s="39"/>
      <c r="B135" s="42"/>
      <c r="C135" s="42"/>
      <c r="D135" s="75"/>
      <c r="E135" s="75"/>
      <c r="F135" s="76"/>
      <c r="G135" s="47"/>
      <c r="H135" s="47"/>
      <c r="I135" s="75"/>
      <c r="J135" s="76"/>
      <c r="K135" s="76"/>
      <c r="L135" s="75"/>
      <c r="M135" s="49"/>
      <c r="N135" s="76"/>
      <c r="O135" s="49"/>
      <c r="P135" s="77"/>
      <c r="Q135" s="53"/>
      <c r="R135" s="54"/>
      <c r="S135" s="55"/>
      <c r="T135" s="56"/>
      <c r="U135" s="56"/>
      <c r="V135" s="42"/>
      <c r="W135" s="57"/>
      <c r="X135" s="58"/>
      <c r="Y135" s="75"/>
      <c r="Z135" s="59"/>
      <c r="AA135" s="61"/>
      <c r="AB135" s="61"/>
      <c r="AC135" s="61"/>
      <c r="AD135" s="62"/>
      <c r="AE135" s="62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</row>
    <row r="136" spans="1:77" x14ac:dyDescent="0.3">
      <c r="A136" s="39"/>
      <c r="B136" s="42"/>
      <c r="C136" s="42"/>
      <c r="D136" s="75"/>
      <c r="E136" s="75"/>
      <c r="F136" s="76"/>
      <c r="G136" s="47"/>
      <c r="H136" s="47"/>
      <c r="I136" s="75"/>
      <c r="J136" s="76"/>
      <c r="K136" s="76"/>
      <c r="L136" s="75"/>
      <c r="M136" s="49"/>
      <c r="N136" s="76"/>
      <c r="O136" s="49"/>
      <c r="P136" s="77"/>
      <c r="Q136" s="53"/>
      <c r="R136" s="54"/>
      <c r="S136" s="55"/>
      <c r="T136" s="56"/>
      <c r="U136" s="56"/>
      <c r="V136" s="42"/>
      <c r="W136" s="57"/>
      <c r="X136" s="58"/>
      <c r="Y136" s="75"/>
      <c r="Z136" s="59"/>
      <c r="AA136" s="61"/>
      <c r="AB136" s="61"/>
      <c r="AC136" s="61"/>
      <c r="AD136" s="62"/>
      <c r="AE136" s="62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</row>
    <row r="137" spans="1:77" x14ac:dyDescent="0.3">
      <c r="A137" s="39"/>
      <c r="B137" s="42"/>
      <c r="C137" s="42"/>
      <c r="D137" s="75"/>
      <c r="E137" s="75"/>
      <c r="F137" s="76"/>
      <c r="G137" s="47"/>
      <c r="H137" s="47"/>
      <c r="I137" s="75"/>
      <c r="J137" s="76"/>
      <c r="K137" s="76"/>
      <c r="L137" s="75"/>
      <c r="M137" s="49"/>
      <c r="N137" s="76"/>
      <c r="O137" s="49"/>
      <c r="P137" s="77"/>
      <c r="Q137" s="53"/>
      <c r="R137" s="54"/>
      <c r="S137" s="55"/>
      <c r="T137" s="56"/>
      <c r="U137" s="56"/>
      <c r="V137" s="42"/>
      <c r="W137" s="57"/>
      <c r="X137" s="58"/>
      <c r="Y137" s="75"/>
      <c r="Z137" s="59"/>
      <c r="AA137" s="61"/>
      <c r="AB137" s="61"/>
      <c r="AC137" s="61"/>
      <c r="AD137" s="62"/>
      <c r="AE137" s="62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</row>
    <row r="138" spans="1:77" x14ac:dyDescent="0.3">
      <c r="A138" s="39"/>
      <c r="B138" s="42"/>
      <c r="C138" s="42"/>
      <c r="D138" s="75"/>
      <c r="E138" s="75"/>
      <c r="F138" s="76"/>
      <c r="G138" s="47"/>
      <c r="H138" s="47"/>
      <c r="I138" s="75"/>
      <c r="J138" s="76"/>
      <c r="K138" s="76"/>
      <c r="L138" s="75"/>
      <c r="M138" s="49"/>
      <c r="N138" s="76"/>
      <c r="O138" s="49"/>
      <c r="P138" s="77"/>
      <c r="Q138" s="53"/>
      <c r="R138" s="54"/>
      <c r="S138" s="55"/>
      <c r="T138" s="56"/>
      <c r="U138" s="56"/>
      <c r="V138" s="42"/>
      <c r="W138" s="57"/>
      <c r="X138" s="58"/>
      <c r="Y138" s="75"/>
      <c r="Z138" s="59"/>
      <c r="AA138" s="61"/>
      <c r="AB138" s="61"/>
      <c r="AC138" s="61"/>
      <c r="AD138" s="62"/>
      <c r="AE138" s="62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</row>
    <row r="139" spans="1:77" x14ac:dyDescent="0.3">
      <c r="A139" s="39"/>
      <c r="B139" s="42"/>
      <c r="C139" s="42"/>
      <c r="D139" s="75"/>
      <c r="E139" s="75"/>
      <c r="F139" s="76"/>
      <c r="G139" s="47"/>
      <c r="H139" s="47"/>
      <c r="I139" s="75"/>
      <c r="J139" s="76"/>
      <c r="K139" s="76"/>
      <c r="L139" s="75"/>
      <c r="M139" s="49"/>
      <c r="N139" s="76"/>
      <c r="O139" s="49"/>
      <c r="P139" s="77"/>
      <c r="Q139" s="53"/>
      <c r="R139" s="54"/>
      <c r="S139" s="55"/>
      <c r="T139" s="56"/>
      <c r="U139" s="56"/>
      <c r="V139" s="42"/>
      <c r="W139" s="57"/>
      <c r="X139" s="58"/>
      <c r="Y139" s="75"/>
      <c r="Z139" s="59"/>
      <c r="AA139" s="61"/>
      <c r="AB139" s="61"/>
      <c r="AC139" s="61"/>
      <c r="AD139" s="62"/>
      <c r="AE139" s="62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</row>
    <row r="140" spans="1:77" x14ac:dyDescent="0.3">
      <c r="A140" s="39"/>
      <c r="B140" s="42"/>
      <c r="C140" s="42"/>
      <c r="D140" s="75"/>
      <c r="E140" s="75"/>
      <c r="F140" s="76"/>
      <c r="G140" s="47"/>
      <c r="H140" s="47"/>
      <c r="I140" s="75"/>
      <c r="J140" s="76"/>
      <c r="K140" s="76"/>
      <c r="L140" s="75"/>
      <c r="M140" s="49"/>
      <c r="N140" s="76"/>
      <c r="O140" s="49"/>
      <c r="P140" s="77"/>
      <c r="Q140" s="53"/>
      <c r="R140" s="54"/>
      <c r="S140" s="55"/>
      <c r="T140" s="56"/>
      <c r="U140" s="56"/>
      <c r="V140" s="42"/>
      <c r="W140" s="57"/>
      <c r="X140" s="58"/>
      <c r="Y140" s="75"/>
      <c r="Z140" s="59"/>
      <c r="AA140" s="61"/>
      <c r="AB140" s="61"/>
      <c r="AC140" s="61"/>
      <c r="AD140" s="62"/>
      <c r="AE140" s="62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</row>
    <row r="141" spans="1:77" x14ac:dyDescent="0.3">
      <c r="A141" s="39"/>
      <c r="B141" s="42"/>
      <c r="C141" s="42"/>
      <c r="D141" s="75"/>
      <c r="E141" s="75"/>
      <c r="F141" s="76"/>
      <c r="G141" s="47"/>
      <c r="H141" s="47"/>
      <c r="I141" s="75"/>
      <c r="J141" s="76"/>
      <c r="K141" s="76"/>
      <c r="L141" s="75"/>
      <c r="M141" s="49"/>
      <c r="N141" s="76"/>
      <c r="O141" s="49"/>
      <c r="P141" s="77"/>
      <c r="Q141" s="53"/>
      <c r="R141" s="54"/>
      <c r="S141" s="55"/>
      <c r="T141" s="56"/>
      <c r="U141" s="56"/>
      <c r="V141" s="42"/>
      <c r="W141" s="57"/>
      <c r="X141" s="58"/>
      <c r="Y141" s="75"/>
      <c r="Z141" s="59"/>
      <c r="AA141" s="61"/>
      <c r="AB141" s="61"/>
      <c r="AC141" s="61"/>
      <c r="AD141" s="62"/>
      <c r="AE141" s="62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</row>
    <row r="142" spans="1:77" x14ac:dyDescent="0.3">
      <c r="A142" s="39"/>
      <c r="B142" s="42"/>
      <c r="C142" s="42"/>
      <c r="D142" s="75"/>
      <c r="E142" s="75"/>
      <c r="F142" s="76"/>
      <c r="G142" s="47"/>
      <c r="H142" s="47"/>
      <c r="I142" s="75"/>
      <c r="J142" s="76"/>
      <c r="K142" s="76"/>
      <c r="L142" s="75"/>
      <c r="M142" s="49"/>
      <c r="N142" s="76"/>
      <c r="O142" s="49"/>
      <c r="P142" s="77"/>
      <c r="Q142" s="53"/>
      <c r="R142" s="54"/>
      <c r="S142" s="55"/>
      <c r="T142" s="56"/>
      <c r="U142" s="56"/>
      <c r="V142" s="42"/>
      <c r="W142" s="57"/>
      <c r="X142" s="58"/>
      <c r="Y142" s="75"/>
      <c r="Z142" s="59"/>
      <c r="AA142" s="61"/>
      <c r="AB142" s="61"/>
      <c r="AC142" s="61"/>
      <c r="AD142" s="62"/>
      <c r="AE142" s="62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</row>
    <row r="143" spans="1:77" x14ac:dyDescent="0.3">
      <c r="A143" s="39"/>
      <c r="B143" s="42"/>
      <c r="C143" s="42"/>
      <c r="D143" s="75"/>
      <c r="E143" s="75"/>
      <c r="F143" s="76"/>
      <c r="G143" s="47"/>
      <c r="H143" s="47"/>
      <c r="I143" s="75"/>
      <c r="J143" s="76"/>
      <c r="K143" s="76"/>
      <c r="L143" s="75"/>
      <c r="M143" s="49"/>
      <c r="N143" s="76"/>
      <c r="O143" s="49"/>
      <c r="P143" s="77"/>
      <c r="Q143" s="53"/>
      <c r="R143" s="54"/>
      <c r="S143" s="55"/>
      <c r="T143" s="56"/>
      <c r="U143" s="56"/>
      <c r="V143" s="42"/>
      <c r="W143" s="57"/>
      <c r="X143" s="58"/>
      <c r="Y143" s="75"/>
      <c r="Z143" s="59"/>
      <c r="AA143" s="61"/>
      <c r="AB143" s="61"/>
      <c r="AC143" s="61"/>
      <c r="AD143" s="62"/>
      <c r="AE143" s="62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</row>
    <row r="144" spans="1:77" x14ac:dyDescent="0.3">
      <c r="A144" s="39"/>
      <c r="B144" s="42"/>
      <c r="C144" s="42"/>
      <c r="D144" s="75"/>
      <c r="E144" s="75"/>
      <c r="F144" s="76"/>
      <c r="G144" s="47"/>
      <c r="H144" s="47"/>
      <c r="I144" s="75"/>
      <c r="J144" s="76"/>
      <c r="K144" s="76"/>
      <c r="L144" s="75"/>
      <c r="M144" s="49"/>
      <c r="N144" s="76"/>
      <c r="O144" s="49"/>
      <c r="P144" s="77"/>
      <c r="Q144" s="53"/>
      <c r="R144" s="54"/>
      <c r="S144" s="55"/>
      <c r="T144" s="56"/>
      <c r="U144" s="56"/>
      <c r="V144" s="42"/>
      <c r="W144" s="57"/>
      <c r="X144" s="58"/>
      <c r="Y144" s="75"/>
      <c r="Z144" s="59"/>
      <c r="AA144" s="61"/>
      <c r="AB144" s="61"/>
      <c r="AC144" s="61"/>
      <c r="AD144" s="62"/>
      <c r="AE144" s="62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</row>
    <row r="145" spans="1:77" x14ac:dyDescent="0.3">
      <c r="A145" s="39"/>
      <c r="B145" s="42"/>
      <c r="C145" s="42"/>
      <c r="D145" s="75"/>
      <c r="E145" s="75"/>
      <c r="F145" s="76"/>
      <c r="G145" s="47"/>
      <c r="H145" s="47"/>
      <c r="I145" s="75"/>
      <c r="J145" s="76"/>
      <c r="K145" s="76"/>
      <c r="L145" s="75"/>
      <c r="M145" s="49"/>
      <c r="N145" s="76"/>
      <c r="O145" s="49"/>
      <c r="P145" s="77"/>
      <c r="Q145" s="53"/>
      <c r="R145" s="54"/>
      <c r="S145" s="55"/>
      <c r="T145" s="56"/>
      <c r="U145" s="56"/>
      <c r="V145" s="42"/>
      <c r="W145" s="57"/>
      <c r="X145" s="58"/>
      <c r="Y145" s="75"/>
      <c r="Z145" s="59"/>
      <c r="AA145" s="61"/>
      <c r="AB145" s="61"/>
      <c r="AC145" s="61"/>
      <c r="AD145" s="62"/>
      <c r="AE145" s="62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</row>
    <row r="146" spans="1:77" x14ac:dyDescent="0.3">
      <c r="A146" s="39"/>
      <c r="B146" s="42"/>
      <c r="C146" s="42"/>
      <c r="D146" s="75"/>
      <c r="E146" s="75"/>
      <c r="F146" s="76"/>
      <c r="G146" s="47"/>
      <c r="H146" s="47"/>
      <c r="I146" s="75"/>
      <c r="J146" s="76"/>
      <c r="K146" s="76"/>
      <c r="L146" s="75"/>
      <c r="M146" s="49"/>
      <c r="N146" s="76"/>
      <c r="O146" s="49"/>
      <c r="P146" s="77"/>
      <c r="Q146" s="53"/>
      <c r="R146" s="54"/>
      <c r="S146" s="55"/>
      <c r="T146" s="56"/>
      <c r="U146" s="56"/>
      <c r="V146" s="42"/>
      <c r="W146" s="57"/>
      <c r="X146" s="58"/>
      <c r="Y146" s="75"/>
      <c r="Z146" s="59"/>
      <c r="AA146" s="61"/>
      <c r="AB146" s="61"/>
      <c r="AC146" s="61"/>
      <c r="AD146" s="62"/>
      <c r="AE146" s="62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</row>
    <row r="147" spans="1:77" x14ac:dyDescent="0.3">
      <c r="A147" s="39"/>
      <c r="B147" s="42"/>
      <c r="C147" s="42"/>
      <c r="D147" s="75"/>
      <c r="E147" s="75"/>
      <c r="F147" s="76"/>
      <c r="G147" s="47"/>
      <c r="H147" s="47"/>
      <c r="I147" s="75"/>
      <c r="J147" s="76"/>
      <c r="K147" s="76"/>
      <c r="L147" s="75"/>
      <c r="M147" s="49"/>
      <c r="N147" s="76"/>
      <c r="O147" s="49"/>
      <c r="P147" s="77"/>
      <c r="Q147" s="53"/>
      <c r="R147" s="54"/>
      <c r="S147" s="55"/>
      <c r="T147" s="56"/>
      <c r="U147" s="56"/>
      <c r="V147" s="42"/>
      <c r="W147" s="57"/>
      <c r="X147" s="58"/>
      <c r="Y147" s="75"/>
      <c r="Z147" s="59"/>
      <c r="AA147" s="61"/>
      <c r="AB147" s="61"/>
      <c r="AC147" s="61"/>
      <c r="AD147" s="62"/>
      <c r="AE147" s="62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</row>
    <row r="148" spans="1:77" x14ac:dyDescent="0.3">
      <c r="A148" s="39"/>
      <c r="B148" s="42"/>
      <c r="C148" s="42"/>
      <c r="D148" s="75"/>
      <c r="E148" s="75"/>
      <c r="F148" s="76"/>
      <c r="G148" s="47"/>
      <c r="H148" s="47"/>
      <c r="I148" s="75"/>
      <c r="J148" s="76"/>
      <c r="K148" s="76"/>
      <c r="L148" s="75"/>
      <c r="M148" s="49"/>
      <c r="N148" s="76"/>
      <c r="O148" s="49"/>
      <c r="P148" s="77"/>
      <c r="Q148" s="53"/>
      <c r="R148" s="54"/>
      <c r="S148" s="55"/>
      <c r="T148" s="56"/>
      <c r="U148" s="56"/>
      <c r="V148" s="42"/>
      <c r="W148" s="57"/>
      <c r="X148" s="58"/>
      <c r="Y148" s="75"/>
      <c r="Z148" s="59"/>
      <c r="AA148" s="61"/>
      <c r="AB148" s="61"/>
      <c r="AC148" s="61"/>
      <c r="AD148" s="62"/>
      <c r="AE148" s="62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</row>
    <row r="149" spans="1:77" x14ac:dyDescent="0.3">
      <c r="A149" s="39"/>
      <c r="B149" s="42"/>
      <c r="C149" s="42"/>
      <c r="D149" s="75"/>
      <c r="E149" s="75"/>
      <c r="F149" s="76"/>
      <c r="G149" s="47"/>
      <c r="H149" s="47"/>
      <c r="I149" s="75"/>
      <c r="J149" s="76"/>
      <c r="K149" s="76"/>
      <c r="L149" s="75"/>
      <c r="M149" s="49"/>
      <c r="N149" s="76"/>
      <c r="O149" s="49"/>
      <c r="P149" s="77"/>
      <c r="Q149" s="53"/>
      <c r="R149" s="54"/>
      <c r="S149" s="55"/>
      <c r="T149" s="56"/>
      <c r="U149" s="56"/>
      <c r="V149" s="42"/>
      <c r="W149" s="57"/>
      <c r="X149" s="58"/>
      <c r="Y149" s="75"/>
      <c r="Z149" s="59"/>
      <c r="AA149" s="61"/>
      <c r="AB149" s="61"/>
      <c r="AC149" s="61"/>
      <c r="AD149" s="62"/>
      <c r="AE149" s="62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</row>
    <row r="150" spans="1:77" x14ac:dyDescent="0.3">
      <c r="A150" s="39"/>
      <c r="B150" s="42"/>
      <c r="C150" s="42"/>
      <c r="D150" s="75"/>
      <c r="E150" s="75"/>
      <c r="F150" s="76"/>
      <c r="G150" s="47"/>
      <c r="H150" s="47"/>
      <c r="I150" s="75"/>
      <c r="J150" s="76"/>
      <c r="K150" s="76"/>
      <c r="L150" s="75"/>
      <c r="M150" s="49"/>
      <c r="N150" s="76"/>
      <c r="O150" s="49"/>
      <c r="P150" s="77"/>
      <c r="Q150" s="53"/>
      <c r="R150" s="54"/>
      <c r="S150" s="55"/>
      <c r="T150" s="56"/>
      <c r="U150" s="56"/>
      <c r="V150" s="42"/>
      <c r="W150" s="57"/>
      <c r="X150" s="58"/>
      <c r="Y150" s="75"/>
      <c r="Z150" s="59"/>
      <c r="AA150" s="61"/>
      <c r="AB150" s="61"/>
      <c r="AC150" s="61"/>
      <c r="AD150" s="62"/>
      <c r="AE150" s="62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</row>
    <row r="151" spans="1:77" x14ac:dyDescent="0.3">
      <c r="A151" s="39"/>
      <c r="B151" s="42"/>
      <c r="C151" s="42"/>
      <c r="D151" s="75"/>
      <c r="E151" s="75"/>
      <c r="F151" s="76"/>
      <c r="G151" s="47"/>
      <c r="H151" s="47"/>
      <c r="I151" s="75"/>
      <c r="J151" s="76"/>
      <c r="K151" s="76"/>
      <c r="L151" s="75"/>
      <c r="M151" s="49"/>
      <c r="N151" s="76"/>
      <c r="O151" s="49"/>
      <c r="P151" s="77"/>
      <c r="Q151" s="53"/>
      <c r="R151" s="54"/>
      <c r="S151" s="55"/>
      <c r="T151" s="56"/>
      <c r="U151" s="56"/>
      <c r="V151" s="42"/>
      <c r="W151" s="57"/>
      <c r="X151" s="58"/>
      <c r="Y151" s="75"/>
      <c r="Z151" s="59"/>
      <c r="AA151" s="61"/>
      <c r="AB151" s="61"/>
      <c r="AC151" s="61"/>
      <c r="AD151" s="62"/>
      <c r="AE151" s="62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</row>
    <row r="152" spans="1:77" x14ac:dyDescent="0.3">
      <c r="A152" s="39"/>
      <c r="B152" s="42"/>
      <c r="C152" s="42"/>
      <c r="D152" s="75"/>
      <c r="E152" s="75"/>
      <c r="F152" s="76"/>
      <c r="G152" s="47"/>
      <c r="H152" s="47"/>
      <c r="I152" s="75"/>
      <c r="J152" s="76"/>
      <c r="K152" s="76"/>
      <c r="L152" s="75"/>
      <c r="M152" s="49"/>
      <c r="N152" s="76"/>
      <c r="O152" s="49"/>
      <c r="P152" s="77"/>
      <c r="Q152" s="53"/>
      <c r="R152" s="54"/>
      <c r="S152" s="55"/>
      <c r="T152" s="56"/>
      <c r="U152" s="56"/>
      <c r="V152" s="42"/>
      <c r="W152" s="57"/>
      <c r="X152" s="58"/>
      <c r="Y152" s="75"/>
      <c r="Z152" s="59"/>
      <c r="AA152" s="61"/>
      <c r="AB152" s="61"/>
      <c r="AC152" s="61"/>
      <c r="AD152" s="62"/>
      <c r="AE152" s="62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</row>
    <row r="153" spans="1:77" x14ac:dyDescent="0.3">
      <c r="A153" s="39"/>
      <c r="B153" s="42"/>
      <c r="C153" s="42"/>
      <c r="D153" s="75"/>
      <c r="E153" s="75"/>
      <c r="F153" s="76"/>
      <c r="G153" s="47"/>
      <c r="H153" s="47"/>
      <c r="I153" s="75"/>
      <c r="J153" s="76"/>
      <c r="K153" s="76"/>
      <c r="L153" s="75"/>
      <c r="M153" s="49"/>
      <c r="N153" s="76"/>
      <c r="O153" s="49"/>
      <c r="P153" s="77"/>
      <c r="Q153" s="53"/>
      <c r="R153" s="54"/>
      <c r="S153" s="55"/>
      <c r="T153" s="56"/>
      <c r="U153" s="56"/>
      <c r="V153" s="42"/>
      <c r="W153" s="57"/>
      <c r="X153" s="58"/>
      <c r="Y153" s="75"/>
      <c r="Z153" s="59"/>
      <c r="AA153" s="61"/>
      <c r="AB153" s="61"/>
      <c r="AC153" s="61"/>
      <c r="AD153" s="62"/>
      <c r="AE153" s="62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</row>
    <row r="154" spans="1:77" x14ac:dyDescent="0.3">
      <c r="A154" s="39"/>
      <c r="B154" s="42"/>
      <c r="C154" s="42"/>
      <c r="D154" s="75"/>
      <c r="E154" s="75"/>
      <c r="F154" s="76"/>
      <c r="G154" s="47"/>
      <c r="H154" s="47"/>
      <c r="I154" s="75"/>
      <c r="J154" s="76"/>
      <c r="K154" s="76"/>
      <c r="L154" s="75"/>
      <c r="M154" s="49"/>
      <c r="N154" s="76"/>
      <c r="O154" s="49"/>
      <c r="P154" s="77"/>
      <c r="Q154" s="53"/>
      <c r="R154" s="54"/>
      <c r="S154" s="55"/>
      <c r="T154" s="56"/>
      <c r="U154" s="56"/>
      <c r="V154" s="42"/>
      <c r="W154" s="57"/>
      <c r="X154" s="58"/>
      <c r="Y154" s="75"/>
      <c r="Z154" s="59"/>
      <c r="AA154" s="61"/>
      <c r="AB154" s="61"/>
      <c r="AC154" s="61"/>
      <c r="AD154" s="62"/>
      <c r="AE154" s="62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</row>
    <row r="155" spans="1:77" x14ac:dyDescent="0.3">
      <c r="A155" s="39"/>
      <c r="B155" s="42"/>
      <c r="C155" s="42"/>
      <c r="D155" s="75"/>
      <c r="E155" s="75"/>
      <c r="F155" s="76"/>
      <c r="G155" s="47"/>
      <c r="H155" s="47"/>
      <c r="I155" s="75"/>
      <c r="J155" s="76"/>
      <c r="K155" s="76"/>
      <c r="L155" s="75"/>
      <c r="M155" s="49"/>
      <c r="N155" s="76"/>
      <c r="O155" s="49"/>
      <c r="P155" s="77"/>
      <c r="Q155" s="53"/>
      <c r="R155" s="54"/>
      <c r="S155" s="55"/>
      <c r="T155" s="56"/>
      <c r="U155" s="56"/>
      <c r="V155" s="42"/>
      <c r="W155" s="57"/>
      <c r="X155" s="58"/>
      <c r="Y155" s="75"/>
      <c r="Z155" s="59"/>
      <c r="AA155" s="61"/>
      <c r="AB155" s="61"/>
      <c r="AC155" s="61"/>
      <c r="AD155" s="62"/>
      <c r="AE155" s="62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</row>
    <row r="156" spans="1:77" x14ac:dyDescent="0.3">
      <c r="A156" s="39"/>
      <c r="B156" s="42"/>
      <c r="C156" s="42"/>
      <c r="D156" s="75"/>
      <c r="E156" s="75"/>
      <c r="F156" s="76"/>
      <c r="G156" s="47"/>
      <c r="H156" s="47"/>
      <c r="I156" s="75"/>
      <c r="J156" s="76"/>
      <c r="K156" s="76"/>
      <c r="L156" s="75"/>
      <c r="M156" s="49"/>
      <c r="N156" s="76"/>
      <c r="O156" s="49"/>
      <c r="P156" s="77"/>
      <c r="Q156" s="53"/>
      <c r="R156" s="54"/>
      <c r="S156" s="55"/>
      <c r="T156" s="56"/>
      <c r="U156" s="56"/>
      <c r="V156" s="42"/>
      <c r="W156" s="57"/>
      <c r="X156" s="58"/>
      <c r="Y156" s="75"/>
      <c r="Z156" s="59"/>
      <c r="AA156" s="61"/>
      <c r="AB156" s="61"/>
      <c r="AC156" s="61"/>
      <c r="AD156" s="62"/>
      <c r="AE156" s="62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</row>
    <row r="157" spans="1:77" x14ac:dyDescent="0.3">
      <c r="A157" s="39"/>
      <c r="B157" s="42"/>
      <c r="C157" s="42"/>
      <c r="D157" s="75"/>
      <c r="E157" s="75"/>
      <c r="F157" s="76"/>
      <c r="G157" s="47"/>
      <c r="H157" s="47"/>
      <c r="I157" s="75"/>
      <c r="J157" s="76"/>
      <c r="K157" s="76"/>
      <c r="L157" s="75"/>
      <c r="M157" s="49"/>
      <c r="N157" s="76"/>
      <c r="O157" s="49"/>
      <c r="P157" s="77"/>
      <c r="Q157" s="53"/>
      <c r="R157" s="54"/>
      <c r="S157" s="55"/>
      <c r="T157" s="56"/>
      <c r="U157" s="56"/>
      <c r="V157" s="42"/>
      <c r="W157" s="57"/>
      <c r="X157" s="58"/>
      <c r="Y157" s="75"/>
      <c r="Z157" s="59"/>
      <c r="AA157" s="61"/>
      <c r="AB157" s="61"/>
      <c r="AC157" s="61"/>
      <c r="AD157" s="62"/>
      <c r="AE157" s="62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</row>
    <row r="158" spans="1:77" x14ac:dyDescent="0.3">
      <c r="A158" s="39"/>
      <c r="B158" s="42"/>
      <c r="C158" s="42"/>
      <c r="D158" s="75"/>
      <c r="E158" s="75"/>
      <c r="F158" s="76"/>
      <c r="G158" s="47"/>
      <c r="H158" s="47"/>
      <c r="I158" s="75"/>
      <c r="J158" s="76"/>
      <c r="K158" s="76"/>
      <c r="L158" s="75"/>
      <c r="M158" s="49"/>
      <c r="N158" s="76"/>
      <c r="O158" s="49"/>
      <c r="P158" s="77"/>
      <c r="Q158" s="53"/>
      <c r="R158" s="54"/>
      <c r="S158" s="55"/>
      <c r="T158" s="56"/>
      <c r="U158" s="56"/>
      <c r="V158" s="42"/>
      <c r="W158" s="57"/>
      <c r="X158" s="58"/>
      <c r="Y158" s="75"/>
      <c r="Z158" s="59"/>
      <c r="AA158" s="61"/>
      <c r="AB158" s="61"/>
      <c r="AC158" s="61"/>
      <c r="AD158" s="62"/>
      <c r="AE158" s="62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</row>
    <row r="159" spans="1:77" x14ac:dyDescent="0.3">
      <c r="A159" s="39"/>
      <c r="B159" s="42"/>
      <c r="C159" s="42"/>
      <c r="D159" s="75"/>
      <c r="E159" s="75"/>
      <c r="F159" s="76"/>
      <c r="G159" s="47"/>
      <c r="H159" s="47"/>
      <c r="I159" s="75"/>
      <c r="J159" s="76"/>
      <c r="K159" s="76"/>
      <c r="L159" s="75"/>
      <c r="M159" s="49"/>
      <c r="N159" s="76"/>
      <c r="O159" s="49"/>
      <c r="P159" s="77"/>
      <c r="Q159" s="53"/>
      <c r="R159" s="54"/>
      <c r="S159" s="55"/>
      <c r="T159" s="56"/>
      <c r="U159" s="56"/>
      <c r="V159" s="42"/>
      <c r="W159" s="57"/>
      <c r="X159" s="58"/>
      <c r="Y159" s="75"/>
      <c r="Z159" s="59"/>
      <c r="AA159" s="61"/>
      <c r="AB159" s="61"/>
      <c r="AC159" s="61"/>
      <c r="AD159" s="62"/>
      <c r="AE159" s="62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</row>
    <row r="160" spans="1:77" x14ac:dyDescent="0.3">
      <c r="A160" s="39"/>
      <c r="B160" s="42"/>
      <c r="C160" s="42"/>
      <c r="D160" s="75"/>
      <c r="E160" s="75"/>
      <c r="F160" s="76"/>
      <c r="G160" s="47"/>
      <c r="H160" s="47"/>
      <c r="I160" s="75"/>
      <c r="J160" s="76"/>
      <c r="K160" s="76"/>
      <c r="L160" s="75"/>
      <c r="M160" s="49"/>
      <c r="N160" s="76"/>
      <c r="O160" s="49"/>
      <c r="P160" s="77"/>
      <c r="Q160" s="53"/>
      <c r="R160" s="54"/>
      <c r="S160" s="55"/>
      <c r="T160" s="56"/>
      <c r="U160" s="56"/>
      <c r="V160" s="42"/>
      <c r="W160" s="57"/>
      <c r="X160" s="58"/>
      <c r="Y160" s="75"/>
      <c r="Z160" s="59"/>
      <c r="AA160" s="61"/>
      <c r="AB160" s="61"/>
      <c r="AC160" s="61"/>
      <c r="AD160" s="62"/>
      <c r="AE160" s="62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</row>
    <row r="161" spans="1:77" x14ac:dyDescent="0.3">
      <c r="A161" s="39"/>
      <c r="B161" s="42"/>
      <c r="C161" s="42"/>
      <c r="D161" s="75"/>
      <c r="E161" s="75"/>
      <c r="F161" s="76"/>
      <c r="G161" s="47"/>
      <c r="H161" s="47"/>
      <c r="I161" s="75"/>
      <c r="J161" s="76"/>
      <c r="K161" s="76"/>
      <c r="L161" s="75"/>
      <c r="M161" s="49"/>
      <c r="N161" s="76"/>
      <c r="O161" s="49"/>
      <c r="P161" s="77"/>
      <c r="Q161" s="53"/>
      <c r="R161" s="54"/>
      <c r="S161" s="55"/>
      <c r="T161" s="56"/>
      <c r="U161" s="56"/>
      <c r="V161" s="42"/>
      <c r="W161" s="57"/>
      <c r="X161" s="58"/>
      <c r="Y161" s="75"/>
      <c r="Z161" s="59"/>
      <c r="AA161" s="61"/>
      <c r="AB161" s="61"/>
      <c r="AC161" s="61"/>
      <c r="AD161" s="62"/>
      <c r="AE161" s="62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</row>
    <row r="162" spans="1:77" x14ac:dyDescent="0.3">
      <c r="A162" s="39"/>
      <c r="B162" s="42"/>
      <c r="C162" s="42"/>
      <c r="D162" s="75"/>
      <c r="E162" s="75"/>
      <c r="F162" s="76"/>
      <c r="G162" s="47"/>
      <c r="H162" s="47"/>
      <c r="I162" s="75"/>
      <c r="J162" s="76"/>
      <c r="K162" s="76"/>
      <c r="L162" s="75"/>
      <c r="M162" s="49"/>
      <c r="N162" s="76"/>
      <c r="O162" s="49"/>
      <c r="P162" s="77"/>
      <c r="Q162" s="53"/>
      <c r="R162" s="54"/>
      <c r="S162" s="55"/>
      <c r="T162" s="56"/>
      <c r="U162" s="56"/>
      <c r="V162" s="42"/>
      <c r="W162" s="57"/>
      <c r="X162" s="58"/>
      <c r="Y162" s="75"/>
      <c r="Z162" s="59"/>
      <c r="AA162" s="61"/>
      <c r="AB162" s="61"/>
      <c r="AC162" s="61"/>
      <c r="AD162" s="62"/>
      <c r="AE162" s="62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</row>
    <row r="163" spans="1:77" x14ac:dyDescent="0.3">
      <c r="A163" s="39"/>
      <c r="B163" s="42"/>
      <c r="C163" s="42"/>
      <c r="D163" s="75"/>
      <c r="E163" s="75"/>
      <c r="F163" s="76"/>
      <c r="G163" s="47"/>
      <c r="H163" s="47"/>
      <c r="I163" s="75"/>
      <c r="J163" s="76"/>
      <c r="K163" s="76"/>
      <c r="L163" s="75"/>
      <c r="M163" s="49"/>
      <c r="N163" s="76"/>
      <c r="O163" s="49"/>
      <c r="P163" s="77"/>
      <c r="Q163" s="53"/>
      <c r="R163" s="54"/>
      <c r="S163" s="55"/>
      <c r="T163" s="56"/>
      <c r="U163" s="56"/>
      <c r="V163" s="42"/>
      <c r="W163" s="57"/>
      <c r="X163" s="58"/>
      <c r="Y163" s="75"/>
      <c r="Z163" s="59"/>
      <c r="AA163" s="61"/>
      <c r="AB163" s="61"/>
      <c r="AC163" s="61"/>
      <c r="AD163" s="62"/>
      <c r="AE163" s="62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</row>
    <row r="164" spans="1:77" x14ac:dyDescent="0.3">
      <c r="A164" s="39"/>
      <c r="B164" s="42"/>
      <c r="C164" s="42"/>
      <c r="D164" s="75"/>
      <c r="E164" s="75"/>
      <c r="F164" s="76"/>
      <c r="G164" s="47"/>
      <c r="H164" s="47"/>
      <c r="I164" s="75"/>
      <c r="J164" s="76"/>
      <c r="K164" s="76"/>
      <c r="L164" s="75"/>
      <c r="M164" s="49"/>
      <c r="N164" s="76"/>
      <c r="O164" s="49"/>
      <c r="P164" s="77"/>
      <c r="Q164" s="53"/>
      <c r="R164" s="54"/>
      <c r="S164" s="55"/>
      <c r="T164" s="56"/>
      <c r="U164" s="56"/>
      <c r="V164" s="42"/>
      <c r="W164" s="57"/>
      <c r="X164" s="58"/>
      <c r="Y164" s="75"/>
      <c r="Z164" s="59"/>
      <c r="AA164" s="61"/>
      <c r="AB164" s="61"/>
      <c r="AC164" s="61"/>
      <c r="AD164" s="62"/>
      <c r="AE164" s="62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</row>
    <row r="165" spans="1:77" x14ac:dyDescent="0.3">
      <c r="A165" s="39"/>
      <c r="B165" s="42"/>
      <c r="C165" s="42"/>
      <c r="D165" s="75"/>
      <c r="E165" s="75"/>
      <c r="F165" s="76"/>
      <c r="G165" s="47"/>
      <c r="H165" s="47"/>
      <c r="I165" s="75"/>
      <c r="J165" s="76"/>
      <c r="K165" s="76"/>
      <c r="L165" s="75"/>
      <c r="M165" s="49"/>
      <c r="N165" s="76"/>
      <c r="O165" s="49"/>
      <c r="P165" s="77"/>
      <c r="Q165" s="53"/>
      <c r="R165" s="54"/>
      <c r="S165" s="55"/>
      <c r="T165" s="56"/>
      <c r="U165" s="56"/>
      <c r="V165" s="42"/>
      <c r="W165" s="57"/>
      <c r="X165" s="58"/>
      <c r="Y165" s="75"/>
      <c r="Z165" s="59"/>
      <c r="AA165" s="61"/>
      <c r="AB165" s="61"/>
      <c r="AC165" s="61"/>
      <c r="AD165" s="62"/>
      <c r="AE165" s="62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</row>
    <row r="166" spans="1:77" x14ac:dyDescent="0.3">
      <c r="A166" s="39"/>
      <c r="B166" s="42"/>
      <c r="C166" s="42"/>
      <c r="D166" s="75"/>
      <c r="E166" s="75"/>
      <c r="F166" s="76"/>
      <c r="G166" s="47"/>
      <c r="H166" s="47"/>
      <c r="I166" s="75"/>
      <c r="J166" s="76"/>
      <c r="K166" s="76"/>
      <c r="L166" s="75"/>
      <c r="M166" s="49"/>
      <c r="N166" s="76"/>
      <c r="O166" s="49"/>
      <c r="P166" s="77"/>
      <c r="Q166" s="53"/>
      <c r="R166" s="54"/>
      <c r="S166" s="55"/>
      <c r="T166" s="56"/>
      <c r="U166" s="56"/>
      <c r="V166" s="42"/>
      <c r="W166" s="57"/>
      <c r="X166" s="58"/>
      <c r="Y166" s="75"/>
      <c r="Z166" s="59"/>
      <c r="AA166" s="61"/>
      <c r="AB166" s="61"/>
      <c r="AC166" s="61"/>
      <c r="AD166" s="62"/>
      <c r="AE166" s="62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</row>
    <row r="167" spans="1:77" x14ac:dyDescent="0.3">
      <c r="A167" s="39"/>
      <c r="B167" s="42"/>
      <c r="C167" s="42"/>
      <c r="D167" s="75"/>
      <c r="E167" s="75"/>
      <c r="F167" s="76"/>
      <c r="G167" s="47"/>
      <c r="H167" s="47"/>
      <c r="I167" s="75"/>
      <c r="J167" s="76"/>
      <c r="K167" s="76"/>
      <c r="L167" s="75"/>
      <c r="M167" s="49"/>
      <c r="N167" s="76"/>
      <c r="O167" s="49"/>
      <c r="P167" s="77"/>
      <c r="Q167" s="53"/>
      <c r="R167" s="54"/>
      <c r="S167" s="55"/>
      <c r="T167" s="56"/>
      <c r="U167" s="56"/>
      <c r="V167" s="42"/>
      <c r="W167" s="57"/>
      <c r="X167" s="58"/>
      <c r="Y167" s="75"/>
      <c r="Z167" s="59"/>
      <c r="AA167" s="61"/>
      <c r="AB167" s="61"/>
      <c r="AC167" s="61"/>
      <c r="AD167" s="62"/>
      <c r="AE167" s="62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</row>
    <row r="168" spans="1:77" x14ac:dyDescent="0.3">
      <c r="A168" s="39"/>
      <c r="B168" s="42"/>
      <c r="C168" s="42"/>
      <c r="D168" s="75"/>
      <c r="E168" s="75"/>
      <c r="F168" s="76"/>
      <c r="G168" s="47"/>
      <c r="H168" s="47"/>
      <c r="I168" s="75"/>
      <c r="J168" s="76"/>
      <c r="K168" s="76"/>
      <c r="L168" s="75"/>
      <c r="M168" s="49"/>
      <c r="N168" s="76"/>
      <c r="O168" s="49"/>
      <c r="P168" s="77"/>
      <c r="Q168" s="53"/>
      <c r="R168" s="54"/>
      <c r="S168" s="55"/>
      <c r="T168" s="56"/>
      <c r="U168" s="56"/>
      <c r="V168" s="42"/>
      <c r="W168" s="57"/>
      <c r="X168" s="58"/>
      <c r="Y168" s="75"/>
      <c r="Z168" s="59"/>
      <c r="AA168" s="61"/>
      <c r="AB168" s="61"/>
      <c r="AC168" s="61"/>
      <c r="AD168" s="62"/>
      <c r="AE168" s="62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</row>
    <row r="169" spans="1:77" x14ac:dyDescent="0.3">
      <c r="A169" s="39"/>
      <c r="B169" s="42"/>
      <c r="C169" s="42"/>
      <c r="D169" s="75"/>
      <c r="E169" s="75"/>
      <c r="F169" s="76"/>
      <c r="G169" s="47"/>
      <c r="H169" s="47"/>
      <c r="I169" s="75"/>
      <c r="J169" s="76"/>
      <c r="K169" s="76"/>
      <c r="L169" s="75"/>
      <c r="M169" s="49"/>
      <c r="N169" s="76"/>
      <c r="O169" s="49"/>
      <c r="P169" s="77"/>
      <c r="Q169" s="53"/>
      <c r="R169" s="54"/>
      <c r="S169" s="55"/>
      <c r="T169" s="56"/>
      <c r="U169" s="56"/>
      <c r="V169" s="42"/>
      <c r="W169" s="57"/>
      <c r="X169" s="58"/>
      <c r="Y169" s="75"/>
      <c r="Z169" s="59"/>
      <c r="AA169" s="61"/>
      <c r="AB169" s="61"/>
      <c r="AC169" s="61"/>
      <c r="AD169" s="62"/>
      <c r="AE169" s="62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</row>
    <row r="170" spans="1:77" x14ac:dyDescent="0.3">
      <c r="A170" s="39"/>
      <c r="B170" s="42"/>
      <c r="C170" s="42"/>
      <c r="D170" s="75"/>
      <c r="E170" s="75"/>
      <c r="F170" s="76"/>
      <c r="G170" s="47"/>
      <c r="H170" s="47"/>
      <c r="I170" s="75"/>
      <c r="J170" s="76"/>
      <c r="K170" s="76"/>
      <c r="L170" s="75"/>
      <c r="M170" s="49"/>
      <c r="N170" s="76"/>
      <c r="O170" s="49"/>
      <c r="P170" s="77"/>
      <c r="Q170" s="53"/>
      <c r="R170" s="54"/>
      <c r="S170" s="55"/>
      <c r="T170" s="56"/>
      <c r="U170" s="56"/>
      <c r="V170" s="42"/>
      <c r="W170" s="57"/>
      <c r="X170" s="58"/>
      <c r="Y170" s="75"/>
      <c r="Z170" s="59"/>
      <c r="AA170" s="61"/>
      <c r="AB170" s="61"/>
      <c r="AC170" s="61"/>
      <c r="AD170" s="62"/>
      <c r="AE170" s="62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</row>
    <row r="171" spans="1:77" x14ac:dyDescent="0.3">
      <c r="A171" s="39"/>
      <c r="B171" s="42"/>
      <c r="C171" s="42"/>
      <c r="D171" s="75"/>
      <c r="E171" s="75"/>
      <c r="F171" s="76"/>
      <c r="G171" s="47"/>
      <c r="H171" s="47"/>
      <c r="I171" s="75"/>
      <c r="J171" s="76"/>
      <c r="K171" s="76"/>
      <c r="L171" s="75"/>
      <c r="M171" s="49"/>
      <c r="N171" s="76"/>
      <c r="O171" s="49"/>
      <c r="P171" s="77"/>
      <c r="Q171" s="53"/>
      <c r="R171" s="54"/>
      <c r="S171" s="55"/>
      <c r="T171" s="56"/>
      <c r="U171" s="56"/>
      <c r="V171" s="42"/>
      <c r="W171" s="57"/>
      <c r="X171" s="58"/>
      <c r="Y171" s="75"/>
      <c r="Z171" s="59"/>
      <c r="AA171" s="61"/>
      <c r="AB171" s="61"/>
      <c r="AC171" s="61"/>
      <c r="AD171" s="62"/>
      <c r="AE171" s="62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</row>
    <row r="172" spans="1:77" x14ac:dyDescent="0.3">
      <c r="A172" s="39"/>
      <c r="B172" s="42"/>
      <c r="C172" s="42"/>
      <c r="D172" s="75"/>
      <c r="E172" s="75"/>
      <c r="F172" s="76"/>
      <c r="G172" s="47"/>
      <c r="H172" s="47"/>
      <c r="I172" s="75"/>
      <c r="J172" s="76"/>
      <c r="K172" s="76"/>
      <c r="L172" s="75"/>
      <c r="M172" s="49"/>
      <c r="N172" s="76"/>
      <c r="O172" s="49"/>
      <c r="P172" s="77"/>
      <c r="Q172" s="53"/>
      <c r="R172" s="54"/>
      <c r="S172" s="55"/>
      <c r="T172" s="56"/>
      <c r="U172" s="56"/>
      <c r="V172" s="42"/>
      <c r="W172" s="57"/>
      <c r="X172" s="58"/>
      <c r="Y172" s="75"/>
      <c r="Z172" s="59"/>
      <c r="AA172" s="61"/>
      <c r="AB172" s="61"/>
      <c r="AC172" s="61"/>
      <c r="AD172" s="62"/>
      <c r="AE172" s="62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</row>
    <row r="173" spans="1:77" x14ac:dyDescent="0.3">
      <c r="A173" s="39"/>
      <c r="B173" s="42"/>
      <c r="C173" s="42"/>
      <c r="D173" s="75"/>
      <c r="E173" s="75"/>
      <c r="F173" s="76"/>
      <c r="G173" s="47"/>
      <c r="H173" s="47"/>
      <c r="I173" s="75"/>
      <c r="J173" s="76"/>
      <c r="K173" s="76"/>
      <c r="L173" s="75"/>
      <c r="M173" s="49"/>
      <c r="N173" s="76"/>
      <c r="O173" s="49"/>
      <c r="P173" s="77"/>
      <c r="Q173" s="53"/>
      <c r="R173" s="54"/>
      <c r="S173" s="55"/>
      <c r="T173" s="56"/>
      <c r="U173" s="56"/>
      <c r="V173" s="42"/>
      <c r="W173" s="57"/>
      <c r="X173" s="58"/>
      <c r="Y173" s="75"/>
      <c r="Z173" s="59"/>
      <c r="AA173" s="61"/>
      <c r="AB173" s="61"/>
      <c r="AC173" s="61"/>
      <c r="AD173" s="62"/>
      <c r="AE173" s="62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</row>
    <row r="174" spans="1:77" x14ac:dyDescent="0.3">
      <c r="A174" s="39"/>
      <c r="B174" s="42"/>
      <c r="C174" s="42"/>
      <c r="D174" s="75"/>
      <c r="E174" s="75"/>
      <c r="F174" s="76"/>
      <c r="G174" s="47"/>
      <c r="H174" s="47"/>
      <c r="I174" s="75"/>
      <c r="J174" s="76"/>
      <c r="K174" s="76"/>
      <c r="L174" s="75"/>
      <c r="M174" s="49"/>
      <c r="N174" s="76"/>
      <c r="O174" s="49"/>
      <c r="P174" s="77"/>
      <c r="Q174" s="53"/>
      <c r="R174" s="54"/>
      <c r="S174" s="55"/>
      <c r="T174" s="56"/>
      <c r="U174" s="56"/>
      <c r="V174" s="42"/>
      <c r="W174" s="57"/>
      <c r="X174" s="58"/>
      <c r="Y174" s="75"/>
      <c r="Z174" s="59"/>
      <c r="AA174" s="61"/>
      <c r="AB174" s="61"/>
      <c r="AC174" s="61"/>
      <c r="AD174" s="62"/>
      <c r="AE174" s="62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</row>
    <row r="175" spans="1:77" x14ac:dyDescent="0.3">
      <c r="A175" s="39"/>
      <c r="B175" s="42"/>
      <c r="C175" s="42"/>
      <c r="D175" s="75"/>
      <c r="E175" s="75"/>
      <c r="F175" s="76"/>
      <c r="G175" s="47"/>
      <c r="H175" s="47"/>
      <c r="I175" s="75"/>
      <c r="J175" s="76"/>
      <c r="K175" s="76"/>
      <c r="L175" s="75"/>
      <c r="M175" s="49"/>
      <c r="N175" s="76"/>
      <c r="O175" s="49"/>
      <c r="P175" s="77"/>
      <c r="Q175" s="53"/>
      <c r="R175" s="54"/>
      <c r="S175" s="55"/>
      <c r="T175" s="56"/>
      <c r="U175" s="56"/>
      <c r="V175" s="42"/>
      <c r="W175" s="57"/>
      <c r="X175" s="58"/>
      <c r="Y175" s="75"/>
      <c r="Z175" s="59"/>
      <c r="AA175" s="61"/>
      <c r="AB175" s="61"/>
      <c r="AC175" s="61"/>
      <c r="AD175" s="62"/>
      <c r="AE175" s="62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</row>
    <row r="176" spans="1:77" x14ac:dyDescent="0.3">
      <c r="A176" s="39"/>
      <c r="B176" s="42"/>
      <c r="C176" s="42"/>
      <c r="D176" s="75"/>
      <c r="E176" s="75"/>
      <c r="F176" s="76"/>
      <c r="G176" s="47"/>
      <c r="H176" s="47"/>
      <c r="I176" s="75"/>
      <c r="J176" s="76"/>
      <c r="K176" s="76"/>
      <c r="L176" s="75"/>
      <c r="M176" s="49"/>
      <c r="N176" s="76"/>
      <c r="O176" s="49"/>
      <c r="P176" s="77"/>
      <c r="Q176" s="53"/>
      <c r="R176" s="54"/>
      <c r="S176" s="55"/>
      <c r="T176" s="56"/>
      <c r="U176" s="56"/>
      <c r="V176" s="42"/>
      <c r="W176" s="57"/>
      <c r="X176" s="58"/>
      <c r="Y176" s="75"/>
      <c r="Z176" s="59"/>
      <c r="AA176" s="61"/>
      <c r="AB176" s="61"/>
      <c r="AC176" s="61"/>
      <c r="AD176" s="62"/>
      <c r="AE176" s="62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</row>
    <row r="177" spans="1:77" x14ac:dyDescent="0.3">
      <c r="A177" s="39"/>
      <c r="B177" s="42"/>
      <c r="C177" s="42"/>
      <c r="D177" s="75"/>
      <c r="E177" s="75"/>
      <c r="F177" s="76"/>
      <c r="G177" s="47"/>
      <c r="H177" s="47"/>
      <c r="I177" s="75"/>
      <c r="J177" s="76"/>
      <c r="K177" s="76"/>
      <c r="L177" s="75"/>
      <c r="M177" s="49"/>
      <c r="N177" s="76"/>
      <c r="O177" s="49"/>
      <c r="P177" s="77"/>
      <c r="Q177" s="53"/>
      <c r="R177" s="54"/>
      <c r="S177" s="55"/>
      <c r="T177" s="56"/>
      <c r="U177" s="56"/>
      <c r="V177" s="42"/>
      <c r="W177" s="57"/>
      <c r="X177" s="58"/>
      <c r="Y177" s="75"/>
      <c r="Z177" s="59"/>
      <c r="AA177" s="61"/>
      <c r="AB177" s="61"/>
      <c r="AC177" s="61"/>
      <c r="AD177" s="62"/>
      <c r="AE177" s="62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</row>
    <row r="178" spans="1:77" x14ac:dyDescent="0.3">
      <c r="A178" s="39"/>
      <c r="B178" s="42"/>
      <c r="C178" s="42"/>
      <c r="D178" s="75"/>
      <c r="E178" s="75"/>
      <c r="F178" s="76"/>
      <c r="G178" s="47"/>
      <c r="H178" s="47"/>
      <c r="I178" s="75"/>
      <c r="J178" s="76"/>
      <c r="K178" s="76"/>
      <c r="L178" s="75"/>
      <c r="M178" s="49"/>
      <c r="N178" s="76"/>
      <c r="O178" s="49"/>
      <c r="P178" s="77"/>
      <c r="Q178" s="53"/>
      <c r="R178" s="54"/>
      <c r="S178" s="55"/>
      <c r="T178" s="56"/>
      <c r="U178" s="56"/>
      <c r="V178" s="42"/>
      <c r="W178" s="57"/>
      <c r="X178" s="58"/>
      <c r="Y178" s="75"/>
      <c r="Z178" s="59"/>
      <c r="AA178" s="61"/>
      <c r="AB178" s="61"/>
      <c r="AC178" s="61"/>
      <c r="AD178" s="62"/>
      <c r="AE178" s="62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</row>
    <row r="179" spans="1:77" x14ac:dyDescent="0.3">
      <c r="A179" s="39"/>
      <c r="B179" s="42"/>
      <c r="C179" s="42"/>
      <c r="D179" s="75"/>
      <c r="E179" s="75"/>
      <c r="F179" s="76"/>
      <c r="G179" s="47"/>
      <c r="H179" s="47"/>
      <c r="I179" s="75"/>
      <c r="J179" s="76"/>
      <c r="K179" s="76"/>
      <c r="L179" s="75"/>
      <c r="M179" s="49"/>
      <c r="N179" s="76"/>
      <c r="O179" s="49"/>
      <c r="P179" s="77"/>
      <c r="Q179" s="53"/>
      <c r="R179" s="54"/>
      <c r="S179" s="55"/>
      <c r="T179" s="56"/>
      <c r="U179" s="56"/>
      <c r="V179" s="42"/>
      <c r="W179" s="57"/>
      <c r="X179" s="58"/>
      <c r="Y179" s="75"/>
      <c r="Z179" s="59"/>
      <c r="AA179" s="61"/>
      <c r="AB179" s="61"/>
      <c r="AC179" s="61"/>
      <c r="AD179" s="62"/>
      <c r="AE179" s="62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</row>
    <row r="180" spans="1:77" x14ac:dyDescent="0.3">
      <c r="A180" s="39"/>
      <c r="B180" s="42"/>
      <c r="C180" s="42"/>
      <c r="D180" s="75"/>
      <c r="E180" s="75"/>
      <c r="F180" s="76"/>
      <c r="G180" s="47"/>
      <c r="H180" s="47"/>
      <c r="I180" s="75"/>
      <c r="J180" s="76"/>
      <c r="K180" s="76"/>
      <c r="L180" s="75"/>
      <c r="M180" s="49"/>
      <c r="N180" s="76"/>
      <c r="O180" s="49"/>
      <c r="P180" s="77"/>
      <c r="Q180" s="53"/>
      <c r="R180" s="54"/>
      <c r="S180" s="55"/>
      <c r="T180" s="56"/>
      <c r="U180" s="56"/>
      <c r="V180" s="42"/>
      <c r="W180" s="57"/>
      <c r="X180" s="58"/>
      <c r="Y180" s="75"/>
      <c r="Z180" s="59"/>
      <c r="AA180" s="61"/>
      <c r="AB180" s="61"/>
      <c r="AC180" s="61"/>
      <c r="AD180" s="62"/>
      <c r="AE180" s="62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</row>
    <row r="181" spans="1:77" x14ac:dyDescent="0.3">
      <c r="A181" s="39"/>
      <c r="B181" s="42"/>
      <c r="C181" s="42"/>
      <c r="D181" s="75"/>
      <c r="E181" s="75"/>
      <c r="F181" s="76"/>
      <c r="G181" s="47"/>
      <c r="H181" s="47"/>
      <c r="I181" s="75"/>
      <c r="J181" s="76"/>
      <c r="K181" s="76"/>
      <c r="L181" s="75"/>
      <c r="M181" s="49"/>
      <c r="N181" s="76"/>
      <c r="O181" s="49"/>
      <c r="P181" s="77"/>
      <c r="Q181" s="53"/>
      <c r="R181" s="54"/>
      <c r="S181" s="55"/>
      <c r="T181" s="56"/>
      <c r="U181" s="56"/>
      <c r="V181" s="42"/>
      <c r="W181" s="57"/>
      <c r="X181" s="58"/>
      <c r="Y181" s="75"/>
      <c r="Z181" s="59"/>
      <c r="AA181" s="61"/>
      <c r="AB181" s="61"/>
      <c r="AC181" s="61"/>
      <c r="AD181" s="62"/>
      <c r="AE181" s="62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</row>
    <row r="182" spans="1:77" x14ac:dyDescent="0.3">
      <c r="A182" s="39"/>
      <c r="B182" s="42"/>
      <c r="C182" s="42"/>
      <c r="D182" s="75"/>
      <c r="E182" s="75"/>
      <c r="F182" s="76"/>
      <c r="G182" s="47"/>
      <c r="H182" s="47"/>
      <c r="I182" s="75"/>
      <c r="J182" s="76"/>
      <c r="K182" s="76"/>
      <c r="L182" s="75"/>
      <c r="M182" s="49"/>
      <c r="N182" s="76"/>
      <c r="O182" s="49"/>
      <c r="P182" s="77"/>
      <c r="Q182" s="53"/>
      <c r="R182" s="54"/>
      <c r="S182" s="55"/>
      <c r="T182" s="56"/>
      <c r="U182" s="56"/>
      <c r="V182" s="42"/>
      <c r="W182" s="57"/>
      <c r="X182" s="58"/>
      <c r="Y182" s="75"/>
      <c r="Z182" s="59"/>
      <c r="AA182" s="61"/>
      <c r="AB182" s="61"/>
      <c r="AC182" s="61"/>
      <c r="AD182" s="62"/>
      <c r="AE182" s="62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</row>
    <row r="183" spans="1:77" x14ac:dyDescent="0.3">
      <c r="A183" s="39"/>
      <c r="B183" s="42"/>
      <c r="C183" s="42"/>
      <c r="D183" s="75"/>
      <c r="E183" s="75"/>
      <c r="F183" s="76"/>
      <c r="G183" s="47"/>
      <c r="H183" s="47"/>
      <c r="I183" s="75"/>
      <c r="J183" s="76"/>
      <c r="K183" s="76"/>
      <c r="L183" s="75"/>
      <c r="M183" s="49"/>
      <c r="N183" s="76"/>
      <c r="O183" s="49"/>
      <c r="P183" s="77"/>
      <c r="Q183" s="53"/>
      <c r="R183" s="54"/>
      <c r="S183" s="55"/>
      <c r="T183" s="56"/>
      <c r="U183" s="56"/>
      <c r="V183" s="42"/>
      <c r="W183" s="57"/>
      <c r="X183" s="58"/>
      <c r="Y183" s="75"/>
      <c r="Z183" s="59"/>
      <c r="AA183" s="61"/>
      <c r="AB183" s="61"/>
      <c r="AC183" s="61"/>
      <c r="AD183" s="62"/>
      <c r="AE183" s="62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</row>
    <row r="184" spans="1:77" x14ac:dyDescent="0.3">
      <c r="A184" s="39"/>
      <c r="B184" s="42"/>
      <c r="C184" s="42"/>
      <c r="D184" s="75"/>
      <c r="E184" s="75"/>
      <c r="F184" s="76"/>
      <c r="G184" s="47"/>
      <c r="H184" s="47"/>
      <c r="I184" s="75"/>
      <c r="J184" s="76"/>
      <c r="K184" s="76"/>
      <c r="L184" s="75"/>
      <c r="M184" s="49"/>
      <c r="N184" s="76"/>
      <c r="O184" s="49"/>
      <c r="P184" s="77"/>
      <c r="Q184" s="53"/>
      <c r="R184" s="54"/>
      <c r="S184" s="55"/>
      <c r="T184" s="56"/>
      <c r="U184" s="56"/>
      <c r="V184" s="42"/>
      <c r="W184" s="57"/>
      <c r="X184" s="58"/>
      <c r="Y184" s="75"/>
      <c r="Z184" s="59"/>
      <c r="AA184" s="61"/>
      <c r="AB184" s="61"/>
      <c r="AC184" s="61"/>
      <c r="AD184" s="62"/>
      <c r="AE184" s="62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</row>
    <row r="185" spans="1:77" x14ac:dyDescent="0.3">
      <c r="A185" s="39"/>
      <c r="B185" s="42"/>
      <c r="C185" s="42"/>
      <c r="D185" s="75"/>
      <c r="E185" s="75"/>
      <c r="F185" s="76"/>
      <c r="G185" s="47"/>
      <c r="H185" s="47"/>
      <c r="I185" s="75"/>
      <c r="J185" s="76"/>
      <c r="K185" s="76"/>
      <c r="L185" s="75"/>
      <c r="M185" s="49"/>
      <c r="N185" s="76"/>
      <c r="O185" s="49"/>
      <c r="P185" s="77"/>
      <c r="Q185" s="53"/>
      <c r="R185" s="54"/>
      <c r="S185" s="55"/>
      <c r="T185" s="56"/>
      <c r="U185" s="56"/>
      <c r="V185" s="42"/>
      <c r="W185" s="57"/>
      <c r="X185" s="58"/>
      <c r="Y185" s="75"/>
      <c r="Z185" s="59"/>
      <c r="AA185" s="61"/>
      <c r="AB185" s="61"/>
      <c r="AC185" s="61"/>
      <c r="AD185" s="62"/>
      <c r="AE185" s="62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</row>
    <row r="186" spans="1:77" x14ac:dyDescent="0.3">
      <c r="A186" s="39"/>
      <c r="B186" s="42"/>
      <c r="C186" s="42"/>
      <c r="D186" s="75"/>
      <c r="E186" s="75"/>
      <c r="F186" s="76"/>
      <c r="G186" s="47"/>
      <c r="H186" s="47"/>
      <c r="I186" s="75"/>
      <c r="J186" s="76"/>
      <c r="K186" s="76"/>
      <c r="L186" s="75"/>
      <c r="M186" s="49"/>
      <c r="N186" s="76"/>
      <c r="O186" s="49"/>
      <c r="P186" s="77"/>
      <c r="Q186" s="53"/>
      <c r="R186" s="54"/>
      <c r="S186" s="55"/>
      <c r="T186" s="56"/>
      <c r="U186" s="56"/>
      <c r="V186" s="42"/>
      <c r="W186" s="57"/>
      <c r="X186" s="58"/>
      <c r="Y186" s="75"/>
      <c r="Z186" s="59"/>
      <c r="AA186" s="61"/>
      <c r="AB186" s="61"/>
      <c r="AC186" s="61"/>
      <c r="AD186" s="62"/>
      <c r="AE186" s="62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</row>
    <row r="187" spans="1:77" x14ac:dyDescent="0.3">
      <c r="A187" s="39"/>
      <c r="B187" s="42"/>
      <c r="C187" s="42"/>
      <c r="D187" s="75"/>
      <c r="E187" s="75"/>
      <c r="F187" s="76"/>
      <c r="G187" s="47"/>
      <c r="H187" s="47"/>
      <c r="I187" s="75"/>
      <c r="J187" s="76"/>
      <c r="K187" s="76"/>
      <c r="L187" s="75"/>
      <c r="M187" s="49"/>
      <c r="N187" s="76"/>
      <c r="O187" s="49"/>
      <c r="P187" s="77"/>
      <c r="Q187" s="53"/>
      <c r="R187" s="54"/>
      <c r="S187" s="55"/>
      <c r="T187" s="56"/>
      <c r="U187" s="56"/>
      <c r="V187" s="42"/>
      <c r="W187" s="57"/>
      <c r="X187" s="58"/>
      <c r="Y187" s="75"/>
      <c r="Z187" s="59"/>
      <c r="AA187" s="61"/>
      <c r="AB187" s="61"/>
      <c r="AC187" s="61"/>
      <c r="AD187" s="62"/>
      <c r="AE187" s="62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</row>
    <row r="188" spans="1:77" x14ac:dyDescent="0.3">
      <c r="A188" s="39"/>
      <c r="B188" s="42"/>
      <c r="C188" s="42"/>
      <c r="D188" s="75"/>
      <c r="E188" s="75"/>
      <c r="F188" s="76"/>
      <c r="G188" s="47"/>
      <c r="H188" s="47"/>
      <c r="I188" s="75"/>
      <c r="J188" s="76"/>
      <c r="K188" s="76"/>
      <c r="L188" s="75"/>
      <c r="M188" s="49"/>
      <c r="N188" s="76"/>
      <c r="O188" s="49"/>
      <c r="P188" s="77"/>
      <c r="Q188" s="53"/>
      <c r="R188" s="54"/>
      <c r="S188" s="55"/>
      <c r="T188" s="56"/>
      <c r="U188" s="56"/>
      <c r="V188" s="42"/>
      <c r="W188" s="57"/>
      <c r="X188" s="58"/>
      <c r="Y188" s="75"/>
      <c r="Z188" s="59"/>
      <c r="AA188" s="61"/>
      <c r="AB188" s="61"/>
      <c r="AC188" s="61"/>
      <c r="AD188" s="62"/>
      <c r="AE188" s="62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</row>
    <row r="189" spans="1:77" x14ac:dyDescent="0.3">
      <c r="A189" s="39"/>
      <c r="B189" s="42"/>
      <c r="C189" s="42"/>
      <c r="D189" s="75"/>
      <c r="E189" s="75"/>
      <c r="F189" s="76"/>
      <c r="G189" s="47"/>
      <c r="H189" s="47"/>
      <c r="I189" s="75"/>
      <c r="J189" s="76"/>
      <c r="K189" s="76"/>
      <c r="L189" s="75"/>
      <c r="M189" s="49"/>
      <c r="N189" s="76"/>
      <c r="O189" s="49"/>
      <c r="P189" s="77"/>
      <c r="Q189" s="53"/>
      <c r="R189" s="54"/>
      <c r="S189" s="55"/>
      <c r="T189" s="56"/>
      <c r="U189" s="56"/>
      <c r="V189" s="42"/>
      <c r="W189" s="57"/>
      <c r="X189" s="58"/>
      <c r="Y189" s="75"/>
      <c r="Z189" s="59"/>
      <c r="AA189" s="61"/>
      <c r="AB189" s="61"/>
      <c r="AC189" s="61"/>
      <c r="AD189" s="62"/>
      <c r="AE189" s="62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</row>
    <row r="190" spans="1:77" x14ac:dyDescent="0.3">
      <c r="A190" s="39"/>
      <c r="B190" s="42"/>
      <c r="C190" s="42"/>
      <c r="D190" s="75"/>
      <c r="E190" s="75"/>
      <c r="F190" s="76"/>
      <c r="G190" s="47"/>
      <c r="H190" s="47"/>
      <c r="I190" s="75"/>
      <c r="J190" s="76"/>
      <c r="K190" s="76"/>
      <c r="L190" s="75"/>
      <c r="M190" s="49"/>
      <c r="N190" s="76"/>
      <c r="O190" s="49"/>
      <c r="P190" s="77"/>
      <c r="Q190" s="53"/>
      <c r="R190" s="54"/>
      <c r="S190" s="55"/>
      <c r="T190" s="56"/>
      <c r="U190" s="56"/>
      <c r="V190" s="42"/>
      <c r="W190" s="57"/>
      <c r="X190" s="58"/>
      <c r="Y190" s="75"/>
      <c r="Z190" s="59"/>
      <c r="AA190" s="61"/>
      <c r="AB190" s="61"/>
      <c r="AC190" s="61"/>
      <c r="AD190" s="62"/>
      <c r="AE190" s="62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</row>
    <row r="191" spans="1:77" x14ac:dyDescent="0.3">
      <c r="A191" s="39"/>
      <c r="B191" s="42"/>
      <c r="C191" s="42"/>
      <c r="D191" s="75"/>
      <c r="E191" s="75"/>
      <c r="F191" s="76"/>
      <c r="G191" s="47"/>
      <c r="H191" s="47"/>
      <c r="I191" s="75"/>
      <c r="J191" s="76"/>
      <c r="K191" s="76"/>
      <c r="L191" s="75"/>
      <c r="M191" s="49"/>
      <c r="N191" s="76"/>
      <c r="O191" s="49"/>
      <c r="P191" s="77"/>
      <c r="Q191" s="53"/>
      <c r="R191" s="54"/>
      <c r="S191" s="55"/>
      <c r="T191" s="56"/>
      <c r="U191" s="56"/>
      <c r="V191" s="42"/>
      <c r="W191" s="57"/>
      <c r="X191" s="58"/>
      <c r="Y191" s="75"/>
      <c r="Z191" s="59"/>
      <c r="AA191" s="61"/>
      <c r="AB191" s="61"/>
      <c r="AC191" s="61"/>
      <c r="AD191" s="62"/>
      <c r="AE191" s="62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</row>
    <row r="192" spans="1:77" x14ac:dyDescent="0.3">
      <c r="A192" s="39"/>
      <c r="B192" s="42"/>
      <c r="C192" s="42"/>
      <c r="D192" s="75"/>
      <c r="E192" s="75"/>
      <c r="F192" s="76"/>
      <c r="G192" s="47"/>
      <c r="H192" s="47"/>
      <c r="I192" s="75"/>
      <c r="J192" s="76"/>
      <c r="K192" s="76"/>
      <c r="L192" s="75"/>
      <c r="M192" s="49"/>
      <c r="N192" s="76"/>
      <c r="O192" s="49"/>
      <c r="P192" s="77"/>
      <c r="Q192" s="53"/>
      <c r="R192" s="54"/>
      <c r="S192" s="55"/>
      <c r="T192" s="56"/>
      <c r="U192" s="56"/>
      <c r="V192" s="42"/>
      <c r="W192" s="57"/>
      <c r="X192" s="58"/>
      <c r="Y192" s="75"/>
      <c r="Z192" s="59"/>
      <c r="AA192" s="61"/>
      <c r="AB192" s="61"/>
      <c r="AC192" s="61"/>
      <c r="AD192" s="62"/>
      <c r="AE192" s="62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</row>
    <row r="193" spans="1:77" x14ac:dyDescent="0.3">
      <c r="A193" s="39"/>
      <c r="B193" s="42"/>
      <c r="C193" s="42"/>
      <c r="D193" s="75"/>
      <c r="E193" s="75"/>
      <c r="F193" s="76"/>
      <c r="G193" s="47"/>
      <c r="H193" s="47"/>
      <c r="I193" s="75"/>
      <c r="J193" s="76"/>
      <c r="K193" s="76"/>
      <c r="L193" s="75"/>
      <c r="M193" s="49"/>
      <c r="N193" s="76"/>
      <c r="O193" s="49"/>
      <c r="P193" s="77"/>
      <c r="Q193" s="53"/>
      <c r="R193" s="54"/>
      <c r="S193" s="55"/>
      <c r="T193" s="56"/>
      <c r="U193" s="56"/>
      <c r="V193" s="42"/>
      <c r="W193" s="57"/>
      <c r="X193" s="58"/>
      <c r="Y193" s="75"/>
      <c r="Z193" s="59"/>
      <c r="AA193" s="61"/>
      <c r="AB193" s="61"/>
      <c r="AC193" s="61"/>
      <c r="AD193" s="62"/>
      <c r="AE193" s="62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</row>
    <row r="194" spans="1:77" x14ac:dyDescent="0.3">
      <c r="A194" s="39"/>
      <c r="B194" s="42"/>
      <c r="C194" s="42"/>
      <c r="D194" s="75"/>
      <c r="E194" s="75"/>
      <c r="F194" s="76"/>
      <c r="G194" s="47"/>
      <c r="H194" s="47"/>
      <c r="I194" s="75"/>
      <c r="J194" s="76"/>
      <c r="K194" s="76"/>
      <c r="L194" s="75"/>
      <c r="M194" s="49"/>
      <c r="N194" s="76"/>
      <c r="O194" s="49"/>
      <c r="P194" s="77"/>
      <c r="Q194" s="53"/>
      <c r="R194" s="54"/>
      <c r="S194" s="55"/>
      <c r="T194" s="56"/>
      <c r="U194" s="56"/>
      <c r="V194" s="42"/>
      <c r="W194" s="57"/>
      <c r="X194" s="58"/>
      <c r="Y194" s="75"/>
      <c r="Z194" s="59"/>
      <c r="AA194" s="61"/>
      <c r="AB194" s="61"/>
      <c r="AC194" s="61"/>
      <c r="AD194" s="62"/>
      <c r="AE194" s="62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</row>
    <row r="195" spans="1:77" x14ac:dyDescent="0.3">
      <c r="A195" s="39"/>
      <c r="B195" s="42"/>
      <c r="C195" s="42"/>
      <c r="D195" s="75"/>
      <c r="E195" s="75"/>
      <c r="F195" s="76"/>
      <c r="G195" s="47"/>
      <c r="H195" s="47"/>
      <c r="I195" s="75"/>
      <c r="J195" s="76"/>
      <c r="K195" s="76"/>
      <c r="L195" s="75"/>
      <c r="M195" s="49"/>
      <c r="N195" s="76"/>
      <c r="O195" s="49"/>
      <c r="P195" s="77"/>
      <c r="Q195" s="53"/>
      <c r="R195" s="54"/>
      <c r="S195" s="55"/>
      <c r="T195" s="56"/>
      <c r="U195" s="56"/>
      <c r="V195" s="42"/>
      <c r="W195" s="57"/>
      <c r="X195" s="58"/>
      <c r="Y195" s="75"/>
      <c r="Z195" s="59"/>
      <c r="AA195" s="61"/>
      <c r="AB195" s="61"/>
      <c r="AC195" s="61"/>
      <c r="AD195" s="62"/>
      <c r="AE195" s="62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</row>
    <row r="196" spans="1:77" x14ac:dyDescent="0.3">
      <c r="A196" s="39"/>
      <c r="B196" s="42"/>
      <c r="C196" s="42"/>
      <c r="D196" s="75"/>
      <c r="E196" s="75"/>
      <c r="F196" s="76"/>
      <c r="G196" s="47"/>
      <c r="H196" s="47"/>
      <c r="I196" s="75"/>
      <c r="J196" s="76"/>
      <c r="K196" s="76"/>
      <c r="L196" s="75"/>
      <c r="M196" s="49"/>
      <c r="N196" s="76"/>
      <c r="O196" s="49"/>
      <c r="P196" s="77"/>
      <c r="Q196" s="53"/>
      <c r="R196" s="54"/>
      <c r="S196" s="55"/>
      <c r="T196" s="56"/>
      <c r="U196" s="56"/>
      <c r="V196" s="42"/>
      <c r="W196" s="57"/>
      <c r="X196" s="58"/>
      <c r="Y196" s="75"/>
      <c r="Z196" s="59"/>
      <c r="AA196" s="61"/>
      <c r="AB196" s="61"/>
      <c r="AC196" s="61"/>
      <c r="AD196" s="62"/>
      <c r="AE196" s="62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</row>
    <row r="197" spans="1:77" x14ac:dyDescent="0.3">
      <c r="A197" s="39"/>
      <c r="B197" s="42"/>
      <c r="C197" s="42"/>
      <c r="D197" s="75"/>
      <c r="E197" s="75"/>
      <c r="F197" s="76"/>
      <c r="G197" s="47"/>
      <c r="H197" s="47"/>
      <c r="I197" s="75"/>
      <c r="J197" s="76"/>
      <c r="K197" s="76"/>
      <c r="L197" s="75"/>
      <c r="M197" s="49"/>
      <c r="N197" s="76"/>
      <c r="O197" s="49"/>
      <c r="P197" s="77"/>
      <c r="Q197" s="53"/>
      <c r="R197" s="54"/>
      <c r="S197" s="55"/>
      <c r="T197" s="56"/>
      <c r="U197" s="56"/>
      <c r="V197" s="42"/>
      <c r="W197" s="57"/>
      <c r="X197" s="58"/>
      <c r="Y197" s="75"/>
      <c r="Z197" s="59"/>
      <c r="AA197" s="61"/>
      <c r="AB197" s="61"/>
      <c r="AC197" s="61"/>
      <c r="AD197" s="62"/>
      <c r="AE197" s="62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</row>
    <row r="198" spans="1:77" x14ac:dyDescent="0.3">
      <c r="A198" s="39"/>
      <c r="B198" s="42"/>
      <c r="C198" s="42"/>
      <c r="D198" s="75"/>
      <c r="E198" s="75"/>
      <c r="F198" s="76"/>
      <c r="G198" s="47"/>
      <c r="H198" s="47"/>
      <c r="I198" s="75"/>
      <c r="J198" s="76"/>
      <c r="K198" s="76"/>
      <c r="L198" s="75"/>
      <c r="M198" s="49"/>
      <c r="N198" s="76"/>
      <c r="O198" s="49"/>
      <c r="P198" s="77"/>
      <c r="Q198" s="53"/>
      <c r="R198" s="54"/>
      <c r="S198" s="55"/>
      <c r="T198" s="56"/>
      <c r="U198" s="56"/>
      <c r="V198" s="42"/>
      <c r="W198" s="57"/>
      <c r="X198" s="58"/>
      <c r="Y198" s="75"/>
      <c r="Z198" s="59"/>
      <c r="AA198" s="61"/>
      <c r="AB198" s="61"/>
      <c r="AC198" s="61"/>
      <c r="AD198" s="62"/>
      <c r="AE198" s="62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</row>
    <row r="199" spans="1:77" x14ac:dyDescent="0.3">
      <c r="A199" s="39"/>
      <c r="B199" s="42"/>
      <c r="C199" s="42"/>
      <c r="D199" s="75"/>
      <c r="E199" s="75"/>
      <c r="F199" s="76"/>
      <c r="G199" s="47"/>
      <c r="H199" s="47"/>
      <c r="I199" s="75"/>
      <c r="J199" s="76"/>
      <c r="K199" s="76"/>
      <c r="L199" s="75"/>
      <c r="M199" s="49"/>
      <c r="N199" s="76"/>
      <c r="O199" s="49"/>
      <c r="P199" s="77"/>
      <c r="Q199" s="53"/>
      <c r="R199" s="54"/>
      <c r="S199" s="55"/>
      <c r="T199" s="56"/>
      <c r="U199" s="56"/>
      <c r="V199" s="42"/>
      <c r="W199" s="57"/>
      <c r="X199" s="58"/>
      <c r="Y199" s="75"/>
      <c r="Z199" s="59"/>
      <c r="AA199" s="61"/>
      <c r="AB199" s="61"/>
      <c r="AC199" s="61"/>
      <c r="AD199" s="62"/>
      <c r="AE199" s="62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</row>
    <row r="200" spans="1:77" x14ac:dyDescent="0.3">
      <c r="A200" s="39"/>
      <c r="B200" s="42"/>
      <c r="C200" s="42"/>
      <c r="D200" s="75"/>
      <c r="E200" s="75"/>
      <c r="F200" s="76"/>
      <c r="G200" s="47"/>
      <c r="H200" s="47"/>
      <c r="I200" s="75"/>
      <c r="J200" s="76"/>
      <c r="K200" s="76"/>
      <c r="L200" s="75"/>
      <c r="M200" s="49"/>
      <c r="N200" s="76"/>
      <c r="O200" s="49"/>
      <c r="P200" s="77"/>
      <c r="Q200" s="53"/>
      <c r="R200" s="54"/>
      <c r="S200" s="55"/>
      <c r="T200" s="56"/>
      <c r="U200" s="56"/>
      <c r="V200" s="42"/>
      <c r="W200" s="57"/>
      <c r="X200" s="58"/>
      <c r="Y200" s="75"/>
      <c r="Z200" s="59"/>
      <c r="AA200" s="61"/>
      <c r="AB200" s="61"/>
      <c r="AC200" s="61"/>
      <c r="AD200" s="62"/>
      <c r="AE200" s="62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</row>
    <row r="201" spans="1:77" x14ac:dyDescent="0.3">
      <c r="A201" s="39"/>
      <c r="B201" s="42"/>
      <c r="C201" s="42"/>
      <c r="D201" s="75"/>
      <c r="E201" s="75"/>
      <c r="F201" s="76"/>
      <c r="G201" s="47"/>
      <c r="H201" s="47"/>
      <c r="I201" s="75"/>
      <c r="J201" s="76"/>
      <c r="K201" s="76"/>
      <c r="L201" s="75"/>
      <c r="M201" s="49"/>
      <c r="N201" s="76"/>
      <c r="O201" s="49"/>
      <c r="P201" s="77"/>
      <c r="Q201" s="53"/>
      <c r="R201" s="54"/>
      <c r="S201" s="55"/>
      <c r="T201" s="56"/>
      <c r="U201" s="56"/>
      <c r="V201" s="42"/>
      <c r="W201" s="57"/>
      <c r="X201" s="58"/>
      <c r="Y201" s="75"/>
      <c r="Z201" s="59"/>
      <c r="AA201" s="61"/>
      <c r="AB201" s="61"/>
      <c r="AC201" s="61"/>
      <c r="AD201" s="62"/>
      <c r="AE201" s="62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</row>
    <row r="202" spans="1:77" x14ac:dyDescent="0.3">
      <c r="A202" s="39"/>
      <c r="B202" s="42"/>
      <c r="C202" s="42"/>
      <c r="D202" s="75"/>
      <c r="E202" s="75"/>
      <c r="F202" s="76"/>
      <c r="G202" s="47"/>
      <c r="H202" s="47"/>
      <c r="I202" s="75"/>
      <c r="J202" s="76"/>
      <c r="K202" s="76"/>
      <c r="L202" s="75"/>
      <c r="M202" s="49"/>
      <c r="N202" s="76"/>
      <c r="O202" s="49"/>
      <c r="P202" s="77"/>
      <c r="Q202" s="53"/>
      <c r="R202" s="54"/>
      <c r="S202" s="55"/>
      <c r="T202" s="56"/>
      <c r="U202" s="56"/>
      <c r="V202" s="42"/>
      <c r="W202" s="57"/>
      <c r="X202" s="58"/>
      <c r="Y202" s="75"/>
      <c r="Z202" s="59"/>
      <c r="AA202" s="61"/>
      <c r="AB202" s="61"/>
      <c r="AC202" s="61"/>
      <c r="AD202" s="62"/>
      <c r="AE202" s="62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</row>
    <row r="203" spans="1:77" x14ac:dyDescent="0.3">
      <c r="A203" s="39"/>
      <c r="B203" s="42"/>
      <c r="C203" s="42"/>
      <c r="D203" s="75"/>
      <c r="E203" s="75"/>
      <c r="F203" s="76"/>
      <c r="G203" s="47"/>
      <c r="H203" s="47"/>
      <c r="I203" s="75"/>
      <c r="J203" s="76"/>
      <c r="K203" s="76"/>
      <c r="L203" s="75"/>
      <c r="M203" s="49"/>
      <c r="N203" s="76"/>
      <c r="O203" s="49"/>
      <c r="P203" s="77"/>
      <c r="Q203" s="53"/>
      <c r="R203" s="54"/>
      <c r="S203" s="55"/>
      <c r="T203" s="56"/>
      <c r="U203" s="56"/>
      <c r="V203" s="42"/>
      <c r="W203" s="57"/>
      <c r="X203" s="58"/>
      <c r="Y203" s="75"/>
      <c r="Z203" s="59"/>
      <c r="AA203" s="61"/>
      <c r="AB203" s="61"/>
      <c r="AC203" s="61"/>
      <c r="AD203" s="62"/>
      <c r="AE203" s="62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</row>
    <row r="204" spans="1:77" x14ac:dyDescent="0.3">
      <c r="A204" s="39"/>
      <c r="B204" s="42"/>
      <c r="C204" s="42"/>
      <c r="D204" s="75"/>
      <c r="E204" s="75"/>
      <c r="F204" s="76"/>
      <c r="G204" s="47"/>
      <c r="H204" s="47"/>
      <c r="I204" s="75"/>
      <c r="J204" s="76"/>
      <c r="K204" s="76"/>
      <c r="L204" s="75"/>
      <c r="M204" s="49"/>
      <c r="N204" s="76"/>
      <c r="O204" s="49"/>
      <c r="P204" s="77"/>
      <c r="Q204" s="53"/>
      <c r="R204" s="54"/>
      <c r="S204" s="55"/>
      <c r="T204" s="56"/>
      <c r="U204" s="56"/>
      <c r="V204" s="42"/>
      <c r="W204" s="57"/>
      <c r="X204" s="58"/>
      <c r="Y204" s="75"/>
      <c r="Z204" s="59"/>
      <c r="AA204" s="61"/>
      <c r="AB204" s="61"/>
      <c r="AC204" s="61"/>
      <c r="AD204" s="62"/>
      <c r="AE204" s="62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</row>
    <row r="205" spans="1:77" x14ac:dyDescent="0.3">
      <c r="A205" s="39"/>
      <c r="B205" s="42"/>
      <c r="C205" s="42"/>
      <c r="D205" s="75"/>
      <c r="E205" s="75"/>
      <c r="F205" s="76"/>
      <c r="G205" s="47"/>
      <c r="H205" s="47"/>
      <c r="I205" s="75"/>
      <c r="J205" s="76"/>
      <c r="K205" s="76"/>
      <c r="L205" s="75"/>
      <c r="M205" s="49"/>
      <c r="N205" s="76"/>
      <c r="O205" s="49"/>
      <c r="P205" s="77"/>
      <c r="Q205" s="53"/>
      <c r="R205" s="54"/>
      <c r="S205" s="55"/>
      <c r="T205" s="56"/>
      <c r="U205" s="56"/>
      <c r="V205" s="42"/>
      <c r="W205" s="57"/>
      <c r="X205" s="58"/>
      <c r="Y205" s="75"/>
      <c r="Z205" s="59"/>
      <c r="AA205" s="61"/>
      <c r="AB205" s="61"/>
      <c r="AC205" s="61"/>
      <c r="AD205" s="62"/>
      <c r="AE205" s="62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</row>
    <row r="206" spans="1:77" x14ac:dyDescent="0.3">
      <c r="A206" s="39"/>
      <c r="B206" s="42"/>
      <c r="C206" s="42"/>
      <c r="D206" s="75"/>
      <c r="E206" s="75"/>
      <c r="F206" s="76"/>
      <c r="G206" s="47"/>
      <c r="H206" s="47"/>
      <c r="I206" s="75"/>
      <c r="J206" s="76"/>
      <c r="K206" s="76"/>
      <c r="L206" s="75"/>
      <c r="M206" s="49"/>
      <c r="N206" s="76"/>
      <c r="O206" s="49"/>
      <c r="P206" s="77"/>
      <c r="Q206" s="53"/>
      <c r="R206" s="54"/>
      <c r="S206" s="55"/>
      <c r="T206" s="56"/>
      <c r="U206" s="56"/>
      <c r="V206" s="42"/>
      <c r="W206" s="57"/>
      <c r="X206" s="58"/>
      <c r="Y206" s="75"/>
      <c r="Z206" s="59"/>
      <c r="AA206" s="61"/>
      <c r="AB206" s="61"/>
      <c r="AC206" s="61"/>
      <c r="AD206" s="62"/>
      <c r="AE206" s="62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</row>
    <row r="207" spans="1:77" x14ac:dyDescent="0.3">
      <c r="A207" s="39"/>
      <c r="B207" s="42"/>
      <c r="C207" s="42"/>
      <c r="D207" s="75"/>
      <c r="E207" s="75"/>
      <c r="F207" s="76"/>
      <c r="G207" s="47"/>
      <c r="H207" s="47"/>
      <c r="I207" s="75"/>
      <c r="J207" s="76"/>
      <c r="K207" s="76"/>
      <c r="L207" s="75"/>
      <c r="M207" s="49"/>
      <c r="N207" s="76"/>
      <c r="O207" s="49"/>
      <c r="P207" s="77"/>
      <c r="Q207" s="53"/>
      <c r="R207" s="54"/>
      <c r="S207" s="55"/>
      <c r="T207" s="56"/>
      <c r="U207" s="56"/>
      <c r="V207" s="42"/>
      <c r="W207" s="57"/>
      <c r="X207" s="58"/>
      <c r="Y207" s="75"/>
      <c r="Z207" s="59"/>
      <c r="AA207" s="61"/>
      <c r="AB207" s="61"/>
      <c r="AC207" s="61"/>
      <c r="AD207" s="62"/>
      <c r="AE207" s="62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</row>
    <row r="208" spans="1:77" x14ac:dyDescent="0.3">
      <c r="A208" s="39"/>
      <c r="B208" s="42"/>
      <c r="C208" s="42"/>
      <c r="D208" s="75"/>
      <c r="E208" s="75"/>
      <c r="F208" s="76"/>
      <c r="G208" s="47"/>
      <c r="H208" s="47"/>
      <c r="I208" s="75"/>
      <c r="J208" s="76"/>
      <c r="K208" s="76"/>
      <c r="L208" s="75"/>
      <c r="M208" s="49"/>
      <c r="N208" s="76"/>
      <c r="O208" s="49"/>
      <c r="P208" s="77"/>
      <c r="Q208" s="53"/>
      <c r="R208" s="54"/>
      <c r="S208" s="55"/>
      <c r="T208" s="56"/>
      <c r="U208" s="56"/>
      <c r="V208" s="42"/>
      <c r="W208" s="57"/>
      <c r="X208" s="58"/>
      <c r="Y208" s="75"/>
      <c r="Z208" s="59"/>
      <c r="AA208" s="61"/>
      <c r="AB208" s="61"/>
      <c r="AC208" s="61"/>
      <c r="AD208" s="62"/>
      <c r="AE208" s="62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</row>
    <row r="209" spans="1:77" x14ac:dyDescent="0.3">
      <c r="A209" s="39"/>
      <c r="B209" s="42"/>
      <c r="C209" s="42"/>
      <c r="D209" s="75"/>
      <c r="E209" s="75"/>
      <c r="F209" s="76"/>
      <c r="G209" s="47"/>
      <c r="H209" s="47"/>
      <c r="I209" s="75"/>
      <c r="J209" s="76"/>
      <c r="K209" s="76"/>
      <c r="L209" s="75"/>
      <c r="M209" s="49"/>
      <c r="N209" s="76"/>
      <c r="O209" s="49"/>
      <c r="P209" s="77"/>
      <c r="Q209" s="53"/>
      <c r="R209" s="54"/>
      <c r="S209" s="55"/>
      <c r="T209" s="56"/>
      <c r="U209" s="56"/>
      <c r="V209" s="42"/>
      <c r="W209" s="57"/>
      <c r="X209" s="58"/>
      <c r="Y209" s="75"/>
      <c r="Z209" s="59"/>
      <c r="AA209" s="61"/>
      <c r="AB209" s="61"/>
      <c r="AC209" s="61"/>
      <c r="AD209" s="62"/>
      <c r="AE209" s="62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</row>
    <row r="210" spans="1:77" x14ac:dyDescent="0.3">
      <c r="A210" s="39"/>
      <c r="B210" s="42"/>
      <c r="C210" s="42"/>
      <c r="D210" s="75"/>
      <c r="E210" s="75"/>
      <c r="F210" s="76"/>
      <c r="G210" s="47"/>
      <c r="H210" s="47"/>
      <c r="I210" s="75"/>
      <c r="J210" s="76"/>
      <c r="K210" s="76"/>
      <c r="L210" s="75"/>
      <c r="M210" s="49"/>
      <c r="N210" s="76"/>
      <c r="O210" s="49"/>
      <c r="P210" s="77"/>
      <c r="Q210" s="53"/>
      <c r="R210" s="54"/>
      <c r="S210" s="55"/>
      <c r="T210" s="56"/>
      <c r="U210" s="56"/>
      <c r="V210" s="42"/>
      <c r="W210" s="57"/>
      <c r="X210" s="58"/>
      <c r="Y210" s="75"/>
      <c r="Z210" s="59"/>
      <c r="AA210" s="61"/>
      <c r="AB210" s="61"/>
      <c r="AC210" s="61"/>
      <c r="AD210" s="62"/>
      <c r="AE210" s="62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</row>
    <row r="211" spans="1:77" x14ac:dyDescent="0.3">
      <c r="A211" s="39"/>
      <c r="B211" s="42"/>
      <c r="C211" s="42"/>
      <c r="D211" s="75"/>
      <c r="E211" s="75"/>
      <c r="F211" s="76"/>
      <c r="G211" s="47"/>
      <c r="H211" s="47"/>
      <c r="I211" s="75"/>
      <c r="J211" s="76"/>
      <c r="K211" s="76"/>
      <c r="L211" s="75"/>
      <c r="M211" s="49"/>
      <c r="N211" s="76"/>
      <c r="O211" s="49"/>
      <c r="P211" s="77"/>
      <c r="Q211" s="53"/>
      <c r="R211" s="54"/>
      <c r="S211" s="55"/>
      <c r="T211" s="56"/>
      <c r="U211" s="56"/>
      <c r="V211" s="42"/>
      <c r="W211" s="57"/>
      <c r="X211" s="58"/>
      <c r="Y211" s="75"/>
      <c r="Z211" s="59"/>
      <c r="AA211" s="61"/>
      <c r="AB211" s="61"/>
      <c r="AC211" s="61"/>
      <c r="AD211" s="62"/>
      <c r="AE211" s="62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</row>
    <row r="212" spans="1:77" x14ac:dyDescent="0.3">
      <c r="A212" s="39"/>
      <c r="B212" s="42"/>
      <c r="C212" s="42"/>
      <c r="D212" s="75"/>
      <c r="E212" s="75"/>
      <c r="F212" s="76"/>
      <c r="G212" s="47"/>
      <c r="H212" s="47"/>
      <c r="I212" s="75"/>
      <c r="J212" s="76"/>
      <c r="K212" s="76"/>
      <c r="L212" s="75"/>
      <c r="M212" s="49"/>
      <c r="N212" s="76"/>
      <c r="O212" s="49"/>
      <c r="P212" s="77"/>
      <c r="Q212" s="53"/>
      <c r="R212" s="54"/>
      <c r="S212" s="55"/>
      <c r="T212" s="56"/>
      <c r="U212" s="56"/>
      <c r="V212" s="42"/>
      <c r="W212" s="57"/>
      <c r="X212" s="58"/>
      <c r="Y212" s="75"/>
      <c r="Z212" s="59"/>
      <c r="AA212" s="61"/>
      <c r="AB212" s="61"/>
      <c r="AC212" s="61"/>
      <c r="AD212" s="62"/>
      <c r="AE212" s="62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</row>
    <row r="213" spans="1:77" x14ac:dyDescent="0.3">
      <c r="A213" s="39"/>
      <c r="B213" s="42"/>
      <c r="C213" s="42"/>
      <c r="D213" s="75"/>
      <c r="E213" s="75"/>
      <c r="F213" s="76"/>
      <c r="G213" s="47"/>
      <c r="H213" s="47"/>
      <c r="I213" s="75"/>
      <c r="J213" s="76"/>
      <c r="K213" s="76"/>
      <c r="L213" s="75"/>
      <c r="M213" s="49"/>
      <c r="N213" s="76"/>
      <c r="O213" s="49"/>
      <c r="P213" s="77"/>
      <c r="Q213" s="53"/>
      <c r="R213" s="54"/>
      <c r="S213" s="55"/>
      <c r="T213" s="56"/>
      <c r="U213" s="56"/>
      <c r="V213" s="42"/>
      <c r="W213" s="57"/>
      <c r="X213" s="58"/>
      <c r="Y213" s="75"/>
      <c r="Z213" s="59"/>
      <c r="AA213" s="61"/>
      <c r="AB213" s="61"/>
      <c r="AC213" s="61"/>
      <c r="AD213" s="62"/>
      <c r="AE213" s="62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</row>
    <row r="214" spans="1:77" x14ac:dyDescent="0.3">
      <c r="A214" s="39"/>
      <c r="B214" s="42"/>
      <c r="C214" s="42"/>
      <c r="D214" s="75"/>
      <c r="E214" s="75"/>
      <c r="F214" s="76"/>
      <c r="G214" s="47"/>
      <c r="H214" s="47"/>
      <c r="I214" s="75"/>
      <c r="J214" s="76"/>
      <c r="K214" s="76"/>
      <c r="L214" s="75"/>
      <c r="M214" s="49"/>
      <c r="N214" s="76"/>
      <c r="O214" s="49"/>
      <c r="P214" s="77"/>
      <c r="Q214" s="53"/>
      <c r="R214" s="54"/>
      <c r="S214" s="55"/>
      <c r="T214" s="56"/>
      <c r="U214" s="56"/>
      <c r="V214" s="42"/>
      <c r="W214" s="57"/>
      <c r="X214" s="58"/>
      <c r="Y214" s="75"/>
      <c r="Z214" s="59"/>
      <c r="AA214" s="61"/>
      <c r="AB214" s="61"/>
      <c r="AC214" s="61"/>
      <c r="AD214" s="62"/>
      <c r="AE214" s="62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</row>
    <row r="215" spans="1:77" x14ac:dyDescent="0.3">
      <c r="A215" s="39"/>
      <c r="B215" s="42"/>
      <c r="C215" s="42"/>
      <c r="D215" s="75"/>
      <c r="E215" s="75"/>
      <c r="F215" s="76"/>
      <c r="G215" s="47"/>
      <c r="H215" s="47"/>
      <c r="I215" s="75"/>
      <c r="J215" s="76"/>
      <c r="K215" s="76"/>
      <c r="L215" s="75"/>
      <c r="M215" s="49"/>
      <c r="N215" s="76"/>
      <c r="O215" s="49"/>
      <c r="P215" s="77"/>
      <c r="Q215" s="53"/>
      <c r="R215" s="54"/>
      <c r="S215" s="55"/>
      <c r="T215" s="56"/>
      <c r="U215" s="56"/>
      <c r="V215" s="42"/>
      <c r="W215" s="57"/>
      <c r="X215" s="58"/>
      <c r="Y215" s="75"/>
      <c r="Z215" s="59"/>
      <c r="AA215" s="61"/>
      <c r="AB215" s="61"/>
      <c r="AC215" s="61"/>
      <c r="AD215" s="62"/>
      <c r="AE215" s="62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</row>
    <row r="216" spans="1:77" x14ac:dyDescent="0.3">
      <c r="A216" s="39"/>
      <c r="B216" s="42"/>
      <c r="C216" s="42"/>
      <c r="D216" s="75"/>
      <c r="E216" s="75"/>
      <c r="F216" s="76"/>
      <c r="G216" s="47"/>
      <c r="H216" s="47"/>
      <c r="I216" s="75"/>
      <c r="J216" s="76"/>
      <c r="K216" s="76"/>
      <c r="L216" s="75"/>
      <c r="M216" s="49"/>
      <c r="N216" s="76"/>
      <c r="O216" s="49"/>
      <c r="P216" s="77"/>
      <c r="Q216" s="53"/>
      <c r="R216" s="54"/>
      <c r="S216" s="55"/>
      <c r="T216" s="56"/>
      <c r="U216" s="56"/>
      <c r="V216" s="42"/>
      <c r="W216" s="57"/>
      <c r="X216" s="58"/>
      <c r="Y216" s="75"/>
      <c r="Z216" s="59"/>
      <c r="AA216" s="61"/>
      <c r="AB216" s="61"/>
      <c r="AC216" s="61"/>
      <c r="AD216" s="62"/>
      <c r="AE216" s="62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</row>
    <row r="217" spans="1:77" x14ac:dyDescent="0.3">
      <c r="A217" s="39"/>
      <c r="B217" s="42"/>
      <c r="C217" s="42"/>
      <c r="D217" s="75"/>
      <c r="E217" s="75"/>
      <c r="F217" s="76"/>
      <c r="G217" s="47"/>
      <c r="H217" s="47"/>
      <c r="I217" s="75"/>
      <c r="J217" s="76"/>
      <c r="K217" s="76"/>
      <c r="L217" s="75"/>
      <c r="M217" s="49"/>
      <c r="N217" s="76"/>
      <c r="O217" s="49"/>
      <c r="P217" s="77"/>
      <c r="Q217" s="53"/>
      <c r="R217" s="54"/>
      <c r="S217" s="55"/>
      <c r="T217" s="56"/>
      <c r="U217" s="56"/>
      <c r="V217" s="42"/>
      <c r="W217" s="57"/>
      <c r="X217" s="58"/>
      <c r="Y217" s="75"/>
      <c r="Z217" s="59"/>
      <c r="AA217" s="61"/>
      <c r="AB217" s="61"/>
      <c r="AC217" s="61"/>
      <c r="AD217" s="62"/>
      <c r="AE217" s="62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</row>
    <row r="218" spans="1:77" x14ac:dyDescent="0.3">
      <c r="A218" s="39"/>
      <c r="B218" s="42"/>
      <c r="C218" s="42"/>
      <c r="D218" s="75"/>
      <c r="E218" s="75"/>
      <c r="F218" s="76"/>
      <c r="G218" s="47"/>
      <c r="H218" s="47"/>
      <c r="I218" s="75"/>
      <c r="J218" s="76"/>
      <c r="K218" s="76"/>
      <c r="L218" s="75"/>
      <c r="M218" s="49"/>
      <c r="N218" s="76"/>
      <c r="O218" s="49"/>
      <c r="P218" s="77"/>
      <c r="Q218" s="53"/>
      <c r="R218" s="54"/>
      <c r="S218" s="55"/>
      <c r="T218" s="56"/>
      <c r="U218" s="56"/>
      <c r="V218" s="42"/>
      <c r="W218" s="57"/>
      <c r="X218" s="58"/>
      <c r="Y218" s="75"/>
      <c r="Z218" s="59"/>
      <c r="AA218" s="61"/>
      <c r="AB218" s="61"/>
      <c r="AC218" s="61"/>
      <c r="AD218" s="62"/>
      <c r="AE218" s="62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</row>
    <row r="219" spans="1:77" x14ac:dyDescent="0.3">
      <c r="A219" s="39"/>
      <c r="B219" s="42"/>
      <c r="C219" s="42"/>
      <c r="D219" s="75"/>
      <c r="E219" s="75"/>
      <c r="F219" s="76"/>
      <c r="G219" s="47"/>
      <c r="H219" s="47"/>
      <c r="I219" s="75"/>
      <c r="J219" s="76"/>
      <c r="K219" s="76"/>
      <c r="L219" s="75"/>
      <c r="M219" s="49"/>
      <c r="N219" s="76"/>
      <c r="O219" s="49"/>
      <c r="P219" s="77"/>
      <c r="Q219" s="53"/>
      <c r="R219" s="54"/>
      <c r="S219" s="55"/>
      <c r="T219" s="56"/>
      <c r="U219" s="56"/>
      <c r="V219" s="42"/>
      <c r="W219" s="57"/>
      <c r="X219" s="58"/>
      <c r="Y219" s="75"/>
      <c r="Z219" s="59"/>
      <c r="AA219" s="61"/>
      <c r="AB219" s="61"/>
      <c r="AC219" s="61"/>
      <c r="AD219" s="62"/>
      <c r="AE219" s="62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</row>
    <row r="220" spans="1:77" x14ac:dyDescent="0.3">
      <c r="A220" s="39"/>
      <c r="B220" s="42"/>
      <c r="C220" s="42"/>
      <c r="D220" s="75"/>
      <c r="E220" s="75"/>
      <c r="F220" s="76"/>
      <c r="G220" s="47"/>
      <c r="H220" s="47"/>
      <c r="I220" s="75"/>
      <c r="J220" s="76"/>
      <c r="K220" s="76"/>
      <c r="L220" s="75"/>
      <c r="M220" s="49"/>
      <c r="N220" s="76"/>
      <c r="O220" s="49"/>
      <c r="P220" s="77"/>
      <c r="Q220" s="53"/>
      <c r="R220" s="54"/>
      <c r="S220" s="55"/>
      <c r="T220" s="56"/>
      <c r="U220" s="56"/>
      <c r="V220" s="42"/>
      <c r="W220" s="57"/>
      <c r="X220" s="58"/>
      <c r="Y220" s="75"/>
      <c r="Z220" s="59"/>
      <c r="AA220" s="61"/>
      <c r="AB220" s="61"/>
      <c r="AC220" s="61"/>
      <c r="AD220" s="62"/>
      <c r="AE220" s="62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</row>
    <row r="221" spans="1:77" x14ac:dyDescent="0.3">
      <c r="A221" s="39"/>
      <c r="B221" s="42"/>
      <c r="C221" s="42"/>
      <c r="D221" s="75"/>
      <c r="E221" s="75"/>
      <c r="F221" s="76"/>
      <c r="G221" s="47"/>
      <c r="H221" s="47"/>
      <c r="I221" s="75"/>
      <c r="J221" s="76"/>
      <c r="K221" s="76"/>
      <c r="L221" s="75"/>
      <c r="M221" s="49"/>
      <c r="N221" s="76"/>
      <c r="O221" s="49"/>
      <c r="P221" s="77"/>
      <c r="Q221" s="53"/>
      <c r="R221" s="54"/>
      <c r="S221" s="55"/>
      <c r="T221" s="56"/>
      <c r="U221" s="56"/>
      <c r="V221" s="42"/>
      <c r="W221" s="57"/>
      <c r="X221" s="58"/>
      <c r="Y221" s="75"/>
      <c r="Z221" s="59"/>
      <c r="AA221" s="61"/>
      <c r="AB221" s="61"/>
      <c r="AC221" s="61"/>
      <c r="AD221" s="62"/>
      <c r="AE221" s="62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</row>
    <row r="222" spans="1:77" x14ac:dyDescent="0.3">
      <c r="A222" s="39"/>
      <c r="B222" s="42"/>
      <c r="C222" s="42"/>
      <c r="D222" s="75"/>
      <c r="E222" s="75"/>
      <c r="F222" s="76"/>
      <c r="G222" s="47"/>
      <c r="H222" s="47"/>
      <c r="I222" s="75"/>
      <c r="J222" s="76"/>
      <c r="K222" s="76"/>
      <c r="L222" s="75"/>
      <c r="M222" s="49"/>
      <c r="N222" s="76"/>
      <c r="O222" s="49"/>
      <c r="P222" s="77"/>
      <c r="Q222" s="53"/>
      <c r="R222" s="54"/>
      <c r="S222" s="55"/>
      <c r="T222" s="56"/>
      <c r="U222" s="56"/>
      <c r="V222" s="42"/>
      <c r="W222" s="57"/>
      <c r="X222" s="58"/>
      <c r="Y222" s="75"/>
      <c r="Z222" s="59"/>
      <c r="AA222" s="61"/>
      <c r="AB222" s="61"/>
      <c r="AC222" s="61"/>
      <c r="AD222" s="62"/>
      <c r="AE222" s="62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</row>
    <row r="223" spans="1:77" x14ac:dyDescent="0.3">
      <c r="A223" s="39"/>
      <c r="B223" s="42"/>
      <c r="C223" s="42"/>
      <c r="D223" s="75"/>
      <c r="E223" s="75"/>
      <c r="F223" s="76"/>
      <c r="G223" s="47"/>
      <c r="H223" s="47"/>
      <c r="I223" s="75"/>
      <c r="J223" s="76"/>
      <c r="K223" s="76"/>
      <c r="L223" s="75"/>
      <c r="M223" s="49"/>
      <c r="N223" s="76"/>
      <c r="O223" s="49"/>
      <c r="P223" s="77"/>
      <c r="Q223" s="53"/>
      <c r="R223" s="54"/>
      <c r="S223" s="55"/>
      <c r="T223" s="56"/>
      <c r="U223" s="56"/>
      <c r="V223" s="42"/>
      <c r="W223" s="57"/>
      <c r="X223" s="58"/>
      <c r="Y223" s="75"/>
      <c r="Z223" s="59"/>
      <c r="AA223" s="61"/>
      <c r="AB223" s="61"/>
      <c r="AC223" s="61"/>
      <c r="AD223" s="62"/>
      <c r="AE223" s="62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</row>
    <row r="224" spans="1:77" x14ac:dyDescent="0.3">
      <c r="A224" s="39"/>
      <c r="B224" s="42"/>
      <c r="C224" s="42"/>
      <c r="D224" s="75"/>
      <c r="E224" s="75"/>
      <c r="F224" s="76"/>
      <c r="G224" s="47"/>
      <c r="H224" s="47"/>
      <c r="I224" s="75"/>
      <c r="J224" s="76"/>
      <c r="K224" s="76"/>
      <c r="L224" s="75"/>
      <c r="M224" s="49"/>
      <c r="N224" s="76"/>
      <c r="O224" s="49"/>
      <c r="P224" s="77"/>
      <c r="Q224" s="53"/>
      <c r="R224" s="54"/>
      <c r="S224" s="55"/>
      <c r="T224" s="56"/>
      <c r="U224" s="56"/>
      <c r="V224" s="42"/>
      <c r="W224" s="57"/>
      <c r="X224" s="58"/>
      <c r="Y224" s="75"/>
      <c r="Z224" s="59"/>
      <c r="AA224" s="61"/>
      <c r="AB224" s="61"/>
      <c r="AC224" s="61"/>
      <c r="AD224" s="62"/>
      <c r="AE224" s="62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</row>
    <row r="225" spans="1:77" x14ac:dyDescent="0.3">
      <c r="A225" s="39"/>
      <c r="B225" s="42"/>
      <c r="C225" s="42"/>
      <c r="D225" s="75"/>
      <c r="E225" s="75"/>
      <c r="F225" s="76"/>
      <c r="G225" s="47"/>
      <c r="H225" s="47"/>
      <c r="I225" s="75"/>
      <c r="J225" s="76"/>
      <c r="K225" s="76"/>
      <c r="L225" s="75"/>
      <c r="M225" s="49"/>
      <c r="N225" s="76"/>
      <c r="O225" s="49"/>
      <c r="P225" s="77"/>
      <c r="Q225" s="53"/>
      <c r="R225" s="54"/>
      <c r="S225" s="55"/>
      <c r="T225" s="56"/>
      <c r="U225" s="56"/>
      <c r="V225" s="42"/>
      <c r="W225" s="57"/>
      <c r="X225" s="58"/>
      <c r="Y225" s="75"/>
      <c r="Z225" s="59"/>
      <c r="AA225" s="61"/>
      <c r="AB225" s="61"/>
      <c r="AC225" s="61"/>
      <c r="AD225" s="62"/>
      <c r="AE225" s="62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</row>
    <row r="226" spans="1:77" x14ac:dyDescent="0.3">
      <c r="A226" s="39"/>
      <c r="B226" s="42"/>
      <c r="C226" s="42"/>
      <c r="D226" s="75"/>
      <c r="E226" s="75"/>
      <c r="F226" s="76"/>
      <c r="G226" s="47"/>
      <c r="H226" s="47"/>
      <c r="I226" s="75"/>
      <c r="J226" s="76"/>
      <c r="K226" s="76"/>
      <c r="L226" s="75"/>
      <c r="M226" s="49"/>
      <c r="N226" s="76"/>
      <c r="O226" s="49"/>
      <c r="P226" s="77"/>
      <c r="Q226" s="53"/>
      <c r="R226" s="54"/>
      <c r="S226" s="55"/>
      <c r="T226" s="56"/>
      <c r="U226" s="56"/>
      <c r="V226" s="42"/>
      <c r="W226" s="57"/>
      <c r="X226" s="58"/>
      <c r="Y226" s="75"/>
      <c r="Z226" s="59"/>
      <c r="AA226" s="61"/>
      <c r="AB226" s="61"/>
      <c r="AC226" s="61"/>
      <c r="AD226" s="62"/>
      <c r="AE226" s="62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</row>
    <row r="227" spans="1:77" x14ac:dyDescent="0.3">
      <c r="A227" s="39"/>
      <c r="B227" s="42"/>
      <c r="C227" s="42"/>
      <c r="D227" s="75"/>
      <c r="E227" s="75"/>
      <c r="F227" s="76"/>
      <c r="G227" s="47"/>
      <c r="H227" s="47"/>
      <c r="I227" s="75"/>
      <c r="J227" s="76"/>
      <c r="K227" s="76"/>
      <c r="L227" s="75"/>
      <c r="M227" s="49"/>
      <c r="N227" s="76"/>
      <c r="O227" s="49"/>
      <c r="P227" s="77"/>
      <c r="Q227" s="53"/>
      <c r="R227" s="54"/>
      <c r="S227" s="55"/>
      <c r="T227" s="56"/>
      <c r="U227" s="56"/>
      <c r="V227" s="42"/>
      <c r="W227" s="57"/>
      <c r="X227" s="58"/>
      <c r="Y227" s="75"/>
      <c r="Z227" s="59"/>
      <c r="AA227" s="61"/>
      <c r="AB227" s="61"/>
      <c r="AC227" s="61"/>
      <c r="AD227" s="62"/>
      <c r="AE227" s="62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</row>
    <row r="228" spans="1:77" x14ac:dyDescent="0.3">
      <c r="A228" s="39"/>
      <c r="B228" s="42"/>
      <c r="C228" s="42"/>
      <c r="D228" s="75"/>
      <c r="E228" s="75"/>
      <c r="F228" s="76"/>
      <c r="G228" s="47"/>
      <c r="H228" s="47"/>
      <c r="I228" s="75"/>
      <c r="J228" s="76"/>
      <c r="K228" s="76"/>
      <c r="L228" s="75"/>
      <c r="M228" s="49"/>
      <c r="N228" s="76"/>
      <c r="O228" s="49"/>
      <c r="P228" s="77"/>
      <c r="Q228" s="53"/>
      <c r="R228" s="54"/>
      <c r="S228" s="55"/>
      <c r="T228" s="56"/>
      <c r="U228" s="56"/>
      <c r="V228" s="42"/>
      <c r="W228" s="57"/>
      <c r="X228" s="58"/>
      <c r="Y228" s="75"/>
      <c r="Z228" s="59"/>
      <c r="AA228" s="61"/>
      <c r="AB228" s="61"/>
      <c r="AC228" s="61"/>
      <c r="AD228" s="62"/>
      <c r="AE228" s="62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</row>
    <row r="229" spans="1:77" x14ac:dyDescent="0.3">
      <c r="A229" s="39"/>
      <c r="B229" s="42"/>
      <c r="C229" s="42"/>
      <c r="D229" s="75"/>
      <c r="E229" s="75"/>
      <c r="F229" s="76"/>
      <c r="G229" s="47"/>
      <c r="H229" s="47"/>
      <c r="I229" s="75"/>
      <c r="J229" s="76"/>
      <c r="K229" s="76"/>
      <c r="L229" s="75"/>
      <c r="M229" s="49"/>
      <c r="N229" s="76"/>
      <c r="O229" s="49"/>
      <c r="P229" s="77"/>
      <c r="Q229" s="53"/>
      <c r="R229" s="54"/>
      <c r="S229" s="55"/>
      <c r="T229" s="56"/>
      <c r="U229" s="56"/>
      <c r="V229" s="42"/>
      <c r="W229" s="57"/>
      <c r="X229" s="58"/>
      <c r="Y229" s="75"/>
      <c r="Z229" s="59"/>
      <c r="AA229" s="61"/>
      <c r="AB229" s="61"/>
      <c r="AC229" s="61"/>
      <c r="AD229" s="62"/>
      <c r="AE229" s="62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</row>
    <row r="230" spans="1:77" x14ac:dyDescent="0.3">
      <c r="A230" s="39"/>
      <c r="B230" s="42"/>
      <c r="C230" s="42"/>
      <c r="D230" s="75"/>
      <c r="E230" s="75"/>
      <c r="F230" s="76"/>
      <c r="G230" s="47"/>
      <c r="H230" s="47"/>
      <c r="I230" s="75"/>
      <c r="J230" s="76"/>
      <c r="K230" s="76"/>
      <c r="L230" s="75"/>
      <c r="M230" s="49"/>
      <c r="N230" s="76"/>
      <c r="O230" s="49"/>
      <c r="P230" s="77"/>
      <c r="Q230" s="53"/>
      <c r="R230" s="54"/>
      <c r="S230" s="55"/>
      <c r="T230" s="56"/>
      <c r="U230" s="56"/>
      <c r="V230" s="42"/>
      <c r="W230" s="57"/>
      <c r="X230" s="58"/>
      <c r="Y230" s="75"/>
      <c r="Z230" s="59"/>
      <c r="AA230" s="61"/>
      <c r="AB230" s="61"/>
      <c r="AC230" s="61"/>
      <c r="AD230" s="62"/>
      <c r="AE230" s="62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</row>
    <row r="231" spans="1:77" x14ac:dyDescent="0.3">
      <c r="A231" s="39"/>
      <c r="B231" s="42"/>
      <c r="C231" s="42"/>
      <c r="D231" s="75"/>
      <c r="E231" s="75"/>
      <c r="F231" s="76"/>
      <c r="G231" s="47"/>
      <c r="H231" s="47"/>
      <c r="I231" s="75"/>
      <c r="J231" s="76"/>
      <c r="K231" s="76"/>
      <c r="L231" s="75"/>
      <c r="M231" s="49"/>
      <c r="N231" s="76"/>
      <c r="O231" s="49"/>
      <c r="P231" s="77"/>
      <c r="Q231" s="53"/>
      <c r="R231" s="54"/>
      <c r="S231" s="55"/>
      <c r="T231" s="56"/>
      <c r="U231" s="56"/>
      <c r="V231" s="42"/>
      <c r="W231" s="57"/>
      <c r="X231" s="58"/>
      <c r="Y231" s="75"/>
      <c r="Z231" s="59"/>
      <c r="AA231" s="61"/>
      <c r="AB231" s="61"/>
      <c r="AC231" s="61"/>
      <c r="AD231" s="62"/>
      <c r="AE231" s="62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</row>
    <row r="232" spans="1:77" x14ac:dyDescent="0.3">
      <c r="A232" s="39"/>
      <c r="B232" s="42"/>
      <c r="C232" s="42"/>
      <c r="D232" s="75"/>
      <c r="E232" s="75"/>
      <c r="F232" s="76"/>
      <c r="G232" s="47"/>
      <c r="H232" s="47"/>
      <c r="I232" s="75"/>
      <c r="J232" s="76"/>
      <c r="K232" s="76"/>
      <c r="L232" s="75"/>
      <c r="M232" s="49"/>
      <c r="N232" s="76"/>
      <c r="O232" s="49"/>
      <c r="P232" s="77"/>
      <c r="Q232" s="53"/>
      <c r="R232" s="54"/>
      <c r="S232" s="55"/>
      <c r="T232" s="56"/>
      <c r="U232" s="56"/>
      <c r="V232" s="42"/>
      <c r="W232" s="57"/>
      <c r="X232" s="58"/>
      <c r="Y232" s="75"/>
      <c r="Z232" s="59"/>
      <c r="AA232" s="61"/>
      <c r="AB232" s="61"/>
      <c r="AC232" s="61"/>
      <c r="AD232" s="62"/>
      <c r="AE232" s="62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</row>
    <row r="233" spans="1:77" x14ac:dyDescent="0.3">
      <c r="A233" s="39"/>
      <c r="B233" s="42"/>
      <c r="C233" s="42"/>
      <c r="D233" s="75"/>
      <c r="E233" s="75"/>
      <c r="F233" s="76"/>
      <c r="G233" s="47"/>
      <c r="H233" s="47"/>
      <c r="I233" s="75"/>
      <c r="J233" s="76"/>
      <c r="K233" s="76"/>
      <c r="L233" s="75"/>
      <c r="M233" s="49"/>
      <c r="N233" s="76"/>
      <c r="O233" s="49"/>
      <c r="P233" s="77"/>
      <c r="Q233" s="53"/>
      <c r="R233" s="54"/>
      <c r="S233" s="55"/>
      <c r="T233" s="56"/>
      <c r="U233" s="56"/>
      <c r="V233" s="42"/>
      <c r="W233" s="57"/>
      <c r="X233" s="58"/>
      <c r="Y233" s="75"/>
      <c r="Z233" s="59"/>
      <c r="AA233" s="61"/>
      <c r="AB233" s="61"/>
      <c r="AC233" s="61"/>
      <c r="AD233" s="62"/>
      <c r="AE233" s="62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</row>
    <row r="234" spans="1:77" x14ac:dyDescent="0.3">
      <c r="A234" s="39"/>
      <c r="B234" s="42"/>
      <c r="C234" s="42"/>
      <c r="D234" s="75"/>
      <c r="E234" s="75"/>
      <c r="F234" s="76"/>
      <c r="G234" s="47"/>
      <c r="H234" s="47"/>
      <c r="I234" s="75"/>
      <c r="J234" s="76"/>
      <c r="K234" s="76"/>
      <c r="L234" s="75"/>
      <c r="M234" s="49"/>
      <c r="N234" s="76"/>
      <c r="O234" s="49"/>
      <c r="P234" s="77"/>
      <c r="Q234" s="53"/>
      <c r="R234" s="54"/>
      <c r="S234" s="55"/>
      <c r="T234" s="56"/>
      <c r="U234" s="56"/>
      <c r="V234" s="42"/>
      <c r="W234" s="57"/>
      <c r="X234" s="58"/>
      <c r="Y234" s="75"/>
      <c r="Z234" s="59"/>
      <c r="AA234" s="61"/>
      <c r="AB234" s="61"/>
      <c r="AC234" s="61"/>
      <c r="AD234" s="62"/>
      <c r="AE234" s="62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</row>
    <row r="235" spans="1:77" x14ac:dyDescent="0.3">
      <c r="A235" s="39"/>
      <c r="B235" s="42"/>
      <c r="C235" s="42"/>
      <c r="D235" s="75"/>
      <c r="E235" s="75"/>
      <c r="F235" s="76"/>
      <c r="G235" s="47"/>
      <c r="H235" s="47"/>
      <c r="I235" s="75"/>
      <c r="J235" s="76"/>
      <c r="K235" s="76"/>
      <c r="L235" s="75"/>
      <c r="M235" s="49"/>
      <c r="N235" s="76"/>
      <c r="O235" s="49"/>
      <c r="P235" s="77"/>
      <c r="Q235" s="53"/>
      <c r="R235" s="54"/>
      <c r="S235" s="55"/>
      <c r="T235" s="56"/>
      <c r="U235" s="56"/>
      <c r="V235" s="42"/>
      <c r="W235" s="57"/>
      <c r="X235" s="58"/>
      <c r="Y235" s="75"/>
      <c r="Z235" s="59"/>
      <c r="AA235" s="61"/>
      <c r="AB235" s="61"/>
      <c r="AC235" s="61"/>
      <c r="AD235" s="62"/>
      <c r="AE235" s="62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</row>
    <row r="236" spans="1:77" x14ac:dyDescent="0.3">
      <c r="A236" s="39"/>
      <c r="B236" s="42"/>
      <c r="C236" s="42"/>
      <c r="D236" s="75"/>
      <c r="E236" s="75"/>
      <c r="F236" s="76"/>
      <c r="G236" s="47"/>
      <c r="H236" s="47"/>
      <c r="I236" s="75"/>
      <c r="J236" s="76"/>
      <c r="K236" s="76"/>
      <c r="L236" s="75"/>
      <c r="M236" s="49"/>
      <c r="N236" s="76"/>
      <c r="O236" s="49"/>
      <c r="P236" s="77"/>
      <c r="Q236" s="53"/>
      <c r="R236" s="54"/>
      <c r="S236" s="55"/>
      <c r="T236" s="56"/>
      <c r="U236" s="56"/>
      <c r="V236" s="42"/>
      <c r="W236" s="57"/>
      <c r="X236" s="58"/>
      <c r="Y236" s="75"/>
      <c r="Z236" s="59"/>
      <c r="AA236" s="61"/>
      <c r="AB236" s="61"/>
      <c r="AC236" s="61"/>
      <c r="AD236" s="62"/>
      <c r="AE236" s="62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</row>
    <row r="237" spans="1:77" x14ac:dyDescent="0.3">
      <c r="A237" s="39"/>
      <c r="B237" s="42"/>
      <c r="C237" s="42"/>
      <c r="D237" s="75"/>
      <c r="E237" s="75"/>
      <c r="F237" s="76"/>
      <c r="G237" s="47"/>
      <c r="H237" s="47"/>
      <c r="I237" s="75"/>
      <c r="J237" s="76"/>
      <c r="K237" s="76"/>
      <c r="L237" s="75"/>
      <c r="M237" s="49"/>
      <c r="N237" s="76"/>
      <c r="O237" s="49"/>
      <c r="P237" s="77"/>
      <c r="Q237" s="53"/>
      <c r="R237" s="54"/>
      <c r="S237" s="55"/>
      <c r="T237" s="56"/>
      <c r="U237" s="56"/>
      <c r="V237" s="42"/>
      <c r="W237" s="57"/>
      <c r="X237" s="58"/>
      <c r="Y237" s="75"/>
      <c r="Z237" s="59"/>
      <c r="AA237" s="61"/>
      <c r="AB237" s="61"/>
      <c r="AC237" s="61"/>
      <c r="AD237" s="62"/>
      <c r="AE237" s="62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</row>
    <row r="238" spans="1:77" x14ac:dyDescent="0.3">
      <c r="A238" s="39"/>
      <c r="B238" s="42"/>
      <c r="C238" s="42"/>
      <c r="D238" s="75"/>
      <c r="E238" s="75"/>
      <c r="F238" s="76"/>
      <c r="G238" s="47"/>
      <c r="H238" s="47"/>
      <c r="I238" s="75"/>
      <c r="J238" s="76"/>
      <c r="K238" s="76"/>
      <c r="L238" s="75"/>
      <c r="M238" s="49"/>
      <c r="N238" s="76"/>
      <c r="O238" s="49"/>
      <c r="P238" s="77"/>
      <c r="Q238" s="53"/>
      <c r="R238" s="54"/>
      <c r="S238" s="55"/>
      <c r="T238" s="56"/>
      <c r="U238" s="56"/>
      <c r="V238" s="42"/>
      <c r="W238" s="57"/>
      <c r="X238" s="58"/>
      <c r="Y238" s="75"/>
      <c r="Z238" s="59"/>
      <c r="AA238" s="61"/>
      <c r="AB238" s="61"/>
      <c r="AC238" s="61"/>
      <c r="AD238" s="62"/>
      <c r="AE238" s="62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</row>
    <row r="239" spans="1:77" x14ac:dyDescent="0.3">
      <c r="A239" s="39"/>
      <c r="B239" s="42"/>
      <c r="C239" s="42"/>
      <c r="D239" s="75"/>
      <c r="E239" s="75"/>
      <c r="F239" s="76"/>
      <c r="G239" s="47"/>
      <c r="H239" s="47"/>
      <c r="I239" s="75"/>
      <c r="J239" s="76"/>
      <c r="K239" s="76"/>
      <c r="L239" s="75"/>
      <c r="M239" s="49"/>
      <c r="N239" s="76"/>
      <c r="O239" s="49"/>
      <c r="P239" s="77"/>
      <c r="Q239" s="53"/>
      <c r="R239" s="54"/>
      <c r="S239" s="55"/>
      <c r="T239" s="56"/>
      <c r="U239" s="56"/>
      <c r="V239" s="42"/>
      <c r="W239" s="57"/>
      <c r="X239" s="58"/>
      <c r="Y239" s="75"/>
      <c r="Z239" s="59"/>
      <c r="AA239" s="61"/>
      <c r="AB239" s="61"/>
      <c r="AC239" s="61"/>
      <c r="AD239" s="62"/>
      <c r="AE239" s="62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</row>
    <row r="240" spans="1:77" x14ac:dyDescent="0.3">
      <c r="A240" s="39"/>
      <c r="B240" s="42"/>
      <c r="C240" s="42"/>
      <c r="D240" s="75"/>
      <c r="E240" s="75"/>
      <c r="F240" s="76"/>
      <c r="G240" s="47"/>
      <c r="H240" s="47"/>
      <c r="I240" s="75"/>
      <c r="J240" s="76"/>
      <c r="K240" s="76"/>
      <c r="L240" s="75"/>
      <c r="M240" s="49"/>
      <c r="N240" s="76"/>
      <c r="O240" s="49"/>
      <c r="P240" s="77"/>
      <c r="Q240" s="53"/>
      <c r="R240" s="54"/>
      <c r="S240" s="55"/>
      <c r="T240" s="56"/>
      <c r="U240" s="56"/>
      <c r="V240" s="42"/>
      <c r="W240" s="57"/>
      <c r="X240" s="58"/>
      <c r="Y240" s="75"/>
      <c r="Z240" s="59"/>
      <c r="AA240" s="61"/>
      <c r="AB240" s="61"/>
      <c r="AC240" s="61"/>
      <c r="AD240" s="62"/>
      <c r="AE240" s="62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</row>
    <row r="241" spans="1:77" x14ac:dyDescent="0.3">
      <c r="A241" s="39"/>
      <c r="B241" s="42"/>
      <c r="C241" s="42"/>
      <c r="D241" s="75"/>
      <c r="E241" s="75"/>
      <c r="F241" s="76"/>
      <c r="G241" s="47"/>
      <c r="H241" s="47"/>
      <c r="I241" s="75"/>
      <c r="J241" s="76"/>
      <c r="K241" s="76"/>
      <c r="L241" s="75"/>
      <c r="M241" s="49"/>
      <c r="N241" s="76"/>
      <c r="O241" s="49"/>
      <c r="P241" s="77"/>
      <c r="Q241" s="53"/>
      <c r="R241" s="54"/>
      <c r="S241" s="55"/>
      <c r="T241" s="56"/>
      <c r="U241" s="56"/>
      <c r="V241" s="42"/>
      <c r="W241" s="57"/>
      <c r="X241" s="58"/>
      <c r="Y241" s="75"/>
      <c r="Z241" s="59"/>
      <c r="AA241" s="61"/>
      <c r="AB241" s="61"/>
      <c r="AC241" s="61"/>
      <c r="AD241" s="62"/>
      <c r="AE241" s="62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</row>
    <row r="242" spans="1:77" x14ac:dyDescent="0.3">
      <c r="A242" s="39"/>
      <c r="B242" s="42"/>
      <c r="C242" s="42"/>
      <c r="D242" s="75"/>
      <c r="E242" s="75"/>
      <c r="F242" s="76"/>
      <c r="G242" s="47"/>
      <c r="H242" s="47"/>
      <c r="I242" s="75"/>
      <c r="J242" s="76"/>
      <c r="K242" s="76"/>
      <c r="L242" s="75"/>
      <c r="M242" s="49"/>
      <c r="N242" s="76"/>
      <c r="O242" s="49"/>
      <c r="P242" s="77"/>
      <c r="Q242" s="53"/>
      <c r="R242" s="54"/>
      <c r="S242" s="55"/>
      <c r="T242" s="56"/>
      <c r="U242" s="56"/>
      <c r="V242" s="42"/>
      <c r="W242" s="57"/>
      <c r="X242" s="58"/>
      <c r="Y242" s="75"/>
      <c r="Z242" s="59"/>
      <c r="AA242" s="61"/>
      <c r="AB242" s="61"/>
      <c r="AC242" s="61"/>
      <c r="AD242" s="62"/>
      <c r="AE242" s="62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</row>
    <row r="243" spans="1:77" x14ac:dyDescent="0.3">
      <c r="A243" s="39"/>
      <c r="B243" s="42"/>
      <c r="C243" s="42"/>
      <c r="D243" s="75"/>
      <c r="E243" s="75"/>
      <c r="F243" s="76"/>
      <c r="G243" s="47"/>
      <c r="H243" s="47"/>
      <c r="I243" s="75"/>
      <c r="J243" s="76"/>
      <c r="K243" s="76"/>
      <c r="L243" s="75"/>
      <c r="M243" s="49"/>
      <c r="N243" s="76"/>
      <c r="O243" s="49"/>
      <c r="P243" s="77"/>
      <c r="Q243" s="53"/>
      <c r="R243" s="54"/>
      <c r="S243" s="55"/>
      <c r="T243" s="56"/>
      <c r="U243" s="56"/>
      <c r="V243" s="42"/>
      <c r="W243" s="57"/>
      <c r="X243" s="58"/>
      <c r="Y243" s="75"/>
      <c r="Z243" s="59"/>
      <c r="AA243" s="61"/>
      <c r="AB243" s="61"/>
      <c r="AC243" s="61"/>
      <c r="AD243" s="62"/>
      <c r="AE243" s="62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</row>
    <row r="244" spans="1:77" x14ac:dyDescent="0.3">
      <c r="A244" s="39"/>
      <c r="B244" s="42"/>
      <c r="C244" s="42"/>
      <c r="D244" s="75"/>
      <c r="E244" s="75"/>
      <c r="F244" s="76"/>
      <c r="G244" s="47"/>
      <c r="H244" s="47"/>
      <c r="I244" s="75"/>
      <c r="J244" s="76"/>
      <c r="K244" s="76"/>
      <c r="L244" s="75"/>
      <c r="M244" s="49"/>
      <c r="N244" s="76"/>
      <c r="O244" s="49"/>
      <c r="P244" s="77"/>
      <c r="Q244" s="53"/>
      <c r="R244" s="54"/>
      <c r="S244" s="55"/>
      <c r="T244" s="56"/>
      <c r="U244" s="56"/>
      <c r="V244" s="42"/>
      <c r="W244" s="57"/>
      <c r="X244" s="58"/>
      <c r="Y244" s="75"/>
      <c r="Z244" s="59"/>
      <c r="AA244" s="61"/>
      <c r="AB244" s="61"/>
      <c r="AC244" s="61"/>
      <c r="AD244" s="62"/>
      <c r="AE244" s="62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</row>
    <row r="245" spans="1:77" x14ac:dyDescent="0.3">
      <c r="A245" s="39"/>
      <c r="B245" s="42"/>
      <c r="C245" s="42"/>
      <c r="D245" s="75"/>
      <c r="E245" s="75"/>
      <c r="F245" s="76"/>
      <c r="G245" s="47"/>
      <c r="H245" s="47"/>
      <c r="I245" s="75"/>
      <c r="J245" s="76"/>
      <c r="K245" s="76"/>
      <c r="L245" s="75"/>
      <c r="M245" s="49"/>
      <c r="N245" s="76"/>
      <c r="O245" s="49"/>
      <c r="P245" s="77"/>
      <c r="Q245" s="53"/>
      <c r="R245" s="54"/>
      <c r="S245" s="55"/>
      <c r="T245" s="56"/>
      <c r="U245" s="56"/>
      <c r="V245" s="42"/>
      <c r="W245" s="57"/>
      <c r="X245" s="58"/>
      <c r="Y245" s="75"/>
      <c r="Z245" s="59"/>
      <c r="AA245" s="61"/>
      <c r="AB245" s="61"/>
      <c r="AC245" s="61"/>
      <c r="AD245" s="62"/>
      <c r="AE245" s="62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</row>
    <row r="246" spans="1:77" x14ac:dyDescent="0.3">
      <c r="A246" s="39"/>
      <c r="B246" s="42"/>
      <c r="C246" s="42"/>
      <c r="D246" s="75"/>
      <c r="E246" s="75"/>
      <c r="F246" s="76"/>
      <c r="G246" s="47"/>
      <c r="H246" s="47"/>
      <c r="I246" s="75"/>
      <c r="J246" s="76"/>
      <c r="K246" s="76"/>
      <c r="L246" s="75"/>
      <c r="M246" s="49"/>
      <c r="N246" s="76"/>
      <c r="O246" s="49"/>
      <c r="P246" s="77"/>
      <c r="Q246" s="53"/>
      <c r="R246" s="54"/>
      <c r="S246" s="55"/>
      <c r="T246" s="56"/>
      <c r="U246" s="56"/>
      <c r="V246" s="42"/>
      <c r="W246" s="57"/>
      <c r="X246" s="58"/>
      <c r="Y246" s="75"/>
      <c r="Z246" s="59"/>
      <c r="AA246" s="61"/>
      <c r="AB246" s="61"/>
      <c r="AC246" s="61"/>
      <c r="AD246" s="62"/>
      <c r="AE246" s="62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</row>
    <row r="247" spans="1:77" x14ac:dyDescent="0.3">
      <c r="A247" s="39"/>
      <c r="B247" s="42"/>
      <c r="C247" s="42"/>
      <c r="D247" s="75"/>
      <c r="E247" s="75"/>
      <c r="F247" s="76"/>
      <c r="G247" s="47"/>
      <c r="H247" s="47"/>
      <c r="I247" s="75"/>
      <c r="J247" s="76"/>
      <c r="K247" s="76"/>
      <c r="L247" s="75"/>
      <c r="M247" s="49"/>
      <c r="N247" s="76"/>
      <c r="O247" s="49"/>
      <c r="P247" s="77"/>
      <c r="Q247" s="53"/>
      <c r="R247" s="54"/>
      <c r="S247" s="55"/>
      <c r="T247" s="56"/>
      <c r="U247" s="56"/>
      <c r="V247" s="42"/>
      <c r="W247" s="57"/>
      <c r="X247" s="58"/>
      <c r="Y247" s="75"/>
      <c r="Z247" s="59"/>
      <c r="AA247" s="61"/>
      <c r="AB247" s="61"/>
      <c r="AC247" s="61"/>
      <c r="AD247" s="62"/>
      <c r="AE247" s="62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</row>
    <row r="248" spans="1:77" x14ac:dyDescent="0.3">
      <c r="A248" s="39"/>
      <c r="B248" s="42"/>
      <c r="C248" s="42"/>
      <c r="D248" s="75"/>
      <c r="E248" s="75"/>
      <c r="F248" s="76"/>
      <c r="G248" s="47"/>
      <c r="H248" s="47"/>
      <c r="I248" s="75"/>
      <c r="J248" s="76"/>
      <c r="K248" s="76"/>
      <c r="L248" s="75"/>
      <c r="M248" s="49"/>
      <c r="N248" s="76"/>
      <c r="O248" s="49"/>
      <c r="P248" s="77"/>
      <c r="Q248" s="53"/>
      <c r="R248" s="54"/>
      <c r="S248" s="55"/>
      <c r="T248" s="56"/>
      <c r="U248" s="56"/>
      <c r="V248" s="42"/>
      <c r="W248" s="57"/>
      <c r="X248" s="58"/>
      <c r="Y248" s="75"/>
      <c r="Z248" s="59"/>
      <c r="AA248" s="61"/>
      <c r="AB248" s="61"/>
      <c r="AC248" s="61"/>
      <c r="AD248" s="62"/>
      <c r="AE248" s="62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</row>
    <row r="249" spans="1:77" x14ac:dyDescent="0.3">
      <c r="A249" s="39"/>
      <c r="B249" s="42"/>
      <c r="C249" s="42"/>
      <c r="D249" s="75"/>
      <c r="E249" s="75"/>
      <c r="F249" s="76"/>
      <c r="G249" s="47"/>
      <c r="H249" s="47"/>
      <c r="I249" s="75"/>
      <c r="J249" s="76"/>
      <c r="K249" s="76"/>
      <c r="L249" s="75"/>
      <c r="M249" s="49"/>
      <c r="N249" s="76"/>
      <c r="O249" s="49"/>
      <c r="P249" s="77"/>
      <c r="Q249" s="53"/>
      <c r="R249" s="54"/>
      <c r="S249" s="55"/>
      <c r="T249" s="56"/>
      <c r="U249" s="56"/>
      <c r="V249" s="42"/>
      <c r="W249" s="57"/>
      <c r="X249" s="58"/>
      <c r="Y249" s="75"/>
      <c r="Z249" s="59"/>
      <c r="AA249" s="61"/>
      <c r="AB249" s="61"/>
      <c r="AC249" s="61"/>
      <c r="AD249" s="62"/>
      <c r="AE249" s="62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</row>
    <row r="250" spans="1:77" x14ac:dyDescent="0.3">
      <c r="A250" s="39"/>
      <c r="B250" s="42"/>
      <c r="C250" s="42"/>
      <c r="D250" s="75"/>
      <c r="E250" s="75"/>
      <c r="F250" s="76"/>
      <c r="G250" s="47"/>
      <c r="H250" s="47"/>
      <c r="I250" s="75"/>
      <c r="J250" s="76"/>
      <c r="K250" s="76"/>
      <c r="L250" s="75"/>
      <c r="M250" s="49"/>
      <c r="N250" s="76"/>
      <c r="O250" s="49"/>
      <c r="P250" s="77"/>
      <c r="Q250" s="53"/>
      <c r="R250" s="54"/>
      <c r="S250" s="55"/>
      <c r="T250" s="56"/>
      <c r="U250" s="56"/>
      <c r="V250" s="42"/>
      <c r="W250" s="57"/>
      <c r="X250" s="58"/>
      <c r="Y250" s="75"/>
      <c r="Z250" s="59"/>
      <c r="AA250" s="61"/>
      <c r="AB250" s="61"/>
      <c r="AC250" s="61"/>
      <c r="AD250" s="62"/>
      <c r="AE250" s="62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</row>
    <row r="251" spans="1:77" x14ac:dyDescent="0.3">
      <c r="A251" s="39"/>
      <c r="B251" s="42"/>
      <c r="C251" s="42"/>
      <c r="D251" s="75"/>
      <c r="E251" s="75"/>
      <c r="F251" s="76"/>
      <c r="G251" s="47"/>
      <c r="H251" s="47"/>
      <c r="I251" s="75"/>
      <c r="J251" s="76"/>
      <c r="K251" s="76"/>
      <c r="L251" s="75"/>
      <c r="M251" s="49"/>
      <c r="N251" s="76"/>
      <c r="O251" s="49"/>
      <c r="P251" s="77"/>
      <c r="Q251" s="53"/>
      <c r="R251" s="54"/>
      <c r="S251" s="55"/>
      <c r="T251" s="56"/>
      <c r="U251" s="56"/>
      <c r="V251" s="42"/>
      <c r="W251" s="57"/>
      <c r="X251" s="58"/>
      <c r="Y251" s="75"/>
      <c r="Z251" s="59"/>
      <c r="AA251" s="61"/>
      <c r="AB251" s="61"/>
      <c r="AC251" s="61"/>
      <c r="AD251" s="62"/>
      <c r="AE251" s="62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</row>
    <row r="252" spans="1:77" x14ac:dyDescent="0.3">
      <c r="A252" s="39"/>
      <c r="B252" s="42"/>
      <c r="C252" s="42"/>
      <c r="D252" s="75"/>
      <c r="E252" s="75"/>
      <c r="F252" s="76"/>
      <c r="G252" s="47"/>
      <c r="H252" s="47"/>
      <c r="I252" s="75"/>
      <c r="J252" s="76"/>
      <c r="K252" s="76"/>
      <c r="L252" s="75"/>
      <c r="M252" s="49"/>
      <c r="N252" s="76"/>
      <c r="O252" s="49"/>
      <c r="P252" s="77"/>
      <c r="Q252" s="53"/>
      <c r="R252" s="54"/>
      <c r="S252" s="55"/>
      <c r="T252" s="56"/>
      <c r="U252" s="56"/>
      <c r="V252" s="42"/>
      <c r="W252" s="57"/>
      <c r="X252" s="58"/>
      <c r="Y252" s="75"/>
      <c r="Z252" s="59"/>
      <c r="AA252" s="61"/>
      <c r="AB252" s="61"/>
      <c r="AC252" s="61"/>
      <c r="AD252" s="62"/>
      <c r="AE252" s="62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</row>
    <row r="253" spans="1:77" x14ac:dyDescent="0.3">
      <c r="A253" s="39"/>
      <c r="B253" s="42"/>
      <c r="C253" s="42"/>
      <c r="D253" s="75"/>
      <c r="E253" s="75"/>
      <c r="F253" s="76"/>
      <c r="G253" s="47"/>
      <c r="H253" s="47"/>
      <c r="I253" s="75"/>
      <c r="J253" s="76"/>
      <c r="K253" s="76"/>
      <c r="L253" s="75"/>
      <c r="M253" s="49"/>
      <c r="N253" s="76"/>
      <c r="O253" s="49"/>
      <c r="P253" s="77"/>
      <c r="Q253" s="53"/>
      <c r="R253" s="54"/>
      <c r="S253" s="55"/>
      <c r="T253" s="56"/>
      <c r="U253" s="56"/>
      <c r="V253" s="42"/>
      <c r="W253" s="57"/>
      <c r="X253" s="58"/>
      <c r="Y253" s="75"/>
      <c r="Z253" s="59"/>
      <c r="AA253" s="61"/>
      <c r="AB253" s="61"/>
      <c r="AC253" s="61"/>
      <c r="AD253" s="62"/>
      <c r="AE253" s="62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</row>
    <row r="254" spans="1:77" x14ac:dyDescent="0.3">
      <c r="A254" s="39"/>
      <c r="B254" s="42"/>
      <c r="C254" s="42"/>
      <c r="D254" s="75"/>
      <c r="E254" s="75"/>
      <c r="F254" s="76"/>
      <c r="G254" s="47"/>
      <c r="H254" s="47"/>
      <c r="I254" s="75"/>
      <c r="J254" s="76"/>
      <c r="K254" s="76"/>
      <c r="L254" s="75"/>
      <c r="M254" s="49"/>
      <c r="N254" s="76"/>
      <c r="O254" s="49"/>
      <c r="P254" s="77"/>
      <c r="Q254" s="53"/>
      <c r="R254" s="54"/>
      <c r="S254" s="55"/>
      <c r="T254" s="56"/>
      <c r="U254" s="56"/>
      <c r="V254" s="42"/>
      <c r="W254" s="57"/>
      <c r="X254" s="58"/>
      <c r="Y254" s="75"/>
      <c r="Z254" s="59"/>
      <c r="AA254" s="61"/>
      <c r="AB254" s="61"/>
      <c r="AC254" s="61"/>
      <c r="AD254" s="62"/>
      <c r="AE254" s="62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</row>
    <row r="255" spans="1:77" x14ac:dyDescent="0.3">
      <c r="A255" s="39"/>
      <c r="B255" s="42"/>
      <c r="C255" s="42"/>
      <c r="D255" s="75"/>
      <c r="E255" s="75"/>
      <c r="F255" s="76"/>
      <c r="G255" s="47"/>
      <c r="H255" s="47"/>
      <c r="I255" s="75"/>
      <c r="J255" s="76"/>
      <c r="K255" s="76"/>
      <c r="L255" s="75"/>
      <c r="M255" s="49"/>
      <c r="N255" s="76"/>
      <c r="O255" s="49"/>
      <c r="P255" s="77"/>
      <c r="Q255" s="53"/>
      <c r="R255" s="54"/>
      <c r="S255" s="55"/>
      <c r="T255" s="56"/>
      <c r="U255" s="56"/>
      <c r="V255" s="42"/>
      <c r="W255" s="57"/>
      <c r="X255" s="58"/>
      <c r="Y255" s="75"/>
      <c r="Z255" s="59"/>
      <c r="AA255" s="61"/>
      <c r="AB255" s="61"/>
      <c r="AC255" s="61"/>
      <c r="AD255" s="62"/>
      <c r="AE255" s="62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</row>
    <row r="256" spans="1:77" x14ac:dyDescent="0.3">
      <c r="A256" s="39"/>
      <c r="B256" s="42"/>
      <c r="C256" s="42"/>
      <c r="D256" s="75"/>
      <c r="E256" s="75"/>
      <c r="F256" s="76"/>
      <c r="G256" s="47"/>
      <c r="H256" s="47"/>
      <c r="I256" s="75"/>
      <c r="J256" s="76"/>
      <c r="K256" s="76"/>
      <c r="L256" s="75"/>
      <c r="M256" s="49"/>
      <c r="N256" s="76"/>
      <c r="O256" s="49"/>
      <c r="P256" s="77"/>
      <c r="Q256" s="53"/>
      <c r="R256" s="54"/>
      <c r="S256" s="55"/>
      <c r="T256" s="56"/>
      <c r="U256" s="56"/>
      <c r="V256" s="42"/>
      <c r="W256" s="57"/>
      <c r="X256" s="58"/>
      <c r="Y256" s="75"/>
      <c r="Z256" s="59"/>
      <c r="AA256" s="61"/>
      <c r="AB256" s="61"/>
      <c r="AC256" s="61"/>
      <c r="AD256" s="62"/>
      <c r="AE256" s="62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</row>
    <row r="257" spans="1:77" x14ac:dyDescent="0.3">
      <c r="A257" s="39"/>
      <c r="B257" s="42"/>
      <c r="C257" s="42"/>
      <c r="D257" s="75"/>
      <c r="E257" s="75"/>
      <c r="F257" s="76"/>
      <c r="G257" s="47"/>
      <c r="H257" s="47"/>
      <c r="I257" s="75"/>
      <c r="J257" s="76"/>
      <c r="K257" s="76"/>
      <c r="L257" s="75"/>
      <c r="M257" s="49"/>
      <c r="N257" s="76"/>
      <c r="O257" s="49"/>
      <c r="P257" s="77"/>
      <c r="Q257" s="53"/>
      <c r="R257" s="54"/>
      <c r="S257" s="55"/>
      <c r="T257" s="56"/>
      <c r="U257" s="56"/>
      <c r="V257" s="42"/>
      <c r="W257" s="57"/>
      <c r="X257" s="58"/>
      <c r="Y257" s="75"/>
      <c r="Z257" s="59"/>
      <c r="AA257" s="61"/>
      <c r="AB257" s="61"/>
      <c r="AC257" s="61"/>
      <c r="AD257" s="62"/>
      <c r="AE257" s="62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</row>
    <row r="258" spans="1:77" x14ac:dyDescent="0.3">
      <c r="A258" s="39"/>
      <c r="B258" s="42"/>
      <c r="C258" s="42"/>
      <c r="D258" s="75"/>
      <c r="E258" s="75"/>
      <c r="F258" s="76"/>
      <c r="G258" s="47"/>
      <c r="H258" s="47"/>
      <c r="I258" s="75"/>
      <c r="J258" s="76"/>
      <c r="K258" s="76"/>
      <c r="L258" s="75"/>
      <c r="M258" s="49"/>
      <c r="N258" s="76"/>
      <c r="O258" s="49"/>
      <c r="P258" s="77"/>
      <c r="Q258" s="53"/>
      <c r="R258" s="54"/>
      <c r="S258" s="55"/>
      <c r="T258" s="56"/>
      <c r="U258" s="56"/>
      <c r="V258" s="42"/>
      <c r="W258" s="57"/>
      <c r="X258" s="58"/>
      <c r="Y258" s="75"/>
      <c r="Z258" s="59"/>
      <c r="AA258" s="61"/>
      <c r="AB258" s="61"/>
      <c r="AC258" s="61"/>
      <c r="AD258" s="62"/>
      <c r="AE258" s="62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</row>
    <row r="259" spans="1:77" x14ac:dyDescent="0.3">
      <c r="A259" s="39"/>
      <c r="B259" s="42"/>
      <c r="C259" s="42"/>
      <c r="D259" s="75"/>
      <c r="E259" s="75"/>
      <c r="F259" s="76"/>
      <c r="G259" s="47"/>
      <c r="H259" s="47"/>
      <c r="I259" s="75"/>
      <c r="J259" s="76"/>
      <c r="K259" s="76"/>
      <c r="L259" s="75"/>
      <c r="M259" s="49"/>
      <c r="N259" s="76"/>
      <c r="O259" s="49"/>
      <c r="P259" s="77"/>
      <c r="Q259" s="53"/>
      <c r="R259" s="54"/>
      <c r="S259" s="55"/>
      <c r="T259" s="56"/>
      <c r="U259" s="56"/>
      <c r="V259" s="42"/>
      <c r="W259" s="57"/>
      <c r="X259" s="58"/>
      <c r="Y259" s="75"/>
      <c r="Z259" s="59"/>
      <c r="AA259" s="61"/>
      <c r="AB259" s="61"/>
      <c r="AC259" s="61"/>
      <c r="AD259" s="62"/>
      <c r="AE259" s="62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</row>
    <row r="260" spans="1:77" x14ac:dyDescent="0.3">
      <c r="A260" s="39"/>
      <c r="B260" s="42"/>
      <c r="C260" s="42"/>
      <c r="D260" s="75"/>
      <c r="E260" s="75"/>
      <c r="F260" s="76"/>
      <c r="G260" s="47"/>
      <c r="H260" s="47"/>
      <c r="I260" s="75"/>
      <c r="J260" s="76"/>
      <c r="K260" s="76"/>
      <c r="L260" s="75"/>
      <c r="M260" s="49"/>
      <c r="N260" s="76"/>
      <c r="O260" s="49"/>
      <c r="P260" s="77"/>
      <c r="Q260" s="53"/>
      <c r="R260" s="54"/>
      <c r="S260" s="55"/>
      <c r="T260" s="56"/>
      <c r="U260" s="56"/>
      <c r="V260" s="42"/>
      <c r="W260" s="57"/>
      <c r="X260" s="58"/>
      <c r="Y260" s="75"/>
      <c r="Z260" s="59"/>
      <c r="AA260" s="61"/>
      <c r="AB260" s="61"/>
      <c r="AC260" s="61"/>
      <c r="AD260" s="62"/>
      <c r="AE260" s="62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</row>
    <row r="261" spans="1:77" x14ac:dyDescent="0.3">
      <c r="A261" s="39"/>
      <c r="B261" s="42"/>
      <c r="C261" s="42"/>
      <c r="D261" s="75"/>
      <c r="E261" s="75"/>
      <c r="F261" s="76"/>
      <c r="G261" s="47"/>
      <c r="H261" s="47"/>
      <c r="I261" s="75"/>
      <c r="J261" s="76"/>
      <c r="K261" s="76"/>
      <c r="L261" s="75"/>
      <c r="M261" s="49"/>
      <c r="N261" s="76"/>
      <c r="O261" s="49"/>
      <c r="P261" s="77"/>
      <c r="Q261" s="53"/>
      <c r="R261" s="54"/>
      <c r="S261" s="55"/>
      <c r="T261" s="56"/>
      <c r="U261" s="56"/>
      <c r="V261" s="42"/>
      <c r="W261" s="57"/>
      <c r="X261" s="58"/>
      <c r="Y261" s="75"/>
      <c r="Z261" s="59"/>
      <c r="AA261" s="61"/>
      <c r="AB261" s="61"/>
      <c r="AC261" s="61"/>
      <c r="AD261" s="62"/>
      <c r="AE261" s="62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</row>
    <row r="262" spans="1:77" x14ac:dyDescent="0.3">
      <c r="A262" s="39"/>
      <c r="B262" s="42"/>
      <c r="C262" s="42"/>
      <c r="D262" s="75"/>
      <c r="E262" s="75"/>
      <c r="F262" s="76"/>
      <c r="G262" s="47"/>
      <c r="H262" s="47"/>
      <c r="I262" s="75"/>
      <c r="J262" s="76"/>
      <c r="K262" s="76"/>
      <c r="L262" s="75"/>
      <c r="M262" s="49"/>
      <c r="N262" s="76"/>
      <c r="O262" s="49"/>
      <c r="P262" s="77"/>
      <c r="Q262" s="53"/>
      <c r="R262" s="54"/>
      <c r="S262" s="55"/>
      <c r="T262" s="56"/>
      <c r="U262" s="56"/>
      <c r="V262" s="42"/>
      <c r="W262" s="57"/>
      <c r="X262" s="58"/>
      <c r="Y262" s="75"/>
      <c r="Z262" s="59"/>
      <c r="AA262" s="61"/>
      <c r="AB262" s="61"/>
      <c r="AC262" s="61"/>
      <c r="AD262" s="62"/>
      <c r="AE262" s="62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</row>
    <row r="263" spans="1:77" x14ac:dyDescent="0.3">
      <c r="A263" s="39"/>
      <c r="B263" s="42"/>
      <c r="C263" s="42"/>
      <c r="D263" s="75"/>
      <c r="E263" s="75"/>
      <c r="F263" s="76"/>
      <c r="G263" s="47"/>
      <c r="H263" s="47"/>
      <c r="I263" s="75"/>
      <c r="J263" s="76"/>
      <c r="K263" s="76"/>
      <c r="L263" s="75"/>
      <c r="M263" s="49"/>
      <c r="N263" s="76"/>
      <c r="O263" s="49"/>
      <c r="P263" s="77"/>
      <c r="Q263" s="53"/>
      <c r="R263" s="54"/>
      <c r="S263" s="55"/>
      <c r="T263" s="56"/>
      <c r="U263" s="56"/>
      <c r="V263" s="42"/>
      <c r="W263" s="57"/>
      <c r="X263" s="58"/>
      <c r="Y263" s="75"/>
      <c r="Z263" s="59"/>
      <c r="AA263" s="61"/>
      <c r="AB263" s="61"/>
      <c r="AC263" s="61"/>
      <c r="AD263" s="62"/>
      <c r="AE263" s="62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</row>
    <row r="264" spans="1:77" x14ac:dyDescent="0.3">
      <c r="A264" s="39"/>
      <c r="B264" s="42"/>
      <c r="C264" s="42"/>
      <c r="D264" s="75"/>
      <c r="E264" s="75"/>
      <c r="F264" s="76"/>
      <c r="G264" s="47"/>
      <c r="H264" s="47"/>
      <c r="I264" s="75"/>
      <c r="J264" s="76"/>
      <c r="K264" s="76"/>
      <c r="L264" s="75"/>
      <c r="M264" s="49"/>
      <c r="N264" s="76"/>
      <c r="O264" s="49"/>
      <c r="P264" s="77"/>
      <c r="Q264" s="53"/>
      <c r="R264" s="54"/>
      <c r="S264" s="55"/>
      <c r="T264" s="56"/>
      <c r="U264" s="56"/>
      <c r="V264" s="42"/>
      <c r="W264" s="57"/>
      <c r="X264" s="58"/>
      <c r="Y264" s="75"/>
      <c r="Z264" s="59"/>
      <c r="AA264" s="61"/>
      <c r="AB264" s="61"/>
      <c r="AC264" s="61"/>
      <c r="AD264" s="62"/>
      <c r="AE264" s="62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</row>
    <row r="265" spans="1:77" x14ac:dyDescent="0.3">
      <c r="A265" s="39"/>
      <c r="B265" s="42"/>
      <c r="C265" s="42"/>
      <c r="D265" s="75"/>
      <c r="E265" s="75"/>
      <c r="F265" s="76"/>
      <c r="G265" s="47"/>
      <c r="H265" s="47"/>
      <c r="I265" s="75"/>
      <c r="J265" s="76"/>
      <c r="K265" s="76"/>
      <c r="L265" s="75"/>
      <c r="M265" s="49"/>
      <c r="N265" s="76"/>
      <c r="O265" s="49"/>
      <c r="P265" s="77"/>
      <c r="Q265" s="53"/>
      <c r="R265" s="54"/>
      <c r="S265" s="55"/>
      <c r="T265" s="56"/>
      <c r="U265" s="56"/>
      <c r="V265" s="42"/>
      <c r="W265" s="57"/>
      <c r="X265" s="58"/>
      <c r="Y265" s="75"/>
      <c r="Z265" s="59"/>
      <c r="AA265" s="61"/>
      <c r="AB265" s="61"/>
      <c r="AC265" s="61"/>
      <c r="AD265" s="62"/>
      <c r="AE265" s="62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</row>
    <row r="266" spans="1:77" x14ac:dyDescent="0.3">
      <c r="A266" s="39"/>
      <c r="B266" s="42"/>
      <c r="C266" s="42"/>
      <c r="D266" s="75"/>
      <c r="E266" s="75"/>
      <c r="F266" s="76"/>
      <c r="G266" s="47"/>
      <c r="H266" s="47"/>
      <c r="I266" s="75"/>
      <c r="J266" s="76"/>
      <c r="K266" s="76"/>
      <c r="L266" s="75"/>
      <c r="M266" s="49"/>
      <c r="N266" s="76"/>
      <c r="O266" s="49"/>
      <c r="P266" s="77"/>
      <c r="Q266" s="53"/>
      <c r="R266" s="54"/>
      <c r="S266" s="55"/>
      <c r="T266" s="56"/>
      <c r="U266" s="56"/>
      <c r="V266" s="42"/>
      <c r="W266" s="57"/>
      <c r="X266" s="58"/>
      <c r="Y266" s="75"/>
      <c r="Z266" s="59"/>
      <c r="AA266" s="61"/>
      <c r="AB266" s="61"/>
      <c r="AC266" s="61"/>
      <c r="AD266" s="62"/>
      <c r="AE266" s="62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</row>
    <row r="267" spans="1:77" x14ac:dyDescent="0.3">
      <c r="A267" s="39"/>
      <c r="B267" s="42"/>
      <c r="C267" s="42"/>
      <c r="D267" s="75"/>
      <c r="E267" s="75"/>
      <c r="F267" s="76"/>
      <c r="G267" s="47"/>
      <c r="H267" s="47"/>
      <c r="I267" s="75"/>
      <c r="J267" s="76"/>
      <c r="K267" s="76"/>
      <c r="L267" s="75"/>
      <c r="M267" s="49"/>
      <c r="N267" s="76"/>
      <c r="O267" s="49"/>
      <c r="P267" s="77"/>
      <c r="Q267" s="53"/>
      <c r="R267" s="54"/>
      <c r="S267" s="55"/>
      <c r="T267" s="56"/>
      <c r="U267" s="56"/>
      <c r="V267" s="42"/>
      <c r="W267" s="57"/>
      <c r="X267" s="58"/>
      <c r="Y267" s="75"/>
      <c r="Z267" s="59"/>
      <c r="AA267" s="61"/>
      <c r="AB267" s="61"/>
      <c r="AC267" s="61"/>
      <c r="AD267" s="62"/>
      <c r="AE267" s="62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</row>
    <row r="268" spans="1:77" x14ac:dyDescent="0.3">
      <c r="A268" s="39"/>
      <c r="B268" s="42"/>
      <c r="C268" s="42"/>
      <c r="D268" s="75"/>
      <c r="E268" s="75"/>
      <c r="F268" s="76"/>
      <c r="G268" s="47"/>
      <c r="H268" s="47"/>
      <c r="I268" s="75"/>
      <c r="J268" s="76"/>
      <c r="K268" s="76"/>
      <c r="L268" s="75"/>
      <c r="M268" s="49"/>
      <c r="N268" s="76"/>
      <c r="O268" s="49"/>
      <c r="P268" s="77"/>
      <c r="Q268" s="53"/>
      <c r="R268" s="54"/>
      <c r="S268" s="55"/>
      <c r="T268" s="56"/>
      <c r="U268" s="56"/>
      <c r="V268" s="42"/>
      <c r="W268" s="57"/>
      <c r="X268" s="58"/>
      <c r="Y268" s="75"/>
      <c r="Z268" s="59"/>
      <c r="AA268" s="61"/>
      <c r="AB268" s="61"/>
      <c r="AC268" s="61"/>
      <c r="AD268" s="62"/>
      <c r="AE268" s="62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</row>
    <row r="269" spans="1:77" x14ac:dyDescent="0.3">
      <c r="A269" s="39"/>
      <c r="B269" s="42"/>
      <c r="C269" s="42"/>
      <c r="D269" s="75"/>
      <c r="E269" s="75"/>
      <c r="F269" s="76"/>
      <c r="G269" s="47"/>
      <c r="H269" s="47"/>
      <c r="I269" s="75"/>
      <c r="J269" s="76"/>
      <c r="K269" s="76"/>
      <c r="L269" s="75"/>
      <c r="M269" s="49"/>
      <c r="N269" s="76"/>
      <c r="O269" s="49"/>
      <c r="P269" s="77"/>
      <c r="Q269" s="53"/>
      <c r="R269" s="54"/>
      <c r="S269" s="55"/>
      <c r="T269" s="56"/>
      <c r="U269" s="56"/>
      <c r="V269" s="42"/>
      <c r="W269" s="57"/>
      <c r="X269" s="58"/>
      <c r="Y269" s="75"/>
      <c r="Z269" s="59"/>
      <c r="AA269" s="61"/>
      <c r="AB269" s="61"/>
      <c r="AC269" s="61"/>
      <c r="AD269" s="62"/>
      <c r="AE269" s="62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</row>
    <row r="270" spans="1:77" x14ac:dyDescent="0.3">
      <c r="A270" s="39"/>
      <c r="B270" s="42"/>
      <c r="C270" s="42"/>
      <c r="D270" s="75"/>
      <c r="E270" s="75"/>
      <c r="F270" s="76"/>
      <c r="G270" s="47"/>
      <c r="H270" s="47"/>
      <c r="I270" s="75"/>
      <c r="J270" s="76"/>
      <c r="K270" s="76"/>
      <c r="L270" s="75"/>
      <c r="M270" s="49"/>
      <c r="N270" s="76"/>
      <c r="O270" s="49"/>
      <c r="P270" s="77"/>
      <c r="Q270" s="53"/>
      <c r="R270" s="54"/>
      <c r="S270" s="55"/>
      <c r="T270" s="56"/>
      <c r="U270" s="56"/>
      <c r="V270" s="42"/>
      <c r="W270" s="57"/>
      <c r="X270" s="58"/>
      <c r="Y270" s="75"/>
      <c r="Z270" s="59"/>
      <c r="AA270" s="61"/>
      <c r="AB270" s="61"/>
      <c r="AC270" s="61"/>
      <c r="AD270" s="62"/>
      <c r="AE270" s="62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</row>
    <row r="271" spans="1:77" x14ac:dyDescent="0.3">
      <c r="A271" s="39"/>
      <c r="B271" s="42"/>
      <c r="C271" s="42"/>
      <c r="D271" s="75"/>
      <c r="E271" s="75"/>
      <c r="F271" s="76"/>
      <c r="G271" s="47"/>
      <c r="H271" s="47"/>
      <c r="I271" s="75"/>
      <c r="J271" s="76"/>
      <c r="K271" s="76"/>
      <c r="L271" s="75"/>
      <c r="M271" s="49"/>
      <c r="N271" s="76"/>
      <c r="O271" s="49"/>
      <c r="P271" s="77"/>
      <c r="Q271" s="53"/>
      <c r="R271" s="54"/>
      <c r="S271" s="55"/>
      <c r="T271" s="56"/>
      <c r="U271" s="56"/>
      <c r="V271" s="42"/>
      <c r="W271" s="57"/>
      <c r="X271" s="58"/>
      <c r="Y271" s="75"/>
      <c r="Z271" s="59"/>
      <c r="AA271" s="61"/>
      <c r="AB271" s="61"/>
      <c r="AC271" s="61"/>
      <c r="AD271" s="62"/>
      <c r="AE271" s="62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</row>
    <row r="272" spans="1:77" x14ac:dyDescent="0.3">
      <c r="A272" s="39"/>
      <c r="B272" s="42"/>
      <c r="C272" s="42"/>
      <c r="D272" s="75"/>
      <c r="E272" s="75"/>
      <c r="F272" s="76"/>
      <c r="G272" s="47"/>
      <c r="H272" s="47"/>
      <c r="I272" s="75"/>
      <c r="J272" s="76"/>
      <c r="K272" s="76"/>
      <c r="L272" s="75"/>
      <c r="M272" s="49"/>
      <c r="N272" s="76"/>
      <c r="O272" s="49"/>
      <c r="P272" s="77"/>
      <c r="Q272" s="53"/>
      <c r="R272" s="54"/>
      <c r="S272" s="55"/>
      <c r="T272" s="56"/>
      <c r="U272" s="56"/>
      <c r="V272" s="42"/>
      <c r="W272" s="57"/>
      <c r="X272" s="58"/>
      <c r="Y272" s="75"/>
      <c r="Z272" s="59"/>
      <c r="AA272" s="61"/>
      <c r="AB272" s="61"/>
      <c r="AC272" s="61"/>
      <c r="AD272" s="62"/>
      <c r="AE272" s="62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</row>
    <row r="273" spans="1:77" x14ac:dyDescent="0.3">
      <c r="A273" s="39"/>
      <c r="B273" s="42"/>
      <c r="C273" s="42"/>
      <c r="D273" s="75"/>
      <c r="E273" s="75"/>
      <c r="F273" s="76"/>
      <c r="G273" s="47"/>
      <c r="H273" s="47"/>
      <c r="I273" s="75"/>
      <c r="J273" s="76"/>
      <c r="K273" s="76"/>
      <c r="L273" s="75"/>
      <c r="M273" s="49"/>
      <c r="N273" s="76"/>
      <c r="O273" s="49"/>
      <c r="P273" s="77"/>
      <c r="Q273" s="53"/>
      <c r="R273" s="54"/>
      <c r="S273" s="55"/>
      <c r="T273" s="56"/>
      <c r="U273" s="56"/>
      <c r="V273" s="42"/>
      <c r="W273" s="57"/>
      <c r="X273" s="58"/>
      <c r="Y273" s="75"/>
      <c r="Z273" s="59"/>
      <c r="AA273" s="61"/>
      <c r="AB273" s="61"/>
      <c r="AC273" s="61"/>
      <c r="AD273" s="62"/>
      <c r="AE273" s="62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</row>
    <row r="274" spans="1:77" x14ac:dyDescent="0.3">
      <c r="A274" s="39"/>
      <c r="B274" s="42"/>
      <c r="C274" s="42"/>
      <c r="D274" s="75"/>
      <c r="E274" s="75"/>
      <c r="F274" s="76"/>
      <c r="G274" s="47"/>
      <c r="H274" s="47"/>
      <c r="I274" s="75"/>
      <c r="J274" s="76"/>
      <c r="K274" s="76"/>
      <c r="L274" s="75"/>
      <c r="M274" s="49"/>
      <c r="N274" s="76"/>
      <c r="O274" s="49"/>
      <c r="P274" s="77"/>
      <c r="Q274" s="53"/>
      <c r="R274" s="54"/>
      <c r="S274" s="55"/>
      <c r="T274" s="56"/>
      <c r="U274" s="56"/>
      <c r="V274" s="42"/>
      <c r="W274" s="57"/>
      <c r="X274" s="58"/>
      <c r="Y274" s="75"/>
      <c r="Z274" s="59"/>
      <c r="AA274" s="61"/>
      <c r="AB274" s="61"/>
      <c r="AC274" s="61"/>
      <c r="AD274" s="62"/>
      <c r="AE274" s="62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</row>
    <row r="275" spans="1:77" x14ac:dyDescent="0.3">
      <c r="A275" s="39"/>
      <c r="B275" s="42"/>
      <c r="C275" s="42"/>
      <c r="D275" s="75"/>
      <c r="E275" s="75"/>
      <c r="F275" s="76"/>
      <c r="G275" s="47"/>
      <c r="H275" s="47"/>
      <c r="I275" s="75"/>
      <c r="J275" s="76"/>
      <c r="K275" s="76"/>
      <c r="L275" s="75"/>
      <c r="M275" s="49"/>
      <c r="N275" s="76"/>
      <c r="O275" s="49"/>
      <c r="P275" s="77"/>
      <c r="Q275" s="53"/>
      <c r="R275" s="54"/>
      <c r="S275" s="55"/>
      <c r="T275" s="56"/>
      <c r="U275" s="56"/>
      <c r="V275" s="42"/>
      <c r="W275" s="57"/>
      <c r="X275" s="58"/>
      <c r="Y275" s="75"/>
      <c r="Z275" s="59"/>
      <c r="AA275" s="61"/>
      <c r="AB275" s="61"/>
      <c r="AC275" s="61"/>
      <c r="AD275" s="62"/>
      <c r="AE275" s="62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</row>
    <row r="276" spans="1:77" x14ac:dyDescent="0.3">
      <c r="A276" s="39"/>
      <c r="B276" s="42"/>
      <c r="C276" s="42"/>
      <c r="D276" s="75"/>
      <c r="E276" s="75"/>
      <c r="F276" s="76"/>
      <c r="G276" s="47"/>
      <c r="H276" s="47"/>
      <c r="I276" s="75"/>
      <c r="J276" s="76"/>
      <c r="K276" s="76"/>
      <c r="L276" s="75"/>
      <c r="M276" s="49"/>
      <c r="N276" s="76"/>
      <c r="O276" s="49"/>
      <c r="P276" s="77"/>
      <c r="Q276" s="53"/>
      <c r="R276" s="54"/>
      <c r="S276" s="55"/>
      <c r="T276" s="56"/>
      <c r="U276" s="56"/>
      <c r="V276" s="42"/>
      <c r="W276" s="57"/>
      <c r="X276" s="58"/>
      <c r="Y276" s="75"/>
      <c r="Z276" s="59"/>
      <c r="AA276" s="61"/>
      <c r="AB276" s="61"/>
      <c r="AC276" s="61"/>
      <c r="AD276" s="62"/>
      <c r="AE276" s="62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</row>
    <row r="277" spans="1:77" x14ac:dyDescent="0.3">
      <c r="A277" s="39"/>
      <c r="B277" s="42"/>
      <c r="C277" s="42"/>
      <c r="D277" s="75"/>
      <c r="E277" s="75"/>
      <c r="F277" s="76"/>
      <c r="G277" s="47"/>
      <c r="H277" s="47"/>
      <c r="I277" s="75"/>
      <c r="J277" s="76"/>
      <c r="K277" s="76"/>
      <c r="L277" s="75"/>
      <c r="M277" s="49"/>
      <c r="N277" s="76"/>
      <c r="O277" s="49"/>
      <c r="P277" s="77"/>
      <c r="Q277" s="53"/>
      <c r="R277" s="54"/>
      <c r="S277" s="55"/>
      <c r="T277" s="56"/>
      <c r="U277" s="56"/>
      <c r="V277" s="42"/>
      <c r="W277" s="57"/>
      <c r="X277" s="58"/>
      <c r="Y277" s="75"/>
      <c r="Z277" s="59"/>
      <c r="AA277" s="61"/>
      <c r="AB277" s="61"/>
      <c r="AC277" s="61"/>
      <c r="AD277" s="62"/>
      <c r="AE277" s="62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</row>
    <row r="278" spans="1:77" x14ac:dyDescent="0.3">
      <c r="A278" s="39"/>
      <c r="B278" s="42"/>
      <c r="C278" s="42"/>
      <c r="D278" s="75"/>
      <c r="E278" s="75"/>
      <c r="F278" s="76"/>
      <c r="G278" s="47"/>
      <c r="H278" s="47"/>
      <c r="I278" s="75"/>
      <c r="J278" s="76"/>
      <c r="K278" s="76"/>
      <c r="L278" s="75"/>
      <c r="M278" s="49"/>
      <c r="N278" s="76"/>
      <c r="O278" s="49"/>
      <c r="P278" s="77"/>
      <c r="Q278" s="53"/>
      <c r="R278" s="54"/>
      <c r="S278" s="55"/>
      <c r="T278" s="56"/>
      <c r="U278" s="56"/>
      <c r="V278" s="42"/>
      <c r="W278" s="57"/>
      <c r="X278" s="58"/>
      <c r="Y278" s="75"/>
      <c r="Z278" s="59"/>
      <c r="AA278" s="61"/>
      <c r="AB278" s="61"/>
      <c r="AC278" s="61"/>
      <c r="AD278" s="62"/>
      <c r="AE278" s="62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</row>
    <row r="279" spans="1:77" x14ac:dyDescent="0.3">
      <c r="A279" s="39"/>
      <c r="B279" s="42"/>
      <c r="C279" s="42"/>
      <c r="D279" s="75"/>
      <c r="E279" s="75"/>
      <c r="F279" s="76"/>
      <c r="G279" s="47"/>
      <c r="H279" s="47"/>
      <c r="I279" s="75"/>
      <c r="J279" s="76"/>
      <c r="K279" s="76"/>
      <c r="L279" s="75"/>
      <c r="M279" s="49"/>
      <c r="N279" s="76"/>
      <c r="O279" s="49"/>
      <c r="P279" s="77"/>
      <c r="Q279" s="53"/>
      <c r="R279" s="54"/>
      <c r="S279" s="55"/>
      <c r="T279" s="56"/>
      <c r="U279" s="56"/>
      <c r="V279" s="42"/>
      <c r="W279" s="57"/>
      <c r="X279" s="58"/>
      <c r="Y279" s="75"/>
      <c r="Z279" s="59"/>
      <c r="AA279" s="61"/>
      <c r="AB279" s="61"/>
      <c r="AC279" s="61"/>
      <c r="AD279" s="62"/>
      <c r="AE279" s="62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</row>
    <row r="280" spans="1:77" x14ac:dyDescent="0.3">
      <c r="A280" s="39"/>
      <c r="B280" s="42"/>
      <c r="C280" s="42"/>
      <c r="D280" s="75"/>
      <c r="E280" s="75"/>
      <c r="F280" s="76"/>
      <c r="G280" s="47"/>
      <c r="H280" s="47"/>
      <c r="I280" s="75"/>
      <c r="J280" s="76"/>
      <c r="K280" s="76"/>
      <c r="L280" s="75"/>
      <c r="M280" s="49"/>
      <c r="N280" s="76"/>
      <c r="O280" s="49"/>
      <c r="P280" s="77"/>
      <c r="Q280" s="53"/>
      <c r="R280" s="54"/>
      <c r="S280" s="55"/>
      <c r="T280" s="56"/>
      <c r="U280" s="56"/>
      <c r="V280" s="42"/>
      <c r="W280" s="57"/>
      <c r="X280" s="58"/>
      <c r="Y280" s="75"/>
      <c r="Z280" s="59"/>
      <c r="AA280" s="61"/>
      <c r="AB280" s="61"/>
      <c r="AC280" s="61"/>
      <c r="AD280" s="62"/>
      <c r="AE280" s="62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</row>
    <row r="281" spans="1:77" x14ac:dyDescent="0.3">
      <c r="A281" s="39"/>
      <c r="B281" s="42"/>
      <c r="C281" s="42"/>
      <c r="D281" s="75"/>
      <c r="E281" s="75"/>
      <c r="F281" s="76"/>
      <c r="G281" s="47"/>
      <c r="H281" s="47"/>
      <c r="I281" s="75"/>
      <c r="J281" s="76"/>
      <c r="K281" s="76"/>
      <c r="L281" s="75"/>
      <c r="M281" s="49"/>
      <c r="N281" s="76"/>
      <c r="O281" s="49"/>
      <c r="P281" s="77"/>
      <c r="Q281" s="53"/>
      <c r="R281" s="54"/>
      <c r="S281" s="55"/>
      <c r="T281" s="56"/>
      <c r="U281" s="56"/>
      <c r="V281" s="42"/>
      <c r="W281" s="57"/>
      <c r="X281" s="58"/>
      <c r="Y281" s="75"/>
      <c r="Z281" s="59"/>
      <c r="AA281" s="61"/>
      <c r="AB281" s="61"/>
      <c r="AC281" s="61"/>
      <c r="AD281" s="62"/>
      <c r="AE281" s="62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</row>
    <row r="282" spans="1:77" x14ac:dyDescent="0.3">
      <c r="A282" s="39"/>
      <c r="B282" s="42"/>
      <c r="C282" s="42"/>
      <c r="D282" s="75"/>
      <c r="E282" s="75"/>
      <c r="F282" s="76"/>
      <c r="G282" s="47"/>
      <c r="H282" s="47"/>
      <c r="I282" s="75"/>
      <c r="J282" s="76"/>
      <c r="K282" s="76"/>
      <c r="L282" s="75"/>
      <c r="M282" s="49"/>
      <c r="N282" s="76"/>
      <c r="O282" s="49"/>
      <c r="P282" s="77"/>
      <c r="Q282" s="53"/>
      <c r="R282" s="54"/>
      <c r="S282" s="55"/>
      <c r="T282" s="56"/>
      <c r="U282" s="56"/>
      <c r="V282" s="42"/>
      <c r="W282" s="57"/>
      <c r="X282" s="58"/>
      <c r="Y282" s="75"/>
      <c r="Z282" s="59"/>
      <c r="AA282" s="61"/>
      <c r="AB282" s="61"/>
      <c r="AC282" s="61"/>
      <c r="AD282" s="62"/>
      <c r="AE282" s="62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</row>
    <row r="283" spans="1:77" x14ac:dyDescent="0.3">
      <c r="A283" s="39"/>
      <c r="B283" s="42"/>
      <c r="C283" s="42"/>
      <c r="D283" s="75"/>
      <c r="E283" s="75"/>
      <c r="F283" s="76"/>
      <c r="G283" s="47"/>
      <c r="H283" s="47"/>
      <c r="I283" s="75"/>
      <c r="J283" s="76"/>
      <c r="K283" s="76"/>
      <c r="L283" s="75"/>
      <c r="M283" s="49"/>
      <c r="N283" s="76"/>
      <c r="O283" s="49"/>
      <c r="P283" s="77"/>
      <c r="Q283" s="53"/>
      <c r="R283" s="54"/>
      <c r="S283" s="55"/>
      <c r="T283" s="56"/>
      <c r="U283" s="56"/>
      <c r="V283" s="42"/>
      <c r="W283" s="57"/>
      <c r="X283" s="58"/>
      <c r="Y283" s="75"/>
      <c r="Z283" s="59"/>
      <c r="AA283" s="61"/>
      <c r="AB283" s="61"/>
      <c r="AC283" s="61"/>
      <c r="AD283" s="62"/>
      <c r="AE283" s="62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</row>
    <row r="284" spans="1:77" x14ac:dyDescent="0.3">
      <c r="A284" s="39"/>
      <c r="B284" s="42"/>
      <c r="C284" s="42"/>
      <c r="D284" s="75"/>
      <c r="E284" s="75"/>
      <c r="F284" s="76"/>
      <c r="G284" s="47"/>
      <c r="H284" s="47"/>
      <c r="I284" s="75"/>
      <c r="J284" s="76"/>
      <c r="K284" s="76"/>
      <c r="L284" s="75"/>
      <c r="M284" s="49"/>
      <c r="N284" s="76"/>
      <c r="O284" s="49"/>
      <c r="P284" s="77"/>
      <c r="Q284" s="53"/>
      <c r="R284" s="54"/>
      <c r="S284" s="55"/>
      <c r="T284" s="56"/>
      <c r="U284" s="56"/>
      <c r="V284" s="42"/>
      <c r="W284" s="57"/>
      <c r="X284" s="58"/>
      <c r="Y284" s="75"/>
      <c r="Z284" s="59"/>
      <c r="AA284" s="61"/>
      <c r="AB284" s="61"/>
      <c r="AC284" s="61"/>
      <c r="AD284" s="62"/>
      <c r="AE284" s="62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</row>
    <row r="285" spans="1:77" x14ac:dyDescent="0.3">
      <c r="A285" s="39"/>
      <c r="B285" s="42"/>
      <c r="C285" s="42"/>
      <c r="D285" s="75"/>
      <c r="E285" s="75"/>
      <c r="F285" s="76"/>
      <c r="G285" s="47"/>
      <c r="H285" s="47"/>
      <c r="I285" s="75"/>
      <c r="J285" s="76"/>
      <c r="K285" s="76"/>
      <c r="L285" s="75"/>
      <c r="M285" s="49"/>
      <c r="N285" s="76"/>
      <c r="O285" s="49"/>
      <c r="P285" s="77"/>
      <c r="Q285" s="53"/>
      <c r="R285" s="54"/>
      <c r="S285" s="55"/>
      <c r="T285" s="56"/>
      <c r="U285" s="56"/>
      <c r="V285" s="42"/>
      <c r="W285" s="57"/>
      <c r="X285" s="58"/>
      <c r="Y285" s="75"/>
      <c r="Z285" s="59"/>
      <c r="AA285" s="61"/>
      <c r="AB285" s="61"/>
      <c r="AC285" s="61"/>
      <c r="AD285" s="62"/>
      <c r="AE285" s="62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</row>
    <row r="286" spans="1:77" x14ac:dyDescent="0.3">
      <c r="A286" s="39"/>
      <c r="B286" s="42"/>
      <c r="C286" s="42"/>
      <c r="D286" s="75"/>
      <c r="E286" s="75"/>
      <c r="F286" s="76"/>
      <c r="G286" s="47"/>
      <c r="H286" s="47"/>
      <c r="I286" s="75"/>
      <c r="J286" s="76"/>
      <c r="K286" s="76"/>
      <c r="L286" s="75"/>
      <c r="M286" s="49"/>
      <c r="N286" s="76"/>
      <c r="O286" s="49"/>
      <c r="P286" s="77"/>
      <c r="Q286" s="53"/>
      <c r="R286" s="54"/>
      <c r="S286" s="55"/>
      <c r="T286" s="56"/>
      <c r="U286" s="56"/>
      <c r="V286" s="42"/>
      <c r="W286" s="57"/>
      <c r="X286" s="58"/>
      <c r="Y286" s="75"/>
      <c r="Z286" s="59"/>
      <c r="AA286" s="61"/>
      <c r="AB286" s="61"/>
      <c r="AC286" s="61"/>
      <c r="AD286" s="62"/>
      <c r="AE286" s="62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</row>
    <row r="287" spans="1:77" x14ac:dyDescent="0.3">
      <c r="A287" s="39"/>
      <c r="B287" s="42"/>
      <c r="C287" s="42"/>
      <c r="D287" s="75"/>
      <c r="E287" s="75"/>
      <c r="F287" s="76"/>
      <c r="G287" s="47"/>
      <c r="H287" s="47"/>
      <c r="I287" s="75"/>
      <c r="J287" s="76"/>
      <c r="K287" s="76"/>
      <c r="L287" s="75"/>
      <c r="M287" s="49"/>
      <c r="N287" s="76"/>
      <c r="O287" s="49"/>
      <c r="P287" s="77"/>
      <c r="Q287" s="53"/>
      <c r="R287" s="54"/>
      <c r="S287" s="55"/>
      <c r="T287" s="56"/>
      <c r="U287" s="56"/>
      <c r="V287" s="42"/>
      <c r="W287" s="57"/>
      <c r="X287" s="58"/>
      <c r="Y287" s="75"/>
      <c r="Z287" s="59"/>
      <c r="AA287" s="61"/>
      <c r="AB287" s="61"/>
      <c r="AC287" s="61"/>
      <c r="AD287" s="62"/>
      <c r="AE287" s="62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</row>
    <row r="288" spans="1:77" x14ac:dyDescent="0.3">
      <c r="A288" s="39"/>
      <c r="B288" s="42"/>
      <c r="C288" s="42"/>
      <c r="D288" s="75"/>
      <c r="E288" s="75"/>
      <c r="F288" s="76"/>
      <c r="G288" s="47"/>
      <c r="H288" s="47"/>
      <c r="I288" s="75"/>
      <c r="J288" s="76"/>
      <c r="K288" s="76"/>
      <c r="L288" s="75"/>
      <c r="M288" s="49"/>
      <c r="N288" s="76"/>
      <c r="O288" s="49"/>
      <c r="P288" s="77"/>
      <c r="Q288" s="53"/>
      <c r="R288" s="54"/>
      <c r="S288" s="55"/>
      <c r="T288" s="56"/>
      <c r="U288" s="56"/>
      <c r="V288" s="42"/>
      <c r="W288" s="57"/>
      <c r="X288" s="58"/>
      <c r="Y288" s="75"/>
      <c r="Z288" s="59"/>
      <c r="AA288" s="61"/>
      <c r="AB288" s="61"/>
      <c r="AC288" s="61"/>
      <c r="AD288" s="62"/>
      <c r="AE288" s="62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</row>
    <row r="289" spans="1:77" x14ac:dyDescent="0.3">
      <c r="A289" s="39"/>
      <c r="B289" s="42"/>
      <c r="C289" s="42"/>
      <c r="D289" s="75"/>
      <c r="E289" s="75"/>
      <c r="F289" s="76"/>
      <c r="G289" s="47"/>
      <c r="H289" s="47"/>
      <c r="I289" s="75"/>
      <c r="J289" s="76"/>
      <c r="K289" s="76"/>
      <c r="L289" s="75"/>
      <c r="M289" s="49"/>
      <c r="N289" s="76"/>
      <c r="O289" s="49"/>
      <c r="P289" s="77"/>
      <c r="Q289" s="53"/>
      <c r="R289" s="54"/>
      <c r="S289" s="55"/>
      <c r="T289" s="56"/>
      <c r="U289" s="56"/>
      <c r="V289" s="42"/>
      <c r="W289" s="57"/>
      <c r="X289" s="58"/>
      <c r="Y289" s="75"/>
      <c r="Z289" s="59"/>
      <c r="AA289" s="61"/>
      <c r="AB289" s="61"/>
      <c r="AC289" s="61"/>
      <c r="AD289" s="62"/>
      <c r="AE289" s="62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</row>
    <row r="290" spans="1:77" x14ac:dyDescent="0.3">
      <c r="A290" s="39"/>
      <c r="B290" s="42"/>
      <c r="C290" s="42"/>
      <c r="D290" s="75"/>
      <c r="E290" s="75"/>
      <c r="F290" s="76"/>
      <c r="G290" s="47"/>
      <c r="H290" s="47"/>
      <c r="I290" s="75"/>
      <c r="J290" s="76"/>
      <c r="K290" s="76"/>
      <c r="L290" s="75"/>
      <c r="M290" s="49"/>
      <c r="N290" s="76"/>
      <c r="O290" s="49"/>
      <c r="P290" s="77"/>
      <c r="Q290" s="53"/>
      <c r="R290" s="54"/>
      <c r="S290" s="55"/>
      <c r="T290" s="56"/>
      <c r="U290" s="56"/>
      <c r="V290" s="42"/>
      <c r="W290" s="57"/>
      <c r="X290" s="58"/>
      <c r="Y290" s="75"/>
      <c r="Z290" s="59"/>
      <c r="AA290" s="61"/>
      <c r="AB290" s="61"/>
      <c r="AC290" s="61"/>
      <c r="AD290" s="62"/>
      <c r="AE290" s="62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</row>
    <row r="291" spans="1:77" x14ac:dyDescent="0.3">
      <c r="A291" s="39"/>
      <c r="B291" s="42"/>
      <c r="C291" s="42"/>
      <c r="D291" s="75"/>
      <c r="E291" s="75"/>
      <c r="F291" s="76"/>
      <c r="G291" s="47"/>
      <c r="H291" s="47"/>
      <c r="I291" s="75"/>
      <c r="J291" s="76"/>
      <c r="K291" s="76"/>
      <c r="L291" s="75"/>
      <c r="M291" s="49"/>
      <c r="N291" s="76"/>
      <c r="O291" s="49"/>
      <c r="P291" s="77"/>
      <c r="Q291" s="53"/>
      <c r="R291" s="54"/>
      <c r="S291" s="55"/>
      <c r="T291" s="56"/>
      <c r="U291" s="56"/>
      <c r="V291" s="42"/>
      <c r="W291" s="57"/>
      <c r="X291" s="58"/>
      <c r="Y291" s="75"/>
      <c r="Z291" s="59"/>
      <c r="AA291" s="61"/>
      <c r="AB291" s="61"/>
      <c r="AC291" s="61"/>
      <c r="AD291" s="62"/>
      <c r="AE291" s="62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</row>
    <row r="292" spans="1:77" x14ac:dyDescent="0.3">
      <c r="A292" s="39"/>
      <c r="B292" s="42"/>
      <c r="C292" s="42"/>
      <c r="D292" s="75"/>
      <c r="E292" s="75"/>
      <c r="F292" s="76"/>
      <c r="G292" s="47"/>
      <c r="H292" s="47"/>
      <c r="I292" s="75"/>
      <c r="J292" s="76"/>
      <c r="K292" s="76"/>
      <c r="L292" s="75"/>
      <c r="M292" s="49"/>
      <c r="N292" s="76"/>
      <c r="O292" s="49"/>
      <c r="P292" s="77"/>
      <c r="Q292" s="53"/>
      <c r="R292" s="54"/>
      <c r="S292" s="55"/>
      <c r="T292" s="56"/>
      <c r="U292" s="56"/>
      <c r="V292" s="42"/>
      <c r="W292" s="57"/>
      <c r="X292" s="58"/>
      <c r="Y292" s="75"/>
      <c r="Z292" s="59"/>
      <c r="AA292" s="61"/>
      <c r="AB292" s="61"/>
      <c r="AC292" s="61"/>
      <c r="AD292" s="62"/>
      <c r="AE292" s="62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</row>
    <row r="293" spans="1:77" x14ac:dyDescent="0.3">
      <c r="A293" s="39"/>
      <c r="B293" s="42"/>
      <c r="C293" s="42"/>
      <c r="D293" s="75"/>
      <c r="E293" s="75"/>
      <c r="F293" s="76"/>
      <c r="G293" s="47"/>
      <c r="H293" s="47"/>
      <c r="I293" s="75"/>
      <c r="J293" s="76"/>
      <c r="K293" s="76"/>
      <c r="L293" s="75"/>
      <c r="M293" s="49"/>
      <c r="N293" s="76"/>
      <c r="O293" s="49"/>
      <c r="P293" s="77"/>
      <c r="Q293" s="53"/>
      <c r="R293" s="54"/>
      <c r="S293" s="55"/>
      <c r="T293" s="56"/>
      <c r="U293" s="56"/>
      <c r="V293" s="42"/>
      <c r="W293" s="57"/>
      <c r="X293" s="58"/>
      <c r="Y293" s="75"/>
      <c r="Z293" s="59"/>
      <c r="AA293" s="61"/>
      <c r="AB293" s="61"/>
      <c r="AC293" s="61"/>
      <c r="AD293" s="62"/>
      <c r="AE293" s="62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</row>
    <row r="294" spans="1:77" x14ac:dyDescent="0.3">
      <c r="A294" s="39"/>
      <c r="B294" s="42"/>
      <c r="C294" s="42"/>
      <c r="D294" s="75"/>
      <c r="E294" s="75"/>
      <c r="F294" s="76"/>
      <c r="G294" s="47"/>
      <c r="H294" s="47"/>
      <c r="I294" s="75"/>
      <c r="J294" s="76"/>
      <c r="K294" s="76"/>
      <c r="L294" s="75"/>
      <c r="M294" s="49"/>
      <c r="N294" s="76"/>
      <c r="O294" s="49"/>
      <c r="P294" s="77"/>
      <c r="Q294" s="53"/>
      <c r="R294" s="54"/>
      <c r="S294" s="55"/>
      <c r="T294" s="56"/>
      <c r="U294" s="56"/>
      <c r="V294" s="42"/>
      <c r="W294" s="57"/>
      <c r="X294" s="58"/>
      <c r="Y294" s="75"/>
      <c r="Z294" s="59"/>
      <c r="AA294" s="61"/>
      <c r="AB294" s="61"/>
      <c r="AC294" s="61"/>
      <c r="AD294" s="62"/>
      <c r="AE294" s="62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</row>
    <row r="295" spans="1:77" x14ac:dyDescent="0.3">
      <c r="A295" s="39"/>
      <c r="B295" s="42"/>
      <c r="C295" s="42"/>
      <c r="D295" s="75"/>
      <c r="E295" s="75"/>
      <c r="F295" s="76"/>
      <c r="G295" s="47"/>
      <c r="H295" s="47"/>
      <c r="I295" s="75"/>
      <c r="J295" s="76"/>
      <c r="K295" s="76"/>
      <c r="L295" s="75"/>
      <c r="M295" s="49"/>
      <c r="N295" s="76"/>
      <c r="O295" s="49"/>
      <c r="P295" s="77"/>
      <c r="Q295" s="53"/>
      <c r="R295" s="54"/>
      <c r="S295" s="55"/>
      <c r="T295" s="56"/>
      <c r="U295" s="56"/>
      <c r="V295" s="42"/>
      <c r="W295" s="57"/>
      <c r="X295" s="58"/>
      <c r="Y295" s="75"/>
      <c r="Z295" s="59"/>
      <c r="AA295" s="61"/>
      <c r="AB295" s="61"/>
      <c r="AC295" s="61"/>
      <c r="AD295" s="62"/>
      <c r="AE295" s="62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</row>
    <row r="296" spans="1:77" x14ac:dyDescent="0.3">
      <c r="A296" s="39"/>
      <c r="B296" s="42"/>
      <c r="C296" s="42"/>
      <c r="D296" s="75"/>
      <c r="E296" s="75"/>
      <c r="F296" s="76"/>
      <c r="G296" s="47"/>
      <c r="H296" s="47"/>
      <c r="I296" s="75"/>
      <c r="J296" s="76"/>
      <c r="K296" s="76"/>
      <c r="L296" s="75"/>
      <c r="M296" s="49"/>
      <c r="N296" s="76"/>
      <c r="O296" s="49"/>
      <c r="P296" s="77"/>
      <c r="Q296" s="53"/>
      <c r="R296" s="54"/>
      <c r="S296" s="55"/>
      <c r="T296" s="56"/>
      <c r="U296" s="56"/>
      <c r="V296" s="42"/>
      <c r="W296" s="57"/>
      <c r="X296" s="58"/>
      <c r="Y296" s="75"/>
      <c r="Z296" s="59"/>
      <c r="AA296" s="61"/>
      <c r="AB296" s="61"/>
      <c r="AC296" s="61"/>
      <c r="AD296" s="62"/>
      <c r="AE296" s="62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</row>
    <row r="297" spans="1:77" x14ac:dyDescent="0.3">
      <c r="A297" s="39"/>
      <c r="B297" s="42"/>
      <c r="C297" s="42"/>
      <c r="D297" s="75"/>
      <c r="E297" s="75"/>
      <c r="F297" s="76"/>
      <c r="G297" s="47"/>
      <c r="H297" s="47"/>
      <c r="I297" s="75"/>
      <c r="J297" s="76"/>
      <c r="K297" s="76"/>
      <c r="L297" s="75"/>
      <c r="M297" s="49"/>
      <c r="N297" s="76"/>
      <c r="O297" s="49"/>
      <c r="P297" s="77"/>
      <c r="Q297" s="53"/>
      <c r="R297" s="54"/>
      <c r="S297" s="55"/>
      <c r="T297" s="56"/>
      <c r="U297" s="56"/>
      <c r="V297" s="42"/>
      <c r="W297" s="57"/>
      <c r="X297" s="58"/>
      <c r="Y297" s="75"/>
      <c r="Z297" s="59"/>
      <c r="AA297" s="61"/>
      <c r="AB297" s="61"/>
      <c r="AC297" s="61"/>
      <c r="AD297" s="62"/>
      <c r="AE297" s="62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</row>
    <row r="298" spans="1:77" x14ac:dyDescent="0.3">
      <c r="A298" s="39"/>
      <c r="B298" s="42"/>
      <c r="C298" s="42"/>
      <c r="D298" s="75"/>
      <c r="E298" s="75"/>
      <c r="F298" s="76"/>
      <c r="G298" s="47"/>
      <c r="H298" s="47"/>
      <c r="I298" s="75"/>
      <c r="J298" s="76"/>
      <c r="K298" s="76"/>
      <c r="L298" s="75"/>
      <c r="M298" s="49"/>
      <c r="N298" s="76"/>
      <c r="O298" s="49"/>
      <c r="P298" s="77"/>
      <c r="Q298" s="53"/>
      <c r="R298" s="54"/>
      <c r="S298" s="55"/>
      <c r="T298" s="56"/>
      <c r="U298" s="56"/>
      <c r="V298" s="42"/>
      <c r="W298" s="57"/>
      <c r="X298" s="58"/>
      <c r="Y298" s="75"/>
      <c r="Z298" s="59"/>
      <c r="AA298" s="61"/>
      <c r="AB298" s="61"/>
      <c r="AC298" s="61"/>
      <c r="AD298" s="62"/>
      <c r="AE298" s="62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</row>
    <row r="299" spans="1:77" x14ac:dyDescent="0.3">
      <c r="A299" s="39"/>
      <c r="B299" s="42"/>
      <c r="C299" s="42"/>
      <c r="D299" s="75"/>
      <c r="E299" s="75"/>
      <c r="F299" s="76"/>
      <c r="G299" s="47"/>
      <c r="H299" s="47"/>
      <c r="I299" s="75"/>
      <c r="J299" s="76"/>
      <c r="K299" s="76"/>
      <c r="L299" s="75"/>
      <c r="M299" s="49"/>
      <c r="N299" s="76"/>
      <c r="O299" s="49"/>
      <c r="P299" s="77"/>
      <c r="Q299" s="53"/>
      <c r="R299" s="54"/>
      <c r="S299" s="55"/>
      <c r="T299" s="56"/>
      <c r="U299" s="56"/>
      <c r="V299" s="42"/>
      <c r="W299" s="57"/>
      <c r="X299" s="58"/>
      <c r="Y299" s="75"/>
      <c r="Z299" s="59"/>
      <c r="AA299" s="61"/>
      <c r="AB299" s="61"/>
      <c r="AC299" s="61"/>
      <c r="AD299" s="62"/>
      <c r="AE299" s="62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</row>
    <row r="300" spans="1:77" x14ac:dyDescent="0.3">
      <c r="A300" s="39"/>
      <c r="B300" s="42"/>
      <c r="C300" s="42"/>
      <c r="D300" s="75"/>
      <c r="E300" s="75"/>
      <c r="F300" s="76"/>
      <c r="G300" s="47"/>
      <c r="H300" s="47"/>
      <c r="I300" s="75"/>
      <c r="J300" s="76"/>
      <c r="K300" s="76"/>
      <c r="L300" s="75"/>
      <c r="M300" s="49"/>
      <c r="N300" s="76"/>
      <c r="O300" s="49"/>
      <c r="P300" s="77"/>
      <c r="Q300" s="53"/>
      <c r="R300" s="54"/>
      <c r="S300" s="55"/>
      <c r="T300" s="56"/>
      <c r="U300" s="56"/>
      <c r="V300" s="42"/>
      <c r="W300" s="57"/>
      <c r="X300" s="58"/>
      <c r="Y300" s="75"/>
      <c r="Z300" s="59"/>
      <c r="AA300" s="61"/>
      <c r="AB300" s="61"/>
      <c r="AC300" s="61"/>
      <c r="AD300" s="62"/>
      <c r="AE300" s="62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</row>
    <row r="301" spans="1:77" x14ac:dyDescent="0.3">
      <c r="A301" s="39"/>
      <c r="B301" s="42"/>
      <c r="C301" s="42"/>
      <c r="D301" s="75"/>
      <c r="E301" s="75"/>
      <c r="F301" s="76"/>
      <c r="G301" s="47"/>
      <c r="H301" s="47"/>
      <c r="I301" s="75"/>
      <c r="J301" s="76"/>
      <c r="K301" s="76"/>
      <c r="L301" s="75"/>
      <c r="M301" s="49"/>
      <c r="N301" s="76"/>
      <c r="O301" s="49"/>
      <c r="P301" s="77"/>
      <c r="Q301" s="53"/>
      <c r="R301" s="54"/>
      <c r="S301" s="55"/>
      <c r="T301" s="56"/>
      <c r="U301" s="56"/>
      <c r="V301" s="42"/>
      <c r="W301" s="57"/>
      <c r="X301" s="58"/>
      <c r="Y301" s="75"/>
      <c r="Z301" s="59"/>
      <c r="AA301" s="61"/>
      <c r="AB301" s="61"/>
      <c r="AC301" s="61"/>
      <c r="AD301" s="62"/>
      <c r="AE301" s="62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</row>
    <row r="302" spans="1:77" x14ac:dyDescent="0.3">
      <c r="A302" s="39"/>
      <c r="B302" s="42"/>
      <c r="C302" s="42"/>
      <c r="D302" s="75"/>
      <c r="E302" s="75"/>
      <c r="F302" s="76"/>
      <c r="G302" s="47"/>
      <c r="H302" s="47"/>
      <c r="I302" s="75"/>
      <c r="J302" s="76"/>
      <c r="K302" s="76"/>
      <c r="L302" s="75"/>
      <c r="M302" s="49"/>
      <c r="N302" s="76"/>
      <c r="O302" s="49"/>
      <c r="P302" s="77"/>
      <c r="Q302" s="53"/>
      <c r="R302" s="54"/>
      <c r="S302" s="55"/>
      <c r="T302" s="56"/>
      <c r="U302" s="56"/>
      <c r="V302" s="42"/>
      <c r="W302" s="57"/>
      <c r="X302" s="58"/>
      <c r="Y302" s="75"/>
      <c r="Z302" s="59"/>
      <c r="AA302" s="61"/>
      <c r="AB302" s="61"/>
      <c r="AC302" s="61"/>
      <c r="AD302" s="62"/>
      <c r="AE302" s="62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</row>
    <row r="303" spans="1:77" x14ac:dyDescent="0.3">
      <c r="A303" s="39"/>
      <c r="B303" s="42"/>
      <c r="C303" s="42"/>
      <c r="D303" s="75"/>
      <c r="E303" s="75"/>
      <c r="F303" s="76"/>
      <c r="G303" s="47"/>
      <c r="H303" s="47"/>
      <c r="I303" s="75"/>
      <c r="J303" s="76"/>
      <c r="K303" s="76"/>
      <c r="L303" s="75"/>
      <c r="M303" s="49"/>
      <c r="N303" s="76"/>
      <c r="O303" s="49"/>
      <c r="P303" s="77"/>
      <c r="Q303" s="53"/>
      <c r="R303" s="54"/>
      <c r="S303" s="55"/>
      <c r="T303" s="56"/>
      <c r="U303" s="56"/>
      <c r="V303" s="42"/>
      <c r="W303" s="57"/>
      <c r="X303" s="58"/>
      <c r="Y303" s="75"/>
      <c r="Z303" s="59"/>
      <c r="AA303" s="61"/>
      <c r="AB303" s="61"/>
      <c r="AC303" s="61"/>
      <c r="AD303" s="62"/>
      <c r="AE303" s="62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</row>
    <row r="304" spans="1:77" x14ac:dyDescent="0.3">
      <c r="A304" s="39"/>
      <c r="B304" s="42"/>
      <c r="C304" s="42"/>
      <c r="D304" s="75"/>
      <c r="E304" s="75"/>
      <c r="F304" s="76"/>
      <c r="G304" s="47"/>
      <c r="H304" s="47"/>
      <c r="I304" s="75"/>
      <c r="J304" s="76"/>
      <c r="K304" s="76"/>
      <c r="L304" s="75"/>
      <c r="M304" s="49"/>
      <c r="N304" s="76"/>
      <c r="O304" s="49"/>
      <c r="P304" s="77"/>
      <c r="Q304" s="53"/>
      <c r="R304" s="54"/>
      <c r="S304" s="55"/>
      <c r="T304" s="56"/>
      <c r="U304" s="56"/>
      <c r="V304" s="42"/>
      <c r="W304" s="57"/>
      <c r="X304" s="58"/>
      <c r="Y304" s="75"/>
      <c r="Z304" s="59"/>
      <c r="AA304" s="61"/>
      <c r="AB304" s="61"/>
      <c r="AC304" s="61"/>
      <c r="AD304" s="62"/>
      <c r="AE304" s="62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</row>
    <row r="305" spans="1:77" x14ac:dyDescent="0.3">
      <c r="A305" s="39"/>
      <c r="B305" s="42"/>
      <c r="C305" s="42"/>
      <c r="D305" s="75"/>
      <c r="E305" s="75"/>
      <c r="F305" s="76"/>
      <c r="G305" s="47"/>
      <c r="H305" s="47"/>
      <c r="I305" s="75"/>
      <c r="J305" s="76"/>
      <c r="K305" s="76"/>
      <c r="L305" s="75"/>
      <c r="M305" s="49"/>
      <c r="N305" s="76"/>
      <c r="O305" s="49"/>
      <c r="P305" s="77"/>
      <c r="Q305" s="53"/>
      <c r="R305" s="54"/>
      <c r="S305" s="55"/>
      <c r="T305" s="56"/>
      <c r="U305" s="56"/>
      <c r="V305" s="42"/>
      <c r="W305" s="57"/>
      <c r="X305" s="58"/>
      <c r="Y305" s="75"/>
      <c r="Z305" s="59"/>
      <c r="AA305" s="61"/>
      <c r="AB305" s="61"/>
      <c r="AC305" s="61"/>
      <c r="AD305" s="62"/>
      <c r="AE305" s="62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</row>
    <row r="306" spans="1:77" x14ac:dyDescent="0.3">
      <c r="A306" s="39"/>
      <c r="B306" s="42"/>
      <c r="C306" s="42"/>
      <c r="D306" s="75"/>
      <c r="E306" s="75"/>
      <c r="F306" s="76"/>
      <c r="G306" s="47"/>
      <c r="H306" s="47"/>
      <c r="I306" s="75"/>
      <c r="J306" s="76"/>
      <c r="K306" s="76"/>
      <c r="L306" s="75"/>
      <c r="M306" s="49"/>
      <c r="N306" s="76"/>
      <c r="O306" s="49"/>
      <c r="P306" s="77"/>
      <c r="Q306" s="53"/>
      <c r="R306" s="54"/>
      <c r="S306" s="55"/>
      <c r="T306" s="56"/>
      <c r="U306" s="56"/>
      <c r="V306" s="42"/>
      <c r="W306" s="57"/>
      <c r="X306" s="58"/>
      <c r="Y306" s="75"/>
      <c r="Z306" s="59"/>
      <c r="AA306" s="61"/>
      <c r="AB306" s="61"/>
      <c r="AC306" s="61"/>
      <c r="AD306" s="62"/>
      <c r="AE306" s="62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</row>
    <row r="307" spans="1:77" x14ac:dyDescent="0.3">
      <c r="A307" s="39"/>
      <c r="B307" s="42"/>
      <c r="C307" s="42"/>
      <c r="D307" s="75"/>
      <c r="E307" s="75"/>
      <c r="F307" s="76"/>
      <c r="G307" s="47"/>
      <c r="H307" s="47"/>
      <c r="I307" s="75"/>
      <c r="J307" s="76"/>
      <c r="K307" s="76"/>
      <c r="L307" s="75"/>
      <c r="M307" s="49"/>
      <c r="N307" s="76"/>
      <c r="O307" s="49"/>
      <c r="P307" s="77"/>
      <c r="Q307" s="53"/>
      <c r="R307" s="54"/>
      <c r="S307" s="55"/>
      <c r="T307" s="56"/>
      <c r="U307" s="56"/>
      <c r="V307" s="42"/>
      <c r="W307" s="57"/>
      <c r="X307" s="58"/>
      <c r="Y307" s="75"/>
      <c r="Z307" s="59"/>
      <c r="AA307" s="61"/>
      <c r="AB307" s="61"/>
      <c r="AC307" s="61"/>
      <c r="AD307" s="62"/>
      <c r="AE307" s="62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</row>
    <row r="308" spans="1:77" x14ac:dyDescent="0.3">
      <c r="A308" s="39"/>
      <c r="B308" s="42"/>
      <c r="C308" s="42"/>
      <c r="D308" s="75"/>
      <c r="E308" s="75"/>
      <c r="F308" s="76"/>
      <c r="G308" s="47"/>
      <c r="H308" s="47"/>
      <c r="I308" s="75"/>
      <c r="J308" s="76"/>
      <c r="K308" s="76"/>
      <c r="L308" s="75"/>
      <c r="M308" s="49"/>
      <c r="N308" s="76"/>
      <c r="O308" s="49"/>
      <c r="P308" s="77"/>
      <c r="Q308" s="53"/>
      <c r="R308" s="54"/>
      <c r="S308" s="55"/>
      <c r="T308" s="56"/>
      <c r="U308" s="56"/>
      <c r="V308" s="42"/>
      <c r="W308" s="57"/>
      <c r="X308" s="58"/>
      <c r="Y308" s="75"/>
      <c r="Z308" s="59"/>
      <c r="AA308" s="61"/>
      <c r="AB308" s="61"/>
      <c r="AC308" s="61"/>
      <c r="AD308" s="62"/>
      <c r="AE308" s="62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</row>
    <row r="309" spans="1:77" x14ac:dyDescent="0.3">
      <c r="A309" s="39"/>
      <c r="B309" s="42"/>
      <c r="C309" s="42"/>
      <c r="D309" s="75"/>
      <c r="E309" s="75"/>
      <c r="F309" s="76"/>
      <c r="G309" s="47"/>
      <c r="H309" s="47"/>
      <c r="I309" s="75"/>
      <c r="J309" s="76"/>
      <c r="K309" s="76"/>
      <c r="L309" s="75"/>
      <c r="M309" s="49"/>
      <c r="N309" s="76"/>
      <c r="O309" s="49"/>
      <c r="P309" s="77"/>
      <c r="Q309" s="53"/>
      <c r="R309" s="54"/>
      <c r="S309" s="55"/>
      <c r="T309" s="56"/>
      <c r="U309" s="56"/>
      <c r="V309" s="42"/>
      <c r="W309" s="57"/>
      <c r="X309" s="58"/>
      <c r="Y309" s="75"/>
      <c r="Z309" s="59"/>
      <c r="AA309" s="61"/>
      <c r="AB309" s="61"/>
      <c r="AC309" s="61"/>
      <c r="AD309" s="62"/>
      <c r="AE309" s="62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</row>
    <row r="310" spans="1:77" x14ac:dyDescent="0.3">
      <c r="A310" s="39"/>
      <c r="B310" s="42"/>
      <c r="C310" s="42"/>
      <c r="D310" s="75"/>
      <c r="E310" s="75"/>
      <c r="F310" s="76"/>
      <c r="G310" s="47"/>
      <c r="H310" s="47"/>
      <c r="I310" s="75"/>
      <c r="J310" s="76"/>
      <c r="K310" s="76"/>
      <c r="L310" s="75"/>
      <c r="M310" s="49"/>
      <c r="N310" s="76"/>
      <c r="O310" s="49"/>
      <c r="P310" s="77"/>
      <c r="Q310" s="53"/>
      <c r="R310" s="54"/>
      <c r="S310" s="55"/>
      <c r="T310" s="56"/>
      <c r="U310" s="56"/>
      <c r="V310" s="42"/>
      <c r="W310" s="57"/>
      <c r="X310" s="58"/>
      <c r="Y310" s="75"/>
      <c r="Z310" s="59"/>
      <c r="AA310" s="61"/>
      <c r="AB310" s="61"/>
      <c r="AC310" s="61"/>
      <c r="AD310" s="62"/>
      <c r="AE310" s="62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</row>
    <row r="311" spans="1:77" x14ac:dyDescent="0.3">
      <c r="A311" s="39"/>
      <c r="B311" s="42"/>
      <c r="C311" s="42"/>
      <c r="D311" s="75"/>
      <c r="E311" s="75"/>
      <c r="F311" s="76"/>
      <c r="G311" s="47"/>
      <c r="H311" s="47"/>
      <c r="I311" s="75"/>
      <c r="J311" s="76"/>
      <c r="K311" s="76"/>
      <c r="L311" s="75"/>
      <c r="M311" s="49"/>
      <c r="N311" s="76"/>
      <c r="O311" s="49"/>
      <c r="P311" s="77"/>
      <c r="Q311" s="53"/>
      <c r="R311" s="54"/>
      <c r="S311" s="55"/>
      <c r="T311" s="56"/>
      <c r="U311" s="56"/>
      <c r="V311" s="42"/>
      <c r="W311" s="57"/>
      <c r="X311" s="58"/>
      <c r="Y311" s="75"/>
      <c r="Z311" s="59"/>
      <c r="AA311" s="61"/>
      <c r="AB311" s="61"/>
      <c r="AC311" s="61"/>
      <c r="AD311" s="62"/>
      <c r="AE311" s="62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</row>
    <row r="312" spans="1:77" x14ac:dyDescent="0.3">
      <c r="A312" s="39"/>
      <c r="B312" s="42"/>
      <c r="C312" s="42"/>
      <c r="D312" s="75"/>
      <c r="E312" s="75"/>
      <c r="F312" s="76"/>
      <c r="G312" s="47"/>
      <c r="H312" s="47"/>
      <c r="I312" s="75"/>
      <c r="J312" s="76"/>
      <c r="K312" s="76"/>
      <c r="L312" s="75"/>
      <c r="M312" s="49"/>
      <c r="N312" s="76"/>
      <c r="O312" s="49"/>
      <c r="P312" s="77"/>
      <c r="Q312" s="53"/>
      <c r="R312" s="54"/>
      <c r="S312" s="55"/>
      <c r="T312" s="56"/>
      <c r="U312" s="56"/>
      <c r="V312" s="42"/>
      <c r="W312" s="57"/>
      <c r="X312" s="58"/>
      <c r="Y312" s="75"/>
      <c r="Z312" s="59"/>
      <c r="AA312" s="61"/>
      <c r="AB312" s="61"/>
      <c r="AC312" s="61"/>
      <c r="AD312" s="62"/>
      <c r="AE312" s="62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</row>
    <row r="313" spans="1:77" x14ac:dyDescent="0.3">
      <c r="A313" s="39"/>
      <c r="B313" s="42"/>
      <c r="C313" s="42"/>
      <c r="D313" s="75"/>
      <c r="E313" s="75"/>
      <c r="F313" s="76"/>
      <c r="G313" s="47"/>
      <c r="H313" s="47"/>
      <c r="I313" s="75"/>
      <c r="J313" s="76"/>
      <c r="K313" s="76"/>
      <c r="L313" s="75"/>
      <c r="M313" s="49"/>
      <c r="N313" s="76"/>
      <c r="O313" s="49"/>
      <c r="P313" s="77"/>
      <c r="Q313" s="53"/>
      <c r="R313" s="54"/>
      <c r="S313" s="55"/>
      <c r="T313" s="56"/>
      <c r="U313" s="56"/>
      <c r="V313" s="42"/>
      <c r="W313" s="57"/>
      <c r="X313" s="58"/>
      <c r="Y313" s="75"/>
      <c r="Z313" s="59"/>
      <c r="AA313" s="61"/>
      <c r="AB313" s="61"/>
      <c r="AC313" s="61"/>
      <c r="AD313" s="62"/>
      <c r="AE313" s="62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</row>
    <row r="314" spans="1:77" x14ac:dyDescent="0.3">
      <c r="A314" s="39"/>
      <c r="B314" s="42"/>
      <c r="C314" s="42"/>
      <c r="D314" s="75"/>
      <c r="E314" s="75"/>
      <c r="F314" s="76"/>
      <c r="G314" s="47"/>
      <c r="H314" s="47"/>
      <c r="I314" s="75"/>
      <c r="J314" s="76"/>
      <c r="K314" s="76"/>
      <c r="L314" s="75"/>
      <c r="M314" s="49"/>
      <c r="N314" s="76"/>
      <c r="O314" s="49"/>
      <c r="P314" s="77"/>
      <c r="Q314" s="53"/>
      <c r="R314" s="54"/>
      <c r="S314" s="55"/>
      <c r="T314" s="56"/>
      <c r="U314" s="56"/>
      <c r="V314" s="42"/>
      <c r="W314" s="57"/>
      <c r="X314" s="58"/>
      <c r="Y314" s="75"/>
      <c r="Z314" s="59"/>
      <c r="AA314" s="61"/>
      <c r="AB314" s="61"/>
      <c r="AC314" s="61"/>
      <c r="AD314" s="62"/>
      <c r="AE314" s="62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</row>
    <row r="315" spans="1:77" x14ac:dyDescent="0.3">
      <c r="A315" s="39"/>
      <c r="B315" s="42"/>
      <c r="C315" s="42"/>
      <c r="D315" s="75"/>
      <c r="E315" s="75"/>
      <c r="F315" s="76"/>
      <c r="G315" s="47"/>
      <c r="H315" s="47"/>
      <c r="I315" s="75"/>
      <c r="J315" s="76"/>
      <c r="K315" s="76"/>
      <c r="L315" s="75"/>
      <c r="M315" s="49"/>
      <c r="N315" s="76"/>
      <c r="O315" s="49"/>
      <c r="P315" s="77"/>
      <c r="Q315" s="53"/>
      <c r="R315" s="54"/>
      <c r="S315" s="55"/>
      <c r="T315" s="56"/>
      <c r="U315" s="56"/>
      <c r="V315" s="42"/>
      <c r="W315" s="57"/>
      <c r="X315" s="58"/>
      <c r="Y315" s="75"/>
      <c r="Z315" s="59"/>
      <c r="AA315" s="61"/>
      <c r="AB315" s="61"/>
      <c r="AC315" s="61"/>
      <c r="AD315" s="62"/>
      <c r="AE315" s="62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</row>
    <row r="316" spans="1:77" x14ac:dyDescent="0.3">
      <c r="A316" s="39"/>
      <c r="B316" s="42"/>
      <c r="C316" s="42"/>
      <c r="D316" s="75"/>
      <c r="E316" s="75"/>
      <c r="F316" s="76"/>
      <c r="G316" s="47"/>
      <c r="H316" s="47"/>
      <c r="I316" s="75"/>
      <c r="J316" s="76"/>
      <c r="K316" s="76"/>
      <c r="L316" s="75"/>
      <c r="M316" s="49"/>
      <c r="N316" s="76"/>
      <c r="O316" s="49"/>
      <c r="P316" s="77"/>
      <c r="Q316" s="53"/>
      <c r="R316" s="54"/>
      <c r="S316" s="55"/>
      <c r="T316" s="56"/>
      <c r="U316" s="56"/>
      <c r="V316" s="42"/>
      <c r="W316" s="57"/>
      <c r="X316" s="58"/>
      <c r="Y316" s="75"/>
      <c r="Z316" s="59"/>
      <c r="AA316" s="61"/>
      <c r="AB316" s="61"/>
      <c r="AC316" s="61"/>
      <c r="AD316" s="62"/>
      <c r="AE316" s="62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</row>
    <row r="317" spans="1:77" x14ac:dyDescent="0.3">
      <c r="A317" s="39"/>
      <c r="B317" s="42"/>
      <c r="C317" s="42"/>
      <c r="D317" s="75"/>
      <c r="E317" s="75"/>
      <c r="F317" s="76"/>
      <c r="G317" s="47"/>
      <c r="H317" s="47"/>
      <c r="I317" s="75"/>
      <c r="J317" s="76"/>
      <c r="K317" s="76"/>
      <c r="L317" s="75"/>
      <c r="M317" s="49"/>
      <c r="N317" s="76"/>
      <c r="O317" s="49"/>
      <c r="P317" s="77"/>
      <c r="Q317" s="53"/>
      <c r="R317" s="54"/>
      <c r="S317" s="55"/>
      <c r="T317" s="56"/>
      <c r="U317" s="56"/>
      <c r="V317" s="42"/>
      <c r="W317" s="57"/>
      <c r="X317" s="58"/>
      <c r="Y317" s="75"/>
      <c r="Z317" s="59"/>
      <c r="AA317" s="61"/>
      <c r="AB317" s="61"/>
      <c r="AC317" s="61"/>
      <c r="AD317" s="62"/>
      <c r="AE317" s="62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</row>
    <row r="318" spans="1:77" x14ac:dyDescent="0.3">
      <c r="A318" s="39"/>
      <c r="B318" s="42"/>
      <c r="C318" s="42"/>
      <c r="D318" s="75"/>
      <c r="E318" s="75"/>
      <c r="F318" s="76"/>
      <c r="G318" s="47"/>
      <c r="H318" s="47"/>
      <c r="I318" s="75"/>
      <c r="J318" s="76"/>
      <c r="K318" s="76"/>
      <c r="L318" s="75"/>
      <c r="M318" s="49"/>
      <c r="N318" s="76"/>
      <c r="O318" s="49"/>
      <c r="P318" s="77"/>
      <c r="Q318" s="53"/>
      <c r="R318" s="54"/>
      <c r="S318" s="55"/>
      <c r="T318" s="56"/>
      <c r="U318" s="56"/>
      <c r="V318" s="42"/>
      <c r="W318" s="57"/>
      <c r="X318" s="58"/>
      <c r="Y318" s="75"/>
      <c r="Z318" s="59"/>
      <c r="AA318" s="61"/>
      <c r="AB318" s="61"/>
      <c r="AC318" s="61"/>
      <c r="AD318" s="62"/>
      <c r="AE318" s="62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</row>
    <row r="319" spans="1:77" x14ac:dyDescent="0.3">
      <c r="A319" s="39"/>
      <c r="B319" s="42"/>
      <c r="C319" s="42"/>
      <c r="D319" s="75"/>
      <c r="E319" s="75"/>
      <c r="F319" s="76"/>
      <c r="G319" s="47"/>
      <c r="H319" s="47"/>
      <c r="I319" s="75"/>
      <c r="J319" s="76"/>
      <c r="K319" s="76"/>
      <c r="L319" s="75"/>
      <c r="M319" s="49"/>
      <c r="N319" s="76"/>
      <c r="O319" s="49"/>
      <c r="P319" s="77"/>
      <c r="Q319" s="53"/>
      <c r="R319" s="54"/>
      <c r="S319" s="55"/>
      <c r="T319" s="56"/>
      <c r="U319" s="56"/>
      <c r="V319" s="42"/>
      <c r="W319" s="57"/>
      <c r="X319" s="58"/>
      <c r="Y319" s="75"/>
      <c r="Z319" s="59"/>
      <c r="AA319" s="61"/>
      <c r="AB319" s="61"/>
      <c r="AC319" s="61"/>
      <c r="AD319" s="62"/>
      <c r="AE319" s="62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</row>
    <row r="320" spans="1:77" x14ac:dyDescent="0.3">
      <c r="A320" s="39"/>
      <c r="B320" s="42"/>
      <c r="C320" s="42"/>
      <c r="D320" s="75"/>
      <c r="E320" s="75"/>
      <c r="F320" s="76"/>
      <c r="G320" s="47"/>
      <c r="H320" s="47"/>
      <c r="I320" s="75"/>
      <c r="J320" s="76"/>
      <c r="K320" s="76"/>
      <c r="L320" s="75"/>
      <c r="M320" s="49"/>
      <c r="N320" s="76"/>
      <c r="O320" s="49"/>
      <c r="P320" s="77"/>
      <c r="Q320" s="53"/>
      <c r="R320" s="54"/>
      <c r="S320" s="55"/>
      <c r="T320" s="56"/>
      <c r="U320" s="56"/>
      <c r="V320" s="42"/>
      <c r="W320" s="57"/>
      <c r="X320" s="58"/>
      <c r="Y320" s="75"/>
      <c r="Z320" s="59"/>
      <c r="AA320" s="61"/>
      <c r="AB320" s="61"/>
      <c r="AC320" s="61"/>
      <c r="AD320" s="62"/>
      <c r="AE320" s="62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</row>
    <row r="321" spans="1:77" x14ac:dyDescent="0.3">
      <c r="A321" s="39"/>
      <c r="B321" s="42"/>
      <c r="C321" s="42"/>
      <c r="D321" s="75"/>
      <c r="E321" s="75"/>
      <c r="F321" s="76"/>
      <c r="G321" s="47"/>
      <c r="H321" s="47"/>
      <c r="I321" s="75"/>
      <c r="J321" s="76"/>
      <c r="K321" s="76"/>
      <c r="L321" s="75"/>
      <c r="M321" s="49"/>
      <c r="N321" s="76"/>
      <c r="O321" s="49"/>
      <c r="P321" s="77"/>
      <c r="Q321" s="53"/>
      <c r="R321" s="54"/>
      <c r="S321" s="55"/>
      <c r="T321" s="56"/>
      <c r="U321" s="56"/>
      <c r="V321" s="42"/>
      <c r="W321" s="57"/>
      <c r="X321" s="58"/>
      <c r="Y321" s="75"/>
      <c r="Z321" s="59"/>
      <c r="AA321" s="61"/>
      <c r="AB321" s="61"/>
      <c r="AC321" s="61"/>
      <c r="AD321" s="62"/>
      <c r="AE321" s="62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</row>
    <row r="322" spans="1:77" x14ac:dyDescent="0.3">
      <c r="A322" s="39"/>
      <c r="B322" s="42"/>
      <c r="C322" s="42"/>
      <c r="D322" s="75"/>
      <c r="E322" s="75"/>
      <c r="F322" s="76"/>
      <c r="G322" s="47"/>
      <c r="H322" s="47"/>
      <c r="I322" s="75"/>
      <c r="J322" s="76"/>
      <c r="K322" s="76"/>
      <c r="L322" s="75"/>
      <c r="M322" s="49"/>
      <c r="N322" s="76"/>
      <c r="O322" s="49"/>
      <c r="P322" s="77"/>
      <c r="Q322" s="53"/>
      <c r="R322" s="54"/>
      <c r="S322" s="55"/>
      <c r="T322" s="56"/>
      <c r="U322" s="56"/>
      <c r="V322" s="42"/>
      <c r="W322" s="57"/>
      <c r="X322" s="58"/>
      <c r="Y322" s="75"/>
      <c r="Z322" s="59"/>
      <c r="AA322" s="61"/>
      <c r="AB322" s="61"/>
      <c r="AC322" s="61"/>
      <c r="AD322" s="62"/>
      <c r="AE322" s="62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</row>
    <row r="323" spans="1:77" x14ac:dyDescent="0.3">
      <c r="A323" s="39"/>
      <c r="B323" s="42"/>
      <c r="C323" s="42"/>
      <c r="D323" s="75"/>
      <c r="E323" s="75"/>
      <c r="F323" s="76"/>
      <c r="G323" s="47"/>
      <c r="H323" s="47"/>
      <c r="I323" s="75"/>
      <c r="J323" s="76"/>
      <c r="K323" s="76"/>
      <c r="L323" s="75"/>
      <c r="M323" s="49"/>
      <c r="N323" s="76"/>
      <c r="O323" s="49"/>
      <c r="P323" s="77"/>
      <c r="Q323" s="53"/>
      <c r="R323" s="54"/>
      <c r="S323" s="55"/>
      <c r="T323" s="56"/>
      <c r="U323" s="56"/>
      <c r="V323" s="42"/>
      <c r="W323" s="57"/>
      <c r="X323" s="58"/>
      <c r="Y323" s="75"/>
      <c r="Z323" s="59"/>
      <c r="AA323" s="61"/>
      <c r="AB323" s="61"/>
      <c r="AC323" s="61"/>
      <c r="AD323" s="62"/>
      <c r="AE323" s="62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</row>
    <row r="324" spans="1:77" x14ac:dyDescent="0.3">
      <c r="A324" s="39"/>
      <c r="B324" s="42"/>
      <c r="C324" s="42"/>
      <c r="D324" s="75"/>
      <c r="E324" s="75"/>
      <c r="F324" s="76"/>
      <c r="G324" s="47"/>
      <c r="H324" s="47"/>
      <c r="I324" s="75"/>
      <c r="J324" s="76"/>
      <c r="K324" s="76"/>
      <c r="L324" s="75"/>
      <c r="M324" s="49"/>
      <c r="N324" s="76"/>
      <c r="O324" s="49"/>
      <c r="P324" s="77"/>
      <c r="Q324" s="53"/>
      <c r="R324" s="54"/>
      <c r="S324" s="55"/>
      <c r="T324" s="56"/>
      <c r="U324" s="56"/>
      <c r="V324" s="42"/>
      <c r="W324" s="57"/>
      <c r="X324" s="58"/>
      <c r="Y324" s="75"/>
      <c r="Z324" s="59"/>
      <c r="AA324" s="61"/>
      <c r="AB324" s="61"/>
      <c r="AC324" s="61"/>
      <c r="AD324" s="62"/>
      <c r="AE324" s="62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</row>
    <row r="325" spans="1:77" x14ac:dyDescent="0.3">
      <c r="A325" s="39"/>
      <c r="B325" s="42"/>
      <c r="C325" s="42"/>
      <c r="D325" s="75"/>
      <c r="E325" s="75"/>
      <c r="F325" s="76"/>
      <c r="G325" s="47"/>
      <c r="H325" s="47"/>
      <c r="I325" s="75"/>
      <c r="J325" s="76"/>
      <c r="K325" s="76"/>
      <c r="L325" s="75"/>
      <c r="M325" s="49"/>
      <c r="N325" s="76"/>
      <c r="O325" s="49"/>
      <c r="P325" s="77"/>
      <c r="Q325" s="53"/>
      <c r="R325" s="54"/>
      <c r="S325" s="55"/>
      <c r="T325" s="56"/>
      <c r="U325" s="56"/>
      <c r="V325" s="42"/>
      <c r="W325" s="57"/>
      <c r="X325" s="58"/>
      <c r="Y325" s="75"/>
      <c r="Z325" s="59"/>
      <c r="AA325" s="61"/>
      <c r="AB325" s="61"/>
      <c r="AC325" s="61"/>
      <c r="AD325" s="62"/>
      <c r="AE325" s="62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</row>
    <row r="326" spans="1:77" x14ac:dyDescent="0.3">
      <c r="A326" s="39"/>
      <c r="B326" s="42"/>
      <c r="C326" s="42"/>
      <c r="D326" s="75"/>
      <c r="E326" s="75"/>
      <c r="F326" s="76"/>
      <c r="G326" s="47"/>
      <c r="H326" s="47"/>
      <c r="I326" s="75"/>
      <c r="J326" s="76"/>
      <c r="K326" s="76"/>
      <c r="L326" s="75"/>
      <c r="M326" s="49"/>
      <c r="N326" s="76"/>
      <c r="O326" s="49"/>
      <c r="P326" s="77"/>
      <c r="Q326" s="53"/>
      <c r="R326" s="54"/>
      <c r="S326" s="55"/>
      <c r="T326" s="56"/>
      <c r="U326" s="56"/>
      <c r="V326" s="42"/>
      <c r="W326" s="57"/>
      <c r="X326" s="58"/>
      <c r="Y326" s="75"/>
      <c r="Z326" s="59"/>
      <c r="AA326" s="61"/>
      <c r="AB326" s="61"/>
      <c r="AC326" s="61"/>
      <c r="AD326" s="62"/>
      <c r="AE326" s="62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</row>
    <row r="327" spans="1:77" x14ac:dyDescent="0.3">
      <c r="A327" s="39"/>
      <c r="B327" s="42"/>
      <c r="C327" s="42"/>
      <c r="D327" s="75"/>
      <c r="E327" s="75"/>
      <c r="F327" s="76"/>
      <c r="G327" s="47"/>
      <c r="H327" s="47"/>
      <c r="I327" s="75"/>
      <c r="J327" s="76"/>
      <c r="K327" s="76"/>
      <c r="L327" s="75"/>
      <c r="M327" s="49"/>
      <c r="N327" s="76"/>
      <c r="O327" s="49"/>
      <c r="P327" s="77"/>
      <c r="Q327" s="53"/>
      <c r="R327" s="54"/>
      <c r="S327" s="55"/>
      <c r="T327" s="56"/>
      <c r="U327" s="56"/>
      <c r="V327" s="42"/>
      <c r="W327" s="57"/>
      <c r="X327" s="58"/>
      <c r="Y327" s="75"/>
      <c r="Z327" s="59"/>
      <c r="AA327" s="61"/>
      <c r="AB327" s="61"/>
      <c r="AC327" s="61"/>
      <c r="AD327" s="62"/>
      <c r="AE327" s="62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</row>
    <row r="328" spans="1:77" x14ac:dyDescent="0.3">
      <c r="A328" s="39"/>
      <c r="B328" s="42"/>
      <c r="C328" s="42"/>
      <c r="D328" s="75"/>
      <c r="E328" s="75"/>
      <c r="F328" s="76"/>
      <c r="G328" s="47"/>
      <c r="H328" s="47"/>
      <c r="I328" s="75"/>
      <c r="J328" s="76"/>
      <c r="K328" s="76"/>
      <c r="L328" s="75"/>
      <c r="M328" s="49"/>
      <c r="N328" s="76"/>
      <c r="O328" s="49"/>
      <c r="P328" s="77"/>
      <c r="Q328" s="53"/>
      <c r="R328" s="54"/>
      <c r="S328" s="55"/>
      <c r="T328" s="56"/>
      <c r="U328" s="56"/>
      <c r="V328" s="42"/>
      <c r="W328" s="57"/>
      <c r="X328" s="58"/>
      <c r="Y328" s="75"/>
      <c r="Z328" s="59"/>
      <c r="AA328" s="61"/>
      <c r="AB328" s="61"/>
      <c r="AC328" s="61"/>
      <c r="AD328" s="62"/>
      <c r="AE328" s="62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</row>
    <row r="329" spans="1:77" x14ac:dyDescent="0.3">
      <c r="A329" s="39"/>
      <c r="B329" s="42"/>
      <c r="C329" s="42"/>
      <c r="D329" s="75"/>
      <c r="E329" s="75"/>
      <c r="F329" s="76"/>
      <c r="G329" s="47"/>
      <c r="H329" s="47"/>
      <c r="I329" s="75"/>
      <c r="J329" s="76"/>
      <c r="K329" s="76"/>
      <c r="L329" s="75"/>
      <c r="M329" s="49"/>
      <c r="N329" s="76"/>
      <c r="O329" s="49"/>
      <c r="P329" s="77"/>
      <c r="Q329" s="53"/>
      <c r="R329" s="54"/>
      <c r="S329" s="55"/>
      <c r="T329" s="56"/>
      <c r="U329" s="56"/>
      <c r="V329" s="42"/>
      <c r="W329" s="57"/>
      <c r="X329" s="58"/>
      <c r="Y329" s="75"/>
      <c r="Z329" s="59"/>
      <c r="AA329" s="61"/>
      <c r="AB329" s="61"/>
      <c r="AC329" s="61"/>
      <c r="AD329" s="62"/>
      <c r="AE329" s="62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</row>
    <row r="330" spans="1:77" x14ac:dyDescent="0.3">
      <c r="A330" s="39"/>
      <c r="B330" s="42"/>
      <c r="C330" s="42"/>
      <c r="D330" s="75"/>
      <c r="E330" s="75"/>
      <c r="F330" s="76"/>
      <c r="G330" s="47"/>
      <c r="H330" s="47"/>
      <c r="I330" s="75"/>
      <c r="J330" s="76"/>
      <c r="K330" s="76"/>
      <c r="L330" s="75"/>
      <c r="M330" s="49"/>
      <c r="N330" s="76"/>
      <c r="O330" s="49"/>
      <c r="P330" s="77"/>
      <c r="Q330" s="53"/>
      <c r="R330" s="54"/>
      <c r="S330" s="55"/>
      <c r="T330" s="56"/>
      <c r="U330" s="56"/>
      <c r="V330" s="42"/>
      <c r="W330" s="57"/>
      <c r="X330" s="58"/>
      <c r="Y330" s="75"/>
      <c r="Z330" s="59"/>
      <c r="AA330" s="61"/>
      <c r="AB330" s="61"/>
      <c r="AC330" s="61"/>
      <c r="AD330" s="62"/>
      <c r="AE330" s="62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7" x14ac:dyDescent="0.3">
      <c r="A331" s="39"/>
      <c r="B331" s="42"/>
      <c r="C331" s="42"/>
      <c r="D331" s="75"/>
      <c r="E331" s="75"/>
      <c r="F331" s="76"/>
      <c r="G331" s="47"/>
      <c r="H331" s="47"/>
      <c r="I331" s="75"/>
      <c r="J331" s="76"/>
      <c r="K331" s="76"/>
      <c r="L331" s="75"/>
      <c r="M331" s="49"/>
      <c r="N331" s="76"/>
      <c r="O331" s="49"/>
      <c r="P331" s="77"/>
      <c r="Q331" s="53"/>
      <c r="R331" s="54"/>
      <c r="S331" s="55"/>
      <c r="T331" s="56"/>
      <c r="U331" s="56"/>
      <c r="V331" s="42"/>
      <c r="W331" s="57"/>
      <c r="X331" s="58"/>
      <c r="Y331" s="75"/>
      <c r="Z331" s="59"/>
      <c r="AA331" s="61"/>
      <c r="AB331" s="61"/>
      <c r="AC331" s="61"/>
      <c r="AD331" s="62"/>
      <c r="AE331" s="62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7" x14ac:dyDescent="0.3">
      <c r="A332" s="39"/>
      <c r="B332" s="42"/>
      <c r="C332" s="42"/>
      <c r="D332" s="75"/>
      <c r="E332" s="75"/>
      <c r="F332" s="76"/>
      <c r="G332" s="47"/>
      <c r="H332" s="47"/>
      <c r="I332" s="75"/>
      <c r="J332" s="76"/>
      <c r="K332" s="76"/>
      <c r="L332" s="75"/>
      <c r="M332" s="49"/>
      <c r="N332" s="76"/>
      <c r="O332" s="49"/>
      <c r="P332" s="77"/>
      <c r="Q332" s="53"/>
      <c r="R332" s="54"/>
      <c r="S332" s="55"/>
      <c r="T332" s="56"/>
      <c r="U332" s="56"/>
      <c r="V332" s="42"/>
      <c r="W332" s="57"/>
      <c r="X332" s="58"/>
      <c r="Y332" s="75"/>
      <c r="Z332" s="59"/>
      <c r="AA332" s="61"/>
      <c r="AB332" s="61"/>
      <c r="AC332" s="61"/>
      <c r="AD332" s="62"/>
      <c r="AE332" s="62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7" x14ac:dyDescent="0.3">
      <c r="A333" s="39"/>
      <c r="B333" s="42"/>
      <c r="C333" s="42"/>
      <c r="D333" s="75"/>
      <c r="E333" s="75"/>
      <c r="F333" s="76"/>
      <c r="G333" s="47"/>
      <c r="H333" s="47"/>
      <c r="I333" s="75"/>
      <c r="J333" s="76"/>
      <c r="K333" s="76"/>
      <c r="L333" s="75"/>
      <c r="M333" s="49"/>
      <c r="N333" s="76"/>
      <c r="O333" s="49"/>
      <c r="P333" s="77"/>
      <c r="Q333" s="53"/>
      <c r="R333" s="54"/>
      <c r="S333" s="55"/>
      <c r="T333" s="56"/>
      <c r="U333" s="56"/>
      <c r="V333" s="42"/>
      <c r="W333" s="57"/>
      <c r="X333" s="58"/>
      <c r="Y333" s="75"/>
      <c r="Z333" s="59"/>
      <c r="AA333" s="61"/>
      <c r="AB333" s="61"/>
      <c r="AC333" s="61"/>
      <c r="AD333" s="62"/>
      <c r="AE333" s="62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7" x14ac:dyDescent="0.3">
      <c r="A334" s="39"/>
      <c r="B334" s="42"/>
      <c r="C334" s="42"/>
      <c r="D334" s="75"/>
      <c r="E334" s="75"/>
      <c r="F334" s="76"/>
      <c r="G334" s="47"/>
      <c r="H334" s="47"/>
      <c r="I334" s="75"/>
      <c r="J334" s="76"/>
      <c r="K334" s="76"/>
      <c r="L334" s="75"/>
      <c r="M334" s="49"/>
      <c r="N334" s="76"/>
      <c r="O334" s="49"/>
      <c r="P334" s="77"/>
      <c r="Q334" s="53"/>
      <c r="R334" s="54"/>
      <c r="S334" s="55"/>
      <c r="T334" s="56"/>
      <c r="U334" s="56"/>
      <c r="V334" s="42"/>
      <c r="W334" s="57"/>
      <c r="X334" s="58"/>
      <c r="Y334" s="75"/>
      <c r="Z334" s="59"/>
      <c r="AA334" s="61"/>
      <c r="AB334" s="61"/>
      <c r="AC334" s="61"/>
      <c r="AD334" s="62"/>
      <c r="AE334" s="62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7" x14ac:dyDescent="0.3">
      <c r="A335" s="39"/>
      <c r="B335" s="42"/>
      <c r="C335" s="42"/>
      <c r="D335" s="75"/>
      <c r="E335" s="75"/>
      <c r="F335" s="76"/>
      <c r="G335" s="47"/>
      <c r="H335" s="47"/>
      <c r="I335" s="75"/>
      <c r="J335" s="76"/>
      <c r="K335" s="76"/>
      <c r="L335" s="75"/>
      <c r="M335" s="49"/>
      <c r="N335" s="76"/>
      <c r="O335" s="49"/>
      <c r="P335" s="77"/>
      <c r="Q335" s="53"/>
      <c r="R335" s="54"/>
      <c r="S335" s="55"/>
      <c r="T335" s="56"/>
      <c r="U335" s="56"/>
      <c r="V335" s="42"/>
      <c r="W335" s="57"/>
      <c r="X335" s="58"/>
      <c r="Y335" s="75"/>
      <c r="Z335" s="59"/>
      <c r="AA335" s="61"/>
      <c r="AB335" s="61"/>
      <c r="AC335" s="61"/>
      <c r="AD335" s="62"/>
      <c r="AE335" s="62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7" x14ac:dyDescent="0.3">
      <c r="A336" s="39"/>
      <c r="B336" s="42"/>
      <c r="C336" s="42"/>
      <c r="D336" s="75"/>
      <c r="E336" s="75"/>
      <c r="F336" s="76"/>
      <c r="G336" s="47"/>
      <c r="H336" s="47"/>
      <c r="I336" s="75"/>
      <c r="J336" s="76"/>
      <c r="K336" s="76"/>
      <c r="L336" s="75"/>
      <c r="M336" s="49"/>
      <c r="N336" s="76"/>
      <c r="O336" s="49"/>
      <c r="P336" s="77"/>
      <c r="Q336" s="53"/>
      <c r="R336" s="54"/>
      <c r="S336" s="55"/>
      <c r="T336" s="56"/>
      <c r="U336" s="56"/>
      <c r="V336" s="42"/>
      <c r="W336" s="57"/>
      <c r="X336" s="58"/>
      <c r="Y336" s="75"/>
      <c r="Z336" s="59"/>
      <c r="AA336" s="61"/>
      <c r="AB336" s="61"/>
      <c r="AC336" s="61"/>
      <c r="AD336" s="62"/>
      <c r="AE336" s="62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x14ac:dyDescent="0.3">
      <c r="A337" s="39"/>
      <c r="B337" s="42"/>
      <c r="C337" s="42"/>
      <c r="D337" s="75"/>
      <c r="E337" s="75"/>
      <c r="F337" s="76"/>
      <c r="G337" s="47"/>
      <c r="H337" s="47"/>
      <c r="I337" s="75"/>
      <c r="J337" s="76"/>
      <c r="K337" s="76"/>
      <c r="L337" s="75"/>
      <c r="M337" s="49"/>
      <c r="N337" s="76"/>
      <c r="O337" s="49"/>
      <c r="P337" s="77"/>
      <c r="Q337" s="53"/>
      <c r="R337" s="54"/>
      <c r="S337" s="55"/>
      <c r="T337" s="56"/>
      <c r="U337" s="56"/>
      <c r="V337" s="42"/>
      <c r="W337" s="57"/>
      <c r="X337" s="58"/>
      <c r="Y337" s="75"/>
      <c r="Z337" s="59"/>
      <c r="AA337" s="61"/>
      <c r="AB337" s="61"/>
      <c r="AC337" s="61"/>
      <c r="AD337" s="62"/>
      <c r="AE337" s="62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x14ac:dyDescent="0.3">
      <c r="A338" s="39"/>
      <c r="B338" s="42"/>
      <c r="C338" s="42"/>
      <c r="D338" s="75"/>
      <c r="E338" s="75"/>
      <c r="F338" s="76"/>
      <c r="G338" s="47"/>
      <c r="H338" s="47"/>
      <c r="I338" s="75"/>
      <c r="J338" s="76"/>
      <c r="K338" s="76"/>
      <c r="L338" s="75"/>
      <c r="M338" s="49"/>
      <c r="N338" s="76"/>
      <c r="O338" s="49"/>
      <c r="P338" s="77"/>
      <c r="Q338" s="53"/>
      <c r="R338" s="54"/>
      <c r="S338" s="55"/>
      <c r="T338" s="56"/>
      <c r="U338" s="56"/>
      <c r="V338" s="42"/>
      <c r="W338" s="57"/>
      <c r="X338" s="58"/>
      <c r="Y338" s="75"/>
      <c r="Z338" s="59"/>
      <c r="AA338" s="61"/>
      <c r="AB338" s="61"/>
      <c r="AC338" s="61"/>
      <c r="AD338" s="62"/>
      <c r="AE338" s="62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x14ac:dyDescent="0.3">
      <c r="A339" s="39"/>
      <c r="B339" s="42"/>
      <c r="C339" s="42"/>
      <c r="D339" s="75"/>
      <c r="E339" s="75"/>
      <c r="F339" s="76"/>
      <c r="G339" s="47"/>
      <c r="H339" s="47"/>
      <c r="I339" s="75"/>
      <c r="J339" s="76"/>
      <c r="K339" s="76"/>
      <c r="L339" s="75"/>
      <c r="M339" s="49"/>
      <c r="N339" s="76"/>
      <c r="O339" s="49"/>
      <c r="P339" s="77"/>
      <c r="Q339" s="53"/>
      <c r="R339" s="54"/>
      <c r="S339" s="55"/>
      <c r="T339" s="56"/>
      <c r="U339" s="56"/>
      <c r="V339" s="42"/>
      <c r="W339" s="57"/>
      <c r="X339" s="58"/>
      <c r="Y339" s="75"/>
      <c r="Z339" s="59"/>
      <c r="AA339" s="61"/>
      <c r="AB339" s="61"/>
      <c r="AC339" s="61"/>
      <c r="AD339" s="62"/>
      <c r="AE339" s="62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x14ac:dyDescent="0.3">
      <c r="A340" s="39"/>
      <c r="B340" s="42"/>
      <c r="C340" s="42"/>
      <c r="D340" s="75"/>
      <c r="E340" s="75"/>
      <c r="F340" s="76"/>
      <c r="G340" s="47"/>
      <c r="H340" s="47"/>
      <c r="I340" s="75"/>
      <c r="J340" s="76"/>
      <c r="K340" s="76"/>
      <c r="L340" s="75"/>
      <c r="M340" s="49"/>
      <c r="N340" s="76"/>
      <c r="O340" s="49"/>
      <c r="P340" s="77"/>
      <c r="Q340" s="53"/>
      <c r="R340" s="54"/>
      <c r="S340" s="55"/>
      <c r="T340" s="56"/>
      <c r="U340" s="56"/>
      <c r="V340" s="42"/>
      <c r="W340" s="57"/>
      <c r="X340" s="58"/>
      <c r="Y340" s="75"/>
      <c r="Z340" s="59"/>
      <c r="AA340" s="61"/>
      <c r="AB340" s="61"/>
      <c r="AC340" s="61"/>
      <c r="AD340" s="62"/>
      <c r="AE340" s="62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x14ac:dyDescent="0.3">
      <c r="A341" s="39"/>
      <c r="B341" s="42"/>
      <c r="C341" s="42"/>
      <c r="D341" s="75"/>
      <c r="E341" s="75"/>
      <c r="F341" s="76"/>
      <c r="G341" s="47"/>
      <c r="H341" s="47"/>
      <c r="I341" s="75"/>
      <c r="J341" s="76"/>
      <c r="K341" s="76"/>
      <c r="L341" s="75"/>
      <c r="M341" s="49"/>
      <c r="N341" s="76"/>
      <c r="O341" s="49"/>
      <c r="P341" s="77"/>
      <c r="Q341" s="53"/>
      <c r="R341" s="54"/>
      <c r="S341" s="55"/>
      <c r="T341" s="56"/>
      <c r="U341" s="56"/>
      <c r="V341" s="42"/>
      <c r="W341" s="57"/>
      <c r="X341" s="58"/>
      <c r="Y341" s="75"/>
      <c r="Z341" s="59"/>
      <c r="AA341" s="61"/>
      <c r="AB341" s="61"/>
      <c r="AC341" s="61"/>
      <c r="AD341" s="62"/>
      <c r="AE341" s="62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x14ac:dyDescent="0.3">
      <c r="A342" s="39"/>
      <c r="B342" s="42"/>
      <c r="C342" s="42"/>
      <c r="D342" s="75"/>
      <c r="E342" s="75"/>
      <c r="F342" s="76"/>
      <c r="G342" s="47"/>
      <c r="H342" s="47"/>
      <c r="I342" s="75"/>
      <c r="J342" s="76"/>
      <c r="K342" s="76"/>
      <c r="L342" s="75"/>
      <c r="M342" s="49"/>
      <c r="N342" s="76"/>
      <c r="O342" s="49"/>
      <c r="P342" s="77"/>
      <c r="Q342" s="53"/>
      <c r="R342" s="54"/>
      <c r="S342" s="55"/>
      <c r="T342" s="56"/>
      <c r="U342" s="56"/>
      <c r="V342" s="42"/>
      <c r="W342" s="57"/>
      <c r="X342" s="58"/>
      <c r="Y342" s="75"/>
      <c r="Z342" s="59"/>
      <c r="AA342" s="61"/>
      <c r="AB342" s="61"/>
      <c r="AC342" s="61"/>
      <c r="AD342" s="62"/>
      <c r="AE342" s="62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x14ac:dyDescent="0.3">
      <c r="A343" s="39"/>
      <c r="B343" s="42"/>
      <c r="C343" s="42"/>
      <c r="D343" s="75"/>
      <c r="E343" s="75"/>
      <c r="F343" s="76"/>
      <c r="G343" s="47"/>
      <c r="H343" s="47"/>
      <c r="I343" s="75"/>
      <c r="J343" s="76"/>
      <c r="K343" s="76"/>
      <c r="L343" s="75"/>
      <c r="M343" s="49"/>
      <c r="N343" s="76"/>
      <c r="O343" s="49"/>
      <c r="P343" s="77"/>
      <c r="Q343" s="53"/>
      <c r="R343" s="54"/>
      <c r="S343" s="55"/>
      <c r="T343" s="56"/>
      <c r="U343" s="56"/>
      <c r="V343" s="42"/>
      <c r="W343" s="57"/>
      <c r="X343" s="58"/>
      <c r="Y343" s="75"/>
      <c r="Z343" s="59"/>
      <c r="AA343" s="61"/>
      <c r="AB343" s="61"/>
      <c r="AC343" s="61"/>
      <c r="AD343" s="62"/>
      <c r="AE343" s="62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x14ac:dyDescent="0.3">
      <c r="A344" s="39"/>
      <c r="B344" s="42"/>
      <c r="C344" s="42"/>
      <c r="D344" s="75"/>
      <c r="E344" s="75"/>
      <c r="F344" s="76"/>
      <c r="G344" s="47"/>
      <c r="H344" s="47"/>
      <c r="I344" s="75"/>
      <c r="J344" s="76"/>
      <c r="K344" s="76"/>
      <c r="L344" s="75"/>
      <c r="M344" s="49"/>
      <c r="N344" s="76"/>
      <c r="O344" s="49"/>
      <c r="P344" s="77"/>
      <c r="Q344" s="53"/>
      <c r="R344" s="54"/>
      <c r="S344" s="55"/>
      <c r="T344" s="56"/>
      <c r="U344" s="56"/>
      <c r="V344" s="42"/>
      <c r="W344" s="57"/>
      <c r="X344" s="58"/>
      <c r="Y344" s="75"/>
      <c r="Z344" s="59"/>
      <c r="AA344" s="61"/>
      <c r="AB344" s="61"/>
      <c r="AC344" s="61"/>
      <c r="AD344" s="62"/>
      <c r="AE344" s="62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x14ac:dyDescent="0.3">
      <c r="A345" s="39"/>
      <c r="B345" s="42"/>
      <c r="C345" s="42"/>
      <c r="D345" s="75"/>
      <c r="E345" s="75"/>
      <c r="F345" s="76"/>
      <c r="G345" s="47"/>
      <c r="H345" s="47"/>
      <c r="I345" s="75"/>
      <c r="J345" s="76"/>
      <c r="K345" s="76"/>
      <c r="L345" s="75"/>
      <c r="M345" s="49"/>
      <c r="N345" s="76"/>
      <c r="O345" s="49"/>
      <c r="P345" s="77"/>
      <c r="Q345" s="53"/>
      <c r="R345" s="54"/>
      <c r="S345" s="55"/>
      <c r="T345" s="56"/>
      <c r="U345" s="56"/>
      <c r="V345" s="42"/>
      <c r="W345" s="57"/>
      <c r="X345" s="58"/>
      <c r="Y345" s="75"/>
      <c r="Z345" s="59"/>
      <c r="AA345" s="61"/>
      <c r="AB345" s="61"/>
      <c r="AC345" s="61"/>
      <c r="AD345" s="62"/>
      <c r="AE345" s="62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x14ac:dyDescent="0.3">
      <c r="A346" s="39"/>
      <c r="B346" s="42"/>
      <c r="C346" s="42"/>
      <c r="D346" s="75"/>
      <c r="E346" s="75"/>
      <c r="F346" s="76"/>
      <c r="G346" s="47"/>
      <c r="H346" s="47"/>
      <c r="I346" s="75"/>
      <c r="J346" s="76"/>
      <c r="K346" s="76"/>
      <c r="L346" s="75"/>
      <c r="M346" s="49"/>
      <c r="N346" s="76"/>
      <c r="O346" s="49"/>
      <c r="P346" s="77"/>
      <c r="Q346" s="53"/>
      <c r="R346" s="54"/>
      <c r="S346" s="55"/>
      <c r="T346" s="56"/>
      <c r="U346" s="56"/>
      <c r="V346" s="42"/>
      <c r="W346" s="57"/>
      <c r="X346" s="58"/>
      <c r="Y346" s="75"/>
      <c r="Z346" s="59"/>
      <c r="AA346" s="61"/>
      <c r="AB346" s="61"/>
      <c r="AC346" s="61"/>
      <c r="AD346" s="62"/>
      <c r="AE346" s="62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x14ac:dyDescent="0.3">
      <c r="A347" s="39"/>
      <c r="B347" s="42"/>
      <c r="C347" s="42"/>
      <c r="D347" s="75"/>
      <c r="E347" s="75"/>
      <c r="F347" s="76"/>
      <c r="G347" s="47"/>
      <c r="H347" s="47"/>
      <c r="I347" s="75"/>
      <c r="J347" s="76"/>
      <c r="K347" s="76"/>
      <c r="L347" s="75"/>
      <c r="M347" s="49"/>
      <c r="N347" s="76"/>
      <c r="O347" s="49"/>
      <c r="P347" s="77"/>
      <c r="Q347" s="53"/>
      <c r="R347" s="54"/>
      <c r="S347" s="55"/>
      <c r="T347" s="56"/>
      <c r="U347" s="56"/>
      <c r="V347" s="42"/>
      <c r="W347" s="57"/>
      <c r="X347" s="58"/>
      <c r="Y347" s="75"/>
      <c r="Z347" s="59"/>
      <c r="AA347" s="61"/>
      <c r="AB347" s="61"/>
      <c r="AC347" s="61"/>
      <c r="AD347" s="62"/>
      <c r="AE347" s="62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x14ac:dyDescent="0.3">
      <c r="A348" s="39"/>
      <c r="B348" s="42"/>
      <c r="C348" s="42"/>
      <c r="D348" s="75"/>
      <c r="E348" s="75"/>
      <c r="F348" s="76"/>
      <c r="G348" s="47"/>
      <c r="H348" s="47"/>
      <c r="I348" s="75"/>
      <c r="J348" s="76"/>
      <c r="K348" s="76"/>
      <c r="L348" s="75"/>
      <c r="M348" s="49"/>
      <c r="N348" s="76"/>
      <c r="O348" s="49"/>
      <c r="P348" s="77"/>
      <c r="Q348" s="53"/>
      <c r="R348" s="54"/>
      <c r="S348" s="55"/>
      <c r="T348" s="56"/>
      <c r="U348" s="56"/>
      <c r="V348" s="42"/>
      <c r="W348" s="57"/>
      <c r="X348" s="58"/>
      <c r="Y348" s="75"/>
      <c r="Z348" s="59"/>
      <c r="AA348" s="61"/>
      <c r="AB348" s="61"/>
      <c r="AC348" s="61"/>
      <c r="AD348" s="62"/>
      <c r="AE348" s="62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x14ac:dyDescent="0.3">
      <c r="A349" s="39"/>
      <c r="B349" s="42"/>
      <c r="C349" s="42"/>
      <c r="D349" s="75"/>
      <c r="E349" s="75"/>
      <c r="F349" s="76"/>
      <c r="G349" s="47"/>
      <c r="H349" s="47"/>
      <c r="I349" s="75"/>
      <c r="J349" s="76"/>
      <c r="K349" s="76"/>
      <c r="L349" s="75"/>
      <c r="M349" s="49"/>
      <c r="N349" s="76"/>
      <c r="O349" s="49"/>
      <c r="P349" s="77"/>
      <c r="Q349" s="53"/>
      <c r="R349" s="54"/>
      <c r="S349" s="55"/>
      <c r="T349" s="56"/>
      <c r="U349" s="56"/>
      <c r="V349" s="42"/>
      <c r="W349" s="57"/>
      <c r="X349" s="58"/>
      <c r="Y349" s="75"/>
      <c r="Z349" s="59"/>
      <c r="AA349" s="61"/>
      <c r="AB349" s="61"/>
      <c r="AC349" s="61"/>
      <c r="AD349" s="62"/>
      <c r="AE349" s="62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x14ac:dyDescent="0.3">
      <c r="A350" s="39"/>
      <c r="B350" s="42"/>
      <c r="C350" s="42"/>
      <c r="D350" s="75"/>
      <c r="E350" s="75"/>
      <c r="F350" s="76"/>
      <c r="G350" s="47"/>
      <c r="H350" s="47"/>
      <c r="I350" s="75"/>
      <c r="J350" s="76"/>
      <c r="K350" s="76"/>
      <c r="L350" s="75"/>
      <c r="M350" s="49"/>
      <c r="N350" s="76"/>
      <c r="O350" s="49"/>
      <c r="P350" s="77"/>
      <c r="Q350" s="53"/>
      <c r="R350" s="54"/>
      <c r="S350" s="55"/>
      <c r="T350" s="56"/>
      <c r="U350" s="56"/>
      <c r="V350" s="42"/>
      <c r="W350" s="57"/>
      <c r="X350" s="58"/>
      <c r="Y350" s="75"/>
      <c r="Z350" s="59"/>
      <c r="AA350" s="61"/>
      <c r="AB350" s="61"/>
      <c r="AC350" s="61"/>
      <c r="AD350" s="62"/>
      <c r="AE350" s="62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x14ac:dyDescent="0.3">
      <c r="A351" s="39"/>
      <c r="B351" s="42"/>
      <c r="C351" s="42"/>
      <c r="D351" s="75"/>
      <c r="E351" s="75"/>
      <c r="F351" s="76"/>
      <c r="G351" s="47"/>
      <c r="H351" s="47"/>
      <c r="I351" s="75"/>
      <c r="J351" s="76"/>
      <c r="K351" s="76"/>
      <c r="L351" s="75"/>
      <c r="M351" s="49"/>
      <c r="N351" s="76"/>
      <c r="O351" s="49"/>
      <c r="P351" s="77"/>
      <c r="Q351" s="53"/>
      <c r="R351" s="54"/>
      <c r="S351" s="55"/>
      <c r="T351" s="56"/>
      <c r="U351" s="56"/>
      <c r="V351" s="42"/>
      <c r="W351" s="57"/>
      <c r="X351" s="58"/>
      <c r="Y351" s="75"/>
      <c r="Z351" s="59"/>
      <c r="AA351" s="61"/>
      <c r="AB351" s="61"/>
      <c r="AC351" s="61"/>
      <c r="AD351" s="62"/>
      <c r="AE351" s="62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x14ac:dyDescent="0.3">
      <c r="A352" s="39"/>
      <c r="B352" s="42"/>
      <c r="C352" s="42"/>
      <c r="D352" s="75"/>
      <c r="E352" s="75"/>
      <c r="F352" s="76"/>
      <c r="G352" s="47"/>
      <c r="H352" s="47"/>
      <c r="I352" s="75"/>
      <c r="J352" s="76"/>
      <c r="K352" s="76"/>
      <c r="L352" s="75"/>
      <c r="M352" s="49"/>
      <c r="N352" s="76"/>
      <c r="O352" s="49"/>
      <c r="P352" s="77"/>
      <c r="Q352" s="53"/>
      <c r="R352" s="54"/>
      <c r="S352" s="55"/>
      <c r="T352" s="56"/>
      <c r="U352" s="56"/>
      <c r="V352" s="42"/>
      <c r="W352" s="57"/>
      <c r="X352" s="58"/>
      <c r="Y352" s="75"/>
      <c r="Z352" s="59"/>
      <c r="AA352" s="61"/>
      <c r="AB352" s="61"/>
      <c r="AC352" s="61"/>
      <c r="AD352" s="62"/>
      <c r="AE352" s="62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x14ac:dyDescent="0.3">
      <c r="A353" s="39"/>
      <c r="B353" s="42"/>
      <c r="C353" s="42"/>
      <c r="D353" s="75"/>
      <c r="E353" s="75"/>
      <c r="F353" s="76"/>
      <c r="G353" s="47"/>
      <c r="H353" s="47"/>
      <c r="I353" s="75"/>
      <c r="J353" s="76"/>
      <c r="K353" s="76"/>
      <c r="L353" s="75"/>
      <c r="M353" s="49"/>
      <c r="N353" s="76"/>
      <c r="O353" s="49"/>
      <c r="P353" s="77"/>
      <c r="Q353" s="53"/>
      <c r="R353" s="54"/>
      <c r="S353" s="55"/>
      <c r="T353" s="56"/>
      <c r="U353" s="56"/>
      <c r="V353" s="42"/>
      <c r="W353" s="57"/>
      <c r="X353" s="58"/>
      <c r="Y353" s="75"/>
      <c r="Z353" s="59"/>
      <c r="AA353" s="61"/>
      <c r="AB353" s="61"/>
      <c r="AC353" s="61"/>
      <c r="AD353" s="62"/>
      <c r="AE353" s="62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x14ac:dyDescent="0.3">
      <c r="A354" s="39"/>
      <c r="B354" s="42"/>
      <c r="C354" s="42"/>
      <c r="D354" s="75"/>
      <c r="E354" s="75"/>
      <c r="F354" s="76"/>
      <c r="G354" s="47"/>
      <c r="H354" s="47"/>
      <c r="I354" s="75"/>
      <c r="J354" s="76"/>
      <c r="K354" s="76"/>
      <c r="L354" s="75"/>
      <c r="M354" s="49"/>
      <c r="N354" s="76"/>
      <c r="O354" s="49"/>
      <c r="P354" s="77"/>
      <c r="Q354" s="53"/>
      <c r="R354" s="54"/>
      <c r="S354" s="55"/>
      <c r="T354" s="56"/>
      <c r="U354" s="56"/>
      <c r="V354" s="42"/>
      <c r="W354" s="57"/>
      <c r="X354" s="58"/>
      <c r="Y354" s="75"/>
      <c r="Z354" s="59"/>
      <c r="AA354" s="61"/>
      <c r="AB354" s="61"/>
      <c r="AC354" s="61"/>
      <c r="AD354" s="62"/>
      <c r="AE354" s="62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x14ac:dyDescent="0.3">
      <c r="A355" s="39"/>
      <c r="B355" s="42"/>
      <c r="C355" s="42"/>
      <c r="D355" s="75"/>
      <c r="E355" s="75"/>
      <c r="F355" s="76"/>
      <c r="G355" s="47"/>
      <c r="H355" s="47"/>
      <c r="I355" s="75"/>
      <c r="J355" s="76"/>
      <c r="K355" s="76"/>
      <c r="L355" s="75"/>
      <c r="M355" s="49"/>
      <c r="N355" s="76"/>
      <c r="O355" s="49"/>
      <c r="P355" s="77"/>
      <c r="Q355" s="53"/>
      <c r="R355" s="54"/>
      <c r="S355" s="55"/>
      <c r="T355" s="56"/>
      <c r="U355" s="56"/>
      <c r="V355" s="42"/>
      <c r="W355" s="57"/>
      <c r="X355" s="58"/>
      <c r="Y355" s="75"/>
      <c r="Z355" s="59"/>
      <c r="AA355" s="61"/>
      <c r="AB355" s="61"/>
      <c r="AC355" s="61"/>
      <c r="AD355" s="62"/>
      <c r="AE355" s="62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x14ac:dyDescent="0.3">
      <c r="A356" s="39"/>
      <c r="B356" s="42"/>
      <c r="C356" s="42"/>
      <c r="D356" s="75"/>
      <c r="E356" s="75"/>
      <c r="F356" s="76"/>
      <c r="G356" s="47"/>
      <c r="H356" s="47"/>
      <c r="I356" s="75"/>
      <c r="J356" s="76"/>
      <c r="K356" s="76"/>
      <c r="L356" s="75"/>
      <c r="M356" s="49"/>
      <c r="N356" s="76"/>
      <c r="O356" s="49"/>
      <c r="P356" s="77"/>
      <c r="Q356" s="53"/>
      <c r="R356" s="54"/>
      <c r="S356" s="55"/>
      <c r="T356" s="56"/>
      <c r="U356" s="56"/>
      <c r="V356" s="42"/>
      <c r="W356" s="57"/>
      <c r="X356" s="58"/>
      <c r="Y356" s="75"/>
      <c r="Z356" s="59"/>
      <c r="AA356" s="61"/>
      <c r="AB356" s="61"/>
      <c r="AC356" s="61"/>
      <c r="AD356" s="62"/>
      <c r="AE356" s="62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x14ac:dyDescent="0.3">
      <c r="A357" s="39"/>
      <c r="B357" s="42"/>
      <c r="C357" s="42"/>
      <c r="D357" s="75"/>
      <c r="E357" s="75"/>
      <c r="F357" s="76"/>
      <c r="G357" s="47"/>
      <c r="H357" s="47"/>
      <c r="I357" s="75"/>
      <c r="J357" s="76"/>
      <c r="K357" s="76"/>
      <c r="L357" s="75"/>
      <c r="M357" s="49"/>
      <c r="N357" s="76"/>
      <c r="O357" s="49"/>
      <c r="P357" s="77"/>
      <c r="Q357" s="53"/>
      <c r="R357" s="54"/>
      <c r="S357" s="55"/>
      <c r="T357" s="56"/>
      <c r="U357" s="56"/>
      <c r="V357" s="42"/>
      <c r="W357" s="57"/>
      <c r="X357" s="58"/>
      <c r="Y357" s="75"/>
      <c r="Z357" s="59"/>
      <c r="AA357" s="61"/>
      <c r="AB357" s="61"/>
      <c r="AC357" s="61"/>
      <c r="AD357" s="62"/>
      <c r="AE357" s="62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x14ac:dyDescent="0.3">
      <c r="A358" s="39"/>
      <c r="B358" s="42"/>
      <c r="C358" s="42"/>
      <c r="D358" s="75"/>
      <c r="E358" s="75"/>
      <c r="F358" s="76"/>
      <c r="G358" s="47"/>
      <c r="H358" s="47"/>
      <c r="I358" s="75"/>
      <c r="J358" s="76"/>
      <c r="K358" s="76"/>
      <c r="L358" s="75"/>
      <c r="M358" s="49"/>
      <c r="N358" s="76"/>
      <c r="O358" s="49"/>
      <c r="P358" s="77"/>
      <c r="Q358" s="53"/>
      <c r="R358" s="54"/>
      <c r="S358" s="55"/>
      <c r="T358" s="56"/>
      <c r="U358" s="56"/>
      <c r="V358" s="42"/>
      <c r="W358" s="57"/>
      <c r="X358" s="58"/>
      <c r="Y358" s="75"/>
      <c r="Z358" s="59"/>
      <c r="AA358" s="61"/>
      <c r="AB358" s="61"/>
      <c r="AC358" s="61"/>
      <c r="AD358" s="62"/>
      <c r="AE358" s="62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x14ac:dyDescent="0.3">
      <c r="A359" s="39"/>
      <c r="B359" s="42"/>
      <c r="C359" s="42"/>
      <c r="D359" s="75"/>
      <c r="E359" s="75"/>
      <c r="F359" s="76"/>
      <c r="G359" s="47"/>
      <c r="H359" s="47"/>
      <c r="I359" s="75"/>
      <c r="J359" s="76"/>
      <c r="K359" s="76"/>
      <c r="L359" s="75"/>
      <c r="M359" s="49"/>
      <c r="N359" s="76"/>
      <c r="O359" s="49"/>
      <c r="P359" s="77"/>
      <c r="Q359" s="53"/>
      <c r="R359" s="54"/>
      <c r="S359" s="55"/>
      <c r="T359" s="56"/>
      <c r="U359" s="56"/>
      <c r="V359" s="42"/>
      <c r="W359" s="57"/>
      <c r="X359" s="58"/>
      <c r="Y359" s="75"/>
      <c r="Z359" s="59"/>
      <c r="AA359" s="61"/>
      <c r="AB359" s="61"/>
      <c r="AC359" s="61"/>
      <c r="AD359" s="62"/>
      <c r="AE359" s="62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x14ac:dyDescent="0.3">
      <c r="A360" s="39"/>
      <c r="B360" s="42"/>
      <c r="C360" s="42"/>
      <c r="D360" s="75"/>
      <c r="E360" s="75"/>
      <c r="F360" s="76"/>
      <c r="G360" s="47"/>
      <c r="H360" s="47"/>
      <c r="I360" s="75"/>
      <c r="J360" s="76"/>
      <c r="K360" s="76"/>
      <c r="L360" s="75"/>
      <c r="M360" s="49"/>
      <c r="N360" s="76"/>
      <c r="O360" s="49"/>
      <c r="P360" s="77"/>
      <c r="Q360" s="53"/>
      <c r="R360" s="54"/>
      <c r="S360" s="55"/>
      <c r="T360" s="56"/>
      <c r="U360" s="56"/>
      <c r="V360" s="42"/>
      <c r="W360" s="57"/>
      <c r="X360" s="58"/>
      <c r="Y360" s="75"/>
      <c r="Z360" s="59"/>
      <c r="AA360" s="61"/>
      <c r="AB360" s="61"/>
      <c r="AC360" s="61"/>
      <c r="AD360" s="62"/>
      <c r="AE360" s="62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x14ac:dyDescent="0.3">
      <c r="A361" s="39"/>
      <c r="B361" s="42"/>
      <c r="C361" s="42"/>
      <c r="D361" s="75"/>
      <c r="E361" s="75"/>
      <c r="F361" s="76"/>
      <c r="G361" s="47"/>
      <c r="H361" s="47"/>
      <c r="I361" s="75"/>
      <c r="J361" s="76"/>
      <c r="K361" s="76"/>
      <c r="L361" s="75"/>
      <c r="M361" s="49"/>
      <c r="N361" s="76"/>
      <c r="O361" s="49"/>
      <c r="P361" s="77"/>
      <c r="Q361" s="53"/>
      <c r="R361" s="54"/>
      <c r="S361" s="55"/>
      <c r="T361" s="56"/>
      <c r="U361" s="56"/>
      <c r="V361" s="42"/>
      <c r="W361" s="57"/>
      <c r="X361" s="58"/>
      <c r="Y361" s="75"/>
      <c r="Z361" s="59"/>
      <c r="AA361" s="61"/>
      <c r="AB361" s="61"/>
      <c r="AC361" s="61"/>
      <c r="AD361" s="62"/>
      <c r="AE361" s="62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x14ac:dyDescent="0.3">
      <c r="A362" s="39"/>
      <c r="B362" s="42"/>
      <c r="C362" s="42"/>
      <c r="D362" s="75"/>
      <c r="E362" s="75"/>
      <c r="F362" s="76"/>
      <c r="G362" s="47"/>
      <c r="H362" s="47"/>
      <c r="I362" s="75"/>
      <c r="J362" s="76"/>
      <c r="K362" s="76"/>
      <c r="L362" s="75"/>
      <c r="M362" s="49"/>
      <c r="N362" s="76"/>
      <c r="O362" s="49"/>
      <c r="P362" s="77"/>
      <c r="Q362" s="53"/>
      <c r="R362" s="54"/>
      <c r="S362" s="55"/>
      <c r="T362" s="56"/>
      <c r="U362" s="56"/>
      <c r="V362" s="42"/>
      <c r="W362" s="57"/>
      <c r="X362" s="58"/>
      <c r="Y362" s="75"/>
      <c r="Z362" s="59"/>
      <c r="AA362" s="61"/>
      <c r="AB362" s="61"/>
      <c r="AC362" s="61"/>
      <c r="AD362" s="62"/>
      <c r="AE362" s="62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x14ac:dyDescent="0.3">
      <c r="A363" s="39"/>
      <c r="B363" s="42"/>
      <c r="C363" s="42"/>
      <c r="D363" s="75"/>
      <c r="E363" s="75"/>
      <c r="F363" s="76"/>
      <c r="G363" s="47"/>
      <c r="H363" s="47"/>
      <c r="I363" s="75"/>
      <c r="J363" s="76"/>
      <c r="K363" s="76"/>
      <c r="L363" s="75"/>
      <c r="M363" s="49"/>
      <c r="N363" s="76"/>
      <c r="O363" s="49"/>
      <c r="P363" s="77"/>
      <c r="Q363" s="53"/>
      <c r="R363" s="54"/>
      <c r="S363" s="55"/>
      <c r="T363" s="56"/>
      <c r="U363" s="56"/>
      <c r="V363" s="42"/>
      <c r="W363" s="57"/>
      <c r="X363" s="58"/>
      <c r="Y363" s="75"/>
      <c r="Z363" s="59"/>
      <c r="AA363" s="61"/>
      <c r="AB363" s="61"/>
      <c r="AC363" s="61"/>
      <c r="AD363" s="62"/>
      <c r="AE363" s="62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x14ac:dyDescent="0.3">
      <c r="A364" s="39"/>
      <c r="B364" s="42"/>
      <c r="C364" s="42"/>
      <c r="D364" s="75"/>
      <c r="E364" s="75"/>
      <c r="F364" s="76"/>
      <c r="G364" s="47"/>
      <c r="H364" s="47"/>
      <c r="I364" s="75"/>
      <c r="J364" s="76"/>
      <c r="K364" s="76"/>
      <c r="L364" s="75"/>
      <c r="M364" s="49"/>
      <c r="N364" s="76"/>
      <c r="O364" s="49"/>
      <c r="P364" s="77"/>
      <c r="Q364" s="53"/>
      <c r="R364" s="54"/>
      <c r="S364" s="55"/>
      <c r="T364" s="56"/>
      <c r="U364" s="56"/>
      <c r="V364" s="42"/>
      <c r="W364" s="57"/>
      <c r="X364" s="58"/>
      <c r="Y364" s="75"/>
      <c r="Z364" s="59"/>
      <c r="AA364" s="61"/>
      <c r="AB364" s="61"/>
      <c r="AC364" s="61"/>
      <c r="AD364" s="62"/>
      <c r="AE364" s="62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x14ac:dyDescent="0.3">
      <c r="A365" s="39"/>
      <c r="B365" s="42"/>
      <c r="C365" s="42"/>
      <c r="D365" s="75"/>
      <c r="E365" s="75"/>
      <c r="F365" s="76"/>
      <c r="G365" s="47"/>
      <c r="H365" s="47"/>
      <c r="I365" s="75"/>
      <c r="J365" s="76"/>
      <c r="K365" s="76"/>
      <c r="L365" s="75"/>
      <c r="M365" s="49"/>
      <c r="N365" s="76"/>
      <c r="O365" s="49"/>
      <c r="P365" s="77"/>
      <c r="Q365" s="53"/>
      <c r="R365" s="54"/>
      <c r="S365" s="55"/>
      <c r="T365" s="56"/>
      <c r="U365" s="56"/>
      <c r="V365" s="42"/>
      <c r="W365" s="57"/>
      <c r="X365" s="58"/>
      <c r="Y365" s="75"/>
      <c r="Z365" s="59"/>
      <c r="AA365" s="61"/>
      <c r="AB365" s="61"/>
      <c r="AC365" s="61"/>
      <c r="AD365" s="62"/>
      <c r="AE365" s="62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x14ac:dyDescent="0.3">
      <c r="A366" s="39"/>
      <c r="B366" s="42"/>
      <c r="C366" s="42"/>
      <c r="D366" s="75"/>
      <c r="E366" s="75"/>
      <c r="F366" s="76"/>
      <c r="G366" s="47"/>
      <c r="H366" s="47"/>
      <c r="I366" s="75"/>
      <c r="J366" s="76"/>
      <c r="K366" s="76"/>
      <c r="L366" s="75"/>
      <c r="M366" s="49"/>
      <c r="N366" s="76"/>
      <c r="O366" s="49"/>
      <c r="P366" s="77"/>
      <c r="Q366" s="53"/>
      <c r="R366" s="54"/>
      <c r="S366" s="55"/>
      <c r="T366" s="56"/>
      <c r="U366" s="56"/>
      <c r="V366" s="42"/>
      <c r="W366" s="57"/>
      <c r="X366" s="58"/>
      <c r="Y366" s="75"/>
      <c r="Z366" s="59"/>
      <c r="AA366" s="61"/>
      <c r="AB366" s="61"/>
      <c r="AC366" s="61"/>
      <c r="AD366" s="62"/>
      <c r="AE366" s="62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x14ac:dyDescent="0.3">
      <c r="A367" s="39"/>
      <c r="B367" s="42"/>
      <c r="C367" s="42"/>
      <c r="D367" s="75"/>
      <c r="E367" s="75"/>
      <c r="F367" s="76"/>
      <c r="G367" s="47"/>
      <c r="H367" s="47"/>
      <c r="I367" s="75"/>
      <c r="J367" s="76"/>
      <c r="K367" s="76"/>
      <c r="L367" s="75"/>
      <c r="M367" s="49"/>
      <c r="N367" s="76"/>
      <c r="O367" s="49"/>
      <c r="P367" s="77"/>
      <c r="Q367" s="53"/>
      <c r="R367" s="54"/>
      <c r="S367" s="55"/>
      <c r="T367" s="56"/>
      <c r="U367" s="56"/>
      <c r="V367" s="42"/>
      <c r="W367" s="57"/>
      <c r="X367" s="58"/>
      <c r="Y367" s="75"/>
      <c r="Z367" s="59"/>
      <c r="AA367" s="61"/>
      <c r="AB367" s="61"/>
      <c r="AC367" s="61"/>
      <c r="AD367" s="62"/>
      <c r="AE367" s="62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x14ac:dyDescent="0.3">
      <c r="A368" s="39"/>
      <c r="B368" s="42"/>
      <c r="C368" s="42"/>
      <c r="D368" s="75"/>
      <c r="E368" s="75"/>
      <c r="F368" s="76"/>
      <c r="G368" s="47"/>
      <c r="H368" s="47"/>
      <c r="I368" s="75"/>
      <c r="J368" s="76"/>
      <c r="K368" s="76"/>
      <c r="L368" s="75"/>
      <c r="M368" s="49"/>
      <c r="N368" s="76"/>
      <c r="O368" s="49"/>
      <c r="P368" s="77"/>
      <c r="Q368" s="53"/>
      <c r="R368" s="54"/>
      <c r="S368" s="55"/>
      <c r="T368" s="56"/>
      <c r="U368" s="56"/>
      <c r="V368" s="42"/>
      <c r="W368" s="57"/>
      <c r="X368" s="58"/>
      <c r="Y368" s="75"/>
      <c r="Z368" s="59"/>
      <c r="AA368" s="61"/>
      <c r="AB368" s="61"/>
      <c r="AC368" s="61"/>
      <c r="AD368" s="62"/>
      <c r="AE368" s="6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x14ac:dyDescent="0.3">
      <c r="A369" s="39"/>
      <c r="B369" s="42"/>
      <c r="C369" s="42"/>
      <c r="D369" s="75"/>
      <c r="E369" s="75"/>
      <c r="F369" s="76"/>
      <c r="G369" s="47"/>
      <c r="H369" s="47"/>
      <c r="I369" s="75"/>
      <c r="J369" s="76"/>
      <c r="K369" s="76"/>
      <c r="L369" s="75"/>
      <c r="M369" s="49"/>
      <c r="N369" s="76"/>
      <c r="O369" s="49"/>
      <c r="P369" s="77"/>
      <c r="Q369" s="53"/>
      <c r="R369" s="54"/>
      <c r="S369" s="55"/>
      <c r="T369" s="56"/>
      <c r="U369" s="56"/>
      <c r="V369" s="42"/>
      <c r="W369" s="57"/>
      <c r="X369" s="58"/>
      <c r="Y369" s="75"/>
      <c r="Z369" s="59"/>
      <c r="AA369" s="61"/>
      <c r="AB369" s="61"/>
      <c r="AC369" s="61"/>
      <c r="AD369" s="62"/>
      <c r="AE369" s="62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x14ac:dyDescent="0.3">
      <c r="A370" s="39"/>
      <c r="B370" s="42"/>
      <c r="C370" s="42"/>
      <c r="D370" s="75"/>
      <c r="E370" s="75"/>
      <c r="F370" s="76"/>
      <c r="G370" s="47"/>
      <c r="H370" s="47"/>
      <c r="I370" s="75"/>
      <c r="J370" s="76"/>
      <c r="K370" s="76"/>
      <c r="L370" s="75"/>
      <c r="M370" s="49"/>
      <c r="N370" s="76"/>
      <c r="O370" s="49"/>
      <c r="P370" s="77"/>
      <c r="Q370" s="53"/>
      <c r="R370" s="54"/>
      <c r="S370" s="55"/>
      <c r="T370" s="56"/>
      <c r="U370" s="56"/>
      <c r="V370" s="42"/>
      <c r="W370" s="57"/>
      <c r="X370" s="58"/>
      <c r="Y370" s="75"/>
      <c r="Z370" s="59"/>
      <c r="AA370" s="61"/>
      <c r="AB370" s="61"/>
      <c r="AC370" s="61"/>
      <c r="AD370" s="62"/>
      <c r="AE370" s="62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x14ac:dyDescent="0.3">
      <c r="A371" s="39"/>
      <c r="B371" s="42"/>
      <c r="C371" s="42"/>
      <c r="D371" s="75"/>
      <c r="E371" s="75"/>
      <c r="F371" s="76"/>
      <c r="G371" s="47"/>
      <c r="H371" s="47"/>
      <c r="I371" s="75"/>
      <c r="J371" s="76"/>
      <c r="K371" s="76"/>
      <c r="L371" s="75"/>
      <c r="M371" s="49"/>
      <c r="N371" s="76"/>
      <c r="O371" s="49"/>
      <c r="P371" s="77"/>
      <c r="Q371" s="53"/>
      <c r="R371" s="54"/>
      <c r="S371" s="55"/>
      <c r="T371" s="56"/>
      <c r="U371" s="56"/>
      <c r="V371" s="42"/>
      <c r="W371" s="57"/>
      <c r="X371" s="58"/>
      <c r="Y371" s="75"/>
      <c r="Z371" s="59"/>
      <c r="AA371" s="61"/>
      <c r="AB371" s="61"/>
      <c r="AC371" s="61"/>
      <c r="AD371" s="62"/>
      <c r="AE371" s="62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x14ac:dyDescent="0.3">
      <c r="A372" s="39"/>
      <c r="B372" s="42"/>
      <c r="C372" s="42"/>
      <c r="D372" s="75"/>
      <c r="E372" s="75"/>
      <c r="F372" s="76"/>
      <c r="G372" s="47"/>
      <c r="H372" s="47"/>
      <c r="I372" s="75"/>
      <c r="J372" s="76"/>
      <c r="K372" s="76"/>
      <c r="L372" s="75"/>
      <c r="M372" s="49"/>
      <c r="N372" s="76"/>
      <c r="O372" s="49"/>
      <c r="P372" s="77"/>
      <c r="Q372" s="53"/>
      <c r="R372" s="54"/>
      <c r="S372" s="55"/>
      <c r="T372" s="56"/>
      <c r="U372" s="56"/>
      <c r="V372" s="42"/>
      <c r="W372" s="57"/>
      <c r="X372" s="58"/>
      <c r="Y372" s="75"/>
      <c r="Z372" s="59"/>
      <c r="AA372" s="61"/>
      <c r="AB372" s="61"/>
      <c r="AC372" s="61"/>
      <c r="AD372" s="62"/>
      <c r="AE372" s="62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x14ac:dyDescent="0.3">
      <c r="A373" s="39"/>
      <c r="B373" s="42"/>
      <c r="C373" s="42"/>
      <c r="D373" s="75"/>
      <c r="E373" s="75"/>
      <c r="F373" s="76"/>
      <c r="G373" s="47"/>
      <c r="H373" s="47"/>
      <c r="I373" s="75"/>
      <c r="J373" s="76"/>
      <c r="K373" s="76"/>
      <c r="L373" s="75"/>
      <c r="M373" s="49"/>
      <c r="N373" s="76"/>
      <c r="O373" s="49"/>
      <c r="P373" s="77"/>
      <c r="Q373" s="53"/>
      <c r="R373" s="54"/>
      <c r="S373" s="55"/>
      <c r="T373" s="56"/>
      <c r="U373" s="56"/>
      <c r="V373" s="42"/>
      <c r="W373" s="57"/>
      <c r="X373" s="58"/>
      <c r="Y373" s="75"/>
      <c r="Z373" s="59"/>
      <c r="AA373" s="61"/>
      <c r="AB373" s="61"/>
      <c r="AC373" s="61"/>
      <c r="AD373" s="62"/>
      <c r="AE373" s="62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x14ac:dyDescent="0.3">
      <c r="A374" s="39"/>
      <c r="B374" s="42"/>
      <c r="C374" s="42"/>
      <c r="D374" s="75"/>
      <c r="E374" s="75"/>
      <c r="F374" s="76"/>
      <c r="G374" s="47"/>
      <c r="H374" s="47"/>
      <c r="I374" s="75"/>
      <c r="J374" s="76"/>
      <c r="K374" s="76"/>
      <c r="L374" s="75"/>
      <c r="M374" s="49"/>
      <c r="N374" s="76"/>
      <c r="O374" s="49"/>
      <c r="P374" s="77"/>
      <c r="Q374" s="53"/>
      <c r="R374" s="54"/>
      <c r="S374" s="55"/>
      <c r="T374" s="56"/>
      <c r="U374" s="56"/>
      <c r="V374" s="42"/>
      <c r="W374" s="57"/>
      <c r="X374" s="58"/>
      <c r="Y374" s="75"/>
      <c r="Z374" s="59"/>
      <c r="AA374" s="61"/>
      <c r="AB374" s="61"/>
      <c r="AC374" s="61"/>
      <c r="AD374" s="62"/>
      <c r="AE374" s="62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x14ac:dyDescent="0.3">
      <c r="A375" s="39"/>
      <c r="B375" s="42"/>
      <c r="C375" s="42"/>
      <c r="D375" s="75"/>
      <c r="E375" s="75"/>
      <c r="F375" s="76"/>
      <c r="G375" s="47"/>
      <c r="H375" s="47"/>
      <c r="I375" s="75"/>
      <c r="J375" s="76"/>
      <c r="K375" s="76"/>
      <c r="L375" s="75"/>
      <c r="M375" s="49"/>
      <c r="N375" s="76"/>
      <c r="O375" s="49"/>
      <c r="P375" s="77"/>
      <c r="Q375" s="53"/>
      <c r="R375" s="54"/>
      <c r="S375" s="55"/>
      <c r="T375" s="56"/>
      <c r="U375" s="56"/>
      <c r="V375" s="42"/>
      <c r="W375" s="57"/>
      <c r="X375" s="58"/>
      <c r="Y375" s="75"/>
      <c r="Z375" s="59"/>
      <c r="AA375" s="61"/>
      <c r="AB375" s="61"/>
      <c r="AC375" s="61"/>
      <c r="AD375" s="62"/>
      <c r="AE375" s="6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x14ac:dyDescent="0.3">
      <c r="A376" s="39"/>
      <c r="B376" s="42"/>
      <c r="C376" s="42"/>
      <c r="D376" s="75"/>
      <c r="E376" s="75"/>
      <c r="F376" s="76"/>
      <c r="G376" s="47"/>
      <c r="H376" s="47"/>
      <c r="I376" s="75"/>
      <c r="J376" s="76"/>
      <c r="K376" s="76"/>
      <c r="L376" s="75"/>
      <c r="M376" s="49"/>
      <c r="N376" s="76"/>
      <c r="O376" s="49"/>
      <c r="P376" s="77"/>
      <c r="Q376" s="53"/>
      <c r="R376" s="54"/>
      <c r="S376" s="55"/>
      <c r="T376" s="56"/>
      <c r="U376" s="56"/>
      <c r="V376" s="42"/>
      <c r="W376" s="57"/>
      <c r="X376" s="58"/>
      <c r="Y376" s="75"/>
      <c r="Z376" s="59"/>
      <c r="AA376" s="61"/>
      <c r="AB376" s="61"/>
      <c r="AC376" s="61"/>
      <c r="AD376" s="62"/>
      <c r="AE376" s="62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x14ac:dyDescent="0.3">
      <c r="A377" s="39"/>
      <c r="B377" s="42"/>
      <c r="C377" s="42"/>
      <c r="D377" s="75"/>
      <c r="E377" s="75"/>
      <c r="F377" s="76"/>
      <c r="G377" s="47"/>
      <c r="H377" s="47"/>
      <c r="I377" s="75"/>
      <c r="J377" s="76"/>
      <c r="K377" s="76"/>
      <c r="L377" s="75"/>
      <c r="M377" s="49"/>
      <c r="N377" s="76"/>
      <c r="O377" s="49"/>
      <c r="P377" s="77"/>
      <c r="Q377" s="53"/>
      <c r="R377" s="54"/>
      <c r="S377" s="55"/>
      <c r="T377" s="56"/>
      <c r="U377" s="56"/>
      <c r="V377" s="42"/>
      <c r="W377" s="57"/>
      <c r="X377" s="58"/>
      <c r="Y377" s="75"/>
      <c r="Z377" s="59"/>
      <c r="AA377" s="61"/>
      <c r="AB377" s="61"/>
      <c r="AC377" s="61"/>
      <c r="AD377" s="62"/>
      <c r="AE377" s="62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x14ac:dyDescent="0.3">
      <c r="A378" s="39"/>
      <c r="B378" s="42"/>
      <c r="C378" s="42"/>
      <c r="D378" s="75"/>
      <c r="E378" s="75"/>
      <c r="F378" s="76"/>
      <c r="G378" s="47"/>
      <c r="H378" s="47"/>
      <c r="I378" s="75"/>
      <c r="J378" s="76"/>
      <c r="K378" s="76"/>
      <c r="L378" s="75"/>
      <c r="M378" s="49"/>
      <c r="N378" s="76"/>
      <c r="O378" s="49"/>
      <c r="P378" s="77"/>
      <c r="Q378" s="53"/>
      <c r="R378" s="54"/>
      <c r="S378" s="55"/>
      <c r="T378" s="56"/>
      <c r="U378" s="56"/>
      <c r="V378" s="42"/>
      <c r="W378" s="57"/>
      <c r="X378" s="58"/>
      <c r="Y378" s="75"/>
      <c r="Z378" s="59"/>
      <c r="AA378" s="61"/>
      <c r="AB378" s="61"/>
      <c r="AC378" s="61"/>
      <c r="AD378" s="62"/>
      <c r="AE378" s="62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x14ac:dyDescent="0.3">
      <c r="A379" s="39"/>
      <c r="B379" s="42"/>
      <c r="C379" s="42"/>
      <c r="D379" s="75"/>
      <c r="E379" s="75"/>
      <c r="F379" s="76"/>
      <c r="G379" s="47"/>
      <c r="H379" s="47"/>
      <c r="I379" s="75"/>
      <c r="J379" s="76"/>
      <c r="K379" s="76"/>
      <c r="L379" s="75"/>
      <c r="M379" s="49"/>
      <c r="N379" s="76"/>
      <c r="O379" s="49"/>
      <c r="P379" s="77"/>
      <c r="Q379" s="53"/>
      <c r="R379" s="54"/>
      <c r="S379" s="55"/>
      <c r="T379" s="56"/>
      <c r="U379" s="56"/>
      <c r="V379" s="42"/>
      <c r="W379" s="57"/>
      <c r="X379" s="58"/>
      <c r="Y379" s="75"/>
      <c r="Z379" s="59"/>
      <c r="AA379" s="61"/>
      <c r="AB379" s="61"/>
      <c r="AC379" s="61"/>
      <c r="AD379" s="62"/>
      <c r="AE379" s="62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x14ac:dyDescent="0.3">
      <c r="A380" s="39"/>
      <c r="B380" s="42"/>
      <c r="C380" s="42"/>
      <c r="D380" s="75"/>
      <c r="E380" s="75"/>
      <c r="F380" s="76"/>
      <c r="G380" s="47"/>
      <c r="H380" s="47"/>
      <c r="I380" s="75"/>
      <c r="J380" s="76"/>
      <c r="K380" s="76"/>
      <c r="L380" s="75"/>
      <c r="M380" s="49"/>
      <c r="N380" s="76"/>
      <c r="O380" s="49"/>
      <c r="P380" s="77"/>
      <c r="Q380" s="53"/>
      <c r="R380" s="54"/>
      <c r="S380" s="55"/>
      <c r="T380" s="56"/>
      <c r="U380" s="56"/>
      <c r="V380" s="42"/>
      <c r="W380" s="57"/>
      <c r="X380" s="58"/>
      <c r="Y380" s="75"/>
      <c r="Z380" s="59"/>
      <c r="AA380" s="61"/>
      <c r="AB380" s="61"/>
      <c r="AC380" s="61"/>
      <c r="AD380" s="62"/>
      <c r="AE380" s="62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x14ac:dyDescent="0.3">
      <c r="A381" s="39"/>
      <c r="B381" s="42"/>
      <c r="C381" s="42"/>
      <c r="D381" s="75"/>
      <c r="E381" s="75"/>
      <c r="F381" s="76"/>
      <c r="G381" s="47"/>
      <c r="H381" s="47"/>
      <c r="I381" s="75"/>
      <c r="J381" s="76"/>
      <c r="K381" s="76"/>
      <c r="L381" s="75"/>
      <c r="M381" s="49"/>
      <c r="N381" s="76"/>
      <c r="O381" s="49"/>
      <c r="P381" s="77"/>
      <c r="Q381" s="53"/>
      <c r="R381" s="54"/>
      <c r="S381" s="55"/>
      <c r="T381" s="56"/>
      <c r="U381" s="56"/>
      <c r="V381" s="42"/>
      <c r="W381" s="57"/>
      <c r="X381" s="58"/>
      <c r="Y381" s="75"/>
      <c r="Z381" s="59"/>
      <c r="AA381" s="61"/>
      <c r="AB381" s="61"/>
      <c r="AC381" s="61"/>
      <c r="AD381" s="62"/>
      <c r="AE381" s="62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x14ac:dyDescent="0.3">
      <c r="A382" s="39"/>
      <c r="B382" s="42"/>
      <c r="C382" s="42"/>
      <c r="D382" s="75"/>
      <c r="E382" s="75"/>
      <c r="F382" s="76"/>
      <c r="G382" s="47"/>
      <c r="H382" s="47"/>
      <c r="I382" s="75"/>
      <c r="J382" s="76"/>
      <c r="K382" s="76"/>
      <c r="L382" s="75"/>
      <c r="M382" s="49"/>
      <c r="N382" s="76"/>
      <c r="O382" s="49"/>
      <c r="P382" s="77"/>
      <c r="Q382" s="53"/>
      <c r="R382" s="54"/>
      <c r="S382" s="55"/>
      <c r="T382" s="56"/>
      <c r="U382" s="56"/>
      <c r="V382" s="42"/>
      <c r="W382" s="57"/>
      <c r="X382" s="58"/>
      <c r="Y382" s="75"/>
      <c r="Z382" s="59"/>
      <c r="AA382" s="61"/>
      <c r="AB382" s="61"/>
      <c r="AC382" s="61"/>
      <c r="AD382" s="62"/>
      <c r="AE382" s="6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x14ac:dyDescent="0.3">
      <c r="A383" s="39"/>
      <c r="B383" s="42"/>
      <c r="C383" s="42"/>
      <c r="D383" s="75"/>
      <c r="E383" s="75"/>
      <c r="F383" s="76"/>
      <c r="G383" s="47"/>
      <c r="H383" s="47"/>
      <c r="I383" s="75"/>
      <c r="J383" s="76"/>
      <c r="K383" s="76"/>
      <c r="L383" s="75"/>
      <c r="M383" s="49"/>
      <c r="N383" s="76"/>
      <c r="O383" s="49"/>
      <c r="P383" s="77"/>
      <c r="Q383" s="53"/>
      <c r="R383" s="54"/>
      <c r="S383" s="55"/>
      <c r="T383" s="56"/>
      <c r="U383" s="56"/>
      <c r="V383" s="42"/>
      <c r="W383" s="57"/>
      <c r="X383" s="58"/>
      <c r="Y383" s="75"/>
      <c r="Z383" s="59"/>
      <c r="AA383" s="61"/>
      <c r="AB383" s="61"/>
      <c r="AC383" s="61"/>
      <c r="AD383" s="62"/>
      <c r="AE383" s="62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x14ac:dyDescent="0.3">
      <c r="A384" s="39"/>
      <c r="B384" s="42"/>
      <c r="C384" s="42"/>
      <c r="D384" s="75"/>
      <c r="E384" s="75"/>
      <c r="F384" s="76"/>
      <c r="G384" s="47"/>
      <c r="H384" s="47"/>
      <c r="I384" s="75"/>
      <c r="J384" s="76"/>
      <c r="K384" s="76"/>
      <c r="L384" s="75"/>
      <c r="M384" s="49"/>
      <c r="N384" s="76"/>
      <c r="O384" s="49"/>
      <c r="P384" s="77"/>
      <c r="Q384" s="53"/>
      <c r="R384" s="54"/>
      <c r="S384" s="55"/>
      <c r="T384" s="56"/>
      <c r="U384" s="56"/>
      <c r="V384" s="42"/>
      <c r="W384" s="57"/>
      <c r="X384" s="58"/>
      <c r="Y384" s="75"/>
      <c r="Z384" s="59"/>
      <c r="AA384" s="61"/>
      <c r="AB384" s="61"/>
      <c r="AC384" s="61"/>
      <c r="AD384" s="62"/>
      <c r="AE384" s="62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x14ac:dyDescent="0.3">
      <c r="A385" s="39"/>
      <c r="B385" s="42"/>
      <c r="C385" s="42"/>
      <c r="D385" s="75"/>
      <c r="E385" s="75"/>
      <c r="F385" s="76"/>
      <c r="G385" s="47"/>
      <c r="H385" s="47"/>
      <c r="I385" s="75"/>
      <c r="J385" s="76"/>
      <c r="K385" s="76"/>
      <c r="L385" s="75"/>
      <c r="M385" s="49"/>
      <c r="N385" s="76"/>
      <c r="O385" s="49"/>
      <c r="P385" s="77"/>
      <c r="Q385" s="53"/>
      <c r="R385" s="54"/>
      <c r="S385" s="55"/>
      <c r="T385" s="56"/>
      <c r="U385" s="56"/>
      <c r="V385" s="42"/>
      <c r="W385" s="57"/>
      <c r="X385" s="58"/>
      <c r="Y385" s="75"/>
      <c r="Z385" s="59"/>
      <c r="AA385" s="61"/>
      <c r="AB385" s="61"/>
      <c r="AC385" s="61"/>
      <c r="AD385" s="62"/>
      <c r="AE385" s="62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x14ac:dyDescent="0.3">
      <c r="A386" s="39"/>
      <c r="B386" s="42"/>
      <c r="C386" s="42"/>
      <c r="D386" s="75"/>
      <c r="E386" s="75"/>
      <c r="F386" s="76"/>
      <c r="G386" s="47"/>
      <c r="H386" s="47"/>
      <c r="I386" s="75"/>
      <c r="J386" s="76"/>
      <c r="K386" s="76"/>
      <c r="L386" s="75"/>
      <c r="M386" s="49"/>
      <c r="N386" s="76"/>
      <c r="O386" s="49"/>
      <c r="P386" s="77"/>
      <c r="Q386" s="53"/>
      <c r="R386" s="54"/>
      <c r="S386" s="55"/>
      <c r="T386" s="56"/>
      <c r="U386" s="56"/>
      <c r="V386" s="42"/>
      <c r="W386" s="57"/>
      <c r="X386" s="58"/>
      <c r="Y386" s="75"/>
      <c r="Z386" s="59"/>
      <c r="AA386" s="61"/>
      <c r="AB386" s="61"/>
      <c r="AC386" s="61"/>
      <c r="AD386" s="62"/>
      <c r="AE386" s="62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x14ac:dyDescent="0.3">
      <c r="A387" s="39"/>
      <c r="B387" s="42"/>
      <c r="C387" s="42"/>
      <c r="D387" s="75"/>
      <c r="E387" s="75"/>
      <c r="F387" s="76"/>
      <c r="G387" s="47"/>
      <c r="H387" s="47"/>
      <c r="I387" s="75"/>
      <c r="J387" s="76"/>
      <c r="K387" s="76"/>
      <c r="L387" s="75"/>
      <c r="M387" s="49"/>
      <c r="N387" s="76"/>
      <c r="O387" s="49"/>
      <c r="P387" s="77"/>
      <c r="Q387" s="53"/>
      <c r="R387" s="54"/>
      <c r="S387" s="55"/>
      <c r="T387" s="56"/>
      <c r="U387" s="56"/>
      <c r="V387" s="42"/>
      <c r="W387" s="57"/>
      <c r="X387" s="58"/>
      <c r="Y387" s="75"/>
      <c r="Z387" s="59"/>
      <c r="AA387" s="61"/>
      <c r="AB387" s="61"/>
      <c r="AC387" s="61"/>
      <c r="AD387" s="62"/>
      <c r="AE387" s="62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x14ac:dyDescent="0.3">
      <c r="A388" s="39"/>
      <c r="B388" s="42"/>
      <c r="C388" s="42"/>
      <c r="D388" s="75"/>
      <c r="E388" s="75"/>
      <c r="F388" s="76"/>
      <c r="G388" s="47"/>
      <c r="H388" s="47"/>
      <c r="I388" s="75"/>
      <c r="J388" s="76"/>
      <c r="K388" s="76"/>
      <c r="L388" s="75"/>
      <c r="M388" s="49"/>
      <c r="N388" s="76"/>
      <c r="O388" s="49"/>
      <c r="P388" s="77"/>
      <c r="Q388" s="53"/>
      <c r="R388" s="54"/>
      <c r="S388" s="55"/>
      <c r="T388" s="56"/>
      <c r="U388" s="56"/>
      <c r="V388" s="42"/>
      <c r="W388" s="57"/>
      <c r="X388" s="58"/>
      <c r="Y388" s="75"/>
      <c r="Z388" s="59"/>
      <c r="AA388" s="61"/>
      <c r="AB388" s="61"/>
      <c r="AC388" s="61"/>
      <c r="AD388" s="62"/>
      <c r="AE388" s="62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x14ac:dyDescent="0.3">
      <c r="A389" s="39"/>
      <c r="B389" s="42"/>
      <c r="C389" s="42"/>
      <c r="D389" s="75"/>
      <c r="E389" s="75"/>
      <c r="F389" s="76"/>
      <c r="G389" s="47"/>
      <c r="H389" s="47"/>
      <c r="I389" s="75"/>
      <c r="J389" s="76"/>
      <c r="K389" s="76"/>
      <c r="L389" s="75"/>
      <c r="M389" s="49"/>
      <c r="N389" s="76"/>
      <c r="O389" s="49"/>
      <c r="P389" s="77"/>
      <c r="Q389" s="53"/>
      <c r="R389" s="54"/>
      <c r="S389" s="55"/>
      <c r="T389" s="56"/>
      <c r="U389" s="56"/>
      <c r="V389" s="42"/>
      <c r="W389" s="57"/>
      <c r="X389" s="58"/>
      <c r="Y389" s="75"/>
      <c r="Z389" s="59"/>
      <c r="AA389" s="61"/>
      <c r="AB389" s="61"/>
      <c r="AC389" s="61"/>
      <c r="AD389" s="62"/>
      <c r="AE389" s="62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x14ac:dyDescent="0.3">
      <c r="A390" s="39"/>
      <c r="B390" s="42"/>
      <c r="C390" s="42"/>
      <c r="D390" s="75"/>
      <c r="E390" s="75"/>
      <c r="F390" s="76"/>
      <c r="G390" s="47"/>
      <c r="H390" s="47"/>
      <c r="I390" s="75"/>
      <c r="J390" s="76"/>
      <c r="K390" s="76"/>
      <c r="L390" s="75"/>
      <c r="M390" s="49"/>
      <c r="N390" s="76"/>
      <c r="O390" s="49"/>
      <c r="P390" s="77"/>
      <c r="Q390" s="53"/>
      <c r="R390" s="54"/>
      <c r="S390" s="55"/>
      <c r="T390" s="56"/>
      <c r="U390" s="56"/>
      <c r="V390" s="42"/>
      <c r="W390" s="57"/>
      <c r="X390" s="58"/>
      <c r="Y390" s="75"/>
      <c r="Z390" s="59"/>
      <c r="AA390" s="61"/>
      <c r="AB390" s="61"/>
      <c r="AC390" s="61"/>
      <c r="AD390" s="62"/>
      <c r="AE390" s="62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x14ac:dyDescent="0.3">
      <c r="A391" s="39"/>
      <c r="B391" s="42"/>
      <c r="C391" s="42"/>
      <c r="D391" s="75"/>
      <c r="E391" s="75"/>
      <c r="F391" s="76"/>
      <c r="G391" s="47"/>
      <c r="H391" s="47"/>
      <c r="I391" s="75"/>
      <c r="J391" s="76"/>
      <c r="K391" s="76"/>
      <c r="L391" s="75"/>
      <c r="M391" s="49"/>
      <c r="N391" s="76"/>
      <c r="O391" s="49"/>
      <c r="P391" s="77"/>
      <c r="Q391" s="53"/>
      <c r="R391" s="54"/>
      <c r="S391" s="55"/>
      <c r="T391" s="56"/>
      <c r="U391" s="56"/>
      <c r="V391" s="42"/>
      <c r="W391" s="57"/>
      <c r="X391" s="58"/>
      <c r="Y391" s="75"/>
      <c r="Z391" s="59"/>
      <c r="AA391" s="61"/>
      <c r="AB391" s="61"/>
      <c r="AC391" s="61"/>
      <c r="AD391" s="62"/>
      <c r="AE391" s="62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x14ac:dyDescent="0.3">
      <c r="A392" s="39"/>
      <c r="B392" s="42"/>
      <c r="C392" s="42"/>
      <c r="D392" s="75"/>
      <c r="E392" s="75"/>
      <c r="F392" s="76"/>
      <c r="G392" s="47"/>
      <c r="H392" s="47"/>
      <c r="I392" s="75"/>
      <c r="J392" s="76"/>
      <c r="K392" s="76"/>
      <c r="L392" s="75"/>
      <c r="M392" s="49"/>
      <c r="N392" s="76"/>
      <c r="O392" s="49"/>
      <c r="P392" s="77"/>
      <c r="Q392" s="53"/>
      <c r="R392" s="54"/>
      <c r="S392" s="55"/>
      <c r="T392" s="56"/>
      <c r="U392" s="56"/>
      <c r="V392" s="42"/>
      <c r="W392" s="57"/>
      <c r="X392" s="58"/>
      <c r="Y392" s="75"/>
      <c r="Z392" s="59"/>
      <c r="AA392" s="61"/>
      <c r="AB392" s="61"/>
      <c r="AC392" s="61"/>
      <c r="AD392" s="62"/>
      <c r="AE392" s="62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x14ac:dyDescent="0.3">
      <c r="A393" s="39"/>
      <c r="B393" s="42"/>
      <c r="C393" s="42"/>
      <c r="D393" s="75"/>
      <c r="E393" s="75"/>
      <c r="F393" s="76"/>
      <c r="G393" s="47"/>
      <c r="H393" s="47"/>
      <c r="I393" s="75"/>
      <c r="J393" s="76"/>
      <c r="K393" s="76"/>
      <c r="L393" s="75"/>
      <c r="M393" s="49"/>
      <c r="N393" s="76"/>
      <c r="O393" s="49"/>
      <c r="P393" s="77"/>
      <c r="Q393" s="53"/>
      <c r="R393" s="54"/>
      <c r="S393" s="55"/>
      <c r="T393" s="56"/>
      <c r="U393" s="56"/>
      <c r="V393" s="42"/>
      <c r="W393" s="57"/>
      <c r="X393" s="58"/>
      <c r="Y393" s="75"/>
      <c r="Z393" s="59"/>
      <c r="AA393" s="61"/>
      <c r="AB393" s="61"/>
      <c r="AC393" s="61"/>
      <c r="AD393" s="62"/>
      <c r="AE393" s="62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x14ac:dyDescent="0.3">
      <c r="A394" s="39"/>
      <c r="B394" s="42"/>
      <c r="C394" s="42"/>
      <c r="D394" s="75"/>
      <c r="E394" s="75"/>
      <c r="F394" s="76"/>
      <c r="G394" s="47"/>
      <c r="H394" s="47"/>
      <c r="I394" s="75"/>
      <c r="J394" s="76"/>
      <c r="K394" s="76"/>
      <c r="L394" s="75"/>
      <c r="M394" s="49"/>
      <c r="N394" s="76"/>
      <c r="O394" s="49"/>
      <c r="P394" s="77"/>
      <c r="Q394" s="53"/>
      <c r="R394" s="54"/>
      <c r="S394" s="55"/>
      <c r="T394" s="56"/>
      <c r="U394" s="56"/>
      <c r="V394" s="42"/>
      <c r="W394" s="57"/>
      <c r="X394" s="58"/>
      <c r="Y394" s="75"/>
      <c r="Z394" s="59"/>
      <c r="AA394" s="61"/>
      <c r="AB394" s="61"/>
      <c r="AC394" s="61"/>
      <c r="AD394" s="62"/>
      <c r="AE394" s="62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x14ac:dyDescent="0.3">
      <c r="A395" s="39"/>
      <c r="B395" s="42"/>
      <c r="C395" s="42"/>
      <c r="D395" s="75"/>
      <c r="E395" s="75"/>
      <c r="F395" s="76"/>
      <c r="G395" s="47"/>
      <c r="H395" s="47"/>
      <c r="I395" s="75"/>
      <c r="J395" s="76"/>
      <c r="K395" s="76"/>
      <c r="L395" s="75"/>
      <c r="M395" s="49"/>
      <c r="N395" s="76"/>
      <c r="O395" s="49"/>
      <c r="P395" s="77"/>
      <c r="Q395" s="53"/>
      <c r="R395" s="54"/>
      <c r="S395" s="55"/>
      <c r="T395" s="56"/>
      <c r="U395" s="56"/>
      <c r="V395" s="42"/>
      <c r="W395" s="57"/>
      <c r="X395" s="58"/>
      <c r="Y395" s="75"/>
      <c r="Z395" s="59"/>
      <c r="AA395" s="61"/>
      <c r="AB395" s="61"/>
      <c r="AC395" s="61"/>
      <c r="AD395" s="62"/>
      <c r="AE395" s="62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x14ac:dyDescent="0.3">
      <c r="A396" s="39"/>
      <c r="B396" s="42"/>
      <c r="C396" s="42"/>
      <c r="D396" s="75"/>
      <c r="E396" s="75"/>
      <c r="F396" s="76"/>
      <c r="G396" s="47"/>
      <c r="H396" s="47"/>
      <c r="I396" s="75"/>
      <c r="J396" s="76"/>
      <c r="K396" s="76"/>
      <c r="L396" s="75"/>
      <c r="M396" s="49"/>
      <c r="N396" s="76"/>
      <c r="O396" s="49"/>
      <c r="P396" s="77"/>
      <c r="Q396" s="53"/>
      <c r="R396" s="54"/>
      <c r="S396" s="55"/>
      <c r="T396" s="56"/>
      <c r="U396" s="56"/>
      <c r="V396" s="42"/>
      <c r="W396" s="57"/>
      <c r="X396" s="58"/>
      <c r="Y396" s="75"/>
      <c r="Z396" s="59"/>
      <c r="AA396" s="61"/>
      <c r="AB396" s="61"/>
      <c r="AC396" s="61"/>
      <c r="AD396" s="62"/>
      <c r="AE396" s="62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x14ac:dyDescent="0.3">
      <c r="A397" s="39"/>
      <c r="B397" s="42"/>
      <c r="C397" s="42"/>
      <c r="D397" s="75"/>
      <c r="E397" s="75"/>
      <c r="F397" s="76"/>
      <c r="G397" s="47"/>
      <c r="H397" s="47"/>
      <c r="I397" s="75"/>
      <c r="J397" s="76"/>
      <c r="K397" s="76"/>
      <c r="L397" s="75"/>
      <c r="M397" s="49"/>
      <c r="N397" s="76"/>
      <c r="O397" s="49"/>
      <c r="P397" s="77"/>
      <c r="Q397" s="53"/>
      <c r="R397" s="54"/>
      <c r="S397" s="55"/>
      <c r="T397" s="56"/>
      <c r="U397" s="56"/>
      <c r="V397" s="42"/>
      <c r="W397" s="57"/>
      <c r="X397" s="58"/>
      <c r="Y397" s="75"/>
      <c r="Z397" s="59"/>
      <c r="AA397" s="61"/>
      <c r="AB397" s="61"/>
      <c r="AC397" s="61"/>
      <c r="AD397" s="62"/>
      <c r="AE397" s="62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x14ac:dyDescent="0.3">
      <c r="A398" s="39"/>
      <c r="B398" s="42"/>
      <c r="C398" s="42"/>
      <c r="D398" s="75"/>
      <c r="E398" s="75"/>
      <c r="F398" s="76"/>
      <c r="G398" s="47"/>
      <c r="H398" s="47"/>
      <c r="I398" s="75"/>
      <c r="J398" s="76"/>
      <c r="K398" s="76"/>
      <c r="L398" s="75"/>
      <c r="M398" s="49"/>
      <c r="N398" s="76"/>
      <c r="O398" s="49"/>
      <c r="P398" s="77"/>
      <c r="Q398" s="53"/>
      <c r="R398" s="54"/>
      <c r="S398" s="55"/>
      <c r="T398" s="56"/>
      <c r="U398" s="56"/>
      <c r="V398" s="42"/>
      <c r="W398" s="57"/>
      <c r="X398" s="58"/>
      <c r="Y398" s="75"/>
      <c r="Z398" s="59"/>
      <c r="AA398" s="61"/>
      <c r="AB398" s="61"/>
      <c r="AC398" s="61"/>
      <c r="AD398" s="62"/>
      <c r="AE398" s="62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x14ac:dyDescent="0.3">
      <c r="A399" s="39"/>
      <c r="B399" s="42"/>
      <c r="C399" s="42"/>
      <c r="D399" s="75"/>
      <c r="E399" s="75"/>
      <c r="F399" s="76"/>
      <c r="G399" s="47"/>
      <c r="H399" s="47"/>
      <c r="I399" s="75"/>
      <c r="J399" s="76"/>
      <c r="K399" s="76"/>
      <c r="L399" s="75"/>
      <c r="M399" s="49"/>
      <c r="N399" s="76"/>
      <c r="O399" s="49"/>
      <c r="P399" s="77"/>
      <c r="Q399" s="53"/>
      <c r="R399" s="54"/>
      <c r="S399" s="55"/>
      <c r="T399" s="56"/>
      <c r="U399" s="56"/>
      <c r="V399" s="42"/>
      <c r="W399" s="57"/>
      <c r="X399" s="58"/>
      <c r="Y399" s="75"/>
      <c r="Z399" s="59"/>
      <c r="AA399" s="61"/>
      <c r="AB399" s="61"/>
      <c r="AC399" s="61"/>
      <c r="AD399" s="62"/>
      <c r="AE399" s="62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x14ac:dyDescent="0.3">
      <c r="A400" s="39"/>
      <c r="B400" s="42"/>
      <c r="C400" s="42"/>
      <c r="D400" s="75"/>
      <c r="E400" s="75"/>
      <c r="F400" s="76"/>
      <c r="G400" s="47"/>
      <c r="H400" s="47"/>
      <c r="I400" s="75"/>
      <c r="J400" s="76"/>
      <c r="K400" s="76"/>
      <c r="L400" s="75"/>
      <c r="M400" s="49"/>
      <c r="N400" s="76"/>
      <c r="O400" s="49"/>
      <c r="P400" s="77"/>
      <c r="Q400" s="53"/>
      <c r="R400" s="54"/>
      <c r="S400" s="55"/>
      <c r="T400" s="56"/>
      <c r="U400" s="56"/>
      <c r="V400" s="42"/>
      <c r="W400" s="57"/>
      <c r="X400" s="58"/>
      <c r="Y400" s="75"/>
      <c r="Z400" s="59"/>
      <c r="AA400" s="61"/>
      <c r="AB400" s="61"/>
      <c r="AC400" s="61"/>
      <c r="AD400" s="62"/>
      <c r="AE400" s="62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x14ac:dyDescent="0.3">
      <c r="A401" s="39"/>
      <c r="B401" s="42"/>
      <c r="C401" s="42"/>
      <c r="D401" s="75"/>
      <c r="E401" s="75"/>
      <c r="F401" s="76"/>
      <c r="G401" s="47"/>
      <c r="H401" s="47"/>
      <c r="I401" s="75"/>
      <c r="J401" s="76"/>
      <c r="K401" s="76"/>
      <c r="L401" s="75"/>
      <c r="M401" s="49"/>
      <c r="N401" s="76"/>
      <c r="O401" s="49"/>
      <c r="P401" s="77"/>
      <c r="Q401" s="53"/>
      <c r="R401" s="54"/>
      <c r="S401" s="55"/>
      <c r="T401" s="56"/>
      <c r="U401" s="56"/>
      <c r="V401" s="42"/>
      <c r="W401" s="57"/>
      <c r="X401" s="58"/>
      <c r="Y401" s="75"/>
      <c r="Z401" s="59"/>
      <c r="AA401" s="61"/>
      <c r="AB401" s="61"/>
      <c r="AC401" s="61"/>
      <c r="AD401" s="62"/>
      <c r="AE401" s="62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x14ac:dyDescent="0.3">
      <c r="A402" s="39"/>
      <c r="B402" s="42"/>
      <c r="C402" s="42"/>
      <c r="D402" s="75"/>
      <c r="E402" s="75"/>
      <c r="F402" s="76"/>
      <c r="G402" s="47"/>
      <c r="H402" s="47"/>
      <c r="I402" s="75"/>
      <c r="J402" s="76"/>
      <c r="K402" s="76"/>
      <c r="L402" s="75"/>
      <c r="M402" s="49"/>
      <c r="N402" s="76"/>
      <c r="O402" s="49"/>
      <c r="P402" s="77"/>
      <c r="Q402" s="53"/>
      <c r="R402" s="54"/>
      <c r="S402" s="55"/>
      <c r="T402" s="56"/>
      <c r="U402" s="56"/>
      <c r="V402" s="42"/>
      <c r="W402" s="57"/>
      <c r="X402" s="58"/>
      <c r="Y402" s="75"/>
      <c r="Z402" s="59"/>
      <c r="AA402" s="61"/>
      <c r="AB402" s="61"/>
      <c r="AC402" s="61"/>
      <c r="AD402" s="62"/>
      <c r="AE402" s="62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x14ac:dyDescent="0.3">
      <c r="A403" s="39"/>
      <c r="B403" s="42"/>
      <c r="C403" s="42"/>
      <c r="D403" s="75"/>
      <c r="E403" s="75"/>
      <c r="F403" s="76"/>
      <c r="G403" s="47"/>
      <c r="H403" s="47"/>
      <c r="I403" s="75"/>
      <c r="J403" s="76"/>
      <c r="K403" s="76"/>
      <c r="L403" s="75"/>
      <c r="M403" s="49"/>
      <c r="N403" s="76"/>
      <c r="O403" s="49"/>
      <c r="P403" s="77"/>
      <c r="Q403" s="53"/>
      <c r="R403" s="54"/>
      <c r="S403" s="55"/>
      <c r="T403" s="56"/>
      <c r="U403" s="56"/>
      <c r="V403" s="42"/>
      <c r="W403" s="57"/>
      <c r="X403" s="58"/>
      <c r="Y403" s="75"/>
      <c r="Z403" s="59"/>
      <c r="AA403" s="61"/>
      <c r="AB403" s="61"/>
      <c r="AC403" s="61"/>
      <c r="AD403" s="62"/>
      <c r="AE403" s="62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x14ac:dyDescent="0.3">
      <c r="A404" s="39"/>
      <c r="B404" s="42"/>
      <c r="C404" s="42"/>
      <c r="D404" s="75"/>
      <c r="E404" s="75"/>
      <c r="F404" s="76"/>
      <c r="G404" s="47"/>
      <c r="H404" s="47"/>
      <c r="I404" s="75"/>
      <c r="J404" s="76"/>
      <c r="K404" s="76"/>
      <c r="L404" s="75"/>
      <c r="M404" s="49"/>
      <c r="N404" s="76"/>
      <c r="O404" s="49"/>
      <c r="P404" s="77"/>
      <c r="Q404" s="53"/>
      <c r="R404" s="54"/>
      <c r="S404" s="55"/>
      <c r="T404" s="56"/>
      <c r="U404" s="56"/>
      <c r="V404" s="42"/>
      <c r="W404" s="57"/>
      <c r="X404" s="58"/>
      <c r="Y404" s="75"/>
      <c r="Z404" s="59"/>
      <c r="AA404" s="61"/>
      <c r="AB404" s="61"/>
      <c r="AC404" s="61"/>
      <c r="AD404" s="62"/>
      <c r="AE404" s="62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x14ac:dyDescent="0.3">
      <c r="A405" s="39"/>
      <c r="B405" s="42"/>
      <c r="C405" s="42"/>
      <c r="D405" s="75"/>
      <c r="E405" s="75"/>
      <c r="F405" s="76"/>
      <c r="G405" s="47"/>
      <c r="H405" s="47"/>
      <c r="I405" s="75"/>
      <c r="J405" s="76"/>
      <c r="K405" s="76"/>
      <c r="L405" s="75"/>
      <c r="M405" s="49"/>
      <c r="N405" s="76"/>
      <c r="O405" s="49"/>
      <c r="P405" s="77"/>
      <c r="Q405" s="53"/>
      <c r="R405" s="54"/>
      <c r="S405" s="55"/>
      <c r="T405" s="56"/>
      <c r="U405" s="56"/>
      <c r="V405" s="42"/>
      <c r="W405" s="57"/>
      <c r="X405" s="58"/>
      <c r="Y405" s="75"/>
      <c r="Z405" s="59"/>
      <c r="AA405" s="61"/>
      <c r="AB405" s="61"/>
      <c r="AC405" s="61"/>
      <c r="AD405" s="62"/>
      <c r="AE405" s="62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x14ac:dyDescent="0.3">
      <c r="A406" s="39"/>
      <c r="B406" s="42"/>
      <c r="C406" s="42"/>
      <c r="D406" s="75"/>
      <c r="E406" s="75"/>
      <c r="F406" s="76"/>
      <c r="G406" s="47"/>
      <c r="H406" s="47"/>
      <c r="I406" s="75"/>
      <c r="J406" s="76"/>
      <c r="K406" s="76"/>
      <c r="L406" s="75"/>
      <c r="M406" s="49"/>
      <c r="N406" s="76"/>
      <c r="O406" s="49"/>
      <c r="P406" s="77"/>
      <c r="Q406" s="53"/>
      <c r="R406" s="54"/>
      <c r="S406" s="55"/>
      <c r="T406" s="56"/>
      <c r="U406" s="56"/>
      <c r="V406" s="42"/>
      <c r="W406" s="57"/>
      <c r="X406" s="58"/>
      <c r="Y406" s="75"/>
      <c r="Z406" s="59"/>
      <c r="AA406" s="61"/>
      <c r="AB406" s="61"/>
      <c r="AC406" s="61"/>
      <c r="AD406" s="62"/>
      <c r="AE406" s="62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x14ac:dyDescent="0.3">
      <c r="A407" s="39"/>
      <c r="B407" s="42"/>
      <c r="C407" s="42"/>
      <c r="D407" s="75"/>
      <c r="E407" s="75"/>
      <c r="F407" s="76"/>
      <c r="G407" s="47"/>
      <c r="H407" s="47"/>
      <c r="I407" s="75"/>
      <c r="J407" s="76"/>
      <c r="K407" s="76"/>
      <c r="L407" s="75"/>
      <c r="M407" s="49"/>
      <c r="N407" s="76"/>
      <c r="O407" s="49"/>
      <c r="P407" s="77"/>
      <c r="Q407" s="53"/>
      <c r="R407" s="54"/>
      <c r="S407" s="55"/>
      <c r="T407" s="56"/>
      <c r="U407" s="56"/>
      <c r="V407" s="42"/>
      <c r="W407" s="57"/>
      <c r="X407" s="58"/>
      <c r="Y407" s="75"/>
      <c r="Z407" s="59"/>
      <c r="AA407" s="61"/>
      <c r="AB407" s="61"/>
      <c r="AC407" s="61"/>
      <c r="AD407" s="62"/>
      <c r="AE407" s="62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x14ac:dyDescent="0.3">
      <c r="A408" s="39"/>
      <c r="B408" s="42"/>
      <c r="C408" s="42"/>
      <c r="D408" s="75"/>
      <c r="E408" s="75"/>
      <c r="F408" s="76"/>
      <c r="G408" s="47"/>
      <c r="H408" s="47"/>
      <c r="I408" s="75"/>
      <c r="J408" s="76"/>
      <c r="K408" s="76"/>
      <c r="L408" s="75"/>
      <c r="M408" s="49"/>
      <c r="N408" s="76"/>
      <c r="O408" s="49"/>
      <c r="P408" s="77"/>
      <c r="Q408" s="53"/>
      <c r="R408" s="54"/>
      <c r="S408" s="55"/>
      <c r="T408" s="56"/>
      <c r="U408" s="56"/>
      <c r="V408" s="42"/>
      <c r="W408" s="57"/>
      <c r="X408" s="58"/>
      <c r="Y408" s="75"/>
      <c r="Z408" s="59"/>
      <c r="AA408" s="61"/>
      <c r="AB408" s="61"/>
      <c r="AC408" s="61"/>
      <c r="AD408" s="62"/>
      <c r="AE408" s="62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x14ac:dyDescent="0.3">
      <c r="A409" s="39"/>
      <c r="B409" s="42"/>
      <c r="C409" s="42"/>
      <c r="D409" s="75"/>
      <c r="E409" s="75"/>
      <c r="F409" s="76"/>
      <c r="G409" s="47"/>
      <c r="H409" s="47"/>
      <c r="I409" s="75"/>
      <c r="J409" s="76"/>
      <c r="K409" s="76"/>
      <c r="L409" s="75"/>
      <c r="M409" s="49"/>
      <c r="N409" s="76"/>
      <c r="O409" s="49"/>
      <c r="P409" s="77"/>
      <c r="Q409" s="53"/>
      <c r="R409" s="54"/>
      <c r="S409" s="55"/>
      <c r="T409" s="56"/>
      <c r="U409" s="56"/>
      <c r="V409" s="42"/>
      <c r="W409" s="57"/>
      <c r="X409" s="58"/>
      <c r="Y409" s="75"/>
      <c r="Z409" s="59"/>
      <c r="AA409" s="61"/>
      <c r="AB409" s="61"/>
      <c r="AC409" s="61"/>
      <c r="AD409" s="62"/>
      <c r="AE409" s="62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x14ac:dyDescent="0.3">
      <c r="A410" s="39"/>
      <c r="B410" s="42"/>
      <c r="C410" s="42"/>
      <c r="D410" s="75"/>
      <c r="E410" s="75"/>
      <c r="F410" s="76"/>
      <c r="G410" s="47"/>
      <c r="H410" s="47"/>
      <c r="I410" s="75"/>
      <c r="J410" s="76"/>
      <c r="K410" s="76"/>
      <c r="L410" s="75"/>
      <c r="M410" s="49"/>
      <c r="N410" s="76"/>
      <c r="O410" s="49"/>
      <c r="P410" s="77"/>
      <c r="Q410" s="53"/>
      <c r="R410" s="54"/>
      <c r="S410" s="55"/>
      <c r="T410" s="56"/>
      <c r="U410" s="56"/>
      <c r="V410" s="42"/>
      <c r="W410" s="57"/>
      <c r="X410" s="58"/>
      <c r="Y410" s="75"/>
      <c r="Z410" s="59"/>
      <c r="AA410" s="61"/>
      <c r="AB410" s="61"/>
      <c r="AC410" s="61"/>
      <c r="AD410" s="62"/>
      <c r="AE410" s="62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x14ac:dyDescent="0.3">
      <c r="A411" s="39"/>
      <c r="B411" s="42"/>
      <c r="C411" s="42"/>
      <c r="D411" s="75"/>
      <c r="E411" s="75"/>
      <c r="F411" s="76"/>
      <c r="G411" s="47"/>
      <c r="H411" s="47"/>
      <c r="I411" s="75"/>
      <c r="J411" s="76"/>
      <c r="K411" s="76"/>
      <c r="L411" s="75"/>
      <c r="M411" s="49"/>
      <c r="N411" s="76"/>
      <c r="O411" s="49"/>
      <c r="P411" s="77"/>
      <c r="Q411" s="53"/>
      <c r="R411" s="54"/>
      <c r="S411" s="55"/>
      <c r="T411" s="56"/>
      <c r="U411" s="56"/>
      <c r="V411" s="42"/>
      <c r="W411" s="57"/>
      <c r="X411" s="58"/>
      <c r="Y411" s="75"/>
      <c r="Z411" s="59"/>
      <c r="AA411" s="61"/>
      <c r="AB411" s="61"/>
      <c r="AC411" s="61"/>
      <c r="AD411" s="62"/>
      <c r="AE411" s="62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x14ac:dyDescent="0.3">
      <c r="A412" s="39"/>
      <c r="B412" s="42"/>
      <c r="C412" s="42"/>
      <c r="D412" s="75"/>
      <c r="E412" s="75"/>
      <c r="F412" s="76"/>
      <c r="G412" s="47"/>
      <c r="H412" s="47"/>
      <c r="I412" s="75"/>
      <c r="J412" s="76"/>
      <c r="K412" s="76"/>
      <c r="L412" s="75"/>
      <c r="M412" s="49"/>
      <c r="N412" s="76"/>
      <c r="O412" s="49"/>
      <c r="P412" s="77"/>
      <c r="Q412" s="53"/>
      <c r="R412" s="54"/>
      <c r="S412" s="55"/>
      <c r="T412" s="56"/>
      <c r="U412" s="56"/>
      <c r="V412" s="42"/>
      <c r="W412" s="57"/>
      <c r="X412" s="58"/>
      <c r="Y412" s="75"/>
      <c r="Z412" s="59"/>
      <c r="AA412" s="61"/>
      <c r="AB412" s="61"/>
      <c r="AC412" s="61"/>
      <c r="AD412" s="62"/>
      <c r="AE412" s="62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x14ac:dyDescent="0.3">
      <c r="A413" s="39"/>
      <c r="B413" s="42"/>
      <c r="C413" s="42"/>
      <c r="D413" s="75"/>
      <c r="E413" s="75"/>
      <c r="F413" s="76"/>
      <c r="G413" s="47"/>
      <c r="H413" s="47"/>
      <c r="I413" s="75"/>
      <c r="J413" s="76"/>
      <c r="K413" s="76"/>
      <c r="L413" s="75"/>
      <c r="M413" s="49"/>
      <c r="N413" s="76"/>
      <c r="O413" s="49"/>
      <c r="P413" s="77"/>
      <c r="Q413" s="53"/>
      <c r="R413" s="54"/>
      <c r="S413" s="55"/>
      <c r="T413" s="56"/>
      <c r="U413" s="56"/>
      <c r="V413" s="42"/>
      <c r="W413" s="57"/>
      <c r="X413" s="58"/>
      <c r="Y413" s="75"/>
      <c r="Z413" s="59"/>
      <c r="AA413" s="61"/>
      <c r="AB413" s="61"/>
      <c r="AC413" s="61"/>
      <c r="AD413" s="62"/>
      <c r="AE413" s="62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x14ac:dyDescent="0.3">
      <c r="A414" s="39"/>
      <c r="B414" s="42"/>
      <c r="C414" s="42"/>
      <c r="D414" s="75"/>
      <c r="E414" s="75"/>
      <c r="F414" s="76"/>
      <c r="G414" s="47"/>
      <c r="H414" s="47"/>
      <c r="I414" s="75"/>
      <c r="J414" s="76"/>
      <c r="K414" s="76"/>
      <c r="L414" s="75"/>
      <c r="M414" s="49"/>
      <c r="N414" s="76"/>
      <c r="O414" s="49"/>
      <c r="P414" s="77"/>
      <c r="Q414" s="53"/>
      <c r="R414" s="54"/>
      <c r="S414" s="55"/>
      <c r="T414" s="56"/>
      <c r="U414" s="56"/>
      <c r="V414" s="42"/>
      <c r="W414" s="57"/>
      <c r="X414" s="58"/>
      <c r="Y414" s="75"/>
      <c r="Z414" s="59"/>
      <c r="AA414" s="61"/>
      <c r="AB414" s="61"/>
      <c r="AC414" s="61"/>
      <c r="AD414" s="62"/>
      <c r="AE414" s="62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x14ac:dyDescent="0.3">
      <c r="A415" s="39"/>
      <c r="B415" s="42"/>
      <c r="C415" s="42"/>
      <c r="D415" s="75"/>
      <c r="E415" s="75"/>
      <c r="F415" s="76"/>
      <c r="G415" s="47"/>
      <c r="H415" s="47"/>
      <c r="I415" s="75"/>
      <c r="J415" s="76"/>
      <c r="K415" s="76"/>
      <c r="L415" s="75"/>
      <c r="M415" s="49"/>
      <c r="N415" s="76"/>
      <c r="O415" s="49"/>
      <c r="P415" s="77"/>
      <c r="Q415" s="53"/>
      <c r="R415" s="54"/>
      <c r="S415" s="55"/>
      <c r="T415" s="56"/>
      <c r="U415" s="56"/>
      <c r="V415" s="42"/>
      <c r="W415" s="57"/>
      <c r="X415" s="58"/>
      <c r="Y415" s="75"/>
      <c r="Z415" s="59"/>
      <c r="AA415" s="61"/>
      <c r="AB415" s="61"/>
      <c r="AC415" s="61"/>
      <c r="AD415" s="62"/>
      <c r="AE415" s="62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x14ac:dyDescent="0.3">
      <c r="A416" s="39"/>
      <c r="B416" s="42"/>
      <c r="C416" s="42"/>
      <c r="D416" s="75"/>
      <c r="E416" s="75"/>
      <c r="F416" s="76"/>
      <c r="G416" s="47"/>
      <c r="H416" s="47"/>
      <c r="I416" s="75"/>
      <c r="J416" s="76"/>
      <c r="K416" s="76"/>
      <c r="L416" s="75"/>
      <c r="M416" s="49"/>
      <c r="N416" s="76"/>
      <c r="O416" s="49"/>
      <c r="P416" s="77"/>
      <c r="Q416" s="53"/>
      <c r="R416" s="54"/>
      <c r="S416" s="55"/>
      <c r="T416" s="56"/>
      <c r="U416" s="56"/>
      <c r="V416" s="42"/>
      <c r="W416" s="57"/>
      <c r="X416" s="58"/>
      <c r="Y416" s="75"/>
      <c r="Z416" s="59"/>
      <c r="AA416" s="61"/>
      <c r="AB416" s="61"/>
      <c r="AC416" s="61"/>
      <c r="AD416" s="62"/>
      <c r="AE416" s="62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x14ac:dyDescent="0.3">
      <c r="A417" s="39"/>
      <c r="B417" s="42"/>
      <c r="C417" s="42"/>
      <c r="D417" s="75"/>
      <c r="E417" s="75"/>
      <c r="F417" s="76"/>
      <c r="G417" s="47"/>
      <c r="H417" s="47"/>
      <c r="I417" s="75"/>
      <c r="J417" s="76"/>
      <c r="K417" s="76"/>
      <c r="L417" s="75"/>
      <c r="M417" s="49"/>
      <c r="N417" s="76"/>
      <c r="O417" s="49"/>
      <c r="P417" s="77"/>
      <c r="Q417" s="53"/>
      <c r="R417" s="54"/>
      <c r="S417" s="55"/>
      <c r="T417" s="56"/>
      <c r="U417" s="56"/>
      <c r="V417" s="42"/>
      <c r="W417" s="57"/>
      <c r="X417" s="58"/>
      <c r="Y417" s="75"/>
      <c r="Z417" s="59"/>
      <c r="AA417" s="61"/>
      <c r="AB417" s="61"/>
      <c r="AC417" s="61"/>
      <c r="AD417" s="62"/>
      <c r="AE417" s="62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x14ac:dyDescent="0.3">
      <c r="A418" s="39"/>
      <c r="B418" s="42"/>
      <c r="C418" s="42"/>
      <c r="D418" s="75"/>
      <c r="E418" s="75"/>
      <c r="F418" s="76"/>
      <c r="G418" s="47"/>
      <c r="H418" s="47"/>
      <c r="I418" s="75"/>
      <c r="J418" s="76"/>
      <c r="K418" s="76"/>
      <c r="L418" s="75"/>
      <c r="M418" s="49"/>
      <c r="N418" s="76"/>
      <c r="O418" s="49"/>
      <c r="P418" s="77"/>
      <c r="Q418" s="53"/>
      <c r="R418" s="54"/>
      <c r="S418" s="55"/>
      <c r="T418" s="56"/>
      <c r="U418" s="56"/>
      <c r="V418" s="42"/>
      <c r="W418" s="57"/>
      <c r="X418" s="58"/>
      <c r="Y418" s="75"/>
      <c r="Z418" s="59"/>
      <c r="AA418" s="61"/>
      <c r="AB418" s="61"/>
      <c r="AC418" s="61"/>
      <c r="AD418" s="62"/>
      <c r="AE418" s="62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x14ac:dyDescent="0.3">
      <c r="A419" s="39"/>
      <c r="B419" s="42"/>
      <c r="C419" s="42"/>
      <c r="D419" s="75"/>
      <c r="E419" s="75"/>
      <c r="F419" s="76"/>
      <c r="G419" s="47"/>
      <c r="H419" s="47"/>
      <c r="I419" s="75"/>
      <c r="J419" s="76"/>
      <c r="K419" s="76"/>
      <c r="L419" s="75"/>
      <c r="M419" s="49"/>
      <c r="N419" s="76"/>
      <c r="O419" s="49"/>
      <c r="P419" s="77"/>
      <c r="Q419" s="53"/>
      <c r="R419" s="54"/>
      <c r="S419" s="55"/>
      <c r="T419" s="56"/>
      <c r="U419" s="56"/>
      <c r="V419" s="42"/>
      <c r="W419" s="57"/>
      <c r="X419" s="58"/>
      <c r="Y419" s="75"/>
      <c r="Z419" s="59"/>
      <c r="AA419" s="61"/>
      <c r="AB419" s="61"/>
      <c r="AC419" s="61"/>
      <c r="AD419" s="62"/>
      <c r="AE419" s="62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x14ac:dyDescent="0.3">
      <c r="A420" s="39"/>
      <c r="B420" s="42"/>
      <c r="C420" s="42"/>
      <c r="D420" s="75"/>
      <c r="E420" s="75"/>
      <c r="F420" s="76"/>
      <c r="G420" s="47"/>
      <c r="H420" s="47"/>
      <c r="I420" s="75"/>
      <c r="J420" s="76"/>
      <c r="K420" s="76"/>
      <c r="L420" s="75"/>
      <c r="M420" s="49"/>
      <c r="N420" s="76"/>
      <c r="O420" s="49"/>
      <c r="P420" s="77"/>
      <c r="Q420" s="53"/>
      <c r="R420" s="54"/>
      <c r="S420" s="55"/>
      <c r="T420" s="56"/>
      <c r="U420" s="56"/>
      <c r="V420" s="42"/>
      <c r="W420" s="57"/>
      <c r="X420" s="58"/>
      <c r="Y420" s="75"/>
      <c r="Z420" s="59"/>
      <c r="AA420" s="61"/>
      <c r="AB420" s="61"/>
      <c r="AC420" s="61"/>
      <c r="AD420" s="62"/>
      <c r="AE420" s="62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x14ac:dyDescent="0.3">
      <c r="A421" s="39"/>
      <c r="B421" s="42"/>
      <c r="C421" s="42"/>
      <c r="D421" s="75"/>
      <c r="E421" s="75"/>
      <c r="F421" s="76"/>
      <c r="G421" s="47"/>
      <c r="H421" s="47"/>
      <c r="I421" s="75"/>
      <c r="J421" s="76"/>
      <c r="K421" s="76"/>
      <c r="L421" s="75"/>
      <c r="M421" s="49"/>
      <c r="N421" s="76"/>
      <c r="O421" s="49"/>
      <c r="P421" s="77"/>
      <c r="Q421" s="53"/>
      <c r="R421" s="54"/>
      <c r="S421" s="55"/>
      <c r="T421" s="56"/>
      <c r="U421" s="56"/>
      <c r="V421" s="42"/>
      <c r="W421" s="57"/>
      <c r="X421" s="58"/>
      <c r="Y421" s="75"/>
      <c r="Z421" s="59"/>
      <c r="AA421" s="61"/>
      <c r="AB421" s="61"/>
      <c r="AC421" s="61"/>
      <c r="AD421" s="62"/>
      <c r="AE421" s="62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x14ac:dyDescent="0.3">
      <c r="A422" s="39"/>
      <c r="B422" s="42"/>
      <c r="C422" s="42"/>
      <c r="D422" s="75"/>
      <c r="E422" s="75"/>
      <c r="F422" s="76"/>
      <c r="G422" s="47"/>
      <c r="H422" s="47"/>
      <c r="I422" s="75"/>
      <c r="J422" s="76"/>
      <c r="K422" s="76"/>
      <c r="L422" s="75"/>
      <c r="M422" s="49"/>
      <c r="N422" s="76"/>
      <c r="O422" s="49"/>
      <c r="P422" s="77"/>
      <c r="Q422" s="53"/>
      <c r="R422" s="54"/>
      <c r="S422" s="55"/>
      <c r="T422" s="56"/>
      <c r="U422" s="56"/>
      <c r="V422" s="42"/>
      <c r="W422" s="57"/>
      <c r="X422" s="58"/>
      <c r="Y422" s="75"/>
      <c r="Z422" s="59"/>
      <c r="AA422" s="61"/>
      <c r="AB422" s="61"/>
      <c r="AC422" s="61"/>
      <c r="AD422" s="62"/>
      <c r="AE422" s="62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x14ac:dyDescent="0.3">
      <c r="A423" s="39"/>
      <c r="B423" s="42"/>
      <c r="C423" s="42"/>
      <c r="D423" s="75"/>
      <c r="E423" s="75"/>
      <c r="F423" s="76"/>
      <c r="G423" s="47"/>
      <c r="H423" s="47"/>
      <c r="I423" s="75"/>
      <c r="J423" s="76"/>
      <c r="K423" s="76"/>
      <c r="L423" s="75"/>
      <c r="M423" s="49"/>
      <c r="N423" s="76"/>
      <c r="O423" s="49"/>
      <c r="P423" s="77"/>
      <c r="Q423" s="53"/>
      <c r="R423" s="54"/>
      <c r="S423" s="55"/>
      <c r="T423" s="56"/>
      <c r="U423" s="56"/>
      <c r="V423" s="42"/>
      <c r="W423" s="57"/>
      <c r="X423" s="58"/>
      <c r="Y423" s="75"/>
      <c r="Z423" s="59"/>
      <c r="AA423" s="61"/>
      <c r="AB423" s="61"/>
      <c r="AC423" s="61"/>
      <c r="AD423" s="62"/>
      <c r="AE423" s="62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x14ac:dyDescent="0.3">
      <c r="A424" s="39"/>
      <c r="B424" s="42"/>
      <c r="C424" s="42"/>
      <c r="D424" s="75"/>
      <c r="E424" s="75"/>
      <c r="F424" s="76"/>
      <c r="G424" s="47"/>
      <c r="H424" s="47"/>
      <c r="I424" s="75"/>
      <c r="J424" s="76"/>
      <c r="K424" s="76"/>
      <c r="L424" s="75"/>
      <c r="M424" s="49"/>
      <c r="N424" s="76"/>
      <c r="O424" s="49"/>
      <c r="P424" s="77"/>
      <c r="Q424" s="53"/>
      <c r="R424" s="54"/>
      <c r="S424" s="55"/>
      <c r="T424" s="56"/>
      <c r="U424" s="56"/>
      <c r="V424" s="42"/>
      <c r="W424" s="57"/>
      <c r="X424" s="58"/>
      <c r="Y424" s="75"/>
      <c r="Z424" s="59"/>
      <c r="AA424" s="61"/>
      <c r="AB424" s="61"/>
      <c r="AC424" s="61"/>
      <c r="AD424" s="62"/>
      <c r="AE424" s="62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x14ac:dyDescent="0.3">
      <c r="A425" s="39"/>
      <c r="B425" s="42"/>
      <c r="C425" s="42"/>
      <c r="D425" s="75"/>
      <c r="E425" s="75"/>
      <c r="F425" s="76"/>
      <c r="G425" s="47"/>
      <c r="H425" s="47"/>
      <c r="I425" s="75"/>
      <c r="J425" s="76"/>
      <c r="K425" s="76"/>
      <c r="L425" s="75"/>
      <c r="M425" s="49"/>
      <c r="N425" s="76"/>
      <c r="O425" s="49"/>
      <c r="P425" s="77"/>
      <c r="Q425" s="53"/>
      <c r="R425" s="54"/>
      <c r="S425" s="55"/>
      <c r="T425" s="56"/>
      <c r="U425" s="56"/>
      <c r="V425" s="42"/>
      <c r="W425" s="57"/>
      <c r="X425" s="58"/>
      <c r="Y425" s="75"/>
      <c r="Z425" s="59"/>
      <c r="AA425" s="61"/>
      <c r="AB425" s="61"/>
      <c r="AC425" s="61"/>
      <c r="AD425" s="62"/>
      <c r="AE425" s="62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x14ac:dyDescent="0.3">
      <c r="A426" s="39"/>
      <c r="B426" s="42"/>
      <c r="C426" s="42"/>
      <c r="D426" s="75"/>
      <c r="E426" s="75"/>
      <c r="F426" s="76"/>
      <c r="G426" s="47"/>
      <c r="H426" s="47"/>
      <c r="I426" s="75"/>
      <c r="J426" s="76"/>
      <c r="K426" s="76"/>
      <c r="L426" s="75"/>
      <c r="M426" s="49"/>
      <c r="N426" s="76"/>
      <c r="O426" s="49"/>
      <c r="P426" s="77"/>
      <c r="Q426" s="53"/>
      <c r="R426" s="54"/>
      <c r="S426" s="55"/>
      <c r="T426" s="56"/>
      <c r="U426" s="56"/>
      <c r="V426" s="42"/>
      <c r="W426" s="57"/>
      <c r="X426" s="58"/>
      <c r="Y426" s="75"/>
      <c r="Z426" s="59"/>
      <c r="AA426" s="61"/>
      <c r="AB426" s="61"/>
      <c r="AC426" s="61"/>
      <c r="AD426" s="62"/>
      <c r="AE426" s="62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x14ac:dyDescent="0.3">
      <c r="A427" s="39"/>
      <c r="B427" s="42"/>
      <c r="C427" s="42"/>
      <c r="D427" s="75"/>
      <c r="E427" s="75"/>
      <c r="F427" s="76"/>
      <c r="G427" s="47"/>
      <c r="H427" s="47"/>
      <c r="I427" s="75"/>
      <c r="J427" s="76"/>
      <c r="K427" s="76"/>
      <c r="L427" s="75"/>
      <c r="M427" s="49"/>
      <c r="N427" s="76"/>
      <c r="O427" s="49"/>
      <c r="P427" s="77"/>
      <c r="Q427" s="53"/>
      <c r="R427" s="54"/>
      <c r="S427" s="55"/>
      <c r="T427" s="56"/>
      <c r="U427" s="56"/>
      <c r="V427" s="42"/>
      <c r="W427" s="57"/>
      <c r="X427" s="58"/>
      <c r="Y427" s="75"/>
      <c r="Z427" s="59"/>
      <c r="AA427" s="61"/>
      <c r="AB427" s="61"/>
      <c r="AC427" s="61"/>
      <c r="AD427" s="62"/>
      <c r="AE427" s="62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x14ac:dyDescent="0.3">
      <c r="A428" s="39"/>
      <c r="B428" s="42"/>
      <c r="C428" s="42"/>
      <c r="D428" s="75"/>
      <c r="E428" s="75"/>
      <c r="F428" s="76"/>
      <c r="G428" s="47"/>
      <c r="H428" s="47"/>
      <c r="I428" s="75"/>
      <c r="J428" s="76"/>
      <c r="K428" s="76"/>
      <c r="L428" s="75"/>
      <c r="M428" s="49"/>
      <c r="N428" s="76"/>
      <c r="O428" s="49"/>
      <c r="P428" s="77"/>
      <c r="Q428" s="53"/>
      <c r="R428" s="54"/>
      <c r="S428" s="55"/>
      <c r="T428" s="56"/>
      <c r="U428" s="56"/>
      <c r="V428" s="42"/>
      <c r="W428" s="57"/>
      <c r="X428" s="58"/>
      <c r="Y428" s="75"/>
      <c r="Z428" s="59"/>
      <c r="AA428" s="61"/>
      <c r="AB428" s="61"/>
      <c r="AC428" s="61"/>
      <c r="AD428" s="62"/>
      <c r="AE428" s="62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x14ac:dyDescent="0.3">
      <c r="A429" s="39"/>
      <c r="B429" s="42"/>
      <c r="C429" s="42"/>
      <c r="D429" s="75"/>
      <c r="E429" s="75"/>
      <c r="F429" s="76"/>
      <c r="G429" s="47"/>
      <c r="H429" s="47"/>
      <c r="I429" s="75"/>
      <c r="J429" s="76"/>
      <c r="K429" s="76"/>
      <c r="L429" s="75"/>
      <c r="M429" s="49"/>
      <c r="N429" s="76"/>
      <c r="O429" s="49"/>
      <c r="P429" s="77"/>
      <c r="Q429" s="53"/>
      <c r="R429" s="54"/>
      <c r="S429" s="55"/>
      <c r="T429" s="56"/>
      <c r="U429" s="56"/>
      <c r="V429" s="42"/>
      <c r="W429" s="57"/>
      <c r="X429" s="58"/>
      <c r="Y429" s="75"/>
      <c r="Z429" s="59"/>
      <c r="AA429" s="61"/>
      <c r="AB429" s="61"/>
      <c r="AC429" s="61"/>
      <c r="AD429" s="62"/>
      <c r="AE429" s="62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x14ac:dyDescent="0.3">
      <c r="A430" s="39"/>
      <c r="B430" s="42"/>
      <c r="C430" s="42"/>
      <c r="D430" s="75"/>
      <c r="E430" s="75"/>
      <c r="F430" s="76"/>
      <c r="G430" s="47"/>
      <c r="H430" s="47"/>
      <c r="I430" s="75"/>
      <c r="J430" s="76"/>
      <c r="K430" s="76"/>
      <c r="L430" s="75"/>
      <c r="M430" s="49"/>
      <c r="N430" s="76"/>
      <c r="O430" s="49"/>
      <c r="P430" s="77"/>
      <c r="Q430" s="53"/>
      <c r="R430" s="54"/>
      <c r="S430" s="55"/>
      <c r="T430" s="56"/>
      <c r="U430" s="56"/>
      <c r="V430" s="42"/>
      <c r="W430" s="57"/>
      <c r="X430" s="58"/>
      <c r="Y430" s="75"/>
      <c r="Z430" s="59"/>
      <c r="AA430" s="61"/>
      <c r="AB430" s="61"/>
      <c r="AC430" s="61"/>
      <c r="AD430" s="62"/>
      <c r="AE430" s="62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x14ac:dyDescent="0.3">
      <c r="A431" s="39"/>
      <c r="B431" s="42"/>
      <c r="C431" s="42"/>
      <c r="D431" s="75"/>
      <c r="E431" s="75"/>
      <c r="F431" s="76"/>
      <c r="G431" s="47"/>
      <c r="H431" s="47"/>
      <c r="I431" s="75"/>
      <c r="J431" s="76"/>
      <c r="K431" s="76"/>
      <c r="L431" s="75"/>
      <c r="M431" s="49"/>
      <c r="N431" s="76"/>
      <c r="O431" s="49"/>
      <c r="P431" s="77"/>
      <c r="Q431" s="53"/>
      <c r="R431" s="54"/>
      <c r="S431" s="55"/>
      <c r="T431" s="56"/>
      <c r="U431" s="56"/>
      <c r="V431" s="42"/>
      <c r="W431" s="57"/>
      <c r="X431" s="58"/>
      <c r="Y431" s="75"/>
      <c r="Z431" s="59"/>
      <c r="AA431" s="61"/>
      <c r="AB431" s="61"/>
      <c r="AC431" s="61"/>
      <c r="AD431" s="62"/>
      <c r="AE431" s="62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x14ac:dyDescent="0.3">
      <c r="A432" s="39"/>
      <c r="B432" s="42"/>
      <c r="C432" s="42"/>
      <c r="D432" s="75"/>
      <c r="E432" s="75"/>
      <c r="F432" s="76"/>
      <c r="G432" s="47"/>
      <c r="H432" s="47"/>
      <c r="I432" s="75"/>
      <c r="J432" s="76"/>
      <c r="K432" s="76"/>
      <c r="L432" s="75"/>
      <c r="M432" s="49"/>
      <c r="N432" s="76"/>
      <c r="O432" s="49"/>
      <c r="P432" s="77"/>
      <c r="Q432" s="53"/>
      <c r="R432" s="54"/>
      <c r="S432" s="55"/>
      <c r="T432" s="56"/>
      <c r="U432" s="56"/>
      <c r="V432" s="42"/>
      <c r="W432" s="57"/>
      <c r="X432" s="58"/>
      <c r="Y432" s="75"/>
      <c r="Z432" s="59"/>
      <c r="AA432" s="61"/>
      <c r="AB432" s="61"/>
      <c r="AC432" s="61"/>
      <c r="AD432" s="62"/>
      <c r="AE432" s="62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x14ac:dyDescent="0.3">
      <c r="A433" s="39"/>
      <c r="B433" s="42"/>
      <c r="C433" s="42"/>
      <c r="D433" s="75"/>
      <c r="E433" s="75"/>
      <c r="F433" s="76"/>
      <c r="G433" s="47"/>
      <c r="H433" s="47"/>
      <c r="I433" s="75"/>
      <c r="J433" s="76"/>
      <c r="K433" s="76"/>
      <c r="L433" s="75"/>
      <c r="M433" s="49"/>
      <c r="N433" s="76"/>
      <c r="O433" s="49"/>
      <c r="P433" s="77"/>
      <c r="Q433" s="53"/>
      <c r="R433" s="54"/>
      <c r="S433" s="55"/>
      <c r="T433" s="56"/>
      <c r="U433" s="56"/>
      <c r="V433" s="42"/>
      <c r="W433" s="57"/>
      <c r="X433" s="58"/>
      <c r="Y433" s="75"/>
      <c r="Z433" s="59"/>
      <c r="AA433" s="61"/>
      <c r="AB433" s="61"/>
      <c r="AC433" s="61"/>
      <c r="AD433" s="62"/>
      <c r="AE433" s="62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x14ac:dyDescent="0.3">
      <c r="A434" s="39"/>
      <c r="B434" s="42"/>
      <c r="C434" s="42"/>
      <c r="D434" s="75"/>
      <c r="E434" s="75"/>
      <c r="F434" s="76"/>
      <c r="G434" s="47"/>
      <c r="H434" s="47"/>
      <c r="I434" s="75"/>
      <c r="J434" s="76"/>
      <c r="K434" s="76"/>
      <c r="L434" s="75"/>
      <c r="M434" s="49"/>
      <c r="N434" s="76"/>
      <c r="O434" s="49"/>
      <c r="P434" s="77"/>
      <c r="Q434" s="53"/>
      <c r="R434" s="54"/>
      <c r="S434" s="55"/>
      <c r="T434" s="56"/>
      <c r="U434" s="56"/>
      <c r="V434" s="42"/>
      <c r="W434" s="57"/>
      <c r="X434" s="58"/>
      <c r="Y434" s="75"/>
      <c r="Z434" s="59"/>
      <c r="AA434" s="61"/>
      <c r="AB434" s="61"/>
      <c r="AC434" s="61"/>
      <c r="AD434" s="62"/>
      <c r="AE434" s="62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x14ac:dyDescent="0.3">
      <c r="A435" s="39"/>
      <c r="B435" s="42"/>
      <c r="C435" s="42"/>
      <c r="D435" s="75"/>
      <c r="E435" s="75"/>
      <c r="F435" s="76"/>
      <c r="G435" s="47"/>
      <c r="H435" s="47"/>
      <c r="I435" s="75"/>
      <c r="J435" s="76"/>
      <c r="K435" s="76"/>
      <c r="L435" s="75"/>
      <c r="M435" s="49"/>
      <c r="N435" s="76"/>
      <c r="O435" s="49"/>
      <c r="P435" s="77"/>
      <c r="Q435" s="53"/>
      <c r="R435" s="54"/>
      <c r="S435" s="55"/>
      <c r="T435" s="56"/>
      <c r="U435" s="56"/>
      <c r="V435" s="42"/>
      <c r="W435" s="57"/>
      <c r="X435" s="58"/>
      <c r="Y435" s="75"/>
      <c r="Z435" s="59"/>
      <c r="AA435" s="61"/>
      <c r="AB435" s="61"/>
      <c r="AC435" s="61"/>
      <c r="AD435" s="62"/>
      <c r="AE435" s="62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x14ac:dyDescent="0.3">
      <c r="A436" s="39"/>
      <c r="B436" s="42"/>
      <c r="C436" s="42"/>
      <c r="D436" s="75"/>
      <c r="E436" s="75"/>
      <c r="F436" s="76"/>
      <c r="G436" s="47"/>
      <c r="H436" s="47"/>
      <c r="I436" s="75"/>
      <c r="J436" s="76"/>
      <c r="K436" s="76"/>
      <c r="L436" s="75"/>
      <c r="M436" s="49"/>
      <c r="N436" s="76"/>
      <c r="O436" s="49"/>
      <c r="P436" s="77"/>
      <c r="Q436" s="53"/>
      <c r="R436" s="54"/>
      <c r="S436" s="55"/>
      <c r="T436" s="56"/>
      <c r="U436" s="56"/>
      <c r="V436" s="42"/>
      <c r="W436" s="57"/>
      <c r="X436" s="58"/>
      <c r="Y436" s="75"/>
      <c r="Z436" s="59"/>
      <c r="AA436" s="61"/>
      <c r="AB436" s="61"/>
      <c r="AC436" s="61"/>
      <c r="AD436" s="62"/>
      <c r="AE436" s="62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x14ac:dyDescent="0.3">
      <c r="A437" s="39"/>
      <c r="B437" s="42"/>
      <c r="C437" s="42"/>
      <c r="D437" s="75"/>
      <c r="E437" s="75"/>
      <c r="F437" s="76"/>
      <c r="G437" s="47"/>
      <c r="H437" s="47"/>
      <c r="I437" s="75"/>
      <c r="J437" s="76"/>
      <c r="K437" s="76"/>
      <c r="L437" s="75"/>
      <c r="M437" s="49"/>
      <c r="N437" s="76"/>
      <c r="O437" s="49"/>
      <c r="P437" s="77"/>
      <c r="Q437" s="53"/>
      <c r="R437" s="54"/>
      <c r="S437" s="55"/>
      <c r="T437" s="56"/>
      <c r="U437" s="56"/>
      <c r="V437" s="42"/>
      <c r="W437" s="57"/>
      <c r="X437" s="58"/>
      <c r="Y437" s="75"/>
      <c r="Z437" s="59"/>
      <c r="AA437" s="61"/>
      <c r="AB437" s="61"/>
      <c r="AC437" s="61"/>
      <c r="AD437" s="62"/>
      <c r="AE437" s="62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x14ac:dyDescent="0.3">
      <c r="A438" s="39"/>
      <c r="B438" s="42"/>
      <c r="C438" s="42"/>
      <c r="D438" s="75"/>
      <c r="E438" s="75"/>
      <c r="F438" s="76"/>
      <c r="G438" s="47"/>
      <c r="H438" s="47"/>
      <c r="I438" s="75"/>
      <c r="J438" s="76"/>
      <c r="K438" s="76"/>
      <c r="L438" s="75"/>
      <c r="M438" s="49"/>
      <c r="N438" s="76"/>
      <c r="O438" s="49"/>
      <c r="P438" s="77"/>
      <c r="Q438" s="53"/>
      <c r="R438" s="54"/>
      <c r="S438" s="55"/>
      <c r="T438" s="56"/>
      <c r="U438" s="56"/>
      <c r="V438" s="42"/>
      <c r="W438" s="57"/>
      <c r="X438" s="58"/>
      <c r="Y438" s="75"/>
      <c r="Z438" s="59"/>
      <c r="AA438" s="61"/>
      <c r="AB438" s="61"/>
      <c r="AC438" s="61"/>
      <c r="AD438" s="62"/>
      <c r="AE438" s="62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x14ac:dyDescent="0.3">
      <c r="A439" s="39"/>
      <c r="B439" s="42"/>
      <c r="C439" s="42"/>
      <c r="D439" s="75"/>
      <c r="E439" s="75"/>
      <c r="F439" s="76"/>
      <c r="G439" s="47"/>
      <c r="H439" s="47"/>
      <c r="I439" s="75"/>
      <c r="J439" s="76"/>
      <c r="K439" s="76"/>
      <c r="L439" s="75"/>
      <c r="M439" s="49"/>
      <c r="N439" s="76"/>
      <c r="O439" s="49"/>
      <c r="P439" s="77"/>
      <c r="Q439" s="53"/>
      <c r="R439" s="54"/>
      <c r="S439" s="55"/>
      <c r="T439" s="56"/>
      <c r="U439" s="56"/>
      <c r="V439" s="42"/>
      <c r="W439" s="57"/>
      <c r="X439" s="58"/>
      <c r="Y439" s="75"/>
      <c r="Z439" s="59"/>
      <c r="AA439" s="61"/>
      <c r="AB439" s="61"/>
      <c r="AC439" s="61"/>
      <c r="AD439" s="62"/>
      <c r="AE439" s="62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x14ac:dyDescent="0.3">
      <c r="A440" s="39"/>
      <c r="B440" s="42"/>
      <c r="C440" s="42"/>
      <c r="D440" s="75"/>
      <c r="E440" s="75"/>
      <c r="F440" s="76"/>
      <c r="G440" s="47"/>
      <c r="H440" s="47"/>
      <c r="I440" s="75"/>
      <c r="J440" s="76"/>
      <c r="K440" s="76"/>
      <c r="L440" s="75"/>
      <c r="M440" s="49"/>
      <c r="N440" s="76"/>
      <c r="O440" s="49"/>
      <c r="P440" s="77"/>
      <c r="Q440" s="53"/>
      <c r="R440" s="54"/>
      <c r="S440" s="55"/>
      <c r="T440" s="56"/>
      <c r="U440" s="56"/>
      <c r="V440" s="42"/>
      <c r="W440" s="57"/>
      <c r="X440" s="58"/>
      <c r="Y440" s="75"/>
      <c r="Z440" s="59"/>
      <c r="AA440" s="61"/>
      <c r="AB440" s="61"/>
      <c r="AC440" s="61"/>
      <c r="AD440" s="62"/>
      <c r="AE440" s="62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x14ac:dyDescent="0.3">
      <c r="A441" s="39"/>
      <c r="B441" s="42"/>
      <c r="C441" s="42"/>
      <c r="D441" s="75"/>
      <c r="E441" s="75"/>
      <c r="F441" s="76"/>
      <c r="G441" s="47"/>
      <c r="H441" s="47"/>
      <c r="I441" s="75"/>
      <c r="J441" s="76"/>
      <c r="K441" s="76"/>
      <c r="L441" s="75"/>
      <c r="M441" s="49"/>
      <c r="N441" s="76"/>
      <c r="O441" s="49"/>
      <c r="P441" s="77"/>
      <c r="Q441" s="53"/>
      <c r="R441" s="54"/>
      <c r="S441" s="55"/>
      <c r="T441" s="56"/>
      <c r="U441" s="56"/>
      <c r="V441" s="42"/>
      <c r="W441" s="57"/>
      <c r="X441" s="58"/>
      <c r="Y441" s="75"/>
      <c r="Z441" s="59"/>
      <c r="AA441" s="61"/>
      <c r="AB441" s="61"/>
      <c r="AC441" s="61"/>
      <c r="AD441" s="62"/>
      <c r="AE441" s="62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x14ac:dyDescent="0.3">
      <c r="A442" s="39"/>
      <c r="B442" s="42"/>
      <c r="C442" s="42"/>
      <c r="D442" s="75"/>
      <c r="E442" s="75"/>
      <c r="F442" s="76"/>
      <c r="G442" s="47"/>
      <c r="H442" s="47"/>
      <c r="I442" s="75"/>
      <c r="J442" s="76"/>
      <c r="K442" s="76"/>
      <c r="L442" s="75"/>
      <c r="M442" s="49"/>
      <c r="N442" s="76"/>
      <c r="O442" s="49"/>
      <c r="P442" s="77"/>
      <c r="Q442" s="53"/>
      <c r="R442" s="54"/>
      <c r="S442" s="55"/>
      <c r="T442" s="56"/>
      <c r="U442" s="56"/>
      <c r="V442" s="42"/>
      <c r="W442" s="57"/>
      <c r="X442" s="58"/>
      <c r="Y442" s="75"/>
      <c r="Z442" s="59"/>
      <c r="AA442" s="61"/>
      <c r="AB442" s="61"/>
      <c r="AC442" s="61"/>
      <c r="AD442" s="62"/>
      <c r="AE442" s="62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x14ac:dyDescent="0.3">
      <c r="A443" s="39"/>
      <c r="B443" s="42"/>
      <c r="C443" s="42"/>
      <c r="D443" s="75"/>
      <c r="E443" s="75"/>
      <c r="F443" s="76"/>
      <c r="G443" s="47"/>
      <c r="H443" s="47"/>
      <c r="I443" s="75"/>
      <c r="J443" s="76"/>
      <c r="K443" s="76"/>
      <c r="L443" s="75"/>
      <c r="M443" s="49"/>
      <c r="N443" s="76"/>
      <c r="O443" s="49"/>
      <c r="P443" s="77"/>
      <c r="Q443" s="53"/>
      <c r="R443" s="54"/>
      <c r="S443" s="55"/>
      <c r="T443" s="56"/>
      <c r="U443" s="56"/>
      <c r="V443" s="42"/>
      <c r="W443" s="57"/>
      <c r="X443" s="58"/>
      <c r="Y443" s="75"/>
      <c r="Z443" s="59"/>
      <c r="AA443" s="61"/>
      <c r="AB443" s="61"/>
      <c r="AC443" s="61"/>
      <c r="AD443" s="62"/>
      <c r="AE443" s="62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x14ac:dyDescent="0.3">
      <c r="A444" s="39"/>
      <c r="B444" s="42"/>
      <c r="C444" s="42"/>
      <c r="D444" s="75"/>
      <c r="E444" s="75"/>
      <c r="F444" s="76"/>
      <c r="G444" s="47"/>
      <c r="H444" s="47"/>
      <c r="I444" s="75"/>
      <c r="J444" s="76"/>
      <c r="K444" s="76"/>
      <c r="L444" s="75"/>
      <c r="M444" s="49"/>
      <c r="N444" s="76"/>
      <c r="O444" s="49"/>
      <c r="P444" s="77"/>
      <c r="Q444" s="53"/>
      <c r="R444" s="54"/>
      <c r="S444" s="55"/>
      <c r="T444" s="56"/>
      <c r="U444" s="56"/>
      <c r="V444" s="42"/>
      <c r="W444" s="57"/>
      <c r="X444" s="58"/>
      <c r="Y444" s="75"/>
      <c r="Z444" s="59"/>
      <c r="AA444" s="61"/>
      <c r="AB444" s="61"/>
      <c r="AC444" s="61"/>
      <c r="AD444" s="62"/>
      <c r="AE444" s="62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x14ac:dyDescent="0.3">
      <c r="A445" s="39"/>
      <c r="B445" s="42"/>
      <c r="C445" s="42"/>
      <c r="D445" s="75"/>
      <c r="E445" s="75"/>
      <c r="F445" s="76"/>
      <c r="G445" s="47"/>
      <c r="H445" s="47"/>
      <c r="I445" s="75"/>
      <c r="J445" s="76"/>
      <c r="K445" s="76"/>
      <c r="L445" s="75"/>
      <c r="M445" s="49"/>
      <c r="N445" s="76"/>
      <c r="O445" s="49"/>
      <c r="P445" s="77"/>
      <c r="Q445" s="53"/>
      <c r="R445" s="54"/>
      <c r="S445" s="55"/>
      <c r="T445" s="56"/>
      <c r="U445" s="56"/>
      <c r="V445" s="42"/>
      <c r="W445" s="57"/>
      <c r="X445" s="58"/>
      <c r="Y445" s="75"/>
      <c r="Z445" s="59"/>
      <c r="AA445" s="61"/>
      <c r="AB445" s="61"/>
      <c r="AC445" s="61"/>
      <c r="AD445" s="62"/>
      <c r="AE445" s="62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x14ac:dyDescent="0.3">
      <c r="A446" s="39"/>
      <c r="B446" s="42"/>
      <c r="C446" s="42"/>
      <c r="D446" s="75"/>
      <c r="E446" s="75"/>
      <c r="F446" s="76"/>
      <c r="G446" s="47"/>
      <c r="H446" s="47"/>
      <c r="I446" s="75"/>
      <c r="J446" s="76"/>
      <c r="K446" s="76"/>
      <c r="L446" s="75"/>
      <c r="M446" s="49"/>
      <c r="N446" s="76"/>
      <c r="O446" s="49"/>
      <c r="P446" s="77"/>
      <c r="Q446" s="53"/>
      <c r="R446" s="54"/>
      <c r="S446" s="55"/>
      <c r="T446" s="56"/>
      <c r="U446" s="56"/>
      <c r="V446" s="42"/>
      <c r="W446" s="57"/>
      <c r="X446" s="58"/>
      <c r="Y446" s="75"/>
      <c r="Z446" s="59"/>
      <c r="AA446" s="61"/>
      <c r="AB446" s="61"/>
      <c r="AC446" s="61"/>
      <c r="AD446" s="62"/>
      <c r="AE446" s="62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x14ac:dyDescent="0.3">
      <c r="A447" s="39"/>
      <c r="B447" s="42"/>
      <c r="C447" s="42"/>
      <c r="D447" s="75"/>
      <c r="E447" s="75"/>
      <c r="F447" s="76"/>
      <c r="G447" s="47"/>
      <c r="H447" s="47"/>
      <c r="I447" s="75"/>
      <c r="J447" s="76"/>
      <c r="K447" s="76"/>
      <c r="L447" s="75"/>
      <c r="M447" s="49"/>
      <c r="N447" s="76"/>
      <c r="O447" s="49"/>
      <c r="P447" s="77"/>
      <c r="Q447" s="53"/>
      <c r="R447" s="54"/>
      <c r="S447" s="55"/>
      <c r="T447" s="56"/>
      <c r="U447" s="56"/>
      <c r="V447" s="42"/>
      <c r="W447" s="57"/>
      <c r="X447" s="58"/>
      <c r="Y447" s="75"/>
      <c r="Z447" s="59"/>
      <c r="AA447" s="61"/>
      <c r="AB447" s="61"/>
      <c r="AC447" s="61"/>
      <c r="AD447" s="62"/>
      <c r="AE447" s="62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x14ac:dyDescent="0.3">
      <c r="A448" s="39"/>
      <c r="B448" s="42"/>
      <c r="C448" s="42"/>
      <c r="D448" s="75"/>
      <c r="E448" s="75"/>
      <c r="F448" s="76"/>
      <c r="G448" s="47"/>
      <c r="H448" s="47"/>
      <c r="I448" s="75"/>
      <c r="J448" s="76"/>
      <c r="K448" s="76"/>
      <c r="L448" s="75"/>
      <c r="M448" s="49"/>
      <c r="N448" s="76"/>
      <c r="O448" s="49"/>
      <c r="P448" s="77"/>
      <c r="Q448" s="53"/>
      <c r="R448" s="54"/>
      <c r="S448" s="55"/>
      <c r="T448" s="56"/>
      <c r="U448" s="56"/>
      <c r="V448" s="42"/>
      <c r="W448" s="57"/>
      <c r="X448" s="58"/>
      <c r="Y448" s="75"/>
      <c r="Z448" s="59"/>
      <c r="AA448" s="61"/>
      <c r="AB448" s="61"/>
      <c r="AC448" s="61"/>
      <c r="AD448" s="62"/>
      <c r="AE448" s="62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x14ac:dyDescent="0.3">
      <c r="A449" s="39"/>
      <c r="B449" s="42"/>
      <c r="C449" s="42"/>
      <c r="D449" s="75"/>
      <c r="E449" s="75"/>
      <c r="F449" s="76"/>
      <c r="G449" s="47"/>
      <c r="H449" s="47"/>
      <c r="I449" s="75"/>
      <c r="J449" s="76"/>
      <c r="K449" s="76"/>
      <c r="L449" s="75"/>
      <c r="M449" s="49"/>
      <c r="N449" s="76"/>
      <c r="O449" s="49"/>
      <c r="P449" s="77"/>
      <c r="Q449" s="53"/>
      <c r="R449" s="54"/>
      <c r="S449" s="55"/>
      <c r="T449" s="56"/>
      <c r="U449" s="56"/>
      <c r="V449" s="42"/>
      <c r="W449" s="57"/>
      <c r="X449" s="58"/>
      <c r="Y449" s="75"/>
      <c r="Z449" s="59"/>
      <c r="AA449" s="61"/>
      <c r="AB449" s="61"/>
      <c r="AC449" s="61"/>
      <c r="AD449" s="62"/>
      <c r="AE449" s="62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x14ac:dyDescent="0.3">
      <c r="A450" s="39"/>
      <c r="B450" s="42"/>
      <c r="C450" s="42"/>
      <c r="D450" s="75"/>
      <c r="E450" s="75"/>
      <c r="F450" s="76"/>
      <c r="G450" s="47"/>
      <c r="H450" s="47"/>
      <c r="I450" s="75"/>
      <c r="J450" s="76"/>
      <c r="K450" s="76"/>
      <c r="L450" s="75"/>
      <c r="M450" s="49"/>
      <c r="N450" s="76"/>
      <c r="O450" s="49"/>
      <c r="P450" s="77"/>
      <c r="Q450" s="53"/>
      <c r="R450" s="54"/>
      <c r="S450" s="55"/>
      <c r="T450" s="56"/>
      <c r="U450" s="56"/>
      <c r="V450" s="42"/>
      <c r="W450" s="57"/>
      <c r="X450" s="58"/>
      <c r="Y450" s="75"/>
      <c r="Z450" s="59"/>
      <c r="AA450" s="61"/>
      <c r="AB450" s="61"/>
      <c r="AC450" s="61"/>
      <c r="AD450" s="62"/>
      <c r="AE450" s="62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x14ac:dyDescent="0.3">
      <c r="A451" s="39"/>
      <c r="B451" s="42"/>
      <c r="C451" s="42"/>
      <c r="D451" s="75"/>
      <c r="E451" s="75"/>
      <c r="F451" s="76"/>
      <c r="G451" s="47"/>
      <c r="H451" s="47"/>
      <c r="I451" s="75"/>
      <c r="J451" s="76"/>
      <c r="K451" s="76"/>
      <c r="L451" s="75"/>
      <c r="M451" s="49"/>
      <c r="N451" s="76"/>
      <c r="O451" s="49"/>
      <c r="P451" s="77"/>
      <c r="Q451" s="53"/>
      <c r="R451" s="54"/>
      <c r="S451" s="55"/>
      <c r="T451" s="56"/>
      <c r="U451" s="56"/>
      <c r="V451" s="42"/>
      <c r="W451" s="57"/>
      <c r="X451" s="58"/>
      <c r="Y451" s="75"/>
      <c r="Z451" s="59"/>
      <c r="AA451" s="61"/>
      <c r="AB451" s="61"/>
      <c r="AC451" s="61"/>
      <c r="AD451" s="62"/>
      <c r="AE451" s="62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x14ac:dyDescent="0.3">
      <c r="A452" s="39"/>
      <c r="B452" s="42"/>
      <c r="C452" s="42"/>
      <c r="D452" s="75"/>
      <c r="E452" s="75"/>
      <c r="F452" s="76"/>
      <c r="G452" s="47"/>
      <c r="H452" s="47"/>
      <c r="I452" s="75"/>
      <c r="J452" s="76"/>
      <c r="K452" s="76"/>
      <c r="L452" s="75"/>
      <c r="M452" s="49"/>
      <c r="N452" s="76"/>
      <c r="O452" s="49"/>
      <c r="P452" s="77"/>
      <c r="Q452" s="53"/>
      <c r="R452" s="54"/>
      <c r="S452" s="55"/>
      <c r="T452" s="56"/>
      <c r="U452" s="56"/>
      <c r="V452" s="42"/>
      <c r="W452" s="57"/>
      <c r="X452" s="58"/>
      <c r="Y452" s="75"/>
      <c r="Z452" s="59"/>
      <c r="AA452" s="61"/>
      <c r="AB452" s="61"/>
      <c r="AC452" s="61"/>
      <c r="AD452" s="62"/>
      <c r="AE452" s="62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x14ac:dyDescent="0.3">
      <c r="A453" s="39"/>
      <c r="B453" s="42"/>
      <c r="C453" s="42"/>
      <c r="D453" s="75"/>
      <c r="E453" s="75"/>
      <c r="F453" s="76"/>
      <c r="G453" s="47"/>
      <c r="H453" s="47"/>
      <c r="I453" s="75"/>
      <c r="J453" s="76"/>
      <c r="K453" s="76"/>
      <c r="L453" s="75"/>
      <c r="M453" s="49"/>
      <c r="N453" s="76"/>
      <c r="O453" s="49"/>
      <c r="P453" s="77"/>
      <c r="Q453" s="53"/>
      <c r="R453" s="54"/>
      <c r="S453" s="55"/>
      <c r="T453" s="56"/>
      <c r="U453" s="56"/>
      <c r="V453" s="42"/>
      <c r="W453" s="57"/>
      <c r="X453" s="58"/>
      <c r="Y453" s="75"/>
      <c r="Z453" s="59"/>
      <c r="AA453" s="61"/>
      <c r="AB453" s="61"/>
      <c r="AC453" s="61"/>
      <c r="AD453" s="62"/>
      <c r="AE453" s="62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x14ac:dyDescent="0.3">
      <c r="A454" s="39"/>
      <c r="B454" s="42"/>
      <c r="C454" s="42"/>
      <c r="D454" s="75"/>
      <c r="E454" s="75"/>
      <c r="F454" s="76"/>
      <c r="G454" s="47"/>
      <c r="H454" s="47"/>
      <c r="I454" s="75"/>
      <c r="J454" s="76"/>
      <c r="K454" s="76"/>
      <c r="L454" s="75"/>
      <c r="M454" s="49"/>
      <c r="N454" s="76"/>
      <c r="O454" s="49"/>
      <c r="P454" s="77"/>
      <c r="Q454" s="53"/>
      <c r="R454" s="54"/>
      <c r="S454" s="55"/>
      <c r="T454" s="56"/>
      <c r="U454" s="56"/>
      <c r="V454" s="42"/>
      <c r="W454" s="57"/>
      <c r="X454" s="58"/>
      <c r="Y454" s="75"/>
      <c r="Z454" s="59"/>
      <c r="AA454" s="61"/>
      <c r="AB454" s="61"/>
      <c r="AC454" s="61"/>
      <c r="AD454" s="62"/>
      <c r="AE454" s="62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x14ac:dyDescent="0.3">
      <c r="A455" s="39"/>
      <c r="B455" s="42"/>
      <c r="C455" s="42"/>
      <c r="D455" s="75"/>
      <c r="E455" s="75"/>
      <c r="F455" s="76"/>
      <c r="G455" s="47"/>
      <c r="H455" s="47"/>
      <c r="I455" s="75"/>
      <c r="J455" s="76"/>
      <c r="K455" s="76"/>
      <c r="L455" s="75"/>
      <c r="M455" s="49"/>
      <c r="N455" s="76"/>
      <c r="O455" s="49"/>
      <c r="P455" s="77"/>
      <c r="Q455" s="53"/>
      <c r="R455" s="54"/>
      <c r="S455" s="55"/>
      <c r="T455" s="56"/>
      <c r="U455" s="56"/>
      <c r="V455" s="42"/>
      <c r="W455" s="57"/>
      <c r="X455" s="58"/>
      <c r="Y455" s="75"/>
      <c r="Z455" s="59"/>
      <c r="AA455" s="61"/>
      <c r="AB455" s="61"/>
      <c r="AC455" s="61"/>
      <c r="AD455" s="62"/>
      <c r="AE455" s="62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x14ac:dyDescent="0.3">
      <c r="A456" s="39"/>
      <c r="B456" s="42"/>
      <c r="C456" s="42"/>
      <c r="D456" s="75"/>
      <c r="E456" s="75"/>
      <c r="F456" s="76"/>
      <c r="G456" s="47"/>
      <c r="H456" s="47"/>
      <c r="I456" s="75"/>
      <c r="J456" s="76"/>
      <c r="K456" s="76"/>
      <c r="L456" s="75"/>
      <c r="M456" s="49"/>
      <c r="N456" s="76"/>
      <c r="O456" s="49"/>
      <c r="P456" s="77"/>
      <c r="Q456" s="53"/>
      <c r="R456" s="54"/>
      <c r="S456" s="55"/>
      <c r="T456" s="56"/>
      <c r="U456" s="56"/>
      <c r="V456" s="42"/>
      <c r="W456" s="57"/>
      <c r="X456" s="58"/>
      <c r="Y456" s="75"/>
      <c r="Z456" s="59"/>
      <c r="AA456" s="61"/>
      <c r="AB456" s="61"/>
      <c r="AC456" s="61"/>
      <c r="AD456" s="62"/>
      <c r="AE456" s="62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x14ac:dyDescent="0.3">
      <c r="A457" s="39"/>
      <c r="B457" s="42"/>
      <c r="C457" s="42"/>
      <c r="D457" s="75"/>
      <c r="E457" s="75"/>
      <c r="F457" s="76"/>
      <c r="G457" s="47"/>
      <c r="H457" s="47"/>
      <c r="I457" s="75"/>
      <c r="J457" s="76"/>
      <c r="K457" s="76"/>
      <c r="L457" s="75"/>
      <c r="M457" s="49"/>
      <c r="N457" s="76"/>
      <c r="O457" s="49"/>
      <c r="P457" s="77"/>
      <c r="Q457" s="53"/>
      <c r="R457" s="54"/>
      <c r="S457" s="55"/>
      <c r="T457" s="56"/>
      <c r="U457" s="56"/>
      <c r="V457" s="42"/>
      <c r="W457" s="57"/>
      <c r="X457" s="58"/>
      <c r="Y457" s="75"/>
      <c r="Z457" s="59"/>
      <c r="AA457" s="61"/>
      <c r="AB457" s="61"/>
      <c r="AC457" s="61"/>
      <c r="AD457" s="62"/>
      <c r="AE457" s="62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x14ac:dyDescent="0.3">
      <c r="A458" s="39"/>
      <c r="B458" s="42"/>
      <c r="C458" s="42"/>
      <c r="D458" s="75"/>
      <c r="E458" s="75"/>
      <c r="F458" s="76"/>
      <c r="G458" s="47"/>
      <c r="H458" s="47"/>
      <c r="I458" s="75"/>
      <c r="J458" s="76"/>
      <c r="K458" s="76"/>
      <c r="L458" s="75"/>
      <c r="M458" s="49"/>
      <c r="N458" s="76"/>
      <c r="O458" s="49"/>
      <c r="P458" s="77"/>
      <c r="Q458" s="53"/>
      <c r="R458" s="54"/>
      <c r="S458" s="55"/>
      <c r="T458" s="56"/>
      <c r="U458" s="56"/>
      <c r="V458" s="42"/>
      <c r="W458" s="57"/>
      <c r="X458" s="58"/>
      <c r="Y458" s="75"/>
      <c r="Z458" s="59"/>
      <c r="AA458" s="61"/>
      <c r="AB458" s="61"/>
      <c r="AC458" s="61"/>
      <c r="AD458" s="62"/>
      <c r="AE458" s="62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x14ac:dyDescent="0.3">
      <c r="A459" s="39"/>
      <c r="B459" s="42"/>
      <c r="C459" s="42"/>
      <c r="D459" s="75"/>
      <c r="E459" s="75"/>
      <c r="F459" s="76"/>
      <c r="G459" s="47"/>
      <c r="H459" s="47"/>
      <c r="I459" s="75"/>
      <c r="J459" s="76"/>
      <c r="K459" s="76"/>
      <c r="L459" s="75"/>
      <c r="M459" s="49"/>
      <c r="N459" s="76"/>
      <c r="O459" s="49"/>
      <c r="P459" s="77"/>
      <c r="Q459" s="53"/>
      <c r="R459" s="54"/>
      <c r="S459" s="55"/>
      <c r="T459" s="56"/>
      <c r="U459" s="56"/>
      <c r="V459" s="42"/>
      <c r="W459" s="57"/>
      <c r="X459" s="58"/>
      <c r="Y459" s="75"/>
      <c r="Z459" s="59"/>
      <c r="AA459" s="61"/>
      <c r="AB459" s="61"/>
      <c r="AC459" s="61"/>
      <c r="AD459" s="62"/>
      <c r="AE459" s="62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x14ac:dyDescent="0.3">
      <c r="A460" s="39"/>
      <c r="B460" s="42"/>
      <c r="C460" s="42"/>
      <c r="D460" s="75"/>
      <c r="E460" s="75"/>
      <c r="F460" s="76"/>
      <c r="G460" s="47"/>
      <c r="H460" s="47"/>
      <c r="I460" s="75"/>
      <c r="J460" s="76"/>
      <c r="K460" s="76"/>
      <c r="L460" s="75"/>
      <c r="M460" s="49"/>
      <c r="N460" s="76"/>
      <c r="O460" s="49"/>
      <c r="P460" s="77"/>
      <c r="Q460" s="53"/>
      <c r="R460" s="54"/>
      <c r="S460" s="55"/>
      <c r="T460" s="56"/>
      <c r="U460" s="56"/>
      <c r="V460" s="42"/>
      <c r="W460" s="57"/>
      <c r="X460" s="58"/>
      <c r="Y460" s="75"/>
      <c r="Z460" s="59"/>
      <c r="AA460" s="61"/>
      <c r="AB460" s="61"/>
      <c r="AC460" s="61"/>
      <c r="AD460" s="62"/>
      <c r="AE460" s="62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x14ac:dyDescent="0.3">
      <c r="A461" s="39"/>
      <c r="B461" s="42"/>
      <c r="C461" s="42"/>
      <c r="D461" s="75"/>
      <c r="E461" s="75"/>
      <c r="F461" s="76"/>
      <c r="G461" s="47"/>
      <c r="H461" s="47"/>
      <c r="I461" s="75"/>
      <c r="J461" s="76"/>
      <c r="K461" s="76"/>
      <c r="L461" s="75"/>
      <c r="M461" s="49"/>
      <c r="N461" s="76"/>
      <c r="O461" s="49"/>
      <c r="P461" s="77"/>
      <c r="Q461" s="53"/>
      <c r="R461" s="54"/>
      <c r="S461" s="55"/>
      <c r="T461" s="56"/>
      <c r="U461" s="56"/>
      <c r="V461" s="42"/>
      <c r="W461" s="57"/>
      <c r="X461" s="58"/>
      <c r="Y461" s="75"/>
      <c r="Z461" s="59"/>
      <c r="AA461" s="61"/>
      <c r="AB461" s="61"/>
      <c r="AC461" s="61"/>
      <c r="AD461" s="62"/>
      <c r="AE461" s="62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x14ac:dyDescent="0.3">
      <c r="A462" s="39"/>
      <c r="B462" s="42"/>
      <c r="C462" s="42"/>
      <c r="D462" s="75"/>
      <c r="E462" s="75"/>
      <c r="F462" s="76"/>
      <c r="G462" s="47"/>
      <c r="H462" s="47"/>
      <c r="I462" s="75"/>
      <c r="J462" s="76"/>
      <c r="K462" s="76"/>
      <c r="L462" s="75"/>
      <c r="M462" s="49"/>
      <c r="N462" s="76"/>
      <c r="O462" s="49"/>
      <c r="P462" s="77"/>
      <c r="Q462" s="53"/>
      <c r="R462" s="54"/>
      <c r="S462" s="55"/>
      <c r="T462" s="56"/>
      <c r="U462" s="56"/>
      <c r="V462" s="42"/>
      <c r="W462" s="57"/>
      <c r="X462" s="58"/>
      <c r="Y462" s="75"/>
      <c r="Z462" s="59"/>
      <c r="AA462" s="61"/>
      <c r="AB462" s="61"/>
      <c r="AC462" s="61"/>
      <c r="AD462" s="62"/>
      <c r="AE462" s="62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x14ac:dyDescent="0.3">
      <c r="A463" s="39"/>
      <c r="B463" s="42"/>
      <c r="C463" s="42"/>
      <c r="D463" s="75"/>
      <c r="E463" s="75"/>
      <c r="F463" s="76"/>
      <c r="G463" s="47"/>
      <c r="H463" s="47"/>
      <c r="I463" s="75"/>
      <c r="J463" s="76"/>
      <c r="K463" s="76"/>
      <c r="L463" s="75"/>
      <c r="M463" s="49"/>
      <c r="N463" s="76"/>
      <c r="O463" s="49"/>
      <c r="P463" s="77"/>
      <c r="Q463" s="53"/>
      <c r="R463" s="54"/>
      <c r="S463" s="55"/>
      <c r="T463" s="56"/>
      <c r="U463" s="56"/>
      <c r="V463" s="42"/>
      <c r="W463" s="57"/>
      <c r="X463" s="58"/>
      <c r="Y463" s="75"/>
      <c r="Z463" s="59"/>
      <c r="AA463" s="61"/>
      <c r="AB463" s="61"/>
      <c r="AC463" s="61"/>
      <c r="AD463" s="62"/>
      <c r="AE463" s="62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x14ac:dyDescent="0.3">
      <c r="A464" s="39"/>
      <c r="B464" s="42"/>
      <c r="C464" s="42"/>
      <c r="D464" s="75"/>
      <c r="E464" s="75"/>
      <c r="F464" s="76"/>
      <c r="G464" s="47"/>
      <c r="H464" s="47"/>
      <c r="I464" s="75"/>
      <c r="J464" s="76"/>
      <c r="K464" s="76"/>
      <c r="L464" s="75"/>
      <c r="M464" s="49"/>
      <c r="N464" s="76"/>
      <c r="O464" s="49"/>
      <c r="P464" s="77"/>
      <c r="Q464" s="53"/>
      <c r="R464" s="54"/>
      <c r="S464" s="55"/>
      <c r="T464" s="56"/>
      <c r="U464" s="56"/>
      <c r="V464" s="42"/>
      <c r="W464" s="57"/>
      <c r="X464" s="58"/>
      <c r="Y464" s="75"/>
      <c r="Z464" s="59"/>
      <c r="AA464" s="61"/>
      <c r="AB464" s="61"/>
      <c r="AC464" s="61"/>
      <c r="AD464" s="62"/>
      <c r="AE464" s="62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x14ac:dyDescent="0.3">
      <c r="A465" s="39"/>
      <c r="B465" s="42"/>
      <c r="C465" s="42"/>
      <c r="D465" s="75"/>
      <c r="E465" s="75"/>
      <c r="F465" s="76"/>
      <c r="G465" s="47"/>
      <c r="H465" s="47"/>
      <c r="I465" s="75"/>
      <c r="J465" s="76"/>
      <c r="K465" s="76"/>
      <c r="L465" s="75"/>
      <c r="M465" s="49"/>
      <c r="N465" s="76"/>
      <c r="O465" s="49"/>
      <c r="P465" s="77"/>
      <c r="Q465" s="53"/>
      <c r="R465" s="54"/>
      <c r="S465" s="55"/>
      <c r="T465" s="56"/>
      <c r="U465" s="56"/>
      <c r="V465" s="42"/>
      <c r="W465" s="57"/>
      <c r="X465" s="58"/>
      <c r="Y465" s="75"/>
      <c r="Z465" s="59"/>
      <c r="AA465" s="61"/>
      <c r="AB465" s="61"/>
      <c r="AC465" s="61"/>
      <c r="AD465" s="62"/>
      <c r="AE465" s="62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x14ac:dyDescent="0.3">
      <c r="A466" s="39"/>
      <c r="B466" s="42"/>
      <c r="C466" s="42"/>
      <c r="D466" s="75"/>
      <c r="E466" s="75"/>
      <c r="F466" s="76"/>
      <c r="G466" s="47"/>
      <c r="H466" s="47"/>
      <c r="I466" s="75"/>
      <c r="J466" s="76"/>
      <c r="K466" s="76"/>
      <c r="L466" s="75"/>
      <c r="M466" s="49"/>
      <c r="N466" s="76"/>
      <c r="O466" s="49"/>
      <c r="P466" s="77"/>
      <c r="Q466" s="53"/>
      <c r="R466" s="54"/>
      <c r="S466" s="55"/>
      <c r="T466" s="56"/>
      <c r="U466" s="56"/>
      <c r="V466" s="42"/>
      <c r="W466" s="57"/>
      <c r="X466" s="58"/>
      <c r="Y466" s="75"/>
      <c r="Z466" s="59"/>
      <c r="AA466" s="61"/>
      <c r="AB466" s="61"/>
      <c r="AC466" s="61"/>
      <c r="AD466" s="62"/>
      <c r="AE466" s="62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x14ac:dyDescent="0.3">
      <c r="A467" s="39"/>
      <c r="B467" s="42"/>
      <c r="C467" s="42"/>
      <c r="D467" s="75"/>
      <c r="E467" s="75"/>
      <c r="F467" s="76"/>
      <c r="G467" s="47"/>
      <c r="H467" s="47"/>
      <c r="I467" s="75"/>
      <c r="J467" s="76"/>
      <c r="K467" s="76"/>
      <c r="L467" s="75"/>
      <c r="M467" s="49"/>
      <c r="N467" s="76"/>
      <c r="O467" s="49"/>
      <c r="P467" s="77"/>
      <c r="Q467" s="53"/>
      <c r="R467" s="54"/>
      <c r="S467" s="55"/>
      <c r="T467" s="56"/>
      <c r="U467" s="56"/>
      <c r="V467" s="42"/>
      <c r="W467" s="57"/>
      <c r="X467" s="58"/>
      <c r="Y467" s="75"/>
      <c r="Z467" s="59"/>
      <c r="AA467" s="61"/>
      <c r="AB467" s="61"/>
      <c r="AC467" s="61"/>
      <c r="AD467" s="62"/>
      <c r="AE467" s="62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x14ac:dyDescent="0.3">
      <c r="A468" s="39"/>
      <c r="B468" s="42"/>
      <c r="C468" s="42"/>
      <c r="D468" s="75"/>
      <c r="E468" s="75"/>
      <c r="F468" s="76"/>
      <c r="G468" s="47"/>
      <c r="H468" s="47"/>
      <c r="I468" s="75"/>
      <c r="J468" s="76"/>
      <c r="K468" s="76"/>
      <c r="L468" s="75"/>
      <c r="M468" s="49"/>
      <c r="N468" s="76"/>
      <c r="O468" s="49"/>
      <c r="P468" s="77"/>
      <c r="Q468" s="53"/>
      <c r="R468" s="54"/>
      <c r="S468" s="55"/>
      <c r="T468" s="56"/>
      <c r="U468" s="56"/>
      <c r="V468" s="42"/>
      <c r="W468" s="57"/>
      <c r="X468" s="58"/>
      <c r="Y468" s="75"/>
      <c r="Z468" s="59"/>
      <c r="AA468" s="61"/>
      <c r="AB468" s="61"/>
      <c r="AC468" s="61"/>
      <c r="AD468" s="62"/>
      <c r="AE468" s="62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x14ac:dyDescent="0.3">
      <c r="A469" s="39"/>
      <c r="B469" s="42"/>
      <c r="C469" s="42"/>
      <c r="D469" s="75"/>
      <c r="E469" s="75"/>
      <c r="F469" s="76"/>
      <c r="G469" s="47"/>
      <c r="H469" s="47"/>
      <c r="I469" s="75"/>
      <c r="J469" s="76"/>
      <c r="K469" s="76"/>
      <c r="L469" s="75"/>
      <c r="M469" s="49"/>
      <c r="N469" s="76"/>
      <c r="O469" s="49"/>
      <c r="P469" s="77"/>
      <c r="Q469" s="53"/>
      <c r="R469" s="54"/>
      <c r="S469" s="55"/>
      <c r="T469" s="56"/>
      <c r="U469" s="56"/>
      <c r="V469" s="42"/>
      <c r="W469" s="57"/>
      <c r="X469" s="58"/>
      <c r="Y469" s="75"/>
      <c r="Z469" s="59"/>
      <c r="AA469" s="61"/>
      <c r="AB469" s="61"/>
      <c r="AC469" s="61"/>
      <c r="AD469" s="62"/>
      <c r="AE469" s="62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x14ac:dyDescent="0.3">
      <c r="A470" s="39"/>
      <c r="B470" s="42"/>
      <c r="C470" s="42"/>
      <c r="D470" s="75"/>
      <c r="E470" s="75"/>
      <c r="F470" s="76"/>
      <c r="G470" s="47"/>
      <c r="H470" s="47"/>
      <c r="I470" s="75"/>
      <c r="J470" s="76"/>
      <c r="K470" s="76"/>
      <c r="L470" s="75"/>
      <c r="M470" s="49"/>
      <c r="N470" s="76"/>
      <c r="O470" s="49"/>
      <c r="P470" s="77"/>
      <c r="Q470" s="53"/>
      <c r="R470" s="54"/>
      <c r="S470" s="55"/>
      <c r="T470" s="56"/>
      <c r="U470" s="56"/>
      <c r="V470" s="42"/>
      <c r="W470" s="57"/>
      <c r="X470" s="58"/>
      <c r="Y470" s="75"/>
      <c r="Z470" s="59"/>
      <c r="AA470" s="61"/>
      <c r="AB470" s="61"/>
      <c r="AC470" s="61"/>
      <c r="AD470" s="62"/>
      <c r="AE470" s="62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x14ac:dyDescent="0.3">
      <c r="A471" s="39"/>
      <c r="B471" s="42"/>
      <c r="C471" s="42"/>
      <c r="D471" s="75"/>
      <c r="E471" s="75"/>
      <c r="F471" s="76"/>
      <c r="G471" s="47"/>
      <c r="H471" s="47"/>
      <c r="I471" s="75"/>
      <c r="J471" s="76"/>
      <c r="K471" s="76"/>
      <c r="L471" s="75"/>
      <c r="M471" s="49"/>
      <c r="N471" s="76"/>
      <c r="O471" s="49"/>
      <c r="P471" s="77"/>
      <c r="Q471" s="53"/>
      <c r="R471" s="54"/>
      <c r="S471" s="55"/>
      <c r="T471" s="56"/>
      <c r="U471" s="56"/>
      <c r="V471" s="42"/>
      <c r="W471" s="57"/>
      <c r="X471" s="58"/>
      <c r="Y471" s="75"/>
      <c r="Z471" s="59"/>
      <c r="AA471" s="61"/>
      <c r="AB471" s="61"/>
      <c r="AC471" s="61"/>
      <c r="AD471" s="62"/>
      <c r="AE471" s="62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x14ac:dyDescent="0.3">
      <c r="A472" s="39"/>
      <c r="B472" s="42"/>
      <c r="C472" s="42"/>
      <c r="D472" s="75"/>
      <c r="E472" s="75"/>
      <c r="F472" s="76"/>
      <c r="G472" s="47"/>
      <c r="H472" s="47"/>
      <c r="I472" s="75"/>
      <c r="J472" s="76"/>
      <c r="K472" s="76"/>
      <c r="L472" s="75"/>
      <c r="M472" s="49"/>
      <c r="N472" s="76"/>
      <c r="O472" s="49"/>
      <c r="P472" s="77"/>
      <c r="Q472" s="53"/>
      <c r="R472" s="54"/>
      <c r="S472" s="55"/>
      <c r="T472" s="56"/>
      <c r="U472" s="56"/>
      <c r="V472" s="42"/>
      <c r="W472" s="57"/>
      <c r="X472" s="58"/>
      <c r="Y472" s="75"/>
      <c r="Z472" s="59"/>
      <c r="AA472" s="61"/>
      <c r="AB472" s="61"/>
      <c r="AC472" s="61"/>
      <c r="AD472" s="62"/>
      <c r="AE472" s="62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x14ac:dyDescent="0.3">
      <c r="A473" s="39"/>
      <c r="B473" s="42"/>
      <c r="C473" s="42"/>
      <c r="D473" s="75"/>
      <c r="E473" s="75"/>
      <c r="F473" s="76"/>
      <c r="G473" s="47"/>
      <c r="H473" s="47"/>
      <c r="I473" s="75"/>
      <c r="J473" s="76"/>
      <c r="K473" s="76"/>
      <c r="L473" s="75"/>
      <c r="M473" s="49"/>
      <c r="N473" s="76"/>
      <c r="O473" s="49"/>
      <c r="P473" s="77"/>
      <c r="Q473" s="53"/>
      <c r="R473" s="54"/>
      <c r="S473" s="55"/>
      <c r="T473" s="56"/>
      <c r="U473" s="56"/>
      <c r="V473" s="42"/>
      <c r="W473" s="57"/>
      <c r="X473" s="58"/>
      <c r="Y473" s="75"/>
      <c r="Z473" s="59"/>
      <c r="AA473" s="61"/>
      <c r="AB473" s="61"/>
      <c r="AC473" s="61"/>
      <c r="AD473" s="62"/>
      <c r="AE473" s="62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x14ac:dyDescent="0.3">
      <c r="A474" s="39"/>
      <c r="B474" s="42"/>
      <c r="C474" s="42"/>
      <c r="D474" s="75"/>
      <c r="E474" s="75"/>
      <c r="F474" s="76"/>
      <c r="G474" s="47"/>
      <c r="H474" s="47"/>
      <c r="I474" s="75"/>
      <c r="J474" s="76"/>
      <c r="K474" s="76"/>
      <c r="L474" s="75"/>
      <c r="M474" s="49"/>
      <c r="N474" s="76"/>
      <c r="O474" s="49"/>
      <c r="P474" s="77"/>
      <c r="Q474" s="53"/>
      <c r="R474" s="54"/>
      <c r="S474" s="55"/>
      <c r="T474" s="56"/>
      <c r="U474" s="56"/>
      <c r="V474" s="42"/>
      <c r="W474" s="57"/>
      <c r="X474" s="58"/>
      <c r="Y474" s="75"/>
      <c r="Z474" s="59"/>
      <c r="AA474" s="61"/>
      <c r="AB474" s="61"/>
      <c r="AC474" s="61"/>
      <c r="AD474" s="62"/>
      <c r="AE474" s="62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x14ac:dyDescent="0.3">
      <c r="A475" s="39"/>
      <c r="B475" s="42"/>
      <c r="C475" s="42"/>
      <c r="D475" s="75"/>
      <c r="E475" s="75"/>
      <c r="F475" s="76"/>
      <c r="G475" s="47"/>
      <c r="H475" s="47"/>
      <c r="I475" s="75"/>
      <c r="J475" s="76"/>
      <c r="K475" s="76"/>
      <c r="L475" s="75"/>
      <c r="M475" s="49"/>
      <c r="N475" s="76"/>
      <c r="O475" s="49"/>
      <c r="P475" s="77"/>
      <c r="Q475" s="53"/>
      <c r="R475" s="54"/>
      <c r="S475" s="55"/>
      <c r="T475" s="56"/>
      <c r="U475" s="56"/>
      <c r="V475" s="42"/>
      <c r="W475" s="57"/>
      <c r="X475" s="58"/>
      <c r="Y475" s="75"/>
      <c r="Z475" s="59"/>
      <c r="AA475" s="61"/>
      <c r="AB475" s="61"/>
      <c r="AC475" s="61"/>
      <c r="AD475" s="62"/>
      <c r="AE475" s="62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x14ac:dyDescent="0.3">
      <c r="A476" s="39"/>
      <c r="B476" s="42"/>
      <c r="C476" s="42"/>
      <c r="D476" s="75"/>
      <c r="E476" s="75"/>
      <c r="F476" s="76"/>
      <c r="G476" s="47"/>
      <c r="H476" s="47"/>
      <c r="I476" s="75"/>
      <c r="J476" s="76"/>
      <c r="K476" s="76"/>
      <c r="L476" s="75"/>
      <c r="M476" s="49"/>
      <c r="N476" s="76"/>
      <c r="O476" s="49"/>
      <c r="P476" s="77"/>
      <c r="Q476" s="53"/>
      <c r="R476" s="54"/>
      <c r="S476" s="55"/>
      <c r="T476" s="56"/>
      <c r="U476" s="56"/>
      <c r="V476" s="42"/>
      <c r="W476" s="57"/>
      <c r="X476" s="58"/>
      <c r="Y476" s="75"/>
      <c r="Z476" s="59"/>
      <c r="AA476" s="61"/>
      <c r="AB476" s="61"/>
      <c r="AC476" s="61"/>
      <c r="AD476" s="62"/>
      <c r="AE476" s="62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x14ac:dyDescent="0.3">
      <c r="A477" s="39"/>
      <c r="B477" s="42"/>
      <c r="C477" s="42"/>
      <c r="D477" s="75"/>
      <c r="E477" s="75"/>
      <c r="F477" s="76"/>
      <c r="G477" s="47"/>
      <c r="H477" s="47"/>
      <c r="I477" s="75"/>
      <c r="J477" s="76"/>
      <c r="K477" s="76"/>
      <c r="L477" s="75"/>
      <c r="M477" s="49"/>
      <c r="N477" s="76"/>
      <c r="O477" s="49"/>
      <c r="P477" s="77"/>
      <c r="Q477" s="53"/>
      <c r="R477" s="54"/>
      <c r="S477" s="55"/>
      <c r="T477" s="56"/>
      <c r="U477" s="56"/>
      <c r="V477" s="42"/>
      <c r="W477" s="57"/>
      <c r="X477" s="58"/>
      <c r="Y477" s="75"/>
      <c r="Z477" s="59"/>
      <c r="AA477" s="61"/>
      <c r="AB477" s="61"/>
      <c r="AC477" s="61"/>
      <c r="AD477" s="62"/>
      <c r="AE477" s="62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x14ac:dyDescent="0.3">
      <c r="A478" s="39"/>
      <c r="B478" s="42"/>
      <c r="C478" s="42"/>
      <c r="D478" s="75"/>
      <c r="E478" s="75"/>
      <c r="F478" s="76"/>
      <c r="G478" s="47"/>
      <c r="H478" s="47"/>
      <c r="I478" s="75"/>
      <c r="J478" s="76"/>
      <c r="K478" s="76"/>
      <c r="L478" s="75"/>
      <c r="M478" s="49"/>
      <c r="N478" s="76"/>
      <c r="O478" s="49"/>
      <c r="P478" s="77"/>
      <c r="Q478" s="53"/>
      <c r="R478" s="54"/>
      <c r="S478" s="55"/>
      <c r="T478" s="56"/>
      <c r="U478" s="56"/>
      <c r="V478" s="42"/>
      <c r="W478" s="57"/>
      <c r="X478" s="58"/>
      <c r="Y478" s="75"/>
      <c r="Z478" s="59"/>
      <c r="AA478" s="61"/>
      <c r="AB478" s="61"/>
      <c r="AC478" s="61"/>
      <c r="AD478" s="62"/>
      <c r="AE478" s="62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x14ac:dyDescent="0.3">
      <c r="A479" s="39"/>
      <c r="B479" s="42"/>
      <c r="C479" s="42"/>
      <c r="D479" s="75"/>
      <c r="E479" s="75"/>
      <c r="F479" s="76"/>
      <c r="G479" s="47"/>
      <c r="H479" s="47"/>
      <c r="I479" s="75"/>
      <c r="J479" s="76"/>
      <c r="K479" s="76"/>
      <c r="L479" s="75"/>
      <c r="M479" s="49"/>
      <c r="N479" s="76"/>
      <c r="O479" s="49"/>
      <c r="P479" s="77"/>
      <c r="Q479" s="53"/>
      <c r="R479" s="54"/>
      <c r="S479" s="55"/>
      <c r="T479" s="56"/>
      <c r="U479" s="56"/>
      <c r="V479" s="42"/>
      <c r="W479" s="57"/>
      <c r="X479" s="58"/>
      <c r="Y479" s="75"/>
      <c r="Z479" s="59"/>
      <c r="AA479" s="61"/>
      <c r="AB479" s="61"/>
      <c r="AC479" s="61"/>
      <c r="AD479" s="62"/>
      <c r="AE479" s="62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x14ac:dyDescent="0.3">
      <c r="A480" s="39"/>
      <c r="B480" s="42"/>
      <c r="C480" s="42"/>
      <c r="D480" s="75"/>
      <c r="E480" s="75"/>
      <c r="F480" s="76"/>
      <c r="G480" s="47"/>
      <c r="H480" s="47"/>
      <c r="I480" s="75"/>
      <c r="J480" s="76"/>
      <c r="K480" s="76"/>
      <c r="L480" s="75"/>
      <c r="M480" s="49"/>
      <c r="N480" s="76"/>
      <c r="O480" s="49"/>
      <c r="P480" s="77"/>
      <c r="Q480" s="53"/>
      <c r="R480" s="54"/>
      <c r="S480" s="55"/>
      <c r="T480" s="56"/>
      <c r="U480" s="56"/>
      <c r="V480" s="42"/>
      <c r="W480" s="57"/>
      <c r="X480" s="58"/>
      <c r="Y480" s="75"/>
      <c r="Z480" s="59"/>
      <c r="AA480" s="61"/>
      <c r="AB480" s="61"/>
      <c r="AC480" s="61"/>
      <c r="AD480" s="62"/>
      <c r="AE480" s="62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x14ac:dyDescent="0.3">
      <c r="A481" s="39"/>
      <c r="B481" s="42"/>
      <c r="C481" s="42"/>
      <c r="D481" s="75"/>
      <c r="E481" s="75"/>
      <c r="F481" s="76"/>
      <c r="G481" s="47"/>
      <c r="H481" s="47"/>
      <c r="I481" s="75"/>
      <c r="J481" s="76"/>
      <c r="K481" s="76"/>
      <c r="L481" s="75"/>
      <c r="M481" s="49"/>
      <c r="N481" s="76"/>
      <c r="O481" s="49"/>
      <c r="P481" s="77"/>
      <c r="Q481" s="53"/>
      <c r="R481" s="54"/>
      <c r="S481" s="55"/>
      <c r="T481" s="56"/>
      <c r="U481" s="56"/>
      <c r="V481" s="42"/>
      <c r="W481" s="57"/>
      <c r="X481" s="58"/>
      <c r="Y481" s="75"/>
      <c r="Z481" s="59"/>
      <c r="AA481" s="61"/>
      <c r="AB481" s="61"/>
      <c r="AC481" s="61"/>
      <c r="AD481" s="62"/>
      <c r="AE481" s="62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x14ac:dyDescent="0.3">
      <c r="A482" s="39"/>
      <c r="B482" s="42"/>
      <c r="C482" s="42"/>
      <c r="D482" s="75"/>
      <c r="E482" s="75"/>
      <c r="F482" s="76"/>
      <c r="G482" s="47"/>
      <c r="H482" s="47"/>
      <c r="I482" s="75"/>
      <c r="J482" s="76"/>
      <c r="K482" s="76"/>
      <c r="L482" s="75"/>
      <c r="M482" s="49"/>
      <c r="N482" s="76"/>
      <c r="O482" s="49"/>
      <c r="P482" s="77"/>
      <c r="Q482" s="53"/>
      <c r="R482" s="54"/>
      <c r="S482" s="55"/>
      <c r="T482" s="56"/>
      <c r="U482" s="56"/>
      <c r="V482" s="42"/>
      <c r="W482" s="57"/>
      <c r="X482" s="58"/>
      <c r="Y482" s="75"/>
      <c r="Z482" s="59"/>
      <c r="AA482" s="61"/>
      <c r="AB482" s="61"/>
      <c r="AC482" s="61"/>
      <c r="AD482" s="62"/>
      <c r="AE482" s="62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x14ac:dyDescent="0.3">
      <c r="A483" s="39"/>
      <c r="B483" s="42"/>
      <c r="C483" s="42"/>
      <c r="D483" s="75"/>
      <c r="E483" s="75"/>
      <c r="F483" s="76"/>
      <c r="G483" s="47"/>
      <c r="H483" s="47"/>
      <c r="I483" s="75"/>
      <c r="J483" s="76"/>
      <c r="K483" s="76"/>
      <c r="L483" s="75"/>
      <c r="M483" s="49"/>
      <c r="N483" s="76"/>
      <c r="O483" s="49"/>
      <c r="P483" s="77"/>
      <c r="Q483" s="53"/>
      <c r="R483" s="54"/>
      <c r="S483" s="55"/>
      <c r="T483" s="56"/>
      <c r="U483" s="56"/>
      <c r="V483" s="42"/>
      <c r="W483" s="57"/>
      <c r="X483" s="58"/>
      <c r="Y483" s="75"/>
      <c r="Z483" s="59"/>
      <c r="AA483" s="61"/>
      <c r="AB483" s="61"/>
      <c r="AC483" s="61"/>
      <c r="AD483" s="62"/>
      <c r="AE483" s="62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x14ac:dyDescent="0.3">
      <c r="A484" s="39"/>
      <c r="B484" s="42"/>
      <c r="C484" s="42"/>
      <c r="D484" s="75"/>
      <c r="E484" s="75"/>
      <c r="F484" s="76"/>
      <c r="G484" s="47"/>
      <c r="H484" s="47"/>
      <c r="I484" s="75"/>
      <c r="J484" s="76"/>
      <c r="K484" s="76"/>
      <c r="L484" s="75"/>
      <c r="M484" s="49"/>
      <c r="N484" s="76"/>
      <c r="O484" s="49"/>
      <c r="P484" s="77"/>
      <c r="Q484" s="53"/>
      <c r="R484" s="54"/>
      <c r="S484" s="55"/>
      <c r="T484" s="56"/>
      <c r="U484" s="56"/>
      <c r="V484" s="42"/>
      <c r="W484" s="57"/>
      <c r="X484" s="58"/>
      <c r="Y484" s="75"/>
      <c r="Z484" s="59"/>
      <c r="AA484" s="61"/>
      <c r="AB484" s="61"/>
      <c r="AC484" s="61"/>
      <c r="AD484" s="62"/>
      <c r="AE484" s="62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x14ac:dyDescent="0.3">
      <c r="A485" s="39"/>
      <c r="B485" s="42"/>
      <c r="C485" s="42"/>
      <c r="D485" s="75"/>
      <c r="E485" s="75"/>
      <c r="F485" s="76"/>
      <c r="G485" s="47"/>
      <c r="H485" s="47"/>
      <c r="I485" s="75"/>
      <c r="J485" s="76"/>
      <c r="K485" s="76"/>
      <c r="L485" s="75"/>
      <c r="M485" s="49"/>
      <c r="N485" s="76"/>
      <c r="O485" s="49"/>
      <c r="P485" s="77"/>
      <c r="Q485" s="53"/>
      <c r="R485" s="54"/>
      <c r="S485" s="55"/>
      <c r="T485" s="56"/>
      <c r="U485" s="56"/>
      <c r="V485" s="42"/>
      <c r="W485" s="57"/>
      <c r="X485" s="58"/>
      <c r="Y485" s="75"/>
      <c r="Z485" s="59"/>
      <c r="AA485" s="61"/>
      <c r="AB485" s="61"/>
      <c r="AC485" s="61"/>
      <c r="AD485" s="62"/>
      <c r="AE485" s="62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x14ac:dyDescent="0.3">
      <c r="A486" s="39"/>
      <c r="B486" s="42"/>
      <c r="C486" s="42"/>
      <c r="D486" s="75"/>
      <c r="E486" s="75"/>
      <c r="F486" s="76"/>
      <c r="G486" s="47"/>
      <c r="H486" s="47"/>
      <c r="I486" s="75"/>
      <c r="J486" s="76"/>
      <c r="K486" s="76"/>
      <c r="L486" s="75"/>
      <c r="M486" s="49"/>
      <c r="N486" s="76"/>
      <c r="O486" s="49"/>
      <c r="P486" s="77"/>
      <c r="Q486" s="53"/>
      <c r="R486" s="54"/>
      <c r="S486" s="55"/>
      <c r="T486" s="56"/>
      <c r="U486" s="56"/>
      <c r="V486" s="42"/>
      <c r="W486" s="57"/>
      <c r="X486" s="58"/>
      <c r="Y486" s="75"/>
      <c r="Z486" s="59"/>
      <c r="AA486" s="61"/>
      <c r="AB486" s="61"/>
      <c r="AC486" s="61"/>
      <c r="AD486" s="62"/>
      <c r="AE486" s="62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x14ac:dyDescent="0.3">
      <c r="A487" s="39"/>
      <c r="B487" s="42"/>
      <c r="C487" s="42"/>
      <c r="D487" s="75"/>
      <c r="E487" s="75"/>
      <c r="F487" s="76"/>
      <c r="G487" s="47"/>
      <c r="H487" s="47"/>
      <c r="I487" s="75"/>
      <c r="J487" s="76"/>
      <c r="K487" s="76"/>
      <c r="L487" s="75"/>
      <c r="M487" s="49"/>
      <c r="N487" s="76"/>
      <c r="O487" s="49"/>
      <c r="P487" s="77"/>
      <c r="Q487" s="53"/>
      <c r="R487" s="54"/>
      <c r="S487" s="55"/>
      <c r="T487" s="56"/>
      <c r="U487" s="56"/>
      <c r="V487" s="42"/>
      <c r="W487" s="57"/>
      <c r="X487" s="58"/>
      <c r="Y487" s="75"/>
      <c r="Z487" s="59"/>
      <c r="AA487" s="61"/>
      <c r="AB487" s="61"/>
      <c r="AC487" s="61"/>
      <c r="AD487" s="62"/>
      <c r="AE487" s="62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x14ac:dyDescent="0.3">
      <c r="A488" s="39"/>
      <c r="B488" s="42"/>
      <c r="C488" s="42"/>
      <c r="D488" s="75"/>
      <c r="E488" s="75"/>
      <c r="F488" s="76"/>
      <c r="G488" s="47"/>
      <c r="H488" s="47"/>
      <c r="I488" s="75"/>
      <c r="J488" s="76"/>
      <c r="K488" s="76"/>
      <c r="L488" s="75"/>
      <c r="M488" s="49"/>
      <c r="N488" s="76"/>
      <c r="O488" s="49"/>
      <c r="P488" s="77"/>
      <c r="Q488" s="53"/>
      <c r="R488" s="54"/>
      <c r="S488" s="55"/>
      <c r="T488" s="56"/>
      <c r="U488" s="56"/>
      <c r="V488" s="42"/>
      <c r="W488" s="57"/>
      <c r="X488" s="58"/>
      <c r="Y488" s="75"/>
      <c r="Z488" s="59"/>
      <c r="AA488" s="61"/>
      <c r="AB488" s="61"/>
      <c r="AC488" s="61"/>
      <c r="AD488" s="62"/>
      <c r="AE488" s="62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x14ac:dyDescent="0.3">
      <c r="A489" s="39"/>
      <c r="B489" s="42"/>
      <c r="C489" s="42"/>
      <c r="D489" s="75"/>
      <c r="E489" s="75"/>
      <c r="F489" s="76"/>
      <c r="G489" s="47"/>
      <c r="H489" s="47"/>
      <c r="I489" s="75"/>
      <c r="J489" s="76"/>
      <c r="K489" s="76"/>
      <c r="L489" s="75"/>
      <c r="M489" s="49"/>
      <c r="N489" s="76"/>
      <c r="O489" s="49"/>
      <c r="P489" s="77"/>
      <c r="Q489" s="53"/>
      <c r="R489" s="54"/>
      <c r="S489" s="55"/>
      <c r="T489" s="56"/>
      <c r="U489" s="56"/>
      <c r="V489" s="42"/>
      <c r="W489" s="57"/>
      <c r="X489" s="58"/>
      <c r="Y489" s="75"/>
      <c r="Z489" s="59"/>
      <c r="AA489" s="61"/>
      <c r="AB489" s="61"/>
      <c r="AC489" s="61"/>
      <c r="AD489" s="62"/>
      <c r="AE489" s="62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x14ac:dyDescent="0.3">
      <c r="A490" s="39"/>
      <c r="B490" s="42"/>
      <c r="C490" s="42"/>
      <c r="D490" s="75"/>
      <c r="E490" s="75"/>
      <c r="F490" s="76"/>
      <c r="G490" s="47"/>
      <c r="H490" s="47"/>
      <c r="I490" s="75"/>
      <c r="J490" s="76"/>
      <c r="K490" s="76"/>
      <c r="L490" s="75"/>
      <c r="M490" s="49"/>
      <c r="N490" s="76"/>
      <c r="O490" s="49"/>
      <c r="P490" s="77"/>
      <c r="Q490" s="53"/>
      <c r="R490" s="54"/>
      <c r="S490" s="55"/>
      <c r="T490" s="56"/>
      <c r="U490" s="56"/>
      <c r="V490" s="42"/>
      <c r="W490" s="57"/>
      <c r="X490" s="58"/>
      <c r="Y490" s="75"/>
      <c r="Z490" s="59"/>
      <c r="AA490" s="61"/>
      <c r="AB490" s="61"/>
      <c r="AC490" s="61"/>
      <c r="AD490" s="62"/>
      <c r="AE490" s="62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x14ac:dyDescent="0.3">
      <c r="A491" s="39"/>
      <c r="B491" s="42"/>
      <c r="C491" s="42"/>
      <c r="D491" s="75"/>
      <c r="E491" s="75"/>
      <c r="F491" s="76"/>
      <c r="G491" s="47"/>
      <c r="H491" s="47"/>
      <c r="I491" s="75"/>
      <c r="J491" s="76"/>
      <c r="K491" s="76"/>
      <c r="L491" s="75"/>
      <c r="M491" s="49"/>
      <c r="N491" s="76"/>
      <c r="O491" s="49"/>
      <c r="P491" s="77"/>
      <c r="Q491" s="53"/>
      <c r="R491" s="54"/>
      <c r="S491" s="55"/>
      <c r="T491" s="56"/>
      <c r="U491" s="56"/>
      <c r="V491" s="42"/>
      <c r="W491" s="57"/>
      <c r="X491" s="58"/>
      <c r="Y491" s="75"/>
      <c r="Z491" s="59"/>
      <c r="AA491" s="61"/>
      <c r="AB491" s="61"/>
      <c r="AC491" s="61"/>
      <c r="AD491" s="62"/>
      <c r="AE491" s="62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x14ac:dyDescent="0.3">
      <c r="A492" s="39"/>
      <c r="B492" s="42"/>
      <c r="C492" s="42"/>
      <c r="D492" s="75"/>
      <c r="E492" s="75"/>
      <c r="F492" s="76"/>
      <c r="G492" s="47"/>
      <c r="H492" s="47"/>
      <c r="I492" s="75"/>
      <c r="J492" s="76"/>
      <c r="K492" s="76"/>
      <c r="L492" s="75"/>
      <c r="M492" s="49"/>
      <c r="N492" s="76"/>
      <c r="O492" s="49"/>
      <c r="P492" s="77"/>
      <c r="Q492" s="53"/>
      <c r="R492" s="54"/>
      <c r="S492" s="55"/>
      <c r="T492" s="56"/>
      <c r="U492" s="56"/>
      <c r="V492" s="42"/>
      <c r="W492" s="57"/>
      <c r="X492" s="58"/>
      <c r="Y492" s="75"/>
      <c r="Z492" s="59"/>
      <c r="AA492" s="61"/>
      <c r="AB492" s="61"/>
      <c r="AC492" s="61"/>
      <c r="AD492" s="62"/>
      <c r="AE492" s="62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x14ac:dyDescent="0.3">
      <c r="A493" s="39"/>
      <c r="B493" s="42"/>
      <c r="C493" s="42"/>
      <c r="D493" s="75"/>
      <c r="E493" s="75"/>
      <c r="F493" s="76"/>
      <c r="G493" s="47"/>
      <c r="H493" s="47"/>
      <c r="I493" s="75"/>
      <c r="J493" s="76"/>
      <c r="K493" s="76"/>
      <c r="L493" s="75"/>
      <c r="M493" s="49"/>
      <c r="N493" s="76"/>
      <c r="O493" s="49"/>
      <c r="P493" s="77"/>
      <c r="Q493" s="53"/>
      <c r="R493" s="54"/>
      <c r="S493" s="55"/>
      <c r="T493" s="56"/>
      <c r="U493" s="56"/>
      <c r="V493" s="42"/>
      <c r="W493" s="57"/>
      <c r="X493" s="58"/>
      <c r="Y493" s="75"/>
      <c r="Z493" s="59"/>
      <c r="AA493" s="61"/>
      <c r="AB493" s="61"/>
      <c r="AC493" s="61"/>
      <c r="AD493" s="62"/>
      <c r="AE493" s="62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x14ac:dyDescent="0.3">
      <c r="A494" s="39"/>
      <c r="B494" s="42"/>
      <c r="C494" s="42"/>
      <c r="D494" s="75"/>
      <c r="E494" s="75"/>
      <c r="F494" s="76"/>
      <c r="G494" s="47"/>
      <c r="H494" s="47"/>
      <c r="I494" s="75"/>
      <c r="J494" s="76"/>
      <c r="K494" s="76"/>
      <c r="L494" s="75"/>
      <c r="M494" s="49"/>
      <c r="N494" s="76"/>
      <c r="O494" s="49"/>
      <c r="P494" s="77"/>
      <c r="Q494" s="53"/>
      <c r="R494" s="54"/>
      <c r="S494" s="55"/>
      <c r="T494" s="56"/>
      <c r="U494" s="56"/>
      <c r="V494" s="42"/>
      <c r="W494" s="57"/>
      <c r="X494" s="58"/>
      <c r="Y494" s="75"/>
      <c r="Z494" s="59"/>
      <c r="AA494" s="61"/>
      <c r="AB494" s="61"/>
      <c r="AC494" s="61"/>
      <c r="AD494" s="62"/>
      <c r="AE494" s="62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x14ac:dyDescent="0.3">
      <c r="A495" s="39"/>
      <c r="B495" s="42"/>
      <c r="C495" s="42"/>
      <c r="D495" s="75"/>
      <c r="E495" s="75"/>
      <c r="F495" s="76"/>
      <c r="G495" s="47"/>
      <c r="H495" s="47"/>
      <c r="I495" s="75"/>
      <c r="J495" s="76"/>
      <c r="K495" s="76"/>
      <c r="L495" s="75"/>
      <c r="M495" s="49"/>
      <c r="N495" s="76"/>
      <c r="O495" s="49"/>
      <c r="P495" s="77"/>
      <c r="Q495" s="53"/>
      <c r="R495" s="54"/>
      <c r="S495" s="55"/>
      <c r="T495" s="56"/>
      <c r="U495" s="56"/>
      <c r="V495" s="42"/>
      <c r="W495" s="57"/>
      <c r="X495" s="58"/>
      <c r="Y495" s="75"/>
      <c r="Z495" s="59"/>
      <c r="AA495" s="61"/>
      <c r="AB495" s="61"/>
      <c r="AC495" s="61"/>
      <c r="AD495" s="62"/>
      <c r="AE495" s="62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x14ac:dyDescent="0.3">
      <c r="A496" s="39"/>
      <c r="B496" s="42"/>
      <c r="C496" s="42"/>
      <c r="D496" s="75"/>
      <c r="E496" s="75"/>
      <c r="F496" s="76"/>
      <c r="G496" s="47"/>
      <c r="H496" s="47"/>
      <c r="I496" s="75"/>
      <c r="J496" s="76"/>
      <c r="K496" s="76"/>
      <c r="L496" s="75"/>
      <c r="M496" s="49"/>
      <c r="N496" s="76"/>
      <c r="O496" s="49"/>
      <c r="P496" s="77"/>
      <c r="Q496" s="53"/>
      <c r="R496" s="54"/>
      <c r="S496" s="55"/>
      <c r="T496" s="56"/>
      <c r="U496" s="56"/>
      <c r="V496" s="42"/>
      <c r="W496" s="57"/>
      <c r="X496" s="58"/>
      <c r="Y496" s="75"/>
      <c r="Z496" s="59"/>
      <c r="AA496" s="61"/>
      <c r="AB496" s="61"/>
      <c r="AC496" s="61"/>
      <c r="AD496" s="62"/>
      <c r="AE496" s="62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x14ac:dyDescent="0.3">
      <c r="A497" s="39"/>
      <c r="B497" s="42"/>
      <c r="C497" s="42"/>
      <c r="D497" s="75"/>
      <c r="E497" s="75"/>
      <c r="F497" s="76"/>
      <c r="G497" s="47"/>
      <c r="H497" s="47"/>
      <c r="I497" s="75"/>
      <c r="J497" s="76"/>
      <c r="K497" s="76"/>
      <c r="L497" s="75"/>
      <c r="M497" s="49"/>
      <c r="N497" s="76"/>
      <c r="O497" s="49"/>
      <c r="P497" s="77"/>
      <c r="Q497" s="53"/>
      <c r="R497" s="54"/>
      <c r="S497" s="55"/>
      <c r="T497" s="56"/>
      <c r="U497" s="56"/>
      <c r="V497" s="42"/>
      <c r="W497" s="57"/>
      <c r="X497" s="58"/>
      <c r="Y497" s="75"/>
      <c r="Z497" s="59"/>
      <c r="AA497" s="61"/>
      <c r="AB497" s="61"/>
      <c r="AC497" s="61"/>
      <c r="AD497" s="62"/>
      <c r="AE497" s="62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x14ac:dyDescent="0.3">
      <c r="A498" s="39"/>
      <c r="B498" s="42"/>
      <c r="C498" s="42"/>
      <c r="D498" s="75"/>
      <c r="E498" s="75"/>
      <c r="F498" s="76"/>
      <c r="G498" s="47"/>
      <c r="H498" s="47"/>
      <c r="I498" s="75"/>
      <c r="J498" s="76"/>
      <c r="K498" s="76"/>
      <c r="L498" s="75"/>
      <c r="M498" s="49"/>
      <c r="N498" s="76"/>
      <c r="O498" s="49"/>
      <c r="P498" s="77"/>
      <c r="Q498" s="53"/>
      <c r="R498" s="54"/>
      <c r="S498" s="55"/>
      <c r="T498" s="56"/>
      <c r="U498" s="56"/>
      <c r="V498" s="42"/>
      <c r="W498" s="57"/>
      <c r="X498" s="58"/>
      <c r="Y498" s="75"/>
      <c r="Z498" s="59"/>
      <c r="AA498" s="61"/>
      <c r="AB498" s="61"/>
      <c r="AC498" s="61"/>
      <c r="AD498" s="62"/>
      <c r="AE498" s="62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x14ac:dyDescent="0.3">
      <c r="A499" s="39"/>
      <c r="B499" s="42"/>
      <c r="C499" s="42"/>
      <c r="D499" s="75"/>
      <c r="E499" s="75"/>
      <c r="F499" s="76"/>
      <c r="G499" s="47"/>
      <c r="H499" s="47"/>
      <c r="I499" s="75"/>
      <c r="J499" s="76"/>
      <c r="K499" s="76"/>
      <c r="L499" s="75"/>
      <c r="M499" s="49"/>
      <c r="N499" s="76"/>
      <c r="O499" s="49"/>
      <c r="P499" s="77"/>
      <c r="Q499" s="53"/>
      <c r="R499" s="54"/>
      <c r="S499" s="55"/>
      <c r="T499" s="56"/>
      <c r="U499" s="56"/>
      <c r="V499" s="42"/>
      <c r="W499" s="57"/>
      <c r="X499" s="58"/>
      <c r="Y499" s="75"/>
      <c r="Z499" s="59"/>
      <c r="AA499" s="61"/>
      <c r="AB499" s="61"/>
      <c r="AC499" s="61"/>
      <c r="AD499" s="62"/>
      <c r="AE499" s="62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x14ac:dyDescent="0.3">
      <c r="A500" s="39"/>
      <c r="B500" s="42"/>
      <c r="C500" s="42"/>
      <c r="D500" s="75"/>
      <c r="E500" s="75"/>
      <c r="F500" s="76"/>
      <c r="G500" s="47"/>
      <c r="H500" s="47"/>
      <c r="I500" s="75"/>
      <c r="J500" s="76"/>
      <c r="K500" s="76"/>
      <c r="L500" s="75"/>
      <c r="M500" s="49"/>
      <c r="N500" s="76"/>
      <c r="O500" s="49"/>
      <c r="P500" s="77"/>
      <c r="Q500" s="53"/>
      <c r="R500" s="54"/>
      <c r="S500" s="55"/>
      <c r="T500" s="56"/>
      <c r="U500" s="56"/>
      <c r="V500" s="42"/>
      <c r="W500" s="57"/>
      <c r="X500" s="58"/>
      <c r="Y500" s="75"/>
      <c r="Z500" s="59"/>
      <c r="AA500" s="61"/>
      <c r="AB500" s="61"/>
      <c r="AC500" s="61"/>
      <c r="AD500" s="62"/>
      <c r="AE500" s="62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x14ac:dyDescent="0.3">
      <c r="A501" s="39"/>
      <c r="B501" s="42"/>
      <c r="C501" s="42"/>
      <c r="D501" s="75"/>
      <c r="E501" s="75"/>
      <c r="F501" s="76"/>
      <c r="G501" s="47"/>
      <c r="H501" s="47"/>
      <c r="I501" s="75"/>
      <c r="J501" s="76"/>
      <c r="K501" s="76"/>
      <c r="L501" s="75"/>
      <c r="M501" s="49"/>
      <c r="N501" s="76"/>
      <c r="O501" s="49"/>
      <c r="P501" s="77"/>
      <c r="Q501" s="53"/>
      <c r="R501" s="54"/>
      <c r="S501" s="55"/>
      <c r="T501" s="56"/>
      <c r="U501" s="56"/>
      <c r="V501" s="42"/>
      <c r="W501" s="57"/>
      <c r="X501" s="58"/>
      <c r="Y501" s="75"/>
      <c r="Z501" s="59"/>
      <c r="AA501" s="61"/>
      <c r="AB501" s="61"/>
      <c r="AC501" s="61"/>
      <c r="AD501" s="62"/>
      <c r="AE501" s="62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x14ac:dyDescent="0.3">
      <c r="A502" s="39"/>
      <c r="B502" s="42"/>
      <c r="C502" s="42"/>
      <c r="D502" s="75"/>
      <c r="E502" s="75"/>
      <c r="F502" s="76"/>
      <c r="G502" s="47"/>
      <c r="H502" s="47"/>
      <c r="I502" s="75"/>
      <c r="J502" s="76"/>
      <c r="K502" s="76"/>
      <c r="L502" s="75"/>
      <c r="M502" s="49"/>
      <c r="N502" s="76"/>
      <c r="O502" s="49"/>
      <c r="P502" s="77"/>
      <c r="Q502" s="53"/>
      <c r="R502" s="54"/>
      <c r="S502" s="55"/>
      <c r="T502" s="56"/>
      <c r="U502" s="56"/>
      <c r="V502" s="42"/>
      <c r="W502" s="57"/>
      <c r="X502" s="58"/>
      <c r="Y502" s="75"/>
      <c r="Z502" s="59"/>
      <c r="AA502" s="61"/>
      <c r="AB502" s="61"/>
      <c r="AC502" s="61"/>
      <c r="AD502" s="62"/>
      <c r="AE502" s="62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x14ac:dyDescent="0.3">
      <c r="A503" s="39"/>
      <c r="B503" s="42"/>
      <c r="C503" s="42"/>
      <c r="D503" s="75"/>
      <c r="E503" s="75"/>
      <c r="F503" s="76"/>
      <c r="G503" s="47"/>
      <c r="H503" s="47"/>
      <c r="I503" s="75"/>
      <c r="J503" s="76"/>
      <c r="K503" s="76"/>
      <c r="L503" s="75"/>
      <c r="M503" s="49"/>
      <c r="N503" s="76"/>
      <c r="O503" s="49"/>
      <c r="P503" s="77"/>
      <c r="Q503" s="53"/>
      <c r="R503" s="54"/>
      <c r="S503" s="55"/>
      <c r="T503" s="56"/>
      <c r="U503" s="56"/>
      <c r="V503" s="42"/>
      <c r="W503" s="57"/>
      <c r="X503" s="58"/>
      <c r="Y503" s="75"/>
      <c r="Z503" s="59"/>
      <c r="AA503" s="61"/>
      <c r="AB503" s="61"/>
      <c r="AC503" s="61"/>
      <c r="AD503" s="62"/>
      <c r="AE503" s="62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x14ac:dyDescent="0.3">
      <c r="A504" s="39"/>
      <c r="B504" s="42"/>
      <c r="C504" s="42"/>
      <c r="D504" s="75"/>
      <c r="E504" s="75"/>
      <c r="F504" s="76"/>
      <c r="G504" s="47"/>
      <c r="H504" s="47"/>
      <c r="I504" s="75"/>
      <c r="J504" s="76"/>
      <c r="K504" s="76"/>
      <c r="L504" s="75"/>
      <c r="M504" s="49"/>
      <c r="N504" s="76"/>
      <c r="O504" s="49"/>
      <c r="P504" s="77"/>
      <c r="Q504" s="53"/>
      <c r="R504" s="54"/>
      <c r="S504" s="55"/>
      <c r="T504" s="56"/>
      <c r="U504" s="56"/>
      <c r="V504" s="42"/>
      <c r="W504" s="57"/>
      <c r="X504" s="58"/>
      <c r="Y504" s="75"/>
      <c r="Z504" s="59"/>
      <c r="AA504" s="61"/>
      <c r="AB504" s="61"/>
      <c r="AC504" s="61"/>
      <c r="AD504" s="62"/>
      <c r="AE504" s="62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x14ac:dyDescent="0.3">
      <c r="A505" s="39"/>
      <c r="B505" s="42"/>
      <c r="C505" s="42"/>
      <c r="D505" s="75"/>
      <c r="E505" s="75"/>
      <c r="F505" s="76"/>
      <c r="G505" s="47"/>
      <c r="H505" s="47"/>
      <c r="I505" s="75"/>
      <c r="J505" s="76"/>
      <c r="K505" s="76"/>
      <c r="L505" s="75"/>
      <c r="M505" s="49"/>
      <c r="N505" s="76"/>
      <c r="O505" s="49"/>
      <c r="P505" s="77"/>
      <c r="Q505" s="53"/>
      <c r="R505" s="54"/>
      <c r="S505" s="55"/>
      <c r="T505" s="56"/>
      <c r="U505" s="56"/>
      <c r="V505" s="42"/>
      <c r="W505" s="57"/>
      <c r="X505" s="58"/>
      <c r="Y505" s="75"/>
      <c r="Z505" s="59"/>
      <c r="AA505" s="61"/>
      <c r="AB505" s="61"/>
      <c r="AC505" s="61"/>
      <c r="AD505" s="62"/>
      <c r="AE505" s="62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x14ac:dyDescent="0.3">
      <c r="A506" s="39"/>
      <c r="B506" s="42"/>
      <c r="C506" s="42"/>
      <c r="D506" s="75"/>
      <c r="E506" s="75"/>
      <c r="F506" s="76"/>
      <c r="G506" s="47"/>
      <c r="H506" s="47"/>
      <c r="I506" s="75"/>
      <c r="J506" s="76"/>
      <c r="K506" s="76"/>
      <c r="L506" s="75"/>
      <c r="M506" s="49"/>
      <c r="N506" s="76"/>
      <c r="O506" s="49"/>
      <c r="P506" s="77"/>
      <c r="Q506" s="53"/>
      <c r="R506" s="54"/>
      <c r="S506" s="55"/>
      <c r="T506" s="56"/>
      <c r="U506" s="56"/>
      <c r="V506" s="42"/>
      <c r="W506" s="57"/>
      <c r="X506" s="58"/>
      <c r="Y506" s="75"/>
      <c r="Z506" s="59"/>
      <c r="AA506" s="61"/>
      <c r="AB506" s="61"/>
      <c r="AC506" s="61"/>
      <c r="AD506" s="62"/>
      <c r="AE506" s="62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x14ac:dyDescent="0.3">
      <c r="A507" s="39"/>
      <c r="B507" s="42"/>
      <c r="C507" s="42"/>
      <c r="D507" s="75"/>
      <c r="E507" s="75"/>
      <c r="F507" s="76"/>
      <c r="G507" s="47"/>
      <c r="H507" s="47"/>
      <c r="I507" s="75"/>
      <c r="J507" s="76"/>
      <c r="K507" s="76"/>
      <c r="L507" s="75"/>
      <c r="M507" s="49"/>
      <c r="N507" s="76"/>
      <c r="O507" s="49"/>
      <c r="P507" s="77"/>
      <c r="Q507" s="53"/>
      <c r="R507" s="54"/>
      <c r="S507" s="55"/>
      <c r="T507" s="56"/>
      <c r="U507" s="56"/>
      <c r="V507" s="42"/>
      <c r="W507" s="57"/>
      <c r="X507" s="58"/>
      <c r="Y507" s="75"/>
      <c r="Z507" s="59"/>
      <c r="AA507" s="61"/>
      <c r="AB507" s="61"/>
      <c r="AC507" s="61"/>
      <c r="AD507" s="62"/>
      <c r="AE507" s="62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x14ac:dyDescent="0.3">
      <c r="A508" s="39"/>
      <c r="B508" s="42"/>
      <c r="C508" s="42"/>
      <c r="D508" s="75"/>
      <c r="E508" s="75"/>
      <c r="F508" s="76"/>
      <c r="G508" s="47"/>
      <c r="H508" s="47"/>
      <c r="I508" s="75"/>
      <c r="J508" s="76"/>
      <c r="K508" s="76"/>
      <c r="L508" s="75"/>
      <c r="M508" s="49"/>
      <c r="N508" s="76"/>
      <c r="O508" s="49"/>
      <c r="P508" s="77"/>
      <c r="Q508" s="53"/>
      <c r="R508" s="54"/>
      <c r="S508" s="55"/>
      <c r="T508" s="56"/>
      <c r="U508" s="56"/>
      <c r="V508" s="42"/>
      <c r="W508" s="57"/>
      <c r="X508" s="58"/>
      <c r="Y508" s="75"/>
      <c r="Z508" s="59"/>
      <c r="AA508" s="61"/>
      <c r="AB508" s="61"/>
      <c r="AC508" s="61"/>
      <c r="AD508" s="62"/>
      <c r="AE508" s="62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x14ac:dyDescent="0.3">
      <c r="A509" s="39"/>
      <c r="B509" s="42"/>
      <c r="C509" s="42"/>
      <c r="D509" s="75"/>
      <c r="E509" s="75"/>
      <c r="F509" s="76"/>
      <c r="G509" s="47"/>
      <c r="H509" s="47"/>
      <c r="I509" s="75"/>
      <c r="J509" s="76"/>
      <c r="K509" s="76"/>
      <c r="L509" s="75"/>
      <c r="M509" s="49"/>
      <c r="N509" s="76"/>
      <c r="O509" s="49"/>
      <c r="P509" s="77"/>
      <c r="Q509" s="53"/>
      <c r="R509" s="54"/>
      <c r="S509" s="55"/>
      <c r="T509" s="56"/>
      <c r="U509" s="56"/>
      <c r="V509" s="42"/>
      <c r="W509" s="57"/>
      <c r="X509" s="58"/>
      <c r="Y509" s="75"/>
      <c r="Z509" s="59"/>
      <c r="AA509" s="61"/>
      <c r="AB509" s="61"/>
      <c r="AC509" s="61"/>
      <c r="AD509" s="62"/>
      <c r="AE509" s="62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x14ac:dyDescent="0.3">
      <c r="A510" s="39"/>
      <c r="B510" s="42"/>
      <c r="C510" s="42"/>
      <c r="D510" s="75"/>
      <c r="E510" s="75"/>
      <c r="F510" s="76"/>
      <c r="G510" s="47"/>
      <c r="H510" s="47"/>
      <c r="I510" s="75"/>
      <c r="J510" s="76"/>
      <c r="K510" s="76"/>
      <c r="L510" s="75"/>
      <c r="M510" s="49"/>
      <c r="N510" s="76"/>
      <c r="O510" s="49"/>
      <c r="P510" s="77"/>
      <c r="Q510" s="53"/>
      <c r="R510" s="54"/>
      <c r="S510" s="55"/>
      <c r="T510" s="56"/>
      <c r="U510" s="56"/>
      <c r="V510" s="42"/>
      <c r="W510" s="57"/>
      <c r="X510" s="58"/>
      <c r="Y510" s="75"/>
      <c r="Z510" s="59"/>
      <c r="AA510" s="61"/>
      <c r="AB510" s="61"/>
      <c r="AC510" s="61"/>
      <c r="AD510" s="62"/>
      <c r="AE510" s="62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x14ac:dyDescent="0.3">
      <c r="A511" s="39"/>
      <c r="B511" s="42"/>
      <c r="C511" s="42"/>
      <c r="D511" s="75"/>
      <c r="E511" s="75"/>
      <c r="F511" s="76"/>
      <c r="G511" s="47"/>
      <c r="H511" s="47"/>
      <c r="I511" s="75"/>
      <c r="J511" s="76"/>
      <c r="K511" s="76"/>
      <c r="L511" s="75"/>
      <c r="M511" s="49"/>
      <c r="N511" s="76"/>
      <c r="O511" s="49"/>
      <c r="P511" s="77"/>
      <c r="Q511" s="53"/>
      <c r="R511" s="54"/>
      <c r="S511" s="55"/>
      <c r="T511" s="56"/>
      <c r="U511" s="56"/>
      <c r="V511" s="42"/>
      <c r="W511" s="57"/>
      <c r="X511" s="58"/>
      <c r="Y511" s="75"/>
      <c r="Z511" s="59"/>
      <c r="AA511" s="61"/>
      <c r="AB511" s="61"/>
      <c r="AC511" s="61"/>
      <c r="AD511" s="62"/>
      <c r="AE511" s="62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x14ac:dyDescent="0.3">
      <c r="A512" s="39"/>
      <c r="B512" s="42"/>
      <c r="C512" s="42"/>
      <c r="D512" s="75"/>
      <c r="E512" s="75"/>
      <c r="F512" s="76"/>
      <c r="G512" s="47"/>
      <c r="H512" s="47"/>
      <c r="I512" s="75"/>
      <c r="J512" s="76"/>
      <c r="K512" s="76"/>
      <c r="L512" s="75"/>
      <c r="M512" s="49"/>
      <c r="N512" s="76"/>
      <c r="O512" s="49"/>
      <c r="P512" s="77"/>
      <c r="Q512" s="53"/>
      <c r="R512" s="54"/>
      <c r="S512" s="55"/>
      <c r="T512" s="56"/>
      <c r="U512" s="56"/>
      <c r="V512" s="42"/>
      <c r="W512" s="57"/>
      <c r="X512" s="58"/>
      <c r="Y512" s="75"/>
      <c r="Z512" s="59"/>
      <c r="AA512" s="61"/>
      <c r="AB512" s="61"/>
      <c r="AC512" s="61"/>
      <c r="AD512" s="62"/>
      <c r="AE512" s="62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x14ac:dyDescent="0.3">
      <c r="A513" s="39"/>
      <c r="B513" s="42"/>
      <c r="C513" s="42"/>
      <c r="D513" s="75"/>
      <c r="E513" s="75"/>
      <c r="F513" s="76"/>
      <c r="G513" s="47"/>
      <c r="H513" s="47"/>
      <c r="I513" s="75"/>
      <c r="J513" s="76"/>
      <c r="K513" s="76"/>
      <c r="L513" s="75"/>
      <c r="M513" s="49"/>
      <c r="N513" s="76"/>
      <c r="O513" s="49"/>
      <c r="P513" s="77"/>
      <c r="Q513" s="53"/>
      <c r="R513" s="54"/>
      <c r="S513" s="55"/>
      <c r="T513" s="56"/>
      <c r="U513" s="56"/>
      <c r="V513" s="42"/>
      <c r="W513" s="57"/>
      <c r="X513" s="58"/>
      <c r="Y513" s="75"/>
      <c r="Z513" s="59"/>
      <c r="AA513" s="61"/>
      <c r="AB513" s="61"/>
      <c r="AC513" s="61"/>
      <c r="AD513" s="62"/>
      <c r="AE513" s="62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x14ac:dyDescent="0.3">
      <c r="A514" s="39"/>
      <c r="B514" s="42"/>
      <c r="C514" s="42"/>
      <c r="D514" s="75"/>
      <c r="E514" s="75"/>
      <c r="F514" s="76"/>
      <c r="G514" s="47"/>
      <c r="H514" s="47"/>
      <c r="I514" s="75"/>
      <c r="J514" s="76"/>
      <c r="K514" s="76"/>
      <c r="L514" s="75"/>
      <c r="M514" s="49"/>
      <c r="N514" s="76"/>
      <c r="O514" s="49"/>
      <c r="P514" s="77"/>
      <c r="Q514" s="53"/>
      <c r="R514" s="54"/>
      <c r="S514" s="55"/>
      <c r="T514" s="56"/>
      <c r="U514" s="56"/>
      <c r="V514" s="42"/>
      <c r="W514" s="57"/>
      <c r="X514" s="58"/>
      <c r="Y514" s="75"/>
      <c r="Z514" s="59"/>
      <c r="AA514" s="61"/>
      <c r="AB514" s="61"/>
      <c r="AC514" s="61"/>
      <c r="AD514" s="62"/>
      <c r="AE514" s="62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x14ac:dyDescent="0.3">
      <c r="A515" s="39"/>
      <c r="B515" s="42"/>
      <c r="C515" s="42"/>
      <c r="D515" s="75"/>
      <c r="E515" s="75"/>
      <c r="F515" s="76"/>
      <c r="G515" s="47"/>
      <c r="H515" s="47"/>
      <c r="I515" s="75"/>
      <c r="J515" s="76"/>
      <c r="K515" s="76"/>
      <c r="L515" s="75"/>
      <c r="M515" s="49"/>
      <c r="N515" s="76"/>
      <c r="O515" s="49"/>
      <c r="P515" s="77"/>
      <c r="Q515" s="53"/>
      <c r="R515" s="54"/>
      <c r="S515" s="55"/>
      <c r="T515" s="56"/>
      <c r="U515" s="56"/>
      <c r="V515" s="42"/>
      <c r="W515" s="57"/>
      <c r="X515" s="58"/>
      <c r="Y515" s="75"/>
      <c r="Z515" s="59"/>
      <c r="AA515" s="61"/>
      <c r="AB515" s="61"/>
      <c r="AC515" s="61"/>
      <c r="AD515" s="62"/>
      <c r="AE515" s="62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x14ac:dyDescent="0.3">
      <c r="A516" s="39"/>
      <c r="B516" s="42"/>
      <c r="C516" s="42"/>
      <c r="D516" s="75"/>
      <c r="E516" s="75"/>
      <c r="F516" s="76"/>
      <c r="G516" s="47"/>
      <c r="H516" s="47"/>
      <c r="I516" s="75"/>
      <c r="J516" s="76"/>
      <c r="K516" s="76"/>
      <c r="L516" s="75"/>
      <c r="M516" s="49"/>
      <c r="N516" s="76"/>
      <c r="O516" s="49"/>
      <c r="P516" s="77"/>
      <c r="Q516" s="53"/>
      <c r="R516" s="54"/>
      <c r="S516" s="55"/>
      <c r="T516" s="56"/>
      <c r="U516" s="56"/>
      <c r="V516" s="42"/>
      <c r="W516" s="57"/>
      <c r="X516" s="58"/>
      <c r="Y516" s="75"/>
      <c r="Z516" s="59"/>
      <c r="AA516" s="61"/>
      <c r="AB516" s="61"/>
      <c r="AC516" s="61"/>
      <c r="AD516" s="62"/>
      <c r="AE516" s="62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x14ac:dyDescent="0.3">
      <c r="A517" s="39"/>
      <c r="B517" s="42"/>
      <c r="C517" s="42"/>
      <c r="D517" s="75"/>
      <c r="E517" s="75"/>
      <c r="F517" s="76"/>
      <c r="G517" s="47"/>
      <c r="H517" s="47"/>
      <c r="I517" s="75"/>
      <c r="J517" s="76"/>
      <c r="K517" s="76"/>
      <c r="L517" s="75"/>
      <c r="M517" s="49"/>
      <c r="N517" s="76"/>
      <c r="O517" s="49"/>
      <c r="P517" s="77"/>
      <c r="Q517" s="53"/>
      <c r="R517" s="54"/>
      <c r="S517" s="55"/>
      <c r="T517" s="56"/>
      <c r="U517" s="56"/>
      <c r="V517" s="42"/>
      <c r="W517" s="57"/>
      <c r="X517" s="58"/>
      <c r="Y517" s="75"/>
      <c r="Z517" s="59"/>
      <c r="AA517" s="61"/>
      <c r="AB517" s="61"/>
      <c r="AC517" s="61"/>
      <c r="AD517" s="62"/>
      <c r="AE517" s="62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x14ac:dyDescent="0.3">
      <c r="A518" s="39"/>
      <c r="B518" s="42"/>
      <c r="C518" s="42"/>
      <c r="D518" s="75"/>
      <c r="E518" s="75"/>
      <c r="F518" s="76"/>
      <c r="G518" s="47"/>
      <c r="H518" s="47"/>
      <c r="I518" s="75"/>
      <c r="J518" s="76"/>
      <c r="K518" s="76"/>
      <c r="L518" s="75"/>
      <c r="M518" s="49"/>
      <c r="N518" s="76"/>
      <c r="O518" s="49"/>
      <c r="P518" s="77"/>
      <c r="Q518" s="53"/>
      <c r="R518" s="54"/>
      <c r="S518" s="55"/>
      <c r="T518" s="56"/>
      <c r="U518" s="56"/>
      <c r="V518" s="42"/>
      <c r="W518" s="57"/>
      <c r="X518" s="58"/>
      <c r="Y518" s="75"/>
      <c r="Z518" s="59"/>
      <c r="AA518" s="61"/>
      <c r="AB518" s="61"/>
      <c r="AC518" s="61"/>
      <c r="AD518" s="62"/>
      <c r="AE518" s="62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x14ac:dyDescent="0.3">
      <c r="A519" s="39"/>
      <c r="B519" s="42"/>
      <c r="C519" s="42"/>
      <c r="D519" s="75"/>
      <c r="E519" s="75"/>
      <c r="F519" s="76"/>
      <c r="G519" s="47"/>
      <c r="H519" s="47"/>
      <c r="I519" s="75"/>
      <c r="J519" s="76"/>
      <c r="K519" s="76"/>
      <c r="L519" s="75"/>
      <c r="M519" s="49"/>
      <c r="N519" s="76"/>
      <c r="O519" s="49"/>
      <c r="P519" s="77"/>
      <c r="Q519" s="53"/>
      <c r="R519" s="54"/>
      <c r="S519" s="55"/>
      <c r="T519" s="56"/>
      <c r="U519" s="56"/>
      <c r="V519" s="42"/>
      <c r="W519" s="57"/>
      <c r="X519" s="58"/>
      <c r="Y519" s="75"/>
      <c r="Z519" s="59"/>
      <c r="AA519" s="61"/>
      <c r="AB519" s="61"/>
      <c r="AC519" s="61"/>
      <c r="AD519" s="62"/>
      <c r="AE519" s="62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x14ac:dyDescent="0.3">
      <c r="A520" s="39"/>
      <c r="B520" s="42"/>
      <c r="C520" s="42"/>
      <c r="D520" s="75"/>
      <c r="E520" s="75"/>
      <c r="F520" s="76"/>
      <c r="G520" s="47"/>
      <c r="H520" s="47"/>
      <c r="I520" s="75"/>
      <c r="J520" s="76"/>
      <c r="K520" s="76"/>
      <c r="L520" s="75"/>
      <c r="M520" s="49"/>
      <c r="N520" s="76"/>
      <c r="O520" s="49"/>
      <c r="P520" s="77"/>
      <c r="Q520" s="53"/>
      <c r="R520" s="54"/>
      <c r="S520" s="55"/>
      <c r="T520" s="56"/>
      <c r="U520" s="56"/>
      <c r="V520" s="42"/>
      <c r="W520" s="57"/>
      <c r="X520" s="58"/>
      <c r="Y520" s="75"/>
      <c r="Z520" s="59"/>
      <c r="AA520" s="61"/>
      <c r="AB520" s="61"/>
      <c r="AC520" s="61"/>
      <c r="AD520" s="62"/>
      <c r="AE520" s="62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x14ac:dyDescent="0.3">
      <c r="A521" s="39"/>
      <c r="B521" s="42"/>
      <c r="C521" s="42"/>
      <c r="D521" s="75"/>
      <c r="E521" s="75"/>
      <c r="F521" s="76"/>
      <c r="G521" s="47"/>
      <c r="H521" s="47"/>
      <c r="I521" s="75"/>
      <c r="J521" s="76"/>
      <c r="K521" s="76"/>
      <c r="L521" s="75"/>
      <c r="M521" s="49"/>
      <c r="N521" s="76"/>
      <c r="O521" s="49"/>
      <c r="P521" s="77"/>
      <c r="Q521" s="53"/>
      <c r="R521" s="54"/>
      <c r="S521" s="55"/>
      <c r="T521" s="56"/>
      <c r="U521" s="56"/>
      <c r="V521" s="42"/>
      <c r="W521" s="57"/>
      <c r="X521" s="58"/>
      <c r="Y521" s="75"/>
      <c r="Z521" s="59"/>
      <c r="AA521" s="61"/>
      <c r="AB521" s="61"/>
      <c r="AC521" s="61"/>
      <c r="AD521" s="62"/>
      <c r="AE521" s="62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x14ac:dyDescent="0.3">
      <c r="A522" s="39"/>
      <c r="B522" s="42"/>
      <c r="C522" s="42"/>
      <c r="D522" s="75"/>
      <c r="E522" s="75"/>
      <c r="F522" s="76"/>
      <c r="G522" s="47"/>
      <c r="H522" s="47"/>
      <c r="I522" s="75"/>
      <c r="J522" s="76"/>
      <c r="K522" s="76"/>
      <c r="L522" s="75"/>
      <c r="M522" s="49"/>
      <c r="N522" s="76"/>
      <c r="O522" s="49"/>
      <c r="P522" s="77"/>
      <c r="Q522" s="53"/>
      <c r="R522" s="54"/>
      <c r="S522" s="55"/>
      <c r="T522" s="56"/>
      <c r="U522" s="56"/>
      <c r="V522" s="42"/>
      <c r="W522" s="57"/>
      <c r="X522" s="58"/>
      <c r="Y522" s="75"/>
      <c r="Z522" s="59"/>
      <c r="AA522" s="61"/>
      <c r="AB522" s="61"/>
      <c r="AC522" s="61"/>
      <c r="AD522" s="62"/>
      <c r="AE522" s="62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x14ac:dyDescent="0.3">
      <c r="A523" s="39"/>
      <c r="B523" s="42"/>
      <c r="C523" s="42"/>
      <c r="D523" s="75"/>
      <c r="E523" s="75"/>
      <c r="F523" s="76"/>
      <c r="G523" s="47"/>
      <c r="H523" s="47"/>
      <c r="I523" s="75"/>
      <c r="J523" s="76"/>
      <c r="K523" s="76"/>
      <c r="L523" s="75"/>
      <c r="M523" s="49"/>
      <c r="N523" s="76"/>
      <c r="O523" s="49"/>
      <c r="P523" s="77"/>
      <c r="Q523" s="53"/>
      <c r="R523" s="54"/>
      <c r="S523" s="55"/>
      <c r="T523" s="56"/>
      <c r="U523" s="56"/>
      <c r="V523" s="42"/>
      <c r="W523" s="57"/>
      <c r="X523" s="58"/>
      <c r="Y523" s="75"/>
      <c r="Z523" s="59"/>
      <c r="AA523" s="61"/>
      <c r="AB523" s="61"/>
      <c r="AC523" s="61"/>
      <c r="AD523" s="62"/>
      <c r="AE523" s="62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x14ac:dyDescent="0.3">
      <c r="A524" s="39"/>
      <c r="B524" s="42"/>
      <c r="C524" s="42"/>
      <c r="D524" s="75"/>
      <c r="E524" s="75"/>
      <c r="F524" s="76"/>
      <c r="G524" s="47"/>
      <c r="H524" s="47"/>
      <c r="I524" s="75"/>
      <c r="J524" s="76"/>
      <c r="K524" s="76"/>
      <c r="L524" s="75"/>
      <c r="M524" s="49"/>
      <c r="N524" s="76"/>
      <c r="O524" s="49"/>
      <c r="P524" s="77"/>
      <c r="Q524" s="53"/>
      <c r="R524" s="54"/>
      <c r="S524" s="55"/>
      <c r="T524" s="56"/>
      <c r="U524" s="56"/>
      <c r="V524" s="42"/>
      <c r="W524" s="57"/>
      <c r="X524" s="58"/>
      <c r="Y524" s="75"/>
      <c r="Z524" s="59"/>
      <c r="AA524" s="61"/>
      <c r="AB524" s="61"/>
      <c r="AC524" s="61"/>
      <c r="AD524" s="62"/>
      <c r="AE524" s="62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x14ac:dyDescent="0.3">
      <c r="A525" s="39"/>
      <c r="B525" s="42"/>
      <c r="C525" s="42"/>
      <c r="D525" s="75"/>
      <c r="E525" s="75"/>
      <c r="F525" s="76"/>
      <c r="G525" s="47"/>
      <c r="H525" s="47"/>
      <c r="I525" s="75"/>
      <c r="J525" s="76"/>
      <c r="K525" s="76"/>
      <c r="L525" s="75"/>
      <c r="M525" s="49"/>
      <c r="N525" s="76"/>
      <c r="O525" s="49"/>
      <c r="P525" s="77"/>
      <c r="Q525" s="53"/>
      <c r="R525" s="54"/>
      <c r="S525" s="55"/>
      <c r="T525" s="56"/>
      <c r="U525" s="56"/>
      <c r="V525" s="42"/>
      <c r="W525" s="57"/>
      <c r="X525" s="58"/>
      <c r="Y525" s="75"/>
      <c r="Z525" s="59"/>
      <c r="AA525" s="61"/>
      <c r="AB525" s="61"/>
      <c r="AC525" s="61"/>
      <c r="AD525" s="62"/>
      <c r="AE525" s="62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x14ac:dyDescent="0.3">
      <c r="A526" s="39"/>
      <c r="B526" s="42"/>
      <c r="C526" s="42"/>
      <c r="D526" s="75"/>
      <c r="E526" s="75"/>
      <c r="F526" s="76"/>
      <c r="G526" s="47"/>
      <c r="H526" s="47"/>
      <c r="I526" s="75"/>
      <c r="J526" s="76"/>
      <c r="K526" s="76"/>
      <c r="L526" s="75"/>
      <c r="M526" s="49"/>
      <c r="N526" s="76"/>
      <c r="O526" s="49"/>
      <c r="P526" s="77"/>
      <c r="Q526" s="53"/>
      <c r="R526" s="54"/>
      <c r="S526" s="55"/>
      <c r="T526" s="56"/>
      <c r="U526" s="56"/>
      <c r="V526" s="42"/>
      <c r="W526" s="57"/>
      <c r="X526" s="58"/>
      <c r="Y526" s="75"/>
      <c r="Z526" s="59"/>
      <c r="AA526" s="61"/>
      <c r="AB526" s="61"/>
      <c r="AC526" s="61"/>
      <c r="AD526" s="62"/>
      <c r="AE526" s="62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x14ac:dyDescent="0.3">
      <c r="A527" s="39"/>
      <c r="B527" s="42"/>
      <c r="C527" s="42"/>
      <c r="D527" s="75"/>
      <c r="E527" s="75"/>
      <c r="F527" s="76"/>
      <c r="G527" s="47"/>
      <c r="H527" s="47"/>
      <c r="I527" s="75"/>
      <c r="J527" s="76"/>
      <c r="K527" s="76"/>
      <c r="L527" s="75"/>
      <c r="M527" s="49"/>
      <c r="N527" s="76"/>
      <c r="O527" s="49"/>
      <c r="P527" s="77"/>
      <c r="Q527" s="53"/>
      <c r="R527" s="54"/>
      <c r="S527" s="55"/>
      <c r="T527" s="56"/>
      <c r="U527" s="56"/>
      <c r="V527" s="42"/>
      <c r="W527" s="57"/>
      <c r="X527" s="58"/>
      <c r="Y527" s="75"/>
      <c r="Z527" s="59"/>
      <c r="AA527" s="61"/>
      <c r="AB527" s="61"/>
      <c r="AC527" s="61"/>
      <c r="AD527" s="62"/>
      <c r="AE527" s="62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x14ac:dyDescent="0.3">
      <c r="A528" s="39"/>
      <c r="B528" s="42"/>
      <c r="C528" s="42"/>
      <c r="D528" s="75"/>
      <c r="E528" s="75"/>
      <c r="F528" s="76"/>
      <c r="G528" s="47"/>
      <c r="H528" s="47"/>
      <c r="I528" s="75"/>
      <c r="J528" s="76"/>
      <c r="K528" s="76"/>
      <c r="L528" s="75"/>
      <c r="M528" s="49"/>
      <c r="N528" s="76"/>
      <c r="O528" s="49"/>
      <c r="P528" s="77"/>
      <c r="Q528" s="53"/>
      <c r="R528" s="54"/>
      <c r="S528" s="55"/>
      <c r="T528" s="56"/>
      <c r="U528" s="56"/>
      <c r="V528" s="42"/>
      <c r="W528" s="57"/>
      <c r="X528" s="58"/>
      <c r="Y528" s="75"/>
      <c r="Z528" s="59"/>
      <c r="AA528" s="61"/>
      <c r="AB528" s="61"/>
      <c r="AC528" s="61"/>
      <c r="AD528" s="62"/>
      <c r="AE528" s="62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x14ac:dyDescent="0.3">
      <c r="A529" s="39"/>
      <c r="B529" s="42"/>
      <c r="C529" s="42"/>
      <c r="D529" s="75"/>
      <c r="E529" s="75"/>
      <c r="F529" s="76"/>
      <c r="G529" s="47"/>
      <c r="H529" s="47"/>
      <c r="I529" s="75"/>
      <c r="J529" s="76"/>
      <c r="K529" s="76"/>
      <c r="L529" s="75"/>
      <c r="M529" s="49"/>
      <c r="N529" s="76"/>
      <c r="O529" s="49"/>
      <c r="P529" s="77"/>
      <c r="Q529" s="53"/>
      <c r="R529" s="54"/>
      <c r="S529" s="55"/>
      <c r="T529" s="56"/>
      <c r="U529" s="56"/>
      <c r="V529" s="42"/>
      <c r="W529" s="57"/>
      <c r="X529" s="58"/>
      <c r="Y529" s="75"/>
      <c r="Z529" s="59"/>
      <c r="AA529" s="61"/>
      <c r="AB529" s="61"/>
      <c r="AC529" s="61"/>
      <c r="AD529" s="62"/>
      <c r="AE529" s="62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x14ac:dyDescent="0.3">
      <c r="A530" s="39"/>
      <c r="B530" s="42"/>
      <c r="C530" s="42"/>
      <c r="D530" s="75"/>
      <c r="E530" s="75"/>
      <c r="F530" s="76"/>
      <c r="G530" s="47"/>
      <c r="H530" s="47"/>
      <c r="I530" s="75"/>
      <c r="J530" s="76"/>
      <c r="K530" s="76"/>
      <c r="L530" s="75"/>
      <c r="M530" s="49"/>
      <c r="N530" s="76"/>
      <c r="O530" s="49"/>
      <c r="P530" s="77"/>
      <c r="Q530" s="53"/>
      <c r="R530" s="54"/>
      <c r="S530" s="55"/>
      <c r="T530" s="56"/>
      <c r="U530" s="56"/>
      <c r="V530" s="42"/>
      <c r="W530" s="57"/>
      <c r="X530" s="58"/>
      <c r="Y530" s="75"/>
      <c r="Z530" s="59"/>
      <c r="AA530" s="61"/>
      <c r="AB530" s="61"/>
      <c r="AC530" s="61"/>
      <c r="AD530" s="62"/>
      <c r="AE530" s="62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x14ac:dyDescent="0.3">
      <c r="A531" s="39"/>
      <c r="B531" s="42"/>
      <c r="C531" s="42"/>
      <c r="D531" s="75"/>
      <c r="E531" s="75"/>
      <c r="F531" s="76"/>
      <c r="G531" s="47"/>
      <c r="H531" s="47"/>
      <c r="I531" s="75"/>
      <c r="J531" s="76"/>
      <c r="K531" s="76"/>
      <c r="L531" s="75"/>
      <c r="M531" s="49"/>
      <c r="N531" s="76"/>
      <c r="O531" s="49"/>
      <c r="P531" s="77"/>
      <c r="Q531" s="53"/>
      <c r="R531" s="54"/>
      <c r="S531" s="55"/>
      <c r="T531" s="56"/>
      <c r="U531" s="56"/>
      <c r="V531" s="42"/>
      <c r="W531" s="57"/>
      <c r="X531" s="58"/>
      <c r="Y531" s="75"/>
      <c r="Z531" s="59"/>
      <c r="AA531" s="61"/>
      <c r="AB531" s="61"/>
      <c r="AC531" s="61"/>
      <c r="AD531" s="62"/>
      <c r="AE531" s="62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x14ac:dyDescent="0.3">
      <c r="A532" s="39"/>
      <c r="B532" s="42"/>
      <c r="C532" s="42"/>
      <c r="D532" s="75"/>
      <c r="E532" s="75"/>
      <c r="F532" s="76"/>
      <c r="G532" s="47"/>
      <c r="H532" s="47"/>
      <c r="I532" s="75"/>
      <c r="J532" s="76"/>
      <c r="K532" s="76"/>
      <c r="L532" s="75"/>
      <c r="M532" s="49"/>
      <c r="N532" s="76"/>
      <c r="O532" s="49"/>
      <c r="P532" s="77"/>
      <c r="Q532" s="53"/>
      <c r="R532" s="54"/>
      <c r="S532" s="55"/>
      <c r="T532" s="56"/>
      <c r="U532" s="56"/>
      <c r="V532" s="42"/>
      <c r="W532" s="57"/>
      <c r="X532" s="58"/>
      <c r="Y532" s="75"/>
      <c r="Z532" s="59"/>
      <c r="AA532" s="61"/>
      <c r="AB532" s="61"/>
      <c r="AC532" s="61"/>
      <c r="AD532" s="62"/>
      <c r="AE532" s="62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x14ac:dyDescent="0.3">
      <c r="A533" s="39"/>
      <c r="B533" s="42"/>
      <c r="C533" s="42"/>
      <c r="D533" s="75"/>
      <c r="E533" s="75"/>
      <c r="F533" s="76"/>
      <c r="G533" s="47"/>
      <c r="H533" s="47"/>
      <c r="I533" s="75"/>
      <c r="J533" s="76"/>
      <c r="K533" s="76"/>
      <c r="L533" s="75"/>
      <c r="M533" s="49"/>
      <c r="N533" s="76"/>
      <c r="O533" s="49"/>
      <c r="P533" s="77"/>
      <c r="Q533" s="53"/>
      <c r="R533" s="54"/>
      <c r="S533" s="55"/>
      <c r="T533" s="56"/>
      <c r="U533" s="56"/>
      <c r="V533" s="42"/>
      <c r="W533" s="57"/>
      <c r="X533" s="58"/>
      <c r="Y533" s="75"/>
      <c r="Z533" s="59"/>
      <c r="AA533" s="61"/>
      <c r="AB533" s="61"/>
      <c r="AC533" s="61"/>
      <c r="AD533" s="62"/>
      <c r="AE533" s="62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x14ac:dyDescent="0.3">
      <c r="A534" s="39"/>
      <c r="B534" s="42"/>
      <c r="C534" s="42"/>
      <c r="D534" s="75"/>
      <c r="E534" s="75"/>
      <c r="F534" s="76"/>
      <c r="G534" s="47"/>
      <c r="H534" s="47"/>
      <c r="I534" s="75"/>
      <c r="J534" s="76"/>
      <c r="K534" s="76"/>
      <c r="L534" s="75"/>
      <c r="M534" s="49"/>
      <c r="N534" s="76"/>
      <c r="O534" s="49"/>
      <c r="P534" s="77"/>
      <c r="Q534" s="53"/>
      <c r="R534" s="54"/>
      <c r="S534" s="55"/>
      <c r="T534" s="56"/>
      <c r="U534" s="56"/>
      <c r="V534" s="42"/>
      <c r="W534" s="57"/>
      <c r="X534" s="58"/>
      <c r="Y534" s="75"/>
      <c r="Z534" s="59"/>
      <c r="AA534" s="61"/>
      <c r="AB534" s="61"/>
      <c r="AC534" s="61"/>
      <c r="AD534" s="62"/>
      <c r="AE534" s="62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x14ac:dyDescent="0.3">
      <c r="A535" s="39"/>
      <c r="B535" s="42"/>
      <c r="C535" s="42"/>
      <c r="D535" s="75"/>
      <c r="E535" s="75"/>
      <c r="F535" s="76"/>
      <c r="G535" s="47"/>
      <c r="H535" s="47"/>
      <c r="I535" s="75"/>
      <c r="J535" s="76"/>
      <c r="K535" s="76"/>
      <c r="L535" s="75"/>
      <c r="M535" s="49"/>
      <c r="N535" s="76"/>
      <c r="O535" s="49"/>
      <c r="P535" s="77"/>
      <c r="Q535" s="53"/>
      <c r="R535" s="54"/>
      <c r="S535" s="55"/>
      <c r="T535" s="56"/>
      <c r="U535" s="56"/>
      <c r="V535" s="42"/>
      <c r="W535" s="57"/>
      <c r="X535" s="58"/>
      <c r="Y535" s="75"/>
      <c r="Z535" s="59"/>
      <c r="AA535" s="61"/>
      <c r="AB535" s="61"/>
      <c r="AC535" s="61"/>
      <c r="AD535" s="62"/>
      <c r="AE535" s="62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x14ac:dyDescent="0.3">
      <c r="A536" s="39"/>
      <c r="B536" s="42"/>
      <c r="C536" s="42"/>
      <c r="D536" s="75"/>
      <c r="E536" s="75"/>
      <c r="F536" s="76"/>
      <c r="G536" s="47"/>
      <c r="H536" s="47"/>
      <c r="I536" s="75"/>
      <c r="J536" s="76"/>
      <c r="K536" s="76"/>
      <c r="L536" s="75"/>
      <c r="M536" s="49"/>
      <c r="N536" s="76"/>
      <c r="O536" s="49"/>
      <c r="P536" s="77"/>
      <c r="Q536" s="53"/>
      <c r="R536" s="54"/>
      <c r="S536" s="55"/>
      <c r="T536" s="56"/>
      <c r="U536" s="56"/>
      <c r="V536" s="42"/>
      <c r="W536" s="57"/>
      <c r="X536" s="58"/>
      <c r="Y536" s="75"/>
      <c r="Z536" s="59"/>
      <c r="AA536" s="61"/>
      <c r="AB536" s="61"/>
      <c r="AC536" s="61"/>
      <c r="AD536" s="62"/>
      <c r="AE536" s="62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x14ac:dyDescent="0.3">
      <c r="A537" s="39"/>
      <c r="B537" s="42"/>
      <c r="C537" s="42"/>
      <c r="D537" s="75"/>
      <c r="E537" s="75"/>
      <c r="F537" s="76"/>
      <c r="G537" s="47"/>
      <c r="H537" s="47"/>
      <c r="I537" s="75"/>
      <c r="J537" s="76"/>
      <c r="K537" s="76"/>
      <c r="L537" s="75"/>
      <c r="M537" s="49"/>
      <c r="N537" s="76"/>
      <c r="O537" s="49"/>
      <c r="P537" s="77"/>
      <c r="Q537" s="53"/>
      <c r="R537" s="54"/>
      <c r="S537" s="55"/>
      <c r="T537" s="56"/>
      <c r="U537" s="56"/>
      <c r="V537" s="42"/>
      <c r="W537" s="57"/>
      <c r="X537" s="58"/>
      <c r="Y537" s="75"/>
      <c r="Z537" s="59"/>
      <c r="AA537" s="61"/>
      <c r="AB537" s="61"/>
      <c r="AC537" s="61"/>
      <c r="AD537" s="62"/>
      <c r="AE537" s="62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x14ac:dyDescent="0.3">
      <c r="A538" s="39"/>
      <c r="B538" s="42"/>
      <c r="C538" s="42"/>
      <c r="D538" s="75"/>
      <c r="E538" s="75"/>
      <c r="F538" s="76"/>
      <c r="G538" s="47"/>
      <c r="H538" s="47"/>
      <c r="I538" s="75"/>
      <c r="J538" s="76"/>
      <c r="K538" s="76"/>
      <c r="L538" s="75"/>
      <c r="M538" s="49"/>
      <c r="N538" s="76"/>
      <c r="O538" s="49"/>
      <c r="P538" s="77"/>
      <c r="Q538" s="53"/>
      <c r="R538" s="54"/>
      <c r="S538" s="55"/>
      <c r="T538" s="56"/>
      <c r="U538" s="56"/>
      <c r="V538" s="42"/>
      <c r="W538" s="57"/>
      <c r="X538" s="58"/>
      <c r="Y538" s="75"/>
      <c r="Z538" s="59"/>
      <c r="AA538" s="61"/>
      <c r="AB538" s="61"/>
      <c r="AC538" s="61"/>
      <c r="AD538" s="62"/>
      <c r="AE538" s="62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x14ac:dyDescent="0.3">
      <c r="A539" s="39"/>
      <c r="B539" s="42"/>
      <c r="C539" s="42"/>
      <c r="D539" s="75"/>
      <c r="E539" s="75"/>
      <c r="F539" s="76"/>
      <c r="G539" s="47"/>
      <c r="H539" s="47"/>
      <c r="I539" s="75"/>
      <c r="J539" s="76"/>
      <c r="K539" s="76"/>
      <c r="L539" s="75"/>
      <c r="M539" s="49"/>
      <c r="N539" s="76"/>
      <c r="O539" s="49"/>
      <c r="P539" s="77"/>
      <c r="Q539" s="53"/>
      <c r="R539" s="54"/>
      <c r="S539" s="55"/>
      <c r="T539" s="56"/>
      <c r="U539" s="56"/>
      <c r="V539" s="42"/>
      <c r="W539" s="57"/>
      <c r="X539" s="58"/>
      <c r="Y539" s="75"/>
      <c r="Z539" s="59"/>
      <c r="AA539" s="61"/>
      <c r="AB539" s="61"/>
      <c r="AC539" s="61"/>
      <c r="AD539" s="62"/>
      <c r="AE539" s="62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x14ac:dyDescent="0.3">
      <c r="A540" s="39"/>
      <c r="B540" s="42"/>
      <c r="C540" s="42"/>
      <c r="D540" s="75"/>
      <c r="E540" s="75"/>
      <c r="F540" s="76"/>
      <c r="G540" s="47"/>
      <c r="H540" s="47"/>
      <c r="I540" s="75"/>
      <c r="J540" s="76"/>
      <c r="K540" s="76"/>
      <c r="L540" s="75"/>
      <c r="M540" s="49"/>
      <c r="N540" s="76"/>
      <c r="O540" s="49"/>
      <c r="P540" s="77"/>
      <c r="Q540" s="53"/>
      <c r="R540" s="54"/>
      <c r="S540" s="55"/>
      <c r="T540" s="56"/>
      <c r="U540" s="56"/>
      <c r="V540" s="42"/>
      <c r="W540" s="57"/>
      <c r="X540" s="58"/>
      <c r="Y540" s="75"/>
      <c r="Z540" s="59"/>
      <c r="AA540" s="61"/>
      <c r="AB540" s="61"/>
      <c r="AC540" s="61"/>
      <c r="AD540" s="62"/>
      <c r="AE540" s="62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x14ac:dyDescent="0.3">
      <c r="A541" s="39"/>
      <c r="B541" s="42"/>
      <c r="C541" s="42"/>
      <c r="D541" s="75"/>
      <c r="E541" s="75"/>
      <c r="F541" s="76"/>
      <c r="G541" s="47"/>
      <c r="H541" s="47"/>
      <c r="I541" s="75"/>
      <c r="J541" s="76"/>
      <c r="K541" s="76"/>
      <c r="L541" s="75"/>
      <c r="M541" s="49"/>
      <c r="N541" s="76"/>
      <c r="O541" s="49"/>
      <c r="P541" s="77"/>
      <c r="Q541" s="53"/>
      <c r="R541" s="54"/>
      <c r="S541" s="55"/>
      <c r="T541" s="56"/>
      <c r="U541" s="56"/>
      <c r="V541" s="42"/>
      <c r="W541" s="57"/>
      <c r="X541" s="58"/>
      <c r="Y541" s="75"/>
      <c r="Z541" s="59"/>
      <c r="AA541" s="61"/>
      <c r="AB541" s="61"/>
      <c r="AC541" s="61"/>
      <c r="AD541" s="62"/>
      <c r="AE541" s="62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x14ac:dyDescent="0.3">
      <c r="A542" s="39"/>
      <c r="B542" s="42"/>
      <c r="C542" s="42"/>
      <c r="D542" s="75"/>
      <c r="E542" s="75"/>
      <c r="F542" s="76"/>
      <c r="G542" s="47"/>
      <c r="H542" s="47"/>
      <c r="I542" s="75"/>
      <c r="J542" s="76"/>
      <c r="K542" s="76"/>
      <c r="L542" s="75"/>
      <c r="M542" s="49"/>
      <c r="N542" s="76"/>
      <c r="O542" s="49"/>
      <c r="P542" s="77"/>
      <c r="Q542" s="53"/>
      <c r="R542" s="54"/>
      <c r="S542" s="55"/>
      <c r="T542" s="56"/>
      <c r="U542" s="56"/>
      <c r="V542" s="42"/>
      <c r="W542" s="57"/>
      <c r="X542" s="58"/>
      <c r="Y542" s="75"/>
      <c r="Z542" s="59"/>
      <c r="AA542" s="61"/>
      <c r="AB542" s="61"/>
      <c r="AC542" s="61"/>
      <c r="AD542" s="62"/>
      <c r="AE542" s="62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x14ac:dyDescent="0.3">
      <c r="A543" s="39"/>
      <c r="B543" s="42"/>
      <c r="C543" s="42"/>
      <c r="D543" s="75"/>
      <c r="E543" s="75"/>
      <c r="F543" s="76"/>
      <c r="G543" s="47"/>
      <c r="H543" s="47"/>
      <c r="I543" s="75"/>
      <c r="J543" s="76"/>
      <c r="K543" s="76"/>
      <c r="L543" s="75"/>
      <c r="M543" s="49"/>
      <c r="N543" s="76"/>
      <c r="O543" s="49"/>
      <c r="P543" s="77"/>
      <c r="Q543" s="53"/>
      <c r="R543" s="54"/>
      <c r="S543" s="55"/>
      <c r="T543" s="56"/>
      <c r="U543" s="56"/>
      <c r="V543" s="42"/>
      <c r="W543" s="57"/>
      <c r="X543" s="58"/>
      <c r="Y543" s="75"/>
      <c r="Z543" s="59"/>
      <c r="AA543" s="61"/>
      <c r="AB543" s="61"/>
      <c r="AC543" s="61"/>
      <c r="AD543" s="62"/>
      <c r="AE543" s="62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x14ac:dyDescent="0.3">
      <c r="A544" s="39"/>
      <c r="B544" s="42"/>
      <c r="C544" s="42"/>
      <c r="D544" s="75"/>
      <c r="E544" s="75"/>
      <c r="F544" s="76"/>
      <c r="G544" s="47"/>
      <c r="H544" s="47"/>
      <c r="I544" s="75"/>
      <c r="J544" s="76"/>
      <c r="K544" s="76"/>
      <c r="L544" s="75"/>
      <c r="M544" s="49"/>
      <c r="N544" s="76"/>
      <c r="O544" s="49"/>
      <c r="P544" s="77"/>
      <c r="Q544" s="53"/>
      <c r="R544" s="54"/>
      <c r="S544" s="55"/>
      <c r="T544" s="56"/>
      <c r="U544" s="56"/>
      <c r="V544" s="42"/>
      <c r="W544" s="57"/>
      <c r="X544" s="58"/>
      <c r="Y544" s="75"/>
      <c r="Z544" s="59"/>
      <c r="AA544" s="61"/>
      <c r="AB544" s="61"/>
      <c r="AC544" s="61"/>
      <c r="AD544" s="62"/>
      <c r="AE544" s="62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x14ac:dyDescent="0.3">
      <c r="A545" s="39"/>
      <c r="B545" s="42"/>
      <c r="C545" s="42"/>
      <c r="D545" s="75"/>
      <c r="E545" s="75"/>
      <c r="F545" s="76"/>
      <c r="G545" s="47"/>
      <c r="H545" s="47"/>
      <c r="I545" s="75"/>
      <c r="J545" s="76"/>
      <c r="K545" s="76"/>
      <c r="L545" s="75"/>
      <c r="M545" s="49"/>
      <c r="N545" s="76"/>
      <c r="O545" s="49"/>
      <c r="P545" s="77"/>
      <c r="Q545" s="53"/>
      <c r="R545" s="54"/>
      <c r="S545" s="55"/>
      <c r="T545" s="56"/>
      <c r="U545" s="56"/>
      <c r="V545" s="42"/>
      <c r="W545" s="57"/>
      <c r="X545" s="58"/>
      <c r="Y545" s="75"/>
      <c r="Z545" s="59"/>
      <c r="AA545" s="61"/>
      <c r="AB545" s="61"/>
      <c r="AC545" s="61"/>
      <c r="AD545" s="62"/>
      <c r="AE545" s="62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x14ac:dyDescent="0.3">
      <c r="A546" s="39"/>
      <c r="B546" s="42"/>
      <c r="C546" s="42"/>
      <c r="D546" s="75"/>
      <c r="E546" s="75"/>
      <c r="F546" s="76"/>
      <c r="G546" s="47"/>
      <c r="H546" s="47"/>
      <c r="I546" s="75"/>
      <c r="J546" s="76"/>
      <c r="K546" s="76"/>
      <c r="L546" s="75"/>
      <c r="M546" s="49"/>
      <c r="N546" s="76"/>
      <c r="O546" s="49"/>
      <c r="P546" s="77"/>
      <c r="Q546" s="53"/>
      <c r="R546" s="54"/>
      <c r="S546" s="55"/>
      <c r="T546" s="56"/>
      <c r="U546" s="56"/>
      <c r="V546" s="42"/>
      <c r="W546" s="57"/>
      <c r="X546" s="58"/>
      <c r="Y546" s="75"/>
      <c r="Z546" s="59"/>
      <c r="AA546" s="61"/>
      <c r="AB546" s="61"/>
      <c r="AC546" s="61"/>
      <c r="AD546" s="62"/>
      <c r="AE546" s="62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x14ac:dyDescent="0.3">
      <c r="A547" s="39"/>
      <c r="B547" s="42"/>
      <c r="C547" s="42"/>
      <c r="D547" s="75"/>
      <c r="E547" s="75"/>
      <c r="F547" s="76"/>
      <c r="G547" s="47"/>
      <c r="H547" s="47"/>
      <c r="I547" s="75"/>
      <c r="J547" s="76"/>
      <c r="K547" s="76"/>
      <c r="L547" s="75"/>
      <c r="M547" s="49"/>
      <c r="N547" s="76"/>
      <c r="O547" s="49"/>
      <c r="P547" s="77"/>
      <c r="Q547" s="53"/>
      <c r="R547" s="54"/>
      <c r="S547" s="55"/>
      <c r="T547" s="56"/>
      <c r="U547" s="56"/>
      <c r="V547" s="42"/>
      <c r="W547" s="57"/>
      <c r="X547" s="58"/>
      <c r="Y547" s="75"/>
      <c r="Z547" s="59"/>
      <c r="AA547" s="61"/>
      <c r="AB547" s="61"/>
      <c r="AC547" s="61"/>
      <c r="AD547" s="62"/>
      <c r="AE547" s="62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x14ac:dyDescent="0.3">
      <c r="A548" s="39"/>
      <c r="B548" s="42"/>
      <c r="C548" s="42"/>
      <c r="D548" s="75"/>
      <c r="E548" s="75"/>
      <c r="F548" s="76"/>
      <c r="G548" s="47"/>
      <c r="H548" s="47"/>
      <c r="I548" s="75"/>
      <c r="J548" s="76"/>
      <c r="K548" s="76"/>
      <c r="L548" s="75"/>
      <c r="M548" s="49"/>
      <c r="N548" s="76"/>
      <c r="O548" s="49"/>
      <c r="P548" s="77"/>
      <c r="Q548" s="53"/>
      <c r="R548" s="54"/>
      <c r="S548" s="55"/>
      <c r="T548" s="56"/>
      <c r="U548" s="56"/>
      <c r="V548" s="42"/>
      <c r="W548" s="57"/>
      <c r="X548" s="58"/>
      <c r="Y548" s="75"/>
      <c r="Z548" s="59"/>
      <c r="AA548" s="61"/>
      <c r="AB548" s="61"/>
      <c r="AC548" s="61"/>
      <c r="AD548" s="62"/>
      <c r="AE548" s="62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x14ac:dyDescent="0.3">
      <c r="A549" s="39"/>
      <c r="B549" s="42"/>
      <c r="C549" s="42"/>
      <c r="D549" s="75"/>
      <c r="E549" s="75"/>
      <c r="F549" s="76"/>
      <c r="G549" s="47"/>
      <c r="H549" s="47"/>
      <c r="I549" s="75"/>
      <c r="J549" s="76"/>
      <c r="K549" s="76"/>
      <c r="L549" s="75"/>
      <c r="M549" s="49"/>
      <c r="N549" s="76"/>
      <c r="O549" s="49"/>
      <c r="P549" s="77"/>
      <c r="Q549" s="53"/>
      <c r="R549" s="54"/>
      <c r="S549" s="55"/>
      <c r="T549" s="56"/>
      <c r="U549" s="56"/>
      <c r="V549" s="42"/>
      <c r="W549" s="57"/>
      <c r="X549" s="58"/>
      <c r="Y549" s="75"/>
      <c r="Z549" s="59"/>
      <c r="AA549" s="61"/>
      <c r="AB549" s="61"/>
      <c r="AC549" s="61"/>
      <c r="AD549" s="62"/>
      <c r="AE549" s="62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x14ac:dyDescent="0.3">
      <c r="A550" s="39"/>
      <c r="B550" s="42"/>
      <c r="C550" s="42"/>
      <c r="D550" s="75"/>
      <c r="E550" s="75"/>
      <c r="F550" s="76"/>
      <c r="G550" s="47"/>
      <c r="H550" s="47"/>
      <c r="I550" s="75"/>
      <c r="J550" s="76"/>
      <c r="K550" s="76"/>
      <c r="L550" s="75"/>
      <c r="M550" s="49"/>
      <c r="N550" s="76"/>
      <c r="O550" s="49"/>
      <c r="P550" s="77"/>
      <c r="Q550" s="53"/>
      <c r="R550" s="54"/>
      <c r="S550" s="55"/>
      <c r="T550" s="56"/>
      <c r="U550" s="56"/>
      <c r="V550" s="42"/>
      <c r="W550" s="57"/>
      <c r="X550" s="58"/>
      <c r="Y550" s="75"/>
      <c r="Z550" s="59"/>
      <c r="AA550" s="61"/>
      <c r="AB550" s="61"/>
      <c r="AC550" s="61"/>
      <c r="AD550" s="62"/>
      <c r="AE550" s="62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x14ac:dyDescent="0.3">
      <c r="A551" s="39"/>
      <c r="B551" s="42"/>
      <c r="C551" s="42"/>
      <c r="D551" s="75"/>
      <c r="E551" s="75"/>
      <c r="F551" s="76"/>
      <c r="G551" s="47"/>
      <c r="H551" s="47"/>
      <c r="I551" s="75"/>
      <c r="J551" s="76"/>
      <c r="K551" s="76"/>
      <c r="L551" s="75"/>
      <c r="M551" s="49"/>
      <c r="N551" s="76"/>
      <c r="O551" s="49"/>
      <c r="P551" s="77"/>
      <c r="Q551" s="53"/>
      <c r="R551" s="54"/>
      <c r="S551" s="55"/>
      <c r="T551" s="56"/>
      <c r="U551" s="56"/>
      <c r="V551" s="42"/>
      <c r="W551" s="57"/>
      <c r="X551" s="58"/>
      <c r="Y551" s="75"/>
      <c r="Z551" s="59"/>
      <c r="AA551" s="61"/>
      <c r="AB551" s="61"/>
      <c r="AC551" s="61"/>
      <c r="AD551" s="62"/>
      <c r="AE551" s="62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x14ac:dyDescent="0.3">
      <c r="A552" s="39"/>
      <c r="B552" s="42"/>
      <c r="C552" s="42"/>
      <c r="D552" s="75"/>
      <c r="E552" s="75"/>
      <c r="F552" s="76"/>
      <c r="G552" s="47"/>
      <c r="H552" s="47"/>
      <c r="I552" s="75"/>
      <c r="J552" s="76"/>
      <c r="K552" s="76"/>
      <c r="L552" s="75"/>
      <c r="M552" s="49"/>
      <c r="N552" s="76"/>
      <c r="O552" s="49"/>
      <c r="P552" s="77"/>
      <c r="Q552" s="53"/>
      <c r="R552" s="54"/>
      <c r="S552" s="55"/>
      <c r="T552" s="56"/>
      <c r="U552" s="56"/>
      <c r="V552" s="42"/>
      <c r="W552" s="57"/>
      <c r="X552" s="58"/>
      <c r="Y552" s="75"/>
      <c r="Z552" s="59"/>
      <c r="AA552" s="61"/>
      <c r="AB552" s="61"/>
      <c r="AC552" s="61"/>
      <c r="AD552" s="62"/>
      <c r="AE552" s="62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x14ac:dyDescent="0.3">
      <c r="A553" s="39"/>
      <c r="B553" s="42"/>
      <c r="C553" s="42"/>
      <c r="D553" s="75"/>
      <c r="E553" s="75"/>
      <c r="F553" s="76"/>
      <c r="G553" s="47"/>
      <c r="H553" s="47"/>
      <c r="I553" s="75"/>
      <c r="J553" s="76"/>
      <c r="K553" s="76"/>
      <c r="L553" s="75"/>
      <c r="M553" s="49"/>
      <c r="N553" s="76"/>
      <c r="O553" s="49"/>
      <c r="P553" s="77"/>
      <c r="Q553" s="53"/>
      <c r="R553" s="54"/>
      <c r="S553" s="55"/>
      <c r="T553" s="56"/>
      <c r="U553" s="56"/>
      <c r="V553" s="42"/>
      <c r="W553" s="57"/>
      <c r="X553" s="58"/>
      <c r="Y553" s="75"/>
      <c r="Z553" s="59"/>
      <c r="AA553" s="61"/>
      <c r="AB553" s="61"/>
      <c r="AC553" s="61"/>
      <c r="AD553" s="62"/>
      <c r="AE553" s="62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x14ac:dyDescent="0.3">
      <c r="A554" s="39"/>
      <c r="B554" s="42"/>
      <c r="C554" s="42"/>
      <c r="D554" s="75"/>
      <c r="E554" s="75"/>
      <c r="F554" s="76"/>
      <c r="G554" s="47"/>
      <c r="H554" s="47"/>
      <c r="I554" s="75"/>
      <c r="J554" s="76"/>
      <c r="K554" s="76"/>
      <c r="L554" s="75"/>
      <c r="M554" s="49"/>
      <c r="N554" s="76"/>
      <c r="O554" s="49"/>
      <c r="P554" s="77"/>
      <c r="Q554" s="53"/>
      <c r="R554" s="54"/>
      <c r="S554" s="55"/>
      <c r="T554" s="56"/>
      <c r="U554" s="56"/>
      <c r="V554" s="42"/>
      <c r="W554" s="57"/>
      <c r="X554" s="58"/>
      <c r="Y554" s="75"/>
      <c r="Z554" s="59"/>
      <c r="AA554" s="61"/>
      <c r="AB554" s="61"/>
      <c r="AC554" s="61"/>
      <c r="AD554" s="62"/>
      <c r="AE554" s="62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x14ac:dyDescent="0.3">
      <c r="A555" s="39"/>
      <c r="B555" s="42"/>
      <c r="C555" s="42"/>
      <c r="D555" s="75"/>
      <c r="E555" s="75"/>
      <c r="F555" s="76"/>
      <c r="G555" s="47"/>
      <c r="H555" s="47"/>
      <c r="I555" s="75"/>
      <c r="J555" s="76"/>
      <c r="K555" s="76"/>
      <c r="L555" s="75"/>
      <c r="M555" s="49"/>
      <c r="N555" s="76"/>
      <c r="O555" s="49"/>
      <c r="P555" s="77"/>
      <c r="Q555" s="53"/>
      <c r="R555" s="54"/>
      <c r="S555" s="55"/>
      <c r="T555" s="56"/>
      <c r="U555" s="56"/>
      <c r="V555" s="42"/>
      <c r="W555" s="57"/>
      <c r="X555" s="58"/>
      <c r="Y555" s="75"/>
      <c r="Z555" s="59"/>
      <c r="AA555" s="61"/>
      <c r="AB555" s="61"/>
      <c r="AC555" s="61"/>
      <c r="AD555" s="62"/>
      <c r="AE555" s="62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x14ac:dyDescent="0.3">
      <c r="A556" s="39"/>
      <c r="B556" s="42"/>
      <c r="C556" s="42"/>
      <c r="D556" s="75"/>
      <c r="E556" s="75"/>
      <c r="F556" s="76"/>
      <c r="G556" s="47"/>
      <c r="H556" s="47"/>
      <c r="I556" s="75"/>
      <c r="J556" s="76"/>
      <c r="K556" s="76"/>
      <c r="L556" s="75"/>
      <c r="M556" s="49"/>
      <c r="N556" s="76"/>
      <c r="O556" s="49"/>
      <c r="P556" s="77"/>
      <c r="Q556" s="53"/>
      <c r="R556" s="54"/>
      <c r="S556" s="55"/>
      <c r="T556" s="56"/>
      <c r="U556" s="56"/>
      <c r="V556" s="42"/>
      <c r="W556" s="57"/>
      <c r="X556" s="58"/>
      <c r="Y556" s="75"/>
      <c r="Z556" s="59"/>
      <c r="AA556" s="61"/>
      <c r="AB556" s="61"/>
      <c r="AC556" s="61"/>
      <c r="AD556" s="62"/>
      <c r="AE556" s="62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x14ac:dyDescent="0.3">
      <c r="A557" s="39"/>
      <c r="B557" s="42"/>
      <c r="C557" s="42"/>
      <c r="D557" s="75"/>
      <c r="E557" s="75"/>
      <c r="F557" s="76"/>
      <c r="G557" s="47"/>
      <c r="H557" s="47"/>
      <c r="I557" s="75"/>
      <c r="J557" s="76"/>
      <c r="K557" s="76"/>
      <c r="L557" s="75"/>
      <c r="M557" s="49"/>
      <c r="N557" s="76"/>
      <c r="O557" s="49"/>
      <c r="P557" s="77"/>
      <c r="Q557" s="53"/>
      <c r="R557" s="54"/>
      <c r="S557" s="55"/>
      <c r="T557" s="56"/>
      <c r="U557" s="56"/>
      <c r="V557" s="42"/>
      <c r="W557" s="57"/>
      <c r="X557" s="58"/>
      <c r="Y557" s="75"/>
      <c r="Z557" s="59"/>
      <c r="AA557" s="61"/>
      <c r="AB557" s="61"/>
      <c r="AC557" s="61"/>
      <c r="AD557" s="62"/>
      <c r="AE557" s="62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x14ac:dyDescent="0.3">
      <c r="A558" s="39"/>
      <c r="B558" s="42"/>
      <c r="C558" s="42"/>
      <c r="D558" s="75"/>
      <c r="E558" s="75"/>
      <c r="F558" s="76"/>
      <c r="G558" s="47"/>
      <c r="H558" s="47"/>
      <c r="I558" s="75"/>
      <c r="J558" s="76"/>
      <c r="K558" s="76"/>
      <c r="L558" s="75"/>
      <c r="M558" s="49"/>
      <c r="N558" s="76"/>
      <c r="O558" s="49"/>
      <c r="P558" s="77"/>
      <c r="Q558" s="53"/>
      <c r="R558" s="54"/>
      <c r="S558" s="55"/>
      <c r="T558" s="56"/>
      <c r="U558" s="56"/>
      <c r="V558" s="42"/>
      <c r="W558" s="57"/>
      <c r="X558" s="58"/>
      <c r="Y558" s="75"/>
      <c r="Z558" s="59"/>
      <c r="AA558" s="61"/>
      <c r="AB558" s="61"/>
      <c r="AC558" s="61"/>
      <c r="AD558" s="62"/>
      <c r="AE558" s="62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x14ac:dyDescent="0.3">
      <c r="A559" s="39"/>
      <c r="B559" s="42"/>
      <c r="C559" s="42"/>
      <c r="D559" s="75"/>
      <c r="E559" s="75"/>
      <c r="F559" s="76"/>
      <c r="G559" s="47"/>
      <c r="H559" s="47"/>
      <c r="I559" s="75"/>
      <c r="J559" s="76"/>
      <c r="K559" s="76"/>
      <c r="L559" s="75"/>
      <c r="M559" s="49"/>
      <c r="N559" s="76"/>
      <c r="O559" s="49"/>
      <c r="P559" s="77"/>
      <c r="Q559" s="53"/>
      <c r="R559" s="54"/>
      <c r="S559" s="55"/>
      <c r="T559" s="56"/>
      <c r="U559" s="56"/>
      <c r="V559" s="42"/>
      <c r="W559" s="57"/>
      <c r="X559" s="58"/>
      <c r="Y559" s="75"/>
      <c r="Z559" s="59"/>
      <c r="AA559" s="61"/>
      <c r="AB559" s="61"/>
      <c r="AC559" s="61"/>
      <c r="AD559" s="62"/>
      <c r="AE559" s="62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x14ac:dyDescent="0.3">
      <c r="A560" s="39"/>
      <c r="B560" s="42"/>
      <c r="C560" s="42"/>
      <c r="D560" s="75"/>
      <c r="E560" s="75"/>
      <c r="F560" s="76"/>
      <c r="G560" s="47"/>
      <c r="H560" s="47"/>
      <c r="I560" s="75"/>
      <c r="J560" s="76"/>
      <c r="K560" s="76"/>
      <c r="L560" s="75"/>
      <c r="M560" s="49"/>
      <c r="N560" s="76"/>
      <c r="O560" s="49"/>
      <c r="P560" s="77"/>
      <c r="Q560" s="53"/>
      <c r="R560" s="54"/>
      <c r="S560" s="55"/>
      <c r="T560" s="56"/>
      <c r="U560" s="56"/>
      <c r="V560" s="42"/>
      <c r="W560" s="57"/>
      <c r="X560" s="58"/>
      <c r="Y560" s="75"/>
      <c r="Z560" s="59"/>
      <c r="AA560" s="61"/>
      <c r="AB560" s="61"/>
      <c r="AC560" s="61"/>
      <c r="AD560" s="62"/>
      <c r="AE560" s="62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x14ac:dyDescent="0.3">
      <c r="A561" s="39"/>
      <c r="B561" s="42"/>
      <c r="C561" s="42"/>
      <c r="D561" s="75"/>
      <c r="E561" s="75"/>
      <c r="F561" s="76"/>
      <c r="G561" s="47"/>
      <c r="H561" s="47"/>
      <c r="I561" s="75"/>
      <c r="J561" s="76"/>
      <c r="K561" s="76"/>
      <c r="L561" s="75"/>
      <c r="M561" s="49"/>
      <c r="N561" s="76"/>
      <c r="O561" s="49"/>
      <c r="P561" s="77"/>
      <c r="Q561" s="53"/>
      <c r="R561" s="54"/>
      <c r="S561" s="55"/>
      <c r="T561" s="56"/>
      <c r="U561" s="56"/>
      <c r="V561" s="42"/>
      <c r="W561" s="57"/>
      <c r="X561" s="58"/>
      <c r="Y561" s="75"/>
      <c r="Z561" s="59"/>
      <c r="AA561" s="61"/>
      <c r="AB561" s="61"/>
      <c r="AC561" s="61"/>
      <c r="AD561" s="62"/>
      <c r="AE561" s="62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x14ac:dyDescent="0.3">
      <c r="A562" s="39"/>
      <c r="B562" s="42"/>
      <c r="C562" s="42"/>
      <c r="D562" s="75"/>
      <c r="E562" s="75"/>
      <c r="F562" s="76"/>
      <c r="G562" s="47"/>
      <c r="H562" s="47"/>
      <c r="I562" s="75"/>
      <c r="J562" s="76"/>
      <c r="K562" s="76"/>
      <c r="L562" s="75"/>
      <c r="M562" s="49"/>
      <c r="N562" s="76"/>
      <c r="O562" s="49"/>
      <c r="P562" s="77"/>
      <c r="Q562" s="53"/>
      <c r="R562" s="54"/>
      <c r="S562" s="55"/>
      <c r="T562" s="56"/>
      <c r="U562" s="56"/>
      <c r="V562" s="42"/>
      <c r="W562" s="57"/>
      <c r="X562" s="58"/>
      <c r="Y562" s="75"/>
      <c r="Z562" s="59"/>
      <c r="AA562" s="61"/>
      <c r="AB562" s="61"/>
      <c r="AC562" s="61"/>
      <c r="AD562" s="62"/>
      <c r="AE562" s="62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x14ac:dyDescent="0.3">
      <c r="A563" s="39"/>
      <c r="B563" s="42"/>
      <c r="C563" s="42"/>
      <c r="D563" s="75"/>
      <c r="E563" s="75"/>
      <c r="F563" s="76"/>
      <c r="G563" s="47"/>
      <c r="H563" s="47"/>
      <c r="I563" s="75"/>
      <c r="J563" s="76"/>
      <c r="K563" s="76"/>
      <c r="L563" s="75"/>
      <c r="M563" s="49"/>
      <c r="N563" s="76"/>
      <c r="O563" s="49"/>
      <c r="P563" s="77"/>
      <c r="Q563" s="53"/>
      <c r="R563" s="54"/>
      <c r="S563" s="55"/>
      <c r="T563" s="56"/>
      <c r="U563" s="56"/>
      <c r="V563" s="42"/>
      <c r="W563" s="57"/>
      <c r="X563" s="58"/>
      <c r="Y563" s="75"/>
      <c r="Z563" s="59"/>
      <c r="AA563" s="61"/>
      <c r="AB563" s="61"/>
      <c r="AC563" s="61"/>
      <c r="AD563" s="62"/>
      <c r="AE563" s="62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x14ac:dyDescent="0.3">
      <c r="A564" s="39"/>
      <c r="B564" s="42"/>
      <c r="C564" s="42"/>
      <c r="D564" s="75"/>
      <c r="E564" s="75"/>
      <c r="F564" s="76"/>
      <c r="G564" s="47"/>
      <c r="H564" s="47"/>
      <c r="I564" s="75"/>
      <c r="J564" s="76"/>
      <c r="K564" s="76"/>
      <c r="L564" s="75"/>
      <c r="M564" s="49"/>
      <c r="N564" s="76"/>
      <c r="O564" s="49"/>
      <c r="P564" s="77"/>
      <c r="Q564" s="53"/>
      <c r="R564" s="54"/>
      <c r="S564" s="55"/>
      <c r="T564" s="56"/>
      <c r="U564" s="56"/>
      <c r="V564" s="42"/>
      <c r="W564" s="57"/>
      <c r="X564" s="58"/>
      <c r="Y564" s="75"/>
      <c r="Z564" s="59"/>
      <c r="AA564" s="61"/>
      <c r="AB564" s="61"/>
      <c r="AC564" s="61"/>
      <c r="AD564" s="62"/>
      <c r="AE564" s="62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x14ac:dyDescent="0.3">
      <c r="A565" s="39"/>
      <c r="B565" s="42"/>
      <c r="C565" s="42"/>
      <c r="D565" s="75"/>
      <c r="E565" s="75"/>
      <c r="F565" s="76"/>
      <c r="G565" s="47"/>
      <c r="H565" s="47"/>
      <c r="I565" s="75"/>
      <c r="J565" s="76"/>
      <c r="K565" s="76"/>
      <c r="L565" s="75"/>
      <c r="M565" s="49"/>
      <c r="N565" s="76"/>
      <c r="O565" s="49"/>
      <c r="P565" s="77"/>
      <c r="Q565" s="53"/>
      <c r="R565" s="54"/>
      <c r="S565" s="55"/>
      <c r="T565" s="56"/>
      <c r="U565" s="56"/>
      <c r="V565" s="42"/>
      <c r="W565" s="57"/>
      <c r="X565" s="58"/>
      <c r="Y565" s="75"/>
      <c r="Z565" s="59"/>
      <c r="AA565" s="61"/>
      <c r="AB565" s="61"/>
      <c r="AC565" s="61"/>
      <c r="AD565" s="62"/>
      <c r="AE565" s="62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x14ac:dyDescent="0.3">
      <c r="A566" s="39"/>
      <c r="B566" s="42"/>
      <c r="C566" s="42"/>
      <c r="D566" s="75"/>
      <c r="E566" s="75"/>
      <c r="F566" s="76"/>
      <c r="G566" s="47"/>
      <c r="H566" s="47"/>
      <c r="I566" s="75"/>
      <c r="J566" s="76"/>
      <c r="K566" s="76"/>
      <c r="L566" s="75"/>
      <c r="M566" s="49"/>
      <c r="N566" s="76"/>
      <c r="O566" s="49"/>
      <c r="P566" s="77"/>
      <c r="Q566" s="53"/>
      <c r="R566" s="54"/>
      <c r="S566" s="55"/>
      <c r="T566" s="56"/>
      <c r="U566" s="56"/>
      <c r="V566" s="42"/>
      <c r="W566" s="57"/>
      <c r="X566" s="58"/>
      <c r="Y566" s="75"/>
      <c r="Z566" s="59"/>
      <c r="AA566" s="61"/>
      <c r="AB566" s="61"/>
      <c r="AC566" s="61"/>
      <c r="AD566" s="62"/>
      <c r="AE566" s="62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x14ac:dyDescent="0.3">
      <c r="A567" s="39"/>
      <c r="B567" s="42"/>
      <c r="C567" s="42"/>
      <c r="D567" s="75"/>
      <c r="E567" s="75"/>
      <c r="F567" s="76"/>
      <c r="G567" s="47"/>
      <c r="H567" s="47"/>
      <c r="I567" s="75"/>
      <c r="J567" s="76"/>
      <c r="K567" s="76"/>
      <c r="L567" s="75"/>
      <c r="M567" s="49"/>
      <c r="N567" s="76"/>
      <c r="O567" s="49"/>
      <c r="P567" s="77"/>
      <c r="Q567" s="53"/>
      <c r="R567" s="54"/>
      <c r="S567" s="55"/>
      <c r="T567" s="56"/>
      <c r="U567" s="56"/>
      <c r="V567" s="42"/>
      <c r="W567" s="57"/>
      <c r="X567" s="58"/>
      <c r="Y567" s="75"/>
      <c r="Z567" s="59"/>
      <c r="AA567" s="61"/>
      <c r="AB567" s="61"/>
      <c r="AC567" s="61"/>
      <c r="AD567" s="62"/>
      <c r="AE567" s="62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x14ac:dyDescent="0.3">
      <c r="A568" s="39"/>
      <c r="B568" s="42"/>
      <c r="C568" s="42"/>
      <c r="D568" s="75"/>
      <c r="E568" s="75"/>
      <c r="F568" s="76"/>
      <c r="G568" s="47"/>
      <c r="H568" s="47"/>
      <c r="I568" s="75"/>
      <c r="J568" s="76"/>
      <c r="K568" s="76"/>
      <c r="L568" s="75"/>
      <c r="M568" s="49"/>
      <c r="N568" s="76"/>
      <c r="O568" s="49"/>
      <c r="P568" s="77"/>
      <c r="Q568" s="53"/>
      <c r="R568" s="54"/>
      <c r="S568" s="55"/>
      <c r="T568" s="56"/>
      <c r="U568" s="56"/>
      <c r="V568" s="42"/>
      <c r="W568" s="57"/>
      <c r="X568" s="58"/>
      <c r="Y568" s="75"/>
      <c r="Z568" s="59"/>
      <c r="AA568" s="61"/>
      <c r="AB568" s="61"/>
      <c r="AC568" s="61"/>
      <c r="AD568" s="62"/>
      <c r="AE568" s="62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x14ac:dyDescent="0.3">
      <c r="A569" s="39"/>
      <c r="B569" s="42"/>
      <c r="C569" s="42"/>
      <c r="D569" s="75"/>
      <c r="E569" s="75"/>
      <c r="F569" s="76"/>
      <c r="G569" s="47"/>
      <c r="H569" s="47"/>
      <c r="I569" s="75"/>
      <c r="J569" s="76"/>
      <c r="K569" s="76"/>
      <c r="L569" s="75"/>
      <c r="M569" s="49"/>
      <c r="N569" s="76"/>
      <c r="O569" s="49"/>
      <c r="P569" s="77"/>
      <c r="Q569" s="53"/>
      <c r="R569" s="54"/>
      <c r="S569" s="55"/>
      <c r="T569" s="56"/>
      <c r="U569" s="56"/>
      <c r="V569" s="42"/>
      <c r="W569" s="57"/>
      <c r="X569" s="58"/>
      <c r="Y569" s="75"/>
      <c r="Z569" s="59"/>
      <c r="AA569" s="61"/>
      <c r="AB569" s="61"/>
      <c r="AC569" s="61"/>
      <c r="AD569" s="62"/>
      <c r="AE569" s="62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x14ac:dyDescent="0.3">
      <c r="A570" s="39"/>
      <c r="B570" s="42"/>
      <c r="C570" s="42"/>
      <c r="D570" s="75"/>
      <c r="E570" s="75"/>
      <c r="F570" s="76"/>
      <c r="G570" s="47"/>
      <c r="H570" s="47"/>
      <c r="I570" s="75"/>
      <c r="J570" s="76"/>
      <c r="K570" s="76"/>
      <c r="L570" s="75"/>
      <c r="M570" s="49"/>
      <c r="N570" s="76"/>
      <c r="O570" s="49"/>
      <c r="P570" s="77"/>
      <c r="Q570" s="53"/>
      <c r="R570" s="54"/>
      <c r="S570" s="55"/>
      <c r="T570" s="56"/>
      <c r="U570" s="56"/>
      <c r="V570" s="42"/>
      <c r="W570" s="57"/>
      <c r="X570" s="58"/>
      <c r="Y570" s="75"/>
      <c r="Z570" s="59"/>
      <c r="AA570" s="61"/>
      <c r="AB570" s="61"/>
      <c r="AC570" s="61"/>
      <c r="AD570" s="62"/>
      <c r="AE570" s="62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x14ac:dyDescent="0.3">
      <c r="A571" s="39"/>
      <c r="B571" s="42"/>
      <c r="C571" s="42"/>
      <c r="D571" s="75"/>
      <c r="E571" s="75"/>
      <c r="F571" s="76"/>
      <c r="G571" s="47"/>
      <c r="H571" s="47"/>
      <c r="I571" s="75"/>
      <c r="J571" s="76"/>
      <c r="K571" s="76"/>
      <c r="L571" s="75"/>
      <c r="M571" s="49"/>
      <c r="N571" s="76"/>
      <c r="O571" s="49"/>
      <c r="P571" s="77"/>
      <c r="Q571" s="53"/>
      <c r="R571" s="54"/>
      <c r="S571" s="55"/>
      <c r="T571" s="56"/>
      <c r="U571" s="56"/>
      <c r="V571" s="42"/>
      <c r="W571" s="57"/>
      <c r="X571" s="58"/>
      <c r="Y571" s="75"/>
      <c r="Z571" s="59"/>
      <c r="AA571" s="61"/>
      <c r="AB571" s="61"/>
      <c r="AC571" s="61"/>
      <c r="AD571" s="62"/>
      <c r="AE571" s="62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x14ac:dyDescent="0.3">
      <c r="A572" s="39"/>
      <c r="B572" s="42"/>
      <c r="C572" s="42"/>
      <c r="D572" s="75"/>
      <c r="E572" s="75"/>
      <c r="F572" s="76"/>
      <c r="G572" s="47"/>
      <c r="H572" s="47"/>
      <c r="I572" s="75"/>
      <c r="J572" s="76"/>
      <c r="K572" s="76"/>
      <c r="L572" s="75"/>
      <c r="M572" s="49"/>
      <c r="N572" s="76"/>
      <c r="O572" s="49"/>
      <c r="P572" s="77"/>
      <c r="Q572" s="53"/>
      <c r="R572" s="54"/>
      <c r="S572" s="55"/>
      <c r="T572" s="56"/>
      <c r="U572" s="56"/>
      <c r="V572" s="42"/>
      <c r="W572" s="57"/>
      <c r="X572" s="58"/>
      <c r="Y572" s="75"/>
      <c r="Z572" s="59"/>
      <c r="AA572" s="61"/>
      <c r="AB572" s="61"/>
      <c r="AC572" s="61"/>
      <c r="AD572" s="62"/>
      <c r="AE572" s="62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x14ac:dyDescent="0.3">
      <c r="A573" s="39"/>
      <c r="B573" s="42"/>
      <c r="C573" s="42"/>
      <c r="D573" s="75"/>
      <c r="E573" s="75"/>
      <c r="F573" s="76"/>
      <c r="G573" s="47"/>
      <c r="H573" s="47"/>
      <c r="I573" s="75"/>
      <c r="J573" s="76"/>
      <c r="K573" s="76"/>
      <c r="L573" s="75"/>
      <c r="M573" s="49"/>
      <c r="N573" s="76"/>
      <c r="O573" s="49"/>
      <c r="P573" s="77"/>
      <c r="Q573" s="53"/>
      <c r="R573" s="54"/>
      <c r="S573" s="55"/>
      <c r="T573" s="56"/>
      <c r="U573" s="56"/>
      <c r="V573" s="42"/>
      <c r="W573" s="57"/>
      <c r="X573" s="58"/>
      <c r="Y573" s="75"/>
      <c r="Z573" s="59"/>
      <c r="AA573" s="61"/>
      <c r="AB573" s="61"/>
      <c r="AC573" s="61"/>
      <c r="AD573" s="62"/>
      <c r="AE573" s="62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x14ac:dyDescent="0.3">
      <c r="A574" s="39"/>
      <c r="B574" s="42"/>
      <c r="C574" s="42"/>
      <c r="D574" s="75"/>
      <c r="E574" s="75"/>
      <c r="F574" s="76"/>
      <c r="G574" s="47"/>
      <c r="H574" s="47"/>
      <c r="I574" s="75"/>
      <c r="J574" s="76"/>
      <c r="K574" s="76"/>
      <c r="L574" s="75"/>
      <c r="M574" s="49"/>
      <c r="N574" s="76"/>
      <c r="O574" s="49"/>
      <c r="P574" s="77"/>
      <c r="Q574" s="53"/>
      <c r="R574" s="54"/>
      <c r="S574" s="55"/>
      <c r="T574" s="56"/>
      <c r="U574" s="56"/>
      <c r="V574" s="42"/>
      <c r="W574" s="57"/>
      <c r="X574" s="58"/>
      <c r="Y574" s="75"/>
      <c r="Z574" s="59"/>
      <c r="AA574" s="61"/>
      <c r="AB574" s="61"/>
      <c r="AC574" s="61"/>
      <c r="AD574" s="62"/>
      <c r="AE574" s="62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x14ac:dyDescent="0.3">
      <c r="A575" s="39"/>
      <c r="B575" s="42"/>
      <c r="C575" s="42"/>
      <c r="D575" s="75"/>
      <c r="E575" s="75"/>
      <c r="F575" s="76"/>
      <c r="G575" s="47"/>
      <c r="H575" s="47"/>
      <c r="I575" s="75"/>
      <c r="J575" s="76"/>
      <c r="K575" s="76"/>
      <c r="L575" s="75"/>
      <c r="M575" s="49"/>
      <c r="N575" s="76"/>
      <c r="O575" s="49"/>
      <c r="P575" s="77"/>
      <c r="Q575" s="53"/>
      <c r="R575" s="54"/>
      <c r="S575" s="55"/>
      <c r="T575" s="56"/>
      <c r="U575" s="56"/>
      <c r="V575" s="42"/>
      <c r="W575" s="57"/>
      <c r="X575" s="58"/>
      <c r="Y575" s="75"/>
      <c r="Z575" s="59"/>
      <c r="AA575" s="61"/>
      <c r="AB575" s="61"/>
      <c r="AC575" s="61"/>
      <c r="AD575" s="62"/>
      <c r="AE575" s="62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x14ac:dyDescent="0.3">
      <c r="A576" s="39"/>
      <c r="B576" s="42"/>
      <c r="C576" s="42"/>
      <c r="D576" s="75"/>
      <c r="E576" s="75"/>
      <c r="F576" s="76"/>
      <c r="G576" s="47"/>
      <c r="H576" s="47"/>
      <c r="I576" s="75"/>
      <c r="J576" s="76"/>
      <c r="K576" s="76"/>
      <c r="L576" s="75"/>
      <c r="M576" s="49"/>
      <c r="N576" s="76"/>
      <c r="O576" s="49"/>
      <c r="P576" s="77"/>
      <c r="Q576" s="53"/>
      <c r="R576" s="54"/>
      <c r="S576" s="55"/>
      <c r="T576" s="56"/>
      <c r="U576" s="56"/>
      <c r="V576" s="42"/>
      <c r="W576" s="57"/>
      <c r="X576" s="58"/>
      <c r="Y576" s="75"/>
      <c r="Z576" s="59"/>
      <c r="AA576" s="61"/>
      <c r="AB576" s="61"/>
      <c r="AC576" s="61"/>
      <c r="AD576" s="62"/>
      <c r="AE576" s="62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x14ac:dyDescent="0.3">
      <c r="A577" s="39"/>
      <c r="B577" s="42"/>
      <c r="C577" s="42"/>
      <c r="D577" s="75"/>
      <c r="E577" s="75"/>
      <c r="F577" s="76"/>
      <c r="G577" s="47"/>
      <c r="H577" s="47"/>
      <c r="I577" s="75"/>
      <c r="J577" s="76"/>
      <c r="K577" s="76"/>
      <c r="L577" s="75"/>
      <c r="M577" s="49"/>
      <c r="N577" s="76"/>
      <c r="O577" s="49"/>
      <c r="P577" s="77"/>
      <c r="Q577" s="53"/>
      <c r="R577" s="54"/>
      <c r="S577" s="55"/>
      <c r="T577" s="56"/>
      <c r="U577" s="56"/>
      <c r="V577" s="42"/>
      <c r="W577" s="57"/>
      <c r="X577" s="58"/>
      <c r="Y577" s="75"/>
      <c r="Z577" s="59"/>
      <c r="AA577" s="61"/>
      <c r="AB577" s="61"/>
      <c r="AC577" s="61"/>
      <c r="AD577" s="62"/>
      <c r="AE577" s="62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x14ac:dyDescent="0.3">
      <c r="A578" s="39"/>
      <c r="B578" s="42"/>
      <c r="C578" s="42"/>
      <c r="D578" s="75"/>
      <c r="E578" s="75"/>
      <c r="F578" s="76"/>
      <c r="G578" s="47"/>
      <c r="H578" s="47"/>
      <c r="I578" s="75"/>
      <c r="J578" s="76"/>
      <c r="K578" s="76"/>
      <c r="L578" s="75"/>
      <c r="M578" s="49"/>
      <c r="N578" s="76"/>
      <c r="O578" s="49"/>
      <c r="P578" s="77"/>
      <c r="Q578" s="53"/>
      <c r="R578" s="54"/>
      <c r="S578" s="55"/>
      <c r="T578" s="56"/>
      <c r="U578" s="56"/>
      <c r="V578" s="42"/>
      <c r="W578" s="57"/>
      <c r="X578" s="58"/>
      <c r="Y578" s="75"/>
      <c r="Z578" s="59"/>
      <c r="AA578" s="61"/>
      <c r="AB578" s="61"/>
      <c r="AC578" s="61"/>
      <c r="AD578" s="62"/>
      <c r="AE578" s="62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x14ac:dyDescent="0.3">
      <c r="A579" s="39"/>
      <c r="B579" s="42"/>
      <c r="C579" s="42"/>
      <c r="D579" s="75"/>
      <c r="E579" s="75"/>
      <c r="F579" s="76"/>
      <c r="G579" s="47"/>
      <c r="H579" s="47"/>
      <c r="I579" s="75"/>
      <c r="J579" s="76"/>
      <c r="K579" s="76"/>
      <c r="L579" s="75"/>
      <c r="M579" s="49"/>
      <c r="N579" s="76"/>
      <c r="O579" s="49"/>
      <c r="P579" s="77"/>
      <c r="Q579" s="53"/>
      <c r="R579" s="54"/>
      <c r="S579" s="55"/>
      <c r="T579" s="56"/>
      <c r="U579" s="56"/>
      <c r="V579" s="42"/>
      <c r="W579" s="57"/>
      <c r="X579" s="58"/>
      <c r="Y579" s="75"/>
      <c r="Z579" s="59"/>
      <c r="AA579" s="61"/>
      <c r="AB579" s="61"/>
      <c r="AC579" s="61"/>
      <c r="AD579" s="62"/>
      <c r="AE579" s="62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x14ac:dyDescent="0.3">
      <c r="A580" s="39"/>
      <c r="B580" s="42"/>
      <c r="C580" s="42"/>
      <c r="D580" s="75"/>
      <c r="E580" s="75"/>
      <c r="F580" s="76"/>
      <c r="G580" s="47"/>
      <c r="H580" s="47"/>
      <c r="I580" s="75"/>
      <c r="J580" s="76"/>
      <c r="K580" s="76"/>
      <c r="L580" s="75"/>
      <c r="M580" s="49"/>
      <c r="N580" s="76"/>
      <c r="O580" s="49"/>
      <c r="P580" s="77"/>
      <c r="Q580" s="53"/>
      <c r="R580" s="54"/>
      <c r="S580" s="55"/>
      <c r="T580" s="56"/>
      <c r="U580" s="56"/>
      <c r="V580" s="42"/>
      <c r="W580" s="57"/>
      <c r="X580" s="58"/>
      <c r="Y580" s="75"/>
      <c r="Z580" s="59"/>
      <c r="AA580" s="61"/>
      <c r="AB580" s="61"/>
      <c r="AC580" s="61"/>
      <c r="AD580" s="62"/>
      <c r="AE580" s="62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x14ac:dyDescent="0.3">
      <c r="A581" s="39"/>
      <c r="B581" s="42"/>
      <c r="C581" s="42"/>
      <c r="D581" s="75"/>
      <c r="E581" s="75"/>
      <c r="F581" s="76"/>
      <c r="G581" s="47"/>
      <c r="H581" s="47"/>
      <c r="I581" s="75"/>
      <c r="J581" s="76"/>
      <c r="K581" s="76"/>
      <c r="L581" s="75"/>
      <c r="M581" s="49"/>
      <c r="N581" s="76"/>
      <c r="O581" s="49"/>
      <c r="P581" s="77"/>
      <c r="Q581" s="53"/>
      <c r="R581" s="54"/>
      <c r="S581" s="55"/>
      <c r="T581" s="56"/>
      <c r="U581" s="56"/>
      <c r="V581" s="42"/>
      <c r="W581" s="57"/>
      <c r="X581" s="58"/>
      <c r="Y581" s="75"/>
      <c r="Z581" s="59"/>
      <c r="AA581" s="61"/>
      <c r="AB581" s="61"/>
      <c r="AC581" s="61"/>
      <c r="AD581" s="62"/>
      <c r="AE581" s="62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x14ac:dyDescent="0.3">
      <c r="A582" s="39"/>
      <c r="B582" s="42"/>
      <c r="C582" s="42"/>
      <c r="D582" s="75"/>
      <c r="E582" s="75"/>
      <c r="F582" s="76"/>
      <c r="G582" s="47"/>
      <c r="H582" s="47"/>
      <c r="I582" s="75"/>
      <c r="J582" s="76"/>
      <c r="K582" s="76"/>
      <c r="L582" s="75"/>
      <c r="M582" s="49"/>
      <c r="N582" s="76"/>
      <c r="O582" s="49"/>
      <c r="P582" s="77"/>
      <c r="Q582" s="53"/>
      <c r="R582" s="54"/>
      <c r="S582" s="55"/>
      <c r="T582" s="56"/>
      <c r="U582" s="56"/>
      <c r="V582" s="42"/>
      <c r="W582" s="57"/>
      <c r="X582" s="58"/>
      <c r="Y582" s="75"/>
      <c r="Z582" s="59"/>
      <c r="AA582" s="61"/>
      <c r="AB582" s="61"/>
      <c r="AC582" s="61"/>
      <c r="AD582" s="62"/>
      <c r="AE582" s="62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x14ac:dyDescent="0.3">
      <c r="A583" s="39"/>
      <c r="B583" s="42"/>
      <c r="C583" s="42"/>
      <c r="D583" s="75"/>
      <c r="E583" s="75"/>
      <c r="F583" s="76"/>
      <c r="G583" s="47"/>
      <c r="H583" s="47"/>
      <c r="I583" s="75"/>
      <c r="J583" s="76"/>
      <c r="K583" s="76"/>
      <c r="L583" s="75"/>
      <c r="M583" s="49"/>
      <c r="N583" s="76"/>
      <c r="O583" s="49"/>
      <c r="P583" s="77"/>
      <c r="Q583" s="53"/>
      <c r="R583" s="54"/>
      <c r="S583" s="55"/>
      <c r="T583" s="56"/>
      <c r="U583" s="56"/>
      <c r="V583" s="42"/>
      <c r="W583" s="57"/>
      <c r="X583" s="58"/>
      <c r="Y583" s="75"/>
      <c r="Z583" s="59"/>
      <c r="AA583" s="61"/>
      <c r="AB583" s="61"/>
      <c r="AC583" s="61"/>
      <c r="AD583" s="62"/>
      <c r="AE583" s="62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x14ac:dyDescent="0.3">
      <c r="A584" s="39"/>
      <c r="B584" s="42"/>
      <c r="C584" s="42"/>
      <c r="D584" s="75"/>
      <c r="E584" s="75"/>
      <c r="F584" s="76"/>
      <c r="G584" s="47"/>
      <c r="H584" s="47"/>
      <c r="I584" s="75"/>
      <c r="J584" s="76"/>
      <c r="K584" s="76"/>
      <c r="L584" s="75"/>
      <c r="M584" s="49"/>
      <c r="N584" s="76"/>
      <c r="O584" s="49"/>
      <c r="P584" s="77"/>
      <c r="Q584" s="53"/>
      <c r="R584" s="54"/>
      <c r="S584" s="55"/>
      <c r="T584" s="56"/>
      <c r="U584" s="56"/>
      <c r="V584" s="42"/>
      <c r="W584" s="57"/>
      <c r="X584" s="58"/>
      <c r="Y584" s="75"/>
      <c r="Z584" s="59"/>
      <c r="AA584" s="61"/>
      <c r="AB584" s="61"/>
      <c r="AC584" s="61"/>
      <c r="AD584" s="62"/>
      <c r="AE584" s="62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x14ac:dyDescent="0.3">
      <c r="A585" s="39"/>
      <c r="B585" s="42"/>
      <c r="C585" s="42"/>
      <c r="D585" s="75"/>
      <c r="E585" s="75"/>
      <c r="F585" s="76"/>
      <c r="G585" s="47"/>
      <c r="H585" s="47"/>
      <c r="I585" s="75"/>
      <c r="J585" s="76"/>
      <c r="K585" s="76"/>
      <c r="L585" s="75"/>
      <c r="M585" s="49"/>
      <c r="N585" s="76"/>
      <c r="O585" s="49"/>
      <c r="P585" s="77"/>
      <c r="Q585" s="53"/>
      <c r="R585" s="54"/>
      <c r="S585" s="55"/>
      <c r="T585" s="56"/>
      <c r="U585" s="56"/>
      <c r="V585" s="42"/>
      <c r="W585" s="57"/>
      <c r="X585" s="58"/>
      <c r="Y585" s="75"/>
      <c r="Z585" s="59"/>
      <c r="AA585" s="61"/>
      <c r="AB585" s="61"/>
      <c r="AC585" s="61"/>
      <c r="AD585" s="62"/>
      <c r="AE585" s="62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x14ac:dyDescent="0.3">
      <c r="A586" s="39"/>
      <c r="B586" s="42"/>
      <c r="C586" s="42"/>
      <c r="D586" s="75"/>
      <c r="E586" s="75"/>
      <c r="F586" s="76"/>
      <c r="G586" s="47"/>
      <c r="H586" s="47"/>
      <c r="I586" s="75"/>
      <c r="J586" s="76"/>
      <c r="K586" s="76"/>
      <c r="L586" s="75"/>
      <c r="M586" s="49"/>
      <c r="N586" s="76"/>
      <c r="O586" s="49"/>
      <c r="P586" s="77"/>
      <c r="Q586" s="53"/>
      <c r="R586" s="54"/>
      <c r="S586" s="55"/>
      <c r="T586" s="56"/>
      <c r="U586" s="56"/>
      <c r="V586" s="42"/>
      <c r="W586" s="57"/>
      <c r="X586" s="58"/>
      <c r="Y586" s="75"/>
      <c r="Z586" s="59"/>
      <c r="AA586" s="61"/>
      <c r="AB586" s="61"/>
      <c r="AC586" s="61"/>
      <c r="AD586" s="62"/>
      <c r="AE586" s="62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x14ac:dyDescent="0.3">
      <c r="A587" s="39"/>
      <c r="B587" s="42"/>
      <c r="C587" s="42"/>
      <c r="D587" s="75"/>
      <c r="E587" s="75"/>
      <c r="F587" s="76"/>
      <c r="G587" s="47"/>
      <c r="H587" s="47"/>
      <c r="I587" s="75"/>
      <c r="J587" s="76"/>
      <c r="K587" s="76"/>
      <c r="L587" s="75"/>
      <c r="M587" s="49"/>
      <c r="N587" s="76"/>
      <c r="O587" s="49"/>
      <c r="P587" s="77"/>
      <c r="Q587" s="53"/>
      <c r="R587" s="54"/>
      <c r="S587" s="55"/>
      <c r="T587" s="56"/>
      <c r="U587" s="56"/>
      <c r="V587" s="42"/>
      <c r="W587" s="57"/>
      <c r="X587" s="58"/>
      <c r="Y587" s="75"/>
      <c r="Z587" s="59"/>
      <c r="AA587" s="61"/>
      <c r="AB587" s="61"/>
      <c r="AC587" s="61"/>
      <c r="AD587" s="62"/>
      <c r="AE587" s="62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x14ac:dyDescent="0.3">
      <c r="A588" s="39"/>
      <c r="B588" s="42"/>
      <c r="C588" s="42"/>
      <c r="D588" s="75"/>
      <c r="E588" s="75"/>
      <c r="F588" s="76"/>
      <c r="G588" s="47"/>
      <c r="H588" s="47"/>
      <c r="I588" s="75"/>
      <c r="J588" s="76"/>
      <c r="K588" s="76"/>
      <c r="L588" s="75"/>
      <c r="M588" s="49"/>
      <c r="N588" s="76"/>
      <c r="O588" s="49"/>
      <c r="P588" s="77"/>
      <c r="Q588" s="53"/>
      <c r="R588" s="54"/>
      <c r="S588" s="55"/>
      <c r="T588" s="56"/>
      <c r="U588" s="56"/>
      <c r="V588" s="42"/>
      <c r="W588" s="57"/>
      <c r="X588" s="58"/>
      <c r="Y588" s="75"/>
      <c r="Z588" s="59"/>
      <c r="AA588" s="61"/>
      <c r="AB588" s="61"/>
      <c r="AC588" s="61"/>
      <c r="AD588" s="62"/>
      <c r="AE588" s="62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x14ac:dyDescent="0.3">
      <c r="A589" s="39"/>
      <c r="B589" s="42"/>
      <c r="C589" s="42"/>
      <c r="D589" s="75"/>
      <c r="E589" s="75"/>
      <c r="F589" s="76"/>
      <c r="G589" s="47"/>
      <c r="H589" s="47"/>
      <c r="I589" s="75"/>
      <c r="J589" s="76"/>
      <c r="K589" s="76"/>
      <c r="L589" s="75"/>
      <c r="M589" s="49"/>
      <c r="N589" s="76"/>
      <c r="O589" s="49"/>
      <c r="P589" s="77"/>
      <c r="Q589" s="53"/>
      <c r="R589" s="54"/>
      <c r="S589" s="55"/>
      <c r="T589" s="56"/>
      <c r="U589" s="56"/>
      <c r="V589" s="42"/>
      <c r="W589" s="57"/>
      <c r="X589" s="58"/>
      <c r="Y589" s="75"/>
      <c r="Z589" s="59"/>
      <c r="AA589" s="61"/>
      <c r="AB589" s="61"/>
      <c r="AC589" s="61"/>
      <c r="AD589" s="62"/>
      <c r="AE589" s="62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x14ac:dyDescent="0.3">
      <c r="A590" s="39"/>
      <c r="B590" s="42"/>
      <c r="C590" s="42"/>
      <c r="D590" s="75"/>
      <c r="E590" s="75"/>
      <c r="F590" s="76"/>
      <c r="G590" s="47"/>
      <c r="H590" s="47"/>
      <c r="I590" s="75"/>
      <c r="J590" s="76"/>
      <c r="K590" s="76"/>
      <c r="L590" s="75"/>
      <c r="M590" s="49"/>
      <c r="N590" s="76"/>
      <c r="O590" s="49"/>
      <c r="P590" s="77"/>
      <c r="Q590" s="53"/>
      <c r="R590" s="54"/>
      <c r="S590" s="55"/>
      <c r="T590" s="56"/>
      <c r="U590" s="56"/>
      <c r="V590" s="42"/>
      <c r="W590" s="57"/>
      <c r="X590" s="58"/>
      <c r="Y590" s="75"/>
      <c r="Z590" s="59"/>
      <c r="AA590" s="61"/>
      <c r="AB590" s="61"/>
      <c r="AC590" s="61"/>
      <c r="AD590" s="62"/>
      <c r="AE590" s="62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x14ac:dyDescent="0.3">
      <c r="A591" s="39"/>
      <c r="B591" s="42"/>
      <c r="C591" s="42"/>
      <c r="D591" s="75"/>
      <c r="E591" s="75"/>
      <c r="F591" s="76"/>
      <c r="G591" s="47"/>
      <c r="H591" s="47"/>
      <c r="I591" s="75"/>
      <c r="J591" s="76"/>
      <c r="K591" s="76"/>
      <c r="L591" s="75"/>
      <c r="M591" s="49"/>
      <c r="N591" s="76"/>
      <c r="O591" s="49"/>
      <c r="P591" s="77"/>
      <c r="Q591" s="53"/>
      <c r="R591" s="54"/>
      <c r="S591" s="55"/>
      <c r="T591" s="56"/>
      <c r="U591" s="56"/>
      <c r="V591" s="42"/>
      <c r="W591" s="57"/>
      <c r="X591" s="58"/>
      <c r="Y591" s="75"/>
      <c r="Z591" s="59"/>
      <c r="AA591" s="61"/>
      <c r="AB591" s="61"/>
      <c r="AC591" s="61"/>
      <c r="AD591" s="62"/>
      <c r="AE591" s="62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x14ac:dyDescent="0.3">
      <c r="A592" s="39"/>
      <c r="B592" s="42"/>
      <c r="C592" s="42"/>
      <c r="D592" s="75"/>
      <c r="E592" s="75"/>
      <c r="F592" s="76"/>
      <c r="G592" s="47"/>
      <c r="H592" s="47"/>
      <c r="I592" s="75"/>
      <c r="J592" s="76"/>
      <c r="K592" s="76"/>
      <c r="L592" s="75"/>
      <c r="M592" s="49"/>
      <c r="N592" s="76"/>
      <c r="O592" s="49"/>
      <c r="P592" s="77"/>
      <c r="Q592" s="53"/>
      <c r="R592" s="54"/>
      <c r="S592" s="55"/>
      <c r="T592" s="56"/>
      <c r="U592" s="56"/>
      <c r="V592" s="42"/>
      <c r="W592" s="57"/>
      <c r="X592" s="58"/>
      <c r="Y592" s="75"/>
      <c r="Z592" s="59"/>
      <c r="AA592" s="61"/>
      <c r="AB592" s="61"/>
      <c r="AC592" s="61"/>
      <c r="AD592" s="62"/>
      <c r="AE592" s="62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x14ac:dyDescent="0.3">
      <c r="A593" s="39"/>
      <c r="B593" s="42"/>
      <c r="C593" s="42"/>
      <c r="D593" s="75"/>
      <c r="E593" s="75"/>
      <c r="F593" s="76"/>
      <c r="G593" s="47"/>
      <c r="H593" s="47"/>
      <c r="I593" s="75"/>
      <c r="J593" s="76"/>
      <c r="K593" s="76"/>
      <c r="L593" s="75"/>
      <c r="M593" s="49"/>
      <c r="N593" s="76"/>
      <c r="O593" s="49"/>
      <c r="P593" s="77"/>
      <c r="Q593" s="53"/>
      <c r="R593" s="54"/>
      <c r="S593" s="55"/>
      <c r="T593" s="56"/>
      <c r="U593" s="56"/>
      <c r="V593" s="42"/>
      <c r="W593" s="57"/>
      <c r="X593" s="58"/>
      <c r="Y593" s="75"/>
      <c r="Z593" s="59"/>
      <c r="AA593" s="61"/>
      <c r="AB593" s="61"/>
      <c r="AC593" s="61"/>
      <c r="AD593" s="62"/>
      <c r="AE593" s="62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x14ac:dyDescent="0.3">
      <c r="A594" s="39"/>
      <c r="B594" s="42"/>
      <c r="C594" s="42"/>
      <c r="D594" s="75"/>
      <c r="E594" s="75"/>
      <c r="F594" s="76"/>
      <c r="G594" s="47"/>
      <c r="H594" s="47"/>
      <c r="I594" s="75"/>
      <c r="J594" s="76"/>
      <c r="K594" s="76"/>
      <c r="L594" s="75"/>
      <c r="M594" s="49"/>
      <c r="N594" s="76"/>
      <c r="O594" s="49"/>
      <c r="P594" s="77"/>
      <c r="Q594" s="53"/>
      <c r="R594" s="54"/>
      <c r="S594" s="55"/>
      <c r="T594" s="56"/>
      <c r="U594" s="56"/>
      <c r="V594" s="42"/>
      <c r="W594" s="57"/>
      <c r="X594" s="58"/>
      <c r="Y594" s="75"/>
      <c r="Z594" s="59"/>
      <c r="AA594" s="61"/>
      <c r="AB594" s="61"/>
      <c r="AC594" s="61"/>
      <c r="AD594" s="62"/>
      <c r="AE594" s="62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x14ac:dyDescent="0.3">
      <c r="A595" s="39"/>
      <c r="B595" s="42"/>
      <c r="C595" s="42"/>
      <c r="D595" s="75"/>
      <c r="E595" s="75"/>
      <c r="F595" s="76"/>
      <c r="G595" s="47"/>
      <c r="H595" s="47"/>
      <c r="I595" s="75"/>
      <c r="J595" s="76"/>
      <c r="K595" s="76"/>
      <c r="L595" s="75"/>
      <c r="M595" s="49"/>
      <c r="N595" s="76"/>
      <c r="O595" s="49"/>
      <c r="P595" s="77"/>
      <c r="Q595" s="53"/>
      <c r="R595" s="54"/>
      <c r="S595" s="55"/>
      <c r="T595" s="56"/>
      <c r="U595" s="56"/>
      <c r="V595" s="42"/>
      <c r="W595" s="57"/>
      <c r="X595" s="58"/>
      <c r="Y595" s="75"/>
      <c r="Z595" s="59"/>
      <c r="AA595" s="61"/>
      <c r="AB595" s="61"/>
      <c r="AC595" s="61"/>
      <c r="AD595" s="62"/>
      <c r="AE595" s="62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x14ac:dyDescent="0.3">
      <c r="A596" s="39"/>
      <c r="B596" s="42"/>
      <c r="C596" s="42"/>
      <c r="D596" s="75"/>
      <c r="E596" s="75"/>
      <c r="F596" s="76"/>
      <c r="G596" s="47"/>
      <c r="H596" s="47"/>
      <c r="I596" s="75"/>
      <c r="J596" s="76"/>
      <c r="K596" s="76"/>
      <c r="L596" s="75"/>
      <c r="M596" s="49"/>
      <c r="N596" s="76"/>
      <c r="O596" s="49"/>
      <c r="P596" s="77"/>
      <c r="Q596" s="53"/>
      <c r="R596" s="54"/>
      <c r="S596" s="55"/>
      <c r="T596" s="56"/>
      <c r="U596" s="56"/>
      <c r="V596" s="42"/>
      <c r="W596" s="57"/>
      <c r="X596" s="58"/>
      <c r="Y596" s="75"/>
      <c r="Z596" s="59"/>
      <c r="AA596" s="61"/>
      <c r="AB596" s="61"/>
      <c r="AC596" s="61"/>
      <c r="AD596" s="62"/>
      <c r="AE596" s="62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x14ac:dyDescent="0.3">
      <c r="A597" s="39"/>
      <c r="B597" s="42"/>
      <c r="C597" s="42"/>
      <c r="D597" s="75"/>
      <c r="E597" s="75"/>
      <c r="F597" s="76"/>
      <c r="G597" s="47"/>
      <c r="H597" s="47"/>
      <c r="I597" s="75"/>
      <c r="J597" s="76"/>
      <c r="K597" s="76"/>
      <c r="L597" s="75"/>
      <c r="M597" s="49"/>
      <c r="N597" s="76"/>
      <c r="O597" s="49"/>
      <c r="P597" s="77"/>
      <c r="Q597" s="53"/>
      <c r="R597" s="54"/>
      <c r="S597" s="55"/>
      <c r="T597" s="56"/>
      <c r="U597" s="56"/>
      <c r="V597" s="42"/>
      <c r="W597" s="57"/>
      <c r="X597" s="58"/>
      <c r="Y597" s="75"/>
      <c r="Z597" s="59"/>
      <c r="AA597" s="61"/>
      <c r="AB597" s="61"/>
      <c r="AC597" s="61"/>
      <c r="AD597" s="62"/>
      <c r="AE597" s="62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x14ac:dyDescent="0.3">
      <c r="A598" s="39"/>
      <c r="B598" s="42"/>
      <c r="C598" s="42"/>
      <c r="D598" s="75"/>
      <c r="E598" s="75"/>
      <c r="F598" s="76"/>
      <c r="G598" s="47"/>
      <c r="H598" s="47"/>
      <c r="I598" s="75"/>
      <c r="J598" s="76"/>
      <c r="K598" s="76"/>
      <c r="L598" s="75"/>
      <c r="M598" s="49"/>
      <c r="N598" s="76"/>
      <c r="O598" s="49"/>
      <c r="P598" s="77"/>
      <c r="Q598" s="53"/>
      <c r="R598" s="54"/>
      <c r="S598" s="55"/>
      <c r="T598" s="56"/>
      <c r="U598" s="56"/>
      <c r="V598" s="42"/>
      <c r="W598" s="57"/>
      <c r="X598" s="58"/>
      <c r="Y598" s="75"/>
      <c r="Z598" s="59"/>
      <c r="AA598" s="61"/>
      <c r="AB598" s="61"/>
      <c r="AC598" s="61"/>
      <c r="AD598" s="62"/>
      <c r="AE598" s="62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x14ac:dyDescent="0.3">
      <c r="A599" s="39"/>
      <c r="B599" s="42"/>
      <c r="C599" s="42"/>
      <c r="D599" s="75"/>
      <c r="E599" s="75"/>
      <c r="F599" s="76"/>
      <c r="G599" s="47"/>
      <c r="H599" s="47"/>
      <c r="I599" s="75"/>
      <c r="J599" s="76"/>
      <c r="K599" s="76"/>
      <c r="L599" s="75"/>
      <c r="M599" s="49"/>
      <c r="N599" s="76"/>
      <c r="O599" s="49"/>
      <c r="P599" s="77"/>
      <c r="Q599" s="53"/>
      <c r="R599" s="54"/>
      <c r="S599" s="55"/>
      <c r="T599" s="56"/>
      <c r="U599" s="56"/>
      <c r="V599" s="42"/>
      <c r="W599" s="57"/>
      <c r="X599" s="58"/>
      <c r="Y599" s="75"/>
      <c r="Z599" s="59"/>
      <c r="AA599" s="61"/>
      <c r="AB599" s="61"/>
      <c r="AC599" s="61"/>
      <c r="AD599" s="62"/>
      <c r="AE599" s="62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x14ac:dyDescent="0.3">
      <c r="A600" s="39"/>
      <c r="B600" s="42"/>
      <c r="C600" s="42"/>
      <c r="D600" s="75"/>
      <c r="E600" s="75"/>
      <c r="F600" s="76"/>
      <c r="G600" s="47"/>
      <c r="H600" s="47"/>
      <c r="I600" s="75"/>
      <c r="J600" s="76"/>
      <c r="K600" s="76"/>
      <c r="L600" s="75"/>
      <c r="M600" s="49"/>
      <c r="N600" s="76"/>
      <c r="O600" s="49"/>
      <c r="P600" s="77"/>
      <c r="Q600" s="53"/>
      <c r="R600" s="54"/>
      <c r="S600" s="55"/>
      <c r="T600" s="56"/>
      <c r="U600" s="56"/>
      <c r="V600" s="42"/>
      <c r="W600" s="57"/>
      <c r="X600" s="58"/>
      <c r="Y600" s="75"/>
      <c r="Z600" s="59"/>
      <c r="AA600" s="61"/>
      <c r="AB600" s="61"/>
      <c r="AC600" s="61"/>
      <c r="AD600" s="62"/>
      <c r="AE600" s="62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x14ac:dyDescent="0.3">
      <c r="A601" s="39"/>
      <c r="B601" s="42"/>
      <c r="C601" s="42"/>
      <c r="D601" s="75"/>
      <c r="E601" s="75"/>
      <c r="F601" s="76"/>
      <c r="G601" s="47"/>
      <c r="H601" s="47"/>
      <c r="I601" s="75"/>
      <c r="J601" s="76"/>
      <c r="K601" s="76"/>
      <c r="L601" s="75"/>
      <c r="M601" s="49"/>
      <c r="N601" s="76"/>
      <c r="O601" s="49"/>
      <c r="P601" s="77"/>
      <c r="Q601" s="53"/>
      <c r="R601" s="54"/>
      <c r="S601" s="55"/>
      <c r="T601" s="56"/>
      <c r="U601" s="56"/>
      <c r="V601" s="42"/>
      <c r="W601" s="57"/>
      <c r="X601" s="58"/>
      <c r="Y601" s="75"/>
      <c r="Z601" s="59"/>
      <c r="AA601" s="61"/>
      <c r="AB601" s="61"/>
      <c r="AC601" s="61"/>
      <c r="AD601" s="62"/>
      <c r="AE601" s="62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x14ac:dyDescent="0.3">
      <c r="A602" s="39"/>
      <c r="B602" s="42"/>
      <c r="C602" s="42"/>
      <c r="D602" s="75"/>
      <c r="E602" s="75"/>
      <c r="F602" s="76"/>
      <c r="G602" s="47"/>
      <c r="H602" s="47"/>
      <c r="I602" s="75"/>
      <c r="J602" s="76"/>
      <c r="K602" s="76"/>
      <c r="L602" s="75"/>
      <c r="M602" s="49"/>
      <c r="N602" s="76"/>
      <c r="O602" s="49"/>
      <c r="P602" s="77"/>
      <c r="Q602" s="53"/>
      <c r="R602" s="54"/>
      <c r="S602" s="55"/>
      <c r="T602" s="56"/>
      <c r="U602" s="56"/>
      <c r="V602" s="42"/>
      <c r="W602" s="57"/>
      <c r="X602" s="58"/>
      <c r="Y602" s="75"/>
      <c r="Z602" s="59"/>
      <c r="AA602" s="61"/>
      <c r="AB602" s="61"/>
      <c r="AC602" s="61"/>
      <c r="AD602" s="62"/>
      <c r="AE602" s="62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x14ac:dyDescent="0.3">
      <c r="A603" s="39"/>
      <c r="B603" s="42"/>
      <c r="C603" s="42"/>
      <c r="D603" s="75"/>
      <c r="E603" s="75"/>
      <c r="F603" s="76"/>
      <c r="G603" s="47"/>
      <c r="H603" s="47"/>
      <c r="I603" s="75"/>
      <c r="J603" s="76"/>
      <c r="K603" s="76"/>
      <c r="L603" s="75"/>
      <c r="M603" s="49"/>
      <c r="N603" s="76"/>
      <c r="O603" s="49"/>
      <c r="P603" s="77"/>
      <c r="Q603" s="53"/>
      <c r="R603" s="54"/>
      <c r="S603" s="55"/>
      <c r="T603" s="56"/>
      <c r="U603" s="56"/>
      <c r="V603" s="42"/>
      <c r="W603" s="57"/>
      <c r="X603" s="58"/>
      <c r="Y603" s="75"/>
      <c r="Z603" s="59"/>
      <c r="AA603" s="61"/>
      <c r="AB603" s="61"/>
      <c r="AC603" s="61"/>
      <c r="AD603" s="62"/>
      <c r="AE603" s="62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x14ac:dyDescent="0.3">
      <c r="A604" s="39"/>
      <c r="B604" s="42"/>
      <c r="C604" s="42"/>
      <c r="D604" s="75"/>
      <c r="E604" s="75"/>
      <c r="F604" s="76"/>
      <c r="G604" s="47"/>
      <c r="H604" s="47"/>
      <c r="I604" s="75"/>
      <c r="J604" s="76"/>
      <c r="K604" s="76"/>
      <c r="L604" s="75"/>
      <c r="M604" s="49"/>
      <c r="N604" s="76"/>
      <c r="O604" s="49"/>
      <c r="P604" s="77"/>
      <c r="Q604" s="53"/>
      <c r="R604" s="54"/>
      <c r="S604" s="55"/>
      <c r="T604" s="56"/>
      <c r="U604" s="56"/>
      <c r="V604" s="42"/>
      <c r="W604" s="57"/>
      <c r="X604" s="58"/>
      <c r="Y604" s="75"/>
      <c r="Z604" s="59"/>
      <c r="AA604" s="61"/>
      <c r="AB604" s="61"/>
      <c r="AC604" s="61"/>
      <c r="AD604" s="62"/>
      <c r="AE604" s="62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x14ac:dyDescent="0.3">
      <c r="A605" s="39"/>
      <c r="B605" s="42"/>
      <c r="C605" s="42"/>
      <c r="D605" s="75"/>
      <c r="E605" s="75"/>
      <c r="F605" s="76"/>
      <c r="G605" s="47"/>
      <c r="H605" s="47"/>
      <c r="I605" s="75"/>
      <c r="J605" s="76"/>
      <c r="K605" s="76"/>
      <c r="L605" s="75"/>
      <c r="M605" s="49"/>
      <c r="N605" s="76"/>
      <c r="O605" s="49"/>
      <c r="P605" s="77"/>
      <c r="Q605" s="53"/>
      <c r="R605" s="54"/>
      <c r="S605" s="55"/>
      <c r="T605" s="56"/>
      <c r="U605" s="56"/>
      <c r="V605" s="42"/>
      <c r="W605" s="57"/>
      <c r="X605" s="58"/>
      <c r="Y605" s="75"/>
      <c r="Z605" s="59"/>
      <c r="AA605" s="61"/>
      <c r="AB605" s="61"/>
      <c r="AC605" s="61"/>
      <c r="AD605" s="62"/>
      <c r="AE605" s="62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x14ac:dyDescent="0.3">
      <c r="A606" s="39"/>
      <c r="B606" s="42"/>
      <c r="C606" s="42"/>
      <c r="D606" s="75"/>
      <c r="E606" s="75"/>
      <c r="F606" s="76"/>
      <c r="G606" s="47"/>
      <c r="H606" s="47"/>
      <c r="I606" s="75"/>
      <c r="J606" s="76"/>
      <c r="K606" s="76"/>
      <c r="L606" s="75"/>
      <c r="M606" s="49"/>
      <c r="N606" s="76"/>
      <c r="O606" s="49"/>
      <c r="P606" s="77"/>
      <c r="Q606" s="53"/>
      <c r="R606" s="54"/>
      <c r="S606" s="55"/>
      <c r="T606" s="56"/>
      <c r="U606" s="56"/>
      <c r="V606" s="42"/>
      <c r="W606" s="57"/>
      <c r="X606" s="58"/>
      <c r="Y606" s="75"/>
      <c r="Z606" s="59"/>
      <c r="AA606" s="61"/>
      <c r="AB606" s="61"/>
      <c r="AC606" s="61"/>
      <c r="AD606" s="62"/>
      <c r="AE606" s="62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x14ac:dyDescent="0.3">
      <c r="A607" s="39"/>
      <c r="B607" s="42"/>
      <c r="C607" s="42"/>
      <c r="D607" s="75"/>
      <c r="E607" s="75"/>
      <c r="F607" s="76"/>
      <c r="G607" s="47"/>
      <c r="H607" s="47"/>
      <c r="I607" s="75"/>
      <c r="J607" s="76"/>
      <c r="K607" s="76"/>
      <c r="L607" s="75"/>
      <c r="M607" s="49"/>
      <c r="N607" s="76"/>
      <c r="O607" s="49"/>
      <c r="P607" s="77"/>
      <c r="Q607" s="53"/>
      <c r="R607" s="54"/>
      <c r="S607" s="55"/>
      <c r="T607" s="56"/>
      <c r="U607" s="56"/>
      <c r="V607" s="42"/>
      <c r="W607" s="57"/>
      <c r="X607" s="58"/>
      <c r="Y607" s="75"/>
      <c r="Z607" s="59"/>
      <c r="AA607" s="61"/>
      <c r="AB607" s="61"/>
      <c r="AC607" s="61"/>
      <c r="AD607" s="62"/>
      <c r="AE607" s="62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x14ac:dyDescent="0.3">
      <c r="A608" s="39"/>
      <c r="B608" s="42"/>
      <c r="C608" s="42"/>
      <c r="D608" s="75"/>
      <c r="E608" s="75"/>
      <c r="F608" s="76"/>
      <c r="G608" s="47"/>
      <c r="H608" s="47"/>
      <c r="I608" s="75"/>
      <c r="J608" s="76"/>
      <c r="K608" s="76"/>
      <c r="L608" s="75"/>
      <c r="M608" s="49"/>
      <c r="N608" s="76"/>
      <c r="O608" s="49"/>
      <c r="P608" s="77"/>
      <c r="Q608" s="53"/>
      <c r="R608" s="54"/>
      <c r="S608" s="55"/>
      <c r="T608" s="56"/>
      <c r="U608" s="56"/>
      <c r="V608" s="42"/>
      <c r="W608" s="57"/>
      <c r="X608" s="58"/>
      <c r="Y608" s="75"/>
      <c r="Z608" s="59"/>
      <c r="AA608" s="61"/>
      <c r="AB608" s="61"/>
      <c r="AC608" s="61"/>
      <c r="AD608" s="62"/>
      <c r="AE608" s="62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x14ac:dyDescent="0.3">
      <c r="A609" s="39"/>
      <c r="B609" s="42"/>
      <c r="C609" s="42"/>
      <c r="D609" s="75"/>
      <c r="E609" s="75"/>
      <c r="F609" s="76"/>
      <c r="G609" s="47"/>
      <c r="H609" s="47"/>
      <c r="I609" s="75"/>
      <c r="J609" s="76"/>
      <c r="K609" s="76"/>
      <c r="L609" s="75"/>
      <c r="M609" s="49"/>
      <c r="N609" s="76"/>
      <c r="O609" s="49"/>
      <c r="P609" s="77"/>
      <c r="Q609" s="53"/>
      <c r="R609" s="54"/>
      <c r="S609" s="55"/>
      <c r="T609" s="56"/>
      <c r="U609" s="56"/>
      <c r="V609" s="42"/>
      <c r="W609" s="57"/>
      <c r="X609" s="58"/>
      <c r="Y609" s="75"/>
      <c r="Z609" s="59"/>
      <c r="AA609" s="61"/>
      <c r="AB609" s="61"/>
      <c r="AC609" s="61"/>
      <c r="AD609" s="62"/>
      <c r="AE609" s="62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x14ac:dyDescent="0.3">
      <c r="A610" s="39"/>
      <c r="B610" s="42"/>
      <c r="C610" s="42"/>
      <c r="D610" s="75"/>
      <c r="E610" s="75"/>
      <c r="F610" s="76"/>
      <c r="G610" s="47"/>
      <c r="H610" s="47"/>
      <c r="I610" s="75"/>
      <c r="J610" s="76"/>
      <c r="K610" s="76"/>
      <c r="L610" s="75"/>
      <c r="M610" s="49"/>
      <c r="N610" s="76"/>
      <c r="O610" s="49"/>
      <c r="P610" s="77"/>
      <c r="Q610" s="53"/>
      <c r="R610" s="54"/>
      <c r="S610" s="55"/>
      <c r="T610" s="56"/>
      <c r="U610" s="56"/>
      <c r="V610" s="42"/>
      <c r="W610" s="57"/>
      <c r="X610" s="58"/>
      <c r="Y610" s="75"/>
      <c r="Z610" s="59"/>
      <c r="AA610" s="61"/>
      <c r="AB610" s="61"/>
      <c r="AC610" s="61"/>
      <c r="AD610" s="62"/>
      <c r="AE610" s="62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x14ac:dyDescent="0.3">
      <c r="A611" s="39"/>
      <c r="B611" s="42"/>
      <c r="C611" s="42"/>
      <c r="D611" s="75"/>
      <c r="E611" s="75"/>
      <c r="F611" s="76"/>
      <c r="G611" s="47"/>
      <c r="H611" s="47"/>
      <c r="I611" s="75"/>
      <c r="J611" s="76"/>
      <c r="K611" s="76"/>
      <c r="L611" s="75"/>
      <c r="M611" s="49"/>
      <c r="N611" s="76"/>
      <c r="O611" s="49"/>
      <c r="P611" s="77"/>
      <c r="Q611" s="53"/>
      <c r="R611" s="54"/>
      <c r="S611" s="55"/>
      <c r="T611" s="56"/>
      <c r="U611" s="56"/>
      <c r="V611" s="42"/>
      <c r="W611" s="57"/>
      <c r="X611" s="58"/>
      <c r="Y611" s="75"/>
      <c r="Z611" s="59"/>
      <c r="AA611" s="61"/>
      <c r="AB611" s="61"/>
      <c r="AC611" s="61"/>
      <c r="AD611" s="62"/>
      <c r="AE611" s="62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x14ac:dyDescent="0.3">
      <c r="A612" s="39"/>
      <c r="B612" s="42"/>
      <c r="C612" s="42"/>
      <c r="D612" s="75"/>
      <c r="E612" s="75"/>
      <c r="F612" s="76"/>
      <c r="G612" s="47"/>
      <c r="H612" s="47"/>
      <c r="I612" s="75"/>
      <c r="J612" s="76"/>
      <c r="K612" s="76"/>
      <c r="L612" s="75"/>
      <c r="M612" s="49"/>
      <c r="N612" s="76"/>
      <c r="O612" s="49"/>
      <c r="P612" s="77"/>
      <c r="Q612" s="53"/>
      <c r="R612" s="54"/>
      <c r="S612" s="55"/>
      <c r="T612" s="56"/>
      <c r="U612" s="56"/>
      <c r="V612" s="42"/>
      <c r="W612" s="57"/>
      <c r="X612" s="58"/>
      <c r="Y612" s="75"/>
      <c r="Z612" s="59"/>
      <c r="AA612" s="61"/>
      <c r="AB612" s="61"/>
      <c r="AC612" s="61"/>
      <c r="AD612" s="62"/>
      <c r="AE612" s="62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x14ac:dyDescent="0.3">
      <c r="A613" s="39"/>
      <c r="B613" s="42"/>
      <c r="C613" s="42"/>
      <c r="D613" s="75"/>
      <c r="E613" s="75"/>
      <c r="F613" s="76"/>
      <c r="G613" s="47"/>
      <c r="H613" s="47"/>
      <c r="I613" s="75"/>
      <c r="J613" s="76"/>
      <c r="K613" s="76"/>
      <c r="L613" s="75"/>
      <c r="M613" s="49"/>
      <c r="N613" s="76"/>
      <c r="O613" s="49"/>
      <c r="P613" s="77"/>
      <c r="Q613" s="53"/>
      <c r="R613" s="54"/>
      <c r="S613" s="55"/>
      <c r="T613" s="56"/>
      <c r="U613" s="56"/>
      <c r="V613" s="42"/>
      <c r="W613" s="57"/>
      <c r="X613" s="58"/>
      <c r="Y613" s="75"/>
      <c r="Z613" s="59"/>
      <c r="AA613" s="61"/>
      <c r="AB613" s="61"/>
      <c r="AC613" s="61"/>
      <c r="AD613" s="62"/>
      <c r="AE613" s="62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x14ac:dyDescent="0.3">
      <c r="A614" s="39"/>
      <c r="B614" s="42"/>
      <c r="C614" s="42"/>
      <c r="D614" s="75"/>
      <c r="E614" s="75"/>
      <c r="F614" s="76"/>
      <c r="G614" s="47"/>
      <c r="H614" s="47"/>
      <c r="I614" s="75"/>
      <c r="J614" s="76"/>
      <c r="K614" s="76"/>
      <c r="L614" s="75"/>
      <c r="M614" s="49"/>
      <c r="N614" s="76"/>
      <c r="O614" s="49"/>
      <c r="P614" s="77"/>
      <c r="Q614" s="53"/>
      <c r="R614" s="54"/>
      <c r="S614" s="55"/>
      <c r="T614" s="56"/>
      <c r="U614" s="56"/>
      <c r="V614" s="42"/>
      <c r="W614" s="57"/>
      <c r="X614" s="58"/>
      <c r="Y614" s="75"/>
      <c r="Z614" s="59"/>
      <c r="AA614" s="61"/>
      <c r="AB614" s="61"/>
      <c r="AC614" s="61"/>
      <c r="AD614" s="62"/>
      <c r="AE614" s="62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x14ac:dyDescent="0.3">
      <c r="A615" s="39"/>
      <c r="B615" s="42"/>
      <c r="C615" s="42"/>
      <c r="D615" s="75"/>
      <c r="E615" s="75"/>
      <c r="F615" s="76"/>
      <c r="G615" s="47"/>
      <c r="H615" s="47"/>
      <c r="I615" s="75"/>
      <c r="J615" s="76"/>
      <c r="K615" s="76"/>
      <c r="L615" s="75"/>
      <c r="M615" s="49"/>
      <c r="N615" s="76"/>
      <c r="O615" s="49"/>
      <c r="P615" s="77"/>
      <c r="Q615" s="53"/>
      <c r="R615" s="54"/>
      <c r="S615" s="55"/>
      <c r="T615" s="56"/>
      <c r="U615" s="56"/>
      <c r="V615" s="42"/>
      <c r="W615" s="57"/>
      <c r="X615" s="58"/>
      <c r="Y615" s="75"/>
      <c r="Z615" s="59"/>
      <c r="AA615" s="61"/>
      <c r="AB615" s="61"/>
      <c r="AC615" s="61"/>
      <c r="AD615" s="62"/>
      <c r="AE615" s="62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x14ac:dyDescent="0.3">
      <c r="A616" s="39"/>
      <c r="B616" s="42"/>
      <c r="C616" s="42"/>
      <c r="D616" s="75"/>
      <c r="E616" s="75"/>
      <c r="F616" s="76"/>
      <c r="G616" s="47"/>
      <c r="H616" s="47"/>
      <c r="I616" s="75"/>
      <c r="J616" s="76"/>
      <c r="K616" s="76"/>
      <c r="L616" s="75"/>
      <c r="M616" s="49"/>
      <c r="N616" s="76"/>
      <c r="O616" s="49"/>
      <c r="P616" s="77"/>
      <c r="Q616" s="53"/>
      <c r="R616" s="54"/>
      <c r="S616" s="55"/>
      <c r="T616" s="56"/>
      <c r="U616" s="56"/>
      <c r="V616" s="42"/>
      <c r="W616" s="57"/>
      <c r="X616" s="58"/>
      <c r="Y616" s="75"/>
      <c r="Z616" s="59"/>
      <c r="AA616" s="61"/>
      <c r="AB616" s="61"/>
      <c r="AC616" s="61"/>
      <c r="AD616" s="62"/>
      <c r="AE616" s="62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x14ac:dyDescent="0.3">
      <c r="A617" s="39"/>
      <c r="B617" s="42"/>
      <c r="C617" s="42"/>
      <c r="D617" s="75"/>
      <c r="E617" s="75"/>
      <c r="F617" s="76"/>
      <c r="G617" s="47"/>
      <c r="H617" s="47"/>
      <c r="I617" s="75"/>
      <c r="J617" s="76"/>
      <c r="K617" s="76"/>
      <c r="L617" s="75"/>
      <c r="M617" s="49"/>
      <c r="N617" s="76"/>
      <c r="O617" s="49"/>
      <c r="P617" s="77"/>
      <c r="Q617" s="53"/>
      <c r="R617" s="54"/>
      <c r="S617" s="55"/>
      <c r="T617" s="56"/>
      <c r="U617" s="56"/>
      <c r="V617" s="42"/>
      <c r="W617" s="57"/>
      <c r="X617" s="58"/>
      <c r="Y617" s="75"/>
      <c r="Z617" s="59"/>
      <c r="AA617" s="61"/>
      <c r="AB617" s="61"/>
      <c r="AC617" s="61"/>
      <c r="AD617" s="62"/>
      <c r="AE617" s="62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x14ac:dyDescent="0.3">
      <c r="A618" s="39"/>
      <c r="B618" s="42"/>
      <c r="C618" s="42"/>
      <c r="D618" s="75"/>
      <c r="E618" s="75"/>
      <c r="F618" s="76"/>
      <c r="G618" s="47"/>
      <c r="H618" s="47"/>
      <c r="I618" s="75"/>
      <c r="J618" s="76"/>
      <c r="K618" s="76"/>
      <c r="L618" s="75"/>
      <c r="M618" s="49"/>
      <c r="N618" s="76"/>
      <c r="O618" s="49"/>
      <c r="P618" s="77"/>
      <c r="Q618" s="53"/>
      <c r="R618" s="54"/>
      <c r="S618" s="55"/>
      <c r="T618" s="56"/>
      <c r="U618" s="56"/>
      <c r="V618" s="42"/>
      <c r="W618" s="57"/>
      <c r="X618" s="58"/>
      <c r="Y618" s="75"/>
      <c r="Z618" s="59"/>
      <c r="AA618" s="61"/>
      <c r="AB618" s="61"/>
      <c r="AC618" s="61"/>
      <c r="AD618" s="62"/>
      <c r="AE618" s="62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x14ac:dyDescent="0.3">
      <c r="A619" s="39"/>
      <c r="B619" s="42"/>
      <c r="C619" s="42"/>
      <c r="D619" s="75"/>
      <c r="E619" s="75"/>
      <c r="F619" s="76"/>
      <c r="G619" s="47"/>
      <c r="H619" s="47"/>
      <c r="I619" s="75"/>
      <c r="J619" s="76"/>
      <c r="K619" s="76"/>
      <c r="L619" s="75"/>
      <c r="M619" s="49"/>
      <c r="N619" s="76"/>
      <c r="O619" s="49"/>
      <c r="P619" s="77"/>
      <c r="Q619" s="53"/>
      <c r="R619" s="54"/>
      <c r="S619" s="55"/>
      <c r="T619" s="56"/>
      <c r="U619" s="56"/>
      <c r="V619" s="42"/>
      <c r="W619" s="57"/>
      <c r="X619" s="58"/>
      <c r="Y619" s="75"/>
      <c r="Z619" s="59"/>
      <c r="AA619" s="61"/>
      <c r="AB619" s="61"/>
      <c r="AC619" s="61"/>
      <c r="AD619" s="62"/>
      <c r="AE619" s="62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x14ac:dyDescent="0.3">
      <c r="A620" s="39"/>
      <c r="B620" s="42"/>
      <c r="C620" s="42"/>
      <c r="D620" s="75"/>
      <c r="E620" s="75"/>
      <c r="F620" s="76"/>
      <c r="G620" s="47"/>
      <c r="H620" s="47"/>
      <c r="I620" s="75"/>
      <c r="J620" s="76"/>
      <c r="K620" s="76"/>
      <c r="L620" s="75"/>
      <c r="M620" s="49"/>
      <c r="N620" s="76"/>
      <c r="O620" s="49"/>
      <c r="P620" s="77"/>
      <c r="Q620" s="53"/>
      <c r="R620" s="54"/>
      <c r="S620" s="55"/>
      <c r="T620" s="56"/>
      <c r="U620" s="56"/>
      <c r="V620" s="42"/>
      <c r="W620" s="57"/>
      <c r="X620" s="58"/>
      <c r="Y620" s="75"/>
      <c r="Z620" s="59"/>
      <c r="AA620" s="61"/>
      <c r="AB620" s="61"/>
      <c r="AC620" s="61"/>
      <c r="AD620" s="62"/>
      <c r="AE620" s="62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x14ac:dyDescent="0.3">
      <c r="A621" s="39"/>
      <c r="B621" s="42"/>
      <c r="C621" s="42"/>
      <c r="D621" s="75"/>
      <c r="E621" s="75"/>
      <c r="F621" s="76"/>
      <c r="G621" s="47"/>
      <c r="H621" s="47"/>
      <c r="I621" s="75"/>
      <c r="J621" s="76"/>
      <c r="K621" s="76"/>
      <c r="L621" s="75"/>
      <c r="M621" s="49"/>
      <c r="N621" s="76"/>
      <c r="O621" s="49"/>
      <c r="P621" s="77"/>
      <c r="Q621" s="53"/>
      <c r="R621" s="54"/>
      <c r="S621" s="55"/>
      <c r="T621" s="56"/>
      <c r="U621" s="56"/>
      <c r="V621" s="42"/>
      <c r="W621" s="57"/>
      <c r="X621" s="58"/>
      <c r="Y621" s="75"/>
      <c r="Z621" s="59"/>
      <c r="AA621" s="61"/>
      <c r="AB621" s="61"/>
      <c r="AC621" s="61"/>
      <c r="AD621" s="62"/>
      <c r="AE621" s="62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x14ac:dyDescent="0.3">
      <c r="A622" s="39"/>
      <c r="B622" s="42"/>
      <c r="C622" s="42"/>
      <c r="D622" s="75"/>
      <c r="E622" s="75"/>
      <c r="F622" s="76"/>
      <c r="G622" s="47"/>
      <c r="H622" s="47"/>
      <c r="I622" s="75"/>
      <c r="J622" s="76"/>
      <c r="K622" s="76"/>
      <c r="L622" s="75"/>
      <c r="M622" s="49"/>
      <c r="N622" s="76"/>
      <c r="O622" s="49"/>
      <c r="P622" s="77"/>
      <c r="Q622" s="53"/>
      <c r="R622" s="54"/>
      <c r="S622" s="55"/>
      <c r="T622" s="56"/>
      <c r="U622" s="56"/>
      <c r="V622" s="42"/>
      <c r="W622" s="57"/>
      <c r="X622" s="58"/>
      <c r="Y622" s="75"/>
      <c r="Z622" s="59"/>
      <c r="AA622" s="61"/>
      <c r="AB622" s="61"/>
      <c r="AC622" s="61"/>
      <c r="AD622" s="62"/>
      <c r="AE622" s="62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x14ac:dyDescent="0.3">
      <c r="A623" s="39"/>
      <c r="B623" s="42"/>
      <c r="C623" s="42"/>
      <c r="D623" s="75"/>
      <c r="E623" s="75"/>
      <c r="F623" s="76"/>
      <c r="G623" s="47"/>
      <c r="H623" s="47"/>
      <c r="I623" s="75"/>
      <c r="J623" s="76"/>
      <c r="K623" s="76"/>
      <c r="L623" s="75"/>
      <c r="M623" s="49"/>
      <c r="N623" s="76"/>
      <c r="O623" s="49"/>
      <c r="P623" s="77"/>
      <c r="Q623" s="53"/>
      <c r="R623" s="54"/>
      <c r="S623" s="55"/>
      <c r="T623" s="56"/>
      <c r="U623" s="56"/>
      <c r="V623" s="42"/>
      <c r="W623" s="57"/>
      <c r="X623" s="58"/>
      <c r="Y623" s="75"/>
      <c r="Z623" s="59"/>
      <c r="AA623" s="61"/>
      <c r="AB623" s="61"/>
      <c r="AC623" s="61"/>
      <c r="AD623" s="62"/>
      <c r="AE623" s="62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x14ac:dyDescent="0.3">
      <c r="A624" s="39"/>
      <c r="B624" s="42"/>
      <c r="C624" s="42"/>
      <c r="D624" s="75"/>
      <c r="E624" s="75"/>
      <c r="F624" s="76"/>
      <c r="G624" s="47"/>
      <c r="H624" s="47"/>
      <c r="I624" s="75"/>
      <c r="J624" s="76"/>
      <c r="K624" s="76"/>
      <c r="L624" s="75"/>
      <c r="M624" s="49"/>
      <c r="N624" s="76"/>
      <c r="O624" s="49"/>
      <c r="P624" s="77"/>
      <c r="Q624" s="53"/>
      <c r="R624" s="54"/>
      <c r="S624" s="55"/>
      <c r="T624" s="56"/>
      <c r="U624" s="56"/>
      <c r="V624" s="42"/>
      <c r="W624" s="57"/>
      <c r="X624" s="58"/>
      <c r="Y624" s="75"/>
      <c r="Z624" s="59"/>
      <c r="AA624" s="61"/>
      <c r="AB624" s="61"/>
      <c r="AC624" s="61"/>
      <c r="AD624" s="62"/>
      <c r="AE624" s="62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x14ac:dyDescent="0.3">
      <c r="A625" s="39"/>
      <c r="B625" s="42"/>
      <c r="C625" s="42"/>
      <c r="D625" s="75"/>
      <c r="E625" s="75"/>
      <c r="F625" s="76"/>
      <c r="G625" s="47"/>
      <c r="H625" s="47"/>
      <c r="I625" s="75"/>
      <c r="J625" s="76"/>
      <c r="K625" s="76"/>
      <c r="L625" s="75"/>
      <c r="M625" s="49"/>
      <c r="N625" s="76"/>
      <c r="O625" s="49"/>
      <c r="P625" s="77"/>
      <c r="Q625" s="53"/>
      <c r="R625" s="54"/>
      <c r="S625" s="55"/>
      <c r="T625" s="56"/>
      <c r="U625" s="56"/>
      <c r="V625" s="42"/>
      <c r="W625" s="57"/>
      <c r="X625" s="58"/>
      <c r="Y625" s="75"/>
      <c r="Z625" s="59"/>
      <c r="AA625" s="61"/>
      <c r="AB625" s="61"/>
      <c r="AC625" s="61"/>
      <c r="AD625" s="62"/>
      <c r="AE625" s="62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x14ac:dyDescent="0.3">
      <c r="A626" s="39"/>
      <c r="B626" s="42"/>
      <c r="C626" s="42"/>
      <c r="D626" s="75"/>
      <c r="E626" s="75"/>
      <c r="F626" s="76"/>
      <c r="G626" s="47"/>
      <c r="H626" s="47"/>
      <c r="I626" s="75"/>
      <c r="J626" s="76"/>
      <c r="K626" s="76"/>
      <c r="L626" s="75"/>
      <c r="M626" s="49"/>
      <c r="N626" s="76"/>
      <c r="O626" s="49"/>
      <c r="P626" s="77"/>
      <c r="Q626" s="53"/>
      <c r="R626" s="54"/>
      <c r="S626" s="55"/>
      <c r="T626" s="56"/>
      <c r="U626" s="56"/>
      <c r="V626" s="42"/>
      <c r="W626" s="57"/>
      <c r="X626" s="58"/>
      <c r="Y626" s="75"/>
      <c r="Z626" s="59"/>
      <c r="AA626" s="61"/>
      <c r="AB626" s="61"/>
      <c r="AC626" s="61"/>
      <c r="AD626" s="62"/>
      <c r="AE626" s="62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x14ac:dyDescent="0.3">
      <c r="A627" s="39"/>
      <c r="B627" s="42"/>
      <c r="C627" s="42"/>
      <c r="D627" s="75"/>
      <c r="E627" s="75"/>
      <c r="F627" s="76"/>
      <c r="G627" s="47"/>
      <c r="H627" s="47"/>
      <c r="I627" s="75"/>
      <c r="J627" s="76"/>
      <c r="K627" s="76"/>
      <c r="L627" s="75"/>
      <c r="M627" s="49"/>
      <c r="N627" s="76"/>
      <c r="O627" s="49"/>
      <c r="P627" s="77"/>
      <c r="Q627" s="53"/>
      <c r="R627" s="54"/>
      <c r="S627" s="55"/>
      <c r="T627" s="56"/>
      <c r="U627" s="56"/>
      <c r="V627" s="42"/>
      <c r="W627" s="57"/>
      <c r="X627" s="58"/>
      <c r="Y627" s="75"/>
      <c r="Z627" s="59"/>
      <c r="AA627" s="61"/>
      <c r="AB627" s="61"/>
      <c r="AC627" s="61"/>
      <c r="AD627" s="62"/>
      <c r="AE627" s="62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x14ac:dyDescent="0.3">
      <c r="A628" s="39"/>
      <c r="B628" s="42"/>
      <c r="C628" s="42"/>
      <c r="D628" s="75"/>
      <c r="E628" s="75"/>
      <c r="F628" s="76"/>
      <c r="G628" s="47"/>
      <c r="H628" s="47"/>
      <c r="I628" s="75"/>
      <c r="J628" s="76"/>
      <c r="K628" s="76"/>
      <c r="L628" s="75"/>
      <c r="M628" s="49"/>
      <c r="N628" s="76"/>
      <c r="O628" s="49"/>
      <c r="P628" s="77"/>
      <c r="Q628" s="53"/>
      <c r="R628" s="54"/>
      <c r="S628" s="55"/>
      <c r="T628" s="56"/>
      <c r="U628" s="56"/>
      <c r="V628" s="42"/>
      <c r="W628" s="57"/>
      <c r="X628" s="58"/>
      <c r="Y628" s="75"/>
      <c r="Z628" s="59"/>
      <c r="AA628" s="61"/>
      <c r="AB628" s="61"/>
      <c r="AC628" s="61"/>
      <c r="AD628" s="62"/>
      <c r="AE628" s="62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x14ac:dyDescent="0.3">
      <c r="A629" s="39"/>
      <c r="B629" s="42"/>
      <c r="C629" s="42"/>
      <c r="D629" s="75"/>
      <c r="E629" s="75"/>
      <c r="F629" s="76"/>
      <c r="G629" s="47"/>
      <c r="H629" s="47"/>
      <c r="I629" s="75"/>
      <c r="J629" s="76"/>
      <c r="K629" s="76"/>
      <c r="L629" s="75"/>
      <c r="M629" s="49"/>
      <c r="N629" s="76"/>
      <c r="O629" s="49"/>
      <c r="P629" s="77"/>
      <c r="Q629" s="53"/>
      <c r="R629" s="54"/>
      <c r="S629" s="55"/>
      <c r="T629" s="56"/>
      <c r="U629" s="56"/>
      <c r="V629" s="42"/>
      <c r="W629" s="57"/>
      <c r="X629" s="58"/>
      <c r="Y629" s="75"/>
      <c r="Z629" s="59"/>
      <c r="AA629" s="61"/>
      <c r="AB629" s="61"/>
      <c r="AC629" s="61"/>
      <c r="AD629" s="62"/>
      <c r="AE629" s="62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x14ac:dyDescent="0.3">
      <c r="A630" s="39"/>
      <c r="B630" s="42"/>
      <c r="C630" s="42"/>
      <c r="D630" s="75"/>
      <c r="E630" s="75"/>
      <c r="F630" s="76"/>
      <c r="G630" s="47"/>
      <c r="H630" s="47"/>
      <c r="I630" s="75"/>
      <c r="J630" s="76"/>
      <c r="K630" s="76"/>
      <c r="L630" s="75"/>
      <c r="M630" s="49"/>
      <c r="N630" s="76"/>
      <c r="O630" s="49"/>
      <c r="P630" s="77"/>
      <c r="Q630" s="53"/>
      <c r="R630" s="54"/>
      <c r="S630" s="55"/>
      <c r="T630" s="56"/>
      <c r="U630" s="56"/>
      <c r="V630" s="42"/>
      <c r="W630" s="57"/>
      <c r="X630" s="58"/>
      <c r="Y630" s="75"/>
      <c r="Z630" s="59"/>
      <c r="AA630" s="61"/>
      <c r="AB630" s="61"/>
      <c r="AC630" s="61"/>
      <c r="AD630" s="62"/>
      <c r="AE630" s="62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x14ac:dyDescent="0.3">
      <c r="A631" s="39"/>
      <c r="B631" s="42"/>
      <c r="C631" s="42"/>
      <c r="D631" s="75"/>
      <c r="E631" s="75"/>
      <c r="F631" s="76"/>
      <c r="G631" s="47"/>
      <c r="H631" s="47"/>
      <c r="I631" s="75"/>
      <c r="J631" s="76"/>
      <c r="K631" s="76"/>
      <c r="L631" s="75"/>
      <c r="M631" s="49"/>
      <c r="N631" s="76"/>
      <c r="O631" s="49"/>
      <c r="P631" s="77"/>
      <c r="Q631" s="53"/>
      <c r="R631" s="54"/>
      <c r="S631" s="55"/>
      <c r="T631" s="56"/>
      <c r="U631" s="56"/>
      <c r="V631" s="42"/>
      <c r="W631" s="57"/>
      <c r="X631" s="58"/>
      <c r="Y631" s="75"/>
      <c r="Z631" s="59"/>
      <c r="AA631" s="61"/>
      <c r="AB631" s="61"/>
      <c r="AC631" s="61"/>
      <c r="AD631" s="62"/>
      <c r="AE631" s="62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x14ac:dyDescent="0.3">
      <c r="A632" s="39"/>
      <c r="B632" s="42"/>
      <c r="C632" s="42"/>
      <c r="D632" s="75"/>
      <c r="E632" s="75"/>
      <c r="F632" s="76"/>
      <c r="G632" s="47"/>
      <c r="H632" s="47"/>
      <c r="I632" s="75"/>
      <c r="J632" s="76"/>
      <c r="K632" s="76"/>
      <c r="L632" s="75"/>
      <c r="M632" s="49"/>
      <c r="N632" s="76"/>
      <c r="O632" s="49"/>
      <c r="P632" s="77"/>
      <c r="Q632" s="53"/>
      <c r="R632" s="54"/>
      <c r="S632" s="55"/>
      <c r="T632" s="56"/>
      <c r="U632" s="56"/>
      <c r="V632" s="42"/>
      <c r="W632" s="57"/>
      <c r="X632" s="58"/>
      <c r="Y632" s="75"/>
      <c r="Z632" s="59"/>
      <c r="AA632" s="61"/>
      <c r="AB632" s="61"/>
      <c r="AC632" s="61"/>
      <c r="AD632" s="62"/>
      <c r="AE632" s="62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x14ac:dyDescent="0.3">
      <c r="A633" s="39"/>
      <c r="B633" s="42"/>
      <c r="C633" s="42"/>
      <c r="D633" s="75"/>
      <c r="E633" s="75"/>
      <c r="F633" s="76"/>
      <c r="G633" s="47"/>
      <c r="H633" s="47"/>
      <c r="I633" s="75"/>
      <c r="J633" s="76"/>
      <c r="K633" s="76"/>
      <c r="L633" s="75"/>
      <c r="M633" s="49"/>
      <c r="N633" s="76"/>
      <c r="O633" s="49"/>
      <c r="P633" s="77"/>
      <c r="Q633" s="53"/>
      <c r="R633" s="54"/>
      <c r="S633" s="55"/>
      <c r="T633" s="56"/>
      <c r="U633" s="56"/>
      <c r="V633" s="42"/>
      <c r="W633" s="57"/>
      <c r="X633" s="58"/>
      <c r="Y633" s="75"/>
      <c r="Z633" s="59"/>
      <c r="AA633" s="61"/>
      <c r="AB633" s="61"/>
      <c r="AC633" s="61"/>
      <c r="AD633" s="62"/>
      <c r="AE633" s="62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x14ac:dyDescent="0.3">
      <c r="A634" s="39"/>
      <c r="B634" s="42"/>
      <c r="C634" s="42"/>
      <c r="D634" s="75"/>
      <c r="E634" s="75"/>
      <c r="F634" s="76"/>
      <c r="G634" s="47"/>
      <c r="H634" s="47"/>
      <c r="I634" s="75"/>
      <c r="J634" s="76"/>
      <c r="K634" s="76"/>
      <c r="L634" s="75"/>
      <c r="M634" s="49"/>
      <c r="N634" s="76"/>
      <c r="O634" s="49"/>
      <c r="P634" s="77"/>
      <c r="Q634" s="53"/>
      <c r="R634" s="54"/>
      <c r="S634" s="55"/>
      <c r="T634" s="56"/>
      <c r="U634" s="56"/>
      <c r="V634" s="42"/>
      <c r="W634" s="57"/>
      <c r="X634" s="58"/>
      <c r="Y634" s="75"/>
      <c r="Z634" s="59"/>
      <c r="AA634" s="61"/>
      <c r="AB634" s="61"/>
      <c r="AC634" s="61"/>
      <c r="AD634" s="62"/>
      <c r="AE634" s="62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x14ac:dyDescent="0.3">
      <c r="A635" s="39"/>
      <c r="B635" s="42"/>
      <c r="C635" s="42"/>
      <c r="D635" s="75"/>
      <c r="E635" s="75"/>
      <c r="F635" s="76"/>
      <c r="G635" s="47"/>
      <c r="H635" s="47"/>
      <c r="I635" s="75"/>
      <c r="J635" s="76"/>
      <c r="K635" s="76"/>
      <c r="L635" s="75"/>
      <c r="M635" s="49"/>
      <c r="N635" s="76"/>
      <c r="O635" s="49"/>
      <c r="P635" s="77"/>
      <c r="Q635" s="53"/>
      <c r="R635" s="54"/>
      <c r="S635" s="55"/>
      <c r="T635" s="56"/>
      <c r="U635" s="56"/>
      <c r="V635" s="42"/>
      <c r="W635" s="57"/>
      <c r="X635" s="58"/>
      <c r="Y635" s="75"/>
      <c r="Z635" s="59"/>
      <c r="AA635" s="61"/>
      <c r="AB635" s="61"/>
      <c r="AC635" s="61"/>
      <c r="AD635" s="62"/>
      <c r="AE635" s="62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x14ac:dyDescent="0.3">
      <c r="A636" s="39"/>
      <c r="B636" s="42"/>
      <c r="C636" s="42"/>
      <c r="D636" s="75"/>
      <c r="E636" s="75"/>
      <c r="F636" s="76"/>
      <c r="G636" s="47"/>
      <c r="H636" s="47"/>
      <c r="I636" s="75"/>
      <c r="J636" s="76"/>
      <c r="K636" s="76"/>
      <c r="L636" s="75"/>
      <c r="M636" s="49"/>
      <c r="N636" s="76"/>
      <c r="O636" s="49"/>
      <c r="P636" s="77"/>
      <c r="Q636" s="53"/>
      <c r="R636" s="54"/>
      <c r="S636" s="55"/>
      <c r="T636" s="56"/>
      <c r="U636" s="56"/>
      <c r="V636" s="42"/>
      <c r="W636" s="57"/>
      <c r="X636" s="58"/>
      <c r="Y636" s="75"/>
      <c r="Z636" s="59"/>
      <c r="AA636" s="61"/>
      <c r="AB636" s="61"/>
      <c r="AC636" s="61"/>
      <c r="AD636" s="62"/>
      <c r="AE636" s="62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x14ac:dyDescent="0.3">
      <c r="A637" s="39"/>
      <c r="B637" s="42"/>
      <c r="C637" s="42"/>
      <c r="D637" s="75"/>
      <c r="E637" s="75"/>
      <c r="F637" s="76"/>
      <c r="G637" s="47"/>
      <c r="H637" s="47"/>
      <c r="I637" s="75"/>
      <c r="J637" s="76"/>
      <c r="K637" s="76"/>
      <c r="L637" s="75"/>
      <c r="M637" s="49"/>
      <c r="N637" s="76"/>
      <c r="O637" s="49"/>
      <c r="P637" s="77"/>
      <c r="Q637" s="53"/>
      <c r="R637" s="54"/>
      <c r="S637" s="55"/>
      <c r="T637" s="56"/>
      <c r="U637" s="56"/>
      <c r="V637" s="42"/>
      <c r="W637" s="57"/>
      <c r="X637" s="58"/>
      <c r="Y637" s="75"/>
      <c r="Z637" s="59"/>
      <c r="AA637" s="61"/>
      <c r="AB637" s="61"/>
      <c r="AC637" s="61"/>
      <c r="AD637" s="62"/>
      <c r="AE637" s="62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x14ac:dyDescent="0.3">
      <c r="A638" s="39"/>
      <c r="B638" s="42"/>
      <c r="C638" s="42"/>
      <c r="D638" s="75"/>
      <c r="E638" s="75"/>
      <c r="F638" s="76"/>
      <c r="G638" s="47"/>
      <c r="H638" s="47"/>
      <c r="I638" s="75"/>
      <c r="J638" s="76"/>
      <c r="K638" s="76"/>
      <c r="L638" s="75"/>
      <c r="M638" s="49"/>
      <c r="N638" s="76"/>
      <c r="O638" s="49"/>
      <c r="P638" s="77"/>
      <c r="Q638" s="53"/>
      <c r="R638" s="54"/>
      <c r="S638" s="55"/>
      <c r="T638" s="56"/>
      <c r="U638" s="56"/>
      <c r="V638" s="42"/>
      <c r="W638" s="57"/>
      <c r="X638" s="58"/>
      <c r="Y638" s="75"/>
      <c r="Z638" s="59"/>
      <c r="AA638" s="61"/>
      <c r="AB638" s="61"/>
      <c r="AC638" s="61"/>
      <c r="AD638" s="62"/>
      <c r="AE638" s="62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x14ac:dyDescent="0.3">
      <c r="A639" s="39"/>
      <c r="B639" s="42"/>
      <c r="C639" s="42"/>
      <c r="D639" s="75"/>
      <c r="E639" s="75"/>
      <c r="F639" s="76"/>
      <c r="G639" s="47"/>
      <c r="H639" s="47"/>
      <c r="I639" s="75"/>
      <c r="J639" s="76"/>
      <c r="K639" s="76"/>
      <c r="L639" s="75"/>
      <c r="M639" s="49"/>
      <c r="N639" s="76"/>
      <c r="O639" s="49"/>
      <c r="P639" s="77"/>
      <c r="Q639" s="53"/>
      <c r="R639" s="54"/>
      <c r="S639" s="55"/>
      <c r="T639" s="56"/>
      <c r="U639" s="56"/>
      <c r="V639" s="42"/>
      <c r="W639" s="57"/>
      <c r="X639" s="58"/>
      <c r="Y639" s="75"/>
      <c r="Z639" s="59"/>
      <c r="AA639" s="61"/>
      <c r="AB639" s="61"/>
      <c r="AC639" s="61"/>
      <c r="AD639" s="62"/>
      <c r="AE639" s="62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x14ac:dyDescent="0.3">
      <c r="A640" s="39"/>
      <c r="B640" s="42"/>
      <c r="C640" s="42"/>
      <c r="D640" s="75"/>
      <c r="E640" s="75"/>
      <c r="F640" s="76"/>
      <c r="G640" s="47"/>
      <c r="H640" s="47"/>
      <c r="I640" s="75"/>
      <c r="J640" s="76"/>
      <c r="K640" s="76"/>
      <c r="L640" s="75"/>
      <c r="M640" s="49"/>
      <c r="N640" s="76"/>
      <c r="O640" s="49"/>
      <c r="P640" s="77"/>
      <c r="Q640" s="53"/>
      <c r="R640" s="54"/>
      <c r="S640" s="55"/>
      <c r="T640" s="56"/>
      <c r="U640" s="56"/>
      <c r="V640" s="42"/>
      <c r="W640" s="57"/>
      <c r="X640" s="58"/>
      <c r="Y640" s="75"/>
      <c r="Z640" s="59"/>
      <c r="AA640" s="61"/>
      <c r="AB640" s="61"/>
      <c r="AC640" s="61"/>
      <c r="AD640" s="62"/>
      <c r="AE640" s="62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x14ac:dyDescent="0.3">
      <c r="A641" s="39"/>
      <c r="B641" s="42"/>
      <c r="C641" s="42"/>
      <c r="D641" s="75"/>
      <c r="E641" s="75"/>
      <c r="F641" s="76"/>
      <c r="G641" s="47"/>
      <c r="H641" s="47"/>
      <c r="I641" s="75"/>
      <c r="J641" s="76"/>
      <c r="K641" s="76"/>
      <c r="L641" s="75"/>
      <c r="M641" s="49"/>
      <c r="N641" s="76"/>
      <c r="O641" s="49"/>
      <c r="P641" s="77"/>
      <c r="Q641" s="53"/>
      <c r="R641" s="54"/>
      <c r="S641" s="55"/>
      <c r="T641" s="56"/>
      <c r="U641" s="56"/>
      <c r="V641" s="42"/>
      <c r="W641" s="57"/>
      <c r="X641" s="58"/>
      <c r="Y641" s="75"/>
      <c r="Z641" s="59"/>
      <c r="AA641" s="61"/>
      <c r="AB641" s="61"/>
      <c r="AC641" s="61"/>
      <c r="AD641" s="62"/>
      <c r="AE641" s="62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x14ac:dyDescent="0.3">
      <c r="A642" s="39"/>
      <c r="B642" s="42"/>
      <c r="C642" s="42"/>
      <c r="D642" s="75"/>
      <c r="E642" s="75"/>
      <c r="F642" s="76"/>
      <c r="G642" s="47"/>
      <c r="H642" s="47"/>
      <c r="I642" s="75"/>
      <c r="J642" s="76"/>
      <c r="K642" s="76"/>
      <c r="L642" s="75"/>
      <c r="M642" s="49"/>
      <c r="N642" s="76"/>
      <c r="O642" s="49"/>
      <c r="P642" s="77"/>
      <c r="Q642" s="53"/>
      <c r="R642" s="54"/>
      <c r="S642" s="55"/>
      <c r="T642" s="56"/>
      <c r="U642" s="56"/>
      <c r="V642" s="42"/>
      <c r="W642" s="57"/>
      <c r="X642" s="58"/>
      <c r="Y642" s="75"/>
      <c r="Z642" s="59"/>
      <c r="AA642" s="61"/>
      <c r="AB642" s="61"/>
      <c r="AC642" s="61"/>
      <c r="AD642" s="62"/>
      <c r="AE642" s="62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x14ac:dyDescent="0.3">
      <c r="A643" s="39"/>
      <c r="B643" s="42"/>
      <c r="C643" s="42"/>
      <c r="D643" s="75"/>
      <c r="E643" s="75"/>
      <c r="F643" s="76"/>
      <c r="G643" s="47"/>
      <c r="H643" s="47"/>
      <c r="I643" s="75"/>
      <c r="J643" s="76"/>
      <c r="K643" s="76"/>
      <c r="L643" s="75"/>
      <c r="M643" s="49"/>
      <c r="N643" s="76"/>
      <c r="O643" s="49"/>
      <c r="P643" s="77"/>
      <c r="Q643" s="53"/>
      <c r="R643" s="54"/>
      <c r="S643" s="55"/>
      <c r="T643" s="56"/>
      <c r="U643" s="56"/>
      <c r="V643" s="42"/>
      <c r="W643" s="57"/>
      <c r="X643" s="58"/>
      <c r="Y643" s="75"/>
      <c r="Z643" s="59"/>
      <c r="AA643" s="61"/>
      <c r="AB643" s="61"/>
      <c r="AC643" s="61"/>
      <c r="AD643" s="62"/>
      <c r="AE643" s="62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x14ac:dyDescent="0.3">
      <c r="A644" s="39"/>
      <c r="B644" s="42"/>
      <c r="C644" s="42"/>
      <c r="D644" s="75"/>
      <c r="E644" s="75"/>
      <c r="F644" s="76"/>
      <c r="G644" s="47"/>
      <c r="H644" s="47"/>
      <c r="I644" s="75"/>
      <c r="J644" s="76"/>
      <c r="K644" s="76"/>
      <c r="L644" s="75"/>
      <c r="M644" s="49"/>
      <c r="N644" s="76"/>
      <c r="O644" s="49"/>
      <c r="P644" s="77"/>
      <c r="Q644" s="53"/>
      <c r="R644" s="54"/>
      <c r="S644" s="55"/>
      <c r="T644" s="56"/>
      <c r="U644" s="56"/>
      <c r="V644" s="42"/>
      <c r="W644" s="57"/>
      <c r="X644" s="58"/>
      <c r="Y644" s="75"/>
      <c r="Z644" s="59"/>
      <c r="AA644" s="61"/>
      <c r="AB644" s="61"/>
      <c r="AC644" s="61"/>
      <c r="AD644" s="62"/>
      <c r="AE644" s="62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x14ac:dyDescent="0.3">
      <c r="A645" s="39"/>
      <c r="B645" s="42"/>
      <c r="C645" s="42"/>
      <c r="D645" s="75"/>
      <c r="E645" s="75"/>
      <c r="F645" s="76"/>
      <c r="G645" s="47"/>
      <c r="H645" s="47"/>
      <c r="I645" s="75"/>
      <c r="J645" s="76"/>
      <c r="K645" s="76"/>
      <c r="L645" s="75"/>
      <c r="M645" s="49"/>
      <c r="N645" s="76"/>
      <c r="O645" s="49"/>
      <c r="P645" s="77"/>
      <c r="Q645" s="53"/>
      <c r="R645" s="54"/>
      <c r="S645" s="55"/>
      <c r="T645" s="56"/>
      <c r="U645" s="56"/>
      <c r="V645" s="42"/>
      <c r="W645" s="57"/>
      <c r="X645" s="58"/>
      <c r="Y645" s="75"/>
      <c r="Z645" s="59"/>
      <c r="AA645" s="61"/>
      <c r="AB645" s="61"/>
      <c r="AC645" s="61"/>
      <c r="AD645" s="62"/>
      <c r="AE645" s="62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x14ac:dyDescent="0.3">
      <c r="A646" s="39"/>
      <c r="B646" s="42"/>
      <c r="C646" s="42"/>
      <c r="D646" s="75"/>
      <c r="E646" s="75"/>
      <c r="F646" s="76"/>
      <c r="G646" s="47"/>
      <c r="H646" s="47"/>
      <c r="I646" s="75"/>
      <c r="J646" s="76"/>
      <c r="K646" s="76"/>
      <c r="L646" s="75"/>
      <c r="M646" s="49"/>
      <c r="N646" s="76"/>
      <c r="O646" s="49"/>
      <c r="P646" s="77"/>
      <c r="Q646" s="53"/>
      <c r="R646" s="54"/>
      <c r="S646" s="55"/>
      <c r="T646" s="56"/>
      <c r="U646" s="56"/>
      <c r="V646" s="42"/>
      <c r="W646" s="57"/>
      <c r="X646" s="58"/>
      <c r="Y646" s="75"/>
      <c r="Z646" s="59"/>
      <c r="AA646" s="61"/>
      <c r="AB646" s="61"/>
      <c r="AC646" s="61"/>
      <c r="AD646" s="62"/>
      <c r="AE646" s="62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x14ac:dyDescent="0.3">
      <c r="A647" s="39"/>
      <c r="B647" s="42"/>
      <c r="C647" s="42"/>
      <c r="D647" s="75"/>
      <c r="E647" s="75"/>
      <c r="F647" s="76"/>
      <c r="G647" s="47"/>
      <c r="H647" s="47"/>
      <c r="I647" s="75"/>
      <c r="J647" s="76"/>
      <c r="K647" s="76"/>
      <c r="L647" s="75"/>
      <c r="M647" s="49"/>
      <c r="N647" s="76"/>
      <c r="O647" s="49"/>
      <c r="P647" s="77"/>
      <c r="Q647" s="53"/>
      <c r="R647" s="54"/>
      <c r="S647" s="55"/>
      <c r="T647" s="56"/>
      <c r="U647" s="56"/>
      <c r="V647" s="42"/>
      <c r="W647" s="57"/>
      <c r="X647" s="58"/>
      <c r="Y647" s="75"/>
      <c r="Z647" s="59"/>
      <c r="AA647" s="61"/>
      <c r="AB647" s="61"/>
      <c r="AC647" s="61"/>
      <c r="AD647" s="62"/>
      <c r="AE647" s="62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x14ac:dyDescent="0.3">
      <c r="A648" s="39"/>
      <c r="B648" s="42"/>
      <c r="C648" s="42"/>
      <c r="D648" s="75"/>
      <c r="E648" s="75"/>
      <c r="F648" s="76"/>
      <c r="G648" s="47"/>
      <c r="H648" s="47"/>
      <c r="I648" s="75"/>
      <c r="J648" s="76"/>
      <c r="K648" s="76"/>
      <c r="L648" s="75"/>
      <c r="M648" s="49"/>
      <c r="N648" s="76"/>
      <c r="O648" s="49"/>
      <c r="P648" s="77"/>
      <c r="Q648" s="53"/>
      <c r="R648" s="54"/>
      <c r="S648" s="55"/>
      <c r="T648" s="56"/>
      <c r="U648" s="56"/>
      <c r="V648" s="42"/>
      <c r="W648" s="57"/>
      <c r="X648" s="58"/>
      <c r="Y648" s="75"/>
      <c r="Z648" s="59"/>
      <c r="AA648" s="61"/>
      <c r="AB648" s="61"/>
      <c r="AC648" s="61"/>
      <c r="AD648" s="62"/>
      <c r="AE648" s="62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x14ac:dyDescent="0.3">
      <c r="A649" s="39"/>
      <c r="B649" s="42"/>
      <c r="C649" s="42"/>
      <c r="D649" s="75"/>
      <c r="E649" s="75"/>
      <c r="F649" s="76"/>
      <c r="G649" s="47"/>
      <c r="H649" s="47"/>
      <c r="I649" s="75"/>
      <c r="J649" s="76"/>
      <c r="K649" s="76"/>
      <c r="L649" s="75"/>
      <c r="M649" s="49"/>
      <c r="N649" s="76"/>
      <c r="O649" s="49"/>
      <c r="P649" s="77"/>
      <c r="Q649" s="53"/>
      <c r="R649" s="54"/>
      <c r="S649" s="55"/>
      <c r="T649" s="56"/>
      <c r="U649" s="56"/>
      <c r="V649" s="42"/>
      <c r="W649" s="57"/>
      <c r="X649" s="58"/>
      <c r="Y649" s="75"/>
      <c r="Z649" s="59"/>
      <c r="AA649" s="61"/>
      <c r="AB649" s="61"/>
      <c r="AC649" s="61"/>
      <c r="AD649" s="62"/>
      <c r="AE649" s="62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x14ac:dyDescent="0.3">
      <c r="A650" s="39"/>
      <c r="B650" s="42"/>
      <c r="C650" s="42"/>
      <c r="D650" s="75"/>
      <c r="E650" s="75"/>
      <c r="F650" s="76"/>
      <c r="G650" s="47"/>
      <c r="H650" s="47"/>
      <c r="I650" s="75"/>
      <c r="J650" s="76"/>
      <c r="K650" s="76"/>
      <c r="L650" s="75"/>
      <c r="M650" s="49"/>
      <c r="N650" s="76"/>
      <c r="O650" s="49"/>
      <c r="P650" s="77"/>
      <c r="Q650" s="53"/>
      <c r="R650" s="54"/>
      <c r="S650" s="55"/>
      <c r="T650" s="56"/>
      <c r="U650" s="56"/>
      <c r="V650" s="42"/>
      <c r="W650" s="57"/>
      <c r="X650" s="58"/>
      <c r="Y650" s="75"/>
      <c r="Z650" s="59"/>
      <c r="AA650" s="61"/>
      <c r="AB650" s="61"/>
      <c r="AC650" s="61"/>
      <c r="AD650" s="62"/>
      <c r="AE650" s="62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x14ac:dyDescent="0.3">
      <c r="A651" s="39"/>
      <c r="B651" s="42"/>
      <c r="C651" s="42"/>
      <c r="D651" s="75"/>
      <c r="E651" s="75"/>
      <c r="F651" s="76"/>
      <c r="G651" s="47"/>
      <c r="H651" s="47"/>
      <c r="I651" s="75"/>
      <c r="J651" s="76"/>
      <c r="K651" s="76"/>
      <c r="L651" s="75"/>
      <c r="M651" s="49"/>
      <c r="N651" s="76"/>
      <c r="O651" s="49"/>
      <c r="P651" s="77"/>
      <c r="Q651" s="53"/>
      <c r="R651" s="54"/>
      <c r="S651" s="55"/>
      <c r="T651" s="56"/>
      <c r="U651" s="56"/>
      <c r="V651" s="42"/>
      <c r="W651" s="57"/>
      <c r="X651" s="58"/>
      <c r="Y651" s="75"/>
      <c r="Z651" s="59"/>
      <c r="AA651" s="61"/>
      <c r="AB651" s="61"/>
      <c r="AC651" s="61"/>
      <c r="AD651" s="62"/>
      <c r="AE651" s="62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x14ac:dyDescent="0.3">
      <c r="A652" s="39"/>
      <c r="B652" s="42"/>
      <c r="C652" s="42"/>
      <c r="D652" s="75"/>
      <c r="E652" s="75"/>
      <c r="F652" s="76"/>
      <c r="G652" s="47"/>
      <c r="H652" s="47"/>
      <c r="I652" s="75"/>
      <c r="J652" s="76"/>
      <c r="K652" s="76"/>
      <c r="L652" s="75"/>
      <c r="M652" s="49"/>
      <c r="N652" s="76"/>
      <c r="O652" s="49"/>
      <c r="P652" s="77"/>
      <c r="Q652" s="53"/>
      <c r="R652" s="54"/>
      <c r="S652" s="55"/>
      <c r="T652" s="56"/>
      <c r="U652" s="56"/>
      <c r="V652" s="42"/>
      <c r="W652" s="57"/>
      <c r="X652" s="58"/>
      <c r="Y652" s="75"/>
      <c r="Z652" s="59"/>
      <c r="AA652" s="61"/>
      <c r="AB652" s="61"/>
      <c r="AC652" s="61"/>
      <c r="AD652" s="62"/>
      <c r="AE652" s="62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x14ac:dyDescent="0.3">
      <c r="A653" s="39"/>
      <c r="B653" s="42"/>
      <c r="C653" s="42"/>
      <c r="D653" s="75"/>
      <c r="E653" s="75"/>
      <c r="F653" s="76"/>
      <c r="G653" s="47"/>
      <c r="H653" s="47"/>
      <c r="I653" s="75"/>
      <c r="J653" s="76"/>
      <c r="K653" s="76"/>
      <c r="L653" s="75"/>
      <c r="M653" s="49"/>
      <c r="N653" s="76"/>
      <c r="O653" s="49"/>
      <c r="P653" s="77"/>
      <c r="Q653" s="53"/>
      <c r="R653" s="54"/>
      <c r="S653" s="55"/>
      <c r="T653" s="56"/>
      <c r="U653" s="56"/>
      <c r="V653" s="42"/>
      <c r="W653" s="57"/>
      <c r="X653" s="58"/>
      <c r="Y653" s="75"/>
      <c r="Z653" s="59"/>
      <c r="AA653" s="61"/>
      <c r="AB653" s="61"/>
      <c r="AC653" s="61"/>
      <c r="AD653" s="62"/>
      <c r="AE653" s="62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x14ac:dyDescent="0.3">
      <c r="A654" s="39"/>
      <c r="B654" s="42"/>
      <c r="C654" s="42"/>
      <c r="D654" s="75"/>
      <c r="E654" s="75"/>
      <c r="F654" s="76"/>
      <c r="G654" s="47"/>
      <c r="H654" s="47"/>
      <c r="I654" s="75"/>
      <c r="J654" s="76"/>
      <c r="K654" s="76"/>
      <c r="L654" s="75"/>
      <c r="M654" s="49"/>
      <c r="N654" s="76"/>
      <c r="O654" s="49"/>
      <c r="P654" s="77"/>
      <c r="Q654" s="53"/>
      <c r="R654" s="54"/>
      <c r="S654" s="55"/>
      <c r="T654" s="56"/>
      <c r="U654" s="56"/>
      <c r="V654" s="42"/>
      <c r="W654" s="57"/>
      <c r="X654" s="58"/>
      <c r="Y654" s="75"/>
      <c r="Z654" s="59"/>
      <c r="AA654" s="61"/>
      <c r="AB654" s="61"/>
      <c r="AC654" s="61"/>
      <c r="AD654" s="62"/>
      <c r="AE654" s="62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x14ac:dyDescent="0.3">
      <c r="A655" s="39"/>
      <c r="B655" s="42"/>
      <c r="C655" s="42"/>
      <c r="D655" s="75"/>
      <c r="E655" s="75"/>
      <c r="F655" s="76"/>
      <c r="G655" s="47"/>
      <c r="H655" s="47"/>
      <c r="I655" s="75"/>
      <c r="J655" s="76"/>
      <c r="K655" s="76"/>
      <c r="L655" s="75"/>
      <c r="M655" s="49"/>
      <c r="N655" s="76"/>
      <c r="O655" s="49"/>
      <c r="P655" s="77"/>
      <c r="Q655" s="53"/>
      <c r="R655" s="54"/>
      <c r="S655" s="55"/>
      <c r="T655" s="56"/>
      <c r="U655" s="56"/>
      <c r="V655" s="42"/>
      <c r="W655" s="57"/>
      <c r="X655" s="58"/>
      <c r="Y655" s="75"/>
      <c r="Z655" s="59"/>
      <c r="AA655" s="61"/>
      <c r="AB655" s="61"/>
      <c r="AC655" s="61"/>
      <c r="AD655" s="62"/>
      <c r="AE655" s="62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x14ac:dyDescent="0.3">
      <c r="A656" s="39"/>
      <c r="B656" s="42"/>
      <c r="C656" s="42"/>
      <c r="D656" s="75"/>
      <c r="E656" s="75"/>
      <c r="F656" s="76"/>
      <c r="G656" s="47"/>
      <c r="H656" s="47"/>
      <c r="I656" s="75"/>
      <c r="J656" s="76"/>
      <c r="K656" s="76"/>
      <c r="L656" s="75"/>
      <c r="M656" s="49"/>
      <c r="N656" s="76"/>
      <c r="O656" s="49"/>
      <c r="P656" s="77"/>
      <c r="Q656" s="53"/>
      <c r="R656" s="54"/>
      <c r="S656" s="55"/>
      <c r="T656" s="56"/>
      <c r="U656" s="56"/>
      <c r="V656" s="42"/>
      <c r="W656" s="57"/>
      <c r="X656" s="58"/>
      <c r="Y656" s="75"/>
      <c r="Z656" s="59"/>
      <c r="AA656" s="61"/>
      <c r="AB656" s="61"/>
      <c r="AC656" s="61"/>
      <c r="AD656" s="62"/>
      <c r="AE656" s="62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x14ac:dyDescent="0.3">
      <c r="A657" s="39"/>
      <c r="B657" s="42"/>
      <c r="C657" s="42"/>
      <c r="D657" s="75"/>
      <c r="E657" s="75"/>
      <c r="F657" s="76"/>
      <c r="G657" s="47"/>
      <c r="H657" s="47"/>
      <c r="I657" s="75"/>
      <c r="J657" s="76"/>
      <c r="K657" s="76"/>
      <c r="L657" s="75"/>
      <c r="M657" s="49"/>
      <c r="N657" s="76"/>
      <c r="O657" s="49"/>
      <c r="P657" s="77"/>
      <c r="Q657" s="53"/>
      <c r="R657" s="54"/>
      <c r="S657" s="55"/>
      <c r="T657" s="56"/>
      <c r="U657" s="56"/>
      <c r="V657" s="42"/>
      <c r="W657" s="57"/>
      <c r="X657" s="58"/>
      <c r="Y657" s="75"/>
      <c r="Z657" s="59"/>
      <c r="AA657" s="61"/>
      <c r="AB657" s="61"/>
      <c r="AC657" s="61"/>
      <c r="AD657" s="62"/>
      <c r="AE657" s="62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x14ac:dyDescent="0.3">
      <c r="A658" s="39"/>
      <c r="B658" s="42"/>
      <c r="C658" s="42"/>
      <c r="D658" s="75"/>
      <c r="E658" s="75"/>
      <c r="F658" s="76"/>
      <c r="G658" s="47"/>
      <c r="H658" s="47"/>
      <c r="I658" s="75"/>
      <c r="J658" s="76"/>
      <c r="K658" s="76"/>
      <c r="L658" s="75"/>
      <c r="M658" s="49"/>
      <c r="N658" s="76"/>
      <c r="O658" s="49"/>
      <c r="P658" s="77"/>
      <c r="Q658" s="53"/>
      <c r="R658" s="54"/>
      <c r="S658" s="55"/>
      <c r="T658" s="56"/>
      <c r="U658" s="56"/>
      <c r="V658" s="42"/>
      <c r="W658" s="57"/>
      <c r="X658" s="58"/>
      <c r="Y658" s="75"/>
      <c r="Z658" s="59"/>
      <c r="AA658" s="61"/>
      <c r="AB658" s="61"/>
      <c r="AC658" s="61"/>
      <c r="AD658" s="62"/>
      <c r="AE658" s="62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x14ac:dyDescent="0.3">
      <c r="A659" s="39"/>
      <c r="B659" s="42"/>
      <c r="C659" s="42"/>
      <c r="D659" s="75"/>
      <c r="E659" s="75"/>
      <c r="F659" s="76"/>
      <c r="G659" s="47"/>
      <c r="H659" s="47"/>
      <c r="I659" s="75"/>
      <c r="J659" s="76"/>
      <c r="K659" s="76"/>
      <c r="L659" s="75"/>
      <c r="M659" s="49"/>
      <c r="N659" s="76"/>
      <c r="O659" s="49"/>
      <c r="P659" s="77"/>
      <c r="Q659" s="53"/>
      <c r="R659" s="54"/>
      <c r="S659" s="55"/>
      <c r="T659" s="56"/>
      <c r="U659" s="56"/>
      <c r="V659" s="42"/>
      <c r="W659" s="57"/>
      <c r="X659" s="58"/>
      <c r="Y659" s="75"/>
      <c r="Z659" s="59"/>
      <c r="AA659" s="61"/>
      <c r="AB659" s="61"/>
      <c r="AC659" s="61"/>
      <c r="AD659" s="62"/>
      <c r="AE659" s="62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x14ac:dyDescent="0.3">
      <c r="A660" s="39"/>
      <c r="B660" s="42"/>
      <c r="C660" s="42"/>
      <c r="D660" s="75"/>
      <c r="E660" s="75"/>
      <c r="F660" s="76"/>
      <c r="G660" s="47"/>
      <c r="H660" s="47"/>
      <c r="I660" s="75"/>
      <c r="J660" s="76"/>
      <c r="K660" s="76"/>
      <c r="L660" s="75"/>
      <c r="M660" s="49"/>
      <c r="N660" s="76"/>
      <c r="O660" s="49"/>
      <c r="P660" s="77"/>
      <c r="Q660" s="53"/>
      <c r="R660" s="54"/>
      <c r="S660" s="55"/>
      <c r="T660" s="56"/>
      <c r="U660" s="56"/>
      <c r="V660" s="42"/>
      <c r="W660" s="57"/>
      <c r="X660" s="58"/>
      <c r="Y660" s="75"/>
      <c r="Z660" s="59"/>
      <c r="AA660" s="61"/>
      <c r="AB660" s="61"/>
      <c r="AC660" s="61"/>
      <c r="AD660" s="62"/>
      <c r="AE660" s="62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x14ac:dyDescent="0.3">
      <c r="A661" s="39"/>
      <c r="B661" s="42"/>
      <c r="C661" s="42"/>
      <c r="D661" s="75"/>
      <c r="E661" s="75"/>
      <c r="F661" s="76"/>
      <c r="G661" s="47"/>
      <c r="H661" s="47"/>
      <c r="I661" s="75"/>
      <c r="J661" s="76"/>
      <c r="K661" s="76"/>
      <c r="L661" s="75"/>
      <c r="M661" s="49"/>
      <c r="N661" s="76"/>
      <c r="O661" s="49"/>
      <c r="P661" s="77"/>
      <c r="Q661" s="53"/>
      <c r="R661" s="54"/>
      <c r="S661" s="55"/>
      <c r="T661" s="56"/>
      <c r="U661" s="56"/>
      <c r="V661" s="42"/>
      <c r="W661" s="57"/>
      <c r="X661" s="58"/>
      <c r="Y661" s="75"/>
      <c r="Z661" s="59"/>
      <c r="AA661" s="61"/>
      <c r="AB661" s="61"/>
      <c r="AC661" s="61"/>
      <c r="AD661" s="62"/>
      <c r="AE661" s="62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x14ac:dyDescent="0.3">
      <c r="A662" s="39"/>
      <c r="B662" s="42"/>
      <c r="C662" s="42"/>
      <c r="D662" s="75"/>
      <c r="E662" s="75"/>
      <c r="F662" s="76"/>
      <c r="G662" s="47"/>
      <c r="H662" s="47"/>
      <c r="I662" s="75"/>
      <c r="J662" s="76"/>
      <c r="K662" s="76"/>
      <c r="L662" s="75"/>
      <c r="M662" s="49"/>
      <c r="N662" s="76"/>
      <c r="O662" s="49"/>
      <c r="P662" s="77"/>
      <c r="Q662" s="53"/>
      <c r="R662" s="54"/>
      <c r="S662" s="55"/>
      <c r="T662" s="56"/>
      <c r="U662" s="56"/>
      <c r="V662" s="42"/>
      <c r="W662" s="57"/>
      <c r="X662" s="58"/>
      <c r="Y662" s="75"/>
      <c r="Z662" s="59"/>
      <c r="AA662" s="61"/>
      <c r="AB662" s="61"/>
      <c r="AC662" s="61"/>
      <c r="AD662" s="62"/>
      <c r="AE662" s="62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x14ac:dyDescent="0.3">
      <c r="A663" s="39"/>
      <c r="B663" s="42"/>
      <c r="C663" s="42"/>
      <c r="D663" s="75"/>
      <c r="E663" s="75"/>
      <c r="F663" s="76"/>
      <c r="G663" s="47"/>
      <c r="H663" s="47"/>
      <c r="I663" s="75"/>
      <c r="J663" s="76"/>
      <c r="K663" s="76"/>
      <c r="L663" s="75"/>
      <c r="M663" s="49"/>
      <c r="N663" s="76"/>
      <c r="O663" s="49"/>
      <c r="P663" s="77"/>
      <c r="Q663" s="53"/>
      <c r="R663" s="54"/>
      <c r="S663" s="55"/>
      <c r="T663" s="56"/>
      <c r="U663" s="56"/>
      <c r="V663" s="42"/>
      <c r="W663" s="57"/>
      <c r="X663" s="58"/>
      <c r="Y663" s="75"/>
      <c r="Z663" s="59"/>
      <c r="AA663" s="61"/>
      <c r="AB663" s="61"/>
      <c r="AC663" s="61"/>
      <c r="AD663" s="62"/>
      <c r="AE663" s="62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x14ac:dyDescent="0.3">
      <c r="A664" s="39"/>
      <c r="B664" s="42"/>
      <c r="C664" s="42"/>
      <c r="D664" s="75"/>
      <c r="E664" s="75"/>
      <c r="F664" s="76"/>
      <c r="G664" s="47"/>
      <c r="H664" s="47"/>
      <c r="I664" s="75"/>
      <c r="J664" s="76"/>
      <c r="K664" s="76"/>
      <c r="L664" s="75"/>
      <c r="M664" s="49"/>
      <c r="N664" s="76"/>
      <c r="O664" s="49"/>
      <c r="P664" s="77"/>
      <c r="Q664" s="53"/>
      <c r="R664" s="54"/>
      <c r="S664" s="55"/>
      <c r="T664" s="56"/>
      <c r="U664" s="56"/>
      <c r="V664" s="42"/>
      <c r="W664" s="57"/>
      <c r="X664" s="58"/>
      <c r="Y664" s="75"/>
      <c r="Z664" s="59"/>
      <c r="AA664" s="61"/>
      <c r="AB664" s="61"/>
      <c r="AC664" s="61"/>
      <c r="AD664" s="62"/>
      <c r="AE664" s="62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x14ac:dyDescent="0.3">
      <c r="A665" s="39"/>
      <c r="B665" s="42"/>
      <c r="C665" s="42"/>
      <c r="D665" s="75"/>
      <c r="E665" s="75"/>
      <c r="F665" s="76"/>
      <c r="G665" s="47"/>
      <c r="H665" s="47"/>
      <c r="I665" s="75"/>
      <c r="J665" s="76"/>
      <c r="K665" s="76"/>
      <c r="L665" s="75"/>
      <c r="M665" s="49"/>
      <c r="N665" s="76"/>
      <c r="O665" s="49"/>
      <c r="P665" s="77"/>
      <c r="Q665" s="53"/>
      <c r="R665" s="54"/>
      <c r="S665" s="55"/>
      <c r="T665" s="56"/>
      <c r="U665" s="56"/>
      <c r="V665" s="42"/>
      <c r="W665" s="57"/>
      <c r="X665" s="58"/>
      <c r="Y665" s="75"/>
      <c r="Z665" s="59"/>
      <c r="AA665" s="61"/>
      <c r="AB665" s="61"/>
      <c r="AC665" s="61"/>
      <c r="AD665" s="62"/>
      <c r="AE665" s="62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x14ac:dyDescent="0.3">
      <c r="A666" s="39"/>
      <c r="B666" s="42"/>
      <c r="C666" s="42"/>
      <c r="D666" s="75"/>
      <c r="E666" s="75"/>
      <c r="F666" s="76"/>
      <c r="G666" s="47"/>
      <c r="H666" s="47"/>
      <c r="I666" s="75"/>
      <c r="J666" s="76"/>
      <c r="K666" s="76"/>
      <c r="L666" s="75"/>
      <c r="M666" s="49"/>
      <c r="N666" s="76"/>
      <c r="O666" s="49"/>
      <c r="P666" s="77"/>
      <c r="Q666" s="53"/>
      <c r="R666" s="54"/>
      <c r="S666" s="55"/>
      <c r="T666" s="56"/>
      <c r="U666" s="56"/>
      <c r="V666" s="42"/>
      <c r="W666" s="57"/>
      <c r="X666" s="58"/>
      <c r="Y666" s="75"/>
      <c r="Z666" s="59"/>
      <c r="AA666" s="61"/>
      <c r="AB666" s="61"/>
      <c r="AC666" s="61"/>
      <c r="AD666" s="62"/>
      <c r="AE666" s="62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x14ac:dyDescent="0.3">
      <c r="A667" s="39"/>
      <c r="B667" s="42"/>
      <c r="C667" s="42"/>
      <c r="D667" s="75"/>
      <c r="E667" s="75"/>
      <c r="F667" s="76"/>
      <c r="G667" s="47"/>
      <c r="H667" s="47"/>
      <c r="I667" s="75"/>
      <c r="J667" s="76"/>
      <c r="K667" s="76"/>
      <c r="L667" s="75"/>
      <c r="M667" s="49"/>
      <c r="N667" s="76"/>
      <c r="O667" s="49"/>
      <c r="P667" s="77"/>
      <c r="Q667" s="53"/>
      <c r="R667" s="54"/>
      <c r="S667" s="55"/>
      <c r="T667" s="56"/>
      <c r="U667" s="56"/>
      <c r="V667" s="42"/>
      <c r="W667" s="57"/>
      <c r="X667" s="58"/>
      <c r="Y667" s="75"/>
      <c r="Z667" s="59"/>
      <c r="AA667" s="61"/>
      <c r="AB667" s="61"/>
      <c r="AC667" s="61"/>
      <c r="AD667" s="62"/>
      <c r="AE667" s="62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x14ac:dyDescent="0.3">
      <c r="A668" s="39"/>
      <c r="B668" s="42"/>
      <c r="C668" s="42"/>
      <c r="D668" s="75"/>
      <c r="E668" s="75"/>
      <c r="F668" s="76"/>
      <c r="G668" s="47"/>
      <c r="H668" s="47"/>
      <c r="I668" s="75"/>
      <c r="J668" s="76"/>
      <c r="K668" s="76"/>
      <c r="L668" s="75"/>
      <c r="M668" s="49"/>
      <c r="N668" s="76"/>
      <c r="O668" s="49"/>
      <c r="P668" s="77"/>
      <c r="Q668" s="53"/>
      <c r="R668" s="54"/>
      <c r="S668" s="55"/>
      <c r="T668" s="56"/>
      <c r="U668" s="56"/>
      <c r="V668" s="42"/>
      <c r="W668" s="57"/>
      <c r="X668" s="58"/>
      <c r="Y668" s="75"/>
      <c r="Z668" s="59"/>
      <c r="AA668" s="61"/>
      <c r="AB668" s="61"/>
      <c r="AC668" s="61"/>
      <c r="AD668" s="62"/>
      <c r="AE668" s="62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x14ac:dyDescent="0.3">
      <c r="A669" s="39"/>
      <c r="B669" s="42"/>
      <c r="C669" s="42"/>
      <c r="D669" s="75"/>
      <c r="E669" s="75"/>
      <c r="F669" s="76"/>
      <c r="G669" s="47"/>
      <c r="H669" s="47"/>
      <c r="I669" s="75"/>
      <c r="J669" s="76"/>
      <c r="K669" s="76"/>
      <c r="L669" s="75"/>
      <c r="M669" s="49"/>
      <c r="N669" s="76"/>
      <c r="O669" s="49"/>
      <c r="P669" s="77"/>
      <c r="Q669" s="53"/>
      <c r="R669" s="54"/>
      <c r="S669" s="55"/>
      <c r="T669" s="56"/>
      <c r="U669" s="56"/>
      <c r="V669" s="42"/>
      <c r="W669" s="57"/>
      <c r="X669" s="58"/>
      <c r="Y669" s="75"/>
      <c r="Z669" s="59"/>
      <c r="AA669" s="61"/>
      <c r="AB669" s="61"/>
      <c r="AC669" s="61"/>
      <c r="AD669" s="62"/>
      <c r="AE669" s="62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x14ac:dyDescent="0.3">
      <c r="A670" s="39"/>
      <c r="B670" s="42"/>
      <c r="C670" s="42"/>
      <c r="D670" s="75"/>
      <c r="E670" s="75"/>
      <c r="F670" s="76"/>
      <c r="G670" s="47"/>
      <c r="H670" s="47"/>
      <c r="I670" s="75"/>
      <c r="J670" s="76"/>
      <c r="K670" s="76"/>
      <c r="L670" s="75"/>
      <c r="M670" s="49"/>
      <c r="N670" s="76"/>
      <c r="O670" s="49"/>
      <c r="P670" s="77"/>
      <c r="Q670" s="53"/>
      <c r="R670" s="54"/>
      <c r="S670" s="55"/>
      <c r="T670" s="56"/>
      <c r="U670" s="56"/>
      <c r="V670" s="42"/>
      <c r="W670" s="57"/>
      <c r="X670" s="58"/>
      <c r="Y670" s="75"/>
      <c r="Z670" s="59"/>
      <c r="AA670" s="61"/>
      <c r="AB670" s="61"/>
      <c r="AC670" s="61"/>
      <c r="AD670" s="62"/>
      <c r="AE670" s="62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x14ac:dyDescent="0.3">
      <c r="A671" s="39"/>
      <c r="B671" s="42"/>
      <c r="C671" s="42"/>
      <c r="D671" s="75"/>
      <c r="E671" s="75"/>
      <c r="F671" s="76"/>
      <c r="G671" s="47"/>
      <c r="H671" s="47"/>
      <c r="I671" s="75"/>
      <c r="J671" s="76"/>
      <c r="K671" s="76"/>
      <c r="L671" s="75"/>
      <c r="M671" s="49"/>
      <c r="N671" s="76"/>
      <c r="O671" s="49"/>
      <c r="P671" s="77"/>
      <c r="Q671" s="53"/>
      <c r="R671" s="54"/>
      <c r="S671" s="55"/>
      <c r="T671" s="56"/>
      <c r="U671" s="56"/>
      <c r="V671" s="42"/>
      <c r="W671" s="57"/>
      <c r="X671" s="58"/>
      <c r="Y671" s="75"/>
      <c r="Z671" s="59"/>
      <c r="AA671" s="61"/>
      <c r="AB671" s="61"/>
      <c r="AC671" s="61"/>
      <c r="AD671" s="62"/>
      <c r="AE671" s="62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x14ac:dyDescent="0.3">
      <c r="A672" s="39"/>
      <c r="B672" s="42"/>
      <c r="C672" s="42"/>
      <c r="D672" s="75"/>
      <c r="E672" s="75"/>
      <c r="F672" s="76"/>
      <c r="G672" s="47"/>
      <c r="H672" s="47"/>
      <c r="I672" s="75"/>
      <c r="J672" s="76"/>
      <c r="K672" s="76"/>
      <c r="L672" s="75"/>
      <c r="M672" s="49"/>
      <c r="N672" s="76"/>
      <c r="O672" s="49"/>
      <c r="P672" s="77"/>
      <c r="Q672" s="53"/>
      <c r="R672" s="54"/>
      <c r="S672" s="55"/>
      <c r="T672" s="56"/>
      <c r="U672" s="56"/>
      <c r="V672" s="42"/>
      <c r="W672" s="57"/>
      <c r="X672" s="58"/>
      <c r="Y672" s="75"/>
      <c r="Z672" s="59"/>
      <c r="AA672" s="61"/>
      <c r="AB672" s="61"/>
      <c r="AC672" s="61"/>
      <c r="AD672" s="62"/>
      <c r="AE672" s="62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x14ac:dyDescent="0.3">
      <c r="A673" s="39"/>
      <c r="B673" s="42"/>
      <c r="C673" s="42"/>
      <c r="D673" s="75"/>
      <c r="E673" s="75"/>
      <c r="F673" s="76"/>
      <c r="G673" s="47"/>
      <c r="H673" s="47"/>
      <c r="I673" s="75"/>
      <c r="J673" s="76"/>
      <c r="K673" s="76"/>
      <c r="L673" s="75"/>
      <c r="M673" s="49"/>
      <c r="N673" s="76"/>
      <c r="O673" s="49"/>
      <c r="P673" s="77"/>
      <c r="Q673" s="53"/>
      <c r="R673" s="54"/>
      <c r="S673" s="55"/>
      <c r="T673" s="56"/>
      <c r="U673" s="56"/>
      <c r="V673" s="42"/>
      <c r="W673" s="57"/>
      <c r="X673" s="58"/>
      <c r="Y673" s="75"/>
      <c r="Z673" s="59"/>
      <c r="AA673" s="61"/>
      <c r="AB673" s="61"/>
      <c r="AC673" s="61"/>
      <c r="AD673" s="62"/>
      <c r="AE673" s="62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x14ac:dyDescent="0.3">
      <c r="A674" s="39"/>
      <c r="B674" s="42"/>
      <c r="C674" s="42"/>
      <c r="D674" s="75"/>
      <c r="E674" s="75"/>
      <c r="F674" s="76"/>
      <c r="G674" s="47"/>
      <c r="H674" s="47"/>
      <c r="I674" s="75"/>
      <c r="J674" s="76"/>
      <c r="K674" s="76"/>
      <c r="L674" s="75"/>
      <c r="M674" s="49"/>
      <c r="N674" s="76"/>
      <c r="O674" s="49"/>
      <c r="P674" s="77"/>
      <c r="Q674" s="53"/>
      <c r="R674" s="54"/>
      <c r="S674" s="55"/>
      <c r="T674" s="56"/>
      <c r="U674" s="56"/>
      <c r="V674" s="42"/>
      <c r="W674" s="57"/>
      <c r="X674" s="58"/>
      <c r="Y674" s="75"/>
      <c r="Z674" s="59"/>
      <c r="AA674" s="61"/>
      <c r="AB674" s="61"/>
      <c r="AC674" s="61"/>
      <c r="AD674" s="62"/>
      <c r="AE674" s="62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x14ac:dyDescent="0.3">
      <c r="A675" s="39"/>
      <c r="B675" s="42"/>
      <c r="C675" s="42"/>
      <c r="D675" s="75"/>
      <c r="E675" s="75"/>
      <c r="F675" s="76"/>
      <c r="G675" s="47"/>
      <c r="H675" s="47"/>
      <c r="I675" s="75"/>
      <c r="J675" s="76"/>
      <c r="K675" s="76"/>
      <c r="L675" s="75"/>
      <c r="M675" s="49"/>
      <c r="N675" s="76"/>
      <c r="O675" s="49"/>
      <c r="P675" s="77"/>
      <c r="Q675" s="53"/>
      <c r="R675" s="54"/>
      <c r="S675" s="55"/>
      <c r="T675" s="56"/>
      <c r="U675" s="56"/>
      <c r="V675" s="42"/>
      <c r="W675" s="57"/>
      <c r="X675" s="58"/>
      <c r="Y675" s="75"/>
      <c r="Z675" s="59"/>
      <c r="AA675" s="61"/>
      <c r="AB675" s="61"/>
      <c r="AC675" s="61"/>
      <c r="AD675" s="62"/>
      <c r="AE675" s="62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x14ac:dyDescent="0.3">
      <c r="A676" s="39"/>
      <c r="B676" s="42"/>
      <c r="C676" s="42"/>
      <c r="D676" s="75"/>
      <c r="E676" s="75"/>
      <c r="F676" s="76"/>
      <c r="G676" s="47"/>
      <c r="H676" s="47"/>
      <c r="I676" s="75"/>
      <c r="J676" s="76"/>
      <c r="K676" s="76"/>
      <c r="L676" s="75"/>
      <c r="M676" s="49"/>
      <c r="N676" s="76"/>
      <c r="O676" s="49"/>
      <c r="P676" s="77"/>
      <c r="Q676" s="53"/>
      <c r="R676" s="54"/>
      <c r="S676" s="55"/>
      <c r="T676" s="56"/>
      <c r="U676" s="56"/>
      <c r="V676" s="42"/>
      <c r="W676" s="57"/>
      <c r="X676" s="58"/>
      <c r="Y676" s="75"/>
      <c r="Z676" s="59"/>
      <c r="AA676" s="61"/>
      <c r="AB676" s="61"/>
      <c r="AC676" s="61"/>
      <c r="AD676" s="62"/>
      <c r="AE676" s="62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x14ac:dyDescent="0.3">
      <c r="A677" s="39"/>
      <c r="B677" s="42"/>
      <c r="C677" s="42"/>
      <c r="D677" s="75"/>
      <c r="E677" s="75"/>
      <c r="F677" s="76"/>
      <c r="G677" s="47"/>
      <c r="H677" s="47"/>
      <c r="I677" s="75"/>
      <c r="J677" s="76"/>
      <c r="K677" s="76"/>
      <c r="L677" s="75"/>
      <c r="M677" s="49"/>
      <c r="N677" s="76"/>
      <c r="O677" s="49"/>
      <c r="P677" s="77"/>
      <c r="Q677" s="53"/>
      <c r="R677" s="54"/>
      <c r="S677" s="55"/>
      <c r="T677" s="56"/>
      <c r="U677" s="56"/>
      <c r="V677" s="42"/>
      <c r="W677" s="57"/>
      <c r="X677" s="58"/>
      <c r="Y677" s="75"/>
      <c r="Z677" s="59"/>
      <c r="AA677" s="61"/>
      <c r="AB677" s="61"/>
      <c r="AC677" s="61"/>
      <c r="AD677" s="62"/>
      <c r="AE677" s="62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x14ac:dyDescent="0.3">
      <c r="A678" s="39"/>
      <c r="B678" s="42"/>
      <c r="C678" s="42"/>
      <c r="D678" s="75"/>
      <c r="E678" s="75"/>
      <c r="F678" s="76"/>
      <c r="G678" s="47"/>
      <c r="H678" s="47"/>
      <c r="I678" s="75"/>
      <c r="J678" s="76"/>
      <c r="K678" s="76"/>
      <c r="L678" s="75"/>
      <c r="M678" s="49"/>
      <c r="N678" s="76"/>
      <c r="O678" s="49"/>
      <c r="P678" s="77"/>
      <c r="Q678" s="53"/>
      <c r="R678" s="54"/>
      <c r="S678" s="55"/>
      <c r="T678" s="56"/>
      <c r="U678" s="56"/>
      <c r="V678" s="42"/>
      <c r="W678" s="57"/>
      <c r="X678" s="58"/>
      <c r="Y678" s="75"/>
      <c r="Z678" s="59"/>
      <c r="AA678" s="61"/>
      <c r="AB678" s="61"/>
      <c r="AC678" s="61"/>
      <c r="AD678" s="62"/>
      <c r="AE678" s="62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x14ac:dyDescent="0.3">
      <c r="A679" s="39"/>
      <c r="B679" s="42"/>
      <c r="C679" s="42"/>
      <c r="D679" s="75"/>
      <c r="E679" s="75"/>
      <c r="F679" s="76"/>
      <c r="G679" s="47"/>
      <c r="H679" s="47"/>
      <c r="I679" s="75"/>
      <c r="J679" s="76"/>
      <c r="K679" s="76"/>
      <c r="L679" s="75"/>
      <c r="M679" s="49"/>
      <c r="N679" s="76"/>
      <c r="O679" s="49"/>
      <c r="P679" s="77"/>
      <c r="Q679" s="53"/>
      <c r="R679" s="54"/>
      <c r="S679" s="55"/>
      <c r="T679" s="56"/>
      <c r="U679" s="56"/>
      <c r="V679" s="42"/>
      <c r="W679" s="57"/>
      <c r="X679" s="58"/>
      <c r="Y679" s="75"/>
      <c r="Z679" s="59"/>
      <c r="AA679" s="61"/>
      <c r="AB679" s="61"/>
      <c r="AC679" s="61"/>
      <c r="AD679" s="62"/>
      <c r="AE679" s="62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x14ac:dyDescent="0.3">
      <c r="A680" s="39"/>
      <c r="B680" s="42"/>
      <c r="C680" s="42"/>
      <c r="D680" s="75"/>
      <c r="E680" s="75"/>
      <c r="F680" s="76"/>
      <c r="G680" s="47"/>
      <c r="H680" s="47"/>
      <c r="I680" s="75"/>
      <c r="J680" s="76"/>
      <c r="K680" s="76"/>
      <c r="L680" s="75"/>
      <c r="M680" s="49"/>
      <c r="N680" s="76"/>
      <c r="O680" s="49"/>
      <c r="P680" s="77"/>
      <c r="Q680" s="53"/>
      <c r="R680" s="54"/>
      <c r="S680" s="55"/>
      <c r="T680" s="56"/>
      <c r="U680" s="56"/>
      <c r="V680" s="42"/>
      <c r="W680" s="57"/>
      <c r="X680" s="58"/>
      <c r="Y680" s="75"/>
      <c r="Z680" s="59"/>
      <c r="AA680" s="61"/>
      <c r="AB680" s="61"/>
      <c r="AC680" s="61"/>
      <c r="AD680" s="62"/>
      <c r="AE680" s="62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x14ac:dyDescent="0.3">
      <c r="A681" s="39"/>
      <c r="B681" s="42"/>
      <c r="C681" s="42"/>
      <c r="D681" s="75"/>
      <c r="E681" s="75"/>
      <c r="F681" s="76"/>
      <c r="G681" s="47"/>
      <c r="H681" s="47"/>
      <c r="I681" s="75"/>
      <c r="J681" s="76"/>
      <c r="K681" s="76"/>
      <c r="L681" s="75"/>
      <c r="M681" s="49"/>
      <c r="N681" s="76"/>
      <c r="O681" s="49"/>
      <c r="P681" s="77"/>
      <c r="Q681" s="53"/>
      <c r="R681" s="54"/>
      <c r="S681" s="55"/>
      <c r="T681" s="56"/>
      <c r="U681" s="56"/>
      <c r="V681" s="42"/>
      <c r="W681" s="57"/>
      <c r="X681" s="58"/>
      <c r="Y681" s="75"/>
      <c r="Z681" s="59"/>
      <c r="AA681" s="61"/>
      <c r="AB681" s="61"/>
      <c r="AC681" s="61"/>
      <c r="AD681" s="62"/>
      <c r="AE681" s="62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x14ac:dyDescent="0.3">
      <c r="A682" s="39"/>
      <c r="B682" s="42"/>
      <c r="C682" s="42"/>
      <c r="D682" s="75"/>
      <c r="E682" s="75"/>
      <c r="F682" s="76"/>
      <c r="G682" s="47"/>
      <c r="H682" s="47"/>
      <c r="I682" s="75"/>
      <c r="J682" s="76"/>
      <c r="K682" s="76"/>
      <c r="L682" s="75"/>
      <c r="M682" s="49"/>
      <c r="N682" s="76"/>
      <c r="O682" s="49"/>
      <c r="P682" s="77"/>
      <c r="Q682" s="53"/>
      <c r="R682" s="54"/>
      <c r="S682" s="55"/>
      <c r="T682" s="56"/>
      <c r="U682" s="56"/>
      <c r="V682" s="42"/>
      <c r="W682" s="57"/>
      <c r="X682" s="58"/>
      <c r="Y682" s="75"/>
      <c r="Z682" s="59"/>
      <c r="AA682" s="61"/>
      <c r="AB682" s="61"/>
      <c r="AC682" s="61"/>
      <c r="AD682" s="62"/>
      <c r="AE682" s="62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x14ac:dyDescent="0.3">
      <c r="A683" s="39"/>
      <c r="B683" s="42"/>
      <c r="C683" s="42"/>
      <c r="D683" s="75"/>
      <c r="E683" s="75"/>
      <c r="F683" s="76"/>
      <c r="G683" s="47"/>
      <c r="H683" s="47"/>
      <c r="I683" s="75"/>
      <c r="J683" s="76"/>
      <c r="K683" s="76"/>
      <c r="L683" s="75"/>
      <c r="M683" s="49"/>
      <c r="N683" s="76"/>
      <c r="O683" s="49"/>
      <c r="P683" s="77"/>
      <c r="Q683" s="53"/>
      <c r="R683" s="54"/>
      <c r="S683" s="55"/>
      <c r="T683" s="56"/>
      <c r="U683" s="56"/>
      <c r="V683" s="42"/>
      <c r="W683" s="57"/>
      <c r="X683" s="58"/>
      <c r="Y683" s="75"/>
      <c r="Z683" s="59"/>
      <c r="AA683" s="61"/>
      <c r="AB683" s="61"/>
      <c r="AC683" s="61"/>
      <c r="AD683" s="62"/>
      <c r="AE683" s="62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x14ac:dyDescent="0.3">
      <c r="A684" s="39"/>
      <c r="B684" s="42"/>
      <c r="C684" s="42"/>
      <c r="D684" s="75"/>
      <c r="E684" s="75"/>
      <c r="F684" s="76"/>
      <c r="G684" s="47"/>
      <c r="H684" s="47"/>
      <c r="I684" s="75"/>
      <c r="J684" s="76"/>
      <c r="K684" s="76"/>
      <c r="L684" s="75"/>
      <c r="M684" s="49"/>
      <c r="N684" s="76"/>
      <c r="O684" s="49"/>
      <c r="P684" s="77"/>
      <c r="Q684" s="53"/>
      <c r="R684" s="54"/>
      <c r="S684" s="55"/>
      <c r="T684" s="56"/>
      <c r="U684" s="56"/>
      <c r="V684" s="42"/>
      <c r="W684" s="57"/>
      <c r="X684" s="58"/>
      <c r="Y684" s="75"/>
      <c r="Z684" s="59"/>
      <c r="AA684" s="61"/>
      <c r="AB684" s="61"/>
      <c r="AC684" s="61"/>
      <c r="AD684" s="62"/>
      <c r="AE684" s="62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x14ac:dyDescent="0.3">
      <c r="A685" s="39"/>
      <c r="B685" s="42"/>
      <c r="C685" s="42"/>
      <c r="D685" s="75"/>
      <c r="E685" s="75"/>
      <c r="F685" s="76"/>
      <c r="G685" s="47"/>
      <c r="H685" s="47"/>
      <c r="I685" s="75"/>
      <c r="J685" s="76"/>
      <c r="K685" s="76"/>
      <c r="L685" s="75"/>
      <c r="M685" s="49"/>
      <c r="N685" s="76"/>
      <c r="O685" s="49"/>
      <c r="P685" s="77"/>
      <c r="Q685" s="53"/>
      <c r="R685" s="54"/>
      <c r="S685" s="55"/>
      <c r="T685" s="56"/>
      <c r="U685" s="56"/>
      <c r="V685" s="42"/>
      <c r="W685" s="57"/>
      <c r="X685" s="58"/>
      <c r="Y685" s="75"/>
      <c r="Z685" s="59"/>
      <c r="AA685" s="61"/>
      <c r="AB685" s="61"/>
      <c r="AC685" s="61"/>
      <c r="AD685" s="62"/>
      <c r="AE685" s="62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x14ac:dyDescent="0.3">
      <c r="A686" s="39"/>
      <c r="B686" s="42"/>
      <c r="C686" s="42"/>
      <c r="D686" s="75"/>
      <c r="E686" s="75"/>
      <c r="F686" s="76"/>
      <c r="G686" s="47"/>
      <c r="H686" s="47"/>
      <c r="I686" s="75"/>
      <c r="J686" s="76"/>
      <c r="K686" s="76"/>
      <c r="L686" s="75"/>
      <c r="M686" s="49"/>
      <c r="N686" s="76"/>
      <c r="O686" s="49"/>
      <c r="P686" s="77"/>
      <c r="Q686" s="53"/>
      <c r="R686" s="54"/>
      <c r="S686" s="55"/>
      <c r="T686" s="56"/>
      <c r="U686" s="56"/>
      <c r="V686" s="42"/>
      <c r="W686" s="57"/>
      <c r="X686" s="58"/>
      <c r="Y686" s="75"/>
      <c r="Z686" s="59"/>
      <c r="AA686" s="61"/>
      <c r="AB686" s="61"/>
      <c r="AC686" s="61"/>
      <c r="AD686" s="62"/>
      <c r="AE686" s="62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x14ac:dyDescent="0.3">
      <c r="A687" s="39"/>
      <c r="B687" s="42"/>
      <c r="C687" s="42"/>
      <c r="D687" s="75"/>
      <c r="E687" s="75"/>
      <c r="F687" s="76"/>
      <c r="G687" s="47"/>
      <c r="H687" s="47"/>
      <c r="I687" s="75"/>
      <c r="J687" s="76"/>
      <c r="K687" s="76"/>
      <c r="L687" s="75"/>
      <c r="M687" s="49"/>
      <c r="N687" s="76"/>
      <c r="O687" s="49"/>
      <c r="P687" s="77"/>
      <c r="Q687" s="53"/>
      <c r="R687" s="54"/>
      <c r="S687" s="55"/>
      <c r="T687" s="56"/>
      <c r="U687" s="56"/>
      <c r="V687" s="42"/>
      <c r="W687" s="57"/>
      <c r="X687" s="58"/>
      <c r="Y687" s="75"/>
      <c r="Z687" s="59"/>
      <c r="AA687" s="61"/>
      <c r="AB687" s="61"/>
      <c r="AC687" s="61"/>
      <c r="AD687" s="62"/>
      <c r="AE687" s="62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x14ac:dyDescent="0.3">
      <c r="A688" s="39"/>
      <c r="B688" s="42"/>
      <c r="C688" s="42"/>
      <c r="D688" s="75"/>
      <c r="E688" s="75"/>
      <c r="F688" s="76"/>
      <c r="G688" s="47"/>
      <c r="H688" s="47"/>
      <c r="I688" s="75"/>
      <c r="J688" s="76"/>
      <c r="K688" s="76"/>
      <c r="L688" s="75"/>
      <c r="M688" s="49"/>
      <c r="N688" s="76"/>
      <c r="O688" s="49"/>
      <c r="P688" s="77"/>
      <c r="Q688" s="53"/>
      <c r="R688" s="54"/>
      <c r="S688" s="55"/>
      <c r="T688" s="56"/>
      <c r="U688" s="56"/>
      <c r="V688" s="42"/>
      <c r="W688" s="57"/>
      <c r="X688" s="58"/>
      <c r="Y688" s="75"/>
      <c r="Z688" s="59"/>
      <c r="AA688" s="61"/>
      <c r="AB688" s="61"/>
      <c r="AC688" s="61"/>
      <c r="AD688" s="62"/>
      <c r="AE688" s="62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x14ac:dyDescent="0.3">
      <c r="A689" s="39"/>
      <c r="B689" s="42"/>
      <c r="C689" s="42"/>
      <c r="D689" s="75"/>
      <c r="E689" s="75"/>
      <c r="F689" s="76"/>
      <c r="G689" s="47"/>
      <c r="H689" s="47"/>
      <c r="I689" s="75"/>
      <c r="J689" s="76"/>
      <c r="K689" s="76"/>
      <c r="L689" s="75"/>
      <c r="M689" s="49"/>
      <c r="N689" s="76"/>
      <c r="O689" s="49"/>
      <c r="P689" s="77"/>
      <c r="Q689" s="53"/>
      <c r="R689" s="54"/>
      <c r="S689" s="55"/>
      <c r="T689" s="56"/>
      <c r="U689" s="56"/>
      <c r="V689" s="42"/>
      <c r="W689" s="57"/>
      <c r="X689" s="58"/>
      <c r="Y689" s="75"/>
      <c r="Z689" s="59"/>
      <c r="AA689" s="61"/>
      <c r="AB689" s="61"/>
      <c r="AC689" s="61"/>
      <c r="AD689" s="62"/>
      <c r="AE689" s="62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x14ac:dyDescent="0.3">
      <c r="A690" s="39"/>
      <c r="B690" s="42"/>
      <c r="C690" s="42"/>
      <c r="D690" s="75"/>
      <c r="E690" s="75"/>
      <c r="F690" s="76"/>
      <c r="G690" s="47"/>
      <c r="H690" s="47"/>
      <c r="I690" s="75"/>
      <c r="J690" s="76"/>
      <c r="K690" s="76"/>
      <c r="L690" s="75"/>
      <c r="M690" s="49"/>
      <c r="N690" s="76"/>
      <c r="O690" s="49"/>
      <c r="P690" s="77"/>
      <c r="Q690" s="53"/>
      <c r="R690" s="54"/>
      <c r="S690" s="55"/>
      <c r="T690" s="56"/>
      <c r="U690" s="56"/>
      <c r="V690" s="42"/>
      <c r="W690" s="57"/>
      <c r="X690" s="58"/>
      <c r="Y690" s="75"/>
      <c r="Z690" s="59"/>
      <c r="AA690" s="61"/>
      <c r="AB690" s="61"/>
      <c r="AC690" s="61"/>
      <c r="AD690" s="62"/>
      <c r="AE690" s="62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x14ac:dyDescent="0.3">
      <c r="A691" s="39"/>
      <c r="B691" s="42"/>
      <c r="C691" s="42"/>
      <c r="D691" s="75"/>
      <c r="E691" s="75"/>
      <c r="F691" s="76"/>
      <c r="G691" s="47"/>
      <c r="H691" s="47"/>
      <c r="I691" s="75"/>
      <c r="J691" s="76"/>
      <c r="K691" s="76"/>
      <c r="L691" s="75"/>
      <c r="M691" s="49"/>
      <c r="N691" s="76"/>
      <c r="O691" s="49"/>
      <c r="P691" s="77"/>
      <c r="Q691" s="53"/>
      <c r="R691" s="54"/>
      <c r="S691" s="55"/>
      <c r="T691" s="56"/>
      <c r="U691" s="56"/>
      <c r="V691" s="42"/>
      <c r="W691" s="57"/>
      <c r="X691" s="58"/>
      <c r="Y691" s="75"/>
      <c r="Z691" s="59"/>
      <c r="AA691" s="61"/>
      <c r="AB691" s="61"/>
      <c r="AC691" s="61"/>
      <c r="AD691" s="62"/>
      <c r="AE691" s="62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x14ac:dyDescent="0.3">
      <c r="A692" s="39"/>
      <c r="B692" s="42"/>
      <c r="C692" s="42"/>
      <c r="D692" s="75"/>
      <c r="E692" s="75"/>
      <c r="F692" s="76"/>
      <c r="G692" s="47"/>
      <c r="H692" s="47"/>
      <c r="I692" s="75"/>
      <c r="J692" s="76"/>
      <c r="K692" s="76"/>
      <c r="L692" s="75"/>
      <c r="M692" s="49"/>
      <c r="N692" s="76"/>
      <c r="O692" s="49"/>
      <c r="P692" s="77"/>
      <c r="Q692" s="53"/>
      <c r="R692" s="54"/>
      <c r="S692" s="55"/>
      <c r="T692" s="56"/>
      <c r="U692" s="56"/>
      <c r="V692" s="42"/>
      <c r="W692" s="57"/>
      <c r="X692" s="58"/>
      <c r="Y692" s="75"/>
      <c r="Z692" s="59"/>
      <c r="AA692" s="61"/>
      <c r="AB692" s="61"/>
      <c r="AC692" s="61"/>
      <c r="AD692" s="62"/>
      <c r="AE692" s="62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x14ac:dyDescent="0.3">
      <c r="A693" s="39"/>
      <c r="B693" s="42"/>
      <c r="C693" s="42"/>
      <c r="D693" s="75"/>
      <c r="E693" s="75"/>
      <c r="F693" s="76"/>
      <c r="G693" s="47"/>
      <c r="H693" s="47"/>
      <c r="I693" s="75"/>
      <c r="J693" s="76"/>
      <c r="K693" s="76"/>
      <c r="L693" s="75"/>
      <c r="M693" s="49"/>
      <c r="N693" s="76"/>
      <c r="O693" s="49"/>
      <c r="P693" s="77"/>
      <c r="Q693" s="53"/>
      <c r="R693" s="54"/>
      <c r="S693" s="55"/>
      <c r="T693" s="56"/>
      <c r="U693" s="56"/>
      <c r="V693" s="42"/>
      <c r="W693" s="57"/>
      <c r="X693" s="58"/>
      <c r="Y693" s="75"/>
      <c r="Z693" s="59"/>
      <c r="AA693" s="61"/>
      <c r="AB693" s="61"/>
      <c r="AC693" s="61"/>
      <c r="AD693" s="62"/>
      <c r="AE693" s="62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x14ac:dyDescent="0.3">
      <c r="A694" s="39"/>
      <c r="B694" s="42"/>
      <c r="C694" s="42"/>
      <c r="D694" s="75"/>
      <c r="E694" s="75"/>
      <c r="F694" s="76"/>
      <c r="G694" s="47"/>
      <c r="H694" s="47"/>
      <c r="I694" s="75"/>
      <c r="J694" s="76"/>
      <c r="K694" s="76"/>
      <c r="L694" s="75"/>
      <c r="M694" s="49"/>
      <c r="N694" s="76"/>
      <c r="O694" s="49"/>
      <c r="P694" s="77"/>
      <c r="Q694" s="53"/>
      <c r="R694" s="54"/>
      <c r="S694" s="55"/>
      <c r="T694" s="56"/>
      <c r="U694" s="56"/>
      <c r="V694" s="42"/>
      <c r="W694" s="57"/>
      <c r="X694" s="58"/>
      <c r="Y694" s="75"/>
      <c r="Z694" s="59"/>
      <c r="AA694" s="61"/>
      <c r="AB694" s="61"/>
      <c r="AC694" s="61"/>
      <c r="AD694" s="62"/>
      <c r="AE694" s="62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x14ac:dyDescent="0.3">
      <c r="A695" s="39"/>
      <c r="B695" s="42"/>
      <c r="C695" s="42"/>
      <c r="D695" s="75"/>
      <c r="E695" s="75"/>
      <c r="F695" s="76"/>
      <c r="G695" s="47"/>
      <c r="H695" s="47"/>
      <c r="I695" s="75"/>
      <c r="J695" s="76"/>
      <c r="K695" s="76"/>
      <c r="L695" s="75"/>
      <c r="M695" s="49"/>
      <c r="N695" s="76"/>
      <c r="O695" s="49"/>
      <c r="P695" s="77"/>
      <c r="Q695" s="53"/>
      <c r="R695" s="54"/>
      <c r="S695" s="55"/>
      <c r="T695" s="56"/>
      <c r="U695" s="56"/>
      <c r="V695" s="42"/>
      <c r="W695" s="57"/>
      <c r="X695" s="58"/>
      <c r="Y695" s="75"/>
      <c r="Z695" s="59"/>
      <c r="AA695" s="61"/>
      <c r="AB695" s="61"/>
      <c r="AC695" s="61"/>
      <c r="AD695" s="62"/>
      <c r="AE695" s="62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x14ac:dyDescent="0.3">
      <c r="A696" s="39"/>
      <c r="B696" s="42"/>
      <c r="C696" s="42"/>
      <c r="D696" s="75"/>
      <c r="E696" s="75"/>
      <c r="F696" s="76"/>
      <c r="G696" s="47"/>
      <c r="H696" s="47"/>
      <c r="I696" s="75"/>
      <c r="J696" s="76"/>
      <c r="K696" s="76"/>
      <c r="L696" s="75"/>
      <c r="M696" s="49"/>
      <c r="N696" s="76"/>
      <c r="O696" s="49"/>
      <c r="P696" s="77"/>
      <c r="Q696" s="53"/>
      <c r="R696" s="54"/>
      <c r="S696" s="55"/>
      <c r="T696" s="56"/>
      <c r="U696" s="56"/>
      <c r="V696" s="42"/>
      <c r="W696" s="57"/>
      <c r="X696" s="58"/>
      <c r="Y696" s="75"/>
      <c r="Z696" s="59"/>
      <c r="AA696" s="61"/>
      <c r="AB696" s="61"/>
      <c r="AC696" s="61"/>
      <c r="AD696" s="62"/>
      <c r="AE696" s="62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x14ac:dyDescent="0.3">
      <c r="A697" s="39"/>
      <c r="B697" s="42"/>
      <c r="C697" s="42"/>
      <c r="D697" s="75"/>
      <c r="E697" s="75"/>
      <c r="F697" s="76"/>
      <c r="G697" s="47"/>
      <c r="H697" s="47"/>
      <c r="I697" s="75"/>
      <c r="J697" s="76"/>
      <c r="K697" s="76"/>
      <c r="L697" s="75"/>
      <c r="M697" s="49"/>
      <c r="N697" s="76"/>
      <c r="O697" s="49"/>
      <c r="P697" s="77"/>
      <c r="Q697" s="53"/>
      <c r="R697" s="54"/>
      <c r="S697" s="55"/>
      <c r="T697" s="56"/>
      <c r="U697" s="56"/>
      <c r="V697" s="42"/>
      <c r="W697" s="57"/>
      <c r="X697" s="58"/>
      <c r="Y697" s="75"/>
      <c r="Z697" s="59"/>
      <c r="AA697" s="61"/>
      <c r="AB697" s="61"/>
      <c r="AC697" s="61"/>
      <c r="AD697" s="62"/>
      <c r="AE697" s="62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x14ac:dyDescent="0.3">
      <c r="A698" s="39"/>
      <c r="B698" s="42"/>
      <c r="C698" s="42"/>
      <c r="D698" s="75"/>
      <c r="E698" s="75"/>
      <c r="F698" s="76"/>
      <c r="G698" s="47"/>
      <c r="H698" s="47"/>
      <c r="I698" s="75"/>
      <c r="J698" s="76"/>
      <c r="K698" s="76"/>
      <c r="L698" s="75"/>
      <c r="M698" s="49"/>
      <c r="N698" s="76"/>
      <c r="O698" s="49"/>
      <c r="P698" s="77"/>
      <c r="Q698" s="53"/>
      <c r="R698" s="54"/>
      <c r="S698" s="55"/>
      <c r="T698" s="56"/>
      <c r="U698" s="56"/>
      <c r="V698" s="42"/>
      <c r="W698" s="57"/>
      <c r="X698" s="58"/>
      <c r="Y698" s="75"/>
      <c r="Z698" s="59"/>
      <c r="AA698" s="61"/>
      <c r="AB698" s="61"/>
      <c r="AC698" s="61"/>
      <c r="AD698" s="62"/>
      <c r="AE698" s="62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x14ac:dyDescent="0.3">
      <c r="A699" s="39"/>
      <c r="B699" s="42"/>
      <c r="C699" s="42"/>
      <c r="D699" s="75"/>
      <c r="E699" s="75"/>
      <c r="F699" s="76"/>
      <c r="G699" s="47"/>
      <c r="H699" s="47"/>
      <c r="I699" s="75"/>
      <c r="J699" s="76"/>
      <c r="K699" s="76"/>
      <c r="L699" s="75"/>
      <c r="M699" s="49"/>
      <c r="N699" s="76"/>
      <c r="O699" s="49"/>
      <c r="P699" s="77"/>
      <c r="Q699" s="53"/>
      <c r="R699" s="54"/>
      <c r="S699" s="55"/>
      <c r="T699" s="56"/>
      <c r="U699" s="56"/>
      <c r="V699" s="42"/>
      <c r="W699" s="57"/>
      <c r="X699" s="58"/>
      <c r="Y699" s="75"/>
      <c r="Z699" s="59"/>
      <c r="AA699" s="61"/>
      <c r="AB699" s="61"/>
      <c r="AC699" s="61"/>
      <c r="AD699" s="62"/>
      <c r="AE699" s="62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x14ac:dyDescent="0.3">
      <c r="A700" s="39"/>
      <c r="B700" s="42"/>
      <c r="C700" s="42"/>
      <c r="D700" s="75"/>
      <c r="E700" s="75"/>
      <c r="F700" s="76"/>
      <c r="G700" s="47"/>
      <c r="H700" s="47"/>
      <c r="I700" s="75"/>
      <c r="J700" s="76"/>
      <c r="K700" s="76"/>
      <c r="L700" s="75"/>
      <c r="M700" s="49"/>
      <c r="N700" s="76"/>
      <c r="O700" s="49"/>
      <c r="P700" s="77"/>
      <c r="Q700" s="53"/>
      <c r="R700" s="54"/>
      <c r="S700" s="55"/>
      <c r="T700" s="56"/>
      <c r="U700" s="56"/>
      <c r="V700" s="42"/>
      <c r="W700" s="57"/>
      <c r="X700" s="58"/>
      <c r="Y700" s="75"/>
      <c r="Z700" s="59"/>
      <c r="AA700" s="61"/>
      <c r="AB700" s="61"/>
      <c r="AC700" s="61"/>
      <c r="AD700" s="62"/>
      <c r="AE700" s="62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x14ac:dyDescent="0.3">
      <c r="A701" s="39"/>
      <c r="B701" s="42"/>
      <c r="C701" s="42"/>
      <c r="D701" s="75"/>
      <c r="E701" s="75"/>
      <c r="F701" s="76"/>
      <c r="G701" s="47"/>
      <c r="H701" s="47"/>
      <c r="I701" s="75"/>
      <c r="J701" s="76"/>
      <c r="K701" s="76"/>
      <c r="L701" s="75"/>
      <c r="M701" s="49"/>
      <c r="N701" s="76"/>
      <c r="O701" s="49"/>
      <c r="P701" s="77"/>
      <c r="Q701" s="53"/>
      <c r="R701" s="54"/>
      <c r="S701" s="55"/>
      <c r="T701" s="56"/>
      <c r="U701" s="56"/>
      <c r="V701" s="42"/>
      <c r="W701" s="57"/>
      <c r="X701" s="58"/>
      <c r="Y701" s="75"/>
      <c r="Z701" s="59"/>
      <c r="AA701" s="61"/>
      <c r="AB701" s="61"/>
      <c r="AC701" s="61"/>
      <c r="AD701" s="62"/>
      <c r="AE701" s="62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x14ac:dyDescent="0.3">
      <c r="A702" s="39"/>
      <c r="B702" s="42"/>
      <c r="C702" s="42"/>
      <c r="D702" s="75"/>
      <c r="E702" s="75"/>
      <c r="F702" s="76"/>
      <c r="G702" s="47"/>
      <c r="H702" s="47"/>
      <c r="I702" s="75"/>
      <c r="J702" s="76"/>
      <c r="K702" s="76"/>
      <c r="L702" s="75"/>
      <c r="M702" s="49"/>
      <c r="N702" s="76"/>
      <c r="O702" s="49"/>
      <c r="P702" s="77"/>
      <c r="Q702" s="53"/>
      <c r="R702" s="54"/>
      <c r="S702" s="55"/>
      <c r="T702" s="56"/>
      <c r="U702" s="56"/>
      <c r="V702" s="42"/>
      <c r="W702" s="57"/>
      <c r="X702" s="58"/>
      <c r="Y702" s="75"/>
      <c r="Z702" s="59"/>
      <c r="AA702" s="61"/>
      <c r="AB702" s="61"/>
      <c r="AC702" s="61"/>
      <c r="AD702" s="62"/>
      <c r="AE702" s="62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x14ac:dyDescent="0.3">
      <c r="A703" s="39"/>
      <c r="B703" s="42"/>
      <c r="C703" s="42"/>
      <c r="D703" s="75"/>
      <c r="E703" s="75"/>
      <c r="F703" s="76"/>
      <c r="G703" s="47"/>
      <c r="H703" s="47"/>
      <c r="I703" s="75"/>
      <c r="J703" s="76"/>
      <c r="K703" s="76"/>
      <c r="L703" s="75"/>
      <c r="M703" s="49"/>
      <c r="N703" s="76"/>
      <c r="O703" s="49"/>
      <c r="P703" s="77"/>
      <c r="Q703" s="53"/>
      <c r="R703" s="54"/>
      <c r="S703" s="55"/>
      <c r="T703" s="56"/>
      <c r="U703" s="56"/>
      <c r="V703" s="42"/>
      <c r="W703" s="57"/>
      <c r="X703" s="58"/>
      <c r="Y703" s="75"/>
      <c r="Z703" s="59"/>
      <c r="AA703" s="61"/>
      <c r="AB703" s="61"/>
      <c r="AC703" s="61"/>
      <c r="AD703" s="62"/>
      <c r="AE703" s="62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x14ac:dyDescent="0.3">
      <c r="A704" s="39"/>
      <c r="B704" s="42"/>
      <c r="C704" s="42"/>
      <c r="D704" s="75"/>
      <c r="E704" s="75"/>
      <c r="F704" s="76"/>
      <c r="G704" s="47"/>
      <c r="H704" s="47"/>
      <c r="I704" s="75"/>
      <c r="J704" s="76"/>
      <c r="K704" s="76"/>
      <c r="L704" s="75"/>
      <c r="M704" s="49"/>
      <c r="N704" s="76"/>
      <c r="O704" s="49"/>
      <c r="P704" s="77"/>
      <c r="Q704" s="53"/>
      <c r="R704" s="54"/>
      <c r="S704" s="55"/>
      <c r="T704" s="56"/>
      <c r="U704" s="56"/>
      <c r="V704" s="42"/>
      <c r="W704" s="57"/>
      <c r="X704" s="58"/>
      <c r="Y704" s="75"/>
      <c r="Z704" s="59"/>
      <c r="AA704" s="61"/>
      <c r="AB704" s="61"/>
      <c r="AC704" s="61"/>
      <c r="AD704" s="62"/>
      <c r="AE704" s="62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x14ac:dyDescent="0.3">
      <c r="A705" s="39"/>
      <c r="B705" s="42"/>
      <c r="C705" s="42"/>
      <c r="D705" s="75"/>
      <c r="E705" s="75"/>
      <c r="F705" s="76"/>
      <c r="G705" s="47"/>
      <c r="H705" s="47"/>
      <c r="I705" s="75"/>
      <c r="J705" s="76"/>
      <c r="K705" s="76"/>
      <c r="L705" s="75"/>
      <c r="M705" s="49"/>
      <c r="N705" s="76"/>
      <c r="O705" s="49"/>
      <c r="P705" s="77"/>
      <c r="Q705" s="53"/>
      <c r="R705" s="54"/>
      <c r="S705" s="55"/>
      <c r="T705" s="56"/>
      <c r="U705" s="56"/>
      <c r="V705" s="42"/>
      <c r="W705" s="57"/>
      <c r="X705" s="58"/>
      <c r="Y705" s="75"/>
      <c r="Z705" s="59"/>
      <c r="AA705" s="61"/>
      <c r="AB705" s="61"/>
      <c r="AC705" s="61"/>
      <c r="AD705" s="62"/>
      <c r="AE705" s="62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x14ac:dyDescent="0.3">
      <c r="A706" s="39"/>
      <c r="B706" s="42"/>
      <c r="C706" s="42"/>
      <c r="D706" s="75"/>
      <c r="E706" s="75"/>
      <c r="F706" s="76"/>
      <c r="G706" s="47"/>
      <c r="H706" s="47"/>
      <c r="I706" s="75"/>
      <c r="J706" s="76"/>
      <c r="K706" s="76"/>
      <c r="L706" s="75"/>
      <c r="M706" s="49"/>
      <c r="N706" s="76"/>
      <c r="O706" s="49"/>
      <c r="P706" s="77"/>
      <c r="Q706" s="53"/>
      <c r="R706" s="54"/>
      <c r="S706" s="55"/>
      <c r="T706" s="56"/>
      <c r="U706" s="56"/>
      <c r="V706" s="42"/>
      <c r="W706" s="57"/>
      <c r="X706" s="58"/>
      <c r="Y706" s="75"/>
      <c r="Z706" s="59"/>
      <c r="AA706" s="61"/>
      <c r="AB706" s="61"/>
      <c r="AC706" s="61"/>
      <c r="AD706" s="62"/>
      <c r="AE706" s="62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x14ac:dyDescent="0.3">
      <c r="A707" s="39"/>
      <c r="B707" s="42"/>
      <c r="C707" s="42"/>
      <c r="D707" s="75"/>
      <c r="E707" s="75"/>
      <c r="F707" s="76"/>
      <c r="G707" s="47"/>
      <c r="H707" s="47"/>
      <c r="I707" s="75"/>
      <c r="J707" s="76"/>
      <c r="K707" s="76"/>
      <c r="L707" s="75"/>
      <c r="M707" s="49"/>
      <c r="N707" s="76"/>
      <c r="O707" s="49"/>
      <c r="P707" s="77"/>
      <c r="Q707" s="53"/>
      <c r="R707" s="54"/>
      <c r="S707" s="55"/>
      <c r="T707" s="56"/>
      <c r="U707" s="56"/>
      <c r="V707" s="42"/>
      <c r="W707" s="57"/>
      <c r="X707" s="58"/>
      <c r="Y707" s="75"/>
      <c r="Z707" s="59"/>
      <c r="AA707" s="61"/>
      <c r="AB707" s="61"/>
      <c r="AC707" s="61"/>
      <c r="AD707" s="62"/>
      <c r="AE707" s="62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x14ac:dyDescent="0.3">
      <c r="A708" s="39"/>
      <c r="B708" s="42"/>
      <c r="C708" s="42"/>
      <c r="D708" s="75"/>
      <c r="E708" s="75"/>
      <c r="F708" s="76"/>
      <c r="G708" s="47"/>
      <c r="H708" s="47"/>
      <c r="I708" s="75"/>
      <c r="J708" s="76"/>
      <c r="K708" s="76"/>
      <c r="L708" s="75"/>
      <c r="M708" s="49"/>
      <c r="N708" s="76"/>
      <c r="O708" s="49"/>
      <c r="P708" s="77"/>
      <c r="Q708" s="53"/>
      <c r="R708" s="54"/>
      <c r="S708" s="55"/>
      <c r="T708" s="56"/>
      <c r="U708" s="56"/>
      <c r="V708" s="42"/>
      <c r="W708" s="57"/>
      <c r="X708" s="58"/>
      <c r="Y708" s="75"/>
      <c r="Z708" s="59"/>
      <c r="AA708" s="61"/>
      <c r="AB708" s="61"/>
      <c r="AC708" s="61"/>
      <c r="AD708" s="62"/>
      <c r="AE708" s="62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x14ac:dyDescent="0.3">
      <c r="A709" s="39"/>
      <c r="B709" s="42"/>
      <c r="C709" s="42"/>
      <c r="D709" s="75"/>
      <c r="E709" s="75"/>
      <c r="F709" s="76"/>
      <c r="G709" s="47"/>
      <c r="H709" s="47"/>
      <c r="I709" s="75"/>
      <c r="J709" s="76"/>
      <c r="K709" s="76"/>
      <c r="L709" s="75"/>
      <c r="M709" s="49"/>
      <c r="N709" s="76"/>
      <c r="O709" s="49"/>
      <c r="P709" s="77"/>
      <c r="Q709" s="53"/>
      <c r="R709" s="54"/>
      <c r="S709" s="55"/>
      <c r="T709" s="56"/>
      <c r="U709" s="56"/>
      <c r="V709" s="42"/>
      <c r="W709" s="57"/>
      <c r="X709" s="58"/>
      <c r="Y709" s="75"/>
      <c r="Z709" s="59"/>
      <c r="AA709" s="61"/>
      <c r="AB709" s="61"/>
      <c r="AC709" s="61"/>
      <c r="AD709" s="62"/>
      <c r="AE709" s="62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x14ac:dyDescent="0.3">
      <c r="A710" s="39"/>
      <c r="B710" s="42"/>
      <c r="C710" s="42"/>
      <c r="D710" s="75"/>
      <c r="E710" s="75"/>
      <c r="F710" s="76"/>
      <c r="G710" s="47"/>
      <c r="H710" s="47"/>
      <c r="I710" s="75"/>
      <c r="J710" s="76"/>
      <c r="K710" s="76"/>
      <c r="L710" s="75"/>
      <c r="M710" s="49"/>
      <c r="N710" s="76"/>
      <c r="O710" s="49"/>
      <c r="P710" s="77"/>
      <c r="Q710" s="53"/>
      <c r="R710" s="54"/>
      <c r="S710" s="55"/>
      <c r="T710" s="56"/>
      <c r="U710" s="56"/>
      <c r="V710" s="42"/>
      <c r="W710" s="57"/>
      <c r="X710" s="58"/>
      <c r="Y710" s="75"/>
      <c r="Z710" s="59"/>
      <c r="AA710" s="61"/>
      <c r="AB710" s="61"/>
      <c r="AC710" s="61"/>
      <c r="AD710" s="62"/>
      <c r="AE710" s="62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x14ac:dyDescent="0.3">
      <c r="A711" s="39"/>
      <c r="B711" s="42"/>
      <c r="C711" s="42"/>
      <c r="D711" s="75"/>
      <c r="E711" s="75"/>
      <c r="F711" s="76"/>
      <c r="G711" s="47"/>
      <c r="H711" s="47"/>
      <c r="I711" s="75"/>
      <c r="J711" s="76"/>
      <c r="K711" s="76"/>
      <c r="L711" s="75"/>
      <c r="M711" s="49"/>
      <c r="N711" s="76"/>
      <c r="O711" s="49"/>
      <c r="P711" s="77"/>
      <c r="Q711" s="53"/>
      <c r="R711" s="54"/>
      <c r="S711" s="55"/>
      <c r="T711" s="56"/>
      <c r="U711" s="56"/>
      <c r="V711" s="42"/>
      <c r="W711" s="57"/>
      <c r="X711" s="58"/>
      <c r="Y711" s="75"/>
      <c r="Z711" s="59"/>
      <c r="AA711" s="61"/>
      <c r="AB711" s="61"/>
      <c r="AC711" s="61"/>
      <c r="AD711" s="62"/>
      <c r="AE711" s="62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x14ac:dyDescent="0.3">
      <c r="A712" s="39"/>
      <c r="B712" s="42"/>
      <c r="C712" s="42"/>
      <c r="D712" s="75"/>
      <c r="E712" s="75"/>
      <c r="F712" s="76"/>
      <c r="G712" s="47"/>
      <c r="H712" s="47"/>
      <c r="I712" s="75"/>
      <c r="J712" s="76"/>
      <c r="K712" s="76"/>
      <c r="L712" s="75"/>
      <c r="M712" s="49"/>
      <c r="N712" s="76"/>
      <c r="O712" s="49"/>
      <c r="P712" s="77"/>
      <c r="Q712" s="53"/>
      <c r="R712" s="54"/>
      <c r="S712" s="55"/>
      <c r="T712" s="56"/>
      <c r="U712" s="56"/>
      <c r="V712" s="42"/>
      <c r="W712" s="57"/>
      <c r="X712" s="58"/>
      <c r="Y712" s="75"/>
      <c r="Z712" s="59"/>
      <c r="AA712" s="61"/>
      <c r="AB712" s="61"/>
      <c r="AC712" s="61"/>
      <c r="AD712" s="62"/>
      <c r="AE712" s="62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x14ac:dyDescent="0.3">
      <c r="A713" s="39"/>
      <c r="B713" s="42"/>
      <c r="C713" s="42"/>
      <c r="D713" s="75"/>
      <c r="E713" s="75"/>
      <c r="F713" s="76"/>
      <c r="G713" s="47"/>
      <c r="H713" s="47"/>
      <c r="I713" s="75"/>
      <c r="J713" s="76"/>
      <c r="K713" s="76"/>
      <c r="L713" s="75"/>
      <c r="M713" s="49"/>
      <c r="N713" s="76"/>
      <c r="O713" s="49"/>
      <c r="P713" s="77"/>
      <c r="Q713" s="53"/>
      <c r="R713" s="54"/>
      <c r="S713" s="55"/>
      <c r="T713" s="56"/>
      <c r="U713" s="56"/>
      <c r="V713" s="42"/>
      <c r="W713" s="57"/>
      <c r="X713" s="58"/>
      <c r="Y713" s="75"/>
      <c r="Z713" s="59"/>
      <c r="AA713" s="61"/>
      <c r="AB713" s="61"/>
      <c r="AC713" s="61"/>
      <c r="AD713" s="62"/>
      <c r="AE713" s="62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x14ac:dyDescent="0.3">
      <c r="A714" s="39"/>
      <c r="B714" s="42"/>
      <c r="C714" s="42"/>
      <c r="D714" s="75"/>
      <c r="E714" s="75"/>
      <c r="F714" s="76"/>
      <c r="G714" s="47"/>
      <c r="H714" s="47"/>
      <c r="I714" s="75"/>
      <c r="J714" s="76"/>
      <c r="K714" s="76"/>
      <c r="L714" s="75"/>
      <c r="M714" s="49"/>
      <c r="N714" s="76"/>
      <c r="O714" s="49"/>
      <c r="P714" s="77"/>
      <c r="Q714" s="53"/>
      <c r="R714" s="54"/>
      <c r="S714" s="55"/>
      <c r="T714" s="56"/>
      <c r="U714" s="56"/>
      <c r="V714" s="42"/>
      <c r="W714" s="57"/>
      <c r="X714" s="58"/>
      <c r="Y714" s="75"/>
      <c r="Z714" s="59"/>
      <c r="AA714" s="61"/>
      <c r="AB714" s="61"/>
      <c r="AC714" s="61"/>
      <c r="AD714" s="62"/>
      <c r="AE714" s="62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x14ac:dyDescent="0.3">
      <c r="A715" s="39"/>
      <c r="B715" s="42"/>
      <c r="C715" s="42"/>
      <c r="D715" s="75"/>
      <c r="E715" s="75"/>
      <c r="F715" s="76"/>
      <c r="G715" s="47"/>
      <c r="H715" s="47"/>
      <c r="I715" s="75"/>
      <c r="J715" s="76"/>
      <c r="K715" s="76"/>
      <c r="L715" s="75"/>
      <c r="M715" s="49"/>
      <c r="N715" s="76"/>
      <c r="O715" s="49"/>
      <c r="P715" s="77"/>
      <c r="Q715" s="53"/>
      <c r="R715" s="54"/>
      <c r="S715" s="55"/>
      <c r="T715" s="56"/>
      <c r="U715" s="56"/>
      <c r="V715" s="42"/>
      <c r="W715" s="57"/>
      <c r="X715" s="58"/>
      <c r="Y715" s="75"/>
      <c r="Z715" s="59"/>
      <c r="AA715" s="61"/>
      <c r="AB715" s="61"/>
      <c r="AC715" s="61"/>
      <c r="AD715" s="62"/>
      <c r="AE715" s="62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x14ac:dyDescent="0.3">
      <c r="A716" s="39"/>
      <c r="B716" s="42"/>
      <c r="C716" s="42"/>
      <c r="D716" s="75"/>
      <c r="E716" s="75"/>
      <c r="F716" s="76"/>
      <c r="G716" s="47"/>
      <c r="H716" s="47"/>
      <c r="I716" s="75"/>
      <c r="J716" s="76"/>
      <c r="K716" s="76"/>
      <c r="L716" s="75"/>
      <c r="M716" s="49"/>
      <c r="N716" s="76"/>
      <c r="O716" s="49"/>
      <c r="P716" s="77"/>
      <c r="Q716" s="53"/>
      <c r="R716" s="54"/>
      <c r="S716" s="55"/>
      <c r="T716" s="56"/>
      <c r="U716" s="56"/>
      <c r="V716" s="42"/>
      <c r="W716" s="57"/>
      <c r="X716" s="58"/>
      <c r="Y716" s="75"/>
      <c r="Z716" s="59"/>
      <c r="AA716" s="61"/>
      <c r="AB716" s="61"/>
      <c r="AC716" s="61"/>
      <c r="AD716" s="62"/>
      <c r="AE716" s="62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x14ac:dyDescent="0.3">
      <c r="A717" s="39"/>
      <c r="B717" s="42"/>
      <c r="C717" s="42"/>
      <c r="D717" s="75"/>
      <c r="E717" s="75"/>
      <c r="F717" s="76"/>
      <c r="G717" s="47"/>
      <c r="H717" s="47"/>
      <c r="I717" s="75"/>
      <c r="J717" s="76"/>
      <c r="K717" s="76"/>
      <c r="L717" s="75"/>
      <c r="M717" s="49"/>
      <c r="N717" s="76"/>
      <c r="O717" s="49"/>
      <c r="P717" s="77"/>
      <c r="Q717" s="53"/>
      <c r="R717" s="54"/>
      <c r="S717" s="55"/>
      <c r="T717" s="56"/>
      <c r="U717" s="56"/>
      <c r="V717" s="42"/>
      <c r="W717" s="57"/>
      <c r="X717" s="58"/>
      <c r="Y717" s="75"/>
      <c r="Z717" s="59"/>
      <c r="AA717" s="61"/>
      <c r="AB717" s="61"/>
      <c r="AC717" s="61"/>
      <c r="AD717" s="62"/>
      <c r="AE717" s="62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x14ac:dyDescent="0.3">
      <c r="A718" s="39"/>
      <c r="B718" s="42"/>
      <c r="C718" s="42"/>
      <c r="D718" s="75"/>
      <c r="E718" s="75"/>
      <c r="F718" s="76"/>
      <c r="G718" s="47"/>
      <c r="H718" s="47"/>
      <c r="I718" s="75"/>
      <c r="J718" s="76"/>
      <c r="K718" s="76"/>
      <c r="L718" s="75"/>
      <c r="M718" s="49"/>
      <c r="N718" s="76"/>
      <c r="O718" s="49"/>
      <c r="P718" s="77"/>
      <c r="Q718" s="53"/>
      <c r="R718" s="54"/>
      <c r="S718" s="55"/>
      <c r="T718" s="56"/>
      <c r="U718" s="56"/>
      <c r="V718" s="42"/>
      <c r="W718" s="57"/>
      <c r="X718" s="58"/>
      <c r="Y718" s="75"/>
      <c r="Z718" s="59"/>
      <c r="AA718" s="61"/>
      <c r="AB718" s="61"/>
      <c r="AC718" s="61"/>
      <c r="AD718" s="62"/>
      <c r="AE718" s="62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x14ac:dyDescent="0.3">
      <c r="A719" s="39"/>
      <c r="B719" s="42"/>
      <c r="C719" s="42"/>
      <c r="D719" s="75"/>
      <c r="E719" s="75"/>
      <c r="F719" s="76"/>
      <c r="G719" s="47"/>
      <c r="H719" s="47"/>
      <c r="I719" s="75"/>
      <c r="J719" s="76"/>
      <c r="K719" s="76"/>
      <c r="L719" s="75"/>
      <c r="M719" s="49"/>
      <c r="N719" s="76"/>
      <c r="O719" s="49"/>
      <c r="P719" s="77"/>
      <c r="Q719" s="53"/>
      <c r="R719" s="54"/>
      <c r="S719" s="55"/>
      <c r="T719" s="56"/>
      <c r="U719" s="56"/>
      <c r="V719" s="42"/>
      <c r="W719" s="57"/>
      <c r="X719" s="58"/>
      <c r="Y719" s="75"/>
      <c r="Z719" s="59"/>
      <c r="AA719" s="61"/>
      <c r="AB719" s="61"/>
      <c r="AC719" s="61"/>
      <c r="AD719" s="62"/>
      <c r="AE719" s="62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x14ac:dyDescent="0.3">
      <c r="A720" s="39"/>
      <c r="B720" s="42"/>
      <c r="C720" s="42"/>
      <c r="D720" s="75"/>
      <c r="E720" s="75"/>
      <c r="F720" s="76"/>
      <c r="G720" s="47"/>
      <c r="H720" s="47"/>
      <c r="I720" s="75"/>
      <c r="J720" s="76"/>
      <c r="K720" s="76"/>
      <c r="L720" s="75"/>
      <c r="M720" s="49"/>
      <c r="N720" s="76"/>
      <c r="O720" s="49"/>
      <c r="P720" s="77"/>
      <c r="Q720" s="53"/>
      <c r="R720" s="54"/>
      <c r="S720" s="55"/>
      <c r="T720" s="56"/>
      <c r="U720" s="56"/>
      <c r="V720" s="42"/>
      <c r="W720" s="57"/>
      <c r="X720" s="58"/>
      <c r="Y720" s="75"/>
      <c r="Z720" s="59"/>
      <c r="AA720" s="61"/>
      <c r="AB720" s="61"/>
      <c r="AC720" s="61"/>
      <c r="AD720" s="62"/>
      <c r="AE720" s="62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x14ac:dyDescent="0.3">
      <c r="A721" s="39"/>
      <c r="B721" s="42"/>
      <c r="C721" s="42"/>
      <c r="D721" s="75"/>
      <c r="E721" s="75"/>
      <c r="F721" s="76"/>
      <c r="G721" s="47"/>
      <c r="H721" s="47"/>
      <c r="I721" s="75"/>
      <c r="J721" s="76"/>
      <c r="K721" s="76"/>
      <c r="L721" s="75"/>
      <c r="M721" s="49"/>
      <c r="N721" s="76"/>
      <c r="O721" s="49"/>
      <c r="P721" s="77"/>
      <c r="Q721" s="53"/>
      <c r="R721" s="54"/>
      <c r="S721" s="55"/>
      <c r="T721" s="56"/>
      <c r="U721" s="56"/>
      <c r="V721" s="42"/>
      <c r="W721" s="57"/>
      <c r="X721" s="58"/>
      <c r="Y721" s="75"/>
      <c r="Z721" s="59"/>
      <c r="AA721" s="61"/>
      <c r="AB721" s="61"/>
      <c r="AC721" s="61"/>
      <c r="AD721" s="62"/>
      <c r="AE721" s="62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x14ac:dyDescent="0.3">
      <c r="A722" s="39"/>
      <c r="B722" s="42"/>
      <c r="C722" s="42"/>
      <c r="D722" s="75"/>
      <c r="E722" s="75"/>
      <c r="F722" s="76"/>
      <c r="G722" s="47"/>
      <c r="H722" s="47"/>
      <c r="I722" s="75"/>
      <c r="J722" s="76"/>
      <c r="K722" s="76"/>
      <c r="L722" s="75"/>
      <c r="M722" s="49"/>
      <c r="N722" s="76"/>
      <c r="O722" s="49"/>
      <c r="P722" s="77"/>
      <c r="Q722" s="53"/>
      <c r="R722" s="54"/>
      <c r="S722" s="55"/>
      <c r="T722" s="56"/>
      <c r="U722" s="56"/>
      <c r="V722" s="42"/>
      <c r="W722" s="57"/>
      <c r="X722" s="58"/>
      <c r="Y722" s="75"/>
      <c r="Z722" s="59"/>
      <c r="AA722" s="61"/>
      <c r="AB722" s="61"/>
      <c r="AC722" s="61"/>
      <c r="AD722" s="62"/>
      <c r="AE722" s="62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x14ac:dyDescent="0.3">
      <c r="A723" s="39"/>
      <c r="B723" s="42"/>
      <c r="C723" s="42"/>
      <c r="D723" s="75"/>
      <c r="E723" s="75"/>
      <c r="F723" s="76"/>
      <c r="G723" s="47"/>
      <c r="H723" s="47"/>
      <c r="I723" s="75"/>
      <c r="J723" s="76"/>
      <c r="K723" s="76"/>
      <c r="L723" s="75"/>
      <c r="M723" s="49"/>
      <c r="N723" s="76"/>
      <c r="O723" s="49"/>
      <c r="P723" s="77"/>
      <c r="Q723" s="53"/>
      <c r="R723" s="54"/>
      <c r="S723" s="55"/>
      <c r="T723" s="56"/>
      <c r="U723" s="56"/>
      <c r="V723" s="42"/>
      <c r="W723" s="57"/>
      <c r="X723" s="58"/>
      <c r="Y723" s="75"/>
      <c r="Z723" s="59"/>
      <c r="AA723" s="61"/>
      <c r="AB723" s="61"/>
      <c r="AC723" s="61"/>
      <c r="AD723" s="62"/>
      <c r="AE723" s="62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x14ac:dyDescent="0.3">
      <c r="A724" s="39"/>
      <c r="B724" s="42"/>
      <c r="C724" s="42"/>
      <c r="D724" s="75"/>
      <c r="E724" s="75"/>
      <c r="F724" s="76"/>
      <c r="G724" s="47"/>
      <c r="H724" s="47"/>
      <c r="I724" s="75"/>
      <c r="J724" s="76"/>
      <c r="K724" s="76"/>
      <c r="L724" s="75"/>
      <c r="M724" s="49"/>
      <c r="N724" s="76"/>
      <c r="O724" s="49"/>
      <c r="P724" s="77"/>
      <c r="Q724" s="53"/>
      <c r="R724" s="54"/>
      <c r="S724" s="55"/>
      <c r="T724" s="56"/>
      <c r="U724" s="56"/>
      <c r="V724" s="42"/>
      <c r="W724" s="57"/>
      <c r="X724" s="58"/>
      <c r="Y724" s="75"/>
      <c r="Z724" s="59"/>
      <c r="AA724" s="61"/>
      <c r="AB724" s="61"/>
      <c r="AC724" s="61"/>
      <c r="AD724" s="62"/>
      <c r="AE724" s="62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x14ac:dyDescent="0.3">
      <c r="A725" s="39"/>
      <c r="B725" s="42"/>
      <c r="C725" s="42"/>
      <c r="D725" s="75"/>
      <c r="E725" s="75"/>
      <c r="F725" s="76"/>
      <c r="G725" s="47"/>
      <c r="H725" s="47"/>
      <c r="I725" s="75"/>
      <c r="J725" s="76"/>
      <c r="K725" s="76"/>
      <c r="L725" s="75"/>
      <c r="M725" s="49"/>
      <c r="N725" s="76"/>
      <c r="O725" s="49"/>
      <c r="P725" s="77"/>
      <c r="Q725" s="53"/>
      <c r="R725" s="54"/>
      <c r="S725" s="55"/>
      <c r="T725" s="56"/>
      <c r="U725" s="56"/>
      <c r="V725" s="42"/>
      <c r="W725" s="57"/>
      <c r="X725" s="58"/>
      <c r="Y725" s="75"/>
      <c r="Z725" s="59"/>
      <c r="AA725" s="61"/>
      <c r="AB725" s="61"/>
      <c r="AC725" s="61"/>
      <c r="AD725" s="62"/>
      <c r="AE725" s="62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x14ac:dyDescent="0.3">
      <c r="A726" s="39"/>
      <c r="B726" s="42"/>
      <c r="C726" s="42"/>
      <c r="D726" s="75"/>
      <c r="E726" s="75"/>
      <c r="F726" s="76"/>
      <c r="G726" s="47"/>
      <c r="H726" s="47"/>
      <c r="I726" s="75"/>
      <c r="J726" s="76"/>
      <c r="K726" s="76"/>
      <c r="L726" s="75"/>
      <c r="M726" s="49"/>
      <c r="N726" s="76"/>
      <c r="O726" s="49"/>
      <c r="P726" s="77"/>
      <c r="Q726" s="53"/>
      <c r="R726" s="54"/>
      <c r="S726" s="55"/>
      <c r="T726" s="56"/>
      <c r="U726" s="56"/>
      <c r="V726" s="42"/>
      <c r="W726" s="57"/>
      <c r="X726" s="58"/>
      <c r="Y726" s="75"/>
      <c r="Z726" s="59"/>
      <c r="AA726" s="61"/>
      <c r="AB726" s="61"/>
      <c r="AC726" s="61"/>
      <c r="AD726" s="62"/>
      <c r="AE726" s="62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x14ac:dyDescent="0.3">
      <c r="A727" s="39"/>
      <c r="B727" s="42"/>
      <c r="C727" s="42"/>
      <c r="D727" s="75"/>
      <c r="E727" s="75"/>
      <c r="F727" s="76"/>
      <c r="G727" s="47"/>
      <c r="H727" s="47"/>
      <c r="I727" s="75"/>
      <c r="J727" s="76"/>
      <c r="K727" s="76"/>
      <c r="L727" s="75"/>
      <c r="M727" s="49"/>
      <c r="N727" s="76"/>
      <c r="O727" s="49"/>
      <c r="P727" s="77"/>
      <c r="Q727" s="53"/>
      <c r="R727" s="54"/>
      <c r="S727" s="55"/>
      <c r="T727" s="56"/>
      <c r="U727" s="56"/>
      <c r="V727" s="42"/>
      <c r="W727" s="57"/>
      <c r="X727" s="58"/>
      <c r="Y727" s="75"/>
      <c r="Z727" s="59"/>
      <c r="AA727" s="61"/>
      <c r="AB727" s="61"/>
      <c r="AC727" s="61"/>
      <c r="AD727" s="62"/>
      <c r="AE727" s="62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x14ac:dyDescent="0.3">
      <c r="A728" s="39"/>
      <c r="B728" s="42"/>
      <c r="C728" s="42"/>
      <c r="D728" s="75"/>
      <c r="E728" s="75"/>
      <c r="F728" s="76"/>
      <c r="G728" s="47"/>
      <c r="H728" s="47"/>
      <c r="I728" s="75"/>
      <c r="J728" s="76"/>
      <c r="K728" s="76"/>
      <c r="L728" s="75"/>
      <c r="M728" s="49"/>
      <c r="N728" s="76"/>
      <c r="O728" s="49"/>
      <c r="P728" s="77"/>
      <c r="Q728" s="53"/>
      <c r="R728" s="54"/>
      <c r="S728" s="55"/>
      <c r="T728" s="56"/>
      <c r="U728" s="56"/>
      <c r="V728" s="42"/>
      <c r="W728" s="57"/>
      <c r="X728" s="58"/>
      <c r="Y728" s="75"/>
      <c r="Z728" s="59"/>
      <c r="AA728" s="61"/>
      <c r="AB728" s="61"/>
      <c r="AC728" s="61"/>
      <c r="AD728" s="62"/>
      <c r="AE728" s="62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x14ac:dyDescent="0.3">
      <c r="A729" s="39"/>
      <c r="B729" s="42"/>
      <c r="C729" s="42"/>
      <c r="D729" s="75"/>
      <c r="E729" s="75"/>
      <c r="F729" s="76"/>
      <c r="G729" s="47"/>
      <c r="H729" s="47"/>
      <c r="I729" s="75"/>
      <c r="J729" s="76"/>
      <c r="K729" s="76"/>
      <c r="L729" s="75"/>
      <c r="M729" s="49"/>
      <c r="N729" s="76"/>
      <c r="O729" s="49"/>
      <c r="P729" s="77"/>
      <c r="Q729" s="53"/>
      <c r="R729" s="54"/>
      <c r="S729" s="55"/>
      <c r="T729" s="56"/>
      <c r="U729" s="56"/>
      <c r="V729" s="42"/>
      <c r="W729" s="57"/>
      <c r="X729" s="58"/>
      <c r="Y729" s="75"/>
      <c r="Z729" s="59"/>
      <c r="AA729" s="61"/>
      <c r="AB729" s="61"/>
      <c r="AC729" s="61"/>
      <c r="AD729" s="62"/>
      <c r="AE729" s="62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x14ac:dyDescent="0.3">
      <c r="A730" s="39"/>
      <c r="B730" s="42"/>
      <c r="C730" s="42"/>
      <c r="D730" s="75"/>
      <c r="E730" s="75"/>
      <c r="F730" s="76"/>
      <c r="G730" s="47"/>
      <c r="H730" s="47"/>
      <c r="I730" s="75"/>
      <c r="J730" s="76"/>
      <c r="K730" s="76"/>
      <c r="L730" s="75"/>
      <c r="M730" s="49"/>
      <c r="N730" s="76"/>
      <c r="O730" s="49"/>
      <c r="P730" s="77"/>
      <c r="Q730" s="53"/>
      <c r="R730" s="54"/>
      <c r="S730" s="55"/>
      <c r="T730" s="56"/>
      <c r="U730" s="56"/>
      <c r="V730" s="42"/>
      <c r="W730" s="57"/>
      <c r="X730" s="58"/>
      <c r="Y730" s="75"/>
      <c r="Z730" s="59"/>
      <c r="AA730" s="61"/>
      <c r="AB730" s="61"/>
      <c r="AC730" s="61"/>
      <c r="AD730" s="62"/>
      <c r="AE730" s="62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x14ac:dyDescent="0.3">
      <c r="A731" s="39"/>
      <c r="B731" s="42"/>
      <c r="C731" s="42"/>
      <c r="D731" s="75"/>
      <c r="E731" s="75"/>
      <c r="F731" s="76"/>
      <c r="G731" s="47"/>
      <c r="H731" s="47"/>
      <c r="I731" s="75"/>
      <c r="J731" s="76"/>
      <c r="K731" s="76"/>
      <c r="L731" s="75"/>
      <c r="M731" s="49"/>
      <c r="N731" s="76"/>
      <c r="O731" s="49"/>
      <c r="P731" s="77"/>
      <c r="Q731" s="53"/>
      <c r="R731" s="54"/>
      <c r="S731" s="55"/>
      <c r="T731" s="56"/>
      <c r="U731" s="56"/>
      <c r="V731" s="42"/>
      <c r="W731" s="57"/>
      <c r="X731" s="58"/>
      <c r="Y731" s="75"/>
      <c r="Z731" s="59"/>
      <c r="AA731" s="61"/>
      <c r="AB731" s="61"/>
      <c r="AC731" s="61"/>
      <c r="AD731" s="62"/>
      <c r="AE731" s="62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x14ac:dyDescent="0.3">
      <c r="A732" s="39"/>
      <c r="B732" s="42"/>
      <c r="C732" s="42"/>
      <c r="D732" s="75"/>
      <c r="E732" s="75"/>
      <c r="F732" s="76"/>
      <c r="G732" s="47"/>
      <c r="H732" s="47"/>
      <c r="I732" s="75"/>
      <c r="J732" s="76"/>
      <c r="K732" s="76"/>
      <c r="L732" s="75"/>
      <c r="M732" s="49"/>
      <c r="N732" s="76"/>
      <c r="O732" s="49"/>
      <c r="P732" s="77"/>
      <c r="Q732" s="53"/>
      <c r="R732" s="54"/>
      <c r="S732" s="55"/>
      <c r="T732" s="56"/>
      <c r="U732" s="56"/>
      <c r="V732" s="42"/>
      <c r="W732" s="57"/>
      <c r="X732" s="58"/>
      <c r="Y732" s="75"/>
      <c r="Z732" s="59"/>
      <c r="AA732" s="61"/>
      <c r="AB732" s="61"/>
      <c r="AC732" s="61"/>
      <c r="AD732" s="62"/>
      <c r="AE732" s="62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x14ac:dyDescent="0.3">
      <c r="A733" s="39"/>
      <c r="B733" s="42"/>
      <c r="C733" s="42"/>
      <c r="D733" s="75"/>
      <c r="E733" s="75"/>
      <c r="F733" s="76"/>
      <c r="G733" s="47"/>
      <c r="H733" s="47"/>
      <c r="I733" s="75"/>
      <c r="J733" s="76"/>
      <c r="K733" s="76"/>
      <c r="L733" s="75"/>
      <c r="M733" s="49"/>
      <c r="N733" s="76"/>
      <c r="O733" s="49"/>
      <c r="P733" s="77"/>
      <c r="Q733" s="53"/>
      <c r="R733" s="54"/>
      <c r="S733" s="55"/>
      <c r="T733" s="56"/>
      <c r="U733" s="56"/>
      <c r="V733" s="42"/>
      <c r="W733" s="57"/>
      <c r="X733" s="58"/>
      <c r="Y733" s="75"/>
      <c r="Z733" s="59"/>
      <c r="AA733" s="61"/>
      <c r="AB733" s="61"/>
      <c r="AC733" s="61"/>
      <c r="AD733" s="62"/>
      <c r="AE733" s="62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x14ac:dyDescent="0.3">
      <c r="A734" s="39"/>
      <c r="B734" s="42"/>
      <c r="C734" s="42"/>
      <c r="D734" s="75"/>
      <c r="E734" s="75"/>
      <c r="F734" s="76"/>
      <c r="G734" s="47"/>
      <c r="H734" s="47"/>
      <c r="I734" s="75"/>
      <c r="J734" s="76"/>
      <c r="K734" s="76"/>
      <c r="L734" s="75"/>
      <c r="M734" s="49"/>
      <c r="N734" s="76"/>
      <c r="O734" s="49"/>
      <c r="P734" s="77"/>
      <c r="Q734" s="53"/>
      <c r="R734" s="54"/>
      <c r="S734" s="55"/>
      <c r="T734" s="56"/>
      <c r="U734" s="56"/>
      <c r="V734" s="42"/>
      <c r="W734" s="57"/>
      <c r="X734" s="58"/>
      <c r="Y734" s="75"/>
      <c r="Z734" s="59"/>
      <c r="AA734" s="61"/>
      <c r="AB734" s="61"/>
      <c r="AC734" s="61"/>
      <c r="AD734" s="62"/>
      <c r="AE734" s="62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x14ac:dyDescent="0.3">
      <c r="A735" s="39"/>
      <c r="B735" s="42"/>
      <c r="C735" s="42"/>
      <c r="D735" s="75"/>
      <c r="E735" s="75"/>
      <c r="F735" s="76"/>
      <c r="G735" s="47"/>
      <c r="H735" s="47"/>
      <c r="I735" s="75"/>
      <c r="J735" s="76"/>
      <c r="K735" s="76"/>
      <c r="L735" s="75"/>
      <c r="M735" s="49"/>
      <c r="N735" s="76"/>
      <c r="O735" s="49"/>
      <c r="P735" s="77"/>
      <c r="Q735" s="53"/>
      <c r="R735" s="54"/>
      <c r="S735" s="55"/>
      <c r="T735" s="56"/>
      <c r="U735" s="56"/>
      <c r="V735" s="42"/>
      <c r="W735" s="57"/>
      <c r="X735" s="58"/>
      <c r="Y735" s="75"/>
      <c r="Z735" s="59"/>
      <c r="AA735" s="61"/>
      <c r="AB735" s="61"/>
      <c r="AC735" s="61"/>
      <c r="AD735" s="62"/>
      <c r="AE735" s="62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x14ac:dyDescent="0.3">
      <c r="A736" s="39"/>
      <c r="B736" s="42"/>
      <c r="C736" s="42"/>
      <c r="D736" s="75"/>
      <c r="E736" s="75"/>
      <c r="F736" s="76"/>
      <c r="G736" s="47"/>
      <c r="H736" s="47"/>
      <c r="I736" s="75"/>
      <c r="J736" s="76"/>
      <c r="K736" s="76"/>
      <c r="L736" s="75"/>
      <c r="M736" s="49"/>
      <c r="N736" s="76"/>
      <c r="O736" s="49"/>
      <c r="P736" s="77"/>
      <c r="Q736" s="53"/>
      <c r="R736" s="54"/>
      <c r="S736" s="55"/>
      <c r="T736" s="56"/>
      <c r="U736" s="56"/>
      <c r="V736" s="42"/>
      <c r="W736" s="57"/>
      <c r="X736" s="58"/>
      <c r="Y736" s="75"/>
      <c r="Z736" s="59"/>
      <c r="AA736" s="61"/>
      <c r="AB736" s="61"/>
      <c r="AC736" s="61"/>
      <c r="AD736" s="62"/>
      <c r="AE736" s="62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x14ac:dyDescent="0.3">
      <c r="A737" s="39"/>
      <c r="B737" s="42"/>
      <c r="C737" s="42"/>
      <c r="D737" s="75"/>
      <c r="E737" s="75"/>
      <c r="F737" s="76"/>
      <c r="G737" s="47"/>
      <c r="H737" s="47"/>
      <c r="I737" s="75"/>
      <c r="J737" s="76"/>
      <c r="K737" s="76"/>
      <c r="L737" s="75"/>
      <c r="M737" s="49"/>
      <c r="N737" s="76"/>
      <c r="O737" s="49"/>
      <c r="P737" s="77"/>
      <c r="Q737" s="53"/>
      <c r="R737" s="54"/>
      <c r="S737" s="55"/>
      <c r="T737" s="56"/>
      <c r="U737" s="56"/>
      <c r="V737" s="42"/>
      <c r="W737" s="57"/>
      <c r="X737" s="58"/>
      <c r="Y737" s="75"/>
      <c r="Z737" s="59"/>
      <c r="AA737" s="61"/>
      <c r="AB737" s="61"/>
      <c r="AC737" s="61"/>
      <c r="AD737" s="62"/>
      <c r="AE737" s="62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x14ac:dyDescent="0.3">
      <c r="A738" s="39"/>
      <c r="B738" s="42"/>
      <c r="C738" s="42"/>
      <c r="D738" s="75"/>
      <c r="E738" s="75"/>
      <c r="F738" s="76"/>
      <c r="G738" s="47"/>
      <c r="H738" s="47"/>
      <c r="I738" s="75"/>
      <c r="J738" s="76"/>
      <c r="K738" s="76"/>
      <c r="L738" s="75"/>
      <c r="M738" s="49"/>
      <c r="N738" s="76"/>
      <c r="O738" s="49"/>
      <c r="P738" s="77"/>
      <c r="Q738" s="53"/>
      <c r="R738" s="54"/>
      <c r="S738" s="55"/>
      <c r="T738" s="56"/>
      <c r="U738" s="56"/>
      <c r="V738" s="42"/>
      <c r="W738" s="57"/>
      <c r="X738" s="58"/>
      <c r="Y738" s="75"/>
      <c r="Z738" s="59"/>
      <c r="AA738" s="61"/>
      <c r="AB738" s="61"/>
      <c r="AC738" s="61"/>
      <c r="AD738" s="62"/>
      <c r="AE738" s="62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x14ac:dyDescent="0.3">
      <c r="A739" s="39"/>
      <c r="B739" s="42"/>
      <c r="C739" s="42"/>
      <c r="D739" s="75"/>
      <c r="E739" s="75"/>
      <c r="F739" s="76"/>
      <c r="G739" s="47"/>
      <c r="H739" s="47"/>
      <c r="I739" s="75"/>
      <c r="J739" s="76"/>
      <c r="K739" s="76"/>
      <c r="L739" s="75"/>
      <c r="M739" s="49"/>
      <c r="N739" s="76"/>
      <c r="O739" s="49"/>
      <c r="P739" s="77"/>
      <c r="Q739" s="53"/>
      <c r="R739" s="54"/>
      <c r="S739" s="55"/>
      <c r="T739" s="56"/>
      <c r="U739" s="56"/>
      <c r="V739" s="42"/>
      <c r="W739" s="57"/>
      <c r="X739" s="58"/>
      <c r="Y739" s="75"/>
      <c r="Z739" s="59"/>
      <c r="AA739" s="61"/>
      <c r="AB739" s="61"/>
      <c r="AC739" s="61"/>
      <c r="AD739" s="62"/>
      <c r="AE739" s="62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x14ac:dyDescent="0.3">
      <c r="A740" s="39"/>
      <c r="B740" s="42"/>
      <c r="C740" s="42"/>
      <c r="D740" s="75"/>
      <c r="E740" s="75"/>
      <c r="F740" s="76"/>
      <c r="G740" s="47"/>
      <c r="H740" s="47"/>
      <c r="I740" s="75"/>
      <c r="J740" s="76"/>
      <c r="K740" s="76"/>
      <c r="L740" s="75"/>
      <c r="M740" s="49"/>
      <c r="N740" s="76"/>
      <c r="O740" s="49"/>
      <c r="P740" s="77"/>
      <c r="Q740" s="53"/>
      <c r="R740" s="54"/>
      <c r="S740" s="55"/>
      <c r="T740" s="56"/>
      <c r="U740" s="56"/>
      <c r="V740" s="42"/>
      <c r="W740" s="57"/>
      <c r="X740" s="58"/>
      <c r="Y740" s="75"/>
      <c r="Z740" s="59"/>
      <c r="AA740" s="61"/>
      <c r="AB740" s="61"/>
      <c r="AC740" s="61"/>
      <c r="AD740" s="62"/>
      <c r="AE740" s="62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x14ac:dyDescent="0.3">
      <c r="A741" s="39"/>
      <c r="B741" s="42"/>
      <c r="C741" s="42"/>
      <c r="D741" s="75"/>
      <c r="E741" s="75"/>
      <c r="F741" s="76"/>
      <c r="G741" s="47"/>
      <c r="H741" s="47"/>
      <c r="I741" s="75"/>
      <c r="J741" s="76"/>
      <c r="K741" s="76"/>
      <c r="L741" s="75"/>
      <c r="M741" s="49"/>
      <c r="N741" s="76"/>
      <c r="O741" s="49"/>
      <c r="P741" s="77"/>
      <c r="Q741" s="53"/>
      <c r="R741" s="54"/>
      <c r="S741" s="55"/>
      <c r="T741" s="56"/>
      <c r="U741" s="56"/>
      <c r="V741" s="42"/>
      <c r="W741" s="57"/>
      <c r="X741" s="58"/>
      <c r="Y741" s="75"/>
      <c r="Z741" s="59"/>
      <c r="AA741" s="61"/>
      <c r="AB741" s="61"/>
      <c r="AC741" s="61"/>
      <c r="AD741" s="62"/>
      <c r="AE741" s="62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x14ac:dyDescent="0.3">
      <c r="A742" s="39"/>
      <c r="B742" s="42"/>
      <c r="C742" s="42"/>
      <c r="D742" s="75"/>
      <c r="E742" s="75"/>
      <c r="F742" s="76"/>
      <c r="G742" s="47"/>
      <c r="H742" s="47"/>
      <c r="I742" s="75"/>
      <c r="J742" s="76"/>
      <c r="K742" s="76"/>
      <c r="L742" s="75"/>
      <c r="M742" s="49"/>
      <c r="N742" s="76"/>
      <c r="O742" s="49"/>
      <c r="P742" s="77"/>
      <c r="Q742" s="53"/>
      <c r="R742" s="54"/>
      <c r="S742" s="55"/>
      <c r="T742" s="56"/>
      <c r="U742" s="56"/>
      <c r="V742" s="42"/>
      <c r="W742" s="57"/>
      <c r="X742" s="58"/>
      <c r="Y742" s="75"/>
      <c r="Z742" s="59"/>
      <c r="AA742" s="61"/>
      <c r="AB742" s="61"/>
      <c r="AC742" s="61"/>
      <c r="AD742" s="62"/>
      <c r="AE742" s="62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x14ac:dyDescent="0.3">
      <c r="A743" s="39"/>
      <c r="B743" s="42"/>
      <c r="C743" s="42"/>
      <c r="D743" s="75"/>
      <c r="E743" s="75"/>
      <c r="F743" s="76"/>
      <c r="G743" s="47"/>
      <c r="H743" s="47"/>
      <c r="I743" s="75"/>
      <c r="J743" s="76"/>
      <c r="K743" s="76"/>
      <c r="L743" s="75"/>
      <c r="M743" s="49"/>
      <c r="N743" s="76"/>
      <c r="O743" s="49"/>
      <c r="P743" s="77"/>
      <c r="Q743" s="53"/>
      <c r="R743" s="54"/>
      <c r="S743" s="55"/>
      <c r="T743" s="56"/>
      <c r="U743" s="56"/>
      <c r="V743" s="42"/>
      <c r="W743" s="57"/>
      <c r="X743" s="58"/>
      <c r="Y743" s="75"/>
      <c r="Z743" s="59"/>
      <c r="AA743" s="61"/>
      <c r="AB743" s="61"/>
      <c r="AC743" s="61"/>
      <c r="AD743" s="62"/>
      <c r="AE743" s="62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x14ac:dyDescent="0.3">
      <c r="A744" s="39"/>
      <c r="B744" s="42"/>
      <c r="C744" s="42"/>
      <c r="D744" s="75"/>
      <c r="E744" s="75"/>
      <c r="F744" s="76"/>
      <c r="G744" s="47"/>
      <c r="H744" s="47"/>
      <c r="I744" s="75"/>
      <c r="J744" s="76"/>
      <c r="K744" s="76"/>
      <c r="L744" s="75"/>
      <c r="M744" s="49"/>
      <c r="N744" s="76"/>
      <c r="O744" s="49"/>
      <c r="P744" s="77"/>
      <c r="Q744" s="53"/>
      <c r="R744" s="54"/>
      <c r="S744" s="55"/>
      <c r="T744" s="56"/>
      <c r="U744" s="56"/>
      <c r="V744" s="42"/>
      <c r="W744" s="57"/>
      <c r="X744" s="58"/>
      <c r="Y744" s="75"/>
      <c r="Z744" s="59"/>
      <c r="AA744" s="61"/>
      <c r="AB744" s="61"/>
      <c r="AC744" s="61"/>
      <c r="AD744" s="62"/>
      <c r="AE744" s="62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x14ac:dyDescent="0.3">
      <c r="A745" s="39"/>
      <c r="B745" s="42"/>
      <c r="C745" s="42"/>
      <c r="D745" s="75"/>
      <c r="E745" s="75"/>
      <c r="F745" s="76"/>
      <c r="G745" s="47"/>
      <c r="H745" s="47"/>
      <c r="I745" s="75"/>
      <c r="J745" s="76"/>
      <c r="K745" s="76"/>
      <c r="L745" s="75"/>
      <c r="M745" s="49"/>
      <c r="N745" s="76"/>
      <c r="O745" s="49"/>
      <c r="P745" s="77"/>
      <c r="Q745" s="53"/>
      <c r="R745" s="54"/>
      <c r="S745" s="55"/>
      <c r="T745" s="56"/>
      <c r="U745" s="56"/>
      <c r="V745" s="42"/>
      <c r="W745" s="57"/>
      <c r="X745" s="58"/>
      <c r="Y745" s="75"/>
      <c r="Z745" s="59"/>
      <c r="AA745" s="61"/>
      <c r="AB745" s="61"/>
      <c r="AC745" s="61"/>
      <c r="AD745" s="62"/>
      <c r="AE745" s="62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x14ac:dyDescent="0.3">
      <c r="A746" s="39"/>
      <c r="B746" s="42"/>
      <c r="C746" s="42"/>
      <c r="D746" s="75"/>
      <c r="E746" s="75"/>
      <c r="F746" s="76"/>
      <c r="G746" s="47"/>
      <c r="H746" s="47"/>
      <c r="I746" s="75"/>
      <c r="J746" s="76"/>
      <c r="K746" s="76"/>
      <c r="L746" s="75"/>
      <c r="M746" s="49"/>
      <c r="N746" s="76"/>
      <c r="O746" s="49"/>
      <c r="P746" s="77"/>
      <c r="Q746" s="53"/>
      <c r="R746" s="54"/>
      <c r="S746" s="55"/>
      <c r="T746" s="56"/>
      <c r="U746" s="56"/>
      <c r="V746" s="42"/>
      <c r="W746" s="57"/>
      <c r="X746" s="58"/>
      <c r="Y746" s="75"/>
      <c r="Z746" s="59"/>
      <c r="AA746" s="61"/>
      <c r="AB746" s="61"/>
      <c r="AC746" s="61"/>
      <c r="AD746" s="62"/>
      <c r="AE746" s="62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x14ac:dyDescent="0.3">
      <c r="A747" s="39"/>
      <c r="B747" s="42"/>
      <c r="C747" s="42"/>
      <c r="D747" s="75"/>
      <c r="E747" s="75"/>
      <c r="F747" s="76"/>
      <c r="G747" s="47"/>
      <c r="H747" s="47"/>
      <c r="I747" s="75"/>
      <c r="J747" s="76"/>
      <c r="K747" s="76"/>
      <c r="L747" s="75"/>
      <c r="M747" s="49"/>
      <c r="N747" s="76"/>
      <c r="O747" s="49"/>
      <c r="P747" s="77"/>
      <c r="Q747" s="53"/>
      <c r="R747" s="54"/>
      <c r="S747" s="55"/>
      <c r="T747" s="56"/>
      <c r="U747" s="56"/>
      <c r="V747" s="42"/>
      <c r="W747" s="57"/>
      <c r="X747" s="58"/>
      <c r="Y747" s="75"/>
      <c r="Z747" s="59"/>
      <c r="AA747" s="61"/>
      <c r="AB747" s="61"/>
      <c r="AC747" s="61"/>
      <c r="AD747" s="62"/>
      <c r="AE747" s="62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x14ac:dyDescent="0.3">
      <c r="A748" s="39"/>
      <c r="B748" s="42"/>
      <c r="C748" s="42"/>
      <c r="D748" s="75"/>
      <c r="E748" s="75"/>
      <c r="F748" s="76"/>
      <c r="G748" s="47"/>
      <c r="H748" s="47"/>
      <c r="I748" s="75"/>
      <c r="J748" s="76"/>
      <c r="K748" s="76"/>
      <c r="L748" s="75"/>
      <c r="M748" s="49"/>
      <c r="N748" s="76"/>
      <c r="O748" s="49"/>
      <c r="P748" s="77"/>
      <c r="Q748" s="53"/>
      <c r="R748" s="54"/>
      <c r="S748" s="55"/>
      <c r="T748" s="56"/>
      <c r="U748" s="56"/>
      <c r="V748" s="42"/>
      <c r="W748" s="57"/>
      <c r="X748" s="58"/>
      <c r="Y748" s="75"/>
      <c r="Z748" s="59"/>
      <c r="AA748" s="61"/>
      <c r="AB748" s="61"/>
      <c r="AC748" s="61"/>
      <c r="AD748" s="62"/>
      <c r="AE748" s="62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x14ac:dyDescent="0.3">
      <c r="A749" s="39"/>
      <c r="B749" s="42"/>
      <c r="C749" s="42"/>
      <c r="D749" s="75"/>
      <c r="E749" s="75"/>
      <c r="F749" s="76"/>
      <c r="G749" s="47"/>
      <c r="H749" s="47"/>
      <c r="I749" s="75"/>
      <c r="J749" s="76"/>
      <c r="K749" s="76"/>
      <c r="L749" s="75"/>
      <c r="M749" s="49"/>
      <c r="N749" s="76"/>
      <c r="O749" s="49"/>
      <c r="P749" s="77"/>
      <c r="Q749" s="53"/>
      <c r="R749" s="54"/>
      <c r="S749" s="55"/>
      <c r="T749" s="56"/>
      <c r="U749" s="56"/>
      <c r="V749" s="42"/>
      <c r="W749" s="57"/>
      <c r="X749" s="58"/>
      <c r="Y749" s="75"/>
      <c r="Z749" s="59"/>
      <c r="AA749" s="61"/>
      <c r="AB749" s="61"/>
      <c r="AC749" s="61"/>
      <c r="AD749" s="62"/>
      <c r="AE749" s="62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x14ac:dyDescent="0.3">
      <c r="A750" s="39"/>
      <c r="B750" s="42"/>
      <c r="C750" s="42"/>
      <c r="D750" s="75"/>
      <c r="E750" s="75"/>
      <c r="F750" s="76"/>
      <c r="G750" s="47"/>
      <c r="H750" s="47"/>
      <c r="I750" s="75"/>
      <c r="J750" s="76"/>
      <c r="K750" s="76"/>
      <c r="L750" s="75"/>
      <c r="M750" s="49"/>
      <c r="N750" s="76"/>
      <c r="O750" s="49"/>
      <c r="P750" s="77"/>
      <c r="Q750" s="53"/>
      <c r="R750" s="54"/>
      <c r="S750" s="55"/>
      <c r="T750" s="56"/>
      <c r="U750" s="56"/>
      <c r="V750" s="42"/>
      <c r="W750" s="57"/>
      <c r="X750" s="58"/>
      <c r="Y750" s="75"/>
      <c r="Z750" s="59"/>
      <c r="AA750" s="61"/>
      <c r="AB750" s="61"/>
      <c r="AC750" s="61"/>
      <c r="AD750" s="62"/>
      <c r="AE750" s="62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x14ac:dyDescent="0.3">
      <c r="A751" s="39"/>
      <c r="B751" s="42"/>
      <c r="C751" s="42"/>
      <c r="D751" s="75"/>
      <c r="E751" s="75"/>
      <c r="F751" s="76"/>
      <c r="G751" s="47"/>
      <c r="H751" s="47"/>
      <c r="I751" s="75"/>
      <c r="J751" s="76"/>
      <c r="K751" s="76"/>
      <c r="L751" s="75"/>
      <c r="M751" s="49"/>
      <c r="N751" s="76"/>
      <c r="O751" s="49"/>
      <c r="P751" s="77"/>
      <c r="Q751" s="53"/>
      <c r="R751" s="54"/>
      <c r="S751" s="55"/>
      <c r="T751" s="56"/>
      <c r="U751" s="56"/>
      <c r="V751" s="42"/>
      <c r="W751" s="57"/>
      <c r="X751" s="58"/>
      <c r="Y751" s="75"/>
      <c r="Z751" s="59"/>
      <c r="AA751" s="61"/>
      <c r="AB751" s="61"/>
      <c r="AC751" s="61"/>
      <c r="AD751" s="62"/>
      <c r="AE751" s="62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x14ac:dyDescent="0.3">
      <c r="A752" s="39"/>
      <c r="B752" s="42"/>
      <c r="C752" s="42"/>
      <c r="D752" s="75"/>
      <c r="E752" s="75"/>
      <c r="F752" s="76"/>
      <c r="G752" s="47"/>
      <c r="H752" s="47"/>
      <c r="I752" s="75"/>
      <c r="J752" s="76"/>
      <c r="K752" s="76"/>
      <c r="L752" s="75"/>
      <c r="M752" s="49"/>
      <c r="N752" s="76"/>
      <c r="O752" s="49"/>
      <c r="P752" s="77"/>
      <c r="Q752" s="53"/>
      <c r="R752" s="54"/>
      <c r="S752" s="55"/>
      <c r="T752" s="56"/>
      <c r="U752" s="56"/>
      <c r="V752" s="42"/>
      <c r="W752" s="57"/>
      <c r="X752" s="58"/>
      <c r="Y752" s="75"/>
      <c r="Z752" s="59"/>
      <c r="AA752" s="61"/>
      <c r="AB752" s="61"/>
      <c r="AC752" s="61"/>
      <c r="AD752" s="62"/>
      <c r="AE752" s="62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x14ac:dyDescent="0.3">
      <c r="A753" s="39"/>
      <c r="B753" s="42"/>
      <c r="C753" s="42"/>
      <c r="D753" s="75"/>
      <c r="E753" s="75"/>
      <c r="F753" s="76"/>
      <c r="G753" s="47"/>
      <c r="H753" s="47"/>
      <c r="I753" s="75"/>
      <c r="J753" s="76"/>
      <c r="K753" s="76"/>
      <c r="L753" s="75"/>
      <c r="M753" s="49"/>
      <c r="N753" s="76"/>
      <c r="O753" s="49"/>
      <c r="P753" s="77"/>
      <c r="Q753" s="53"/>
      <c r="R753" s="54"/>
      <c r="S753" s="55"/>
      <c r="T753" s="56"/>
      <c r="U753" s="56"/>
      <c r="V753" s="42"/>
      <c r="W753" s="57"/>
      <c r="X753" s="58"/>
      <c r="Y753" s="75"/>
      <c r="Z753" s="59"/>
      <c r="AA753" s="61"/>
      <c r="AB753" s="61"/>
      <c r="AC753" s="61"/>
      <c r="AD753" s="62"/>
      <c r="AE753" s="62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x14ac:dyDescent="0.3">
      <c r="A754" s="39"/>
      <c r="B754" s="42"/>
      <c r="C754" s="42"/>
      <c r="D754" s="75"/>
      <c r="E754" s="75"/>
      <c r="F754" s="76"/>
      <c r="G754" s="47"/>
      <c r="H754" s="47"/>
      <c r="I754" s="75"/>
      <c r="J754" s="76"/>
      <c r="K754" s="76"/>
      <c r="L754" s="75"/>
      <c r="M754" s="49"/>
      <c r="N754" s="76"/>
      <c r="O754" s="49"/>
      <c r="P754" s="77"/>
      <c r="Q754" s="53"/>
      <c r="R754" s="54"/>
      <c r="S754" s="55"/>
      <c r="T754" s="56"/>
      <c r="U754" s="56"/>
      <c r="V754" s="42"/>
      <c r="W754" s="57"/>
      <c r="X754" s="58"/>
      <c r="Y754" s="75"/>
      <c r="Z754" s="59"/>
      <c r="AA754" s="61"/>
      <c r="AB754" s="61"/>
      <c r="AC754" s="61"/>
      <c r="AD754" s="62"/>
      <c r="AE754" s="62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x14ac:dyDescent="0.3">
      <c r="A755" s="39"/>
      <c r="B755" s="42"/>
      <c r="C755" s="42"/>
      <c r="D755" s="75"/>
      <c r="E755" s="75"/>
      <c r="F755" s="76"/>
      <c r="G755" s="47"/>
      <c r="H755" s="47"/>
      <c r="I755" s="75"/>
      <c r="J755" s="76"/>
      <c r="K755" s="76"/>
      <c r="L755" s="75"/>
      <c r="M755" s="49"/>
      <c r="N755" s="76"/>
      <c r="O755" s="49"/>
      <c r="P755" s="77"/>
      <c r="Q755" s="53"/>
      <c r="R755" s="54"/>
      <c r="S755" s="55"/>
      <c r="T755" s="56"/>
      <c r="U755" s="56"/>
      <c r="V755" s="42"/>
      <c r="W755" s="57"/>
      <c r="X755" s="58"/>
      <c r="Y755" s="75"/>
      <c r="Z755" s="59"/>
      <c r="AA755" s="61"/>
      <c r="AB755" s="61"/>
      <c r="AC755" s="61"/>
      <c r="AD755" s="62"/>
      <c r="AE755" s="62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x14ac:dyDescent="0.3">
      <c r="A756" s="39"/>
      <c r="B756" s="42"/>
      <c r="C756" s="42"/>
      <c r="D756" s="75"/>
      <c r="E756" s="75"/>
      <c r="F756" s="76"/>
      <c r="G756" s="47"/>
      <c r="H756" s="47"/>
      <c r="I756" s="75"/>
      <c r="J756" s="76"/>
      <c r="K756" s="76"/>
      <c r="L756" s="75"/>
      <c r="M756" s="49"/>
      <c r="N756" s="76"/>
      <c r="O756" s="49"/>
      <c r="P756" s="77"/>
      <c r="Q756" s="53"/>
      <c r="R756" s="54"/>
      <c r="S756" s="55"/>
      <c r="T756" s="56"/>
      <c r="U756" s="56"/>
      <c r="V756" s="42"/>
      <c r="W756" s="57"/>
      <c r="X756" s="58"/>
      <c r="Y756" s="75"/>
      <c r="Z756" s="59"/>
      <c r="AA756" s="61"/>
      <c r="AB756" s="61"/>
      <c r="AC756" s="61"/>
      <c r="AD756" s="62"/>
      <c r="AE756" s="62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x14ac:dyDescent="0.3">
      <c r="A757" s="39"/>
      <c r="B757" s="42"/>
      <c r="C757" s="42"/>
      <c r="D757" s="75"/>
      <c r="E757" s="75"/>
      <c r="F757" s="76"/>
      <c r="G757" s="47"/>
      <c r="H757" s="47"/>
      <c r="I757" s="75"/>
      <c r="J757" s="76"/>
      <c r="K757" s="76"/>
      <c r="L757" s="75"/>
      <c r="M757" s="49"/>
      <c r="N757" s="76"/>
      <c r="O757" s="49"/>
      <c r="P757" s="77"/>
      <c r="Q757" s="53"/>
      <c r="R757" s="54"/>
      <c r="S757" s="55"/>
      <c r="T757" s="56"/>
      <c r="U757" s="56"/>
      <c r="V757" s="42"/>
      <c r="W757" s="57"/>
      <c r="X757" s="58"/>
      <c r="Y757" s="75"/>
      <c r="Z757" s="59"/>
      <c r="AA757" s="61"/>
      <c r="AB757" s="61"/>
      <c r="AC757" s="61"/>
      <c r="AD757" s="62"/>
      <c r="AE757" s="62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x14ac:dyDescent="0.3">
      <c r="A758" s="39"/>
      <c r="B758" s="42"/>
      <c r="C758" s="42"/>
      <c r="D758" s="75"/>
      <c r="E758" s="75"/>
      <c r="F758" s="76"/>
      <c r="G758" s="47"/>
      <c r="H758" s="47"/>
      <c r="I758" s="75"/>
      <c r="J758" s="76"/>
      <c r="K758" s="76"/>
      <c r="L758" s="75"/>
      <c r="M758" s="49"/>
      <c r="N758" s="76"/>
      <c r="O758" s="49"/>
      <c r="P758" s="77"/>
      <c r="Q758" s="53"/>
      <c r="R758" s="54"/>
      <c r="S758" s="55"/>
      <c r="T758" s="56"/>
      <c r="U758" s="56"/>
      <c r="V758" s="42"/>
      <c r="W758" s="57"/>
      <c r="X758" s="58"/>
      <c r="Y758" s="75"/>
      <c r="Z758" s="59"/>
      <c r="AA758" s="61"/>
      <c r="AB758" s="61"/>
      <c r="AC758" s="61"/>
      <c r="AD758" s="62"/>
      <c r="AE758" s="62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x14ac:dyDescent="0.3">
      <c r="A759" s="39"/>
      <c r="B759" s="42"/>
      <c r="C759" s="42"/>
      <c r="D759" s="75"/>
      <c r="E759" s="75"/>
      <c r="F759" s="76"/>
      <c r="G759" s="47"/>
      <c r="H759" s="47"/>
      <c r="I759" s="75"/>
      <c r="J759" s="76"/>
      <c r="K759" s="76"/>
      <c r="L759" s="75"/>
      <c r="M759" s="49"/>
      <c r="N759" s="76"/>
      <c r="O759" s="49"/>
      <c r="P759" s="77"/>
      <c r="Q759" s="53"/>
      <c r="R759" s="54"/>
      <c r="S759" s="55"/>
      <c r="T759" s="56"/>
      <c r="U759" s="56"/>
      <c r="V759" s="42"/>
      <c r="W759" s="57"/>
      <c r="X759" s="58"/>
      <c r="Y759" s="75"/>
      <c r="Z759" s="59"/>
      <c r="AA759" s="61"/>
      <c r="AB759" s="61"/>
      <c r="AC759" s="61"/>
      <c r="AD759" s="62"/>
      <c r="AE759" s="62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x14ac:dyDescent="0.3">
      <c r="A760" s="39"/>
      <c r="B760" s="42"/>
      <c r="C760" s="42"/>
      <c r="D760" s="75"/>
      <c r="E760" s="75"/>
      <c r="F760" s="76"/>
      <c r="G760" s="47"/>
      <c r="H760" s="47"/>
      <c r="I760" s="75"/>
      <c r="J760" s="76"/>
      <c r="K760" s="76"/>
      <c r="L760" s="75"/>
      <c r="M760" s="49"/>
      <c r="N760" s="76"/>
      <c r="O760" s="49"/>
      <c r="P760" s="77"/>
      <c r="Q760" s="53"/>
      <c r="R760" s="54"/>
      <c r="S760" s="55"/>
      <c r="T760" s="56"/>
      <c r="U760" s="56"/>
      <c r="V760" s="42"/>
      <c r="W760" s="57"/>
      <c r="X760" s="58"/>
      <c r="Y760" s="75"/>
      <c r="Z760" s="59"/>
      <c r="AA760" s="61"/>
      <c r="AB760" s="61"/>
      <c r="AC760" s="61"/>
      <c r="AD760" s="62"/>
      <c r="AE760" s="62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x14ac:dyDescent="0.3">
      <c r="A761" s="39"/>
      <c r="B761" s="42"/>
      <c r="C761" s="42"/>
      <c r="D761" s="75"/>
      <c r="E761" s="75"/>
      <c r="F761" s="76"/>
      <c r="G761" s="47"/>
      <c r="H761" s="47"/>
      <c r="I761" s="75"/>
      <c r="J761" s="76"/>
      <c r="K761" s="76"/>
      <c r="L761" s="75"/>
      <c r="M761" s="49"/>
      <c r="N761" s="76"/>
      <c r="O761" s="49"/>
      <c r="P761" s="77"/>
      <c r="Q761" s="53"/>
      <c r="R761" s="54"/>
      <c r="S761" s="55"/>
      <c r="T761" s="56"/>
      <c r="U761" s="56"/>
      <c r="V761" s="42"/>
      <c r="W761" s="57"/>
      <c r="X761" s="58"/>
      <c r="Y761" s="75"/>
      <c r="Z761" s="59"/>
      <c r="AA761" s="61"/>
      <c r="AB761" s="61"/>
      <c r="AC761" s="61"/>
      <c r="AD761" s="62"/>
      <c r="AE761" s="62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x14ac:dyDescent="0.3">
      <c r="A762" s="39"/>
      <c r="B762" s="42"/>
      <c r="C762" s="42"/>
      <c r="D762" s="75"/>
      <c r="E762" s="75"/>
      <c r="F762" s="76"/>
      <c r="G762" s="47"/>
      <c r="H762" s="47"/>
      <c r="I762" s="75"/>
      <c r="J762" s="76"/>
      <c r="K762" s="76"/>
      <c r="L762" s="75"/>
      <c r="M762" s="49"/>
      <c r="N762" s="76"/>
      <c r="O762" s="49"/>
      <c r="P762" s="77"/>
      <c r="Q762" s="53"/>
      <c r="R762" s="54"/>
      <c r="S762" s="55"/>
      <c r="T762" s="56"/>
      <c r="U762" s="56"/>
      <c r="V762" s="42"/>
      <c r="W762" s="57"/>
      <c r="X762" s="58"/>
      <c r="Y762" s="75"/>
      <c r="Z762" s="59"/>
      <c r="AA762" s="61"/>
      <c r="AB762" s="61"/>
      <c r="AC762" s="61"/>
      <c r="AD762" s="62"/>
      <c r="AE762" s="62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x14ac:dyDescent="0.3">
      <c r="A763" s="39"/>
      <c r="B763" s="42"/>
      <c r="C763" s="42"/>
      <c r="D763" s="75"/>
      <c r="E763" s="75"/>
      <c r="F763" s="76"/>
      <c r="G763" s="47"/>
      <c r="H763" s="47"/>
      <c r="I763" s="75"/>
      <c r="J763" s="76"/>
      <c r="K763" s="76"/>
      <c r="L763" s="75"/>
      <c r="M763" s="49"/>
      <c r="N763" s="76"/>
      <c r="O763" s="49"/>
      <c r="P763" s="77"/>
      <c r="Q763" s="53"/>
      <c r="R763" s="54"/>
      <c r="S763" s="55"/>
      <c r="T763" s="56"/>
      <c r="U763" s="56"/>
      <c r="V763" s="42"/>
      <c r="W763" s="57"/>
      <c r="X763" s="58"/>
      <c r="Y763" s="75"/>
      <c r="Z763" s="59"/>
      <c r="AA763" s="61"/>
      <c r="AB763" s="61"/>
      <c r="AC763" s="61"/>
      <c r="AD763" s="62"/>
      <c r="AE763" s="62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x14ac:dyDescent="0.3">
      <c r="A764" s="39"/>
      <c r="B764" s="42"/>
      <c r="C764" s="42"/>
      <c r="D764" s="75"/>
      <c r="E764" s="75"/>
      <c r="F764" s="76"/>
      <c r="G764" s="47"/>
      <c r="H764" s="47"/>
      <c r="I764" s="75"/>
      <c r="J764" s="76"/>
      <c r="K764" s="76"/>
      <c r="L764" s="75"/>
      <c r="M764" s="49"/>
      <c r="N764" s="76"/>
      <c r="O764" s="49"/>
      <c r="P764" s="77"/>
      <c r="Q764" s="53"/>
      <c r="R764" s="54"/>
      <c r="S764" s="55"/>
      <c r="T764" s="56"/>
      <c r="U764" s="56"/>
      <c r="V764" s="42"/>
      <c r="W764" s="57"/>
      <c r="X764" s="58"/>
      <c r="Y764" s="75"/>
      <c r="Z764" s="59"/>
      <c r="AA764" s="61"/>
      <c r="AB764" s="61"/>
      <c r="AC764" s="61"/>
      <c r="AD764" s="62"/>
      <c r="AE764" s="62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x14ac:dyDescent="0.3">
      <c r="A765" s="39"/>
      <c r="B765" s="42"/>
      <c r="C765" s="42"/>
      <c r="D765" s="75"/>
      <c r="E765" s="75"/>
      <c r="F765" s="76"/>
      <c r="G765" s="47"/>
      <c r="H765" s="47"/>
      <c r="I765" s="75"/>
      <c r="J765" s="76"/>
      <c r="K765" s="76"/>
      <c r="L765" s="75"/>
      <c r="M765" s="49"/>
      <c r="N765" s="76"/>
      <c r="O765" s="49"/>
      <c r="P765" s="77"/>
      <c r="Q765" s="53"/>
      <c r="R765" s="54"/>
      <c r="S765" s="55"/>
      <c r="T765" s="56"/>
      <c r="U765" s="56"/>
      <c r="V765" s="42"/>
      <c r="W765" s="57"/>
      <c r="X765" s="58"/>
      <c r="Y765" s="75"/>
      <c r="Z765" s="59"/>
      <c r="AA765" s="61"/>
      <c r="AB765" s="61"/>
      <c r="AC765" s="61"/>
      <c r="AD765" s="62"/>
      <c r="AE765" s="62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x14ac:dyDescent="0.3">
      <c r="A766" s="39"/>
      <c r="B766" s="42"/>
      <c r="C766" s="42"/>
      <c r="D766" s="75"/>
      <c r="E766" s="75"/>
      <c r="F766" s="76"/>
      <c r="G766" s="47"/>
      <c r="H766" s="47"/>
      <c r="I766" s="75"/>
      <c r="J766" s="76"/>
      <c r="K766" s="76"/>
      <c r="L766" s="75"/>
      <c r="M766" s="49"/>
      <c r="N766" s="76"/>
      <c r="O766" s="49"/>
      <c r="P766" s="77"/>
      <c r="Q766" s="53"/>
      <c r="R766" s="54"/>
      <c r="S766" s="55"/>
      <c r="T766" s="56"/>
      <c r="U766" s="56"/>
      <c r="V766" s="42"/>
      <c r="W766" s="57"/>
      <c r="X766" s="58"/>
      <c r="Y766" s="75"/>
      <c r="Z766" s="59"/>
      <c r="AA766" s="61"/>
      <c r="AB766" s="61"/>
      <c r="AC766" s="61"/>
      <c r="AD766" s="62"/>
      <c r="AE766" s="62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x14ac:dyDescent="0.3">
      <c r="A767" s="39"/>
      <c r="B767" s="42"/>
      <c r="C767" s="42"/>
      <c r="D767" s="75"/>
      <c r="E767" s="75"/>
      <c r="F767" s="76"/>
      <c r="G767" s="47"/>
      <c r="H767" s="47"/>
      <c r="I767" s="75"/>
      <c r="J767" s="76"/>
      <c r="K767" s="76"/>
      <c r="L767" s="75"/>
      <c r="M767" s="49"/>
      <c r="N767" s="76"/>
      <c r="O767" s="49"/>
      <c r="P767" s="77"/>
      <c r="Q767" s="53"/>
      <c r="R767" s="54"/>
      <c r="S767" s="55"/>
      <c r="T767" s="56"/>
      <c r="U767" s="56"/>
      <c r="V767" s="42"/>
      <c r="W767" s="57"/>
      <c r="X767" s="58"/>
      <c r="Y767" s="75"/>
      <c r="Z767" s="59"/>
      <c r="AA767" s="61"/>
      <c r="AB767" s="61"/>
      <c r="AC767" s="61"/>
      <c r="AD767" s="62"/>
      <c r="AE767" s="62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x14ac:dyDescent="0.3">
      <c r="A768" s="39"/>
      <c r="B768" s="42"/>
      <c r="C768" s="42"/>
      <c r="D768" s="75"/>
      <c r="E768" s="75"/>
      <c r="F768" s="76"/>
      <c r="G768" s="47"/>
      <c r="H768" s="47"/>
      <c r="I768" s="75"/>
      <c r="J768" s="76"/>
      <c r="K768" s="76"/>
      <c r="L768" s="75"/>
      <c r="M768" s="49"/>
      <c r="N768" s="76"/>
      <c r="O768" s="49"/>
      <c r="P768" s="77"/>
      <c r="Q768" s="53"/>
      <c r="R768" s="54"/>
      <c r="S768" s="55"/>
      <c r="T768" s="56"/>
      <c r="U768" s="56"/>
      <c r="V768" s="42"/>
      <c r="W768" s="57"/>
      <c r="X768" s="58"/>
      <c r="Y768" s="75"/>
      <c r="Z768" s="59"/>
      <c r="AA768" s="61"/>
      <c r="AB768" s="61"/>
      <c r="AC768" s="61"/>
      <c r="AD768" s="62"/>
      <c r="AE768" s="62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x14ac:dyDescent="0.3">
      <c r="A769" s="39"/>
      <c r="B769" s="42"/>
      <c r="C769" s="42"/>
      <c r="D769" s="75"/>
      <c r="E769" s="75"/>
      <c r="F769" s="76"/>
      <c r="G769" s="47"/>
      <c r="H769" s="47"/>
      <c r="I769" s="75"/>
      <c r="J769" s="76"/>
      <c r="K769" s="76"/>
      <c r="L769" s="75"/>
      <c r="M769" s="49"/>
      <c r="N769" s="76"/>
      <c r="O769" s="49"/>
      <c r="P769" s="77"/>
      <c r="Q769" s="53"/>
      <c r="R769" s="54"/>
      <c r="S769" s="55"/>
      <c r="T769" s="56"/>
      <c r="U769" s="56"/>
      <c r="V769" s="42"/>
      <c r="W769" s="57"/>
      <c r="X769" s="58"/>
      <c r="Y769" s="75"/>
      <c r="Z769" s="59"/>
      <c r="AA769" s="61"/>
      <c r="AB769" s="61"/>
      <c r="AC769" s="61"/>
      <c r="AD769" s="62"/>
      <c r="AE769" s="62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x14ac:dyDescent="0.3">
      <c r="A770" s="39"/>
      <c r="B770" s="42"/>
      <c r="C770" s="42"/>
      <c r="D770" s="75"/>
      <c r="E770" s="75"/>
      <c r="F770" s="76"/>
      <c r="G770" s="47"/>
      <c r="H770" s="47"/>
      <c r="I770" s="75"/>
      <c r="J770" s="76"/>
      <c r="K770" s="76"/>
      <c r="L770" s="75"/>
      <c r="M770" s="49"/>
      <c r="N770" s="76"/>
      <c r="O770" s="49"/>
      <c r="P770" s="77"/>
      <c r="Q770" s="53"/>
      <c r="R770" s="54"/>
      <c r="S770" s="55"/>
      <c r="T770" s="56"/>
      <c r="U770" s="56"/>
      <c r="V770" s="42"/>
      <c r="W770" s="57"/>
      <c r="X770" s="58"/>
      <c r="Y770" s="75"/>
      <c r="Z770" s="59"/>
      <c r="AA770" s="61"/>
      <c r="AB770" s="61"/>
      <c r="AC770" s="61"/>
      <c r="AD770" s="62"/>
      <c r="AE770" s="62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x14ac:dyDescent="0.3">
      <c r="A771" s="39"/>
      <c r="B771" s="42"/>
      <c r="C771" s="42"/>
      <c r="D771" s="75"/>
      <c r="E771" s="75"/>
      <c r="F771" s="76"/>
      <c r="G771" s="47"/>
      <c r="H771" s="47"/>
      <c r="I771" s="75"/>
      <c r="J771" s="76"/>
      <c r="K771" s="76"/>
      <c r="L771" s="75"/>
      <c r="M771" s="49"/>
      <c r="N771" s="76"/>
      <c r="O771" s="49"/>
      <c r="P771" s="77"/>
      <c r="Q771" s="53"/>
      <c r="R771" s="54"/>
      <c r="S771" s="55"/>
      <c r="T771" s="56"/>
      <c r="U771" s="56"/>
      <c r="V771" s="42"/>
      <c r="W771" s="57"/>
      <c r="X771" s="58"/>
      <c r="Y771" s="75"/>
      <c r="Z771" s="59"/>
      <c r="AA771" s="61"/>
      <c r="AB771" s="61"/>
      <c r="AC771" s="61"/>
      <c r="AD771" s="62"/>
      <c r="AE771" s="62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x14ac:dyDescent="0.3">
      <c r="A772" s="39"/>
      <c r="B772" s="42"/>
      <c r="C772" s="42"/>
      <c r="D772" s="75"/>
      <c r="E772" s="75"/>
      <c r="F772" s="76"/>
      <c r="G772" s="47"/>
      <c r="H772" s="47"/>
      <c r="I772" s="75"/>
      <c r="J772" s="76"/>
      <c r="K772" s="76"/>
      <c r="L772" s="75"/>
      <c r="M772" s="49"/>
      <c r="N772" s="76"/>
      <c r="O772" s="49"/>
      <c r="P772" s="77"/>
      <c r="Q772" s="53"/>
      <c r="R772" s="54"/>
      <c r="S772" s="55"/>
      <c r="T772" s="56"/>
      <c r="U772" s="56"/>
      <c r="V772" s="42"/>
      <c r="W772" s="57"/>
      <c r="X772" s="58"/>
      <c r="Y772" s="75"/>
      <c r="Z772" s="59"/>
      <c r="AA772" s="61"/>
      <c r="AB772" s="61"/>
      <c r="AC772" s="61"/>
      <c r="AD772" s="62"/>
      <c r="AE772" s="62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x14ac:dyDescent="0.3">
      <c r="A773" s="39"/>
      <c r="B773" s="42"/>
      <c r="C773" s="42"/>
      <c r="D773" s="75"/>
      <c r="E773" s="75"/>
      <c r="F773" s="76"/>
      <c r="G773" s="47"/>
      <c r="H773" s="47"/>
      <c r="I773" s="75"/>
      <c r="J773" s="76"/>
      <c r="K773" s="76"/>
      <c r="L773" s="75"/>
      <c r="M773" s="49"/>
      <c r="N773" s="76"/>
      <c r="O773" s="49"/>
      <c r="P773" s="77"/>
      <c r="Q773" s="53"/>
      <c r="R773" s="54"/>
      <c r="S773" s="55"/>
      <c r="T773" s="56"/>
      <c r="U773" s="56"/>
      <c r="V773" s="42"/>
      <c r="W773" s="57"/>
      <c r="X773" s="58"/>
      <c r="Y773" s="75"/>
      <c r="Z773" s="59"/>
      <c r="AA773" s="61"/>
      <c r="AB773" s="61"/>
      <c r="AC773" s="61"/>
      <c r="AD773" s="62"/>
      <c r="AE773" s="62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x14ac:dyDescent="0.3">
      <c r="A774" s="39"/>
      <c r="B774" s="42"/>
      <c r="C774" s="42"/>
      <c r="D774" s="75"/>
      <c r="E774" s="75"/>
      <c r="F774" s="76"/>
      <c r="G774" s="47"/>
      <c r="H774" s="47"/>
      <c r="I774" s="75"/>
      <c r="J774" s="76"/>
      <c r="K774" s="76"/>
      <c r="L774" s="75"/>
      <c r="M774" s="49"/>
      <c r="N774" s="76"/>
      <c r="O774" s="49"/>
      <c r="P774" s="77"/>
      <c r="Q774" s="53"/>
      <c r="R774" s="54"/>
      <c r="S774" s="55"/>
      <c r="T774" s="56"/>
      <c r="U774" s="56"/>
      <c r="V774" s="42"/>
      <c r="W774" s="57"/>
      <c r="X774" s="58"/>
      <c r="Y774" s="75"/>
      <c r="Z774" s="59"/>
      <c r="AA774" s="61"/>
      <c r="AB774" s="61"/>
      <c r="AC774" s="61"/>
      <c r="AD774" s="62"/>
      <c r="AE774" s="62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x14ac:dyDescent="0.3">
      <c r="A775" s="39"/>
      <c r="B775" s="42"/>
      <c r="C775" s="42"/>
      <c r="D775" s="75"/>
      <c r="E775" s="75"/>
      <c r="F775" s="76"/>
      <c r="G775" s="47"/>
      <c r="H775" s="47"/>
      <c r="I775" s="75"/>
      <c r="J775" s="76"/>
      <c r="K775" s="76"/>
      <c r="L775" s="75"/>
      <c r="M775" s="49"/>
      <c r="N775" s="76"/>
      <c r="O775" s="49"/>
      <c r="P775" s="77"/>
      <c r="Q775" s="53"/>
      <c r="R775" s="54"/>
      <c r="S775" s="55"/>
      <c r="T775" s="56"/>
      <c r="U775" s="56"/>
      <c r="V775" s="42"/>
      <c r="W775" s="57"/>
      <c r="X775" s="58"/>
      <c r="Y775" s="75"/>
      <c r="Z775" s="59"/>
      <c r="AA775" s="61"/>
      <c r="AB775" s="61"/>
      <c r="AC775" s="61"/>
      <c r="AD775" s="62"/>
      <c r="AE775" s="62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x14ac:dyDescent="0.3">
      <c r="A776" s="39"/>
      <c r="B776" s="42"/>
      <c r="C776" s="42"/>
      <c r="D776" s="75"/>
      <c r="E776" s="75"/>
      <c r="F776" s="76"/>
      <c r="G776" s="47"/>
      <c r="H776" s="47"/>
      <c r="I776" s="75"/>
      <c r="J776" s="76"/>
      <c r="K776" s="76"/>
      <c r="L776" s="75"/>
      <c r="M776" s="49"/>
      <c r="N776" s="76"/>
      <c r="O776" s="49"/>
      <c r="P776" s="77"/>
      <c r="Q776" s="53"/>
      <c r="R776" s="54"/>
      <c r="S776" s="55"/>
      <c r="T776" s="56"/>
      <c r="U776" s="56"/>
      <c r="V776" s="42"/>
      <c r="W776" s="57"/>
      <c r="X776" s="58"/>
      <c r="Y776" s="75"/>
      <c r="Z776" s="59"/>
      <c r="AA776" s="61"/>
      <c r="AB776" s="61"/>
      <c r="AC776" s="61"/>
      <c r="AD776" s="62"/>
      <c r="AE776" s="62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x14ac:dyDescent="0.3">
      <c r="A777" s="39"/>
      <c r="B777" s="42"/>
      <c r="C777" s="42"/>
      <c r="D777" s="75"/>
      <c r="E777" s="75"/>
      <c r="F777" s="76"/>
      <c r="G777" s="47"/>
      <c r="H777" s="47"/>
      <c r="I777" s="75"/>
      <c r="J777" s="76"/>
      <c r="K777" s="76"/>
      <c r="L777" s="75"/>
      <c r="M777" s="49"/>
      <c r="N777" s="76"/>
      <c r="O777" s="49"/>
      <c r="P777" s="77"/>
      <c r="Q777" s="53"/>
      <c r="R777" s="54"/>
      <c r="S777" s="55"/>
      <c r="T777" s="56"/>
      <c r="U777" s="56"/>
      <c r="V777" s="42"/>
      <c r="W777" s="57"/>
      <c r="X777" s="58"/>
      <c r="Y777" s="75"/>
      <c r="Z777" s="59"/>
      <c r="AA777" s="61"/>
      <c r="AB777" s="61"/>
      <c r="AC777" s="61"/>
      <c r="AD777" s="62"/>
      <c r="AE777" s="62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x14ac:dyDescent="0.3">
      <c r="A778" s="39"/>
      <c r="B778" s="42"/>
      <c r="C778" s="42"/>
      <c r="D778" s="75"/>
      <c r="E778" s="75"/>
      <c r="F778" s="76"/>
      <c r="G778" s="47"/>
      <c r="H778" s="47"/>
      <c r="I778" s="75"/>
      <c r="J778" s="76"/>
      <c r="K778" s="76"/>
      <c r="L778" s="75"/>
      <c r="M778" s="49"/>
      <c r="N778" s="76"/>
      <c r="O778" s="49"/>
      <c r="P778" s="77"/>
      <c r="Q778" s="53"/>
      <c r="R778" s="54"/>
      <c r="S778" s="55"/>
      <c r="T778" s="56"/>
      <c r="U778" s="56"/>
      <c r="V778" s="42"/>
      <c r="W778" s="57"/>
      <c r="X778" s="58"/>
      <c r="Y778" s="75"/>
      <c r="Z778" s="59"/>
      <c r="AA778" s="61"/>
      <c r="AB778" s="61"/>
      <c r="AC778" s="61"/>
      <c r="AD778" s="62"/>
      <c r="AE778" s="62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x14ac:dyDescent="0.3">
      <c r="A779" s="39"/>
      <c r="B779" s="42"/>
      <c r="C779" s="42"/>
      <c r="D779" s="75"/>
      <c r="E779" s="75"/>
      <c r="F779" s="76"/>
      <c r="G779" s="47"/>
      <c r="H779" s="47"/>
      <c r="I779" s="75"/>
      <c r="J779" s="76"/>
      <c r="K779" s="76"/>
      <c r="L779" s="75"/>
      <c r="M779" s="49"/>
      <c r="N779" s="76"/>
      <c r="O779" s="49"/>
      <c r="P779" s="77"/>
      <c r="Q779" s="53"/>
      <c r="R779" s="54"/>
      <c r="S779" s="55"/>
      <c r="T779" s="56"/>
      <c r="U779" s="56"/>
      <c r="V779" s="42"/>
      <c r="W779" s="57"/>
      <c r="X779" s="58"/>
      <c r="Y779" s="75"/>
      <c r="Z779" s="59"/>
      <c r="AA779" s="61"/>
      <c r="AB779" s="61"/>
      <c r="AC779" s="61"/>
      <c r="AD779" s="62"/>
      <c r="AE779" s="62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x14ac:dyDescent="0.3">
      <c r="A780" s="39"/>
      <c r="B780" s="42"/>
      <c r="C780" s="42"/>
      <c r="D780" s="75"/>
      <c r="E780" s="75"/>
      <c r="F780" s="76"/>
      <c r="G780" s="47"/>
      <c r="H780" s="47"/>
      <c r="I780" s="75"/>
      <c r="J780" s="76"/>
      <c r="K780" s="76"/>
      <c r="L780" s="75"/>
      <c r="M780" s="49"/>
      <c r="N780" s="76"/>
      <c r="O780" s="49"/>
      <c r="P780" s="77"/>
      <c r="Q780" s="53"/>
      <c r="R780" s="54"/>
      <c r="S780" s="55"/>
      <c r="T780" s="56"/>
      <c r="U780" s="56"/>
      <c r="V780" s="42"/>
      <c r="W780" s="57"/>
      <c r="X780" s="58"/>
      <c r="Y780" s="75"/>
      <c r="Z780" s="59"/>
      <c r="AA780" s="61"/>
      <c r="AB780" s="61"/>
      <c r="AC780" s="61"/>
      <c r="AD780" s="62"/>
      <c r="AE780" s="62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x14ac:dyDescent="0.3">
      <c r="A781" s="39"/>
      <c r="B781" s="42"/>
      <c r="C781" s="42"/>
      <c r="D781" s="75"/>
      <c r="E781" s="75"/>
      <c r="F781" s="76"/>
      <c r="G781" s="47"/>
      <c r="H781" s="47"/>
      <c r="I781" s="75"/>
      <c r="J781" s="76"/>
      <c r="K781" s="76"/>
      <c r="L781" s="75"/>
      <c r="M781" s="49"/>
      <c r="N781" s="76"/>
      <c r="O781" s="49"/>
      <c r="P781" s="77"/>
      <c r="Q781" s="53"/>
      <c r="R781" s="54"/>
      <c r="S781" s="55"/>
      <c r="T781" s="56"/>
      <c r="U781" s="56"/>
      <c r="V781" s="42"/>
      <c r="W781" s="57"/>
      <c r="X781" s="58"/>
      <c r="Y781" s="75"/>
      <c r="Z781" s="59"/>
      <c r="AA781" s="61"/>
      <c r="AB781" s="61"/>
      <c r="AC781" s="61"/>
      <c r="AD781" s="62"/>
      <c r="AE781" s="62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x14ac:dyDescent="0.3">
      <c r="A782" s="39"/>
      <c r="B782" s="42"/>
      <c r="C782" s="42"/>
      <c r="D782" s="75"/>
      <c r="E782" s="75"/>
      <c r="F782" s="76"/>
      <c r="G782" s="47"/>
      <c r="H782" s="47"/>
      <c r="I782" s="75"/>
      <c r="J782" s="76"/>
      <c r="K782" s="76"/>
      <c r="L782" s="75"/>
      <c r="M782" s="49"/>
      <c r="N782" s="76"/>
      <c r="O782" s="49"/>
      <c r="P782" s="77"/>
      <c r="Q782" s="53"/>
      <c r="R782" s="54"/>
      <c r="S782" s="55"/>
      <c r="T782" s="56"/>
      <c r="U782" s="56"/>
      <c r="V782" s="42"/>
      <c r="W782" s="57"/>
      <c r="X782" s="58"/>
      <c r="Y782" s="75"/>
      <c r="Z782" s="59"/>
      <c r="AA782" s="61"/>
      <c r="AB782" s="61"/>
      <c r="AC782" s="61"/>
      <c r="AD782" s="62"/>
      <c r="AE782" s="62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x14ac:dyDescent="0.3">
      <c r="A783" s="39"/>
      <c r="B783" s="42"/>
      <c r="C783" s="42"/>
      <c r="D783" s="75"/>
      <c r="E783" s="75"/>
      <c r="F783" s="76"/>
      <c r="G783" s="47"/>
      <c r="H783" s="47"/>
      <c r="I783" s="75"/>
      <c r="J783" s="76"/>
      <c r="K783" s="76"/>
      <c r="L783" s="75"/>
      <c r="M783" s="49"/>
      <c r="N783" s="76"/>
      <c r="O783" s="49"/>
      <c r="P783" s="77"/>
      <c r="Q783" s="53"/>
      <c r="R783" s="54"/>
      <c r="S783" s="55"/>
      <c r="T783" s="56"/>
      <c r="U783" s="56"/>
      <c r="V783" s="42"/>
      <c r="W783" s="57"/>
      <c r="X783" s="58"/>
      <c r="Y783" s="75"/>
      <c r="Z783" s="59"/>
      <c r="AA783" s="61"/>
      <c r="AB783" s="61"/>
      <c r="AC783" s="61"/>
      <c r="AD783" s="62"/>
      <c r="AE783" s="62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x14ac:dyDescent="0.3">
      <c r="A784" s="39"/>
      <c r="B784" s="42"/>
      <c r="C784" s="42"/>
      <c r="D784" s="75"/>
      <c r="E784" s="75"/>
      <c r="F784" s="76"/>
      <c r="G784" s="47"/>
      <c r="H784" s="47"/>
      <c r="I784" s="75"/>
      <c r="J784" s="76"/>
      <c r="K784" s="76"/>
      <c r="L784" s="75"/>
      <c r="M784" s="49"/>
      <c r="N784" s="76"/>
      <c r="O784" s="49"/>
      <c r="P784" s="77"/>
      <c r="Q784" s="53"/>
      <c r="R784" s="54"/>
      <c r="S784" s="55"/>
      <c r="T784" s="56"/>
      <c r="U784" s="56"/>
      <c r="V784" s="42"/>
      <c r="W784" s="57"/>
      <c r="X784" s="58"/>
      <c r="Y784" s="75"/>
      <c r="Z784" s="59"/>
      <c r="AA784" s="61"/>
      <c r="AB784" s="61"/>
      <c r="AC784" s="61"/>
      <c r="AD784" s="62"/>
      <c r="AE784" s="62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x14ac:dyDescent="0.3">
      <c r="A785" s="39"/>
      <c r="B785" s="42"/>
      <c r="C785" s="42"/>
      <c r="D785" s="75"/>
      <c r="E785" s="75"/>
      <c r="F785" s="76"/>
      <c r="G785" s="47"/>
      <c r="H785" s="47"/>
      <c r="I785" s="75"/>
      <c r="J785" s="76"/>
      <c r="K785" s="76"/>
      <c r="L785" s="75"/>
      <c r="M785" s="49"/>
      <c r="N785" s="76"/>
      <c r="O785" s="49"/>
      <c r="P785" s="77"/>
      <c r="Q785" s="53"/>
      <c r="R785" s="54"/>
      <c r="S785" s="55"/>
      <c r="T785" s="56"/>
      <c r="U785" s="56"/>
      <c r="V785" s="42"/>
      <c r="W785" s="57"/>
      <c r="X785" s="58"/>
      <c r="Y785" s="75"/>
      <c r="Z785" s="59"/>
      <c r="AA785" s="61"/>
      <c r="AB785" s="61"/>
      <c r="AC785" s="61"/>
      <c r="AD785" s="62"/>
      <c r="AE785" s="62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x14ac:dyDescent="0.3">
      <c r="A786" s="39"/>
      <c r="B786" s="42"/>
      <c r="C786" s="42"/>
      <c r="D786" s="75"/>
      <c r="E786" s="75"/>
      <c r="F786" s="76"/>
      <c r="G786" s="47"/>
      <c r="H786" s="47"/>
      <c r="I786" s="75"/>
      <c r="J786" s="76"/>
      <c r="K786" s="76"/>
      <c r="L786" s="75"/>
      <c r="M786" s="49"/>
      <c r="N786" s="76"/>
      <c r="O786" s="49"/>
      <c r="P786" s="77"/>
      <c r="Q786" s="53"/>
      <c r="R786" s="54"/>
      <c r="S786" s="55"/>
      <c r="T786" s="56"/>
      <c r="U786" s="56"/>
      <c r="V786" s="42"/>
      <c r="W786" s="57"/>
      <c r="X786" s="58"/>
      <c r="Y786" s="75"/>
      <c r="Z786" s="59"/>
      <c r="AA786" s="61"/>
      <c r="AB786" s="61"/>
      <c r="AC786" s="61"/>
      <c r="AD786" s="62"/>
      <c r="AE786" s="62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x14ac:dyDescent="0.3">
      <c r="A787" s="39"/>
      <c r="B787" s="42"/>
      <c r="C787" s="42"/>
      <c r="D787" s="75"/>
      <c r="E787" s="75"/>
      <c r="F787" s="76"/>
      <c r="G787" s="47"/>
      <c r="H787" s="47"/>
      <c r="I787" s="75"/>
      <c r="J787" s="76"/>
      <c r="K787" s="76"/>
      <c r="L787" s="75"/>
      <c r="M787" s="49"/>
      <c r="N787" s="76"/>
      <c r="O787" s="49"/>
      <c r="P787" s="77"/>
      <c r="Q787" s="53"/>
      <c r="R787" s="54"/>
      <c r="S787" s="55"/>
      <c r="T787" s="56"/>
      <c r="U787" s="56"/>
      <c r="V787" s="42"/>
      <c r="W787" s="57"/>
      <c r="X787" s="58"/>
      <c r="Y787" s="75"/>
      <c r="Z787" s="59"/>
      <c r="AA787" s="61"/>
      <c r="AB787" s="61"/>
      <c r="AC787" s="61"/>
      <c r="AD787" s="62"/>
      <c r="AE787" s="62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x14ac:dyDescent="0.3">
      <c r="A788" s="39"/>
      <c r="B788" s="42"/>
      <c r="C788" s="42"/>
      <c r="D788" s="75"/>
      <c r="E788" s="75"/>
      <c r="F788" s="76"/>
      <c r="G788" s="47"/>
      <c r="H788" s="47"/>
      <c r="I788" s="75"/>
      <c r="J788" s="76"/>
      <c r="K788" s="76"/>
      <c r="L788" s="75"/>
      <c r="M788" s="49"/>
      <c r="N788" s="76"/>
      <c r="O788" s="49"/>
      <c r="P788" s="77"/>
      <c r="Q788" s="53"/>
      <c r="R788" s="54"/>
      <c r="S788" s="55"/>
      <c r="T788" s="56"/>
      <c r="U788" s="56"/>
      <c r="V788" s="42"/>
      <c r="W788" s="57"/>
      <c r="X788" s="58"/>
      <c r="Y788" s="75"/>
      <c r="Z788" s="59"/>
      <c r="AA788" s="61"/>
      <c r="AB788" s="61"/>
      <c r="AC788" s="61"/>
      <c r="AD788" s="62"/>
      <c r="AE788" s="62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x14ac:dyDescent="0.3">
      <c r="A789" s="39"/>
      <c r="B789" s="42"/>
      <c r="C789" s="42"/>
      <c r="D789" s="75"/>
      <c r="E789" s="75"/>
      <c r="F789" s="76"/>
      <c r="G789" s="47"/>
      <c r="H789" s="47"/>
      <c r="I789" s="75"/>
      <c r="J789" s="76"/>
      <c r="K789" s="76"/>
      <c r="L789" s="75"/>
      <c r="M789" s="49"/>
      <c r="N789" s="76"/>
      <c r="O789" s="49"/>
      <c r="P789" s="77"/>
      <c r="Q789" s="53"/>
      <c r="R789" s="54"/>
      <c r="S789" s="55"/>
      <c r="T789" s="56"/>
      <c r="U789" s="56"/>
      <c r="V789" s="42"/>
      <c r="W789" s="57"/>
      <c r="X789" s="58"/>
      <c r="Y789" s="75"/>
      <c r="Z789" s="59"/>
      <c r="AA789" s="61"/>
      <c r="AB789" s="61"/>
      <c r="AC789" s="61"/>
      <c r="AD789" s="62"/>
      <c r="AE789" s="62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x14ac:dyDescent="0.3">
      <c r="A790" s="39"/>
      <c r="B790" s="42"/>
      <c r="C790" s="42"/>
      <c r="D790" s="75"/>
      <c r="E790" s="75"/>
      <c r="F790" s="76"/>
      <c r="G790" s="47"/>
      <c r="H790" s="47"/>
      <c r="I790" s="75"/>
      <c r="J790" s="76"/>
      <c r="K790" s="76"/>
      <c r="L790" s="75"/>
      <c r="M790" s="49"/>
      <c r="N790" s="76"/>
      <c r="O790" s="49"/>
      <c r="P790" s="77"/>
      <c r="Q790" s="53"/>
      <c r="R790" s="54"/>
      <c r="S790" s="55"/>
      <c r="T790" s="56"/>
      <c r="U790" s="56"/>
      <c r="V790" s="42"/>
      <c r="W790" s="57"/>
      <c r="X790" s="58"/>
      <c r="Y790" s="75"/>
      <c r="Z790" s="59"/>
      <c r="AA790" s="61"/>
      <c r="AB790" s="61"/>
      <c r="AC790" s="61"/>
      <c r="AD790" s="62"/>
      <c r="AE790" s="62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x14ac:dyDescent="0.3">
      <c r="A791" s="39"/>
      <c r="B791" s="42"/>
      <c r="C791" s="42"/>
      <c r="D791" s="75"/>
      <c r="E791" s="75"/>
      <c r="F791" s="76"/>
      <c r="G791" s="47"/>
      <c r="H791" s="47"/>
      <c r="I791" s="75"/>
      <c r="J791" s="76"/>
      <c r="K791" s="76"/>
      <c r="L791" s="75"/>
      <c r="M791" s="49"/>
      <c r="N791" s="76"/>
      <c r="O791" s="49"/>
      <c r="P791" s="77"/>
      <c r="Q791" s="53"/>
      <c r="R791" s="54"/>
      <c r="S791" s="55"/>
      <c r="T791" s="56"/>
      <c r="U791" s="56"/>
      <c r="V791" s="42"/>
      <c r="W791" s="57"/>
      <c r="X791" s="58"/>
      <c r="Y791" s="75"/>
      <c r="Z791" s="59"/>
      <c r="AA791" s="61"/>
      <c r="AB791" s="61"/>
      <c r="AC791" s="61"/>
      <c r="AD791" s="62"/>
      <c r="AE791" s="62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x14ac:dyDescent="0.3">
      <c r="A792" s="39"/>
      <c r="B792" s="42"/>
      <c r="C792" s="42"/>
      <c r="D792" s="75"/>
      <c r="E792" s="75"/>
      <c r="F792" s="76"/>
      <c r="G792" s="47"/>
      <c r="H792" s="47"/>
      <c r="I792" s="75"/>
      <c r="J792" s="76"/>
      <c r="K792" s="76"/>
      <c r="L792" s="75"/>
      <c r="M792" s="49"/>
      <c r="N792" s="76"/>
      <c r="O792" s="49"/>
      <c r="P792" s="77"/>
      <c r="Q792" s="53"/>
      <c r="R792" s="54"/>
      <c r="S792" s="55"/>
      <c r="T792" s="56"/>
      <c r="U792" s="56"/>
      <c r="V792" s="42"/>
      <c r="W792" s="57"/>
      <c r="X792" s="58"/>
      <c r="Y792" s="75"/>
      <c r="Z792" s="59"/>
      <c r="AA792" s="61"/>
      <c r="AB792" s="61"/>
      <c r="AC792" s="61"/>
      <c r="AD792" s="62"/>
      <c r="AE792" s="62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x14ac:dyDescent="0.3">
      <c r="A793" s="39"/>
      <c r="B793" s="42"/>
      <c r="C793" s="42"/>
      <c r="D793" s="75"/>
      <c r="E793" s="75"/>
      <c r="F793" s="76"/>
      <c r="G793" s="47"/>
      <c r="H793" s="47"/>
      <c r="I793" s="75"/>
      <c r="J793" s="76"/>
      <c r="K793" s="76"/>
      <c r="L793" s="75"/>
      <c r="M793" s="49"/>
      <c r="N793" s="76"/>
      <c r="O793" s="49"/>
      <c r="P793" s="77"/>
      <c r="Q793" s="53"/>
      <c r="R793" s="54"/>
      <c r="S793" s="55"/>
      <c r="T793" s="56"/>
      <c r="U793" s="56"/>
      <c r="V793" s="42"/>
      <c r="W793" s="57"/>
      <c r="X793" s="58"/>
      <c r="Y793" s="75"/>
      <c r="Z793" s="59"/>
      <c r="AA793" s="61"/>
      <c r="AB793" s="61"/>
      <c r="AC793" s="61"/>
      <c r="AD793" s="62"/>
      <c r="AE793" s="62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x14ac:dyDescent="0.3">
      <c r="A794" s="39"/>
      <c r="B794" s="42"/>
      <c r="C794" s="42"/>
      <c r="D794" s="75"/>
      <c r="E794" s="75"/>
      <c r="F794" s="76"/>
      <c r="G794" s="47"/>
      <c r="H794" s="47"/>
      <c r="I794" s="75"/>
      <c r="J794" s="76"/>
      <c r="K794" s="76"/>
      <c r="L794" s="75"/>
      <c r="M794" s="49"/>
      <c r="N794" s="76"/>
      <c r="O794" s="49"/>
      <c r="P794" s="77"/>
      <c r="Q794" s="53"/>
      <c r="R794" s="54"/>
      <c r="S794" s="55"/>
      <c r="T794" s="56"/>
      <c r="U794" s="56"/>
      <c r="V794" s="42"/>
      <c r="W794" s="57"/>
      <c r="X794" s="58"/>
      <c r="Y794" s="75"/>
      <c r="Z794" s="59"/>
      <c r="AA794" s="61"/>
      <c r="AB794" s="61"/>
      <c r="AC794" s="61"/>
      <c r="AD794" s="62"/>
      <c r="AE794" s="62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x14ac:dyDescent="0.3">
      <c r="A795" s="39"/>
      <c r="B795" s="42"/>
      <c r="C795" s="42"/>
      <c r="D795" s="75"/>
      <c r="E795" s="75"/>
      <c r="F795" s="76"/>
      <c r="G795" s="47"/>
      <c r="H795" s="47"/>
      <c r="I795" s="75"/>
      <c r="J795" s="76"/>
      <c r="K795" s="76"/>
      <c r="L795" s="75"/>
      <c r="M795" s="49"/>
      <c r="N795" s="76"/>
      <c r="O795" s="49"/>
      <c r="P795" s="77"/>
      <c r="Q795" s="53"/>
      <c r="R795" s="54"/>
      <c r="S795" s="55"/>
      <c r="T795" s="56"/>
      <c r="U795" s="56"/>
      <c r="V795" s="42"/>
      <c r="W795" s="57"/>
      <c r="X795" s="58"/>
      <c r="Y795" s="75"/>
      <c r="Z795" s="59"/>
      <c r="AA795" s="61"/>
      <c r="AB795" s="61"/>
      <c r="AC795" s="61"/>
      <c r="AD795" s="62"/>
      <c r="AE795" s="62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x14ac:dyDescent="0.3">
      <c r="A796" s="39"/>
      <c r="B796" s="42"/>
      <c r="C796" s="42"/>
      <c r="D796" s="75"/>
      <c r="E796" s="75"/>
      <c r="F796" s="76"/>
      <c r="G796" s="47"/>
      <c r="H796" s="47"/>
      <c r="I796" s="75"/>
      <c r="J796" s="76"/>
      <c r="K796" s="76"/>
      <c r="L796" s="75"/>
      <c r="M796" s="49"/>
      <c r="N796" s="76"/>
      <c r="O796" s="49"/>
      <c r="P796" s="77"/>
      <c r="Q796" s="53"/>
      <c r="R796" s="54"/>
      <c r="S796" s="55"/>
      <c r="T796" s="56"/>
      <c r="U796" s="56"/>
      <c r="V796" s="42"/>
      <c r="W796" s="57"/>
      <c r="X796" s="58"/>
      <c r="Y796" s="75"/>
      <c r="Z796" s="59"/>
      <c r="AA796" s="61"/>
      <c r="AB796" s="61"/>
      <c r="AC796" s="61"/>
      <c r="AD796" s="62"/>
      <c r="AE796" s="62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x14ac:dyDescent="0.3">
      <c r="A797" s="39"/>
      <c r="B797" s="42"/>
      <c r="C797" s="42"/>
      <c r="D797" s="75"/>
      <c r="E797" s="75"/>
      <c r="F797" s="76"/>
      <c r="G797" s="47"/>
      <c r="H797" s="47"/>
      <c r="I797" s="75"/>
      <c r="J797" s="76"/>
      <c r="K797" s="76"/>
      <c r="L797" s="75"/>
      <c r="M797" s="49"/>
      <c r="N797" s="76"/>
      <c r="O797" s="49"/>
      <c r="P797" s="77"/>
      <c r="Q797" s="53"/>
      <c r="R797" s="54"/>
      <c r="S797" s="55"/>
      <c r="T797" s="56"/>
      <c r="U797" s="56"/>
      <c r="V797" s="42"/>
      <c r="W797" s="57"/>
      <c r="X797" s="58"/>
      <c r="Y797" s="75"/>
      <c r="Z797" s="59"/>
      <c r="AA797" s="61"/>
      <c r="AB797" s="61"/>
      <c r="AC797" s="61"/>
      <c r="AD797" s="62"/>
      <c r="AE797" s="62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x14ac:dyDescent="0.3">
      <c r="A798" s="39"/>
      <c r="B798" s="42"/>
      <c r="C798" s="42"/>
      <c r="D798" s="75"/>
      <c r="E798" s="75"/>
      <c r="F798" s="76"/>
      <c r="G798" s="47"/>
      <c r="H798" s="47"/>
      <c r="I798" s="75"/>
      <c r="J798" s="76"/>
      <c r="K798" s="76"/>
      <c r="L798" s="75"/>
      <c r="M798" s="49"/>
      <c r="N798" s="76"/>
      <c r="O798" s="49"/>
      <c r="P798" s="77"/>
      <c r="Q798" s="53"/>
      <c r="R798" s="54"/>
      <c r="S798" s="55"/>
      <c r="T798" s="56"/>
      <c r="U798" s="56"/>
      <c r="V798" s="42"/>
      <c r="W798" s="57"/>
      <c r="X798" s="58"/>
      <c r="Y798" s="75"/>
      <c r="Z798" s="59"/>
      <c r="AA798" s="61"/>
      <c r="AB798" s="61"/>
      <c r="AC798" s="61"/>
      <c r="AD798" s="62"/>
      <c r="AE798" s="62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x14ac:dyDescent="0.3">
      <c r="A799" s="39"/>
      <c r="B799" s="42"/>
      <c r="C799" s="42"/>
      <c r="D799" s="75"/>
      <c r="E799" s="75"/>
      <c r="F799" s="76"/>
      <c r="G799" s="47"/>
      <c r="H799" s="47"/>
      <c r="I799" s="75"/>
      <c r="J799" s="76"/>
      <c r="K799" s="76"/>
      <c r="L799" s="75"/>
      <c r="M799" s="49"/>
      <c r="N799" s="76"/>
      <c r="O799" s="49"/>
      <c r="P799" s="77"/>
      <c r="Q799" s="53"/>
      <c r="R799" s="54"/>
      <c r="S799" s="55"/>
      <c r="T799" s="56"/>
      <c r="U799" s="56"/>
      <c r="V799" s="42"/>
      <c r="W799" s="57"/>
      <c r="X799" s="58"/>
      <c r="Y799" s="75"/>
      <c r="Z799" s="59"/>
      <c r="AA799" s="61"/>
      <c r="AB799" s="61"/>
      <c r="AC799" s="61"/>
      <c r="AD799" s="62"/>
      <c r="AE799" s="62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x14ac:dyDescent="0.3">
      <c r="A800" s="39"/>
      <c r="B800" s="42"/>
      <c r="C800" s="42"/>
      <c r="D800" s="75"/>
      <c r="E800" s="75"/>
      <c r="F800" s="76"/>
      <c r="G800" s="47"/>
      <c r="H800" s="47"/>
      <c r="I800" s="75"/>
      <c r="J800" s="76"/>
      <c r="K800" s="76"/>
      <c r="L800" s="75"/>
      <c r="M800" s="49"/>
      <c r="N800" s="76"/>
      <c r="O800" s="49"/>
      <c r="P800" s="77"/>
      <c r="Q800" s="53"/>
      <c r="R800" s="54"/>
      <c r="S800" s="55"/>
      <c r="T800" s="56"/>
      <c r="U800" s="56"/>
      <c r="V800" s="42"/>
      <c r="W800" s="57"/>
      <c r="X800" s="58"/>
      <c r="Y800" s="75"/>
      <c r="Z800" s="59"/>
      <c r="AA800" s="61"/>
      <c r="AB800" s="61"/>
      <c r="AC800" s="61"/>
      <c r="AD800" s="62"/>
      <c r="AE800" s="62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x14ac:dyDescent="0.3">
      <c r="A801" s="39"/>
      <c r="B801" s="42"/>
      <c r="C801" s="42"/>
      <c r="D801" s="75"/>
      <c r="E801" s="75"/>
      <c r="F801" s="76"/>
      <c r="G801" s="47"/>
      <c r="H801" s="47"/>
      <c r="I801" s="75"/>
      <c r="J801" s="76"/>
      <c r="K801" s="76"/>
      <c r="L801" s="75"/>
      <c r="M801" s="49"/>
      <c r="N801" s="76"/>
      <c r="O801" s="49"/>
      <c r="P801" s="77"/>
      <c r="Q801" s="53"/>
      <c r="R801" s="54"/>
      <c r="S801" s="55"/>
      <c r="T801" s="56"/>
      <c r="U801" s="56"/>
      <c r="V801" s="42"/>
      <c r="W801" s="57"/>
      <c r="X801" s="58"/>
      <c r="Y801" s="75"/>
      <c r="Z801" s="59"/>
      <c r="AA801" s="61"/>
      <c r="AB801" s="61"/>
      <c r="AC801" s="61"/>
      <c r="AD801" s="62"/>
      <c r="AE801" s="62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x14ac:dyDescent="0.3">
      <c r="A802" s="39"/>
      <c r="B802" s="42"/>
      <c r="C802" s="42"/>
      <c r="D802" s="75"/>
      <c r="E802" s="75"/>
      <c r="F802" s="76"/>
      <c r="G802" s="47"/>
      <c r="H802" s="47"/>
      <c r="I802" s="75"/>
      <c r="J802" s="76"/>
      <c r="K802" s="76"/>
      <c r="L802" s="75"/>
      <c r="M802" s="49"/>
      <c r="N802" s="76"/>
      <c r="O802" s="49"/>
      <c r="P802" s="77"/>
      <c r="Q802" s="53"/>
      <c r="R802" s="54"/>
      <c r="S802" s="55"/>
      <c r="T802" s="56"/>
      <c r="U802" s="56"/>
      <c r="V802" s="42"/>
      <c r="W802" s="57"/>
      <c r="X802" s="58"/>
      <c r="Y802" s="75"/>
      <c r="Z802" s="59"/>
      <c r="AA802" s="61"/>
      <c r="AB802" s="61"/>
      <c r="AC802" s="61"/>
      <c r="AD802" s="62"/>
      <c r="AE802" s="62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x14ac:dyDescent="0.3">
      <c r="A803" s="39"/>
      <c r="B803" s="42"/>
      <c r="C803" s="42"/>
      <c r="D803" s="75"/>
      <c r="E803" s="75"/>
      <c r="F803" s="76"/>
      <c r="G803" s="47"/>
      <c r="H803" s="47"/>
      <c r="I803" s="75"/>
      <c r="J803" s="76"/>
      <c r="K803" s="76"/>
      <c r="L803" s="75"/>
      <c r="M803" s="49"/>
      <c r="N803" s="76"/>
      <c r="O803" s="49"/>
      <c r="P803" s="77"/>
      <c r="Q803" s="53"/>
      <c r="R803" s="54"/>
      <c r="S803" s="55"/>
      <c r="T803" s="56"/>
      <c r="U803" s="56"/>
      <c r="V803" s="42"/>
      <c r="W803" s="57"/>
      <c r="X803" s="58"/>
      <c r="Y803" s="75"/>
      <c r="Z803" s="59"/>
      <c r="AA803" s="61"/>
      <c r="AB803" s="61"/>
      <c r="AC803" s="61"/>
      <c r="AD803" s="62"/>
      <c r="AE803" s="62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x14ac:dyDescent="0.3">
      <c r="A804" s="39"/>
      <c r="B804" s="42"/>
      <c r="C804" s="42"/>
      <c r="D804" s="75"/>
      <c r="E804" s="75"/>
      <c r="F804" s="76"/>
      <c r="G804" s="47"/>
      <c r="H804" s="47"/>
      <c r="I804" s="75"/>
      <c r="J804" s="76"/>
      <c r="K804" s="76"/>
      <c r="L804" s="75"/>
      <c r="M804" s="49"/>
      <c r="N804" s="76"/>
      <c r="O804" s="49"/>
      <c r="P804" s="77"/>
      <c r="Q804" s="53"/>
      <c r="R804" s="54"/>
      <c r="S804" s="55"/>
      <c r="T804" s="56"/>
      <c r="U804" s="56"/>
      <c r="V804" s="42"/>
      <c r="W804" s="57"/>
      <c r="X804" s="58"/>
      <c r="Y804" s="75"/>
      <c r="Z804" s="59"/>
      <c r="AA804" s="61"/>
      <c r="AB804" s="61"/>
      <c r="AC804" s="61"/>
      <c r="AD804" s="62"/>
      <c r="AE804" s="62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x14ac:dyDescent="0.3">
      <c r="A805" s="39"/>
      <c r="B805" s="42"/>
      <c r="C805" s="42"/>
      <c r="D805" s="75"/>
      <c r="E805" s="75"/>
      <c r="F805" s="76"/>
      <c r="G805" s="47"/>
      <c r="H805" s="47"/>
      <c r="I805" s="75"/>
      <c r="J805" s="76"/>
      <c r="K805" s="76"/>
      <c r="L805" s="75"/>
      <c r="M805" s="49"/>
      <c r="N805" s="76"/>
      <c r="O805" s="49"/>
      <c r="P805" s="77"/>
      <c r="Q805" s="53"/>
      <c r="R805" s="54"/>
      <c r="S805" s="55"/>
      <c r="T805" s="56"/>
      <c r="U805" s="56"/>
      <c r="V805" s="42"/>
      <c r="W805" s="57"/>
      <c r="X805" s="58"/>
      <c r="Y805" s="75"/>
      <c r="Z805" s="59"/>
      <c r="AA805" s="61"/>
      <c r="AB805" s="61"/>
      <c r="AC805" s="61"/>
      <c r="AD805" s="62"/>
      <c r="AE805" s="62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x14ac:dyDescent="0.3">
      <c r="A806" s="39"/>
      <c r="B806" s="42"/>
      <c r="C806" s="42"/>
      <c r="D806" s="75"/>
      <c r="E806" s="75"/>
      <c r="F806" s="76"/>
      <c r="G806" s="47"/>
      <c r="H806" s="47"/>
      <c r="I806" s="75"/>
      <c r="J806" s="76"/>
      <c r="K806" s="76"/>
      <c r="L806" s="75"/>
      <c r="M806" s="49"/>
      <c r="N806" s="76"/>
      <c r="O806" s="49"/>
      <c r="P806" s="77"/>
      <c r="Q806" s="53"/>
      <c r="R806" s="54"/>
      <c r="S806" s="55"/>
      <c r="T806" s="56"/>
      <c r="U806" s="56"/>
      <c r="V806" s="42"/>
      <c r="W806" s="57"/>
      <c r="X806" s="58"/>
      <c r="Y806" s="75"/>
      <c r="Z806" s="59"/>
      <c r="AA806" s="61"/>
      <c r="AB806" s="61"/>
      <c r="AC806" s="61"/>
      <c r="AD806" s="62"/>
      <c r="AE806" s="62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x14ac:dyDescent="0.3">
      <c r="A807" s="39"/>
      <c r="B807" s="42"/>
      <c r="C807" s="42"/>
      <c r="D807" s="75"/>
      <c r="E807" s="75"/>
      <c r="F807" s="76"/>
      <c r="G807" s="47"/>
      <c r="H807" s="47"/>
      <c r="I807" s="75"/>
      <c r="J807" s="76"/>
      <c r="K807" s="76"/>
      <c r="L807" s="75"/>
      <c r="M807" s="49"/>
      <c r="N807" s="76"/>
      <c r="O807" s="49"/>
      <c r="P807" s="77"/>
      <c r="Q807" s="53"/>
      <c r="R807" s="54"/>
      <c r="S807" s="55"/>
      <c r="T807" s="56"/>
      <c r="U807" s="56"/>
      <c r="V807" s="42"/>
      <c r="W807" s="57"/>
      <c r="X807" s="58"/>
      <c r="Y807" s="75"/>
      <c r="Z807" s="59"/>
      <c r="AA807" s="61"/>
      <c r="AB807" s="61"/>
      <c r="AC807" s="61"/>
      <c r="AD807" s="62"/>
      <c r="AE807" s="62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x14ac:dyDescent="0.3">
      <c r="A808" s="39"/>
      <c r="B808" s="42"/>
      <c r="C808" s="42"/>
      <c r="D808" s="75"/>
      <c r="E808" s="75"/>
      <c r="F808" s="76"/>
      <c r="G808" s="47"/>
      <c r="H808" s="47"/>
      <c r="I808" s="75"/>
      <c r="J808" s="76"/>
      <c r="K808" s="76"/>
      <c r="L808" s="75"/>
      <c r="M808" s="49"/>
      <c r="N808" s="76"/>
      <c r="O808" s="49"/>
      <c r="P808" s="77"/>
      <c r="Q808" s="53"/>
      <c r="R808" s="54"/>
      <c r="S808" s="55"/>
      <c r="T808" s="56"/>
      <c r="U808" s="56"/>
      <c r="V808" s="42"/>
      <c r="W808" s="57"/>
      <c r="X808" s="58"/>
      <c r="Y808" s="75"/>
      <c r="Z808" s="59"/>
      <c r="AA808" s="61"/>
      <c r="AB808" s="61"/>
      <c r="AC808" s="61"/>
      <c r="AD808" s="62"/>
      <c r="AE808" s="62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x14ac:dyDescent="0.3">
      <c r="A809" s="39"/>
      <c r="B809" s="42"/>
      <c r="C809" s="42"/>
      <c r="D809" s="75"/>
      <c r="E809" s="75"/>
      <c r="F809" s="76"/>
      <c r="G809" s="47"/>
      <c r="H809" s="47"/>
      <c r="I809" s="75"/>
      <c r="J809" s="76"/>
      <c r="K809" s="76"/>
      <c r="L809" s="75"/>
      <c r="M809" s="49"/>
      <c r="N809" s="76"/>
      <c r="O809" s="49"/>
      <c r="P809" s="77"/>
      <c r="Q809" s="53"/>
      <c r="R809" s="54"/>
      <c r="S809" s="55"/>
      <c r="T809" s="56"/>
      <c r="U809" s="56"/>
      <c r="V809" s="42"/>
      <c r="W809" s="57"/>
      <c r="X809" s="58"/>
      <c r="Y809" s="75"/>
      <c r="Z809" s="59"/>
      <c r="AA809" s="61"/>
      <c r="AB809" s="61"/>
      <c r="AC809" s="61"/>
      <c r="AD809" s="62"/>
      <c r="AE809" s="62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x14ac:dyDescent="0.3">
      <c r="A810" s="39"/>
      <c r="B810" s="42"/>
      <c r="C810" s="42"/>
      <c r="D810" s="75"/>
      <c r="E810" s="75"/>
      <c r="F810" s="76"/>
      <c r="G810" s="47"/>
      <c r="H810" s="47"/>
      <c r="I810" s="75"/>
      <c r="J810" s="76"/>
      <c r="K810" s="76"/>
      <c r="L810" s="75"/>
      <c r="M810" s="49"/>
      <c r="N810" s="76"/>
      <c r="O810" s="49"/>
      <c r="P810" s="77"/>
      <c r="Q810" s="53"/>
      <c r="R810" s="54"/>
      <c r="S810" s="55"/>
      <c r="T810" s="56"/>
      <c r="U810" s="56"/>
      <c r="V810" s="42"/>
      <c r="W810" s="57"/>
      <c r="X810" s="58"/>
      <c r="Y810" s="75"/>
      <c r="Z810" s="59"/>
      <c r="AA810" s="61"/>
      <c r="AB810" s="61"/>
      <c r="AC810" s="61"/>
      <c r="AD810" s="62"/>
      <c r="AE810" s="62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x14ac:dyDescent="0.3">
      <c r="A811" s="39"/>
      <c r="B811" s="42"/>
      <c r="C811" s="42"/>
      <c r="D811" s="75"/>
      <c r="E811" s="75"/>
      <c r="F811" s="76"/>
      <c r="G811" s="47"/>
      <c r="H811" s="47"/>
      <c r="I811" s="75"/>
      <c r="J811" s="76"/>
      <c r="K811" s="76"/>
      <c r="L811" s="75"/>
      <c r="M811" s="49"/>
      <c r="N811" s="76"/>
      <c r="O811" s="49"/>
      <c r="P811" s="77"/>
      <c r="Q811" s="53"/>
      <c r="R811" s="54"/>
      <c r="S811" s="55"/>
      <c r="T811" s="56"/>
      <c r="U811" s="56"/>
      <c r="V811" s="42"/>
      <c r="W811" s="57"/>
      <c r="X811" s="58"/>
      <c r="Y811" s="75"/>
      <c r="Z811" s="59"/>
      <c r="AA811" s="61"/>
      <c r="AB811" s="61"/>
      <c r="AC811" s="61"/>
      <c r="AD811" s="62"/>
      <c r="AE811" s="62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x14ac:dyDescent="0.3">
      <c r="A812" s="39"/>
      <c r="B812" s="42"/>
      <c r="C812" s="42"/>
      <c r="D812" s="75"/>
      <c r="E812" s="75"/>
      <c r="F812" s="76"/>
      <c r="G812" s="47"/>
      <c r="H812" s="47"/>
      <c r="I812" s="75"/>
      <c r="J812" s="76"/>
      <c r="K812" s="76"/>
      <c r="L812" s="75"/>
      <c r="M812" s="49"/>
      <c r="N812" s="76"/>
      <c r="O812" s="49"/>
      <c r="P812" s="77"/>
      <c r="Q812" s="53"/>
      <c r="R812" s="54"/>
      <c r="S812" s="55"/>
      <c r="T812" s="56"/>
      <c r="U812" s="56"/>
      <c r="V812" s="42"/>
      <c r="W812" s="57"/>
      <c r="X812" s="58"/>
      <c r="Y812" s="75"/>
      <c r="Z812" s="59"/>
      <c r="AA812" s="61"/>
      <c r="AB812" s="61"/>
      <c r="AC812" s="61"/>
      <c r="AD812" s="62"/>
      <c r="AE812" s="62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x14ac:dyDescent="0.3">
      <c r="A813" s="39"/>
      <c r="B813" s="42"/>
      <c r="C813" s="42"/>
      <c r="D813" s="75"/>
      <c r="E813" s="75"/>
      <c r="F813" s="76"/>
      <c r="G813" s="47"/>
      <c r="H813" s="47"/>
      <c r="I813" s="75"/>
      <c r="J813" s="76"/>
      <c r="K813" s="76"/>
      <c r="L813" s="75"/>
      <c r="M813" s="49"/>
      <c r="N813" s="76"/>
      <c r="O813" s="49"/>
      <c r="P813" s="77"/>
      <c r="Q813" s="53"/>
      <c r="R813" s="54"/>
      <c r="S813" s="55"/>
      <c r="T813" s="56"/>
      <c r="U813" s="56"/>
      <c r="V813" s="42"/>
      <c r="W813" s="57"/>
      <c r="X813" s="58"/>
      <c r="Y813" s="75"/>
      <c r="Z813" s="59"/>
      <c r="AA813" s="61"/>
      <c r="AB813" s="61"/>
      <c r="AC813" s="61"/>
      <c r="AD813" s="62"/>
      <c r="AE813" s="62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x14ac:dyDescent="0.3">
      <c r="A814" s="39"/>
      <c r="B814" s="42"/>
      <c r="C814" s="42"/>
      <c r="D814" s="75"/>
      <c r="E814" s="75"/>
      <c r="F814" s="76"/>
      <c r="G814" s="47"/>
      <c r="H814" s="47"/>
      <c r="I814" s="75"/>
      <c r="J814" s="76"/>
      <c r="K814" s="76"/>
      <c r="L814" s="75"/>
      <c r="M814" s="49"/>
      <c r="N814" s="76"/>
      <c r="O814" s="49"/>
      <c r="P814" s="77"/>
      <c r="Q814" s="53"/>
      <c r="R814" s="54"/>
      <c r="S814" s="55"/>
      <c r="T814" s="56"/>
      <c r="U814" s="56"/>
      <c r="V814" s="42"/>
      <c r="W814" s="57"/>
      <c r="X814" s="58"/>
      <c r="Y814" s="75"/>
      <c r="Z814" s="59"/>
      <c r="AA814" s="61"/>
      <c r="AB814" s="61"/>
      <c r="AC814" s="61"/>
      <c r="AD814" s="62"/>
      <c r="AE814" s="62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x14ac:dyDescent="0.3">
      <c r="A815" s="39"/>
      <c r="B815" s="42"/>
      <c r="C815" s="42"/>
      <c r="D815" s="75"/>
      <c r="E815" s="75"/>
      <c r="F815" s="76"/>
      <c r="G815" s="47"/>
      <c r="H815" s="47"/>
      <c r="I815" s="75"/>
      <c r="J815" s="76"/>
      <c r="K815" s="76"/>
      <c r="L815" s="75"/>
      <c r="M815" s="49"/>
      <c r="N815" s="76"/>
      <c r="O815" s="49"/>
      <c r="P815" s="77"/>
      <c r="Q815" s="53"/>
      <c r="R815" s="54"/>
      <c r="S815" s="55"/>
      <c r="T815" s="56"/>
      <c r="U815" s="56"/>
      <c r="V815" s="42"/>
      <c r="W815" s="57"/>
      <c r="X815" s="58"/>
      <c r="Y815" s="75"/>
      <c r="Z815" s="59"/>
      <c r="AA815" s="61"/>
      <c r="AB815" s="61"/>
      <c r="AC815" s="61"/>
      <c r="AD815" s="62"/>
      <c r="AE815" s="62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x14ac:dyDescent="0.3">
      <c r="A816" s="39"/>
      <c r="B816" s="42"/>
      <c r="C816" s="42"/>
      <c r="D816" s="75"/>
      <c r="E816" s="75"/>
      <c r="F816" s="76"/>
      <c r="G816" s="47"/>
      <c r="H816" s="47"/>
      <c r="I816" s="75"/>
      <c r="J816" s="76"/>
      <c r="K816" s="76"/>
      <c r="L816" s="75"/>
      <c r="M816" s="49"/>
      <c r="N816" s="76"/>
      <c r="O816" s="49"/>
      <c r="P816" s="77"/>
      <c r="Q816" s="53"/>
      <c r="R816" s="54"/>
      <c r="S816" s="55"/>
      <c r="T816" s="56"/>
      <c r="U816" s="56"/>
      <c r="V816" s="42"/>
      <c r="W816" s="57"/>
      <c r="X816" s="58"/>
      <c r="Y816" s="75"/>
      <c r="Z816" s="59"/>
      <c r="AA816" s="61"/>
      <c r="AB816" s="61"/>
      <c r="AC816" s="61"/>
      <c r="AD816" s="62"/>
      <c r="AE816" s="62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x14ac:dyDescent="0.3">
      <c r="A817" s="39"/>
      <c r="B817" s="42"/>
      <c r="C817" s="42"/>
      <c r="D817" s="75"/>
      <c r="E817" s="75"/>
      <c r="F817" s="76"/>
      <c r="G817" s="47"/>
      <c r="H817" s="47"/>
      <c r="I817" s="75"/>
      <c r="J817" s="76"/>
      <c r="K817" s="76"/>
      <c r="L817" s="75"/>
      <c r="M817" s="49"/>
      <c r="N817" s="76"/>
      <c r="O817" s="49"/>
      <c r="P817" s="77"/>
      <c r="Q817" s="53"/>
      <c r="R817" s="54"/>
      <c r="S817" s="55"/>
      <c r="T817" s="56"/>
      <c r="U817" s="56"/>
      <c r="V817" s="42"/>
      <c r="W817" s="57"/>
      <c r="X817" s="58"/>
      <c r="Y817" s="75"/>
      <c r="Z817" s="59"/>
      <c r="AA817" s="61"/>
      <c r="AB817" s="61"/>
      <c r="AC817" s="61"/>
      <c r="AD817" s="62"/>
      <c r="AE817" s="62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x14ac:dyDescent="0.3">
      <c r="A818" s="39"/>
      <c r="B818" s="42"/>
      <c r="C818" s="42"/>
      <c r="D818" s="75"/>
      <c r="E818" s="75"/>
      <c r="F818" s="76"/>
      <c r="G818" s="47"/>
      <c r="H818" s="47"/>
      <c r="I818" s="75"/>
      <c r="J818" s="76"/>
      <c r="K818" s="76"/>
      <c r="L818" s="75"/>
      <c r="M818" s="49"/>
      <c r="N818" s="76"/>
      <c r="O818" s="49"/>
      <c r="P818" s="77"/>
      <c r="Q818" s="53"/>
      <c r="R818" s="54"/>
      <c r="S818" s="55"/>
      <c r="T818" s="56"/>
      <c r="U818" s="56"/>
      <c r="V818" s="42"/>
      <c r="W818" s="57"/>
      <c r="X818" s="58"/>
      <c r="Y818" s="75"/>
      <c r="Z818" s="59"/>
      <c r="AA818" s="61"/>
      <c r="AB818" s="61"/>
      <c r="AC818" s="61"/>
      <c r="AD818" s="62"/>
      <c r="AE818" s="62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x14ac:dyDescent="0.3">
      <c r="A819" s="39"/>
      <c r="B819" s="42"/>
      <c r="C819" s="42"/>
      <c r="D819" s="75"/>
      <c r="E819" s="75"/>
      <c r="F819" s="76"/>
      <c r="G819" s="47"/>
      <c r="H819" s="47"/>
      <c r="I819" s="75"/>
      <c r="J819" s="76"/>
      <c r="K819" s="76"/>
      <c r="L819" s="75"/>
      <c r="M819" s="49"/>
      <c r="N819" s="76"/>
      <c r="O819" s="49"/>
      <c r="P819" s="77"/>
      <c r="Q819" s="53"/>
      <c r="R819" s="54"/>
      <c r="S819" s="55"/>
      <c r="T819" s="56"/>
      <c r="U819" s="56"/>
      <c r="V819" s="42"/>
      <c r="W819" s="57"/>
      <c r="X819" s="58"/>
      <c r="Y819" s="75"/>
      <c r="Z819" s="59"/>
      <c r="AA819" s="61"/>
      <c r="AB819" s="61"/>
      <c r="AC819" s="61"/>
      <c r="AD819" s="62"/>
      <c r="AE819" s="62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x14ac:dyDescent="0.3">
      <c r="A820" s="39"/>
      <c r="B820" s="42"/>
      <c r="C820" s="42"/>
      <c r="D820" s="75"/>
      <c r="E820" s="75"/>
      <c r="F820" s="76"/>
      <c r="G820" s="47"/>
      <c r="H820" s="47"/>
      <c r="I820" s="75"/>
      <c r="J820" s="76"/>
      <c r="K820" s="76"/>
      <c r="L820" s="75"/>
      <c r="M820" s="49"/>
      <c r="N820" s="76"/>
      <c r="O820" s="49"/>
      <c r="P820" s="77"/>
      <c r="Q820" s="53"/>
      <c r="R820" s="54"/>
      <c r="S820" s="55"/>
      <c r="T820" s="56"/>
      <c r="U820" s="56"/>
      <c r="V820" s="42"/>
      <c r="W820" s="57"/>
      <c r="X820" s="58"/>
      <c r="Y820" s="75"/>
      <c r="Z820" s="59"/>
      <c r="AA820" s="61"/>
      <c r="AB820" s="61"/>
      <c r="AC820" s="61"/>
      <c r="AD820" s="62"/>
      <c r="AE820" s="62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x14ac:dyDescent="0.3">
      <c r="A821" s="39"/>
      <c r="B821" s="42"/>
      <c r="C821" s="42"/>
      <c r="D821" s="75"/>
      <c r="E821" s="75"/>
      <c r="F821" s="76"/>
      <c r="G821" s="47"/>
      <c r="H821" s="47"/>
      <c r="I821" s="75"/>
      <c r="J821" s="76"/>
      <c r="K821" s="76"/>
      <c r="L821" s="75"/>
      <c r="M821" s="49"/>
      <c r="N821" s="76"/>
      <c r="O821" s="49"/>
      <c r="P821" s="77"/>
      <c r="Q821" s="53"/>
      <c r="R821" s="54"/>
      <c r="S821" s="55"/>
      <c r="T821" s="56"/>
      <c r="U821" s="56"/>
      <c r="V821" s="42"/>
      <c r="W821" s="57"/>
      <c r="X821" s="58"/>
      <c r="Y821" s="75"/>
      <c r="Z821" s="59"/>
      <c r="AA821" s="61"/>
      <c r="AB821" s="61"/>
      <c r="AC821" s="61"/>
      <c r="AD821" s="62"/>
      <c r="AE821" s="62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x14ac:dyDescent="0.3">
      <c r="A822" s="39"/>
      <c r="B822" s="42"/>
      <c r="C822" s="42"/>
      <c r="D822" s="75"/>
      <c r="E822" s="75"/>
      <c r="F822" s="76"/>
      <c r="G822" s="47"/>
      <c r="H822" s="47"/>
      <c r="I822" s="75"/>
      <c r="J822" s="76"/>
      <c r="K822" s="76"/>
      <c r="L822" s="75"/>
      <c r="M822" s="49"/>
      <c r="N822" s="76"/>
      <c r="O822" s="49"/>
      <c r="P822" s="77"/>
      <c r="Q822" s="53"/>
      <c r="R822" s="54"/>
      <c r="S822" s="55"/>
      <c r="T822" s="56"/>
      <c r="U822" s="56"/>
      <c r="V822" s="42"/>
      <c r="W822" s="57"/>
      <c r="X822" s="58"/>
      <c r="Y822" s="75"/>
      <c r="Z822" s="59"/>
      <c r="AA822" s="61"/>
      <c r="AB822" s="61"/>
      <c r="AC822" s="61"/>
      <c r="AD822" s="62"/>
      <c r="AE822" s="62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x14ac:dyDescent="0.3">
      <c r="A823" s="39"/>
      <c r="B823" s="42"/>
      <c r="C823" s="42"/>
      <c r="D823" s="75"/>
      <c r="E823" s="75"/>
      <c r="F823" s="76"/>
      <c r="G823" s="47"/>
      <c r="H823" s="47"/>
      <c r="I823" s="75"/>
      <c r="J823" s="76"/>
      <c r="K823" s="76"/>
      <c r="L823" s="75"/>
      <c r="M823" s="49"/>
      <c r="N823" s="76"/>
      <c r="O823" s="49"/>
      <c r="P823" s="77"/>
      <c r="Q823" s="53"/>
      <c r="R823" s="54"/>
      <c r="S823" s="55"/>
      <c r="T823" s="56"/>
      <c r="U823" s="56"/>
      <c r="V823" s="42"/>
      <c r="W823" s="57"/>
      <c r="X823" s="58"/>
      <c r="Y823" s="75"/>
      <c r="Z823" s="59"/>
      <c r="AA823" s="61"/>
      <c r="AB823" s="61"/>
      <c r="AC823" s="61"/>
      <c r="AD823" s="62"/>
      <c r="AE823" s="62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x14ac:dyDescent="0.3">
      <c r="A824" s="39"/>
      <c r="B824" s="42"/>
      <c r="C824" s="42"/>
      <c r="D824" s="75"/>
      <c r="E824" s="75"/>
      <c r="F824" s="76"/>
      <c r="G824" s="47"/>
      <c r="H824" s="47"/>
      <c r="I824" s="75"/>
      <c r="J824" s="76"/>
      <c r="K824" s="76"/>
      <c r="L824" s="75"/>
      <c r="M824" s="49"/>
      <c r="N824" s="76"/>
      <c r="O824" s="49"/>
      <c r="P824" s="77"/>
      <c r="Q824" s="53"/>
      <c r="R824" s="54"/>
      <c r="S824" s="55"/>
      <c r="T824" s="56"/>
      <c r="U824" s="56"/>
      <c r="V824" s="42"/>
      <c r="W824" s="57"/>
      <c r="X824" s="58"/>
      <c r="Y824" s="75"/>
      <c r="Z824" s="59"/>
      <c r="AA824" s="61"/>
      <c r="AB824" s="61"/>
      <c r="AC824" s="61"/>
      <c r="AD824" s="62"/>
      <c r="AE824" s="62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x14ac:dyDescent="0.3">
      <c r="A825" s="39"/>
      <c r="B825" s="42"/>
      <c r="C825" s="42"/>
      <c r="D825" s="75"/>
      <c r="E825" s="75"/>
      <c r="F825" s="76"/>
      <c r="G825" s="47"/>
      <c r="H825" s="47"/>
      <c r="I825" s="75"/>
      <c r="J825" s="76"/>
      <c r="K825" s="76"/>
      <c r="L825" s="75"/>
      <c r="M825" s="49"/>
      <c r="N825" s="76"/>
      <c r="O825" s="49"/>
      <c r="P825" s="77"/>
      <c r="Q825" s="53"/>
      <c r="R825" s="54"/>
      <c r="S825" s="55"/>
      <c r="T825" s="56"/>
      <c r="U825" s="56"/>
      <c r="V825" s="42"/>
      <c r="W825" s="57"/>
      <c r="X825" s="58"/>
      <c r="Y825" s="75"/>
      <c r="Z825" s="59"/>
      <c r="AA825" s="61"/>
      <c r="AB825" s="61"/>
      <c r="AC825" s="61"/>
      <c r="AD825" s="62"/>
      <c r="AE825" s="62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x14ac:dyDescent="0.3">
      <c r="A826" s="39"/>
      <c r="B826" s="42"/>
      <c r="C826" s="42"/>
      <c r="D826" s="75"/>
      <c r="E826" s="75"/>
      <c r="F826" s="76"/>
      <c r="G826" s="47"/>
      <c r="H826" s="47"/>
      <c r="I826" s="75"/>
      <c r="J826" s="76"/>
      <c r="K826" s="76"/>
      <c r="L826" s="75"/>
      <c r="M826" s="49"/>
      <c r="N826" s="76"/>
      <c r="O826" s="49"/>
      <c r="P826" s="77"/>
      <c r="Q826" s="53"/>
      <c r="R826" s="54"/>
      <c r="S826" s="55"/>
      <c r="T826" s="56"/>
      <c r="U826" s="56"/>
      <c r="V826" s="42"/>
      <c r="W826" s="57"/>
      <c r="X826" s="58"/>
      <c r="Y826" s="75"/>
      <c r="Z826" s="59"/>
      <c r="AA826" s="61"/>
      <c r="AB826" s="61"/>
      <c r="AC826" s="61"/>
      <c r="AD826" s="62"/>
      <c r="AE826" s="62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x14ac:dyDescent="0.3">
      <c r="A827" s="39"/>
      <c r="B827" s="42"/>
      <c r="C827" s="42"/>
      <c r="D827" s="75"/>
      <c r="E827" s="75"/>
      <c r="F827" s="76"/>
      <c r="G827" s="47"/>
      <c r="H827" s="47"/>
      <c r="I827" s="75"/>
      <c r="J827" s="76"/>
      <c r="K827" s="76"/>
      <c r="L827" s="75"/>
      <c r="M827" s="49"/>
      <c r="N827" s="76"/>
      <c r="O827" s="49"/>
      <c r="P827" s="77"/>
      <c r="Q827" s="53"/>
      <c r="R827" s="54"/>
      <c r="S827" s="55"/>
      <c r="T827" s="56"/>
      <c r="U827" s="56"/>
      <c r="V827" s="42"/>
      <c r="W827" s="57"/>
      <c r="X827" s="58"/>
      <c r="Y827" s="75"/>
      <c r="Z827" s="59"/>
      <c r="AA827" s="61"/>
      <c r="AB827" s="61"/>
      <c r="AC827" s="61"/>
      <c r="AD827" s="62"/>
      <c r="AE827" s="62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x14ac:dyDescent="0.3">
      <c r="A828" s="39"/>
      <c r="B828" s="42"/>
      <c r="C828" s="42"/>
      <c r="D828" s="75"/>
      <c r="E828" s="75"/>
      <c r="F828" s="76"/>
      <c r="G828" s="47"/>
      <c r="H828" s="47"/>
      <c r="I828" s="75"/>
      <c r="J828" s="76"/>
      <c r="K828" s="76"/>
      <c r="L828" s="75"/>
      <c r="M828" s="49"/>
      <c r="N828" s="76"/>
      <c r="O828" s="49"/>
      <c r="P828" s="77"/>
      <c r="Q828" s="53"/>
      <c r="R828" s="54"/>
      <c r="S828" s="55"/>
      <c r="T828" s="56"/>
      <c r="U828" s="56"/>
      <c r="V828" s="42"/>
      <c r="W828" s="57"/>
      <c r="X828" s="58"/>
      <c r="Y828" s="75"/>
      <c r="Z828" s="59"/>
      <c r="AA828" s="61"/>
      <c r="AB828" s="61"/>
      <c r="AC828" s="61"/>
      <c r="AD828" s="62"/>
      <c r="AE828" s="62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x14ac:dyDescent="0.3">
      <c r="A829" s="39"/>
      <c r="B829" s="42"/>
      <c r="C829" s="42"/>
      <c r="D829" s="75"/>
      <c r="E829" s="75"/>
      <c r="F829" s="76"/>
      <c r="G829" s="47"/>
      <c r="H829" s="47"/>
      <c r="I829" s="75"/>
      <c r="J829" s="76"/>
      <c r="K829" s="76"/>
      <c r="L829" s="75"/>
      <c r="M829" s="49"/>
      <c r="N829" s="76"/>
      <c r="O829" s="49"/>
      <c r="P829" s="77"/>
      <c r="Q829" s="53"/>
      <c r="R829" s="54"/>
      <c r="S829" s="55"/>
      <c r="T829" s="56"/>
      <c r="U829" s="56"/>
      <c r="V829" s="42"/>
      <c r="W829" s="57"/>
      <c r="X829" s="58"/>
      <c r="Y829" s="75"/>
      <c r="Z829" s="59"/>
      <c r="AA829" s="61"/>
      <c r="AB829" s="61"/>
      <c r="AC829" s="61"/>
      <c r="AD829" s="62"/>
      <c r="AE829" s="62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x14ac:dyDescent="0.3">
      <c r="A830" s="39"/>
      <c r="B830" s="42"/>
      <c r="C830" s="42"/>
      <c r="D830" s="75"/>
      <c r="E830" s="75"/>
      <c r="F830" s="76"/>
      <c r="G830" s="47"/>
      <c r="H830" s="47"/>
      <c r="I830" s="75"/>
      <c r="J830" s="76"/>
      <c r="K830" s="76"/>
      <c r="L830" s="75"/>
      <c r="M830" s="49"/>
      <c r="N830" s="76"/>
      <c r="O830" s="49"/>
      <c r="P830" s="77"/>
      <c r="Q830" s="53"/>
      <c r="R830" s="54"/>
      <c r="S830" s="55"/>
      <c r="T830" s="56"/>
      <c r="U830" s="56"/>
      <c r="V830" s="42"/>
      <c r="W830" s="57"/>
      <c r="X830" s="58"/>
      <c r="Y830" s="75"/>
      <c r="Z830" s="59"/>
      <c r="AA830" s="61"/>
      <c r="AB830" s="61"/>
      <c r="AC830" s="61"/>
      <c r="AD830" s="62"/>
      <c r="AE830" s="62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x14ac:dyDescent="0.3">
      <c r="A831" s="39"/>
      <c r="B831" s="42"/>
      <c r="C831" s="42"/>
      <c r="D831" s="75"/>
      <c r="E831" s="75"/>
      <c r="F831" s="76"/>
      <c r="G831" s="47"/>
      <c r="H831" s="47"/>
      <c r="I831" s="75"/>
      <c r="J831" s="76"/>
      <c r="K831" s="76"/>
      <c r="L831" s="75"/>
      <c r="M831" s="49"/>
      <c r="N831" s="76"/>
      <c r="O831" s="49"/>
      <c r="P831" s="77"/>
      <c r="Q831" s="53"/>
      <c r="R831" s="54"/>
      <c r="S831" s="55"/>
      <c r="T831" s="56"/>
      <c r="U831" s="56"/>
      <c r="V831" s="42"/>
      <c r="W831" s="57"/>
      <c r="X831" s="58"/>
      <c r="Y831" s="75"/>
      <c r="Z831" s="59"/>
      <c r="AA831" s="61"/>
      <c r="AB831" s="61"/>
      <c r="AC831" s="61"/>
      <c r="AD831" s="62"/>
      <c r="AE831" s="62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x14ac:dyDescent="0.3">
      <c r="A832" s="39"/>
      <c r="B832" s="42"/>
      <c r="C832" s="42"/>
      <c r="D832" s="75"/>
      <c r="E832" s="75"/>
      <c r="F832" s="76"/>
      <c r="G832" s="47"/>
      <c r="H832" s="47"/>
      <c r="I832" s="75"/>
      <c r="J832" s="76"/>
      <c r="K832" s="76"/>
      <c r="L832" s="75"/>
      <c r="M832" s="49"/>
      <c r="N832" s="76"/>
      <c r="O832" s="49"/>
      <c r="P832" s="77"/>
      <c r="Q832" s="53"/>
      <c r="R832" s="54"/>
      <c r="S832" s="55"/>
      <c r="T832" s="56"/>
      <c r="U832" s="56"/>
      <c r="V832" s="42"/>
      <c r="W832" s="57"/>
      <c r="X832" s="58"/>
      <c r="Y832" s="75"/>
      <c r="Z832" s="59"/>
      <c r="AA832" s="61"/>
      <c r="AB832" s="61"/>
      <c r="AC832" s="61"/>
      <c r="AD832" s="62"/>
      <c r="AE832" s="62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x14ac:dyDescent="0.3">
      <c r="A833" s="39"/>
      <c r="B833" s="42"/>
      <c r="C833" s="42"/>
      <c r="D833" s="75"/>
      <c r="E833" s="75"/>
      <c r="F833" s="76"/>
      <c r="G833" s="47"/>
      <c r="H833" s="47"/>
      <c r="I833" s="75"/>
      <c r="J833" s="76"/>
      <c r="K833" s="76"/>
      <c r="L833" s="75"/>
      <c r="M833" s="49"/>
      <c r="N833" s="76"/>
      <c r="O833" s="49"/>
      <c r="P833" s="77"/>
      <c r="Q833" s="53"/>
      <c r="R833" s="54"/>
      <c r="S833" s="55"/>
      <c r="T833" s="56"/>
      <c r="U833" s="56"/>
      <c r="V833" s="42"/>
      <c r="W833" s="57"/>
      <c r="X833" s="58"/>
      <c r="Y833" s="75"/>
      <c r="Z833" s="59"/>
      <c r="AA833" s="61"/>
      <c r="AB833" s="61"/>
      <c r="AC833" s="61"/>
      <c r="AD833" s="62"/>
      <c r="AE833" s="62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x14ac:dyDescent="0.3">
      <c r="A834" s="39"/>
      <c r="B834" s="42"/>
      <c r="C834" s="42"/>
      <c r="D834" s="75"/>
      <c r="E834" s="75"/>
      <c r="F834" s="76"/>
      <c r="G834" s="47"/>
      <c r="H834" s="47"/>
      <c r="I834" s="75"/>
      <c r="J834" s="76"/>
      <c r="K834" s="76"/>
      <c r="L834" s="75"/>
      <c r="M834" s="49"/>
      <c r="N834" s="76"/>
      <c r="O834" s="49"/>
      <c r="P834" s="77"/>
      <c r="Q834" s="53"/>
      <c r="R834" s="54"/>
      <c r="S834" s="55"/>
      <c r="T834" s="56"/>
      <c r="U834" s="56"/>
      <c r="V834" s="42"/>
      <c r="W834" s="57"/>
      <c r="X834" s="58"/>
      <c r="Y834" s="75"/>
      <c r="Z834" s="59"/>
      <c r="AA834" s="61"/>
      <c r="AB834" s="61"/>
      <c r="AC834" s="61"/>
      <c r="AD834" s="62"/>
      <c r="AE834" s="62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x14ac:dyDescent="0.3">
      <c r="A835" s="39"/>
      <c r="B835" s="42"/>
      <c r="C835" s="42"/>
      <c r="D835" s="75"/>
      <c r="E835" s="75"/>
      <c r="F835" s="76"/>
      <c r="G835" s="47"/>
      <c r="H835" s="47"/>
      <c r="I835" s="75"/>
      <c r="J835" s="76"/>
      <c r="K835" s="76"/>
      <c r="L835" s="75"/>
      <c r="M835" s="49"/>
      <c r="N835" s="76"/>
      <c r="O835" s="49"/>
      <c r="P835" s="77"/>
      <c r="Q835" s="53"/>
      <c r="R835" s="54"/>
      <c r="S835" s="55"/>
      <c r="T835" s="56"/>
      <c r="U835" s="56"/>
      <c r="V835" s="42"/>
      <c r="W835" s="57"/>
      <c r="X835" s="58"/>
      <c r="Y835" s="75"/>
      <c r="Z835" s="59"/>
      <c r="AA835" s="61"/>
      <c r="AB835" s="61"/>
      <c r="AC835" s="61"/>
      <c r="AD835" s="62"/>
      <c r="AE835" s="62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x14ac:dyDescent="0.3">
      <c r="A836" s="39"/>
      <c r="B836" s="42"/>
      <c r="C836" s="42"/>
      <c r="D836" s="75"/>
      <c r="E836" s="75"/>
      <c r="F836" s="76"/>
      <c r="G836" s="47"/>
      <c r="H836" s="47"/>
      <c r="I836" s="75"/>
      <c r="J836" s="76"/>
      <c r="K836" s="76"/>
      <c r="L836" s="75"/>
      <c r="M836" s="49"/>
      <c r="N836" s="76"/>
      <c r="O836" s="49"/>
      <c r="P836" s="77"/>
      <c r="Q836" s="53"/>
      <c r="R836" s="54"/>
      <c r="S836" s="55"/>
      <c r="T836" s="56"/>
      <c r="U836" s="56"/>
      <c r="V836" s="42"/>
      <c r="W836" s="57"/>
      <c r="X836" s="58"/>
      <c r="Y836" s="75"/>
      <c r="Z836" s="59"/>
      <c r="AA836" s="61"/>
      <c r="AB836" s="61"/>
      <c r="AC836" s="61"/>
      <c r="AD836" s="62"/>
      <c r="AE836" s="62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x14ac:dyDescent="0.3">
      <c r="A837" s="39"/>
      <c r="B837" s="42"/>
      <c r="C837" s="42"/>
      <c r="D837" s="75"/>
      <c r="E837" s="75"/>
      <c r="F837" s="76"/>
      <c r="G837" s="47"/>
      <c r="H837" s="47"/>
      <c r="I837" s="75"/>
      <c r="J837" s="76"/>
      <c r="K837" s="76"/>
      <c r="L837" s="75"/>
      <c r="M837" s="49"/>
      <c r="N837" s="76"/>
      <c r="O837" s="49"/>
      <c r="P837" s="77"/>
      <c r="Q837" s="53"/>
      <c r="R837" s="54"/>
      <c r="S837" s="55"/>
      <c r="T837" s="56"/>
      <c r="U837" s="56"/>
      <c r="V837" s="42"/>
      <c r="W837" s="57"/>
      <c r="X837" s="58"/>
      <c r="Y837" s="75"/>
      <c r="Z837" s="59"/>
      <c r="AA837" s="61"/>
      <c r="AB837" s="61"/>
      <c r="AC837" s="61"/>
      <c r="AD837" s="62"/>
      <c r="AE837" s="62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x14ac:dyDescent="0.3">
      <c r="A838" s="39"/>
      <c r="B838" s="42"/>
      <c r="C838" s="42"/>
      <c r="D838" s="75"/>
      <c r="E838" s="75"/>
      <c r="F838" s="76"/>
      <c r="G838" s="47"/>
      <c r="H838" s="47"/>
      <c r="I838" s="75"/>
      <c r="J838" s="76"/>
      <c r="K838" s="76"/>
      <c r="L838" s="75"/>
      <c r="M838" s="49"/>
      <c r="N838" s="76"/>
      <c r="O838" s="49"/>
      <c r="P838" s="77"/>
      <c r="Q838" s="53"/>
      <c r="R838" s="54"/>
      <c r="S838" s="55"/>
      <c r="T838" s="56"/>
      <c r="U838" s="56"/>
      <c r="V838" s="42"/>
      <c r="W838" s="57"/>
      <c r="X838" s="58"/>
      <c r="Y838" s="75"/>
      <c r="Z838" s="59"/>
      <c r="AA838" s="61"/>
      <c r="AB838" s="61"/>
      <c r="AC838" s="61"/>
      <c r="AD838" s="62"/>
      <c r="AE838" s="62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x14ac:dyDescent="0.3">
      <c r="A839" s="39"/>
      <c r="B839" s="42"/>
      <c r="C839" s="42"/>
      <c r="D839" s="75"/>
      <c r="E839" s="75"/>
      <c r="F839" s="76"/>
      <c r="G839" s="47"/>
      <c r="H839" s="47"/>
      <c r="I839" s="75"/>
      <c r="J839" s="76"/>
      <c r="K839" s="76"/>
      <c r="L839" s="75"/>
      <c r="M839" s="49"/>
      <c r="N839" s="76"/>
      <c r="O839" s="49"/>
      <c r="P839" s="77"/>
      <c r="Q839" s="53"/>
      <c r="R839" s="54"/>
      <c r="S839" s="55"/>
      <c r="T839" s="56"/>
      <c r="U839" s="56"/>
      <c r="V839" s="42"/>
      <c r="W839" s="57"/>
      <c r="X839" s="58"/>
      <c r="Y839" s="75"/>
      <c r="Z839" s="59"/>
      <c r="AA839" s="61"/>
      <c r="AB839" s="61"/>
      <c r="AC839" s="61"/>
      <c r="AD839" s="62"/>
      <c r="AE839" s="62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x14ac:dyDescent="0.3">
      <c r="A840" s="39"/>
      <c r="B840" s="42"/>
      <c r="C840" s="42"/>
      <c r="D840" s="75"/>
      <c r="E840" s="75"/>
      <c r="F840" s="76"/>
      <c r="G840" s="47"/>
      <c r="H840" s="47"/>
      <c r="I840" s="75"/>
      <c r="J840" s="76"/>
      <c r="K840" s="76"/>
      <c r="L840" s="75"/>
      <c r="M840" s="49"/>
      <c r="N840" s="76"/>
      <c r="O840" s="49"/>
      <c r="P840" s="77"/>
      <c r="Q840" s="53"/>
      <c r="R840" s="54"/>
      <c r="S840" s="55"/>
      <c r="T840" s="56"/>
      <c r="U840" s="56"/>
      <c r="V840" s="42"/>
      <c r="W840" s="57"/>
      <c r="X840" s="58"/>
      <c r="Y840" s="75"/>
      <c r="Z840" s="59"/>
      <c r="AA840" s="61"/>
      <c r="AB840" s="61"/>
      <c r="AC840" s="61"/>
      <c r="AD840" s="62"/>
      <c r="AE840" s="62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x14ac:dyDescent="0.3">
      <c r="A841" s="39"/>
      <c r="B841" s="42"/>
      <c r="C841" s="42"/>
      <c r="D841" s="75"/>
      <c r="E841" s="75"/>
      <c r="F841" s="76"/>
      <c r="G841" s="47"/>
      <c r="H841" s="47"/>
      <c r="I841" s="75"/>
      <c r="J841" s="76"/>
      <c r="K841" s="76"/>
      <c r="L841" s="75"/>
      <c r="M841" s="49"/>
      <c r="N841" s="76"/>
      <c r="O841" s="49"/>
      <c r="P841" s="77"/>
      <c r="Q841" s="53"/>
      <c r="R841" s="54"/>
      <c r="S841" s="55"/>
      <c r="T841" s="56"/>
      <c r="U841" s="56"/>
      <c r="V841" s="42"/>
      <c r="W841" s="57"/>
      <c r="X841" s="58"/>
      <c r="Y841" s="75"/>
      <c r="Z841" s="59"/>
      <c r="AA841" s="61"/>
      <c r="AB841" s="61"/>
      <c r="AC841" s="61"/>
      <c r="AD841" s="62"/>
      <c r="AE841" s="62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x14ac:dyDescent="0.3">
      <c r="A842" s="39"/>
      <c r="B842" s="42"/>
      <c r="C842" s="42"/>
      <c r="D842" s="75"/>
      <c r="E842" s="75"/>
      <c r="F842" s="76"/>
      <c r="G842" s="47"/>
      <c r="H842" s="47"/>
      <c r="I842" s="75"/>
      <c r="J842" s="76"/>
      <c r="K842" s="76"/>
      <c r="L842" s="75"/>
      <c r="M842" s="49"/>
      <c r="N842" s="76"/>
      <c r="O842" s="49"/>
      <c r="P842" s="77"/>
      <c r="Q842" s="53"/>
      <c r="R842" s="54"/>
      <c r="S842" s="55"/>
      <c r="T842" s="56"/>
      <c r="U842" s="56"/>
      <c r="V842" s="42"/>
      <c r="W842" s="57"/>
      <c r="X842" s="58"/>
      <c r="Y842" s="75"/>
      <c r="Z842" s="59"/>
      <c r="AA842" s="61"/>
      <c r="AB842" s="61"/>
      <c r="AC842" s="61"/>
      <c r="AD842" s="62"/>
      <c r="AE842" s="62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x14ac:dyDescent="0.3">
      <c r="A843" s="39"/>
      <c r="B843" s="42"/>
      <c r="C843" s="42"/>
      <c r="D843" s="75"/>
      <c r="E843" s="75"/>
      <c r="F843" s="76"/>
      <c r="G843" s="47"/>
      <c r="H843" s="47"/>
      <c r="I843" s="75"/>
      <c r="J843" s="76"/>
      <c r="K843" s="76"/>
      <c r="L843" s="75"/>
      <c r="M843" s="49"/>
      <c r="N843" s="76"/>
      <c r="O843" s="49"/>
      <c r="P843" s="77"/>
      <c r="Q843" s="53"/>
      <c r="R843" s="54"/>
      <c r="S843" s="55"/>
      <c r="T843" s="56"/>
      <c r="U843" s="56"/>
      <c r="V843" s="42"/>
      <c r="W843" s="57"/>
      <c r="X843" s="58"/>
      <c r="Y843" s="75"/>
      <c r="Z843" s="59"/>
      <c r="AA843" s="61"/>
      <c r="AB843" s="61"/>
      <c r="AC843" s="61"/>
      <c r="AD843" s="62"/>
      <c r="AE843" s="62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x14ac:dyDescent="0.3">
      <c r="A844" s="39"/>
      <c r="B844" s="42"/>
      <c r="C844" s="42"/>
      <c r="D844" s="75"/>
      <c r="E844" s="75"/>
      <c r="F844" s="76"/>
      <c r="G844" s="47"/>
      <c r="H844" s="47"/>
      <c r="I844" s="75"/>
      <c r="J844" s="76"/>
      <c r="K844" s="76"/>
      <c r="L844" s="75"/>
      <c r="M844" s="49"/>
      <c r="N844" s="76"/>
      <c r="O844" s="49"/>
      <c r="P844" s="77"/>
      <c r="Q844" s="53"/>
      <c r="R844" s="54"/>
      <c r="S844" s="55"/>
      <c r="T844" s="56"/>
      <c r="U844" s="56"/>
      <c r="V844" s="42"/>
      <c r="W844" s="57"/>
      <c r="X844" s="58"/>
      <c r="Y844" s="75"/>
      <c r="Z844" s="59"/>
      <c r="AA844" s="61"/>
      <c r="AB844" s="61"/>
      <c r="AC844" s="61"/>
      <c r="AD844" s="62"/>
      <c r="AE844" s="62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x14ac:dyDescent="0.3">
      <c r="A845" s="39"/>
      <c r="B845" s="42"/>
      <c r="C845" s="42"/>
      <c r="D845" s="75"/>
      <c r="E845" s="75"/>
      <c r="F845" s="76"/>
      <c r="G845" s="47"/>
      <c r="H845" s="47"/>
      <c r="I845" s="75"/>
      <c r="J845" s="76"/>
      <c r="K845" s="76"/>
      <c r="L845" s="75"/>
      <c r="M845" s="49"/>
      <c r="N845" s="76"/>
      <c r="O845" s="49"/>
      <c r="P845" s="77"/>
      <c r="Q845" s="53"/>
      <c r="R845" s="54"/>
      <c r="S845" s="55"/>
      <c r="T845" s="56"/>
      <c r="U845" s="56"/>
      <c r="V845" s="42"/>
      <c r="W845" s="57"/>
      <c r="X845" s="58"/>
      <c r="Y845" s="75"/>
      <c r="Z845" s="59"/>
      <c r="AA845" s="61"/>
      <c r="AB845" s="61"/>
      <c r="AC845" s="61"/>
      <c r="AD845" s="62"/>
      <c r="AE845" s="62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x14ac:dyDescent="0.3">
      <c r="A846" s="39"/>
      <c r="B846" s="42"/>
      <c r="C846" s="42"/>
      <c r="D846" s="75"/>
      <c r="E846" s="75"/>
      <c r="F846" s="76"/>
      <c r="G846" s="47"/>
      <c r="H846" s="47"/>
      <c r="I846" s="75"/>
      <c r="J846" s="76"/>
      <c r="K846" s="76"/>
      <c r="L846" s="75"/>
      <c r="M846" s="49"/>
      <c r="N846" s="76"/>
      <c r="O846" s="49"/>
      <c r="P846" s="77"/>
      <c r="Q846" s="53"/>
      <c r="R846" s="54"/>
      <c r="S846" s="55"/>
      <c r="T846" s="56"/>
      <c r="U846" s="56"/>
      <c r="V846" s="42"/>
      <c r="W846" s="57"/>
      <c r="X846" s="58"/>
      <c r="Y846" s="75"/>
      <c r="Z846" s="59"/>
      <c r="AA846" s="61"/>
      <c r="AB846" s="61"/>
      <c r="AC846" s="61"/>
      <c r="AD846" s="62"/>
      <c r="AE846" s="62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x14ac:dyDescent="0.3">
      <c r="A847" s="39"/>
      <c r="B847" s="42"/>
      <c r="C847" s="42"/>
      <c r="D847" s="75"/>
      <c r="E847" s="75"/>
      <c r="F847" s="76"/>
      <c r="G847" s="47"/>
      <c r="H847" s="47"/>
      <c r="I847" s="75"/>
      <c r="J847" s="76"/>
      <c r="K847" s="76"/>
      <c r="L847" s="75"/>
      <c r="M847" s="49"/>
      <c r="N847" s="76"/>
      <c r="O847" s="49"/>
      <c r="P847" s="77"/>
      <c r="Q847" s="53"/>
      <c r="R847" s="54"/>
      <c r="S847" s="55"/>
      <c r="T847" s="56"/>
      <c r="U847" s="56"/>
      <c r="V847" s="42"/>
      <c r="W847" s="57"/>
      <c r="X847" s="58"/>
      <c r="Y847" s="75"/>
      <c r="Z847" s="59"/>
      <c r="AA847" s="61"/>
      <c r="AB847" s="61"/>
      <c r="AC847" s="61"/>
      <c r="AD847" s="62"/>
      <c r="AE847" s="62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x14ac:dyDescent="0.3">
      <c r="A848" s="39"/>
      <c r="B848" s="42"/>
      <c r="C848" s="42"/>
      <c r="D848" s="75"/>
      <c r="E848" s="75"/>
      <c r="F848" s="76"/>
      <c r="G848" s="47"/>
      <c r="H848" s="47"/>
      <c r="I848" s="75"/>
      <c r="J848" s="76"/>
      <c r="K848" s="76"/>
      <c r="L848" s="75"/>
      <c r="M848" s="49"/>
      <c r="N848" s="76"/>
      <c r="O848" s="49"/>
      <c r="P848" s="77"/>
      <c r="Q848" s="53"/>
      <c r="R848" s="54"/>
      <c r="S848" s="55"/>
      <c r="T848" s="56"/>
      <c r="U848" s="56"/>
      <c r="V848" s="42"/>
      <c r="W848" s="57"/>
      <c r="X848" s="58"/>
      <c r="Y848" s="75"/>
      <c r="Z848" s="59"/>
      <c r="AA848" s="61"/>
      <c r="AB848" s="61"/>
      <c r="AC848" s="61"/>
      <c r="AD848" s="62"/>
      <c r="AE848" s="62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x14ac:dyDescent="0.3">
      <c r="A849" s="39"/>
      <c r="B849" s="42"/>
      <c r="C849" s="42"/>
      <c r="D849" s="75"/>
      <c r="E849" s="75"/>
      <c r="F849" s="76"/>
      <c r="G849" s="47"/>
      <c r="H849" s="47"/>
      <c r="I849" s="75"/>
      <c r="J849" s="76"/>
      <c r="K849" s="76"/>
      <c r="L849" s="75"/>
      <c r="M849" s="49"/>
      <c r="N849" s="76"/>
      <c r="O849" s="49"/>
      <c r="P849" s="77"/>
      <c r="Q849" s="53"/>
      <c r="R849" s="54"/>
      <c r="S849" s="55"/>
      <c r="T849" s="56"/>
      <c r="U849" s="56"/>
      <c r="V849" s="42"/>
      <c r="W849" s="57"/>
      <c r="X849" s="58"/>
      <c r="Y849" s="75"/>
      <c r="Z849" s="59"/>
      <c r="AA849" s="61"/>
      <c r="AB849" s="61"/>
      <c r="AC849" s="61"/>
      <c r="AD849" s="62"/>
      <c r="AE849" s="62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x14ac:dyDescent="0.3">
      <c r="A850" s="39"/>
      <c r="B850" s="42"/>
      <c r="C850" s="42"/>
      <c r="D850" s="75"/>
      <c r="E850" s="75"/>
      <c r="F850" s="76"/>
      <c r="G850" s="47"/>
      <c r="H850" s="47"/>
      <c r="I850" s="75"/>
      <c r="J850" s="76"/>
      <c r="K850" s="76"/>
      <c r="L850" s="75"/>
      <c r="M850" s="49"/>
      <c r="N850" s="76"/>
      <c r="O850" s="49"/>
      <c r="P850" s="77"/>
      <c r="Q850" s="53"/>
      <c r="R850" s="54"/>
      <c r="S850" s="55"/>
      <c r="T850" s="56"/>
      <c r="U850" s="56"/>
      <c r="V850" s="42"/>
      <c r="W850" s="57"/>
      <c r="X850" s="58"/>
      <c r="Y850" s="75"/>
      <c r="Z850" s="59"/>
      <c r="AA850" s="61"/>
      <c r="AB850" s="61"/>
      <c r="AC850" s="61"/>
      <c r="AD850" s="62"/>
      <c r="AE850" s="62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x14ac:dyDescent="0.3">
      <c r="A851" s="39"/>
      <c r="B851" s="42"/>
      <c r="C851" s="42"/>
      <c r="D851" s="75"/>
      <c r="E851" s="75"/>
      <c r="F851" s="76"/>
      <c r="G851" s="47"/>
      <c r="H851" s="47"/>
      <c r="I851" s="75"/>
      <c r="J851" s="76"/>
      <c r="K851" s="76"/>
      <c r="L851" s="75"/>
      <c r="M851" s="49"/>
      <c r="N851" s="76"/>
      <c r="O851" s="49"/>
      <c r="P851" s="77"/>
      <c r="Q851" s="53"/>
      <c r="R851" s="54"/>
      <c r="S851" s="55"/>
      <c r="T851" s="56"/>
      <c r="U851" s="56"/>
      <c r="V851" s="42"/>
      <c r="W851" s="57"/>
      <c r="X851" s="58"/>
      <c r="Y851" s="75"/>
      <c r="Z851" s="59"/>
      <c r="AA851" s="61"/>
      <c r="AB851" s="61"/>
      <c r="AC851" s="61"/>
      <c r="AD851" s="62"/>
      <c r="AE851" s="62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x14ac:dyDescent="0.3">
      <c r="A852" s="39"/>
      <c r="B852" s="42"/>
      <c r="C852" s="42"/>
      <c r="D852" s="75"/>
      <c r="E852" s="75"/>
      <c r="F852" s="76"/>
      <c r="G852" s="47"/>
      <c r="H852" s="47"/>
      <c r="I852" s="75"/>
      <c r="J852" s="76"/>
      <c r="K852" s="76"/>
      <c r="L852" s="75"/>
      <c r="M852" s="49"/>
      <c r="N852" s="76"/>
      <c r="O852" s="49"/>
      <c r="P852" s="77"/>
      <c r="Q852" s="53"/>
      <c r="R852" s="54"/>
      <c r="S852" s="55"/>
      <c r="T852" s="56"/>
      <c r="U852" s="56"/>
      <c r="V852" s="42"/>
      <c r="W852" s="57"/>
      <c r="X852" s="58"/>
      <c r="Y852" s="75"/>
      <c r="Z852" s="59"/>
      <c r="AA852" s="61"/>
      <c r="AB852" s="61"/>
      <c r="AC852" s="61"/>
      <c r="AD852" s="62"/>
      <c r="AE852" s="62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x14ac:dyDescent="0.3">
      <c r="A853" s="39"/>
      <c r="B853" s="42"/>
      <c r="C853" s="42"/>
      <c r="D853" s="75"/>
      <c r="E853" s="75"/>
      <c r="F853" s="76"/>
      <c r="G853" s="47"/>
      <c r="H853" s="47"/>
      <c r="I853" s="75"/>
      <c r="J853" s="76"/>
      <c r="K853" s="76"/>
      <c r="L853" s="75"/>
      <c r="M853" s="49"/>
      <c r="N853" s="76"/>
      <c r="O853" s="49"/>
      <c r="P853" s="77"/>
      <c r="Q853" s="53"/>
      <c r="R853" s="54"/>
      <c r="S853" s="55"/>
      <c r="T853" s="56"/>
      <c r="U853" s="56"/>
      <c r="V853" s="42"/>
      <c r="W853" s="57"/>
      <c r="X853" s="58"/>
      <c r="Y853" s="75"/>
      <c r="Z853" s="59"/>
      <c r="AA853" s="61"/>
      <c r="AB853" s="61"/>
      <c r="AC853" s="61"/>
      <c r="AD853" s="62"/>
      <c r="AE853" s="62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x14ac:dyDescent="0.3">
      <c r="A854" s="39"/>
      <c r="B854" s="42"/>
      <c r="C854" s="42"/>
      <c r="D854" s="75"/>
      <c r="E854" s="75"/>
      <c r="F854" s="76"/>
      <c r="G854" s="47"/>
      <c r="H854" s="47"/>
      <c r="I854" s="75"/>
      <c r="J854" s="76"/>
      <c r="K854" s="76"/>
      <c r="L854" s="75"/>
      <c r="M854" s="49"/>
      <c r="N854" s="76"/>
      <c r="O854" s="49"/>
      <c r="P854" s="77"/>
      <c r="Q854" s="53"/>
      <c r="R854" s="54"/>
      <c r="S854" s="55"/>
      <c r="T854" s="56"/>
      <c r="U854" s="56"/>
      <c r="V854" s="42"/>
      <c r="W854" s="57"/>
      <c r="X854" s="58"/>
      <c r="Y854" s="75"/>
      <c r="Z854" s="59"/>
      <c r="AA854" s="61"/>
      <c r="AB854" s="61"/>
      <c r="AC854" s="61"/>
      <c r="AD854" s="62"/>
      <c r="AE854" s="62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x14ac:dyDescent="0.3">
      <c r="A855" s="39"/>
      <c r="B855" s="42"/>
      <c r="C855" s="42"/>
      <c r="D855" s="75"/>
      <c r="E855" s="75"/>
      <c r="F855" s="76"/>
      <c r="G855" s="47"/>
      <c r="H855" s="47"/>
      <c r="I855" s="75"/>
      <c r="J855" s="76"/>
      <c r="K855" s="76"/>
      <c r="L855" s="75"/>
      <c r="M855" s="49"/>
      <c r="N855" s="76"/>
      <c r="O855" s="49"/>
      <c r="P855" s="77"/>
      <c r="Q855" s="53"/>
      <c r="R855" s="54"/>
      <c r="S855" s="55"/>
      <c r="T855" s="56"/>
      <c r="U855" s="56"/>
      <c r="V855" s="42"/>
      <c r="W855" s="57"/>
      <c r="X855" s="58"/>
      <c r="Y855" s="75"/>
      <c r="Z855" s="59"/>
      <c r="AA855" s="61"/>
      <c r="AB855" s="61"/>
      <c r="AC855" s="61"/>
      <c r="AD855" s="62"/>
      <c r="AE855" s="62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x14ac:dyDescent="0.3">
      <c r="A856" s="39"/>
      <c r="B856" s="42"/>
      <c r="C856" s="42"/>
      <c r="D856" s="75"/>
      <c r="E856" s="75"/>
      <c r="F856" s="76"/>
      <c r="G856" s="47"/>
      <c r="H856" s="47"/>
      <c r="I856" s="75"/>
      <c r="J856" s="76"/>
      <c r="K856" s="76"/>
      <c r="L856" s="75"/>
      <c r="M856" s="49"/>
      <c r="N856" s="76"/>
      <c r="O856" s="49"/>
      <c r="P856" s="77"/>
      <c r="Q856" s="53"/>
      <c r="R856" s="54"/>
      <c r="S856" s="55"/>
      <c r="T856" s="56"/>
      <c r="U856" s="56"/>
      <c r="V856" s="42"/>
      <c r="W856" s="57"/>
      <c r="X856" s="58"/>
      <c r="Y856" s="75"/>
      <c r="Z856" s="59"/>
      <c r="AA856" s="61"/>
      <c r="AB856" s="61"/>
      <c r="AC856" s="61"/>
      <c r="AD856" s="62"/>
      <c r="AE856" s="62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x14ac:dyDescent="0.3">
      <c r="A857" s="39"/>
      <c r="B857" s="42"/>
      <c r="C857" s="42"/>
      <c r="D857" s="75"/>
      <c r="E857" s="75"/>
      <c r="F857" s="76"/>
      <c r="G857" s="47"/>
      <c r="H857" s="47"/>
      <c r="I857" s="75"/>
      <c r="J857" s="76"/>
      <c r="K857" s="76"/>
      <c r="L857" s="75"/>
      <c r="M857" s="49"/>
      <c r="N857" s="76"/>
      <c r="O857" s="49"/>
      <c r="P857" s="77"/>
      <c r="Q857" s="53"/>
      <c r="R857" s="54"/>
      <c r="S857" s="55"/>
      <c r="T857" s="56"/>
      <c r="U857" s="56"/>
      <c r="V857" s="42"/>
      <c r="W857" s="57"/>
      <c r="X857" s="58"/>
      <c r="Y857" s="75"/>
      <c r="Z857" s="59"/>
      <c r="AA857" s="61"/>
      <c r="AB857" s="61"/>
      <c r="AC857" s="61"/>
      <c r="AD857" s="62"/>
      <c r="AE857" s="62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x14ac:dyDescent="0.3">
      <c r="A858" s="39"/>
      <c r="B858" s="42"/>
      <c r="C858" s="42"/>
      <c r="D858" s="75"/>
      <c r="E858" s="75"/>
      <c r="F858" s="76"/>
      <c r="G858" s="47"/>
      <c r="H858" s="47"/>
      <c r="I858" s="75"/>
      <c r="J858" s="76"/>
      <c r="K858" s="76"/>
      <c r="L858" s="75"/>
      <c r="M858" s="49"/>
      <c r="N858" s="76"/>
      <c r="O858" s="49"/>
      <c r="P858" s="77"/>
      <c r="Q858" s="53"/>
      <c r="R858" s="54"/>
      <c r="S858" s="55"/>
      <c r="T858" s="56"/>
      <c r="U858" s="56"/>
      <c r="V858" s="42"/>
      <c r="W858" s="57"/>
      <c r="X858" s="58"/>
      <c r="Y858" s="75"/>
      <c r="Z858" s="59"/>
      <c r="AA858" s="61"/>
      <c r="AB858" s="61"/>
      <c r="AC858" s="61"/>
      <c r="AD858" s="62"/>
      <c r="AE858" s="62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x14ac:dyDescent="0.3">
      <c r="A859" s="39"/>
      <c r="B859" s="42"/>
      <c r="C859" s="42"/>
      <c r="D859" s="75"/>
      <c r="E859" s="75"/>
      <c r="F859" s="76"/>
      <c r="G859" s="47"/>
      <c r="H859" s="47"/>
      <c r="I859" s="75"/>
      <c r="J859" s="76"/>
      <c r="K859" s="76"/>
      <c r="L859" s="75"/>
      <c r="M859" s="49"/>
      <c r="N859" s="76"/>
      <c r="O859" s="49"/>
      <c r="P859" s="77"/>
      <c r="Q859" s="53"/>
      <c r="R859" s="54"/>
      <c r="S859" s="55"/>
      <c r="T859" s="56"/>
      <c r="U859" s="56"/>
      <c r="V859" s="42"/>
      <c r="W859" s="57"/>
      <c r="X859" s="58"/>
      <c r="Y859" s="75"/>
      <c r="Z859" s="59"/>
      <c r="AA859" s="61"/>
      <c r="AB859" s="61"/>
      <c r="AC859" s="61"/>
      <c r="AD859" s="62"/>
      <c r="AE859" s="62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x14ac:dyDescent="0.3">
      <c r="A860" s="39"/>
      <c r="B860" s="42"/>
      <c r="C860" s="42"/>
      <c r="D860" s="75"/>
      <c r="E860" s="75"/>
      <c r="F860" s="76"/>
      <c r="G860" s="47"/>
      <c r="H860" s="47"/>
      <c r="I860" s="75"/>
      <c r="J860" s="76"/>
      <c r="K860" s="76"/>
      <c r="L860" s="75"/>
      <c r="M860" s="49"/>
      <c r="N860" s="76"/>
      <c r="O860" s="49"/>
      <c r="P860" s="77"/>
      <c r="Q860" s="53"/>
      <c r="R860" s="54"/>
      <c r="S860" s="55"/>
      <c r="T860" s="56"/>
      <c r="U860" s="56"/>
      <c r="V860" s="42"/>
      <c r="W860" s="57"/>
      <c r="X860" s="58"/>
      <c r="Y860" s="75"/>
      <c r="Z860" s="59"/>
      <c r="AA860" s="61"/>
      <c r="AB860" s="61"/>
      <c r="AC860" s="61"/>
      <c r="AD860" s="62"/>
      <c r="AE860" s="62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x14ac:dyDescent="0.3">
      <c r="A861" s="39"/>
      <c r="B861" s="42"/>
      <c r="C861" s="42"/>
      <c r="D861" s="75"/>
      <c r="E861" s="75"/>
      <c r="F861" s="76"/>
      <c r="G861" s="47"/>
      <c r="H861" s="47"/>
      <c r="I861" s="75"/>
      <c r="J861" s="76"/>
      <c r="K861" s="76"/>
      <c r="L861" s="75"/>
      <c r="M861" s="49"/>
      <c r="N861" s="76"/>
      <c r="O861" s="49"/>
      <c r="P861" s="77"/>
      <c r="Q861" s="53"/>
      <c r="R861" s="54"/>
      <c r="S861" s="55"/>
      <c r="T861" s="56"/>
      <c r="U861" s="56"/>
      <c r="V861" s="42"/>
      <c r="W861" s="57"/>
      <c r="X861" s="58"/>
      <c r="Y861" s="75"/>
      <c r="Z861" s="59"/>
      <c r="AA861" s="61"/>
      <c r="AB861" s="61"/>
      <c r="AC861" s="61"/>
      <c r="AD861" s="62"/>
      <c r="AE861" s="62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x14ac:dyDescent="0.3">
      <c r="A862" s="39"/>
      <c r="B862" s="42"/>
      <c r="C862" s="42"/>
      <c r="D862" s="75"/>
      <c r="E862" s="75"/>
      <c r="F862" s="76"/>
      <c r="G862" s="47"/>
      <c r="H862" s="47"/>
      <c r="I862" s="75"/>
      <c r="J862" s="76"/>
      <c r="K862" s="76"/>
      <c r="L862" s="75"/>
      <c r="M862" s="49"/>
      <c r="N862" s="76"/>
      <c r="O862" s="49"/>
      <c r="P862" s="77"/>
      <c r="Q862" s="53"/>
      <c r="R862" s="54"/>
      <c r="S862" s="55"/>
      <c r="T862" s="56"/>
      <c r="U862" s="56"/>
      <c r="V862" s="42"/>
      <c r="W862" s="57"/>
      <c r="X862" s="58"/>
      <c r="Y862" s="75"/>
      <c r="Z862" s="59"/>
      <c r="AA862" s="61"/>
      <c r="AB862" s="61"/>
      <c r="AC862" s="61"/>
      <c r="AD862" s="62"/>
      <c r="AE862" s="62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x14ac:dyDescent="0.3">
      <c r="A863" s="39"/>
      <c r="B863" s="42"/>
      <c r="C863" s="42"/>
      <c r="D863" s="75"/>
      <c r="E863" s="75"/>
      <c r="F863" s="76"/>
      <c r="G863" s="47"/>
      <c r="H863" s="47"/>
      <c r="I863" s="75"/>
      <c r="J863" s="76"/>
      <c r="K863" s="76"/>
      <c r="L863" s="75"/>
      <c r="M863" s="49"/>
      <c r="N863" s="76"/>
      <c r="O863" s="49"/>
      <c r="P863" s="77"/>
      <c r="Q863" s="53"/>
      <c r="R863" s="54"/>
      <c r="S863" s="55"/>
      <c r="T863" s="56"/>
      <c r="U863" s="56"/>
      <c r="V863" s="42"/>
      <c r="W863" s="57"/>
      <c r="X863" s="58"/>
      <c r="Y863" s="75"/>
      <c r="Z863" s="59"/>
      <c r="AA863" s="61"/>
      <c r="AB863" s="61"/>
      <c r="AC863" s="61"/>
      <c r="AD863" s="62"/>
      <c r="AE863" s="62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x14ac:dyDescent="0.3">
      <c r="A864" s="39"/>
      <c r="B864" s="42"/>
      <c r="C864" s="42"/>
      <c r="D864" s="75"/>
      <c r="E864" s="75"/>
      <c r="F864" s="76"/>
      <c r="G864" s="47"/>
      <c r="H864" s="47"/>
      <c r="I864" s="75"/>
      <c r="J864" s="76"/>
      <c r="K864" s="76"/>
      <c r="L864" s="75"/>
      <c r="M864" s="49"/>
      <c r="N864" s="76"/>
      <c r="O864" s="49"/>
      <c r="P864" s="77"/>
      <c r="Q864" s="53"/>
      <c r="R864" s="54"/>
      <c r="S864" s="55"/>
      <c r="T864" s="56"/>
      <c r="U864" s="56"/>
      <c r="V864" s="42"/>
      <c r="W864" s="57"/>
      <c r="X864" s="58"/>
      <c r="Y864" s="75"/>
      <c r="Z864" s="59"/>
      <c r="AA864" s="61"/>
      <c r="AB864" s="61"/>
      <c r="AC864" s="61"/>
      <c r="AD864" s="62"/>
      <c r="AE864" s="62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x14ac:dyDescent="0.3">
      <c r="A865" s="39"/>
      <c r="B865" s="42"/>
      <c r="C865" s="42"/>
      <c r="D865" s="75"/>
      <c r="E865" s="75"/>
      <c r="F865" s="76"/>
      <c r="G865" s="47"/>
      <c r="H865" s="47"/>
      <c r="I865" s="75"/>
      <c r="J865" s="76"/>
      <c r="K865" s="76"/>
      <c r="L865" s="75"/>
      <c r="M865" s="49"/>
      <c r="N865" s="76"/>
      <c r="O865" s="49"/>
      <c r="P865" s="77"/>
      <c r="Q865" s="53"/>
      <c r="R865" s="54"/>
      <c r="S865" s="55"/>
      <c r="T865" s="56"/>
      <c r="U865" s="56"/>
      <c r="V865" s="42"/>
      <c r="W865" s="57"/>
      <c r="X865" s="58"/>
      <c r="Y865" s="75"/>
      <c r="Z865" s="59"/>
      <c r="AA865" s="61"/>
      <c r="AB865" s="61"/>
      <c r="AC865" s="61"/>
      <c r="AD865" s="62"/>
      <c r="AE865" s="62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x14ac:dyDescent="0.3">
      <c r="A866" s="39"/>
      <c r="B866" s="42"/>
      <c r="C866" s="42"/>
      <c r="D866" s="75"/>
      <c r="E866" s="75"/>
      <c r="F866" s="76"/>
      <c r="G866" s="47"/>
      <c r="H866" s="47"/>
      <c r="I866" s="75"/>
      <c r="J866" s="76"/>
      <c r="K866" s="76"/>
      <c r="L866" s="75"/>
      <c r="M866" s="49"/>
      <c r="N866" s="76"/>
      <c r="O866" s="49"/>
      <c r="P866" s="77"/>
      <c r="Q866" s="53"/>
      <c r="R866" s="54"/>
      <c r="S866" s="55"/>
      <c r="T866" s="56"/>
      <c r="U866" s="56"/>
      <c r="V866" s="42"/>
      <c r="W866" s="57"/>
      <c r="X866" s="58"/>
      <c r="Y866" s="75"/>
      <c r="Z866" s="59"/>
      <c r="AA866" s="61"/>
      <c r="AB866" s="61"/>
      <c r="AC866" s="61"/>
      <c r="AD866" s="62"/>
      <c r="AE866" s="62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x14ac:dyDescent="0.3">
      <c r="A867" s="39"/>
      <c r="B867" s="42"/>
      <c r="C867" s="42"/>
      <c r="D867" s="75"/>
      <c r="E867" s="75"/>
      <c r="F867" s="76"/>
      <c r="G867" s="47"/>
      <c r="H867" s="47"/>
      <c r="I867" s="75"/>
      <c r="J867" s="76"/>
      <c r="K867" s="76"/>
      <c r="L867" s="75"/>
      <c r="M867" s="49"/>
      <c r="N867" s="76"/>
      <c r="O867" s="49"/>
      <c r="P867" s="77"/>
      <c r="Q867" s="53"/>
      <c r="R867" s="54"/>
      <c r="S867" s="55"/>
      <c r="T867" s="56"/>
      <c r="U867" s="56"/>
      <c r="V867" s="42"/>
      <c r="W867" s="57"/>
      <c r="X867" s="58"/>
      <c r="Y867" s="75"/>
      <c r="Z867" s="59"/>
      <c r="AA867" s="61"/>
      <c r="AB867" s="61"/>
      <c r="AC867" s="61"/>
      <c r="AD867" s="62"/>
      <c r="AE867" s="62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x14ac:dyDescent="0.3">
      <c r="A868" s="39"/>
      <c r="B868" s="42"/>
      <c r="C868" s="42"/>
      <c r="D868" s="75"/>
      <c r="E868" s="75"/>
      <c r="F868" s="76"/>
      <c r="G868" s="47"/>
      <c r="H868" s="47"/>
      <c r="I868" s="75"/>
      <c r="J868" s="76"/>
      <c r="K868" s="76"/>
      <c r="L868" s="75"/>
      <c r="M868" s="49"/>
      <c r="N868" s="76"/>
      <c r="O868" s="49"/>
      <c r="P868" s="77"/>
      <c r="Q868" s="53"/>
      <c r="R868" s="54"/>
      <c r="S868" s="55"/>
      <c r="T868" s="56"/>
      <c r="U868" s="56"/>
      <c r="V868" s="42"/>
      <c r="W868" s="57"/>
      <c r="X868" s="58"/>
      <c r="Y868" s="75"/>
      <c r="Z868" s="59"/>
      <c r="AA868" s="61"/>
      <c r="AB868" s="61"/>
      <c r="AC868" s="61"/>
      <c r="AD868" s="62"/>
      <c r="AE868" s="62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x14ac:dyDescent="0.3">
      <c r="A869" s="39"/>
      <c r="B869" s="42"/>
      <c r="C869" s="42"/>
      <c r="D869" s="75"/>
      <c r="E869" s="75"/>
      <c r="F869" s="76"/>
      <c r="G869" s="47"/>
      <c r="H869" s="47"/>
      <c r="I869" s="75"/>
      <c r="J869" s="76"/>
      <c r="K869" s="76"/>
      <c r="L869" s="75"/>
      <c r="M869" s="49"/>
      <c r="N869" s="76"/>
      <c r="O869" s="49"/>
      <c r="P869" s="77"/>
      <c r="Q869" s="53"/>
      <c r="R869" s="54"/>
      <c r="S869" s="55"/>
      <c r="T869" s="56"/>
      <c r="U869" s="56"/>
      <c r="V869" s="42"/>
      <c r="W869" s="57"/>
      <c r="X869" s="58"/>
      <c r="Y869" s="75"/>
      <c r="Z869" s="59"/>
      <c r="AA869" s="61"/>
      <c r="AB869" s="61"/>
      <c r="AC869" s="61"/>
      <c r="AD869" s="62"/>
      <c r="AE869" s="62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x14ac:dyDescent="0.3">
      <c r="A870" s="39"/>
      <c r="B870" s="42"/>
      <c r="C870" s="42"/>
      <c r="D870" s="75"/>
      <c r="E870" s="75"/>
      <c r="F870" s="76"/>
      <c r="G870" s="47"/>
      <c r="H870" s="47"/>
      <c r="I870" s="75"/>
      <c r="J870" s="76"/>
      <c r="K870" s="76"/>
      <c r="L870" s="75"/>
      <c r="M870" s="49"/>
      <c r="N870" s="76"/>
      <c r="O870" s="49"/>
      <c r="P870" s="77"/>
      <c r="Q870" s="53"/>
      <c r="R870" s="54"/>
      <c r="S870" s="55"/>
      <c r="T870" s="56"/>
      <c r="U870" s="56"/>
      <c r="V870" s="42"/>
      <c r="W870" s="57"/>
      <c r="X870" s="58"/>
      <c r="Y870" s="75"/>
      <c r="Z870" s="59"/>
      <c r="AA870" s="61"/>
      <c r="AB870" s="61"/>
      <c r="AC870" s="61"/>
      <c r="AD870" s="62"/>
      <c r="AE870" s="62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x14ac:dyDescent="0.3">
      <c r="A871" s="39"/>
      <c r="B871" s="42"/>
      <c r="C871" s="42"/>
      <c r="D871" s="75"/>
      <c r="E871" s="75"/>
      <c r="F871" s="76"/>
      <c r="G871" s="47"/>
      <c r="H871" s="47"/>
      <c r="I871" s="75"/>
      <c r="J871" s="76"/>
      <c r="K871" s="76"/>
      <c r="L871" s="75"/>
      <c r="M871" s="49"/>
      <c r="N871" s="76"/>
      <c r="O871" s="49"/>
      <c r="P871" s="77"/>
      <c r="Q871" s="53"/>
      <c r="R871" s="54"/>
      <c r="S871" s="55"/>
      <c r="T871" s="56"/>
      <c r="U871" s="56"/>
      <c r="V871" s="42"/>
      <c r="W871" s="57"/>
      <c r="X871" s="58"/>
      <c r="Y871" s="75"/>
      <c r="Z871" s="59"/>
      <c r="AA871" s="61"/>
      <c r="AB871" s="61"/>
      <c r="AC871" s="61"/>
      <c r="AD871" s="62"/>
      <c r="AE871" s="62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x14ac:dyDescent="0.3">
      <c r="A872" s="39"/>
      <c r="B872" s="42"/>
      <c r="C872" s="42"/>
      <c r="D872" s="75"/>
      <c r="E872" s="75"/>
      <c r="F872" s="76"/>
      <c r="G872" s="47"/>
      <c r="H872" s="47"/>
      <c r="I872" s="75"/>
      <c r="J872" s="76"/>
      <c r="K872" s="76"/>
      <c r="L872" s="75"/>
      <c r="M872" s="49"/>
      <c r="N872" s="76"/>
      <c r="O872" s="49"/>
      <c r="P872" s="77"/>
      <c r="Q872" s="53"/>
      <c r="R872" s="54"/>
      <c r="S872" s="55"/>
      <c r="T872" s="56"/>
      <c r="U872" s="56"/>
      <c r="V872" s="42"/>
      <c r="W872" s="57"/>
      <c r="X872" s="58"/>
      <c r="Y872" s="75"/>
      <c r="Z872" s="59"/>
      <c r="AA872" s="61"/>
      <c r="AB872" s="61"/>
      <c r="AC872" s="61"/>
      <c r="AD872" s="62"/>
      <c r="AE872" s="62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x14ac:dyDescent="0.3">
      <c r="A873" s="39"/>
      <c r="B873" s="42"/>
      <c r="C873" s="42"/>
      <c r="D873" s="75"/>
      <c r="E873" s="75"/>
      <c r="F873" s="76"/>
      <c r="G873" s="47"/>
      <c r="H873" s="47"/>
      <c r="I873" s="75"/>
      <c r="J873" s="76"/>
      <c r="K873" s="76"/>
      <c r="L873" s="75"/>
      <c r="M873" s="49"/>
      <c r="N873" s="76"/>
      <c r="O873" s="49"/>
      <c r="P873" s="77"/>
      <c r="Q873" s="53"/>
      <c r="R873" s="54"/>
      <c r="S873" s="55"/>
      <c r="T873" s="56"/>
      <c r="U873" s="56"/>
      <c r="V873" s="42"/>
      <c r="W873" s="57"/>
      <c r="X873" s="58"/>
      <c r="Y873" s="75"/>
      <c r="Z873" s="59"/>
      <c r="AA873" s="61"/>
      <c r="AB873" s="61"/>
      <c r="AC873" s="61"/>
      <c r="AD873" s="62"/>
      <c r="AE873" s="62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x14ac:dyDescent="0.3">
      <c r="A874" s="39"/>
      <c r="B874" s="42"/>
      <c r="C874" s="42"/>
      <c r="D874" s="75"/>
      <c r="E874" s="75"/>
      <c r="F874" s="76"/>
      <c r="G874" s="47"/>
      <c r="H874" s="47"/>
      <c r="I874" s="75"/>
      <c r="J874" s="76"/>
      <c r="K874" s="76"/>
      <c r="L874" s="75"/>
      <c r="M874" s="49"/>
      <c r="N874" s="76"/>
      <c r="O874" s="49"/>
      <c r="P874" s="77"/>
      <c r="Q874" s="53"/>
      <c r="R874" s="54"/>
      <c r="S874" s="55"/>
      <c r="T874" s="56"/>
      <c r="U874" s="56"/>
      <c r="V874" s="42"/>
      <c r="W874" s="57"/>
      <c r="X874" s="58"/>
      <c r="Y874" s="75"/>
      <c r="Z874" s="59"/>
      <c r="AA874" s="61"/>
      <c r="AB874" s="61"/>
      <c r="AC874" s="61"/>
      <c r="AD874" s="62"/>
      <c r="AE874" s="62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x14ac:dyDescent="0.3">
      <c r="A875" s="39"/>
      <c r="B875" s="42"/>
      <c r="C875" s="42"/>
      <c r="D875" s="75"/>
      <c r="E875" s="75"/>
      <c r="F875" s="76"/>
      <c r="G875" s="47"/>
      <c r="H875" s="47"/>
      <c r="I875" s="75"/>
      <c r="J875" s="76"/>
      <c r="K875" s="76"/>
      <c r="L875" s="75"/>
      <c r="M875" s="49"/>
      <c r="N875" s="76"/>
      <c r="O875" s="49"/>
      <c r="P875" s="77"/>
      <c r="Q875" s="53"/>
      <c r="R875" s="54"/>
      <c r="S875" s="55"/>
      <c r="T875" s="56"/>
      <c r="U875" s="56"/>
      <c r="V875" s="42"/>
      <c r="W875" s="57"/>
      <c r="X875" s="58"/>
      <c r="Y875" s="75"/>
      <c r="Z875" s="59"/>
      <c r="AA875" s="61"/>
      <c r="AB875" s="61"/>
      <c r="AC875" s="61"/>
      <c r="AD875" s="62"/>
      <c r="AE875" s="62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x14ac:dyDescent="0.3">
      <c r="A876" s="39"/>
      <c r="B876" s="42"/>
      <c r="C876" s="42"/>
      <c r="D876" s="75"/>
      <c r="E876" s="75"/>
      <c r="F876" s="76"/>
      <c r="G876" s="47"/>
      <c r="H876" s="47"/>
      <c r="I876" s="75"/>
      <c r="J876" s="76"/>
      <c r="K876" s="76"/>
      <c r="L876" s="75"/>
      <c r="M876" s="49"/>
      <c r="N876" s="76"/>
      <c r="O876" s="49"/>
      <c r="P876" s="77"/>
      <c r="Q876" s="53"/>
      <c r="R876" s="54"/>
      <c r="S876" s="55"/>
      <c r="T876" s="56"/>
      <c r="U876" s="56"/>
      <c r="V876" s="42"/>
      <c r="W876" s="57"/>
      <c r="X876" s="58"/>
      <c r="Y876" s="75"/>
      <c r="Z876" s="59"/>
      <c r="AA876" s="61"/>
      <c r="AB876" s="61"/>
      <c r="AC876" s="61"/>
      <c r="AD876" s="62"/>
      <c r="AE876" s="62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x14ac:dyDescent="0.3">
      <c r="A877" s="39"/>
      <c r="B877" s="42"/>
      <c r="C877" s="42"/>
      <c r="D877" s="75"/>
      <c r="E877" s="75"/>
      <c r="F877" s="76"/>
      <c r="G877" s="47"/>
      <c r="H877" s="47"/>
      <c r="I877" s="75"/>
      <c r="J877" s="76"/>
      <c r="K877" s="76"/>
      <c r="L877" s="75"/>
      <c r="M877" s="49"/>
      <c r="N877" s="76"/>
      <c r="O877" s="49"/>
      <c r="P877" s="77"/>
      <c r="Q877" s="53"/>
      <c r="R877" s="54"/>
      <c r="S877" s="55"/>
      <c r="T877" s="56"/>
      <c r="U877" s="56"/>
      <c r="V877" s="42"/>
      <c r="W877" s="57"/>
      <c r="X877" s="58"/>
      <c r="Y877" s="75"/>
      <c r="Z877" s="59"/>
      <c r="AA877" s="61"/>
      <c r="AB877" s="61"/>
      <c r="AC877" s="61"/>
      <c r="AD877" s="62"/>
      <c r="AE877" s="62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x14ac:dyDescent="0.3">
      <c r="A878" s="39"/>
      <c r="B878" s="42"/>
      <c r="C878" s="42"/>
      <c r="D878" s="75"/>
      <c r="E878" s="75"/>
      <c r="F878" s="76"/>
      <c r="G878" s="47"/>
      <c r="H878" s="47"/>
      <c r="I878" s="75"/>
      <c r="J878" s="76"/>
      <c r="K878" s="76"/>
      <c r="L878" s="75"/>
      <c r="M878" s="49"/>
      <c r="N878" s="76"/>
      <c r="O878" s="49"/>
      <c r="P878" s="77"/>
      <c r="Q878" s="53"/>
      <c r="R878" s="54"/>
      <c r="S878" s="55"/>
      <c r="T878" s="56"/>
      <c r="U878" s="56"/>
      <c r="V878" s="42"/>
      <c r="W878" s="57"/>
      <c r="X878" s="58"/>
      <c r="Y878" s="75"/>
      <c r="Z878" s="59"/>
      <c r="AA878" s="61"/>
      <c r="AB878" s="61"/>
      <c r="AC878" s="61"/>
      <c r="AD878" s="62"/>
      <c r="AE878" s="62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x14ac:dyDescent="0.3">
      <c r="A879" s="39"/>
      <c r="B879" s="42"/>
      <c r="C879" s="42"/>
      <c r="D879" s="75"/>
      <c r="E879" s="75"/>
      <c r="F879" s="76"/>
      <c r="G879" s="47"/>
      <c r="H879" s="47"/>
      <c r="I879" s="75"/>
      <c r="J879" s="76"/>
      <c r="K879" s="76"/>
      <c r="L879" s="75"/>
      <c r="M879" s="49"/>
      <c r="N879" s="76"/>
      <c r="O879" s="49"/>
      <c r="P879" s="77"/>
      <c r="Q879" s="53"/>
      <c r="R879" s="54"/>
      <c r="S879" s="55"/>
      <c r="T879" s="56"/>
      <c r="U879" s="56"/>
      <c r="V879" s="42"/>
      <c r="W879" s="57"/>
      <c r="X879" s="58"/>
      <c r="Y879" s="75"/>
      <c r="Z879" s="59"/>
      <c r="AA879" s="61"/>
      <c r="AB879" s="61"/>
      <c r="AC879" s="61"/>
      <c r="AD879" s="62"/>
      <c r="AE879" s="62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x14ac:dyDescent="0.3">
      <c r="A880" s="39"/>
      <c r="B880" s="42"/>
      <c r="C880" s="42"/>
      <c r="D880" s="75"/>
      <c r="E880" s="75"/>
      <c r="F880" s="76"/>
      <c r="G880" s="47"/>
      <c r="H880" s="47"/>
      <c r="I880" s="75"/>
      <c r="J880" s="76"/>
      <c r="K880" s="76"/>
      <c r="L880" s="75"/>
      <c r="M880" s="49"/>
      <c r="N880" s="76"/>
      <c r="O880" s="49"/>
      <c r="P880" s="77"/>
      <c r="Q880" s="53"/>
      <c r="R880" s="54"/>
      <c r="S880" s="55"/>
      <c r="T880" s="56"/>
      <c r="U880" s="56"/>
      <c r="V880" s="42"/>
      <c r="W880" s="57"/>
      <c r="X880" s="58"/>
      <c r="Y880" s="75"/>
      <c r="Z880" s="59"/>
      <c r="AA880" s="61"/>
      <c r="AB880" s="61"/>
      <c r="AC880" s="61"/>
      <c r="AD880" s="62"/>
      <c r="AE880" s="62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x14ac:dyDescent="0.3">
      <c r="A881" s="39"/>
      <c r="B881" s="42"/>
      <c r="C881" s="42"/>
      <c r="D881" s="75"/>
      <c r="E881" s="75"/>
      <c r="F881" s="76"/>
      <c r="G881" s="47"/>
      <c r="H881" s="47"/>
      <c r="I881" s="75"/>
      <c r="J881" s="76"/>
      <c r="K881" s="76"/>
      <c r="L881" s="75"/>
      <c r="M881" s="49"/>
      <c r="N881" s="76"/>
      <c r="O881" s="49"/>
      <c r="P881" s="77"/>
      <c r="Q881" s="53"/>
      <c r="R881" s="54"/>
      <c r="S881" s="55"/>
      <c r="T881" s="56"/>
      <c r="U881" s="56"/>
      <c r="V881" s="42"/>
      <c r="W881" s="57"/>
      <c r="X881" s="58"/>
      <c r="Y881" s="75"/>
      <c r="Z881" s="59"/>
      <c r="AA881" s="61"/>
      <c r="AB881" s="61"/>
      <c r="AC881" s="61"/>
      <c r="AD881" s="62"/>
      <c r="AE881" s="62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x14ac:dyDescent="0.3">
      <c r="A882" s="39"/>
      <c r="B882" s="42"/>
      <c r="C882" s="42"/>
      <c r="D882" s="75"/>
      <c r="E882" s="75"/>
      <c r="F882" s="76"/>
      <c r="G882" s="47"/>
      <c r="H882" s="47"/>
      <c r="I882" s="75"/>
      <c r="J882" s="76"/>
      <c r="K882" s="76"/>
      <c r="L882" s="75"/>
      <c r="M882" s="49"/>
      <c r="N882" s="76"/>
      <c r="O882" s="49"/>
      <c r="P882" s="77"/>
      <c r="Q882" s="53"/>
      <c r="R882" s="54"/>
      <c r="S882" s="55"/>
      <c r="T882" s="56"/>
      <c r="U882" s="56"/>
      <c r="V882" s="42"/>
      <c r="W882" s="57"/>
      <c r="X882" s="58"/>
      <c r="Y882" s="75"/>
      <c r="Z882" s="59"/>
      <c r="AA882" s="61"/>
      <c r="AB882" s="61"/>
      <c r="AC882" s="61"/>
      <c r="AD882" s="62"/>
      <c r="AE882" s="62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x14ac:dyDescent="0.3">
      <c r="A883" s="39"/>
      <c r="B883" s="42"/>
      <c r="C883" s="42"/>
      <c r="D883" s="75"/>
      <c r="E883" s="75"/>
      <c r="F883" s="76"/>
      <c r="G883" s="47"/>
      <c r="H883" s="47"/>
      <c r="I883" s="75"/>
      <c r="J883" s="76"/>
      <c r="K883" s="76"/>
      <c r="L883" s="75"/>
      <c r="M883" s="49"/>
      <c r="N883" s="76"/>
      <c r="O883" s="49"/>
      <c r="P883" s="77"/>
      <c r="Q883" s="53"/>
      <c r="R883" s="54"/>
      <c r="S883" s="55"/>
      <c r="T883" s="56"/>
      <c r="U883" s="56"/>
      <c r="V883" s="42"/>
      <c r="W883" s="57"/>
      <c r="X883" s="58"/>
      <c r="Y883" s="75"/>
      <c r="Z883" s="59"/>
      <c r="AA883" s="61"/>
      <c r="AB883" s="61"/>
      <c r="AC883" s="61"/>
      <c r="AD883" s="62"/>
      <c r="AE883" s="62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x14ac:dyDescent="0.3">
      <c r="A884" s="39"/>
      <c r="B884" s="42"/>
      <c r="C884" s="42"/>
      <c r="D884" s="75"/>
      <c r="E884" s="75"/>
      <c r="F884" s="76"/>
      <c r="G884" s="47"/>
      <c r="H884" s="47"/>
      <c r="I884" s="75"/>
      <c r="J884" s="76"/>
      <c r="K884" s="76"/>
      <c r="L884" s="75"/>
      <c r="M884" s="49"/>
      <c r="N884" s="76"/>
      <c r="O884" s="49"/>
      <c r="P884" s="77"/>
      <c r="Q884" s="53"/>
      <c r="R884" s="54"/>
      <c r="S884" s="55"/>
      <c r="T884" s="56"/>
      <c r="U884" s="56"/>
      <c r="V884" s="42"/>
      <c r="W884" s="57"/>
      <c r="X884" s="58"/>
      <c r="Y884" s="75"/>
      <c r="Z884" s="59"/>
      <c r="AA884" s="61"/>
      <c r="AB884" s="61"/>
      <c r="AC884" s="61"/>
      <c r="AD884" s="62"/>
      <c r="AE884" s="62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x14ac:dyDescent="0.3">
      <c r="A885" s="39"/>
      <c r="B885" s="42"/>
      <c r="C885" s="42"/>
      <c r="D885" s="75"/>
      <c r="E885" s="75"/>
      <c r="F885" s="76"/>
      <c r="G885" s="47"/>
      <c r="H885" s="47"/>
      <c r="I885" s="75"/>
      <c r="J885" s="76"/>
      <c r="K885" s="76"/>
      <c r="L885" s="75"/>
      <c r="M885" s="49"/>
      <c r="N885" s="76"/>
      <c r="O885" s="49"/>
      <c r="P885" s="77"/>
      <c r="Q885" s="53"/>
      <c r="R885" s="54"/>
      <c r="S885" s="55"/>
      <c r="T885" s="56"/>
      <c r="U885" s="56"/>
      <c r="V885" s="42"/>
      <c r="W885" s="57"/>
      <c r="X885" s="58"/>
      <c r="Y885" s="75"/>
      <c r="Z885" s="59"/>
      <c r="AA885" s="61"/>
      <c r="AB885" s="61"/>
      <c r="AC885" s="61"/>
      <c r="AD885" s="62"/>
      <c r="AE885" s="62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x14ac:dyDescent="0.3">
      <c r="A886" s="39"/>
      <c r="B886" s="42"/>
      <c r="C886" s="42"/>
      <c r="D886" s="75"/>
      <c r="E886" s="75"/>
      <c r="F886" s="76"/>
      <c r="G886" s="47"/>
      <c r="H886" s="47"/>
      <c r="I886" s="75"/>
      <c r="J886" s="76"/>
      <c r="K886" s="76"/>
      <c r="L886" s="75"/>
      <c r="M886" s="49"/>
      <c r="N886" s="76"/>
      <c r="O886" s="49"/>
      <c r="P886" s="77"/>
      <c r="Q886" s="53"/>
      <c r="R886" s="54"/>
      <c r="S886" s="55"/>
      <c r="T886" s="56"/>
      <c r="U886" s="56"/>
      <c r="V886" s="42"/>
      <c r="W886" s="57"/>
      <c r="X886" s="58"/>
      <c r="Y886" s="75"/>
      <c r="Z886" s="59"/>
      <c r="AA886" s="61"/>
      <c r="AB886" s="61"/>
      <c r="AC886" s="61"/>
      <c r="AD886" s="62"/>
      <c r="AE886" s="62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x14ac:dyDescent="0.3">
      <c r="A887" s="39"/>
      <c r="B887" s="42"/>
      <c r="C887" s="42"/>
      <c r="D887" s="75"/>
      <c r="E887" s="75"/>
      <c r="F887" s="76"/>
      <c r="G887" s="47"/>
      <c r="H887" s="47"/>
      <c r="I887" s="75"/>
      <c r="J887" s="76"/>
      <c r="K887" s="76"/>
      <c r="L887" s="75"/>
      <c r="M887" s="49"/>
      <c r="N887" s="76"/>
      <c r="O887" s="49"/>
      <c r="P887" s="77"/>
      <c r="Q887" s="53"/>
      <c r="R887" s="54"/>
      <c r="S887" s="55"/>
      <c r="T887" s="56"/>
      <c r="U887" s="56"/>
      <c r="V887" s="42"/>
      <c r="W887" s="57"/>
      <c r="X887" s="58"/>
      <c r="Y887" s="75"/>
      <c r="Z887" s="59"/>
      <c r="AA887" s="61"/>
      <c r="AB887" s="61"/>
      <c r="AC887" s="61"/>
      <c r="AD887" s="62"/>
      <c r="AE887" s="62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x14ac:dyDescent="0.3">
      <c r="A888" s="39"/>
      <c r="B888" s="42"/>
      <c r="C888" s="42"/>
      <c r="D888" s="75"/>
      <c r="E888" s="75"/>
      <c r="F888" s="76"/>
      <c r="G888" s="47"/>
      <c r="H888" s="47"/>
      <c r="I888" s="75"/>
      <c r="J888" s="76"/>
      <c r="K888" s="76"/>
      <c r="L888" s="75"/>
      <c r="M888" s="49"/>
      <c r="N888" s="76"/>
      <c r="O888" s="49"/>
      <c r="P888" s="77"/>
      <c r="Q888" s="53"/>
      <c r="R888" s="54"/>
      <c r="S888" s="55"/>
      <c r="T888" s="56"/>
      <c r="U888" s="56"/>
      <c r="V888" s="42"/>
      <c r="W888" s="57"/>
      <c r="X888" s="58"/>
      <c r="Y888" s="75"/>
      <c r="Z888" s="59"/>
      <c r="AA888" s="61"/>
      <c r="AB888" s="61"/>
      <c r="AC888" s="61"/>
      <c r="AD888" s="62"/>
      <c r="AE888" s="62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x14ac:dyDescent="0.3">
      <c r="A889" s="39"/>
      <c r="B889" s="42"/>
      <c r="C889" s="42"/>
      <c r="D889" s="75"/>
      <c r="E889" s="75"/>
      <c r="F889" s="76"/>
      <c r="G889" s="47"/>
      <c r="H889" s="47"/>
      <c r="I889" s="75"/>
      <c r="J889" s="76"/>
      <c r="K889" s="76"/>
      <c r="L889" s="75"/>
      <c r="M889" s="49"/>
      <c r="N889" s="76"/>
      <c r="O889" s="49"/>
      <c r="P889" s="77"/>
      <c r="Q889" s="53"/>
      <c r="R889" s="54"/>
      <c r="S889" s="55"/>
      <c r="T889" s="56"/>
      <c r="U889" s="56"/>
      <c r="V889" s="42"/>
      <c r="W889" s="57"/>
      <c r="X889" s="58"/>
      <c r="Y889" s="75"/>
      <c r="Z889" s="59"/>
      <c r="AA889" s="61"/>
      <c r="AB889" s="61"/>
      <c r="AC889" s="61"/>
      <c r="AD889" s="62"/>
      <c r="AE889" s="62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x14ac:dyDescent="0.3">
      <c r="A890" s="39"/>
      <c r="B890" s="42"/>
      <c r="C890" s="42"/>
      <c r="D890" s="75"/>
      <c r="E890" s="75"/>
      <c r="F890" s="76"/>
      <c r="G890" s="47"/>
      <c r="H890" s="47"/>
      <c r="I890" s="75"/>
      <c r="J890" s="76"/>
      <c r="K890" s="76"/>
      <c r="L890" s="75"/>
      <c r="M890" s="49"/>
      <c r="N890" s="76"/>
      <c r="O890" s="49"/>
      <c r="P890" s="77"/>
      <c r="Q890" s="53"/>
      <c r="R890" s="54"/>
      <c r="S890" s="55"/>
      <c r="T890" s="56"/>
      <c r="U890" s="56"/>
      <c r="V890" s="42"/>
      <c r="W890" s="57"/>
      <c r="X890" s="58"/>
      <c r="Y890" s="75"/>
      <c r="Z890" s="59"/>
      <c r="AA890" s="61"/>
      <c r="AB890" s="61"/>
      <c r="AC890" s="61"/>
      <c r="AD890" s="62"/>
      <c r="AE890" s="62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x14ac:dyDescent="0.3">
      <c r="A891" s="39"/>
      <c r="B891" s="42"/>
      <c r="C891" s="42"/>
      <c r="D891" s="75"/>
      <c r="E891" s="75"/>
      <c r="F891" s="76"/>
      <c r="G891" s="47"/>
      <c r="H891" s="47"/>
      <c r="I891" s="75"/>
      <c r="J891" s="76"/>
      <c r="K891" s="76"/>
      <c r="L891" s="75"/>
      <c r="M891" s="49"/>
      <c r="N891" s="76"/>
      <c r="O891" s="49"/>
      <c r="P891" s="77"/>
      <c r="Q891" s="53"/>
      <c r="R891" s="54"/>
      <c r="S891" s="55"/>
      <c r="T891" s="56"/>
      <c r="U891" s="56"/>
      <c r="V891" s="42"/>
      <c r="W891" s="57"/>
      <c r="X891" s="58"/>
      <c r="Y891" s="75"/>
      <c r="Z891" s="59"/>
      <c r="AA891" s="61"/>
      <c r="AB891" s="61"/>
      <c r="AC891" s="61"/>
      <c r="AD891" s="62"/>
      <c r="AE891" s="62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x14ac:dyDescent="0.3">
      <c r="A892" s="39"/>
      <c r="B892" s="42"/>
      <c r="C892" s="42"/>
      <c r="D892" s="75"/>
      <c r="E892" s="75"/>
      <c r="F892" s="76"/>
      <c r="G892" s="47"/>
      <c r="H892" s="47"/>
      <c r="I892" s="75"/>
      <c r="J892" s="76"/>
      <c r="K892" s="76"/>
      <c r="L892" s="75"/>
      <c r="M892" s="49"/>
      <c r="N892" s="76"/>
      <c r="O892" s="49"/>
      <c r="P892" s="77"/>
      <c r="Q892" s="53"/>
      <c r="R892" s="54"/>
      <c r="S892" s="55"/>
      <c r="T892" s="56"/>
      <c r="U892" s="56"/>
      <c r="V892" s="42"/>
      <c r="W892" s="57"/>
      <c r="X892" s="58"/>
      <c r="Y892" s="75"/>
      <c r="Z892" s="59"/>
      <c r="AA892" s="61"/>
      <c r="AB892" s="61"/>
      <c r="AC892" s="61"/>
      <c r="AD892" s="62"/>
      <c r="AE892" s="62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x14ac:dyDescent="0.3">
      <c r="A893" s="39"/>
      <c r="B893" s="42"/>
      <c r="C893" s="42"/>
      <c r="D893" s="75"/>
      <c r="E893" s="75"/>
      <c r="F893" s="76"/>
      <c r="G893" s="47"/>
      <c r="H893" s="47"/>
      <c r="I893" s="75"/>
      <c r="J893" s="76"/>
      <c r="K893" s="76"/>
      <c r="L893" s="75"/>
      <c r="M893" s="49"/>
      <c r="N893" s="76"/>
      <c r="O893" s="49"/>
      <c r="P893" s="77"/>
      <c r="Q893" s="53"/>
      <c r="R893" s="54"/>
      <c r="S893" s="55"/>
      <c r="T893" s="56"/>
      <c r="U893" s="56"/>
      <c r="V893" s="42"/>
      <c r="W893" s="57"/>
      <c r="X893" s="58"/>
      <c r="Y893" s="75"/>
      <c r="Z893" s="59"/>
      <c r="AA893" s="61"/>
      <c r="AB893" s="61"/>
      <c r="AC893" s="61"/>
      <c r="AD893" s="62"/>
      <c r="AE893" s="62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x14ac:dyDescent="0.3">
      <c r="A894" s="39"/>
      <c r="B894" s="42"/>
      <c r="C894" s="42"/>
      <c r="D894" s="75"/>
      <c r="E894" s="75"/>
      <c r="F894" s="76"/>
      <c r="G894" s="47"/>
      <c r="H894" s="47"/>
      <c r="I894" s="75"/>
      <c r="J894" s="76"/>
      <c r="K894" s="76"/>
      <c r="L894" s="75"/>
      <c r="M894" s="49"/>
      <c r="N894" s="76"/>
      <c r="O894" s="49"/>
      <c r="P894" s="77"/>
      <c r="Q894" s="53"/>
      <c r="R894" s="54"/>
      <c r="S894" s="55"/>
      <c r="T894" s="56"/>
      <c r="U894" s="56"/>
      <c r="V894" s="42"/>
      <c r="W894" s="57"/>
      <c r="X894" s="58"/>
      <c r="Y894" s="75"/>
      <c r="Z894" s="59"/>
      <c r="AA894" s="61"/>
      <c r="AB894" s="61"/>
      <c r="AC894" s="61"/>
      <c r="AD894" s="62"/>
      <c r="AE894" s="62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x14ac:dyDescent="0.3">
      <c r="A895" s="39"/>
      <c r="B895" s="42"/>
      <c r="C895" s="42"/>
      <c r="D895" s="75"/>
      <c r="E895" s="75"/>
      <c r="F895" s="76"/>
      <c r="G895" s="47"/>
      <c r="H895" s="47"/>
      <c r="I895" s="75"/>
      <c r="J895" s="76"/>
      <c r="K895" s="76"/>
      <c r="L895" s="75"/>
      <c r="M895" s="49"/>
      <c r="N895" s="76"/>
      <c r="O895" s="49"/>
      <c r="P895" s="77"/>
      <c r="Q895" s="53"/>
      <c r="R895" s="54"/>
      <c r="S895" s="55"/>
      <c r="T895" s="56"/>
      <c r="U895" s="56"/>
      <c r="V895" s="42"/>
      <c r="W895" s="57"/>
      <c r="X895" s="58"/>
      <c r="Y895" s="75"/>
      <c r="Z895" s="59"/>
      <c r="AA895" s="61"/>
      <c r="AB895" s="61"/>
      <c r="AC895" s="61"/>
      <c r="AD895" s="62"/>
      <c r="AE895" s="62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x14ac:dyDescent="0.3">
      <c r="A896" s="39"/>
      <c r="B896" s="42"/>
      <c r="C896" s="42"/>
      <c r="D896" s="75"/>
      <c r="E896" s="75"/>
      <c r="F896" s="76"/>
      <c r="G896" s="47"/>
      <c r="H896" s="47"/>
      <c r="I896" s="75"/>
      <c r="J896" s="76"/>
      <c r="K896" s="76"/>
      <c r="L896" s="75"/>
      <c r="M896" s="49"/>
      <c r="N896" s="76"/>
      <c r="O896" s="49"/>
      <c r="P896" s="77"/>
      <c r="Q896" s="53"/>
      <c r="R896" s="54"/>
      <c r="S896" s="55"/>
      <c r="T896" s="56"/>
      <c r="U896" s="56"/>
      <c r="V896" s="42"/>
      <c r="W896" s="57"/>
      <c r="X896" s="58"/>
      <c r="Y896" s="75"/>
      <c r="Z896" s="59"/>
      <c r="AA896" s="61"/>
      <c r="AB896" s="61"/>
      <c r="AC896" s="61"/>
      <c r="AD896" s="62"/>
      <c r="AE896" s="62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x14ac:dyDescent="0.3">
      <c r="A897" s="39"/>
      <c r="B897" s="42"/>
      <c r="C897" s="42"/>
      <c r="D897" s="75"/>
      <c r="E897" s="75"/>
      <c r="F897" s="76"/>
      <c r="G897" s="47"/>
      <c r="H897" s="47"/>
      <c r="I897" s="75"/>
      <c r="J897" s="76"/>
      <c r="K897" s="76"/>
      <c r="L897" s="75"/>
      <c r="M897" s="49"/>
      <c r="N897" s="76"/>
      <c r="O897" s="49"/>
      <c r="P897" s="77"/>
      <c r="Q897" s="53"/>
      <c r="R897" s="54"/>
      <c r="S897" s="55"/>
      <c r="T897" s="56"/>
      <c r="U897" s="56"/>
      <c r="V897" s="42"/>
      <c r="W897" s="57"/>
      <c r="X897" s="58"/>
      <c r="Y897" s="75"/>
      <c r="Z897" s="59"/>
      <c r="AA897" s="61"/>
      <c r="AB897" s="61"/>
      <c r="AC897" s="61"/>
      <c r="AD897" s="62"/>
      <c r="AE897" s="62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x14ac:dyDescent="0.3">
      <c r="A898" s="39"/>
      <c r="B898" s="42"/>
      <c r="C898" s="42"/>
      <c r="D898" s="75"/>
      <c r="E898" s="75"/>
      <c r="F898" s="76"/>
      <c r="G898" s="47"/>
      <c r="H898" s="47"/>
      <c r="I898" s="75"/>
      <c r="J898" s="76"/>
      <c r="K898" s="76"/>
      <c r="L898" s="75"/>
      <c r="M898" s="49"/>
      <c r="N898" s="76"/>
      <c r="O898" s="49"/>
      <c r="P898" s="77"/>
      <c r="Q898" s="53"/>
      <c r="R898" s="54"/>
      <c r="S898" s="55"/>
      <c r="T898" s="56"/>
      <c r="U898" s="56"/>
      <c r="V898" s="42"/>
      <c r="W898" s="57"/>
      <c r="X898" s="58"/>
      <c r="Y898" s="75"/>
      <c r="Z898" s="59"/>
      <c r="AA898" s="61"/>
      <c r="AB898" s="61"/>
      <c r="AC898" s="61"/>
      <c r="AD898" s="62"/>
      <c r="AE898" s="62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x14ac:dyDescent="0.3">
      <c r="A899" s="39"/>
      <c r="B899" s="42"/>
      <c r="C899" s="42"/>
      <c r="D899" s="75"/>
      <c r="E899" s="75"/>
      <c r="F899" s="76"/>
      <c r="G899" s="47"/>
      <c r="H899" s="47"/>
      <c r="I899" s="75"/>
      <c r="J899" s="76"/>
      <c r="K899" s="76"/>
      <c r="L899" s="75"/>
      <c r="M899" s="49"/>
      <c r="N899" s="76"/>
      <c r="O899" s="49"/>
      <c r="P899" s="77"/>
      <c r="Q899" s="53"/>
      <c r="R899" s="54"/>
      <c r="S899" s="55"/>
      <c r="T899" s="56"/>
      <c r="U899" s="56"/>
      <c r="V899" s="42"/>
      <c r="W899" s="57"/>
      <c r="X899" s="58"/>
      <c r="Y899" s="75"/>
      <c r="Z899" s="59"/>
      <c r="AA899" s="61"/>
      <c r="AB899" s="61"/>
      <c r="AC899" s="61"/>
      <c r="AD899" s="62"/>
      <c r="AE899" s="62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x14ac:dyDescent="0.3">
      <c r="A900" s="39"/>
      <c r="B900" s="42"/>
      <c r="C900" s="42"/>
      <c r="D900" s="75"/>
      <c r="E900" s="75"/>
      <c r="F900" s="76"/>
      <c r="G900" s="47"/>
      <c r="H900" s="47"/>
      <c r="I900" s="75"/>
      <c r="J900" s="76"/>
      <c r="K900" s="76"/>
      <c r="L900" s="75"/>
      <c r="M900" s="49"/>
      <c r="N900" s="76"/>
      <c r="O900" s="49"/>
      <c r="P900" s="77"/>
      <c r="Q900" s="53"/>
      <c r="R900" s="54"/>
      <c r="S900" s="55"/>
      <c r="T900" s="56"/>
      <c r="U900" s="56"/>
      <c r="V900" s="42"/>
      <c r="W900" s="57"/>
      <c r="X900" s="58"/>
      <c r="Y900" s="75"/>
      <c r="Z900" s="59"/>
      <c r="AA900" s="61"/>
      <c r="AB900" s="61"/>
      <c r="AC900" s="61"/>
      <c r="AD900" s="62"/>
      <c r="AE900" s="62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x14ac:dyDescent="0.3">
      <c r="A901" s="39"/>
      <c r="B901" s="42"/>
      <c r="C901" s="42"/>
      <c r="D901" s="75"/>
      <c r="E901" s="75"/>
      <c r="F901" s="76"/>
      <c r="G901" s="47"/>
      <c r="H901" s="47"/>
      <c r="I901" s="75"/>
      <c r="J901" s="76"/>
      <c r="K901" s="76"/>
      <c r="L901" s="75"/>
      <c r="M901" s="49"/>
      <c r="N901" s="76"/>
      <c r="O901" s="49"/>
      <c r="P901" s="77"/>
      <c r="Q901" s="53"/>
      <c r="R901" s="54"/>
      <c r="S901" s="55"/>
      <c r="T901" s="56"/>
      <c r="U901" s="56"/>
      <c r="V901" s="42"/>
      <c r="W901" s="57"/>
      <c r="X901" s="58"/>
      <c r="Y901" s="75"/>
      <c r="Z901" s="59"/>
      <c r="AA901" s="61"/>
      <c r="AB901" s="61"/>
      <c r="AC901" s="61"/>
      <c r="AD901" s="62"/>
      <c r="AE901" s="62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x14ac:dyDescent="0.3">
      <c r="A902" s="39"/>
      <c r="B902" s="42"/>
      <c r="C902" s="42"/>
      <c r="D902" s="75"/>
      <c r="E902" s="75"/>
      <c r="F902" s="76"/>
      <c r="G902" s="47"/>
      <c r="H902" s="47"/>
      <c r="I902" s="75"/>
      <c r="J902" s="76"/>
      <c r="K902" s="76"/>
      <c r="L902" s="75"/>
      <c r="M902" s="49"/>
      <c r="N902" s="76"/>
      <c r="O902" s="49"/>
      <c r="P902" s="77"/>
      <c r="Q902" s="53"/>
      <c r="R902" s="54"/>
      <c r="S902" s="55"/>
      <c r="T902" s="56"/>
      <c r="U902" s="56"/>
      <c r="V902" s="42"/>
      <c r="W902" s="57"/>
      <c r="X902" s="58"/>
      <c r="Y902" s="75"/>
      <c r="Z902" s="59"/>
      <c r="AA902" s="61"/>
      <c r="AB902" s="61"/>
      <c r="AC902" s="61"/>
      <c r="AD902" s="62"/>
      <c r="AE902" s="62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x14ac:dyDescent="0.3">
      <c r="A903" s="39"/>
      <c r="B903" s="42"/>
      <c r="C903" s="42"/>
      <c r="D903" s="75"/>
      <c r="E903" s="75"/>
      <c r="F903" s="76"/>
      <c r="G903" s="47"/>
      <c r="H903" s="47"/>
      <c r="I903" s="75"/>
      <c r="J903" s="76"/>
      <c r="K903" s="76"/>
      <c r="L903" s="75"/>
      <c r="M903" s="49"/>
      <c r="N903" s="76"/>
      <c r="O903" s="49"/>
      <c r="P903" s="77"/>
      <c r="Q903" s="53"/>
      <c r="R903" s="54"/>
      <c r="S903" s="55"/>
      <c r="T903" s="56"/>
      <c r="U903" s="56"/>
      <c r="V903" s="42"/>
      <c r="W903" s="57"/>
      <c r="X903" s="58"/>
      <c r="Y903" s="75"/>
      <c r="Z903" s="59"/>
      <c r="AA903" s="61"/>
      <c r="AB903" s="61"/>
      <c r="AC903" s="61"/>
      <c r="AD903" s="62"/>
      <c r="AE903" s="62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x14ac:dyDescent="0.3">
      <c r="A904" s="39"/>
      <c r="B904" s="42"/>
      <c r="C904" s="42"/>
      <c r="D904" s="75"/>
      <c r="E904" s="75"/>
      <c r="F904" s="76"/>
      <c r="G904" s="47"/>
      <c r="H904" s="47"/>
      <c r="I904" s="75"/>
      <c r="J904" s="76"/>
      <c r="K904" s="76"/>
      <c r="L904" s="75"/>
      <c r="M904" s="49"/>
      <c r="N904" s="76"/>
      <c r="O904" s="49"/>
      <c r="P904" s="77"/>
      <c r="Q904" s="53"/>
      <c r="R904" s="54"/>
      <c r="S904" s="55"/>
      <c r="T904" s="56"/>
      <c r="U904" s="56"/>
      <c r="V904" s="42"/>
      <c r="W904" s="57"/>
      <c r="X904" s="58"/>
      <c r="Y904" s="75"/>
      <c r="Z904" s="59"/>
      <c r="AA904" s="61"/>
      <c r="AB904" s="61"/>
      <c r="AC904" s="61"/>
      <c r="AD904" s="62"/>
      <c r="AE904" s="62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x14ac:dyDescent="0.3">
      <c r="A905" s="39"/>
      <c r="B905" s="42"/>
      <c r="C905" s="42"/>
      <c r="D905" s="75"/>
      <c r="E905" s="75"/>
      <c r="F905" s="76"/>
      <c r="G905" s="47"/>
      <c r="H905" s="47"/>
      <c r="I905" s="75"/>
      <c r="J905" s="76"/>
      <c r="K905" s="76"/>
      <c r="L905" s="75"/>
      <c r="M905" s="49"/>
      <c r="N905" s="76"/>
      <c r="O905" s="49"/>
      <c r="P905" s="77"/>
      <c r="Q905" s="53"/>
      <c r="R905" s="54"/>
      <c r="S905" s="55"/>
      <c r="T905" s="56"/>
      <c r="U905" s="56"/>
      <c r="V905" s="42"/>
      <c r="W905" s="57"/>
      <c r="X905" s="58"/>
      <c r="Y905" s="75"/>
      <c r="Z905" s="59"/>
      <c r="AA905" s="61"/>
      <c r="AB905" s="61"/>
      <c r="AC905" s="61"/>
      <c r="AD905" s="62"/>
      <c r="AE905" s="62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x14ac:dyDescent="0.3">
      <c r="A906" s="39"/>
      <c r="B906" s="42"/>
      <c r="C906" s="42"/>
      <c r="D906" s="75"/>
      <c r="E906" s="75"/>
      <c r="F906" s="76"/>
      <c r="G906" s="47"/>
      <c r="H906" s="47"/>
      <c r="I906" s="75"/>
      <c r="J906" s="76"/>
      <c r="K906" s="76"/>
      <c r="L906" s="75"/>
      <c r="M906" s="49"/>
      <c r="N906" s="76"/>
      <c r="O906" s="49"/>
      <c r="P906" s="77"/>
      <c r="Q906" s="53"/>
      <c r="R906" s="54"/>
      <c r="S906" s="55"/>
      <c r="T906" s="56"/>
      <c r="U906" s="56"/>
      <c r="V906" s="42"/>
      <c r="W906" s="57"/>
      <c r="X906" s="58"/>
      <c r="Y906" s="75"/>
      <c r="Z906" s="59"/>
      <c r="AA906" s="61"/>
      <c r="AB906" s="61"/>
      <c r="AC906" s="61"/>
      <c r="AD906" s="62"/>
      <c r="AE906" s="62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x14ac:dyDescent="0.3">
      <c r="A907" s="39"/>
      <c r="B907" s="42"/>
      <c r="C907" s="42"/>
      <c r="D907" s="75"/>
      <c r="E907" s="75"/>
      <c r="F907" s="76"/>
      <c r="G907" s="47"/>
      <c r="H907" s="47"/>
      <c r="I907" s="75"/>
      <c r="J907" s="76"/>
      <c r="K907" s="76"/>
      <c r="L907" s="75"/>
      <c r="M907" s="49"/>
      <c r="N907" s="76"/>
      <c r="O907" s="49"/>
      <c r="P907" s="77"/>
      <c r="Q907" s="53"/>
      <c r="R907" s="54"/>
      <c r="S907" s="55"/>
      <c r="T907" s="56"/>
      <c r="U907" s="56"/>
      <c r="V907" s="42"/>
      <c r="W907" s="57"/>
      <c r="X907" s="58"/>
      <c r="Y907" s="75"/>
      <c r="Z907" s="59"/>
      <c r="AA907" s="61"/>
      <c r="AB907" s="61"/>
      <c r="AC907" s="61"/>
      <c r="AD907" s="62"/>
      <c r="AE907" s="62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x14ac:dyDescent="0.3">
      <c r="A908" s="39"/>
      <c r="B908" s="42"/>
      <c r="C908" s="42"/>
      <c r="D908" s="75"/>
      <c r="E908" s="75"/>
      <c r="F908" s="76"/>
      <c r="G908" s="47"/>
      <c r="H908" s="47"/>
      <c r="I908" s="75"/>
      <c r="J908" s="76"/>
      <c r="K908" s="76"/>
      <c r="L908" s="75"/>
      <c r="M908" s="49"/>
      <c r="N908" s="76"/>
      <c r="O908" s="49"/>
      <c r="P908" s="77"/>
      <c r="Q908" s="53"/>
      <c r="R908" s="54"/>
      <c r="S908" s="55"/>
      <c r="T908" s="56"/>
      <c r="U908" s="56"/>
      <c r="V908" s="42"/>
      <c r="W908" s="57"/>
      <c r="X908" s="58"/>
      <c r="Y908" s="75"/>
      <c r="Z908" s="59"/>
      <c r="AA908" s="61"/>
      <c r="AB908" s="61"/>
      <c r="AC908" s="61"/>
      <c r="AD908" s="62"/>
      <c r="AE908" s="62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x14ac:dyDescent="0.3">
      <c r="A909" s="39"/>
      <c r="B909" s="42"/>
      <c r="C909" s="42"/>
      <c r="D909" s="75"/>
      <c r="E909" s="75"/>
      <c r="F909" s="76"/>
      <c r="G909" s="47"/>
      <c r="H909" s="47"/>
      <c r="I909" s="75"/>
      <c r="J909" s="76"/>
      <c r="K909" s="76"/>
      <c r="L909" s="75"/>
      <c r="M909" s="49"/>
      <c r="N909" s="76"/>
      <c r="O909" s="49"/>
      <c r="P909" s="77"/>
      <c r="Q909" s="53"/>
      <c r="R909" s="54"/>
      <c r="S909" s="55"/>
      <c r="T909" s="56"/>
      <c r="U909" s="56"/>
      <c r="V909" s="42"/>
      <c r="W909" s="57"/>
      <c r="X909" s="58"/>
      <c r="Y909" s="75"/>
      <c r="Z909" s="59"/>
      <c r="AA909" s="61"/>
      <c r="AB909" s="61"/>
      <c r="AC909" s="61"/>
      <c r="AD909" s="62"/>
      <c r="AE909" s="62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x14ac:dyDescent="0.3">
      <c r="A910" s="39"/>
      <c r="B910" s="42"/>
      <c r="C910" s="42"/>
      <c r="D910" s="75"/>
      <c r="E910" s="75"/>
      <c r="F910" s="76"/>
      <c r="G910" s="47"/>
      <c r="H910" s="47"/>
      <c r="I910" s="75"/>
      <c r="J910" s="76"/>
      <c r="K910" s="76"/>
      <c r="L910" s="75"/>
      <c r="M910" s="49"/>
      <c r="N910" s="76"/>
      <c r="O910" s="49"/>
      <c r="P910" s="77"/>
      <c r="Q910" s="53"/>
      <c r="R910" s="54"/>
      <c r="S910" s="55"/>
      <c r="T910" s="56"/>
      <c r="U910" s="56"/>
      <c r="V910" s="42"/>
      <c r="W910" s="57"/>
      <c r="X910" s="58"/>
      <c r="Y910" s="75"/>
      <c r="Z910" s="59"/>
      <c r="AA910" s="61"/>
      <c r="AB910" s="61"/>
      <c r="AC910" s="61"/>
      <c r="AD910" s="62"/>
      <c r="AE910" s="62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x14ac:dyDescent="0.3">
      <c r="A911" s="39"/>
      <c r="B911" s="42"/>
      <c r="C911" s="42"/>
      <c r="D911" s="75"/>
      <c r="E911" s="75"/>
      <c r="F911" s="76"/>
      <c r="G911" s="47"/>
      <c r="H911" s="47"/>
      <c r="I911" s="75"/>
      <c r="J911" s="76"/>
      <c r="K911" s="76"/>
      <c r="L911" s="75"/>
      <c r="M911" s="49"/>
      <c r="N911" s="76"/>
      <c r="O911" s="49"/>
      <c r="P911" s="77"/>
      <c r="Q911" s="53"/>
      <c r="R911" s="54"/>
      <c r="S911" s="55"/>
      <c r="T911" s="56"/>
      <c r="U911" s="56"/>
      <c r="V911" s="42"/>
      <c r="W911" s="57"/>
      <c r="X911" s="58"/>
      <c r="Y911" s="75"/>
      <c r="Z911" s="59"/>
      <c r="AA911" s="61"/>
      <c r="AB911" s="61"/>
      <c r="AC911" s="61"/>
      <c r="AD911" s="62"/>
      <c r="AE911" s="62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x14ac:dyDescent="0.3">
      <c r="A912" s="39"/>
      <c r="B912" s="42"/>
      <c r="C912" s="42"/>
      <c r="D912" s="75"/>
      <c r="E912" s="75"/>
      <c r="F912" s="76"/>
      <c r="G912" s="47"/>
      <c r="H912" s="47"/>
      <c r="I912" s="75"/>
      <c r="J912" s="76"/>
      <c r="K912" s="76"/>
      <c r="L912" s="75"/>
      <c r="M912" s="49"/>
      <c r="N912" s="76"/>
      <c r="O912" s="49"/>
      <c r="P912" s="77"/>
      <c r="Q912" s="53"/>
      <c r="R912" s="54"/>
      <c r="S912" s="55"/>
      <c r="T912" s="56"/>
      <c r="U912" s="56"/>
      <c r="V912" s="42"/>
      <c r="W912" s="57"/>
      <c r="X912" s="58"/>
      <c r="Y912" s="75"/>
      <c r="Z912" s="59"/>
      <c r="AA912" s="61"/>
      <c r="AB912" s="61"/>
      <c r="AC912" s="61"/>
      <c r="AD912" s="62"/>
      <c r="AE912" s="62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x14ac:dyDescent="0.3">
      <c r="A913" s="39"/>
      <c r="B913" s="42"/>
      <c r="C913" s="42"/>
      <c r="D913" s="75"/>
      <c r="E913" s="75"/>
      <c r="F913" s="76"/>
      <c r="G913" s="47"/>
      <c r="H913" s="47"/>
      <c r="I913" s="75"/>
      <c r="J913" s="76"/>
      <c r="K913" s="76"/>
      <c r="L913" s="75"/>
      <c r="M913" s="49"/>
      <c r="N913" s="76"/>
      <c r="O913" s="49"/>
      <c r="P913" s="77"/>
      <c r="Q913" s="53"/>
      <c r="R913" s="54"/>
      <c r="S913" s="55"/>
      <c r="T913" s="56"/>
      <c r="U913" s="56"/>
      <c r="V913" s="42"/>
      <c r="W913" s="57"/>
      <c r="X913" s="58"/>
      <c r="Y913" s="75"/>
      <c r="Z913" s="59"/>
      <c r="AA913" s="61"/>
      <c r="AB913" s="61"/>
      <c r="AC913" s="61"/>
      <c r="AD913" s="62"/>
      <c r="AE913" s="62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x14ac:dyDescent="0.3">
      <c r="A914" s="39"/>
      <c r="B914" s="42"/>
      <c r="C914" s="42"/>
      <c r="D914" s="75"/>
      <c r="E914" s="75"/>
      <c r="F914" s="76"/>
      <c r="G914" s="47"/>
      <c r="H914" s="47"/>
      <c r="I914" s="75"/>
      <c r="J914" s="76"/>
      <c r="K914" s="76"/>
      <c r="L914" s="75"/>
      <c r="M914" s="49"/>
      <c r="N914" s="76"/>
      <c r="O914" s="49"/>
      <c r="P914" s="77"/>
      <c r="Q914" s="53"/>
      <c r="R914" s="54"/>
      <c r="S914" s="55"/>
      <c r="T914" s="56"/>
      <c r="U914" s="56"/>
      <c r="V914" s="42"/>
      <c r="W914" s="57"/>
      <c r="X914" s="58"/>
      <c r="Y914" s="75"/>
      <c r="Z914" s="59"/>
      <c r="AA914" s="61"/>
      <c r="AB914" s="61"/>
      <c r="AC914" s="61"/>
      <c r="AD914" s="62"/>
      <c r="AE914" s="62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x14ac:dyDescent="0.3">
      <c r="A915" s="39"/>
      <c r="B915" s="42"/>
      <c r="C915" s="42"/>
      <c r="D915" s="75"/>
      <c r="E915" s="75"/>
      <c r="F915" s="76"/>
      <c r="G915" s="47"/>
      <c r="H915" s="47"/>
      <c r="I915" s="75"/>
      <c r="J915" s="76"/>
      <c r="K915" s="76"/>
      <c r="L915" s="75"/>
      <c r="M915" s="49"/>
      <c r="N915" s="76"/>
      <c r="O915" s="49"/>
      <c r="P915" s="77"/>
      <c r="Q915" s="53"/>
      <c r="R915" s="54"/>
      <c r="S915" s="55"/>
      <c r="T915" s="56"/>
      <c r="U915" s="56"/>
      <c r="V915" s="42"/>
      <c r="W915" s="57"/>
      <c r="X915" s="58"/>
      <c r="Y915" s="75"/>
      <c r="Z915" s="59"/>
      <c r="AA915" s="61"/>
      <c r="AB915" s="61"/>
      <c r="AC915" s="61"/>
      <c r="AD915" s="62"/>
      <c r="AE915" s="62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x14ac:dyDescent="0.3">
      <c r="A916" s="39"/>
      <c r="B916" s="42"/>
      <c r="C916" s="42"/>
      <c r="D916" s="75"/>
      <c r="E916" s="75"/>
      <c r="F916" s="76"/>
      <c r="G916" s="47"/>
      <c r="H916" s="47"/>
      <c r="I916" s="75"/>
      <c r="J916" s="76"/>
      <c r="K916" s="76"/>
      <c r="L916" s="75"/>
      <c r="M916" s="49"/>
      <c r="N916" s="76"/>
      <c r="O916" s="49"/>
      <c r="P916" s="77"/>
      <c r="Q916" s="53"/>
      <c r="R916" s="54"/>
      <c r="S916" s="55"/>
      <c r="T916" s="56"/>
      <c r="U916" s="56"/>
      <c r="V916" s="42"/>
      <c r="W916" s="57"/>
      <c r="X916" s="58"/>
      <c r="Y916" s="75"/>
      <c r="Z916" s="59"/>
      <c r="AA916" s="61"/>
      <c r="AB916" s="61"/>
      <c r="AC916" s="61"/>
      <c r="AD916" s="62"/>
      <c r="AE916" s="62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x14ac:dyDescent="0.3">
      <c r="A917" s="39"/>
      <c r="B917" s="42"/>
      <c r="C917" s="42"/>
      <c r="D917" s="75"/>
      <c r="E917" s="75"/>
      <c r="F917" s="76"/>
      <c r="G917" s="47"/>
      <c r="H917" s="47"/>
      <c r="I917" s="75"/>
      <c r="J917" s="76"/>
      <c r="K917" s="76"/>
      <c r="L917" s="75"/>
      <c r="M917" s="49"/>
      <c r="N917" s="76"/>
      <c r="O917" s="49"/>
      <c r="P917" s="77"/>
      <c r="Q917" s="53"/>
      <c r="R917" s="54"/>
      <c r="S917" s="55"/>
      <c r="T917" s="56"/>
      <c r="U917" s="56"/>
      <c r="V917" s="42"/>
      <c r="W917" s="57"/>
      <c r="X917" s="58"/>
      <c r="Y917" s="75"/>
      <c r="Z917" s="59"/>
      <c r="AA917" s="61"/>
      <c r="AB917" s="61"/>
      <c r="AC917" s="61"/>
      <c r="AD917" s="62"/>
      <c r="AE917" s="62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x14ac:dyDescent="0.3">
      <c r="A918" s="39"/>
      <c r="B918" s="42"/>
      <c r="C918" s="42"/>
      <c r="D918" s="75"/>
      <c r="E918" s="75"/>
      <c r="F918" s="76"/>
      <c r="G918" s="47"/>
      <c r="H918" s="47"/>
      <c r="I918" s="75"/>
      <c r="J918" s="76"/>
      <c r="K918" s="76"/>
      <c r="L918" s="75"/>
      <c r="M918" s="49"/>
      <c r="N918" s="76"/>
      <c r="O918" s="49"/>
      <c r="P918" s="77"/>
      <c r="Q918" s="53"/>
      <c r="R918" s="54"/>
      <c r="S918" s="55"/>
      <c r="T918" s="56"/>
      <c r="U918" s="56"/>
      <c r="V918" s="42"/>
      <c r="W918" s="57"/>
      <c r="X918" s="58"/>
      <c r="Y918" s="75"/>
      <c r="Z918" s="59"/>
      <c r="AA918" s="61"/>
      <c r="AB918" s="61"/>
      <c r="AC918" s="61"/>
      <c r="AD918" s="62"/>
      <c r="AE918" s="62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x14ac:dyDescent="0.3">
      <c r="A919" s="39"/>
      <c r="B919" s="42"/>
      <c r="C919" s="42"/>
      <c r="D919" s="75"/>
      <c r="E919" s="75"/>
      <c r="F919" s="76"/>
      <c r="G919" s="47"/>
      <c r="H919" s="47"/>
      <c r="I919" s="75"/>
      <c r="J919" s="76"/>
      <c r="K919" s="76"/>
      <c r="L919" s="75"/>
      <c r="M919" s="49"/>
      <c r="N919" s="76"/>
      <c r="O919" s="49"/>
      <c r="P919" s="77"/>
      <c r="Q919" s="53"/>
      <c r="R919" s="54"/>
      <c r="S919" s="55"/>
      <c r="T919" s="56"/>
      <c r="U919" s="56"/>
      <c r="V919" s="42"/>
      <c r="W919" s="57"/>
      <c r="X919" s="58"/>
      <c r="Y919" s="75"/>
      <c r="Z919" s="59"/>
      <c r="AA919" s="61"/>
      <c r="AB919" s="61"/>
      <c r="AC919" s="61"/>
      <c r="AD919" s="62"/>
      <c r="AE919" s="62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x14ac:dyDescent="0.3">
      <c r="A920" s="39"/>
      <c r="B920" s="42"/>
      <c r="C920" s="42"/>
      <c r="D920" s="75"/>
      <c r="E920" s="75"/>
      <c r="F920" s="76"/>
      <c r="G920" s="47"/>
      <c r="H920" s="47"/>
      <c r="I920" s="75"/>
      <c r="J920" s="76"/>
      <c r="K920" s="76"/>
      <c r="L920" s="75"/>
      <c r="M920" s="49"/>
      <c r="N920" s="76"/>
      <c r="O920" s="49"/>
      <c r="P920" s="77"/>
      <c r="Q920" s="53"/>
      <c r="R920" s="54"/>
      <c r="S920" s="55"/>
      <c r="T920" s="56"/>
      <c r="U920" s="56"/>
      <c r="V920" s="42"/>
      <c r="W920" s="57"/>
      <c r="X920" s="58"/>
      <c r="Y920" s="75"/>
      <c r="Z920" s="59"/>
      <c r="AA920" s="61"/>
      <c r="AB920" s="61"/>
      <c r="AC920" s="61"/>
      <c r="AD920" s="62"/>
      <c r="AE920" s="62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x14ac:dyDescent="0.3">
      <c r="A921" s="39"/>
      <c r="B921" s="42"/>
      <c r="C921" s="42"/>
      <c r="D921" s="75"/>
      <c r="E921" s="75"/>
      <c r="F921" s="76"/>
      <c r="G921" s="47"/>
      <c r="H921" s="47"/>
      <c r="I921" s="75"/>
      <c r="J921" s="76"/>
      <c r="K921" s="76"/>
      <c r="L921" s="75"/>
      <c r="M921" s="49"/>
      <c r="N921" s="76"/>
      <c r="O921" s="49"/>
      <c r="P921" s="77"/>
      <c r="Q921" s="53"/>
      <c r="R921" s="54"/>
      <c r="S921" s="55"/>
      <c r="T921" s="56"/>
      <c r="U921" s="56"/>
      <c r="V921" s="42"/>
      <c r="W921" s="57"/>
      <c r="X921" s="58"/>
      <c r="Y921" s="75"/>
      <c r="Z921" s="59"/>
      <c r="AA921" s="61"/>
      <c r="AB921" s="61"/>
      <c r="AC921" s="61"/>
      <c r="AD921" s="62"/>
      <c r="AE921" s="62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x14ac:dyDescent="0.3">
      <c r="A922" s="39"/>
      <c r="B922" s="42"/>
      <c r="C922" s="42"/>
      <c r="D922" s="75"/>
      <c r="E922" s="75"/>
      <c r="F922" s="76"/>
      <c r="G922" s="47"/>
      <c r="H922" s="47"/>
      <c r="I922" s="75"/>
      <c r="J922" s="76"/>
      <c r="K922" s="76"/>
      <c r="L922" s="75"/>
      <c r="M922" s="49"/>
      <c r="N922" s="76"/>
      <c r="O922" s="49"/>
      <c r="P922" s="77"/>
      <c r="Q922" s="53"/>
      <c r="R922" s="54"/>
      <c r="S922" s="55"/>
      <c r="T922" s="56"/>
      <c r="U922" s="56"/>
      <c r="V922" s="42"/>
      <c r="W922" s="57"/>
      <c r="X922" s="58"/>
      <c r="Y922" s="75"/>
      <c r="Z922" s="59"/>
      <c r="AA922" s="61"/>
      <c r="AB922" s="61"/>
      <c r="AC922" s="61"/>
      <c r="AD922" s="62"/>
      <c r="AE922" s="62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x14ac:dyDescent="0.3">
      <c r="A923" s="39"/>
      <c r="B923" s="42"/>
      <c r="C923" s="42"/>
      <c r="D923" s="75"/>
      <c r="E923" s="75"/>
      <c r="F923" s="76"/>
      <c r="G923" s="47"/>
      <c r="H923" s="47"/>
      <c r="I923" s="75"/>
      <c r="J923" s="76"/>
      <c r="K923" s="76"/>
      <c r="L923" s="75"/>
      <c r="M923" s="49"/>
      <c r="N923" s="76"/>
      <c r="O923" s="49"/>
      <c r="P923" s="77"/>
      <c r="Q923" s="53"/>
      <c r="R923" s="54"/>
      <c r="S923" s="55"/>
      <c r="T923" s="56"/>
      <c r="U923" s="56"/>
      <c r="V923" s="42"/>
      <c r="W923" s="57"/>
      <c r="X923" s="58"/>
      <c r="Y923" s="75"/>
      <c r="Z923" s="59"/>
      <c r="AA923" s="61"/>
      <c r="AB923" s="61"/>
      <c r="AC923" s="61"/>
      <c r="AD923" s="62"/>
      <c r="AE923" s="62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x14ac:dyDescent="0.3">
      <c r="A924" s="39"/>
      <c r="B924" s="42"/>
      <c r="C924" s="42"/>
      <c r="D924" s="75"/>
      <c r="E924" s="75"/>
      <c r="F924" s="76"/>
      <c r="G924" s="47"/>
      <c r="H924" s="47"/>
      <c r="I924" s="75"/>
      <c r="J924" s="76"/>
      <c r="K924" s="76"/>
      <c r="L924" s="75"/>
      <c r="M924" s="49"/>
      <c r="N924" s="76"/>
      <c r="O924" s="49"/>
      <c r="P924" s="77"/>
      <c r="Q924" s="53"/>
      <c r="R924" s="54"/>
      <c r="S924" s="55"/>
      <c r="T924" s="56"/>
      <c r="U924" s="56"/>
      <c r="V924" s="42"/>
      <c r="W924" s="57"/>
      <c r="X924" s="58"/>
      <c r="Y924" s="75"/>
      <c r="Z924" s="59"/>
      <c r="AA924" s="61"/>
      <c r="AB924" s="61"/>
      <c r="AC924" s="61"/>
      <c r="AD924" s="62"/>
      <c r="AE924" s="62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x14ac:dyDescent="0.3">
      <c r="A925" s="39"/>
      <c r="B925" s="42"/>
      <c r="C925" s="42"/>
      <c r="D925" s="75"/>
      <c r="E925" s="75"/>
      <c r="F925" s="76"/>
      <c r="G925" s="47"/>
      <c r="H925" s="47"/>
      <c r="I925" s="75"/>
      <c r="J925" s="76"/>
      <c r="K925" s="76"/>
      <c r="L925" s="75"/>
      <c r="M925" s="49"/>
      <c r="N925" s="76"/>
      <c r="O925" s="49"/>
      <c r="P925" s="77"/>
      <c r="Q925" s="53"/>
      <c r="R925" s="54"/>
      <c r="S925" s="55"/>
      <c r="T925" s="56"/>
      <c r="U925" s="56"/>
      <c r="V925" s="42"/>
      <c r="W925" s="57"/>
      <c r="X925" s="58"/>
      <c r="Y925" s="75"/>
      <c r="Z925" s="59"/>
      <c r="AA925" s="61"/>
      <c r="AB925" s="61"/>
      <c r="AC925" s="61"/>
      <c r="AD925" s="62"/>
      <c r="AE925" s="62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x14ac:dyDescent="0.3">
      <c r="A926" s="39"/>
      <c r="B926" s="42"/>
      <c r="C926" s="42"/>
      <c r="D926" s="75"/>
      <c r="E926" s="75"/>
      <c r="F926" s="76"/>
      <c r="G926" s="47"/>
      <c r="H926" s="47"/>
      <c r="I926" s="75"/>
      <c r="J926" s="76"/>
      <c r="K926" s="76"/>
      <c r="L926" s="75"/>
      <c r="M926" s="49"/>
      <c r="N926" s="76"/>
      <c r="O926" s="49"/>
      <c r="P926" s="77"/>
      <c r="Q926" s="53"/>
      <c r="R926" s="54"/>
      <c r="S926" s="55"/>
      <c r="T926" s="56"/>
      <c r="U926" s="56"/>
      <c r="V926" s="42"/>
      <c r="W926" s="57"/>
      <c r="X926" s="58"/>
      <c r="Y926" s="75"/>
      <c r="Z926" s="59"/>
      <c r="AA926" s="61"/>
      <c r="AB926" s="61"/>
      <c r="AC926" s="61"/>
      <c r="AD926" s="62"/>
      <c r="AE926" s="62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x14ac:dyDescent="0.3">
      <c r="A927" s="39"/>
      <c r="B927" s="42"/>
      <c r="C927" s="42"/>
      <c r="D927" s="75"/>
      <c r="E927" s="75"/>
      <c r="F927" s="76"/>
      <c r="G927" s="47"/>
      <c r="H927" s="47"/>
      <c r="I927" s="75"/>
      <c r="J927" s="76"/>
      <c r="K927" s="76"/>
      <c r="L927" s="75"/>
      <c r="M927" s="49"/>
      <c r="N927" s="76"/>
      <c r="O927" s="49"/>
      <c r="P927" s="77"/>
      <c r="Q927" s="53"/>
      <c r="R927" s="54"/>
      <c r="S927" s="55"/>
      <c r="T927" s="56"/>
      <c r="U927" s="56"/>
      <c r="V927" s="42"/>
      <c r="W927" s="57"/>
      <c r="X927" s="58"/>
      <c r="Y927" s="75"/>
      <c r="Z927" s="59"/>
      <c r="AA927" s="61"/>
      <c r="AB927" s="61"/>
      <c r="AC927" s="61"/>
      <c r="AD927" s="62"/>
      <c r="AE927" s="62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x14ac:dyDescent="0.3">
      <c r="A928" s="39"/>
      <c r="B928" s="42"/>
      <c r="C928" s="42"/>
      <c r="D928" s="75"/>
      <c r="E928" s="75"/>
      <c r="F928" s="76"/>
      <c r="G928" s="47"/>
      <c r="H928" s="47"/>
      <c r="I928" s="75"/>
      <c r="J928" s="76"/>
      <c r="K928" s="76"/>
      <c r="L928" s="75"/>
      <c r="M928" s="49"/>
      <c r="N928" s="76"/>
      <c r="O928" s="49"/>
      <c r="P928" s="77"/>
      <c r="Q928" s="53"/>
      <c r="R928" s="54"/>
      <c r="S928" s="55"/>
      <c r="T928" s="56"/>
      <c r="U928" s="56"/>
      <c r="V928" s="42"/>
      <c r="W928" s="57"/>
      <c r="X928" s="58"/>
      <c r="Y928" s="75"/>
      <c r="Z928" s="59"/>
      <c r="AA928" s="61"/>
      <c r="AB928" s="61"/>
      <c r="AC928" s="61"/>
      <c r="AD928" s="62"/>
      <c r="AE928" s="62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x14ac:dyDescent="0.3">
      <c r="A929" s="39"/>
      <c r="B929" s="42"/>
      <c r="C929" s="42"/>
      <c r="D929" s="75"/>
      <c r="E929" s="75"/>
      <c r="F929" s="76"/>
      <c r="G929" s="47"/>
      <c r="H929" s="47"/>
      <c r="I929" s="75"/>
      <c r="J929" s="76"/>
      <c r="K929" s="76"/>
      <c r="L929" s="75"/>
      <c r="M929" s="49"/>
      <c r="N929" s="76"/>
      <c r="O929" s="49"/>
      <c r="P929" s="77"/>
      <c r="Q929" s="53"/>
      <c r="R929" s="54"/>
      <c r="S929" s="55"/>
      <c r="T929" s="56"/>
      <c r="U929" s="56"/>
      <c r="V929" s="42"/>
      <c r="W929" s="57"/>
      <c r="X929" s="58"/>
      <c r="Y929" s="75"/>
      <c r="Z929" s="59"/>
      <c r="AA929" s="61"/>
      <c r="AB929" s="61"/>
      <c r="AC929" s="61"/>
      <c r="AD929" s="62"/>
      <c r="AE929" s="62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x14ac:dyDescent="0.3">
      <c r="A930" s="39"/>
      <c r="B930" s="42"/>
      <c r="C930" s="42"/>
      <c r="D930" s="75"/>
      <c r="E930" s="75"/>
      <c r="F930" s="76"/>
      <c r="G930" s="47"/>
      <c r="H930" s="47"/>
      <c r="I930" s="75"/>
      <c r="J930" s="76"/>
      <c r="K930" s="76"/>
      <c r="L930" s="75"/>
      <c r="M930" s="49"/>
      <c r="N930" s="76"/>
      <c r="O930" s="49"/>
      <c r="P930" s="77"/>
      <c r="Q930" s="53"/>
      <c r="R930" s="54"/>
      <c r="S930" s="55"/>
      <c r="T930" s="56"/>
      <c r="U930" s="56"/>
      <c r="V930" s="42"/>
      <c r="W930" s="57"/>
      <c r="X930" s="58"/>
      <c r="Y930" s="75"/>
      <c r="Z930" s="59"/>
      <c r="AA930" s="61"/>
      <c r="AB930" s="61"/>
      <c r="AC930" s="61"/>
      <c r="AD930" s="62"/>
      <c r="AE930" s="62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x14ac:dyDescent="0.3">
      <c r="A931" s="39"/>
      <c r="B931" s="42"/>
      <c r="C931" s="42"/>
      <c r="D931" s="75"/>
      <c r="E931" s="75"/>
      <c r="F931" s="76"/>
      <c r="G931" s="47"/>
      <c r="H931" s="47"/>
      <c r="I931" s="75"/>
      <c r="J931" s="76"/>
      <c r="K931" s="76"/>
      <c r="L931" s="75"/>
      <c r="M931" s="49"/>
      <c r="N931" s="76"/>
      <c r="O931" s="49"/>
      <c r="P931" s="77"/>
      <c r="Q931" s="53"/>
      <c r="R931" s="54"/>
      <c r="S931" s="55"/>
      <c r="T931" s="56"/>
      <c r="U931" s="56"/>
      <c r="V931" s="42"/>
      <c r="W931" s="57"/>
      <c r="X931" s="58"/>
      <c r="Y931" s="75"/>
      <c r="Z931" s="59"/>
      <c r="AA931" s="61"/>
      <c r="AB931" s="61"/>
      <c r="AC931" s="61"/>
      <c r="AD931" s="62"/>
      <c r="AE931" s="62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x14ac:dyDescent="0.3">
      <c r="A932" s="39"/>
      <c r="B932" s="42"/>
      <c r="C932" s="42"/>
      <c r="D932" s="75"/>
      <c r="E932" s="75"/>
      <c r="F932" s="76"/>
      <c r="G932" s="47"/>
      <c r="H932" s="47"/>
      <c r="I932" s="75"/>
      <c r="J932" s="76"/>
      <c r="K932" s="76"/>
      <c r="L932" s="75"/>
      <c r="M932" s="49"/>
      <c r="N932" s="76"/>
      <c r="O932" s="49"/>
      <c r="P932" s="77"/>
      <c r="Q932" s="53"/>
      <c r="R932" s="54"/>
      <c r="S932" s="55"/>
      <c r="T932" s="56"/>
      <c r="U932" s="56"/>
      <c r="V932" s="42"/>
      <c r="W932" s="57"/>
      <c r="X932" s="58"/>
      <c r="Y932" s="75"/>
      <c r="Z932" s="59"/>
      <c r="AA932" s="61"/>
      <c r="AB932" s="61"/>
      <c r="AC932" s="61"/>
      <c r="AD932" s="62"/>
      <c r="AE932" s="62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x14ac:dyDescent="0.3">
      <c r="A933" s="39"/>
      <c r="B933" s="42"/>
      <c r="C933" s="42"/>
      <c r="D933" s="75"/>
      <c r="E933" s="75"/>
      <c r="F933" s="76"/>
      <c r="G933" s="47"/>
      <c r="H933" s="47"/>
      <c r="I933" s="75"/>
      <c r="J933" s="76"/>
      <c r="K933" s="76"/>
      <c r="L933" s="75"/>
      <c r="M933" s="49"/>
      <c r="N933" s="76"/>
      <c r="O933" s="49"/>
      <c r="P933" s="77"/>
      <c r="Q933" s="53"/>
      <c r="R933" s="54"/>
      <c r="S933" s="55"/>
      <c r="T933" s="56"/>
      <c r="U933" s="56"/>
      <c r="V933" s="42"/>
      <c r="W933" s="57"/>
      <c r="X933" s="58"/>
      <c r="Y933" s="75"/>
      <c r="Z933" s="59"/>
      <c r="AA933" s="61"/>
      <c r="AB933" s="61"/>
      <c r="AC933" s="61"/>
      <c r="AD933" s="62"/>
      <c r="AE933" s="62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x14ac:dyDescent="0.3">
      <c r="A934" s="39"/>
      <c r="B934" s="42"/>
      <c r="C934" s="42"/>
      <c r="D934" s="75"/>
      <c r="E934" s="75"/>
      <c r="F934" s="76"/>
      <c r="G934" s="47"/>
      <c r="H934" s="47"/>
      <c r="I934" s="75"/>
      <c r="J934" s="76"/>
      <c r="K934" s="76"/>
      <c r="L934" s="75"/>
      <c r="M934" s="49"/>
      <c r="N934" s="76"/>
      <c r="O934" s="49"/>
      <c r="P934" s="77"/>
      <c r="Q934" s="53"/>
      <c r="R934" s="54"/>
      <c r="S934" s="55"/>
      <c r="T934" s="56"/>
      <c r="U934" s="56"/>
      <c r="V934" s="42"/>
      <c r="W934" s="57"/>
      <c r="X934" s="58"/>
      <c r="Y934" s="75"/>
      <c r="Z934" s="59"/>
      <c r="AA934" s="61"/>
      <c r="AB934" s="61"/>
      <c r="AC934" s="61"/>
      <c r="AD934" s="62"/>
      <c r="AE934" s="62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x14ac:dyDescent="0.3">
      <c r="A935" s="39"/>
      <c r="B935" s="42"/>
      <c r="C935" s="42"/>
      <c r="D935" s="75"/>
      <c r="E935" s="75"/>
      <c r="F935" s="76"/>
      <c r="G935" s="47"/>
      <c r="H935" s="47"/>
      <c r="I935" s="75"/>
      <c r="J935" s="76"/>
      <c r="K935" s="76"/>
      <c r="L935" s="75"/>
      <c r="M935" s="49"/>
      <c r="N935" s="76"/>
      <c r="O935" s="49"/>
      <c r="P935" s="77"/>
      <c r="Q935" s="53"/>
      <c r="R935" s="54"/>
      <c r="S935" s="55"/>
      <c r="T935" s="56"/>
      <c r="U935" s="56"/>
      <c r="V935" s="42"/>
      <c r="W935" s="57"/>
      <c r="X935" s="58"/>
      <c r="Y935" s="75"/>
      <c r="Z935" s="59"/>
      <c r="AA935" s="61"/>
      <c r="AB935" s="61"/>
      <c r="AC935" s="61"/>
      <c r="AD935" s="62"/>
      <c r="AE935" s="62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x14ac:dyDescent="0.3">
      <c r="A936" s="39"/>
      <c r="B936" s="42"/>
      <c r="C936" s="42"/>
      <c r="D936" s="75"/>
      <c r="E936" s="75"/>
      <c r="F936" s="76"/>
      <c r="G936" s="47"/>
      <c r="H936" s="47"/>
      <c r="I936" s="75"/>
      <c r="J936" s="76"/>
      <c r="K936" s="76"/>
      <c r="L936" s="75"/>
      <c r="M936" s="49"/>
      <c r="N936" s="76"/>
      <c r="O936" s="49"/>
      <c r="P936" s="77"/>
      <c r="Q936" s="53"/>
      <c r="R936" s="54"/>
      <c r="S936" s="55"/>
      <c r="T936" s="56"/>
      <c r="U936" s="56"/>
      <c r="V936" s="42"/>
      <c r="W936" s="57"/>
      <c r="X936" s="58"/>
      <c r="Y936" s="75"/>
      <c r="Z936" s="59"/>
      <c r="AA936" s="61"/>
      <c r="AB936" s="61"/>
      <c r="AC936" s="61"/>
      <c r="AD936" s="62"/>
      <c r="AE936" s="62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x14ac:dyDescent="0.3">
      <c r="A937" s="39"/>
      <c r="B937" s="42"/>
      <c r="C937" s="42"/>
      <c r="D937" s="75"/>
      <c r="E937" s="75"/>
      <c r="F937" s="76"/>
      <c r="G937" s="47"/>
      <c r="H937" s="47"/>
      <c r="I937" s="75"/>
      <c r="J937" s="76"/>
      <c r="K937" s="76"/>
      <c r="L937" s="75"/>
      <c r="M937" s="49"/>
      <c r="N937" s="76"/>
      <c r="O937" s="49"/>
      <c r="P937" s="77"/>
      <c r="Q937" s="53"/>
      <c r="R937" s="54"/>
      <c r="S937" s="55"/>
      <c r="T937" s="56"/>
      <c r="U937" s="56"/>
      <c r="V937" s="42"/>
      <c r="W937" s="57"/>
      <c r="X937" s="58"/>
      <c r="Y937" s="75"/>
      <c r="Z937" s="59"/>
      <c r="AA937" s="61"/>
      <c r="AB937" s="61"/>
      <c r="AC937" s="61"/>
      <c r="AD937" s="62"/>
      <c r="AE937" s="62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x14ac:dyDescent="0.3">
      <c r="A938" s="39"/>
      <c r="B938" s="42"/>
      <c r="C938" s="42"/>
      <c r="D938" s="75"/>
      <c r="E938" s="75"/>
      <c r="F938" s="76"/>
      <c r="G938" s="47"/>
      <c r="H938" s="47"/>
      <c r="I938" s="75"/>
      <c r="J938" s="76"/>
      <c r="K938" s="76"/>
      <c r="L938" s="75"/>
      <c r="M938" s="49"/>
      <c r="N938" s="76"/>
      <c r="O938" s="49"/>
      <c r="P938" s="77"/>
      <c r="Q938" s="53"/>
      <c r="R938" s="54"/>
      <c r="S938" s="55"/>
      <c r="T938" s="56"/>
      <c r="U938" s="56"/>
      <c r="V938" s="42"/>
      <c r="W938" s="57"/>
      <c r="X938" s="58"/>
      <c r="Y938" s="75"/>
      <c r="Z938" s="59"/>
      <c r="AA938" s="61"/>
      <c r="AB938" s="61"/>
      <c r="AC938" s="61"/>
      <c r="AD938" s="62"/>
      <c r="AE938" s="62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x14ac:dyDescent="0.3">
      <c r="A939" s="39"/>
      <c r="B939" s="42"/>
      <c r="C939" s="42"/>
      <c r="D939" s="75"/>
      <c r="E939" s="75"/>
      <c r="F939" s="76"/>
      <c r="G939" s="47"/>
      <c r="H939" s="47"/>
      <c r="I939" s="75"/>
      <c r="J939" s="76"/>
      <c r="K939" s="76"/>
      <c r="L939" s="75"/>
      <c r="M939" s="49"/>
      <c r="N939" s="76"/>
      <c r="O939" s="49"/>
      <c r="P939" s="77"/>
      <c r="Q939" s="53"/>
      <c r="R939" s="54"/>
      <c r="S939" s="55"/>
      <c r="T939" s="56"/>
      <c r="U939" s="56"/>
      <c r="V939" s="42"/>
      <c r="W939" s="57"/>
      <c r="X939" s="58"/>
      <c r="Y939" s="75"/>
      <c r="Z939" s="59"/>
      <c r="AA939" s="61"/>
      <c r="AB939" s="61"/>
      <c r="AC939" s="61"/>
      <c r="AD939" s="62"/>
      <c r="AE939" s="62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x14ac:dyDescent="0.3">
      <c r="A940" s="39"/>
      <c r="B940" s="42"/>
      <c r="C940" s="42"/>
      <c r="D940" s="75"/>
      <c r="E940" s="75"/>
      <c r="F940" s="76"/>
      <c r="G940" s="47"/>
      <c r="H940" s="47"/>
      <c r="I940" s="75"/>
      <c r="J940" s="76"/>
      <c r="K940" s="76"/>
      <c r="L940" s="75"/>
      <c r="M940" s="49"/>
      <c r="N940" s="76"/>
      <c r="O940" s="49"/>
      <c r="P940" s="77"/>
      <c r="Q940" s="53"/>
      <c r="R940" s="54"/>
      <c r="S940" s="55"/>
      <c r="T940" s="56"/>
      <c r="U940" s="56"/>
      <c r="V940" s="42"/>
      <c r="W940" s="57"/>
      <c r="X940" s="58"/>
      <c r="Y940" s="75"/>
      <c r="Z940" s="59"/>
      <c r="AA940" s="61"/>
      <c r="AB940" s="61"/>
      <c r="AC940" s="61"/>
      <c r="AD940" s="62"/>
      <c r="AE940" s="62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x14ac:dyDescent="0.3">
      <c r="A941" s="39"/>
      <c r="B941" s="42"/>
      <c r="C941" s="42"/>
      <c r="D941" s="75"/>
      <c r="E941" s="75"/>
      <c r="F941" s="76"/>
      <c r="G941" s="47"/>
      <c r="H941" s="47"/>
      <c r="I941" s="75"/>
      <c r="J941" s="76"/>
      <c r="K941" s="76"/>
      <c r="L941" s="75"/>
      <c r="M941" s="49"/>
      <c r="N941" s="76"/>
      <c r="O941" s="49"/>
      <c r="P941" s="77"/>
      <c r="Q941" s="53"/>
      <c r="R941" s="54"/>
      <c r="S941" s="55"/>
      <c r="T941" s="56"/>
      <c r="U941" s="56"/>
      <c r="V941" s="42"/>
      <c r="W941" s="57"/>
      <c r="X941" s="58"/>
      <c r="Y941" s="75"/>
      <c r="Z941" s="59"/>
      <c r="AA941" s="61"/>
      <c r="AB941" s="61"/>
      <c r="AC941" s="61"/>
      <c r="AD941" s="62"/>
      <c r="AE941" s="62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x14ac:dyDescent="0.3">
      <c r="A942" s="39"/>
      <c r="B942" s="42"/>
      <c r="C942" s="42"/>
      <c r="D942" s="75"/>
      <c r="E942" s="75"/>
      <c r="F942" s="76"/>
      <c r="G942" s="47"/>
      <c r="H942" s="47"/>
      <c r="I942" s="75"/>
      <c r="J942" s="76"/>
      <c r="K942" s="76"/>
      <c r="L942" s="75"/>
      <c r="M942" s="49"/>
      <c r="N942" s="76"/>
      <c r="O942" s="49"/>
      <c r="P942" s="77"/>
      <c r="Q942" s="53"/>
      <c r="R942" s="54"/>
      <c r="S942" s="55"/>
      <c r="T942" s="56"/>
      <c r="U942" s="56"/>
      <c r="V942" s="42"/>
      <c r="W942" s="57"/>
      <c r="X942" s="58"/>
      <c r="Y942" s="75"/>
      <c r="Z942" s="59"/>
      <c r="AA942" s="61"/>
      <c r="AB942" s="61"/>
      <c r="AC942" s="61"/>
      <c r="AD942" s="62"/>
      <c r="AE942" s="62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x14ac:dyDescent="0.3">
      <c r="A943" s="39"/>
      <c r="B943" s="42"/>
      <c r="C943" s="42"/>
      <c r="D943" s="75"/>
      <c r="E943" s="75"/>
      <c r="F943" s="76"/>
      <c r="G943" s="47"/>
      <c r="H943" s="47"/>
      <c r="I943" s="75"/>
      <c r="J943" s="76"/>
      <c r="K943" s="76"/>
      <c r="L943" s="75"/>
      <c r="M943" s="49"/>
      <c r="N943" s="76"/>
      <c r="O943" s="49"/>
      <c r="P943" s="77"/>
      <c r="Q943" s="53"/>
      <c r="R943" s="54"/>
      <c r="S943" s="55"/>
      <c r="T943" s="56"/>
      <c r="U943" s="56"/>
      <c r="V943" s="42"/>
      <c r="W943" s="57"/>
      <c r="X943" s="58"/>
      <c r="Y943" s="75"/>
      <c r="Z943" s="59"/>
      <c r="AA943" s="61"/>
      <c r="AB943" s="61"/>
      <c r="AC943" s="61"/>
      <c r="AD943" s="62"/>
      <c r="AE943" s="62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x14ac:dyDescent="0.3">
      <c r="A944" s="39"/>
      <c r="B944" s="42"/>
      <c r="C944" s="42"/>
      <c r="D944" s="75"/>
      <c r="E944" s="75"/>
      <c r="F944" s="76"/>
      <c r="G944" s="47"/>
      <c r="H944" s="47"/>
      <c r="I944" s="75"/>
      <c r="J944" s="76"/>
      <c r="K944" s="76"/>
      <c r="L944" s="75"/>
      <c r="M944" s="49"/>
      <c r="N944" s="76"/>
      <c r="O944" s="49"/>
      <c r="P944" s="77"/>
      <c r="Q944" s="53"/>
      <c r="R944" s="54"/>
      <c r="S944" s="55"/>
      <c r="T944" s="56"/>
      <c r="U944" s="56"/>
      <c r="V944" s="42"/>
      <c r="W944" s="57"/>
      <c r="X944" s="58"/>
      <c r="Y944" s="75"/>
      <c r="Z944" s="59"/>
      <c r="AA944" s="61"/>
      <c r="AB944" s="61"/>
      <c r="AC944" s="61"/>
      <c r="AD944" s="62"/>
      <c r="AE944" s="62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x14ac:dyDescent="0.3">
      <c r="A945" s="39"/>
      <c r="B945" s="42"/>
      <c r="C945" s="42"/>
      <c r="D945" s="75"/>
      <c r="E945" s="75"/>
      <c r="F945" s="76"/>
      <c r="G945" s="47"/>
      <c r="H945" s="47"/>
      <c r="I945" s="75"/>
      <c r="J945" s="76"/>
      <c r="K945" s="76"/>
      <c r="L945" s="75"/>
      <c r="M945" s="49"/>
      <c r="N945" s="76"/>
      <c r="O945" s="49"/>
      <c r="P945" s="77"/>
      <c r="Q945" s="53"/>
      <c r="R945" s="54"/>
      <c r="S945" s="55"/>
      <c r="T945" s="56"/>
      <c r="U945" s="56"/>
      <c r="V945" s="42"/>
      <c r="W945" s="57"/>
      <c r="X945" s="58"/>
      <c r="Y945" s="75"/>
      <c r="Z945" s="59"/>
      <c r="AA945" s="61"/>
      <c r="AB945" s="61"/>
      <c r="AC945" s="61"/>
      <c r="AD945" s="62"/>
      <c r="AE945" s="62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x14ac:dyDescent="0.3">
      <c r="A946" s="39"/>
      <c r="B946" s="42"/>
      <c r="C946" s="42"/>
      <c r="D946" s="75"/>
      <c r="E946" s="75"/>
      <c r="F946" s="76"/>
      <c r="G946" s="47"/>
      <c r="H946" s="47"/>
      <c r="I946" s="75"/>
      <c r="J946" s="76"/>
      <c r="K946" s="76"/>
      <c r="L946" s="75"/>
      <c r="M946" s="49"/>
      <c r="N946" s="76"/>
      <c r="O946" s="49"/>
      <c r="P946" s="77"/>
      <c r="Q946" s="53"/>
      <c r="R946" s="54"/>
      <c r="S946" s="55"/>
      <c r="T946" s="56"/>
      <c r="U946" s="56"/>
      <c r="V946" s="42"/>
      <c r="W946" s="57"/>
      <c r="X946" s="58"/>
      <c r="Y946" s="75"/>
      <c r="Z946" s="59"/>
      <c r="AA946" s="61"/>
      <c r="AB946" s="61"/>
      <c r="AC946" s="61"/>
      <c r="AD946" s="62"/>
      <c r="AE946" s="62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x14ac:dyDescent="0.3">
      <c r="A947" s="39"/>
      <c r="B947" s="42"/>
      <c r="C947" s="42"/>
      <c r="D947" s="75"/>
      <c r="E947" s="75"/>
      <c r="F947" s="76"/>
      <c r="G947" s="47"/>
      <c r="H947" s="47"/>
      <c r="I947" s="75"/>
      <c r="J947" s="76"/>
      <c r="K947" s="76"/>
      <c r="L947" s="75"/>
      <c r="M947" s="49"/>
      <c r="N947" s="76"/>
      <c r="O947" s="49"/>
      <c r="P947" s="77"/>
      <c r="Q947" s="53"/>
      <c r="R947" s="54"/>
      <c r="S947" s="55"/>
      <c r="T947" s="56"/>
      <c r="U947" s="56"/>
      <c r="V947" s="42"/>
      <c r="W947" s="57"/>
      <c r="X947" s="58"/>
      <c r="Y947" s="75"/>
      <c r="Z947" s="59"/>
      <c r="AA947" s="61"/>
      <c r="AB947" s="61"/>
      <c r="AC947" s="61"/>
      <c r="AD947" s="62"/>
      <c r="AE947" s="62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x14ac:dyDescent="0.3">
      <c r="A948" s="39"/>
      <c r="B948" s="42"/>
      <c r="C948" s="42"/>
      <c r="D948" s="75"/>
      <c r="E948" s="75"/>
      <c r="F948" s="76"/>
      <c r="G948" s="47"/>
      <c r="H948" s="47"/>
      <c r="I948" s="75"/>
      <c r="J948" s="76"/>
      <c r="K948" s="76"/>
      <c r="L948" s="75"/>
      <c r="M948" s="49"/>
      <c r="N948" s="76"/>
      <c r="O948" s="49"/>
      <c r="P948" s="77"/>
      <c r="Q948" s="53"/>
      <c r="R948" s="54"/>
      <c r="S948" s="55"/>
      <c r="T948" s="56"/>
      <c r="U948" s="56"/>
      <c r="V948" s="42"/>
      <c r="W948" s="57"/>
      <c r="X948" s="58"/>
      <c r="Y948" s="75"/>
      <c r="Z948" s="59"/>
      <c r="AA948" s="61"/>
      <c r="AB948" s="61"/>
      <c r="AC948" s="61"/>
      <c r="AD948" s="62"/>
      <c r="AE948" s="62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x14ac:dyDescent="0.3">
      <c r="A949" s="39"/>
      <c r="B949" s="42"/>
      <c r="C949" s="42"/>
      <c r="D949" s="75"/>
      <c r="E949" s="75"/>
      <c r="F949" s="76"/>
      <c r="G949" s="47"/>
      <c r="H949" s="47"/>
      <c r="I949" s="75"/>
      <c r="J949" s="76"/>
      <c r="K949" s="76"/>
      <c r="L949" s="75"/>
      <c r="M949" s="49"/>
      <c r="N949" s="76"/>
      <c r="O949" s="49"/>
      <c r="P949" s="77"/>
      <c r="Q949" s="53"/>
      <c r="R949" s="54"/>
      <c r="S949" s="55"/>
      <c r="T949" s="56"/>
      <c r="U949" s="56"/>
      <c r="V949" s="42"/>
      <c r="W949" s="57"/>
      <c r="X949" s="58"/>
      <c r="Y949" s="75"/>
      <c r="Z949" s="59"/>
      <c r="AA949" s="61"/>
      <c r="AB949" s="61"/>
      <c r="AC949" s="61"/>
      <c r="AD949" s="62"/>
      <c r="AE949" s="62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x14ac:dyDescent="0.3">
      <c r="A950" s="39"/>
      <c r="B950" s="42"/>
      <c r="C950" s="42"/>
      <c r="D950" s="75"/>
      <c r="E950" s="75"/>
      <c r="F950" s="76"/>
      <c r="G950" s="47"/>
      <c r="H950" s="47"/>
      <c r="I950" s="75"/>
      <c r="J950" s="76"/>
      <c r="K950" s="76"/>
      <c r="L950" s="75"/>
      <c r="M950" s="49"/>
      <c r="N950" s="76"/>
      <c r="O950" s="49"/>
      <c r="P950" s="77"/>
      <c r="Q950" s="53"/>
      <c r="R950" s="54"/>
      <c r="S950" s="55"/>
      <c r="T950" s="56"/>
      <c r="U950" s="56"/>
      <c r="V950" s="42"/>
      <c r="W950" s="57"/>
      <c r="X950" s="58"/>
      <c r="Y950" s="75"/>
      <c r="Z950" s="59"/>
      <c r="AA950" s="61"/>
      <c r="AB950" s="61"/>
      <c r="AC950" s="61"/>
      <c r="AD950" s="62"/>
      <c r="AE950" s="62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x14ac:dyDescent="0.3">
      <c r="A951" s="39"/>
      <c r="B951" s="42"/>
      <c r="C951" s="42"/>
      <c r="D951" s="75"/>
      <c r="E951" s="75"/>
      <c r="F951" s="76"/>
      <c r="G951" s="47"/>
      <c r="H951" s="47"/>
      <c r="I951" s="75"/>
      <c r="J951" s="76"/>
      <c r="K951" s="76"/>
      <c r="L951" s="75"/>
      <c r="M951" s="49"/>
      <c r="N951" s="76"/>
      <c r="O951" s="49"/>
      <c r="P951" s="77"/>
      <c r="Q951" s="53"/>
      <c r="R951" s="54"/>
      <c r="S951" s="55"/>
      <c r="T951" s="56"/>
      <c r="U951" s="56"/>
      <c r="V951" s="42"/>
      <c r="W951" s="57"/>
      <c r="X951" s="58"/>
      <c r="Y951" s="75"/>
      <c r="Z951" s="59"/>
      <c r="AA951" s="61"/>
      <c r="AB951" s="61"/>
      <c r="AC951" s="61"/>
      <c r="AD951" s="62"/>
      <c r="AE951" s="62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x14ac:dyDescent="0.3">
      <c r="A952" s="39"/>
      <c r="B952" s="42"/>
      <c r="C952" s="42"/>
      <c r="D952" s="75"/>
      <c r="E952" s="75"/>
      <c r="F952" s="76"/>
      <c r="G952" s="47"/>
      <c r="H952" s="47"/>
      <c r="I952" s="75"/>
      <c r="J952" s="76"/>
      <c r="K952" s="76"/>
      <c r="L952" s="75"/>
      <c r="M952" s="49"/>
      <c r="N952" s="76"/>
      <c r="O952" s="49"/>
      <c r="P952" s="77"/>
      <c r="Q952" s="53"/>
      <c r="R952" s="54"/>
      <c r="S952" s="55"/>
      <c r="T952" s="56"/>
      <c r="U952" s="56"/>
      <c r="V952" s="42"/>
      <c r="W952" s="57"/>
      <c r="X952" s="58"/>
      <c r="Y952" s="75"/>
      <c r="Z952" s="59"/>
      <c r="AA952" s="61"/>
      <c r="AB952" s="61"/>
      <c r="AC952" s="61"/>
      <c r="AD952" s="62"/>
      <c r="AE952" s="62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x14ac:dyDescent="0.3">
      <c r="A953" s="39"/>
      <c r="B953" s="42"/>
      <c r="C953" s="42"/>
      <c r="D953" s="75"/>
      <c r="E953" s="75"/>
      <c r="F953" s="76"/>
      <c r="G953" s="47"/>
      <c r="H953" s="47"/>
      <c r="I953" s="75"/>
      <c r="J953" s="76"/>
      <c r="K953" s="76"/>
      <c r="L953" s="75"/>
      <c r="M953" s="49"/>
      <c r="N953" s="76"/>
      <c r="O953" s="49"/>
      <c r="P953" s="77"/>
      <c r="Q953" s="53"/>
      <c r="R953" s="54"/>
      <c r="S953" s="55"/>
      <c r="T953" s="56"/>
      <c r="U953" s="56"/>
      <c r="V953" s="42"/>
      <c r="W953" s="57"/>
      <c r="X953" s="58"/>
      <c r="Y953" s="75"/>
      <c r="Z953" s="59"/>
      <c r="AA953" s="61"/>
      <c r="AB953" s="61"/>
      <c r="AC953" s="61"/>
      <c r="AD953" s="62"/>
      <c r="AE953" s="62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x14ac:dyDescent="0.3">
      <c r="A954" s="39"/>
      <c r="B954" s="42"/>
      <c r="C954" s="42"/>
      <c r="D954" s="75"/>
      <c r="E954" s="75"/>
      <c r="F954" s="76"/>
      <c r="G954" s="47"/>
      <c r="H954" s="47"/>
      <c r="I954" s="75"/>
      <c r="J954" s="76"/>
      <c r="K954" s="76"/>
      <c r="L954" s="75"/>
      <c r="M954" s="49"/>
      <c r="N954" s="76"/>
      <c r="O954" s="49"/>
      <c r="P954" s="77"/>
      <c r="Q954" s="53"/>
      <c r="R954" s="54"/>
      <c r="S954" s="55"/>
      <c r="T954" s="56"/>
      <c r="U954" s="56"/>
      <c r="V954" s="42"/>
      <c r="W954" s="57"/>
      <c r="X954" s="58"/>
      <c r="Y954" s="75"/>
      <c r="Z954" s="59"/>
      <c r="AA954" s="61"/>
      <c r="AB954" s="61"/>
      <c r="AC954" s="61"/>
      <c r="AD954" s="62"/>
      <c r="AE954" s="62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x14ac:dyDescent="0.3">
      <c r="A955" s="39"/>
      <c r="B955" s="42"/>
      <c r="C955" s="42"/>
      <c r="D955" s="75"/>
      <c r="E955" s="75"/>
      <c r="F955" s="76"/>
      <c r="G955" s="47"/>
      <c r="H955" s="47"/>
      <c r="I955" s="75"/>
      <c r="J955" s="76"/>
      <c r="K955" s="76"/>
      <c r="L955" s="75"/>
      <c r="M955" s="49"/>
      <c r="N955" s="76"/>
      <c r="O955" s="49"/>
      <c r="P955" s="77"/>
      <c r="Q955" s="53"/>
      <c r="R955" s="54"/>
      <c r="S955" s="55"/>
      <c r="T955" s="56"/>
      <c r="U955" s="56"/>
      <c r="V955" s="42"/>
      <c r="W955" s="57"/>
      <c r="X955" s="58"/>
      <c r="Y955" s="75"/>
      <c r="Z955" s="59"/>
      <c r="AA955" s="61"/>
      <c r="AB955" s="61"/>
      <c r="AC955" s="61"/>
      <c r="AD955" s="62"/>
      <c r="AE955" s="62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x14ac:dyDescent="0.3">
      <c r="A956" s="39"/>
      <c r="B956" s="42"/>
      <c r="C956" s="42"/>
      <c r="D956" s="75"/>
      <c r="E956" s="75"/>
      <c r="F956" s="76"/>
      <c r="G956" s="47"/>
      <c r="H956" s="47"/>
      <c r="I956" s="75"/>
      <c r="J956" s="76"/>
      <c r="K956" s="76"/>
      <c r="L956" s="75"/>
      <c r="M956" s="49"/>
      <c r="N956" s="76"/>
      <c r="O956" s="49"/>
      <c r="P956" s="77"/>
      <c r="Q956" s="53"/>
      <c r="R956" s="54"/>
      <c r="S956" s="55"/>
      <c r="T956" s="56"/>
      <c r="U956" s="56"/>
      <c r="V956" s="42"/>
      <c r="W956" s="57"/>
      <c r="X956" s="58"/>
      <c r="Y956" s="75"/>
      <c r="Z956" s="59"/>
      <c r="AA956" s="61"/>
      <c r="AB956" s="61"/>
      <c r="AC956" s="61"/>
      <c r="AD956" s="62"/>
      <c r="AE956" s="62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x14ac:dyDescent="0.3">
      <c r="A957" s="39"/>
      <c r="B957" s="42"/>
      <c r="C957" s="42"/>
      <c r="D957" s="75"/>
      <c r="E957" s="75"/>
      <c r="F957" s="76"/>
      <c r="G957" s="47"/>
      <c r="H957" s="47"/>
      <c r="I957" s="75"/>
      <c r="J957" s="76"/>
      <c r="K957" s="76"/>
      <c r="L957" s="75"/>
      <c r="M957" s="49"/>
      <c r="N957" s="76"/>
      <c r="O957" s="49"/>
      <c r="P957" s="77"/>
      <c r="Q957" s="53"/>
      <c r="R957" s="54"/>
      <c r="S957" s="55"/>
      <c r="T957" s="56"/>
      <c r="U957" s="56"/>
      <c r="V957" s="42"/>
      <c r="W957" s="57"/>
      <c r="X957" s="58"/>
      <c r="Y957" s="75"/>
      <c r="Z957" s="59"/>
      <c r="AA957" s="61"/>
      <c r="AB957" s="61"/>
      <c r="AC957" s="61"/>
      <c r="AD957" s="62"/>
      <c r="AE957" s="62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x14ac:dyDescent="0.3">
      <c r="A958" s="39"/>
      <c r="B958" s="42"/>
      <c r="C958" s="42"/>
      <c r="D958" s="75"/>
      <c r="E958" s="75"/>
      <c r="F958" s="76"/>
      <c r="G958" s="47"/>
      <c r="H958" s="47"/>
      <c r="I958" s="75"/>
      <c r="J958" s="76"/>
      <c r="K958" s="76"/>
      <c r="L958" s="75"/>
      <c r="M958" s="49"/>
      <c r="N958" s="76"/>
      <c r="O958" s="49"/>
      <c r="P958" s="77"/>
      <c r="Q958" s="53"/>
      <c r="R958" s="54"/>
      <c r="S958" s="55"/>
      <c r="T958" s="56"/>
      <c r="U958" s="56"/>
      <c r="V958" s="42"/>
      <c r="W958" s="57"/>
      <c r="X958" s="58"/>
      <c r="Y958" s="75"/>
      <c r="Z958" s="59"/>
      <c r="AA958" s="61"/>
      <c r="AB958" s="61"/>
      <c r="AC958" s="61"/>
      <c r="AD958" s="62"/>
      <c r="AE958" s="62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x14ac:dyDescent="0.3">
      <c r="A959" s="39"/>
      <c r="B959" s="42"/>
      <c r="C959" s="42"/>
      <c r="D959" s="75"/>
      <c r="E959" s="75"/>
      <c r="F959" s="76"/>
      <c r="G959" s="47"/>
      <c r="H959" s="47"/>
      <c r="I959" s="75"/>
      <c r="J959" s="76"/>
      <c r="K959" s="76"/>
      <c r="L959" s="75"/>
      <c r="M959" s="49"/>
      <c r="N959" s="76"/>
      <c r="O959" s="49"/>
      <c r="P959" s="77"/>
      <c r="Q959" s="53"/>
      <c r="R959" s="54"/>
      <c r="S959" s="55"/>
      <c r="T959" s="56"/>
      <c r="U959" s="56"/>
      <c r="V959" s="42"/>
      <c r="W959" s="57"/>
      <c r="X959" s="58"/>
      <c r="Y959" s="75"/>
      <c r="Z959" s="59"/>
      <c r="AA959" s="61"/>
      <c r="AB959" s="61"/>
      <c r="AC959" s="61"/>
      <c r="AD959" s="62"/>
      <c r="AE959" s="62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x14ac:dyDescent="0.3">
      <c r="A960" s="39"/>
      <c r="B960" s="42"/>
      <c r="C960" s="42"/>
      <c r="D960" s="75"/>
      <c r="E960" s="75"/>
      <c r="F960" s="76"/>
      <c r="G960" s="47"/>
      <c r="H960" s="47"/>
      <c r="I960" s="75"/>
      <c r="J960" s="76"/>
      <c r="K960" s="76"/>
      <c r="L960" s="75"/>
      <c r="M960" s="49"/>
      <c r="N960" s="76"/>
      <c r="O960" s="49"/>
      <c r="P960" s="77"/>
      <c r="Q960" s="53"/>
      <c r="R960" s="54"/>
      <c r="S960" s="55"/>
      <c r="T960" s="56"/>
      <c r="U960" s="56"/>
      <c r="V960" s="42"/>
      <c r="W960" s="57"/>
      <c r="X960" s="58"/>
      <c r="Y960" s="75"/>
      <c r="Z960" s="59"/>
      <c r="AA960" s="61"/>
      <c r="AB960" s="61"/>
      <c r="AC960" s="61"/>
      <c r="AD960" s="62"/>
      <c r="AE960" s="62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x14ac:dyDescent="0.3">
      <c r="A961" s="39"/>
      <c r="B961" s="42"/>
      <c r="C961" s="42"/>
      <c r="D961" s="75"/>
      <c r="E961" s="75"/>
      <c r="F961" s="76"/>
      <c r="G961" s="47"/>
      <c r="H961" s="47"/>
      <c r="I961" s="75"/>
      <c r="J961" s="76"/>
      <c r="K961" s="76"/>
      <c r="L961" s="75"/>
      <c r="M961" s="49"/>
      <c r="N961" s="76"/>
      <c r="O961" s="49"/>
      <c r="P961" s="77"/>
      <c r="Q961" s="53"/>
      <c r="R961" s="54"/>
      <c r="S961" s="55"/>
      <c r="T961" s="56"/>
      <c r="U961" s="56"/>
      <c r="V961" s="42"/>
      <c r="W961" s="57"/>
      <c r="X961" s="58"/>
      <c r="Y961" s="75"/>
      <c r="Z961" s="59"/>
      <c r="AA961" s="61"/>
      <c r="AB961" s="61"/>
      <c r="AC961" s="61"/>
      <c r="AD961" s="62"/>
      <c r="AE961" s="62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x14ac:dyDescent="0.3">
      <c r="A962" s="39"/>
      <c r="B962" s="42"/>
      <c r="C962" s="42"/>
      <c r="D962" s="75"/>
      <c r="E962" s="75"/>
      <c r="F962" s="76"/>
      <c r="G962" s="47"/>
      <c r="H962" s="47"/>
      <c r="I962" s="75"/>
      <c r="J962" s="76"/>
      <c r="K962" s="76"/>
      <c r="L962" s="75"/>
      <c r="M962" s="49"/>
      <c r="N962" s="76"/>
      <c r="O962" s="49"/>
      <c r="P962" s="77"/>
      <c r="Q962" s="53"/>
      <c r="R962" s="54"/>
      <c r="S962" s="55"/>
      <c r="T962" s="56"/>
      <c r="U962" s="56"/>
      <c r="V962" s="42"/>
      <c r="W962" s="57"/>
      <c r="X962" s="58"/>
      <c r="Y962" s="75"/>
      <c r="Z962" s="59"/>
      <c r="AA962" s="61"/>
      <c r="AB962" s="61"/>
      <c r="AC962" s="61"/>
      <c r="AD962" s="62"/>
      <c r="AE962" s="62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x14ac:dyDescent="0.3">
      <c r="A963" s="39"/>
      <c r="B963" s="42"/>
      <c r="C963" s="42"/>
      <c r="D963" s="75"/>
      <c r="E963" s="75"/>
      <c r="F963" s="76"/>
      <c r="G963" s="47"/>
      <c r="H963" s="47"/>
      <c r="I963" s="75"/>
      <c r="J963" s="76"/>
      <c r="K963" s="76"/>
      <c r="L963" s="75"/>
      <c r="M963" s="49"/>
      <c r="N963" s="76"/>
      <c r="O963" s="49"/>
      <c r="P963" s="77"/>
      <c r="Q963" s="53"/>
      <c r="R963" s="54"/>
      <c r="S963" s="55"/>
      <c r="T963" s="56"/>
      <c r="U963" s="56"/>
      <c r="V963" s="42"/>
      <c r="W963" s="57"/>
      <c r="X963" s="58"/>
      <c r="Y963" s="75"/>
      <c r="Z963" s="59"/>
      <c r="AA963" s="61"/>
      <c r="AB963" s="61"/>
      <c r="AC963" s="61"/>
      <c r="AD963" s="62"/>
      <c r="AE963" s="62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x14ac:dyDescent="0.3">
      <c r="A964" s="39"/>
      <c r="B964" s="42"/>
      <c r="C964" s="42"/>
      <c r="D964" s="75"/>
      <c r="E964" s="75"/>
      <c r="F964" s="76"/>
      <c r="G964" s="47"/>
      <c r="H964" s="47"/>
      <c r="I964" s="75"/>
      <c r="J964" s="76"/>
      <c r="K964" s="76"/>
      <c r="L964" s="75"/>
      <c r="M964" s="49"/>
      <c r="N964" s="76"/>
      <c r="O964" s="49"/>
      <c r="P964" s="77"/>
      <c r="Q964" s="53"/>
      <c r="R964" s="54"/>
      <c r="S964" s="55"/>
      <c r="T964" s="56"/>
      <c r="U964" s="56"/>
      <c r="V964" s="42"/>
      <c r="W964" s="57"/>
      <c r="X964" s="58"/>
      <c r="Y964" s="75"/>
      <c r="Z964" s="59"/>
      <c r="AA964" s="61"/>
      <c r="AB964" s="61"/>
      <c r="AC964" s="61"/>
      <c r="AD964" s="62"/>
      <c r="AE964" s="62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x14ac:dyDescent="0.3">
      <c r="A965" s="39"/>
      <c r="B965" s="42"/>
      <c r="C965" s="42"/>
      <c r="D965" s="75"/>
      <c r="E965" s="75"/>
      <c r="F965" s="76"/>
      <c r="G965" s="47"/>
      <c r="H965" s="47"/>
      <c r="I965" s="75"/>
      <c r="J965" s="76"/>
      <c r="K965" s="76"/>
      <c r="L965" s="75"/>
      <c r="M965" s="49"/>
      <c r="N965" s="76"/>
      <c r="O965" s="49"/>
      <c r="P965" s="77"/>
      <c r="Q965" s="53"/>
      <c r="R965" s="54"/>
      <c r="S965" s="55"/>
      <c r="T965" s="56"/>
      <c r="U965" s="56"/>
      <c r="V965" s="42"/>
      <c r="W965" s="57"/>
      <c r="X965" s="58"/>
      <c r="Y965" s="75"/>
      <c r="Z965" s="59"/>
      <c r="AA965" s="61"/>
      <c r="AB965" s="61"/>
      <c r="AC965" s="61"/>
      <c r="AD965" s="62"/>
      <c r="AE965" s="62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x14ac:dyDescent="0.3">
      <c r="A966" s="39"/>
      <c r="B966" s="42"/>
      <c r="C966" s="42"/>
      <c r="D966" s="75"/>
      <c r="E966" s="75"/>
      <c r="F966" s="76"/>
      <c r="G966" s="47"/>
      <c r="H966" s="47"/>
      <c r="I966" s="75"/>
      <c r="J966" s="76"/>
      <c r="K966" s="76"/>
      <c r="L966" s="75"/>
      <c r="M966" s="49"/>
      <c r="N966" s="76"/>
      <c r="O966" s="49"/>
      <c r="P966" s="77"/>
      <c r="Q966" s="53"/>
      <c r="R966" s="54"/>
      <c r="S966" s="55"/>
      <c r="T966" s="56"/>
      <c r="U966" s="56"/>
      <c r="V966" s="42"/>
      <c r="W966" s="57"/>
      <c r="X966" s="58"/>
      <c r="Y966" s="75"/>
      <c r="Z966" s="59"/>
      <c r="AA966" s="61"/>
      <c r="AB966" s="61"/>
      <c r="AC966" s="61"/>
      <c r="AD966" s="62"/>
      <c r="AE966" s="62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x14ac:dyDescent="0.3">
      <c r="A967" s="39"/>
      <c r="B967" s="42"/>
      <c r="C967" s="42"/>
      <c r="D967" s="75"/>
      <c r="E967" s="75"/>
      <c r="F967" s="76"/>
      <c r="G967" s="47"/>
      <c r="H967" s="47"/>
      <c r="I967" s="75"/>
      <c r="J967" s="76"/>
      <c r="K967" s="76"/>
      <c r="L967" s="75"/>
      <c r="M967" s="49"/>
      <c r="N967" s="76"/>
      <c r="O967" s="49"/>
      <c r="P967" s="77"/>
      <c r="Q967" s="53"/>
      <c r="R967" s="54"/>
      <c r="S967" s="55"/>
      <c r="T967" s="56"/>
      <c r="U967" s="56"/>
      <c r="V967" s="42"/>
      <c r="W967" s="57"/>
      <c r="X967" s="58"/>
      <c r="Y967" s="75"/>
      <c r="Z967" s="59"/>
      <c r="AA967" s="61"/>
      <c r="AB967" s="61"/>
      <c r="AC967" s="61"/>
      <c r="AD967" s="62"/>
      <c r="AE967" s="62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x14ac:dyDescent="0.3">
      <c r="A968" s="39"/>
      <c r="B968" s="42"/>
      <c r="C968" s="42"/>
      <c r="D968" s="75"/>
      <c r="E968" s="75"/>
      <c r="F968" s="76"/>
      <c r="G968" s="47"/>
      <c r="H968" s="47"/>
      <c r="I968" s="75"/>
      <c r="J968" s="76"/>
      <c r="K968" s="76"/>
      <c r="L968" s="75"/>
      <c r="M968" s="49"/>
      <c r="N968" s="76"/>
      <c r="O968" s="49"/>
      <c r="P968" s="77"/>
      <c r="Q968" s="53"/>
      <c r="R968" s="54"/>
      <c r="S968" s="55"/>
      <c r="T968" s="56"/>
      <c r="U968" s="56"/>
      <c r="V968" s="42"/>
      <c r="W968" s="57"/>
      <c r="X968" s="58"/>
      <c r="Y968" s="75"/>
      <c r="Z968" s="59"/>
      <c r="AA968" s="61"/>
      <c r="AB968" s="61"/>
      <c r="AC968" s="61"/>
      <c r="AD968" s="62"/>
      <c r="AE968" s="62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x14ac:dyDescent="0.3">
      <c r="A969" s="39"/>
      <c r="B969" s="42"/>
      <c r="C969" s="42"/>
      <c r="D969" s="75"/>
      <c r="E969" s="75"/>
      <c r="F969" s="76"/>
      <c r="G969" s="47"/>
      <c r="H969" s="47"/>
      <c r="I969" s="75"/>
      <c r="J969" s="76"/>
      <c r="K969" s="76"/>
      <c r="L969" s="75"/>
      <c r="M969" s="49"/>
      <c r="N969" s="76"/>
      <c r="O969" s="49"/>
      <c r="P969" s="77"/>
      <c r="Q969" s="53"/>
      <c r="R969" s="54"/>
      <c r="S969" s="55"/>
      <c r="T969" s="56"/>
      <c r="U969" s="56"/>
      <c r="V969" s="42"/>
      <c r="W969" s="57"/>
      <c r="X969" s="58"/>
      <c r="Y969" s="75"/>
      <c r="Z969" s="59"/>
      <c r="AA969" s="61"/>
      <c r="AB969" s="61"/>
      <c r="AC969" s="61"/>
      <c r="AD969" s="62"/>
      <c r="AE969" s="62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x14ac:dyDescent="0.3">
      <c r="A970" s="39"/>
      <c r="B970" s="42"/>
      <c r="C970" s="42"/>
      <c r="D970" s="75"/>
      <c r="E970" s="75"/>
      <c r="F970" s="76"/>
      <c r="G970" s="47"/>
      <c r="H970" s="47"/>
      <c r="I970" s="75"/>
      <c r="J970" s="76"/>
      <c r="K970" s="76"/>
      <c r="L970" s="75"/>
      <c r="M970" s="49"/>
      <c r="N970" s="76"/>
      <c r="O970" s="49"/>
      <c r="P970" s="77"/>
      <c r="Q970" s="53"/>
      <c r="R970" s="54"/>
      <c r="S970" s="55"/>
      <c r="T970" s="56"/>
      <c r="U970" s="56"/>
      <c r="V970" s="42"/>
      <c r="W970" s="57"/>
      <c r="X970" s="58"/>
      <c r="Y970" s="75"/>
      <c r="Z970" s="59"/>
      <c r="AA970" s="61"/>
      <c r="AB970" s="61"/>
      <c r="AC970" s="61"/>
      <c r="AD970" s="62"/>
      <c r="AE970" s="62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x14ac:dyDescent="0.3">
      <c r="A971" s="39"/>
      <c r="B971" s="42"/>
      <c r="C971" s="42"/>
      <c r="D971" s="75"/>
      <c r="E971" s="75"/>
      <c r="F971" s="76"/>
      <c r="G971" s="47"/>
      <c r="H971" s="47"/>
      <c r="I971" s="75"/>
      <c r="J971" s="76"/>
      <c r="K971" s="76"/>
      <c r="L971" s="75"/>
      <c r="M971" s="49"/>
      <c r="N971" s="76"/>
      <c r="O971" s="49"/>
      <c r="P971" s="77"/>
      <c r="Q971" s="53"/>
      <c r="R971" s="54"/>
      <c r="S971" s="55"/>
      <c r="T971" s="56"/>
      <c r="U971" s="56"/>
      <c r="V971" s="42"/>
      <c r="W971" s="57"/>
      <c r="X971" s="58"/>
      <c r="Y971" s="75"/>
      <c r="Z971" s="59"/>
      <c r="AA971" s="61"/>
      <c r="AB971" s="61"/>
      <c r="AC971" s="61"/>
      <c r="AD971" s="62"/>
      <c r="AE971" s="62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x14ac:dyDescent="0.3">
      <c r="A972" s="39"/>
      <c r="B972" s="42"/>
      <c r="C972" s="42"/>
      <c r="D972" s="75"/>
      <c r="E972" s="75"/>
      <c r="F972" s="76"/>
      <c r="G972" s="47"/>
      <c r="H972" s="47"/>
      <c r="I972" s="75"/>
      <c r="J972" s="76"/>
      <c r="K972" s="76"/>
      <c r="L972" s="75"/>
      <c r="M972" s="49"/>
      <c r="N972" s="76"/>
      <c r="O972" s="49"/>
      <c r="P972" s="77"/>
      <c r="Q972" s="53"/>
      <c r="R972" s="54"/>
      <c r="S972" s="55"/>
      <c r="T972" s="56"/>
      <c r="U972" s="56"/>
      <c r="V972" s="42"/>
      <c r="W972" s="57"/>
      <c r="X972" s="58"/>
      <c r="Y972" s="75"/>
      <c r="Z972" s="59"/>
      <c r="AA972" s="61"/>
      <c r="AB972" s="61"/>
      <c r="AC972" s="61"/>
      <c r="AD972" s="62"/>
      <c r="AE972" s="62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x14ac:dyDescent="0.3">
      <c r="A973" s="39"/>
      <c r="B973" s="42"/>
      <c r="C973" s="42"/>
      <c r="D973" s="75"/>
      <c r="E973" s="75"/>
      <c r="F973" s="76"/>
      <c r="G973" s="47"/>
      <c r="H973" s="47"/>
      <c r="I973" s="75"/>
      <c r="J973" s="76"/>
      <c r="K973" s="76"/>
      <c r="L973" s="75"/>
      <c r="M973" s="49"/>
      <c r="N973" s="76"/>
      <c r="O973" s="49"/>
      <c r="P973" s="77"/>
      <c r="Q973" s="53"/>
      <c r="R973" s="54"/>
      <c r="S973" s="55"/>
      <c r="T973" s="56"/>
      <c r="U973" s="56"/>
      <c r="V973" s="42"/>
      <c r="W973" s="57"/>
      <c r="X973" s="58"/>
      <c r="Y973" s="75"/>
      <c r="Z973" s="59"/>
      <c r="AA973" s="61"/>
      <c r="AB973" s="61"/>
      <c r="AC973" s="61"/>
      <c r="AD973" s="62"/>
      <c r="AE973" s="62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x14ac:dyDescent="0.3">
      <c r="A974" s="39"/>
      <c r="B974" s="42"/>
      <c r="C974" s="42"/>
      <c r="D974" s="75"/>
      <c r="E974" s="75"/>
      <c r="F974" s="76"/>
      <c r="G974" s="47"/>
      <c r="H974" s="47"/>
      <c r="I974" s="75"/>
      <c r="J974" s="76"/>
      <c r="K974" s="76"/>
      <c r="L974" s="75"/>
      <c r="M974" s="49"/>
      <c r="N974" s="76"/>
      <c r="O974" s="49"/>
      <c r="P974" s="77"/>
      <c r="Q974" s="53"/>
      <c r="R974" s="54"/>
      <c r="S974" s="55"/>
      <c r="T974" s="56"/>
      <c r="U974" s="56"/>
      <c r="V974" s="42"/>
      <c r="W974" s="57"/>
      <c r="X974" s="58"/>
      <c r="Y974" s="75"/>
      <c r="Z974" s="59"/>
      <c r="AA974" s="61"/>
      <c r="AB974" s="61"/>
      <c r="AC974" s="61"/>
      <c r="AD974" s="62"/>
      <c r="AE974" s="62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x14ac:dyDescent="0.3">
      <c r="A975" s="39"/>
      <c r="B975" s="42"/>
      <c r="C975" s="42"/>
      <c r="D975" s="75"/>
      <c r="E975" s="75"/>
      <c r="F975" s="76"/>
      <c r="G975" s="47"/>
      <c r="H975" s="47"/>
      <c r="I975" s="75"/>
      <c r="J975" s="76"/>
      <c r="K975" s="76"/>
      <c r="L975" s="75"/>
      <c r="M975" s="49"/>
      <c r="N975" s="76"/>
      <c r="O975" s="49"/>
      <c r="P975" s="77"/>
      <c r="Q975" s="53"/>
      <c r="R975" s="54"/>
      <c r="S975" s="55"/>
      <c r="T975" s="56"/>
      <c r="U975" s="56"/>
      <c r="V975" s="42"/>
      <c r="W975" s="57"/>
      <c r="X975" s="58"/>
      <c r="Y975" s="75"/>
      <c r="Z975" s="59"/>
      <c r="AA975" s="61"/>
      <c r="AB975" s="61"/>
      <c r="AC975" s="61"/>
      <c r="AD975" s="62"/>
      <c r="AE975" s="62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x14ac:dyDescent="0.3">
      <c r="A976" s="39"/>
      <c r="B976" s="42"/>
      <c r="C976" s="42"/>
      <c r="D976" s="75"/>
      <c r="E976" s="75"/>
      <c r="F976" s="76"/>
      <c r="G976" s="47"/>
      <c r="H976" s="47"/>
      <c r="I976" s="75"/>
      <c r="J976" s="76"/>
      <c r="K976" s="76"/>
      <c r="L976" s="75"/>
      <c r="M976" s="49"/>
      <c r="N976" s="76"/>
      <c r="O976" s="49"/>
      <c r="P976" s="77"/>
      <c r="Q976" s="53"/>
      <c r="R976" s="54"/>
      <c r="S976" s="55"/>
      <c r="T976" s="56"/>
      <c r="U976" s="56"/>
      <c r="V976" s="42"/>
      <c r="W976" s="57"/>
      <c r="X976" s="58"/>
      <c r="Y976" s="75"/>
      <c r="Z976" s="59"/>
      <c r="AA976" s="61"/>
      <c r="AB976" s="61"/>
      <c r="AC976" s="61"/>
      <c r="AD976" s="62"/>
      <c r="AE976" s="62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x14ac:dyDescent="0.3">
      <c r="A977" s="39"/>
      <c r="B977" s="42"/>
      <c r="C977" s="42"/>
      <c r="D977" s="75"/>
      <c r="E977" s="75"/>
      <c r="F977" s="76"/>
      <c r="G977" s="47"/>
      <c r="H977" s="47"/>
      <c r="I977" s="75"/>
      <c r="J977" s="76"/>
      <c r="K977" s="76"/>
      <c r="L977" s="75"/>
      <c r="M977" s="49"/>
      <c r="N977" s="76"/>
      <c r="O977" s="49"/>
      <c r="P977" s="77"/>
      <c r="Q977" s="53"/>
      <c r="R977" s="54"/>
      <c r="S977" s="55"/>
      <c r="T977" s="56"/>
      <c r="U977" s="56"/>
      <c r="V977" s="42"/>
      <c r="W977" s="57"/>
      <c r="X977" s="58"/>
      <c r="Y977" s="75"/>
      <c r="Z977" s="59"/>
      <c r="AA977" s="61"/>
      <c r="AB977" s="61"/>
      <c r="AC977" s="61"/>
      <c r="AD977" s="62"/>
      <c r="AE977" s="62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x14ac:dyDescent="0.3">
      <c r="A978" s="39"/>
      <c r="B978" s="42"/>
      <c r="C978" s="42"/>
      <c r="D978" s="75"/>
      <c r="E978" s="75"/>
      <c r="F978" s="76"/>
      <c r="G978" s="47"/>
      <c r="H978" s="47"/>
      <c r="I978" s="75"/>
      <c r="J978" s="76"/>
      <c r="K978" s="76"/>
      <c r="L978" s="75"/>
      <c r="M978" s="49"/>
      <c r="N978" s="76"/>
      <c r="O978" s="49"/>
      <c r="P978" s="77"/>
      <c r="Q978" s="53"/>
      <c r="R978" s="54"/>
      <c r="S978" s="55"/>
      <c r="T978" s="56"/>
      <c r="U978" s="56"/>
      <c r="V978" s="42"/>
      <c r="W978" s="57"/>
      <c r="X978" s="58"/>
      <c r="Y978" s="75"/>
      <c r="Z978" s="59"/>
      <c r="AA978" s="61"/>
      <c r="AB978" s="61"/>
      <c r="AC978" s="61"/>
      <c r="AD978" s="62"/>
      <c r="AE978" s="62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x14ac:dyDescent="0.3">
      <c r="A979" s="39"/>
      <c r="B979" s="42"/>
      <c r="C979" s="42"/>
      <c r="D979" s="75"/>
      <c r="E979" s="75"/>
      <c r="F979" s="76"/>
      <c r="G979" s="47"/>
      <c r="H979" s="47"/>
      <c r="I979" s="75"/>
      <c r="J979" s="76"/>
      <c r="K979" s="76"/>
      <c r="L979" s="75"/>
      <c r="M979" s="49"/>
      <c r="N979" s="76"/>
      <c r="O979" s="49"/>
      <c r="P979" s="77"/>
      <c r="Q979" s="53"/>
      <c r="R979" s="54"/>
      <c r="S979" s="55"/>
      <c r="T979" s="56"/>
      <c r="U979" s="56"/>
      <c r="V979" s="42"/>
      <c r="W979" s="57"/>
      <c r="X979" s="58"/>
      <c r="Y979" s="75"/>
      <c r="Z979" s="59"/>
      <c r="AA979" s="61"/>
      <c r="AB979" s="61"/>
      <c r="AC979" s="61"/>
      <c r="AD979" s="62"/>
      <c r="AE979" s="62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x14ac:dyDescent="0.3">
      <c r="A980" s="39"/>
      <c r="B980" s="42"/>
      <c r="C980" s="42"/>
      <c r="D980" s="75"/>
      <c r="E980" s="75"/>
      <c r="F980" s="76"/>
      <c r="G980" s="47"/>
      <c r="H980" s="47"/>
      <c r="I980" s="75"/>
      <c r="J980" s="76"/>
      <c r="K980" s="76"/>
      <c r="L980" s="75"/>
      <c r="M980" s="49"/>
      <c r="N980" s="76"/>
      <c r="O980" s="49"/>
      <c r="P980" s="77"/>
      <c r="Q980" s="53"/>
      <c r="R980" s="54"/>
      <c r="S980" s="55"/>
      <c r="T980" s="56"/>
      <c r="U980" s="56"/>
      <c r="V980" s="42"/>
      <c r="W980" s="57"/>
      <c r="X980" s="58"/>
      <c r="Y980" s="75"/>
      <c r="Z980" s="59"/>
      <c r="AA980" s="61"/>
      <c r="AB980" s="61"/>
      <c r="AC980" s="61"/>
      <c r="AD980" s="62"/>
      <c r="AE980" s="62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x14ac:dyDescent="0.3">
      <c r="A981" s="39"/>
      <c r="B981" s="42"/>
      <c r="C981" s="42"/>
      <c r="D981" s="75"/>
      <c r="E981" s="75"/>
      <c r="F981" s="76"/>
      <c r="G981" s="47"/>
      <c r="H981" s="47"/>
      <c r="I981" s="75"/>
      <c r="J981" s="76"/>
      <c r="K981" s="76"/>
      <c r="L981" s="75"/>
      <c r="M981" s="49"/>
      <c r="N981" s="76"/>
      <c r="O981" s="49"/>
      <c r="P981" s="77"/>
      <c r="Q981" s="53"/>
      <c r="R981" s="54"/>
      <c r="S981" s="55"/>
      <c r="T981" s="56"/>
      <c r="U981" s="56"/>
      <c r="V981" s="42"/>
      <c r="W981" s="57"/>
      <c r="X981" s="58"/>
      <c r="Y981" s="75"/>
      <c r="Z981" s="59"/>
      <c r="AA981" s="61"/>
      <c r="AB981" s="61"/>
      <c r="AC981" s="61"/>
      <c r="AD981" s="62"/>
      <c r="AE981" s="62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x14ac:dyDescent="0.3">
      <c r="A982" s="39"/>
      <c r="B982" s="42"/>
      <c r="C982" s="42"/>
      <c r="D982" s="75"/>
      <c r="E982" s="75"/>
      <c r="F982" s="76"/>
      <c r="G982" s="47"/>
      <c r="H982" s="47"/>
      <c r="I982" s="75"/>
      <c r="J982" s="76"/>
      <c r="K982" s="76"/>
      <c r="L982" s="75"/>
      <c r="M982" s="49"/>
      <c r="N982" s="76"/>
      <c r="O982" s="49"/>
      <c r="P982" s="77"/>
      <c r="Q982" s="53"/>
      <c r="R982" s="54"/>
      <c r="S982" s="55"/>
      <c r="T982" s="56"/>
      <c r="U982" s="56"/>
      <c r="V982" s="42"/>
      <c r="W982" s="57"/>
      <c r="X982" s="58"/>
      <c r="Y982" s="75"/>
      <c r="Z982" s="59"/>
      <c r="AA982" s="61"/>
      <c r="AB982" s="61"/>
      <c r="AC982" s="61"/>
      <c r="AD982" s="62"/>
      <c r="AE982" s="62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x14ac:dyDescent="0.3">
      <c r="A983" s="39"/>
      <c r="B983" s="42"/>
      <c r="C983" s="42"/>
      <c r="D983" s="75"/>
      <c r="E983" s="75"/>
      <c r="F983" s="76"/>
      <c r="G983" s="47"/>
      <c r="H983" s="47"/>
      <c r="I983" s="75"/>
      <c r="J983" s="76"/>
      <c r="K983" s="76"/>
      <c r="L983" s="75"/>
      <c r="M983" s="49"/>
      <c r="N983" s="76"/>
      <c r="O983" s="49"/>
      <c r="P983" s="77"/>
      <c r="Q983" s="53"/>
      <c r="R983" s="54"/>
      <c r="S983" s="55"/>
      <c r="T983" s="56"/>
      <c r="U983" s="56"/>
      <c r="V983" s="42"/>
      <c r="W983" s="57"/>
      <c r="X983" s="58"/>
      <c r="Y983" s="75"/>
      <c r="Z983" s="59"/>
      <c r="AA983" s="61"/>
      <c r="AB983" s="61"/>
      <c r="AC983" s="61"/>
      <c r="AD983" s="62"/>
      <c r="AE983" s="62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x14ac:dyDescent="0.3">
      <c r="A984" s="39"/>
      <c r="B984" s="42"/>
      <c r="C984" s="42"/>
      <c r="D984" s="75"/>
      <c r="E984" s="75"/>
      <c r="F984" s="76"/>
      <c r="G984" s="47"/>
      <c r="H984" s="47"/>
      <c r="I984" s="75"/>
      <c r="J984" s="76"/>
      <c r="K984" s="76"/>
      <c r="L984" s="75"/>
      <c r="M984" s="49"/>
      <c r="N984" s="76"/>
      <c r="O984" s="49"/>
      <c r="P984" s="77"/>
      <c r="Q984" s="53"/>
      <c r="R984" s="54"/>
      <c r="S984" s="55"/>
      <c r="T984" s="56"/>
      <c r="U984" s="56"/>
      <c r="V984" s="42"/>
      <c r="W984" s="57"/>
      <c r="X984" s="58"/>
      <c r="Y984" s="75"/>
      <c r="Z984" s="59"/>
      <c r="AA984" s="61"/>
      <c r="AB984" s="61"/>
      <c r="AC984" s="61"/>
      <c r="AD984" s="62"/>
      <c r="AE984" s="62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x14ac:dyDescent="0.3">
      <c r="A985" s="39"/>
      <c r="B985" s="42"/>
      <c r="C985" s="42"/>
      <c r="D985" s="75"/>
      <c r="E985" s="75"/>
      <c r="F985" s="76"/>
      <c r="G985" s="47"/>
      <c r="H985" s="47"/>
      <c r="I985" s="75"/>
      <c r="J985" s="76"/>
      <c r="K985" s="76"/>
      <c r="L985" s="75"/>
      <c r="M985" s="49"/>
      <c r="N985" s="76"/>
      <c r="O985" s="49"/>
      <c r="P985" s="77"/>
      <c r="Q985" s="53"/>
      <c r="R985" s="54"/>
      <c r="S985" s="55"/>
      <c r="T985" s="56"/>
      <c r="U985" s="56"/>
      <c r="V985" s="42"/>
      <c r="W985" s="57"/>
      <c r="X985" s="58"/>
      <c r="Y985" s="75"/>
      <c r="Z985" s="59"/>
      <c r="AA985" s="61"/>
      <c r="AB985" s="61"/>
      <c r="AC985" s="61"/>
      <c r="AD985" s="62"/>
      <c r="AE985" s="62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x14ac:dyDescent="0.3">
      <c r="A986" s="39"/>
      <c r="B986" s="42"/>
      <c r="C986" s="42"/>
      <c r="D986" s="75"/>
      <c r="E986" s="75"/>
      <c r="F986" s="76"/>
      <c r="G986" s="47"/>
      <c r="H986" s="47"/>
      <c r="I986" s="75"/>
      <c r="J986" s="76"/>
      <c r="K986" s="76"/>
      <c r="L986" s="75"/>
      <c r="M986" s="49"/>
      <c r="N986" s="76"/>
      <c r="O986" s="49"/>
      <c r="P986" s="77"/>
      <c r="Q986" s="53"/>
      <c r="R986" s="54"/>
      <c r="S986" s="55"/>
      <c r="T986" s="56"/>
      <c r="U986" s="56"/>
      <c r="V986" s="42"/>
      <c r="W986" s="57"/>
      <c r="X986" s="58"/>
      <c r="Y986" s="75"/>
      <c r="Z986" s="59"/>
      <c r="AA986" s="61"/>
      <c r="AB986" s="61"/>
      <c r="AC986" s="61"/>
      <c r="AD986" s="62"/>
      <c r="AE986" s="62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x14ac:dyDescent="0.3">
      <c r="A987" s="39"/>
      <c r="B987" s="42"/>
      <c r="C987" s="42"/>
      <c r="D987" s="75"/>
      <c r="E987" s="75"/>
      <c r="F987" s="76"/>
      <c r="G987" s="47"/>
      <c r="H987" s="47"/>
      <c r="I987" s="75"/>
      <c r="J987" s="76"/>
      <c r="K987" s="76"/>
      <c r="L987" s="75"/>
      <c r="M987" s="49"/>
      <c r="N987" s="76"/>
      <c r="O987" s="49"/>
      <c r="P987" s="77"/>
      <c r="Q987" s="53"/>
      <c r="R987" s="54"/>
      <c r="S987" s="55"/>
      <c r="T987" s="56"/>
      <c r="U987" s="56"/>
      <c r="V987" s="42"/>
      <c r="W987" s="57"/>
      <c r="X987" s="58"/>
      <c r="Y987" s="75"/>
      <c r="Z987" s="59"/>
      <c r="AA987" s="61"/>
      <c r="AB987" s="61"/>
      <c r="AC987" s="61"/>
      <c r="AD987" s="62"/>
      <c r="AE987" s="62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x14ac:dyDescent="0.3">
      <c r="A988" s="39"/>
      <c r="B988" s="42"/>
      <c r="C988" s="42"/>
      <c r="D988" s="75"/>
      <c r="E988" s="75"/>
      <c r="F988" s="76"/>
      <c r="G988" s="47"/>
      <c r="H988" s="47"/>
      <c r="I988" s="75"/>
      <c r="J988" s="76"/>
      <c r="K988" s="76"/>
      <c r="L988" s="75"/>
      <c r="M988" s="49"/>
      <c r="N988" s="76"/>
      <c r="O988" s="49"/>
      <c r="P988" s="77"/>
      <c r="Q988" s="53"/>
      <c r="R988" s="54"/>
      <c r="S988" s="55"/>
      <c r="T988" s="56"/>
      <c r="U988" s="56"/>
      <c r="V988" s="42"/>
      <c r="W988" s="57"/>
      <c r="X988" s="58"/>
      <c r="Y988" s="75"/>
      <c r="Z988" s="59"/>
      <c r="AA988" s="61"/>
      <c r="AB988" s="61"/>
      <c r="AC988" s="61"/>
      <c r="AD988" s="62"/>
      <c r="AE988" s="62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x14ac:dyDescent="0.3">
      <c r="A989" s="39"/>
      <c r="B989" s="42"/>
      <c r="C989" s="42"/>
      <c r="D989" s="75"/>
      <c r="E989" s="75"/>
      <c r="F989" s="76"/>
      <c r="G989" s="47"/>
      <c r="H989" s="47"/>
      <c r="I989" s="75"/>
      <c r="J989" s="76"/>
      <c r="K989" s="76"/>
      <c r="L989" s="75"/>
      <c r="M989" s="49"/>
      <c r="N989" s="76"/>
      <c r="O989" s="49"/>
      <c r="P989" s="77"/>
      <c r="Q989" s="53"/>
      <c r="R989" s="54"/>
      <c r="S989" s="55"/>
      <c r="T989" s="56"/>
      <c r="U989" s="56"/>
      <c r="V989" s="42"/>
      <c r="W989" s="57"/>
      <c r="X989" s="58"/>
      <c r="Y989" s="75"/>
      <c r="Z989" s="59"/>
      <c r="AA989" s="61"/>
      <c r="AB989" s="61"/>
      <c r="AC989" s="61"/>
      <c r="AD989" s="62"/>
      <c r="AE989" s="62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x14ac:dyDescent="0.3">
      <c r="A990" s="39"/>
      <c r="B990" s="42"/>
      <c r="C990" s="42"/>
      <c r="D990" s="75"/>
      <c r="E990" s="75"/>
      <c r="F990" s="76"/>
      <c r="G990" s="47"/>
      <c r="H990" s="47"/>
      <c r="I990" s="75"/>
      <c r="J990" s="76"/>
      <c r="K990" s="76"/>
      <c r="L990" s="75"/>
      <c r="M990" s="49"/>
      <c r="N990" s="76"/>
      <c r="O990" s="49"/>
      <c r="P990" s="77"/>
      <c r="Q990" s="53"/>
      <c r="R990" s="54"/>
      <c r="S990" s="55"/>
      <c r="T990" s="56"/>
      <c r="U990" s="56"/>
      <c r="V990" s="42"/>
      <c r="W990" s="57"/>
      <c r="X990" s="58"/>
      <c r="Y990" s="75"/>
      <c r="Z990" s="59"/>
      <c r="AA990" s="61"/>
      <c r="AB990" s="61"/>
      <c r="AC990" s="61"/>
      <c r="AD990" s="62"/>
      <c r="AE990" s="62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x14ac:dyDescent="0.3">
      <c r="A991" s="39"/>
      <c r="B991" s="42"/>
      <c r="C991" s="42"/>
      <c r="D991" s="75"/>
      <c r="E991" s="75"/>
      <c r="F991" s="76"/>
      <c r="G991" s="47"/>
      <c r="H991" s="47"/>
      <c r="I991" s="75"/>
      <c r="J991" s="76"/>
      <c r="K991" s="76"/>
      <c r="L991" s="75"/>
      <c r="M991" s="49"/>
      <c r="N991" s="76"/>
      <c r="O991" s="49"/>
      <c r="P991" s="77"/>
      <c r="Q991" s="53"/>
      <c r="R991" s="54"/>
      <c r="S991" s="55"/>
      <c r="T991" s="56"/>
      <c r="U991" s="56"/>
      <c r="V991" s="42"/>
      <c r="W991" s="57"/>
      <c r="X991" s="58"/>
      <c r="Y991" s="75"/>
      <c r="Z991" s="59"/>
      <c r="AA991" s="61"/>
      <c r="AB991" s="61"/>
      <c r="AC991" s="61"/>
      <c r="AD991" s="62"/>
      <c r="AE991" s="62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x14ac:dyDescent="0.3">
      <c r="A992" s="39"/>
      <c r="B992" s="42"/>
      <c r="C992" s="42"/>
      <c r="D992" s="75"/>
      <c r="E992" s="75"/>
      <c r="F992" s="76"/>
      <c r="G992" s="47"/>
      <c r="H992" s="47"/>
      <c r="I992" s="75"/>
      <c r="J992" s="76"/>
      <c r="K992" s="76"/>
      <c r="L992" s="75"/>
      <c r="M992" s="49"/>
      <c r="N992" s="76"/>
      <c r="O992" s="49"/>
      <c r="P992" s="77"/>
      <c r="Q992" s="53"/>
      <c r="R992" s="54"/>
      <c r="S992" s="55"/>
      <c r="T992" s="56"/>
      <c r="U992" s="56"/>
      <c r="V992" s="42"/>
      <c r="W992" s="57"/>
      <c r="X992" s="58"/>
      <c r="Y992" s="75"/>
      <c r="Z992" s="59"/>
      <c r="AA992" s="61"/>
      <c r="AB992" s="61"/>
      <c r="AC992" s="61"/>
      <c r="AD992" s="62"/>
      <c r="AE992" s="62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x14ac:dyDescent="0.3">
      <c r="A993" s="39"/>
      <c r="B993" s="42"/>
      <c r="C993" s="42"/>
      <c r="D993" s="75"/>
      <c r="E993" s="75"/>
      <c r="F993" s="76"/>
      <c r="G993" s="47"/>
      <c r="H993" s="47"/>
      <c r="I993" s="75"/>
      <c r="J993" s="76"/>
      <c r="K993" s="76"/>
      <c r="L993" s="75"/>
      <c r="M993" s="49"/>
      <c r="N993" s="76"/>
      <c r="O993" s="49"/>
      <c r="P993" s="77"/>
      <c r="Q993" s="53"/>
      <c r="R993" s="54"/>
      <c r="S993" s="55"/>
      <c r="T993" s="56"/>
      <c r="U993" s="56"/>
      <c r="V993" s="42"/>
      <c r="W993" s="57"/>
      <c r="X993" s="58"/>
      <c r="Y993" s="75"/>
      <c r="Z993" s="59"/>
      <c r="AA993" s="61"/>
      <c r="AB993" s="61"/>
      <c r="AC993" s="61"/>
      <c r="AD993" s="62"/>
      <c r="AE993" s="62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x14ac:dyDescent="0.3">
      <c r="A994" s="39"/>
      <c r="B994" s="42"/>
      <c r="C994" s="42"/>
      <c r="D994" s="75"/>
      <c r="E994" s="75"/>
      <c r="F994" s="76"/>
      <c r="G994" s="47"/>
      <c r="H994" s="47"/>
      <c r="I994" s="75"/>
      <c r="J994" s="76"/>
      <c r="K994" s="76"/>
      <c r="L994" s="75"/>
      <c r="M994" s="49"/>
      <c r="N994" s="76"/>
      <c r="O994" s="49"/>
      <c r="P994" s="77"/>
      <c r="Q994" s="53"/>
      <c r="R994" s="54"/>
      <c r="S994" s="55"/>
      <c r="T994" s="56"/>
      <c r="U994" s="56"/>
      <c r="V994" s="42"/>
      <c r="W994" s="57"/>
      <c r="X994" s="58"/>
      <c r="Y994" s="75"/>
      <c r="Z994" s="59"/>
      <c r="AA994" s="61"/>
      <c r="AB994" s="61"/>
      <c r="AC994" s="61"/>
      <c r="AD994" s="62"/>
      <c r="AE994" s="62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x14ac:dyDescent="0.3">
      <c r="A995" s="39"/>
      <c r="B995" s="42"/>
      <c r="C995" s="42"/>
      <c r="D995" s="75"/>
      <c r="E995" s="75"/>
      <c r="F995" s="76"/>
      <c r="G995" s="47"/>
      <c r="H995" s="47"/>
      <c r="I995" s="75"/>
      <c r="J995" s="76"/>
      <c r="K995" s="76"/>
      <c r="L995" s="75"/>
      <c r="M995" s="49"/>
      <c r="N995" s="76"/>
      <c r="O995" s="49"/>
      <c r="P995" s="77"/>
      <c r="Q995" s="53"/>
      <c r="R995" s="54"/>
      <c r="S995" s="55"/>
      <c r="T995" s="56"/>
      <c r="U995" s="56"/>
      <c r="V995" s="42"/>
      <c r="W995" s="57"/>
      <c r="X995" s="58"/>
      <c r="Y995" s="75"/>
      <c r="Z995" s="59"/>
      <c r="AA995" s="61"/>
      <c r="AB995" s="61"/>
      <c r="AC995" s="61"/>
      <c r="AD995" s="62"/>
      <c r="AE995" s="62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x14ac:dyDescent="0.3">
      <c r="A996" s="39"/>
      <c r="B996" s="42"/>
      <c r="C996" s="42"/>
      <c r="D996" s="75"/>
      <c r="E996" s="75"/>
      <c r="F996" s="76"/>
      <c r="G996" s="47"/>
      <c r="H996" s="47"/>
      <c r="I996" s="75"/>
      <c r="J996" s="76"/>
      <c r="K996" s="76"/>
      <c r="L996" s="75"/>
      <c r="M996" s="49"/>
      <c r="N996" s="76"/>
      <c r="O996" s="49"/>
      <c r="P996" s="77"/>
      <c r="Q996" s="53"/>
      <c r="R996" s="54"/>
      <c r="S996" s="55"/>
      <c r="T996" s="56"/>
      <c r="U996" s="56"/>
      <c r="V996" s="42"/>
      <c r="W996" s="57"/>
      <c r="X996" s="58"/>
      <c r="Y996" s="75"/>
      <c r="Z996" s="59"/>
      <c r="AA996" s="61"/>
      <c r="AB996" s="61"/>
      <c r="AC996" s="61"/>
      <c r="AD996" s="62"/>
      <c r="AE996" s="62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x14ac:dyDescent="0.3">
      <c r="A997" s="39"/>
      <c r="B997" s="42"/>
      <c r="C997" s="42"/>
      <c r="D997" s="75"/>
      <c r="E997" s="75"/>
      <c r="F997" s="76"/>
      <c r="G997" s="47"/>
      <c r="H997" s="47"/>
      <c r="I997" s="75"/>
      <c r="J997" s="76"/>
      <c r="K997" s="76"/>
      <c r="L997" s="75"/>
      <c r="M997" s="49"/>
      <c r="N997" s="76"/>
      <c r="O997" s="49"/>
      <c r="P997" s="77"/>
      <c r="Q997" s="53"/>
      <c r="R997" s="54"/>
      <c r="S997" s="55"/>
      <c r="T997" s="56"/>
      <c r="U997" s="56"/>
      <c r="V997" s="42"/>
      <c r="W997" s="57"/>
      <c r="X997" s="58"/>
      <c r="Y997" s="75"/>
      <c r="Z997" s="59"/>
      <c r="AA997" s="61"/>
      <c r="AB997" s="61"/>
      <c r="AC997" s="61"/>
      <c r="AD997" s="62"/>
      <c r="AE997" s="62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x14ac:dyDescent="0.3">
      <c r="A998" s="39"/>
      <c r="B998" s="42"/>
      <c r="C998" s="42"/>
      <c r="D998" s="75"/>
      <c r="E998" s="75"/>
      <c r="F998" s="76"/>
      <c r="G998" s="47"/>
      <c r="H998" s="47"/>
      <c r="I998" s="75"/>
      <c r="J998" s="76"/>
      <c r="K998" s="76"/>
      <c r="L998" s="75"/>
      <c r="M998" s="49"/>
      <c r="N998" s="76"/>
      <c r="O998" s="49"/>
      <c r="P998" s="77"/>
      <c r="Q998" s="53"/>
      <c r="R998" s="54"/>
      <c r="S998" s="55"/>
      <c r="T998" s="56"/>
      <c r="U998" s="56"/>
      <c r="V998" s="42"/>
      <c r="W998" s="57"/>
      <c r="X998" s="58"/>
      <c r="Y998" s="75"/>
      <c r="Z998" s="59"/>
      <c r="AA998" s="61"/>
      <c r="AB998" s="61"/>
      <c r="AC998" s="61"/>
      <c r="AD998" s="62"/>
      <c r="AE998" s="62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x14ac:dyDescent="0.3">
      <c r="A999" s="39"/>
      <c r="B999" s="42"/>
      <c r="C999" s="42"/>
      <c r="D999" s="75"/>
      <c r="E999" s="75"/>
      <c r="F999" s="76"/>
      <c r="G999" s="47"/>
      <c r="H999" s="47"/>
      <c r="I999" s="75"/>
      <c r="J999" s="76"/>
      <c r="K999" s="76"/>
      <c r="L999" s="75"/>
      <c r="M999" s="49"/>
      <c r="N999" s="76"/>
      <c r="O999" s="49"/>
      <c r="P999" s="77"/>
      <c r="Q999" s="53"/>
      <c r="R999" s="54"/>
      <c r="S999" s="55"/>
      <c r="T999" s="56"/>
      <c r="U999" s="56"/>
      <c r="V999" s="42"/>
      <c r="W999" s="57"/>
      <c r="X999" s="58"/>
      <c r="Y999" s="75"/>
      <c r="Z999" s="59"/>
      <c r="AA999" s="61"/>
      <c r="AB999" s="61"/>
      <c r="AC999" s="61"/>
      <c r="AD999" s="62"/>
      <c r="AE999" s="62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x14ac:dyDescent="0.3">
      <c r="A1000" s="39"/>
      <c r="B1000" s="42"/>
      <c r="C1000" s="42"/>
      <c r="D1000" s="75"/>
      <c r="E1000" s="75"/>
      <c r="F1000" s="76"/>
      <c r="G1000" s="47"/>
      <c r="H1000" s="47"/>
      <c r="I1000" s="75"/>
      <c r="J1000" s="76"/>
      <c r="K1000" s="76"/>
      <c r="L1000" s="75"/>
      <c r="M1000" s="49"/>
      <c r="N1000" s="76"/>
      <c r="O1000" s="49"/>
      <c r="P1000" s="77"/>
      <c r="Q1000" s="53"/>
      <c r="R1000" s="54"/>
      <c r="S1000" s="55"/>
      <c r="T1000" s="56"/>
      <c r="U1000" s="56"/>
      <c r="V1000" s="42"/>
      <c r="W1000" s="57"/>
      <c r="X1000" s="58"/>
      <c r="Y1000" s="75"/>
      <c r="Z1000" s="59"/>
      <c r="AA1000" s="61"/>
      <c r="AB1000" s="61"/>
      <c r="AC1000" s="61"/>
      <c r="AD1000" s="62"/>
      <c r="AE1000" s="62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sheetProtection formatCells="0" formatColumns="0" formatRows="0" sort="0" autoFilter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A3:CA3000">
    <cfRule type="expression" dxfId="3" priority="1" stopIfTrue="1">
      <formula>$CA3="вводной узел"</formula>
    </cfRule>
    <cfRule type="expression" dxfId="2" priority="2" stopIfTrue="1">
      <formula>ODD($BZ3)</formula>
    </cfRule>
    <cfRule type="expression" dxfId="1" priority="3" stopIfTrue="1">
      <formula>AND($A3&lt;&gt;"",$A3&lt;&gt;$A2)</formula>
    </cfRule>
  </conditionalFormatting>
  <dataValidations count="6">
    <dataValidation type="list" allowBlank="1" sqref="E3:E1000" xr:uid="{00000000-0002-0000-0500-000000000000}">
      <formula1>Список_автоматов</formula1>
    </dataValidation>
    <dataValidation type="list" allowBlank="1" sqref="F3:F1000" xr:uid="{00000000-0002-0000-0500-000001000000}">
      <formula1>"да,нет"</formula1>
    </dataValidation>
    <dataValidation type="list" allowBlank="1" sqref="I3:K1000" xr:uid="{00000000-0002-0000-0500-000002000000}">
      <formula1>Список_аппаратов</formula1>
    </dataValidation>
    <dataValidation type="list" allowBlank="1" sqref="L3:L1000" xr:uid="{00000000-0002-0000-0500-000003000000}">
      <formula1>Список_модулей</formula1>
    </dataValidation>
    <dataValidation type="list" allowBlank="1" sqref="N3:N1000" xr:uid="{00000000-0002-0000-0500-000004000000}">
      <formula1>"+,=,р,б/к"</formula1>
    </dataValidation>
    <dataValidation type="list" allowBlank="1" sqref="Y3:Y1000" xr:uid="{00000000-0002-0000-0500-000005000000}">
      <formula1>"вручную"</formula1>
    </dataValidation>
  </dataValidations>
  <pageMargins left="0.4" right="0.4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H500"/>
  <sheetViews>
    <sheetView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4.4" outlineLevelCol="1" x14ac:dyDescent="0.3"/>
  <cols>
    <col min="1" max="1" width="13" customWidth="1"/>
    <col min="2" max="2" width="12" customWidth="1"/>
    <col min="3" max="3" width="24" customWidth="1"/>
    <col min="4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hidden="1" customWidth="1" outlineLevel="1"/>
  </cols>
  <sheetData>
    <row r="1" spans="1:34" x14ac:dyDescent="0.3">
      <c r="A1" s="36" t="s">
        <v>629</v>
      </c>
    </row>
    <row r="2" spans="1:34" ht="27.6" x14ac:dyDescent="0.3">
      <c r="X2" s="35" t="s">
        <v>630</v>
      </c>
      <c r="Z2" s="35" t="s">
        <v>631</v>
      </c>
      <c r="AB2" s="35" t="s">
        <v>632</v>
      </c>
      <c r="AD2" s="35" t="s">
        <v>633</v>
      </c>
    </row>
    <row r="3" spans="1:34" ht="82.8" x14ac:dyDescent="0.3">
      <c r="A3" s="35" t="s">
        <v>634</v>
      </c>
      <c r="B3" s="35" t="s">
        <v>635</v>
      </c>
      <c r="C3" s="35" t="s">
        <v>636</v>
      </c>
      <c r="D3" s="35" t="s">
        <v>637</v>
      </c>
      <c r="E3" s="35" t="s">
        <v>491</v>
      </c>
      <c r="F3" s="35" t="s">
        <v>638</v>
      </c>
      <c r="G3" s="35" t="s">
        <v>639</v>
      </c>
      <c r="H3" s="35" t="s">
        <v>66</v>
      </c>
      <c r="I3" s="35" t="s">
        <v>640</v>
      </c>
      <c r="J3" s="35" t="s">
        <v>641</v>
      </c>
      <c r="K3" s="35" t="s">
        <v>906</v>
      </c>
      <c r="L3" s="35" t="s">
        <v>642</v>
      </c>
      <c r="M3" s="35" t="s">
        <v>643</v>
      </c>
      <c r="N3" s="35" t="s">
        <v>1180</v>
      </c>
      <c r="O3" s="35" t="s">
        <v>644</v>
      </c>
      <c r="P3" s="35" t="s">
        <v>645</v>
      </c>
      <c r="R3" s="35" t="s">
        <v>592</v>
      </c>
      <c r="S3" s="35" t="s">
        <v>646</v>
      </c>
      <c r="U3" s="35" t="s">
        <v>647</v>
      </c>
      <c r="V3" s="35" t="s">
        <v>648</v>
      </c>
      <c r="W3" s="35" t="s">
        <v>649</v>
      </c>
      <c r="X3" s="38" t="s">
        <v>523</v>
      </c>
      <c r="Y3" s="35" t="s">
        <v>650</v>
      </c>
      <c r="Z3" s="35" t="s">
        <v>631</v>
      </c>
      <c r="AA3" s="35" t="s">
        <v>651</v>
      </c>
      <c r="AB3" s="38" t="s">
        <v>537</v>
      </c>
      <c r="AC3" s="35" t="s">
        <v>652</v>
      </c>
      <c r="AD3" s="38" t="s">
        <v>653</v>
      </c>
      <c r="AE3" s="35" t="s">
        <v>654</v>
      </c>
      <c r="AF3" s="35" t="s">
        <v>655</v>
      </c>
      <c r="AG3" s="35" t="s">
        <v>656</v>
      </c>
      <c r="AH3" s="35" t="s">
        <v>657</v>
      </c>
    </row>
    <row r="4" spans="1:34" x14ac:dyDescent="0.3">
      <c r="A4" s="74" t="s">
        <v>7</v>
      </c>
      <c r="B4" s="74" t="s">
        <v>293</v>
      </c>
      <c r="C4" s="74" t="s">
        <v>658</v>
      </c>
      <c r="D4" s="74"/>
      <c r="E4" s="74"/>
      <c r="F4" s="74"/>
      <c r="G4" s="74" t="s">
        <v>659</v>
      </c>
      <c r="H4" s="74" t="s">
        <v>298</v>
      </c>
      <c r="I4" s="74" t="s">
        <v>660</v>
      </c>
      <c r="J4" s="74">
        <v>10</v>
      </c>
      <c r="K4" s="74" t="s">
        <v>494</v>
      </c>
      <c r="L4" s="74">
        <v>1</v>
      </c>
      <c r="M4" s="74" t="s">
        <v>289</v>
      </c>
      <c r="N4" s="38">
        <f>IF(OR(A4="Автомат",A4="Дифавтомат"),IF(W4="","",COUNTIFS(Однолинейка!$H$3:$H$3000,U4,Однолинейка!$A$3:$A$3000,Щит_спец)),IF(A4="Аппарат",IF(C4="","",COUNTIFS(Однолинейка!$I$3:$I$3000,C4,Однолинейка!$A$3:$A$3000,Щит_спец)+COUNTIFS(Однолинейка!$J$3:$J$3000,C4,Однолинейка!$A$3:$A$3000,Щит_спец)+COUNTIFS(Однолинейка!$K$3:$K$3000,C4,Однолинейка!$A$3:$A$3000,Щит_спец)),IF(A4="Модуль",IF(C4="","",COUNTIFS(Однолинейка!$AW$3:$AW$3000,"?*",Однолинейка!$AI$3:$AI$3000,C4,Однолинейка!$A$3:$A$3000,Щит_спец)),IF(A4="Клемма",IF(C4="","",IF(C4=$S$7,SUMIFS(Однолинейка!$BW$3:$BW$3000,Однолинейка!$A$3:$A$3000,Щит_спец),IF(C4=$S$8,SUMIFS(Однолинейка!$BX$3:$BX$3000,Однолинейка!$A$3:$A$3000,Щит_спец),""))),""))))</f>
        <v>0</v>
      </c>
      <c r="O4" s="74"/>
      <c r="P4" s="38">
        <f t="shared" ref="P4:P67" si="0">IF(COUNT(N4,O4)=0,"",SUM(N4,O4))</f>
        <v>0</v>
      </c>
      <c r="R4" s="38" t="s">
        <v>661</v>
      </c>
      <c r="S4" s="74" t="s">
        <v>293</v>
      </c>
      <c r="U4" s="38" t="str">
        <f t="shared" ref="U4:U67" si="1">IF(OR(A4="Автомат",A4="Дифавтомат"),I4&amp;" С"&amp;J4&amp;"А"&amp;IF(K4="да"," 30мА",IF(ISNUMBER(K4)," "&amp;K4&amp;"мА","")),"")</f>
        <v>1P С10А</v>
      </c>
      <c r="V4" s="38" t="str">
        <f t="shared" ref="V4:V67" si="2">IF(U4="","",B4&amp;"|"&amp;U4)</f>
        <v>Chint|1P С10А</v>
      </c>
      <c r="W4" s="38">
        <f>IF(AND(U4&lt;&gt;"",OR($S$4="(все)",B4=$S$4),IF($S$4="(все)",COUNTIF($U$4:U4,U4),COUNTIFS($U$4:U4,U4,$B$4:B4,B4))=1),MAX($W$3:W3)+1,"")</f>
        <v>1</v>
      </c>
      <c r="X4" s="38" t="str">
        <f t="shared" ref="X4:X67" si="3">IFERROR(INDEX($U$4:$U$500,MATCH(ROW()-3,$W$4:$W$500,0)),"")</f>
        <v>1P С10А</v>
      </c>
      <c r="Y4" s="38" t="str">
        <f>IF(AND(A4="Аппарат",C4&lt;&gt;"",OR($S$5="(все)",B4=$S$5)),MAX($Y$3:Y3)+1,"")</f>
        <v/>
      </c>
      <c r="Z4" s="38" t="str">
        <f t="shared" ref="Z4:Z67" si="4">IFERROR(INDEX($C$4:$C$500,MATCH(ROW()-3,$Y$4:$Y$500,0)),"")</f>
        <v>МК-5-1</v>
      </c>
      <c r="AA4" s="38" t="str">
        <f>IF(AND(A4="Модуль",C4&lt;&gt;"",OR($S$6="(все)",B4=$S$6)),MAX($AA$3:AA3)+1,"")</f>
        <v/>
      </c>
      <c r="AB4" s="38" t="str">
        <f t="shared" ref="AB4:AB67" si="5">IFERROR(INDEX($C$4:$C$500,MATCH(ROW()-3,$AA$4:$AA$500,0)),"")</f>
        <v>ZIOMB24V2</v>
      </c>
      <c r="AC4" s="38">
        <f>IF(OR(B4="",COUNTIF($B$4:B4,B4)&gt;1),"",MAX($AC$3:AC3)+1)</f>
        <v>1</v>
      </c>
      <c r="AD4" s="38" t="str">
        <f t="shared" ref="AD4:AD67" si="6">IFERROR(INDEX($B$4:$B$500,MATCH(ROW()-3,$AC$4:$AC$500,0)),"")</f>
        <v>Chint</v>
      </c>
      <c r="AE4" s="38" t="str">
        <f t="shared" ref="AE4:AE67" si="7">IF(AND(A4&lt;&gt;"",N(P4)&gt;0),IFERROR(MATCH(A4,$R$12:$R$25,0),99)*1000+ROW(),"")</f>
        <v/>
      </c>
      <c r="AF4" s="38" t="str">
        <f t="shared" ref="AF4:AF67" si="8">IF(AE4="","",COUNTIF($AE$4:$AE$500,"&lt;="&amp;AE4))</f>
        <v/>
      </c>
      <c r="AG4" s="38" t="str">
        <f>IF(Спецификация_авто!$L$4="","",IF(IF($S$4="(все)",COUNTIF($U$4:$U$500,Спецификация_авто!$L$4),COUNTIF($V$4:$V$500,$S$4&amp;"|"&amp;Спецификация_авто!$L$4))=0,Спецификация_авто!$L$4,""))</f>
        <v/>
      </c>
      <c r="AH4" s="38" t="str">
        <f>IF(AG4="","",COUNTIF($AG$4:AG4,"?*"))</f>
        <v/>
      </c>
    </row>
    <row r="5" spans="1:34" x14ac:dyDescent="0.3">
      <c r="A5" s="74" t="s">
        <v>7</v>
      </c>
      <c r="B5" s="74" t="s">
        <v>293</v>
      </c>
      <c r="C5" s="74" t="s">
        <v>662</v>
      </c>
      <c r="D5" s="74"/>
      <c r="E5" s="74"/>
      <c r="F5" s="74"/>
      <c r="G5" s="74" t="s">
        <v>663</v>
      </c>
      <c r="H5" s="74" t="s">
        <v>297</v>
      </c>
      <c r="I5" s="74" t="s">
        <v>660</v>
      </c>
      <c r="J5" s="74">
        <v>16</v>
      </c>
      <c r="K5" s="74" t="s">
        <v>494</v>
      </c>
      <c r="L5" s="74">
        <v>1</v>
      </c>
      <c r="M5" s="74" t="s">
        <v>289</v>
      </c>
      <c r="N5" s="38">
        <f>IF(OR(A5="Автомат",A5="Дифавтомат"),IF(W5="","",COUNTIFS(Однолинейка!$H$3:$H$3000,U5,Однолинейка!$A$3:$A$3000,Щит_спец)),IF(A5="Аппарат",IF(C5="","",COUNTIFS(Однолинейка!$I$3:$I$3000,C5,Однолинейка!$A$3:$A$3000,Щит_спец)+COUNTIFS(Однолинейка!$J$3:$J$3000,C5,Однолинейка!$A$3:$A$3000,Щит_спец)+COUNTIFS(Однолинейка!$K$3:$K$3000,C5,Однолинейка!$A$3:$A$3000,Щит_спец)),IF(A5="Модуль",IF(C5="","",COUNTIFS(Однолинейка!$AW$3:$AW$3000,"?*",Однолинейка!$AI$3:$AI$3000,C5,Однолинейка!$A$3:$A$3000,Щит_спец)),IF(A5="Клемма",IF(C5="","",IF(C5=$S$7,SUMIFS(Однолинейка!$BW$3:$BW$3000,Однолинейка!$A$3:$A$3000,Щит_спец),IF(C5=$S$8,SUMIFS(Однолинейка!$BX$3:$BX$3000,Однолинейка!$A$3:$A$3000,Щит_спец),""))),""))))</f>
        <v>0</v>
      </c>
      <c r="O5" s="74"/>
      <c r="P5" s="38">
        <f t="shared" si="0"/>
        <v>0</v>
      </c>
      <c r="R5" s="38" t="s">
        <v>664</v>
      </c>
      <c r="S5" s="74" t="s">
        <v>653</v>
      </c>
      <c r="U5" s="38" t="str">
        <f t="shared" si="1"/>
        <v>1P С16А</v>
      </c>
      <c r="V5" s="38" t="str">
        <f t="shared" si="2"/>
        <v>Chint|1P С16А</v>
      </c>
      <c r="W5" s="38">
        <f>IF(AND(U5&lt;&gt;"",OR($S$4="(все)",B5=$S$4),IF($S$4="(все)",COUNTIF($U$4:U5,U5),COUNTIFS($U$4:U5,U5,$B$4:B5,B5))=1),MAX($W$3:W4)+1,"")</f>
        <v>2</v>
      </c>
      <c r="X5" s="38" t="str">
        <f t="shared" si="3"/>
        <v>1P С16А</v>
      </c>
      <c r="Y5" s="38" t="str">
        <f>IF(AND(A5="Аппарат",C5&lt;&gt;"",OR($S$5="(все)",B5=$S$5)),MAX($Y$3:Y4)+1,"")</f>
        <v/>
      </c>
      <c r="Z5" s="38" t="str">
        <f t="shared" si="4"/>
        <v>КМ NCH8-63/40</v>
      </c>
      <c r="AA5" s="38" t="str">
        <f>IF(AND(A5="Модуль",C5&lt;&gt;"",OR($S$6="(все)",B5=$S$6)),MAX($AA$3:AA4)+1,"")</f>
        <v/>
      </c>
      <c r="AB5" s="38" t="str">
        <f t="shared" si="5"/>
        <v>ZIO-MB24</v>
      </c>
      <c r="AC5" s="38" t="str">
        <f>IF(OR(B5="",COUNTIF($B$4:B5,B5)&gt;1),"",MAX($AC$3:AC4)+1)</f>
        <v/>
      </c>
      <c r="AD5" s="38" t="str">
        <f t="shared" si="6"/>
        <v>Россия</v>
      </c>
      <c r="AE5" s="38" t="str">
        <f t="shared" si="7"/>
        <v/>
      </c>
      <c r="AF5" s="38" t="str">
        <f t="shared" si="8"/>
        <v/>
      </c>
      <c r="AG5" s="38" t="str">
        <f>IF(Спецификация_авто!$L$5="","",IF(IF($S$4="(все)",COUNTIF($U$4:$U$500,Спецификация_авто!$L$5),COUNTIF($V$4:$V$500,$S$4&amp;"|"&amp;Спецификация_авто!$L$5))=0,Спецификация_авто!$L$5,""))</f>
        <v/>
      </c>
      <c r="AH5" s="38" t="str">
        <f>IF(AG5="","",COUNTIF($AG$4:AG5,"?*"))</f>
        <v/>
      </c>
    </row>
    <row r="6" spans="1:34" x14ac:dyDescent="0.3">
      <c r="A6" s="74" t="s">
        <v>7</v>
      </c>
      <c r="B6" s="74" t="s">
        <v>293</v>
      </c>
      <c r="C6" s="74" t="s">
        <v>665</v>
      </c>
      <c r="D6" s="74"/>
      <c r="E6" s="74"/>
      <c r="F6" s="74"/>
      <c r="G6" s="74" t="s">
        <v>666</v>
      </c>
      <c r="H6" s="74" t="s">
        <v>667</v>
      </c>
      <c r="I6" s="74" t="s">
        <v>668</v>
      </c>
      <c r="J6" s="74">
        <v>20</v>
      </c>
      <c r="K6" s="74" t="s">
        <v>494</v>
      </c>
      <c r="L6" s="74">
        <v>3</v>
      </c>
      <c r="M6" s="74" t="s">
        <v>289</v>
      </c>
      <c r="N6" s="38">
        <f>IF(OR(A6="Автомат",A6="Дифавтомат"),IF(W6="","",COUNTIFS(Однолинейка!$H$3:$H$3000,U6,Однолинейка!$A$3:$A$3000,Щит_спец)),IF(A6="Аппарат",IF(C6="","",COUNTIFS(Однолинейка!$I$3:$I$3000,C6,Однолинейка!$A$3:$A$3000,Щит_спец)+COUNTIFS(Однолинейка!$J$3:$J$3000,C6,Однолинейка!$A$3:$A$3000,Щит_спец)+COUNTIFS(Однолинейка!$K$3:$K$3000,C6,Однолинейка!$A$3:$A$3000,Щит_спец)),IF(A6="Модуль",IF(C6="","",COUNTIFS(Однолинейка!$AW$3:$AW$3000,"?*",Однолинейка!$AI$3:$AI$3000,C6,Однолинейка!$A$3:$A$3000,Щит_спец)),IF(A6="Клемма",IF(C6="","",IF(C6=$S$7,SUMIFS(Однолинейка!$BW$3:$BW$3000,Однолинейка!$A$3:$A$3000,Щит_спец),IF(C6=$S$8,SUMIFS(Однолинейка!$BX$3:$BX$3000,Однолинейка!$A$3:$A$3000,Щит_спец),""))),""))))</f>
        <v>0</v>
      </c>
      <c r="O6" s="74"/>
      <c r="P6" s="38">
        <f t="shared" si="0"/>
        <v>0</v>
      </c>
      <c r="R6" s="38" t="s">
        <v>669</v>
      </c>
      <c r="S6" s="74" t="s">
        <v>653</v>
      </c>
      <c r="U6" s="38" t="str">
        <f t="shared" si="1"/>
        <v>3P С20А</v>
      </c>
      <c r="V6" s="38" t="str">
        <f t="shared" si="2"/>
        <v>Chint|3P С20А</v>
      </c>
      <c r="W6" s="38">
        <f>IF(AND(U6&lt;&gt;"",OR($S$4="(все)",B6=$S$4),IF($S$4="(все)",COUNTIF($U$4:U6,U6),COUNTIFS($U$4:U6,U6,$B$4:B6,B6))=1),MAX($W$3:W5)+1,"")</f>
        <v>3</v>
      </c>
      <c r="X6" s="38" t="str">
        <f t="shared" si="3"/>
        <v>3P С20А</v>
      </c>
      <c r="Y6" s="38" t="str">
        <f>IF(AND(A6="Аппарат",C6&lt;&gt;"",OR($S$5="(все)",B6=$S$5)),MAX($Y$3:Y5)+1,"")</f>
        <v/>
      </c>
      <c r="Z6" s="38" t="str">
        <f t="shared" si="4"/>
        <v>КМ NCH8-40/40</v>
      </c>
      <c r="AA6" s="38" t="str">
        <f>IF(AND(A6="Модуль",C6&lt;&gt;"",OR($S$6="(все)",B6=$S$6)),MAX($AA$3:AA5)+1,"")</f>
        <v/>
      </c>
      <c r="AB6" s="38" t="str">
        <f t="shared" si="5"/>
        <v>ZIOMB16V3</v>
      </c>
      <c r="AC6" s="38" t="str">
        <f>IF(OR(B6="",COUNTIF($B$4:B6,B6)&gt;1),"",MAX($AC$3:AC5)+1)</f>
        <v/>
      </c>
      <c r="AD6" s="38" t="str">
        <f t="shared" si="6"/>
        <v>Arlight</v>
      </c>
      <c r="AE6" s="38" t="str">
        <f t="shared" si="7"/>
        <v/>
      </c>
      <c r="AF6" s="38" t="str">
        <f t="shared" si="8"/>
        <v/>
      </c>
      <c r="AG6" s="38" t="str">
        <f>IF(Спецификация_авто!$L$6="","",IF(IF($S$4="(все)",COUNTIF($U$4:$U$500,Спецификация_авто!$L$6),COUNTIF($V$4:$V$500,$S$4&amp;"|"&amp;Спецификация_авто!$L$6))=0,Спецификация_авто!$L$6,""))</f>
        <v/>
      </c>
      <c r="AH6" s="38" t="str">
        <f>IF(AG6="","",COUNTIF($AG$4:AG6,"?*"))</f>
        <v/>
      </c>
    </row>
    <row r="7" spans="1:34" x14ac:dyDescent="0.3">
      <c r="A7" s="74" t="s">
        <v>7</v>
      </c>
      <c r="B7" s="74" t="s">
        <v>293</v>
      </c>
      <c r="C7" s="74" t="s">
        <v>670</v>
      </c>
      <c r="D7" s="74"/>
      <c r="E7" s="74"/>
      <c r="F7" s="74"/>
      <c r="G7" s="74" t="s">
        <v>671</v>
      </c>
      <c r="H7" s="74" t="s">
        <v>672</v>
      </c>
      <c r="I7" s="74" t="s">
        <v>673</v>
      </c>
      <c r="J7" s="74">
        <v>50</v>
      </c>
      <c r="K7" s="74" t="s">
        <v>494</v>
      </c>
      <c r="L7" s="74">
        <v>4</v>
      </c>
      <c r="M7" s="74" t="s">
        <v>289</v>
      </c>
      <c r="N7" s="38">
        <f>IF(OR(A7="Автомат",A7="Дифавтомат"),IF(W7="","",COUNTIFS(Однолинейка!$H$3:$H$3000,U7,Однолинейка!$A$3:$A$3000,Щит_спец)),IF(A7="Аппарат",IF(C7="","",COUNTIFS(Однолинейка!$I$3:$I$3000,C7,Однолинейка!$A$3:$A$3000,Щит_спец)+COUNTIFS(Однолинейка!$J$3:$J$3000,C7,Однолинейка!$A$3:$A$3000,Щит_спец)+COUNTIFS(Однолинейка!$K$3:$K$3000,C7,Однолинейка!$A$3:$A$3000,Щит_спец)),IF(A7="Модуль",IF(C7="","",COUNTIFS(Однолинейка!$AW$3:$AW$3000,"?*",Однолинейка!$AI$3:$AI$3000,C7,Однолинейка!$A$3:$A$3000,Щит_спец)),IF(A7="Клемма",IF(C7="","",IF(C7=$S$7,SUMIFS(Однолинейка!$BW$3:$BW$3000,Однолинейка!$A$3:$A$3000,Щит_спец),IF(C7=$S$8,SUMIFS(Однолинейка!$BX$3:$BX$3000,Однолинейка!$A$3:$A$3000,Щит_спец),""))),""))))</f>
        <v>0</v>
      </c>
      <c r="O7" s="74"/>
      <c r="P7" s="38">
        <f t="shared" si="0"/>
        <v>0</v>
      </c>
      <c r="R7" s="38" t="s">
        <v>674</v>
      </c>
      <c r="S7" s="74" t="s">
        <v>324</v>
      </c>
      <c r="U7" s="38" t="str">
        <f t="shared" si="1"/>
        <v>4P С50А</v>
      </c>
      <c r="V7" s="38" t="str">
        <f t="shared" si="2"/>
        <v>Chint|4P С50А</v>
      </c>
      <c r="W7" s="38">
        <f>IF(AND(U7&lt;&gt;"",OR($S$4="(все)",B7=$S$4),IF($S$4="(все)",COUNTIF($U$4:U7,U7),COUNTIFS($U$4:U7,U7,$B$4:B7,B7))=1),MAX($W$3:W6)+1,"")</f>
        <v>4</v>
      </c>
      <c r="X7" s="38" t="str">
        <f t="shared" si="3"/>
        <v>4P С50А</v>
      </c>
      <c r="Y7" s="38" t="str">
        <f>IF(AND(A7="Аппарат",C7&lt;&gt;"",OR($S$5="(все)",B7=$S$5)),MAX($Y$3:Y6)+1,"")</f>
        <v/>
      </c>
      <c r="Z7" s="38" t="str">
        <f t="shared" si="4"/>
        <v>NJVA1-100</v>
      </c>
      <c r="AA7" s="38" t="str">
        <f>IF(AND(A7="Модуль",C7&lt;&gt;"",OR($S$6="(все)",B7=$S$6)),MAX($AA$3:AA6)+1,"")</f>
        <v/>
      </c>
      <c r="AB7" s="38" t="str">
        <f t="shared" si="5"/>
        <v>ZIOMB8V3</v>
      </c>
      <c r="AC7" s="38" t="str">
        <f>IF(OR(B7="",COUNTIF($B$4:B7,B7)&gt;1),"",MAX($AC$3:AC6)+1)</f>
        <v/>
      </c>
      <c r="AD7" s="38" t="str">
        <f t="shared" si="6"/>
        <v>Zennio</v>
      </c>
      <c r="AE7" s="38" t="str">
        <f t="shared" si="7"/>
        <v/>
      </c>
      <c r="AF7" s="38" t="str">
        <f t="shared" si="8"/>
        <v/>
      </c>
      <c r="AG7" s="38" t="str">
        <f>IF(Спецификация_авто!$L$7="","",IF(IF($S$4="(все)",COUNTIF($U$4:$U$500,Спецификация_авто!$L$7),COUNTIF($V$4:$V$500,$S$4&amp;"|"&amp;Спецификация_авто!$L$7))=0,Спецификация_авто!$L$7,""))</f>
        <v/>
      </c>
      <c r="AH7" s="38" t="str">
        <f>IF(AG7="","",COUNTIF($AG$4:AG7,"?*"))</f>
        <v/>
      </c>
    </row>
    <row r="8" spans="1:34" x14ac:dyDescent="0.3">
      <c r="A8" s="74" t="s">
        <v>7</v>
      </c>
      <c r="B8" s="74" t="s">
        <v>293</v>
      </c>
      <c r="C8" s="74" t="s">
        <v>675</v>
      </c>
      <c r="D8" s="74"/>
      <c r="E8" s="74"/>
      <c r="F8" s="74"/>
      <c r="G8" s="74" t="s">
        <v>676</v>
      </c>
      <c r="H8" s="74" t="s">
        <v>375</v>
      </c>
      <c r="I8" s="74" t="s">
        <v>668</v>
      </c>
      <c r="J8" s="74">
        <v>80</v>
      </c>
      <c r="K8" s="74" t="s">
        <v>494</v>
      </c>
      <c r="L8" s="74">
        <v>4.5</v>
      </c>
      <c r="M8" s="74" t="s">
        <v>289</v>
      </c>
      <c r="N8" s="38">
        <f>IF(OR(A8="Автомат",A8="Дифавтомат"),IF(W8="","",COUNTIFS(Однолинейка!$H$3:$H$3000,U8,Однолинейка!$A$3:$A$3000,Щит_спец)),IF(A8="Аппарат",IF(C8="","",COUNTIFS(Однолинейка!$I$3:$I$3000,C8,Однолинейка!$A$3:$A$3000,Щит_спец)+COUNTIFS(Однолинейка!$J$3:$J$3000,C8,Однолинейка!$A$3:$A$3000,Щит_спец)+COUNTIFS(Однолинейка!$K$3:$K$3000,C8,Однолинейка!$A$3:$A$3000,Щит_спец)),IF(A8="Модуль",IF(C8="","",COUNTIFS(Однолинейка!$AW$3:$AW$3000,"?*",Однолинейка!$AI$3:$AI$3000,C8,Однолинейка!$A$3:$A$3000,Щит_спец)),IF(A8="Клемма",IF(C8="","",IF(C8=$S$7,SUMIFS(Однолинейка!$BW$3:$BW$3000,Однолинейка!$A$3:$A$3000,Щит_спец),IF(C8=$S$8,SUMIFS(Однолинейка!$BX$3:$BX$3000,Однолинейка!$A$3:$A$3000,Щит_спец),""))),""))))</f>
        <v>0</v>
      </c>
      <c r="O8" s="74"/>
      <c r="P8" s="38">
        <f t="shared" si="0"/>
        <v>0</v>
      </c>
      <c r="R8" s="38" t="s">
        <v>677</v>
      </c>
      <c r="S8" s="74" t="s">
        <v>406</v>
      </c>
      <c r="U8" s="38" t="str">
        <f t="shared" si="1"/>
        <v>3P С80А</v>
      </c>
      <c r="V8" s="38" t="str">
        <f t="shared" si="2"/>
        <v>Chint|3P С80А</v>
      </c>
      <c r="W8" s="38">
        <f>IF(AND(U8&lt;&gt;"",OR($S$4="(все)",B8=$S$4),IF($S$4="(все)",COUNTIF($U$4:U8,U8),COUNTIFS($U$4:U8,U8,$B$4:B8,B8))=1),MAX($W$3:W7)+1,"")</f>
        <v>5</v>
      </c>
      <c r="X8" s="38" t="str">
        <f t="shared" si="3"/>
        <v>3P С80А</v>
      </c>
      <c r="Y8" s="38" t="str">
        <f>IF(AND(A8="Аппарат",C8&lt;&gt;"",OR($S$5="(все)",B8=$S$5)),MAX($Y$3:Y7)+1,"")</f>
        <v/>
      </c>
      <c r="Z8" s="38" t="str">
        <f t="shared" si="4"/>
        <v>NZK1-32 2P</v>
      </c>
      <c r="AA8" s="38" t="str">
        <f>IF(AND(A8="Модуль",C8&lt;&gt;"",OR($S$6="(все)",B8=$S$6)),MAX($AA$3:AA7)+1,"")</f>
        <v/>
      </c>
      <c r="AB8" s="38" t="str">
        <f t="shared" si="5"/>
        <v>ZCL-8HT230</v>
      </c>
      <c r="AC8" s="38" t="str">
        <f>IF(OR(B8="",COUNTIF($B$4:B8,B8)&gt;1),"",MAX($AC$3:AC7)+1)</f>
        <v/>
      </c>
      <c r="AD8" s="38" t="str">
        <f t="shared" si="6"/>
        <v>—</v>
      </c>
      <c r="AE8" s="38" t="str">
        <f t="shared" si="7"/>
        <v/>
      </c>
      <c r="AF8" s="38" t="str">
        <f t="shared" si="8"/>
        <v/>
      </c>
      <c r="AG8" s="38" t="str">
        <f>IF(Спецификация_авто!$L$8="","",IF(IF($S$4="(все)",COUNTIF($U$4:$U$500,Спецификация_авто!$L$8),COUNTIF($V$4:$V$500,$S$4&amp;"|"&amp;Спецификация_авто!$L$8))=0,Спецификация_авто!$L$8,""))</f>
        <v/>
      </c>
      <c r="AH8" s="38" t="str">
        <f>IF(AG8="","",COUNTIF($AG$4:AG8,"?*"))</f>
        <v/>
      </c>
    </row>
    <row r="9" spans="1:34" x14ac:dyDescent="0.3">
      <c r="A9" s="74" t="s">
        <v>678</v>
      </c>
      <c r="B9" s="74" t="s">
        <v>293</v>
      </c>
      <c r="C9" s="74" t="s">
        <v>679</v>
      </c>
      <c r="D9" s="74"/>
      <c r="E9" s="74"/>
      <c r="F9" s="74"/>
      <c r="G9" s="74" t="s">
        <v>680</v>
      </c>
      <c r="H9" s="74" t="s">
        <v>300</v>
      </c>
      <c r="I9" s="74" t="s">
        <v>681</v>
      </c>
      <c r="J9" s="74">
        <v>16</v>
      </c>
      <c r="K9" s="74" t="s">
        <v>498</v>
      </c>
      <c r="L9" s="74">
        <v>2</v>
      </c>
      <c r="M9" s="74" t="s">
        <v>289</v>
      </c>
      <c r="N9" s="38">
        <f>IF(OR(A9="Автомат",A9="Дифавтомат"),IF(W9="","",COUNTIFS(Однолинейка!$H$3:$H$3000,U9,Однолинейка!$A$3:$A$3000,Щит_спец)),IF(A9="Аппарат",IF(C9="","",COUNTIFS(Однолинейка!$I$3:$I$3000,C9,Однолинейка!$A$3:$A$3000,Щит_спец)+COUNTIFS(Однолинейка!$J$3:$J$3000,C9,Однолинейка!$A$3:$A$3000,Щит_спец)+COUNTIFS(Однолинейка!$K$3:$K$3000,C9,Однолинейка!$A$3:$A$3000,Щит_спец)),IF(A9="Модуль",IF(C9="","",COUNTIFS(Однолинейка!$AW$3:$AW$3000,"?*",Однолинейка!$AI$3:$AI$3000,C9,Однолинейка!$A$3:$A$3000,Щит_спец)),IF(A9="Клемма",IF(C9="","",IF(C9=$S$7,SUMIFS(Однолинейка!$BW$3:$BW$3000,Однолинейка!$A$3:$A$3000,Щит_спец),IF(C9=$S$8,SUMIFS(Однолинейка!$BX$3:$BX$3000,Однолинейка!$A$3:$A$3000,Щит_спец),""))),""))))</f>
        <v>0</v>
      </c>
      <c r="O9" s="74"/>
      <c r="P9" s="38">
        <f t="shared" si="0"/>
        <v>0</v>
      </c>
      <c r="R9" s="38" t="s">
        <v>682</v>
      </c>
      <c r="S9" s="74">
        <v>1</v>
      </c>
      <c r="U9" s="38" t="str">
        <f t="shared" si="1"/>
        <v>2P С16А 30мА</v>
      </c>
      <c r="V9" s="38" t="str">
        <f t="shared" si="2"/>
        <v>Chint|2P С16А 30мА</v>
      </c>
      <c r="W9" s="38">
        <f>IF(AND(U9&lt;&gt;"",OR($S$4="(все)",B9=$S$4),IF($S$4="(все)",COUNTIF($U$4:U9,U9),COUNTIFS($U$4:U9,U9,$B$4:B9,B9))=1),MAX($W$3:W8)+1,"")</f>
        <v>6</v>
      </c>
      <c r="X9" s="38" t="str">
        <f t="shared" si="3"/>
        <v>2P С16А 30мА</v>
      </c>
      <c r="Y9" s="38" t="str">
        <f>IF(AND(A9="Аппарат",C9&lt;&gt;"",OR($S$5="(все)",B9=$S$5)),MAX($Y$3:Y8)+1,"")</f>
        <v/>
      </c>
      <c r="Z9" s="38" t="str">
        <f t="shared" si="4"/>
        <v>БП 24V 480W</v>
      </c>
      <c r="AA9" s="38" t="str">
        <f>IF(AND(A9="Модуль",C9&lt;&gt;"",OR($S$6="(все)",B9=$S$6)),MAX($AA$3:AA8)+1,"")</f>
        <v/>
      </c>
      <c r="AB9" s="38" t="str">
        <f t="shared" si="5"/>
        <v>ZDINDX4</v>
      </c>
      <c r="AC9" s="38" t="str">
        <f>IF(OR(B9="",COUNTIF($B$4:B9,B9)&gt;1),"",MAX($AC$3:AC8)+1)</f>
        <v/>
      </c>
      <c r="AD9" s="38" t="str">
        <f t="shared" si="6"/>
        <v>DKC</v>
      </c>
      <c r="AE9" s="38" t="str">
        <f t="shared" si="7"/>
        <v/>
      </c>
      <c r="AF9" s="38" t="str">
        <f t="shared" si="8"/>
        <v/>
      </c>
      <c r="AG9" s="38" t="str">
        <f>IF(Спецификация_авто!$L$9="","",IF(IF($S$4="(все)",COUNTIF($U$4:$U$500,Спецификация_авто!$L$9),COUNTIF($V$4:$V$500,$S$4&amp;"|"&amp;Спецификация_авто!$L$9))=0,Спецификация_авто!$L$9,""))</f>
        <v/>
      </c>
      <c r="AH9" s="38" t="str">
        <f>IF(AG9="","",COUNTIF($AG$4:AG9,"?*"))</f>
        <v/>
      </c>
    </row>
    <row r="10" spans="1:34" x14ac:dyDescent="0.3">
      <c r="A10" s="74" t="s">
        <v>678</v>
      </c>
      <c r="B10" s="74" t="s">
        <v>293</v>
      </c>
      <c r="C10" s="74" t="s">
        <v>683</v>
      </c>
      <c r="D10" s="74"/>
      <c r="E10" s="74"/>
      <c r="F10" s="74"/>
      <c r="G10" s="74" t="s">
        <v>684</v>
      </c>
      <c r="H10" s="74" t="s">
        <v>391</v>
      </c>
      <c r="I10" s="74" t="s">
        <v>681</v>
      </c>
      <c r="J10" s="74">
        <v>20</v>
      </c>
      <c r="K10" s="74" t="s">
        <v>498</v>
      </c>
      <c r="L10" s="74">
        <v>2</v>
      </c>
      <c r="M10" s="74" t="s">
        <v>289</v>
      </c>
      <c r="N10" s="38">
        <f>IF(OR(A10="Автомат",A10="Дифавтомат"),IF(W10="","",COUNTIFS(Однолинейка!$H$3:$H$3000,U10,Однолинейка!$A$3:$A$3000,Щит_спец)),IF(A10="Аппарат",IF(C10="","",COUNTIFS(Однолинейка!$I$3:$I$3000,C10,Однолинейка!$A$3:$A$3000,Щит_спец)+COUNTIFS(Однолинейка!$J$3:$J$3000,C10,Однолинейка!$A$3:$A$3000,Щит_спец)+COUNTIFS(Однолинейка!$K$3:$K$3000,C10,Однолинейка!$A$3:$A$3000,Щит_спец)),IF(A10="Модуль",IF(C10="","",COUNTIFS(Однолинейка!$AW$3:$AW$3000,"?*",Однолинейка!$AI$3:$AI$3000,C10,Однолинейка!$A$3:$A$3000,Щит_спец)),IF(A10="Клемма",IF(C10="","",IF(C10=$S$7,SUMIFS(Однолинейка!$BW$3:$BW$3000,Однолинейка!$A$3:$A$3000,Щит_спец),IF(C10=$S$8,SUMIFS(Однолинейка!$BX$3:$BX$3000,Однолинейка!$A$3:$A$3000,Щит_спец),""))),""))))</f>
        <v>0</v>
      </c>
      <c r="O10" s="74"/>
      <c r="P10" s="38">
        <f t="shared" si="0"/>
        <v>0</v>
      </c>
      <c r="U10" s="38" t="str">
        <f t="shared" si="1"/>
        <v>2P С20А 30мА</v>
      </c>
      <c r="V10" s="38" t="str">
        <f t="shared" si="2"/>
        <v>Chint|2P С20А 30мА</v>
      </c>
      <c r="W10" s="38">
        <f>IF(AND(U10&lt;&gt;"",OR($S$4="(все)",B10=$S$4),IF($S$4="(все)",COUNTIF($U$4:U10,U10),COUNTIFS($U$4:U10,U10,$B$4:B10,B10))=1),MAX($W$3:W9)+1,"")</f>
        <v>7</v>
      </c>
      <c r="X10" s="38" t="str">
        <f t="shared" si="3"/>
        <v>2P С20А 30мА</v>
      </c>
      <c r="Y10" s="38" t="str">
        <f>IF(AND(A10="Аппарат",C10&lt;&gt;"",OR($S$5="(все)",B10=$S$5)),MAX($Y$3:Y9)+1,"")</f>
        <v/>
      </c>
      <c r="Z10" s="38" t="str">
        <f t="shared" si="4"/>
        <v>БП 24V 75W</v>
      </c>
      <c r="AA10" s="38" t="str">
        <f>IF(AND(A10="Модуль",C10&lt;&gt;"",OR($S$6="(все)",B10=$S$6)),MAX($AA$3:AA9)+1,"")</f>
        <v/>
      </c>
      <c r="AB10" s="38" t="str">
        <f t="shared" si="5"/>
        <v>ZDID64X2</v>
      </c>
      <c r="AC10" s="38" t="str">
        <f>IF(OR(B10="",COUNTIF($B$4:B10,B10)&gt;1),"",MAX($AC$3:AC9)+1)</f>
        <v/>
      </c>
      <c r="AD10" s="38" t="str">
        <f t="shared" si="6"/>
        <v>EKF</v>
      </c>
      <c r="AE10" s="38" t="str">
        <f t="shared" si="7"/>
        <v/>
      </c>
      <c r="AF10" s="38" t="str">
        <f t="shared" si="8"/>
        <v/>
      </c>
      <c r="AG10" s="38" t="str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  <v/>
      </c>
      <c r="AH10" s="38" t="str">
        <f>IF(AG10="","",COUNTIF($AG$4:AG10,"?*"))</f>
        <v/>
      </c>
    </row>
    <row r="11" spans="1:34" ht="27.6" x14ac:dyDescent="0.3">
      <c r="A11" s="74" t="s">
        <v>678</v>
      </c>
      <c r="B11" s="74" t="s">
        <v>293</v>
      </c>
      <c r="C11" s="74" t="s">
        <v>685</v>
      </c>
      <c r="D11" s="74"/>
      <c r="E11" s="74"/>
      <c r="F11" s="74"/>
      <c r="G11" s="74" t="s">
        <v>686</v>
      </c>
      <c r="H11" s="74" t="s">
        <v>299</v>
      </c>
      <c r="I11" s="74" t="s">
        <v>681</v>
      </c>
      <c r="J11" s="74">
        <v>32</v>
      </c>
      <c r="K11" s="74" t="s">
        <v>498</v>
      </c>
      <c r="L11" s="74">
        <v>2</v>
      </c>
      <c r="M11" s="74" t="s">
        <v>289</v>
      </c>
      <c r="N11" s="38">
        <f>IF(OR(A11="Автомат",A11="Дифавтомат"),IF(W11="","",COUNTIFS(Однолинейка!$H$3:$H$3000,U11,Однолинейка!$A$3:$A$3000,Щит_спец)),IF(A11="Аппарат",IF(C11="","",COUNTIFS(Однолинейка!$I$3:$I$3000,C11,Однолинейка!$A$3:$A$3000,Щит_спец)+COUNTIFS(Однолинейка!$J$3:$J$3000,C11,Однолинейка!$A$3:$A$3000,Щит_спец)+COUNTIFS(Однолинейка!$K$3:$K$3000,C11,Однолинейка!$A$3:$A$3000,Щит_спец)),IF(A11="Модуль",IF(C11="","",COUNTIFS(Однолинейка!$AW$3:$AW$3000,"?*",Однолинейка!$AI$3:$AI$3000,C11,Однолинейка!$A$3:$A$3000,Щит_спец)),IF(A11="Клемма",IF(C11="","",IF(C11=$S$7,SUMIFS(Однолинейка!$BW$3:$BW$3000,Однолинейка!$A$3:$A$3000,Щит_спец),IF(C11=$S$8,SUMIFS(Однолинейка!$BX$3:$BX$3000,Однолинейка!$A$3:$A$3000,Щит_спец),""))),""))))</f>
        <v>0</v>
      </c>
      <c r="O11" s="74"/>
      <c r="P11" s="38">
        <f t="shared" si="0"/>
        <v>0</v>
      </c>
      <c r="R11" s="35" t="s">
        <v>687</v>
      </c>
      <c r="S11" s="35"/>
      <c r="U11" s="38" t="str">
        <f t="shared" si="1"/>
        <v>2P С32А 30мА</v>
      </c>
      <c r="V11" s="38" t="str">
        <f t="shared" si="2"/>
        <v>Chint|2P С32А 30мА</v>
      </c>
      <c r="W11" s="38">
        <f>IF(AND(U11&lt;&gt;"",OR($S$4="(все)",B11=$S$4),IF($S$4="(все)",COUNTIF($U$4:U11,U11),COUNTIFS($U$4:U11,U11,$B$4:B11,B11))=1),MAX($W$3:W10)+1,"")</f>
        <v>8</v>
      </c>
      <c r="X11" s="38" t="str">
        <f t="shared" si="3"/>
        <v>2P С32А 30мА</v>
      </c>
      <c r="Y11" s="38" t="str">
        <f>IF(AND(A11="Аппарат",C11&lt;&gt;"",OR($S$5="(все)",B11=$S$5)),MAX($Y$3:Y10)+1,"")</f>
        <v/>
      </c>
      <c r="Z11" s="38" t="str">
        <f t="shared" si="4"/>
        <v>БП 12V 135W</v>
      </c>
      <c r="AA11" s="38" t="str">
        <f>IF(AND(A11="Модуль",C11&lt;&gt;"",OR($S$6="(все)",B11=$S$6)),MAX($AA$3:AA10)+1,"")</f>
        <v/>
      </c>
      <c r="AB11" s="38" t="str">
        <f t="shared" si="5"/>
        <v>ZIO-RQUAD8</v>
      </c>
      <c r="AC11" s="38" t="str">
        <f>IF(OR(B11="",COUNTIF($B$4:B11,B11)&gt;1),"",MAX($AC$3:AC10)+1)</f>
        <v/>
      </c>
      <c r="AD11" s="38" t="str">
        <f t="shared" si="6"/>
        <v>РЭК</v>
      </c>
      <c r="AE11" s="38" t="str">
        <f t="shared" si="7"/>
        <v/>
      </c>
      <c r="AF11" s="38" t="str">
        <f t="shared" si="8"/>
        <v/>
      </c>
      <c r="AG11" s="38" t="str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  <v/>
      </c>
      <c r="AH11" s="38" t="str">
        <f>IF(AG11="","",COUNTIF($AG$4:AG11,"?*"))</f>
        <v/>
      </c>
    </row>
    <row r="12" spans="1:34" x14ac:dyDescent="0.3">
      <c r="A12" s="74" t="s">
        <v>688</v>
      </c>
      <c r="B12" s="74" t="s">
        <v>306</v>
      </c>
      <c r="C12" s="74" t="s">
        <v>538</v>
      </c>
      <c r="D12" s="74"/>
      <c r="E12" s="74"/>
      <c r="F12" s="74"/>
      <c r="G12" s="74" t="s">
        <v>304</v>
      </c>
      <c r="H12" s="74" t="s">
        <v>305</v>
      </c>
      <c r="I12" s="74"/>
      <c r="J12" s="74"/>
      <c r="K12" s="74"/>
      <c r="L12" s="74">
        <v>1</v>
      </c>
      <c r="M12" s="74" t="s">
        <v>289</v>
      </c>
      <c r="N12" s="38">
        <f>IF(OR(A12="Автомат",A12="Дифавтомат"),IF(W12="","",COUNTIFS(Однолинейка!$H$3:$H$3000,U12,Однолинейка!$A$3:$A$3000,Щит_спец)),IF(A12="Аппарат",IF(C12="","",COUNTIFS(Однолинейка!$I$3:$I$3000,C12,Однолинейка!$A$3:$A$3000,Щит_спец)+COUNTIFS(Однолинейка!$J$3:$J$3000,C12,Однолинейка!$A$3:$A$3000,Щит_спец)+COUNTIFS(Однолинейка!$K$3:$K$3000,C12,Однолинейка!$A$3:$A$3000,Щит_спец)),IF(A12="Модуль",IF(C12="","",COUNTIFS(Однолинейка!$AW$3:$AW$3000,"?*",Однолинейка!$AI$3:$AI$3000,C12,Однолинейка!$A$3:$A$3000,Щит_спец)),IF(A12="Клемма",IF(C12="","",IF(C12=$S$7,SUMIFS(Однолинейка!$BW$3:$BW$3000,Однолинейка!$A$3:$A$3000,Щит_спец),IF(C12=$S$8,SUMIFS(Однолинейка!$BX$3:$BX$3000,Однолинейка!$A$3:$A$3000,Щит_спец),""))),""))))</f>
        <v>0</v>
      </c>
      <c r="O12" s="74"/>
      <c r="P12" s="38">
        <f t="shared" si="0"/>
        <v>0</v>
      </c>
      <c r="R12" s="74" t="s">
        <v>689</v>
      </c>
      <c r="U12" s="38" t="str">
        <f t="shared" si="1"/>
        <v/>
      </c>
      <c r="V12" s="38" t="str">
        <f t="shared" si="2"/>
        <v/>
      </c>
      <c r="W12" s="38" t="str">
        <f>IF(AND(U12&lt;&gt;"",OR($S$4="(все)",B12=$S$4),IF($S$4="(все)",COUNTIF($U$4:U12,U12),COUNTIFS($U$4:U12,U12,$B$4:B12,B12))=1),MAX($W$3:W11)+1,"")</f>
        <v/>
      </c>
      <c r="X12" s="38" t="str">
        <f t="shared" si="3"/>
        <v/>
      </c>
      <c r="Y12" s="38">
        <f>IF(AND(A12="Аппарат",C12&lt;&gt;"",OR($S$5="(все)",B12=$S$5)),MAX($Y$3:Y11)+1,"")</f>
        <v>1</v>
      </c>
      <c r="Z12" s="38" t="str">
        <f t="shared" si="4"/>
        <v>БП 12V 15W</v>
      </c>
      <c r="AA12" s="38" t="str">
        <f>IF(AND(A12="Модуль",C12&lt;&gt;"",OR($S$6="(все)",B12=$S$6)),MAX($AA$3:AA11)+1,"")</f>
        <v/>
      </c>
      <c r="AB12" s="38" t="str">
        <f t="shared" si="5"/>
        <v>SMART-DALI-104</v>
      </c>
      <c r="AC12" s="38">
        <f>IF(OR(B12="",COUNTIF($B$4:B12,B12)&gt;1),"",MAX($AC$3:AC11)+1)</f>
        <v>2</v>
      </c>
      <c r="AD12" s="38" t="str">
        <f t="shared" si="6"/>
        <v>КВТ</v>
      </c>
      <c r="AE12" s="38" t="str">
        <f t="shared" si="7"/>
        <v/>
      </c>
      <c r="AF12" s="38" t="str">
        <f t="shared" si="8"/>
        <v/>
      </c>
      <c r="AG12" s="38" t="str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  <v/>
      </c>
      <c r="AH12" s="38" t="str">
        <f>IF(AG12="","",COUNTIF($AG$4:AG12,"?*"))</f>
        <v/>
      </c>
    </row>
    <row r="13" spans="1:34" x14ac:dyDescent="0.3">
      <c r="A13" s="74" t="s">
        <v>688</v>
      </c>
      <c r="B13" s="74" t="s">
        <v>293</v>
      </c>
      <c r="C13" s="74" t="s">
        <v>690</v>
      </c>
      <c r="D13" s="74"/>
      <c r="E13" s="74"/>
      <c r="F13" s="74"/>
      <c r="G13" s="74" t="s">
        <v>691</v>
      </c>
      <c r="H13" s="74" t="s">
        <v>295</v>
      </c>
      <c r="I13" s="74"/>
      <c r="J13" s="74"/>
      <c r="K13" s="74"/>
      <c r="L13" s="74">
        <v>3</v>
      </c>
      <c r="M13" s="74" t="s">
        <v>289</v>
      </c>
      <c r="N13" s="38">
        <f>IF(OR(A13="Автомат",A13="Дифавтомат"),IF(W13="","",COUNTIFS(Однолинейка!$H$3:$H$3000,U13,Однолинейка!$A$3:$A$3000,Щит_спец)),IF(A13="Аппарат",IF(C13="","",COUNTIFS(Однолинейка!$I$3:$I$3000,C13,Однолинейка!$A$3:$A$3000,Щит_спец)+COUNTIFS(Однолинейка!$J$3:$J$3000,C13,Однолинейка!$A$3:$A$3000,Щит_спец)+COUNTIFS(Однолинейка!$K$3:$K$3000,C13,Однолинейка!$A$3:$A$3000,Щит_спец)),IF(A13="Модуль",IF(C13="","",COUNTIFS(Однолинейка!$AW$3:$AW$3000,"?*",Однолинейка!$AI$3:$AI$3000,C13,Однолинейка!$A$3:$A$3000,Щит_спец)),IF(A13="Клемма",IF(C13="","",IF(C13=$S$7,SUMIFS(Однолинейка!$BW$3:$BW$3000,Однолинейка!$A$3:$A$3000,Щит_спец),IF(C13=$S$8,SUMIFS(Однолинейка!$BX$3:$BX$3000,Однолинейка!$A$3:$A$3000,Щит_спец),""))),""))))</f>
        <v>0</v>
      </c>
      <c r="O13" s="74"/>
      <c r="P13" s="38">
        <f t="shared" si="0"/>
        <v>0</v>
      </c>
      <c r="R13" s="74" t="s">
        <v>7</v>
      </c>
      <c r="U13" s="38" t="str">
        <f t="shared" si="1"/>
        <v/>
      </c>
      <c r="V13" s="38" t="str">
        <f t="shared" si="2"/>
        <v/>
      </c>
      <c r="W13" s="38" t="str">
        <f>IF(AND(U13&lt;&gt;"",OR($S$4="(все)",B13=$S$4),IF($S$4="(все)",COUNTIF($U$4:U13,U13),COUNTIFS($U$4:U13,U13,$B$4:B13,B13))=1),MAX($W$3:W12)+1,"")</f>
        <v/>
      </c>
      <c r="X13" s="38" t="str">
        <f t="shared" si="3"/>
        <v/>
      </c>
      <c r="Y13" s="38">
        <f>IF(AND(A13="Аппарат",C13&lt;&gt;"",OR($S$5="(все)",B13=$S$5)),MAX($Y$3:Y12)+1,"")</f>
        <v>2</v>
      </c>
      <c r="Z13" s="38" t="str">
        <f t="shared" si="4"/>
        <v>ZPSU640</v>
      </c>
      <c r="AA13" s="38" t="str">
        <f>IF(AND(A13="Модуль",C13&lt;&gt;"",OR($S$6="(все)",B13=$S$6)),MAX($AA$3:AA12)+1,"")</f>
        <v/>
      </c>
      <c r="AB13" s="38" t="str">
        <f t="shared" si="5"/>
        <v>уточнить-R</v>
      </c>
      <c r="AC13" s="38" t="str">
        <f>IF(OR(B13="",COUNTIF($B$4:B13,B13)&gt;1),"",MAX($AC$3:AC12)+1)</f>
        <v/>
      </c>
      <c r="AD13" s="38" t="str">
        <f t="shared" si="6"/>
        <v/>
      </c>
      <c r="AE13" s="38" t="str">
        <f t="shared" si="7"/>
        <v/>
      </c>
      <c r="AF13" s="38" t="str">
        <f t="shared" si="8"/>
        <v/>
      </c>
      <c r="AG13" s="38" t="str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  <v/>
      </c>
      <c r="AH13" s="38" t="str">
        <f>IF(AG13="","",COUNTIF($AG$4:AG13,"?*"))</f>
        <v/>
      </c>
    </row>
    <row r="14" spans="1:34" x14ac:dyDescent="0.3">
      <c r="A14" s="74" t="s">
        <v>688</v>
      </c>
      <c r="B14" s="74" t="s">
        <v>293</v>
      </c>
      <c r="C14" s="74" t="s">
        <v>692</v>
      </c>
      <c r="D14" s="74"/>
      <c r="E14" s="74"/>
      <c r="F14" s="74"/>
      <c r="G14" s="74" t="s">
        <v>693</v>
      </c>
      <c r="H14" s="74" t="s">
        <v>301</v>
      </c>
      <c r="I14" s="74"/>
      <c r="J14" s="74"/>
      <c r="K14" s="74"/>
      <c r="L14" s="74">
        <v>3</v>
      </c>
      <c r="M14" s="74" t="s">
        <v>289</v>
      </c>
      <c r="N14" s="38">
        <f>IF(OR(A14="Автомат",A14="Дифавтомат"),IF(W14="","",COUNTIFS(Однолинейка!$H$3:$H$3000,U14,Однолинейка!$A$3:$A$3000,Щит_спец)),IF(A14="Аппарат",IF(C14="","",COUNTIFS(Однолинейка!$I$3:$I$3000,C14,Однолинейка!$A$3:$A$3000,Щит_спец)+COUNTIFS(Однолинейка!$J$3:$J$3000,C14,Однолинейка!$A$3:$A$3000,Щит_спец)+COUNTIFS(Однолинейка!$K$3:$K$3000,C14,Однолинейка!$A$3:$A$3000,Щит_спец)),IF(A14="Модуль",IF(C14="","",COUNTIFS(Однолинейка!$AW$3:$AW$3000,"?*",Однолинейка!$AI$3:$AI$3000,C14,Однолинейка!$A$3:$A$3000,Щит_спец)),IF(A14="Клемма",IF(C14="","",IF(C14=$S$7,SUMIFS(Однолинейка!$BW$3:$BW$3000,Однолинейка!$A$3:$A$3000,Щит_спец),IF(C14=$S$8,SUMIFS(Однолинейка!$BX$3:$BX$3000,Однолинейка!$A$3:$A$3000,Щит_спец),""))),""))))</f>
        <v>0</v>
      </c>
      <c r="O14" s="74"/>
      <c r="P14" s="38">
        <f t="shared" si="0"/>
        <v>0</v>
      </c>
      <c r="R14" s="74" t="s">
        <v>678</v>
      </c>
      <c r="U14" s="38" t="str">
        <f t="shared" si="1"/>
        <v/>
      </c>
      <c r="V14" s="38" t="str">
        <f t="shared" si="2"/>
        <v/>
      </c>
      <c r="W14" s="38" t="str">
        <f>IF(AND(U14&lt;&gt;"",OR($S$4="(все)",B14=$S$4),IF($S$4="(все)",COUNTIF($U$4:U14,U14),COUNTIFS($U$4:U14,U14,$B$4:B14,B14))=1),MAX($W$3:W13)+1,"")</f>
        <v/>
      </c>
      <c r="X14" s="38" t="str">
        <f t="shared" si="3"/>
        <v/>
      </c>
      <c r="Y14" s="38">
        <f>IF(AND(A14="Аппарат",C14&lt;&gt;"",OR($S$5="(все)",B14=$S$5)),MAX($Y$3:Y13)+1,"")</f>
        <v>3</v>
      </c>
      <c r="Z14" s="38" t="str">
        <f t="shared" si="4"/>
        <v/>
      </c>
      <c r="AA14" s="38" t="str">
        <f>IF(AND(A14="Модуль",C14&lt;&gt;"",OR($S$6="(все)",B14=$S$6)),MAX($AA$3:AA13)+1,"")</f>
        <v/>
      </c>
      <c r="AB14" s="38" t="str">
        <f t="shared" si="5"/>
        <v>уточнить-Z</v>
      </c>
      <c r="AC14" s="38" t="str">
        <f>IF(OR(B14="",COUNTIF($B$4:B14,B14)&gt;1),"",MAX($AC$3:AC13)+1)</f>
        <v/>
      </c>
      <c r="AD14" s="38" t="str">
        <f t="shared" si="6"/>
        <v/>
      </c>
      <c r="AE14" s="38" t="str">
        <f t="shared" si="7"/>
        <v/>
      </c>
      <c r="AF14" s="38" t="str">
        <f t="shared" si="8"/>
        <v/>
      </c>
      <c r="AG14" s="38" t="str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  <v/>
      </c>
      <c r="AH14" s="38" t="str">
        <f>IF(AG14="","",COUNTIF($AG$4:AG14,"?*"))</f>
        <v/>
      </c>
    </row>
    <row r="15" spans="1:34" x14ac:dyDescent="0.3">
      <c r="A15" s="74" t="s">
        <v>688</v>
      </c>
      <c r="B15" s="74" t="s">
        <v>293</v>
      </c>
      <c r="C15" s="74" t="s">
        <v>694</v>
      </c>
      <c r="D15" s="74"/>
      <c r="E15" s="74"/>
      <c r="F15" s="74"/>
      <c r="G15" s="74" t="s">
        <v>371</v>
      </c>
      <c r="H15" s="74" t="s">
        <v>372</v>
      </c>
      <c r="I15" s="74"/>
      <c r="J15" s="74"/>
      <c r="K15" s="74"/>
      <c r="L15" s="74"/>
      <c r="M15" s="74" t="s">
        <v>289</v>
      </c>
      <c r="N15" s="38">
        <f>IF(OR(A15="Автомат",A15="Дифавтомат"),IF(W15="","",COUNTIFS(Однолинейка!$H$3:$H$3000,U15,Однолинейка!$A$3:$A$3000,Щит_спец)),IF(A15="Аппарат",IF(C15="","",COUNTIFS(Однолинейка!$I$3:$I$3000,C15,Однолинейка!$A$3:$A$3000,Щит_спец)+COUNTIFS(Однолинейка!$J$3:$J$3000,C15,Однолинейка!$A$3:$A$3000,Щит_спец)+COUNTIFS(Однолинейка!$K$3:$K$3000,C15,Однолинейка!$A$3:$A$3000,Щит_спец)),IF(A15="Модуль",IF(C15="","",COUNTIFS(Однолинейка!$AW$3:$AW$3000,"?*",Однолинейка!$AI$3:$AI$3000,C15,Однолинейка!$A$3:$A$3000,Щит_спец)),IF(A15="Клемма",IF(C15="","",IF(C15=$S$7,SUMIFS(Однолинейка!$BW$3:$BW$3000,Однолинейка!$A$3:$A$3000,Щит_спец),IF(C15=$S$8,SUMIFS(Однолинейка!$BX$3:$BX$3000,Однолинейка!$A$3:$A$3000,Щит_спец),""))),""))))</f>
        <v>0</v>
      </c>
      <c r="O15" s="74"/>
      <c r="P15" s="38">
        <f t="shared" si="0"/>
        <v>0</v>
      </c>
      <c r="R15" s="74" t="s">
        <v>688</v>
      </c>
      <c r="U15" s="38" t="str">
        <f t="shared" si="1"/>
        <v/>
      </c>
      <c r="V15" s="38" t="str">
        <f t="shared" si="2"/>
        <v/>
      </c>
      <c r="W15" s="38" t="str">
        <f>IF(AND(U15&lt;&gt;"",OR($S$4="(все)",B15=$S$4),IF($S$4="(все)",COUNTIF($U$4:U15,U15),COUNTIFS($U$4:U15,U15,$B$4:B15,B15))=1),MAX($W$3:W14)+1,"")</f>
        <v/>
      </c>
      <c r="X15" s="38" t="str">
        <f t="shared" si="3"/>
        <v/>
      </c>
      <c r="Y15" s="38">
        <f>IF(AND(A15="Аппарат",C15&lt;&gt;"",OR($S$5="(все)",B15=$S$5)),MAX($Y$3:Y14)+1,"")</f>
        <v>4</v>
      </c>
      <c r="Z15" s="38" t="str">
        <f t="shared" si="4"/>
        <v/>
      </c>
      <c r="AA15" s="38" t="str">
        <f>IF(AND(A15="Модуль",C15&lt;&gt;"",OR($S$6="(все)",B15=$S$6)),MAX($AA$3:AA14)+1,"")</f>
        <v/>
      </c>
      <c r="AB15" s="38" t="str">
        <f t="shared" si="5"/>
        <v/>
      </c>
      <c r="AC15" s="38" t="str">
        <f>IF(OR(B15="",COUNTIF($B$4:B15,B15)&gt;1),"",MAX($AC$3:AC14)+1)</f>
        <v/>
      </c>
      <c r="AD15" s="38" t="str">
        <f t="shared" si="6"/>
        <v/>
      </c>
      <c r="AE15" s="38" t="str">
        <f t="shared" si="7"/>
        <v/>
      </c>
      <c r="AF15" s="38" t="str">
        <f t="shared" si="8"/>
        <v/>
      </c>
      <c r="AG15" s="38" t="str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  <v/>
      </c>
      <c r="AH15" s="38" t="str">
        <f>IF(AG15="","",COUNTIF($AG$4:AG15,"?*"))</f>
        <v/>
      </c>
    </row>
    <row r="16" spans="1:34" x14ac:dyDescent="0.3">
      <c r="A16" s="74" t="s">
        <v>688</v>
      </c>
      <c r="B16" s="74" t="s">
        <v>293</v>
      </c>
      <c r="C16" s="74" t="s">
        <v>695</v>
      </c>
      <c r="D16" s="74"/>
      <c r="E16" s="74"/>
      <c r="F16" s="74"/>
      <c r="G16" s="74" t="s">
        <v>696</v>
      </c>
      <c r="H16" s="74" t="s">
        <v>296</v>
      </c>
      <c r="I16" s="74"/>
      <c r="J16" s="74"/>
      <c r="K16" s="74"/>
      <c r="L16" s="74"/>
      <c r="M16" s="74" t="s">
        <v>289</v>
      </c>
      <c r="N16" s="38">
        <f>IF(OR(A16="Автомат",A16="Дифавтомат"),IF(W16="","",COUNTIFS(Однолинейка!$H$3:$H$3000,U16,Однолинейка!$A$3:$A$3000,Щит_спец)),IF(A16="Аппарат",IF(C16="","",COUNTIFS(Однолинейка!$I$3:$I$3000,C16,Однолинейка!$A$3:$A$3000,Щит_спец)+COUNTIFS(Однолинейка!$J$3:$J$3000,C16,Однолинейка!$A$3:$A$3000,Щит_спец)+COUNTIFS(Однолинейка!$K$3:$K$3000,C16,Однолинейка!$A$3:$A$3000,Щит_спец)),IF(A16="Модуль",IF(C16="","",COUNTIFS(Однолинейка!$AW$3:$AW$3000,"?*",Однолинейка!$AI$3:$AI$3000,C16,Однолинейка!$A$3:$A$3000,Щит_спец)),IF(A16="Клемма",IF(C16="","",IF(C16=$S$7,SUMIFS(Однолинейка!$BW$3:$BW$3000,Однолинейка!$A$3:$A$3000,Щит_спец),IF(C16=$S$8,SUMIFS(Однолинейка!$BX$3:$BX$3000,Однолинейка!$A$3:$A$3000,Щит_спец),""))),""))))</f>
        <v>0</v>
      </c>
      <c r="O16" s="74"/>
      <c r="P16" s="38">
        <f t="shared" si="0"/>
        <v>0</v>
      </c>
      <c r="R16" s="74" t="s">
        <v>442</v>
      </c>
      <c r="U16" s="38" t="str">
        <f t="shared" si="1"/>
        <v/>
      </c>
      <c r="V16" s="38" t="str">
        <f t="shared" si="2"/>
        <v/>
      </c>
      <c r="W16" s="38" t="str">
        <f>IF(AND(U16&lt;&gt;"",OR($S$4="(все)",B16=$S$4),IF($S$4="(все)",COUNTIF($U$4:U16,U16),COUNTIFS($U$4:U16,U16,$B$4:B16,B16))=1),MAX($W$3:W15)+1,"")</f>
        <v/>
      </c>
      <c r="X16" s="38" t="str">
        <f t="shared" si="3"/>
        <v/>
      </c>
      <c r="Y16" s="38">
        <f>IF(AND(A16="Аппарат",C16&lt;&gt;"",OR($S$5="(все)",B16=$S$5)),MAX($Y$3:Y15)+1,"")</f>
        <v>5</v>
      </c>
      <c r="Z16" s="38" t="str">
        <f t="shared" si="4"/>
        <v/>
      </c>
      <c r="AA16" s="38" t="str">
        <f>IF(AND(A16="Модуль",C16&lt;&gt;"",OR($S$6="(все)",B16=$S$6)),MAX($AA$3:AA15)+1,"")</f>
        <v/>
      </c>
      <c r="AB16" s="38" t="str">
        <f t="shared" si="5"/>
        <v/>
      </c>
      <c r="AC16" s="38" t="str">
        <f>IF(OR(B16="",COUNTIF($B$4:B16,B16)&gt;1),"",MAX($AC$3:AC15)+1)</f>
        <v/>
      </c>
      <c r="AD16" s="38" t="str">
        <f t="shared" si="6"/>
        <v/>
      </c>
      <c r="AE16" s="38" t="str">
        <f t="shared" si="7"/>
        <v/>
      </c>
      <c r="AF16" s="38" t="str">
        <f t="shared" si="8"/>
        <v/>
      </c>
      <c r="AG16" s="38" t="str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  <v/>
      </c>
      <c r="AH16" s="38" t="str">
        <f>IF(AG16="","",COUNTIF($AG$4:AG16,"?*"))</f>
        <v/>
      </c>
    </row>
    <row r="17" spans="1:34" x14ac:dyDescent="0.3">
      <c r="A17" s="74" t="s">
        <v>688</v>
      </c>
      <c r="B17" s="74" t="s">
        <v>302</v>
      </c>
      <c r="C17" s="74" t="s">
        <v>697</v>
      </c>
      <c r="D17" s="74"/>
      <c r="E17" s="74"/>
      <c r="F17" s="74"/>
      <c r="G17" s="74" t="s">
        <v>698</v>
      </c>
      <c r="H17" s="74" t="s">
        <v>370</v>
      </c>
      <c r="I17" s="74"/>
      <c r="J17" s="74"/>
      <c r="K17" s="74"/>
      <c r="L17" s="74"/>
      <c r="M17" s="74" t="s">
        <v>289</v>
      </c>
      <c r="N17" s="38">
        <f>IF(OR(A17="Автомат",A17="Дифавтомат"),IF(W17="","",COUNTIFS(Однолинейка!$H$3:$H$3000,U17,Однолинейка!$A$3:$A$3000,Щит_спец)),IF(A17="Аппарат",IF(C17="","",COUNTIFS(Однолинейка!$I$3:$I$3000,C17,Однолинейка!$A$3:$A$3000,Щит_спец)+COUNTIFS(Однолинейка!$J$3:$J$3000,C17,Однолинейка!$A$3:$A$3000,Щит_спец)+COUNTIFS(Однолинейка!$K$3:$K$3000,C17,Однолинейка!$A$3:$A$3000,Щит_спец)),IF(A17="Модуль",IF(C17="","",COUNTIFS(Однолинейка!$AW$3:$AW$3000,"?*",Однолинейка!$AI$3:$AI$3000,C17,Однолинейка!$A$3:$A$3000,Щит_спец)),IF(A17="Клемма",IF(C17="","",IF(C17=$S$7,SUMIFS(Однолинейка!$BW$3:$BW$3000,Однолинейка!$A$3:$A$3000,Щит_спец),IF(C17=$S$8,SUMIFS(Однолинейка!$BX$3:$BX$3000,Однолинейка!$A$3:$A$3000,Щит_спец),""))),""))))</f>
        <v>0</v>
      </c>
      <c r="O17" s="74"/>
      <c r="P17" s="38">
        <f t="shared" si="0"/>
        <v>0</v>
      </c>
      <c r="R17" s="74" t="s">
        <v>699</v>
      </c>
      <c r="U17" s="38" t="str">
        <f t="shared" si="1"/>
        <v/>
      </c>
      <c r="V17" s="38" t="str">
        <f t="shared" si="2"/>
        <v/>
      </c>
      <c r="W17" s="38" t="str">
        <f>IF(AND(U17&lt;&gt;"",OR($S$4="(все)",B17=$S$4),IF($S$4="(все)",COUNTIF($U$4:U17,U17),COUNTIFS($U$4:U17,U17,$B$4:B17,B17))=1),MAX($W$3:W16)+1,"")</f>
        <v/>
      </c>
      <c r="X17" s="38" t="str">
        <f t="shared" si="3"/>
        <v/>
      </c>
      <c r="Y17" s="38">
        <f>IF(AND(A17="Аппарат",C17&lt;&gt;"",OR($S$5="(все)",B17=$S$5)),MAX($Y$3:Y16)+1,"")</f>
        <v>6</v>
      </c>
      <c r="Z17" s="38" t="str">
        <f t="shared" si="4"/>
        <v/>
      </c>
      <c r="AA17" s="38" t="str">
        <f>IF(AND(A17="Модуль",C17&lt;&gt;"",OR($S$6="(все)",B17=$S$6)),MAX($AA$3:AA16)+1,"")</f>
        <v/>
      </c>
      <c r="AB17" s="38" t="str">
        <f t="shared" si="5"/>
        <v/>
      </c>
      <c r="AC17" s="38">
        <f>IF(OR(B17="",COUNTIF($B$4:B17,B17)&gt;1),"",MAX($AC$3:AC16)+1)</f>
        <v>3</v>
      </c>
      <c r="AD17" s="38" t="str">
        <f t="shared" si="6"/>
        <v/>
      </c>
      <c r="AE17" s="38" t="str">
        <f t="shared" si="7"/>
        <v/>
      </c>
      <c r="AF17" s="38" t="str">
        <f t="shared" si="8"/>
        <v/>
      </c>
      <c r="AG17" s="38" t="str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  <v/>
      </c>
      <c r="AH17" s="38" t="str">
        <f>IF(AG17="","",COUNTIF($AG$4:AG17,"?*"))</f>
        <v/>
      </c>
    </row>
    <row r="18" spans="1:34" x14ac:dyDescent="0.3">
      <c r="A18" s="74" t="s">
        <v>688</v>
      </c>
      <c r="B18" s="74" t="s">
        <v>302</v>
      </c>
      <c r="C18" s="74" t="s">
        <v>700</v>
      </c>
      <c r="D18" s="74"/>
      <c r="E18" s="74"/>
      <c r="F18" s="74"/>
      <c r="G18" s="74" t="s">
        <v>413</v>
      </c>
      <c r="H18" s="74" t="s">
        <v>414</v>
      </c>
      <c r="I18" s="74"/>
      <c r="J18" s="74"/>
      <c r="K18" s="74"/>
      <c r="L18" s="74"/>
      <c r="M18" s="74" t="s">
        <v>289</v>
      </c>
      <c r="N18" s="38">
        <f>IF(OR(A18="Автомат",A18="Дифавтомат"),IF(W18="","",COUNTIFS(Однолинейка!$H$3:$H$3000,U18,Однолинейка!$A$3:$A$3000,Щит_спец)),IF(A18="Аппарат",IF(C18="","",COUNTIFS(Однолинейка!$I$3:$I$3000,C18,Однолинейка!$A$3:$A$3000,Щит_спец)+COUNTIFS(Однолинейка!$J$3:$J$3000,C18,Однолинейка!$A$3:$A$3000,Щит_спец)+COUNTIFS(Однолинейка!$K$3:$K$3000,C18,Однолинейка!$A$3:$A$3000,Щит_спец)),IF(A18="Модуль",IF(C18="","",COUNTIFS(Однолинейка!$AW$3:$AW$3000,"?*",Однолинейка!$AI$3:$AI$3000,C18,Однолинейка!$A$3:$A$3000,Щит_спец)),IF(A18="Клемма",IF(C18="","",IF(C18=$S$7,SUMIFS(Однолинейка!$BW$3:$BW$3000,Однолинейка!$A$3:$A$3000,Щит_спец),IF(C18=$S$8,SUMIFS(Однолинейка!$BX$3:$BX$3000,Однолинейка!$A$3:$A$3000,Щит_спец),""))),""))))</f>
        <v>0</v>
      </c>
      <c r="O18" s="74"/>
      <c r="P18" s="38">
        <f t="shared" si="0"/>
        <v>0</v>
      </c>
      <c r="R18" s="74" t="s">
        <v>445</v>
      </c>
      <c r="U18" s="38" t="str">
        <f t="shared" si="1"/>
        <v/>
      </c>
      <c r="V18" s="38" t="str">
        <f t="shared" si="2"/>
        <v/>
      </c>
      <c r="W18" s="38" t="str">
        <f>IF(AND(U18&lt;&gt;"",OR($S$4="(все)",B18=$S$4),IF($S$4="(все)",COUNTIF($U$4:U18,U18),COUNTIFS($U$4:U18,U18,$B$4:B18,B18))=1),MAX($W$3:W17)+1,"")</f>
        <v/>
      </c>
      <c r="X18" s="38" t="str">
        <f t="shared" si="3"/>
        <v/>
      </c>
      <c r="Y18" s="38">
        <f>IF(AND(A18="Аппарат",C18&lt;&gt;"",OR($S$5="(все)",B18=$S$5)),MAX($Y$3:Y17)+1,"")</f>
        <v>7</v>
      </c>
      <c r="Z18" s="38" t="str">
        <f t="shared" si="4"/>
        <v/>
      </c>
      <c r="AA18" s="38" t="str">
        <f>IF(AND(A18="Модуль",C18&lt;&gt;"",OR($S$6="(все)",B18=$S$6)),MAX($AA$3:AA17)+1,"")</f>
        <v/>
      </c>
      <c r="AB18" s="38" t="str">
        <f t="shared" si="5"/>
        <v/>
      </c>
      <c r="AC18" s="38" t="str">
        <f>IF(OR(B18="",COUNTIF($B$4:B18,B18)&gt;1),"",MAX($AC$3:AC17)+1)</f>
        <v/>
      </c>
      <c r="AD18" s="38" t="str">
        <f t="shared" si="6"/>
        <v/>
      </c>
      <c r="AE18" s="38" t="str">
        <f t="shared" si="7"/>
        <v/>
      </c>
      <c r="AF18" s="38" t="str">
        <f t="shared" si="8"/>
        <v/>
      </c>
      <c r="AG18" s="38" t="str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  <v/>
      </c>
      <c r="AH18" s="38" t="str">
        <f>IF(AG18="","",COUNTIF($AG$4:AG18,"?*"))</f>
        <v/>
      </c>
    </row>
    <row r="19" spans="1:34" x14ac:dyDescent="0.3">
      <c r="A19" s="74" t="s">
        <v>688</v>
      </c>
      <c r="B19" s="74" t="s">
        <v>302</v>
      </c>
      <c r="C19" s="74" t="s">
        <v>701</v>
      </c>
      <c r="D19" s="74"/>
      <c r="E19" s="74"/>
      <c r="F19" s="74"/>
      <c r="G19" s="74" t="s">
        <v>415</v>
      </c>
      <c r="H19" s="74" t="s">
        <v>416</v>
      </c>
      <c r="I19" s="74"/>
      <c r="J19" s="74"/>
      <c r="K19" s="74"/>
      <c r="L19" s="74"/>
      <c r="M19" s="74" t="s">
        <v>289</v>
      </c>
      <c r="N19" s="38">
        <f>IF(OR(A19="Автомат",A19="Дифавтомат"),IF(W19="","",COUNTIFS(Однолинейка!$H$3:$H$3000,U19,Однолинейка!$A$3:$A$3000,Щит_спец)),IF(A19="Аппарат",IF(C19="","",COUNTIFS(Однолинейка!$I$3:$I$3000,C19,Однолинейка!$A$3:$A$3000,Щит_спец)+COUNTIFS(Однолинейка!$J$3:$J$3000,C19,Однолинейка!$A$3:$A$3000,Щит_спец)+COUNTIFS(Однолинейка!$K$3:$K$3000,C19,Однолинейка!$A$3:$A$3000,Щит_спец)),IF(A19="Модуль",IF(C19="","",COUNTIFS(Однолинейка!$AW$3:$AW$3000,"?*",Однолинейка!$AI$3:$AI$3000,C19,Однолинейка!$A$3:$A$3000,Щит_спец)),IF(A19="Клемма",IF(C19="","",IF(C19=$S$7,SUMIFS(Однолинейка!$BW$3:$BW$3000,Однолинейка!$A$3:$A$3000,Щит_спец),IF(C19=$S$8,SUMIFS(Однолинейка!$BX$3:$BX$3000,Однолинейка!$A$3:$A$3000,Щит_спец),""))),""))))</f>
        <v>0</v>
      </c>
      <c r="O19" s="74"/>
      <c r="P19" s="38">
        <f t="shared" si="0"/>
        <v>0</v>
      </c>
      <c r="R19" s="74" t="s">
        <v>702</v>
      </c>
      <c r="U19" s="38" t="str">
        <f t="shared" si="1"/>
        <v/>
      </c>
      <c r="V19" s="38" t="str">
        <f t="shared" si="2"/>
        <v/>
      </c>
      <c r="W19" s="38" t="str">
        <f>IF(AND(U19&lt;&gt;"",OR($S$4="(все)",B19=$S$4),IF($S$4="(все)",COUNTIF($U$4:U19,U19),COUNTIFS($U$4:U19,U19,$B$4:B19,B19))=1),MAX($W$3:W18)+1,"")</f>
        <v/>
      </c>
      <c r="X19" s="38" t="str">
        <f t="shared" si="3"/>
        <v/>
      </c>
      <c r="Y19" s="38">
        <f>IF(AND(A19="Аппарат",C19&lt;&gt;"",OR($S$5="(все)",B19=$S$5)),MAX($Y$3:Y18)+1,"")</f>
        <v>8</v>
      </c>
      <c r="Z19" s="38" t="str">
        <f t="shared" si="4"/>
        <v/>
      </c>
      <c r="AA19" s="38" t="str">
        <f>IF(AND(A19="Модуль",C19&lt;&gt;"",OR($S$6="(все)",B19=$S$6)),MAX($AA$3:AA18)+1,"")</f>
        <v/>
      </c>
      <c r="AB19" s="38" t="str">
        <f t="shared" si="5"/>
        <v/>
      </c>
      <c r="AC19" s="38" t="str">
        <f>IF(OR(B19="",COUNTIF($B$4:B19,B19)&gt;1),"",MAX($AC$3:AC18)+1)</f>
        <v/>
      </c>
      <c r="AD19" s="38" t="str">
        <f t="shared" si="6"/>
        <v/>
      </c>
      <c r="AE19" s="38" t="str">
        <f t="shared" si="7"/>
        <v/>
      </c>
      <c r="AF19" s="38" t="str">
        <f t="shared" si="8"/>
        <v/>
      </c>
      <c r="AG19" s="38" t="str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  <v/>
      </c>
      <c r="AH19" s="38" t="str">
        <f>IF(AG19="","",COUNTIF($AG$4:AG19,"?*"))</f>
        <v/>
      </c>
    </row>
    <row r="20" spans="1:34" x14ac:dyDescent="0.3">
      <c r="A20" s="74" t="s">
        <v>688</v>
      </c>
      <c r="B20" s="74" t="s">
        <v>302</v>
      </c>
      <c r="C20" s="74" t="s">
        <v>703</v>
      </c>
      <c r="D20" s="74"/>
      <c r="E20" s="74"/>
      <c r="F20" s="74"/>
      <c r="G20" s="74" t="s">
        <v>417</v>
      </c>
      <c r="H20" s="74" t="s">
        <v>418</v>
      </c>
      <c r="I20" s="74"/>
      <c r="J20" s="74"/>
      <c r="K20" s="74"/>
      <c r="L20" s="74"/>
      <c r="M20" s="74" t="s">
        <v>289</v>
      </c>
      <c r="N20" s="38">
        <f>IF(OR(A20="Автомат",A20="Дифавтомат"),IF(W20="","",COUNTIFS(Однолинейка!$H$3:$H$3000,U20,Однолинейка!$A$3:$A$3000,Щит_спец)),IF(A20="Аппарат",IF(C20="","",COUNTIFS(Однолинейка!$I$3:$I$3000,C20,Однолинейка!$A$3:$A$3000,Щит_спец)+COUNTIFS(Однолинейка!$J$3:$J$3000,C20,Однолинейка!$A$3:$A$3000,Щит_спец)+COUNTIFS(Однолинейка!$K$3:$K$3000,C20,Однолинейка!$A$3:$A$3000,Щит_спец)),IF(A20="Модуль",IF(C20="","",COUNTIFS(Однолинейка!$AW$3:$AW$3000,"?*",Однолинейка!$AI$3:$AI$3000,C20,Однолинейка!$A$3:$A$3000,Щит_спец)),IF(A20="Клемма",IF(C20="","",IF(C20=$S$7,SUMIFS(Однолинейка!$BW$3:$BW$3000,Однолинейка!$A$3:$A$3000,Щит_спец),IF(C20=$S$8,SUMIFS(Однолинейка!$BX$3:$BX$3000,Однолинейка!$A$3:$A$3000,Щит_спец),""))),""))))</f>
        <v>0</v>
      </c>
      <c r="O20" s="74"/>
      <c r="P20" s="38">
        <f t="shared" si="0"/>
        <v>0</v>
      </c>
      <c r="R20" s="74" t="s">
        <v>613</v>
      </c>
      <c r="U20" s="38" t="str">
        <f t="shared" si="1"/>
        <v/>
      </c>
      <c r="V20" s="38" t="str">
        <f t="shared" si="2"/>
        <v/>
      </c>
      <c r="W20" s="38" t="str">
        <f>IF(AND(U20&lt;&gt;"",OR($S$4="(все)",B20=$S$4),IF($S$4="(все)",COUNTIF($U$4:U20,U20),COUNTIFS($U$4:U20,U20,$B$4:B20,B20))=1),MAX($W$3:W19)+1,"")</f>
        <v/>
      </c>
      <c r="X20" s="38" t="str">
        <f t="shared" si="3"/>
        <v/>
      </c>
      <c r="Y20" s="38">
        <f>IF(AND(A20="Аппарат",C20&lt;&gt;"",OR($S$5="(все)",B20=$S$5)),MAX($Y$3:Y19)+1,"")</f>
        <v>9</v>
      </c>
      <c r="Z20" s="38" t="str">
        <f t="shared" si="4"/>
        <v/>
      </c>
      <c r="AA20" s="38" t="str">
        <f>IF(AND(A20="Модуль",C20&lt;&gt;"",OR($S$6="(все)",B20=$S$6)),MAX($AA$3:AA19)+1,"")</f>
        <v/>
      </c>
      <c r="AB20" s="38" t="str">
        <f t="shared" si="5"/>
        <v/>
      </c>
      <c r="AC20" s="38" t="str">
        <f>IF(OR(B20="",COUNTIF($B$4:B20,B20)&gt;1),"",MAX($AC$3:AC19)+1)</f>
        <v/>
      </c>
      <c r="AD20" s="38" t="str">
        <f t="shared" si="6"/>
        <v/>
      </c>
      <c r="AE20" s="38" t="str">
        <f t="shared" si="7"/>
        <v/>
      </c>
      <c r="AF20" s="38" t="str">
        <f t="shared" si="8"/>
        <v/>
      </c>
      <c r="AG20" s="38" t="str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  <v/>
      </c>
      <c r="AH20" s="38" t="str">
        <f>IF(AG20="","",COUNTIF($AG$4:AG20,"?*"))</f>
        <v/>
      </c>
    </row>
    <row r="21" spans="1:34" x14ac:dyDescent="0.3">
      <c r="A21" s="74" t="s">
        <v>688</v>
      </c>
      <c r="B21" s="74" t="s">
        <v>309</v>
      </c>
      <c r="C21" s="74" t="s">
        <v>308</v>
      </c>
      <c r="D21" s="74"/>
      <c r="E21" s="74"/>
      <c r="F21" s="74"/>
      <c r="G21" s="74" t="s">
        <v>704</v>
      </c>
      <c r="H21" s="74" t="s">
        <v>308</v>
      </c>
      <c r="I21" s="74"/>
      <c r="J21" s="74"/>
      <c r="K21" s="74"/>
      <c r="L21" s="74"/>
      <c r="M21" s="74" t="s">
        <v>289</v>
      </c>
      <c r="N21" s="38">
        <f>IF(OR(A21="Автомат",A21="Дифавтомат"),IF(W21="","",COUNTIFS(Однолинейка!$H$3:$H$3000,U21,Однолинейка!$A$3:$A$3000,Щит_спец)),IF(A21="Аппарат",IF(C21="","",COUNTIFS(Однолинейка!$I$3:$I$3000,C21,Однолинейка!$A$3:$A$3000,Щит_спец)+COUNTIFS(Однолинейка!$J$3:$J$3000,C21,Однолинейка!$A$3:$A$3000,Щит_спец)+COUNTIFS(Однолинейка!$K$3:$K$3000,C21,Однолинейка!$A$3:$A$3000,Щит_спец)),IF(A21="Модуль",IF(C21="","",COUNTIFS(Однолинейка!$AW$3:$AW$3000,"?*",Однолинейка!$AI$3:$AI$3000,C21,Однолинейка!$A$3:$A$3000,Щит_спец)),IF(A21="Клемма",IF(C21="","",IF(C21=$S$7,SUMIFS(Однолинейка!$BW$3:$BW$3000,Однолинейка!$A$3:$A$3000,Щит_спец),IF(C21=$S$8,SUMIFS(Однолинейка!$BX$3:$BX$3000,Однолинейка!$A$3:$A$3000,Щит_спец),""))),""))))</f>
        <v>0</v>
      </c>
      <c r="O21" s="74"/>
      <c r="P21" s="38">
        <f t="shared" si="0"/>
        <v>0</v>
      </c>
      <c r="R21" s="74"/>
      <c r="U21" s="38" t="str">
        <f t="shared" si="1"/>
        <v/>
      </c>
      <c r="V21" s="38" t="str">
        <f t="shared" si="2"/>
        <v/>
      </c>
      <c r="W21" s="38" t="str">
        <f>IF(AND(U21&lt;&gt;"",OR($S$4="(все)",B21=$S$4),IF($S$4="(все)",COUNTIF($U$4:U21,U21),COUNTIFS($U$4:U21,U21,$B$4:B21,B21))=1),MAX($W$3:W20)+1,"")</f>
        <v/>
      </c>
      <c r="X21" s="38" t="str">
        <f t="shared" si="3"/>
        <v/>
      </c>
      <c r="Y21" s="38">
        <f>IF(AND(A21="Аппарат",C21&lt;&gt;"",OR($S$5="(все)",B21=$S$5)),MAX($Y$3:Y20)+1,"")</f>
        <v>10</v>
      </c>
      <c r="Z21" s="38" t="str">
        <f t="shared" si="4"/>
        <v/>
      </c>
      <c r="AA21" s="38" t="str">
        <f>IF(AND(A21="Модуль",C21&lt;&gt;"",OR($S$6="(все)",B21=$S$6)),MAX($AA$3:AA20)+1,"")</f>
        <v/>
      </c>
      <c r="AB21" s="38" t="str">
        <f t="shared" si="5"/>
        <v/>
      </c>
      <c r="AC21" s="38">
        <f>IF(OR(B21="",COUNTIF($B$4:B21,B21)&gt;1),"",MAX($AC$3:AC20)+1)</f>
        <v>4</v>
      </c>
      <c r="AD21" s="38" t="str">
        <f t="shared" si="6"/>
        <v/>
      </c>
      <c r="AE21" s="38" t="str">
        <f t="shared" si="7"/>
        <v/>
      </c>
      <c r="AF21" s="38" t="str">
        <f t="shared" si="8"/>
        <v/>
      </c>
      <c r="AG21" s="38" t="str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  <v/>
      </c>
      <c r="AH21" s="38" t="str">
        <f>IF(AG21="","",COUNTIF($AG$4:AG21,"?*"))</f>
        <v/>
      </c>
    </row>
    <row r="22" spans="1:34" x14ac:dyDescent="0.3">
      <c r="A22" s="74" t="s">
        <v>442</v>
      </c>
      <c r="B22" s="74" t="s">
        <v>309</v>
      </c>
      <c r="C22" s="74" t="s">
        <v>311</v>
      </c>
      <c r="D22" s="74" t="s">
        <v>32</v>
      </c>
      <c r="E22" s="74">
        <v>24</v>
      </c>
      <c r="F22" s="74" t="s">
        <v>497</v>
      </c>
      <c r="G22" s="74" t="s">
        <v>310</v>
      </c>
      <c r="H22" s="74" t="s">
        <v>311</v>
      </c>
      <c r="I22" s="74"/>
      <c r="J22" s="74"/>
      <c r="K22" s="74"/>
      <c r="L22" s="74"/>
      <c r="M22" s="74" t="s">
        <v>289</v>
      </c>
      <c r="N22" s="38">
        <f>IF(OR(A22="Автомат",A22="Дифавтомат"),IF(W22="","",COUNTIFS(Однолинейка!$H$3:$H$3000,U22,Однолинейка!$A$3:$A$3000,Щит_спец)),IF(A22="Аппарат",IF(C22="","",COUNTIFS(Однолинейка!$I$3:$I$3000,C22,Однолинейка!$A$3:$A$3000,Щит_спец)+COUNTIFS(Однолинейка!$J$3:$J$3000,C22,Однолинейка!$A$3:$A$3000,Щит_спец)+COUNTIFS(Однолинейка!$K$3:$K$3000,C22,Однолинейка!$A$3:$A$3000,Щит_спец)),IF(A22="Модуль",IF(C22="","",COUNTIFS(Однолинейка!$AW$3:$AW$3000,"?*",Однолинейка!$AI$3:$AI$3000,C22,Однолинейка!$A$3:$A$3000,Щит_спец)),IF(A22="Клемма",IF(C22="","",IF(C22=$S$7,SUMIFS(Однолинейка!$BW$3:$BW$3000,Однолинейка!$A$3:$A$3000,Щит_спец),IF(C22=$S$8,SUMIFS(Однолинейка!$BX$3:$BX$3000,Однолинейка!$A$3:$A$3000,Щит_спец),""))),""))))</f>
        <v>0</v>
      </c>
      <c r="O22" s="74"/>
      <c r="P22" s="38">
        <f t="shared" si="0"/>
        <v>0</v>
      </c>
      <c r="R22" s="74"/>
      <c r="U22" s="38" t="str">
        <f t="shared" si="1"/>
        <v/>
      </c>
      <c r="V22" s="38" t="str">
        <f t="shared" si="2"/>
        <v/>
      </c>
      <c r="W22" s="38" t="str">
        <f>IF(AND(U22&lt;&gt;"",OR($S$4="(все)",B22=$S$4),IF($S$4="(все)",COUNTIF($U$4:U22,U22),COUNTIFS($U$4:U22,U22,$B$4:B22,B22))=1),MAX($W$3:W21)+1,"")</f>
        <v/>
      </c>
      <c r="X22" s="38" t="str">
        <f t="shared" si="3"/>
        <v/>
      </c>
      <c r="Y22" s="38" t="str">
        <f>IF(AND(A22="Аппарат",C22&lt;&gt;"",OR($S$5="(все)",B22=$S$5)),MAX($Y$3:Y21)+1,"")</f>
        <v/>
      </c>
      <c r="Z22" s="38" t="str">
        <f t="shared" si="4"/>
        <v/>
      </c>
      <c r="AA22" s="38">
        <f>IF(AND(A22="Модуль",C22&lt;&gt;"",OR($S$6="(все)",B22=$S$6)),MAX($AA$3:AA21)+1,"")</f>
        <v>1</v>
      </c>
      <c r="AB22" s="38" t="str">
        <f t="shared" si="5"/>
        <v/>
      </c>
      <c r="AC22" s="38" t="str">
        <f>IF(OR(B22="",COUNTIF($B$4:B22,B22)&gt;1),"",MAX($AC$3:AC21)+1)</f>
        <v/>
      </c>
      <c r="AD22" s="38" t="str">
        <f t="shared" si="6"/>
        <v/>
      </c>
      <c r="AE22" s="38" t="str">
        <f t="shared" si="7"/>
        <v/>
      </c>
      <c r="AF22" s="38" t="str">
        <f t="shared" si="8"/>
        <v/>
      </c>
      <c r="AG22" s="38" t="str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  <v/>
      </c>
      <c r="AH22" s="38" t="str">
        <f>IF(AG22="","",COUNTIF($AG$4:AG22,"?*"))</f>
        <v/>
      </c>
    </row>
    <row r="23" spans="1:34" x14ac:dyDescent="0.3">
      <c r="A23" s="74" t="s">
        <v>442</v>
      </c>
      <c r="B23" s="74" t="s">
        <v>309</v>
      </c>
      <c r="C23" s="74" t="s">
        <v>486</v>
      </c>
      <c r="D23" s="74" t="s">
        <v>32</v>
      </c>
      <c r="E23" s="74">
        <v>24</v>
      </c>
      <c r="F23" s="74" t="s">
        <v>497</v>
      </c>
      <c r="G23" s="74" t="s">
        <v>310</v>
      </c>
      <c r="H23" s="74" t="s">
        <v>486</v>
      </c>
      <c r="I23" s="74"/>
      <c r="J23" s="74"/>
      <c r="K23" s="74"/>
      <c r="L23" s="74"/>
      <c r="M23" s="74" t="s">
        <v>289</v>
      </c>
      <c r="N23" s="38">
        <f>IF(OR(A23="Автомат",A23="Дифавтомат"),IF(W23="","",COUNTIFS(Однолинейка!$H$3:$H$3000,U23,Однолинейка!$A$3:$A$3000,Щит_спец)),IF(A23="Аппарат",IF(C23="","",COUNTIFS(Однолинейка!$I$3:$I$3000,C23,Однолинейка!$A$3:$A$3000,Щит_спец)+COUNTIFS(Однолинейка!$J$3:$J$3000,C23,Однолинейка!$A$3:$A$3000,Щит_спец)+COUNTIFS(Однолинейка!$K$3:$K$3000,C23,Однолинейка!$A$3:$A$3000,Щит_спец)),IF(A23="Модуль",IF(C23="","",COUNTIFS(Однолинейка!$AW$3:$AW$3000,"?*",Однолинейка!$AI$3:$AI$3000,C23,Однолинейка!$A$3:$A$3000,Щит_спец)),IF(A23="Клемма",IF(C23="","",IF(C23=$S$7,SUMIFS(Однолинейка!$BW$3:$BW$3000,Однолинейка!$A$3:$A$3000,Щит_спец),IF(C23=$S$8,SUMIFS(Однолинейка!$BX$3:$BX$3000,Однолинейка!$A$3:$A$3000,Щит_спец),""))),""))))</f>
        <v>0</v>
      </c>
      <c r="O23" s="74"/>
      <c r="P23" s="38">
        <f t="shared" si="0"/>
        <v>0</v>
      </c>
      <c r="R23" s="74"/>
      <c r="U23" s="38" t="str">
        <f t="shared" si="1"/>
        <v/>
      </c>
      <c r="V23" s="38" t="str">
        <f t="shared" si="2"/>
        <v/>
      </c>
      <c r="W23" s="38" t="str">
        <f>IF(AND(U23&lt;&gt;"",OR($S$4="(все)",B23=$S$4),IF($S$4="(все)",COUNTIF($U$4:U23,U23),COUNTIFS($U$4:U23,U23,$B$4:B23,B23))=1),MAX($W$3:W22)+1,"")</f>
        <v/>
      </c>
      <c r="X23" s="38" t="str">
        <f t="shared" si="3"/>
        <v/>
      </c>
      <c r="Y23" s="38" t="str">
        <f>IF(AND(A23="Аппарат",C23&lt;&gt;"",OR($S$5="(все)",B23=$S$5)),MAX($Y$3:Y22)+1,"")</f>
        <v/>
      </c>
      <c r="Z23" s="38" t="str">
        <f t="shared" si="4"/>
        <v/>
      </c>
      <c r="AA23" s="38">
        <f>IF(AND(A23="Модуль",C23&lt;&gt;"",OR($S$6="(все)",B23=$S$6)),MAX($AA$3:AA22)+1,"")</f>
        <v>2</v>
      </c>
      <c r="AB23" s="38" t="str">
        <f t="shared" si="5"/>
        <v/>
      </c>
      <c r="AC23" s="38" t="str">
        <f>IF(OR(B23="",COUNTIF($B$4:B23,B23)&gt;1),"",MAX($AC$3:AC22)+1)</f>
        <v/>
      </c>
      <c r="AD23" s="38" t="str">
        <f t="shared" si="6"/>
        <v/>
      </c>
      <c r="AE23" s="38" t="str">
        <f t="shared" si="7"/>
        <v/>
      </c>
      <c r="AF23" s="38" t="str">
        <f t="shared" si="8"/>
        <v/>
      </c>
      <c r="AG23" s="38" t="str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  <v/>
      </c>
      <c r="AH23" s="38" t="str">
        <f>IF(AG23="","",COUNTIF($AG$4:AG23,"?*"))</f>
        <v/>
      </c>
    </row>
    <row r="24" spans="1:34" x14ac:dyDescent="0.3">
      <c r="A24" s="74" t="s">
        <v>442</v>
      </c>
      <c r="B24" s="74" t="s">
        <v>309</v>
      </c>
      <c r="C24" s="74" t="s">
        <v>496</v>
      </c>
      <c r="D24" s="74" t="s">
        <v>32</v>
      </c>
      <c r="E24" s="74">
        <v>16</v>
      </c>
      <c r="F24" s="74" t="s">
        <v>497</v>
      </c>
      <c r="G24" s="74" t="s">
        <v>310</v>
      </c>
      <c r="H24" s="74" t="s">
        <v>496</v>
      </c>
      <c r="I24" s="74"/>
      <c r="J24" s="74"/>
      <c r="K24" s="74"/>
      <c r="L24" s="74"/>
      <c r="M24" s="74" t="s">
        <v>289</v>
      </c>
      <c r="N24" s="38">
        <f>IF(OR(A24="Автомат",A24="Дифавтомат"),IF(W24="","",COUNTIFS(Однолинейка!$H$3:$H$3000,U24,Однолинейка!$A$3:$A$3000,Щит_спец)),IF(A24="Аппарат",IF(C24="","",COUNTIFS(Однолинейка!$I$3:$I$3000,C24,Однолинейка!$A$3:$A$3000,Щит_спец)+COUNTIFS(Однолинейка!$J$3:$J$3000,C24,Однолинейка!$A$3:$A$3000,Щит_спец)+COUNTIFS(Однолинейка!$K$3:$K$3000,C24,Однолинейка!$A$3:$A$3000,Щит_спец)),IF(A24="Модуль",IF(C24="","",COUNTIFS(Однолинейка!$AW$3:$AW$3000,"?*",Однолинейка!$AI$3:$AI$3000,C24,Однолинейка!$A$3:$A$3000,Щит_спец)),IF(A24="Клемма",IF(C24="","",IF(C24=$S$7,SUMIFS(Однолинейка!$BW$3:$BW$3000,Однолинейка!$A$3:$A$3000,Щит_спец),IF(C24=$S$8,SUMIFS(Однолинейка!$BX$3:$BX$3000,Однолинейка!$A$3:$A$3000,Щит_спец),""))),""))))</f>
        <v>0</v>
      </c>
      <c r="O24" s="74"/>
      <c r="P24" s="38">
        <f t="shared" si="0"/>
        <v>0</v>
      </c>
      <c r="R24" s="74"/>
      <c r="U24" s="38" t="str">
        <f t="shared" si="1"/>
        <v/>
      </c>
      <c r="V24" s="38" t="str">
        <f t="shared" si="2"/>
        <v/>
      </c>
      <c r="W24" s="38" t="str">
        <f>IF(AND(U24&lt;&gt;"",OR($S$4="(все)",B24=$S$4),IF($S$4="(все)",COUNTIF($U$4:U24,U24),COUNTIFS($U$4:U24,U24,$B$4:B24,B24))=1),MAX($W$3:W23)+1,"")</f>
        <v/>
      </c>
      <c r="X24" s="38" t="str">
        <f t="shared" si="3"/>
        <v/>
      </c>
      <c r="Y24" s="38" t="str">
        <f>IF(AND(A24="Аппарат",C24&lt;&gt;"",OR($S$5="(все)",B24=$S$5)),MAX($Y$3:Y23)+1,"")</f>
        <v/>
      </c>
      <c r="Z24" s="38" t="str">
        <f t="shared" si="4"/>
        <v/>
      </c>
      <c r="AA24" s="38">
        <f>IF(AND(A24="Модуль",C24&lt;&gt;"",OR($S$6="(все)",B24=$S$6)),MAX($AA$3:AA23)+1,"")</f>
        <v>3</v>
      </c>
      <c r="AB24" s="38" t="str">
        <f t="shared" si="5"/>
        <v/>
      </c>
      <c r="AC24" s="38" t="str">
        <f>IF(OR(B24="",COUNTIF($B$4:B24,B24)&gt;1),"",MAX($AC$3:AC23)+1)</f>
        <v/>
      </c>
      <c r="AD24" s="38" t="str">
        <f t="shared" si="6"/>
        <v/>
      </c>
      <c r="AE24" s="38" t="str">
        <f t="shared" si="7"/>
        <v/>
      </c>
      <c r="AF24" s="38" t="str">
        <f t="shared" si="8"/>
        <v/>
      </c>
      <c r="AG24" s="38" t="str">
        <f>IF(Спецификация_авто!$L$27="","",IF(COUNTIF($C$4:$C$500,Спецификация_авто!$L$27)=0,Спецификация_авто!$L$27,""))</f>
        <v/>
      </c>
      <c r="AH24" s="38" t="str">
        <f>IF(AG24="","",COUNTIF($AG$4:AG24,"?*"))</f>
        <v/>
      </c>
    </row>
    <row r="25" spans="1:34" x14ac:dyDescent="0.3">
      <c r="A25" s="74" t="s">
        <v>442</v>
      </c>
      <c r="B25" s="74" t="s">
        <v>309</v>
      </c>
      <c r="C25" s="74" t="s">
        <v>487</v>
      </c>
      <c r="D25" s="74" t="s">
        <v>32</v>
      </c>
      <c r="E25" s="74">
        <v>8</v>
      </c>
      <c r="F25" s="74" t="s">
        <v>497</v>
      </c>
      <c r="G25" s="74" t="s">
        <v>310</v>
      </c>
      <c r="H25" s="74" t="s">
        <v>487</v>
      </c>
      <c r="I25" s="74"/>
      <c r="J25" s="74"/>
      <c r="K25" s="74"/>
      <c r="L25" s="74"/>
      <c r="M25" s="74" t="s">
        <v>289</v>
      </c>
      <c r="N25" s="38">
        <f>IF(OR(A25="Автомат",A25="Дифавтомат"),IF(W25="","",COUNTIFS(Однолинейка!$H$3:$H$3000,U25,Однолинейка!$A$3:$A$3000,Щит_спец)),IF(A25="Аппарат",IF(C25="","",COUNTIFS(Однолинейка!$I$3:$I$3000,C25,Однолинейка!$A$3:$A$3000,Щит_спец)+COUNTIFS(Однолинейка!$J$3:$J$3000,C25,Однолинейка!$A$3:$A$3000,Щит_спец)+COUNTIFS(Однолинейка!$K$3:$K$3000,C25,Однолинейка!$A$3:$A$3000,Щит_спец)),IF(A25="Модуль",IF(C25="","",COUNTIFS(Однолинейка!$AW$3:$AW$3000,"?*",Однолинейка!$AI$3:$AI$3000,C25,Однолинейка!$A$3:$A$3000,Щит_спец)),IF(A25="Клемма",IF(C25="","",IF(C25=$S$7,SUMIFS(Однолинейка!$BW$3:$BW$3000,Однолинейка!$A$3:$A$3000,Щит_спец),IF(C25=$S$8,SUMIFS(Однолинейка!$BX$3:$BX$3000,Однолинейка!$A$3:$A$3000,Щит_спец),""))),""))))</f>
        <v>0</v>
      </c>
      <c r="O25" s="74"/>
      <c r="P25" s="38">
        <f t="shared" si="0"/>
        <v>0</v>
      </c>
      <c r="R25" s="74"/>
      <c r="U25" s="38" t="str">
        <f t="shared" si="1"/>
        <v/>
      </c>
      <c r="V25" s="38" t="str">
        <f t="shared" si="2"/>
        <v/>
      </c>
      <c r="W25" s="38" t="str">
        <f>IF(AND(U25&lt;&gt;"",OR($S$4="(все)",B25=$S$4),IF($S$4="(все)",COUNTIF($U$4:U25,U25),COUNTIFS($U$4:U25,U25,$B$4:B25,B25))=1),MAX($W$3:W24)+1,"")</f>
        <v/>
      </c>
      <c r="X25" s="38" t="str">
        <f t="shared" si="3"/>
        <v/>
      </c>
      <c r="Y25" s="38" t="str">
        <f>IF(AND(A25="Аппарат",C25&lt;&gt;"",OR($S$5="(все)",B25=$S$5)),MAX($Y$3:Y24)+1,"")</f>
        <v/>
      </c>
      <c r="Z25" s="38" t="str">
        <f t="shared" si="4"/>
        <v/>
      </c>
      <c r="AA25" s="38">
        <f>IF(AND(A25="Модуль",C25&lt;&gt;"",OR($S$6="(все)",B25=$S$6)),MAX($AA$3:AA24)+1,"")</f>
        <v>4</v>
      </c>
      <c r="AB25" s="38" t="str">
        <f t="shared" si="5"/>
        <v/>
      </c>
      <c r="AC25" s="38" t="str">
        <f>IF(OR(B25="",COUNTIF($B$4:B25,B25)&gt;1),"",MAX($AC$3:AC24)+1)</f>
        <v/>
      </c>
      <c r="AD25" s="38" t="str">
        <f t="shared" si="6"/>
        <v/>
      </c>
      <c r="AE25" s="38" t="str">
        <f t="shared" si="7"/>
        <v/>
      </c>
      <c r="AF25" s="38" t="str">
        <f t="shared" si="8"/>
        <v/>
      </c>
      <c r="AG25" s="38" t="str">
        <f>IF(Спецификация_авто!$L$28="","",IF(COUNTIF($C$4:$C$500,Спецификация_авто!$L$28)=0,Спецификация_авто!$L$28,""))</f>
        <v/>
      </c>
      <c r="AH25" s="38" t="str">
        <f>IF(AG25="","",COUNTIF($AG$4:AG25,"?*"))</f>
        <v/>
      </c>
    </row>
    <row r="26" spans="1:34" x14ac:dyDescent="0.3">
      <c r="A26" s="74" t="s">
        <v>442</v>
      </c>
      <c r="B26" s="74" t="s">
        <v>309</v>
      </c>
      <c r="C26" s="74" t="s">
        <v>500</v>
      </c>
      <c r="D26" s="74" t="s">
        <v>32</v>
      </c>
      <c r="E26" s="74">
        <v>8</v>
      </c>
      <c r="F26" s="74" t="s">
        <v>501</v>
      </c>
      <c r="G26" s="74" t="s">
        <v>705</v>
      </c>
      <c r="H26" s="74" t="s">
        <v>500</v>
      </c>
      <c r="I26" s="74"/>
      <c r="J26" s="74"/>
      <c r="K26" s="74"/>
      <c r="L26" s="74"/>
      <c r="M26" s="74" t="s">
        <v>289</v>
      </c>
      <c r="N26" s="38">
        <f>IF(OR(A26="Автомат",A26="Дифавтомат"),IF(W26="","",COUNTIFS(Однолинейка!$H$3:$H$3000,U26,Однолинейка!$A$3:$A$3000,Щит_спец)),IF(A26="Аппарат",IF(C26="","",COUNTIFS(Однолинейка!$I$3:$I$3000,C26,Однолинейка!$A$3:$A$3000,Щит_спец)+COUNTIFS(Однолинейка!$J$3:$J$3000,C26,Однолинейка!$A$3:$A$3000,Щит_спец)+COUNTIFS(Однолинейка!$K$3:$K$3000,C26,Однолинейка!$A$3:$A$3000,Щит_спец)),IF(A26="Модуль",IF(C26="","",COUNTIFS(Однолинейка!$AW$3:$AW$3000,"?*",Однолинейка!$AI$3:$AI$3000,C26,Однолинейка!$A$3:$A$3000,Щит_спец)),IF(A26="Клемма",IF(C26="","",IF(C26=$S$7,SUMIFS(Однолинейка!$BW$3:$BW$3000,Однолинейка!$A$3:$A$3000,Щит_спец),IF(C26=$S$8,SUMIFS(Однолинейка!$BX$3:$BX$3000,Однолинейка!$A$3:$A$3000,Щит_спец),""))),""))))</f>
        <v>0</v>
      </c>
      <c r="O26" s="74"/>
      <c r="P26" s="38">
        <f t="shared" si="0"/>
        <v>0</v>
      </c>
      <c r="U26" s="38" t="str">
        <f t="shared" si="1"/>
        <v/>
      </c>
      <c r="V26" s="38" t="str">
        <f t="shared" si="2"/>
        <v/>
      </c>
      <c r="W26" s="38" t="str">
        <f>IF(AND(U26&lt;&gt;"",OR($S$4="(все)",B26=$S$4),IF($S$4="(все)",COUNTIF($U$4:U26,U26),COUNTIFS($U$4:U26,U26,$B$4:B26,B26))=1),MAX($W$3:W25)+1,"")</f>
        <v/>
      </c>
      <c r="X26" s="38" t="str">
        <f t="shared" si="3"/>
        <v/>
      </c>
      <c r="Y26" s="38" t="str">
        <f>IF(AND(A26="Аппарат",C26&lt;&gt;"",OR($S$5="(все)",B26=$S$5)),MAX($Y$3:Y25)+1,"")</f>
        <v/>
      </c>
      <c r="Z26" s="38" t="str">
        <f t="shared" si="4"/>
        <v/>
      </c>
      <c r="AA26" s="38">
        <f>IF(AND(A26="Модуль",C26&lt;&gt;"",OR($S$6="(все)",B26=$S$6)),MAX($AA$3:AA25)+1,"")</f>
        <v>5</v>
      </c>
      <c r="AB26" s="38" t="str">
        <f t="shared" si="5"/>
        <v/>
      </c>
      <c r="AC26" s="38" t="str">
        <f>IF(OR(B26="",COUNTIF($B$4:B26,B26)&gt;1),"",MAX($AC$3:AC25)+1)</f>
        <v/>
      </c>
      <c r="AD26" s="38" t="str">
        <f t="shared" si="6"/>
        <v/>
      </c>
      <c r="AE26" s="38" t="str">
        <f t="shared" si="7"/>
        <v/>
      </c>
      <c r="AF26" s="38" t="str">
        <f t="shared" si="8"/>
        <v/>
      </c>
      <c r="AG26" s="38" t="str">
        <f>IF(Спецификация_авто!$L$29="","",IF(COUNTIF($C$4:$C$500,Спецификация_авто!$L$29)=0,Спецификация_авто!$L$29,""))</f>
        <v/>
      </c>
      <c r="AH26" s="38" t="str">
        <f>IF(AG26="","",COUNTIF($AG$4:AG26,"?*"))</f>
        <v/>
      </c>
    </row>
    <row r="27" spans="1:34" ht="27.6" x14ac:dyDescent="0.3">
      <c r="A27" s="74" t="s">
        <v>442</v>
      </c>
      <c r="B27" s="74" t="s">
        <v>309</v>
      </c>
      <c r="C27" s="74" t="s">
        <v>312</v>
      </c>
      <c r="D27" s="74" t="s">
        <v>504</v>
      </c>
      <c r="E27" s="74">
        <v>4</v>
      </c>
      <c r="F27" s="74" t="s">
        <v>505</v>
      </c>
      <c r="G27" s="74" t="s">
        <v>706</v>
      </c>
      <c r="H27" s="74" t="s">
        <v>312</v>
      </c>
      <c r="I27" s="74"/>
      <c r="J27" s="74"/>
      <c r="K27" s="74"/>
      <c r="L27" s="74"/>
      <c r="M27" s="74" t="s">
        <v>289</v>
      </c>
      <c r="N27" s="38">
        <f>IF(OR(A27="Автомат",A27="Дифавтомат"),IF(W27="","",COUNTIFS(Однолинейка!$H$3:$H$3000,U27,Однолинейка!$A$3:$A$3000,Щит_спец)),IF(A27="Аппарат",IF(C27="","",COUNTIFS(Однолинейка!$I$3:$I$3000,C27,Однолинейка!$A$3:$A$3000,Щит_спец)+COUNTIFS(Однолинейка!$J$3:$J$3000,C27,Однолинейка!$A$3:$A$3000,Щит_спец)+COUNTIFS(Однолинейка!$K$3:$K$3000,C27,Однолинейка!$A$3:$A$3000,Щит_спец)),IF(A27="Модуль",IF(C27="","",COUNTIFS(Однолинейка!$AW$3:$AW$3000,"?*",Однолинейка!$AI$3:$AI$3000,C27,Однолинейка!$A$3:$A$3000,Щит_спец)),IF(A27="Клемма",IF(C27="","",IF(C27=$S$7,SUMIFS(Однолинейка!$BW$3:$BW$3000,Однолинейка!$A$3:$A$3000,Щит_спец),IF(C27=$S$8,SUMIFS(Однолинейка!$BX$3:$BX$3000,Однолинейка!$A$3:$A$3000,Щит_спец),""))),""))))</f>
        <v>0</v>
      </c>
      <c r="O27" s="74"/>
      <c r="P27" s="38">
        <f t="shared" si="0"/>
        <v>0</v>
      </c>
      <c r="R27" s="35" t="s">
        <v>707</v>
      </c>
      <c r="S27" s="35"/>
      <c r="U27" s="38" t="str">
        <f t="shared" si="1"/>
        <v/>
      </c>
      <c r="V27" s="38" t="str">
        <f t="shared" si="2"/>
        <v/>
      </c>
      <c r="W27" s="38" t="str">
        <f>IF(AND(U27&lt;&gt;"",OR($S$4="(все)",B27=$S$4),IF($S$4="(все)",COUNTIF($U$4:U27,U27),COUNTIFS($U$4:U27,U27,$B$4:B27,B27))=1),MAX($W$3:W26)+1,"")</f>
        <v/>
      </c>
      <c r="X27" s="38" t="str">
        <f t="shared" si="3"/>
        <v/>
      </c>
      <c r="Y27" s="38" t="str">
        <f>IF(AND(A27="Аппарат",C27&lt;&gt;"",OR($S$5="(все)",B27=$S$5)),MAX($Y$3:Y26)+1,"")</f>
        <v/>
      </c>
      <c r="Z27" s="38" t="str">
        <f t="shared" si="4"/>
        <v/>
      </c>
      <c r="AA27" s="38">
        <f>IF(AND(A27="Модуль",C27&lt;&gt;"",OR($S$6="(все)",B27=$S$6)),MAX($AA$3:AA26)+1,"")</f>
        <v>6</v>
      </c>
      <c r="AB27" s="38" t="str">
        <f t="shared" si="5"/>
        <v/>
      </c>
      <c r="AC27" s="38" t="str">
        <f>IF(OR(B27="",COUNTIF($B$4:B27,B27)&gt;1),"",MAX($AC$3:AC26)+1)</f>
        <v/>
      </c>
      <c r="AD27" s="38" t="str">
        <f t="shared" si="6"/>
        <v/>
      </c>
      <c r="AE27" s="38" t="str">
        <f t="shared" si="7"/>
        <v/>
      </c>
      <c r="AF27" s="38" t="str">
        <f t="shared" si="8"/>
        <v/>
      </c>
      <c r="AG27" s="38" t="str">
        <f>IF(Спецификация_авто!$L$30="","",IF(COUNTIF($C$4:$C$500,Спецификация_авто!$L$30)=0,Спецификация_авто!$L$30,""))</f>
        <v/>
      </c>
      <c r="AH27" s="38" t="str">
        <f>IF(AG27="","",COUNTIF($AG$4:AG27,"?*"))</f>
        <v/>
      </c>
    </row>
    <row r="28" spans="1:34" x14ac:dyDescent="0.3">
      <c r="A28" s="74" t="s">
        <v>442</v>
      </c>
      <c r="B28" s="74" t="s">
        <v>309</v>
      </c>
      <c r="C28" s="74" t="s">
        <v>314</v>
      </c>
      <c r="D28" s="74" t="s">
        <v>506</v>
      </c>
      <c r="E28" s="74">
        <v>2</v>
      </c>
      <c r="F28" s="74" t="s">
        <v>231</v>
      </c>
      <c r="G28" s="74" t="s">
        <v>313</v>
      </c>
      <c r="H28" s="74" t="s">
        <v>314</v>
      </c>
      <c r="I28" s="74"/>
      <c r="J28" s="74"/>
      <c r="K28" s="74"/>
      <c r="L28" s="74"/>
      <c r="M28" s="74" t="s">
        <v>289</v>
      </c>
      <c r="N28" s="38">
        <f>IF(OR(A28="Автомат",A28="Дифавтомат"),IF(W28="","",COUNTIFS(Однолинейка!$H$3:$H$3000,U28,Однолинейка!$A$3:$A$3000,Щит_спец)),IF(A28="Аппарат",IF(C28="","",COUNTIFS(Однолинейка!$I$3:$I$3000,C28,Однолинейка!$A$3:$A$3000,Щит_спец)+COUNTIFS(Однолинейка!$J$3:$J$3000,C28,Однолинейка!$A$3:$A$3000,Щит_спец)+COUNTIFS(Однолинейка!$K$3:$K$3000,C28,Однолинейка!$A$3:$A$3000,Щит_спец)),IF(A28="Модуль",IF(C28="","",COUNTIFS(Однолинейка!$AW$3:$AW$3000,"?*",Однолинейка!$AI$3:$AI$3000,C28,Однолинейка!$A$3:$A$3000,Щит_спец)),IF(A28="Клемма",IF(C28="","",IF(C28=$S$7,SUMIFS(Однолинейка!$BW$3:$BW$3000,Однолинейка!$A$3:$A$3000,Щит_спец),IF(C28=$S$8,SUMIFS(Однолинейка!$BX$3:$BX$3000,Однолинейка!$A$3:$A$3000,Щит_спец),""))),""))))</f>
        <v>0</v>
      </c>
      <c r="O28" s="74"/>
      <c r="P28" s="38">
        <f t="shared" si="0"/>
        <v>0</v>
      </c>
      <c r="R28" s="38" t="str">
        <f>IFERROR(INDEX($AG$4:$AG$43,MATCH(1,$AH$4:$AH$43,0)),"")</f>
        <v/>
      </c>
      <c r="U28" s="38" t="str">
        <f t="shared" si="1"/>
        <v/>
      </c>
      <c r="V28" s="38" t="str">
        <f t="shared" si="2"/>
        <v/>
      </c>
      <c r="W28" s="38" t="str">
        <f>IF(AND(U28&lt;&gt;"",OR($S$4="(все)",B28=$S$4),IF($S$4="(все)",COUNTIF($U$4:U28,U28),COUNTIFS($U$4:U28,U28,$B$4:B28,B28))=1),MAX($W$3:W27)+1,"")</f>
        <v/>
      </c>
      <c r="X28" s="38" t="str">
        <f t="shared" si="3"/>
        <v/>
      </c>
      <c r="Y28" s="38" t="str">
        <f>IF(AND(A28="Аппарат",C28&lt;&gt;"",OR($S$5="(все)",B28=$S$5)),MAX($Y$3:Y27)+1,"")</f>
        <v/>
      </c>
      <c r="Z28" s="38" t="str">
        <f t="shared" si="4"/>
        <v/>
      </c>
      <c r="AA28" s="38">
        <f>IF(AND(A28="Модуль",C28&lt;&gt;"",OR($S$6="(все)",B28=$S$6)),MAX($AA$3:AA27)+1,"")</f>
        <v>7</v>
      </c>
      <c r="AB28" s="38" t="str">
        <f t="shared" si="5"/>
        <v/>
      </c>
      <c r="AC28" s="38" t="str">
        <f>IF(OR(B28="",COUNTIF($B$4:B28,B28)&gt;1),"",MAX($AC$3:AC27)+1)</f>
        <v/>
      </c>
      <c r="AD28" s="38" t="str">
        <f t="shared" si="6"/>
        <v/>
      </c>
      <c r="AE28" s="38" t="str">
        <f t="shared" si="7"/>
        <v/>
      </c>
      <c r="AF28" s="38" t="str">
        <f t="shared" si="8"/>
        <v/>
      </c>
      <c r="AG28" s="38" t="str">
        <f>IF(Спецификация_авто!$L$31="","",IF(COUNTIF($C$4:$C$500,Спецификация_авто!$L$31)=0,Спецификация_авто!$L$31,""))</f>
        <v/>
      </c>
      <c r="AH28" s="38" t="str">
        <f>IF(AG28="","",COUNTIF($AG$4:AG28,"?*"))</f>
        <v/>
      </c>
    </row>
    <row r="29" spans="1:34" x14ac:dyDescent="0.3">
      <c r="A29" s="74" t="s">
        <v>442</v>
      </c>
      <c r="B29" s="74" t="s">
        <v>309</v>
      </c>
      <c r="C29" s="74" t="s">
        <v>316</v>
      </c>
      <c r="D29" s="74" t="s">
        <v>708</v>
      </c>
      <c r="E29" s="74">
        <v>8</v>
      </c>
      <c r="F29" s="74" t="s">
        <v>709</v>
      </c>
      <c r="G29" s="74" t="s">
        <v>315</v>
      </c>
      <c r="H29" s="74" t="s">
        <v>316</v>
      </c>
      <c r="I29" s="74"/>
      <c r="J29" s="74"/>
      <c r="K29" s="74"/>
      <c r="L29" s="74"/>
      <c r="M29" s="74" t="s">
        <v>289</v>
      </c>
      <c r="N29" s="38">
        <f>IF(OR(A29="Автомат",A29="Дифавтомат"),IF(W29="","",COUNTIFS(Однолинейка!$H$3:$H$3000,U29,Однолинейка!$A$3:$A$3000,Щит_спец)),IF(A29="Аппарат",IF(C29="","",COUNTIFS(Однолинейка!$I$3:$I$3000,C29,Однолинейка!$A$3:$A$3000,Щит_спец)+COUNTIFS(Однолинейка!$J$3:$J$3000,C29,Однолинейка!$A$3:$A$3000,Щит_спец)+COUNTIFS(Однолинейка!$K$3:$K$3000,C29,Однолинейка!$A$3:$A$3000,Щит_спец)),IF(A29="Модуль",IF(C29="","",COUNTIFS(Однолинейка!$AW$3:$AW$3000,"?*",Однолинейка!$AI$3:$AI$3000,C29,Однолинейка!$A$3:$A$3000,Щит_спец)),IF(A29="Клемма",IF(C29="","",IF(C29=$S$7,SUMIFS(Однолинейка!$BW$3:$BW$3000,Однолинейка!$A$3:$A$3000,Щит_спец),IF(C29=$S$8,SUMIFS(Однолинейка!$BX$3:$BX$3000,Однолинейка!$A$3:$A$3000,Щит_спец),""))),""))))</f>
        <v>0</v>
      </c>
      <c r="O29" s="74"/>
      <c r="P29" s="38">
        <f t="shared" si="0"/>
        <v>0</v>
      </c>
      <c r="R29" s="38" t="str">
        <f>IFERROR(INDEX($AG$4:$AG$43,MATCH(2,$AH$4:$AH$43,0)),"")</f>
        <v/>
      </c>
      <c r="U29" s="38" t="str">
        <f t="shared" si="1"/>
        <v/>
      </c>
      <c r="V29" s="38" t="str">
        <f t="shared" si="2"/>
        <v/>
      </c>
      <c r="W29" s="38" t="str">
        <f>IF(AND(U29&lt;&gt;"",OR($S$4="(все)",B29=$S$4),IF($S$4="(все)",COUNTIF($U$4:U29,U29),COUNTIFS($U$4:U29,U29,$B$4:B29,B29))=1),MAX($W$3:W28)+1,"")</f>
        <v/>
      </c>
      <c r="X29" s="38" t="str">
        <f t="shared" si="3"/>
        <v/>
      </c>
      <c r="Y29" s="38" t="str">
        <f>IF(AND(A29="Аппарат",C29&lt;&gt;"",OR($S$5="(все)",B29=$S$5)),MAX($Y$3:Y28)+1,"")</f>
        <v/>
      </c>
      <c r="Z29" s="38" t="str">
        <f t="shared" si="4"/>
        <v/>
      </c>
      <c r="AA29" s="38">
        <f>IF(AND(A29="Модуль",C29&lt;&gt;"",OR($S$6="(все)",B29=$S$6)),MAX($AA$3:AA28)+1,"")</f>
        <v>8</v>
      </c>
      <c r="AB29" s="38" t="str">
        <f t="shared" si="5"/>
        <v/>
      </c>
      <c r="AC29" s="38" t="str">
        <f>IF(OR(B29="",COUNTIF($B$4:B29,B29)&gt;1),"",MAX($AC$3:AC28)+1)</f>
        <v/>
      </c>
      <c r="AD29" s="38" t="str">
        <f t="shared" si="6"/>
        <v/>
      </c>
      <c r="AE29" s="38" t="str">
        <f t="shared" si="7"/>
        <v/>
      </c>
      <c r="AF29" s="38" t="str">
        <f t="shared" si="8"/>
        <v/>
      </c>
      <c r="AG29" s="38" t="str">
        <f>IF(Спецификация_авто!$L$32="","",IF(COUNTIF($C$4:$C$500,Спецификация_авто!$L$32)=0,Спецификация_авто!$L$32,""))</f>
        <v/>
      </c>
      <c r="AH29" s="38" t="str">
        <f>IF(AG29="","",COUNTIF($AG$4:AG29,"?*"))</f>
        <v/>
      </c>
    </row>
    <row r="30" spans="1:34" x14ac:dyDescent="0.3">
      <c r="A30" s="74" t="s">
        <v>442</v>
      </c>
      <c r="B30" s="74" t="s">
        <v>302</v>
      </c>
      <c r="C30" s="74" t="s">
        <v>710</v>
      </c>
      <c r="D30" s="74" t="s">
        <v>504</v>
      </c>
      <c r="E30" s="74">
        <v>4</v>
      </c>
      <c r="F30" s="74" t="s">
        <v>711</v>
      </c>
      <c r="G30" s="74" t="s">
        <v>712</v>
      </c>
      <c r="H30" s="74" t="s">
        <v>303</v>
      </c>
      <c r="I30" s="74"/>
      <c r="J30" s="74"/>
      <c r="K30" s="74"/>
      <c r="L30" s="74"/>
      <c r="M30" s="74" t="s">
        <v>289</v>
      </c>
      <c r="N30" s="38">
        <f>IF(OR(A30="Автомат",A30="Дифавтомат"),IF(W30="","",COUNTIFS(Однолинейка!$H$3:$H$3000,U30,Однолинейка!$A$3:$A$3000,Щит_спец)),IF(A30="Аппарат",IF(C30="","",COUNTIFS(Однолинейка!$I$3:$I$3000,C30,Однолинейка!$A$3:$A$3000,Щит_спец)+COUNTIFS(Однолинейка!$J$3:$J$3000,C30,Однолинейка!$A$3:$A$3000,Щит_спец)+COUNTIFS(Однолинейка!$K$3:$K$3000,C30,Однолинейка!$A$3:$A$3000,Щит_спец)),IF(A30="Модуль",IF(C30="","",COUNTIFS(Однолинейка!$AW$3:$AW$3000,"?*",Однолинейка!$AI$3:$AI$3000,C30,Однолинейка!$A$3:$A$3000,Щит_спец)),IF(A30="Клемма",IF(C30="","",IF(C30=$S$7,SUMIFS(Однолинейка!$BW$3:$BW$3000,Однолинейка!$A$3:$A$3000,Щит_спец),IF(C30=$S$8,SUMIFS(Однолинейка!$BX$3:$BX$3000,Однолинейка!$A$3:$A$3000,Щит_спец),""))),""))))</f>
        <v>0</v>
      </c>
      <c r="O30" s="74"/>
      <c r="P30" s="38">
        <f t="shared" si="0"/>
        <v>0</v>
      </c>
      <c r="R30" s="38" t="str">
        <f>IFERROR(INDEX($AG$4:$AG$43,MATCH(3,$AH$4:$AH$43,0)),"")</f>
        <v/>
      </c>
      <c r="U30" s="38" t="str">
        <f t="shared" si="1"/>
        <v/>
      </c>
      <c r="V30" s="38" t="str">
        <f t="shared" si="2"/>
        <v/>
      </c>
      <c r="W30" s="38" t="str">
        <f>IF(AND(U30&lt;&gt;"",OR($S$4="(все)",B30=$S$4),IF($S$4="(все)",COUNTIF($U$4:U30,U30),COUNTIFS($U$4:U30,U30,$B$4:B30,B30))=1),MAX($W$3:W29)+1,"")</f>
        <v/>
      </c>
      <c r="X30" s="38" t="str">
        <f t="shared" si="3"/>
        <v/>
      </c>
      <c r="Y30" s="38" t="str">
        <f>IF(AND(A30="Аппарат",C30&lt;&gt;"",OR($S$5="(все)",B30=$S$5)),MAX($Y$3:Y29)+1,"")</f>
        <v/>
      </c>
      <c r="Z30" s="38" t="str">
        <f t="shared" si="4"/>
        <v/>
      </c>
      <c r="AA30" s="38">
        <f>IF(AND(A30="Модуль",C30&lt;&gt;"",OR($S$6="(все)",B30=$S$6)),MAX($AA$3:AA29)+1,"")</f>
        <v>9</v>
      </c>
      <c r="AB30" s="38" t="str">
        <f t="shared" si="5"/>
        <v/>
      </c>
      <c r="AC30" s="38" t="str">
        <f>IF(OR(B30="",COUNTIF($B$4:B30,B30)&gt;1),"",MAX($AC$3:AC29)+1)</f>
        <v/>
      </c>
      <c r="AD30" s="38" t="str">
        <f t="shared" si="6"/>
        <v/>
      </c>
      <c r="AE30" s="38" t="str">
        <f t="shared" si="7"/>
        <v/>
      </c>
      <c r="AF30" s="38" t="str">
        <f t="shared" si="8"/>
        <v/>
      </c>
      <c r="AG30" s="38" t="str">
        <f>IF(Спецификация_авто!$L$33="","",IF(COUNTIF($C$4:$C$500,Спецификация_авто!$L$33)=0,Спецификация_авто!$L$33,""))</f>
        <v/>
      </c>
      <c r="AH30" s="38" t="str">
        <f>IF(AG30="","",COUNTIF($AG$4:AG30,"?*"))</f>
        <v/>
      </c>
    </row>
    <row r="31" spans="1:34" x14ac:dyDescent="0.3">
      <c r="A31" s="74" t="s">
        <v>442</v>
      </c>
      <c r="B31" s="74" t="s">
        <v>713</v>
      </c>
      <c r="C31" s="74" t="s">
        <v>489</v>
      </c>
      <c r="D31" s="74" t="s">
        <v>32</v>
      </c>
      <c r="E31" s="74">
        <v>24</v>
      </c>
      <c r="F31" s="74" t="s">
        <v>497</v>
      </c>
      <c r="G31" s="74" t="s">
        <v>714</v>
      </c>
      <c r="H31" s="74"/>
      <c r="I31" s="74"/>
      <c r="J31" s="74"/>
      <c r="K31" s="74"/>
      <c r="L31" s="74"/>
      <c r="M31" s="74" t="s">
        <v>289</v>
      </c>
      <c r="N31" s="38">
        <f>IF(OR(A31="Автомат",A31="Дифавтомат"),IF(W31="","",COUNTIFS(Однолинейка!$H$3:$H$3000,U31,Однолинейка!$A$3:$A$3000,Щит_спец)),IF(A31="Аппарат",IF(C31="","",COUNTIFS(Однолинейка!$I$3:$I$3000,C31,Однолинейка!$A$3:$A$3000,Щит_спец)+COUNTIFS(Однолинейка!$J$3:$J$3000,C31,Однолинейка!$A$3:$A$3000,Щит_спец)+COUNTIFS(Однолинейка!$K$3:$K$3000,C31,Однолинейка!$A$3:$A$3000,Щит_спец)),IF(A31="Модуль",IF(C31="","",COUNTIFS(Однолинейка!$AW$3:$AW$3000,"?*",Однолинейка!$AI$3:$AI$3000,C31,Однолинейка!$A$3:$A$3000,Щит_спец)),IF(A31="Клемма",IF(C31="","",IF(C31=$S$7,SUMIFS(Однолинейка!$BW$3:$BW$3000,Однолинейка!$A$3:$A$3000,Щит_спец),IF(C31=$S$8,SUMIFS(Однолинейка!$BX$3:$BX$3000,Однолинейка!$A$3:$A$3000,Щит_спец),""))),""))))</f>
        <v>0</v>
      </c>
      <c r="O31" s="74"/>
      <c r="P31" s="38">
        <f t="shared" si="0"/>
        <v>0</v>
      </c>
      <c r="R31" s="38" t="str">
        <f>IFERROR(INDEX($AG$4:$AG$43,MATCH(4,$AH$4:$AH$43,0)),"")</f>
        <v/>
      </c>
      <c r="U31" s="38" t="str">
        <f t="shared" si="1"/>
        <v/>
      </c>
      <c r="V31" s="38" t="str">
        <f t="shared" si="2"/>
        <v/>
      </c>
      <c r="W31" s="38" t="str">
        <f>IF(AND(U31&lt;&gt;"",OR($S$4="(все)",B31=$S$4),IF($S$4="(все)",COUNTIF($U$4:U31,U31),COUNTIFS($U$4:U31,U31,$B$4:B31,B31))=1),MAX($W$3:W30)+1,"")</f>
        <v/>
      </c>
      <c r="X31" s="38" t="str">
        <f t="shared" si="3"/>
        <v/>
      </c>
      <c r="Y31" s="38" t="str">
        <f>IF(AND(A31="Аппарат",C31&lt;&gt;"",OR($S$5="(все)",B31=$S$5)),MAX($Y$3:Y30)+1,"")</f>
        <v/>
      </c>
      <c r="Z31" s="38" t="str">
        <f t="shared" si="4"/>
        <v/>
      </c>
      <c r="AA31" s="38">
        <f>IF(AND(A31="Модуль",C31&lt;&gt;"",OR($S$6="(все)",B31=$S$6)),MAX($AA$3:AA30)+1,"")</f>
        <v>10</v>
      </c>
      <c r="AB31" s="38" t="str">
        <f t="shared" si="5"/>
        <v/>
      </c>
      <c r="AC31" s="38">
        <f>IF(OR(B31="",COUNTIF($B$4:B31,B31)&gt;1),"",MAX($AC$3:AC30)+1)</f>
        <v>5</v>
      </c>
      <c r="AD31" s="38" t="str">
        <f t="shared" si="6"/>
        <v/>
      </c>
      <c r="AE31" s="38" t="str">
        <f t="shared" si="7"/>
        <v/>
      </c>
      <c r="AF31" s="38" t="str">
        <f t="shared" si="8"/>
        <v/>
      </c>
      <c r="AG31" s="38" t="str">
        <f>IF(Спецификация_авто!$L$34="","",IF(COUNTIF($C$4:$C$500,Спецификация_авто!$L$34)=0,Спецификация_авто!$L$34,""))</f>
        <v/>
      </c>
      <c r="AH31" s="38" t="str">
        <f>IF(AG31="","",COUNTIF($AG$4:AG31,"?*"))</f>
        <v/>
      </c>
    </row>
    <row r="32" spans="1:34" x14ac:dyDescent="0.3">
      <c r="A32" s="74" t="s">
        <v>442</v>
      </c>
      <c r="B32" s="74" t="s">
        <v>713</v>
      </c>
      <c r="C32" s="74" t="s">
        <v>488</v>
      </c>
      <c r="D32" s="74" t="s">
        <v>507</v>
      </c>
      <c r="E32" s="74">
        <v>8</v>
      </c>
      <c r="F32" s="74" t="s">
        <v>715</v>
      </c>
      <c r="G32" s="74" t="s">
        <v>714</v>
      </c>
      <c r="H32" s="74"/>
      <c r="I32" s="74"/>
      <c r="J32" s="74"/>
      <c r="K32" s="74"/>
      <c r="L32" s="74"/>
      <c r="M32" s="74" t="s">
        <v>289</v>
      </c>
      <c r="N32" s="38">
        <f>IF(OR(A32="Автомат",A32="Дифавтомат"),IF(W32="","",COUNTIFS(Однолинейка!$H$3:$H$3000,U32,Однолинейка!$A$3:$A$3000,Щит_спец)),IF(A32="Аппарат",IF(C32="","",COUNTIFS(Однолинейка!$I$3:$I$3000,C32,Однолинейка!$A$3:$A$3000,Щит_спец)+COUNTIFS(Однолинейка!$J$3:$J$3000,C32,Однолинейка!$A$3:$A$3000,Щит_спец)+COUNTIFS(Однолинейка!$K$3:$K$3000,C32,Однолинейка!$A$3:$A$3000,Щит_спец)),IF(A32="Модуль",IF(C32="","",COUNTIFS(Однолинейка!$AW$3:$AW$3000,"?*",Однолинейка!$AI$3:$AI$3000,C32,Однолинейка!$A$3:$A$3000,Щит_спец)),IF(A32="Клемма",IF(C32="","",IF(C32=$S$7,SUMIFS(Однолинейка!$BW$3:$BW$3000,Однолинейка!$A$3:$A$3000,Щит_спец),IF(C32=$S$8,SUMIFS(Однолинейка!$BX$3:$BX$3000,Однолинейка!$A$3:$A$3000,Щит_спец),""))),""))))</f>
        <v>0</v>
      </c>
      <c r="O32" s="74"/>
      <c r="P32" s="38">
        <f t="shared" si="0"/>
        <v>0</v>
      </c>
      <c r="R32" s="38" t="str">
        <f>IFERROR(INDEX($AG$4:$AG$43,MATCH(5,$AH$4:$AH$43,0)),"")</f>
        <v/>
      </c>
      <c r="U32" s="38" t="str">
        <f t="shared" si="1"/>
        <v/>
      </c>
      <c r="V32" s="38" t="str">
        <f t="shared" si="2"/>
        <v/>
      </c>
      <c r="W32" s="38" t="str">
        <f>IF(AND(U32&lt;&gt;"",OR($S$4="(все)",B32=$S$4),IF($S$4="(все)",COUNTIF($U$4:U32,U32),COUNTIFS($U$4:U32,U32,$B$4:B32,B32))=1),MAX($W$3:W31)+1,"")</f>
        <v/>
      </c>
      <c r="X32" s="38" t="str">
        <f t="shared" si="3"/>
        <v/>
      </c>
      <c r="Y32" s="38" t="str">
        <f>IF(AND(A32="Аппарат",C32&lt;&gt;"",OR($S$5="(все)",B32=$S$5)),MAX($Y$3:Y31)+1,"")</f>
        <v/>
      </c>
      <c r="Z32" s="38" t="str">
        <f t="shared" si="4"/>
        <v/>
      </c>
      <c r="AA32" s="38">
        <f>IF(AND(A32="Модуль",C32&lt;&gt;"",OR($S$6="(все)",B32=$S$6)),MAX($AA$3:AA31)+1,"")</f>
        <v>11</v>
      </c>
      <c r="AB32" s="38" t="str">
        <f t="shared" si="5"/>
        <v/>
      </c>
      <c r="AC32" s="38" t="str">
        <f>IF(OR(B32="",COUNTIF($B$4:B32,B32)&gt;1),"",MAX($AC$3:AC31)+1)</f>
        <v/>
      </c>
      <c r="AD32" s="38" t="str">
        <f t="shared" si="6"/>
        <v/>
      </c>
      <c r="AE32" s="38" t="str">
        <f t="shared" si="7"/>
        <v/>
      </c>
      <c r="AF32" s="38" t="str">
        <f t="shared" si="8"/>
        <v/>
      </c>
      <c r="AG32" s="38" t="str">
        <f>IF(Спецификация_авто!$L$35="","",IF(COUNTIF($C$4:$C$500,Спецификация_авто!$L$35)=0,Спецификация_авто!$L$35,""))</f>
        <v/>
      </c>
      <c r="AH32" s="38" t="str">
        <f>IF(AG32="","",COUNTIF($AG$4:AG32,"?*"))</f>
        <v/>
      </c>
    </row>
    <row r="33" spans="1:34" x14ac:dyDescent="0.3">
      <c r="A33" s="74" t="s">
        <v>445</v>
      </c>
      <c r="B33" s="74" t="s">
        <v>286</v>
      </c>
      <c r="C33" s="74" t="s">
        <v>324</v>
      </c>
      <c r="D33" s="74"/>
      <c r="E33" s="74"/>
      <c r="F33" s="74"/>
      <c r="G33" s="74" t="s">
        <v>716</v>
      </c>
      <c r="H33" s="74" t="s">
        <v>324</v>
      </c>
      <c r="I33" s="74"/>
      <c r="J33" s="74"/>
      <c r="K33" s="74"/>
      <c r="L33" s="74"/>
      <c r="M33" s="74" t="s">
        <v>289</v>
      </c>
      <c r="N33" s="38">
        <f>IF(OR(A33="Автомат",A33="Дифавтомат"),IF(W33="","",COUNTIFS(Однолинейка!$H$3:$H$3000,U33,Однолинейка!$A$3:$A$3000,Щит_спец)),IF(A33="Аппарат",IF(C33="","",COUNTIFS(Однолинейка!$I$3:$I$3000,C33,Однолинейка!$A$3:$A$3000,Щит_спец)+COUNTIFS(Однолинейка!$J$3:$J$3000,C33,Однолинейка!$A$3:$A$3000,Щит_спец)+COUNTIFS(Однолинейка!$K$3:$K$3000,C33,Однолинейка!$A$3:$A$3000,Щит_спец)),IF(A33="Модуль",IF(C33="","",COUNTIFS(Однолинейка!$AW$3:$AW$3000,"?*",Однолинейка!$AI$3:$AI$3000,C33,Однолинейка!$A$3:$A$3000,Щит_спец)),IF(A33="Клемма",IF(C33="","",IF(C33=$S$7,SUMIFS(Однолинейка!$BW$3:$BW$3000,Однолинейка!$A$3:$A$3000,Щит_спец),IF(C33=$S$8,SUMIFS(Однолинейка!$BX$3:$BX$3000,Однолинейка!$A$3:$A$3000,Щит_спец),""))),""))))</f>
        <v>0</v>
      </c>
      <c r="O33" s="74"/>
      <c r="P33" s="38">
        <f t="shared" si="0"/>
        <v>0</v>
      </c>
      <c r="R33" s="38" t="str">
        <f>IFERROR(INDEX($AG$4:$AG$43,MATCH(6,$AH$4:$AH$43,0)),"")</f>
        <v/>
      </c>
      <c r="U33" s="38" t="str">
        <f t="shared" si="1"/>
        <v/>
      </c>
      <c r="V33" s="38" t="str">
        <f t="shared" si="2"/>
        <v/>
      </c>
      <c r="W33" s="38" t="str">
        <f>IF(AND(U33&lt;&gt;"",OR($S$4="(все)",B33=$S$4),IF($S$4="(все)",COUNTIF($U$4:U33,U33),COUNTIFS($U$4:U33,U33,$B$4:B33,B33))=1),MAX($W$3:W32)+1,"")</f>
        <v/>
      </c>
      <c r="X33" s="38" t="str">
        <f t="shared" si="3"/>
        <v/>
      </c>
      <c r="Y33" s="38" t="str">
        <f>IF(AND(A33="Аппарат",C33&lt;&gt;"",OR($S$5="(все)",B33=$S$5)),MAX($Y$3:Y32)+1,"")</f>
        <v/>
      </c>
      <c r="Z33" s="38" t="str">
        <f t="shared" si="4"/>
        <v/>
      </c>
      <c r="AA33" s="38" t="str">
        <f>IF(AND(A33="Модуль",C33&lt;&gt;"",OR($S$6="(все)",B33=$S$6)),MAX($AA$3:AA32)+1,"")</f>
        <v/>
      </c>
      <c r="AB33" s="38" t="str">
        <f t="shared" si="5"/>
        <v/>
      </c>
      <c r="AC33" s="38">
        <f>IF(OR(B33="",COUNTIF($B$4:B33,B33)&gt;1),"",MAX($AC$3:AC32)+1)</f>
        <v>6</v>
      </c>
      <c r="AD33" s="38" t="str">
        <f t="shared" si="6"/>
        <v/>
      </c>
      <c r="AE33" s="38" t="str">
        <f t="shared" si="7"/>
        <v/>
      </c>
      <c r="AF33" s="38" t="str">
        <f t="shared" si="8"/>
        <v/>
      </c>
      <c r="AG33" s="38" t="str">
        <f>IF(Спецификация_авто!$L$36="","",IF(COUNTIF($C$4:$C$500,Спецификация_авто!$L$36)=0,Спецификация_авто!$L$36,""))</f>
        <v/>
      </c>
      <c r="AH33" s="38" t="str">
        <f>IF(AG33="","",COUNTIF($AG$4:AG33,"?*"))</f>
        <v/>
      </c>
    </row>
    <row r="34" spans="1:34" x14ac:dyDescent="0.3">
      <c r="A34" s="74" t="s">
        <v>445</v>
      </c>
      <c r="B34" s="74" t="s">
        <v>286</v>
      </c>
      <c r="C34" s="74" t="s">
        <v>406</v>
      </c>
      <c r="D34" s="74"/>
      <c r="E34" s="74"/>
      <c r="F34" s="74"/>
      <c r="G34" s="74" t="s">
        <v>717</v>
      </c>
      <c r="H34" s="74" t="s">
        <v>406</v>
      </c>
      <c r="I34" s="74"/>
      <c r="J34" s="74"/>
      <c r="K34" s="74"/>
      <c r="L34" s="74"/>
      <c r="M34" s="74" t="s">
        <v>289</v>
      </c>
      <c r="N34" s="38">
        <f>IF(OR(A34="Автомат",A34="Дифавтомат"),IF(W34="","",COUNTIFS(Однолинейка!$H$3:$H$3000,U34,Однолинейка!$A$3:$A$3000,Щит_спец)),IF(A34="Аппарат",IF(C34="","",COUNTIFS(Однолинейка!$I$3:$I$3000,C34,Однолинейка!$A$3:$A$3000,Щит_спец)+COUNTIFS(Однолинейка!$J$3:$J$3000,C34,Однолинейка!$A$3:$A$3000,Щит_спец)+COUNTIFS(Однолинейка!$K$3:$K$3000,C34,Однолинейка!$A$3:$A$3000,Щит_спец)),IF(A34="Модуль",IF(C34="","",COUNTIFS(Однолинейка!$AW$3:$AW$3000,"?*",Однолинейка!$AI$3:$AI$3000,C34,Однолинейка!$A$3:$A$3000,Щит_спец)),IF(A34="Клемма",IF(C34="","",IF(C34=$S$7,SUMIFS(Однолинейка!$BW$3:$BW$3000,Однолинейка!$A$3:$A$3000,Щит_спец),IF(C34=$S$8,SUMIFS(Однолинейка!$BX$3:$BX$3000,Однолинейка!$A$3:$A$3000,Щит_спец),""))),""))))</f>
        <v>0</v>
      </c>
      <c r="O34" s="74"/>
      <c r="P34" s="38">
        <f t="shared" si="0"/>
        <v>0</v>
      </c>
      <c r="R34" s="38" t="str">
        <f>IFERROR(INDEX($AG$4:$AG$43,MATCH(7,$AH$4:$AH$43,0)),"")</f>
        <v/>
      </c>
      <c r="U34" s="38" t="str">
        <f t="shared" si="1"/>
        <v/>
      </c>
      <c r="V34" s="38" t="str">
        <f t="shared" si="2"/>
        <v/>
      </c>
      <c r="W34" s="38" t="str">
        <f>IF(AND(U34&lt;&gt;"",OR($S$4="(все)",B34=$S$4),IF($S$4="(все)",COUNTIF($U$4:U34,U34),COUNTIFS($U$4:U34,U34,$B$4:B34,B34))=1),MAX($W$3:W33)+1,"")</f>
        <v/>
      </c>
      <c r="X34" s="38" t="str">
        <f t="shared" si="3"/>
        <v/>
      </c>
      <c r="Y34" s="38" t="str">
        <f>IF(AND(A34="Аппарат",C34&lt;&gt;"",OR($S$5="(все)",B34=$S$5)),MAX($Y$3:Y33)+1,"")</f>
        <v/>
      </c>
      <c r="Z34" s="38" t="str">
        <f t="shared" si="4"/>
        <v/>
      </c>
      <c r="AA34" s="38" t="str">
        <f>IF(AND(A34="Модуль",C34&lt;&gt;"",OR($S$6="(все)",B34=$S$6)),MAX($AA$3:AA33)+1,"")</f>
        <v/>
      </c>
      <c r="AB34" s="38" t="str">
        <f t="shared" si="5"/>
        <v/>
      </c>
      <c r="AC34" s="38" t="str">
        <f>IF(OR(B34="",COUNTIF($B$4:B34,B34)&gt;1),"",MAX($AC$3:AC33)+1)</f>
        <v/>
      </c>
      <c r="AD34" s="38" t="str">
        <f t="shared" si="6"/>
        <v/>
      </c>
      <c r="AE34" s="38" t="str">
        <f t="shared" si="7"/>
        <v/>
      </c>
      <c r="AF34" s="38" t="str">
        <f t="shared" si="8"/>
        <v/>
      </c>
      <c r="AG34" s="38" t="str">
        <f>IF(Спецификация_авто!$L$39="","",IF(COUNTIF($C$4:$C$500,Спецификация_авто!$L$39)=0,Спецификация_авто!$L$39,""))</f>
        <v/>
      </c>
      <c r="AH34" s="38" t="str">
        <f>IF(AG34="","",COUNTIF($AG$4:AG34,"?*"))</f>
        <v/>
      </c>
    </row>
    <row r="35" spans="1:34" x14ac:dyDescent="0.3">
      <c r="A35" s="74" t="s">
        <v>445</v>
      </c>
      <c r="B35" s="74" t="s">
        <v>286</v>
      </c>
      <c r="C35" s="74" t="s">
        <v>326</v>
      </c>
      <c r="D35" s="74"/>
      <c r="E35" s="74"/>
      <c r="F35" s="74"/>
      <c r="G35" s="74" t="s">
        <v>325</v>
      </c>
      <c r="H35" s="74" t="s">
        <v>326</v>
      </c>
      <c r="I35" s="74"/>
      <c r="J35" s="74"/>
      <c r="K35" s="74"/>
      <c r="L35" s="74"/>
      <c r="M35" s="74" t="s">
        <v>289</v>
      </c>
      <c r="N35" s="38" t="str">
        <f>IF(OR(A35="Автомат",A35="Дифавтомат"),IF(W35="","",COUNTIFS(Однолинейка!$H$3:$H$3000,U35,Однолинейка!$A$3:$A$3000,Щит_спец)),IF(A35="Аппарат",IF(C35="","",COUNTIFS(Однолинейка!$I$3:$I$3000,C35,Однолинейка!$A$3:$A$3000,Щит_спец)+COUNTIFS(Однолинейка!$J$3:$J$3000,C35,Однолинейка!$A$3:$A$3000,Щит_спец)+COUNTIFS(Однолинейка!$K$3:$K$3000,C35,Однолинейка!$A$3:$A$3000,Щит_спец)),IF(A35="Модуль",IF(C35="","",COUNTIFS(Однолинейка!$AW$3:$AW$3000,"?*",Однолинейка!$AI$3:$AI$3000,C35,Однолинейка!$A$3:$A$3000,Щит_спец)),IF(A35="Клемма",IF(C35="","",IF(C35=$S$7,SUMIFS(Однолинейка!$BW$3:$BW$3000,Однолинейка!$A$3:$A$3000,Щит_спец),IF(C35=$S$8,SUMIFS(Однолинейка!$BX$3:$BX$3000,Однолинейка!$A$3:$A$3000,Щит_спец),""))),""))))</f>
        <v/>
      </c>
      <c r="O35" s="74"/>
      <c r="P35" s="38" t="str">
        <f t="shared" si="0"/>
        <v/>
      </c>
      <c r="R35" s="38" t="str">
        <f>IFERROR(INDEX($AG$4:$AG$43,MATCH(8,$AH$4:$AH$43,0)),"")</f>
        <v/>
      </c>
      <c r="U35" s="38" t="str">
        <f t="shared" si="1"/>
        <v/>
      </c>
      <c r="V35" s="38" t="str">
        <f t="shared" si="2"/>
        <v/>
      </c>
      <c r="W35" s="38" t="str">
        <f>IF(AND(U35&lt;&gt;"",OR($S$4="(все)",B35=$S$4),IF($S$4="(все)",COUNTIF($U$4:U35,U35),COUNTIFS($U$4:U35,U35,$B$4:B35,B35))=1),MAX($W$3:W34)+1,"")</f>
        <v/>
      </c>
      <c r="X35" s="38" t="str">
        <f t="shared" si="3"/>
        <v/>
      </c>
      <c r="Y35" s="38" t="str">
        <f>IF(AND(A35="Аппарат",C35&lt;&gt;"",OR($S$5="(все)",B35=$S$5)),MAX($Y$3:Y34)+1,"")</f>
        <v/>
      </c>
      <c r="Z35" s="38" t="str">
        <f t="shared" si="4"/>
        <v/>
      </c>
      <c r="AA35" s="38" t="str">
        <f>IF(AND(A35="Модуль",C35&lt;&gt;"",OR($S$6="(все)",B35=$S$6)),MAX($AA$3:AA34)+1,"")</f>
        <v/>
      </c>
      <c r="AB35" s="38" t="str">
        <f t="shared" si="5"/>
        <v/>
      </c>
      <c r="AC35" s="38" t="str">
        <f>IF(OR(B35="",COUNTIF($B$4:B35,B35)&gt;1),"",MAX($AC$3:AC34)+1)</f>
        <v/>
      </c>
      <c r="AD35" s="38" t="str">
        <f t="shared" si="6"/>
        <v/>
      </c>
      <c r="AE35" s="38" t="str">
        <f t="shared" si="7"/>
        <v/>
      </c>
      <c r="AF35" s="38" t="str">
        <f t="shared" si="8"/>
        <v/>
      </c>
      <c r="AG35" s="38" t="str">
        <f>IF(Спецификация_авто!$L$40="","",IF(COUNTIF($C$4:$C$500,Спецификация_авто!$L$40)=0,Спецификация_авто!$L$40,""))</f>
        <v/>
      </c>
      <c r="AH35" s="38" t="str">
        <f>IF(AG35="","",COUNTIF($AG$4:AG35,"?*"))</f>
        <v/>
      </c>
    </row>
    <row r="36" spans="1:34" x14ac:dyDescent="0.3">
      <c r="A36" s="74" t="s">
        <v>445</v>
      </c>
      <c r="B36" s="74" t="s">
        <v>286</v>
      </c>
      <c r="C36" s="74" t="s">
        <v>317</v>
      </c>
      <c r="D36" s="74"/>
      <c r="E36" s="74"/>
      <c r="F36" s="74"/>
      <c r="G36" s="74" t="s">
        <v>718</v>
      </c>
      <c r="H36" s="74" t="s">
        <v>317</v>
      </c>
      <c r="I36" s="74"/>
      <c r="J36" s="74"/>
      <c r="K36" s="74"/>
      <c r="L36" s="74"/>
      <c r="M36" s="74" t="s">
        <v>289</v>
      </c>
      <c r="N36" s="38" t="str">
        <f>IF(OR(A36="Автомат",A36="Дифавтомат"),IF(W36="","",COUNTIFS(Однолинейка!$H$3:$H$3000,U36,Однолинейка!$A$3:$A$3000,Щит_спец)),IF(A36="Аппарат",IF(C36="","",COUNTIFS(Однолинейка!$I$3:$I$3000,C36,Однолинейка!$A$3:$A$3000,Щит_спец)+COUNTIFS(Однолинейка!$J$3:$J$3000,C36,Однолинейка!$A$3:$A$3000,Щит_спец)+COUNTIFS(Однолинейка!$K$3:$K$3000,C36,Однолинейка!$A$3:$A$3000,Щит_спец)),IF(A36="Модуль",IF(C36="","",COUNTIFS(Однолинейка!$AW$3:$AW$3000,"?*",Однолинейка!$AI$3:$AI$3000,C36,Однолинейка!$A$3:$A$3000,Щит_спец)),IF(A36="Клемма",IF(C36="","",IF(C36=$S$7,SUMIFS(Однолинейка!$BW$3:$BW$3000,Однолинейка!$A$3:$A$3000,Щит_спец),IF(C36=$S$8,SUMIFS(Однолинейка!$BX$3:$BX$3000,Однолинейка!$A$3:$A$3000,Щит_спец),""))),""))))</f>
        <v/>
      </c>
      <c r="O36" s="74"/>
      <c r="P36" s="38" t="str">
        <f t="shared" si="0"/>
        <v/>
      </c>
      <c r="R36" s="38" t="str">
        <f>IFERROR(INDEX($AG$4:$AG$43,MATCH(9,$AH$4:$AH$43,0)),"")</f>
        <v/>
      </c>
      <c r="U36" s="38" t="str">
        <f t="shared" si="1"/>
        <v/>
      </c>
      <c r="V36" s="38" t="str">
        <f t="shared" si="2"/>
        <v/>
      </c>
      <c r="W36" s="38" t="str">
        <f>IF(AND(U36&lt;&gt;"",OR($S$4="(все)",B36=$S$4),IF($S$4="(все)",COUNTIF($U$4:U36,U36),COUNTIFS($U$4:U36,U36,$B$4:B36,B36))=1),MAX($W$3:W35)+1,"")</f>
        <v/>
      </c>
      <c r="X36" s="38" t="str">
        <f t="shared" si="3"/>
        <v/>
      </c>
      <c r="Y36" s="38" t="str">
        <f>IF(AND(A36="Аппарат",C36&lt;&gt;"",OR($S$5="(все)",B36=$S$5)),MAX($Y$3:Y35)+1,"")</f>
        <v/>
      </c>
      <c r="Z36" s="38" t="str">
        <f t="shared" si="4"/>
        <v/>
      </c>
      <c r="AA36" s="38" t="str">
        <f>IF(AND(A36="Модуль",C36&lt;&gt;"",OR($S$6="(все)",B36=$S$6)),MAX($AA$3:AA35)+1,"")</f>
        <v/>
      </c>
      <c r="AB36" s="38" t="str">
        <f t="shared" si="5"/>
        <v/>
      </c>
      <c r="AC36" s="38" t="str">
        <f>IF(OR(B36="",COUNTIF($B$4:B36,B36)&gt;1),"",MAX($AC$3:AC35)+1)</f>
        <v/>
      </c>
      <c r="AD36" s="38" t="str">
        <f t="shared" si="6"/>
        <v/>
      </c>
      <c r="AE36" s="38" t="str">
        <f t="shared" si="7"/>
        <v/>
      </c>
      <c r="AF36" s="38" t="str">
        <f t="shared" si="8"/>
        <v/>
      </c>
      <c r="AG36" s="38" t="str">
        <f>IF(Спецификация_авто!$L$41="","",IF(COUNTIF($C$4:$C$500,Спецификация_авто!$L$41)=0,Спецификация_авто!$L$41,""))</f>
        <v/>
      </c>
      <c r="AH36" s="38" t="str">
        <f>IF(AG36="","",COUNTIF($AG$4:AG36,"?*"))</f>
        <v/>
      </c>
    </row>
    <row r="37" spans="1:34" x14ac:dyDescent="0.3">
      <c r="A37" s="74" t="s">
        <v>445</v>
      </c>
      <c r="B37" s="74" t="s">
        <v>286</v>
      </c>
      <c r="C37" s="74" t="s">
        <v>392</v>
      </c>
      <c r="D37" s="74"/>
      <c r="E37" s="74"/>
      <c r="F37" s="74"/>
      <c r="G37" s="74" t="s">
        <v>719</v>
      </c>
      <c r="H37" s="74" t="s">
        <v>392</v>
      </c>
      <c r="I37" s="74"/>
      <c r="J37" s="74"/>
      <c r="K37" s="74"/>
      <c r="L37" s="74"/>
      <c r="M37" s="74" t="s">
        <v>289</v>
      </c>
      <c r="N37" s="38" t="str">
        <f>IF(OR(A37="Автомат",A37="Дифавтомат"),IF(W37="","",COUNTIFS(Однолинейка!$H$3:$H$3000,U37,Однолинейка!$A$3:$A$3000,Щит_спец)),IF(A37="Аппарат",IF(C37="","",COUNTIFS(Однолинейка!$I$3:$I$3000,C37,Однолинейка!$A$3:$A$3000,Щит_спец)+COUNTIFS(Однолинейка!$J$3:$J$3000,C37,Однолинейка!$A$3:$A$3000,Щит_спец)+COUNTIFS(Однолинейка!$K$3:$K$3000,C37,Однолинейка!$A$3:$A$3000,Щит_спец)),IF(A37="Модуль",IF(C37="","",COUNTIFS(Однолинейка!$AW$3:$AW$3000,"?*",Однолинейка!$AI$3:$AI$3000,C37,Однолинейка!$A$3:$A$3000,Щит_спец)),IF(A37="Клемма",IF(C37="","",IF(C37=$S$7,SUMIFS(Однолинейка!$BW$3:$BW$3000,Однолинейка!$A$3:$A$3000,Щит_спец),IF(C37=$S$8,SUMIFS(Однолинейка!$BX$3:$BX$3000,Однолинейка!$A$3:$A$3000,Щит_спец),""))),""))))</f>
        <v/>
      </c>
      <c r="O37" s="74"/>
      <c r="P37" s="38" t="str">
        <f t="shared" si="0"/>
        <v/>
      </c>
      <c r="R37" s="38" t="str">
        <f>IFERROR(INDEX($AG$4:$AG$43,MATCH(10,$AH$4:$AH$43,0)),"")</f>
        <v/>
      </c>
      <c r="U37" s="38" t="str">
        <f t="shared" si="1"/>
        <v/>
      </c>
      <c r="V37" s="38" t="str">
        <f t="shared" si="2"/>
        <v/>
      </c>
      <c r="W37" s="38" t="str">
        <f>IF(AND(U37&lt;&gt;"",OR($S$4="(все)",B37=$S$4),IF($S$4="(все)",COUNTIF($U$4:U37,U37),COUNTIFS($U$4:U37,U37,$B$4:B37,B37))=1),MAX($W$3:W36)+1,"")</f>
        <v/>
      </c>
      <c r="X37" s="38" t="str">
        <f t="shared" si="3"/>
        <v/>
      </c>
      <c r="Y37" s="38" t="str">
        <f>IF(AND(A37="Аппарат",C37&lt;&gt;"",OR($S$5="(все)",B37=$S$5)),MAX($Y$3:Y36)+1,"")</f>
        <v/>
      </c>
      <c r="Z37" s="38" t="str">
        <f t="shared" si="4"/>
        <v/>
      </c>
      <c r="AA37" s="38" t="str">
        <f>IF(AND(A37="Модуль",C37&lt;&gt;"",OR($S$6="(все)",B37=$S$6)),MAX($AA$3:AA36)+1,"")</f>
        <v/>
      </c>
      <c r="AB37" s="38" t="str">
        <f t="shared" si="5"/>
        <v/>
      </c>
      <c r="AC37" s="38" t="str">
        <f>IF(OR(B37="",COUNTIF($B$4:B37,B37)&gt;1),"",MAX($AC$3:AC36)+1)</f>
        <v/>
      </c>
      <c r="AD37" s="38" t="str">
        <f t="shared" si="6"/>
        <v/>
      </c>
      <c r="AE37" s="38" t="str">
        <f t="shared" si="7"/>
        <v/>
      </c>
      <c r="AF37" s="38" t="str">
        <f t="shared" si="8"/>
        <v/>
      </c>
      <c r="AG37" s="38" t="str">
        <f>IF(Спецификация_авто!$L$42="","",IF(COUNTIF($C$4:$C$500,Спецификация_авто!$L$42)=0,Спецификация_авто!$L$42,""))</f>
        <v/>
      </c>
      <c r="AH37" s="38" t="str">
        <f>IF(AG37="","",COUNTIF($AG$4:AG37,"?*"))</f>
        <v/>
      </c>
    </row>
    <row r="38" spans="1:34" x14ac:dyDescent="0.3">
      <c r="A38" s="74" t="s">
        <v>445</v>
      </c>
      <c r="B38" s="74" t="s">
        <v>286</v>
      </c>
      <c r="C38" s="74" t="s">
        <v>399</v>
      </c>
      <c r="D38" s="74"/>
      <c r="E38" s="74"/>
      <c r="F38" s="74"/>
      <c r="G38" s="74" t="s">
        <v>720</v>
      </c>
      <c r="H38" s="74" t="s">
        <v>399</v>
      </c>
      <c r="I38" s="74"/>
      <c r="J38" s="74"/>
      <c r="K38" s="74"/>
      <c r="L38" s="74"/>
      <c r="M38" s="74" t="s">
        <v>289</v>
      </c>
      <c r="N38" s="38" t="str">
        <f>IF(OR(A38="Автомат",A38="Дифавтомат"),IF(W38="","",COUNTIFS(Однолинейка!$H$3:$H$3000,U38,Однолинейка!$A$3:$A$3000,Щит_спец)),IF(A38="Аппарат",IF(C38="","",COUNTIFS(Однолинейка!$I$3:$I$3000,C38,Однолинейка!$A$3:$A$3000,Щит_спец)+COUNTIFS(Однолинейка!$J$3:$J$3000,C38,Однолинейка!$A$3:$A$3000,Щит_спец)+COUNTIFS(Однолинейка!$K$3:$K$3000,C38,Однолинейка!$A$3:$A$3000,Щит_спец)),IF(A38="Модуль",IF(C38="","",COUNTIFS(Однолинейка!$AW$3:$AW$3000,"?*",Однолинейка!$AI$3:$AI$3000,C38,Однолинейка!$A$3:$A$3000,Щит_спец)),IF(A38="Клемма",IF(C38="","",IF(C38=$S$7,SUMIFS(Однолинейка!$BW$3:$BW$3000,Однолинейка!$A$3:$A$3000,Щит_спец),IF(C38=$S$8,SUMIFS(Однолинейка!$BX$3:$BX$3000,Однолинейка!$A$3:$A$3000,Щит_спец),""))),""))))</f>
        <v/>
      </c>
      <c r="O38" s="74"/>
      <c r="P38" s="38" t="str">
        <f t="shared" si="0"/>
        <v/>
      </c>
      <c r="U38" s="38" t="str">
        <f t="shared" si="1"/>
        <v/>
      </c>
      <c r="V38" s="38" t="str">
        <f t="shared" si="2"/>
        <v/>
      </c>
      <c r="W38" s="38" t="str">
        <f>IF(AND(U38&lt;&gt;"",OR($S$4="(все)",B38=$S$4),IF($S$4="(все)",COUNTIF($U$4:U38,U38),COUNTIFS($U$4:U38,U38,$B$4:B38,B38))=1),MAX($W$3:W37)+1,"")</f>
        <v/>
      </c>
      <c r="X38" s="38" t="str">
        <f t="shared" si="3"/>
        <v/>
      </c>
      <c r="Y38" s="38" t="str">
        <f>IF(AND(A38="Аппарат",C38&lt;&gt;"",OR($S$5="(все)",B38=$S$5)),MAX($Y$3:Y37)+1,"")</f>
        <v/>
      </c>
      <c r="Z38" s="38" t="str">
        <f t="shared" si="4"/>
        <v/>
      </c>
      <c r="AA38" s="38" t="str">
        <f>IF(AND(A38="Модуль",C38&lt;&gt;"",OR($S$6="(все)",B38=$S$6)),MAX($AA$3:AA37)+1,"")</f>
        <v/>
      </c>
      <c r="AB38" s="38" t="str">
        <f t="shared" si="5"/>
        <v/>
      </c>
      <c r="AC38" s="38" t="str">
        <f>IF(OR(B38="",COUNTIF($B$4:B38,B38)&gt;1),"",MAX($AC$3:AC37)+1)</f>
        <v/>
      </c>
      <c r="AD38" s="38" t="str">
        <f t="shared" si="6"/>
        <v/>
      </c>
      <c r="AE38" s="38" t="str">
        <f t="shared" si="7"/>
        <v/>
      </c>
      <c r="AF38" s="38" t="str">
        <f t="shared" si="8"/>
        <v/>
      </c>
      <c r="AG38" s="38" t="str">
        <f>IF(Спецификация_авто!$L$43="","",IF(COUNTIF($C$4:$C$500,Спецификация_авто!$L$43)=0,Спецификация_авто!$L$43,""))</f>
        <v/>
      </c>
      <c r="AH38" s="38" t="str">
        <f>IF(AG38="","",COUNTIF($AG$4:AG38,"?*"))</f>
        <v/>
      </c>
    </row>
    <row r="39" spans="1:34" x14ac:dyDescent="0.3">
      <c r="A39" s="74" t="s">
        <v>689</v>
      </c>
      <c r="B39" s="74" t="s">
        <v>286</v>
      </c>
      <c r="C39" s="74" t="s">
        <v>276</v>
      </c>
      <c r="D39" s="74"/>
      <c r="E39" s="74"/>
      <c r="F39" s="74"/>
      <c r="G39" s="74" t="s">
        <v>261</v>
      </c>
      <c r="H39" s="74" t="s">
        <v>276</v>
      </c>
      <c r="I39" s="74"/>
      <c r="J39" s="74"/>
      <c r="K39" s="74"/>
      <c r="L39" s="74"/>
      <c r="M39" s="74" t="s">
        <v>267</v>
      </c>
      <c r="N39" s="38" t="str">
        <f>IF(OR(A39="Автомат",A39="Дифавтомат"),IF(W39="","",COUNTIFS(Однолинейка!$H$3:$H$3000,U39,Однолинейка!$A$3:$A$3000,Щит_спец)),IF(A39="Аппарат",IF(C39="","",COUNTIFS(Однолинейка!$I$3:$I$3000,C39,Однолинейка!$A$3:$A$3000,Щит_спец)+COUNTIFS(Однолинейка!$J$3:$J$3000,C39,Однолинейка!$A$3:$A$3000,Щит_спец)+COUNTIFS(Однолинейка!$K$3:$K$3000,C39,Однолинейка!$A$3:$A$3000,Щит_спец)),IF(A39="Модуль",IF(C39="","",COUNTIFS(Однолинейка!$AW$3:$AW$3000,"?*",Однолинейка!$AI$3:$AI$3000,C39,Однолинейка!$A$3:$A$3000,Щит_спец)),IF(A39="Клемма",IF(C39="","",IF(C39=$S$7,SUMIFS(Однолинейка!$BW$3:$BW$3000,Однолинейка!$A$3:$A$3000,Щит_спец),IF(C39=$S$8,SUMIFS(Однолинейка!$BX$3:$BX$3000,Однолинейка!$A$3:$A$3000,Щит_спец),""))),""))))</f>
        <v/>
      </c>
      <c r="O39" s="74"/>
      <c r="P39" s="38" t="str">
        <f t="shared" si="0"/>
        <v/>
      </c>
      <c r="U39" s="38" t="str">
        <f t="shared" si="1"/>
        <v/>
      </c>
      <c r="V39" s="38" t="str">
        <f t="shared" si="2"/>
        <v/>
      </c>
      <c r="W39" s="38" t="str">
        <f>IF(AND(U39&lt;&gt;"",OR($S$4="(все)",B39=$S$4),IF($S$4="(все)",COUNTIF($U$4:U39,U39),COUNTIFS($U$4:U39,U39,$B$4:B39,B39))=1),MAX($W$3:W38)+1,"")</f>
        <v/>
      </c>
      <c r="X39" s="38" t="str">
        <f t="shared" si="3"/>
        <v/>
      </c>
      <c r="Y39" s="38" t="str">
        <f>IF(AND(A39="Аппарат",C39&lt;&gt;"",OR($S$5="(все)",B39=$S$5)),MAX($Y$3:Y38)+1,"")</f>
        <v/>
      </c>
      <c r="Z39" s="38" t="str">
        <f t="shared" si="4"/>
        <v/>
      </c>
      <c r="AA39" s="38" t="str">
        <f>IF(AND(A39="Модуль",C39&lt;&gt;"",OR($S$6="(все)",B39=$S$6)),MAX($AA$3:AA38)+1,"")</f>
        <v/>
      </c>
      <c r="AB39" s="38" t="str">
        <f t="shared" si="5"/>
        <v/>
      </c>
      <c r="AC39" s="38" t="str">
        <f>IF(OR(B39="",COUNTIF($B$4:B39,B39)&gt;1),"",MAX($AC$3:AC38)+1)</f>
        <v/>
      </c>
      <c r="AD39" s="38" t="str">
        <f t="shared" si="6"/>
        <v/>
      </c>
      <c r="AE39" s="38" t="str">
        <f t="shared" si="7"/>
        <v/>
      </c>
      <c r="AF39" s="38" t="str">
        <f t="shared" si="8"/>
        <v/>
      </c>
      <c r="AG39" s="38" t="str">
        <f>IF(Спецификация_авто!$L$44="","",IF(COUNTIF($C$4:$C$500,Спецификация_авто!$L$44)=0,Спецификация_авто!$L$44,""))</f>
        <v/>
      </c>
      <c r="AH39" s="38" t="str">
        <f>IF(AG39="","",COUNTIF($AG$4:AG39,"?*"))</f>
        <v/>
      </c>
    </row>
    <row r="40" spans="1:34" x14ac:dyDescent="0.3">
      <c r="A40" s="74" t="s">
        <v>689</v>
      </c>
      <c r="B40" s="74" t="s">
        <v>286</v>
      </c>
      <c r="C40" s="74" t="s">
        <v>277</v>
      </c>
      <c r="D40" s="74"/>
      <c r="E40" s="74"/>
      <c r="F40" s="74"/>
      <c r="G40" s="74" t="s">
        <v>262</v>
      </c>
      <c r="H40" s="74" t="s">
        <v>277</v>
      </c>
      <c r="I40" s="74"/>
      <c r="J40" s="74"/>
      <c r="K40" s="74"/>
      <c r="L40" s="74"/>
      <c r="M40" s="74" t="s">
        <v>267</v>
      </c>
      <c r="N40" s="38" t="str">
        <f>IF(OR(A40="Автомат",A40="Дифавтомат"),IF(W40="","",COUNTIFS(Однолинейка!$H$3:$H$3000,U40,Однолинейка!$A$3:$A$3000,Щит_спец)),IF(A40="Аппарат",IF(C40="","",COUNTIFS(Однолинейка!$I$3:$I$3000,C40,Однолинейка!$A$3:$A$3000,Щит_спец)+COUNTIFS(Однолинейка!$J$3:$J$3000,C40,Однолинейка!$A$3:$A$3000,Щит_спец)+COUNTIFS(Однолинейка!$K$3:$K$3000,C40,Однолинейка!$A$3:$A$3000,Щит_спец)),IF(A40="Модуль",IF(C40="","",COUNTIFS(Однолинейка!$AW$3:$AW$3000,"?*",Однолинейка!$AI$3:$AI$3000,C40,Однолинейка!$A$3:$A$3000,Щит_спец)),IF(A40="Клемма",IF(C40="","",IF(C40=$S$7,SUMIFS(Однолинейка!$BW$3:$BW$3000,Однолинейка!$A$3:$A$3000,Щит_спец),IF(C40=$S$8,SUMIFS(Однолинейка!$BX$3:$BX$3000,Однолинейка!$A$3:$A$3000,Щит_спец),""))),""))))</f>
        <v/>
      </c>
      <c r="O40" s="74"/>
      <c r="P40" s="38" t="str">
        <f t="shared" si="0"/>
        <v/>
      </c>
      <c r="U40" s="38" t="str">
        <f t="shared" si="1"/>
        <v/>
      </c>
      <c r="V40" s="38" t="str">
        <f t="shared" si="2"/>
        <v/>
      </c>
      <c r="W40" s="38" t="str">
        <f>IF(AND(U40&lt;&gt;"",OR($S$4="(все)",B40=$S$4),IF($S$4="(все)",COUNTIF($U$4:U40,U40),COUNTIFS($U$4:U40,U40,$B$4:B40,B40))=1),MAX($W$3:W39)+1,"")</f>
        <v/>
      </c>
      <c r="X40" s="38" t="str">
        <f t="shared" si="3"/>
        <v/>
      </c>
      <c r="Y40" s="38" t="str">
        <f>IF(AND(A40="Аппарат",C40&lt;&gt;"",OR($S$5="(все)",B40=$S$5)),MAX($Y$3:Y39)+1,"")</f>
        <v/>
      </c>
      <c r="Z40" s="38" t="str">
        <f t="shared" si="4"/>
        <v/>
      </c>
      <c r="AA40" s="38" t="str">
        <f>IF(AND(A40="Модуль",C40&lt;&gt;"",OR($S$6="(все)",B40=$S$6)),MAX($AA$3:AA39)+1,"")</f>
        <v/>
      </c>
      <c r="AB40" s="38" t="str">
        <f t="shared" si="5"/>
        <v/>
      </c>
      <c r="AC40" s="38" t="str">
        <f>IF(OR(B40="",COUNTIF($B$4:B40,B40)&gt;1),"",MAX($AC$3:AC39)+1)</f>
        <v/>
      </c>
      <c r="AD40" s="38" t="str">
        <f t="shared" si="6"/>
        <v/>
      </c>
      <c r="AE40" s="38" t="str">
        <f t="shared" si="7"/>
        <v/>
      </c>
      <c r="AF40" s="38" t="str">
        <f t="shared" si="8"/>
        <v/>
      </c>
      <c r="AG40" s="38" t="str">
        <f>IF(Спецификация_авто!$L$45="","",IF(COUNTIF($C$4:$C$500,Спецификация_авто!$L$45)=0,Спецификация_авто!$L$45,""))</f>
        <v/>
      </c>
      <c r="AH40" s="38" t="str">
        <f>IF(AG40="","",COUNTIF($AG$4:AG40,"?*"))</f>
        <v/>
      </c>
    </row>
    <row r="41" spans="1:34" x14ac:dyDescent="0.3">
      <c r="A41" s="74" t="s">
        <v>689</v>
      </c>
      <c r="B41" s="74" t="s">
        <v>286</v>
      </c>
      <c r="C41" s="74" t="s">
        <v>408</v>
      </c>
      <c r="D41" s="74"/>
      <c r="E41" s="74"/>
      <c r="F41" s="74"/>
      <c r="G41" s="74" t="s">
        <v>407</v>
      </c>
      <c r="H41" s="74" t="s">
        <v>408</v>
      </c>
      <c r="I41" s="74"/>
      <c r="J41" s="74"/>
      <c r="K41" s="74"/>
      <c r="L41" s="74"/>
      <c r="M41" s="74" t="s">
        <v>267</v>
      </c>
      <c r="N41" s="38" t="str">
        <f>IF(OR(A41="Автомат",A41="Дифавтомат"),IF(W41="","",COUNTIFS(Однолинейка!$H$3:$H$3000,U41,Однолинейка!$A$3:$A$3000,Щит_спец)),IF(A41="Аппарат",IF(C41="","",COUNTIFS(Однолинейка!$I$3:$I$3000,C41,Однолинейка!$A$3:$A$3000,Щит_спец)+COUNTIFS(Однолинейка!$J$3:$J$3000,C41,Однолинейка!$A$3:$A$3000,Щит_спец)+COUNTIFS(Однолинейка!$K$3:$K$3000,C41,Однолинейка!$A$3:$A$3000,Щит_спец)),IF(A41="Модуль",IF(C41="","",COUNTIFS(Однолинейка!$AW$3:$AW$3000,"?*",Однолинейка!$AI$3:$AI$3000,C41,Однолинейка!$A$3:$A$3000,Щит_спец)),IF(A41="Клемма",IF(C41="","",IF(C41=$S$7,SUMIFS(Однолинейка!$BW$3:$BW$3000,Однолинейка!$A$3:$A$3000,Щит_спец),IF(C41=$S$8,SUMIFS(Однолинейка!$BX$3:$BX$3000,Однолинейка!$A$3:$A$3000,Щит_спец),""))),""))))</f>
        <v/>
      </c>
      <c r="O41" s="74"/>
      <c r="P41" s="38" t="str">
        <f t="shared" si="0"/>
        <v/>
      </c>
      <c r="U41" s="38" t="str">
        <f t="shared" si="1"/>
        <v/>
      </c>
      <c r="V41" s="38" t="str">
        <f t="shared" si="2"/>
        <v/>
      </c>
      <c r="W41" s="38" t="str">
        <f>IF(AND(U41&lt;&gt;"",OR($S$4="(все)",B41=$S$4),IF($S$4="(все)",COUNTIF($U$4:U41,U41),COUNTIFS($U$4:U41,U41,$B$4:B41,B41))=1),MAX($W$3:W40)+1,"")</f>
        <v/>
      </c>
      <c r="X41" s="38" t="str">
        <f t="shared" si="3"/>
        <v/>
      </c>
      <c r="Y41" s="38" t="str">
        <f>IF(AND(A41="Аппарат",C41&lt;&gt;"",OR($S$5="(все)",B41=$S$5)),MAX($Y$3:Y40)+1,"")</f>
        <v/>
      </c>
      <c r="Z41" s="38" t="str">
        <f t="shared" si="4"/>
        <v/>
      </c>
      <c r="AA41" s="38" t="str">
        <f>IF(AND(A41="Модуль",C41&lt;&gt;"",OR($S$6="(все)",B41=$S$6)),MAX($AA$3:AA40)+1,"")</f>
        <v/>
      </c>
      <c r="AB41" s="38" t="str">
        <f t="shared" si="5"/>
        <v/>
      </c>
      <c r="AC41" s="38" t="str">
        <f>IF(OR(B41="",COUNTIF($B$4:B41,B41)&gt;1),"",MAX($AC$3:AC40)+1)</f>
        <v/>
      </c>
      <c r="AD41" s="38" t="str">
        <f t="shared" si="6"/>
        <v/>
      </c>
      <c r="AE41" s="38" t="str">
        <f t="shared" si="7"/>
        <v/>
      </c>
      <c r="AF41" s="38" t="str">
        <f t="shared" si="8"/>
        <v/>
      </c>
      <c r="AG41" s="38" t="str">
        <f>IF(Спецификация_авто!$L$46="","",IF(COUNTIF($C$4:$C$500,Спецификация_авто!$L$46)=0,Спецификация_авто!$L$46,""))</f>
        <v/>
      </c>
      <c r="AH41" s="38" t="str">
        <f>IF(AG41="","",COUNTIF($AG$4:AG41,"?*"))</f>
        <v/>
      </c>
    </row>
    <row r="42" spans="1:34" x14ac:dyDescent="0.3">
      <c r="A42" s="74" t="s">
        <v>689</v>
      </c>
      <c r="B42" s="74" t="s">
        <v>286</v>
      </c>
      <c r="C42" s="74" t="s">
        <v>278</v>
      </c>
      <c r="D42" s="74"/>
      <c r="E42" s="74"/>
      <c r="F42" s="74"/>
      <c r="G42" s="74" t="s">
        <v>263</v>
      </c>
      <c r="H42" s="74" t="s">
        <v>278</v>
      </c>
      <c r="I42" s="74"/>
      <c r="J42" s="74"/>
      <c r="K42" s="74"/>
      <c r="L42" s="74"/>
      <c r="M42" s="74" t="s">
        <v>267</v>
      </c>
      <c r="N42" s="38" t="str">
        <f>IF(OR(A42="Автомат",A42="Дифавтомат"),IF(W42="","",COUNTIFS(Однолинейка!$H$3:$H$3000,U42,Однолинейка!$A$3:$A$3000,Щит_спец)),IF(A42="Аппарат",IF(C42="","",COUNTIFS(Однолинейка!$I$3:$I$3000,C42,Однолинейка!$A$3:$A$3000,Щит_спец)+COUNTIFS(Однолинейка!$J$3:$J$3000,C42,Однолинейка!$A$3:$A$3000,Щит_спец)+COUNTIFS(Однолинейка!$K$3:$K$3000,C42,Однолинейка!$A$3:$A$3000,Щит_спец)),IF(A42="Модуль",IF(C42="","",COUNTIFS(Однолинейка!$AW$3:$AW$3000,"?*",Однолинейка!$AI$3:$AI$3000,C42,Однолинейка!$A$3:$A$3000,Щит_спец)),IF(A42="Клемма",IF(C42="","",IF(C42=$S$7,SUMIFS(Однолинейка!$BW$3:$BW$3000,Однолинейка!$A$3:$A$3000,Щит_спец),IF(C42=$S$8,SUMIFS(Однолинейка!$BX$3:$BX$3000,Однолинейка!$A$3:$A$3000,Щит_спец),""))),""))))</f>
        <v/>
      </c>
      <c r="O42" s="74"/>
      <c r="P42" s="38" t="str">
        <f t="shared" si="0"/>
        <v/>
      </c>
      <c r="U42" s="38" t="str">
        <f t="shared" si="1"/>
        <v/>
      </c>
      <c r="V42" s="38" t="str">
        <f t="shared" si="2"/>
        <v/>
      </c>
      <c r="W42" s="38" t="str">
        <f>IF(AND(U42&lt;&gt;"",OR($S$4="(все)",B42=$S$4),IF($S$4="(все)",COUNTIF($U$4:U42,U42),COUNTIFS($U$4:U42,U42,$B$4:B42,B42))=1),MAX($W$3:W41)+1,"")</f>
        <v/>
      </c>
      <c r="X42" s="38" t="str">
        <f t="shared" si="3"/>
        <v/>
      </c>
      <c r="Y42" s="38" t="str">
        <f>IF(AND(A42="Аппарат",C42&lt;&gt;"",OR($S$5="(все)",B42=$S$5)),MAX($Y$3:Y41)+1,"")</f>
        <v/>
      </c>
      <c r="Z42" s="38" t="str">
        <f t="shared" si="4"/>
        <v/>
      </c>
      <c r="AA42" s="38" t="str">
        <f>IF(AND(A42="Модуль",C42&lt;&gt;"",OR($S$6="(все)",B42=$S$6)),MAX($AA$3:AA41)+1,"")</f>
        <v/>
      </c>
      <c r="AB42" s="38" t="str">
        <f t="shared" si="5"/>
        <v/>
      </c>
      <c r="AC42" s="38" t="str">
        <f>IF(OR(B42="",COUNTIF($B$4:B42,B42)&gt;1),"",MAX($AC$3:AC41)+1)</f>
        <v/>
      </c>
      <c r="AD42" s="38" t="str">
        <f t="shared" si="6"/>
        <v/>
      </c>
      <c r="AE42" s="38" t="str">
        <f t="shared" si="7"/>
        <v/>
      </c>
      <c r="AF42" s="38" t="str">
        <f t="shared" si="8"/>
        <v/>
      </c>
      <c r="AG42" s="38" t="str">
        <f>IF(Спецификация_авто!$L$47="","",IF(COUNTIF($C$4:$C$500,Спецификация_авто!$L$47)=0,Спецификация_авто!$L$47,""))</f>
        <v/>
      </c>
      <c r="AH42" s="38" t="str">
        <f>IF(AG42="","",COUNTIF($AG$4:AG42,"?*"))</f>
        <v/>
      </c>
    </row>
    <row r="43" spans="1:34" x14ac:dyDescent="0.3">
      <c r="A43" s="74" t="s">
        <v>689</v>
      </c>
      <c r="B43" s="74" t="s">
        <v>286</v>
      </c>
      <c r="C43" s="74" t="s">
        <v>279</v>
      </c>
      <c r="D43" s="74"/>
      <c r="E43" s="74"/>
      <c r="F43" s="74"/>
      <c r="G43" s="74" t="s">
        <v>264</v>
      </c>
      <c r="H43" s="74" t="s">
        <v>279</v>
      </c>
      <c r="I43" s="74"/>
      <c r="J43" s="74"/>
      <c r="K43" s="74"/>
      <c r="L43" s="74"/>
      <c r="M43" s="74" t="s">
        <v>267</v>
      </c>
      <c r="N43" s="38" t="str">
        <f>IF(OR(A43="Автомат",A43="Дифавтомат"),IF(W43="","",COUNTIFS(Однолинейка!$H$3:$H$3000,U43,Однолинейка!$A$3:$A$3000,Щит_спец)),IF(A43="Аппарат",IF(C43="","",COUNTIFS(Однолинейка!$I$3:$I$3000,C43,Однолинейка!$A$3:$A$3000,Щит_спец)+COUNTIFS(Однолинейка!$J$3:$J$3000,C43,Однолинейка!$A$3:$A$3000,Щит_спец)+COUNTIFS(Однолинейка!$K$3:$K$3000,C43,Однолинейка!$A$3:$A$3000,Щит_спец)),IF(A43="Модуль",IF(C43="","",COUNTIFS(Однолинейка!$AW$3:$AW$3000,"?*",Однолинейка!$AI$3:$AI$3000,C43,Однолинейка!$A$3:$A$3000,Щит_спец)),IF(A43="Клемма",IF(C43="","",IF(C43=$S$7,SUMIFS(Однолинейка!$BW$3:$BW$3000,Однолинейка!$A$3:$A$3000,Щит_спец),IF(C43=$S$8,SUMIFS(Однолинейка!$BX$3:$BX$3000,Однолинейка!$A$3:$A$3000,Щит_спец),""))),""))))</f>
        <v/>
      </c>
      <c r="O43" s="74"/>
      <c r="P43" s="38" t="str">
        <f t="shared" si="0"/>
        <v/>
      </c>
      <c r="U43" s="38" t="str">
        <f t="shared" si="1"/>
        <v/>
      </c>
      <c r="V43" s="38" t="str">
        <f t="shared" si="2"/>
        <v/>
      </c>
      <c r="W43" s="38" t="str">
        <f>IF(AND(U43&lt;&gt;"",OR($S$4="(все)",B43=$S$4),IF($S$4="(все)",COUNTIF($U$4:U43,U43),COUNTIFS($U$4:U43,U43,$B$4:B43,B43))=1),MAX($W$3:W42)+1,"")</f>
        <v/>
      </c>
      <c r="X43" s="38" t="str">
        <f t="shared" si="3"/>
        <v/>
      </c>
      <c r="Y43" s="38" t="str">
        <f>IF(AND(A43="Аппарат",C43&lt;&gt;"",OR($S$5="(все)",B43=$S$5)),MAX($Y$3:Y42)+1,"")</f>
        <v/>
      </c>
      <c r="Z43" s="38" t="str">
        <f t="shared" si="4"/>
        <v/>
      </c>
      <c r="AA43" s="38" t="str">
        <f>IF(AND(A43="Модуль",C43&lt;&gt;"",OR($S$6="(все)",B43=$S$6)),MAX($AA$3:AA42)+1,"")</f>
        <v/>
      </c>
      <c r="AB43" s="38" t="str">
        <f t="shared" si="5"/>
        <v/>
      </c>
      <c r="AC43" s="38" t="str">
        <f>IF(OR(B43="",COUNTIF($B$4:B43,B43)&gt;1),"",MAX($AC$3:AC42)+1)</f>
        <v/>
      </c>
      <c r="AD43" s="38" t="str">
        <f t="shared" si="6"/>
        <v/>
      </c>
      <c r="AE43" s="38" t="str">
        <f t="shared" si="7"/>
        <v/>
      </c>
      <c r="AF43" s="38" t="str">
        <f t="shared" si="8"/>
        <v/>
      </c>
      <c r="AG43" s="38" t="str">
        <f>IF(Спецификация_авто!$L$48="","",IF(COUNTIF($C$4:$C$500,Спецификация_авто!$L$48)=0,Спецификация_авто!$L$48,""))</f>
        <v/>
      </c>
      <c r="AH43" s="38" t="str">
        <f>IF(AG43="","",COUNTIF($AG$4:AG43,"?*"))</f>
        <v/>
      </c>
    </row>
    <row r="44" spans="1:34" x14ac:dyDescent="0.3">
      <c r="A44" s="74" t="s">
        <v>689</v>
      </c>
      <c r="B44" s="74" t="s">
        <v>286</v>
      </c>
      <c r="C44" s="74" t="s">
        <v>280</v>
      </c>
      <c r="D44" s="74"/>
      <c r="E44" s="74"/>
      <c r="F44" s="74"/>
      <c r="G44" s="74" t="s">
        <v>265</v>
      </c>
      <c r="H44" s="74" t="s">
        <v>280</v>
      </c>
      <c r="I44" s="74"/>
      <c r="J44" s="74"/>
      <c r="K44" s="74"/>
      <c r="L44" s="74"/>
      <c r="M44" s="74" t="s">
        <v>267</v>
      </c>
      <c r="N44" s="38" t="str">
        <f>IF(OR(A44="Автомат",A44="Дифавтомат"),IF(W44="","",COUNTIFS(Однолинейка!$H$3:$H$3000,U44,Однолинейка!$A$3:$A$3000,Щит_спец)),IF(A44="Аппарат",IF(C44="","",COUNTIFS(Однолинейка!$I$3:$I$3000,C44,Однолинейка!$A$3:$A$3000,Щит_спец)+COUNTIFS(Однолинейка!$J$3:$J$3000,C44,Однолинейка!$A$3:$A$3000,Щит_спец)+COUNTIFS(Однолинейка!$K$3:$K$3000,C44,Однолинейка!$A$3:$A$3000,Щит_спец)),IF(A44="Модуль",IF(C44="","",COUNTIFS(Однолинейка!$AW$3:$AW$3000,"?*",Однолинейка!$AI$3:$AI$3000,C44,Однолинейка!$A$3:$A$3000,Щит_спец)),IF(A44="Клемма",IF(C44="","",IF(C44=$S$7,SUMIFS(Однолинейка!$BW$3:$BW$3000,Однолинейка!$A$3:$A$3000,Щит_спец),IF(C44=$S$8,SUMIFS(Однолинейка!$BX$3:$BX$3000,Однолинейка!$A$3:$A$3000,Щит_спец),""))),""))))</f>
        <v/>
      </c>
      <c r="O44" s="74"/>
      <c r="P44" s="38" t="str">
        <f t="shared" si="0"/>
        <v/>
      </c>
      <c r="U44" s="38" t="str">
        <f t="shared" si="1"/>
        <v/>
      </c>
      <c r="V44" s="38" t="str">
        <f t="shared" si="2"/>
        <v/>
      </c>
      <c r="W44" s="38" t="str">
        <f>IF(AND(U44&lt;&gt;"",OR($S$4="(все)",B44=$S$4),IF($S$4="(все)",COUNTIF($U$4:U44,U44),COUNTIFS($U$4:U44,U44,$B$4:B44,B44))=1),MAX($W$3:W43)+1,"")</f>
        <v/>
      </c>
      <c r="X44" s="38" t="str">
        <f t="shared" si="3"/>
        <v/>
      </c>
      <c r="Y44" s="38" t="str">
        <f>IF(AND(A44="Аппарат",C44&lt;&gt;"",OR($S$5="(все)",B44=$S$5)),MAX($Y$3:Y43)+1,"")</f>
        <v/>
      </c>
      <c r="Z44" s="38" t="str">
        <f t="shared" si="4"/>
        <v/>
      </c>
      <c r="AA44" s="38" t="str">
        <f>IF(AND(A44="Модуль",C44&lt;&gt;"",OR($S$6="(все)",B44=$S$6)),MAX($AA$3:AA43)+1,"")</f>
        <v/>
      </c>
      <c r="AB44" s="38" t="str">
        <f t="shared" si="5"/>
        <v/>
      </c>
      <c r="AC44" s="38" t="str">
        <f>IF(OR(B44="",COUNTIF($B$4:B44,B44)&gt;1),"",MAX($AC$3:AC43)+1)</f>
        <v/>
      </c>
      <c r="AD44" s="38" t="str">
        <f t="shared" si="6"/>
        <v/>
      </c>
      <c r="AE44" s="38" t="str">
        <f t="shared" si="7"/>
        <v/>
      </c>
      <c r="AF44" s="38" t="str">
        <f t="shared" si="8"/>
        <v/>
      </c>
    </row>
    <row r="45" spans="1:34" x14ac:dyDescent="0.3">
      <c r="A45" s="74" t="s">
        <v>689</v>
      </c>
      <c r="B45" s="74" t="s">
        <v>286</v>
      </c>
      <c r="C45" s="74" t="s">
        <v>281</v>
      </c>
      <c r="D45" s="74"/>
      <c r="E45" s="74"/>
      <c r="F45" s="74"/>
      <c r="G45" s="74" t="s">
        <v>266</v>
      </c>
      <c r="H45" s="74" t="s">
        <v>281</v>
      </c>
      <c r="I45" s="74"/>
      <c r="J45" s="74"/>
      <c r="K45" s="74"/>
      <c r="L45" s="74"/>
      <c r="M45" s="74" t="s">
        <v>267</v>
      </c>
      <c r="N45" s="38" t="str">
        <f>IF(OR(A45="Автомат",A45="Дифавтомат"),IF(W45="","",COUNTIFS(Однолинейка!$H$3:$H$3000,U45,Однолинейка!$A$3:$A$3000,Щит_спец)),IF(A45="Аппарат",IF(C45="","",COUNTIFS(Однолинейка!$I$3:$I$3000,C45,Однолинейка!$A$3:$A$3000,Щит_спец)+COUNTIFS(Однолинейка!$J$3:$J$3000,C45,Однолинейка!$A$3:$A$3000,Щит_спец)+COUNTIFS(Однолинейка!$K$3:$K$3000,C45,Однолинейка!$A$3:$A$3000,Щит_спец)),IF(A45="Модуль",IF(C45="","",COUNTIFS(Однолинейка!$AW$3:$AW$3000,"?*",Однолинейка!$AI$3:$AI$3000,C45,Однолинейка!$A$3:$A$3000,Щит_спец)),IF(A45="Клемма",IF(C45="","",IF(C45=$S$7,SUMIFS(Однолинейка!$BW$3:$BW$3000,Однолинейка!$A$3:$A$3000,Щит_спец),IF(C45=$S$8,SUMIFS(Однолинейка!$BX$3:$BX$3000,Однолинейка!$A$3:$A$3000,Щит_спец),""))),""))))</f>
        <v/>
      </c>
      <c r="O45" s="74"/>
      <c r="P45" s="38" t="str">
        <f t="shared" si="0"/>
        <v/>
      </c>
      <c r="U45" s="38" t="str">
        <f t="shared" si="1"/>
        <v/>
      </c>
      <c r="V45" s="38" t="str">
        <f t="shared" si="2"/>
        <v/>
      </c>
      <c r="W45" s="38" t="str">
        <f>IF(AND(U45&lt;&gt;"",OR($S$4="(все)",B45=$S$4),IF($S$4="(все)",COUNTIF($U$4:U45,U45),COUNTIFS($U$4:U45,U45,$B$4:B45,B45))=1),MAX($W$3:W44)+1,"")</f>
        <v/>
      </c>
      <c r="X45" s="38" t="str">
        <f t="shared" si="3"/>
        <v/>
      </c>
      <c r="Y45" s="38" t="str">
        <f>IF(AND(A45="Аппарат",C45&lt;&gt;"",OR($S$5="(все)",B45=$S$5)),MAX($Y$3:Y44)+1,"")</f>
        <v/>
      </c>
      <c r="Z45" s="38" t="str">
        <f t="shared" si="4"/>
        <v/>
      </c>
      <c r="AA45" s="38" t="str">
        <f>IF(AND(A45="Модуль",C45&lt;&gt;"",OR($S$6="(все)",B45=$S$6)),MAX($AA$3:AA44)+1,"")</f>
        <v/>
      </c>
      <c r="AB45" s="38" t="str">
        <f t="shared" si="5"/>
        <v/>
      </c>
      <c r="AC45" s="38" t="str">
        <f>IF(OR(B45="",COUNTIF($B$4:B45,B45)&gt;1),"",MAX($AC$3:AC44)+1)</f>
        <v/>
      </c>
      <c r="AD45" s="38" t="str">
        <f t="shared" si="6"/>
        <v/>
      </c>
      <c r="AE45" s="38" t="str">
        <f t="shared" si="7"/>
        <v/>
      </c>
      <c r="AF45" s="38" t="str">
        <f t="shared" si="8"/>
        <v/>
      </c>
    </row>
    <row r="46" spans="1:34" x14ac:dyDescent="0.3">
      <c r="A46" s="74" t="s">
        <v>689</v>
      </c>
      <c r="B46" s="74" t="s">
        <v>286</v>
      </c>
      <c r="C46" s="74" t="s">
        <v>282</v>
      </c>
      <c r="D46" s="74"/>
      <c r="E46" s="74"/>
      <c r="F46" s="74"/>
      <c r="G46" s="74" t="s">
        <v>268</v>
      </c>
      <c r="H46" s="74" t="s">
        <v>282</v>
      </c>
      <c r="I46" s="74"/>
      <c r="J46" s="74"/>
      <c r="K46" s="74"/>
      <c r="L46" s="74"/>
      <c r="M46" s="74" t="s">
        <v>272</v>
      </c>
      <c r="N46" s="38" t="str">
        <f>IF(OR(A46="Автомат",A46="Дифавтомат"),IF(W46="","",COUNTIFS(Однолинейка!$H$3:$H$3000,U46,Однолинейка!$A$3:$A$3000,Щит_спец)),IF(A46="Аппарат",IF(C46="","",COUNTIFS(Однолинейка!$I$3:$I$3000,C46,Однолинейка!$A$3:$A$3000,Щит_спец)+COUNTIFS(Однолинейка!$J$3:$J$3000,C46,Однолинейка!$A$3:$A$3000,Щит_спец)+COUNTIFS(Однолинейка!$K$3:$K$3000,C46,Однолинейка!$A$3:$A$3000,Щит_спец)),IF(A46="Модуль",IF(C46="","",COUNTIFS(Однолинейка!$AW$3:$AW$3000,"?*",Однолинейка!$AI$3:$AI$3000,C46,Однолинейка!$A$3:$A$3000,Щит_спец)),IF(A46="Клемма",IF(C46="","",IF(C46=$S$7,SUMIFS(Однолинейка!$BW$3:$BW$3000,Однолинейка!$A$3:$A$3000,Щит_спец),IF(C46=$S$8,SUMIFS(Однолинейка!$BX$3:$BX$3000,Однолинейка!$A$3:$A$3000,Щит_спец),""))),""))))</f>
        <v/>
      </c>
      <c r="O46" s="74"/>
      <c r="P46" s="38" t="str">
        <f t="shared" si="0"/>
        <v/>
      </c>
      <c r="U46" s="38" t="str">
        <f t="shared" si="1"/>
        <v/>
      </c>
      <c r="V46" s="38" t="str">
        <f t="shared" si="2"/>
        <v/>
      </c>
      <c r="W46" s="38" t="str">
        <f>IF(AND(U46&lt;&gt;"",OR($S$4="(все)",B46=$S$4),IF($S$4="(все)",COUNTIF($U$4:U46,U46),COUNTIFS($U$4:U46,U46,$B$4:B46,B46))=1),MAX($W$3:W45)+1,"")</f>
        <v/>
      </c>
      <c r="X46" s="38" t="str">
        <f t="shared" si="3"/>
        <v/>
      </c>
      <c r="Y46" s="38" t="str">
        <f>IF(AND(A46="Аппарат",C46&lt;&gt;"",OR($S$5="(все)",B46=$S$5)),MAX($Y$3:Y45)+1,"")</f>
        <v/>
      </c>
      <c r="Z46" s="38" t="str">
        <f t="shared" si="4"/>
        <v/>
      </c>
      <c r="AA46" s="38" t="str">
        <f>IF(AND(A46="Модуль",C46&lt;&gt;"",OR($S$6="(все)",B46=$S$6)),MAX($AA$3:AA45)+1,"")</f>
        <v/>
      </c>
      <c r="AB46" s="38" t="str">
        <f t="shared" si="5"/>
        <v/>
      </c>
      <c r="AC46" s="38" t="str">
        <f>IF(OR(B46="",COUNTIF($B$4:B46,B46)&gt;1),"",MAX($AC$3:AC45)+1)</f>
        <v/>
      </c>
      <c r="AD46" s="38" t="str">
        <f t="shared" si="6"/>
        <v/>
      </c>
      <c r="AE46" s="38" t="str">
        <f t="shared" si="7"/>
        <v/>
      </c>
      <c r="AF46" s="38" t="str">
        <f t="shared" si="8"/>
        <v/>
      </c>
    </row>
    <row r="47" spans="1:34" x14ac:dyDescent="0.3">
      <c r="A47" s="74" t="s">
        <v>689</v>
      </c>
      <c r="B47" s="74" t="s">
        <v>286</v>
      </c>
      <c r="C47" s="74" t="s">
        <v>283</v>
      </c>
      <c r="D47" s="74"/>
      <c r="E47" s="74"/>
      <c r="F47" s="74"/>
      <c r="G47" s="74" t="s">
        <v>269</v>
      </c>
      <c r="H47" s="74" t="s">
        <v>283</v>
      </c>
      <c r="I47" s="74"/>
      <c r="J47" s="74"/>
      <c r="K47" s="74"/>
      <c r="L47" s="74"/>
      <c r="M47" s="74" t="s">
        <v>272</v>
      </c>
      <c r="N47" s="38" t="str">
        <f>IF(OR(A47="Автомат",A47="Дифавтомат"),IF(W47="","",COUNTIFS(Однолинейка!$H$3:$H$3000,U47,Однолинейка!$A$3:$A$3000,Щит_спец)),IF(A47="Аппарат",IF(C47="","",COUNTIFS(Однолинейка!$I$3:$I$3000,C47,Однолинейка!$A$3:$A$3000,Щит_спец)+COUNTIFS(Однолинейка!$J$3:$J$3000,C47,Однолинейка!$A$3:$A$3000,Щит_спец)+COUNTIFS(Однолинейка!$K$3:$K$3000,C47,Однолинейка!$A$3:$A$3000,Щит_спец)),IF(A47="Модуль",IF(C47="","",COUNTIFS(Однолинейка!$AW$3:$AW$3000,"?*",Однолинейка!$AI$3:$AI$3000,C47,Однолинейка!$A$3:$A$3000,Щит_спец)),IF(A47="Клемма",IF(C47="","",IF(C47=$S$7,SUMIFS(Однолинейка!$BW$3:$BW$3000,Однолинейка!$A$3:$A$3000,Щит_спец),IF(C47=$S$8,SUMIFS(Однолинейка!$BX$3:$BX$3000,Однолинейка!$A$3:$A$3000,Щит_спец),""))),""))))</f>
        <v/>
      </c>
      <c r="O47" s="74"/>
      <c r="P47" s="38" t="str">
        <f t="shared" si="0"/>
        <v/>
      </c>
      <c r="U47" s="38" t="str">
        <f t="shared" si="1"/>
        <v/>
      </c>
      <c r="V47" s="38" t="str">
        <f t="shared" si="2"/>
        <v/>
      </c>
      <c r="W47" s="38" t="str">
        <f>IF(AND(U47&lt;&gt;"",OR($S$4="(все)",B47=$S$4),IF($S$4="(все)",COUNTIF($U$4:U47,U47),COUNTIFS($U$4:U47,U47,$B$4:B47,B47))=1),MAX($W$3:W46)+1,"")</f>
        <v/>
      </c>
      <c r="X47" s="38" t="str">
        <f t="shared" si="3"/>
        <v/>
      </c>
      <c r="Y47" s="38" t="str">
        <f>IF(AND(A47="Аппарат",C47&lt;&gt;"",OR($S$5="(все)",B47=$S$5)),MAX($Y$3:Y46)+1,"")</f>
        <v/>
      </c>
      <c r="Z47" s="38" t="str">
        <f t="shared" si="4"/>
        <v/>
      </c>
      <c r="AA47" s="38" t="str">
        <f>IF(AND(A47="Модуль",C47&lt;&gt;"",OR($S$6="(все)",B47=$S$6)),MAX($AA$3:AA46)+1,"")</f>
        <v/>
      </c>
      <c r="AB47" s="38" t="str">
        <f t="shared" si="5"/>
        <v/>
      </c>
      <c r="AC47" s="38" t="str">
        <f>IF(OR(B47="",COUNTIF($B$4:B47,B47)&gt;1),"",MAX($AC$3:AC46)+1)</f>
        <v/>
      </c>
      <c r="AD47" s="38" t="str">
        <f t="shared" si="6"/>
        <v/>
      </c>
      <c r="AE47" s="38" t="str">
        <f t="shared" si="7"/>
        <v/>
      </c>
      <c r="AF47" s="38" t="str">
        <f t="shared" si="8"/>
        <v/>
      </c>
    </row>
    <row r="48" spans="1:34" x14ac:dyDescent="0.3">
      <c r="A48" s="74" t="s">
        <v>689</v>
      </c>
      <c r="B48" s="74" t="s">
        <v>286</v>
      </c>
      <c r="C48" s="74" t="s">
        <v>275</v>
      </c>
      <c r="D48" s="74"/>
      <c r="E48" s="74"/>
      <c r="F48" s="74"/>
      <c r="G48" s="74" t="s">
        <v>274</v>
      </c>
      <c r="H48" s="74" t="s">
        <v>275</v>
      </c>
      <c r="I48" s="74"/>
      <c r="J48" s="74"/>
      <c r="K48" s="74"/>
      <c r="L48" s="74"/>
      <c r="M48" s="74" t="s">
        <v>267</v>
      </c>
      <c r="N48" s="38" t="str">
        <f>IF(OR(A48="Автомат",A48="Дифавтомат"),IF(W48="","",COUNTIFS(Однолинейка!$H$3:$H$3000,U48,Однолинейка!$A$3:$A$3000,Щит_спец)),IF(A48="Аппарат",IF(C48="","",COUNTIFS(Однолинейка!$I$3:$I$3000,C48,Однолинейка!$A$3:$A$3000,Щит_спец)+COUNTIFS(Однолинейка!$J$3:$J$3000,C48,Однолинейка!$A$3:$A$3000,Щит_спец)+COUNTIFS(Однолинейка!$K$3:$K$3000,C48,Однолинейка!$A$3:$A$3000,Щит_спец)),IF(A48="Модуль",IF(C48="","",COUNTIFS(Однолинейка!$AW$3:$AW$3000,"?*",Однолинейка!$AI$3:$AI$3000,C48,Однолинейка!$A$3:$A$3000,Щит_спец)),IF(A48="Клемма",IF(C48="","",IF(C48=$S$7,SUMIFS(Однолинейка!$BW$3:$BW$3000,Однолинейка!$A$3:$A$3000,Щит_спец),IF(C48=$S$8,SUMIFS(Однолинейка!$BX$3:$BX$3000,Однолинейка!$A$3:$A$3000,Щит_спец),""))),""))))</f>
        <v/>
      </c>
      <c r="O48" s="74"/>
      <c r="P48" s="38" t="str">
        <f t="shared" si="0"/>
        <v/>
      </c>
      <c r="U48" s="38" t="str">
        <f t="shared" si="1"/>
        <v/>
      </c>
      <c r="V48" s="38" t="str">
        <f t="shared" si="2"/>
        <v/>
      </c>
      <c r="W48" s="38" t="str">
        <f>IF(AND(U48&lt;&gt;"",OR($S$4="(все)",B48=$S$4),IF($S$4="(все)",COUNTIF($U$4:U48,U48),COUNTIFS($U$4:U48,U48,$B$4:B48,B48))=1),MAX($W$3:W47)+1,"")</f>
        <v/>
      </c>
      <c r="X48" s="38" t="str">
        <f t="shared" si="3"/>
        <v/>
      </c>
      <c r="Y48" s="38" t="str">
        <f>IF(AND(A48="Аппарат",C48&lt;&gt;"",OR($S$5="(все)",B48=$S$5)),MAX($Y$3:Y47)+1,"")</f>
        <v/>
      </c>
      <c r="Z48" s="38" t="str">
        <f t="shared" si="4"/>
        <v/>
      </c>
      <c r="AA48" s="38" t="str">
        <f>IF(AND(A48="Модуль",C48&lt;&gt;"",OR($S$6="(все)",B48=$S$6)),MAX($AA$3:AA47)+1,"")</f>
        <v/>
      </c>
      <c r="AB48" s="38" t="str">
        <f t="shared" si="5"/>
        <v/>
      </c>
      <c r="AC48" s="38" t="str">
        <f>IF(OR(B48="",COUNTIF($B$4:B48,B48)&gt;1),"",MAX($AC$3:AC47)+1)</f>
        <v/>
      </c>
      <c r="AD48" s="38" t="str">
        <f t="shared" si="6"/>
        <v/>
      </c>
      <c r="AE48" s="38" t="str">
        <f t="shared" si="7"/>
        <v/>
      </c>
      <c r="AF48" s="38" t="str">
        <f t="shared" si="8"/>
        <v/>
      </c>
    </row>
    <row r="49" spans="1:32" x14ac:dyDescent="0.3">
      <c r="A49" s="74" t="s">
        <v>689</v>
      </c>
      <c r="B49" s="74" t="s">
        <v>286</v>
      </c>
      <c r="C49" s="74" t="s">
        <v>284</v>
      </c>
      <c r="D49" s="74"/>
      <c r="E49" s="74"/>
      <c r="F49" s="74"/>
      <c r="G49" s="74" t="s">
        <v>270</v>
      </c>
      <c r="H49" s="74" t="s">
        <v>284</v>
      </c>
      <c r="I49" s="74"/>
      <c r="J49" s="74"/>
      <c r="K49" s="74"/>
      <c r="L49" s="74"/>
      <c r="M49" s="74" t="s">
        <v>267</v>
      </c>
      <c r="N49" s="38" t="str">
        <f>IF(OR(A49="Автомат",A49="Дифавтомат"),IF(W49="","",COUNTIFS(Однолинейка!$H$3:$H$3000,U49,Однолинейка!$A$3:$A$3000,Щит_спец)),IF(A49="Аппарат",IF(C49="","",COUNTIFS(Однолинейка!$I$3:$I$3000,C49,Однолинейка!$A$3:$A$3000,Щит_спец)+COUNTIFS(Однолинейка!$J$3:$J$3000,C49,Однолинейка!$A$3:$A$3000,Щит_спец)+COUNTIFS(Однолинейка!$K$3:$K$3000,C49,Однолинейка!$A$3:$A$3000,Щит_спец)),IF(A49="Модуль",IF(C49="","",COUNTIFS(Однолинейка!$AW$3:$AW$3000,"?*",Однолинейка!$AI$3:$AI$3000,C49,Однолинейка!$A$3:$A$3000,Щит_спец)),IF(A49="Клемма",IF(C49="","",IF(C49=$S$7,SUMIFS(Однолинейка!$BW$3:$BW$3000,Однолинейка!$A$3:$A$3000,Щит_спец),IF(C49=$S$8,SUMIFS(Однолинейка!$BX$3:$BX$3000,Однолинейка!$A$3:$A$3000,Щит_спец),""))),""))))</f>
        <v/>
      </c>
      <c r="O49" s="74"/>
      <c r="P49" s="38" t="str">
        <f t="shared" si="0"/>
        <v/>
      </c>
      <c r="U49" s="38" t="str">
        <f t="shared" si="1"/>
        <v/>
      </c>
      <c r="V49" s="38" t="str">
        <f t="shared" si="2"/>
        <v/>
      </c>
      <c r="W49" s="38" t="str">
        <f>IF(AND(U49&lt;&gt;"",OR($S$4="(все)",B49=$S$4),IF($S$4="(все)",COUNTIF($U$4:U49,U49),COUNTIFS($U$4:U49,U49,$B$4:B49,B49))=1),MAX($W$3:W48)+1,"")</f>
        <v/>
      </c>
      <c r="X49" s="38" t="str">
        <f t="shared" si="3"/>
        <v/>
      </c>
      <c r="Y49" s="38" t="str">
        <f>IF(AND(A49="Аппарат",C49&lt;&gt;"",OR($S$5="(все)",B49=$S$5)),MAX($Y$3:Y48)+1,"")</f>
        <v/>
      </c>
      <c r="Z49" s="38" t="str">
        <f t="shared" si="4"/>
        <v/>
      </c>
      <c r="AA49" s="38" t="str">
        <f>IF(AND(A49="Модуль",C49&lt;&gt;"",OR($S$6="(все)",B49=$S$6)),MAX($AA$3:AA48)+1,"")</f>
        <v/>
      </c>
      <c r="AB49" s="38" t="str">
        <f t="shared" si="5"/>
        <v/>
      </c>
      <c r="AC49" s="38" t="str">
        <f>IF(OR(B49="",COUNTIF($B$4:B49,B49)&gt;1),"",MAX($AC$3:AC48)+1)</f>
        <v/>
      </c>
      <c r="AD49" s="38" t="str">
        <f t="shared" si="6"/>
        <v/>
      </c>
      <c r="AE49" s="38" t="str">
        <f t="shared" si="7"/>
        <v/>
      </c>
      <c r="AF49" s="38" t="str">
        <f t="shared" si="8"/>
        <v/>
      </c>
    </row>
    <row r="50" spans="1:32" x14ac:dyDescent="0.3">
      <c r="A50" s="74" t="s">
        <v>689</v>
      </c>
      <c r="B50" s="74" t="s">
        <v>286</v>
      </c>
      <c r="C50" s="74" t="s">
        <v>285</v>
      </c>
      <c r="D50" s="74"/>
      <c r="E50" s="74"/>
      <c r="F50" s="74"/>
      <c r="G50" s="74" t="s">
        <v>271</v>
      </c>
      <c r="H50" s="74" t="s">
        <v>285</v>
      </c>
      <c r="I50" s="74"/>
      <c r="J50" s="74"/>
      <c r="K50" s="74"/>
      <c r="L50" s="74"/>
      <c r="M50" s="74" t="s">
        <v>273</v>
      </c>
      <c r="N50" s="38" t="str">
        <f>IF(OR(A50="Автомат",A50="Дифавтомат"),IF(W50="","",COUNTIFS(Однолинейка!$H$3:$H$3000,U50,Однолинейка!$A$3:$A$3000,Щит_спец)),IF(A50="Аппарат",IF(C50="","",COUNTIFS(Однолинейка!$I$3:$I$3000,C50,Однолинейка!$A$3:$A$3000,Щит_спец)+COUNTIFS(Однолинейка!$J$3:$J$3000,C50,Однолинейка!$A$3:$A$3000,Щит_спец)+COUNTIFS(Однолинейка!$K$3:$K$3000,C50,Однолинейка!$A$3:$A$3000,Щит_спец)),IF(A50="Модуль",IF(C50="","",COUNTIFS(Однолинейка!$AW$3:$AW$3000,"?*",Однолинейка!$AI$3:$AI$3000,C50,Однолинейка!$A$3:$A$3000,Щит_спец)),IF(A50="Клемма",IF(C50="","",IF(C50=$S$7,SUMIFS(Однолинейка!$BW$3:$BW$3000,Однолинейка!$A$3:$A$3000,Щит_спец),IF(C50=$S$8,SUMIFS(Однолинейка!$BX$3:$BX$3000,Однолинейка!$A$3:$A$3000,Щит_спец),""))),""))))</f>
        <v/>
      </c>
      <c r="O50" s="74"/>
      <c r="P50" s="38" t="str">
        <f t="shared" si="0"/>
        <v/>
      </c>
      <c r="U50" s="38" t="str">
        <f t="shared" si="1"/>
        <v/>
      </c>
      <c r="V50" s="38" t="str">
        <f t="shared" si="2"/>
        <v/>
      </c>
      <c r="W50" s="38" t="str">
        <f>IF(AND(U50&lt;&gt;"",OR($S$4="(все)",B50=$S$4),IF($S$4="(все)",COUNTIF($U$4:U50,U50),COUNTIFS($U$4:U50,U50,$B$4:B50,B50))=1),MAX($W$3:W49)+1,"")</f>
        <v/>
      </c>
      <c r="X50" s="38" t="str">
        <f t="shared" si="3"/>
        <v/>
      </c>
      <c r="Y50" s="38" t="str">
        <f>IF(AND(A50="Аппарат",C50&lt;&gt;"",OR($S$5="(все)",B50=$S$5)),MAX($Y$3:Y49)+1,"")</f>
        <v/>
      </c>
      <c r="Z50" s="38" t="str">
        <f t="shared" si="4"/>
        <v/>
      </c>
      <c r="AA50" s="38" t="str">
        <f>IF(AND(A50="Модуль",C50&lt;&gt;"",OR($S$6="(все)",B50=$S$6)),MAX($AA$3:AA49)+1,"")</f>
        <v/>
      </c>
      <c r="AB50" s="38" t="str">
        <f t="shared" si="5"/>
        <v/>
      </c>
      <c r="AC50" s="38" t="str">
        <f>IF(OR(B50="",COUNTIF($B$4:B50,B50)&gt;1),"",MAX($AC$3:AC49)+1)</f>
        <v/>
      </c>
      <c r="AD50" s="38" t="str">
        <f t="shared" si="6"/>
        <v/>
      </c>
      <c r="AE50" s="38" t="str">
        <f t="shared" si="7"/>
        <v/>
      </c>
      <c r="AF50" s="38" t="str">
        <f t="shared" si="8"/>
        <v/>
      </c>
    </row>
    <row r="51" spans="1:32" x14ac:dyDescent="0.3">
      <c r="A51" s="74" t="s">
        <v>689</v>
      </c>
      <c r="B51" s="74" t="s">
        <v>286</v>
      </c>
      <c r="C51" s="74" t="s">
        <v>288</v>
      </c>
      <c r="D51" s="74"/>
      <c r="E51" s="74"/>
      <c r="F51" s="74"/>
      <c r="G51" s="74" t="s">
        <v>287</v>
      </c>
      <c r="H51" s="74" t="s">
        <v>288</v>
      </c>
      <c r="I51" s="74"/>
      <c r="J51" s="74"/>
      <c r="K51" s="74"/>
      <c r="L51" s="74"/>
      <c r="M51" s="74" t="s">
        <v>289</v>
      </c>
      <c r="N51" s="38" t="str">
        <f>IF(OR(A51="Автомат",A51="Дифавтомат"),IF(W51="","",COUNTIFS(Однолинейка!$H$3:$H$3000,U51,Однолинейка!$A$3:$A$3000,Щит_спец)),IF(A51="Аппарат",IF(C51="","",COUNTIFS(Однолинейка!$I$3:$I$3000,C51,Однолинейка!$A$3:$A$3000,Щит_спец)+COUNTIFS(Однолинейка!$J$3:$J$3000,C51,Однолинейка!$A$3:$A$3000,Щит_спец)+COUNTIFS(Однолинейка!$K$3:$K$3000,C51,Однолинейка!$A$3:$A$3000,Щит_спец)),IF(A51="Модуль",IF(C51="","",COUNTIFS(Однолинейка!$AW$3:$AW$3000,"?*",Однолинейка!$AI$3:$AI$3000,C51,Однолинейка!$A$3:$A$3000,Щит_спец)),IF(A51="Клемма",IF(C51="","",IF(C51=$S$7,SUMIFS(Однолинейка!$BW$3:$BW$3000,Однолинейка!$A$3:$A$3000,Щит_спец),IF(C51=$S$8,SUMIFS(Однолинейка!$BX$3:$BX$3000,Однолинейка!$A$3:$A$3000,Щит_спец),""))),""))))</f>
        <v/>
      </c>
      <c r="O51" s="74"/>
      <c r="P51" s="38" t="str">
        <f t="shared" si="0"/>
        <v/>
      </c>
      <c r="U51" s="38" t="str">
        <f t="shared" si="1"/>
        <v/>
      </c>
      <c r="V51" s="38" t="str">
        <f t="shared" si="2"/>
        <v/>
      </c>
      <c r="W51" s="38" t="str">
        <f>IF(AND(U51&lt;&gt;"",OR($S$4="(все)",B51=$S$4),IF($S$4="(все)",COUNTIF($U$4:U51,U51),COUNTIFS($U$4:U51,U51,$B$4:B51,B51))=1),MAX($W$3:W50)+1,"")</f>
        <v/>
      </c>
      <c r="X51" s="38" t="str">
        <f t="shared" si="3"/>
        <v/>
      </c>
      <c r="Y51" s="38" t="str">
        <f>IF(AND(A51="Аппарат",C51&lt;&gt;"",OR($S$5="(все)",B51=$S$5)),MAX($Y$3:Y50)+1,"")</f>
        <v/>
      </c>
      <c r="Z51" s="38" t="str">
        <f t="shared" si="4"/>
        <v/>
      </c>
      <c r="AA51" s="38" t="str">
        <f>IF(AND(A51="Модуль",C51&lt;&gt;"",OR($S$6="(все)",B51=$S$6)),MAX($AA$3:AA50)+1,"")</f>
        <v/>
      </c>
      <c r="AB51" s="38" t="str">
        <f t="shared" si="5"/>
        <v/>
      </c>
      <c r="AC51" s="38" t="str">
        <f>IF(OR(B51="",COUNTIF($B$4:B51,B51)&gt;1),"",MAX($AC$3:AC50)+1)</f>
        <v/>
      </c>
      <c r="AD51" s="38" t="str">
        <f t="shared" si="6"/>
        <v/>
      </c>
      <c r="AE51" s="38" t="str">
        <f t="shared" si="7"/>
        <v/>
      </c>
      <c r="AF51" s="38" t="str">
        <f t="shared" si="8"/>
        <v/>
      </c>
    </row>
    <row r="52" spans="1:32" x14ac:dyDescent="0.3">
      <c r="A52" s="74" t="s">
        <v>689</v>
      </c>
      <c r="B52" s="74" t="s">
        <v>292</v>
      </c>
      <c r="C52" s="74" t="s">
        <v>291</v>
      </c>
      <c r="D52" s="74"/>
      <c r="E52" s="74"/>
      <c r="F52" s="74"/>
      <c r="G52" s="74" t="s">
        <v>290</v>
      </c>
      <c r="H52" s="74" t="s">
        <v>291</v>
      </c>
      <c r="I52" s="74"/>
      <c r="J52" s="74"/>
      <c r="K52" s="74"/>
      <c r="L52" s="74"/>
      <c r="M52" s="74" t="s">
        <v>289</v>
      </c>
      <c r="N52" s="38" t="str">
        <f>IF(OR(A52="Автомат",A52="Дифавтомат"),IF(W52="","",COUNTIFS(Однолинейка!$H$3:$H$3000,U52,Однолинейка!$A$3:$A$3000,Щит_спец)),IF(A52="Аппарат",IF(C52="","",COUNTIFS(Однолинейка!$I$3:$I$3000,C52,Однолинейка!$A$3:$A$3000,Щит_спец)+COUNTIFS(Однолинейка!$J$3:$J$3000,C52,Однолинейка!$A$3:$A$3000,Щит_спец)+COUNTIFS(Однолинейка!$K$3:$K$3000,C52,Однолинейка!$A$3:$A$3000,Щит_спец)),IF(A52="Модуль",IF(C52="","",COUNTIFS(Однолинейка!$AW$3:$AW$3000,"?*",Однолинейка!$AI$3:$AI$3000,C52,Однолинейка!$A$3:$A$3000,Щит_спец)),IF(A52="Клемма",IF(C52="","",IF(C52=$S$7,SUMIFS(Однолинейка!$BW$3:$BW$3000,Однолинейка!$A$3:$A$3000,Щит_спец),IF(C52=$S$8,SUMIFS(Однолинейка!$BX$3:$BX$3000,Однолинейка!$A$3:$A$3000,Щит_спец),""))),""))))</f>
        <v/>
      </c>
      <c r="O52" s="74"/>
      <c r="P52" s="38" t="str">
        <f t="shared" si="0"/>
        <v/>
      </c>
      <c r="U52" s="38" t="str">
        <f t="shared" si="1"/>
        <v/>
      </c>
      <c r="V52" s="38" t="str">
        <f t="shared" si="2"/>
        <v/>
      </c>
      <c r="W52" s="38" t="str">
        <f>IF(AND(U52&lt;&gt;"",OR($S$4="(все)",B52=$S$4),IF($S$4="(все)",COUNTIF($U$4:U52,U52),COUNTIFS($U$4:U52,U52,$B$4:B52,B52))=1),MAX($W$3:W51)+1,"")</f>
        <v/>
      </c>
      <c r="X52" s="38" t="str">
        <f t="shared" si="3"/>
        <v/>
      </c>
      <c r="Y52" s="38" t="str">
        <f>IF(AND(A52="Аппарат",C52&lt;&gt;"",OR($S$5="(все)",B52=$S$5)),MAX($Y$3:Y51)+1,"")</f>
        <v/>
      </c>
      <c r="Z52" s="38" t="str">
        <f t="shared" si="4"/>
        <v/>
      </c>
      <c r="AA52" s="38" t="str">
        <f>IF(AND(A52="Модуль",C52&lt;&gt;"",OR($S$6="(все)",B52=$S$6)),MAX($AA$3:AA51)+1,"")</f>
        <v/>
      </c>
      <c r="AB52" s="38" t="str">
        <f t="shared" si="5"/>
        <v/>
      </c>
      <c r="AC52" s="38" t="str">
        <f>IF(OR(B52="",COUNTIF($B$4:B52,B52)&gt;1),"",MAX($AC$3:AC51)+1)</f>
        <v/>
      </c>
      <c r="AD52" s="38" t="str">
        <f t="shared" si="6"/>
        <v/>
      </c>
      <c r="AE52" s="38" t="str">
        <f t="shared" si="7"/>
        <v/>
      </c>
      <c r="AF52" s="38" t="str">
        <f t="shared" si="8"/>
        <v/>
      </c>
    </row>
    <row r="53" spans="1:32" x14ac:dyDescent="0.3">
      <c r="A53" s="74" t="s">
        <v>689</v>
      </c>
      <c r="B53" s="74" t="s">
        <v>292</v>
      </c>
      <c r="C53" s="74" t="s">
        <v>411</v>
      </c>
      <c r="D53" s="74"/>
      <c r="E53" s="74"/>
      <c r="F53" s="74"/>
      <c r="G53" s="74" t="s">
        <v>409</v>
      </c>
      <c r="H53" s="74" t="s">
        <v>411</v>
      </c>
      <c r="I53" s="74"/>
      <c r="J53" s="74"/>
      <c r="K53" s="74"/>
      <c r="L53" s="74"/>
      <c r="M53" s="74" t="s">
        <v>289</v>
      </c>
      <c r="N53" s="38" t="str">
        <f>IF(OR(A53="Автомат",A53="Дифавтомат"),IF(W53="","",COUNTIFS(Однолинейка!$H$3:$H$3000,U53,Однолинейка!$A$3:$A$3000,Щит_спец)),IF(A53="Аппарат",IF(C53="","",COUNTIFS(Однолинейка!$I$3:$I$3000,C53,Однолинейка!$A$3:$A$3000,Щит_спец)+COUNTIFS(Однолинейка!$J$3:$J$3000,C53,Однолинейка!$A$3:$A$3000,Щит_спец)+COUNTIFS(Однолинейка!$K$3:$K$3000,C53,Однолинейка!$A$3:$A$3000,Щит_спец)),IF(A53="Модуль",IF(C53="","",COUNTIFS(Однолинейка!$AW$3:$AW$3000,"?*",Однолинейка!$AI$3:$AI$3000,C53,Однолинейка!$A$3:$A$3000,Щит_спец)),IF(A53="Клемма",IF(C53="","",IF(C53=$S$7,SUMIFS(Однолинейка!$BW$3:$BW$3000,Однолинейка!$A$3:$A$3000,Щит_спец),IF(C53=$S$8,SUMIFS(Однолинейка!$BX$3:$BX$3000,Однолинейка!$A$3:$A$3000,Щит_спец),""))),""))))</f>
        <v/>
      </c>
      <c r="O53" s="74"/>
      <c r="P53" s="38" t="str">
        <f t="shared" si="0"/>
        <v/>
      </c>
      <c r="U53" s="38" t="str">
        <f t="shared" si="1"/>
        <v/>
      </c>
      <c r="V53" s="38" t="str">
        <f t="shared" si="2"/>
        <v/>
      </c>
      <c r="W53" s="38" t="str">
        <f>IF(AND(U53&lt;&gt;"",OR($S$4="(все)",B53=$S$4),IF($S$4="(все)",COUNTIF($U$4:U53,U53),COUNTIFS($U$4:U53,U53,$B$4:B53,B53))=1),MAX($W$3:W52)+1,"")</f>
        <v/>
      </c>
      <c r="X53" s="38" t="str">
        <f t="shared" si="3"/>
        <v/>
      </c>
      <c r="Y53" s="38" t="str">
        <f>IF(AND(A53="Аппарат",C53&lt;&gt;"",OR($S$5="(все)",B53=$S$5)),MAX($Y$3:Y52)+1,"")</f>
        <v/>
      </c>
      <c r="Z53" s="38" t="str">
        <f t="shared" si="4"/>
        <v/>
      </c>
      <c r="AA53" s="38" t="str">
        <f>IF(AND(A53="Модуль",C53&lt;&gt;"",OR($S$6="(все)",B53=$S$6)),MAX($AA$3:AA52)+1,"")</f>
        <v/>
      </c>
      <c r="AB53" s="38" t="str">
        <f t="shared" si="5"/>
        <v/>
      </c>
      <c r="AC53" s="38" t="str">
        <f>IF(OR(B53="",COUNTIF($B$4:B53,B53)&gt;1),"",MAX($AC$3:AC52)+1)</f>
        <v/>
      </c>
      <c r="AD53" s="38" t="str">
        <f t="shared" si="6"/>
        <v/>
      </c>
      <c r="AE53" s="38" t="str">
        <f t="shared" si="7"/>
        <v/>
      </c>
      <c r="AF53" s="38" t="str">
        <f t="shared" si="8"/>
        <v/>
      </c>
    </row>
    <row r="54" spans="1:32" x14ac:dyDescent="0.3">
      <c r="A54" s="74" t="s">
        <v>689</v>
      </c>
      <c r="B54" s="74" t="s">
        <v>292</v>
      </c>
      <c r="C54" s="74" t="s">
        <v>412</v>
      </c>
      <c r="D54" s="74"/>
      <c r="E54" s="74"/>
      <c r="F54" s="74"/>
      <c r="G54" s="74" t="s">
        <v>410</v>
      </c>
      <c r="H54" s="74" t="s">
        <v>412</v>
      </c>
      <c r="I54" s="74"/>
      <c r="J54" s="74"/>
      <c r="K54" s="74"/>
      <c r="L54" s="74"/>
      <c r="M54" s="74" t="s">
        <v>289</v>
      </c>
      <c r="N54" s="38" t="str">
        <f>IF(OR(A54="Автомат",A54="Дифавтомат"),IF(W54="","",COUNTIFS(Однолинейка!$H$3:$H$3000,U54,Однолинейка!$A$3:$A$3000,Щит_спец)),IF(A54="Аппарат",IF(C54="","",COUNTIFS(Однолинейка!$I$3:$I$3000,C54,Однолинейка!$A$3:$A$3000,Щит_спец)+COUNTIFS(Однолинейка!$J$3:$J$3000,C54,Однолинейка!$A$3:$A$3000,Щит_спец)+COUNTIFS(Однолинейка!$K$3:$K$3000,C54,Однолинейка!$A$3:$A$3000,Щит_спец)),IF(A54="Модуль",IF(C54="","",COUNTIFS(Однолинейка!$AW$3:$AW$3000,"?*",Однолинейка!$AI$3:$AI$3000,C54,Однолинейка!$A$3:$A$3000,Щит_спец)),IF(A54="Клемма",IF(C54="","",IF(C54=$S$7,SUMIFS(Однолинейка!$BW$3:$BW$3000,Однолинейка!$A$3:$A$3000,Щит_спец),IF(C54=$S$8,SUMIFS(Однолинейка!$BX$3:$BX$3000,Однолинейка!$A$3:$A$3000,Щит_спец),""))),""))))</f>
        <v/>
      </c>
      <c r="O54" s="74"/>
      <c r="P54" s="38" t="str">
        <f t="shared" si="0"/>
        <v/>
      </c>
      <c r="U54" s="38" t="str">
        <f t="shared" si="1"/>
        <v/>
      </c>
      <c r="V54" s="38" t="str">
        <f t="shared" si="2"/>
        <v/>
      </c>
      <c r="W54" s="38" t="str">
        <f>IF(AND(U54&lt;&gt;"",OR($S$4="(все)",B54=$S$4),IF($S$4="(все)",COUNTIF($U$4:U54,U54),COUNTIFS($U$4:U54,U54,$B$4:B54,B54))=1),MAX($W$3:W53)+1,"")</f>
        <v/>
      </c>
      <c r="X54" s="38" t="str">
        <f t="shared" si="3"/>
        <v/>
      </c>
      <c r="Y54" s="38" t="str">
        <f>IF(AND(A54="Аппарат",C54&lt;&gt;"",OR($S$5="(все)",B54=$S$5)),MAX($Y$3:Y53)+1,"")</f>
        <v/>
      </c>
      <c r="Z54" s="38" t="str">
        <f t="shared" si="4"/>
        <v/>
      </c>
      <c r="AA54" s="38" t="str">
        <f>IF(AND(A54="Модуль",C54&lt;&gt;"",OR($S$6="(все)",B54=$S$6)),MAX($AA$3:AA53)+1,"")</f>
        <v/>
      </c>
      <c r="AB54" s="38" t="str">
        <f t="shared" si="5"/>
        <v/>
      </c>
      <c r="AC54" s="38" t="str">
        <f>IF(OR(B54="",COUNTIF($B$4:B54,B54)&gt;1),"",MAX($AC$3:AC53)+1)</f>
        <v/>
      </c>
      <c r="AD54" s="38" t="str">
        <f t="shared" si="6"/>
        <v/>
      </c>
      <c r="AE54" s="38" t="str">
        <f t="shared" si="7"/>
        <v/>
      </c>
      <c r="AF54" s="38" t="str">
        <f t="shared" si="8"/>
        <v/>
      </c>
    </row>
    <row r="55" spans="1:32" x14ac:dyDescent="0.3">
      <c r="A55" s="74" t="s">
        <v>699</v>
      </c>
      <c r="B55" s="74" t="s">
        <v>294</v>
      </c>
      <c r="C55" s="74" t="s">
        <v>377</v>
      </c>
      <c r="D55" s="74"/>
      <c r="E55" s="74"/>
      <c r="F55" s="74"/>
      <c r="G55" s="74" t="s">
        <v>376</v>
      </c>
      <c r="H55" s="74" t="s">
        <v>377</v>
      </c>
      <c r="I55" s="74"/>
      <c r="J55" s="74"/>
      <c r="K55" s="74"/>
      <c r="L55" s="74"/>
      <c r="M55" s="74" t="s">
        <v>289</v>
      </c>
      <c r="N55" s="38" t="str">
        <f>IF(OR(A55="Автомат",A55="Дифавтомат"),IF(W55="","",COUNTIFS(Однолинейка!$H$3:$H$3000,U55,Однолинейка!$A$3:$A$3000,Щит_спец)),IF(A55="Аппарат",IF(C55="","",COUNTIFS(Однолинейка!$I$3:$I$3000,C55,Однолинейка!$A$3:$A$3000,Щит_спец)+COUNTIFS(Однолинейка!$J$3:$J$3000,C55,Однолинейка!$A$3:$A$3000,Щит_спец)+COUNTIFS(Однолинейка!$K$3:$K$3000,C55,Однолинейка!$A$3:$A$3000,Щит_спец)),IF(A55="Модуль",IF(C55="","",COUNTIFS(Однолинейка!$AW$3:$AW$3000,"?*",Однолинейка!$AI$3:$AI$3000,C55,Однолинейка!$A$3:$A$3000,Щит_спец)),IF(A55="Клемма",IF(C55="","",IF(C55=$S$7,SUMIFS(Однолинейка!$BW$3:$BW$3000,Однолинейка!$A$3:$A$3000,Щит_спец),IF(C55=$S$8,SUMIFS(Однолинейка!$BX$3:$BX$3000,Однолинейка!$A$3:$A$3000,Щит_спец),""))),""))))</f>
        <v/>
      </c>
      <c r="O55" s="74"/>
      <c r="P55" s="38" t="str">
        <f t="shared" si="0"/>
        <v/>
      </c>
      <c r="U55" s="38" t="str">
        <f t="shared" si="1"/>
        <v/>
      </c>
      <c r="V55" s="38" t="str">
        <f t="shared" si="2"/>
        <v/>
      </c>
      <c r="W55" s="38" t="str">
        <f>IF(AND(U55&lt;&gt;"",OR($S$4="(все)",B55=$S$4),IF($S$4="(все)",COUNTIF($U$4:U55,U55),COUNTIFS($U$4:U55,U55,$B$4:B55,B55))=1),MAX($W$3:W54)+1,"")</f>
        <v/>
      </c>
      <c r="X55" s="38" t="str">
        <f t="shared" si="3"/>
        <v/>
      </c>
      <c r="Y55" s="38" t="str">
        <f>IF(AND(A55="Аппарат",C55&lt;&gt;"",OR($S$5="(все)",B55=$S$5)),MAX($Y$3:Y54)+1,"")</f>
        <v/>
      </c>
      <c r="Z55" s="38" t="str">
        <f t="shared" si="4"/>
        <v/>
      </c>
      <c r="AA55" s="38" t="str">
        <f>IF(AND(A55="Модуль",C55&lt;&gt;"",OR($S$6="(все)",B55=$S$6)),MAX($AA$3:AA54)+1,"")</f>
        <v/>
      </c>
      <c r="AB55" s="38" t="str">
        <f t="shared" si="5"/>
        <v/>
      </c>
      <c r="AC55" s="38">
        <f>IF(OR(B55="",COUNTIF($B$4:B55,B55)&gt;1),"",MAX($AC$3:AC54)+1)</f>
        <v>7</v>
      </c>
      <c r="AD55" s="38" t="str">
        <f t="shared" si="6"/>
        <v/>
      </c>
      <c r="AE55" s="38" t="str">
        <f t="shared" si="7"/>
        <v/>
      </c>
      <c r="AF55" s="38" t="str">
        <f t="shared" si="8"/>
        <v/>
      </c>
    </row>
    <row r="56" spans="1:32" x14ac:dyDescent="0.3">
      <c r="A56" s="74" t="s">
        <v>699</v>
      </c>
      <c r="B56" s="74" t="s">
        <v>294</v>
      </c>
      <c r="C56" s="74" t="s">
        <v>379</v>
      </c>
      <c r="D56" s="74"/>
      <c r="E56" s="74"/>
      <c r="F56" s="74"/>
      <c r="G56" s="74" t="s">
        <v>378</v>
      </c>
      <c r="H56" s="74" t="s">
        <v>379</v>
      </c>
      <c r="I56" s="74"/>
      <c r="J56" s="74"/>
      <c r="K56" s="74"/>
      <c r="L56" s="74"/>
      <c r="M56" s="74" t="s">
        <v>289</v>
      </c>
      <c r="N56" s="38" t="str">
        <f>IF(OR(A56="Автомат",A56="Дифавтомат"),IF(W56="","",COUNTIFS(Однолинейка!$H$3:$H$3000,U56,Однолинейка!$A$3:$A$3000,Щит_спец)),IF(A56="Аппарат",IF(C56="","",COUNTIFS(Однолинейка!$I$3:$I$3000,C56,Однолинейка!$A$3:$A$3000,Щит_спец)+COUNTIFS(Однолинейка!$J$3:$J$3000,C56,Однолинейка!$A$3:$A$3000,Щит_спец)+COUNTIFS(Однолинейка!$K$3:$K$3000,C56,Однолинейка!$A$3:$A$3000,Щит_спец)),IF(A56="Модуль",IF(C56="","",COUNTIFS(Однолинейка!$AW$3:$AW$3000,"?*",Однолинейка!$AI$3:$AI$3000,C56,Однолинейка!$A$3:$A$3000,Щит_спец)),IF(A56="Клемма",IF(C56="","",IF(C56=$S$7,SUMIFS(Однолинейка!$BW$3:$BW$3000,Однолинейка!$A$3:$A$3000,Щит_спец),IF(C56=$S$8,SUMIFS(Однолинейка!$BX$3:$BX$3000,Однолинейка!$A$3:$A$3000,Щит_спец),""))),""))))</f>
        <v/>
      </c>
      <c r="O56" s="74"/>
      <c r="P56" s="38" t="str">
        <f t="shared" si="0"/>
        <v/>
      </c>
      <c r="U56" s="38" t="str">
        <f t="shared" si="1"/>
        <v/>
      </c>
      <c r="V56" s="38" t="str">
        <f t="shared" si="2"/>
        <v/>
      </c>
      <c r="W56" s="38" t="str">
        <f>IF(AND(U56&lt;&gt;"",OR($S$4="(все)",B56=$S$4),IF($S$4="(все)",COUNTIF($U$4:U56,U56),COUNTIFS($U$4:U56,U56,$B$4:B56,B56))=1),MAX($W$3:W55)+1,"")</f>
        <v/>
      </c>
      <c r="X56" s="38" t="str">
        <f t="shared" si="3"/>
        <v/>
      </c>
      <c r="Y56" s="38" t="str">
        <f>IF(AND(A56="Аппарат",C56&lt;&gt;"",OR($S$5="(все)",B56=$S$5)),MAX($Y$3:Y55)+1,"")</f>
        <v/>
      </c>
      <c r="Z56" s="38" t="str">
        <f t="shared" si="4"/>
        <v/>
      </c>
      <c r="AA56" s="38" t="str">
        <f>IF(AND(A56="Модуль",C56&lt;&gt;"",OR($S$6="(все)",B56=$S$6)),MAX($AA$3:AA55)+1,"")</f>
        <v/>
      </c>
      <c r="AB56" s="38" t="str">
        <f t="shared" si="5"/>
        <v/>
      </c>
      <c r="AC56" s="38" t="str">
        <f>IF(OR(B56="",COUNTIF($B$4:B56,B56)&gt;1),"",MAX($AC$3:AC55)+1)</f>
        <v/>
      </c>
      <c r="AD56" s="38" t="str">
        <f t="shared" si="6"/>
        <v/>
      </c>
      <c r="AE56" s="38" t="str">
        <f t="shared" si="7"/>
        <v/>
      </c>
      <c r="AF56" s="38" t="str">
        <f t="shared" si="8"/>
        <v/>
      </c>
    </row>
    <row r="57" spans="1:32" x14ac:dyDescent="0.3">
      <c r="A57" s="74" t="s">
        <v>445</v>
      </c>
      <c r="B57" s="74" t="s">
        <v>286</v>
      </c>
      <c r="C57" s="74" t="s">
        <v>319</v>
      </c>
      <c r="D57" s="74"/>
      <c r="E57" s="74"/>
      <c r="F57" s="74"/>
      <c r="G57" s="74" t="s">
        <v>318</v>
      </c>
      <c r="H57" s="74" t="s">
        <v>319</v>
      </c>
      <c r="I57" s="74"/>
      <c r="J57" s="74"/>
      <c r="K57" s="74"/>
      <c r="L57" s="74"/>
      <c r="M57" s="74" t="s">
        <v>289</v>
      </c>
      <c r="N57" s="38" t="str">
        <f>IF(OR(A57="Автомат",A57="Дифавтомат"),IF(W57="","",COUNTIFS(Однолинейка!$H$3:$H$3000,U57,Однолинейка!$A$3:$A$3000,Щит_спец)),IF(A57="Аппарат",IF(C57="","",COUNTIFS(Однолинейка!$I$3:$I$3000,C57,Однолинейка!$A$3:$A$3000,Щит_спец)+COUNTIFS(Однолинейка!$J$3:$J$3000,C57,Однолинейка!$A$3:$A$3000,Щит_спец)+COUNTIFS(Однолинейка!$K$3:$K$3000,C57,Однолинейка!$A$3:$A$3000,Щит_спец)),IF(A57="Модуль",IF(C57="","",COUNTIFS(Однолинейка!$AW$3:$AW$3000,"?*",Однолинейка!$AI$3:$AI$3000,C57,Однолинейка!$A$3:$A$3000,Щит_спец)),IF(A57="Клемма",IF(C57="","",IF(C57=$S$7,SUMIFS(Однолинейка!$BW$3:$BW$3000,Однолинейка!$A$3:$A$3000,Щит_спец),IF(C57=$S$8,SUMIFS(Однолинейка!$BX$3:$BX$3000,Однолинейка!$A$3:$A$3000,Щит_спец),""))),""))))</f>
        <v/>
      </c>
      <c r="O57" s="74"/>
      <c r="P57" s="38" t="str">
        <f t="shared" si="0"/>
        <v/>
      </c>
      <c r="U57" s="38" t="str">
        <f t="shared" si="1"/>
        <v/>
      </c>
      <c r="V57" s="38" t="str">
        <f t="shared" si="2"/>
        <v/>
      </c>
      <c r="W57" s="38" t="str">
        <f>IF(AND(U57&lt;&gt;"",OR($S$4="(все)",B57=$S$4),IF($S$4="(все)",COUNTIF($U$4:U57,U57),COUNTIFS($U$4:U57,U57,$B$4:B57,B57))=1),MAX($W$3:W56)+1,"")</f>
        <v/>
      </c>
      <c r="X57" s="38" t="str">
        <f t="shared" si="3"/>
        <v/>
      </c>
      <c r="Y57" s="38" t="str">
        <f>IF(AND(A57="Аппарат",C57&lt;&gt;"",OR($S$5="(все)",B57=$S$5)),MAX($Y$3:Y56)+1,"")</f>
        <v/>
      </c>
      <c r="Z57" s="38" t="str">
        <f t="shared" si="4"/>
        <v/>
      </c>
      <c r="AA57" s="38" t="str">
        <f>IF(AND(A57="Модуль",C57&lt;&gt;"",OR($S$6="(все)",B57=$S$6)),MAX($AA$3:AA56)+1,"")</f>
        <v/>
      </c>
      <c r="AB57" s="38" t="str">
        <f t="shared" si="5"/>
        <v/>
      </c>
      <c r="AC57" s="38" t="str">
        <f>IF(OR(B57="",COUNTIF($B$4:B57,B57)&gt;1),"",MAX($AC$3:AC56)+1)</f>
        <v/>
      </c>
      <c r="AD57" s="38" t="str">
        <f t="shared" si="6"/>
        <v/>
      </c>
      <c r="AE57" s="38" t="str">
        <f t="shared" si="7"/>
        <v/>
      </c>
      <c r="AF57" s="38" t="str">
        <f t="shared" si="8"/>
        <v/>
      </c>
    </row>
    <row r="58" spans="1:32" x14ac:dyDescent="0.3">
      <c r="A58" s="74" t="s">
        <v>445</v>
      </c>
      <c r="B58" s="74" t="s">
        <v>286</v>
      </c>
      <c r="C58" s="74" t="s">
        <v>321</v>
      </c>
      <c r="D58" s="74"/>
      <c r="E58" s="74"/>
      <c r="F58" s="74"/>
      <c r="G58" s="74" t="s">
        <v>320</v>
      </c>
      <c r="H58" s="74" t="s">
        <v>321</v>
      </c>
      <c r="I58" s="74"/>
      <c r="J58" s="74"/>
      <c r="K58" s="74"/>
      <c r="L58" s="74"/>
      <c r="M58" s="74" t="s">
        <v>289</v>
      </c>
      <c r="N58" s="38" t="str">
        <f>IF(OR(A58="Автомат",A58="Дифавтомат"),IF(W58="","",COUNTIFS(Однолинейка!$H$3:$H$3000,U58,Однолинейка!$A$3:$A$3000,Щит_спец)),IF(A58="Аппарат",IF(C58="","",COUNTIFS(Однолинейка!$I$3:$I$3000,C58,Однолинейка!$A$3:$A$3000,Щит_спец)+COUNTIFS(Однолинейка!$J$3:$J$3000,C58,Однолинейка!$A$3:$A$3000,Щит_спец)+COUNTIFS(Однолинейка!$K$3:$K$3000,C58,Однолинейка!$A$3:$A$3000,Щит_спец)),IF(A58="Модуль",IF(C58="","",COUNTIFS(Однолинейка!$AW$3:$AW$3000,"?*",Однолинейка!$AI$3:$AI$3000,C58,Однолинейка!$A$3:$A$3000,Щит_спец)),IF(A58="Клемма",IF(C58="","",IF(C58=$S$7,SUMIFS(Однолинейка!$BW$3:$BW$3000,Однолинейка!$A$3:$A$3000,Щит_спец),IF(C58=$S$8,SUMIFS(Однолинейка!$BX$3:$BX$3000,Однолинейка!$A$3:$A$3000,Щит_спец),""))),""))))</f>
        <v/>
      </c>
      <c r="O58" s="74"/>
      <c r="P58" s="38" t="str">
        <f t="shared" si="0"/>
        <v/>
      </c>
      <c r="U58" s="38" t="str">
        <f t="shared" si="1"/>
        <v/>
      </c>
      <c r="V58" s="38" t="str">
        <f t="shared" si="2"/>
        <v/>
      </c>
      <c r="W58" s="38" t="str">
        <f>IF(AND(U58&lt;&gt;"",OR($S$4="(все)",B58=$S$4),IF($S$4="(все)",COUNTIF($U$4:U58,U58),COUNTIFS($U$4:U58,U58,$B$4:B58,B58))=1),MAX($W$3:W57)+1,"")</f>
        <v/>
      </c>
      <c r="X58" s="38" t="str">
        <f t="shared" si="3"/>
        <v/>
      </c>
      <c r="Y58" s="38" t="str">
        <f>IF(AND(A58="Аппарат",C58&lt;&gt;"",OR($S$5="(все)",B58=$S$5)),MAX($Y$3:Y57)+1,"")</f>
        <v/>
      </c>
      <c r="Z58" s="38" t="str">
        <f t="shared" si="4"/>
        <v/>
      </c>
      <c r="AA58" s="38" t="str">
        <f>IF(AND(A58="Модуль",C58&lt;&gt;"",OR($S$6="(все)",B58=$S$6)),MAX($AA$3:AA57)+1,"")</f>
        <v/>
      </c>
      <c r="AB58" s="38" t="str">
        <f t="shared" si="5"/>
        <v/>
      </c>
      <c r="AC58" s="38" t="str">
        <f>IF(OR(B58="",COUNTIF($B$4:B58,B58)&gt;1),"",MAX($AC$3:AC57)+1)</f>
        <v/>
      </c>
      <c r="AD58" s="38" t="str">
        <f t="shared" si="6"/>
        <v/>
      </c>
      <c r="AE58" s="38" t="str">
        <f t="shared" si="7"/>
        <v/>
      </c>
      <c r="AF58" s="38" t="str">
        <f t="shared" si="8"/>
        <v/>
      </c>
    </row>
    <row r="59" spans="1:32" x14ac:dyDescent="0.3">
      <c r="A59" s="74" t="s">
        <v>445</v>
      </c>
      <c r="B59" s="74" t="s">
        <v>286</v>
      </c>
      <c r="C59" s="74" t="s">
        <v>323</v>
      </c>
      <c r="D59" s="74"/>
      <c r="E59" s="74"/>
      <c r="F59" s="74"/>
      <c r="G59" s="74" t="s">
        <v>322</v>
      </c>
      <c r="H59" s="74" t="s">
        <v>323</v>
      </c>
      <c r="I59" s="74"/>
      <c r="J59" s="74"/>
      <c r="K59" s="74"/>
      <c r="L59" s="74"/>
      <c r="M59" s="74" t="s">
        <v>289</v>
      </c>
      <c r="N59" s="38" t="str">
        <f>IF(OR(A59="Автомат",A59="Дифавтомат"),IF(W59="","",COUNTIFS(Однолинейка!$H$3:$H$3000,U59,Однолинейка!$A$3:$A$3000,Щит_спец)),IF(A59="Аппарат",IF(C59="","",COUNTIFS(Однолинейка!$I$3:$I$3000,C59,Однолинейка!$A$3:$A$3000,Щит_спец)+COUNTIFS(Однолинейка!$J$3:$J$3000,C59,Однолинейка!$A$3:$A$3000,Щит_спец)+COUNTIFS(Однолинейка!$K$3:$K$3000,C59,Однолинейка!$A$3:$A$3000,Щит_спец)),IF(A59="Модуль",IF(C59="","",COUNTIFS(Однолинейка!$AW$3:$AW$3000,"?*",Однолинейка!$AI$3:$AI$3000,C59,Однолинейка!$A$3:$A$3000,Щит_спец)),IF(A59="Клемма",IF(C59="","",IF(C59=$S$7,SUMIFS(Однолинейка!$BW$3:$BW$3000,Однолинейка!$A$3:$A$3000,Щит_спец),IF(C59=$S$8,SUMIFS(Однолинейка!$BX$3:$BX$3000,Однолинейка!$A$3:$A$3000,Щит_спец),""))),""))))</f>
        <v/>
      </c>
      <c r="O59" s="74"/>
      <c r="P59" s="38" t="str">
        <f t="shared" si="0"/>
        <v/>
      </c>
      <c r="U59" s="38" t="str">
        <f t="shared" si="1"/>
        <v/>
      </c>
      <c r="V59" s="38" t="str">
        <f t="shared" si="2"/>
        <v/>
      </c>
      <c r="W59" s="38" t="str">
        <f>IF(AND(U59&lt;&gt;"",OR($S$4="(все)",B59=$S$4),IF($S$4="(все)",COUNTIF($U$4:U59,U59),COUNTIFS($U$4:U59,U59,$B$4:B59,B59))=1),MAX($W$3:W58)+1,"")</f>
        <v/>
      </c>
      <c r="X59" s="38" t="str">
        <f t="shared" si="3"/>
        <v/>
      </c>
      <c r="Y59" s="38" t="str">
        <f>IF(AND(A59="Аппарат",C59&lt;&gt;"",OR($S$5="(все)",B59=$S$5)),MAX($Y$3:Y58)+1,"")</f>
        <v/>
      </c>
      <c r="Z59" s="38" t="str">
        <f t="shared" si="4"/>
        <v/>
      </c>
      <c r="AA59" s="38" t="str">
        <f>IF(AND(A59="Модуль",C59&lt;&gt;"",OR($S$6="(все)",B59=$S$6)),MAX($AA$3:AA58)+1,"")</f>
        <v/>
      </c>
      <c r="AB59" s="38" t="str">
        <f t="shared" si="5"/>
        <v/>
      </c>
      <c r="AC59" s="38" t="str">
        <f>IF(OR(B59="",COUNTIF($B$4:B59,B59)&gt;1),"",MAX($AC$3:AC58)+1)</f>
        <v/>
      </c>
      <c r="AD59" s="38" t="str">
        <f t="shared" si="6"/>
        <v/>
      </c>
      <c r="AE59" s="38" t="str">
        <f t="shared" si="7"/>
        <v/>
      </c>
      <c r="AF59" s="38" t="str">
        <f t="shared" si="8"/>
        <v/>
      </c>
    </row>
    <row r="60" spans="1:32" x14ac:dyDescent="0.3">
      <c r="A60" s="74" t="s">
        <v>445</v>
      </c>
      <c r="B60" s="74" t="s">
        <v>286</v>
      </c>
      <c r="C60" s="74" t="s">
        <v>394</v>
      </c>
      <c r="D60" s="74"/>
      <c r="E60" s="74"/>
      <c r="F60" s="74"/>
      <c r="G60" s="74" t="s">
        <v>393</v>
      </c>
      <c r="H60" s="74" t="s">
        <v>394</v>
      </c>
      <c r="I60" s="74"/>
      <c r="J60" s="74"/>
      <c r="K60" s="74"/>
      <c r="L60" s="74"/>
      <c r="M60" s="74" t="s">
        <v>289</v>
      </c>
      <c r="N60" s="38" t="str">
        <f>IF(OR(A60="Автомат",A60="Дифавтомат"),IF(W60="","",COUNTIFS(Однолинейка!$H$3:$H$3000,U60,Однолинейка!$A$3:$A$3000,Щит_спец)),IF(A60="Аппарат",IF(C60="","",COUNTIFS(Однолинейка!$I$3:$I$3000,C60,Однолинейка!$A$3:$A$3000,Щит_спец)+COUNTIFS(Однолинейка!$J$3:$J$3000,C60,Однолинейка!$A$3:$A$3000,Щит_спец)+COUNTIFS(Однолинейка!$K$3:$K$3000,C60,Однолинейка!$A$3:$A$3000,Щит_спец)),IF(A60="Модуль",IF(C60="","",COUNTIFS(Однолинейка!$AW$3:$AW$3000,"?*",Однолинейка!$AI$3:$AI$3000,C60,Однолинейка!$A$3:$A$3000,Щит_спец)),IF(A60="Клемма",IF(C60="","",IF(C60=$S$7,SUMIFS(Однолинейка!$BW$3:$BW$3000,Однолинейка!$A$3:$A$3000,Щит_спец),IF(C60=$S$8,SUMIFS(Однолинейка!$BX$3:$BX$3000,Однолинейка!$A$3:$A$3000,Щит_спец),""))),""))))</f>
        <v/>
      </c>
      <c r="O60" s="74"/>
      <c r="P60" s="38" t="str">
        <f t="shared" si="0"/>
        <v/>
      </c>
      <c r="U60" s="38" t="str">
        <f t="shared" si="1"/>
        <v/>
      </c>
      <c r="V60" s="38" t="str">
        <f t="shared" si="2"/>
        <v/>
      </c>
      <c r="W60" s="38" t="str">
        <f>IF(AND(U60&lt;&gt;"",OR($S$4="(все)",B60=$S$4),IF($S$4="(все)",COUNTIF($U$4:U60,U60),COUNTIFS($U$4:U60,U60,$B$4:B60,B60))=1),MAX($W$3:W59)+1,"")</f>
        <v/>
      </c>
      <c r="X60" s="38" t="str">
        <f t="shared" si="3"/>
        <v/>
      </c>
      <c r="Y60" s="38" t="str">
        <f>IF(AND(A60="Аппарат",C60&lt;&gt;"",OR($S$5="(все)",B60=$S$5)),MAX($Y$3:Y59)+1,"")</f>
        <v/>
      </c>
      <c r="Z60" s="38" t="str">
        <f t="shared" si="4"/>
        <v/>
      </c>
      <c r="AA60" s="38" t="str">
        <f>IF(AND(A60="Модуль",C60&lt;&gt;"",OR($S$6="(все)",B60=$S$6)),MAX($AA$3:AA59)+1,"")</f>
        <v/>
      </c>
      <c r="AB60" s="38" t="str">
        <f t="shared" si="5"/>
        <v/>
      </c>
      <c r="AC60" s="38" t="str">
        <f>IF(OR(B60="",COUNTIF($B$4:B60,B60)&gt;1),"",MAX($AC$3:AC59)+1)</f>
        <v/>
      </c>
      <c r="AD60" s="38" t="str">
        <f t="shared" si="6"/>
        <v/>
      </c>
      <c r="AE60" s="38" t="str">
        <f t="shared" si="7"/>
        <v/>
      </c>
      <c r="AF60" s="38" t="str">
        <f t="shared" si="8"/>
        <v/>
      </c>
    </row>
    <row r="61" spans="1:32" x14ac:dyDescent="0.3">
      <c r="A61" s="74" t="s">
        <v>445</v>
      </c>
      <c r="B61" s="74" t="s">
        <v>286</v>
      </c>
      <c r="C61" s="74" t="s">
        <v>396</v>
      </c>
      <c r="D61" s="74"/>
      <c r="E61" s="74"/>
      <c r="F61" s="74"/>
      <c r="G61" s="74" t="s">
        <v>395</v>
      </c>
      <c r="H61" s="74" t="s">
        <v>396</v>
      </c>
      <c r="I61" s="74"/>
      <c r="J61" s="74"/>
      <c r="K61" s="74"/>
      <c r="L61" s="74"/>
      <c r="M61" s="74" t="s">
        <v>289</v>
      </c>
      <c r="N61" s="38" t="str">
        <f>IF(OR(A61="Автомат",A61="Дифавтомат"),IF(W61="","",COUNTIFS(Однолинейка!$H$3:$H$3000,U61,Однолинейка!$A$3:$A$3000,Щит_спец)),IF(A61="Аппарат",IF(C61="","",COUNTIFS(Однолинейка!$I$3:$I$3000,C61,Однолинейка!$A$3:$A$3000,Щит_спец)+COUNTIFS(Однолинейка!$J$3:$J$3000,C61,Однолинейка!$A$3:$A$3000,Щит_спец)+COUNTIFS(Однолинейка!$K$3:$K$3000,C61,Однолинейка!$A$3:$A$3000,Щит_спец)),IF(A61="Модуль",IF(C61="","",COUNTIFS(Однолинейка!$AW$3:$AW$3000,"?*",Однолинейка!$AI$3:$AI$3000,C61,Однолинейка!$A$3:$A$3000,Щит_спец)),IF(A61="Клемма",IF(C61="","",IF(C61=$S$7,SUMIFS(Однолинейка!$BW$3:$BW$3000,Однолинейка!$A$3:$A$3000,Щит_спец),IF(C61=$S$8,SUMIFS(Однолинейка!$BX$3:$BX$3000,Однолинейка!$A$3:$A$3000,Щит_спец),""))),""))))</f>
        <v/>
      </c>
      <c r="O61" s="74"/>
      <c r="P61" s="38" t="str">
        <f t="shared" si="0"/>
        <v/>
      </c>
      <c r="U61" s="38" t="str">
        <f t="shared" si="1"/>
        <v/>
      </c>
      <c r="V61" s="38" t="str">
        <f t="shared" si="2"/>
        <v/>
      </c>
      <c r="W61" s="38" t="str">
        <f>IF(AND(U61&lt;&gt;"",OR($S$4="(все)",B61=$S$4),IF($S$4="(все)",COUNTIF($U$4:U61,U61),COUNTIFS($U$4:U61,U61,$B$4:B61,B61))=1),MAX($W$3:W60)+1,"")</f>
        <v/>
      </c>
      <c r="X61" s="38" t="str">
        <f t="shared" si="3"/>
        <v/>
      </c>
      <c r="Y61" s="38" t="str">
        <f>IF(AND(A61="Аппарат",C61&lt;&gt;"",OR($S$5="(все)",B61=$S$5)),MAX($Y$3:Y60)+1,"")</f>
        <v/>
      </c>
      <c r="Z61" s="38" t="str">
        <f t="shared" si="4"/>
        <v/>
      </c>
      <c r="AA61" s="38" t="str">
        <f>IF(AND(A61="Модуль",C61&lt;&gt;"",OR($S$6="(все)",B61=$S$6)),MAX($AA$3:AA60)+1,"")</f>
        <v/>
      </c>
      <c r="AB61" s="38" t="str">
        <f t="shared" si="5"/>
        <v/>
      </c>
      <c r="AC61" s="38" t="str">
        <f>IF(OR(B61="",COUNTIF($B$4:B61,B61)&gt;1),"",MAX($AC$3:AC60)+1)</f>
        <v/>
      </c>
      <c r="AD61" s="38" t="str">
        <f t="shared" si="6"/>
        <v/>
      </c>
      <c r="AE61" s="38" t="str">
        <f t="shared" si="7"/>
        <v/>
      </c>
      <c r="AF61" s="38" t="str">
        <f t="shared" si="8"/>
        <v/>
      </c>
    </row>
    <row r="62" spans="1:32" x14ac:dyDescent="0.3">
      <c r="A62" s="74" t="s">
        <v>445</v>
      </c>
      <c r="B62" s="74" t="s">
        <v>286</v>
      </c>
      <c r="C62" s="74" t="s">
        <v>398</v>
      </c>
      <c r="D62" s="74"/>
      <c r="E62" s="74"/>
      <c r="F62" s="74"/>
      <c r="G62" s="74" t="s">
        <v>397</v>
      </c>
      <c r="H62" s="74" t="s">
        <v>398</v>
      </c>
      <c r="I62" s="74"/>
      <c r="J62" s="74"/>
      <c r="K62" s="74"/>
      <c r="L62" s="74"/>
      <c r="M62" s="74" t="s">
        <v>289</v>
      </c>
      <c r="N62" s="38" t="str">
        <f>IF(OR(A62="Автомат",A62="Дифавтомат"),IF(W62="","",COUNTIFS(Однолинейка!$H$3:$H$3000,U62,Однолинейка!$A$3:$A$3000,Щит_спец)),IF(A62="Аппарат",IF(C62="","",COUNTIFS(Однолинейка!$I$3:$I$3000,C62,Однолинейка!$A$3:$A$3000,Щит_спец)+COUNTIFS(Однолинейка!$J$3:$J$3000,C62,Однолинейка!$A$3:$A$3000,Щит_спец)+COUNTIFS(Однолинейка!$K$3:$K$3000,C62,Однолинейка!$A$3:$A$3000,Щит_спец)),IF(A62="Модуль",IF(C62="","",COUNTIFS(Однолинейка!$AW$3:$AW$3000,"?*",Однолинейка!$AI$3:$AI$3000,C62,Однолинейка!$A$3:$A$3000,Щит_спец)),IF(A62="Клемма",IF(C62="","",IF(C62=$S$7,SUMIFS(Однолинейка!$BW$3:$BW$3000,Однолинейка!$A$3:$A$3000,Щит_спец),IF(C62=$S$8,SUMIFS(Однолинейка!$BX$3:$BX$3000,Однолинейка!$A$3:$A$3000,Щит_спец),""))),""))))</f>
        <v/>
      </c>
      <c r="O62" s="74"/>
      <c r="P62" s="38" t="str">
        <f t="shared" si="0"/>
        <v/>
      </c>
      <c r="U62" s="38" t="str">
        <f t="shared" si="1"/>
        <v/>
      </c>
      <c r="V62" s="38" t="str">
        <f t="shared" si="2"/>
        <v/>
      </c>
      <c r="W62" s="38" t="str">
        <f>IF(AND(U62&lt;&gt;"",OR($S$4="(все)",B62=$S$4),IF($S$4="(все)",COUNTIF($U$4:U62,U62),COUNTIFS($U$4:U62,U62,$B$4:B62,B62))=1),MAX($W$3:W61)+1,"")</f>
        <v/>
      </c>
      <c r="X62" s="38" t="str">
        <f t="shared" si="3"/>
        <v/>
      </c>
      <c r="Y62" s="38" t="str">
        <f>IF(AND(A62="Аппарат",C62&lt;&gt;"",OR($S$5="(все)",B62=$S$5)),MAX($Y$3:Y61)+1,"")</f>
        <v/>
      </c>
      <c r="Z62" s="38" t="str">
        <f t="shared" si="4"/>
        <v/>
      </c>
      <c r="AA62" s="38" t="str">
        <f>IF(AND(A62="Модуль",C62&lt;&gt;"",OR($S$6="(все)",B62=$S$6)),MAX($AA$3:AA61)+1,"")</f>
        <v/>
      </c>
      <c r="AB62" s="38" t="str">
        <f t="shared" si="5"/>
        <v/>
      </c>
      <c r="AC62" s="38" t="str">
        <f>IF(OR(B62="",COUNTIF($B$4:B62,B62)&gt;1),"",MAX($AC$3:AC61)+1)</f>
        <v/>
      </c>
      <c r="AD62" s="38" t="str">
        <f t="shared" si="6"/>
        <v/>
      </c>
      <c r="AE62" s="38" t="str">
        <f t="shared" si="7"/>
        <v/>
      </c>
      <c r="AF62" s="38" t="str">
        <f t="shared" si="8"/>
        <v/>
      </c>
    </row>
    <row r="63" spans="1:32" x14ac:dyDescent="0.3">
      <c r="A63" s="74" t="s">
        <v>445</v>
      </c>
      <c r="B63" s="74" t="s">
        <v>286</v>
      </c>
      <c r="C63" s="74" t="s">
        <v>401</v>
      </c>
      <c r="D63" s="74"/>
      <c r="E63" s="74"/>
      <c r="F63" s="74"/>
      <c r="G63" s="74" t="s">
        <v>400</v>
      </c>
      <c r="H63" s="74" t="s">
        <v>401</v>
      </c>
      <c r="I63" s="74"/>
      <c r="J63" s="74"/>
      <c r="K63" s="74"/>
      <c r="L63" s="74"/>
      <c r="M63" s="74" t="s">
        <v>289</v>
      </c>
      <c r="N63" s="38" t="str">
        <f>IF(OR(A63="Автомат",A63="Дифавтомат"),IF(W63="","",COUNTIFS(Однолинейка!$H$3:$H$3000,U63,Однолинейка!$A$3:$A$3000,Щит_спец)),IF(A63="Аппарат",IF(C63="","",COUNTIFS(Однолинейка!$I$3:$I$3000,C63,Однолинейка!$A$3:$A$3000,Щит_спец)+COUNTIFS(Однолинейка!$J$3:$J$3000,C63,Однолинейка!$A$3:$A$3000,Щит_спец)+COUNTIFS(Однолинейка!$K$3:$K$3000,C63,Однолинейка!$A$3:$A$3000,Щит_спец)),IF(A63="Модуль",IF(C63="","",COUNTIFS(Однолинейка!$AW$3:$AW$3000,"?*",Однолинейка!$AI$3:$AI$3000,C63,Однолинейка!$A$3:$A$3000,Щит_спец)),IF(A63="Клемма",IF(C63="","",IF(C63=$S$7,SUMIFS(Однолинейка!$BW$3:$BW$3000,Однолинейка!$A$3:$A$3000,Щит_спец),IF(C63=$S$8,SUMIFS(Однолинейка!$BX$3:$BX$3000,Однолинейка!$A$3:$A$3000,Щит_спец),""))),""))))</f>
        <v/>
      </c>
      <c r="O63" s="74"/>
      <c r="P63" s="38" t="str">
        <f t="shared" si="0"/>
        <v/>
      </c>
      <c r="U63" s="38" t="str">
        <f t="shared" si="1"/>
        <v/>
      </c>
      <c r="V63" s="38" t="str">
        <f t="shared" si="2"/>
        <v/>
      </c>
      <c r="W63" s="38" t="str">
        <f>IF(AND(U63&lt;&gt;"",OR($S$4="(все)",B63=$S$4),IF($S$4="(все)",COUNTIF($U$4:U63,U63),COUNTIFS($U$4:U63,U63,$B$4:B63,B63))=1),MAX($W$3:W62)+1,"")</f>
        <v/>
      </c>
      <c r="X63" s="38" t="str">
        <f t="shared" si="3"/>
        <v/>
      </c>
      <c r="Y63" s="38" t="str">
        <f>IF(AND(A63="Аппарат",C63&lt;&gt;"",OR($S$5="(все)",B63=$S$5)),MAX($Y$3:Y62)+1,"")</f>
        <v/>
      </c>
      <c r="Z63" s="38" t="str">
        <f t="shared" si="4"/>
        <v/>
      </c>
      <c r="AA63" s="38" t="str">
        <f>IF(AND(A63="Модуль",C63&lt;&gt;"",OR($S$6="(все)",B63=$S$6)),MAX($AA$3:AA62)+1,"")</f>
        <v/>
      </c>
      <c r="AB63" s="38" t="str">
        <f t="shared" si="5"/>
        <v/>
      </c>
      <c r="AC63" s="38" t="str">
        <f>IF(OR(B63="",COUNTIF($B$4:B63,B63)&gt;1),"",MAX($AC$3:AC62)+1)</f>
        <v/>
      </c>
      <c r="AD63" s="38" t="str">
        <f t="shared" si="6"/>
        <v/>
      </c>
      <c r="AE63" s="38" t="str">
        <f t="shared" si="7"/>
        <v/>
      </c>
      <c r="AF63" s="38" t="str">
        <f t="shared" si="8"/>
        <v/>
      </c>
    </row>
    <row r="64" spans="1:32" x14ac:dyDescent="0.3">
      <c r="A64" s="74" t="s">
        <v>445</v>
      </c>
      <c r="B64" s="74" t="s">
        <v>286</v>
      </c>
      <c r="C64" s="74" t="s">
        <v>403</v>
      </c>
      <c r="D64" s="74"/>
      <c r="E64" s="74"/>
      <c r="F64" s="74"/>
      <c r="G64" s="74" t="s">
        <v>402</v>
      </c>
      <c r="H64" s="74" t="s">
        <v>403</v>
      </c>
      <c r="I64" s="74"/>
      <c r="J64" s="74"/>
      <c r="K64" s="74"/>
      <c r="L64" s="74"/>
      <c r="M64" s="74" t="s">
        <v>289</v>
      </c>
      <c r="N64" s="38" t="str">
        <f>IF(OR(A64="Автомат",A64="Дифавтомат"),IF(W64="","",COUNTIFS(Однолинейка!$H$3:$H$3000,U64,Однолинейка!$A$3:$A$3000,Щит_спец)),IF(A64="Аппарат",IF(C64="","",COUNTIFS(Однолинейка!$I$3:$I$3000,C64,Однолинейка!$A$3:$A$3000,Щит_спец)+COUNTIFS(Однолинейка!$J$3:$J$3000,C64,Однолинейка!$A$3:$A$3000,Щит_спец)+COUNTIFS(Однолинейка!$K$3:$K$3000,C64,Однолинейка!$A$3:$A$3000,Щит_спец)),IF(A64="Модуль",IF(C64="","",COUNTIFS(Однолинейка!$AW$3:$AW$3000,"?*",Однолинейка!$AI$3:$AI$3000,C64,Однолинейка!$A$3:$A$3000,Щит_спец)),IF(A64="Клемма",IF(C64="","",IF(C64=$S$7,SUMIFS(Однолинейка!$BW$3:$BW$3000,Однолинейка!$A$3:$A$3000,Щит_спец),IF(C64=$S$8,SUMIFS(Однолинейка!$BX$3:$BX$3000,Однолинейка!$A$3:$A$3000,Щит_спец),""))),""))))</f>
        <v/>
      </c>
      <c r="O64" s="74"/>
      <c r="P64" s="38" t="str">
        <f t="shared" si="0"/>
        <v/>
      </c>
      <c r="U64" s="38" t="str">
        <f t="shared" si="1"/>
        <v/>
      </c>
      <c r="V64" s="38" t="str">
        <f t="shared" si="2"/>
        <v/>
      </c>
      <c r="W64" s="38" t="str">
        <f>IF(AND(U64&lt;&gt;"",OR($S$4="(все)",B64=$S$4),IF($S$4="(все)",COUNTIF($U$4:U64,U64),COUNTIFS($U$4:U64,U64,$B$4:B64,B64))=1),MAX($W$3:W63)+1,"")</f>
        <v/>
      </c>
      <c r="X64" s="38" t="str">
        <f t="shared" si="3"/>
        <v/>
      </c>
      <c r="Y64" s="38" t="str">
        <f>IF(AND(A64="Аппарат",C64&lt;&gt;"",OR($S$5="(все)",B64=$S$5)),MAX($Y$3:Y63)+1,"")</f>
        <v/>
      </c>
      <c r="Z64" s="38" t="str">
        <f t="shared" si="4"/>
        <v/>
      </c>
      <c r="AA64" s="38" t="str">
        <f>IF(AND(A64="Модуль",C64&lt;&gt;"",OR($S$6="(все)",B64=$S$6)),MAX($AA$3:AA63)+1,"")</f>
        <v/>
      </c>
      <c r="AB64" s="38" t="str">
        <f t="shared" si="5"/>
        <v/>
      </c>
      <c r="AC64" s="38" t="str">
        <f>IF(OR(B64="",COUNTIF($B$4:B64,B64)&gt;1),"",MAX($AC$3:AC63)+1)</f>
        <v/>
      </c>
      <c r="AD64" s="38" t="str">
        <f t="shared" si="6"/>
        <v/>
      </c>
      <c r="AE64" s="38" t="str">
        <f t="shared" si="7"/>
        <v/>
      </c>
      <c r="AF64" s="38" t="str">
        <f t="shared" si="8"/>
        <v/>
      </c>
    </row>
    <row r="65" spans="1:32" x14ac:dyDescent="0.3">
      <c r="A65" s="74" t="s">
        <v>445</v>
      </c>
      <c r="B65" s="74" t="s">
        <v>286</v>
      </c>
      <c r="C65" s="74" t="s">
        <v>405</v>
      </c>
      <c r="D65" s="74"/>
      <c r="E65" s="74"/>
      <c r="F65" s="74"/>
      <c r="G65" s="74" t="s">
        <v>404</v>
      </c>
      <c r="H65" s="74" t="s">
        <v>405</v>
      </c>
      <c r="I65" s="74"/>
      <c r="J65" s="74"/>
      <c r="K65" s="74"/>
      <c r="L65" s="74"/>
      <c r="M65" s="74" t="s">
        <v>289</v>
      </c>
      <c r="N65" s="38" t="str">
        <f>IF(OR(A65="Автомат",A65="Дифавтомат"),IF(W65="","",COUNTIFS(Однолинейка!$H$3:$H$3000,U65,Однолинейка!$A$3:$A$3000,Щит_спец)),IF(A65="Аппарат",IF(C65="","",COUNTIFS(Однолинейка!$I$3:$I$3000,C65,Однолинейка!$A$3:$A$3000,Щит_спец)+COUNTIFS(Однолинейка!$J$3:$J$3000,C65,Однолинейка!$A$3:$A$3000,Щит_спец)+COUNTIFS(Однолинейка!$K$3:$K$3000,C65,Однолинейка!$A$3:$A$3000,Щит_спец)),IF(A65="Модуль",IF(C65="","",COUNTIFS(Однолинейка!$AW$3:$AW$3000,"?*",Однолинейка!$AI$3:$AI$3000,C65,Однолинейка!$A$3:$A$3000,Щит_спец)),IF(A65="Клемма",IF(C65="","",IF(C65=$S$7,SUMIFS(Однолинейка!$BW$3:$BW$3000,Однолинейка!$A$3:$A$3000,Щит_спец),IF(C65=$S$8,SUMIFS(Однолинейка!$BX$3:$BX$3000,Однолинейка!$A$3:$A$3000,Щит_спец),""))),""))))</f>
        <v/>
      </c>
      <c r="O65" s="74"/>
      <c r="P65" s="38" t="str">
        <f t="shared" si="0"/>
        <v/>
      </c>
      <c r="U65" s="38" t="str">
        <f t="shared" si="1"/>
        <v/>
      </c>
      <c r="V65" s="38" t="str">
        <f t="shared" si="2"/>
        <v/>
      </c>
      <c r="W65" s="38" t="str">
        <f>IF(AND(U65&lt;&gt;"",OR($S$4="(все)",B65=$S$4),IF($S$4="(все)",COUNTIF($U$4:U65,U65),COUNTIFS($U$4:U65,U65,$B$4:B65,B65))=1),MAX($W$3:W64)+1,"")</f>
        <v/>
      </c>
      <c r="X65" s="38" t="str">
        <f t="shared" si="3"/>
        <v/>
      </c>
      <c r="Y65" s="38" t="str">
        <f>IF(AND(A65="Аппарат",C65&lt;&gt;"",OR($S$5="(все)",B65=$S$5)),MAX($Y$3:Y64)+1,"")</f>
        <v/>
      </c>
      <c r="Z65" s="38" t="str">
        <f t="shared" si="4"/>
        <v/>
      </c>
      <c r="AA65" s="38" t="str">
        <f>IF(AND(A65="Модуль",C65&lt;&gt;"",OR($S$6="(все)",B65=$S$6)),MAX($AA$3:AA64)+1,"")</f>
        <v/>
      </c>
      <c r="AB65" s="38" t="str">
        <f t="shared" si="5"/>
        <v/>
      </c>
      <c r="AC65" s="38" t="str">
        <f>IF(OR(B65="",COUNTIF($B$4:B65,B65)&gt;1),"",MAX($AC$3:AC64)+1)</f>
        <v/>
      </c>
      <c r="AD65" s="38" t="str">
        <f t="shared" si="6"/>
        <v/>
      </c>
      <c r="AE65" s="38" t="str">
        <f t="shared" si="7"/>
        <v/>
      </c>
      <c r="AF65" s="38" t="str">
        <f t="shared" si="8"/>
        <v/>
      </c>
    </row>
    <row r="66" spans="1:32" x14ac:dyDescent="0.3">
      <c r="A66" s="74" t="s">
        <v>445</v>
      </c>
      <c r="B66" s="74" t="s">
        <v>286</v>
      </c>
      <c r="C66" s="74" t="s">
        <v>328</v>
      </c>
      <c r="D66" s="74"/>
      <c r="E66" s="74"/>
      <c r="F66" s="74"/>
      <c r="G66" s="74" t="s">
        <v>327</v>
      </c>
      <c r="H66" s="74" t="s">
        <v>328</v>
      </c>
      <c r="I66" s="74"/>
      <c r="J66" s="74"/>
      <c r="K66" s="74"/>
      <c r="L66" s="74"/>
      <c r="M66" s="74" t="s">
        <v>289</v>
      </c>
      <c r="N66" s="38" t="str">
        <f>IF(OR(A66="Автомат",A66="Дифавтомат"),IF(W66="","",COUNTIFS(Однолинейка!$H$3:$H$3000,U66,Однолинейка!$A$3:$A$3000,Щит_спец)),IF(A66="Аппарат",IF(C66="","",COUNTIFS(Однолинейка!$I$3:$I$3000,C66,Однолинейка!$A$3:$A$3000,Щит_спец)+COUNTIFS(Однолинейка!$J$3:$J$3000,C66,Однолинейка!$A$3:$A$3000,Щит_спец)+COUNTIFS(Однолинейка!$K$3:$K$3000,C66,Однолинейка!$A$3:$A$3000,Щит_спец)),IF(A66="Модуль",IF(C66="","",COUNTIFS(Однолинейка!$AW$3:$AW$3000,"?*",Однолинейка!$AI$3:$AI$3000,C66,Однолинейка!$A$3:$A$3000,Щит_спец)),IF(A66="Клемма",IF(C66="","",IF(C66=$S$7,SUMIFS(Однолинейка!$BW$3:$BW$3000,Однолинейка!$A$3:$A$3000,Щит_спец),IF(C66=$S$8,SUMIFS(Однолинейка!$BX$3:$BX$3000,Однолинейка!$A$3:$A$3000,Щит_спец),""))),""))))</f>
        <v/>
      </c>
      <c r="O66" s="74"/>
      <c r="P66" s="38" t="str">
        <f t="shared" si="0"/>
        <v/>
      </c>
      <c r="U66" s="38" t="str">
        <f t="shared" si="1"/>
        <v/>
      </c>
      <c r="V66" s="38" t="str">
        <f t="shared" si="2"/>
        <v/>
      </c>
      <c r="W66" s="38" t="str">
        <f>IF(AND(U66&lt;&gt;"",OR($S$4="(все)",B66=$S$4),IF($S$4="(все)",COUNTIF($U$4:U66,U66),COUNTIFS($U$4:U66,U66,$B$4:B66,B66))=1),MAX($W$3:W65)+1,"")</f>
        <v/>
      </c>
      <c r="X66" s="38" t="str">
        <f t="shared" si="3"/>
        <v/>
      </c>
      <c r="Y66" s="38" t="str">
        <f>IF(AND(A66="Аппарат",C66&lt;&gt;"",OR($S$5="(все)",B66=$S$5)),MAX($Y$3:Y65)+1,"")</f>
        <v/>
      </c>
      <c r="Z66" s="38" t="str">
        <f t="shared" si="4"/>
        <v/>
      </c>
      <c r="AA66" s="38" t="str">
        <f>IF(AND(A66="Модуль",C66&lt;&gt;"",OR($S$6="(все)",B66=$S$6)),MAX($AA$3:AA65)+1,"")</f>
        <v/>
      </c>
      <c r="AB66" s="38" t="str">
        <f t="shared" si="5"/>
        <v/>
      </c>
      <c r="AC66" s="38" t="str">
        <f>IF(OR(B66="",COUNTIF($B$4:B66,B66)&gt;1),"",MAX($AC$3:AC65)+1)</f>
        <v/>
      </c>
      <c r="AD66" s="38" t="str">
        <f t="shared" si="6"/>
        <v/>
      </c>
      <c r="AE66" s="38" t="str">
        <f t="shared" si="7"/>
        <v/>
      </c>
      <c r="AF66" s="38" t="str">
        <f t="shared" si="8"/>
        <v/>
      </c>
    </row>
    <row r="67" spans="1:32" x14ac:dyDescent="0.3">
      <c r="A67" s="74" t="s">
        <v>445</v>
      </c>
      <c r="B67" s="74" t="s">
        <v>286</v>
      </c>
      <c r="C67" s="74" t="s">
        <v>330</v>
      </c>
      <c r="D67" s="74"/>
      <c r="E67" s="74"/>
      <c r="F67" s="74"/>
      <c r="G67" s="74" t="s">
        <v>329</v>
      </c>
      <c r="H67" s="74" t="s">
        <v>330</v>
      </c>
      <c r="I67" s="74"/>
      <c r="J67" s="74"/>
      <c r="K67" s="74"/>
      <c r="L67" s="74"/>
      <c r="M67" s="74" t="s">
        <v>289</v>
      </c>
      <c r="N67" s="38" t="str">
        <f>IF(OR(A67="Автомат",A67="Дифавтомат"),IF(W67="","",COUNTIFS(Однолинейка!$H$3:$H$3000,U67,Однолинейка!$A$3:$A$3000,Щит_спец)),IF(A67="Аппарат",IF(C67="","",COUNTIFS(Однолинейка!$I$3:$I$3000,C67,Однолинейка!$A$3:$A$3000,Щит_спец)+COUNTIFS(Однолинейка!$J$3:$J$3000,C67,Однолинейка!$A$3:$A$3000,Щит_спец)+COUNTIFS(Однолинейка!$K$3:$K$3000,C67,Однолинейка!$A$3:$A$3000,Щит_спец)),IF(A67="Модуль",IF(C67="","",COUNTIFS(Однолинейка!$AW$3:$AW$3000,"?*",Однолинейка!$AI$3:$AI$3000,C67,Однолинейка!$A$3:$A$3000,Щит_спец)),IF(A67="Клемма",IF(C67="","",IF(C67=$S$7,SUMIFS(Однолинейка!$BW$3:$BW$3000,Однолинейка!$A$3:$A$3000,Щит_спец),IF(C67=$S$8,SUMIFS(Однолинейка!$BX$3:$BX$3000,Однолинейка!$A$3:$A$3000,Щит_спец),""))),""))))</f>
        <v/>
      </c>
      <c r="O67" s="74"/>
      <c r="P67" s="38" t="str">
        <f t="shared" si="0"/>
        <v/>
      </c>
      <c r="U67" s="38" t="str">
        <f t="shared" si="1"/>
        <v/>
      </c>
      <c r="V67" s="38" t="str">
        <f t="shared" si="2"/>
        <v/>
      </c>
      <c r="W67" s="38" t="str">
        <f>IF(AND(U67&lt;&gt;"",OR($S$4="(все)",B67=$S$4),IF($S$4="(все)",COUNTIF($U$4:U67,U67),COUNTIFS($U$4:U67,U67,$B$4:B67,B67))=1),MAX($W$3:W66)+1,"")</f>
        <v/>
      </c>
      <c r="X67" s="38" t="str">
        <f t="shared" si="3"/>
        <v/>
      </c>
      <c r="Y67" s="38" t="str">
        <f>IF(AND(A67="Аппарат",C67&lt;&gt;"",OR($S$5="(все)",B67=$S$5)),MAX($Y$3:Y66)+1,"")</f>
        <v/>
      </c>
      <c r="Z67" s="38" t="str">
        <f t="shared" si="4"/>
        <v/>
      </c>
      <c r="AA67" s="38" t="str">
        <f>IF(AND(A67="Модуль",C67&lt;&gt;"",OR($S$6="(все)",B67=$S$6)),MAX($AA$3:AA66)+1,"")</f>
        <v/>
      </c>
      <c r="AB67" s="38" t="str">
        <f t="shared" si="5"/>
        <v/>
      </c>
      <c r="AC67" s="38" t="str">
        <f>IF(OR(B67="",COUNTIF($B$4:B67,B67)&gt;1),"",MAX($AC$3:AC66)+1)</f>
        <v/>
      </c>
      <c r="AD67" s="38" t="str">
        <f t="shared" si="6"/>
        <v/>
      </c>
      <c r="AE67" s="38" t="str">
        <f t="shared" si="7"/>
        <v/>
      </c>
      <c r="AF67" s="38" t="str">
        <f t="shared" si="8"/>
        <v/>
      </c>
    </row>
    <row r="68" spans="1:32" x14ac:dyDescent="0.3">
      <c r="A68" s="74" t="s">
        <v>702</v>
      </c>
      <c r="B68" s="74" t="s">
        <v>333</v>
      </c>
      <c r="C68" s="74" t="s">
        <v>332</v>
      </c>
      <c r="D68" s="74"/>
      <c r="E68" s="74"/>
      <c r="F68" s="74"/>
      <c r="G68" s="74" t="s">
        <v>331</v>
      </c>
      <c r="H68" s="74" t="s">
        <v>332</v>
      </c>
      <c r="I68" s="74"/>
      <c r="J68" s="74"/>
      <c r="K68" s="74"/>
      <c r="L68" s="74"/>
      <c r="M68" s="74" t="s">
        <v>334</v>
      </c>
      <c r="N68" s="38" t="str">
        <f>IF(OR(A68="Автомат",A68="Дифавтомат"),IF(W68="","",COUNTIFS(Однолинейка!$H$3:$H$3000,U68,Однолинейка!$A$3:$A$3000,Щит_спец)),IF(A68="Аппарат",IF(C68="","",COUNTIFS(Однолинейка!$I$3:$I$3000,C68,Однолинейка!$A$3:$A$3000,Щит_спец)+COUNTIFS(Однолинейка!$J$3:$J$3000,C68,Однолинейка!$A$3:$A$3000,Щит_спец)+COUNTIFS(Однолинейка!$K$3:$K$3000,C68,Однолинейка!$A$3:$A$3000,Щит_спец)),IF(A68="Модуль",IF(C68="","",COUNTIFS(Однолинейка!$AW$3:$AW$3000,"?*",Однолинейка!$AI$3:$AI$3000,C68,Однолинейка!$A$3:$A$3000,Щит_спец)),IF(A68="Клемма",IF(C68="","",IF(C68=$S$7,SUMIFS(Однолинейка!$BW$3:$BW$3000,Однолинейка!$A$3:$A$3000,Щит_спец),IF(C68=$S$8,SUMIFS(Однолинейка!$BX$3:$BX$3000,Однолинейка!$A$3:$A$3000,Щит_спец),""))),""))))</f>
        <v/>
      </c>
      <c r="O68" s="74"/>
      <c r="P68" s="38" t="str">
        <f t="shared" ref="P68:P131" si="9">IF(COUNT(N68,O68)=0,"",SUM(N68,O68))</f>
        <v/>
      </c>
      <c r="U68" s="38" t="str">
        <f t="shared" ref="U68:U131" si="10">IF(OR(A68="Автомат",A68="Дифавтомат"),I68&amp;" С"&amp;J68&amp;"А"&amp;IF(K68="да"," 30мА",IF(ISNUMBER(K68)," "&amp;K68&amp;"мА","")),"")</f>
        <v/>
      </c>
      <c r="V68" s="38" t="str">
        <f t="shared" ref="V68:V131" si="11">IF(U68="","",B68&amp;"|"&amp;U68)</f>
        <v/>
      </c>
      <c r="W68" s="38" t="str">
        <f>IF(AND(U68&lt;&gt;"",OR($S$4="(все)",B68=$S$4),IF($S$4="(все)",COUNTIF($U$4:U68,U68),COUNTIFS($U$4:U68,U68,$B$4:B68,B68))=1),MAX($W$3:W67)+1,"")</f>
        <v/>
      </c>
      <c r="X68" s="38" t="str">
        <f t="shared" ref="X68:X131" si="12">IFERROR(INDEX($U$4:$U$500,MATCH(ROW()-3,$W$4:$W$500,0)),"")</f>
        <v/>
      </c>
      <c r="Y68" s="38" t="str">
        <f>IF(AND(A68="Аппарат",C68&lt;&gt;"",OR($S$5="(все)",B68=$S$5)),MAX($Y$3:Y67)+1,"")</f>
        <v/>
      </c>
      <c r="Z68" s="38" t="str">
        <f t="shared" ref="Z68:Z131" si="13">IFERROR(INDEX($C$4:$C$500,MATCH(ROW()-3,$Y$4:$Y$500,0)),"")</f>
        <v/>
      </c>
      <c r="AA68" s="38" t="str">
        <f>IF(AND(A68="Модуль",C68&lt;&gt;"",OR($S$6="(все)",B68=$S$6)),MAX($AA$3:AA67)+1,"")</f>
        <v/>
      </c>
      <c r="AB68" s="38" t="str">
        <f t="shared" ref="AB68:AB131" si="14">IFERROR(INDEX($C$4:$C$500,MATCH(ROW()-3,$AA$4:$AA$500,0)),"")</f>
        <v/>
      </c>
      <c r="AC68" s="38">
        <f>IF(OR(B68="",COUNTIF($B$4:B68,B68)&gt;1),"",MAX($AC$3:AC67)+1)</f>
        <v>8</v>
      </c>
      <c r="AD68" s="38" t="str">
        <f t="shared" ref="AD68:AD131" si="15">IFERROR(INDEX($B$4:$B$500,MATCH(ROW()-3,$AC$4:$AC$500,0)),"")</f>
        <v/>
      </c>
      <c r="AE68" s="38" t="str">
        <f t="shared" ref="AE68:AE131" si="16">IF(AND(A68&lt;&gt;"",N(P68)&gt;0),IFERROR(MATCH(A68,$R$12:$R$25,0),99)*1000+ROW(),"")</f>
        <v/>
      </c>
      <c r="AF68" s="38" t="str">
        <f t="shared" ref="AF68:AF131" si="17">IF(AE68="","",COUNTIF($AE$4:$AE$500,"&lt;="&amp;AE68))</f>
        <v/>
      </c>
    </row>
    <row r="69" spans="1:32" x14ac:dyDescent="0.3">
      <c r="A69" s="74" t="s">
        <v>702</v>
      </c>
      <c r="B69" s="74" t="s">
        <v>333</v>
      </c>
      <c r="C69" s="74" t="s">
        <v>332</v>
      </c>
      <c r="D69" s="74"/>
      <c r="E69" s="74"/>
      <c r="F69" s="74"/>
      <c r="G69" s="74" t="s">
        <v>335</v>
      </c>
      <c r="H69" s="74" t="s">
        <v>332</v>
      </c>
      <c r="I69" s="74"/>
      <c r="J69" s="74"/>
      <c r="K69" s="74"/>
      <c r="L69" s="74"/>
      <c r="M69" s="74" t="s">
        <v>334</v>
      </c>
      <c r="N69" s="38" t="str">
        <f>IF(OR(A69="Автомат",A69="Дифавтомат"),IF(W69="","",COUNTIFS(Однолинейка!$H$3:$H$3000,U69,Однолинейка!$A$3:$A$3000,Щит_спец)),IF(A69="Аппарат",IF(C69="","",COUNTIFS(Однолинейка!$I$3:$I$3000,C69,Однолинейка!$A$3:$A$3000,Щит_спец)+COUNTIFS(Однолинейка!$J$3:$J$3000,C69,Однолинейка!$A$3:$A$3000,Щит_спец)+COUNTIFS(Однолинейка!$K$3:$K$3000,C69,Однолинейка!$A$3:$A$3000,Щит_спец)),IF(A69="Модуль",IF(C69="","",COUNTIFS(Однолинейка!$AW$3:$AW$3000,"?*",Однолинейка!$AI$3:$AI$3000,C69,Однолинейка!$A$3:$A$3000,Щит_спец)),IF(A69="Клемма",IF(C69="","",IF(C69=$S$7,SUMIFS(Однолинейка!$BW$3:$BW$3000,Однолинейка!$A$3:$A$3000,Щит_спец),IF(C69=$S$8,SUMIFS(Однолинейка!$BX$3:$BX$3000,Однолинейка!$A$3:$A$3000,Щит_спец),""))),""))))</f>
        <v/>
      </c>
      <c r="O69" s="74"/>
      <c r="P69" s="38" t="str">
        <f t="shared" si="9"/>
        <v/>
      </c>
      <c r="U69" s="38" t="str">
        <f t="shared" si="10"/>
        <v/>
      </c>
      <c r="V69" s="38" t="str">
        <f t="shared" si="11"/>
        <v/>
      </c>
      <c r="W69" s="38" t="str">
        <f>IF(AND(U69&lt;&gt;"",OR($S$4="(все)",B69=$S$4),IF($S$4="(все)",COUNTIF($U$4:U69,U69),COUNTIFS($U$4:U69,U69,$B$4:B69,B69))=1),MAX($W$3:W68)+1,"")</f>
        <v/>
      </c>
      <c r="X69" s="38" t="str">
        <f t="shared" si="12"/>
        <v/>
      </c>
      <c r="Y69" s="38" t="str">
        <f>IF(AND(A69="Аппарат",C69&lt;&gt;"",OR($S$5="(все)",B69=$S$5)),MAX($Y$3:Y68)+1,"")</f>
        <v/>
      </c>
      <c r="Z69" s="38" t="str">
        <f t="shared" si="13"/>
        <v/>
      </c>
      <c r="AA69" s="38" t="str">
        <f>IF(AND(A69="Модуль",C69&lt;&gt;"",OR($S$6="(все)",B69=$S$6)),MAX($AA$3:AA68)+1,"")</f>
        <v/>
      </c>
      <c r="AB69" s="38" t="str">
        <f t="shared" si="14"/>
        <v/>
      </c>
      <c r="AC69" s="38" t="str">
        <f>IF(OR(B69="",COUNTIF($B$4:B69,B69)&gt;1),"",MAX($AC$3:AC68)+1)</f>
        <v/>
      </c>
      <c r="AD69" s="38" t="str">
        <f t="shared" si="15"/>
        <v/>
      </c>
      <c r="AE69" s="38" t="str">
        <f t="shared" si="16"/>
        <v/>
      </c>
      <c r="AF69" s="38" t="str">
        <f t="shared" si="17"/>
        <v/>
      </c>
    </row>
    <row r="70" spans="1:32" x14ac:dyDescent="0.3">
      <c r="A70" s="74" t="s">
        <v>702</v>
      </c>
      <c r="B70" s="74" t="s">
        <v>333</v>
      </c>
      <c r="C70" s="74" t="s">
        <v>332</v>
      </c>
      <c r="D70" s="74"/>
      <c r="E70" s="74"/>
      <c r="F70" s="74"/>
      <c r="G70" s="74" t="s">
        <v>336</v>
      </c>
      <c r="H70" s="74" t="s">
        <v>332</v>
      </c>
      <c r="I70" s="74"/>
      <c r="J70" s="74"/>
      <c r="K70" s="74"/>
      <c r="L70" s="74"/>
      <c r="M70" s="74" t="s">
        <v>334</v>
      </c>
      <c r="N70" s="38" t="str">
        <f>IF(OR(A70="Автомат",A70="Дифавтомат"),IF(W70="","",COUNTIFS(Однолинейка!$H$3:$H$3000,U70,Однолинейка!$A$3:$A$3000,Щит_спец)),IF(A70="Аппарат",IF(C70="","",COUNTIFS(Однолинейка!$I$3:$I$3000,C70,Однолинейка!$A$3:$A$3000,Щит_спец)+COUNTIFS(Однолинейка!$J$3:$J$3000,C70,Однолинейка!$A$3:$A$3000,Щит_спец)+COUNTIFS(Однолинейка!$K$3:$K$3000,C70,Однолинейка!$A$3:$A$3000,Щит_спец)),IF(A70="Модуль",IF(C70="","",COUNTIFS(Однолинейка!$AW$3:$AW$3000,"?*",Однолинейка!$AI$3:$AI$3000,C70,Однолинейка!$A$3:$A$3000,Щит_спец)),IF(A70="Клемма",IF(C70="","",IF(C70=$S$7,SUMIFS(Однолинейка!$BW$3:$BW$3000,Однолинейка!$A$3:$A$3000,Щит_спец),IF(C70=$S$8,SUMIFS(Однолинейка!$BX$3:$BX$3000,Однолинейка!$A$3:$A$3000,Щит_спец),""))),""))))</f>
        <v/>
      </c>
      <c r="O70" s="74"/>
      <c r="P70" s="38" t="str">
        <f t="shared" si="9"/>
        <v/>
      </c>
      <c r="U70" s="38" t="str">
        <f t="shared" si="10"/>
        <v/>
      </c>
      <c r="V70" s="38" t="str">
        <f t="shared" si="11"/>
        <v/>
      </c>
      <c r="W70" s="38" t="str">
        <f>IF(AND(U70&lt;&gt;"",OR($S$4="(все)",B70=$S$4),IF($S$4="(все)",COUNTIF($U$4:U70,U70),COUNTIFS($U$4:U70,U70,$B$4:B70,B70))=1),MAX($W$3:W69)+1,"")</f>
        <v/>
      </c>
      <c r="X70" s="38" t="str">
        <f t="shared" si="12"/>
        <v/>
      </c>
      <c r="Y70" s="38" t="str">
        <f>IF(AND(A70="Аппарат",C70&lt;&gt;"",OR($S$5="(все)",B70=$S$5)),MAX($Y$3:Y69)+1,"")</f>
        <v/>
      </c>
      <c r="Z70" s="38" t="str">
        <f t="shared" si="13"/>
        <v/>
      </c>
      <c r="AA70" s="38" t="str">
        <f>IF(AND(A70="Модуль",C70&lt;&gt;"",OR($S$6="(все)",B70=$S$6)),MAX($AA$3:AA69)+1,"")</f>
        <v/>
      </c>
      <c r="AB70" s="38" t="str">
        <f t="shared" si="14"/>
        <v/>
      </c>
      <c r="AC70" s="38" t="str">
        <f>IF(OR(B70="",COUNTIF($B$4:B70,B70)&gt;1),"",MAX($AC$3:AC69)+1)</f>
        <v/>
      </c>
      <c r="AD70" s="38" t="str">
        <f t="shared" si="15"/>
        <v/>
      </c>
      <c r="AE70" s="38" t="str">
        <f t="shared" si="16"/>
        <v/>
      </c>
      <c r="AF70" s="38" t="str">
        <f t="shared" si="17"/>
        <v/>
      </c>
    </row>
    <row r="71" spans="1:32" x14ac:dyDescent="0.3">
      <c r="A71" s="74" t="s">
        <v>702</v>
      </c>
      <c r="B71" s="74" t="s">
        <v>333</v>
      </c>
      <c r="C71" s="74" t="s">
        <v>332</v>
      </c>
      <c r="D71" s="74"/>
      <c r="E71" s="74"/>
      <c r="F71" s="74"/>
      <c r="G71" s="74" t="s">
        <v>337</v>
      </c>
      <c r="H71" s="74" t="s">
        <v>332</v>
      </c>
      <c r="I71" s="74"/>
      <c r="J71" s="74"/>
      <c r="K71" s="74"/>
      <c r="L71" s="74"/>
      <c r="M71" s="74" t="s">
        <v>334</v>
      </c>
      <c r="N71" s="38" t="str">
        <f>IF(OR(A71="Автомат",A71="Дифавтомат"),IF(W71="","",COUNTIFS(Однолинейка!$H$3:$H$3000,U71,Однолинейка!$A$3:$A$3000,Щит_спец)),IF(A71="Аппарат",IF(C71="","",COUNTIFS(Однолинейка!$I$3:$I$3000,C71,Однолинейка!$A$3:$A$3000,Щит_спец)+COUNTIFS(Однолинейка!$J$3:$J$3000,C71,Однолинейка!$A$3:$A$3000,Щит_спец)+COUNTIFS(Однолинейка!$K$3:$K$3000,C71,Однолинейка!$A$3:$A$3000,Щит_спец)),IF(A71="Модуль",IF(C71="","",COUNTIFS(Однолинейка!$AW$3:$AW$3000,"?*",Однолинейка!$AI$3:$AI$3000,C71,Однолинейка!$A$3:$A$3000,Щит_спец)),IF(A71="Клемма",IF(C71="","",IF(C71=$S$7,SUMIFS(Однолинейка!$BW$3:$BW$3000,Однолинейка!$A$3:$A$3000,Щит_спец),IF(C71=$S$8,SUMIFS(Однолинейка!$BX$3:$BX$3000,Однолинейка!$A$3:$A$3000,Щит_спец),""))),""))))</f>
        <v/>
      </c>
      <c r="O71" s="74"/>
      <c r="P71" s="38" t="str">
        <f t="shared" si="9"/>
        <v/>
      </c>
      <c r="U71" s="38" t="str">
        <f t="shared" si="10"/>
        <v/>
      </c>
      <c r="V71" s="38" t="str">
        <f t="shared" si="11"/>
        <v/>
      </c>
      <c r="W71" s="38" t="str">
        <f>IF(AND(U71&lt;&gt;"",OR($S$4="(все)",B71=$S$4),IF($S$4="(все)",COUNTIF($U$4:U71,U71),COUNTIFS($U$4:U71,U71,$B$4:B71,B71))=1),MAX($W$3:W70)+1,"")</f>
        <v/>
      </c>
      <c r="X71" s="38" t="str">
        <f t="shared" si="12"/>
        <v/>
      </c>
      <c r="Y71" s="38" t="str">
        <f>IF(AND(A71="Аппарат",C71&lt;&gt;"",OR($S$5="(все)",B71=$S$5)),MAX($Y$3:Y70)+1,"")</f>
        <v/>
      </c>
      <c r="Z71" s="38" t="str">
        <f t="shared" si="13"/>
        <v/>
      </c>
      <c r="AA71" s="38" t="str">
        <f>IF(AND(A71="Модуль",C71&lt;&gt;"",OR($S$6="(все)",B71=$S$6)),MAX($AA$3:AA70)+1,"")</f>
        <v/>
      </c>
      <c r="AB71" s="38" t="str">
        <f t="shared" si="14"/>
        <v/>
      </c>
      <c r="AC71" s="38" t="str">
        <f>IF(OR(B71="",COUNTIF($B$4:B71,B71)&gt;1),"",MAX($AC$3:AC70)+1)</f>
        <v/>
      </c>
      <c r="AD71" s="38" t="str">
        <f t="shared" si="15"/>
        <v/>
      </c>
      <c r="AE71" s="38" t="str">
        <f t="shared" si="16"/>
        <v/>
      </c>
      <c r="AF71" s="38" t="str">
        <f t="shared" si="17"/>
        <v/>
      </c>
    </row>
    <row r="72" spans="1:32" x14ac:dyDescent="0.3">
      <c r="A72" s="74" t="s">
        <v>702</v>
      </c>
      <c r="B72" s="74" t="s">
        <v>333</v>
      </c>
      <c r="C72" s="74" t="s">
        <v>332</v>
      </c>
      <c r="D72" s="74"/>
      <c r="E72" s="74"/>
      <c r="F72" s="74"/>
      <c r="G72" s="74" t="s">
        <v>380</v>
      </c>
      <c r="H72" s="74" t="s">
        <v>332</v>
      </c>
      <c r="I72" s="74"/>
      <c r="J72" s="74"/>
      <c r="K72" s="74"/>
      <c r="L72" s="74"/>
      <c r="M72" s="74" t="s">
        <v>334</v>
      </c>
      <c r="N72" s="38" t="str">
        <f>IF(OR(A72="Автомат",A72="Дифавтомат"),IF(W72="","",COUNTIFS(Однолинейка!$H$3:$H$3000,U72,Однолинейка!$A$3:$A$3000,Щит_спец)),IF(A72="Аппарат",IF(C72="","",COUNTIFS(Однолинейка!$I$3:$I$3000,C72,Однолинейка!$A$3:$A$3000,Щит_спец)+COUNTIFS(Однолинейка!$J$3:$J$3000,C72,Однолинейка!$A$3:$A$3000,Щит_спец)+COUNTIFS(Однолинейка!$K$3:$K$3000,C72,Однолинейка!$A$3:$A$3000,Щит_спец)),IF(A72="Модуль",IF(C72="","",COUNTIFS(Однолинейка!$AW$3:$AW$3000,"?*",Однолинейка!$AI$3:$AI$3000,C72,Однолинейка!$A$3:$A$3000,Щит_спец)),IF(A72="Клемма",IF(C72="","",IF(C72=$S$7,SUMIFS(Однолинейка!$BW$3:$BW$3000,Однолинейка!$A$3:$A$3000,Щит_спец),IF(C72=$S$8,SUMIFS(Однолинейка!$BX$3:$BX$3000,Однолинейка!$A$3:$A$3000,Щит_спец),""))),""))))</f>
        <v/>
      </c>
      <c r="O72" s="74"/>
      <c r="P72" s="38" t="str">
        <f t="shared" si="9"/>
        <v/>
      </c>
      <c r="U72" s="38" t="str">
        <f t="shared" si="10"/>
        <v/>
      </c>
      <c r="V72" s="38" t="str">
        <f t="shared" si="11"/>
        <v/>
      </c>
      <c r="W72" s="38" t="str">
        <f>IF(AND(U72&lt;&gt;"",OR($S$4="(все)",B72=$S$4),IF($S$4="(все)",COUNTIF($U$4:U72,U72),COUNTIFS($U$4:U72,U72,$B$4:B72,B72))=1),MAX($W$3:W71)+1,"")</f>
        <v/>
      </c>
      <c r="X72" s="38" t="str">
        <f t="shared" si="12"/>
        <v/>
      </c>
      <c r="Y72" s="38" t="str">
        <f>IF(AND(A72="Аппарат",C72&lt;&gt;"",OR($S$5="(все)",B72=$S$5)),MAX($Y$3:Y71)+1,"")</f>
        <v/>
      </c>
      <c r="Z72" s="38" t="str">
        <f t="shared" si="13"/>
        <v/>
      </c>
      <c r="AA72" s="38" t="str">
        <f>IF(AND(A72="Модуль",C72&lt;&gt;"",OR($S$6="(все)",B72=$S$6)),MAX($AA$3:AA71)+1,"")</f>
        <v/>
      </c>
      <c r="AB72" s="38" t="str">
        <f t="shared" si="14"/>
        <v/>
      </c>
      <c r="AC72" s="38" t="str">
        <f>IF(OR(B72="",COUNTIF($B$4:B72,B72)&gt;1),"",MAX($AC$3:AC71)+1)</f>
        <v/>
      </c>
      <c r="AD72" s="38" t="str">
        <f t="shared" si="15"/>
        <v/>
      </c>
      <c r="AE72" s="38" t="str">
        <f t="shared" si="16"/>
        <v/>
      </c>
      <c r="AF72" s="38" t="str">
        <f t="shared" si="17"/>
        <v/>
      </c>
    </row>
    <row r="73" spans="1:32" x14ac:dyDescent="0.3">
      <c r="A73" s="74" t="s">
        <v>702</v>
      </c>
      <c r="B73" s="74" t="s">
        <v>333</v>
      </c>
      <c r="C73" s="74" t="s">
        <v>339</v>
      </c>
      <c r="D73" s="74"/>
      <c r="E73" s="74"/>
      <c r="F73" s="74"/>
      <c r="G73" s="74" t="s">
        <v>338</v>
      </c>
      <c r="H73" s="74" t="s">
        <v>339</v>
      </c>
      <c r="I73" s="74"/>
      <c r="J73" s="74"/>
      <c r="K73" s="74"/>
      <c r="L73" s="74"/>
      <c r="M73" s="74" t="s">
        <v>334</v>
      </c>
      <c r="N73" s="38" t="str">
        <f>IF(OR(A73="Автомат",A73="Дифавтомат"),IF(W73="","",COUNTIFS(Однолинейка!$H$3:$H$3000,U73,Однолинейка!$A$3:$A$3000,Щит_спец)),IF(A73="Аппарат",IF(C73="","",COUNTIFS(Однолинейка!$I$3:$I$3000,C73,Однолинейка!$A$3:$A$3000,Щит_спец)+COUNTIFS(Однолинейка!$J$3:$J$3000,C73,Однолинейка!$A$3:$A$3000,Щит_спец)+COUNTIFS(Однолинейка!$K$3:$K$3000,C73,Однолинейка!$A$3:$A$3000,Щит_спец)),IF(A73="Модуль",IF(C73="","",COUNTIFS(Однолинейка!$AW$3:$AW$3000,"?*",Однолинейка!$AI$3:$AI$3000,C73,Однолинейка!$A$3:$A$3000,Щит_спец)),IF(A73="Клемма",IF(C73="","",IF(C73=$S$7,SUMIFS(Однолинейка!$BW$3:$BW$3000,Однолинейка!$A$3:$A$3000,Щит_спец),IF(C73=$S$8,SUMIFS(Однолинейка!$BX$3:$BX$3000,Однолинейка!$A$3:$A$3000,Щит_спец),""))),""))))</f>
        <v/>
      </c>
      <c r="O73" s="74"/>
      <c r="P73" s="38" t="str">
        <f t="shared" si="9"/>
        <v/>
      </c>
      <c r="U73" s="38" t="str">
        <f t="shared" si="10"/>
        <v/>
      </c>
      <c r="V73" s="38" t="str">
        <f t="shared" si="11"/>
        <v/>
      </c>
      <c r="W73" s="38" t="str">
        <f>IF(AND(U73&lt;&gt;"",OR($S$4="(все)",B73=$S$4),IF($S$4="(все)",COUNTIF($U$4:U73,U73),COUNTIFS($U$4:U73,U73,$B$4:B73,B73))=1),MAX($W$3:W72)+1,"")</f>
        <v/>
      </c>
      <c r="X73" s="38" t="str">
        <f t="shared" si="12"/>
        <v/>
      </c>
      <c r="Y73" s="38" t="str">
        <f>IF(AND(A73="Аппарат",C73&lt;&gt;"",OR($S$5="(все)",B73=$S$5)),MAX($Y$3:Y72)+1,"")</f>
        <v/>
      </c>
      <c r="Z73" s="38" t="str">
        <f t="shared" si="13"/>
        <v/>
      </c>
      <c r="AA73" s="38" t="str">
        <f>IF(AND(A73="Модуль",C73&lt;&gt;"",OR($S$6="(все)",B73=$S$6)),MAX($AA$3:AA72)+1,"")</f>
        <v/>
      </c>
      <c r="AB73" s="38" t="str">
        <f t="shared" si="14"/>
        <v/>
      </c>
      <c r="AC73" s="38" t="str">
        <f>IF(OR(B73="",COUNTIF($B$4:B73,B73)&gt;1),"",MAX($AC$3:AC72)+1)</f>
        <v/>
      </c>
      <c r="AD73" s="38" t="str">
        <f t="shared" si="15"/>
        <v/>
      </c>
      <c r="AE73" s="38" t="str">
        <f t="shared" si="16"/>
        <v/>
      </c>
      <c r="AF73" s="38" t="str">
        <f t="shared" si="17"/>
        <v/>
      </c>
    </row>
    <row r="74" spans="1:32" x14ac:dyDescent="0.3">
      <c r="A74" s="74" t="s">
        <v>702</v>
      </c>
      <c r="B74" s="74" t="s">
        <v>333</v>
      </c>
      <c r="C74" s="74" t="s">
        <v>339</v>
      </c>
      <c r="D74" s="74"/>
      <c r="E74" s="74"/>
      <c r="F74" s="74"/>
      <c r="G74" s="74" t="s">
        <v>340</v>
      </c>
      <c r="H74" s="74" t="s">
        <v>339</v>
      </c>
      <c r="I74" s="74"/>
      <c r="J74" s="74"/>
      <c r="K74" s="74"/>
      <c r="L74" s="74"/>
      <c r="M74" s="74" t="s">
        <v>334</v>
      </c>
      <c r="N74" s="38" t="str">
        <f>IF(OR(A74="Автомат",A74="Дифавтомат"),IF(W74="","",COUNTIFS(Однолинейка!$H$3:$H$3000,U74,Однолинейка!$A$3:$A$3000,Щит_спец)),IF(A74="Аппарат",IF(C74="","",COUNTIFS(Однолинейка!$I$3:$I$3000,C74,Однолинейка!$A$3:$A$3000,Щит_спец)+COUNTIFS(Однолинейка!$J$3:$J$3000,C74,Однолинейка!$A$3:$A$3000,Щит_спец)+COUNTIFS(Однолинейка!$K$3:$K$3000,C74,Однолинейка!$A$3:$A$3000,Щит_спец)),IF(A74="Модуль",IF(C74="","",COUNTIFS(Однолинейка!$AW$3:$AW$3000,"?*",Однолинейка!$AI$3:$AI$3000,C74,Однолинейка!$A$3:$A$3000,Щит_спец)),IF(A74="Клемма",IF(C74="","",IF(C74=$S$7,SUMIFS(Однолинейка!$BW$3:$BW$3000,Однолинейка!$A$3:$A$3000,Щит_спец),IF(C74=$S$8,SUMIFS(Однолинейка!$BX$3:$BX$3000,Однолинейка!$A$3:$A$3000,Щит_спец),""))),""))))</f>
        <v/>
      </c>
      <c r="O74" s="74"/>
      <c r="P74" s="38" t="str">
        <f t="shared" si="9"/>
        <v/>
      </c>
      <c r="U74" s="38" t="str">
        <f t="shared" si="10"/>
        <v/>
      </c>
      <c r="V74" s="38" t="str">
        <f t="shared" si="11"/>
        <v/>
      </c>
      <c r="W74" s="38" t="str">
        <f>IF(AND(U74&lt;&gt;"",OR($S$4="(все)",B74=$S$4),IF($S$4="(все)",COUNTIF($U$4:U74,U74),COUNTIFS($U$4:U74,U74,$B$4:B74,B74))=1),MAX($W$3:W73)+1,"")</f>
        <v/>
      </c>
      <c r="X74" s="38" t="str">
        <f t="shared" si="12"/>
        <v/>
      </c>
      <c r="Y74" s="38" t="str">
        <f>IF(AND(A74="Аппарат",C74&lt;&gt;"",OR($S$5="(все)",B74=$S$5)),MAX($Y$3:Y73)+1,"")</f>
        <v/>
      </c>
      <c r="Z74" s="38" t="str">
        <f t="shared" si="13"/>
        <v/>
      </c>
      <c r="AA74" s="38" t="str">
        <f>IF(AND(A74="Модуль",C74&lt;&gt;"",OR($S$6="(все)",B74=$S$6)),MAX($AA$3:AA73)+1,"")</f>
        <v/>
      </c>
      <c r="AB74" s="38" t="str">
        <f t="shared" si="14"/>
        <v/>
      </c>
      <c r="AC74" s="38" t="str">
        <f>IF(OR(B74="",COUNTIF($B$4:B74,B74)&gt;1),"",MAX($AC$3:AC73)+1)</f>
        <v/>
      </c>
      <c r="AD74" s="38" t="str">
        <f t="shared" si="15"/>
        <v/>
      </c>
      <c r="AE74" s="38" t="str">
        <f t="shared" si="16"/>
        <v/>
      </c>
      <c r="AF74" s="38" t="str">
        <f t="shared" si="17"/>
        <v/>
      </c>
    </row>
    <row r="75" spans="1:32" x14ac:dyDescent="0.3">
      <c r="A75" s="74" t="s">
        <v>702</v>
      </c>
      <c r="B75" s="74" t="s">
        <v>333</v>
      </c>
      <c r="C75" s="74" t="s">
        <v>339</v>
      </c>
      <c r="D75" s="74"/>
      <c r="E75" s="74"/>
      <c r="F75" s="74"/>
      <c r="G75" s="74" t="s">
        <v>341</v>
      </c>
      <c r="H75" s="74" t="s">
        <v>339</v>
      </c>
      <c r="I75" s="74"/>
      <c r="J75" s="74"/>
      <c r="K75" s="74"/>
      <c r="L75" s="74"/>
      <c r="M75" s="74" t="s">
        <v>334</v>
      </c>
      <c r="N75" s="38" t="str">
        <f>IF(OR(A75="Автомат",A75="Дифавтомат"),IF(W75="","",COUNTIFS(Однолинейка!$H$3:$H$3000,U75,Однолинейка!$A$3:$A$3000,Щит_спец)),IF(A75="Аппарат",IF(C75="","",COUNTIFS(Однолинейка!$I$3:$I$3000,C75,Однолинейка!$A$3:$A$3000,Щит_спец)+COUNTIFS(Однолинейка!$J$3:$J$3000,C75,Однолинейка!$A$3:$A$3000,Щит_спец)+COUNTIFS(Однолинейка!$K$3:$K$3000,C75,Однолинейка!$A$3:$A$3000,Щит_спец)),IF(A75="Модуль",IF(C75="","",COUNTIFS(Однолинейка!$AW$3:$AW$3000,"?*",Однолинейка!$AI$3:$AI$3000,C75,Однолинейка!$A$3:$A$3000,Щит_спец)),IF(A75="Клемма",IF(C75="","",IF(C75=$S$7,SUMIFS(Однолинейка!$BW$3:$BW$3000,Однолинейка!$A$3:$A$3000,Щит_спец),IF(C75=$S$8,SUMIFS(Однолинейка!$BX$3:$BX$3000,Однолинейка!$A$3:$A$3000,Щит_спец),""))),""))))</f>
        <v/>
      </c>
      <c r="O75" s="74"/>
      <c r="P75" s="38" t="str">
        <f t="shared" si="9"/>
        <v/>
      </c>
      <c r="U75" s="38" t="str">
        <f t="shared" si="10"/>
        <v/>
      </c>
      <c r="V75" s="38" t="str">
        <f t="shared" si="11"/>
        <v/>
      </c>
      <c r="W75" s="38" t="str">
        <f>IF(AND(U75&lt;&gt;"",OR($S$4="(все)",B75=$S$4),IF($S$4="(все)",COUNTIF($U$4:U75,U75),COUNTIFS($U$4:U75,U75,$B$4:B75,B75))=1),MAX($W$3:W74)+1,"")</f>
        <v/>
      </c>
      <c r="X75" s="38" t="str">
        <f t="shared" si="12"/>
        <v/>
      </c>
      <c r="Y75" s="38" t="str">
        <f>IF(AND(A75="Аппарат",C75&lt;&gt;"",OR($S$5="(все)",B75=$S$5)),MAX($Y$3:Y74)+1,"")</f>
        <v/>
      </c>
      <c r="Z75" s="38" t="str">
        <f t="shared" si="13"/>
        <v/>
      </c>
      <c r="AA75" s="38" t="str">
        <f>IF(AND(A75="Модуль",C75&lt;&gt;"",OR($S$6="(все)",B75=$S$6)),MAX($AA$3:AA74)+1,"")</f>
        <v/>
      </c>
      <c r="AB75" s="38" t="str">
        <f t="shared" si="14"/>
        <v/>
      </c>
      <c r="AC75" s="38" t="str">
        <f>IF(OR(B75="",COUNTIF($B$4:B75,B75)&gt;1),"",MAX($AC$3:AC74)+1)</f>
        <v/>
      </c>
      <c r="AD75" s="38" t="str">
        <f t="shared" si="15"/>
        <v/>
      </c>
      <c r="AE75" s="38" t="str">
        <f t="shared" si="16"/>
        <v/>
      </c>
      <c r="AF75" s="38" t="str">
        <f t="shared" si="17"/>
        <v/>
      </c>
    </row>
    <row r="76" spans="1:32" x14ac:dyDescent="0.3">
      <c r="A76" s="74" t="s">
        <v>702</v>
      </c>
      <c r="B76" s="74" t="s">
        <v>333</v>
      </c>
      <c r="C76" s="74" t="s">
        <v>339</v>
      </c>
      <c r="D76" s="74"/>
      <c r="E76" s="74"/>
      <c r="F76" s="74"/>
      <c r="G76" s="74" t="s">
        <v>342</v>
      </c>
      <c r="H76" s="74" t="s">
        <v>339</v>
      </c>
      <c r="I76" s="74"/>
      <c r="J76" s="74"/>
      <c r="K76" s="74"/>
      <c r="L76" s="74"/>
      <c r="M76" s="74" t="s">
        <v>334</v>
      </c>
      <c r="N76" s="38" t="str">
        <f>IF(OR(A76="Автомат",A76="Дифавтомат"),IF(W76="","",COUNTIFS(Однолинейка!$H$3:$H$3000,U76,Однолинейка!$A$3:$A$3000,Щит_спец)),IF(A76="Аппарат",IF(C76="","",COUNTIFS(Однолинейка!$I$3:$I$3000,C76,Однолинейка!$A$3:$A$3000,Щит_спец)+COUNTIFS(Однолинейка!$J$3:$J$3000,C76,Однолинейка!$A$3:$A$3000,Щит_спец)+COUNTIFS(Однолинейка!$K$3:$K$3000,C76,Однолинейка!$A$3:$A$3000,Щит_спец)),IF(A76="Модуль",IF(C76="","",COUNTIFS(Однолинейка!$AW$3:$AW$3000,"?*",Однолинейка!$AI$3:$AI$3000,C76,Однолинейка!$A$3:$A$3000,Щит_спец)),IF(A76="Клемма",IF(C76="","",IF(C76=$S$7,SUMIFS(Однолинейка!$BW$3:$BW$3000,Однолинейка!$A$3:$A$3000,Щит_спец),IF(C76=$S$8,SUMIFS(Однолинейка!$BX$3:$BX$3000,Однолинейка!$A$3:$A$3000,Щит_спец),""))),""))))</f>
        <v/>
      </c>
      <c r="O76" s="74"/>
      <c r="P76" s="38" t="str">
        <f t="shared" si="9"/>
        <v/>
      </c>
      <c r="U76" s="38" t="str">
        <f t="shared" si="10"/>
        <v/>
      </c>
      <c r="V76" s="38" t="str">
        <f t="shared" si="11"/>
        <v/>
      </c>
      <c r="W76" s="38" t="str">
        <f>IF(AND(U76&lt;&gt;"",OR($S$4="(все)",B76=$S$4),IF($S$4="(все)",COUNTIF($U$4:U76,U76),COUNTIFS($U$4:U76,U76,$B$4:B76,B76))=1),MAX($W$3:W75)+1,"")</f>
        <v/>
      </c>
      <c r="X76" s="38" t="str">
        <f t="shared" si="12"/>
        <v/>
      </c>
      <c r="Y76" s="38" t="str">
        <f>IF(AND(A76="Аппарат",C76&lt;&gt;"",OR($S$5="(все)",B76=$S$5)),MAX($Y$3:Y75)+1,"")</f>
        <v/>
      </c>
      <c r="Z76" s="38" t="str">
        <f t="shared" si="13"/>
        <v/>
      </c>
      <c r="AA76" s="38" t="str">
        <f>IF(AND(A76="Модуль",C76&lt;&gt;"",OR($S$6="(все)",B76=$S$6)),MAX($AA$3:AA75)+1,"")</f>
        <v/>
      </c>
      <c r="AB76" s="38" t="str">
        <f t="shared" si="14"/>
        <v/>
      </c>
      <c r="AC76" s="38" t="str">
        <f>IF(OR(B76="",COUNTIF($B$4:B76,B76)&gt;1),"",MAX($AC$3:AC75)+1)</f>
        <v/>
      </c>
      <c r="AD76" s="38" t="str">
        <f t="shared" si="15"/>
        <v/>
      </c>
      <c r="AE76" s="38" t="str">
        <f t="shared" si="16"/>
        <v/>
      </c>
      <c r="AF76" s="38" t="str">
        <f t="shared" si="17"/>
        <v/>
      </c>
    </row>
    <row r="77" spans="1:32" x14ac:dyDescent="0.3">
      <c r="A77" s="74" t="s">
        <v>702</v>
      </c>
      <c r="B77" s="74" t="s">
        <v>333</v>
      </c>
      <c r="C77" s="74" t="s">
        <v>339</v>
      </c>
      <c r="D77" s="74"/>
      <c r="E77" s="74"/>
      <c r="F77" s="74"/>
      <c r="G77" s="74" t="s">
        <v>381</v>
      </c>
      <c r="H77" s="74" t="s">
        <v>339</v>
      </c>
      <c r="I77" s="74"/>
      <c r="J77" s="74"/>
      <c r="K77" s="74"/>
      <c r="L77" s="74"/>
      <c r="M77" s="74" t="s">
        <v>334</v>
      </c>
      <c r="N77" s="38" t="str">
        <f>IF(OR(A77="Автомат",A77="Дифавтомат"),IF(W77="","",COUNTIFS(Однолинейка!$H$3:$H$3000,U77,Однолинейка!$A$3:$A$3000,Щит_спец)),IF(A77="Аппарат",IF(C77="","",COUNTIFS(Однолинейка!$I$3:$I$3000,C77,Однолинейка!$A$3:$A$3000,Щит_спец)+COUNTIFS(Однолинейка!$J$3:$J$3000,C77,Однолинейка!$A$3:$A$3000,Щит_спец)+COUNTIFS(Однолинейка!$K$3:$K$3000,C77,Однолинейка!$A$3:$A$3000,Щит_спец)),IF(A77="Модуль",IF(C77="","",COUNTIFS(Однолинейка!$AW$3:$AW$3000,"?*",Однолинейка!$AI$3:$AI$3000,C77,Однолинейка!$A$3:$A$3000,Щит_спец)),IF(A77="Клемма",IF(C77="","",IF(C77=$S$7,SUMIFS(Однолинейка!$BW$3:$BW$3000,Однолинейка!$A$3:$A$3000,Щит_спец),IF(C77=$S$8,SUMIFS(Однолинейка!$BX$3:$BX$3000,Однолинейка!$A$3:$A$3000,Щит_спец),""))),""))))</f>
        <v/>
      </c>
      <c r="O77" s="74"/>
      <c r="P77" s="38" t="str">
        <f t="shared" si="9"/>
        <v/>
      </c>
      <c r="U77" s="38" t="str">
        <f t="shared" si="10"/>
        <v/>
      </c>
      <c r="V77" s="38" t="str">
        <f t="shared" si="11"/>
        <v/>
      </c>
      <c r="W77" s="38" t="str">
        <f>IF(AND(U77&lt;&gt;"",OR($S$4="(все)",B77=$S$4),IF($S$4="(все)",COUNTIF($U$4:U77,U77),COUNTIFS($U$4:U77,U77,$B$4:B77,B77))=1),MAX($W$3:W76)+1,"")</f>
        <v/>
      </c>
      <c r="X77" s="38" t="str">
        <f t="shared" si="12"/>
        <v/>
      </c>
      <c r="Y77" s="38" t="str">
        <f>IF(AND(A77="Аппарат",C77&lt;&gt;"",OR($S$5="(все)",B77=$S$5)),MAX($Y$3:Y76)+1,"")</f>
        <v/>
      </c>
      <c r="Z77" s="38" t="str">
        <f t="shared" si="13"/>
        <v/>
      </c>
      <c r="AA77" s="38" t="str">
        <f>IF(AND(A77="Модуль",C77&lt;&gt;"",OR($S$6="(все)",B77=$S$6)),MAX($AA$3:AA76)+1,"")</f>
        <v/>
      </c>
      <c r="AB77" s="38" t="str">
        <f t="shared" si="14"/>
        <v/>
      </c>
      <c r="AC77" s="38" t="str">
        <f>IF(OR(B77="",COUNTIF($B$4:B77,B77)&gt;1),"",MAX($AC$3:AC76)+1)</f>
        <v/>
      </c>
      <c r="AD77" s="38" t="str">
        <f t="shared" si="15"/>
        <v/>
      </c>
      <c r="AE77" s="38" t="str">
        <f t="shared" si="16"/>
        <v/>
      </c>
      <c r="AF77" s="38" t="str">
        <f t="shared" si="17"/>
        <v/>
      </c>
    </row>
    <row r="78" spans="1:32" x14ac:dyDescent="0.3">
      <c r="A78" s="74" t="s">
        <v>702</v>
      </c>
      <c r="B78" s="74" t="s">
        <v>333</v>
      </c>
      <c r="C78" s="74" t="s">
        <v>344</v>
      </c>
      <c r="D78" s="74"/>
      <c r="E78" s="74"/>
      <c r="F78" s="74"/>
      <c r="G78" s="74" t="s">
        <v>343</v>
      </c>
      <c r="H78" s="74" t="s">
        <v>344</v>
      </c>
      <c r="I78" s="74"/>
      <c r="J78" s="74"/>
      <c r="K78" s="74"/>
      <c r="L78" s="74"/>
      <c r="M78" s="74" t="s">
        <v>334</v>
      </c>
      <c r="N78" s="38" t="str">
        <f>IF(OR(A78="Автомат",A78="Дифавтомат"),IF(W78="","",COUNTIFS(Однолинейка!$H$3:$H$3000,U78,Однолинейка!$A$3:$A$3000,Щит_спец)),IF(A78="Аппарат",IF(C78="","",COUNTIFS(Однолинейка!$I$3:$I$3000,C78,Однолинейка!$A$3:$A$3000,Щит_спец)+COUNTIFS(Однолинейка!$J$3:$J$3000,C78,Однолинейка!$A$3:$A$3000,Щит_спец)+COUNTIFS(Однолинейка!$K$3:$K$3000,C78,Однолинейка!$A$3:$A$3000,Щит_спец)),IF(A78="Модуль",IF(C78="","",COUNTIFS(Однолинейка!$AW$3:$AW$3000,"?*",Однолинейка!$AI$3:$AI$3000,C78,Однолинейка!$A$3:$A$3000,Щит_спец)),IF(A78="Клемма",IF(C78="","",IF(C78=$S$7,SUMIFS(Однолинейка!$BW$3:$BW$3000,Однолинейка!$A$3:$A$3000,Щит_спец),IF(C78=$S$8,SUMIFS(Однолинейка!$BX$3:$BX$3000,Однолинейка!$A$3:$A$3000,Щит_спец),""))),""))))</f>
        <v/>
      </c>
      <c r="O78" s="74"/>
      <c r="P78" s="38" t="str">
        <f t="shared" si="9"/>
        <v/>
      </c>
      <c r="U78" s="38" t="str">
        <f t="shared" si="10"/>
        <v/>
      </c>
      <c r="V78" s="38" t="str">
        <f t="shared" si="11"/>
        <v/>
      </c>
      <c r="W78" s="38" t="str">
        <f>IF(AND(U78&lt;&gt;"",OR($S$4="(все)",B78=$S$4),IF($S$4="(все)",COUNTIF($U$4:U78,U78),COUNTIFS($U$4:U78,U78,$B$4:B78,B78))=1),MAX($W$3:W77)+1,"")</f>
        <v/>
      </c>
      <c r="X78" s="38" t="str">
        <f t="shared" si="12"/>
        <v/>
      </c>
      <c r="Y78" s="38" t="str">
        <f>IF(AND(A78="Аппарат",C78&lt;&gt;"",OR($S$5="(все)",B78=$S$5)),MAX($Y$3:Y77)+1,"")</f>
        <v/>
      </c>
      <c r="Z78" s="38" t="str">
        <f t="shared" si="13"/>
        <v/>
      </c>
      <c r="AA78" s="38" t="str">
        <f>IF(AND(A78="Модуль",C78&lt;&gt;"",OR($S$6="(все)",B78=$S$6)),MAX($AA$3:AA77)+1,"")</f>
        <v/>
      </c>
      <c r="AB78" s="38" t="str">
        <f t="shared" si="14"/>
        <v/>
      </c>
      <c r="AC78" s="38" t="str">
        <f>IF(OR(B78="",COUNTIF($B$4:B78,B78)&gt;1),"",MAX($AC$3:AC77)+1)</f>
        <v/>
      </c>
      <c r="AD78" s="38" t="str">
        <f t="shared" si="15"/>
        <v/>
      </c>
      <c r="AE78" s="38" t="str">
        <f t="shared" si="16"/>
        <v/>
      </c>
      <c r="AF78" s="38" t="str">
        <f t="shared" si="17"/>
        <v/>
      </c>
    </row>
    <row r="79" spans="1:32" x14ac:dyDescent="0.3">
      <c r="A79" s="74" t="s">
        <v>702</v>
      </c>
      <c r="B79" s="74" t="s">
        <v>333</v>
      </c>
      <c r="C79" s="74" t="s">
        <v>344</v>
      </c>
      <c r="D79" s="74"/>
      <c r="E79" s="74"/>
      <c r="F79" s="74"/>
      <c r="G79" s="74" t="s">
        <v>345</v>
      </c>
      <c r="H79" s="74" t="s">
        <v>344</v>
      </c>
      <c r="I79" s="74"/>
      <c r="J79" s="74"/>
      <c r="K79" s="74"/>
      <c r="L79" s="74"/>
      <c r="M79" s="74" t="s">
        <v>334</v>
      </c>
      <c r="N79" s="38" t="str">
        <f>IF(OR(A79="Автомат",A79="Дифавтомат"),IF(W79="","",COUNTIFS(Однолинейка!$H$3:$H$3000,U79,Однолинейка!$A$3:$A$3000,Щит_спец)),IF(A79="Аппарат",IF(C79="","",COUNTIFS(Однолинейка!$I$3:$I$3000,C79,Однолинейка!$A$3:$A$3000,Щит_спец)+COUNTIFS(Однолинейка!$J$3:$J$3000,C79,Однолинейка!$A$3:$A$3000,Щит_спец)+COUNTIFS(Однолинейка!$K$3:$K$3000,C79,Однолинейка!$A$3:$A$3000,Щит_спец)),IF(A79="Модуль",IF(C79="","",COUNTIFS(Однолинейка!$AW$3:$AW$3000,"?*",Однолинейка!$AI$3:$AI$3000,C79,Однолинейка!$A$3:$A$3000,Щит_спец)),IF(A79="Клемма",IF(C79="","",IF(C79=$S$7,SUMIFS(Однолинейка!$BW$3:$BW$3000,Однолинейка!$A$3:$A$3000,Щит_спец),IF(C79=$S$8,SUMIFS(Однолинейка!$BX$3:$BX$3000,Однолинейка!$A$3:$A$3000,Щит_спец),""))),""))))</f>
        <v/>
      </c>
      <c r="O79" s="74"/>
      <c r="P79" s="38" t="str">
        <f t="shared" si="9"/>
        <v/>
      </c>
      <c r="U79" s="38" t="str">
        <f t="shared" si="10"/>
        <v/>
      </c>
      <c r="V79" s="38" t="str">
        <f t="shared" si="11"/>
        <v/>
      </c>
      <c r="W79" s="38" t="str">
        <f>IF(AND(U79&lt;&gt;"",OR($S$4="(все)",B79=$S$4),IF($S$4="(все)",COUNTIF($U$4:U79,U79),COUNTIFS($U$4:U79,U79,$B$4:B79,B79))=1),MAX($W$3:W78)+1,"")</f>
        <v/>
      </c>
      <c r="X79" s="38" t="str">
        <f t="shared" si="12"/>
        <v/>
      </c>
      <c r="Y79" s="38" t="str">
        <f>IF(AND(A79="Аппарат",C79&lt;&gt;"",OR($S$5="(все)",B79=$S$5)),MAX($Y$3:Y78)+1,"")</f>
        <v/>
      </c>
      <c r="Z79" s="38" t="str">
        <f t="shared" si="13"/>
        <v/>
      </c>
      <c r="AA79" s="38" t="str">
        <f>IF(AND(A79="Модуль",C79&lt;&gt;"",OR($S$6="(все)",B79=$S$6)),MAX($AA$3:AA78)+1,"")</f>
        <v/>
      </c>
      <c r="AB79" s="38" t="str">
        <f t="shared" si="14"/>
        <v/>
      </c>
      <c r="AC79" s="38" t="str">
        <f>IF(OR(B79="",COUNTIF($B$4:B79,B79)&gt;1),"",MAX($AC$3:AC78)+1)</f>
        <v/>
      </c>
      <c r="AD79" s="38" t="str">
        <f t="shared" si="15"/>
        <v/>
      </c>
      <c r="AE79" s="38" t="str">
        <f t="shared" si="16"/>
        <v/>
      </c>
      <c r="AF79" s="38" t="str">
        <f t="shared" si="17"/>
        <v/>
      </c>
    </row>
    <row r="80" spans="1:32" x14ac:dyDescent="0.3">
      <c r="A80" s="74" t="s">
        <v>702</v>
      </c>
      <c r="B80" s="74" t="s">
        <v>333</v>
      </c>
      <c r="C80" s="74" t="s">
        <v>344</v>
      </c>
      <c r="D80" s="74"/>
      <c r="E80" s="74"/>
      <c r="F80" s="74"/>
      <c r="G80" s="74" t="s">
        <v>346</v>
      </c>
      <c r="H80" s="74" t="s">
        <v>344</v>
      </c>
      <c r="I80" s="74"/>
      <c r="J80" s="74"/>
      <c r="K80" s="74"/>
      <c r="L80" s="74"/>
      <c r="M80" s="74" t="s">
        <v>334</v>
      </c>
      <c r="N80" s="38" t="str">
        <f>IF(OR(A80="Автомат",A80="Дифавтомат"),IF(W80="","",COUNTIFS(Однолинейка!$H$3:$H$3000,U80,Однолинейка!$A$3:$A$3000,Щит_спец)),IF(A80="Аппарат",IF(C80="","",COUNTIFS(Однолинейка!$I$3:$I$3000,C80,Однолинейка!$A$3:$A$3000,Щит_спец)+COUNTIFS(Однолинейка!$J$3:$J$3000,C80,Однолинейка!$A$3:$A$3000,Щит_спец)+COUNTIFS(Однолинейка!$K$3:$K$3000,C80,Однолинейка!$A$3:$A$3000,Щит_спец)),IF(A80="Модуль",IF(C80="","",COUNTIFS(Однолинейка!$AW$3:$AW$3000,"?*",Однолинейка!$AI$3:$AI$3000,C80,Однолинейка!$A$3:$A$3000,Щит_спец)),IF(A80="Клемма",IF(C80="","",IF(C80=$S$7,SUMIFS(Однолинейка!$BW$3:$BW$3000,Однолинейка!$A$3:$A$3000,Щит_спец),IF(C80=$S$8,SUMIFS(Однолинейка!$BX$3:$BX$3000,Однолинейка!$A$3:$A$3000,Щит_спец),""))),""))))</f>
        <v/>
      </c>
      <c r="O80" s="74"/>
      <c r="P80" s="38" t="str">
        <f t="shared" si="9"/>
        <v/>
      </c>
      <c r="U80" s="38" t="str">
        <f t="shared" si="10"/>
        <v/>
      </c>
      <c r="V80" s="38" t="str">
        <f t="shared" si="11"/>
        <v/>
      </c>
      <c r="W80" s="38" t="str">
        <f>IF(AND(U80&lt;&gt;"",OR($S$4="(все)",B80=$S$4),IF($S$4="(все)",COUNTIF($U$4:U80,U80),COUNTIFS($U$4:U80,U80,$B$4:B80,B80))=1),MAX($W$3:W79)+1,"")</f>
        <v/>
      </c>
      <c r="X80" s="38" t="str">
        <f t="shared" si="12"/>
        <v/>
      </c>
      <c r="Y80" s="38" t="str">
        <f>IF(AND(A80="Аппарат",C80&lt;&gt;"",OR($S$5="(все)",B80=$S$5)),MAX($Y$3:Y79)+1,"")</f>
        <v/>
      </c>
      <c r="Z80" s="38" t="str">
        <f t="shared" si="13"/>
        <v/>
      </c>
      <c r="AA80" s="38" t="str">
        <f>IF(AND(A80="Модуль",C80&lt;&gt;"",OR($S$6="(все)",B80=$S$6)),MAX($AA$3:AA79)+1,"")</f>
        <v/>
      </c>
      <c r="AB80" s="38" t="str">
        <f t="shared" si="14"/>
        <v/>
      </c>
      <c r="AC80" s="38" t="str">
        <f>IF(OR(B80="",COUNTIF($B$4:B80,B80)&gt;1),"",MAX($AC$3:AC79)+1)</f>
        <v/>
      </c>
      <c r="AD80" s="38" t="str">
        <f t="shared" si="15"/>
        <v/>
      </c>
      <c r="AE80" s="38" t="str">
        <f t="shared" si="16"/>
        <v/>
      </c>
      <c r="AF80" s="38" t="str">
        <f t="shared" si="17"/>
        <v/>
      </c>
    </row>
    <row r="81" spans="1:32" x14ac:dyDescent="0.3">
      <c r="A81" s="74" t="s">
        <v>702</v>
      </c>
      <c r="B81" s="74" t="s">
        <v>333</v>
      </c>
      <c r="C81" s="74" t="s">
        <v>344</v>
      </c>
      <c r="D81" s="74"/>
      <c r="E81" s="74"/>
      <c r="F81" s="74"/>
      <c r="G81" s="74" t="s">
        <v>347</v>
      </c>
      <c r="H81" s="74" t="s">
        <v>344</v>
      </c>
      <c r="I81" s="74"/>
      <c r="J81" s="74"/>
      <c r="K81" s="74"/>
      <c r="L81" s="74"/>
      <c r="M81" s="74" t="s">
        <v>334</v>
      </c>
      <c r="N81" s="38" t="str">
        <f>IF(OR(A81="Автомат",A81="Дифавтомат"),IF(W81="","",COUNTIFS(Однолинейка!$H$3:$H$3000,U81,Однолинейка!$A$3:$A$3000,Щит_спец)),IF(A81="Аппарат",IF(C81="","",COUNTIFS(Однолинейка!$I$3:$I$3000,C81,Однолинейка!$A$3:$A$3000,Щит_спец)+COUNTIFS(Однолинейка!$J$3:$J$3000,C81,Однолинейка!$A$3:$A$3000,Щит_спец)+COUNTIFS(Однолинейка!$K$3:$K$3000,C81,Однолинейка!$A$3:$A$3000,Щит_спец)),IF(A81="Модуль",IF(C81="","",COUNTIFS(Однолинейка!$AW$3:$AW$3000,"?*",Однолинейка!$AI$3:$AI$3000,C81,Однолинейка!$A$3:$A$3000,Щит_спец)),IF(A81="Клемма",IF(C81="","",IF(C81=$S$7,SUMIFS(Однолинейка!$BW$3:$BW$3000,Однолинейка!$A$3:$A$3000,Щит_спец),IF(C81=$S$8,SUMIFS(Однолинейка!$BX$3:$BX$3000,Однолинейка!$A$3:$A$3000,Щит_спец),""))),""))))</f>
        <v/>
      </c>
      <c r="O81" s="74"/>
      <c r="P81" s="38" t="str">
        <f t="shared" si="9"/>
        <v/>
      </c>
      <c r="U81" s="38" t="str">
        <f t="shared" si="10"/>
        <v/>
      </c>
      <c r="V81" s="38" t="str">
        <f t="shared" si="11"/>
        <v/>
      </c>
      <c r="W81" s="38" t="str">
        <f>IF(AND(U81&lt;&gt;"",OR($S$4="(все)",B81=$S$4),IF($S$4="(все)",COUNTIF($U$4:U81,U81),COUNTIFS($U$4:U81,U81,$B$4:B81,B81))=1),MAX($W$3:W80)+1,"")</f>
        <v/>
      </c>
      <c r="X81" s="38" t="str">
        <f t="shared" si="12"/>
        <v/>
      </c>
      <c r="Y81" s="38" t="str">
        <f>IF(AND(A81="Аппарат",C81&lt;&gt;"",OR($S$5="(все)",B81=$S$5)),MAX($Y$3:Y80)+1,"")</f>
        <v/>
      </c>
      <c r="Z81" s="38" t="str">
        <f t="shared" si="13"/>
        <v/>
      </c>
      <c r="AA81" s="38" t="str">
        <f>IF(AND(A81="Модуль",C81&lt;&gt;"",OR($S$6="(все)",B81=$S$6)),MAX($AA$3:AA80)+1,"")</f>
        <v/>
      </c>
      <c r="AB81" s="38" t="str">
        <f t="shared" si="14"/>
        <v/>
      </c>
      <c r="AC81" s="38" t="str">
        <f>IF(OR(B81="",COUNTIF($B$4:B81,B81)&gt;1),"",MAX($AC$3:AC80)+1)</f>
        <v/>
      </c>
      <c r="AD81" s="38" t="str">
        <f t="shared" si="15"/>
        <v/>
      </c>
      <c r="AE81" s="38" t="str">
        <f t="shared" si="16"/>
        <v/>
      </c>
      <c r="AF81" s="38" t="str">
        <f t="shared" si="17"/>
        <v/>
      </c>
    </row>
    <row r="82" spans="1:32" x14ac:dyDescent="0.3">
      <c r="A82" s="74" t="s">
        <v>702</v>
      </c>
      <c r="B82" s="74" t="s">
        <v>333</v>
      </c>
      <c r="C82" s="74" t="s">
        <v>344</v>
      </c>
      <c r="D82" s="74"/>
      <c r="E82" s="74"/>
      <c r="F82" s="74"/>
      <c r="G82" s="74" t="s">
        <v>382</v>
      </c>
      <c r="H82" s="74" t="s">
        <v>344</v>
      </c>
      <c r="I82" s="74"/>
      <c r="J82" s="74"/>
      <c r="K82" s="74"/>
      <c r="L82" s="74"/>
      <c r="M82" s="74" t="s">
        <v>334</v>
      </c>
      <c r="N82" s="38" t="str">
        <f>IF(OR(A82="Автомат",A82="Дифавтомат"),IF(W82="","",COUNTIFS(Однолинейка!$H$3:$H$3000,U82,Однолинейка!$A$3:$A$3000,Щит_спец)),IF(A82="Аппарат",IF(C82="","",COUNTIFS(Однолинейка!$I$3:$I$3000,C82,Однолинейка!$A$3:$A$3000,Щит_спец)+COUNTIFS(Однолинейка!$J$3:$J$3000,C82,Однолинейка!$A$3:$A$3000,Щит_спец)+COUNTIFS(Однолинейка!$K$3:$K$3000,C82,Однолинейка!$A$3:$A$3000,Щит_спец)),IF(A82="Модуль",IF(C82="","",COUNTIFS(Однолинейка!$AW$3:$AW$3000,"?*",Однолинейка!$AI$3:$AI$3000,C82,Однолинейка!$A$3:$A$3000,Щит_спец)),IF(A82="Клемма",IF(C82="","",IF(C82=$S$7,SUMIFS(Однолинейка!$BW$3:$BW$3000,Однолинейка!$A$3:$A$3000,Щит_спец),IF(C82=$S$8,SUMIFS(Однолинейка!$BX$3:$BX$3000,Однолинейка!$A$3:$A$3000,Щит_спец),""))),""))))</f>
        <v/>
      </c>
      <c r="O82" s="74"/>
      <c r="P82" s="38" t="str">
        <f t="shared" si="9"/>
        <v/>
      </c>
      <c r="U82" s="38" t="str">
        <f t="shared" si="10"/>
        <v/>
      </c>
      <c r="V82" s="38" t="str">
        <f t="shared" si="11"/>
        <v/>
      </c>
      <c r="W82" s="38" t="str">
        <f>IF(AND(U82&lt;&gt;"",OR($S$4="(все)",B82=$S$4),IF($S$4="(все)",COUNTIF($U$4:U82,U82),COUNTIFS($U$4:U82,U82,$B$4:B82,B82))=1),MAX($W$3:W81)+1,"")</f>
        <v/>
      </c>
      <c r="X82" s="38" t="str">
        <f t="shared" si="12"/>
        <v/>
      </c>
      <c r="Y82" s="38" t="str">
        <f>IF(AND(A82="Аппарат",C82&lt;&gt;"",OR($S$5="(все)",B82=$S$5)),MAX($Y$3:Y81)+1,"")</f>
        <v/>
      </c>
      <c r="Z82" s="38" t="str">
        <f t="shared" si="13"/>
        <v/>
      </c>
      <c r="AA82" s="38" t="str">
        <f>IF(AND(A82="Модуль",C82&lt;&gt;"",OR($S$6="(все)",B82=$S$6)),MAX($AA$3:AA81)+1,"")</f>
        <v/>
      </c>
      <c r="AB82" s="38" t="str">
        <f t="shared" si="14"/>
        <v/>
      </c>
      <c r="AC82" s="38" t="str">
        <f>IF(OR(B82="",COUNTIF($B$4:B82,B82)&gt;1),"",MAX($AC$3:AC81)+1)</f>
        <v/>
      </c>
      <c r="AD82" s="38" t="str">
        <f t="shared" si="15"/>
        <v/>
      </c>
      <c r="AE82" s="38" t="str">
        <f t="shared" si="16"/>
        <v/>
      </c>
      <c r="AF82" s="38" t="str">
        <f t="shared" si="17"/>
        <v/>
      </c>
    </row>
    <row r="83" spans="1:32" x14ac:dyDescent="0.3">
      <c r="A83" s="74" t="s">
        <v>702</v>
      </c>
      <c r="B83" s="74" t="s">
        <v>333</v>
      </c>
      <c r="C83" s="74" t="s">
        <v>388</v>
      </c>
      <c r="D83" s="74"/>
      <c r="E83" s="74"/>
      <c r="F83" s="74"/>
      <c r="G83" s="74" t="s">
        <v>383</v>
      </c>
      <c r="H83" s="74" t="s">
        <v>388</v>
      </c>
      <c r="I83" s="74"/>
      <c r="J83" s="74"/>
      <c r="K83" s="74"/>
      <c r="L83" s="74"/>
      <c r="M83" s="74" t="s">
        <v>334</v>
      </c>
      <c r="N83" s="38" t="str">
        <f>IF(OR(A83="Автомат",A83="Дифавтомат"),IF(W83="","",COUNTIFS(Однолинейка!$H$3:$H$3000,U83,Однолинейка!$A$3:$A$3000,Щит_спец)),IF(A83="Аппарат",IF(C83="","",COUNTIFS(Однолинейка!$I$3:$I$3000,C83,Однолинейка!$A$3:$A$3000,Щит_спец)+COUNTIFS(Однолинейка!$J$3:$J$3000,C83,Однолинейка!$A$3:$A$3000,Щит_спец)+COUNTIFS(Однолинейка!$K$3:$K$3000,C83,Однолинейка!$A$3:$A$3000,Щит_спец)),IF(A83="Модуль",IF(C83="","",COUNTIFS(Однолинейка!$AW$3:$AW$3000,"?*",Однолинейка!$AI$3:$AI$3000,C83,Однолинейка!$A$3:$A$3000,Щит_спец)),IF(A83="Клемма",IF(C83="","",IF(C83=$S$7,SUMIFS(Однолинейка!$BW$3:$BW$3000,Однолинейка!$A$3:$A$3000,Щит_спец),IF(C83=$S$8,SUMIFS(Однолинейка!$BX$3:$BX$3000,Однолинейка!$A$3:$A$3000,Щит_спец),""))),""))))</f>
        <v/>
      </c>
      <c r="O83" s="74"/>
      <c r="P83" s="38" t="str">
        <f t="shared" si="9"/>
        <v/>
      </c>
      <c r="U83" s="38" t="str">
        <f t="shared" si="10"/>
        <v/>
      </c>
      <c r="V83" s="38" t="str">
        <f t="shared" si="11"/>
        <v/>
      </c>
      <c r="W83" s="38" t="str">
        <f>IF(AND(U83&lt;&gt;"",OR($S$4="(все)",B83=$S$4),IF($S$4="(все)",COUNTIF($U$4:U83,U83),COUNTIFS($U$4:U83,U83,$B$4:B83,B83))=1),MAX($W$3:W82)+1,"")</f>
        <v/>
      </c>
      <c r="X83" s="38" t="str">
        <f t="shared" si="12"/>
        <v/>
      </c>
      <c r="Y83" s="38" t="str">
        <f>IF(AND(A83="Аппарат",C83&lt;&gt;"",OR($S$5="(все)",B83=$S$5)),MAX($Y$3:Y82)+1,"")</f>
        <v/>
      </c>
      <c r="Z83" s="38" t="str">
        <f t="shared" si="13"/>
        <v/>
      </c>
      <c r="AA83" s="38" t="str">
        <f>IF(AND(A83="Модуль",C83&lt;&gt;"",OR($S$6="(все)",B83=$S$6)),MAX($AA$3:AA82)+1,"")</f>
        <v/>
      </c>
      <c r="AB83" s="38" t="str">
        <f t="shared" si="14"/>
        <v/>
      </c>
      <c r="AC83" s="38" t="str">
        <f>IF(OR(B83="",COUNTIF($B$4:B83,B83)&gt;1),"",MAX($AC$3:AC82)+1)</f>
        <v/>
      </c>
      <c r="AD83" s="38" t="str">
        <f t="shared" si="15"/>
        <v/>
      </c>
      <c r="AE83" s="38" t="str">
        <f t="shared" si="16"/>
        <v/>
      </c>
      <c r="AF83" s="38" t="str">
        <f t="shared" si="17"/>
        <v/>
      </c>
    </row>
    <row r="84" spans="1:32" x14ac:dyDescent="0.3">
      <c r="A84" s="74" t="s">
        <v>702</v>
      </c>
      <c r="B84" s="74" t="s">
        <v>333</v>
      </c>
      <c r="C84" s="74" t="s">
        <v>388</v>
      </c>
      <c r="D84" s="74"/>
      <c r="E84" s="74"/>
      <c r="F84" s="74"/>
      <c r="G84" s="74" t="s">
        <v>384</v>
      </c>
      <c r="H84" s="74" t="s">
        <v>388</v>
      </c>
      <c r="I84" s="74"/>
      <c r="J84" s="74"/>
      <c r="K84" s="74"/>
      <c r="L84" s="74"/>
      <c r="M84" s="74" t="s">
        <v>334</v>
      </c>
      <c r="N84" s="38" t="str">
        <f>IF(OR(A84="Автомат",A84="Дифавтомат"),IF(W84="","",COUNTIFS(Однолинейка!$H$3:$H$3000,U84,Однолинейка!$A$3:$A$3000,Щит_спец)),IF(A84="Аппарат",IF(C84="","",COUNTIFS(Однолинейка!$I$3:$I$3000,C84,Однолинейка!$A$3:$A$3000,Щит_спец)+COUNTIFS(Однолинейка!$J$3:$J$3000,C84,Однолинейка!$A$3:$A$3000,Щит_спец)+COUNTIFS(Однолинейка!$K$3:$K$3000,C84,Однолинейка!$A$3:$A$3000,Щит_спец)),IF(A84="Модуль",IF(C84="","",COUNTIFS(Однолинейка!$AW$3:$AW$3000,"?*",Однолинейка!$AI$3:$AI$3000,C84,Однолинейка!$A$3:$A$3000,Щит_спец)),IF(A84="Клемма",IF(C84="","",IF(C84=$S$7,SUMIFS(Однолинейка!$BW$3:$BW$3000,Однолинейка!$A$3:$A$3000,Щит_спец),IF(C84=$S$8,SUMIFS(Однолинейка!$BX$3:$BX$3000,Однолинейка!$A$3:$A$3000,Щит_спец),""))),""))))</f>
        <v/>
      </c>
      <c r="O84" s="74"/>
      <c r="P84" s="38" t="str">
        <f t="shared" si="9"/>
        <v/>
      </c>
      <c r="U84" s="38" t="str">
        <f t="shared" si="10"/>
        <v/>
      </c>
      <c r="V84" s="38" t="str">
        <f t="shared" si="11"/>
        <v/>
      </c>
      <c r="W84" s="38" t="str">
        <f>IF(AND(U84&lt;&gt;"",OR($S$4="(все)",B84=$S$4),IF($S$4="(все)",COUNTIF($U$4:U84,U84),COUNTIFS($U$4:U84,U84,$B$4:B84,B84))=1),MAX($W$3:W83)+1,"")</f>
        <v/>
      </c>
      <c r="X84" s="38" t="str">
        <f t="shared" si="12"/>
        <v/>
      </c>
      <c r="Y84" s="38" t="str">
        <f>IF(AND(A84="Аппарат",C84&lt;&gt;"",OR($S$5="(все)",B84=$S$5)),MAX($Y$3:Y83)+1,"")</f>
        <v/>
      </c>
      <c r="Z84" s="38" t="str">
        <f t="shared" si="13"/>
        <v/>
      </c>
      <c r="AA84" s="38" t="str">
        <f>IF(AND(A84="Модуль",C84&lt;&gt;"",OR($S$6="(все)",B84=$S$6)),MAX($AA$3:AA83)+1,"")</f>
        <v/>
      </c>
      <c r="AB84" s="38" t="str">
        <f t="shared" si="14"/>
        <v/>
      </c>
      <c r="AC84" s="38" t="str">
        <f>IF(OR(B84="",COUNTIF($B$4:B84,B84)&gt;1),"",MAX($AC$3:AC83)+1)</f>
        <v/>
      </c>
      <c r="AD84" s="38" t="str">
        <f t="shared" si="15"/>
        <v/>
      </c>
      <c r="AE84" s="38" t="str">
        <f t="shared" si="16"/>
        <v/>
      </c>
      <c r="AF84" s="38" t="str">
        <f t="shared" si="17"/>
        <v/>
      </c>
    </row>
    <row r="85" spans="1:32" x14ac:dyDescent="0.3">
      <c r="A85" s="74" t="s">
        <v>702</v>
      </c>
      <c r="B85" s="74" t="s">
        <v>333</v>
      </c>
      <c r="C85" s="74" t="s">
        <v>388</v>
      </c>
      <c r="D85" s="74"/>
      <c r="E85" s="74"/>
      <c r="F85" s="74"/>
      <c r="G85" s="74" t="s">
        <v>385</v>
      </c>
      <c r="H85" s="74" t="s">
        <v>388</v>
      </c>
      <c r="I85" s="74"/>
      <c r="J85" s="74"/>
      <c r="K85" s="74"/>
      <c r="L85" s="74"/>
      <c r="M85" s="74" t="s">
        <v>334</v>
      </c>
      <c r="N85" s="38" t="str">
        <f>IF(OR(A85="Автомат",A85="Дифавтомат"),IF(W85="","",COUNTIFS(Однолинейка!$H$3:$H$3000,U85,Однолинейка!$A$3:$A$3000,Щит_спец)),IF(A85="Аппарат",IF(C85="","",COUNTIFS(Однолинейка!$I$3:$I$3000,C85,Однолинейка!$A$3:$A$3000,Щит_спец)+COUNTIFS(Однолинейка!$J$3:$J$3000,C85,Однолинейка!$A$3:$A$3000,Щит_спец)+COUNTIFS(Однолинейка!$K$3:$K$3000,C85,Однолинейка!$A$3:$A$3000,Щит_спец)),IF(A85="Модуль",IF(C85="","",COUNTIFS(Однолинейка!$AW$3:$AW$3000,"?*",Однолинейка!$AI$3:$AI$3000,C85,Однолинейка!$A$3:$A$3000,Щит_спец)),IF(A85="Клемма",IF(C85="","",IF(C85=$S$7,SUMIFS(Однолинейка!$BW$3:$BW$3000,Однолинейка!$A$3:$A$3000,Щит_спец),IF(C85=$S$8,SUMIFS(Однолинейка!$BX$3:$BX$3000,Однолинейка!$A$3:$A$3000,Щит_спец),""))),""))))</f>
        <v/>
      </c>
      <c r="O85" s="74"/>
      <c r="P85" s="38" t="str">
        <f t="shared" si="9"/>
        <v/>
      </c>
      <c r="U85" s="38" t="str">
        <f t="shared" si="10"/>
        <v/>
      </c>
      <c r="V85" s="38" t="str">
        <f t="shared" si="11"/>
        <v/>
      </c>
      <c r="W85" s="38" t="str">
        <f>IF(AND(U85&lt;&gt;"",OR($S$4="(все)",B85=$S$4),IF($S$4="(все)",COUNTIF($U$4:U85,U85),COUNTIFS($U$4:U85,U85,$B$4:B85,B85))=1),MAX($W$3:W84)+1,"")</f>
        <v/>
      </c>
      <c r="X85" s="38" t="str">
        <f t="shared" si="12"/>
        <v/>
      </c>
      <c r="Y85" s="38" t="str">
        <f>IF(AND(A85="Аппарат",C85&lt;&gt;"",OR($S$5="(все)",B85=$S$5)),MAX($Y$3:Y84)+1,"")</f>
        <v/>
      </c>
      <c r="Z85" s="38" t="str">
        <f t="shared" si="13"/>
        <v/>
      </c>
      <c r="AA85" s="38" t="str">
        <f>IF(AND(A85="Модуль",C85&lt;&gt;"",OR($S$6="(все)",B85=$S$6)),MAX($AA$3:AA84)+1,"")</f>
        <v/>
      </c>
      <c r="AB85" s="38" t="str">
        <f t="shared" si="14"/>
        <v/>
      </c>
      <c r="AC85" s="38" t="str">
        <f>IF(OR(B85="",COUNTIF($B$4:B85,B85)&gt;1),"",MAX($AC$3:AC84)+1)</f>
        <v/>
      </c>
      <c r="AD85" s="38" t="str">
        <f t="shared" si="15"/>
        <v/>
      </c>
      <c r="AE85" s="38" t="str">
        <f t="shared" si="16"/>
        <v/>
      </c>
      <c r="AF85" s="38" t="str">
        <f t="shared" si="17"/>
        <v/>
      </c>
    </row>
    <row r="86" spans="1:32" x14ac:dyDescent="0.3">
      <c r="A86" s="74" t="s">
        <v>702</v>
      </c>
      <c r="B86" s="74" t="s">
        <v>333</v>
      </c>
      <c r="C86" s="74" t="s">
        <v>388</v>
      </c>
      <c r="D86" s="74"/>
      <c r="E86" s="74"/>
      <c r="F86" s="74"/>
      <c r="G86" s="74" t="s">
        <v>386</v>
      </c>
      <c r="H86" s="74" t="s">
        <v>388</v>
      </c>
      <c r="I86" s="74"/>
      <c r="J86" s="74"/>
      <c r="K86" s="74"/>
      <c r="L86" s="74"/>
      <c r="M86" s="74" t="s">
        <v>334</v>
      </c>
      <c r="N86" s="38" t="str">
        <f>IF(OR(A86="Автомат",A86="Дифавтомат"),IF(W86="","",COUNTIFS(Однолинейка!$H$3:$H$3000,U86,Однолинейка!$A$3:$A$3000,Щит_спец)),IF(A86="Аппарат",IF(C86="","",COUNTIFS(Однолинейка!$I$3:$I$3000,C86,Однолинейка!$A$3:$A$3000,Щит_спец)+COUNTIFS(Однолинейка!$J$3:$J$3000,C86,Однолинейка!$A$3:$A$3000,Щит_спец)+COUNTIFS(Однолинейка!$K$3:$K$3000,C86,Однолинейка!$A$3:$A$3000,Щит_спец)),IF(A86="Модуль",IF(C86="","",COUNTIFS(Однолинейка!$AW$3:$AW$3000,"?*",Однолинейка!$AI$3:$AI$3000,C86,Однолинейка!$A$3:$A$3000,Щит_спец)),IF(A86="Клемма",IF(C86="","",IF(C86=$S$7,SUMIFS(Однолинейка!$BW$3:$BW$3000,Однолинейка!$A$3:$A$3000,Щит_спец),IF(C86=$S$8,SUMIFS(Однолинейка!$BX$3:$BX$3000,Однолинейка!$A$3:$A$3000,Щит_спец),""))),""))))</f>
        <v/>
      </c>
      <c r="O86" s="74"/>
      <c r="P86" s="38" t="str">
        <f t="shared" si="9"/>
        <v/>
      </c>
      <c r="U86" s="38" t="str">
        <f t="shared" si="10"/>
        <v/>
      </c>
      <c r="V86" s="38" t="str">
        <f t="shared" si="11"/>
        <v/>
      </c>
      <c r="W86" s="38" t="str">
        <f>IF(AND(U86&lt;&gt;"",OR($S$4="(все)",B86=$S$4),IF($S$4="(все)",COUNTIF($U$4:U86,U86),COUNTIFS($U$4:U86,U86,$B$4:B86,B86))=1),MAX($W$3:W85)+1,"")</f>
        <v/>
      </c>
      <c r="X86" s="38" t="str">
        <f t="shared" si="12"/>
        <v/>
      </c>
      <c r="Y86" s="38" t="str">
        <f>IF(AND(A86="Аппарат",C86&lt;&gt;"",OR($S$5="(все)",B86=$S$5)),MAX($Y$3:Y85)+1,"")</f>
        <v/>
      </c>
      <c r="Z86" s="38" t="str">
        <f t="shared" si="13"/>
        <v/>
      </c>
      <c r="AA86" s="38" t="str">
        <f>IF(AND(A86="Модуль",C86&lt;&gt;"",OR($S$6="(все)",B86=$S$6)),MAX($AA$3:AA85)+1,"")</f>
        <v/>
      </c>
      <c r="AB86" s="38" t="str">
        <f t="shared" si="14"/>
        <v/>
      </c>
      <c r="AC86" s="38" t="str">
        <f>IF(OR(B86="",COUNTIF($B$4:B86,B86)&gt;1),"",MAX($AC$3:AC85)+1)</f>
        <v/>
      </c>
      <c r="AD86" s="38" t="str">
        <f t="shared" si="15"/>
        <v/>
      </c>
      <c r="AE86" s="38" t="str">
        <f t="shared" si="16"/>
        <v/>
      </c>
      <c r="AF86" s="38" t="str">
        <f t="shared" si="17"/>
        <v/>
      </c>
    </row>
    <row r="87" spans="1:32" x14ac:dyDescent="0.3">
      <c r="A87" s="74" t="s">
        <v>702</v>
      </c>
      <c r="B87" s="74" t="s">
        <v>333</v>
      </c>
      <c r="C87" s="74" t="s">
        <v>388</v>
      </c>
      <c r="D87" s="74"/>
      <c r="E87" s="74"/>
      <c r="F87" s="74"/>
      <c r="G87" s="74" t="s">
        <v>387</v>
      </c>
      <c r="H87" s="74" t="s">
        <v>388</v>
      </c>
      <c r="I87" s="74"/>
      <c r="J87" s="74"/>
      <c r="K87" s="74"/>
      <c r="L87" s="74"/>
      <c r="M87" s="74" t="s">
        <v>334</v>
      </c>
      <c r="N87" s="38" t="str">
        <f>IF(OR(A87="Автомат",A87="Дифавтомат"),IF(W87="","",COUNTIFS(Однолинейка!$H$3:$H$3000,U87,Однолинейка!$A$3:$A$3000,Щит_спец)),IF(A87="Аппарат",IF(C87="","",COUNTIFS(Однолинейка!$I$3:$I$3000,C87,Однолинейка!$A$3:$A$3000,Щит_спец)+COUNTIFS(Однолинейка!$J$3:$J$3000,C87,Однолинейка!$A$3:$A$3000,Щит_спец)+COUNTIFS(Однолинейка!$K$3:$K$3000,C87,Однолинейка!$A$3:$A$3000,Щит_спец)),IF(A87="Модуль",IF(C87="","",COUNTIFS(Однолинейка!$AW$3:$AW$3000,"?*",Однолинейка!$AI$3:$AI$3000,C87,Однолинейка!$A$3:$A$3000,Щит_спец)),IF(A87="Клемма",IF(C87="","",IF(C87=$S$7,SUMIFS(Однолинейка!$BW$3:$BW$3000,Однолинейка!$A$3:$A$3000,Щит_спец),IF(C87=$S$8,SUMIFS(Однолинейка!$BX$3:$BX$3000,Однолинейка!$A$3:$A$3000,Щит_спец),""))),""))))</f>
        <v/>
      </c>
      <c r="O87" s="74"/>
      <c r="P87" s="38" t="str">
        <f t="shared" si="9"/>
        <v/>
      </c>
      <c r="U87" s="38" t="str">
        <f t="shared" si="10"/>
        <v/>
      </c>
      <c r="V87" s="38" t="str">
        <f t="shared" si="11"/>
        <v/>
      </c>
      <c r="W87" s="38" t="str">
        <f>IF(AND(U87&lt;&gt;"",OR($S$4="(все)",B87=$S$4),IF($S$4="(все)",COUNTIF($U$4:U87,U87),COUNTIFS($U$4:U87,U87,$B$4:B87,B87))=1),MAX($W$3:W86)+1,"")</f>
        <v/>
      </c>
      <c r="X87" s="38" t="str">
        <f t="shared" si="12"/>
        <v/>
      </c>
      <c r="Y87" s="38" t="str">
        <f>IF(AND(A87="Аппарат",C87&lt;&gt;"",OR($S$5="(все)",B87=$S$5)),MAX($Y$3:Y86)+1,"")</f>
        <v/>
      </c>
      <c r="Z87" s="38" t="str">
        <f t="shared" si="13"/>
        <v/>
      </c>
      <c r="AA87" s="38" t="str">
        <f>IF(AND(A87="Модуль",C87&lt;&gt;"",OR($S$6="(все)",B87=$S$6)),MAX($AA$3:AA86)+1,"")</f>
        <v/>
      </c>
      <c r="AB87" s="38" t="str">
        <f t="shared" si="14"/>
        <v/>
      </c>
      <c r="AC87" s="38" t="str">
        <f>IF(OR(B87="",COUNTIF($B$4:B87,B87)&gt;1),"",MAX($AC$3:AC86)+1)</f>
        <v/>
      </c>
      <c r="AD87" s="38" t="str">
        <f t="shared" si="15"/>
        <v/>
      </c>
      <c r="AE87" s="38" t="str">
        <f t="shared" si="16"/>
        <v/>
      </c>
      <c r="AF87" s="38" t="str">
        <f t="shared" si="17"/>
        <v/>
      </c>
    </row>
    <row r="88" spans="1:32" x14ac:dyDescent="0.3">
      <c r="A88" s="74" t="s">
        <v>613</v>
      </c>
      <c r="B88" s="74" t="s">
        <v>350</v>
      </c>
      <c r="C88" s="74" t="s">
        <v>349</v>
      </c>
      <c r="D88" s="74"/>
      <c r="E88" s="74"/>
      <c r="F88" s="74"/>
      <c r="G88" s="74" t="s">
        <v>348</v>
      </c>
      <c r="H88" s="74" t="s">
        <v>349</v>
      </c>
      <c r="I88" s="74"/>
      <c r="J88" s="74"/>
      <c r="K88" s="74"/>
      <c r="L88" s="74"/>
      <c r="M88" s="74" t="s">
        <v>351</v>
      </c>
      <c r="N88" s="38" t="str">
        <f>IF(OR(A88="Автомат",A88="Дифавтомат"),IF(W88="","",COUNTIFS(Однолинейка!$H$3:$H$3000,U88,Однолинейка!$A$3:$A$3000,Щит_спец)),IF(A88="Аппарат",IF(C88="","",COUNTIFS(Однолинейка!$I$3:$I$3000,C88,Однолинейка!$A$3:$A$3000,Щит_спец)+COUNTIFS(Однолинейка!$J$3:$J$3000,C88,Однолинейка!$A$3:$A$3000,Щит_спец)+COUNTIFS(Однолинейка!$K$3:$K$3000,C88,Однолинейка!$A$3:$A$3000,Щит_спец)),IF(A88="Модуль",IF(C88="","",COUNTIFS(Однолинейка!$AW$3:$AW$3000,"?*",Однолинейка!$AI$3:$AI$3000,C88,Однолинейка!$A$3:$A$3000,Щит_спец)),IF(A88="Клемма",IF(C88="","",IF(C88=$S$7,SUMIFS(Однолинейка!$BW$3:$BW$3000,Однолинейка!$A$3:$A$3000,Щит_спец),IF(C88=$S$8,SUMIFS(Однолинейка!$BX$3:$BX$3000,Однолинейка!$A$3:$A$3000,Щит_спец),""))),""))))</f>
        <v/>
      </c>
      <c r="O88" s="74"/>
      <c r="P88" s="38" t="str">
        <f t="shared" si="9"/>
        <v/>
      </c>
      <c r="U88" s="38" t="str">
        <f t="shared" si="10"/>
        <v/>
      </c>
      <c r="V88" s="38" t="str">
        <f t="shared" si="11"/>
        <v/>
      </c>
      <c r="W88" s="38" t="str">
        <f>IF(AND(U88&lt;&gt;"",OR($S$4="(все)",B88=$S$4),IF($S$4="(все)",COUNTIF($U$4:U88,U88),COUNTIFS($U$4:U88,U88,$B$4:B88,B88))=1),MAX($W$3:W87)+1,"")</f>
        <v/>
      </c>
      <c r="X88" s="38" t="str">
        <f t="shared" si="12"/>
        <v/>
      </c>
      <c r="Y88" s="38" t="str">
        <f>IF(AND(A88="Аппарат",C88&lt;&gt;"",OR($S$5="(все)",B88=$S$5)),MAX($Y$3:Y87)+1,"")</f>
        <v/>
      </c>
      <c r="Z88" s="38" t="str">
        <f t="shared" si="13"/>
        <v/>
      </c>
      <c r="AA88" s="38" t="str">
        <f>IF(AND(A88="Модуль",C88&lt;&gt;"",OR($S$6="(все)",B88=$S$6)),MAX($AA$3:AA87)+1,"")</f>
        <v/>
      </c>
      <c r="AB88" s="38" t="str">
        <f t="shared" si="14"/>
        <v/>
      </c>
      <c r="AC88" s="38">
        <f>IF(OR(B88="",COUNTIF($B$4:B88,B88)&gt;1),"",MAX($AC$3:AC87)+1)</f>
        <v>9</v>
      </c>
      <c r="AD88" s="38" t="str">
        <f t="shared" si="15"/>
        <v/>
      </c>
      <c r="AE88" s="38" t="str">
        <f t="shared" si="16"/>
        <v/>
      </c>
      <c r="AF88" s="38" t="str">
        <f t="shared" si="17"/>
        <v/>
      </c>
    </row>
    <row r="89" spans="1:32" x14ac:dyDescent="0.3">
      <c r="A89" s="74" t="s">
        <v>613</v>
      </c>
      <c r="B89" s="74" t="s">
        <v>350</v>
      </c>
      <c r="C89" s="74" t="s">
        <v>721</v>
      </c>
      <c r="D89" s="74"/>
      <c r="E89" s="74"/>
      <c r="F89" s="74"/>
      <c r="G89" s="74" t="s">
        <v>352</v>
      </c>
      <c r="H89" s="74" t="s">
        <v>721</v>
      </c>
      <c r="I89" s="74"/>
      <c r="J89" s="74"/>
      <c r="K89" s="74"/>
      <c r="L89" s="74"/>
      <c r="M89" s="74" t="s">
        <v>351</v>
      </c>
      <c r="N89" s="38" t="str">
        <f>IF(OR(A89="Автомат",A89="Дифавтомат"),IF(W89="","",COUNTIFS(Однолинейка!$H$3:$H$3000,U89,Однолинейка!$A$3:$A$3000,Щит_спец)),IF(A89="Аппарат",IF(C89="","",COUNTIFS(Однолинейка!$I$3:$I$3000,C89,Однолинейка!$A$3:$A$3000,Щит_спец)+COUNTIFS(Однолинейка!$J$3:$J$3000,C89,Однолинейка!$A$3:$A$3000,Щит_спец)+COUNTIFS(Однолинейка!$K$3:$K$3000,C89,Однолинейка!$A$3:$A$3000,Щит_спец)),IF(A89="Модуль",IF(C89="","",COUNTIFS(Однолинейка!$AW$3:$AW$3000,"?*",Однолинейка!$AI$3:$AI$3000,C89,Однолинейка!$A$3:$A$3000,Щит_спец)),IF(A89="Клемма",IF(C89="","",IF(C89=$S$7,SUMIFS(Однолинейка!$BW$3:$BW$3000,Однолинейка!$A$3:$A$3000,Щит_спец),IF(C89=$S$8,SUMIFS(Однолинейка!$BX$3:$BX$3000,Однолинейка!$A$3:$A$3000,Щит_спец),""))),""))))</f>
        <v/>
      </c>
      <c r="O89" s="74"/>
      <c r="P89" s="38" t="str">
        <f t="shared" si="9"/>
        <v/>
      </c>
      <c r="U89" s="38" t="str">
        <f t="shared" si="10"/>
        <v/>
      </c>
      <c r="V89" s="38" t="str">
        <f t="shared" si="11"/>
        <v/>
      </c>
      <c r="W89" s="38" t="str">
        <f>IF(AND(U89&lt;&gt;"",OR($S$4="(все)",B89=$S$4),IF($S$4="(все)",COUNTIF($U$4:U89,U89),COUNTIFS($U$4:U89,U89,$B$4:B89,B89))=1),MAX($W$3:W88)+1,"")</f>
        <v/>
      </c>
      <c r="X89" s="38" t="str">
        <f t="shared" si="12"/>
        <v/>
      </c>
      <c r="Y89" s="38" t="str">
        <f>IF(AND(A89="Аппарат",C89&lt;&gt;"",OR($S$5="(все)",B89=$S$5)),MAX($Y$3:Y88)+1,"")</f>
        <v/>
      </c>
      <c r="Z89" s="38" t="str">
        <f t="shared" si="13"/>
        <v/>
      </c>
      <c r="AA89" s="38" t="str">
        <f>IF(AND(A89="Модуль",C89&lt;&gt;"",OR($S$6="(все)",B89=$S$6)),MAX($AA$3:AA88)+1,"")</f>
        <v/>
      </c>
      <c r="AB89" s="38" t="str">
        <f t="shared" si="14"/>
        <v/>
      </c>
      <c r="AC89" s="38" t="str">
        <f>IF(OR(B89="",COUNTIF($B$4:B89,B89)&gt;1),"",MAX($AC$3:AC88)+1)</f>
        <v/>
      </c>
      <c r="AD89" s="38" t="str">
        <f t="shared" si="15"/>
        <v/>
      </c>
      <c r="AE89" s="38" t="str">
        <f t="shared" si="16"/>
        <v/>
      </c>
      <c r="AF89" s="38" t="str">
        <f t="shared" si="17"/>
        <v/>
      </c>
    </row>
    <row r="90" spans="1:32" x14ac:dyDescent="0.3">
      <c r="A90" s="74" t="s">
        <v>613</v>
      </c>
      <c r="B90" s="74" t="s">
        <v>350</v>
      </c>
      <c r="C90" s="74" t="s">
        <v>722</v>
      </c>
      <c r="D90" s="74"/>
      <c r="E90" s="74"/>
      <c r="F90" s="74"/>
      <c r="G90" s="74" t="s">
        <v>353</v>
      </c>
      <c r="H90" s="74" t="s">
        <v>722</v>
      </c>
      <c r="I90" s="74"/>
      <c r="J90" s="74"/>
      <c r="K90" s="74"/>
      <c r="L90" s="74"/>
      <c r="M90" s="74" t="s">
        <v>351</v>
      </c>
      <c r="N90" s="38" t="str">
        <f>IF(OR(A90="Автомат",A90="Дифавтомат"),IF(W90="","",COUNTIFS(Однолинейка!$H$3:$H$3000,U90,Однолинейка!$A$3:$A$3000,Щит_спец)),IF(A90="Аппарат",IF(C90="","",COUNTIFS(Однолинейка!$I$3:$I$3000,C90,Однолинейка!$A$3:$A$3000,Щит_спец)+COUNTIFS(Однолинейка!$J$3:$J$3000,C90,Однолинейка!$A$3:$A$3000,Щит_спец)+COUNTIFS(Однолинейка!$K$3:$K$3000,C90,Однолинейка!$A$3:$A$3000,Щит_спец)),IF(A90="Модуль",IF(C90="","",COUNTIFS(Однолинейка!$AW$3:$AW$3000,"?*",Однолинейка!$AI$3:$AI$3000,C90,Однолинейка!$A$3:$A$3000,Щит_спец)),IF(A90="Клемма",IF(C90="","",IF(C90=$S$7,SUMIFS(Однолинейка!$BW$3:$BW$3000,Однолинейка!$A$3:$A$3000,Щит_спец),IF(C90=$S$8,SUMIFS(Однолинейка!$BX$3:$BX$3000,Однолинейка!$A$3:$A$3000,Щит_спец),""))),""))))</f>
        <v/>
      </c>
      <c r="O90" s="74"/>
      <c r="P90" s="38" t="str">
        <f t="shared" si="9"/>
        <v/>
      </c>
      <c r="U90" s="38" t="str">
        <f t="shared" si="10"/>
        <v/>
      </c>
      <c r="V90" s="38" t="str">
        <f t="shared" si="11"/>
        <v/>
      </c>
      <c r="W90" s="38" t="str">
        <f>IF(AND(U90&lt;&gt;"",OR($S$4="(все)",B90=$S$4),IF($S$4="(все)",COUNTIF($U$4:U90,U90),COUNTIFS($U$4:U90,U90,$B$4:B90,B90))=1),MAX($W$3:W89)+1,"")</f>
        <v/>
      </c>
      <c r="X90" s="38" t="str">
        <f t="shared" si="12"/>
        <v/>
      </c>
      <c r="Y90" s="38" t="str">
        <f>IF(AND(A90="Аппарат",C90&lt;&gt;"",OR($S$5="(все)",B90=$S$5)),MAX($Y$3:Y89)+1,"")</f>
        <v/>
      </c>
      <c r="Z90" s="38" t="str">
        <f t="shared" si="13"/>
        <v/>
      </c>
      <c r="AA90" s="38" t="str">
        <f>IF(AND(A90="Модуль",C90&lt;&gt;"",OR($S$6="(все)",B90=$S$6)),MAX($AA$3:AA89)+1,"")</f>
        <v/>
      </c>
      <c r="AB90" s="38" t="str">
        <f t="shared" si="14"/>
        <v/>
      </c>
      <c r="AC90" s="38" t="str">
        <f>IF(OR(B90="",COUNTIF($B$4:B90,B90)&gt;1),"",MAX($AC$3:AC89)+1)</f>
        <v/>
      </c>
      <c r="AD90" s="38" t="str">
        <f t="shared" si="15"/>
        <v/>
      </c>
      <c r="AE90" s="38" t="str">
        <f t="shared" si="16"/>
        <v/>
      </c>
      <c r="AF90" s="38" t="str">
        <f t="shared" si="17"/>
        <v/>
      </c>
    </row>
    <row r="91" spans="1:32" x14ac:dyDescent="0.3">
      <c r="A91" s="74" t="s">
        <v>613</v>
      </c>
      <c r="B91" s="74" t="s">
        <v>350</v>
      </c>
      <c r="C91" s="74" t="s">
        <v>355</v>
      </c>
      <c r="D91" s="74"/>
      <c r="E91" s="74"/>
      <c r="F91" s="74"/>
      <c r="G91" s="74" t="s">
        <v>354</v>
      </c>
      <c r="H91" s="74" t="s">
        <v>355</v>
      </c>
      <c r="I91" s="74"/>
      <c r="J91" s="74"/>
      <c r="K91" s="74"/>
      <c r="L91" s="74"/>
      <c r="M91" s="74" t="s">
        <v>351</v>
      </c>
      <c r="N91" s="38" t="str">
        <f>IF(OR(A91="Автомат",A91="Дифавтомат"),IF(W91="","",COUNTIFS(Однолинейка!$H$3:$H$3000,U91,Однолинейка!$A$3:$A$3000,Щит_спец)),IF(A91="Аппарат",IF(C91="","",COUNTIFS(Однолинейка!$I$3:$I$3000,C91,Однолинейка!$A$3:$A$3000,Щит_спец)+COUNTIFS(Однолинейка!$J$3:$J$3000,C91,Однолинейка!$A$3:$A$3000,Щит_спец)+COUNTIFS(Однолинейка!$K$3:$K$3000,C91,Однолинейка!$A$3:$A$3000,Щит_спец)),IF(A91="Модуль",IF(C91="","",COUNTIFS(Однолинейка!$AW$3:$AW$3000,"?*",Однолинейка!$AI$3:$AI$3000,C91,Однолинейка!$A$3:$A$3000,Щит_спец)),IF(A91="Клемма",IF(C91="","",IF(C91=$S$7,SUMIFS(Однолинейка!$BW$3:$BW$3000,Однолинейка!$A$3:$A$3000,Щит_спец),IF(C91=$S$8,SUMIFS(Однолинейка!$BX$3:$BX$3000,Однолинейка!$A$3:$A$3000,Щит_спец),""))),""))))</f>
        <v/>
      </c>
      <c r="O91" s="74"/>
      <c r="P91" s="38" t="str">
        <f t="shared" si="9"/>
        <v/>
      </c>
      <c r="U91" s="38" t="str">
        <f t="shared" si="10"/>
        <v/>
      </c>
      <c r="V91" s="38" t="str">
        <f t="shared" si="11"/>
        <v/>
      </c>
      <c r="W91" s="38" t="str">
        <f>IF(AND(U91&lt;&gt;"",OR($S$4="(все)",B91=$S$4),IF($S$4="(все)",COUNTIF($U$4:U91,U91),COUNTIFS($U$4:U91,U91,$B$4:B91,B91))=1),MAX($W$3:W90)+1,"")</f>
        <v/>
      </c>
      <c r="X91" s="38" t="str">
        <f t="shared" si="12"/>
        <v/>
      </c>
      <c r="Y91" s="38" t="str">
        <f>IF(AND(A91="Аппарат",C91&lt;&gt;"",OR($S$5="(все)",B91=$S$5)),MAX($Y$3:Y90)+1,"")</f>
        <v/>
      </c>
      <c r="Z91" s="38" t="str">
        <f t="shared" si="13"/>
        <v/>
      </c>
      <c r="AA91" s="38" t="str">
        <f>IF(AND(A91="Модуль",C91&lt;&gt;"",OR($S$6="(все)",B91=$S$6)),MAX($AA$3:AA90)+1,"")</f>
        <v/>
      </c>
      <c r="AB91" s="38" t="str">
        <f t="shared" si="14"/>
        <v/>
      </c>
      <c r="AC91" s="38" t="str">
        <f>IF(OR(B91="",COUNTIF($B$4:B91,B91)&gt;1),"",MAX($AC$3:AC90)+1)</f>
        <v/>
      </c>
      <c r="AD91" s="38" t="str">
        <f t="shared" si="15"/>
        <v/>
      </c>
      <c r="AE91" s="38" t="str">
        <f t="shared" si="16"/>
        <v/>
      </c>
      <c r="AF91" s="38" t="str">
        <f t="shared" si="17"/>
        <v/>
      </c>
    </row>
    <row r="92" spans="1:32" x14ac:dyDescent="0.3">
      <c r="A92" s="74" t="s">
        <v>613</v>
      </c>
      <c r="B92" s="74" t="s">
        <v>350</v>
      </c>
      <c r="C92" s="74" t="s">
        <v>357</v>
      </c>
      <c r="D92" s="74"/>
      <c r="E92" s="74"/>
      <c r="F92" s="74"/>
      <c r="G92" s="74" t="s">
        <v>356</v>
      </c>
      <c r="H92" s="74" t="s">
        <v>357</v>
      </c>
      <c r="I92" s="74"/>
      <c r="J92" s="74"/>
      <c r="K92" s="74"/>
      <c r="L92" s="74"/>
      <c r="M92" s="74" t="s">
        <v>351</v>
      </c>
      <c r="N92" s="38" t="str">
        <f>IF(OR(A92="Автомат",A92="Дифавтомат"),IF(W92="","",COUNTIFS(Однолинейка!$H$3:$H$3000,U92,Однолинейка!$A$3:$A$3000,Щит_спец)),IF(A92="Аппарат",IF(C92="","",COUNTIFS(Однолинейка!$I$3:$I$3000,C92,Однолинейка!$A$3:$A$3000,Щит_спец)+COUNTIFS(Однолинейка!$J$3:$J$3000,C92,Однолинейка!$A$3:$A$3000,Щит_спец)+COUNTIFS(Однолинейка!$K$3:$K$3000,C92,Однолинейка!$A$3:$A$3000,Щит_спец)),IF(A92="Модуль",IF(C92="","",COUNTIFS(Однолинейка!$AW$3:$AW$3000,"?*",Однолинейка!$AI$3:$AI$3000,C92,Однолинейка!$A$3:$A$3000,Щит_спец)),IF(A92="Клемма",IF(C92="","",IF(C92=$S$7,SUMIFS(Однолинейка!$BW$3:$BW$3000,Однолинейка!$A$3:$A$3000,Щит_спец),IF(C92=$S$8,SUMIFS(Однолинейка!$BX$3:$BX$3000,Однолинейка!$A$3:$A$3000,Щит_спец),""))),""))))</f>
        <v/>
      </c>
      <c r="O92" s="74"/>
      <c r="P92" s="38" t="str">
        <f t="shared" si="9"/>
        <v/>
      </c>
      <c r="U92" s="38" t="str">
        <f t="shared" si="10"/>
        <v/>
      </c>
      <c r="V92" s="38" t="str">
        <f t="shared" si="11"/>
        <v/>
      </c>
      <c r="W92" s="38" t="str">
        <f>IF(AND(U92&lt;&gt;"",OR($S$4="(все)",B92=$S$4),IF($S$4="(все)",COUNTIF($U$4:U92,U92),COUNTIFS($U$4:U92,U92,$B$4:B92,B92))=1),MAX($W$3:W91)+1,"")</f>
        <v/>
      </c>
      <c r="X92" s="38" t="str">
        <f t="shared" si="12"/>
        <v/>
      </c>
      <c r="Y92" s="38" t="str">
        <f>IF(AND(A92="Аппарат",C92&lt;&gt;"",OR($S$5="(все)",B92=$S$5)),MAX($Y$3:Y91)+1,"")</f>
        <v/>
      </c>
      <c r="Z92" s="38" t="str">
        <f t="shared" si="13"/>
        <v/>
      </c>
      <c r="AA92" s="38" t="str">
        <f>IF(AND(A92="Модуль",C92&lt;&gt;"",OR($S$6="(все)",B92=$S$6)),MAX($AA$3:AA91)+1,"")</f>
        <v/>
      </c>
      <c r="AB92" s="38" t="str">
        <f t="shared" si="14"/>
        <v/>
      </c>
      <c r="AC92" s="38" t="str">
        <f>IF(OR(B92="",COUNTIF($B$4:B92,B92)&gt;1),"",MAX($AC$3:AC91)+1)</f>
        <v/>
      </c>
      <c r="AD92" s="38" t="str">
        <f t="shared" si="15"/>
        <v/>
      </c>
      <c r="AE92" s="38" t="str">
        <f t="shared" si="16"/>
        <v/>
      </c>
      <c r="AF92" s="38" t="str">
        <f t="shared" si="17"/>
        <v/>
      </c>
    </row>
    <row r="93" spans="1:32" x14ac:dyDescent="0.3">
      <c r="A93" s="74" t="s">
        <v>613</v>
      </c>
      <c r="B93" s="74" t="s">
        <v>350</v>
      </c>
      <c r="C93" s="74" t="s">
        <v>359</v>
      </c>
      <c r="D93" s="74"/>
      <c r="E93" s="74"/>
      <c r="F93" s="74"/>
      <c r="G93" s="74" t="s">
        <v>358</v>
      </c>
      <c r="H93" s="74" t="s">
        <v>359</v>
      </c>
      <c r="I93" s="74"/>
      <c r="J93" s="74"/>
      <c r="K93" s="74"/>
      <c r="L93" s="74"/>
      <c r="M93" s="74" t="s">
        <v>351</v>
      </c>
      <c r="N93" s="38" t="str">
        <f>IF(OR(A93="Автомат",A93="Дифавтомат"),IF(W93="","",COUNTIFS(Однолинейка!$H$3:$H$3000,U93,Однолинейка!$A$3:$A$3000,Щит_спец)),IF(A93="Аппарат",IF(C93="","",COUNTIFS(Однолинейка!$I$3:$I$3000,C93,Однолинейка!$A$3:$A$3000,Щит_спец)+COUNTIFS(Однолинейка!$J$3:$J$3000,C93,Однолинейка!$A$3:$A$3000,Щит_спец)+COUNTIFS(Однолинейка!$K$3:$K$3000,C93,Однолинейка!$A$3:$A$3000,Щит_спец)),IF(A93="Модуль",IF(C93="","",COUNTIFS(Однолинейка!$AW$3:$AW$3000,"?*",Однолинейка!$AI$3:$AI$3000,C93,Однолинейка!$A$3:$A$3000,Щит_спец)),IF(A93="Клемма",IF(C93="","",IF(C93=$S$7,SUMIFS(Однолинейка!$BW$3:$BW$3000,Однолинейка!$A$3:$A$3000,Щит_спец),IF(C93=$S$8,SUMIFS(Однолинейка!$BX$3:$BX$3000,Однолинейка!$A$3:$A$3000,Щит_спец),""))),""))))</f>
        <v/>
      </c>
      <c r="O93" s="74"/>
      <c r="P93" s="38" t="str">
        <f t="shared" si="9"/>
        <v/>
      </c>
      <c r="U93" s="38" t="str">
        <f t="shared" si="10"/>
        <v/>
      </c>
      <c r="V93" s="38" t="str">
        <f t="shared" si="11"/>
        <v/>
      </c>
      <c r="W93" s="38" t="str">
        <f>IF(AND(U93&lt;&gt;"",OR($S$4="(все)",B93=$S$4),IF($S$4="(все)",COUNTIF($U$4:U93,U93),COUNTIFS($U$4:U93,U93,$B$4:B93,B93))=1),MAX($W$3:W92)+1,"")</f>
        <v/>
      </c>
      <c r="X93" s="38" t="str">
        <f t="shared" si="12"/>
        <v/>
      </c>
      <c r="Y93" s="38" t="str">
        <f>IF(AND(A93="Аппарат",C93&lt;&gt;"",OR($S$5="(все)",B93=$S$5)),MAX($Y$3:Y92)+1,"")</f>
        <v/>
      </c>
      <c r="Z93" s="38" t="str">
        <f t="shared" si="13"/>
        <v/>
      </c>
      <c r="AA93" s="38" t="str">
        <f>IF(AND(A93="Модуль",C93&lt;&gt;"",OR($S$6="(все)",B93=$S$6)),MAX($AA$3:AA92)+1,"")</f>
        <v/>
      </c>
      <c r="AB93" s="38" t="str">
        <f t="shared" si="14"/>
        <v/>
      </c>
      <c r="AC93" s="38" t="str">
        <f>IF(OR(B93="",COUNTIF($B$4:B93,B93)&gt;1),"",MAX($AC$3:AC92)+1)</f>
        <v/>
      </c>
      <c r="AD93" s="38" t="str">
        <f t="shared" si="15"/>
        <v/>
      </c>
      <c r="AE93" s="38" t="str">
        <f t="shared" si="16"/>
        <v/>
      </c>
      <c r="AF93" s="38" t="str">
        <f t="shared" si="17"/>
        <v/>
      </c>
    </row>
    <row r="94" spans="1:32" x14ac:dyDescent="0.3">
      <c r="A94" s="74" t="s">
        <v>613</v>
      </c>
      <c r="B94" s="74" t="s">
        <v>350</v>
      </c>
      <c r="C94" s="74" t="s">
        <v>723</v>
      </c>
      <c r="D94" s="74"/>
      <c r="E94" s="74"/>
      <c r="F94" s="74"/>
      <c r="G94" s="74" t="s">
        <v>389</v>
      </c>
      <c r="H94" s="74" t="s">
        <v>723</v>
      </c>
      <c r="I94" s="74"/>
      <c r="J94" s="74"/>
      <c r="K94" s="74"/>
      <c r="L94" s="74"/>
      <c r="M94" s="74" t="s">
        <v>289</v>
      </c>
      <c r="N94" s="38" t="str">
        <f>IF(OR(A94="Автомат",A94="Дифавтомат"),IF(W94="","",COUNTIFS(Однолинейка!$H$3:$H$3000,U94,Однолинейка!$A$3:$A$3000,Щит_спец)),IF(A94="Аппарат",IF(C94="","",COUNTIFS(Однолинейка!$I$3:$I$3000,C94,Однолинейка!$A$3:$A$3000,Щит_спец)+COUNTIFS(Однолинейка!$J$3:$J$3000,C94,Однолинейка!$A$3:$A$3000,Щит_спец)+COUNTIFS(Однолинейка!$K$3:$K$3000,C94,Однолинейка!$A$3:$A$3000,Щит_спец)),IF(A94="Модуль",IF(C94="","",COUNTIFS(Однолинейка!$AW$3:$AW$3000,"?*",Однолинейка!$AI$3:$AI$3000,C94,Однолинейка!$A$3:$A$3000,Щит_спец)),IF(A94="Клемма",IF(C94="","",IF(C94=$S$7,SUMIFS(Однолинейка!$BW$3:$BW$3000,Однолинейка!$A$3:$A$3000,Щит_спец),IF(C94=$S$8,SUMIFS(Однолинейка!$BX$3:$BX$3000,Однолинейка!$A$3:$A$3000,Щит_спец),""))),""))))</f>
        <v/>
      </c>
      <c r="O94" s="74"/>
      <c r="P94" s="38" t="str">
        <f t="shared" si="9"/>
        <v/>
      </c>
      <c r="U94" s="38" t="str">
        <f t="shared" si="10"/>
        <v/>
      </c>
      <c r="V94" s="38" t="str">
        <f t="shared" si="11"/>
        <v/>
      </c>
      <c r="W94" s="38" t="str">
        <f>IF(AND(U94&lt;&gt;"",OR($S$4="(все)",B94=$S$4),IF($S$4="(все)",COUNTIF($U$4:U94,U94),COUNTIFS($U$4:U94,U94,$B$4:B94,B94))=1),MAX($W$3:W93)+1,"")</f>
        <v/>
      </c>
      <c r="X94" s="38" t="str">
        <f t="shared" si="12"/>
        <v/>
      </c>
      <c r="Y94" s="38" t="str">
        <f>IF(AND(A94="Аппарат",C94&lt;&gt;"",OR($S$5="(все)",B94=$S$5)),MAX($Y$3:Y93)+1,"")</f>
        <v/>
      </c>
      <c r="Z94" s="38" t="str">
        <f t="shared" si="13"/>
        <v/>
      </c>
      <c r="AA94" s="38" t="str">
        <f>IF(AND(A94="Модуль",C94&lt;&gt;"",OR($S$6="(все)",B94=$S$6)),MAX($AA$3:AA93)+1,"")</f>
        <v/>
      </c>
      <c r="AB94" s="38" t="str">
        <f t="shared" si="14"/>
        <v/>
      </c>
      <c r="AC94" s="38" t="str">
        <f>IF(OR(B94="",COUNTIF($B$4:B94,B94)&gt;1),"",MAX($AC$3:AC93)+1)</f>
        <v/>
      </c>
      <c r="AD94" s="38" t="str">
        <f t="shared" si="15"/>
        <v/>
      </c>
      <c r="AE94" s="38" t="str">
        <f t="shared" si="16"/>
        <v/>
      </c>
      <c r="AF94" s="38" t="str">
        <f t="shared" si="17"/>
        <v/>
      </c>
    </row>
    <row r="95" spans="1:32" x14ac:dyDescent="0.3">
      <c r="A95" s="74" t="s">
        <v>613</v>
      </c>
      <c r="B95" s="74" t="s">
        <v>350</v>
      </c>
      <c r="C95" s="74" t="s">
        <v>724</v>
      </c>
      <c r="D95" s="74"/>
      <c r="E95" s="74"/>
      <c r="F95" s="74"/>
      <c r="G95" s="74" t="s">
        <v>390</v>
      </c>
      <c r="H95" s="74" t="s">
        <v>724</v>
      </c>
      <c r="I95" s="74"/>
      <c r="J95" s="74"/>
      <c r="K95" s="74"/>
      <c r="L95" s="74"/>
      <c r="M95" s="74" t="s">
        <v>289</v>
      </c>
      <c r="N95" s="38" t="str">
        <f>IF(OR(A95="Автомат",A95="Дифавтомат"),IF(W95="","",COUNTIFS(Однолинейка!$H$3:$H$3000,U95,Однолинейка!$A$3:$A$3000,Щит_спец)),IF(A95="Аппарат",IF(C95="","",COUNTIFS(Однолинейка!$I$3:$I$3000,C95,Однолинейка!$A$3:$A$3000,Щит_спец)+COUNTIFS(Однолинейка!$J$3:$J$3000,C95,Однолинейка!$A$3:$A$3000,Щит_спец)+COUNTIFS(Однолинейка!$K$3:$K$3000,C95,Однолинейка!$A$3:$A$3000,Щит_спец)),IF(A95="Модуль",IF(C95="","",COUNTIFS(Однолинейка!$AW$3:$AW$3000,"?*",Однолинейка!$AI$3:$AI$3000,C95,Однолинейка!$A$3:$A$3000,Щит_спец)),IF(A95="Клемма",IF(C95="","",IF(C95=$S$7,SUMIFS(Однолинейка!$BW$3:$BW$3000,Однолинейка!$A$3:$A$3000,Щит_спец),IF(C95=$S$8,SUMIFS(Однолинейка!$BX$3:$BX$3000,Однолинейка!$A$3:$A$3000,Щит_спец),""))),""))))</f>
        <v/>
      </c>
      <c r="O95" s="74"/>
      <c r="P95" s="38" t="str">
        <f t="shared" si="9"/>
        <v/>
      </c>
      <c r="U95" s="38" t="str">
        <f t="shared" si="10"/>
        <v/>
      </c>
      <c r="V95" s="38" t="str">
        <f t="shared" si="11"/>
        <v/>
      </c>
      <c r="W95" s="38" t="str">
        <f>IF(AND(U95&lt;&gt;"",OR($S$4="(все)",B95=$S$4),IF($S$4="(все)",COUNTIF($U$4:U95,U95),COUNTIFS($U$4:U95,U95,$B$4:B95,B95))=1),MAX($W$3:W94)+1,"")</f>
        <v/>
      </c>
      <c r="X95" s="38" t="str">
        <f t="shared" si="12"/>
        <v/>
      </c>
      <c r="Y95" s="38" t="str">
        <f>IF(AND(A95="Аппарат",C95&lt;&gt;"",OR($S$5="(все)",B95=$S$5)),MAX($Y$3:Y94)+1,"")</f>
        <v/>
      </c>
      <c r="Z95" s="38" t="str">
        <f t="shared" si="13"/>
        <v/>
      </c>
      <c r="AA95" s="38" t="str">
        <f>IF(AND(A95="Модуль",C95&lt;&gt;"",OR($S$6="(все)",B95=$S$6)),MAX($AA$3:AA94)+1,"")</f>
        <v/>
      </c>
      <c r="AB95" s="38" t="str">
        <f t="shared" si="14"/>
        <v/>
      </c>
      <c r="AC95" s="38" t="str">
        <f>IF(OR(B95="",COUNTIF($B$4:B95,B95)&gt;1),"",MAX($AC$3:AC94)+1)</f>
        <v/>
      </c>
      <c r="AD95" s="38" t="str">
        <f t="shared" si="15"/>
        <v/>
      </c>
      <c r="AE95" s="38" t="str">
        <f t="shared" si="16"/>
        <v/>
      </c>
      <c r="AF95" s="38" t="str">
        <f t="shared" si="17"/>
        <v/>
      </c>
    </row>
    <row r="96" spans="1:32" x14ac:dyDescent="0.3">
      <c r="A96" s="74" t="s">
        <v>613</v>
      </c>
      <c r="B96" s="74" t="s">
        <v>306</v>
      </c>
      <c r="C96" s="74" t="s">
        <v>361</v>
      </c>
      <c r="D96" s="74"/>
      <c r="E96" s="74"/>
      <c r="F96" s="74"/>
      <c r="G96" s="74" t="s">
        <v>360</v>
      </c>
      <c r="H96" s="74" t="s">
        <v>361</v>
      </c>
      <c r="I96" s="74"/>
      <c r="J96" s="74"/>
      <c r="K96" s="74"/>
      <c r="L96" s="74"/>
      <c r="M96" s="74" t="s">
        <v>289</v>
      </c>
      <c r="N96" s="38" t="str">
        <f>IF(OR(A96="Автомат",A96="Дифавтомат"),IF(W96="","",COUNTIFS(Однолинейка!$H$3:$H$3000,U96,Однолинейка!$A$3:$A$3000,Щит_спец)),IF(A96="Аппарат",IF(C96="","",COUNTIFS(Однолинейка!$I$3:$I$3000,C96,Однолинейка!$A$3:$A$3000,Щит_спец)+COUNTIFS(Однолинейка!$J$3:$J$3000,C96,Однолинейка!$A$3:$A$3000,Щит_спец)+COUNTIFS(Однолинейка!$K$3:$K$3000,C96,Однолинейка!$A$3:$A$3000,Щит_спец)),IF(A96="Модуль",IF(C96="","",COUNTIFS(Однолинейка!$AW$3:$AW$3000,"?*",Однолинейка!$AI$3:$AI$3000,C96,Однолинейка!$A$3:$A$3000,Щит_спец)),IF(A96="Клемма",IF(C96="","",IF(C96=$S$7,SUMIFS(Однолинейка!$BW$3:$BW$3000,Однолинейка!$A$3:$A$3000,Щит_спец),IF(C96=$S$8,SUMIFS(Однолинейка!$BX$3:$BX$3000,Однолинейка!$A$3:$A$3000,Щит_спец),""))),""))))</f>
        <v/>
      </c>
      <c r="O96" s="74"/>
      <c r="P96" s="38" t="str">
        <f t="shared" si="9"/>
        <v/>
      </c>
      <c r="U96" s="38" t="str">
        <f t="shared" si="10"/>
        <v/>
      </c>
      <c r="V96" s="38" t="str">
        <f t="shared" si="11"/>
        <v/>
      </c>
      <c r="W96" s="38" t="str">
        <f>IF(AND(U96&lt;&gt;"",OR($S$4="(все)",B96=$S$4),IF($S$4="(все)",COUNTIF($U$4:U96,U96),COUNTIFS($U$4:U96,U96,$B$4:B96,B96))=1),MAX($W$3:W95)+1,"")</f>
        <v/>
      </c>
      <c r="X96" s="38" t="str">
        <f t="shared" si="12"/>
        <v/>
      </c>
      <c r="Y96" s="38" t="str">
        <f>IF(AND(A96="Аппарат",C96&lt;&gt;"",OR($S$5="(все)",B96=$S$5)),MAX($Y$3:Y95)+1,"")</f>
        <v/>
      </c>
      <c r="Z96" s="38" t="str">
        <f t="shared" si="13"/>
        <v/>
      </c>
      <c r="AA96" s="38" t="str">
        <f>IF(AND(A96="Модуль",C96&lt;&gt;"",OR($S$6="(все)",B96=$S$6)),MAX($AA$3:AA95)+1,"")</f>
        <v/>
      </c>
      <c r="AB96" s="38" t="str">
        <f t="shared" si="14"/>
        <v/>
      </c>
      <c r="AC96" s="38" t="str">
        <f>IF(OR(B96="",COUNTIF($B$4:B96,B96)&gt;1),"",MAX($AC$3:AC95)+1)</f>
        <v/>
      </c>
      <c r="AD96" s="38" t="str">
        <f t="shared" si="15"/>
        <v/>
      </c>
      <c r="AE96" s="38" t="str">
        <f t="shared" si="16"/>
        <v/>
      </c>
      <c r="AF96" s="38" t="str">
        <f t="shared" si="17"/>
        <v/>
      </c>
    </row>
    <row r="97" spans="1:32" x14ac:dyDescent="0.3">
      <c r="A97" s="74" t="s">
        <v>613</v>
      </c>
      <c r="B97" s="74" t="s">
        <v>286</v>
      </c>
      <c r="C97" s="74" t="s">
        <v>363</v>
      </c>
      <c r="D97" s="74"/>
      <c r="E97" s="74"/>
      <c r="F97" s="74"/>
      <c r="G97" s="74" t="s">
        <v>362</v>
      </c>
      <c r="H97" s="74" t="s">
        <v>363</v>
      </c>
      <c r="I97" s="74"/>
      <c r="J97" s="74"/>
      <c r="K97" s="74"/>
      <c r="L97" s="74"/>
      <c r="M97" s="74" t="s">
        <v>289</v>
      </c>
      <c r="N97" s="38" t="str">
        <f>IF(OR(A97="Автомат",A97="Дифавтомат"),IF(W97="","",COUNTIFS(Однолинейка!$H$3:$H$3000,U97,Однолинейка!$A$3:$A$3000,Щит_спец)),IF(A97="Аппарат",IF(C97="","",COUNTIFS(Однолинейка!$I$3:$I$3000,C97,Однолинейка!$A$3:$A$3000,Щит_спец)+COUNTIFS(Однолинейка!$J$3:$J$3000,C97,Однолинейка!$A$3:$A$3000,Щит_спец)+COUNTIFS(Однолинейка!$K$3:$K$3000,C97,Однолинейка!$A$3:$A$3000,Щит_спец)),IF(A97="Модуль",IF(C97="","",COUNTIFS(Однолинейка!$AW$3:$AW$3000,"?*",Однолинейка!$AI$3:$AI$3000,C97,Однолинейка!$A$3:$A$3000,Щит_спец)),IF(A97="Клемма",IF(C97="","",IF(C97=$S$7,SUMIFS(Однолинейка!$BW$3:$BW$3000,Однолинейка!$A$3:$A$3000,Щит_спец),IF(C97=$S$8,SUMIFS(Однолинейка!$BX$3:$BX$3000,Однолинейка!$A$3:$A$3000,Щит_спец),""))),""))))</f>
        <v/>
      </c>
      <c r="O97" s="74"/>
      <c r="P97" s="38" t="str">
        <f t="shared" si="9"/>
        <v/>
      </c>
      <c r="U97" s="38" t="str">
        <f t="shared" si="10"/>
        <v/>
      </c>
      <c r="V97" s="38" t="str">
        <f t="shared" si="11"/>
        <v/>
      </c>
      <c r="W97" s="38" t="str">
        <f>IF(AND(U97&lt;&gt;"",OR($S$4="(все)",B97=$S$4),IF($S$4="(все)",COUNTIF($U$4:U97,U97),COUNTIFS($U$4:U97,U97,$B$4:B97,B97))=1),MAX($W$3:W96)+1,"")</f>
        <v/>
      </c>
      <c r="X97" s="38" t="str">
        <f t="shared" si="12"/>
        <v/>
      </c>
      <c r="Y97" s="38" t="str">
        <f>IF(AND(A97="Аппарат",C97&lt;&gt;"",OR($S$5="(все)",B97=$S$5)),MAX($Y$3:Y96)+1,"")</f>
        <v/>
      </c>
      <c r="Z97" s="38" t="str">
        <f t="shared" si="13"/>
        <v/>
      </c>
      <c r="AA97" s="38" t="str">
        <f>IF(AND(A97="Модуль",C97&lt;&gt;"",OR($S$6="(все)",B97=$S$6)),MAX($AA$3:AA96)+1,"")</f>
        <v/>
      </c>
      <c r="AB97" s="38" t="str">
        <f t="shared" si="14"/>
        <v/>
      </c>
      <c r="AC97" s="38" t="str">
        <f>IF(OR(B97="",COUNTIF($B$4:B97,B97)&gt;1),"",MAX($AC$3:AC96)+1)</f>
        <v/>
      </c>
      <c r="AD97" s="38" t="str">
        <f t="shared" si="15"/>
        <v/>
      </c>
      <c r="AE97" s="38" t="str">
        <f t="shared" si="16"/>
        <v/>
      </c>
      <c r="AF97" s="38" t="str">
        <f t="shared" si="17"/>
        <v/>
      </c>
    </row>
    <row r="98" spans="1:32" x14ac:dyDescent="0.3">
      <c r="A98" s="74" t="s">
        <v>613</v>
      </c>
      <c r="B98" s="74" t="s">
        <v>286</v>
      </c>
      <c r="C98" s="74" t="s">
        <v>365</v>
      </c>
      <c r="D98" s="74"/>
      <c r="E98" s="74"/>
      <c r="F98" s="74"/>
      <c r="G98" s="74" t="s">
        <v>364</v>
      </c>
      <c r="H98" s="74" t="s">
        <v>365</v>
      </c>
      <c r="I98" s="74"/>
      <c r="J98" s="74"/>
      <c r="K98" s="74"/>
      <c r="L98" s="74"/>
      <c r="M98" s="74" t="s">
        <v>289</v>
      </c>
      <c r="N98" s="38" t="str">
        <f>IF(OR(A98="Автомат",A98="Дифавтомат"),IF(W98="","",COUNTIFS(Однолинейка!$H$3:$H$3000,U98,Однолинейка!$A$3:$A$3000,Щит_спец)),IF(A98="Аппарат",IF(C98="","",COUNTIFS(Однолинейка!$I$3:$I$3000,C98,Однолинейка!$A$3:$A$3000,Щит_спец)+COUNTIFS(Однолинейка!$J$3:$J$3000,C98,Однолинейка!$A$3:$A$3000,Щит_спец)+COUNTIFS(Однолинейка!$K$3:$K$3000,C98,Однолинейка!$A$3:$A$3000,Щит_спец)),IF(A98="Модуль",IF(C98="","",COUNTIFS(Однолинейка!$AW$3:$AW$3000,"?*",Однолинейка!$AI$3:$AI$3000,C98,Однолинейка!$A$3:$A$3000,Щит_спец)),IF(A98="Клемма",IF(C98="","",IF(C98=$S$7,SUMIFS(Однолинейка!$BW$3:$BW$3000,Однолинейка!$A$3:$A$3000,Щит_спец),IF(C98=$S$8,SUMIFS(Однолинейка!$BX$3:$BX$3000,Однолинейка!$A$3:$A$3000,Щит_спец),""))),""))))</f>
        <v/>
      </c>
      <c r="O98" s="74"/>
      <c r="P98" s="38" t="str">
        <f t="shared" si="9"/>
        <v/>
      </c>
      <c r="U98" s="38" t="str">
        <f t="shared" si="10"/>
        <v/>
      </c>
      <c r="V98" s="38" t="str">
        <f t="shared" si="11"/>
        <v/>
      </c>
      <c r="W98" s="38" t="str">
        <f>IF(AND(U98&lt;&gt;"",OR($S$4="(все)",B98=$S$4),IF($S$4="(все)",COUNTIF($U$4:U98,U98),COUNTIFS($U$4:U98,U98,$B$4:B98,B98))=1),MAX($W$3:W97)+1,"")</f>
        <v/>
      </c>
      <c r="X98" s="38" t="str">
        <f t="shared" si="12"/>
        <v/>
      </c>
      <c r="Y98" s="38" t="str">
        <f>IF(AND(A98="Аппарат",C98&lt;&gt;"",OR($S$5="(все)",B98=$S$5)),MAX($Y$3:Y97)+1,"")</f>
        <v/>
      </c>
      <c r="Z98" s="38" t="str">
        <f t="shared" si="13"/>
        <v/>
      </c>
      <c r="AA98" s="38" t="str">
        <f>IF(AND(A98="Модуль",C98&lt;&gt;"",OR($S$6="(все)",B98=$S$6)),MAX($AA$3:AA97)+1,"")</f>
        <v/>
      </c>
      <c r="AB98" s="38" t="str">
        <f t="shared" si="14"/>
        <v/>
      </c>
      <c r="AC98" s="38" t="str">
        <f>IF(OR(B98="",COUNTIF($B$4:B98,B98)&gt;1),"",MAX($AC$3:AC97)+1)</f>
        <v/>
      </c>
      <c r="AD98" s="38" t="str">
        <f t="shared" si="15"/>
        <v/>
      </c>
      <c r="AE98" s="38" t="str">
        <f t="shared" si="16"/>
        <v/>
      </c>
      <c r="AF98" s="38" t="str">
        <f t="shared" si="17"/>
        <v/>
      </c>
    </row>
    <row r="99" spans="1:32" x14ac:dyDescent="0.3">
      <c r="A99" s="74" t="s">
        <v>613</v>
      </c>
      <c r="B99" s="74" t="s">
        <v>286</v>
      </c>
      <c r="C99" s="74" t="s">
        <v>367</v>
      </c>
      <c r="D99" s="74"/>
      <c r="E99" s="74"/>
      <c r="F99" s="74"/>
      <c r="G99" s="74" t="s">
        <v>366</v>
      </c>
      <c r="H99" s="74" t="s">
        <v>367</v>
      </c>
      <c r="I99" s="74"/>
      <c r="J99" s="74"/>
      <c r="K99" s="74"/>
      <c r="L99" s="74"/>
      <c r="M99" s="74" t="s">
        <v>289</v>
      </c>
      <c r="N99" s="38" t="str">
        <f>IF(OR(A99="Автомат",A99="Дифавтомат"),IF(W99="","",COUNTIFS(Однолинейка!$H$3:$H$3000,U99,Однолинейка!$A$3:$A$3000,Щит_спец)),IF(A99="Аппарат",IF(C99="","",COUNTIFS(Однолинейка!$I$3:$I$3000,C99,Однолинейка!$A$3:$A$3000,Щит_спец)+COUNTIFS(Однолинейка!$J$3:$J$3000,C99,Однолинейка!$A$3:$A$3000,Щит_спец)+COUNTIFS(Однолинейка!$K$3:$K$3000,C99,Однолинейка!$A$3:$A$3000,Щит_спец)),IF(A99="Модуль",IF(C99="","",COUNTIFS(Однолинейка!$AW$3:$AW$3000,"?*",Однолинейка!$AI$3:$AI$3000,C99,Однолинейка!$A$3:$A$3000,Щит_спец)),IF(A99="Клемма",IF(C99="","",IF(C99=$S$7,SUMIFS(Однолинейка!$BW$3:$BW$3000,Однолинейка!$A$3:$A$3000,Щит_спец),IF(C99=$S$8,SUMIFS(Однолинейка!$BX$3:$BX$3000,Однолинейка!$A$3:$A$3000,Щит_спец),""))),""))))</f>
        <v/>
      </c>
      <c r="O99" s="74"/>
      <c r="P99" s="38" t="str">
        <f t="shared" si="9"/>
        <v/>
      </c>
      <c r="U99" s="38" t="str">
        <f t="shared" si="10"/>
        <v/>
      </c>
      <c r="V99" s="38" t="str">
        <f t="shared" si="11"/>
        <v/>
      </c>
      <c r="W99" s="38" t="str">
        <f>IF(AND(U99&lt;&gt;"",OR($S$4="(все)",B99=$S$4),IF($S$4="(все)",COUNTIF($U$4:U99,U99),COUNTIFS($U$4:U99,U99,$B$4:B99,B99))=1),MAX($W$3:W98)+1,"")</f>
        <v/>
      </c>
      <c r="X99" s="38" t="str">
        <f t="shared" si="12"/>
        <v/>
      </c>
      <c r="Y99" s="38" t="str">
        <f>IF(AND(A99="Аппарат",C99&lt;&gt;"",OR($S$5="(все)",B99=$S$5)),MAX($Y$3:Y98)+1,"")</f>
        <v/>
      </c>
      <c r="Z99" s="38" t="str">
        <f t="shared" si="13"/>
        <v/>
      </c>
      <c r="AA99" s="38" t="str">
        <f>IF(AND(A99="Модуль",C99&lt;&gt;"",OR($S$6="(все)",B99=$S$6)),MAX($AA$3:AA98)+1,"")</f>
        <v/>
      </c>
      <c r="AB99" s="38" t="str">
        <f t="shared" si="14"/>
        <v/>
      </c>
      <c r="AC99" s="38" t="str">
        <f>IF(OR(B99="",COUNTIF($B$4:B99,B99)&gt;1),"",MAX($AC$3:AC98)+1)</f>
        <v/>
      </c>
      <c r="AD99" s="38" t="str">
        <f t="shared" si="15"/>
        <v/>
      </c>
      <c r="AE99" s="38" t="str">
        <f t="shared" si="16"/>
        <v/>
      </c>
      <c r="AF99" s="38" t="str">
        <f t="shared" si="17"/>
        <v/>
      </c>
    </row>
    <row r="100" spans="1:32" x14ac:dyDescent="0.3">
      <c r="A100" s="74" t="s">
        <v>613</v>
      </c>
      <c r="B100" s="74"/>
      <c r="C100" s="74" t="s">
        <v>725</v>
      </c>
      <c r="D100" s="74"/>
      <c r="E100" s="74"/>
      <c r="F100" s="74"/>
      <c r="G100" s="74" t="s">
        <v>368</v>
      </c>
      <c r="H100" s="74"/>
      <c r="I100" s="74"/>
      <c r="J100" s="74"/>
      <c r="K100" s="74"/>
      <c r="L100" s="74"/>
      <c r="M100" s="74" t="s">
        <v>369</v>
      </c>
      <c r="N100" s="38" t="str">
        <f>IF(OR(A100="Автомат",A100="Дифавтомат"),IF(W100="","",COUNTIFS(Однолинейка!$H$3:$H$3000,U100,Однолинейка!$A$3:$A$3000,Щит_спец)),IF(A100="Аппарат",IF(C100="","",COUNTIFS(Однолинейка!$I$3:$I$3000,C100,Однолинейка!$A$3:$A$3000,Щит_спец)+COUNTIFS(Однолинейка!$J$3:$J$3000,C100,Однолинейка!$A$3:$A$3000,Щит_спец)+COUNTIFS(Однолинейка!$K$3:$K$3000,C100,Однолинейка!$A$3:$A$3000,Щит_спец)),IF(A100="Модуль",IF(C100="","",COUNTIFS(Однолинейка!$AW$3:$AW$3000,"?*",Однолинейка!$AI$3:$AI$3000,C100,Однолинейка!$A$3:$A$3000,Щит_спец)),IF(A100="Клемма",IF(C100="","",IF(C100=$S$7,SUMIFS(Однолинейка!$BW$3:$BW$3000,Однолинейка!$A$3:$A$3000,Щит_спец),IF(C100=$S$8,SUMIFS(Однолинейка!$BX$3:$BX$3000,Однолинейка!$A$3:$A$3000,Щит_спец),""))),""))))</f>
        <v/>
      </c>
      <c r="O100" s="74"/>
      <c r="P100" s="38" t="str">
        <f t="shared" si="9"/>
        <v/>
      </c>
      <c r="U100" s="38" t="str">
        <f t="shared" si="10"/>
        <v/>
      </c>
      <c r="V100" s="38" t="str">
        <f t="shared" si="11"/>
        <v/>
      </c>
      <c r="W100" s="38" t="str">
        <f>IF(AND(U100&lt;&gt;"",OR($S$4="(все)",B100=$S$4),IF($S$4="(все)",COUNTIF($U$4:U100,U100),COUNTIFS($U$4:U100,U100,$B$4:B100,B100))=1),MAX($W$3:W99)+1,"")</f>
        <v/>
      </c>
      <c r="X100" s="38" t="str">
        <f t="shared" si="12"/>
        <v/>
      </c>
      <c r="Y100" s="38" t="str">
        <f>IF(AND(A100="Аппарат",C100&lt;&gt;"",OR($S$5="(все)",B100=$S$5)),MAX($Y$3:Y99)+1,"")</f>
        <v/>
      </c>
      <c r="Z100" s="38" t="str">
        <f t="shared" si="13"/>
        <v/>
      </c>
      <c r="AA100" s="38" t="str">
        <f>IF(AND(A100="Модуль",C100&lt;&gt;"",OR($S$6="(все)",B100=$S$6)),MAX($AA$3:AA99)+1,"")</f>
        <v/>
      </c>
      <c r="AB100" s="38" t="str">
        <f t="shared" si="14"/>
        <v/>
      </c>
      <c r="AC100" s="38" t="str">
        <f>IF(OR(B100="",COUNTIF($B$4:B100,B100)&gt;1),"",MAX($AC$3:AC99)+1)</f>
        <v/>
      </c>
      <c r="AD100" s="38" t="str">
        <f t="shared" si="15"/>
        <v/>
      </c>
      <c r="AE100" s="38" t="str">
        <f t="shared" si="16"/>
        <v/>
      </c>
      <c r="AF100" s="38" t="str">
        <f t="shared" si="17"/>
        <v/>
      </c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38" t="str">
        <f>IF(OR(A101="Автомат",A101="Дифавтомат"),IF(W101="","",COUNTIFS(Однолинейка!$H$3:$H$3000,U101,Однолинейка!$A$3:$A$3000,Щит_спец)),IF(A101="Аппарат",IF(C101="","",COUNTIFS(Однолинейка!$I$3:$I$3000,C101,Однолинейка!$A$3:$A$3000,Щит_спец)+COUNTIFS(Однолинейка!$J$3:$J$3000,C101,Однолинейка!$A$3:$A$3000,Щит_спец)+COUNTIFS(Однолинейка!$K$3:$K$3000,C101,Однолинейка!$A$3:$A$3000,Щит_спец)),IF(A101="Модуль",IF(C101="","",COUNTIFS(Однолинейка!$AW$3:$AW$3000,"?*",Однолинейка!$AI$3:$AI$3000,C101,Однолинейка!$A$3:$A$3000,Щит_спец)),IF(A101="Клемма",IF(C101="","",IF(C101=$S$7,SUMIFS(Однолинейка!$BW$3:$BW$3000,Однолинейка!$A$3:$A$3000,Щит_спец),IF(C101=$S$8,SUMIFS(Однолинейка!$BX$3:$BX$3000,Однолинейка!$A$3:$A$3000,Щит_спец),""))),""))))</f>
        <v/>
      </c>
      <c r="O101" s="74"/>
      <c r="P101" s="38" t="str">
        <f t="shared" si="9"/>
        <v/>
      </c>
      <c r="U101" s="38" t="str">
        <f t="shared" si="10"/>
        <v/>
      </c>
      <c r="V101" s="38" t="str">
        <f t="shared" si="11"/>
        <v/>
      </c>
      <c r="W101" s="38" t="str">
        <f>IF(AND(U101&lt;&gt;"",OR($S$4="(все)",B101=$S$4),IF($S$4="(все)",COUNTIF($U$4:U101,U101),COUNTIFS($U$4:U101,U101,$B$4:B101,B101))=1),MAX($W$3:W100)+1,"")</f>
        <v/>
      </c>
      <c r="X101" s="38" t="str">
        <f t="shared" si="12"/>
        <v/>
      </c>
      <c r="Y101" s="38" t="str">
        <f>IF(AND(A101="Аппарат",C101&lt;&gt;"",OR($S$5="(все)",B101=$S$5)),MAX($Y$3:Y100)+1,"")</f>
        <v/>
      </c>
      <c r="Z101" s="38" t="str">
        <f t="shared" si="13"/>
        <v/>
      </c>
      <c r="AA101" s="38" t="str">
        <f>IF(AND(A101="Модуль",C101&lt;&gt;"",OR($S$6="(все)",B101=$S$6)),MAX($AA$3:AA100)+1,"")</f>
        <v/>
      </c>
      <c r="AB101" s="38" t="str">
        <f t="shared" si="14"/>
        <v/>
      </c>
      <c r="AC101" s="38" t="str">
        <f>IF(OR(B101="",COUNTIF($B$4:B101,B101)&gt;1),"",MAX($AC$3:AC100)+1)</f>
        <v/>
      </c>
      <c r="AD101" s="38" t="str">
        <f t="shared" si="15"/>
        <v/>
      </c>
      <c r="AE101" s="38" t="str">
        <f t="shared" si="16"/>
        <v/>
      </c>
      <c r="AF101" s="38" t="str">
        <f t="shared" si="17"/>
        <v/>
      </c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38" t="str">
        <f>IF(OR(A102="Автомат",A102="Дифавтомат"),IF(W102="","",COUNTIFS(Однолинейка!$H$3:$H$3000,U102,Однолинейка!$A$3:$A$3000,Щит_спец)),IF(A102="Аппарат",IF(C102="","",COUNTIFS(Однолинейка!$I$3:$I$3000,C102,Однолинейка!$A$3:$A$3000,Щит_спец)+COUNTIFS(Однолинейка!$J$3:$J$3000,C102,Однолинейка!$A$3:$A$3000,Щит_спец)+COUNTIFS(Однолинейка!$K$3:$K$3000,C102,Однолинейка!$A$3:$A$3000,Щит_спец)),IF(A102="Модуль",IF(C102="","",COUNTIFS(Однолинейка!$AW$3:$AW$3000,"?*",Однолинейка!$AI$3:$AI$3000,C102,Однолинейка!$A$3:$A$3000,Щит_спец)),IF(A102="Клемма",IF(C102="","",IF(C102=$S$7,SUMIFS(Однолинейка!$BW$3:$BW$3000,Однолинейка!$A$3:$A$3000,Щит_спец),IF(C102=$S$8,SUMIFS(Однолинейка!$BX$3:$BX$3000,Однолинейка!$A$3:$A$3000,Щит_спец),""))),""))))</f>
        <v/>
      </c>
      <c r="O102" s="74"/>
      <c r="P102" s="38" t="str">
        <f t="shared" si="9"/>
        <v/>
      </c>
      <c r="U102" s="38" t="str">
        <f t="shared" si="10"/>
        <v/>
      </c>
      <c r="V102" s="38" t="str">
        <f t="shared" si="11"/>
        <v/>
      </c>
      <c r="W102" s="38" t="str">
        <f>IF(AND(U102&lt;&gt;"",OR($S$4="(все)",B102=$S$4),IF($S$4="(все)",COUNTIF($U$4:U102,U102),COUNTIFS($U$4:U102,U102,$B$4:B102,B102))=1),MAX($W$3:W101)+1,"")</f>
        <v/>
      </c>
      <c r="X102" s="38" t="str">
        <f t="shared" si="12"/>
        <v/>
      </c>
      <c r="Y102" s="38" t="str">
        <f>IF(AND(A102="Аппарат",C102&lt;&gt;"",OR($S$5="(все)",B102=$S$5)),MAX($Y$3:Y101)+1,"")</f>
        <v/>
      </c>
      <c r="Z102" s="38" t="str">
        <f t="shared" si="13"/>
        <v/>
      </c>
      <c r="AA102" s="38" t="str">
        <f>IF(AND(A102="Модуль",C102&lt;&gt;"",OR($S$6="(все)",B102=$S$6)),MAX($AA$3:AA101)+1,"")</f>
        <v/>
      </c>
      <c r="AB102" s="38" t="str">
        <f t="shared" si="14"/>
        <v/>
      </c>
      <c r="AC102" s="38" t="str">
        <f>IF(OR(B102="",COUNTIF($B$4:B102,B102)&gt;1),"",MAX($AC$3:AC101)+1)</f>
        <v/>
      </c>
      <c r="AD102" s="38" t="str">
        <f t="shared" si="15"/>
        <v/>
      </c>
      <c r="AE102" s="38" t="str">
        <f t="shared" si="16"/>
        <v/>
      </c>
      <c r="AF102" s="38" t="str">
        <f t="shared" si="17"/>
        <v/>
      </c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38" t="str">
        <f>IF(OR(A103="Автомат",A103="Дифавтомат"),IF(W103="","",COUNTIFS(Однолинейка!$H$3:$H$3000,U103,Однолинейка!$A$3:$A$3000,Щит_спец)),IF(A103="Аппарат",IF(C103="","",COUNTIFS(Однолинейка!$I$3:$I$3000,C103,Однолинейка!$A$3:$A$3000,Щит_спец)+COUNTIFS(Однолинейка!$J$3:$J$3000,C103,Однолинейка!$A$3:$A$3000,Щит_спец)+COUNTIFS(Однолинейка!$K$3:$K$3000,C103,Однолинейка!$A$3:$A$3000,Щит_спец)),IF(A103="Модуль",IF(C103="","",COUNTIFS(Однолинейка!$AW$3:$AW$3000,"?*",Однолинейка!$AI$3:$AI$3000,C103,Однолинейка!$A$3:$A$3000,Щит_спец)),IF(A103="Клемма",IF(C103="","",IF(C103=$S$7,SUMIFS(Однолинейка!$BW$3:$BW$3000,Однолинейка!$A$3:$A$3000,Щит_спец),IF(C103=$S$8,SUMIFS(Однолинейка!$BX$3:$BX$3000,Однолинейка!$A$3:$A$3000,Щит_спец),""))),""))))</f>
        <v/>
      </c>
      <c r="O103" s="74"/>
      <c r="P103" s="38" t="str">
        <f t="shared" si="9"/>
        <v/>
      </c>
      <c r="U103" s="38" t="str">
        <f t="shared" si="10"/>
        <v/>
      </c>
      <c r="V103" s="38" t="str">
        <f t="shared" si="11"/>
        <v/>
      </c>
      <c r="W103" s="38" t="str">
        <f>IF(AND(U103&lt;&gt;"",OR($S$4="(все)",B103=$S$4),IF($S$4="(все)",COUNTIF($U$4:U103,U103),COUNTIFS($U$4:U103,U103,$B$4:B103,B103))=1),MAX($W$3:W102)+1,"")</f>
        <v/>
      </c>
      <c r="X103" s="38" t="str">
        <f t="shared" si="12"/>
        <v/>
      </c>
      <c r="Y103" s="38" t="str">
        <f>IF(AND(A103="Аппарат",C103&lt;&gt;"",OR($S$5="(все)",B103=$S$5)),MAX($Y$3:Y102)+1,"")</f>
        <v/>
      </c>
      <c r="Z103" s="38" t="str">
        <f t="shared" si="13"/>
        <v/>
      </c>
      <c r="AA103" s="38" t="str">
        <f>IF(AND(A103="Модуль",C103&lt;&gt;"",OR($S$6="(все)",B103=$S$6)),MAX($AA$3:AA102)+1,"")</f>
        <v/>
      </c>
      <c r="AB103" s="38" t="str">
        <f t="shared" si="14"/>
        <v/>
      </c>
      <c r="AC103" s="38" t="str">
        <f>IF(OR(B103="",COUNTIF($B$4:B103,B103)&gt;1),"",MAX($AC$3:AC102)+1)</f>
        <v/>
      </c>
      <c r="AD103" s="38" t="str">
        <f t="shared" si="15"/>
        <v/>
      </c>
      <c r="AE103" s="38" t="str">
        <f t="shared" si="16"/>
        <v/>
      </c>
      <c r="AF103" s="38" t="str">
        <f t="shared" si="17"/>
        <v/>
      </c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38" t="str">
        <f>IF(OR(A104="Автомат",A104="Дифавтомат"),IF(W104="","",COUNTIFS(Однолинейка!$H$3:$H$3000,U104,Однолинейка!$A$3:$A$3000,Щит_спец)),IF(A104="Аппарат",IF(C104="","",COUNTIFS(Однолинейка!$I$3:$I$3000,C104,Однолинейка!$A$3:$A$3000,Щит_спец)+COUNTIFS(Однолинейка!$J$3:$J$3000,C104,Однолинейка!$A$3:$A$3000,Щит_спец)+COUNTIFS(Однолинейка!$K$3:$K$3000,C104,Однолинейка!$A$3:$A$3000,Щит_спец)),IF(A104="Модуль",IF(C104="","",COUNTIFS(Однолинейка!$AW$3:$AW$3000,"?*",Однолинейка!$AI$3:$AI$3000,C104,Однолинейка!$A$3:$A$3000,Щит_спец)),IF(A104="Клемма",IF(C104="","",IF(C104=$S$7,SUMIFS(Однолинейка!$BW$3:$BW$3000,Однолинейка!$A$3:$A$3000,Щит_спец),IF(C104=$S$8,SUMIFS(Однолинейка!$BX$3:$BX$3000,Однолинейка!$A$3:$A$3000,Щит_спец),""))),""))))</f>
        <v/>
      </c>
      <c r="O104" s="74"/>
      <c r="P104" s="38" t="str">
        <f t="shared" si="9"/>
        <v/>
      </c>
      <c r="U104" s="38" t="str">
        <f t="shared" si="10"/>
        <v/>
      </c>
      <c r="V104" s="38" t="str">
        <f t="shared" si="11"/>
        <v/>
      </c>
      <c r="W104" s="38" t="str">
        <f>IF(AND(U104&lt;&gt;"",OR($S$4="(все)",B104=$S$4),IF($S$4="(все)",COUNTIF($U$4:U104,U104),COUNTIFS($U$4:U104,U104,$B$4:B104,B104))=1),MAX($W$3:W103)+1,"")</f>
        <v/>
      </c>
      <c r="X104" s="38" t="str">
        <f t="shared" si="12"/>
        <v/>
      </c>
      <c r="Y104" s="38" t="str">
        <f>IF(AND(A104="Аппарат",C104&lt;&gt;"",OR($S$5="(все)",B104=$S$5)),MAX($Y$3:Y103)+1,"")</f>
        <v/>
      </c>
      <c r="Z104" s="38" t="str">
        <f t="shared" si="13"/>
        <v/>
      </c>
      <c r="AA104" s="38" t="str">
        <f>IF(AND(A104="Модуль",C104&lt;&gt;"",OR($S$6="(все)",B104=$S$6)),MAX($AA$3:AA103)+1,"")</f>
        <v/>
      </c>
      <c r="AB104" s="38" t="str">
        <f t="shared" si="14"/>
        <v/>
      </c>
      <c r="AC104" s="38" t="str">
        <f>IF(OR(B104="",COUNTIF($B$4:B104,B104)&gt;1),"",MAX($AC$3:AC103)+1)</f>
        <v/>
      </c>
      <c r="AD104" s="38" t="str">
        <f t="shared" si="15"/>
        <v/>
      </c>
      <c r="AE104" s="38" t="str">
        <f t="shared" si="16"/>
        <v/>
      </c>
      <c r="AF104" s="38" t="str">
        <f t="shared" si="17"/>
        <v/>
      </c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38" t="str">
        <f>IF(OR(A105="Автомат",A105="Дифавтомат"),IF(W105="","",COUNTIFS(Однолинейка!$H$3:$H$3000,U105,Однолинейка!$A$3:$A$3000,Щит_спец)),IF(A105="Аппарат",IF(C105="","",COUNTIFS(Однолинейка!$I$3:$I$3000,C105,Однолинейка!$A$3:$A$3000,Щит_спец)+COUNTIFS(Однолинейка!$J$3:$J$3000,C105,Однолинейка!$A$3:$A$3000,Щит_спец)+COUNTIFS(Однолинейка!$K$3:$K$3000,C105,Однолинейка!$A$3:$A$3000,Щит_спец)),IF(A105="Модуль",IF(C105="","",COUNTIFS(Однолинейка!$AW$3:$AW$3000,"?*",Однолинейка!$AI$3:$AI$3000,C105,Однолинейка!$A$3:$A$3000,Щит_спец)),IF(A105="Клемма",IF(C105="","",IF(C105=$S$7,SUMIFS(Однолинейка!$BW$3:$BW$3000,Однолинейка!$A$3:$A$3000,Щит_спец),IF(C105=$S$8,SUMIFS(Однолинейка!$BX$3:$BX$3000,Однолинейка!$A$3:$A$3000,Щит_спец),""))),""))))</f>
        <v/>
      </c>
      <c r="O105" s="74"/>
      <c r="P105" s="38" t="str">
        <f t="shared" si="9"/>
        <v/>
      </c>
      <c r="U105" s="38" t="str">
        <f t="shared" si="10"/>
        <v/>
      </c>
      <c r="V105" s="38" t="str">
        <f t="shared" si="11"/>
        <v/>
      </c>
      <c r="W105" s="38" t="str">
        <f>IF(AND(U105&lt;&gt;"",OR($S$4="(все)",B105=$S$4),IF($S$4="(все)",COUNTIF($U$4:U105,U105),COUNTIFS($U$4:U105,U105,$B$4:B105,B105))=1),MAX($W$3:W104)+1,"")</f>
        <v/>
      </c>
      <c r="X105" s="38" t="str">
        <f t="shared" si="12"/>
        <v/>
      </c>
      <c r="Y105" s="38" t="str">
        <f>IF(AND(A105="Аппарат",C105&lt;&gt;"",OR($S$5="(все)",B105=$S$5)),MAX($Y$3:Y104)+1,"")</f>
        <v/>
      </c>
      <c r="Z105" s="38" t="str">
        <f t="shared" si="13"/>
        <v/>
      </c>
      <c r="AA105" s="38" t="str">
        <f>IF(AND(A105="Модуль",C105&lt;&gt;"",OR($S$6="(все)",B105=$S$6)),MAX($AA$3:AA104)+1,"")</f>
        <v/>
      </c>
      <c r="AB105" s="38" t="str">
        <f t="shared" si="14"/>
        <v/>
      </c>
      <c r="AC105" s="38" t="str">
        <f>IF(OR(B105="",COUNTIF($B$4:B105,B105)&gt;1),"",MAX($AC$3:AC104)+1)</f>
        <v/>
      </c>
      <c r="AD105" s="38" t="str">
        <f t="shared" si="15"/>
        <v/>
      </c>
      <c r="AE105" s="38" t="str">
        <f t="shared" si="16"/>
        <v/>
      </c>
      <c r="AF105" s="38" t="str">
        <f t="shared" si="17"/>
        <v/>
      </c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38" t="str">
        <f>IF(OR(A106="Автомат",A106="Дифавтомат"),IF(W106="","",COUNTIFS(Однолинейка!$H$3:$H$3000,U106,Однолинейка!$A$3:$A$3000,Щит_спец)),IF(A106="Аппарат",IF(C106="","",COUNTIFS(Однолинейка!$I$3:$I$3000,C106,Однолинейка!$A$3:$A$3000,Щит_спец)+COUNTIFS(Однолинейка!$J$3:$J$3000,C106,Однолинейка!$A$3:$A$3000,Щит_спец)+COUNTIFS(Однолинейка!$K$3:$K$3000,C106,Однолинейка!$A$3:$A$3000,Щит_спец)),IF(A106="Модуль",IF(C106="","",COUNTIFS(Однолинейка!$AW$3:$AW$3000,"?*",Однолинейка!$AI$3:$AI$3000,C106,Однолинейка!$A$3:$A$3000,Щит_спец)),IF(A106="Клемма",IF(C106="","",IF(C106=$S$7,SUMIFS(Однолинейка!$BW$3:$BW$3000,Однолинейка!$A$3:$A$3000,Щит_спец),IF(C106=$S$8,SUMIFS(Однолинейка!$BX$3:$BX$3000,Однолинейка!$A$3:$A$3000,Щит_спец),""))),""))))</f>
        <v/>
      </c>
      <c r="O106" s="74"/>
      <c r="P106" s="38" t="str">
        <f t="shared" si="9"/>
        <v/>
      </c>
      <c r="U106" s="38" t="str">
        <f t="shared" si="10"/>
        <v/>
      </c>
      <c r="V106" s="38" t="str">
        <f t="shared" si="11"/>
        <v/>
      </c>
      <c r="W106" s="38" t="str">
        <f>IF(AND(U106&lt;&gt;"",OR($S$4="(все)",B106=$S$4),IF($S$4="(все)",COUNTIF($U$4:U106,U106),COUNTIFS($U$4:U106,U106,$B$4:B106,B106))=1),MAX($W$3:W105)+1,"")</f>
        <v/>
      </c>
      <c r="X106" s="38" t="str">
        <f t="shared" si="12"/>
        <v/>
      </c>
      <c r="Y106" s="38" t="str">
        <f>IF(AND(A106="Аппарат",C106&lt;&gt;"",OR($S$5="(все)",B106=$S$5)),MAX($Y$3:Y105)+1,"")</f>
        <v/>
      </c>
      <c r="Z106" s="38" t="str">
        <f t="shared" si="13"/>
        <v/>
      </c>
      <c r="AA106" s="38" t="str">
        <f>IF(AND(A106="Модуль",C106&lt;&gt;"",OR($S$6="(все)",B106=$S$6)),MAX($AA$3:AA105)+1,"")</f>
        <v/>
      </c>
      <c r="AB106" s="38" t="str">
        <f t="shared" si="14"/>
        <v/>
      </c>
      <c r="AC106" s="38" t="str">
        <f>IF(OR(B106="",COUNTIF($B$4:B106,B106)&gt;1),"",MAX($AC$3:AC105)+1)</f>
        <v/>
      </c>
      <c r="AD106" s="38" t="str">
        <f t="shared" si="15"/>
        <v/>
      </c>
      <c r="AE106" s="38" t="str">
        <f t="shared" si="16"/>
        <v/>
      </c>
      <c r="AF106" s="38" t="str">
        <f t="shared" si="17"/>
        <v/>
      </c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38" t="str">
        <f>IF(OR(A107="Автомат",A107="Дифавтомат"),IF(W107="","",COUNTIFS(Однолинейка!$H$3:$H$3000,U107,Однолинейка!$A$3:$A$3000,Щит_спец)),IF(A107="Аппарат",IF(C107="","",COUNTIFS(Однолинейка!$I$3:$I$3000,C107,Однолинейка!$A$3:$A$3000,Щит_спец)+COUNTIFS(Однолинейка!$J$3:$J$3000,C107,Однолинейка!$A$3:$A$3000,Щит_спец)+COUNTIFS(Однолинейка!$K$3:$K$3000,C107,Однолинейка!$A$3:$A$3000,Щит_спец)),IF(A107="Модуль",IF(C107="","",COUNTIFS(Однолинейка!$AW$3:$AW$3000,"?*",Однолинейка!$AI$3:$AI$3000,C107,Однолинейка!$A$3:$A$3000,Щит_спец)),IF(A107="Клемма",IF(C107="","",IF(C107=$S$7,SUMIFS(Однолинейка!$BW$3:$BW$3000,Однолинейка!$A$3:$A$3000,Щит_спец),IF(C107=$S$8,SUMIFS(Однолинейка!$BX$3:$BX$3000,Однолинейка!$A$3:$A$3000,Щит_спец),""))),""))))</f>
        <v/>
      </c>
      <c r="O107" s="74"/>
      <c r="P107" s="38" t="str">
        <f t="shared" si="9"/>
        <v/>
      </c>
      <c r="U107" s="38" t="str">
        <f t="shared" si="10"/>
        <v/>
      </c>
      <c r="V107" s="38" t="str">
        <f t="shared" si="11"/>
        <v/>
      </c>
      <c r="W107" s="38" t="str">
        <f>IF(AND(U107&lt;&gt;"",OR($S$4="(все)",B107=$S$4),IF($S$4="(все)",COUNTIF($U$4:U107,U107),COUNTIFS($U$4:U107,U107,$B$4:B107,B107))=1),MAX($W$3:W106)+1,"")</f>
        <v/>
      </c>
      <c r="X107" s="38" t="str">
        <f t="shared" si="12"/>
        <v/>
      </c>
      <c r="Y107" s="38" t="str">
        <f>IF(AND(A107="Аппарат",C107&lt;&gt;"",OR($S$5="(все)",B107=$S$5)),MAX($Y$3:Y106)+1,"")</f>
        <v/>
      </c>
      <c r="Z107" s="38" t="str">
        <f t="shared" si="13"/>
        <v/>
      </c>
      <c r="AA107" s="38" t="str">
        <f>IF(AND(A107="Модуль",C107&lt;&gt;"",OR($S$6="(все)",B107=$S$6)),MAX($AA$3:AA106)+1,"")</f>
        <v/>
      </c>
      <c r="AB107" s="38" t="str">
        <f t="shared" si="14"/>
        <v/>
      </c>
      <c r="AC107" s="38" t="str">
        <f>IF(OR(B107="",COUNTIF($B$4:B107,B107)&gt;1),"",MAX($AC$3:AC106)+1)</f>
        <v/>
      </c>
      <c r="AD107" s="38" t="str">
        <f t="shared" si="15"/>
        <v/>
      </c>
      <c r="AE107" s="38" t="str">
        <f t="shared" si="16"/>
        <v/>
      </c>
      <c r="AF107" s="38" t="str">
        <f t="shared" si="17"/>
        <v/>
      </c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38" t="str">
        <f>IF(OR(A108="Автомат",A108="Дифавтомат"),IF(W108="","",COUNTIFS(Однолинейка!$H$3:$H$3000,U108,Однолинейка!$A$3:$A$3000,Щит_спец)),IF(A108="Аппарат",IF(C108="","",COUNTIFS(Однолинейка!$I$3:$I$3000,C108,Однолинейка!$A$3:$A$3000,Щит_спец)+COUNTIFS(Однолинейка!$J$3:$J$3000,C108,Однолинейка!$A$3:$A$3000,Щит_спец)+COUNTIFS(Однолинейка!$K$3:$K$3000,C108,Однолинейка!$A$3:$A$3000,Щит_спец)),IF(A108="Модуль",IF(C108="","",COUNTIFS(Однолинейка!$AW$3:$AW$3000,"?*",Однолинейка!$AI$3:$AI$3000,C108,Однолинейка!$A$3:$A$3000,Щит_спец)),IF(A108="Клемма",IF(C108="","",IF(C108=$S$7,SUMIFS(Однолинейка!$BW$3:$BW$3000,Однолинейка!$A$3:$A$3000,Щит_спец),IF(C108=$S$8,SUMIFS(Однолинейка!$BX$3:$BX$3000,Однолинейка!$A$3:$A$3000,Щит_спец),""))),""))))</f>
        <v/>
      </c>
      <c r="O108" s="74"/>
      <c r="P108" s="38" t="str">
        <f t="shared" si="9"/>
        <v/>
      </c>
      <c r="U108" s="38" t="str">
        <f t="shared" si="10"/>
        <v/>
      </c>
      <c r="V108" s="38" t="str">
        <f t="shared" si="11"/>
        <v/>
      </c>
      <c r="W108" s="38" t="str">
        <f>IF(AND(U108&lt;&gt;"",OR($S$4="(все)",B108=$S$4),IF($S$4="(все)",COUNTIF($U$4:U108,U108),COUNTIFS($U$4:U108,U108,$B$4:B108,B108))=1),MAX($W$3:W107)+1,"")</f>
        <v/>
      </c>
      <c r="X108" s="38" t="str">
        <f t="shared" si="12"/>
        <v/>
      </c>
      <c r="Y108" s="38" t="str">
        <f>IF(AND(A108="Аппарат",C108&lt;&gt;"",OR($S$5="(все)",B108=$S$5)),MAX($Y$3:Y107)+1,"")</f>
        <v/>
      </c>
      <c r="Z108" s="38" t="str">
        <f t="shared" si="13"/>
        <v/>
      </c>
      <c r="AA108" s="38" t="str">
        <f>IF(AND(A108="Модуль",C108&lt;&gt;"",OR($S$6="(все)",B108=$S$6)),MAX($AA$3:AA107)+1,"")</f>
        <v/>
      </c>
      <c r="AB108" s="38" t="str">
        <f t="shared" si="14"/>
        <v/>
      </c>
      <c r="AC108" s="38" t="str">
        <f>IF(OR(B108="",COUNTIF($B$4:B108,B108)&gt;1),"",MAX($AC$3:AC107)+1)</f>
        <v/>
      </c>
      <c r="AD108" s="38" t="str">
        <f t="shared" si="15"/>
        <v/>
      </c>
      <c r="AE108" s="38" t="str">
        <f t="shared" si="16"/>
        <v/>
      </c>
      <c r="AF108" s="38" t="str">
        <f t="shared" si="17"/>
        <v/>
      </c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8" t="str">
        <f>IF(OR(A109="Автомат",A109="Дифавтомат"),IF(W109="","",COUNTIFS(Однолинейка!$H$3:$H$3000,U109,Однолинейка!$A$3:$A$3000,Щит_спец)),IF(A109="Аппарат",IF(C109="","",COUNTIFS(Однолинейка!$I$3:$I$3000,C109,Однолинейка!$A$3:$A$3000,Щит_спец)+COUNTIFS(Однолинейка!$J$3:$J$3000,C109,Однолинейка!$A$3:$A$3000,Щит_спец)+COUNTIFS(Однолинейка!$K$3:$K$3000,C109,Однолинейка!$A$3:$A$3000,Щит_спец)),IF(A109="Модуль",IF(C109="","",COUNTIFS(Однолинейка!$AW$3:$AW$3000,"?*",Однолинейка!$AI$3:$AI$3000,C109,Однолинейка!$A$3:$A$3000,Щит_спец)),IF(A109="Клемма",IF(C109="","",IF(C109=$S$7,SUMIFS(Однолинейка!$BW$3:$BW$3000,Однолинейка!$A$3:$A$3000,Щит_спец),IF(C109=$S$8,SUMIFS(Однолинейка!$BX$3:$BX$3000,Однолинейка!$A$3:$A$3000,Щит_спец),""))),""))))</f>
        <v/>
      </c>
      <c r="O109" s="74"/>
      <c r="P109" s="38" t="str">
        <f t="shared" si="9"/>
        <v/>
      </c>
      <c r="U109" s="38" t="str">
        <f t="shared" si="10"/>
        <v/>
      </c>
      <c r="V109" s="38" t="str">
        <f t="shared" si="11"/>
        <v/>
      </c>
      <c r="W109" s="38" t="str">
        <f>IF(AND(U109&lt;&gt;"",OR($S$4="(все)",B109=$S$4),IF($S$4="(все)",COUNTIF($U$4:U109,U109),COUNTIFS($U$4:U109,U109,$B$4:B109,B109))=1),MAX($W$3:W108)+1,"")</f>
        <v/>
      </c>
      <c r="X109" s="38" t="str">
        <f t="shared" si="12"/>
        <v/>
      </c>
      <c r="Y109" s="38" t="str">
        <f>IF(AND(A109="Аппарат",C109&lt;&gt;"",OR($S$5="(все)",B109=$S$5)),MAX($Y$3:Y108)+1,"")</f>
        <v/>
      </c>
      <c r="Z109" s="38" t="str">
        <f t="shared" si="13"/>
        <v/>
      </c>
      <c r="AA109" s="38" t="str">
        <f>IF(AND(A109="Модуль",C109&lt;&gt;"",OR($S$6="(все)",B109=$S$6)),MAX($AA$3:AA108)+1,"")</f>
        <v/>
      </c>
      <c r="AB109" s="38" t="str">
        <f t="shared" si="14"/>
        <v/>
      </c>
      <c r="AC109" s="38" t="str">
        <f>IF(OR(B109="",COUNTIF($B$4:B109,B109)&gt;1),"",MAX($AC$3:AC108)+1)</f>
        <v/>
      </c>
      <c r="AD109" s="38" t="str">
        <f t="shared" si="15"/>
        <v/>
      </c>
      <c r="AE109" s="38" t="str">
        <f t="shared" si="16"/>
        <v/>
      </c>
      <c r="AF109" s="38" t="str">
        <f t="shared" si="17"/>
        <v/>
      </c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8" t="str">
        <f>IF(OR(A110="Автомат",A110="Дифавтомат"),IF(W110="","",COUNTIFS(Однолинейка!$H$3:$H$3000,U110,Однолинейка!$A$3:$A$3000,Щит_спец)),IF(A110="Аппарат",IF(C110="","",COUNTIFS(Однолинейка!$I$3:$I$3000,C110,Однолинейка!$A$3:$A$3000,Щит_спец)+COUNTIFS(Однолинейка!$J$3:$J$3000,C110,Однолинейка!$A$3:$A$3000,Щит_спец)+COUNTIFS(Однолинейка!$K$3:$K$3000,C110,Однолинейка!$A$3:$A$3000,Щит_спец)),IF(A110="Модуль",IF(C110="","",COUNTIFS(Однолинейка!$AW$3:$AW$3000,"?*",Однолинейка!$AI$3:$AI$3000,C110,Однолинейка!$A$3:$A$3000,Щит_спец)),IF(A110="Клемма",IF(C110="","",IF(C110=$S$7,SUMIFS(Однолинейка!$BW$3:$BW$3000,Однолинейка!$A$3:$A$3000,Щит_спец),IF(C110=$S$8,SUMIFS(Однолинейка!$BX$3:$BX$3000,Однолинейка!$A$3:$A$3000,Щит_спец),""))),""))))</f>
        <v/>
      </c>
      <c r="O110" s="74"/>
      <c r="P110" s="38" t="str">
        <f t="shared" si="9"/>
        <v/>
      </c>
      <c r="U110" s="38" t="str">
        <f t="shared" si="10"/>
        <v/>
      </c>
      <c r="V110" s="38" t="str">
        <f t="shared" si="11"/>
        <v/>
      </c>
      <c r="W110" s="38" t="str">
        <f>IF(AND(U110&lt;&gt;"",OR($S$4="(все)",B110=$S$4),IF($S$4="(все)",COUNTIF($U$4:U110,U110),COUNTIFS($U$4:U110,U110,$B$4:B110,B110))=1),MAX($W$3:W109)+1,"")</f>
        <v/>
      </c>
      <c r="X110" s="38" t="str">
        <f t="shared" si="12"/>
        <v/>
      </c>
      <c r="Y110" s="38" t="str">
        <f>IF(AND(A110="Аппарат",C110&lt;&gt;"",OR($S$5="(все)",B110=$S$5)),MAX($Y$3:Y109)+1,"")</f>
        <v/>
      </c>
      <c r="Z110" s="38" t="str">
        <f t="shared" si="13"/>
        <v/>
      </c>
      <c r="AA110" s="38" t="str">
        <f>IF(AND(A110="Модуль",C110&lt;&gt;"",OR($S$6="(все)",B110=$S$6)),MAX($AA$3:AA109)+1,"")</f>
        <v/>
      </c>
      <c r="AB110" s="38" t="str">
        <f t="shared" si="14"/>
        <v/>
      </c>
      <c r="AC110" s="38" t="str">
        <f>IF(OR(B110="",COUNTIF($B$4:B110,B110)&gt;1),"",MAX($AC$3:AC109)+1)</f>
        <v/>
      </c>
      <c r="AD110" s="38" t="str">
        <f t="shared" si="15"/>
        <v/>
      </c>
      <c r="AE110" s="38" t="str">
        <f t="shared" si="16"/>
        <v/>
      </c>
      <c r="AF110" s="38" t="str">
        <f t="shared" si="17"/>
        <v/>
      </c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8" t="str">
        <f>IF(OR(A111="Автомат",A111="Дифавтомат"),IF(W111="","",COUNTIFS(Однолинейка!$H$3:$H$3000,U111,Однолинейка!$A$3:$A$3000,Щит_спец)),IF(A111="Аппарат",IF(C111="","",COUNTIFS(Однолинейка!$I$3:$I$3000,C111,Однолинейка!$A$3:$A$3000,Щит_спец)+COUNTIFS(Однолинейка!$J$3:$J$3000,C111,Однолинейка!$A$3:$A$3000,Щит_спец)+COUNTIFS(Однолинейка!$K$3:$K$3000,C111,Однолинейка!$A$3:$A$3000,Щит_спец)),IF(A111="Модуль",IF(C111="","",COUNTIFS(Однолинейка!$AW$3:$AW$3000,"?*",Однолинейка!$AI$3:$AI$3000,C111,Однолинейка!$A$3:$A$3000,Щит_спец)),IF(A111="Клемма",IF(C111="","",IF(C111=$S$7,SUMIFS(Однолинейка!$BW$3:$BW$3000,Однолинейка!$A$3:$A$3000,Щит_спец),IF(C111=$S$8,SUMIFS(Однолинейка!$BX$3:$BX$3000,Однолинейка!$A$3:$A$3000,Щит_спец),""))),""))))</f>
        <v/>
      </c>
      <c r="O111" s="74"/>
      <c r="P111" s="38" t="str">
        <f t="shared" si="9"/>
        <v/>
      </c>
      <c r="U111" s="38" t="str">
        <f t="shared" si="10"/>
        <v/>
      </c>
      <c r="V111" s="38" t="str">
        <f t="shared" si="11"/>
        <v/>
      </c>
      <c r="W111" s="38" t="str">
        <f>IF(AND(U111&lt;&gt;"",OR($S$4="(все)",B111=$S$4),IF($S$4="(все)",COUNTIF($U$4:U111,U111),COUNTIFS($U$4:U111,U111,$B$4:B111,B111))=1),MAX($W$3:W110)+1,"")</f>
        <v/>
      </c>
      <c r="X111" s="38" t="str">
        <f t="shared" si="12"/>
        <v/>
      </c>
      <c r="Y111" s="38" t="str">
        <f>IF(AND(A111="Аппарат",C111&lt;&gt;"",OR($S$5="(все)",B111=$S$5)),MAX($Y$3:Y110)+1,"")</f>
        <v/>
      </c>
      <c r="Z111" s="38" t="str">
        <f t="shared" si="13"/>
        <v/>
      </c>
      <c r="AA111" s="38" t="str">
        <f>IF(AND(A111="Модуль",C111&lt;&gt;"",OR($S$6="(все)",B111=$S$6)),MAX($AA$3:AA110)+1,"")</f>
        <v/>
      </c>
      <c r="AB111" s="38" t="str">
        <f t="shared" si="14"/>
        <v/>
      </c>
      <c r="AC111" s="38" t="str">
        <f>IF(OR(B111="",COUNTIF($B$4:B111,B111)&gt;1),"",MAX($AC$3:AC110)+1)</f>
        <v/>
      </c>
      <c r="AD111" s="38" t="str">
        <f t="shared" si="15"/>
        <v/>
      </c>
      <c r="AE111" s="38" t="str">
        <f t="shared" si="16"/>
        <v/>
      </c>
      <c r="AF111" s="38" t="str">
        <f t="shared" si="17"/>
        <v/>
      </c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8" t="str">
        <f>IF(OR(A112="Автомат",A112="Дифавтомат"),IF(W112="","",COUNTIFS(Однолинейка!$H$3:$H$3000,U112,Однолинейка!$A$3:$A$3000,Щит_спец)),IF(A112="Аппарат",IF(C112="","",COUNTIFS(Однолинейка!$I$3:$I$3000,C112,Однолинейка!$A$3:$A$3000,Щит_спец)+COUNTIFS(Однолинейка!$J$3:$J$3000,C112,Однолинейка!$A$3:$A$3000,Щит_спец)+COUNTIFS(Однолинейка!$K$3:$K$3000,C112,Однолинейка!$A$3:$A$3000,Щит_спец)),IF(A112="Модуль",IF(C112="","",COUNTIFS(Однолинейка!$AW$3:$AW$3000,"?*",Однолинейка!$AI$3:$AI$3000,C112,Однолинейка!$A$3:$A$3000,Щит_спец)),IF(A112="Клемма",IF(C112="","",IF(C112=$S$7,SUMIFS(Однолинейка!$BW$3:$BW$3000,Однолинейка!$A$3:$A$3000,Щит_спец),IF(C112=$S$8,SUMIFS(Однолинейка!$BX$3:$BX$3000,Однолинейка!$A$3:$A$3000,Щит_спец),""))),""))))</f>
        <v/>
      </c>
      <c r="O112" s="74"/>
      <c r="P112" s="38" t="str">
        <f t="shared" si="9"/>
        <v/>
      </c>
      <c r="U112" s="38" t="str">
        <f t="shared" si="10"/>
        <v/>
      </c>
      <c r="V112" s="38" t="str">
        <f t="shared" si="11"/>
        <v/>
      </c>
      <c r="W112" s="38" t="str">
        <f>IF(AND(U112&lt;&gt;"",OR($S$4="(все)",B112=$S$4),IF($S$4="(все)",COUNTIF($U$4:U112,U112),COUNTIFS($U$4:U112,U112,$B$4:B112,B112))=1),MAX($W$3:W111)+1,"")</f>
        <v/>
      </c>
      <c r="X112" s="38" t="str">
        <f t="shared" si="12"/>
        <v/>
      </c>
      <c r="Y112" s="38" t="str">
        <f>IF(AND(A112="Аппарат",C112&lt;&gt;"",OR($S$5="(все)",B112=$S$5)),MAX($Y$3:Y111)+1,"")</f>
        <v/>
      </c>
      <c r="Z112" s="38" t="str">
        <f t="shared" si="13"/>
        <v/>
      </c>
      <c r="AA112" s="38" t="str">
        <f>IF(AND(A112="Модуль",C112&lt;&gt;"",OR($S$6="(все)",B112=$S$6)),MAX($AA$3:AA111)+1,"")</f>
        <v/>
      </c>
      <c r="AB112" s="38" t="str">
        <f t="shared" si="14"/>
        <v/>
      </c>
      <c r="AC112" s="38" t="str">
        <f>IF(OR(B112="",COUNTIF($B$4:B112,B112)&gt;1),"",MAX($AC$3:AC111)+1)</f>
        <v/>
      </c>
      <c r="AD112" s="38" t="str">
        <f t="shared" si="15"/>
        <v/>
      </c>
      <c r="AE112" s="38" t="str">
        <f t="shared" si="16"/>
        <v/>
      </c>
      <c r="AF112" s="38" t="str">
        <f t="shared" si="17"/>
        <v/>
      </c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8" t="str">
        <f>IF(OR(A113="Автомат",A113="Дифавтомат"),IF(W113="","",COUNTIFS(Однолинейка!$H$3:$H$3000,U113,Однолинейка!$A$3:$A$3000,Щит_спец)),IF(A113="Аппарат",IF(C113="","",COUNTIFS(Однолинейка!$I$3:$I$3000,C113,Однолинейка!$A$3:$A$3000,Щит_спец)+COUNTIFS(Однолинейка!$J$3:$J$3000,C113,Однолинейка!$A$3:$A$3000,Щит_спец)+COUNTIFS(Однолинейка!$K$3:$K$3000,C113,Однолинейка!$A$3:$A$3000,Щит_спец)),IF(A113="Модуль",IF(C113="","",COUNTIFS(Однолинейка!$AW$3:$AW$3000,"?*",Однолинейка!$AI$3:$AI$3000,C113,Однолинейка!$A$3:$A$3000,Щит_спец)),IF(A113="Клемма",IF(C113="","",IF(C113=$S$7,SUMIFS(Однолинейка!$BW$3:$BW$3000,Однолинейка!$A$3:$A$3000,Щит_спец),IF(C113=$S$8,SUMIFS(Однолинейка!$BX$3:$BX$3000,Однолинейка!$A$3:$A$3000,Щит_спец),""))),""))))</f>
        <v/>
      </c>
      <c r="O113" s="74"/>
      <c r="P113" s="38" t="str">
        <f t="shared" si="9"/>
        <v/>
      </c>
      <c r="U113" s="38" t="str">
        <f t="shared" si="10"/>
        <v/>
      </c>
      <c r="V113" s="38" t="str">
        <f t="shared" si="11"/>
        <v/>
      </c>
      <c r="W113" s="38" t="str">
        <f>IF(AND(U113&lt;&gt;"",OR($S$4="(все)",B113=$S$4),IF($S$4="(все)",COUNTIF($U$4:U113,U113),COUNTIFS($U$4:U113,U113,$B$4:B113,B113))=1),MAX($W$3:W112)+1,"")</f>
        <v/>
      </c>
      <c r="X113" s="38" t="str">
        <f t="shared" si="12"/>
        <v/>
      </c>
      <c r="Y113" s="38" t="str">
        <f>IF(AND(A113="Аппарат",C113&lt;&gt;"",OR($S$5="(все)",B113=$S$5)),MAX($Y$3:Y112)+1,"")</f>
        <v/>
      </c>
      <c r="Z113" s="38" t="str">
        <f t="shared" si="13"/>
        <v/>
      </c>
      <c r="AA113" s="38" t="str">
        <f>IF(AND(A113="Модуль",C113&lt;&gt;"",OR($S$6="(все)",B113=$S$6)),MAX($AA$3:AA112)+1,"")</f>
        <v/>
      </c>
      <c r="AB113" s="38" t="str">
        <f t="shared" si="14"/>
        <v/>
      </c>
      <c r="AC113" s="38" t="str">
        <f>IF(OR(B113="",COUNTIF($B$4:B113,B113)&gt;1),"",MAX($AC$3:AC112)+1)</f>
        <v/>
      </c>
      <c r="AD113" s="38" t="str">
        <f t="shared" si="15"/>
        <v/>
      </c>
      <c r="AE113" s="38" t="str">
        <f t="shared" si="16"/>
        <v/>
      </c>
      <c r="AF113" s="38" t="str">
        <f t="shared" si="17"/>
        <v/>
      </c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8" t="str">
        <f>IF(OR(A114="Автомат",A114="Дифавтомат"),IF(W114="","",COUNTIFS(Однолинейка!$H$3:$H$3000,U114,Однолинейка!$A$3:$A$3000,Щит_спец)),IF(A114="Аппарат",IF(C114="","",COUNTIFS(Однолинейка!$I$3:$I$3000,C114,Однолинейка!$A$3:$A$3000,Щит_спец)+COUNTIFS(Однолинейка!$J$3:$J$3000,C114,Однолинейка!$A$3:$A$3000,Щит_спец)+COUNTIFS(Однолинейка!$K$3:$K$3000,C114,Однолинейка!$A$3:$A$3000,Щит_спец)),IF(A114="Модуль",IF(C114="","",COUNTIFS(Однолинейка!$AW$3:$AW$3000,"?*",Однолинейка!$AI$3:$AI$3000,C114,Однолинейка!$A$3:$A$3000,Щит_спец)),IF(A114="Клемма",IF(C114="","",IF(C114=$S$7,SUMIFS(Однолинейка!$BW$3:$BW$3000,Однолинейка!$A$3:$A$3000,Щит_спец),IF(C114=$S$8,SUMIFS(Однолинейка!$BX$3:$BX$3000,Однолинейка!$A$3:$A$3000,Щит_спец),""))),""))))</f>
        <v/>
      </c>
      <c r="O114" s="74"/>
      <c r="P114" s="38" t="str">
        <f t="shared" si="9"/>
        <v/>
      </c>
      <c r="U114" s="38" t="str">
        <f t="shared" si="10"/>
        <v/>
      </c>
      <c r="V114" s="38" t="str">
        <f t="shared" si="11"/>
        <v/>
      </c>
      <c r="W114" s="38" t="str">
        <f>IF(AND(U114&lt;&gt;"",OR($S$4="(все)",B114=$S$4),IF($S$4="(все)",COUNTIF($U$4:U114,U114),COUNTIFS($U$4:U114,U114,$B$4:B114,B114))=1),MAX($W$3:W113)+1,"")</f>
        <v/>
      </c>
      <c r="X114" s="38" t="str">
        <f t="shared" si="12"/>
        <v/>
      </c>
      <c r="Y114" s="38" t="str">
        <f>IF(AND(A114="Аппарат",C114&lt;&gt;"",OR($S$5="(все)",B114=$S$5)),MAX($Y$3:Y113)+1,"")</f>
        <v/>
      </c>
      <c r="Z114" s="38" t="str">
        <f t="shared" si="13"/>
        <v/>
      </c>
      <c r="AA114" s="38" t="str">
        <f>IF(AND(A114="Модуль",C114&lt;&gt;"",OR($S$6="(все)",B114=$S$6)),MAX($AA$3:AA113)+1,"")</f>
        <v/>
      </c>
      <c r="AB114" s="38" t="str">
        <f t="shared" si="14"/>
        <v/>
      </c>
      <c r="AC114" s="38" t="str">
        <f>IF(OR(B114="",COUNTIF($B$4:B114,B114)&gt;1),"",MAX($AC$3:AC113)+1)</f>
        <v/>
      </c>
      <c r="AD114" s="38" t="str">
        <f t="shared" si="15"/>
        <v/>
      </c>
      <c r="AE114" s="38" t="str">
        <f t="shared" si="16"/>
        <v/>
      </c>
      <c r="AF114" s="38" t="str">
        <f t="shared" si="17"/>
        <v/>
      </c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8" t="str">
        <f>IF(OR(A115="Автомат",A115="Дифавтомат"),IF(W115="","",COUNTIFS(Однолинейка!$H$3:$H$3000,U115,Однолинейка!$A$3:$A$3000,Щит_спец)),IF(A115="Аппарат",IF(C115="","",COUNTIFS(Однолинейка!$I$3:$I$3000,C115,Однолинейка!$A$3:$A$3000,Щит_спец)+COUNTIFS(Однолинейка!$J$3:$J$3000,C115,Однолинейка!$A$3:$A$3000,Щит_спец)+COUNTIFS(Однолинейка!$K$3:$K$3000,C115,Однолинейка!$A$3:$A$3000,Щит_спец)),IF(A115="Модуль",IF(C115="","",COUNTIFS(Однолинейка!$AW$3:$AW$3000,"?*",Однолинейка!$AI$3:$AI$3000,C115,Однолинейка!$A$3:$A$3000,Щит_спец)),IF(A115="Клемма",IF(C115="","",IF(C115=$S$7,SUMIFS(Однолинейка!$BW$3:$BW$3000,Однолинейка!$A$3:$A$3000,Щит_спец),IF(C115=$S$8,SUMIFS(Однолинейка!$BX$3:$BX$3000,Однолинейка!$A$3:$A$3000,Щит_спец),""))),""))))</f>
        <v/>
      </c>
      <c r="O115" s="74"/>
      <c r="P115" s="38" t="str">
        <f t="shared" si="9"/>
        <v/>
      </c>
      <c r="U115" s="38" t="str">
        <f t="shared" si="10"/>
        <v/>
      </c>
      <c r="V115" s="38" t="str">
        <f t="shared" si="11"/>
        <v/>
      </c>
      <c r="W115" s="38" t="str">
        <f>IF(AND(U115&lt;&gt;"",OR($S$4="(все)",B115=$S$4),IF($S$4="(все)",COUNTIF($U$4:U115,U115),COUNTIFS($U$4:U115,U115,$B$4:B115,B115))=1),MAX($W$3:W114)+1,"")</f>
        <v/>
      </c>
      <c r="X115" s="38" t="str">
        <f t="shared" si="12"/>
        <v/>
      </c>
      <c r="Y115" s="38" t="str">
        <f>IF(AND(A115="Аппарат",C115&lt;&gt;"",OR($S$5="(все)",B115=$S$5)),MAX($Y$3:Y114)+1,"")</f>
        <v/>
      </c>
      <c r="Z115" s="38" t="str">
        <f t="shared" si="13"/>
        <v/>
      </c>
      <c r="AA115" s="38" t="str">
        <f>IF(AND(A115="Модуль",C115&lt;&gt;"",OR($S$6="(все)",B115=$S$6)),MAX($AA$3:AA114)+1,"")</f>
        <v/>
      </c>
      <c r="AB115" s="38" t="str">
        <f t="shared" si="14"/>
        <v/>
      </c>
      <c r="AC115" s="38" t="str">
        <f>IF(OR(B115="",COUNTIF($B$4:B115,B115)&gt;1),"",MAX($AC$3:AC114)+1)</f>
        <v/>
      </c>
      <c r="AD115" s="38" t="str">
        <f t="shared" si="15"/>
        <v/>
      </c>
      <c r="AE115" s="38" t="str">
        <f t="shared" si="16"/>
        <v/>
      </c>
      <c r="AF115" s="38" t="str">
        <f t="shared" si="17"/>
        <v/>
      </c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8" t="str">
        <f>IF(OR(A116="Автомат",A116="Дифавтомат"),IF(W116="","",COUNTIFS(Однолинейка!$H$3:$H$3000,U116,Однолинейка!$A$3:$A$3000,Щит_спец)),IF(A116="Аппарат",IF(C116="","",COUNTIFS(Однолинейка!$I$3:$I$3000,C116,Однолинейка!$A$3:$A$3000,Щит_спец)+COUNTIFS(Однолинейка!$J$3:$J$3000,C116,Однолинейка!$A$3:$A$3000,Щит_спец)+COUNTIFS(Однолинейка!$K$3:$K$3000,C116,Однолинейка!$A$3:$A$3000,Щит_спец)),IF(A116="Модуль",IF(C116="","",COUNTIFS(Однолинейка!$AW$3:$AW$3000,"?*",Однолинейка!$AI$3:$AI$3000,C116,Однолинейка!$A$3:$A$3000,Щит_спец)),IF(A116="Клемма",IF(C116="","",IF(C116=$S$7,SUMIFS(Однолинейка!$BW$3:$BW$3000,Однолинейка!$A$3:$A$3000,Щит_спец),IF(C116=$S$8,SUMIFS(Однолинейка!$BX$3:$BX$3000,Однолинейка!$A$3:$A$3000,Щит_спец),""))),""))))</f>
        <v/>
      </c>
      <c r="O116" s="74"/>
      <c r="P116" s="38" t="str">
        <f t="shared" si="9"/>
        <v/>
      </c>
      <c r="U116" s="38" t="str">
        <f t="shared" si="10"/>
        <v/>
      </c>
      <c r="V116" s="38" t="str">
        <f t="shared" si="11"/>
        <v/>
      </c>
      <c r="W116" s="38" t="str">
        <f>IF(AND(U116&lt;&gt;"",OR($S$4="(все)",B116=$S$4),IF($S$4="(все)",COUNTIF($U$4:U116,U116),COUNTIFS($U$4:U116,U116,$B$4:B116,B116))=1),MAX($W$3:W115)+1,"")</f>
        <v/>
      </c>
      <c r="X116" s="38" t="str">
        <f t="shared" si="12"/>
        <v/>
      </c>
      <c r="Y116" s="38" t="str">
        <f>IF(AND(A116="Аппарат",C116&lt;&gt;"",OR($S$5="(все)",B116=$S$5)),MAX($Y$3:Y115)+1,"")</f>
        <v/>
      </c>
      <c r="Z116" s="38" t="str">
        <f t="shared" si="13"/>
        <v/>
      </c>
      <c r="AA116" s="38" t="str">
        <f>IF(AND(A116="Модуль",C116&lt;&gt;"",OR($S$6="(все)",B116=$S$6)),MAX($AA$3:AA115)+1,"")</f>
        <v/>
      </c>
      <c r="AB116" s="38" t="str">
        <f t="shared" si="14"/>
        <v/>
      </c>
      <c r="AC116" s="38" t="str">
        <f>IF(OR(B116="",COUNTIF($B$4:B116,B116)&gt;1),"",MAX($AC$3:AC115)+1)</f>
        <v/>
      </c>
      <c r="AD116" s="38" t="str">
        <f t="shared" si="15"/>
        <v/>
      </c>
      <c r="AE116" s="38" t="str">
        <f t="shared" si="16"/>
        <v/>
      </c>
      <c r="AF116" s="38" t="str">
        <f t="shared" si="17"/>
        <v/>
      </c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8" t="str">
        <f>IF(OR(A117="Автомат",A117="Дифавтомат"),IF(W117="","",COUNTIFS(Однолинейка!$H$3:$H$3000,U117,Однолинейка!$A$3:$A$3000,Щит_спец)),IF(A117="Аппарат",IF(C117="","",COUNTIFS(Однолинейка!$I$3:$I$3000,C117,Однолинейка!$A$3:$A$3000,Щит_спец)+COUNTIFS(Однолинейка!$J$3:$J$3000,C117,Однолинейка!$A$3:$A$3000,Щит_спец)+COUNTIFS(Однолинейка!$K$3:$K$3000,C117,Однолинейка!$A$3:$A$3000,Щит_спец)),IF(A117="Модуль",IF(C117="","",COUNTIFS(Однолинейка!$AW$3:$AW$3000,"?*",Однолинейка!$AI$3:$AI$3000,C117,Однолинейка!$A$3:$A$3000,Щит_спец)),IF(A117="Клемма",IF(C117="","",IF(C117=$S$7,SUMIFS(Однолинейка!$BW$3:$BW$3000,Однолинейка!$A$3:$A$3000,Щит_спец),IF(C117=$S$8,SUMIFS(Однолинейка!$BX$3:$BX$3000,Однолинейка!$A$3:$A$3000,Щит_спец),""))),""))))</f>
        <v/>
      </c>
      <c r="O117" s="74"/>
      <c r="P117" s="38" t="str">
        <f t="shared" si="9"/>
        <v/>
      </c>
      <c r="U117" s="38" t="str">
        <f t="shared" si="10"/>
        <v/>
      </c>
      <c r="V117" s="38" t="str">
        <f t="shared" si="11"/>
        <v/>
      </c>
      <c r="W117" s="38" t="str">
        <f>IF(AND(U117&lt;&gt;"",OR($S$4="(все)",B117=$S$4),IF($S$4="(все)",COUNTIF($U$4:U117,U117),COUNTIFS($U$4:U117,U117,$B$4:B117,B117))=1),MAX($W$3:W116)+1,"")</f>
        <v/>
      </c>
      <c r="X117" s="38" t="str">
        <f t="shared" si="12"/>
        <v/>
      </c>
      <c r="Y117" s="38" t="str">
        <f>IF(AND(A117="Аппарат",C117&lt;&gt;"",OR($S$5="(все)",B117=$S$5)),MAX($Y$3:Y116)+1,"")</f>
        <v/>
      </c>
      <c r="Z117" s="38" t="str">
        <f t="shared" si="13"/>
        <v/>
      </c>
      <c r="AA117" s="38" t="str">
        <f>IF(AND(A117="Модуль",C117&lt;&gt;"",OR($S$6="(все)",B117=$S$6)),MAX($AA$3:AA116)+1,"")</f>
        <v/>
      </c>
      <c r="AB117" s="38" t="str">
        <f t="shared" si="14"/>
        <v/>
      </c>
      <c r="AC117" s="38" t="str">
        <f>IF(OR(B117="",COUNTIF($B$4:B117,B117)&gt;1),"",MAX($AC$3:AC116)+1)</f>
        <v/>
      </c>
      <c r="AD117" s="38" t="str">
        <f t="shared" si="15"/>
        <v/>
      </c>
      <c r="AE117" s="38" t="str">
        <f t="shared" si="16"/>
        <v/>
      </c>
      <c r="AF117" s="38" t="str">
        <f t="shared" si="17"/>
        <v/>
      </c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8" t="str">
        <f>IF(OR(A118="Автомат",A118="Дифавтомат"),IF(W118="","",COUNTIFS(Однолинейка!$H$3:$H$3000,U118,Однолинейка!$A$3:$A$3000,Щит_спец)),IF(A118="Аппарат",IF(C118="","",COUNTIFS(Однолинейка!$I$3:$I$3000,C118,Однолинейка!$A$3:$A$3000,Щит_спец)+COUNTIFS(Однолинейка!$J$3:$J$3000,C118,Однолинейка!$A$3:$A$3000,Щит_спец)+COUNTIFS(Однолинейка!$K$3:$K$3000,C118,Однолинейка!$A$3:$A$3000,Щит_спец)),IF(A118="Модуль",IF(C118="","",COUNTIFS(Однолинейка!$AW$3:$AW$3000,"?*",Однолинейка!$AI$3:$AI$3000,C118,Однолинейка!$A$3:$A$3000,Щит_спец)),IF(A118="Клемма",IF(C118="","",IF(C118=$S$7,SUMIFS(Однолинейка!$BW$3:$BW$3000,Однолинейка!$A$3:$A$3000,Щит_спец),IF(C118=$S$8,SUMIFS(Однолинейка!$BX$3:$BX$3000,Однолинейка!$A$3:$A$3000,Щит_спец),""))),""))))</f>
        <v/>
      </c>
      <c r="O118" s="74"/>
      <c r="P118" s="38" t="str">
        <f t="shared" si="9"/>
        <v/>
      </c>
      <c r="U118" s="38" t="str">
        <f t="shared" si="10"/>
        <v/>
      </c>
      <c r="V118" s="38" t="str">
        <f t="shared" si="11"/>
        <v/>
      </c>
      <c r="W118" s="38" t="str">
        <f>IF(AND(U118&lt;&gt;"",OR($S$4="(все)",B118=$S$4),IF($S$4="(все)",COUNTIF($U$4:U118,U118),COUNTIFS($U$4:U118,U118,$B$4:B118,B118))=1),MAX($W$3:W117)+1,"")</f>
        <v/>
      </c>
      <c r="X118" s="38" t="str">
        <f t="shared" si="12"/>
        <v/>
      </c>
      <c r="Y118" s="38" t="str">
        <f>IF(AND(A118="Аппарат",C118&lt;&gt;"",OR($S$5="(все)",B118=$S$5)),MAX($Y$3:Y117)+1,"")</f>
        <v/>
      </c>
      <c r="Z118" s="38" t="str">
        <f t="shared" si="13"/>
        <v/>
      </c>
      <c r="AA118" s="38" t="str">
        <f>IF(AND(A118="Модуль",C118&lt;&gt;"",OR($S$6="(все)",B118=$S$6)),MAX($AA$3:AA117)+1,"")</f>
        <v/>
      </c>
      <c r="AB118" s="38" t="str">
        <f t="shared" si="14"/>
        <v/>
      </c>
      <c r="AC118" s="38" t="str">
        <f>IF(OR(B118="",COUNTIF($B$4:B118,B118)&gt;1),"",MAX($AC$3:AC117)+1)</f>
        <v/>
      </c>
      <c r="AD118" s="38" t="str">
        <f t="shared" si="15"/>
        <v/>
      </c>
      <c r="AE118" s="38" t="str">
        <f t="shared" si="16"/>
        <v/>
      </c>
      <c r="AF118" s="38" t="str">
        <f t="shared" si="17"/>
        <v/>
      </c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8" t="str">
        <f>IF(OR(A119="Автомат",A119="Дифавтомат"),IF(W119="","",COUNTIFS(Однолинейка!$H$3:$H$3000,U119,Однолинейка!$A$3:$A$3000,Щит_спец)),IF(A119="Аппарат",IF(C119="","",COUNTIFS(Однолинейка!$I$3:$I$3000,C119,Однолинейка!$A$3:$A$3000,Щит_спец)+COUNTIFS(Однолинейка!$J$3:$J$3000,C119,Однолинейка!$A$3:$A$3000,Щит_спец)+COUNTIFS(Однолинейка!$K$3:$K$3000,C119,Однолинейка!$A$3:$A$3000,Щит_спец)),IF(A119="Модуль",IF(C119="","",COUNTIFS(Однолинейка!$AW$3:$AW$3000,"?*",Однолинейка!$AI$3:$AI$3000,C119,Однолинейка!$A$3:$A$3000,Щит_спец)),IF(A119="Клемма",IF(C119="","",IF(C119=$S$7,SUMIFS(Однолинейка!$BW$3:$BW$3000,Однолинейка!$A$3:$A$3000,Щит_спец),IF(C119=$S$8,SUMIFS(Однолинейка!$BX$3:$BX$3000,Однолинейка!$A$3:$A$3000,Щит_спец),""))),""))))</f>
        <v/>
      </c>
      <c r="O119" s="74"/>
      <c r="P119" s="38" t="str">
        <f t="shared" si="9"/>
        <v/>
      </c>
      <c r="U119" s="38" t="str">
        <f t="shared" si="10"/>
        <v/>
      </c>
      <c r="V119" s="38" t="str">
        <f t="shared" si="11"/>
        <v/>
      </c>
      <c r="W119" s="38" t="str">
        <f>IF(AND(U119&lt;&gt;"",OR($S$4="(все)",B119=$S$4),IF($S$4="(все)",COUNTIF($U$4:U119,U119),COUNTIFS($U$4:U119,U119,$B$4:B119,B119))=1),MAX($W$3:W118)+1,"")</f>
        <v/>
      </c>
      <c r="X119" s="38" t="str">
        <f t="shared" si="12"/>
        <v/>
      </c>
      <c r="Y119" s="38" t="str">
        <f>IF(AND(A119="Аппарат",C119&lt;&gt;"",OR($S$5="(все)",B119=$S$5)),MAX($Y$3:Y118)+1,"")</f>
        <v/>
      </c>
      <c r="Z119" s="38" t="str">
        <f t="shared" si="13"/>
        <v/>
      </c>
      <c r="AA119" s="38" t="str">
        <f>IF(AND(A119="Модуль",C119&lt;&gt;"",OR($S$6="(все)",B119=$S$6)),MAX($AA$3:AA118)+1,"")</f>
        <v/>
      </c>
      <c r="AB119" s="38" t="str">
        <f t="shared" si="14"/>
        <v/>
      </c>
      <c r="AC119" s="38" t="str">
        <f>IF(OR(B119="",COUNTIF($B$4:B119,B119)&gt;1),"",MAX($AC$3:AC118)+1)</f>
        <v/>
      </c>
      <c r="AD119" s="38" t="str">
        <f t="shared" si="15"/>
        <v/>
      </c>
      <c r="AE119" s="38" t="str">
        <f t="shared" si="16"/>
        <v/>
      </c>
      <c r="AF119" s="38" t="str">
        <f t="shared" si="17"/>
        <v/>
      </c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8" t="str">
        <f>IF(OR(A120="Автомат",A120="Дифавтомат"),IF(W120="","",COUNTIFS(Однолинейка!$H$3:$H$3000,U120,Однолинейка!$A$3:$A$3000,Щит_спец)),IF(A120="Аппарат",IF(C120="","",COUNTIFS(Однолинейка!$I$3:$I$3000,C120,Однолинейка!$A$3:$A$3000,Щит_спец)+COUNTIFS(Однолинейка!$J$3:$J$3000,C120,Однолинейка!$A$3:$A$3000,Щит_спец)+COUNTIFS(Однолинейка!$K$3:$K$3000,C120,Однолинейка!$A$3:$A$3000,Щит_спец)),IF(A120="Модуль",IF(C120="","",COUNTIFS(Однолинейка!$AW$3:$AW$3000,"?*",Однолинейка!$AI$3:$AI$3000,C120,Однолинейка!$A$3:$A$3000,Щит_спец)),IF(A120="Клемма",IF(C120="","",IF(C120=$S$7,SUMIFS(Однолинейка!$BW$3:$BW$3000,Однолинейка!$A$3:$A$3000,Щит_спец),IF(C120=$S$8,SUMIFS(Однолинейка!$BX$3:$BX$3000,Однолинейка!$A$3:$A$3000,Щит_спец),""))),""))))</f>
        <v/>
      </c>
      <c r="O120" s="74"/>
      <c r="P120" s="38" t="str">
        <f t="shared" si="9"/>
        <v/>
      </c>
      <c r="U120" s="38" t="str">
        <f t="shared" si="10"/>
        <v/>
      </c>
      <c r="V120" s="38" t="str">
        <f t="shared" si="11"/>
        <v/>
      </c>
      <c r="W120" s="38" t="str">
        <f>IF(AND(U120&lt;&gt;"",OR($S$4="(все)",B120=$S$4),IF($S$4="(все)",COUNTIF($U$4:U120,U120),COUNTIFS($U$4:U120,U120,$B$4:B120,B120))=1),MAX($W$3:W119)+1,"")</f>
        <v/>
      </c>
      <c r="X120" s="38" t="str">
        <f t="shared" si="12"/>
        <v/>
      </c>
      <c r="Y120" s="38" t="str">
        <f>IF(AND(A120="Аппарат",C120&lt;&gt;"",OR($S$5="(все)",B120=$S$5)),MAX($Y$3:Y119)+1,"")</f>
        <v/>
      </c>
      <c r="Z120" s="38" t="str">
        <f t="shared" si="13"/>
        <v/>
      </c>
      <c r="AA120" s="38" t="str">
        <f>IF(AND(A120="Модуль",C120&lt;&gt;"",OR($S$6="(все)",B120=$S$6)),MAX($AA$3:AA119)+1,"")</f>
        <v/>
      </c>
      <c r="AB120" s="38" t="str">
        <f t="shared" si="14"/>
        <v/>
      </c>
      <c r="AC120" s="38" t="str">
        <f>IF(OR(B120="",COUNTIF($B$4:B120,B120)&gt;1),"",MAX($AC$3:AC119)+1)</f>
        <v/>
      </c>
      <c r="AD120" s="38" t="str">
        <f t="shared" si="15"/>
        <v/>
      </c>
      <c r="AE120" s="38" t="str">
        <f t="shared" si="16"/>
        <v/>
      </c>
      <c r="AF120" s="38" t="str">
        <f t="shared" si="17"/>
        <v/>
      </c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8" t="str">
        <f>IF(OR(A121="Автомат",A121="Дифавтомат"),IF(W121="","",COUNTIFS(Однолинейка!$H$3:$H$3000,U121,Однолинейка!$A$3:$A$3000,Щит_спец)),IF(A121="Аппарат",IF(C121="","",COUNTIFS(Однолинейка!$I$3:$I$3000,C121,Однолинейка!$A$3:$A$3000,Щит_спец)+COUNTIFS(Однолинейка!$J$3:$J$3000,C121,Однолинейка!$A$3:$A$3000,Щит_спец)+COUNTIFS(Однолинейка!$K$3:$K$3000,C121,Однолинейка!$A$3:$A$3000,Щит_спец)),IF(A121="Модуль",IF(C121="","",COUNTIFS(Однолинейка!$AW$3:$AW$3000,"?*",Однолинейка!$AI$3:$AI$3000,C121,Однолинейка!$A$3:$A$3000,Щит_спец)),IF(A121="Клемма",IF(C121="","",IF(C121=$S$7,SUMIFS(Однолинейка!$BW$3:$BW$3000,Однолинейка!$A$3:$A$3000,Щит_спец),IF(C121=$S$8,SUMIFS(Однолинейка!$BX$3:$BX$3000,Однолинейка!$A$3:$A$3000,Щит_спец),""))),""))))</f>
        <v/>
      </c>
      <c r="O121" s="74"/>
      <c r="P121" s="38" t="str">
        <f t="shared" si="9"/>
        <v/>
      </c>
      <c r="U121" s="38" t="str">
        <f t="shared" si="10"/>
        <v/>
      </c>
      <c r="V121" s="38" t="str">
        <f t="shared" si="11"/>
        <v/>
      </c>
      <c r="W121" s="38" t="str">
        <f>IF(AND(U121&lt;&gt;"",OR($S$4="(все)",B121=$S$4),IF($S$4="(все)",COUNTIF($U$4:U121,U121),COUNTIFS($U$4:U121,U121,$B$4:B121,B121))=1),MAX($W$3:W120)+1,"")</f>
        <v/>
      </c>
      <c r="X121" s="38" t="str">
        <f t="shared" si="12"/>
        <v/>
      </c>
      <c r="Y121" s="38" t="str">
        <f>IF(AND(A121="Аппарат",C121&lt;&gt;"",OR($S$5="(все)",B121=$S$5)),MAX($Y$3:Y120)+1,"")</f>
        <v/>
      </c>
      <c r="Z121" s="38" t="str">
        <f t="shared" si="13"/>
        <v/>
      </c>
      <c r="AA121" s="38" t="str">
        <f>IF(AND(A121="Модуль",C121&lt;&gt;"",OR($S$6="(все)",B121=$S$6)),MAX($AA$3:AA120)+1,"")</f>
        <v/>
      </c>
      <c r="AB121" s="38" t="str">
        <f t="shared" si="14"/>
        <v/>
      </c>
      <c r="AC121" s="38" t="str">
        <f>IF(OR(B121="",COUNTIF($B$4:B121,B121)&gt;1),"",MAX($AC$3:AC120)+1)</f>
        <v/>
      </c>
      <c r="AD121" s="38" t="str">
        <f t="shared" si="15"/>
        <v/>
      </c>
      <c r="AE121" s="38" t="str">
        <f t="shared" si="16"/>
        <v/>
      </c>
      <c r="AF121" s="38" t="str">
        <f t="shared" si="17"/>
        <v/>
      </c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8" t="str">
        <f>IF(OR(A122="Автомат",A122="Дифавтомат"),IF(W122="","",COUNTIFS(Однолинейка!$H$3:$H$3000,U122,Однолинейка!$A$3:$A$3000,Щит_спец)),IF(A122="Аппарат",IF(C122="","",COUNTIFS(Однолинейка!$I$3:$I$3000,C122,Однолинейка!$A$3:$A$3000,Щит_спец)+COUNTIFS(Однолинейка!$J$3:$J$3000,C122,Однолинейка!$A$3:$A$3000,Щит_спец)+COUNTIFS(Однолинейка!$K$3:$K$3000,C122,Однолинейка!$A$3:$A$3000,Щит_спец)),IF(A122="Модуль",IF(C122="","",COUNTIFS(Однолинейка!$AW$3:$AW$3000,"?*",Однолинейка!$AI$3:$AI$3000,C122,Однолинейка!$A$3:$A$3000,Щит_спец)),IF(A122="Клемма",IF(C122="","",IF(C122=$S$7,SUMIFS(Однолинейка!$BW$3:$BW$3000,Однолинейка!$A$3:$A$3000,Щит_спец),IF(C122=$S$8,SUMIFS(Однолинейка!$BX$3:$BX$3000,Однолинейка!$A$3:$A$3000,Щит_спец),""))),""))))</f>
        <v/>
      </c>
      <c r="O122" s="74"/>
      <c r="P122" s="38" t="str">
        <f t="shared" si="9"/>
        <v/>
      </c>
      <c r="U122" s="38" t="str">
        <f t="shared" si="10"/>
        <v/>
      </c>
      <c r="V122" s="38" t="str">
        <f t="shared" si="11"/>
        <v/>
      </c>
      <c r="W122" s="38" t="str">
        <f>IF(AND(U122&lt;&gt;"",OR($S$4="(все)",B122=$S$4),IF($S$4="(все)",COUNTIF($U$4:U122,U122),COUNTIFS($U$4:U122,U122,$B$4:B122,B122))=1),MAX($W$3:W121)+1,"")</f>
        <v/>
      </c>
      <c r="X122" s="38" t="str">
        <f t="shared" si="12"/>
        <v/>
      </c>
      <c r="Y122" s="38" t="str">
        <f>IF(AND(A122="Аппарат",C122&lt;&gt;"",OR($S$5="(все)",B122=$S$5)),MAX($Y$3:Y121)+1,"")</f>
        <v/>
      </c>
      <c r="Z122" s="38" t="str">
        <f t="shared" si="13"/>
        <v/>
      </c>
      <c r="AA122" s="38" t="str">
        <f>IF(AND(A122="Модуль",C122&lt;&gt;"",OR($S$6="(все)",B122=$S$6)),MAX($AA$3:AA121)+1,"")</f>
        <v/>
      </c>
      <c r="AB122" s="38" t="str">
        <f t="shared" si="14"/>
        <v/>
      </c>
      <c r="AC122" s="38" t="str">
        <f>IF(OR(B122="",COUNTIF($B$4:B122,B122)&gt;1),"",MAX($AC$3:AC121)+1)</f>
        <v/>
      </c>
      <c r="AD122" s="38" t="str">
        <f t="shared" si="15"/>
        <v/>
      </c>
      <c r="AE122" s="38" t="str">
        <f t="shared" si="16"/>
        <v/>
      </c>
      <c r="AF122" s="38" t="str">
        <f t="shared" si="17"/>
        <v/>
      </c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8" t="str">
        <f>IF(OR(A123="Автомат",A123="Дифавтомат"),IF(W123="","",COUNTIFS(Однолинейка!$H$3:$H$3000,U123,Однолинейка!$A$3:$A$3000,Щит_спец)),IF(A123="Аппарат",IF(C123="","",COUNTIFS(Однолинейка!$I$3:$I$3000,C123,Однолинейка!$A$3:$A$3000,Щит_спец)+COUNTIFS(Однолинейка!$J$3:$J$3000,C123,Однолинейка!$A$3:$A$3000,Щит_спец)+COUNTIFS(Однолинейка!$K$3:$K$3000,C123,Однолинейка!$A$3:$A$3000,Щит_спец)),IF(A123="Модуль",IF(C123="","",COUNTIFS(Однолинейка!$AW$3:$AW$3000,"?*",Однолинейка!$AI$3:$AI$3000,C123,Однолинейка!$A$3:$A$3000,Щит_спец)),IF(A123="Клемма",IF(C123="","",IF(C123=$S$7,SUMIFS(Однолинейка!$BW$3:$BW$3000,Однолинейка!$A$3:$A$3000,Щит_спец),IF(C123=$S$8,SUMIFS(Однолинейка!$BX$3:$BX$3000,Однолинейка!$A$3:$A$3000,Щит_спец),""))),""))))</f>
        <v/>
      </c>
      <c r="O123" s="74"/>
      <c r="P123" s="38" t="str">
        <f t="shared" si="9"/>
        <v/>
      </c>
      <c r="U123" s="38" t="str">
        <f t="shared" si="10"/>
        <v/>
      </c>
      <c r="V123" s="38" t="str">
        <f t="shared" si="11"/>
        <v/>
      </c>
      <c r="W123" s="38" t="str">
        <f>IF(AND(U123&lt;&gt;"",OR($S$4="(все)",B123=$S$4),IF($S$4="(все)",COUNTIF($U$4:U123,U123),COUNTIFS($U$4:U123,U123,$B$4:B123,B123))=1),MAX($W$3:W122)+1,"")</f>
        <v/>
      </c>
      <c r="X123" s="38" t="str">
        <f t="shared" si="12"/>
        <v/>
      </c>
      <c r="Y123" s="38" t="str">
        <f>IF(AND(A123="Аппарат",C123&lt;&gt;"",OR($S$5="(все)",B123=$S$5)),MAX($Y$3:Y122)+1,"")</f>
        <v/>
      </c>
      <c r="Z123" s="38" t="str">
        <f t="shared" si="13"/>
        <v/>
      </c>
      <c r="AA123" s="38" t="str">
        <f>IF(AND(A123="Модуль",C123&lt;&gt;"",OR($S$6="(все)",B123=$S$6)),MAX($AA$3:AA122)+1,"")</f>
        <v/>
      </c>
      <c r="AB123" s="38" t="str">
        <f t="shared" si="14"/>
        <v/>
      </c>
      <c r="AC123" s="38" t="str">
        <f>IF(OR(B123="",COUNTIF($B$4:B123,B123)&gt;1),"",MAX($AC$3:AC122)+1)</f>
        <v/>
      </c>
      <c r="AD123" s="38" t="str">
        <f t="shared" si="15"/>
        <v/>
      </c>
      <c r="AE123" s="38" t="str">
        <f t="shared" si="16"/>
        <v/>
      </c>
      <c r="AF123" s="38" t="str">
        <f t="shared" si="17"/>
        <v/>
      </c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8" t="str">
        <f>IF(OR(A124="Автомат",A124="Дифавтомат"),IF(W124="","",COUNTIFS(Однолинейка!$H$3:$H$3000,U124,Однолинейка!$A$3:$A$3000,Щит_спец)),IF(A124="Аппарат",IF(C124="","",COUNTIFS(Однолинейка!$I$3:$I$3000,C124,Однолинейка!$A$3:$A$3000,Щит_спец)+COUNTIFS(Однолинейка!$J$3:$J$3000,C124,Однолинейка!$A$3:$A$3000,Щит_спец)+COUNTIFS(Однолинейка!$K$3:$K$3000,C124,Однолинейка!$A$3:$A$3000,Щит_спец)),IF(A124="Модуль",IF(C124="","",COUNTIFS(Однолинейка!$AW$3:$AW$3000,"?*",Однолинейка!$AI$3:$AI$3000,C124,Однолинейка!$A$3:$A$3000,Щит_спец)),IF(A124="Клемма",IF(C124="","",IF(C124=$S$7,SUMIFS(Однолинейка!$BW$3:$BW$3000,Однолинейка!$A$3:$A$3000,Щит_спец),IF(C124=$S$8,SUMIFS(Однолинейка!$BX$3:$BX$3000,Однолинейка!$A$3:$A$3000,Щит_спец),""))),""))))</f>
        <v/>
      </c>
      <c r="O124" s="74"/>
      <c r="P124" s="38" t="str">
        <f t="shared" si="9"/>
        <v/>
      </c>
      <c r="U124" s="38" t="str">
        <f t="shared" si="10"/>
        <v/>
      </c>
      <c r="V124" s="38" t="str">
        <f t="shared" si="11"/>
        <v/>
      </c>
      <c r="W124" s="38" t="str">
        <f>IF(AND(U124&lt;&gt;"",OR($S$4="(все)",B124=$S$4),IF($S$4="(все)",COUNTIF($U$4:U124,U124),COUNTIFS($U$4:U124,U124,$B$4:B124,B124))=1),MAX($W$3:W123)+1,"")</f>
        <v/>
      </c>
      <c r="X124" s="38" t="str">
        <f t="shared" si="12"/>
        <v/>
      </c>
      <c r="Y124" s="38" t="str">
        <f>IF(AND(A124="Аппарат",C124&lt;&gt;"",OR($S$5="(все)",B124=$S$5)),MAX($Y$3:Y123)+1,"")</f>
        <v/>
      </c>
      <c r="Z124" s="38" t="str">
        <f t="shared" si="13"/>
        <v/>
      </c>
      <c r="AA124" s="38" t="str">
        <f>IF(AND(A124="Модуль",C124&lt;&gt;"",OR($S$6="(все)",B124=$S$6)),MAX($AA$3:AA123)+1,"")</f>
        <v/>
      </c>
      <c r="AB124" s="38" t="str">
        <f t="shared" si="14"/>
        <v/>
      </c>
      <c r="AC124" s="38" t="str">
        <f>IF(OR(B124="",COUNTIF($B$4:B124,B124)&gt;1),"",MAX($AC$3:AC123)+1)</f>
        <v/>
      </c>
      <c r="AD124" s="38" t="str">
        <f t="shared" si="15"/>
        <v/>
      </c>
      <c r="AE124" s="38" t="str">
        <f t="shared" si="16"/>
        <v/>
      </c>
      <c r="AF124" s="38" t="str">
        <f t="shared" si="17"/>
        <v/>
      </c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8" t="str">
        <f>IF(OR(A125="Автомат",A125="Дифавтомат"),IF(W125="","",COUNTIFS(Однолинейка!$H$3:$H$3000,U125,Однолинейка!$A$3:$A$3000,Щит_спец)),IF(A125="Аппарат",IF(C125="","",COUNTIFS(Однолинейка!$I$3:$I$3000,C125,Однолинейка!$A$3:$A$3000,Щит_спец)+COUNTIFS(Однолинейка!$J$3:$J$3000,C125,Однолинейка!$A$3:$A$3000,Щит_спец)+COUNTIFS(Однолинейка!$K$3:$K$3000,C125,Однолинейка!$A$3:$A$3000,Щит_спец)),IF(A125="Модуль",IF(C125="","",COUNTIFS(Однолинейка!$AW$3:$AW$3000,"?*",Однолинейка!$AI$3:$AI$3000,C125,Однолинейка!$A$3:$A$3000,Щит_спец)),IF(A125="Клемма",IF(C125="","",IF(C125=$S$7,SUMIFS(Однолинейка!$BW$3:$BW$3000,Однолинейка!$A$3:$A$3000,Щит_спец),IF(C125=$S$8,SUMIFS(Однолинейка!$BX$3:$BX$3000,Однолинейка!$A$3:$A$3000,Щит_спец),""))),""))))</f>
        <v/>
      </c>
      <c r="O125" s="74"/>
      <c r="P125" s="38" t="str">
        <f t="shared" si="9"/>
        <v/>
      </c>
      <c r="U125" s="38" t="str">
        <f t="shared" si="10"/>
        <v/>
      </c>
      <c r="V125" s="38" t="str">
        <f t="shared" si="11"/>
        <v/>
      </c>
      <c r="W125" s="38" t="str">
        <f>IF(AND(U125&lt;&gt;"",OR($S$4="(все)",B125=$S$4),IF($S$4="(все)",COUNTIF($U$4:U125,U125),COUNTIFS($U$4:U125,U125,$B$4:B125,B125))=1),MAX($W$3:W124)+1,"")</f>
        <v/>
      </c>
      <c r="X125" s="38" t="str">
        <f t="shared" si="12"/>
        <v/>
      </c>
      <c r="Y125" s="38" t="str">
        <f>IF(AND(A125="Аппарат",C125&lt;&gt;"",OR($S$5="(все)",B125=$S$5)),MAX($Y$3:Y124)+1,"")</f>
        <v/>
      </c>
      <c r="Z125" s="38" t="str">
        <f t="shared" si="13"/>
        <v/>
      </c>
      <c r="AA125" s="38" t="str">
        <f>IF(AND(A125="Модуль",C125&lt;&gt;"",OR($S$6="(все)",B125=$S$6)),MAX($AA$3:AA124)+1,"")</f>
        <v/>
      </c>
      <c r="AB125" s="38" t="str">
        <f t="shared" si="14"/>
        <v/>
      </c>
      <c r="AC125" s="38" t="str">
        <f>IF(OR(B125="",COUNTIF($B$4:B125,B125)&gt;1),"",MAX($AC$3:AC124)+1)</f>
        <v/>
      </c>
      <c r="AD125" s="38" t="str">
        <f t="shared" si="15"/>
        <v/>
      </c>
      <c r="AE125" s="38" t="str">
        <f t="shared" si="16"/>
        <v/>
      </c>
      <c r="AF125" s="38" t="str">
        <f t="shared" si="17"/>
        <v/>
      </c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38" t="str">
        <f>IF(OR(A126="Автомат",A126="Дифавтомат"),IF(W126="","",COUNTIFS(Однолинейка!$H$3:$H$3000,U126,Однолинейка!$A$3:$A$3000,Щит_спец)),IF(A126="Аппарат",IF(C126="","",COUNTIFS(Однолинейка!$I$3:$I$3000,C126,Однолинейка!$A$3:$A$3000,Щит_спец)+COUNTIFS(Однолинейка!$J$3:$J$3000,C126,Однолинейка!$A$3:$A$3000,Щит_спец)+COUNTIFS(Однолинейка!$K$3:$K$3000,C126,Однолинейка!$A$3:$A$3000,Щит_спец)),IF(A126="Модуль",IF(C126="","",COUNTIFS(Однолинейка!$AW$3:$AW$3000,"?*",Однолинейка!$AI$3:$AI$3000,C126,Однолинейка!$A$3:$A$3000,Щит_спец)),IF(A126="Клемма",IF(C126="","",IF(C126=$S$7,SUMIFS(Однолинейка!$BW$3:$BW$3000,Однолинейка!$A$3:$A$3000,Щит_спец),IF(C126=$S$8,SUMIFS(Однолинейка!$BX$3:$BX$3000,Однолинейка!$A$3:$A$3000,Щит_спец),""))),""))))</f>
        <v/>
      </c>
      <c r="O126" s="74"/>
      <c r="P126" s="38" t="str">
        <f t="shared" si="9"/>
        <v/>
      </c>
      <c r="U126" s="38" t="str">
        <f t="shared" si="10"/>
        <v/>
      </c>
      <c r="V126" s="38" t="str">
        <f t="shared" si="11"/>
        <v/>
      </c>
      <c r="W126" s="38" t="str">
        <f>IF(AND(U126&lt;&gt;"",OR($S$4="(все)",B126=$S$4),IF($S$4="(все)",COUNTIF($U$4:U126,U126),COUNTIFS($U$4:U126,U126,$B$4:B126,B126))=1),MAX($W$3:W125)+1,"")</f>
        <v/>
      </c>
      <c r="X126" s="38" t="str">
        <f t="shared" si="12"/>
        <v/>
      </c>
      <c r="Y126" s="38" t="str">
        <f>IF(AND(A126="Аппарат",C126&lt;&gt;"",OR($S$5="(все)",B126=$S$5)),MAX($Y$3:Y125)+1,"")</f>
        <v/>
      </c>
      <c r="Z126" s="38" t="str">
        <f t="shared" si="13"/>
        <v/>
      </c>
      <c r="AA126" s="38" t="str">
        <f>IF(AND(A126="Модуль",C126&lt;&gt;"",OR($S$6="(все)",B126=$S$6)),MAX($AA$3:AA125)+1,"")</f>
        <v/>
      </c>
      <c r="AB126" s="38" t="str">
        <f t="shared" si="14"/>
        <v/>
      </c>
      <c r="AC126" s="38" t="str">
        <f>IF(OR(B126="",COUNTIF($B$4:B126,B126)&gt;1),"",MAX($AC$3:AC125)+1)</f>
        <v/>
      </c>
      <c r="AD126" s="38" t="str">
        <f t="shared" si="15"/>
        <v/>
      </c>
      <c r="AE126" s="38" t="str">
        <f t="shared" si="16"/>
        <v/>
      </c>
      <c r="AF126" s="38" t="str">
        <f t="shared" si="17"/>
        <v/>
      </c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38" t="str">
        <f>IF(OR(A127="Автомат",A127="Дифавтомат"),IF(W127="","",COUNTIFS(Однолинейка!$H$3:$H$3000,U127,Однолинейка!$A$3:$A$3000,Щит_спец)),IF(A127="Аппарат",IF(C127="","",COUNTIFS(Однолинейка!$I$3:$I$3000,C127,Однолинейка!$A$3:$A$3000,Щит_спец)+COUNTIFS(Однолинейка!$J$3:$J$3000,C127,Однолинейка!$A$3:$A$3000,Щит_спец)+COUNTIFS(Однолинейка!$K$3:$K$3000,C127,Однолинейка!$A$3:$A$3000,Щит_спец)),IF(A127="Модуль",IF(C127="","",COUNTIFS(Однолинейка!$AW$3:$AW$3000,"?*",Однолинейка!$AI$3:$AI$3000,C127,Однолинейка!$A$3:$A$3000,Щит_спец)),IF(A127="Клемма",IF(C127="","",IF(C127=$S$7,SUMIFS(Однолинейка!$BW$3:$BW$3000,Однолинейка!$A$3:$A$3000,Щит_спец),IF(C127=$S$8,SUMIFS(Однолинейка!$BX$3:$BX$3000,Однолинейка!$A$3:$A$3000,Щит_спец),""))),""))))</f>
        <v/>
      </c>
      <c r="O127" s="74"/>
      <c r="P127" s="38" t="str">
        <f t="shared" si="9"/>
        <v/>
      </c>
      <c r="U127" s="38" t="str">
        <f t="shared" si="10"/>
        <v/>
      </c>
      <c r="V127" s="38" t="str">
        <f t="shared" si="11"/>
        <v/>
      </c>
      <c r="W127" s="38" t="str">
        <f>IF(AND(U127&lt;&gt;"",OR($S$4="(все)",B127=$S$4),IF($S$4="(все)",COUNTIF($U$4:U127,U127),COUNTIFS($U$4:U127,U127,$B$4:B127,B127))=1),MAX($W$3:W126)+1,"")</f>
        <v/>
      </c>
      <c r="X127" s="38" t="str">
        <f t="shared" si="12"/>
        <v/>
      </c>
      <c r="Y127" s="38" t="str">
        <f>IF(AND(A127="Аппарат",C127&lt;&gt;"",OR($S$5="(все)",B127=$S$5)),MAX($Y$3:Y126)+1,"")</f>
        <v/>
      </c>
      <c r="Z127" s="38" t="str">
        <f t="shared" si="13"/>
        <v/>
      </c>
      <c r="AA127" s="38" t="str">
        <f>IF(AND(A127="Модуль",C127&lt;&gt;"",OR($S$6="(все)",B127=$S$6)),MAX($AA$3:AA126)+1,"")</f>
        <v/>
      </c>
      <c r="AB127" s="38" t="str">
        <f t="shared" si="14"/>
        <v/>
      </c>
      <c r="AC127" s="38" t="str">
        <f>IF(OR(B127="",COUNTIF($B$4:B127,B127)&gt;1),"",MAX($AC$3:AC126)+1)</f>
        <v/>
      </c>
      <c r="AD127" s="38" t="str">
        <f t="shared" si="15"/>
        <v/>
      </c>
      <c r="AE127" s="38" t="str">
        <f t="shared" si="16"/>
        <v/>
      </c>
      <c r="AF127" s="38" t="str">
        <f t="shared" si="17"/>
        <v/>
      </c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8" t="str">
        <f>IF(OR(A128="Автомат",A128="Дифавтомат"),IF(W128="","",COUNTIFS(Однолинейка!$H$3:$H$3000,U128,Однолинейка!$A$3:$A$3000,Щит_спец)),IF(A128="Аппарат",IF(C128="","",COUNTIFS(Однолинейка!$I$3:$I$3000,C128,Однолинейка!$A$3:$A$3000,Щит_спец)+COUNTIFS(Однолинейка!$J$3:$J$3000,C128,Однолинейка!$A$3:$A$3000,Щит_спец)+COUNTIFS(Однолинейка!$K$3:$K$3000,C128,Однолинейка!$A$3:$A$3000,Щит_спец)),IF(A128="Модуль",IF(C128="","",COUNTIFS(Однолинейка!$AW$3:$AW$3000,"?*",Однолинейка!$AI$3:$AI$3000,C128,Однолинейка!$A$3:$A$3000,Щит_спец)),IF(A128="Клемма",IF(C128="","",IF(C128=$S$7,SUMIFS(Однолинейка!$BW$3:$BW$3000,Однолинейка!$A$3:$A$3000,Щит_спец),IF(C128=$S$8,SUMIFS(Однолинейка!$BX$3:$BX$3000,Однолинейка!$A$3:$A$3000,Щит_спец),""))),""))))</f>
        <v/>
      </c>
      <c r="O128" s="74"/>
      <c r="P128" s="38" t="str">
        <f t="shared" si="9"/>
        <v/>
      </c>
      <c r="U128" s="38" t="str">
        <f t="shared" si="10"/>
        <v/>
      </c>
      <c r="V128" s="38" t="str">
        <f t="shared" si="11"/>
        <v/>
      </c>
      <c r="W128" s="38" t="str">
        <f>IF(AND(U128&lt;&gt;"",OR($S$4="(все)",B128=$S$4),IF($S$4="(все)",COUNTIF($U$4:U128,U128),COUNTIFS($U$4:U128,U128,$B$4:B128,B128))=1),MAX($W$3:W127)+1,"")</f>
        <v/>
      </c>
      <c r="X128" s="38" t="str">
        <f t="shared" si="12"/>
        <v/>
      </c>
      <c r="Y128" s="38" t="str">
        <f>IF(AND(A128="Аппарат",C128&lt;&gt;"",OR($S$5="(все)",B128=$S$5)),MAX($Y$3:Y127)+1,"")</f>
        <v/>
      </c>
      <c r="Z128" s="38" t="str">
        <f t="shared" si="13"/>
        <v/>
      </c>
      <c r="AA128" s="38" t="str">
        <f>IF(AND(A128="Модуль",C128&lt;&gt;"",OR($S$6="(все)",B128=$S$6)),MAX($AA$3:AA127)+1,"")</f>
        <v/>
      </c>
      <c r="AB128" s="38" t="str">
        <f t="shared" si="14"/>
        <v/>
      </c>
      <c r="AC128" s="38" t="str">
        <f>IF(OR(B128="",COUNTIF($B$4:B128,B128)&gt;1),"",MAX($AC$3:AC127)+1)</f>
        <v/>
      </c>
      <c r="AD128" s="38" t="str">
        <f t="shared" si="15"/>
        <v/>
      </c>
      <c r="AE128" s="38" t="str">
        <f t="shared" si="16"/>
        <v/>
      </c>
      <c r="AF128" s="38" t="str">
        <f t="shared" si="17"/>
        <v/>
      </c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8" t="str">
        <f>IF(OR(A129="Автомат",A129="Дифавтомат"),IF(W129="","",COUNTIFS(Однолинейка!$H$3:$H$3000,U129,Однолинейка!$A$3:$A$3000,Щит_спец)),IF(A129="Аппарат",IF(C129="","",COUNTIFS(Однолинейка!$I$3:$I$3000,C129,Однолинейка!$A$3:$A$3000,Щит_спец)+COUNTIFS(Однолинейка!$J$3:$J$3000,C129,Однолинейка!$A$3:$A$3000,Щит_спец)+COUNTIFS(Однолинейка!$K$3:$K$3000,C129,Однолинейка!$A$3:$A$3000,Щит_спец)),IF(A129="Модуль",IF(C129="","",COUNTIFS(Однолинейка!$AW$3:$AW$3000,"?*",Однолинейка!$AI$3:$AI$3000,C129,Однолинейка!$A$3:$A$3000,Щит_спец)),IF(A129="Клемма",IF(C129="","",IF(C129=$S$7,SUMIFS(Однолинейка!$BW$3:$BW$3000,Однолинейка!$A$3:$A$3000,Щит_спец),IF(C129=$S$8,SUMIFS(Однолинейка!$BX$3:$BX$3000,Однолинейка!$A$3:$A$3000,Щит_спец),""))),""))))</f>
        <v/>
      </c>
      <c r="O129" s="74"/>
      <c r="P129" s="38" t="str">
        <f t="shared" si="9"/>
        <v/>
      </c>
      <c r="U129" s="38" t="str">
        <f t="shared" si="10"/>
        <v/>
      </c>
      <c r="V129" s="38" t="str">
        <f t="shared" si="11"/>
        <v/>
      </c>
      <c r="W129" s="38" t="str">
        <f>IF(AND(U129&lt;&gt;"",OR($S$4="(все)",B129=$S$4),IF($S$4="(все)",COUNTIF($U$4:U129,U129),COUNTIFS($U$4:U129,U129,$B$4:B129,B129))=1),MAX($W$3:W128)+1,"")</f>
        <v/>
      </c>
      <c r="X129" s="38" t="str">
        <f t="shared" si="12"/>
        <v/>
      </c>
      <c r="Y129" s="38" t="str">
        <f>IF(AND(A129="Аппарат",C129&lt;&gt;"",OR($S$5="(все)",B129=$S$5)),MAX($Y$3:Y128)+1,"")</f>
        <v/>
      </c>
      <c r="Z129" s="38" t="str">
        <f t="shared" si="13"/>
        <v/>
      </c>
      <c r="AA129" s="38" t="str">
        <f>IF(AND(A129="Модуль",C129&lt;&gt;"",OR($S$6="(все)",B129=$S$6)),MAX($AA$3:AA128)+1,"")</f>
        <v/>
      </c>
      <c r="AB129" s="38" t="str">
        <f t="shared" si="14"/>
        <v/>
      </c>
      <c r="AC129" s="38" t="str">
        <f>IF(OR(B129="",COUNTIF($B$4:B129,B129)&gt;1),"",MAX($AC$3:AC128)+1)</f>
        <v/>
      </c>
      <c r="AD129" s="38" t="str">
        <f t="shared" si="15"/>
        <v/>
      </c>
      <c r="AE129" s="38" t="str">
        <f t="shared" si="16"/>
        <v/>
      </c>
      <c r="AF129" s="38" t="str">
        <f t="shared" si="17"/>
        <v/>
      </c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8" t="str">
        <f>IF(OR(A130="Автомат",A130="Дифавтомат"),IF(W130="","",COUNTIFS(Однолинейка!$H$3:$H$3000,U130,Однолинейка!$A$3:$A$3000,Щит_спец)),IF(A130="Аппарат",IF(C130="","",COUNTIFS(Однолинейка!$I$3:$I$3000,C130,Однолинейка!$A$3:$A$3000,Щит_спец)+COUNTIFS(Однолинейка!$J$3:$J$3000,C130,Однолинейка!$A$3:$A$3000,Щит_спец)+COUNTIFS(Однолинейка!$K$3:$K$3000,C130,Однолинейка!$A$3:$A$3000,Щит_спец)),IF(A130="Модуль",IF(C130="","",COUNTIFS(Однолинейка!$AW$3:$AW$3000,"?*",Однолинейка!$AI$3:$AI$3000,C130,Однолинейка!$A$3:$A$3000,Щит_спец)),IF(A130="Клемма",IF(C130="","",IF(C130=$S$7,SUMIFS(Однолинейка!$BW$3:$BW$3000,Однолинейка!$A$3:$A$3000,Щит_спец),IF(C130=$S$8,SUMIFS(Однолинейка!$BX$3:$BX$3000,Однолинейка!$A$3:$A$3000,Щит_спец),""))),""))))</f>
        <v/>
      </c>
      <c r="O130" s="74"/>
      <c r="P130" s="38" t="str">
        <f t="shared" si="9"/>
        <v/>
      </c>
      <c r="U130" s="38" t="str">
        <f t="shared" si="10"/>
        <v/>
      </c>
      <c r="V130" s="38" t="str">
        <f t="shared" si="11"/>
        <v/>
      </c>
      <c r="W130" s="38" t="str">
        <f>IF(AND(U130&lt;&gt;"",OR($S$4="(все)",B130=$S$4),IF($S$4="(все)",COUNTIF($U$4:U130,U130),COUNTIFS($U$4:U130,U130,$B$4:B130,B130))=1),MAX($W$3:W129)+1,"")</f>
        <v/>
      </c>
      <c r="X130" s="38" t="str">
        <f t="shared" si="12"/>
        <v/>
      </c>
      <c r="Y130" s="38" t="str">
        <f>IF(AND(A130="Аппарат",C130&lt;&gt;"",OR($S$5="(все)",B130=$S$5)),MAX($Y$3:Y129)+1,"")</f>
        <v/>
      </c>
      <c r="Z130" s="38" t="str">
        <f t="shared" si="13"/>
        <v/>
      </c>
      <c r="AA130" s="38" t="str">
        <f>IF(AND(A130="Модуль",C130&lt;&gt;"",OR($S$6="(все)",B130=$S$6)),MAX($AA$3:AA129)+1,"")</f>
        <v/>
      </c>
      <c r="AB130" s="38" t="str">
        <f t="shared" si="14"/>
        <v/>
      </c>
      <c r="AC130" s="38" t="str">
        <f>IF(OR(B130="",COUNTIF($B$4:B130,B130)&gt;1),"",MAX($AC$3:AC129)+1)</f>
        <v/>
      </c>
      <c r="AD130" s="38" t="str">
        <f t="shared" si="15"/>
        <v/>
      </c>
      <c r="AE130" s="38" t="str">
        <f t="shared" si="16"/>
        <v/>
      </c>
      <c r="AF130" s="38" t="str">
        <f t="shared" si="17"/>
        <v/>
      </c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8" t="str">
        <f>IF(OR(A131="Автомат",A131="Дифавтомат"),IF(W131="","",COUNTIFS(Однолинейка!$H$3:$H$3000,U131,Однолинейка!$A$3:$A$3000,Щит_спец)),IF(A131="Аппарат",IF(C131="","",COUNTIFS(Однолинейка!$I$3:$I$3000,C131,Однолинейка!$A$3:$A$3000,Щит_спец)+COUNTIFS(Однолинейка!$J$3:$J$3000,C131,Однолинейка!$A$3:$A$3000,Щит_спец)+COUNTIFS(Однолинейка!$K$3:$K$3000,C131,Однолинейка!$A$3:$A$3000,Щит_спец)),IF(A131="Модуль",IF(C131="","",COUNTIFS(Однолинейка!$AW$3:$AW$3000,"?*",Однолинейка!$AI$3:$AI$3000,C131,Однолинейка!$A$3:$A$3000,Щит_спец)),IF(A131="Клемма",IF(C131="","",IF(C131=$S$7,SUMIFS(Однолинейка!$BW$3:$BW$3000,Однолинейка!$A$3:$A$3000,Щит_спец),IF(C131=$S$8,SUMIFS(Однолинейка!$BX$3:$BX$3000,Однолинейка!$A$3:$A$3000,Щит_спец),""))),""))))</f>
        <v/>
      </c>
      <c r="O131" s="74"/>
      <c r="P131" s="38" t="str">
        <f t="shared" si="9"/>
        <v/>
      </c>
      <c r="U131" s="38" t="str">
        <f t="shared" si="10"/>
        <v/>
      </c>
      <c r="V131" s="38" t="str">
        <f t="shared" si="11"/>
        <v/>
      </c>
      <c r="W131" s="38" t="str">
        <f>IF(AND(U131&lt;&gt;"",OR($S$4="(все)",B131=$S$4),IF($S$4="(все)",COUNTIF($U$4:U131,U131),COUNTIFS($U$4:U131,U131,$B$4:B131,B131))=1),MAX($W$3:W130)+1,"")</f>
        <v/>
      </c>
      <c r="X131" s="38" t="str">
        <f t="shared" si="12"/>
        <v/>
      </c>
      <c r="Y131" s="38" t="str">
        <f>IF(AND(A131="Аппарат",C131&lt;&gt;"",OR($S$5="(все)",B131=$S$5)),MAX($Y$3:Y130)+1,"")</f>
        <v/>
      </c>
      <c r="Z131" s="38" t="str">
        <f t="shared" si="13"/>
        <v/>
      </c>
      <c r="AA131" s="38" t="str">
        <f>IF(AND(A131="Модуль",C131&lt;&gt;"",OR($S$6="(все)",B131=$S$6)),MAX($AA$3:AA130)+1,"")</f>
        <v/>
      </c>
      <c r="AB131" s="38" t="str">
        <f t="shared" si="14"/>
        <v/>
      </c>
      <c r="AC131" s="38" t="str">
        <f>IF(OR(B131="",COUNTIF($B$4:B131,B131)&gt;1),"",MAX($AC$3:AC130)+1)</f>
        <v/>
      </c>
      <c r="AD131" s="38" t="str">
        <f t="shared" si="15"/>
        <v/>
      </c>
      <c r="AE131" s="38" t="str">
        <f t="shared" si="16"/>
        <v/>
      </c>
      <c r="AF131" s="38" t="str">
        <f t="shared" si="17"/>
        <v/>
      </c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38" t="str">
        <f>IF(OR(A132="Автомат",A132="Дифавтомат"),IF(W132="","",COUNTIFS(Однолинейка!$H$3:$H$3000,U132,Однолинейка!$A$3:$A$3000,Щит_спец)),IF(A132="Аппарат",IF(C132="","",COUNTIFS(Однолинейка!$I$3:$I$3000,C132,Однолинейка!$A$3:$A$3000,Щит_спец)+COUNTIFS(Однолинейка!$J$3:$J$3000,C132,Однолинейка!$A$3:$A$3000,Щит_спец)+COUNTIFS(Однолинейка!$K$3:$K$3000,C132,Однолинейка!$A$3:$A$3000,Щит_спец)),IF(A132="Модуль",IF(C132="","",COUNTIFS(Однолинейка!$AW$3:$AW$3000,"?*",Однолинейка!$AI$3:$AI$3000,C132,Однолинейка!$A$3:$A$3000,Щит_спец)),IF(A132="Клемма",IF(C132="","",IF(C132=$S$7,SUMIFS(Однолинейка!$BW$3:$BW$3000,Однолинейка!$A$3:$A$3000,Щит_спец),IF(C132=$S$8,SUMIFS(Однолинейка!$BX$3:$BX$3000,Однолинейка!$A$3:$A$3000,Щит_спец),""))),""))))</f>
        <v/>
      </c>
      <c r="O132" s="74"/>
      <c r="P132" s="38" t="str">
        <f t="shared" ref="P132:P195" si="18">IF(COUNT(N132,O132)=0,"",SUM(N132,O132))</f>
        <v/>
      </c>
      <c r="U132" s="38" t="str">
        <f t="shared" ref="U132:U195" si="19">IF(OR(A132="Автомат",A132="Дифавтомат"),I132&amp;" С"&amp;J132&amp;"А"&amp;IF(K132="да"," 30мА",IF(ISNUMBER(K132)," "&amp;K132&amp;"мА","")),"")</f>
        <v/>
      </c>
      <c r="V132" s="38" t="str">
        <f t="shared" ref="V132:V195" si="20">IF(U132="","",B132&amp;"|"&amp;U132)</f>
        <v/>
      </c>
      <c r="W132" s="38" t="str">
        <f>IF(AND(U132&lt;&gt;"",OR($S$4="(все)",B132=$S$4),IF($S$4="(все)",COUNTIF($U$4:U132,U132),COUNTIFS($U$4:U132,U132,$B$4:B132,B132))=1),MAX($W$3:W131)+1,"")</f>
        <v/>
      </c>
      <c r="X132" s="38" t="str">
        <f t="shared" ref="X132:X195" si="21">IFERROR(INDEX($U$4:$U$500,MATCH(ROW()-3,$W$4:$W$500,0)),"")</f>
        <v/>
      </c>
      <c r="Y132" s="38" t="str">
        <f>IF(AND(A132="Аппарат",C132&lt;&gt;"",OR($S$5="(все)",B132=$S$5)),MAX($Y$3:Y131)+1,"")</f>
        <v/>
      </c>
      <c r="Z132" s="38" t="str">
        <f t="shared" ref="Z132:Z195" si="22">IFERROR(INDEX($C$4:$C$500,MATCH(ROW()-3,$Y$4:$Y$500,0)),"")</f>
        <v/>
      </c>
      <c r="AA132" s="38" t="str">
        <f>IF(AND(A132="Модуль",C132&lt;&gt;"",OR($S$6="(все)",B132=$S$6)),MAX($AA$3:AA131)+1,"")</f>
        <v/>
      </c>
      <c r="AB132" s="38" t="str">
        <f t="shared" ref="AB132:AB195" si="23">IFERROR(INDEX($C$4:$C$500,MATCH(ROW()-3,$AA$4:$AA$500,0)),"")</f>
        <v/>
      </c>
      <c r="AC132" s="38" t="str">
        <f>IF(OR(B132="",COUNTIF($B$4:B132,B132)&gt;1),"",MAX($AC$3:AC131)+1)</f>
        <v/>
      </c>
      <c r="AD132" s="38" t="str">
        <f t="shared" ref="AD132:AD195" si="24">IFERROR(INDEX($B$4:$B$500,MATCH(ROW()-3,$AC$4:$AC$500,0)),"")</f>
        <v/>
      </c>
      <c r="AE132" s="38" t="str">
        <f t="shared" ref="AE132:AE195" si="25">IF(AND(A132&lt;&gt;"",N(P132)&gt;0),IFERROR(MATCH(A132,$R$12:$R$25,0),99)*1000+ROW(),"")</f>
        <v/>
      </c>
      <c r="AF132" s="38" t="str">
        <f t="shared" ref="AF132:AF195" si="26">IF(AE132="","",COUNTIF($AE$4:$AE$500,"&lt;="&amp;AE132))</f>
        <v/>
      </c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38" t="str">
        <f>IF(OR(A133="Автомат",A133="Дифавтомат"),IF(W133="","",COUNTIFS(Однолинейка!$H$3:$H$3000,U133,Однолинейка!$A$3:$A$3000,Щит_спец)),IF(A133="Аппарат",IF(C133="","",COUNTIFS(Однолинейка!$I$3:$I$3000,C133,Однолинейка!$A$3:$A$3000,Щит_спец)+COUNTIFS(Однолинейка!$J$3:$J$3000,C133,Однолинейка!$A$3:$A$3000,Щит_спец)+COUNTIFS(Однолинейка!$K$3:$K$3000,C133,Однолинейка!$A$3:$A$3000,Щит_спец)),IF(A133="Модуль",IF(C133="","",COUNTIFS(Однолинейка!$AW$3:$AW$3000,"?*",Однолинейка!$AI$3:$AI$3000,C133,Однолинейка!$A$3:$A$3000,Щит_спец)),IF(A133="Клемма",IF(C133="","",IF(C133=$S$7,SUMIFS(Однолинейка!$BW$3:$BW$3000,Однолинейка!$A$3:$A$3000,Щит_спец),IF(C133=$S$8,SUMIFS(Однолинейка!$BX$3:$BX$3000,Однолинейка!$A$3:$A$3000,Щит_спец),""))),""))))</f>
        <v/>
      </c>
      <c r="O133" s="74"/>
      <c r="P133" s="38" t="str">
        <f t="shared" si="18"/>
        <v/>
      </c>
      <c r="U133" s="38" t="str">
        <f t="shared" si="19"/>
        <v/>
      </c>
      <c r="V133" s="38" t="str">
        <f t="shared" si="20"/>
        <v/>
      </c>
      <c r="W133" s="38" t="str">
        <f>IF(AND(U133&lt;&gt;"",OR($S$4="(все)",B133=$S$4),IF($S$4="(все)",COUNTIF($U$4:U133,U133),COUNTIFS($U$4:U133,U133,$B$4:B133,B133))=1),MAX($W$3:W132)+1,"")</f>
        <v/>
      </c>
      <c r="X133" s="38" t="str">
        <f t="shared" si="21"/>
        <v/>
      </c>
      <c r="Y133" s="38" t="str">
        <f>IF(AND(A133="Аппарат",C133&lt;&gt;"",OR($S$5="(все)",B133=$S$5)),MAX($Y$3:Y132)+1,"")</f>
        <v/>
      </c>
      <c r="Z133" s="38" t="str">
        <f t="shared" si="22"/>
        <v/>
      </c>
      <c r="AA133" s="38" t="str">
        <f>IF(AND(A133="Модуль",C133&lt;&gt;"",OR($S$6="(все)",B133=$S$6)),MAX($AA$3:AA132)+1,"")</f>
        <v/>
      </c>
      <c r="AB133" s="38" t="str">
        <f t="shared" si="23"/>
        <v/>
      </c>
      <c r="AC133" s="38" t="str">
        <f>IF(OR(B133="",COUNTIF($B$4:B133,B133)&gt;1),"",MAX($AC$3:AC132)+1)</f>
        <v/>
      </c>
      <c r="AD133" s="38" t="str">
        <f t="shared" si="24"/>
        <v/>
      </c>
      <c r="AE133" s="38" t="str">
        <f t="shared" si="25"/>
        <v/>
      </c>
      <c r="AF133" s="38" t="str">
        <f t="shared" si="26"/>
        <v/>
      </c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8" t="str">
        <f>IF(OR(A134="Автомат",A134="Дифавтомат"),IF(W134="","",COUNTIFS(Однолинейка!$H$3:$H$3000,U134,Однолинейка!$A$3:$A$3000,Щит_спец)),IF(A134="Аппарат",IF(C134="","",COUNTIFS(Однолинейка!$I$3:$I$3000,C134,Однолинейка!$A$3:$A$3000,Щит_спец)+COUNTIFS(Однолинейка!$J$3:$J$3000,C134,Однолинейка!$A$3:$A$3000,Щит_спец)+COUNTIFS(Однолинейка!$K$3:$K$3000,C134,Однолинейка!$A$3:$A$3000,Щит_спец)),IF(A134="Модуль",IF(C134="","",COUNTIFS(Однолинейка!$AW$3:$AW$3000,"?*",Однолинейка!$AI$3:$AI$3000,C134,Однолинейка!$A$3:$A$3000,Щит_спец)),IF(A134="Клемма",IF(C134="","",IF(C134=$S$7,SUMIFS(Однолинейка!$BW$3:$BW$3000,Однолинейка!$A$3:$A$3000,Щит_спец),IF(C134=$S$8,SUMIFS(Однолинейка!$BX$3:$BX$3000,Однолинейка!$A$3:$A$3000,Щит_спец),""))),""))))</f>
        <v/>
      </c>
      <c r="O134" s="74"/>
      <c r="P134" s="38" t="str">
        <f t="shared" si="18"/>
        <v/>
      </c>
      <c r="U134" s="38" t="str">
        <f t="shared" si="19"/>
        <v/>
      </c>
      <c r="V134" s="38" t="str">
        <f t="shared" si="20"/>
        <v/>
      </c>
      <c r="W134" s="38" t="str">
        <f>IF(AND(U134&lt;&gt;"",OR($S$4="(все)",B134=$S$4),IF($S$4="(все)",COUNTIF($U$4:U134,U134),COUNTIFS($U$4:U134,U134,$B$4:B134,B134))=1),MAX($W$3:W133)+1,"")</f>
        <v/>
      </c>
      <c r="X134" s="38" t="str">
        <f t="shared" si="21"/>
        <v/>
      </c>
      <c r="Y134" s="38" t="str">
        <f>IF(AND(A134="Аппарат",C134&lt;&gt;"",OR($S$5="(все)",B134=$S$5)),MAX($Y$3:Y133)+1,"")</f>
        <v/>
      </c>
      <c r="Z134" s="38" t="str">
        <f t="shared" si="22"/>
        <v/>
      </c>
      <c r="AA134" s="38" t="str">
        <f>IF(AND(A134="Модуль",C134&lt;&gt;"",OR($S$6="(все)",B134=$S$6)),MAX($AA$3:AA133)+1,"")</f>
        <v/>
      </c>
      <c r="AB134" s="38" t="str">
        <f t="shared" si="23"/>
        <v/>
      </c>
      <c r="AC134" s="38" t="str">
        <f>IF(OR(B134="",COUNTIF($B$4:B134,B134)&gt;1),"",MAX($AC$3:AC133)+1)</f>
        <v/>
      </c>
      <c r="AD134" s="38" t="str">
        <f t="shared" si="24"/>
        <v/>
      </c>
      <c r="AE134" s="38" t="str">
        <f t="shared" si="25"/>
        <v/>
      </c>
      <c r="AF134" s="38" t="str">
        <f t="shared" si="26"/>
        <v/>
      </c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8" t="str">
        <f>IF(OR(A135="Автомат",A135="Дифавтомат"),IF(W135="","",COUNTIFS(Однолинейка!$H$3:$H$3000,U135,Однолинейка!$A$3:$A$3000,Щит_спец)),IF(A135="Аппарат",IF(C135="","",COUNTIFS(Однолинейка!$I$3:$I$3000,C135,Однолинейка!$A$3:$A$3000,Щит_спец)+COUNTIFS(Однолинейка!$J$3:$J$3000,C135,Однолинейка!$A$3:$A$3000,Щит_спец)+COUNTIFS(Однолинейка!$K$3:$K$3000,C135,Однолинейка!$A$3:$A$3000,Щит_спец)),IF(A135="Модуль",IF(C135="","",COUNTIFS(Однолинейка!$AW$3:$AW$3000,"?*",Однолинейка!$AI$3:$AI$3000,C135,Однолинейка!$A$3:$A$3000,Щит_спец)),IF(A135="Клемма",IF(C135="","",IF(C135=$S$7,SUMIFS(Однолинейка!$BW$3:$BW$3000,Однолинейка!$A$3:$A$3000,Щит_спец),IF(C135=$S$8,SUMIFS(Однолинейка!$BX$3:$BX$3000,Однолинейка!$A$3:$A$3000,Щит_спец),""))),""))))</f>
        <v/>
      </c>
      <c r="O135" s="74"/>
      <c r="P135" s="38" t="str">
        <f t="shared" si="18"/>
        <v/>
      </c>
      <c r="U135" s="38" t="str">
        <f t="shared" si="19"/>
        <v/>
      </c>
      <c r="V135" s="38" t="str">
        <f t="shared" si="20"/>
        <v/>
      </c>
      <c r="W135" s="38" t="str">
        <f>IF(AND(U135&lt;&gt;"",OR($S$4="(все)",B135=$S$4),IF($S$4="(все)",COUNTIF($U$4:U135,U135),COUNTIFS($U$4:U135,U135,$B$4:B135,B135))=1),MAX($W$3:W134)+1,"")</f>
        <v/>
      </c>
      <c r="X135" s="38" t="str">
        <f t="shared" si="21"/>
        <v/>
      </c>
      <c r="Y135" s="38" t="str">
        <f>IF(AND(A135="Аппарат",C135&lt;&gt;"",OR($S$5="(все)",B135=$S$5)),MAX($Y$3:Y134)+1,"")</f>
        <v/>
      </c>
      <c r="Z135" s="38" t="str">
        <f t="shared" si="22"/>
        <v/>
      </c>
      <c r="AA135" s="38" t="str">
        <f>IF(AND(A135="Модуль",C135&lt;&gt;"",OR($S$6="(все)",B135=$S$6)),MAX($AA$3:AA134)+1,"")</f>
        <v/>
      </c>
      <c r="AB135" s="38" t="str">
        <f t="shared" si="23"/>
        <v/>
      </c>
      <c r="AC135" s="38" t="str">
        <f>IF(OR(B135="",COUNTIF($B$4:B135,B135)&gt;1),"",MAX($AC$3:AC134)+1)</f>
        <v/>
      </c>
      <c r="AD135" s="38" t="str">
        <f t="shared" si="24"/>
        <v/>
      </c>
      <c r="AE135" s="38" t="str">
        <f t="shared" si="25"/>
        <v/>
      </c>
      <c r="AF135" s="38" t="str">
        <f t="shared" si="26"/>
        <v/>
      </c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8" t="str">
        <f>IF(OR(A136="Автомат",A136="Дифавтомат"),IF(W136="","",COUNTIFS(Однолинейка!$H$3:$H$3000,U136,Однолинейка!$A$3:$A$3000,Щит_спец)),IF(A136="Аппарат",IF(C136="","",COUNTIFS(Однолинейка!$I$3:$I$3000,C136,Однолинейка!$A$3:$A$3000,Щит_спец)+COUNTIFS(Однолинейка!$J$3:$J$3000,C136,Однолинейка!$A$3:$A$3000,Щит_спец)+COUNTIFS(Однолинейка!$K$3:$K$3000,C136,Однолинейка!$A$3:$A$3000,Щит_спец)),IF(A136="Модуль",IF(C136="","",COUNTIFS(Однолинейка!$AW$3:$AW$3000,"?*",Однолинейка!$AI$3:$AI$3000,C136,Однолинейка!$A$3:$A$3000,Щит_спец)),IF(A136="Клемма",IF(C136="","",IF(C136=$S$7,SUMIFS(Однолинейка!$BW$3:$BW$3000,Однолинейка!$A$3:$A$3000,Щит_спец),IF(C136=$S$8,SUMIFS(Однолинейка!$BX$3:$BX$3000,Однолинейка!$A$3:$A$3000,Щит_спец),""))),""))))</f>
        <v/>
      </c>
      <c r="O136" s="74"/>
      <c r="P136" s="38" t="str">
        <f t="shared" si="18"/>
        <v/>
      </c>
      <c r="U136" s="38" t="str">
        <f t="shared" si="19"/>
        <v/>
      </c>
      <c r="V136" s="38" t="str">
        <f t="shared" si="20"/>
        <v/>
      </c>
      <c r="W136" s="38" t="str">
        <f>IF(AND(U136&lt;&gt;"",OR($S$4="(все)",B136=$S$4),IF($S$4="(все)",COUNTIF($U$4:U136,U136),COUNTIFS($U$4:U136,U136,$B$4:B136,B136))=1),MAX($W$3:W135)+1,"")</f>
        <v/>
      </c>
      <c r="X136" s="38" t="str">
        <f t="shared" si="21"/>
        <v/>
      </c>
      <c r="Y136" s="38" t="str">
        <f>IF(AND(A136="Аппарат",C136&lt;&gt;"",OR($S$5="(все)",B136=$S$5)),MAX($Y$3:Y135)+1,"")</f>
        <v/>
      </c>
      <c r="Z136" s="38" t="str">
        <f t="shared" si="22"/>
        <v/>
      </c>
      <c r="AA136" s="38" t="str">
        <f>IF(AND(A136="Модуль",C136&lt;&gt;"",OR($S$6="(все)",B136=$S$6)),MAX($AA$3:AA135)+1,"")</f>
        <v/>
      </c>
      <c r="AB136" s="38" t="str">
        <f t="shared" si="23"/>
        <v/>
      </c>
      <c r="AC136" s="38" t="str">
        <f>IF(OR(B136="",COUNTIF($B$4:B136,B136)&gt;1),"",MAX($AC$3:AC135)+1)</f>
        <v/>
      </c>
      <c r="AD136" s="38" t="str">
        <f t="shared" si="24"/>
        <v/>
      </c>
      <c r="AE136" s="38" t="str">
        <f t="shared" si="25"/>
        <v/>
      </c>
      <c r="AF136" s="38" t="str">
        <f t="shared" si="26"/>
        <v/>
      </c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8" t="str">
        <f>IF(OR(A137="Автомат",A137="Дифавтомат"),IF(W137="","",COUNTIFS(Однолинейка!$H$3:$H$3000,U137,Однолинейка!$A$3:$A$3000,Щит_спец)),IF(A137="Аппарат",IF(C137="","",COUNTIFS(Однолинейка!$I$3:$I$3000,C137,Однолинейка!$A$3:$A$3000,Щит_спец)+COUNTIFS(Однолинейка!$J$3:$J$3000,C137,Однолинейка!$A$3:$A$3000,Щит_спец)+COUNTIFS(Однолинейка!$K$3:$K$3000,C137,Однолинейка!$A$3:$A$3000,Щит_спец)),IF(A137="Модуль",IF(C137="","",COUNTIFS(Однолинейка!$AW$3:$AW$3000,"?*",Однолинейка!$AI$3:$AI$3000,C137,Однолинейка!$A$3:$A$3000,Щит_спец)),IF(A137="Клемма",IF(C137="","",IF(C137=$S$7,SUMIFS(Однолинейка!$BW$3:$BW$3000,Однолинейка!$A$3:$A$3000,Щит_спец),IF(C137=$S$8,SUMIFS(Однолинейка!$BX$3:$BX$3000,Однолинейка!$A$3:$A$3000,Щит_спец),""))),""))))</f>
        <v/>
      </c>
      <c r="O137" s="74"/>
      <c r="P137" s="38" t="str">
        <f t="shared" si="18"/>
        <v/>
      </c>
      <c r="U137" s="38" t="str">
        <f t="shared" si="19"/>
        <v/>
      </c>
      <c r="V137" s="38" t="str">
        <f t="shared" si="20"/>
        <v/>
      </c>
      <c r="W137" s="38" t="str">
        <f>IF(AND(U137&lt;&gt;"",OR($S$4="(все)",B137=$S$4),IF($S$4="(все)",COUNTIF($U$4:U137,U137),COUNTIFS($U$4:U137,U137,$B$4:B137,B137))=1),MAX($W$3:W136)+1,"")</f>
        <v/>
      </c>
      <c r="X137" s="38" t="str">
        <f t="shared" si="21"/>
        <v/>
      </c>
      <c r="Y137" s="38" t="str">
        <f>IF(AND(A137="Аппарат",C137&lt;&gt;"",OR($S$5="(все)",B137=$S$5)),MAX($Y$3:Y136)+1,"")</f>
        <v/>
      </c>
      <c r="Z137" s="38" t="str">
        <f t="shared" si="22"/>
        <v/>
      </c>
      <c r="AA137" s="38" t="str">
        <f>IF(AND(A137="Модуль",C137&lt;&gt;"",OR($S$6="(все)",B137=$S$6)),MAX($AA$3:AA136)+1,"")</f>
        <v/>
      </c>
      <c r="AB137" s="38" t="str">
        <f t="shared" si="23"/>
        <v/>
      </c>
      <c r="AC137" s="38" t="str">
        <f>IF(OR(B137="",COUNTIF($B$4:B137,B137)&gt;1),"",MAX($AC$3:AC136)+1)</f>
        <v/>
      </c>
      <c r="AD137" s="38" t="str">
        <f t="shared" si="24"/>
        <v/>
      </c>
      <c r="AE137" s="38" t="str">
        <f t="shared" si="25"/>
        <v/>
      </c>
      <c r="AF137" s="38" t="str">
        <f t="shared" si="26"/>
        <v/>
      </c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8" t="str">
        <f>IF(OR(A138="Автомат",A138="Дифавтомат"),IF(W138="","",COUNTIFS(Однолинейка!$H$3:$H$3000,U138,Однолинейка!$A$3:$A$3000,Щит_спец)),IF(A138="Аппарат",IF(C138="","",COUNTIFS(Однолинейка!$I$3:$I$3000,C138,Однолинейка!$A$3:$A$3000,Щит_спец)+COUNTIFS(Однолинейка!$J$3:$J$3000,C138,Однолинейка!$A$3:$A$3000,Щит_спец)+COUNTIFS(Однолинейка!$K$3:$K$3000,C138,Однолинейка!$A$3:$A$3000,Щит_спец)),IF(A138="Модуль",IF(C138="","",COUNTIFS(Однолинейка!$AW$3:$AW$3000,"?*",Однолинейка!$AI$3:$AI$3000,C138,Однолинейка!$A$3:$A$3000,Щит_спец)),IF(A138="Клемма",IF(C138="","",IF(C138=$S$7,SUMIFS(Однолинейка!$BW$3:$BW$3000,Однолинейка!$A$3:$A$3000,Щит_спец),IF(C138=$S$8,SUMIFS(Однолинейка!$BX$3:$BX$3000,Однолинейка!$A$3:$A$3000,Щит_спец),""))),""))))</f>
        <v/>
      </c>
      <c r="O138" s="74"/>
      <c r="P138" s="38" t="str">
        <f t="shared" si="18"/>
        <v/>
      </c>
      <c r="U138" s="38" t="str">
        <f t="shared" si="19"/>
        <v/>
      </c>
      <c r="V138" s="38" t="str">
        <f t="shared" si="20"/>
        <v/>
      </c>
      <c r="W138" s="38" t="str">
        <f>IF(AND(U138&lt;&gt;"",OR($S$4="(все)",B138=$S$4),IF($S$4="(все)",COUNTIF($U$4:U138,U138),COUNTIFS($U$4:U138,U138,$B$4:B138,B138))=1),MAX($W$3:W137)+1,"")</f>
        <v/>
      </c>
      <c r="X138" s="38" t="str">
        <f t="shared" si="21"/>
        <v/>
      </c>
      <c r="Y138" s="38" t="str">
        <f>IF(AND(A138="Аппарат",C138&lt;&gt;"",OR($S$5="(все)",B138=$S$5)),MAX($Y$3:Y137)+1,"")</f>
        <v/>
      </c>
      <c r="Z138" s="38" t="str">
        <f t="shared" si="22"/>
        <v/>
      </c>
      <c r="AA138" s="38" t="str">
        <f>IF(AND(A138="Модуль",C138&lt;&gt;"",OR($S$6="(все)",B138=$S$6)),MAX($AA$3:AA137)+1,"")</f>
        <v/>
      </c>
      <c r="AB138" s="38" t="str">
        <f t="shared" si="23"/>
        <v/>
      </c>
      <c r="AC138" s="38" t="str">
        <f>IF(OR(B138="",COUNTIF($B$4:B138,B138)&gt;1),"",MAX($AC$3:AC137)+1)</f>
        <v/>
      </c>
      <c r="AD138" s="38" t="str">
        <f t="shared" si="24"/>
        <v/>
      </c>
      <c r="AE138" s="38" t="str">
        <f t="shared" si="25"/>
        <v/>
      </c>
      <c r="AF138" s="38" t="str">
        <f t="shared" si="26"/>
        <v/>
      </c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8" t="str">
        <f>IF(OR(A139="Автомат",A139="Дифавтомат"),IF(W139="","",COUNTIFS(Однолинейка!$H$3:$H$3000,U139,Однолинейка!$A$3:$A$3000,Щит_спец)),IF(A139="Аппарат",IF(C139="","",COUNTIFS(Однолинейка!$I$3:$I$3000,C139,Однолинейка!$A$3:$A$3000,Щит_спец)+COUNTIFS(Однолинейка!$J$3:$J$3000,C139,Однолинейка!$A$3:$A$3000,Щит_спец)+COUNTIFS(Однолинейка!$K$3:$K$3000,C139,Однолинейка!$A$3:$A$3000,Щит_спец)),IF(A139="Модуль",IF(C139="","",COUNTIFS(Однолинейка!$AW$3:$AW$3000,"?*",Однолинейка!$AI$3:$AI$3000,C139,Однолинейка!$A$3:$A$3000,Щит_спец)),IF(A139="Клемма",IF(C139="","",IF(C139=$S$7,SUMIFS(Однолинейка!$BW$3:$BW$3000,Однолинейка!$A$3:$A$3000,Щит_спец),IF(C139=$S$8,SUMIFS(Однолинейка!$BX$3:$BX$3000,Однолинейка!$A$3:$A$3000,Щит_спец),""))),""))))</f>
        <v/>
      </c>
      <c r="O139" s="74"/>
      <c r="P139" s="38" t="str">
        <f t="shared" si="18"/>
        <v/>
      </c>
      <c r="U139" s="38" t="str">
        <f t="shared" si="19"/>
        <v/>
      </c>
      <c r="V139" s="38" t="str">
        <f t="shared" si="20"/>
        <v/>
      </c>
      <c r="W139" s="38" t="str">
        <f>IF(AND(U139&lt;&gt;"",OR($S$4="(все)",B139=$S$4),IF($S$4="(все)",COUNTIF($U$4:U139,U139),COUNTIFS($U$4:U139,U139,$B$4:B139,B139))=1),MAX($W$3:W138)+1,"")</f>
        <v/>
      </c>
      <c r="X139" s="38" t="str">
        <f t="shared" si="21"/>
        <v/>
      </c>
      <c r="Y139" s="38" t="str">
        <f>IF(AND(A139="Аппарат",C139&lt;&gt;"",OR($S$5="(все)",B139=$S$5)),MAX($Y$3:Y138)+1,"")</f>
        <v/>
      </c>
      <c r="Z139" s="38" t="str">
        <f t="shared" si="22"/>
        <v/>
      </c>
      <c r="AA139" s="38" t="str">
        <f>IF(AND(A139="Модуль",C139&lt;&gt;"",OR($S$6="(все)",B139=$S$6)),MAX($AA$3:AA138)+1,"")</f>
        <v/>
      </c>
      <c r="AB139" s="38" t="str">
        <f t="shared" si="23"/>
        <v/>
      </c>
      <c r="AC139" s="38" t="str">
        <f>IF(OR(B139="",COUNTIF($B$4:B139,B139)&gt;1),"",MAX($AC$3:AC138)+1)</f>
        <v/>
      </c>
      <c r="AD139" s="38" t="str">
        <f t="shared" si="24"/>
        <v/>
      </c>
      <c r="AE139" s="38" t="str">
        <f t="shared" si="25"/>
        <v/>
      </c>
      <c r="AF139" s="38" t="str">
        <f t="shared" si="26"/>
        <v/>
      </c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38" t="str">
        <f>IF(OR(A140="Автомат",A140="Дифавтомат"),IF(W140="","",COUNTIFS(Однолинейка!$H$3:$H$3000,U140,Однолинейка!$A$3:$A$3000,Щит_спец)),IF(A140="Аппарат",IF(C140="","",COUNTIFS(Однолинейка!$I$3:$I$3000,C140,Однолинейка!$A$3:$A$3000,Щит_спец)+COUNTIFS(Однолинейка!$J$3:$J$3000,C140,Однолинейка!$A$3:$A$3000,Щит_спец)+COUNTIFS(Однолинейка!$K$3:$K$3000,C140,Однолинейка!$A$3:$A$3000,Щит_спец)),IF(A140="Модуль",IF(C140="","",COUNTIFS(Однолинейка!$AW$3:$AW$3000,"?*",Однолинейка!$AI$3:$AI$3000,C140,Однолинейка!$A$3:$A$3000,Щит_спец)),IF(A140="Клемма",IF(C140="","",IF(C140=$S$7,SUMIFS(Однолинейка!$BW$3:$BW$3000,Однолинейка!$A$3:$A$3000,Щит_спец),IF(C140=$S$8,SUMIFS(Однолинейка!$BX$3:$BX$3000,Однолинейка!$A$3:$A$3000,Щит_спец),""))),""))))</f>
        <v/>
      </c>
      <c r="O140" s="74"/>
      <c r="P140" s="38" t="str">
        <f t="shared" si="18"/>
        <v/>
      </c>
      <c r="U140" s="38" t="str">
        <f t="shared" si="19"/>
        <v/>
      </c>
      <c r="V140" s="38" t="str">
        <f t="shared" si="20"/>
        <v/>
      </c>
      <c r="W140" s="38" t="str">
        <f>IF(AND(U140&lt;&gt;"",OR($S$4="(все)",B140=$S$4),IF($S$4="(все)",COUNTIF($U$4:U140,U140),COUNTIFS($U$4:U140,U140,$B$4:B140,B140))=1),MAX($W$3:W139)+1,"")</f>
        <v/>
      </c>
      <c r="X140" s="38" t="str">
        <f t="shared" si="21"/>
        <v/>
      </c>
      <c r="Y140" s="38" t="str">
        <f>IF(AND(A140="Аппарат",C140&lt;&gt;"",OR($S$5="(все)",B140=$S$5)),MAX($Y$3:Y139)+1,"")</f>
        <v/>
      </c>
      <c r="Z140" s="38" t="str">
        <f t="shared" si="22"/>
        <v/>
      </c>
      <c r="AA140" s="38" t="str">
        <f>IF(AND(A140="Модуль",C140&lt;&gt;"",OR($S$6="(все)",B140=$S$6)),MAX($AA$3:AA139)+1,"")</f>
        <v/>
      </c>
      <c r="AB140" s="38" t="str">
        <f t="shared" si="23"/>
        <v/>
      </c>
      <c r="AC140" s="38" t="str">
        <f>IF(OR(B140="",COUNTIF($B$4:B140,B140)&gt;1),"",MAX($AC$3:AC139)+1)</f>
        <v/>
      </c>
      <c r="AD140" s="38" t="str">
        <f t="shared" si="24"/>
        <v/>
      </c>
      <c r="AE140" s="38" t="str">
        <f t="shared" si="25"/>
        <v/>
      </c>
      <c r="AF140" s="38" t="str">
        <f t="shared" si="26"/>
        <v/>
      </c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38" t="str">
        <f>IF(OR(A141="Автомат",A141="Дифавтомат"),IF(W141="","",COUNTIFS(Однолинейка!$H$3:$H$3000,U141,Однолинейка!$A$3:$A$3000,Щит_спец)),IF(A141="Аппарат",IF(C141="","",COUNTIFS(Однолинейка!$I$3:$I$3000,C141,Однолинейка!$A$3:$A$3000,Щит_спец)+COUNTIFS(Однолинейка!$J$3:$J$3000,C141,Однолинейка!$A$3:$A$3000,Щит_спец)+COUNTIFS(Однолинейка!$K$3:$K$3000,C141,Однолинейка!$A$3:$A$3000,Щит_спец)),IF(A141="Модуль",IF(C141="","",COUNTIFS(Однолинейка!$AW$3:$AW$3000,"?*",Однолинейка!$AI$3:$AI$3000,C141,Однолинейка!$A$3:$A$3000,Щит_спец)),IF(A141="Клемма",IF(C141="","",IF(C141=$S$7,SUMIFS(Однолинейка!$BW$3:$BW$3000,Однолинейка!$A$3:$A$3000,Щит_спец),IF(C141=$S$8,SUMIFS(Однолинейка!$BX$3:$BX$3000,Однолинейка!$A$3:$A$3000,Щит_спец),""))),""))))</f>
        <v/>
      </c>
      <c r="O141" s="74"/>
      <c r="P141" s="38" t="str">
        <f t="shared" si="18"/>
        <v/>
      </c>
      <c r="U141" s="38" t="str">
        <f t="shared" si="19"/>
        <v/>
      </c>
      <c r="V141" s="38" t="str">
        <f t="shared" si="20"/>
        <v/>
      </c>
      <c r="W141" s="38" t="str">
        <f>IF(AND(U141&lt;&gt;"",OR($S$4="(все)",B141=$S$4),IF($S$4="(все)",COUNTIF($U$4:U141,U141),COUNTIFS($U$4:U141,U141,$B$4:B141,B141))=1),MAX($W$3:W140)+1,"")</f>
        <v/>
      </c>
      <c r="X141" s="38" t="str">
        <f t="shared" si="21"/>
        <v/>
      </c>
      <c r="Y141" s="38" t="str">
        <f>IF(AND(A141="Аппарат",C141&lt;&gt;"",OR($S$5="(все)",B141=$S$5)),MAX($Y$3:Y140)+1,"")</f>
        <v/>
      </c>
      <c r="Z141" s="38" t="str">
        <f t="shared" si="22"/>
        <v/>
      </c>
      <c r="AA141" s="38" t="str">
        <f>IF(AND(A141="Модуль",C141&lt;&gt;"",OR($S$6="(все)",B141=$S$6)),MAX($AA$3:AA140)+1,"")</f>
        <v/>
      </c>
      <c r="AB141" s="38" t="str">
        <f t="shared" si="23"/>
        <v/>
      </c>
      <c r="AC141" s="38" t="str">
        <f>IF(OR(B141="",COUNTIF($B$4:B141,B141)&gt;1),"",MAX($AC$3:AC140)+1)</f>
        <v/>
      </c>
      <c r="AD141" s="38" t="str">
        <f t="shared" si="24"/>
        <v/>
      </c>
      <c r="AE141" s="38" t="str">
        <f t="shared" si="25"/>
        <v/>
      </c>
      <c r="AF141" s="38" t="str">
        <f t="shared" si="26"/>
        <v/>
      </c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8" t="str">
        <f>IF(OR(A142="Автомат",A142="Дифавтомат"),IF(W142="","",COUNTIFS(Однолинейка!$H$3:$H$3000,U142,Однолинейка!$A$3:$A$3000,Щит_спец)),IF(A142="Аппарат",IF(C142="","",COUNTIFS(Однолинейка!$I$3:$I$3000,C142,Однолинейка!$A$3:$A$3000,Щит_спец)+COUNTIFS(Однолинейка!$J$3:$J$3000,C142,Однолинейка!$A$3:$A$3000,Щит_спец)+COUNTIFS(Однолинейка!$K$3:$K$3000,C142,Однолинейка!$A$3:$A$3000,Щит_спец)),IF(A142="Модуль",IF(C142="","",COUNTIFS(Однолинейка!$AW$3:$AW$3000,"?*",Однолинейка!$AI$3:$AI$3000,C142,Однолинейка!$A$3:$A$3000,Щит_спец)),IF(A142="Клемма",IF(C142="","",IF(C142=$S$7,SUMIFS(Однолинейка!$BW$3:$BW$3000,Однолинейка!$A$3:$A$3000,Щит_спец),IF(C142=$S$8,SUMIFS(Однолинейка!$BX$3:$BX$3000,Однолинейка!$A$3:$A$3000,Щит_спец),""))),""))))</f>
        <v/>
      </c>
      <c r="O142" s="74"/>
      <c r="P142" s="38" t="str">
        <f t="shared" si="18"/>
        <v/>
      </c>
      <c r="U142" s="38" t="str">
        <f t="shared" si="19"/>
        <v/>
      </c>
      <c r="V142" s="38" t="str">
        <f t="shared" si="20"/>
        <v/>
      </c>
      <c r="W142" s="38" t="str">
        <f>IF(AND(U142&lt;&gt;"",OR($S$4="(все)",B142=$S$4),IF($S$4="(все)",COUNTIF($U$4:U142,U142),COUNTIFS($U$4:U142,U142,$B$4:B142,B142))=1),MAX($W$3:W141)+1,"")</f>
        <v/>
      </c>
      <c r="X142" s="38" t="str">
        <f t="shared" si="21"/>
        <v/>
      </c>
      <c r="Y142" s="38" t="str">
        <f>IF(AND(A142="Аппарат",C142&lt;&gt;"",OR($S$5="(все)",B142=$S$5)),MAX($Y$3:Y141)+1,"")</f>
        <v/>
      </c>
      <c r="Z142" s="38" t="str">
        <f t="shared" si="22"/>
        <v/>
      </c>
      <c r="AA142" s="38" t="str">
        <f>IF(AND(A142="Модуль",C142&lt;&gt;"",OR($S$6="(все)",B142=$S$6)),MAX($AA$3:AA141)+1,"")</f>
        <v/>
      </c>
      <c r="AB142" s="38" t="str">
        <f t="shared" si="23"/>
        <v/>
      </c>
      <c r="AC142" s="38" t="str">
        <f>IF(OR(B142="",COUNTIF($B$4:B142,B142)&gt;1),"",MAX($AC$3:AC141)+1)</f>
        <v/>
      </c>
      <c r="AD142" s="38" t="str">
        <f t="shared" si="24"/>
        <v/>
      </c>
      <c r="AE142" s="38" t="str">
        <f t="shared" si="25"/>
        <v/>
      </c>
      <c r="AF142" s="38" t="str">
        <f t="shared" si="26"/>
        <v/>
      </c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8" t="str">
        <f>IF(OR(A143="Автомат",A143="Дифавтомат"),IF(W143="","",COUNTIFS(Однолинейка!$H$3:$H$3000,U143,Однолинейка!$A$3:$A$3000,Щит_спец)),IF(A143="Аппарат",IF(C143="","",COUNTIFS(Однолинейка!$I$3:$I$3000,C143,Однолинейка!$A$3:$A$3000,Щит_спец)+COUNTIFS(Однолинейка!$J$3:$J$3000,C143,Однолинейка!$A$3:$A$3000,Щит_спец)+COUNTIFS(Однолинейка!$K$3:$K$3000,C143,Однолинейка!$A$3:$A$3000,Щит_спец)),IF(A143="Модуль",IF(C143="","",COUNTIFS(Однолинейка!$AW$3:$AW$3000,"?*",Однолинейка!$AI$3:$AI$3000,C143,Однолинейка!$A$3:$A$3000,Щит_спец)),IF(A143="Клемма",IF(C143="","",IF(C143=$S$7,SUMIFS(Однолинейка!$BW$3:$BW$3000,Однолинейка!$A$3:$A$3000,Щит_спец),IF(C143=$S$8,SUMIFS(Однолинейка!$BX$3:$BX$3000,Однолинейка!$A$3:$A$3000,Щит_спец),""))),""))))</f>
        <v/>
      </c>
      <c r="O143" s="74"/>
      <c r="P143" s="38" t="str">
        <f t="shared" si="18"/>
        <v/>
      </c>
      <c r="U143" s="38" t="str">
        <f t="shared" si="19"/>
        <v/>
      </c>
      <c r="V143" s="38" t="str">
        <f t="shared" si="20"/>
        <v/>
      </c>
      <c r="W143" s="38" t="str">
        <f>IF(AND(U143&lt;&gt;"",OR($S$4="(все)",B143=$S$4),IF($S$4="(все)",COUNTIF($U$4:U143,U143),COUNTIFS($U$4:U143,U143,$B$4:B143,B143))=1),MAX($W$3:W142)+1,"")</f>
        <v/>
      </c>
      <c r="X143" s="38" t="str">
        <f t="shared" si="21"/>
        <v/>
      </c>
      <c r="Y143" s="38" t="str">
        <f>IF(AND(A143="Аппарат",C143&lt;&gt;"",OR($S$5="(все)",B143=$S$5)),MAX($Y$3:Y142)+1,"")</f>
        <v/>
      </c>
      <c r="Z143" s="38" t="str">
        <f t="shared" si="22"/>
        <v/>
      </c>
      <c r="AA143" s="38" t="str">
        <f>IF(AND(A143="Модуль",C143&lt;&gt;"",OR($S$6="(все)",B143=$S$6)),MAX($AA$3:AA142)+1,"")</f>
        <v/>
      </c>
      <c r="AB143" s="38" t="str">
        <f t="shared" si="23"/>
        <v/>
      </c>
      <c r="AC143" s="38" t="str">
        <f>IF(OR(B143="",COUNTIF($B$4:B143,B143)&gt;1),"",MAX($AC$3:AC142)+1)</f>
        <v/>
      </c>
      <c r="AD143" s="38" t="str">
        <f t="shared" si="24"/>
        <v/>
      </c>
      <c r="AE143" s="38" t="str">
        <f t="shared" si="25"/>
        <v/>
      </c>
      <c r="AF143" s="38" t="str">
        <f t="shared" si="26"/>
        <v/>
      </c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8" t="str">
        <f>IF(OR(A144="Автомат",A144="Дифавтомат"),IF(W144="","",COUNTIFS(Однолинейка!$H$3:$H$3000,U144,Однолинейка!$A$3:$A$3000,Щит_спец)),IF(A144="Аппарат",IF(C144="","",COUNTIFS(Однолинейка!$I$3:$I$3000,C144,Однолинейка!$A$3:$A$3000,Щит_спец)+COUNTIFS(Однолинейка!$J$3:$J$3000,C144,Однолинейка!$A$3:$A$3000,Щит_спец)+COUNTIFS(Однолинейка!$K$3:$K$3000,C144,Однолинейка!$A$3:$A$3000,Щит_спец)),IF(A144="Модуль",IF(C144="","",COUNTIFS(Однолинейка!$AW$3:$AW$3000,"?*",Однолинейка!$AI$3:$AI$3000,C144,Однолинейка!$A$3:$A$3000,Щит_спец)),IF(A144="Клемма",IF(C144="","",IF(C144=$S$7,SUMIFS(Однолинейка!$BW$3:$BW$3000,Однолинейка!$A$3:$A$3000,Щит_спец),IF(C144=$S$8,SUMIFS(Однолинейка!$BX$3:$BX$3000,Однолинейка!$A$3:$A$3000,Щит_спец),""))),""))))</f>
        <v/>
      </c>
      <c r="O144" s="74"/>
      <c r="P144" s="38" t="str">
        <f t="shared" si="18"/>
        <v/>
      </c>
      <c r="U144" s="38" t="str">
        <f t="shared" si="19"/>
        <v/>
      </c>
      <c r="V144" s="38" t="str">
        <f t="shared" si="20"/>
        <v/>
      </c>
      <c r="W144" s="38" t="str">
        <f>IF(AND(U144&lt;&gt;"",OR($S$4="(все)",B144=$S$4),IF($S$4="(все)",COUNTIF($U$4:U144,U144),COUNTIFS($U$4:U144,U144,$B$4:B144,B144))=1),MAX($W$3:W143)+1,"")</f>
        <v/>
      </c>
      <c r="X144" s="38" t="str">
        <f t="shared" si="21"/>
        <v/>
      </c>
      <c r="Y144" s="38" t="str">
        <f>IF(AND(A144="Аппарат",C144&lt;&gt;"",OR($S$5="(все)",B144=$S$5)),MAX($Y$3:Y143)+1,"")</f>
        <v/>
      </c>
      <c r="Z144" s="38" t="str">
        <f t="shared" si="22"/>
        <v/>
      </c>
      <c r="AA144" s="38" t="str">
        <f>IF(AND(A144="Модуль",C144&lt;&gt;"",OR($S$6="(все)",B144=$S$6)),MAX($AA$3:AA143)+1,"")</f>
        <v/>
      </c>
      <c r="AB144" s="38" t="str">
        <f t="shared" si="23"/>
        <v/>
      </c>
      <c r="AC144" s="38" t="str">
        <f>IF(OR(B144="",COUNTIF($B$4:B144,B144)&gt;1),"",MAX($AC$3:AC143)+1)</f>
        <v/>
      </c>
      <c r="AD144" s="38" t="str">
        <f t="shared" si="24"/>
        <v/>
      </c>
      <c r="AE144" s="38" t="str">
        <f t="shared" si="25"/>
        <v/>
      </c>
      <c r="AF144" s="38" t="str">
        <f t="shared" si="26"/>
        <v/>
      </c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8" t="str">
        <f>IF(OR(A145="Автомат",A145="Дифавтомат"),IF(W145="","",COUNTIFS(Однолинейка!$H$3:$H$3000,U145,Однолинейка!$A$3:$A$3000,Щит_спец)),IF(A145="Аппарат",IF(C145="","",COUNTIFS(Однолинейка!$I$3:$I$3000,C145,Однолинейка!$A$3:$A$3000,Щит_спец)+COUNTIFS(Однолинейка!$J$3:$J$3000,C145,Однолинейка!$A$3:$A$3000,Щит_спец)+COUNTIFS(Однолинейка!$K$3:$K$3000,C145,Однолинейка!$A$3:$A$3000,Щит_спец)),IF(A145="Модуль",IF(C145="","",COUNTIFS(Однолинейка!$AW$3:$AW$3000,"?*",Однолинейка!$AI$3:$AI$3000,C145,Однолинейка!$A$3:$A$3000,Щит_спец)),IF(A145="Клемма",IF(C145="","",IF(C145=$S$7,SUMIFS(Однолинейка!$BW$3:$BW$3000,Однолинейка!$A$3:$A$3000,Щит_спец),IF(C145=$S$8,SUMIFS(Однолинейка!$BX$3:$BX$3000,Однолинейка!$A$3:$A$3000,Щит_спец),""))),""))))</f>
        <v/>
      </c>
      <c r="O145" s="74"/>
      <c r="P145" s="38" t="str">
        <f t="shared" si="18"/>
        <v/>
      </c>
      <c r="U145" s="38" t="str">
        <f t="shared" si="19"/>
        <v/>
      </c>
      <c r="V145" s="38" t="str">
        <f t="shared" si="20"/>
        <v/>
      </c>
      <c r="W145" s="38" t="str">
        <f>IF(AND(U145&lt;&gt;"",OR($S$4="(все)",B145=$S$4),IF($S$4="(все)",COUNTIF($U$4:U145,U145),COUNTIFS($U$4:U145,U145,$B$4:B145,B145))=1),MAX($W$3:W144)+1,"")</f>
        <v/>
      </c>
      <c r="X145" s="38" t="str">
        <f t="shared" si="21"/>
        <v/>
      </c>
      <c r="Y145" s="38" t="str">
        <f>IF(AND(A145="Аппарат",C145&lt;&gt;"",OR($S$5="(все)",B145=$S$5)),MAX($Y$3:Y144)+1,"")</f>
        <v/>
      </c>
      <c r="Z145" s="38" t="str">
        <f t="shared" si="22"/>
        <v/>
      </c>
      <c r="AA145" s="38" t="str">
        <f>IF(AND(A145="Модуль",C145&lt;&gt;"",OR($S$6="(все)",B145=$S$6)),MAX($AA$3:AA144)+1,"")</f>
        <v/>
      </c>
      <c r="AB145" s="38" t="str">
        <f t="shared" si="23"/>
        <v/>
      </c>
      <c r="AC145" s="38" t="str">
        <f>IF(OR(B145="",COUNTIF($B$4:B145,B145)&gt;1),"",MAX($AC$3:AC144)+1)</f>
        <v/>
      </c>
      <c r="AD145" s="38" t="str">
        <f t="shared" si="24"/>
        <v/>
      </c>
      <c r="AE145" s="38" t="str">
        <f t="shared" si="25"/>
        <v/>
      </c>
      <c r="AF145" s="38" t="str">
        <f t="shared" si="26"/>
        <v/>
      </c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8" t="str">
        <f>IF(OR(A146="Автомат",A146="Дифавтомат"),IF(W146="","",COUNTIFS(Однолинейка!$H$3:$H$3000,U146,Однолинейка!$A$3:$A$3000,Щит_спец)),IF(A146="Аппарат",IF(C146="","",COUNTIFS(Однолинейка!$I$3:$I$3000,C146,Однолинейка!$A$3:$A$3000,Щит_спец)+COUNTIFS(Однолинейка!$J$3:$J$3000,C146,Однолинейка!$A$3:$A$3000,Щит_спец)+COUNTIFS(Однолинейка!$K$3:$K$3000,C146,Однолинейка!$A$3:$A$3000,Щит_спец)),IF(A146="Модуль",IF(C146="","",COUNTIFS(Однолинейка!$AW$3:$AW$3000,"?*",Однолинейка!$AI$3:$AI$3000,C146,Однолинейка!$A$3:$A$3000,Щит_спец)),IF(A146="Клемма",IF(C146="","",IF(C146=$S$7,SUMIFS(Однолинейка!$BW$3:$BW$3000,Однолинейка!$A$3:$A$3000,Щит_спец),IF(C146=$S$8,SUMIFS(Однолинейка!$BX$3:$BX$3000,Однолинейка!$A$3:$A$3000,Щит_спец),""))),""))))</f>
        <v/>
      </c>
      <c r="O146" s="74"/>
      <c r="P146" s="38" t="str">
        <f t="shared" si="18"/>
        <v/>
      </c>
      <c r="U146" s="38" t="str">
        <f t="shared" si="19"/>
        <v/>
      </c>
      <c r="V146" s="38" t="str">
        <f t="shared" si="20"/>
        <v/>
      </c>
      <c r="W146" s="38" t="str">
        <f>IF(AND(U146&lt;&gt;"",OR($S$4="(все)",B146=$S$4),IF($S$4="(все)",COUNTIF($U$4:U146,U146),COUNTIFS($U$4:U146,U146,$B$4:B146,B146))=1),MAX($W$3:W145)+1,"")</f>
        <v/>
      </c>
      <c r="X146" s="38" t="str">
        <f t="shared" si="21"/>
        <v/>
      </c>
      <c r="Y146" s="38" t="str">
        <f>IF(AND(A146="Аппарат",C146&lt;&gt;"",OR($S$5="(все)",B146=$S$5)),MAX($Y$3:Y145)+1,"")</f>
        <v/>
      </c>
      <c r="Z146" s="38" t="str">
        <f t="shared" si="22"/>
        <v/>
      </c>
      <c r="AA146" s="38" t="str">
        <f>IF(AND(A146="Модуль",C146&lt;&gt;"",OR($S$6="(все)",B146=$S$6)),MAX($AA$3:AA145)+1,"")</f>
        <v/>
      </c>
      <c r="AB146" s="38" t="str">
        <f t="shared" si="23"/>
        <v/>
      </c>
      <c r="AC146" s="38" t="str">
        <f>IF(OR(B146="",COUNTIF($B$4:B146,B146)&gt;1),"",MAX($AC$3:AC145)+1)</f>
        <v/>
      </c>
      <c r="AD146" s="38" t="str">
        <f t="shared" si="24"/>
        <v/>
      </c>
      <c r="AE146" s="38" t="str">
        <f t="shared" si="25"/>
        <v/>
      </c>
      <c r="AF146" s="38" t="str">
        <f t="shared" si="26"/>
        <v/>
      </c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8" t="str">
        <f>IF(OR(A147="Автомат",A147="Дифавтомат"),IF(W147="","",COUNTIFS(Однолинейка!$H$3:$H$3000,U147,Однолинейка!$A$3:$A$3000,Щит_спец)),IF(A147="Аппарат",IF(C147="","",COUNTIFS(Однолинейка!$I$3:$I$3000,C147,Однолинейка!$A$3:$A$3000,Щит_спец)+COUNTIFS(Однолинейка!$J$3:$J$3000,C147,Однолинейка!$A$3:$A$3000,Щит_спец)+COUNTIFS(Однолинейка!$K$3:$K$3000,C147,Однолинейка!$A$3:$A$3000,Щит_спец)),IF(A147="Модуль",IF(C147="","",COUNTIFS(Однолинейка!$AW$3:$AW$3000,"?*",Однолинейка!$AI$3:$AI$3000,C147,Однолинейка!$A$3:$A$3000,Щит_спец)),IF(A147="Клемма",IF(C147="","",IF(C147=$S$7,SUMIFS(Однолинейка!$BW$3:$BW$3000,Однолинейка!$A$3:$A$3000,Щит_спец),IF(C147=$S$8,SUMIFS(Однолинейка!$BX$3:$BX$3000,Однолинейка!$A$3:$A$3000,Щит_спец),""))),""))))</f>
        <v/>
      </c>
      <c r="O147" s="74"/>
      <c r="P147" s="38" t="str">
        <f t="shared" si="18"/>
        <v/>
      </c>
      <c r="U147" s="38" t="str">
        <f t="shared" si="19"/>
        <v/>
      </c>
      <c r="V147" s="38" t="str">
        <f t="shared" si="20"/>
        <v/>
      </c>
      <c r="W147" s="38" t="str">
        <f>IF(AND(U147&lt;&gt;"",OR($S$4="(все)",B147=$S$4),IF($S$4="(все)",COUNTIF($U$4:U147,U147),COUNTIFS($U$4:U147,U147,$B$4:B147,B147))=1),MAX($W$3:W146)+1,"")</f>
        <v/>
      </c>
      <c r="X147" s="38" t="str">
        <f t="shared" si="21"/>
        <v/>
      </c>
      <c r="Y147" s="38" t="str">
        <f>IF(AND(A147="Аппарат",C147&lt;&gt;"",OR($S$5="(все)",B147=$S$5)),MAX($Y$3:Y146)+1,"")</f>
        <v/>
      </c>
      <c r="Z147" s="38" t="str">
        <f t="shared" si="22"/>
        <v/>
      </c>
      <c r="AA147" s="38" t="str">
        <f>IF(AND(A147="Модуль",C147&lt;&gt;"",OR($S$6="(все)",B147=$S$6)),MAX($AA$3:AA146)+1,"")</f>
        <v/>
      </c>
      <c r="AB147" s="38" t="str">
        <f t="shared" si="23"/>
        <v/>
      </c>
      <c r="AC147" s="38" t="str">
        <f>IF(OR(B147="",COUNTIF($B$4:B147,B147)&gt;1),"",MAX($AC$3:AC146)+1)</f>
        <v/>
      </c>
      <c r="AD147" s="38" t="str">
        <f t="shared" si="24"/>
        <v/>
      </c>
      <c r="AE147" s="38" t="str">
        <f t="shared" si="25"/>
        <v/>
      </c>
      <c r="AF147" s="38" t="str">
        <f t="shared" si="26"/>
        <v/>
      </c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8" t="str">
        <f>IF(OR(A148="Автомат",A148="Дифавтомат"),IF(W148="","",COUNTIFS(Однолинейка!$H$3:$H$3000,U148,Однолинейка!$A$3:$A$3000,Щит_спец)),IF(A148="Аппарат",IF(C148="","",COUNTIFS(Однолинейка!$I$3:$I$3000,C148,Однолинейка!$A$3:$A$3000,Щит_спец)+COUNTIFS(Однолинейка!$J$3:$J$3000,C148,Однолинейка!$A$3:$A$3000,Щит_спец)+COUNTIFS(Однолинейка!$K$3:$K$3000,C148,Однолинейка!$A$3:$A$3000,Щит_спец)),IF(A148="Модуль",IF(C148="","",COUNTIFS(Однолинейка!$AW$3:$AW$3000,"?*",Однолинейка!$AI$3:$AI$3000,C148,Однолинейка!$A$3:$A$3000,Щит_спец)),IF(A148="Клемма",IF(C148="","",IF(C148=$S$7,SUMIFS(Однолинейка!$BW$3:$BW$3000,Однолинейка!$A$3:$A$3000,Щит_спец),IF(C148=$S$8,SUMIFS(Однолинейка!$BX$3:$BX$3000,Однолинейка!$A$3:$A$3000,Щит_спец),""))),""))))</f>
        <v/>
      </c>
      <c r="O148" s="74"/>
      <c r="P148" s="38" t="str">
        <f t="shared" si="18"/>
        <v/>
      </c>
      <c r="U148" s="38" t="str">
        <f t="shared" si="19"/>
        <v/>
      </c>
      <c r="V148" s="38" t="str">
        <f t="shared" si="20"/>
        <v/>
      </c>
      <c r="W148" s="38" t="str">
        <f>IF(AND(U148&lt;&gt;"",OR($S$4="(все)",B148=$S$4),IF($S$4="(все)",COUNTIF($U$4:U148,U148),COUNTIFS($U$4:U148,U148,$B$4:B148,B148))=1),MAX($W$3:W147)+1,"")</f>
        <v/>
      </c>
      <c r="X148" s="38" t="str">
        <f t="shared" si="21"/>
        <v/>
      </c>
      <c r="Y148" s="38" t="str">
        <f>IF(AND(A148="Аппарат",C148&lt;&gt;"",OR($S$5="(все)",B148=$S$5)),MAX($Y$3:Y147)+1,"")</f>
        <v/>
      </c>
      <c r="Z148" s="38" t="str">
        <f t="shared" si="22"/>
        <v/>
      </c>
      <c r="AA148" s="38" t="str">
        <f>IF(AND(A148="Модуль",C148&lt;&gt;"",OR($S$6="(все)",B148=$S$6)),MAX($AA$3:AA147)+1,"")</f>
        <v/>
      </c>
      <c r="AB148" s="38" t="str">
        <f t="shared" si="23"/>
        <v/>
      </c>
      <c r="AC148" s="38" t="str">
        <f>IF(OR(B148="",COUNTIF($B$4:B148,B148)&gt;1),"",MAX($AC$3:AC147)+1)</f>
        <v/>
      </c>
      <c r="AD148" s="38" t="str">
        <f t="shared" si="24"/>
        <v/>
      </c>
      <c r="AE148" s="38" t="str">
        <f t="shared" si="25"/>
        <v/>
      </c>
      <c r="AF148" s="38" t="str">
        <f t="shared" si="26"/>
        <v/>
      </c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38" t="str">
        <f>IF(OR(A149="Автомат",A149="Дифавтомат"),IF(W149="","",COUNTIFS(Однолинейка!$H$3:$H$3000,U149,Однолинейка!$A$3:$A$3000,Щит_спец)),IF(A149="Аппарат",IF(C149="","",COUNTIFS(Однолинейка!$I$3:$I$3000,C149,Однолинейка!$A$3:$A$3000,Щит_спец)+COUNTIFS(Однолинейка!$J$3:$J$3000,C149,Однолинейка!$A$3:$A$3000,Щит_спец)+COUNTIFS(Однолинейка!$K$3:$K$3000,C149,Однолинейка!$A$3:$A$3000,Щит_спец)),IF(A149="Модуль",IF(C149="","",COUNTIFS(Однолинейка!$AW$3:$AW$3000,"?*",Однолинейка!$AI$3:$AI$3000,C149,Однолинейка!$A$3:$A$3000,Щит_спец)),IF(A149="Клемма",IF(C149="","",IF(C149=$S$7,SUMIFS(Однолинейка!$BW$3:$BW$3000,Однолинейка!$A$3:$A$3000,Щит_спец),IF(C149=$S$8,SUMIFS(Однолинейка!$BX$3:$BX$3000,Однолинейка!$A$3:$A$3000,Щит_спец),""))),""))))</f>
        <v/>
      </c>
      <c r="O149" s="74"/>
      <c r="P149" s="38" t="str">
        <f t="shared" si="18"/>
        <v/>
      </c>
      <c r="U149" s="38" t="str">
        <f t="shared" si="19"/>
        <v/>
      </c>
      <c r="V149" s="38" t="str">
        <f t="shared" si="20"/>
        <v/>
      </c>
      <c r="W149" s="38" t="str">
        <f>IF(AND(U149&lt;&gt;"",OR($S$4="(все)",B149=$S$4),IF($S$4="(все)",COUNTIF($U$4:U149,U149),COUNTIFS($U$4:U149,U149,$B$4:B149,B149))=1),MAX($W$3:W148)+1,"")</f>
        <v/>
      </c>
      <c r="X149" s="38" t="str">
        <f t="shared" si="21"/>
        <v/>
      </c>
      <c r="Y149" s="38" t="str">
        <f>IF(AND(A149="Аппарат",C149&lt;&gt;"",OR($S$5="(все)",B149=$S$5)),MAX($Y$3:Y148)+1,"")</f>
        <v/>
      </c>
      <c r="Z149" s="38" t="str">
        <f t="shared" si="22"/>
        <v/>
      </c>
      <c r="AA149" s="38" t="str">
        <f>IF(AND(A149="Модуль",C149&lt;&gt;"",OR($S$6="(все)",B149=$S$6)),MAX($AA$3:AA148)+1,"")</f>
        <v/>
      </c>
      <c r="AB149" s="38" t="str">
        <f t="shared" si="23"/>
        <v/>
      </c>
      <c r="AC149" s="38" t="str">
        <f>IF(OR(B149="",COUNTIF($B$4:B149,B149)&gt;1),"",MAX($AC$3:AC148)+1)</f>
        <v/>
      </c>
      <c r="AD149" s="38" t="str">
        <f t="shared" si="24"/>
        <v/>
      </c>
      <c r="AE149" s="38" t="str">
        <f t="shared" si="25"/>
        <v/>
      </c>
      <c r="AF149" s="38" t="str">
        <f t="shared" si="26"/>
        <v/>
      </c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38" t="str">
        <f>IF(OR(A150="Автомат",A150="Дифавтомат"),IF(W150="","",COUNTIFS(Однолинейка!$H$3:$H$3000,U150,Однолинейка!$A$3:$A$3000,Щит_спец)),IF(A150="Аппарат",IF(C150="","",COUNTIFS(Однолинейка!$I$3:$I$3000,C150,Однолинейка!$A$3:$A$3000,Щит_спец)+COUNTIFS(Однолинейка!$J$3:$J$3000,C150,Однолинейка!$A$3:$A$3000,Щит_спец)+COUNTIFS(Однолинейка!$K$3:$K$3000,C150,Однолинейка!$A$3:$A$3000,Щит_спец)),IF(A150="Модуль",IF(C150="","",COUNTIFS(Однолинейка!$AW$3:$AW$3000,"?*",Однолинейка!$AI$3:$AI$3000,C150,Однолинейка!$A$3:$A$3000,Щит_спец)),IF(A150="Клемма",IF(C150="","",IF(C150=$S$7,SUMIFS(Однолинейка!$BW$3:$BW$3000,Однолинейка!$A$3:$A$3000,Щит_спец),IF(C150=$S$8,SUMIFS(Однолинейка!$BX$3:$BX$3000,Однолинейка!$A$3:$A$3000,Щит_спец),""))),""))))</f>
        <v/>
      </c>
      <c r="O150" s="74"/>
      <c r="P150" s="38" t="str">
        <f t="shared" si="18"/>
        <v/>
      </c>
      <c r="U150" s="38" t="str">
        <f t="shared" si="19"/>
        <v/>
      </c>
      <c r="V150" s="38" t="str">
        <f t="shared" si="20"/>
        <v/>
      </c>
      <c r="W150" s="38" t="str">
        <f>IF(AND(U150&lt;&gt;"",OR($S$4="(все)",B150=$S$4),IF($S$4="(все)",COUNTIF($U$4:U150,U150),COUNTIFS($U$4:U150,U150,$B$4:B150,B150))=1),MAX($W$3:W149)+1,"")</f>
        <v/>
      </c>
      <c r="X150" s="38" t="str">
        <f t="shared" si="21"/>
        <v/>
      </c>
      <c r="Y150" s="38" t="str">
        <f>IF(AND(A150="Аппарат",C150&lt;&gt;"",OR($S$5="(все)",B150=$S$5)),MAX($Y$3:Y149)+1,"")</f>
        <v/>
      </c>
      <c r="Z150" s="38" t="str">
        <f t="shared" si="22"/>
        <v/>
      </c>
      <c r="AA150" s="38" t="str">
        <f>IF(AND(A150="Модуль",C150&lt;&gt;"",OR($S$6="(все)",B150=$S$6)),MAX($AA$3:AA149)+1,"")</f>
        <v/>
      </c>
      <c r="AB150" s="38" t="str">
        <f t="shared" si="23"/>
        <v/>
      </c>
      <c r="AC150" s="38" t="str">
        <f>IF(OR(B150="",COUNTIF($B$4:B150,B150)&gt;1),"",MAX($AC$3:AC149)+1)</f>
        <v/>
      </c>
      <c r="AD150" s="38" t="str">
        <f t="shared" si="24"/>
        <v/>
      </c>
      <c r="AE150" s="38" t="str">
        <f t="shared" si="25"/>
        <v/>
      </c>
      <c r="AF150" s="38" t="str">
        <f t="shared" si="26"/>
        <v/>
      </c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8" t="str">
        <f>IF(OR(A151="Автомат",A151="Дифавтомат"),IF(W151="","",COUNTIFS(Однолинейка!$H$3:$H$3000,U151,Однолинейка!$A$3:$A$3000,Щит_спец)),IF(A151="Аппарат",IF(C151="","",COUNTIFS(Однолинейка!$I$3:$I$3000,C151,Однолинейка!$A$3:$A$3000,Щит_спец)+COUNTIFS(Однолинейка!$J$3:$J$3000,C151,Однолинейка!$A$3:$A$3000,Щит_спец)+COUNTIFS(Однолинейка!$K$3:$K$3000,C151,Однолинейка!$A$3:$A$3000,Щит_спец)),IF(A151="Модуль",IF(C151="","",COUNTIFS(Однолинейка!$AW$3:$AW$3000,"?*",Однолинейка!$AI$3:$AI$3000,C151,Однолинейка!$A$3:$A$3000,Щит_спец)),IF(A151="Клемма",IF(C151="","",IF(C151=$S$7,SUMIFS(Однолинейка!$BW$3:$BW$3000,Однолинейка!$A$3:$A$3000,Щит_спец),IF(C151=$S$8,SUMIFS(Однолинейка!$BX$3:$BX$3000,Однолинейка!$A$3:$A$3000,Щит_спец),""))),""))))</f>
        <v/>
      </c>
      <c r="O151" s="74"/>
      <c r="P151" s="38" t="str">
        <f t="shared" si="18"/>
        <v/>
      </c>
      <c r="U151" s="38" t="str">
        <f t="shared" si="19"/>
        <v/>
      </c>
      <c r="V151" s="38" t="str">
        <f t="shared" si="20"/>
        <v/>
      </c>
      <c r="W151" s="38" t="str">
        <f>IF(AND(U151&lt;&gt;"",OR($S$4="(все)",B151=$S$4),IF($S$4="(все)",COUNTIF($U$4:U151,U151),COUNTIFS($U$4:U151,U151,$B$4:B151,B151))=1),MAX($W$3:W150)+1,"")</f>
        <v/>
      </c>
      <c r="X151" s="38" t="str">
        <f t="shared" si="21"/>
        <v/>
      </c>
      <c r="Y151" s="38" t="str">
        <f>IF(AND(A151="Аппарат",C151&lt;&gt;"",OR($S$5="(все)",B151=$S$5)),MAX($Y$3:Y150)+1,"")</f>
        <v/>
      </c>
      <c r="Z151" s="38" t="str">
        <f t="shared" si="22"/>
        <v/>
      </c>
      <c r="AA151" s="38" t="str">
        <f>IF(AND(A151="Модуль",C151&lt;&gt;"",OR($S$6="(все)",B151=$S$6)),MAX($AA$3:AA150)+1,"")</f>
        <v/>
      </c>
      <c r="AB151" s="38" t="str">
        <f t="shared" si="23"/>
        <v/>
      </c>
      <c r="AC151" s="38" t="str">
        <f>IF(OR(B151="",COUNTIF($B$4:B151,B151)&gt;1),"",MAX($AC$3:AC150)+1)</f>
        <v/>
      </c>
      <c r="AD151" s="38" t="str">
        <f t="shared" si="24"/>
        <v/>
      </c>
      <c r="AE151" s="38" t="str">
        <f t="shared" si="25"/>
        <v/>
      </c>
      <c r="AF151" s="38" t="str">
        <f t="shared" si="26"/>
        <v/>
      </c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8" t="str">
        <f>IF(OR(A152="Автомат",A152="Дифавтомат"),IF(W152="","",COUNTIFS(Однолинейка!$H$3:$H$3000,U152,Однолинейка!$A$3:$A$3000,Щит_спец)),IF(A152="Аппарат",IF(C152="","",COUNTIFS(Однолинейка!$I$3:$I$3000,C152,Однолинейка!$A$3:$A$3000,Щит_спец)+COUNTIFS(Однолинейка!$J$3:$J$3000,C152,Однолинейка!$A$3:$A$3000,Щит_спец)+COUNTIFS(Однолинейка!$K$3:$K$3000,C152,Однолинейка!$A$3:$A$3000,Щит_спец)),IF(A152="Модуль",IF(C152="","",COUNTIFS(Однолинейка!$AW$3:$AW$3000,"?*",Однолинейка!$AI$3:$AI$3000,C152,Однолинейка!$A$3:$A$3000,Щит_спец)),IF(A152="Клемма",IF(C152="","",IF(C152=$S$7,SUMIFS(Однолинейка!$BW$3:$BW$3000,Однолинейка!$A$3:$A$3000,Щит_спец),IF(C152=$S$8,SUMIFS(Однолинейка!$BX$3:$BX$3000,Однолинейка!$A$3:$A$3000,Щит_спец),""))),""))))</f>
        <v/>
      </c>
      <c r="O152" s="74"/>
      <c r="P152" s="38" t="str">
        <f t="shared" si="18"/>
        <v/>
      </c>
      <c r="U152" s="38" t="str">
        <f t="shared" si="19"/>
        <v/>
      </c>
      <c r="V152" s="38" t="str">
        <f t="shared" si="20"/>
        <v/>
      </c>
      <c r="W152" s="38" t="str">
        <f>IF(AND(U152&lt;&gt;"",OR($S$4="(все)",B152=$S$4),IF($S$4="(все)",COUNTIF($U$4:U152,U152),COUNTIFS($U$4:U152,U152,$B$4:B152,B152))=1),MAX($W$3:W151)+1,"")</f>
        <v/>
      </c>
      <c r="X152" s="38" t="str">
        <f t="shared" si="21"/>
        <v/>
      </c>
      <c r="Y152" s="38" t="str">
        <f>IF(AND(A152="Аппарат",C152&lt;&gt;"",OR($S$5="(все)",B152=$S$5)),MAX($Y$3:Y151)+1,"")</f>
        <v/>
      </c>
      <c r="Z152" s="38" t="str">
        <f t="shared" si="22"/>
        <v/>
      </c>
      <c r="AA152" s="38" t="str">
        <f>IF(AND(A152="Модуль",C152&lt;&gt;"",OR($S$6="(все)",B152=$S$6)),MAX($AA$3:AA151)+1,"")</f>
        <v/>
      </c>
      <c r="AB152" s="38" t="str">
        <f t="shared" si="23"/>
        <v/>
      </c>
      <c r="AC152" s="38" t="str">
        <f>IF(OR(B152="",COUNTIF($B$4:B152,B152)&gt;1),"",MAX($AC$3:AC151)+1)</f>
        <v/>
      </c>
      <c r="AD152" s="38" t="str">
        <f t="shared" si="24"/>
        <v/>
      </c>
      <c r="AE152" s="38" t="str">
        <f t="shared" si="25"/>
        <v/>
      </c>
      <c r="AF152" s="38" t="str">
        <f t="shared" si="26"/>
        <v/>
      </c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8" t="str">
        <f>IF(OR(A153="Автомат",A153="Дифавтомат"),IF(W153="","",COUNTIFS(Однолинейка!$H$3:$H$3000,U153,Однолинейка!$A$3:$A$3000,Щит_спец)),IF(A153="Аппарат",IF(C153="","",COUNTIFS(Однолинейка!$I$3:$I$3000,C153,Однолинейка!$A$3:$A$3000,Щит_спец)+COUNTIFS(Однолинейка!$J$3:$J$3000,C153,Однолинейка!$A$3:$A$3000,Щит_спец)+COUNTIFS(Однолинейка!$K$3:$K$3000,C153,Однолинейка!$A$3:$A$3000,Щит_спец)),IF(A153="Модуль",IF(C153="","",COUNTIFS(Однолинейка!$AW$3:$AW$3000,"?*",Однолинейка!$AI$3:$AI$3000,C153,Однолинейка!$A$3:$A$3000,Щит_спец)),IF(A153="Клемма",IF(C153="","",IF(C153=$S$7,SUMIFS(Однолинейка!$BW$3:$BW$3000,Однолинейка!$A$3:$A$3000,Щит_спец),IF(C153=$S$8,SUMIFS(Однолинейка!$BX$3:$BX$3000,Однолинейка!$A$3:$A$3000,Щит_спец),""))),""))))</f>
        <v/>
      </c>
      <c r="O153" s="74"/>
      <c r="P153" s="38" t="str">
        <f t="shared" si="18"/>
        <v/>
      </c>
      <c r="U153" s="38" t="str">
        <f t="shared" si="19"/>
        <v/>
      </c>
      <c r="V153" s="38" t="str">
        <f t="shared" si="20"/>
        <v/>
      </c>
      <c r="W153" s="38" t="str">
        <f>IF(AND(U153&lt;&gt;"",OR($S$4="(все)",B153=$S$4),IF($S$4="(все)",COUNTIF($U$4:U153,U153),COUNTIFS($U$4:U153,U153,$B$4:B153,B153))=1),MAX($W$3:W152)+1,"")</f>
        <v/>
      </c>
      <c r="X153" s="38" t="str">
        <f t="shared" si="21"/>
        <v/>
      </c>
      <c r="Y153" s="38" t="str">
        <f>IF(AND(A153="Аппарат",C153&lt;&gt;"",OR($S$5="(все)",B153=$S$5)),MAX($Y$3:Y152)+1,"")</f>
        <v/>
      </c>
      <c r="Z153" s="38" t="str">
        <f t="shared" si="22"/>
        <v/>
      </c>
      <c r="AA153" s="38" t="str">
        <f>IF(AND(A153="Модуль",C153&lt;&gt;"",OR($S$6="(все)",B153=$S$6)),MAX($AA$3:AA152)+1,"")</f>
        <v/>
      </c>
      <c r="AB153" s="38" t="str">
        <f t="shared" si="23"/>
        <v/>
      </c>
      <c r="AC153" s="38" t="str">
        <f>IF(OR(B153="",COUNTIF($B$4:B153,B153)&gt;1),"",MAX($AC$3:AC152)+1)</f>
        <v/>
      </c>
      <c r="AD153" s="38" t="str">
        <f t="shared" si="24"/>
        <v/>
      </c>
      <c r="AE153" s="38" t="str">
        <f t="shared" si="25"/>
        <v/>
      </c>
      <c r="AF153" s="38" t="str">
        <f t="shared" si="26"/>
        <v/>
      </c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38" t="str">
        <f>IF(OR(A154="Автомат",A154="Дифавтомат"),IF(W154="","",COUNTIFS(Однолинейка!$H$3:$H$3000,U154,Однолинейка!$A$3:$A$3000,Щит_спец)),IF(A154="Аппарат",IF(C154="","",COUNTIFS(Однолинейка!$I$3:$I$3000,C154,Однолинейка!$A$3:$A$3000,Щит_спец)+COUNTIFS(Однолинейка!$J$3:$J$3000,C154,Однолинейка!$A$3:$A$3000,Щит_спец)+COUNTIFS(Однолинейка!$K$3:$K$3000,C154,Однолинейка!$A$3:$A$3000,Щит_спец)),IF(A154="Модуль",IF(C154="","",COUNTIFS(Однолинейка!$AW$3:$AW$3000,"?*",Однолинейка!$AI$3:$AI$3000,C154,Однолинейка!$A$3:$A$3000,Щит_спец)),IF(A154="Клемма",IF(C154="","",IF(C154=$S$7,SUMIFS(Однолинейка!$BW$3:$BW$3000,Однолинейка!$A$3:$A$3000,Щит_спец),IF(C154=$S$8,SUMIFS(Однолинейка!$BX$3:$BX$3000,Однолинейка!$A$3:$A$3000,Щит_спец),""))),""))))</f>
        <v/>
      </c>
      <c r="O154" s="74"/>
      <c r="P154" s="38" t="str">
        <f t="shared" si="18"/>
        <v/>
      </c>
      <c r="U154" s="38" t="str">
        <f t="shared" si="19"/>
        <v/>
      </c>
      <c r="V154" s="38" t="str">
        <f t="shared" si="20"/>
        <v/>
      </c>
      <c r="W154" s="38" t="str">
        <f>IF(AND(U154&lt;&gt;"",OR($S$4="(все)",B154=$S$4),IF($S$4="(все)",COUNTIF($U$4:U154,U154),COUNTIFS($U$4:U154,U154,$B$4:B154,B154))=1),MAX($W$3:W153)+1,"")</f>
        <v/>
      </c>
      <c r="X154" s="38" t="str">
        <f t="shared" si="21"/>
        <v/>
      </c>
      <c r="Y154" s="38" t="str">
        <f>IF(AND(A154="Аппарат",C154&lt;&gt;"",OR($S$5="(все)",B154=$S$5)),MAX($Y$3:Y153)+1,"")</f>
        <v/>
      </c>
      <c r="Z154" s="38" t="str">
        <f t="shared" si="22"/>
        <v/>
      </c>
      <c r="AA154" s="38" t="str">
        <f>IF(AND(A154="Модуль",C154&lt;&gt;"",OR($S$6="(все)",B154=$S$6)),MAX($AA$3:AA153)+1,"")</f>
        <v/>
      </c>
      <c r="AB154" s="38" t="str">
        <f t="shared" si="23"/>
        <v/>
      </c>
      <c r="AC154" s="38" t="str">
        <f>IF(OR(B154="",COUNTIF($B$4:B154,B154)&gt;1),"",MAX($AC$3:AC153)+1)</f>
        <v/>
      </c>
      <c r="AD154" s="38" t="str">
        <f t="shared" si="24"/>
        <v/>
      </c>
      <c r="AE154" s="38" t="str">
        <f t="shared" si="25"/>
        <v/>
      </c>
      <c r="AF154" s="38" t="str">
        <f t="shared" si="26"/>
        <v/>
      </c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38" t="str">
        <f>IF(OR(A155="Автомат",A155="Дифавтомат"),IF(W155="","",COUNTIFS(Однолинейка!$H$3:$H$3000,U155,Однолинейка!$A$3:$A$3000,Щит_спец)),IF(A155="Аппарат",IF(C155="","",COUNTIFS(Однолинейка!$I$3:$I$3000,C155,Однолинейка!$A$3:$A$3000,Щит_спец)+COUNTIFS(Однолинейка!$J$3:$J$3000,C155,Однолинейка!$A$3:$A$3000,Щит_спец)+COUNTIFS(Однолинейка!$K$3:$K$3000,C155,Однолинейка!$A$3:$A$3000,Щит_спец)),IF(A155="Модуль",IF(C155="","",COUNTIFS(Однолинейка!$AW$3:$AW$3000,"?*",Однолинейка!$AI$3:$AI$3000,C155,Однолинейка!$A$3:$A$3000,Щит_спец)),IF(A155="Клемма",IF(C155="","",IF(C155=$S$7,SUMIFS(Однолинейка!$BW$3:$BW$3000,Однолинейка!$A$3:$A$3000,Щит_спец),IF(C155=$S$8,SUMIFS(Однолинейка!$BX$3:$BX$3000,Однолинейка!$A$3:$A$3000,Щит_спец),""))),""))))</f>
        <v/>
      </c>
      <c r="O155" s="74"/>
      <c r="P155" s="38" t="str">
        <f t="shared" si="18"/>
        <v/>
      </c>
      <c r="U155" s="38" t="str">
        <f t="shared" si="19"/>
        <v/>
      </c>
      <c r="V155" s="38" t="str">
        <f t="shared" si="20"/>
        <v/>
      </c>
      <c r="W155" s="38" t="str">
        <f>IF(AND(U155&lt;&gt;"",OR($S$4="(все)",B155=$S$4),IF($S$4="(все)",COUNTIF($U$4:U155,U155),COUNTIFS($U$4:U155,U155,$B$4:B155,B155))=1),MAX($W$3:W154)+1,"")</f>
        <v/>
      </c>
      <c r="X155" s="38" t="str">
        <f t="shared" si="21"/>
        <v/>
      </c>
      <c r="Y155" s="38" t="str">
        <f>IF(AND(A155="Аппарат",C155&lt;&gt;"",OR($S$5="(все)",B155=$S$5)),MAX($Y$3:Y154)+1,"")</f>
        <v/>
      </c>
      <c r="Z155" s="38" t="str">
        <f t="shared" si="22"/>
        <v/>
      </c>
      <c r="AA155" s="38" t="str">
        <f>IF(AND(A155="Модуль",C155&lt;&gt;"",OR($S$6="(все)",B155=$S$6)),MAX($AA$3:AA154)+1,"")</f>
        <v/>
      </c>
      <c r="AB155" s="38" t="str">
        <f t="shared" si="23"/>
        <v/>
      </c>
      <c r="AC155" s="38" t="str">
        <f>IF(OR(B155="",COUNTIF($B$4:B155,B155)&gt;1),"",MAX($AC$3:AC154)+1)</f>
        <v/>
      </c>
      <c r="AD155" s="38" t="str">
        <f t="shared" si="24"/>
        <v/>
      </c>
      <c r="AE155" s="38" t="str">
        <f t="shared" si="25"/>
        <v/>
      </c>
      <c r="AF155" s="38" t="str">
        <f t="shared" si="26"/>
        <v/>
      </c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8" t="str">
        <f>IF(OR(A156="Автомат",A156="Дифавтомат"),IF(W156="","",COUNTIFS(Однолинейка!$H$3:$H$3000,U156,Однолинейка!$A$3:$A$3000,Щит_спец)),IF(A156="Аппарат",IF(C156="","",COUNTIFS(Однолинейка!$I$3:$I$3000,C156,Однолинейка!$A$3:$A$3000,Щит_спец)+COUNTIFS(Однолинейка!$J$3:$J$3000,C156,Однолинейка!$A$3:$A$3000,Щит_спец)+COUNTIFS(Однолинейка!$K$3:$K$3000,C156,Однолинейка!$A$3:$A$3000,Щит_спец)),IF(A156="Модуль",IF(C156="","",COUNTIFS(Однолинейка!$AW$3:$AW$3000,"?*",Однолинейка!$AI$3:$AI$3000,C156,Однолинейка!$A$3:$A$3000,Щит_спец)),IF(A156="Клемма",IF(C156="","",IF(C156=$S$7,SUMIFS(Однолинейка!$BW$3:$BW$3000,Однолинейка!$A$3:$A$3000,Щит_спец),IF(C156=$S$8,SUMIFS(Однолинейка!$BX$3:$BX$3000,Однолинейка!$A$3:$A$3000,Щит_спец),""))),""))))</f>
        <v/>
      </c>
      <c r="O156" s="74"/>
      <c r="P156" s="38" t="str">
        <f t="shared" si="18"/>
        <v/>
      </c>
      <c r="U156" s="38" t="str">
        <f t="shared" si="19"/>
        <v/>
      </c>
      <c r="V156" s="38" t="str">
        <f t="shared" si="20"/>
        <v/>
      </c>
      <c r="W156" s="38" t="str">
        <f>IF(AND(U156&lt;&gt;"",OR($S$4="(все)",B156=$S$4),IF($S$4="(все)",COUNTIF($U$4:U156,U156),COUNTIFS($U$4:U156,U156,$B$4:B156,B156))=1),MAX($W$3:W155)+1,"")</f>
        <v/>
      </c>
      <c r="X156" s="38" t="str">
        <f t="shared" si="21"/>
        <v/>
      </c>
      <c r="Y156" s="38" t="str">
        <f>IF(AND(A156="Аппарат",C156&lt;&gt;"",OR($S$5="(все)",B156=$S$5)),MAX($Y$3:Y155)+1,"")</f>
        <v/>
      </c>
      <c r="Z156" s="38" t="str">
        <f t="shared" si="22"/>
        <v/>
      </c>
      <c r="AA156" s="38" t="str">
        <f>IF(AND(A156="Модуль",C156&lt;&gt;"",OR($S$6="(все)",B156=$S$6)),MAX($AA$3:AA155)+1,"")</f>
        <v/>
      </c>
      <c r="AB156" s="38" t="str">
        <f t="shared" si="23"/>
        <v/>
      </c>
      <c r="AC156" s="38" t="str">
        <f>IF(OR(B156="",COUNTIF($B$4:B156,B156)&gt;1),"",MAX($AC$3:AC155)+1)</f>
        <v/>
      </c>
      <c r="AD156" s="38" t="str">
        <f t="shared" si="24"/>
        <v/>
      </c>
      <c r="AE156" s="38" t="str">
        <f t="shared" si="25"/>
        <v/>
      </c>
      <c r="AF156" s="38" t="str">
        <f t="shared" si="26"/>
        <v/>
      </c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38" t="str">
        <f>IF(OR(A157="Автомат",A157="Дифавтомат"),IF(W157="","",COUNTIFS(Однолинейка!$H$3:$H$3000,U157,Однолинейка!$A$3:$A$3000,Щит_спец)),IF(A157="Аппарат",IF(C157="","",COUNTIFS(Однолинейка!$I$3:$I$3000,C157,Однолинейка!$A$3:$A$3000,Щит_спец)+COUNTIFS(Однолинейка!$J$3:$J$3000,C157,Однолинейка!$A$3:$A$3000,Щит_спец)+COUNTIFS(Однолинейка!$K$3:$K$3000,C157,Однолинейка!$A$3:$A$3000,Щит_спец)),IF(A157="Модуль",IF(C157="","",COUNTIFS(Однолинейка!$AW$3:$AW$3000,"?*",Однолинейка!$AI$3:$AI$3000,C157,Однолинейка!$A$3:$A$3000,Щит_спец)),IF(A157="Клемма",IF(C157="","",IF(C157=$S$7,SUMIFS(Однолинейка!$BW$3:$BW$3000,Однолинейка!$A$3:$A$3000,Щит_спец),IF(C157=$S$8,SUMIFS(Однолинейка!$BX$3:$BX$3000,Однолинейка!$A$3:$A$3000,Щит_спец),""))),""))))</f>
        <v/>
      </c>
      <c r="O157" s="74"/>
      <c r="P157" s="38" t="str">
        <f t="shared" si="18"/>
        <v/>
      </c>
      <c r="U157" s="38" t="str">
        <f t="shared" si="19"/>
        <v/>
      </c>
      <c r="V157" s="38" t="str">
        <f t="shared" si="20"/>
        <v/>
      </c>
      <c r="W157" s="38" t="str">
        <f>IF(AND(U157&lt;&gt;"",OR($S$4="(все)",B157=$S$4),IF($S$4="(все)",COUNTIF($U$4:U157,U157),COUNTIFS($U$4:U157,U157,$B$4:B157,B157))=1),MAX($W$3:W156)+1,"")</f>
        <v/>
      </c>
      <c r="X157" s="38" t="str">
        <f t="shared" si="21"/>
        <v/>
      </c>
      <c r="Y157" s="38" t="str">
        <f>IF(AND(A157="Аппарат",C157&lt;&gt;"",OR($S$5="(все)",B157=$S$5)),MAX($Y$3:Y156)+1,"")</f>
        <v/>
      </c>
      <c r="Z157" s="38" t="str">
        <f t="shared" si="22"/>
        <v/>
      </c>
      <c r="AA157" s="38" t="str">
        <f>IF(AND(A157="Модуль",C157&lt;&gt;"",OR($S$6="(все)",B157=$S$6)),MAX($AA$3:AA156)+1,"")</f>
        <v/>
      </c>
      <c r="AB157" s="38" t="str">
        <f t="shared" si="23"/>
        <v/>
      </c>
      <c r="AC157" s="38" t="str">
        <f>IF(OR(B157="",COUNTIF($B$4:B157,B157)&gt;1),"",MAX($AC$3:AC156)+1)</f>
        <v/>
      </c>
      <c r="AD157" s="38" t="str">
        <f t="shared" si="24"/>
        <v/>
      </c>
      <c r="AE157" s="38" t="str">
        <f t="shared" si="25"/>
        <v/>
      </c>
      <c r="AF157" s="38" t="str">
        <f t="shared" si="26"/>
        <v/>
      </c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38" t="str">
        <f>IF(OR(A158="Автомат",A158="Дифавтомат"),IF(W158="","",COUNTIFS(Однолинейка!$H$3:$H$3000,U158,Однолинейка!$A$3:$A$3000,Щит_спец)),IF(A158="Аппарат",IF(C158="","",COUNTIFS(Однолинейка!$I$3:$I$3000,C158,Однолинейка!$A$3:$A$3000,Щит_спец)+COUNTIFS(Однолинейка!$J$3:$J$3000,C158,Однолинейка!$A$3:$A$3000,Щит_спец)+COUNTIFS(Однолинейка!$K$3:$K$3000,C158,Однолинейка!$A$3:$A$3000,Щит_спец)),IF(A158="Модуль",IF(C158="","",COUNTIFS(Однолинейка!$AW$3:$AW$3000,"?*",Однолинейка!$AI$3:$AI$3000,C158,Однолинейка!$A$3:$A$3000,Щит_спец)),IF(A158="Клемма",IF(C158="","",IF(C158=$S$7,SUMIFS(Однолинейка!$BW$3:$BW$3000,Однолинейка!$A$3:$A$3000,Щит_спец),IF(C158=$S$8,SUMIFS(Однолинейка!$BX$3:$BX$3000,Однолинейка!$A$3:$A$3000,Щит_спец),""))),""))))</f>
        <v/>
      </c>
      <c r="O158" s="74"/>
      <c r="P158" s="38" t="str">
        <f t="shared" si="18"/>
        <v/>
      </c>
      <c r="U158" s="38" t="str">
        <f t="shared" si="19"/>
        <v/>
      </c>
      <c r="V158" s="38" t="str">
        <f t="shared" si="20"/>
        <v/>
      </c>
      <c r="W158" s="38" t="str">
        <f>IF(AND(U158&lt;&gt;"",OR($S$4="(все)",B158=$S$4),IF($S$4="(все)",COUNTIF($U$4:U158,U158),COUNTIFS($U$4:U158,U158,$B$4:B158,B158))=1),MAX($W$3:W157)+1,"")</f>
        <v/>
      </c>
      <c r="X158" s="38" t="str">
        <f t="shared" si="21"/>
        <v/>
      </c>
      <c r="Y158" s="38" t="str">
        <f>IF(AND(A158="Аппарат",C158&lt;&gt;"",OR($S$5="(все)",B158=$S$5)),MAX($Y$3:Y157)+1,"")</f>
        <v/>
      </c>
      <c r="Z158" s="38" t="str">
        <f t="shared" si="22"/>
        <v/>
      </c>
      <c r="AA158" s="38" t="str">
        <f>IF(AND(A158="Модуль",C158&lt;&gt;"",OR($S$6="(все)",B158=$S$6)),MAX($AA$3:AA157)+1,"")</f>
        <v/>
      </c>
      <c r="AB158" s="38" t="str">
        <f t="shared" si="23"/>
        <v/>
      </c>
      <c r="AC158" s="38" t="str">
        <f>IF(OR(B158="",COUNTIF($B$4:B158,B158)&gt;1),"",MAX($AC$3:AC157)+1)</f>
        <v/>
      </c>
      <c r="AD158" s="38" t="str">
        <f t="shared" si="24"/>
        <v/>
      </c>
      <c r="AE158" s="38" t="str">
        <f t="shared" si="25"/>
        <v/>
      </c>
      <c r="AF158" s="38" t="str">
        <f t="shared" si="26"/>
        <v/>
      </c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8" t="str">
        <f>IF(OR(A159="Автомат",A159="Дифавтомат"),IF(W159="","",COUNTIFS(Однолинейка!$H$3:$H$3000,U159,Однолинейка!$A$3:$A$3000,Щит_спец)),IF(A159="Аппарат",IF(C159="","",COUNTIFS(Однолинейка!$I$3:$I$3000,C159,Однолинейка!$A$3:$A$3000,Щит_спец)+COUNTIFS(Однолинейка!$J$3:$J$3000,C159,Однолинейка!$A$3:$A$3000,Щит_спец)+COUNTIFS(Однолинейка!$K$3:$K$3000,C159,Однолинейка!$A$3:$A$3000,Щит_спец)),IF(A159="Модуль",IF(C159="","",COUNTIFS(Однолинейка!$AW$3:$AW$3000,"?*",Однолинейка!$AI$3:$AI$3000,C159,Однолинейка!$A$3:$A$3000,Щит_спец)),IF(A159="Клемма",IF(C159="","",IF(C159=$S$7,SUMIFS(Однолинейка!$BW$3:$BW$3000,Однолинейка!$A$3:$A$3000,Щит_спец),IF(C159=$S$8,SUMIFS(Однолинейка!$BX$3:$BX$3000,Однолинейка!$A$3:$A$3000,Щит_спец),""))),""))))</f>
        <v/>
      </c>
      <c r="O159" s="74"/>
      <c r="P159" s="38" t="str">
        <f t="shared" si="18"/>
        <v/>
      </c>
      <c r="U159" s="38" t="str">
        <f t="shared" si="19"/>
        <v/>
      </c>
      <c r="V159" s="38" t="str">
        <f t="shared" si="20"/>
        <v/>
      </c>
      <c r="W159" s="38" t="str">
        <f>IF(AND(U159&lt;&gt;"",OR($S$4="(все)",B159=$S$4),IF($S$4="(все)",COUNTIF($U$4:U159,U159),COUNTIFS($U$4:U159,U159,$B$4:B159,B159))=1),MAX($W$3:W158)+1,"")</f>
        <v/>
      </c>
      <c r="X159" s="38" t="str">
        <f t="shared" si="21"/>
        <v/>
      </c>
      <c r="Y159" s="38" t="str">
        <f>IF(AND(A159="Аппарат",C159&lt;&gt;"",OR($S$5="(все)",B159=$S$5)),MAX($Y$3:Y158)+1,"")</f>
        <v/>
      </c>
      <c r="Z159" s="38" t="str">
        <f t="shared" si="22"/>
        <v/>
      </c>
      <c r="AA159" s="38" t="str">
        <f>IF(AND(A159="Модуль",C159&lt;&gt;"",OR($S$6="(все)",B159=$S$6)),MAX($AA$3:AA158)+1,"")</f>
        <v/>
      </c>
      <c r="AB159" s="38" t="str">
        <f t="shared" si="23"/>
        <v/>
      </c>
      <c r="AC159" s="38" t="str">
        <f>IF(OR(B159="",COUNTIF($B$4:B159,B159)&gt;1),"",MAX($AC$3:AC158)+1)</f>
        <v/>
      </c>
      <c r="AD159" s="38" t="str">
        <f t="shared" si="24"/>
        <v/>
      </c>
      <c r="AE159" s="38" t="str">
        <f t="shared" si="25"/>
        <v/>
      </c>
      <c r="AF159" s="38" t="str">
        <f t="shared" si="26"/>
        <v/>
      </c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8" t="str">
        <f>IF(OR(A160="Автомат",A160="Дифавтомат"),IF(W160="","",COUNTIFS(Однолинейка!$H$3:$H$3000,U160,Однолинейка!$A$3:$A$3000,Щит_спец)),IF(A160="Аппарат",IF(C160="","",COUNTIFS(Однолинейка!$I$3:$I$3000,C160,Однолинейка!$A$3:$A$3000,Щит_спец)+COUNTIFS(Однолинейка!$J$3:$J$3000,C160,Однолинейка!$A$3:$A$3000,Щит_спец)+COUNTIFS(Однолинейка!$K$3:$K$3000,C160,Однолинейка!$A$3:$A$3000,Щит_спец)),IF(A160="Модуль",IF(C160="","",COUNTIFS(Однолинейка!$AW$3:$AW$3000,"?*",Однолинейка!$AI$3:$AI$3000,C160,Однолинейка!$A$3:$A$3000,Щит_спец)),IF(A160="Клемма",IF(C160="","",IF(C160=$S$7,SUMIFS(Однолинейка!$BW$3:$BW$3000,Однолинейка!$A$3:$A$3000,Щит_спец),IF(C160=$S$8,SUMIFS(Однолинейка!$BX$3:$BX$3000,Однолинейка!$A$3:$A$3000,Щит_спец),""))),""))))</f>
        <v/>
      </c>
      <c r="O160" s="74"/>
      <c r="P160" s="38" t="str">
        <f t="shared" si="18"/>
        <v/>
      </c>
      <c r="U160" s="38" t="str">
        <f t="shared" si="19"/>
        <v/>
      </c>
      <c r="V160" s="38" t="str">
        <f t="shared" si="20"/>
        <v/>
      </c>
      <c r="W160" s="38" t="str">
        <f>IF(AND(U160&lt;&gt;"",OR($S$4="(все)",B160=$S$4),IF($S$4="(все)",COUNTIF($U$4:U160,U160),COUNTIFS($U$4:U160,U160,$B$4:B160,B160))=1),MAX($W$3:W159)+1,"")</f>
        <v/>
      </c>
      <c r="X160" s="38" t="str">
        <f t="shared" si="21"/>
        <v/>
      </c>
      <c r="Y160" s="38" t="str">
        <f>IF(AND(A160="Аппарат",C160&lt;&gt;"",OR($S$5="(все)",B160=$S$5)),MAX($Y$3:Y159)+1,"")</f>
        <v/>
      </c>
      <c r="Z160" s="38" t="str">
        <f t="shared" si="22"/>
        <v/>
      </c>
      <c r="AA160" s="38" t="str">
        <f>IF(AND(A160="Модуль",C160&lt;&gt;"",OR($S$6="(все)",B160=$S$6)),MAX($AA$3:AA159)+1,"")</f>
        <v/>
      </c>
      <c r="AB160" s="38" t="str">
        <f t="shared" si="23"/>
        <v/>
      </c>
      <c r="AC160" s="38" t="str">
        <f>IF(OR(B160="",COUNTIF($B$4:B160,B160)&gt;1),"",MAX($AC$3:AC159)+1)</f>
        <v/>
      </c>
      <c r="AD160" s="38" t="str">
        <f t="shared" si="24"/>
        <v/>
      </c>
      <c r="AE160" s="38" t="str">
        <f t="shared" si="25"/>
        <v/>
      </c>
      <c r="AF160" s="38" t="str">
        <f t="shared" si="26"/>
        <v/>
      </c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8" t="str">
        <f>IF(OR(A161="Автомат",A161="Дифавтомат"),IF(W161="","",COUNTIFS(Однолинейка!$H$3:$H$3000,U161,Однолинейка!$A$3:$A$3000,Щит_спец)),IF(A161="Аппарат",IF(C161="","",COUNTIFS(Однолинейка!$I$3:$I$3000,C161,Однолинейка!$A$3:$A$3000,Щит_спец)+COUNTIFS(Однолинейка!$J$3:$J$3000,C161,Однолинейка!$A$3:$A$3000,Щит_спец)+COUNTIFS(Однолинейка!$K$3:$K$3000,C161,Однолинейка!$A$3:$A$3000,Щит_спец)),IF(A161="Модуль",IF(C161="","",COUNTIFS(Однолинейка!$AW$3:$AW$3000,"?*",Однолинейка!$AI$3:$AI$3000,C161,Однолинейка!$A$3:$A$3000,Щит_спец)),IF(A161="Клемма",IF(C161="","",IF(C161=$S$7,SUMIFS(Однолинейка!$BW$3:$BW$3000,Однолинейка!$A$3:$A$3000,Щит_спец),IF(C161=$S$8,SUMIFS(Однолинейка!$BX$3:$BX$3000,Однолинейка!$A$3:$A$3000,Щит_спец),""))),""))))</f>
        <v/>
      </c>
      <c r="O161" s="74"/>
      <c r="P161" s="38" t="str">
        <f t="shared" si="18"/>
        <v/>
      </c>
      <c r="U161" s="38" t="str">
        <f t="shared" si="19"/>
        <v/>
      </c>
      <c r="V161" s="38" t="str">
        <f t="shared" si="20"/>
        <v/>
      </c>
      <c r="W161" s="38" t="str">
        <f>IF(AND(U161&lt;&gt;"",OR($S$4="(все)",B161=$S$4),IF($S$4="(все)",COUNTIF($U$4:U161,U161),COUNTIFS($U$4:U161,U161,$B$4:B161,B161))=1),MAX($W$3:W160)+1,"")</f>
        <v/>
      </c>
      <c r="X161" s="38" t="str">
        <f t="shared" si="21"/>
        <v/>
      </c>
      <c r="Y161" s="38" t="str">
        <f>IF(AND(A161="Аппарат",C161&lt;&gt;"",OR($S$5="(все)",B161=$S$5)),MAX($Y$3:Y160)+1,"")</f>
        <v/>
      </c>
      <c r="Z161" s="38" t="str">
        <f t="shared" si="22"/>
        <v/>
      </c>
      <c r="AA161" s="38" t="str">
        <f>IF(AND(A161="Модуль",C161&lt;&gt;"",OR($S$6="(все)",B161=$S$6)),MAX($AA$3:AA160)+1,"")</f>
        <v/>
      </c>
      <c r="AB161" s="38" t="str">
        <f t="shared" si="23"/>
        <v/>
      </c>
      <c r="AC161" s="38" t="str">
        <f>IF(OR(B161="",COUNTIF($B$4:B161,B161)&gt;1),"",MAX($AC$3:AC160)+1)</f>
        <v/>
      </c>
      <c r="AD161" s="38" t="str">
        <f t="shared" si="24"/>
        <v/>
      </c>
      <c r="AE161" s="38" t="str">
        <f t="shared" si="25"/>
        <v/>
      </c>
      <c r="AF161" s="38" t="str">
        <f t="shared" si="26"/>
        <v/>
      </c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8" t="str">
        <f>IF(OR(A162="Автомат",A162="Дифавтомат"),IF(W162="","",COUNTIFS(Однолинейка!$H$3:$H$3000,U162,Однолинейка!$A$3:$A$3000,Щит_спец)),IF(A162="Аппарат",IF(C162="","",COUNTIFS(Однолинейка!$I$3:$I$3000,C162,Однолинейка!$A$3:$A$3000,Щит_спец)+COUNTIFS(Однолинейка!$J$3:$J$3000,C162,Однолинейка!$A$3:$A$3000,Щит_спец)+COUNTIFS(Однолинейка!$K$3:$K$3000,C162,Однолинейка!$A$3:$A$3000,Щит_спец)),IF(A162="Модуль",IF(C162="","",COUNTIFS(Однолинейка!$AW$3:$AW$3000,"?*",Однолинейка!$AI$3:$AI$3000,C162,Однолинейка!$A$3:$A$3000,Щит_спец)),IF(A162="Клемма",IF(C162="","",IF(C162=$S$7,SUMIFS(Однолинейка!$BW$3:$BW$3000,Однолинейка!$A$3:$A$3000,Щит_спец),IF(C162=$S$8,SUMIFS(Однолинейка!$BX$3:$BX$3000,Однолинейка!$A$3:$A$3000,Щит_спец),""))),""))))</f>
        <v/>
      </c>
      <c r="O162" s="74"/>
      <c r="P162" s="38" t="str">
        <f t="shared" si="18"/>
        <v/>
      </c>
      <c r="U162" s="38" t="str">
        <f t="shared" si="19"/>
        <v/>
      </c>
      <c r="V162" s="38" t="str">
        <f t="shared" si="20"/>
        <v/>
      </c>
      <c r="W162" s="38" t="str">
        <f>IF(AND(U162&lt;&gt;"",OR($S$4="(все)",B162=$S$4),IF($S$4="(все)",COUNTIF($U$4:U162,U162),COUNTIFS($U$4:U162,U162,$B$4:B162,B162))=1),MAX($W$3:W161)+1,"")</f>
        <v/>
      </c>
      <c r="X162" s="38" t="str">
        <f t="shared" si="21"/>
        <v/>
      </c>
      <c r="Y162" s="38" t="str">
        <f>IF(AND(A162="Аппарат",C162&lt;&gt;"",OR($S$5="(все)",B162=$S$5)),MAX($Y$3:Y161)+1,"")</f>
        <v/>
      </c>
      <c r="Z162" s="38" t="str">
        <f t="shared" si="22"/>
        <v/>
      </c>
      <c r="AA162" s="38" t="str">
        <f>IF(AND(A162="Модуль",C162&lt;&gt;"",OR($S$6="(все)",B162=$S$6)),MAX($AA$3:AA161)+1,"")</f>
        <v/>
      </c>
      <c r="AB162" s="38" t="str">
        <f t="shared" si="23"/>
        <v/>
      </c>
      <c r="AC162" s="38" t="str">
        <f>IF(OR(B162="",COUNTIF($B$4:B162,B162)&gt;1),"",MAX($AC$3:AC161)+1)</f>
        <v/>
      </c>
      <c r="AD162" s="38" t="str">
        <f t="shared" si="24"/>
        <v/>
      </c>
      <c r="AE162" s="38" t="str">
        <f t="shared" si="25"/>
        <v/>
      </c>
      <c r="AF162" s="38" t="str">
        <f t="shared" si="26"/>
        <v/>
      </c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8" t="str">
        <f>IF(OR(A163="Автомат",A163="Дифавтомат"),IF(W163="","",COUNTIFS(Однолинейка!$H$3:$H$3000,U163,Однолинейка!$A$3:$A$3000,Щит_спец)),IF(A163="Аппарат",IF(C163="","",COUNTIFS(Однолинейка!$I$3:$I$3000,C163,Однолинейка!$A$3:$A$3000,Щит_спец)+COUNTIFS(Однолинейка!$J$3:$J$3000,C163,Однолинейка!$A$3:$A$3000,Щит_спец)+COUNTIFS(Однолинейка!$K$3:$K$3000,C163,Однолинейка!$A$3:$A$3000,Щит_спец)),IF(A163="Модуль",IF(C163="","",COUNTIFS(Однолинейка!$AW$3:$AW$3000,"?*",Однолинейка!$AI$3:$AI$3000,C163,Однолинейка!$A$3:$A$3000,Щит_спец)),IF(A163="Клемма",IF(C163="","",IF(C163=$S$7,SUMIFS(Однолинейка!$BW$3:$BW$3000,Однолинейка!$A$3:$A$3000,Щит_спец),IF(C163=$S$8,SUMIFS(Однолинейка!$BX$3:$BX$3000,Однолинейка!$A$3:$A$3000,Щит_спец),""))),""))))</f>
        <v/>
      </c>
      <c r="O163" s="74"/>
      <c r="P163" s="38" t="str">
        <f t="shared" si="18"/>
        <v/>
      </c>
      <c r="U163" s="38" t="str">
        <f t="shared" si="19"/>
        <v/>
      </c>
      <c r="V163" s="38" t="str">
        <f t="shared" si="20"/>
        <v/>
      </c>
      <c r="W163" s="38" t="str">
        <f>IF(AND(U163&lt;&gt;"",OR($S$4="(все)",B163=$S$4),IF($S$4="(все)",COUNTIF($U$4:U163,U163),COUNTIFS($U$4:U163,U163,$B$4:B163,B163))=1),MAX($W$3:W162)+1,"")</f>
        <v/>
      </c>
      <c r="X163" s="38" t="str">
        <f t="shared" si="21"/>
        <v/>
      </c>
      <c r="Y163" s="38" t="str">
        <f>IF(AND(A163="Аппарат",C163&lt;&gt;"",OR($S$5="(все)",B163=$S$5)),MAX($Y$3:Y162)+1,"")</f>
        <v/>
      </c>
      <c r="Z163" s="38" t="str">
        <f t="shared" si="22"/>
        <v/>
      </c>
      <c r="AA163" s="38" t="str">
        <f>IF(AND(A163="Модуль",C163&lt;&gt;"",OR($S$6="(все)",B163=$S$6)),MAX($AA$3:AA162)+1,"")</f>
        <v/>
      </c>
      <c r="AB163" s="38" t="str">
        <f t="shared" si="23"/>
        <v/>
      </c>
      <c r="AC163" s="38" t="str">
        <f>IF(OR(B163="",COUNTIF($B$4:B163,B163)&gt;1),"",MAX($AC$3:AC162)+1)</f>
        <v/>
      </c>
      <c r="AD163" s="38" t="str">
        <f t="shared" si="24"/>
        <v/>
      </c>
      <c r="AE163" s="38" t="str">
        <f t="shared" si="25"/>
        <v/>
      </c>
      <c r="AF163" s="38" t="str">
        <f t="shared" si="26"/>
        <v/>
      </c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8" t="str">
        <f>IF(OR(A164="Автомат",A164="Дифавтомат"),IF(W164="","",COUNTIFS(Однолинейка!$H$3:$H$3000,U164,Однолинейка!$A$3:$A$3000,Щит_спец)),IF(A164="Аппарат",IF(C164="","",COUNTIFS(Однолинейка!$I$3:$I$3000,C164,Однолинейка!$A$3:$A$3000,Щит_спец)+COUNTIFS(Однолинейка!$J$3:$J$3000,C164,Однолинейка!$A$3:$A$3000,Щит_спец)+COUNTIFS(Однолинейка!$K$3:$K$3000,C164,Однолинейка!$A$3:$A$3000,Щит_спец)),IF(A164="Модуль",IF(C164="","",COUNTIFS(Однолинейка!$AW$3:$AW$3000,"?*",Однолинейка!$AI$3:$AI$3000,C164,Однолинейка!$A$3:$A$3000,Щит_спец)),IF(A164="Клемма",IF(C164="","",IF(C164=$S$7,SUMIFS(Однолинейка!$BW$3:$BW$3000,Однолинейка!$A$3:$A$3000,Щит_спец),IF(C164=$S$8,SUMIFS(Однолинейка!$BX$3:$BX$3000,Однолинейка!$A$3:$A$3000,Щит_спец),""))),""))))</f>
        <v/>
      </c>
      <c r="O164" s="74"/>
      <c r="P164" s="38" t="str">
        <f t="shared" si="18"/>
        <v/>
      </c>
      <c r="U164" s="38" t="str">
        <f t="shared" si="19"/>
        <v/>
      </c>
      <c r="V164" s="38" t="str">
        <f t="shared" si="20"/>
        <v/>
      </c>
      <c r="W164" s="38" t="str">
        <f>IF(AND(U164&lt;&gt;"",OR($S$4="(все)",B164=$S$4),IF($S$4="(все)",COUNTIF($U$4:U164,U164),COUNTIFS($U$4:U164,U164,$B$4:B164,B164))=1),MAX($W$3:W163)+1,"")</f>
        <v/>
      </c>
      <c r="X164" s="38" t="str">
        <f t="shared" si="21"/>
        <v/>
      </c>
      <c r="Y164" s="38" t="str">
        <f>IF(AND(A164="Аппарат",C164&lt;&gt;"",OR($S$5="(все)",B164=$S$5)),MAX($Y$3:Y163)+1,"")</f>
        <v/>
      </c>
      <c r="Z164" s="38" t="str">
        <f t="shared" si="22"/>
        <v/>
      </c>
      <c r="AA164" s="38" t="str">
        <f>IF(AND(A164="Модуль",C164&lt;&gt;"",OR($S$6="(все)",B164=$S$6)),MAX($AA$3:AA163)+1,"")</f>
        <v/>
      </c>
      <c r="AB164" s="38" t="str">
        <f t="shared" si="23"/>
        <v/>
      </c>
      <c r="AC164" s="38" t="str">
        <f>IF(OR(B164="",COUNTIF($B$4:B164,B164)&gt;1),"",MAX($AC$3:AC163)+1)</f>
        <v/>
      </c>
      <c r="AD164" s="38" t="str">
        <f t="shared" si="24"/>
        <v/>
      </c>
      <c r="AE164" s="38" t="str">
        <f t="shared" si="25"/>
        <v/>
      </c>
      <c r="AF164" s="38" t="str">
        <f t="shared" si="26"/>
        <v/>
      </c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8" t="str">
        <f>IF(OR(A165="Автомат",A165="Дифавтомат"),IF(W165="","",COUNTIFS(Однолинейка!$H$3:$H$3000,U165,Однолинейка!$A$3:$A$3000,Щит_спец)),IF(A165="Аппарат",IF(C165="","",COUNTIFS(Однолинейка!$I$3:$I$3000,C165,Однолинейка!$A$3:$A$3000,Щит_спец)+COUNTIFS(Однолинейка!$J$3:$J$3000,C165,Однолинейка!$A$3:$A$3000,Щит_спец)+COUNTIFS(Однолинейка!$K$3:$K$3000,C165,Однолинейка!$A$3:$A$3000,Щит_спец)),IF(A165="Модуль",IF(C165="","",COUNTIFS(Однолинейка!$AW$3:$AW$3000,"?*",Однолинейка!$AI$3:$AI$3000,C165,Однолинейка!$A$3:$A$3000,Щит_спец)),IF(A165="Клемма",IF(C165="","",IF(C165=$S$7,SUMIFS(Однолинейка!$BW$3:$BW$3000,Однолинейка!$A$3:$A$3000,Щит_спец),IF(C165=$S$8,SUMIFS(Однолинейка!$BX$3:$BX$3000,Однолинейка!$A$3:$A$3000,Щит_спец),""))),""))))</f>
        <v/>
      </c>
      <c r="O165" s="74"/>
      <c r="P165" s="38" t="str">
        <f t="shared" si="18"/>
        <v/>
      </c>
      <c r="U165" s="38" t="str">
        <f t="shared" si="19"/>
        <v/>
      </c>
      <c r="V165" s="38" t="str">
        <f t="shared" si="20"/>
        <v/>
      </c>
      <c r="W165" s="38" t="str">
        <f>IF(AND(U165&lt;&gt;"",OR($S$4="(все)",B165=$S$4),IF($S$4="(все)",COUNTIF($U$4:U165,U165),COUNTIFS($U$4:U165,U165,$B$4:B165,B165))=1),MAX($W$3:W164)+1,"")</f>
        <v/>
      </c>
      <c r="X165" s="38" t="str">
        <f t="shared" si="21"/>
        <v/>
      </c>
      <c r="Y165" s="38" t="str">
        <f>IF(AND(A165="Аппарат",C165&lt;&gt;"",OR($S$5="(все)",B165=$S$5)),MAX($Y$3:Y164)+1,"")</f>
        <v/>
      </c>
      <c r="Z165" s="38" t="str">
        <f t="shared" si="22"/>
        <v/>
      </c>
      <c r="AA165" s="38" t="str">
        <f>IF(AND(A165="Модуль",C165&lt;&gt;"",OR($S$6="(все)",B165=$S$6)),MAX($AA$3:AA164)+1,"")</f>
        <v/>
      </c>
      <c r="AB165" s="38" t="str">
        <f t="shared" si="23"/>
        <v/>
      </c>
      <c r="AC165" s="38" t="str">
        <f>IF(OR(B165="",COUNTIF($B$4:B165,B165)&gt;1),"",MAX($AC$3:AC164)+1)</f>
        <v/>
      </c>
      <c r="AD165" s="38" t="str">
        <f t="shared" si="24"/>
        <v/>
      </c>
      <c r="AE165" s="38" t="str">
        <f t="shared" si="25"/>
        <v/>
      </c>
      <c r="AF165" s="38" t="str">
        <f t="shared" si="26"/>
        <v/>
      </c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8" t="str">
        <f>IF(OR(A166="Автомат",A166="Дифавтомат"),IF(W166="","",COUNTIFS(Однолинейка!$H$3:$H$3000,U166,Однолинейка!$A$3:$A$3000,Щит_спец)),IF(A166="Аппарат",IF(C166="","",COUNTIFS(Однолинейка!$I$3:$I$3000,C166,Однолинейка!$A$3:$A$3000,Щит_спец)+COUNTIFS(Однолинейка!$J$3:$J$3000,C166,Однолинейка!$A$3:$A$3000,Щит_спец)+COUNTIFS(Однолинейка!$K$3:$K$3000,C166,Однолинейка!$A$3:$A$3000,Щит_спец)),IF(A166="Модуль",IF(C166="","",COUNTIFS(Однолинейка!$AW$3:$AW$3000,"?*",Однолинейка!$AI$3:$AI$3000,C166,Однолинейка!$A$3:$A$3000,Щит_спец)),IF(A166="Клемма",IF(C166="","",IF(C166=$S$7,SUMIFS(Однолинейка!$BW$3:$BW$3000,Однолинейка!$A$3:$A$3000,Щит_спец),IF(C166=$S$8,SUMIFS(Однолинейка!$BX$3:$BX$3000,Однолинейка!$A$3:$A$3000,Щит_спец),""))),""))))</f>
        <v/>
      </c>
      <c r="O166" s="74"/>
      <c r="P166" s="38" t="str">
        <f t="shared" si="18"/>
        <v/>
      </c>
      <c r="U166" s="38" t="str">
        <f t="shared" si="19"/>
        <v/>
      </c>
      <c r="V166" s="38" t="str">
        <f t="shared" si="20"/>
        <v/>
      </c>
      <c r="W166" s="38" t="str">
        <f>IF(AND(U166&lt;&gt;"",OR($S$4="(все)",B166=$S$4),IF($S$4="(все)",COUNTIF($U$4:U166,U166),COUNTIFS($U$4:U166,U166,$B$4:B166,B166))=1),MAX($W$3:W165)+1,"")</f>
        <v/>
      </c>
      <c r="X166" s="38" t="str">
        <f t="shared" si="21"/>
        <v/>
      </c>
      <c r="Y166" s="38" t="str">
        <f>IF(AND(A166="Аппарат",C166&lt;&gt;"",OR($S$5="(все)",B166=$S$5)),MAX($Y$3:Y165)+1,"")</f>
        <v/>
      </c>
      <c r="Z166" s="38" t="str">
        <f t="shared" si="22"/>
        <v/>
      </c>
      <c r="AA166" s="38" t="str">
        <f>IF(AND(A166="Модуль",C166&lt;&gt;"",OR($S$6="(все)",B166=$S$6)),MAX($AA$3:AA165)+1,"")</f>
        <v/>
      </c>
      <c r="AB166" s="38" t="str">
        <f t="shared" si="23"/>
        <v/>
      </c>
      <c r="AC166" s="38" t="str">
        <f>IF(OR(B166="",COUNTIF($B$4:B166,B166)&gt;1),"",MAX($AC$3:AC165)+1)</f>
        <v/>
      </c>
      <c r="AD166" s="38" t="str">
        <f t="shared" si="24"/>
        <v/>
      </c>
      <c r="AE166" s="38" t="str">
        <f t="shared" si="25"/>
        <v/>
      </c>
      <c r="AF166" s="38" t="str">
        <f t="shared" si="26"/>
        <v/>
      </c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8" t="str">
        <f>IF(OR(A167="Автомат",A167="Дифавтомат"),IF(W167="","",COUNTIFS(Однолинейка!$H$3:$H$3000,U167,Однолинейка!$A$3:$A$3000,Щит_спец)),IF(A167="Аппарат",IF(C167="","",COUNTIFS(Однолинейка!$I$3:$I$3000,C167,Однолинейка!$A$3:$A$3000,Щит_спец)+COUNTIFS(Однолинейка!$J$3:$J$3000,C167,Однолинейка!$A$3:$A$3000,Щит_спец)+COUNTIFS(Однолинейка!$K$3:$K$3000,C167,Однолинейка!$A$3:$A$3000,Щит_спец)),IF(A167="Модуль",IF(C167="","",COUNTIFS(Однолинейка!$AW$3:$AW$3000,"?*",Однолинейка!$AI$3:$AI$3000,C167,Однолинейка!$A$3:$A$3000,Щит_спец)),IF(A167="Клемма",IF(C167="","",IF(C167=$S$7,SUMIFS(Однолинейка!$BW$3:$BW$3000,Однолинейка!$A$3:$A$3000,Щит_спец),IF(C167=$S$8,SUMIFS(Однолинейка!$BX$3:$BX$3000,Однолинейка!$A$3:$A$3000,Щит_спец),""))),""))))</f>
        <v/>
      </c>
      <c r="O167" s="74"/>
      <c r="P167" s="38" t="str">
        <f t="shared" si="18"/>
        <v/>
      </c>
      <c r="U167" s="38" t="str">
        <f t="shared" si="19"/>
        <v/>
      </c>
      <c r="V167" s="38" t="str">
        <f t="shared" si="20"/>
        <v/>
      </c>
      <c r="W167" s="38" t="str">
        <f>IF(AND(U167&lt;&gt;"",OR($S$4="(все)",B167=$S$4),IF($S$4="(все)",COUNTIF($U$4:U167,U167),COUNTIFS($U$4:U167,U167,$B$4:B167,B167))=1),MAX($W$3:W166)+1,"")</f>
        <v/>
      </c>
      <c r="X167" s="38" t="str">
        <f t="shared" si="21"/>
        <v/>
      </c>
      <c r="Y167" s="38" t="str">
        <f>IF(AND(A167="Аппарат",C167&lt;&gt;"",OR($S$5="(все)",B167=$S$5)),MAX($Y$3:Y166)+1,"")</f>
        <v/>
      </c>
      <c r="Z167" s="38" t="str">
        <f t="shared" si="22"/>
        <v/>
      </c>
      <c r="AA167" s="38" t="str">
        <f>IF(AND(A167="Модуль",C167&lt;&gt;"",OR($S$6="(все)",B167=$S$6)),MAX($AA$3:AA166)+1,"")</f>
        <v/>
      </c>
      <c r="AB167" s="38" t="str">
        <f t="shared" si="23"/>
        <v/>
      </c>
      <c r="AC167" s="38" t="str">
        <f>IF(OR(B167="",COUNTIF($B$4:B167,B167)&gt;1),"",MAX($AC$3:AC166)+1)</f>
        <v/>
      </c>
      <c r="AD167" s="38" t="str">
        <f t="shared" si="24"/>
        <v/>
      </c>
      <c r="AE167" s="38" t="str">
        <f t="shared" si="25"/>
        <v/>
      </c>
      <c r="AF167" s="38" t="str">
        <f t="shared" si="26"/>
        <v/>
      </c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8" t="str">
        <f>IF(OR(A168="Автомат",A168="Дифавтомат"),IF(W168="","",COUNTIFS(Однолинейка!$H$3:$H$3000,U168,Однолинейка!$A$3:$A$3000,Щит_спец)),IF(A168="Аппарат",IF(C168="","",COUNTIFS(Однолинейка!$I$3:$I$3000,C168,Однолинейка!$A$3:$A$3000,Щит_спец)+COUNTIFS(Однолинейка!$J$3:$J$3000,C168,Однолинейка!$A$3:$A$3000,Щит_спец)+COUNTIFS(Однолинейка!$K$3:$K$3000,C168,Однолинейка!$A$3:$A$3000,Щит_спец)),IF(A168="Модуль",IF(C168="","",COUNTIFS(Однолинейка!$AW$3:$AW$3000,"?*",Однолинейка!$AI$3:$AI$3000,C168,Однолинейка!$A$3:$A$3000,Щит_спец)),IF(A168="Клемма",IF(C168="","",IF(C168=$S$7,SUMIFS(Однолинейка!$BW$3:$BW$3000,Однолинейка!$A$3:$A$3000,Щит_спец),IF(C168=$S$8,SUMIFS(Однолинейка!$BX$3:$BX$3000,Однолинейка!$A$3:$A$3000,Щит_спец),""))),""))))</f>
        <v/>
      </c>
      <c r="O168" s="74"/>
      <c r="P168" s="38" t="str">
        <f t="shared" si="18"/>
        <v/>
      </c>
      <c r="U168" s="38" t="str">
        <f t="shared" si="19"/>
        <v/>
      </c>
      <c r="V168" s="38" t="str">
        <f t="shared" si="20"/>
        <v/>
      </c>
      <c r="W168" s="38" t="str">
        <f>IF(AND(U168&lt;&gt;"",OR($S$4="(все)",B168=$S$4),IF($S$4="(все)",COUNTIF($U$4:U168,U168),COUNTIFS($U$4:U168,U168,$B$4:B168,B168))=1),MAX($W$3:W167)+1,"")</f>
        <v/>
      </c>
      <c r="X168" s="38" t="str">
        <f t="shared" si="21"/>
        <v/>
      </c>
      <c r="Y168" s="38" t="str">
        <f>IF(AND(A168="Аппарат",C168&lt;&gt;"",OR($S$5="(все)",B168=$S$5)),MAX($Y$3:Y167)+1,"")</f>
        <v/>
      </c>
      <c r="Z168" s="38" t="str">
        <f t="shared" si="22"/>
        <v/>
      </c>
      <c r="AA168" s="38" t="str">
        <f>IF(AND(A168="Модуль",C168&lt;&gt;"",OR($S$6="(все)",B168=$S$6)),MAX($AA$3:AA167)+1,"")</f>
        <v/>
      </c>
      <c r="AB168" s="38" t="str">
        <f t="shared" si="23"/>
        <v/>
      </c>
      <c r="AC168" s="38" t="str">
        <f>IF(OR(B168="",COUNTIF($B$4:B168,B168)&gt;1),"",MAX($AC$3:AC167)+1)</f>
        <v/>
      </c>
      <c r="AD168" s="38" t="str">
        <f t="shared" si="24"/>
        <v/>
      </c>
      <c r="AE168" s="38" t="str">
        <f t="shared" si="25"/>
        <v/>
      </c>
      <c r="AF168" s="38" t="str">
        <f t="shared" si="26"/>
        <v/>
      </c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8" t="str">
        <f>IF(OR(A169="Автомат",A169="Дифавтомат"),IF(W169="","",COUNTIFS(Однолинейка!$H$3:$H$3000,U169,Однолинейка!$A$3:$A$3000,Щит_спец)),IF(A169="Аппарат",IF(C169="","",COUNTIFS(Однолинейка!$I$3:$I$3000,C169,Однолинейка!$A$3:$A$3000,Щит_спец)+COUNTIFS(Однолинейка!$J$3:$J$3000,C169,Однолинейка!$A$3:$A$3000,Щит_спец)+COUNTIFS(Однолинейка!$K$3:$K$3000,C169,Однолинейка!$A$3:$A$3000,Щит_спец)),IF(A169="Модуль",IF(C169="","",COUNTIFS(Однолинейка!$AW$3:$AW$3000,"?*",Однолинейка!$AI$3:$AI$3000,C169,Однолинейка!$A$3:$A$3000,Щит_спец)),IF(A169="Клемма",IF(C169="","",IF(C169=$S$7,SUMIFS(Однолинейка!$BW$3:$BW$3000,Однолинейка!$A$3:$A$3000,Щит_спец),IF(C169=$S$8,SUMIFS(Однолинейка!$BX$3:$BX$3000,Однолинейка!$A$3:$A$3000,Щит_спец),""))),""))))</f>
        <v/>
      </c>
      <c r="O169" s="74"/>
      <c r="P169" s="38" t="str">
        <f t="shared" si="18"/>
        <v/>
      </c>
      <c r="U169" s="38" t="str">
        <f t="shared" si="19"/>
        <v/>
      </c>
      <c r="V169" s="38" t="str">
        <f t="shared" si="20"/>
        <v/>
      </c>
      <c r="W169" s="38" t="str">
        <f>IF(AND(U169&lt;&gt;"",OR($S$4="(все)",B169=$S$4),IF($S$4="(все)",COUNTIF($U$4:U169,U169),COUNTIFS($U$4:U169,U169,$B$4:B169,B169))=1),MAX($W$3:W168)+1,"")</f>
        <v/>
      </c>
      <c r="X169" s="38" t="str">
        <f t="shared" si="21"/>
        <v/>
      </c>
      <c r="Y169" s="38" t="str">
        <f>IF(AND(A169="Аппарат",C169&lt;&gt;"",OR($S$5="(все)",B169=$S$5)),MAX($Y$3:Y168)+1,"")</f>
        <v/>
      </c>
      <c r="Z169" s="38" t="str">
        <f t="shared" si="22"/>
        <v/>
      </c>
      <c r="AA169" s="38" t="str">
        <f>IF(AND(A169="Модуль",C169&lt;&gt;"",OR($S$6="(все)",B169=$S$6)),MAX($AA$3:AA168)+1,"")</f>
        <v/>
      </c>
      <c r="AB169" s="38" t="str">
        <f t="shared" si="23"/>
        <v/>
      </c>
      <c r="AC169" s="38" t="str">
        <f>IF(OR(B169="",COUNTIF($B$4:B169,B169)&gt;1),"",MAX($AC$3:AC168)+1)</f>
        <v/>
      </c>
      <c r="AD169" s="38" t="str">
        <f t="shared" si="24"/>
        <v/>
      </c>
      <c r="AE169" s="38" t="str">
        <f t="shared" si="25"/>
        <v/>
      </c>
      <c r="AF169" s="38" t="str">
        <f t="shared" si="26"/>
        <v/>
      </c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8" t="str">
        <f>IF(OR(A170="Автомат",A170="Дифавтомат"),IF(W170="","",COUNTIFS(Однолинейка!$H$3:$H$3000,U170,Однолинейка!$A$3:$A$3000,Щит_спец)),IF(A170="Аппарат",IF(C170="","",COUNTIFS(Однолинейка!$I$3:$I$3000,C170,Однолинейка!$A$3:$A$3000,Щит_спец)+COUNTIFS(Однолинейка!$J$3:$J$3000,C170,Однолинейка!$A$3:$A$3000,Щит_спец)+COUNTIFS(Однолинейка!$K$3:$K$3000,C170,Однолинейка!$A$3:$A$3000,Щит_спец)),IF(A170="Модуль",IF(C170="","",COUNTIFS(Однолинейка!$AW$3:$AW$3000,"?*",Однолинейка!$AI$3:$AI$3000,C170,Однолинейка!$A$3:$A$3000,Щит_спец)),IF(A170="Клемма",IF(C170="","",IF(C170=$S$7,SUMIFS(Однолинейка!$BW$3:$BW$3000,Однолинейка!$A$3:$A$3000,Щит_спец),IF(C170=$S$8,SUMIFS(Однолинейка!$BX$3:$BX$3000,Однолинейка!$A$3:$A$3000,Щит_спец),""))),""))))</f>
        <v/>
      </c>
      <c r="O170" s="74"/>
      <c r="P170" s="38" t="str">
        <f t="shared" si="18"/>
        <v/>
      </c>
      <c r="U170" s="38" t="str">
        <f t="shared" si="19"/>
        <v/>
      </c>
      <c r="V170" s="38" t="str">
        <f t="shared" si="20"/>
        <v/>
      </c>
      <c r="W170" s="38" t="str">
        <f>IF(AND(U170&lt;&gt;"",OR($S$4="(все)",B170=$S$4),IF($S$4="(все)",COUNTIF($U$4:U170,U170),COUNTIFS($U$4:U170,U170,$B$4:B170,B170))=1),MAX($W$3:W169)+1,"")</f>
        <v/>
      </c>
      <c r="X170" s="38" t="str">
        <f t="shared" si="21"/>
        <v/>
      </c>
      <c r="Y170" s="38" t="str">
        <f>IF(AND(A170="Аппарат",C170&lt;&gt;"",OR($S$5="(все)",B170=$S$5)),MAX($Y$3:Y169)+1,"")</f>
        <v/>
      </c>
      <c r="Z170" s="38" t="str">
        <f t="shared" si="22"/>
        <v/>
      </c>
      <c r="AA170" s="38" t="str">
        <f>IF(AND(A170="Модуль",C170&lt;&gt;"",OR($S$6="(все)",B170=$S$6)),MAX($AA$3:AA169)+1,"")</f>
        <v/>
      </c>
      <c r="AB170" s="38" t="str">
        <f t="shared" si="23"/>
        <v/>
      </c>
      <c r="AC170" s="38" t="str">
        <f>IF(OR(B170="",COUNTIF($B$4:B170,B170)&gt;1),"",MAX($AC$3:AC169)+1)</f>
        <v/>
      </c>
      <c r="AD170" s="38" t="str">
        <f t="shared" si="24"/>
        <v/>
      </c>
      <c r="AE170" s="38" t="str">
        <f t="shared" si="25"/>
        <v/>
      </c>
      <c r="AF170" s="38" t="str">
        <f t="shared" si="26"/>
        <v/>
      </c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8" t="str">
        <f>IF(OR(A171="Автомат",A171="Дифавтомат"),IF(W171="","",COUNTIFS(Однолинейка!$H$3:$H$3000,U171,Однолинейка!$A$3:$A$3000,Щит_спец)),IF(A171="Аппарат",IF(C171="","",COUNTIFS(Однолинейка!$I$3:$I$3000,C171,Однолинейка!$A$3:$A$3000,Щит_спец)+COUNTIFS(Однолинейка!$J$3:$J$3000,C171,Однолинейка!$A$3:$A$3000,Щит_спец)+COUNTIFS(Однолинейка!$K$3:$K$3000,C171,Однолинейка!$A$3:$A$3000,Щит_спец)),IF(A171="Модуль",IF(C171="","",COUNTIFS(Однолинейка!$AW$3:$AW$3000,"?*",Однолинейка!$AI$3:$AI$3000,C171,Однолинейка!$A$3:$A$3000,Щит_спец)),IF(A171="Клемма",IF(C171="","",IF(C171=$S$7,SUMIFS(Однолинейка!$BW$3:$BW$3000,Однолинейка!$A$3:$A$3000,Щит_спец),IF(C171=$S$8,SUMIFS(Однолинейка!$BX$3:$BX$3000,Однолинейка!$A$3:$A$3000,Щит_спец),""))),""))))</f>
        <v/>
      </c>
      <c r="O171" s="74"/>
      <c r="P171" s="38" t="str">
        <f t="shared" si="18"/>
        <v/>
      </c>
      <c r="U171" s="38" t="str">
        <f t="shared" si="19"/>
        <v/>
      </c>
      <c r="V171" s="38" t="str">
        <f t="shared" si="20"/>
        <v/>
      </c>
      <c r="W171" s="38" t="str">
        <f>IF(AND(U171&lt;&gt;"",OR($S$4="(все)",B171=$S$4),IF($S$4="(все)",COUNTIF($U$4:U171,U171),COUNTIFS($U$4:U171,U171,$B$4:B171,B171))=1),MAX($W$3:W170)+1,"")</f>
        <v/>
      </c>
      <c r="X171" s="38" t="str">
        <f t="shared" si="21"/>
        <v/>
      </c>
      <c r="Y171" s="38" t="str">
        <f>IF(AND(A171="Аппарат",C171&lt;&gt;"",OR($S$5="(все)",B171=$S$5)),MAX($Y$3:Y170)+1,"")</f>
        <v/>
      </c>
      <c r="Z171" s="38" t="str">
        <f t="shared" si="22"/>
        <v/>
      </c>
      <c r="AA171" s="38" t="str">
        <f>IF(AND(A171="Модуль",C171&lt;&gt;"",OR($S$6="(все)",B171=$S$6)),MAX($AA$3:AA170)+1,"")</f>
        <v/>
      </c>
      <c r="AB171" s="38" t="str">
        <f t="shared" si="23"/>
        <v/>
      </c>
      <c r="AC171" s="38" t="str">
        <f>IF(OR(B171="",COUNTIF($B$4:B171,B171)&gt;1),"",MAX($AC$3:AC170)+1)</f>
        <v/>
      </c>
      <c r="AD171" s="38" t="str">
        <f t="shared" si="24"/>
        <v/>
      </c>
      <c r="AE171" s="38" t="str">
        <f t="shared" si="25"/>
        <v/>
      </c>
      <c r="AF171" s="38" t="str">
        <f t="shared" si="26"/>
        <v/>
      </c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38" t="str">
        <f>IF(OR(A172="Автомат",A172="Дифавтомат"),IF(W172="","",COUNTIFS(Однолинейка!$H$3:$H$3000,U172,Однолинейка!$A$3:$A$3000,Щит_спец)),IF(A172="Аппарат",IF(C172="","",COUNTIFS(Однолинейка!$I$3:$I$3000,C172,Однолинейка!$A$3:$A$3000,Щит_спец)+COUNTIFS(Однолинейка!$J$3:$J$3000,C172,Однолинейка!$A$3:$A$3000,Щит_спец)+COUNTIFS(Однолинейка!$K$3:$K$3000,C172,Однолинейка!$A$3:$A$3000,Щит_спец)),IF(A172="Модуль",IF(C172="","",COUNTIFS(Однолинейка!$AW$3:$AW$3000,"?*",Однолинейка!$AI$3:$AI$3000,C172,Однолинейка!$A$3:$A$3000,Щит_спец)),IF(A172="Клемма",IF(C172="","",IF(C172=$S$7,SUMIFS(Однолинейка!$BW$3:$BW$3000,Однолинейка!$A$3:$A$3000,Щит_спец),IF(C172=$S$8,SUMIFS(Однолинейка!$BX$3:$BX$3000,Однолинейка!$A$3:$A$3000,Щит_спец),""))),""))))</f>
        <v/>
      </c>
      <c r="O172" s="74"/>
      <c r="P172" s="38" t="str">
        <f t="shared" si="18"/>
        <v/>
      </c>
      <c r="U172" s="38" t="str">
        <f t="shared" si="19"/>
        <v/>
      </c>
      <c r="V172" s="38" t="str">
        <f t="shared" si="20"/>
        <v/>
      </c>
      <c r="W172" s="38" t="str">
        <f>IF(AND(U172&lt;&gt;"",OR($S$4="(все)",B172=$S$4),IF($S$4="(все)",COUNTIF($U$4:U172,U172),COUNTIFS($U$4:U172,U172,$B$4:B172,B172))=1),MAX($W$3:W171)+1,"")</f>
        <v/>
      </c>
      <c r="X172" s="38" t="str">
        <f t="shared" si="21"/>
        <v/>
      </c>
      <c r="Y172" s="38" t="str">
        <f>IF(AND(A172="Аппарат",C172&lt;&gt;"",OR($S$5="(все)",B172=$S$5)),MAX($Y$3:Y171)+1,"")</f>
        <v/>
      </c>
      <c r="Z172" s="38" t="str">
        <f t="shared" si="22"/>
        <v/>
      </c>
      <c r="AA172" s="38" t="str">
        <f>IF(AND(A172="Модуль",C172&lt;&gt;"",OR($S$6="(все)",B172=$S$6)),MAX($AA$3:AA171)+1,"")</f>
        <v/>
      </c>
      <c r="AB172" s="38" t="str">
        <f t="shared" si="23"/>
        <v/>
      </c>
      <c r="AC172" s="38" t="str">
        <f>IF(OR(B172="",COUNTIF($B$4:B172,B172)&gt;1),"",MAX($AC$3:AC171)+1)</f>
        <v/>
      </c>
      <c r="AD172" s="38" t="str">
        <f t="shared" si="24"/>
        <v/>
      </c>
      <c r="AE172" s="38" t="str">
        <f t="shared" si="25"/>
        <v/>
      </c>
      <c r="AF172" s="38" t="str">
        <f t="shared" si="26"/>
        <v/>
      </c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38" t="str">
        <f>IF(OR(A173="Автомат",A173="Дифавтомат"),IF(W173="","",COUNTIFS(Однолинейка!$H$3:$H$3000,U173,Однолинейка!$A$3:$A$3000,Щит_спец)),IF(A173="Аппарат",IF(C173="","",COUNTIFS(Однолинейка!$I$3:$I$3000,C173,Однолинейка!$A$3:$A$3000,Щит_спец)+COUNTIFS(Однолинейка!$J$3:$J$3000,C173,Однолинейка!$A$3:$A$3000,Щит_спец)+COUNTIFS(Однолинейка!$K$3:$K$3000,C173,Однолинейка!$A$3:$A$3000,Щит_спец)),IF(A173="Модуль",IF(C173="","",COUNTIFS(Однолинейка!$AW$3:$AW$3000,"?*",Однолинейка!$AI$3:$AI$3000,C173,Однолинейка!$A$3:$A$3000,Щит_спец)),IF(A173="Клемма",IF(C173="","",IF(C173=$S$7,SUMIFS(Однолинейка!$BW$3:$BW$3000,Однолинейка!$A$3:$A$3000,Щит_спец),IF(C173=$S$8,SUMIFS(Однолинейка!$BX$3:$BX$3000,Однолинейка!$A$3:$A$3000,Щит_спец),""))),""))))</f>
        <v/>
      </c>
      <c r="O173" s="74"/>
      <c r="P173" s="38" t="str">
        <f t="shared" si="18"/>
        <v/>
      </c>
      <c r="U173" s="38" t="str">
        <f t="shared" si="19"/>
        <v/>
      </c>
      <c r="V173" s="38" t="str">
        <f t="shared" si="20"/>
        <v/>
      </c>
      <c r="W173" s="38" t="str">
        <f>IF(AND(U173&lt;&gt;"",OR($S$4="(все)",B173=$S$4),IF($S$4="(все)",COUNTIF($U$4:U173,U173),COUNTIFS($U$4:U173,U173,$B$4:B173,B173))=1),MAX($W$3:W172)+1,"")</f>
        <v/>
      </c>
      <c r="X173" s="38" t="str">
        <f t="shared" si="21"/>
        <v/>
      </c>
      <c r="Y173" s="38" t="str">
        <f>IF(AND(A173="Аппарат",C173&lt;&gt;"",OR($S$5="(все)",B173=$S$5)),MAX($Y$3:Y172)+1,"")</f>
        <v/>
      </c>
      <c r="Z173" s="38" t="str">
        <f t="shared" si="22"/>
        <v/>
      </c>
      <c r="AA173" s="38" t="str">
        <f>IF(AND(A173="Модуль",C173&lt;&gt;"",OR($S$6="(все)",B173=$S$6)),MAX($AA$3:AA172)+1,"")</f>
        <v/>
      </c>
      <c r="AB173" s="38" t="str">
        <f t="shared" si="23"/>
        <v/>
      </c>
      <c r="AC173" s="38" t="str">
        <f>IF(OR(B173="",COUNTIF($B$4:B173,B173)&gt;1),"",MAX($AC$3:AC172)+1)</f>
        <v/>
      </c>
      <c r="AD173" s="38" t="str">
        <f t="shared" si="24"/>
        <v/>
      </c>
      <c r="AE173" s="38" t="str">
        <f t="shared" si="25"/>
        <v/>
      </c>
      <c r="AF173" s="38" t="str">
        <f t="shared" si="26"/>
        <v/>
      </c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38" t="str">
        <f>IF(OR(A174="Автомат",A174="Дифавтомат"),IF(W174="","",COUNTIFS(Однолинейка!$H$3:$H$3000,U174,Однолинейка!$A$3:$A$3000,Щит_спец)),IF(A174="Аппарат",IF(C174="","",COUNTIFS(Однолинейка!$I$3:$I$3000,C174,Однолинейка!$A$3:$A$3000,Щит_спец)+COUNTIFS(Однолинейка!$J$3:$J$3000,C174,Однолинейка!$A$3:$A$3000,Щит_спец)+COUNTIFS(Однолинейка!$K$3:$K$3000,C174,Однолинейка!$A$3:$A$3000,Щит_спец)),IF(A174="Модуль",IF(C174="","",COUNTIFS(Однолинейка!$AW$3:$AW$3000,"?*",Однолинейка!$AI$3:$AI$3000,C174,Однолинейка!$A$3:$A$3000,Щит_спец)),IF(A174="Клемма",IF(C174="","",IF(C174=$S$7,SUMIFS(Однолинейка!$BW$3:$BW$3000,Однолинейка!$A$3:$A$3000,Щит_спец),IF(C174=$S$8,SUMIFS(Однолинейка!$BX$3:$BX$3000,Однолинейка!$A$3:$A$3000,Щит_спец),""))),""))))</f>
        <v/>
      </c>
      <c r="O174" s="74"/>
      <c r="P174" s="38" t="str">
        <f t="shared" si="18"/>
        <v/>
      </c>
      <c r="U174" s="38" t="str">
        <f t="shared" si="19"/>
        <v/>
      </c>
      <c r="V174" s="38" t="str">
        <f t="shared" si="20"/>
        <v/>
      </c>
      <c r="W174" s="38" t="str">
        <f>IF(AND(U174&lt;&gt;"",OR($S$4="(все)",B174=$S$4),IF($S$4="(все)",COUNTIF($U$4:U174,U174),COUNTIFS($U$4:U174,U174,$B$4:B174,B174))=1),MAX($W$3:W173)+1,"")</f>
        <v/>
      </c>
      <c r="X174" s="38" t="str">
        <f t="shared" si="21"/>
        <v/>
      </c>
      <c r="Y174" s="38" t="str">
        <f>IF(AND(A174="Аппарат",C174&lt;&gt;"",OR($S$5="(все)",B174=$S$5)),MAX($Y$3:Y173)+1,"")</f>
        <v/>
      </c>
      <c r="Z174" s="38" t="str">
        <f t="shared" si="22"/>
        <v/>
      </c>
      <c r="AA174" s="38" t="str">
        <f>IF(AND(A174="Модуль",C174&lt;&gt;"",OR($S$6="(все)",B174=$S$6)),MAX($AA$3:AA173)+1,"")</f>
        <v/>
      </c>
      <c r="AB174" s="38" t="str">
        <f t="shared" si="23"/>
        <v/>
      </c>
      <c r="AC174" s="38" t="str">
        <f>IF(OR(B174="",COUNTIF($B$4:B174,B174)&gt;1),"",MAX($AC$3:AC173)+1)</f>
        <v/>
      </c>
      <c r="AD174" s="38" t="str">
        <f t="shared" si="24"/>
        <v/>
      </c>
      <c r="AE174" s="38" t="str">
        <f t="shared" si="25"/>
        <v/>
      </c>
      <c r="AF174" s="38" t="str">
        <f t="shared" si="26"/>
        <v/>
      </c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38" t="str">
        <f>IF(OR(A175="Автомат",A175="Дифавтомат"),IF(W175="","",COUNTIFS(Однолинейка!$H$3:$H$3000,U175,Однолинейка!$A$3:$A$3000,Щит_спец)),IF(A175="Аппарат",IF(C175="","",COUNTIFS(Однолинейка!$I$3:$I$3000,C175,Однолинейка!$A$3:$A$3000,Щит_спец)+COUNTIFS(Однолинейка!$J$3:$J$3000,C175,Однолинейка!$A$3:$A$3000,Щит_спец)+COUNTIFS(Однолинейка!$K$3:$K$3000,C175,Однолинейка!$A$3:$A$3000,Щит_спец)),IF(A175="Модуль",IF(C175="","",COUNTIFS(Однолинейка!$AW$3:$AW$3000,"?*",Однолинейка!$AI$3:$AI$3000,C175,Однолинейка!$A$3:$A$3000,Щит_спец)),IF(A175="Клемма",IF(C175="","",IF(C175=$S$7,SUMIFS(Однолинейка!$BW$3:$BW$3000,Однолинейка!$A$3:$A$3000,Щит_спец),IF(C175=$S$8,SUMIFS(Однолинейка!$BX$3:$BX$3000,Однолинейка!$A$3:$A$3000,Щит_спец),""))),""))))</f>
        <v/>
      </c>
      <c r="O175" s="74"/>
      <c r="P175" s="38" t="str">
        <f t="shared" si="18"/>
        <v/>
      </c>
      <c r="U175" s="38" t="str">
        <f t="shared" si="19"/>
        <v/>
      </c>
      <c r="V175" s="38" t="str">
        <f t="shared" si="20"/>
        <v/>
      </c>
      <c r="W175" s="38" t="str">
        <f>IF(AND(U175&lt;&gt;"",OR($S$4="(все)",B175=$S$4),IF($S$4="(все)",COUNTIF($U$4:U175,U175),COUNTIFS($U$4:U175,U175,$B$4:B175,B175))=1),MAX($W$3:W174)+1,"")</f>
        <v/>
      </c>
      <c r="X175" s="38" t="str">
        <f t="shared" si="21"/>
        <v/>
      </c>
      <c r="Y175" s="38" t="str">
        <f>IF(AND(A175="Аппарат",C175&lt;&gt;"",OR($S$5="(все)",B175=$S$5)),MAX($Y$3:Y174)+1,"")</f>
        <v/>
      </c>
      <c r="Z175" s="38" t="str">
        <f t="shared" si="22"/>
        <v/>
      </c>
      <c r="AA175" s="38" t="str">
        <f>IF(AND(A175="Модуль",C175&lt;&gt;"",OR($S$6="(все)",B175=$S$6)),MAX($AA$3:AA174)+1,"")</f>
        <v/>
      </c>
      <c r="AB175" s="38" t="str">
        <f t="shared" si="23"/>
        <v/>
      </c>
      <c r="AC175" s="38" t="str">
        <f>IF(OR(B175="",COUNTIF($B$4:B175,B175)&gt;1),"",MAX($AC$3:AC174)+1)</f>
        <v/>
      </c>
      <c r="AD175" s="38" t="str">
        <f t="shared" si="24"/>
        <v/>
      </c>
      <c r="AE175" s="38" t="str">
        <f t="shared" si="25"/>
        <v/>
      </c>
      <c r="AF175" s="38" t="str">
        <f t="shared" si="26"/>
        <v/>
      </c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38" t="str">
        <f>IF(OR(A176="Автомат",A176="Дифавтомат"),IF(W176="","",COUNTIFS(Однолинейка!$H$3:$H$3000,U176,Однолинейка!$A$3:$A$3000,Щит_спец)),IF(A176="Аппарат",IF(C176="","",COUNTIFS(Однолинейка!$I$3:$I$3000,C176,Однолинейка!$A$3:$A$3000,Щит_спец)+COUNTIFS(Однолинейка!$J$3:$J$3000,C176,Однолинейка!$A$3:$A$3000,Щит_спец)+COUNTIFS(Однолинейка!$K$3:$K$3000,C176,Однолинейка!$A$3:$A$3000,Щит_спец)),IF(A176="Модуль",IF(C176="","",COUNTIFS(Однолинейка!$AW$3:$AW$3000,"?*",Однолинейка!$AI$3:$AI$3000,C176,Однолинейка!$A$3:$A$3000,Щит_спец)),IF(A176="Клемма",IF(C176="","",IF(C176=$S$7,SUMIFS(Однолинейка!$BW$3:$BW$3000,Однолинейка!$A$3:$A$3000,Щит_спец),IF(C176=$S$8,SUMIFS(Однолинейка!$BX$3:$BX$3000,Однолинейка!$A$3:$A$3000,Щит_спец),""))),""))))</f>
        <v/>
      </c>
      <c r="O176" s="74"/>
      <c r="P176" s="38" t="str">
        <f t="shared" si="18"/>
        <v/>
      </c>
      <c r="U176" s="38" t="str">
        <f t="shared" si="19"/>
        <v/>
      </c>
      <c r="V176" s="38" t="str">
        <f t="shared" si="20"/>
        <v/>
      </c>
      <c r="W176" s="38" t="str">
        <f>IF(AND(U176&lt;&gt;"",OR($S$4="(все)",B176=$S$4),IF($S$4="(все)",COUNTIF($U$4:U176,U176),COUNTIFS($U$4:U176,U176,$B$4:B176,B176))=1),MAX($W$3:W175)+1,"")</f>
        <v/>
      </c>
      <c r="X176" s="38" t="str">
        <f t="shared" si="21"/>
        <v/>
      </c>
      <c r="Y176" s="38" t="str">
        <f>IF(AND(A176="Аппарат",C176&lt;&gt;"",OR($S$5="(все)",B176=$S$5)),MAX($Y$3:Y175)+1,"")</f>
        <v/>
      </c>
      <c r="Z176" s="38" t="str">
        <f t="shared" si="22"/>
        <v/>
      </c>
      <c r="AA176" s="38" t="str">
        <f>IF(AND(A176="Модуль",C176&lt;&gt;"",OR($S$6="(все)",B176=$S$6)),MAX($AA$3:AA175)+1,"")</f>
        <v/>
      </c>
      <c r="AB176" s="38" t="str">
        <f t="shared" si="23"/>
        <v/>
      </c>
      <c r="AC176" s="38" t="str">
        <f>IF(OR(B176="",COUNTIF($B$4:B176,B176)&gt;1),"",MAX($AC$3:AC175)+1)</f>
        <v/>
      </c>
      <c r="AD176" s="38" t="str">
        <f t="shared" si="24"/>
        <v/>
      </c>
      <c r="AE176" s="38" t="str">
        <f t="shared" si="25"/>
        <v/>
      </c>
      <c r="AF176" s="38" t="str">
        <f t="shared" si="26"/>
        <v/>
      </c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38" t="str">
        <f>IF(OR(A177="Автомат",A177="Дифавтомат"),IF(W177="","",COUNTIFS(Однолинейка!$H$3:$H$3000,U177,Однолинейка!$A$3:$A$3000,Щит_спец)),IF(A177="Аппарат",IF(C177="","",COUNTIFS(Однолинейка!$I$3:$I$3000,C177,Однолинейка!$A$3:$A$3000,Щит_спец)+COUNTIFS(Однолинейка!$J$3:$J$3000,C177,Однолинейка!$A$3:$A$3000,Щит_спец)+COUNTIFS(Однолинейка!$K$3:$K$3000,C177,Однолинейка!$A$3:$A$3000,Щит_спец)),IF(A177="Модуль",IF(C177="","",COUNTIFS(Однолинейка!$AW$3:$AW$3000,"?*",Однолинейка!$AI$3:$AI$3000,C177,Однолинейка!$A$3:$A$3000,Щит_спец)),IF(A177="Клемма",IF(C177="","",IF(C177=$S$7,SUMIFS(Однолинейка!$BW$3:$BW$3000,Однолинейка!$A$3:$A$3000,Щит_спец),IF(C177=$S$8,SUMIFS(Однолинейка!$BX$3:$BX$3000,Однолинейка!$A$3:$A$3000,Щит_спец),""))),""))))</f>
        <v/>
      </c>
      <c r="O177" s="74"/>
      <c r="P177" s="38" t="str">
        <f t="shared" si="18"/>
        <v/>
      </c>
      <c r="U177" s="38" t="str">
        <f t="shared" si="19"/>
        <v/>
      </c>
      <c r="V177" s="38" t="str">
        <f t="shared" si="20"/>
        <v/>
      </c>
      <c r="W177" s="38" t="str">
        <f>IF(AND(U177&lt;&gt;"",OR($S$4="(все)",B177=$S$4),IF($S$4="(все)",COUNTIF($U$4:U177,U177),COUNTIFS($U$4:U177,U177,$B$4:B177,B177))=1),MAX($W$3:W176)+1,"")</f>
        <v/>
      </c>
      <c r="X177" s="38" t="str">
        <f t="shared" si="21"/>
        <v/>
      </c>
      <c r="Y177" s="38" t="str">
        <f>IF(AND(A177="Аппарат",C177&lt;&gt;"",OR($S$5="(все)",B177=$S$5)),MAX($Y$3:Y176)+1,"")</f>
        <v/>
      </c>
      <c r="Z177" s="38" t="str">
        <f t="shared" si="22"/>
        <v/>
      </c>
      <c r="AA177" s="38" t="str">
        <f>IF(AND(A177="Модуль",C177&lt;&gt;"",OR($S$6="(все)",B177=$S$6)),MAX($AA$3:AA176)+1,"")</f>
        <v/>
      </c>
      <c r="AB177" s="38" t="str">
        <f t="shared" si="23"/>
        <v/>
      </c>
      <c r="AC177" s="38" t="str">
        <f>IF(OR(B177="",COUNTIF($B$4:B177,B177)&gt;1),"",MAX($AC$3:AC176)+1)</f>
        <v/>
      </c>
      <c r="AD177" s="38" t="str">
        <f t="shared" si="24"/>
        <v/>
      </c>
      <c r="AE177" s="38" t="str">
        <f t="shared" si="25"/>
        <v/>
      </c>
      <c r="AF177" s="38" t="str">
        <f t="shared" si="26"/>
        <v/>
      </c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38" t="str">
        <f>IF(OR(A178="Автомат",A178="Дифавтомат"),IF(W178="","",COUNTIFS(Однолинейка!$H$3:$H$3000,U178,Однолинейка!$A$3:$A$3000,Щит_спец)),IF(A178="Аппарат",IF(C178="","",COUNTIFS(Однолинейка!$I$3:$I$3000,C178,Однолинейка!$A$3:$A$3000,Щит_спец)+COUNTIFS(Однолинейка!$J$3:$J$3000,C178,Однолинейка!$A$3:$A$3000,Щит_спец)+COUNTIFS(Однолинейка!$K$3:$K$3000,C178,Однолинейка!$A$3:$A$3000,Щит_спец)),IF(A178="Модуль",IF(C178="","",COUNTIFS(Однолинейка!$AW$3:$AW$3000,"?*",Однолинейка!$AI$3:$AI$3000,C178,Однолинейка!$A$3:$A$3000,Щит_спец)),IF(A178="Клемма",IF(C178="","",IF(C178=$S$7,SUMIFS(Однолинейка!$BW$3:$BW$3000,Однолинейка!$A$3:$A$3000,Щит_спец),IF(C178=$S$8,SUMIFS(Однолинейка!$BX$3:$BX$3000,Однолинейка!$A$3:$A$3000,Щит_спец),""))),""))))</f>
        <v/>
      </c>
      <c r="O178" s="74"/>
      <c r="P178" s="38" t="str">
        <f t="shared" si="18"/>
        <v/>
      </c>
      <c r="U178" s="38" t="str">
        <f t="shared" si="19"/>
        <v/>
      </c>
      <c r="V178" s="38" t="str">
        <f t="shared" si="20"/>
        <v/>
      </c>
      <c r="W178" s="38" t="str">
        <f>IF(AND(U178&lt;&gt;"",OR($S$4="(все)",B178=$S$4),IF($S$4="(все)",COUNTIF($U$4:U178,U178),COUNTIFS($U$4:U178,U178,$B$4:B178,B178))=1),MAX($W$3:W177)+1,"")</f>
        <v/>
      </c>
      <c r="X178" s="38" t="str">
        <f t="shared" si="21"/>
        <v/>
      </c>
      <c r="Y178" s="38" t="str">
        <f>IF(AND(A178="Аппарат",C178&lt;&gt;"",OR($S$5="(все)",B178=$S$5)),MAX($Y$3:Y177)+1,"")</f>
        <v/>
      </c>
      <c r="Z178" s="38" t="str">
        <f t="shared" si="22"/>
        <v/>
      </c>
      <c r="AA178" s="38" t="str">
        <f>IF(AND(A178="Модуль",C178&lt;&gt;"",OR($S$6="(все)",B178=$S$6)),MAX($AA$3:AA177)+1,"")</f>
        <v/>
      </c>
      <c r="AB178" s="38" t="str">
        <f t="shared" si="23"/>
        <v/>
      </c>
      <c r="AC178" s="38" t="str">
        <f>IF(OR(B178="",COUNTIF($B$4:B178,B178)&gt;1),"",MAX($AC$3:AC177)+1)</f>
        <v/>
      </c>
      <c r="AD178" s="38" t="str">
        <f t="shared" si="24"/>
        <v/>
      </c>
      <c r="AE178" s="38" t="str">
        <f t="shared" si="25"/>
        <v/>
      </c>
      <c r="AF178" s="38" t="str">
        <f t="shared" si="26"/>
        <v/>
      </c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38" t="str">
        <f>IF(OR(A179="Автомат",A179="Дифавтомат"),IF(W179="","",COUNTIFS(Однолинейка!$H$3:$H$3000,U179,Однолинейка!$A$3:$A$3000,Щит_спец)),IF(A179="Аппарат",IF(C179="","",COUNTIFS(Однолинейка!$I$3:$I$3000,C179,Однолинейка!$A$3:$A$3000,Щит_спец)+COUNTIFS(Однолинейка!$J$3:$J$3000,C179,Однолинейка!$A$3:$A$3000,Щит_спец)+COUNTIFS(Однолинейка!$K$3:$K$3000,C179,Однолинейка!$A$3:$A$3000,Щит_спец)),IF(A179="Модуль",IF(C179="","",COUNTIFS(Однолинейка!$AW$3:$AW$3000,"?*",Однолинейка!$AI$3:$AI$3000,C179,Однолинейка!$A$3:$A$3000,Щит_спец)),IF(A179="Клемма",IF(C179="","",IF(C179=$S$7,SUMIFS(Однолинейка!$BW$3:$BW$3000,Однолинейка!$A$3:$A$3000,Щит_спец),IF(C179=$S$8,SUMIFS(Однолинейка!$BX$3:$BX$3000,Однолинейка!$A$3:$A$3000,Щит_спец),""))),""))))</f>
        <v/>
      </c>
      <c r="O179" s="74"/>
      <c r="P179" s="38" t="str">
        <f t="shared" si="18"/>
        <v/>
      </c>
      <c r="U179" s="38" t="str">
        <f t="shared" si="19"/>
        <v/>
      </c>
      <c r="V179" s="38" t="str">
        <f t="shared" si="20"/>
        <v/>
      </c>
      <c r="W179" s="38" t="str">
        <f>IF(AND(U179&lt;&gt;"",OR($S$4="(все)",B179=$S$4),IF($S$4="(все)",COUNTIF($U$4:U179,U179),COUNTIFS($U$4:U179,U179,$B$4:B179,B179))=1),MAX($W$3:W178)+1,"")</f>
        <v/>
      </c>
      <c r="X179" s="38" t="str">
        <f t="shared" si="21"/>
        <v/>
      </c>
      <c r="Y179" s="38" t="str">
        <f>IF(AND(A179="Аппарат",C179&lt;&gt;"",OR($S$5="(все)",B179=$S$5)),MAX($Y$3:Y178)+1,"")</f>
        <v/>
      </c>
      <c r="Z179" s="38" t="str">
        <f t="shared" si="22"/>
        <v/>
      </c>
      <c r="AA179" s="38" t="str">
        <f>IF(AND(A179="Модуль",C179&lt;&gt;"",OR($S$6="(все)",B179=$S$6)),MAX($AA$3:AA178)+1,"")</f>
        <v/>
      </c>
      <c r="AB179" s="38" t="str">
        <f t="shared" si="23"/>
        <v/>
      </c>
      <c r="AC179" s="38" t="str">
        <f>IF(OR(B179="",COUNTIF($B$4:B179,B179)&gt;1),"",MAX($AC$3:AC178)+1)</f>
        <v/>
      </c>
      <c r="AD179" s="38" t="str">
        <f t="shared" si="24"/>
        <v/>
      </c>
      <c r="AE179" s="38" t="str">
        <f t="shared" si="25"/>
        <v/>
      </c>
      <c r="AF179" s="38" t="str">
        <f t="shared" si="26"/>
        <v/>
      </c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38" t="str">
        <f>IF(OR(A180="Автомат",A180="Дифавтомат"),IF(W180="","",COUNTIFS(Однолинейка!$H$3:$H$3000,U180,Однолинейка!$A$3:$A$3000,Щит_спец)),IF(A180="Аппарат",IF(C180="","",COUNTIFS(Однолинейка!$I$3:$I$3000,C180,Однолинейка!$A$3:$A$3000,Щит_спец)+COUNTIFS(Однолинейка!$J$3:$J$3000,C180,Однолинейка!$A$3:$A$3000,Щит_спец)+COUNTIFS(Однолинейка!$K$3:$K$3000,C180,Однолинейка!$A$3:$A$3000,Щит_спец)),IF(A180="Модуль",IF(C180="","",COUNTIFS(Однолинейка!$AW$3:$AW$3000,"?*",Однолинейка!$AI$3:$AI$3000,C180,Однолинейка!$A$3:$A$3000,Щит_спец)),IF(A180="Клемма",IF(C180="","",IF(C180=$S$7,SUMIFS(Однолинейка!$BW$3:$BW$3000,Однолинейка!$A$3:$A$3000,Щит_спец),IF(C180=$S$8,SUMIFS(Однолинейка!$BX$3:$BX$3000,Однолинейка!$A$3:$A$3000,Щит_спец),""))),""))))</f>
        <v/>
      </c>
      <c r="O180" s="74"/>
      <c r="P180" s="38" t="str">
        <f t="shared" si="18"/>
        <v/>
      </c>
      <c r="U180" s="38" t="str">
        <f t="shared" si="19"/>
        <v/>
      </c>
      <c r="V180" s="38" t="str">
        <f t="shared" si="20"/>
        <v/>
      </c>
      <c r="W180" s="38" t="str">
        <f>IF(AND(U180&lt;&gt;"",OR($S$4="(все)",B180=$S$4),IF($S$4="(все)",COUNTIF($U$4:U180,U180),COUNTIFS($U$4:U180,U180,$B$4:B180,B180))=1),MAX($W$3:W179)+1,"")</f>
        <v/>
      </c>
      <c r="X180" s="38" t="str">
        <f t="shared" si="21"/>
        <v/>
      </c>
      <c r="Y180" s="38" t="str">
        <f>IF(AND(A180="Аппарат",C180&lt;&gt;"",OR($S$5="(все)",B180=$S$5)),MAX($Y$3:Y179)+1,"")</f>
        <v/>
      </c>
      <c r="Z180" s="38" t="str">
        <f t="shared" si="22"/>
        <v/>
      </c>
      <c r="AA180" s="38" t="str">
        <f>IF(AND(A180="Модуль",C180&lt;&gt;"",OR($S$6="(все)",B180=$S$6)),MAX($AA$3:AA179)+1,"")</f>
        <v/>
      </c>
      <c r="AB180" s="38" t="str">
        <f t="shared" si="23"/>
        <v/>
      </c>
      <c r="AC180" s="38" t="str">
        <f>IF(OR(B180="",COUNTIF($B$4:B180,B180)&gt;1),"",MAX($AC$3:AC179)+1)</f>
        <v/>
      </c>
      <c r="AD180" s="38" t="str">
        <f t="shared" si="24"/>
        <v/>
      </c>
      <c r="AE180" s="38" t="str">
        <f t="shared" si="25"/>
        <v/>
      </c>
      <c r="AF180" s="38" t="str">
        <f t="shared" si="26"/>
        <v/>
      </c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38" t="str">
        <f>IF(OR(A181="Автомат",A181="Дифавтомат"),IF(W181="","",COUNTIFS(Однолинейка!$H$3:$H$3000,U181,Однолинейка!$A$3:$A$3000,Щит_спец)),IF(A181="Аппарат",IF(C181="","",COUNTIFS(Однолинейка!$I$3:$I$3000,C181,Однолинейка!$A$3:$A$3000,Щит_спец)+COUNTIFS(Однолинейка!$J$3:$J$3000,C181,Однолинейка!$A$3:$A$3000,Щит_спец)+COUNTIFS(Однолинейка!$K$3:$K$3000,C181,Однолинейка!$A$3:$A$3000,Щит_спец)),IF(A181="Модуль",IF(C181="","",COUNTIFS(Однолинейка!$AW$3:$AW$3000,"?*",Однолинейка!$AI$3:$AI$3000,C181,Однолинейка!$A$3:$A$3000,Щит_спец)),IF(A181="Клемма",IF(C181="","",IF(C181=$S$7,SUMIFS(Однолинейка!$BW$3:$BW$3000,Однолинейка!$A$3:$A$3000,Щит_спец),IF(C181=$S$8,SUMIFS(Однолинейка!$BX$3:$BX$3000,Однолинейка!$A$3:$A$3000,Щит_спец),""))),""))))</f>
        <v/>
      </c>
      <c r="O181" s="74"/>
      <c r="P181" s="38" t="str">
        <f t="shared" si="18"/>
        <v/>
      </c>
      <c r="U181" s="38" t="str">
        <f t="shared" si="19"/>
        <v/>
      </c>
      <c r="V181" s="38" t="str">
        <f t="shared" si="20"/>
        <v/>
      </c>
      <c r="W181" s="38" t="str">
        <f>IF(AND(U181&lt;&gt;"",OR($S$4="(все)",B181=$S$4),IF($S$4="(все)",COUNTIF($U$4:U181,U181),COUNTIFS($U$4:U181,U181,$B$4:B181,B181))=1),MAX($W$3:W180)+1,"")</f>
        <v/>
      </c>
      <c r="X181" s="38" t="str">
        <f t="shared" si="21"/>
        <v/>
      </c>
      <c r="Y181" s="38" t="str">
        <f>IF(AND(A181="Аппарат",C181&lt;&gt;"",OR($S$5="(все)",B181=$S$5)),MAX($Y$3:Y180)+1,"")</f>
        <v/>
      </c>
      <c r="Z181" s="38" t="str">
        <f t="shared" si="22"/>
        <v/>
      </c>
      <c r="AA181" s="38" t="str">
        <f>IF(AND(A181="Модуль",C181&lt;&gt;"",OR($S$6="(все)",B181=$S$6)),MAX($AA$3:AA180)+1,"")</f>
        <v/>
      </c>
      <c r="AB181" s="38" t="str">
        <f t="shared" si="23"/>
        <v/>
      </c>
      <c r="AC181" s="38" t="str">
        <f>IF(OR(B181="",COUNTIF($B$4:B181,B181)&gt;1),"",MAX($AC$3:AC180)+1)</f>
        <v/>
      </c>
      <c r="AD181" s="38" t="str">
        <f t="shared" si="24"/>
        <v/>
      </c>
      <c r="AE181" s="38" t="str">
        <f t="shared" si="25"/>
        <v/>
      </c>
      <c r="AF181" s="38" t="str">
        <f t="shared" si="26"/>
        <v/>
      </c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38" t="str">
        <f>IF(OR(A182="Автомат",A182="Дифавтомат"),IF(W182="","",COUNTIFS(Однолинейка!$H$3:$H$3000,U182,Однолинейка!$A$3:$A$3000,Щит_спец)),IF(A182="Аппарат",IF(C182="","",COUNTIFS(Однолинейка!$I$3:$I$3000,C182,Однолинейка!$A$3:$A$3000,Щит_спец)+COUNTIFS(Однолинейка!$J$3:$J$3000,C182,Однолинейка!$A$3:$A$3000,Щит_спец)+COUNTIFS(Однолинейка!$K$3:$K$3000,C182,Однолинейка!$A$3:$A$3000,Щит_спец)),IF(A182="Модуль",IF(C182="","",COUNTIFS(Однолинейка!$AW$3:$AW$3000,"?*",Однолинейка!$AI$3:$AI$3000,C182,Однолинейка!$A$3:$A$3000,Щит_спец)),IF(A182="Клемма",IF(C182="","",IF(C182=$S$7,SUMIFS(Однолинейка!$BW$3:$BW$3000,Однолинейка!$A$3:$A$3000,Щит_спец),IF(C182=$S$8,SUMIFS(Однолинейка!$BX$3:$BX$3000,Однолинейка!$A$3:$A$3000,Щит_спец),""))),""))))</f>
        <v/>
      </c>
      <c r="O182" s="74"/>
      <c r="P182" s="38" t="str">
        <f t="shared" si="18"/>
        <v/>
      </c>
      <c r="U182" s="38" t="str">
        <f t="shared" si="19"/>
        <v/>
      </c>
      <c r="V182" s="38" t="str">
        <f t="shared" si="20"/>
        <v/>
      </c>
      <c r="W182" s="38" t="str">
        <f>IF(AND(U182&lt;&gt;"",OR($S$4="(все)",B182=$S$4),IF($S$4="(все)",COUNTIF($U$4:U182,U182),COUNTIFS($U$4:U182,U182,$B$4:B182,B182))=1),MAX($W$3:W181)+1,"")</f>
        <v/>
      </c>
      <c r="X182" s="38" t="str">
        <f t="shared" si="21"/>
        <v/>
      </c>
      <c r="Y182" s="38" t="str">
        <f>IF(AND(A182="Аппарат",C182&lt;&gt;"",OR($S$5="(все)",B182=$S$5)),MAX($Y$3:Y181)+1,"")</f>
        <v/>
      </c>
      <c r="Z182" s="38" t="str">
        <f t="shared" si="22"/>
        <v/>
      </c>
      <c r="AA182" s="38" t="str">
        <f>IF(AND(A182="Модуль",C182&lt;&gt;"",OR($S$6="(все)",B182=$S$6)),MAX($AA$3:AA181)+1,"")</f>
        <v/>
      </c>
      <c r="AB182" s="38" t="str">
        <f t="shared" si="23"/>
        <v/>
      </c>
      <c r="AC182" s="38" t="str">
        <f>IF(OR(B182="",COUNTIF($B$4:B182,B182)&gt;1),"",MAX($AC$3:AC181)+1)</f>
        <v/>
      </c>
      <c r="AD182" s="38" t="str">
        <f t="shared" si="24"/>
        <v/>
      </c>
      <c r="AE182" s="38" t="str">
        <f t="shared" si="25"/>
        <v/>
      </c>
      <c r="AF182" s="38" t="str">
        <f t="shared" si="26"/>
        <v/>
      </c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38" t="str">
        <f>IF(OR(A183="Автомат",A183="Дифавтомат"),IF(W183="","",COUNTIFS(Однолинейка!$H$3:$H$3000,U183,Однолинейка!$A$3:$A$3000,Щит_спец)),IF(A183="Аппарат",IF(C183="","",COUNTIFS(Однолинейка!$I$3:$I$3000,C183,Однолинейка!$A$3:$A$3000,Щит_спец)+COUNTIFS(Однолинейка!$J$3:$J$3000,C183,Однолинейка!$A$3:$A$3000,Щит_спец)+COUNTIFS(Однолинейка!$K$3:$K$3000,C183,Однолинейка!$A$3:$A$3000,Щит_спец)),IF(A183="Модуль",IF(C183="","",COUNTIFS(Однолинейка!$AW$3:$AW$3000,"?*",Однолинейка!$AI$3:$AI$3000,C183,Однолинейка!$A$3:$A$3000,Щит_спец)),IF(A183="Клемма",IF(C183="","",IF(C183=$S$7,SUMIFS(Однолинейка!$BW$3:$BW$3000,Однолинейка!$A$3:$A$3000,Щит_спец),IF(C183=$S$8,SUMIFS(Однолинейка!$BX$3:$BX$3000,Однолинейка!$A$3:$A$3000,Щит_спец),""))),""))))</f>
        <v/>
      </c>
      <c r="O183" s="74"/>
      <c r="P183" s="38" t="str">
        <f t="shared" si="18"/>
        <v/>
      </c>
      <c r="U183" s="38" t="str">
        <f t="shared" si="19"/>
        <v/>
      </c>
      <c r="V183" s="38" t="str">
        <f t="shared" si="20"/>
        <v/>
      </c>
      <c r="W183" s="38" t="str">
        <f>IF(AND(U183&lt;&gt;"",OR($S$4="(все)",B183=$S$4),IF($S$4="(все)",COUNTIF($U$4:U183,U183),COUNTIFS($U$4:U183,U183,$B$4:B183,B183))=1),MAX($W$3:W182)+1,"")</f>
        <v/>
      </c>
      <c r="X183" s="38" t="str">
        <f t="shared" si="21"/>
        <v/>
      </c>
      <c r="Y183" s="38" t="str">
        <f>IF(AND(A183="Аппарат",C183&lt;&gt;"",OR($S$5="(все)",B183=$S$5)),MAX($Y$3:Y182)+1,"")</f>
        <v/>
      </c>
      <c r="Z183" s="38" t="str">
        <f t="shared" si="22"/>
        <v/>
      </c>
      <c r="AA183" s="38" t="str">
        <f>IF(AND(A183="Модуль",C183&lt;&gt;"",OR($S$6="(все)",B183=$S$6)),MAX($AA$3:AA182)+1,"")</f>
        <v/>
      </c>
      <c r="AB183" s="38" t="str">
        <f t="shared" si="23"/>
        <v/>
      </c>
      <c r="AC183" s="38" t="str">
        <f>IF(OR(B183="",COUNTIF($B$4:B183,B183)&gt;1),"",MAX($AC$3:AC182)+1)</f>
        <v/>
      </c>
      <c r="AD183" s="38" t="str">
        <f t="shared" si="24"/>
        <v/>
      </c>
      <c r="AE183" s="38" t="str">
        <f t="shared" si="25"/>
        <v/>
      </c>
      <c r="AF183" s="38" t="str">
        <f t="shared" si="26"/>
        <v/>
      </c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38" t="str">
        <f>IF(OR(A184="Автомат",A184="Дифавтомат"),IF(W184="","",COUNTIFS(Однолинейка!$H$3:$H$3000,U184,Однолинейка!$A$3:$A$3000,Щит_спец)),IF(A184="Аппарат",IF(C184="","",COUNTIFS(Однолинейка!$I$3:$I$3000,C184,Однолинейка!$A$3:$A$3000,Щит_спец)+COUNTIFS(Однолинейка!$J$3:$J$3000,C184,Однолинейка!$A$3:$A$3000,Щит_спец)+COUNTIFS(Однолинейка!$K$3:$K$3000,C184,Однолинейка!$A$3:$A$3000,Щит_спец)),IF(A184="Модуль",IF(C184="","",COUNTIFS(Однолинейка!$AW$3:$AW$3000,"?*",Однолинейка!$AI$3:$AI$3000,C184,Однолинейка!$A$3:$A$3000,Щит_спец)),IF(A184="Клемма",IF(C184="","",IF(C184=$S$7,SUMIFS(Однолинейка!$BW$3:$BW$3000,Однолинейка!$A$3:$A$3000,Щит_спец),IF(C184=$S$8,SUMIFS(Однолинейка!$BX$3:$BX$3000,Однолинейка!$A$3:$A$3000,Щит_спец),""))),""))))</f>
        <v/>
      </c>
      <c r="O184" s="74"/>
      <c r="P184" s="38" t="str">
        <f t="shared" si="18"/>
        <v/>
      </c>
      <c r="U184" s="38" t="str">
        <f t="shared" si="19"/>
        <v/>
      </c>
      <c r="V184" s="38" t="str">
        <f t="shared" si="20"/>
        <v/>
      </c>
      <c r="W184" s="38" t="str">
        <f>IF(AND(U184&lt;&gt;"",OR($S$4="(все)",B184=$S$4),IF($S$4="(все)",COUNTIF($U$4:U184,U184),COUNTIFS($U$4:U184,U184,$B$4:B184,B184))=1),MAX($W$3:W183)+1,"")</f>
        <v/>
      </c>
      <c r="X184" s="38" t="str">
        <f t="shared" si="21"/>
        <v/>
      </c>
      <c r="Y184" s="38" t="str">
        <f>IF(AND(A184="Аппарат",C184&lt;&gt;"",OR($S$5="(все)",B184=$S$5)),MAX($Y$3:Y183)+1,"")</f>
        <v/>
      </c>
      <c r="Z184" s="38" t="str">
        <f t="shared" si="22"/>
        <v/>
      </c>
      <c r="AA184" s="38" t="str">
        <f>IF(AND(A184="Модуль",C184&lt;&gt;"",OR($S$6="(все)",B184=$S$6)),MAX($AA$3:AA183)+1,"")</f>
        <v/>
      </c>
      <c r="AB184" s="38" t="str">
        <f t="shared" si="23"/>
        <v/>
      </c>
      <c r="AC184" s="38" t="str">
        <f>IF(OR(B184="",COUNTIF($B$4:B184,B184)&gt;1),"",MAX($AC$3:AC183)+1)</f>
        <v/>
      </c>
      <c r="AD184" s="38" t="str">
        <f t="shared" si="24"/>
        <v/>
      </c>
      <c r="AE184" s="38" t="str">
        <f t="shared" si="25"/>
        <v/>
      </c>
      <c r="AF184" s="38" t="str">
        <f t="shared" si="26"/>
        <v/>
      </c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38" t="str">
        <f>IF(OR(A185="Автомат",A185="Дифавтомат"),IF(W185="","",COUNTIFS(Однолинейка!$H$3:$H$3000,U185,Однолинейка!$A$3:$A$3000,Щит_спец)),IF(A185="Аппарат",IF(C185="","",COUNTIFS(Однолинейка!$I$3:$I$3000,C185,Однолинейка!$A$3:$A$3000,Щит_спец)+COUNTIFS(Однолинейка!$J$3:$J$3000,C185,Однолинейка!$A$3:$A$3000,Щит_спец)+COUNTIFS(Однолинейка!$K$3:$K$3000,C185,Однолинейка!$A$3:$A$3000,Щит_спец)),IF(A185="Модуль",IF(C185="","",COUNTIFS(Однолинейка!$AW$3:$AW$3000,"?*",Однолинейка!$AI$3:$AI$3000,C185,Однолинейка!$A$3:$A$3000,Щит_спец)),IF(A185="Клемма",IF(C185="","",IF(C185=$S$7,SUMIFS(Однолинейка!$BW$3:$BW$3000,Однолинейка!$A$3:$A$3000,Щит_спец),IF(C185=$S$8,SUMIFS(Однолинейка!$BX$3:$BX$3000,Однолинейка!$A$3:$A$3000,Щит_спец),""))),""))))</f>
        <v/>
      </c>
      <c r="O185" s="74"/>
      <c r="P185" s="38" t="str">
        <f t="shared" si="18"/>
        <v/>
      </c>
      <c r="U185" s="38" t="str">
        <f t="shared" si="19"/>
        <v/>
      </c>
      <c r="V185" s="38" t="str">
        <f t="shared" si="20"/>
        <v/>
      </c>
      <c r="W185" s="38" t="str">
        <f>IF(AND(U185&lt;&gt;"",OR($S$4="(все)",B185=$S$4),IF($S$4="(все)",COUNTIF($U$4:U185,U185),COUNTIFS($U$4:U185,U185,$B$4:B185,B185))=1),MAX($W$3:W184)+1,"")</f>
        <v/>
      </c>
      <c r="X185" s="38" t="str">
        <f t="shared" si="21"/>
        <v/>
      </c>
      <c r="Y185" s="38" t="str">
        <f>IF(AND(A185="Аппарат",C185&lt;&gt;"",OR($S$5="(все)",B185=$S$5)),MAX($Y$3:Y184)+1,"")</f>
        <v/>
      </c>
      <c r="Z185" s="38" t="str">
        <f t="shared" si="22"/>
        <v/>
      </c>
      <c r="AA185" s="38" t="str">
        <f>IF(AND(A185="Модуль",C185&lt;&gt;"",OR($S$6="(все)",B185=$S$6)),MAX($AA$3:AA184)+1,"")</f>
        <v/>
      </c>
      <c r="AB185" s="38" t="str">
        <f t="shared" si="23"/>
        <v/>
      </c>
      <c r="AC185" s="38" t="str">
        <f>IF(OR(B185="",COUNTIF($B$4:B185,B185)&gt;1),"",MAX($AC$3:AC184)+1)</f>
        <v/>
      </c>
      <c r="AD185" s="38" t="str">
        <f t="shared" si="24"/>
        <v/>
      </c>
      <c r="AE185" s="38" t="str">
        <f t="shared" si="25"/>
        <v/>
      </c>
      <c r="AF185" s="38" t="str">
        <f t="shared" si="26"/>
        <v/>
      </c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38" t="str">
        <f>IF(OR(A186="Автомат",A186="Дифавтомат"),IF(W186="","",COUNTIFS(Однолинейка!$H$3:$H$3000,U186,Однолинейка!$A$3:$A$3000,Щит_спец)),IF(A186="Аппарат",IF(C186="","",COUNTIFS(Однолинейка!$I$3:$I$3000,C186,Однолинейка!$A$3:$A$3000,Щит_спец)+COUNTIFS(Однолинейка!$J$3:$J$3000,C186,Однолинейка!$A$3:$A$3000,Щит_спец)+COUNTIFS(Однолинейка!$K$3:$K$3000,C186,Однолинейка!$A$3:$A$3000,Щит_спец)),IF(A186="Модуль",IF(C186="","",COUNTIFS(Однолинейка!$AW$3:$AW$3000,"?*",Однолинейка!$AI$3:$AI$3000,C186,Однолинейка!$A$3:$A$3000,Щит_спец)),IF(A186="Клемма",IF(C186="","",IF(C186=$S$7,SUMIFS(Однолинейка!$BW$3:$BW$3000,Однолинейка!$A$3:$A$3000,Щит_спец),IF(C186=$S$8,SUMIFS(Однолинейка!$BX$3:$BX$3000,Однолинейка!$A$3:$A$3000,Щит_спец),""))),""))))</f>
        <v/>
      </c>
      <c r="O186" s="74"/>
      <c r="P186" s="38" t="str">
        <f t="shared" si="18"/>
        <v/>
      </c>
      <c r="U186" s="38" t="str">
        <f t="shared" si="19"/>
        <v/>
      </c>
      <c r="V186" s="38" t="str">
        <f t="shared" si="20"/>
        <v/>
      </c>
      <c r="W186" s="38" t="str">
        <f>IF(AND(U186&lt;&gt;"",OR($S$4="(все)",B186=$S$4),IF($S$4="(все)",COUNTIF($U$4:U186,U186),COUNTIFS($U$4:U186,U186,$B$4:B186,B186))=1),MAX($W$3:W185)+1,"")</f>
        <v/>
      </c>
      <c r="X186" s="38" t="str">
        <f t="shared" si="21"/>
        <v/>
      </c>
      <c r="Y186" s="38" t="str">
        <f>IF(AND(A186="Аппарат",C186&lt;&gt;"",OR($S$5="(все)",B186=$S$5)),MAX($Y$3:Y185)+1,"")</f>
        <v/>
      </c>
      <c r="Z186" s="38" t="str">
        <f t="shared" si="22"/>
        <v/>
      </c>
      <c r="AA186" s="38" t="str">
        <f>IF(AND(A186="Модуль",C186&lt;&gt;"",OR($S$6="(все)",B186=$S$6)),MAX($AA$3:AA185)+1,"")</f>
        <v/>
      </c>
      <c r="AB186" s="38" t="str">
        <f t="shared" si="23"/>
        <v/>
      </c>
      <c r="AC186" s="38" t="str">
        <f>IF(OR(B186="",COUNTIF($B$4:B186,B186)&gt;1),"",MAX($AC$3:AC185)+1)</f>
        <v/>
      </c>
      <c r="AD186" s="38" t="str">
        <f t="shared" si="24"/>
        <v/>
      </c>
      <c r="AE186" s="38" t="str">
        <f t="shared" si="25"/>
        <v/>
      </c>
      <c r="AF186" s="38" t="str">
        <f t="shared" si="26"/>
        <v/>
      </c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38" t="str">
        <f>IF(OR(A187="Автомат",A187="Дифавтомат"),IF(W187="","",COUNTIFS(Однолинейка!$H$3:$H$3000,U187,Однолинейка!$A$3:$A$3000,Щит_спец)),IF(A187="Аппарат",IF(C187="","",COUNTIFS(Однолинейка!$I$3:$I$3000,C187,Однолинейка!$A$3:$A$3000,Щит_спец)+COUNTIFS(Однолинейка!$J$3:$J$3000,C187,Однолинейка!$A$3:$A$3000,Щит_спец)+COUNTIFS(Однолинейка!$K$3:$K$3000,C187,Однолинейка!$A$3:$A$3000,Щит_спец)),IF(A187="Модуль",IF(C187="","",COUNTIFS(Однолинейка!$AW$3:$AW$3000,"?*",Однолинейка!$AI$3:$AI$3000,C187,Однолинейка!$A$3:$A$3000,Щит_спец)),IF(A187="Клемма",IF(C187="","",IF(C187=$S$7,SUMIFS(Однолинейка!$BW$3:$BW$3000,Однолинейка!$A$3:$A$3000,Щит_спец),IF(C187=$S$8,SUMIFS(Однолинейка!$BX$3:$BX$3000,Однолинейка!$A$3:$A$3000,Щит_спец),""))),""))))</f>
        <v/>
      </c>
      <c r="O187" s="74"/>
      <c r="P187" s="38" t="str">
        <f t="shared" si="18"/>
        <v/>
      </c>
      <c r="U187" s="38" t="str">
        <f t="shared" si="19"/>
        <v/>
      </c>
      <c r="V187" s="38" t="str">
        <f t="shared" si="20"/>
        <v/>
      </c>
      <c r="W187" s="38" t="str">
        <f>IF(AND(U187&lt;&gt;"",OR($S$4="(все)",B187=$S$4),IF($S$4="(все)",COUNTIF($U$4:U187,U187),COUNTIFS($U$4:U187,U187,$B$4:B187,B187))=1),MAX($W$3:W186)+1,"")</f>
        <v/>
      </c>
      <c r="X187" s="38" t="str">
        <f t="shared" si="21"/>
        <v/>
      </c>
      <c r="Y187" s="38" t="str">
        <f>IF(AND(A187="Аппарат",C187&lt;&gt;"",OR($S$5="(все)",B187=$S$5)),MAX($Y$3:Y186)+1,"")</f>
        <v/>
      </c>
      <c r="Z187" s="38" t="str">
        <f t="shared" si="22"/>
        <v/>
      </c>
      <c r="AA187" s="38" t="str">
        <f>IF(AND(A187="Модуль",C187&lt;&gt;"",OR($S$6="(все)",B187=$S$6)),MAX($AA$3:AA186)+1,"")</f>
        <v/>
      </c>
      <c r="AB187" s="38" t="str">
        <f t="shared" si="23"/>
        <v/>
      </c>
      <c r="AC187" s="38" t="str">
        <f>IF(OR(B187="",COUNTIF($B$4:B187,B187)&gt;1),"",MAX($AC$3:AC186)+1)</f>
        <v/>
      </c>
      <c r="AD187" s="38" t="str">
        <f t="shared" si="24"/>
        <v/>
      </c>
      <c r="AE187" s="38" t="str">
        <f t="shared" si="25"/>
        <v/>
      </c>
      <c r="AF187" s="38" t="str">
        <f t="shared" si="26"/>
        <v/>
      </c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38" t="str">
        <f>IF(OR(A188="Автомат",A188="Дифавтомат"),IF(W188="","",COUNTIFS(Однолинейка!$H$3:$H$3000,U188,Однолинейка!$A$3:$A$3000,Щит_спец)),IF(A188="Аппарат",IF(C188="","",COUNTIFS(Однолинейка!$I$3:$I$3000,C188,Однолинейка!$A$3:$A$3000,Щит_спец)+COUNTIFS(Однолинейка!$J$3:$J$3000,C188,Однолинейка!$A$3:$A$3000,Щит_спец)+COUNTIFS(Однолинейка!$K$3:$K$3000,C188,Однолинейка!$A$3:$A$3000,Щит_спец)),IF(A188="Модуль",IF(C188="","",COUNTIFS(Однолинейка!$AW$3:$AW$3000,"?*",Однолинейка!$AI$3:$AI$3000,C188,Однолинейка!$A$3:$A$3000,Щит_спец)),IF(A188="Клемма",IF(C188="","",IF(C188=$S$7,SUMIFS(Однолинейка!$BW$3:$BW$3000,Однолинейка!$A$3:$A$3000,Щит_спец),IF(C188=$S$8,SUMIFS(Однолинейка!$BX$3:$BX$3000,Однолинейка!$A$3:$A$3000,Щит_спец),""))),""))))</f>
        <v/>
      </c>
      <c r="O188" s="74"/>
      <c r="P188" s="38" t="str">
        <f t="shared" si="18"/>
        <v/>
      </c>
      <c r="U188" s="38" t="str">
        <f t="shared" si="19"/>
        <v/>
      </c>
      <c r="V188" s="38" t="str">
        <f t="shared" si="20"/>
        <v/>
      </c>
      <c r="W188" s="38" t="str">
        <f>IF(AND(U188&lt;&gt;"",OR($S$4="(все)",B188=$S$4),IF($S$4="(все)",COUNTIF($U$4:U188,U188),COUNTIFS($U$4:U188,U188,$B$4:B188,B188))=1),MAX($W$3:W187)+1,"")</f>
        <v/>
      </c>
      <c r="X188" s="38" t="str">
        <f t="shared" si="21"/>
        <v/>
      </c>
      <c r="Y188" s="38" t="str">
        <f>IF(AND(A188="Аппарат",C188&lt;&gt;"",OR($S$5="(все)",B188=$S$5)),MAX($Y$3:Y187)+1,"")</f>
        <v/>
      </c>
      <c r="Z188" s="38" t="str">
        <f t="shared" si="22"/>
        <v/>
      </c>
      <c r="AA188" s="38" t="str">
        <f>IF(AND(A188="Модуль",C188&lt;&gt;"",OR($S$6="(все)",B188=$S$6)),MAX($AA$3:AA187)+1,"")</f>
        <v/>
      </c>
      <c r="AB188" s="38" t="str">
        <f t="shared" si="23"/>
        <v/>
      </c>
      <c r="AC188" s="38" t="str">
        <f>IF(OR(B188="",COUNTIF($B$4:B188,B188)&gt;1),"",MAX($AC$3:AC187)+1)</f>
        <v/>
      </c>
      <c r="AD188" s="38" t="str">
        <f t="shared" si="24"/>
        <v/>
      </c>
      <c r="AE188" s="38" t="str">
        <f t="shared" si="25"/>
        <v/>
      </c>
      <c r="AF188" s="38" t="str">
        <f t="shared" si="26"/>
        <v/>
      </c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38" t="str">
        <f>IF(OR(A189="Автомат",A189="Дифавтомат"),IF(W189="","",COUNTIFS(Однолинейка!$H$3:$H$3000,U189,Однолинейка!$A$3:$A$3000,Щит_спец)),IF(A189="Аппарат",IF(C189="","",COUNTIFS(Однолинейка!$I$3:$I$3000,C189,Однолинейка!$A$3:$A$3000,Щит_спец)+COUNTIFS(Однолинейка!$J$3:$J$3000,C189,Однолинейка!$A$3:$A$3000,Щит_спец)+COUNTIFS(Однолинейка!$K$3:$K$3000,C189,Однолинейка!$A$3:$A$3000,Щит_спец)),IF(A189="Модуль",IF(C189="","",COUNTIFS(Однолинейка!$AW$3:$AW$3000,"?*",Однолинейка!$AI$3:$AI$3000,C189,Однолинейка!$A$3:$A$3000,Щит_спец)),IF(A189="Клемма",IF(C189="","",IF(C189=$S$7,SUMIFS(Однолинейка!$BW$3:$BW$3000,Однолинейка!$A$3:$A$3000,Щит_спец),IF(C189=$S$8,SUMIFS(Однолинейка!$BX$3:$BX$3000,Однолинейка!$A$3:$A$3000,Щит_спец),""))),""))))</f>
        <v/>
      </c>
      <c r="O189" s="74"/>
      <c r="P189" s="38" t="str">
        <f t="shared" si="18"/>
        <v/>
      </c>
      <c r="U189" s="38" t="str">
        <f t="shared" si="19"/>
        <v/>
      </c>
      <c r="V189" s="38" t="str">
        <f t="shared" si="20"/>
        <v/>
      </c>
      <c r="W189" s="38" t="str">
        <f>IF(AND(U189&lt;&gt;"",OR($S$4="(все)",B189=$S$4),IF($S$4="(все)",COUNTIF($U$4:U189,U189),COUNTIFS($U$4:U189,U189,$B$4:B189,B189))=1),MAX($W$3:W188)+1,"")</f>
        <v/>
      </c>
      <c r="X189" s="38" t="str">
        <f t="shared" si="21"/>
        <v/>
      </c>
      <c r="Y189" s="38" t="str">
        <f>IF(AND(A189="Аппарат",C189&lt;&gt;"",OR($S$5="(все)",B189=$S$5)),MAX($Y$3:Y188)+1,"")</f>
        <v/>
      </c>
      <c r="Z189" s="38" t="str">
        <f t="shared" si="22"/>
        <v/>
      </c>
      <c r="AA189" s="38" t="str">
        <f>IF(AND(A189="Модуль",C189&lt;&gt;"",OR($S$6="(все)",B189=$S$6)),MAX($AA$3:AA188)+1,"")</f>
        <v/>
      </c>
      <c r="AB189" s="38" t="str">
        <f t="shared" si="23"/>
        <v/>
      </c>
      <c r="AC189" s="38" t="str">
        <f>IF(OR(B189="",COUNTIF($B$4:B189,B189)&gt;1),"",MAX($AC$3:AC188)+1)</f>
        <v/>
      </c>
      <c r="AD189" s="38" t="str">
        <f t="shared" si="24"/>
        <v/>
      </c>
      <c r="AE189" s="38" t="str">
        <f t="shared" si="25"/>
        <v/>
      </c>
      <c r="AF189" s="38" t="str">
        <f t="shared" si="26"/>
        <v/>
      </c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38" t="str">
        <f>IF(OR(A190="Автомат",A190="Дифавтомат"),IF(W190="","",COUNTIFS(Однолинейка!$H$3:$H$3000,U190,Однолинейка!$A$3:$A$3000,Щит_спец)),IF(A190="Аппарат",IF(C190="","",COUNTIFS(Однолинейка!$I$3:$I$3000,C190,Однолинейка!$A$3:$A$3000,Щит_спец)+COUNTIFS(Однолинейка!$J$3:$J$3000,C190,Однолинейка!$A$3:$A$3000,Щит_спец)+COUNTIFS(Однолинейка!$K$3:$K$3000,C190,Однолинейка!$A$3:$A$3000,Щит_спец)),IF(A190="Модуль",IF(C190="","",COUNTIFS(Однолинейка!$AW$3:$AW$3000,"?*",Однолинейка!$AI$3:$AI$3000,C190,Однолинейка!$A$3:$A$3000,Щит_спец)),IF(A190="Клемма",IF(C190="","",IF(C190=$S$7,SUMIFS(Однолинейка!$BW$3:$BW$3000,Однолинейка!$A$3:$A$3000,Щит_спец),IF(C190=$S$8,SUMIFS(Однолинейка!$BX$3:$BX$3000,Однолинейка!$A$3:$A$3000,Щит_спец),""))),""))))</f>
        <v/>
      </c>
      <c r="O190" s="74"/>
      <c r="P190" s="38" t="str">
        <f t="shared" si="18"/>
        <v/>
      </c>
      <c r="U190" s="38" t="str">
        <f t="shared" si="19"/>
        <v/>
      </c>
      <c r="V190" s="38" t="str">
        <f t="shared" si="20"/>
        <v/>
      </c>
      <c r="W190" s="38" t="str">
        <f>IF(AND(U190&lt;&gt;"",OR($S$4="(все)",B190=$S$4),IF($S$4="(все)",COUNTIF($U$4:U190,U190),COUNTIFS($U$4:U190,U190,$B$4:B190,B190))=1),MAX($W$3:W189)+1,"")</f>
        <v/>
      </c>
      <c r="X190" s="38" t="str">
        <f t="shared" si="21"/>
        <v/>
      </c>
      <c r="Y190" s="38" t="str">
        <f>IF(AND(A190="Аппарат",C190&lt;&gt;"",OR($S$5="(все)",B190=$S$5)),MAX($Y$3:Y189)+1,"")</f>
        <v/>
      </c>
      <c r="Z190" s="38" t="str">
        <f t="shared" si="22"/>
        <v/>
      </c>
      <c r="AA190" s="38" t="str">
        <f>IF(AND(A190="Модуль",C190&lt;&gt;"",OR($S$6="(все)",B190=$S$6)),MAX($AA$3:AA189)+1,"")</f>
        <v/>
      </c>
      <c r="AB190" s="38" t="str">
        <f t="shared" si="23"/>
        <v/>
      </c>
      <c r="AC190" s="38" t="str">
        <f>IF(OR(B190="",COUNTIF($B$4:B190,B190)&gt;1),"",MAX($AC$3:AC189)+1)</f>
        <v/>
      </c>
      <c r="AD190" s="38" t="str">
        <f t="shared" si="24"/>
        <v/>
      </c>
      <c r="AE190" s="38" t="str">
        <f t="shared" si="25"/>
        <v/>
      </c>
      <c r="AF190" s="38" t="str">
        <f t="shared" si="26"/>
        <v/>
      </c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38" t="str">
        <f>IF(OR(A191="Автомат",A191="Дифавтомат"),IF(W191="","",COUNTIFS(Однолинейка!$H$3:$H$3000,U191,Однолинейка!$A$3:$A$3000,Щит_спец)),IF(A191="Аппарат",IF(C191="","",COUNTIFS(Однолинейка!$I$3:$I$3000,C191,Однолинейка!$A$3:$A$3000,Щит_спец)+COUNTIFS(Однолинейка!$J$3:$J$3000,C191,Однолинейка!$A$3:$A$3000,Щит_спец)+COUNTIFS(Однолинейка!$K$3:$K$3000,C191,Однолинейка!$A$3:$A$3000,Щит_спец)),IF(A191="Модуль",IF(C191="","",COUNTIFS(Однолинейка!$AW$3:$AW$3000,"?*",Однолинейка!$AI$3:$AI$3000,C191,Однолинейка!$A$3:$A$3000,Щит_спец)),IF(A191="Клемма",IF(C191="","",IF(C191=$S$7,SUMIFS(Однолинейка!$BW$3:$BW$3000,Однолинейка!$A$3:$A$3000,Щит_спец),IF(C191=$S$8,SUMIFS(Однолинейка!$BX$3:$BX$3000,Однолинейка!$A$3:$A$3000,Щит_спец),""))),""))))</f>
        <v/>
      </c>
      <c r="O191" s="74"/>
      <c r="P191" s="38" t="str">
        <f t="shared" si="18"/>
        <v/>
      </c>
      <c r="U191" s="38" t="str">
        <f t="shared" si="19"/>
        <v/>
      </c>
      <c r="V191" s="38" t="str">
        <f t="shared" si="20"/>
        <v/>
      </c>
      <c r="W191" s="38" t="str">
        <f>IF(AND(U191&lt;&gt;"",OR($S$4="(все)",B191=$S$4),IF($S$4="(все)",COUNTIF($U$4:U191,U191),COUNTIFS($U$4:U191,U191,$B$4:B191,B191))=1),MAX($W$3:W190)+1,"")</f>
        <v/>
      </c>
      <c r="X191" s="38" t="str">
        <f t="shared" si="21"/>
        <v/>
      </c>
      <c r="Y191" s="38" t="str">
        <f>IF(AND(A191="Аппарат",C191&lt;&gt;"",OR($S$5="(все)",B191=$S$5)),MAX($Y$3:Y190)+1,"")</f>
        <v/>
      </c>
      <c r="Z191" s="38" t="str">
        <f t="shared" si="22"/>
        <v/>
      </c>
      <c r="AA191" s="38" t="str">
        <f>IF(AND(A191="Модуль",C191&lt;&gt;"",OR($S$6="(все)",B191=$S$6)),MAX($AA$3:AA190)+1,"")</f>
        <v/>
      </c>
      <c r="AB191" s="38" t="str">
        <f t="shared" si="23"/>
        <v/>
      </c>
      <c r="AC191" s="38" t="str">
        <f>IF(OR(B191="",COUNTIF($B$4:B191,B191)&gt;1),"",MAX($AC$3:AC190)+1)</f>
        <v/>
      </c>
      <c r="AD191" s="38" t="str">
        <f t="shared" si="24"/>
        <v/>
      </c>
      <c r="AE191" s="38" t="str">
        <f t="shared" si="25"/>
        <v/>
      </c>
      <c r="AF191" s="38" t="str">
        <f t="shared" si="26"/>
        <v/>
      </c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38" t="str">
        <f>IF(OR(A192="Автомат",A192="Дифавтомат"),IF(W192="","",COUNTIFS(Однолинейка!$H$3:$H$3000,U192,Однолинейка!$A$3:$A$3000,Щит_спец)),IF(A192="Аппарат",IF(C192="","",COUNTIFS(Однолинейка!$I$3:$I$3000,C192,Однолинейка!$A$3:$A$3000,Щит_спец)+COUNTIFS(Однолинейка!$J$3:$J$3000,C192,Однолинейка!$A$3:$A$3000,Щит_спец)+COUNTIFS(Однолинейка!$K$3:$K$3000,C192,Однолинейка!$A$3:$A$3000,Щит_спец)),IF(A192="Модуль",IF(C192="","",COUNTIFS(Однолинейка!$AW$3:$AW$3000,"?*",Однолинейка!$AI$3:$AI$3000,C192,Однолинейка!$A$3:$A$3000,Щит_спец)),IF(A192="Клемма",IF(C192="","",IF(C192=$S$7,SUMIFS(Однолинейка!$BW$3:$BW$3000,Однолинейка!$A$3:$A$3000,Щит_спец),IF(C192=$S$8,SUMIFS(Однолинейка!$BX$3:$BX$3000,Однолинейка!$A$3:$A$3000,Щит_спец),""))),""))))</f>
        <v/>
      </c>
      <c r="O192" s="74"/>
      <c r="P192" s="38" t="str">
        <f t="shared" si="18"/>
        <v/>
      </c>
      <c r="U192" s="38" t="str">
        <f t="shared" si="19"/>
        <v/>
      </c>
      <c r="V192" s="38" t="str">
        <f t="shared" si="20"/>
        <v/>
      </c>
      <c r="W192" s="38" t="str">
        <f>IF(AND(U192&lt;&gt;"",OR($S$4="(все)",B192=$S$4),IF($S$4="(все)",COUNTIF($U$4:U192,U192),COUNTIFS($U$4:U192,U192,$B$4:B192,B192))=1),MAX($W$3:W191)+1,"")</f>
        <v/>
      </c>
      <c r="X192" s="38" t="str">
        <f t="shared" si="21"/>
        <v/>
      </c>
      <c r="Y192" s="38" t="str">
        <f>IF(AND(A192="Аппарат",C192&lt;&gt;"",OR($S$5="(все)",B192=$S$5)),MAX($Y$3:Y191)+1,"")</f>
        <v/>
      </c>
      <c r="Z192" s="38" t="str">
        <f t="shared" si="22"/>
        <v/>
      </c>
      <c r="AA192" s="38" t="str">
        <f>IF(AND(A192="Модуль",C192&lt;&gt;"",OR($S$6="(все)",B192=$S$6)),MAX($AA$3:AA191)+1,"")</f>
        <v/>
      </c>
      <c r="AB192" s="38" t="str">
        <f t="shared" si="23"/>
        <v/>
      </c>
      <c r="AC192" s="38" t="str">
        <f>IF(OR(B192="",COUNTIF($B$4:B192,B192)&gt;1),"",MAX($AC$3:AC191)+1)</f>
        <v/>
      </c>
      <c r="AD192" s="38" t="str">
        <f t="shared" si="24"/>
        <v/>
      </c>
      <c r="AE192" s="38" t="str">
        <f t="shared" si="25"/>
        <v/>
      </c>
      <c r="AF192" s="38" t="str">
        <f t="shared" si="26"/>
        <v/>
      </c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38" t="str">
        <f>IF(OR(A193="Автомат",A193="Дифавтомат"),IF(W193="","",COUNTIFS(Однолинейка!$H$3:$H$3000,U193,Однолинейка!$A$3:$A$3000,Щит_спец)),IF(A193="Аппарат",IF(C193="","",COUNTIFS(Однолинейка!$I$3:$I$3000,C193,Однолинейка!$A$3:$A$3000,Щит_спец)+COUNTIFS(Однолинейка!$J$3:$J$3000,C193,Однолинейка!$A$3:$A$3000,Щит_спец)+COUNTIFS(Однолинейка!$K$3:$K$3000,C193,Однолинейка!$A$3:$A$3000,Щит_спец)),IF(A193="Модуль",IF(C193="","",COUNTIFS(Однолинейка!$AW$3:$AW$3000,"?*",Однолинейка!$AI$3:$AI$3000,C193,Однолинейка!$A$3:$A$3000,Щит_спец)),IF(A193="Клемма",IF(C193="","",IF(C193=$S$7,SUMIFS(Однолинейка!$BW$3:$BW$3000,Однолинейка!$A$3:$A$3000,Щит_спец),IF(C193=$S$8,SUMIFS(Однолинейка!$BX$3:$BX$3000,Однолинейка!$A$3:$A$3000,Щит_спец),""))),""))))</f>
        <v/>
      </c>
      <c r="O193" s="74"/>
      <c r="P193" s="38" t="str">
        <f t="shared" si="18"/>
        <v/>
      </c>
      <c r="U193" s="38" t="str">
        <f t="shared" si="19"/>
        <v/>
      </c>
      <c r="V193" s="38" t="str">
        <f t="shared" si="20"/>
        <v/>
      </c>
      <c r="W193" s="38" t="str">
        <f>IF(AND(U193&lt;&gt;"",OR($S$4="(все)",B193=$S$4),IF($S$4="(все)",COUNTIF($U$4:U193,U193),COUNTIFS($U$4:U193,U193,$B$4:B193,B193))=1),MAX($W$3:W192)+1,"")</f>
        <v/>
      </c>
      <c r="X193" s="38" t="str">
        <f t="shared" si="21"/>
        <v/>
      </c>
      <c r="Y193" s="38" t="str">
        <f>IF(AND(A193="Аппарат",C193&lt;&gt;"",OR($S$5="(все)",B193=$S$5)),MAX($Y$3:Y192)+1,"")</f>
        <v/>
      </c>
      <c r="Z193" s="38" t="str">
        <f t="shared" si="22"/>
        <v/>
      </c>
      <c r="AA193" s="38" t="str">
        <f>IF(AND(A193="Модуль",C193&lt;&gt;"",OR($S$6="(все)",B193=$S$6)),MAX($AA$3:AA192)+1,"")</f>
        <v/>
      </c>
      <c r="AB193" s="38" t="str">
        <f t="shared" si="23"/>
        <v/>
      </c>
      <c r="AC193" s="38" t="str">
        <f>IF(OR(B193="",COUNTIF($B$4:B193,B193)&gt;1),"",MAX($AC$3:AC192)+1)</f>
        <v/>
      </c>
      <c r="AD193" s="38" t="str">
        <f t="shared" si="24"/>
        <v/>
      </c>
      <c r="AE193" s="38" t="str">
        <f t="shared" si="25"/>
        <v/>
      </c>
      <c r="AF193" s="38" t="str">
        <f t="shared" si="26"/>
        <v/>
      </c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38" t="str">
        <f>IF(OR(A194="Автомат",A194="Дифавтомат"),IF(W194="","",COUNTIFS(Однолинейка!$H$3:$H$3000,U194,Однолинейка!$A$3:$A$3000,Щит_спец)),IF(A194="Аппарат",IF(C194="","",COUNTIFS(Однолинейка!$I$3:$I$3000,C194,Однолинейка!$A$3:$A$3000,Щит_спец)+COUNTIFS(Однолинейка!$J$3:$J$3000,C194,Однолинейка!$A$3:$A$3000,Щит_спец)+COUNTIFS(Однолинейка!$K$3:$K$3000,C194,Однолинейка!$A$3:$A$3000,Щит_спец)),IF(A194="Модуль",IF(C194="","",COUNTIFS(Однолинейка!$AW$3:$AW$3000,"?*",Однолинейка!$AI$3:$AI$3000,C194,Однолинейка!$A$3:$A$3000,Щит_спец)),IF(A194="Клемма",IF(C194="","",IF(C194=$S$7,SUMIFS(Однолинейка!$BW$3:$BW$3000,Однолинейка!$A$3:$A$3000,Щит_спец),IF(C194=$S$8,SUMIFS(Однолинейка!$BX$3:$BX$3000,Однолинейка!$A$3:$A$3000,Щит_спец),""))),""))))</f>
        <v/>
      </c>
      <c r="O194" s="74"/>
      <c r="P194" s="38" t="str">
        <f t="shared" si="18"/>
        <v/>
      </c>
      <c r="U194" s="38" t="str">
        <f t="shared" si="19"/>
        <v/>
      </c>
      <c r="V194" s="38" t="str">
        <f t="shared" si="20"/>
        <v/>
      </c>
      <c r="W194" s="38" t="str">
        <f>IF(AND(U194&lt;&gt;"",OR($S$4="(все)",B194=$S$4),IF($S$4="(все)",COUNTIF($U$4:U194,U194),COUNTIFS($U$4:U194,U194,$B$4:B194,B194))=1),MAX($W$3:W193)+1,"")</f>
        <v/>
      </c>
      <c r="X194" s="38" t="str">
        <f t="shared" si="21"/>
        <v/>
      </c>
      <c r="Y194" s="38" t="str">
        <f>IF(AND(A194="Аппарат",C194&lt;&gt;"",OR($S$5="(все)",B194=$S$5)),MAX($Y$3:Y193)+1,"")</f>
        <v/>
      </c>
      <c r="Z194" s="38" t="str">
        <f t="shared" si="22"/>
        <v/>
      </c>
      <c r="AA194" s="38" t="str">
        <f>IF(AND(A194="Модуль",C194&lt;&gt;"",OR($S$6="(все)",B194=$S$6)),MAX($AA$3:AA193)+1,"")</f>
        <v/>
      </c>
      <c r="AB194" s="38" t="str">
        <f t="shared" si="23"/>
        <v/>
      </c>
      <c r="AC194" s="38" t="str">
        <f>IF(OR(B194="",COUNTIF($B$4:B194,B194)&gt;1),"",MAX($AC$3:AC193)+1)</f>
        <v/>
      </c>
      <c r="AD194" s="38" t="str">
        <f t="shared" si="24"/>
        <v/>
      </c>
      <c r="AE194" s="38" t="str">
        <f t="shared" si="25"/>
        <v/>
      </c>
      <c r="AF194" s="38" t="str">
        <f t="shared" si="26"/>
        <v/>
      </c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38" t="str">
        <f>IF(OR(A195="Автомат",A195="Дифавтомат"),IF(W195="","",COUNTIFS(Однолинейка!$H$3:$H$3000,U195,Однолинейка!$A$3:$A$3000,Щит_спец)),IF(A195="Аппарат",IF(C195="","",COUNTIFS(Однолинейка!$I$3:$I$3000,C195,Однолинейка!$A$3:$A$3000,Щит_спец)+COUNTIFS(Однолинейка!$J$3:$J$3000,C195,Однолинейка!$A$3:$A$3000,Щит_спец)+COUNTIFS(Однолинейка!$K$3:$K$3000,C195,Однолинейка!$A$3:$A$3000,Щит_спец)),IF(A195="Модуль",IF(C195="","",COUNTIFS(Однолинейка!$AW$3:$AW$3000,"?*",Однолинейка!$AI$3:$AI$3000,C195,Однолинейка!$A$3:$A$3000,Щит_спец)),IF(A195="Клемма",IF(C195="","",IF(C195=$S$7,SUMIFS(Однолинейка!$BW$3:$BW$3000,Однолинейка!$A$3:$A$3000,Щит_спец),IF(C195=$S$8,SUMIFS(Однолинейка!$BX$3:$BX$3000,Однолинейка!$A$3:$A$3000,Щит_спец),""))),""))))</f>
        <v/>
      </c>
      <c r="O195" s="74"/>
      <c r="P195" s="38" t="str">
        <f t="shared" si="18"/>
        <v/>
      </c>
      <c r="U195" s="38" t="str">
        <f t="shared" si="19"/>
        <v/>
      </c>
      <c r="V195" s="38" t="str">
        <f t="shared" si="20"/>
        <v/>
      </c>
      <c r="W195" s="38" t="str">
        <f>IF(AND(U195&lt;&gt;"",OR($S$4="(все)",B195=$S$4),IF($S$4="(все)",COUNTIF($U$4:U195,U195),COUNTIFS($U$4:U195,U195,$B$4:B195,B195))=1),MAX($W$3:W194)+1,"")</f>
        <v/>
      </c>
      <c r="X195" s="38" t="str">
        <f t="shared" si="21"/>
        <v/>
      </c>
      <c r="Y195" s="38" t="str">
        <f>IF(AND(A195="Аппарат",C195&lt;&gt;"",OR($S$5="(все)",B195=$S$5)),MAX($Y$3:Y194)+1,"")</f>
        <v/>
      </c>
      <c r="Z195" s="38" t="str">
        <f t="shared" si="22"/>
        <v/>
      </c>
      <c r="AA195" s="38" t="str">
        <f>IF(AND(A195="Модуль",C195&lt;&gt;"",OR($S$6="(все)",B195=$S$6)),MAX($AA$3:AA194)+1,"")</f>
        <v/>
      </c>
      <c r="AB195" s="38" t="str">
        <f t="shared" si="23"/>
        <v/>
      </c>
      <c r="AC195" s="38" t="str">
        <f>IF(OR(B195="",COUNTIF($B$4:B195,B195)&gt;1),"",MAX($AC$3:AC194)+1)</f>
        <v/>
      </c>
      <c r="AD195" s="38" t="str">
        <f t="shared" si="24"/>
        <v/>
      </c>
      <c r="AE195" s="38" t="str">
        <f t="shared" si="25"/>
        <v/>
      </c>
      <c r="AF195" s="38" t="str">
        <f t="shared" si="26"/>
        <v/>
      </c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38" t="str">
        <f>IF(OR(A196="Автомат",A196="Дифавтомат"),IF(W196="","",COUNTIFS(Однолинейка!$H$3:$H$3000,U196,Однолинейка!$A$3:$A$3000,Щит_спец)),IF(A196="Аппарат",IF(C196="","",COUNTIFS(Однолинейка!$I$3:$I$3000,C196,Однолинейка!$A$3:$A$3000,Щит_спец)+COUNTIFS(Однолинейка!$J$3:$J$3000,C196,Однолинейка!$A$3:$A$3000,Щит_спец)+COUNTIFS(Однолинейка!$K$3:$K$3000,C196,Однолинейка!$A$3:$A$3000,Щит_спец)),IF(A196="Модуль",IF(C196="","",COUNTIFS(Однолинейка!$AW$3:$AW$3000,"?*",Однолинейка!$AI$3:$AI$3000,C196,Однолинейка!$A$3:$A$3000,Щит_спец)),IF(A196="Клемма",IF(C196="","",IF(C196=$S$7,SUMIFS(Однолинейка!$BW$3:$BW$3000,Однолинейка!$A$3:$A$3000,Щит_спец),IF(C196=$S$8,SUMIFS(Однолинейка!$BX$3:$BX$3000,Однолинейка!$A$3:$A$3000,Щит_спец),""))),""))))</f>
        <v/>
      </c>
      <c r="O196" s="74"/>
      <c r="P196" s="38" t="str">
        <f t="shared" ref="P196:P259" si="27">IF(COUNT(N196,O196)=0,"",SUM(N196,O196))</f>
        <v/>
      </c>
      <c r="U196" s="38" t="str">
        <f t="shared" ref="U196:U259" si="28">IF(OR(A196="Автомат",A196="Дифавтомат"),I196&amp;" С"&amp;J196&amp;"А"&amp;IF(K196="да"," 30мА",IF(ISNUMBER(K196)," "&amp;K196&amp;"мА","")),"")</f>
        <v/>
      </c>
      <c r="V196" s="38" t="str">
        <f t="shared" ref="V196:V259" si="29">IF(U196="","",B196&amp;"|"&amp;U196)</f>
        <v/>
      </c>
      <c r="W196" s="38" t="str">
        <f>IF(AND(U196&lt;&gt;"",OR($S$4="(все)",B196=$S$4),IF($S$4="(все)",COUNTIF($U$4:U196,U196),COUNTIFS($U$4:U196,U196,$B$4:B196,B196))=1),MAX($W$3:W195)+1,"")</f>
        <v/>
      </c>
      <c r="X196" s="38" t="str">
        <f t="shared" ref="X196:X259" si="30">IFERROR(INDEX($U$4:$U$500,MATCH(ROW()-3,$W$4:$W$500,0)),"")</f>
        <v/>
      </c>
      <c r="Y196" s="38" t="str">
        <f>IF(AND(A196="Аппарат",C196&lt;&gt;"",OR($S$5="(все)",B196=$S$5)),MAX($Y$3:Y195)+1,"")</f>
        <v/>
      </c>
      <c r="Z196" s="38" t="str">
        <f t="shared" ref="Z196:Z259" si="31">IFERROR(INDEX($C$4:$C$500,MATCH(ROW()-3,$Y$4:$Y$500,0)),"")</f>
        <v/>
      </c>
      <c r="AA196" s="38" t="str">
        <f>IF(AND(A196="Модуль",C196&lt;&gt;"",OR($S$6="(все)",B196=$S$6)),MAX($AA$3:AA195)+1,"")</f>
        <v/>
      </c>
      <c r="AB196" s="38" t="str">
        <f t="shared" ref="AB196:AB259" si="32">IFERROR(INDEX($C$4:$C$500,MATCH(ROW()-3,$AA$4:$AA$500,0)),"")</f>
        <v/>
      </c>
      <c r="AC196" s="38" t="str">
        <f>IF(OR(B196="",COUNTIF($B$4:B196,B196)&gt;1),"",MAX($AC$3:AC195)+1)</f>
        <v/>
      </c>
      <c r="AD196" s="38" t="str">
        <f t="shared" ref="AD196:AD259" si="33">IFERROR(INDEX($B$4:$B$500,MATCH(ROW()-3,$AC$4:$AC$500,0)),"")</f>
        <v/>
      </c>
      <c r="AE196" s="38" t="str">
        <f t="shared" ref="AE196:AE259" si="34">IF(AND(A196&lt;&gt;"",N(P196)&gt;0),IFERROR(MATCH(A196,$R$12:$R$25,0),99)*1000+ROW(),"")</f>
        <v/>
      </c>
      <c r="AF196" s="38" t="str">
        <f t="shared" ref="AF196:AF259" si="35">IF(AE196="","",COUNTIF($AE$4:$AE$500,"&lt;="&amp;AE196))</f>
        <v/>
      </c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38" t="str">
        <f>IF(OR(A197="Автомат",A197="Дифавтомат"),IF(W197="","",COUNTIFS(Однолинейка!$H$3:$H$3000,U197,Однолинейка!$A$3:$A$3000,Щит_спец)),IF(A197="Аппарат",IF(C197="","",COUNTIFS(Однолинейка!$I$3:$I$3000,C197,Однолинейка!$A$3:$A$3000,Щит_спец)+COUNTIFS(Однолинейка!$J$3:$J$3000,C197,Однолинейка!$A$3:$A$3000,Щит_спец)+COUNTIFS(Однолинейка!$K$3:$K$3000,C197,Однолинейка!$A$3:$A$3000,Щит_спец)),IF(A197="Модуль",IF(C197="","",COUNTIFS(Однолинейка!$AW$3:$AW$3000,"?*",Однолинейка!$AI$3:$AI$3000,C197,Однолинейка!$A$3:$A$3000,Щит_спец)),IF(A197="Клемма",IF(C197="","",IF(C197=$S$7,SUMIFS(Однолинейка!$BW$3:$BW$3000,Однолинейка!$A$3:$A$3000,Щит_спец),IF(C197=$S$8,SUMIFS(Однолинейка!$BX$3:$BX$3000,Однолинейка!$A$3:$A$3000,Щит_спец),""))),""))))</f>
        <v/>
      </c>
      <c r="O197" s="74"/>
      <c r="P197" s="38" t="str">
        <f t="shared" si="27"/>
        <v/>
      </c>
      <c r="U197" s="38" t="str">
        <f t="shared" si="28"/>
        <v/>
      </c>
      <c r="V197" s="38" t="str">
        <f t="shared" si="29"/>
        <v/>
      </c>
      <c r="W197" s="38" t="str">
        <f>IF(AND(U197&lt;&gt;"",OR($S$4="(все)",B197=$S$4),IF($S$4="(все)",COUNTIF($U$4:U197,U197),COUNTIFS($U$4:U197,U197,$B$4:B197,B197))=1),MAX($W$3:W196)+1,"")</f>
        <v/>
      </c>
      <c r="X197" s="38" t="str">
        <f t="shared" si="30"/>
        <v/>
      </c>
      <c r="Y197" s="38" t="str">
        <f>IF(AND(A197="Аппарат",C197&lt;&gt;"",OR($S$5="(все)",B197=$S$5)),MAX($Y$3:Y196)+1,"")</f>
        <v/>
      </c>
      <c r="Z197" s="38" t="str">
        <f t="shared" si="31"/>
        <v/>
      </c>
      <c r="AA197" s="38" t="str">
        <f>IF(AND(A197="Модуль",C197&lt;&gt;"",OR($S$6="(все)",B197=$S$6)),MAX($AA$3:AA196)+1,"")</f>
        <v/>
      </c>
      <c r="AB197" s="38" t="str">
        <f t="shared" si="32"/>
        <v/>
      </c>
      <c r="AC197" s="38" t="str">
        <f>IF(OR(B197="",COUNTIF($B$4:B197,B197)&gt;1),"",MAX($AC$3:AC196)+1)</f>
        <v/>
      </c>
      <c r="AD197" s="38" t="str">
        <f t="shared" si="33"/>
        <v/>
      </c>
      <c r="AE197" s="38" t="str">
        <f t="shared" si="34"/>
        <v/>
      </c>
      <c r="AF197" s="38" t="str">
        <f t="shared" si="35"/>
        <v/>
      </c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38" t="str">
        <f>IF(OR(A198="Автомат",A198="Дифавтомат"),IF(W198="","",COUNTIFS(Однолинейка!$H$3:$H$3000,U198,Однолинейка!$A$3:$A$3000,Щит_спец)),IF(A198="Аппарат",IF(C198="","",COUNTIFS(Однолинейка!$I$3:$I$3000,C198,Однолинейка!$A$3:$A$3000,Щит_спец)+COUNTIFS(Однолинейка!$J$3:$J$3000,C198,Однолинейка!$A$3:$A$3000,Щит_спец)+COUNTIFS(Однолинейка!$K$3:$K$3000,C198,Однолинейка!$A$3:$A$3000,Щит_спец)),IF(A198="Модуль",IF(C198="","",COUNTIFS(Однолинейка!$AW$3:$AW$3000,"?*",Однолинейка!$AI$3:$AI$3000,C198,Однолинейка!$A$3:$A$3000,Щит_спец)),IF(A198="Клемма",IF(C198="","",IF(C198=$S$7,SUMIFS(Однолинейка!$BW$3:$BW$3000,Однолинейка!$A$3:$A$3000,Щит_спец),IF(C198=$S$8,SUMIFS(Однолинейка!$BX$3:$BX$3000,Однолинейка!$A$3:$A$3000,Щит_спец),""))),""))))</f>
        <v/>
      </c>
      <c r="O198" s="74"/>
      <c r="P198" s="38" t="str">
        <f t="shared" si="27"/>
        <v/>
      </c>
      <c r="U198" s="38" t="str">
        <f t="shared" si="28"/>
        <v/>
      </c>
      <c r="V198" s="38" t="str">
        <f t="shared" si="29"/>
        <v/>
      </c>
      <c r="W198" s="38" t="str">
        <f>IF(AND(U198&lt;&gt;"",OR($S$4="(все)",B198=$S$4),IF($S$4="(все)",COUNTIF($U$4:U198,U198),COUNTIFS($U$4:U198,U198,$B$4:B198,B198))=1),MAX($W$3:W197)+1,"")</f>
        <v/>
      </c>
      <c r="X198" s="38" t="str">
        <f t="shared" si="30"/>
        <v/>
      </c>
      <c r="Y198" s="38" t="str">
        <f>IF(AND(A198="Аппарат",C198&lt;&gt;"",OR($S$5="(все)",B198=$S$5)),MAX($Y$3:Y197)+1,"")</f>
        <v/>
      </c>
      <c r="Z198" s="38" t="str">
        <f t="shared" si="31"/>
        <v/>
      </c>
      <c r="AA198" s="38" t="str">
        <f>IF(AND(A198="Модуль",C198&lt;&gt;"",OR($S$6="(все)",B198=$S$6)),MAX($AA$3:AA197)+1,"")</f>
        <v/>
      </c>
      <c r="AB198" s="38" t="str">
        <f t="shared" si="32"/>
        <v/>
      </c>
      <c r="AC198" s="38" t="str">
        <f>IF(OR(B198="",COUNTIF($B$4:B198,B198)&gt;1),"",MAX($AC$3:AC197)+1)</f>
        <v/>
      </c>
      <c r="AD198" s="38" t="str">
        <f t="shared" si="33"/>
        <v/>
      </c>
      <c r="AE198" s="38" t="str">
        <f t="shared" si="34"/>
        <v/>
      </c>
      <c r="AF198" s="38" t="str">
        <f t="shared" si="35"/>
        <v/>
      </c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38" t="str">
        <f>IF(OR(A199="Автомат",A199="Дифавтомат"),IF(W199="","",COUNTIFS(Однолинейка!$H$3:$H$3000,U199,Однолинейка!$A$3:$A$3000,Щит_спец)),IF(A199="Аппарат",IF(C199="","",COUNTIFS(Однолинейка!$I$3:$I$3000,C199,Однолинейка!$A$3:$A$3000,Щит_спец)+COUNTIFS(Однолинейка!$J$3:$J$3000,C199,Однолинейка!$A$3:$A$3000,Щит_спец)+COUNTIFS(Однолинейка!$K$3:$K$3000,C199,Однолинейка!$A$3:$A$3000,Щит_спец)),IF(A199="Модуль",IF(C199="","",COUNTIFS(Однолинейка!$AW$3:$AW$3000,"?*",Однолинейка!$AI$3:$AI$3000,C199,Однолинейка!$A$3:$A$3000,Щит_спец)),IF(A199="Клемма",IF(C199="","",IF(C199=$S$7,SUMIFS(Однолинейка!$BW$3:$BW$3000,Однолинейка!$A$3:$A$3000,Щит_спец),IF(C199=$S$8,SUMIFS(Однолинейка!$BX$3:$BX$3000,Однолинейка!$A$3:$A$3000,Щит_спец),""))),""))))</f>
        <v/>
      </c>
      <c r="O199" s="74"/>
      <c r="P199" s="38" t="str">
        <f t="shared" si="27"/>
        <v/>
      </c>
      <c r="U199" s="38" t="str">
        <f t="shared" si="28"/>
        <v/>
      </c>
      <c r="V199" s="38" t="str">
        <f t="shared" si="29"/>
        <v/>
      </c>
      <c r="W199" s="38" t="str">
        <f>IF(AND(U199&lt;&gt;"",OR($S$4="(все)",B199=$S$4),IF($S$4="(все)",COUNTIF($U$4:U199,U199),COUNTIFS($U$4:U199,U199,$B$4:B199,B199))=1),MAX($W$3:W198)+1,"")</f>
        <v/>
      </c>
      <c r="X199" s="38" t="str">
        <f t="shared" si="30"/>
        <v/>
      </c>
      <c r="Y199" s="38" t="str">
        <f>IF(AND(A199="Аппарат",C199&lt;&gt;"",OR($S$5="(все)",B199=$S$5)),MAX($Y$3:Y198)+1,"")</f>
        <v/>
      </c>
      <c r="Z199" s="38" t="str">
        <f t="shared" si="31"/>
        <v/>
      </c>
      <c r="AA199" s="38" t="str">
        <f>IF(AND(A199="Модуль",C199&lt;&gt;"",OR($S$6="(все)",B199=$S$6)),MAX($AA$3:AA198)+1,"")</f>
        <v/>
      </c>
      <c r="AB199" s="38" t="str">
        <f t="shared" si="32"/>
        <v/>
      </c>
      <c r="AC199" s="38" t="str">
        <f>IF(OR(B199="",COUNTIF($B$4:B199,B199)&gt;1),"",MAX($AC$3:AC198)+1)</f>
        <v/>
      </c>
      <c r="AD199" s="38" t="str">
        <f t="shared" si="33"/>
        <v/>
      </c>
      <c r="AE199" s="38" t="str">
        <f t="shared" si="34"/>
        <v/>
      </c>
      <c r="AF199" s="38" t="str">
        <f t="shared" si="35"/>
        <v/>
      </c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38" t="str">
        <f>IF(OR(A200="Автомат",A200="Дифавтомат"),IF(W200="","",COUNTIFS(Однолинейка!$H$3:$H$3000,U200,Однолинейка!$A$3:$A$3000,Щит_спец)),IF(A200="Аппарат",IF(C200="","",COUNTIFS(Однолинейка!$I$3:$I$3000,C200,Однолинейка!$A$3:$A$3000,Щит_спец)+COUNTIFS(Однолинейка!$J$3:$J$3000,C200,Однолинейка!$A$3:$A$3000,Щит_спец)+COUNTIFS(Однолинейка!$K$3:$K$3000,C200,Однолинейка!$A$3:$A$3000,Щит_спец)),IF(A200="Модуль",IF(C200="","",COUNTIFS(Однолинейка!$AW$3:$AW$3000,"?*",Однолинейка!$AI$3:$AI$3000,C200,Однолинейка!$A$3:$A$3000,Щит_спец)),IF(A200="Клемма",IF(C200="","",IF(C200=$S$7,SUMIFS(Однолинейка!$BW$3:$BW$3000,Однолинейка!$A$3:$A$3000,Щит_спец),IF(C200=$S$8,SUMIFS(Однолинейка!$BX$3:$BX$3000,Однолинейка!$A$3:$A$3000,Щит_спец),""))),""))))</f>
        <v/>
      </c>
      <c r="O200" s="74"/>
      <c r="P200" s="38" t="str">
        <f t="shared" si="27"/>
        <v/>
      </c>
      <c r="U200" s="38" t="str">
        <f t="shared" si="28"/>
        <v/>
      </c>
      <c r="V200" s="38" t="str">
        <f t="shared" si="29"/>
        <v/>
      </c>
      <c r="W200" s="38" t="str">
        <f>IF(AND(U200&lt;&gt;"",OR($S$4="(все)",B200=$S$4),IF($S$4="(все)",COUNTIF($U$4:U200,U200),COUNTIFS($U$4:U200,U200,$B$4:B200,B200))=1),MAX($W$3:W199)+1,"")</f>
        <v/>
      </c>
      <c r="X200" s="38" t="str">
        <f t="shared" si="30"/>
        <v/>
      </c>
      <c r="Y200" s="38" t="str">
        <f>IF(AND(A200="Аппарат",C200&lt;&gt;"",OR($S$5="(все)",B200=$S$5)),MAX($Y$3:Y199)+1,"")</f>
        <v/>
      </c>
      <c r="Z200" s="38" t="str">
        <f t="shared" si="31"/>
        <v/>
      </c>
      <c r="AA200" s="38" t="str">
        <f>IF(AND(A200="Модуль",C200&lt;&gt;"",OR($S$6="(все)",B200=$S$6)),MAX($AA$3:AA199)+1,"")</f>
        <v/>
      </c>
      <c r="AB200" s="38" t="str">
        <f t="shared" si="32"/>
        <v/>
      </c>
      <c r="AC200" s="38" t="str">
        <f>IF(OR(B200="",COUNTIF($B$4:B200,B200)&gt;1),"",MAX($AC$3:AC199)+1)</f>
        <v/>
      </c>
      <c r="AD200" s="38" t="str">
        <f t="shared" si="33"/>
        <v/>
      </c>
      <c r="AE200" s="38" t="str">
        <f t="shared" si="34"/>
        <v/>
      </c>
      <c r="AF200" s="38" t="str">
        <f t="shared" si="35"/>
        <v/>
      </c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38" t="str">
        <f>IF(OR(A201="Автомат",A201="Дифавтомат"),IF(W201="","",COUNTIFS(Однолинейка!$H$3:$H$3000,U201,Однолинейка!$A$3:$A$3000,Щит_спец)),IF(A201="Аппарат",IF(C201="","",COUNTIFS(Однолинейка!$I$3:$I$3000,C201,Однолинейка!$A$3:$A$3000,Щит_спец)+COUNTIFS(Однолинейка!$J$3:$J$3000,C201,Однолинейка!$A$3:$A$3000,Щит_спец)+COUNTIFS(Однолинейка!$K$3:$K$3000,C201,Однолинейка!$A$3:$A$3000,Щит_спец)),IF(A201="Модуль",IF(C201="","",COUNTIFS(Однолинейка!$AW$3:$AW$3000,"?*",Однолинейка!$AI$3:$AI$3000,C201,Однолинейка!$A$3:$A$3000,Щит_спец)),IF(A201="Клемма",IF(C201="","",IF(C201=$S$7,SUMIFS(Однолинейка!$BW$3:$BW$3000,Однолинейка!$A$3:$A$3000,Щит_спец),IF(C201=$S$8,SUMIFS(Однолинейка!$BX$3:$BX$3000,Однолинейка!$A$3:$A$3000,Щит_спец),""))),""))))</f>
        <v/>
      </c>
      <c r="O201" s="74"/>
      <c r="P201" s="38" t="str">
        <f t="shared" si="27"/>
        <v/>
      </c>
      <c r="U201" s="38" t="str">
        <f t="shared" si="28"/>
        <v/>
      </c>
      <c r="V201" s="38" t="str">
        <f t="shared" si="29"/>
        <v/>
      </c>
      <c r="W201" s="38" t="str">
        <f>IF(AND(U201&lt;&gt;"",OR($S$4="(все)",B201=$S$4),IF($S$4="(все)",COUNTIF($U$4:U201,U201),COUNTIFS($U$4:U201,U201,$B$4:B201,B201))=1),MAX($W$3:W200)+1,"")</f>
        <v/>
      </c>
      <c r="X201" s="38" t="str">
        <f t="shared" si="30"/>
        <v/>
      </c>
      <c r="Y201" s="38" t="str">
        <f>IF(AND(A201="Аппарат",C201&lt;&gt;"",OR($S$5="(все)",B201=$S$5)),MAX($Y$3:Y200)+1,"")</f>
        <v/>
      </c>
      <c r="Z201" s="38" t="str">
        <f t="shared" si="31"/>
        <v/>
      </c>
      <c r="AA201" s="38" t="str">
        <f>IF(AND(A201="Модуль",C201&lt;&gt;"",OR($S$6="(все)",B201=$S$6)),MAX($AA$3:AA200)+1,"")</f>
        <v/>
      </c>
      <c r="AB201" s="38" t="str">
        <f t="shared" si="32"/>
        <v/>
      </c>
      <c r="AC201" s="38" t="str">
        <f>IF(OR(B201="",COUNTIF($B$4:B201,B201)&gt;1),"",MAX($AC$3:AC200)+1)</f>
        <v/>
      </c>
      <c r="AD201" s="38" t="str">
        <f t="shared" si="33"/>
        <v/>
      </c>
      <c r="AE201" s="38" t="str">
        <f t="shared" si="34"/>
        <v/>
      </c>
      <c r="AF201" s="38" t="str">
        <f t="shared" si="35"/>
        <v/>
      </c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38" t="str">
        <f>IF(OR(A202="Автомат",A202="Дифавтомат"),IF(W202="","",COUNTIFS(Однолинейка!$H$3:$H$3000,U202,Однолинейка!$A$3:$A$3000,Щит_спец)),IF(A202="Аппарат",IF(C202="","",COUNTIFS(Однолинейка!$I$3:$I$3000,C202,Однолинейка!$A$3:$A$3000,Щит_спец)+COUNTIFS(Однолинейка!$J$3:$J$3000,C202,Однолинейка!$A$3:$A$3000,Щит_спец)+COUNTIFS(Однолинейка!$K$3:$K$3000,C202,Однолинейка!$A$3:$A$3000,Щит_спец)),IF(A202="Модуль",IF(C202="","",COUNTIFS(Однолинейка!$AW$3:$AW$3000,"?*",Однолинейка!$AI$3:$AI$3000,C202,Однолинейка!$A$3:$A$3000,Щит_спец)),IF(A202="Клемма",IF(C202="","",IF(C202=$S$7,SUMIFS(Однолинейка!$BW$3:$BW$3000,Однолинейка!$A$3:$A$3000,Щит_спец),IF(C202=$S$8,SUMIFS(Однолинейка!$BX$3:$BX$3000,Однолинейка!$A$3:$A$3000,Щит_спец),""))),""))))</f>
        <v/>
      </c>
      <c r="O202" s="74"/>
      <c r="P202" s="38" t="str">
        <f t="shared" si="27"/>
        <v/>
      </c>
      <c r="U202" s="38" t="str">
        <f t="shared" si="28"/>
        <v/>
      </c>
      <c r="V202" s="38" t="str">
        <f t="shared" si="29"/>
        <v/>
      </c>
      <c r="W202" s="38" t="str">
        <f>IF(AND(U202&lt;&gt;"",OR($S$4="(все)",B202=$S$4),IF($S$4="(все)",COUNTIF($U$4:U202,U202),COUNTIFS($U$4:U202,U202,$B$4:B202,B202))=1),MAX($W$3:W201)+1,"")</f>
        <v/>
      </c>
      <c r="X202" s="38" t="str">
        <f t="shared" si="30"/>
        <v/>
      </c>
      <c r="Y202" s="38" t="str">
        <f>IF(AND(A202="Аппарат",C202&lt;&gt;"",OR($S$5="(все)",B202=$S$5)),MAX($Y$3:Y201)+1,"")</f>
        <v/>
      </c>
      <c r="Z202" s="38" t="str">
        <f t="shared" si="31"/>
        <v/>
      </c>
      <c r="AA202" s="38" t="str">
        <f>IF(AND(A202="Модуль",C202&lt;&gt;"",OR($S$6="(все)",B202=$S$6)),MAX($AA$3:AA201)+1,"")</f>
        <v/>
      </c>
      <c r="AB202" s="38" t="str">
        <f t="shared" si="32"/>
        <v/>
      </c>
      <c r="AC202" s="38" t="str">
        <f>IF(OR(B202="",COUNTIF($B$4:B202,B202)&gt;1),"",MAX($AC$3:AC201)+1)</f>
        <v/>
      </c>
      <c r="AD202" s="38" t="str">
        <f t="shared" si="33"/>
        <v/>
      </c>
      <c r="AE202" s="38" t="str">
        <f t="shared" si="34"/>
        <v/>
      </c>
      <c r="AF202" s="38" t="str">
        <f t="shared" si="35"/>
        <v/>
      </c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38" t="str">
        <f>IF(OR(A203="Автомат",A203="Дифавтомат"),IF(W203="","",COUNTIFS(Однолинейка!$H$3:$H$3000,U203,Однолинейка!$A$3:$A$3000,Щит_спец)),IF(A203="Аппарат",IF(C203="","",COUNTIFS(Однолинейка!$I$3:$I$3000,C203,Однолинейка!$A$3:$A$3000,Щит_спец)+COUNTIFS(Однолинейка!$J$3:$J$3000,C203,Однолинейка!$A$3:$A$3000,Щит_спец)+COUNTIFS(Однолинейка!$K$3:$K$3000,C203,Однолинейка!$A$3:$A$3000,Щит_спец)),IF(A203="Модуль",IF(C203="","",COUNTIFS(Однолинейка!$AW$3:$AW$3000,"?*",Однолинейка!$AI$3:$AI$3000,C203,Однолинейка!$A$3:$A$3000,Щит_спец)),IF(A203="Клемма",IF(C203="","",IF(C203=$S$7,SUMIFS(Однолинейка!$BW$3:$BW$3000,Однолинейка!$A$3:$A$3000,Щит_спец),IF(C203=$S$8,SUMIFS(Однолинейка!$BX$3:$BX$3000,Однолинейка!$A$3:$A$3000,Щит_спец),""))),""))))</f>
        <v/>
      </c>
      <c r="O203" s="74"/>
      <c r="P203" s="38" t="str">
        <f t="shared" si="27"/>
        <v/>
      </c>
      <c r="U203" s="38" t="str">
        <f t="shared" si="28"/>
        <v/>
      </c>
      <c r="V203" s="38" t="str">
        <f t="shared" si="29"/>
        <v/>
      </c>
      <c r="W203" s="38" t="str">
        <f>IF(AND(U203&lt;&gt;"",OR($S$4="(все)",B203=$S$4),IF($S$4="(все)",COUNTIF($U$4:U203,U203),COUNTIFS($U$4:U203,U203,$B$4:B203,B203))=1),MAX($W$3:W202)+1,"")</f>
        <v/>
      </c>
      <c r="X203" s="38" t="str">
        <f t="shared" si="30"/>
        <v/>
      </c>
      <c r="Y203" s="38" t="str">
        <f>IF(AND(A203="Аппарат",C203&lt;&gt;"",OR($S$5="(все)",B203=$S$5)),MAX($Y$3:Y202)+1,"")</f>
        <v/>
      </c>
      <c r="Z203" s="38" t="str">
        <f t="shared" si="31"/>
        <v/>
      </c>
      <c r="AA203" s="38" t="str">
        <f>IF(AND(A203="Модуль",C203&lt;&gt;"",OR($S$6="(все)",B203=$S$6)),MAX($AA$3:AA202)+1,"")</f>
        <v/>
      </c>
      <c r="AB203" s="38" t="str">
        <f t="shared" si="32"/>
        <v/>
      </c>
      <c r="AC203" s="38" t="str">
        <f>IF(OR(B203="",COUNTIF($B$4:B203,B203)&gt;1),"",MAX($AC$3:AC202)+1)</f>
        <v/>
      </c>
      <c r="AD203" s="38" t="str">
        <f t="shared" si="33"/>
        <v/>
      </c>
      <c r="AE203" s="38" t="str">
        <f t="shared" si="34"/>
        <v/>
      </c>
      <c r="AF203" s="38" t="str">
        <f t="shared" si="35"/>
        <v/>
      </c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38" t="str">
        <f>IF(OR(A204="Автомат",A204="Дифавтомат"),IF(W204="","",COUNTIFS(Однолинейка!$H$3:$H$3000,U204,Однолинейка!$A$3:$A$3000,Щит_спец)),IF(A204="Аппарат",IF(C204="","",COUNTIFS(Однолинейка!$I$3:$I$3000,C204,Однолинейка!$A$3:$A$3000,Щит_спец)+COUNTIFS(Однолинейка!$J$3:$J$3000,C204,Однолинейка!$A$3:$A$3000,Щит_спец)+COUNTIFS(Однолинейка!$K$3:$K$3000,C204,Однолинейка!$A$3:$A$3000,Щит_спец)),IF(A204="Модуль",IF(C204="","",COUNTIFS(Однолинейка!$AW$3:$AW$3000,"?*",Однолинейка!$AI$3:$AI$3000,C204,Однолинейка!$A$3:$A$3000,Щит_спец)),IF(A204="Клемма",IF(C204="","",IF(C204=$S$7,SUMIFS(Однолинейка!$BW$3:$BW$3000,Однолинейка!$A$3:$A$3000,Щит_спец),IF(C204=$S$8,SUMIFS(Однолинейка!$BX$3:$BX$3000,Однолинейка!$A$3:$A$3000,Щит_спец),""))),""))))</f>
        <v/>
      </c>
      <c r="O204" s="74"/>
      <c r="P204" s="38" t="str">
        <f t="shared" si="27"/>
        <v/>
      </c>
      <c r="U204" s="38" t="str">
        <f t="shared" si="28"/>
        <v/>
      </c>
      <c r="V204" s="38" t="str">
        <f t="shared" si="29"/>
        <v/>
      </c>
      <c r="W204" s="38" t="str">
        <f>IF(AND(U204&lt;&gt;"",OR($S$4="(все)",B204=$S$4),IF($S$4="(все)",COUNTIF($U$4:U204,U204),COUNTIFS($U$4:U204,U204,$B$4:B204,B204))=1),MAX($W$3:W203)+1,"")</f>
        <v/>
      </c>
      <c r="X204" s="38" t="str">
        <f t="shared" si="30"/>
        <v/>
      </c>
      <c r="Y204" s="38" t="str">
        <f>IF(AND(A204="Аппарат",C204&lt;&gt;"",OR($S$5="(все)",B204=$S$5)),MAX($Y$3:Y203)+1,"")</f>
        <v/>
      </c>
      <c r="Z204" s="38" t="str">
        <f t="shared" si="31"/>
        <v/>
      </c>
      <c r="AA204" s="38" t="str">
        <f>IF(AND(A204="Модуль",C204&lt;&gt;"",OR($S$6="(все)",B204=$S$6)),MAX($AA$3:AA203)+1,"")</f>
        <v/>
      </c>
      <c r="AB204" s="38" t="str">
        <f t="shared" si="32"/>
        <v/>
      </c>
      <c r="AC204" s="38" t="str">
        <f>IF(OR(B204="",COUNTIF($B$4:B204,B204)&gt;1),"",MAX($AC$3:AC203)+1)</f>
        <v/>
      </c>
      <c r="AD204" s="38" t="str">
        <f t="shared" si="33"/>
        <v/>
      </c>
      <c r="AE204" s="38" t="str">
        <f t="shared" si="34"/>
        <v/>
      </c>
      <c r="AF204" s="38" t="str">
        <f t="shared" si="35"/>
        <v/>
      </c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38" t="str">
        <f>IF(OR(A205="Автомат",A205="Дифавтомат"),IF(W205="","",COUNTIFS(Однолинейка!$H$3:$H$3000,U205,Однолинейка!$A$3:$A$3000,Щит_спец)),IF(A205="Аппарат",IF(C205="","",COUNTIFS(Однолинейка!$I$3:$I$3000,C205,Однолинейка!$A$3:$A$3000,Щит_спец)+COUNTIFS(Однолинейка!$J$3:$J$3000,C205,Однолинейка!$A$3:$A$3000,Щит_спец)+COUNTIFS(Однолинейка!$K$3:$K$3000,C205,Однолинейка!$A$3:$A$3000,Щит_спец)),IF(A205="Модуль",IF(C205="","",COUNTIFS(Однолинейка!$AW$3:$AW$3000,"?*",Однолинейка!$AI$3:$AI$3000,C205,Однолинейка!$A$3:$A$3000,Щит_спец)),IF(A205="Клемма",IF(C205="","",IF(C205=$S$7,SUMIFS(Однолинейка!$BW$3:$BW$3000,Однолинейка!$A$3:$A$3000,Щит_спец),IF(C205=$S$8,SUMIFS(Однолинейка!$BX$3:$BX$3000,Однолинейка!$A$3:$A$3000,Щит_спец),""))),""))))</f>
        <v/>
      </c>
      <c r="O205" s="74"/>
      <c r="P205" s="38" t="str">
        <f t="shared" si="27"/>
        <v/>
      </c>
      <c r="U205" s="38" t="str">
        <f t="shared" si="28"/>
        <v/>
      </c>
      <c r="V205" s="38" t="str">
        <f t="shared" si="29"/>
        <v/>
      </c>
      <c r="W205" s="38" t="str">
        <f>IF(AND(U205&lt;&gt;"",OR($S$4="(все)",B205=$S$4),IF($S$4="(все)",COUNTIF($U$4:U205,U205),COUNTIFS($U$4:U205,U205,$B$4:B205,B205))=1),MAX($W$3:W204)+1,"")</f>
        <v/>
      </c>
      <c r="X205" s="38" t="str">
        <f t="shared" si="30"/>
        <v/>
      </c>
      <c r="Y205" s="38" t="str">
        <f>IF(AND(A205="Аппарат",C205&lt;&gt;"",OR($S$5="(все)",B205=$S$5)),MAX($Y$3:Y204)+1,"")</f>
        <v/>
      </c>
      <c r="Z205" s="38" t="str">
        <f t="shared" si="31"/>
        <v/>
      </c>
      <c r="AA205" s="38" t="str">
        <f>IF(AND(A205="Модуль",C205&lt;&gt;"",OR($S$6="(все)",B205=$S$6)),MAX($AA$3:AA204)+1,"")</f>
        <v/>
      </c>
      <c r="AB205" s="38" t="str">
        <f t="shared" si="32"/>
        <v/>
      </c>
      <c r="AC205" s="38" t="str">
        <f>IF(OR(B205="",COUNTIF($B$4:B205,B205)&gt;1),"",MAX($AC$3:AC204)+1)</f>
        <v/>
      </c>
      <c r="AD205" s="38" t="str">
        <f t="shared" si="33"/>
        <v/>
      </c>
      <c r="AE205" s="38" t="str">
        <f t="shared" si="34"/>
        <v/>
      </c>
      <c r="AF205" s="38" t="str">
        <f t="shared" si="35"/>
        <v/>
      </c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38" t="str">
        <f>IF(OR(A206="Автомат",A206="Дифавтомат"),IF(W206="","",COUNTIFS(Однолинейка!$H$3:$H$3000,U206,Однолинейка!$A$3:$A$3000,Щит_спец)),IF(A206="Аппарат",IF(C206="","",COUNTIFS(Однолинейка!$I$3:$I$3000,C206,Однолинейка!$A$3:$A$3000,Щит_спец)+COUNTIFS(Однолинейка!$J$3:$J$3000,C206,Однолинейка!$A$3:$A$3000,Щит_спец)+COUNTIFS(Однолинейка!$K$3:$K$3000,C206,Однолинейка!$A$3:$A$3000,Щит_спец)),IF(A206="Модуль",IF(C206="","",COUNTIFS(Однолинейка!$AW$3:$AW$3000,"?*",Однолинейка!$AI$3:$AI$3000,C206,Однолинейка!$A$3:$A$3000,Щит_спец)),IF(A206="Клемма",IF(C206="","",IF(C206=$S$7,SUMIFS(Однолинейка!$BW$3:$BW$3000,Однолинейка!$A$3:$A$3000,Щит_спец),IF(C206=$S$8,SUMIFS(Однолинейка!$BX$3:$BX$3000,Однолинейка!$A$3:$A$3000,Щит_спец),""))),""))))</f>
        <v/>
      </c>
      <c r="O206" s="74"/>
      <c r="P206" s="38" t="str">
        <f t="shared" si="27"/>
        <v/>
      </c>
      <c r="U206" s="38" t="str">
        <f t="shared" si="28"/>
        <v/>
      </c>
      <c r="V206" s="38" t="str">
        <f t="shared" si="29"/>
        <v/>
      </c>
      <c r="W206" s="38" t="str">
        <f>IF(AND(U206&lt;&gt;"",OR($S$4="(все)",B206=$S$4),IF($S$4="(все)",COUNTIF($U$4:U206,U206),COUNTIFS($U$4:U206,U206,$B$4:B206,B206))=1),MAX($W$3:W205)+1,"")</f>
        <v/>
      </c>
      <c r="X206" s="38" t="str">
        <f t="shared" si="30"/>
        <v/>
      </c>
      <c r="Y206" s="38" t="str">
        <f>IF(AND(A206="Аппарат",C206&lt;&gt;"",OR($S$5="(все)",B206=$S$5)),MAX($Y$3:Y205)+1,"")</f>
        <v/>
      </c>
      <c r="Z206" s="38" t="str">
        <f t="shared" si="31"/>
        <v/>
      </c>
      <c r="AA206" s="38" t="str">
        <f>IF(AND(A206="Модуль",C206&lt;&gt;"",OR($S$6="(все)",B206=$S$6)),MAX($AA$3:AA205)+1,"")</f>
        <v/>
      </c>
      <c r="AB206" s="38" t="str">
        <f t="shared" si="32"/>
        <v/>
      </c>
      <c r="AC206" s="38" t="str">
        <f>IF(OR(B206="",COUNTIF($B$4:B206,B206)&gt;1),"",MAX($AC$3:AC205)+1)</f>
        <v/>
      </c>
      <c r="AD206" s="38" t="str">
        <f t="shared" si="33"/>
        <v/>
      </c>
      <c r="AE206" s="38" t="str">
        <f t="shared" si="34"/>
        <v/>
      </c>
      <c r="AF206" s="38" t="str">
        <f t="shared" si="35"/>
        <v/>
      </c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38" t="str">
        <f>IF(OR(A207="Автомат",A207="Дифавтомат"),IF(W207="","",COUNTIFS(Однолинейка!$H$3:$H$3000,U207,Однолинейка!$A$3:$A$3000,Щит_спец)),IF(A207="Аппарат",IF(C207="","",COUNTIFS(Однолинейка!$I$3:$I$3000,C207,Однолинейка!$A$3:$A$3000,Щит_спец)+COUNTIFS(Однолинейка!$J$3:$J$3000,C207,Однолинейка!$A$3:$A$3000,Щит_спец)+COUNTIFS(Однолинейка!$K$3:$K$3000,C207,Однолинейка!$A$3:$A$3000,Щит_спец)),IF(A207="Модуль",IF(C207="","",COUNTIFS(Однолинейка!$AW$3:$AW$3000,"?*",Однолинейка!$AI$3:$AI$3000,C207,Однолинейка!$A$3:$A$3000,Щит_спец)),IF(A207="Клемма",IF(C207="","",IF(C207=$S$7,SUMIFS(Однолинейка!$BW$3:$BW$3000,Однолинейка!$A$3:$A$3000,Щит_спец),IF(C207=$S$8,SUMIFS(Однолинейка!$BX$3:$BX$3000,Однолинейка!$A$3:$A$3000,Щит_спец),""))),""))))</f>
        <v/>
      </c>
      <c r="O207" s="74"/>
      <c r="P207" s="38" t="str">
        <f t="shared" si="27"/>
        <v/>
      </c>
      <c r="U207" s="38" t="str">
        <f t="shared" si="28"/>
        <v/>
      </c>
      <c r="V207" s="38" t="str">
        <f t="shared" si="29"/>
        <v/>
      </c>
      <c r="W207" s="38" t="str">
        <f>IF(AND(U207&lt;&gt;"",OR($S$4="(все)",B207=$S$4),IF($S$4="(все)",COUNTIF($U$4:U207,U207),COUNTIFS($U$4:U207,U207,$B$4:B207,B207))=1),MAX($W$3:W206)+1,"")</f>
        <v/>
      </c>
      <c r="X207" s="38" t="str">
        <f t="shared" si="30"/>
        <v/>
      </c>
      <c r="Y207" s="38" t="str">
        <f>IF(AND(A207="Аппарат",C207&lt;&gt;"",OR($S$5="(все)",B207=$S$5)),MAX($Y$3:Y206)+1,"")</f>
        <v/>
      </c>
      <c r="Z207" s="38" t="str">
        <f t="shared" si="31"/>
        <v/>
      </c>
      <c r="AA207" s="38" t="str">
        <f>IF(AND(A207="Модуль",C207&lt;&gt;"",OR($S$6="(все)",B207=$S$6)),MAX($AA$3:AA206)+1,"")</f>
        <v/>
      </c>
      <c r="AB207" s="38" t="str">
        <f t="shared" si="32"/>
        <v/>
      </c>
      <c r="AC207" s="38" t="str">
        <f>IF(OR(B207="",COUNTIF($B$4:B207,B207)&gt;1),"",MAX($AC$3:AC206)+1)</f>
        <v/>
      </c>
      <c r="AD207" s="38" t="str">
        <f t="shared" si="33"/>
        <v/>
      </c>
      <c r="AE207" s="38" t="str">
        <f t="shared" si="34"/>
        <v/>
      </c>
      <c r="AF207" s="38" t="str">
        <f t="shared" si="35"/>
        <v/>
      </c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38" t="str">
        <f>IF(OR(A208="Автомат",A208="Дифавтомат"),IF(W208="","",COUNTIFS(Однолинейка!$H$3:$H$3000,U208,Однолинейка!$A$3:$A$3000,Щит_спец)),IF(A208="Аппарат",IF(C208="","",COUNTIFS(Однолинейка!$I$3:$I$3000,C208,Однолинейка!$A$3:$A$3000,Щит_спец)+COUNTIFS(Однолинейка!$J$3:$J$3000,C208,Однолинейка!$A$3:$A$3000,Щит_спец)+COUNTIFS(Однолинейка!$K$3:$K$3000,C208,Однолинейка!$A$3:$A$3000,Щит_спец)),IF(A208="Модуль",IF(C208="","",COUNTIFS(Однолинейка!$AW$3:$AW$3000,"?*",Однолинейка!$AI$3:$AI$3000,C208,Однолинейка!$A$3:$A$3000,Щит_спец)),IF(A208="Клемма",IF(C208="","",IF(C208=$S$7,SUMIFS(Однолинейка!$BW$3:$BW$3000,Однолинейка!$A$3:$A$3000,Щит_спец),IF(C208=$S$8,SUMIFS(Однолинейка!$BX$3:$BX$3000,Однолинейка!$A$3:$A$3000,Щит_спец),""))),""))))</f>
        <v/>
      </c>
      <c r="O208" s="74"/>
      <c r="P208" s="38" t="str">
        <f t="shared" si="27"/>
        <v/>
      </c>
      <c r="U208" s="38" t="str">
        <f t="shared" si="28"/>
        <v/>
      </c>
      <c r="V208" s="38" t="str">
        <f t="shared" si="29"/>
        <v/>
      </c>
      <c r="W208" s="38" t="str">
        <f>IF(AND(U208&lt;&gt;"",OR($S$4="(все)",B208=$S$4),IF($S$4="(все)",COUNTIF($U$4:U208,U208),COUNTIFS($U$4:U208,U208,$B$4:B208,B208))=1),MAX($W$3:W207)+1,"")</f>
        <v/>
      </c>
      <c r="X208" s="38" t="str">
        <f t="shared" si="30"/>
        <v/>
      </c>
      <c r="Y208" s="38" t="str">
        <f>IF(AND(A208="Аппарат",C208&lt;&gt;"",OR($S$5="(все)",B208=$S$5)),MAX($Y$3:Y207)+1,"")</f>
        <v/>
      </c>
      <c r="Z208" s="38" t="str">
        <f t="shared" si="31"/>
        <v/>
      </c>
      <c r="AA208" s="38" t="str">
        <f>IF(AND(A208="Модуль",C208&lt;&gt;"",OR($S$6="(все)",B208=$S$6)),MAX($AA$3:AA207)+1,"")</f>
        <v/>
      </c>
      <c r="AB208" s="38" t="str">
        <f t="shared" si="32"/>
        <v/>
      </c>
      <c r="AC208" s="38" t="str">
        <f>IF(OR(B208="",COUNTIF($B$4:B208,B208)&gt;1),"",MAX($AC$3:AC207)+1)</f>
        <v/>
      </c>
      <c r="AD208" s="38" t="str">
        <f t="shared" si="33"/>
        <v/>
      </c>
      <c r="AE208" s="38" t="str">
        <f t="shared" si="34"/>
        <v/>
      </c>
      <c r="AF208" s="38" t="str">
        <f t="shared" si="35"/>
        <v/>
      </c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38" t="str">
        <f>IF(OR(A209="Автомат",A209="Дифавтомат"),IF(W209="","",COUNTIFS(Однолинейка!$H$3:$H$3000,U209,Однолинейка!$A$3:$A$3000,Щит_спец)),IF(A209="Аппарат",IF(C209="","",COUNTIFS(Однолинейка!$I$3:$I$3000,C209,Однолинейка!$A$3:$A$3000,Щит_спец)+COUNTIFS(Однолинейка!$J$3:$J$3000,C209,Однолинейка!$A$3:$A$3000,Щит_спец)+COUNTIFS(Однолинейка!$K$3:$K$3000,C209,Однолинейка!$A$3:$A$3000,Щит_спец)),IF(A209="Модуль",IF(C209="","",COUNTIFS(Однолинейка!$AW$3:$AW$3000,"?*",Однолинейка!$AI$3:$AI$3000,C209,Однолинейка!$A$3:$A$3000,Щит_спец)),IF(A209="Клемма",IF(C209="","",IF(C209=$S$7,SUMIFS(Однолинейка!$BW$3:$BW$3000,Однолинейка!$A$3:$A$3000,Щит_спец),IF(C209=$S$8,SUMIFS(Однолинейка!$BX$3:$BX$3000,Однолинейка!$A$3:$A$3000,Щит_спец),""))),""))))</f>
        <v/>
      </c>
      <c r="O209" s="74"/>
      <c r="P209" s="38" t="str">
        <f t="shared" si="27"/>
        <v/>
      </c>
      <c r="U209" s="38" t="str">
        <f t="shared" si="28"/>
        <v/>
      </c>
      <c r="V209" s="38" t="str">
        <f t="shared" si="29"/>
        <v/>
      </c>
      <c r="W209" s="38" t="str">
        <f>IF(AND(U209&lt;&gt;"",OR($S$4="(все)",B209=$S$4),IF($S$4="(все)",COUNTIF($U$4:U209,U209),COUNTIFS($U$4:U209,U209,$B$4:B209,B209))=1),MAX($W$3:W208)+1,"")</f>
        <v/>
      </c>
      <c r="X209" s="38" t="str">
        <f t="shared" si="30"/>
        <v/>
      </c>
      <c r="Y209" s="38" t="str">
        <f>IF(AND(A209="Аппарат",C209&lt;&gt;"",OR($S$5="(все)",B209=$S$5)),MAX($Y$3:Y208)+1,"")</f>
        <v/>
      </c>
      <c r="Z209" s="38" t="str">
        <f t="shared" si="31"/>
        <v/>
      </c>
      <c r="AA209" s="38" t="str">
        <f>IF(AND(A209="Модуль",C209&lt;&gt;"",OR($S$6="(все)",B209=$S$6)),MAX($AA$3:AA208)+1,"")</f>
        <v/>
      </c>
      <c r="AB209" s="38" t="str">
        <f t="shared" si="32"/>
        <v/>
      </c>
      <c r="AC209" s="38" t="str">
        <f>IF(OR(B209="",COUNTIF($B$4:B209,B209)&gt;1),"",MAX($AC$3:AC208)+1)</f>
        <v/>
      </c>
      <c r="AD209" s="38" t="str">
        <f t="shared" si="33"/>
        <v/>
      </c>
      <c r="AE209" s="38" t="str">
        <f t="shared" si="34"/>
        <v/>
      </c>
      <c r="AF209" s="38" t="str">
        <f t="shared" si="35"/>
        <v/>
      </c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38" t="str">
        <f>IF(OR(A210="Автомат",A210="Дифавтомат"),IF(W210="","",COUNTIFS(Однолинейка!$H$3:$H$3000,U210,Однолинейка!$A$3:$A$3000,Щит_спец)),IF(A210="Аппарат",IF(C210="","",COUNTIFS(Однолинейка!$I$3:$I$3000,C210,Однолинейка!$A$3:$A$3000,Щит_спец)+COUNTIFS(Однолинейка!$J$3:$J$3000,C210,Однолинейка!$A$3:$A$3000,Щит_спец)+COUNTIFS(Однолинейка!$K$3:$K$3000,C210,Однолинейка!$A$3:$A$3000,Щит_спец)),IF(A210="Модуль",IF(C210="","",COUNTIFS(Однолинейка!$AW$3:$AW$3000,"?*",Однолинейка!$AI$3:$AI$3000,C210,Однолинейка!$A$3:$A$3000,Щит_спец)),IF(A210="Клемма",IF(C210="","",IF(C210=$S$7,SUMIFS(Однолинейка!$BW$3:$BW$3000,Однолинейка!$A$3:$A$3000,Щит_спец),IF(C210=$S$8,SUMIFS(Однолинейка!$BX$3:$BX$3000,Однолинейка!$A$3:$A$3000,Щит_спец),""))),""))))</f>
        <v/>
      </c>
      <c r="O210" s="74"/>
      <c r="P210" s="38" t="str">
        <f t="shared" si="27"/>
        <v/>
      </c>
      <c r="U210" s="38" t="str">
        <f t="shared" si="28"/>
        <v/>
      </c>
      <c r="V210" s="38" t="str">
        <f t="shared" si="29"/>
        <v/>
      </c>
      <c r="W210" s="38" t="str">
        <f>IF(AND(U210&lt;&gt;"",OR($S$4="(все)",B210=$S$4),IF($S$4="(все)",COUNTIF($U$4:U210,U210),COUNTIFS($U$4:U210,U210,$B$4:B210,B210))=1),MAX($W$3:W209)+1,"")</f>
        <v/>
      </c>
      <c r="X210" s="38" t="str">
        <f t="shared" si="30"/>
        <v/>
      </c>
      <c r="Y210" s="38" t="str">
        <f>IF(AND(A210="Аппарат",C210&lt;&gt;"",OR($S$5="(все)",B210=$S$5)),MAX($Y$3:Y209)+1,"")</f>
        <v/>
      </c>
      <c r="Z210" s="38" t="str">
        <f t="shared" si="31"/>
        <v/>
      </c>
      <c r="AA210" s="38" t="str">
        <f>IF(AND(A210="Модуль",C210&lt;&gt;"",OR($S$6="(все)",B210=$S$6)),MAX($AA$3:AA209)+1,"")</f>
        <v/>
      </c>
      <c r="AB210" s="38" t="str">
        <f t="shared" si="32"/>
        <v/>
      </c>
      <c r="AC210" s="38" t="str">
        <f>IF(OR(B210="",COUNTIF($B$4:B210,B210)&gt;1),"",MAX($AC$3:AC209)+1)</f>
        <v/>
      </c>
      <c r="AD210" s="38" t="str">
        <f t="shared" si="33"/>
        <v/>
      </c>
      <c r="AE210" s="38" t="str">
        <f t="shared" si="34"/>
        <v/>
      </c>
      <c r="AF210" s="38" t="str">
        <f t="shared" si="35"/>
        <v/>
      </c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38" t="str">
        <f>IF(OR(A211="Автомат",A211="Дифавтомат"),IF(W211="","",COUNTIFS(Однолинейка!$H$3:$H$3000,U211,Однолинейка!$A$3:$A$3000,Щит_спец)),IF(A211="Аппарат",IF(C211="","",COUNTIFS(Однолинейка!$I$3:$I$3000,C211,Однолинейка!$A$3:$A$3000,Щит_спец)+COUNTIFS(Однолинейка!$J$3:$J$3000,C211,Однолинейка!$A$3:$A$3000,Щит_спец)+COUNTIFS(Однолинейка!$K$3:$K$3000,C211,Однолинейка!$A$3:$A$3000,Щит_спец)),IF(A211="Модуль",IF(C211="","",COUNTIFS(Однолинейка!$AW$3:$AW$3000,"?*",Однолинейка!$AI$3:$AI$3000,C211,Однолинейка!$A$3:$A$3000,Щит_спец)),IF(A211="Клемма",IF(C211="","",IF(C211=$S$7,SUMIFS(Однолинейка!$BW$3:$BW$3000,Однолинейка!$A$3:$A$3000,Щит_спец),IF(C211=$S$8,SUMIFS(Однолинейка!$BX$3:$BX$3000,Однолинейка!$A$3:$A$3000,Щит_спец),""))),""))))</f>
        <v/>
      </c>
      <c r="O211" s="74"/>
      <c r="P211" s="38" t="str">
        <f t="shared" si="27"/>
        <v/>
      </c>
      <c r="U211" s="38" t="str">
        <f t="shared" si="28"/>
        <v/>
      </c>
      <c r="V211" s="38" t="str">
        <f t="shared" si="29"/>
        <v/>
      </c>
      <c r="W211" s="38" t="str">
        <f>IF(AND(U211&lt;&gt;"",OR($S$4="(все)",B211=$S$4),IF($S$4="(все)",COUNTIF($U$4:U211,U211),COUNTIFS($U$4:U211,U211,$B$4:B211,B211))=1),MAX($W$3:W210)+1,"")</f>
        <v/>
      </c>
      <c r="X211" s="38" t="str">
        <f t="shared" si="30"/>
        <v/>
      </c>
      <c r="Y211" s="38" t="str">
        <f>IF(AND(A211="Аппарат",C211&lt;&gt;"",OR($S$5="(все)",B211=$S$5)),MAX($Y$3:Y210)+1,"")</f>
        <v/>
      </c>
      <c r="Z211" s="38" t="str">
        <f t="shared" si="31"/>
        <v/>
      </c>
      <c r="AA211" s="38" t="str">
        <f>IF(AND(A211="Модуль",C211&lt;&gt;"",OR($S$6="(все)",B211=$S$6)),MAX($AA$3:AA210)+1,"")</f>
        <v/>
      </c>
      <c r="AB211" s="38" t="str">
        <f t="shared" si="32"/>
        <v/>
      </c>
      <c r="AC211" s="38" t="str">
        <f>IF(OR(B211="",COUNTIF($B$4:B211,B211)&gt;1),"",MAX($AC$3:AC210)+1)</f>
        <v/>
      </c>
      <c r="AD211" s="38" t="str">
        <f t="shared" si="33"/>
        <v/>
      </c>
      <c r="AE211" s="38" t="str">
        <f t="shared" si="34"/>
        <v/>
      </c>
      <c r="AF211" s="38" t="str">
        <f t="shared" si="35"/>
        <v/>
      </c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38" t="str">
        <f>IF(OR(A212="Автомат",A212="Дифавтомат"),IF(W212="","",COUNTIFS(Однолинейка!$H$3:$H$3000,U212,Однолинейка!$A$3:$A$3000,Щит_спец)),IF(A212="Аппарат",IF(C212="","",COUNTIFS(Однолинейка!$I$3:$I$3000,C212,Однолинейка!$A$3:$A$3000,Щит_спец)+COUNTIFS(Однолинейка!$J$3:$J$3000,C212,Однолинейка!$A$3:$A$3000,Щит_спец)+COUNTIFS(Однолинейка!$K$3:$K$3000,C212,Однолинейка!$A$3:$A$3000,Щит_спец)),IF(A212="Модуль",IF(C212="","",COUNTIFS(Однолинейка!$AW$3:$AW$3000,"?*",Однолинейка!$AI$3:$AI$3000,C212,Однолинейка!$A$3:$A$3000,Щит_спец)),IF(A212="Клемма",IF(C212="","",IF(C212=$S$7,SUMIFS(Однолинейка!$BW$3:$BW$3000,Однолинейка!$A$3:$A$3000,Щит_спец),IF(C212=$S$8,SUMIFS(Однолинейка!$BX$3:$BX$3000,Однолинейка!$A$3:$A$3000,Щит_спец),""))),""))))</f>
        <v/>
      </c>
      <c r="O212" s="74"/>
      <c r="P212" s="38" t="str">
        <f t="shared" si="27"/>
        <v/>
      </c>
      <c r="U212" s="38" t="str">
        <f t="shared" si="28"/>
        <v/>
      </c>
      <c r="V212" s="38" t="str">
        <f t="shared" si="29"/>
        <v/>
      </c>
      <c r="W212" s="38" t="str">
        <f>IF(AND(U212&lt;&gt;"",OR($S$4="(все)",B212=$S$4),IF($S$4="(все)",COUNTIF($U$4:U212,U212),COUNTIFS($U$4:U212,U212,$B$4:B212,B212))=1),MAX($W$3:W211)+1,"")</f>
        <v/>
      </c>
      <c r="X212" s="38" t="str">
        <f t="shared" si="30"/>
        <v/>
      </c>
      <c r="Y212" s="38" t="str">
        <f>IF(AND(A212="Аппарат",C212&lt;&gt;"",OR($S$5="(все)",B212=$S$5)),MAX($Y$3:Y211)+1,"")</f>
        <v/>
      </c>
      <c r="Z212" s="38" t="str">
        <f t="shared" si="31"/>
        <v/>
      </c>
      <c r="AA212" s="38" t="str">
        <f>IF(AND(A212="Модуль",C212&lt;&gt;"",OR($S$6="(все)",B212=$S$6)),MAX($AA$3:AA211)+1,"")</f>
        <v/>
      </c>
      <c r="AB212" s="38" t="str">
        <f t="shared" si="32"/>
        <v/>
      </c>
      <c r="AC212" s="38" t="str">
        <f>IF(OR(B212="",COUNTIF($B$4:B212,B212)&gt;1),"",MAX($AC$3:AC211)+1)</f>
        <v/>
      </c>
      <c r="AD212" s="38" t="str">
        <f t="shared" si="33"/>
        <v/>
      </c>
      <c r="AE212" s="38" t="str">
        <f t="shared" si="34"/>
        <v/>
      </c>
      <c r="AF212" s="38" t="str">
        <f t="shared" si="35"/>
        <v/>
      </c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38" t="str">
        <f>IF(OR(A213="Автомат",A213="Дифавтомат"),IF(W213="","",COUNTIFS(Однолинейка!$H$3:$H$3000,U213,Однолинейка!$A$3:$A$3000,Щит_спец)),IF(A213="Аппарат",IF(C213="","",COUNTIFS(Однолинейка!$I$3:$I$3000,C213,Однолинейка!$A$3:$A$3000,Щит_спец)+COUNTIFS(Однолинейка!$J$3:$J$3000,C213,Однолинейка!$A$3:$A$3000,Щит_спец)+COUNTIFS(Однолинейка!$K$3:$K$3000,C213,Однолинейка!$A$3:$A$3000,Щит_спец)),IF(A213="Модуль",IF(C213="","",COUNTIFS(Однолинейка!$AW$3:$AW$3000,"?*",Однолинейка!$AI$3:$AI$3000,C213,Однолинейка!$A$3:$A$3000,Щит_спец)),IF(A213="Клемма",IF(C213="","",IF(C213=$S$7,SUMIFS(Однолинейка!$BW$3:$BW$3000,Однолинейка!$A$3:$A$3000,Щит_спец),IF(C213=$S$8,SUMIFS(Однолинейка!$BX$3:$BX$3000,Однолинейка!$A$3:$A$3000,Щит_спец),""))),""))))</f>
        <v/>
      </c>
      <c r="O213" s="74"/>
      <c r="P213" s="38" t="str">
        <f t="shared" si="27"/>
        <v/>
      </c>
      <c r="U213" s="38" t="str">
        <f t="shared" si="28"/>
        <v/>
      </c>
      <c r="V213" s="38" t="str">
        <f t="shared" si="29"/>
        <v/>
      </c>
      <c r="W213" s="38" t="str">
        <f>IF(AND(U213&lt;&gt;"",OR($S$4="(все)",B213=$S$4),IF($S$4="(все)",COUNTIF($U$4:U213,U213),COUNTIFS($U$4:U213,U213,$B$4:B213,B213))=1),MAX($W$3:W212)+1,"")</f>
        <v/>
      </c>
      <c r="X213" s="38" t="str">
        <f t="shared" si="30"/>
        <v/>
      </c>
      <c r="Y213" s="38" t="str">
        <f>IF(AND(A213="Аппарат",C213&lt;&gt;"",OR($S$5="(все)",B213=$S$5)),MAX($Y$3:Y212)+1,"")</f>
        <v/>
      </c>
      <c r="Z213" s="38" t="str">
        <f t="shared" si="31"/>
        <v/>
      </c>
      <c r="AA213" s="38" t="str">
        <f>IF(AND(A213="Модуль",C213&lt;&gt;"",OR($S$6="(все)",B213=$S$6)),MAX($AA$3:AA212)+1,"")</f>
        <v/>
      </c>
      <c r="AB213" s="38" t="str">
        <f t="shared" si="32"/>
        <v/>
      </c>
      <c r="AC213" s="38" t="str">
        <f>IF(OR(B213="",COUNTIF($B$4:B213,B213)&gt;1),"",MAX($AC$3:AC212)+1)</f>
        <v/>
      </c>
      <c r="AD213" s="38" t="str">
        <f t="shared" si="33"/>
        <v/>
      </c>
      <c r="AE213" s="38" t="str">
        <f t="shared" si="34"/>
        <v/>
      </c>
      <c r="AF213" s="38" t="str">
        <f t="shared" si="35"/>
        <v/>
      </c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38" t="str">
        <f>IF(OR(A214="Автомат",A214="Дифавтомат"),IF(W214="","",COUNTIFS(Однолинейка!$H$3:$H$3000,U214,Однолинейка!$A$3:$A$3000,Щит_спец)),IF(A214="Аппарат",IF(C214="","",COUNTIFS(Однолинейка!$I$3:$I$3000,C214,Однолинейка!$A$3:$A$3000,Щит_спец)+COUNTIFS(Однолинейка!$J$3:$J$3000,C214,Однолинейка!$A$3:$A$3000,Щит_спец)+COUNTIFS(Однолинейка!$K$3:$K$3000,C214,Однолинейка!$A$3:$A$3000,Щит_спец)),IF(A214="Модуль",IF(C214="","",COUNTIFS(Однолинейка!$AW$3:$AW$3000,"?*",Однолинейка!$AI$3:$AI$3000,C214,Однолинейка!$A$3:$A$3000,Щит_спец)),IF(A214="Клемма",IF(C214="","",IF(C214=$S$7,SUMIFS(Однолинейка!$BW$3:$BW$3000,Однолинейка!$A$3:$A$3000,Щит_спец),IF(C214=$S$8,SUMIFS(Однолинейка!$BX$3:$BX$3000,Однолинейка!$A$3:$A$3000,Щит_спец),""))),""))))</f>
        <v/>
      </c>
      <c r="O214" s="74"/>
      <c r="P214" s="38" t="str">
        <f t="shared" si="27"/>
        <v/>
      </c>
      <c r="U214" s="38" t="str">
        <f t="shared" si="28"/>
        <v/>
      </c>
      <c r="V214" s="38" t="str">
        <f t="shared" si="29"/>
        <v/>
      </c>
      <c r="W214" s="38" t="str">
        <f>IF(AND(U214&lt;&gt;"",OR($S$4="(все)",B214=$S$4),IF($S$4="(все)",COUNTIF($U$4:U214,U214),COUNTIFS($U$4:U214,U214,$B$4:B214,B214))=1),MAX($W$3:W213)+1,"")</f>
        <v/>
      </c>
      <c r="X214" s="38" t="str">
        <f t="shared" si="30"/>
        <v/>
      </c>
      <c r="Y214" s="38" t="str">
        <f>IF(AND(A214="Аппарат",C214&lt;&gt;"",OR($S$5="(все)",B214=$S$5)),MAX($Y$3:Y213)+1,"")</f>
        <v/>
      </c>
      <c r="Z214" s="38" t="str">
        <f t="shared" si="31"/>
        <v/>
      </c>
      <c r="AA214" s="38" t="str">
        <f>IF(AND(A214="Модуль",C214&lt;&gt;"",OR($S$6="(все)",B214=$S$6)),MAX($AA$3:AA213)+1,"")</f>
        <v/>
      </c>
      <c r="AB214" s="38" t="str">
        <f t="shared" si="32"/>
        <v/>
      </c>
      <c r="AC214" s="38" t="str">
        <f>IF(OR(B214="",COUNTIF($B$4:B214,B214)&gt;1),"",MAX($AC$3:AC213)+1)</f>
        <v/>
      </c>
      <c r="AD214" s="38" t="str">
        <f t="shared" si="33"/>
        <v/>
      </c>
      <c r="AE214" s="38" t="str">
        <f t="shared" si="34"/>
        <v/>
      </c>
      <c r="AF214" s="38" t="str">
        <f t="shared" si="35"/>
        <v/>
      </c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38" t="str">
        <f>IF(OR(A215="Автомат",A215="Дифавтомат"),IF(W215="","",COUNTIFS(Однолинейка!$H$3:$H$3000,U215,Однолинейка!$A$3:$A$3000,Щит_спец)),IF(A215="Аппарат",IF(C215="","",COUNTIFS(Однолинейка!$I$3:$I$3000,C215,Однолинейка!$A$3:$A$3000,Щит_спец)+COUNTIFS(Однолинейка!$J$3:$J$3000,C215,Однолинейка!$A$3:$A$3000,Щит_спец)+COUNTIFS(Однолинейка!$K$3:$K$3000,C215,Однолинейка!$A$3:$A$3000,Щит_спец)),IF(A215="Модуль",IF(C215="","",COUNTIFS(Однолинейка!$AW$3:$AW$3000,"?*",Однолинейка!$AI$3:$AI$3000,C215,Однолинейка!$A$3:$A$3000,Щит_спец)),IF(A215="Клемма",IF(C215="","",IF(C215=$S$7,SUMIFS(Однолинейка!$BW$3:$BW$3000,Однолинейка!$A$3:$A$3000,Щит_спец),IF(C215=$S$8,SUMIFS(Однолинейка!$BX$3:$BX$3000,Однолинейка!$A$3:$A$3000,Щит_спец),""))),""))))</f>
        <v/>
      </c>
      <c r="O215" s="74"/>
      <c r="P215" s="38" t="str">
        <f t="shared" si="27"/>
        <v/>
      </c>
      <c r="U215" s="38" t="str">
        <f t="shared" si="28"/>
        <v/>
      </c>
      <c r="V215" s="38" t="str">
        <f t="shared" si="29"/>
        <v/>
      </c>
      <c r="W215" s="38" t="str">
        <f>IF(AND(U215&lt;&gt;"",OR($S$4="(все)",B215=$S$4),IF($S$4="(все)",COUNTIF($U$4:U215,U215),COUNTIFS($U$4:U215,U215,$B$4:B215,B215))=1),MAX($W$3:W214)+1,"")</f>
        <v/>
      </c>
      <c r="X215" s="38" t="str">
        <f t="shared" si="30"/>
        <v/>
      </c>
      <c r="Y215" s="38" t="str">
        <f>IF(AND(A215="Аппарат",C215&lt;&gt;"",OR($S$5="(все)",B215=$S$5)),MAX($Y$3:Y214)+1,"")</f>
        <v/>
      </c>
      <c r="Z215" s="38" t="str">
        <f t="shared" si="31"/>
        <v/>
      </c>
      <c r="AA215" s="38" t="str">
        <f>IF(AND(A215="Модуль",C215&lt;&gt;"",OR($S$6="(все)",B215=$S$6)),MAX($AA$3:AA214)+1,"")</f>
        <v/>
      </c>
      <c r="AB215" s="38" t="str">
        <f t="shared" si="32"/>
        <v/>
      </c>
      <c r="AC215" s="38" t="str">
        <f>IF(OR(B215="",COUNTIF($B$4:B215,B215)&gt;1),"",MAX($AC$3:AC214)+1)</f>
        <v/>
      </c>
      <c r="AD215" s="38" t="str">
        <f t="shared" si="33"/>
        <v/>
      </c>
      <c r="AE215" s="38" t="str">
        <f t="shared" si="34"/>
        <v/>
      </c>
      <c r="AF215" s="38" t="str">
        <f t="shared" si="35"/>
        <v/>
      </c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38" t="str">
        <f>IF(OR(A216="Автомат",A216="Дифавтомат"),IF(W216="","",COUNTIFS(Однолинейка!$H$3:$H$3000,U216,Однолинейка!$A$3:$A$3000,Щит_спец)),IF(A216="Аппарат",IF(C216="","",COUNTIFS(Однолинейка!$I$3:$I$3000,C216,Однолинейка!$A$3:$A$3000,Щит_спец)+COUNTIFS(Однолинейка!$J$3:$J$3000,C216,Однолинейка!$A$3:$A$3000,Щит_спец)+COUNTIFS(Однолинейка!$K$3:$K$3000,C216,Однолинейка!$A$3:$A$3000,Щит_спец)),IF(A216="Модуль",IF(C216="","",COUNTIFS(Однолинейка!$AW$3:$AW$3000,"?*",Однолинейка!$AI$3:$AI$3000,C216,Однолинейка!$A$3:$A$3000,Щит_спец)),IF(A216="Клемма",IF(C216="","",IF(C216=$S$7,SUMIFS(Однолинейка!$BW$3:$BW$3000,Однолинейка!$A$3:$A$3000,Щит_спец),IF(C216=$S$8,SUMIFS(Однолинейка!$BX$3:$BX$3000,Однолинейка!$A$3:$A$3000,Щит_спец),""))),""))))</f>
        <v/>
      </c>
      <c r="O216" s="74"/>
      <c r="P216" s="38" t="str">
        <f t="shared" si="27"/>
        <v/>
      </c>
      <c r="U216" s="38" t="str">
        <f t="shared" si="28"/>
        <v/>
      </c>
      <c r="V216" s="38" t="str">
        <f t="shared" si="29"/>
        <v/>
      </c>
      <c r="W216" s="38" t="str">
        <f>IF(AND(U216&lt;&gt;"",OR($S$4="(все)",B216=$S$4),IF($S$4="(все)",COUNTIF($U$4:U216,U216),COUNTIFS($U$4:U216,U216,$B$4:B216,B216))=1),MAX($W$3:W215)+1,"")</f>
        <v/>
      </c>
      <c r="X216" s="38" t="str">
        <f t="shared" si="30"/>
        <v/>
      </c>
      <c r="Y216" s="38" t="str">
        <f>IF(AND(A216="Аппарат",C216&lt;&gt;"",OR($S$5="(все)",B216=$S$5)),MAX($Y$3:Y215)+1,"")</f>
        <v/>
      </c>
      <c r="Z216" s="38" t="str">
        <f t="shared" si="31"/>
        <v/>
      </c>
      <c r="AA216" s="38" t="str">
        <f>IF(AND(A216="Модуль",C216&lt;&gt;"",OR($S$6="(все)",B216=$S$6)),MAX($AA$3:AA215)+1,"")</f>
        <v/>
      </c>
      <c r="AB216" s="38" t="str">
        <f t="shared" si="32"/>
        <v/>
      </c>
      <c r="AC216" s="38" t="str">
        <f>IF(OR(B216="",COUNTIF($B$4:B216,B216)&gt;1),"",MAX($AC$3:AC215)+1)</f>
        <v/>
      </c>
      <c r="AD216" s="38" t="str">
        <f t="shared" si="33"/>
        <v/>
      </c>
      <c r="AE216" s="38" t="str">
        <f t="shared" si="34"/>
        <v/>
      </c>
      <c r="AF216" s="38" t="str">
        <f t="shared" si="35"/>
        <v/>
      </c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38" t="str">
        <f>IF(OR(A217="Автомат",A217="Дифавтомат"),IF(W217="","",COUNTIFS(Однолинейка!$H$3:$H$3000,U217,Однолинейка!$A$3:$A$3000,Щит_спец)),IF(A217="Аппарат",IF(C217="","",COUNTIFS(Однолинейка!$I$3:$I$3000,C217,Однолинейка!$A$3:$A$3000,Щит_спец)+COUNTIFS(Однолинейка!$J$3:$J$3000,C217,Однолинейка!$A$3:$A$3000,Щит_спец)+COUNTIFS(Однолинейка!$K$3:$K$3000,C217,Однолинейка!$A$3:$A$3000,Щит_спец)),IF(A217="Модуль",IF(C217="","",COUNTIFS(Однолинейка!$AW$3:$AW$3000,"?*",Однолинейка!$AI$3:$AI$3000,C217,Однолинейка!$A$3:$A$3000,Щит_спец)),IF(A217="Клемма",IF(C217="","",IF(C217=$S$7,SUMIFS(Однолинейка!$BW$3:$BW$3000,Однолинейка!$A$3:$A$3000,Щит_спец),IF(C217=$S$8,SUMIFS(Однолинейка!$BX$3:$BX$3000,Однолинейка!$A$3:$A$3000,Щит_спец),""))),""))))</f>
        <v/>
      </c>
      <c r="O217" s="74"/>
      <c r="P217" s="38" t="str">
        <f t="shared" si="27"/>
        <v/>
      </c>
      <c r="U217" s="38" t="str">
        <f t="shared" si="28"/>
        <v/>
      </c>
      <c r="V217" s="38" t="str">
        <f t="shared" si="29"/>
        <v/>
      </c>
      <c r="W217" s="38" t="str">
        <f>IF(AND(U217&lt;&gt;"",OR($S$4="(все)",B217=$S$4),IF($S$4="(все)",COUNTIF($U$4:U217,U217),COUNTIFS($U$4:U217,U217,$B$4:B217,B217))=1),MAX($W$3:W216)+1,"")</f>
        <v/>
      </c>
      <c r="X217" s="38" t="str">
        <f t="shared" si="30"/>
        <v/>
      </c>
      <c r="Y217" s="38" t="str">
        <f>IF(AND(A217="Аппарат",C217&lt;&gt;"",OR($S$5="(все)",B217=$S$5)),MAX($Y$3:Y216)+1,"")</f>
        <v/>
      </c>
      <c r="Z217" s="38" t="str">
        <f t="shared" si="31"/>
        <v/>
      </c>
      <c r="AA217" s="38" t="str">
        <f>IF(AND(A217="Модуль",C217&lt;&gt;"",OR($S$6="(все)",B217=$S$6)),MAX($AA$3:AA216)+1,"")</f>
        <v/>
      </c>
      <c r="AB217" s="38" t="str">
        <f t="shared" si="32"/>
        <v/>
      </c>
      <c r="AC217" s="38" t="str">
        <f>IF(OR(B217="",COUNTIF($B$4:B217,B217)&gt;1),"",MAX($AC$3:AC216)+1)</f>
        <v/>
      </c>
      <c r="AD217" s="38" t="str">
        <f t="shared" si="33"/>
        <v/>
      </c>
      <c r="AE217" s="38" t="str">
        <f t="shared" si="34"/>
        <v/>
      </c>
      <c r="AF217" s="38" t="str">
        <f t="shared" si="35"/>
        <v/>
      </c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38" t="str">
        <f>IF(OR(A218="Автомат",A218="Дифавтомат"),IF(W218="","",COUNTIFS(Однолинейка!$H$3:$H$3000,U218,Однолинейка!$A$3:$A$3000,Щит_спец)),IF(A218="Аппарат",IF(C218="","",COUNTIFS(Однолинейка!$I$3:$I$3000,C218,Однолинейка!$A$3:$A$3000,Щит_спец)+COUNTIFS(Однолинейка!$J$3:$J$3000,C218,Однолинейка!$A$3:$A$3000,Щит_спец)+COUNTIFS(Однолинейка!$K$3:$K$3000,C218,Однолинейка!$A$3:$A$3000,Щит_спец)),IF(A218="Модуль",IF(C218="","",COUNTIFS(Однолинейка!$AW$3:$AW$3000,"?*",Однолинейка!$AI$3:$AI$3000,C218,Однолинейка!$A$3:$A$3000,Щит_спец)),IF(A218="Клемма",IF(C218="","",IF(C218=$S$7,SUMIFS(Однолинейка!$BW$3:$BW$3000,Однолинейка!$A$3:$A$3000,Щит_спец),IF(C218=$S$8,SUMIFS(Однолинейка!$BX$3:$BX$3000,Однолинейка!$A$3:$A$3000,Щит_спец),""))),""))))</f>
        <v/>
      </c>
      <c r="O218" s="74"/>
      <c r="P218" s="38" t="str">
        <f t="shared" si="27"/>
        <v/>
      </c>
      <c r="U218" s="38" t="str">
        <f t="shared" si="28"/>
        <v/>
      </c>
      <c r="V218" s="38" t="str">
        <f t="shared" si="29"/>
        <v/>
      </c>
      <c r="W218" s="38" t="str">
        <f>IF(AND(U218&lt;&gt;"",OR($S$4="(все)",B218=$S$4),IF($S$4="(все)",COUNTIF($U$4:U218,U218),COUNTIFS($U$4:U218,U218,$B$4:B218,B218))=1),MAX($W$3:W217)+1,"")</f>
        <v/>
      </c>
      <c r="X218" s="38" t="str">
        <f t="shared" si="30"/>
        <v/>
      </c>
      <c r="Y218" s="38" t="str">
        <f>IF(AND(A218="Аппарат",C218&lt;&gt;"",OR($S$5="(все)",B218=$S$5)),MAX($Y$3:Y217)+1,"")</f>
        <v/>
      </c>
      <c r="Z218" s="38" t="str">
        <f t="shared" si="31"/>
        <v/>
      </c>
      <c r="AA218" s="38" t="str">
        <f>IF(AND(A218="Модуль",C218&lt;&gt;"",OR($S$6="(все)",B218=$S$6)),MAX($AA$3:AA217)+1,"")</f>
        <v/>
      </c>
      <c r="AB218" s="38" t="str">
        <f t="shared" si="32"/>
        <v/>
      </c>
      <c r="AC218" s="38" t="str">
        <f>IF(OR(B218="",COUNTIF($B$4:B218,B218)&gt;1),"",MAX($AC$3:AC217)+1)</f>
        <v/>
      </c>
      <c r="AD218" s="38" t="str">
        <f t="shared" si="33"/>
        <v/>
      </c>
      <c r="AE218" s="38" t="str">
        <f t="shared" si="34"/>
        <v/>
      </c>
      <c r="AF218" s="38" t="str">
        <f t="shared" si="35"/>
        <v/>
      </c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38" t="str">
        <f>IF(OR(A219="Автомат",A219="Дифавтомат"),IF(W219="","",COUNTIFS(Однолинейка!$H$3:$H$3000,U219,Однолинейка!$A$3:$A$3000,Щит_спец)),IF(A219="Аппарат",IF(C219="","",COUNTIFS(Однолинейка!$I$3:$I$3000,C219,Однолинейка!$A$3:$A$3000,Щит_спец)+COUNTIFS(Однолинейка!$J$3:$J$3000,C219,Однолинейка!$A$3:$A$3000,Щит_спец)+COUNTIFS(Однолинейка!$K$3:$K$3000,C219,Однолинейка!$A$3:$A$3000,Щит_спец)),IF(A219="Модуль",IF(C219="","",COUNTIFS(Однолинейка!$AW$3:$AW$3000,"?*",Однолинейка!$AI$3:$AI$3000,C219,Однолинейка!$A$3:$A$3000,Щит_спец)),IF(A219="Клемма",IF(C219="","",IF(C219=$S$7,SUMIFS(Однолинейка!$BW$3:$BW$3000,Однолинейка!$A$3:$A$3000,Щит_спец),IF(C219=$S$8,SUMIFS(Однолинейка!$BX$3:$BX$3000,Однолинейка!$A$3:$A$3000,Щит_спец),""))),""))))</f>
        <v/>
      </c>
      <c r="O219" s="74"/>
      <c r="P219" s="38" t="str">
        <f t="shared" si="27"/>
        <v/>
      </c>
      <c r="U219" s="38" t="str">
        <f t="shared" si="28"/>
        <v/>
      </c>
      <c r="V219" s="38" t="str">
        <f t="shared" si="29"/>
        <v/>
      </c>
      <c r="W219" s="38" t="str">
        <f>IF(AND(U219&lt;&gt;"",OR($S$4="(все)",B219=$S$4),IF($S$4="(все)",COUNTIF($U$4:U219,U219),COUNTIFS($U$4:U219,U219,$B$4:B219,B219))=1),MAX($W$3:W218)+1,"")</f>
        <v/>
      </c>
      <c r="X219" s="38" t="str">
        <f t="shared" si="30"/>
        <v/>
      </c>
      <c r="Y219" s="38" t="str">
        <f>IF(AND(A219="Аппарат",C219&lt;&gt;"",OR($S$5="(все)",B219=$S$5)),MAX($Y$3:Y218)+1,"")</f>
        <v/>
      </c>
      <c r="Z219" s="38" t="str">
        <f t="shared" si="31"/>
        <v/>
      </c>
      <c r="AA219" s="38" t="str">
        <f>IF(AND(A219="Модуль",C219&lt;&gt;"",OR($S$6="(все)",B219=$S$6)),MAX($AA$3:AA218)+1,"")</f>
        <v/>
      </c>
      <c r="AB219" s="38" t="str">
        <f t="shared" si="32"/>
        <v/>
      </c>
      <c r="AC219" s="38" t="str">
        <f>IF(OR(B219="",COUNTIF($B$4:B219,B219)&gt;1),"",MAX($AC$3:AC218)+1)</f>
        <v/>
      </c>
      <c r="AD219" s="38" t="str">
        <f t="shared" si="33"/>
        <v/>
      </c>
      <c r="AE219" s="38" t="str">
        <f t="shared" si="34"/>
        <v/>
      </c>
      <c r="AF219" s="38" t="str">
        <f t="shared" si="35"/>
        <v/>
      </c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38" t="str">
        <f>IF(OR(A220="Автомат",A220="Дифавтомат"),IF(W220="","",COUNTIFS(Однолинейка!$H$3:$H$3000,U220,Однолинейка!$A$3:$A$3000,Щит_спец)),IF(A220="Аппарат",IF(C220="","",COUNTIFS(Однолинейка!$I$3:$I$3000,C220,Однолинейка!$A$3:$A$3000,Щит_спец)+COUNTIFS(Однолинейка!$J$3:$J$3000,C220,Однолинейка!$A$3:$A$3000,Щит_спец)+COUNTIFS(Однолинейка!$K$3:$K$3000,C220,Однолинейка!$A$3:$A$3000,Щит_спец)),IF(A220="Модуль",IF(C220="","",COUNTIFS(Однолинейка!$AW$3:$AW$3000,"?*",Однолинейка!$AI$3:$AI$3000,C220,Однолинейка!$A$3:$A$3000,Щит_спец)),IF(A220="Клемма",IF(C220="","",IF(C220=$S$7,SUMIFS(Однолинейка!$BW$3:$BW$3000,Однолинейка!$A$3:$A$3000,Щит_спец),IF(C220=$S$8,SUMIFS(Однолинейка!$BX$3:$BX$3000,Однолинейка!$A$3:$A$3000,Щит_спец),""))),""))))</f>
        <v/>
      </c>
      <c r="O220" s="74"/>
      <c r="P220" s="38" t="str">
        <f t="shared" si="27"/>
        <v/>
      </c>
      <c r="U220" s="38" t="str">
        <f t="shared" si="28"/>
        <v/>
      </c>
      <c r="V220" s="38" t="str">
        <f t="shared" si="29"/>
        <v/>
      </c>
      <c r="W220" s="38" t="str">
        <f>IF(AND(U220&lt;&gt;"",OR($S$4="(все)",B220=$S$4),IF($S$4="(все)",COUNTIF($U$4:U220,U220),COUNTIFS($U$4:U220,U220,$B$4:B220,B220))=1),MAX($W$3:W219)+1,"")</f>
        <v/>
      </c>
      <c r="X220" s="38" t="str">
        <f t="shared" si="30"/>
        <v/>
      </c>
      <c r="Y220" s="38" t="str">
        <f>IF(AND(A220="Аппарат",C220&lt;&gt;"",OR($S$5="(все)",B220=$S$5)),MAX($Y$3:Y219)+1,"")</f>
        <v/>
      </c>
      <c r="Z220" s="38" t="str">
        <f t="shared" si="31"/>
        <v/>
      </c>
      <c r="AA220" s="38" t="str">
        <f>IF(AND(A220="Модуль",C220&lt;&gt;"",OR($S$6="(все)",B220=$S$6)),MAX($AA$3:AA219)+1,"")</f>
        <v/>
      </c>
      <c r="AB220" s="38" t="str">
        <f t="shared" si="32"/>
        <v/>
      </c>
      <c r="AC220" s="38" t="str">
        <f>IF(OR(B220="",COUNTIF($B$4:B220,B220)&gt;1),"",MAX($AC$3:AC219)+1)</f>
        <v/>
      </c>
      <c r="AD220" s="38" t="str">
        <f t="shared" si="33"/>
        <v/>
      </c>
      <c r="AE220" s="38" t="str">
        <f t="shared" si="34"/>
        <v/>
      </c>
      <c r="AF220" s="38" t="str">
        <f t="shared" si="35"/>
        <v/>
      </c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38" t="str">
        <f>IF(OR(A221="Автомат",A221="Дифавтомат"),IF(W221="","",COUNTIFS(Однолинейка!$H$3:$H$3000,U221,Однолинейка!$A$3:$A$3000,Щит_спец)),IF(A221="Аппарат",IF(C221="","",COUNTIFS(Однолинейка!$I$3:$I$3000,C221,Однолинейка!$A$3:$A$3000,Щит_спец)+COUNTIFS(Однолинейка!$J$3:$J$3000,C221,Однолинейка!$A$3:$A$3000,Щит_спец)+COUNTIFS(Однолинейка!$K$3:$K$3000,C221,Однолинейка!$A$3:$A$3000,Щит_спец)),IF(A221="Модуль",IF(C221="","",COUNTIFS(Однолинейка!$AW$3:$AW$3000,"?*",Однолинейка!$AI$3:$AI$3000,C221,Однолинейка!$A$3:$A$3000,Щит_спец)),IF(A221="Клемма",IF(C221="","",IF(C221=$S$7,SUMIFS(Однолинейка!$BW$3:$BW$3000,Однолинейка!$A$3:$A$3000,Щит_спец),IF(C221=$S$8,SUMIFS(Однолинейка!$BX$3:$BX$3000,Однолинейка!$A$3:$A$3000,Щит_спец),""))),""))))</f>
        <v/>
      </c>
      <c r="O221" s="74"/>
      <c r="P221" s="38" t="str">
        <f t="shared" si="27"/>
        <v/>
      </c>
      <c r="U221" s="38" t="str">
        <f t="shared" si="28"/>
        <v/>
      </c>
      <c r="V221" s="38" t="str">
        <f t="shared" si="29"/>
        <v/>
      </c>
      <c r="W221" s="38" t="str">
        <f>IF(AND(U221&lt;&gt;"",OR($S$4="(все)",B221=$S$4),IF($S$4="(все)",COUNTIF($U$4:U221,U221),COUNTIFS($U$4:U221,U221,$B$4:B221,B221))=1),MAX($W$3:W220)+1,"")</f>
        <v/>
      </c>
      <c r="X221" s="38" t="str">
        <f t="shared" si="30"/>
        <v/>
      </c>
      <c r="Y221" s="38" t="str">
        <f>IF(AND(A221="Аппарат",C221&lt;&gt;"",OR($S$5="(все)",B221=$S$5)),MAX($Y$3:Y220)+1,"")</f>
        <v/>
      </c>
      <c r="Z221" s="38" t="str">
        <f t="shared" si="31"/>
        <v/>
      </c>
      <c r="AA221" s="38" t="str">
        <f>IF(AND(A221="Модуль",C221&lt;&gt;"",OR($S$6="(все)",B221=$S$6)),MAX($AA$3:AA220)+1,"")</f>
        <v/>
      </c>
      <c r="AB221" s="38" t="str">
        <f t="shared" si="32"/>
        <v/>
      </c>
      <c r="AC221" s="38" t="str">
        <f>IF(OR(B221="",COUNTIF($B$4:B221,B221)&gt;1),"",MAX($AC$3:AC220)+1)</f>
        <v/>
      </c>
      <c r="AD221" s="38" t="str">
        <f t="shared" si="33"/>
        <v/>
      </c>
      <c r="AE221" s="38" t="str">
        <f t="shared" si="34"/>
        <v/>
      </c>
      <c r="AF221" s="38" t="str">
        <f t="shared" si="35"/>
        <v/>
      </c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38" t="str">
        <f>IF(OR(A222="Автомат",A222="Дифавтомат"),IF(W222="","",COUNTIFS(Однолинейка!$H$3:$H$3000,U222,Однолинейка!$A$3:$A$3000,Щит_спец)),IF(A222="Аппарат",IF(C222="","",COUNTIFS(Однолинейка!$I$3:$I$3000,C222,Однолинейка!$A$3:$A$3000,Щит_спец)+COUNTIFS(Однолинейка!$J$3:$J$3000,C222,Однолинейка!$A$3:$A$3000,Щит_спец)+COUNTIFS(Однолинейка!$K$3:$K$3000,C222,Однолинейка!$A$3:$A$3000,Щит_спец)),IF(A222="Модуль",IF(C222="","",COUNTIFS(Однолинейка!$AW$3:$AW$3000,"?*",Однолинейка!$AI$3:$AI$3000,C222,Однолинейка!$A$3:$A$3000,Щит_спец)),IF(A222="Клемма",IF(C222="","",IF(C222=$S$7,SUMIFS(Однолинейка!$BW$3:$BW$3000,Однолинейка!$A$3:$A$3000,Щит_спец),IF(C222=$S$8,SUMIFS(Однолинейка!$BX$3:$BX$3000,Однолинейка!$A$3:$A$3000,Щит_спец),""))),""))))</f>
        <v/>
      </c>
      <c r="O222" s="74"/>
      <c r="P222" s="38" t="str">
        <f t="shared" si="27"/>
        <v/>
      </c>
      <c r="U222" s="38" t="str">
        <f t="shared" si="28"/>
        <v/>
      </c>
      <c r="V222" s="38" t="str">
        <f t="shared" si="29"/>
        <v/>
      </c>
      <c r="W222" s="38" t="str">
        <f>IF(AND(U222&lt;&gt;"",OR($S$4="(все)",B222=$S$4),IF($S$4="(все)",COUNTIF($U$4:U222,U222),COUNTIFS($U$4:U222,U222,$B$4:B222,B222))=1),MAX($W$3:W221)+1,"")</f>
        <v/>
      </c>
      <c r="X222" s="38" t="str">
        <f t="shared" si="30"/>
        <v/>
      </c>
      <c r="Y222" s="38" t="str">
        <f>IF(AND(A222="Аппарат",C222&lt;&gt;"",OR($S$5="(все)",B222=$S$5)),MAX($Y$3:Y221)+1,"")</f>
        <v/>
      </c>
      <c r="Z222" s="38" t="str">
        <f t="shared" si="31"/>
        <v/>
      </c>
      <c r="AA222" s="38" t="str">
        <f>IF(AND(A222="Модуль",C222&lt;&gt;"",OR($S$6="(все)",B222=$S$6)),MAX($AA$3:AA221)+1,"")</f>
        <v/>
      </c>
      <c r="AB222" s="38" t="str">
        <f t="shared" si="32"/>
        <v/>
      </c>
      <c r="AC222" s="38" t="str">
        <f>IF(OR(B222="",COUNTIF($B$4:B222,B222)&gt;1),"",MAX($AC$3:AC221)+1)</f>
        <v/>
      </c>
      <c r="AD222" s="38" t="str">
        <f t="shared" si="33"/>
        <v/>
      </c>
      <c r="AE222" s="38" t="str">
        <f t="shared" si="34"/>
        <v/>
      </c>
      <c r="AF222" s="38" t="str">
        <f t="shared" si="35"/>
        <v/>
      </c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38" t="str">
        <f>IF(OR(A223="Автомат",A223="Дифавтомат"),IF(W223="","",COUNTIFS(Однолинейка!$H$3:$H$3000,U223,Однолинейка!$A$3:$A$3000,Щит_спец)),IF(A223="Аппарат",IF(C223="","",COUNTIFS(Однолинейка!$I$3:$I$3000,C223,Однолинейка!$A$3:$A$3000,Щит_спец)+COUNTIFS(Однолинейка!$J$3:$J$3000,C223,Однолинейка!$A$3:$A$3000,Щит_спец)+COUNTIFS(Однолинейка!$K$3:$K$3000,C223,Однолинейка!$A$3:$A$3000,Щит_спец)),IF(A223="Модуль",IF(C223="","",COUNTIFS(Однолинейка!$AW$3:$AW$3000,"?*",Однолинейка!$AI$3:$AI$3000,C223,Однолинейка!$A$3:$A$3000,Щит_спец)),IF(A223="Клемма",IF(C223="","",IF(C223=$S$7,SUMIFS(Однолинейка!$BW$3:$BW$3000,Однолинейка!$A$3:$A$3000,Щит_спец),IF(C223=$S$8,SUMIFS(Однолинейка!$BX$3:$BX$3000,Однолинейка!$A$3:$A$3000,Щит_спец),""))),""))))</f>
        <v/>
      </c>
      <c r="O223" s="74"/>
      <c r="P223" s="38" t="str">
        <f t="shared" si="27"/>
        <v/>
      </c>
      <c r="U223" s="38" t="str">
        <f t="shared" si="28"/>
        <v/>
      </c>
      <c r="V223" s="38" t="str">
        <f t="shared" si="29"/>
        <v/>
      </c>
      <c r="W223" s="38" t="str">
        <f>IF(AND(U223&lt;&gt;"",OR($S$4="(все)",B223=$S$4),IF($S$4="(все)",COUNTIF($U$4:U223,U223),COUNTIFS($U$4:U223,U223,$B$4:B223,B223))=1),MAX($W$3:W222)+1,"")</f>
        <v/>
      </c>
      <c r="X223" s="38" t="str">
        <f t="shared" si="30"/>
        <v/>
      </c>
      <c r="Y223" s="38" t="str">
        <f>IF(AND(A223="Аппарат",C223&lt;&gt;"",OR($S$5="(все)",B223=$S$5)),MAX($Y$3:Y222)+1,"")</f>
        <v/>
      </c>
      <c r="Z223" s="38" t="str">
        <f t="shared" si="31"/>
        <v/>
      </c>
      <c r="AA223" s="38" t="str">
        <f>IF(AND(A223="Модуль",C223&lt;&gt;"",OR($S$6="(все)",B223=$S$6)),MAX($AA$3:AA222)+1,"")</f>
        <v/>
      </c>
      <c r="AB223" s="38" t="str">
        <f t="shared" si="32"/>
        <v/>
      </c>
      <c r="AC223" s="38" t="str">
        <f>IF(OR(B223="",COUNTIF($B$4:B223,B223)&gt;1),"",MAX($AC$3:AC222)+1)</f>
        <v/>
      </c>
      <c r="AD223" s="38" t="str">
        <f t="shared" si="33"/>
        <v/>
      </c>
      <c r="AE223" s="38" t="str">
        <f t="shared" si="34"/>
        <v/>
      </c>
      <c r="AF223" s="38" t="str">
        <f t="shared" si="35"/>
        <v/>
      </c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38" t="str">
        <f>IF(OR(A224="Автомат",A224="Дифавтомат"),IF(W224="","",COUNTIFS(Однолинейка!$H$3:$H$3000,U224,Однолинейка!$A$3:$A$3000,Щит_спец)),IF(A224="Аппарат",IF(C224="","",COUNTIFS(Однолинейка!$I$3:$I$3000,C224,Однолинейка!$A$3:$A$3000,Щит_спец)+COUNTIFS(Однолинейка!$J$3:$J$3000,C224,Однолинейка!$A$3:$A$3000,Щит_спец)+COUNTIFS(Однолинейка!$K$3:$K$3000,C224,Однолинейка!$A$3:$A$3000,Щит_спец)),IF(A224="Модуль",IF(C224="","",COUNTIFS(Однолинейка!$AW$3:$AW$3000,"?*",Однолинейка!$AI$3:$AI$3000,C224,Однолинейка!$A$3:$A$3000,Щит_спец)),IF(A224="Клемма",IF(C224="","",IF(C224=$S$7,SUMIFS(Однолинейка!$BW$3:$BW$3000,Однолинейка!$A$3:$A$3000,Щит_спец),IF(C224=$S$8,SUMIFS(Однолинейка!$BX$3:$BX$3000,Однолинейка!$A$3:$A$3000,Щит_спец),""))),""))))</f>
        <v/>
      </c>
      <c r="O224" s="74"/>
      <c r="P224" s="38" t="str">
        <f t="shared" si="27"/>
        <v/>
      </c>
      <c r="U224" s="38" t="str">
        <f t="shared" si="28"/>
        <v/>
      </c>
      <c r="V224" s="38" t="str">
        <f t="shared" si="29"/>
        <v/>
      </c>
      <c r="W224" s="38" t="str">
        <f>IF(AND(U224&lt;&gt;"",OR($S$4="(все)",B224=$S$4),IF($S$4="(все)",COUNTIF($U$4:U224,U224),COUNTIFS($U$4:U224,U224,$B$4:B224,B224))=1),MAX($W$3:W223)+1,"")</f>
        <v/>
      </c>
      <c r="X224" s="38" t="str">
        <f t="shared" si="30"/>
        <v/>
      </c>
      <c r="Y224" s="38" t="str">
        <f>IF(AND(A224="Аппарат",C224&lt;&gt;"",OR($S$5="(все)",B224=$S$5)),MAX($Y$3:Y223)+1,"")</f>
        <v/>
      </c>
      <c r="Z224" s="38" t="str">
        <f t="shared" si="31"/>
        <v/>
      </c>
      <c r="AA224" s="38" t="str">
        <f>IF(AND(A224="Модуль",C224&lt;&gt;"",OR($S$6="(все)",B224=$S$6)),MAX($AA$3:AA223)+1,"")</f>
        <v/>
      </c>
      <c r="AB224" s="38" t="str">
        <f t="shared" si="32"/>
        <v/>
      </c>
      <c r="AC224" s="38" t="str">
        <f>IF(OR(B224="",COUNTIF($B$4:B224,B224)&gt;1),"",MAX($AC$3:AC223)+1)</f>
        <v/>
      </c>
      <c r="AD224" s="38" t="str">
        <f t="shared" si="33"/>
        <v/>
      </c>
      <c r="AE224" s="38" t="str">
        <f t="shared" si="34"/>
        <v/>
      </c>
      <c r="AF224" s="38" t="str">
        <f t="shared" si="35"/>
        <v/>
      </c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38" t="str">
        <f>IF(OR(A225="Автомат",A225="Дифавтомат"),IF(W225="","",COUNTIFS(Однолинейка!$H$3:$H$3000,U225,Однолинейка!$A$3:$A$3000,Щит_спец)),IF(A225="Аппарат",IF(C225="","",COUNTIFS(Однолинейка!$I$3:$I$3000,C225,Однолинейка!$A$3:$A$3000,Щит_спец)+COUNTIFS(Однолинейка!$J$3:$J$3000,C225,Однолинейка!$A$3:$A$3000,Щит_спец)+COUNTIFS(Однолинейка!$K$3:$K$3000,C225,Однолинейка!$A$3:$A$3000,Щит_спец)),IF(A225="Модуль",IF(C225="","",COUNTIFS(Однолинейка!$AW$3:$AW$3000,"?*",Однолинейка!$AI$3:$AI$3000,C225,Однолинейка!$A$3:$A$3000,Щит_спец)),IF(A225="Клемма",IF(C225="","",IF(C225=$S$7,SUMIFS(Однолинейка!$BW$3:$BW$3000,Однолинейка!$A$3:$A$3000,Щит_спец),IF(C225=$S$8,SUMIFS(Однолинейка!$BX$3:$BX$3000,Однолинейка!$A$3:$A$3000,Щит_спец),""))),""))))</f>
        <v/>
      </c>
      <c r="O225" s="74"/>
      <c r="P225" s="38" t="str">
        <f t="shared" si="27"/>
        <v/>
      </c>
      <c r="U225" s="38" t="str">
        <f t="shared" si="28"/>
        <v/>
      </c>
      <c r="V225" s="38" t="str">
        <f t="shared" si="29"/>
        <v/>
      </c>
      <c r="W225" s="38" t="str">
        <f>IF(AND(U225&lt;&gt;"",OR($S$4="(все)",B225=$S$4),IF($S$4="(все)",COUNTIF($U$4:U225,U225),COUNTIFS($U$4:U225,U225,$B$4:B225,B225))=1),MAX($W$3:W224)+1,"")</f>
        <v/>
      </c>
      <c r="X225" s="38" t="str">
        <f t="shared" si="30"/>
        <v/>
      </c>
      <c r="Y225" s="38" t="str">
        <f>IF(AND(A225="Аппарат",C225&lt;&gt;"",OR($S$5="(все)",B225=$S$5)),MAX($Y$3:Y224)+1,"")</f>
        <v/>
      </c>
      <c r="Z225" s="38" t="str">
        <f t="shared" si="31"/>
        <v/>
      </c>
      <c r="AA225" s="38" t="str">
        <f>IF(AND(A225="Модуль",C225&lt;&gt;"",OR($S$6="(все)",B225=$S$6)),MAX($AA$3:AA224)+1,"")</f>
        <v/>
      </c>
      <c r="AB225" s="38" t="str">
        <f t="shared" si="32"/>
        <v/>
      </c>
      <c r="AC225" s="38" t="str">
        <f>IF(OR(B225="",COUNTIF($B$4:B225,B225)&gt;1),"",MAX($AC$3:AC224)+1)</f>
        <v/>
      </c>
      <c r="AD225" s="38" t="str">
        <f t="shared" si="33"/>
        <v/>
      </c>
      <c r="AE225" s="38" t="str">
        <f t="shared" si="34"/>
        <v/>
      </c>
      <c r="AF225" s="38" t="str">
        <f t="shared" si="35"/>
        <v/>
      </c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38" t="str">
        <f>IF(OR(A226="Автомат",A226="Дифавтомат"),IF(W226="","",COUNTIFS(Однолинейка!$H$3:$H$3000,U226,Однолинейка!$A$3:$A$3000,Щит_спец)),IF(A226="Аппарат",IF(C226="","",COUNTIFS(Однолинейка!$I$3:$I$3000,C226,Однолинейка!$A$3:$A$3000,Щит_спец)+COUNTIFS(Однолинейка!$J$3:$J$3000,C226,Однолинейка!$A$3:$A$3000,Щит_спец)+COUNTIFS(Однолинейка!$K$3:$K$3000,C226,Однолинейка!$A$3:$A$3000,Щит_спец)),IF(A226="Модуль",IF(C226="","",COUNTIFS(Однолинейка!$AW$3:$AW$3000,"?*",Однолинейка!$AI$3:$AI$3000,C226,Однолинейка!$A$3:$A$3000,Щит_спец)),IF(A226="Клемма",IF(C226="","",IF(C226=$S$7,SUMIFS(Однолинейка!$BW$3:$BW$3000,Однолинейка!$A$3:$A$3000,Щит_спец),IF(C226=$S$8,SUMIFS(Однолинейка!$BX$3:$BX$3000,Однолинейка!$A$3:$A$3000,Щит_спец),""))),""))))</f>
        <v/>
      </c>
      <c r="O226" s="74"/>
      <c r="P226" s="38" t="str">
        <f t="shared" si="27"/>
        <v/>
      </c>
      <c r="U226" s="38" t="str">
        <f t="shared" si="28"/>
        <v/>
      </c>
      <c r="V226" s="38" t="str">
        <f t="shared" si="29"/>
        <v/>
      </c>
      <c r="W226" s="38" t="str">
        <f>IF(AND(U226&lt;&gt;"",OR($S$4="(все)",B226=$S$4),IF($S$4="(все)",COUNTIF($U$4:U226,U226),COUNTIFS($U$4:U226,U226,$B$4:B226,B226))=1),MAX($W$3:W225)+1,"")</f>
        <v/>
      </c>
      <c r="X226" s="38" t="str">
        <f t="shared" si="30"/>
        <v/>
      </c>
      <c r="Y226" s="38" t="str">
        <f>IF(AND(A226="Аппарат",C226&lt;&gt;"",OR($S$5="(все)",B226=$S$5)),MAX($Y$3:Y225)+1,"")</f>
        <v/>
      </c>
      <c r="Z226" s="38" t="str">
        <f t="shared" si="31"/>
        <v/>
      </c>
      <c r="AA226" s="38" t="str">
        <f>IF(AND(A226="Модуль",C226&lt;&gt;"",OR($S$6="(все)",B226=$S$6)),MAX($AA$3:AA225)+1,"")</f>
        <v/>
      </c>
      <c r="AB226" s="38" t="str">
        <f t="shared" si="32"/>
        <v/>
      </c>
      <c r="AC226" s="38" t="str">
        <f>IF(OR(B226="",COUNTIF($B$4:B226,B226)&gt;1),"",MAX($AC$3:AC225)+1)</f>
        <v/>
      </c>
      <c r="AD226" s="38" t="str">
        <f t="shared" si="33"/>
        <v/>
      </c>
      <c r="AE226" s="38" t="str">
        <f t="shared" si="34"/>
        <v/>
      </c>
      <c r="AF226" s="38" t="str">
        <f t="shared" si="35"/>
        <v/>
      </c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38" t="str">
        <f>IF(OR(A227="Автомат",A227="Дифавтомат"),IF(W227="","",COUNTIFS(Однолинейка!$H$3:$H$3000,U227,Однолинейка!$A$3:$A$3000,Щит_спец)),IF(A227="Аппарат",IF(C227="","",COUNTIFS(Однолинейка!$I$3:$I$3000,C227,Однолинейка!$A$3:$A$3000,Щит_спец)+COUNTIFS(Однолинейка!$J$3:$J$3000,C227,Однолинейка!$A$3:$A$3000,Щит_спец)+COUNTIFS(Однолинейка!$K$3:$K$3000,C227,Однолинейка!$A$3:$A$3000,Щит_спец)),IF(A227="Модуль",IF(C227="","",COUNTIFS(Однолинейка!$AW$3:$AW$3000,"?*",Однолинейка!$AI$3:$AI$3000,C227,Однолинейка!$A$3:$A$3000,Щит_спец)),IF(A227="Клемма",IF(C227="","",IF(C227=$S$7,SUMIFS(Однолинейка!$BW$3:$BW$3000,Однолинейка!$A$3:$A$3000,Щит_спец),IF(C227=$S$8,SUMIFS(Однолинейка!$BX$3:$BX$3000,Однолинейка!$A$3:$A$3000,Щит_спец),""))),""))))</f>
        <v/>
      </c>
      <c r="O227" s="74"/>
      <c r="P227" s="38" t="str">
        <f t="shared" si="27"/>
        <v/>
      </c>
      <c r="U227" s="38" t="str">
        <f t="shared" si="28"/>
        <v/>
      </c>
      <c r="V227" s="38" t="str">
        <f t="shared" si="29"/>
        <v/>
      </c>
      <c r="W227" s="38" t="str">
        <f>IF(AND(U227&lt;&gt;"",OR($S$4="(все)",B227=$S$4),IF($S$4="(все)",COUNTIF($U$4:U227,U227),COUNTIFS($U$4:U227,U227,$B$4:B227,B227))=1),MAX($W$3:W226)+1,"")</f>
        <v/>
      </c>
      <c r="X227" s="38" t="str">
        <f t="shared" si="30"/>
        <v/>
      </c>
      <c r="Y227" s="38" t="str">
        <f>IF(AND(A227="Аппарат",C227&lt;&gt;"",OR($S$5="(все)",B227=$S$5)),MAX($Y$3:Y226)+1,"")</f>
        <v/>
      </c>
      <c r="Z227" s="38" t="str">
        <f t="shared" si="31"/>
        <v/>
      </c>
      <c r="AA227" s="38" t="str">
        <f>IF(AND(A227="Модуль",C227&lt;&gt;"",OR($S$6="(все)",B227=$S$6)),MAX($AA$3:AA226)+1,"")</f>
        <v/>
      </c>
      <c r="AB227" s="38" t="str">
        <f t="shared" si="32"/>
        <v/>
      </c>
      <c r="AC227" s="38" t="str">
        <f>IF(OR(B227="",COUNTIF($B$4:B227,B227)&gt;1),"",MAX($AC$3:AC226)+1)</f>
        <v/>
      </c>
      <c r="AD227" s="38" t="str">
        <f t="shared" si="33"/>
        <v/>
      </c>
      <c r="AE227" s="38" t="str">
        <f t="shared" si="34"/>
        <v/>
      </c>
      <c r="AF227" s="38" t="str">
        <f t="shared" si="35"/>
        <v/>
      </c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38" t="str">
        <f>IF(OR(A228="Автомат",A228="Дифавтомат"),IF(W228="","",COUNTIFS(Однолинейка!$H$3:$H$3000,U228,Однолинейка!$A$3:$A$3000,Щит_спец)),IF(A228="Аппарат",IF(C228="","",COUNTIFS(Однолинейка!$I$3:$I$3000,C228,Однолинейка!$A$3:$A$3000,Щит_спец)+COUNTIFS(Однолинейка!$J$3:$J$3000,C228,Однолинейка!$A$3:$A$3000,Щит_спец)+COUNTIFS(Однолинейка!$K$3:$K$3000,C228,Однолинейка!$A$3:$A$3000,Щит_спец)),IF(A228="Модуль",IF(C228="","",COUNTIFS(Однолинейка!$AW$3:$AW$3000,"?*",Однолинейка!$AI$3:$AI$3000,C228,Однолинейка!$A$3:$A$3000,Щит_спец)),IF(A228="Клемма",IF(C228="","",IF(C228=$S$7,SUMIFS(Однолинейка!$BW$3:$BW$3000,Однолинейка!$A$3:$A$3000,Щит_спец),IF(C228=$S$8,SUMIFS(Однолинейка!$BX$3:$BX$3000,Однолинейка!$A$3:$A$3000,Щит_спец),""))),""))))</f>
        <v/>
      </c>
      <c r="O228" s="74"/>
      <c r="P228" s="38" t="str">
        <f t="shared" si="27"/>
        <v/>
      </c>
      <c r="U228" s="38" t="str">
        <f t="shared" si="28"/>
        <v/>
      </c>
      <c r="V228" s="38" t="str">
        <f t="shared" si="29"/>
        <v/>
      </c>
      <c r="W228" s="38" t="str">
        <f>IF(AND(U228&lt;&gt;"",OR($S$4="(все)",B228=$S$4),IF($S$4="(все)",COUNTIF($U$4:U228,U228),COUNTIFS($U$4:U228,U228,$B$4:B228,B228))=1),MAX($W$3:W227)+1,"")</f>
        <v/>
      </c>
      <c r="X228" s="38" t="str">
        <f t="shared" si="30"/>
        <v/>
      </c>
      <c r="Y228" s="38" t="str">
        <f>IF(AND(A228="Аппарат",C228&lt;&gt;"",OR($S$5="(все)",B228=$S$5)),MAX($Y$3:Y227)+1,"")</f>
        <v/>
      </c>
      <c r="Z228" s="38" t="str">
        <f t="shared" si="31"/>
        <v/>
      </c>
      <c r="AA228" s="38" t="str">
        <f>IF(AND(A228="Модуль",C228&lt;&gt;"",OR($S$6="(все)",B228=$S$6)),MAX($AA$3:AA227)+1,"")</f>
        <v/>
      </c>
      <c r="AB228" s="38" t="str">
        <f t="shared" si="32"/>
        <v/>
      </c>
      <c r="AC228" s="38" t="str">
        <f>IF(OR(B228="",COUNTIF($B$4:B228,B228)&gt;1),"",MAX($AC$3:AC227)+1)</f>
        <v/>
      </c>
      <c r="AD228" s="38" t="str">
        <f t="shared" si="33"/>
        <v/>
      </c>
      <c r="AE228" s="38" t="str">
        <f t="shared" si="34"/>
        <v/>
      </c>
      <c r="AF228" s="38" t="str">
        <f t="shared" si="35"/>
        <v/>
      </c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38" t="str">
        <f>IF(OR(A229="Автомат",A229="Дифавтомат"),IF(W229="","",COUNTIFS(Однолинейка!$H$3:$H$3000,U229,Однолинейка!$A$3:$A$3000,Щит_спец)),IF(A229="Аппарат",IF(C229="","",COUNTIFS(Однолинейка!$I$3:$I$3000,C229,Однолинейка!$A$3:$A$3000,Щит_спец)+COUNTIFS(Однолинейка!$J$3:$J$3000,C229,Однолинейка!$A$3:$A$3000,Щит_спец)+COUNTIFS(Однолинейка!$K$3:$K$3000,C229,Однолинейка!$A$3:$A$3000,Щит_спец)),IF(A229="Модуль",IF(C229="","",COUNTIFS(Однолинейка!$AW$3:$AW$3000,"?*",Однолинейка!$AI$3:$AI$3000,C229,Однолинейка!$A$3:$A$3000,Щит_спец)),IF(A229="Клемма",IF(C229="","",IF(C229=$S$7,SUMIFS(Однолинейка!$BW$3:$BW$3000,Однолинейка!$A$3:$A$3000,Щит_спец),IF(C229=$S$8,SUMIFS(Однолинейка!$BX$3:$BX$3000,Однолинейка!$A$3:$A$3000,Щит_спец),""))),""))))</f>
        <v/>
      </c>
      <c r="O229" s="74"/>
      <c r="P229" s="38" t="str">
        <f t="shared" si="27"/>
        <v/>
      </c>
      <c r="U229" s="38" t="str">
        <f t="shared" si="28"/>
        <v/>
      </c>
      <c r="V229" s="38" t="str">
        <f t="shared" si="29"/>
        <v/>
      </c>
      <c r="W229" s="38" t="str">
        <f>IF(AND(U229&lt;&gt;"",OR($S$4="(все)",B229=$S$4),IF($S$4="(все)",COUNTIF($U$4:U229,U229),COUNTIFS($U$4:U229,U229,$B$4:B229,B229))=1),MAX($W$3:W228)+1,"")</f>
        <v/>
      </c>
      <c r="X229" s="38" t="str">
        <f t="shared" si="30"/>
        <v/>
      </c>
      <c r="Y229" s="38" t="str">
        <f>IF(AND(A229="Аппарат",C229&lt;&gt;"",OR($S$5="(все)",B229=$S$5)),MAX($Y$3:Y228)+1,"")</f>
        <v/>
      </c>
      <c r="Z229" s="38" t="str">
        <f t="shared" si="31"/>
        <v/>
      </c>
      <c r="AA229" s="38" t="str">
        <f>IF(AND(A229="Модуль",C229&lt;&gt;"",OR($S$6="(все)",B229=$S$6)),MAX($AA$3:AA228)+1,"")</f>
        <v/>
      </c>
      <c r="AB229" s="38" t="str">
        <f t="shared" si="32"/>
        <v/>
      </c>
      <c r="AC229" s="38" t="str">
        <f>IF(OR(B229="",COUNTIF($B$4:B229,B229)&gt;1),"",MAX($AC$3:AC228)+1)</f>
        <v/>
      </c>
      <c r="AD229" s="38" t="str">
        <f t="shared" si="33"/>
        <v/>
      </c>
      <c r="AE229" s="38" t="str">
        <f t="shared" si="34"/>
        <v/>
      </c>
      <c r="AF229" s="38" t="str">
        <f t="shared" si="35"/>
        <v/>
      </c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38" t="str">
        <f>IF(OR(A230="Автомат",A230="Дифавтомат"),IF(W230="","",COUNTIFS(Однолинейка!$H$3:$H$3000,U230,Однолинейка!$A$3:$A$3000,Щит_спец)),IF(A230="Аппарат",IF(C230="","",COUNTIFS(Однолинейка!$I$3:$I$3000,C230,Однолинейка!$A$3:$A$3000,Щит_спец)+COUNTIFS(Однолинейка!$J$3:$J$3000,C230,Однолинейка!$A$3:$A$3000,Щит_спец)+COUNTIFS(Однолинейка!$K$3:$K$3000,C230,Однолинейка!$A$3:$A$3000,Щит_спец)),IF(A230="Модуль",IF(C230="","",COUNTIFS(Однолинейка!$AW$3:$AW$3000,"?*",Однолинейка!$AI$3:$AI$3000,C230,Однолинейка!$A$3:$A$3000,Щит_спец)),IF(A230="Клемма",IF(C230="","",IF(C230=$S$7,SUMIFS(Однолинейка!$BW$3:$BW$3000,Однолинейка!$A$3:$A$3000,Щит_спец),IF(C230=$S$8,SUMIFS(Однолинейка!$BX$3:$BX$3000,Однолинейка!$A$3:$A$3000,Щит_спец),""))),""))))</f>
        <v/>
      </c>
      <c r="O230" s="74"/>
      <c r="P230" s="38" t="str">
        <f t="shared" si="27"/>
        <v/>
      </c>
      <c r="U230" s="38" t="str">
        <f t="shared" si="28"/>
        <v/>
      </c>
      <c r="V230" s="38" t="str">
        <f t="shared" si="29"/>
        <v/>
      </c>
      <c r="W230" s="38" t="str">
        <f>IF(AND(U230&lt;&gt;"",OR($S$4="(все)",B230=$S$4),IF($S$4="(все)",COUNTIF($U$4:U230,U230),COUNTIFS($U$4:U230,U230,$B$4:B230,B230))=1),MAX($W$3:W229)+1,"")</f>
        <v/>
      </c>
      <c r="X230" s="38" t="str">
        <f t="shared" si="30"/>
        <v/>
      </c>
      <c r="Y230" s="38" t="str">
        <f>IF(AND(A230="Аппарат",C230&lt;&gt;"",OR($S$5="(все)",B230=$S$5)),MAX($Y$3:Y229)+1,"")</f>
        <v/>
      </c>
      <c r="Z230" s="38" t="str">
        <f t="shared" si="31"/>
        <v/>
      </c>
      <c r="AA230" s="38" t="str">
        <f>IF(AND(A230="Модуль",C230&lt;&gt;"",OR($S$6="(все)",B230=$S$6)),MAX($AA$3:AA229)+1,"")</f>
        <v/>
      </c>
      <c r="AB230" s="38" t="str">
        <f t="shared" si="32"/>
        <v/>
      </c>
      <c r="AC230" s="38" t="str">
        <f>IF(OR(B230="",COUNTIF($B$4:B230,B230)&gt;1),"",MAX($AC$3:AC229)+1)</f>
        <v/>
      </c>
      <c r="AD230" s="38" t="str">
        <f t="shared" si="33"/>
        <v/>
      </c>
      <c r="AE230" s="38" t="str">
        <f t="shared" si="34"/>
        <v/>
      </c>
      <c r="AF230" s="38" t="str">
        <f t="shared" si="35"/>
        <v/>
      </c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38" t="str">
        <f>IF(OR(A231="Автомат",A231="Дифавтомат"),IF(W231="","",COUNTIFS(Однолинейка!$H$3:$H$3000,U231,Однолинейка!$A$3:$A$3000,Щит_спец)),IF(A231="Аппарат",IF(C231="","",COUNTIFS(Однолинейка!$I$3:$I$3000,C231,Однолинейка!$A$3:$A$3000,Щит_спец)+COUNTIFS(Однолинейка!$J$3:$J$3000,C231,Однолинейка!$A$3:$A$3000,Щит_спец)+COUNTIFS(Однолинейка!$K$3:$K$3000,C231,Однолинейка!$A$3:$A$3000,Щит_спец)),IF(A231="Модуль",IF(C231="","",COUNTIFS(Однолинейка!$AW$3:$AW$3000,"?*",Однолинейка!$AI$3:$AI$3000,C231,Однолинейка!$A$3:$A$3000,Щит_спец)),IF(A231="Клемма",IF(C231="","",IF(C231=$S$7,SUMIFS(Однолинейка!$BW$3:$BW$3000,Однолинейка!$A$3:$A$3000,Щит_спец),IF(C231=$S$8,SUMIFS(Однолинейка!$BX$3:$BX$3000,Однолинейка!$A$3:$A$3000,Щит_спец),""))),""))))</f>
        <v/>
      </c>
      <c r="O231" s="74"/>
      <c r="P231" s="38" t="str">
        <f t="shared" si="27"/>
        <v/>
      </c>
      <c r="U231" s="38" t="str">
        <f t="shared" si="28"/>
        <v/>
      </c>
      <c r="V231" s="38" t="str">
        <f t="shared" si="29"/>
        <v/>
      </c>
      <c r="W231" s="38" t="str">
        <f>IF(AND(U231&lt;&gt;"",OR($S$4="(все)",B231=$S$4),IF($S$4="(все)",COUNTIF($U$4:U231,U231),COUNTIFS($U$4:U231,U231,$B$4:B231,B231))=1),MAX($W$3:W230)+1,"")</f>
        <v/>
      </c>
      <c r="X231" s="38" t="str">
        <f t="shared" si="30"/>
        <v/>
      </c>
      <c r="Y231" s="38" t="str">
        <f>IF(AND(A231="Аппарат",C231&lt;&gt;"",OR($S$5="(все)",B231=$S$5)),MAX($Y$3:Y230)+1,"")</f>
        <v/>
      </c>
      <c r="Z231" s="38" t="str">
        <f t="shared" si="31"/>
        <v/>
      </c>
      <c r="AA231" s="38" t="str">
        <f>IF(AND(A231="Модуль",C231&lt;&gt;"",OR($S$6="(все)",B231=$S$6)),MAX($AA$3:AA230)+1,"")</f>
        <v/>
      </c>
      <c r="AB231" s="38" t="str">
        <f t="shared" si="32"/>
        <v/>
      </c>
      <c r="AC231" s="38" t="str">
        <f>IF(OR(B231="",COUNTIF($B$4:B231,B231)&gt;1),"",MAX($AC$3:AC230)+1)</f>
        <v/>
      </c>
      <c r="AD231" s="38" t="str">
        <f t="shared" si="33"/>
        <v/>
      </c>
      <c r="AE231" s="38" t="str">
        <f t="shared" si="34"/>
        <v/>
      </c>
      <c r="AF231" s="38" t="str">
        <f t="shared" si="35"/>
        <v/>
      </c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38" t="str">
        <f>IF(OR(A232="Автомат",A232="Дифавтомат"),IF(W232="","",COUNTIFS(Однолинейка!$H$3:$H$3000,U232,Однолинейка!$A$3:$A$3000,Щит_спец)),IF(A232="Аппарат",IF(C232="","",COUNTIFS(Однолинейка!$I$3:$I$3000,C232,Однолинейка!$A$3:$A$3000,Щит_спец)+COUNTIFS(Однолинейка!$J$3:$J$3000,C232,Однолинейка!$A$3:$A$3000,Щит_спец)+COUNTIFS(Однолинейка!$K$3:$K$3000,C232,Однолинейка!$A$3:$A$3000,Щит_спец)),IF(A232="Модуль",IF(C232="","",COUNTIFS(Однолинейка!$AW$3:$AW$3000,"?*",Однолинейка!$AI$3:$AI$3000,C232,Однолинейка!$A$3:$A$3000,Щит_спец)),IF(A232="Клемма",IF(C232="","",IF(C232=$S$7,SUMIFS(Однолинейка!$BW$3:$BW$3000,Однолинейка!$A$3:$A$3000,Щит_спец),IF(C232=$S$8,SUMIFS(Однолинейка!$BX$3:$BX$3000,Однолинейка!$A$3:$A$3000,Щит_спец),""))),""))))</f>
        <v/>
      </c>
      <c r="O232" s="74"/>
      <c r="P232" s="38" t="str">
        <f t="shared" si="27"/>
        <v/>
      </c>
      <c r="U232" s="38" t="str">
        <f t="shared" si="28"/>
        <v/>
      </c>
      <c r="V232" s="38" t="str">
        <f t="shared" si="29"/>
        <v/>
      </c>
      <c r="W232" s="38" t="str">
        <f>IF(AND(U232&lt;&gt;"",OR($S$4="(все)",B232=$S$4),IF($S$4="(все)",COUNTIF($U$4:U232,U232),COUNTIFS($U$4:U232,U232,$B$4:B232,B232))=1),MAX($W$3:W231)+1,"")</f>
        <v/>
      </c>
      <c r="X232" s="38" t="str">
        <f t="shared" si="30"/>
        <v/>
      </c>
      <c r="Y232" s="38" t="str">
        <f>IF(AND(A232="Аппарат",C232&lt;&gt;"",OR($S$5="(все)",B232=$S$5)),MAX($Y$3:Y231)+1,"")</f>
        <v/>
      </c>
      <c r="Z232" s="38" t="str">
        <f t="shared" si="31"/>
        <v/>
      </c>
      <c r="AA232" s="38" t="str">
        <f>IF(AND(A232="Модуль",C232&lt;&gt;"",OR($S$6="(все)",B232=$S$6)),MAX($AA$3:AA231)+1,"")</f>
        <v/>
      </c>
      <c r="AB232" s="38" t="str">
        <f t="shared" si="32"/>
        <v/>
      </c>
      <c r="AC232" s="38" t="str">
        <f>IF(OR(B232="",COUNTIF($B$4:B232,B232)&gt;1),"",MAX($AC$3:AC231)+1)</f>
        <v/>
      </c>
      <c r="AD232" s="38" t="str">
        <f t="shared" si="33"/>
        <v/>
      </c>
      <c r="AE232" s="38" t="str">
        <f t="shared" si="34"/>
        <v/>
      </c>
      <c r="AF232" s="38" t="str">
        <f t="shared" si="35"/>
        <v/>
      </c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38" t="str">
        <f>IF(OR(A233="Автомат",A233="Дифавтомат"),IF(W233="","",COUNTIFS(Однолинейка!$H$3:$H$3000,U233,Однолинейка!$A$3:$A$3000,Щит_спец)),IF(A233="Аппарат",IF(C233="","",COUNTIFS(Однолинейка!$I$3:$I$3000,C233,Однолинейка!$A$3:$A$3000,Щит_спец)+COUNTIFS(Однолинейка!$J$3:$J$3000,C233,Однолинейка!$A$3:$A$3000,Щит_спец)+COUNTIFS(Однолинейка!$K$3:$K$3000,C233,Однолинейка!$A$3:$A$3000,Щит_спец)),IF(A233="Модуль",IF(C233="","",COUNTIFS(Однолинейка!$AW$3:$AW$3000,"?*",Однолинейка!$AI$3:$AI$3000,C233,Однолинейка!$A$3:$A$3000,Щит_спец)),IF(A233="Клемма",IF(C233="","",IF(C233=$S$7,SUMIFS(Однолинейка!$BW$3:$BW$3000,Однолинейка!$A$3:$A$3000,Щит_спец),IF(C233=$S$8,SUMIFS(Однолинейка!$BX$3:$BX$3000,Однолинейка!$A$3:$A$3000,Щит_спец),""))),""))))</f>
        <v/>
      </c>
      <c r="O233" s="74"/>
      <c r="P233" s="38" t="str">
        <f t="shared" si="27"/>
        <v/>
      </c>
      <c r="U233" s="38" t="str">
        <f t="shared" si="28"/>
        <v/>
      </c>
      <c r="V233" s="38" t="str">
        <f t="shared" si="29"/>
        <v/>
      </c>
      <c r="W233" s="38" t="str">
        <f>IF(AND(U233&lt;&gt;"",OR($S$4="(все)",B233=$S$4),IF($S$4="(все)",COUNTIF($U$4:U233,U233),COUNTIFS($U$4:U233,U233,$B$4:B233,B233))=1),MAX($W$3:W232)+1,"")</f>
        <v/>
      </c>
      <c r="X233" s="38" t="str">
        <f t="shared" si="30"/>
        <v/>
      </c>
      <c r="Y233" s="38" t="str">
        <f>IF(AND(A233="Аппарат",C233&lt;&gt;"",OR($S$5="(все)",B233=$S$5)),MAX($Y$3:Y232)+1,"")</f>
        <v/>
      </c>
      <c r="Z233" s="38" t="str">
        <f t="shared" si="31"/>
        <v/>
      </c>
      <c r="AA233" s="38" t="str">
        <f>IF(AND(A233="Модуль",C233&lt;&gt;"",OR($S$6="(все)",B233=$S$6)),MAX($AA$3:AA232)+1,"")</f>
        <v/>
      </c>
      <c r="AB233" s="38" t="str">
        <f t="shared" si="32"/>
        <v/>
      </c>
      <c r="AC233" s="38" t="str">
        <f>IF(OR(B233="",COUNTIF($B$4:B233,B233)&gt;1),"",MAX($AC$3:AC232)+1)</f>
        <v/>
      </c>
      <c r="AD233" s="38" t="str">
        <f t="shared" si="33"/>
        <v/>
      </c>
      <c r="AE233" s="38" t="str">
        <f t="shared" si="34"/>
        <v/>
      </c>
      <c r="AF233" s="38" t="str">
        <f t="shared" si="35"/>
        <v/>
      </c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38" t="str">
        <f>IF(OR(A234="Автомат",A234="Дифавтомат"),IF(W234="","",COUNTIFS(Однолинейка!$H$3:$H$3000,U234,Однолинейка!$A$3:$A$3000,Щит_спец)),IF(A234="Аппарат",IF(C234="","",COUNTIFS(Однолинейка!$I$3:$I$3000,C234,Однолинейка!$A$3:$A$3000,Щит_спец)+COUNTIFS(Однолинейка!$J$3:$J$3000,C234,Однолинейка!$A$3:$A$3000,Щит_спец)+COUNTIFS(Однолинейка!$K$3:$K$3000,C234,Однолинейка!$A$3:$A$3000,Щит_спец)),IF(A234="Модуль",IF(C234="","",COUNTIFS(Однолинейка!$AW$3:$AW$3000,"?*",Однолинейка!$AI$3:$AI$3000,C234,Однолинейка!$A$3:$A$3000,Щит_спец)),IF(A234="Клемма",IF(C234="","",IF(C234=$S$7,SUMIFS(Однолинейка!$BW$3:$BW$3000,Однолинейка!$A$3:$A$3000,Щит_спец),IF(C234=$S$8,SUMIFS(Однолинейка!$BX$3:$BX$3000,Однолинейка!$A$3:$A$3000,Щит_спец),""))),""))))</f>
        <v/>
      </c>
      <c r="O234" s="74"/>
      <c r="P234" s="38" t="str">
        <f t="shared" si="27"/>
        <v/>
      </c>
      <c r="U234" s="38" t="str">
        <f t="shared" si="28"/>
        <v/>
      </c>
      <c r="V234" s="38" t="str">
        <f t="shared" si="29"/>
        <v/>
      </c>
      <c r="W234" s="38" t="str">
        <f>IF(AND(U234&lt;&gt;"",OR($S$4="(все)",B234=$S$4),IF($S$4="(все)",COUNTIF($U$4:U234,U234),COUNTIFS($U$4:U234,U234,$B$4:B234,B234))=1),MAX($W$3:W233)+1,"")</f>
        <v/>
      </c>
      <c r="X234" s="38" t="str">
        <f t="shared" si="30"/>
        <v/>
      </c>
      <c r="Y234" s="38" t="str">
        <f>IF(AND(A234="Аппарат",C234&lt;&gt;"",OR($S$5="(все)",B234=$S$5)),MAX($Y$3:Y233)+1,"")</f>
        <v/>
      </c>
      <c r="Z234" s="38" t="str">
        <f t="shared" si="31"/>
        <v/>
      </c>
      <c r="AA234" s="38" t="str">
        <f>IF(AND(A234="Модуль",C234&lt;&gt;"",OR($S$6="(все)",B234=$S$6)),MAX($AA$3:AA233)+1,"")</f>
        <v/>
      </c>
      <c r="AB234" s="38" t="str">
        <f t="shared" si="32"/>
        <v/>
      </c>
      <c r="AC234" s="38" t="str">
        <f>IF(OR(B234="",COUNTIF($B$4:B234,B234)&gt;1),"",MAX($AC$3:AC233)+1)</f>
        <v/>
      </c>
      <c r="AD234" s="38" t="str">
        <f t="shared" si="33"/>
        <v/>
      </c>
      <c r="AE234" s="38" t="str">
        <f t="shared" si="34"/>
        <v/>
      </c>
      <c r="AF234" s="38" t="str">
        <f t="shared" si="35"/>
        <v/>
      </c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38" t="str">
        <f>IF(OR(A235="Автомат",A235="Дифавтомат"),IF(W235="","",COUNTIFS(Однолинейка!$H$3:$H$3000,U235,Однолинейка!$A$3:$A$3000,Щит_спец)),IF(A235="Аппарат",IF(C235="","",COUNTIFS(Однолинейка!$I$3:$I$3000,C235,Однолинейка!$A$3:$A$3000,Щит_спец)+COUNTIFS(Однолинейка!$J$3:$J$3000,C235,Однолинейка!$A$3:$A$3000,Щит_спец)+COUNTIFS(Однолинейка!$K$3:$K$3000,C235,Однолинейка!$A$3:$A$3000,Щит_спец)),IF(A235="Модуль",IF(C235="","",COUNTIFS(Однолинейка!$AW$3:$AW$3000,"?*",Однолинейка!$AI$3:$AI$3000,C235,Однолинейка!$A$3:$A$3000,Щит_спец)),IF(A235="Клемма",IF(C235="","",IF(C235=$S$7,SUMIFS(Однолинейка!$BW$3:$BW$3000,Однолинейка!$A$3:$A$3000,Щит_спец),IF(C235=$S$8,SUMIFS(Однолинейка!$BX$3:$BX$3000,Однолинейка!$A$3:$A$3000,Щит_спец),""))),""))))</f>
        <v/>
      </c>
      <c r="O235" s="74"/>
      <c r="P235" s="38" t="str">
        <f t="shared" si="27"/>
        <v/>
      </c>
      <c r="U235" s="38" t="str">
        <f t="shared" si="28"/>
        <v/>
      </c>
      <c r="V235" s="38" t="str">
        <f t="shared" si="29"/>
        <v/>
      </c>
      <c r="W235" s="38" t="str">
        <f>IF(AND(U235&lt;&gt;"",OR($S$4="(все)",B235=$S$4),IF($S$4="(все)",COUNTIF($U$4:U235,U235),COUNTIFS($U$4:U235,U235,$B$4:B235,B235))=1),MAX($W$3:W234)+1,"")</f>
        <v/>
      </c>
      <c r="X235" s="38" t="str">
        <f t="shared" si="30"/>
        <v/>
      </c>
      <c r="Y235" s="38" t="str">
        <f>IF(AND(A235="Аппарат",C235&lt;&gt;"",OR($S$5="(все)",B235=$S$5)),MAX($Y$3:Y234)+1,"")</f>
        <v/>
      </c>
      <c r="Z235" s="38" t="str">
        <f t="shared" si="31"/>
        <v/>
      </c>
      <c r="AA235" s="38" t="str">
        <f>IF(AND(A235="Модуль",C235&lt;&gt;"",OR($S$6="(все)",B235=$S$6)),MAX($AA$3:AA234)+1,"")</f>
        <v/>
      </c>
      <c r="AB235" s="38" t="str">
        <f t="shared" si="32"/>
        <v/>
      </c>
      <c r="AC235" s="38" t="str">
        <f>IF(OR(B235="",COUNTIF($B$4:B235,B235)&gt;1),"",MAX($AC$3:AC234)+1)</f>
        <v/>
      </c>
      <c r="AD235" s="38" t="str">
        <f t="shared" si="33"/>
        <v/>
      </c>
      <c r="AE235" s="38" t="str">
        <f t="shared" si="34"/>
        <v/>
      </c>
      <c r="AF235" s="38" t="str">
        <f t="shared" si="35"/>
        <v/>
      </c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38" t="str">
        <f>IF(OR(A236="Автомат",A236="Дифавтомат"),IF(W236="","",COUNTIFS(Однолинейка!$H$3:$H$3000,U236,Однолинейка!$A$3:$A$3000,Щит_спец)),IF(A236="Аппарат",IF(C236="","",COUNTIFS(Однолинейка!$I$3:$I$3000,C236,Однолинейка!$A$3:$A$3000,Щит_спец)+COUNTIFS(Однолинейка!$J$3:$J$3000,C236,Однолинейка!$A$3:$A$3000,Щит_спец)+COUNTIFS(Однолинейка!$K$3:$K$3000,C236,Однолинейка!$A$3:$A$3000,Щит_спец)),IF(A236="Модуль",IF(C236="","",COUNTIFS(Однолинейка!$AW$3:$AW$3000,"?*",Однолинейка!$AI$3:$AI$3000,C236,Однолинейка!$A$3:$A$3000,Щит_спец)),IF(A236="Клемма",IF(C236="","",IF(C236=$S$7,SUMIFS(Однолинейка!$BW$3:$BW$3000,Однолинейка!$A$3:$A$3000,Щит_спец),IF(C236=$S$8,SUMIFS(Однолинейка!$BX$3:$BX$3000,Однолинейка!$A$3:$A$3000,Щит_спец),""))),""))))</f>
        <v/>
      </c>
      <c r="O236" s="74"/>
      <c r="P236" s="38" t="str">
        <f t="shared" si="27"/>
        <v/>
      </c>
      <c r="U236" s="38" t="str">
        <f t="shared" si="28"/>
        <v/>
      </c>
      <c r="V236" s="38" t="str">
        <f t="shared" si="29"/>
        <v/>
      </c>
      <c r="W236" s="38" t="str">
        <f>IF(AND(U236&lt;&gt;"",OR($S$4="(все)",B236=$S$4),IF($S$4="(все)",COUNTIF($U$4:U236,U236),COUNTIFS($U$4:U236,U236,$B$4:B236,B236))=1),MAX($W$3:W235)+1,"")</f>
        <v/>
      </c>
      <c r="X236" s="38" t="str">
        <f t="shared" si="30"/>
        <v/>
      </c>
      <c r="Y236" s="38" t="str">
        <f>IF(AND(A236="Аппарат",C236&lt;&gt;"",OR($S$5="(все)",B236=$S$5)),MAX($Y$3:Y235)+1,"")</f>
        <v/>
      </c>
      <c r="Z236" s="38" t="str">
        <f t="shared" si="31"/>
        <v/>
      </c>
      <c r="AA236" s="38" t="str">
        <f>IF(AND(A236="Модуль",C236&lt;&gt;"",OR($S$6="(все)",B236=$S$6)),MAX($AA$3:AA235)+1,"")</f>
        <v/>
      </c>
      <c r="AB236" s="38" t="str">
        <f t="shared" si="32"/>
        <v/>
      </c>
      <c r="AC236" s="38" t="str">
        <f>IF(OR(B236="",COUNTIF($B$4:B236,B236)&gt;1),"",MAX($AC$3:AC235)+1)</f>
        <v/>
      </c>
      <c r="AD236" s="38" t="str">
        <f t="shared" si="33"/>
        <v/>
      </c>
      <c r="AE236" s="38" t="str">
        <f t="shared" si="34"/>
        <v/>
      </c>
      <c r="AF236" s="38" t="str">
        <f t="shared" si="35"/>
        <v/>
      </c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38" t="str">
        <f>IF(OR(A237="Автомат",A237="Дифавтомат"),IF(W237="","",COUNTIFS(Однолинейка!$H$3:$H$3000,U237,Однолинейка!$A$3:$A$3000,Щит_спец)),IF(A237="Аппарат",IF(C237="","",COUNTIFS(Однолинейка!$I$3:$I$3000,C237,Однолинейка!$A$3:$A$3000,Щит_спец)+COUNTIFS(Однолинейка!$J$3:$J$3000,C237,Однолинейка!$A$3:$A$3000,Щит_спец)+COUNTIFS(Однолинейка!$K$3:$K$3000,C237,Однолинейка!$A$3:$A$3000,Щит_спец)),IF(A237="Модуль",IF(C237="","",COUNTIFS(Однолинейка!$AW$3:$AW$3000,"?*",Однолинейка!$AI$3:$AI$3000,C237,Однолинейка!$A$3:$A$3000,Щит_спец)),IF(A237="Клемма",IF(C237="","",IF(C237=$S$7,SUMIFS(Однолинейка!$BW$3:$BW$3000,Однолинейка!$A$3:$A$3000,Щит_спец),IF(C237=$S$8,SUMIFS(Однолинейка!$BX$3:$BX$3000,Однолинейка!$A$3:$A$3000,Щит_спец),""))),""))))</f>
        <v/>
      </c>
      <c r="O237" s="74"/>
      <c r="P237" s="38" t="str">
        <f t="shared" si="27"/>
        <v/>
      </c>
      <c r="U237" s="38" t="str">
        <f t="shared" si="28"/>
        <v/>
      </c>
      <c r="V237" s="38" t="str">
        <f t="shared" si="29"/>
        <v/>
      </c>
      <c r="W237" s="38" t="str">
        <f>IF(AND(U237&lt;&gt;"",OR($S$4="(все)",B237=$S$4),IF($S$4="(все)",COUNTIF($U$4:U237,U237),COUNTIFS($U$4:U237,U237,$B$4:B237,B237))=1),MAX($W$3:W236)+1,"")</f>
        <v/>
      </c>
      <c r="X237" s="38" t="str">
        <f t="shared" si="30"/>
        <v/>
      </c>
      <c r="Y237" s="38" t="str">
        <f>IF(AND(A237="Аппарат",C237&lt;&gt;"",OR($S$5="(все)",B237=$S$5)),MAX($Y$3:Y236)+1,"")</f>
        <v/>
      </c>
      <c r="Z237" s="38" t="str">
        <f t="shared" si="31"/>
        <v/>
      </c>
      <c r="AA237" s="38" t="str">
        <f>IF(AND(A237="Модуль",C237&lt;&gt;"",OR($S$6="(все)",B237=$S$6)),MAX($AA$3:AA236)+1,"")</f>
        <v/>
      </c>
      <c r="AB237" s="38" t="str">
        <f t="shared" si="32"/>
        <v/>
      </c>
      <c r="AC237" s="38" t="str">
        <f>IF(OR(B237="",COUNTIF($B$4:B237,B237)&gt;1),"",MAX($AC$3:AC236)+1)</f>
        <v/>
      </c>
      <c r="AD237" s="38" t="str">
        <f t="shared" si="33"/>
        <v/>
      </c>
      <c r="AE237" s="38" t="str">
        <f t="shared" si="34"/>
        <v/>
      </c>
      <c r="AF237" s="38" t="str">
        <f t="shared" si="35"/>
        <v/>
      </c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38" t="str">
        <f>IF(OR(A238="Автомат",A238="Дифавтомат"),IF(W238="","",COUNTIFS(Однолинейка!$H$3:$H$3000,U238,Однолинейка!$A$3:$A$3000,Щит_спец)),IF(A238="Аппарат",IF(C238="","",COUNTIFS(Однолинейка!$I$3:$I$3000,C238,Однолинейка!$A$3:$A$3000,Щит_спец)+COUNTIFS(Однолинейка!$J$3:$J$3000,C238,Однолинейка!$A$3:$A$3000,Щит_спец)+COUNTIFS(Однолинейка!$K$3:$K$3000,C238,Однолинейка!$A$3:$A$3000,Щит_спец)),IF(A238="Модуль",IF(C238="","",COUNTIFS(Однолинейка!$AW$3:$AW$3000,"?*",Однолинейка!$AI$3:$AI$3000,C238,Однолинейка!$A$3:$A$3000,Щит_спец)),IF(A238="Клемма",IF(C238="","",IF(C238=$S$7,SUMIFS(Однолинейка!$BW$3:$BW$3000,Однолинейка!$A$3:$A$3000,Щит_спец),IF(C238=$S$8,SUMIFS(Однолинейка!$BX$3:$BX$3000,Однолинейка!$A$3:$A$3000,Щит_спец),""))),""))))</f>
        <v/>
      </c>
      <c r="O238" s="74"/>
      <c r="P238" s="38" t="str">
        <f t="shared" si="27"/>
        <v/>
      </c>
      <c r="U238" s="38" t="str">
        <f t="shared" si="28"/>
        <v/>
      </c>
      <c r="V238" s="38" t="str">
        <f t="shared" si="29"/>
        <v/>
      </c>
      <c r="W238" s="38" t="str">
        <f>IF(AND(U238&lt;&gt;"",OR($S$4="(все)",B238=$S$4),IF($S$4="(все)",COUNTIF($U$4:U238,U238),COUNTIFS($U$4:U238,U238,$B$4:B238,B238))=1),MAX($W$3:W237)+1,"")</f>
        <v/>
      </c>
      <c r="X238" s="38" t="str">
        <f t="shared" si="30"/>
        <v/>
      </c>
      <c r="Y238" s="38" t="str">
        <f>IF(AND(A238="Аппарат",C238&lt;&gt;"",OR($S$5="(все)",B238=$S$5)),MAX($Y$3:Y237)+1,"")</f>
        <v/>
      </c>
      <c r="Z238" s="38" t="str">
        <f t="shared" si="31"/>
        <v/>
      </c>
      <c r="AA238" s="38" t="str">
        <f>IF(AND(A238="Модуль",C238&lt;&gt;"",OR($S$6="(все)",B238=$S$6)),MAX($AA$3:AA237)+1,"")</f>
        <v/>
      </c>
      <c r="AB238" s="38" t="str">
        <f t="shared" si="32"/>
        <v/>
      </c>
      <c r="AC238" s="38" t="str">
        <f>IF(OR(B238="",COUNTIF($B$4:B238,B238)&gt;1),"",MAX($AC$3:AC237)+1)</f>
        <v/>
      </c>
      <c r="AD238" s="38" t="str">
        <f t="shared" si="33"/>
        <v/>
      </c>
      <c r="AE238" s="38" t="str">
        <f t="shared" si="34"/>
        <v/>
      </c>
      <c r="AF238" s="38" t="str">
        <f t="shared" si="35"/>
        <v/>
      </c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38" t="str">
        <f>IF(OR(A239="Автомат",A239="Дифавтомат"),IF(W239="","",COUNTIFS(Однолинейка!$H$3:$H$3000,U239,Однолинейка!$A$3:$A$3000,Щит_спец)),IF(A239="Аппарат",IF(C239="","",COUNTIFS(Однолинейка!$I$3:$I$3000,C239,Однолинейка!$A$3:$A$3000,Щит_спец)+COUNTIFS(Однолинейка!$J$3:$J$3000,C239,Однолинейка!$A$3:$A$3000,Щит_спец)+COUNTIFS(Однолинейка!$K$3:$K$3000,C239,Однолинейка!$A$3:$A$3000,Щит_спец)),IF(A239="Модуль",IF(C239="","",COUNTIFS(Однолинейка!$AW$3:$AW$3000,"?*",Однолинейка!$AI$3:$AI$3000,C239,Однолинейка!$A$3:$A$3000,Щит_спец)),IF(A239="Клемма",IF(C239="","",IF(C239=$S$7,SUMIFS(Однолинейка!$BW$3:$BW$3000,Однолинейка!$A$3:$A$3000,Щит_спец),IF(C239=$S$8,SUMIFS(Однолинейка!$BX$3:$BX$3000,Однолинейка!$A$3:$A$3000,Щит_спец),""))),""))))</f>
        <v/>
      </c>
      <c r="O239" s="74"/>
      <c r="P239" s="38" t="str">
        <f t="shared" si="27"/>
        <v/>
      </c>
      <c r="U239" s="38" t="str">
        <f t="shared" si="28"/>
        <v/>
      </c>
      <c r="V239" s="38" t="str">
        <f t="shared" si="29"/>
        <v/>
      </c>
      <c r="W239" s="38" t="str">
        <f>IF(AND(U239&lt;&gt;"",OR($S$4="(все)",B239=$S$4),IF($S$4="(все)",COUNTIF($U$4:U239,U239),COUNTIFS($U$4:U239,U239,$B$4:B239,B239))=1),MAX($W$3:W238)+1,"")</f>
        <v/>
      </c>
      <c r="X239" s="38" t="str">
        <f t="shared" si="30"/>
        <v/>
      </c>
      <c r="Y239" s="38" t="str">
        <f>IF(AND(A239="Аппарат",C239&lt;&gt;"",OR($S$5="(все)",B239=$S$5)),MAX($Y$3:Y238)+1,"")</f>
        <v/>
      </c>
      <c r="Z239" s="38" t="str">
        <f t="shared" si="31"/>
        <v/>
      </c>
      <c r="AA239" s="38" t="str">
        <f>IF(AND(A239="Модуль",C239&lt;&gt;"",OR($S$6="(все)",B239=$S$6)),MAX($AA$3:AA238)+1,"")</f>
        <v/>
      </c>
      <c r="AB239" s="38" t="str">
        <f t="shared" si="32"/>
        <v/>
      </c>
      <c r="AC239" s="38" t="str">
        <f>IF(OR(B239="",COUNTIF($B$4:B239,B239)&gt;1),"",MAX($AC$3:AC238)+1)</f>
        <v/>
      </c>
      <c r="AD239" s="38" t="str">
        <f t="shared" si="33"/>
        <v/>
      </c>
      <c r="AE239" s="38" t="str">
        <f t="shared" si="34"/>
        <v/>
      </c>
      <c r="AF239" s="38" t="str">
        <f t="shared" si="35"/>
        <v/>
      </c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38" t="str">
        <f>IF(OR(A240="Автомат",A240="Дифавтомат"),IF(W240="","",COUNTIFS(Однолинейка!$H$3:$H$3000,U240,Однолинейка!$A$3:$A$3000,Щит_спец)),IF(A240="Аппарат",IF(C240="","",COUNTIFS(Однолинейка!$I$3:$I$3000,C240,Однолинейка!$A$3:$A$3000,Щит_спец)+COUNTIFS(Однолинейка!$J$3:$J$3000,C240,Однолинейка!$A$3:$A$3000,Щит_спец)+COUNTIFS(Однолинейка!$K$3:$K$3000,C240,Однолинейка!$A$3:$A$3000,Щит_спец)),IF(A240="Модуль",IF(C240="","",COUNTIFS(Однолинейка!$AW$3:$AW$3000,"?*",Однолинейка!$AI$3:$AI$3000,C240,Однолинейка!$A$3:$A$3000,Щит_спец)),IF(A240="Клемма",IF(C240="","",IF(C240=$S$7,SUMIFS(Однолинейка!$BW$3:$BW$3000,Однолинейка!$A$3:$A$3000,Щит_спец),IF(C240=$S$8,SUMIFS(Однолинейка!$BX$3:$BX$3000,Однолинейка!$A$3:$A$3000,Щит_спец),""))),""))))</f>
        <v/>
      </c>
      <c r="O240" s="74"/>
      <c r="P240" s="38" t="str">
        <f t="shared" si="27"/>
        <v/>
      </c>
      <c r="U240" s="38" t="str">
        <f t="shared" si="28"/>
        <v/>
      </c>
      <c r="V240" s="38" t="str">
        <f t="shared" si="29"/>
        <v/>
      </c>
      <c r="W240" s="38" t="str">
        <f>IF(AND(U240&lt;&gt;"",OR($S$4="(все)",B240=$S$4),IF($S$4="(все)",COUNTIF($U$4:U240,U240),COUNTIFS($U$4:U240,U240,$B$4:B240,B240))=1),MAX($W$3:W239)+1,"")</f>
        <v/>
      </c>
      <c r="X240" s="38" t="str">
        <f t="shared" si="30"/>
        <v/>
      </c>
      <c r="Y240" s="38" t="str">
        <f>IF(AND(A240="Аппарат",C240&lt;&gt;"",OR($S$5="(все)",B240=$S$5)),MAX($Y$3:Y239)+1,"")</f>
        <v/>
      </c>
      <c r="Z240" s="38" t="str">
        <f t="shared" si="31"/>
        <v/>
      </c>
      <c r="AA240" s="38" t="str">
        <f>IF(AND(A240="Модуль",C240&lt;&gt;"",OR($S$6="(все)",B240=$S$6)),MAX($AA$3:AA239)+1,"")</f>
        <v/>
      </c>
      <c r="AB240" s="38" t="str">
        <f t="shared" si="32"/>
        <v/>
      </c>
      <c r="AC240" s="38" t="str">
        <f>IF(OR(B240="",COUNTIF($B$4:B240,B240)&gt;1),"",MAX($AC$3:AC239)+1)</f>
        <v/>
      </c>
      <c r="AD240" s="38" t="str">
        <f t="shared" si="33"/>
        <v/>
      </c>
      <c r="AE240" s="38" t="str">
        <f t="shared" si="34"/>
        <v/>
      </c>
      <c r="AF240" s="38" t="str">
        <f t="shared" si="35"/>
        <v/>
      </c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38" t="str">
        <f>IF(OR(A241="Автомат",A241="Дифавтомат"),IF(W241="","",COUNTIFS(Однолинейка!$H$3:$H$3000,U241,Однолинейка!$A$3:$A$3000,Щит_спец)),IF(A241="Аппарат",IF(C241="","",COUNTIFS(Однолинейка!$I$3:$I$3000,C241,Однолинейка!$A$3:$A$3000,Щит_спец)+COUNTIFS(Однолинейка!$J$3:$J$3000,C241,Однолинейка!$A$3:$A$3000,Щит_спец)+COUNTIFS(Однолинейка!$K$3:$K$3000,C241,Однолинейка!$A$3:$A$3000,Щит_спец)),IF(A241="Модуль",IF(C241="","",COUNTIFS(Однолинейка!$AW$3:$AW$3000,"?*",Однолинейка!$AI$3:$AI$3000,C241,Однолинейка!$A$3:$A$3000,Щит_спец)),IF(A241="Клемма",IF(C241="","",IF(C241=$S$7,SUMIFS(Однолинейка!$BW$3:$BW$3000,Однолинейка!$A$3:$A$3000,Щит_спец),IF(C241=$S$8,SUMIFS(Однолинейка!$BX$3:$BX$3000,Однолинейка!$A$3:$A$3000,Щит_спец),""))),""))))</f>
        <v/>
      </c>
      <c r="O241" s="74"/>
      <c r="P241" s="38" t="str">
        <f t="shared" si="27"/>
        <v/>
      </c>
      <c r="U241" s="38" t="str">
        <f t="shared" si="28"/>
        <v/>
      </c>
      <c r="V241" s="38" t="str">
        <f t="shared" si="29"/>
        <v/>
      </c>
      <c r="W241" s="38" t="str">
        <f>IF(AND(U241&lt;&gt;"",OR($S$4="(все)",B241=$S$4),IF($S$4="(все)",COUNTIF($U$4:U241,U241),COUNTIFS($U$4:U241,U241,$B$4:B241,B241))=1),MAX($W$3:W240)+1,"")</f>
        <v/>
      </c>
      <c r="X241" s="38" t="str">
        <f t="shared" si="30"/>
        <v/>
      </c>
      <c r="Y241" s="38" t="str">
        <f>IF(AND(A241="Аппарат",C241&lt;&gt;"",OR($S$5="(все)",B241=$S$5)),MAX($Y$3:Y240)+1,"")</f>
        <v/>
      </c>
      <c r="Z241" s="38" t="str">
        <f t="shared" si="31"/>
        <v/>
      </c>
      <c r="AA241" s="38" t="str">
        <f>IF(AND(A241="Модуль",C241&lt;&gt;"",OR($S$6="(все)",B241=$S$6)),MAX($AA$3:AA240)+1,"")</f>
        <v/>
      </c>
      <c r="AB241" s="38" t="str">
        <f t="shared" si="32"/>
        <v/>
      </c>
      <c r="AC241" s="38" t="str">
        <f>IF(OR(B241="",COUNTIF($B$4:B241,B241)&gt;1),"",MAX($AC$3:AC240)+1)</f>
        <v/>
      </c>
      <c r="AD241" s="38" t="str">
        <f t="shared" si="33"/>
        <v/>
      </c>
      <c r="AE241" s="38" t="str">
        <f t="shared" si="34"/>
        <v/>
      </c>
      <c r="AF241" s="38" t="str">
        <f t="shared" si="35"/>
        <v/>
      </c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38" t="str">
        <f>IF(OR(A242="Автомат",A242="Дифавтомат"),IF(W242="","",COUNTIFS(Однолинейка!$H$3:$H$3000,U242,Однолинейка!$A$3:$A$3000,Щит_спец)),IF(A242="Аппарат",IF(C242="","",COUNTIFS(Однолинейка!$I$3:$I$3000,C242,Однолинейка!$A$3:$A$3000,Щит_спец)+COUNTIFS(Однолинейка!$J$3:$J$3000,C242,Однолинейка!$A$3:$A$3000,Щит_спец)+COUNTIFS(Однолинейка!$K$3:$K$3000,C242,Однолинейка!$A$3:$A$3000,Щит_спец)),IF(A242="Модуль",IF(C242="","",COUNTIFS(Однолинейка!$AW$3:$AW$3000,"?*",Однолинейка!$AI$3:$AI$3000,C242,Однолинейка!$A$3:$A$3000,Щит_спец)),IF(A242="Клемма",IF(C242="","",IF(C242=$S$7,SUMIFS(Однолинейка!$BW$3:$BW$3000,Однолинейка!$A$3:$A$3000,Щит_спец),IF(C242=$S$8,SUMIFS(Однолинейка!$BX$3:$BX$3000,Однолинейка!$A$3:$A$3000,Щит_спец),""))),""))))</f>
        <v/>
      </c>
      <c r="O242" s="74"/>
      <c r="P242" s="38" t="str">
        <f t="shared" si="27"/>
        <v/>
      </c>
      <c r="U242" s="38" t="str">
        <f t="shared" si="28"/>
        <v/>
      </c>
      <c r="V242" s="38" t="str">
        <f t="shared" si="29"/>
        <v/>
      </c>
      <c r="W242" s="38" t="str">
        <f>IF(AND(U242&lt;&gt;"",OR($S$4="(все)",B242=$S$4),IF($S$4="(все)",COUNTIF($U$4:U242,U242),COUNTIFS($U$4:U242,U242,$B$4:B242,B242))=1),MAX($W$3:W241)+1,"")</f>
        <v/>
      </c>
      <c r="X242" s="38" t="str">
        <f t="shared" si="30"/>
        <v/>
      </c>
      <c r="Y242" s="38" t="str">
        <f>IF(AND(A242="Аппарат",C242&lt;&gt;"",OR($S$5="(все)",B242=$S$5)),MAX($Y$3:Y241)+1,"")</f>
        <v/>
      </c>
      <c r="Z242" s="38" t="str">
        <f t="shared" si="31"/>
        <v/>
      </c>
      <c r="AA242" s="38" t="str">
        <f>IF(AND(A242="Модуль",C242&lt;&gt;"",OR($S$6="(все)",B242=$S$6)),MAX($AA$3:AA241)+1,"")</f>
        <v/>
      </c>
      <c r="AB242" s="38" t="str">
        <f t="shared" si="32"/>
        <v/>
      </c>
      <c r="AC242" s="38" t="str">
        <f>IF(OR(B242="",COUNTIF($B$4:B242,B242)&gt;1),"",MAX($AC$3:AC241)+1)</f>
        <v/>
      </c>
      <c r="AD242" s="38" t="str">
        <f t="shared" si="33"/>
        <v/>
      </c>
      <c r="AE242" s="38" t="str">
        <f t="shared" si="34"/>
        <v/>
      </c>
      <c r="AF242" s="38" t="str">
        <f t="shared" si="35"/>
        <v/>
      </c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38" t="str">
        <f>IF(OR(A243="Автомат",A243="Дифавтомат"),IF(W243="","",COUNTIFS(Однолинейка!$H$3:$H$3000,U243,Однолинейка!$A$3:$A$3000,Щит_спец)),IF(A243="Аппарат",IF(C243="","",COUNTIFS(Однолинейка!$I$3:$I$3000,C243,Однолинейка!$A$3:$A$3000,Щит_спец)+COUNTIFS(Однолинейка!$J$3:$J$3000,C243,Однолинейка!$A$3:$A$3000,Щит_спец)+COUNTIFS(Однолинейка!$K$3:$K$3000,C243,Однолинейка!$A$3:$A$3000,Щит_спец)),IF(A243="Модуль",IF(C243="","",COUNTIFS(Однолинейка!$AW$3:$AW$3000,"?*",Однолинейка!$AI$3:$AI$3000,C243,Однолинейка!$A$3:$A$3000,Щит_спец)),IF(A243="Клемма",IF(C243="","",IF(C243=$S$7,SUMIFS(Однолинейка!$BW$3:$BW$3000,Однолинейка!$A$3:$A$3000,Щит_спец),IF(C243=$S$8,SUMIFS(Однолинейка!$BX$3:$BX$3000,Однолинейка!$A$3:$A$3000,Щит_спец),""))),""))))</f>
        <v/>
      </c>
      <c r="O243" s="74"/>
      <c r="P243" s="38" t="str">
        <f t="shared" si="27"/>
        <v/>
      </c>
      <c r="U243" s="38" t="str">
        <f t="shared" si="28"/>
        <v/>
      </c>
      <c r="V243" s="38" t="str">
        <f t="shared" si="29"/>
        <v/>
      </c>
      <c r="W243" s="38" t="str">
        <f>IF(AND(U243&lt;&gt;"",OR($S$4="(все)",B243=$S$4),IF($S$4="(все)",COUNTIF($U$4:U243,U243),COUNTIFS($U$4:U243,U243,$B$4:B243,B243))=1),MAX($W$3:W242)+1,"")</f>
        <v/>
      </c>
      <c r="X243" s="38" t="str">
        <f t="shared" si="30"/>
        <v/>
      </c>
      <c r="Y243" s="38" t="str">
        <f>IF(AND(A243="Аппарат",C243&lt;&gt;"",OR($S$5="(все)",B243=$S$5)),MAX($Y$3:Y242)+1,"")</f>
        <v/>
      </c>
      <c r="Z243" s="38" t="str">
        <f t="shared" si="31"/>
        <v/>
      </c>
      <c r="AA243" s="38" t="str">
        <f>IF(AND(A243="Модуль",C243&lt;&gt;"",OR($S$6="(все)",B243=$S$6)),MAX($AA$3:AA242)+1,"")</f>
        <v/>
      </c>
      <c r="AB243" s="38" t="str">
        <f t="shared" si="32"/>
        <v/>
      </c>
      <c r="AC243" s="38" t="str">
        <f>IF(OR(B243="",COUNTIF($B$4:B243,B243)&gt;1),"",MAX($AC$3:AC242)+1)</f>
        <v/>
      </c>
      <c r="AD243" s="38" t="str">
        <f t="shared" si="33"/>
        <v/>
      </c>
      <c r="AE243" s="38" t="str">
        <f t="shared" si="34"/>
        <v/>
      </c>
      <c r="AF243" s="38" t="str">
        <f t="shared" si="35"/>
        <v/>
      </c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38" t="str">
        <f>IF(OR(A244="Автомат",A244="Дифавтомат"),IF(W244="","",COUNTIFS(Однолинейка!$H$3:$H$3000,U244,Однолинейка!$A$3:$A$3000,Щит_спец)),IF(A244="Аппарат",IF(C244="","",COUNTIFS(Однолинейка!$I$3:$I$3000,C244,Однолинейка!$A$3:$A$3000,Щит_спец)+COUNTIFS(Однолинейка!$J$3:$J$3000,C244,Однолинейка!$A$3:$A$3000,Щит_спец)+COUNTIFS(Однолинейка!$K$3:$K$3000,C244,Однолинейка!$A$3:$A$3000,Щит_спец)),IF(A244="Модуль",IF(C244="","",COUNTIFS(Однолинейка!$AW$3:$AW$3000,"?*",Однолинейка!$AI$3:$AI$3000,C244,Однолинейка!$A$3:$A$3000,Щит_спец)),IF(A244="Клемма",IF(C244="","",IF(C244=$S$7,SUMIFS(Однолинейка!$BW$3:$BW$3000,Однолинейка!$A$3:$A$3000,Щит_спец),IF(C244=$S$8,SUMIFS(Однолинейка!$BX$3:$BX$3000,Однолинейка!$A$3:$A$3000,Щит_спец),""))),""))))</f>
        <v/>
      </c>
      <c r="O244" s="74"/>
      <c r="P244" s="38" t="str">
        <f t="shared" si="27"/>
        <v/>
      </c>
      <c r="U244" s="38" t="str">
        <f t="shared" si="28"/>
        <v/>
      </c>
      <c r="V244" s="38" t="str">
        <f t="shared" si="29"/>
        <v/>
      </c>
      <c r="W244" s="38" t="str">
        <f>IF(AND(U244&lt;&gt;"",OR($S$4="(все)",B244=$S$4),IF($S$4="(все)",COUNTIF($U$4:U244,U244),COUNTIFS($U$4:U244,U244,$B$4:B244,B244))=1),MAX($W$3:W243)+1,"")</f>
        <v/>
      </c>
      <c r="X244" s="38" t="str">
        <f t="shared" si="30"/>
        <v/>
      </c>
      <c r="Y244" s="38" t="str">
        <f>IF(AND(A244="Аппарат",C244&lt;&gt;"",OR($S$5="(все)",B244=$S$5)),MAX($Y$3:Y243)+1,"")</f>
        <v/>
      </c>
      <c r="Z244" s="38" t="str">
        <f t="shared" si="31"/>
        <v/>
      </c>
      <c r="AA244" s="38" t="str">
        <f>IF(AND(A244="Модуль",C244&lt;&gt;"",OR($S$6="(все)",B244=$S$6)),MAX($AA$3:AA243)+1,"")</f>
        <v/>
      </c>
      <c r="AB244" s="38" t="str">
        <f t="shared" si="32"/>
        <v/>
      </c>
      <c r="AC244" s="38" t="str">
        <f>IF(OR(B244="",COUNTIF($B$4:B244,B244)&gt;1),"",MAX($AC$3:AC243)+1)</f>
        <v/>
      </c>
      <c r="AD244" s="38" t="str">
        <f t="shared" si="33"/>
        <v/>
      </c>
      <c r="AE244" s="38" t="str">
        <f t="shared" si="34"/>
        <v/>
      </c>
      <c r="AF244" s="38" t="str">
        <f t="shared" si="35"/>
        <v/>
      </c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38" t="str">
        <f>IF(OR(A245="Автомат",A245="Дифавтомат"),IF(W245="","",COUNTIFS(Однолинейка!$H$3:$H$3000,U245,Однолинейка!$A$3:$A$3000,Щит_спец)),IF(A245="Аппарат",IF(C245="","",COUNTIFS(Однолинейка!$I$3:$I$3000,C245,Однолинейка!$A$3:$A$3000,Щит_спец)+COUNTIFS(Однолинейка!$J$3:$J$3000,C245,Однолинейка!$A$3:$A$3000,Щит_спец)+COUNTIFS(Однолинейка!$K$3:$K$3000,C245,Однолинейка!$A$3:$A$3000,Щит_спец)),IF(A245="Модуль",IF(C245="","",COUNTIFS(Однолинейка!$AW$3:$AW$3000,"?*",Однолинейка!$AI$3:$AI$3000,C245,Однолинейка!$A$3:$A$3000,Щит_спец)),IF(A245="Клемма",IF(C245="","",IF(C245=$S$7,SUMIFS(Однолинейка!$BW$3:$BW$3000,Однолинейка!$A$3:$A$3000,Щит_спец),IF(C245=$S$8,SUMIFS(Однолинейка!$BX$3:$BX$3000,Однолинейка!$A$3:$A$3000,Щит_спец),""))),""))))</f>
        <v/>
      </c>
      <c r="O245" s="74"/>
      <c r="P245" s="38" t="str">
        <f t="shared" si="27"/>
        <v/>
      </c>
      <c r="U245" s="38" t="str">
        <f t="shared" si="28"/>
        <v/>
      </c>
      <c r="V245" s="38" t="str">
        <f t="shared" si="29"/>
        <v/>
      </c>
      <c r="W245" s="38" t="str">
        <f>IF(AND(U245&lt;&gt;"",OR($S$4="(все)",B245=$S$4),IF($S$4="(все)",COUNTIF($U$4:U245,U245),COUNTIFS($U$4:U245,U245,$B$4:B245,B245))=1),MAX($W$3:W244)+1,"")</f>
        <v/>
      </c>
      <c r="X245" s="38" t="str">
        <f t="shared" si="30"/>
        <v/>
      </c>
      <c r="Y245" s="38" t="str">
        <f>IF(AND(A245="Аппарат",C245&lt;&gt;"",OR($S$5="(все)",B245=$S$5)),MAX($Y$3:Y244)+1,"")</f>
        <v/>
      </c>
      <c r="Z245" s="38" t="str">
        <f t="shared" si="31"/>
        <v/>
      </c>
      <c r="AA245" s="38" t="str">
        <f>IF(AND(A245="Модуль",C245&lt;&gt;"",OR($S$6="(все)",B245=$S$6)),MAX($AA$3:AA244)+1,"")</f>
        <v/>
      </c>
      <c r="AB245" s="38" t="str">
        <f t="shared" si="32"/>
        <v/>
      </c>
      <c r="AC245" s="38" t="str">
        <f>IF(OR(B245="",COUNTIF($B$4:B245,B245)&gt;1),"",MAX($AC$3:AC244)+1)</f>
        <v/>
      </c>
      <c r="AD245" s="38" t="str">
        <f t="shared" si="33"/>
        <v/>
      </c>
      <c r="AE245" s="38" t="str">
        <f t="shared" si="34"/>
        <v/>
      </c>
      <c r="AF245" s="38" t="str">
        <f t="shared" si="35"/>
        <v/>
      </c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38" t="str">
        <f>IF(OR(A246="Автомат",A246="Дифавтомат"),IF(W246="","",COUNTIFS(Однолинейка!$H$3:$H$3000,U246,Однолинейка!$A$3:$A$3000,Щит_спец)),IF(A246="Аппарат",IF(C246="","",COUNTIFS(Однолинейка!$I$3:$I$3000,C246,Однолинейка!$A$3:$A$3000,Щит_спец)+COUNTIFS(Однолинейка!$J$3:$J$3000,C246,Однолинейка!$A$3:$A$3000,Щит_спец)+COUNTIFS(Однолинейка!$K$3:$K$3000,C246,Однолинейка!$A$3:$A$3000,Щит_спец)),IF(A246="Модуль",IF(C246="","",COUNTIFS(Однолинейка!$AW$3:$AW$3000,"?*",Однолинейка!$AI$3:$AI$3000,C246,Однолинейка!$A$3:$A$3000,Щит_спец)),IF(A246="Клемма",IF(C246="","",IF(C246=$S$7,SUMIFS(Однолинейка!$BW$3:$BW$3000,Однолинейка!$A$3:$A$3000,Щит_спец),IF(C246=$S$8,SUMIFS(Однолинейка!$BX$3:$BX$3000,Однолинейка!$A$3:$A$3000,Щит_спец),""))),""))))</f>
        <v/>
      </c>
      <c r="O246" s="74"/>
      <c r="P246" s="38" t="str">
        <f t="shared" si="27"/>
        <v/>
      </c>
      <c r="U246" s="38" t="str">
        <f t="shared" si="28"/>
        <v/>
      </c>
      <c r="V246" s="38" t="str">
        <f t="shared" si="29"/>
        <v/>
      </c>
      <c r="W246" s="38" t="str">
        <f>IF(AND(U246&lt;&gt;"",OR($S$4="(все)",B246=$S$4),IF($S$4="(все)",COUNTIF($U$4:U246,U246),COUNTIFS($U$4:U246,U246,$B$4:B246,B246))=1),MAX($W$3:W245)+1,"")</f>
        <v/>
      </c>
      <c r="X246" s="38" t="str">
        <f t="shared" si="30"/>
        <v/>
      </c>
      <c r="Y246" s="38" t="str">
        <f>IF(AND(A246="Аппарат",C246&lt;&gt;"",OR($S$5="(все)",B246=$S$5)),MAX($Y$3:Y245)+1,"")</f>
        <v/>
      </c>
      <c r="Z246" s="38" t="str">
        <f t="shared" si="31"/>
        <v/>
      </c>
      <c r="AA246" s="38" t="str">
        <f>IF(AND(A246="Модуль",C246&lt;&gt;"",OR($S$6="(все)",B246=$S$6)),MAX($AA$3:AA245)+1,"")</f>
        <v/>
      </c>
      <c r="AB246" s="38" t="str">
        <f t="shared" si="32"/>
        <v/>
      </c>
      <c r="AC246" s="38" t="str">
        <f>IF(OR(B246="",COUNTIF($B$4:B246,B246)&gt;1),"",MAX($AC$3:AC245)+1)</f>
        <v/>
      </c>
      <c r="AD246" s="38" t="str">
        <f t="shared" si="33"/>
        <v/>
      </c>
      <c r="AE246" s="38" t="str">
        <f t="shared" si="34"/>
        <v/>
      </c>
      <c r="AF246" s="38" t="str">
        <f t="shared" si="35"/>
        <v/>
      </c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38" t="str">
        <f>IF(OR(A247="Автомат",A247="Дифавтомат"),IF(W247="","",COUNTIFS(Однолинейка!$H$3:$H$3000,U247,Однолинейка!$A$3:$A$3000,Щит_спец)),IF(A247="Аппарат",IF(C247="","",COUNTIFS(Однолинейка!$I$3:$I$3000,C247,Однолинейка!$A$3:$A$3000,Щит_спец)+COUNTIFS(Однолинейка!$J$3:$J$3000,C247,Однолинейка!$A$3:$A$3000,Щит_спец)+COUNTIFS(Однолинейка!$K$3:$K$3000,C247,Однолинейка!$A$3:$A$3000,Щит_спец)),IF(A247="Модуль",IF(C247="","",COUNTIFS(Однолинейка!$AW$3:$AW$3000,"?*",Однолинейка!$AI$3:$AI$3000,C247,Однолинейка!$A$3:$A$3000,Щит_спец)),IF(A247="Клемма",IF(C247="","",IF(C247=$S$7,SUMIFS(Однолинейка!$BW$3:$BW$3000,Однолинейка!$A$3:$A$3000,Щит_спец),IF(C247=$S$8,SUMIFS(Однолинейка!$BX$3:$BX$3000,Однолинейка!$A$3:$A$3000,Щит_спец),""))),""))))</f>
        <v/>
      </c>
      <c r="O247" s="74"/>
      <c r="P247" s="38" t="str">
        <f t="shared" si="27"/>
        <v/>
      </c>
      <c r="U247" s="38" t="str">
        <f t="shared" si="28"/>
        <v/>
      </c>
      <c r="V247" s="38" t="str">
        <f t="shared" si="29"/>
        <v/>
      </c>
      <c r="W247" s="38" t="str">
        <f>IF(AND(U247&lt;&gt;"",OR($S$4="(все)",B247=$S$4),IF($S$4="(все)",COUNTIF($U$4:U247,U247),COUNTIFS($U$4:U247,U247,$B$4:B247,B247))=1),MAX($W$3:W246)+1,"")</f>
        <v/>
      </c>
      <c r="X247" s="38" t="str">
        <f t="shared" si="30"/>
        <v/>
      </c>
      <c r="Y247" s="38" t="str">
        <f>IF(AND(A247="Аппарат",C247&lt;&gt;"",OR($S$5="(все)",B247=$S$5)),MAX($Y$3:Y246)+1,"")</f>
        <v/>
      </c>
      <c r="Z247" s="38" t="str">
        <f t="shared" si="31"/>
        <v/>
      </c>
      <c r="AA247" s="38" t="str">
        <f>IF(AND(A247="Модуль",C247&lt;&gt;"",OR($S$6="(все)",B247=$S$6)),MAX($AA$3:AA246)+1,"")</f>
        <v/>
      </c>
      <c r="AB247" s="38" t="str">
        <f t="shared" si="32"/>
        <v/>
      </c>
      <c r="AC247" s="38" t="str">
        <f>IF(OR(B247="",COUNTIF($B$4:B247,B247)&gt;1),"",MAX($AC$3:AC246)+1)</f>
        <v/>
      </c>
      <c r="AD247" s="38" t="str">
        <f t="shared" si="33"/>
        <v/>
      </c>
      <c r="AE247" s="38" t="str">
        <f t="shared" si="34"/>
        <v/>
      </c>
      <c r="AF247" s="38" t="str">
        <f t="shared" si="35"/>
        <v/>
      </c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38" t="str">
        <f>IF(OR(A248="Автомат",A248="Дифавтомат"),IF(W248="","",COUNTIFS(Однолинейка!$H$3:$H$3000,U248,Однолинейка!$A$3:$A$3000,Щит_спец)),IF(A248="Аппарат",IF(C248="","",COUNTIFS(Однолинейка!$I$3:$I$3000,C248,Однолинейка!$A$3:$A$3000,Щит_спец)+COUNTIFS(Однолинейка!$J$3:$J$3000,C248,Однолинейка!$A$3:$A$3000,Щит_спец)+COUNTIFS(Однолинейка!$K$3:$K$3000,C248,Однолинейка!$A$3:$A$3000,Щит_спец)),IF(A248="Модуль",IF(C248="","",COUNTIFS(Однолинейка!$AW$3:$AW$3000,"?*",Однолинейка!$AI$3:$AI$3000,C248,Однолинейка!$A$3:$A$3000,Щит_спец)),IF(A248="Клемма",IF(C248="","",IF(C248=$S$7,SUMIFS(Однолинейка!$BW$3:$BW$3000,Однолинейка!$A$3:$A$3000,Щит_спец),IF(C248=$S$8,SUMIFS(Однолинейка!$BX$3:$BX$3000,Однолинейка!$A$3:$A$3000,Щит_спец),""))),""))))</f>
        <v/>
      </c>
      <c r="O248" s="74"/>
      <c r="P248" s="38" t="str">
        <f t="shared" si="27"/>
        <v/>
      </c>
      <c r="U248" s="38" t="str">
        <f t="shared" si="28"/>
        <v/>
      </c>
      <c r="V248" s="38" t="str">
        <f t="shared" si="29"/>
        <v/>
      </c>
      <c r="W248" s="38" t="str">
        <f>IF(AND(U248&lt;&gt;"",OR($S$4="(все)",B248=$S$4),IF($S$4="(все)",COUNTIF($U$4:U248,U248),COUNTIFS($U$4:U248,U248,$B$4:B248,B248))=1),MAX($W$3:W247)+1,"")</f>
        <v/>
      </c>
      <c r="X248" s="38" t="str">
        <f t="shared" si="30"/>
        <v/>
      </c>
      <c r="Y248" s="38" t="str">
        <f>IF(AND(A248="Аппарат",C248&lt;&gt;"",OR($S$5="(все)",B248=$S$5)),MAX($Y$3:Y247)+1,"")</f>
        <v/>
      </c>
      <c r="Z248" s="38" t="str">
        <f t="shared" si="31"/>
        <v/>
      </c>
      <c r="AA248" s="38" t="str">
        <f>IF(AND(A248="Модуль",C248&lt;&gt;"",OR($S$6="(все)",B248=$S$6)),MAX($AA$3:AA247)+1,"")</f>
        <v/>
      </c>
      <c r="AB248" s="38" t="str">
        <f t="shared" si="32"/>
        <v/>
      </c>
      <c r="AC248" s="38" t="str">
        <f>IF(OR(B248="",COUNTIF($B$4:B248,B248)&gt;1),"",MAX($AC$3:AC247)+1)</f>
        <v/>
      </c>
      <c r="AD248" s="38" t="str">
        <f t="shared" si="33"/>
        <v/>
      </c>
      <c r="AE248" s="38" t="str">
        <f t="shared" si="34"/>
        <v/>
      </c>
      <c r="AF248" s="38" t="str">
        <f t="shared" si="35"/>
        <v/>
      </c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38" t="str">
        <f>IF(OR(A249="Автомат",A249="Дифавтомат"),IF(W249="","",COUNTIFS(Однолинейка!$H$3:$H$3000,U249,Однолинейка!$A$3:$A$3000,Щит_спец)),IF(A249="Аппарат",IF(C249="","",COUNTIFS(Однолинейка!$I$3:$I$3000,C249,Однолинейка!$A$3:$A$3000,Щит_спец)+COUNTIFS(Однолинейка!$J$3:$J$3000,C249,Однолинейка!$A$3:$A$3000,Щит_спец)+COUNTIFS(Однолинейка!$K$3:$K$3000,C249,Однолинейка!$A$3:$A$3000,Щит_спец)),IF(A249="Модуль",IF(C249="","",COUNTIFS(Однолинейка!$AW$3:$AW$3000,"?*",Однолинейка!$AI$3:$AI$3000,C249,Однолинейка!$A$3:$A$3000,Щит_спец)),IF(A249="Клемма",IF(C249="","",IF(C249=$S$7,SUMIFS(Однолинейка!$BW$3:$BW$3000,Однолинейка!$A$3:$A$3000,Щит_спец),IF(C249=$S$8,SUMIFS(Однолинейка!$BX$3:$BX$3000,Однолинейка!$A$3:$A$3000,Щит_спец),""))),""))))</f>
        <v/>
      </c>
      <c r="O249" s="74"/>
      <c r="P249" s="38" t="str">
        <f t="shared" si="27"/>
        <v/>
      </c>
      <c r="U249" s="38" t="str">
        <f t="shared" si="28"/>
        <v/>
      </c>
      <c r="V249" s="38" t="str">
        <f t="shared" si="29"/>
        <v/>
      </c>
      <c r="W249" s="38" t="str">
        <f>IF(AND(U249&lt;&gt;"",OR($S$4="(все)",B249=$S$4),IF($S$4="(все)",COUNTIF($U$4:U249,U249),COUNTIFS($U$4:U249,U249,$B$4:B249,B249))=1),MAX($W$3:W248)+1,"")</f>
        <v/>
      </c>
      <c r="X249" s="38" t="str">
        <f t="shared" si="30"/>
        <v/>
      </c>
      <c r="Y249" s="38" t="str">
        <f>IF(AND(A249="Аппарат",C249&lt;&gt;"",OR($S$5="(все)",B249=$S$5)),MAX($Y$3:Y248)+1,"")</f>
        <v/>
      </c>
      <c r="Z249" s="38" t="str">
        <f t="shared" si="31"/>
        <v/>
      </c>
      <c r="AA249" s="38" t="str">
        <f>IF(AND(A249="Модуль",C249&lt;&gt;"",OR($S$6="(все)",B249=$S$6)),MAX($AA$3:AA248)+1,"")</f>
        <v/>
      </c>
      <c r="AB249" s="38" t="str">
        <f t="shared" si="32"/>
        <v/>
      </c>
      <c r="AC249" s="38" t="str">
        <f>IF(OR(B249="",COUNTIF($B$4:B249,B249)&gt;1),"",MAX($AC$3:AC248)+1)</f>
        <v/>
      </c>
      <c r="AD249" s="38" t="str">
        <f t="shared" si="33"/>
        <v/>
      </c>
      <c r="AE249" s="38" t="str">
        <f t="shared" si="34"/>
        <v/>
      </c>
      <c r="AF249" s="38" t="str">
        <f t="shared" si="35"/>
        <v/>
      </c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38" t="str">
        <f>IF(OR(A250="Автомат",A250="Дифавтомат"),IF(W250="","",COUNTIFS(Однолинейка!$H$3:$H$3000,U250,Однолинейка!$A$3:$A$3000,Щит_спец)),IF(A250="Аппарат",IF(C250="","",COUNTIFS(Однолинейка!$I$3:$I$3000,C250,Однолинейка!$A$3:$A$3000,Щит_спец)+COUNTIFS(Однолинейка!$J$3:$J$3000,C250,Однолинейка!$A$3:$A$3000,Щит_спец)+COUNTIFS(Однолинейка!$K$3:$K$3000,C250,Однолинейка!$A$3:$A$3000,Щит_спец)),IF(A250="Модуль",IF(C250="","",COUNTIFS(Однолинейка!$AW$3:$AW$3000,"?*",Однолинейка!$AI$3:$AI$3000,C250,Однолинейка!$A$3:$A$3000,Щит_спец)),IF(A250="Клемма",IF(C250="","",IF(C250=$S$7,SUMIFS(Однолинейка!$BW$3:$BW$3000,Однолинейка!$A$3:$A$3000,Щит_спец),IF(C250=$S$8,SUMIFS(Однолинейка!$BX$3:$BX$3000,Однолинейка!$A$3:$A$3000,Щит_спец),""))),""))))</f>
        <v/>
      </c>
      <c r="O250" s="74"/>
      <c r="P250" s="38" t="str">
        <f t="shared" si="27"/>
        <v/>
      </c>
      <c r="U250" s="38" t="str">
        <f t="shared" si="28"/>
        <v/>
      </c>
      <c r="V250" s="38" t="str">
        <f t="shared" si="29"/>
        <v/>
      </c>
      <c r="W250" s="38" t="str">
        <f>IF(AND(U250&lt;&gt;"",OR($S$4="(все)",B250=$S$4),IF($S$4="(все)",COUNTIF($U$4:U250,U250),COUNTIFS($U$4:U250,U250,$B$4:B250,B250))=1),MAX($W$3:W249)+1,"")</f>
        <v/>
      </c>
      <c r="X250" s="38" t="str">
        <f t="shared" si="30"/>
        <v/>
      </c>
      <c r="Y250" s="38" t="str">
        <f>IF(AND(A250="Аппарат",C250&lt;&gt;"",OR($S$5="(все)",B250=$S$5)),MAX($Y$3:Y249)+1,"")</f>
        <v/>
      </c>
      <c r="Z250" s="38" t="str">
        <f t="shared" si="31"/>
        <v/>
      </c>
      <c r="AA250" s="38" t="str">
        <f>IF(AND(A250="Модуль",C250&lt;&gt;"",OR($S$6="(все)",B250=$S$6)),MAX($AA$3:AA249)+1,"")</f>
        <v/>
      </c>
      <c r="AB250" s="38" t="str">
        <f t="shared" si="32"/>
        <v/>
      </c>
      <c r="AC250" s="38" t="str">
        <f>IF(OR(B250="",COUNTIF($B$4:B250,B250)&gt;1),"",MAX($AC$3:AC249)+1)</f>
        <v/>
      </c>
      <c r="AD250" s="38" t="str">
        <f t="shared" si="33"/>
        <v/>
      </c>
      <c r="AE250" s="38" t="str">
        <f t="shared" si="34"/>
        <v/>
      </c>
      <c r="AF250" s="38" t="str">
        <f t="shared" si="35"/>
        <v/>
      </c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38" t="str">
        <f>IF(OR(A251="Автомат",A251="Дифавтомат"),IF(W251="","",COUNTIFS(Однолинейка!$H$3:$H$3000,U251,Однолинейка!$A$3:$A$3000,Щит_спец)),IF(A251="Аппарат",IF(C251="","",COUNTIFS(Однолинейка!$I$3:$I$3000,C251,Однолинейка!$A$3:$A$3000,Щит_спец)+COUNTIFS(Однолинейка!$J$3:$J$3000,C251,Однолинейка!$A$3:$A$3000,Щит_спец)+COUNTIFS(Однолинейка!$K$3:$K$3000,C251,Однолинейка!$A$3:$A$3000,Щит_спец)),IF(A251="Модуль",IF(C251="","",COUNTIFS(Однолинейка!$AW$3:$AW$3000,"?*",Однолинейка!$AI$3:$AI$3000,C251,Однолинейка!$A$3:$A$3000,Щит_спец)),IF(A251="Клемма",IF(C251="","",IF(C251=$S$7,SUMIFS(Однолинейка!$BW$3:$BW$3000,Однолинейка!$A$3:$A$3000,Щит_спец),IF(C251=$S$8,SUMIFS(Однолинейка!$BX$3:$BX$3000,Однолинейка!$A$3:$A$3000,Щит_спец),""))),""))))</f>
        <v/>
      </c>
      <c r="O251" s="74"/>
      <c r="P251" s="38" t="str">
        <f t="shared" si="27"/>
        <v/>
      </c>
      <c r="U251" s="38" t="str">
        <f t="shared" si="28"/>
        <v/>
      </c>
      <c r="V251" s="38" t="str">
        <f t="shared" si="29"/>
        <v/>
      </c>
      <c r="W251" s="38" t="str">
        <f>IF(AND(U251&lt;&gt;"",OR($S$4="(все)",B251=$S$4),IF($S$4="(все)",COUNTIF($U$4:U251,U251),COUNTIFS($U$4:U251,U251,$B$4:B251,B251))=1),MAX($W$3:W250)+1,"")</f>
        <v/>
      </c>
      <c r="X251" s="38" t="str">
        <f t="shared" si="30"/>
        <v/>
      </c>
      <c r="Y251" s="38" t="str">
        <f>IF(AND(A251="Аппарат",C251&lt;&gt;"",OR($S$5="(все)",B251=$S$5)),MAX($Y$3:Y250)+1,"")</f>
        <v/>
      </c>
      <c r="Z251" s="38" t="str">
        <f t="shared" si="31"/>
        <v/>
      </c>
      <c r="AA251" s="38" t="str">
        <f>IF(AND(A251="Модуль",C251&lt;&gt;"",OR($S$6="(все)",B251=$S$6)),MAX($AA$3:AA250)+1,"")</f>
        <v/>
      </c>
      <c r="AB251" s="38" t="str">
        <f t="shared" si="32"/>
        <v/>
      </c>
      <c r="AC251" s="38" t="str">
        <f>IF(OR(B251="",COUNTIF($B$4:B251,B251)&gt;1),"",MAX($AC$3:AC250)+1)</f>
        <v/>
      </c>
      <c r="AD251" s="38" t="str">
        <f t="shared" si="33"/>
        <v/>
      </c>
      <c r="AE251" s="38" t="str">
        <f t="shared" si="34"/>
        <v/>
      </c>
      <c r="AF251" s="38" t="str">
        <f t="shared" si="35"/>
        <v/>
      </c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38" t="str">
        <f>IF(OR(A252="Автомат",A252="Дифавтомат"),IF(W252="","",COUNTIFS(Однолинейка!$H$3:$H$3000,U252,Однолинейка!$A$3:$A$3000,Щит_спец)),IF(A252="Аппарат",IF(C252="","",COUNTIFS(Однолинейка!$I$3:$I$3000,C252,Однолинейка!$A$3:$A$3000,Щит_спец)+COUNTIFS(Однолинейка!$J$3:$J$3000,C252,Однолинейка!$A$3:$A$3000,Щит_спец)+COUNTIFS(Однолинейка!$K$3:$K$3000,C252,Однолинейка!$A$3:$A$3000,Щит_спец)),IF(A252="Модуль",IF(C252="","",COUNTIFS(Однолинейка!$AW$3:$AW$3000,"?*",Однолинейка!$AI$3:$AI$3000,C252,Однолинейка!$A$3:$A$3000,Щит_спец)),IF(A252="Клемма",IF(C252="","",IF(C252=$S$7,SUMIFS(Однолинейка!$BW$3:$BW$3000,Однолинейка!$A$3:$A$3000,Щит_спец),IF(C252=$S$8,SUMIFS(Однолинейка!$BX$3:$BX$3000,Однолинейка!$A$3:$A$3000,Щит_спец),""))),""))))</f>
        <v/>
      </c>
      <c r="O252" s="74"/>
      <c r="P252" s="38" t="str">
        <f t="shared" si="27"/>
        <v/>
      </c>
      <c r="U252" s="38" t="str">
        <f t="shared" si="28"/>
        <v/>
      </c>
      <c r="V252" s="38" t="str">
        <f t="shared" si="29"/>
        <v/>
      </c>
      <c r="W252" s="38" t="str">
        <f>IF(AND(U252&lt;&gt;"",OR($S$4="(все)",B252=$S$4),IF($S$4="(все)",COUNTIF($U$4:U252,U252),COUNTIFS($U$4:U252,U252,$B$4:B252,B252))=1),MAX($W$3:W251)+1,"")</f>
        <v/>
      </c>
      <c r="X252" s="38" t="str">
        <f t="shared" si="30"/>
        <v/>
      </c>
      <c r="Y252" s="38" t="str">
        <f>IF(AND(A252="Аппарат",C252&lt;&gt;"",OR($S$5="(все)",B252=$S$5)),MAX($Y$3:Y251)+1,"")</f>
        <v/>
      </c>
      <c r="Z252" s="38" t="str">
        <f t="shared" si="31"/>
        <v/>
      </c>
      <c r="AA252" s="38" t="str">
        <f>IF(AND(A252="Модуль",C252&lt;&gt;"",OR($S$6="(все)",B252=$S$6)),MAX($AA$3:AA251)+1,"")</f>
        <v/>
      </c>
      <c r="AB252" s="38" t="str">
        <f t="shared" si="32"/>
        <v/>
      </c>
      <c r="AC252" s="38" t="str">
        <f>IF(OR(B252="",COUNTIF($B$4:B252,B252)&gt;1),"",MAX($AC$3:AC251)+1)</f>
        <v/>
      </c>
      <c r="AD252" s="38" t="str">
        <f t="shared" si="33"/>
        <v/>
      </c>
      <c r="AE252" s="38" t="str">
        <f t="shared" si="34"/>
        <v/>
      </c>
      <c r="AF252" s="38" t="str">
        <f t="shared" si="35"/>
        <v/>
      </c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38" t="str">
        <f>IF(OR(A253="Автомат",A253="Дифавтомат"),IF(W253="","",COUNTIFS(Однолинейка!$H$3:$H$3000,U253,Однолинейка!$A$3:$A$3000,Щит_спец)),IF(A253="Аппарат",IF(C253="","",COUNTIFS(Однолинейка!$I$3:$I$3000,C253,Однолинейка!$A$3:$A$3000,Щит_спец)+COUNTIFS(Однолинейка!$J$3:$J$3000,C253,Однолинейка!$A$3:$A$3000,Щит_спец)+COUNTIFS(Однолинейка!$K$3:$K$3000,C253,Однолинейка!$A$3:$A$3000,Щит_спец)),IF(A253="Модуль",IF(C253="","",COUNTIFS(Однолинейка!$AW$3:$AW$3000,"?*",Однолинейка!$AI$3:$AI$3000,C253,Однолинейка!$A$3:$A$3000,Щит_спец)),IF(A253="Клемма",IF(C253="","",IF(C253=$S$7,SUMIFS(Однолинейка!$BW$3:$BW$3000,Однолинейка!$A$3:$A$3000,Щит_спец),IF(C253=$S$8,SUMIFS(Однолинейка!$BX$3:$BX$3000,Однолинейка!$A$3:$A$3000,Щит_спец),""))),""))))</f>
        <v/>
      </c>
      <c r="O253" s="74"/>
      <c r="P253" s="38" t="str">
        <f t="shared" si="27"/>
        <v/>
      </c>
      <c r="U253" s="38" t="str">
        <f t="shared" si="28"/>
        <v/>
      </c>
      <c r="V253" s="38" t="str">
        <f t="shared" si="29"/>
        <v/>
      </c>
      <c r="W253" s="38" t="str">
        <f>IF(AND(U253&lt;&gt;"",OR($S$4="(все)",B253=$S$4),IF($S$4="(все)",COUNTIF($U$4:U253,U253),COUNTIFS($U$4:U253,U253,$B$4:B253,B253))=1),MAX($W$3:W252)+1,"")</f>
        <v/>
      </c>
      <c r="X253" s="38" t="str">
        <f t="shared" si="30"/>
        <v/>
      </c>
      <c r="Y253" s="38" t="str">
        <f>IF(AND(A253="Аппарат",C253&lt;&gt;"",OR($S$5="(все)",B253=$S$5)),MAX($Y$3:Y252)+1,"")</f>
        <v/>
      </c>
      <c r="Z253" s="38" t="str">
        <f t="shared" si="31"/>
        <v/>
      </c>
      <c r="AA253" s="38" t="str">
        <f>IF(AND(A253="Модуль",C253&lt;&gt;"",OR($S$6="(все)",B253=$S$6)),MAX($AA$3:AA252)+1,"")</f>
        <v/>
      </c>
      <c r="AB253" s="38" t="str">
        <f t="shared" si="32"/>
        <v/>
      </c>
      <c r="AC253" s="38" t="str">
        <f>IF(OR(B253="",COUNTIF($B$4:B253,B253)&gt;1),"",MAX($AC$3:AC252)+1)</f>
        <v/>
      </c>
      <c r="AD253" s="38" t="str">
        <f t="shared" si="33"/>
        <v/>
      </c>
      <c r="AE253" s="38" t="str">
        <f t="shared" si="34"/>
        <v/>
      </c>
      <c r="AF253" s="38" t="str">
        <f t="shared" si="35"/>
        <v/>
      </c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38" t="str">
        <f>IF(OR(A254="Автомат",A254="Дифавтомат"),IF(W254="","",COUNTIFS(Однолинейка!$H$3:$H$3000,U254,Однолинейка!$A$3:$A$3000,Щит_спец)),IF(A254="Аппарат",IF(C254="","",COUNTIFS(Однолинейка!$I$3:$I$3000,C254,Однолинейка!$A$3:$A$3000,Щит_спец)+COUNTIFS(Однолинейка!$J$3:$J$3000,C254,Однолинейка!$A$3:$A$3000,Щит_спец)+COUNTIFS(Однолинейка!$K$3:$K$3000,C254,Однолинейка!$A$3:$A$3000,Щит_спец)),IF(A254="Модуль",IF(C254="","",COUNTIFS(Однолинейка!$AW$3:$AW$3000,"?*",Однолинейка!$AI$3:$AI$3000,C254,Однолинейка!$A$3:$A$3000,Щит_спец)),IF(A254="Клемма",IF(C254="","",IF(C254=$S$7,SUMIFS(Однолинейка!$BW$3:$BW$3000,Однолинейка!$A$3:$A$3000,Щит_спец),IF(C254=$S$8,SUMIFS(Однолинейка!$BX$3:$BX$3000,Однолинейка!$A$3:$A$3000,Щит_спец),""))),""))))</f>
        <v/>
      </c>
      <c r="O254" s="74"/>
      <c r="P254" s="38" t="str">
        <f t="shared" si="27"/>
        <v/>
      </c>
      <c r="U254" s="38" t="str">
        <f t="shared" si="28"/>
        <v/>
      </c>
      <c r="V254" s="38" t="str">
        <f t="shared" si="29"/>
        <v/>
      </c>
      <c r="W254" s="38" t="str">
        <f>IF(AND(U254&lt;&gt;"",OR($S$4="(все)",B254=$S$4),IF($S$4="(все)",COUNTIF($U$4:U254,U254),COUNTIFS($U$4:U254,U254,$B$4:B254,B254))=1),MAX($W$3:W253)+1,"")</f>
        <v/>
      </c>
      <c r="X254" s="38" t="str">
        <f t="shared" si="30"/>
        <v/>
      </c>
      <c r="Y254" s="38" t="str">
        <f>IF(AND(A254="Аппарат",C254&lt;&gt;"",OR($S$5="(все)",B254=$S$5)),MAX($Y$3:Y253)+1,"")</f>
        <v/>
      </c>
      <c r="Z254" s="38" t="str">
        <f t="shared" si="31"/>
        <v/>
      </c>
      <c r="AA254" s="38" t="str">
        <f>IF(AND(A254="Модуль",C254&lt;&gt;"",OR($S$6="(все)",B254=$S$6)),MAX($AA$3:AA253)+1,"")</f>
        <v/>
      </c>
      <c r="AB254" s="38" t="str">
        <f t="shared" si="32"/>
        <v/>
      </c>
      <c r="AC254" s="38" t="str">
        <f>IF(OR(B254="",COUNTIF($B$4:B254,B254)&gt;1),"",MAX($AC$3:AC253)+1)</f>
        <v/>
      </c>
      <c r="AD254" s="38" t="str">
        <f t="shared" si="33"/>
        <v/>
      </c>
      <c r="AE254" s="38" t="str">
        <f t="shared" si="34"/>
        <v/>
      </c>
      <c r="AF254" s="38" t="str">
        <f t="shared" si="35"/>
        <v/>
      </c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38" t="str">
        <f>IF(OR(A255="Автомат",A255="Дифавтомат"),IF(W255="","",COUNTIFS(Однолинейка!$H$3:$H$3000,U255,Однолинейка!$A$3:$A$3000,Щит_спец)),IF(A255="Аппарат",IF(C255="","",COUNTIFS(Однолинейка!$I$3:$I$3000,C255,Однолинейка!$A$3:$A$3000,Щит_спец)+COUNTIFS(Однолинейка!$J$3:$J$3000,C255,Однолинейка!$A$3:$A$3000,Щит_спец)+COUNTIFS(Однолинейка!$K$3:$K$3000,C255,Однолинейка!$A$3:$A$3000,Щит_спец)),IF(A255="Модуль",IF(C255="","",COUNTIFS(Однолинейка!$AW$3:$AW$3000,"?*",Однолинейка!$AI$3:$AI$3000,C255,Однолинейка!$A$3:$A$3000,Щит_спец)),IF(A255="Клемма",IF(C255="","",IF(C255=$S$7,SUMIFS(Однолинейка!$BW$3:$BW$3000,Однолинейка!$A$3:$A$3000,Щит_спец),IF(C255=$S$8,SUMIFS(Однолинейка!$BX$3:$BX$3000,Однолинейка!$A$3:$A$3000,Щит_спец),""))),""))))</f>
        <v/>
      </c>
      <c r="O255" s="74"/>
      <c r="P255" s="38" t="str">
        <f t="shared" si="27"/>
        <v/>
      </c>
      <c r="U255" s="38" t="str">
        <f t="shared" si="28"/>
        <v/>
      </c>
      <c r="V255" s="38" t="str">
        <f t="shared" si="29"/>
        <v/>
      </c>
      <c r="W255" s="38" t="str">
        <f>IF(AND(U255&lt;&gt;"",OR($S$4="(все)",B255=$S$4),IF($S$4="(все)",COUNTIF($U$4:U255,U255),COUNTIFS($U$4:U255,U255,$B$4:B255,B255))=1),MAX($W$3:W254)+1,"")</f>
        <v/>
      </c>
      <c r="X255" s="38" t="str">
        <f t="shared" si="30"/>
        <v/>
      </c>
      <c r="Y255" s="38" t="str">
        <f>IF(AND(A255="Аппарат",C255&lt;&gt;"",OR($S$5="(все)",B255=$S$5)),MAX($Y$3:Y254)+1,"")</f>
        <v/>
      </c>
      <c r="Z255" s="38" t="str">
        <f t="shared" si="31"/>
        <v/>
      </c>
      <c r="AA255" s="38" t="str">
        <f>IF(AND(A255="Модуль",C255&lt;&gt;"",OR($S$6="(все)",B255=$S$6)),MAX($AA$3:AA254)+1,"")</f>
        <v/>
      </c>
      <c r="AB255" s="38" t="str">
        <f t="shared" si="32"/>
        <v/>
      </c>
      <c r="AC255" s="38" t="str">
        <f>IF(OR(B255="",COUNTIF($B$4:B255,B255)&gt;1),"",MAX($AC$3:AC254)+1)</f>
        <v/>
      </c>
      <c r="AD255" s="38" t="str">
        <f t="shared" si="33"/>
        <v/>
      </c>
      <c r="AE255" s="38" t="str">
        <f t="shared" si="34"/>
        <v/>
      </c>
      <c r="AF255" s="38" t="str">
        <f t="shared" si="35"/>
        <v/>
      </c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38" t="str">
        <f>IF(OR(A256="Автомат",A256="Дифавтомат"),IF(W256="","",COUNTIFS(Однолинейка!$H$3:$H$3000,U256,Однолинейка!$A$3:$A$3000,Щит_спец)),IF(A256="Аппарат",IF(C256="","",COUNTIFS(Однолинейка!$I$3:$I$3000,C256,Однолинейка!$A$3:$A$3000,Щит_спец)+COUNTIFS(Однолинейка!$J$3:$J$3000,C256,Однолинейка!$A$3:$A$3000,Щит_спец)+COUNTIFS(Однолинейка!$K$3:$K$3000,C256,Однолинейка!$A$3:$A$3000,Щит_спец)),IF(A256="Модуль",IF(C256="","",COUNTIFS(Однолинейка!$AW$3:$AW$3000,"?*",Однолинейка!$AI$3:$AI$3000,C256,Однолинейка!$A$3:$A$3000,Щит_спец)),IF(A256="Клемма",IF(C256="","",IF(C256=$S$7,SUMIFS(Однолинейка!$BW$3:$BW$3000,Однолинейка!$A$3:$A$3000,Щит_спец),IF(C256=$S$8,SUMIFS(Однолинейка!$BX$3:$BX$3000,Однолинейка!$A$3:$A$3000,Щит_спец),""))),""))))</f>
        <v/>
      </c>
      <c r="O256" s="74"/>
      <c r="P256" s="38" t="str">
        <f t="shared" si="27"/>
        <v/>
      </c>
      <c r="U256" s="38" t="str">
        <f t="shared" si="28"/>
        <v/>
      </c>
      <c r="V256" s="38" t="str">
        <f t="shared" si="29"/>
        <v/>
      </c>
      <c r="W256" s="38" t="str">
        <f>IF(AND(U256&lt;&gt;"",OR($S$4="(все)",B256=$S$4),IF($S$4="(все)",COUNTIF($U$4:U256,U256),COUNTIFS($U$4:U256,U256,$B$4:B256,B256))=1),MAX($W$3:W255)+1,"")</f>
        <v/>
      </c>
      <c r="X256" s="38" t="str">
        <f t="shared" si="30"/>
        <v/>
      </c>
      <c r="Y256" s="38" t="str">
        <f>IF(AND(A256="Аппарат",C256&lt;&gt;"",OR($S$5="(все)",B256=$S$5)),MAX($Y$3:Y255)+1,"")</f>
        <v/>
      </c>
      <c r="Z256" s="38" t="str">
        <f t="shared" si="31"/>
        <v/>
      </c>
      <c r="AA256" s="38" t="str">
        <f>IF(AND(A256="Модуль",C256&lt;&gt;"",OR($S$6="(все)",B256=$S$6)),MAX($AA$3:AA255)+1,"")</f>
        <v/>
      </c>
      <c r="AB256" s="38" t="str">
        <f t="shared" si="32"/>
        <v/>
      </c>
      <c r="AC256" s="38" t="str">
        <f>IF(OR(B256="",COUNTIF($B$4:B256,B256)&gt;1),"",MAX($AC$3:AC255)+1)</f>
        <v/>
      </c>
      <c r="AD256" s="38" t="str">
        <f t="shared" si="33"/>
        <v/>
      </c>
      <c r="AE256" s="38" t="str">
        <f t="shared" si="34"/>
        <v/>
      </c>
      <c r="AF256" s="38" t="str">
        <f t="shared" si="35"/>
        <v/>
      </c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38" t="str">
        <f>IF(OR(A257="Автомат",A257="Дифавтомат"),IF(W257="","",COUNTIFS(Однолинейка!$H$3:$H$3000,U257,Однолинейка!$A$3:$A$3000,Щит_спец)),IF(A257="Аппарат",IF(C257="","",COUNTIFS(Однолинейка!$I$3:$I$3000,C257,Однолинейка!$A$3:$A$3000,Щит_спец)+COUNTIFS(Однолинейка!$J$3:$J$3000,C257,Однолинейка!$A$3:$A$3000,Щит_спец)+COUNTIFS(Однолинейка!$K$3:$K$3000,C257,Однолинейка!$A$3:$A$3000,Щит_спец)),IF(A257="Модуль",IF(C257="","",COUNTIFS(Однолинейка!$AW$3:$AW$3000,"?*",Однолинейка!$AI$3:$AI$3000,C257,Однолинейка!$A$3:$A$3000,Щит_спец)),IF(A257="Клемма",IF(C257="","",IF(C257=$S$7,SUMIFS(Однолинейка!$BW$3:$BW$3000,Однолинейка!$A$3:$A$3000,Щит_спец),IF(C257=$S$8,SUMIFS(Однолинейка!$BX$3:$BX$3000,Однолинейка!$A$3:$A$3000,Щит_спец),""))),""))))</f>
        <v/>
      </c>
      <c r="O257" s="74"/>
      <c r="P257" s="38" t="str">
        <f t="shared" si="27"/>
        <v/>
      </c>
      <c r="U257" s="38" t="str">
        <f t="shared" si="28"/>
        <v/>
      </c>
      <c r="V257" s="38" t="str">
        <f t="shared" si="29"/>
        <v/>
      </c>
      <c r="W257" s="38" t="str">
        <f>IF(AND(U257&lt;&gt;"",OR($S$4="(все)",B257=$S$4),IF($S$4="(все)",COUNTIF($U$4:U257,U257),COUNTIFS($U$4:U257,U257,$B$4:B257,B257))=1),MAX($W$3:W256)+1,"")</f>
        <v/>
      </c>
      <c r="X257" s="38" t="str">
        <f t="shared" si="30"/>
        <v/>
      </c>
      <c r="Y257" s="38" t="str">
        <f>IF(AND(A257="Аппарат",C257&lt;&gt;"",OR($S$5="(все)",B257=$S$5)),MAX($Y$3:Y256)+1,"")</f>
        <v/>
      </c>
      <c r="Z257" s="38" t="str">
        <f t="shared" si="31"/>
        <v/>
      </c>
      <c r="AA257" s="38" t="str">
        <f>IF(AND(A257="Модуль",C257&lt;&gt;"",OR($S$6="(все)",B257=$S$6)),MAX($AA$3:AA256)+1,"")</f>
        <v/>
      </c>
      <c r="AB257" s="38" t="str">
        <f t="shared" si="32"/>
        <v/>
      </c>
      <c r="AC257" s="38" t="str">
        <f>IF(OR(B257="",COUNTIF($B$4:B257,B257)&gt;1),"",MAX($AC$3:AC256)+1)</f>
        <v/>
      </c>
      <c r="AD257" s="38" t="str">
        <f t="shared" si="33"/>
        <v/>
      </c>
      <c r="AE257" s="38" t="str">
        <f t="shared" si="34"/>
        <v/>
      </c>
      <c r="AF257" s="38" t="str">
        <f t="shared" si="35"/>
        <v/>
      </c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38" t="str">
        <f>IF(OR(A258="Автомат",A258="Дифавтомат"),IF(W258="","",COUNTIFS(Однолинейка!$H$3:$H$3000,U258,Однолинейка!$A$3:$A$3000,Щит_спец)),IF(A258="Аппарат",IF(C258="","",COUNTIFS(Однолинейка!$I$3:$I$3000,C258,Однолинейка!$A$3:$A$3000,Щит_спец)+COUNTIFS(Однолинейка!$J$3:$J$3000,C258,Однолинейка!$A$3:$A$3000,Щит_спец)+COUNTIFS(Однолинейка!$K$3:$K$3000,C258,Однолинейка!$A$3:$A$3000,Щит_спец)),IF(A258="Модуль",IF(C258="","",COUNTIFS(Однолинейка!$AW$3:$AW$3000,"?*",Однолинейка!$AI$3:$AI$3000,C258,Однолинейка!$A$3:$A$3000,Щит_спец)),IF(A258="Клемма",IF(C258="","",IF(C258=$S$7,SUMIFS(Однолинейка!$BW$3:$BW$3000,Однолинейка!$A$3:$A$3000,Щит_спец),IF(C258=$S$8,SUMIFS(Однолинейка!$BX$3:$BX$3000,Однолинейка!$A$3:$A$3000,Щит_спец),""))),""))))</f>
        <v/>
      </c>
      <c r="O258" s="74"/>
      <c r="P258" s="38" t="str">
        <f t="shared" si="27"/>
        <v/>
      </c>
      <c r="U258" s="38" t="str">
        <f t="shared" si="28"/>
        <v/>
      </c>
      <c r="V258" s="38" t="str">
        <f t="shared" si="29"/>
        <v/>
      </c>
      <c r="W258" s="38" t="str">
        <f>IF(AND(U258&lt;&gt;"",OR($S$4="(все)",B258=$S$4),IF($S$4="(все)",COUNTIF($U$4:U258,U258),COUNTIFS($U$4:U258,U258,$B$4:B258,B258))=1),MAX($W$3:W257)+1,"")</f>
        <v/>
      </c>
      <c r="X258" s="38" t="str">
        <f t="shared" si="30"/>
        <v/>
      </c>
      <c r="Y258" s="38" t="str">
        <f>IF(AND(A258="Аппарат",C258&lt;&gt;"",OR($S$5="(все)",B258=$S$5)),MAX($Y$3:Y257)+1,"")</f>
        <v/>
      </c>
      <c r="Z258" s="38" t="str">
        <f t="shared" si="31"/>
        <v/>
      </c>
      <c r="AA258" s="38" t="str">
        <f>IF(AND(A258="Модуль",C258&lt;&gt;"",OR($S$6="(все)",B258=$S$6)),MAX($AA$3:AA257)+1,"")</f>
        <v/>
      </c>
      <c r="AB258" s="38" t="str">
        <f t="shared" si="32"/>
        <v/>
      </c>
      <c r="AC258" s="38" t="str">
        <f>IF(OR(B258="",COUNTIF($B$4:B258,B258)&gt;1),"",MAX($AC$3:AC257)+1)</f>
        <v/>
      </c>
      <c r="AD258" s="38" t="str">
        <f t="shared" si="33"/>
        <v/>
      </c>
      <c r="AE258" s="38" t="str">
        <f t="shared" si="34"/>
        <v/>
      </c>
      <c r="AF258" s="38" t="str">
        <f t="shared" si="35"/>
        <v/>
      </c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38" t="str">
        <f>IF(OR(A259="Автомат",A259="Дифавтомат"),IF(W259="","",COUNTIFS(Однолинейка!$H$3:$H$3000,U259,Однолинейка!$A$3:$A$3000,Щит_спец)),IF(A259="Аппарат",IF(C259="","",COUNTIFS(Однолинейка!$I$3:$I$3000,C259,Однолинейка!$A$3:$A$3000,Щит_спец)+COUNTIFS(Однолинейка!$J$3:$J$3000,C259,Однолинейка!$A$3:$A$3000,Щит_спец)+COUNTIFS(Однолинейка!$K$3:$K$3000,C259,Однолинейка!$A$3:$A$3000,Щит_спец)),IF(A259="Модуль",IF(C259="","",COUNTIFS(Однолинейка!$AW$3:$AW$3000,"?*",Однолинейка!$AI$3:$AI$3000,C259,Однолинейка!$A$3:$A$3000,Щит_спец)),IF(A259="Клемма",IF(C259="","",IF(C259=$S$7,SUMIFS(Однолинейка!$BW$3:$BW$3000,Однолинейка!$A$3:$A$3000,Щит_спец),IF(C259=$S$8,SUMIFS(Однолинейка!$BX$3:$BX$3000,Однолинейка!$A$3:$A$3000,Щит_спец),""))),""))))</f>
        <v/>
      </c>
      <c r="O259" s="74"/>
      <c r="P259" s="38" t="str">
        <f t="shared" si="27"/>
        <v/>
      </c>
      <c r="U259" s="38" t="str">
        <f t="shared" si="28"/>
        <v/>
      </c>
      <c r="V259" s="38" t="str">
        <f t="shared" si="29"/>
        <v/>
      </c>
      <c r="W259" s="38" t="str">
        <f>IF(AND(U259&lt;&gt;"",OR($S$4="(все)",B259=$S$4),IF($S$4="(все)",COUNTIF($U$4:U259,U259),COUNTIFS($U$4:U259,U259,$B$4:B259,B259))=1),MAX($W$3:W258)+1,"")</f>
        <v/>
      </c>
      <c r="X259" s="38" t="str">
        <f t="shared" si="30"/>
        <v/>
      </c>
      <c r="Y259" s="38" t="str">
        <f>IF(AND(A259="Аппарат",C259&lt;&gt;"",OR($S$5="(все)",B259=$S$5)),MAX($Y$3:Y258)+1,"")</f>
        <v/>
      </c>
      <c r="Z259" s="38" t="str">
        <f t="shared" si="31"/>
        <v/>
      </c>
      <c r="AA259" s="38" t="str">
        <f>IF(AND(A259="Модуль",C259&lt;&gt;"",OR($S$6="(все)",B259=$S$6)),MAX($AA$3:AA258)+1,"")</f>
        <v/>
      </c>
      <c r="AB259" s="38" t="str">
        <f t="shared" si="32"/>
        <v/>
      </c>
      <c r="AC259" s="38" t="str">
        <f>IF(OR(B259="",COUNTIF($B$4:B259,B259)&gt;1),"",MAX($AC$3:AC258)+1)</f>
        <v/>
      </c>
      <c r="AD259" s="38" t="str">
        <f t="shared" si="33"/>
        <v/>
      </c>
      <c r="AE259" s="38" t="str">
        <f t="shared" si="34"/>
        <v/>
      </c>
      <c r="AF259" s="38" t="str">
        <f t="shared" si="35"/>
        <v/>
      </c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38" t="str">
        <f>IF(OR(A260="Автомат",A260="Дифавтомат"),IF(W260="","",COUNTIFS(Однолинейка!$H$3:$H$3000,U260,Однолинейка!$A$3:$A$3000,Щит_спец)),IF(A260="Аппарат",IF(C260="","",COUNTIFS(Однолинейка!$I$3:$I$3000,C260,Однолинейка!$A$3:$A$3000,Щит_спец)+COUNTIFS(Однолинейка!$J$3:$J$3000,C260,Однолинейка!$A$3:$A$3000,Щит_спец)+COUNTIFS(Однолинейка!$K$3:$K$3000,C260,Однолинейка!$A$3:$A$3000,Щит_спец)),IF(A260="Модуль",IF(C260="","",COUNTIFS(Однолинейка!$AW$3:$AW$3000,"?*",Однолинейка!$AI$3:$AI$3000,C260,Однолинейка!$A$3:$A$3000,Щит_спец)),IF(A260="Клемма",IF(C260="","",IF(C260=$S$7,SUMIFS(Однолинейка!$BW$3:$BW$3000,Однолинейка!$A$3:$A$3000,Щит_спец),IF(C260=$S$8,SUMIFS(Однолинейка!$BX$3:$BX$3000,Однолинейка!$A$3:$A$3000,Щит_спец),""))),""))))</f>
        <v/>
      </c>
      <c r="O260" s="74"/>
      <c r="P260" s="38" t="str">
        <f t="shared" ref="P260:P323" si="36">IF(COUNT(N260,O260)=0,"",SUM(N260,O260))</f>
        <v/>
      </c>
      <c r="U260" s="38" t="str">
        <f t="shared" ref="U260:U323" si="37">IF(OR(A260="Автомат",A260="Дифавтомат"),I260&amp;" С"&amp;J260&amp;"А"&amp;IF(K260="да"," 30мА",IF(ISNUMBER(K260)," "&amp;K260&amp;"мА","")),"")</f>
        <v/>
      </c>
      <c r="V260" s="38" t="str">
        <f t="shared" ref="V260:V323" si="38">IF(U260="","",B260&amp;"|"&amp;U260)</f>
        <v/>
      </c>
      <c r="W260" s="38" t="str">
        <f>IF(AND(U260&lt;&gt;"",OR($S$4="(все)",B260=$S$4),IF($S$4="(все)",COUNTIF($U$4:U260,U260),COUNTIFS($U$4:U260,U260,$B$4:B260,B260))=1),MAX($W$3:W259)+1,"")</f>
        <v/>
      </c>
      <c r="X260" s="38" t="str">
        <f t="shared" ref="X260:X323" si="39">IFERROR(INDEX($U$4:$U$500,MATCH(ROW()-3,$W$4:$W$500,0)),"")</f>
        <v/>
      </c>
      <c r="Y260" s="38" t="str">
        <f>IF(AND(A260="Аппарат",C260&lt;&gt;"",OR($S$5="(все)",B260=$S$5)),MAX($Y$3:Y259)+1,"")</f>
        <v/>
      </c>
      <c r="Z260" s="38" t="str">
        <f t="shared" ref="Z260:Z323" si="40">IFERROR(INDEX($C$4:$C$500,MATCH(ROW()-3,$Y$4:$Y$500,0)),"")</f>
        <v/>
      </c>
      <c r="AA260" s="38" t="str">
        <f>IF(AND(A260="Модуль",C260&lt;&gt;"",OR($S$6="(все)",B260=$S$6)),MAX($AA$3:AA259)+1,"")</f>
        <v/>
      </c>
      <c r="AB260" s="38" t="str">
        <f t="shared" ref="AB260:AB323" si="41">IFERROR(INDEX($C$4:$C$500,MATCH(ROW()-3,$AA$4:$AA$500,0)),"")</f>
        <v/>
      </c>
      <c r="AC260" s="38" t="str">
        <f>IF(OR(B260="",COUNTIF($B$4:B260,B260)&gt;1),"",MAX($AC$3:AC259)+1)</f>
        <v/>
      </c>
      <c r="AD260" s="38" t="str">
        <f t="shared" ref="AD260:AD323" si="42">IFERROR(INDEX($B$4:$B$500,MATCH(ROW()-3,$AC$4:$AC$500,0)),"")</f>
        <v/>
      </c>
      <c r="AE260" s="38" t="str">
        <f t="shared" ref="AE260:AE323" si="43">IF(AND(A260&lt;&gt;"",N(P260)&gt;0),IFERROR(MATCH(A260,$R$12:$R$25,0),99)*1000+ROW(),"")</f>
        <v/>
      </c>
      <c r="AF260" s="38" t="str">
        <f t="shared" ref="AF260:AF323" si="44">IF(AE260="","",COUNTIF($AE$4:$AE$500,"&lt;="&amp;AE260))</f>
        <v/>
      </c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38" t="str">
        <f>IF(OR(A261="Автомат",A261="Дифавтомат"),IF(W261="","",COUNTIFS(Однолинейка!$H$3:$H$3000,U261,Однолинейка!$A$3:$A$3000,Щит_спец)),IF(A261="Аппарат",IF(C261="","",COUNTIFS(Однолинейка!$I$3:$I$3000,C261,Однолинейка!$A$3:$A$3000,Щит_спец)+COUNTIFS(Однолинейка!$J$3:$J$3000,C261,Однолинейка!$A$3:$A$3000,Щит_спец)+COUNTIFS(Однолинейка!$K$3:$K$3000,C261,Однолинейка!$A$3:$A$3000,Щит_спец)),IF(A261="Модуль",IF(C261="","",COUNTIFS(Однолинейка!$AW$3:$AW$3000,"?*",Однолинейка!$AI$3:$AI$3000,C261,Однолинейка!$A$3:$A$3000,Щит_спец)),IF(A261="Клемма",IF(C261="","",IF(C261=$S$7,SUMIFS(Однолинейка!$BW$3:$BW$3000,Однолинейка!$A$3:$A$3000,Щит_спец),IF(C261=$S$8,SUMIFS(Однолинейка!$BX$3:$BX$3000,Однолинейка!$A$3:$A$3000,Щит_спец),""))),""))))</f>
        <v/>
      </c>
      <c r="O261" s="74"/>
      <c r="P261" s="38" t="str">
        <f t="shared" si="36"/>
        <v/>
      </c>
      <c r="U261" s="38" t="str">
        <f t="shared" si="37"/>
        <v/>
      </c>
      <c r="V261" s="38" t="str">
        <f t="shared" si="38"/>
        <v/>
      </c>
      <c r="W261" s="38" t="str">
        <f>IF(AND(U261&lt;&gt;"",OR($S$4="(все)",B261=$S$4),IF($S$4="(все)",COUNTIF($U$4:U261,U261),COUNTIFS($U$4:U261,U261,$B$4:B261,B261))=1),MAX($W$3:W260)+1,"")</f>
        <v/>
      </c>
      <c r="X261" s="38" t="str">
        <f t="shared" si="39"/>
        <v/>
      </c>
      <c r="Y261" s="38" t="str">
        <f>IF(AND(A261="Аппарат",C261&lt;&gt;"",OR($S$5="(все)",B261=$S$5)),MAX($Y$3:Y260)+1,"")</f>
        <v/>
      </c>
      <c r="Z261" s="38" t="str">
        <f t="shared" si="40"/>
        <v/>
      </c>
      <c r="AA261" s="38" t="str">
        <f>IF(AND(A261="Модуль",C261&lt;&gt;"",OR($S$6="(все)",B261=$S$6)),MAX($AA$3:AA260)+1,"")</f>
        <v/>
      </c>
      <c r="AB261" s="38" t="str">
        <f t="shared" si="41"/>
        <v/>
      </c>
      <c r="AC261" s="38" t="str">
        <f>IF(OR(B261="",COUNTIF($B$4:B261,B261)&gt;1),"",MAX($AC$3:AC260)+1)</f>
        <v/>
      </c>
      <c r="AD261" s="38" t="str">
        <f t="shared" si="42"/>
        <v/>
      </c>
      <c r="AE261" s="38" t="str">
        <f t="shared" si="43"/>
        <v/>
      </c>
      <c r="AF261" s="38" t="str">
        <f t="shared" si="44"/>
        <v/>
      </c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38" t="str">
        <f>IF(OR(A262="Автомат",A262="Дифавтомат"),IF(W262="","",COUNTIFS(Однолинейка!$H$3:$H$3000,U262,Однолинейка!$A$3:$A$3000,Щит_спец)),IF(A262="Аппарат",IF(C262="","",COUNTIFS(Однолинейка!$I$3:$I$3000,C262,Однолинейка!$A$3:$A$3000,Щит_спец)+COUNTIFS(Однолинейка!$J$3:$J$3000,C262,Однолинейка!$A$3:$A$3000,Щит_спец)+COUNTIFS(Однолинейка!$K$3:$K$3000,C262,Однолинейка!$A$3:$A$3000,Щит_спец)),IF(A262="Модуль",IF(C262="","",COUNTIFS(Однолинейка!$AW$3:$AW$3000,"?*",Однолинейка!$AI$3:$AI$3000,C262,Однолинейка!$A$3:$A$3000,Щит_спец)),IF(A262="Клемма",IF(C262="","",IF(C262=$S$7,SUMIFS(Однолинейка!$BW$3:$BW$3000,Однолинейка!$A$3:$A$3000,Щит_спец),IF(C262=$S$8,SUMIFS(Однолинейка!$BX$3:$BX$3000,Однолинейка!$A$3:$A$3000,Щит_спец),""))),""))))</f>
        <v/>
      </c>
      <c r="O262" s="74"/>
      <c r="P262" s="38" t="str">
        <f t="shared" si="36"/>
        <v/>
      </c>
      <c r="U262" s="38" t="str">
        <f t="shared" si="37"/>
        <v/>
      </c>
      <c r="V262" s="38" t="str">
        <f t="shared" si="38"/>
        <v/>
      </c>
      <c r="W262" s="38" t="str">
        <f>IF(AND(U262&lt;&gt;"",OR($S$4="(все)",B262=$S$4),IF($S$4="(все)",COUNTIF($U$4:U262,U262),COUNTIFS($U$4:U262,U262,$B$4:B262,B262))=1),MAX($W$3:W261)+1,"")</f>
        <v/>
      </c>
      <c r="X262" s="38" t="str">
        <f t="shared" si="39"/>
        <v/>
      </c>
      <c r="Y262" s="38" t="str">
        <f>IF(AND(A262="Аппарат",C262&lt;&gt;"",OR($S$5="(все)",B262=$S$5)),MAX($Y$3:Y261)+1,"")</f>
        <v/>
      </c>
      <c r="Z262" s="38" t="str">
        <f t="shared" si="40"/>
        <v/>
      </c>
      <c r="AA262" s="38" t="str">
        <f>IF(AND(A262="Модуль",C262&lt;&gt;"",OR($S$6="(все)",B262=$S$6)),MAX($AA$3:AA261)+1,"")</f>
        <v/>
      </c>
      <c r="AB262" s="38" t="str">
        <f t="shared" si="41"/>
        <v/>
      </c>
      <c r="AC262" s="38" t="str">
        <f>IF(OR(B262="",COUNTIF($B$4:B262,B262)&gt;1),"",MAX($AC$3:AC261)+1)</f>
        <v/>
      </c>
      <c r="AD262" s="38" t="str">
        <f t="shared" si="42"/>
        <v/>
      </c>
      <c r="AE262" s="38" t="str">
        <f t="shared" si="43"/>
        <v/>
      </c>
      <c r="AF262" s="38" t="str">
        <f t="shared" si="44"/>
        <v/>
      </c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38" t="str">
        <f>IF(OR(A263="Автомат",A263="Дифавтомат"),IF(W263="","",COUNTIFS(Однолинейка!$H$3:$H$3000,U263,Однолинейка!$A$3:$A$3000,Щит_спец)),IF(A263="Аппарат",IF(C263="","",COUNTIFS(Однолинейка!$I$3:$I$3000,C263,Однолинейка!$A$3:$A$3000,Щит_спец)+COUNTIFS(Однолинейка!$J$3:$J$3000,C263,Однолинейка!$A$3:$A$3000,Щит_спец)+COUNTIFS(Однолинейка!$K$3:$K$3000,C263,Однолинейка!$A$3:$A$3000,Щит_спец)),IF(A263="Модуль",IF(C263="","",COUNTIFS(Однолинейка!$AW$3:$AW$3000,"?*",Однолинейка!$AI$3:$AI$3000,C263,Однолинейка!$A$3:$A$3000,Щит_спец)),IF(A263="Клемма",IF(C263="","",IF(C263=$S$7,SUMIFS(Однолинейка!$BW$3:$BW$3000,Однолинейка!$A$3:$A$3000,Щит_спец),IF(C263=$S$8,SUMIFS(Однолинейка!$BX$3:$BX$3000,Однолинейка!$A$3:$A$3000,Щит_спец),""))),""))))</f>
        <v/>
      </c>
      <c r="O263" s="74"/>
      <c r="P263" s="38" t="str">
        <f t="shared" si="36"/>
        <v/>
      </c>
      <c r="U263" s="38" t="str">
        <f t="shared" si="37"/>
        <v/>
      </c>
      <c r="V263" s="38" t="str">
        <f t="shared" si="38"/>
        <v/>
      </c>
      <c r="W263" s="38" t="str">
        <f>IF(AND(U263&lt;&gt;"",OR($S$4="(все)",B263=$S$4),IF($S$4="(все)",COUNTIF($U$4:U263,U263),COUNTIFS($U$4:U263,U263,$B$4:B263,B263))=1),MAX($W$3:W262)+1,"")</f>
        <v/>
      </c>
      <c r="X263" s="38" t="str">
        <f t="shared" si="39"/>
        <v/>
      </c>
      <c r="Y263" s="38" t="str">
        <f>IF(AND(A263="Аппарат",C263&lt;&gt;"",OR($S$5="(все)",B263=$S$5)),MAX($Y$3:Y262)+1,"")</f>
        <v/>
      </c>
      <c r="Z263" s="38" t="str">
        <f t="shared" si="40"/>
        <v/>
      </c>
      <c r="AA263" s="38" t="str">
        <f>IF(AND(A263="Модуль",C263&lt;&gt;"",OR($S$6="(все)",B263=$S$6)),MAX($AA$3:AA262)+1,"")</f>
        <v/>
      </c>
      <c r="AB263" s="38" t="str">
        <f t="shared" si="41"/>
        <v/>
      </c>
      <c r="AC263" s="38" t="str">
        <f>IF(OR(B263="",COUNTIF($B$4:B263,B263)&gt;1),"",MAX($AC$3:AC262)+1)</f>
        <v/>
      </c>
      <c r="AD263" s="38" t="str">
        <f t="shared" si="42"/>
        <v/>
      </c>
      <c r="AE263" s="38" t="str">
        <f t="shared" si="43"/>
        <v/>
      </c>
      <c r="AF263" s="38" t="str">
        <f t="shared" si="44"/>
        <v/>
      </c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38" t="str">
        <f>IF(OR(A264="Автомат",A264="Дифавтомат"),IF(W264="","",COUNTIFS(Однолинейка!$H$3:$H$3000,U264,Однолинейка!$A$3:$A$3000,Щит_спец)),IF(A264="Аппарат",IF(C264="","",COUNTIFS(Однолинейка!$I$3:$I$3000,C264,Однолинейка!$A$3:$A$3000,Щит_спец)+COUNTIFS(Однолинейка!$J$3:$J$3000,C264,Однолинейка!$A$3:$A$3000,Щит_спец)+COUNTIFS(Однолинейка!$K$3:$K$3000,C264,Однолинейка!$A$3:$A$3000,Щит_спец)),IF(A264="Модуль",IF(C264="","",COUNTIFS(Однолинейка!$AW$3:$AW$3000,"?*",Однолинейка!$AI$3:$AI$3000,C264,Однолинейка!$A$3:$A$3000,Щит_спец)),IF(A264="Клемма",IF(C264="","",IF(C264=$S$7,SUMIFS(Однолинейка!$BW$3:$BW$3000,Однолинейка!$A$3:$A$3000,Щит_спец),IF(C264=$S$8,SUMIFS(Однолинейка!$BX$3:$BX$3000,Однолинейка!$A$3:$A$3000,Щит_спец),""))),""))))</f>
        <v/>
      </c>
      <c r="O264" s="74"/>
      <c r="P264" s="38" t="str">
        <f t="shared" si="36"/>
        <v/>
      </c>
      <c r="U264" s="38" t="str">
        <f t="shared" si="37"/>
        <v/>
      </c>
      <c r="V264" s="38" t="str">
        <f t="shared" si="38"/>
        <v/>
      </c>
      <c r="W264" s="38" t="str">
        <f>IF(AND(U264&lt;&gt;"",OR($S$4="(все)",B264=$S$4),IF($S$4="(все)",COUNTIF($U$4:U264,U264),COUNTIFS($U$4:U264,U264,$B$4:B264,B264))=1),MAX($W$3:W263)+1,"")</f>
        <v/>
      </c>
      <c r="X264" s="38" t="str">
        <f t="shared" si="39"/>
        <v/>
      </c>
      <c r="Y264" s="38" t="str">
        <f>IF(AND(A264="Аппарат",C264&lt;&gt;"",OR($S$5="(все)",B264=$S$5)),MAX($Y$3:Y263)+1,"")</f>
        <v/>
      </c>
      <c r="Z264" s="38" t="str">
        <f t="shared" si="40"/>
        <v/>
      </c>
      <c r="AA264" s="38" t="str">
        <f>IF(AND(A264="Модуль",C264&lt;&gt;"",OR($S$6="(все)",B264=$S$6)),MAX($AA$3:AA263)+1,"")</f>
        <v/>
      </c>
      <c r="AB264" s="38" t="str">
        <f t="shared" si="41"/>
        <v/>
      </c>
      <c r="AC264" s="38" t="str">
        <f>IF(OR(B264="",COUNTIF($B$4:B264,B264)&gt;1),"",MAX($AC$3:AC263)+1)</f>
        <v/>
      </c>
      <c r="AD264" s="38" t="str">
        <f t="shared" si="42"/>
        <v/>
      </c>
      <c r="AE264" s="38" t="str">
        <f t="shared" si="43"/>
        <v/>
      </c>
      <c r="AF264" s="38" t="str">
        <f t="shared" si="44"/>
        <v/>
      </c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38" t="str">
        <f>IF(OR(A265="Автомат",A265="Дифавтомат"),IF(W265="","",COUNTIFS(Однолинейка!$H$3:$H$3000,U265,Однолинейка!$A$3:$A$3000,Щит_спец)),IF(A265="Аппарат",IF(C265="","",COUNTIFS(Однолинейка!$I$3:$I$3000,C265,Однолинейка!$A$3:$A$3000,Щит_спец)+COUNTIFS(Однолинейка!$J$3:$J$3000,C265,Однолинейка!$A$3:$A$3000,Щит_спец)+COUNTIFS(Однолинейка!$K$3:$K$3000,C265,Однолинейка!$A$3:$A$3000,Щит_спец)),IF(A265="Модуль",IF(C265="","",COUNTIFS(Однолинейка!$AW$3:$AW$3000,"?*",Однолинейка!$AI$3:$AI$3000,C265,Однолинейка!$A$3:$A$3000,Щит_спец)),IF(A265="Клемма",IF(C265="","",IF(C265=$S$7,SUMIFS(Однолинейка!$BW$3:$BW$3000,Однолинейка!$A$3:$A$3000,Щит_спец),IF(C265=$S$8,SUMIFS(Однолинейка!$BX$3:$BX$3000,Однолинейка!$A$3:$A$3000,Щит_спец),""))),""))))</f>
        <v/>
      </c>
      <c r="O265" s="74"/>
      <c r="P265" s="38" t="str">
        <f t="shared" si="36"/>
        <v/>
      </c>
      <c r="U265" s="38" t="str">
        <f t="shared" si="37"/>
        <v/>
      </c>
      <c r="V265" s="38" t="str">
        <f t="shared" si="38"/>
        <v/>
      </c>
      <c r="W265" s="38" t="str">
        <f>IF(AND(U265&lt;&gt;"",OR($S$4="(все)",B265=$S$4),IF($S$4="(все)",COUNTIF($U$4:U265,U265),COUNTIFS($U$4:U265,U265,$B$4:B265,B265))=1),MAX($W$3:W264)+1,"")</f>
        <v/>
      </c>
      <c r="X265" s="38" t="str">
        <f t="shared" si="39"/>
        <v/>
      </c>
      <c r="Y265" s="38" t="str">
        <f>IF(AND(A265="Аппарат",C265&lt;&gt;"",OR($S$5="(все)",B265=$S$5)),MAX($Y$3:Y264)+1,"")</f>
        <v/>
      </c>
      <c r="Z265" s="38" t="str">
        <f t="shared" si="40"/>
        <v/>
      </c>
      <c r="AA265" s="38" t="str">
        <f>IF(AND(A265="Модуль",C265&lt;&gt;"",OR($S$6="(все)",B265=$S$6)),MAX($AA$3:AA264)+1,"")</f>
        <v/>
      </c>
      <c r="AB265" s="38" t="str">
        <f t="shared" si="41"/>
        <v/>
      </c>
      <c r="AC265" s="38" t="str">
        <f>IF(OR(B265="",COUNTIF($B$4:B265,B265)&gt;1),"",MAX($AC$3:AC264)+1)</f>
        <v/>
      </c>
      <c r="AD265" s="38" t="str">
        <f t="shared" si="42"/>
        <v/>
      </c>
      <c r="AE265" s="38" t="str">
        <f t="shared" si="43"/>
        <v/>
      </c>
      <c r="AF265" s="38" t="str">
        <f t="shared" si="44"/>
        <v/>
      </c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38" t="str">
        <f>IF(OR(A266="Автомат",A266="Дифавтомат"),IF(W266="","",COUNTIFS(Однолинейка!$H$3:$H$3000,U266,Однолинейка!$A$3:$A$3000,Щит_спец)),IF(A266="Аппарат",IF(C266="","",COUNTIFS(Однолинейка!$I$3:$I$3000,C266,Однолинейка!$A$3:$A$3000,Щит_спец)+COUNTIFS(Однолинейка!$J$3:$J$3000,C266,Однолинейка!$A$3:$A$3000,Щит_спец)+COUNTIFS(Однолинейка!$K$3:$K$3000,C266,Однолинейка!$A$3:$A$3000,Щит_спец)),IF(A266="Модуль",IF(C266="","",COUNTIFS(Однолинейка!$AW$3:$AW$3000,"?*",Однолинейка!$AI$3:$AI$3000,C266,Однолинейка!$A$3:$A$3000,Щит_спец)),IF(A266="Клемма",IF(C266="","",IF(C266=$S$7,SUMIFS(Однолинейка!$BW$3:$BW$3000,Однолинейка!$A$3:$A$3000,Щит_спец),IF(C266=$S$8,SUMIFS(Однолинейка!$BX$3:$BX$3000,Однолинейка!$A$3:$A$3000,Щит_спец),""))),""))))</f>
        <v/>
      </c>
      <c r="O266" s="74"/>
      <c r="P266" s="38" t="str">
        <f t="shared" si="36"/>
        <v/>
      </c>
      <c r="U266" s="38" t="str">
        <f t="shared" si="37"/>
        <v/>
      </c>
      <c r="V266" s="38" t="str">
        <f t="shared" si="38"/>
        <v/>
      </c>
      <c r="W266" s="38" t="str">
        <f>IF(AND(U266&lt;&gt;"",OR($S$4="(все)",B266=$S$4),IF($S$4="(все)",COUNTIF($U$4:U266,U266),COUNTIFS($U$4:U266,U266,$B$4:B266,B266))=1),MAX($W$3:W265)+1,"")</f>
        <v/>
      </c>
      <c r="X266" s="38" t="str">
        <f t="shared" si="39"/>
        <v/>
      </c>
      <c r="Y266" s="38" t="str">
        <f>IF(AND(A266="Аппарат",C266&lt;&gt;"",OR($S$5="(все)",B266=$S$5)),MAX($Y$3:Y265)+1,"")</f>
        <v/>
      </c>
      <c r="Z266" s="38" t="str">
        <f t="shared" si="40"/>
        <v/>
      </c>
      <c r="AA266" s="38" t="str">
        <f>IF(AND(A266="Модуль",C266&lt;&gt;"",OR($S$6="(все)",B266=$S$6)),MAX($AA$3:AA265)+1,"")</f>
        <v/>
      </c>
      <c r="AB266" s="38" t="str">
        <f t="shared" si="41"/>
        <v/>
      </c>
      <c r="AC266" s="38" t="str">
        <f>IF(OR(B266="",COUNTIF($B$4:B266,B266)&gt;1),"",MAX($AC$3:AC265)+1)</f>
        <v/>
      </c>
      <c r="AD266" s="38" t="str">
        <f t="shared" si="42"/>
        <v/>
      </c>
      <c r="AE266" s="38" t="str">
        <f t="shared" si="43"/>
        <v/>
      </c>
      <c r="AF266" s="38" t="str">
        <f t="shared" si="44"/>
        <v/>
      </c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38" t="str">
        <f>IF(OR(A267="Автомат",A267="Дифавтомат"),IF(W267="","",COUNTIFS(Однолинейка!$H$3:$H$3000,U267,Однолинейка!$A$3:$A$3000,Щит_спец)),IF(A267="Аппарат",IF(C267="","",COUNTIFS(Однолинейка!$I$3:$I$3000,C267,Однолинейка!$A$3:$A$3000,Щит_спец)+COUNTIFS(Однолинейка!$J$3:$J$3000,C267,Однолинейка!$A$3:$A$3000,Щит_спец)+COUNTIFS(Однолинейка!$K$3:$K$3000,C267,Однолинейка!$A$3:$A$3000,Щит_спец)),IF(A267="Модуль",IF(C267="","",COUNTIFS(Однолинейка!$AW$3:$AW$3000,"?*",Однолинейка!$AI$3:$AI$3000,C267,Однолинейка!$A$3:$A$3000,Щит_спец)),IF(A267="Клемма",IF(C267="","",IF(C267=$S$7,SUMIFS(Однолинейка!$BW$3:$BW$3000,Однолинейка!$A$3:$A$3000,Щит_спец),IF(C267=$S$8,SUMIFS(Однолинейка!$BX$3:$BX$3000,Однолинейка!$A$3:$A$3000,Щит_спец),""))),""))))</f>
        <v/>
      </c>
      <c r="O267" s="74"/>
      <c r="P267" s="38" t="str">
        <f t="shared" si="36"/>
        <v/>
      </c>
      <c r="U267" s="38" t="str">
        <f t="shared" si="37"/>
        <v/>
      </c>
      <c r="V267" s="38" t="str">
        <f t="shared" si="38"/>
        <v/>
      </c>
      <c r="W267" s="38" t="str">
        <f>IF(AND(U267&lt;&gt;"",OR($S$4="(все)",B267=$S$4),IF($S$4="(все)",COUNTIF($U$4:U267,U267),COUNTIFS($U$4:U267,U267,$B$4:B267,B267))=1),MAX($W$3:W266)+1,"")</f>
        <v/>
      </c>
      <c r="X267" s="38" t="str">
        <f t="shared" si="39"/>
        <v/>
      </c>
      <c r="Y267" s="38" t="str">
        <f>IF(AND(A267="Аппарат",C267&lt;&gt;"",OR($S$5="(все)",B267=$S$5)),MAX($Y$3:Y266)+1,"")</f>
        <v/>
      </c>
      <c r="Z267" s="38" t="str">
        <f t="shared" si="40"/>
        <v/>
      </c>
      <c r="AA267" s="38" t="str">
        <f>IF(AND(A267="Модуль",C267&lt;&gt;"",OR($S$6="(все)",B267=$S$6)),MAX($AA$3:AA266)+1,"")</f>
        <v/>
      </c>
      <c r="AB267" s="38" t="str">
        <f t="shared" si="41"/>
        <v/>
      </c>
      <c r="AC267" s="38" t="str">
        <f>IF(OR(B267="",COUNTIF($B$4:B267,B267)&gt;1),"",MAX($AC$3:AC266)+1)</f>
        <v/>
      </c>
      <c r="AD267" s="38" t="str">
        <f t="shared" si="42"/>
        <v/>
      </c>
      <c r="AE267" s="38" t="str">
        <f t="shared" si="43"/>
        <v/>
      </c>
      <c r="AF267" s="38" t="str">
        <f t="shared" si="44"/>
        <v/>
      </c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38" t="str">
        <f>IF(OR(A268="Автомат",A268="Дифавтомат"),IF(W268="","",COUNTIFS(Однолинейка!$H$3:$H$3000,U268,Однолинейка!$A$3:$A$3000,Щит_спец)),IF(A268="Аппарат",IF(C268="","",COUNTIFS(Однолинейка!$I$3:$I$3000,C268,Однолинейка!$A$3:$A$3000,Щит_спец)+COUNTIFS(Однолинейка!$J$3:$J$3000,C268,Однолинейка!$A$3:$A$3000,Щит_спец)+COUNTIFS(Однолинейка!$K$3:$K$3000,C268,Однолинейка!$A$3:$A$3000,Щит_спец)),IF(A268="Модуль",IF(C268="","",COUNTIFS(Однолинейка!$AW$3:$AW$3000,"?*",Однолинейка!$AI$3:$AI$3000,C268,Однолинейка!$A$3:$A$3000,Щит_спец)),IF(A268="Клемма",IF(C268="","",IF(C268=$S$7,SUMIFS(Однолинейка!$BW$3:$BW$3000,Однолинейка!$A$3:$A$3000,Щит_спец),IF(C268=$S$8,SUMIFS(Однолинейка!$BX$3:$BX$3000,Однолинейка!$A$3:$A$3000,Щит_спец),""))),""))))</f>
        <v/>
      </c>
      <c r="O268" s="74"/>
      <c r="P268" s="38" t="str">
        <f t="shared" si="36"/>
        <v/>
      </c>
      <c r="U268" s="38" t="str">
        <f t="shared" si="37"/>
        <v/>
      </c>
      <c r="V268" s="38" t="str">
        <f t="shared" si="38"/>
        <v/>
      </c>
      <c r="W268" s="38" t="str">
        <f>IF(AND(U268&lt;&gt;"",OR($S$4="(все)",B268=$S$4),IF($S$4="(все)",COUNTIF($U$4:U268,U268),COUNTIFS($U$4:U268,U268,$B$4:B268,B268))=1),MAX($W$3:W267)+1,"")</f>
        <v/>
      </c>
      <c r="X268" s="38" t="str">
        <f t="shared" si="39"/>
        <v/>
      </c>
      <c r="Y268" s="38" t="str">
        <f>IF(AND(A268="Аппарат",C268&lt;&gt;"",OR($S$5="(все)",B268=$S$5)),MAX($Y$3:Y267)+1,"")</f>
        <v/>
      </c>
      <c r="Z268" s="38" t="str">
        <f t="shared" si="40"/>
        <v/>
      </c>
      <c r="AA268" s="38" t="str">
        <f>IF(AND(A268="Модуль",C268&lt;&gt;"",OR($S$6="(все)",B268=$S$6)),MAX($AA$3:AA267)+1,"")</f>
        <v/>
      </c>
      <c r="AB268" s="38" t="str">
        <f t="shared" si="41"/>
        <v/>
      </c>
      <c r="AC268" s="38" t="str">
        <f>IF(OR(B268="",COUNTIF($B$4:B268,B268)&gt;1),"",MAX($AC$3:AC267)+1)</f>
        <v/>
      </c>
      <c r="AD268" s="38" t="str">
        <f t="shared" si="42"/>
        <v/>
      </c>
      <c r="AE268" s="38" t="str">
        <f t="shared" si="43"/>
        <v/>
      </c>
      <c r="AF268" s="38" t="str">
        <f t="shared" si="44"/>
        <v/>
      </c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38" t="str">
        <f>IF(OR(A269="Автомат",A269="Дифавтомат"),IF(W269="","",COUNTIFS(Однолинейка!$H$3:$H$3000,U269,Однолинейка!$A$3:$A$3000,Щит_спец)),IF(A269="Аппарат",IF(C269="","",COUNTIFS(Однолинейка!$I$3:$I$3000,C269,Однолинейка!$A$3:$A$3000,Щит_спец)+COUNTIFS(Однолинейка!$J$3:$J$3000,C269,Однолинейка!$A$3:$A$3000,Щит_спец)+COUNTIFS(Однолинейка!$K$3:$K$3000,C269,Однолинейка!$A$3:$A$3000,Щит_спец)),IF(A269="Модуль",IF(C269="","",COUNTIFS(Однолинейка!$AW$3:$AW$3000,"?*",Однолинейка!$AI$3:$AI$3000,C269,Однолинейка!$A$3:$A$3000,Щит_спец)),IF(A269="Клемма",IF(C269="","",IF(C269=$S$7,SUMIFS(Однолинейка!$BW$3:$BW$3000,Однолинейка!$A$3:$A$3000,Щит_спец),IF(C269=$S$8,SUMIFS(Однолинейка!$BX$3:$BX$3000,Однолинейка!$A$3:$A$3000,Щит_спец),""))),""))))</f>
        <v/>
      </c>
      <c r="O269" s="74"/>
      <c r="P269" s="38" t="str">
        <f t="shared" si="36"/>
        <v/>
      </c>
      <c r="U269" s="38" t="str">
        <f t="shared" si="37"/>
        <v/>
      </c>
      <c r="V269" s="38" t="str">
        <f t="shared" si="38"/>
        <v/>
      </c>
      <c r="W269" s="38" t="str">
        <f>IF(AND(U269&lt;&gt;"",OR($S$4="(все)",B269=$S$4),IF($S$4="(все)",COUNTIF($U$4:U269,U269),COUNTIFS($U$4:U269,U269,$B$4:B269,B269))=1),MAX($W$3:W268)+1,"")</f>
        <v/>
      </c>
      <c r="X269" s="38" t="str">
        <f t="shared" si="39"/>
        <v/>
      </c>
      <c r="Y269" s="38" t="str">
        <f>IF(AND(A269="Аппарат",C269&lt;&gt;"",OR($S$5="(все)",B269=$S$5)),MAX($Y$3:Y268)+1,"")</f>
        <v/>
      </c>
      <c r="Z269" s="38" t="str">
        <f t="shared" si="40"/>
        <v/>
      </c>
      <c r="AA269" s="38" t="str">
        <f>IF(AND(A269="Модуль",C269&lt;&gt;"",OR($S$6="(все)",B269=$S$6)),MAX($AA$3:AA268)+1,"")</f>
        <v/>
      </c>
      <c r="AB269" s="38" t="str">
        <f t="shared" si="41"/>
        <v/>
      </c>
      <c r="AC269" s="38" t="str">
        <f>IF(OR(B269="",COUNTIF($B$4:B269,B269)&gt;1),"",MAX($AC$3:AC268)+1)</f>
        <v/>
      </c>
      <c r="AD269" s="38" t="str">
        <f t="shared" si="42"/>
        <v/>
      </c>
      <c r="AE269" s="38" t="str">
        <f t="shared" si="43"/>
        <v/>
      </c>
      <c r="AF269" s="38" t="str">
        <f t="shared" si="44"/>
        <v/>
      </c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38" t="str">
        <f>IF(OR(A270="Автомат",A270="Дифавтомат"),IF(W270="","",COUNTIFS(Однолинейка!$H$3:$H$3000,U270,Однолинейка!$A$3:$A$3000,Щит_спец)),IF(A270="Аппарат",IF(C270="","",COUNTIFS(Однолинейка!$I$3:$I$3000,C270,Однолинейка!$A$3:$A$3000,Щит_спец)+COUNTIFS(Однолинейка!$J$3:$J$3000,C270,Однолинейка!$A$3:$A$3000,Щит_спец)+COUNTIFS(Однолинейка!$K$3:$K$3000,C270,Однолинейка!$A$3:$A$3000,Щит_спец)),IF(A270="Модуль",IF(C270="","",COUNTIFS(Однолинейка!$AW$3:$AW$3000,"?*",Однолинейка!$AI$3:$AI$3000,C270,Однолинейка!$A$3:$A$3000,Щит_спец)),IF(A270="Клемма",IF(C270="","",IF(C270=$S$7,SUMIFS(Однолинейка!$BW$3:$BW$3000,Однолинейка!$A$3:$A$3000,Щит_спец),IF(C270=$S$8,SUMIFS(Однолинейка!$BX$3:$BX$3000,Однолинейка!$A$3:$A$3000,Щит_спец),""))),""))))</f>
        <v/>
      </c>
      <c r="O270" s="74"/>
      <c r="P270" s="38" t="str">
        <f t="shared" si="36"/>
        <v/>
      </c>
      <c r="U270" s="38" t="str">
        <f t="shared" si="37"/>
        <v/>
      </c>
      <c r="V270" s="38" t="str">
        <f t="shared" si="38"/>
        <v/>
      </c>
      <c r="W270" s="38" t="str">
        <f>IF(AND(U270&lt;&gt;"",OR($S$4="(все)",B270=$S$4),IF($S$4="(все)",COUNTIF($U$4:U270,U270),COUNTIFS($U$4:U270,U270,$B$4:B270,B270))=1),MAX($W$3:W269)+1,"")</f>
        <v/>
      </c>
      <c r="X270" s="38" t="str">
        <f t="shared" si="39"/>
        <v/>
      </c>
      <c r="Y270" s="38" t="str">
        <f>IF(AND(A270="Аппарат",C270&lt;&gt;"",OR($S$5="(все)",B270=$S$5)),MAX($Y$3:Y269)+1,"")</f>
        <v/>
      </c>
      <c r="Z270" s="38" t="str">
        <f t="shared" si="40"/>
        <v/>
      </c>
      <c r="AA270" s="38" t="str">
        <f>IF(AND(A270="Модуль",C270&lt;&gt;"",OR($S$6="(все)",B270=$S$6)),MAX($AA$3:AA269)+1,"")</f>
        <v/>
      </c>
      <c r="AB270" s="38" t="str">
        <f t="shared" si="41"/>
        <v/>
      </c>
      <c r="AC270" s="38" t="str">
        <f>IF(OR(B270="",COUNTIF($B$4:B270,B270)&gt;1),"",MAX($AC$3:AC269)+1)</f>
        <v/>
      </c>
      <c r="AD270" s="38" t="str">
        <f t="shared" si="42"/>
        <v/>
      </c>
      <c r="AE270" s="38" t="str">
        <f t="shared" si="43"/>
        <v/>
      </c>
      <c r="AF270" s="38" t="str">
        <f t="shared" si="44"/>
        <v/>
      </c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38" t="str">
        <f>IF(OR(A271="Автомат",A271="Дифавтомат"),IF(W271="","",COUNTIFS(Однолинейка!$H$3:$H$3000,U271,Однолинейка!$A$3:$A$3000,Щит_спец)),IF(A271="Аппарат",IF(C271="","",COUNTIFS(Однолинейка!$I$3:$I$3000,C271,Однолинейка!$A$3:$A$3000,Щит_спец)+COUNTIFS(Однолинейка!$J$3:$J$3000,C271,Однолинейка!$A$3:$A$3000,Щит_спец)+COUNTIFS(Однолинейка!$K$3:$K$3000,C271,Однолинейка!$A$3:$A$3000,Щит_спец)),IF(A271="Модуль",IF(C271="","",COUNTIFS(Однолинейка!$AW$3:$AW$3000,"?*",Однолинейка!$AI$3:$AI$3000,C271,Однолинейка!$A$3:$A$3000,Щит_спец)),IF(A271="Клемма",IF(C271="","",IF(C271=$S$7,SUMIFS(Однолинейка!$BW$3:$BW$3000,Однолинейка!$A$3:$A$3000,Щит_спец),IF(C271=$S$8,SUMIFS(Однолинейка!$BX$3:$BX$3000,Однолинейка!$A$3:$A$3000,Щит_спец),""))),""))))</f>
        <v/>
      </c>
      <c r="O271" s="74"/>
      <c r="P271" s="38" t="str">
        <f t="shared" si="36"/>
        <v/>
      </c>
      <c r="U271" s="38" t="str">
        <f t="shared" si="37"/>
        <v/>
      </c>
      <c r="V271" s="38" t="str">
        <f t="shared" si="38"/>
        <v/>
      </c>
      <c r="W271" s="38" t="str">
        <f>IF(AND(U271&lt;&gt;"",OR($S$4="(все)",B271=$S$4),IF($S$4="(все)",COUNTIF($U$4:U271,U271),COUNTIFS($U$4:U271,U271,$B$4:B271,B271))=1),MAX($W$3:W270)+1,"")</f>
        <v/>
      </c>
      <c r="X271" s="38" t="str">
        <f t="shared" si="39"/>
        <v/>
      </c>
      <c r="Y271" s="38" t="str">
        <f>IF(AND(A271="Аппарат",C271&lt;&gt;"",OR($S$5="(все)",B271=$S$5)),MAX($Y$3:Y270)+1,"")</f>
        <v/>
      </c>
      <c r="Z271" s="38" t="str">
        <f t="shared" si="40"/>
        <v/>
      </c>
      <c r="AA271" s="38" t="str">
        <f>IF(AND(A271="Модуль",C271&lt;&gt;"",OR($S$6="(все)",B271=$S$6)),MAX($AA$3:AA270)+1,"")</f>
        <v/>
      </c>
      <c r="AB271" s="38" t="str">
        <f t="shared" si="41"/>
        <v/>
      </c>
      <c r="AC271" s="38" t="str">
        <f>IF(OR(B271="",COUNTIF($B$4:B271,B271)&gt;1),"",MAX($AC$3:AC270)+1)</f>
        <v/>
      </c>
      <c r="AD271" s="38" t="str">
        <f t="shared" si="42"/>
        <v/>
      </c>
      <c r="AE271" s="38" t="str">
        <f t="shared" si="43"/>
        <v/>
      </c>
      <c r="AF271" s="38" t="str">
        <f t="shared" si="44"/>
        <v/>
      </c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38" t="str">
        <f>IF(OR(A272="Автомат",A272="Дифавтомат"),IF(W272="","",COUNTIFS(Однолинейка!$H$3:$H$3000,U272,Однолинейка!$A$3:$A$3000,Щит_спец)),IF(A272="Аппарат",IF(C272="","",COUNTIFS(Однолинейка!$I$3:$I$3000,C272,Однолинейка!$A$3:$A$3000,Щит_спец)+COUNTIFS(Однолинейка!$J$3:$J$3000,C272,Однолинейка!$A$3:$A$3000,Щит_спец)+COUNTIFS(Однолинейка!$K$3:$K$3000,C272,Однолинейка!$A$3:$A$3000,Щит_спец)),IF(A272="Модуль",IF(C272="","",COUNTIFS(Однолинейка!$AW$3:$AW$3000,"?*",Однолинейка!$AI$3:$AI$3000,C272,Однолинейка!$A$3:$A$3000,Щит_спец)),IF(A272="Клемма",IF(C272="","",IF(C272=$S$7,SUMIFS(Однолинейка!$BW$3:$BW$3000,Однолинейка!$A$3:$A$3000,Щит_спец),IF(C272=$S$8,SUMIFS(Однолинейка!$BX$3:$BX$3000,Однолинейка!$A$3:$A$3000,Щит_спец),""))),""))))</f>
        <v/>
      </c>
      <c r="O272" s="74"/>
      <c r="P272" s="38" t="str">
        <f t="shared" si="36"/>
        <v/>
      </c>
      <c r="U272" s="38" t="str">
        <f t="shared" si="37"/>
        <v/>
      </c>
      <c r="V272" s="38" t="str">
        <f t="shared" si="38"/>
        <v/>
      </c>
      <c r="W272" s="38" t="str">
        <f>IF(AND(U272&lt;&gt;"",OR($S$4="(все)",B272=$S$4),IF($S$4="(все)",COUNTIF($U$4:U272,U272),COUNTIFS($U$4:U272,U272,$B$4:B272,B272))=1),MAX($W$3:W271)+1,"")</f>
        <v/>
      </c>
      <c r="X272" s="38" t="str">
        <f t="shared" si="39"/>
        <v/>
      </c>
      <c r="Y272" s="38" t="str">
        <f>IF(AND(A272="Аппарат",C272&lt;&gt;"",OR($S$5="(все)",B272=$S$5)),MAX($Y$3:Y271)+1,"")</f>
        <v/>
      </c>
      <c r="Z272" s="38" t="str">
        <f t="shared" si="40"/>
        <v/>
      </c>
      <c r="AA272" s="38" t="str">
        <f>IF(AND(A272="Модуль",C272&lt;&gt;"",OR($S$6="(все)",B272=$S$6)),MAX($AA$3:AA271)+1,"")</f>
        <v/>
      </c>
      <c r="AB272" s="38" t="str">
        <f t="shared" si="41"/>
        <v/>
      </c>
      <c r="AC272" s="38" t="str">
        <f>IF(OR(B272="",COUNTIF($B$4:B272,B272)&gt;1),"",MAX($AC$3:AC271)+1)</f>
        <v/>
      </c>
      <c r="AD272" s="38" t="str">
        <f t="shared" si="42"/>
        <v/>
      </c>
      <c r="AE272" s="38" t="str">
        <f t="shared" si="43"/>
        <v/>
      </c>
      <c r="AF272" s="38" t="str">
        <f t="shared" si="44"/>
        <v/>
      </c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38" t="str">
        <f>IF(OR(A273="Автомат",A273="Дифавтомат"),IF(W273="","",COUNTIFS(Однолинейка!$H$3:$H$3000,U273,Однолинейка!$A$3:$A$3000,Щит_спец)),IF(A273="Аппарат",IF(C273="","",COUNTIFS(Однолинейка!$I$3:$I$3000,C273,Однолинейка!$A$3:$A$3000,Щит_спец)+COUNTIFS(Однолинейка!$J$3:$J$3000,C273,Однолинейка!$A$3:$A$3000,Щит_спец)+COUNTIFS(Однолинейка!$K$3:$K$3000,C273,Однолинейка!$A$3:$A$3000,Щит_спец)),IF(A273="Модуль",IF(C273="","",COUNTIFS(Однолинейка!$AW$3:$AW$3000,"?*",Однолинейка!$AI$3:$AI$3000,C273,Однолинейка!$A$3:$A$3000,Щит_спец)),IF(A273="Клемма",IF(C273="","",IF(C273=$S$7,SUMIFS(Однолинейка!$BW$3:$BW$3000,Однолинейка!$A$3:$A$3000,Щит_спец),IF(C273=$S$8,SUMIFS(Однолинейка!$BX$3:$BX$3000,Однолинейка!$A$3:$A$3000,Щит_спец),""))),""))))</f>
        <v/>
      </c>
      <c r="O273" s="74"/>
      <c r="P273" s="38" t="str">
        <f t="shared" si="36"/>
        <v/>
      </c>
      <c r="U273" s="38" t="str">
        <f t="shared" si="37"/>
        <v/>
      </c>
      <c r="V273" s="38" t="str">
        <f t="shared" si="38"/>
        <v/>
      </c>
      <c r="W273" s="38" t="str">
        <f>IF(AND(U273&lt;&gt;"",OR($S$4="(все)",B273=$S$4),IF($S$4="(все)",COUNTIF($U$4:U273,U273),COUNTIFS($U$4:U273,U273,$B$4:B273,B273))=1),MAX($W$3:W272)+1,"")</f>
        <v/>
      </c>
      <c r="X273" s="38" t="str">
        <f t="shared" si="39"/>
        <v/>
      </c>
      <c r="Y273" s="38" t="str">
        <f>IF(AND(A273="Аппарат",C273&lt;&gt;"",OR($S$5="(все)",B273=$S$5)),MAX($Y$3:Y272)+1,"")</f>
        <v/>
      </c>
      <c r="Z273" s="38" t="str">
        <f t="shared" si="40"/>
        <v/>
      </c>
      <c r="AA273" s="38" t="str">
        <f>IF(AND(A273="Модуль",C273&lt;&gt;"",OR($S$6="(все)",B273=$S$6)),MAX($AA$3:AA272)+1,"")</f>
        <v/>
      </c>
      <c r="AB273" s="38" t="str">
        <f t="shared" si="41"/>
        <v/>
      </c>
      <c r="AC273" s="38" t="str">
        <f>IF(OR(B273="",COUNTIF($B$4:B273,B273)&gt;1),"",MAX($AC$3:AC272)+1)</f>
        <v/>
      </c>
      <c r="AD273" s="38" t="str">
        <f t="shared" si="42"/>
        <v/>
      </c>
      <c r="AE273" s="38" t="str">
        <f t="shared" si="43"/>
        <v/>
      </c>
      <c r="AF273" s="38" t="str">
        <f t="shared" si="44"/>
        <v/>
      </c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38" t="str">
        <f>IF(OR(A274="Автомат",A274="Дифавтомат"),IF(W274="","",COUNTIFS(Однолинейка!$H$3:$H$3000,U274,Однолинейка!$A$3:$A$3000,Щит_спец)),IF(A274="Аппарат",IF(C274="","",COUNTIFS(Однолинейка!$I$3:$I$3000,C274,Однолинейка!$A$3:$A$3000,Щит_спец)+COUNTIFS(Однолинейка!$J$3:$J$3000,C274,Однолинейка!$A$3:$A$3000,Щит_спец)+COUNTIFS(Однолинейка!$K$3:$K$3000,C274,Однолинейка!$A$3:$A$3000,Щит_спец)),IF(A274="Модуль",IF(C274="","",COUNTIFS(Однолинейка!$AW$3:$AW$3000,"?*",Однолинейка!$AI$3:$AI$3000,C274,Однолинейка!$A$3:$A$3000,Щит_спец)),IF(A274="Клемма",IF(C274="","",IF(C274=$S$7,SUMIFS(Однолинейка!$BW$3:$BW$3000,Однолинейка!$A$3:$A$3000,Щит_спец),IF(C274=$S$8,SUMIFS(Однолинейка!$BX$3:$BX$3000,Однолинейка!$A$3:$A$3000,Щит_спец),""))),""))))</f>
        <v/>
      </c>
      <c r="O274" s="74"/>
      <c r="P274" s="38" t="str">
        <f t="shared" si="36"/>
        <v/>
      </c>
      <c r="U274" s="38" t="str">
        <f t="shared" si="37"/>
        <v/>
      </c>
      <c r="V274" s="38" t="str">
        <f t="shared" si="38"/>
        <v/>
      </c>
      <c r="W274" s="38" t="str">
        <f>IF(AND(U274&lt;&gt;"",OR($S$4="(все)",B274=$S$4),IF($S$4="(все)",COUNTIF($U$4:U274,U274),COUNTIFS($U$4:U274,U274,$B$4:B274,B274))=1),MAX($W$3:W273)+1,"")</f>
        <v/>
      </c>
      <c r="X274" s="38" t="str">
        <f t="shared" si="39"/>
        <v/>
      </c>
      <c r="Y274" s="38" t="str">
        <f>IF(AND(A274="Аппарат",C274&lt;&gt;"",OR($S$5="(все)",B274=$S$5)),MAX($Y$3:Y273)+1,"")</f>
        <v/>
      </c>
      <c r="Z274" s="38" t="str">
        <f t="shared" si="40"/>
        <v/>
      </c>
      <c r="AA274" s="38" t="str">
        <f>IF(AND(A274="Модуль",C274&lt;&gt;"",OR($S$6="(все)",B274=$S$6)),MAX($AA$3:AA273)+1,"")</f>
        <v/>
      </c>
      <c r="AB274" s="38" t="str">
        <f t="shared" si="41"/>
        <v/>
      </c>
      <c r="AC274" s="38" t="str">
        <f>IF(OR(B274="",COUNTIF($B$4:B274,B274)&gt;1),"",MAX($AC$3:AC273)+1)</f>
        <v/>
      </c>
      <c r="AD274" s="38" t="str">
        <f t="shared" si="42"/>
        <v/>
      </c>
      <c r="AE274" s="38" t="str">
        <f t="shared" si="43"/>
        <v/>
      </c>
      <c r="AF274" s="38" t="str">
        <f t="shared" si="44"/>
        <v/>
      </c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38" t="str">
        <f>IF(OR(A275="Автомат",A275="Дифавтомат"),IF(W275="","",COUNTIFS(Однолинейка!$H$3:$H$3000,U275,Однолинейка!$A$3:$A$3000,Щит_спец)),IF(A275="Аппарат",IF(C275="","",COUNTIFS(Однолинейка!$I$3:$I$3000,C275,Однолинейка!$A$3:$A$3000,Щит_спец)+COUNTIFS(Однолинейка!$J$3:$J$3000,C275,Однолинейка!$A$3:$A$3000,Щит_спец)+COUNTIFS(Однолинейка!$K$3:$K$3000,C275,Однолинейка!$A$3:$A$3000,Щит_спец)),IF(A275="Модуль",IF(C275="","",COUNTIFS(Однолинейка!$AW$3:$AW$3000,"?*",Однолинейка!$AI$3:$AI$3000,C275,Однолинейка!$A$3:$A$3000,Щит_спец)),IF(A275="Клемма",IF(C275="","",IF(C275=$S$7,SUMIFS(Однолинейка!$BW$3:$BW$3000,Однолинейка!$A$3:$A$3000,Щит_спец),IF(C275=$S$8,SUMIFS(Однолинейка!$BX$3:$BX$3000,Однолинейка!$A$3:$A$3000,Щит_спец),""))),""))))</f>
        <v/>
      </c>
      <c r="O275" s="74"/>
      <c r="P275" s="38" t="str">
        <f t="shared" si="36"/>
        <v/>
      </c>
      <c r="U275" s="38" t="str">
        <f t="shared" si="37"/>
        <v/>
      </c>
      <c r="V275" s="38" t="str">
        <f t="shared" si="38"/>
        <v/>
      </c>
      <c r="W275" s="38" t="str">
        <f>IF(AND(U275&lt;&gt;"",OR($S$4="(все)",B275=$S$4),IF($S$4="(все)",COUNTIF($U$4:U275,U275),COUNTIFS($U$4:U275,U275,$B$4:B275,B275))=1),MAX($W$3:W274)+1,"")</f>
        <v/>
      </c>
      <c r="X275" s="38" t="str">
        <f t="shared" si="39"/>
        <v/>
      </c>
      <c r="Y275" s="38" t="str">
        <f>IF(AND(A275="Аппарат",C275&lt;&gt;"",OR($S$5="(все)",B275=$S$5)),MAX($Y$3:Y274)+1,"")</f>
        <v/>
      </c>
      <c r="Z275" s="38" t="str">
        <f t="shared" si="40"/>
        <v/>
      </c>
      <c r="AA275" s="38" t="str">
        <f>IF(AND(A275="Модуль",C275&lt;&gt;"",OR($S$6="(все)",B275=$S$6)),MAX($AA$3:AA274)+1,"")</f>
        <v/>
      </c>
      <c r="AB275" s="38" t="str">
        <f t="shared" si="41"/>
        <v/>
      </c>
      <c r="AC275" s="38" t="str">
        <f>IF(OR(B275="",COUNTIF($B$4:B275,B275)&gt;1),"",MAX($AC$3:AC274)+1)</f>
        <v/>
      </c>
      <c r="AD275" s="38" t="str">
        <f t="shared" si="42"/>
        <v/>
      </c>
      <c r="AE275" s="38" t="str">
        <f t="shared" si="43"/>
        <v/>
      </c>
      <c r="AF275" s="38" t="str">
        <f t="shared" si="44"/>
        <v/>
      </c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38" t="str">
        <f>IF(OR(A276="Автомат",A276="Дифавтомат"),IF(W276="","",COUNTIFS(Однолинейка!$H$3:$H$3000,U276,Однолинейка!$A$3:$A$3000,Щит_спец)),IF(A276="Аппарат",IF(C276="","",COUNTIFS(Однолинейка!$I$3:$I$3000,C276,Однолинейка!$A$3:$A$3000,Щит_спец)+COUNTIFS(Однолинейка!$J$3:$J$3000,C276,Однолинейка!$A$3:$A$3000,Щит_спец)+COUNTIFS(Однолинейка!$K$3:$K$3000,C276,Однолинейка!$A$3:$A$3000,Щит_спец)),IF(A276="Модуль",IF(C276="","",COUNTIFS(Однолинейка!$AW$3:$AW$3000,"?*",Однолинейка!$AI$3:$AI$3000,C276,Однолинейка!$A$3:$A$3000,Щит_спец)),IF(A276="Клемма",IF(C276="","",IF(C276=$S$7,SUMIFS(Однолинейка!$BW$3:$BW$3000,Однолинейка!$A$3:$A$3000,Щит_спец),IF(C276=$S$8,SUMIFS(Однолинейка!$BX$3:$BX$3000,Однолинейка!$A$3:$A$3000,Щит_спец),""))),""))))</f>
        <v/>
      </c>
      <c r="O276" s="74"/>
      <c r="P276" s="38" t="str">
        <f t="shared" si="36"/>
        <v/>
      </c>
      <c r="U276" s="38" t="str">
        <f t="shared" si="37"/>
        <v/>
      </c>
      <c r="V276" s="38" t="str">
        <f t="shared" si="38"/>
        <v/>
      </c>
      <c r="W276" s="38" t="str">
        <f>IF(AND(U276&lt;&gt;"",OR($S$4="(все)",B276=$S$4),IF($S$4="(все)",COUNTIF($U$4:U276,U276),COUNTIFS($U$4:U276,U276,$B$4:B276,B276))=1),MAX($W$3:W275)+1,"")</f>
        <v/>
      </c>
      <c r="X276" s="38" t="str">
        <f t="shared" si="39"/>
        <v/>
      </c>
      <c r="Y276" s="38" t="str">
        <f>IF(AND(A276="Аппарат",C276&lt;&gt;"",OR($S$5="(все)",B276=$S$5)),MAX($Y$3:Y275)+1,"")</f>
        <v/>
      </c>
      <c r="Z276" s="38" t="str">
        <f t="shared" si="40"/>
        <v/>
      </c>
      <c r="AA276" s="38" t="str">
        <f>IF(AND(A276="Модуль",C276&lt;&gt;"",OR($S$6="(все)",B276=$S$6)),MAX($AA$3:AA275)+1,"")</f>
        <v/>
      </c>
      <c r="AB276" s="38" t="str">
        <f t="shared" si="41"/>
        <v/>
      </c>
      <c r="AC276" s="38" t="str">
        <f>IF(OR(B276="",COUNTIF($B$4:B276,B276)&gt;1),"",MAX($AC$3:AC275)+1)</f>
        <v/>
      </c>
      <c r="AD276" s="38" t="str">
        <f t="shared" si="42"/>
        <v/>
      </c>
      <c r="AE276" s="38" t="str">
        <f t="shared" si="43"/>
        <v/>
      </c>
      <c r="AF276" s="38" t="str">
        <f t="shared" si="44"/>
        <v/>
      </c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38" t="str">
        <f>IF(OR(A277="Автомат",A277="Дифавтомат"),IF(W277="","",COUNTIFS(Однолинейка!$H$3:$H$3000,U277,Однолинейка!$A$3:$A$3000,Щит_спец)),IF(A277="Аппарат",IF(C277="","",COUNTIFS(Однолинейка!$I$3:$I$3000,C277,Однолинейка!$A$3:$A$3000,Щит_спец)+COUNTIFS(Однолинейка!$J$3:$J$3000,C277,Однолинейка!$A$3:$A$3000,Щит_спец)+COUNTIFS(Однолинейка!$K$3:$K$3000,C277,Однолинейка!$A$3:$A$3000,Щит_спец)),IF(A277="Модуль",IF(C277="","",COUNTIFS(Однолинейка!$AW$3:$AW$3000,"?*",Однолинейка!$AI$3:$AI$3000,C277,Однолинейка!$A$3:$A$3000,Щит_спец)),IF(A277="Клемма",IF(C277="","",IF(C277=$S$7,SUMIFS(Однолинейка!$BW$3:$BW$3000,Однолинейка!$A$3:$A$3000,Щит_спец),IF(C277=$S$8,SUMIFS(Однолинейка!$BX$3:$BX$3000,Однолинейка!$A$3:$A$3000,Щит_спец),""))),""))))</f>
        <v/>
      </c>
      <c r="O277" s="74"/>
      <c r="P277" s="38" t="str">
        <f t="shared" si="36"/>
        <v/>
      </c>
      <c r="U277" s="38" t="str">
        <f t="shared" si="37"/>
        <v/>
      </c>
      <c r="V277" s="38" t="str">
        <f t="shared" si="38"/>
        <v/>
      </c>
      <c r="W277" s="38" t="str">
        <f>IF(AND(U277&lt;&gt;"",OR($S$4="(все)",B277=$S$4),IF($S$4="(все)",COUNTIF($U$4:U277,U277),COUNTIFS($U$4:U277,U277,$B$4:B277,B277))=1),MAX($W$3:W276)+1,"")</f>
        <v/>
      </c>
      <c r="X277" s="38" t="str">
        <f t="shared" si="39"/>
        <v/>
      </c>
      <c r="Y277" s="38" t="str">
        <f>IF(AND(A277="Аппарат",C277&lt;&gt;"",OR($S$5="(все)",B277=$S$5)),MAX($Y$3:Y276)+1,"")</f>
        <v/>
      </c>
      <c r="Z277" s="38" t="str">
        <f t="shared" si="40"/>
        <v/>
      </c>
      <c r="AA277" s="38" t="str">
        <f>IF(AND(A277="Модуль",C277&lt;&gt;"",OR($S$6="(все)",B277=$S$6)),MAX($AA$3:AA276)+1,"")</f>
        <v/>
      </c>
      <c r="AB277" s="38" t="str">
        <f t="shared" si="41"/>
        <v/>
      </c>
      <c r="AC277" s="38" t="str">
        <f>IF(OR(B277="",COUNTIF($B$4:B277,B277)&gt;1),"",MAX($AC$3:AC276)+1)</f>
        <v/>
      </c>
      <c r="AD277" s="38" t="str">
        <f t="shared" si="42"/>
        <v/>
      </c>
      <c r="AE277" s="38" t="str">
        <f t="shared" si="43"/>
        <v/>
      </c>
      <c r="AF277" s="38" t="str">
        <f t="shared" si="44"/>
        <v/>
      </c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38" t="str">
        <f>IF(OR(A278="Автомат",A278="Дифавтомат"),IF(W278="","",COUNTIFS(Однолинейка!$H$3:$H$3000,U278,Однолинейка!$A$3:$A$3000,Щит_спец)),IF(A278="Аппарат",IF(C278="","",COUNTIFS(Однолинейка!$I$3:$I$3000,C278,Однолинейка!$A$3:$A$3000,Щит_спец)+COUNTIFS(Однолинейка!$J$3:$J$3000,C278,Однолинейка!$A$3:$A$3000,Щит_спец)+COUNTIFS(Однолинейка!$K$3:$K$3000,C278,Однолинейка!$A$3:$A$3000,Щит_спец)),IF(A278="Модуль",IF(C278="","",COUNTIFS(Однолинейка!$AW$3:$AW$3000,"?*",Однолинейка!$AI$3:$AI$3000,C278,Однолинейка!$A$3:$A$3000,Щит_спец)),IF(A278="Клемма",IF(C278="","",IF(C278=$S$7,SUMIFS(Однолинейка!$BW$3:$BW$3000,Однолинейка!$A$3:$A$3000,Щит_спец),IF(C278=$S$8,SUMIFS(Однолинейка!$BX$3:$BX$3000,Однолинейка!$A$3:$A$3000,Щит_спец),""))),""))))</f>
        <v/>
      </c>
      <c r="O278" s="74"/>
      <c r="P278" s="38" t="str">
        <f t="shared" si="36"/>
        <v/>
      </c>
      <c r="U278" s="38" t="str">
        <f t="shared" si="37"/>
        <v/>
      </c>
      <c r="V278" s="38" t="str">
        <f t="shared" si="38"/>
        <v/>
      </c>
      <c r="W278" s="38" t="str">
        <f>IF(AND(U278&lt;&gt;"",OR($S$4="(все)",B278=$S$4),IF($S$4="(все)",COUNTIF($U$4:U278,U278),COUNTIFS($U$4:U278,U278,$B$4:B278,B278))=1),MAX($W$3:W277)+1,"")</f>
        <v/>
      </c>
      <c r="X278" s="38" t="str">
        <f t="shared" si="39"/>
        <v/>
      </c>
      <c r="Y278" s="38" t="str">
        <f>IF(AND(A278="Аппарат",C278&lt;&gt;"",OR($S$5="(все)",B278=$S$5)),MAX($Y$3:Y277)+1,"")</f>
        <v/>
      </c>
      <c r="Z278" s="38" t="str">
        <f t="shared" si="40"/>
        <v/>
      </c>
      <c r="AA278" s="38" t="str">
        <f>IF(AND(A278="Модуль",C278&lt;&gt;"",OR($S$6="(все)",B278=$S$6)),MAX($AA$3:AA277)+1,"")</f>
        <v/>
      </c>
      <c r="AB278" s="38" t="str">
        <f t="shared" si="41"/>
        <v/>
      </c>
      <c r="AC278" s="38" t="str">
        <f>IF(OR(B278="",COUNTIF($B$4:B278,B278)&gt;1),"",MAX($AC$3:AC277)+1)</f>
        <v/>
      </c>
      <c r="AD278" s="38" t="str">
        <f t="shared" si="42"/>
        <v/>
      </c>
      <c r="AE278" s="38" t="str">
        <f t="shared" si="43"/>
        <v/>
      </c>
      <c r="AF278" s="38" t="str">
        <f t="shared" si="44"/>
        <v/>
      </c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38" t="str">
        <f>IF(OR(A279="Автомат",A279="Дифавтомат"),IF(W279="","",COUNTIFS(Однолинейка!$H$3:$H$3000,U279,Однолинейка!$A$3:$A$3000,Щит_спец)),IF(A279="Аппарат",IF(C279="","",COUNTIFS(Однолинейка!$I$3:$I$3000,C279,Однолинейка!$A$3:$A$3000,Щит_спец)+COUNTIFS(Однолинейка!$J$3:$J$3000,C279,Однолинейка!$A$3:$A$3000,Щит_спец)+COUNTIFS(Однолинейка!$K$3:$K$3000,C279,Однолинейка!$A$3:$A$3000,Щит_спец)),IF(A279="Модуль",IF(C279="","",COUNTIFS(Однолинейка!$AW$3:$AW$3000,"?*",Однолинейка!$AI$3:$AI$3000,C279,Однолинейка!$A$3:$A$3000,Щит_спец)),IF(A279="Клемма",IF(C279="","",IF(C279=$S$7,SUMIFS(Однолинейка!$BW$3:$BW$3000,Однолинейка!$A$3:$A$3000,Щит_спец),IF(C279=$S$8,SUMIFS(Однолинейка!$BX$3:$BX$3000,Однолинейка!$A$3:$A$3000,Щит_спец),""))),""))))</f>
        <v/>
      </c>
      <c r="O279" s="74"/>
      <c r="P279" s="38" t="str">
        <f t="shared" si="36"/>
        <v/>
      </c>
      <c r="U279" s="38" t="str">
        <f t="shared" si="37"/>
        <v/>
      </c>
      <c r="V279" s="38" t="str">
        <f t="shared" si="38"/>
        <v/>
      </c>
      <c r="W279" s="38" t="str">
        <f>IF(AND(U279&lt;&gt;"",OR($S$4="(все)",B279=$S$4),IF($S$4="(все)",COUNTIF($U$4:U279,U279),COUNTIFS($U$4:U279,U279,$B$4:B279,B279))=1),MAX($W$3:W278)+1,"")</f>
        <v/>
      </c>
      <c r="X279" s="38" t="str">
        <f t="shared" si="39"/>
        <v/>
      </c>
      <c r="Y279" s="38" t="str">
        <f>IF(AND(A279="Аппарат",C279&lt;&gt;"",OR($S$5="(все)",B279=$S$5)),MAX($Y$3:Y278)+1,"")</f>
        <v/>
      </c>
      <c r="Z279" s="38" t="str">
        <f t="shared" si="40"/>
        <v/>
      </c>
      <c r="AA279" s="38" t="str">
        <f>IF(AND(A279="Модуль",C279&lt;&gt;"",OR($S$6="(все)",B279=$S$6)),MAX($AA$3:AA278)+1,"")</f>
        <v/>
      </c>
      <c r="AB279" s="38" t="str">
        <f t="shared" si="41"/>
        <v/>
      </c>
      <c r="AC279" s="38" t="str">
        <f>IF(OR(B279="",COUNTIF($B$4:B279,B279)&gt;1),"",MAX($AC$3:AC278)+1)</f>
        <v/>
      </c>
      <c r="AD279" s="38" t="str">
        <f t="shared" si="42"/>
        <v/>
      </c>
      <c r="AE279" s="38" t="str">
        <f t="shared" si="43"/>
        <v/>
      </c>
      <c r="AF279" s="38" t="str">
        <f t="shared" si="44"/>
        <v/>
      </c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38" t="str">
        <f>IF(OR(A280="Автомат",A280="Дифавтомат"),IF(W280="","",COUNTIFS(Однолинейка!$H$3:$H$3000,U280,Однолинейка!$A$3:$A$3000,Щит_спец)),IF(A280="Аппарат",IF(C280="","",COUNTIFS(Однолинейка!$I$3:$I$3000,C280,Однолинейка!$A$3:$A$3000,Щит_спец)+COUNTIFS(Однолинейка!$J$3:$J$3000,C280,Однолинейка!$A$3:$A$3000,Щит_спец)+COUNTIFS(Однолинейка!$K$3:$K$3000,C280,Однолинейка!$A$3:$A$3000,Щит_спец)),IF(A280="Модуль",IF(C280="","",COUNTIFS(Однолинейка!$AW$3:$AW$3000,"?*",Однолинейка!$AI$3:$AI$3000,C280,Однолинейка!$A$3:$A$3000,Щит_спец)),IF(A280="Клемма",IF(C280="","",IF(C280=$S$7,SUMIFS(Однолинейка!$BW$3:$BW$3000,Однолинейка!$A$3:$A$3000,Щит_спец),IF(C280=$S$8,SUMIFS(Однолинейка!$BX$3:$BX$3000,Однолинейка!$A$3:$A$3000,Щит_спец),""))),""))))</f>
        <v/>
      </c>
      <c r="O280" s="74"/>
      <c r="P280" s="38" t="str">
        <f t="shared" si="36"/>
        <v/>
      </c>
      <c r="U280" s="38" t="str">
        <f t="shared" si="37"/>
        <v/>
      </c>
      <c r="V280" s="38" t="str">
        <f t="shared" si="38"/>
        <v/>
      </c>
      <c r="W280" s="38" t="str">
        <f>IF(AND(U280&lt;&gt;"",OR($S$4="(все)",B280=$S$4),IF($S$4="(все)",COUNTIF($U$4:U280,U280),COUNTIFS($U$4:U280,U280,$B$4:B280,B280))=1),MAX($W$3:W279)+1,"")</f>
        <v/>
      </c>
      <c r="X280" s="38" t="str">
        <f t="shared" si="39"/>
        <v/>
      </c>
      <c r="Y280" s="38" t="str">
        <f>IF(AND(A280="Аппарат",C280&lt;&gt;"",OR($S$5="(все)",B280=$S$5)),MAX($Y$3:Y279)+1,"")</f>
        <v/>
      </c>
      <c r="Z280" s="38" t="str">
        <f t="shared" si="40"/>
        <v/>
      </c>
      <c r="AA280" s="38" t="str">
        <f>IF(AND(A280="Модуль",C280&lt;&gt;"",OR($S$6="(все)",B280=$S$6)),MAX($AA$3:AA279)+1,"")</f>
        <v/>
      </c>
      <c r="AB280" s="38" t="str">
        <f t="shared" si="41"/>
        <v/>
      </c>
      <c r="AC280" s="38" t="str">
        <f>IF(OR(B280="",COUNTIF($B$4:B280,B280)&gt;1),"",MAX($AC$3:AC279)+1)</f>
        <v/>
      </c>
      <c r="AD280" s="38" t="str">
        <f t="shared" si="42"/>
        <v/>
      </c>
      <c r="AE280" s="38" t="str">
        <f t="shared" si="43"/>
        <v/>
      </c>
      <c r="AF280" s="38" t="str">
        <f t="shared" si="44"/>
        <v/>
      </c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38" t="str">
        <f>IF(OR(A281="Автомат",A281="Дифавтомат"),IF(W281="","",COUNTIFS(Однолинейка!$H$3:$H$3000,U281,Однолинейка!$A$3:$A$3000,Щит_спец)),IF(A281="Аппарат",IF(C281="","",COUNTIFS(Однолинейка!$I$3:$I$3000,C281,Однолинейка!$A$3:$A$3000,Щит_спец)+COUNTIFS(Однолинейка!$J$3:$J$3000,C281,Однолинейка!$A$3:$A$3000,Щит_спец)+COUNTIFS(Однолинейка!$K$3:$K$3000,C281,Однолинейка!$A$3:$A$3000,Щит_спец)),IF(A281="Модуль",IF(C281="","",COUNTIFS(Однолинейка!$AW$3:$AW$3000,"?*",Однолинейка!$AI$3:$AI$3000,C281,Однолинейка!$A$3:$A$3000,Щит_спец)),IF(A281="Клемма",IF(C281="","",IF(C281=$S$7,SUMIFS(Однолинейка!$BW$3:$BW$3000,Однолинейка!$A$3:$A$3000,Щит_спец),IF(C281=$S$8,SUMIFS(Однолинейка!$BX$3:$BX$3000,Однолинейка!$A$3:$A$3000,Щит_спец),""))),""))))</f>
        <v/>
      </c>
      <c r="O281" s="74"/>
      <c r="P281" s="38" t="str">
        <f t="shared" si="36"/>
        <v/>
      </c>
      <c r="U281" s="38" t="str">
        <f t="shared" si="37"/>
        <v/>
      </c>
      <c r="V281" s="38" t="str">
        <f t="shared" si="38"/>
        <v/>
      </c>
      <c r="W281" s="38" t="str">
        <f>IF(AND(U281&lt;&gt;"",OR($S$4="(все)",B281=$S$4),IF($S$4="(все)",COUNTIF($U$4:U281,U281),COUNTIFS($U$4:U281,U281,$B$4:B281,B281))=1),MAX($W$3:W280)+1,"")</f>
        <v/>
      </c>
      <c r="X281" s="38" t="str">
        <f t="shared" si="39"/>
        <v/>
      </c>
      <c r="Y281" s="38" t="str">
        <f>IF(AND(A281="Аппарат",C281&lt;&gt;"",OR($S$5="(все)",B281=$S$5)),MAX($Y$3:Y280)+1,"")</f>
        <v/>
      </c>
      <c r="Z281" s="38" t="str">
        <f t="shared" si="40"/>
        <v/>
      </c>
      <c r="AA281" s="38" t="str">
        <f>IF(AND(A281="Модуль",C281&lt;&gt;"",OR($S$6="(все)",B281=$S$6)),MAX($AA$3:AA280)+1,"")</f>
        <v/>
      </c>
      <c r="AB281" s="38" t="str">
        <f t="shared" si="41"/>
        <v/>
      </c>
      <c r="AC281" s="38" t="str">
        <f>IF(OR(B281="",COUNTIF($B$4:B281,B281)&gt;1),"",MAX($AC$3:AC280)+1)</f>
        <v/>
      </c>
      <c r="AD281" s="38" t="str">
        <f t="shared" si="42"/>
        <v/>
      </c>
      <c r="AE281" s="38" t="str">
        <f t="shared" si="43"/>
        <v/>
      </c>
      <c r="AF281" s="38" t="str">
        <f t="shared" si="44"/>
        <v/>
      </c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38" t="str">
        <f>IF(OR(A282="Автомат",A282="Дифавтомат"),IF(W282="","",COUNTIFS(Однолинейка!$H$3:$H$3000,U282,Однолинейка!$A$3:$A$3000,Щит_спец)),IF(A282="Аппарат",IF(C282="","",COUNTIFS(Однолинейка!$I$3:$I$3000,C282,Однолинейка!$A$3:$A$3000,Щит_спец)+COUNTIFS(Однолинейка!$J$3:$J$3000,C282,Однолинейка!$A$3:$A$3000,Щит_спец)+COUNTIFS(Однолинейка!$K$3:$K$3000,C282,Однолинейка!$A$3:$A$3000,Щит_спец)),IF(A282="Модуль",IF(C282="","",COUNTIFS(Однолинейка!$AW$3:$AW$3000,"?*",Однолинейка!$AI$3:$AI$3000,C282,Однолинейка!$A$3:$A$3000,Щит_спец)),IF(A282="Клемма",IF(C282="","",IF(C282=$S$7,SUMIFS(Однолинейка!$BW$3:$BW$3000,Однолинейка!$A$3:$A$3000,Щит_спец),IF(C282=$S$8,SUMIFS(Однолинейка!$BX$3:$BX$3000,Однолинейка!$A$3:$A$3000,Щит_спец),""))),""))))</f>
        <v/>
      </c>
      <c r="O282" s="74"/>
      <c r="P282" s="38" t="str">
        <f t="shared" si="36"/>
        <v/>
      </c>
      <c r="U282" s="38" t="str">
        <f t="shared" si="37"/>
        <v/>
      </c>
      <c r="V282" s="38" t="str">
        <f t="shared" si="38"/>
        <v/>
      </c>
      <c r="W282" s="38" t="str">
        <f>IF(AND(U282&lt;&gt;"",OR($S$4="(все)",B282=$S$4),IF($S$4="(все)",COUNTIF($U$4:U282,U282),COUNTIFS($U$4:U282,U282,$B$4:B282,B282))=1),MAX($W$3:W281)+1,"")</f>
        <v/>
      </c>
      <c r="X282" s="38" t="str">
        <f t="shared" si="39"/>
        <v/>
      </c>
      <c r="Y282" s="38" t="str">
        <f>IF(AND(A282="Аппарат",C282&lt;&gt;"",OR($S$5="(все)",B282=$S$5)),MAX($Y$3:Y281)+1,"")</f>
        <v/>
      </c>
      <c r="Z282" s="38" t="str">
        <f t="shared" si="40"/>
        <v/>
      </c>
      <c r="AA282" s="38" t="str">
        <f>IF(AND(A282="Модуль",C282&lt;&gt;"",OR($S$6="(все)",B282=$S$6)),MAX($AA$3:AA281)+1,"")</f>
        <v/>
      </c>
      <c r="AB282" s="38" t="str">
        <f t="shared" si="41"/>
        <v/>
      </c>
      <c r="AC282" s="38" t="str">
        <f>IF(OR(B282="",COUNTIF($B$4:B282,B282)&gt;1),"",MAX($AC$3:AC281)+1)</f>
        <v/>
      </c>
      <c r="AD282" s="38" t="str">
        <f t="shared" si="42"/>
        <v/>
      </c>
      <c r="AE282" s="38" t="str">
        <f t="shared" si="43"/>
        <v/>
      </c>
      <c r="AF282" s="38" t="str">
        <f t="shared" si="44"/>
        <v/>
      </c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38" t="str">
        <f>IF(OR(A283="Автомат",A283="Дифавтомат"),IF(W283="","",COUNTIFS(Однолинейка!$H$3:$H$3000,U283,Однолинейка!$A$3:$A$3000,Щит_спец)),IF(A283="Аппарат",IF(C283="","",COUNTIFS(Однолинейка!$I$3:$I$3000,C283,Однолинейка!$A$3:$A$3000,Щит_спец)+COUNTIFS(Однолинейка!$J$3:$J$3000,C283,Однолинейка!$A$3:$A$3000,Щит_спец)+COUNTIFS(Однолинейка!$K$3:$K$3000,C283,Однолинейка!$A$3:$A$3000,Щит_спец)),IF(A283="Модуль",IF(C283="","",COUNTIFS(Однолинейка!$AW$3:$AW$3000,"?*",Однолинейка!$AI$3:$AI$3000,C283,Однолинейка!$A$3:$A$3000,Щит_спец)),IF(A283="Клемма",IF(C283="","",IF(C283=$S$7,SUMIFS(Однолинейка!$BW$3:$BW$3000,Однолинейка!$A$3:$A$3000,Щит_спец),IF(C283=$S$8,SUMIFS(Однолинейка!$BX$3:$BX$3000,Однолинейка!$A$3:$A$3000,Щит_спец),""))),""))))</f>
        <v/>
      </c>
      <c r="O283" s="74"/>
      <c r="P283" s="38" t="str">
        <f t="shared" si="36"/>
        <v/>
      </c>
      <c r="U283" s="38" t="str">
        <f t="shared" si="37"/>
        <v/>
      </c>
      <c r="V283" s="38" t="str">
        <f t="shared" si="38"/>
        <v/>
      </c>
      <c r="W283" s="38" t="str">
        <f>IF(AND(U283&lt;&gt;"",OR($S$4="(все)",B283=$S$4),IF($S$4="(все)",COUNTIF($U$4:U283,U283),COUNTIFS($U$4:U283,U283,$B$4:B283,B283))=1),MAX($W$3:W282)+1,"")</f>
        <v/>
      </c>
      <c r="X283" s="38" t="str">
        <f t="shared" si="39"/>
        <v/>
      </c>
      <c r="Y283" s="38" t="str">
        <f>IF(AND(A283="Аппарат",C283&lt;&gt;"",OR($S$5="(все)",B283=$S$5)),MAX($Y$3:Y282)+1,"")</f>
        <v/>
      </c>
      <c r="Z283" s="38" t="str">
        <f t="shared" si="40"/>
        <v/>
      </c>
      <c r="AA283" s="38" t="str">
        <f>IF(AND(A283="Модуль",C283&lt;&gt;"",OR($S$6="(все)",B283=$S$6)),MAX($AA$3:AA282)+1,"")</f>
        <v/>
      </c>
      <c r="AB283" s="38" t="str">
        <f t="shared" si="41"/>
        <v/>
      </c>
      <c r="AC283" s="38" t="str">
        <f>IF(OR(B283="",COUNTIF($B$4:B283,B283)&gt;1),"",MAX($AC$3:AC282)+1)</f>
        <v/>
      </c>
      <c r="AD283" s="38" t="str">
        <f t="shared" si="42"/>
        <v/>
      </c>
      <c r="AE283" s="38" t="str">
        <f t="shared" si="43"/>
        <v/>
      </c>
      <c r="AF283" s="38" t="str">
        <f t="shared" si="44"/>
        <v/>
      </c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38" t="str">
        <f>IF(OR(A284="Автомат",A284="Дифавтомат"),IF(W284="","",COUNTIFS(Однолинейка!$H$3:$H$3000,U284,Однолинейка!$A$3:$A$3000,Щит_спец)),IF(A284="Аппарат",IF(C284="","",COUNTIFS(Однолинейка!$I$3:$I$3000,C284,Однолинейка!$A$3:$A$3000,Щит_спец)+COUNTIFS(Однолинейка!$J$3:$J$3000,C284,Однолинейка!$A$3:$A$3000,Щит_спец)+COUNTIFS(Однолинейка!$K$3:$K$3000,C284,Однолинейка!$A$3:$A$3000,Щит_спец)),IF(A284="Модуль",IF(C284="","",COUNTIFS(Однолинейка!$AW$3:$AW$3000,"?*",Однолинейка!$AI$3:$AI$3000,C284,Однолинейка!$A$3:$A$3000,Щит_спец)),IF(A284="Клемма",IF(C284="","",IF(C284=$S$7,SUMIFS(Однолинейка!$BW$3:$BW$3000,Однолинейка!$A$3:$A$3000,Щит_спец),IF(C284=$S$8,SUMIFS(Однолинейка!$BX$3:$BX$3000,Однолинейка!$A$3:$A$3000,Щит_спец),""))),""))))</f>
        <v/>
      </c>
      <c r="O284" s="74"/>
      <c r="P284" s="38" t="str">
        <f t="shared" si="36"/>
        <v/>
      </c>
      <c r="U284" s="38" t="str">
        <f t="shared" si="37"/>
        <v/>
      </c>
      <c r="V284" s="38" t="str">
        <f t="shared" si="38"/>
        <v/>
      </c>
      <c r="W284" s="38" t="str">
        <f>IF(AND(U284&lt;&gt;"",OR($S$4="(все)",B284=$S$4),IF($S$4="(все)",COUNTIF($U$4:U284,U284),COUNTIFS($U$4:U284,U284,$B$4:B284,B284))=1),MAX($W$3:W283)+1,"")</f>
        <v/>
      </c>
      <c r="X284" s="38" t="str">
        <f t="shared" si="39"/>
        <v/>
      </c>
      <c r="Y284" s="38" t="str">
        <f>IF(AND(A284="Аппарат",C284&lt;&gt;"",OR($S$5="(все)",B284=$S$5)),MAX($Y$3:Y283)+1,"")</f>
        <v/>
      </c>
      <c r="Z284" s="38" t="str">
        <f t="shared" si="40"/>
        <v/>
      </c>
      <c r="AA284" s="38" t="str">
        <f>IF(AND(A284="Модуль",C284&lt;&gt;"",OR($S$6="(все)",B284=$S$6)),MAX($AA$3:AA283)+1,"")</f>
        <v/>
      </c>
      <c r="AB284" s="38" t="str">
        <f t="shared" si="41"/>
        <v/>
      </c>
      <c r="AC284" s="38" t="str">
        <f>IF(OR(B284="",COUNTIF($B$4:B284,B284)&gt;1),"",MAX($AC$3:AC283)+1)</f>
        <v/>
      </c>
      <c r="AD284" s="38" t="str">
        <f t="shared" si="42"/>
        <v/>
      </c>
      <c r="AE284" s="38" t="str">
        <f t="shared" si="43"/>
        <v/>
      </c>
      <c r="AF284" s="38" t="str">
        <f t="shared" si="44"/>
        <v/>
      </c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38" t="str">
        <f>IF(OR(A285="Автомат",A285="Дифавтомат"),IF(W285="","",COUNTIFS(Однолинейка!$H$3:$H$3000,U285,Однолинейка!$A$3:$A$3000,Щит_спец)),IF(A285="Аппарат",IF(C285="","",COUNTIFS(Однолинейка!$I$3:$I$3000,C285,Однолинейка!$A$3:$A$3000,Щит_спец)+COUNTIFS(Однолинейка!$J$3:$J$3000,C285,Однолинейка!$A$3:$A$3000,Щит_спец)+COUNTIFS(Однолинейка!$K$3:$K$3000,C285,Однолинейка!$A$3:$A$3000,Щит_спец)),IF(A285="Модуль",IF(C285="","",COUNTIFS(Однолинейка!$AW$3:$AW$3000,"?*",Однолинейка!$AI$3:$AI$3000,C285,Однолинейка!$A$3:$A$3000,Щит_спец)),IF(A285="Клемма",IF(C285="","",IF(C285=$S$7,SUMIFS(Однолинейка!$BW$3:$BW$3000,Однолинейка!$A$3:$A$3000,Щит_спец),IF(C285=$S$8,SUMIFS(Однолинейка!$BX$3:$BX$3000,Однолинейка!$A$3:$A$3000,Щит_спец),""))),""))))</f>
        <v/>
      </c>
      <c r="O285" s="74"/>
      <c r="P285" s="38" t="str">
        <f t="shared" si="36"/>
        <v/>
      </c>
      <c r="U285" s="38" t="str">
        <f t="shared" si="37"/>
        <v/>
      </c>
      <c r="V285" s="38" t="str">
        <f t="shared" si="38"/>
        <v/>
      </c>
      <c r="W285" s="38" t="str">
        <f>IF(AND(U285&lt;&gt;"",OR($S$4="(все)",B285=$S$4),IF($S$4="(все)",COUNTIF($U$4:U285,U285),COUNTIFS($U$4:U285,U285,$B$4:B285,B285))=1),MAX($W$3:W284)+1,"")</f>
        <v/>
      </c>
      <c r="X285" s="38" t="str">
        <f t="shared" si="39"/>
        <v/>
      </c>
      <c r="Y285" s="38" t="str">
        <f>IF(AND(A285="Аппарат",C285&lt;&gt;"",OR($S$5="(все)",B285=$S$5)),MAX($Y$3:Y284)+1,"")</f>
        <v/>
      </c>
      <c r="Z285" s="38" t="str">
        <f t="shared" si="40"/>
        <v/>
      </c>
      <c r="AA285" s="38" t="str">
        <f>IF(AND(A285="Модуль",C285&lt;&gt;"",OR($S$6="(все)",B285=$S$6)),MAX($AA$3:AA284)+1,"")</f>
        <v/>
      </c>
      <c r="AB285" s="38" t="str">
        <f t="shared" si="41"/>
        <v/>
      </c>
      <c r="AC285" s="38" t="str">
        <f>IF(OR(B285="",COUNTIF($B$4:B285,B285)&gt;1),"",MAX($AC$3:AC284)+1)</f>
        <v/>
      </c>
      <c r="AD285" s="38" t="str">
        <f t="shared" si="42"/>
        <v/>
      </c>
      <c r="AE285" s="38" t="str">
        <f t="shared" si="43"/>
        <v/>
      </c>
      <c r="AF285" s="38" t="str">
        <f t="shared" si="44"/>
        <v/>
      </c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38" t="str">
        <f>IF(OR(A286="Автомат",A286="Дифавтомат"),IF(W286="","",COUNTIFS(Однолинейка!$H$3:$H$3000,U286,Однолинейка!$A$3:$A$3000,Щит_спец)),IF(A286="Аппарат",IF(C286="","",COUNTIFS(Однолинейка!$I$3:$I$3000,C286,Однолинейка!$A$3:$A$3000,Щит_спец)+COUNTIFS(Однолинейка!$J$3:$J$3000,C286,Однолинейка!$A$3:$A$3000,Щит_спец)+COUNTIFS(Однолинейка!$K$3:$K$3000,C286,Однолинейка!$A$3:$A$3000,Щит_спец)),IF(A286="Модуль",IF(C286="","",COUNTIFS(Однолинейка!$AW$3:$AW$3000,"?*",Однолинейка!$AI$3:$AI$3000,C286,Однолинейка!$A$3:$A$3000,Щит_спец)),IF(A286="Клемма",IF(C286="","",IF(C286=$S$7,SUMIFS(Однолинейка!$BW$3:$BW$3000,Однолинейка!$A$3:$A$3000,Щит_спец),IF(C286=$S$8,SUMIFS(Однолинейка!$BX$3:$BX$3000,Однолинейка!$A$3:$A$3000,Щит_спец),""))),""))))</f>
        <v/>
      </c>
      <c r="O286" s="74"/>
      <c r="P286" s="38" t="str">
        <f t="shared" si="36"/>
        <v/>
      </c>
      <c r="U286" s="38" t="str">
        <f t="shared" si="37"/>
        <v/>
      </c>
      <c r="V286" s="38" t="str">
        <f t="shared" si="38"/>
        <v/>
      </c>
      <c r="W286" s="38" t="str">
        <f>IF(AND(U286&lt;&gt;"",OR($S$4="(все)",B286=$S$4),IF($S$4="(все)",COUNTIF($U$4:U286,U286),COUNTIFS($U$4:U286,U286,$B$4:B286,B286))=1),MAX($W$3:W285)+1,"")</f>
        <v/>
      </c>
      <c r="X286" s="38" t="str">
        <f t="shared" si="39"/>
        <v/>
      </c>
      <c r="Y286" s="38" t="str">
        <f>IF(AND(A286="Аппарат",C286&lt;&gt;"",OR($S$5="(все)",B286=$S$5)),MAX($Y$3:Y285)+1,"")</f>
        <v/>
      </c>
      <c r="Z286" s="38" t="str">
        <f t="shared" si="40"/>
        <v/>
      </c>
      <c r="AA286" s="38" t="str">
        <f>IF(AND(A286="Модуль",C286&lt;&gt;"",OR($S$6="(все)",B286=$S$6)),MAX($AA$3:AA285)+1,"")</f>
        <v/>
      </c>
      <c r="AB286" s="38" t="str">
        <f t="shared" si="41"/>
        <v/>
      </c>
      <c r="AC286" s="38" t="str">
        <f>IF(OR(B286="",COUNTIF($B$4:B286,B286)&gt;1),"",MAX($AC$3:AC285)+1)</f>
        <v/>
      </c>
      <c r="AD286" s="38" t="str">
        <f t="shared" si="42"/>
        <v/>
      </c>
      <c r="AE286" s="38" t="str">
        <f t="shared" si="43"/>
        <v/>
      </c>
      <c r="AF286" s="38" t="str">
        <f t="shared" si="44"/>
        <v/>
      </c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38" t="str">
        <f>IF(OR(A287="Автомат",A287="Дифавтомат"),IF(W287="","",COUNTIFS(Однолинейка!$H$3:$H$3000,U287,Однолинейка!$A$3:$A$3000,Щит_спец)),IF(A287="Аппарат",IF(C287="","",COUNTIFS(Однолинейка!$I$3:$I$3000,C287,Однолинейка!$A$3:$A$3000,Щит_спец)+COUNTIFS(Однолинейка!$J$3:$J$3000,C287,Однолинейка!$A$3:$A$3000,Щит_спец)+COUNTIFS(Однолинейка!$K$3:$K$3000,C287,Однолинейка!$A$3:$A$3000,Щит_спец)),IF(A287="Модуль",IF(C287="","",COUNTIFS(Однолинейка!$AW$3:$AW$3000,"?*",Однолинейка!$AI$3:$AI$3000,C287,Однолинейка!$A$3:$A$3000,Щит_спец)),IF(A287="Клемма",IF(C287="","",IF(C287=$S$7,SUMIFS(Однолинейка!$BW$3:$BW$3000,Однолинейка!$A$3:$A$3000,Щит_спец),IF(C287=$S$8,SUMIFS(Однолинейка!$BX$3:$BX$3000,Однолинейка!$A$3:$A$3000,Щит_спец),""))),""))))</f>
        <v/>
      </c>
      <c r="O287" s="74"/>
      <c r="P287" s="38" t="str">
        <f t="shared" si="36"/>
        <v/>
      </c>
      <c r="U287" s="38" t="str">
        <f t="shared" si="37"/>
        <v/>
      </c>
      <c r="V287" s="38" t="str">
        <f t="shared" si="38"/>
        <v/>
      </c>
      <c r="W287" s="38" t="str">
        <f>IF(AND(U287&lt;&gt;"",OR($S$4="(все)",B287=$S$4),IF($S$4="(все)",COUNTIF($U$4:U287,U287),COUNTIFS($U$4:U287,U287,$B$4:B287,B287))=1),MAX($W$3:W286)+1,"")</f>
        <v/>
      </c>
      <c r="X287" s="38" t="str">
        <f t="shared" si="39"/>
        <v/>
      </c>
      <c r="Y287" s="38" t="str">
        <f>IF(AND(A287="Аппарат",C287&lt;&gt;"",OR($S$5="(все)",B287=$S$5)),MAX($Y$3:Y286)+1,"")</f>
        <v/>
      </c>
      <c r="Z287" s="38" t="str">
        <f t="shared" si="40"/>
        <v/>
      </c>
      <c r="AA287" s="38" t="str">
        <f>IF(AND(A287="Модуль",C287&lt;&gt;"",OR($S$6="(все)",B287=$S$6)),MAX($AA$3:AA286)+1,"")</f>
        <v/>
      </c>
      <c r="AB287" s="38" t="str">
        <f t="shared" si="41"/>
        <v/>
      </c>
      <c r="AC287" s="38" t="str">
        <f>IF(OR(B287="",COUNTIF($B$4:B287,B287)&gt;1),"",MAX($AC$3:AC286)+1)</f>
        <v/>
      </c>
      <c r="AD287" s="38" t="str">
        <f t="shared" si="42"/>
        <v/>
      </c>
      <c r="AE287" s="38" t="str">
        <f t="shared" si="43"/>
        <v/>
      </c>
      <c r="AF287" s="38" t="str">
        <f t="shared" si="44"/>
        <v/>
      </c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38" t="str">
        <f>IF(OR(A288="Автомат",A288="Дифавтомат"),IF(W288="","",COUNTIFS(Однолинейка!$H$3:$H$3000,U288,Однолинейка!$A$3:$A$3000,Щит_спец)),IF(A288="Аппарат",IF(C288="","",COUNTIFS(Однолинейка!$I$3:$I$3000,C288,Однолинейка!$A$3:$A$3000,Щит_спец)+COUNTIFS(Однолинейка!$J$3:$J$3000,C288,Однолинейка!$A$3:$A$3000,Щит_спец)+COUNTIFS(Однолинейка!$K$3:$K$3000,C288,Однолинейка!$A$3:$A$3000,Щит_спец)),IF(A288="Модуль",IF(C288="","",COUNTIFS(Однолинейка!$AW$3:$AW$3000,"?*",Однолинейка!$AI$3:$AI$3000,C288,Однолинейка!$A$3:$A$3000,Щит_спец)),IF(A288="Клемма",IF(C288="","",IF(C288=$S$7,SUMIFS(Однолинейка!$BW$3:$BW$3000,Однолинейка!$A$3:$A$3000,Щит_спец),IF(C288=$S$8,SUMIFS(Однолинейка!$BX$3:$BX$3000,Однолинейка!$A$3:$A$3000,Щит_спец),""))),""))))</f>
        <v/>
      </c>
      <c r="O288" s="74"/>
      <c r="P288" s="38" t="str">
        <f t="shared" si="36"/>
        <v/>
      </c>
      <c r="U288" s="38" t="str">
        <f t="shared" si="37"/>
        <v/>
      </c>
      <c r="V288" s="38" t="str">
        <f t="shared" si="38"/>
        <v/>
      </c>
      <c r="W288" s="38" t="str">
        <f>IF(AND(U288&lt;&gt;"",OR($S$4="(все)",B288=$S$4),IF($S$4="(все)",COUNTIF($U$4:U288,U288),COUNTIFS($U$4:U288,U288,$B$4:B288,B288))=1),MAX($W$3:W287)+1,"")</f>
        <v/>
      </c>
      <c r="X288" s="38" t="str">
        <f t="shared" si="39"/>
        <v/>
      </c>
      <c r="Y288" s="38" t="str">
        <f>IF(AND(A288="Аппарат",C288&lt;&gt;"",OR($S$5="(все)",B288=$S$5)),MAX($Y$3:Y287)+1,"")</f>
        <v/>
      </c>
      <c r="Z288" s="38" t="str">
        <f t="shared" si="40"/>
        <v/>
      </c>
      <c r="AA288" s="38" t="str">
        <f>IF(AND(A288="Модуль",C288&lt;&gt;"",OR($S$6="(все)",B288=$S$6)),MAX($AA$3:AA287)+1,"")</f>
        <v/>
      </c>
      <c r="AB288" s="38" t="str">
        <f t="shared" si="41"/>
        <v/>
      </c>
      <c r="AC288" s="38" t="str">
        <f>IF(OR(B288="",COUNTIF($B$4:B288,B288)&gt;1),"",MAX($AC$3:AC287)+1)</f>
        <v/>
      </c>
      <c r="AD288" s="38" t="str">
        <f t="shared" si="42"/>
        <v/>
      </c>
      <c r="AE288" s="38" t="str">
        <f t="shared" si="43"/>
        <v/>
      </c>
      <c r="AF288" s="38" t="str">
        <f t="shared" si="44"/>
        <v/>
      </c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38" t="str">
        <f>IF(OR(A289="Автомат",A289="Дифавтомат"),IF(W289="","",COUNTIFS(Однолинейка!$H$3:$H$3000,U289,Однолинейка!$A$3:$A$3000,Щит_спец)),IF(A289="Аппарат",IF(C289="","",COUNTIFS(Однолинейка!$I$3:$I$3000,C289,Однолинейка!$A$3:$A$3000,Щит_спец)+COUNTIFS(Однолинейка!$J$3:$J$3000,C289,Однолинейка!$A$3:$A$3000,Щит_спец)+COUNTIFS(Однолинейка!$K$3:$K$3000,C289,Однолинейка!$A$3:$A$3000,Щит_спец)),IF(A289="Модуль",IF(C289="","",COUNTIFS(Однолинейка!$AW$3:$AW$3000,"?*",Однолинейка!$AI$3:$AI$3000,C289,Однолинейка!$A$3:$A$3000,Щит_спец)),IF(A289="Клемма",IF(C289="","",IF(C289=$S$7,SUMIFS(Однолинейка!$BW$3:$BW$3000,Однолинейка!$A$3:$A$3000,Щит_спец),IF(C289=$S$8,SUMIFS(Однолинейка!$BX$3:$BX$3000,Однолинейка!$A$3:$A$3000,Щит_спец),""))),""))))</f>
        <v/>
      </c>
      <c r="O289" s="74"/>
      <c r="P289" s="38" t="str">
        <f t="shared" si="36"/>
        <v/>
      </c>
      <c r="U289" s="38" t="str">
        <f t="shared" si="37"/>
        <v/>
      </c>
      <c r="V289" s="38" t="str">
        <f t="shared" si="38"/>
        <v/>
      </c>
      <c r="W289" s="38" t="str">
        <f>IF(AND(U289&lt;&gt;"",OR($S$4="(все)",B289=$S$4),IF($S$4="(все)",COUNTIF($U$4:U289,U289),COUNTIFS($U$4:U289,U289,$B$4:B289,B289))=1),MAX($W$3:W288)+1,"")</f>
        <v/>
      </c>
      <c r="X289" s="38" t="str">
        <f t="shared" si="39"/>
        <v/>
      </c>
      <c r="Y289" s="38" t="str">
        <f>IF(AND(A289="Аппарат",C289&lt;&gt;"",OR($S$5="(все)",B289=$S$5)),MAX($Y$3:Y288)+1,"")</f>
        <v/>
      </c>
      <c r="Z289" s="38" t="str">
        <f t="shared" si="40"/>
        <v/>
      </c>
      <c r="AA289" s="38" t="str">
        <f>IF(AND(A289="Модуль",C289&lt;&gt;"",OR($S$6="(все)",B289=$S$6)),MAX($AA$3:AA288)+1,"")</f>
        <v/>
      </c>
      <c r="AB289" s="38" t="str">
        <f t="shared" si="41"/>
        <v/>
      </c>
      <c r="AC289" s="38" t="str">
        <f>IF(OR(B289="",COUNTIF($B$4:B289,B289)&gt;1),"",MAX($AC$3:AC288)+1)</f>
        <v/>
      </c>
      <c r="AD289" s="38" t="str">
        <f t="shared" si="42"/>
        <v/>
      </c>
      <c r="AE289" s="38" t="str">
        <f t="shared" si="43"/>
        <v/>
      </c>
      <c r="AF289" s="38" t="str">
        <f t="shared" si="44"/>
        <v/>
      </c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38" t="str">
        <f>IF(OR(A290="Автомат",A290="Дифавтомат"),IF(W290="","",COUNTIFS(Однолинейка!$H$3:$H$3000,U290,Однолинейка!$A$3:$A$3000,Щит_спец)),IF(A290="Аппарат",IF(C290="","",COUNTIFS(Однолинейка!$I$3:$I$3000,C290,Однолинейка!$A$3:$A$3000,Щит_спец)+COUNTIFS(Однолинейка!$J$3:$J$3000,C290,Однолинейка!$A$3:$A$3000,Щит_спец)+COUNTIFS(Однолинейка!$K$3:$K$3000,C290,Однолинейка!$A$3:$A$3000,Щит_спец)),IF(A290="Модуль",IF(C290="","",COUNTIFS(Однолинейка!$AW$3:$AW$3000,"?*",Однолинейка!$AI$3:$AI$3000,C290,Однолинейка!$A$3:$A$3000,Щит_спец)),IF(A290="Клемма",IF(C290="","",IF(C290=$S$7,SUMIFS(Однолинейка!$BW$3:$BW$3000,Однолинейка!$A$3:$A$3000,Щит_спец),IF(C290=$S$8,SUMIFS(Однолинейка!$BX$3:$BX$3000,Однолинейка!$A$3:$A$3000,Щит_спец),""))),""))))</f>
        <v/>
      </c>
      <c r="O290" s="74"/>
      <c r="P290" s="38" t="str">
        <f t="shared" si="36"/>
        <v/>
      </c>
      <c r="U290" s="38" t="str">
        <f t="shared" si="37"/>
        <v/>
      </c>
      <c r="V290" s="38" t="str">
        <f t="shared" si="38"/>
        <v/>
      </c>
      <c r="W290" s="38" t="str">
        <f>IF(AND(U290&lt;&gt;"",OR($S$4="(все)",B290=$S$4),IF($S$4="(все)",COUNTIF($U$4:U290,U290),COUNTIFS($U$4:U290,U290,$B$4:B290,B290))=1),MAX($W$3:W289)+1,"")</f>
        <v/>
      </c>
      <c r="X290" s="38" t="str">
        <f t="shared" si="39"/>
        <v/>
      </c>
      <c r="Y290" s="38" t="str">
        <f>IF(AND(A290="Аппарат",C290&lt;&gt;"",OR($S$5="(все)",B290=$S$5)),MAX($Y$3:Y289)+1,"")</f>
        <v/>
      </c>
      <c r="Z290" s="38" t="str">
        <f t="shared" si="40"/>
        <v/>
      </c>
      <c r="AA290" s="38" t="str">
        <f>IF(AND(A290="Модуль",C290&lt;&gt;"",OR($S$6="(все)",B290=$S$6)),MAX($AA$3:AA289)+1,"")</f>
        <v/>
      </c>
      <c r="AB290" s="38" t="str">
        <f t="shared" si="41"/>
        <v/>
      </c>
      <c r="AC290" s="38" t="str">
        <f>IF(OR(B290="",COUNTIF($B$4:B290,B290)&gt;1),"",MAX($AC$3:AC289)+1)</f>
        <v/>
      </c>
      <c r="AD290" s="38" t="str">
        <f t="shared" si="42"/>
        <v/>
      </c>
      <c r="AE290" s="38" t="str">
        <f t="shared" si="43"/>
        <v/>
      </c>
      <c r="AF290" s="38" t="str">
        <f t="shared" si="44"/>
        <v/>
      </c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38" t="str">
        <f>IF(OR(A291="Автомат",A291="Дифавтомат"),IF(W291="","",COUNTIFS(Однолинейка!$H$3:$H$3000,U291,Однолинейка!$A$3:$A$3000,Щит_спец)),IF(A291="Аппарат",IF(C291="","",COUNTIFS(Однолинейка!$I$3:$I$3000,C291,Однолинейка!$A$3:$A$3000,Щит_спец)+COUNTIFS(Однолинейка!$J$3:$J$3000,C291,Однолинейка!$A$3:$A$3000,Щит_спец)+COUNTIFS(Однолинейка!$K$3:$K$3000,C291,Однолинейка!$A$3:$A$3000,Щит_спец)),IF(A291="Модуль",IF(C291="","",COUNTIFS(Однолинейка!$AW$3:$AW$3000,"?*",Однолинейка!$AI$3:$AI$3000,C291,Однолинейка!$A$3:$A$3000,Щит_спец)),IF(A291="Клемма",IF(C291="","",IF(C291=$S$7,SUMIFS(Однолинейка!$BW$3:$BW$3000,Однолинейка!$A$3:$A$3000,Щит_спец),IF(C291=$S$8,SUMIFS(Однолинейка!$BX$3:$BX$3000,Однолинейка!$A$3:$A$3000,Щит_спец),""))),""))))</f>
        <v/>
      </c>
      <c r="O291" s="74"/>
      <c r="P291" s="38" t="str">
        <f t="shared" si="36"/>
        <v/>
      </c>
      <c r="U291" s="38" t="str">
        <f t="shared" si="37"/>
        <v/>
      </c>
      <c r="V291" s="38" t="str">
        <f t="shared" si="38"/>
        <v/>
      </c>
      <c r="W291" s="38" t="str">
        <f>IF(AND(U291&lt;&gt;"",OR($S$4="(все)",B291=$S$4),IF($S$4="(все)",COUNTIF($U$4:U291,U291),COUNTIFS($U$4:U291,U291,$B$4:B291,B291))=1),MAX($W$3:W290)+1,"")</f>
        <v/>
      </c>
      <c r="X291" s="38" t="str">
        <f t="shared" si="39"/>
        <v/>
      </c>
      <c r="Y291" s="38" t="str">
        <f>IF(AND(A291="Аппарат",C291&lt;&gt;"",OR($S$5="(все)",B291=$S$5)),MAX($Y$3:Y290)+1,"")</f>
        <v/>
      </c>
      <c r="Z291" s="38" t="str">
        <f t="shared" si="40"/>
        <v/>
      </c>
      <c r="AA291" s="38" t="str">
        <f>IF(AND(A291="Модуль",C291&lt;&gt;"",OR($S$6="(все)",B291=$S$6)),MAX($AA$3:AA290)+1,"")</f>
        <v/>
      </c>
      <c r="AB291" s="38" t="str">
        <f t="shared" si="41"/>
        <v/>
      </c>
      <c r="AC291" s="38" t="str">
        <f>IF(OR(B291="",COUNTIF($B$4:B291,B291)&gt;1),"",MAX($AC$3:AC290)+1)</f>
        <v/>
      </c>
      <c r="AD291" s="38" t="str">
        <f t="shared" si="42"/>
        <v/>
      </c>
      <c r="AE291" s="38" t="str">
        <f t="shared" si="43"/>
        <v/>
      </c>
      <c r="AF291" s="38" t="str">
        <f t="shared" si="44"/>
        <v/>
      </c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38" t="str">
        <f>IF(OR(A292="Автомат",A292="Дифавтомат"),IF(W292="","",COUNTIFS(Однолинейка!$H$3:$H$3000,U292,Однолинейка!$A$3:$A$3000,Щит_спец)),IF(A292="Аппарат",IF(C292="","",COUNTIFS(Однолинейка!$I$3:$I$3000,C292,Однолинейка!$A$3:$A$3000,Щит_спец)+COUNTIFS(Однолинейка!$J$3:$J$3000,C292,Однолинейка!$A$3:$A$3000,Щит_спец)+COUNTIFS(Однолинейка!$K$3:$K$3000,C292,Однолинейка!$A$3:$A$3000,Щит_спец)),IF(A292="Модуль",IF(C292="","",COUNTIFS(Однолинейка!$AW$3:$AW$3000,"?*",Однолинейка!$AI$3:$AI$3000,C292,Однолинейка!$A$3:$A$3000,Щит_спец)),IF(A292="Клемма",IF(C292="","",IF(C292=$S$7,SUMIFS(Однолинейка!$BW$3:$BW$3000,Однолинейка!$A$3:$A$3000,Щит_спец),IF(C292=$S$8,SUMIFS(Однолинейка!$BX$3:$BX$3000,Однолинейка!$A$3:$A$3000,Щит_спец),""))),""))))</f>
        <v/>
      </c>
      <c r="O292" s="74"/>
      <c r="P292" s="38" t="str">
        <f t="shared" si="36"/>
        <v/>
      </c>
      <c r="U292" s="38" t="str">
        <f t="shared" si="37"/>
        <v/>
      </c>
      <c r="V292" s="38" t="str">
        <f t="shared" si="38"/>
        <v/>
      </c>
      <c r="W292" s="38" t="str">
        <f>IF(AND(U292&lt;&gt;"",OR($S$4="(все)",B292=$S$4),IF($S$4="(все)",COUNTIF($U$4:U292,U292),COUNTIFS($U$4:U292,U292,$B$4:B292,B292))=1),MAX($W$3:W291)+1,"")</f>
        <v/>
      </c>
      <c r="X292" s="38" t="str">
        <f t="shared" si="39"/>
        <v/>
      </c>
      <c r="Y292" s="38" t="str">
        <f>IF(AND(A292="Аппарат",C292&lt;&gt;"",OR($S$5="(все)",B292=$S$5)),MAX($Y$3:Y291)+1,"")</f>
        <v/>
      </c>
      <c r="Z292" s="38" t="str">
        <f t="shared" si="40"/>
        <v/>
      </c>
      <c r="AA292" s="38" t="str">
        <f>IF(AND(A292="Модуль",C292&lt;&gt;"",OR($S$6="(все)",B292=$S$6)),MAX($AA$3:AA291)+1,"")</f>
        <v/>
      </c>
      <c r="AB292" s="38" t="str">
        <f t="shared" si="41"/>
        <v/>
      </c>
      <c r="AC292" s="38" t="str">
        <f>IF(OR(B292="",COUNTIF($B$4:B292,B292)&gt;1),"",MAX($AC$3:AC291)+1)</f>
        <v/>
      </c>
      <c r="AD292" s="38" t="str">
        <f t="shared" si="42"/>
        <v/>
      </c>
      <c r="AE292" s="38" t="str">
        <f t="shared" si="43"/>
        <v/>
      </c>
      <c r="AF292" s="38" t="str">
        <f t="shared" si="44"/>
        <v/>
      </c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38" t="str">
        <f>IF(OR(A293="Автомат",A293="Дифавтомат"),IF(W293="","",COUNTIFS(Однолинейка!$H$3:$H$3000,U293,Однолинейка!$A$3:$A$3000,Щит_спец)),IF(A293="Аппарат",IF(C293="","",COUNTIFS(Однолинейка!$I$3:$I$3000,C293,Однолинейка!$A$3:$A$3000,Щит_спец)+COUNTIFS(Однолинейка!$J$3:$J$3000,C293,Однолинейка!$A$3:$A$3000,Щит_спец)+COUNTIFS(Однолинейка!$K$3:$K$3000,C293,Однолинейка!$A$3:$A$3000,Щит_спец)),IF(A293="Модуль",IF(C293="","",COUNTIFS(Однолинейка!$AW$3:$AW$3000,"?*",Однолинейка!$AI$3:$AI$3000,C293,Однолинейка!$A$3:$A$3000,Щит_спец)),IF(A293="Клемма",IF(C293="","",IF(C293=$S$7,SUMIFS(Однолинейка!$BW$3:$BW$3000,Однолинейка!$A$3:$A$3000,Щит_спец),IF(C293=$S$8,SUMIFS(Однолинейка!$BX$3:$BX$3000,Однолинейка!$A$3:$A$3000,Щит_спец),""))),""))))</f>
        <v/>
      </c>
      <c r="O293" s="74"/>
      <c r="P293" s="38" t="str">
        <f t="shared" si="36"/>
        <v/>
      </c>
      <c r="U293" s="38" t="str">
        <f t="shared" si="37"/>
        <v/>
      </c>
      <c r="V293" s="38" t="str">
        <f t="shared" si="38"/>
        <v/>
      </c>
      <c r="W293" s="38" t="str">
        <f>IF(AND(U293&lt;&gt;"",OR($S$4="(все)",B293=$S$4),IF($S$4="(все)",COUNTIF($U$4:U293,U293),COUNTIFS($U$4:U293,U293,$B$4:B293,B293))=1),MAX($W$3:W292)+1,"")</f>
        <v/>
      </c>
      <c r="X293" s="38" t="str">
        <f t="shared" si="39"/>
        <v/>
      </c>
      <c r="Y293" s="38" t="str">
        <f>IF(AND(A293="Аппарат",C293&lt;&gt;"",OR($S$5="(все)",B293=$S$5)),MAX($Y$3:Y292)+1,"")</f>
        <v/>
      </c>
      <c r="Z293" s="38" t="str">
        <f t="shared" si="40"/>
        <v/>
      </c>
      <c r="AA293" s="38" t="str">
        <f>IF(AND(A293="Модуль",C293&lt;&gt;"",OR($S$6="(все)",B293=$S$6)),MAX($AA$3:AA292)+1,"")</f>
        <v/>
      </c>
      <c r="AB293" s="38" t="str">
        <f t="shared" si="41"/>
        <v/>
      </c>
      <c r="AC293" s="38" t="str">
        <f>IF(OR(B293="",COUNTIF($B$4:B293,B293)&gt;1),"",MAX($AC$3:AC292)+1)</f>
        <v/>
      </c>
      <c r="AD293" s="38" t="str">
        <f t="shared" si="42"/>
        <v/>
      </c>
      <c r="AE293" s="38" t="str">
        <f t="shared" si="43"/>
        <v/>
      </c>
      <c r="AF293" s="38" t="str">
        <f t="shared" si="44"/>
        <v/>
      </c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38" t="str">
        <f>IF(OR(A294="Автомат",A294="Дифавтомат"),IF(W294="","",COUNTIFS(Однолинейка!$H$3:$H$3000,U294,Однолинейка!$A$3:$A$3000,Щит_спец)),IF(A294="Аппарат",IF(C294="","",COUNTIFS(Однолинейка!$I$3:$I$3000,C294,Однолинейка!$A$3:$A$3000,Щит_спец)+COUNTIFS(Однолинейка!$J$3:$J$3000,C294,Однолинейка!$A$3:$A$3000,Щит_спец)+COUNTIFS(Однолинейка!$K$3:$K$3000,C294,Однолинейка!$A$3:$A$3000,Щит_спец)),IF(A294="Модуль",IF(C294="","",COUNTIFS(Однолинейка!$AW$3:$AW$3000,"?*",Однолинейка!$AI$3:$AI$3000,C294,Однолинейка!$A$3:$A$3000,Щит_спец)),IF(A294="Клемма",IF(C294="","",IF(C294=$S$7,SUMIFS(Однолинейка!$BW$3:$BW$3000,Однолинейка!$A$3:$A$3000,Щит_спец),IF(C294=$S$8,SUMIFS(Однолинейка!$BX$3:$BX$3000,Однолинейка!$A$3:$A$3000,Щит_спец),""))),""))))</f>
        <v/>
      </c>
      <c r="O294" s="74"/>
      <c r="P294" s="38" t="str">
        <f t="shared" si="36"/>
        <v/>
      </c>
      <c r="U294" s="38" t="str">
        <f t="shared" si="37"/>
        <v/>
      </c>
      <c r="V294" s="38" t="str">
        <f t="shared" si="38"/>
        <v/>
      </c>
      <c r="W294" s="38" t="str">
        <f>IF(AND(U294&lt;&gt;"",OR($S$4="(все)",B294=$S$4),IF($S$4="(все)",COUNTIF($U$4:U294,U294),COUNTIFS($U$4:U294,U294,$B$4:B294,B294))=1),MAX($W$3:W293)+1,"")</f>
        <v/>
      </c>
      <c r="X294" s="38" t="str">
        <f t="shared" si="39"/>
        <v/>
      </c>
      <c r="Y294" s="38" t="str">
        <f>IF(AND(A294="Аппарат",C294&lt;&gt;"",OR($S$5="(все)",B294=$S$5)),MAX($Y$3:Y293)+1,"")</f>
        <v/>
      </c>
      <c r="Z294" s="38" t="str">
        <f t="shared" si="40"/>
        <v/>
      </c>
      <c r="AA294" s="38" t="str">
        <f>IF(AND(A294="Модуль",C294&lt;&gt;"",OR($S$6="(все)",B294=$S$6)),MAX($AA$3:AA293)+1,"")</f>
        <v/>
      </c>
      <c r="AB294" s="38" t="str">
        <f t="shared" si="41"/>
        <v/>
      </c>
      <c r="AC294" s="38" t="str">
        <f>IF(OR(B294="",COUNTIF($B$4:B294,B294)&gt;1),"",MAX($AC$3:AC293)+1)</f>
        <v/>
      </c>
      <c r="AD294" s="38" t="str">
        <f t="shared" si="42"/>
        <v/>
      </c>
      <c r="AE294" s="38" t="str">
        <f t="shared" si="43"/>
        <v/>
      </c>
      <c r="AF294" s="38" t="str">
        <f t="shared" si="44"/>
        <v/>
      </c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38" t="str">
        <f>IF(OR(A295="Автомат",A295="Дифавтомат"),IF(W295="","",COUNTIFS(Однолинейка!$H$3:$H$3000,U295,Однолинейка!$A$3:$A$3000,Щит_спец)),IF(A295="Аппарат",IF(C295="","",COUNTIFS(Однолинейка!$I$3:$I$3000,C295,Однолинейка!$A$3:$A$3000,Щит_спец)+COUNTIFS(Однолинейка!$J$3:$J$3000,C295,Однолинейка!$A$3:$A$3000,Щит_спец)+COUNTIFS(Однолинейка!$K$3:$K$3000,C295,Однолинейка!$A$3:$A$3000,Щит_спец)),IF(A295="Модуль",IF(C295="","",COUNTIFS(Однолинейка!$AW$3:$AW$3000,"?*",Однолинейка!$AI$3:$AI$3000,C295,Однолинейка!$A$3:$A$3000,Щит_спец)),IF(A295="Клемма",IF(C295="","",IF(C295=$S$7,SUMIFS(Однолинейка!$BW$3:$BW$3000,Однолинейка!$A$3:$A$3000,Щит_спец),IF(C295=$S$8,SUMIFS(Однолинейка!$BX$3:$BX$3000,Однолинейка!$A$3:$A$3000,Щит_спец),""))),""))))</f>
        <v/>
      </c>
      <c r="O295" s="74"/>
      <c r="P295" s="38" t="str">
        <f t="shared" si="36"/>
        <v/>
      </c>
      <c r="U295" s="38" t="str">
        <f t="shared" si="37"/>
        <v/>
      </c>
      <c r="V295" s="38" t="str">
        <f t="shared" si="38"/>
        <v/>
      </c>
      <c r="W295" s="38" t="str">
        <f>IF(AND(U295&lt;&gt;"",OR($S$4="(все)",B295=$S$4),IF($S$4="(все)",COUNTIF($U$4:U295,U295),COUNTIFS($U$4:U295,U295,$B$4:B295,B295))=1),MAX($W$3:W294)+1,"")</f>
        <v/>
      </c>
      <c r="X295" s="38" t="str">
        <f t="shared" si="39"/>
        <v/>
      </c>
      <c r="Y295" s="38" t="str">
        <f>IF(AND(A295="Аппарат",C295&lt;&gt;"",OR($S$5="(все)",B295=$S$5)),MAX($Y$3:Y294)+1,"")</f>
        <v/>
      </c>
      <c r="Z295" s="38" t="str">
        <f t="shared" si="40"/>
        <v/>
      </c>
      <c r="AA295" s="38" t="str">
        <f>IF(AND(A295="Модуль",C295&lt;&gt;"",OR($S$6="(все)",B295=$S$6)),MAX($AA$3:AA294)+1,"")</f>
        <v/>
      </c>
      <c r="AB295" s="38" t="str">
        <f t="shared" si="41"/>
        <v/>
      </c>
      <c r="AC295" s="38" t="str">
        <f>IF(OR(B295="",COUNTIF($B$4:B295,B295)&gt;1),"",MAX($AC$3:AC294)+1)</f>
        <v/>
      </c>
      <c r="AD295" s="38" t="str">
        <f t="shared" si="42"/>
        <v/>
      </c>
      <c r="AE295" s="38" t="str">
        <f t="shared" si="43"/>
        <v/>
      </c>
      <c r="AF295" s="38" t="str">
        <f t="shared" si="44"/>
        <v/>
      </c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38" t="str">
        <f>IF(OR(A296="Автомат",A296="Дифавтомат"),IF(W296="","",COUNTIFS(Однолинейка!$H$3:$H$3000,U296,Однолинейка!$A$3:$A$3000,Щит_спец)),IF(A296="Аппарат",IF(C296="","",COUNTIFS(Однолинейка!$I$3:$I$3000,C296,Однолинейка!$A$3:$A$3000,Щит_спец)+COUNTIFS(Однолинейка!$J$3:$J$3000,C296,Однолинейка!$A$3:$A$3000,Щит_спец)+COUNTIFS(Однолинейка!$K$3:$K$3000,C296,Однолинейка!$A$3:$A$3000,Щит_спец)),IF(A296="Модуль",IF(C296="","",COUNTIFS(Однолинейка!$AW$3:$AW$3000,"?*",Однолинейка!$AI$3:$AI$3000,C296,Однолинейка!$A$3:$A$3000,Щит_спец)),IF(A296="Клемма",IF(C296="","",IF(C296=$S$7,SUMIFS(Однолинейка!$BW$3:$BW$3000,Однолинейка!$A$3:$A$3000,Щит_спец),IF(C296=$S$8,SUMIFS(Однолинейка!$BX$3:$BX$3000,Однолинейка!$A$3:$A$3000,Щит_спец),""))),""))))</f>
        <v/>
      </c>
      <c r="O296" s="74"/>
      <c r="P296" s="38" t="str">
        <f t="shared" si="36"/>
        <v/>
      </c>
      <c r="U296" s="38" t="str">
        <f t="shared" si="37"/>
        <v/>
      </c>
      <c r="V296" s="38" t="str">
        <f t="shared" si="38"/>
        <v/>
      </c>
      <c r="W296" s="38" t="str">
        <f>IF(AND(U296&lt;&gt;"",OR($S$4="(все)",B296=$S$4),IF($S$4="(все)",COUNTIF($U$4:U296,U296),COUNTIFS($U$4:U296,U296,$B$4:B296,B296))=1),MAX($W$3:W295)+1,"")</f>
        <v/>
      </c>
      <c r="X296" s="38" t="str">
        <f t="shared" si="39"/>
        <v/>
      </c>
      <c r="Y296" s="38" t="str">
        <f>IF(AND(A296="Аппарат",C296&lt;&gt;"",OR($S$5="(все)",B296=$S$5)),MAX($Y$3:Y295)+1,"")</f>
        <v/>
      </c>
      <c r="Z296" s="38" t="str">
        <f t="shared" si="40"/>
        <v/>
      </c>
      <c r="AA296" s="38" t="str">
        <f>IF(AND(A296="Модуль",C296&lt;&gt;"",OR($S$6="(все)",B296=$S$6)),MAX($AA$3:AA295)+1,"")</f>
        <v/>
      </c>
      <c r="AB296" s="38" t="str">
        <f t="shared" si="41"/>
        <v/>
      </c>
      <c r="AC296" s="38" t="str">
        <f>IF(OR(B296="",COUNTIF($B$4:B296,B296)&gt;1),"",MAX($AC$3:AC295)+1)</f>
        <v/>
      </c>
      <c r="AD296" s="38" t="str">
        <f t="shared" si="42"/>
        <v/>
      </c>
      <c r="AE296" s="38" t="str">
        <f t="shared" si="43"/>
        <v/>
      </c>
      <c r="AF296" s="38" t="str">
        <f t="shared" si="44"/>
        <v/>
      </c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38" t="str">
        <f>IF(OR(A297="Автомат",A297="Дифавтомат"),IF(W297="","",COUNTIFS(Однолинейка!$H$3:$H$3000,U297,Однолинейка!$A$3:$A$3000,Щит_спец)),IF(A297="Аппарат",IF(C297="","",COUNTIFS(Однолинейка!$I$3:$I$3000,C297,Однолинейка!$A$3:$A$3000,Щит_спец)+COUNTIFS(Однолинейка!$J$3:$J$3000,C297,Однолинейка!$A$3:$A$3000,Щит_спец)+COUNTIFS(Однолинейка!$K$3:$K$3000,C297,Однолинейка!$A$3:$A$3000,Щит_спец)),IF(A297="Модуль",IF(C297="","",COUNTIFS(Однолинейка!$AW$3:$AW$3000,"?*",Однолинейка!$AI$3:$AI$3000,C297,Однолинейка!$A$3:$A$3000,Щит_спец)),IF(A297="Клемма",IF(C297="","",IF(C297=$S$7,SUMIFS(Однолинейка!$BW$3:$BW$3000,Однолинейка!$A$3:$A$3000,Щит_спец),IF(C297=$S$8,SUMIFS(Однолинейка!$BX$3:$BX$3000,Однолинейка!$A$3:$A$3000,Щит_спец),""))),""))))</f>
        <v/>
      </c>
      <c r="O297" s="74"/>
      <c r="P297" s="38" t="str">
        <f t="shared" si="36"/>
        <v/>
      </c>
      <c r="U297" s="38" t="str">
        <f t="shared" si="37"/>
        <v/>
      </c>
      <c r="V297" s="38" t="str">
        <f t="shared" si="38"/>
        <v/>
      </c>
      <c r="W297" s="38" t="str">
        <f>IF(AND(U297&lt;&gt;"",OR($S$4="(все)",B297=$S$4),IF($S$4="(все)",COUNTIF($U$4:U297,U297),COUNTIFS($U$4:U297,U297,$B$4:B297,B297))=1),MAX($W$3:W296)+1,"")</f>
        <v/>
      </c>
      <c r="X297" s="38" t="str">
        <f t="shared" si="39"/>
        <v/>
      </c>
      <c r="Y297" s="38" t="str">
        <f>IF(AND(A297="Аппарат",C297&lt;&gt;"",OR($S$5="(все)",B297=$S$5)),MAX($Y$3:Y296)+1,"")</f>
        <v/>
      </c>
      <c r="Z297" s="38" t="str">
        <f t="shared" si="40"/>
        <v/>
      </c>
      <c r="AA297" s="38" t="str">
        <f>IF(AND(A297="Модуль",C297&lt;&gt;"",OR($S$6="(все)",B297=$S$6)),MAX($AA$3:AA296)+1,"")</f>
        <v/>
      </c>
      <c r="AB297" s="38" t="str">
        <f t="shared" si="41"/>
        <v/>
      </c>
      <c r="AC297" s="38" t="str">
        <f>IF(OR(B297="",COUNTIF($B$4:B297,B297)&gt;1),"",MAX($AC$3:AC296)+1)</f>
        <v/>
      </c>
      <c r="AD297" s="38" t="str">
        <f t="shared" si="42"/>
        <v/>
      </c>
      <c r="AE297" s="38" t="str">
        <f t="shared" si="43"/>
        <v/>
      </c>
      <c r="AF297" s="38" t="str">
        <f t="shared" si="44"/>
        <v/>
      </c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38" t="str">
        <f>IF(OR(A298="Автомат",A298="Дифавтомат"),IF(W298="","",COUNTIFS(Однолинейка!$H$3:$H$3000,U298,Однолинейка!$A$3:$A$3000,Щит_спец)),IF(A298="Аппарат",IF(C298="","",COUNTIFS(Однолинейка!$I$3:$I$3000,C298,Однолинейка!$A$3:$A$3000,Щит_спец)+COUNTIFS(Однолинейка!$J$3:$J$3000,C298,Однолинейка!$A$3:$A$3000,Щит_спец)+COUNTIFS(Однолинейка!$K$3:$K$3000,C298,Однолинейка!$A$3:$A$3000,Щит_спец)),IF(A298="Модуль",IF(C298="","",COUNTIFS(Однолинейка!$AW$3:$AW$3000,"?*",Однолинейка!$AI$3:$AI$3000,C298,Однолинейка!$A$3:$A$3000,Щит_спец)),IF(A298="Клемма",IF(C298="","",IF(C298=$S$7,SUMIFS(Однолинейка!$BW$3:$BW$3000,Однолинейка!$A$3:$A$3000,Щит_спец),IF(C298=$S$8,SUMIFS(Однолинейка!$BX$3:$BX$3000,Однолинейка!$A$3:$A$3000,Щит_спец),""))),""))))</f>
        <v/>
      </c>
      <c r="O298" s="74"/>
      <c r="P298" s="38" t="str">
        <f t="shared" si="36"/>
        <v/>
      </c>
      <c r="U298" s="38" t="str">
        <f t="shared" si="37"/>
        <v/>
      </c>
      <c r="V298" s="38" t="str">
        <f t="shared" si="38"/>
        <v/>
      </c>
      <c r="W298" s="38" t="str">
        <f>IF(AND(U298&lt;&gt;"",OR($S$4="(все)",B298=$S$4),IF($S$4="(все)",COUNTIF($U$4:U298,U298),COUNTIFS($U$4:U298,U298,$B$4:B298,B298))=1),MAX($W$3:W297)+1,"")</f>
        <v/>
      </c>
      <c r="X298" s="38" t="str">
        <f t="shared" si="39"/>
        <v/>
      </c>
      <c r="Y298" s="38" t="str">
        <f>IF(AND(A298="Аппарат",C298&lt;&gt;"",OR($S$5="(все)",B298=$S$5)),MAX($Y$3:Y297)+1,"")</f>
        <v/>
      </c>
      <c r="Z298" s="38" t="str">
        <f t="shared" si="40"/>
        <v/>
      </c>
      <c r="AA298" s="38" t="str">
        <f>IF(AND(A298="Модуль",C298&lt;&gt;"",OR($S$6="(все)",B298=$S$6)),MAX($AA$3:AA297)+1,"")</f>
        <v/>
      </c>
      <c r="AB298" s="38" t="str">
        <f t="shared" si="41"/>
        <v/>
      </c>
      <c r="AC298" s="38" t="str">
        <f>IF(OR(B298="",COUNTIF($B$4:B298,B298)&gt;1),"",MAX($AC$3:AC297)+1)</f>
        <v/>
      </c>
      <c r="AD298" s="38" t="str">
        <f t="shared" si="42"/>
        <v/>
      </c>
      <c r="AE298" s="38" t="str">
        <f t="shared" si="43"/>
        <v/>
      </c>
      <c r="AF298" s="38" t="str">
        <f t="shared" si="44"/>
        <v/>
      </c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38" t="str">
        <f>IF(OR(A299="Автомат",A299="Дифавтомат"),IF(W299="","",COUNTIFS(Однолинейка!$H$3:$H$3000,U299,Однолинейка!$A$3:$A$3000,Щит_спец)),IF(A299="Аппарат",IF(C299="","",COUNTIFS(Однолинейка!$I$3:$I$3000,C299,Однолинейка!$A$3:$A$3000,Щит_спец)+COUNTIFS(Однолинейка!$J$3:$J$3000,C299,Однолинейка!$A$3:$A$3000,Щит_спец)+COUNTIFS(Однолинейка!$K$3:$K$3000,C299,Однолинейка!$A$3:$A$3000,Щит_спец)),IF(A299="Модуль",IF(C299="","",COUNTIFS(Однолинейка!$AW$3:$AW$3000,"?*",Однолинейка!$AI$3:$AI$3000,C299,Однолинейка!$A$3:$A$3000,Щит_спец)),IF(A299="Клемма",IF(C299="","",IF(C299=$S$7,SUMIFS(Однолинейка!$BW$3:$BW$3000,Однолинейка!$A$3:$A$3000,Щит_спец),IF(C299=$S$8,SUMIFS(Однолинейка!$BX$3:$BX$3000,Однолинейка!$A$3:$A$3000,Щит_спец),""))),""))))</f>
        <v/>
      </c>
      <c r="O299" s="74"/>
      <c r="P299" s="38" t="str">
        <f t="shared" si="36"/>
        <v/>
      </c>
      <c r="U299" s="38" t="str">
        <f t="shared" si="37"/>
        <v/>
      </c>
      <c r="V299" s="38" t="str">
        <f t="shared" si="38"/>
        <v/>
      </c>
      <c r="W299" s="38" t="str">
        <f>IF(AND(U299&lt;&gt;"",OR($S$4="(все)",B299=$S$4),IF($S$4="(все)",COUNTIF($U$4:U299,U299),COUNTIFS($U$4:U299,U299,$B$4:B299,B299))=1),MAX($W$3:W298)+1,"")</f>
        <v/>
      </c>
      <c r="X299" s="38" t="str">
        <f t="shared" si="39"/>
        <v/>
      </c>
      <c r="Y299" s="38" t="str">
        <f>IF(AND(A299="Аппарат",C299&lt;&gt;"",OR($S$5="(все)",B299=$S$5)),MAX($Y$3:Y298)+1,"")</f>
        <v/>
      </c>
      <c r="Z299" s="38" t="str">
        <f t="shared" si="40"/>
        <v/>
      </c>
      <c r="AA299" s="38" t="str">
        <f>IF(AND(A299="Модуль",C299&lt;&gt;"",OR($S$6="(все)",B299=$S$6)),MAX($AA$3:AA298)+1,"")</f>
        <v/>
      </c>
      <c r="AB299" s="38" t="str">
        <f t="shared" si="41"/>
        <v/>
      </c>
      <c r="AC299" s="38" t="str">
        <f>IF(OR(B299="",COUNTIF($B$4:B299,B299)&gt;1),"",MAX($AC$3:AC298)+1)</f>
        <v/>
      </c>
      <c r="AD299" s="38" t="str">
        <f t="shared" si="42"/>
        <v/>
      </c>
      <c r="AE299" s="38" t="str">
        <f t="shared" si="43"/>
        <v/>
      </c>
      <c r="AF299" s="38" t="str">
        <f t="shared" si="44"/>
        <v/>
      </c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38" t="str">
        <f>IF(OR(A300="Автомат",A300="Дифавтомат"),IF(W300="","",COUNTIFS(Однолинейка!$H$3:$H$3000,U300,Однолинейка!$A$3:$A$3000,Щит_спец)),IF(A300="Аппарат",IF(C300="","",COUNTIFS(Однолинейка!$I$3:$I$3000,C300,Однолинейка!$A$3:$A$3000,Щит_спец)+COUNTIFS(Однолинейка!$J$3:$J$3000,C300,Однолинейка!$A$3:$A$3000,Щит_спец)+COUNTIFS(Однолинейка!$K$3:$K$3000,C300,Однолинейка!$A$3:$A$3000,Щит_спец)),IF(A300="Модуль",IF(C300="","",COUNTIFS(Однолинейка!$AW$3:$AW$3000,"?*",Однолинейка!$AI$3:$AI$3000,C300,Однолинейка!$A$3:$A$3000,Щит_спец)),IF(A300="Клемма",IF(C300="","",IF(C300=$S$7,SUMIFS(Однолинейка!$BW$3:$BW$3000,Однолинейка!$A$3:$A$3000,Щит_спец),IF(C300=$S$8,SUMIFS(Однолинейка!$BX$3:$BX$3000,Однолинейка!$A$3:$A$3000,Щит_спец),""))),""))))</f>
        <v/>
      </c>
      <c r="O300" s="74"/>
      <c r="P300" s="38" t="str">
        <f t="shared" si="36"/>
        <v/>
      </c>
      <c r="U300" s="38" t="str">
        <f t="shared" si="37"/>
        <v/>
      </c>
      <c r="V300" s="38" t="str">
        <f t="shared" si="38"/>
        <v/>
      </c>
      <c r="W300" s="38" t="str">
        <f>IF(AND(U300&lt;&gt;"",OR($S$4="(все)",B300=$S$4),IF($S$4="(все)",COUNTIF($U$4:U300,U300),COUNTIFS($U$4:U300,U300,$B$4:B300,B300))=1),MAX($W$3:W299)+1,"")</f>
        <v/>
      </c>
      <c r="X300" s="38" t="str">
        <f t="shared" si="39"/>
        <v/>
      </c>
      <c r="Y300" s="38" t="str">
        <f>IF(AND(A300="Аппарат",C300&lt;&gt;"",OR($S$5="(все)",B300=$S$5)),MAX($Y$3:Y299)+1,"")</f>
        <v/>
      </c>
      <c r="Z300" s="38" t="str">
        <f t="shared" si="40"/>
        <v/>
      </c>
      <c r="AA300" s="38" t="str">
        <f>IF(AND(A300="Модуль",C300&lt;&gt;"",OR($S$6="(все)",B300=$S$6)),MAX($AA$3:AA299)+1,"")</f>
        <v/>
      </c>
      <c r="AB300" s="38" t="str">
        <f t="shared" si="41"/>
        <v/>
      </c>
      <c r="AC300" s="38" t="str">
        <f>IF(OR(B300="",COUNTIF($B$4:B300,B300)&gt;1),"",MAX($AC$3:AC299)+1)</f>
        <v/>
      </c>
      <c r="AD300" s="38" t="str">
        <f t="shared" si="42"/>
        <v/>
      </c>
      <c r="AE300" s="38" t="str">
        <f t="shared" si="43"/>
        <v/>
      </c>
      <c r="AF300" s="38" t="str">
        <f t="shared" si="44"/>
        <v/>
      </c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38" t="str">
        <f>IF(OR(A301="Автомат",A301="Дифавтомат"),IF(W301="","",COUNTIFS(Однолинейка!$H$3:$H$3000,U301,Однолинейка!$A$3:$A$3000,Щит_спец)),IF(A301="Аппарат",IF(C301="","",COUNTIFS(Однолинейка!$I$3:$I$3000,C301,Однолинейка!$A$3:$A$3000,Щит_спец)+COUNTIFS(Однолинейка!$J$3:$J$3000,C301,Однолинейка!$A$3:$A$3000,Щит_спец)+COUNTIFS(Однолинейка!$K$3:$K$3000,C301,Однолинейка!$A$3:$A$3000,Щит_спец)),IF(A301="Модуль",IF(C301="","",COUNTIFS(Однолинейка!$AW$3:$AW$3000,"?*",Однолинейка!$AI$3:$AI$3000,C301,Однолинейка!$A$3:$A$3000,Щит_спец)),IF(A301="Клемма",IF(C301="","",IF(C301=$S$7,SUMIFS(Однолинейка!$BW$3:$BW$3000,Однолинейка!$A$3:$A$3000,Щит_спец),IF(C301=$S$8,SUMIFS(Однолинейка!$BX$3:$BX$3000,Однолинейка!$A$3:$A$3000,Щит_спец),""))),""))))</f>
        <v/>
      </c>
      <c r="O301" s="74"/>
      <c r="P301" s="38" t="str">
        <f t="shared" si="36"/>
        <v/>
      </c>
      <c r="U301" s="38" t="str">
        <f t="shared" si="37"/>
        <v/>
      </c>
      <c r="V301" s="38" t="str">
        <f t="shared" si="38"/>
        <v/>
      </c>
      <c r="W301" s="38" t="str">
        <f>IF(AND(U301&lt;&gt;"",OR($S$4="(все)",B301=$S$4),IF($S$4="(все)",COUNTIF($U$4:U301,U301),COUNTIFS($U$4:U301,U301,$B$4:B301,B301))=1),MAX($W$3:W300)+1,"")</f>
        <v/>
      </c>
      <c r="X301" s="38" t="str">
        <f t="shared" si="39"/>
        <v/>
      </c>
      <c r="Y301" s="38" t="str">
        <f>IF(AND(A301="Аппарат",C301&lt;&gt;"",OR($S$5="(все)",B301=$S$5)),MAX($Y$3:Y300)+1,"")</f>
        <v/>
      </c>
      <c r="Z301" s="38" t="str">
        <f t="shared" si="40"/>
        <v/>
      </c>
      <c r="AA301" s="38" t="str">
        <f>IF(AND(A301="Модуль",C301&lt;&gt;"",OR($S$6="(все)",B301=$S$6)),MAX($AA$3:AA300)+1,"")</f>
        <v/>
      </c>
      <c r="AB301" s="38" t="str">
        <f t="shared" si="41"/>
        <v/>
      </c>
      <c r="AC301" s="38" t="str">
        <f>IF(OR(B301="",COUNTIF($B$4:B301,B301)&gt;1),"",MAX($AC$3:AC300)+1)</f>
        <v/>
      </c>
      <c r="AD301" s="38" t="str">
        <f t="shared" si="42"/>
        <v/>
      </c>
      <c r="AE301" s="38" t="str">
        <f t="shared" si="43"/>
        <v/>
      </c>
      <c r="AF301" s="38" t="str">
        <f t="shared" si="44"/>
        <v/>
      </c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38" t="str">
        <f>IF(OR(A302="Автомат",A302="Дифавтомат"),IF(W302="","",COUNTIFS(Однолинейка!$H$3:$H$3000,U302,Однолинейка!$A$3:$A$3000,Щит_спец)),IF(A302="Аппарат",IF(C302="","",COUNTIFS(Однолинейка!$I$3:$I$3000,C302,Однолинейка!$A$3:$A$3000,Щит_спец)+COUNTIFS(Однолинейка!$J$3:$J$3000,C302,Однолинейка!$A$3:$A$3000,Щит_спец)+COUNTIFS(Однолинейка!$K$3:$K$3000,C302,Однолинейка!$A$3:$A$3000,Щит_спец)),IF(A302="Модуль",IF(C302="","",COUNTIFS(Однолинейка!$AW$3:$AW$3000,"?*",Однолинейка!$AI$3:$AI$3000,C302,Однолинейка!$A$3:$A$3000,Щит_спец)),IF(A302="Клемма",IF(C302="","",IF(C302=$S$7,SUMIFS(Однолинейка!$BW$3:$BW$3000,Однолинейка!$A$3:$A$3000,Щит_спец),IF(C302=$S$8,SUMIFS(Однолинейка!$BX$3:$BX$3000,Однолинейка!$A$3:$A$3000,Щит_спец),""))),""))))</f>
        <v/>
      </c>
      <c r="O302" s="74"/>
      <c r="P302" s="38" t="str">
        <f t="shared" si="36"/>
        <v/>
      </c>
      <c r="U302" s="38" t="str">
        <f t="shared" si="37"/>
        <v/>
      </c>
      <c r="V302" s="38" t="str">
        <f t="shared" si="38"/>
        <v/>
      </c>
      <c r="W302" s="38" t="str">
        <f>IF(AND(U302&lt;&gt;"",OR($S$4="(все)",B302=$S$4),IF($S$4="(все)",COUNTIF($U$4:U302,U302),COUNTIFS($U$4:U302,U302,$B$4:B302,B302))=1),MAX($W$3:W301)+1,"")</f>
        <v/>
      </c>
      <c r="X302" s="38" t="str">
        <f t="shared" si="39"/>
        <v/>
      </c>
      <c r="Y302" s="38" t="str">
        <f>IF(AND(A302="Аппарат",C302&lt;&gt;"",OR($S$5="(все)",B302=$S$5)),MAX($Y$3:Y301)+1,"")</f>
        <v/>
      </c>
      <c r="Z302" s="38" t="str">
        <f t="shared" si="40"/>
        <v/>
      </c>
      <c r="AA302" s="38" t="str">
        <f>IF(AND(A302="Модуль",C302&lt;&gt;"",OR($S$6="(все)",B302=$S$6)),MAX($AA$3:AA301)+1,"")</f>
        <v/>
      </c>
      <c r="AB302" s="38" t="str">
        <f t="shared" si="41"/>
        <v/>
      </c>
      <c r="AC302" s="38" t="str">
        <f>IF(OR(B302="",COUNTIF($B$4:B302,B302)&gt;1),"",MAX($AC$3:AC301)+1)</f>
        <v/>
      </c>
      <c r="AD302" s="38" t="str">
        <f t="shared" si="42"/>
        <v/>
      </c>
      <c r="AE302" s="38" t="str">
        <f t="shared" si="43"/>
        <v/>
      </c>
      <c r="AF302" s="38" t="str">
        <f t="shared" si="44"/>
        <v/>
      </c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38" t="str">
        <f>IF(OR(A303="Автомат",A303="Дифавтомат"),IF(W303="","",COUNTIFS(Однолинейка!$H$3:$H$3000,U303,Однолинейка!$A$3:$A$3000,Щит_спец)),IF(A303="Аппарат",IF(C303="","",COUNTIFS(Однолинейка!$I$3:$I$3000,C303,Однолинейка!$A$3:$A$3000,Щит_спец)+COUNTIFS(Однолинейка!$J$3:$J$3000,C303,Однолинейка!$A$3:$A$3000,Щит_спец)+COUNTIFS(Однолинейка!$K$3:$K$3000,C303,Однолинейка!$A$3:$A$3000,Щит_спец)),IF(A303="Модуль",IF(C303="","",COUNTIFS(Однолинейка!$AW$3:$AW$3000,"?*",Однолинейка!$AI$3:$AI$3000,C303,Однолинейка!$A$3:$A$3000,Щит_спец)),IF(A303="Клемма",IF(C303="","",IF(C303=$S$7,SUMIFS(Однолинейка!$BW$3:$BW$3000,Однолинейка!$A$3:$A$3000,Щит_спец),IF(C303=$S$8,SUMIFS(Однолинейка!$BX$3:$BX$3000,Однолинейка!$A$3:$A$3000,Щит_спец),""))),""))))</f>
        <v/>
      </c>
      <c r="O303" s="74"/>
      <c r="P303" s="38" t="str">
        <f t="shared" si="36"/>
        <v/>
      </c>
      <c r="U303" s="38" t="str">
        <f t="shared" si="37"/>
        <v/>
      </c>
      <c r="V303" s="38" t="str">
        <f t="shared" si="38"/>
        <v/>
      </c>
      <c r="W303" s="38" t="str">
        <f>IF(AND(U303&lt;&gt;"",OR($S$4="(все)",B303=$S$4),IF($S$4="(все)",COUNTIF($U$4:U303,U303),COUNTIFS($U$4:U303,U303,$B$4:B303,B303))=1),MAX($W$3:W302)+1,"")</f>
        <v/>
      </c>
      <c r="X303" s="38" t="str">
        <f t="shared" si="39"/>
        <v/>
      </c>
      <c r="Y303" s="38" t="str">
        <f>IF(AND(A303="Аппарат",C303&lt;&gt;"",OR($S$5="(все)",B303=$S$5)),MAX($Y$3:Y302)+1,"")</f>
        <v/>
      </c>
      <c r="Z303" s="38" t="str">
        <f t="shared" si="40"/>
        <v/>
      </c>
      <c r="AA303" s="38" t="str">
        <f>IF(AND(A303="Модуль",C303&lt;&gt;"",OR($S$6="(все)",B303=$S$6)),MAX($AA$3:AA302)+1,"")</f>
        <v/>
      </c>
      <c r="AB303" s="38" t="str">
        <f t="shared" si="41"/>
        <v/>
      </c>
      <c r="AC303" s="38" t="str">
        <f>IF(OR(B303="",COUNTIF($B$4:B303,B303)&gt;1),"",MAX($AC$3:AC302)+1)</f>
        <v/>
      </c>
      <c r="AD303" s="38" t="str">
        <f t="shared" si="42"/>
        <v/>
      </c>
      <c r="AE303" s="38" t="str">
        <f t="shared" si="43"/>
        <v/>
      </c>
      <c r="AF303" s="38" t="str">
        <f t="shared" si="44"/>
        <v/>
      </c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38" t="str">
        <f>IF(OR(A304="Автомат",A304="Дифавтомат"),IF(W304="","",COUNTIFS(Однолинейка!$H$3:$H$3000,U304,Однолинейка!$A$3:$A$3000,Щит_спец)),IF(A304="Аппарат",IF(C304="","",COUNTIFS(Однолинейка!$I$3:$I$3000,C304,Однолинейка!$A$3:$A$3000,Щит_спец)+COUNTIFS(Однолинейка!$J$3:$J$3000,C304,Однолинейка!$A$3:$A$3000,Щит_спец)+COUNTIFS(Однолинейка!$K$3:$K$3000,C304,Однолинейка!$A$3:$A$3000,Щит_спец)),IF(A304="Модуль",IF(C304="","",COUNTIFS(Однолинейка!$AW$3:$AW$3000,"?*",Однолинейка!$AI$3:$AI$3000,C304,Однолинейка!$A$3:$A$3000,Щит_спец)),IF(A304="Клемма",IF(C304="","",IF(C304=$S$7,SUMIFS(Однолинейка!$BW$3:$BW$3000,Однолинейка!$A$3:$A$3000,Щит_спец),IF(C304=$S$8,SUMIFS(Однолинейка!$BX$3:$BX$3000,Однолинейка!$A$3:$A$3000,Щит_спец),""))),""))))</f>
        <v/>
      </c>
      <c r="O304" s="74"/>
      <c r="P304" s="38" t="str">
        <f t="shared" si="36"/>
        <v/>
      </c>
      <c r="U304" s="38" t="str">
        <f t="shared" si="37"/>
        <v/>
      </c>
      <c r="V304" s="38" t="str">
        <f t="shared" si="38"/>
        <v/>
      </c>
      <c r="W304" s="38" t="str">
        <f>IF(AND(U304&lt;&gt;"",OR($S$4="(все)",B304=$S$4),IF($S$4="(все)",COUNTIF($U$4:U304,U304),COUNTIFS($U$4:U304,U304,$B$4:B304,B304))=1),MAX($W$3:W303)+1,"")</f>
        <v/>
      </c>
      <c r="X304" s="38" t="str">
        <f t="shared" si="39"/>
        <v/>
      </c>
      <c r="Y304" s="38" t="str">
        <f>IF(AND(A304="Аппарат",C304&lt;&gt;"",OR($S$5="(все)",B304=$S$5)),MAX($Y$3:Y303)+1,"")</f>
        <v/>
      </c>
      <c r="Z304" s="38" t="str">
        <f t="shared" si="40"/>
        <v/>
      </c>
      <c r="AA304" s="38" t="str">
        <f>IF(AND(A304="Модуль",C304&lt;&gt;"",OR($S$6="(все)",B304=$S$6)),MAX($AA$3:AA303)+1,"")</f>
        <v/>
      </c>
      <c r="AB304" s="38" t="str">
        <f t="shared" si="41"/>
        <v/>
      </c>
      <c r="AC304" s="38" t="str">
        <f>IF(OR(B304="",COUNTIF($B$4:B304,B304)&gt;1),"",MAX($AC$3:AC303)+1)</f>
        <v/>
      </c>
      <c r="AD304" s="38" t="str">
        <f t="shared" si="42"/>
        <v/>
      </c>
      <c r="AE304" s="38" t="str">
        <f t="shared" si="43"/>
        <v/>
      </c>
      <c r="AF304" s="38" t="str">
        <f t="shared" si="44"/>
        <v/>
      </c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38" t="str">
        <f>IF(OR(A305="Автомат",A305="Дифавтомат"),IF(W305="","",COUNTIFS(Однолинейка!$H$3:$H$3000,U305,Однолинейка!$A$3:$A$3000,Щит_спец)),IF(A305="Аппарат",IF(C305="","",COUNTIFS(Однолинейка!$I$3:$I$3000,C305,Однолинейка!$A$3:$A$3000,Щит_спец)+COUNTIFS(Однолинейка!$J$3:$J$3000,C305,Однолинейка!$A$3:$A$3000,Щит_спец)+COUNTIFS(Однолинейка!$K$3:$K$3000,C305,Однолинейка!$A$3:$A$3000,Щит_спец)),IF(A305="Модуль",IF(C305="","",COUNTIFS(Однолинейка!$AW$3:$AW$3000,"?*",Однолинейка!$AI$3:$AI$3000,C305,Однолинейка!$A$3:$A$3000,Щит_спец)),IF(A305="Клемма",IF(C305="","",IF(C305=$S$7,SUMIFS(Однолинейка!$BW$3:$BW$3000,Однолинейка!$A$3:$A$3000,Щит_спец),IF(C305=$S$8,SUMIFS(Однолинейка!$BX$3:$BX$3000,Однолинейка!$A$3:$A$3000,Щит_спец),""))),""))))</f>
        <v/>
      </c>
      <c r="O305" s="74"/>
      <c r="P305" s="38" t="str">
        <f t="shared" si="36"/>
        <v/>
      </c>
      <c r="U305" s="38" t="str">
        <f t="shared" si="37"/>
        <v/>
      </c>
      <c r="V305" s="38" t="str">
        <f t="shared" si="38"/>
        <v/>
      </c>
      <c r="W305" s="38" t="str">
        <f>IF(AND(U305&lt;&gt;"",OR($S$4="(все)",B305=$S$4),IF($S$4="(все)",COUNTIF($U$4:U305,U305),COUNTIFS($U$4:U305,U305,$B$4:B305,B305))=1),MAX($W$3:W304)+1,"")</f>
        <v/>
      </c>
      <c r="X305" s="38" t="str">
        <f t="shared" si="39"/>
        <v/>
      </c>
      <c r="Y305" s="38" t="str">
        <f>IF(AND(A305="Аппарат",C305&lt;&gt;"",OR($S$5="(все)",B305=$S$5)),MAX($Y$3:Y304)+1,"")</f>
        <v/>
      </c>
      <c r="Z305" s="38" t="str">
        <f t="shared" si="40"/>
        <v/>
      </c>
      <c r="AA305" s="38" t="str">
        <f>IF(AND(A305="Модуль",C305&lt;&gt;"",OR($S$6="(все)",B305=$S$6)),MAX($AA$3:AA304)+1,"")</f>
        <v/>
      </c>
      <c r="AB305" s="38" t="str">
        <f t="shared" si="41"/>
        <v/>
      </c>
      <c r="AC305" s="38" t="str">
        <f>IF(OR(B305="",COUNTIF($B$4:B305,B305)&gt;1),"",MAX($AC$3:AC304)+1)</f>
        <v/>
      </c>
      <c r="AD305" s="38" t="str">
        <f t="shared" si="42"/>
        <v/>
      </c>
      <c r="AE305" s="38" t="str">
        <f t="shared" si="43"/>
        <v/>
      </c>
      <c r="AF305" s="38" t="str">
        <f t="shared" si="44"/>
        <v/>
      </c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38" t="str">
        <f>IF(OR(A306="Автомат",A306="Дифавтомат"),IF(W306="","",COUNTIFS(Однолинейка!$H$3:$H$3000,U306,Однолинейка!$A$3:$A$3000,Щит_спец)),IF(A306="Аппарат",IF(C306="","",COUNTIFS(Однолинейка!$I$3:$I$3000,C306,Однолинейка!$A$3:$A$3000,Щит_спец)+COUNTIFS(Однолинейка!$J$3:$J$3000,C306,Однолинейка!$A$3:$A$3000,Щит_спец)+COUNTIFS(Однолинейка!$K$3:$K$3000,C306,Однолинейка!$A$3:$A$3000,Щит_спец)),IF(A306="Модуль",IF(C306="","",COUNTIFS(Однолинейка!$AW$3:$AW$3000,"?*",Однолинейка!$AI$3:$AI$3000,C306,Однолинейка!$A$3:$A$3000,Щит_спец)),IF(A306="Клемма",IF(C306="","",IF(C306=$S$7,SUMIFS(Однолинейка!$BW$3:$BW$3000,Однолинейка!$A$3:$A$3000,Щит_спец),IF(C306=$S$8,SUMIFS(Однолинейка!$BX$3:$BX$3000,Однолинейка!$A$3:$A$3000,Щит_спец),""))),""))))</f>
        <v/>
      </c>
      <c r="O306" s="74"/>
      <c r="P306" s="38" t="str">
        <f t="shared" si="36"/>
        <v/>
      </c>
      <c r="U306" s="38" t="str">
        <f t="shared" si="37"/>
        <v/>
      </c>
      <c r="V306" s="38" t="str">
        <f t="shared" si="38"/>
        <v/>
      </c>
      <c r="W306" s="38" t="str">
        <f>IF(AND(U306&lt;&gt;"",OR($S$4="(все)",B306=$S$4),IF($S$4="(все)",COUNTIF($U$4:U306,U306),COUNTIFS($U$4:U306,U306,$B$4:B306,B306))=1),MAX($W$3:W305)+1,"")</f>
        <v/>
      </c>
      <c r="X306" s="38" t="str">
        <f t="shared" si="39"/>
        <v/>
      </c>
      <c r="Y306" s="38" t="str">
        <f>IF(AND(A306="Аппарат",C306&lt;&gt;"",OR($S$5="(все)",B306=$S$5)),MAX($Y$3:Y305)+1,"")</f>
        <v/>
      </c>
      <c r="Z306" s="38" t="str">
        <f t="shared" si="40"/>
        <v/>
      </c>
      <c r="AA306" s="38" t="str">
        <f>IF(AND(A306="Модуль",C306&lt;&gt;"",OR($S$6="(все)",B306=$S$6)),MAX($AA$3:AA305)+1,"")</f>
        <v/>
      </c>
      <c r="AB306" s="38" t="str">
        <f t="shared" si="41"/>
        <v/>
      </c>
      <c r="AC306" s="38" t="str">
        <f>IF(OR(B306="",COUNTIF($B$4:B306,B306)&gt;1),"",MAX($AC$3:AC305)+1)</f>
        <v/>
      </c>
      <c r="AD306" s="38" t="str">
        <f t="shared" si="42"/>
        <v/>
      </c>
      <c r="AE306" s="38" t="str">
        <f t="shared" si="43"/>
        <v/>
      </c>
      <c r="AF306" s="38" t="str">
        <f t="shared" si="44"/>
        <v/>
      </c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38" t="str">
        <f>IF(OR(A307="Автомат",A307="Дифавтомат"),IF(W307="","",COUNTIFS(Однолинейка!$H$3:$H$3000,U307,Однолинейка!$A$3:$A$3000,Щит_спец)),IF(A307="Аппарат",IF(C307="","",COUNTIFS(Однолинейка!$I$3:$I$3000,C307,Однолинейка!$A$3:$A$3000,Щит_спец)+COUNTIFS(Однолинейка!$J$3:$J$3000,C307,Однолинейка!$A$3:$A$3000,Щит_спец)+COUNTIFS(Однолинейка!$K$3:$K$3000,C307,Однолинейка!$A$3:$A$3000,Щит_спец)),IF(A307="Модуль",IF(C307="","",COUNTIFS(Однолинейка!$AW$3:$AW$3000,"?*",Однолинейка!$AI$3:$AI$3000,C307,Однолинейка!$A$3:$A$3000,Щит_спец)),IF(A307="Клемма",IF(C307="","",IF(C307=$S$7,SUMIFS(Однолинейка!$BW$3:$BW$3000,Однолинейка!$A$3:$A$3000,Щит_спец),IF(C307=$S$8,SUMIFS(Однолинейка!$BX$3:$BX$3000,Однолинейка!$A$3:$A$3000,Щит_спец),""))),""))))</f>
        <v/>
      </c>
      <c r="O307" s="74"/>
      <c r="P307" s="38" t="str">
        <f t="shared" si="36"/>
        <v/>
      </c>
      <c r="U307" s="38" t="str">
        <f t="shared" si="37"/>
        <v/>
      </c>
      <c r="V307" s="38" t="str">
        <f t="shared" si="38"/>
        <v/>
      </c>
      <c r="W307" s="38" t="str">
        <f>IF(AND(U307&lt;&gt;"",OR($S$4="(все)",B307=$S$4),IF($S$4="(все)",COUNTIF($U$4:U307,U307),COUNTIFS($U$4:U307,U307,$B$4:B307,B307))=1),MAX($W$3:W306)+1,"")</f>
        <v/>
      </c>
      <c r="X307" s="38" t="str">
        <f t="shared" si="39"/>
        <v/>
      </c>
      <c r="Y307" s="38" t="str">
        <f>IF(AND(A307="Аппарат",C307&lt;&gt;"",OR($S$5="(все)",B307=$S$5)),MAX($Y$3:Y306)+1,"")</f>
        <v/>
      </c>
      <c r="Z307" s="38" t="str">
        <f t="shared" si="40"/>
        <v/>
      </c>
      <c r="AA307" s="38" t="str">
        <f>IF(AND(A307="Модуль",C307&lt;&gt;"",OR($S$6="(все)",B307=$S$6)),MAX($AA$3:AA306)+1,"")</f>
        <v/>
      </c>
      <c r="AB307" s="38" t="str">
        <f t="shared" si="41"/>
        <v/>
      </c>
      <c r="AC307" s="38" t="str">
        <f>IF(OR(B307="",COUNTIF($B$4:B307,B307)&gt;1),"",MAX($AC$3:AC306)+1)</f>
        <v/>
      </c>
      <c r="AD307" s="38" t="str">
        <f t="shared" si="42"/>
        <v/>
      </c>
      <c r="AE307" s="38" t="str">
        <f t="shared" si="43"/>
        <v/>
      </c>
      <c r="AF307" s="38" t="str">
        <f t="shared" si="44"/>
        <v/>
      </c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38" t="str">
        <f>IF(OR(A308="Автомат",A308="Дифавтомат"),IF(W308="","",COUNTIFS(Однолинейка!$H$3:$H$3000,U308,Однолинейка!$A$3:$A$3000,Щит_спец)),IF(A308="Аппарат",IF(C308="","",COUNTIFS(Однолинейка!$I$3:$I$3000,C308,Однолинейка!$A$3:$A$3000,Щит_спец)+COUNTIFS(Однолинейка!$J$3:$J$3000,C308,Однолинейка!$A$3:$A$3000,Щит_спец)+COUNTIFS(Однолинейка!$K$3:$K$3000,C308,Однолинейка!$A$3:$A$3000,Щит_спец)),IF(A308="Модуль",IF(C308="","",COUNTIFS(Однолинейка!$AW$3:$AW$3000,"?*",Однолинейка!$AI$3:$AI$3000,C308,Однолинейка!$A$3:$A$3000,Щит_спец)),IF(A308="Клемма",IF(C308="","",IF(C308=$S$7,SUMIFS(Однолинейка!$BW$3:$BW$3000,Однолинейка!$A$3:$A$3000,Щит_спец),IF(C308=$S$8,SUMIFS(Однолинейка!$BX$3:$BX$3000,Однолинейка!$A$3:$A$3000,Щит_спец),""))),""))))</f>
        <v/>
      </c>
      <c r="O308" s="74"/>
      <c r="P308" s="38" t="str">
        <f t="shared" si="36"/>
        <v/>
      </c>
      <c r="U308" s="38" t="str">
        <f t="shared" si="37"/>
        <v/>
      </c>
      <c r="V308" s="38" t="str">
        <f t="shared" si="38"/>
        <v/>
      </c>
      <c r="W308" s="38" t="str">
        <f>IF(AND(U308&lt;&gt;"",OR($S$4="(все)",B308=$S$4),IF($S$4="(все)",COUNTIF($U$4:U308,U308),COUNTIFS($U$4:U308,U308,$B$4:B308,B308))=1),MAX($W$3:W307)+1,"")</f>
        <v/>
      </c>
      <c r="X308" s="38" t="str">
        <f t="shared" si="39"/>
        <v/>
      </c>
      <c r="Y308" s="38" t="str">
        <f>IF(AND(A308="Аппарат",C308&lt;&gt;"",OR($S$5="(все)",B308=$S$5)),MAX($Y$3:Y307)+1,"")</f>
        <v/>
      </c>
      <c r="Z308" s="38" t="str">
        <f t="shared" si="40"/>
        <v/>
      </c>
      <c r="AA308" s="38" t="str">
        <f>IF(AND(A308="Модуль",C308&lt;&gt;"",OR($S$6="(все)",B308=$S$6)),MAX($AA$3:AA307)+1,"")</f>
        <v/>
      </c>
      <c r="AB308" s="38" t="str">
        <f t="shared" si="41"/>
        <v/>
      </c>
      <c r="AC308" s="38" t="str">
        <f>IF(OR(B308="",COUNTIF($B$4:B308,B308)&gt;1),"",MAX($AC$3:AC307)+1)</f>
        <v/>
      </c>
      <c r="AD308" s="38" t="str">
        <f t="shared" si="42"/>
        <v/>
      </c>
      <c r="AE308" s="38" t="str">
        <f t="shared" si="43"/>
        <v/>
      </c>
      <c r="AF308" s="38" t="str">
        <f t="shared" si="44"/>
        <v/>
      </c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38" t="str">
        <f>IF(OR(A309="Автомат",A309="Дифавтомат"),IF(W309="","",COUNTIFS(Однолинейка!$H$3:$H$3000,U309,Однолинейка!$A$3:$A$3000,Щит_спец)),IF(A309="Аппарат",IF(C309="","",COUNTIFS(Однолинейка!$I$3:$I$3000,C309,Однолинейка!$A$3:$A$3000,Щит_спец)+COUNTIFS(Однолинейка!$J$3:$J$3000,C309,Однолинейка!$A$3:$A$3000,Щит_спец)+COUNTIFS(Однолинейка!$K$3:$K$3000,C309,Однолинейка!$A$3:$A$3000,Щит_спец)),IF(A309="Модуль",IF(C309="","",COUNTIFS(Однолинейка!$AW$3:$AW$3000,"?*",Однолинейка!$AI$3:$AI$3000,C309,Однолинейка!$A$3:$A$3000,Щит_спец)),IF(A309="Клемма",IF(C309="","",IF(C309=$S$7,SUMIFS(Однолинейка!$BW$3:$BW$3000,Однолинейка!$A$3:$A$3000,Щит_спец),IF(C309=$S$8,SUMIFS(Однолинейка!$BX$3:$BX$3000,Однолинейка!$A$3:$A$3000,Щит_спец),""))),""))))</f>
        <v/>
      </c>
      <c r="O309" s="74"/>
      <c r="P309" s="38" t="str">
        <f t="shared" si="36"/>
        <v/>
      </c>
      <c r="U309" s="38" t="str">
        <f t="shared" si="37"/>
        <v/>
      </c>
      <c r="V309" s="38" t="str">
        <f t="shared" si="38"/>
        <v/>
      </c>
      <c r="W309" s="38" t="str">
        <f>IF(AND(U309&lt;&gt;"",OR($S$4="(все)",B309=$S$4),IF($S$4="(все)",COUNTIF($U$4:U309,U309),COUNTIFS($U$4:U309,U309,$B$4:B309,B309))=1),MAX($W$3:W308)+1,"")</f>
        <v/>
      </c>
      <c r="X309" s="38" t="str">
        <f t="shared" si="39"/>
        <v/>
      </c>
      <c r="Y309" s="38" t="str">
        <f>IF(AND(A309="Аппарат",C309&lt;&gt;"",OR($S$5="(все)",B309=$S$5)),MAX($Y$3:Y308)+1,"")</f>
        <v/>
      </c>
      <c r="Z309" s="38" t="str">
        <f t="shared" si="40"/>
        <v/>
      </c>
      <c r="AA309" s="38" t="str">
        <f>IF(AND(A309="Модуль",C309&lt;&gt;"",OR($S$6="(все)",B309=$S$6)),MAX($AA$3:AA308)+1,"")</f>
        <v/>
      </c>
      <c r="AB309" s="38" t="str">
        <f t="shared" si="41"/>
        <v/>
      </c>
      <c r="AC309" s="38" t="str">
        <f>IF(OR(B309="",COUNTIF($B$4:B309,B309)&gt;1),"",MAX($AC$3:AC308)+1)</f>
        <v/>
      </c>
      <c r="AD309" s="38" t="str">
        <f t="shared" si="42"/>
        <v/>
      </c>
      <c r="AE309" s="38" t="str">
        <f t="shared" si="43"/>
        <v/>
      </c>
      <c r="AF309" s="38" t="str">
        <f t="shared" si="44"/>
        <v/>
      </c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38" t="str">
        <f>IF(OR(A310="Автомат",A310="Дифавтомат"),IF(W310="","",COUNTIFS(Однолинейка!$H$3:$H$3000,U310,Однолинейка!$A$3:$A$3000,Щит_спец)),IF(A310="Аппарат",IF(C310="","",COUNTIFS(Однолинейка!$I$3:$I$3000,C310,Однолинейка!$A$3:$A$3000,Щит_спец)+COUNTIFS(Однолинейка!$J$3:$J$3000,C310,Однолинейка!$A$3:$A$3000,Щит_спец)+COUNTIFS(Однолинейка!$K$3:$K$3000,C310,Однолинейка!$A$3:$A$3000,Щит_спец)),IF(A310="Модуль",IF(C310="","",COUNTIFS(Однолинейка!$AW$3:$AW$3000,"?*",Однолинейка!$AI$3:$AI$3000,C310,Однолинейка!$A$3:$A$3000,Щит_спец)),IF(A310="Клемма",IF(C310="","",IF(C310=$S$7,SUMIFS(Однолинейка!$BW$3:$BW$3000,Однолинейка!$A$3:$A$3000,Щит_спец),IF(C310=$S$8,SUMIFS(Однолинейка!$BX$3:$BX$3000,Однолинейка!$A$3:$A$3000,Щит_спец),""))),""))))</f>
        <v/>
      </c>
      <c r="O310" s="74"/>
      <c r="P310" s="38" t="str">
        <f t="shared" si="36"/>
        <v/>
      </c>
      <c r="U310" s="38" t="str">
        <f t="shared" si="37"/>
        <v/>
      </c>
      <c r="V310" s="38" t="str">
        <f t="shared" si="38"/>
        <v/>
      </c>
      <c r="W310" s="38" t="str">
        <f>IF(AND(U310&lt;&gt;"",OR($S$4="(все)",B310=$S$4),IF($S$4="(все)",COUNTIF($U$4:U310,U310),COUNTIFS($U$4:U310,U310,$B$4:B310,B310))=1),MAX($W$3:W309)+1,"")</f>
        <v/>
      </c>
      <c r="X310" s="38" t="str">
        <f t="shared" si="39"/>
        <v/>
      </c>
      <c r="Y310" s="38" t="str">
        <f>IF(AND(A310="Аппарат",C310&lt;&gt;"",OR($S$5="(все)",B310=$S$5)),MAX($Y$3:Y309)+1,"")</f>
        <v/>
      </c>
      <c r="Z310" s="38" t="str">
        <f t="shared" si="40"/>
        <v/>
      </c>
      <c r="AA310" s="38" t="str">
        <f>IF(AND(A310="Модуль",C310&lt;&gt;"",OR($S$6="(все)",B310=$S$6)),MAX($AA$3:AA309)+1,"")</f>
        <v/>
      </c>
      <c r="AB310" s="38" t="str">
        <f t="shared" si="41"/>
        <v/>
      </c>
      <c r="AC310" s="38" t="str">
        <f>IF(OR(B310="",COUNTIF($B$4:B310,B310)&gt;1),"",MAX($AC$3:AC309)+1)</f>
        <v/>
      </c>
      <c r="AD310" s="38" t="str">
        <f t="shared" si="42"/>
        <v/>
      </c>
      <c r="AE310" s="38" t="str">
        <f t="shared" si="43"/>
        <v/>
      </c>
      <c r="AF310" s="38" t="str">
        <f t="shared" si="44"/>
        <v/>
      </c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38" t="str">
        <f>IF(OR(A311="Автомат",A311="Дифавтомат"),IF(W311="","",COUNTIFS(Однолинейка!$H$3:$H$3000,U311,Однолинейка!$A$3:$A$3000,Щит_спец)),IF(A311="Аппарат",IF(C311="","",COUNTIFS(Однолинейка!$I$3:$I$3000,C311,Однолинейка!$A$3:$A$3000,Щит_спец)+COUNTIFS(Однолинейка!$J$3:$J$3000,C311,Однолинейка!$A$3:$A$3000,Щит_спец)+COUNTIFS(Однолинейка!$K$3:$K$3000,C311,Однолинейка!$A$3:$A$3000,Щит_спец)),IF(A311="Модуль",IF(C311="","",COUNTIFS(Однолинейка!$AW$3:$AW$3000,"?*",Однолинейка!$AI$3:$AI$3000,C311,Однолинейка!$A$3:$A$3000,Щит_спец)),IF(A311="Клемма",IF(C311="","",IF(C311=$S$7,SUMIFS(Однолинейка!$BW$3:$BW$3000,Однолинейка!$A$3:$A$3000,Щит_спец),IF(C311=$S$8,SUMIFS(Однолинейка!$BX$3:$BX$3000,Однолинейка!$A$3:$A$3000,Щит_спец),""))),""))))</f>
        <v/>
      </c>
      <c r="O311" s="74"/>
      <c r="P311" s="38" t="str">
        <f t="shared" si="36"/>
        <v/>
      </c>
      <c r="U311" s="38" t="str">
        <f t="shared" si="37"/>
        <v/>
      </c>
      <c r="V311" s="38" t="str">
        <f t="shared" si="38"/>
        <v/>
      </c>
      <c r="W311" s="38" t="str">
        <f>IF(AND(U311&lt;&gt;"",OR($S$4="(все)",B311=$S$4),IF($S$4="(все)",COUNTIF($U$4:U311,U311),COUNTIFS($U$4:U311,U311,$B$4:B311,B311))=1),MAX($W$3:W310)+1,"")</f>
        <v/>
      </c>
      <c r="X311" s="38" t="str">
        <f t="shared" si="39"/>
        <v/>
      </c>
      <c r="Y311" s="38" t="str">
        <f>IF(AND(A311="Аппарат",C311&lt;&gt;"",OR($S$5="(все)",B311=$S$5)),MAX($Y$3:Y310)+1,"")</f>
        <v/>
      </c>
      <c r="Z311" s="38" t="str">
        <f t="shared" si="40"/>
        <v/>
      </c>
      <c r="AA311" s="38" t="str">
        <f>IF(AND(A311="Модуль",C311&lt;&gt;"",OR($S$6="(все)",B311=$S$6)),MAX($AA$3:AA310)+1,"")</f>
        <v/>
      </c>
      <c r="AB311" s="38" t="str">
        <f t="shared" si="41"/>
        <v/>
      </c>
      <c r="AC311" s="38" t="str">
        <f>IF(OR(B311="",COUNTIF($B$4:B311,B311)&gt;1),"",MAX($AC$3:AC310)+1)</f>
        <v/>
      </c>
      <c r="AD311" s="38" t="str">
        <f t="shared" si="42"/>
        <v/>
      </c>
      <c r="AE311" s="38" t="str">
        <f t="shared" si="43"/>
        <v/>
      </c>
      <c r="AF311" s="38" t="str">
        <f t="shared" si="44"/>
        <v/>
      </c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38" t="str">
        <f>IF(OR(A312="Автомат",A312="Дифавтомат"),IF(W312="","",COUNTIFS(Однолинейка!$H$3:$H$3000,U312,Однолинейка!$A$3:$A$3000,Щит_спец)),IF(A312="Аппарат",IF(C312="","",COUNTIFS(Однолинейка!$I$3:$I$3000,C312,Однолинейка!$A$3:$A$3000,Щит_спец)+COUNTIFS(Однолинейка!$J$3:$J$3000,C312,Однолинейка!$A$3:$A$3000,Щит_спец)+COUNTIFS(Однолинейка!$K$3:$K$3000,C312,Однолинейка!$A$3:$A$3000,Щит_спец)),IF(A312="Модуль",IF(C312="","",COUNTIFS(Однолинейка!$AW$3:$AW$3000,"?*",Однолинейка!$AI$3:$AI$3000,C312,Однолинейка!$A$3:$A$3000,Щит_спец)),IF(A312="Клемма",IF(C312="","",IF(C312=$S$7,SUMIFS(Однолинейка!$BW$3:$BW$3000,Однолинейка!$A$3:$A$3000,Щит_спец),IF(C312=$S$8,SUMIFS(Однолинейка!$BX$3:$BX$3000,Однолинейка!$A$3:$A$3000,Щит_спец),""))),""))))</f>
        <v/>
      </c>
      <c r="O312" s="74"/>
      <c r="P312" s="38" t="str">
        <f t="shared" si="36"/>
        <v/>
      </c>
      <c r="U312" s="38" t="str">
        <f t="shared" si="37"/>
        <v/>
      </c>
      <c r="V312" s="38" t="str">
        <f t="shared" si="38"/>
        <v/>
      </c>
      <c r="W312" s="38" t="str">
        <f>IF(AND(U312&lt;&gt;"",OR($S$4="(все)",B312=$S$4),IF($S$4="(все)",COUNTIF($U$4:U312,U312),COUNTIFS($U$4:U312,U312,$B$4:B312,B312))=1),MAX($W$3:W311)+1,"")</f>
        <v/>
      </c>
      <c r="X312" s="38" t="str">
        <f t="shared" si="39"/>
        <v/>
      </c>
      <c r="Y312" s="38" t="str">
        <f>IF(AND(A312="Аппарат",C312&lt;&gt;"",OR($S$5="(все)",B312=$S$5)),MAX($Y$3:Y311)+1,"")</f>
        <v/>
      </c>
      <c r="Z312" s="38" t="str">
        <f t="shared" si="40"/>
        <v/>
      </c>
      <c r="AA312" s="38" t="str">
        <f>IF(AND(A312="Модуль",C312&lt;&gt;"",OR($S$6="(все)",B312=$S$6)),MAX($AA$3:AA311)+1,"")</f>
        <v/>
      </c>
      <c r="AB312" s="38" t="str">
        <f t="shared" si="41"/>
        <v/>
      </c>
      <c r="AC312" s="38" t="str">
        <f>IF(OR(B312="",COUNTIF($B$4:B312,B312)&gt;1),"",MAX($AC$3:AC311)+1)</f>
        <v/>
      </c>
      <c r="AD312" s="38" t="str">
        <f t="shared" si="42"/>
        <v/>
      </c>
      <c r="AE312" s="38" t="str">
        <f t="shared" si="43"/>
        <v/>
      </c>
      <c r="AF312" s="38" t="str">
        <f t="shared" si="44"/>
        <v/>
      </c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38" t="str">
        <f>IF(OR(A313="Автомат",A313="Дифавтомат"),IF(W313="","",COUNTIFS(Однолинейка!$H$3:$H$3000,U313,Однолинейка!$A$3:$A$3000,Щит_спец)),IF(A313="Аппарат",IF(C313="","",COUNTIFS(Однолинейка!$I$3:$I$3000,C313,Однолинейка!$A$3:$A$3000,Щит_спец)+COUNTIFS(Однолинейка!$J$3:$J$3000,C313,Однолинейка!$A$3:$A$3000,Щит_спец)+COUNTIFS(Однолинейка!$K$3:$K$3000,C313,Однолинейка!$A$3:$A$3000,Щит_спец)),IF(A313="Модуль",IF(C313="","",COUNTIFS(Однолинейка!$AW$3:$AW$3000,"?*",Однолинейка!$AI$3:$AI$3000,C313,Однолинейка!$A$3:$A$3000,Щит_спец)),IF(A313="Клемма",IF(C313="","",IF(C313=$S$7,SUMIFS(Однолинейка!$BW$3:$BW$3000,Однолинейка!$A$3:$A$3000,Щит_спец),IF(C313=$S$8,SUMIFS(Однолинейка!$BX$3:$BX$3000,Однолинейка!$A$3:$A$3000,Щит_спец),""))),""))))</f>
        <v/>
      </c>
      <c r="O313" s="74"/>
      <c r="P313" s="38" t="str">
        <f t="shared" si="36"/>
        <v/>
      </c>
      <c r="U313" s="38" t="str">
        <f t="shared" si="37"/>
        <v/>
      </c>
      <c r="V313" s="38" t="str">
        <f t="shared" si="38"/>
        <v/>
      </c>
      <c r="W313" s="38" t="str">
        <f>IF(AND(U313&lt;&gt;"",OR($S$4="(все)",B313=$S$4),IF($S$4="(все)",COUNTIF($U$4:U313,U313),COUNTIFS($U$4:U313,U313,$B$4:B313,B313))=1),MAX($W$3:W312)+1,"")</f>
        <v/>
      </c>
      <c r="X313" s="38" t="str">
        <f t="shared" si="39"/>
        <v/>
      </c>
      <c r="Y313" s="38" t="str">
        <f>IF(AND(A313="Аппарат",C313&lt;&gt;"",OR($S$5="(все)",B313=$S$5)),MAX($Y$3:Y312)+1,"")</f>
        <v/>
      </c>
      <c r="Z313" s="38" t="str">
        <f t="shared" si="40"/>
        <v/>
      </c>
      <c r="AA313" s="38" t="str">
        <f>IF(AND(A313="Модуль",C313&lt;&gt;"",OR($S$6="(все)",B313=$S$6)),MAX($AA$3:AA312)+1,"")</f>
        <v/>
      </c>
      <c r="AB313" s="38" t="str">
        <f t="shared" si="41"/>
        <v/>
      </c>
      <c r="AC313" s="38" t="str">
        <f>IF(OR(B313="",COUNTIF($B$4:B313,B313)&gt;1),"",MAX($AC$3:AC312)+1)</f>
        <v/>
      </c>
      <c r="AD313" s="38" t="str">
        <f t="shared" si="42"/>
        <v/>
      </c>
      <c r="AE313" s="38" t="str">
        <f t="shared" si="43"/>
        <v/>
      </c>
      <c r="AF313" s="38" t="str">
        <f t="shared" si="44"/>
        <v/>
      </c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38" t="str">
        <f>IF(OR(A314="Автомат",A314="Дифавтомат"),IF(W314="","",COUNTIFS(Однолинейка!$H$3:$H$3000,U314,Однолинейка!$A$3:$A$3000,Щит_спец)),IF(A314="Аппарат",IF(C314="","",COUNTIFS(Однолинейка!$I$3:$I$3000,C314,Однолинейка!$A$3:$A$3000,Щит_спец)+COUNTIFS(Однолинейка!$J$3:$J$3000,C314,Однолинейка!$A$3:$A$3000,Щит_спец)+COUNTIFS(Однолинейка!$K$3:$K$3000,C314,Однолинейка!$A$3:$A$3000,Щит_спец)),IF(A314="Модуль",IF(C314="","",COUNTIFS(Однолинейка!$AW$3:$AW$3000,"?*",Однолинейка!$AI$3:$AI$3000,C314,Однолинейка!$A$3:$A$3000,Щит_спец)),IF(A314="Клемма",IF(C314="","",IF(C314=$S$7,SUMIFS(Однолинейка!$BW$3:$BW$3000,Однолинейка!$A$3:$A$3000,Щит_спец),IF(C314=$S$8,SUMIFS(Однолинейка!$BX$3:$BX$3000,Однолинейка!$A$3:$A$3000,Щит_спец),""))),""))))</f>
        <v/>
      </c>
      <c r="O314" s="74"/>
      <c r="P314" s="38" t="str">
        <f t="shared" si="36"/>
        <v/>
      </c>
      <c r="U314" s="38" t="str">
        <f t="shared" si="37"/>
        <v/>
      </c>
      <c r="V314" s="38" t="str">
        <f t="shared" si="38"/>
        <v/>
      </c>
      <c r="W314" s="38" t="str">
        <f>IF(AND(U314&lt;&gt;"",OR($S$4="(все)",B314=$S$4),IF($S$4="(все)",COUNTIF($U$4:U314,U314),COUNTIFS($U$4:U314,U314,$B$4:B314,B314))=1),MAX($W$3:W313)+1,"")</f>
        <v/>
      </c>
      <c r="X314" s="38" t="str">
        <f t="shared" si="39"/>
        <v/>
      </c>
      <c r="Y314" s="38" t="str">
        <f>IF(AND(A314="Аппарат",C314&lt;&gt;"",OR($S$5="(все)",B314=$S$5)),MAX($Y$3:Y313)+1,"")</f>
        <v/>
      </c>
      <c r="Z314" s="38" t="str">
        <f t="shared" si="40"/>
        <v/>
      </c>
      <c r="AA314" s="38" t="str">
        <f>IF(AND(A314="Модуль",C314&lt;&gt;"",OR($S$6="(все)",B314=$S$6)),MAX($AA$3:AA313)+1,"")</f>
        <v/>
      </c>
      <c r="AB314" s="38" t="str">
        <f t="shared" si="41"/>
        <v/>
      </c>
      <c r="AC314" s="38" t="str">
        <f>IF(OR(B314="",COUNTIF($B$4:B314,B314)&gt;1),"",MAX($AC$3:AC313)+1)</f>
        <v/>
      </c>
      <c r="AD314" s="38" t="str">
        <f t="shared" si="42"/>
        <v/>
      </c>
      <c r="AE314" s="38" t="str">
        <f t="shared" si="43"/>
        <v/>
      </c>
      <c r="AF314" s="38" t="str">
        <f t="shared" si="44"/>
        <v/>
      </c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38" t="str">
        <f>IF(OR(A315="Автомат",A315="Дифавтомат"),IF(W315="","",COUNTIFS(Однолинейка!$H$3:$H$3000,U315,Однолинейка!$A$3:$A$3000,Щит_спец)),IF(A315="Аппарат",IF(C315="","",COUNTIFS(Однолинейка!$I$3:$I$3000,C315,Однолинейка!$A$3:$A$3000,Щит_спец)+COUNTIFS(Однолинейка!$J$3:$J$3000,C315,Однолинейка!$A$3:$A$3000,Щит_спец)+COUNTIFS(Однолинейка!$K$3:$K$3000,C315,Однолинейка!$A$3:$A$3000,Щит_спец)),IF(A315="Модуль",IF(C315="","",COUNTIFS(Однолинейка!$AW$3:$AW$3000,"?*",Однолинейка!$AI$3:$AI$3000,C315,Однолинейка!$A$3:$A$3000,Щит_спец)),IF(A315="Клемма",IF(C315="","",IF(C315=$S$7,SUMIFS(Однолинейка!$BW$3:$BW$3000,Однолинейка!$A$3:$A$3000,Щит_спец),IF(C315=$S$8,SUMIFS(Однолинейка!$BX$3:$BX$3000,Однолинейка!$A$3:$A$3000,Щит_спец),""))),""))))</f>
        <v/>
      </c>
      <c r="O315" s="74"/>
      <c r="P315" s="38" t="str">
        <f t="shared" si="36"/>
        <v/>
      </c>
      <c r="U315" s="38" t="str">
        <f t="shared" si="37"/>
        <v/>
      </c>
      <c r="V315" s="38" t="str">
        <f t="shared" si="38"/>
        <v/>
      </c>
      <c r="W315" s="38" t="str">
        <f>IF(AND(U315&lt;&gt;"",OR($S$4="(все)",B315=$S$4),IF($S$4="(все)",COUNTIF($U$4:U315,U315),COUNTIFS($U$4:U315,U315,$B$4:B315,B315))=1),MAX($W$3:W314)+1,"")</f>
        <v/>
      </c>
      <c r="X315" s="38" t="str">
        <f t="shared" si="39"/>
        <v/>
      </c>
      <c r="Y315" s="38" t="str">
        <f>IF(AND(A315="Аппарат",C315&lt;&gt;"",OR($S$5="(все)",B315=$S$5)),MAX($Y$3:Y314)+1,"")</f>
        <v/>
      </c>
      <c r="Z315" s="38" t="str">
        <f t="shared" si="40"/>
        <v/>
      </c>
      <c r="AA315" s="38" t="str">
        <f>IF(AND(A315="Модуль",C315&lt;&gt;"",OR($S$6="(все)",B315=$S$6)),MAX($AA$3:AA314)+1,"")</f>
        <v/>
      </c>
      <c r="AB315" s="38" t="str">
        <f t="shared" si="41"/>
        <v/>
      </c>
      <c r="AC315" s="38" t="str">
        <f>IF(OR(B315="",COUNTIF($B$4:B315,B315)&gt;1),"",MAX($AC$3:AC314)+1)</f>
        <v/>
      </c>
      <c r="AD315" s="38" t="str">
        <f t="shared" si="42"/>
        <v/>
      </c>
      <c r="AE315" s="38" t="str">
        <f t="shared" si="43"/>
        <v/>
      </c>
      <c r="AF315" s="38" t="str">
        <f t="shared" si="44"/>
        <v/>
      </c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38" t="str">
        <f>IF(OR(A316="Автомат",A316="Дифавтомат"),IF(W316="","",COUNTIFS(Однолинейка!$H$3:$H$3000,U316,Однолинейка!$A$3:$A$3000,Щит_спец)),IF(A316="Аппарат",IF(C316="","",COUNTIFS(Однолинейка!$I$3:$I$3000,C316,Однолинейка!$A$3:$A$3000,Щит_спец)+COUNTIFS(Однолинейка!$J$3:$J$3000,C316,Однолинейка!$A$3:$A$3000,Щит_спец)+COUNTIFS(Однолинейка!$K$3:$K$3000,C316,Однолинейка!$A$3:$A$3000,Щит_спец)),IF(A316="Модуль",IF(C316="","",COUNTIFS(Однолинейка!$AW$3:$AW$3000,"?*",Однолинейка!$AI$3:$AI$3000,C316,Однолинейка!$A$3:$A$3000,Щит_спец)),IF(A316="Клемма",IF(C316="","",IF(C316=$S$7,SUMIFS(Однолинейка!$BW$3:$BW$3000,Однолинейка!$A$3:$A$3000,Щит_спец),IF(C316=$S$8,SUMIFS(Однолинейка!$BX$3:$BX$3000,Однолинейка!$A$3:$A$3000,Щит_спец),""))),""))))</f>
        <v/>
      </c>
      <c r="O316" s="74"/>
      <c r="P316" s="38" t="str">
        <f t="shared" si="36"/>
        <v/>
      </c>
      <c r="U316" s="38" t="str">
        <f t="shared" si="37"/>
        <v/>
      </c>
      <c r="V316" s="38" t="str">
        <f t="shared" si="38"/>
        <v/>
      </c>
      <c r="W316" s="38" t="str">
        <f>IF(AND(U316&lt;&gt;"",OR($S$4="(все)",B316=$S$4),IF($S$4="(все)",COUNTIF($U$4:U316,U316),COUNTIFS($U$4:U316,U316,$B$4:B316,B316))=1),MAX($W$3:W315)+1,"")</f>
        <v/>
      </c>
      <c r="X316" s="38" t="str">
        <f t="shared" si="39"/>
        <v/>
      </c>
      <c r="Y316" s="38" t="str">
        <f>IF(AND(A316="Аппарат",C316&lt;&gt;"",OR($S$5="(все)",B316=$S$5)),MAX($Y$3:Y315)+1,"")</f>
        <v/>
      </c>
      <c r="Z316" s="38" t="str">
        <f t="shared" si="40"/>
        <v/>
      </c>
      <c r="AA316" s="38" t="str">
        <f>IF(AND(A316="Модуль",C316&lt;&gt;"",OR($S$6="(все)",B316=$S$6)),MAX($AA$3:AA315)+1,"")</f>
        <v/>
      </c>
      <c r="AB316" s="38" t="str">
        <f t="shared" si="41"/>
        <v/>
      </c>
      <c r="AC316" s="38" t="str">
        <f>IF(OR(B316="",COUNTIF($B$4:B316,B316)&gt;1),"",MAX($AC$3:AC315)+1)</f>
        <v/>
      </c>
      <c r="AD316" s="38" t="str">
        <f t="shared" si="42"/>
        <v/>
      </c>
      <c r="AE316" s="38" t="str">
        <f t="shared" si="43"/>
        <v/>
      </c>
      <c r="AF316" s="38" t="str">
        <f t="shared" si="44"/>
        <v/>
      </c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38" t="str">
        <f>IF(OR(A317="Автомат",A317="Дифавтомат"),IF(W317="","",COUNTIFS(Однолинейка!$H$3:$H$3000,U317,Однолинейка!$A$3:$A$3000,Щит_спец)),IF(A317="Аппарат",IF(C317="","",COUNTIFS(Однолинейка!$I$3:$I$3000,C317,Однолинейка!$A$3:$A$3000,Щит_спец)+COUNTIFS(Однолинейка!$J$3:$J$3000,C317,Однолинейка!$A$3:$A$3000,Щит_спец)+COUNTIFS(Однолинейка!$K$3:$K$3000,C317,Однолинейка!$A$3:$A$3000,Щит_спец)),IF(A317="Модуль",IF(C317="","",COUNTIFS(Однолинейка!$AW$3:$AW$3000,"?*",Однолинейка!$AI$3:$AI$3000,C317,Однолинейка!$A$3:$A$3000,Щит_спец)),IF(A317="Клемма",IF(C317="","",IF(C317=$S$7,SUMIFS(Однолинейка!$BW$3:$BW$3000,Однолинейка!$A$3:$A$3000,Щит_спец),IF(C317=$S$8,SUMIFS(Однолинейка!$BX$3:$BX$3000,Однолинейка!$A$3:$A$3000,Щит_спец),""))),""))))</f>
        <v/>
      </c>
      <c r="O317" s="74"/>
      <c r="P317" s="38" t="str">
        <f t="shared" si="36"/>
        <v/>
      </c>
      <c r="U317" s="38" t="str">
        <f t="shared" si="37"/>
        <v/>
      </c>
      <c r="V317" s="38" t="str">
        <f t="shared" si="38"/>
        <v/>
      </c>
      <c r="W317" s="38" t="str">
        <f>IF(AND(U317&lt;&gt;"",OR($S$4="(все)",B317=$S$4),IF($S$4="(все)",COUNTIF($U$4:U317,U317),COUNTIFS($U$4:U317,U317,$B$4:B317,B317))=1),MAX($W$3:W316)+1,"")</f>
        <v/>
      </c>
      <c r="X317" s="38" t="str">
        <f t="shared" si="39"/>
        <v/>
      </c>
      <c r="Y317" s="38" t="str">
        <f>IF(AND(A317="Аппарат",C317&lt;&gt;"",OR($S$5="(все)",B317=$S$5)),MAX($Y$3:Y316)+1,"")</f>
        <v/>
      </c>
      <c r="Z317" s="38" t="str">
        <f t="shared" si="40"/>
        <v/>
      </c>
      <c r="AA317" s="38" t="str">
        <f>IF(AND(A317="Модуль",C317&lt;&gt;"",OR($S$6="(все)",B317=$S$6)),MAX($AA$3:AA316)+1,"")</f>
        <v/>
      </c>
      <c r="AB317" s="38" t="str">
        <f t="shared" si="41"/>
        <v/>
      </c>
      <c r="AC317" s="38" t="str">
        <f>IF(OR(B317="",COUNTIF($B$4:B317,B317)&gt;1),"",MAX($AC$3:AC316)+1)</f>
        <v/>
      </c>
      <c r="AD317" s="38" t="str">
        <f t="shared" si="42"/>
        <v/>
      </c>
      <c r="AE317" s="38" t="str">
        <f t="shared" si="43"/>
        <v/>
      </c>
      <c r="AF317" s="38" t="str">
        <f t="shared" si="44"/>
        <v/>
      </c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38" t="str">
        <f>IF(OR(A318="Автомат",A318="Дифавтомат"),IF(W318="","",COUNTIFS(Однолинейка!$H$3:$H$3000,U318,Однолинейка!$A$3:$A$3000,Щит_спец)),IF(A318="Аппарат",IF(C318="","",COUNTIFS(Однолинейка!$I$3:$I$3000,C318,Однолинейка!$A$3:$A$3000,Щит_спец)+COUNTIFS(Однолинейка!$J$3:$J$3000,C318,Однолинейка!$A$3:$A$3000,Щит_спец)+COUNTIFS(Однолинейка!$K$3:$K$3000,C318,Однолинейка!$A$3:$A$3000,Щит_спец)),IF(A318="Модуль",IF(C318="","",COUNTIFS(Однолинейка!$AW$3:$AW$3000,"?*",Однолинейка!$AI$3:$AI$3000,C318,Однолинейка!$A$3:$A$3000,Щит_спец)),IF(A318="Клемма",IF(C318="","",IF(C318=$S$7,SUMIFS(Однолинейка!$BW$3:$BW$3000,Однолинейка!$A$3:$A$3000,Щит_спец),IF(C318=$S$8,SUMIFS(Однолинейка!$BX$3:$BX$3000,Однолинейка!$A$3:$A$3000,Щит_спец),""))),""))))</f>
        <v/>
      </c>
      <c r="O318" s="74"/>
      <c r="P318" s="38" t="str">
        <f t="shared" si="36"/>
        <v/>
      </c>
      <c r="U318" s="38" t="str">
        <f t="shared" si="37"/>
        <v/>
      </c>
      <c r="V318" s="38" t="str">
        <f t="shared" si="38"/>
        <v/>
      </c>
      <c r="W318" s="38" t="str">
        <f>IF(AND(U318&lt;&gt;"",OR($S$4="(все)",B318=$S$4),IF($S$4="(все)",COUNTIF($U$4:U318,U318),COUNTIFS($U$4:U318,U318,$B$4:B318,B318))=1),MAX($W$3:W317)+1,"")</f>
        <v/>
      </c>
      <c r="X318" s="38" t="str">
        <f t="shared" si="39"/>
        <v/>
      </c>
      <c r="Y318" s="38" t="str">
        <f>IF(AND(A318="Аппарат",C318&lt;&gt;"",OR($S$5="(все)",B318=$S$5)),MAX($Y$3:Y317)+1,"")</f>
        <v/>
      </c>
      <c r="Z318" s="38" t="str">
        <f t="shared" si="40"/>
        <v/>
      </c>
      <c r="AA318" s="38" t="str">
        <f>IF(AND(A318="Модуль",C318&lt;&gt;"",OR($S$6="(все)",B318=$S$6)),MAX($AA$3:AA317)+1,"")</f>
        <v/>
      </c>
      <c r="AB318" s="38" t="str">
        <f t="shared" si="41"/>
        <v/>
      </c>
      <c r="AC318" s="38" t="str">
        <f>IF(OR(B318="",COUNTIF($B$4:B318,B318)&gt;1),"",MAX($AC$3:AC317)+1)</f>
        <v/>
      </c>
      <c r="AD318" s="38" t="str">
        <f t="shared" si="42"/>
        <v/>
      </c>
      <c r="AE318" s="38" t="str">
        <f t="shared" si="43"/>
        <v/>
      </c>
      <c r="AF318" s="38" t="str">
        <f t="shared" si="44"/>
        <v/>
      </c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38" t="str">
        <f>IF(OR(A319="Автомат",A319="Дифавтомат"),IF(W319="","",COUNTIFS(Однолинейка!$H$3:$H$3000,U319,Однолинейка!$A$3:$A$3000,Щит_спец)),IF(A319="Аппарат",IF(C319="","",COUNTIFS(Однолинейка!$I$3:$I$3000,C319,Однолинейка!$A$3:$A$3000,Щит_спец)+COUNTIFS(Однолинейка!$J$3:$J$3000,C319,Однолинейка!$A$3:$A$3000,Щит_спец)+COUNTIFS(Однолинейка!$K$3:$K$3000,C319,Однолинейка!$A$3:$A$3000,Щит_спец)),IF(A319="Модуль",IF(C319="","",COUNTIFS(Однолинейка!$AW$3:$AW$3000,"?*",Однолинейка!$AI$3:$AI$3000,C319,Однолинейка!$A$3:$A$3000,Щит_спец)),IF(A319="Клемма",IF(C319="","",IF(C319=$S$7,SUMIFS(Однолинейка!$BW$3:$BW$3000,Однолинейка!$A$3:$A$3000,Щит_спец),IF(C319=$S$8,SUMIFS(Однолинейка!$BX$3:$BX$3000,Однолинейка!$A$3:$A$3000,Щит_спец),""))),""))))</f>
        <v/>
      </c>
      <c r="O319" s="74"/>
      <c r="P319" s="38" t="str">
        <f t="shared" si="36"/>
        <v/>
      </c>
      <c r="U319" s="38" t="str">
        <f t="shared" si="37"/>
        <v/>
      </c>
      <c r="V319" s="38" t="str">
        <f t="shared" si="38"/>
        <v/>
      </c>
      <c r="W319" s="38" t="str">
        <f>IF(AND(U319&lt;&gt;"",OR($S$4="(все)",B319=$S$4),IF($S$4="(все)",COUNTIF($U$4:U319,U319),COUNTIFS($U$4:U319,U319,$B$4:B319,B319))=1),MAX($W$3:W318)+1,"")</f>
        <v/>
      </c>
      <c r="X319" s="38" t="str">
        <f t="shared" si="39"/>
        <v/>
      </c>
      <c r="Y319" s="38" t="str">
        <f>IF(AND(A319="Аппарат",C319&lt;&gt;"",OR($S$5="(все)",B319=$S$5)),MAX($Y$3:Y318)+1,"")</f>
        <v/>
      </c>
      <c r="Z319" s="38" t="str">
        <f t="shared" si="40"/>
        <v/>
      </c>
      <c r="AA319" s="38" t="str">
        <f>IF(AND(A319="Модуль",C319&lt;&gt;"",OR($S$6="(все)",B319=$S$6)),MAX($AA$3:AA318)+1,"")</f>
        <v/>
      </c>
      <c r="AB319" s="38" t="str">
        <f t="shared" si="41"/>
        <v/>
      </c>
      <c r="AC319" s="38" t="str">
        <f>IF(OR(B319="",COUNTIF($B$4:B319,B319)&gt;1),"",MAX($AC$3:AC318)+1)</f>
        <v/>
      </c>
      <c r="AD319" s="38" t="str">
        <f t="shared" si="42"/>
        <v/>
      </c>
      <c r="AE319" s="38" t="str">
        <f t="shared" si="43"/>
        <v/>
      </c>
      <c r="AF319" s="38" t="str">
        <f t="shared" si="44"/>
        <v/>
      </c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38" t="str">
        <f>IF(OR(A320="Автомат",A320="Дифавтомат"),IF(W320="","",COUNTIFS(Однолинейка!$H$3:$H$3000,U320,Однолинейка!$A$3:$A$3000,Щит_спец)),IF(A320="Аппарат",IF(C320="","",COUNTIFS(Однолинейка!$I$3:$I$3000,C320,Однолинейка!$A$3:$A$3000,Щит_спец)+COUNTIFS(Однолинейка!$J$3:$J$3000,C320,Однолинейка!$A$3:$A$3000,Щит_спец)+COUNTIFS(Однолинейка!$K$3:$K$3000,C320,Однолинейка!$A$3:$A$3000,Щит_спец)),IF(A320="Модуль",IF(C320="","",COUNTIFS(Однолинейка!$AW$3:$AW$3000,"?*",Однолинейка!$AI$3:$AI$3000,C320,Однолинейка!$A$3:$A$3000,Щит_спец)),IF(A320="Клемма",IF(C320="","",IF(C320=$S$7,SUMIFS(Однолинейка!$BW$3:$BW$3000,Однолинейка!$A$3:$A$3000,Щит_спец),IF(C320=$S$8,SUMIFS(Однолинейка!$BX$3:$BX$3000,Однолинейка!$A$3:$A$3000,Щит_спец),""))),""))))</f>
        <v/>
      </c>
      <c r="O320" s="74"/>
      <c r="P320" s="38" t="str">
        <f t="shared" si="36"/>
        <v/>
      </c>
      <c r="U320" s="38" t="str">
        <f t="shared" si="37"/>
        <v/>
      </c>
      <c r="V320" s="38" t="str">
        <f t="shared" si="38"/>
        <v/>
      </c>
      <c r="W320" s="38" t="str">
        <f>IF(AND(U320&lt;&gt;"",OR($S$4="(все)",B320=$S$4),IF($S$4="(все)",COUNTIF($U$4:U320,U320),COUNTIFS($U$4:U320,U320,$B$4:B320,B320))=1),MAX($W$3:W319)+1,"")</f>
        <v/>
      </c>
      <c r="X320" s="38" t="str">
        <f t="shared" si="39"/>
        <v/>
      </c>
      <c r="Y320" s="38" t="str">
        <f>IF(AND(A320="Аппарат",C320&lt;&gt;"",OR($S$5="(все)",B320=$S$5)),MAX($Y$3:Y319)+1,"")</f>
        <v/>
      </c>
      <c r="Z320" s="38" t="str">
        <f t="shared" si="40"/>
        <v/>
      </c>
      <c r="AA320" s="38" t="str">
        <f>IF(AND(A320="Модуль",C320&lt;&gt;"",OR($S$6="(все)",B320=$S$6)),MAX($AA$3:AA319)+1,"")</f>
        <v/>
      </c>
      <c r="AB320" s="38" t="str">
        <f t="shared" si="41"/>
        <v/>
      </c>
      <c r="AC320" s="38" t="str">
        <f>IF(OR(B320="",COUNTIF($B$4:B320,B320)&gt;1),"",MAX($AC$3:AC319)+1)</f>
        <v/>
      </c>
      <c r="AD320" s="38" t="str">
        <f t="shared" si="42"/>
        <v/>
      </c>
      <c r="AE320" s="38" t="str">
        <f t="shared" si="43"/>
        <v/>
      </c>
      <c r="AF320" s="38" t="str">
        <f t="shared" si="44"/>
        <v/>
      </c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38" t="str">
        <f>IF(OR(A321="Автомат",A321="Дифавтомат"),IF(W321="","",COUNTIFS(Однолинейка!$H$3:$H$3000,U321,Однолинейка!$A$3:$A$3000,Щит_спец)),IF(A321="Аппарат",IF(C321="","",COUNTIFS(Однолинейка!$I$3:$I$3000,C321,Однолинейка!$A$3:$A$3000,Щит_спец)+COUNTIFS(Однолинейка!$J$3:$J$3000,C321,Однолинейка!$A$3:$A$3000,Щит_спец)+COUNTIFS(Однолинейка!$K$3:$K$3000,C321,Однолинейка!$A$3:$A$3000,Щит_спец)),IF(A321="Модуль",IF(C321="","",COUNTIFS(Однолинейка!$AW$3:$AW$3000,"?*",Однолинейка!$AI$3:$AI$3000,C321,Однолинейка!$A$3:$A$3000,Щит_спец)),IF(A321="Клемма",IF(C321="","",IF(C321=$S$7,SUMIFS(Однолинейка!$BW$3:$BW$3000,Однолинейка!$A$3:$A$3000,Щит_спец),IF(C321=$S$8,SUMIFS(Однолинейка!$BX$3:$BX$3000,Однолинейка!$A$3:$A$3000,Щит_спец),""))),""))))</f>
        <v/>
      </c>
      <c r="O321" s="74"/>
      <c r="P321" s="38" t="str">
        <f t="shared" si="36"/>
        <v/>
      </c>
      <c r="U321" s="38" t="str">
        <f t="shared" si="37"/>
        <v/>
      </c>
      <c r="V321" s="38" t="str">
        <f t="shared" si="38"/>
        <v/>
      </c>
      <c r="W321" s="38" t="str">
        <f>IF(AND(U321&lt;&gt;"",OR($S$4="(все)",B321=$S$4),IF($S$4="(все)",COUNTIF($U$4:U321,U321),COUNTIFS($U$4:U321,U321,$B$4:B321,B321))=1),MAX($W$3:W320)+1,"")</f>
        <v/>
      </c>
      <c r="X321" s="38" t="str">
        <f t="shared" si="39"/>
        <v/>
      </c>
      <c r="Y321" s="38" t="str">
        <f>IF(AND(A321="Аппарат",C321&lt;&gt;"",OR($S$5="(все)",B321=$S$5)),MAX($Y$3:Y320)+1,"")</f>
        <v/>
      </c>
      <c r="Z321" s="38" t="str">
        <f t="shared" si="40"/>
        <v/>
      </c>
      <c r="AA321" s="38" t="str">
        <f>IF(AND(A321="Модуль",C321&lt;&gt;"",OR($S$6="(все)",B321=$S$6)),MAX($AA$3:AA320)+1,"")</f>
        <v/>
      </c>
      <c r="AB321" s="38" t="str">
        <f t="shared" si="41"/>
        <v/>
      </c>
      <c r="AC321" s="38" t="str">
        <f>IF(OR(B321="",COUNTIF($B$4:B321,B321)&gt;1),"",MAX($AC$3:AC320)+1)</f>
        <v/>
      </c>
      <c r="AD321" s="38" t="str">
        <f t="shared" si="42"/>
        <v/>
      </c>
      <c r="AE321" s="38" t="str">
        <f t="shared" si="43"/>
        <v/>
      </c>
      <c r="AF321" s="38" t="str">
        <f t="shared" si="44"/>
        <v/>
      </c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38" t="str">
        <f>IF(OR(A322="Автомат",A322="Дифавтомат"),IF(W322="","",COUNTIFS(Однолинейка!$H$3:$H$3000,U322,Однолинейка!$A$3:$A$3000,Щит_спец)),IF(A322="Аппарат",IF(C322="","",COUNTIFS(Однолинейка!$I$3:$I$3000,C322,Однолинейка!$A$3:$A$3000,Щит_спец)+COUNTIFS(Однолинейка!$J$3:$J$3000,C322,Однолинейка!$A$3:$A$3000,Щит_спец)+COUNTIFS(Однолинейка!$K$3:$K$3000,C322,Однолинейка!$A$3:$A$3000,Щит_спец)),IF(A322="Модуль",IF(C322="","",COUNTIFS(Однолинейка!$AW$3:$AW$3000,"?*",Однолинейка!$AI$3:$AI$3000,C322,Однолинейка!$A$3:$A$3000,Щит_спец)),IF(A322="Клемма",IF(C322="","",IF(C322=$S$7,SUMIFS(Однолинейка!$BW$3:$BW$3000,Однолинейка!$A$3:$A$3000,Щит_спец),IF(C322=$S$8,SUMIFS(Однолинейка!$BX$3:$BX$3000,Однолинейка!$A$3:$A$3000,Щит_спец),""))),""))))</f>
        <v/>
      </c>
      <c r="O322" s="74"/>
      <c r="P322" s="38" t="str">
        <f t="shared" si="36"/>
        <v/>
      </c>
      <c r="U322" s="38" t="str">
        <f t="shared" si="37"/>
        <v/>
      </c>
      <c r="V322" s="38" t="str">
        <f t="shared" si="38"/>
        <v/>
      </c>
      <c r="W322" s="38" t="str">
        <f>IF(AND(U322&lt;&gt;"",OR($S$4="(все)",B322=$S$4),IF($S$4="(все)",COUNTIF($U$4:U322,U322),COUNTIFS($U$4:U322,U322,$B$4:B322,B322))=1),MAX($W$3:W321)+1,"")</f>
        <v/>
      </c>
      <c r="X322" s="38" t="str">
        <f t="shared" si="39"/>
        <v/>
      </c>
      <c r="Y322" s="38" t="str">
        <f>IF(AND(A322="Аппарат",C322&lt;&gt;"",OR($S$5="(все)",B322=$S$5)),MAX($Y$3:Y321)+1,"")</f>
        <v/>
      </c>
      <c r="Z322" s="38" t="str">
        <f t="shared" si="40"/>
        <v/>
      </c>
      <c r="AA322" s="38" t="str">
        <f>IF(AND(A322="Модуль",C322&lt;&gt;"",OR($S$6="(все)",B322=$S$6)),MAX($AA$3:AA321)+1,"")</f>
        <v/>
      </c>
      <c r="AB322" s="38" t="str">
        <f t="shared" si="41"/>
        <v/>
      </c>
      <c r="AC322" s="38" t="str">
        <f>IF(OR(B322="",COUNTIF($B$4:B322,B322)&gt;1),"",MAX($AC$3:AC321)+1)</f>
        <v/>
      </c>
      <c r="AD322" s="38" t="str">
        <f t="shared" si="42"/>
        <v/>
      </c>
      <c r="AE322" s="38" t="str">
        <f t="shared" si="43"/>
        <v/>
      </c>
      <c r="AF322" s="38" t="str">
        <f t="shared" si="44"/>
        <v/>
      </c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38" t="str">
        <f>IF(OR(A323="Автомат",A323="Дифавтомат"),IF(W323="","",COUNTIFS(Однолинейка!$H$3:$H$3000,U323,Однолинейка!$A$3:$A$3000,Щит_спец)),IF(A323="Аппарат",IF(C323="","",COUNTIFS(Однолинейка!$I$3:$I$3000,C323,Однолинейка!$A$3:$A$3000,Щит_спец)+COUNTIFS(Однолинейка!$J$3:$J$3000,C323,Однолинейка!$A$3:$A$3000,Щит_спец)+COUNTIFS(Однолинейка!$K$3:$K$3000,C323,Однолинейка!$A$3:$A$3000,Щит_спец)),IF(A323="Модуль",IF(C323="","",COUNTIFS(Однолинейка!$AW$3:$AW$3000,"?*",Однолинейка!$AI$3:$AI$3000,C323,Однолинейка!$A$3:$A$3000,Щит_спец)),IF(A323="Клемма",IF(C323="","",IF(C323=$S$7,SUMIFS(Однолинейка!$BW$3:$BW$3000,Однолинейка!$A$3:$A$3000,Щит_спец),IF(C323=$S$8,SUMIFS(Однолинейка!$BX$3:$BX$3000,Однолинейка!$A$3:$A$3000,Щит_спец),""))),""))))</f>
        <v/>
      </c>
      <c r="O323" s="74"/>
      <c r="P323" s="38" t="str">
        <f t="shared" si="36"/>
        <v/>
      </c>
      <c r="U323" s="38" t="str">
        <f t="shared" si="37"/>
        <v/>
      </c>
      <c r="V323" s="38" t="str">
        <f t="shared" si="38"/>
        <v/>
      </c>
      <c r="W323" s="38" t="str">
        <f>IF(AND(U323&lt;&gt;"",OR($S$4="(все)",B323=$S$4),IF($S$4="(все)",COUNTIF($U$4:U323,U323),COUNTIFS($U$4:U323,U323,$B$4:B323,B323))=1),MAX($W$3:W322)+1,"")</f>
        <v/>
      </c>
      <c r="X323" s="38" t="str">
        <f t="shared" si="39"/>
        <v/>
      </c>
      <c r="Y323" s="38" t="str">
        <f>IF(AND(A323="Аппарат",C323&lt;&gt;"",OR($S$5="(все)",B323=$S$5)),MAX($Y$3:Y322)+1,"")</f>
        <v/>
      </c>
      <c r="Z323" s="38" t="str">
        <f t="shared" si="40"/>
        <v/>
      </c>
      <c r="AA323" s="38" t="str">
        <f>IF(AND(A323="Модуль",C323&lt;&gt;"",OR($S$6="(все)",B323=$S$6)),MAX($AA$3:AA322)+1,"")</f>
        <v/>
      </c>
      <c r="AB323" s="38" t="str">
        <f t="shared" si="41"/>
        <v/>
      </c>
      <c r="AC323" s="38" t="str">
        <f>IF(OR(B323="",COUNTIF($B$4:B323,B323)&gt;1),"",MAX($AC$3:AC322)+1)</f>
        <v/>
      </c>
      <c r="AD323" s="38" t="str">
        <f t="shared" si="42"/>
        <v/>
      </c>
      <c r="AE323" s="38" t="str">
        <f t="shared" si="43"/>
        <v/>
      </c>
      <c r="AF323" s="38" t="str">
        <f t="shared" si="44"/>
        <v/>
      </c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38" t="str">
        <f>IF(OR(A324="Автомат",A324="Дифавтомат"),IF(W324="","",COUNTIFS(Однолинейка!$H$3:$H$3000,U324,Однолинейка!$A$3:$A$3000,Щит_спец)),IF(A324="Аппарат",IF(C324="","",COUNTIFS(Однолинейка!$I$3:$I$3000,C324,Однолинейка!$A$3:$A$3000,Щит_спец)+COUNTIFS(Однолинейка!$J$3:$J$3000,C324,Однолинейка!$A$3:$A$3000,Щит_спец)+COUNTIFS(Однолинейка!$K$3:$K$3000,C324,Однолинейка!$A$3:$A$3000,Щит_спец)),IF(A324="Модуль",IF(C324="","",COUNTIFS(Однолинейка!$AW$3:$AW$3000,"?*",Однолинейка!$AI$3:$AI$3000,C324,Однолинейка!$A$3:$A$3000,Щит_спец)),IF(A324="Клемма",IF(C324="","",IF(C324=$S$7,SUMIFS(Однолинейка!$BW$3:$BW$3000,Однолинейка!$A$3:$A$3000,Щит_спец),IF(C324=$S$8,SUMIFS(Однолинейка!$BX$3:$BX$3000,Однолинейка!$A$3:$A$3000,Щит_спец),""))),""))))</f>
        <v/>
      </c>
      <c r="O324" s="74"/>
      <c r="P324" s="38" t="str">
        <f t="shared" ref="P324:P387" si="45">IF(COUNT(N324,O324)=0,"",SUM(N324,O324))</f>
        <v/>
      </c>
      <c r="U324" s="38" t="str">
        <f t="shared" ref="U324:U387" si="46">IF(OR(A324="Автомат",A324="Дифавтомат"),I324&amp;" С"&amp;J324&amp;"А"&amp;IF(K324="да"," 30мА",IF(ISNUMBER(K324)," "&amp;K324&amp;"мА","")),"")</f>
        <v/>
      </c>
      <c r="V324" s="38" t="str">
        <f t="shared" ref="V324:V387" si="47">IF(U324="","",B324&amp;"|"&amp;U324)</f>
        <v/>
      </c>
      <c r="W324" s="38" t="str">
        <f>IF(AND(U324&lt;&gt;"",OR($S$4="(все)",B324=$S$4),IF($S$4="(все)",COUNTIF($U$4:U324,U324),COUNTIFS($U$4:U324,U324,$B$4:B324,B324))=1),MAX($W$3:W323)+1,"")</f>
        <v/>
      </c>
      <c r="X324" s="38" t="str">
        <f t="shared" ref="X324:X387" si="48">IFERROR(INDEX($U$4:$U$500,MATCH(ROW()-3,$W$4:$W$500,0)),"")</f>
        <v/>
      </c>
      <c r="Y324" s="38" t="str">
        <f>IF(AND(A324="Аппарат",C324&lt;&gt;"",OR($S$5="(все)",B324=$S$5)),MAX($Y$3:Y323)+1,"")</f>
        <v/>
      </c>
      <c r="Z324" s="38" t="str">
        <f t="shared" ref="Z324:Z387" si="49">IFERROR(INDEX($C$4:$C$500,MATCH(ROW()-3,$Y$4:$Y$500,0)),"")</f>
        <v/>
      </c>
      <c r="AA324" s="38" t="str">
        <f>IF(AND(A324="Модуль",C324&lt;&gt;"",OR($S$6="(все)",B324=$S$6)),MAX($AA$3:AA323)+1,"")</f>
        <v/>
      </c>
      <c r="AB324" s="38" t="str">
        <f t="shared" ref="AB324:AB387" si="50">IFERROR(INDEX($C$4:$C$500,MATCH(ROW()-3,$AA$4:$AA$500,0)),"")</f>
        <v/>
      </c>
      <c r="AC324" s="38" t="str">
        <f>IF(OR(B324="",COUNTIF($B$4:B324,B324)&gt;1),"",MAX($AC$3:AC323)+1)</f>
        <v/>
      </c>
      <c r="AD324" s="38" t="str">
        <f t="shared" ref="AD324:AD387" si="51">IFERROR(INDEX($B$4:$B$500,MATCH(ROW()-3,$AC$4:$AC$500,0)),"")</f>
        <v/>
      </c>
      <c r="AE324" s="38" t="str">
        <f t="shared" ref="AE324:AE387" si="52">IF(AND(A324&lt;&gt;"",N(P324)&gt;0),IFERROR(MATCH(A324,$R$12:$R$25,0),99)*1000+ROW(),"")</f>
        <v/>
      </c>
      <c r="AF324" s="38" t="str">
        <f t="shared" ref="AF324:AF387" si="53">IF(AE324="","",COUNTIF($AE$4:$AE$500,"&lt;="&amp;AE324))</f>
        <v/>
      </c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38" t="str">
        <f>IF(OR(A325="Автомат",A325="Дифавтомат"),IF(W325="","",COUNTIFS(Однолинейка!$H$3:$H$3000,U325,Однолинейка!$A$3:$A$3000,Щит_спец)),IF(A325="Аппарат",IF(C325="","",COUNTIFS(Однолинейка!$I$3:$I$3000,C325,Однолинейка!$A$3:$A$3000,Щит_спец)+COUNTIFS(Однолинейка!$J$3:$J$3000,C325,Однолинейка!$A$3:$A$3000,Щит_спец)+COUNTIFS(Однолинейка!$K$3:$K$3000,C325,Однолинейка!$A$3:$A$3000,Щит_спец)),IF(A325="Модуль",IF(C325="","",COUNTIFS(Однолинейка!$AW$3:$AW$3000,"?*",Однолинейка!$AI$3:$AI$3000,C325,Однолинейка!$A$3:$A$3000,Щит_спец)),IF(A325="Клемма",IF(C325="","",IF(C325=$S$7,SUMIFS(Однолинейка!$BW$3:$BW$3000,Однолинейка!$A$3:$A$3000,Щит_спец),IF(C325=$S$8,SUMIFS(Однолинейка!$BX$3:$BX$3000,Однолинейка!$A$3:$A$3000,Щит_спец),""))),""))))</f>
        <v/>
      </c>
      <c r="O325" s="74"/>
      <c r="P325" s="38" t="str">
        <f t="shared" si="45"/>
        <v/>
      </c>
      <c r="U325" s="38" t="str">
        <f t="shared" si="46"/>
        <v/>
      </c>
      <c r="V325" s="38" t="str">
        <f t="shared" si="47"/>
        <v/>
      </c>
      <c r="W325" s="38" t="str">
        <f>IF(AND(U325&lt;&gt;"",OR($S$4="(все)",B325=$S$4),IF($S$4="(все)",COUNTIF($U$4:U325,U325),COUNTIFS($U$4:U325,U325,$B$4:B325,B325))=1),MAX($W$3:W324)+1,"")</f>
        <v/>
      </c>
      <c r="X325" s="38" t="str">
        <f t="shared" si="48"/>
        <v/>
      </c>
      <c r="Y325" s="38" t="str">
        <f>IF(AND(A325="Аппарат",C325&lt;&gt;"",OR($S$5="(все)",B325=$S$5)),MAX($Y$3:Y324)+1,"")</f>
        <v/>
      </c>
      <c r="Z325" s="38" t="str">
        <f t="shared" si="49"/>
        <v/>
      </c>
      <c r="AA325" s="38" t="str">
        <f>IF(AND(A325="Модуль",C325&lt;&gt;"",OR($S$6="(все)",B325=$S$6)),MAX($AA$3:AA324)+1,"")</f>
        <v/>
      </c>
      <c r="AB325" s="38" t="str">
        <f t="shared" si="50"/>
        <v/>
      </c>
      <c r="AC325" s="38" t="str">
        <f>IF(OR(B325="",COUNTIF($B$4:B325,B325)&gt;1),"",MAX($AC$3:AC324)+1)</f>
        <v/>
      </c>
      <c r="AD325" s="38" t="str">
        <f t="shared" si="51"/>
        <v/>
      </c>
      <c r="AE325" s="38" t="str">
        <f t="shared" si="52"/>
        <v/>
      </c>
      <c r="AF325" s="38" t="str">
        <f t="shared" si="53"/>
        <v/>
      </c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38" t="str">
        <f>IF(OR(A326="Автомат",A326="Дифавтомат"),IF(W326="","",COUNTIFS(Однолинейка!$H$3:$H$3000,U326,Однолинейка!$A$3:$A$3000,Щит_спец)),IF(A326="Аппарат",IF(C326="","",COUNTIFS(Однолинейка!$I$3:$I$3000,C326,Однолинейка!$A$3:$A$3000,Щит_спец)+COUNTIFS(Однолинейка!$J$3:$J$3000,C326,Однолинейка!$A$3:$A$3000,Щит_спец)+COUNTIFS(Однолинейка!$K$3:$K$3000,C326,Однолинейка!$A$3:$A$3000,Щит_спец)),IF(A326="Модуль",IF(C326="","",COUNTIFS(Однолинейка!$AW$3:$AW$3000,"?*",Однолинейка!$AI$3:$AI$3000,C326,Однолинейка!$A$3:$A$3000,Щит_спец)),IF(A326="Клемма",IF(C326="","",IF(C326=$S$7,SUMIFS(Однолинейка!$BW$3:$BW$3000,Однолинейка!$A$3:$A$3000,Щит_спец),IF(C326=$S$8,SUMIFS(Однолинейка!$BX$3:$BX$3000,Однолинейка!$A$3:$A$3000,Щит_спец),""))),""))))</f>
        <v/>
      </c>
      <c r="O326" s="74"/>
      <c r="P326" s="38" t="str">
        <f t="shared" si="45"/>
        <v/>
      </c>
      <c r="U326" s="38" t="str">
        <f t="shared" si="46"/>
        <v/>
      </c>
      <c r="V326" s="38" t="str">
        <f t="shared" si="47"/>
        <v/>
      </c>
      <c r="W326" s="38" t="str">
        <f>IF(AND(U326&lt;&gt;"",OR($S$4="(все)",B326=$S$4),IF($S$4="(все)",COUNTIF($U$4:U326,U326),COUNTIFS($U$4:U326,U326,$B$4:B326,B326))=1),MAX($W$3:W325)+1,"")</f>
        <v/>
      </c>
      <c r="X326" s="38" t="str">
        <f t="shared" si="48"/>
        <v/>
      </c>
      <c r="Y326" s="38" t="str">
        <f>IF(AND(A326="Аппарат",C326&lt;&gt;"",OR($S$5="(все)",B326=$S$5)),MAX($Y$3:Y325)+1,"")</f>
        <v/>
      </c>
      <c r="Z326" s="38" t="str">
        <f t="shared" si="49"/>
        <v/>
      </c>
      <c r="AA326" s="38" t="str">
        <f>IF(AND(A326="Модуль",C326&lt;&gt;"",OR($S$6="(все)",B326=$S$6)),MAX($AA$3:AA325)+1,"")</f>
        <v/>
      </c>
      <c r="AB326" s="38" t="str">
        <f t="shared" si="50"/>
        <v/>
      </c>
      <c r="AC326" s="38" t="str">
        <f>IF(OR(B326="",COUNTIF($B$4:B326,B326)&gt;1),"",MAX($AC$3:AC325)+1)</f>
        <v/>
      </c>
      <c r="AD326" s="38" t="str">
        <f t="shared" si="51"/>
        <v/>
      </c>
      <c r="AE326" s="38" t="str">
        <f t="shared" si="52"/>
        <v/>
      </c>
      <c r="AF326" s="38" t="str">
        <f t="shared" si="53"/>
        <v/>
      </c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38" t="str">
        <f>IF(OR(A327="Автомат",A327="Дифавтомат"),IF(W327="","",COUNTIFS(Однолинейка!$H$3:$H$3000,U327,Однолинейка!$A$3:$A$3000,Щит_спец)),IF(A327="Аппарат",IF(C327="","",COUNTIFS(Однолинейка!$I$3:$I$3000,C327,Однолинейка!$A$3:$A$3000,Щит_спец)+COUNTIFS(Однолинейка!$J$3:$J$3000,C327,Однолинейка!$A$3:$A$3000,Щит_спец)+COUNTIFS(Однолинейка!$K$3:$K$3000,C327,Однолинейка!$A$3:$A$3000,Щит_спец)),IF(A327="Модуль",IF(C327="","",COUNTIFS(Однолинейка!$AW$3:$AW$3000,"?*",Однолинейка!$AI$3:$AI$3000,C327,Однолинейка!$A$3:$A$3000,Щит_спец)),IF(A327="Клемма",IF(C327="","",IF(C327=$S$7,SUMIFS(Однолинейка!$BW$3:$BW$3000,Однолинейка!$A$3:$A$3000,Щит_спец),IF(C327=$S$8,SUMIFS(Однолинейка!$BX$3:$BX$3000,Однолинейка!$A$3:$A$3000,Щит_спец),""))),""))))</f>
        <v/>
      </c>
      <c r="O327" s="74"/>
      <c r="P327" s="38" t="str">
        <f t="shared" si="45"/>
        <v/>
      </c>
      <c r="U327" s="38" t="str">
        <f t="shared" si="46"/>
        <v/>
      </c>
      <c r="V327" s="38" t="str">
        <f t="shared" si="47"/>
        <v/>
      </c>
      <c r="W327" s="38" t="str">
        <f>IF(AND(U327&lt;&gt;"",OR($S$4="(все)",B327=$S$4),IF($S$4="(все)",COUNTIF($U$4:U327,U327),COUNTIFS($U$4:U327,U327,$B$4:B327,B327))=1),MAX($W$3:W326)+1,"")</f>
        <v/>
      </c>
      <c r="X327" s="38" t="str">
        <f t="shared" si="48"/>
        <v/>
      </c>
      <c r="Y327" s="38" t="str">
        <f>IF(AND(A327="Аппарат",C327&lt;&gt;"",OR($S$5="(все)",B327=$S$5)),MAX($Y$3:Y326)+1,"")</f>
        <v/>
      </c>
      <c r="Z327" s="38" t="str">
        <f t="shared" si="49"/>
        <v/>
      </c>
      <c r="AA327" s="38" t="str">
        <f>IF(AND(A327="Модуль",C327&lt;&gt;"",OR($S$6="(все)",B327=$S$6)),MAX($AA$3:AA326)+1,"")</f>
        <v/>
      </c>
      <c r="AB327" s="38" t="str">
        <f t="shared" si="50"/>
        <v/>
      </c>
      <c r="AC327" s="38" t="str">
        <f>IF(OR(B327="",COUNTIF($B$4:B327,B327)&gt;1),"",MAX($AC$3:AC326)+1)</f>
        <v/>
      </c>
      <c r="AD327" s="38" t="str">
        <f t="shared" si="51"/>
        <v/>
      </c>
      <c r="AE327" s="38" t="str">
        <f t="shared" si="52"/>
        <v/>
      </c>
      <c r="AF327" s="38" t="str">
        <f t="shared" si="53"/>
        <v/>
      </c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38" t="str">
        <f>IF(OR(A328="Автомат",A328="Дифавтомат"),IF(W328="","",COUNTIFS(Однолинейка!$H$3:$H$3000,U328,Однолинейка!$A$3:$A$3000,Щит_спец)),IF(A328="Аппарат",IF(C328="","",COUNTIFS(Однолинейка!$I$3:$I$3000,C328,Однолинейка!$A$3:$A$3000,Щит_спец)+COUNTIFS(Однолинейка!$J$3:$J$3000,C328,Однолинейка!$A$3:$A$3000,Щит_спец)+COUNTIFS(Однолинейка!$K$3:$K$3000,C328,Однолинейка!$A$3:$A$3000,Щит_спец)),IF(A328="Модуль",IF(C328="","",COUNTIFS(Однолинейка!$AW$3:$AW$3000,"?*",Однолинейка!$AI$3:$AI$3000,C328,Однолинейка!$A$3:$A$3000,Щит_спец)),IF(A328="Клемма",IF(C328="","",IF(C328=$S$7,SUMIFS(Однолинейка!$BW$3:$BW$3000,Однолинейка!$A$3:$A$3000,Щит_спец),IF(C328=$S$8,SUMIFS(Однолинейка!$BX$3:$BX$3000,Однолинейка!$A$3:$A$3000,Щит_спец),""))),""))))</f>
        <v/>
      </c>
      <c r="O328" s="74"/>
      <c r="P328" s="38" t="str">
        <f t="shared" si="45"/>
        <v/>
      </c>
      <c r="U328" s="38" t="str">
        <f t="shared" si="46"/>
        <v/>
      </c>
      <c r="V328" s="38" t="str">
        <f t="shared" si="47"/>
        <v/>
      </c>
      <c r="W328" s="38" t="str">
        <f>IF(AND(U328&lt;&gt;"",OR($S$4="(все)",B328=$S$4),IF($S$4="(все)",COUNTIF($U$4:U328,U328),COUNTIFS($U$4:U328,U328,$B$4:B328,B328))=1),MAX($W$3:W327)+1,"")</f>
        <v/>
      </c>
      <c r="X328" s="38" t="str">
        <f t="shared" si="48"/>
        <v/>
      </c>
      <c r="Y328" s="38" t="str">
        <f>IF(AND(A328="Аппарат",C328&lt;&gt;"",OR($S$5="(все)",B328=$S$5)),MAX($Y$3:Y327)+1,"")</f>
        <v/>
      </c>
      <c r="Z328" s="38" t="str">
        <f t="shared" si="49"/>
        <v/>
      </c>
      <c r="AA328" s="38" t="str">
        <f>IF(AND(A328="Модуль",C328&lt;&gt;"",OR($S$6="(все)",B328=$S$6)),MAX($AA$3:AA327)+1,"")</f>
        <v/>
      </c>
      <c r="AB328" s="38" t="str">
        <f t="shared" si="50"/>
        <v/>
      </c>
      <c r="AC328" s="38" t="str">
        <f>IF(OR(B328="",COUNTIF($B$4:B328,B328)&gt;1),"",MAX($AC$3:AC327)+1)</f>
        <v/>
      </c>
      <c r="AD328" s="38" t="str">
        <f t="shared" si="51"/>
        <v/>
      </c>
      <c r="AE328" s="38" t="str">
        <f t="shared" si="52"/>
        <v/>
      </c>
      <c r="AF328" s="38" t="str">
        <f t="shared" si="53"/>
        <v/>
      </c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38" t="str">
        <f>IF(OR(A329="Автомат",A329="Дифавтомат"),IF(W329="","",COUNTIFS(Однолинейка!$H$3:$H$3000,U329,Однолинейка!$A$3:$A$3000,Щит_спец)),IF(A329="Аппарат",IF(C329="","",COUNTIFS(Однолинейка!$I$3:$I$3000,C329,Однолинейка!$A$3:$A$3000,Щит_спец)+COUNTIFS(Однолинейка!$J$3:$J$3000,C329,Однолинейка!$A$3:$A$3000,Щит_спец)+COUNTIFS(Однолинейка!$K$3:$K$3000,C329,Однолинейка!$A$3:$A$3000,Щит_спец)),IF(A329="Модуль",IF(C329="","",COUNTIFS(Однолинейка!$AW$3:$AW$3000,"?*",Однолинейка!$AI$3:$AI$3000,C329,Однолинейка!$A$3:$A$3000,Щит_спец)),IF(A329="Клемма",IF(C329="","",IF(C329=$S$7,SUMIFS(Однолинейка!$BW$3:$BW$3000,Однолинейка!$A$3:$A$3000,Щит_спец),IF(C329=$S$8,SUMIFS(Однолинейка!$BX$3:$BX$3000,Однолинейка!$A$3:$A$3000,Щит_спец),""))),""))))</f>
        <v/>
      </c>
      <c r="O329" s="74"/>
      <c r="P329" s="38" t="str">
        <f t="shared" si="45"/>
        <v/>
      </c>
      <c r="U329" s="38" t="str">
        <f t="shared" si="46"/>
        <v/>
      </c>
      <c r="V329" s="38" t="str">
        <f t="shared" si="47"/>
        <v/>
      </c>
      <c r="W329" s="38" t="str">
        <f>IF(AND(U329&lt;&gt;"",OR($S$4="(все)",B329=$S$4),IF($S$4="(все)",COUNTIF($U$4:U329,U329),COUNTIFS($U$4:U329,U329,$B$4:B329,B329))=1),MAX($W$3:W328)+1,"")</f>
        <v/>
      </c>
      <c r="X329" s="38" t="str">
        <f t="shared" si="48"/>
        <v/>
      </c>
      <c r="Y329" s="38" t="str">
        <f>IF(AND(A329="Аппарат",C329&lt;&gt;"",OR($S$5="(все)",B329=$S$5)),MAX($Y$3:Y328)+1,"")</f>
        <v/>
      </c>
      <c r="Z329" s="38" t="str">
        <f t="shared" si="49"/>
        <v/>
      </c>
      <c r="AA329" s="38" t="str">
        <f>IF(AND(A329="Модуль",C329&lt;&gt;"",OR($S$6="(все)",B329=$S$6)),MAX($AA$3:AA328)+1,"")</f>
        <v/>
      </c>
      <c r="AB329" s="38" t="str">
        <f t="shared" si="50"/>
        <v/>
      </c>
      <c r="AC329" s="38" t="str">
        <f>IF(OR(B329="",COUNTIF($B$4:B329,B329)&gt;1),"",MAX($AC$3:AC328)+1)</f>
        <v/>
      </c>
      <c r="AD329" s="38" t="str">
        <f t="shared" si="51"/>
        <v/>
      </c>
      <c r="AE329" s="38" t="str">
        <f t="shared" si="52"/>
        <v/>
      </c>
      <c r="AF329" s="38" t="str">
        <f t="shared" si="53"/>
        <v/>
      </c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38" t="str">
        <f>IF(OR(A330="Автомат",A330="Дифавтомат"),IF(W330="","",COUNTIFS(Однолинейка!$H$3:$H$3000,U330,Однолинейка!$A$3:$A$3000,Щит_спец)),IF(A330="Аппарат",IF(C330="","",COUNTIFS(Однолинейка!$I$3:$I$3000,C330,Однолинейка!$A$3:$A$3000,Щит_спец)+COUNTIFS(Однолинейка!$J$3:$J$3000,C330,Однолинейка!$A$3:$A$3000,Щит_спец)+COUNTIFS(Однолинейка!$K$3:$K$3000,C330,Однолинейка!$A$3:$A$3000,Щит_спец)),IF(A330="Модуль",IF(C330="","",COUNTIFS(Однолинейка!$AW$3:$AW$3000,"?*",Однолинейка!$AI$3:$AI$3000,C330,Однолинейка!$A$3:$A$3000,Щит_спец)),IF(A330="Клемма",IF(C330="","",IF(C330=$S$7,SUMIFS(Однолинейка!$BW$3:$BW$3000,Однолинейка!$A$3:$A$3000,Щит_спец),IF(C330=$S$8,SUMIFS(Однолинейка!$BX$3:$BX$3000,Однолинейка!$A$3:$A$3000,Щит_спец),""))),""))))</f>
        <v/>
      </c>
      <c r="O330" s="74"/>
      <c r="P330" s="38" t="str">
        <f t="shared" si="45"/>
        <v/>
      </c>
      <c r="U330" s="38" t="str">
        <f t="shared" si="46"/>
        <v/>
      </c>
      <c r="V330" s="38" t="str">
        <f t="shared" si="47"/>
        <v/>
      </c>
      <c r="W330" s="38" t="str">
        <f>IF(AND(U330&lt;&gt;"",OR($S$4="(все)",B330=$S$4),IF($S$4="(все)",COUNTIF($U$4:U330,U330),COUNTIFS($U$4:U330,U330,$B$4:B330,B330))=1),MAX($W$3:W329)+1,"")</f>
        <v/>
      </c>
      <c r="X330" s="38" t="str">
        <f t="shared" si="48"/>
        <v/>
      </c>
      <c r="Y330" s="38" t="str">
        <f>IF(AND(A330="Аппарат",C330&lt;&gt;"",OR($S$5="(все)",B330=$S$5)),MAX($Y$3:Y329)+1,"")</f>
        <v/>
      </c>
      <c r="Z330" s="38" t="str">
        <f t="shared" si="49"/>
        <v/>
      </c>
      <c r="AA330" s="38" t="str">
        <f>IF(AND(A330="Модуль",C330&lt;&gt;"",OR($S$6="(все)",B330=$S$6)),MAX($AA$3:AA329)+1,"")</f>
        <v/>
      </c>
      <c r="AB330" s="38" t="str">
        <f t="shared" si="50"/>
        <v/>
      </c>
      <c r="AC330" s="38" t="str">
        <f>IF(OR(B330="",COUNTIF($B$4:B330,B330)&gt;1),"",MAX($AC$3:AC329)+1)</f>
        <v/>
      </c>
      <c r="AD330" s="38" t="str">
        <f t="shared" si="51"/>
        <v/>
      </c>
      <c r="AE330" s="38" t="str">
        <f t="shared" si="52"/>
        <v/>
      </c>
      <c r="AF330" s="38" t="str">
        <f t="shared" si="53"/>
        <v/>
      </c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38" t="str">
        <f>IF(OR(A331="Автомат",A331="Дифавтомат"),IF(W331="","",COUNTIFS(Однолинейка!$H$3:$H$3000,U331,Однолинейка!$A$3:$A$3000,Щит_спец)),IF(A331="Аппарат",IF(C331="","",COUNTIFS(Однолинейка!$I$3:$I$3000,C331,Однолинейка!$A$3:$A$3000,Щит_спец)+COUNTIFS(Однолинейка!$J$3:$J$3000,C331,Однолинейка!$A$3:$A$3000,Щит_спец)+COUNTIFS(Однолинейка!$K$3:$K$3000,C331,Однолинейка!$A$3:$A$3000,Щит_спец)),IF(A331="Модуль",IF(C331="","",COUNTIFS(Однолинейка!$AW$3:$AW$3000,"?*",Однолинейка!$AI$3:$AI$3000,C331,Однолинейка!$A$3:$A$3000,Щит_спец)),IF(A331="Клемма",IF(C331="","",IF(C331=$S$7,SUMIFS(Однолинейка!$BW$3:$BW$3000,Однолинейка!$A$3:$A$3000,Щит_спец),IF(C331=$S$8,SUMIFS(Однолинейка!$BX$3:$BX$3000,Однолинейка!$A$3:$A$3000,Щит_спец),""))),""))))</f>
        <v/>
      </c>
      <c r="O331" s="74"/>
      <c r="P331" s="38" t="str">
        <f t="shared" si="45"/>
        <v/>
      </c>
      <c r="U331" s="38" t="str">
        <f t="shared" si="46"/>
        <v/>
      </c>
      <c r="V331" s="38" t="str">
        <f t="shared" si="47"/>
        <v/>
      </c>
      <c r="W331" s="38" t="str">
        <f>IF(AND(U331&lt;&gt;"",OR($S$4="(все)",B331=$S$4),IF($S$4="(все)",COUNTIF($U$4:U331,U331),COUNTIFS($U$4:U331,U331,$B$4:B331,B331))=1),MAX($W$3:W330)+1,"")</f>
        <v/>
      </c>
      <c r="X331" s="38" t="str">
        <f t="shared" si="48"/>
        <v/>
      </c>
      <c r="Y331" s="38" t="str">
        <f>IF(AND(A331="Аппарат",C331&lt;&gt;"",OR($S$5="(все)",B331=$S$5)),MAX($Y$3:Y330)+1,"")</f>
        <v/>
      </c>
      <c r="Z331" s="38" t="str">
        <f t="shared" si="49"/>
        <v/>
      </c>
      <c r="AA331" s="38" t="str">
        <f>IF(AND(A331="Модуль",C331&lt;&gt;"",OR($S$6="(все)",B331=$S$6)),MAX($AA$3:AA330)+1,"")</f>
        <v/>
      </c>
      <c r="AB331" s="38" t="str">
        <f t="shared" si="50"/>
        <v/>
      </c>
      <c r="AC331" s="38" t="str">
        <f>IF(OR(B331="",COUNTIF($B$4:B331,B331)&gt;1),"",MAX($AC$3:AC330)+1)</f>
        <v/>
      </c>
      <c r="AD331" s="38" t="str">
        <f t="shared" si="51"/>
        <v/>
      </c>
      <c r="AE331" s="38" t="str">
        <f t="shared" si="52"/>
        <v/>
      </c>
      <c r="AF331" s="38" t="str">
        <f t="shared" si="53"/>
        <v/>
      </c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38" t="str">
        <f>IF(OR(A332="Автомат",A332="Дифавтомат"),IF(W332="","",COUNTIFS(Однолинейка!$H$3:$H$3000,U332,Однолинейка!$A$3:$A$3000,Щит_спец)),IF(A332="Аппарат",IF(C332="","",COUNTIFS(Однолинейка!$I$3:$I$3000,C332,Однолинейка!$A$3:$A$3000,Щит_спец)+COUNTIFS(Однолинейка!$J$3:$J$3000,C332,Однолинейка!$A$3:$A$3000,Щит_спец)+COUNTIFS(Однолинейка!$K$3:$K$3000,C332,Однолинейка!$A$3:$A$3000,Щит_спец)),IF(A332="Модуль",IF(C332="","",COUNTIFS(Однолинейка!$AW$3:$AW$3000,"?*",Однолинейка!$AI$3:$AI$3000,C332,Однолинейка!$A$3:$A$3000,Щит_спец)),IF(A332="Клемма",IF(C332="","",IF(C332=$S$7,SUMIFS(Однолинейка!$BW$3:$BW$3000,Однолинейка!$A$3:$A$3000,Щит_спец),IF(C332=$S$8,SUMIFS(Однолинейка!$BX$3:$BX$3000,Однолинейка!$A$3:$A$3000,Щит_спец),""))),""))))</f>
        <v/>
      </c>
      <c r="O332" s="74"/>
      <c r="P332" s="38" t="str">
        <f t="shared" si="45"/>
        <v/>
      </c>
      <c r="U332" s="38" t="str">
        <f t="shared" si="46"/>
        <v/>
      </c>
      <c r="V332" s="38" t="str">
        <f t="shared" si="47"/>
        <v/>
      </c>
      <c r="W332" s="38" t="str">
        <f>IF(AND(U332&lt;&gt;"",OR($S$4="(все)",B332=$S$4),IF($S$4="(все)",COUNTIF($U$4:U332,U332),COUNTIFS($U$4:U332,U332,$B$4:B332,B332))=1),MAX($W$3:W331)+1,"")</f>
        <v/>
      </c>
      <c r="X332" s="38" t="str">
        <f t="shared" si="48"/>
        <v/>
      </c>
      <c r="Y332" s="38" t="str">
        <f>IF(AND(A332="Аппарат",C332&lt;&gt;"",OR($S$5="(все)",B332=$S$5)),MAX($Y$3:Y331)+1,"")</f>
        <v/>
      </c>
      <c r="Z332" s="38" t="str">
        <f t="shared" si="49"/>
        <v/>
      </c>
      <c r="AA332" s="38" t="str">
        <f>IF(AND(A332="Модуль",C332&lt;&gt;"",OR($S$6="(все)",B332=$S$6)),MAX($AA$3:AA331)+1,"")</f>
        <v/>
      </c>
      <c r="AB332" s="38" t="str">
        <f t="shared" si="50"/>
        <v/>
      </c>
      <c r="AC332" s="38" t="str">
        <f>IF(OR(B332="",COUNTIF($B$4:B332,B332)&gt;1),"",MAX($AC$3:AC331)+1)</f>
        <v/>
      </c>
      <c r="AD332" s="38" t="str">
        <f t="shared" si="51"/>
        <v/>
      </c>
      <c r="AE332" s="38" t="str">
        <f t="shared" si="52"/>
        <v/>
      </c>
      <c r="AF332" s="38" t="str">
        <f t="shared" si="53"/>
        <v/>
      </c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38" t="str">
        <f>IF(OR(A333="Автомат",A333="Дифавтомат"),IF(W333="","",COUNTIFS(Однолинейка!$H$3:$H$3000,U333,Однолинейка!$A$3:$A$3000,Щит_спец)),IF(A333="Аппарат",IF(C333="","",COUNTIFS(Однолинейка!$I$3:$I$3000,C333,Однолинейка!$A$3:$A$3000,Щит_спец)+COUNTIFS(Однолинейка!$J$3:$J$3000,C333,Однолинейка!$A$3:$A$3000,Щит_спец)+COUNTIFS(Однолинейка!$K$3:$K$3000,C333,Однолинейка!$A$3:$A$3000,Щит_спец)),IF(A333="Модуль",IF(C333="","",COUNTIFS(Однолинейка!$AW$3:$AW$3000,"?*",Однолинейка!$AI$3:$AI$3000,C333,Однолинейка!$A$3:$A$3000,Щит_спец)),IF(A333="Клемма",IF(C333="","",IF(C333=$S$7,SUMIFS(Однолинейка!$BW$3:$BW$3000,Однолинейка!$A$3:$A$3000,Щит_спец),IF(C333=$S$8,SUMIFS(Однолинейка!$BX$3:$BX$3000,Однолинейка!$A$3:$A$3000,Щит_спец),""))),""))))</f>
        <v/>
      </c>
      <c r="O333" s="74"/>
      <c r="P333" s="38" t="str">
        <f t="shared" si="45"/>
        <v/>
      </c>
      <c r="U333" s="38" t="str">
        <f t="shared" si="46"/>
        <v/>
      </c>
      <c r="V333" s="38" t="str">
        <f t="shared" si="47"/>
        <v/>
      </c>
      <c r="W333" s="38" t="str">
        <f>IF(AND(U333&lt;&gt;"",OR($S$4="(все)",B333=$S$4),IF($S$4="(все)",COUNTIF($U$4:U333,U333),COUNTIFS($U$4:U333,U333,$B$4:B333,B333))=1),MAX($W$3:W332)+1,"")</f>
        <v/>
      </c>
      <c r="X333" s="38" t="str">
        <f t="shared" si="48"/>
        <v/>
      </c>
      <c r="Y333" s="38" t="str">
        <f>IF(AND(A333="Аппарат",C333&lt;&gt;"",OR($S$5="(все)",B333=$S$5)),MAX($Y$3:Y332)+1,"")</f>
        <v/>
      </c>
      <c r="Z333" s="38" t="str">
        <f t="shared" si="49"/>
        <v/>
      </c>
      <c r="AA333" s="38" t="str">
        <f>IF(AND(A333="Модуль",C333&lt;&gt;"",OR($S$6="(все)",B333=$S$6)),MAX($AA$3:AA332)+1,"")</f>
        <v/>
      </c>
      <c r="AB333" s="38" t="str">
        <f t="shared" si="50"/>
        <v/>
      </c>
      <c r="AC333" s="38" t="str">
        <f>IF(OR(B333="",COUNTIF($B$4:B333,B333)&gt;1),"",MAX($AC$3:AC332)+1)</f>
        <v/>
      </c>
      <c r="AD333" s="38" t="str">
        <f t="shared" si="51"/>
        <v/>
      </c>
      <c r="AE333" s="38" t="str">
        <f t="shared" si="52"/>
        <v/>
      </c>
      <c r="AF333" s="38" t="str">
        <f t="shared" si="53"/>
        <v/>
      </c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38" t="str">
        <f>IF(OR(A334="Автомат",A334="Дифавтомат"),IF(W334="","",COUNTIFS(Однолинейка!$H$3:$H$3000,U334,Однолинейка!$A$3:$A$3000,Щит_спец)),IF(A334="Аппарат",IF(C334="","",COUNTIFS(Однолинейка!$I$3:$I$3000,C334,Однолинейка!$A$3:$A$3000,Щит_спец)+COUNTIFS(Однолинейка!$J$3:$J$3000,C334,Однолинейка!$A$3:$A$3000,Щит_спец)+COUNTIFS(Однолинейка!$K$3:$K$3000,C334,Однолинейка!$A$3:$A$3000,Щит_спец)),IF(A334="Модуль",IF(C334="","",COUNTIFS(Однолинейка!$AW$3:$AW$3000,"?*",Однолинейка!$AI$3:$AI$3000,C334,Однолинейка!$A$3:$A$3000,Щит_спец)),IF(A334="Клемма",IF(C334="","",IF(C334=$S$7,SUMIFS(Однолинейка!$BW$3:$BW$3000,Однолинейка!$A$3:$A$3000,Щит_спец),IF(C334=$S$8,SUMIFS(Однолинейка!$BX$3:$BX$3000,Однолинейка!$A$3:$A$3000,Щит_спец),""))),""))))</f>
        <v/>
      </c>
      <c r="O334" s="74"/>
      <c r="P334" s="38" t="str">
        <f t="shared" si="45"/>
        <v/>
      </c>
      <c r="U334" s="38" t="str">
        <f t="shared" si="46"/>
        <v/>
      </c>
      <c r="V334" s="38" t="str">
        <f t="shared" si="47"/>
        <v/>
      </c>
      <c r="W334" s="38" t="str">
        <f>IF(AND(U334&lt;&gt;"",OR($S$4="(все)",B334=$S$4),IF($S$4="(все)",COUNTIF($U$4:U334,U334),COUNTIFS($U$4:U334,U334,$B$4:B334,B334))=1),MAX($W$3:W333)+1,"")</f>
        <v/>
      </c>
      <c r="X334" s="38" t="str">
        <f t="shared" si="48"/>
        <v/>
      </c>
      <c r="Y334" s="38" t="str">
        <f>IF(AND(A334="Аппарат",C334&lt;&gt;"",OR($S$5="(все)",B334=$S$5)),MAX($Y$3:Y333)+1,"")</f>
        <v/>
      </c>
      <c r="Z334" s="38" t="str">
        <f t="shared" si="49"/>
        <v/>
      </c>
      <c r="AA334" s="38" t="str">
        <f>IF(AND(A334="Модуль",C334&lt;&gt;"",OR($S$6="(все)",B334=$S$6)),MAX($AA$3:AA333)+1,"")</f>
        <v/>
      </c>
      <c r="AB334" s="38" t="str">
        <f t="shared" si="50"/>
        <v/>
      </c>
      <c r="AC334" s="38" t="str">
        <f>IF(OR(B334="",COUNTIF($B$4:B334,B334)&gt;1),"",MAX($AC$3:AC333)+1)</f>
        <v/>
      </c>
      <c r="AD334" s="38" t="str">
        <f t="shared" si="51"/>
        <v/>
      </c>
      <c r="AE334" s="38" t="str">
        <f t="shared" si="52"/>
        <v/>
      </c>
      <c r="AF334" s="38" t="str">
        <f t="shared" si="53"/>
        <v/>
      </c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38" t="str">
        <f>IF(OR(A335="Автомат",A335="Дифавтомат"),IF(W335="","",COUNTIFS(Однолинейка!$H$3:$H$3000,U335,Однолинейка!$A$3:$A$3000,Щит_спец)),IF(A335="Аппарат",IF(C335="","",COUNTIFS(Однолинейка!$I$3:$I$3000,C335,Однолинейка!$A$3:$A$3000,Щит_спец)+COUNTIFS(Однолинейка!$J$3:$J$3000,C335,Однолинейка!$A$3:$A$3000,Щит_спец)+COUNTIFS(Однолинейка!$K$3:$K$3000,C335,Однолинейка!$A$3:$A$3000,Щит_спец)),IF(A335="Модуль",IF(C335="","",COUNTIFS(Однолинейка!$AW$3:$AW$3000,"?*",Однолинейка!$AI$3:$AI$3000,C335,Однолинейка!$A$3:$A$3000,Щит_спец)),IF(A335="Клемма",IF(C335="","",IF(C335=$S$7,SUMIFS(Однолинейка!$BW$3:$BW$3000,Однолинейка!$A$3:$A$3000,Щит_спец),IF(C335=$S$8,SUMIFS(Однолинейка!$BX$3:$BX$3000,Однолинейка!$A$3:$A$3000,Щит_спец),""))),""))))</f>
        <v/>
      </c>
      <c r="O335" s="74"/>
      <c r="P335" s="38" t="str">
        <f t="shared" si="45"/>
        <v/>
      </c>
      <c r="U335" s="38" t="str">
        <f t="shared" si="46"/>
        <v/>
      </c>
      <c r="V335" s="38" t="str">
        <f t="shared" si="47"/>
        <v/>
      </c>
      <c r="W335" s="38" t="str">
        <f>IF(AND(U335&lt;&gt;"",OR($S$4="(все)",B335=$S$4),IF($S$4="(все)",COUNTIF($U$4:U335,U335),COUNTIFS($U$4:U335,U335,$B$4:B335,B335))=1),MAX($W$3:W334)+1,"")</f>
        <v/>
      </c>
      <c r="X335" s="38" t="str">
        <f t="shared" si="48"/>
        <v/>
      </c>
      <c r="Y335" s="38" t="str">
        <f>IF(AND(A335="Аппарат",C335&lt;&gt;"",OR($S$5="(все)",B335=$S$5)),MAX($Y$3:Y334)+1,"")</f>
        <v/>
      </c>
      <c r="Z335" s="38" t="str">
        <f t="shared" si="49"/>
        <v/>
      </c>
      <c r="AA335" s="38" t="str">
        <f>IF(AND(A335="Модуль",C335&lt;&gt;"",OR($S$6="(все)",B335=$S$6)),MAX($AA$3:AA334)+1,"")</f>
        <v/>
      </c>
      <c r="AB335" s="38" t="str">
        <f t="shared" si="50"/>
        <v/>
      </c>
      <c r="AC335" s="38" t="str">
        <f>IF(OR(B335="",COUNTIF($B$4:B335,B335)&gt;1),"",MAX($AC$3:AC334)+1)</f>
        <v/>
      </c>
      <c r="AD335" s="38" t="str">
        <f t="shared" si="51"/>
        <v/>
      </c>
      <c r="AE335" s="38" t="str">
        <f t="shared" si="52"/>
        <v/>
      </c>
      <c r="AF335" s="38" t="str">
        <f t="shared" si="53"/>
        <v/>
      </c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38" t="str">
        <f>IF(OR(A336="Автомат",A336="Дифавтомат"),IF(W336="","",COUNTIFS(Однолинейка!$H$3:$H$3000,U336,Однолинейка!$A$3:$A$3000,Щит_спец)),IF(A336="Аппарат",IF(C336="","",COUNTIFS(Однолинейка!$I$3:$I$3000,C336,Однолинейка!$A$3:$A$3000,Щит_спец)+COUNTIFS(Однолинейка!$J$3:$J$3000,C336,Однолинейка!$A$3:$A$3000,Щит_спец)+COUNTIFS(Однолинейка!$K$3:$K$3000,C336,Однолинейка!$A$3:$A$3000,Щит_спец)),IF(A336="Модуль",IF(C336="","",COUNTIFS(Однолинейка!$AW$3:$AW$3000,"?*",Однолинейка!$AI$3:$AI$3000,C336,Однолинейка!$A$3:$A$3000,Щит_спец)),IF(A336="Клемма",IF(C336="","",IF(C336=$S$7,SUMIFS(Однолинейка!$BW$3:$BW$3000,Однолинейка!$A$3:$A$3000,Щит_спец),IF(C336=$S$8,SUMIFS(Однолинейка!$BX$3:$BX$3000,Однолинейка!$A$3:$A$3000,Щит_спец),""))),""))))</f>
        <v/>
      </c>
      <c r="O336" s="74"/>
      <c r="P336" s="38" t="str">
        <f t="shared" si="45"/>
        <v/>
      </c>
      <c r="U336" s="38" t="str">
        <f t="shared" si="46"/>
        <v/>
      </c>
      <c r="V336" s="38" t="str">
        <f t="shared" si="47"/>
        <v/>
      </c>
      <c r="W336" s="38" t="str">
        <f>IF(AND(U336&lt;&gt;"",OR($S$4="(все)",B336=$S$4),IF($S$4="(все)",COUNTIF($U$4:U336,U336),COUNTIFS($U$4:U336,U336,$B$4:B336,B336))=1),MAX($W$3:W335)+1,"")</f>
        <v/>
      </c>
      <c r="X336" s="38" t="str">
        <f t="shared" si="48"/>
        <v/>
      </c>
      <c r="Y336" s="38" t="str">
        <f>IF(AND(A336="Аппарат",C336&lt;&gt;"",OR($S$5="(все)",B336=$S$5)),MAX($Y$3:Y335)+1,"")</f>
        <v/>
      </c>
      <c r="Z336" s="38" t="str">
        <f t="shared" si="49"/>
        <v/>
      </c>
      <c r="AA336" s="38" t="str">
        <f>IF(AND(A336="Модуль",C336&lt;&gt;"",OR($S$6="(все)",B336=$S$6)),MAX($AA$3:AA335)+1,"")</f>
        <v/>
      </c>
      <c r="AB336" s="38" t="str">
        <f t="shared" si="50"/>
        <v/>
      </c>
      <c r="AC336" s="38" t="str">
        <f>IF(OR(B336="",COUNTIF($B$4:B336,B336)&gt;1),"",MAX($AC$3:AC335)+1)</f>
        <v/>
      </c>
      <c r="AD336" s="38" t="str">
        <f t="shared" si="51"/>
        <v/>
      </c>
      <c r="AE336" s="38" t="str">
        <f t="shared" si="52"/>
        <v/>
      </c>
      <c r="AF336" s="38" t="str">
        <f t="shared" si="53"/>
        <v/>
      </c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38" t="str">
        <f>IF(OR(A337="Автомат",A337="Дифавтомат"),IF(W337="","",COUNTIFS(Однолинейка!$H$3:$H$3000,U337,Однолинейка!$A$3:$A$3000,Щит_спец)),IF(A337="Аппарат",IF(C337="","",COUNTIFS(Однолинейка!$I$3:$I$3000,C337,Однолинейка!$A$3:$A$3000,Щит_спец)+COUNTIFS(Однолинейка!$J$3:$J$3000,C337,Однолинейка!$A$3:$A$3000,Щит_спец)+COUNTIFS(Однолинейка!$K$3:$K$3000,C337,Однолинейка!$A$3:$A$3000,Щит_спец)),IF(A337="Модуль",IF(C337="","",COUNTIFS(Однолинейка!$AW$3:$AW$3000,"?*",Однолинейка!$AI$3:$AI$3000,C337,Однолинейка!$A$3:$A$3000,Щит_спец)),IF(A337="Клемма",IF(C337="","",IF(C337=$S$7,SUMIFS(Однолинейка!$BW$3:$BW$3000,Однолинейка!$A$3:$A$3000,Щит_спец),IF(C337=$S$8,SUMIFS(Однолинейка!$BX$3:$BX$3000,Однолинейка!$A$3:$A$3000,Щит_спец),""))),""))))</f>
        <v/>
      </c>
      <c r="O337" s="74"/>
      <c r="P337" s="38" t="str">
        <f t="shared" si="45"/>
        <v/>
      </c>
      <c r="U337" s="38" t="str">
        <f t="shared" si="46"/>
        <v/>
      </c>
      <c r="V337" s="38" t="str">
        <f t="shared" si="47"/>
        <v/>
      </c>
      <c r="W337" s="38" t="str">
        <f>IF(AND(U337&lt;&gt;"",OR($S$4="(все)",B337=$S$4),IF($S$4="(все)",COUNTIF($U$4:U337,U337),COUNTIFS($U$4:U337,U337,$B$4:B337,B337))=1),MAX($W$3:W336)+1,"")</f>
        <v/>
      </c>
      <c r="X337" s="38" t="str">
        <f t="shared" si="48"/>
        <v/>
      </c>
      <c r="Y337" s="38" t="str">
        <f>IF(AND(A337="Аппарат",C337&lt;&gt;"",OR($S$5="(все)",B337=$S$5)),MAX($Y$3:Y336)+1,"")</f>
        <v/>
      </c>
      <c r="Z337" s="38" t="str">
        <f t="shared" si="49"/>
        <v/>
      </c>
      <c r="AA337" s="38" t="str">
        <f>IF(AND(A337="Модуль",C337&lt;&gt;"",OR($S$6="(все)",B337=$S$6)),MAX($AA$3:AA336)+1,"")</f>
        <v/>
      </c>
      <c r="AB337" s="38" t="str">
        <f t="shared" si="50"/>
        <v/>
      </c>
      <c r="AC337" s="38" t="str">
        <f>IF(OR(B337="",COUNTIF($B$4:B337,B337)&gt;1),"",MAX($AC$3:AC336)+1)</f>
        <v/>
      </c>
      <c r="AD337" s="38" t="str">
        <f t="shared" si="51"/>
        <v/>
      </c>
      <c r="AE337" s="38" t="str">
        <f t="shared" si="52"/>
        <v/>
      </c>
      <c r="AF337" s="38" t="str">
        <f t="shared" si="53"/>
        <v/>
      </c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38" t="str">
        <f>IF(OR(A338="Автомат",A338="Дифавтомат"),IF(W338="","",COUNTIFS(Однолинейка!$H$3:$H$3000,U338,Однолинейка!$A$3:$A$3000,Щит_спец)),IF(A338="Аппарат",IF(C338="","",COUNTIFS(Однолинейка!$I$3:$I$3000,C338,Однолинейка!$A$3:$A$3000,Щит_спец)+COUNTIFS(Однолинейка!$J$3:$J$3000,C338,Однолинейка!$A$3:$A$3000,Щит_спец)+COUNTIFS(Однолинейка!$K$3:$K$3000,C338,Однолинейка!$A$3:$A$3000,Щит_спец)),IF(A338="Модуль",IF(C338="","",COUNTIFS(Однолинейка!$AW$3:$AW$3000,"?*",Однолинейка!$AI$3:$AI$3000,C338,Однолинейка!$A$3:$A$3000,Щит_спец)),IF(A338="Клемма",IF(C338="","",IF(C338=$S$7,SUMIFS(Однолинейка!$BW$3:$BW$3000,Однолинейка!$A$3:$A$3000,Щит_спец),IF(C338=$S$8,SUMIFS(Однолинейка!$BX$3:$BX$3000,Однолинейка!$A$3:$A$3000,Щит_спец),""))),""))))</f>
        <v/>
      </c>
      <c r="O338" s="74"/>
      <c r="P338" s="38" t="str">
        <f t="shared" si="45"/>
        <v/>
      </c>
      <c r="U338" s="38" t="str">
        <f t="shared" si="46"/>
        <v/>
      </c>
      <c r="V338" s="38" t="str">
        <f t="shared" si="47"/>
        <v/>
      </c>
      <c r="W338" s="38" t="str">
        <f>IF(AND(U338&lt;&gt;"",OR($S$4="(все)",B338=$S$4),IF($S$4="(все)",COUNTIF($U$4:U338,U338),COUNTIFS($U$4:U338,U338,$B$4:B338,B338))=1),MAX($W$3:W337)+1,"")</f>
        <v/>
      </c>
      <c r="X338" s="38" t="str">
        <f t="shared" si="48"/>
        <v/>
      </c>
      <c r="Y338" s="38" t="str">
        <f>IF(AND(A338="Аппарат",C338&lt;&gt;"",OR($S$5="(все)",B338=$S$5)),MAX($Y$3:Y337)+1,"")</f>
        <v/>
      </c>
      <c r="Z338" s="38" t="str">
        <f t="shared" si="49"/>
        <v/>
      </c>
      <c r="AA338" s="38" t="str">
        <f>IF(AND(A338="Модуль",C338&lt;&gt;"",OR($S$6="(все)",B338=$S$6)),MAX($AA$3:AA337)+1,"")</f>
        <v/>
      </c>
      <c r="AB338" s="38" t="str">
        <f t="shared" si="50"/>
        <v/>
      </c>
      <c r="AC338" s="38" t="str">
        <f>IF(OR(B338="",COUNTIF($B$4:B338,B338)&gt;1),"",MAX($AC$3:AC337)+1)</f>
        <v/>
      </c>
      <c r="AD338" s="38" t="str">
        <f t="shared" si="51"/>
        <v/>
      </c>
      <c r="AE338" s="38" t="str">
        <f t="shared" si="52"/>
        <v/>
      </c>
      <c r="AF338" s="38" t="str">
        <f t="shared" si="53"/>
        <v/>
      </c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38" t="str">
        <f>IF(OR(A339="Автомат",A339="Дифавтомат"),IF(W339="","",COUNTIFS(Однолинейка!$H$3:$H$3000,U339,Однолинейка!$A$3:$A$3000,Щит_спец)),IF(A339="Аппарат",IF(C339="","",COUNTIFS(Однолинейка!$I$3:$I$3000,C339,Однолинейка!$A$3:$A$3000,Щит_спец)+COUNTIFS(Однолинейка!$J$3:$J$3000,C339,Однолинейка!$A$3:$A$3000,Щит_спец)+COUNTIFS(Однолинейка!$K$3:$K$3000,C339,Однолинейка!$A$3:$A$3000,Щит_спец)),IF(A339="Модуль",IF(C339="","",COUNTIFS(Однолинейка!$AW$3:$AW$3000,"?*",Однолинейка!$AI$3:$AI$3000,C339,Однолинейка!$A$3:$A$3000,Щит_спец)),IF(A339="Клемма",IF(C339="","",IF(C339=$S$7,SUMIFS(Однолинейка!$BW$3:$BW$3000,Однолинейка!$A$3:$A$3000,Щит_спец),IF(C339=$S$8,SUMIFS(Однолинейка!$BX$3:$BX$3000,Однолинейка!$A$3:$A$3000,Щит_спец),""))),""))))</f>
        <v/>
      </c>
      <c r="O339" s="74"/>
      <c r="P339" s="38" t="str">
        <f t="shared" si="45"/>
        <v/>
      </c>
      <c r="U339" s="38" t="str">
        <f t="shared" si="46"/>
        <v/>
      </c>
      <c r="V339" s="38" t="str">
        <f t="shared" si="47"/>
        <v/>
      </c>
      <c r="W339" s="38" t="str">
        <f>IF(AND(U339&lt;&gt;"",OR($S$4="(все)",B339=$S$4),IF($S$4="(все)",COUNTIF($U$4:U339,U339),COUNTIFS($U$4:U339,U339,$B$4:B339,B339))=1),MAX($W$3:W338)+1,"")</f>
        <v/>
      </c>
      <c r="X339" s="38" t="str">
        <f t="shared" si="48"/>
        <v/>
      </c>
      <c r="Y339" s="38" t="str">
        <f>IF(AND(A339="Аппарат",C339&lt;&gt;"",OR($S$5="(все)",B339=$S$5)),MAX($Y$3:Y338)+1,"")</f>
        <v/>
      </c>
      <c r="Z339" s="38" t="str">
        <f t="shared" si="49"/>
        <v/>
      </c>
      <c r="AA339" s="38" t="str">
        <f>IF(AND(A339="Модуль",C339&lt;&gt;"",OR($S$6="(все)",B339=$S$6)),MAX($AA$3:AA338)+1,"")</f>
        <v/>
      </c>
      <c r="AB339" s="38" t="str">
        <f t="shared" si="50"/>
        <v/>
      </c>
      <c r="AC339" s="38" t="str">
        <f>IF(OR(B339="",COUNTIF($B$4:B339,B339)&gt;1),"",MAX($AC$3:AC338)+1)</f>
        <v/>
      </c>
      <c r="AD339" s="38" t="str">
        <f t="shared" si="51"/>
        <v/>
      </c>
      <c r="AE339" s="38" t="str">
        <f t="shared" si="52"/>
        <v/>
      </c>
      <c r="AF339" s="38" t="str">
        <f t="shared" si="53"/>
        <v/>
      </c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38" t="str">
        <f>IF(OR(A340="Автомат",A340="Дифавтомат"),IF(W340="","",COUNTIFS(Однолинейка!$H$3:$H$3000,U340,Однолинейка!$A$3:$A$3000,Щит_спец)),IF(A340="Аппарат",IF(C340="","",COUNTIFS(Однолинейка!$I$3:$I$3000,C340,Однолинейка!$A$3:$A$3000,Щит_спец)+COUNTIFS(Однолинейка!$J$3:$J$3000,C340,Однолинейка!$A$3:$A$3000,Щит_спец)+COUNTIFS(Однолинейка!$K$3:$K$3000,C340,Однолинейка!$A$3:$A$3000,Щит_спец)),IF(A340="Модуль",IF(C340="","",COUNTIFS(Однолинейка!$AW$3:$AW$3000,"?*",Однолинейка!$AI$3:$AI$3000,C340,Однолинейка!$A$3:$A$3000,Щит_спец)),IF(A340="Клемма",IF(C340="","",IF(C340=$S$7,SUMIFS(Однолинейка!$BW$3:$BW$3000,Однолинейка!$A$3:$A$3000,Щит_спец),IF(C340=$S$8,SUMIFS(Однолинейка!$BX$3:$BX$3000,Однолинейка!$A$3:$A$3000,Щит_спец),""))),""))))</f>
        <v/>
      </c>
      <c r="O340" s="74"/>
      <c r="P340" s="38" t="str">
        <f t="shared" si="45"/>
        <v/>
      </c>
      <c r="U340" s="38" t="str">
        <f t="shared" si="46"/>
        <v/>
      </c>
      <c r="V340" s="38" t="str">
        <f t="shared" si="47"/>
        <v/>
      </c>
      <c r="W340" s="38" t="str">
        <f>IF(AND(U340&lt;&gt;"",OR($S$4="(все)",B340=$S$4),IF($S$4="(все)",COUNTIF($U$4:U340,U340),COUNTIFS($U$4:U340,U340,$B$4:B340,B340))=1),MAX($W$3:W339)+1,"")</f>
        <v/>
      </c>
      <c r="X340" s="38" t="str">
        <f t="shared" si="48"/>
        <v/>
      </c>
      <c r="Y340" s="38" t="str">
        <f>IF(AND(A340="Аппарат",C340&lt;&gt;"",OR($S$5="(все)",B340=$S$5)),MAX($Y$3:Y339)+1,"")</f>
        <v/>
      </c>
      <c r="Z340" s="38" t="str">
        <f t="shared" si="49"/>
        <v/>
      </c>
      <c r="AA340" s="38" t="str">
        <f>IF(AND(A340="Модуль",C340&lt;&gt;"",OR($S$6="(все)",B340=$S$6)),MAX($AA$3:AA339)+1,"")</f>
        <v/>
      </c>
      <c r="AB340" s="38" t="str">
        <f t="shared" si="50"/>
        <v/>
      </c>
      <c r="AC340" s="38" t="str">
        <f>IF(OR(B340="",COUNTIF($B$4:B340,B340)&gt;1),"",MAX($AC$3:AC339)+1)</f>
        <v/>
      </c>
      <c r="AD340" s="38" t="str">
        <f t="shared" si="51"/>
        <v/>
      </c>
      <c r="AE340" s="38" t="str">
        <f t="shared" si="52"/>
        <v/>
      </c>
      <c r="AF340" s="38" t="str">
        <f t="shared" si="53"/>
        <v/>
      </c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38" t="str">
        <f>IF(OR(A341="Автомат",A341="Дифавтомат"),IF(W341="","",COUNTIFS(Однолинейка!$H$3:$H$3000,U341,Однолинейка!$A$3:$A$3000,Щит_спец)),IF(A341="Аппарат",IF(C341="","",COUNTIFS(Однолинейка!$I$3:$I$3000,C341,Однолинейка!$A$3:$A$3000,Щит_спец)+COUNTIFS(Однолинейка!$J$3:$J$3000,C341,Однолинейка!$A$3:$A$3000,Щит_спец)+COUNTIFS(Однолинейка!$K$3:$K$3000,C341,Однолинейка!$A$3:$A$3000,Щит_спец)),IF(A341="Модуль",IF(C341="","",COUNTIFS(Однолинейка!$AW$3:$AW$3000,"?*",Однолинейка!$AI$3:$AI$3000,C341,Однолинейка!$A$3:$A$3000,Щит_спец)),IF(A341="Клемма",IF(C341="","",IF(C341=$S$7,SUMIFS(Однолинейка!$BW$3:$BW$3000,Однолинейка!$A$3:$A$3000,Щит_спец),IF(C341=$S$8,SUMIFS(Однолинейка!$BX$3:$BX$3000,Однолинейка!$A$3:$A$3000,Щит_спец),""))),""))))</f>
        <v/>
      </c>
      <c r="O341" s="74"/>
      <c r="P341" s="38" t="str">
        <f t="shared" si="45"/>
        <v/>
      </c>
      <c r="U341" s="38" t="str">
        <f t="shared" si="46"/>
        <v/>
      </c>
      <c r="V341" s="38" t="str">
        <f t="shared" si="47"/>
        <v/>
      </c>
      <c r="W341" s="38" t="str">
        <f>IF(AND(U341&lt;&gt;"",OR($S$4="(все)",B341=$S$4),IF($S$4="(все)",COUNTIF($U$4:U341,U341),COUNTIFS($U$4:U341,U341,$B$4:B341,B341))=1),MAX($W$3:W340)+1,"")</f>
        <v/>
      </c>
      <c r="X341" s="38" t="str">
        <f t="shared" si="48"/>
        <v/>
      </c>
      <c r="Y341" s="38" t="str">
        <f>IF(AND(A341="Аппарат",C341&lt;&gt;"",OR($S$5="(все)",B341=$S$5)),MAX($Y$3:Y340)+1,"")</f>
        <v/>
      </c>
      <c r="Z341" s="38" t="str">
        <f t="shared" si="49"/>
        <v/>
      </c>
      <c r="AA341" s="38" t="str">
        <f>IF(AND(A341="Модуль",C341&lt;&gt;"",OR($S$6="(все)",B341=$S$6)),MAX($AA$3:AA340)+1,"")</f>
        <v/>
      </c>
      <c r="AB341" s="38" t="str">
        <f t="shared" si="50"/>
        <v/>
      </c>
      <c r="AC341" s="38" t="str">
        <f>IF(OR(B341="",COUNTIF($B$4:B341,B341)&gt;1),"",MAX($AC$3:AC340)+1)</f>
        <v/>
      </c>
      <c r="AD341" s="38" t="str">
        <f t="shared" si="51"/>
        <v/>
      </c>
      <c r="AE341" s="38" t="str">
        <f t="shared" si="52"/>
        <v/>
      </c>
      <c r="AF341" s="38" t="str">
        <f t="shared" si="53"/>
        <v/>
      </c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38" t="str">
        <f>IF(OR(A342="Автомат",A342="Дифавтомат"),IF(W342="","",COUNTIFS(Однолинейка!$H$3:$H$3000,U342,Однолинейка!$A$3:$A$3000,Щит_спец)),IF(A342="Аппарат",IF(C342="","",COUNTIFS(Однолинейка!$I$3:$I$3000,C342,Однолинейка!$A$3:$A$3000,Щит_спец)+COUNTIFS(Однолинейка!$J$3:$J$3000,C342,Однолинейка!$A$3:$A$3000,Щит_спец)+COUNTIFS(Однолинейка!$K$3:$K$3000,C342,Однолинейка!$A$3:$A$3000,Щит_спец)),IF(A342="Модуль",IF(C342="","",COUNTIFS(Однолинейка!$AW$3:$AW$3000,"?*",Однолинейка!$AI$3:$AI$3000,C342,Однолинейка!$A$3:$A$3000,Щит_спец)),IF(A342="Клемма",IF(C342="","",IF(C342=$S$7,SUMIFS(Однолинейка!$BW$3:$BW$3000,Однолинейка!$A$3:$A$3000,Щит_спец),IF(C342=$S$8,SUMIFS(Однолинейка!$BX$3:$BX$3000,Однолинейка!$A$3:$A$3000,Щит_спец),""))),""))))</f>
        <v/>
      </c>
      <c r="O342" s="74"/>
      <c r="P342" s="38" t="str">
        <f t="shared" si="45"/>
        <v/>
      </c>
      <c r="U342" s="38" t="str">
        <f t="shared" si="46"/>
        <v/>
      </c>
      <c r="V342" s="38" t="str">
        <f t="shared" si="47"/>
        <v/>
      </c>
      <c r="W342" s="38" t="str">
        <f>IF(AND(U342&lt;&gt;"",OR($S$4="(все)",B342=$S$4),IF($S$4="(все)",COUNTIF($U$4:U342,U342),COUNTIFS($U$4:U342,U342,$B$4:B342,B342))=1),MAX($W$3:W341)+1,"")</f>
        <v/>
      </c>
      <c r="X342" s="38" t="str">
        <f t="shared" si="48"/>
        <v/>
      </c>
      <c r="Y342" s="38" t="str">
        <f>IF(AND(A342="Аппарат",C342&lt;&gt;"",OR($S$5="(все)",B342=$S$5)),MAX($Y$3:Y341)+1,"")</f>
        <v/>
      </c>
      <c r="Z342" s="38" t="str">
        <f t="shared" si="49"/>
        <v/>
      </c>
      <c r="AA342" s="38" t="str">
        <f>IF(AND(A342="Модуль",C342&lt;&gt;"",OR($S$6="(все)",B342=$S$6)),MAX($AA$3:AA341)+1,"")</f>
        <v/>
      </c>
      <c r="AB342" s="38" t="str">
        <f t="shared" si="50"/>
        <v/>
      </c>
      <c r="AC342" s="38" t="str">
        <f>IF(OR(B342="",COUNTIF($B$4:B342,B342)&gt;1),"",MAX($AC$3:AC341)+1)</f>
        <v/>
      </c>
      <c r="AD342" s="38" t="str">
        <f t="shared" si="51"/>
        <v/>
      </c>
      <c r="AE342" s="38" t="str">
        <f t="shared" si="52"/>
        <v/>
      </c>
      <c r="AF342" s="38" t="str">
        <f t="shared" si="53"/>
        <v/>
      </c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38" t="str">
        <f>IF(OR(A343="Автомат",A343="Дифавтомат"),IF(W343="","",COUNTIFS(Однолинейка!$H$3:$H$3000,U343,Однолинейка!$A$3:$A$3000,Щит_спец)),IF(A343="Аппарат",IF(C343="","",COUNTIFS(Однолинейка!$I$3:$I$3000,C343,Однолинейка!$A$3:$A$3000,Щит_спец)+COUNTIFS(Однолинейка!$J$3:$J$3000,C343,Однолинейка!$A$3:$A$3000,Щит_спец)+COUNTIFS(Однолинейка!$K$3:$K$3000,C343,Однолинейка!$A$3:$A$3000,Щит_спец)),IF(A343="Модуль",IF(C343="","",COUNTIFS(Однолинейка!$AW$3:$AW$3000,"?*",Однолинейка!$AI$3:$AI$3000,C343,Однолинейка!$A$3:$A$3000,Щит_спец)),IF(A343="Клемма",IF(C343="","",IF(C343=$S$7,SUMIFS(Однолинейка!$BW$3:$BW$3000,Однолинейка!$A$3:$A$3000,Щит_спец),IF(C343=$S$8,SUMIFS(Однолинейка!$BX$3:$BX$3000,Однолинейка!$A$3:$A$3000,Щит_спец),""))),""))))</f>
        <v/>
      </c>
      <c r="O343" s="74"/>
      <c r="P343" s="38" t="str">
        <f t="shared" si="45"/>
        <v/>
      </c>
      <c r="U343" s="38" t="str">
        <f t="shared" si="46"/>
        <v/>
      </c>
      <c r="V343" s="38" t="str">
        <f t="shared" si="47"/>
        <v/>
      </c>
      <c r="W343" s="38" t="str">
        <f>IF(AND(U343&lt;&gt;"",OR($S$4="(все)",B343=$S$4),IF($S$4="(все)",COUNTIF($U$4:U343,U343),COUNTIFS($U$4:U343,U343,$B$4:B343,B343))=1),MAX($W$3:W342)+1,"")</f>
        <v/>
      </c>
      <c r="X343" s="38" t="str">
        <f t="shared" si="48"/>
        <v/>
      </c>
      <c r="Y343" s="38" t="str">
        <f>IF(AND(A343="Аппарат",C343&lt;&gt;"",OR($S$5="(все)",B343=$S$5)),MAX($Y$3:Y342)+1,"")</f>
        <v/>
      </c>
      <c r="Z343" s="38" t="str">
        <f t="shared" si="49"/>
        <v/>
      </c>
      <c r="AA343" s="38" t="str">
        <f>IF(AND(A343="Модуль",C343&lt;&gt;"",OR($S$6="(все)",B343=$S$6)),MAX($AA$3:AA342)+1,"")</f>
        <v/>
      </c>
      <c r="AB343" s="38" t="str">
        <f t="shared" si="50"/>
        <v/>
      </c>
      <c r="AC343" s="38" t="str">
        <f>IF(OR(B343="",COUNTIF($B$4:B343,B343)&gt;1),"",MAX($AC$3:AC342)+1)</f>
        <v/>
      </c>
      <c r="AD343" s="38" t="str">
        <f t="shared" si="51"/>
        <v/>
      </c>
      <c r="AE343" s="38" t="str">
        <f t="shared" si="52"/>
        <v/>
      </c>
      <c r="AF343" s="38" t="str">
        <f t="shared" si="53"/>
        <v/>
      </c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38" t="str">
        <f>IF(OR(A344="Автомат",A344="Дифавтомат"),IF(W344="","",COUNTIFS(Однолинейка!$H$3:$H$3000,U344,Однолинейка!$A$3:$A$3000,Щит_спец)),IF(A344="Аппарат",IF(C344="","",COUNTIFS(Однолинейка!$I$3:$I$3000,C344,Однолинейка!$A$3:$A$3000,Щит_спец)+COUNTIFS(Однолинейка!$J$3:$J$3000,C344,Однолинейка!$A$3:$A$3000,Щит_спец)+COUNTIFS(Однолинейка!$K$3:$K$3000,C344,Однолинейка!$A$3:$A$3000,Щит_спец)),IF(A344="Модуль",IF(C344="","",COUNTIFS(Однолинейка!$AW$3:$AW$3000,"?*",Однолинейка!$AI$3:$AI$3000,C344,Однолинейка!$A$3:$A$3000,Щит_спец)),IF(A344="Клемма",IF(C344="","",IF(C344=$S$7,SUMIFS(Однолинейка!$BW$3:$BW$3000,Однолинейка!$A$3:$A$3000,Щит_спец),IF(C344=$S$8,SUMIFS(Однолинейка!$BX$3:$BX$3000,Однолинейка!$A$3:$A$3000,Щит_спец),""))),""))))</f>
        <v/>
      </c>
      <c r="O344" s="74"/>
      <c r="P344" s="38" t="str">
        <f t="shared" si="45"/>
        <v/>
      </c>
      <c r="U344" s="38" t="str">
        <f t="shared" si="46"/>
        <v/>
      </c>
      <c r="V344" s="38" t="str">
        <f t="shared" si="47"/>
        <v/>
      </c>
      <c r="W344" s="38" t="str">
        <f>IF(AND(U344&lt;&gt;"",OR($S$4="(все)",B344=$S$4),IF($S$4="(все)",COUNTIF($U$4:U344,U344),COUNTIFS($U$4:U344,U344,$B$4:B344,B344))=1),MAX($W$3:W343)+1,"")</f>
        <v/>
      </c>
      <c r="X344" s="38" t="str">
        <f t="shared" si="48"/>
        <v/>
      </c>
      <c r="Y344" s="38" t="str">
        <f>IF(AND(A344="Аппарат",C344&lt;&gt;"",OR($S$5="(все)",B344=$S$5)),MAX($Y$3:Y343)+1,"")</f>
        <v/>
      </c>
      <c r="Z344" s="38" t="str">
        <f t="shared" si="49"/>
        <v/>
      </c>
      <c r="AA344" s="38" t="str">
        <f>IF(AND(A344="Модуль",C344&lt;&gt;"",OR($S$6="(все)",B344=$S$6)),MAX($AA$3:AA343)+1,"")</f>
        <v/>
      </c>
      <c r="AB344" s="38" t="str">
        <f t="shared" si="50"/>
        <v/>
      </c>
      <c r="AC344" s="38" t="str">
        <f>IF(OR(B344="",COUNTIF($B$4:B344,B344)&gt;1),"",MAX($AC$3:AC343)+1)</f>
        <v/>
      </c>
      <c r="AD344" s="38" t="str">
        <f t="shared" si="51"/>
        <v/>
      </c>
      <c r="AE344" s="38" t="str">
        <f t="shared" si="52"/>
        <v/>
      </c>
      <c r="AF344" s="38" t="str">
        <f t="shared" si="53"/>
        <v/>
      </c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38" t="str">
        <f>IF(OR(A345="Автомат",A345="Дифавтомат"),IF(W345="","",COUNTIFS(Однолинейка!$H$3:$H$3000,U345,Однолинейка!$A$3:$A$3000,Щит_спец)),IF(A345="Аппарат",IF(C345="","",COUNTIFS(Однолинейка!$I$3:$I$3000,C345,Однолинейка!$A$3:$A$3000,Щит_спец)+COUNTIFS(Однолинейка!$J$3:$J$3000,C345,Однолинейка!$A$3:$A$3000,Щит_спец)+COUNTIFS(Однолинейка!$K$3:$K$3000,C345,Однолинейка!$A$3:$A$3000,Щит_спец)),IF(A345="Модуль",IF(C345="","",COUNTIFS(Однолинейка!$AW$3:$AW$3000,"?*",Однолинейка!$AI$3:$AI$3000,C345,Однолинейка!$A$3:$A$3000,Щит_спец)),IF(A345="Клемма",IF(C345="","",IF(C345=$S$7,SUMIFS(Однолинейка!$BW$3:$BW$3000,Однолинейка!$A$3:$A$3000,Щит_спец),IF(C345=$S$8,SUMIFS(Однолинейка!$BX$3:$BX$3000,Однолинейка!$A$3:$A$3000,Щит_спец),""))),""))))</f>
        <v/>
      </c>
      <c r="O345" s="74"/>
      <c r="P345" s="38" t="str">
        <f t="shared" si="45"/>
        <v/>
      </c>
      <c r="U345" s="38" t="str">
        <f t="shared" si="46"/>
        <v/>
      </c>
      <c r="V345" s="38" t="str">
        <f t="shared" si="47"/>
        <v/>
      </c>
      <c r="W345" s="38" t="str">
        <f>IF(AND(U345&lt;&gt;"",OR($S$4="(все)",B345=$S$4),IF($S$4="(все)",COUNTIF($U$4:U345,U345),COUNTIFS($U$4:U345,U345,$B$4:B345,B345))=1),MAX($W$3:W344)+1,"")</f>
        <v/>
      </c>
      <c r="X345" s="38" t="str">
        <f t="shared" si="48"/>
        <v/>
      </c>
      <c r="Y345" s="38" t="str">
        <f>IF(AND(A345="Аппарат",C345&lt;&gt;"",OR($S$5="(все)",B345=$S$5)),MAX($Y$3:Y344)+1,"")</f>
        <v/>
      </c>
      <c r="Z345" s="38" t="str">
        <f t="shared" si="49"/>
        <v/>
      </c>
      <c r="AA345" s="38" t="str">
        <f>IF(AND(A345="Модуль",C345&lt;&gt;"",OR($S$6="(все)",B345=$S$6)),MAX($AA$3:AA344)+1,"")</f>
        <v/>
      </c>
      <c r="AB345" s="38" t="str">
        <f t="shared" si="50"/>
        <v/>
      </c>
      <c r="AC345" s="38" t="str">
        <f>IF(OR(B345="",COUNTIF($B$4:B345,B345)&gt;1),"",MAX($AC$3:AC344)+1)</f>
        <v/>
      </c>
      <c r="AD345" s="38" t="str">
        <f t="shared" si="51"/>
        <v/>
      </c>
      <c r="AE345" s="38" t="str">
        <f t="shared" si="52"/>
        <v/>
      </c>
      <c r="AF345" s="38" t="str">
        <f t="shared" si="53"/>
        <v/>
      </c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38" t="str">
        <f>IF(OR(A346="Автомат",A346="Дифавтомат"),IF(W346="","",COUNTIFS(Однолинейка!$H$3:$H$3000,U346,Однолинейка!$A$3:$A$3000,Щит_спец)),IF(A346="Аппарат",IF(C346="","",COUNTIFS(Однолинейка!$I$3:$I$3000,C346,Однолинейка!$A$3:$A$3000,Щит_спец)+COUNTIFS(Однолинейка!$J$3:$J$3000,C346,Однолинейка!$A$3:$A$3000,Щит_спец)+COUNTIFS(Однолинейка!$K$3:$K$3000,C346,Однолинейка!$A$3:$A$3000,Щит_спец)),IF(A346="Модуль",IF(C346="","",COUNTIFS(Однолинейка!$AW$3:$AW$3000,"?*",Однолинейка!$AI$3:$AI$3000,C346,Однолинейка!$A$3:$A$3000,Щит_спец)),IF(A346="Клемма",IF(C346="","",IF(C346=$S$7,SUMIFS(Однолинейка!$BW$3:$BW$3000,Однолинейка!$A$3:$A$3000,Щит_спец),IF(C346=$S$8,SUMIFS(Однолинейка!$BX$3:$BX$3000,Однолинейка!$A$3:$A$3000,Щит_спец),""))),""))))</f>
        <v/>
      </c>
      <c r="O346" s="74"/>
      <c r="P346" s="38" t="str">
        <f t="shared" si="45"/>
        <v/>
      </c>
      <c r="U346" s="38" t="str">
        <f t="shared" si="46"/>
        <v/>
      </c>
      <c r="V346" s="38" t="str">
        <f t="shared" si="47"/>
        <v/>
      </c>
      <c r="W346" s="38" t="str">
        <f>IF(AND(U346&lt;&gt;"",OR($S$4="(все)",B346=$S$4),IF($S$4="(все)",COUNTIF($U$4:U346,U346),COUNTIFS($U$4:U346,U346,$B$4:B346,B346))=1),MAX($W$3:W345)+1,"")</f>
        <v/>
      </c>
      <c r="X346" s="38" t="str">
        <f t="shared" si="48"/>
        <v/>
      </c>
      <c r="Y346" s="38" t="str">
        <f>IF(AND(A346="Аппарат",C346&lt;&gt;"",OR($S$5="(все)",B346=$S$5)),MAX($Y$3:Y345)+1,"")</f>
        <v/>
      </c>
      <c r="Z346" s="38" t="str">
        <f t="shared" si="49"/>
        <v/>
      </c>
      <c r="AA346" s="38" t="str">
        <f>IF(AND(A346="Модуль",C346&lt;&gt;"",OR($S$6="(все)",B346=$S$6)),MAX($AA$3:AA345)+1,"")</f>
        <v/>
      </c>
      <c r="AB346" s="38" t="str">
        <f t="shared" si="50"/>
        <v/>
      </c>
      <c r="AC346" s="38" t="str">
        <f>IF(OR(B346="",COUNTIF($B$4:B346,B346)&gt;1),"",MAX($AC$3:AC345)+1)</f>
        <v/>
      </c>
      <c r="AD346" s="38" t="str">
        <f t="shared" si="51"/>
        <v/>
      </c>
      <c r="AE346" s="38" t="str">
        <f t="shared" si="52"/>
        <v/>
      </c>
      <c r="AF346" s="38" t="str">
        <f t="shared" si="53"/>
        <v/>
      </c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38" t="str">
        <f>IF(OR(A347="Автомат",A347="Дифавтомат"),IF(W347="","",COUNTIFS(Однолинейка!$H$3:$H$3000,U347,Однолинейка!$A$3:$A$3000,Щит_спец)),IF(A347="Аппарат",IF(C347="","",COUNTIFS(Однолинейка!$I$3:$I$3000,C347,Однолинейка!$A$3:$A$3000,Щит_спец)+COUNTIFS(Однолинейка!$J$3:$J$3000,C347,Однолинейка!$A$3:$A$3000,Щит_спец)+COUNTIFS(Однолинейка!$K$3:$K$3000,C347,Однолинейка!$A$3:$A$3000,Щит_спец)),IF(A347="Модуль",IF(C347="","",COUNTIFS(Однолинейка!$AW$3:$AW$3000,"?*",Однолинейка!$AI$3:$AI$3000,C347,Однолинейка!$A$3:$A$3000,Щит_спец)),IF(A347="Клемма",IF(C347="","",IF(C347=$S$7,SUMIFS(Однолинейка!$BW$3:$BW$3000,Однолинейка!$A$3:$A$3000,Щит_спец),IF(C347=$S$8,SUMIFS(Однолинейка!$BX$3:$BX$3000,Однолинейка!$A$3:$A$3000,Щит_спец),""))),""))))</f>
        <v/>
      </c>
      <c r="O347" s="74"/>
      <c r="P347" s="38" t="str">
        <f t="shared" si="45"/>
        <v/>
      </c>
      <c r="U347" s="38" t="str">
        <f t="shared" si="46"/>
        <v/>
      </c>
      <c r="V347" s="38" t="str">
        <f t="shared" si="47"/>
        <v/>
      </c>
      <c r="W347" s="38" t="str">
        <f>IF(AND(U347&lt;&gt;"",OR($S$4="(все)",B347=$S$4),IF($S$4="(все)",COUNTIF($U$4:U347,U347),COUNTIFS($U$4:U347,U347,$B$4:B347,B347))=1),MAX($W$3:W346)+1,"")</f>
        <v/>
      </c>
      <c r="X347" s="38" t="str">
        <f t="shared" si="48"/>
        <v/>
      </c>
      <c r="Y347" s="38" t="str">
        <f>IF(AND(A347="Аппарат",C347&lt;&gt;"",OR($S$5="(все)",B347=$S$5)),MAX($Y$3:Y346)+1,"")</f>
        <v/>
      </c>
      <c r="Z347" s="38" t="str">
        <f t="shared" si="49"/>
        <v/>
      </c>
      <c r="AA347" s="38" t="str">
        <f>IF(AND(A347="Модуль",C347&lt;&gt;"",OR($S$6="(все)",B347=$S$6)),MAX($AA$3:AA346)+1,"")</f>
        <v/>
      </c>
      <c r="AB347" s="38" t="str">
        <f t="shared" si="50"/>
        <v/>
      </c>
      <c r="AC347" s="38" t="str">
        <f>IF(OR(B347="",COUNTIF($B$4:B347,B347)&gt;1),"",MAX($AC$3:AC346)+1)</f>
        <v/>
      </c>
      <c r="AD347" s="38" t="str">
        <f t="shared" si="51"/>
        <v/>
      </c>
      <c r="AE347" s="38" t="str">
        <f t="shared" si="52"/>
        <v/>
      </c>
      <c r="AF347" s="38" t="str">
        <f t="shared" si="53"/>
        <v/>
      </c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38" t="str">
        <f>IF(OR(A348="Автомат",A348="Дифавтомат"),IF(W348="","",COUNTIFS(Однолинейка!$H$3:$H$3000,U348,Однолинейка!$A$3:$A$3000,Щит_спец)),IF(A348="Аппарат",IF(C348="","",COUNTIFS(Однолинейка!$I$3:$I$3000,C348,Однолинейка!$A$3:$A$3000,Щит_спец)+COUNTIFS(Однолинейка!$J$3:$J$3000,C348,Однолинейка!$A$3:$A$3000,Щит_спец)+COUNTIFS(Однолинейка!$K$3:$K$3000,C348,Однолинейка!$A$3:$A$3000,Щит_спец)),IF(A348="Модуль",IF(C348="","",COUNTIFS(Однолинейка!$AW$3:$AW$3000,"?*",Однолинейка!$AI$3:$AI$3000,C348,Однолинейка!$A$3:$A$3000,Щит_спец)),IF(A348="Клемма",IF(C348="","",IF(C348=$S$7,SUMIFS(Однолинейка!$BW$3:$BW$3000,Однолинейка!$A$3:$A$3000,Щит_спец),IF(C348=$S$8,SUMIFS(Однолинейка!$BX$3:$BX$3000,Однолинейка!$A$3:$A$3000,Щит_спец),""))),""))))</f>
        <v/>
      </c>
      <c r="O348" s="74"/>
      <c r="P348" s="38" t="str">
        <f t="shared" si="45"/>
        <v/>
      </c>
      <c r="U348" s="38" t="str">
        <f t="shared" si="46"/>
        <v/>
      </c>
      <c r="V348" s="38" t="str">
        <f t="shared" si="47"/>
        <v/>
      </c>
      <c r="W348" s="38" t="str">
        <f>IF(AND(U348&lt;&gt;"",OR($S$4="(все)",B348=$S$4),IF($S$4="(все)",COUNTIF($U$4:U348,U348),COUNTIFS($U$4:U348,U348,$B$4:B348,B348))=1),MAX($W$3:W347)+1,"")</f>
        <v/>
      </c>
      <c r="X348" s="38" t="str">
        <f t="shared" si="48"/>
        <v/>
      </c>
      <c r="Y348" s="38" t="str">
        <f>IF(AND(A348="Аппарат",C348&lt;&gt;"",OR($S$5="(все)",B348=$S$5)),MAX($Y$3:Y347)+1,"")</f>
        <v/>
      </c>
      <c r="Z348" s="38" t="str">
        <f t="shared" si="49"/>
        <v/>
      </c>
      <c r="AA348" s="38" t="str">
        <f>IF(AND(A348="Модуль",C348&lt;&gt;"",OR($S$6="(все)",B348=$S$6)),MAX($AA$3:AA347)+1,"")</f>
        <v/>
      </c>
      <c r="AB348" s="38" t="str">
        <f t="shared" si="50"/>
        <v/>
      </c>
      <c r="AC348" s="38" t="str">
        <f>IF(OR(B348="",COUNTIF($B$4:B348,B348)&gt;1),"",MAX($AC$3:AC347)+1)</f>
        <v/>
      </c>
      <c r="AD348" s="38" t="str">
        <f t="shared" si="51"/>
        <v/>
      </c>
      <c r="AE348" s="38" t="str">
        <f t="shared" si="52"/>
        <v/>
      </c>
      <c r="AF348" s="38" t="str">
        <f t="shared" si="53"/>
        <v/>
      </c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38" t="str">
        <f>IF(OR(A349="Автомат",A349="Дифавтомат"),IF(W349="","",COUNTIFS(Однолинейка!$H$3:$H$3000,U349,Однолинейка!$A$3:$A$3000,Щит_спец)),IF(A349="Аппарат",IF(C349="","",COUNTIFS(Однолинейка!$I$3:$I$3000,C349,Однолинейка!$A$3:$A$3000,Щит_спец)+COUNTIFS(Однолинейка!$J$3:$J$3000,C349,Однолинейка!$A$3:$A$3000,Щит_спец)+COUNTIFS(Однолинейка!$K$3:$K$3000,C349,Однолинейка!$A$3:$A$3000,Щит_спец)),IF(A349="Модуль",IF(C349="","",COUNTIFS(Однолинейка!$AW$3:$AW$3000,"?*",Однолинейка!$AI$3:$AI$3000,C349,Однолинейка!$A$3:$A$3000,Щит_спец)),IF(A349="Клемма",IF(C349="","",IF(C349=$S$7,SUMIFS(Однолинейка!$BW$3:$BW$3000,Однолинейка!$A$3:$A$3000,Щит_спец),IF(C349=$S$8,SUMIFS(Однолинейка!$BX$3:$BX$3000,Однолинейка!$A$3:$A$3000,Щит_спец),""))),""))))</f>
        <v/>
      </c>
      <c r="O349" s="74"/>
      <c r="P349" s="38" t="str">
        <f t="shared" si="45"/>
        <v/>
      </c>
      <c r="U349" s="38" t="str">
        <f t="shared" si="46"/>
        <v/>
      </c>
      <c r="V349" s="38" t="str">
        <f t="shared" si="47"/>
        <v/>
      </c>
      <c r="W349" s="38" t="str">
        <f>IF(AND(U349&lt;&gt;"",OR($S$4="(все)",B349=$S$4),IF($S$4="(все)",COUNTIF($U$4:U349,U349),COUNTIFS($U$4:U349,U349,$B$4:B349,B349))=1),MAX($W$3:W348)+1,"")</f>
        <v/>
      </c>
      <c r="X349" s="38" t="str">
        <f t="shared" si="48"/>
        <v/>
      </c>
      <c r="Y349" s="38" t="str">
        <f>IF(AND(A349="Аппарат",C349&lt;&gt;"",OR($S$5="(все)",B349=$S$5)),MAX($Y$3:Y348)+1,"")</f>
        <v/>
      </c>
      <c r="Z349" s="38" t="str">
        <f t="shared" si="49"/>
        <v/>
      </c>
      <c r="AA349" s="38" t="str">
        <f>IF(AND(A349="Модуль",C349&lt;&gt;"",OR($S$6="(все)",B349=$S$6)),MAX($AA$3:AA348)+1,"")</f>
        <v/>
      </c>
      <c r="AB349" s="38" t="str">
        <f t="shared" si="50"/>
        <v/>
      </c>
      <c r="AC349" s="38" t="str">
        <f>IF(OR(B349="",COUNTIF($B$4:B349,B349)&gt;1),"",MAX($AC$3:AC348)+1)</f>
        <v/>
      </c>
      <c r="AD349" s="38" t="str">
        <f t="shared" si="51"/>
        <v/>
      </c>
      <c r="AE349" s="38" t="str">
        <f t="shared" si="52"/>
        <v/>
      </c>
      <c r="AF349" s="38" t="str">
        <f t="shared" si="53"/>
        <v/>
      </c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38" t="str">
        <f>IF(OR(A350="Автомат",A350="Дифавтомат"),IF(W350="","",COUNTIFS(Однолинейка!$H$3:$H$3000,U350,Однолинейка!$A$3:$A$3000,Щит_спец)),IF(A350="Аппарат",IF(C350="","",COUNTIFS(Однолинейка!$I$3:$I$3000,C350,Однолинейка!$A$3:$A$3000,Щит_спец)+COUNTIFS(Однолинейка!$J$3:$J$3000,C350,Однолинейка!$A$3:$A$3000,Щит_спец)+COUNTIFS(Однолинейка!$K$3:$K$3000,C350,Однолинейка!$A$3:$A$3000,Щит_спец)),IF(A350="Модуль",IF(C350="","",COUNTIFS(Однолинейка!$AW$3:$AW$3000,"?*",Однолинейка!$AI$3:$AI$3000,C350,Однолинейка!$A$3:$A$3000,Щит_спец)),IF(A350="Клемма",IF(C350="","",IF(C350=$S$7,SUMIFS(Однолинейка!$BW$3:$BW$3000,Однолинейка!$A$3:$A$3000,Щит_спец),IF(C350=$S$8,SUMIFS(Однолинейка!$BX$3:$BX$3000,Однолинейка!$A$3:$A$3000,Щит_спец),""))),""))))</f>
        <v/>
      </c>
      <c r="O350" s="74"/>
      <c r="P350" s="38" t="str">
        <f t="shared" si="45"/>
        <v/>
      </c>
      <c r="U350" s="38" t="str">
        <f t="shared" si="46"/>
        <v/>
      </c>
      <c r="V350" s="38" t="str">
        <f t="shared" si="47"/>
        <v/>
      </c>
      <c r="W350" s="38" t="str">
        <f>IF(AND(U350&lt;&gt;"",OR($S$4="(все)",B350=$S$4),IF($S$4="(все)",COUNTIF($U$4:U350,U350),COUNTIFS($U$4:U350,U350,$B$4:B350,B350))=1),MAX($W$3:W349)+1,"")</f>
        <v/>
      </c>
      <c r="X350" s="38" t="str">
        <f t="shared" si="48"/>
        <v/>
      </c>
      <c r="Y350" s="38" t="str">
        <f>IF(AND(A350="Аппарат",C350&lt;&gt;"",OR($S$5="(все)",B350=$S$5)),MAX($Y$3:Y349)+1,"")</f>
        <v/>
      </c>
      <c r="Z350" s="38" t="str">
        <f t="shared" si="49"/>
        <v/>
      </c>
      <c r="AA350" s="38" t="str">
        <f>IF(AND(A350="Модуль",C350&lt;&gt;"",OR($S$6="(все)",B350=$S$6)),MAX($AA$3:AA349)+1,"")</f>
        <v/>
      </c>
      <c r="AB350" s="38" t="str">
        <f t="shared" si="50"/>
        <v/>
      </c>
      <c r="AC350" s="38" t="str">
        <f>IF(OR(B350="",COUNTIF($B$4:B350,B350)&gt;1),"",MAX($AC$3:AC349)+1)</f>
        <v/>
      </c>
      <c r="AD350" s="38" t="str">
        <f t="shared" si="51"/>
        <v/>
      </c>
      <c r="AE350" s="38" t="str">
        <f t="shared" si="52"/>
        <v/>
      </c>
      <c r="AF350" s="38" t="str">
        <f t="shared" si="53"/>
        <v/>
      </c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38" t="str">
        <f>IF(OR(A351="Автомат",A351="Дифавтомат"),IF(W351="","",COUNTIFS(Однолинейка!$H$3:$H$3000,U351,Однолинейка!$A$3:$A$3000,Щит_спец)),IF(A351="Аппарат",IF(C351="","",COUNTIFS(Однолинейка!$I$3:$I$3000,C351,Однолинейка!$A$3:$A$3000,Щит_спец)+COUNTIFS(Однолинейка!$J$3:$J$3000,C351,Однолинейка!$A$3:$A$3000,Щит_спец)+COUNTIFS(Однолинейка!$K$3:$K$3000,C351,Однолинейка!$A$3:$A$3000,Щит_спец)),IF(A351="Модуль",IF(C351="","",COUNTIFS(Однолинейка!$AW$3:$AW$3000,"?*",Однолинейка!$AI$3:$AI$3000,C351,Однолинейка!$A$3:$A$3000,Щит_спец)),IF(A351="Клемма",IF(C351="","",IF(C351=$S$7,SUMIFS(Однолинейка!$BW$3:$BW$3000,Однолинейка!$A$3:$A$3000,Щит_спец),IF(C351=$S$8,SUMIFS(Однолинейка!$BX$3:$BX$3000,Однолинейка!$A$3:$A$3000,Щит_спец),""))),""))))</f>
        <v/>
      </c>
      <c r="O351" s="74"/>
      <c r="P351" s="38" t="str">
        <f t="shared" si="45"/>
        <v/>
      </c>
      <c r="U351" s="38" t="str">
        <f t="shared" si="46"/>
        <v/>
      </c>
      <c r="V351" s="38" t="str">
        <f t="shared" si="47"/>
        <v/>
      </c>
      <c r="W351" s="38" t="str">
        <f>IF(AND(U351&lt;&gt;"",OR($S$4="(все)",B351=$S$4),IF($S$4="(все)",COUNTIF($U$4:U351,U351),COUNTIFS($U$4:U351,U351,$B$4:B351,B351))=1),MAX($W$3:W350)+1,"")</f>
        <v/>
      </c>
      <c r="X351" s="38" t="str">
        <f t="shared" si="48"/>
        <v/>
      </c>
      <c r="Y351" s="38" t="str">
        <f>IF(AND(A351="Аппарат",C351&lt;&gt;"",OR($S$5="(все)",B351=$S$5)),MAX($Y$3:Y350)+1,"")</f>
        <v/>
      </c>
      <c r="Z351" s="38" t="str">
        <f t="shared" si="49"/>
        <v/>
      </c>
      <c r="AA351" s="38" t="str">
        <f>IF(AND(A351="Модуль",C351&lt;&gt;"",OR($S$6="(все)",B351=$S$6)),MAX($AA$3:AA350)+1,"")</f>
        <v/>
      </c>
      <c r="AB351" s="38" t="str">
        <f t="shared" si="50"/>
        <v/>
      </c>
      <c r="AC351" s="38" t="str">
        <f>IF(OR(B351="",COUNTIF($B$4:B351,B351)&gt;1),"",MAX($AC$3:AC350)+1)</f>
        <v/>
      </c>
      <c r="AD351" s="38" t="str">
        <f t="shared" si="51"/>
        <v/>
      </c>
      <c r="AE351" s="38" t="str">
        <f t="shared" si="52"/>
        <v/>
      </c>
      <c r="AF351" s="38" t="str">
        <f t="shared" si="53"/>
        <v/>
      </c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38" t="str">
        <f>IF(OR(A352="Автомат",A352="Дифавтомат"),IF(W352="","",COUNTIFS(Однолинейка!$H$3:$H$3000,U352,Однолинейка!$A$3:$A$3000,Щит_спец)),IF(A352="Аппарат",IF(C352="","",COUNTIFS(Однолинейка!$I$3:$I$3000,C352,Однолинейка!$A$3:$A$3000,Щит_спец)+COUNTIFS(Однолинейка!$J$3:$J$3000,C352,Однолинейка!$A$3:$A$3000,Щит_спец)+COUNTIFS(Однолинейка!$K$3:$K$3000,C352,Однолинейка!$A$3:$A$3000,Щит_спец)),IF(A352="Модуль",IF(C352="","",COUNTIFS(Однолинейка!$AW$3:$AW$3000,"?*",Однолинейка!$AI$3:$AI$3000,C352,Однолинейка!$A$3:$A$3000,Щит_спец)),IF(A352="Клемма",IF(C352="","",IF(C352=$S$7,SUMIFS(Однолинейка!$BW$3:$BW$3000,Однолинейка!$A$3:$A$3000,Щит_спец),IF(C352=$S$8,SUMIFS(Однолинейка!$BX$3:$BX$3000,Однолинейка!$A$3:$A$3000,Щит_спец),""))),""))))</f>
        <v/>
      </c>
      <c r="O352" s="74"/>
      <c r="P352" s="38" t="str">
        <f t="shared" si="45"/>
        <v/>
      </c>
      <c r="U352" s="38" t="str">
        <f t="shared" si="46"/>
        <v/>
      </c>
      <c r="V352" s="38" t="str">
        <f t="shared" si="47"/>
        <v/>
      </c>
      <c r="W352" s="38" t="str">
        <f>IF(AND(U352&lt;&gt;"",OR($S$4="(все)",B352=$S$4),IF($S$4="(все)",COUNTIF($U$4:U352,U352),COUNTIFS($U$4:U352,U352,$B$4:B352,B352))=1),MAX($W$3:W351)+1,"")</f>
        <v/>
      </c>
      <c r="X352" s="38" t="str">
        <f t="shared" si="48"/>
        <v/>
      </c>
      <c r="Y352" s="38" t="str">
        <f>IF(AND(A352="Аппарат",C352&lt;&gt;"",OR($S$5="(все)",B352=$S$5)),MAX($Y$3:Y351)+1,"")</f>
        <v/>
      </c>
      <c r="Z352" s="38" t="str">
        <f t="shared" si="49"/>
        <v/>
      </c>
      <c r="AA352" s="38" t="str">
        <f>IF(AND(A352="Модуль",C352&lt;&gt;"",OR($S$6="(все)",B352=$S$6)),MAX($AA$3:AA351)+1,"")</f>
        <v/>
      </c>
      <c r="AB352" s="38" t="str">
        <f t="shared" si="50"/>
        <v/>
      </c>
      <c r="AC352" s="38" t="str">
        <f>IF(OR(B352="",COUNTIF($B$4:B352,B352)&gt;1),"",MAX($AC$3:AC351)+1)</f>
        <v/>
      </c>
      <c r="AD352" s="38" t="str">
        <f t="shared" si="51"/>
        <v/>
      </c>
      <c r="AE352" s="38" t="str">
        <f t="shared" si="52"/>
        <v/>
      </c>
      <c r="AF352" s="38" t="str">
        <f t="shared" si="53"/>
        <v/>
      </c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38" t="str">
        <f>IF(OR(A353="Автомат",A353="Дифавтомат"),IF(W353="","",COUNTIFS(Однолинейка!$H$3:$H$3000,U353,Однолинейка!$A$3:$A$3000,Щит_спец)),IF(A353="Аппарат",IF(C353="","",COUNTIFS(Однолинейка!$I$3:$I$3000,C353,Однолинейка!$A$3:$A$3000,Щит_спец)+COUNTIFS(Однолинейка!$J$3:$J$3000,C353,Однолинейка!$A$3:$A$3000,Щит_спец)+COUNTIFS(Однолинейка!$K$3:$K$3000,C353,Однолинейка!$A$3:$A$3000,Щит_спец)),IF(A353="Модуль",IF(C353="","",COUNTIFS(Однолинейка!$AW$3:$AW$3000,"?*",Однолинейка!$AI$3:$AI$3000,C353,Однолинейка!$A$3:$A$3000,Щит_спец)),IF(A353="Клемма",IF(C353="","",IF(C353=$S$7,SUMIFS(Однолинейка!$BW$3:$BW$3000,Однолинейка!$A$3:$A$3000,Щит_спец),IF(C353=$S$8,SUMIFS(Однолинейка!$BX$3:$BX$3000,Однолинейка!$A$3:$A$3000,Щит_спец),""))),""))))</f>
        <v/>
      </c>
      <c r="O353" s="74"/>
      <c r="P353" s="38" t="str">
        <f t="shared" si="45"/>
        <v/>
      </c>
      <c r="U353" s="38" t="str">
        <f t="shared" si="46"/>
        <v/>
      </c>
      <c r="V353" s="38" t="str">
        <f t="shared" si="47"/>
        <v/>
      </c>
      <c r="W353" s="38" t="str">
        <f>IF(AND(U353&lt;&gt;"",OR($S$4="(все)",B353=$S$4),IF($S$4="(все)",COUNTIF($U$4:U353,U353),COUNTIFS($U$4:U353,U353,$B$4:B353,B353))=1),MAX($W$3:W352)+1,"")</f>
        <v/>
      </c>
      <c r="X353" s="38" t="str">
        <f t="shared" si="48"/>
        <v/>
      </c>
      <c r="Y353" s="38" t="str">
        <f>IF(AND(A353="Аппарат",C353&lt;&gt;"",OR($S$5="(все)",B353=$S$5)),MAX($Y$3:Y352)+1,"")</f>
        <v/>
      </c>
      <c r="Z353" s="38" t="str">
        <f t="shared" si="49"/>
        <v/>
      </c>
      <c r="AA353" s="38" t="str">
        <f>IF(AND(A353="Модуль",C353&lt;&gt;"",OR($S$6="(все)",B353=$S$6)),MAX($AA$3:AA352)+1,"")</f>
        <v/>
      </c>
      <c r="AB353" s="38" t="str">
        <f t="shared" si="50"/>
        <v/>
      </c>
      <c r="AC353" s="38" t="str">
        <f>IF(OR(B353="",COUNTIF($B$4:B353,B353)&gt;1),"",MAX($AC$3:AC352)+1)</f>
        <v/>
      </c>
      <c r="AD353" s="38" t="str">
        <f t="shared" si="51"/>
        <v/>
      </c>
      <c r="AE353" s="38" t="str">
        <f t="shared" si="52"/>
        <v/>
      </c>
      <c r="AF353" s="38" t="str">
        <f t="shared" si="53"/>
        <v/>
      </c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38" t="str">
        <f>IF(OR(A354="Автомат",A354="Дифавтомат"),IF(W354="","",COUNTIFS(Однолинейка!$H$3:$H$3000,U354,Однолинейка!$A$3:$A$3000,Щит_спец)),IF(A354="Аппарат",IF(C354="","",COUNTIFS(Однолинейка!$I$3:$I$3000,C354,Однолинейка!$A$3:$A$3000,Щит_спец)+COUNTIFS(Однолинейка!$J$3:$J$3000,C354,Однолинейка!$A$3:$A$3000,Щит_спец)+COUNTIFS(Однолинейка!$K$3:$K$3000,C354,Однолинейка!$A$3:$A$3000,Щит_спец)),IF(A354="Модуль",IF(C354="","",COUNTIFS(Однолинейка!$AW$3:$AW$3000,"?*",Однолинейка!$AI$3:$AI$3000,C354,Однолинейка!$A$3:$A$3000,Щит_спец)),IF(A354="Клемма",IF(C354="","",IF(C354=$S$7,SUMIFS(Однолинейка!$BW$3:$BW$3000,Однолинейка!$A$3:$A$3000,Щит_спец),IF(C354=$S$8,SUMIFS(Однолинейка!$BX$3:$BX$3000,Однолинейка!$A$3:$A$3000,Щит_спец),""))),""))))</f>
        <v/>
      </c>
      <c r="O354" s="74"/>
      <c r="P354" s="38" t="str">
        <f t="shared" si="45"/>
        <v/>
      </c>
      <c r="U354" s="38" t="str">
        <f t="shared" si="46"/>
        <v/>
      </c>
      <c r="V354" s="38" t="str">
        <f t="shared" si="47"/>
        <v/>
      </c>
      <c r="W354" s="38" t="str">
        <f>IF(AND(U354&lt;&gt;"",OR($S$4="(все)",B354=$S$4),IF($S$4="(все)",COUNTIF($U$4:U354,U354),COUNTIFS($U$4:U354,U354,$B$4:B354,B354))=1),MAX($W$3:W353)+1,"")</f>
        <v/>
      </c>
      <c r="X354" s="38" t="str">
        <f t="shared" si="48"/>
        <v/>
      </c>
      <c r="Y354" s="38" t="str">
        <f>IF(AND(A354="Аппарат",C354&lt;&gt;"",OR($S$5="(все)",B354=$S$5)),MAX($Y$3:Y353)+1,"")</f>
        <v/>
      </c>
      <c r="Z354" s="38" t="str">
        <f t="shared" si="49"/>
        <v/>
      </c>
      <c r="AA354" s="38" t="str">
        <f>IF(AND(A354="Модуль",C354&lt;&gt;"",OR($S$6="(все)",B354=$S$6)),MAX($AA$3:AA353)+1,"")</f>
        <v/>
      </c>
      <c r="AB354" s="38" t="str">
        <f t="shared" si="50"/>
        <v/>
      </c>
      <c r="AC354" s="38" t="str">
        <f>IF(OR(B354="",COUNTIF($B$4:B354,B354)&gt;1),"",MAX($AC$3:AC353)+1)</f>
        <v/>
      </c>
      <c r="AD354" s="38" t="str">
        <f t="shared" si="51"/>
        <v/>
      </c>
      <c r="AE354" s="38" t="str">
        <f t="shared" si="52"/>
        <v/>
      </c>
      <c r="AF354" s="38" t="str">
        <f t="shared" si="53"/>
        <v/>
      </c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38" t="str">
        <f>IF(OR(A355="Автомат",A355="Дифавтомат"),IF(W355="","",COUNTIFS(Однолинейка!$H$3:$H$3000,U355,Однолинейка!$A$3:$A$3000,Щит_спец)),IF(A355="Аппарат",IF(C355="","",COUNTIFS(Однолинейка!$I$3:$I$3000,C355,Однолинейка!$A$3:$A$3000,Щит_спец)+COUNTIFS(Однолинейка!$J$3:$J$3000,C355,Однолинейка!$A$3:$A$3000,Щит_спец)+COUNTIFS(Однолинейка!$K$3:$K$3000,C355,Однолинейка!$A$3:$A$3000,Щит_спец)),IF(A355="Модуль",IF(C355="","",COUNTIFS(Однолинейка!$AW$3:$AW$3000,"?*",Однолинейка!$AI$3:$AI$3000,C355,Однолинейка!$A$3:$A$3000,Щит_спец)),IF(A355="Клемма",IF(C355="","",IF(C355=$S$7,SUMIFS(Однолинейка!$BW$3:$BW$3000,Однолинейка!$A$3:$A$3000,Щит_спец),IF(C355=$S$8,SUMIFS(Однолинейка!$BX$3:$BX$3000,Однолинейка!$A$3:$A$3000,Щит_спец),""))),""))))</f>
        <v/>
      </c>
      <c r="O355" s="74"/>
      <c r="P355" s="38" t="str">
        <f t="shared" si="45"/>
        <v/>
      </c>
      <c r="U355" s="38" t="str">
        <f t="shared" si="46"/>
        <v/>
      </c>
      <c r="V355" s="38" t="str">
        <f t="shared" si="47"/>
        <v/>
      </c>
      <c r="W355" s="38" t="str">
        <f>IF(AND(U355&lt;&gt;"",OR($S$4="(все)",B355=$S$4),IF($S$4="(все)",COUNTIF($U$4:U355,U355),COUNTIFS($U$4:U355,U355,$B$4:B355,B355))=1),MAX($W$3:W354)+1,"")</f>
        <v/>
      </c>
      <c r="X355" s="38" t="str">
        <f t="shared" si="48"/>
        <v/>
      </c>
      <c r="Y355" s="38" t="str">
        <f>IF(AND(A355="Аппарат",C355&lt;&gt;"",OR($S$5="(все)",B355=$S$5)),MAX($Y$3:Y354)+1,"")</f>
        <v/>
      </c>
      <c r="Z355" s="38" t="str">
        <f t="shared" si="49"/>
        <v/>
      </c>
      <c r="AA355" s="38" t="str">
        <f>IF(AND(A355="Модуль",C355&lt;&gt;"",OR($S$6="(все)",B355=$S$6)),MAX($AA$3:AA354)+1,"")</f>
        <v/>
      </c>
      <c r="AB355" s="38" t="str">
        <f t="shared" si="50"/>
        <v/>
      </c>
      <c r="AC355" s="38" t="str">
        <f>IF(OR(B355="",COUNTIF($B$4:B355,B355)&gt;1),"",MAX($AC$3:AC354)+1)</f>
        <v/>
      </c>
      <c r="AD355" s="38" t="str">
        <f t="shared" si="51"/>
        <v/>
      </c>
      <c r="AE355" s="38" t="str">
        <f t="shared" si="52"/>
        <v/>
      </c>
      <c r="AF355" s="38" t="str">
        <f t="shared" si="53"/>
        <v/>
      </c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38" t="str">
        <f>IF(OR(A356="Автомат",A356="Дифавтомат"),IF(W356="","",COUNTIFS(Однолинейка!$H$3:$H$3000,U356,Однолинейка!$A$3:$A$3000,Щит_спец)),IF(A356="Аппарат",IF(C356="","",COUNTIFS(Однолинейка!$I$3:$I$3000,C356,Однолинейка!$A$3:$A$3000,Щит_спец)+COUNTIFS(Однолинейка!$J$3:$J$3000,C356,Однолинейка!$A$3:$A$3000,Щит_спец)+COUNTIFS(Однолинейка!$K$3:$K$3000,C356,Однолинейка!$A$3:$A$3000,Щит_спец)),IF(A356="Модуль",IF(C356="","",COUNTIFS(Однолинейка!$AW$3:$AW$3000,"?*",Однолинейка!$AI$3:$AI$3000,C356,Однолинейка!$A$3:$A$3000,Щит_спец)),IF(A356="Клемма",IF(C356="","",IF(C356=$S$7,SUMIFS(Однолинейка!$BW$3:$BW$3000,Однолинейка!$A$3:$A$3000,Щит_спец),IF(C356=$S$8,SUMIFS(Однолинейка!$BX$3:$BX$3000,Однолинейка!$A$3:$A$3000,Щит_спец),""))),""))))</f>
        <v/>
      </c>
      <c r="O356" s="74"/>
      <c r="P356" s="38" t="str">
        <f t="shared" si="45"/>
        <v/>
      </c>
      <c r="U356" s="38" t="str">
        <f t="shared" si="46"/>
        <v/>
      </c>
      <c r="V356" s="38" t="str">
        <f t="shared" si="47"/>
        <v/>
      </c>
      <c r="W356" s="38" t="str">
        <f>IF(AND(U356&lt;&gt;"",OR($S$4="(все)",B356=$S$4),IF($S$4="(все)",COUNTIF($U$4:U356,U356),COUNTIFS($U$4:U356,U356,$B$4:B356,B356))=1),MAX($W$3:W355)+1,"")</f>
        <v/>
      </c>
      <c r="X356" s="38" t="str">
        <f t="shared" si="48"/>
        <v/>
      </c>
      <c r="Y356" s="38" t="str">
        <f>IF(AND(A356="Аппарат",C356&lt;&gt;"",OR($S$5="(все)",B356=$S$5)),MAX($Y$3:Y355)+1,"")</f>
        <v/>
      </c>
      <c r="Z356" s="38" t="str">
        <f t="shared" si="49"/>
        <v/>
      </c>
      <c r="AA356" s="38" t="str">
        <f>IF(AND(A356="Модуль",C356&lt;&gt;"",OR($S$6="(все)",B356=$S$6)),MAX($AA$3:AA355)+1,"")</f>
        <v/>
      </c>
      <c r="AB356" s="38" t="str">
        <f t="shared" si="50"/>
        <v/>
      </c>
      <c r="AC356" s="38" t="str">
        <f>IF(OR(B356="",COUNTIF($B$4:B356,B356)&gt;1),"",MAX($AC$3:AC355)+1)</f>
        <v/>
      </c>
      <c r="AD356" s="38" t="str">
        <f t="shared" si="51"/>
        <v/>
      </c>
      <c r="AE356" s="38" t="str">
        <f t="shared" si="52"/>
        <v/>
      </c>
      <c r="AF356" s="38" t="str">
        <f t="shared" si="53"/>
        <v/>
      </c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38" t="str">
        <f>IF(OR(A357="Автомат",A357="Дифавтомат"),IF(W357="","",COUNTIFS(Однолинейка!$H$3:$H$3000,U357,Однолинейка!$A$3:$A$3000,Щит_спец)),IF(A357="Аппарат",IF(C357="","",COUNTIFS(Однолинейка!$I$3:$I$3000,C357,Однолинейка!$A$3:$A$3000,Щит_спец)+COUNTIFS(Однолинейка!$J$3:$J$3000,C357,Однолинейка!$A$3:$A$3000,Щит_спец)+COUNTIFS(Однолинейка!$K$3:$K$3000,C357,Однолинейка!$A$3:$A$3000,Щит_спец)),IF(A357="Модуль",IF(C357="","",COUNTIFS(Однолинейка!$AW$3:$AW$3000,"?*",Однолинейка!$AI$3:$AI$3000,C357,Однолинейка!$A$3:$A$3000,Щит_спец)),IF(A357="Клемма",IF(C357="","",IF(C357=$S$7,SUMIFS(Однолинейка!$BW$3:$BW$3000,Однолинейка!$A$3:$A$3000,Щит_спец),IF(C357=$S$8,SUMIFS(Однолинейка!$BX$3:$BX$3000,Однолинейка!$A$3:$A$3000,Щит_спец),""))),""))))</f>
        <v/>
      </c>
      <c r="O357" s="74"/>
      <c r="P357" s="38" t="str">
        <f t="shared" si="45"/>
        <v/>
      </c>
      <c r="U357" s="38" t="str">
        <f t="shared" si="46"/>
        <v/>
      </c>
      <c r="V357" s="38" t="str">
        <f t="shared" si="47"/>
        <v/>
      </c>
      <c r="W357" s="38" t="str">
        <f>IF(AND(U357&lt;&gt;"",OR($S$4="(все)",B357=$S$4),IF($S$4="(все)",COUNTIF($U$4:U357,U357),COUNTIFS($U$4:U357,U357,$B$4:B357,B357))=1),MAX($W$3:W356)+1,"")</f>
        <v/>
      </c>
      <c r="X357" s="38" t="str">
        <f t="shared" si="48"/>
        <v/>
      </c>
      <c r="Y357" s="38" t="str">
        <f>IF(AND(A357="Аппарат",C357&lt;&gt;"",OR($S$5="(все)",B357=$S$5)),MAX($Y$3:Y356)+1,"")</f>
        <v/>
      </c>
      <c r="Z357" s="38" t="str">
        <f t="shared" si="49"/>
        <v/>
      </c>
      <c r="AA357" s="38" t="str">
        <f>IF(AND(A357="Модуль",C357&lt;&gt;"",OR($S$6="(все)",B357=$S$6)),MAX($AA$3:AA356)+1,"")</f>
        <v/>
      </c>
      <c r="AB357" s="38" t="str">
        <f t="shared" si="50"/>
        <v/>
      </c>
      <c r="AC357" s="38" t="str">
        <f>IF(OR(B357="",COUNTIF($B$4:B357,B357)&gt;1),"",MAX($AC$3:AC356)+1)</f>
        <v/>
      </c>
      <c r="AD357" s="38" t="str">
        <f t="shared" si="51"/>
        <v/>
      </c>
      <c r="AE357" s="38" t="str">
        <f t="shared" si="52"/>
        <v/>
      </c>
      <c r="AF357" s="38" t="str">
        <f t="shared" si="53"/>
        <v/>
      </c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38" t="str">
        <f>IF(OR(A358="Автомат",A358="Дифавтомат"),IF(W358="","",COUNTIFS(Однолинейка!$H$3:$H$3000,U358,Однолинейка!$A$3:$A$3000,Щит_спец)),IF(A358="Аппарат",IF(C358="","",COUNTIFS(Однолинейка!$I$3:$I$3000,C358,Однолинейка!$A$3:$A$3000,Щит_спец)+COUNTIFS(Однолинейка!$J$3:$J$3000,C358,Однолинейка!$A$3:$A$3000,Щит_спец)+COUNTIFS(Однолинейка!$K$3:$K$3000,C358,Однолинейка!$A$3:$A$3000,Щит_спец)),IF(A358="Модуль",IF(C358="","",COUNTIFS(Однолинейка!$AW$3:$AW$3000,"?*",Однолинейка!$AI$3:$AI$3000,C358,Однолинейка!$A$3:$A$3000,Щит_спец)),IF(A358="Клемма",IF(C358="","",IF(C358=$S$7,SUMIFS(Однолинейка!$BW$3:$BW$3000,Однолинейка!$A$3:$A$3000,Щит_спец),IF(C358=$S$8,SUMIFS(Однолинейка!$BX$3:$BX$3000,Однолинейка!$A$3:$A$3000,Щит_спец),""))),""))))</f>
        <v/>
      </c>
      <c r="O358" s="74"/>
      <c r="P358" s="38" t="str">
        <f t="shared" si="45"/>
        <v/>
      </c>
      <c r="U358" s="38" t="str">
        <f t="shared" si="46"/>
        <v/>
      </c>
      <c r="V358" s="38" t="str">
        <f t="shared" si="47"/>
        <v/>
      </c>
      <c r="W358" s="38" t="str">
        <f>IF(AND(U358&lt;&gt;"",OR($S$4="(все)",B358=$S$4),IF($S$4="(все)",COUNTIF($U$4:U358,U358),COUNTIFS($U$4:U358,U358,$B$4:B358,B358))=1),MAX($W$3:W357)+1,"")</f>
        <v/>
      </c>
      <c r="X358" s="38" t="str">
        <f t="shared" si="48"/>
        <v/>
      </c>
      <c r="Y358" s="38" t="str">
        <f>IF(AND(A358="Аппарат",C358&lt;&gt;"",OR($S$5="(все)",B358=$S$5)),MAX($Y$3:Y357)+1,"")</f>
        <v/>
      </c>
      <c r="Z358" s="38" t="str">
        <f t="shared" si="49"/>
        <v/>
      </c>
      <c r="AA358" s="38" t="str">
        <f>IF(AND(A358="Модуль",C358&lt;&gt;"",OR($S$6="(все)",B358=$S$6)),MAX($AA$3:AA357)+1,"")</f>
        <v/>
      </c>
      <c r="AB358" s="38" t="str">
        <f t="shared" si="50"/>
        <v/>
      </c>
      <c r="AC358" s="38" t="str">
        <f>IF(OR(B358="",COUNTIF($B$4:B358,B358)&gt;1),"",MAX($AC$3:AC357)+1)</f>
        <v/>
      </c>
      <c r="AD358" s="38" t="str">
        <f t="shared" si="51"/>
        <v/>
      </c>
      <c r="AE358" s="38" t="str">
        <f t="shared" si="52"/>
        <v/>
      </c>
      <c r="AF358" s="38" t="str">
        <f t="shared" si="53"/>
        <v/>
      </c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38" t="str">
        <f>IF(OR(A359="Автомат",A359="Дифавтомат"),IF(W359="","",COUNTIFS(Однолинейка!$H$3:$H$3000,U359,Однолинейка!$A$3:$A$3000,Щит_спец)),IF(A359="Аппарат",IF(C359="","",COUNTIFS(Однолинейка!$I$3:$I$3000,C359,Однолинейка!$A$3:$A$3000,Щит_спец)+COUNTIFS(Однолинейка!$J$3:$J$3000,C359,Однолинейка!$A$3:$A$3000,Щит_спец)+COUNTIFS(Однолинейка!$K$3:$K$3000,C359,Однолинейка!$A$3:$A$3000,Щит_спец)),IF(A359="Модуль",IF(C359="","",COUNTIFS(Однолинейка!$AW$3:$AW$3000,"?*",Однолинейка!$AI$3:$AI$3000,C359,Однолинейка!$A$3:$A$3000,Щит_спец)),IF(A359="Клемма",IF(C359="","",IF(C359=$S$7,SUMIFS(Однолинейка!$BW$3:$BW$3000,Однолинейка!$A$3:$A$3000,Щит_спец),IF(C359=$S$8,SUMIFS(Однолинейка!$BX$3:$BX$3000,Однолинейка!$A$3:$A$3000,Щит_спец),""))),""))))</f>
        <v/>
      </c>
      <c r="O359" s="74"/>
      <c r="P359" s="38" t="str">
        <f t="shared" si="45"/>
        <v/>
      </c>
      <c r="U359" s="38" t="str">
        <f t="shared" si="46"/>
        <v/>
      </c>
      <c r="V359" s="38" t="str">
        <f t="shared" si="47"/>
        <v/>
      </c>
      <c r="W359" s="38" t="str">
        <f>IF(AND(U359&lt;&gt;"",OR($S$4="(все)",B359=$S$4),IF($S$4="(все)",COUNTIF($U$4:U359,U359),COUNTIFS($U$4:U359,U359,$B$4:B359,B359))=1),MAX($W$3:W358)+1,"")</f>
        <v/>
      </c>
      <c r="X359" s="38" t="str">
        <f t="shared" si="48"/>
        <v/>
      </c>
      <c r="Y359" s="38" t="str">
        <f>IF(AND(A359="Аппарат",C359&lt;&gt;"",OR($S$5="(все)",B359=$S$5)),MAX($Y$3:Y358)+1,"")</f>
        <v/>
      </c>
      <c r="Z359" s="38" t="str">
        <f t="shared" si="49"/>
        <v/>
      </c>
      <c r="AA359" s="38" t="str">
        <f>IF(AND(A359="Модуль",C359&lt;&gt;"",OR($S$6="(все)",B359=$S$6)),MAX($AA$3:AA358)+1,"")</f>
        <v/>
      </c>
      <c r="AB359" s="38" t="str">
        <f t="shared" si="50"/>
        <v/>
      </c>
      <c r="AC359" s="38" t="str">
        <f>IF(OR(B359="",COUNTIF($B$4:B359,B359)&gt;1),"",MAX($AC$3:AC358)+1)</f>
        <v/>
      </c>
      <c r="AD359" s="38" t="str">
        <f t="shared" si="51"/>
        <v/>
      </c>
      <c r="AE359" s="38" t="str">
        <f t="shared" si="52"/>
        <v/>
      </c>
      <c r="AF359" s="38" t="str">
        <f t="shared" si="53"/>
        <v/>
      </c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38" t="str">
        <f>IF(OR(A360="Автомат",A360="Дифавтомат"),IF(W360="","",COUNTIFS(Однолинейка!$H$3:$H$3000,U360,Однолинейка!$A$3:$A$3000,Щит_спец)),IF(A360="Аппарат",IF(C360="","",COUNTIFS(Однолинейка!$I$3:$I$3000,C360,Однолинейка!$A$3:$A$3000,Щит_спец)+COUNTIFS(Однолинейка!$J$3:$J$3000,C360,Однолинейка!$A$3:$A$3000,Щит_спец)+COUNTIFS(Однолинейка!$K$3:$K$3000,C360,Однолинейка!$A$3:$A$3000,Щит_спец)),IF(A360="Модуль",IF(C360="","",COUNTIFS(Однолинейка!$AW$3:$AW$3000,"?*",Однолинейка!$AI$3:$AI$3000,C360,Однолинейка!$A$3:$A$3000,Щит_спец)),IF(A360="Клемма",IF(C360="","",IF(C360=$S$7,SUMIFS(Однолинейка!$BW$3:$BW$3000,Однолинейка!$A$3:$A$3000,Щит_спец),IF(C360=$S$8,SUMIFS(Однолинейка!$BX$3:$BX$3000,Однолинейка!$A$3:$A$3000,Щит_спец),""))),""))))</f>
        <v/>
      </c>
      <c r="O360" s="74"/>
      <c r="P360" s="38" t="str">
        <f t="shared" si="45"/>
        <v/>
      </c>
      <c r="U360" s="38" t="str">
        <f t="shared" si="46"/>
        <v/>
      </c>
      <c r="V360" s="38" t="str">
        <f t="shared" si="47"/>
        <v/>
      </c>
      <c r="W360" s="38" t="str">
        <f>IF(AND(U360&lt;&gt;"",OR($S$4="(все)",B360=$S$4),IF($S$4="(все)",COUNTIF($U$4:U360,U360),COUNTIFS($U$4:U360,U360,$B$4:B360,B360))=1),MAX($W$3:W359)+1,"")</f>
        <v/>
      </c>
      <c r="X360" s="38" t="str">
        <f t="shared" si="48"/>
        <v/>
      </c>
      <c r="Y360" s="38" t="str">
        <f>IF(AND(A360="Аппарат",C360&lt;&gt;"",OR($S$5="(все)",B360=$S$5)),MAX($Y$3:Y359)+1,"")</f>
        <v/>
      </c>
      <c r="Z360" s="38" t="str">
        <f t="shared" si="49"/>
        <v/>
      </c>
      <c r="AA360" s="38" t="str">
        <f>IF(AND(A360="Модуль",C360&lt;&gt;"",OR($S$6="(все)",B360=$S$6)),MAX($AA$3:AA359)+1,"")</f>
        <v/>
      </c>
      <c r="AB360" s="38" t="str">
        <f t="shared" si="50"/>
        <v/>
      </c>
      <c r="AC360" s="38" t="str">
        <f>IF(OR(B360="",COUNTIF($B$4:B360,B360)&gt;1),"",MAX($AC$3:AC359)+1)</f>
        <v/>
      </c>
      <c r="AD360" s="38" t="str">
        <f t="shared" si="51"/>
        <v/>
      </c>
      <c r="AE360" s="38" t="str">
        <f t="shared" si="52"/>
        <v/>
      </c>
      <c r="AF360" s="38" t="str">
        <f t="shared" si="53"/>
        <v/>
      </c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38" t="str">
        <f>IF(OR(A361="Автомат",A361="Дифавтомат"),IF(W361="","",COUNTIFS(Однолинейка!$H$3:$H$3000,U361,Однолинейка!$A$3:$A$3000,Щит_спец)),IF(A361="Аппарат",IF(C361="","",COUNTIFS(Однолинейка!$I$3:$I$3000,C361,Однолинейка!$A$3:$A$3000,Щит_спец)+COUNTIFS(Однолинейка!$J$3:$J$3000,C361,Однолинейка!$A$3:$A$3000,Щит_спец)+COUNTIFS(Однолинейка!$K$3:$K$3000,C361,Однолинейка!$A$3:$A$3000,Щит_спец)),IF(A361="Модуль",IF(C361="","",COUNTIFS(Однолинейка!$AW$3:$AW$3000,"?*",Однолинейка!$AI$3:$AI$3000,C361,Однолинейка!$A$3:$A$3000,Щит_спец)),IF(A361="Клемма",IF(C361="","",IF(C361=$S$7,SUMIFS(Однолинейка!$BW$3:$BW$3000,Однолинейка!$A$3:$A$3000,Щит_спец),IF(C361=$S$8,SUMIFS(Однолинейка!$BX$3:$BX$3000,Однолинейка!$A$3:$A$3000,Щит_спец),""))),""))))</f>
        <v/>
      </c>
      <c r="O361" s="74"/>
      <c r="P361" s="38" t="str">
        <f t="shared" si="45"/>
        <v/>
      </c>
      <c r="U361" s="38" t="str">
        <f t="shared" si="46"/>
        <v/>
      </c>
      <c r="V361" s="38" t="str">
        <f t="shared" si="47"/>
        <v/>
      </c>
      <c r="W361" s="38" t="str">
        <f>IF(AND(U361&lt;&gt;"",OR($S$4="(все)",B361=$S$4),IF($S$4="(все)",COUNTIF($U$4:U361,U361),COUNTIFS($U$4:U361,U361,$B$4:B361,B361))=1),MAX($W$3:W360)+1,"")</f>
        <v/>
      </c>
      <c r="X361" s="38" t="str">
        <f t="shared" si="48"/>
        <v/>
      </c>
      <c r="Y361" s="38" t="str">
        <f>IF(AND(A361="Аппарат",C361&lt;&gt;"",OR($S$5="(все)",B361=$S$5)),MAX($Y$3:Y360)+1,"")</f>
        <v/>
      </c>
      <c r="Z361" s="38" t="str">
        <f t="shared" si="49"/>
        <v/>
      </c>
      <c r="AA361" s="38" t="str">
        <f>IF(AND(A361="Модуль",C361&lt;&gt;"",OR($S$6="(все)",B361=$S$6)),MAX($AA$3:AA360)+1,"")</f>
        <v/>
      </c>
      <c r="AB361" s="38" t="str">
        <f t="shared" si="50"/>
        <v/>
      </c>
      <c r="AC361" s="38" t="str">
        <f>IF(OR(B361="",COUNTIF($B$4:B361,B361)&gt;1),"",MAX($AC$3:AC360)+1)</f>
        <v/>
      </c>
      <c r="AD361" s="38" t="str">
        <f t="shared" si="51"/>
        <v/>
      </c>
      <c r="AE361" s="38" t="str">
        <f t="shared" si="52"/>
        <v/>
      </c>
      <c r="AF361" s="38" t="str">
        <f t="shared" si="53"/>
        <v/>
      </c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38" t="str">
        <f>IF(OR(A362="Автомат",A362="Дифавтомат"),IF(W362="","",COUNTIFS(Однолинейка!$H$3:$H$3000,U362,Однолинейка!$A$3:$A$3000,Щит_спец)),IF(A362="Аппарат",IF(C362="","",COUNTIFS(Однолинейка!$I$3:$I$3000,C362,Однолинейка!$A$3:$A$3000,Щит_спец)+COUNTIFS(Однолинейка!$J$3:$J$3000,C362,Однолинейка!$A$3:$A$3000,Щит_спец)+COUNTIFS(Однолинейка!$K$3:$K$3000,C362,Однолинейка!$A$3:$A$3000,Щит_спец)),IF(A362="Модуль",IF(C362="","",COUNTIFS(Однолинейка!$AW$3:$AW$3000,"?*",Однолинейка!$AI$3:$AI$3000,C362,Однолинейка!$A$3:$A$3000,Щит_спец)),IF(A362="Клемма",IF(C362="","",IF(C362=$S$7,SUMIFS(Однолинейка!$BW$3:$BW$3000,Однолинейка!$A$3:$A$3000,Щит_спец),IF(C362=$S$8,SUMIFS(Однолинейка!$BX$3:$BX$3000,Однолинейка!$A$3:$A$3000,Щит_спец),""))),""))))</f>
        <v/>
      </c>
      <c r="O362" s="74"/>
      <c r="P362" s="38" t="str">
        <f t="shared" si="45"/>
        <v/>
      </c>
      <c r="U362" s="38" t="str">
        <f t="shared" si="46"/>
        <v/>
      </c>
      <c r="V362" s="38" t="str">
        <f t="shared" si="47"/>
        <v/>
      </c>
      <c r="W362" s="38" t="str">
        <f>IF(AND(U362&lt;&gt;"",OR($S$4="(все)",B362=$S$4),IF($S$4="(все)",COUNTIF($U$4:U362,U362),COUNTIFS($U$4:U362,U362,$B$4:B362,B362))=1),MAX($W$3:W361)+1,"")</f>
        <v/>
      </c>
      <c r="X362" s="38" t="str">
        <f t="shared" si="48"/>
        <v/>
      </c>
      <c r="Y362" s="38" t="str">
        <f>IF(AND(A362="Аппарат",C362&lt;&gt;"",OR($S$5="(все)",B362=$S$5)),MAX($Y$3:Y361)+1,"")</f>
        <v/>
      </c>
      <c r="Z362" s="38" t="str">
        <f t="shared" si="49"/>
        <v/>
      </c>
      <c r="AA362" s="38" t="str">
        <f>IF(AND(A362="Модуль",C362&lt;&gt;"",OR($S$6="(все)",B362=$S$6)),MAX($AA$3:AA361)+1,"")</f>
        <v/>
      </c>
      <c r="AB362" s="38" t="str">
        <f t="shared" si="50"/>
        <v/>
      </c>
      <c r="AC362" s="38" t="str">
        <f>IF(OR(B362="",COUNTIF($B$4:B362,B362)&gt;1),"",MAX($AC$3:AC361)+1)</f>
        <v/>
      </c>
      <c r="AD362" s="38" t="str">
        <f t="shared" si="51"/>
        <v/>
      </c>
      <c r="AE362" s="38" t="str">
        <f t="shared" si="52"/>
        <v/>
      </c>
      <c r="AF362" s="38" t="str">
        <f t="shared" si="53"/>
        <v/>
      </c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38" t="str">
        <f>IF(OR(A363="Автомат",A363="Дифавтомат"),IF(W363="","",COUNTIFS(Однолинейка!$H$3:$H$3000,U363,Однолинейка!$A$3:$A$3000,Щит_спец)),IF(A363="Аппарат",IF(C363="","",COUNTIFS(Однолинейка!$I$3:$I$3000,C363,Однолинейка!$A$3:$A$3000,Щит_спец)+COUNTIFS(Однолинейка!$J$3:$J$3000,C363,Однолинейка!$A$3:$A$3000,Щит_спец)+COUNTIFS(Однолинейка!$K$3:$K$3000,C363,Однолинейка!$A$3:$A$3000,Щит_спец)),IF(A363="Модуль",IF(C363="","",COUNTIFS(Однолинейка!$AW$3:$AW$3000,"?*",Однолинейка!$AI$3:$AI$3000,C363,Однолинейка!$A$3:$A$3000,Щит_спец)),IF(A363="Клемма",IF(C363="","",IF(C363=$S$7,SUMIFS(Однолинейка!$BW$3:$BW$3000,Однолинейка!$A$3:$A$3000,Щит_спец),IF(C363=$S$8,SUMIFS(Однолинейка!$BX$3:$BX$3000,Однолинейка!$A$3:$A$3000,Щит_спец),""))),""))))</f>
        <v/>
      </c>
      <c r="O363" s="74"/>
      <c r="P363" s="38" t="str">
        <f t="shared" si="45"/>
        <v/>
      </c>
      <c r="U363" s="38" t="str">
        <f t="shared" si="46"/>
        <v/>
      </c>
      <c r="V363" s="38" t="str">
        <f t="shared" si="47"/>
        <v/>
      </c>
      <c r="W363" s="38" t="str">
        <f>IF(AND(U363&lt;&gt;"",OR($S$4="(все)",B363=$S$4),IF($S$4="(все)",COUNTIF($U$4:U363,U363),COUNTIFS($U$4:U363,U363,$B$4:B363,B363))=1),MAX($W$3:W362)+1,"")</f>
        <v/>
      </c>
      <c r="X363" s="38" t="str">
        <f t="shared" si="48"/>
        <v/>
      </c>
      <c r="Y363" s="38" t="str">
        <f>IF(AND(A363="Аппарат",C363&lt;&gt;"",OR($S$5="(все)",B363=$S$5)),MAX($Y$3:Y362)+1,"")</f>
        <v/>
      </c>
      <c r="Z363" s="38" t="str">
        <f t="shared" si="49"/>
        <v/>
      </c>
      <c r="AA363" s="38" t="str">
        <f>IF(AND(A363="Модуль",C363&lt;&gt;"",OR($S$6="(все)",B363=$S$6)),MAX($AA$3:AA362)+1,"")</f>
        <v/>
      </c>
      <c r="AB363" s="38" t="str">
        <f t="shared" si="50"/>
        <v/>
      </c>
      <c r="AC363" s="38" t="str">
        <f>IF(OR(B363="",COUNTIF($B$4:B363,B363)&gt;1),"",MAX($AC$3:AC362)+1)</f>
        <v/>
      </c>
      <c r="AD363" s="38" t="str">
        <f t="shared" si="51"/>
        <v/>
      </c>
      <c r="AE363" s="38" t="str">
        <f t="shared" si="52"/>
        <v/>
      </c>
      <c r="AF363" s="38" t="str">
        <f t="shared" si="53"/>
        <v/>
      </c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38" t="str">
        <f>IF(OR(A364="Автомат",A364="Дифавтомат"),IF(W364="","",COUNTIFS(Однолинейка!$H$3:$H$3000,U364,Однолинейка!$A$3:$A$3000,Щит_спец)),IF(A364="Аппарат",IF(C364="","",COUNTIFS(Однолинейка!$I$3:$I$3000,C364,Однолинейка!$A$3:$A$3000,Щит_спец)+COUNTIFS(Однолинейка!$J$3:$J$3000,C364,Однолинейка!$A$3:$A$3000,Щит_спец)+COUNTIFS(Однолинейка!$K$3:$K$3000,C364,Однолинейка!$A$3:$A$3000,Щит_спец)),IF(A364="Модуль",IF(C364="","",COUNTIFS(Однолинейка!$AW$3:$AW$3000,"?*",Однолинейка!$AI$3:$AI$3000,C364,Однолинейка!$A$3:$A$3000,Щит_спец)),IF(A364="Клемма",IF(C364="","",IF(C364=$S$7,SUMIFS(Однолинейка!$BW$3:$BW$3000,Однолинейка!$A$3:$A$3000,Щит_спец),IF(C364=$S$8,SUMIFS(Однолинейка!$BX$3:$BX$3000,Однолинейка!$A$3:$A$3000,Щит_спец),""))),""))))</f>
        <v/>
      </c>
      <c r="O364" s="74"/>
      <c r="P364" s="38" t="str">
        <f t="shared" si="45"/>
        <v/>
      </c>
      <c r="U364" s="38" t="str">
        <f t="shared" si="46"/>
        <v/>
      </c>
      <c r="V364" s="38" t="str">
        <f t="shared" si="47"/>
        <v/>
      </c>
      <c r="W364" s="38" t="str">
        <f>IF(AND(U364&lt;&gt;"",OR($S$4="(все)",B364=$S$4),IF($S$4="(все)",COUNTIF($U$4:U364,U364),COUNTIFS($U$4:U364,U364,$B$4:B364,B364))=1),MAX($W$3:W363)+1,"")</f>
        <v/>
      </c>
      <c r="X364" s="38" t="str">
        <f t="shared" si="48"/>
        <v/>
      </c>
      <c r="Y364" s="38" t="str">
        <f>IF(AND(A364="Аппарат",C364&lt;&gt;"",OR($S$5="(все)",B364=$S$5)),MAX($Y$3:Y363)+1,"")</f>
        <v/>
      </c>
      <c r="Z364" s="38" t="str">
        <f t="shared" si="49"/>
        <v/>
      </c>
      <c r="AA364" s="38" t="str">
        <f>IF(AND(A364="Модуль",C364&lt;&gt;"",OR($S$6="(все)",B364=$S$6)),MAX($AA$3:AA363)+1,"")</f>
        <v/>
      </c>
      <c r="AB364" s="38" t="str">
        <f t="shared" si="50"/>
        <v/>
      </c>
      <c r="AC364" s="38" t="str">
        <f>IF(OR(B364="",COUNTIF($B$4:B364,B364)&gt;1),"",MAX($AC$3:AC363)+1)</f>
        <v/>
      </c>
      <c r="AD364" s="38" t="str">
        <f t="shared" si="51"/>
        <v/>
      </c>
      <c r="AE364" s="38" t="str">
        <f t="shared" si="52"/>
        <v/>
      </c>
      <c r="AF364" s="38" t="str">
        <f t="shared" si="53"/>
        <v/>
      </c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38" t="str">
        <f>IF(OR(A365="Автомат",A365="Дифавтомат"),IF(W365="","",COUNTIFS(Однолинейка!$H$3:$H$3000,U365,Однолинейка!$A$3:$A$3000,Щит_спец)),IF(A365="Аппарат",IF(C365="","",COUNTIFS(Однолинейка!$I$3:$I$3000,C365,Однолинейка!$A$3:$A$3000,Щит_спец)+COUNTIFS(Однолинейка!$J$3:$J$3000,C365,Однолинейка!$A$3:$A$3000,Щит_спец)+COUNTIFS(Однолинейка!$K$3:$K$3000,C365,Однолинейка!$A$3:$A$3000,Щит_спец)),IF(A365="Модуль",IF(C365="","",COUNTIFS(Однолинейка!$AW$3:$AW$3000,"?*",Однолинейка!$AI$3:$AI$3000,C365,Однолинейка!$A$3:$A$3000,Щит_спец)),IF(A365="Клемма",IF(C365="","",IF(C365=$S$7,SUMIFS(Однолинейка!$BW$3:$BW$3000,Однолинейка!$A$3:$A$3000,Щит_спец),IF(C365=$S$8,SUMIFS(Однолинейка!$BX$3:$BX$3000,Однолинейка!$A$3:$A$3000,Щит_спец),""))),""))))</f>
        <v/>
      </c>
      <c r="O365" s="74"/>
      <c r="P365" s="38" t="str">
        <f t="shared" si="45"/>
        <v/>
      </c>
      <c r="U365" s="38" t="str">
        <f t="shared" si="46"/>
        <v/>
      </c>
      <c r="V365" s="38" t="str">
        <f t="shared" si="47"/>
        <v/>
      </c>
      <c r="W365" s="38" t="str">
        <f>IF(AND(U365&lt;&gt;"",OR($S$4="(все)",B365=$S$4),IF($S$4="(все)",COUNTIF($U$4:U365,U365),COUNTIFS($U$4:U365,U365,$B$4:B365,B365))=1),MAX($W$3:W364)+1,"")</f>
        <v/>
      </c>
      <c r="X365" s="38" t="str">
        <f t="shared" si="48"/>
        <v/>
      </c>
      <c r="Y365" s="38" t="str">
        <f>IF(AND(A365="Аппарат",C365&lt;&gt;"",OR($S$5="(все)",B365=$S$5)),MAX($Y$3:Y364)+1,"")</f>
        <v/>
      </c>
      <c r="Z365" s="38" t="str">
        <f t="shared" si="49"/>
        <v/>
      </c>
      <c r="AA365" s="38" t="str">
        <f>IF(AND(A365="Модуль",C365&lt;&gt;"",OR($S$6="(все)",B365=$S$6)),MAX($AA$3:AA364)+1,"")</f>
        <v/>
      </c>
      <c r="AB365" s="38" t="str">
        <f t="shared" si="50"/>
        <v/>
      </c>
      <c r="AC365" s="38" t="str">
        <f>IF(OR(B365="",COUNTIF($B$4:B365,B365)&gt;1),"",MAX($AC$3:AC364)+1)</f>
        <v/>
      </c>
      <c r="AD365" s="38" t="str">
        <f t="shared" si="51"/>
        <v/>
      </c>
      <c r="AE365" s="38" t="str">
        <f t="shared" si="52"/>
        <v/>
      </c>
      <c r="AF365" s="38" t="str">
        <f t="shared" si="53"/>
        <v/>
      </c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38" t="str">
        <f>IF(OR(A366="Автомат",A366="Дифавтомат"),IF(W366="","",COUNTIFS(Однолинейка!$H$3:$H$3000,U366,Однолинейка!$A$3:$A$3000,Щит_спец)),IF(A366="Аппарат",IF(C366="","",COUNTIFS(Однолинейка!$I$3:$I$3000,C366,Однолинейка!$A$3:$A$3000,Щит_спец)+COUNTIFS(Однолинейка!$J$3:$J$3000,C366,Однолинейка!$A$3:$A$3000,Щит_спец)+COUNTIFS(Однолинейка!$K$3:$K$3000,C366,Однолинейка!$A$3:$A$3000,Щит_спец)),IF(A366="Модуль",IF(C366="","",COUNTIFS(Однолинейка!$AW$3:$AW$3000,"?*",Однолинейка!$AI$3:$AI$3000,C366,Однолинейка!$A$3:$A$3000,Щит_спец)),IF(A366="Клемма",IF(C366="","",IF(C366=$S$7,SUMIFS(Однолинейка!$BW$3:$BW$3000,Однолинейка!$A$3:$A$3000,Щит_спец),IF(C366=$S$8,SUMIFS(Однолинейка!$BX$3:$BX$3000,Однолинейка!$A$3:$A$3000,Щит_спец),""))),""))))</f>
        <v/>
      </c>
      <c r="O366" s="74"/>
      <c r="P366" s="38" t="str">
        <f t="shared" si="45"/>
        <v/>
      </c>
      <c r="U366" s="38" t="str">
        <f t="shared" si="46"/>
        <v/>
      </c>
      <c r="V366" s="38" t="str">
        <f t="shared" si="47"/>
        <v/>
      </c>
      <c r="W366" s="38" t="str">
        <f>IF(AND(U366&lt;&gt;"",OR($S$4="(все)",B366=$S$4),IF($S$4="(все)",COUNTIF($U$4:U366,U366),COUNTIFS($U$4:U366,U366,$B$4:B366,B366))=1),MAX($W$3:W365)+1,"")</f>
        <v/>
      </c>
      <c r="X366" s="38" t="str">
        <f t="shared" si="48"/>
        <v/>
      </c>
      <c r="Y366" s="38" t="str">
        <f>IF(AND(A366="Аппарат",C366&lt;&gt;"",OR($S$5="(все)",B366=$S$5)),MAX($Y$3:Y365)+1,"")</f>
        <v/>
      </c>
      <c r="Z366" s="38" t="str">
        <f t="shared" si="49"/>
        <v/>
      </c>
      <c r="AA366" s="38" t="str">
        <f>IF(AND(A366="Модуль",C366&lt;&gt;"",OR($S$6="(все)",B366=$S$6)),MAX($AA$3:AA365)+1,"")</f>
        <v/>
      </c>
      <c r="AB366" s="38" t="str">
        <f t="shared" si="50"/>
        <v/>
      </c>
      <c r="AC366" s="38" t="str">
        <f>IF(OR(B366="",COUNTIF($B$4:B366,B366)&gt;1),"",MAX($AC$3:AC365)+1)</f>
        <v/>
      </c>
      <c r="AD366" s="38" t="str">
        <f t="shared" si="51"/>
        <v/>
      </c>
      <c r="AE366" s="38" t="str">
        <f t="shared" si="52"/>
        <v/>
      </c>
      <c r="AF366" s="38" t="str">
        <f t="shared" si="53"/>
        <v/>
      </c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38" t="str">
        <f>IF(OR(A367="Автомат",A367="Дифавтомат"),IF(W367="","",COUNTIFS(Однолинейка!$H$3:$H$3000,U367,Однолинейка!$A$3:$A$3000,Щит_спец)),IF(A367="Аппарат",IF(C367="","",COUNTIFS(Однолинейка!$I$3:$I$3000,C367,Однолинейка!$A$3:$A$3000,Щит_спец)+COUNTIFS(Однолинейка!$J$3:$J$3000,C367,Однолинейка!$A$3:$A$3000,Щит_спец)+COUNTIFS(Однолинейка!$K$3:$K$3000,C367,Однолинейка!$A$3:$A$3000,Щит_спец)),IF(A367="Модуль",IF(C367="","",COUNTIFS(Однолинейка!$AW$3:$AW$3000,"?*",Однолинейка!$AI$3:$AI$3000,C367,Однолинейка!$A$3:$A$3000,Щит_спец)),IF(A367="Клемма",IF(C367="","",IF(C367=$S$7,SUMIFS(Однолинейка!$BW$3:$BW$3000,Однолинейка!$A$3:$A$3000,Щит_спец),IF(C367=$S$8,SUMIFS(Однолинейка!$BX$3:$BX$3000,Однолинейка!$A$3:$A$3000,Щит_спец),""))),""))))</f>
        <v/>
      </c>
      <c r="O367" s="74"/>
      <c r="P367" s="38" t="str">
        <f t="shared" si="45"/>
        <v/>
      </c>
      <c r="U367" s="38" t="str">
        <f t="shared" si="46"/>
        <v/>
      </c>
      <c r="V367" s="38" t="str">
        <f t="shared" si="47"/>
        <v/>
      </c>
      <c r="W367" s="38" t="str">
        <f>IF(AND(U367&lt;&gt;"",OR($S$4="(все)",B367=$S$4),IF($S$4="(все)",COUNTIF($U$4:U367,U367),COUNTIFS($U$4:U367,U367,$B$4:B367,B367))=1),MAX($W$3:W366)+1,"")</f>
        <v/>
      </c>
      <c r="X367" s="38" t="str">
        <f t="shared" si="48"/>
        <v/>
      </c>
      <c r="Y367" s="38" t="str">
        <f>IF(AND(A367="Аппарат",C367&lt;&gt;"",OR($S$5="(все)",B367=$S$5)),MAX($Y$3:Y366)+1,"")</f>
        <v/>
      </c>
      <c r="Z367" s="38" t="str">
        <f t="shared" si="49"/>
        <v/>
      </c>
      <c r="AA367" s="38" t="str">
        <f>IF(AND(A367="Модуль",C367&lt;&gt;"",OR($S$6="(все)",B367=$S$6)),MAX($AA$3:AA366)+1,"")</f>
        <v/>
      </c>
      <c r="AB367" s="38" t="str">
        <f t="shared" si="50"/>
        <v/>
      </c>
      <c r="AC367" s="38" t="str">
        <f>IF(OR(B367="",COUNTIF($B$4:B367,B367)&gt;1),"",MAX($AC$3:AC366)+1)</f>
        <v/>
      </c>
      <c r="AD367" s="38" t="str">
        <f t="shared" si="51"/>
        <v/>
      </c>
      <c r="AE367" s="38" t="str">
        <f t="shared" si="52"/>
        <v/>
      </c>
      <c r="AF367" s="38" t="str">
        <f t="shared" si="53"/>
        <v/>
      </c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38" t="str">
        <f>IF(OR(A368="Автомат",A368="Дифавтомат"),IF(W368="","",COUNTIFS(Однолинейка!$H$3:$H$3000,U368,Однолинейка!$A$3:$A$3000,Щит_спец)),IF(A368="Аппарат",IF(C368="","",COUNTIFS(Однолинейка!$I$3:$I$3000,C368,Однолинейка!$A$3:$A$3000,Щит_спец)+COUNTIFS(Однолинейка!$J$3:$J$3000,C368,Однолинейка!$A$3:$A$3000,Щит_спец)+COUNTIFS(Однолинейка!$K$3:$K$3000,C368,Однолинейка!$A$3:$A$3000,Щит_спец)),IF(A368="Модуль",IF(C368="","",COUNTIFS(Однолинейка!$AW$3:$AW$3000,"?*",Однолинейка!$AI$3:$AI$3000,C368,Однолинейка!$A$3:$A$3000,Щит_спец)),IF(A368="Клемма",IF(C368="","",IF(C368=$S$7,SUMIFS(Однолинейка!$BW$3:$BW$3000,Однолинейка!$A$3:$A$3000,Щит_спец),IF(C368=$S$8,SUMIFS(Однолинейка!$BX$3:$BX$3000,Однолинейка!$A$3:$A$3000,Щит_спец),""))),""))))</f>
        <v/>
      </c>
      <c r="O368" s="74"/>
      <c r="P368" s="38" t="str">
        <f t="shared" si="45"/>
        <v/>
      </c>
      <c r="U368" s="38" t="str">
        <f t="shared" si="46"/>
        <v/>
      </c>
      <c r="V368" s="38" t="str">
        <f t="shared" si="47"/>
        <v/>
      </c>
      <c r="W368" s="38" t="str">
        <f>IF(AND(U368&lt;&gt;"",OR($S$4="(все)",B368=$S$4),IF($S$4="(все)",COUNTIF($U$4:U368,U368),COUNTIFS($U$4:U368,U368,$B$4:B368,B368))=1),MAX($W$3:W367)+1,"")</f>
        <v/>
      </c>
      <c r="X368" s="38" t="str">
        <f t="shared" si="48"/>
        <v/>
      </c>
      <c r="Y368" s="38" t="str">
        <f>IF(AND(A368="Аппарат",C368&lt;&gt;"",OR($S$5="(все)",B368=$S$5)),MAX($Y$3:Y367)+1,"")</f>
        <v/>
      </c>
      <c r="Z368" s="38" t="str">
        <f t="shared" si="49"/>
        <v/>
      </c>
      <c r="AA368" s="38" t="str">
        <f>IF(AND(A368="Модуль",C368&lt;&gt;"",OR($S$6="(все)",B368=$S$6)),MAX($AA$3:AA367)+1,"")</f>
        <v/>
      </c>
      <c r="AB368" s="38" t="str">
        <f t="shared" si="50"/>
        <v/>
      </c>
      <c r="AC368" s="38" t="str">
        <f>IF(OR(B368="",COUNTIF($B$4:B368,B368)&gt;1),"",MAX($AC$3:AC367)+1)</f>
        <v/>
      </c>
      <c r="AD368" s="38" t="str">
        <f t="shared" si="51"/>
        <v/>
      </c>
      <c r="AE368" s="38" t="str">
        <f t="shared" si="52"/>
        <v/>
      </c>
      <c r="AF368" s="38" t="str">
        <f t="shared" si="53"/>
        <v/>
      </c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38" t="str">
        <f>IF(OR(A369="Автомат",A369="Дифавтомат"),IF(W369="","",COUNTIFS(Однолинейка!$H$3:$H$3000,U369,Однолинейка!$A$3:$A$3000,Щит_спец)),IF(A369="Аппарат",IF(C369="","",COUNTIFS(Однолинейка!$I$3:$I$3000,C369,Однолинейка!$A$3:$A$3000,Щит_спец)+COUNTIFS(Однолинейка!$J$3:$J$3000,C369,Однолинейка!$A$3:$A$3000,Щит_спец)+COUNTIFS(Однолинейка!$K$3:$K$3000,C369,Однолинейка!$A$3:$A$3000,Щит_спец)),IF(A369="Модуль",IF(C369="","",COUNTIFS(Однолинейка!$AW$3:$AW$3000,"?*",Однолинейка!$AI$3:$AI$3000,C369,Однолинейка!$A$3:$A$3000,Щит_спец)),IF(A369="Клемма",IF(C369="","",IF(C369=$S$7,SUMIFS(Однолинейка!$BW$3:$BW$3000,Однолинейка!$A$3:$A$3000,Щит_спец),IF(C369=$S$8,SUMIFS(Однолинейка!$BX$3:$BX$3000,Однолинейка!$A$3:$A$3000,Щит_спец),""))),""))))</f>
        <v/>
      </c>
      <c r="O369" s="74"/>
      <c r="P369" s="38" t="str">
        <f t="shared" si="45"/>
        <v/>
      </c>
      <c r="U369" s="38" t="str">
        <f t="shared" si="46"/>
        <v/>
      </c>
      <c r="V369" s="38" t="str">
        <f t="shared" si="47"/>
        <v/>
      </c>
      <c r="W369" s="38" t="str">
        <f>IF(AND(U369&lt;&gt;"",OR($S$4="(все)",B369=$S$4),IF($S$4="(все)",COUNTIF($U$4:U369,U369),COUNTIFS($U$4:U369,U369,$B$4:B369,B369))=1),MAX($W$3:W368)+1,"")</f>
        <v/>
      </c>
      <c r="X369" s="38" t="str">
        <f t="shared" si="48"/>
        <v/>
      </c>
      <c r="Y369" s="38" t="str">
        <f>IF(AND(A369="Аппарат",C369&lt;&gt;"",OR($S$5="(все)",B369=$S$5)),MAX($Y$3:Y368)+1,"")</f>
        <v/>
      </c>
      <c r="Z369" s="38" t="str">
        <f t="shared" si="49"/>
        <v/>
      </c>
      <c r="AA369" s="38" t="str">
        <f>IF(AND(A369="Модуль",C369&lt;&gt;"",OR($S$6="(все)",B369=$S$6)),MAX($AA$3:AA368)+1,"")</f>
        <v/>
      </c>
      <c r="AB369" s="38" t="str">
        <f t="shared" si="50"/>
        <v/>
      </c>
      <c r="AC369" s="38" t="str">
        <f>IF(OR(B369="",COUNTIF($B$4:B369,B369)&gt;1),"",MAX($AC$3:AC368)+1)</f>
        <v/>
      </c>
      <c r="AD369" s="38" t="str">
        <f t="shared" si="51"/>
        <v/>
      </c>
      <c r="AE369" s="38" t="str">
        <f t="shared" si="52"/>
        <v/>
      </c>
      <c r="AF369" s="38" t="str">
        <f t="shared" si="53"/>
        <v/>
      </c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38" t="str">
        <f>IF(OR(A370="Автомат",A370="Дифавтомат"),IF(W370="","",COUNTIFS(Однолинейка!$H$3:$H$3000,U370,Однолинейка!$A$3:$A$3000,Щит_спец)),IF(A370="Аппарат",IF(C370="","",COUNTIFS(Однолинейка!$I$3:$I$3000,C370,Однолинейка!$A$3:$A$3000,Щит_спец)+COUNTIFS(Однолинейка!$J$3:$J$3000,C370,Однолинейка!$A$3:$A$3000,Щит_спец)+COUNTIFS(Однолинейка!$K$3:$K$3000,C370,Однолинейка!$A$3:$A$3000,Щит_спец)),IF(A370="Модуль",IF(C370="","",COUNTIFS(Однолинейка!$AW$3:$AW$3000,"?*",Однолинейка!$AI$3:$AI$3000,C370,Однолинейка!$A$3:$A$3000,Щит_спец)),IF(A370="Клемма",IF(C370="","",IF(C370=$S$7,SUMIFS(Однолинейка!$BW$3:$BW$3000,Однолинейка!$A$3:$A$3000,Щит_спец),IF(C370=$S$8,SUMIFS(Однолинейка!$BX$3:$BX$3000,Однолинейка!$A$3:$A$3000,Щит_спец),""))),""))))</f>
        <v/>
      </c>
      <c r="O370" s="74"/>
      <c r="P370" s="38" t="str">
        <f t="shared" si="45"/>
        <v/>
      </c>
      <c r="U370" s="38" t="str">
        <f t="shared" si="46"/>
        <v/>
      </c>
      <c r="V370" s="38" t="str">
        <f t="shared" si="47"/>
        <v/>
      </c>
      <c r="W370" s="38" t="str">
        <f>IF(AND(U370&lt;&gt;"",OR($S$4="(все)",B370=$S$4),IF($S$4="(все)",COUNTIF($U$4:U370,U370),COUNTIFS($U$4:U370,U370,$B$4:B370,B370))=1),MAX($W$3:W369)+1,"")</f>
        <v/>
      </c>
      <c r="X370" s="38" t="str">
        <f t="shared" si="48"/>
        <v/>
      </c>
      <c r="Y370" s="38" t="str">
        <f>IF(AND(A370="Аппарат",C370&lt;&gt;"",OR($S$5="(все)",B370=$S$5)),MAX($Y$3:Y369)+1,"")</f>
        <v/>
      </c>
      <c r="Z370" s="38" t="str">
        <f t="shared" si="49"/>
        <v/>
      </c>
      <c r="AA370" s="38" t="str">
        <f>IF(AND(A370="Модуль",C370&lt;&gt;"",OR($S$6="(все)",B370=$S$6)),MAX($AA$3:AA369)+1,"")</f>
        <v/>
      </c>
      <c r="AB370" s="38" t="str">
        <f t="shared" si="50"/>
        <v/>
      </c>
      <c r="AC370" s="38" t="str">
        <f>IF(OR(B370="",COUNTIF($B$4:B370,B370)&gt;1),"",MAX($AC$3:AC369)+1)</f>
        <v/>
      </c>
      <c r="AD370" s="38" t="str">
        <f t="shared" si="51"/>
        <v/>
      </c>
      <c r="AE370" s="38" t="str">
        <f t="shared" si="52"/>
        <v/>
      </c>
      <c r="AF370" s="38" t="str">
        <f t="shared" si="53"/>
        <v/>
      </c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38" t="str">
        <f>IF(OR(A371="Автомат",A371="Дифавтомат"),IF(W371="","",COUNTIFS(Однолинейка!$H$3:$H$3000,U371,Однолинейка!$A$3:$A$3000,Щит_спец)),IF(A371="Аппарат",IF(C371="","",COUNTIFS(Однолинейка!$I$3:$I$3000,C371,Однолинейка!$A$3:$A$3000,Щит_спец)+COUNTIFS(Однолинейка!$J$3:$J$3000,C371,Однолинейка!$A$3:$A$3000,Щит_спец)+COUNTIFS(Однолинейка!$K$3:$K$3000,C371,Однолинейка!$A$3:$A$3000,Щит_спец)),IF(A371="Модуль",IF(C371="","",COUNTIFS(Однолинейка!$AW$3:$AW$3000,"?*",Однолинейка!$AI$3:$AI$3000,C371,Однолинейка!$A$3:$A$3000,Щит_спец)),IF(A371="Клемма",IF(C371="","",IF(C371=$S$7,SUMIFS(Однолинейка!$BW$3:$BW$3000,Однолинейка!$A$3:$A$3000,Щит_спец),IF(C371=$S$8,SUMIFS(Однолинейка!$BX$3:$BX$3000,Однолинейка!$A$3:$A$3000,Щит_спец),""))),""))))</f>
        <v/>
      </c>
      <c r="O371" s="74"/>
      <c r="P371" s="38" t="str">
        <f t="shared" si="45"/>
        <v/>
      </c>
      <c r="U371" s="38" t="str">
        <f t="shared" si="46"/>
        <v/>
      </c>
      <c r="V371" s="38" t="str">
        <f t="shared" si="47"/>
        <v/>
      </c>
      <c r="W371" s="38" t="str">
        <f>IF(AND(U371&lt;&gt;"",OR($S$4="(все)",B371=$S$4),IF($S$4="(все)",COUNTIF($U$4:U371,U371),COUNTIFS($U$4:U371,U371,$B$4:B371,B371))=1),MAX($W$3:W370)+1,"")</f>
        <v/>
      </c>
      <c r="X371" s="38" t="str">
        <f t="shared" si="48"/>
        <v/>
      </c>
      <c r="Y371" s="38" t="str">
        <f>IF(AND(A371="Аппарат",C371&lt;&gt;"",OR($S$5="(все)",B371=$S$5)),MAX($Y$3:Y370)+1,"")</f>
        <v/>
      </c>
      <c r="Z371" s="38" t="str">
        <f t="shared" si="49"/>
        <v/>
      </c>
      <c r="AA371" s="38" t="str">
        <f>IF(AND(A371="Модуль",C371&lt;&gt;"",OR($S$6="(все)",B371=$S$6)),MAX($AA$3:AA370)+1,"")</f>
        <v/>
      </c>
      <c r="AB371" s="38" t="str">
        <f t="shared" si="50"/>
        <v/>
      </c>
      <c r="AC371" s="38" t="str">
        <f>IF(OR(B371="",COUNTIF($B$4:B371,B371)&gt;1),"",MAX($AC$3:AC370)+1)</f>
        <v/>
      </c>
      <c r="AD371" s="38" t="str">
        <f t="shared" si="51"/>
        <v/>
      </c>
      <c r="AE371" s="38" t="str">
        <f t="shared" si="52"/>
        <v/>
      </c>
      <c r="AF371" s="38" t="str">
        <f t="shared" si="53"/>
        <v/>
      </c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38" t="str">
        <f>IF(OR(A372="Автомат",A372="Дифавтомат"),IF(W372="","",COUNTIFS(Однолинейка!$H$3:$H$3000,U372,Однолинейка!$A$3:$A$3000,Щит_спец)),IF(A372="Аппарат",IF(C372="","",COUNTIFS(Однолинейка!$I$3:$I$3000,C372,Однолинейка!$A$3:$A$3000,Щит_спец)+COUNTIFS(Однолинейка!$J$3:$J$3000,C372,Однолинейка!$A$3:$A$3000,Щит_спец)+COUNTIFS(Однолинейка!$K$3:$K$3000,C372,Однолинейка!$A$3:$A$3000,Щит_спец)),IF(A372="Модуль",IF(C372="","",COUNTIFS(Однолинейка!$AW$3:$AW$3000,"?*",Однолинейка!$AI$3:$AI$3000,C372,Однолинейка!$A$3:$A$3000,Щит_спец)),IF(A372="Клемма",IF(C372="","",IF(C372=$S$7,SUMIFS(Однолинейка!$BW$3:$BW$3000,Однолинейка!$A$3:$A$3000,Щит_спец),IF(C372=$S$8,SUMIFS(Однолинейка!$BX$3:$BX$3000,Однолинейка!$A$3:$A$3000,Щит_спец),""))),""))))</f>
        <v/>
      </c>
      <c r="O372" s="74"/>
      <c r="P372" s="38" t="str">
        <f t="shared" si="45"/>
        <v/>
      </c>
      <c r="U372" s="38" t="str">
        <f t="shared" si="46"/>
        <v/>
      </c>
      <c r="V372" s="38" t="str">
        <f t="shared" si="47"/>
        <v/>
      </c>
      <c r="W372" s="38" t="str">
        <f>IF(AND(U372&lt;&gt;"",OR($S$4="(все)",B372=$S$4),IF($S$4="(все)",COUNTIF($U$4:U372,U372),COUNTIFS($U$4:U372,U372,$B$4:B372,B372))=1),MAX($W$3:W371)+1,"")</f>
        <v/>
      </c>
      <c r="X372" s="38" t="str">
        <f t="shared" si="48"/>
        <v/>
      </c>
      <c r="Y372" s="38" t="str">
        <f>IF(AND(A372="Аппарат",C372&lt;&gt;"",OR($S$5="(все)",B372=$S$5)),MAX($Y$3:Y371)+1,"")</f>
        <v/>
      </c>
      <c r="Z372" s="38" t="str">
        <f t="shared" si="49"/>
        <v/>
      </c>
      <c r="AA372" s="38" t="str">
        <f>IF(AND(A372="Модуль",C372&lt;&gt;"",OR($S$6="(все)",B372=$S$6)),MAX($AA$3:AA371)+1,"")</f>
        <v/>
      </c>
      <c r="AB372" s="38" t="str">
        <f t="shared" si="50"/>
        <v/>
      </c>
      <c r="AC372" s="38" t="str">
        <f>IF(OR(B372="",COUNTIF($B$4:B372,B372)&gt;1),"",MAX($AC$3:AC371)+1)</f>
        <v/>
      </c>
      <c r="AD372" s="38" t="str">
        <f t="shared" si="51"/>
        <v/>
      </c>
      <c r="AE372" s="38" t="str">
        <f t="shared" si="52"/>
        <v/>
      </c>
      <c r="AF372" s="38" t="str">
        <f t="shared" si="53"/>
        <v/>
      </c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38" t="str">
        <f>IF(OR(A373="Автомат",A373="Дифавтомат"),IF(W373="","",COUNTIFS(Однолинейка!$H$3:$H$3000,U373,Однолинейка!$A$3:$A$3000,Щит_спец)),IF(A373="Аппарат",IF(C373="","",COUNTIFS(Однолинейка!$I$3:$I$3000,C373,Однолинейка!$A$3:$A$3000,Щит_спец)+COUNTIFS(Однолинейка!$J$3:$J$3000,C373,Однолинейка!$A$3:$A$3000,Щит_спец)+COUNTIFS(Однолинейка!$K$3:$K$3000,C373,Однолинейка!$A$3:$A$3000,Щит_спец)),IF(A373="Модуль",IF(C373="","",COUNTIFS(Однолинейка!$AW$3:$AW$3000,"?*",Однолинейка!$AI$3:$AI$3000,C373,Однолинейка!$A$3:$A$3000,Щит_спец)),IF(A373="Клемма",IF(C373="","",IF(C373=$S$7,SUMIFS(Однолинейка!$BW$3:$BW$3000,Однолинейка!$A$3:$A$3000,Щит_спец),IF(C373=$S$8,SUMIFS(Однолинейка!$BX$3:$BX$3000,Однолинейка!$A$3:$A$3000,Щит_спец),""))),""))))</f>
        <v/>
      </c>
      <c r="O373" s="74"/>
      <c r="P373" s="38" t="str">
        <f t="shared" si="45"/>
        <v/>
      </c>
      <c r="U373" s="38" t="str">
        <f t="shared" si="46"/>
        <v/>
      </c>
      <c r="V373" s="38" t="str">
        <f t="shared" si="47"/>
        <v/>
      </c>
      <c r="W373" s="38" t="str">
        <f>IF(AND(U373&lt;&gt;"",OR($S$4="(все)",B373=$S$4),IF($S$4="(все)",COUNTIF($U$4:U373,U373),COUNTIFS($U$4:U373,U373,$B$4:B373,B373))=1),MAX($W$3:W372)+1,"")</f>
        <v/>
      </c>
      <c r="X373" s="38" t="str">
        <f t="shared" si="48"/>
        <v/>
      </c>
      <c r="Y373" s="38" t="str">
        <f>IF(AND(A373="Аппарат",C373&lt;&gt;"",OR($S$5="(все)",B373=$S$5)),MAX($Y$3:Y372)+1,"")</f>
        <v/>
      </c>
      <c r="Z373" s="38" t="str">
        <f t="shared" si="49"/>
        <v/>
      </c>
      <c r="AA373" s="38" t="str">
        <f>IF(AND(A373="Модуль",C373&lt;&gt;"",OR($S$6="(все)",B373=$S$6)),MAX($AA$3:AA372)+1,"")</f>
        <v/>
      </c>
      <c r="AB373" s="38" t="str">
        <f t="shared" si="50"/>
        <v/>
      </c>
      <c r="AC373" s="38" t="str">
        <f>IF(OR(B373="",COUNTIF($B$4:B373,B373)&gt;1),"",MAX($AC$3:AC372)+1)</f>
        <v/>
      </c>
      <c r="AD373" s="38" t="str">
        <f t="shared" si="51"/>
        <v/>
      </c>
      <c r="AE373" s="38" t="str">
        <f t="shared" si="52"/>
        <v/>
      </c>
      <c r="AF373" s="38" t="str">
        <f t="shared" si="53"/>
        <v/>
      </c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38" t="str">
        <f>IF(OR(A374="Автомат",A374="Дифавтомат"),IF(W374="","",COUNTIFS(Однолинейка!$H$3:$H$3000,U374,Однолинейка!$A$3:$A$3000,Щит_спец)),IF(A374="Аппарат",IF(C374="","",COUNTIFS(Однолинейка!$I$3:$I$3000,C374,Однолинейка!$A$3:$A$3000,Щит_спец)+COUNTIFS(Однолинейка!$J$3:$J$3000,C374,Однолинейка!$A$3:$A$3000,Щит_спец)+COUNTIFS(Однолинейка!$K$3:$K$3000,C374,Однолинейка!$A$3:$A$3000,Щит_спец)),IF(A374="Модуль",IF(C374="","",COUNTIFS(Однолинейка!$AW$3:$AW$3000,"?*",Однолинейка!$AI$3:$AI$3000,C374,Однолинейка!$A$3:$A$3000,Щит_спец)),IF(A374="Клемма",IF(C374="","",IF(C374=$S$7,SUMIFS(Однолинейка!$BW$3:$BW$3000,Однолинейка!$A$3:$A$3000,Щит_спец),IF(C374=$S$8,SUMIFS(Однолинейка!$BX$3:$BX$3000,Однолинейка!$A$3:$A$3000,Щит_спец),""))),""))))</f>
        <v/>
      </c>
      <c r="O374" s="74"/>
      <c r="P374" s="38" t="str">
        <f t="shared" si="45"/>
        <v/>
      </c>
      <c r="U374" s="38" t="str">
        <f t="shared" si="46"/>
        <v/>
      </c>
      <c r="V374" s="38" t="str">
        <f t="shared" si="47"/>
        <v/>
      </c>
      <c r="W374" s="38" t="str">
        <f>IF(AND(U374&lt;&gt;"",OR($S$4="(все)",B374=$S$4),IF($S$4="(все)",COUNTIF($U$4:U374,U374),COUNTIFS($U$4:U374,U374,$B$4:B374,B374))=1),MAX($W$3:W373)+1,"")</f>
        <v/>
      </c>
      <c r="X374" s="38" t="str">
        <f t="shared" si="48"/>
        <v/>
      </c>
      <c r="Y374" s="38" t="str">
        <f>IF(AND(A374="Аппарат",C374&lt;&gt;"",OR($S$5="(все)",B374=$S$5)),MAX($Y$3:Y373)+1,"")</f>
        <v/>
      </c>
      <c r="Z374" s="38" t="str">
        <f t="shared" si="49"/>
        <v/>
      </c>
      <c r="AA374" s="38" t="str">
        <f>IF(AND(A374="Модуль",C374&lt;&gt;"",OR($S$6="(все)",B374=$S$6)),MAX($AA$3:AA373)+1,"")</f>
        <v/>
      </c>
      <c r="AB374" s="38" t="str">
        <f t="shared" si="50"/>
        <v/>
      </c>
      <c r="AC374" s="38" t="str">
        <f>IF(OR(B374="",COUNTIF($B$4:B374,B374)&gt;1),"",MAX($AC$3:AC373)+1)</f>
        <v/>
      </c>
      <c r="AD374" s="38" t="str">
        <f t="shared" si="51"/>
        <v/>
      </c>
      <c r="AE374" s="38" t="str">
        <f t="shared" si="52"/>
        <v/>
      </c>
      <c r="AF374" s="38" t="str">
        <f t="shared" si="53"/>
        <v/>
      </c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38" t="str">
        <f>IF(OR(A375="Автомат",A375="Дифавтомат"),IF(W375="","",COUNTIFS(Однолинейка!$H$3:$H$3000,U375,Однолинейка!$A$3:$A$3000,Щит_спец)),IF(A375="Аппарат",IF(C375="","",COUNTIFS(Однолинейка!$I$3:$I$3000,C375,Однолинейка!$A$3:$A$3000,Щит_спец)+COUNTIFS(Однолинейка!$J$3:$J$3000,C375,Однолинейка!$A$3:$A$3000,Щит_спец)+COUNTIFS(Однолинейка!$K$3:$K$3000,C375,Однолинейка!$A$3:$A$3000,Щит_спец)),IF(A375="Модуль",IF(C375="","",COUNTIFS(Однолинейка!$AW$3:$AW$3000,"?*",Однолинейка!$AI$3:$AI$3000,C375,Однолинейка!$A$3:$A$3000,Щит_спец)),IF(A375="Клемма",IF(C375="","",IF(C375=$S$7,SUMIFS(Однолинейка!$BW$3:$BW$3000,Однолинейка!$A$3:$A$3000,Щит_спец),IF(C375=$S$8,SUMIFS(Однолинейка!$BX$3:$BX$3000,Однолинейка!$A$3:$A$3000,Щит_спец),""))),""))))</f>
        <v/>
      </c>
      <c r="O375" s="74"/>
      <c r="P375" s="38" t="str">
        <f t="shared" si="45"/>
        <v/>
      </c>
      <c r="U375" s="38" t="str">
        <f t="shared" si="46"/>
        <v/>
      </c>
      <c r="V375" s="38" t="str">
        <f t="shared" si="47"/>
        <v/>
      </c>
      <c r="W375" s="38" t="str">
        <f>IF(AND(U375&lt;&gt;"",OR($S$4="(все)",B375=$S$4),IF($S$4="(все)",COUNTIF($U$4:U375,U375),COUNTIFS($U$4:U375,U375,$B$4:B375,B375))=1),MAX($W$3:W374)+1,"")</f>
        <v/>
      </c>
      <c r="X375" s="38" t="str">
        <f t="shared" si="48"/>
        <v/>
      </c>
      <c r="Y375" s="38" t="str">
        <f>IF(AND(A375="Аппарат",C375&lt;&gt;"",OR($S$5="(все)",B375=$S$5)),MAX($Y$3:Y374)+1,"")</f>
        <v/>
      </c>
      <c r="Z375" s="38" t="str">
        <f t="shared" si="49"/>
        <v/>
      </c>
      <c r="AA375" s="38" t="str">
        <f>IF(AND(A375="Модуль",C375&lt;&gt;"",OR($S$6="(все)",B375=$S$6)),MAX($AA$3:AA374)+1,"")</f>
        <v/>
      </c>
      <c r="AB375" s="38" t="str">
        <f t="shared" si="50"/>
        <v/>
      </c>
      <c r="AC375" s="38" t="str">
        <f>IF(OR(B375="",COUNTIF($B$4:B375,B375)&gt;1),"",MAX($AC$3:AC374)+1)</f>
        <v/>
      </c>
      <c r="AD375" s="38" t="str">
        <f t="shared" si="51"/>
        <v/>
      </c>
      <c r="AE375" s="38" t="str">
        <f t="shared" si="52"/>
        <v/>
      </c>
      <c r="AF375" s="38" t="str">
        <f t="shared" si="53"/>
        <v/>
      </c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38" t="str">
        <f>IF(OR(A376="Автомат",A376="Дифавтомат"),IF(W376="","",COUNTIFS(Однолинейка!$H$3:$H$3000,U376,Однолинейка!$A$3:$A$3000,Щит_спец)),IF(A376="Аппарат",IF(C376="","",COUNTIFS(Однолинейка!$I$3:$I$3000,C376,Однолинейка!$A$3:$A$3000,Щит_спец)+COUNTIFS(Однолинейка!$J$3:$J$3000,C376,Однолинейка!$A$3:$A$3000,Щит_спец)+COUNTIFS(Однолинейка!$K$3:$K$3000,C376,Однолинейка!$A$3:$A$3000,Щит_спец)),IF(A376="Модуль",IF(C376="","",COUNTIFS(Однолинейка!$AW$3:$AW$3000,"?*",Однолинейка!$AI$3:$AI$3000,C376,Однолинейка!$A$3:$A$3000,Щит_спец)),IF(A376="Клемма",IF(C376="","",IF(C376=$S$7,SUMIFS(Однолинейка!$BW$3:$BW$3000,Однолинейка!$A$3:$A$3000,Щит_спец),IF(C376=$S$8,SUMIFS(Однолинейка!$BX$3:$BX$3000,Однолинейка!$A$3:$A$3000,Щит_спец),""))),""))))</f>
        <v/>
      </c>
      <c r="O376" s="74"/>
      <c r="P376" s="38" t="str">
        <f t="shared" si="45"/>
        <v/>
      </c>
      <c r="U376" s="38" t="str">
        <f t="shared" si="46"/>
        <v/>
      </c>
      <c r="V376" s="38" t="str">
        <f t="shared" si="47"/>
        <v/>
      </c>
      <c r="W376" s="38" t="str">
        <f>IF(AND(U376&lt;&gt;"",OR($S$4="(все)",B376=$S$4),IF($S$4="(все)",COUNTIF($U$4:U376,U376),COUNTIFS($U$4:U376,U376,$B$4:B376,B376))=1),MAX($W$3:W375)+1,"")</f>
        <v/>
      </c>
      <c r="X376" s="38" t="str">
        <f t="shared" si="48"/>
        <v/>
      </c>
      <c r="Y376" s="38" t="str">
        <f>IF(AND(A376="Аппарат",C376&lt;&gt;"",OR($S$5="(все)",B376=$S$5)),MAX($Y$3:Y375)+1,"")</f>
        <v/>
      </c>
      <c r="Z376" s="38" t="str">
        <f t="shared" si="49"/>
        <v/>
      </c>
      <c r="AA376" s="38" t="str">
        <f>IF(AND(A376="Модуль",C376&lt;&gt;"",OR($S$6="(все)",B376=$S$6)),MAX($AA$3:AA375)+1,"")</f>
        <v/>
      </c>
      <c r="AB376" s="38" t="str">
        <f t="shared" si="50"/>
        <v/>
      </c>
      <c r="AC376" s="38" t="str">
        <f>IF(OR(B376="",COUNTIF($B$4:B376,B376)&gt;1),"",MAX($AC$3:AC375)+1)</f>
        <v/>
      </c>
      <c r="AD376" s="38" t="str">
        <f t="shared" si="51"/>
        <v/>
      </c>
      <c r="AE376" s="38" t="str">
        <f t="shared" si="52"/>
        <v/>
      </c>
      <c r="AF376" s="38" t="str">
        <f t="shared" si="53"/>
        <v/>
      </c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38" t="str">
        <f>IF(OR(A377="Автомат",A377="Дифавтомат"),IF(W377="","",COUNTIFS(Однолинейка!$H$3:$H$3000,U377,Однолинейка!$A$3:$A$3000,Щит_спец)),IF(A377="Аппарат",IF(C377="","",COUNTIFS(Однолинейка!$I$3:$I$3000,C377,Однолинейка!$A$3:$A$3000,Щит_спец)+COUNTIFS(Однолинейка!$J$3:$J$3000,C377,Однолинейка!$A$3:$A$3000,Щит_спец)+COUNTIFS(Однолинейка!$K$3:$K$3000,C377,Однолинейка!$A$3:$A$3000,Щит_спец)),IF(A377="Модуль",IF(C377="","",COUNTIFS(Однолинейка!$AW$3:$AW$3000,"?*",Однолинейка!$AI$3:$AI$3000,C377,Однолинейка!$A$3:$A$3000,Щит_спец)),IF(A377="Клемма",IF(C377="","",IF(C377=$S$7,SUMIFS(Однолинейка!$BW$3:$BW$3000,Однолинейка!$A$3:$A$3000,Щит_спец),IF(C377=$S$8,SUMIFS(Однолинейка!$BX$3:$BX$3000,Однолинейка!$A$3:$A$3000,Щит_спец),""))),""))))</f>
        <v/>
      </c>
      <c r="O377" s="74"/>
      <c r="P377" s="38" t="str">
        <f t="shared" si="45"/>
        <v/>
      </c>
      <c r="U377" s="38" t="str">
        <f t="shared" si="46"/>
        <v/>
      </c>
      <c r="V377" s="38" t="str">
        <f t="shared" si="47"/>
        <v/>
      </c>
      <c r="W377" s="38" t="str">
        <f>IF(AND(U377&lt;&gt;"",OR($S$4="(все)",B377=$S$4),IF($S$4="(все)",COUNTIF($U$4:U377,U377),COUNTIFS($U$4:U377,U377,$B$4:B377,B377))=1),MAX($W$3:W376)+1,"")</f>
        <v/>
      </c>
      <c r="X377" s="38" t="str">
        <f t="shared" si="48"/>
        <v/>
      </c>
      <c r="Y377" s="38" t="str">
        <f>IF(AND(A377="Аппарат",C377&lt;&gt;"",OR($S$5="(все)",B377=$S$5)),MAX($Y$3:Y376)+1,"")</f>
        <v/>
      </c>
      <c r="Z377" s="38" t="str">
        <f t="shared" si="49"/>
        <v/>
      </c>
      <c r="AA377" s="38" t="str">
        <f>IF(AND(A377="Модуль",C377&lt;&gt;"",OR($S$6="(все)",B377=$S$6)),MAX($AA$3:AA376)+1,"")</f>
        <v/>
      </c>
      <c r="AB377" s="38" t="str">
        <f t="shared" si="50"/>
        <v/>
      </c>
      <c r="AC377" s="38" t="str">
        <f>IF(OR(B377="",COUNTIF($B$4:B377,B377)&gt;1),"",MAX($AC$3:AC376)+1)</f>
        <v/>
      </c>
      <c r="AD377" s="38" t="str">
        <f t="shared" si="51"/>
        <v/>
      </c>
      <c r="AE377" s="38" t="str">
        <f t="shared" si="52"/>
        <v/>
      </c>
      <c r="AF377" s="38" t="str">
        <f t="shared" si="53"/>
        <v/>
      </c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38" t="str">
        <f>IF(OR(A378="Автомат",A378="Дифавтомат"),IF(W378="","",COUNTIFS(Однолинейка!$H$3:$H$3000,U378,Однолинейка!$A$3:$A$3000,Щит_спец)),IF(A378="Аппарат",IF(C378="","",COUNTIFS(Однолинейка!$I$3:$I$3000,C378,Однолинейка!$A$3:$A$3000,Щит_спец)+COUNTIFS(Однолинейка!$J$3:$J$3000,C378,Однолинейка!$A$3:$A$3000,Щит_спец)+COUNTIFS(Однолинейка!$K$3:$K$3000,C378,Однолинейка!$A$3:$A$3000,Щит_спец)),IF(A378="Модуль",IF(C378="","",COUNTIFS(Однолинейка!$AW$3:$AW$3000,"?*",Однолинейка!$AI$3:$AI$3000,C378,Однолинейка!$A$3:$A$3000,Щит_спец)),IF(A378="Клемма",IF(C378="","",IF(C378=$S$7,SUMIFS(Однолинейка!$BW$3:$BW$3000,Однолинейка!$A$3:$A$3000,Щит_спец),IF(C378=$S$8,SUMIFS(Однолинейка!$BX$3:$BX$3000,Однолинейка!$A$3:$A$3000,Щит_спец),""))),""))))</f>
        <v/>
      </c>
      <c r="O378" s="74"/>
      <c r="P378" s="38" t="str">
        <f t="shared" si="45"/>
        <v/>
      </c>
      <c r="U378" s="38" t="str">
        <f t="shared" si="46"/>
        <v/>
      </c>
      <c r="V378" s="38" t="str">
        <f t="shared" si="47"/>
        <v/>
      </c>
      <c r="W378" s="38" t="str">
        <f>IF(AND(U378&lt;&gt;"",OR($S$4="(все)",B378=$S$4),IF($S$4="(все)",COUNTIF($U$4:U378,U378),COUNTIFS($U$4:U378,U378,$B$4:B378,B378))=1),MAX($W$3:W377)+1,"")</f>
        <v/>
      </c>
      <c r="X378" s="38" t="str">
        <f t="shared" si="48"/>
        <v/>
      </c>
      <c r="Y378" s="38" t="str">
        <f>IF(AND(A378="Аппарат",C378&lt;&gt;"",OR($S$5="(все)",B378=$S$5)),MAX($Y$3:Y377)+1,"")</f>
        <v/>
      </c>
      <c r="Z378" s="38" t="str">
        <f t="shared" si="49"/>
        <v/>
      </c>
      <c r="AA378" s="38" t="str">
        <f>IF(AND(A378="Модуль",C378&lt;&gt;"",OR($S$6="(все)",B378=$S$6)),MAX($AA$3:AA377)+1,"")</f>
        <v/>
      </c>
      <c r="AB378" s="38" t="str">
        <f t="shared" si="50"/>
        <v/>
      </c>
      <c r="AC378" s="38" t="str">
        <f>IF(OR(B378="",COUNTIF($B$4:B378,B378)&gt;1),"",MAX($AC$3:AC377)+1)</f>
        <v/>
      </c>
      <c r="AD378" s="38" t="str">
        <f t="shared" si="51"/>
        <v/>
      </c>
      <c r="AE378" s="38" t="str">
        <f t="shared" si="52"/>
        <v/>
      </c>
      <c r="AF378" s="38" t="str">
        <f t="shared" si="53"/>
        <v/>
      </c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38" t="str">
        <f>IF(OR(A379="Автомат",A379="Дифавтомат"),IF(W379="","",COUNTIFS(Однолинейка!$H$3:$H$3000,U379,Однолинейка!$A$3:$A$3000,Щит_спец)),IF(A379="Аппарат",IF(C379="","",COUNTIFS(Однолинейка!$I$3:$I$3000,C379,Однолинейка!$A$3:$A$3000,Щит_спец)+COUNTIFS(Однолинейка!$J$3:$J$3000,C379,Однолинейка!$A$3:$A$3000,Щит_спец)+COUNTIFS(Однолинейка!$K$3:$K$3000,C379,Однолинейка!$A$3:$A$3000,Щит_спец)),IF(A379="Модуль",IF(C379="","",COUNTIFS(Однолинейка!$AW$3:$AW$3000,"?*",Однолинейка!$AI$3:$AI$3000,C379,Однолинейка!$A$3:$A$3000,Щит_спец)),IF(A379="Клемма",IF(C379="","",IF(C379=$S$7,SUMIFS(Однолинейка!$BW$3:$BW$3000,Однолинейка!$A$3:$A$3000,Щит_спец),IF(C379=$S$8,SUMIFS(Однолинейка!$BX$3:$BX$3000,Однолинейка!$A$3:$A$3000,Щит_спец),""))),""))))</f>
        <v/>
      </c>
      <c r="O379" s="74"/>
      <c r="P379" s="38" t="str">
        <f t="shared" si="45"/>
        <v/>
      </c>
      <c r="U379" s="38" t="str">
        <f t="shared" si="46"/>
        <v/>
      </c>
      <c r="V379" s="38" t="str">
        <f t="shared" si="47"/>
        <v/>
      </c>
      <c r="W379" s="38" t="str">
        <f>IF(AND(U379&lt;&gt;"",OR($S$4="(все)",B379=$S$4),IF($S$4="(все)",COUNTIF($U$4:U379,U379),COUNTIFS($U$4:U379,U379,$B$4:B379,B379))=1),MAX($W$3:W378)+1,"")</f>
        <v/>
      </c>
      <c r="X379" s="38" t="str">
        <f t="shared" si="48"/>
        <v/>
      </c>
      <c r="Y379" s="38" t="str">
        <f>IF(AND(A379="Аппарат",C379&lt;&gt;"",OR($S$5="(все)",B379=$S$5)),MAX($Y$3:Y378)+1,"")</f>
        <v/>
      </c>
      <c r="Z379" s="38" t="str">
        <f t="shared" si="49"/>
        <v/>
      </c>
      <c r="AA379" s="38" t="str">
        <f>IF(AND(A379="Модуль",C379&lt;&gt;"",OR($S$6="(все)",B379=$S$6)),MAX($AA$3:AA378)+1,"")</f>
        <v/>
      </c>
      <c r="AB379" s="38" t="str">
        <f t="shared" si="50"/>
        <v/>
      </c>
      <c r="AC379" s="38" t="str">
        <f>IF(OR(B379="",COUNTIF($B$4:B379,B379)&gt;1),"",MAX($AC$3:AC378)+1)</f>
        <v/>
      </c>
      <c r="AD379" s="38" t="str">
        <f t="shared" si="51"/>
        <v/>
      </c>
      <c r="AE379" s="38" t="str">
        <f t="shared" si="52"/>
        <v/>
      </c>
      <c r="AF379" s="38" t="str">
        <f t="shared" si="53"/>
        <v/>
      </c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38" t="str">
        <f>IF(OR(A380="Автомат",A380="Дифавтомат"),IF(W380="","",COUNTIFS(Однолинейка!$H$3:$H$3000,U380,Однолинейка!$A$3:$A$3000,Щит_спец)),IF(A380="Аппарат",IF(C380="","",COUNTIFS(Однолинейка!$I$3:$I$3000,C380,Однолинейка!$A$3:$A$3000,Щит_спец)+COUNTIFS(Однолинейка!$J$3:$J$3000,C380,Однолинейка!$A$3:$A$3000,Щит_спец)+COUNTIFS(Однолинейка!$K$3:$K$3000,C380,Однолинейка!$A$3:$A$3000,Щит_спец)),IF(A380="Модуль",IF(C380="","",COUNTIFS(Однолинейка!$AW$3:$AW$3000,"?*",Однолинейка!$AI$3:$AI$3000,C380,Однолинейка!$A$3:$A$3000,Щит_спец)),IF(A380="Клемма",IF(C380="","",IF(C380=$S$7,SUMIFS(Однолинейка!$BW$3:$BW$3000,Однолинейка!$A$3:$A$3000,Щит_спец),IF(C380=$S$8,SUMIFS(Однолинейка!$BX$3:$BX$3000,Однолинейка!$A$3:$A$3000,Щит_спец),""))),""))))</f>
        <v/>
      </c>
      <c r="O380" s="74"/>
      <c r="P380" s="38" t="str">
        <f t="shared" si="45"/>
        <v/>
      </c>
      <c r="U380" s="38" t="str">
        <f t="shared" si="46"/>
        <v/>
      </c>
      <c r="V380" s="38" t="str">
        <f t="shared" si="47"/>
        <v/>
      </c>
      <c r="W380" s="38" t="str">
        <f>IF(AND(U380&lt;&gt;"",OR($S$4="(все)",B380=$S$4),IF($S$4="(все)",COUNTIF($U$4:U380,U380),COUNTIFS($U$4:U380,U380,$B$4:B380,B380))=1),MAX($W$3:W379)+1,"")</f>
        <v/>
      </c>
      <c r="X380" s="38" t="str">
        <f t="shared" si="48"/>
        <v/>
      </c>
      <c r="Y380" s="38" t="str">
        <f>IF(AND(A380="Аппарат",C380&lt;&gt;"",OR($S$5="(все)",B380=$S$5)),MAX($Y$3:Y379)+1,"")</f>
        <v/>
      </c>
      <c r="Z380" s="38" t="str">
        <f t="shared" si="49"/>
        <v/>
      </c>
      <c r="AA380" s="38" t="str">
        <f>IF(AND(A380="Модуль",C380&lt;&gt;"",OR($S$6="(все)",B380=$S$6)),MAX($AA$3:AA379)+1,"")</f>
        <v/>
      </c>
      <c r="AB380" s="38" t="str">
        <f t="shared" si="50"/>
        <v/>
      </c>
      <c r="AC380" s="38" t="str">
        <f>IF(OR(B380="",COUNTIF($B$4:B380,B380)&gt;1),"",MAX($AC$3:AC379)+1)</f>
        <v/>
      </c>
      <c r="AD380" s="38" t="str">
        <f t="shared" si="51"/>
        <v/>
      </c>
      <c r="AE380" s="38" t="str">
        <f t="shared" si="52"/>
        <v/>
      </c>
      <c r="AF380" s="38" t="str">
        <f t="shared" si="53"/>
        <v/>
      </c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38" t="str">
        <f>IF(OR(A381="Автомат",A381="Дифавтомат"),IF(W381="","",COUNTIFS(Однолинейка!$H$3:$H$3000,U381,Однолинейка!$A$3:$A$3000,Щит_спец)),IF(A381="Аппарат",IF(C381="","",COUNTIFS(Однолинейка!$I$3:$I$3000,C381,Однолинейка!$A$3:$A$3000,Щит_спец)+COUNTIFS(Однолинейка!$J$3:$J$3000,C381,Однолинейка!$A$3:$A$3000,Щит_спец)+COUNTIFS(Однолинейка!$K$3:$K$3000,C381,Однолинейка!$A$3:$A$3000,Щит_спец)),IF(A381="Модуль",IF(C381="","",COUNTIFS(Однолинейка!$AW$3:$AW$3000,"?*",Однолинейка!$AI$3:$AI$3000,C381,Однолинейка!$A$3:$A$3000,Щит_спец)),IF(A381="Клемма",IF(C381="","",IF(C381=$S$7,SUMIFS(Однолинейка!$BW$3:$BW$3000,Однолинейка!$A$3:$A$3000,Щит_спец),IF(C381=$S$8,SUMIFS(Однолинейка!$BX$3:$BX$3000,Однолинейка!$A$3:$A$3000,Щит_спец),""))),""))))</f>
        <v/>
      </c>
      <c r="O381" s="74"/>
      <c r="P381" s="38" t="str">
        <f t="shared" si="45"/>
        <v/>
      </c>
      <c r="U381" s="38" t="str">
        <f t="shared" si="46"/>
        <v/>
      </c>
      <c r="V381" s="38" t="str">
        <f t="shared" si="47"/>
        <v/>
      </c>
      <c r="W381" s="38" t="str">
        <f>IF(AND(U381&lt;&gt;"",OR($S$4="(все)",B381=$S$4),IF($S$4="(все)",COUNTIF($U$4:U381,U381),COUNTIFS($U$4:U381,U381,$B$4:B381,B381))=1),MAX($W$3:W380)+1,"")</f>
        <v/>
      </c>
      <c r="X381" s="38" t="str">
        <f t="shared" si="48"/>
        <v/>
      </c>
      <c r="Y381" s="38" t="str">
        <f>IF(AND(A381="Аппарат",C381&lt;&gt;"",OR($S$5="(все)",B381=$S$5)),MAX($Y$3:Y380)+1,"")</f>
        <v/>
      </c>
      <c r="Z381" s="38" t="str">
        <f t="shared" si="49"/>
        <v/>
      </c>
      <c r="AA381" s="38" t="str">
        <f>IF(AND(A381="Модуль",C381&lt;&gt;"",OR($S$6="(все)",B381=$S$6)),MAX($AA$3:AA380)+1,"")</f>
        <v/>
      </c>
      <c r="AB381" s="38" t="str">
        <f t="shared" si="50"/>
        <v/>
      </c>
      <c r="AC381" s="38" t="str">
        <f>IF(OR(B381="",COUNTIF($B$4:B381,B381)&gt;1),"",MAX($AC$3:AC380)+1)</f>
        <v/>
      </c>
      <c r="AD381" s="38" t="str">
        <f t="shared" si="51"/>
        <v/>
      </c>
      <c r="AE381" s="38" t="str">
        <f t="shared" si="52"/>
        <v/>
      </c>
      <c r="AF381" s="38" t="str">
        <f t="shared" si="53"/>
        <v/>
      </c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38" t="str">
        <f>IF(OR(A382="Автомат",A382="Дифавтомат"),IF(W382="","",COUNTIFS(Однолинейка!$H$3:$H$3000,U382,Однолинейка!$A$3:$A$3000,Щит_спец)),IF(A382="Аппарат",IF(C382="","",COUNTIFS(Однолинейка!$I$3:$I$3000,C382,Однолинейка!$A$3:$A$3000,Щит_спец)+COUNTIFS(Однолинейка!$J$3:$J$3000,C382,Однолинейка!$A$3:$A$3000,Щит_спец)+COUNTIFS(Однолинейка!$K$3:$K$3000,C382,Однолинейка!$A$3:$A$3000,Щит_спец)),IF(A382="Модуль",IF(C382="","",COUNTIFS(Однолинейка!$AW$3:$AW$3000,"?*",Однолинейка!$AI$3:$AI$3000,C382,Однолинейка!$A$3:$A$3000,Щит_спец)),IF(A382="Клемма",IF(C382="","",IF(C382=$S$7,SUMIFS(Однолинейка!$BW$3:$BW$3000,Однолинейка!$A$3:$A$3000,Щит_спец),IF(C382=$S$8,SUMIFS(Однолинейка!$BX$3:$BX$3000,Однолинейка!$A$3:$A$3000,Щит_спец),""))),""))))</f>
        <v/>
      </c>
      <c r="O382" s="74"/>
      <c r="P382" s="38" t="str">
        <f t="shared" si="45"/>
        <v/>
      </c>
      <c r="U382" s="38" t="str">
        <f t="shared" si="46"/>
        <v/>
      </c>
      <c r="V382" s="38" t="str">
        <f t="shared" si="47"/>
        <v/>
      </c>
      <c r="W382" s="38" t="str">
        <f>IF(AND(U382&lt;&gt;"",OR($S$4="(все)",B382=$S$4),IF($S$4="(все)",COUNTIF($U$4:U382,U382),COUNTIFS($U$4:U382,U382,$B$4:B382,B382))=1),MAX($W$3:W381)+1,"")</f>
        <v/>
      </c>
      <c r="X382" s="38" t="str">
        <f t="shared" si="48"/>
        <v/>
      </c>
      <c r="Y382" s="38" t="str">
        <f>IF(AND(A382="Аппарат",C382&lt;&gt;"",OR($S$5="(все)",B382=$S$5)),MAX($Y$3:Y381)+1,"")</f>
        <v/>
      </c>
      <c r="Z382" s="38" t="str">
        <f t="shared" si="49"/>
        <v/>
      </c>
      <c r="AA382" s="38" t="str">
        <f>IF(AND(A382="Модуль",C382&lt;&gt;"",OR($S$6="(все)",B382=$S$6)),MAX($AA$3:AA381)+1,"")</f>
        <v/>
      </c>
      <c r="AB382" s="38" t="str">
        <f t="shared" si="50"/>
        <v/>
      </c>
      <c r="AC382" s="38" t="str">
        <f>IF(OR(B382="",COUNTIF($B$4:B382,B382)&gt;1),"",MAX($AC$3:AC381)+1)</f>
        <v/>
      </c>
      <c r="AD382" s="38" t="str">
        <f t="shared" si="51"/>
        <v/>
      </c>
      <c r="AE382" s="38" t="str">
        <f t="shared" si="52"/>
        <v/>
      </c>
      <c r="AF382" s="38" t="str">
        <f t="shared" si="53"/>
        <v/>
      </c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38" t="str">
        <f>IF(OR(A383="Автомат",A383="Дифавтомат"),IF(W383="","",COUNTIFS(Однолинейка!$H$3:$H$3000,U383,Однолинейка!$A$3:$A$3000,Щит_спец)),IF(A383="Аппарат",IF(C383="","",COUNTIFS(Однолинейка!$I$3:$I$3000,C383,Однолинейка!$A$3:$A$3000,Щит_спец)+COUNTIFS(Однолинейка!$J$3:$J$3000,C383,Однолинейка!$A$3:$A$3000,Щит_спец)+COUNTIFS(Однолинейка!$K$3:$K$3000,C383,Однолинейка!$A$3:$A$3000,Щит_спец)),IF(A383="Модуль",IF(C383="","",COUNTIFS(Однолинейка!$AW$3:$AW$3000,"?*",Однолинейка!$AI$3:$AI$3000,C383,Однолинейка!$A$3:$A$3000,Щит_спец)),IF(A383="Клемма",IF(C383="","",IF(C383=$S$7,SUMIFS(Однолинейка!$BW$3:$BW$3000,Однолинейка!$A$3:$A$3000,Щит_спец),IF(C383=$S$8,SUMIFS(Однолинейка!$BX$3:$BX$3000,Однолинейка!$A$3:$A$3000,Щит_спец),""))),""))))</f>
        <v/>
      </c>
      <c r="O383" s="74"/>
      <c r="P383" s="38" t="str">
        <f t="shared" si="45"/>
        <v/>
      </c>
      <c r="U383" s="38" t="str">
        <f t="shared" si="46"/>
        <v/>
      </c>
      <c r="V383" s="38" t="str">
        <f t="shared" si="47"/>
        <v/>
      </c>
      <c r="W383" s="38" t="str">
        <f>IF(AND(U383&lt;&gt;"",OR($S$4="(все)",B383=$S$4),IF($S$4="(все)",COUNTIF($U$4:U383,U383),COUNTIFS($U$4:U383,U383,$B$4:B383,B383))=1),MAX($W$3:W382)+1,"")</f>
        <v/>
      </c>
      <c r="X383" s="38" t="str">
        <f t="shared" si="48"/>
        <v/>
      </c>
      <c r="Y383" s="38" t="str">
        <f>IF(AND(A383="Аппарат",C383&lt;&gt;"",OR($S$5="(все)",B383=$S$5)),MAX($Y$3:Y382)+1,"")</f>
        <v/>
      </c>
      <c r="Z383" s="38" t="str">
        <f t="shared" si="49"/>
        <v/>
      </c>
      <c r="AA383" s="38" t="str">
        <f>IF(AND(A383="Модуль",C383&lt;&gt;"",OR($S$6="(все)",B383=$S$6)),MAX($AA$3:AA382)+1,"")</f>
        <v/>
      </c>
      <c r="AB383" s="38" t="str">
        <f t="shared" si="50"/>
        <v/>
      </c>
      <c r="AC383" s="38" t="str">
        <f>IF(OR(B383="",COUNTIF($B$4:B383,B383)&gt;1),"",MAX($AC$3:AC382)+1)</f>
        <v/>
      </c>
      <c r="AD383" s="38" t="str">
        <f t="shared" si="51"/>
        <v/>
      </c>
      <c r="AE383" s="38" t="str">
        <f t="shared" si="52"/>
        <v/>
      </c>
      <c r="AF383" s="38" t="str">
        <f t="shared" si="53"/>
        <v/>
      </c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38" t="str">
        <f>IF(OR(A384="Автомат",A384="Дифавтомат"),IF(W384="","",COUNTIFS(Однолинейка!$H$3:$H$3000,U384,Однолинейка!$A$3:$A$3000,Щит_спец)),IF(A384="Аппарат",IF(C384="","",COUNTIFS(Однолинейка!$I$3:$I$3000,C384,Однолинейка!$A$3:$A$3000,Щит_спец)+COUNTIFS(Однолинейка!$J$3:$J$3000,C384,Однолинейка!$A$3:$A$3000,Щит_спец)+COUNTIFS(Однолинейка!$K$3:$K$3000,C384,Однолинейка!$A$3:$A$3000,Щит_спец)),IF(A384="Модуль",IF(C384="","",COUNTIFS(Однолинейка!$AW$3:$AW$3000,"?*",Однолинейка!$AI$3:$AI$3000,C384,Однолинейка!$A$3:$A$3000,Щит_спец)),IF(A384="Клемма",IF(C384="","",IF(C384=$S$7,SUMIFS(Однолинейка!$BW$3:$BW$3000,Однолинейка!$A$3:$A$3000,Щит_спец),IF(C384=$S$8,SUMIFS(Однолинейка!$BX$3:$BX$3000,Однолинейка!$A$3:$A$3000,Щит_спец),""))),""))))</f>
        <v/>
      </c>
      <c r="O384" s="74"/>
      <c r="P384" s="38" t="str">
        <f t="shared" si="45"/>
        <v/>
      </c>
      <c r="U384" s="38" t="str">
        <f t="shared" si="46"/>
        <v/>
      </c>
      <c r="V384" s="38" t="str">
        <f t="shared" si="47"/>
        <v/>
      </c>
      <c r="W384" s="38" t="str">
        <f>IF(AND(U384&lt;&gt;"",OR($S$4="(все)",B384=$S$4),IF($S$4="(все)",COUNTIF($U$4:U384,U384),COUNTIFS($U$4:U384,U384,$B$4:B384,B384))=1),MAX($W$3:W383)+1,"")</f>
        <v/>
      </c>
      <c r="X384" s="38" t="str">
        <f t="shared" si="48"/>
        <v/>
      </c>
      <c r="Y384" s="38" t="str">
        <f>IF(AND(A384="Аппарат",C384&lt;&gt;"",OR($S$5="(все)",B384=$S$5)),MAX($Y$3:Y383)+1,"")</f>
        <v/>
      </c>
      <c r="Z384" s="38" t="str">
        <f t="shared" si="49"/>
        <v/>
      </c>
      <c r="AA384" s="38" t="str">
        <f>IF(AND(A384="Модуль",C384&lt;&gt;"",OR($S$6="(все)",B384=$S$6)),MAX($AA$3:AA383)+1,"")</f>
        <v/>
      </c>
      <c r="AB384" s="38" t="str">
        <f t="shared" si="50"/>
        <v/>
      </c>
      <c r="AC384" s="38" t="str">
        <f>IF(OR(B384="",COUNTIF($B$4:B384,B384)&gt;1),"",MAX($AC$3:AC383)+1)</f>
        <v/>
      </c>
      <c r="AD384" s="38" t="str">
        <f t="shared" si="51"/>
        <v/>
      </c>
      <c r="AE384" s="38" t="str">
        <f t="shared" si="52"/>
        <v/>
      </c>
      <c r="AF384" s="38" t="str">
        <f t="shared" si="53"/>
        <v/>
      </c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38" t="str">
        <f>IF(OR(A385="Автомат",A385="Дифавтомат"),IF(W385="","",COUNTIFS(Однолинейка!$H$3:$H$3000,U385,Однолинейка!$A$3:$A$3000,Щит_спец)),IF(A385="Аппарат",IF(C385="","",COUNTIFS(Однолинейка!$I$3:$I$3000,C385,Однолинейка!$A$3:$A$3000,Щит_спец)+COUNTIFS(Однолинейка!$J$3:$J$3000,C385,Однолинейка!$A$3:$A$3000,Щит_спец)+COUNTIFS(Однолинейка!$K$3:$K$3000,C385,Однолинейка!$A$3:$A$3000,Щит_спец)),IF(A385="Модуль",IF(C385="","",COUNTIFS(Однолинейка!$AW$3:$AW$3000,"?*",Однолинейка!$AI$3:$AI$3000,C385,Однолинейка!$A$3:$A$3000,Щит_спец)),IF(A385="Клемма",IF(C385="","",IF(C385=$S$7,SUMIFS(Однолинейка!$BW$3:$BW$3000,Однолинейка!$A$3:$A$3000,Щит_спец),IF(C385=$S$8,SUMIFS(Однолинейка!$BX$3:$BX$3000,Однолинейка!$A$3:$A$3000,Щит_спец),""))),""))))</f>
        <v/>
      </c>
      <c r="O385" s="74"/>
      <c r="P385" s="38" t="str">
        <f t="shared" si="45"/>
        <v/>
      </c>
      <c r="U385" s="38" t="str">
        <f t="shared" si="46"/>
        <v/>
      </c>
      <c r="V385" s="38" t="str">
        <f t="shared" si="47"/>
        <v/>
      </c>
      <c r="W385" s="38" t="str">
        <f>IF(AND(U385&lt;&gt;"",OR($S$4="(все)",B385=$S$4),IF($S$4="(все)",COUNTIF($U$4:U385,U385),COUNTIFS($U$4:U385,U385,$B$4:B385,B385))=1),MAX($W$3:W384)+1,"")</f>
        <v/>
      </c>
      <c r="X385" s="38" t="str">
        <f t="shared" si="48"/>
        <v/>
      </c>
      <c r="Y385" s="38" t="str">
        <f>IF(AND(A385="Аппарат",C385&lt;&gt;"",OR($S$5="(все)",B385=$S$5)),MAX($Y$3:Y384)+1,"")</f>
        <v/>
      </c>
      <c r="Z385" s="38" t="str">
        <f t="shared" si="49"/>
        <v/>
      </c>
      <c r="AA385" s="38" t="str">
        <f>IF(AND(A385="Модуль",C385&lt;&gt;"",OR($S$6="(все)",B385=$S$6)),MAX($AA$3:AA384)+1,"")</f>
        <v/>
      </c>
      <c r="AB385" s="38" t="str">
        <f t="shared" si="50"/>
        <v/>
      </c>
      <c r="AC385" s="38" t="str">
        <f>IF(OR(B385="",COUNTIF($B$4:B385,B385)&gt;1),"",MAX($AC$3:AC384)+1)</f>
        <v/>
      </c>
      <c r="AD385" s="38" t="str">
        <f t="shared" si="51"/>
        <v/>
      </c>
      <c r="AE385" s="38" t="str">
        <f t="shared" si="52"/>
        <v/>
      </c>
      <c r="AF385" s="38" t="str">
        <f t="shared" si="53"/>
        <v/>
      </c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38" t="str">
        <f>IF(OR(A386="Автомат",A386="Дифавтомат"),IF(W386="","",COUNTIFS(Однолинейка!$H$3:$H$3000,U386,Однолинейка!$A$3:$A$3000,Щит_спец)),IF(A386="Аппарат",IF(C386="","",COUNTIFS(Однолинейка!$I$3:$I$3000,C386,Однолинейка!$A$3:$A$3000,Щит_спец)+COUNTIFS(Однолинейка!$J$3:$J$3000,C386,Однолинейка!$A$3:$A$3000,Щит_спец)+COUNTIFS(Однолинейка!$K$3:$K$3000,C386,Однолинейка!$A$3:$A$3000,Щит_спец)),IF(A386="Модуль",IF(C386="","",COUNTIFS(Однолинейка!$AW$3:$AW$3000,"?*",Однолинейка!$AI$3:$AI$3000,C386,Однолинейка!$A$3:$A$3000,Щит_спец)),IF(A386="Клемма",IF(C386="","",IF(C386=$S$7,SUMIFS(Однолинейка!$BW$3:$BW$3000,Однолинейка!$A$3:$A$3000,Щит_спец),IF(C386=$S$8,SUMIFS(Однолинейка!$BX$3:$BX$3000,Однолинейка!$A$3:$A$3000,Щит_спец),""))),""))))</f>
        <v/>
      </c>
      <c r="O386" s="74"/>
      <c r="P386" s="38" t="str">
        <f t="shared" si="45"/>
        <v/>
      </c>
      <c r="U386" s="38" t="str">
        <f t="shared" si="46"/>
        <v/>
      </c>
      <c r="V386" s="38" t="str">
        <f t="shared" si="47"/>
        <v/>
      </c>
      <c r="W386" s="38" t="str">
        <f>IF(AND(U386&lt;&gt;"",OR($S$4="(все)",B386=$S$4),IF($S$4="(все)",COUNTIF($U$4:U386,U386),COUNTIFS($U$4:U386,U386,$B$4:B386,B386))=1),MAX($W$3:W385)+1,"")</f>
        <v/>
      </c>
      <c r="X386" s="38" t="str">
        <f t="shared" si="48"/>
        <v/>
      </c>
      <c r="Y386" s="38" t="str">
        <f>IF(AND(A386="Аппарат",C386&lt;&gt;"",OR($S$5="(все)",B386=$S$5)),MAX($Y$3:Y385)+1,"")</f>
        <v/>
      </c>
      <c r="Z386" s="38" t="str">
        <f t="shared" si="49"/>
        <v/>
      </c>
      <c r="AA386" s="38" t="str">
        <f>IF(AND(A386="Модуль",C386&lt;&gt;"",OR($S$6="(все)",B386=$S$6)),MAX($AA$3:AA385)+1,"")</f>
        <v/>
      </c>
      <c r="AB386" s="38" t="str">
        <f t="shared" si="50"/>
        <v/>
      </c>
      <c r="AC386" s="38" t="str">
        <f>IF(OR(B386="",COUNTIF($B$4:B386,B386)&gt;1),"",MAX($AC$3:AC385)+1)</f>
        <v/>
      </c>
      <c r="AD386" s="38" t="str">
        <f t="shared" si="51"/>
        <v/>
      </c>
      <c r="AE386" s="38" t="str">
        <f t="shared" si="52"/>
        <v/>
      </c>
      <c r="AF386" s="38" t="str">
        <f t="shared" si="53"/>
        <v/>
      </c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38" t="str">
        <f>IF(OR(A387="Автомат",A387="Дифавтомат"),IF(W387="","",COUNTIFS(Однолинейка!$H$3:$H$3000,U387,Однолинейка!$A$3:$A$3000,Щит_спец)),IF(A387="Аппарат",IF(C387="","",COUNTIFS(Однолинейка!$I$3:$I$3000,C387,Однолинейка!$A$3:$A$3000,Щит_спец)+COUNTIFS(Однолинейка!$J$3:$J$3000,C387,Однолинейка!$A$3:$A$3000,Щит_спец)+COUNTIFS(Однолинейка!$K$3:$K$3000,C387,Однолинейка!$A$3:$A$3000,Щит_спец)),IF(A387="Модуль",IF(C387="","",COUNTIFS(Однолинейка!$AW$3:$AW$3000,"?*",Однолинейка!$AI$3:$AI$3000,C387,Однолинейка!$A$3:$A$3000,Щит_спец)),IF(A387="Клемма",IF(C387="","",IF(C387=$S$7,SUMIFS(Однолинейка!$BW$3:$BW$3000,Однолинейка!$A$3:$A$3000,Щит_спец),IF(C387=$S$8,SUMIFS(Однолинейка!$BX$3:$BX$3000,Однолинейка!$A$3:$A$3000,Щит_спец),""))),""))))</f>
        <v/>
      </c>
      <c r="O387" s="74"/>
      <c r="P387" s="38" t="str">
        <f t="shared" si="45"/>
        <v/>
      </c>
      <c r="U387" s="38" t="str">
        <f t="shared" si="46"/>
        <v/>
      </c>
      <c r="V387" s="38" t="str">
        <f t="shared" si="47"/>
        <v/>
      </c>
      <c r="W387" s="38" t="str">
        <f>IF(AND(U387&lt;&gt;"",OR($S$4="(все)",B387=$S$4),IF($S$4="(все)",COUNTIF($U$4:U387,U387),COUNTIFS($U$4:U387,U387,$B$4:B387,B387))=1),MAX($W$3:W386)+1,"")</f>
        <v/>
      </c>
      <c r="X387" s="38" t="str">
        <f t="shared" si="48"/>
        <v/>
      </c>
      <c r="Y387" s="38" t="str">
        <f>IF(AND(A387="Аппарат",C387&lt;&gt;"",OR($S$5="(все)",B387=$S$5)),MAX($Y$3:Y386)+1,"")</f>
        <v/>
      </c>
      <c r="Z387" s="38" t="str">
        <f t="shared" si="49"/>
        <v/>
      </c>
      <c r="AA387" s="38" t="str">
        <f>IF(AND(A387="Модуль",C387&lt;&gt;"",OR($S$6="(все)",B387=$S$6)),MAX($AA$3:AA386)+1,"")</f>
        <v/>
      </c>
      <c r="AB387" s="38" t="str">
        <f t="shared" si="50"/>
        <v/>
      </c>
      <c r="AC387" s="38" t="str">
        <f>IF(OR(B387="",COUNTIF($B$4:B387,B387)&gt;1),"",MAX($AC$3:AC386)+1)</f>
        <v/>
      </c>
      <c r="AD387" s="38" t="str">
        <f t="shared" si="51"/>
        <v/>
      </c>
      <c r="AE387" s="38" t="str">
        <f t="shared" si="52"/>
        <v/>
      </c>
      <c r="AF387" s="38" t="str">
        <f t="shared" si="53"/>
        <v/>
      </c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38" t="str">
        <f>IF(OR(A388="Автомат",A388="Дифавтомат"),IF(W388="","",COUNTIFS(Однолинейка!$H$3:$H$3000,U388,Однолинейка!$A$3:$A$3000,Щит_спец)),IF(A388="Аппарат",IF(C388="","",COUNTIFS(Однолинейка!$I$3:$I$3000,C388,Однолинейка!$A$3:$A$3000,Щит_спец)+COUNTIFS(Однолинейка!$J$3:$J$3000,C388,Однолинейка!$A$3:$A$3000,Щит_спец)+COUNTIFS(Однолинейка!$K$3:$K$3000,C388,Однолинейка!$A$3:$A$3000,Щит_спец)),IF(A388="Модуль",IF(C388="","",COUNTIFS(Однолинейка!$AW$3:$AW$3000,"?*",Однолинейка!$AI$3:$AI$3000,C388,Однолинейка!$A$3:$A$3000,Щит_спец)),IF(A388="Клемма",IF(C388="","",IF(C388=$S$7,SUMIFS(Однолинейка!$BW$3:$BW$3000,Однолинейка!$A$3:$A$3000,Щит_спец),IF(C388=$S$8,SUMIFS(Однолинейка!$BX$3:$BX$3000,Однолинейка!$A$3:$A$3000,Щит_спец),""))),""))))</f>
        <v/>
      </c>
      <c r="O388" s="74"/>
      <c r="P388" s="38" t="str">
        <f t="shared" ref="P388:P451" si="54">IF(COUNT(N388,O388)=0,"",SUM(N388,O388))</f>
        <v/>
      </c>
      <c r="U388" s="38" t="str">
        <f t="shared" ref="U388:U451" si="55">IF(OR(A388="Автомат",A388="Дифавтомат"),I388&amp;" С"&amp;J388&amp;"А"&amp;IF(K388="да"," 30мА",IF(ISNUMBER(K388)," "&amp;K388&amp;"мА","")),"")</f>
        <v/>
      </c>
      <c r="V388" s="38" t="str">
        <f t="shared" ref="V388:V451" si="56">IF(U388="","",B388&amp;"|"&amp;U388)</f>
        <v/>
      </c>
      <c r="W388" s="38" t="str">
        <f>IF(AND(U388&lt;&gt;"",OR($S$4="(все)",B388=$S$4),IF($S$4="(все)",COUNTIF($U$4:U388,U388),COUNTIFS($U$4:U388,U388,$B$4:B388,B388))=1),MAX($W$3:W387)+1,"")</f>
        <v/>
      </c>
      <c r="X388" s="38" t="str">
        <f t="shared" ref="X388:X451" si="57">IFERROR(INDEX($U$4:$U$500,MATCH(ROW()-3,$W$4:$W$500,0)),"")</f>
        <v/>
      </c>
      <c r="Y388" s="38" t="str">
        <f>IF(AND(A388="Аппарат",C388&lt;&gt;"",OR($S$5="(все)",B388=$S$5)),MAX($Y$3:Y387)+1,"")</f>
        <v/>
      </c>
      <c r="Z388" s="38" t="str">
        <f t="shared" ref="Z388:Z451" si="58">IFERROR(INDEX($C$4:$C$500,MATCH(ROW()-3,$Y$4:$Y$500,0)),"")</f>
        <v/>
      </c>
      <c r="AA388" s="38" t="str">
        <f>IF(AND(A388="Модуль",C388&lt;&gt;"",OR($S$6="(все)",B388=$S$6)),MAX($AA$3:AA387)+1,"")</f>
        <v/>
      </c>
      <c r="AB388" s="38" t="str">
        <f t="shared" ref="AB388:AB451" si="59">IFERROR(INDEX($C$4:$C$500,MATCH(ROW()-3,$AA$4:$AA$500,0)),"")</f>
        <v/>
      </c>
      <c r="AC388" s="38" t="str">
        <f>IF(OR(B388="",COUNTIF($B$4:B388,B388)&gt;1),"",MAX($AC$3:AC387)+1)</f>
        <v/>
      </c>
      <c r="AD388" s="38" t="str">
        <f t="shared" ref="AD388:AD451" si="60">IFERROR(INDEX($B$4:$B$500,MATCH(ROW()-3,$AC$4:$AC$500,0)),"")</f>
        <v/>
      </c>
      <c r="AE388" s="38" t="str">
        <f t="shared" ref="AE388:AE451" si="61">IF(AND(A388&lt;&gt;"",N(P388)&gt;0),IFERROR(MATCH(A388,$R$12:$R$25,0),99)*1000+ROW(),"")</f>
        <v/>
      </c>
      <c r="AF388" s="38" t="str">
        <f t="shared" ref="AF388:AF451" si="62">IF(AE388="","",COUNTIF($AE$4:$AE$500,"&lt;="&amp;AE388))</f>
        <v/>
      </c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38" t="str">
        <f>IF(OR(A389="Автомат",A389="Дифавтомат"),IF(W389="","",COUNTIFS(Однолинейка!$H$3:$H$3000,U389,Однолинейка!$A$3:$A$3000,Щит_спец)),IF(A389="Аппарат",IF(C389="","",COUNTIFS(Однолинейка!$I$3:$I$3000,C389,Однолинейка!$A$3:$A$3000,Щит_спец)+COUNTIFS(Однолинейка!$J$3:$J$3000,C389,Однолинейка!$A$3:$A$3000,Щит_спец)+COUNTIFS(Однолинейка!$K$3:$K$3000,C389,Однолинейка!$A$3:$A$3000,Щит_спец)),IF(A389="Модуль",IF(C389="","",COUNTIFS(Однолинейка!$AW$3:$AW$3000,"?*",Однолинейка!$AI$3:$AI$3000,C389,Однолинейка!$A$3:$A$3000,Щит_спец)),IF(A389="Клемма",IF(C389="","",IF(C389=$S$7,SUMIFS(Однолинейка!$BW$3:$BW$3000,Однолинейка!$A$3:$A$3000,Щит_спец),IF(C389=$S$8,SUMIFS(Однолинейка!$BX$3:$BX$3000,Однолинейка!$A$3:$A$3000,Щит_спец),""))),""))))</f>
        <v/>
      </c>
      <c r="O389" s="74"/>
      <c r="P389" s="38" t="str">
        <f t="shared" si="54"/>
        <v/>
      </c>
      <c r="U389" s="38" t="str">
        <f t="shared" si="55"/>
        <v/>
      </c>
      <c r="V389" s="38" t="str">
        <f t="shared" si="56"/>
        <v/>
      </c>
      <c r="W389" s="38" t="str">
        <f>IF(AND(U389&lt;&gt;"",OR($S$4="(все)",B389=$S$4),IF($S$4="(все)",COUNTIF($U$4:U389,U389),COUNTIFS($U$4:U389,U389,$B$4:B389,B389))=1),MAX($W$3:W388)+1,"")</f>
        <v/>
      </c>
      <c r="X389" s="38" t="str">
        <f t="shared" si="57"/>
        <v/>
      </c>
      <c r="Y389" s="38" t="str">
        <f>IF(AND(A389="Аппарат",C389&lt;&gt;"",OR($S$5="(все)",B389=$S$5)),MAX($Y$3:Y388)+1,"")</f>
        <v/>
      </c>
      <c r="Z389" s="38" t="str">
        <f t="shared" si="58"/>
        <v/>
      </c>
      <c r="AA389" s="38" t="str">
        <f>IF(AND(A389="Модуль",C389&lt;&gt;"",OR($S$6="(все)",B389=$S$6)),MAX($AA$3:AA388)+1,"")</f>
        <v/>
      </c>
      <c r="AB389" s="38" t="str">
        <f t="shared" si="59"/>
        <v/>
      </c>
      <c r="AC389" s="38" t="str">
        <f>IF(OR(B389="",COUNTIF($B$4:B389,B389)&gt;1),"",MAX($AC$3:AC388)+1)</f>
        <v/>
      </c>
      <c r="AD389" s="38" t="str">
        <f t="shared" si="60"/>
        <v/>
      </c>
      <c r="AE389" s="38" t="str">
        <f t="shared" si="61"/>
        <v/>
      </c>
      <c r="AF389" s="38" t="str">
        <f t="shared" si="62"/>
        <v/>
      </c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38" t="str">
        <f>IF(OR(A390="Автомат",A390="Дифавтомат"),IF(W390="","",COUNTIFS(Однолинейка!$H$3:$H$3000,U390,Однолинейка!$A$3:$A$3000,Щит_спец)),IF(A390="Аппарат",IF(C390="","",COUNTIFS(Однолинейка!$I$3:$I$3000,C390,Однолинейка!$A$3:$A$3000,Щит_спец)+COUNTIFS(Однолинейка!$J$3:$J$3000,C390,Однолинейка!$A$3:$A$3000,Щит_спец)+COUNTIFS(Однолинейка!$K$3:$K$3000,C390,Однолинейка!$A$3:$A$3000,Щит_спец)),IF(A390="Модуль",IF(C390="","",COUNTIFS(Однолинейка!$AW$3:$AW$3000,"?*",Однолинейка!$AI$3:$AI$3000,C390,Однолинейка!$A$3:$A$3000,Щит_спец)),IF(A390="Клемма",IF(C390="","",IF(C390=$S$7,SUMIFS(Однолинейка!$BW$3:$BW$3000,Однолинейка!$A$3:$A$3000,Щит_спец),IF(C390=$S$8,SUMIFS(Однолинейка!$BX$3:$BX$3000,Однолинейка!$A$3:$A$3000,Щит_спец),""))),""))))</f>
        <v/>
      </c>
      <c r="O390" s="74"/>
      <c r="P390" s="38" t="str">
        <f t="shared" si="54"/>
        <v/>
      </c>
      <c r="U390" s="38" t="str">
        <f t="shared" si="55"/>
        <v/>
      </c>
      <c r="V390" s="38" t="str">
        <f t="shared" si="56"/>
        <v/>
      </c>
      <c r="W390" s="38" t="str">
        <f>IF(AND(U390&lt;&gt;"",OR($S$4="(все)",B390=$S$4),IF($S$4="(все)",COUNTIF($U$4:U390,U390),COUNTIFS($U$4:U390,U390,$B$4:B390,B390))=1),MAX($W$3:W389)+1,"")</f>
        <v/>
      </c>
      <c r="X390" s="38" t="str">
        <f t="shared" si="57"/>
        <v/>
      </c>
      <c r="Y390" s="38" t="str">
        <f>IF(AND(A390="Аппарат",C390&lt;&gt;"",OR($S$5="(все)",B390=$S$5)),MAX($Y$3:Y389)+1,"")</f>
        <v/>
      </c>
      <c r="Z390" s="38" t="str">
        <f t="shared" si="58"/>
        <v/>
      </c>
      <c r="AA390" s="38" t="str">
        <f>IF(AND(A390="Модуль",C390&lt;&gt;"",OR($S$6="(все)",B390=$S$6)),MAX($AA$3:AA389)+1,"")</f>
        <v/>
      </c>
      <c r="AB390" s="38" t="str">
        <f t="shared" si="59"/>
        <v/>
      </c>
      <c r="AC390" s="38" t="str">
        <f>IF(OR(B390="",COUNTIF($B$4:B390,B390)&gt;1),"",MAX($AC$3:AC389)+1)</f>
        <v/>
      </c>
      <c r="AD390" s="38" t="str">
        <f t="shared" si="60"/>
        <v/>
      </c>
      <c r="AE390" s="38" t="str">
        <f t="shared" si="61"/>
        <v/>
      </c>
      <c r="AF390" s="38" t="str">
        <f t="shared" si="62"/>
        <v/>
      </c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38" t="str">
        <f>IF(OR(A391="Автомат",A391="Дифавтомат"),IF(W391="","",COUNTIFS(Однолинейка!$H$3:$H$3000,U391,Однолинейка!$A$3:$A$3000,Щит_спец)),IF(A391="Аппарат",IF(C391="","",COUNTIFS(Однолинейка!$I$3:$I$3000,C391,Однолинейка!$A$3:$A$3000,Щит_спец)+COUNTIFS(Однолинейка!$J$3:$J$3000,C391,Однолинейка!$A$3:$A$3000,Щит_спец)+COUNTIFS(Однолинейка!$K$3:$K$3000,C391,Однолинейка!$A$3:$A$3000,Щит_спец)),IF(A391="Модуль",IF(C391="","",COUNTIFS(Однолинейка!$AW$3:$AW$3000,"?*",Однолинейка!$AI$3:$AI$3000,C391,Однолинейка!$A$3:$A$3000,Щит_спец)),IF(A391="Клемма",IF(C391="","",IF(C391=$S$7,SUMIFS(Однолинейка!$BW$3:$BW$3000,Однолинейка!$A$3:$A$3000,Щит_спец),IF(C391=$S$8,SUMIFS(Однолинейка!$BX$3:$BX$3000,Однолинейка!$A$3:$A$3000,Щит_спец),""))),""))))</f>
        <v/>
      </c>
      <c r="O391" s="74"/>
      <c r="P391" s="38" t="str">
        <f t="shared" si="54"/>
        <v/>
      </c>
      <c r="U391" s="38" t="str">
        <f t="shared" si="55"/>
        <v/>
      </c>
      <c r="V391" s="38" t="str">
        <f t="shared" si="56"/>
        <v/>
      </c>
      <c r="W391" s="38" t="str">
        <f>IF(AND(U391&lt;&gt;"",OR($S$4="(все)",B391=$S$4),IF($S$4="(все)",COUNTIF($U$4:U391,U391),COUNTIFS($U$4:U391,U391,$B$4:B391,B391))=1),MAX($W$3:W390)+1,"")</f>
        <v/>
      </c>
      <c r="X391" s="38" t="str">
        <f t="shared" si="57"/>
        <v/>
      </c>
      <c r="Y391" s="38" t="str">
        <f>IF(AND(A391="Аппарат",C391&lt;&gt;"",OR($S$5="(все)",B391=$S$5)),MAX($Y$3:Y390)+1,"")</f>
        <v/>
      </c>
      <c r="Z391" s="38" t="str">
        <f t="shared" si="58"/>
        <v/>
      </c>
      <c r="AA391" s="38" t="str">
        <f>IF(AND(A391="Модуль",C391&lt;&gt;"",OR($S$6="(все)",B391=$S$6)),MAX($AA$3:AA390)+1,"")</f>
        <v/>
      </c>
      <c r="AB391" s="38" t="str">
        <f t="shared" si="59"/>
        <v/>
      </c>
      <c r="AC391" s="38" t="str">
        <f>IF(OR(B391="",COUNTIF($B$4:B391,B391)&gt;1),"",MAX($AC$3:AC390)+1)</f>
        <v/>
      </c>
      <c r="AD391" s="38" t="str">
        <f t="shared" si="60"/>
        <v/>
      </c>
      <c r="AE391" s="38" t="str">
        <f t="shared" si="61"/>
        <v/>
      </c>
      <c r="AF391" s="38" t="str">
        <f t="shared" si="62"/>
        <v/>
      </c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38" t="str">
        <f>IF(OR(A392="Автомат",A392="Дифавтомат"),IF(W392="","",COUNTIFS(Однолинейка!$H$3:$H$3000,U392,Однолинейка!$A$3:$A$3000,Щит_спец)),IF(A392="Аппарат",IF(C392="","",COUNTIFS(Однолинейка!$I$3:$I$3000,C392,Однолинейка!$A$3:$A$3000,Щит_спец)+COUNTIFS(Однолинейка!$J$3:$J$3000,C392,Однолинейка!$A$3:$A$3000,Щит_спец)+COUNTIFS(Однолинейка!$K$3:$K$3000,C392,Однолинейка!$A$3:$A$3000,Щит_спец)),IF(A392="Модуль",IF(C392="","",COUNTIFS(Однолинейка!$AW$3:$AW$3000,"?*",Однолинейка!$AI$3:$AI$3000,C392,Однолинейка!$A$3:$A$3000,Щит_спец)),IF(A392="Клемма",IF(C392="","",IF(C392=$S$7,SUMIFS(Однолинейка!$BW$3:$BW$3000,Однолинейка!$A$3:$A$3000,Щит_спец),IF(C392=$S$8,SUMIFS(Однолинейка!$BX$3:$BX$3000,Однолинейка!$A$3:$A$3000,Щит_спец),""))),""))))</f>
        <v/>
      </c>
      <c r="O392" s="74"/>
      <c r="P392" s="38" t="str">
        <f t="shared" si="54"/>
        <v/>
      </c>
      <c r="U392" s="38" t="str">
        <f t="shared" si="55"/>
        <v/>
      </c>
      <c r="V392" s="38" t="str">
        <f t="shared" si="56"/>
        <v/>
      </c>
      <c r="W392" s="38" t="str">
        <f>IF(AND(U392&lt;&gt;"",OR($S$4="(все)",B392=$S$4),IF($S$4="(все)",COUNTIF($U$4:U392,U392),COUNTIFS($U$4:U392,U392,$B$4:B392,B392))=1),MAX($W$3:W391)+1,"")</f>
        <v/>
      </c>
      <c r="X392" s="38" t="str">
        <f t="shared" si="57"/>
        <v/>
      </c>
      <c r="Y392" s="38" t="str">
        <f>IF(AND(A392="Аппарат",C392&lt;&gt;"",OR($S$5="(все)",B392=$S$5)),MAX($Y$3:Y391)+1,"")</f>
        <v/>
      </c>
      <c r="Z392" s="38" t="str">
        <f t="shared" si="58"/>
        <v/>
      </c>
      <c r="AA392" s="38" t="str">
        <f>IF(AND(A392="Модуль",C392&lt;&gt;"",OR($S$6="(все)",B392=$S$6)),MAX($AA$3:AA391)+1,"")</f>
        <v/>
      </c>
      <c r="AB392" s="38" t="str">
        <f t="shared" si="59"/>
        <v/>
      </c>
      <c r="AC392" s="38" t="str">
        <f>IF(OR(B392="",COUNTIF($B$4:B392,B392)&gt;1),"",MAX($AC$3:AC391)+1)</f>
        <v/>
      </c>
      <c r="AD392" s="38" t="str">
        <f t="shared" si="60"/>
        <v/>
      </c>
      <c r="AE392" s="38" t="str">
        <f t="shared" si="61"/>
        <v/>
      </c>
      <c r="AF392" s="38" t="str">
        <f t="shared" si="62"/>
        <v/>
      </c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38" t="str">
        <f>IF(OR(A393="Автомат",A393="Дифавтомат"),IF(W393="","",COUNTIFS(Однолинейка!$H$3:$H$3000,U393,Однолинейка!$A$3:$A$3000,Щит_спец)),IF(A393="Аппарат",IF(C393="","",COUNTIFS(Однолинейка!$I$3:$I$3000,C393,Однолинейка!$A$3:$A$3000,Щит_спец)+COUNTIFS(Однолинейка!$J$3:$J$3000,C393,Однолинейка!$A$3:$A$3000,Щит_спец)+COUNTIFS(Однолинейка!$K$3:$K$3000,C393,Однолинейка!$A$3:$A$3000,Щит_спец)),IF(A393="Модуль",IF(C393="","",COUNTIFS(Однолинейка!$AW$3:$AW$3000,"?*",Однолинейка!$AI$3:$AI$3000,C393,Однолинейка!$A$3:$A$3000,Щит_спец)),IF(A393="Клемма",IF(C393="","",IF(C393=$S$7,SUMIFS(Однолинейка!$BW$3:$BW$3000,Однолинейка!$A$3:$A$3000,Щит_спец),IF(C393=$S$8,SUMIFS(Однолинейка!$BX$3:$BX$3000,Однолинейка!$A$3:$A$3000,Щит_спец),""))),""))))</f>
        <v/>
      </c>
      <c r="O393" s="74"/>
      <c r="P393" s="38" t="str">
        <f t="shared" si="54"/>
        <v/>
      </c>
      <c r="U393" s="38" t="str">
        <f t="shared" si="55"/>
        <v/>
      </c>
      <c r="V393" s="38" t="str">
        <f t="shared" si="56"/>
        <v/>
      </c>
      <c r="W393" s="38" t="str">
        <f>IF(AND(U393&lt;&gt;"",OR($S$4="(все)",B393=$S$4),IF($S$4="(все)",COUNTIF($U$4:U393,U393),COUNTIFS($U$4:U393,U393,$B$4:B393,B393))=1),MAX($W$3:W392)+1,"")</f>
        <v/>
      </c>
      <c r="X393" s="38" t="str">
        <f t="shared" si="57"/>
        <v/>
      </c>
      <c r="Y393" s="38" t="str">
        <f>IF(AND(A393="Аппарат",C393&lt;&gt;"",OR($S$5="(все)",B393=$S$5)),MAX($Y$3:Y392)+1,"")</f>
        <v/>
      </c>
      <c r="Z393" s="38" t="str">
        <f t="shared" si="58"/>
        <v/>
      </c>
      <c r="AA393" s="38" t="str">
        <f>IF(AND(A393="Модуль",C393&lt;&gt;"",OR($S$6="(все)",B393=$S$6)),MAX($AA$3:AA392)+1,"")</f>
        <v/>
      </c>
      <c r="AB393" s="38" t="str">
        <f t="shared" si="59"/>
        <v/>
      </c>
      <c r="AC393" s="38" t="str">
        <f>IF(OR(B393="",COUNTIF($B$4:B393,B393)&gt;1),"",MAX($AC$3:AC392)+1)</f>
        <v/>
      </c>
      <c r="AD393" s="38" t="str">
        <f t="shared" si="60"/>
        <v/>
      </c>
      <c r="AE393" s="38" t="str">
        <f t="shared" si="61"/>
        <v/>
      </c>
      <c r="AF393" s="38" t="str">
        <f t="shared" si="62"/>
        <v/>
      </c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38" t="str">
        <f>IF(OR(A394="Автомат",A394="Дифавтомат"),IF(W394="","",COUNTIFS(Однолинейка!$H$3:$H$3000,U394,Однолинейка!$A$3:$A$3000,Щит_спец)),IF(A394="Аппарат",IF(C394="","",COUNTIFS(Однолинейка!$I$3:$I$3000,C394,Однолинейка!$A$3:$A$3000,Щит_спец)+COUNTIFS(Однолинейка!$J$3:$J$3000,C394,Однолинейка!$A$3:$A$3000,Щит_спец)+COUNTIFS(Однолинейка!$K$3:$K$3000,C394,Однолинейка!$A$3:$A$3000,Щит_спец)),IF(A394="Модуль",IF(C394="","",COUNTIFS(Однолинейка!$AW$3:$AW$3000,"?*",Однолинейка!$AI$3:$AI$3000,C394,Однолинейка!$A$3:$A$3000,Щит_спец)),IF(A394="Клемма",IF(C394="","",IF(C394=$S$7,SUMIFS(Однолинейка!$BW$3:$BW$3000,Однолинейка!$A$3:$A$3000,Щит_спец),IF(C394=$S$8,SUMIFS(Однолинейка!$BX$3:$BX$3000,Однолинейка!$A$3:$A$3000,Щит_спец),""))),""))))</f>
        <v/>
      </c>
      <c r="O394" s="74"/>
      <c r="P394" s="38" t="str">
        <f t="shared" si="54"/>
        <v/>
      </c>
      <c r="U394" s="38" t="str">
        <f t="shared" si="55"/>
        <v/>
      </c>
      <c r="V394" s="38" t="str">
        <f t="shared" si="56"/>
        <v/>
      </c>
      <c r="W394" s="38" t="str">
        <f>IF(AND(U394&lt;&gt;"",OR($S$4="(все)",B394=$S$4),IF($S$4="(все)",COUNTIF($U$4:U394,U394),COUNTIFS($U$4:U394,U394,$B$4:B394,B394))=1),MAX($W$3:W393)+1,"")</f>
        <v/>
      </c>
      <c r="X394" s="38" t="str">
        <f t="shared" si="57"/>
        <v/>
      </c>
      <c r="Y394" s="38" t="str">
        <f>IF(AND(A394="Аппарат",C394&lt;&gt;"",OR($S$5="(все)",B394=$S$5)),MAX($Y$3:Y393)+1,"")</f>
        <v/>
      </c>
      <c r="Z394" s="38" t="str">
        <f t="shared" si="58"/>
        <v/>
      </c>
      <c r="AA394" s="38" t="str">
        <f>IF(AND(A394="Модуль",C394&lt;&gt;"",OR($S$6="(все)",B394=$S$6)),MAX($AA$3:AA393)+1,"")</f>
        <v/>
      </c>
      <c r="AB394" s="38" t="str">
        <f t="shared" si="59"/>
        <v/>
      </c>
      <c r="AC394" s="38" t="str">
        <f>IF(OR(B394="",COUNTIF($B$4:B394,B394)&gt;1),"",MAX($AC$3:AC393)+1)</f>
        <v/>
      </c>
      <c r="AD394" s="38" t="str">
        <f t="shared" si="60"/>
        <v/>
      </c>
      <c r="AE394" s="38" t="str">
        <f t="shared" si="61"/>
        <v/>
      </c>
      <c r="AF394" s="38" t="str">
        <f t="shared" si="62"/>
        <v/>
      </c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38" t="str">
        <f>IF(OR(A395="Автомат",A395="Дифавтомат"),IF(W395="","",COUNTIFS(Однолинейка!$H$3:$H$3000,U395,Однолинейка!$A$3:$A$3000,Щит_спец)),IF(A395="Аппарат",IF(C395="","",COUNTIFS(Однолинейка!$I$3:$I$3000,C395,Однолинейка!$A$3:$A$3000,Щит_спец)+COUNTIFS(Однолинейка!$J$3:$J$3000,C395,Однолинейка!$A$3:$A$3000,Щит_спец)+COUNTIFS(Однолинейка!$K$3:$K$3000,C395,Однолинейка!$A$3:$A$3000,Щит_спец)),IF(A395="Модуль",IF(C395="","",COUNTIFS(Однолинейка!$AW$3:$AW$3000,"?*",Однолинейка!$AI$3:$AI$3000,C395,Однолинейка!$A$3:$A$3000,Щит_спец)),IF(A395="Клемма",IF(C395="","",IF(C395=$S$7,SUMIFS(Однолинейка!$BW$3:$BW$3000,Однолинейка!$A$3:$A$3000,Щит_спец),IF(C395=$S$8,SUMIFS(Однолинейка!$BX$3:$BX$3000,Однолинейка!$A$3:$A$3000,Щит_спец),""))),""))))</f>
        <v/>
      </c>
      <c r="O395" s="74"/>
      <c r="P395" s="38" t="str">
        <f t="shared" si="54"/>
        <v/>
      </c>
      <c r="U395" s="38" t="str">
        <f t="shared" si="55"/>
        <v/>
      </c>
      <c r="V395" s="38" t="str">
        <f t="shared" si="56"/>
        <v/>
      </c>
      <c r="W395" s="38" t="str">
        <f>IF(AND(U395&lt;&gt;"",OR($S$4="(все)",B395=$S$4),IF($S$4="(все)",COUNTIF($U$4:U395,U395),COUNTIFS($U$4:U395,U395,$B$4:B395,B395))=1),MAX($W$3:W394)+1,"")</f>
        <v/>
      </c>
      <c r="X395" s="38" t="str">
        <f t="shared" si="57"/>
        <v/>
      </c>
      <c r="Y395" s="38" t="str">
        <f>IF(AND(A395="Аппарат",C395&lt;&gt;"",OR($S$5="(все)",B395=$S$5)),MAX($Y$3:Y394)+1,"")</f>
        <v/>
      </c>
      <c r="Z395" s="38" t="str">
        <f t="shared" si="58"/>
        <v/>
      </c>
      <c r="AA395" s="38" t="str">
        <f>IF(AND(A395="Модуль",C395&lt;&gt;"",OR($S$6="(все)",B395=$S$6)),MAX($AA$3:AA394)+1,"")</f>
        <v/>
      </c>
      <c r="AB395" s="38" t="str">
        <f t="shared" si="59"/>
        <v/>
      </c>
      <c r="AC395" s="38" t="str">
        <f>IF(OR(B395="",COUNTIF($B$4:B395,B395)&gt;1),"",MAX($AC$3:AC394)+1)</f>
        <v/>
      </c>
      <c r="AD395" s="38" t="str">
        <f t="shared" si="60"/>
        <v/>
      </c>
      <c r="AE395" s="38" t="str">
        <f t="shared" si="61"/>
        <v/>
      </c>
      <c r="AF395" s="38" t="str">
        <f t="shared" si="62"/>
        <v/>
      </c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38" t="str">
        <f>IF(OR(A396="Автомат",A396="Дифавтомат"),IF(W396="","",COUNTIFS(Однолинейка!$H$3:$H$3000,U396,Однолинейка!$A$3:$A$3000,Щит_спец)),IF(A396="Аппарат",IF(C396="","",COUNTIFS(Однолинейка!$I$3:$I$3000,C396,Однолинейка!$A$3:$A$3000,Щит_спец)+COUNTIFS(Однолинейка!$J$3:$J$3000,C396,Однолинейка!$A$3:$A$3000,Щит_спец)+COUNTIFS(Однолинейка!$K$3:$K$3000,C396,Однолинейка!$A$3:$A$3000,Щит_спец)),IF(A396="Модуль",IF(C396="","",COUNTIFS(Однолинейка!$AW$3:$AW$3000,"?*",Однолинейка!$AI$3:$AI$3000,C396,Однолинейка!$A$3:$A$3000,Щит_спец)),IF(A396="Клемма",IF(C396="","",IF(C396=$S$7,SUMIFS(Однолинейка!$BW$3:$BW$3000,Однолинейка!$A$3:$A$3000,Щит_спец),IF(C396=$S$8,SUMIFS(Однолинейка!$BX$3:$BX$3000,Однолинейка!$A$3:$A$3000,Щит_спец),""))),""))))</f>
        <v/>
      </c>
      <c r="O396" s="74"/>
      <c r="P396" s="38" t="str">
        <f t="shared" si="54"/>
        <v/>
      </c>
      <c r="U396" s="38" t="str">
        <f t="shared" si="55"/>
        <v/>
      </c>
      <c r="V396" s="38" t="str">
        <f t="shared" si="56"/>
        <v/>
      </c>
      <c r="W396" s="38" t="str">
        <f>IF(AND(U396&lt;&gt;"",OR($S$4="(все)",B396=$S$4),IF($S$4="(все)",COUNTIF($U$4:U396,U396),COUNTIFS($U$4:U396,U396,$B$4:B396,B396))=1),MAX($W$3:W395)+1,"")</f>
        <v/>
      </c>
      <c r="X396" s="38" t="str">
        <f t="shared" si="57"/>
        <v/>
      </c>
      <c r="Y396" s="38" t="str">
        <f>IF(AND(A396="Аппарат",C396&lt;&gt;"",OR($S$5="(все)",B396=$S$5)),MAX($Y$3:Y395)+1,"")</f>
        <v/>
      </c>
      <c r="Z396" s="38" t="str">
        <f t="shared" si="58"/>
        <v/>
      </c>
      <c r="AA396" s="38" t="str">
        <f>IF(AND(A396="Модуль",C396&lt;&gt;"",OR($S$6="(все)",B396=$S$6)),MAX($AA$3:AA395)+1,"")</f>
        <v/>
      </c>
      <c r="AB396" s="38" t="str">
        <f t="shared" si="59"/>
        <v/>
      </c>
      <c r="AC396" s="38" t="str">
        <f>IF(OR(B396="",COUNTIF($B$4:B396,B396)&gt;1),"",MAX($AC$3:AC395)+1)</f>
        <v/>
      </c>
      <c r="AD396" s="38" t="str">
        <f t="shared" si="60"/>
        <v/>
      </c>
      <c r="AE396" s="38" t="str">
        <f t="shared" si="61"/>
        <v/>
      </c>
      <c r="AF396" s="38" t="str">
        <f t="shared" si="62"/>
        <v/>
      </c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38" t="str">
        <f>IF(OR(A397="Автомат",A397="Дифавтомат"),IF(W397="","",COUNTIFS(Однолинейка!$H$3:$H$3000,U397,Однолинейка!$A$3:$A$3000,Щит_спец)),IF(A397="Аппарат",IF(C397="","",COUNTIFS(Однолинейка!$I$3:$I$3000,C397,Однолинейка!$A$3:$A$3000,Щит_спец)+COUNTIFS(Однолинейка!$J$3:$J$3000,C397,Однолинейка!$A$3:$A$3000,Щит_спец)+COUNTIFS(Однолинейка!$K$3:$K$3000,C397,Однолинейка!$A$3:$A$3000,Щит_спец)),IF(A397="Модуль",IF(C397="","",COUNTIFS(Однолинейка!$AW$3:$AW$3000,"?*",Однолинейка!$AI$3:$AI$3000,C397,Однолинейка!$A$3:$A$3000,Щит_спец)),IF(A397="Клемма",IF(C397="","",IF(C397=$S$7,SUMIFS(Однолинейка!$BW$3:$BW$3000,Однолинейка!$A$3:$A$3000,Щит_спец),IF(C397=$S$8,SUMIFS(Однолинейка!$BX$3:$BX$3000,Однолинейка!$A$3:$A$3000,Щит_спец),""))),""))))</f>
        <v/>
      </c>
      <c r="O397" s="74"/>
      <c r="P397" s="38" t="str">
        <f t="shared" si="54"/>
        <v/>
      </c>
      <c r="U397" s="38" t="str">
        <f t="shared" si="55"/>
        <v/>
      </c>
      <c r="V397" s="38" t="str">
        <f t="shared" si="56"/>
        <v/>
      </c>
      <c r="W397" s="38" t="str">
        <f>IF(AND(U397&lt;&gt;"",OR($S$4="(все)",B397=$S$4),IF($S$4="(все)",COUNTIF($U$4:U397,U397),COUNTIFS($U$4:U397,U397,$B$4:B397,B397))=1),MAX($W$3:W396)+1,"")</f>
        <v/>
      </c>
      <c r="X397" s="38" t="str">
        <f t="shared" si="57"/>
        <v/>
      </c>
      <c r="Y397" s="38" t="str">
        <f>IF(AND(A397="Аппарат",C397&lt;&gt;"",OR($S$5="(все)",B397=$S$5)),MAX($Y$3:Y396)+1,"")</f>
        <v/>
      </c>
      <c r="Z397" s="38" t="str">
        <f t="shared" si="58"/>
        <v/>
      </c>
      <c r="AA397" s="38" t="str">
        <f>IF(AND(A397="Модуль",C397&lt;&gt;"",OR($S$6="(все)",B397=$S$6)),MAX($AA$3:AA396)+1,"")</f>
        <v/>
      </c>
      <c r="AB397" s="38" t="str">
        <f t="shared" si="59"/>
        <v/>
      </c>
      <c r="AC397" s="38" t="str">
        <f>IF(OR(B397="",COUNTIF($B$4:B397,B397)&gt;1),"",MAX($AC$3:AC396)+1)</f>
        <v/>
      </c>
      <c r="AD397" s="38" t="str">
        <f t="shared" si="60"/>
        <v/>
      </c>
      <c r="AE397" s="38" t="str">
        <f t="shared" si="61"/>
        <v/>
      </c>
      <c r="AF397" s="38" t="str">
        <f t="shared" si="62"/>
        <v/>
      </c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38" t="str">
        <f>IF(OR(A398="Автомат",A398="Дифавтомат"),IF(W398="","",COUNTIFS(Однолинейка!$H$3:$H$3000,U398,Однолинейка!$A$3:$A$3000,Щит_спец)),IF(A398="Аппарат",IF(C398="","",COUNTIFS(Однолинейка!$I$3:$I$3000,C398,Однолинейка!$A$3:$A$3000,Щит_спец)+COUNTIFS(Однолинейка!$J$3:$J$3000,C398,Однолинейка!$A$3:$A$3000,Щит_спец)+COUNTIFS(Однолинейка!$K$3:$K$3000,C398,Однолинейка!$A$3:$A$3000,Щит_спец)),IF(A398="Модуль",IF(C398="","",COUNTIFS(Однолинейка!$AW$3:$AW$3000,"?*",Однолинейка!$AI$3:$AI$3000,C398,Однолинейка!$A$3:$A$3000,Щит_спец)),IF(A398="Клемма",IF(C398="","",IF(C398=$S$7,SUMIFS(Однолинейка!$BW$3:$BW$3000,Однолинейка!$A$3:$A$3000,Щит_спец),IF(C398=$S$8,SUMIFS(Однолинейка!$BX$3:$BX$3000,Однолинейка!$A$3:$A$3000,Щит_спец),""))),""))))</f>
        <v/>
      </c>
      <c r="O398" s="74"/>
      <c r="P398" s="38" t="str">
        <f t="shared" si="54"/>
        <v/>
      </c>
      <c r="U398" s="38" t="str">
        <f t="shared" si="55"/>
        <v/>
      </c>
      <c r="V398" s="38" t="str">
        <f t="shared" si="56"/>
        <v/>
      </c>
      <c r="W398" s="38" t="str">
        <f>IF(AND(U398&lt;&gt;"",OR($S$4="(все)",B398=$S$4),IF($S$4="(все)",COUNTIF($U$4:U398,U398),COUNTIFS($U$4:U398,U398,$B$4:B398,B398))=1),MAX($W$3:W397)+1,"")</f>
        <v/>
      </c>
      <c r="X398" s="38" t="str">
        <f t="shared" si="57"/>
        <v/>
      </c>
      <c r="Y398" s="38" t="str">
        <f>IF(AND(A398="Аппарат",C398&lt;&gt;"",OR($S$5="(все)",B398=$S$5)),MAX($Y$3:Y397)+1,"")</f>
        <v/>
      </c>
      <c r="Z398" s="38" t="str">
        <f t="shared" si="58"/>
        <v/>
      </c>
      <c r="AA398" s="38" t="str">
        <f>IF(AND(A398="Модуль",C398&lt;&gt;"",OR($S$6="(все)",B398=$S$6)),MAX($AA$3:AA397)+1,"")</f>
        <v/>
      </c>
      <c r="AB398" s="38" t="str">
        <f t="shared" si="59"/>
        <v/>
      </c>
      <c r="AC398" s="38" t="str">
        <f>IF(OR(B398="",COUNTIF($B$4:B398,B398)&gt;1),"",MAX($AC$3:AC397)+1)</f>
        <v/>
      </c>
      <c r="AD398" s="38" t="str">
        <f t="shared" si="60"/>
        <v/>
      </c>
      <c r="AE398" s="38" t="str">
        <f t="shared" si="61"/>
        <v/>
      </c>
      <c r="AF398" s="38" t="str">
        <f t="shared" si="62"/>
        <v/>
      </c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38" t="str">
        <f>IF(OR(A399="Автомат",A399="Дифавтомат"),IF(W399="","",COUNTIFS(Однолинейка!$H$3:$H$3000,U399,Однолинейка!$A$3:$A$3000,Щит_спец)),IF(A399="Аппарат",IF(C399="","",COUNTIFS(Однолинейка!$I$3:$I$3000,C399,Однолинейка!$A$3:$A$3000,Щит_спец)+COUNTIFS(Однолинейка!$J$3:$J$3000,C399,Однолинейка!$A$3:$A$3000,Щит_спец)+COUNTIFS(Однолинейка!$K$3:$K$3000,C399,Однолинейка!$A$3:$A$3000,Щит_спец)),IF(A399="Модуль",IF(C399="","",COUNTIFS(Однолинейка!$AW$3:$AW$3000,"?*",Однолинейка!$AI$3:$AI$3000,C399,Однолинейка!$A$3:$A$3000,Щит_спец)),IF(A399="Клемма",IF(C399="","",IF(C399=$S$7,SUMIFS(Однолинейка!$BW$3:$BW$3000,Однолинейка!$A$3:$A$3000,Щит_спец),IF(C399=$S$8,SUMIFS(Однолинейка!$BX$3:$BX$3000,Однолинейка!$A$3:$A$3000,Щит_спец),""))),""))))</f>
        <v/>
      </c>
      <c r="O399" s="74"/>
      <c r="P399" s="38" t="str">
        <f t="shared" si="54"/>
        <v/>
      </c>
      <c r="U399" s="38" t="str">
        <f t="shared" si="55"/>
        <v/>
      </c>
      <c r="V399" s="38" t="str">
        <f t="shared" si="56"/>
        <v/>
      </c>
      <c r="W399" s="38" t="str">
        <f>IF(AND(U399&lt;&gt;"",OR($S$4="(все)",B399=$S$4),IF($S$4="(все)",COUNTIF($U$4:U399,U399),COUNTIFS($U$4:U399,U399,$B$4:B399,B399))=1),MAX($W$3:W398)+1,"")</f>
        <v/>
      </c>
      <c r="X399" s="38" t="str">
        <f t="shared" si="57"/>
        <v/>
      </c>
      <c r="Y399" s="38" t="str">
        <f>IF(AND(A399="Аппарат",C399&lt;&gt;"",OR($S$5="(все)",B399=$S$5)),MAX($Y$3:Y398)+1,"")</f>
        <v/>
      </c>
      <c r="Z399" s="38" t="str">
        <f t="shared" si="58"/>
        <v/>
      </c>
      <c r="AA399" s="38" t="str">
        <f>IF(AND(A399="Модуль",C399&lt;&gt;"",OR($S$6="(все)",B399=$S$6)),MAX($AA$3:AA398)+1,"")</f>
        <v/>
      </c>
      <c r="AB399" s="38" t="str">
        <f t="shared" si="59"/>
        <v/>
      </c>
      <c r="AC399" s="38" t="str">
        <f>IF(OR(B399="",COUNTIF($B$4:B399,B399)&gt;1),"",MAX($AC$3:AC398)+1)</f>
        <v/>
      </c>
      <c r="AD399" s="38" t="str">
        <f t="shared" si="60"/>
        <v/>
      </c>
      <c r="AE399" s="38" t="str">
        <f t="shared" si="61"/>
        <v/>
      </c>
      <c r="AF399" s="38" t="str">
        <f t="shared" si="62"/>
        <v/>
      </c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38" t="str">
        <f>IF(OR(A400="Автомат",A400="Дифавтомат"),IF(W400="","",COUNTIFS(Однолинейка!$H$3:$H$3000,U400,Однолинейка!$A$3:$A$3000,Щит_спец)),IF(A400="Аппарат",IF(C400="","",COUNTIFS(Однолинейка!$I$3:$I$3000,C400,Однолинейка!$A$3:$A$3000,Щит_спец)+COUNTIFS(Однолинейка!$J$3:$J$3000,C400,Однолинейка!$A$3:$A$3000,Щит_спец)+COUNTIFS(Однолинейка!$K$3:$K$3000,C400,Однолинейка!$A$3:$A$3000,Щит_спец)),IF(A400="Модуль",IF(C400="","",COUNTIFS(Однолинейка!$AW$3:$AW$3000,"?*",Однолинейка!$AI$3:$AI$3000,C400,Однолинейка!$A$3:$A$3000,Щит_спец)),IF(A400="Клемма",IF(C400="","",IF(C400=$S$7,SUMIFS(Однолинейка!$BW$3:$BW$3000,Однолинейка!$A$3:$A$3000,Щит_спец),IF(C400=$S$8,SUMIFS(Однолинейка!$BX$3:$BX$3000,Однолинейка!$A$3:$A$3000,Щит_спец),""))),""))))</f>
        <v/>
      </c>
      <c r="O400" s="74"/>
      <c r="P400" s="38" t="str">
        <f t="shared" si="54"/>
        <v/>
      </c>
      <c r="U400" s="38" t="str">
        <f t="shared" si="55"/>
        <v/>
      </c>
      <c r="V400" s="38" t="str">
        <f t="shared" si="56"/>
        <v/>
      </c>
      <c r="W400" s="38" t="str">
        <f>IF(AND(U400&lt;&gt;"",OR($S$4="(все)",B400=$S$4),IF($S$4="(все)",COUNTIF($U$4:U400,U400),COUNTIFS($U$4:U400,U400,$B$4:B400,B400))=1),MAX($W$3:W399)+1,"")</f>
        <v/>
      </c>
      <c r="X400" s="38" t="str">
        <f t="shared" si="57"/>
        <v/>
      </c>
      <c r="Y400" s="38" t="str">
        <f>IF(AND(A400="Аппарат",C400&lt;&gt;"",OR($S$5="(все)",B400=$S$5)),MAX($Y$3:Y399)+1,"")</f>
        <v/>
      </c>
      <c r="Z400" s="38" t="str">
        <f t="shared" si="58"/>
        <v/>
      </c>
      <c r="AA400" s="38" t="str">
        <f>IF(AND(A400="Модуль",C400&lt;&gt;"",OR($S$6="(все)",B400=$S$6)),MAX($AA$3:AA399)+1,"")</f>
        <v/>
      </c>
      <c r="AB400" s="38" t="str">
        <f t="shared" si="59"/>
        <v/>
      </c>
      <c r="AC400" s="38" t="str">
        <f>IF(OR(B400="",COUNTIF($B$4:B400,B400)&gt;1),"",MAX($AC$3:AC399)+1)</f>
        <v/>
      </c>
      <c r="AD400" s="38" t="str">
        <f t="shared" si="60"/>
        <v/>
      </c>
      <c r="AE400" s="38" t="str">
        <f t="shared" si="61"/>
        <v/>
      </c>
      <c r="AF400" s="38" t="str">
        <f t="shared" si="62"/>
        <v/>
      </c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38" t="str">
        <f>IF(OR(A401="Автомат",A401="Дифавтомат"),IF(W401="","",COUNTIFS(Однолинейка!$H$3:$H$3000,U401,Однолинейка!$A$3:$A$3000,Щит_спец)),IF(A401="Аппарат",IF(C401="","",COUNTIFS(Однолинейка!$I$3:$I$3000,C401,Однолинейка!$A$3:$A$3000,Щит_спец)+COUNTIFS(Однолинейка!$J$3:$J$3000,C401,Однолинейка!$A$3:$A$3000,Щит_спец)+COUNTIFS(Однолинейка!$K$3:$K$3000,C401,Однолинейка!$A$3:$A$3000,Щит_спец)),IF(A401="Модуль",IF(C401="","",COUNTIFS(Однолинейка!$AW$3:$AW$3000,"?*",Однолинейка!$AI$3:$AI$3000,C401,Однолинейка!$A$3:$A$3000,Щит_спец)),IF(A401="Клемма",IF(C401="","",IF(C401=$S$7,SUMIFS(Однолинейка!$BW$3:$BW$3000,Однолинейка!$A$3:$A$3000,Щит_спец),IF(C401=$S$8,SUMIFS(Однолинейка!$BX$3:$BX$3000,Однолинейка!$A$3:$A$3000,Щит_спец),""))),""))))</f>
        <v/>
      </c>
      <c r="O401" s="74"/>
      <c r="P401" s="38" t="str">
        <f t="shared" si="54"/>
        <v/>
      </c>
      <c r="U401" s="38" t="str">
        <f t="shared" si="55"/>
        <v/>
      </c>
      <c r="V401" s="38" t="str">
        <f t="shared" si="56"/>
        <v/>
      </c>
      <c r="W401" s="38" t="str">
        <f>IF(AND(U401&lt;&gt;"",OR($S$4="(все)",B401=$S$4),IF($S$4="(все)",COUNTIF($U$4:U401,U401),COUNTIFS($U$4:U401,U401,$B$4:B401,B401))=1),MAX($W$3:W400)+1,"")</f>
        <v/>
      </c>
      <c r="X401" s="38" t="str">
        <f t="shared" si="57"/>
        <v/>
      </c>
      <c r="Y401" s="38" t="str">
        <f>IF(AND(A401="Аппарат",C401&lt;&gt;"",OR($S$5="(все)",B401=$S$5)),MAX($Y$3:Y400)+1,"")</f>
        <v/>
      </c>
      <c r="Z401" s="38" t="str">
        <f t="shared" si="58"/>
        <v/>
      </c>
      <c r="AA401" s="38" t="str">
        <f>IF(AND(A401="Модуль",C401&lt;&gt;"",OR($S$6="(все)",B401=$S$6)),MAX($AA$3:AA400)+1,"")</f>
        <v/>
      </c>
      <c r="AB401" s="38" t="str">
        <f t="shared" si="59"/>
        <v/>
      </c>
      <c r="AC401" s="38" t="str">
        <f>IF(OR(B401="",COUNTIF($B$4:B401,B401)&gt;1),"",MAX($AC$3:AC400)+1)</f>
        <v/>
      </c>
      <c r="AD401" s="38" t="str">
        <f t="shared" si="60"/>
        <v/>
      </c>
      <c r="AE401" s="38" t="str">
        <f t="shared" si="61"/>
        <v/>
      </c>
      <c r="AF401" s="38" t="str">
        <f t="shared" si="62"/>
        <v/>
      </c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38" t="str">
        <f>IF(OR(A402="Автомат",A402="Дифавтомат"),IF(W402="","",COUNTIFS(Однолинейка!$H$3:$H$3000,U402,Однолинейка!$A$3:$A$3000,Щит_спец)),IF(A402="Аппарат",IF(C402="","",COUNTIFS(Однолинейка!$I$3:$I$3000,C402,Однолинейка!$A$3:$A$3000,Щит_спец)+COUNTIFS(Однолинейка!$J$3:$J$3000,C402,Однолинейка!$A$3:$A$3000,Щит_спец)+COUNTIFS(Однолинейка!$K$3:$K$3000,C402,Однолинейка!$A$3:$A$3000,Щит_спец)),IF(A402="Модуль",IF(C402="","",COUNTIFS(Однолинейка!$AW$3:$AW$3000,"?*",Однолинейка!$AI$3:$AI$3000,C402,Однолинейка!$A$3:$A$3000,Щит_спец)),IF(A402="Клемма",IF(C402="","",IF(C402=$S$7,SUMIFS(Однолинейка!$BW$3:$BW$3000,Однолинейка!$A$3:$A$3000,Щит_спец),IF(C402=$S$8,SUMIFS(Однолинейка!$BX$3:$BX$3000,Однолинейка!$A$3:$A$3000,Щит_спец),""))),""))))</f>
        <v/>
      </c>
      <c r="O402" s="74"/>
      <c r="P402" s="38" t="str">
        <f t="shared" si="54"/>
        <v/>
      </c>
      <c r="U402" s="38" t="str">
        <f t="shared" si="55"/>
        <v/>
      </c>
      <c r="V402" s="38" t="str">
        <f t="shared" si="56"/>
        <v/>
      </c>
      <c r="W402" s="38" t="str">
        <f>IF(AND(U402&lt;&gt;"",OR($S$4="(все)",B402=$S$4),IF($S$4="(все)",COUNTIF($U$4:U402,U402),COUNTIFS($U$4:U402,U402,$B$4:B402,B402))=1),MAX($W$3:W401)+1,"")</f>
        <v/>
      </c>
      <c r="X402" s="38" t="str">
        <f t="shared" si="57"/>
        <v/>
      </c>
      <c r="Y402" s="38" t="str">
        <f>IF(AND(A402="Аппарат",C402&lt;&gt;"",OR($S$5="(все)",B402=$S$5)),MAX($Y$3:Y401)+1,"")</f>
        <v/>
      </c>
      <c r="Z402" s="38" t="str">
        <f t="shared" si="58"/>
        <v/>
      </c>
      <c r="AA402" s="38" t="str">
        <f>IF(AND(A402="Модуль",C402&lt;&gt;"",OR($S$6="(все)",B402=$S$6)),MAX($AA$3:AA401)+1,"")</f>
        <v/>
      </c>
      <c r="AB402" s="38" t="str">
        <f t="shared" si="59"/>
        <v/>
      </c>
      <c r="AC402" s="38" t="str">
        <f>IF(OR(B402="",COUNTIF($B$4:B402,B402)&gt;1),"",MAX($AC$3:AC401)+1)</f>
        <v/>
      </c>
      <c r="AD402" s="38" t="str">
        <f t="shared" si="60"/>
        <v/>
      </c>
      <c r="AE402" s="38" t="str">
        <f t="shared" si="61"/>
        <v/>
      </c>
      <c r="AF402" s="38" t="str">
        <f t="shared" si="62"/>
        <v/>
      </c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38" t="str">
        <f>IF(OR(A403="Автомат",A403="Дифавтомат"),IF(W403="","",COUNTIFS(Однолинейка!$H$3:$H$3000,U403,Однолинейка!$A$3:$A$3000,Щит_спец)),IF(A403="Аппарат",IF(C403="","",COUNTIFS(Однолинейка!$I$3:$I$3000,C403,Однолинейка!$A$3:$A$3000,Щит_спец)+COUNTIFS(Однолинейка!$J$3:$J$3000,C403,Однолинейка!$A$3:$A$3000,Щит_спец)+COUNTIFS(Однолинейка!$K$3:$K$3000,C403,Однолинейка!$A$3:$A$3000,Щит_спец)),IF(A403="Модуль",IF(C403="","",COUNTIFS(Однолинейка!$AW$3:$AW$3000,"?*",Однолинейка!$AI$3:$AI$3000,C403,Однолинейка!$A$3:$A$3000,Щит_спец)),IF(A403="Клемма",IF(C403="","",IF(C403=$S$7,SUMIFS(Однолинейка!$BW$3:$BW$3000,Однолинейка!$A$3:$A$3000,Щит_спец),IF(C403=$S$8,SUMIFS(Однолинейка!$BX$3:$BX$3000,Однолинейка!$A$3:$A$3000,Щит_спец),""))),""))))</f>
        <v/>
      </c>
      <c r="O403" s="74"/>
      <c r="P403" s="38" t="str">
        <f t="shared" si="54"/>
        <v/>
      </c>
      <c r="U403" s="38" t="str">
        <f t="shared" si="55"/>
        <v/>
      </c>
      <c r="V403" s="38" t="str">
        <f t="shared" si="56"/>
        <v/>
      </c>
      <c r="W403" s="38" t="str">
        <f>IF(AND(U403&lt;&gt;"",OR($S$4="(все)",B403=$S$4),IF($S$4="(все)",COUNTIF($U$4:U403,U403),COUNTIFS($U$4:U403,U403,$B$4:B403,B403))=1),MAX($W$3:W402)+1,"")</f>
        <v/>
      </c>
      <c r="X403" s="38" t="str">
        <f t="shared" si="57"/>
        <v/>
      </c>
      <c r="Y403" s="38" t="str">
        <f>IF(AND(A403="Аппарат",C403&lt;&gt;"",OR($S$5="(все)",B403=$S$5)),MAX($Y$3:Y402)+1,"")</f>
        <v/>
      </c>
      <c r="Z403" s="38" t="str">
        <f t="shared" si="58"/>
        <v/>
      </c>
      <c r="AA403" s="38" t="str">
        <f>IF(AND(A403="Модуль",C403&lt;&gt;"",OR($S$6="(все)",B403=$S$6)),MAX($AA$3:AA402)+1,"")</f>
        <v/>
      </c>
      <c r="AB403" s="38" t="str">
        <f t="shared" si="59"/>
        <v/>
      </c>
      <c r="AC403" s="38" t="str">
        <f>IF(OR(B403="",COUNTIF($B$4:B403,B403)&gt;1),"",MAX($AC$3:AC402)+1)</f>
        <v/>
      </c>
      <c r="AD403" s="38" t="str">
        <f t="shared" si="60"/>
        <v/>
      </c>
      <c r="AE403" s="38" t="str">
        <f t="shared" si="61"/>
        <v/>
      </c>
      <c r="AF403" s="38" t="str">
        <f t="shared" si="62"/>
        <v/>
      </c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38" t="str">
        <f>IF(OR(A404="Автомат",A404="Дифавтомат"),IF(W404="","",COUNTIFS(Однолинейка!$H$3:$H$3000,U404,Однолинейка!$A$3:$A$3000,Щит_спец)),IF(A404="Аппарат",IF(C404="","",COUNTIFS(Однолинейка!$I$3:$I$3000,C404,Однолинейка!$A$3:$A$3000,Щит_спец)+COUNTIFS(Однолинейка!$J$3:$J$3000,C404,Однолинейка!$A$3:$A$3000,Щит_спец)+COUNTIFS(Однолинейка!$K$3:$K$3000,C404,Однолинейка!$A$3:$A$3000,Щит_спец)),IF(A404="Модуль",IF(C404="","",COUNTIFS(Однолинейка!$AW$3:$AW$3000,"?*",Однолинейка!$AI$3:$AI$3000,C404,Однолинейка!$A$3:$A$3000,Щит_спец)),IF(A404="Клемма",IF(C404="","",IF(C404=$S$7,SUMIFS(Однолинейка!$BW$3:$BW$3000,Однолинейка!$A$3:$A$3000,Щит_спец),IF(C404=$S$8,SUMIFS(Однолинейка!$BX$3:$BX$3000,Однолинейка!$A$3:$A$3000,Щит_спец),""))),""))))</f>
        <v/>
      </c>
      <c r="O404" s="74"/>
      <c r="P404" s="38" t="str">
        <f t="shared" si="54"/>
        <v/>
      </c>
      <c r="U404" s="38" t="str">
        <f t="shared" si="55"/>
        <v/>
      </c>
      <c r="V404" s="38" t="str">
        <f t="shared" si="56"/>
        <v/>
      </c>
      <c r="W404" s="38" t="str">
        <f>IF(AND(U404&lt;&gt;"",OR($S$4="(все)",B404=$S$4),IF($S$4="(все)",COUNTIF($U$4:U404,U404),COUNTIFS($U$4:U404,U404,$B$4:B404,B404))=1),MAX($W$3:W403)+1,"")</f>
        <v/>
      </c>
      <c r="X404" s="38" t="str">
        <f t="shared" si="57"/>
        <v/>
      </c>
      <c r="Y404" s="38" t="str">
        <f>IF(AND(A404="Аппарат",C404&lt;&gt;"",OR($S$5="(все)",B404=$S$5)),MAX($Y$3:Y403)+1,"")</f>
        <v/>
      </c>
      <c r="Z404" s="38" t="str">
        <f t="shared" si="58"/>
        <v/>
      </c>
      <c r="AA404" s="38" t="str">
        <f>IF(AND(A404="Модуль",C404&lt;&gt;"",OR($S$6="(все)",B404=$S$6)),MAX($AA$3:AA403)+1,"")</f>
        <v/>
      </c>
      <c r="AB404" s="38" t="str">
        <f t="shared" si="59"/>
        <v/>
      </c>
      <c r="AC404" s="38" t="str">
        <f>IF(OR(B404="",COUNTIF($B$4:B404,B404)&gt;1),"",MAX($AC$3:AC403)+1)</f>
        <v/>
      </c>
      <c r="AD404" s="38" t="str">
        <f t="shared" si="60"/>
        <v/>
      </c>
      <c r="AE404" s="38" t="str">
        <f t="shared" si="61"/>
        <v/>
      </c>
      <c r="AF404" s="38" t="str">
        <f t="shared" si="62"/>
        <v/>
      </c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38" t="str">
        <f>IF(OR(A405="Автомат",A405="Дифавтомат"),IF(W405="","",COUNTIFS(Однолинейка!$H$3:$H$3000,U405,Однолинейка!$A$3:$A$3000,Щит_спец)),IF(A405="Аппарат",IF(C405="","",COUNTIFS(Однолинейка!$I$3:$I$3000,C405,Однолинейка!$A$3:$A$3000,Щит_спец)+COUNTIFS(Однолинейка!$J$3:$J$3000,C405,Однолинейка!$A$3:$A$3000,Щит_спец)+COUNTIFS(Однолинейка!$K$3:$K$3000,C405,Однолинейка!$A$3:$A$3000,Щит_спец)),IF(A405="Модуль",IF(C405="","",COUNTIFS(Однолинейка!$AW$3:$AW$3000,"?*",Однолинейка!$AI$3:$AI$3000,C405,Однолинейка!$A$3:$A$3000,Щит_спец)),IF(A405="Клемма",IF(C405="","",IF(C405=$S$7,SUMIFS(Однолинейка!$BW$3:$BW$3000,Однолинейка!$A$3:$A$3000,Щит_спец),IF(C405=$S$8,SUMIFS(Однолинейка!$BX$3:$BX$3000,Однолинейка!$A$3:$A$3000,Щит_спец),""))),""))))</f>
        <v/>
      </c>
      <c r="O405" s="74"/>
      <c r="P405" s="38" t="str">
        <f t="shared" si="54"/>
        <v/>
      </c>
      <c r="U405" s="38" t="str">
        <f t="shared" si="55"/>
        <v/>
      </c>
      <c r="V405" s="38" t="str">
        <f t="shared" si="56"/>
        <v/>
      </c>
      <c r="W405" s="38" t="str">
        <f>IF(AND(U405&lt;&gt;"",OR($S$4="(все)",B405=$S$4),IF($S$4="(все)",COUNTIF($U$4:U405,U405),COUNTIFS($U$4:U405,U405,$B$4:B405,B405))=1),MAX($W$3:W404)+1,"")</f>
        <v/>
      </c>
      <c r="X405" s="38" t="str">
        <f t="shared" si="57"/>
        <v/>
      </c>
      <c r="Y405" s="38" t="str">
        <f>IF(AND(A405="Аппарат",C405&lt;&gt;"",OR($S$5="(все)",B405=$S$5)),MAX($Y$3:Y404)+1,"")</f>
        <v/>
      </c>
      <c r="Z405" s="38" t="str">
        <f t="shared" si="58"/>
        <v/>
      </c>
      <c r="AA405" s="38" t="str">
        <f>IF(AND(A405="Модуль",C405&lt;&gt;"",OR($S$6="(все)",B405=$S$6)),MAX($AA$3:AA404)+1,"")</f>
        <v/>
      </c>
      <c r="AB405" s="38" t="str">
        <f t="shared" si="59"/>
        <v/>
      </c>
      <c r="AC405" s="38" t="str">
        <f>IF(OR(B405="",COUNTIF($B$4:B405,B405)&gt;1),"",MAX($AC$3:AC404)+1)</f>
        <v/>
      </c>
      <c r="AD405" s="38" t="str">
        <f t="shared" si="60"/>
        <v/>
      </c>
      <c r="AE405" s="38" t="str">
        <f t="shared" si="61"/>
        <v/>
      </c>
      <c r="AF405" s="38" t="str">
        <f t="shared" si="62"/>
        <v/>
      </c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38" t="str">
        <f>IF(OR(A406="Автомат",A406="Дифавтомат"),IF(W406="","",COUNTIFS(Однолинейка!$H$3:$H$3000,U406,Однолинейка!$A$3:$A$3000,Щит_спец)),IF(A406="Аппарат",IF(C406="","",COUNTIFS(Однолинейка!$I$3:$I$3000,C406,Однолинейка!$A$3:$A$3000,Щит_спец)+COUNTIFS(Однолинейка!$J$3:$J$3000,C406,Однолинейка!$A$3:$A$3000,Щит_спец)+COUNTIFS(Однолинейка!$K$3:$K$3000,C406,Однолинейка!$A$3:$A$3000,Щит_спец)),IF(A406="Модуль",IF(C406="","",COUNTIFS(Однолинейка!$AW$3:$AW$3000,"?*",Однолинейка!$AI$3:$AI$3000,C406,Однолинейка!$A$3:$A$3000,Щит_спец)),IF(A406="Клемма",IF(C406="","",IF(C406=$S$7,SUMIFS(Однолинейка!$BW$3:$BW$3000,Однолинейка!$A$3:$A$3000,Щит_спец),IF(C406=$S$8,SUMIFS(Однолинейка!$BX$3:$BX$3000,Однолинейка!$A$3:$A$3000,Щит_спец),""))),""))))</f>
        <v/>
      </c>
      <c r="O406" s="74"/>
      <c r="P406" s="38" t="str">
        <f t="shared" si="54"/>
        <v/>
      </c>
      <c r="U406" s="38" t="str">
        <f t="shared" si="55"/>
        <v/>
      </c>
      <c r="V406" s="38" t="str">
        <f t="shared" si="56"/>
        <v/>
      </c>
      <c r="W406" s="38" t="str">
        <f>IF(AND(U406&lt;&gt;"",OR($S$4="(все)",B406=$S$4),IF($S$4="(все)",COUNTIF($U$4:U406,U406),COUNTIFS($U$4:U406,U406,$B$4:B406,B406))=1),MAX($W$3:W405)+1,"")</f>
        <v/>
      </c>
      <c r="X406" s="38" t="str">
        <f t="shared" si="57"/>
        <v/>
      </c>
      <c r="Y406" s="38" t="str">
        <f>IF(AND(A406="Аппарат",C406&lt;&gt;"",OR($S$5="(все)",B406=$S$5)),MAX($Y$3:Y405)+1,"")</f>
        <v/>
      </c>
      <c r="Z406" s="38" t="str">
        <f t="shared" si="58"/>
        <v/>
      </c>
      <c r="AA406" s="38" t="str">
        <f>IF(AND(A406="Модуль",C406&lt;&gt;"",OR($S$6="(все)",B406=$S$6)),MAX($AA$3:AA405)+1,"")</f>
        <v/>
      </c>
      <c r="AB406" s="38" t="str">
        <f t="shared" si="59"/>
        <v/>
      </c>
      <c r="AC406" s="38" t="str">
        <f>IF(OR(B406="",COUNTIF($B$4:B406,B406)&gt;1),"",MAX($AC$3:AC405)+1)</f>
        <v/>
      </c>
      <c r="AD406" s="38" t="str">
        <f t="shared" si="60"/>
        <v/>
      </c>
      <c r="AE406" s="38" t="str">
        <f t="shared" si="61"/>
        <v/>
      </c>
      <c r="AF406" s="38" t="str">
        <f t="shared" si="62"/>
        <v/>
      </c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38" t="str">
        <f>IF(OR(A407="Автомат",A407="Дифавтомат"),IF(W407="","",COUNTIFS(Однолинейка!$H$3:$H$3000,U407,Однолинейка!$A$3:$A$3000,Щит_спец)),IF(A407="Аппарат",IF(C407="","",COUNTIFS(Однолинейка!$I$3:$I$3000,C407,Однолинейка!$A$3:$A$3000,Щит_спец)+COUNTIFS(Однолинейка!$J$3:$J$3000,C407,Однолинейка!$A$3:$A$3000,Щит_спец)+COUNTIFS(Однолинейка!$K$3:$K$3000,C407,Однолинейка!$A$3:$A$3000,Щит_спец)),IF(A407="Модуль",IF(C407="","",COUNTIFS(Однолинейка!$AW$3:$AW$3000,"?*",Однолинейка!$AI$3:$AI$3000,C407,Однолинейка!$A$3:$A$3000,Щит_спец)),IF(A407="Клемма",IF(C407="","",IF(C407=$S$7,SUMIFS(Однолинейка!$BW$3:$BW$3000,Однолинейка!$A$3:$A$3000,Щит_спец),IF(C407=$S$8,SUMIFS(Однолинейка!$BX$3:$BX$3000,Однолинейка!$A$3:$A$3000,Щит_спец),""))),""))))</f>
        <v/>
      </c>
      <c r="O407" s="74"/>
      <c r="P407" s="38" t="str">
        <f t="shared" si="54"/>
        <v/>
      </c>
      <c r="U407" s="38" t="str">
        <f t="shared" si="55"/>
        <v/>
      </c>
      <c r="V407" s="38" t="str">
        <f t="shared" si="56"/>
        <v/>
      </c>
      <c r="W407" s="38" t="str">
        <f>IF(AND(U407&lt;&gt;"",OR($S$4="(все)",B407=$S$4),IF($S$4="(все)",COUNTIF($U$4:U407,U407),COUNTIFS($U$4:U407,U407,$B$4:B407,B407))=1),MAX($W$3:W406)+1,"")</f>
        <v/>
      </c>
      <c r="X407" s="38" t="str">
        <f t="shared" si="57"/>
        <v/>
      </c>
      <c r="Y407" s="38" t="str">
        <f>IF(AND(A407="Аппарат",C407&lt;&gt;"",OR($S$5="(все)",B407=$S$5)),MAX($Y$3:Y406)+1,"")</f>
        <v/>
      </c>
      <c r="Z407" s="38" t="str">
        <f t="shared" si="58"/>
        <v/>
      </c>
      <c r="AA407" s="38" t="str">
        <f>IF(AND(A407="Модуль",C407&lt;&gt;"",OR($S$6="(все)",B407=$S$6)),MAX($AA$3:AA406)+1,"")</f>
        <v/>
      </c>
      <c r="AB407" s="38" t="str">
        <f t="shared" si="59"/>
        <v/>
      </c>
      <c r="AC407" s="38" t="str">
        <f>IF(OR(B407="",COUNTIF($B$4:B407,B407)&gt;1),"",MAX($AC$3:AC406)+1)</f>
        <v/>
      </c>
      <c r="AD407" s="38" t="str">
        <f t="shared" si="60"/>
        <v/>
      </c>
      <c r="AE407" s="38" t="str">
        <f t="shared" si="61"/>
        <v/>
      </c>
      <c r="AF407" s="38" t="str">
        <f t="shared" si="62"/>
        <v/>
      </c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38" t="str">
        <f>IF(OR(A408="Автомат",A408="Дифавтомат"),IF(W408="","",COUNTIFS(Однолинейка!$H$3:$H$3000,U408,Однолинейка!$A$3:$A$3000,Щит_спец)),IF(A408="Аппарат",IF(C408="","",COUNTIFS(Однолинейка!$I$3:$I$3000,C408,Однолинейка!$A$3:$A$3000,Щит_спец)+COUNTIFS(Однолинейка!$J$3:$J$3000,C408,Однолинейка!$A$3:$A$3000,Щит_спец)+COUNTIFS(Однолинейка!$K$3:$K$3000,C408,Однолинейка!$A$3:$A$3000,Щит_спец)),IF(A408="Модуль",IF(C408="","",COUNTIFS(Однолинейка!$AW$3:$AW$3000,"?*",Однолинейка!$AI$3:$AI$3000,C408,Однолинейка!$A$3:$A$3000,Щит_спец)),IF(A408="Клемма",IF(C408="","",IF(C408=$S$7,SUMIFS(Однолинейка!$BW$3:$BW$3000,Однолинейка!$A$3:$A$3000,Щит_спец),IF(C408=$S$8,SUMIFS(Однолинейка!$BX$3:$BX$3000,Однолинейка!$A$3:$A$3000,Щит_спец),""))),""))))</f>
        <v/>
      </c>
      <c r="O408" s="74"/>
      <c r="P408" s="38" t="str">
        <f t="shared" si="54"/>
        <v/>
      </c>
      <c r="U408" s="38" t="str">
        <f t="shared" si="55"/>
        <v/>
      </c>
      <c r="V408" s="38" t="str">
        <f t="shared" si="56"/>
        <v/>
      </c>
      <c r="W408" s="38" t="str">
        <f>IF(AND(U408&lt;&gt;"",OR($S$4="(все)",B408=$S$4),IF($S$4="(все)",COUNTIF($U$4:U408,U408),COUNTIFS($U$4:U408,U408,$B$4:B408,B408))=1),MAX($W$3:W407)+1,"")</f>
        <v/>
      </c>
      <c r="X408" s="38" t="str">
        <f t="shared" si="57"/>
        <v/>
      </c>
      <c r="Y408" s="38" t="str">
        <f>IF(AND(A408="Аппарат",C408&lt;&gt;"",OR($S$5="(все)",B408=$S$5)),MAX($Y$3:Y407)+1,"")</f>
        <v/>
      </c>
      <c r="Z408" s="38" t="str">
        <f t="shared" si="58"/>
        <v/>
      </c>
      <c r="AA408" s="38" t="str">
        <f>IF(AND(A408="Модуль",C408&lt;&gt;"",OR($S$6="(все)",B408=$S$6)),MAX($AA$3:AA407)+1,"")</f>
        <v/>
      </c>
      <c r="AB408" s="38" t="str">
        <f t="shared" si="59"/>
        <v/>
      </c>
      <c r="AC408" s="38" t="str">
        <f>IF(OR(B408="",COUNTIF($B$4:B408,B408)&gt;1),"",MAX($AC$3:AC407)+1)</f>
        <v/>
      </c>
      <c r="AD408" s="38" t="str">
        <f t="shared" si="60"/>
        <v/>
      </c>
      <c r="AE408" s="38" t="str">
        <f t="shared" si="61"/>
        <v/>
      </c>
      <c r="AF408" s="38" t="str">
        <f t="shared" si="62"/>
        <v/>
      </c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38" t="str">
        <f>IF(OR(A409="Автомат",A409="Дифавтомат"),IF(W409="","",COUNTIFS(Однолинейка!$H$3:$H$3000,U409,Однолинейка!$A$3:$A$3000,Щит_спец)),IF(A409="Аппарат",IF(C409="","",COUNTIFS(Однолинейка!$I$3:$I$3000,C409,Однолинейка!$A$3:$A$3000,Щит_спец)+COUNTIFS(Однолинейка!$J$3:$J$3000,C409,Однолинейка!$A$3:$A$3000,Щит_спец)+COUNTIFS(Однолинейка!$K$3:$K$3000,C409,Однолинейка!$A$3:$A$3000,Щит_спец)),IF(A409="Модуль",IF(C409="","",COUNTIFS(Однолинейка!$AW$3:$AW$3000,"?*",Однолинейка!$AI$3:$AI$3000,C409,Однолинейка!$A$3:$A$3000,Щит_спец)),IF(A409="Клемма",IF(C409="","",IF(C409=$S$7,SUMIFS(Однолинейка!$BW$3:$BW$3000,Однолинейка!$A$3:$A$3000,Щит_спец),IF(C409=$S$8,SUMIFS(Однолинейка!$BX$3:$BX$3000,Однолинейка!$A$3:$A$3000,Щит_спец),""))),""))))</f>
        <v/>
      </c>
      <c r="O409" s="74"/>
      <c r="P409" s="38" t="str">
        <f t="shared" si="54"/>
        <v/>
      </c>
      <c r="U409" s="38" t="str">
        <f t="shared" si="55"/>
        <v/>
      </c>
      <c r="V409" s="38" t="str">
        <f t="shared" si="56"/>
        <v/>
      </c>
      <c r="W409" s="38" t="str">
        <f>IF(AND(U409&lt;&gt;"",OR($S$4="(все)",B409=$S$4),IF($S$4="(все)",COUNTIF($U$4:U409,U409),COUNTIFS($U$4:U409,U409,$B$4:B409,B409))=1),MAX($W$3:W408)+1,"")</f>
        <v/>
      </c>
      <c r="X409" s="38" t="str">
        <f t="shared" si="57"/>
        <v/>
      </c>
      <c r="Y409" s="38" t="str">
        <f>IF(AND(A409="Аппарат",C409&lt;&gt;"",OR($S$5="(все)",B409=$S$5)),MAX($Y$3:Y408)+1,"")</f>
        <v/>
      </c>
      <c r="Z409" s="38" t="str">
        <f t="shared" si="58"/>
        <v/>
      </c>
      <c r="AA409" s="38" t="str">
        <f>IF(AND(A409="Модуль",C409&lt;&gt;"",OR($S$6="(все)",B409=$S$6)),MAX($AA$3:AA408)+1,"")</f>
        <v/>
      </c>
      <c r="AB409" s="38" t="str">
        <f t="shared" si="59"/>
        <v/>
      </c>
      <c r="AC409" s="38" t="str">
        <f>IF(OR(B409="",COUNTIF($B$4:B409,B409)&gt;1),"",MAX($AC$3:AC408)+1)</f>
        <v/>
      </c>
      <c r="AD409" s="38" t="str">
        <f t="shared" si="60"/>
        <v/>
      </c>
      <c r="AE409" s="38" t="str">
        <f t="shared" si="61"/>
        <v/>
      </c>
      <c r="AF409" s="38" t="str">
        <f t="shared" si="62"/>
        <v/>
      </c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38" t="str">
        <f>IF(OR(A410="Автомат",A410="Дифавтомат"),IF(W410="","",COUNTIFS(Однолинейка!$H$3:$H$3000,U410,Однолинейка!$A$3:$A$3000,Щит_спец)),IF(A410="Аппарат",IF(C410="","",COUNTIFS(Однолинейка!$I$3:$I$3000,C410,Однолинейка!$A$3:$A$3000,Щит_спец)+COUNTIFS(Однолинейка!$J$3:$J$3000,C410,Однолинейка!$A$3:$A$3000,Щит_спец)+COUNTIFS(Однолинейка!$K$3:$K$3000,C410,Однолинейка!$A$3:$A$3000,Щит_спец)),IF(A410="Модуль",IF(C410="","",COUNTIFS(Однолинейка!$AW$3:$AW$3000,"?*",Однолинейка!$AI$3:$AI$3000,C410,Однолинейка!$A$3:$A$3000,Щит_спец)),IF(A410="Клемма",IF(C410="","",IF(C410=$S$7,SUMIFS(Однолинейка!$BW$3:$BW$3000,Однолинейка!$A$3:$A$3000,Щит_спец),IF(C410=$S$8,SUMIFS(Однолинейка!$BX$3:$BX$3000,Однолинейка!$A$3:$A$3000,Щит_спец),""))),""))))</f>
        <v/>
      </c>
      <c r="O410" s="74"/>
      <c r="P410" s="38" t="str">
        <f t="shared" si="54"/>
        <v/>
      </c>
      <c r="U410" s="38" t="str">
        <f t="shared" si="55"/>
        <v/>
      </c>
      <c r="V410" s="38" t="str">
        <f t="shared" si="56"/>
        <v/>
      </c>
      <c r="W410" s="38" t="str">
        <f>IF(AND(U410&lt;&gt;"",OR($S$4="(все)",B410=$S$4),IF($S$4="(все)",COUNTIF($U$4:U410,U410),COUNTIFS($U$4:U410,U410,$B$4:B410,B410))=1),MAX($W$3:W409)+1,"")</f>
        <v/>
      </c>
      <c r="X410" s="38" t="str">
        <f t="shared" si="57"/>
        <v/>
      </c>
      <c r="Y410" s="38" t="str">
        <f>IF(AND(A410="Аппарат",C410&lt;&gt;"",OR($S$5="(все)",B410=$S$5)),MAX($Y$3:Y409)+1,"")</f>
        <v/>
      </c>
      <c r="Z410" s="38" t="str">
        <f t="shared" si="58"/>
        <v/>
      </c>
      <c r="AA410" s="38" t="str">
        <f>IF(AND(A410="Модуль",C410&lt;&gt;"",OR($S$6="(все)",B410=$S$6)),MAX($AA$3:AA409)+1,"")</f>
        <v/>
      </c>
      <c r="AB410" s="38" t="str">
        <f t="shared" si="59"/>
        <v/>
      </c>
      <c r="AC410" s="38" t="str">
        <f>IF(OR(B410="",COUNTIF($B$4:B410,B410)&gt;1),"",MAX($AC$3:AC409)+1)</f>
        <v/>
      </c>
      <c r="AD410" s="38" t="str">
        <f t="shared" si="60"/>
        <v/>
      </c>
      <c r="AE410" s="38" t="str">
        <f t="shared" si="61"/>
        <v/>
      </c>
      <c r="AF410" s="38" t="str">
        <f t="shared" si="62"/>
        <v/>
      </c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38" t="str">
        <f>IF(OR(A411="Автомат",A411="Дифавтомат"),IF(W411="","",COUNTIFS(Однолинейка!$H$3:$H$3000,U411,Однолинейка!$A$3:$A$3000,Щит_спец)),IF(A411="Аппарат",IF(C411="","",COUNTIFS(Однолинейка!$I$3:$I$3000,C411,Однолинейка!$A$3:$A$3000,Щит_спец)+COUNTIFS(Однолинейка!$J$3:$J$3000,C411,Однолинейка!$A$3:$A$3000,Щит_спец)+COUNTIFS(Однолинейка!$K$3:$K$3000,C411,Однолинейка!$A$3:$A$3000,Щит_спец)),IF(A411="Модуль",IF(C411="","",COUNTIFS(Однолинейка!$AW$3:$AW$3000,"?*",Однолинейка!$AI$3:$AI$3000,C411,Однолинейка!$A$3:$A$3000,Щит_спец)),IF(A411="Клемма",IF(C411="","",IF(C411=$S$7,SUMIFS(Однолинейка!$BW$3:$BW$3000,Однолинейка!$A$3:$A$3000,Щит_спец),IF(C411=$S$8,SUMIFS(Однолинейка!$BX$3:$BX$3000,Однолинейка!$A$3:$A$3000,Щит_спец),""))),""))))</f>
        <v/>
      </c>
      <c r="O411" s="74"/>
      <c r="P411" s="38" t="str">
        <f t="shared" si="54"/>
        <v/>
      </c>
      <c r="U411" s="38" t="str">
        <f t="shared" si="55"/>
        <v/>
      </c>
      <c r="V411" s="38" t="str">
        <f t="shared" si="56"/>
        <v/>
      </c>
      <c r="W411" s="38" t="str">
        <f>IF(AND(U411&lt;&gt;"",OR($S$4="(все)",B411=$S$4),IF($S$4="(все)",COUNTIF($U$4:U411,U411),COUNTIFS($U$4:U411,U411,$B$4:B411,B411))=1),MAX($W$3:W410)+1,"")</f>
        <v/>
      </c>
      <c r="X411" s="38" t="str">
        <f t="shared" si="57"/>
        <v/>
      </c>
      <c r="Y411" s="38" t="str">
        <f>IF(AND(A411="Аппарат",C411&lt;&gt;"",OR($S$5="(все)",B411=$S$5)),MAX($Y$3:Y410)+1,"")</f>
        <v/>
      </c>
      <c r="Z411" s="38" t="str">
        <f t="shared" si="58"/>
        <v/>
      </c>
      <c r="AA411" s="38" t="str">
        <f>IF(AND(A411="Модуль",C411&lt;&gt;"",OR($S$6="(все)",B411=$S$6)),MAX($AA$3:AA410)+1,"")</f>
        <v/>
      </c>
      <c r="AB411" s="38" t="str">
        <f t="shared" si="59"/>
        <v/>
      </c>
      <c r="AC411" s="38" t="str">
        <f>IF(OR(B411="",COUNTIF($B$4:B411,B411)&gt;1),"",MAX($AC$3:AC410)+1)</f>
        <v/>
      </c>
      <c r="AD411" s="38" t="str">
        <f t="shared" si="60"/>
        <v/>
      </c>
      <c r="AE411" s="38" t="str">
        <f t="shared" si="61"/>
        <v/>
      </c>
      <c r="AF411" s="38" t="str">
        <f t="shared" si="62"/>
        <v/>
      </c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38" t="str">
        <f>IF(OR(A412="Автомат",A412="Дифавтомат"),IF(W412="","",COUNTIFS(Однолинейка!$H$3:$H$3000,U412,Однолинейка!$A$3:$A$3000,Щит_спец)),IF(A412="Аппарат",IF(C412="","",COUNTIFS(Однолинейка!$I$3:$I$3000,C412,Однолинейка!$A$3:$A$3000,Щит_спец)+COUNTIFS(Однолинейка!$J$3:$J$3000,C412,Однолинейка!$A$3:$A$3000,Щит_спец)+COUNTIFS(Однолинейка!$K$3:$K$3000,C412,Однолинейка!$A$3:$A$3000,Щит_спец)),IF(A412="Модуль",IF(C412="","",COUNTIFS(Однолинейка!$AW$3:$AW$3000,"?*",Однолинейка!$AI$3:$AI$3000,C412,Однолинейка!$A$3:$A$3000,Щит_спец)),IF(A412="Клемма",IF(C412="","",IF(C412=$S$7,SUMIFS(Однолинейка!$BW$3:$BW$3000,Однолинейка!$A$3:$A$3000,Щит_спец),IF(C412=$S$8,SUMIFS(Однолинейка!$BX$3:$BX$3000,Однолинейка!$A$3:$A$3000,Щит_спец),""))),""))))</f>
        <v/>
      </c>
      <c r="O412" s="74"/>
      <c r="P412" s="38" t="str">
        <f t="shared" si="54"/>
        <v/>
      </c>
      <c r="U412" s="38" t="str">
        <f t="shared" si="55"/>
        <v/>
      </c>
      <c r="V412" s="38" t="str">
        <f t="shared" si="56"/>
        <v/>
      </c>
      <c r="W412" s="38" t="str">
        <f>IF(AND(U412&lt;&gt;"",OR($S$4="(все)",B412=$S$4),IF($S$4="(все)",COUNTIF($U$4:U412,U412),COUNTIFS($U$4:U412,U412,$B$4:B412,B412))=1),MAX($W$3:W411)+1,"")</f>
        <v/>
      </c>
      <c r="X412" s="38" t="str">
        <f t="shared" si="57"/>
        <v/>
      </c>
      <c r="Y412" s="38" t="str">
        <f>IF(AND(A412="Аппарат",C412&lt;&gt;"",OR($S$5="(все)",B412=$S$5)),MAX($Y$3:Y411)+1,"")</f>
        <v/>
      </c>
      <c r="Z412" s="38" t="str">
        <f t="shared" si="58"/>
        <v/>
      </c>
      <c r="AA412" s="38" t="str">
        <f>IF(AND(A412="Модуль",C412&lt;&gt;"",OR($S$6="(все)",B412=$S$6)),MAX($AA$3:AA411)+1,"")</f>
        <v/>
      </c>
      <c r="AB412" s="38" t="str">
        <f t="shared" si="59"/>
        <v/>
      </c>
      <c r="AC412" s="38" t="str">
        <f>IF(OR(B412="",COUNTIF($B$4:B412,B412)&gt;1),"",MAX($AC$3:AC411)+1)</f>
        <v/>
      </c>
      <c r="AD412" s="38" t="str">
        <f t="shared" si="60"/>
        <v/>
      </c>
      <c r="AE412" s="38" t="str">
        <f t="shared" si="61"/>
        <v/>
      </c>
      <c r="AF412" s="38" t="str">
        <f t="shared" si="62"/>
        <v/>
      </c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38" t="str">
        <f>IF(OR(A413="Автомат",A413="Дифавтомат"),IF(W413="","",COUNTIFS(Однолинейка!$H$3:$H$3000,U413,Однолинейка!$A$3:$A$3000,Щит_спец)),IF(A413="Аппарат",IF(C413="","",COUNTIFS(Однолинейка!$I$3:$I$3000,C413,Однолинейка!$A$3:$A$3000,Щит_спец)+COUNTIFS(Однолинейка!$J$3:$J$3000,C413,Однолинейка!$A$3:$A$3000,Щит_спец)+COUNTIFS(Однолинейка!$K$3:$K$3000,C413,Однолинейка!$A$3:$A$3000,Щит_спец)),IF(A413="Модуль",IF(C413="","",COUNTIFS(Однолинейка!$AW$3:$AW$3000,"?*",Однолинейка!$AI$3:$AI$3000,C413,Однолинейка!$A$3:$A$3000,Щит_спец)),IF(A413="Клемма",IF(C413="","",IF(C413=$S$7,SUMIFS(Однолинейка!$BW$3:$BW$3000,Однолинейка!$A$3:$A$3000,Щит_спец),IF(C413=$S$8,SUMIFS(Однолинейка!$BX$3:$BX$3000,Однолинейка!$A$3:$A$3000,Щит_спец),""))),""))))</f>
        <v/>
      </c>
      <c r="O413" s="74"/>
      <c r="P413" s="38" t="str">
        <f t="shared" si="54"/>
        <v/>
      </c>
      <c r="U413" s="38" t="str">
        <f t="shared" si="55"/>
        <v/>
      </c>
      <c r="V413" s="38" t="str">
        <f t="shared" si="56"/>
        <v/>
      </c>
      <c r="W413" s="38" t="str">
        <f>IF(AND(U413&lt;&gt;"",OR($S$4="(все)",B413=$S$4),IF($S$4="(все)",COUNTIF($U$4:U413,U413),COUNTIFS($U$4:U413,U413,$B$4:B413,B413))=1),MAX($W$3:W412)+1,"")</f>
        <v/>
      </c>
      <c r="X413" s="38" t="str">
        <f t="shared" si="57"/>
        <v/>
      </c>
      <c r="Y413" s="38" t="str">
        <f>IF(AND(A413="Аппарат",C413&lt;&gt;"",OR($S$5="(все)",B413=$S$5)),MAX($Y$3:Y412)+1,"")</f>
        <v/>
      </c>
      <c r="Z413" s="38" t="str">
        <f t="shared" si="58"/>
        <v/>
      </c>
      <c r="AA413" s="38" t="str">
        <f>IF(AND(A413="Модуль",C413&lt;&gt;"",OR($S$6="(все)",B413=$S$6)),MAX($AA$3:AA412)+1,"")</f>
        <v/>
      </c>
      <c r="AB413" s="38" t="str">
        <f t="shared" si="59"/>
        <v/>
      </c>
      <c r="AC413" s="38" t="str">
        <f>IF(OR(B413="",COUNTIF($B$4:B413,B413)&gt;1),"",MAX($AC$3:AC412)+1)</f>
        <v/>
      </c>
      <c r="AD413" s="38" t="str">
        <f t="shared" si="60"/>
        <v/>
      </c>
      <c r="AE413" s="38" t="str">
        <f t="shared" si="61"/>
        <v/>
      </c>
      <c r="AF413" s="38" t="str">
        <f t="shared" si="62"/>
        <v/>
      </c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38" t="str">
        <f>IF(OR(A414="Автомат",A414="Дифавтомат"),IF(W414="","",COUNTIFS(Однолинейка!$H$3:$H$3000,U414,Однолинейка!$A$3:$A$3000,Щит_спец)),IF(A414="Аппарат",IF(C414="","",COUNTIFS(Однолинейка!$I$3:$I$3000,C414,Однолинейка!$A$3:$A$3000,Щит_спец)+COUNTIFS(Однолинейка!$J$3:$J$3000,C414,Однолинейка!$A$3:$A$3000,Щит_спец)+COUNTIFS(Однолинейка!$K$3:$K$3000,C414,Однолинейка!$A$3:$A$3000,Щит_спец)),IF(A414="Модуль",IF(C414="","",COUNTIFS(Однолинейка!$AW$3:$AW$3000,"?*",Однолинейка!$AI$3:$AI$3000,C414,Однолинейка!$A$3:$A$3000,Щит_спец)),IF(A414="Клемма",IF(C414="","",IF(C414=$S$7,SUMIFS(Однолинейка!$BW$3:$BW$3000,Однолинейка!$A$3:$A$3000,Щит_спец),IF(C414=$S$8,SUMIFS(Однолинейка!$BX$3:$BX$3000,Однолинейка!$A$3:$A$3000,Щит_спец),""))),""))))</f>
        <v/>
      </c>
      <c r="O414" s="74"/>
      <c r="P414" s="38" t="str">
        <f t="shared" si="54"/>
        <v/>
      </c>
      <c r="U414" s="38" t="str">
        <f t="shared" si="55"/>
        <v/>
      </c>
      <c r="V414" s="38" t="str">
        <f t="shared" si="56"/>
        <v/>
      </c>
      <c r="W414" s="38" t="str">
        <f>IF(AND(U414&lt;&gt;"",OR($S$4="(все)",B414=$S$4),IF($S$4="(все)",COUNTIF($U$4:U414,U414),COUNTIFS($U$4:U414,U414,$B$4:B414,B414))=1),MAX($W$3:W413)+1,"")</f>
        <v/>
      </c>
      <c r="X414" s="38" t="str">
        <f t="shared" si="57"/>
        <v/>
      </c>
      <c r="Y414" s="38" t="str">
        <f>IF(AND(A414="Аппарат",C414&lt;&gt;"",OR($S$5="(все)",B414=$S$5)),MAX($Y$3:Y413)+1,"")</f>
        <v/>
      </c>
      <c r="Z414" s="38" t="str">
        <f t="shared" si="58"/>
        <v/>
      </c>
      <c r="AA414" s="38" t="str">
        <f>IF(AND(A414="Модуль",C414&lt;&gt;"",OR($S$6="(все)",B414=$S$6)),MAX($AA$3:AA413)+1,"")</f>
        <v/>
      </c>
      <c r="AB414" s="38" t="str">
        <f t="shared" si="59"/>
        <v/>
      </c>
      <c r="AC414" s="38" t="str">
        <f>IF(OR(B414="",COUNTIF($B$4:B414,B414)&gt;1),"",MAX($AC$3:AC413)+1)</f>
        <v/>
      </c>
      <c r="AD414" s="38" t="str">
        <f t="shared" si="60"/>
        <v/>
      </c>
      <c r="AE414" s="38" t="str">
        <f t="shared" si="61"/>
        <v/>
      </c>
      <c r="AF414" s="38" t="str">
        <f t="shared" si="62"/>
        <v/>
      </c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38" t="str">
        <f>IF(OR(A415="Автомат",A415="Дифавтомат"),IF(W415="","",COUNTIFS(Однолинейка!$H$3:$H$3000,U415,Однолинейка!$A$3:$A$3000,Щит_спец)),IF(A415="Аппарат",IF(C415="","",COUNTIFS(Однолинейка!$I$3:$I$3000,C415,Однолинейка!$A$3:$A$3000,Щит_спец)+COUNTIFS(Однолинейка!$J$3:$J$3000,C415,Однолинейка!$A$3:$A$3000,Щит_спец)+COUNTIFS(Однолинейка!$K$3:$K$3000,C415,Однолинейка!$A$3:$A$3000,Щит_спец)),IF(A415="Модуль",IF(C415="","",COUNTIFS(Однолинейка!$AW$3:$AW$3000,"?*",Однолинейка!$AI$3:$AI$3000,C415,Однолинейка!$A$3:$A$3000,Щит_спец)),IF(A415="Клемма",IF(C415="","",IF(C415=$S$7,SUMIFS(Однолинейка!$BW$3:$BW$3000,Однолинейка!$A$3:$A$3000,Щит_спец),IF(C415=$S$8,SUMIFS(Однолинейка!$BX$3:$BX$3000,Однолинейка!$A$3:$A$3000,Щит_спец),""))),""))))</f>
        <v/>
      </c>
      <c r="O415" s="74"/>
      <c r="P415" s="38" t="str">
        <f t="shared" si="54"/>
        <v/>
      </c>
      <c r="U415" s="38" t="str">
        <f t="shared" si="55"/>
        <v/>
      </c>
      <c r="V415" s="38" t="str">
        <f t="shared" si="56"/>
        <v/>
      </c>
      <c r="W415" s="38" t="str">
        <f>IF(AND(U415&lt;&gt;"",OR($S$4="(все)",B415=$S$4),IF($S$4="(все)",COUNTIF($U$4:U415,U415),COUNTIFS($U$4:U415,U415,$B$4:B415,B415))=1),MAX($W$3:W414)+1,"")</f>
        <v/>
      </c>
      <c r="X415" s="38" t="str">
        <f t="shared" si="57"/>
        <v/>
      </c>
      <c r="Y415" s="38" t="str">
        <f>IF(AND(A415="Аппарат",C415&lt;&gt;"",OR($S$5="(все)",B415=$S$5)),MAX($Y$3:Y414)+1,"")</f>
        <v/>
      </c>
      <c r="Z415" s="38" t="str">
        <f t="shared" si="58"/>
        <v/>
      </c>
      <c r="AA415" s="38" t="str">
        <f>IF(AND(A415="Модуль",C415&lt;&gt;"",OR($S$6="(все)",B415=$S$6)),MAX($AA$3:AA414)+1,"")</f>
        <v/>
      </c>
      <c r="AB415" s="38" t="str">
        <f t="shared" si="59"/>
        <v/>
      </c>
      <c r="AC415" s="38" t="str">
        <f>IF(OR(B415="",COUNTIF($B$4:B415,B415)&gt;1),"",MAX($AC$3:AC414)+1)</f>
        <v/>
      </c>
      <c r="AD415" s="38" t="str">
        <f t="shared" si="60"/>
        <v/>
      </c>
      <c r="AE415" s="38" t="str">
        <f t="shared" si="61"/>
        <v/>
      </c>
      <c r="AF415" s="38" t="str">
        <f t="shared" si="62"/>
        <v/>
      </c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38" t="str">
        <f>IF(OR(A416="Автомат",A416="Дифавтомат"),IF(W416="","",COUNTIFS(Однолинейка!$H$3:$H$3000,U416,Однолинейка!$A$3:$A$3000,Щит_спец)),IF(A416="Аппарат",IF(C416="","",COUNTIFS(Однолинейка!$I$3:$I$3000,C416,Однолинейка!$A$3:$A$3000,Щит_спец)+COUNTIFS(Однолинейка!$J$3:$J$3000,C416,Однолинейка!$A$3:$A$3000,Щит_спец)+COUNTIFS(Однолинейка!$K$3:$K$3000,C416,Однолинейка!$A$3:$A$3000,Щит_спец)),IF(A416="Модуль",IF(C416="","",COUNTIFS(Однолинейка!$AW$3:$AW$3000,"?*",Однолинейка!$AI$3:$AI$3000,C416,Однолинейка!$A$3:$A$3000,Щит_спец)),IF(A416="Клемма",IF(C416="","",IF(C416=$S$7,SUMIFS(Однолинейка!$BW$3:$BW$3000,Однолинейка!$A$3:$A$3000,Щит_спец),IF(C416=$S$8,SUMIFS(Однолинейка!$BX$3:$BX$3000,Однолинейка!$A$3:$A$3000,Щит_спец),""))),""))))</f>
        <v/>
      </c>
      <c r="O416" s="74"/>
      <c r="P416" s="38" t="str">
        <f t="shared" si="54"/>
        <v/>
      </c>
      <c r="U416" s="38" t="str">
        <f t="shared" si="55"/>
        <v/>
      </c>
      <c r="V416" s="38" t="str">
        <f t="shared" si="56"/>
        <v/>
      </c>
      <c r="W416" s="38" t="str">
        <f>IF(AND(U416&lt;&gt;"",OR($S$4="(все)",B416=$S$4),IF($S$4="(все)",COUNTIF($U$4:U416,U416),COUNTIFS($U$4:U416,U416,$B$4:B416,B416))=1),MAX($W$3:W415)+1,"")</f>
        <v/>
      </c>
      <c r="X416" s="38" t="str">
        <f t="shared" si="57"/>
        <v/>
      </c>
      <c r="Y416" s="38" t="str">
        <f>IF(AND(A416="Аппарат",C416&lt;&gt;"",OR($S$5="(все)",B416=$S$5)),MAX($Y$3:Y415)+1,"")</f>
        <v/>
      </c>
      <c r="Z416" s="38" t="str">
        <f t="shared" si="58"/>
        <v/>
      </c>
      <c r="AA416" s="38" t="str">
        <f>IF(AND(A416="Модуль",C416&lt;&gt;"",OR($S$6="(все)",B416=$S$6)),MAX($AA$3:AA415)+1,"")</f>
        <v/>
      </c>
      <c r="AB416" s="38" t="str">
        <f t="shared" si="59"/>
        <v/>
      </c>
      <c r="AC416" s="38" t="str">
        <f>IF(OR(B416="",COUNTIF($B$4:B416,B416)&gt;1),"",MAX($AC$3:AC415)+1)</f>
        <v/>
      </c>
      <c r="AD416" s="38" t="str">
        <f t="shared" si="60"/>
        <v/>
      </c>
      <c r="AE416" s="38" t="str">
        <f t="shared" si="61"/>
        <v/>
      </c>
      <c r="AF416" s="38" t="str">
        <f t="shared" si="62"/>
        <v/>
      </c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38" t="str">
        <f>IF(OR(A417="Автомат",A417="Дифавтомат"),IF(W417="","",COUNTIFS(Однолинейка!$H$3:$H$3000,U417,Однолинейка!$A$3:$A$3000,Щит_спец)),IF(A417="Аппарат",IF(C417="","",COUNTIFS(Однолинейка!$I$3:$I$3000,C417,Однолинейка!$A$3:$A$3000,Щит_спец)+COUNTIFS(Однолинейка!$J$3:$J$3000,C417,Однолинейка!$A$3:$A$3000,Щит_спец)+COUNTIFS(Однолинейка!$K$3:$K$3000,C417,Однолинейка!$A$3:$A$3000,Щит_спец)),IF(A417="Модуль",IF(C417="","",COUNTIFS(Однолинейка!$AW$3:$AW$3000,"?*",Однолинейка!$AI$3:$AI$3000,C417,Однолинейка!$A$3:$A$3000,Щит_спец)),IF(A417="Клемма",IF(C417="","",IF(C417=$S$7,SUMIFS(Однолинейка!$BW$3:$BW$3000,Однолинейка!$A$3:$A$3000,Щит_спец),IF(C417=$S$8,SUMIFS(Однолинейка!$BX$3:$BX$3000,Однолинейка!$A$3:$A$3000,Щит_спец),""))),""))))</f>
        <v/>
      </c>
      <c r="O417" s="74"/>
      <c r="P417" s="38" t="str">
        <f t="shared" si="54"/>
        <v/>
      </c>
      <c r="U417" s="38" t="str">
        <f t="shared" si="55"/>
        <v/>
      </c>
      <c r="V417" s="38" t="str">
        <f t="shared" si="56"/>
        <v/>
      </c>
      <c r="W417" s="38" t="str">
        <f>IF(AND(U417&lt;&gt;"",OR($S$4="(все)",B417=$S$4),IF($S$4="(все)",COUNTIF($U$4:U417,U417),COUNTIFS($U$4:U417,U417,$B$4:B417,B417))=1),MAX($W$3:W416)+1,"")</f>
        <v/>
      </c>
      <c r="X417" s="38" t="str">
        <f t="shared" si="57"/>
        <v/>
      </c>
      <c r="Y417" s="38" t="str">
        <f>IF(AND(A417="Аппарат",C417&lt;&gt;"",OR($S$5="(все)",B417=$S$5)),MAX($Y$3:Y416)+1,"")</f>
        <v/>
      </c>
      <c r="Z417" s="38" t="str">
        <f t="shared" si="58"/>
        <v/>
      </c>
      <c r="AA417" s="38" t="str">
        <f>IF(AND(A417="Модуль",C417&lt;&gt;"",OR($S$6="(все)",B417=$S$6)),MAX($AA$3:AA416)+1,"")</f>
        <v/>
      </c>
      <c r="AB417" s="38" t="str">
        <f t="shared" si="59"/>
        <v/>
      </c>
      <c r="AC417" s="38" t="str">
        <f>IF(OR(B417="",COUNTIF($B$4:B417,B417)&gt;1),"",MAX($AC$3:AC416)+1)</f>
        <v/>
      </c>
      <c r="AD417" s="38" t="str">
        <f t="shared" si="60"/>
        <v/>
      </c>
      <c r="AE417" s="38" t="str">
        <f t="shared" si="61"/>
        <v/>
      </c>
      <c r="AF417" s="38" t="str">
        <f t="shared" si="62"/>
        <v/>
      </c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38" t="str">
        <f>IF(OR(A418="Автомат",A418="Дифавтомат"),IF(W418="","",COUNTIFS(Однолинейка!$H$3:$H$3000,U418,Однолинейка!$A$3:$A$3000,Щит_спец)),IF(A418="Аппарат",IF(C418="","",COUNTIFS(Однолинейка!$I$3:$I$3000,C418,Однолинейка!$A$3:$A$3000,Щит_спец)+COUNTIFS(Однолинейка!$J$3:$J$3000,C418,Однолинейка!$A$3:$A$3000,Щит_спец)+COUNTIFS(Однолинейка!$K$3:$K$3000,C418,Однолинейка!$A$3:$A$3000,Щит_спец)),IF(A418="Модуль",IF(C418="","",COUNTIFS(Однолинейка!$AW$3:$AW$3000,"?*",Однолинейка!$AI$3:$AI$3000,C418,Однолинейка!$A$3:$A$3000,Щит_спец)),IF(A418="Клемма",IF(C418="","",IF(C418=$S$7,SUMIFS(Однолинейка!$BW$3:$BW$3000,Однолинейка!$A$3:$A$3000,Щит_спец),IF(C418=$S$8,SUMIFS(Однолинейка!$BX$3:$BX$3000,Однолинейка!$A$3:$A$3000,Щит_спец),""))),""))))</f>
        <v/>
      </c>
      <c r="O418" s="74"/>
      <c r="P418" s="38" t="str">
        <f t="shared" si="54"/>
        <v/>
      </c>
      <c r="U418" s="38" t="str">
        <f t="shared" si="55"/>
        <v/>
      </c>
      <c r="V418" s="38" t="str">
        <f t="shared" si="56"/>
        <v/>
      </c>
      <c r="W418" s="38" t="str">
        <f>IF(AND(U418&lt;&gt;"",OR($S$4="(все)",B418=$S$4),IF($S$4="(все)",COUNTIF($U$4:U418,U418),COUNTIFS($U$4:U418,U418,$B$4:B418,B418))=1),MAX($W$3:W417)+1,"")</f>
        <v/>
      </c>
      <c r="X418" s="38" t="str">
        <f t="shared" si="57"/>
        <v/>
      </c>
      <c r="Y418" s="38" t="str">
        <f>IF(AND(A418="Аппарат",C418&lt;&gt;"",OR($S$5="(все)",B418=$S$5)),MAX($Y$3:Y417)+1,"")</f>
        <v/>
      </c>
      <c r="Z418" s="38" t="str">
        <f t="shared" si="58"/>
        <v/>
      </c>
      <c r="AA418" s="38" t="str">
        <f>IF(AND(A418="Модуль",C418&lt;&gt;"",OR($S$6="(все)",B418=$S$6)),MAX($AA$3:AA417)+1,"")</f>
        <v/>
      </c>
      <c r="AB418" s="38" t="str">
        <f t="shared" si="59"/>
        <v/>
      </c>
      <c r="AC418" s="38" t="str">
        <f>IF(OR(B418="",COUNTIF($B$4:B418,B418)&gt;1),"",MAX($AC$3:AC417)+1)</f>
        <v/>
      </c>
      <c r="AD418" s="38" t="str">
        <f t="shared" si="60"/>
        <v/>
      </c>
      <c r="AE418" s="38" t="str">
        <f t="shared" si="61"/>
        <v/>
      </c>
      <c r="AF418" s="38" t="str">
        <f t="shared" si="62"/>
        <v/>
      </c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38" t="str">
        <f>IF(OR(A419="Автомат",A419="Дифавтомат"),IF(W419="","",COUNTIFS(Однолинейка!$H$3:$H$3000,U419,Однолинейка!$A$3:$A$3000,Щит_спец)),IF(A419="Аппарат",IF(C419="","",COUNTIFS(Однолинейка!$I$3:$I$3000,C419,Однолинейка!$A$3:$A$3000,Щит_спец)+COUNTIFS(Однолинейка!$J$3:$J$3000,C419,Однолинейка!$A$3:$A$3000,Щит_спец)+COUNTIFS(Однолинейка!$K$3:$K$3000,C419,Однолинейка!$A$3:$A$3000,Щит_спец)),IF(A419="Модуль",IF(C419="","",COUNTIFS(Однолинейка!$AW$3:$AW$3000,"?*",Однолинейка!$AI$3:$AI$3000,C419,Однолинейка!$A$3:$A$3000,Щит_спец)),IF(A419="Клемма",IF(C419="","",IF(C419=$S$7,SUMIFS(Однолинейка!$BW$3:$BW$3000,Однолинейка!$A$3:$A$3000,Щит_спец),IF(C419=$S$8,SUMIFS(Однолинейка!$BX$3:$BX$3000,Однолинейка!$A$3:$A$3000,Щит_спец),""))),""))))</f>
        <v/>
      </c>
      <c r="O419" s="74"/>
      <c r="P419" s="38" t="str">
        <f t="shared" si="54"/>
        <v/>
      </c>
      <c r="U419" s="38" t="str">
        <f t="shared" si="55"/>
        <v/>
      </c>
      <c r="V419" s="38" t="str">
        <f t="shared" si="56"/>
        <v/>
      </c>
      <c r="W419" s="38" t="str">
        <f>IF(AND(U419&lt;&gt;"",OR($S$4="(все)",B419=$S$4),IF($S$4="(все)",COUNTIF($U$4:U419,U419),COUNTIFS($U$4:U419,U419,$B$4:B419,B419))=1),MAX($W$3:W418)+1,"")</f>
        <v/>
      </c>
      <c r="X419" s="38" t="str">
        <f t="shared" si="57"/>
        <v/>
      </c>
      <c r="Y419" s="38" t="str">
        <f>IF(AND(A419="Аппарат",C419&lt;&gt;"",OR($S$5="(все)",B419=$S$5)),MAX($Y$3:Y418)+1,"")</f>
        <v/>
      </c>
      <c r="Z419" s="38" t="str">
        <f t="shared" si="58"/>
        <v/>
      </c>
      <c r="AA419" s="38" t="str">
        <f>IF(AND(A419="Модуль",C419&lt;&gt;"",OR($S$6="(все)",B419=$S$6)),MAX($AA$3:AA418)+1,"")</f>
        <v/>
      </c>
      <c r="AB419" s="38" t="str">
        <f t="shared" si="59"/>
        <v/>
      </c>
      <c r="AC419" s="38" t="str">
        <f>IF(OR(B419="",COUNTIF($B$4:B419,B419)&gt;1),"",MAX($AC$3:AC418)+1)</f>
        <v/>
      </c>
      <c r="AD419" s="38" t="str">
        <f t="shared" si="60"/>
        <v/>
      </c>
      <c r="AE419" s="38" t="str">
        <f t="shared" si="61"/>
        <v/>
      </c>
      <c r="AF419" s="38" t="str">
        <f t="shared" si="62"/>
        <v/>
      </c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38" t="str">
        <f>IF(OR(A420="Автомат",A420="Дифавтомат"),IF(W420="","",COUNTIFS(Однолинейка!$H$3:$H$3000,U420,Однолинейка!$A$3:$A$3000,Щит_спец)),IF(A420="Аппарат",IF(C420="","",COUNTIFS(Однолинейка!$I$3:$I$3000,C420,Однолинейка!$A$3:$A$3000,Щит_спец)+COUNTIFS(Однолинейка!$J$3:$J$3000,C420,Однолинейка!$A$3:$A$3000,Щит_спец)+COUNTIFS(Однолинейка!$K$3:$K$3000,C420,Однолинейка!$A$3:$A$3000,Щит_спец)),IF(A420="Модуль",IF(C420="","",COUNTIFS(Однолинейка!$AW$3:$AW$3000,"?*",Однолинейка!$AI$3:$AI$3000,C420,Однолинейка!$A$3:$A$3000,Щит_спец)),IF(A420="Клемма",IF(C420="","",IF(C420=$S$7,SUMIFS(Однолинейка!$BW$3:$BW$3000,Однолинейка!$A$3:$A$3000,Щит_спец),IF(C420=$S$8,SUMIFS(Однолинейка!$BX$3:$BX$3000,Однолинейка!$A$3:$A$3000,Щит_спец),""))),""))))</f>
        <v/>
      </c>
      <c r="O420" s="74"/>
      <c r="P420" s="38" t="str">
        <f t="shared" si="54"/>
        <v/>
      </c>
      <c r="U420" s="38" t="str">
        <f t="shared" si="55"/>
        <v/>
      </c>
      <c r="V420" s="38" t="str">
        <f t="shared" si="56"/>
        <v/>
      </c>
      <c r="W420" s="38" t="str">
        <f>IF(AND(U420&lt;&gt;"",OR($S$4="(все)",B420=$S$4),IF($S$4="(все)",COUNTIF($U$4:U420,U420),COUNTIFS($U$4:U420,U420,$B$4:B420,B420))=1),MAX($W$3:W419)+1,"")</f>
        <v/>
      </c>
      <c r="X420" s="38" t="str">
        <f t="shared" si="57"/>
        <v/>
      </c>
      <c r="Y420" s="38" t="str">
        <f>IF(AND(A420="Аппарат",C420&lt;&gt;"",OR($S$5="(все)",B420=$S$5)),MAX($Y$3:Y419)+1,"")</f>
        <v/>
      </c>
      <c r="Z420" s="38" t="str">
        <f t="shared" si="58"/>
        <v/>
      </c>
      <c r="AA420" s="38" t="str">
        <f>IF(AND(A420="Модуль",C420&lt;&gt;"",OR($S$6="(все)",B420=$S$6)),MAX($AA$3:AA419)+1,"")</f>
        <v/>
      </c>
      <c r="AB420" s="38" t="str">
        <f t="shared" si="59"/>
        <v/>
      </c>
      <c r="AC420" s="38" t="str">
        <f>IF(OR(B420="",COUNTIF($B$4:B420,B420)&gt;1),"",MAX($AC$3:AC419)+1)</f>
        <v/>
      </c>
      <c r="AD420" s="38" t="str">
        <f t="shared" si="60"/>
        <v/>
      </c>
      <c r="AE420" s="38" t="str">
        <f t="shared" si="61"/>
        <v/>
      </c>
      <c r="AF420" s="38" t="str">
        <f t="shared" si="62"/>
        <v/>
      </c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38" t="str">
        <f>IF(OR(A421="Автомат",A421="Дифавтомат"),IF(W421="","",COUNTIFS(Однолинейка!$H$3:$H$3000,U421,Однолинейка!$A$3:$A$3000,Щит_спец)),IF(A421="Аппарат",IF(C421="","",COUNTIFS(Однолинейка!$I$3:$I$3000,C421,Однолинейка!$A$3:$A$3000,Щит_спец)+COUNTIFS(Однолинейка!$J$3:$J$3000,C421,Однолинейка!$A$3:$A$3000,Щит_спец)+COUNTIFS(Однолинейка!$K$3:$K$3000,C421,Однолинейка!$A$3:$A$3000,Щит_спец)),IF(A421="Модуль",IF(C421="","",COUNTIFS(Однолинейка!$AW$3:$AW$3000,"?*",Однолинейка!$AI$3:$AI$3000,C421,Однолинейка!$A$3:$A$3000,Щит_спец)),IF(A421="Клемма",IF(C421="","",IF(C421=$S$7,SUMIFS(Однолинейка!$BW$3:$BW$3000,Однолинейка!$A$3:$A$3000,Щит_спец),IF(C421=$S$8,SUMIFS(Однолинейка!$BX$3:$BX$3000,Однолинейка!$A$3:$A$3000,Щит_спец),""))),""))))</f>
        <v/>
      </c>
      <c r="O421" s="74"/>
      <c r="P421" s="38" t="str">
        <f t="shared" si="54"/>
        <v/>
      </c>
      <c r="U421" s="38" t="str">
        <f t="shared" si="55"/>
        <v/>
      </c>
      <c r="V421" s="38" t="str">
        <f t="shared" si="56"/>
        <v/>
      </c>
      <c r="W421" s="38" t="str">
        <f>IF(AND(U421&lt;&gt;"",OR($S$4="(все)",B421=$S$4),IF($S$4="(все)",COUNTIF($U$4:U421,U421),COUNTIFS($U$4:U421,U421,$B$4:B421,B421))=1),MAX($W$3:W420)+1,"")</f>
        <v/>
      </c>
      <c r="X421" s="38" t="str">
        <f t="shared" si="57"/>
        <v/>
      </c>
      <c r="Y421" s="38" t="str">
        <f>IF(AND(A421="Аппарат",C421&lt;&gt;"",OR($S$5="(все)",B421=$S$5)),MAX($Y$3:Y420)+1,"")</f>
        <v/>
      </c>
      <c r="Z421" s="38" t="str">
        <f t="shared" si="58"/>
        <v/>
      </c>
      <c r="AA421" s="38" t="str">
        <f>IF(AND(A421="Модуль",C421&lt;&gt;"",OR($S$6="(все)",B421=$S$6)),MAX($AA$3:AA420)+1,"")</f>
        <v/>
      </c>
      <c r="AB421" s="38" t="str">
        <f t="shared" si="59"/>
        <v/>
      </c>
      <c r="AC421" s="38" t="str">
        <f>IF(OR(B421="",COUNTIF($B$4:B421,B421)&gt;1),"",MAX($AC$3:AC420)+1)</f>
        <v/>
      </c>
      <c r="AD421" s="38" t="str">
        <f t="shared" si="60"/>
        <v/>
      </c>
      <c r="AE421" s="38" t="str">
        <f t="shared" si="61"/>
        <v/>
      </c>
      <c r="AF421" s="38" t="str">
        <f t="shared" si="62"/>
        <v/>
      </c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38" t="str">
        <f>IF(OR(A422="Автомат",A422="Дифавтомат"),IF(W422="","",COUNTIFS(Однолинейка!$H$3:$H$3000,U422,Однолинейка!$A$3:$A$3000,Щит_спец)),IF(A422="Аппарат",IF(C422="","",COUNTIFS(Однолинейка!$I$3:$I$3000,C422,Однолинейка!$A$3:$A$3000,Щит_спец)+COUNTIFS(Однолинейка!$J$3:$J$3000,C422,Однолинейка!$A$3:$A$3000,Щит_спец)+COUNTIFS(Однолинейка!$K$3:$K$3000,C422,Однолинейка!$A$3:$A$3000,Щит_спец)),IF(A422="Модуль",IF(C422="","",COUNTIFS(Однолинейка!$AW$3:$AW$3000,"?*",Однолинейка!$AI$3:$AI$3000,C422,Однолинейка!$A$3:$A$3000,Щит_спец)),IF(A422="Клемма",IF(C422="","",IF(C422=$S$7,SUMIFS(Однолинейка!$BW$3:$BW$3000,Однолинейка!$A$3:$A$3000,Щит_спец),IF(C422=$S$8,SUMIFS(Однолинейка!$BX$3:$BX$3000,Однолинейка!$A$3:$A$3000,Щит_спец),""))),""))))</f>
        <v/>
      </c>
      <c r="O422" s="74"/>
      <c r="P422" s="38" t="str">
        <f t="shared" si="54"/>
        <v/>
      </c>
      <c r="U422" s="38" t="str">
        <f t="shared" si="55"/>
        <v/>
      </c>
      <c r="V422" s="38" t="str">
        <f t="shared" si="56"/>
        <v/>
      </c>
      <c r="W422" s="38" t="str">
        <f>IF(AND(U422&lt;&gt;"",OR($S$4="(все)",B422=$S$4),IF($S$4="(все)",COUNTIF($U$4:U422,U422),COUNTIFS($U$4:U422,U422,$B$4:B422,B422))=1),MAX($W$3:W421)+1,"")</f>
        <v/>
      </c>
      <c r="X422" s="38" t="str">
        <f t="shared" si="57"/>
        <v/>
      </c>
      <c r="Y422" s="38" t="str">
        <f>IF(AND(A422="Аппарат",C422&lt;&gt;"",OR($S$5="(все)",B422=$S$5)),MAX($Y$3:Y421)+1,"")</f>
        <v/>
      </c>
      <c r="Z422" s="38" t="str">
        <f t="shared" si="58"/>
        <v/>
      </c>
      <c r="AA422" s="38" t="str">
        <f>IF(AND(A422="Модуль",C422&lt;&gt;"",OR($S$6="(все)",B422=$S$6)),MAX($AA$3:AA421)+1,"")</f>
        <v/>
      </c>
      <c r="AB422" s="38" t="str">
        <f t="shared" si="59"/>
        <v/>
      </c>
      <c r="AC422" s="38" t="str">
        <f>IF(OR(B422="",COUNTIF($B$4:B422,B422)&gt;1),"",MAX($AC$3:AC421)+1)</f>
        <v/>
      </c>
      <c r="AD422" s="38" t="str">
        <f t="shared" si="60"/>
        <v/>
      </c>
      <c r="AE422" s="38" t="str">
        <f t="shared" si="61"/>
        <v/>
      </c>
      <c r="AF422" s="38" t="str">
        <f t="shared" si="62"/>
        <v/>
      </c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38" t="str">
        <f>IF(OR(A423="Автомат",A423="Дифавтомат"),IF(W423="","",COUNTIFS(Однолинейка!$H$3:$H$3000,U423,Однолинейка!$A$3:$A$3000,Щит_спец)),IF(A423="Аппарат",IF(C423="","",COUNTIFS(Однолинейка!$I$3:$I$3000,C423,Однолинейка!$A$3:$A$3000,Щит_спец)+COUNTIFS(Однолинейка!$J$3:$J$3000,C423,Однолинейка!$A$3:$A$3000,Щит_спец)+COUNTIFS(Однолинейка!$K$3:$K$3000,C423,Однолинейка!$A$3:$A$3000,Щит_спец)),IF(A423="Модуль",IF(C423="","",COUNTIFS(Однолинейка!$AW$3:$AW$3000,"?*",Однолинейка!$AI$3:$AI$3000,C423,Однолинейка!$A$3:$A$3000,Щит_спец)),IF(A423="Клемма",IF(C423="","",IF(C423=$S$7,SUMIFS(Однолинейка!$BW$3:$BW$3000,Однолинейка!$A$3:$A$3000,Щит_спец),IF(C423=$S$8,SUMIFS(Однолинейка!$BX$3:$BX$3000,Однолинейка!$A$3:$A$3000,Щит_спец),""))),""))))</f>
        <v/>
      </c>
      <c r="O423" s="74"/>
      <c r="P423" s="38" t="str">
        <f t="shared" si="54"/>
        <v/>
      </c>
      <c r="U423" s="38" t="str">
        <f t="shared" si="55"/>
        <v/>
      </c>
      <c r="V423" s="38" t="str">
        <f t="shared" si="56"/>
        <v/>
      </c>
      <c r="W423" s="38" t="str">
        <f>IF(AND(U423&lt;&gt;"",OR($S$4="(все)",B423=$S$4),IF($S$4="(все)",COUNTIF($U$4:U423,U423),COUNTIFS($U$4:U423,U423,$B$4:B423,B423))=1),MAX($W$3:W422)+1,"")</f>
        <v/>
      </c>
      <c r="X423" s="38" t="str">
        <f t="shared" si="57"/>
        <v/>
      </c>
      <c r="Y423" s="38" t="str">
        <f>IF(AND(A423="Аппарат",C423&lt;&gt;"",OR($S$5="(все)",B423=$S$5)),MAX($Y$3:Y422)+1,"")</f>
        <v/>
      </c>
      <c r="Z423" s="38" t="str">
        <f t="shared" si="58"/>
        <v/>
      </c>
      <c r="AA423" s="38" t="str">
        <f>IF(AND(A423="Модуль",C423&lt;&gt;"",OR($S$6="(все)",B423=$S$6)),MAX($AA$3:AA422)+1,"")</f>
        <v/>
      </c>
      <c r="AB423" s="38" t="str">
        <f t="shared" si="59"/>
        <v/>
      </c>
      <c r="AC423" s="38" t="str">
        <f>IF(OR(B423="",COUNTIF($B$4:B423,B423)&gt;1),"",MAX($AC$3:AC422)+1)</f>
        <v/>
      </c>
      <c r="AD423" s="38" t="str">
        <f t="shared" si="60"/>
        <v/>
      </c>
      <c r="AE423" s="38" t="str">
        <f t="shared" si="61"/>
        <v/>
      </c>
      <c r="AF423" s="38" t="str">
        <f t="shared" si="62"/>
        <v/>
      </c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38" t="str">
        <f>IF(OR(A424="Автомат",A424="Дифавтомат"),IF(W424="","",COUNTIFS(Однолинейка!$H$3:$H$3000,U424,Однолинейка!$A$3:$A$3000,Щит_спец)),IF(A424="Аппарат",IF(C424="","",COUNTIFS(Однолинейка!$I$3:$I$3000,C424,Однолинейка!$A$3:$A$3000,Щит_спец)+COUNTIFS(Однолинейка!$J$3:$J$3000,C424,Однолинейка!$A$3:$A$3000,Щит_спец)+COUNTIFS(Однолинейка!$K$3:$K$3000,C424,Однолинейка!$A$3:$A$3000,Щит_спец)),IF(A424="Модуль",IF(C424="","",COUNTIFS(Однолинейка!$AW$3:$AW$3000,"?*",Однолинейка!$AI$3:$AI$3000,C424,Однолинейка!$A$3:$A$3000,Щит_спец)),IF(A424="Клемма",IF(C424="","",IF(C424=$S$7,SUMIFS(Однолинейка!$BW$3:$BW$3000,Однолинейка!$A$3:$A$3000,Щит_спец),IF(C424=$S$8,SUMIFS(Однолинейка!$BX$3:$BX$3000,Однолинейка!$A$3:$A$3000,Щит_спец),""))),""))))</f>
        <v/>
      </c>
      <c r="O424" s="74"/>
      <c r="P424" s="38" t="str">
        <f t="shared" si="54"/>
        <v/>
      </c>
      <c r="U424" s="38" t="str">
        <f t="shared" si="55"/>
        <v/>
      </c>
      <c r="V424" s="38" t="str">
        <f t="shared" si="56"/>
        <v/>
      </c>
      <c r="W424" s="38" t="str">
        <f>IF(AND(U424&lt;&gt;"",OR($S$4="(все)",B424=$S$4),IF($S$4="(все)",COUNTIF($U$4:U424,U424),COUNTIFS($U$4:U424,U424,$B$4:B424,B424))=1),MAX($W$3:W423)+1,"")</f>
        <v/>
      </c>
      <c r="X424" s="38" t="str">
        <f t="shared" si="57"/>
        <v/>
      </c>
      <c r="Y424" s="38" t="str">
        <f>IF(AND(A424="Аппарат",C424&lt;&gt;"",OR($S$5="(все)",B424=$S$5)),MAX($Y$3:Y423)+1,"")</f>
        <v/>
      </c>
      <c r="Z424" s="38" t="str">
        <f t="shared" si="58"/>
        <v/>
      </c>
      <c r="AA424" s="38" t="str">
        <f>IF(AND(A424="Модуль",C424&lt;&gt;"",OR($S$6="(все)",B424=$S$6)),MAX($AA$3:AA423)+1,"")</f>
        <v/>
      </c>
      <c r="AB424" s="38" t="str">
        <f t="shared" si="59"/>
        <v/>
      </c>
      <c r="AC424" s="38" t="str">
        <f>IF(OR(B424="",COUNTIF($B$4:B424,B424)&gt;1),"",MAX($AC$3:AC423)+1)</f>
        <v/>
      </c>
      <c r="AD424" s="38" t="str">
        <f t="shared" si="60"/>
        <v/>
      </c>
      <c r="AE424" s="38" t="str">
        <f t="shared" si="61"/>
        <v/>
      </c>
      <c r="AF424" s="38" t="str">
        <f t="shared" si="62"/>
        <v/>
      </c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38" t="str">
        <f>IF(OR(A425="Автомат",A425="Дифавтомат"),IF(W425="","",COUNTIFS(Однолинейка!$H$3:$H$3000,U425,Однолинейка!$A$3:$A$3000,Щит_спец)),IF(A425="Аппарат",IF(C425="","",COUNTIFS(Однолинейка!$I$3:$I$3000,C425,Однолинейка!$A$3:$A$3000,Щит_спец)+COUNTIFS(Однолинейка!$J$3:$J$3000,C425,Однолинейка!$A$3:$A$3000,Щит_спец)+COUNTIFS(Однолинейка!$K$3:$K$3000,C425,Однолинейка!$A$3:$A$3000,Щит_спец)),IF(A425="Модуль",IF(C425="","",COUNTIFS(Однолинейка!$AW$3:$AW$3000,"?*",Однолинейка!$AI$3:$AI$3000,C425,Однолинейка!$A$3:$A$3000,Щит_спец)),IF(A425="Клемма",IF(C425="","",IF(C425=$S$7,SUMIFS(Однолинейка!$BW$3:$BW$3000,Однолинейка!$A$3:$A$3000,Щит_спец),IF(C425=$S$8,SUMIFS(Однолинейка!$BX$3:$BX$3000,Однолинейка!$A$3:$A$3000,Щит_спец),""))),""))))</f>
        <v/>
      </c>
      <c r="O425" s="74"/>
      <c r="P425" s="38" t="str">
        <f t="shared" si="54"/>
        <v/>
      </c>
      <c r="U425" s="38" t="str">
        <f t="shared" si="55"/>
        <v/>
      </c>
      <c r="V425" s="38" t="str">
        <f t="shared" si="56"/>
        <v/>
      </c>
      <c r="W425" s="38" t="str">
        <f>IF(AND(U425&lt;&gt;"",OR($S$4="(все)",B425=$S$4),IF($S$4="(все)",COUNTIF($U$4:U425,U425),COUNTIFS($U$4:U425,U425,$B$4:B425,B425))=1),MAX($W$3:W424)+1,"")</f>
        <v/>
      </c>
      <c r="X425" s="38" t="str">
        <f t="shared" si="57"/>
        <v/>
      </c>
      <c r="Y425" s="38" t="str">
        <f>IF(AND(A425="Аппарат",C425&lt;&gt;"",OR($S$5="(все)",B425=$S$5)),MAX($Y$3:Y424)+1,"")</f>
        <v/>
      </c>
      <c r="Z425" s="38" t="str">
        <f t="shared" si="58"/>
        <v/>
      </c>
      <c r="AA425" s="38" t="str">
        <f>IF(AND(A425="Модуль",C425&lt;&gt;"",OR($S$6="(все)",B425=$S$6)),MAX($AA$3:AA424)+1,"")</f>
        <v/>
      </c>
      <c r="AB425" s="38" t="str">
        <f t="shared" si="59"/>
        <v/>
      </c>
      <c r="AC425" s="38" t="str">
        <f>IF(OR(B425="",COUNTIF($B$4:B425,B425)&gt;1),"",MAX($AC$3:AC424)+1)</f>
        <v/>
      </c>
      <c r="AD425" s="38" t="str">
        <f t="shared" si="60"/>
        <v/>
      </c>
      <c r="AE425" s="38" t="str">
        <f t="shared" si="61"/>
        <v/>
      </c>
      <c r="AF425" s="38" t="str">
        <f t="shared" si="62"/>
        <v/>
      </c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38" t="str">
        <f>IF(OR(A426="Автомат",A426="Дифавтомат"),IF(W426="","",COUNTIFS(Однолинейка!$H$3:$H$3000,U426,Однолинейка!$A$3:$A$3000,Щит_спец)),IF(A426="Аппарат",IF(C426="","",COUNTIFS(Однолинейка!$I$3:$I$3000,C426,Однолинейка!$A$3:$A$3000,Щит_спец)+COUNTIFS(Однолинейка!$J$3:$J$3000,C426,Однолинейка!$A$3:$A$3000,Щит_спец)+COUNTIFS(Однолинейка!$K$3:$K$3000,C426,Однолинейка!$A$3:$A$3000,Щит_спец)),IF(A426="Модуль",IF(C426="","",COUNTIFS(Однолинейка!$AW$3:$AW$3000,"?*",Однолинейка!$AI$3:$AI$3000,C426,Однолинейка!$A$3:$A$3000,Щит_спец)),IF(A426="Клемма",IF(C426="","",IF(C426=$S$7,SUMIFS(Однолинейка!$BW$3:$BW$3000,Однолинейка!$A$3:$A$3000,Щит_спец),IF(C426=$S$8,SUMIFS(Однолинейка!$BX$3:$BX$3000,Однолинейка!$A$3:$A$3000,Щит_спец),""))),""))))</f>
        <v/>
      </c>
      <c r="O426" s="74"/>
      <c r="P426" s="38" t="str">
        <f t="shared" si="54"/>
        <v/>
      </c>
      <c r="U426" s="38" t="str">
        <f t="shared" si="55"/>
        <v/>
      </c>
      <c r="V426" s="38" t="str">
        <f t="shared" si="56"/>
        <v/>
      </c>
      <c r="W426" s="38" t="str">
        <f>IF(AND(U426&lt;&gt;"",OR($S$4="(все)",B426=$S$4),IF($S$4="(все)",COUNTIF($U$4:U426,U426),COUNTIFS($U$4:U426,U426,$B$4:B426,B426))=1),MAX($W$3:W425)+1,"")</f>
        <v/>
      </c>
      <c r="X426" s="38" t="str">
        <f t="shared" si="57"/>
        <v/>
      </c>
      <c r="Y426" s="38" t="str">
        <f>IF(AND(A426="Аппарат",C426&lt;&gt;"",OR($S$5="(все)",B426=$S$5)),MAX($Y$3:Y425)+1,"")</f>
        <v/>
      </c>
      <c r="Z426" s="38" t="str">
        <f t="shared" si="58"/>
        <v/>
      </c>
      <c r="AA426" s="38" t="str">
        <f>IF(AND(A426="Модуль",C426&lt;&gt;"",OR($S$6="(все)",B426=$S$6)),MAX($AA$3:AA425)+1,"")</f>
        <v/>
      </c>
      <c r="AB426" s="38" t="str">
        <f t="shared" si="59"/>
        <v/>
      </c>
      <c r="AC426" s="38" t="str">
        <f>IF(OR(B426="",COUNTIF($B$4:B426,B426)&gt;1),"",MAX($AC$3:AC425)+1)</f>
        <v/>
      </c>
      <c r="AD426" s="38" t="str">
        <f t="shared" si="60"/>
        <v/>
      </c>
      <c r="AE426" s="38" t="str">
        <f t="shared" si="61"/>
        <v/>
      </c>
      <c r="AF426" s="38" t="str">
        <f t="shared" si="62"/>
        <v/>
      </c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38" t="str">
        <f>IF(OR(A427="Автомат",A427="Дифавтомат"),IF(W427="","",COUNTIFS(Однолинейка!$H$3:$H$3000,U427,Однолинейка!$A$3:$A$3000,Щит_спец)),IF(A427="Аппарат",IF(C427="","",COUNTIFS(Однолинейка!$I$3:$I$3000,C427,Однолинейка!$A$3:$A$3000,Щит_спец)+COUNTIFS(Однолинейка!$J$3:$J$3000,C427,Однолинейка!$A$3:$A$3000,Щит_спец)+COUNTIFS(Однолинейка!$K$3:$K$3000,C427,Однолинейка!$A$3:$A$3000,Щит_спец)),IF(A427="Модуль",IF(C427="","",COUNTIFS(Однолинейка!$AW$3:$AW$3000,"?*",Однолинейка!$AI$3:$AI$3000,C427,Однолинейка!$A$3:$A$3000,Щит_спец)),IF(A427="Клемма",IF(C427="","",IF(C427=$S$7,SUMIFS(Однолинейка!$BW$3:$BW$3000,Однолинейка!$A$3:$A$3000,Щит_спец),IF(C427=$S$8,SUMIFS(Однолинейка!$BX$3:$BX$3000,Однолинейка!$A$3:$A$3000,Щит_спец),""))),""))))</f>
        <v/>
      </c>
      <c r="O427" s="74"/>
      <c r="P427" s="38" t="str">
        <f t="shared" si="54"/>
        <v/>
      </c>
      <c r="U427" s="38" t="str">
        <f t="shared" si="55"/>
        <v/>
      </c>
      <c r="V427" s="38" t="str">
        <f t="shared" si="56"/>
        <v/>
      </c>
      <c r="W427" s="38" t="str">
        <f>IF(AND(U427&lt;&gt;"",OR($S$4="(все)",B427=$S$4),IF($S$4="(все)",COUNTIF($U$4:U427,U427),COUNTIFS($U$4:U427,U427,$B$4:B427,B427))=1),MAX($W$3:W426)+1,"")</f>
        <v/>
      </c>
      <c r="X427" s="38" t="str">
        <f t="shared" si="57"/>
        <v/>
      </c>
      <c r="Y427" s="38" t="str">
        <f>IF(AND(A427="Аппарат",C427&lt;&gt;"",OR($S$5="(все)",B427=$S$5)),MAX($Y$3:Y426)+1,"")</f>
        <v/>
      </c>
      <c r="Z427" s="38" t="str">
        <f t="shared" si="58"/>
        <v/>
      </c>
      <c r="AA427" s="38" t="str">
        <f>IF(AND(A427="Модуль",C427&lt;&gt;"",OR($S$6="(все)",B427=$S$6)),MAX($AA$3:AA426)+1,"")</f>
        <v/>
      </c>
      <c r="AB427" s="38" t="str">
        <f t="shared" si="59"/>
        <v/>
      </c>
      <c r="AC427" s="38" t="str">
        <f>IF(OR(B427="",COUNTIF($B$4:B427,B427)&gt;1),"",MAX($AC$3:AC426)+1)</f>
        <v/>
      </c>
      <c r="AD427" s="38" t="str">
        <f t="shared" si="60"/>
        <v/>
      </c>
      <c r="AE427" s="38" t="str">
        <f t="shared" si="61"/>
        <v/>
      </c>
      <c r="AF427" s="38" t="str">
        <f t="shared" si="62"/>
        <v/>
      </c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38" t="str">
        <f>IF(OR(A428="Автомат",A428="Дифавтомат"),IF(W428="","",COUNTIFS(Однолинейка!$H$3:$H$3000,U428,Однолинейка!$A$3:$A$3000,Щит_спец)),IF(A428="Аппарат",IF(C428="","",COUNTIFS(Однолинейка!$I$3:$I$3000,C428,Однолинейка!$A$3:$A$3000,Щит_спец)+COUNTIFS(Однолинейка!$J$3:$J$3000,C428,Однолинейка!$A$3:$A$3000,Щит_спец)+COUNTIFS(Однолинейка!$K$3:$K$3000,C428,Однолинейка!$A$3:$A$3000,Щит_спец)),IF(A428="Модуль",IF(C428="","",COUNTIFS(Однолинейка!$AW$3:$AW$3000,"?*",Однолинейка!$AI$3:$AI$3000,C428,Однолинейка!$A$3:$A$3000,Щит_спец)),IF(A428="Клемма",IF(C428="","",IF(C428=$S$7,SUMIFS(Однолинейка!$BW$3:$BW$3000,Однолинейка!$A$3:$A$3000,Щит_спец),IF(C428=$S$8,SUMIFS(Однолинейка!$BX$3:$BX$3000,Однолинейка!$A$3:$A$3000,Щит_спец),""))),""))))</f>
        <v/>
      </c>
      <c r="O428" s="74"/>
      <c r="P428" s="38" t="str">
        <f t="shared" si="54"/>
        <v/>
      </c>
      <c r="U428" s="38" t="str">
        <f t="shared" si="55"/>
        <v/>
      </c>
      <c r="V428" s="38" t="str">
        <f t="shared" si="56"/>
        <v/>
      </c>
      <c r="W428" s="38" t="str">
        <f>IF(AND(U428&lt;&gt;"",OR($S$4="(все)",B428=$S$4),IF($S$4="(все)",COUNTIF($U$4:U428,U428),COUNTIFS($U$4:U428,U428,$B$4:B428,B428))=1),MAX($W$3:W427)+1,"")</f>
        <v/>
      </c>
      <c r="X428" s="38" t="str">
        <f t="shared" si="57"/>
        <v/>
      </c>
      <c r="Y428" s="38" t="str">
        <f>IF(AND(A428="Аппарат",C428&lt;&gt;"",OR($S$5="(все)",B428=$S$5)),MAX($Y$3:Y427)+1,"")</f>
        <v/>
      </c>
      <c r="Z428" s="38" t="str">
        <f t="shared" si="58"/>
        <v/>
      </c>
      <c r="AA428" s="38" t="str">
        <f>IF(AND(A428="Модуль",C428&lt;&gt;"",OR($S$6="(все)",B428=$S$6)),MAX($AA$3:AA427)+1,"")</f>
        <v/>
      </c>
      <c r="AB428" s="38" t="str">
        <f t="shared" si="59"/>
        <v/>
      </c>
      <c r="AC428" s="38" t="str">
        <f>IF(OR(B428="",COUNTIF($B$4:B428,B428)&gt;1),"",MAX($AC$3:AC427)+1)</f>
        <v/>
      </c>
      <c r="AD428" s="38" t="str">
        <f t="shared" si="60"/>
        <v/>
      </c>
      <c r="AE428" s="38" t="str">
        <f t="shared" si="61"/>
        <v/>
      </c>
      <c r="AF428" s="38" t="str">
        <f t="shared" si="62"/>
        <v/>
      </c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38" t="str">
        <f>IF(OR(A429="Автомат",A429="Дифавтомат"),IF(W429="","",COUNTIFS(Однолинейка!$H$3:$H$3000,U429,Однолинейка!$A$3:$A$3000,Щит_спец)),IF(A429="Аппарат",IF(C429="","",COUNTIFS(Однолинейка!$I$3:$I$3000,C429,Однолинейка!$A$3:$A$3000,Щит_спец)+COUNTIFS(Однолинейка!$J$3:$J$3000,C429,Однолинейка!$A$3:$A$3000,Щит_спец)+COUNTIFS(Однолинейка!$K$3:$K$3000,C429,Однолинейка!$A$3:$A$3000,Щит_спец)),IF(A429="Модуль",IF(C429="","",COUNTIFS(Однолинейка!$AW$3:$AW$3000,"?*",Однолинейка!$AI$3:$AI$3000,C429,Однолинейка!$A$3:$A$3000,Щит_спец)),IF(A429="Клемма",IF(C429="","",IF(C429=$S$7,SUMIFS(Однолинейка!$BW$3:$BW$3000,Однолинейка!$A$3:$A$3000,Щит_спец),IF(C429=$S$8,SUMIFS(Однолинейка!$BX$3:$BX$3000,Однолинейка!$A$3:$A$3000,Щит_спец),""))),""))))</f>
        <v/>
      </c>
      <c r="O429" s="74"/>
      <c r="P429" s="38" t="str">
        <f t="shared" si="54"/>
        <v/>
      </c>
      <c r="U429" s="38" t="str">
        <f t="shared" si="55"/>
        <v/>
      </c>
      <c r="V429" s="38" t="str">
        <f t="shared" si="56"/>
        <v/>
      </c>
      <c r="W429" s="38" t="str">
        <f>IF(AND(U429&lt;&gt;"",OR($S$4="(все)",B429=$S$4),IF($S$4="(все)",COUNTIF($U$4:U429,U429),COUNTIFS($U$4:U429,U429,$B$4:B429,B429))=1),MAX($W$3:W428)+1,"")</f>
        <v/>
      </c>
      <c r="X429" s="38" t="str">
        <f t="shared" si="57"/>
        <v/>
      </c>
      <c r="Y429" s="38" t="str">
        <f>IF(AND(A429="Аппарат",C429&lt;&gt;"",OR($S$5="(все)",B429=$S$5)),MAX($Y$3:Y428)+1,"")</f>
        <v/>
      </c>
      <c r="Z429" s="38" t="str">
        <f t="shared" si="58"/>
        <v/>
      </c>
      <c r="AA429" s="38" t="str">
        <f>IF(AND(A429="Модуль",C429&lt;&gt;"",OR($S$6="(все)",B429=$S$6)),MAX($AA$3:AA428)+1,"")</f>
        <v/>
      </c>
      <c r="AB429" s="38" t="str">
        <f t="shared" si="59"/>
        <v/>
      </c>
      <c r="AC429" s="38" t="str">
        <f>IF(OR(B429="",COUNTIF($B$4:B429,B429)&gt;1),"",MAX($AC$3:AC428)+1)</f>
        <v/>
      </c>
      <c r="AD429" s="38" t="str">
        <f t="shared" si="60"/>
        <v/>
      </c>
      <c r="AE429" s="38" t="str">
        <f t="shared" si="61"/>
        <v/>
      </c>
      <c r="AF429" s="38" t="str">
        <f t="shared" si="62"/>
        <v/>
      </c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38" t="str">
        <f>IF(OR(A430="Автомат",A430="Дифавтомат"),IF(W430="","",COUNTIFS(Однолинейка!$H$3:$H$3000,U430,Однолинейка!$A$3:$A$3000,Щит_спец)),IF(A430="Аппарат",IF(C430="","",COUNTIFS(Однолинейка!$I$3:$I$3000,C430,Однолинейка!$A$3:$A$3000,Щит_спец)+COUNTIFS(Однолинейка!$J$3:$J$3000,C430,Однолинейка!$A$3:$A$3000,Щит_спец)+COUNTIFS(Однолинейка!$K$3:$K$3000,C430,Однолинейка!$A$3:$A$3000,Щит_спец)),IF(A430="Модуль",IF(C430="","",COUNTIFS(Однолинейка!$AW$3:$AW$3000,"?*",Однолинейка!$AI$3:$AI$3000,C430,Однолинейка!$A$3:$A$3000,Щит_спец)),IF(A430="Клемма",IF(C430="","",IF(C430=$S$7,SUMIFS(Однолинейка!$BW$3:$BW$3000,Однолинейка!$A$3:$A$3000,Щит_спец),IF(C430=$S$8,SUMIFS(Однолинейка!$BX$3:$BX$3000,Однолинейка!$A$3:$A$3000,Щит_спец),""))),""))))</f>
        <v/>
      </c>
      <c r="O430" s="74"/>
      <c r="P430" s="38" t="str">
        <f t="shared" si="54"/>
        <v/>
      </c>
      <c r="U430" s="38" t="str">
        <f t="shared" si="55"/>
        <v/>
      </c>
      <c r="V430" s="38" t="str">
        <f t="shared" si="56"/>
        <v/>
      </c>
      <c r="W430" s="38" t="str">
        <f>IF(AND(U430&lt;&gt;"",OR($S$4="(все)",B430=$S$4),IF($S$4="(все)",COUNTIF($U$4:U430,U430),COUNTIFS($U$4:U430,U430,$B$4:B430,B430))=1),MAX($W$3:W429)+1,"")</f>
        <v/>
      </c>
      <c r="X430" s="38" t="str">
        <f t="shared" si="57"/>
        <v/>
      </c>
      <c r="Y430" s="38" t="str">
        <f>IF(AND(A430="Аппарат",C430&lt;&gt;"",OR($S$5="(все)",B430=$S$5)),MAX($Y$3:Y429)+1,"")</f>
        <v/>
      </c>
      <c r="Z430" s="38" t="str">
        <f t="shared" si="58"/>
        <v/>
      </c>
      <c r="AA430" s="38" t="str">
        <f>IF(AND(A430="Модуль",C430&lt;&gt;"",OR($S$6="(все)",B430=$S$6)),MAX($AA$3:AA429)+1,"")</f>
        <v/>
      </c>
      <c r="AB430" s="38" t="str">
        <f t="shared" si="59"/>
        <v/>
      </c>
      <c r="AC430" s="38" t="str">
        <f>IF(OR(B430="",COUNTIF($B$4:B430,B430)&gt;1),"",MAX($AC$3:AC429)+1)</f>
        <v/>
      </c>
      <c r="AD430" s="38" t="str">
        <f t="shared" si="60"/>
        <v/>
      </c>
      <c r="AE430" s="38" t="str">
        <f t="shared" si="61"/>
        <v/>
      </c>
      <c r="AF430" s="38" t="str">
        <f t="shared" si="62"/>
        <v/>
      </c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38" t="str">
        <f>IF(OR(A431="Автомат",A431="Дифавтомат"),IF(W431="","",COUNTIFS(Однолинейка!$H$3:$H$3000,U431,Однолинейка!$A$3:$A$3000,Щит_спец)),IF(A431="Аппарат",IF(C431="","",COUNTIFS(Однолинейка!$I$3:$I$3000,C431,Однолинейка!$A$3:$A$3000,Щит_спец)+COUNTIFS(Однолинейка!$J$3:$J$3000,C431,Однолинейка!$A$3:$A$3000,Щит_спец)+COUNTIFS(Однолинейка!$K$3:$K$3000,C431,Однолинейка!$A$3:$A$3000,Щит_спец)),IF(A431="Модуль",IF(C431="","",COUNTIFS(Однолинейка!$AW$3:$AW$3000,"?*",Однолинейка!$AI$3:$AI$3000,C431,Однолинейка!$A$3:$A$3000,Щит_спец)),IF(A431="Клемма",IF(C431="","",IF(C431=$S$7,SUMIFS(Однолинейка!$BW$3:$BW$3000,Однолинейка!$A$3:$A$3000,Щит_спец),IF(C431=$S$8,SUMIFS(Однолинейка!$BX$3:$BX$3000,Однолинейка!$A$3:$A$3000,Щит_спец),""))),""))))</f>
        <v/>
      </c>
      <c r="O431" s="74"/>
      <c r="P431" s="38" t="str">
        <f t="shared" si="54"/>
        <v/>
      </c>
      <c r="U431" s="38" t="str">
        <f t="shared" si="55"/>
        <v/>
      </c>
      <c r="V431" s="38" t="str">
        <f t="shared" si="56"/>
        <v/>
      </c>
      <c r="W431" s="38" t="str">
        <f>IF(AND(U431&lt;&gt;"",OR($S$4="(все)",B431=$S$4),IF($S$4="(все)",COUNTIF($U$4:U431,U431),COUNTIFS($U$4:U431,U431,$B$4:B431,B431))=1),MAX($W$3:W430)+1,"")</f>
        <v/>
      </c>
      <c r="X431" s="38" t="str">
        <f t="shared" si="57"/>
        <v/>
      </c>
      <c r="Y431" s="38" t="str">
        <f>IF(AND(A431="Аппарат",C431&lt;&gt;"",OR($S$5="(все)",B431=$S$5)),MAX($Y$3:Y430)+1,"")</f>
        <v/>
      </c>
      <c r="Z431" s="38" t="str">
        <f t="shared" si="58"/>
        <v/>
      </c>
      <c r="AA431" s="38" t="str">
        <f>IF(AND(A431="Модуль",C431&lt;&gt;"",OR($S$6="(все)",B431=$S$6)),MAX($AA$3:AA430)+1,"")</f>
        <v/>
      </c>
      <c r="AB431" s="38" t="str">
        <f t="shared" si="59"/>
        <v/>
      </c>
      <c r="AC431" s="38" t="str">
        <f>IF(OR(B431="",COUNTIF($B$4:B431,B431)&gt;1),"",MAX($AC$3:AC430)+1)</f>
        <v/>
      </c>
      <c r="AD431" s="38" t="str">
        <f t="shared" si="60"/>
        <v/>
      </c>
      <c r="AE431" s="38" t="str">
        <f t="shared" si="61"/>
        <v/>
      </c>
      <c r="AF431" s="38" t="str">
        <f t="shared" si="62"/>
        <v/>
      </c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38" t="str">
        <f>IF(OR(A432="Автомат",A432="Дифавтомат"),IF(W432="","",COUNTIFS(Однолинейка!$H$3:$H$3000,U432,Однолинейка!$A$3:$A$3000,Щит_спец)),IF(A432="Аппарат",IF(C432="","",COUNTIFS(Однолинейка!$I$3:$I$3000,C432,Однолинейка!$A$3:$A$3000,Щит_спец)+COUNTIFS(Однолинейка!$J$3:$J$3000,C432,Однолинейка!$A$3:$A$3000,Щит_спец)+COUNTIFS(Однолинейка!$K$3:$K$3000,C432,Однолинейка!$A$3:$A$3000,Щит_спец)),IF(A432="Модуль",IF(C432="","",COUNTIFS(Однолинейка!$AW$3:$AW$3000,"?*",Однолинейка!$AI$3:$AI$3000,C432,Однолинейка!$A$3:$A$3000,Щит_спец)),IF(A432="Клемма",IF(C432="","",IF(C432=$S$7,SUMIFS(Однолинейка!$BW$3:$BW$3000,Однолинейка!$A$3:$A$3000,Щит_спец),IF(C432=$S$8,SUMIFS(Однолинейка!$BX$3:$BX$3000,Однолинейка!$A$3:$A$3000,Щит_спец),""))),""))))</f>
        <v/>
      </c>
      <c r="O432" s="74"/>
      <c r="P432" s="38" t="str">
        <f t="shared" si="54"/>
        <v/>
      </c>
      <c r="U432" s="38" t="str">
        <f t="shared" si="55"/>
        <v/>
      </c>
      <c r="V432" s="38" t="str">
        <f t="shared" si="56"/>
        <v/>
      </c>
      <c r="W432" s="38" t="str">
        <f>IF(AND(U432&lt;&gt;"",OR($S$4="(все)",B432=$S$4),IF($S$4="(все)",COUNTIF($U$4:U432,U432),COUNTIFS($U$4:U432,U432,$B$4:B432,B432))=1),MAX($W$3:W431)+1,"")</f>
        <v/>
      </c>
      <c r="X432" s="38" t="str">
        <f t="shared" si="57"/>
        <v/>
      </c>
      <c r="Y432" s="38" t="str">
        <f>IF(AND(A432="Аппарат",C432&lt;&gt;"",OR($S$5="(все)",B432=$S$5)),MAX($Y$3:Y431)+1,"")</f>
        <v/>
      </c>
      <c r="Z432" s="38" t="str">
        <f t="shared" si="58"/>
        <v/>
      </c>
      <c r="AA432" s="38" t="str">
        <f>IF(AND(A432="Модуль",C432&lt;&gt;"",OR($S$6="(все)",B432=$S$6)),MAX($AA$3:AA431)+1,"")</f>
        <v/>
      </c>
      <c r="AB432" s="38" t="str">
        <f t="shared" si="59"/>
        <v/>
      </c>
      <c r="AC432" s="38" t="str">
        <f>IF(OR(B432="",COUNTIF($B$4:B432,B432)&gt;1),"",MAX($AC$3:AC431)+1)</f>
        <v/>
      </c>
      <c r="AD432" s="38" t="str">
        <f t="shared" si="60"/>
        <v/>
      </c>
      <c r="AE432" s="38" t="str">
        <f t="shared" si="61"/>
        <v/>
      </c>
      <c r="AF432" s="38" t="str">
        <f t="shared" si="62"/>
        <v/>
      </c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38" t="str">
        <f>IF(OR(A433="Автомат",A433="Дифавтомат"),IF(W433="","",COUNTIFS(Однолинейка!$H$3:$H$3000,U433,Однолинейка!$A$3:$A$3000,Щит_спец)),IF(A433="Аппарат",IF(C433="","",COUNTIFS(Однолинейка!$I$3:$I$3000,C433,Однолинейка!$A$3:$A$3000,Щит_спец)+COUNTIFS(Однолинейка!$J$3:$J$3000,C433,Однолинейка!$A$3:$A$3000,Щит_спец)+COUNTIFS(Однолинейка!$K$3:$K$3000,C433,Однолинейка!$A$3:$A$3000,Щит_спец)),IF(A433="Модуль",IF(C433="","",COUNTIFS(Однолинейка!$AW$3:$AW$3000,"?*",Однолинейка!$AI$3:$AI$3000,C433,Однолинейка!$A$3:$A$3000,Щит_спец)),IF(A433="Клемма",IF(C433="","",IF(C433=$S$7,SUMIFS(Однолинейка!$BW$3:$BW$3000,Однолинейка!$A$3:$A$3000,Щит_спец),IF(C433=$S$8,SUMIFS(Однолинейка!$BX$3:$BX$3000,Однолинейка!$A$3:$A$3000,Щит_спец),""))),""))))</f>
        <v/>
      </c>
      <c r="O433" s="74"/>
      <c r="P433" s="38" t="str">
        <f t="shared" si="54"/>
        <v/>
      </c>
      <c r="U433" s="38" t="str">
        <f t="shared" si="55"/>
        <v/>
      </c>
      <c r="V433" s="38" t="str">
        <f t="shared" si="56"/>
        <v/>
      </c>
      <c r="W433" s="38" t="str">
        <f>IF(AND(U433&lt;&gt;"",OR($S$4="(все)",B433=$S$4),IF($S$4="(все)",COUNTIF($U$4:U433,U433),COUNTIFS($U$4:U433,U433,$B$4:B433,B433))=1),MAX($W$3:W432)+1,"")</f>
        <v/>
      </c>
      <c r="X433" s="38" t="str">
        <f t="shared" si="57"/>
        <v/>
      </c>
      <c r="Y433" s="38" t="str">
        <f>IF(AND(A433="Аппарат",C433&lt;&gt;"",OR($S$5="(все)",B433=$S$5)),MAX($Y$3:Y432)+1,"")</f>
        <v/>
      </c>
      <c r="Z433" s="38" t="str">
        <f t="shared" si="58"/>
        <v/>
      </c>
      <c r="AA433" s="38" t="str">
        <f>IF(AND(A433="Модуль",C433&lt;&gt;"",OR($S$6="(все)",B433=$S$6)),MAX($AA$3:AA432)+1,"")</f>
        <v/>
      </c>
      <c r="AB433" s="38" t="str">
        <f t="shared" si="59"/>
        <v/>
      </c>
      <c r="AC433" s="38" t="str">
        <f>IF(OR(B433="",COUNTIF($B$4:B433,B433)&gt;1),"",MAX($AC$3:AC432)+1)</f>
        <v/>
      </c>
      <c r="AD433" s="38" t="str">
        <f t="shared" si="60"/>
        <v/>
      </c>
      <c r="AE433" s="38" t="str">
        <f t="shared" si="61"/>
        <v/>
      </c>
      <c r="AF433" s="38" t="str">
        <f t="shared" si="62"/>
        <v/>
      </c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38" t="str">
        <f>IF(OR(A434="Автомат",A434="Дифавтомат"),IF(W434="","",COUNTIFS(Однолинейка!$H$3:$H$3000,U434,Однолинейка!$A$3:$A$3000,Щит_спец)),IF(A434="Аппарат",IF(C434="","",COUNTIFS(Однолинейка!$I$3:$I$3000,C434,Однолинейка!$A$3:$A$3000,Щит_спец)+COUNTIFS(Однолинейка!$J$3:$J$3000,C434,Однолинейка!$A$3:$A$3000,Щит_спец)+COUNTIFS(Однолинейка!$K$3:$K$3000,C434,Однолинейка!$A$3:$A$3000,Щит_спец)),IF(A434="Модуль",IF(C434="","",COUNTIFS(Однолинейка!$AW$3:$AW$3000,"?*",Однолинейка!$AI$3:$AI$3000,C434,Однолинейка!$A$3:$A$3000,Щит_спец)),IF(A434="Клемма",IF(C434="","",IF(C434=$S$7,SUMIFS(Однолинейка!$BW$3:$BW$3000,Однолинейка!$A$3:$A$3000,Щит_спец),IF(C434=$S$8,SUMIFS(Однолинейка!$BX$3:$BX$3000,Однолинейка!$A$3:$A$3000,Щит_спец),""))),""))))</f>
        <v/>
      </c>
      <c r="O434" s="74"/>
      <c r="P434" s="38" t="str">
        <f t="shared" si="54"/>
        <v/>
      </c>
      <c r="U434" s="38" t="str">
        <f t="shared" si="55"/>
        <v/>
      </c>
      <c r="V434" s="38" t="str">
        <f t="shared" si="56"/>
        <v/>
      </c>
      <c r="W434" s="38" t="str">
        <f>IF(AND(U434&lt;&gt;"",OR($S$4="(все)",B434=$S$4),IF($S$4="(все)",COUNTIF($U$4:U434,U434),COUNTIFS($U$4:U434,U434,$B$4:B434,B434))=1),MAX($W$3:W433)+1,"")</f>
        <v/>
      </c>
      <c r="X434" s="38" t="str">
        <f t="shared" si="57"/>
        <v/>
      </c>
      <c r="Y434" s="38" t="str">
        <f>IF(AND(A434="Аппарат",C434&lt;&gt;"",OR($S$5="(все)",B434=$S$5)),MAX($Y$3:Y433)+1,"")</f>
        <v/>
      </c>
      <c r="Z434" s="38" t="str">
        <f t="shared" si="58"/>
        <v/>
      </c>
      <c r="AA434" s="38" t="str">
        <f>IF(AND(A434="Модуль",C434&lt;&gt;"",OR($S$6="(все)",B434=$S$6)),MAX($AA$3:AA433)+1,"")</f>
        <v/>
      </c>
      <c r="AB434" s="38" t="str">
        <f t="shared" si="59"/>
        <v/>
      </c>
      <c r="AC434" s="38" t="str">
        <f>IF(OR(B434="",COUNTIF($B$4:B434,B434)&gt;1),"",MAX($AC$3:AC433)+1)</f>
        <v/>
      </c>
      <c r="AD434" s="38" t="str">
        <f t="shared" si="60"/>
        <v/>
      </c>
      <c r="AE434" s="38" t="str">
        <f t="shared" si="61"/>
        <v/>
      </c>
      <c r="AF434" s="38" t="str">
        <f t="shared" si="62"/>
        <v/>
      </c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38" t="str">
        <f>IF(OR(A435="Автомат",A435="Дифавтомат"),IF(W435="","",COUNTIFS(Однолинейка!$H$3:$H$3000,U435,Однолинейка!$A$3:$A$3000,Щит_спец)),IF(A435="Аппарат",IF(C435="","",COUNTIFS(Однолинейка!$I$3:$I$3000,C435,Однолинейка!$A$3:$A$3000,Щит_спец)+COUNTIFS(Однолинейка!$J$3:$J$3000,C435,Однолинейка!$A$3:$A$3000,Щит_спец)+COUNTIFS(Однолинейка!$K$3:$K$3000,C435,Однолинейка!$A$3:$A$3000,Щит_спец)),IF(A435="Модуль",IF(C435="","",COUNTIFS(Однолинейка!$AW$3:$AW$3000,"?*",Однолинейка!$AI$3:$AI$3000,C435,Однолинейка!$A$3:$A$3000,Щит_спец)),IF(A435="Клемма",IF(C435="","",IF(C435=$S$7,SUMIFS(Однолинейка!$BW$3:$BW$3000,Однолинейка!$A$3:$A$3000,Щит_спец),IF(C435=$S$8,SUMIFS(Однолинейка!$BX$3:$BX$3000,Однолинейка!$A$3:$A$3000,Щит_спец),""))),""))))</f>
        <v/>
      </c>
      <c r="O435" s="74"/>
      <c r="P435" s="38" t="str">
        <f t="shared" si="54"/>
        <v/>
      </c>
      <c r="U435" s="38" t="str">
        <f t="shared" si="55"/>
        <v/>
      </c>
      <c r="V435" s="38" t="str">
        <f t="shared" si="56"/>
        <v/>
      </c>
      <c r="W435" s="38" t="str">
        <f>IF(AND(U435&lt;&gt;"",OR($S$4="(все)",B435=$S$4),IF($S$4="(все)",COUNTIF($U$4:U435,U435),COUNTIFS($U$4:U435,U435,$B$4:B435,B435))=1),MAX($W$3:W434)+1,"")</f>
        <v/>
      </c>
      <c r="X435" s="38" t="str">
        <f t="shared" si="57"/>
        <v/>
      </c>
      <c r="Y435" s="38" t="str">
        <f>IF(AND(A435="Аппарат",C435&lt;&gt;"",OR($S$5="(все)",B435=$S$5)),MAX($Y$3:Y434)+1,"")</f>
        <v/>
      </c>
      <c r="Z435" s="38" t="str">
        <f t="shared" si="58"/>
        <v/>
      </c>
      <c r="AA435" s="38" t="str">
        <f>IF(AND(A435="Модуль",C435&lt;&gt;"",OR($S$6="(все)",B435=$S$6)),MAX($AA$3:AA434)+1,"")</f>
        <v/>
      </c>
      <c r="AB435" s="38" t="str">
        <f t="shared" si="59"/>
        <v/>
      </c>
      <c r="AC435" s="38" t="str">
        <f>IF(OR(B435="",COUNTIF($B$4:B435,B435)&gt;1),"",MAX($AC$3:AC434)+1)</f>
        <v/>
      </c>
      <c r="AD435" s="38" t="str">
        <f t="shared" si="60"/>
        <v/>
      </c>
      <c r="AE435" s="38" t="str">
        <f t="shared" si="61"/>
        <v/>
      </c>
      <c r="AF435" s="38" t="str">
        <f t="shared" si="62"/>
        <v/>
      </c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38" t="str">
        <f>IF(OR(A436="Автомат",A436="Дифавтомат"),IF(W436="","",COUNTIFS(Однолинейка!$H$3:$H$3000,U436,Однолинейка!$A$3:$A$3000,Щит_спец)),IF(A436="Аппарат",IF(C436="","",COUNTIFS(Однолинейка!$I$3:$I$3000,C436,Однолинейка!$A$3:$A$3000,Щит_спец)+COUNTIFS(Однолинейка!$J$3:$J$3000,C436,Однолинейка!$A$3:$A$3000,Щит_спец)+COUNTIFS(Однолинейка!$K$3:$K$3000,C436,Однолинейка!$A$3:$A$3000,Щит_спец)),IF(A436="Модуль",IF(C436="","",COUNTIFS(Однолинейка!$AW$3:$AW$3000,"?*",Однолинейка!$AI$3:$AI$3000,C436,Однолинейка!$A$3:$A$3000,Щит_спец)),IF(A436="Клемма",IF(C436="","",IF(C436=$S$7,SUMIFS(Однолинейка!$BW$3:$BW$3000,Однолинейка!$A$3:$A$3000,Щит_спец),IF(C436=$S$8,SUMIFS(Однолинейка!$BX$3:$BX$3000,Однолинейка!$A$3:$A$3000,Щит_спец),""))),""))))</f>
        <v/>
      </c>
      <c r="O436" s="74"/>
      <c r="P436" s="38" t="str">
        <f t="shared" si="54"/>
        <v/>
      </c>
      <c r="U436" s="38" t="str">
        <f t="shared" si="55"/>
        <v/>
      </c>
      <c r="V436" s="38" t="str">
        <f t="shared" si="56"/>
        <v/>
      </c>
      <c r="W436" s="38" t="str">
        <f>IF(AND(U436&lt;&gt;"",OR($S$4="(все)",B436=$S$4),IF($S$4="(все)",COUNTIF($U$4:U436,U436),COUNTIFS($U$4:U436,U436,$B$4:B436,B436))=1),MAX($W$3:W435)+1,"")</f>
        <v/>
      </c>
      <c r="X436" s="38" t="str">
        <f t="shared" si="57"/>
        <v/>
      </c>
      <c r="Y436" s="38" t="str">
        <f>IF(AND(A436="Аппарат",C436&lt;&gt;"",OR($S$5="(все)",B436=$S$5)),MAX($Y$3:Y435)+1,"")</f>
        <v/>
      </c>
      <c r="Z436" s="38" t="str">
        <f t="shared" si="58"/>
        <v/>
      </c>
      <c r="AA436" s="38" t="str">
        <f>IF(AND(A436="Модуль",C436&lt;&gt;"",OR($S$6="(все)",B436=$S$6)),MAX($AA$3:AA435)+1,"")</f>
        <v/>
      </c>
      <c r="AB436" s="38" t="str">
        <f t="shared" si="59"/>
        <v/>
      </c>
      <c r="AC436" s="38" t="str">
        <f>IF(OR(B436="",COUNTIF($B$4:B436,B436)&gt;1),"",MAX($AC$3:AC435)+1)</f>
        <v/>
      </c>
      <c r="AD436" s="38" t="str">
        <f t="shared" si="60"/>
        <v/>
      </c>
      <c r="AE436" s="38" t="str">
        <f t="shared" si="61"/>
        <v/>
      </c>
      <c r="AF436" s="38" t="str">
        <f t="shared" si="62"/>
        <v/>
      </c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38" t="str">
        <f>IF(OR(A437="Автомат",A437="Дифавтомат"),IF(W437="","",COUNTIFS(Однолинейка!$H$3:$H$3000,U437,Однолинейка!$A$3:$A$3000,Щит_спец)),IF(A437="Аппарат",IF(C437="","",COUNTIFS(Однолинейка!$I$3:$I$3000,C437,Однолинейка!$A$3:$A$3000,Щит_спец)+COUNTIFS(Однолинейка!$J$3:$J$3000,C437,Однолинейка!$A$3:$A$3000,Щит_спец)+COUNTIFS(Однолинейка!$K$3:$K$3000,C437,Однолинейка!$A$3:$A$3000,Щит_спец)),IF(A437="Модуль",IF(C437="","",COUNTIFS(Однолинейка!$AW$3:$AW$3000,"?*",Однолинейка!$AI$3:$AI$3000,C437,Однолинейка!$A$3:$A$3000,Щит_спец)),IF(A437="Клемма",IF(C437="","",IF(C437=$S$7,SUMIFS(Однолинейка!$BW$3:$BW$3000,Однолинейка!$A$3:$A$3000,Щит_спец),IF(C437=$S$8,SUMIFS(Однолинейка!$BX$3:$BX$3000,Однолинейка!$A$3:$A$3000,Щит_спец),""))),""))))</f>
        <v/>
      </c>
      <c r="O437" s="74"/>
      <c r="P437" s="38" t="str">
        <f t="shared" si="54"/>
        <v/>
      </c>
      <c r="U437" s="38" t="str">
        <f t="shared" si="55"/>
        <v/>
      </c>
      <c r="V437" s="38" t="str">
        <f t="shared" si="56"/>
        <v/>
      </c>
      <c r="W437" s="38" t="str">
        <f>IF(AND(U437&lt;&gt;"",OR($S$4="(все)",B437=$S$4),IF($S$4="(все)",COUNTIF($U$4:U437,U437),COUNTIFS($U$4:U437,U437,$B$4:B437,B437))=1),MAX($W$3:W436)+1,"")</f>
        <v/>
      </c>
      <c r="X437" s="38" t="str">
        <f t="shared" si="57"/>
        <v/>
      </c>
      <c r="Y437" s="38" t="str">
        <f>IF(AND(A437="Аппарат",C437&lt;&gt;"",OR($S$5="(все)",B437=$S$5)),MAX($Y$3:Y436)+1,"")</f>
        <v/>
      </c>
      <c r="Z437" s="38" t="str">
        <f t="shared" si="58"/>
        <v/>
      </c>
      <c r="AA437" s="38" t="str">
        <f>IF(AND(A437="Модуль",C437&lt;&gt;"",OR($S$6="(все)",B437=$S$6)),MAX($AA$3:AA436)+1,"")</f>
        <v/>
      </c>
      <c r="AB437" s="38" t="str">
        <f t="shared" si="59"/>
        <v/>
      </c>
      <c r="AC437" s="38" t="str">
        <f>IF(OR(B437="",COUNTIF($B$4:B437,B437)&gt;1),"",MAX($AC$3:AC436)+1)</f>
        <v/>
      </c>
      <c r="AD437" s="38" t="str">
        <f t="shared" si="60"/>
        <v/>
      </c>
      <c r="AE437" s="38" t="str">
        <f t="shared" si="61"/>
        <v/>
      </c>
      <c r="AF437" s="38" t="str">
        <f t="shared" si="62"/>
        <v/>
      </c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38" t="str">
        <f>IF(OR(A438="Автомат",A438="Дифавтомат"),IF(W438="","",COUNTIFS(Однолинейка!$H$3:$H$3000,U438,Однолинейка!$A$3:$A$3000,Щит_спец)),IF(A438="Аппарат",IF(C438="","",COUNTIFS(Однолинейка!$I$3:$I$3000,C438,Однолинейка!$A$3:$A$3000,Щит_спец)+COUNTIFS(Однолинейка!$J$3:$J$3000,C438,Однолинейка!$A$3:$A$3000,Щит_спец)+COUNTIFS(Однолинейка!$K$3:$K$3000,C438,Однолинейка!$A$3:$A$3000,Щит_спец)),IF(A438="Модуль",IF(C438="","",COUNTIFS(Однолинейка!$AW$3:$AW$3000,"?*",Однолинейка!$AI$3:$AI$3000,C438,Однолинейка!$A$3:$A$3000,Щит_спец)),IF(A438="Клемма",IF(C438="","",IF(C438=$S$7,SUMIFS(Однолинейка!$BW$3:$BW$3000,Однолинейка!$A$3:$A$3000,Щит_спец),IF(C438=$S$8,SUMIFS(Однолинейка!$BX$3:$BX$3000,Однолинейка!$A$3:$A$3000,Щит_спец),""))),""))))</f>
        <v/>
      </c>
      <c r="O438" s="74"/>
      <c r="P438" s="38" t="str">
        <f t="shared" si="54"/>
        <v/>
      </c>
      <c r="U438" s="38" t="str">
        <f t="shared" si="55"/>
        <v/>
      </c>
      <c r="V438" s="38" t="str">
        <f t="shared" si="56"/>
        <v/>
      </c>
      <c r="W438" s="38" t="str">
        <f>IF(AND(U438&lt;&gt;"",OR($S$4="(все)",B438=$S$4),IF($S$4="(все)",COUNTIF($U$4:U438,U438),COUNTIFS($U$4:U438,U438,$B$4:B438,B438))=1),MAX($W$3:W437)+1,"")</f>
        <v/>
      </c>
      <c r="X438" s="38" t="str">
        <f t="shared" si="57"/>
        <v/>
      </c>
      <c r="Y438" s="38" t="str">
        <f>IF(AND(A438="Аппарат",C438&lt;&gt;"",OR($S$5="(все)",B438=$S$5)),MAX($Y$3:Y437)+1,"")</f>
        <v/>
      </c>
      <c r="Z438" s="38" t="str">
        <f t="shared" si="58"/>
        <v/>
      </c>
      <c r="AA438" s="38" t="str">
        <f>IF(AND(A438="Модуль",C438&lt;&gt;"",OR($S$6="(все)",B438=$S$6)),MAX($AA$3:AA437)+1,"")</f>
        <v/>
      </c>
      <c r="AB438" s="38" t="str">
        <f t="shared" si="59"/>
        <v/>
      </c>
      <c r="AC438" s="38" t="str">
        <f>IF(OR(B438="",COUNTIF($B$4:B438,B438)&gt;1),"",MAX($AC$3:AC437)+1)</f>
        <v/>
      </c>
      <c r="AD438" s="38" t="str">
        <f t="shared" si="60"/>
        <v/>
      </c>
      <c r="AE438" s="38" t="str">
        <f t="shared" si="61"/>
        <v/>
      </c>
      <c r="AF438" s="38" t="str">
        <f t="shared" si="62"/>
        <v/>
      </c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38" t="str">
        <f>IF(OR(A439="Автомат",A439="Дифавтомат"),IF(W439="","",COUNTIFS(Однолинейка!$H$3:$H$3000,U439,Однолинейка!$A$3:$A$3000,Щит_спец)),IF(A439="Аппарат",IF(C439="","",COUNTIFS(Однолинейка!$I$3:$I$3000,C439,Однолинейка!$A$3:$A$3000,Щит_спец)+COUNTIFS(Однолинейка!$J$3:$J$3000,C439,Однолинейка!$A$3:$A$3000,Щит_спец)+COUNTIFS(Однолинейка!$K$3:$K$3000,C439,Однолинейка!$A$3:$A$3000,Щит_спец)),IF(A439="Модуль",IF(C439="","",COUNTIFS(Однолинейка!$AW$3:$AW$3000,"?*",Однолинейка!$AI$3:$AI$3000,C439,Однолинейка!$A$3:$A$3000,Щит_спец)),IF(A439="Клемма",IF(C439="","",IF(C439=$S$7,SUMIFS(Однолинейка!$BW$3:$BW$3000,Однолинейка!$A$3:$A$3000,Щит_спец),IF(C439=$S$8,SUMIFS(Однолинейка!$BX$3:$BX$3000,Однолинейка!$A$3:$A$3000,Щит_спец),""))),""))))</f>
        <v/>
      </c>
      <c r="O439" s="74"/>
      <c r="P439" s="38" t="str">
        <f t="shared" si="54"/>
        <v/>
      </c>
      <c r="U439" s="38" t="str">
        <f t="shared" si="55"/>
        <v/>
      </c>
      <c r="V439" s="38" t="str">
        <f t="shared" si="56"/>
        <v/>
      </c>
      <c r="W439" s="38" t="str">
        <f>IF(AND(U439&lt;&gt;"",OR($S$4="(все)",B439=$S$4),IF($S$4="(все)",COUNTIF($U$4:U439,U439),COUNTIFS($U$4:U439,U439,$B$4:B439,B439))=1),MAX($W$3:W438)+1,"")</f>
        <v/>
      </c>
      <c r="X439" s="38" t="str">
        <f t="shared" si="57"/>
        <v/>
      </c>
      <c r="Y439" s="38" t="str">
        <f>IF(AND(A439="Аппарат",C439&lt;&gt;"",OR($S$5="(все)",B439=$S$5)),MAX($Y$3:Y438)+1,"")</f>
        <v/>
      </c>
      <c r="Z439" s="38" t="str">
        <f t="shared" si="58"/>
        <v/>
      </c>
      <c r="AA439" s="38" t="str">
        <f>IF(AND(A439="Модуль",C439&lt;&gt;"",OR($S$6="(все)",B439=$S$6)),MAX($AA$3:AA438)+1,"")</f>
        <v/>
      </c>
      <c r="AB439" s="38" t="str">
        <f t="shared" si="59"/>
        <v/>
      </c>
      <c r="AC439" s="38" t="str">
        <f>IF(OR(B439="",COUNTIF($B$4:B439,B439)&gt;1),"",MAX($AC$3:AC438)+1)</f>
        <v/>
      </c>
      <c r="AD439" s="38" t="str">
        <f t="shared" si="60"/>
        <v/>
      </c>
      <c r="AE439" s="38" t="str">
        <f t="shared" si="61"/>
        <v/>
      </c>
      <c r="AF439" s="38" t="str">
        <f t="shared" si="62"/>
        <v/>
      </c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38" t="str">
        <f>IF(OR(A440="Автомат",A440="Дифавтомат"),IF(W440="","",COUNTIFS(Однолинейка!$H$3:$H$3000,U440,Однолинейка!$A$3:$A$3000,Щит_спец)),IF(A440="Аппарат",IF(C440="","",COUNTIFS(Однолинейка!$I$3:$I$3000,C440,Однолинейка!$A$3:$A$3000,Щит_спец)+COUNTIFS(Однолинейка!$J$3:$J$3000,C440,Однолинейка!$A$3:$A$3000,Щит_спец)+COUNTIFS(Однолинейка!$K$3:$K$3000,C440,Однолинейка!$A$3:$A$3000,Щит_спец)),IF(A440="Модуль",IF(C440="","",COUNTIFS(Однолинейка!$AW$3:$AW$3000,"?*",Однолинейка!$AI$3:$AI$3000,C440,Однолинейка!$A$3:$A$3000,Щит_спец)),IF(A440="Клемма",IF(C440="","",IF(C440=$S$7,SUMIFS(Однолинейка!$BW$3:$BW$3000,Однолинейка!$A$3:$A$3000,Щит_спец),IF(C440=$S$8,SUMIFS(Однолинейка!$BX$3:$BX$3000,Однолинейка!$A$3:$A$3000,Щит_спец),""))),""))))</f>
        <v/>
      </c>
      <c r="O440" s="74"/>
      <c r="P440" s="38" t="str">
        <f t="shared" si="54"/>
        <v/>
      </c>
      <c r="U440" s="38" t="str">
        <f t="shared" si="55"/>
        <v/>
      </c>
      <c r="V440" s="38" t="str">
        <f t="shared" si="56"/>
        <v/>
      </c>
      <c r="W440" s="38" t="str">
        <f>IF(AND(U440&lt;&gt;"",OR($S$4="(все)",B440=$S$4),IF($S$4="(все)",COUNTIF($U$4:U440,U440),COUNTIFS($U$4:U440,U440,$B$4:B440,B440))=1),MAX($W$3:W439)+1,"")</f>
        <v/>
      </c>
      <c r="X440" s="38" t="str">
        <f t="shared" si="57"/>
        <v/>
      </c>
      <c r="Y440" s="38" t="str">
        <f>IF(AND(A440="Аппарат",C440&lt;&gt;"",OR($S$5="(все)",B440=$S$5)),MAX($Y$3:Y439)+1,"")</f>
        <v/>
      </c>
      <c r="Z440" s="38" t="str">
        <f t="shared" si="58"/>
        <v/>
      </c>
      <c r="AA440" s="38" t="str">
        <f>IF(AND(A440="Модуль",C440&lt;&gt;"",OR($S$6="(все)",B440=$S$6)),MAX($AA$3:AA439)+1,"")</f>
        <v/>
      </c>
      <c r="AB440" s="38" t="str">
        <f t="shared" si="59"/>
        <v/>
      </c>
      <c r="AC440" s="38" t="str">
        <f>IF(OR(B440="",COUNTIF($B$4:B440,B440)&gt;1),"",MAX($AC$3:AC439)+1)</f>
        <v/>
      </c>
      <c r="AD440" s="38" t="str">
        <f t="shared" si="60"/>
        <v/>
      </c>
      <c r="AE440" s="38" t="str">
        <f t="shared" si="61"/>
        <v/>
      </c>
      <c r="AF440" s="38" t="str">
        <f t="shared" si="62"/>
        <v/>
      </c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38" t="str">
        <f>IF(OR(A441="Автомат",A441="Дифавтомат"),IF(W441="","",COUNTIFS(Однолинейка!$H$3:$H$3000,U441,Однолинейка!$A$3:$A$3000,Щит_спец)),IF(A441="Аппарат",IF(C441="","",COUNTIFS(Однолинейка!$I$3:$I$3000,C441,Однолинейка!$A$3:$A$3000,Щит_спец)+COUNTIFS(Однолинейка!$J$3:$J$3000,C441,Однолинейка!$A$3:$A$3000,Щит_спец)+COUNTIFS(Однолинейка!$K$3:$K$3000,C441,Однолинейка!$A$3:$A$3000,Щит_спец)),IF(A441="Модуль",IF(C441="","",COUNTIFS(Однолинейка!$AW$3:$AW$3000,"?*",Однолинейка!$AI$3:$AI$3000,C441,Однолинейка!$A$3:$A$3000,Щит_спец)),IF(A441="Клемма",IF(C441="","",IF(C441=$S$7,SUMIFS(Однолинейка!$BW$3:$BW$3000,Однолинейка!$A$3:$A$3000,Щит_спец),IF(C441=$S$8,SUMIFS(Однолинейка!$BX$3:$BX$3000,Однолинейка!$A$3:$A$3000,Щит_спец),""))),""))))</f>
        <v/>
      </c>
      <c r="O441" s="74"/>
      <c r="P441" s="38" t="str">
        <f t="shared" si="54"/>
        <v/>
      </c>
      <c r="U441" s="38" t="str">
        <f t="shared" si="55"/>
        <v/>
      </c>
      <c r="V441" s="38" t="str">
        <f t="shared" si="56"/>
        <v/>
      </c>
      <c r="W441" s="38" t="str">
        <f>IF(AND(U441&lt;&gt;"",OR($S$4="(все)",B441=$S$4),IF($S$4="(все)",COUNTIF($U$4:U441,U441),COUNTIFS($U$4:U441,U441,$B$4:B441,B441))=1),MAX($W$3:W440)+1,"")</f>
        <v/>
      </c>
      <c r="X441" s="38" t="str">
        <f t="shared" si="57"/>
        <v/>
      </c>
      <c r="Y441" s="38" t="str">
        <f>IF(AND(A441="Аппарат",C441&lt;&gt;"",OR($S$5="(все)",B441=$S$5)),MAX($Y$3:Y440)+1,"")</f>
        <v/>
      </c>
      <c r="Z441" s="38" t="str">
        <f t="shared" si="58"/>
        <v/>
      </c>
      <c r="AA441" s="38" t="str">
        <f>IF(AND(A441="Модуль",C441&lt;&gt;"",OR($S$6="(все)",B441=$S$6)),MAX($AA$3:AA440)+1,"")</f>
        <v/>
      </c>
      <c r="AB441" s="38" t="str">
        <f t="shared" si="59"/>
        <v/>
      </c>
      <c r="AC441" s="38" t="str">
        <f>IF(OR(B441="",COUNTIF($B$4:B441,B441)&gt;1),"",MAX($AC$3:AC440)+1)</f>
        <v/>
      </c>
      <c r="AD441" s="38" t="str">
        <f t="shared" si="60"/>
        <v/>
      </c>
      <c r="AE441" s="38" t="str">
        <f t="shared" si="61"/>
        <v/>
      </c>
      <c r="AF441" s="38" t="str">
        <f t="shared" si="62"/>
        <v/>
      </c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38" t="str">
        <f>IF(OR(A442="Автомат",A442="Дифавтомат"),IF(W442="","",COUNTIFS(Однолинейка!$H$3:$H$3000,U442,Однолинейка!$A$3:$A$3000,Щит_спец)),IF(A442="Аппарат",IF(C442="","",COUNTIFS(Однолинейка!$I$3:$I$3000,C442,Однолинейка!$A$3:$A$3000,Щит_спец)+COUNTIFS(Однолинейка!$J$3:$J$3000,C442,Однолинейка!$A$3:$A$3000,Щит_спец)+COUNTIFS(Однолинейка!$K$3:$K$3000,C442,Однолинейка!$A$3:$A$3000,Щит_спец)),IF(A442="Модуль",IF(C442="","",COUNTIFS(Однолинейка!$AW$3:$AW$3000,"?*",Однолинейка!$AI$3:$AI$3000,C442,Однолинейка!$A$3:$A$3000,Щит_спец)),IF(A442="Клемма",IF(C442="","",IF(C442=$S$7,SUMIFS(Однолинейка!$BW$3:$BW$3000,Однолинейка!$A$3:$A$3000,Щит_спец),IF(C442=$S$8,SUMIFS(Однолинейка!$BX$3:$BX$3000,Однолинейка!$A$3:$A$3000,Щит_спец),""))),""))))</f>
        <v/>
      </c>
      <c r="O442" s="74"/>
      <c r="P442" s="38" t="str">
        <f t="shared" si="54"/>
        <v/>
      </c>
      <c r="U442" s="38" t="str">
        <f t="shared" si="55"/>
        <v/>
      </c>
      <c r="V442" s="38" t="str">
        <f t="shared" si="56"/>
        <v/>
      </c>
      <c r="W442" s="38" t="str">
        <f>IF(AND(U442&lt;&gt;"",OR($S$4="(все)",B442=$S$4),IF($S$4="(все)",COUNTIF($U$4:U442,U442),COUNTIFS($U$4:U442,U442,$B$4:B442,B442))=1),MAX($W$3:W441)+1,"")</f>
        <v/>
      </c>
      <c r="X442" s="38" t="str">
        <f t="shared" si="57"/>
        <v/>
      </c>
      <c r="Y442" s="38" t="str">
        <f>IF(AND(A442="Аппарат",C442&lt;&gt;"",OR($S$5="(все)",B442=$S$5)),MAX($Y$3:Y441)+1,"")</f>
        <v/>
      </c>
      <c r="Z442" s="38" t="str">
        <f t="shared" si="58"/>
        <v/>
      </c>
      <c r="AA442" s="38" t="str">
        <f>IF(AND(A442="Модуль",C442&lt;&gt;"",OR($S$6="(все)",B442=$S$6)),MAX($AA$3:AA441)+1,"")</f>
        <v/>
      </c>
      <c r="AB442" s="38" t="str">
        <f t="shared" si="59"/>
        <v/>
      </c>
      <c r="AC442" s="38" t="str">
        <f>IF(OR(B442="",COUNTIF($B$4:B442,B442)&gt;1),"",MAX($AC$3:AC441)+1)</f>
        <v/>
      </c>
      <c r="AD442" s="38" t="str">
        <f t="shared" si="60"/>
        <v/>
      </c>
      <c r="AE442" s="38" t="str">
        <f t="shared" si="61"/>
        <v/>
      </c>
      <c r="AF442" s="38" t="str">
        <f t="shared" si="62"/>
        <v/>
      </c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38" t="str">
        <f>IF(OR(A443="Автомат",A443="Дифавтомат"),IF(W443="","",COUNTIFS(Однолинейка!$H$3:$H$3000,U443,Однолинейка!$A$3:$A$3000,Щит_спец)),IF(A443="Аппарат",IF(C443="","",COUNTIFS(Однолинейка!$I$3:$I$3000,C443,Однолинейка!$A$3:$A$3000,Щит_спец)+COUNTIFS(Однолинейка!$J$3:$J$3000,C443,Однолинейка!$A$3:$A$3000,Щит_спец)+COUNTIFS(Однолинейка!$K$3:$K$3000,C443,Однолинейка!$A$3:$A$3000,Щит_спец)),IF(A443="Модуль",IF(C443="","",COUNTIFS(Однолинейка!$AW$3:$AW$3000,"?*",Однолинейка!$AI$3:$AI$3000,C443,Однолинейка!$A$3:$A$3000,Щит_спец)),IF(A443="Клемма",IF(C443="","",IF(C443=$S$7,SUMIFS(Однолинейка!$BW$3:$BW$3000,Однолинейка!$A$3:$A$3000,Щит_спец),IF(C443=$S$8,SUMIFS(Однолинейка!$BX$3:$BX$3000,Однолинейка!$A$3:$A$3000,Щит_спец),""))),""))))</f>
        <v/>
      </c>
      <c r="O443" s="74"/>
      <c r="P443" s="38" t="str">
        <f t="shared" si="54"/>
        <v/>
      </c>
      <c r="U443" s="38" t="str">
        <f t="shared" si="55"/>
        <v/>
      </c>
      <c r="V443" s="38" t="str">
        <f t="shared" si="56"/>
        <v/>
      </c>
      <c r="W443" s="38" t="str">
        <f>IF(AND(U443&lt;&gt;"",OR($S$4="(все)",B443=$S$4),IF($S$4="(все)",COUNTIF($U$4:U443,U443),COUNTIFS($U$4:U443,U443,$B$4:B443,B443))=1),MAX($W$3:W442)+1,"")</f>
        <v/>
      </c>
      <c r="X443" s="38" t="str">
        <f t="shared" si="57"/>
        <v/>
      </c>
      <c r="Y443" s="38" t="str">
        <f>IF(AND(A443="Аппарат",C443&lt;&gt;"",OR($S$5="(все)",B443=$S$5)),MAX($Y$3:Y442)+1,"")</f>
        <v/>
      </c>
      <c r="Z443" s="38" t="str">
        <f t="shared" si="58"/>
        <v/>
      </c>
      <c r="AA443" s="38" t="str">
        <f>IF(AND(A443="Модуль",C443&lt;&gt;"",OR($S$6="(все)",B443=$S$6)),MAX($AA$3:AA442)+1,"")</f>
        <v/>
      </c>
      <c r="AB443" s="38" t="str">
        <f t="shared" si="59"/>
        <v/>
      </c>
      <c r="AC443" s="38" t="str">
        <f>IF(OR(B443="",COUNTIF($B$4:B443,B443)&gt;1),"",MAX($AC$3:AC442)+1)</f>
        <v/>
      </c>
      <c r="AD443" s="38" t="str">
        <f t="shared" si="60"/>
        <v/>
      </c>
      <c r="AE443" s="38" t="str">
        <f t="shared" si="61"/>
        <v/>
      </c>
      <c r="AF443" s="38" t="str">
        <f t="shared" si="62"/>
        <v/>
      </c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38" t="str">
        <f>IF(OR(A444="Автомат",A444="Дифавтомат"),IF(W444="","",COUNTIFS(Однолинейка!$H$3:$H$3000,U444,Однолинейка!$A$3:$A$3000,Щит_спец)),IF(A444="Аппарат",IF(C444="","",COUNTIFS(Однолинейка!$I$3:$I$3000,C444,Однолинейка!$A$3:$A$3000,Щит_спец)+COUNTIFS(Однолинейка!$J$3:$J$3000,C444,Однолинейка!$A$3:$A$3000,Щит_спец)+COUNTIFS(Однолинейка!$K$3:$K$3000,C444,Однолинейка!$A$3:$A$3000,Щит_спец)),IF(A444="Модуль",IF(C444="","",COUNTIFS(Однолинейка!$AW$3:$AW$3000,"?*",Однолинейка!$AI$3:$AI$3000,C444,Однолинейка!$A$3:$A$3000,Щит_спец)),IF(A444="Клемма",IF(C444="","",IF(C444=$S$7,SUMIFS(Однолинейка!$BW$3:$BW$3000,Однолинейка!$A$3:$A$3000,Щит_спец),IF(C444=$S$8,SUMIFS(Однолинейка!$BX$3:$BX$3000,Однолинейка!$A$3:$A$3000,Щит_спец),""))),""))))</f>
        <v/>
      </c>
      <c r="O444" s="74"/>
      <c r="P444" s="38" t="str">
        <f t="shared" si="54"/>
        <v/>
      </c>
      <c r="U444" s="38" t="str">
        <f t="shared" si="55"/>
        <v/>
      </c>
      <c r="V444" s="38" t="str">
        <f t="shared" si="56"/>
        <v/>
      </c>
      <c r="W444" s="38" t="str">
        <f>IF(AND(U444&lt;&gt;"",OR($S$4="(все)",B444=$S$4),IF($S$4="(все)",COUNTIF($U$4:U444,U444),COUNTIFS($U$4:U444,U444,$B$4:B444,B444))=1),MAX($W$3:W443)+1,"")</f>
        <v/>
      </c>
      <c r="X444" s="38" t="str">
        <f t="shared" si="57"/>
        <v/>
      </c>
      <c r="Y444" s="38" t="str">
        <f>IF(AND(A444="Аппарат",C444&lt;&gt;"",OR($S$5="(все)",B444=$S$5)),MAX($Y$3:Y443)+1,"")</f>
        <v/>
      </c>
      <c r="Z444" s="38" t="str">
        <f t="shared" si="58"/>
        <v/>
      </c>
      <c r="AA444" s="38" t="str">
        <f>IF(AND(A444="Модуль",C444&lt;&gt;"",OR($S$6="(все)",B444=$S$6)),MAX($AA$3:AA443)+1,"")</f>
        <v/>
      </c>
      <c r="AB444" s="38" t="str">
        <f t="shared" si="59"/>
        <v/>
      </c>
      <c r="AC444" s="38" t="str">
        <f>IF(OR(B444="",COUNTIF($B$4:B444,B444)&gt;1),"",MAX($AC$3:AC443)+1)</f>
        <v/>
      </c>
      <c r="AD444" s="38" t="str">
        <f t="shared" si="60"/>
        <v/>
      </c>
      <c r="AE444" s="38" t="str">
        <f t="shared" si="61"/>
        <v/>
      </c>
      <c r="AF444" s="38" t="str">
        <f t="shared" si="62"/>
        <v/>
      </c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38" t="str">
        <f>IF(OR(A445="Автомат",A445="Дифавтомат"),IF(W445="","",COUNTIFS(Однолинейка!$H$3:$H$3000,U445,Однолинейка!$A$3:$A$3000,Щит_спец)),IF(A445="Аппарат",IF(C445="","",COUNTIFS(Однолинейка!$I$3:$I$3000,C445,Однолинейка!$A$3:$A$3000,Щит_спец)+COUNTIFS(Однолинейка!$J$3:$J$3000,C445,Однолинейка!$A$3:$A$3000,Щит_спец)+COUNTIFS(Однолинейка!$K$3:$K$3000,C445,Однолинейка!$A$3:$A$3000,Щит_спец)),IF(A445="Модуль",IF(C445="","",COUNTIFS(Однолинейка!$AW$3:$AW$3000,"?*",Однолинейка!$AI$3:$AI$3000,C445,Однолинейка!$A$3:$A$3000,Щит_спец)),IF(A445="Клемма",IF(C445="","",IF(C445=$S$7,SUMIFS(Однолинейка!$BW$3:$BW$3000,Однолинейка!$A$3:$A$3000,Щит_спец),IF(C445=$S$8,SUMIFS(Однолинейка!$BX$3:$BX$3000,Однолинейка!$A$3:$A$3000,Щит_спец),""))),""))))</f>
        <v/>
      </c>
      <c r="O445" s="74"/>
      <c r="P445" s="38" t="str">
        <f t="shared" si="54"/>
        <v/>
      </c>
      <c r="U445" s="38" t="str">
        <f t="shared" si="55"/>
        <v/>
      </c>
      <c r="V445" s="38" t="str">
        <f t="shared" si="56"/>
        <v/>
      </c>
      <c r="W445" s="38" t="str">
        <f>IF(AND(U445&lt;&gt;"",OR($S$4="(все)",B445=$S$4),IF($S$4="(все)",COUNTIF($U$4:U445,U445),COUNTIFS($U$4:U445,U445,$B$4:B445,B445))=1),MAX($W$3:W444)+1,"")</f>
        <v/>
      </c>
      <c r="X445" s="38" t="str">
        <f t="shared" si="57"/>
        <v/>
      </c>
      <c r="Y445" s="38" t="str">
        <f>IF(AND(A445="Аппарат",C445&lt;&gt;"",OR($S$5="(все)",B445=$S$5)),MAX($Y$3:Y444)+1,"")</f>
        <v/>
      </c>
      <c r="Z445" s="38" t="str">
        <f t="shared" si="58"/>
        <v/>
      </c>
      <c r="AA445" s="38" t="str">
        <f>IF(AND(A445="Модуль",C445&lt;&gt;"",OR($S$6="(все)",B445=$S$6)),MAX($AA$3:AA444)+1,"")</f>
        <v/>
      </c>
      <c r="AB445" s="38" t="str">
        <f t="shared" si="59"/>
        <v/>
      </c>
      <c r="AC445" s="38" t="str">
        <f>IF(OR(B445="",COUNTIF($B$4:B445,B445)&gt;1),"",MAX($AC$3:AC444)+1)</f>
        <v/>
      </c>
      <c r="AD445" s="38" t="str">
        <f t="shared" si="60"/>
        <v/>
      </c>
      <c r="AE445" s="38" t="str">
        <f t="shared" si="61"/>
        <v/>
      </c>
      <c r="AF445" s="38" t="str">
        <f t="shared" si="62"/>
        <v/>
      </c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38" t="str">
        <f>IF(OR(A446="Автомат",A446="Дифавтомат"),IF(W446="","",COUNTIFS(Однолинейка!$H$3:$H$3000,U446,Однолинейка!$A$3:$A$3000,Щит_спец)),IF(A446="Аппарат",IF(C446="","",COUNTIFS(Однолинейка!$I$3:$I$3000,C446,Однолинейка!$A$3:$A$3000,Щит_спец)+COUNTIFS(Однолинейка!$J$3:$J$3000,C446,Однолинейка!$A$3:$A$3000,Щит_спец)+COUNTIFS(Однолинейка!$K$3:$K$3000,C446,Однолинейка!$A$3:$A$3000,Щит_спец)),IF(A446="Модуль",IF(C446="","",COUNTIFS(Однолинейка!$AW$3:$AW$3000,"?*",Однолинейка!$AI$3:$AI$3000,C446,Однолинейка!$A$3:$A$3000,Щит_спец)),IF(A446="Клемма",IF(C446="","",IF(C446=$S$7,SUMIFS(Однолинейка!$BW$3:$BW$3000,Однолинейка!$A$3:$A$3000,Щит_спец),IF(C446=$S$8,SUMIFS(Однолинейка!$BX$3:$BX$3000,Однолинейка!$A$3:$A$3000,Щит_спец),""))),""))))</f>
        <v/>
      </c>
      <c r="O446" s="74"/>
      <c r="P446" s="38" t="str">
        <f t="shared" si="54"/>
        <v/>
      </c>
      <c r="U446" s="38" t="str">
        <f t="shared" si="55"/>
        <v/>
      </c>
      <c r="V446" s="38" t="str">
        <f t="shared" si="56"/>
        <v/>
      </c>
      <c r="W446" s="38" t="str">
        <f>IF(AND(U446&lt;&gt;"",OR($S$4="(все)",B446=$S$4),IF($S$4="(все)",COUNTIF($U$4:U446,U446),COUNTIFS($U$4:U446,U446,$B$4:B446,B446))=1),MAX($W$3:W445)+1,"")</f>
        <v/>
      </c>
      <c r="X446" s="38" t="str">
        <f t="shared" si="57"/>
        <v/>
      </c>
      <c r="Y446" s="38" t="str">
        <f>IF(AND(A446="Аппарат",C446&lt;&gt;"",OR($S$5="(все)",B446=$S$5)),MAX($Y$3:Y445)+1,"")</f>
        <v/>
      </c>
      <c r="Z446" s="38" t="str">
        <f t="shared" si="58"/>
        <v/>
      </c>
      <c r="AA446" s="38" t="str">
        <f>IF(AND(A446="Модуль",C446&lt;&gt;"",OR($S$6="(все)",B446=$S$6)),MAX($AA$3:AA445)+1,"")</f>
        <v/>
      </c>
      <c r="AB446" s="38" t="str">
        <f t="shared" si="59"/>
        <v/>
      </c>
      <c r="AC446" s="38" t="str">
        <f>IF(OR(B446="",COUNTIF($B$4:B446,B446)&gt;1),"",MAX($AC$3:AC445)+1)</f>
        <v/>
      </c>
      <c r="AD446" s="38" t="str">
        <f t="shared" si="60"/>
        <v/>
      </c>
      <c r="AE446" s="38" t="str">
        <f t="shared" si="61"/>
        <v/>
      </c>
      <c r="AF446" s="38" t="str">
        <f t="shared" si="62"/>
        <v/>
      </c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38" t="str">
        <f>IF(OR(A447="Автомат",A447="Дифавтомат"),IF(W447="","",COUNTIFS(Однолинейка!$H$3:$H$3000,U447,Однолинейка!$A$3:$A$3000,Щит_спец)),IF(A447="Аппарат",IF(C447="","",COUNTIFS(Однолинейка!$I$3:$I$3000,C447,Однолинейка!$A$3:$A$3000,Щит_спец)+COUNTIFS(Однолинейка!$J$3:$J$3000,C447,Однолинейка!$A$3:$A$3000,Щит_спец)+COUNTIFS(Однолинейка!$K$3:$K$3000,C447,Однолинейка!$A$3:$A$3000,Щит_спец)),IF(A447="Модуль",IF(C447="","",COUNTIFS(Однолинейка!$AW$3:$AW$3000,"?*",Однолинейка!$AI$3:$AI$3000,C447,Однолинейка!$A$3:$A$3000,Щит_спец)),IF(A447="Клемма",IF(C447="","",IF(C447=$S$7,SUMIFS(Однолинейка!$BW$3:$BW$3000,Однолинейка!$A$3:$A$3000,Щит_спец),IF(C447=$S$8,SUMIFS(Однолинейка!$BX$3:$BX$3000,Однолинейка!$A$3:$A$3000,Щит_спец),""))),""))))</f>
        <v/>
      </c>
      <c r="O447" s="74"/>
      <c r="P447" s="38" t="str">
        <f t="shared" si="54"/>
        <v/>
      </c>
      <c r="U447" s="38" t="str">
        <f t="shared" si="55"/>
        <v/>
      </c>
      <c r="V447" s="38" t="str">
        <f t="shared" si="56"/>
        <v/>
      </c>
      <c r="W447" s="38" t="str">
        <f>IF(AND(U447&lt;&gt;"",OR($S$4="(все)",B447=$S$4),IF($S$4="(все)",COUNTIF($U$4:U447,U447),COUNTIFS($U$4:U447,U447,$B$4:B447,B447))=1),MAX($W$3:W446)+1,"")</f>
        <v/>
      </c>
      <c r="X447" s="38" t="str">
        <f t="shared" si="57"/>
        <v/>
      </c>
      <c r="Y447" s="38" t="str">
        <f>IF(AND(A447="Аппарат",C447&lt;&gt;"",OR($S$5="(все)",B447=$S$5)),MAX($Y$3:Y446)+1,"")</f>
        <v/>
      </c>
      <c r="Z447" s="38" t="str">
        <f t="shared" si="58"/>
        <v/>
      </c>
      <c r="AA447" s="38" t="str">
        <f>IF(AND(A447="Модуль",C447&lt;&gt;"",OR($S$6="(все)",B447=$S$6)),MAX($AA$3:AA446)+1,"")</f>
        <v/>
      </c>
      <c r="AB447" s="38" t="str">
        <f t="shared" si="59"/>
        <v/>
      </c>
      <c r="AC447" s="38" t="str">
        <f>IF(OR(B447="",COUNTIF($B$4:B447,B447)&gt;1),"",MAX($AC$3:AC446)+1)</f>
        <v/>
      </c>
      <c r="AD447" s="38" t="str">
        <f t="shared" si="60"/>
        <v/>
      </c>
      <c r="AE447" s="38" t="str">
        <f t="shared" si="61"/>
        <v/>
      </c>
      <c r="AF447" s="38" t="str">
        <f t="shared" si="62"/>
        <v/>
      </c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38" t="str">
        <f>IF(OR(A448="Автомат",A448="Дифавтомат"),IF(W448="","",COUNTIFS(Однолинейка!$H$3:$H$3000,U448,Однолинейка!$A$3:$A$3000,Щит_спец)),IF(A448="Аппарат",IF(C448="","",COUNTIFS(Однолинейка!$I$3:$I$3000,C448,Однолинейка!$A$3:$A$3000,Щит_спец)+COUNTIFS(Однолинейка!$J$3:$J$3000,C448,Однолинейка!$A$3:$A$3000,Щит_спец)+COUNTIFS(Однолинейка!$K$3:$K$3000,C448,Однолинейка!$A$3:$A$3000,Щит_спец)),IF(A448="Модуль",IF(C448="","",COUNTIFS(Однолинейка!$AW$3:$AW$3000,"?*",Однолинейка!$AI$3:$AI$3000,C448,Однолинейка!$A$3:$A$3000,Щит_спец)),IF(A448="Клемма",IF(C448="","",IF(C448=$S$7,SUMIFS(Однолинейка!$BW$3:$BW$3000,Однолинейка!$A$3:$A$3000,Щит_спец),IF(C448=$S$8,SUMIFS(Однолинейка!$BX$3:$BX$3000,Однолинейка!$A$3:$A$3000,Щит_спец),""))),""))))</f>
        <v/>
      </c>
      <c r="O448" s="74"/>
      <c r="P448" s="38" t="str">
        <f t="shared" si="54"/>
        <v/>
      </c>
      <c r="U448" s="38" t="str">
        <f t="shared" si="55"/>
        <v/>
      </c>
      <c r="V448" s="38" t="str">
        <f t="shared" si="56"/>
        <v/>
      </c>
      <c r="W448" s="38" t="str">
        <f>IF(AND(U448&lt;&gt;"",OR($S$4="(все)",B448=$S$4),IF($S$4="(все)",COUNTIF($U$4:U448,U448),COUNTIFS($U$4:U448,U448,$B$4:B448,B448))=1),MAX($W$3:W447)+1,"")</f>
        <v/>
      </c>
      <c r="X448" s="38" t="str">
        <f t="shared" si="57"/>
        <v/>
      </c>
      <c r="Y448" s="38" t="str">
        <f>IF(AND(A448="Аппарат",C448&lt;&gt;"",OR($S$5="(все)",B448=$S$5)),MAX($Y$3:Y447)+1,"")</f>
        <v/>
      </c>
      <c r="Z448" s="38" t="str">
        <f t="shared" si="58"/>
        <v/>
      </c>
      <c r="AA448" s="38" t="str">
        <f>IF(AND(A448="Модуль",C448&lt;&gt;"",OR($S$6="(все)",B448=$S$6)),MAX($AA$3:AA447)+1,"")</f>
        <v/>
      </c>
      <c r="AB448" s="38" t="str">
        <f t="shared" si="59"/>
        <v/>
      </c>
      <c r="AC448" s="38" t="str">
        <f>IF(OR(B448="",COUNTIF($B$4:B448,B448)&gt;1),"",MAX($AC$3:AC447)+1)</f>
        <v/>
      </c>
      <c r="AD448" s="38" t="str">
        <f t="shared" si="60"/>
        <v/>
      </c>
      <c r="AE448" s="38" t="str">
        <f t="shared" si="61"/>
        <v/>
      </c>
      <c r="AF448" s="38" t="str">
        <f t="shared" si="62"/>
        <v/>
      </c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38" t="str">
        <f>IF(OR(A449="Автомат",A449="Дифавтомат"),IF(W449="","",COUNTIFS(Однолинейка!$H$3:$H$3000,U449,Однолинейка!$A$3:$A$3000,Щит_спец)),IF(A449="Аппарат",IF(C449="","",COUNTIFS(Однолинейка!$I$3:$I$3000,C449,Однолинейка!$A$3:$A$3000,Щит_спец)+COUNTIFS(Однолинейка!$J$3:$J$3000,C449,Однолинейка!$A$3:$A$3000,Щит_спец)+COUNTIFS(Однолинейка!$K$3:$K$3000,C449,Однолинейка!$A$3:$A$3000,Щит_спец)),IF(A449="Модуль",IF(C449="","",COUNTIFS(Однолинейка!$AW$3:$AW$3000,"?*",Однолинейка!$AI$3:$AI$3000,C449,Однолинейка!$A$3:$A$3000,Щит_спец)),IF(A449="Клемма",IF(C449="","",IF(C449=$S$7,SUMIFS(Однолинейка!$BW$3:$BW$3000,Однолинейка!$A$3:$A$3000,Щит_спец),IF(C449=$S$8,SUMIFS(Однолинейка!$BX$3:$BX$3000,Однолинейка!$A$3:$A$3000,Щит_спец),""))),""))))</f>
        <v/>
      </c>
      <c r="O449" s="74"/>
      <c r="P449" s="38" t="str">
        <f t="shared" si="54"/>
        <v/>
      </c>
      <c r="U449" s="38" t="str">
        <f t="shared" si="55"/>
        <v/>
      </c>
      <c r="V449" s="38" t="str">
        <f t="shared" si="56"/>
        <v/>
      </c>
      <c r="W449" s="38" t="str">
        <f>IF(AND(U449&lt;&gt;"",OR($S$4="(все)",B449=$S$4),IF($S$4="(все)",COUNTIF($U$4:U449,U449),COUNTIFS($U$4:U449,U449,$B$4:B449,B449))=1),MAX($W$3:W448)+1,"")</f>
        <v/>
      </c>
      <c r="X449" s="38" t="str">
        <f t="shared" si="57"/>
        <v/>
      </c>
      <c r="Y449" s="38" t="str">
        <f>IF(AND(A449="Аппарат",C449&lt;&gt;"",OR($S$5="(все)",B449=$S$5)),MAX($Y$3:Y448)+1,"")</f>
        <v/>
      </c>
      <c r="Z449" s="38" t="str">
        <f t="shared" si="58"/>
        <v/>
      </c>
      <c r="AA449" s="38" t="str">
        <f>IF(AND(A449="Модуль",C449&lt;&gt;"",OR($S$6="(все)",B449=$S$6)),MAX($AA$3:AA448)+1,"")</f>
        <v/>
      </c>
      <c r="AB449" s="38" t="str">
        <f t="shared" si="59"/>
        <v/>
      </c>
      <c r="AC449" s="38" t="str">
        <f>IF(OR(B449="",COUNTIF($B$4:B449,B449)&gt;1),"",MAX($AC$3:AC448)+1)</f>
        <v/>
      </c>
      <c r="AD449" s="38" t="str">
        <f t="shared" si="60"/>
        <v/>
      </c>
      <c r="AE449" s="38" t="str">
        <f t="shared" si="61"/>
        <v/>
      </c>
      <c r="AF449" s="38" t="str">
        <f t="shared" si="62"/>
        <v/>
      </c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38" t="str">
        <f>IF(OR(A450="Автомат",A450="Дифавтомат"),IF(W450="","",COUNTIFS(Однолинейка!$H$3:$H$3000,U450,Однолинейка!$A$3:$A$3000,Щит_спец)),IF(A450="Аппарат",IF(C450="","",COUNTIFS(Однолинейка!$I$3:$I$3000,C450,Однолинейка!$A$3:$A$3000,Щит_спец)+COUNTIFS(Однолинейка!$J$3:$J$3000,C450,Однолинейка!$A$3:$A$3000,Щит_спец)+COUNTIFS(Однолинейка!$K$3:$K$3000,C450,Однолинейка!$A$3:$A$3000,Щит_спец)),IF(A450="Модуль",IF(C450="","",COUNTIFS(Однолинейка!$AW$3:$AW$3000,"?*",Однолинейка!$AI$3:$AI$3000,C450,Однолинейка!$A$3:$A$3000,Щит_спец)),IF(A450="Клемма",IF(C450="","",IF(C450=$S$7,SUMIFS(Однолинейка!$BW$3:$BW$3000,Однолинейка!$A$3:$A$3000,Щит_спец),IF(C450=$S$8,SUMIFS(Однолинейка!$BX$3:$BX$3000,Однолинейка!$A$3:$A$3000,Щит_спец),""))),""))))</f>
        <v/>
      </c>
      <c r="O450" s="74"/>
      <c r="P450" s="38" t="str">
        <f t="shared" si="54"/>
        <v/>
      </c>
      <c r="U450" s="38" t="str">
        <f t="shared" si="55"/>
        <v/>
      </c>
      <c r="V450" s="38" t="str">
        <f t="shared" si="56"/>
        <v/>
      </c>
      <c r="W450" s="38" t="str">
        <f>IF(AND(U450&lt;&gt;"",OR($S$4="(все)",B450=$S$4),IF($S$4="(все)",COUNTIF($U$4:U450,U450),COUNTIFS($U$4:U450,U450,$B$4:B450,B450))=1),MAX($W$3:W449)+1,"")</f>
        <v/>
      </c>
      <c r="X450" s="38" t="str">
        <f t="shared" si="57"/>
        <v/>
      </c>
      <c r="Y450" s="38" t="str">
        <f>IF(AND(A450="Аппарат",C450&lt;&gt;"",OR($S$5="(все)",B450=$S$5)),MAX($Y$3:Y449)+1,"")</f>
        <v/>
      </c>
      <c r="Z450" s="38" t="str">
        <f t="shared" si="58"/>
        <v/>
      </c>
      <c r="AA450" s="38" t="str">
        <f>IF(AND(A450="Модуль",C450&lt;&gt;"",OR($S$6="(все)",B450=$S$6)),MAX($AA$3:AA449)+1,"")</f>
        <v/>
      </c>
      <c r="AB450" s="38" t="str">
        <f t="shared" si="59"/>
        <v/>
      </c>
      <c r="AC450" s="38" t="str">
        <f>IF(OR(B450="",COUNTIF($B$4:B450,B450)&gt;1),"",MAX($AC$3:AC449)+1)</f>
        <v/>
      </c>
      <c r="AD450" s="38" t="str">
        <f t="shared" si="60"/>
        <v/>
      </c>
      <c r="AE450" s="38" t="str">
        <f t="shared" si="61"/>
        <v/>
      </c>
      <c r="AF450" s="38" t="str">
        <f t="shared" si="62"/>
        <v/>
      </c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38" t="str">
        <f>IF(OR(A451="Автомат",A451="Дифавтомат"),IF(W451="","",COUNTIFS(Однолинейка!$H$3:$H$3000,U451,Однолинейка!$A$3:$A$3000,Щит_спец)),IF(A451="Аппарат",IF(C451="","",COUNTIFS(Однолинейка!$I$3:$I$3000,C451,Однолинейка!$A$3:$A$3000,Щит_спец)+COUNTIFS(Однолинейка!$J$3:$J$3000,C451,Однолинейка!$A$3:$A$3000,Щит_спец)+COUNTIFS(Однолинейка!$K$3:$K$3000,C451,Однолинейка!$A$3:$A$3000,Щит_спец)),IF(A451="Модуль",IF(C451="","",COUNTIFS(Однолинейка!$AW$3:$AW$3000,"?*",Однолинейка!$AI$3:$AI$3000,C451,Однолинейка!$A$3:$A$3000,Щит_спец)),IF(A451="Клемма",IF(C451="","",IF(C451=$S$7,SUMIFS(Однолинейка!$BW$3:$BW$3000,Однолинейка!$A$3:$A$3000,Щит_спец),IF(C451=$S$8,SUMIFS(Однолинейка!$BX$3:$BX$3000,Однолинейка!$A$3:$A$3000,Щит_спец),""))),""))))</f>
        <v/>
      </c>
      <c r="O451" s="74"/>
      <c r="P451" s="38" t="str">
        <f t="shared" si="54"/>
        <v/>
      </c>
      <c r="U451" s="38" t="str">
        <f t="shared" si="55"/>
        <v/>
      </c>
      <c r="V451" s="38" t="str">
        <f t="shared" si="56"/>
        <v/>
      </c>
      <c r="W451" s="38" t="str">
        <f>IF(AND(U451&lt;&gt;"",OR($S$4="(все)",B451=$S$4),IF($S$4="(все)",COUNTIF($U$4:U451,U451),COUNTIFS($U$4:U451,U451,$B$4:B451,B451))=1),MAX($W$3:W450)+1,"")</f>
        <v/>
      </c>
      <c r="X451" s="38" t="str">
        <f t="shared" si="57"/>
        <v/>
      </c>
      <c r="Y451" s="38" t="str">
        <f>IF(AND(A451="Аппарат",C451&lt;&gt;"",OR($S$5="(все)",B451=$S$5)),MAX($Y$3:Y450)+1,"")</f>
        <v/>
      </c>
      <c r="Z451" s="38" t="str">
        <f t="shared" si="58"/>
        <v/>
      </c>
      <c r="AA451" s="38" t="str">
        <f>IF(AND(A451="Модуль",C451&lt;&gt;"",OR($S$6="(все)",B451=$S$6)),MAX($AA$3:AA450)+1,"")</f>
        <v/>
      </c>
      <c r="AB451" s="38" t="str">
        <f t="shared" si="59"/>
        <v/>
      </c>
      <c r="AC451" s="38" t="str">
        <f>IF(OR(B451="",COUNTIF($B$4:B451,B451)&gt;1),"",MAX($AC$3:AC450)+1)</f>
        <v/>
      </c>
      <c r="AD451" s="38" t="str">
        <f t="shared" si="60"/>
        <v/>
      </c>
      <c r="AE451" s="38" t="str">
        <f t="shared" si="61"/>
        <v/>
      </c>
      <c r="AF451" s="38" t="str">
        <f t="shared" si="62"/>
        <v/>
      </c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38" t="str">
        <f>IF(OR(A452="Автомат",A452="Дифавтомат"),IF(W452="","",COUNTIFS(Однолинейка!$H$3:$H$3000,U452,Однолинейка!$A$3:$A$3000,Щит_спец)),IF(A452="Аппарат",IF(C452="","",COUNTIFS(Однолинейка!$I$3:$I$3000,C452,Однолинейка!$A$3:$A$3000,Щит_спец)+COUNTIFS(Однолинейка!$J$3:$J$3000,C452,Однолинейка!$A$3:$A$3000,Щит_спец)+COUNTIFS(Однолинейка!$K$3:$K$3000,C452,Однолинейка!$A$3:$A$3000,Щит_спец)),IF(A452="Модуль",IF(C452="","",COUNTIFS(Однолинейка!$AW$3:$AW$3000,"?*",Однолинейка!$AI$3:$AI$3000,C452,Однолинейка!$A$3:$A$3000,Щит_спец)),IF(A452="Клемма",IF(C452="","",IF(C452=$S$7,SUMIFS(Однолинейка!$BW$3:$BW$3000,Однолинейка!$A$3:$A$3000,Щит_спец),IF(C452=$S$8,SUMIFS(Однолинейка!$BX$3:$BX$3000,Однолинейка!$A$3:$A$3000,Щит_спец),""))),""))))</f>
        <v/>
      </c>
      <c r="O452" s="74"/>
      <c r="P452" s="38" t="str">
        <f t="shared" ref="P452:P500" si="63">IF(COUNT(N452,O452)=0,"",SUM(N452,O452))</f>
        <v/>
      </c>
      <c r="U452" s="38" t="str">
        <f t="shared" ref="U452:U500" si="64">IF(OR(A452="Автомат",A452="Дифавтомат"),I452&amp;" С"&amp;J452&amp;"А"&amp;IF(K452="да"," 30мА",IF(ISNUMBER(K452)," "&amp;K452&amp;"мА","")),"")</f>
        <v/>
      </c>
      <c r="V452" s="38" t="str">
        <f t="shared" ref="V452:V500" si="65">IF(U452="","",B452&amp;"|"&amp;U452)</f>
        <v/>
      </c>
      <c r="W452" s="38" t="str">
        <f>IF(AND(U452&lt;&gt;"",OR($S$4="(все)",B452=$S$4),IF($S$4="(все)",COUNTIF($U$4:U452,U452),COUNTIFS($U$4:U452,U452,$B$4:B452,B452))=1),MAX($W$3:W451)+1,"")</f>
        <v/>
      </c>
      <c r="X452" s="38" t="str">
        <f t="shared" ref="X452:X500" si="66">IFERROR(INDEX($U$4:$U$500,MATCH(ROW()-3,$W$4:$W$500,0)),"")</f>
        <v/>
      </c>
      <c r="Y452" s="38" t="str">
        <f>IF(AND(A452="Аппарат",C452&lt;&gt;"",OR($S$5="(все)",B452=$S$5)),MAX($Y$3:Y451)+1,"")</f>
        <v/>
      </c>
      <c r="Z452" s="38" t="str">
        <f t="shared" ref="Z452:Z500" si="67">IFERROR(INDEX($C$4:$C$500,MATCH(ROW()-3,$Y$4:$Y$500,0)),"")</f>
        <v/>
      </c>
      <c r="AA452" s="38" t="str">
        <f>IF(AND(A452="Модуль",C452&lt;&gt;"",OR($S$6="(все)",B452=$S$6)),MAX($AA$3:AA451)+1,"")</f>
        <v/>
      </c>
      <c r="AB452" s="38" t="str">
        <f t="shared" ref="AB452:AB500" si="68">IFERROR(INDEX($C$4:$C$500,MATCH(ROW()-3,$AA$4:$AA$500,0)),"")</f>
        <v/>
      </c>
      <c r="AC452" s="38" t="str">
        <f>IF(OR(B452="",COUNTIF($B$4:B452,B452)&gt;1),"",MAX($AC$3:AC451)+1)</f>
        <v/>
      </c>
      <c r="AD452" s="38" t="str">
        <f t="shared" ref="AD452:AD500" si="69">IFERROR(INDEX($B$4:$B$500,MATCH(ROW()-3,$AC$4:$AC$500,0)),"")</f>
        <v/>
      </c>
      <c r="AE452" s="38" t="str">
        <f t="shared" ref="AE452:AE500" si="70">IF(AND(A452&lt;&gt;"",N(P452)&gt;0),IFERROR(MATCH(A452,$R$12:$R$25,0),99)*1000+ROW(),"")</f>
        <v/>
      </c>
      <c r="AF452" s="38" t="str">
        <f t="shared" ref="AF452:AF500" si="71">IF(AE452="","",COUNTIF($AE$4:$AE$500,"&lt;="&amp;AE452))</f>
        <v/>
      </c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38" t="str">
        <f>IF(OR(A453="Автомат",A453="Дифавтомат"),IF(W453="","",COUNTIFS(Однолинейка!$H$3:$H$3000,U453,Однолинейка!$A$3:$A$3000,Щит_спец)),IF(A453="Аппарат",IF(C453="","",COUNTIFS(Однолинейка!$I$3:$I$3000,C453,Однолинейка!$A$3:$A$3000,Щит_спец)+COUNTIFS(Однолинейка!$J$3:$J$3000,C453,Однолинейка!$A$3:$A$3000,Щит_спец)+COUNTIFS(Однолинейка!$K$3:$K$3000,C453,Однолинейка!$A$3:$A$3000,Щит_спец)),IF(A453="Модуль",IF(C453="","",COUNTIFS(Однолинейка!$AW$3:$AW$3000,"?*",Однолинейка!$AI$3:$AI$3000,C453,Однолинейка!$A$3:$A$3000,Щит_спец)),IF(A453="Клемма",IF(C453="","",IF(C453=$S$7,SUMIFS(Однолинейка!$BW$3:$BW$3000,Однолинейка!$A$3:$A$3000,Щит_спец),IF(C453=$S$8,SUMIFS(Однолинейка!$BX$3:$BX$3000,Однолинейка!$A$3:$A$3000,Щит_спец),""))),""))))</f>
        <v/>
      </c>
      <c r="O453" s="74"/>
      <c r="P453" s="38" t="str">
        <f t="shared" si="63"/>
        <v/>
      </c>
      <c r="U453" s="38" t="str">
        <f t="shared" si="64"/>
        <v/>
      </c>
      <c r="V453" s="38" t="str">
        <f t="shared" si="65"/>
        <v/>
      </c>
      <c r="W453" s="38" t="str">
        <f>IF(AND(U453&lt;&gt;"",OR($S$4="(все)",B453=$S$4),IF($S$4="(все)",COUNTIF($U$4:U453,U453),COUNTIFS($U$4:U453,U453,$B$4:B453,B453))=1),MAX($W$3:W452)+1,"")</f>
        <v/>
      </c>
      <c r="X453" s="38" t="str">
        <f t="shared" si="66"/>
        <v/>
      </c>
      <c r="Y453" s="38" t="str">
        <f>IF(AND(A453="Аппарат",C453&lt;&gt;"",OR($S$5="(все)",B453=$S$5)),MAX($Y$3:Y452)+1,"")</f>
        <v/>
      </c>
      <c r="Z453" s="38" t="str">
        <f t="shared" si="67"/>
        <v/>
      </c>
      <c r="AA453" s="38" t="str">
        <f>IF(AND(A453="Модуль",C453&lt;&gt;"",OR($S$6="(все)",B453=$S$6)),MAX($AA$3:AA452)+1,"")</f>
        <v/>
      </c>
      <c r="AB453" s="38" t="str">
        <f t="shared" si="68"/>
        <v/>
      </c>
      <c r="AC453" s="38" t="str">
        <f>IF(OR(B453="",COUNTIF($B$4:B453,B453)&gt;1),"",MAX($AC$3:AC452)+1)</f>
        <v/>
      </c>
      <c r="AD453" s="38" t="str">
        <f t="shared" si="69"/>
        <v/>
      </c>
      <c r="AE453" s="38" t="str">
        <f t="shared" si="70"/>
        <v/>
      </c>
      <c r="AF453" s="38" t="str">
        <f t="shared" si="71"/>
        <v/>
      </c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38" t="str">
        <f>IF(OR(A454="Автомат",A454="Дифавтомат"),IF(W454="","",COUNTIFS(Однолинейка!$H$3:$H$3000,U454,Однолинейка!$A$3:$A$3000,Щит_спец)),IF(A454="Аппарат",IF(C454="","",COUNTIFS(Однолинейка!$I$3:$I$3000,C454,Однолинейка!$A$3:$A$3000,Щит_спец)+COUNTIFS(Однолинейка!$J$3:$J$3000,C454,Однолинейка!$A$3:$A$3000,Щит_спец)+COUNTIFS(Однолинейка!$K$3:$K$3000,C454,Однолинейка!$A$3:$A$3000,Щит_спец)),IF(A454="Модуль",IF(C454="","",COUNTIFS(Однолинейка!$AW$3:$AW$3000,"?*",Однолинейка!$AI$3:$AI$3000,C454,Однолинейка!$A$3:$A$3000,Щит_спец)),IF(A454="Клемма",IF(C454="","",IF(C454=$S$7,SUMIFS(Однолинейка!$BW$3:$BW$3000,Однолинейка!$A$3:$A$3000,Щит_спец),IF(C454=$S$8,SUMIFS(Однолинейка!$BX$3:$BX$3000,Однолинейка!$A$3:$A$3000,Щит_спец),""))),""))))</f>
        <v/>
      </c>
      <c r="O454" s="74"/>
      <c r="P454" s="38" t="str">
        <f t="shared" si="63"/>
        <v/>
      </c>
      <c r="U454" s="38" t="str">
        <f t="shared" si="64"/>
        <v/>
      </c>
      <c r="V454" s="38" t="str">
        <f t="shared" si="65"/>
        <v/>
      </c>
      <c r="W454" s="38" t="str">
        <f>IF(AND(U454&lt;&gt;"",OR($S$4="(все)",B454=$S$4),IF($S$4="(все)",COUNTIF($U$4:U454,U454),COUNTIFS($U$4:U454,U454,$B$4:B454,B454))=1),MAX($W$3:W453)+1,"")</f>
        <v/>
      </c>
      <c r="X454" s="38" t="str">
        <f t="shared" si="66"/>
        <v/>
      </c>
      <c r="Y454" s="38" t="str">
        <f>IF(AND(A454="Аппарат",C454&lt;&gt;"",OR($S$5="(все)",B454=$S$5)),MAX($Y$3:Y453)+1,"")</f>
        <v/>
      </c>
      <c r="Z454" s="38" t="str">
        <f t="shared" si="67"/>
        <v/>
      </c>
      <c r="AA454" s="38" t="str">
        <f>IF(AND(A454="Модуль",C454&lt;&gt;"",OR($S$6="(все)",B454=$S$6)),MAX($AA$3:AA453)+1,"")</f>
        <v/>
      </c>
      <c r="AB454" s="38" t="str">
        <f t="shared" si="68"/>
        <v/>
      </c>
      <c r="AC454" s="38" t="str">
        <f>IF(OR(B454="",COUNTIF($B$4:B454,B454)&gt;1),"",MAX($AC$3:AC453)+1)</f>
        <v/>
      </c>
      <c r="AD454" s="38" t="str">
        <f t="shared" si="69"/>
        <v/>
      </c>
      <c r="AE454" s="38" t="str">
        <f t="shared" si="70"/>
        <v/>
      </c>
      <c r="AF454" s="38" t="str">
        <f t="shared" si="71"/>
        <v/>
      </c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38" t="str">
        <f>IF(OR(A455="Автомат",A455="Дифавтомат"),IF(W455="","",COUNTIFS(Однолинейка!$H$3:$H$3000,U455,Однолинейка!$A$3:$A$3000,Щит_спец)),IF(A455="Аппарат",IF(C455="","",COUNTIFS(Однолинейка!$I$3:$I$3000,C455,Однолинейка!$A$3:$A$3000,Щит_спец)+COUNTIFS(Однолинейка!$J$3:$J$3000,C455,Однолинейка!$A$3:$A$3000,Щит_спец)+COUNTIFS(Однолинейка!$K$3:$K$3000,C455,Однолинейка!$A$3:$A$3000,Щит_спец)),IF(A455="Модуль",IF(C455="","",COUNTIFS(Однолинейка!$AW$3:$AW$3000,"?*",Однолинейка!$AI$3:$AI$3000,C455,Однолинейка!$A$3:$A$3000,Щит_спец)),IF(A455="Клемма",IF(C455="","",IF(C455=$S$7,SUMIFS(Однолинейка!$BW$3:$BW$3000,Однолинейка!$A$3:$A$3000,Щит_спец),IF(C455=$S$8,SUMIFS(Однолинейка!$BX$3:$BX$3000,Однолинейка!$A$3:$A$3000,Щит_спец),""))),""))))</f>
        <v/>
      </c>
      <c r="O455" s="74"/>
      <c r="P455" s="38" t="str">
        <f t="shared" si="63"/>
        <v/>
      </c>
      <c r="U455" s="38" t="str">
        <f t="shared" si="64"/>
        <v/>
      </c>
      <c r="V455" s="38" t="str">
        <f t="shared" si="65"/>
        <v/>
      </c>
      <c r="W455" s="38" t="str">
        <f>IF(AND(U455&lt;&gt;"",OR($S$4="(все)",B455=$S$4),IF($S$4="(все)",COUNTIF($U$4:U455,U455),COUNTIFS($U$4:U455,U455,$B$4:B455,B455))=1),MAX($W$3:W454)+1,"")</f>
        <v/>
      </c>
      <c r="X455" s="38" t="str">
        <f t="shared" si="66"/>
        <v/>
      </c>
      <c r="Y455" s="38" t="str">
        <f>IF(AND(A455="Аппарат",C455&lt;&gt;"",OR($S$5="(все)",B455=$S$5)),MAX($Y$3:Y454)+1,"")</f>
        <v/>
      </c>
      <c r="Z455" s="38" t="str">
        <f t="shared" si="67"/>
        <v/>
      </c>
      <c r="AA455" s="38" t="str">
        <f>IF(AND(A455="Модуль",C455&lt;&gt;"",OR($S$6="(все)",B455=$S$6)),MAX($AA$3:AA454)+1,"")</f>
        <v/>
      </c>
      <c r="AB455" s="38" t="str">
        <f t="shared" si="68"/>
        <v/>
      </c>
      <c r="AC455" s="38" t="str">
        <f>IF(OR(B455="",COUNTIF($B$4:B455,B455)&gt;1),"",MAX($AC$3:AC454)+1)</f>
        <v/>
      </c>
      <c r="AD455" s="38" t="str">
        <f t="shared" si="69"/>
        <v/>
      </c>
      <c r="AE455" s="38" t="str">
        <f t="shared" si="70"/>
        <v/>
      </c>
      <c r="AF455" s="38" t="str">
        <f t="shared" si="71"/>
        <v/>
      </c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38" t="str">
        <f>IF(OR(A456="Автомат",A456="Дифавтомат"),IF(W456="","",COUNTIFS(Однолинейка!$H$3:$H$3000,U456,Однолинейка!$A$3:$A$3000,Щит_спец)),IF(A456="Аппарат",IF(C456="","",COUNTIFS(Однолинейка!$I$3:$I$3000,C456,Однолинейка!$A$3:$A$3000,Щит_спец)+COUNTIFS(Однолинейка!$J$3:$J$3000,C456,Однолинейка!$A$3:$A$3000,Щит_спец)+COUNTIFS(Однолинейка!$K$3:$K$3000,C456,Однолинейка!$A$3:$A$3000,Щит_спец)),IF(A456="Модуль",IF(C456="","",COUNTIFS(Однолинейка!$AW$3:$AW$3000,"?*",Однолинейка!$AI$3:$AI$3000,C456,Однолинейка!$A$3:$A$3000,Щит_спец)),IF(A456="Клемма",IF(C456="","",IF(C456=$S$7,SUMIFS(Однолинейка!$BW$3:$BW$3000,Однолинейка!$A$3:$A$3000,Щит_спец),IF(C456=$S$8,SUMIFS(Однолинейка!$BX$3:$BX$3000,Однолинейка!$A$3:$A$3000,Щит_спец),""))),""))))</f>
        <v/>
      </c>
      <c r="O456" s="74"/>
      <c r="P456" s="38" t="str">
        <f t="shared" si="63"/>
        <v/>
      </c>
      <c r="U456" s="38" t="str">
        <f t="shared" si="64"/>
        <v/>
      </c>
      <c r="V456" s="38" t="str">
        <f t="shared" si="65"/>
        <v/>
      </c>
      <c r="W456" s="38" t="str">
        <f>IF(AND(U456&lt;&gt;"",OR($S$4="(все)",B456=$S$4),IF($S$4="(все)",COUNTIF($U$4:U456,U456),COUNTIFS($U$4:U456,U456,$B$4:B456,B456))=1),MAX($W$3:W455)+1,"")</f>
        <v/>
      </c>
      <c r="X456" s="38" t="str">
        <f t="shared" si="66"/>
        <v/>
      </c>
      <c r="Y456" s="38" t="str">
        <f>IF(AND(A456="Аппарат",C456&lt;&gt;"",OR($S$5="(все)",B456=$S$5)),MAX($Y$3:Y455)+1,"")</f>
        <v/>
      </c>
      <c r="Z456" s="38" t="str">
        <f t="shared" si="67"/>
        <v/>
      </c>
      <c r="AA456" s="38" t="str">
        <f>IF(AND(A456="Модуль",C456&lt;&gt;"",OR($S$6="(все)",B456=$S$6)),MAX($AA$3:AA455)+1,"")</f>
        <v/>
      </c>
      <c r="AB456" s="38" t="str">
        <f t="shared" si="68"/>
        <v/>
      </c>
      <c r="AC456" s="38" t="str">
        <f>IF(OR(B456="",COUNTIF($B$4:B456,B456)&gt;1),"",MAX($AC$3:AC455)+1)</f>
        <v/>
      </c>
      <c r="AD456" s="38" t="str">
        <f t="shared" si="69"/>
        <v/>
      </c>
      <c r="AE456" s="38" t="str">
        <f t="shared" si="70"/>
        <v/>
      </c>
      <c r="AF456" s="38" t="str">
        <f t="shared" si="71"/>
        <v/>
      </c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38" t="str">
        <f>IF(OR(A457="Автомат",A457="Дифавтомат"),IF(W457="","",COUNTIFS(Однолинейка!$H$3:$H$3000,U457,Однолинейка!$A$3:$A$3000,Щит_спец)),IF(A457="Аппарат",IF(C457="","",COUNTIFS(Однолинейка!$I$3:$I$3000,C457,Однолинейка!$A$3:$A$3000,Щит_спец)+COUNTIFS(Однолинейка!$J$3:$J$3000,C457,Однолинейка!$A$3:$A$3000,Щит_спец)+COUNTIFS(Однолинейка!$K$3:$K$3000,C457,Однолинейка!$A$3:$A$3000,Щит_спец)),IF(A457="Модуль",IF(C457="","",COUNTIFS(Однолинейка!$AW$3:$AW$3000,"?*",Однолинейка!$AI$3:$AI$3000,C457,Однолинейка!$A$3:$A$3000,Щит_спец)),IF(A457="Клемма",IF(C457="","",IF(C457=$S$7,SUMIFS(Однолинейка!$BW$3:$BW$3000,Однолинейка!$A$3:$A$3000,Щит_спец),IF(C457=$S$8,SUMIFS(Однолинейка!$BX$3:$BX$3000,Однолинейка!$A$3:$A$3000,Щит_спец),""))),""))))</f>
        <v/>
      </c>
      <c r="O457" s="74"/>
      <c r="P457" s="38" t="str">
        <f t="shared" si="63"/>
        <v/>
      </c>
      <c r="U457" s="38" t="str">
        <f t="shared" si="64"/>
        <v/>
      </c>
      <c r="V457" s="38" t="str">
        <f t="shared" si="65"/>
        <v/>
      </c>
      <c r="W457" s="38" t="str">
        <f>IF(AND(U457&lt;&gt;"",OR($S$4="(все)",B457=$S$4),IF($S$4="(все)",COUNTIF($U$4:U457,U457),COUNTIFS($U$4:U457,U457,$B$4:B457,B457))=1),MAX($W$3:W456)+1,"")</f>
        <v/>
      </c>
      <c r="X457" s="38" t="str">
        <f t="shared" si="66"/>
        <v/>
      </c>
      <c r="Y457" s="38" t="str">
        <f>IF(AND(A457="Аппарат",C457&lt;&gt;"",OR($S$5="(все)",B457=$S$5)),MAX($Y$3:Y456)+1,"")</f>
        <v/>
      </c>
      <c r="Z457" s="38" t="str">
        <f t="shared" si="67"/>
        <v/>
      </c>
      <c r="AA457" s="38" t="str">
        <f>IF(AND(A457="Модуль",C457&lt;&gt;"",OR($S$6="(все)",B457=$S$6)),MAX($AA$3:AA456)+1,"")</f>
        <v/>
      </c>
      <c r="AB457" s="38" t="str">
        <f t="shared" si="68"/>
        <v/>
      </c>
      <c r="AC457" s="38" t="str">
        <f>IF(OR(B457="",COUNTIF($B$4:B457,B457)&gt;1),"",MAX($AC$3:AC456)+1)</f>
        <v/>
      </c>
      <c r="AD457" s="38" t="str">
        <f t="shared" si="69"/>
        <v/>
      </c>
      <c r="AE457" s="38" t="str">
        <f t="shared" si="70"/>
        <v/>
      </c>
      <c r="AF457" s="38" t="str">
        <f t="shared" si="71"/>
        <v/>
      </c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38" t="str">
        <f>IF(OR(A458="Автомат",A458="Дифавтомат"),IF(W458="","",COUNTIFS(Однолинейка!$H$3:$H$3000,U458,Однолинейка!$A$3:$A$3000,Щит_спец)),IF(A458="Аппарат",IF(C458="","",COUNTIFS(Однолинейка!$I$3:$I$3000,C458,Однолинейка!$A$3:$A$3000,Щит_спец)+COUNTIFS(Однолинейка!$J$3:$J$3000,C458,Однолинейка!$A$3:$A$3000,Щит_спец)+COUNTIFS(Однолинейка!$K$3:$K$3000,C458,Однолинейка!$A$3:$A$3000,Щит_спец)),IF(A458="Модуль",IF(C458="","",COUNTIFS(Однолинейка!$AW$3:$AW$3000,"?*",Однолинейка!$AI$3:$AI$3000,C458,Однолинейка!$A$3:$A$3000,Щит_спец)),IF(A458="Клемма",IF(C458="","",IF(C458=$S$7,SUMIFS(Однолинейка!$BW$3:$BW$3000,Однолинейка!$A$3:$A$3000,Щит_спец),IF(C458=$S$8,SUMIFS(Однолинейка!$BX$3:$BX$3000,Однолинейка!$A$3:$A$3000,Щит_спец),""))),""))))</f>
        <v/>
      </c>
      <c r="O458" s="74"/>
      <c r="P458" s="38" t="str">
        <f t="shared" si="63"/>
        <v/>
      </c>
      <c r="U458" s="38" t="str">
        <f t="shared" si="64"/>
        <v/>
      </c>
      <c r="V458" s="38" t="str">
        <f t="shared" si="65"/>
        <v/>
      </c>
      <c r="W458" s="38" t="str">
        <f>IF(AND(U458&lt;&gt;"",OR($S$4="(все)",B458=$S$4),IF($S$4="(все)",COUNTIF($U$4:U458,U458),COUNTIFS($U$4:U458,U458,$B$4:B458,B458))=1),MAX($W$3:W457)+1,"")</f>
        <v/>
      </c>
      <c r="X458" s="38" t="str">
        <f t="shared" si="66"/>
        <v/>
      </c>
      <c r="Y458" s="38" t="str">
        <f>IF(AND(A458="Аппарат",C458&lt;&gt;"",OR($S$5="(все)",B458=$S$5)),MAX($Y$3:Y457)+1,"")</f>
        <v/>
      </c>
      <c r="Z458" s="38" t="str">
        <f t="shared" si="67"/>
        <v/>
      </c>
      <c r="AA458" s="38" t="str">
        <f>IF(AND(A458="Модуль",C458&lt;&gt;"",OR($S$6="(все)",B458=$S$6)),MAX($AA$3:AA457)+1,"")</f>
        <v/>
      </c>
      <c r="AB458" s="38" t="str">
        <f t="shared" si="68"/>
        <v/>
      </c>
      <c r="AC458" s="38" t="str">
        <f>IF(OR(B458="",COUNTIF($B$4:B458,B458)&gt;1),"",MAX($AC$3:AC457)+1)</f>
        <v/>
      </c>
      <c r="AD458" s="38" t="str">
        <f t="shared" si="69"/>
        <v/>
      </c>
      <c r="AE458" s="38" t="str">
        <f t="shared" si="70"/>
        <v/>
      </c>
      <c r="AF458" s="38" t="str">
        <f t="shared" si="71"/>
        <v/>
      </c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38" t="str">
        <f>IF(OR(A459="Автомат",A459="Дифавтомат"),IF(W459="","",COUNTIFS(Однолинейка!$H$3:$H$3000,U459,Однолинейка!$A$3:$A$3000,Щит_спец)),IF(A459="Аппарат",IF(C459="","",COUNTIFS(Однолинейка!$I$3:$I$3000,C459,Однолинейка!$A$3:$A$3000,Щит_спец)+COUNTIFS(Однолинейка!$J$3:$J$3000,C459,Однолинейка!$A$3:$A$3000,Щит_спец)+COUNTIFS(Однолинейка!$K$3:$K$3000,C459,Однолинейка!$A$3:$A$3000,Щит_спец)),IF(A459="Модуль",IF(C459="","",COUNTIFS(Однолинейка!$AW$3:$AW$3000,"?*",Однолинейка!$AI$3:$AI$3000,C459,Однолинейка!$A$3:$A$3000,Щит_спец)),IF(A459="Клемма",IF(C459="","",IF(C459=$S$7,SUMIFS(Однолинейка!$BW$3:$BW$3000,Однолинейка!$A$3:$A$3000,Щит_спец),IF(C459=$S$8,SUMIFS(Однолинейка!$BX$3:$BX$3000,Однолинейка!$A$3:$A$3000,Щит_спец),""))),""))))</f>
        <v/>
      </c>
      <c r="O459" s="74"/>
      <c r="P459" s="38" t="str">
        <f t="shared" si="63"/>
        <v/>
      </c>
      <c r="U459" s="38" t="str">
        <f t="shared" si="64"/>
        <v/>
      </c>
      <c r="V459" s="38" t="str">
        <f t="shared" si="65"/>
        <v/>
      </c>
      <c r="W459" s="38" t="str">
        <f>IF(AND(U459&lt;&gt;"",OR($S$4="(все)",B459=$S$4),IF($S$4="(все)",COUNTIF($U$4:U459,U459),COUNTIFS($U$4:U459,U459,$B$4:B459,B459))=1),MAX($W$3:W458)+1,"")</f>
        <v/>
      </c>
      <c r="X459" s="38" t="str">
        <f t="shared" si="66"/>
        <v/>
      </c>
      <c r="Y459" s="38" t="str">
        <f>IF(AND(A459="Аппарат",C459&lt;&gt;"",OR($S$5="(все)",B459=$S$5)),MAX($Y$3:Y458)+1,"")</f>
        <v/>
      </c>
      <c r="Z459" s="38" t="str">
        <f t="shared" si="67"/>
        <v/>
      </c>
      <c r="AA459" s="38" t="str">
        <f>IF(AND(A459="Модуль",C459&lt;&gt;"",OR($S$6="(все)",B459=$S$6)),MAX($AA$3:AA458)+1,"")</f>
        <v/>
      </c>
      <c r="AB459" s="38" t="str">
        <f t="shared" si="68"/>
        <v/>
      </c>
      <c r="AC459" s="38" t="str">
        <f>IF(OR(B459="",COUNTIF($B$4:B459,B459)&gt;1),"",MAX($AC$3:AC458)+1)</f>
        <v/>
      </c>
      <c r="AD459" s="38" t="str">
        <f t="shared" si="69"/>
        <v/>
      </c>
      <c r="AE459" s="38" t="str">
        <f t="shared" si="70"/>
        <v/>
      </c>
      <c r="AF459" s="38" t="str">
        <f t="shared" si="71"/>
        <v/>
      </c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38" t="str">
        <f>IF(OR(A460="Автомат",A460="Дифавтомат"),IF(W460="","",COUNTIFS(Однолинейка!$H$3:$H$3000,U460,Однолинейка!$A$3:$A$3000,Щит_спец)),IF(A460="Аппарат",IF(C460="","",COUNTIFS(Однолинейка!$I$3:$I$3000,C460,Однолинейка!$A$3:$A$3000,Щит_спец)+COUNTIFS(Однолинейка!$J$3:$J$3000,C460,Однолинейка!$A$3:$A$3000,Щит_спец)+COUNTIFS(Однолинейка!$K$3:$K$3000,C460,Однолинейка!$A$3:$A$3000,Щит_спец)),IF(A460="Модуль",IF(C460="","",COUNTIFS(Однолинейка!$AW$3:$AW$3000,"?*",Однолинейка!$AI$3:$AI$3000,C460,Однолинейка!$A$3:$A$3000,Щит_спец)),IF(A460="Клемма",IF(C460="","",IF(C460=$S$7,SUMIFS(Однолинейка!$BW$3:$BW$3000,Однолинейка!$A$3:$A$3000,Щит_спец),IF(C460=$S$8,SUMIFS(Однолинейка!$BX$3:$BX$3000,Однолинейка!$A$3:$A$3000,Щит_спец),""))),""))))</f>
        <v/>
      </c>
      <c r="O460" s="74"/>
      <c r="P460" s="38" t="str">
        <f t="shared" si="63"/>
        <v/>
      </c>
      <c r="U460" s="38" t="str">
        <f t="shared" si="64"/>
        <v/>
      </c>
      <c r="V460" s="38" t="str">
        <f t="shared" si="65"/>
        <v/>
      </c>
      <c r="W460" s="38" t="str">
        <f>IF(AND(U460&lt;&gt;"",OR($S$4="(все)",B460=$S$4),IF($S$4="(все)",COUNTIF($U$4:U460,U460),COUNTIFS($U$4:U460,U460,$B$4:B460,B460))=1),MAX($W$3:W459)+1,"")</f>
        <v/>
      </c>
      <c r="X460" s="38" t="str">
        <f t="shared" si="66"/>
        <v/>
      </c>
      <c r="Y460" s="38" t="str">
        <f>IF(AND(A460="Аппарат",C460&lt;&gt;"",OR($S$5="(все)",B460=$S$5)),MAX($Y$3:Y459)+1,"")</f>
        <v/>
      </c>
      <c r="Z460" s="38" t="str">
        <f t="shared" si="67"/>
        <v/>
      </c>
      <c r="AA460" s="38" t="str">
        <f>IF(AND(A460="Модуль",C460&lt;&gt;"",OR($S$6="(все)",B460=$S$6)),MAX($AA$3:AA459)+1,"")</f>
        <v/>
      </c>
      <c r="AB460" s="38" t="str">
        <f t="shared" si="68"/>
        <v/>
      </c>
      <c r="AC460" s="38" t="str">
        <f>IF(OR(B460="",COUNTIF($B$4:B460,B460)&gt;1),"",MAX($AC$3:AC459)+1)</f>
        <v/>
      </c>
      <c r="AD460" s="38" t="str">
        <f t="shared" si="69"/>
        <v/>
      </c>
      <c r="AE460" s="38" t="str">
        <f t="shared" si="70"/>
        <v/>
      </c>
      <c r="AF460" s="38" t="str">
        <f t="shared" si="71"/>
        <v/>
      </c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38" t="str">
        <f>IF(OR(A461="Автомат",A461="Дифавтомат"),IF(W461="","",COUNTIFS(Однолинейка!$H$3:$H$3000,U461,Однолинейка!$A$3:$A$3000,Щит_спец)),IF(A461="Аппарат",IF(C461="","",COUNTIFS(Однолинейка!$I$3:$I$3000,C461,Однолинейка!$A$3:$A$3000,Щит_спец)+COUNTIFS(Однолинейка!$J$3:$J$3000,C461,Однолинейка!$A$3:$A$3000,Щит_спец)+COUNTIFS(Однолинейка!$K$3:$K$3000,C461,Однолинейка!$A$3:$A$3000,Щит_спец)),IF(A461="Модуль",IF(C461="","",COUNTIFS(Однолинейка!$AW$3:$AW$3000,"?*",Однолинейка!$AI$3:$AI$3000,C461,Однолинейка!$A$3:$A$3000,Щит_спец)),IF(A461="Клемма",IF(C461="","",IF(C461=$S$7,SUMIFS(Однолинейка!$BW$3:$BW$3000,Однолинейка!$A$3:$A$3000,Щит_спец),IF(C461=$S$8,SUMIFS(Однолинейка!$BX$3:$BX$3000,Однолинейка!$A$3:$A$3000,Щит_спец),""))),""))))</f>
        <v/>
      </c>
      <c r="O461" s="74"/>
      <c r="P461" s="38" t="str">
        <f t="shared" si="63"/>
        <v/>
      </c>
      <c r="U461" s="38" t="str">
        <f t="shared" si="64"/>
        <v/>
      </c>
      <c r="V461" s="38" t="str">
        <f t="shared" si="65"/>
        <v/>
      </c>
      <c r="W461" s="38" t="str">
        <f>IF(AND(U461&lt;&gt;"",OR($S$4="(все)",B461=$S$4),IF($S$4="(все)",COUNTIF($U$4:U461,U461),COUNTIFS($U$4:U461,U461,$B$4:B461,B461))=1),MAX($W$3:W460)+1,"")</f>
        <v/>
      </c>
      <c r="X461" s="38" t="str">
        <f t="shared" si="66"/>
        <v/>
      </c>
      <c r="Y461" s="38" t="str">
        <f>IF(AND(A461="Аппарат",C461&lt;&gt;"",OR($S$5="(все)",B461=$S$5)),MAX($Y$3:Y460)+1,"")</f>
        <v/>
      </c>
      <c r="Z461" s="38" t="str">
        <f t="shared" si="67"/>
        <v/>
      </c>
      <c r="AA461" s="38" t="str">
        <f>IF(AND(A461="Модуль",C461&lt;&gt;"",OR($S$6="(все)",B461=$S$6)),MAX($AA$3:AA460)+1,"")</f>
        <v/>
      </c>
      <c r="AB461" s="38" t="str">
        <f t="shared" si="68"/>
        <v/>
      </c>
      <c r="AC461" s="38" t="str">
        <f>IF(OR(B461="",COUNTIF($B$4:B461,B461)&gt;1),"",MAX($AC$3:AC460)+1)</f>
        <v/>
      </c>
      <c r="AD461" s="38" t="str">
        <f t="shared" si="69"/>
        <v/>
      </c>
      <c r="AE461" s="38" t="str">
        <f t="shared" si="70"/>
        <v/>
      </c>
      <c r="AF461" s="38" t="str">
        <f t="shared" si="71"/>
        <v/>
      </c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38" t="str">
        <f>IF(OR(A462="Автомат",A462="Дифавтомат"),IF(W462="","",COUNTIFS(Однолинейка!$H$3:$H$3000,U462,Однолинейка!$A$3:$A$3000,Щит_спец)),IF(A462="Аппарат",IF(C462="","",COUNTIFS(Однолинейка!$I$3:$I$3000,C462,Однолинейка!$A$3:$A$3000,Щит_спец)+COUNTIFS(Однолинейка!$J$3:$J$3000,C462,Однолинейка!$A$3:$A$3000,Щит_спец)+COUNTIFS(Однолинейка!$K$3:$K$3000,C462,Однолинейка!$A$3:$A$3000,Щит_спец)),IF(A462="Модуль",IF(C462="","",COUNTIFS(Однолинейка!$AW$3:$AW$3000,"?*",Однолинейка!$AI$3:$AI$3000,C462,Однолинейка!$A$3:$A$3000,Щит_спец)),IF(A462="Клемма",IF(C462="","",IF(C462=$S$7,SUMIFS(Однолинейка!$BW$3:$BW$3000,Однолинейка!$A$3:$A$3000,Щит_спец),IF(C462=$S$8,SUMIFS(Однолинейка!$BX$3:$BX$3000,Однолинейка!$A$3:$A$3000,Щит_спец),""))),""))))</f>
        <v/>
      </c>
      <c r="O462" s="74"/>
      <c r="P462" s="38" t="str">
        <f t="shared" si="63"/>
        <v/>
      </c>
      <c r="U462" s="38" t="str">
        <f t="shared" si="64"/>
        <v/>
      </c>
      <c r="V462" s="38" t="str">
        <f t="shared" si="65"/>
        <v/>
      </c>
      <c r="W462" s="38" t="str">
        <f>IF(AND(U462&lt;&gt;"",OR($S$4="(все)",B462=$S$4),IF($S$4="(все)",COUNTIF($U$4:U462,U462),COUNTIFS($U$4:U462,U462,$B$4:B462,B462))=1),MAX($W$3:W461)+1,"")</f>
        <v/>
      </c>
      <c r="X462" s="38" t="str">
        <f t="shared" si="66"/>
        <v/>
      </c>
      <c r="Y462" s="38" t="str">
        <f>IF(AND(A462="Аппарат",C462&lt;&gt;"",OR($S$5="(все)",B462=$S$5)),MAX($Y$3:Y461)+1,"")</f>
        <v/>
      </c>
      <c r="Z462" s="38" t="str">
        <f t="shared" si="67"/>
        <v/>
      </c>
      <c r="AA462" s="38" t="str">
        <f>IF(AND(A462="Модуль",C462&lt;&gt;"",OR($S$6="(все)",B462=$S$6)),MAX($AA$3:AA461)+1,"")</f>
        <v/>
      </c>
      <c r="AB462" s="38" t="str">
        <f t="shared" si="68"/>
        <v/>
      </c>
      <c r="AC462" s="38" t="str">
        <f>IF(OR(B462="",COUNTIF($B$4:B462,B462)&gt;1),"",MAX($AC$3:AC461)+1)</f>
        <v/>
      </c>
      <c r="AD462" s="38" t="str">
        <f t="shared" si="69"/>
        <v/>
      </c>
      <c r="AE462" s="38" t="str">
        <f t="shared" si="70"/>
        <v/>
      </c>
      <c r="AF462" s="38" t="str">
        <f t="shared" si="71"/>
        <v/>
      </c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38" t="str">
        <f>IF(OR(A463="Автомат",A463="Дифавтомат"),IF(W463="","",COUNTIFS(Однолинейка!$H$3:$H$3000,U463,Однолинейка!$A$3:$A$3000,Щит_спец)),IF(A463="Аппарат",IF(C463="","",COUNTIFS(Однолинейка!$I$3:$I$3000,C463,Однолинейка!$A$3:$A$3000,Щит_спец)+COUNTIFS(Однолинейка!$J$3:$J$3000,C463,Однолинейка!$A$3:$A$3000,Щит_спец)+COUNTIFS(Однолинейка!$K$3:$K$3000,C463,Однолинейка!$A$3:$A$3000,Щит_спец)),IF(A463="Модуль",IF(C463="","",COUNTIFS(Однолинейка!$AW$3:$AW$3000,"?*",Однолинейка!$AI$3:$AI$3000,C463,Однолинейка!$A$3:$A$3000,Щит_спец)),IF(A463="Клемма",IF(C463="","",IF(C463=$S$7,SUMIFS(Однолинейка!$BW$3:$BW$3000,Однолинейка!$A$3:$A$3000,Щит_спец),IF(C463=$S$8,SUMIFS(Однолинейка!$BX$3:$BX$3000,Однолинейка!$A$3:$A$3000,Щит_спец),""))),""))))</f>
        <v/>
      </c>
      <c r="O463" s="74"/>
      <c r="P463" s="38" t="str">
        <f t="shared" si="63"/>
        <v/>
      </c>
      <c r="U463" s="38" t="str">
        <f t="shared" si="64"/>
        <v/>
      </c>
      <c r="V463" s="38" t="str">
        <f t="shared" si="65"/>
        <v/>
      </c>
      <c r="W463" s="38" t="str">
        <f>IF(AND(U463&lt;&gt;"",OR($S$4="(все)",B463=$S$4),IF($S$4="(все)",COUNTIF($U$4:U463,U463),COUNTIFS($U$4:U463,U463,$B$4:B463,B463))=1),MAX($W$3:W462)+1,"")</f>
        <v/>
      </c>
      <c r="X463" s="38" t="str">
        <f t="shared" si="66"/>
        <v/>
      </c>
      <c r="Y463" s="38" t="str">
        <f>IF(AND(A463="Аппарат",C463&lt;&gt;"",OR($S$5="(все)",B463=$S$5)),MAX($Y$3:Y462)+1,"")</f>
        <v/>
      </c>
      <c r="Z463" s="38" t="str">
        <f t="shared" si="67"/>
        <v/>
      </c>
      <c r="AA463" s="38" t="str">
        <f>IF(AND(A463="Модуль",C463&lt;&gt;"",OR($S$6="(все)",B463=$S$6)),MAX($AA$3:AA462)+1,"")</f>
        <v/>
      </c>
      <c r="AB463" s="38" t="str">
        <f t="shared" si="68"/>
        <v/>
      </c>
      <c r="AC463" s="38" t="str">
        <f>IF(OR(B463="",COUNTIF($B$4:B463,B463)&gt;1),"",MAX($AC$3:AC462)+1)</f>
        <v/>
      </c>
      <c r="AD463" s="38" t="str">
        <f t="shared" si="69"/>
        <v/>
      </c>
      <c r="AE463" s="38" t="str">
        <f t="shared" si="70"/>
        <v/>
      </c>
      <c r="AF463" s="38" t="str">
        <f t="shared" si="71"/>
        <v/>
      </c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38" t="str">
        <f>IF(OR(A464="Автомат",A464="Дифавтомат"),IF(W464="","",COUNTIFS(Однолинейка!$H$3:$H$3000,U464,Однолинейка!$A$3:$A$3000,Щит_спец)),IF(A464="Аппарат",IF(C464="","",COUNTIFS(Однолинейка!$I$3:$I$3000,C464,Однолинейка!$A$3:$A$3000,Щит_спец)+COUNTIFS(Однолинейка!$J$3:$J$3000,C464,Однолинейка!$A$3:$A$3000,Щит_спец)+COUNTIFS(Однолинейка!$K$3:$K$3000,C464,Однолинейка!$A$3:$A$3000,Щит_спец)),IF(A464="Модуль",IF(C464="","",COUNTIFS(Однолинейка!$AW$3:$AW$3000,"?*",Однолинейка!$AI$3:$AI$3000,C464,Однолинейка!$A$3:$A$3000,Щит_спец)),IF(A464="Клемма",IF(C464="","",IF(C464=$S$7,SUMIFS(Однолинейка!$BW$3:$BW$3000,Однолинейка!$A$3:$A$3000,Щит_спец),IF(C464=$S$8,SUMIFS(Однолинейка!$BX$3:$BX$3000,Однолинейка!$A$3:$A$3000,Щит_спец),""))),""))))</f>
        <v/>
      </c>
      <c r="O464" s="74"/>
      <c r="P464" s="38" t="str">
        <f t="shared" si="63"/>
        <v/>
      </c>
      <c r="U464" s="38" t="str">
        <f t="shared" si="64"/>
        <v/>
      </c>
      <c r="V464" s="38" t="str">
        <f t="shared" si="65"/>
        <v/>
      </c>
      <c r="W464" s="38" t="str">
        <f>IF(AND(U464&lt;&gt;"",OR($S$4="(все)",B464=$S$4),IF($S$4="(все)",COUNTIF($U$4:U464,U464),COUNTIFS($U$4:U464,U464,$B$4:B464,B464))=1),MAX($W$3:W463)+1,"")</f>
        <v/>
      </c>
      <c r="X464" s="38" t="str">
        <f t="shared" si="66"/>
        <v/>
      </c>
      <c r="Y464" s="38" t="str">
        <f>IF(AND(A464="Аппарат",C464&lt;&gt;"",OR($S$5="(все)",B464=$S$5)),MAX($Y$3:Y463)+1,"")</f>
        <v/>
      </c>
      <c r="Z464" s="38" t="str">
        <f t="shared" si="67"/>
        <v/>
      </c>
      <c r="AA464" s="38" t="str">
        <f>IF(AND(A464="Модуль",C464&lt;&gt;"",OR($S$6="(все)",B464=$S$6)),MAX($AA$3:AA463)+1,"")</f>
        <v/>
      </c>
      <c r="AB464" s="38" t="str">
        <f t="shared" si="68"/>
        <v/>
      </c>
      <c r="AC464" s="38" t="str">
        <f>IF(OR(B464="",COUNTIF($B$4:B464,B464)&gt;1),"",MAX($AC$3:AC463)+1)</f>
        <v/>
      </c>
      <c r="AD464" s="38" t="str">
        <f t="shared" si="69"/>
        <v/>
      </c>
      <c r="AE464" s="38" t="str">
        <f t="shared" si="70"/>
        <v/>
      </c>
      <c r="AF464" s="38" t="str">
        <f t="shared" si="71"/>
        <v/>
      </c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38" t="str">
        <f>IF(OR(A465="Автомат",A465="Дифавтомат"),IF(W465="","",COUNTIFS(Однолинейка!$H$3:$H$3000,U465,Однолинейка!$A$3:$A$3000,Щит_спец)),IF(A465="Аппарат",IF(C465="","",COUNTIFS(Однолинейка!$I$3:$I$3000,C465,Однолинейка!$A$3:$A$3000,Щит_спец)+COUNTIFS(Однолинейка!$J$3:$J$3000,C465,Однолинейка!$A$3:$A$3000,Щит_спец)+COUNTIFS(Однолинейка!$K$3:$K$3000,C465,Однолинейка!$A$3:$A$3000,Щит_спец)),IF(A465="Модуль",IF(C465="","",COUNTIFS(Однолинейка!$AW$3:$AW$3000,"?*",Однолинейка!$AI$3:$AI$3000,C465,Однолинейка!$A$3:$A$3000,Щит_спец)),IF(A465="Клемма",IF(C465="","",IF(C465=$S$7,SUMIFS(Однолинейка!$BW$3:$BW$3000,Однолинейка!$A$3:$A$3000,Щит_спец),IF(C465=$S$8,SUMIFS(Однолинейка!$BX$3:$BX$3000,Однолинейка!$A$3:$A$3000,Щит_спец),""))),""))))</f>
        <v/>
      </c>
      <c r="O465" s="74"/>
      <c r="P465" s="38" t="str">
        <f t="shared" si="63"/>
        <v/>
      </c>
      <c r="U465" s="38" t="str">
        <f t="shared" si="64"/>
        <v/>
      </c>
      <c r="V465" s="38" t="str">
        <f t="shared" si="65"/>
        <v/>
      </c>
      <c r="W465" s="38" t="str">
        <f>IF(AND(U465&lt;&gt;"",OR($S$4="(все)",B465=$S$4),IF($S$4="(все)",COUNTIF($U$4:U465,U465),COUNTIFS($U$4:U465,U465,$B$4:B465,B465))=1),MAX($W$3:W464)+1,"")</f>
        <v/>
      </c>
      <c r="X465" s="38" t="str">
        <f t="shared" si="66"/>
        <v/>
      </c>
      <c r="Y465" s="38" t="str">
        <f>IF(AND(A465="Аппарат",C465&lt;&gt;"",OR($S$5="(все)",B465=$S$5)),MAX($Y$3:Y464)+1,"")</f>
        <v/>
      </c>
      <c r="Z465" s="38" t="str">
        <f t="shared" si="67"/>
        <v/>
      </c>
      <c r="AA465" s="38" t="str">
        <f>IF(AND(A465="Модуль",C465&lt;&gt;"",OR($S$6="(все)",B465=$S$6)),MAX($AA$3:AA464)+1,"")</f>
        <v/>
      </c>
      <c r="AB465" s="38" t="str">
        <f t="shared" si="68"/>
        <v/>
      </c>
      <c r="AC465" s="38" t="str">
        <f>IF(OR(B465="",COUNTIF($B$4:B465,B465)&gt;1),"",MAX($AC$3:AC464)+1)</f>
        <v/>
      </c>
      <c r="AD465" s="38" t="str">
        <f t="shared" si="69"/>
        <v/>
      </c>
      <c r="AE465" s="38" t="str">
        <f t="shared" si="70"/>
        <v/>
      </c>
      <c r="AF465" s="38" t="str">
        <f t="shared" si="71"/>
        <v/>
      </c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38" t="str">
        <f>IF(OR(A466="Автомат",A466="Дифавтомат"),IF(W466="","",COUNTIFS(Однолинейка!$H$3:$H$3000,U466,Однолинейка!$A$3:$A$3000,Щит_спец)),IF(A466="Аппарат",IF(C466="","",COUNTIFS(Однолинейка!$I$3:$I$3000,C466,Однолинейка!$A$3:$A$3000,Щит_спец)+COUNTIFS(Однолинейка!$J$3:$J$3000,C466,Однолинейка!$A$3:$A$3000,Щит_спец)+COUNTIFS(Однолинейка!$K$3:$K$3000,C466,Однолинейка!$A$3:$A$3000,Щит_спец)),IF(A466="Модуль",IF(C466="","",COUNTIFS(Однолинейка!$AW$3:$AW$3000,"?*",Однолинейка!$AI$3:$AI$3000,C466,Однолинейка!$A$3:$A$3000,Щит_спец)),IF(A466="Клемма",IF(C466="","",IF(C466=$S$7,SUMIFS(Однолинейка!$BW$3:$BW$3000,Однолинейка!$A$3:$A$3000,Щит_спец),IF(C466=$S$8,SUMIFS(Однолинейка!$BX$3:$BX$3000,Однолинейка!$A$3:$A$3000,Щит_спец),""))),""))))</f>
        <v/>
      </c>
      <c r="O466" s="74"/>
      <c r="P466" s="38" t="str">
        <f t="shared" si="63"/>
        <v/>
      </c>
      <c r="U466" s="38" t="str">
        <f t="shared" si="64"/>
        <v/>
      </c>
      <c r="V466" s="38" t="str">
        <f t="shared" si="65"/>
        <v/>
      </c>
      <c r="W466" s="38" t="str">
        <f>IF(AND(U466&lt;&gt;"",OR($S$4="(все)",B466=$S$4),IF($S$4="(все)",COUNTIF($U$4:U466,U466),COUNTIFS($U$4:U466,U466,$B$4:B466,B466))=1),MAX($W$3:W465)+1,"")</f>
        <v/>
      </c>
      <c r="X466" s="38" t="str">
        <f t="shared" si="66"/>
        <v/>
      </c>
      <c r="Y466" s="38" t="str">
        <f>IF(AND(A466="Аппарат",C466&lt;&gt;"",OR($S$5="(все)",B466=$S$5)),MAX($Y$3:Y465)+1,"")</f>
        <v/>
      </c>
      <c r="Z466" s="38" t="str">
        <f t="shared" si="67"/>
        <v/>
      </c>
      <c r="AA466" s="38" t="str">
        <f>IF(AND(A466="Модуль",C466&lt;&gt;"",OR($S$6="(все)",B466=$S$6)),MAX($AA$3:AA465)+1,"")</f>
        <v/>
      </c>
      <c r="AB466" s="38" t="str">
        <f t="shared" si="68"/>
        <v/>
      </c>
      <c r="AC466" s="38" t="str">
        <f>IF(OR(B466="",COUNTIF($B$4:B466,B466)&gt;1),"",MAX($AC$3:AC465)+1)</f>
        <v/>
      </c>
      <c r="AD466" s="38" t="str">
        <f t="shared" si="69"/>
        <v/>
      </c>
      <c r="AE466" s="38" t="str">
        <f t="shared" si="70"/>
        <v/>
      </c>
      <c r="AF466" s="38" t="str">
        <f t="shared" si="71"/>
        <v/>
      </c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38" t="str">
        <f>IF(OR(A467="Автомат",A467="Дифавтомат"),IF(W467="","",COUNTIFS(Однолинейка!$H$3:$H$3000,U467,Однолинейка!$A$3:$A$3000,Щит_спец)),IF(A467="Аппарат",IF(C467="","",COUNTIFS(Однолинейка!$I$3:$I$3000,C467,Однолинейка!$A$3:$A$3000,Щит_спец)+COUNTIFS(Однолинейка!$J$3:$J$3000,C467,Однолинейка!$A$3:$A$3000,Щит_спец)+COUNTIFS(Однолинейка!$K$3:$K$3000,C467,Однолинейка!$A$3:$A$3000,Щит_спец)),IF(A467="Модуль",IF(C467="","",COUNTIFS(Однолинейка!$AW$3:$AW$3000,"?*",Однолинейка!$AI$3:$AI$3000,C467,Однолинейка!$A$3:$A$3000,Щит_спец)),IF(A467="Клемма",IF(C467="","",IF(C467=$S$7,SUMIFS(Однолинейка!$BW$3:$BW$3000,Однолинейка!$A$3:$A$3000,Щит_спец),IF(C467=$S$8,SUMIFS(Однолинейка!$BX$3:$BX$3000,Однолинейка!$A$3:$A$3000,Щит_спец),""))),""))))</f>
        <v/>
      </c>
      <c r="O467" s="74"/>
      <c r="P467" s="38" t="str">
        <f t="shared" si="63"/>
        <v/>
      </c>
      <c r="U467" s="38" t="str">
        <f t="shared" si="64"/>
        <v/>
      </c>
      <c r="V467" s="38" t="str">
        <f t="shared" si="65"/>
        <v/>
      </c>
      <c r="W467" s="38" t="str">
        <f>IF(AND(U467&lt;&gt;"",OR($S$4="(все)",B467=$S$4),IF($S$4="(все)",COUNTIF($U$4:U467,U467),COUNTIFS($U$4:U467,U467,$B$4:B467,B467))=1),MAX($W$3:W466)+1,"")</f>
        <v/>
      </c>
      <c r="X467" s="38" t="str">
        <f t="shared" si="66"/>
        <v/>
      </c>
      <c r="Y467" s="38" t="str">
        <f>IF(AND(A467="Аппарат",C467&lt;&gt;"",OR($S$5="(все)",B467=$S$5)),MAX($Y$3:Y466)+1,"")</f>
        <v/>
      </c>
      <c r="Z467" s="38" t="str">
        <f t="shared" si="67"/>
        <v/>
      </c>
      <c r="AA467" s="38" t="str">
        <f>IF(AND(A467="Модуль",C467&lt;&gt;"",OR($S$6="(все)",B467=$S$6)),MAX($AA$3:AA466)+1,"")</f>
        <v/>
      </c>
      <c r="AB467" s="38" t="str">
        <f t="shared" si="68"/>
        <v/>
      </c>
      <c r="AC467" s="38" t="str">
        <f>IF(OR(B467="",COUNTIF($B$4:B467,B467)&gt;1),"",MAX($AC$3:AC466)+1)</f>
        <v/>
      </c>
      <c r="AD467" s="38" t="str">
        <f t="shared" si="69"/>
        <v/>
      </c>
      <c r="AE467" s="38" t="str">
        <f t="shared" si="70"/>
        <v/>
      </c>
      <c r="AF467" s="38" t="str">
        <f t="shared" si="71"/>
        <v/>
      </c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38" t="str">
        <f>IF(OR(A468="Автомат",A468="Дифавтомат"),IF(W468="","",COUNTIFS(Однолинейка!$H$3:$H$3000,U468,Однолинейка!$A$3:$A$3000,Щит_спец)),IF(A468="Аппарат",IF(C468="","",COUNTIFS(Однолинейка!$I$3:$I$3000,C468,Однолинейка!$A$3:$A$3000,Щит_спец)+COUNTIFS(Однолинейка!$J$3:$J$3000,C468,Однолинейка!$A$3:$A$3000,Щит_спец)+COUNTIFS(Однолинейка!$K$3:$K$3000,C468,Однолинейка!$A$3:$A$3000,Щит_спец)),IF(A468="Модуль",IF(C468="","",COUNTIFS(Однолинейка!$AW$3:$AW$3000,"?*",Однолинейка!$AI$3:$AI$3000,C468,Однолинейка!$A$3:$A$3000,Щит_спец)),IF(A468="Клемма",IF(C468="","",IF(C468=$S$7,SUMIFS(Однолинейка!$BW$3:$BW$3000,Однолинейка!$A$3:$A$3000,Щит_спец),IF(C468=$S$8,SUMIFS(Однолинейка!$BX$3:$BX$3000,Однолинейка!$A$3:$A$3000,Щит_спец),""))),""))))</f>
        <v/>
      </c>
      <c r="O468" s="74"/>
      <c r="P468" s="38" t="str">
        <f t="shared" si="63"/>
        <v/>
      </c>
      <c r="U468" s="38" t="str">
        <f t="shared" si="64"/>
        <v/>
      </c>
      <c r="V468" s="38" t="str">
        <f t="shared" si="65"/>
        <v/>
      </c>
      <c r="W468" s="38" t="str">
        <f>IF(AND(U468&lt;&gt;"",OR($S$4="(все)",B468=$S$4),IF($S$4="(все)",COUNTIF($U$4:U468,U468),COUNTIFS($U$4:U468,U468,$B$4:B468,B468))=1),MAX($W$3:W467)+1,"")</f>
        <v/>
      </c>
      <c r="X468" s="38" t="str">
        <f t="shared" si="66"/>
        <v/>
      </c>
      <c r="Y468" s="38" t="str">
        <f>IF(AND(A468="Аппарат",C468&lt;&gt;"",OR($S$5="(все)",B468=$S$5)),MAX($Y$3:Y467)+1,"")</f>
        <v/>
      </c>
      <c r="Z468" s="38" t="str">
        <f t="shared" si="67"/>
        <v/>
      </c>
      <c r="AA468" s="38" t="str">
        <f>IF(AND(A468="Модуль",C468&lt;&gt;"",OR($S$6="(все)",B468=$S$6)),MAX($AA$3:AA467)+1,"")</f>
        <v/>
      </c>
      <c r="AB468" s="38" t="str">
        <f t="shared" si="68"/>
        <v/>
      </c>
      <c r="AC468" s="38" t="str">
        <f>IF(OR(B468="",COUNTIF($B$4:B468,B468)&gt;1),"",MAX($AC$3:AC467)+1)</f>
        <v/>
      </c>
      <c r="AD468" s="38" t="str">
        <f t="shared" si="69"/>
        <v/>
      </c>
      <c r="AE468" s="38" t="str">
        <f t="shared" si="70"/>
        <v/>
      </c>
      <c r="AF468" s="38" t="str">
        <f t="shared" si="71"/>
        <v/>
      </c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38" t="str">
        <f>IF(OR(A469="Автомат",A469="Дифавтомат"),IF(W469="","",COUNTIFS(Однолинейка!$H$3:$H$3000,U469,Однолинейка!$A$3:$A$3000,Щит_спец)),IF(A469="Аппарат",IF(C469="","",COUNTIFS(Однолинейка!$I$3:$I$3000,C469,Однолинейка!$A$3:$A$3000,Щит_спец)+COUNTIFS(Однолинейка!$J$3:$J$3000,C469,Однолинейка!$A$3:$A$3000,Щит_спец)+COUNTIFS(Однолинейка!$K$3:$K$3000,C469,Однолинейка!$A$3:$A$3000,Щит_спец)),IF(A469="Модуль",IF(C469="","",COUNTIFS(Однолинейка!$AW$3:$AW$3000,"?*",Однолинейка!$AI$3:$AI$3000,C469,Однолинейка!$A$3:$A$3000,Щит_спец)),IF(A469="Клемма",IF(C469="","",IF(C469=$S$7,SUMIFS(Однолинейка!$BW$3:$BW$3000,Однолинейка!$A$3:$A$3000,Щит_спец),IF(C469=$S$8,SUMIFS(Однолинейка!$BX$3:$BX$3000,Однолинейка!$A$3:$A$3000,Щит_спец),""))),""))))</f>
        <v/>
      </c>
      <c r="O469" s="74"/>
      <c r="P469" s="38" t="str">
        <f t="shared" si="63"/>
        <v/>
      </c>
      <c r="U469" s="38" t="str">
        <f t="shared" si="64"/>
        <v/>
      </c>
      <c r="V469" s="38" t="str">
        <f t="shared" si="65"/>
        <v/>
      </c>
      <c r="W469" s="38" t="str">
        <f>IF(AND(U469&lt;&gt;"",OR($S$4="(все)",B469=$S$4),IF($S$4="(все)",COUNTIF($U$4:U469,U469),COUNTIFS($U$4:U469,U469,$B$4:B469,B469))=1),MAX($W$3:W468)+1,"")</f>
        <v/>
      </c>
      <c r="X469" s="38" t="str">
        <f t="shared" si="66"/>
        <v/>
      </c>
      <c r="Y469" s="38" t="str">
        <f>IF(AND(A469="Аппарат",C469&lt;&gt;"",OR($S$5="(все)",B469=$S$5)),MAX($Y$3:Y468)+1,"")</f>
        <v/>
      </c>
      <c r="Z469" s="38" t="str">
        <f t="shared" si="67"/>
        <v/>
      </c>
      <c r="AA469" s="38" t="str">
        <f>IF(AND(A469="Модуль",C469&lt;&gt;"",OR($S$6="(все)",B469=$S$6)),MAX($AA$3:AA468)+1,"")</f>
        <v/>
      </c>
      <c r="AB469" s="38" t="str">
        <f t="shared" si="68"/>
        <v/>
      </c>
      <c r="AC469" s="38" t="str">
        <f>IF(OR(B469="",COUNTIF($B$4:B469,B469)&gt;1),"",MAX($AC$3:AC468)+1)</f>
        <v/>
      </c>
      <c r="AD469" s="38" t="str">
        <f t="shared" si="69"/>
        <v/>
      </c>
      <c r="AE469" s="38" t="str">
        <f t="shared" si="70"/>
        <v/>
      </c>
      <c r="AF469" s="38" t="str">
        <f t="shared" si="71"/>
        <v/>
      </c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38" t="str">
        <f>IF(OR(A470="Автомат",A470="Дифавтомат"),IF(W470="","",COUNTIFS(Однолинейка!$H$3:$H$3000,U470,Однолинейка!$A$3:$A$3000,Щит_спец)),IF(A470="Аппарат",IF(C470="","",COUNTIFS(Однолинейка!$I$3:$I$3000,C470,Однолинейка!$A$3:$A$3000,Щит_спец)+COUNTIFS(Однолинейка!$J$3:$J$3000,C470,Однолинейка!$A$3:$A$3000,Щит_спец)+COUNTIFS(Однолинейка!$K$3:$K$3000,C470,Однолинейка!$A$3:$A$3000,Щит_спец)),IF(A470="Модуль",IF(C470="","",COUNTIFS(Однолинейка!$AW$3:$AW$3000,"?*",Однолинейка!$AI$3:$AI$3000,C470,Однолинейка!$A$3:$A$3000,Щит_спец)),IF(A470="Клемма",IF(C470="","",IF(C470=$S$7,SUMIFS(Однолинейка!$BW$3:$BW$3000,Однолинейка!$A$3:$A$3000,Щит_спец),IF(C470=$S$8,SUMIFS(Однолинейка!$BX$3:$BX$3000,Однолинейка!$A$3:$A$3000,Щит_спец),""))),""))))</f>
        <v/>
      </c>
      <c r="O470" s="74"/>
      <c r="P470" s="38" t="str">
        <f t="shared" si="63"/>
        <v/>
      </c>
      <c r="U470" s="38" t="str">
        <f t="shared" si="64"/>
        <v/>
      </c>
      <c r="V470" s="38" t="str">
        <f t="shared" si="65"/>
        <v/>
      </c>
      <c r="W470" s="38" t="str">
        <f>IF(AND(U470&lt;&gt;"",OR($S$4="(все)",B470=$S$4),IF($S$4="(все)",COUNTIF($U$4:U470,U470),COUNTIFS($U$4:U470,U470,$B$4:B470,B470))=1),MAX($W$3:W469)+1,"")</f>
        <v/>
      </c>
      <c r="X470" s="38" t="str">
        <f t="shared" si="66"/>
        <v/>
      </c>
      <c r="Y470" s="38" t="str">
        <f>IF(AND(A470="Аппарат",C470&lt;&gt;"",OR($S$5="(все)",B470=$S$5)),MAX($Y$3:Y469)+1,"")</f>
        <v/>
      </c>
      <c r="Z470" s="38" t="str">
        <f t="shared" si="67"/>
        <v/>
      </c>
      <c r="AA470" s="38" t="str">
        <f>IF(AND(A470="Модуль",C470&lt;&gt;"",OR($S$6="(все)",B470=$S$6)),MAX($AA$3:AA469)+1,"")</f>
        <v/>
      </c>
      <c r="AB470" s="38" t="str">
        <f t="shared" si="68"/>
        <v/>
      </c>
      <c r="AC470" s="38" t="str">
        <f>IF(OR(B470="",COUNTIF($B$4:B470,B470)&gt;1),"",MAX($AC$3:AC469)+1)</f>
        <v/>
      </c>
      <c r="AD470" s="38" t="str">
        <f t="shared" si="69"/>
        <v/>
      </c>
      <c r="AE470" s="38" t="str">
        <f t="shared" si="70"/>
        <v/>
      </c>
      <c r="AF470" s="38" t="str">
        <f t="shared" si="71"/>
        <v/>
      </c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38" t="str">
        <f>IF(OR(A471="Автомат",A471="Дифавтомат"),IF(W471="","",COUNTIFS(Однолинейка!$H$3:$H$3000,U471,Однолинейка!$A$3:$A$3000,Щит_спец)),IF(A471="Аппарат",IF(C471="","",COUNTIFS(Однолинейка!$I$3:$I$3000,C471,Однолинейка!$A$3:$A$3000,Щит_спец)+COUNTIFS(Однолинейка!$J$3:$J$3000,C471,Однолинейка!$A$3:$A$3000,Щит_спец)+COUNTIFS(Однолинейка!$K$3:$K$3000,C471,Однолинейка!$A$3:$A$3000,Щит_спец)),IF(A471="Модуль",IF(C471="","",COUNTIFS(Однолинейка!$AW$3:$AW$3000,"?*",Однолинейка!$AI$3:$AI$3000,C471,Однолинейка!$A$3:$A$3000,Щит_спец)),IF(A471="Клемма",IF(C471="","",IF(C471=$S$7,SUMIFS(Однолинейка!$BW$3:$BW$3000,Однолинейка!$A$3:$A$3000,Щит_спец),IF(C471=$S$8,SUMIFS(Однолинейка!$BX$3:$BX$3000,Однолинейка!$A$3:$A$3000,Щит_спец),""))),""))))</f>
        <v/>
      </c>
      <c r="O471" s="74"/>
      <c r="P471" s="38" t="str">
        <f t="shared" si="63"/>
        <v/>
      </c>
      <c r="U471" s="38" t="str">
        <f t="shared" si="64"/>
        <v/>
      </c>
      <c r="V471" s="38" t="str">
        <f t="shared" si="65"/>
        <v/>
      </c>
      <c r="W471" s="38" t="str">
        <f>IF(AND(U471&lt;&gt;"",OR($S$4="(все)",B471=$S$4),IF($S$4="(все)",COUNTIF($U$4:U471,U471),COUNTIFS($U$4:U471,U471,$B$4:B471,B471))=1),MAX($W$3:W470)+1,"")</f>
        <v/>
      </c>
      <c r="X471" s="38" t="str">
        <f t="shared" si="66"/>
        <v/>
      </c>
      <c r="Y471" s="38" t="str">
        <f>IF(AND(A471="Аппарат",C471&lt;&gt;"",OR($S$5="(все)",B471=$S$5)),MAX($Y$3:Y470)+1,"")</f>
        <v/>
      </c>
      <c r="Z471" s="38" t="str">
        <f t="shared" si="67"/>
        <v/>
      </c>
      <c r="AA471" s="38" t="str">
        <f>IF(AND(A471="Модуль",C471&lt;&gt;"",OR($S$6="(все)",B471=$S$6)),MAX($AA$3:AA470)+1,"")</f>
        <v/>
      </c>
      <c r="AB471" s="38" t="str">
        <f t="shared" si="68"/>
        <v/>
      </c>
      <c r="AC471" s="38" t="str">
        <f>IF(OR(B471="",COUNTIF($B$4:B471,B471)&gt;1),"",MAX($AC$3:AC470)+1)</f>
        <v/>
      </c>
      <c r="AD471" s="38" t="str">
        <f t="shared" si="69"/>
        <v/>
      </c>
      <c r="AE471" s="38" t="str">
        <f t="shared" si="70"/>
        <v/>
      </c>
      <c r="AF471" s="38" t="str">
        <f t="shared" si="71"/>
        <v/>
      </c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38" t="str">
        <f>IF(OR(A472="Автомат",A472="Дифавтомат"),IF(W472="","",COUNTIFS(Однолинейка!$H$3:$H$3000,U472,Однолинейка!$A$3:$A$3000,Щит_спец)),IF(A472="Аппарат",IF(C472="","",COUNTIFS(Однолинейка!$I$3:$I$3000,C472,Однолинейка!$A$3:$A$3000,Щит_спец)+COUNTIFS(Однолинейка!$J$3:$J$3000,C472,Однолинейка!$A$3:$A$3000,Щит_спец)+COUNTIFS(Однолинейка!$K$3:$K$3000,C472,Однолинейка!$A$3:$A$3000,Щит_спец)),IF(A472="Модуль",IF(C472="","",COUNTIFS(Однолинейка!$AW$3:$AW$3000,"?*",Однолинейка!$AI$3:$AI$3000,C472,Однолинейка!$A$3:$A$3000,Щит_спец)),IF(A472="Клемма",IF(C472="","",IF(C472=$S$7,SUMIFS(Однолинейка!$BW$3:$BW$3000,Однолинейка!$A$3:$A$3000,Щит_спец),IF(C472=$S$8,SUMIFS(Однолинейка!$BX$3:$BX$3000,Однолинейка!$A$3:$A$3000,Щит_спец),""))),""))))</f>
        <v/>
      </c>
      <c r="O472" s="74"/>
      <c r="P472" s="38" t="str">
        <f t="shared" si="63"/>
        <v/>
      </c>
      <c r="U472" s="38" t="str">
        <f t="shared" si="64"/>
        <v/>
      </c>
      <c r="V472" s="38" t="str">
        <f t="shared" si="65"/>
        <v/>
      </c>
      <c r="W472" s="38" t="str">
        <f>IF(AND(U472&lt;&gt;"",OR($S$4="(все)",B472=$S$4),IF($S$4="(все)",COUNTIF($U$4:U472,U472),COUNTIFS($U$4:U472,U472,$B$4:B472,B472))=1),MAX($W$3:W471)+1,"")</f>
        <v/>
      </c>
      <c r="X472" s="38" t="str">
        <f t="shared" si="66"/>
        <v/>
      </c>
      <c r="Y472" s="38" t="str">
        <f>IF(AND(A472="Аппарат",C472&lt;&gt;"",OR($S$5="(все)",B472=$S$5)),MAX($Y$3:Y471)+1,"")</f>
        <v/>
      </c>
      <c r="Z472" s="38" t="str">
        <f t="shared" si="67"/>
        <v/>
      </c>
      <c r="AA472" s="38" t="str">
        <f>IF(AND(A472="Модуль",C472&lt;&gt;"",OR($S$6="(все)",B472=$S$6)),MAX($AA$3:AA471)+1,"")</f>
        <v/>
      </c>
      <c r="AB472" s="38" t="str">
        <f t="shared" si="68"/>
        <v/>
      </c>
      <c r="AC472" s="38" t="str">
        <f>IF(OR(B472="",COUNTIF($B$4:B472,B472)&gt;1),"",MAX($AC$3:AC471)+1)</f>
        <v/>
      </c>
      <c r="AD472" s="38" t="str">
        <f t="shared" si="69"/>
        <v/>
      </c>
      <c r="AE472" s="38" t="str">
        <f t="shared" si="70"/>
        <v/>
      </c>
      <c r="AF472" s="38" t="str">
        <f t="shared" si="71"/>
        <v/>
      </c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38" t="str">
        <f>IF(OR(A473="Автомат",A473="Дифавтомат"),IF(W473="","",COUNTIFS(Однолинейка!$H$3:$H$3000,U473,Однолинейка!$A$3:$A$3000,Щит_спец)),IF(A473="Аппарат",IF(C473="","",COUNTIFS(Однолинейка!$I$3:$I$3000,C473,Однолинейка!$A$3:$A$3000,Щит_спец)+COUNTIFS(Однолинейка!$J$3:$J$3000,C473,Однолинейка!$A$3:$A$3000,Щит_спец)+COUNTIFS(Однолинейка!$K$3:$K$3000,C473,Однолинейка!$A$3:$A$3000,Щит_спец)),IF(A473="Модуль",IF(C473="","",COUNTIFS(Однолинейка!$AW$3:$AW$3000,"?*",Однолинейка!$AI$3:$AI$3000,C473,Однолинейка!$A$3:$A$3000,Щит_спец)),IF(A473="Клемма",IF(C473="","",IF(C473=$S$7,SUMIFS(Однолинейка!$BW$3:$BW$3000,Однолинейка!$A$3:$A$3000,Щит_спец),IF(C473=$S$8,SUMIFS(Однолинейка!$BX$3:$BX$3000,Однолинейка!$A$3:$A$3000,Щит_спец),""))),""))))</f>
        <v/>
      </c>
      <c r="O473" s="74"/>
      <c r="P473" s="38" t="str">
        <f t="shared" si="63"/>
        <v/>
      </c>
      <c r="U473" s="38" t="str">
        <f t="shared" si="64"/>
        <v/>
      </c>
      <c r="V473" s="38" t="str">
        <f t="shared" si="65"/>
        <v/>
      </c>
      <c r="W473" s="38" t="str">
        <f>IF(AND(U473&lt;&gt;"",OR($S$4="(все)",B473=$S$4),IF($S$4="(все)",COUNTIF($U$4:U473,U473),COUNTIFS($U$4:U473,U473,$B$4:B473,B473))=1),MAX($W$3:W472)+1,"")</f>
        <v/>
      </c>
      <c r="X473" s="38" t="str">
        <f t="shared" si="66"/>
        <v/>
      </c>
      <c r="Y473" s="38" t="str">
        <f>IF(AND(A473="Аппарат",C473&lt;&gt;"",OR($S$5="(все)",B473=$S$5)),MAX($Y$3:Y472)+1,"")</f>
        <v/>
      </c>
      <c r="Z473" s="38" t="str">
        <f t="shared" si="67"/>
        <v/>
      </c>
      <c r="AA473" s="38" t="str">
        <f>IF(AND(A473="Модуль",C473&lt;&gt;"",OR($S$6="(все)",B473=$S$6)),MAX($AA$3:AA472)+1,"")</f>
        <v/>
      </c>
      <c r="AB473" s="38" t="str">
        <f t="shared" si="68"/>
        <v/>
      </c>
      <c r="AC473" s="38" t="str">
        <f>IF(OR(B473="",COUNTIF($B$4:B473,B473)&gt;1),"",MAX($AC$3:AC472)+1)</f>
        <v/>
      </c>
      <c r="AD473" s="38" t="str">
        <f t="shared" si="69"/>
        <v/>
      </c>
      <c r="AE473" s="38" t="str">
        <f t="shared" si="70"/>
        <v/>
      </c>
      <c r="AF473" s="38" t="str">
        <f t="shared" si="71"/>
        <v/>
      </c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38" t="str">
        <f>IF(OR(A474="Автомат",A474="Дифавтомат"),IF(W474="","",COUNTIFS(Однолинейка!$H$3:$H$3000,U474,Однолинейка!$A$3:$A$3000,Щит_спец)),IF(A474="Аппарат",IF(C474="","",COUNTIFS(Однолинейка!$I$3:$I$3000,C474,Однолинейка!$A$3:$A$3000,Щит_спец)+COUNTIFS(Однолинейка!$J$3:$J$3000,C474,Однолинейка!$A$3:$A$3000,Щит_спец)+COUNTIFS(Однолинейка!$K$3:$K$3000,C474,Однолинейка!$A$3:$A$3000,Щит_спец)),IF(A474="Модуль",IF(C474="","",COUNTIFS(Однолинейка!$AW$3:$AW$3000,"?*",Однолинейка!$AI$3:$AI$3000,C474,Однолинейка!$A$3:$A$3000,Щит_спец)),IF(A474="Клемма",IF(C474="","",IF(C474=$S$7,SUMIFS(Однолинейка!$BW$3:$BW$3000,Однолинейка!$A$3:$A$3000,Щит_спец),IF(C474=$S$8,SUMIFS(Однолинейка!$BX$3:$BX$3000,Однолинейка!$A$3:$A$3000,Щит_спец),""))),""))))</f>
        <v/>
      </c>
      <c r="O474" s="74"/>
      <c r="P474" s="38" t="str">
        <f t="shared" si="63"/>
        <v/>
      </c>
      <c r="U474" s="38" t="str">
        <f t="shared" si="64"/>
        <v/>
      </c>
      <c r="V474" s="38" t="str">
        <f t="shared" si="65"/>
        <v/>
      </c>
      <c r="W474" s="38" t="str">
        <f>IF(AND(U474&lt;&gt;"",OR($S$4="(все)",B474=$S$4),IF($S$4="(все)",COUNTIF($U$4:U474,U474),COUNTIFS($U$4:U474,U474,$B$4:B474,B474))=1),MAX($W$3:W473)+1,"")</f>
        <v/>
      </c>
      <c r="X474" s="38" t="str">
        <f t="shared" si="66"/>
        <v/>
      </c>
      <c r="Y474" s="38" t="str">
        <f>IF(AND(A474="Аппарат",C474&lt;&gt;"",OR($S$5="(все)",B474=$S$5)),MAX($Y$3:Y473)+1,"")</f>
        <v/>
      </c>
      <c r="Z474" s="38" t="str">
        <f t="shared" si="67"/>
        <v/>
      </c>
      <c r="AA474" s="38" t="str">
        <f>IF(AND(A474="Модуль",C474&lt;&gt;"",OR($S$6="(все)",B474=$S$6)),MAX($AA$3:AA473)+1,"")</f>
        <v/>
      </c>
      <c r="AB474" s="38" t="str">
        <f t="shared" si="68"/>
        <v/>
      </c>
      <c r="AC474" s="38" t="str">
        <f>IF(OR(B474="",COUNTIF($B$4:B474,B474)&gt;1),"",MAX($AC$3:AC473)+1)</f>
        <v/>
      </c>
      <c r="AD474" s="38" t="str">
        <f t="shared" si="69"/>
        <v/>
      </c>
      <c r="AE474" s="38" t="str">
        <f t="shared" si="70"/>
        <v/>
      </c>
      <c r="AF474" s="38" t="str">
        <f t="shared" si="71"/>
        <v/>
      </c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38" t="str">
        <f>IF(OR(A475="Автомат",A475="Дифавтомат"),IF(W475="","",COUNTIFS(Однолинейка!$H$3:$H$3000,U475,Однолинейка!$A$3:$A$3000,Щит_спец)),IF(A475="Аппарат",IF(C475="","",COUNTIFS(Однолинейка!$I$3:$I$3000,C475,Однолинейка!$A$3:$A$3000,Щит_спец)+COUNTIFS(Однолинейка!$J$3:$J$3000,C475,Однолинейка!$A$3:$A$3000,Щит_спец)+COUNTIFS(Однолинейка!$K$3:$K$3000,C475,Однолинейка!$A$3:$A$3000,Щит_спец)),IF(A475="Модуль",IF(C475="","",COUNTIFS(Однолинейка!$AW$3:$AW$3000,"?*",Однолинейка!$AI$3:$AI$3000,C475,Однолинейка!$A$3:$A$3000,Щит_спец)),IF(A475="Клемма",IF(C475="","",IF(C475=$S$7,SUMIFS(Однолинейка!$BW$3:$BW$3000,Однолинейка!$A$3:$A$3000,Щит_спец),IF(C475=$S$8,SUMIFS(Однолинейка!$BX$3:$BX$3000,Однолинейка!$A$3:$A$3000,Щит_спец),""))),""))))</f>
        <v/>
      </c>
      <c r="O475" s="74"/>
      <c r="P475" s="38" t="str">
        <f t="shared" si="63"/>
        <v/>
      </c>
      <c r="U475" s="38" t="str">
        <f t="shared" si="64"/>
        <v/>
      </c>
      <c r="V475" s="38" t="str">
        <f t="shared" si="65"/>
        <v/>
      </c>
      <c r="W475" s="38" t="str">
        <f>IF(AND(U475&lt;&gt;"",OR($S$4="(все)",B475=$S$4),IF($S$4="(все)",COUNTIF($U$4:U475,U475),COUNTIFS($U$4:U475,U475,$B$4:B475,B475))=1),MAX($W$3:W474)+1,"")</f>
        <v/>
      </c>
      <c r="X475" s="38" t="str">
        <f t="shared" si="66"/>
        <v/>
      </c>
      <c r="Y475" s="38" t="str">
        <f>IF(AND(A475="Аппарат",C475&lt;&gt;"",OR($S$5="(все)",B475=$S$5)),MAX($Y$3:Y474)+1,"")</f>
        <v/>
      </c>
      <c r="Z475" s="38" t="str">
        <f t="shared" si="67"/>
        <v/>
      </c>
      <c r="AA475" s="38" t="str">
        <f>IF(AND(A475="Модуль",C475&lt;&gt;"",OR($S$6="(все)",B475=$S$6)),MAX($AA$3:AA474)+1,"")</f>
        <v/>
      </c>
      <c r="AB475" s="38" t="str">
        <f t="shared" si="68"/>
        <v/>
      </c>
      <c r="AC475" s="38" t="str">
        <f>IF(OR(B475="",COUNTIF($B$4:B475,B475)&gt;1),"",MAX($AC$3:AC474)+1)</f>
        <v/>
      </c>
      <c r="AD475" s="38" t="str">
        <f t="shared" si="69"/>
        <v/>
      </c>
      <c r="AE475" s="38" t="str">
        <f t="shared" si="70"/>
        <v/>
      </c>
      <c r="AF475" s="38" t="str">
        <f t="shared" si="71"/>
        <v/>
      </c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38" t="str">
        <f>IF(OR(A476="Автомат",A476="Дифавтомат"),IF(W476="","",COUNTIFS(Однолинейка!$H$3:$H$3000,U476,Однолинейка!$A$3:$A$3000,Щит_спец)),IF(A476="Аппарат",IF(C476="","",COUNTIFS(Однолинейка!$I$3:$I$3000,C476,Однолинейка!$A$3:$A$3000,Щит_спец)+COUNTIFS(Однолинейка!$J$3:$J$3000,C476,Однолинейка!$A$3:$A$3000,Щит_спец)+COUNTIFS(Однолинейка!$K$3:$K$3000,C476,Однолинейка!$A$3:$A$3000,Щит_спец)),IF(A476="Модуль",IF(C476="","",COUNTIFS(Однолинейка!$AW$3:$AW$3000,"?*",Однолинейка!$AI$3:$AI$3000,C476,Однолинейка!$A$3:$A$3000,Щит_спец)),IF(A476="Клемма",IF(C476="","",IF(C476=$S$7,SUMIFS(Однолинейка!$BW$3:$BW$3000,Однолинейка!$A$3:$A$3000,Щит_спец),IF(C476=$S$8,SUMIFS(Однолинейка!$BX$3:$BX$3000,Однолинейка!$A$3:$A$3000,Щит_спец),""))),""))))</f>
        <v/>
      </c>
      <c r="O476" s="74"/>
      <c r="P476" s="38" t="str">
        <f t="shared" si="63"/>
        <v/>
      </c>
      <c r="U476" s="38" t="str">
        <f t="shared" si="64"/>
        <v/>
      </c>
      <c r="V476" s="38" t="str">
        <f t="shared" si="65"/>
        <v/>
      </c>
      <c r="W476" s="38" t="str">
        <f>IF(AND(U476&lt;&gt;"",OR($S$4="(все)",B476=$S$4),IF($S$4="(все)",COUNTIF($U$4:U476,U476),COUNTIFS($U$4:U476,U476,$B$4:B476,B476))=1),MAX($W$3:W475)+1,"")</f>
        <v/>
      </c>
      <c r="X476" s="38" t="str">
        <f t="shared" si="66"/>
        <v/>
      </c>
      <c r="Y476" s="38" t="str">
        <f>IF(AND(A476="Аппарат",C476&lt;&gt;"",OR($S$5="(все)",B476=$S$5)),MAX($Y$3:Y475)+1,"")</f>
        <v/>
      </c>
      <c r="Z476" s="38" t="str">
        <f t="shared" si="67"/>
        <v/>
      </c>
      <c r="AA476" s="38" t="str">
        <f>IF(AND(A476="Модуль",C476&lt;&gt;"",OR($S$6="(все)",B476=$S$6)),MAX($AA$3:AA475)+1,"")</f>
        <v/>
      </c>
      <c r="AB476" s="38" t="str">
        <f t="shared" si="68"/>
        <v/>
      </c>
      <c r="AC476" s="38" t="str">
        <f>IF(OR(B476="",COUNTIF($B$4:B476,B476)&gt;1),"",MAX($AC$3:AC475)+1)</f>
        <v/>
      </c>
      <c r="AD476" s="38" t="str">
        <f t="shared" si="69"/>
        <v/>
      </c>
      <c r="AE476" s="38" t="str">
        <f t="shared" si="70"/>
        <v/>
      </c>
      <c r="AF476" s="38" t="str">
        <f t="shared" si="71"/>
        <v/>
      </c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38" t="str">
        <f>IF(OR(A477="Автомат",A477="Дифавтомат"),IF(W477="","",COUNTIFS(Однолинейка!$H$3:$H$3000,U477,Однолинейка!$A$3:$A$3000,Щит_спец)),IF(A477="Аппарат",IF(C477="","",COUNTIFS(Однолинейка!$I$3:$I$3000,C477,Однолинейка!$A$3:$A$3000,Щит_спец)+COUNTIFS(Однолинейка!$J$3:$J$3000,C477,Однолинейка!$A$3:$A$3000,Щит_спец)+COUNTIFS(Однолинейка!$K$3:$K$3000,C477,Однолинейка!$A$3:$A$3000,Щит_спец)),IF(A477="Модуль",IF(C477="","",COUNTIFS(Однолинейка!$AW$3:$AW$3000,"?*",Однолинейка!$AI$3:$AI$3000,C477,Однолинейка!$A$3:$A$3000,Щит_спец)),IF(A477="Клемма",IF(C477="","",IF(C477=$S$7,SUMIFS(Однолинейка!$BW$3:$BW$3000,Однолинейка!$A$3:$A$3000,Щит_спец),IF(C477=$S$8,SUMIFS(Однолинейка!$BX$3:$BX$3000,Однолинейка!$A$3:$A$3000,Щит_спец),""))),""))))</f>
        <v/>
      </c>
      <c r="O477" s="74"/>
      <c r="P477" s="38" t="str">
        <f t="shared" si="63"/>
        <v/>
      </c>
      <c r="U477" s="38" t="str">
        <f t="shared" si="64"/>
        <v/>
      </c>
      <c r="V477" s="38" t="str">
        <f t="shared" si="65"/>
        <v/>
      </c>
      <c r="W477" s="38" t="str">
        <f>IF(AND(U477&lt;&gt;"",OR($S$4="(все)",B477=$S$4),IF($S$4="(все)",COUNTIF($U$4:U477,U477),COUNTIFS($U$4:U477,U477,$B$4:B477,B477))=1),MAX($W$3:W476)+1,"")</f>
        <v/>
      </c>
      <c r="X477" s="38" t="str">
        <f t="shared" si="66"/>
        <v/>
      </c>
      <c r="Y477" s="38" t="str">
        <f>IF(AND(A477="Аппарат",C477&lt;&gt;"",OR($S$5="(все)",B477=$S$5)),MAX($Y$3:Y476)+1,"")</f>
        <v/>
      </c>
      <c r="Z477" s="38" t="str">
        <f t="shared" si="67"/>
        <v/>
      </c>
      <c r="AA477" s="38" t="str">
        <f>IF(AND(A477="Модуль",C477&lt;&gt;"",OR($S$6="(все)",B477=$S$6)),MAX($AA$3:AA476)+1,"")</f>
        <v/>
      </c>
      <c r="AB477" s="38" t="str">
        <f t="shared" si="68"/>
        <v/>
      </c>
      <c r="AC477" s="38" t="str">
        <f>IF(OR(B477="",COUNTIF($B$4:B477,B477)&gt;1),"",MAX($AC$3:AC476)+1)</f>
        <v/>
      </c>
      <c r="AD477" s="38" t="str">
        <f t="shared" si="69"/>
        <v/>
      </c>
      <c r="AE477" s="38" t="str">
        <f t="shared" si="70"/>
        <v/>
      </c>
      <c r="AF477" s="38" t="str">
        <f t="shared" si="71"/>
        <v/>
      </c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38" t="str">
        <f>IF(OR(A478="Автомат",A478="Дифавтомат"),IF(W478="","",COUNTIFS(Однолинейка!$H$3:$H$3000,U478,Однолинейка!$A$3:$A$3000,Щит_спец)),IF(A478="Аппарат",IF(C478="","",COUNTIFS(Однолинейка!$I$3:$I$3000,C478,Однолинейка!$A$3:$A$3000,Щит_спец)+COUNTIFS(Однолинейка!$J$3:$J$3000,C478,Однолинейка!$A$3:$A$3000,Щит_спец)+COUNTIFS(Однолинейка!$K$3:$K$3000,C478,Однолинейка!$A$3:$A$3000,Щит_спец)),IF(A478="Модуль",IF(C478="","",COUNTIFS(Однолинейка!$AW$3:$AW$3000,"?*",Однолинейка!$AI$3:$AI$3000,C478,Однолинейка!$A$3:$A$3000,Щит_спец)),IF(A478="Клемма",IF(C478="","",IF(C478=$S$7,SUMIFS(Однолинейка!$BW$3:$BW$3000,Однолинейка!$A$3:$A$3000,Щит_спец),IF(C478=$S$8,SUMIFS(Однолинейка!$BX$3:$BX$3000,Однолинейка!$A$3:$A$3000,Щит_спец),""))),""))))</f>
        <v/>
      </c>
      <c r="O478" s="74"/>
      <c r="P478" s="38" t="str">
        <f t="shared" si="63"/>
        <v/>
      </c>
      <c r="U478" s="38" t="str">
        <f t="shared" si="64"/>
        <v/>
      </c>
      <c r="V478" s="38" t="str">
        <f t="shared" si="65"/>
        <v/>
      </c>
      <c r="W478" s="38" t="str">
        <f>IF(AND(U478&lt;&gt;"",OR($S$4="(все)",B478=$S$4),IF($S$4="(все)",COUNTIF($U$4:U478,U478),COUNTIFS($U$4:U478,U478,$B$4:B478,B478))=1),MAX($W$3:W477)+1,"")</f>
        <v/>
      </c>
      <c r="X478" s="38" t="str">
        <f t="shared" si="66"/>
        <v/>
      </c>
      <c r="Y478" s="38" t="str">
        <f>IF(AND(A478="Аппарат",C478&lt;&gt;"",OR($S$5="(все)",B478=$S$5)),MAX($Y$3:Y477)+1,"")</f>
        <v/>
      </c>
      <c r="Z478" s="38" t="str">
        <f t="shared" si="67"/>
        <v/>
      </c>
      <c r="AA478" s="38" t="str">
        <f>IF(AND(A478="Модуль",C478&lt;&gt;"",OR($S$6="(все)",B478=$S$6)),MAX($AA$3:AA477)+1,"")</f>
        <v/>
      </c>
      <c r="AB478" s="38" t="str">
        <f t="shared" si="68"/>
        <v/>
      </c>
      <c r="AC478" s="38" t="str">
        <f>IF(OR(B478="",COUNTIF($B$4:B478,B478)&gt;1),"",MAX($AC$3:AC477)+1)</f>
        <v/>
      </c>
      <c r="AD478" s="38" t="str">
        <f t="shared" si="69"/>
        <v/>
      </c>
      <c r="AE478" s="38" t="str">
        <f t="shared" si="70"/>
        <v/>
      </c>
      <c r="AF478" s="38" t="str">
        <f t="shared" si="71"/>
        <v/>
      </c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38" t="str">
        <f>IF(OR(A479="Автомат",A479="Дифавтомат"),IF(W479="","",COUNTIFS(Однолинейка!$H$3:$H$3000,U479,Однолинейка!$A$3:$A$3000,Щит_спец)),IF(A479="Аппарат",IF(C479="","",COUNTIFS(Однолинейка!$I$3:$I$3000,C479,Однолинейка!$A$3:$A$3000,Щит_спец)+COUNTIFS(Однолинейка!$J$3:$J$3000,C479,Однолинейка!$A$3:$A$3000,Щит_спец)+COUNTIFS(Однолинейка!$K$3:$K$3000,C479,Однолинейка!$A$3:$A$3000,Щит_спец)),IF(A479="Модуль",IF(C479="","",COUNTIFS(Однолинейка!$AW$3:$AW$3000,"?*",Однолинейка!$AI$3:$AI$3000,C479,Однолинейка!$A$3:$A$3000,Щит_спец)),IF(A479="Клемма",IF(C479="","",IF(C479=$S$7,SUMIFS(Однолинейка!$BW$3:$BW$3000,Однолинейка!$A$3:$A$3000,Щит_спец),IF(C479=$S$8,SUMIFS(Однолинейка!$BX$3:$BX$3000,Однолинейка!$A$3:$A$3000,Щит_спец),""))),""))))</f>
        <v/>
      </c>
      <c r="O479" s="74"/>
      <c r="P479" s="38" t="str">
        <f t="shared" si="63"/>
        <v/>
      </c>
      <c r="U479" s="38" t="str">
        <f t="shared" si="64"/>
        <v/>
      </c>
      <c r="V479" s="38" t="str">
        <f t="shared" si="65"/>
        <v/>
      </c>
      <c r="W479" s="38" t="str">
        <f>IF(AND(U479&lt;&gt;"",OR($S$4="(все)",B479=$S$4),IF($S$4="(все)",COUNTIF($U$4:U479,U479),COUNTIFS($U$4:U479,U479,$B$4:B479,B479))=1),MAX($W$3:W478)+1,"")</f>
        <v/>
      </c>
      <c r="X479" s="38" t="str">
        <f t="shared" si="66"/>
        <v/>
      </c>
      <c r="Y479" s="38" t="str">
        <f>IF(AND(A479="Аппарат",C479&lt;&gt;"",OR($S$5="(все)",B479=$S$5)),MAX($Y$3:Y478)+1,"")</f>
        <v/>
      </c>
      <c r="Z479" s="38" t="str">
        <f t="shared" si="67"/>
        <v/>
      </c>
      <c r="AA479" s="38" t="str">
        <f>IF(AND(A479="Модуль",C479&lt;&gt;"",OR($S$6="(все)",B479=$S$6)),MAX($AA$3:AA478)+1,"")</f>
        <v/>
      </c>
      <c r="AB479" s="38" t="str">
        <f t="shared" si="68"/>
        <v/>
      </c>
      <c r="AC479" s="38" t="str">
        <f>IF(OR(B479="",COUNTIF($B$4:B479,B479)&gt;1),"",MAX($AC$3:AC478)+1)</f>
        <v/>
      </c>
      <c r="AD479" s="38" t="str">
        <f t="shared" si="69"/>
        <v/>
      </c>
      <c r="AE479" s="38" t="str">
        <f t="shared" si="70"/>
        <v/>
      </c>
      <c r="AF479" s="38" t="str">
        <f t="shared" si="71"/>
        <v/>
      </c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38" t="str">
        <f>IF(OR(A480="Автомат",A480="Дифавтомат"),IF(W480="","",COUNTIFS(Однолинейка!$H$3:$H$3000,U480,Однолинейка!$A$3:$A$3000,Щит_спец)),IF(A480="Аппарат",IF(C480="","",COUNTIFS(Однолинейка!$I$3:$I$3000,C480,Однолинейка!$A$3:$A$3000,Щит_спец)+COUNTIFS(Однолинейка!$J$3:$J$3000,C480,Однолинейка!$A$3:$A$3000,Щит_спец)+COUNTIFS(Однолинейка!$K$3:$K$3000,C480,Однолинейка!$A$3:$A$3000,Щит_спец)),IF(A480="Модуль",IF(C480="","",COUNTIFS(Однолинейка!$AW$3:$AW$3000,"?*",Однолинейка!$AI$3:$AI$3000,C480,Однолинейка!$A$3:$A$3000,Щит_спец)),IF(A480="Клемма",IF(C480="","",IF(C480=$S$7,SUMIFS(Однолинейка!$BW$3:$BW$3000,Однолинейка!$A$3:$A$3000,Щит_спец),IF(C480=$S$8,SUMIFS(Однолинейка!$BX$3:$BX$3000,Однолинейка!$A$3:$A$3000,Щит_спец),""))),""))))</f>
        <v/>
      </c>
      <c r="O480" s="74"/>
      <c r="P480" s="38" t="str">
        <f t="shared" si="63"/>
        <v/>
      </c>
      <c r="U480" s="38" t="str">
        <f t="shared" si="64"/>
        <v/>
      </c>
      <c r="V480" s="38" t="str">
        <f t="shared" si="65"/>
        <v/>
      </c>
      <c r="W480" s="38" t="str">
        <f>IF(AND(U480&lt;&gt;"",OR($S$4="(все)",B480=$S$4),IF($S$4="(все)",COUNTIF($U$4:U480,U480),COUNTIFS($U$4:U480,U480,$B$4:B480,B480))=1),MAX($W$3:W479)+1,"")</f>
        <v/>
      </c>
      <c r="X480" s="38" t="str">
        <f t="shared" si="66"/>
        <v/>
      </c>
      <c r="Y480" s="38" t="str">
        <f>IF(AND(A480="Аппарат",C480&lt;&gt;"",OR($S$5="(все)",B480=$S$5)),MAX($Y$3:Y479)+1,"")</f>
        <v/>
      </c>
      <c r="Z480" s="38" t="str">
        <f t="shared" si="67"/>
        <v/>
      </c>
      <c r="AA480" s="38" t="str">
        <f>IF(AND(A480="Модуль",C480&lt;&gt;"",OR($S$6="(все)",B480=$S$6)),MAX($AA$3:AA479)+1,"")</f>
        <v/>
      </c>
      <c r="AB480" s="38" t="str">
        <f t="shared" si="68"/>
        <v/>
      </c>
      <c r="AC480" s="38" t="str">
        <f>IF(OR(B480="",COUNTIF($B$4:B480,B480)&gt;1),"",MAX($AC$3:AC479)+1)</f>
        <v/>
      </c>
      <c r="AD480" s="38" t="str">
        <f t="shared" si="69"/>
        <v/>
      </c>
      <c r="AE480" s="38" t="str">
        <f t="shared" si="70"/>
        <v/>
      </c>
      <c r="AF480" s="38" t="str">
        <f t="shared" si="71"/>
        <v/>
      </c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38" t="str">
        <f>IF(OR(A481="Автомат",A481="Дифавтомат"),IF(W481="","",COUNTIFS(Однолинейка!$H$3:$H$3000,U481,Однолинейка!$A$3:$A$3000,Щит_спец)),IF(A481="Аппарат",IF(C481="","",COUNTIFS(Однолинейка!$I$3:$I$3000,C481,Однолинейка!$A$3:$A$3000,Щит_спец)+COUNTIFS(Однолинейка!$J$3:$J$3000,C481,Однолинейка!$A$3:$A$3000,Щит_спец)+COUNTIFS(Однолинейка!$K$3:$K$3000,C481,Однолинейка!$A$3:$A$3000,Щит_спец)),IF(A481="Модуль",IF(C481="","",COUNTIFS(Однолинейка!$AW$3:$AW$3000,"?*",Однолинейка!$AI$3:$AI$3000,C481,Однолинейка!$A$3:$A$3000,Щит_спец)),IF(A481="Клемма",IF(C481="","",IF(C481=$S$7,SUMIFS(Однолинейка!$BW$3:$BW$3000,Однолинейка!$A$3:$A$3000,Щит_спец),IF(C481=$S$8,SUMIFS(Однолинейка!$BX$3:$BX$3000,Однолинейка!$A$3:$A$3000,Щит_спец),""))),""))))</f>
        <v/>
      </c>
      <c r="O481" s="74"/>
      <c r="P481" s="38" t="str">
        <f t="shared" si="63"/>
        <v/>
      </c>
      <c r="U481" s="38" t="str">
        <f t="shared" si="64"/>
        <v/>
      </c>
      <c r="V481" s="38" t="str">
        <f t="shared" si="65"/>
        <v/>
      </c>
      <c r="W481" s="38" t="str">
        <f>IF(AND(U481&lt;&gt;"",OR($S$4="(все)",B481=$S$4),IF($S$4="(все)",COUNTIF($U$4:U481,U481),COUNTIFS($U$4:U481,U481,$B$4:B481,B481))=1),MAX($W$3:W480)+1,"")</f>
        <v/>
      </c>
      <c r="X481" s="38" t="str">
        <f t="shared" si="66"/>
        <v/>
      </c>
      <c r="Y481" s="38" t="str">
        <f>IF(AND(A481="Аппарат",C481&lt;&gt;"",OR($S$5="(все)",B481=$S$5)),MAX($Y$3:Y480)+1,"")</f>
        <v/>
      </c>
      <c r="Z481" s="38" t="str">
        <f t="shared" si="67"/>
        <v/>
      </c>
      <c r="AA481" s="38" t="str">
        <f>IF(AND(A481="Модуль",C481&lt;&gt;"",OR($S$6="(все)",B481=$S$6)),MAX($AA$3:AA480)+1,"")</f>
        <v/>
      </c>
      <c r="AB481" s="38" t="str">
        <f t="shared" si="68"/>
        <v/>
      </c>
      <c r="AC481" s="38" t="str">
        <f>IF(OR(B481="",COUNTIF($B$4:B481,B481)&gt;1),"",MAX($AC$3:AC480)+1)</f>
        <v/>
      </c>
      <c r="AD481" s="38" t="str">
        <f t="shared" si="69"/>
        <v/>
      </c>
      <c r="AE481" s="38" t="str">
        <f t="shared" si="70"/>
        <v/>
      </c>
      <c r="AF481" s="38" t="str">
        <f t="shared" si="71"/>
        <v/>
      </c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38" t="str">
        <f>IF(OR(A482="Автомат",A482="Дифавтомат"),IF(W482="","",COUNTIFS(Однолинейка!$H$3:$H$3000,U482,Однолинейка!$A$3:$A$3000,Щит_спец)),IF(A482="Аппарат",IF(C482="","",COUNTIFS(Однолинейка!$I$3:$I$3000,C482,Однолинейка!$A$3:$A$3000,Щит_спец)+COUNTIFS(Однолинейка!$J$3:$J$3000,C482,Однолинейка!$A$3:$A$3000,Щит_спец)+COUNTIFS(Однолинейка!$K$3:$K$3000,C482,Однолинейка!$A$3:$A$3000,Щит_спец)),IF(A482="Модуль",IF(C482="","",COUNTIFS(Однолинейка!$AW$3:$AW$3000,"?*",Однолинейка!$AI$3:$AI$3000,C482,Однолинейка!$A$3:$A$3000,Щит_спец)),IF(A482="Клемма",IF(C482="","",IF(C482=$S$7,SUMIFS(Однолинейка!$BW$3:$BW$3000,Однолинейка!$A$3:$A$3000,Щит_спец),IF(C482=$S$8,SUMIFS(Однолинейка!$BX$3:$BX$3000,Однолинейка!$A$3:$A$3000,Щит_спец),""))),""))))</f>
        <v/>
      </c>
      <c r="O482" s="74"/>
      <c r="P482" s="38" t="str">
        <f t="shared" si="63"/>
        <v/>
      </c>
      <c r="U482" s="38" t="str">
        <f t="shared" si="64"/>
        <v/>
      </c>
      <c r="V482" s="38" t="str">
        <f t="shared" si="65"/>
        <v/>
      </c>
      <c r="W482" s="38" t="str">
        <f>IF(AND(U482&lt;&gt;"",OR($S$4="(все)",B482=$S$4),IF($S$4="(все)",COUNTIF($U$4:U482,U482),COUNTIFS($U$4:U482,U482,$B$4:B482,B482))=1),MAX($W$3:W481)+1,"")</f>
        <v/>
      </c>
      <c r="X482" s="38" t="str">
        <f t="shared" si="66"/>
        <v/>
      </c>
      <c r="Y482" s="38" t="str">
        <f>IF(AND(A482="Аппарат",C482&lt;&gt;"",OR($S$5="(все)",B482=$S$5)),MAX($Y$3:Y481)+1,"")</f>
        <v/>
      </c>
      <c r="Z482" s="38" t="str">
        <f t="shared" si="67"/>
        <v/>
      </c>
      <c r="AA482" s="38" t="str">
        <f>IF(AND(A482="Модуль",C482&lt;&gt;"",OR($S$6="(все)",B482=$S$6)),MAX($AA$3:AA481)+1,"")</f>
        <v/>
      </c>
      <c r="AB482" s="38" t="str">
        <f t="shared" si="68"/>
        <v/>
      </c>
      <c r="AC482" s="38" t="str">
        <f>IF(OR(B482="",COUNTIF($B$4:B482,B482)&gt;1),"",MAX($AC$3:AC481)+1)</f>
        <v/>
      </c>
      <c r="AD482" s="38" t="str">
        <f t="shared" si="69"/>
        <v/>
      </c>
      <c r="AE482" s="38" t="str">
        <f t="shared" si="70"/>
        <v/>
      </c>
      <c r="AF482" s="38" t="str">
        <f t="shared" si="71"/>
        <v/>
      </c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38" t="str">
        <f>IF(OR(A483="Автомат",A483="Дифавтомат"),IF(W483="","",COUNTIFS(Однолинейка!$H$3:$H$3000,U483,Однолинейка!$A$3:$A$3000,Щит_спец)),IF(A483="Аппарат",IF(C483="","",COUNTIFS(Однолинейка!$I$3:$I$3000,C483,Однолинейка!$A$3:$A$3000,Щит_спец)+COUNTIFS(Однолинейка!$J$3:$J$3000,C483,Однолинейка!$A$3:$A$3000,Щит_спец)+COUNTIFS(Однолинейка!$K$3:$K$3000,C483,Однолинейка!$A$3:$A$3000,Щит_спец)),IF(A483="Модуль",IF(C483="","",COUNTIFS(Однолинейка!$AW$3:$AW$3000,"?*",Однолинейка!$AI$3:$AI$3000,C483,Однолинейка!$A$3:$A$3000,Щит_спец)),IF(A483="Клемма",IF(C483="","",IF(C483=$S$7,SUMIFS(Однолинейка!$BW$3:$BW$3000,Однолинейка!$A$3:$A$3000,Щит_спец),IF(C483=$S$8,SUMIFS(Однолинейка!$BX$3:$BX$3000,Однолинейка!$A$3:$A$3000,Щит_спец),""))),""))))</f>
        <v/>
      </c>
      <c r="O483" s="74"/>
      <c r="P483" s="38" t="str">
        <f t="shared" si="63"/>
        <v/>
      </c>
      <c r="U483" s="38" t="str">
        <f t="shared" si="64"/>
        <v/>
      </c>
      <c r="V483" s="38" t="str">
        <f t="shared" si="65"/>
        <v/>
      </c>
      <c r="W483" s="38" t="str">
        <f>IF(AND(U483&lt;&gt;"",OR($S$4="(все)",B483=$S$4),IF($S$4="(все)",COUNTIF($U$4:U483,U483),COUNTIFS($U$4:U483,U483,$B$4:B483,B483))=1),MAX($W$3:W482)+1,"")</f>
        <v/>
      </c>
      <c r="X483" s="38" t="str">
        <f t="shared" si="66"/>
        <v/>
      </c>
      <c r="Y483" s="38" t="str">
        <f>IF(AND(A483="Аппарат",C483&lt;&gt;"",OR($S$5="(все)",B483=$S$5)),MAX($Y$3:Y482)+1,"")</f>
        <v/>
      </c>
      <c r="Z483" s="38" t="str">
        <f t="shared" si="67"/>
        <v/>
      </c>
      <c r="AA483" s="38" t="str">
        <f>IF(AND(A483="Модуль",C483&lt;&gt;"",OR($S$6="(все)",B483=$S$6)),MAX($AA$3:AA482)+1,"")</f>
        <v/>
      </c>
      <c r="AB483" s="38" t="str">
        <f t="shared" si="68"/>
        <v/>
      </c>
      <c r="AC483" s="38" t="str">
        <f>IF(OR(B483="",COUNTIF($B$4:B483,B483)&gt;1),"",MAX($AC$3:AC482)+1)</f>
        <v/>
      </c>
      <c r="AD483" s="38" t="str">
        <f t="shared" si="69"/>
        <v/>
      </c>
      <c r="AE483" s="38" t="str">
        <f t="shared" si="70"/>
        <v/>
      </c>
      <c r="AF483" s="38" t="str">
        <f t="shared" si="71"/>
        <v/>
      </c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38" t="str">
        <f>IF(OR(A484="Автомат",A484="Дифавтомат"),IF(W484="","",COUNTIFS(Однолинейка!$H$3:$H$3000,U484,Однолинейка!$A$3:$A$3000,Щит_спец)),IF(A484="Аппарат",IF(C484="","",COUNTIFS(Однолинейка!$I$3:$I$3000,C484,Однолинейка!$A$3:$A$3000,Щит_спец)+COUNTIFS(Однолинейка!$J$3:$J$3000,C484,Однолинейка!$A$3:$A$3000,Щит_спец)+COUNTIFS(Однолинейка!$K$3:$K$3000,C484,Однолинейка!$A$3:$A$3000,Щит_спец)),IF(A484="Модуль",IF(C484="","",COUNTIFS(Однолинейка!$AW$3:$AW$3000,"?*",Однолинейка!$AI$3:$AI$3000,C484,Однолинейка!$A$3:$A$3000,Щит_спец)),IF(A484="Клемма",IF(C484="","",IF(C484=$S$7,SUMIFS(Однолинейка!$BW$3:$BW$3000,Однолинейка!$A$3:$A$3000,Щит_спец),IF(C484=$S$8,SUMIFS(Однолинейка!$BX$3:$BX$3000,Однолинейка!$A$3:$A$3000,Щит_спец),""))),""))))</f>
        <v/>
      </c>
      <c r="O484" s="74"/>
      <c r="P484" s="38" t="str">
        <f t="shared" si="63"/>
        <v/>
      </c>
      <c r="U484" s="38" t="str">
        <f t="shared" si="64"/>
        <v/>
      </c>
      <c r="V484" s="38" t="str">
        <f t="shared" si="65"/>
        <v/>
      </c>
      <c r="W484" s="38" t="str">
        <f>IF(AND(U484&lt;&gt;"",OR($S$4="(все)",B484=$S$4),IF($S$4="(все)",COUNTIF($U$4:U484,U484),COUNTIFS($U$4:U484,U484,$B$4:B484,B484))=1),MAX($W$3:W483)+1,"")</f>
        <v/>
      </c>
      <c r="X484" s="38" t="str">
        <f t="shared" si="66"/>
        <v/>
      </c>
      <c r="Y484" s="38" t="str">
        <f>IF(AND(A484="Аппарат",C484&lt;&gt;"",OR($S$5="(все)",B484=$S$5)),MAX($Y$3:Y483)+1,"")</f>
        <v/>
      </c>
      <c r="Z484" s="38" t="str">
        <f t="shared" si="67"/>
        <v/>
      </c>
      <c r="AA484" s="38" t="str">
        <f>IF(AND(A484="Модуль",C484&lt;&gt;"",OR($S$6="(все)",B484=$S$6)),MAX($AA$3:AA483)+1,"")</f>
        <v/>
      </c>
      <c r="AB484" s="38" t="str">
        <f t="shared" si="68"/>
        <v/>
      </c>
      <c r="AC484" s="38" t="str">
        <f>IF(OR(B484="",COUNTIF($B$4:B484,B484)&gt;1),"",MAX($AC$3:AC483)+1)</f>
        <v/>
      </c>
      <c r="AD484" s="38" t="str">
        <f t="shared" si="69"/>
        <v/>
      </c>
      <c r="AE484" s="38" t="str">
        <f t="shared" si="70"/>
        <v/>
      </c>
      <c r="AF484" s="38" t="str">
        <f t="shared" si="71"/>
        <v/>
      </c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38" t="str">
        <f>IF(OR(A485="Автомат",A485="Дифавтомат"),IF(W485="","",COUNTIFS(Однолинейка!$H$3:$H$3000,U485,Однолинейка!$A$3:$A$3000,Щит_спец)),IF(A485="Аппарат",IF(C485="","",COUNTIFS(Однолинейка!$I$3:$I$3000,C485,Однолинейка!$A$3:$A$3000,Щит_спец)+COUNTIFS(Однолинейка!$J$3:$J$3000,C485,Однолинейка!$A$3:$A$3000,Щит_спец)+COUNTIFS(Однолинейка!$K$3:$K$3000,C485,Однолинейка!$A$3:$A$3000,Щит_спец)),IF(A485="Модуль",IF(C485="","",COUNTIFS(Однолинейка!$AW$3:$AW$3000,"?*",Однолинейка!$AI$3:$AI$3000,C485,Однолинейка!$A$3:$A$3000,Щит_спец)),IF(A485="Клемма",IF(C485="","",IF(C485=$S$7,SUMIFS(Однолинейка!$BW$3:$BW$3000,Однолинейка!$A$3:$A$3000,Щит_спец),IF(C485=$S$8,SUMIFS(Однолинейка!$BX$3:$BX$3000,Однолинейка!$A$3:$A$3000,Щит_спец),""))),""))))</f>
        <v/>
      </c>
      <c r="O485" s="74"/>
      <c r="P485" s="38" t="str">
        <f t="shared" si="63"/>
        <v/>
      </c>
      <c r="U485" s="38" t="str">
        <f t="shared" si="64"/>
        <v/>
      </c>
      <c r="V485" s="38" t="str">
        <f t="shared" si="65"/>
        <v/>
      </c>
      <c r="W485" s="38" t="str">
        <f>IF(AND(U485&lt;&gt;"",OR($S$4="(все)",B485=$S$4),IF($S$4="(все)",COUNTIF($U$4:U485,U485),COUNTIFS($U$4:U485,U485,$B$4:B485,B485))=1),MAX($W$3:W484)+1,"")</f>
        <v/>
      </c>
      <c r="X485" s="38" t="str">
        <f t="shared" si="66"/>
        <v/>
      </c>
      <c r="Y485" s="38" t="str">
        <f>IF(AND(A485="Аппарат",C485&lt;&gt;"",OR($S$5="(все)",B485=$S$5)),MAX($Y$3:Y484)+1,"")</f>
        <v/>
      </c>
      <c r="Z485" s="38" t="str">
        <f t="shared" si="67"/>
        <v/>
      </c>
      <c r="AA485" s="38" t="str">
        <f>IF(AND(A485="Модуль",C485&lt;&gt;"",OR($S$6="(все)",B485=$S$6)),MAX($AA$3:AA484)+1,"")</f>
        <v/>
      </c>
      <c r="AB485" s="38" t="str">
        <f t="shared" si="68"/>
        <v/>
      </c>
      <c r="AC485" s="38" t="str">
        <f>IF(OR(B485="",COUNTIF($B$4:B485,B485)&gt;1),"",MAX($AC$3:AC484)+1)</f>
        <v/>
      </c>
      <c r="AD485" s="38" t="str">
        <f t="shared" si="69"/>
        <v/>
      </c>
      <c r="AE485" s="38" t="str">
        <f t="shared" si="70"/>
        <v/>
      </c>
      <c r="AF485" s="38" t="str">
        <f t="shared" si="71"/>
        <v/>
      </c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38" t="str">
        <f>IF(OR(A486="Автомат",A486="Дифавтомат"),IF(W486="","",COUNTIFS(Однолинейка!$H$3:$H$3000,U486,Однолинейка!$A$3:$A$3000,Щит_спец)),IF(A486="Аппарат",IF(C486="","",COUNTIFS(Однолинейка!$I$3:$I$3000,C486,Однолинейка!$A$3:$A$3000,Щит_спец)+COUNTIFS(Однолинейка!$J$3:$J$3000,C486,Однолинейка!$A$3:$A$3000,Щит_спец)+COUNTIFS(Однолинейка!$K$3:$K$3000,C486,Однолинейка!$A$3:$A$3000,Щит_спец)),IF(A486="Модуль",IF(C486="","",COUNTIFS(Однолинейка!$AW$3:$AW$3000,"?*",Однолинейка!$AI$3:$AI$3000,C486,Однолинейка!$A$3:$A$3000,Щит_спец)),IF(A486="Клемма",IF(C486="","",IF(C486=$S$7,SUMIFS(Однолинейка!$BW$3:$BW$3000,Однолинейка!$A$3:$A$3000,Щит_спец),IF(C486=$S$8,SUMIFS(Однолинейка!$BX$3:$BX$3000,Однолинейка!$A$3:$A$3000,Щит_спец),""))),""))))</f>
        <v/>
      </c>
      <c r="O486" s="74"/>
      <c r="P486" s="38" t="str">
        <f t="shared" si="63"/>
        <v/>
      </c>
      <c r="U486" s="38" t="str">
        <f t="shared" si="64"/>
        <v/>
      </c>
      <c r="V486" s="38" t="str">
        <f t="shared" si="65"/>
        <v/>
      </c>
      <c r="W486" s="38" t="str">
        <f>IF(AND(U486&lt;&gt;"",OR($S$4="(все)",B486=$S$4),IF($S$4="(все)",COUNTIF($U$4:U486,U486),COUNTIFS($U$4:U486,U486,$B$4:B486,B486))=1),MAX($W$3:W485)+1,"")</f>
        <v/>
      </c>
      <c r="X486" s="38" t="str">
        <f t="shared" si="66"/>
        <v/>
      </c>
      <c r="Y486" s="38" t="str">
        <f>IF(AND(A486="Аппарат",C486&lt;&gt;"",OR($S$5="(все)",B486=$S$5)),MAX($Y$3:Y485)+1,"")</f>
        <v/>
      </c>
      <c r="Z486" s="38" t="str">
        <f t="shared" si="67"/>
        <v/>
      </c>
      <c r="AA486" s="38" t="str">
        <f>IF(AND(A486="Модуль",C486&lt;&gt;"",OR($S$6="(все)",B486=$S$6)),MAX($AA$3:AA485)+1,"")</f>
        <v/>
      </c>
      <c r="AB486" s="38" t="str">
        <f t="shared" si="68"/>
        <v/>
      </c>
      <c r="AC486" s="38" t="str">
        <f>IF(OR(B486="",COUNTIF($B$4:B486,B486)&gt;1),"",MAX($AC$3:AC485)+1)</f>
        <v/>
      </c>
      <c r="AD486" s="38" t="str">
        <f t="shared" si="69"/>
        <v/>
      </c>
      <c r="AE486" s="38" t="str">
        <f t="shared" si="70"/>
        <v/>
      </c>
      <c r="AF486" s="38" t="str">
        <f t="shared" si="71"/>
        <v/>
      </c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38" t="str">
        <f>IF(OR(A487="Автомат",A487="Дифавтомат"),IF(W487="","",COUNTIFS(Однолинейка!$H$3:$H$3000,U487,Однолинейка!$A$3:$A$3000,Щит_спец)),IF(A487="Аппарат",IF(C487="","",COUNTIFS(Однолинейка!$I$3:$I$3000,C487,Однолинейка!$A$3:$A$3000,Щит_спец)+COUNTIFS(Однолинейка!$J$3:$J$3000,C487,Однолинейка!$A$3:$A$3000,Щит_спец)+COUNTIFS(Однолинейка!$K$3:$K$3000,C487,Однолинейка!$A$3:$A$3000,Щит_спец)),IF(A487="Модуль",IF(C487="","",COUNTIFS(Однолинейка!$AW$3:$AW$3000,"?*",Однолинейка!$AI$3:$AI$3000,C487,Однолинейка!$A$3:$A$3000,Щит_спец)),IF(A487="Клемма",IF(C487="","",IF(C487=$S$7,SUMIFS(Однолинейка!$BW$3:$BW$3000,Однолинейка!$A$3:$A$3000,Щит_спец),IF(C487=$S$8,SUMIFS(Однолинейка!$BX$3:$BX$3000,Однолинейка!$A$3:$A$3000,Щит_спец),""))),""))))</f>
        <v/>
      </c>
      <c r="O487" s="74"/>
      <c r="P487" s="38" t="str">
        <f t="shared" si="63"/>
        <v/>
      </c>
      <c r="U487" s="38" t="str">
        <f t="shared" si="64"/>
        <v/>
      </c>
      <c r="V487" s="38" t="str">
        <f t="shared" si="65"/>
        <v/>
      </c>
      <c r="W487" s="38" t="str">
        <f>IF(AND(U487&lt;&gt;"",OR($S$4="(все)",B487=$S$4),IF($S$4="(все)",COUNTIF($U$4:U487,U487),COUNTIFS($U$4:U487,U487,$B$4:B487,B487))=1),MAX($W$3:W486)+1,"")</f>
        <v/>
      </c>
      <c r="X487" s="38" t="str">
        <f t="shared" si="66"/>
        <v/>
      </c>
      <c r="Y487" s="38" t="str">
        <f>IF(AND(A487="Аппарат",C487&lt;&gt;"",OR($S$5="(все)",B487=$S$5)),MAX($Y$3:Y486)+1,"")</f>
        <v/>
      </c>
      <c r="Z487" s="38" t="str">
        <f t="shared" si="67"/>
        <v/>
      </c>
      <c r="AA487" s="38" t="str">
        <f>IF(AND(A487="Модуль",C487&lt;&gt;"",OR($S$6="(все)",B487=$S$6)),MAX($AA$3:AA486)+1,"")</f>
        <v/>
      </c>
      <c r="AB487" s="38" t="str">
        <f t="shared" si="68"/>
        <v/>
      </c>
      <c r="AC487" s="38" t="str">
        <f>IF(OR(B487="",COUNTIF($B$4:B487,B487)&gt;1),"",MAX($AC$3:AC486)+1)</f>
        <v/>
      </c>
      <c r="AD487" s="38" t="str">
        <f t="shared" si="69"/>
        <v/>
      </c>
      <c r="AE487" s="38" t="str">
        <f t="shared" si="70"/>
        <v/>
      </c>
      <c r="AF487" s="38" t="str">
        <f t="shared" si="71"/>
        <v/>
      </c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38" t="str">
        <f>IF(OR(A488="Автомат",A488="Дифавтомат"),IF(W488="","",COUNTIFS(Однолинейка!$H$3:$H$3000,U488,Однолинейка!$A$3:$A$3000,Щит_спец)),IF(A488="Аппарат",IF(C488="","",COUNTIFS(Однолинейка!$I$3:$I$3000,C488,Однолинейка!$A$3:$A$3000,Щит_спец)+COUNTIFS(Однолинейка!$J$3:$J$3000,C488,Однолинейка!$A$3:$A$3000,Щит_спец)+COUNTIFS(Однолинейка!$K$3:$K$3000,C488,Однолинейка!$A$3:$A$3000,Щит_спец)),IF(A488="Модуль",IF(C488="","",COUNTIFS(Однолинейка!$AW$3:$AW$3000,"?*",Однолинейка!$AI$3:$AI$3000,C488,Однолинейка!$A$3:$A$3000,Щит_спец)),IF(A488="Клемма",IF(C488="","",IF(C488=$S$7,SUMIFS(Однолинейка!$BW$3:$BW$3000,Однолинейка!$A$3:$A$3000,Щит_спец),IF(C488=$S$8,SUMIFS(Однолинейка!$BX$3:$BX$3000,Однолинейка!$A$3:$A$3000,Щит_спец),""))),""))))</f>
        <v/>
      </c>
      <c r="O488" s="74"/>
      <c r="P488" s="38" t="str">
        <f t="shared" si="63"/>
        <v/>
      </c>
      <c r="U488" s="38" t="str">
        <f t="shared" si="64"/>
        <v/>
      </c>
      <c r="V488" s="38" t="str">
        <f t="shared" si="65"/>
        <v/>
      </c>
      <c r="W488" s="38" t="str">
        <f>IF(AND(U488&lt;&gt;"",OR($S$4="(все)",B488=$S$4),IF($S$4="(все)",COUNTIF($U$4:U488,U488),COUNTIFS($U$4:U488,U488,$B$4:B488,B488))=1),MAX($W$3:W487)+1,"")</f>
        <v/>
      </c>
      <c r="X488" s="38" t="str">
        <f t="shared" si="66"/>
        <v/>
      </c>
      <c r="Y488" s="38" t="str">
        <f>IF(AND(A488="Аппарат",C488&lt;&gt;"",OR($S$5="(все)",B488=$S$5)),MAX($Y$3:Y487)+1,"")</f>
        <v/>
      </c>
      <c r="Z488" s="38" t="str">
        <f t="shared" si="67"/>
        <v/>
      </c>
      <c r="AA488" s="38" t="str">
        <f>IF(AND(A488="Модуль",C488&lt;&gt;"",OR($S$6="(все)",B488=$S$6)),MAX($AA$3:AA487)+1,"")</f>
        <v/>
      </c>
      <c r="AB488" s="38" t="str">
        <f t="shared" si="68"/>
        <v/>
      </c>
      <c r="AC488" s="38" t="str">
        <f>IF(OR(B488="",COUNTIF($B$4:B488,B488)&gt;1),"",MAX($AC$3:AC487)+1)</f>
        <v/>
      </c>
      <c r="AD488" s="38" t="str">
        <f t="shared" si="69"/>
        <v/>
      </c>
      <c r="AE488" s="38" t="str">
        <f t="shared" si="70"/>
        <v/>
      </c>
      <c r="AF488" s="38" t="str">
        <f t="shared" si="71"/>
        <v/>
      </c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38" t="str">
        <f>IF(OR(A489="Автомат",A489="Дифавтомат"),IF(W489="","",COUNTIFS(Однолинейка!$H$3:$H$3000,U489,Однолинейка!$A$3:$A$3000,Щит_спец)),IF(A489="Аппарат",IF(C489="","",COUNTIFS(Однолинейка!$I$3:$I$3000,C489,Однолинейка!$A$3:$A$3000,Щит_спец)+COUNTIFS(Однолинейка!$J$3:$J$3000,C489,Однолинейка!$A$3:$A$3000,Щит_спец)+COUNTIFS(Однолинейка!$K$3:$K$3000,C489,Однолинейка!$A$3:$A$3000,Щит_спец)),IF(A489="Модуль",IF(C489="","",COUNTIFS(Однолинейка!$AW$3:$AW$3000,"?*",Однолинейка!$AI$3:$AI$3000,C489,Однолинейка!$A$3:$A$3000,Щит_спец)),IF(A489="Клемма",IF(C489="","",IF(C489=$S$7,SUMIFS(Однолинейка!$BW$3:$BW$3000,Однолинейка!$A$3:$A$3000,Щит_спец),IF(C489=$S$8,SUMIFS(Однолинейка!$BX$3:$BX$3000,Однолинейка!$A$3:$A$3000,Щит_спец),""))),""))))</f>
        <v/>
      </c>
      <c r="O489" s="74"/>
      <c r="P489" s="38" t="str">
        <f t="shared" si="63"/>
        <v/>
      </c>
      <c r="U489" s="38" t="str">
        <f t="shared" si="64"/>
        <v/>
      </c>
      <c r="V489" s="38" t="str">
        <f t="shared" si="65"/>
        <v/>
      </c>
      <c r="W489" s="38" t="str">
        <f>IF(AND(U489&lt;&gt;"",OR($S$4="(все)",B489=$S$4),IF($S$4="(все)",COUNTIF($U$4:U489,U489),COUNTIFS($U$4:U489,U489,$B$4:B489,B489))=1),MAX($W$3:W488)+1,"")</f>
        <v/>
      </c>
      <c r="X489" s="38" t="str">
        <f t="shared" si="66"/>
        <v/>
      </c>
      <c r="Y489" s="38" t="str">
        <f>IF(AND(A489="Аппарат",C489&lt;&gt;"",OR($S$5="(все)",B489=$S$5)),MAX($Y$3:Y488)+1,"")</f>
        <v/>
      </c>
      <c r="Z489" s="38" t="str">
        <f t="shared" si="67"/>
        <v/>
      </c>
      <c r="AA489" s="38" t="str">
        <f>IF(AND(A489="Модуль",C489&lt;&gt;"",OR($S$6="(все)",B489=$S$6)),MAX($AA$3:AA488)+1,"")</f>
        <v/>
      </c>
      <c r="AB489" s="38" t="str">
        <f t="shared" si="68"/>
        <v/>
      </c>
      <c r="AC489" s="38" t="str">
        <f>IF(OR(B489="",COUNTIF($B$4:B489,B489)&gt;1),"",MAX($AC$3:AC488)+1)</f>
        <v/>
      </c>
      <c r="AD489" s="38" t="str">
        <f t="shared" si="69"/>
        <v/>
      </c>
      <c r="AE489" s="38" t="str">
        <f t="shared" si="70"/>
        <v/>
      </c>
      <c r="AF489" s="38" t="str">
        <f t="shared" si="71"/>
        <v/>
      </c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38" t="str">
        <f>IF(OR(A490="Автомат",A490="Дифавтомат"),IF(W490="","",COUNTIFS(Однолинейка!$H$3:$H$3000,U490,Однолинейка!$A$3:$A$3000,Щит_спец)),IF(A490="Аппарат",IF(C490="","",COUNTIFS(Однолинейка!$I$3:$I$3000,C490,Однолинейка!$A$3:$A$3000,Щит_спец)+COUNTIFS(Однолинейка!$J$3:$J$3000,C490,Однолинейка!$A$3:$A$3000,Щит_спец)+COUNTIFS(Однолинейка!$K$3:$K$3000,C490,Однолинейка!$A$3:$A$3000,Щит_спец)),IF(A490="Модуль",IF(C490="","",COUNTIFS(Однолинейка!$AW$3:$AW$3000,"?*",Однолинейка!$AI$3:$AI$3000,C490,Однолинейка!$A$3:$A$3000,Щит_спец)),IF(A490="Клемма",IF(C490="","",IF(C490=$S$7,SUMIFS(Однолинейка!$BW$3:$BW$3000,Однолинейка!$A$3:$A$3000,Щит_спец),IF(C490=$S$8,SUMIFS(Однолинейка!$BX$3:$BX$3000,Однолинейка!$A$3:$A$3000,Щит_спец),""))),""))))</f>
        <v/>
      </c>
      <c r="O490" s="74"/>
      <c r="P490" s="38" t="str">
        <f t="shared" si="63"/>
        <v/>
      </c>
      <c r="U490" s="38" t="str">
        <f t="shared" si="64"/>
        <v/>
      </c>
      <c r="V490" s="38" t="str">
        <f t="shared" si="65"/>
        <v/>
      </c>
      <c r="W490" s="38" t="str">
        <f>IF(AND(U490&lt;&gt;"",OR($S$4="(все)",B490=$S$4),IF($S$4="(все)",COUNTIF($U$4:U490,U490),COUNTIFS($U$4:U490,U490,$B$4:B490,B490))=1),MAX($W$3:W489)+1,"")</f>
        <v/>
      </c>
      <c r="X490" s="38" t="str">
        <f t="shared" si="66"/>
        <v/>
      </c>
      <c r="Y490" s="38" t="str">
        <f>IF(AND(A490="Аппарат",C490&lt;&gt;"",OR($S$5="(все)",B490=$S$5)),MAX($Y$3:Y489)+1,"")</f>
        <v/>
      </c>
      <c r="Z490" s="38" t="str">
        <f t="shared" si="67"/>
        <v/>
      </c>
      <c r="AA490" s="38" t="str">
        <f>IF(AND(A490="Модуль",C490&lt;&gt;"",OR($S$6="(все)",B490=$S$6)),MAX($AA$3:AA489)+1,"")</f>
        <v/>
      </c>
      <c r="AB490" s="38" t="str">
        <f t="shared" si="68"/>
        <v/>
      </c>
      <c r="AC490" s="38" t="str">
        <f>IF(OR(B490="",COUNTIF($B$4:B490,B490)&gt;1),"",MAX($AC$3:AC489)+1)</f>
        <v/>
      </c>
      <c r="AD490" s="38" t="str">
        <f t="shared" si="69"/>
        <v/>
      </c>
      <c r="AE490" s="38" t="str">
        <f t="shared" si="70"/>
        <v/>
      </c>
      <c r="AF490" s="38" t="str">
        <f t="shared" si="71"/>
        <v/>
      </c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38" t="str">
        <f>IF(OR(A491="Автомат",A491="Дифавтомат"),IF(W491="","",COUNTIFS(Однолинейка!$H$3:$H$3000,U491,Однолинейка!$A$3:$A$3000,Щит_спец)),IF(A491="Аппарат",IF(C491="","",COUNTIFS(Однолинейка!$I$3:$I$3000,C491,Однолинейка!$A$3:$A$3000,Щит_спец)+COUNTIFS(Однолинейка!$J$3:$J$3000,C491,Однолинейка!$A$3:$A$3000,Щит_спец)+COUNTIFS(Однолинейка!$K$3:$K$3000,C491,Однолинейка!$A$3:$A$3000,Щит_спец)),IF(A491="Модуль",IF(C491="","",COUNTIFS(Однолинейка!$AW$3:$AW$3000,"?*",Однолинейка!$AI$3:$AI$3000,C491,Однолинейка!$A$3:$A$3000,Щит_спец)),IF(A491="Клемма",IF(C491="","",IF(C491=$S$7,SUMIFS(Однолинейка!$BW$3:$BW$3000,Однолинейка!$A$3:$A$3000,Щит_спец),IF(C491=$S$8,SUMIFS(Однолинейка!$BX$3:$BX$3000,Однолинейка!$A$3:$A$3000,Щит_спец),""))),""))))</f>
        <v/>
      </c>
      <c r="O491" s="74"/>
      <c r="P491" s="38" t="str">
        <f t="shared" si="63"/>
        <v/>
      </c>
      <c r="U491" s="38" t="str">
        <f t="shared" si="64"/>
        <v/>
      </c>
      <c r="V491" s="38" t="str">
        <f t="shared" si="65"/>
        <v/>
      </c>
      <c r="W491" s="38" t="str">
        <f>IF(AND(U491&lt;&gt;"",OR($S$4="(все)",B491=$S$4),IF($S$4="(все)",COUNTIF($U$4:U491,U491),COUNTIFS($U$4:U491,U491,$B$4:B491,B491))=1),MAX($W$3:W490)+1,"")</f>
        <v/>
      </c>
      <c r="X491" s="38" t="str">
        <f t="shared" si="66"/>
        <v/>
      </c>
      <c r="Y491" s="38" t="str">
        <f>IF(AND(A491="Аппарат",C491&lt;&gt;"",OR($S$5="(все)",B491=$S$5)),MAX($Y$3:Y490)+1,"")</f>
        <v/>
      </c>
      <c r="Z491" s="38" t="str">
        <f t="shared" si="67"/>
        <v/>
      </c>
      <c r="AA491" s="38" t="str">
        <f>IF(AND(A491="Модуль",C491&lt;&gt;"",OR($S$6="(все)",B491=$S$6)),MAX($AA$3:AA490)+1,"")</f>
        <v/>
      </c>
      <c r="AB491" s="38" t="str">
        <f t="shared" si="68"/>
        <v/>
      </c>
      <c r="AC491" s="38" t="str">
        <f>IF(OR(B491="",COUNTIF($B$4:B491,B491)&gt;1),"",MAX($AC$3:AC490)+1)</f>
        <v/>
      </c>
      <c r="AD491" s="38" t="str">
        <f t="shared" si="69"/>
        <v/>
      </c>
      <c r="AE491" s="38" t="str">
        <f t="shared" si="70"/>
        <v/>
      </c>
      <c r="AF491" s="38" t="str">
        <f t="shared" si="71"/>
        <v/>
      </c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38" t="str">
        <f>IF(OR(A492="Автомат",A492="Дифавтомат"),IF(W492="","",COUNTIFS(Однолинейка!$H$3:$H$3000,U492,Однолинейка!$A$3:$A$3000,Щит_спец)),IF(A492="Аппарат",IF(C492="","",COUNTIFS(Однолинейка!$I$3:$I$3000,C492,Однолинейка!$A$3:$A$3000,Щит_спец)+COUNTIFS(Однолинейка!$J$3:$J$3000,C492,Однолинейка!$A$3:$A$3000,Щит_спец)+COUNTIFS(Однолинейка!$K$3:$K$3000,C492,Однолинейка!$A$3:$A$3000,Щит_спец)),IF(A492="Модуль",IF(C492="","",COUNTIFS(Однолинейка!$AW$3:$AW$3000,"?*",Однолинейка!$AI$3:$AI$3000,C492,Однолинейка!$A$3:$A$3000,Щит_спец)),IF(A492="Клемма",IF(C492="","",IF(C492=$S$7,SUMIFS(Однолинейка!$BW$3:$BW$3000,Однолинейка!$A$3:$A$3000,Щит_спец),IF(C492=$S$8,SUMIFS(Однолинейка!$BX$3:$BX$3000,Однолинейка!$A$3:$A$3000,Щит_спец),""))),""))))</f>
        <v/>
      </c>
      <c r="O492" s="74"/>
      <c r="P492" s="38" t="str">
        <f t="shared" si="63"/>
        <v/>
      </c>
      <c r="U492" s="38" t="str">
        <f t="shared" si="64"/>
        <v/>
      </c>
      <c r="V492" s="38" t="str">
        <f t="shared" si="65"/>
        <v/>
      </c>
      <c r="W492" s="38" t="str">
        <f>IF(AND(U492&lt;&gt;"",OR($S$4="(все)",B492=$S$4),IF($S$4="(все)",COUNTIF($U$4:U492,U492),COUNTIFS($U$4:U492,U492,$B$4:B492,B492))=1),MAX($W$3:W491)+1,"")</f>
        <v/>
      </c>
      <c r="X492" s="38" t="str">
        <f t="shared" si="66"/>
        <v/>
      </c>
      <c r="Y492" s="38" t="str">
        <f>IF(AND(A492="Аппарат",C492&lt;&gt;"",OR($S$5="(все)",B492=$S$5)),MAX($Y$3:Y491)+1,"")</f>
        <v/>
      </c>
      <c r="Z492" s="38" t="str">
        <f t="shared" si="67"/>
        <v/>
      </c>
      <c r="AA492" s="38" t="str">
        <f>IF(AND(A492="Модуль",C492&lt;&gt;"",OR($S$6="(все)",B492=$S$6)),MAX($AA$3:AA491)+1,"")</f>
        <v/>
      </c>
      <c r="AB492" s="38" t="str">
        <f t="shared" si="68"/>
        <v/>
      </c>
      <c r="AC492" s="38" t="str">
        <f>IF(OR(B492="",COUNTIF($B$4:B492,B492)&gt;1),"",MAX($AC$3:AC491)+1)</f>
        <v/>
      </c>
      <c r="AD492" s="38" t="str">
        <f t="shared" si="69"/>
        <v/>
      </c>
      <c r="AE492" s="38" t="str">
        <f t="shared" si="70"/>
        <v/>
      </c>
      <c r="AF492" s="38" t="str">
        <f t="shared" si="71"/>
        <v/>
      </c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38" t="str">
        <f>IF(OR(A493="Автомат",A493="Дифавтомат"),IF(W493="","",COUNTIFS(Однолинейка!$H$3:$H$3000,U493,Однолинейка!$A$3:$A$3000,Щит_спец)),IF(A493="Аппарат",IF(C493="","",COUNTIFS(Однолинейка!$I$3:$I$3000,C493,Однолинейка!$A$3:$A$3000,Щит_спец)+COUNTIFS(Однолинейка!$J$3:$J$3000,C493,Однолинейка!$A$3:$A$3000,Щит_спец)+COUNTIFS(Однолинейка!$K$3:$K$3000,C493,Однолинейка!$A$3:$A$3000,Щит_спец)),IF(A493="Модуль",IF(C493="","",COUNTIFS(Однолинейка!$AW$3:$AW$3000,"?*",Однолинейка!$AI$3:$AI$3000,C493,Однолинейка!$A$3:$A$3000,Щит_спец)),IF(A493="Клемма",IF(C493="","",IF(C493=$S$7,SUMIFS(Однолинейка!$BW$3:$BW$3000,Однолинейка!$A$3:$A$3000,Щит_спец),IF(C493=$S$8,SUMIFS(Однолинейка!$BX$3:$BX$3000,Однолинейка!$A$3:$A$3000,Щит_спец),""))),""))))</f>
        <v/>
      </c>
      <c r="O493" s="74"/>
      <c r="P493" s="38" t="str">
        <f t="shared" si="63"/>
        <v/>
      </c>
      <c r="U493" s="38" t="str">
        <f t="shared" si="64"/>
        <v/>
      </c>
      <c r="V493" s="38" t="str">
        <f t="shared" si="65"/>
        <v/>
      </c>
      <c r="W493" s="38" t="str">
        <f>IF(AND(U493&lt;&gt;"",OR($S$4="(все)",B493=$S$4),IF($S$4="(все)",COUNTIF($U$4:U493,U493),COUNTIFS($U$4:U493,U493,$B$4:B493,B493))=1),MAX($W$3:W492)+1,"")</f>
        <v/>
      </c>
      <c r="X493" s="38" t="str">
        <f t="shared" si="66"/>
        <v/>
      </c>
      <c r="Y493" s="38" t="str">
        <f>IF(AND(A493="Аппарат",C493&lt;&gt;"",OR($S$5="(все)",B493=$S$5)),MAX($Y$3:Y492)+1,"")</f>
        <v/>
      </c>
      <c r="Z493" s="38" t="str">
        <f t="shared" si="67"/>
        <v/>
      </c>
      <c r="AA493" s="38" t="str">
        <f>IF(AND(A493="Модуль",C493&lt;&gt;"",OR($S$6="(все)",B493=$S$6)),MAX($AA$3:AA492)+1,"")</f>
        <v/>
      </c>
      <c r="AB493" s="38" t="str">
        <f t="shared" si="68"/>
        <v/>
      </c>
      <c r="AC493" s="38" t="str">
        <f>IF(OR(B493="",COUNTIF($B$4:B493,B493)&gt;1),"",MAX($AC$3:AC492)+1)</f>
        <v/>
      </c>
      <c r="AD493" s="38" t="str">
        <f t="shared" si="69"/>
        <v/>
      </c>
      <c r="AE493" s="38" t="str">
        <f t="shared" si="70"/>
        <v/>
      </c>
      <c r="AF493" s="38" t="str">
        <f t="shared" si="71"/>
        <v/>
      </c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38" t="str">
        <f>IF(OR(A494="Автомат",A494="Дифавтомат"),IF(W494="","",COUNTIFS(Однолинейка!$H$3:$H$3000,U494,Однолинейка!$A$3:$A$3000,Щит_спец)),IF(A494="Аппарат",IF(C494="","",COUNTIFS(Однолинейка!$I$3:$I$3000,C494,Однолинейка!$A$3:$A$3000,Щит_спец)+COUNTIFS(Однолинейка!$J$3:$J$3000,C494,Однолинейка!$A$3:$A$3000,Щит_спец)+COUNTIFS(Однолинейка!$K$3:$K$3000,C494,Однолинейка!$A$3:$A$3000,Щит_спец)),IF(A494="Модуль",IF(C494="","",COUNTIFS(Однолинейка!$AW$3:$AW$3000,"?*",Однолинейка!$AI$3:$AI$3000,C494,Однолинейка!$A$3:$A$3000,Щит_спец)),IF(A494="Клемма",IF(C494="","",IF(C494=$S$7,SUMIFS(Однолинейка!$BW$3:$BW$3000,Однолинейка!$A$3:$A$3000,Щит_спец),IF(C494=$S$8,SUMIFS(Однолинейка!$BX$3:$BX$3000,Однолинейка!$A$3:$A$3000,Щит_спец),""))),""))))</f>
        <v/>
      </c>
      <c r="O494" s="74"/>
      <c r="P494" s="38" t="str">
        <f t="shared" si="63"/>
        <v/>
      </c>
      <c r="U494" s="38" t="str">
        <f t="shared" si="64"/>
        <v/>
      </c>
      <c r="V494" s="38" t="str">
        <f t="shared" si="65"/>
        <v/>
      </c>
      <c r="W494" s="38" t="str">
        <f>IF(AND(U494&lt;&gt;"",OR($S$4="(все)",B494=$S$4),IF($S$4="(все)",COUNTIF($U$4:U494,U494),COUNTIFS($U$4:U494,U494,$B$4:B494,B494))=1),MAX($W$3:W493)+1,"")</f>
        <v/>
      </c>
      <c r="X494" s="38" t="str">
        <f t="shared" si="66"/>
        <v/>
      </c>
      <c r="Y494" s="38" t="str">
        <f>IF(AND(A494="Аппарат",C494&lt;&gt;"",OR($S$5="(все)",B494=$S$5)),MAX($Y$3:Y493)+1,"")</f>
        <v/>
      </c>
      <c r="Z494" s="38" t="str">
        <f t="shared" si="67"/>
        <v/>
      </c>
      <c r="AA494" s="38" t="str">
        <f>IF(AND(A494="Модуль",C494&lt;&gt;"",OR($S$6="(все)",B494=$S$6)),MAX($AA$3:AA493)+1,"")</f>
        <v/>
      </c>
      <c r="AB494" s="38" t="str">
        <f t="shared" si="68"/>
        <v/>
      </c>
      <c r="AC494" s="38" t="str">
        <f>IF(OR(B494="",COUNTIF($B$4:B494,B494)&gt;1),"",MAX($AC$3:AC493)+1)</f>
        <v/>
      </c>
      <c r="AD494" s="38" t="str">
        <f t="shared" si="69"/>
        <v/>
      </c>
      <c r="AE494" s="38" t="str">
        <f t="shared" si="70"/>
        <v/>
      </c>
      <c r="AF494" s="38" t="str">
        <f t="shared" si="71"/>
        <v/>
      </c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38" t="str">
        <f>IF(OR(A495="Автомат",A495="Дифавтомат"),IF(W495="","",COUNTIFS(Однолинейка!$H$3:$H$3000,U495,Однолинейка!$A$3:$A$3000,Щит_спец)),IF(A495="Аппарат",IF(C495="","",COUNTIFS(Однолинейка!$I$3:$I$3000,C495,Однолинейка!$A$3:$A$3000,Щит_спец)+COUNTIFS(Однолинейка!$J$3:$J$3000,C495,Однолинейка!$A$3:$A$3000,Щит_спец)+COUNTIFS(Однолинейка!$K$3:$K$3000,C495,Однолинейка!$A$3:$A$3000,Щит_спец)),IF(A495="Модуль",IF(C495="","",COUNTIFS(Однолинейка!$AW$3:$AW$3000,"?*",Однолинейка!$AI$3:$AI$3000,C495,Однолинейка!$A$3:$A$3000,Щит_спец)),IF(A495="Клемма",IF(C495="","",IF(C495=$S$7,SUMIFS(Однолинейка!$BW$3:$BW$3000,Однолинейка!$A$3:$A$3000,Щит_спец),IF(C495=$S$8,SUMIFS(Однолинейка!$BX$3:$BX$3000,Однолинейка!$A$3:$A$3000,Щит_спец),""))),""))))</f>
        <v/>
      </c>
      <c r="O495" s="74"/>
      <c r="P495" s="38" t="str">
        <f t="shared" si="63"/>
        <v/>
      </c>
      <c r="U495" s="38" t="str">
        <f t="shared" si="64"/>
        <v/>
      </c>
      <c r="V495" s="38" t="str">
        <f t="shared" si="65"/>
        <v/>
      </c>
      <c r="W495" s="38" t="str">
        <f>IF(AND(U495&lt;&gt;"",OR($S$4="(все)",B495=$S$4),IF($S$4="(все)",COUNTIF($U$4:U495,U495),COUNTIFS($U$4:U495,U495,$B$4:B495,B495))=1),MAX($W$3:W494)+1,"")</f>
        <v/>
      </c>
      <c r="X495" s="38" t="str">
        <f t="shared" si="66"/>
        <v/>
      </c>
      <c r="Y495" s="38" t="str">
        <f>IF(AND(A495="Аппарат",C495&lt;&gt;"",OR($S$5="(все)",B495=$S$5)),MAX($Y$3:Y494)+1,"")</f>
        <v/>
      </c>
      <c r="Z495" s="38" t="str">
        <f t="shared" si="67"/>
        <v/>
      </c>
      <c r="AA495" s="38" t="str">
        <f>IF(AND(A495="Модуль",C495&lt;&gt;"",OR($S$6="(все)",B495=$S$6)),MAX($AA$3:AA494)+1,"")</f>
        <v/>
      </c>
      <c r="AB495" s="38" t="str">
        <f t="shared" si="68"/>
        <v/>
      </c>
      <c r="AC495" s="38" t="str">
        <f>IF(OR(B495="",COUNTIF($B$4:B495,B495)&gt;1),"",MAX($AC$3:AC494)+1)</f>
        <v/>
      </c>
      <c r="AD495" s="38" t="str">
        <f t="shared" si="69"/>
        <v/>
      </c>
      <c r="AE495" s="38" t="str">
        <f t="shared" si="70"/>
        <v/>
      </c>
      <c r="AF495" s="38" t="str">
        <f t="shared" si="71"/>
        <v/>
      </c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38" t="str">
        <f>IF(OR(A496="Автомат",A496="Дифавтомат"),IF(W496="","",COUNTIFS(Однолинейка!$H$3:$H$3000,U496,Однолинейка!$A$3:$A$3000,Щит_спец)),IF(A496="Аппарат",IF(C496="","",COUNTIFS(Однолинейка!$I$3:$I$3000,C496,Однолинейка!$A$3:$A$3000,Щит_спец)+COUNTIFS(Однолинейка!$J$3:$J$3000,C496,Однолинейка!$A$3:$A$3000,Щит_спец)+COUNTIFS(Однолинейка!$K$3:$K$3000,C496,Однолинейка!$A$3:$A$3000,Щит_спец)),IF(A496="Модуль",IF(C496="","",COUNTIFS(Однолинейка!$AW$3:$AW$3000,"?*",Однолинейка!$AI$3:$AI$3000,C496,Однолинейка!$A$3:$A$3000,Щит_спец)),IF(A496="Клемма",IF(C496="","",IF(C496=$S$7,SUMIFS(Однолинейка!$BW$3:$BW$3000,Однолинейка!$A$3:$A$3000,Щит_спец),IF(C496=$S$8,SUMIFS(Однолинейка!$BX$3:$BX$3000,Однолинейка!$A$3:$A$3000,Щит_спец),""))),""))))</f>
        <v/>
      </c>
      <c r="O496" s="74"/>
      <c r="P496" s="38" t="str">
        <f t="shared" si="63"/>
        <v/>
      </c>
      <c r="U496" s="38" t="str">
        <f t="shared" si="64"/>
        <v/>
      </c>
      <c r="V496" s="38" t="str">
        <f t="shared" si="65"/>
        <v/>
      </c>
      <c r="W496" s="38" t="str">
        <f>IF(AND(U496&lt;&gt;"",OR($S$4="(все)",B496=$S$4),IF($S$4="(все)",COUNTIF($U$4:U496,U496),COUNTIFS($U$4:U496,U496,$B$4:B496,B496))=1),MAX($W$3:W495)+1,"")</f>
        <v/>
      </c>
      <c r="X496" s="38" t="str">
        <f t="shared" si="66"/>
        <v/>
      </c>
      <c r="Y496" s="38" t="str">
        <f>IF(AND(A496="Аппарат",C496&lt;&gt;"",OR($S$5="(все)",B496=$S$5)),MAX($Y$3:Y495)+1,"")</f>
        <v/>
      </c>
      <c r="Z496" s="38" t="str">
        <f t="shared" si="67"/>
        <v/>
      </c>
      <c r="AA496" s="38" t="str">
        <f>IF(AND(A496="Модуль",C496&lt;&gt;"",OR($S$6="(все)",B496=$S$6)),MAX($AA$3:AA495)+1,"")</f>
        <v/>
      </c>
      <c r="AB496" s="38" t="str">
        <f t="shared" si="68"/>
        <v/>
      </c>
      <c r="AC496" s="38" t="str">
        <f>IF(OR(B496="",COUNTIF($B$4:B496,B496)&gt;1),"",MAX($AC$3:AC495)+1)</f>
        <v/>
      </c>
      <c r="AD496" s="38" t="str">
        <f t="shared" si="69"/>
        <v/>
      </c>
      <c r="AE496" s="38" t="str">
        <f t="shared" si="70"/>
        <v/>
      </c>
      <c r="AF496" s="38" t="str">
        <f t="shared" si="71"/>
        <v/>
      </c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38" t="str">
        <f>IF(OR(A497="Автомат",A497="Дифавтомат"),IF(W497="","",COUNTIFS(Однолинейка!$H$3:$H$3000,U497,Однолинейка!$A$3:$A$3000,Щит_спец)),IF(A497="Аппарат",IF(C497="","",COUNTIFS(Однолинейка!$I$3:$I$3000,C497,Однолинейка!$A$3:$A$3000,Щит_спец)+COUNTIFS(Однолинейка!$J$3:$J$3000,C497,Однолинейка!$A$3:$A$3000,Щит_спец)+COUNTIFS(Однолинейка!$K$3:$K$3000,C497,Однолинейка!$A$3:$A$3000,Щит_спец)),IF(A497="Модуль",IF(C497="","",COUNTIFS(Однолинейка!$AW$3:$AW$3000,"?*",Однолинейка!$AI$3:$AI$3000,C497,Однолинейка!$A$3:$A$3000,Щит_спец)),IF(A497="Клемма",IF(C497="","",IF(C497=$S$7,SUMIFS(Однолинейка!$BW$3:$BW$3000,Однолинейка!$A$3:$A$3000,Щит_спец),IF(C497=$S$8,SUMIFS(Однолинейка!$BX$3:$BX$3000,Однолинейка!$A$3:$A$3000,Щит_спец),""))),""))))</f>
        <v/>
      </c>
      <c r="O497" s="74"/>
      <c r="P497" s="38" t="str">
        <f t="shared" si="63"/>
        <v/>
      </c>
      <c r="U497" s="38" t="str">
        <f t="shared" si="64"/>
        <v/>
      </c>
      <c r="V497" s="38" t="str">
        <f t="shared" si="65"/>
        <v/>
      </c>
      <c r="W497" s="38" t="str">
        <f>IF(AND(U497&lt;&gt;"",OR($S$4="(все)",B497=$S$4),IF($S$4="(все)",COUNTIF($U$4:U497,U497),COUNTIFS($U$4:U497,U497,$B$4:B497,B497))=1),MAX($W$3:W496)+1,"")</f>
        <v/>
      </c>
      <c r="X497" s="38" t="str">
        <f t="shared" si="66"/>
        <v/>
      </c>
      <c r="Y497" s="38" t="str">
        <f>IF(AND(A497="Аппарат",C497&lt;&gt;"",OR($S$5="(все)",B497=$S$5)),MAX($Y$3:Y496)+1,"")</f>
        <v/>
      </c>
      <c r="Z497" s="38" t="str">
        <f t="shared" si="67"/>
        <v/>
      </c>
      <c r="AA497" s="38" t="str">
        <f>IF(AND(A497="Модуль",C497&lt;&gt;"",OR($S$6="(все)",B497=$S$6)),MAX($AA$3:AA496)+1,"")</f>
        <v/>
      </c>
      <c r="AB497" s="38" t="str">
        <f t="shared" si="68"/>
        <v/>
      </c>
      <c r="AC497" s="38" t="str">
        <f>IF(OR(B497="",COUNTIF($B$4:B497,B497)&gt;1),"",MAX($AC$3:AC496)+1)</f>
        <v/>
      </c>
      <c r="AD497" s="38" t="str">
        <f t="shared" si="69"/>
        <v/>
      </c>
      <c r="AE497" s="38" t="str">
        <f t="shared" si="70"/>
        <v/>
      </c>
      <c r="AF497" s="38" t="str">
        <f t="shared" si="71"/>
        <v/>
      </c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38" t="str">
        <f>IF(OR(A498="Автомат",A498="Дифавтомат"),IF(W498="","",COUNTIFS(Однолинейка!$H$3:$H$3000,U498,Однолинейка!$A$3:$A$3000,Щит_спец)),IF(A498="Аппарат",IF(C498="","",COUNTIFS(Однолинейка!$I$3:$I$3000,C498,Однолинейка!$A$3:$A$3000,Щит_спец)+COUNTIFS(Однолинейка!$J$3:$J$3000,C498,Однолинейка!$A$3:$A$3000,Щит_спец)+COUNTIFS(Однолинейка!$K$3:$K$3000,C498,Однолинейка!$A$3:$A$3000,Щит_спец)),IF(A498="Модуль",IF(C498="","",COUNTIFS(Однолинейка!$AW$3:$AW$3000,"?*",Однолинейка!$AI$3:$AI$3000,C498,Однолинейка!$A$3:$A$3000,Щит_спец)),IF(A498="Клемма",IF(C498="","",IF(C498=$S$7,SUMIFS(Однолинейка!$BW$3:$BW$3000,Однолинейка!$A$3:$A$3000,Щит_спец),IF(C498=$S$8,SUMIFS(Однолинейка!$BX$3:$BX$3000,Однолинейка!$A$3:$A$3000,Щит_спец),""))),""))))</f>
        <v/>
      </c>
      <c r="O498" s="74"/>
      <c r="P498" s="38" t="str">
        <f t="shared" si="63"/>
        <v/>
      </c>
      <c r="U498" s="38" t="str">
        <f t="shared" si="64"/>
        <v/>
      </c>
      <c r="V498" s="38" t="str">
        <f t="shared" si="65"/>
        <v/>
      </c>
      <c r="W498" s="38" t="str">
        <f>IF(AND(U498&lt;&gt;"",OR($S$4="(все)",B498=$S$4),IF($S$4="(все)",COUNTIF($U$4:U498,U498),COUNTIFS($U$4:U498,U498,$B$4:B498,B498))=1),MAX($W$3:W497)+1,"")</f>
        <v/>
      </c>
      <c r="X498" s="38" t="str">
        <f t="shared" si="66"/>
        <v/>
      </c>
      <c r="Y498" s="38" t="str">
        <f>IF(AND(A498="Аппарат",C498&lt;&gt;"",OR($S$5="(все)",B498=$S$5)),MAX($Y$3:Y497)+1,"")</f>
        <v/>
      </c>
      <c r="Z498" s="38" t="str">
        <f t="shared" si="67"/>
        <v/>
      </c>
      <c r="AA498" s="38" t="str">
        <f>IF(AND(A498="Модуль",C498&lt;&gt;"",OR($S$6="(все)",B498=$S$6)),MAX($AA$3:AA497)+1,"")</f>
        <v/>
      </c>
      <c r="AB498" s="38" t="str">
        <f t="shared" si="68"/>
        <v/>
      </c>
      <c r="AC498" s="38" t="str">
        <f>IF(OR(B498="",COUNTIF($B$4:B498,B498)&gt;1),"",MAX($AC$3:AC497)+1)</f>
        <v/>
      </c>
      <c r="AD498" s="38" t="str">
        <f t="shared" si="69"/>
        <v/>
      </c>
      <c r="AE498" s="38" t="str">
        <f t="shared" si="70"/>
        <v/>
      </c>
      <c r="AF498" s="38" t="str">
        <f t="shared" si="71"/>
        <v/>
      </c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38" t="str">
        <f>IF(OR(A499="Автомат",A499="Дифавтомат"),IF(W499="","",COUNTIFS(Однолинейка!$H$3:$H$3000,U499,Однолинейка!$A$3:$A$3000,Щит_спец)),IF(A499="Аппарат",IF(C499="","",COUNTIFS(Однолинейка!$I$3:$I$3000,C499,Однолинейка!$A$3:$A$3000,Щит_спец)+COUNTIFS(Однолинейка!$J$3:$J$3000,C499,Однолинейка!$A$3:$A$3000,Щит_спец)+COUNTIFS(Однолинейка!$K$3:$K$3000,C499,Однолинейка!$A$3:$A$3000,Щит_спец)),IF(A499="Модуль",IF(C499="","",COUNTIFS(Однолинейка!$AW$3:$AW$3000,"?*",Однолинейка!$AI$3:$AI$3000,C499,Однолинейка!$A$3:$A$3000,Щит_спец)),IF(A499="Клемма",IF(C499="","",IF(C499=$S$7,SUMIFS(Однолинейка!$BW$3:$BW$3000,Однолинейка!$A$3:$A$3000,Щит_спец),IF(C499=$S$8,SUMIFS(Однолинейка!$BX$3:$BX$3000,Однолинейка!$A$3:$A$3000,Щит_спец),""))),""))))</f>
        <v/>
      </c>
      <c r="O499" s="74"/>
      <c r="P499" s="38" t="str">
        <f t="shared" si="63"/>
        <v/>
      </c>
      <c r="U499" s="38" t="str">
        <f t="shared" si="64"/>
        <v/>
      </c>
      <c r="V499" s="38" t="str">
        <f t="shared" si="65"/>
        <v/>
      </c>
      <c r="W499" s="38" t="str">
        <f>IF(AND(U499&lt;&gt;"",OR($S$4="(все)",B499=$S$4),IF($S$4="(все)",COUNTIF($U$4:U499,U499),COUNTIFS($U$4:U499,U499,$B$4:B499,B499))=1),MAX($W$3:W498)+1,"")</f>
        <v/>
      </c>
      <c r="X499" s="38" t="str">
        <f t="shared" si="66"/>
        <v/>
      </c>
      <c r="Y499" s="38" t="str">
        <f>IF(AND(A499="Аппарат",C499&lt;&gt;"",OR($S$5="(все)",B499=$S$5)),MAX($Y$3:Y498)+1,"")</f>
        <v/>
      </c>
      <c r="Z499" s="38" t="str">
        <f t="shared" si="67"/>
        <v/>
      </c>
      <c r="AA499" s="38" t="str">
        <f>IF(AND(A499="Модуль",C499&lt;&gt;"",OR($S$6="(все)",B499=$S$6)),MAX($AA$3:AA498)+1,"")</f>
        <v/>
      </c>
      <c r="AB499" s="38" t="str">
        <f t="shared" si="68"/>
        <v/>
      </c>
      <c r="AC499" s="38" t="str">
        <f>IF(OR(B499="",COUNTIF($B$4:B499,B499)&gt;1),"",MAX($AC$3:AC498)+1)</f>
        <v/>
      </c>
      <c r="AD499" s="38" t="str">
        <f t="shared" si="69"/>
        <v/>
      </c>
      <c r="AE499" s="38" t="str">
        <f t="shared" si="70"/>
        <v/>
      </c>
      <c r="AF499" s="38" t="str">
        <f t="shared" si="71"/>
        <v/>
      </c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38" t="str">
        <f>IF(OR(A500="Автомат",A500="Дифавтомат"),IF(W500="","",COUNTIFS(Однолинейка!$H$3:$H$3000,U500,Однолинейка!$A$3:$A$3000,Щит_спец)),IF(A500="Аппарат",IF(C500="","",COUNTIFS(Однолинейка!$I$3:$I$3000,C500,Однолинейка!$A$3:$A$3000,Щит_спец)+COUNTIFS(Однолинейка!$J$3:$J$3000,C500,Однолинейка!$A$3:$A$3000,Щит_спец)+COUNTIFS(Однолинейка!$K$3:$K$3000,C500,Однолинейка!$A$3:$A$3000,Щит_спец)),IF(A500="Модуль",IF(C500="","",COUNTIFS(Однолинейка!$AW$3:$AW$3000,"?*",Однолинейка!$AI$3:$AI$3000,C500,Однолинейка!$A$3:$A$3000,Щит_спец)),IF(A500="Клемма",IF(C500="","",IF(C500=$S$7,SUMIFS(Однолинейка!$BW$3:$BW$3000,Однолинейка!$A$3:$A$3000,Щит_спец),IF(C500=$S$8,SUMIFS(Однолинейка!$BX$3:$BX$3000,Однолинейка!$A$3:$A$3000,Щит_спец),""))),""))))</f>
        <v/>
      </c>
      <c r="O500" s="74"/>
      <c r="P500" s="38" t="str">
        <f t="shared" si="63"/>
        <v/>
      </c>
      <c r="U500" s="38" t="str">
        <f t="shared" si="64"/>
        <v/>
      </c>
      <c r="V500" s="38" t="str">
        <f t="shared" si="65"/>
        <v/>
      </c>
      <c r="W500" s="38" t="str">
        <f>IF(AND(U500&lt;&gt;"",OR($S$4="(все)",B500=$S$4),IF($S$4="(все)",COUNTIF($U$4:U500,U500),COUNTIFS($U$4:U500,U500,$B$4:B500,B500))=1),MAX($W$3:W499)+1,"")</f>
        <v/>
      </c>
      <c r="X500" s="38" t="str">
        <f t="shared" si="66"/>
        <v/>
      </c>
      <c r="Y500" s="38" t="str">
        <f>IF(AND(A500="Аппарат",C500&lt;&gt;"",OR($S$5="(все)",B500=$S$5)),MAX($Y$3:Y499)+1,"")</f>
        <v/>
      </c>
      <c r="Z500" s="38" t="str">
        <f t="shared" si="67"/>
        <v/>
      </c>
      <c r="AA500" s="38" t="str">
        <f>IF(AND(A500="Модуль",C500&lt;&gt;"",OR($S$6="(все)",B500=$S$6)),MAX($AA$3:AA499)+1,"")</f>
        <v/>
      </c>
      <c r="AB500" s="38" t="str">
        <f t="shared" si="68"/>
        <v/>
      </c>
      <c r="AC500" s="38" t="str">
        <f>IF(OR(B500="",COUNTIF($B$4:B500,B500)&gt;1),"",MAX($AC$3:AC499)+1)</f>
        <v/>
      </c>
      <c r="AD500" s="38" t="str">
        <f t="shared" si="69"/>
        <v/>
      </c>
      <c r="AE500" s="38" t="str">
        <f t="shared" si="70"/>
        <v/>
      </c>
      <c r="AF500" s="38" t="str">
        <f t="shared" si="71"/>
        <v/>
      </c>
    </row>
  </sheetData>
  <autoFilter ref="A3:P500" xr:uid="{00000000-0009-0000-0000-000002000000}"/>
  <conditionalFormatting sqref="P4:P500">
    <cfRule type="expression" dxfId="14" priority="2">
      <formula>N($P4)&gt;0</formula>
    </cfRule>
  </conditionalFormatting>
  <conditionalFormatting sqref="R28:R37">
    <cfRule type="expression" dxfId="13" priority="1">
      <formula>$R28&lt;&gt;""</formula>
    </cfRule>
  </conditionalFormatting>
  <dataValidations count="4">
    <dataValidation type="list" allowBlank="1" sqref="A4:A500" xr:uid="{00000000-0002-0000-0200-000000000000}">
      <formula1>$R$12:$R$25</formula1>
    </dataValidation>
    <dataValidation type="list" allowBlank="1" sqref="K4:K500" xr:uid="{00000000-0002-0000-0200-000001000000}">
      <formula1>"да,нет"</formula1>
    </dataValidation>
    <dataValidation type="list" allowBlank="1" sqref="I4:I500" xr:uid="{00000000-0002-0000-0200-000002000000}">
      <formula1>"1P,2P,3P,4P"</formula1>
    </dataValidation>
    <dataValidation type="list" allowBlank="1" sqref="S4:S6" xr:uid="{00000000-0002-0000-0200-000003000000}">
      <formula1>Список_произв</formula1>
    </dataValidation>
  </dataValidations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L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2" ht="15" thickBot="1" x14ac:dyDescent="0.35">
      <c r="C1" s="125" t="s">
        <v>1178</v>
      </c>
      <c r="D1" s="126" t="s">
        <v>1179</v>
      </c>
      <c r="L1" s="127" t="str">
        <f>IF(D1="все","*",D1)</f>
        <v>*</v>
      </c>
    </row>
    <row r="2" spans="2:12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</row>
    <row r="3" spans="2:12" x14ac:dyDescent="0.3">
      <c r="B3" s="28" t="s">
        <v>40</v>
      </c>
      <c r="C3" s="27" t="s">
        <v>260</v>
      </c>
      <c r="D3" s="8"/>
      <c r="E3" s="8"/>
      <c r="F3" s="8"/>
      <c r="G3" s="8"/>
      <c r="H3" s="8"/>
      <c r="I3" s="8"/>
      <c r="J3" s="8"/>
    </row>
    <row r="4" spans="2:12" x14ac:dyDescent="0.3">
      <c r="B4" s="29"/>
      <c r="C4" s="30"/>
      <c r="D4" s="33"/>
      <c r="E4" s="31"/>
      <c r="F4" s="32"/>
      <c r="G4" s="32"/>
      <c r="H4" s="32"/>
      <c r="I4" s="5"/>
      <c r="J4" s="5"/>
    </row>
    <row r="5" spans="2:12" x14ac:dyDescent="0.3">
      <c r="B5" s="29"/>
      <c r="C5" s="30"/>
      <c r="D5" s="33"/>
      <c r="E5" s="31"/>
      <c r="F5" s="32"/>
      <c r="G5" s="32"/>
      <c r="H5" s="32"/>
      <c r="I5" s="5"/>
      <c r="J5" s="5"/>
    </row>
    <row r="6" spans="2:12" x14ac:dyDescent="0.3">
      <c r="B6" s="29"/>
      <c r="C6" s="30"/>
      <c r="D6" s="33"/>
      <c r="E6" s="31"/>
      <c r="F6" s="32"/>
      <c r="G6" s="32"/>
      <c r="H6" s="32"/>
      <c r="I6" s="5"/>
      <c r="J6" s="5"/>
    </row>
    <row r="7" spans="2:12" x14ac:dyDescent="0.3">
      <c r="B7" s="29"/>
      <c r="C7" s="30"/>
      <c r="D7" s="33"/>
      <c r="E7" s="31"/>
      <c r="F7" s="32"/>
      <c r="G7" s="32"/>
      <c r="H7" s="32"/>
      <c r="I7" s="5"/>
      <c r="J7" s="5"/>
    </row>
    <row r="8" spans="2:12" x14ac:dyDescent="0.3">
      <c r="B8" s="29"/>
      <c r="C8" s="30"/>
      <c r="D8" s="33"/>
      <c r="E8" s="31"/>
      <c r="F8" s="32"/>
      <c r="G8" s="32"/>
      <c r="H8" s="32"/>
      <c r="I8" s="5"/>
      <c r="J8" s="5"/>
    </row>
    <row r="9" spans="2:12" x14ac:dyDescent="0.3">
      <c r="B9" s="29"/>
      <c r="C9" s="30"/>
      <c r="D9" s="33"/>
      <c r="E9" s="31"/>
      <c r="F9" s="32"/>
      <c r="G9" s="32"/>
      <c r="H9" s="32"/>
      <c r="I9" s="5"/>
      <c r="J9" s="5"/>
    </row>
    <row r="10" spans="2:12" x14ac:dyDescent="0.3">
      <c r="B10" s="29"/>
      <c r="C10" s="30"/>
      <c r="D10" s="33"/>
      <c r="E10" s="31"/>
      <c r="F10" s="32"/>
      <c r="G10" s="32"/>
      <c r="H10" s="32"/>
      <c r="I10" s="5"/>
      <c r="J10" s="5"/>
    </row>
    <row r="11" spans="2:12" x14ac:dyDescent="0.3">
      <c r="B11" s="29"/>
      <c r="C11" s="30"/>
      <c r="D11" s="33"/>
      <c r="E11" s="31"/>
      <c r="F11" s="32"/>
      <c r="G11" s="32"/>
      <c r="H11" s="32"/>
      <c r="I11" s="5"/>
      <c r="J11" s="5"/>
    </row>
    <row r="12" spans="2:12" x14ac:dyDescent="0.3">
      <c r="B12" s="29"/>
      <c r="C12" s="30"/>
      <c r="D12" s="33"/>
      <c r="E12" s="31"/>
      <c r="F12" s="32"/>
      <c r="G12" s="32"/>
      <c r="H12" s="32"/>
      <c r="I12" s="5"/>
      <c r="J12" s="5"/>
    </row>
    <row r="13" spans="2:12" x14ac:dyDescent="0.3">
      <c r="B13" s="29"/>
      <c r="C13" s="30"/>
      <c r="D13" s="33"/>
      <c r="E13" s="31"/>
      <c r="F13" s="32"/>
      <c r="G13" s="32"/>
      <c r="H13" s="32"/>
      <c r="I13" s="5"/>
      <c r="J13" s="5"/>
    </row>
    <row r="14" spans="2:12" x14ac:dyDescent="0.3">
      <c r="B14" s="29"/>
      <c r="C14" s="30"/>
      <c r="D14" s="33"/>
      <c r="E14" s="31"/>
      <c r="F14" s="32"/>
      <c r="G14" s="32"/>
      <c r="H14" s="32"/>
      <c r="I14" s="5"/>
      <c r="J14" s="5"/>
    </row>
    <row r="15" spans="2:12" x14ac:dyDescent="0.3">
      <c r="B15" s="29"/>
      <c r="C15" s="30"/>
      <c r="D15" s="33"/>
      <c r="E15" s="31"/>
      <c r="F15" s="32"/>
      <c r="G15" s="32"/>
      <c r="H15" s="32"/>
      <c r="I15" s="5"/>
      <c r="J15" s="5"/>
    </row>
    <row r="16" spans="2:12" ht="18" customHeight="1" x14ac:dyDescent="0.3">
      <c r="B16" s="29"/>
      <c r="C16" s="30"/>
      <c r="D16" s="33"/>
      <c r="E16" s="31"/>
      <c r="F16" s="32"/>
      <c r="G16" s="32"/>
      <c r="H16" s="32"/>
      <c r="I16" s="5"/>
      <c r="J16" s="5"/>
    </row>
    <row r="17" spans="2:10" x14ac:dyDescent="0.3">
      <c r="B17" s="29"/>
      <c r="C17" s="30"/>
      <c r="D17" s="33"/>
      <c r="E17" s="31"/>
      <c r="F17" s="32"/>
      <c r="G17" s="32"/>
      <c r="H17" s="32"/>
      <c r="I17" s="5"/>
      <c r="J17" s="5"/>
    </row>
    <row r="18" spans="2:10" x14ac:dyDescent="0.3">
      <c r="B18" s="29"/>
      <c r="C18" s="30"/>
      <c r="D18" s="33"/>
      <c r="E18" s="31"/>
      <c r="F18" s="32"/>
      <c r="G18" s="32"/>
      <c r="H18" s="32"/>
      <c r="I18" s="5"/>
      <c r="J18" s="5"/>
    </row>
    <row r="19" spans="2:10" x14ac:dyDescent="0.3">
      <c r="B19" s="29"/>
      <c r="C19" s="30"/>
      <c r="D19" s="33"/>
      <c r="E19" s="31"/>
      <c r="F19" s="32"/>
      <c r="G19" s="32"/>
      <c r="H19" s="32"/>
      <c r="I19" s="5"/>
      <c r="J19" s="5"/>
    </row>
    <row r="20" spans="2:10" x14ac:dyDescent="0.3">
      <c r="B20" s="29"/>
      <c r="C20" s="30"/>
      <c r="D20" s="33"/>
      <c r="E20" s="31"/>
      <c r="F20" s="32"/>
      <c r="G20" s="32"/>
      <c r="H20" s="32"/>
      <c r="I20" s="5"/>
      <c r="J20" s="5"/>
    </row>
    <row r="21" spans="2:10" x14ac:dyDescent="0.3">
      <c r="B21" s="29"/>
      <c r="C21" s="30"/>
      <c r="D21" s="33"/>
      <c r="E21" s="31"/>
      <c r="F21" s="32"/>
      <c r="G21" s="32"/>
      <c r="H21" s="32"/>
      <c r="I21" s="5"/>
      <c r="J21" s="5"/>
    </row>
    <row r="22" spans="2:10" x14ac:dyDescent="0.3">
      <c r="B22" s="29"/>
      <c r="C22" s="30"/>
      <c r="D22" s="33"/>
      <c r="E22" s="31"/>
      <c r="F22" s="32"/>
      <c r="G22" s="32"/>
      <c r="H22" s="32"/>
      <c r="I22" s="5"/>
      <c r="J22" s="5"/>
    </row>
    <row r="23" spans="2:10" x14ac:dyDescent="0.3">
      <c r="B23" s="29"/>
      <c r="C23" s="30"/>
      <c r="D23" s="33"/>
      <c r="E23" s="31"/>
      <c r="F23" s="32"/>
      <c r="G23" s="32"/>
      <c r="H23" s="32"/>
      <c r="I23" s="5"/>
      <c r="J23" s="5"/>
    </row>
    <row r="24" spans="2:10" x14ac:dyDescent="0.3">
      <c r="B24" s="29"/>
      <c r="C24" s="30"/>
      <c r="D24" s="33"/>
      <c r="E24" s="31"/>
      <c r="F24" s="32"/>
      <c r="G24" s="32"/>
      <c r="H24" s="32"/>
      <c r="I24" s="5"/>
      <c r="J24" s="5"/>
    </row>
    <row r="25" spans="2:10" x14ac:dyDescent="0.3">
      <c r="B25" s="29"/>
      <c r="C25" s="30"/>
      <c r="D25" s="33"/>
      <c r="E25" s="31"/>
      <c r="F25" s="32"/>
      <c r="G25" s="32"/>
      <c r="H25" s="32"/>
      <c r="I25" s="5"/>
      <c r="J25" s="5"/>
    </row>
    <row r="26" spans="2:10" x14ac:dyDescent="0.3">
      <c r="B26" s="29"/>
      <c r="C26" s="30"/>
      <c r="D26" s="33"/>
      <c r="E26" s="31"/>
      <c r="F26" s="32"/>
      <c r="G26" s="32"/>
      <c r="H26" s="32"/>
      <c r="I26" s="5"/>
      <c r="J26" s="5"/>
    </row>
    <row r="27" spans="2:10" x14ac:dyDescent="0.3">
      <c r="B27" s="29"/>
      <c r="C27" s="30"/>
      <c r="D27" s="33"/>
      <c r="E27" s="31"/>
      <c r="F27" s="32"/>
      <c r="G27" s="32"/>
      <c r="H27" s="32"/>
      <c r="I27" s="5"/>
      <c r="J27" s="5"/>
    </row>
    <row r="28" spans="2:10" x14ac:dyDescent="0.3">
      <c r="B28" s="29"/>
      <c r="C28" s="30"/>
      <c r="D28" s="33"/>
      <c r="E28" s="31"/>
      <c r="F28" s="32"/>
      <c r="G28" s="32"/>
      <c r="H28" s="32"/>
      <c r="I28" s="5"/>
      <c r="J28" s="5"/>
    </row>
    <row r="29" spans="2:10" x14ac:dyDescent="0.3">
      <c r="B29" s="29"/>
      <c r="C29" s="30"/>
      <c r="D29" s="33"/>
      <c r="E29" s="31"/>
      <c r="F29" s="32"/>
      <c r="G29" s="32"/>
      <c r="H29" s="32"/>
      <c r="I29" s="5"/>
      <c r="J29" s="5"/>
    </row>
    <row r="30" spans="2:10" x14ac:dyDescent="0.3">
      <c r="B30" s="29"/>
      <c r="C30" s="30"/>
      <c r="D30" s="33"/>
      <c r="E30" s="31"/>
      <c r="F30" s="32"/>
      <c r="G30" s="32"/>
      <c r="H30" s="32"/>
      <c r="I30" s="5"/>
      <c r="J30" s="5"/>
    </row>
    <row r="31" spans="2:10" x14ac:dyDescent="0.3">
      <c r="B31" s="29"/>
      <c r="C31" s="30"/>
      <c r="D31" s="33"/>
      <c r="E31" s="31"/>
      <c r="F31" s="32"/>
      <c r="G31" s="32"/>
      <c r="H31" s="32"/>
      <c r="I31" s="5"/>
      <c r="J31" s="5"/>
    </row>
    <row r="32" spans="2:10" x14ac:dyDescent="0.3">
      <c r="B32" s="29"/>
      <c r="C32" s="30"/>
      <c r="D32" s="33"/>
      <c r="E32" s="31"/>
      <c r="F32" s="32"/>
      <c r="G32" s="32"/>
      <c r="H32" s="32"/>
      <c r="I32" s="5"/>
      <c r="J32" s="5"/>
    </row>
    <row r="33" spans="2:10" x14ac:dyDescent="0.3">
      <c r="B33" s="29"/>
      <c r="C33" s="30"/>
      <c r="D33" s="33"/>
      <c r="E33" s="31"/>
      <c r="F33" s="32"/>
      <c r="G33" s="32"/>
      <c r="H33" s="32"/>
      <c r="I33" s="5"/>
      <c r="J33" s="5"/>
    </row>
    <row r="34" spans="2:10" x14ac:dyDescent="0.3">
      <c r="B34" s="29"/>
      <c r="C34" s="30"/>
      <c r="D34" s="33"/>
      <c r="E34" s="31"/>
      <c r="F34" s="32"/>
      <c r="G34" s="32"/>
      <c r="H34" s="32"/>
      <c r="I34" s="5"/>
      <c r="J34" s="5"/>
    </row>
    <row r="35" spans="2:10" x14ac:dyDescent="0.3">
      <c r="B35" s="29"/>
      <c r="C35" s="30"/>
      <c r="D35" s="33"/>
      <c r="E35" s="31"/>
      <c r="F35" s="32"/>
      <c r="G35" s="32"/>
      <c r="H35" s="32"/>
      <c r="I35" s="5"/>
      <c r="J35" s="5"/>
    </row>
    <row r="36" spans="2:10" x14ac:dyDescent="0.3">
      <c r="B36" s="29"/>
      <c r="C36" s="30"/>
      <c r="D36" s="33"/>
      <c r="E36" s="31"/>
      <c r="F36" s="32"/>
      <c r="G36" s="32"/>
      <c r="H36" s="32"/>
      <c r="I36" s="5"/>
      <c r="J36" s="5"/>
    </row>
    <row r="37" spans="2:10" x14ac:dyDescent="0.3">
      <c r="B37" s="29"/>
      <c r="C37" s="30"/>
      <c r="D37" s="33"/>
      <c r="E37" s="31"/>
      <c r="F37" s="32"/>
      <c r="G37" s="32"/>
      <c r="H37" s="32"/>
      <c r="I37" s="5"/>
      <c r="J37" s="5"/>
    </row>
    <row r="38" spans="2:10" x14ac:dyDescent="0.3">
      <c r="B38" s="29"/>
      <c r="C38" s="30"/>
      <c r="D38" s="33"/>
      <c r="E38" s="31"/>
      <c r="F38" s="32"/>
      <c r="G38" s="32"/>
      <c r="H38" s="32"/>
      <c r="I38" s="5"/>
      <c r="J38" s="5"/>
    </row>
    <row r="39" spans="2:10" x14ac:dyDescent="0.3">
      <c r="B39" s="29"/>
      <c r="C39" s="30"/>
      <c r="D39" s="33"/>
      <c r="E39" s="31"/>
      <c r="F39" s="32"/>
      <c r="G39" s="32"/>
      <c r="H39" s="32"/>
      <c r="I39" s="5"/>
      <c r="J39" s="5"/>
    </row>
    <row r="40" spans="2:10" x14ac:dyDescent="0.3">
      <c r="B40" s="29"/>
      <c r="C40" s="30"/>
      <c r="D40" s="33"/>
      <c r="E40" s="31"/>
      <c r="F40" s="32"/>
      <c r="G40" s="32"/>
      <c r="H40" s="32"/>
      <c r="I40" s="5"/>
      <c r="J40" s="5"/>
    </row>
    <row r="41" spans="2:10" x14ac:dyDescent="0.3">
      <c r="B41" s="29"/>
      <c r="C41" s="30"/>
      <c r="D41" s="33"/>
      <c r="E41" s="31"/>
      <c r="F41" s="32"/>
      <c r="G41" s="32"/>
      <c r="H41" s="32"/>
      <c r="I41" s="5"/>
      <c r="J41" s="5"/>
    </row>
    <row r="42" spans="2:10" x14ac:dyDescent="0.3">
      <c r="B42" s="29"/>
      <c r="C42" s="30"/>
      <c r="D42" s="33"/>
      <c r="E42" s="31"/>
      <c r="F42" s="32"/>
      <c r="G42" s="32"/>
      <c r="H42" s="32"/>
      <c r="I42" s="5"/>
      <c r="J42" s="5"/>
    </row>
    <row r="43" spans="2:10" x14ac:dyDescent="0.3">
      <c r="B43" s="29"/>
      <c r="C43" s="30"/>
      <c r="D43" s="33"/>
      <c r="E43" s="31"/>
      <c r="F43" s="32"/>
      <c r="G43" s="32"/>
      <c r="H43" s="32"/>
      <c r="I43" s="5"/>
      <c r="J43" s="5"/>
    </row>
    <row r="44" spans="2:10" x14ac:dyDescent="0.3">
      <c r="B44" s="29"/>
      <c r="C44" s="30"/>
      <c r="D44" s="33"/>
      <c r="E44" s="31"/>
      <c r="F44" s="32"/>
      <c r="G44" s="32"/>
      <c r="H44" s="32"/>
      <c r="I44" s="5"/>
      <c r="J44" s="5"/>
    </row>
    <row r="45" spans="2:10" x14ac:dyDescent="0.3">
      <c r="B45" s="29"/>
      <c r="C45" s="30"/>
      <c r="D45" s="33"/>
      <c r="E45" s="31"/>
      <c r="F45" s="32"/>
      <c r="G45" s="32"/>
      <c r="H45" s="32"/>
      <c r="I45" s="5"/>
      <c r="J45" s="5"/>
    </row>
    <row r="46" spans="2:10" x14ac:dyDescent="0.3">
      <c r="B46" s="29"/>
      <c r="C46" s="30"/>
      <c r="D46" s="33"/>
      <c r="E46" s="31"/>
      <c r="F46" s="32"/>
      <c r="G46" s="32"/>
      <c r="H46" s="32"/>
      <c r="I46" s="5"/>
      <c r="J46" s="5"/>
    </row>
    <row r="47" spans="2:10" x14ac:dyDescent="0.3">
      <c r="B47" s="29"/>
      <c r="C47" s="30"/>
      <c r="D47" s="33"/>
      <c r="E47" s="31"/>
      <c r="F47" s="32"/>
      <c r="G47" s="32"/>
      <c r="H47" s="32"/>
      <c r="I47" s="5"/>
      <c r="J47" s="5"/>
    </row>
    <row r="48" spans="2:10" x14ac:dyDescent="0.3">
      <c r="B48" s="29"/>
      <c r="C48" s="30"/>
      <c r="D48" s="33"/>
      <c r="E48" s="31"/>
      <c r="F48" s="32"/>
      <c r="G48" s="32"/>
      <c r="H48" s="32"/>
      <c r="I48" s="5"/>
      <c r="J48" s="5"/>
    </row>
    <row r="49" spans="2:10" x14ac:dyDescent="0.3">
      <c r="B49" s="29"/>
      <c r="C49" s="30"/>
      <c r="D49" s="33"/>
      <c r="E49" s="31"/>
      <c r="F49" s="32"/>
      <c r="G49" s="32"/>
      <c r="H49" s="32"/>
      <c r="I49" s="5"/>
      <c r="J49" s="5"/>
    </row>
    <row r="50" spans="2:10" x14ac:dyDescent="0.3">
      <c r="B50" s="29"/>
      <c r="C50" s="30"/>
      <c r="D50" s="33"/>
      <c r="E50" s="31"/>
      <c r="F50" s="32"/>
      <c r="G50" s="32"/>
      <c r="H50" s="32"/>
      <c r="I50" s="5"/>
      <c r="J50" s="5"/>
    </row>
    <row r="51" spans="2:10" x14ac:dyDescent="0.3">
      <c r="B51" s="29"/>
      <c r="C51" s="30"/>
      <c r="D51" s="33"/>
      <c r="E51" s="31"/>
      <c r="F51" s="32"/>
      <c r="G51" s="32"/>
      <c r="H51" s="32"/>
      <c r="I51" s="5"/>
      <c r="J51" s="5"/>
    </row>
    <row r="52" spans="2:10" x14ac:dyDescent="0.3">
      <c r="B52" s="29"/>
      <c r="C52" s="30"/>
      <c r="D52" s="33"/>
      <c r="E52" s="31"/>
      <c r="F52" s="32"/>
      <c r="G52" s="32"/>
      <c r="H52" s="32"/>
      <c r="I52" s="5"/>
      <c r="J52" s="5"/>
    </row>
    <row r="53" spans="2:10" x14ac:dyDescent="0.3">
      <c r="B53" s="29"/>
      <c r="C53" s="30"/>
      <c r="D53" s="33"/>
      <c r="E53" s="31"/>
      <c r="F53" s="32"/>
      <c r="G53" s="32"/>
      <c r="H53" s="32"/>
      <c r="I53" s="5"/>
      <c r="J53" s="5"/>
    </row>
    <row r="54" spans="2:10" x14ac:dyDescent="0.3">
      <c r="B54" s="29"/>
      <c r="C54" s="30"/>
      <c r="D54" s="33"/>
      <c r="E54" s="31"/>
      <c r="F54" s="32"/>
      <c r="G54" s="32"/>
      <c r="H54" s="32"/>
      <c r="I54" s="5"/>
      <c r="J54" s="5"/>
    </row>
    <row r="55" spans="2:10" x14ac:dyDescent="0.3">
      <c r="B55" s="29"/>
      <c r="C55" s="30"/>
      <c r="D55" s="33"/>
      <c r="E55" s="31"/>
      <c r="F55" s="32"/>
      <c r="G55" s="32"/>
      <c r="H55" s="32"/>
      <c r="I55" s="5"/>
      <c r="J55" s="5"/>
    </row>
    <row r="56" spans="2:10" x14ac:dyDescent="0.3">
      <c r="B56" s="29"/>
      <c r="C56" s="30"/>
      <c r="D56" s="33"/>
      <c r="E56" s="31"/>
      <c r="F56" s="32"/>
      <c r="G56" s="32"/>
      <c r="H56" s="32"/>
      <c r="I56" s="5"/>
      <c r="J56" s="5"/>
    </row>
    <row r="57" spans="2:10" x14ac:dyDescent="0.3">
      <c r="B57" s="29"/>
      <c r="C57" s="30"/>
      <c r="D57" s="33"/>
      <c r="E57" s="31"/>
      <c r="F57" s="32"/>
      <c r="G57" s="32"/>
      <c r="H57" s="32"/>
      <c r="I57" s="5"/>
      <c r="J57" s="5"/>
    </row>
    <row r="58" spans="2:10" x14ac:dyDescent="0.3">
      <c r="B58" s="29"/>
      <c r="C58" s="30"/>
      <c r="D58" s="33"/>
      <c r="E58" s="31"/>
      <c r="F58" s="32"/>
      <c r="G58" s="32"/>
      <c r="H58" s="32"/>
      <c r="I58" s="5"/>
      <c r="J58" s="5"/>
    </row>
    <row r="59" spans="2:10" x14ac:dyDescent="0.3">
      <c r="B59" s="29"/>
      <c r="C59" s="30"/>
      <c r="D59" s="33"/>
      <c r="E59" s="31"/>
      <c r="F59" s="32"/>
      <c r="G59" s="32"/>
      <c r="H59" s="32"/>
      <c r="I59" s="5"/>
      <c r="J59" s="5"/>
    </row>
    <row r="60" spans="2:10" x14ac:dyDescent="0.3">
      <c r="B60" s="29"/>
      <c r="C60" s="30"/>
      <c r="D60" s="33"/>
      <c r="E60" s="31"/>
      <c r="F60" s="32"/>
      <c r="G60" s="32"/>
      <c r="H60" s="32"/>
      <c r="I60" s="5"/>
      <c r="J60" s="5"/>
    </row>
    <row r="61" spans="2:10" x14ac:dyDescent="0.3">
      <c r="B61" s="29"/>
      <c r="C61" s="30"/>
      <c r="D61" s="33"/>
      <c r="E61" s="31"/>
      <c r="F61" s="32"/>
      <c r="G61" s="32"/>
      <c r="H61" s="32"/>
      <c r="I61" s="5"/>
      <c r="J61" s="5"/>
    </row>
    <row r="62" spans="2:10" x14ac:dyDescent="0.3">
      <c r="B62" s="29"/>
      <c r="C62" s="30"/>
      <c r="D62" s="33"/>
      <c r="E62" s="31"/>
      <c r="F62" s="32"/>
      <c r="G62" s="32"/>
      <c r="H62" s="32"/>
      <c r="I62" s="5"/>
      <c r="J62" s="5"/>
    </row>
    <row r="63" spans="2:10" x14ac:dyDescent="0.3">
      <c r="B63" s="29"/>
      <c r="C63" s="30"/>
      <c r="D63" s="33"/>
      <c r="E63" s="31"/>
      <c r="F63" s="32"/>
      <c r="G63" s="32"/>
      <c r="H63" s="32"/>
      <c r="I63" s="5"/>
      <c r="J63" s="5"/>
    </row>
    <row r="64" spans="2:10" x14ac:dyDescent="0.3">
      <c r="B64" s="29"/>
      <c r="C64" s="30"/>
      <c r="D64" s="33"/>
      <c r="E64" s="31"/>
      <c r="F64" s="32"/>
      <c r="G64" s="32"/>
      <c r="H64" s="32"/>
      <c r="I64" s="5"/>
      <c r="J64" s="5"/>
    </row>
    <row r="65" spans="2:10" x14ac:dyDescent="0.3">
      <c r="B65" s="29"/>
      <c r="C65" s="30"/>
      <c r="D65" s="33"/>
      <c r="E65" s="31"/>
      <c r="F65" s="32"/>
      <c r="G65" s="32"/>
      <c r="H65" s="32"/>
      <c r="I65" s="5"/>
      <c r="J65" s="5"/>
    </row>
    <row r="66" spans="2:10" x14ac:dyDescent="0.3">
      <c r="B66" s="29"/>
      <c r="C66" s="30"/>
      <c r="D66" s="33"/>
      <c r="E66" s="31"/>
      <c r="F66" s="32"/>
      <c r="G66" s="32"/>
      <c r="H66" s="32"/>
      <c r="I66" s="5"/>
      <c r="J66" s="5"/>
    </row>
    <row r="67" spans="2:10" x14ac:dyDescent="0.3">
      <c r="B67" s="29"/>
      <c r="C67" s="30"/>
      <c r="D67" s="33"/>
      <c r="E67" s="31"/>
      <c r="F67" s="32"/>
      <c r="G67" s="32"/>
      <c r="H67" s="32"/>
      <c r="I67" s="5"/>
      <c r="J67" s="5"/>
    </row>
    <row r="68" spans="2:10" x14ac:dyDescent="0.3">
      <c r="B68" s="29"/>
      <c r="C68" s="30"/>
      <c r="D68" s="33"/>
      <c r="E68" s="31"/>
      <c r="F68" s="32"/>
      <c r="G68" s="32"/>
      <c r="H68" s="32"/>
      <c r="I68" s="5"/>
      <c r="J68" s="5"/>
    </row>
    <row r="69" spans="2:10" x14ac:dyDescent="0.3">
      <c r="B69" s="29"/>
      <c r="C69" s="30"/>
      <c r="D69" s="33"/>
      <c r="E69" s="31"/>
      <c r="F69" s="32"/>
      <c r="G69" s="32"/>
      <c r="H69" s="32"/>
      <c r="I69" s="5"/>
      <c r="J69" s="5"/>
    </row>
    <row r="70" spans="2:10" x14ac:dyDescent="0.3">
      <c r="B70" s="29"/>
      <c r="C70" s="30"/>
      <c r="D70" s="33"/>
      <c r="E70" s="31"/>
      <c r="F70" s="32"/>
      <c r="G70" s="32"/>
      <c r="H70" s="32"/>
      <c r="I70" s="5"/>
      <c r="J70" s="5"/>
    </row>
    <row r="71" spans="2:10" x14ac:dyDescent="0.3">
      <c r="B71" s="29"/>
      <c r="C71" s="30"/>
      <c r="D71" s="33"/>
      <c r="E71" s="31"/>
      <c r="F71" s="32"/>
      <c r="G71" s="32"/>
      <c r="H71" s="32"/>
      <c r="I71" s="5"/>
      <c r="J71" s="5"/>
    </row>
    <row r="72" spans="2:10" x14ac:dyDescent="0.3">
      <c r="B72" s="29"/>
      <c r="C72" s="30"/>
      <c r="D72" s="33"/>
      <c r="E72" s="31"/>
      <c r="F72" s="32"/>
      <c r="G72" s="32"/>
      <c r="H72" s="32"/>
      <c r="I72" s="5"/>
      <c r="J72" s="5"/>
    </row>
    <row r="73" spans="2:10" x14ac:dyDescent="0.3">
      <c r="B73" s="29"/>
      <c r="C73" s="30"/>
      <c r="D73" s="33"/>
      <c r="E73" s="31"/>
      <c r="F73" s="32"/>
      <c r="G73" s="32"/>
      <c r="H73" s="32"/>
      <c r="I73" s="5"/>
      <c r="J73" s="5"/>
    </row>
    <row r="74" spans="2:10" x14ac:dyDescent="0.3">
      <c r="B74" s="29"/>
      <c r="C74" s="30"/>
      <c r="D74" s="33"/>
      <c r="E74" s="31"/>
      <c r="F74" s="32"/>
      <c r="G74" s="32"/>
      <c r="H74" s="32"/>
      <c r="I74" s="5"/>
      <c r="J74" s="5"/>
    </row>
    <row r="75" spans="2:10" x14ac:dyDescent="0.3">
      <c r="B75" s="29"/>
      <c r="C75" s="30"/>
      <c r="D75" s="33"/>
      <c r="E75" s="31"/>
      <c r="F75" s="32"/>
      <c r="G75" s="32"/>
      <c r="H75" s="32"/>
      <c r="I75" s="5"/>
      <c r="J75" s="5"/>
    </row>
    <row r="76" spans="2:10" x14ac:dyDescent="0.3">
      <c r="B76" s="29"/>
      <c r="C76" s="30"/>
      <c r="D76" s="33"/>
      <c r="E76" s="31"/>
      <c r="F76" s="32"/>
      <c r="G76" s="32"/>
      <c r="H76" s="32"/>
      <c r="I76" s="5"/>
      <c r="J76" s="5"/>
    </row>
    <row r="77" spans="2:10" x14ac:dyDescent="0.3">
      <c r="B77" s="29"/>
      <c r="C77" s="30"/>
      <c r="D77" s="33"/>
      <c r="E77" s="31"/>
      <c r="F77" s="32"/>
      <c r="G77" s="32"/>
      <c r="H77" s="32"/>
      <c r="I77" s="5"/>
      <c r="J77" s="5"/>
    </row>
    <row r="78" spans="2:10" x14ac:dyDescent="0.3">
      <c r="B78" s="29"/>
      <c r="C78" s="30"/>
      <c r="D78" s="33"/>
      <c r="E78" s="31"/>
      <c r="F78" s="32"/>
      <c r="G78" s="32"/>
      <c r="H78" s="32"/>
      <c r="I78" s="5"/>
      <c r="J78" s="5"/>
    </row>
    <row r="79" spans="2:10" x14ac:dyDescent="0.3">
      <c r="B79" s="29"/>
      <c r="C79" s="30"/>
      <c r="D79" s="33"/>
      <c r="E79" s="31"/>
      <c r="F79" s="32"/>
      <c r="G79" s="32"/>
      <c r="H79" s="32"/>
      <c r="I79" s="5"/>
      <c r="J79" s="5"/>
    </row>
    <row r="80" spans="2:10" x14ac:dyDescent="0.3">
      <c r="B80" s="29"/>
      <c r="C80" s="30"/>
      <c r="D80" s="33"/>
      <c r="E80" s="31"/>
      <c r="F80" s="32"/>
      <c r="G80" s="32"/>
      <c r="H80" s="32"/>
      <c r="I80" s="5"/>
      <c r="J80" s="5"/>
    </row>
    <row r="81" spans="2:10" x14ac:dyDescent="0.3">
      <c r="B81" s="29"/>
      <c r="C81" s="30"/>
      <c r="D81" s="33"/>
      <c r="E81" s="31"/>
      <c r="F81" s="32"/>
      <c r="G81" s="32"/>
      <c r="H81" s="32"/>
      <c r="I81" s="5"/>
      <c r="J81" s="5"/>
    </row>
    <row r="82" spans="2:10" x14ac:dyDescent="0.3">
      <c r="B82" s="29"/>
      <c r="C82" s="30"/>
      <c r="D82" s="33"/>
      <c r="E82" s="31"/>
      <c r="F82" s="32"/>
      <c r="G82" s="32"/>
      <c r="H82" s="32"/>
      <c r="I82" s="5"/>
      <c r="J82" s="5"/>
    </row>
    <row r="83" spans="2:10" x14ac:dyDescent="0.3">
      <c r="B83" s="29"/>
      <c r="C83" s="30"/>
      <c r="D83" s="33"/>
      <c r="E83" s="31"/>
      <c r="F83" s="32"/>
      <c r="G83" s="32"/>
      <c r="H83" s="32"/>
      <c r="I83" s="5"/>
      <c r="J83" s="5"/>
    </row>
    <row r="84" spans="2:10" x14ac:dyDescent="0.3">
      <c r="B84" s="29"/>
      <c r="C84" s="30"/>
      <c r="D84" s="33"/>
      <c r="E84" s="31"/>
      <c r="F84" s="32"/>
      <c r="G84" s="32"/>
      <c r="H84" s="32"/>
      <c r="I84" s="5"/>
      <c r="J84" s="5"/>
    </row>
    <row r="85" spans="2:10" x14ac:dyDescent="0.3">
      <c r="B85" s="29"/>
      <c r="C85" s="30"/>
      <c r="D85" s="33"/>
      <c r="E85" s="31"/>
      <c r="F85" s="32"/>
      <c r="G85" s="32"/>
      <c r="H85" s="32"/>
      <c r="I85" s="5"/>
      <c r="J85" s="5"/>
    </row>
    <row r="86" spans="2:10" x14ac:dyDescent="0.3">
      <c r="B86" s="29"/>
      <c r="C86" s="30"/>
      <c r="D86" s="33"/>
      <c r="E86" s="31"/>
      <c r="F86" s="32"/>
      <c r="G86" s="32"/>
      <c r="H86" s="32"/>
      <c r="I86" s="5"/>
      <c r="J86" s="5"/>
    </row>
    <row r="87" spans="2:10" x14ac:dyDescent="0.3">
      <c r="B87" s="29"/>
      <c r="C87" s="30"/>
      <c r="D87" s="33"/>
      <c r="E87" s="31"/>
      <c r="F87" s="32"/>
      <c r="G87" s="32"/>
      <c r="H87" s="32"/>
      <c r="I87" s="5"/>
      <c r="J87" s="5"/>
    </row>
    <row r="88" spans="2:10" x14ac:dyDescent="0.3">
      <c r="B88" s="29"/>
      <c r="C88" s="30"/>
      <c r="D88" s="33"/>
      <c r="E88" s="31"/>
      <c r="F88" s="32"/>
      <c r="G88" s="32"/>
      <c r="H88" s="32"/>
      <c r="I88" s="5"/>
      <c r="J88" s="5"/>
    </row>
    <row r="89" spans="2:10" x14ac:dyDescent="0.3">
      <c r="B89" s="29"/>
      <c r="C89" s="30"/>
      <c r="D89" s="33"/>
      <c r="E89" s="31"/>
      <c r="F89" s="32"/>
      <c r="G89" s="32"/>
      <c r="H89" s="32"/>
      <c r="I89" s="5"/>
      <c r="J89" s="5"/>
    </row>
    <row r="90" spans="2:10" x14ac:dyDescent="0.3">
      <c r="B90" s="29"/>
      <c r="C90" s="30"/>
      <c r="D90" s="33"/>
      <c r="E90" s="31"/>
      <c r="F90" s="32"/>
      <c r="G90" s="32"/>
      <c r="H90" s="32"/>
      <c r="I90" s="5"/>
      <c r="J90" s="5"/>
    </row>
    <row r="91" spans="2:10" x14ac:dyDescent="0.3">
      <c r="B91" s="29"/>
      <c r="C91" s="30"/>
      <c r="D91" s="33"/>
      <c r="E91" s="31"/>
      <c r="F91" s="32"/>
      <c r="G91" s="32"/>
      <c r="H91" s="32"/>
      <c r="I91" s="5"/>
      <c r="J91" s="5"/>
    </row>
    <row r="92" spans="2:10" x14ac:dyDescent="0.3">
      <c r="B92" s="29"/>
      <c r="C92" s="30"/>
      <c r="D92" s="33"/>
      <c r="E92" s="31"/>
      <c r="F92" s="32"/>
      <c r="G92" s="32"/>
      <c r="H92" s="32"/>
      <c r="I92" s="5"/>
      <c r="J92" s="5"/>
    </row>
    <row r="93" spans="2:10" x14ac:dyDescent="0.3">
      <c r="B93" s="29"/>
      <c r="C93" s="30"/>
      <c r="D93" s="33"/>
      <c r="E93" s="31"/>
      <c r="F93" s="32"/>
      <c r="G93" s="32"/>
      <c r="H93" s="32"/>
      <c r="I93" s="5"/>
      <c r="J93" s="5"/>
    </row>
    <row r="94" spans="2:10" x14ac:dyDescent="0.3">
      <c r="B94" s="29"/>
      <c r="C94" s="30"/>
      <c r="D94" s="33"/>
      <c r="E94" s="31"/>
      <c r="F94" s="32"/>
      <c r="G94" s="32"/>
      <c r="H94" s="32"/>
      <c r="I94" s="5"/>
      <c r="J94" s="5"/>
    </row>
    <row r="95" spans="2:10" x14ac:dyDescent="0.3">
      <c r="B95" s="29"/>
      <c r="C95" s="30"/>
      <c r="D95" s="33"/>
      <c r="E95" s="31"/>
      <c r="F95" s="32"/>
      <c r="G95" s="32"/>
      <c r="H95" s="32"/>
      <c r="I95" s="5"/>
      <c r="J95" s="5"/>
    </row>
    <row r="96" spans="2:10" x14ac:dyDescent="0.3">
      <c r="B96" s="29"/>
      <c r="C96" s="30"/>
      <c r="D96" s="33"/>
      <c r="E96" s="31"/>
      <c r="F96" s="32"/>
      <c r="G96" s="32"/>
      <c r="H96" s="32"/>
      <c r="I96" s="5"/>
      <c r="J96" s="5"/>
    </row>
    <row r="97" spans="2:10" x14ac:dyDescent="0.3">
      <c r="B97" s="29"/>
      <c r="C97" s="30"/>
      <c r="D97" s="33"/>
      <c r="E97" s="31"/>
      <c r="F97" s="32"/>
      <c r="G97" s="32"/>
      <c r="H97" s="32"/>
      <c r="I97" s="5"/>
      <c r="J97" s="5"/>
    </row>
    <row r="98" spans="2:10" x14ac:dyDescent="0.3">
      <c r="B98" s="29"/>
      <c r="C98" s="30"/>
      <c r="D98" s="33"/>
      <c r="E98" s="31"/>
      <c r="F98" s="32"/>
      <c r="G98" s="32"/>
      <c r="H98" s="32"/>
      <c r="I98" s="5"/>
      <c r="J98" s="5"/>
    </row>
    <row r="99" spans="2:10" x14ac:dyDescent="0.3">
      <c r="B99" s="29"/>
      <c r="C99" s="30"/>
      <c r="D99" s="33"/>
      <c r="E99" s="31"/>
      <c r="F99" s="32"/>
      <c r="G99" s="32"/>
      <c r="H99" s="32"/>
      <c r="I99" s="5"/>
      <c r="J99" s="5"/>
    </row>
    <row r="100" spans="2:10" x14ac:dyDescent="0.3">
      <c r="B100" s="29"/>
      <c r="C100" s="30"/>
      <c r="D100" s="33"/>
      <c r="E100" s="31"/>
      <c r="F100" s="32"/>
      <c r="G100" s="32"/>
      <c r="H100" s="32"/>
      <c r="I100" s="5"/>
      <c r="J100" s="5"/>
    </row>
    <row r="101" spans="2:10" x14ac:dyDescent="0.3">
      <c r="B101" s="29"/>
      <c r="C101" s="30"/>
      <c r="D101" s="33"/>
      <c r="E101" s="31"/>
      <c r="F101" s="32"/>
      <c r="G101" s="32"/>
      <c r="H101" s="32"/>
      <c r="I101" s="5"/>
      <c r="J101" s="5"/>
    </row>
    <row r="102" spans="2:10" x14ac:dyDescent="0.3">
      <c r="B102" s="29"/>
      <c r="C102" s="30"/>
      <c r="D102" s="33"/>
      <c r="E102" s="31"/>
      <c r="F102" s="32"/>
      <c r="G102" s="32"/>
      <c r="H102" s="32"/>
      <c r="I102" s="5"/>
      <c r="J102" s="5"/>
    </row>
    <row r="103" spans="2:10" x14ac:dyDescent="0.3">
      <c r="B103" s="29"/>
      <c r="C103" s="30"/>
      <c r="D103" s="33"/>
      <c r="E103" s="31"/>
      <c r="F103" s="32"/>
      <c r="G103" s="32"/>
      <c r="H103" s="32"/>
      <c r="I103" s="5"/>
      <c r="J103" s="5"/>
    </row>
    <row r="104" spans="2:10" x14ac:dyDescent="0.3">
      <c r="B104" s="29"/>
      <c r="C104" s="30"/>
      <c r="D104" s="33"/>
      <c r="E104" s="31"/>
      <c r="F104" s="32"/>
      <c r="G104" s="32"/>
      <c r="H104" s="32"/>
      <c r="I104" s="5"/>
      <c r="J104" s="5"/>
    </row>
    <row r="105" spans="2:10" x14ac:dyDescent="0.3">
      <c r="B105" s="29"/>
      <c r="C105" s="30"/>
      <c r="D105" s="33"/>
      <c r="E105" s="31"/>
      <c r="F105" s="32"/>
      <c r="G105" s="32"/>
      <c r="H105" s="32"/>
      <c r="I105" s="5"/>
      <c r="J105" s="5"/>
    </row>
    <row r="106" spans="2:10" x14ac:dyDescent="0.3">
      <c r="B106" s="29"/>
      <c r="C106" s="30"/>
      <c r="D106" s="33"/>
      <c r="E106" s="31"/>
      <c r="F106" s="32"/>
      <c r="G106" s="32"/>
      <c r="H106" s="32"/>
      <c r="I106" s="5"/>
      <c r="J106" s="5"/>
    </row>
    <row r="107" spans="2:10" x14ac:dyDescent="0.3">
      <c r="B107" s="29"/>
      <c r="C107" s="30"/>
      <c r="D107" s="33"/>
      <c r="E107" s="31"/>
      <c r="F107" s="32"/>
      <c r="G107" s="32"/>
      <c r="H107" s="32"/>
      <c r="I107" s="5"/>
      <c r="J107" s="5"/>
    </row>
    <row r="108" spans="2:10" x14ac:dyDescent="0.3">
      <c r="B108" s="29"/>
      <c r="C108" s="30"/>
      <c r="D108" s="33"/>
      <c r="E108" s="31"/>
      <c r="F108" s="32"/>
      <c r="G108" s="32"/>
      <c r="H108" s="32"/>
      <c r="I108" s="5"/>
      <c r="J108" s="5"/>
    </row>
    <row r="109" spans="2:10" x14ac:dyDescent="0.3">
      <c r="B109" s="29"/>
      <c r="C109" s="30"/>
      <c r="D109" s="33"/>
      <c r="E109" s="31"/>
      <c r="F109" s="32"/>
      <c r="G109" s="32"/>
      <c r="H109" s="32"/>
      <c r="I109" s="5"/>
      <c r="J109" s="5"/>
    </row>
    <row r="110" spans="2:10" x14ac:dyDescent="0.3">
      <c r="B110" s="29"/>
      <c r="C110" s="30"/>
      <c r="D110" s="33"/>
      <c r="E110" s="31"/>
      <c r="F110" s="32"/>
      <c r="G110" s="32"/>
      <c r="H110" s="32"/>
      <c r="I110" s="5"/>
      <c r="J110" s="5"/>
    </row>
    <row r="111" spans="2:10" x14ac:dyDescent="0.3">
      <c r="B111" s="29"/>
      <c r="C111" s="30"/>
      <c r="D111" s="33"/>
      <c r="E111" s="31"/>
      <c r="F111" s="32"/>
      <c r="G111" s="32"/>
      <c r="H111" s="32"/>
      <c r="I111" s="5"/>
      <c r="J111" s="5"/>
    </row>
    <row r="112" spans="2:10" x14ac:dyDescent="0.3">
      <c r="B112" s="29"/>
      <c r="C112" s="30"/>
      <c r="D112" s="33"/>
      <c r="E112" s="31"/>
      <c r="F112" s="32"/>
      <c r="G112" s="32"/>
      <c r="H112" s="32"/>
      <c r="I112" s="5"/>
      <c r="J112" s="5"/>
    </row>
    <row r="113" spans="2:10" x14ac:dyDescent="0.3">
      <c r="B113" s="29"/>
      <c r="C113" s="30"/>
      <c r="D113" s="33"/>
      <c r="E113" s="31"/>
      <c r="F113" s="32"/>
      <c r="G113" s="32"/>
      <c r="H113" s="32"/>
      <c r="I113" s="5"/>
      <c r="J113" s="5"/>
    </row>
    <row r="114" spans="2:10" x14ac:dyDescent="0.3">
      <c r="B114" s="29"/>
      <c r="C114" s="30"/>
      <c r="D114" s="33"/>
      <c r="E114" s="31"/>
      <c r="F114" s="32"/>
      <c r="G114" s="32"/>
      <c r="H114" s="32"/>
      <c r="I114" s="5"/>
      <c r="J114" s="5"/>
    </row>
    <row r="115" spans="2:10" x14ac:dyDescent="0.3">
      <c r="B115" s="29"/>
      <c r="C115" s="30"/>
      <c r="D115" s="33"/>
      <c r="E115" s="31"/>
      <c r="F115" s="32"/>
      <c r="G115" s="32"/>
      <c r="H115" s="32"/>
      <c r="I115" s="5"/>
      <c r="J115" s="5"/>
    </row>
    <row r="116" spans="2:10" x14ac:dyDescent="0.3">
      <c r="B116" s="29"/>
      <c r="C116" s="30"/>
      <c r="D116" s="33"/>
      <c r="E116" s="31"/>
      <c r="F116" s="32"/>
      <c r="G116" s="32"/>
      <c r="H116" s="32"/>
      <c r="I116" s="5"/>
      <c r="J116" s="5"/>
    </row>
    <row r="117" spans="2:10" x14ac:dyDescent="0.3">
      <c r="B117" s="29"/>
      <c r="C117" s="30"/>
      <c r="D117" s="33"/>
      <c r="E117" s="31"/>
      <c r="F117" s="32"/>
      <c r="G117" s="32"/>
      <c r="H117" s="32"/>
      <c r="I117" s="5"/>
      <c r="J117" s="5"/>
    </row>
    <row r="118" spans="2:10" x14ac:dyDescent="0.3">
      <c r="B118" s="29"/>
      <c r="C118" s="30"/>
      <c r="D118" s="33"/>
      <c r="E118" s="31"/>
      <c r="F118" s="32"/>
      <c r="G118" s="32"/>
      <c r="H118" s="32"/>
      <c r="I118" s="5"/>
      <c r="J118" s="5"/>
    </row>
    <row r="119" spans="2:10" x14ac:dyDescent="0.3">
      <c r="B119" s="29"/>
      <c r="C119" s="30"/>
      <c r="D119" s="33"/>
      <c r="E119" s="31"/>
      <c r="F119" s="32"/>
      <c r="G119" s="32"/>
      <c r="H119" s="32"/>
      <c r="I119" s="5"/>
      <c r="J119" s="5"/>
    </row>
    <row r="120" spans="2:10" x14ac:dyDescent="0.3">
      <c r="B120" s="29"/>
      <c r="C120" s="30"/>
      <c r="D120" s="33"/>
      <c r="E120" s="31"/>
      <c r="F120" s="32"/>
      <c r="G120" s="32"/>
      <c r="H120" s="32"/>
      <c r="I120" s="5"/>
      <c r="J120" s="5"/>
    </row>
    <row r="121" spans="2:10" x14ac:dyDescent="0.3">
      <c r="B121" s="29"/>
      <c r="C121" s="30"/>
      <c r="D121" s="33"/>
      <c r="E121" s="31"/>
      <c r="F121" s="32"/>
      <c r="G121" s="32"/>
      <c r="H121" s="32"/>
      <c r="I121" s="5"/>
      <c r="J121" s="5"/>
    </row>
    <row r="122" spans="2:10" x14ac:dyDescent="0.3">
      <c r="B122" s="29"/>
      <c r="C122" s="30"/>
      <c r="D122" s="33"/>
      <c r="E122" s="31"/>
      <c r="F122" s="32"/>
      <c r="G122" s="32"/>
      <c r="H122" s="32"/>
      <c r="I122" s="5"/>
      <c r="J122" s="5"/>
    </row>
    <row r="123" spans="2:10" x14ac:dyDescent="0.3">
      <c r="B123" s="29"/>
      <c r="C123" s="30"/>
      <c r="D123" s="33"/>
      <c r="E123" s="31"/>
      <c r="F123" s="32"/>
      <c r="G123" s="32"/>
      <c r="H123" s="32"/>
      <c r="I123" s="5"/>
      <c r="J123" s="5"/>
    </row>
    <row r="124" spans="2:10" x14ac:dyDescent="0.3">
      <c r="B124" s="29"/>
      <c r="C124" s="30"/>
      <c r="D124" s="33"/>
      <c r="E124" s="31"/>
      <c r="F124" s="32"/>
      <c r="G124" s="32"/>
      <c r="H124" s="32"/>
      <c r="I124" s="5"/>
      <c r="J124" s="5"/>
    </row>
    <row r="125" spans="2:10" x14ac:dyDescent="0.3">
      <c r="B125" s="29"/>
      <c r="C125" s="30"/>
      <c r="D125" s="33"/>
      <c r="E125" s="31"/>
      <c r="F125" s="32"/>
      <c r="G125" s="32"/>
      <c r="H125" s="32"/>
      <c r="I125" s="5"/>
      <c r="J125" s="5"/>
    </row>
    <row r="126" spans="2:10" x14ac:dyDescent="0.3">
      <c r="B126" s="29"/>
      <c r="C126" s="30"/>
      <c r="D126" s="33"/>
      <c r="E126" s="31"/>
      <c r="F126" s="32"/>
      <c r="G126" s="32"/>
      <c r="H126" s="32"/>
      <c r="I126" s="5"/>
      <c r="J126" s="5"/>
    </row>
    <row r="127" spans="2:10" x14ac:dyDescent="0.3">
      <c r="B127" s="29"/>
      <c r="C127" s="30"/>
      <c r="D127" s="33"/>
      <c r="E127" s="31"/>
      <c r="F127" s="32"/>
      <c r="G127" s="32"/>
      <c r="H127" s="32"/>
      <c r="I127" s="5"/>
      <c r="J127" s="5"/>
    </row>
    <row r="128" spans="2:10" x14ac:dyDescent="0.3">
      <c r="B128" s="29"/>
      <c r="C128" s="30"/>
      <c r="D128" s="33"/>
      <c r="E128" s="31"/>
      <c r="F128" s="32"/>
      <c r="G128" s="32"/>
      <c r="H128" s="32"/>
      <c r="I128" s="5"/>
      <c r="J128" s="5"/>
    </row>
    <row r="129" spans="2:10" x14ac:dyDescent="0.3">
      <c r="B129" s="29"/>
      <c r="C129" s="30"/>
      <c r="D129" s="33"/>
      <c r="E129" s="31"/>
      <c r="F129" s="32"/>
      <c r="G129" s="32"/>
      <c r="H129" s="32"/>
      <c r="I129" s="5"/>
      <c r="J129" s="5"/>
    </row>
    <row r="130" spans="2:10" x14ac:dyDescent="0.3">
      <c r="B130" s="29"/>
      <c r="C130" s="30"/>
      <c r="D130" s="33"/>
      <c r="E130" s="31"/>
      <c r="F130" s="32"/>
      <c r="G130" s="32"/>
      <c r="H130" s="32"/>
      <c r="I130" s="5"/>
      <c r="J130" s="5"/>
    </row>
    <row r="131" spans="2:10" x14ac:dyDescent="0.3">
      <c r="B131" s="29"/>
      <c r="C131" s="30"/>
      <c r="D131" s="33"/>
      <c r="E131" s="31"/>
      <c r="F131" s="32"/>
      <c r="G131" s="32"/>
      <c r="H131" s="32"/>
      <c r="I131" s="5"/>
      <c r="J131" s="5"/>
    </row>
    <row r="132" spans="2:10" x14ac:dyDescent="0.3">
      <c r="B132" s="29"/>
      <c r="C132" s="30"/>
      <c r="D132" s="33"/>
      <c r="E132" s="31"/>
      <c r="F132" s="32"/>
      <c r="G132" s="32"/>
      <c r="H132" s="32"/>
      <c r="I132" s="5"/>
      <c r="J132" s="5"/>
    </row>
    <row r="133" spans="2:10" x14ac:dyDescent="0.3">
      <c r="B133" s="29"/>
      <c r="C133" s="30"/>
      <c r="D133" s="33"/>
      <c r="E133" s="31"/>
      <c r="F133" s="32"/>
      <c r="G133" s="32"/>
      <c r="H133" s="32"/>
      <c r="I133" s="5"/>
      <c r="J133" s="5"/>
    </row>
    <row r="134" spans="2:10" x14ac:dyDescent="0.3">
      <c r="B134" s="29"/>
      <c r="C134" s="30"/>
      <c r="D134" s="33"/>
      <c r="E134" s="31"/>
      <c r="F134" s="32"/>
      <c r="G134" s="32"/>
      <c r="H134" s="32"/>
      <c r="I134" s="5"/>
      <c r="J134" s="5"/>
    </row>
    <row r="135" spans="2:10" x14ac:dyDescent="0.3">
      <c r="B135" s="29"/>
      <c r="C135" s="30"/>
      <c r="D135" s="33"/>
      <c r="E135" s="31"/>
      <c r="F135" s="32"/>
      <c r="G135" s="32"/>
      <c r="H135" s="32"/>
      <c r="I135" s="5"/>
      <c r="J135" s="5"/>
    </row>
    <row r="136" spans="2:10" x14ac:dyDescent="0.3">
      <c r="B136" s="29"/>
      <c r="C136" s="30"/>
      <c r="D136" s="33"/>
      <c r="E136" s="31"/>
      <c r="F136" s="32"/>
      <c r="G136" s="32"/>
      <c r="H136" s="32"/>
      <c r="I136" s="5"/>
      <c r="J136" s="5"/>
    </row>
    <row r="137" spans="2:10" x14ac:dyDescent="0.3">
      <c r="B137" s="29"/>
      <c r="C137" s="30"/>
      <c r="D137" s="33"/>
      <c r="E137" s="31"/>
      <c r="F137" s="32"/>
      <c r="G137" s="32"/>
      <c r="H137" s="32"/>
      <c r="I137" s="5"/>
      <c r="J137" s="5"/>
    </row>
    <row r="138" spans="2:10" x14ac:dyDescent="0.3">
      <c r="B138" s="29"/>
      <c r="C138" s="30"/>
      <c r="D138" s="33"/>
      <c r="E138" s="31"/>
      <c r="F138" s="32"/>
      <c r="G138" s="32"/>
      <c r="H138" s="32"/>
      <c r="I138" s="5"/>
      <c r="J138" s="5"/>
    </row>
    <row r="139" spans="2:10" x14ac:dyDescent="0.3">
      <c r="B139" s="29"/>
      <c r="C139" s="30"/>
      <c r="D139" s="33"/>
      <c r="E139" s="31"/>
      <c r="F139" s="32"/>
      <c r="G139" s="32"/>
      <c r="H139" s="32"/>
      <c r="I139" s="5"/>
      <c r="J139" s="5"/>
    </row>
    <row r="140" spans="2:10" x14ac:dyDescent="0.3">
      <c r="B140" s="29"/>
      <c r="C140" s="30"/>
      <c r="D140" s="33"/>
      <c r="E140" s="31"/>
      <c r="F140" s="32"/>
      <c r="G140" s="32"/>
      <c r="H140" s="32"/>
      <c r="I140" s="5"/>
      <c r="J140" s="5"/>
    </row>
    <row r="141" spans="2:10" x14ac:dyDescent="0.3">
      <c r="B141" s="29"/>
      <c r="C141" s="30"/>
      <c r="D141" s="33"/>
      <c r="E141" s="31"/>
      <c r="F141" s="32"/>
      <c r="G141" s="32"/>
      <c r="H141" s="32"/>
      <c r="I141" s="5"/>
      <c r="J141" s="5"/>
    </row>
    <row r="142" spans="2:10" x14ac:dyDescent="0.3">
      <c r="B142" s="29"/>
      <c r="C142" s="30"/>
      <c r="D142" s="33"/>
      <c r="E142" s="31"/>
      <c r="F142" s="32"/>
      <c r="G142" s="32"/>
      <c r="H142" s="32"/>
      <c r="I142" s="5"/>
      <c r="J142" s="5"/>
    </row>
    <row r="143" spans="2:10" x14ac:dyDescent="0.3">
      <c r="B143" s="29"/>
      <c r="C143" s="30"/>
      <c r="D143" s="33"/>
      <c r="E143" s="31"/>
      <c r="F143" s="32"/>
      <c r="G143" s="32"/>
      <c r="H143" s="32"/>
      <c r="I143" s="5"/>
      <c r="J143" s="5"/>
    </row>
    <row r="144" spans="2:10" x14ac:dyDescent="0.3">
      <c r="B144" s="29"/>
      <c r="C144" s="30"/>
      <c r="D144" s="33"/>
      <c r="E144" s="31"/>
      <c r="F144" s="32"/>
      <c r="G144" s="32"/>
      <c r="H144" s="32"/>
      <c r="I144" s="5"/>
      <c r="J144" s="5"/>
    </row>
    <row r="145" spans="2:10" x14ac:dyDescent="0.3">
      <c r="B145" s="29"/>
      <c r="C145" s="30"/>
      <c r="D145" s="33"/>
      <c r="E145" s="31"/>
      <c r="F145" s="32"/>
      <c r="G145" s="32"/>
      <c r="H145" s="32"/>
      <c r="I145" s="5"/>
      <c r="J145" s="5"/>
    </row>
    <row r="146" spans="2:10" x14ac:dyDescent="0.3">
      <c r="B146" s="29"/>
      <c r="C146" s="30"/>
      <c r="D146" s="33"/>
      <c r="E146" s="31"/>
      <c r="F146" s="32"/>
      <c r="G146" s="32"/>
      <c r="H146" s="32"/>
      <c r="I146" s="5"/>
      <c r="J146" s="5"/>
    </row>
    <row r="147" spans="2:10" x14ac:dyDescent="0.3">
      <c r="B147" s="29"/>
      <c r="C147" s="30"/>
      <c r="D147" s="33"/>
      <c r="E147" s="31"/>
      <c r="F147" s="32"/>
      <c r="G147" s="32"/>
      <c r="H147" s="32"/>
      <c r="I147" s="5"/>
      <c r="J147" s="5"/>
    </row>
    <row r="148" spans="2:10" x14ac:dyDescent="0.3">
      <c r="B148" s="29"/>
      <c r="C148" s="30"/>
      <c r="D148" s="33"/>
      <c r="E148" s="31"/>
      <c r="F148" s="32"/>
      <c r="G148" s="32"/>
      <c r="H148" s="32"/>
      <c r="I148" s="5"/>
      <c r="J148" s="5"/>
    </row>
    <row r="149" spans="2:10" x14ac:dyDescent="0.3">
      <c r="B149" s="29"/>
      <c r="C149" s="30"/>
      <c r="D149" s="33"/>
      <c r="E149" s="31"/>
      <c r="F149" s="32"/>
      <c r="G149" s="32"/>
      <c r="H149" s="32"/>
      <c r="I149" s="5"/>
      <c r="J149" s="5"/>
    </row>
    <row r="150" spans="2:10" x14ac:dyDescent="0.3">
      <c r="B150" s="29"/>
      <c r="C150" s="30"/>
      <c r="D150" s="33"/>
      <c r="E150" s="31"/>
      <c r="F150" s="32"/>
      <c r="G150" s="32"/>
      <c r="H150" s="32"/>
      <c r="I150" s="5"/>
      <c r="J150" s="5"/>
    </row>
    <row r="151" spans="2:10" x14ac:dyDescent="0.3">
      <c r="B151" s="29"/>
      <c r="C151" s="30"/>
      <c r="D151" s="33"/>
      <c r="E151" s="31"/>
      <c r="F151" s="32"/>
      <c r="G151" s="32"/>
      <c r="H151" s="32"/>
      <c r="I151" s="5"/>
      <c r="J151" s="5"/>
    </row>
    <row r="152" spans="2:10" x14ac:dyDescent="0.3">
      <c r="B152" s="29"/>
      <c r="C152" s="30"/>
      <c r="D152" s="33"/>
      <c r="E152" s="31"/>
      <c r="F152" s="32"/>
      <c r="G152" s="32"/>
      <c r="H152" s="32"/>
      <c r="I152" s="5"/>
      <c r="J152" s="5"/>
    </row>
    <row r="153" spans="2:10" x14ac:dyDescent="0.3">
      <c r="B153" s="29"/>
      <c r="C153" s="30"/>
      <c r="D153" s="33"/>
      <c r="E153" s="31"/>
      <c r="F153" s="32"/>
      <c r="G153" s="32"/>
      <c r="H153" s="32"/>
      <c r="I153" s="5"/>
      <c r="J153" s="5"/>
    </row>
    <row r="154" spans="2:10" x14ac:dyDescent="0.3">
      <c r="B154" s="29"/>
      <c r="C154" s="30"/>
      <c r="D154" s="33"/>
      <c r="E154" s="31"/>
      <c r="F154" s="32"/>
      <c r="G154" s="32"/>
      <c r="H154" s="32"/>
      <c r="I154" s="5"/>
      <c r="J154" s="5"/>
    </row>
    <row r="155" spans="2:10" x14ac:dyDescent="0.3">
      <c r="B155" s="29"/>
      <c r="C155" s="30"/>
      <c r="D155" s="33"/>
      <c r="E155" s="31"/>
      <c r="F155" s="32"/>
      <c r="G155" s="32"/>
      <c r="H155" s="32"/>
      <c r="I155" s="5"/>
      <c r="J155" s="5"/>
    </row>
    <row r="156" spans="2:10" x14ac:dyDescent="0.3">
      <c r="B156" s="29"/>
      <c r="C156" s="30"/>
      <c r="D156" s="33"/>
      <c r="E156" s="31"/>
      <c r="F156" s="32"/>
      <c r="G156" s="32"/>
      <c r="H156" s="32"/>
      <c r="I156" s="5"/>
      <c r="J156" s="5"/>
    </row>
    <row r="157" spans="2:10" x14ac:dyDescent="0.3">
      <c r="B157" s="29"/>
      <c r="C157" s="30"/>
      <c r="D157" s="33"/>
      <c r="E157" s="31"/>
      <c r="F157" s="32"/>
      <c r="G157" s="32"/>
      <c r="H157" s="32"/>
      <c r="I157" s="5"/>
      <c r="J157" s="5"/>
    </row>
    <row r="158" spans="2:10" x14ac:dyDescent="0.3">
      <c r="B158" s="29"/>
      <c r="C158" s="30"/>
      <c r="D158" s="33"/>
      <c r="E158" s="31"/>
      <c r="F158" s="32"/>
      <c r="G158" s="32"/>
      <c r="H158" s="32"/>
      <c r="I158" s="5"/>
      <c r="J158" s="5"/>
    </row>
    <row r="159" spans="2:10" x14ac:dyDescent="0.3">
      <c r="B159" s="29"/>
      <c r="C159" s="30"/>
      <c r="D159" s="33"/>
      <c r="E159" s="31"/>
      <c r="F159" s="32"/>
      <c r="G159" s="32"/>
      <c r="H159" s="32"/>
      <c r="I159" s="5"/>
      <c r="J159" s="5"/>
    </row>
    <row r="160" spans="2:10" x14ac:dyDescent="0.3">
      <c r="B160" s="29"/>
      <c r="C160" s="30"/>
      <c r="D160" s="33"/>
      <c r="E160" s="31"/>
      <c r="F160" s="32"/>
      <c r="G160" s="32"/>
      <c r="H160" s="32"/>
      <c r="I160" s="5"/>
      <c r="J160" s="5"/>
    </row>
  </sheetData>
  <phoneticPr fontId="3" type="noConversion"/>
  <dataValidations count="1">
    <dataValidation type="list" allowBlank="1" showInputMessage="1" sqref="D1" xr:uid="{21C78064-B328-4492-95E2-155E690CCB7A}">
      <formula1>Список_щитов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B52" workbookViewId="0">
      <selection activeCell="C11" sqref="C11"/>
    </sheetView>
  </sheetViews>
  <sheetFormatPr defaultRowHeight="14.4" outlineLevelCol="1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customWidth="1" outlineLevel="1"/>
    <col min="13" max="19" width="11" hidden="1" customWidth="1" outlineLevel="1"/>
  </cols>
  <sheetData>
    <row r="1" spans="1:15" ht="28.2" thickBot="1" x14ac:dyDescent="0.35">
      <c r="C1" s="30" t="str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  <v>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</v>
      </c>
      <c r="K1" s="36" t="str">
        <f>"Щит: "&amp;Спецификация!$D$1&amp;" (выбор — «Спецификация» D1)"</f>
        <v>Щит: все (выбор — «Спецификация» D1)</v>
      </c>
    </row>
    <row r="2" spans="1:15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  <c r="L2" s="1" t="s">
        <v>778</v>
      </c>
      <c r="M2" s="1" t="s">
        <v>51</v>
      </c>
      <c r="N2" s="1" t="s">
        <v>779</v>
      </c>
      <c r="O2" s="1" t="s">
        <v>780</v>
      </c>
    </row>
    <row r="3" spans="1:15" ht="28.8" x14ac:dyDescent="0.3">
      <c r="B3" s="28" t="s">
        <v>40</v>
      </c>
      <c r="C3" s="27" t="s">
        <v>260</v>
      </c>
      <c r="D3" s="8"/>
      <c r="E3" s="8"/>
      <c r="F3" s="8"/>
      <c r="G3" s="8"/>
      <c r="H3" s="8"/>
      <c r="I3" s="8"/>
      <c r="J3" s="8"/>
      <c r="L3" s="1" t="s">
        <v>781</v>
      </c>
    </row>
    <row r="4" spans="1:15" x14ac:dyDescent="0.3">
      <c r="A4" s="29" t="str">
        <f>IFERROR(MATCH(ROW()-3,Каталог!$AF$4:$AF$500,0),"")</f>
        <v/>
      </c>
      <c r="B4" s="29" t="str">
        <f t="shared" ref="B4:B35" si="0">IF($A4="","",$B$3&amp;"."&amp;(ROW()-3))</f>
        <v/>
      </c>
      <c r="C4" s="30" t="str">
        <f>IF($A4="","",INDEX(Каталог!$G$4:$G$500,$A4)&amp;"")</f>
        <v/>
      </c>
      <c r="D4" s="33"/>
      <c r="E4" s="31" t="str">
        <f>IF($A4="","",INDEX(Каталог!$H$4:$H$500,$A4)&amp;"")</f>
        <v/>
      </c>
      <c r="F4" s="32" t="str">
        <f>IF($A4="","",INDEX(Каталог!$B$4:$B$500,$A4)&amp;"")</f>
        <v/>
      </c>
      <c r="G4" s="32" t="str">
        <f>IF($A4="","",INDEX(Каталог!$M$4:$M$500,$A4)&amp;"")</f>
        <v/>
      </c>
      <c r="H4" s="32" t="str">
        <f>IF($A4="","",INDEX(Каталог!$P$4:$P$500,$A4))</f>
        <v/>
      </c>
      <c r="I4" s="5"/>
      <c r="J4" s="5"/>
      <c r="L4" s="30" t="str">
        <f>IFERROR(INDEX(Однолинейка!$H$3:$H$1000,MATCH(1,Однолинейка!$BM$3:$BM$1000,0)),"")</f>
        <v/>
      </c>
      <c r="M4" s="32" t="str">
        <f>IF(L4="","",COUNTIF(Однолинейка!$H$3:$H$1000,L4))</f>
        <v/>
      </c>
    </row>
    <row r="5" spans="1:15" x14ac:dyDescent="0.3">
      <c r="A5" s="29" t="str">
        <f>IFERROR(MATCH(ROW()-3,Каталог!$AF$4:$AF$500,0),"")</f>
        <v/>
      </c>
      <c r="B5" s="29" t="str">
        <f t="shared" si="0"/>
        <v/>
      </c>
      <c r="C5" s="30" t="str">
        <f>IF($A5="","",INDEX(Каталог!$G$4:$G$500,$A5)&amp;"")</f>
        <v/>
      </c>
      <c r="D5" s="33"/>
      <c r="E5" s="31" t="str">
        <f>IF($A5="","",INDEX(Каталог!$H$4:$H$500,$A5)&amp;"")</f>
        <v/>
      </c>
      <c r="F5" s="32" t="str">
        <f>IF($A5="","",INDEX(Каталог!$B$4:$B$500,$A5)&amp;"")</f>
        <v/>
      </c>
      <c r="G5" s="32" t="str">
        <f>IF($A5="","",INDEX(Каталог!$M$4:$M$500,$A5)&amp;"")</f>
        <v/>
      </c>
      <c r="H5" s="32" t="str">
        <f>IF($A5="","",INDEX(Каталог!$P$4:$P$500,$A5))</f>
        <v/>
      </c>
      <c r="I5" s="5"/>
      <c r="J5" s="5"/>
      <c r="L5" s="30" t="str">
        <f>IFERROR(INDEX(Однолинейка!$H$3:$H$1000,MATCH(2,Однолинейка!$BM$3:$BM$1000,0)),"")</f>
        <v/>
      </c>
      <c r="M5" s="32" t="str">
        <f>IF(L5="","",COUNTIF(Однолинейка!$H$3:$H$1000,L5))</f>
        <v/>
      </c>
    </row>
    <row r="6" spans="1:15" x14ac:dyDescent="0.3">
      <c r="A6" s="29" t="str">
        <f>IFERROR(MATCH(ROW()-3,Каталог!$AF$4:$AF$500,0),"")</f>
        <v/>
      </c>
      <c r="B6" s="29" t="str">
        <f t="shared" si="0"/>
        <v/>
      </c>
      <c r="C6" s="30" t="str">
        <f>IF($A6="","",INDEX(Каталог!$G$4:$G$500,$A6)&amp;"")</f>
        <v/>
      </c>
      <c r="D6" s="33"/>
      <c r="E6" s="31" t="str">
        <f>IF($A6="","",INDEX(Каталог!$H$4:$H$500,$A6)&amp;"")</f>
        <v/>
      </c>
      <c r="F6" s="32" t="str">
        <f>IF($A6="","",INDEX(Каталог!$B$4:$B$500,$A6)&amp;"")</f>
        <v/>
      </c>
      <c r="G6" s="32" t="str">
        <f>IF($A6="","",INDEX(Каталог!$M$4:$M$500,$A6)&amp;"")</f>
        <v/>
      </c>
      <c r="H6" s="32" t="str">
        <f>IF($A6="","",INDEX(Каталог!$P$4:$P$500,$A6))</f>
        <v/>
      </c>
      <c r="I6" s="5"/>
      <c r="J6" s="5"/>
      <c r="L6" s="30" t="str">
        <f>IFERROR(INDEX(Однолинейка!$H$3:$H$1000,MATCH(3,Однолинейка!$BM$3:$BM$1000,0)),"")</f>
        <v/>
      </c>
      <c r="M6" s="32" t="str">
        <f>IF(L6="","",COUNTIF(Однолинейка!$H$3:$H$1000,L6))</f>
        <v/>
      </c>
    </row>
    <row r="7" spans="1:15" x14ac:dyDescent="0.3">
      <c r="A7" s="29" t="str">
        <f>IFERROR(MATCH(ROW()-3,Каталог!$AF$4:$AF$500,0),"")</f>
        <v/>
      </c>
      <c r="B7" s="29" t="str">
        <f t="shared" si="0"/>
        <v/>
      </c>
      <c r="C7" s="30" t="str">
        <f>IF($A7="","",INDEX(Каталог!$G$4:$G$500,$A7)&amp;"")</f>
        <v/>
      </c>
      <c r="D7" s="33"/>
      <c r="E7" s="31" t="str">
        <f>IF($A7="","",INDEX(Каталог!$H$4:$H$500,$A7)&amp;"")</f>
        <v/>
      </c>
      <c r="F7" s="32" t="str">
        <f>IF($A7="","",INDEX(Каталог!$B$4:$B$500,$A7)&amp;"")</f>
        <v/>
      </c>
      <c r="G7" s="32" t="str">
        <f>IF($A7="","",INDEX(Каталог!$M$4:$M$500,$A7)&amp;"")</f>
        <v/>
      </c>
      <c r="H7" s="32" t="str">
        <f>IF($A7="","",INDEX(Каталог!$P$4:$P$500,$A7))</f>
        <v/>
      </c>
      <c r="I7" s="5"/>
      <c r="J7" s="5"/>
      <c r="L7" s="30" t="str">
        <f>IFERROR(INDEX(Однолинейка!$H$3:$H$1000,MATCH(4,Однолинейка!$BM$3:$BM$1000,0)),"")</f>
        <v/>
      </c>
      <c r="M7" s="32" t="str">
        <f>IF(L7="","",COUNTIF(Однолинейка!$H$3:$H$1000,L7))</f>
        <v/>
      </c>
    </row>
    <row r="8" spans="1:15" x14ac:dyDescent="0.3">
      <c r="A8" s="29" t="str">
        <f>IFERROR(MATCH(ROW()-3,Каталог!$AF$4:$AF$500,0),"")</f>
        <v/>
      </c>
      <c r="B8" s="29" t="str">
        <f t="shared" si="0"/>
        <v/>
      </c>
      <c r="C8" s="30" t="str">
        <f>IF($A8="","",INDEX(Каталог!$G$4:$G$500,$A8)&amp;"")</f>
        <v/>
      </c>
      <c r="D8" s="33"/>
      <c r="E8" s="31" t="str">
        <f>IF($A8="","",INDEX(Каталог!$H$4:$H$500,$A8)&amp;"")</f>
        <v/>
      </c>
      <c r="F8" s="32" t="str">
        <f>IF($A8="","",INDEX(Каталог!$B$4:$B$500,$A8)&amp;"")</f>
        <v/>
      </c>
      <c r="G8" s="32" t="str">
        <f>IF($A8="","",INDEX(Каталог!$M$4:$M$500,$A8)&amp;"")</f>
        <v/>
      </c>
      <c r="H8" s="32" t="str">
        <f>IF($A8="","",INDEX(Каталог!$P$4:$P$500,$A8))</f>
        <v/>
      </c>
      <c r="I8" s="5"/>
      <c r="J8" s="5"/>
      <c r="L8" s="30" t="str">
        <f>IFERROR(INDEX(Однолинейка!$H$3:$H$1000,MATCH(5,Однолинейка!$BM$3:$BM$1000,0)),"")</f>
        <v/>
      </c>
      <c r="M8" s="32" t="str">
        <f>IF(L8="","",COUNTIF(Однолинейка!$H$3:$H$1000,L8))</f>
        <v/>
      </c>
    </row>
    <row r="9" spans="1:15" x14ac:dyDescent="0.3">
      <c r="A9" s="29" t="str">
        <f>IFERROR(MATCH(ROW()-3,Каталог!$AF$4:$AF$500,0),"")</f>
        <v/>
      </c>
      <c r="B9" s="29" t="str">
        <f t="shared" si="0"/>
        <v/>
      </c>
      <c r="C9" s="30" t="str">
        <f>IF($A9="","",INDEX(Каталог!$G$4:$G$500,$A9)&amp;"")</f>
        <v/>
      </c>
      <c r="D9" s="33"/>
      <c r="E9" s="31" t="str">
        <f>IF($A9="","",INDEX(Каталог!$H$4:$H$500,$A9)&amp;"")</f>
        <v/>
      </c>
      <c r="F9" s="32" t="str">
        <f>IF($A9="","",INDEX(Каталог!$B$4:$B$500,$A9)&amp;"")</f>
        <v/>
      </c>
      <c r="G9" s="32" t="str">
        <f>IF($A9="","",INDEX(Каталог!$M$4:$M$500,$A9)&amp;"")</f>
        <v/>
      </c>
      <c r="H9" s="32" t="str">
        <f>IF($A9="","",INDEX(Каталог!$P$4:$P$500,$A9))</f>
        <v/>
      </c>
      <c r="I9" s="5"/>
      <c r="J9" s="5"/>
      <c r="L9" s="30" t="str">
        <f>IFERROR(INDEX(Однолинейка!$H$3:$H$1000,MATCH(6,Однолинейка!$BM$3:$BM$1000,0)),"")</f>
        <v/>
      </c>
      <c r="M9" s="32" t="str">
        <f>IF(L9="","",COUNTIF(Однолинейка!$H$3:$H$1000,L9))</f>
        <v/>
      </c>
    </row>
    <row r="10" spans="1:15" x14ac:dyDescent="0.3">
      <c r="A10" s="29" t="str">
        <f>IFERROR(MATCH(ROW()-3,Каталог!$AF$4:$AF$500,0),"")</f>
        <v/>
      </c>
      <c r="B10" s="29" t="str">
        <f t="shared" si="0"/>
        <v/>
      </c>
      <c r="C10" s="30" t="str">
        <f>IF($A10="","",INDEX(Каталог!$G$4:$G$500,$A10)&amp;"")</f>
        <v/>
      </c>
      <c r="D10" s="33"/>
      <c r="E10" s="31" t="str">
        <f>IF($A10="","",INDEX(Каталог!$H$4:$H$500,$A10)&amp;"")</f>
        <v/>
      </c>
      <c r="F10" s="32" t="str">
        <f>IF($A10="","",INDEX(Каталог!$B$4:$B$500,$A10)&amp;"")</f>
        <v/>
      </c>
      <c r="G10" s="32" t="str">
        <f>IF($A10="","",INDEX(Каталог!$M$4:$M$500,$A10)&amp;"")</f>
        <v/>
      </c>
      <c r="H10" s="32" t="str">
        <f>IF($A10="","",INDEX(Каталог!$P$4:$P$500,$A10))</f>
        <v/>
      </c>
      <c r="I10" s="5"/>
      <c r="J10" s="5"/>
      <c r="L10" s="30" t="str">
        <f>IFERROR(INDEX(Однолинейка!$H$3:$H$1000,MATCH(7,Однолинейка!$BM$3:$BM$1000,0)),"")</f>
        <v/>
      </c>
      <c r="M10" s="32" t="str">
        <f>IF(L10="","",COUNTIF(Однолинейка!$H$3:$H$1000,L10))</f>
        <v/>
      </c>
    </row>
    <row r="11" spans="1:15" x14ac:dyDescent="0.3">
      <c r="A11" s="29" t="str">
        <f>IFERROR(MATCH(ROW()-3,Каталог!$AF$4:$AF$500,0),"")</f>
        <v/>
      </c>
      <c r="B11" s="29" t="str">
        <f t="shared" si="0"/>
        <v/>
      </c>
      <c r="C11" s="30" t="str">
        <f>IF($A11="","",INDEX(Каталог!$G$4:$G$500,$A11)&amp;"")</f>
        <v/>
      </c>
      <c r="D11" s="33"/>
      <c r="E11" s="31" t="str">
        <f>IF($A11="","",INDEX(Каталог!$H$4:$H$500,$A11)&amp;"")</f>
        <v/>
      </c>
      <c r="F11" s="32" t="str">
        <f>IF($A11="","",INDEX(Каталог!$B$4:$B$500,$A11)&amp;"")</f>
        <v/>
      </c>
      <c r="G11" s="32" t="str">
        <f>IF($A11="","",INDEX(Каталог!$M$4:$M$500,$A11)&amp;"")</f>
        <v/>
      </c>
      <c r="H11" s="32" t="str">
        <f>IF($A11="","",INDEX(Каталог!$P$4:$P$500,$A11))</f>
        <v/>
      </c>
      <c r="I11" s="5"/>
      <c r="J11" s="5"/>
      <c r="L11" s="30" t="str">
        <f>IFERROR(INDEX(Однолинейка!$H$3:$H$1000,MATCH(8,Однолинейка!$BM$3:$BM$1000,0)),"")</f>
        <v/>
      </c>
      <c r="M11" s="32" t="str">
        <f>IF(L11="","",COUNTIF(Однолинейка!$H$3:$H$1000,L11))</f>
        <v/>
      </c>
    </row>
    <row r="12" spans="1:15" x14ac:dyDescent="0.3">
      <c r="A12" s="29" t="str">
        <f>IFERROR(MATCH(ROW()-3,Каталог!$AF$4:$AF$500,0),"")</f>
        <v/>
      </c>
      <c r="B12" s="29" t="str">
        <f t="shared" si="0"/>
        <v/>
      </c>
      <c r="C12" s="30" t="str">
        <f>IF($A12="","",INDEX(Каталог!$G$4:$G$500,$A12)&amp;"")</f>
        <v/>
      </c>
      <c r="D12" s="33"/>
      <c r="E12" s="31" t="str">
        <f>IF($A12="","",INDEX(Каталог!$H$4:$H$500,$A12)&amp;"")</f>
        <v/>
      </c>
      <c r="F12" s="32" t="str">
        <f>IF($A12="","",INDEX(Каталог!$B$4:$B$500,$A12)&amp;"")</f>
        <v/>
      </c>
      <c r="G12" s="32" t="str">
        <f>IF($A12="","",INDEX(Каталог!$M$4:$M$500,$A12)&amp;"")</f>
        <v/>
      </c>
      <c r="H12" s="32" t="str">
        <f>IF($A12="","",INDEX(Каталог!$P$4:$P$500,$A12))</f>
        <v/>
      </c>
      <c r="I12" s="5"/>
      <c r="J12" s="5"/>
      <c r="L12" s="30" t="str">
        <f>IFERROR(INDEX(Однолинейка!$H$3:$H$1000,MATCH(9,Однолинейка!$BM$3:$BM$1000,0)),"")</f>
        <v/>
      </c>
      <c r="M12" s="32" t="str">
        <f>IF(L12="","",COUNTIF(Однолинейка!$H$3:$H$1000,L12))</f>
        <v/>
      </c>
    </row>
    <row r="13" spans="1:15" x14ac:dyDescent="0.3">
      <c r="A13" s="29" t="str">
        <f>IFERROR(MATCH(ROW()-3,Каталог!$AF$4:$AF$500,0),"")</f>
        <v/>
      </c>
      <c r="B13" s="29" t="str">
        <f t="shared" si="0"/>
        <v/>
      </c>
      <c r="C13" s="30" t="str">
        <f>IF($A13="","",INDEX(Каталог!$G$4:$G$500,$A13)&amp;"")</f>
        <v/>
      </c>
      <c r="D13" s="33"/>
      <c r="E13" s="31" t="str">
        <f>IF($A13="","",INDEX(Каталог!$H$4:$H$500,$A13)&amp;"")</f>
        <v/>
      </c>
      <c r="F13" s="32" t="str">
        <f>IF($A13="","",INDEX(Каталог!$B$4:$B$500,$A13)&amp;"")</f>
        <v/>
      </c>
      <c r="G13" s="32" t="str">
        <f>IF($A13="","",INDEX(Каталог!$M$4:$M$500,$A13)&amp;"")</f>
        <v/>
      </c>
      <c r="H13" s="32" t="str">
        <f>IF($A13="","",INDEX(Каталог!$P$4:$P$500,$A13))</f>
        <v/>
      </c>
      <c r="I13" s="5"/>
      <c r="J13" s="5"/>
      <c r="L13" s="30" t="str">
        <f>IFERROR(INDEX(Однолинейка!$H$3:$H$1000,MATCH(10,Однолинейка!$BM$3:$BM$1000,0)),"")</f>
        <v/>
      </c>
      <c r="M13" s="32" t="str">
        <f>IF(L13="","",COUNTIF(Однолинейка!$H$3:$H$1000,L13))</f>
        <v/>
      </c>
    </row>
    <row r="14" spans="1:15" x14ac:dyDescent="0.3">
      <c r="A14" s="29" t="str">
        <f>IFERROR(MATCH(ROW()-3,Каталог!$AF$4:$AF$500,0),"")</f>
        <v/>
      </c>
      <c r="B14" s="29" t="str">
        <f t="shared" si="0"/>
        <v/>
      </c>
      <c r="C14" s="30" t="str">
        <f>IF($A14="","",INDEX(Каталог!$G$4:$G$500,$A14)&amp;"")</f>
        <v/>
      </c>
      <c r="D14" s="33"/>
      <c r="E14" s="31" t="str">
        <f>IF($A14="","",INDEX(Каталог!$H$4:$H$500,$A14)&amp;"")</f>
        <v/>
      </c>
      <c r="F14" s="32" t="str">
        <f>IF($A14="","",INDEX(Каталог!$B$4:$B$500,$A14)&amp;"")</f>
        <v/>
      </c>
      <c r="G14" s="32" t="str">
        <f>IF($A14="","",INDEX(Каталог!$M$4:$M$500,$A14)&amp;"")</f>
        <v/>
      </c>
      <c r="H14" s="32" t="str">
        <f>IF($A14="","",INDEX(Каталог!$P$4:$P$500,$A14))</f>
        <v/>
      </c>
      <c r="I14" s="5"/>
      <c r="J14" s="5"/>
      <c r="L14" s="30" t="str">
        <f>IFERROR(INDEX(Однолинейка!$H$3:$H$1000,MATCH(11,Однолинейка!$BM$3:$BM$1000,0)),"")</f>
        <v/>
      </c>
      <c r="M14" s="32" t="str">
        <f>IF(L14="","",COUNTIF(Однолинейка!$H$3:$H$1000,L14))</f>
        <v/>
      </c>
    </row>
    <row r="15" spans="1:15" x14ac:dyDescent="0.3">
      <c r="A15" s="29" t="str">
        <f>IFERROR(MATCH(ROW()-3,Каталог!$AF$4:$AF$500,0),"")</f>
        <v/>
      </c>
      <c r="B15" s="29" t="str">
        <f t="shared" si="0"/>
        <v/>
      </c>
      <c r="C15" s="30" t="str">
        <f>IF($A15="","",INDEX(Каталог!$G$4:$G$500,$A15)&amp;"")</f>
        <v/>
      </c>
      <c r="D15" s="33"/>
      <c r="E15" s="31" t="str">
        <f>IF($A15="","",INDEX(Каталог!$H$4:$H$500,$A15)&amp;"")</f>
        <v/>
      </c>
      <c r="F15" s="32" t="str">
        <f>IF($A15="","",INDEX(Каталог!$B$4:$B$500,$A15)&amp;"")</f>
        <v/>
      </c>
      <c r="G15" s="32" t="str">
        <f>IF($A15="","",INDEX(Каталог!$M$4:$M$500,$A15)&amp;"")</f>
        <v/>
      </c>
      <c r="H15" s="32" t="str">
        <f>IF($A15="","",INDEX(Каталог!$P$4:$P$500,$A15))</f>
        <v/>
      </c>
      <c r="I15" s="5"/>
      <c r="J15" s="5"/>
      <c r="L15" s="30" t="str">
        <f>IFERROR(INDEX(Однолинейка!$H$3:$H$1000,MATCH(12,Однолинейка!$BM$3:$BM$1000,0)),"")</f>
        <v/>
      </c>
      <c r="M15" s="32" t="str">
        <f>IF(L15="","",COUNTIF(Однолинейка!$H$3:$H$1000,L15))</f>
        <v/>
      </c>
    </row>
    <row r="16" spans="1:15" ht="18" customHeight="1" x14ac:dyDescent="0.3">
      <c r="A16" s="29" t="str">
        <f>IFERROR(MATCH(ROW()-3,Каталог!$AF$4:$AF$500,0),"")</f>
        <v/>
      </c>
      <c r="B16" s="29" t="str">
        <f t="shared" si="0"/>
        <v/>
      </c>
      <c r="C16" s="30" t="str">
        <f>IF($A16="","",INDEX(Каталог!$G$4:$G$500,$A16)&amp;"")</f>
        <v/>
      </c>
      <c r="D16" s="33"/>
      <c r="E16" s="31" t="str">
        <f>IF($A16="","",INDEX(Каталог!$H$4:$H$500,$A16)&amp;"")</f>
        <v/>
      </c>
      <c r="F16" s="32" t="str">
        <f>IF($A16="","",INDEX(Каталог!$B$4:$B$500,$A16)&amp;"")</f>
        <v/>
      </c>
      <c r="G16" s="32" t="str">
        <f>IF($A16="","",INDEX(Каталог!$M$4:$M$500,$A16)&amp;"")</f>
        <v/>
      </c>
      <c r="H16" s="32" t="str">
        <f>IF($A16="","",INDEX(Каталог!$P$4:$P$500,$A16))</f>
        <v/>
      </c>
      <c r="I16" s="5"/>
      <c r="J16" s="5"/>
      <c r="L16" s="30" t="str">
        <f>IFERROR(INDEX(Однолинейка!$H$3:$H$1000,MATCH(13,Однолинейка!$BM$3:$BM$1000,0)),"")</f>
        <v/>
      </c>
      <c r="M16" s="32" t="str">
        <f>IF(L16="","",COUNTIF(Однолинейка!$H$3:$H$1000,L16))</f>
        <v/>
      </c>
    </row>
    <row r="17" spans="1:13" x14ac:dyDescent="0.3">
      <c r="A17" s="29" t="str">
        <f>IFERROR(MATCH(ROW()-3,Каталог!$AF$4:$AF$500,0),"")</f>
        <v/>
      </c>
      <c r="B17" s="29" t="str">
        <f t="shared" si="0"/>
        <v/>
      </c>
      <c r="C17" s="30" t="str">
        <f>IF($A17="","",INDEX(Каталог!$G$4:$G$500,$A17)&amp;"")</f>
        <v/>
      </c>
      <c r="D17" s="33"/>
      <c r="E17" s="31" t="str">
        <f>IF($A17="","",INDEX(Каталог!$H$4:$H$500,$A17)&amp;"")</f>
        <v/>
      </c>
      <c r="F17" s="32" t="str">
        <f>IF($A17="","",INDEX(Каталог!$B$4:$B$500,$A17)&amp;"")</f>
        <v/>
      </c>
      <c r="G17" s="32" t="str">
        <f>IF($A17="","",INDEX(Каталог!$M$4:$M$500,$A17)&amp;"")</f>
        <v/>
      </c>
      <c r="H17" s="32" t="str">
        <f>IF($A17="","",INDEX(Каталог!$P$4:$P$500,$A17))</f>
        <v/>
      </c>
      <c r="I17" s="5"/>
      <c r="J17" s="5"/>
      <c r="L17" s="30" t="str">
        <f>IFERROR(INDEX(Однолинейка!$H$3:$H$1000,MATCH(14,Однолинейка!$BM$3:$BM$1000,0)),"")</f>
        <v/>
      </c>
      <c r="M17" s="32" t="str">
        <f>IF(L17="","",COUNTIF(Однолинейка!$H$3:$H$1000,L17))</f>
        <v/>
      </c>
    </row>
    <row r="18" spans="1:13" x14ac:dyDescent="0.3">
      <c r="A18" s="29" t="str">
        <f>IFERROR(MATCH(ROW()-3,Каталог!$AF$4:$AF$500,0),"")</f>
        <v/>
      </c>
      <c r="B18" s="29" t="str">
        <f t="shared" si="0"/>
        <v/>
      </c>
      <c r="C18" s="30" t="str">
        <f>IF($A18="","",INDEX(Каталог!$G$4:$G$500,$A18)&amp;"")</f>
        <v/>
      </c>
      <c r="D18" s="33"/>
      <c r="E18" s="31" t="str">
        <f>IF($A18="","",INDEX(Каталог!$H$4:$H$500,$A18)&amp;"")</f>
        <v/>
      </c>
      <c r="F18" s="32" t="str">
        <f>IF($A18="","",INDEX(Каталог!$B$4:$B$500,$A18)&amp;"")</f>
        <v/>
      </c>
      <c r="G18" s="32" t="str">
        <f>IF($A18="","",INDEX(Каталог!$M$4:$M$500,$A18)&amp;"")</f>
        <v/>
      </c>
      <c r="H18" s="32" t="str">
        <f>IF($A18="","",INDEX(Каталог!$P$4:$P$500,$A18))</f>
        <v/>
      </c>
      <c r="I18" s="5"/>
      <c r="J18" s="5"/>
      <c r="L18" s="30" t="str">
        <f>IFERROR(INDEX(Однолинейка!$H$3:$H$1000,MATCH(15,Однолинейка!$BM$3:$BM$1000,0)),"")</f>
        <v/>
      </c>
      <c r="M18" s="32" t="str">
        <f>IF(L18="","",COUNTIF(Однолинейка!$H$3:$H$1000,L18))</f>
        <v/>
      </c>
    </row>
    <row r="19" spans="1:13" x14ac:dyDescent="0.3">
      <c r="A19" s="29" t="str">
        <f>IFERROR(MATCH(ROW()-3,Каталог!$AF$4:$AF$500,0),"")</f>
        <v/>
      </c>
      <c r="B19" s="29" t="str">
        <f t="shared" si="0"/>
        <v/>
      </c>
      <c r="C19" s="30" t="str">
        <f>IF($A19="","",INDEX(Каталог!$G$4:$G$500,$A19)&amp;"")</f>
        <v/>
      </c>
      <c r="D19" s="33"/>
      <c r="E19" s="31" t="str">
        <f>IF($A19="","",INDEX(Каталог!$H$4:$H$500,$A19)&amp;"")</f>
        <v/>
      </c>
      <c r="F19" s="32" t="str">
        <f>IF($A19="","",INDEX(Каталог!$B$4:$B$500,$A19)&amp;"")</f>
        <v/>
      </c>
      <c r="G19" s="32" t="str">
        <f>IF($A19="","",INDEX(Каталог!$M$4:$M$500,$A19)&amp;"")</f>
        <v/>
      </c>
      <c r="H19" s="32" t="str">
        <f>IF($A19="","",INDEX(Каталог!$P$4:$P$500,$A19))</f>
        <v/>
      </c>
      <c r="I19" s="5"/>
      <c r="J19" s="5"/>
      <c r="L19" s="30" t="str">
        <f>IFERROR(INDEX(Однолинейка!$H$3:$H$1000,MATCH(16,Однолинейка!$BM$3:$BM$1000,0)),"")</f>
        <v/>
      </c>
      <c r="M19" s="32" t="str">
        <f>IF(L19="","",COUNTIF(Однолинейка!$H$3:$H$1000,L19))</f>
        <v/>
      </c>
    </row>
    <row r="20" spans="1:13" x14ac:dyDescent="0.3">
      <c r="A20" s="29" t="str">
        <f>IFERROR(MATCH(ROW()-3,Каталог!$AF$4:$AF$500,0),"")</f>
        <v/>
      </c>
      <c r="B20" s="29" t="str">
        <f t="shared" si="0"/>
        <v/>
      </c>
      <c r="C20" s="30" t="str">
        <f>IF($A20="","",INDEX(Каталог!$G$4:$G$500,$A20)&amp;"")</f>
        <v/>
      </c>
      <c r="D20" s="33"/>
      <c r="E20" s="31" t="str">
        <f>IF($A20="","",INDEX(Каталог!$H$4:$H$500,$A20)&amp;"")</f>
        <v/>
      </c>
      <c r="F20" s="32" t="str">
        <f>IF($A20="","",INDEX(Каталог!$B$4:$B$500,$A20)&amp;"")</f>
        <v/>
      </c>
      <c r="G20" s="32" t="str">
        <f>IF($A20="","",INDEX(Каталог!$M$4:$M$500,$A20)&amp;"")</f>
        <v/>
      </c>
      <c r="H20" s="32" t="str">
        <f>IF($A20="","",INDEX(Каталог!$P$4:$P$500,$A20))</f>
        <v/>
      </c>
      <c r="I20" s="5"/>
      <c r="J20" s="5"/>
      <c r="L20" s="30" t="str">
        <f>IFERROR(INDEX(Однолинейка!$H$3:$H$1000,MATCH(17,Однолинейка!$BM$3:$BM$1000,0)),"")</f>
        <v/>
      </c>
      <c r="M20" s="32" t="str">
        <f>IF(L20="","",COUNTIF(Однолинейка!$H$3:$H$1000,L20))</f>
        <v/>
      </c>
    </row>
    <row r="21" spans="1:13" x14ac:dyDescent="0.3">
      <c r="A21" s="29" t="str">
        <f>IFERROR(MATCH(ROW()-3,Каталог!$AF$4:$AF$500,0),"")</f>
        <v/>
      </c>
      <c r="B21" s="29" t="str">
        <f t="shared" si="0"/>
        <v/>
      </c>
      <c r="C21" s="30" t="str">
        <f>IF($A21="","",INDEX(Каталог!$G$4:$G$500,$A21)&amp;"")</f>
        <v/>
      </c>
      <c r="D21" s="33"/>
      <c r="E21" s="31" t="str">
        <f>IF($A21="","",INDEX(Каталог!$H$4:$H$500,$A21)&amp;"")</f>
        <v/>
      </c>
      <c r="F21" s="32" t="str">
        <f>IF($A21="","",INDEX(Каталог!$B$4:$B$500,$A21)&amp;"")</f>
        <v/>
      </c>
      <c r="G21" s="32" t="str">
        <f>IF($A21="","",INDEX(Каталог!$M$4:$M$500,$A21)&amp;"")</f>
        <v/>
      </c>
      <c r="H21" s="32" t="str">
        <f>IF($A21="","",INDEX(Каталог!$P$4:$P$500,$A21))</f>
        <v/>
      </c>
      <c r="I21" s="5"/>
      <c r="J21" s="5"/>
      <c r="L21" s="30" t="str">
        <f>IFERROR(INDEX(Однолинейка!$H$3:$H$1000,MATCH(18,Однолинейка!$BM$3:$BM$1000,0)),"")</f>
        <v/>
      </c>
      <c r="M21" s="32" t="str">
        <f>IF(L21="","",COUNTIF(Однолинейка!$H$3:$H$1000,L21))</f>
        <v/>
      </c>
    </row>
    <row r="22" spans="1:13" x14ac:dyDescent="0.3">
      <c r="A22" s="29" t="str">
        <f>IFERROR(MATCH(ROW()-3,Каталог!$AF$4:$AF$500,0),"")</f>
        <v/>
      </c>
      <c r="B22" s="29" t="str">
        <f t="shared" si="0"/>
        <v/>
      </c>
      <c r="C22" s="30" t="str">
        <f>IF($A22="","",INDEX(Каталог!$G$4:$G$500,$A22)&amp;"")</f>
        <v/>
      </c>
      <c r="D22" s="33"/>
      <c r="E22" s="31" t="str">
        <f>IF($A22="","",INDEX(Каталог!$H$4:$H$500,$A22)&amp;"")</f>
        <v/>
      </c>
      <c r="F22" s="32" t="str">
        <f>IF($A22="","",INDEX(Каталог!$B$4:$B$500,$A22)&amp;"")</f>
        <v/>
      </c>
      <c r="G22" s="32" t="str">
        <f>IF($A22="","",INDEX(Каталог!$M$4:$M$500,$A22)&amp;"")</f>
        <v/>
      </c>
      <c r="H22" s="32" t="str">
        <f>IF($A22="","",INDEX(Каталог!$P$4:$P$500,$A22))</f>
        <v/>
      </c>
      <c r="I22" s="5"/>
      <c r="J22" s="5"/>
      <c r="L22" s="30" t="str">
        <f>IFERROR(INDEX(Однолинейка!$H$3:$H$1000,MATCH(19,Однолинейка!$BM$3:$BM$1000,0)),"")</f>
        <v/>
      </c>
      <c r="M22" s="32" t="str">
        <f>IF(L22="","",COUNTIF(Однолинейка!$H$3:$H$1000,L22))</f>
        <v/>
      </c>
    </row>
    <row r="23" spans="1:13" x14ac:dyDescent="0.3">
      <c r="A23" s="29" t="str">
        <f>IFERROR(MATCH(ROW()-3,Каталог!$AF$4:$AF$500,0),"")</f>
        <v/>
      </c>
      <c r="B23" s="29" t="str">
        <f t="shared" si="0"/>
        <v/>
      </c>
      <c r="C23" s="30" t="str">
        <f>IF($A23="","",INDEX(Каталог!$G$4:$G$500,$A23)&amp;"")</f>
        <v/>
      </c>
      <c r="D23" s="33"/>
      <c r="E23" s="31" t="str">
        <f>IF($A23="","",INDEX(Каталог!$H$4:$H$500,$A23)&amp;"")</f>
        <v/>
      </c>
      <c r="F23" s="32" t="str">
        <f>IF($A23="","",INDEX(Каталог!$B$4:$B$500,$A23)&amp;"")</f>
        <v/>
      </c>
      <c r="G23" s="32" t="str">
        <f>IF($A23="","",INDEX(Каталог!$M$4:$M$500,$A23)&amp;"")</f>
        <v/>
      </c>
      <c r="H23" s="32" t="str">
        <f>IF($A23="","",INDEX(Каталог!$P$4:$P$500,$A23))</f>
        <v/>
      </c>
      <c r="I23" s="5"/>
      <c r="J23" s="5"/>
      <c r="L23" s="30" t="str">
        <f>IFERROR(INDEX(Однолинейка!$H$3:$H$1000,MATCH(20,Однолинейка!$BM$3:$BM$1000,0)),"")</f>
        <v/>
      </c>
      <c r="M23" s="32" t="str">
        <f>IF(L23="","",COUNTIF(Однолинейка!$H$3:$H$1000,L23))</f>
        <v/>
      </c>
    </row>
    <row r="24" spans="1:13" x14ac:dyDescent="0.3">
      <c r="A24" s="29" t="str">
        <f>IFERROR(MATCH(ROW()-3,Каталог!$AF$4:$AF$500,0),"")</f>
        <v/>
      </c>
      <c r="B24" s="29" t="str">
        <f t="shared" si="0"/>
        <v/>
      </c>
      <c r="C24" s="30" t="str">
        <f>IF($A24="","",INDEX(Каталог!$G$4:$G$500,$A24)&amp;"")</f>
        <v/>
      </c>
      <c r="D24" s="33"/>
      <c r="E24" s="31" t="str">
        <f>IF($A24="","",INDEX(Каталог!$H$4:$H$500,$A24)&amp;"")</f>
        <v/>
      </c>
      <c r="F24" s="32" t="str">
        <f>IF($A24="","",INDEX(Каталог!$B$4:$B$500,$A24)&amp;"")</f>
        <v/>
      </c>
      <c r="G24" s="32" t="str">
        <f>IF($A24="","",INDEX(Каталог!$M$4:$M$500,$A24)&amp;"")</f>
        <v/>
      </c>
      <c r="H24" s="32" t="str">
        <f>IF($A24="","",INDEX(Каталог!$P$4:$P$500,$A24))</f>
        <v/>
      </c>
      <c r="I24" s="5"/>
      <c r="J24" s="5"/>
      <c r="L24" s="30" t="s">
        <v>782</v>
      </c>
      <c r="M24" s="32">
        <f>COUNTIF(Однолинейка!$H$3:$H$1000,"?*")</f>
        <v>0</v>
      </c>
    </row>
    <row r="25" spans="1:13" x14ac:dyDescent="0.3">
      <c r="A25" s="29" t="str">
        <f>IFERROR(MATCH(ROW()-3,Каталог!$AF$4:$AF$500,0),"")</f>
        <v/>
      </c>
      <c r="B25" s="29" t="str">
        <f t="shared" si="0"/>
        <v/>
      </c>
      <c r="C25" s="30" t="str">
        <f>IF($A25="","",INDEX(Каталог!$G$4:$G$500,$A25)&amp;"")</f>
        <v/>
      </c>
      <c r="D25" s="33"/>
      <c r="E25" s="31" t="str">
        <f>IF($A25="","",INDEX(Каталог!$H$4:$H$500,$A25)&amp;"")</f>
        <v/>
      </c>
      <c r="F25" s="32" t="str">
        <f>IF($A25="","",INDEX(Каталог!$B$4:$B$500,$A25)&amp;"")</f>
        <v/>
      </c>
      <c r="G25" s="32" t="str">
        <f>IF($A25="","",INDEX(Каталог!$M$4:$M$500,$A25)&amp;"")</f>
        <v/>
      </c>
      <c r="H25" s="32" t="str">
        <f>IF($A25="","",INDEX(Каталог!$P$4:$P$500,$A25))</f>
        <v/>
      </c>
      <c r="I25" s="5"/>
      <c r="J25" s="5"/>
    </row>
    <row r="26" spans="1:13" ht="28.8" x14ac:dyDescent="0.3">
      <c r="A26" s="29" t="str">
        <f>IFERROR(MATCH(ROW()-3,Каталог!$AF$4:$AF$500,0),"")</f>
        <v/>
      </c>
      <c r="B26" s="29" t="str">
        <f t="shared" si="0"/>
        <v/>
      </c>
      <c r="C26" s="30" t="str">
        <f>IF($A26="","",INDEX(Каталог!$G$4:$G$500,$A26)&amp;"")</f>
        <v/>
      </c>
      <c r="D26" s="33"/>
      <c r="E26" s="31" t="str">
        <f>IF($A26="","",INDEX(Каталог!$H$4:$H$500,$A26)&amp;"")</f>
        <v/>
      </c>
      <c r="F26" s="32" t="str">
        <f>IF($A26="","",INDEX(Каталог!$B$4:$B$500,$A26)&amp;"")</f>
        <v/>
      </c>
      <c r="G26" s="32" t="str">
        <f>IF($A26="","",INDEX(Каталог!$M$4:$M$500,$A26)&amp;"")</f>
        <v/>
      </c>
      <c r="H26" s="32" t="str">
        <f>IF($A26="","",INDEX(Каталог!$P$4:$P$500,$A26))</f>
        <v/>
      </c>
      <c r="I26" s="5"/>
      <c r="J26" s="5"/>
      <c r="L26" s="1" t="s">
        <v>783</v>
      </c>
    </row>
    <row r="27" spans="1:13" x14ac:dyDescent="0.3">
      <c r="A27" s="29" t="str">
        <f>IFERROR(MATCH(ROW()-3,Каталог!$AF$4:$AF$500,0),"")</f>
        <v/>
      </c>
      <c r="B27" s="29" t="str">
        <f t="shared" si="0"/>
        <v/>
      </c>
      <c r="C27" s="30" t="str">
        <f>IF($A27="","",INDEX(Каталог!$G$4:$G$500,$A27)&amp;"")</f>
        <v/>
      </c>
      <c r="D27" s="33"/>
      <c r="E27" s="31" t="str">
        <f>IF($A27="","",INDEX(Каталог!$H$4:$H$500,$A27)&amp;"")</f>
        <v/>
      </c>
      <c r="F27" s="32" t="str">
        <f>IF($A27="","",INDEX(Каталог!$B$4:$B$500,$A27)&amp;"")</f>
        <v/>
      </c>
      <c r="G27" s="32" t="str">
        <f>IF($A27="","",INDEX(Каталог!$M$4:$M$500,$A27)&amp;"")</f>
        <v/>
      </c>
      <c r="H27" s="32" t="str">
        <f>IF($A27="","",INDEX(Каталог!$P$4:$P$500,$A27))</f>
        <v/>
      </c>
      <c r="I27" s="5"/>
      <c r="J27" s="5"/>
      <c r="L27" s="30" t="str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  <v/>
      </c>
      <c r="M27" s="32" t="str">
        <f>IF(L27="","",COUNTIF(Однолинейка!$I$3:$I$1000,L27)+COUNTIF(Однолинейка!$J$3:$J$1000,L27)+COUNTIF(Однолинейка!$K$3:$K$1000,L27))</f>
        <v/>
      </c>
    </row>
    <row r="28" spans="1:13" x14ac:dyDescent="0.3">
      <c r="A28" s="29" t="str">
        <f>IFERROR(MATCH(ROW()-3,Каталог!$AF$4:$AF$500,0),"")</f>
        <v/>
      </c>
      <c r="B28" s="29" t="str">
        <f t="shared" si="0"/>
        <v/>
      </c>
      <c r="C28" s="30" t="str">
        <f>IF($A28="","",INDEX(Каталог!$G$4:$G$500,$A28)&amp;"")</f>
        <v/>
      </c>
      <c r="D28" s="33"/>
      <c r="E28" s="31" t="str">
        <f>IF($A28="","",INDEX(Каталог!$H$4:$H$500,$A28)&amp;"")</f>
        <v/>
      </c>
      <c r="F28" s="32" t="str">
        <f>IF($A28="","",INDEX(Каталог!$B$4:$B$500,$A28)&amp;"")</f>
        <v/>
      </c>
      <c r="G28" s="32" t="str">
        <f>IF($A28="","",INDEX(Каталог!$M$4:$M$500,$A28)&amp;"")</f>
        <v/>
      </c>
      <c r="H28" s="32" t="str">
        <f>IF($A28="","",INDEX(Каталог!$P$4:$P$500,$A28))</f>
        <v/>
      </c>
      <c r="I28" s="5"/>
      <c r="J28" s="5"/>
      <c r="L28" s="30" t="str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  <v/>
      </c>
      <c r="M28" s="32" t="str">
        <f>IF(L28="","",COUNTIF(Однолинейка!$I$3:$I$1000,L28)+COUNTIF(Однолинейка!$J$3:$J$1000,L28)+COUNTIF(Однолинейка!$K$3:$K$1000,L28))</f>
        <v/>
      </c>
    </row>
    <row r="29" spans="1:13" x14ac:dyDescent="0.3">
      <c r="A29" s="29" t="str">
        <f>IFERROR(MATCH(ROW()-3,Каталог!$AF$4:$AF$500,0),"")</f>
        <v/>
      </c>
      <c r="B29" s="29" t="str">
        <f t="shared" si="0"/>
        <v/>
      </c>
      <c r="C29" s="30" t="str">
        <f>IF($A29="","",INDEX(Каталог!$G$4:$G$500,$A29)&amp;"")</f>
        <v/>
      </c>
      <c r="D29" s="33"/>
      <c r="E29" s="31" t="str">
        <f>IF($A29="","",INDEX(Каталог!$H$4:$H$500,$A29)&amp;"")</f>
        <v/>
      </c>
      <c r="F29" s="32" t="str">
        <f>IF($A29="","",INDEX(Каталог!$B$4:$B$500,$A29)&amp;"")</f>
        <v/>
      </c>
      <c r="G29" s="32" t="str">
        <f>IF($A29="","",INDEX(Каталог!$M$4:$M$500,$A29)&amp;"")</f>
        <v/>
      </c>
      <c r="H29" s="32" t="str">
        <f>IF($A29="","",INDEX(Каталог!$P$4:$P$500,$A29))</f>
        <v/>
      </c>
      <c r="I29" s="5"/>
      <c r="J29" s="5"/>
      <c r="L29" s="30" t="str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  <v/>
      </c>
      <c r="M29" s="32" t="str">
        <f>IF(L29="","",COUNTIF(Однолинейка!$I$3:$I$1000,L29)+COUNTIF(Однолинейка!$J$3:$J$1000,L29)+COUNTIF(Однолинейка!$K$3:$K$1000,L29))</f>
        <v/>
      </c>
    </row>
    <row r="30" spans="1:13" x14ac:dyDescent="0.3">
      <c r="A30" s="29" t="str">
        <f>IFERROR(MATCH(ROW()-3,Каталог!$AF$4:$AF$500,0),"")</f>
        <v/>
      </c>
      <c r="B30" s="29" t="str">
        <f t="shared" si="0"/>
        <v/>
      </c>
      <c r="C30" s="30" t="str">
        <f>IF($A30="","",INDEX(Каталог!$G$4:$G$500,$A30)&amp;"")</f>
        <v/>
      </c>
      <c r="D30" s="33"/>
      <c r="E30" s="31" t="str">
        <f>IF($A30="","",INDEX(Каталог!$H$4:$H$500,$A30)&amp;"")</f>
        <v/>
      </c>
      <c r="F30" s="32" t="str">
        <f>IF($A30="","",INDEX(Каталог!$B$4:$B$500,$A30)&amp;"")</f>
        <v/>
      </c>
      <c r="G30" s="32" t="str">
        <f>IF($A30="","",INDEX(Каталог!$M$4:$M$500,$A30)&amp;"")</f>
        <v/>
      </c>
      <c r="H30" s="32" t="str">
        <f>IF($A30="","",INDEX(Каталог!$P$4:$P$500,$A30))</f>
        <v/>
      </c>
      <c r="I30" s="5"/>
      <c r="J30" s="5"/>
      <c r="L30" s="30" t="str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  <v/>
      </c>
      <c r="M30" s="32" t="str">
        <f>IF(L30="","",COUNTIF(Однолинейка!$I$3:$I$1000,L30)+COUNTIF(Однолинейка!$J$3:$J$1000,L30)+COUNTIF(Однолинейка!$K$3:$K$1000,L30))</f>
        <v/>
      </c>
    </row>
    <row r="31" spans="1:13" x14ac:dyDescent="0.3">
      <c r="A31" s="29" t="str">
        <f>IFERROR(MATCH(ROW()-3,Каталог!$AF$4:$AF$500,0),"")</f>
        <v/>
      </c>
      <c r="B31" s="29" t="str">
        <f t="shared" si="0"/>
        <v/>
      </c>
      <c r="C31" s="30" t="str">
        <f>IF($A31="","",INDEX(Каталог!$G$4:$G$500,$A31)&amp;"")</f>
        <v/>
      </c>
      <c r="D31" s="33"/>
      <c r="E31" s="31" t="str">
        <f>IF($A31="","",INDEX(Каталог!$H$4:$H$500,$A31)&amp;"")</f>
        <v/>
      </c>
      <c r="F31" s="32" t="str">
        <f>IF($A31="","",INDEX(Каталог!$B$4:$B$500,$A31)&amp;"")</f>
        <v/>
      </c>
      <c r="G31" s="32" t="str">
        <f>IF($A31="","",INDEX(Каталог!$M$4:$M$500,$A31)&amp;"")</f>
        <v/>
      </c>
      <c r="H31" s="32" t="str">
        <f>IF($A31="","",INDEX(Каталог!$P$4:$P$500,$A31))</f>
        <v/>
      </c>
      <c r="I31" s="5"/>
      <c r="J31" s="5"/>
      <c r="L31" s="30" t="str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  <v/>
      </c>
      <c r="M31" s="32" t="str">
        <f>IF(L31="","",COUNTIF(Однолинейка!$I$3:$I$1000,L31)+COUNTIF(Однолинейка!$J$3:$J$1000,L31)+COUNTIF(Однолинейка!$K$3:$K$1000,L31))</f>
        <v/>
      </c>
    </row>
    <row r="32" spans="1:13" x14ac:dyDescent="0.3">
      <c r="A32" s="29" t="str">
        <f>IFERROR(MATCH(ROW()-3,Каталог!$AF$4:$AF$500,0),"")</f>
        <v/>
      </c>
      <c r="B32" s="29" t="str">
        <f t="shared" si="0"/>
        <v/>
      </c>
      <c r="C32" s="30" t="str">
        <f>IF($A32="","",INDEX(Каталог!$G$4:$G$500,$A32)&amp;"")</f>
        <v/>
      </c>
      <c r="D32" s="33"/>
      <c r="E32" s="31" t="str">
        <f>IF($A32="","",INDEX(Каталог!$H$4:$H$500,$A32)&amp;"")</f>
        <v/>
      </c>
      <c r="F32" s="32" t="str">
        <f>IF($A32="","",INDEX(Каталог!$B$4:$B$500,$A32)&amp;"")</f>
        <v/>
      </c>
      <c r="G32" s="32" t="str">
        <f>IF($A32="","",INDEX(Каталог!$M$4:$M$500,$A32)&amp;"")</f>
        <v/>
      </c>
      <c r="H32" s="32" t="str">
        <f>IF($A32="","",INDEX(Каталог!$P$4:$P$500,$A32))</f>
        <v/>
      </c>
      <c r="I32" s="5"/>
      <c r="J32" s="5"/>
      <c r="L32" s="30" t="str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  <v/>
      </c>
      <c r="M32" s="32" t="str">
        <f>IF(L32="","",COUNTIF(Однолинейка!$I$3:$I$1000,L32)+COUNTIF(Однолинейка!$J$3:$J$1000,L32)+COUNTIF(Однолинейка!$K$3:$K$1000,L32))</f>
        <v/>
      </c>
    </row>
    <row r="33" spans="1:13" x14ac:dyDescent="0.3">
      <c r="A33" s="29" t="str">
        <f>IFERROR(MATCH(ROW()-3,Каталог!$AF$4:$AF$500,0),"")</f>
        <v/>
      </c>
      <c r="B33" s="29" t="str">
        <f t="shared" si="0"/>
        <v/>
      </c>
      <c r="C33" s="30" t="str">
        <f>IF($A33="","",INDEX(Каталог!$G$4:$G$500,$A33)&amp;"")</f>
        <v/>
      </c>
      <c r="D33" s="33"/>
      <c r="E33" s="31" t="str">
        <f>IF($A33="","",INDEX(Каталог!$H$4:$H$500,$A33)&amp;"")</f>
        <v/>
      </c>
      <c r="F33" s="32" t="str">
        <f>IF($A33="","",INDEX(Каталог!$B$4:$B$500,$A33)&amp;"")</f>
        <v/>
      </c>
      <c r="G33" s="32" t="str">
        <f>IF($A33="","",INDEX(Каталог!$M$4:$M$500,$A33)&amp;"")</f>
        <v/>
      </c>
      <c r="H33" s="32" t="str">
        <f>IF($A33="","",INDEX(Каталог!$P$4:$P$500,$A33))</f>
        <v/>
      </c>
      <c r="I33" s="5"/>
      <c r="J33" s="5"/>
      <c r="L33" s="30" t="str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  <v/>
      </c>
      <c r="M33" s="32" t="str">
        <f>IF(L33="","",COUNTIF(Однолинейка!$I$3:$I$1000,L33)+COUNTIF(Однолинейка!$J$3:$J$1000,L33)+COUNTIF(Однолинейка!$K$3:$K$1000,L33))</f>
        <v/>
      </c>
    </row>
    <row r="34" spans="1:13" x14ac:dyDescent="0.3">
      <c r="A34" s="29" t="str">
        <f>IFERROR(MATCH(ROW()-3,Каталог!$AF$4:$AF$500,0),"")</f>
        <v/>
      </c>
      <c r="B34" s="29" t="str">
        <f t="shared" si="0"/>
        <v/>
      </c>
      <c r="C34" s="30" t="str">
        <f>IF($A34="","",INDEX(Каталог!$G$4:$G$500,$A34)&amp;"")</f>
        <v/>
      </c>
      <c r="D34" s="33"/>
      <c r="E34" s="31" t="str">
        <f>IF($A34="","",INDEX(Каталог!$H$4:$H$500,$A34)&amp;"")</f>
        <v/>
      </c>
      <c r="F34" s="32" t="str">
        <f>IF($A34="","",INDEX(Каталог!$B$4:$B$500,$A34)&amp;"")</f>
        <v/>
      </c>
      <c r="G34" s="32" t="str">
        <f>IF($A34="","",INDEX(Каталог!$M$4:$M$500,$A34)&amp;"")</f>
        <v/>
      </c>
      <c r="H34" s="32" t="str">
        <f>IF($A34="","",INDEX(Каталог!$P$4:$P$500,$A34))</f>
        <v/>
      </c>
      <c r="I34" s="5"/>
      <c r="J34" s="5"/>
      <c r="L34" s="30" t="str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  <v/>
      </c>
      <c r="M34" s="32" t="str">
        <f>IF(L34="","",COUNTIF(Однолинейка!$I$3:$I$1000,L34)+COUNTIF(Однолинейка!$J$3:$J$1000,L34)+COUNTIF(Однолинейка!$K$3:$K$1000,L34))</f>
        <v/>
      </c>
    </row>
    <row r="35" spans="1:13" x14ac:dyDescent="0.3">
      <c r="A35" s="29" t="str">
        <f>IFERROR(MATCH(ROW()-3,Каталог!$AF$4:$AF$500,0),"")</f>
        <v/>
      </c>
      <c r="B35" s="29" t="str">
        <f t="shared" si="0"/>
        <v/>
      </c>
      <c r="C35" s="30" t="str">
        <f>IF($A35="","",INDEX(Каталог!$G$4:$G$500,$A35)&amp;"")</f>
        <v/>
      </c>
      <c r="D35" s="33"/>
      <c r="E35" s="31" t="str">
        <f>IF($A35="","",INDEX(Каталог!$H$4:$H$500,$A35)&amp;"")</f>
        <v/>
      </c>
      <c r="F35" s="32" t="str">
        <f>IF($A35="","",INDEX(Каталог!$B$4:$B$500,$A35)&amp;"")</f>
        <v/>
      </c>
      <c r="G35" s="32" t="str">
        <f>IF($A35="","",INDEX(Каталог!$M$4:$M$500,$A35)&amp;"")</f>
        <v/>
      </c>
      <c r="H35" s="32" t="str">
        <f>IF($A35="","",INDEX(Каталог!$P$4:$P$500,$A35))</f>
        <v/>
      </c>
      <c r="I35" s="5"/>
      <c r="J35" s="5"/>
      <c r="L35" s="30" t="str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  <v/>
      </c>
      <c r="M35" s="32" t="str">
        <f>IF(L35="","",COUNTIF(Однолинейка!$I$3:$I$1000,L35)+COUNTIF(Однолинейка!$J$3:$J$1000,L35)+COUNTIF(Однолинейка!$K$3:$K$1000,L35))</f>
        <v/>
      </c>
    </row>
    <row r="36" spans="1:13" x14ac:dyDescent="0.3">
      <c r="A36" s="29" t="str">
        <f>IFERROR(MATCH(ROW()-3,Каталог!$AF$4:$AF$500,0),"")</f>
        <v/>
      </c>
      <c r="B36" s="29" t="str">
        <f t="shared" ref="B36:B67" si="1">IF($A36="","",$B$3&amp;"."&amp;(ROW()-3))</f>
        <v/>
      </c>
      <c r="C36" s="30" t="str">
        <f>IF($A36="","",INDEX(Каталог!$G$4:$G$500,$A36)&amp;"")</f>
        <v/>
      </c>
      <c r="D36" s="33"/>
      <c r="E36" s="31" t="str">
        <f>IF($A36="","",INDEX(Каталог!$H$4:$H$500,$A36)&amp;"")</f>
        <v/>
      </c>
      <c r="F36" s="32" t="str">
        <f>IF($A36="","",INDEX(Каталог!$B$4:$B$500,$A36)&amp;"")</f>
        <v/>
      </c>
      <c r="G36" s="32" t="str">
        <f>IF($A36="","",INDEX(Каталог!$M$4:$M$500,$A36)&amp;"")</f>
        <v/>
      </c>
      <c r="H36" s="32" t="str">
        <f>IF($A36="","",INDEX(Каталог!$P$4:$P$500,$A36))</f>
        <v/>
      </c>
      <c r="I36" s="5"/>
      <c r="J36" s="5"/>
      <c r="L36" s="30" t="str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  <v/>
      </c>
      <c r="M36" s="32" t="str">
        <f>IF(L36="","",COUNTIF(Однолинейка!$I$3:$I$1000,L36)+COUNTIF(Однолинейка!$J$3:$J$1000,L36)+COUNTIF(Однолинейка!$K$3:$K$1000,L36))</f>
        <v/>
      </c>
    </row>
    <row r="37" spans="1:13" x14ac:dyDescent="0.3">
      <c r="A37" s="29" t="str">
        <f>IFERROR(MATCH(ROW()-3,Каталог!$AF$4:$AF$500,0),"")</f>
        <v/>
      </c>
      <c r="B37" s="29" t="str">
        <f t="shared" si="1"/>
        <v/>
      </c>
      <c r="C37" s="30" t="str">
        <f>IF($A37="","",INDEX(Каталог!$G$4:$G$500,$A37)&amp;"")</f>
        <v/>
      </c>
      <c r="D37" s="33"/>
      <c r="E37" s="31" t="str">
        <f>IF($A37="","",INDEX(Каталог!$H$4:$H$500,$A37)&amp;"")</f>
        <v/>
      </c>
      <c r="F37" s="32" t="str">
        <f>IF($A37="","",INDEX(Каталог!$B$4:$B$500,$A37)&amp;"")</f>
        <v/>
      </c>
      <c r="G37" s="32" t="str">
        <f>IF($A37="","",INDEX(Каталог!$M$4:$M$500,$A37)&amp;"")</f>
        <v/>
      </c>
      <c r="H37" s="32" t="str">
        <f>IF($A37="","",INDEX(Каталог!$P$4:$P$500,$A37))</f>
        <v/>
      </c>
      <c r="I37" s="5"/>
      <c r="J37" s="5"/>
    </row>
    <row r="38" spans="1:13" x14ac:dyDescent="0.3">
      <c r="A38" s="29" t="str">
        <f>IFERROR(MATCH(ROW()-3,Каталог!$AF$4:$AF$500,0),"")</f>
        <v/>
      </c>
      <c r="B38" s="29" t="str">
        <f t="shared" si="1"/>
        <v/>
      </c>
      <c r="C38" s="30" t="str">
        <f>IF($A38="","",INDEX(Каталог!$G$4:$G$500,$A38)&amp;"")</f>
        <v/>
      </c>
      <c r="D38" s="33"/>
      <c r="E38" s="31" t="str">
        <f>IF($A38="","",INDEX(Каталог!$H$4:$H$500,$A38)&amp;"")</f>
        <v/>
      </c>
      <c r="F38" s="32" t="str">
        <f>IF($A38="","",INDEX(Каталог!$B$4:$B$500,$A38)&amp;"")</f>
        <v/>
      </c>
      <c r="G38" s="32" t="str">
        <f>IF($A38="","",INDEX(Каталог!$M$4:$M$500,$A38)&amp;"")</f>
        <v/>
      </c>
      <c r="H38" s="32" t="str">
        <f>IF($A38="","",INDEX(Каталог!$P$4:$P$500,$A38))</f>
        <v/>
      </c>
      <c r="I38" s="5"/>
      <c r="J38" s="5"/>
      <c r="L38" s="1" t="s">
        <v>784</v>
      </c>
    </row>
    <row r="39" spans="1:13" x14ac:dyDescent="0.3">
      <c r="A39" s="29" t="str">
        <f>IFERROR(MATCH(ROW()-3,Каталог!$AF$4:$AF$500,0),"")</f>
        <v/>
      </c>
      <c r="B39" s="29" t="str">
        <f t="shared" si="1"/>
        <v/>
      </c>
      <c r="C39" s="30" t="str">
        <f>IF($A39="","",INDEX(Каталог!$G$4:$G$500,$A39)&amp;"")</f>
        <v/>
      </c>
      <c r="D39" s="33"/>
      <c r="E39" s="31" t="str">
        <f>IF($A39="","",INDEX(Каталог!$H$4:$H$500,$A39)&amp;"")</f>
        <v/>
      </c>
      <c r="F39" s="32" t="str">
        <f>IF($A39="","",INDEX(Каталог!$B$4:$B$500,$A39)&amp;"")</f>
        <v/>
      </c>
      <c r="G39" s="32" t="str">
        <f>IF($A39="","",INDEX(Каталог!$M$4:$M$500,$A39)&amp;"")</f>
        <v/>
      </c>
      <c r="H39" s="32" t="str">
        <f>IF($A39="","",INDEX(Каталог!$P$4:$P$500,$A39))</f>
        <v/>
      </c>
      <c r="I39" s="5"/>
      <c r="J39" s="5"/>
      <c r="L39" s="30" t="str">
        <f>IFERROR(INDEX(Однолинейка!$AI$3:$AI$1000,MATCH(1,Однолинейка!$BT$3:$BT$1000,0)),"")</f>
        <v/>
      </c>
      <c r="M39" s="32" t="str">
        <f>IF(L39="","",COUNTIFS(Однолинейка!$AW$3:$AW$1000,"?*",Однолинейка!$AI$3:$AI$1000,L39))</f>
        <v/>
      </c>
    </row>
    <row r="40" spans="1:13" x14ac:dyDescent="0.3">
      <c r="A40" s="29" t="str">
        <f>IFERROR(MATCH(ROW()-3,Каталог!$AF$4:$AF$500,0),"")</f>
        <v/>
      </c>
      <c r="B40" s="29" t="str">
        <f t="shared" si="1"/>
        <v/>
      </c>
      <c r="C40" s="30" t="str">
        <f>IF($A40="","",INDEX(Каталог!$G$4:$G$500,$A40)&amp;"")</f>
        <v/>
      </c>
      <c r="D40" s="33"/>
      <c r="E40" s="31" t="str">
        <f>IF($A40="","",INDEX(Каталог!$H$4:$H$500,$A40)&amp;"")</f>
        <v/>
      </c>
      <c r="F40" s="32" t="str">
        <f>IF($A40="","",INDEX(Каталог!$B$4:$B$500,$A40)&amp;"")</f>
        <v/>
      </c>
      <c r="G40" s="32" t="str">
        <f>IF($A40="","",INDEX(Каталог!$M$4:$M$500,$A40)&amp;"")</f>
        <v/>
      </c>
      <c r="H40" s="32" t="str">
        <f>IF($A40="","",INDEX(Каталог!$P$4:$P$500,$A40))</f>
        <v/>
      </c>
      <c r="I40" s="5"/>
      <c r="J40" s="5"/>
      <c r="L40" s="30" t="str">
        <f>IFERROR(INDEX(Однолинейка!$AI$3:$AI$1000,MATCH(2,Однолинейка!$BT$3:$BT$1000,0)),"")</f>
        <v/>
      </c>
      <c r="M40" s="32" t="str">
        <f>IF(L40="","",COUNTIFS(Однолинейка!$AW$3:$AW$1000,"?*",Однолинейка!$AI$3:$AI$1000,L40))</f>
        <v/>
      </c>
    </row>
    <row r="41" spans="1:13" x14ac:dyDescent="0.3">
      <c r="A41" s="29" t="str">
        <f>IFERROR(MATCH(ROW()-3,Каталог!$AF$4:$AF$500,0),"")</f>
        <v/>
      </c>
      <c r="B41" s="29" t="str">
        <f t="shared" si="1"/>
        <v/>
      </c>
      <c r="C41" s="30" t="str">
        <f>IF($A41="","",INDEX(Каталог!$G$4:$G$500,$A41)&amp;"")</f>
        <v/>
      </c>
      <c r="D41" s="33"/>
      <c r="E41" s="31" t="str">
        <f>IF($A41="","",INDEX(Каталог!$H$4:$H$500,$A41)&amp;"")</f>
        <v/>
      </c>
      <c r="F41" s="32" t="str">
        <f>IF($A41="","",INDEX(Каталог!$B$4:$B$500,$A41)&amp;"")</f>
        <v/>
      </c>
      <c r="G41" s="32" t="str">
        <f>IF($A41="","",INDEX(Каталог!$M$4:$M$500,$A41)&amp;"")</f>
        <v/>
      </c>
      <c r="H41" s="32" t="str">
        <f>IF($A41="","",INDEX(Каталог!$P$4:$P$500,$A41))</f>
        <v/>
      </c>
      <c r="I41" s="5"/>
      <c r="J41" s="5"/>
      <c r="L41" s="30" t="str">
        <f>IFERROR(INDEX(Однолинейка!$AI$3:$AI$1000,MATCH(3,Однолинейка!$BT$3:$BT$1000,0)),"")</f>
        <v/>
      </c>
      <c r="M41" s="32" t="str">
        <f>IF(L41="","",COUNTIFS(Однолинейка!$AW$3:$AW$1000,"?*",Однолинейка!$AI$3:$AI$1000,L41))</f>
        <v/>
      </c>
    </row>
    <row r="42" spans="1:13" x14ac:dyDescent="0.3">
      <c r="A42" s="29" t="str">
        <f>IFERROR(MATCH(ROW()-3,Каталог!$AF$4:$AF$500,0),"")</f>
        <v/>
      </c>
      <c r="B42" s="29" t="str">
        <f t="shared" si="1"/>
        <v/>
      </c>
      <c r="C42" s="30" t="str">
        <f>IF($A42="","",INDEX(Каталог!$G$4:$G$500,$A42)&amp;"")</f>
        <v/>
      </c>
      <c r="D42" s="33"/>
      <c r="E42" s="31" t="str">
        <f>IF($A42="","",INDEX(Каталог!$H$4:$H$500,$A42)&amp;"")</f>
        <v/>
      </c>
      <c r="F42" s="32" t="str">
        <f>IF($A42="","",INDEX(Каталог!$B$4:$B$500,$A42)&amp;"")</f>
        <v/>
      </c>
      <c r="G42" s="32" t="str">
        <f>IF($A42="","",INDEX(Каталог!$M$4:$M$500,$A42)&amp;"")</f>
        <v/>
      </c>
      <c r="H42" s="32" t="str">
        <f>IF($A42="","",INDEX(Каталог!$P$4:$P$500,$A42))</f>
        <v/>
      </c>
      <c r="I42" s="5"/>
      <c r="J42" s="5"/>
      <c r="L42" s="30" t="str">
        <f>IFERROR(INDEX(Однолинейка!$AI$3:$AI$1000,MATCH(4,Однолинейка!$BT$3:$BT$1000,0)),"")</f>
        <v/>
      </c>
      <c r="M42" s="32" t="str">
        <f>IF(L42="","",COUNTIFS(Однолинейка!$AW$3:$AW$1000,"?*",Однолинейка!$AI$3:$AI$1000,L42))</f>
        <v/>
      </c>
    </row>
    <row r="43" spans="1:13" x14ac:dyDescent="0.3">
      <c r="A43" s="29" t="str">
        <f>IFERROR(MATCH(ROW()-3,Каталог!$AF$4:$AF$500,0),"")</f>
        <v/>
      </c>
      <c r="B43" s="29" t="str">
        <f t="shared" si="1"/>
        <v/>
      </c>
      <c r="C43" s="30" t="str">
        <f>IF($A43="","",INDEX(Каталог!$G$4:$G$500,$A43)&amp;"")</f>
        <v/>
      </c>
      <c r="D43" s="33"/>
      <c r="E43" s="31" t="str">
        <f>IF($A43="","",INDEX(Каталог!$H$4:$H$500,$A43)&amp;"")</f>
        <v/>
      </c>
      <c r="F43" s="32" t="str">
        <f>IF($A43="","",INDEX(Каталог!$B$4:$B$500,$A43)&amp;"")</f>
        <v/>
      </c>
      <c r="G43" s="32" t="str">
        <f>IF($A43="","",INDEX(Каталог!$M$4:$M$500,$A43)&amp;"")</f>
        <v/>
      </c>
      <c r="H43" s="32" t="str">
        <f>IF($A43="","",INDEX(Каталог!$P$4:$P$500,$A43))</f>
        <v/>
      </c>
      <c r="I43" s="5"/>
      <c r="J43" s="5"/>
      <c r="L43" s="30" t="str">
        <f>IFERROR(INDEX(Однолинейка!$AI$3:$AI$1000,MATCH(5,Однолинейка!$BT$3:$BT$1000,0)),"")</f>
        <v/>
      </c>
      <c r="M43" s="32" t="str">
        <f>IF(L43="","",COUNTIFS(Однолинейка!$AW$3:$AW$1000,"?*",Однолинейка!$AI$3:$AI$1000,L43))</f>
        <v/>
      </c>
    </row>
    <row r="44" spans="1:13" x14ac:dyDescent="0.3">
      <c r="A44" s="29" t="str">
        <f>IFERROR(MATCH(ROW()-3,Каталог!$AF$4:$AF$500,0),"")</f>
        <v/>
      </c>
      <c r="B44" s="29" t="str">
        <f t="shared" si="1"/>
        <v/>
      </c>
      <c r="C44" s="30" t="str">
        <f>IF($A44="","",INDEX(Каталог!$G$4:$G$500,$A44)&amp;"")</f>
        <v/>
      </c>
      <c r="D44" s="33"/>
      <c r="E44" s="31" t="str">
        <f>IF($A44="","",INDEX(Каталог!$H$4:$H$500,$A44)&amp;"")</f>
        <v/>
      </c>
      <c r="F44" s="32" t="str">
        <f>IF($A44="","",INDEX(Каталог!$B$4:$B$500,$A44)&amp;"")</f>
        <v/>
      </c>
      <c r="G44" s="32" t="str">
        <f>IF($A44="","",INDEX(Каталог!$M$4:$M$500,$A44)&amp;"")</f>
        <v/>
      </c>
      <c r="H44" s="32" t="str">
        <f>IF($A44="","",INDEX(Каталог!$P$4:$P$500,$A44))</f>
        <v/>
      </c>
      <c r="I44" s="5"/>
      <c r="J44" s="5"/>
      <c r="L44" s="30" t="str">
        <f>IFERROR(INDEX(Однолинейка!$AI$3:$AI$1000,MATCH(6,Однолинейка!$BT$3:$BT$1000,0)),"")</f>
        <v/>
      </c>
      <c r="M44" s="32" t="str">
        <f>IF(L44="","",COUNTIFS(Однолинейка!$AW$3:$AW$1000,"?*",Однолинейка!$AI$3:$AI$1000,L44))</f>
        <v/>
      </c>
    </row>
    <row r="45" spans="1:13" x14ac:dyDescent="0.3">
      <c r="A45" s="29" t="str">
        <f>IFERROR(MATCH(ROW()-3,Каталог!$AF$4:$AF$500,0),"")</f>
        <v/>
      </c>
      <c r="B45" s="29" t="str">
        <f t="shared" si="1"/>
        <v/>
      </c>
      <c r="C45" s="30" t="str">
        <f>IF($A45="","",INDEX(Каталог!$G$4:$G$500,$A45)&amp;"")</f>
        <v/>
      </c>
      <c r="D45" s="33"/>
      <c r="E45" s="31" t="str">
        <f>IF($A45="","",INDEX(Каталог!$H$4:$H$500,$A45)&amp;"")</f>
        <v/>
      </c>
      <c r="F45" s="32" t="str">
        <f>IF($A45="","",INDEX(Каталог!$B$4:$B$500,$A45)&amp;"")</f>
        <v/>
      </c>
      <c r="G45" s="32" t="str">
        <f>IF($A45="","",INDEX(Каталог!$M$4:$M$500,$A45)&amp;"")</f>
        <v/>
      </c>
      <c r="H45" s="32" t="str">
        <f>IF($A45="","",INDEX(Каталог!$P$4:$P$500,$A45))</f>
        <v/>
      </c>
      <c r="I45" s="5"/>
      <c r="J45" s="5"/>
      <c r="L45" s="30" t="str">
        <f>IFERROR(INDEX(Однолинейка!$AI$3:$AI$1000,MATCH(7,Однолинейка!$BT$3:$BT$1000,0)),"")</f>
        <v/>
      </c>
      <c r="M45" s="32" t="str">
        <f>IF(L45="","",COUNTIFS(Однолинейка!$AW$3:$AW$1000,"?*",Однолинейка!$AI$3:$AI$1000,L45))</f>
        <v/>
      </c>
    </row>
    <row r="46" spans="1:13" x14ac:dyDescent="0.3">
      <c r="A46" s="29" t="str">
        <f>IFERROR(MATCH(ROW()-3,Каталог!$AF$4:$AF$500,0),"")</f>
        <v/>
      </c>
      <c r="B46" s="29" t="str">
        <f t="shared" si="1"/>
        <v/>
      </c>
      <c r="C46" s="30" t="str">
        <f>IF($A46="","",INDEX(Каталог!$G$4:$G$500,$A46)&amp;"")</f>
        <v/>
      </c>
      <c r="D46" s="33"/>
      <c r="E46" s="31" t="str">
        <f>IF($A46="","",INDEX(Каталог!$H$4:$H$500,$A46)&amp;"")</f>
        <v/>
      </c>
      <c r="F46" s="32" t="str">
        <f>IF($A46="","",INDEX(Каталог!$B$4:$B$500,$A46)&amp;"")</f>
        <v/>
      </c>
      <c r="G46" s="32" t="str">
        <f>IF($A46="","",INDEX(Каталог!$M$4:$M$500,$A46)&amp;"")</f>
        <v/>
      </c>
      <c r="H46" s="32" t="str">
        <f>IF($A46="","",INDEX(Каталог!$P$4:$P$500,$A46))</f>
        <v/>
      </c>
      <c r="I46" s="5"/>
      <c r="J46" s="5"/>
      <c r="L46" s="30" t="str">
        <f>IFERROR(INDEX(Однолинейка!$AI$3:$AI$1000,MATCH(8,Однолинейка!$BT$3:$BT$1000,0)),"")</f>
        <v/>
      </c>
      <c r="M46" s="32" t="str">
        <f>IF(L46="","",COUNTIFS(Однолинейка!$AW$3:$AW$1000,"?*",Однолинейка!$AI$3:$AI$1000,L46))</f>
        <v/>
      </c>
    </row>
    <row r="47" spans="1:13" x14ac:dyDescent="0.3">
      <c r="A47" s="29" t="str">
        <f>IFERROR(MATCH(ROW()-3,Каталог!$AF$4:$AF$500,0),"")</f>
        <v/>
      </c>
      <c r="B47" s="29" t="str">
        <f t="shared" si="1"/>
        <v/>
      </c>
      <c r="C47" s="30" t="str">
        <f>IF($A47="","",INDEX(Каталог!$G$4:$G$500,$A47)&amp;"")</f>
        <v/>
      </c>
      <c r="D47" s="33"/>
      <c r="E47" s="31" t="str">
        <f>IF($A47="","",INDEX(Каталог!$H$4:$H$500,$A47)&amp;"")</f>
        <v/>
      </c>
      <c r="F47" s="32" t="str">
        <f>IF($A47="","",INDEX(Каталог!$B$4:$B$500,$A47)&amp;"")</f>
        <v/>
      </c>
      <c r="G47" s="32" t="str">
        <f>IF($A47="","",INDEX(Каталог!$M$4:$M$500,$A47)&amp;"")</f>
        <v/>
      </c>
      <c r="H47" s="32" t="str">
        <f>IF($A47="","",INDEX(Каталог!$P$4:$P$500,$A47))</f>
        <v/>
      </c>
      <c r="I47" s="5"/>
      <c r="J47" s="5"/>
      <c r="L47" s="30" t="str">
        <f>IFERROR(INDEX(Однолинейка!$AI$3:$AI$1000,MATCH(9,Однолинейка!$BT$3:$BT$1000,0)),"")</f>
        <v/>
      </c>
      <c r="M47" s="32" t="str">
        <f>IF(L47="","",COUNTIFS(Однолинейка!$AW$3:$AW$1000,"?*",Однолинейка!$AI$3:$AI$1000,L47))</f>
        <v/>
      </c>
    </row>
    <row r="48" spans="1:13" x14ac:dyDescent="0.3">
      <c r="A48" s="29" t="str">
        <f>IFERROR(MATCH(ROW()-3,Каталог!$AF$4:$AF$500,0),"")</f>
        <v/>
      </c>
      <c r="B48" s="29" t="str">
        <f t="shared" si="1"/>
        <v/>
      </c>
      <c r="C48" s="30" t="str">
        <f>IF($A48="","",INDEX(Каталог!$G$4:$G$500,$A48)&amp;"")</f>
        <v/>
      </c>
      <c r="D48" s="33"/>
      <c r="E48" s="31" t="str">
        <f>IF($A48="","",INDEX(Каталог!$H$4:$H$500,$A48)&amp;"")</f>
        <v/>
      </c>
      <c r="F48" s="32" t="str">
        <f>IF($A48="","",INDEX(Каталог!$B$4:$B$500,$A48)&amp;"")</f>
        <v/>
      </c>
      <c r="G48" s="32" t="str">
        <f>IF($A48="","",INDEX(Каталог!$M$4:$M$500,$A48)&amp;"")</f>
        <v/>
      </c>
      <c r="H48" s="32" t="str">
        <f>IF($A48="","",INDEX(Каталог!$P$4:$P$500,$A48))</f>
        <v/>
      </c>
      <c r="I48" s="5"/>
      <c r="J48" s="5"/>
      <c r="L48" s="30" t="str">
        <f>IFERROR(INDEX(Однолинейка!$AI$3:$AI$1000,MATCH(10,Однолинейка!$BT$3:$BT$1000,0)),"")</f>
        <v/>
      </c>
      <c r="M48" s="32" t="str">
        <f>IF(L48="","",COUNTIFS(Однолинейка!$AW$3:$AW$1000,"?*",Однолинейка!$AI$3:$AI$1000,L48))</f>
        <v/>
      </c>
    </row>
    <row r="49" spans="1:15" x14ac:dyDescent="0.3">
      <c r="A49" s="29" t="str">
        <f>IFERROR(MATCH(ROW()-3,Каталог!$AF$4:$AF$500,0),"")</f>
        <v/>
      </c>
      <c r="B49" s="29" t="str">
        <f t="shared" si="1"/>
        <v/>
      </c>
      <c r="C49" s="30" t="str">
        <f>IF($A49="","",INDEX(Каталог!$G$4:$G$500,$A49)&amp;"")</f>
        <v/>
      </c>
      <c r="D49" s="33"/>
      <c r="E49" s="31" t="str">
        <f>IF($A49="","",INDEX(Каталог!$H$4:$H$500,$A49)&amp;"")</f>
        <v/>
      </c>
      <c r="F49" s="32" t="str">
        <f>IF($A49="","",INDEX(Каталог!$B$4:$B$500,$A49)&amp;"")</f>
        <v/>
      </c>
      <c r="G49" s="32" t="str">
        <f>IF($A49="","",INDEX(Каталог!$M$4:$M$500,$A49)&amp;"")</f>
        <v/>
      </c>
      <c r="H49" s="32" t="str">
        <f>IF($A49="","",INDEX(Каталог!$P$4:$P$500,$A49))</f>
        <v/>
      </c>
      <c r="I49" s="5"/>
      <c r="J49" s="5"/>
    </row>
    <row r="50" spans="1:15" ht="28.8" x14ac:dyDescent="0.3">
      <c r="A50" s="29" t="str">
        <f>IFERROR(MATCH(ROW()-3,Каталог!$AF$4:$AF$500,0),"")</f>
        <v/>
      </c>
      <c r="B50" s="29" t="str">
        <f t="shared" si="1"/>
        <v/>
      </c>
      <c r="C50" s="30" t="str">
        <f>IF($A50="","",INDEX(Каталог!$G$4:$G$500,$A50)&amp;"")</f>
        <v/>
      </c>
      <c r="D50" s="33"/>
      <c r="E50" s="31" t="str">
        <f>IF($A50="","",INDEX(Каталог!$H$4:$H$500,$A50)&amp;"")</f>
        <v/>
      </c>
      <c r="F50" s="32" t="str">
        <f>IF($A50="","",INDEX(Каталог!$B$4:$B$500,$A50)&amp;"")</f>
        <v/>
      </c>
      <c r="G50" s="32" t="str">
        <f>IF($A50="","",INDEX(Каталог!$M$4:$M$500,$A50)&amp;"")</f>
        <v/>
      </c>
      <c r="H50" s="32" t="str">
        <f>IF($A50="","",INDEX(Каталог!$P$4:$P$500,$A50))</f>
        <v/>
      </c>
      <c r="I50" s="5"/>
      <c r="J50" s="5"/>
      <c r="L50" s="1" t="s">
        <v>785</v>
      </c>
    </row>
    <row r="51" spans="1:15" x14ac:dyDescent="0.3">
      <c r="A51" s="29" t="str">
        <f>IFERROR(MATCH(ROW()-3,Каталог!$AF$4:$AF$500,0),"")</f>
        <v/>
      </c>
      <c r="B51" s="29" t="str">
        <f t="shared" si="1"/>
        <v/>
      </c>
      <c r="C51" s="30" t="str">
        <f>IF($A51="","",INDEX(Каталог!$G$4:$G$500,$A51)&amp;"")</f>
        <v/>
      </c>
      <c r="D51" s="33"/>
      <c r="E51" s="31" t="str">
        <f>IF($A51="","",INDEX(Каталог!$H$4:$H$500,$A51)&amp;"")</f>
        <v/>
      </c>
      <c r="F51" s="32" t="str">
        <f>IF($A51="","",INDEX(Каталог!$B$4:$B$500,$A51)&amp;"")</f>
        <v/>
      </c>
      <c r="G51" s="32" t="str">
        <f>IF($A51="","",INDEX(Каталог!$M$4:$M$500,$A51)&amp;"")</f>
        <v/>
      </c>
      <c r="H51" s="32" t="str">
        <f>IF($A51="","",INDEX(Каталог!$P$4:$P$500,$A51))</f>
        <v/>
      </c>
      <c r="I51" s="5"/>
      <c r="J51" s="5"/>
      <c r="L51" s="30" t="str">
        <f>IFERROR(INDEX(Однолинейка!$BQ$3:$BQ$1000,MATCH(1,Однолинейка!$BR$3:$BR$1000,0)),"")</f>
        <v/>
      </c>
      <c r="M51" s="32" t="str">
        <f>IF(L51="","",COUNTIF(Однолинейка!$BQ$3:$BQ$1000,L51))</f>
        <v/>
      </c>
      <c r="N51" s="32" t="str">
        <f>IF(L51="","",SUMIF(Однолинейка!$BQ$3:$BQ$1000,L51,Однолинейка!$BW$3:$BW$1000))</f>
        <v/>
      </c>
      <c r="O51" s="32" t="str">
        <f>IF(L51="","",SUMIF(Однолинейка!$BQ$3:$BQ$1000,L51,Однолинейка!$BX$3:$BX$1000))</f>
        <v/>
      </c>
    </row>
    <row r="52" spans="1:15" x14ac:dyDescent="0.3">
      <c r="A52" s="29" t="str">
        <f>IFERROR(MATCH(ROW()-3,Каталог!$AF$4:$AF$500,0),"")</f>
        <v/>
      </c>
      <c r="B52" s="29" t="str">
        <f t="shared" si="1"/>
        <v/>
      </c>
      <c r="C52" s="30" t="str">
        <f>IF($A52="","",INDEX(Каталог!$G$4:$G$500,$A52)&amp;"")</f>
        <v/>
      </c>
      <c r="D52" s="33"/>
      <c r="E52" s="31" t="str">
        <f>IF($A52="","",INDEX(Каталог!$H$4:$H$500,$A52)&amp;"")</f>
        <v/>
      </c>
      <c r="F52" s="32" t="str">
        <f>IF($A52="","",INDEX(Каталог!$B$4:$B$500,$A52)&amp;"")</f>
        <v/>
      </c>
      <c r="G52" s="32" t="str">
        <f>IF($A52="","",INDEX(Каталог!$M$4:$M$500,$A52)&amp;"")</f>
        <v/>
      </c>
      <c r="H52" s="32" t="str">
        <f>IF($A52="","",INDEX(Каталог!$P$4:$P$500,$A52))</f>
        <v/>
      </c>
      <c r="I52" s="5"/>
      <c r="J52" s="5"/>
      <c r="L52" s="30" t="str">
        <f>IFERROR(INDEX(Однолинейка!$BQ$3:$BQ$1000,MATCH(2,Однолинейка!$BR$3:$BR$1000,0)),"")</f>
        <v/>
      </c>
      <c r="M52" s="32" t="str">
        <f>IF(L52="","",COUNTIF(Однолинейка!$BQ$3:$BQ$1000,L52))</f>
        <v/>
      </c>
      <c r="N52" s="32" t="str">
        <f>IF(L52="","",SUMIF(Однолинейка!$BQ$3:$BQ$1000,L52,Однолинейка!$BW$3:$BW$1000))</f>
        <v/>
      </c>
      <c r="O52" s="32" t="str">
        <f>IF(L52="","",SUMIF(Однолинейка!$BQ$3:$BQ$1000,L52,Однолинейка!$BX$3:$BX$1000))</f>
        <v/>
      </c>
    </row>
    <row r="53" spans="1:15" x14ac:dyDescent="0.3">
      <c r="A53" s="29" t="str">
        <f>IFERROR(MATCH(ROW()-3,Каталог!$AF$4:$AF$500,0),"")</f>
        <v/>
      </c>
      <c r="B53" s="29" t="str">
        <f t="shared" si="1"/>
        <v/>
      </c>
      <c r="C53" s="30" t="str">
        <f>IF($A53="","",INDEX(Каталог!$G$4:$G$500,$A53)&amp;"")</f>
        <v/>
      </c>
      <c r="D53" s="33"/>
      <c r="E53" s="31" t="str">
        <f>IF($A53="","",INDEX(Каталог!$H$4:$H$500,$A53)&amp;"")</f>
        <v/>
      </c>
      <c r="F53" s="32" t="str">
        <f>IF($A53="","",INDEX(Каталог!$B$4:$B$500,$A53)&amp;"")</f>
        <v/>
      </c>
      <c r="G53" s="32" t="str">
        <f>IF($A53="","",INDEX(Каталог!$M$4:$M$500,$A53)&amp;"")</f>
        <v/>
      </c>
      <c r="H53" s="32" t="str">
        <f>IF($A53="","",INDEX(Каталог!$P$4:$P$500,$A53))</f>
        <v/>
      </c>
      <c r="I53" s="5"/>
      <c r="J53" s="5"/>
      <c r="L53" s="30" t="str">
        <f>IFERROR(INDEX(Однолинейка!$BQ$3:$BQ$1000,MATCH(3,Однолинейка!$BR$3:$BR$1000,0)),"")</f>
        <v/>
      </c>
      <c r="M53" s="32" t="str">
        <f>IF(L53="","",COUNTIF(Однолинейка!$BQ$3:$BQ$1000,L53))</f>
        <v/>
      </c>
      <c r="N53" s="32" t="str">
        <f>IF(L53="","",SUMIF(Однолинейка!$BQ$3:$BQ$1000,L53,Однолинейка!$BW$3:$BW$1000))</f>
        <v/>
      </c>
      <c r="O53" s="32" t="str">
        <f>IF(L53="","",SUMIF(Однолинейка!$BQ$3:$BQ$1000,L53,Однолинейка!$BX$3:$BX$1000))</f>
        <v/>
      </c>
    </row>
    <row r="54" spans="1:15" x14ac:dyDescent="0.3">
      <c r="A54" s="29" t="str">
        <f>IFERROR(MATCH(ROW()-3,Каталог!$AF$4:$AF$500,0),"")</f>
        <v/>
      </c>
      <c r="B54" s="29" t="str">
        <f t="shared" si="1"/>
        <v/>
      </c>
      <c r="C54" s="30" t="str">
        <f>IF($A54="","",INDEX(Каталог!$G$4:$G$500,$A54)&amp;"")</f>
        <v/>
      </c>
      <c r="D54" s="33"/>
      <c r="E54" s="31" t="str">
        <f>IF($A54="","",INDEX(Каталог!$H$4:$H$500,$A54)&amp;"")</f>
        <v/>
      </c>
      <c r="F54" s="32" t="str">
        <f>IF($A54="","",INDEX(Каталог!$B$4:$B$500,$A54)&amp;"")</f>
        <v/>
      </c>
      <c r="G54" s="32" t="str">
        <f>IF($A54="","",INDEX(Каталог!$M$4:$M$500,$A54)&amp;"")</f>
        <v/>
      </c>
      <c r="H54" s="32" t="str">
        <f>IF($A54="","",INDEX(Каталог!$P$4:$P$500,$A54))</f>
        <v/>
      </c>
      <c r="I54" s="5"/>
      <c r="J54" s="5"/>
      <c r="L54" s="30" t="str">
        <f>IFERROR(INDEX(Однолинейка!$BQ$3:$BQ$1000,MATCH(4,Однолинейка!$BR$3:$BR$1000,0)),"")</f>
        <v/>
      </c>
      <c r="M54" s="32" t="str">
        <f>IF(L54="","",COUNTIF(Однолинейка!$BQ$3:$BQ$1000,L54))</f>
        <v/>
      </c>
      <c r="N54" s="32" t="str">
        <f>IF(L54="","",SUMIF(Однолинейка!$BQ$3:$BQ$1000,L54,Однолинейка!$BW$3:$BW$1000))</f>
        <v/>
      </c>
      <c r="O54" s="32" t="str">
        <f>IF(L54="","",SUMIF(Однолинейка!$BQ$3:$BQ$1000,L54,Однолинейка!$BX$3:$BX$1000))</f>
        <v/>
      </c>
    </row>
    <row r="55" spans="1:15" x14ac:dyDescent="0.3">
      <c r="A55" s="29" t="str">
        <f>IFERROR(MATCH(ROW()-3,Каталог!$AF$4:$AF$500,0),"")</f>
        <v/>
      </c>
      <c r="B55" s="29" t="str">
        <f t="shared" si="1"/>
        <v/>
      </c>
      <c r="C55" s="30" t="str">
        <f>IF($A55="","",INDEX(Каталог!$G$4:$G$500,$A55)&amp;"")</f>
        <v/>
      </c>
      <c r="D55" s="33"/>
      <c r="E55" s="31" t="str">
        <f>IF($A55="","",INDEX(Каталог!$H$4:$H$500,$A55)&amp;"")</f>
        <v/>
      </c>
      <c r="F55" s="32" t="str">
        <f>IF($A55="","",INDEX(Каталог!$B$4:$B$500,$A55)&amp;"")</f>
        <v/>
      </c>
      <c r="G55" s="32" t="str">
        <f>IF($A55="","",INDEX(Каталог!$M$4:$M$500,$A55)&amp;"")</f>
        <v/>
      </c>
      <c r="H55" s="32" t="str">
        <f>IF($A55="","",INDEX(Каталог!$P$4:$P$500,$A55))</f>
        <v/>
      </c>
      <c r="I55" s="5"/>
      <c r="J55" s="5"/>
      <c r="L55" s="30" t="str">
        <f>IFERROR(INDEX(Однолинейка!$BQ$3:$BQ$1000,MATCH(5,Однолинейка!$BR$3:$BR$1000,0)),"")</f>
        <v/>
      </c>
      <c r="M55" s="32" t="str">
        <f>IF(L55="","",COUNTIF(Однолинейка!$BQ$3:$BQ$1000,L55))</f>
        <v/>
      </c>
      <c r="N55" s="32" t="str">
        <f>IF(L55="","",SUMIF(Однолинейка!$BQ$3:$BQ$1000,L55,Однолинейка!$BW$3:$BW$1000))</f>
        <v/>
      </c>
      <c r="O55" s="32" t="str">
        <f>IF(L55="","",SUMIF(Однолинейка!$BQ$3:$BQ$1000,L55,Однолинейка!$BX$3:$BX$1000))</f>
        <v/>
      </c>
    </row>
    <row r="56" spans="1:15" x14ac:dyDescent="0.3">
      <c r="A56" s="29" t="str">
        <f>IFERROR(MATCH(ROW()-3,Каталог!$AF$4:$AF$500,0),"")</f>
        <v/>
      </c>
      <c r="B56" s="29" t="str">
        <f t="shared" si="1"/>
        <v/>
      </c>
      <c r="C56" s="30" t="str">
        <f>IF($A56="","",INDEX(Каталог!$G$4:$G$500,$A56)&amp;"")</f>
        <v/>
      </c>
      <c r="D56" s="33"/>
      <c r="E56" s="31" t="str">
        <f>IF($A56="","",INDEX(Каталог!$H$4:$H$500,$A56)&amp;"")</f>
        <v/>
      </c>
      <c r="F56" s="32" t="str">
        <f>IF($A56="","",INDEX(Каталог!$B$4:$B$500,$A56)&amp;"")</f>
        <v/>
      </c>
      <c r="G56" s="32" t="str">
        <f>IF($A56="","",INDEX(Каталог!$M$4:$M$500,$A56)&amp;"")</f>
        <v/>
      </c>
      <c r="H56" s="32" t="str">
        <f>IF($A56="","",INDEX(Каталог!$P$4:$P$500,$A56))</f>
        <v/>
      </c>
      <c r="I56" s="5"/>
      <c r="J56" s="5"/>
      <c r="L56" s="30" t="str">
        <f>IFERROR(INDEX(Однолинейка!$BQ$3:$BQ$1000,MATCH(6,Однолинейка!$BR$3:$BR$1000,0)),"")</f>
        <v/>
      </c>
      <c r="M56" s="32" t="str">
        <f>IF(L56="","",COUNTIF(Однолинейка!$BQ$3:$BQ$1000,L56))</f>
        <v/>
      </c>
      <c r="N56" s="32" t="str">
        <f>IF(L56="","",SUMIF(Однолинейка!$BQ$3:$BQ$1000,L56,Однолинейка!$BW$3:$BW$1000))</f>
        <v/>
      </c>
      <c r="O56" s="32" t="str">
        <f>IF(L56="","",SUMIF(Однолинейка!$BQ$3:$BQ$1000,L56,Однолинейка!$BX$3:$BX$1000))</f>
        <v/>
      </c>
    </row>
    <row r="57" spans="1:15" x14ac:dyDescent="0.3">
      <c r="A57" s="29" t="str">
        <f>IFERROR(MATCH(ROW()-3,Каталог!$AF$4:$AF$500,0),"")</f>
        <v/>
      </c>
      <c r="B57" s="29" t="str">
        <f t="shared" si="1"/>
        <v/>
      </c>
      <c r="C57" s="30" t="str">
        <f>IF($A57="","",INDEX(Каталог!$G$4:$G$500,$A57)&amp;"")</f>
        <v/>
      </c>
      <c r="D57" s="33"/>
      <c r="E57" s="31" t="str">
        <f>IF($A57="","",INDEX(Каталог!$H$4:$H$500,$A57)&amp;"")</f>
        <v/>
      </c>
      <c r="F57" s="32" t="str">
        <f>IF($A57="","",INDEX(Каталог!$B$4:$B$500,$A57)&amp;"")</f>
        <v/>
      </c>
      <c r="G57" s="32" t="str">
        <f>IF($A57="","",INDEX(Каталог!$M$4:$M$500,$A57)&amp;"")</f>
        <v/>
      </c>
      <c r="H57" s="32" t="str">
        <f>IF($A57="","",INDEX(Каталог!$P$4:$P$500,$A57))</f>
        <v/>
      </c>
      <c r="I57" s="5"/>
      <c r="J57" s="5"/>
      <c r="L57" s="30" t="str">
        <f>IFERROR(INDEX(Однолинейка!$BQ$3:$BQ$1000,MATCH(7,Однолинейка!$BR$3:$BR$1000,0)),"")</f>
        <v/>
      </c>
      <c r="M57" s="32" t="str">
        <f>IF(L57="","",COUNTIF(Однолинейка!$BQ$3:$BQ$1000,L57))</f>
        <v/>
      </c>
      <c r="N57" s="32" t="str">
        <f>IF(L57="","",SUMIF(Однолинейка!$BQ$3:$BQ$1000,L57,Однолинейка!$BW$3:$BW$1000))</f>
        <v/>
      </c>
      <c r="O57" s="32" t="str">
        <f>IF(L57="","",SUMIF(Однолинейка!$BQ$3:$BQ$1000,L57,Однолинейка!$BX$3:$BX$1000))</f>
        <v/>
      </c>
    </row>
    <row r="58" spans="1:15" x14ac:dyDescent="0.3">
      <c r="A58" s="29" t="str">
        <f>IFERROR(MATCH(ROW()-3,Каталог!$AF$4:$AF$500,0),"")</f>
        <v/>
      </c>
      <c r="B58" s="29" t="str">
        <f t="shared" si="1"/>
        <v/>
      </c>
      <c r="C58" s="30" t="str">
        <f>IF($A58="","",INDEX(Каталог!$G$4:$G$500,$A58)&amp;"")</f>
        <v/>
      </c>
      <c r="D58" s="33"/>
      <c r="E58" s="31" t="str">
        <f>IF($A58="","",INDEX(Каталог!$H$4:$H$500,$A58)&amp;"")</f>
        <v/>
      </c>
      <c r="F58" s="32" t="str">
        <f>IF($A58="","",INDEX(Каталог!$B$4:$B$500,$A58)&amp;"")</f>
        <v/>
      </c>
      <c r="G58" s="32" t="str">
        <f>IF($A58="","",INDEX(Каталог!$M$4:$M$500,$A58)&amp;"")</f>
        <v/>
      </c>
      <c r="H58" s="32" t="str">
        <f>IF($A58="","",INDEX(Каталог!$P$4:$P$500,$A58))</f>
        <v/>
      </c>
      <c r="I58" s="5"/>
      <c r="J58" s="5"/>
      <c r="L58" s="30" t="str">
        <f>IFERROR(INDEX(Однолинейка!$BQ$3:$BQ$1000,MATCH(8,Однолинейка!$BR$3:$BR$1000,0)),"")</f>
        <v/>
      </c>
      <c r="M58" s="32" t="str">
        <f>IF(L58="","",COUNTIF(Однолинейка!$BQ$3:$BQ$1000,L58))</f>
        <v/>
      </c>
      <c r="N58" s="32" t="str">
        <f>IF(L58="","",SUMIF(Однолинейка!$BQ$3:$BQ$1000,L58,Однолинейка!$BW$3:$BW$1000))</f>
        <v/>
      </c>
      <c r="O58" s="32" t="str">
        <f>IF(L58="","",SUMIF(Однолинейка!$BQ$3:$BQ$1000,L58,Однолинейка!$BX$3:$BX$1000))</f>
        <v/>
      </c>
    </row>
    <row r="59" spans="1:15" x14ac:dyDescent="0.3">
      <c r="A59" s="29" t="str">
        <f>IFERROR(MATCH(ROW()-3,Каталог!$AF$4:$AF$500,0),"")</f>
        <v/>
      </c>
      <c r="B59" s="29" t="str">
        <f t="shared" si="1"/>
        <v/>
      </c>
      <c r="C59" s="30" t="str">
        <f>IF($A59="","",INDEX(Каталог!$G$4:$G$500,$A59)&amp;"")</f>
        <v/>
      </c>
      <c r="D59" s="33"/>
      <c r="E59" s="31" t="str">
        <f>IF($A59="","",INDEX(Каталог!$H$4:$H$500,$A59)&amp;"")</f>
        <v/>
      </c>
      <c r="F59" s="32" t="str">
        <f>IF($A59="","",INDEX(Каталог!$B$4:$B$500,$A59)&amp;"")</f>
        <v/>
      </c>
      <c r="G59" s="32" t="str">
        <f>IF($A59="","",INDEX(Каталог!$M$4:$M$500,$A59)&amp;"")</f>
        <v/>
      </c>
      <c r="H59" s="32" t="str">
        <f>IF($A59="","",INDEX(Каталог!$P$4:$P$500,$A59))</f>
        <v/>
      </c>
      <c r="I59" s="5"/>
      <c r="J59" s="5"/>
      <c r="L59" s="30" t="str">
        <f>IFERROR(INDEX(Однолинейка!$BQ$3:$BQ$1000,MATCH(9,Однолинейка!$BR$3:$BR$1000,0)),"")</f>
        <v/>
      </c>
      <c r="M59" s="32" t="str">
        <f>IF(L59="","",COUNTIF(Однолинейка!$BQ$3:$BQ$1000,L59))</f>
        <v/>
      </c>
      <c r="N59" s="32" t="str">
        <f>IF(L59="","",SUMIF(Однолинейка!$BQ$3:$BQ$1000,L59,Однолинейка!$BW$3:$BW$1000))</f>
        <v/>
      </c>
      <c r="O59" s="32" t="str">
        <f>IF(L59="","",SUMIF(Однолинейка!$BQ$3:$BQ$1000,L59,Однолинейка!$BX$3:$BX$1000))</f>
        <v/>
      </c>
    </row>
    <row r="60" spans="1:15" x14ac:dyDescent="0.3">
      <c r="A60" s="29" t="str">
        <f>IFERROR(MATCH(ROW()-3,Каталог!$AF$4:$AF$500,0),"")</f>
        <v/>
      </c>
      <c r="B60" s="29" t="str">
        <f t="shared" si="1"/>
        <v/>
      </c>
      <c r="C60" s="30" t="str">
        <f>IF($A60="","",INDEX(Каталог!$G$4:$G$500,$A60)&amp;"")</f>
        <v/>
      </c>
      <c r="D60" s="33"/>
      <c r="E60" s="31" t="str">
        <f>IF($A60="","",INDEX(Каталог!$H$4:$H$500,$A60)&amp;"")</f>
        <v/>
      </c>
      <c r="F60" s="32" t="str">
        <f>IF($A60="","",INDEX(Каталог!$B$4:$B$500,$A60)&amp;"")</f>
        <v/>
      </c>
      <c r="G60" s="32" t="str">
        <f>IF($A60="","",INDEX(Каталог!$M$4:$M$500,$A60)&amp;"")</f>
        <v/>
      </c>
      <c r="H60" s="32" t="str">
        <f>IF($A60="","",INDEX(Каталог!$P$4:$P$500,$A60))</f>
        <v/>
      </c>
      <c r="I60" s="5"/>
      <c r="J60" s="5"/>
      <c r="L60" s="30" t="str">
        <f>IFERROR(INDEX(Однолинейка!$BQ$3:$BQ$1000,MATCH(10,Однолинейка!$BR$3:$BR$1000,0)),"")</f>
        <v/>
      </c>
      <c r="M60" s="32" t="str">
        <f>IF(L60="","",COUNTIF(Однолинейка!$BQ$3:$BQ$1000,L60))</f>
        <v/>
      </c>
      <c r="N60" s="32" t="str">
        <f>IF(L60="","",SUMIF(Однолинейка!$BQ$3:$BQ$1000,L60,Однолинейка!$BW$3:$BW$1000))</f>
        <v/>
      </c>
      <c r="O60" s="32" t="str">
        <f>IF(L60="","",SUMIF(Однолинейка!$BQ$3:$BQ$1000,L60,Однолинейка!$BX$3:$BX$1000))</f>
        <v/>
      </c>
    </row>
    <row r="61" spans="1:15" x14ac:dyDescent="0.3">
      <c r="A61" s="29" t="str">
        <f>IFERROR(MATCH(ROW()-3,Каталог!$AF$4:$AF$500,0),"")</f>
        <v/>
      </c>
      <c r="B61" s="29" t="str">
        <f t="shared" si="1"/>
        <v/>
      </c>
      <c r="C61" s="30" t="str">
        <f>IF($A61="","",INDEX(Каталог!$G$4:$G$500,$A61)&amp;"")</f>
        <v/>
      </c>
      <c r="D61" s="33"/>
      <c r="E61" s="31" t="str">
        <f>IF($A61="","",INDEX(Каталог!$H$4:$H$500,$A61)&amp;"")</f>
        <v/>
      </c>
      <c r="F61" s="32" t="str">
        <f>IF($A61="","",INDEX(Каталог!$B$4:$B$500,$A61)&amp;"")</f>
        <v/>
      </c>
      <c r="G61" s="32" t="str">
        <f>IF($A61="","",INDEX(Каталог!$M$4:$M$500,$A61)&amp;"")</f>
        <v/>
      </c>
      <c r="H61" s="32" t="str">
        <f>IF($A61="","",INDEX(Каталог!$P$4:$P$500,$A61))</f>
        <v/>
      </c>
      <c r="I61" s="5"/>
      <c r="J61" s="5"/>
      <c r="L61" s="30" t="s">
        <v>786</v>
      </c>
      <c r="M61" s="32">
        <f>COUNTIF(Однолинейка!$AY$3:$AY$1000,1)</f>
        <v>0</v>
      </c>
    </row>
    <row r="62" spans="1:15" x14ac:dyDescent="0.3">
      <c r="A62" s="29" t="str">
        <f>IFERROR(MATCH(ROW()-3,Каталог!$AF$4:$AF$500,0),"")</f>
        <v/>
      </c>
      <c r="B62" s="29" t="str">
        <f t="shared" si="1"/>
        <v/>
      </c>
      <c r="C62" s="30" t="str">
        <f>IF($A62="","",INDEX(Каталог!$G$4:$G$500,$A62)&amp;"")</f>
        <v/>
      </c>
      <c r="D62" s="33"/>
      <c r="E62" s="31" t="str">
        <f>IF($A62="","",INDEX(Каталог!$H$4:$H$500,$A62)&amp;"")</f>
        <v/>
      </c>
      <c r="F62" s="32" t="str">
        <f>IF($A62="","",INDEX(Каталог!$B$4:$B$500,$A62)&amp;"")</f>
        <v/>
      </c>
      <c r="G62" s="32" t="str">
        <f>IF($A62="","",INDEX(Каталог!$M$4:$M$500,$A62)&amp;"")</f>
        <v/>
      </c>
      <c r="H62" s="32" t="str">
        <f>IF($A62="","",INDEX(Каталог!$P$4:$P$500,$A62))</f>
        <v/>
      </c>
      <c r="I62" s="5"/>
      <c r="J62" s="5"/>
      <c r="L62" s="30" t="s">
        <v>787</v>
      </c>
      <c r="M62" s="32">
        <f>SUM(Однолинейка!$BW$3:$BW$1000)</f>
        <v>0</v>
      </c>
    </row>
    <row r="63" spans="1:15" x14ac:dyDescent="0.3">
      <c r="A63" s="29" t="str">
        <f>IFERROR(MATCH(ROW()-3,Каталог!$AF$4:$AF$500,0),"")</f>
        <v/>
      </c>
      <c r="B63" s="29" t="str">
        <f t="shared" si="1"/>
        <v/>
      </c>
      <c r="C63" s="30" t="str">
        <f>IF($A63="","",INDEX(Каталог!$G$4:$G$500,$A63)&amp;"")</f>
        <v/>
      </c>
      <c r="D63" s="33"/>
      <c r="E63" s="31" t="str">
        <f>IF($A63="","",INDEX(Каталог!$H$4:$H$500,$A63)&amp;"")</f>
        <v/>
      </c>
      <c r="F63" s="32" t="str">
        <f>IF($A63="","",INDEX(Каталог!$B$4:$B$500,$A63)&amp;"")</f>
        <v/>
      </c>
      <c r="G63" s="32" t="str">
        <f>IF($A63="","",INDEX(Каталог!$M$4:$M$500,$A63)&amp;"")</f>
        <v/>
      </c>
      <c r="H63" s="32" t="str">
        <f>IF($A63="","",INDEX(Каталог!$P$4:$P$500,$A63))</f>
        <v/>
      </c>
      <c r="I63" s="5"/>
      <c r="J63" s="5"/>
      <c r="L63" s="30" t="s">
        <v>788</v>
      </c>
      <c r="M63" s="32">
        <f>SUM(Однолинейка!$BX$3:$BX$1000)</f>
        <v>0</v>
      </c>
    </row>
    <row r="64" spans="1:15" ht="27.6" x14ac:dyDescent="0.3">
      <c r="A64" s="29" t="str">
        <f>IFERROR(MATCH(ROW()-3,Каталог!$AF$4:$AF$500,0),"")</f>
        <v/>
      </c>
      <c r="B64" s="29" t="str">
        <f t="shared" si="1"/>
        <v/>
      </c>
      <c r="C64" s="30" t="str">
        <f>IF($A64="","",INDEX(Каталог!$G$4:$G$500,$A64)&amp;"")</f>
        <v/>
      </c>
      <c r="D64" s="33"/>
      <c r="E64" s="31" t="str">
        <f>IF($A64="","",INDEX(Каталог!$H$4:$H$500,$A64)&amp;"")</f>
        <v/>
      </c>
      <c r="F64" s="32" t="str">
        <f>IF($A64="","",INDEX(Каталог!$B$4:$B$500,$A64)&amp;"")</f>
        <v/>
      </c>
      <c r="G64" s="32" t="str">
        <f>IF($A64="","",INDEX(Каталог!$M$4:$M$500,$A64)&amp;"")</f>
        <v/>
      </c>
      <c r="H64" s="32" t="str">
        <f>IF($A64="","",INDEX(Каталог!$P$4:$P$500,$A64))</f>
        <v/>
      </c>
      <c r="I64" s="5"/>
      <c r="J64" s="5"/>
      <c r="L64" s="30" t="s">
        <v>789</v>
      </c>
    </row>
    <row r="65" spans="1:12" x14ac:dyDescent="0.3">
      <c r="A65" s="29" t="str">
        <f>IFERROR(MATCH(ROW()-3,Каталог!$AF$4:$AF$500,0),"")</f>
        <v/>
      </c>
      <c r="B65" s="29" t="str">
        <f t="shared" si="1"/>
        <v/>
      </c>
      <c r="C65" s="30" t="str">
        <f>IF($A65="","",INDEX(Каталог!$G$4:$G$500,$A65)&amp;"")</f>
        <v/>
      </c>
      <c r="D65" s="33"/>
      <c r="E65" s="31" t="str">
        <f>IF($A65="","",INDEX(Каталог!$H$4:$H$500,$A65)&amp;"")</f>
        <v/>
      </c>
      <c r="F65" s="32" t="str">
        <f>IF($A65="","",INDEX(Каталог!$B$4:$B$500,$A65)&amp;"")</f>
        <v/>
      </c>
      <c r="G65" s="32" t="str">
        <f>IF($A65="","",INDEX(Каталог!$M$4:$M$500,$A65)&amp;"")</f>
        <v/>
      </c>
      <c r="H65" s="32" t="str">
        <f>IF($A65="","",INDEX(Каталог!$P$4:$P$500,$A65))</f>
        <v/>
      </c>
      <c r="I65" s="5"/>
      <c r="J65" s="5"/>
      <c r="L65" s="30"/>
    </row>
    <row r="66" spans="1:12" x14ac:dyDescent="0.3">
      <c r="A66" s="29" t="str">
        <f>IFERROR(MATCH(ROW()-3,Каталог!$AF$4:$AF$500,0),"")</f>
        <v/>
      </c>
      <c r="B66" s="29" t="str">
        <f t="shared" si="1"/>
        <v/>
      </c>
      <c r="C66" s="30" t="str">
        <f>IF($A66="","",INDEX(Каталог!$G$4:$G$500,$A66)&amp;"")</f>
        <v/>
      </c>
      <c r="D66" s="33"/>
      <c r="E66" s="31" t="str">
        <f>IF($A66="","",INDEX(Каталог!$H$4:$H$500,$A66)&amp;"")</f>
        <v/>
      </c>
      <c r="F66" s="32" t="str">
        <f>IF($A66="","",INDEX(Каталог!$B$4:$B$500,$A66)&amp;"")</f>
        <v/>
      </c>
      <c r="G66" s="32" t="str">
        <f>IF($A66="","",INDEX(Каталог!$M$4:$M$500,$A66)&amp;"")</f>
        <v/>
      </c>
      <c r="H66" s="32" t="str">
        <f>IF($A66="","",INDEX(Каталог!$P$4:$P$500,$A66))</f>
        <v/>
      </c>
      <c r="I66" s="5"/>
      <c r="J66" s="5"/>
      <c r="L66" s="30"/>
    </row>
    <row r="67" spans="1:12" x14ac:dyDescent="0.3">
      <c r="A67" s="29" t="str">
        <f>IFERROR(MATCH(ROW()-3,Каталог!$AF$4:$AF$500,0),"")</f>
        <v/>
      </c>
      <c r="B67" s="29" t="str">
        <f t="shared" si="1"/>
        <v/>
      </c>
      <c r="C67" s="30" t="str">
        <f>IF($A67="","",INDEX(Каталог!$G$4:$G$500,$A67)&amp;"")</f>
        <v/>
      </c>
      <c r="D67" s="33"/>
      <c r="E67" s="31" t="str">
        <f>IF($A67="","",INDEX(Каталог!$H$4:$H$500,$A67)&amp;"")</f>
        <v/>
      </c>
      <c r="F67" s="32" t="str">
        <f>IF($A67="","",INDEX(Каталог!$B$4:$B$500,$A67)&amp;"")</f>
        <v/>
      </c>
      <c r="G67" s="32" t="str">
        <f>IF($A67="","",INDEX(Каталог!$M$4:$M$500,$A67)&amp;"")</f>
        <v/>
      </c>
      <c r="H67" s="32" t="str">
        <f>IF($A67="","",INDEX(Каталог!$P$4:$P$500,$A67))</f>
        <v/>
      </c>
      <c r="I67" s="5"/>
      <c r="J67" s="5"/>
    </row>
    <row r="68" spans="1:12" x14ac:dyDescent="0.3">
      <c r="A68" s="29" t="str">
        <f>IFERROR(MATCH(ROW()-3,Каталог!$AF$4:$AF$500,0),"")</f>
        <v/>
      </c>
      <c r="B68" s="29" t="str">
        <f t="shared" ref="B68:B99" si="2">IF($A68="","",$B$3&amp;"."&amp;(ROW()-3))</f>
        <v/>
      </c>
      <c r="C68" s="30" t="str">
        <f>IF($A68="","",INDEX(Каталог!$G$4:$G$500,$A68)&amp;"")</f>
        <v/>
      </c>
      <c r="D68" s="33"/>
      <c r="E68" s="31" t="str">
        <f>IF($A68="","",INDEX(Каталог!$H$4:$H$500,$A68)&amp;"")</f>
        <v/>
      </c>
      <c r="F68" s="32" t="str">
        <f>IF($A68="","",INDEX(Каталог!$B$4:$B$500,$A68)&amp;"")</f>
        <v/>
      </c>
      <c r="G68" s="32" t="str">
        <f>IF($A68="","",INDEX(Каталог!$M$4:$M$500,$A68)&amp;"")</f>
        <v/>
      </c>
      <c r="H68" s="32" t="str">
        <f>IF($A68="","",INDEX(Каталог!$P$4:$P$500,$A68))</f>
        <v/>
      </c>
      <c r="I68" s="5"/>
      <c r="J68" s="5"/>
    </row>
    <row r="69" spans="1:12" x14ac:dyDescent="0.3">
      <c r="A69" s="29" t="str">
        <f>IFERROR(MATCH(ROW()-3,Каталог!$AF$4:$AF$500,0),"")</f>
        <v/>
      </c>
      <c r="B69" s="29" t="str">
        <f t="shared" si="2"/>
        <v/>
      </c>
      <c r="C69" s="30" t="str">
        <f>IF($A69="","",INDEX(Каталог!$G$4:$G$500,$A69)&amp;"")</f>
        <v/>
      </c>
      <c r="D69" s="33"/>
      <c r="E69" s="31" t="str">
        <f>IF($A69="","",INDEX(Каталог!$H$4:$H$500,$A69)&amp;"")</f>
        <v/>
      </c>
      <c r="F69" s="32" t="str">
        <f>IF($A69="","",INDEX(Каталог!$B$4:$B$500,$A69)&amp;"")</f>
        <v/>
      </c>
      <c r="G69" s="32" t="str">
        <f>IF($A69="","",INDEX(Каталог!$M$4:$M$500,$A69)&amp;"")</f>
        <v/>
      </c>
      <c r="H69" s="32" t="str">
        <f>IF($A69="","",INDEX(Каталог!$P$4:$P$500,$A69))</f>
        <v/>
      </c>
      <c r="I69" s="5"/>
      <c r="J69" s="5"/>
    </row>
    <row r="70" spans="1:12" x14ac:dyDescent="0.3">
      <c r="A70" s="29" t="str">
        <f>IFERROR(MATCH(ROW()-3,Каталог!$AF$4:$AF$500,0),"")</f>
        <v/>
      </c>
      <c r="B70" s="29" t="str">
        <f t="shared" si="2"/>
        <v/>
      </c>
      <c r="C70" s="30" t="str">
        <f>IF($A70="","",INDEX(Каталог!$G$4:$G$500,$A70)&amp;"")</f>
        <v/>
      </c>
      <c r="D70" s="33"/>
      <c r="E70" s="31" t="str">
        <f>IF($A70="","",INDEX(Каталог!$H$4:$H$500,$A70)&amp;"")</f>
        <v/>
      </c>
      <c r="F70" s="32" t="str">
        <f>IF($A70="","",INDEX(Каталог!$B$4:$B$500,$A70)&amp;"")</f>
        <v/>
      </c>
      <c r="G70" s="32" t="str">
        <f>IF($A70="","",INDEX(Каталог!$M$4:$M$500,$A70)&amp;"")</f>
        <v/>
      </c>
      <c r="H70" s="32" t="str">
        <f>IF($A70="","",INDEX(Каталог!$P$4:$P$500,$A70))</f>
        <v/>
      </c>
      <c r="I70" s="5"/>
      <c r="J70" s="5"/>
    </row>
    <row r="71" spans="1:12" x14ac:dyDescent="0.3">
      <c r="A71" s="29" t="str">
        <f>IFERROR(MATCH(ROW()-3,Каталог!$AF$4:$AF$500,0),"")</f>
        <v/>
      </c>
      <c r="B71" s="29" t="str">
        <f t="shared" si="2"/>
        <v/>
      </c>
      <c r="C71" s="30" t="str">
        <f>IF($A71="","",INDEX(Каталог!$G$4:$G$500,$A71)&amp;"")</f>
        <v/>
      </c>
      <c r="D71" s="33"/>
      <c r="E71" s="31" t="str">
        <f>IF($A71="","",INDEX(Каталог!$H$4:$H$500,$A71)&amp;"")</f>
        <v/>
      </c>
      <c r="F71" s="32" t="str">
        <f>IF($A71="","",INDEX(Каталог!$B$4:$B$500,$A71)&amp;"")</f>
        <v/>
      </c>
      <c r="G71" s="32" t="str">
        <f>IF($A71="","",INDEX(Каталог!$M$4:$M$500,$A71)&amp;"")</f>
        <v/>
      </c>
      <c r="H71" s="32" t="str">
        <f>IF($A71="","",INDEX(Каталог!$P$4:$P$500,$A71))</f>
        <v/>
      </c>
      <c r="I71" s="5"/>
      <c r="J71" s="5"/>
    </row>
    <row r="72" spans="1:12" x14ac:dyDescent="0.3">
      <c r="A72" s="29" t="str">
        <f>IFERROR(MATCH(ROW()-3,Каталог!$AF$4:$AF$500,0),"")</f>
        <v/>
      </c>
      <c r="B72" s="29" t="str">
        <f t="shared" si="2"/>
        <v/>
      </c>
      <c r="C72" s="30" t="str">
        <f>IF($A72="","",INDEX(Каталог!$G$4:$G$500,$A72)&amp;"")</f>
        <v/>
      </c>
      <c r="D72" s="33"/>
      <c r="E72" s="31" t="str">
        <f>IF($A72="","",INDEX(Каталог!$H$4:$H$500,$A72)&amp;"")</f>
        <v/>
      </c>
      <c r="F72" s="32" t="str">
        <f>IF($A72="","",INDEX(Каталог!$B$4:$B$500,$A72)&amp;"")</f>
        <v/>
      </c>
      <c r="G72" s="32" t="str">
        <f>IF($A72="","",INDEX(Каталог!$M$4:$M$500,$A72)&amp;"")</f>
        <v/>
      </c>
      <c r="H72" s="32" t="str">
        <f>IF($A72="","",INDEX(Каталог!$P$4:$P$500,$A72))</f>
        <v/>
      </c>
      <c r="I72" s="5"/>
      <c r="J72" s="5"/>
    </row>
    <row r="73" spans="1:12" x14ac:dyDescent="0.3">
      <c r="A73" s="29" t="str">
        <f>IFERROR(MATCH(ROW()-3,Каталог!$AF$4:$AF$500,0),"")</f>
        <v/>
      </c>
      <c r="B73" s="29" t="str">
        <f t="shared" si="2"/>
        <v/>
      </c>
      <c r="C73" s="30" t="str">
        <f>IF($A73="","",INDEX(Каталог!$G$4:$G$500,$A73)&amp;"")</f>
        <v/>
      </c>
      <c r="D73" s="33"/>
      <c r="E73" s="31" t="str">
        <f>IF($A73="","",INDEX(Каталог!$H$4:$H$500,$A73)&amp;"")</f>
        <v/>
      </c>
      <c r="F73" s="32" t="str">
        <f>IF($A73="","",INDEX(Каталог!$B$4:$B$500,$A73)&amp;"")</f>
        <v/>
      </c>
      <c r="G73" s="32" t="str">
        <f>IF($A73="","",INDEX(Каталог!$M$4:$M$500,$A73)&amp;"")</f>
        <v/>
      </c>
      <c r="H73" s="32" t="str">
        <f>IF($A73="","",INDEX(Каталог!$P$4:$P$500,$A73))</f>
        <v/>
      </c>
      <c r="I73" s="5"/>
      <c r="J73" s="5"/>
    </row>
    <row r="74" spans="1:12" x14ac:dyDescent="0.3">
      <c r="A74" s="29" t="str">
        <f>IFERROR(MATCH(ROW()-3,Каталог!$AF$4:$AF$500,0),"")</f>
        <v/>
      </c>
      <c r="B74" s="29" t="str">
        <f t="shared" si="2"/>
        <v/>
      </c>
      <c r="C74" s="30" t="str">
        <f>IF($A74="","",INDEX(Каталог!$G$4:$G$500,$A74)&amp;"")</f>
        <v/>
      </c>
      <c r="D74" s="33"/>
      <c r="E74" s="31" t="str">
        <f>IF($A74="","",INDEX(Каталог!$H$4:$H$500,$A74)&amp;"")</f>
        <v/>
      </c>
      <c r="F74" s="32" t="str">
        <f>IF($A74="","",INDEX(Каталог!$B$4:$B$500,$A74)&amp;"")</f>
        <v/>
      </c>
      <c r="G74" s="32" t="str">
        <f>IF($A74="","",INDEX(Каталог!$M$4:$M$500,$A74)&amp;"")</f>
        <v/>
      </c>
      <c r="H74" s="32" t="str">
        <f>IF($A74="","",INDEX(Каталог!$P$4:$P$500,$A74))</f>
        <v/>
      </c>
      <c r="I74" s="5"/>
      <c r="J74" s="5"/>
    </row>
    <row r="75" spans="1:12" x14ac:dyDescent="0.3">
      <c r="A75" s="29" t="str">
        <f>IFERROR(MATCH(ROW()-3,Каталог!$AF$4:$AF$500,0),"")</f>
        <v/>
      </c>
      <c r="B75" s="29" t="str">
        <f t="shared" si="2"/>
        <v/>
      </c>
      <c r="C75" s="30" t="str">
        <f>IF($A75="","",INDEX(Каталог!$G$4:$G$500,$A75)&amp;"")</f>
        <v/>
      </c>
      <c r="D75" s="33"/>
      <c r="E75" s="31" t="str">
        <f>IF($A75="","",INDEX(Каталог!$H$4:$H$500,$A75)&amp;"")</f>
        <v/>
      </c>
      <c r="F75" s="32" t="str">
        <f>IF($A75="","",INDEX(Каталог!$B$4:$B$500,$A75)&amp;"")</f>
        <v/>
      </c>
      <c r="G75" s="32" t="str">
        <f>IF($A75="","",INDEX(Каталог!$M$4:$M$500,$A75)&amp;"")</f>
        <v/>
      </c>
      <c r="H75" s="32" t="str">
        <f>IF($A75="","",INDEX(Каталог!$P$4:$P$500,$A75))</f>
        <v/>
      </c>
      <c r="I75" s="5"/>
      <c r="J75" s="5"/>
    </row>
    <row r="76" spans="1:12" x14ac:dyDescent="0.3">
      <c r="A76" s="29" t="str">
        <f>IFERROR(MATCH(ROW()-3,Каталог!$AF$4:$AF$500,0),"")</f>
        <v/>
      </c>
      <c r="B76" s="29" t="str">
        <f t="shared" si="2"/>
        <v/>
      </c>
      <c r="C76" s="30" t="str">
        <f>IF($A76="","",INDEX(Каталог!$G$4:$G$500,$A76)&amp;"")</f>
        <v/>
      </c>
      <c r="D76" s="33"/>
      <c r="E76" s="31" t="str">
        <f>IF($A76="","",INDEX(Каталог!$H$4:$H$500,$A76)&amp;"")</f>
        <v/>
      </c>
      <c r="F76" s="32" t="str">
        <f>IF($A76="","",INDEX(Каталог!$B$4:$B$500,$A76)&amp;"")</f>
        <v/>
      </c>
      <c r="G76" s="32" t="str">
        <f>IF($A76="","",INDEX(Каталог!$M$4:$M$500,$A76)&amp;"")</f>
        <v/>
      </c>
      <c r="H76" s="32" t="str">
        <f>IF($A76="","",INDEX(Каталог!$P$4:$P$500,$A76))</f>
        <v/>
      </c>
      <c r="I76" s="5"/>
      <c r="J76" s="5"/>
    </row>
    <row r="77" spans="1:12" x14ac:dyDescent="0.3">
      <c r="A77" s="29" t="str">
        <f>IFERROR(MATCH(ROW()-3,Каталог!$AF$4:$AF$500,0),"")</f>
        <v/>
      </c>
      <c r="B77" s="29" t="str">
        <f t="shared" si="2"/>
        <v/>
      </c>
      <c r="C77" s="30" t="str">
        <f>IF($A77="","",INDEX(Каталог!$G$4:$G$500,$A77)&amp;"")</f>
        <v/>
      </c>
      <c r="D77" s="33"/>
      <c r="E77" s="31" t="str">
        <f>IF($A77="","",INDEX(Каталог!$H$4:$H$500,$A77)&amp;"")</f>
        <v/>
      </c>
      <c r="F77" s="32" t="str">
        <f>IF($A77="","",INDEX(Каталог!$B$4:$B$500,$A77)&amp;"")</f>
        <v/>
      </c>
      <c r="G77" s="32" t="str">
        <f>IF($A77="","",INDEX(Каталог!$M$4:$M$500,$A77)&amp;"")</f>
        <v/>
      </c>
      <c r="H77" s="32" t="str">
        <f>IF($A77="","",INDEX(Каталог!$P$4:$P$500,$A77))</f>
        <v/>
      </c>
      <c r="I77" s="5"/>
      <c r="J77" s="5"/>
    </row>
    <row r="78" spans="1:12" x14ac:dyDescent="0.3">
      <c r="A78" s="29" t="str">
        <f>IFERROR(MATCH(ROW()-3,Каталог!$AF$4:$AF$500,0),"")</f>
        <v/>
      </c>
      <c r="B78" s="29" t="str">
        <f t="shared" si="2"/>
        <v/>
      </c>
      <c r="C78" s="30" t="str">
        <f>IF($A78="","",INDEX(Каталог!$G$4:$G$500,$A78)&amp;"")</f>
        <v/>
      </c>
      <c r="D78" s="33"/>
      <c r="E78" s="31" t="str">
        <f>IF($A78="","",INDEX(Каталог!$H$4:$H$500,$A78)&amp;"")</f>
        <v/>
      </c>
      <c r="F78" s="32" t="str">
        <f>IF($A78="","",INDEX(Каталог!$B$4:$B$500,$A78)&amp;"")</f>
        <v/>
      </c>
      <c r="G78" s="32" t="str">
        <f>IF($A78="","",INDEX(Каталог!$M$4:$M$500,$A78)&amp;"")</f>
        <v/>
      </c>
      <c r="H78" s="32" t="str">
        <f>IF($A78="","",INDEX(Каталог!$P$4:$P$500,$A78))</f>
        <v/>
      </c>
      <c r="I78" s="5"/>
      <c r="J78" s="5"/>
    </row>
    <row r="79" spans="1:12" x14ac:dyDescent="0.3">
      <c r="A79" s="29" t="str">
        <f>IFERROR(MATCH(ROW()-3,Каталог!$AF$4:$AF$500,0),"")</f>
        <v/>
      </c>
      <c r="B79" s="29" t="str">
        <f t="shared" si="2"/>
        <v/>
      </c>
      <c r="C79" s="30" t="str">
        <f>IF($A79="","",INDEX(Каталог!$G$4:$G$500,$A79)&amp;"")</f>
        <v/>
      </c>
      <c r="D79" s="33"/>
      <c r="E79" s="31" t="str">
        <f>IF($A79="","",INDEX(Каталог!$H$4:$H$500,$A79)&amp;"")</f>
        <v/>
      </c>
      <c r="F79" s="32" t="str">
        <f>IF($A79="","",INDEX(Каталог!$B$4:$B$500,$A79)&amp;"")</f>
        <v/>
      </c>
      <c r="G79" s="32" t="str">
        <f>IF($A79="","",INDEX(Каталог!$M$4:$M$500,$A79)&amp;"")</f>
        <v/>
      </c>
      <c r="H79" s="32" t="str">
        <f>IF($A79="","",INDEX(Каталог!$P$4:$P$500,$A79))</f>
        <v/>
      </c>
      <c r="I79" s="5"/>
      <c r="J79" s="5"/>
    </row>
    <row r="80" spans="1:12" x14ac:dyDescent="0.3">
      <c r="A80" s="29" t="str">
        <f>IFERROR(MATCH(ROW()-3,Каталог!$AF$4:$AF$500,0),"")</f>
        <v/>
      </c>
      <c r="B80" s="29" t="str">
        <f t="shared" si="2"/>
        <v/>
      </c>
      <c r="C80" s="30" t="str">
        <f>IF($A80="","",INDEX(Каталог!$G$4:$G$500,$A80)&amp;"")</f>
        <v/>
      </c>
      <c r="D80" s="33"/>
      <c r="E80" s="31" t="str">
        <f>IF($A80="","",INDEX(Каталог!$H$4:$H$500,$A80)&amp;"")</f>
        <v/>
      </c>
      <c r="F80" s="32" t="str">
        <f>IF($A80="","",INDEX(Каталог!$B$4:$B$500,$A80)&amp;"")</f>
        <v/>
      </c>
      <c r="G80" s="32" t="str">
        <f>IF($A80="","",INDEX(Каталог!$M$4:$M$500,$A80)&amp;"")</f>
        <v/>
      </c>
      <c r="H80" s="32" t="str">
        <f>IF($A80="","",INDEX(Каталог!$P$4:$P$500,$A80))</f>
        <v/>
      </c>
      <c r="I80" s="5"/>
      <c r="J80" s="5"/>
    </row>
    <row r="81" spans="1:10" x14ac:dyDescent="0.3">
      <c r="A81" s="29" t="str">
        <f>IFERROR(MATCH(ROW()-3,Каталог!$AF$4:$AF$500,0),"")</f>
        <v/>
      </c>
      <c r="B81" s="29" t="str">
        <f t="shared" si="2"/>
        <v/>
      </c>
      <c r="C81" s="30" t="str">
        <f>IF($A81="","",INDEX(Каталог!$G$4:$G$500,$A81)&amp;"")</f>
        <v/>
      </c>
      <c r="D81" s="33"/>
      <c r="E81" s="31" t="str">
        <f>IF($A81="","",INDEX(Каталог!$H$4:$H$500,$A81)&amp;"")</f>
        <v/>
      </c>
      <c r="F81" s="32" t="str">
        <f>IF($A81="","",INDEX(Каталог!$B$4:$B$500,$A81)&amp;"")</f>
        <v/>
      </c>
      <c r="G81" s="32" t="str">
        <f>IF($A81="","",INDEX(Каталог!$M$4:$M$500,$A81)&amp;"")</f>
        <v/>
      </c>
      <c r="H81" s="32" t="str">
        <f>IF($A81="","",INDEX(Каталог!$P$4:$P$500,$A81))</f>
        <v/>
      </c>
      <c r="I81" s="5"/>
      <c r="J81" s="5"/>
    </row>
    <row r="82" spans="1:10" x14ac:dyDescent="0.3">
      <c r="A82" s="29" t="str">
        <f>IFERROR(MATCH(ROW()-3,Каталог!$AF$4:$AF$500,0),"")</f>
        <v/>
      </c>
      <c r="B82" s="29" t="str">
        <f t="shared" si="2"/>
        <v/>
      </c>
      <c r="C82" s="30" t="str">
        <f>IF($A82="","",INDEX(Каталог!$G$4:$G$500,$A82)&amp;"")</f>
        <v/>
      </c>
      <c r="D82" s="33"/>
      <c r="E82" s="31" t="str">
        <f>IF($A82="","",INDEX(Каталог!$H$4:$H$500,$A82)&amp;"")</f>
        <v/>
      </c>
      <c r="F82" s="32" t="str">
        <f>IF($A82="","",INDEX(Каталог!$B$4:$B$500,$A82)&amp;"")</f>
        <v/>
      </c>
      <c r="G82" s="32" t="str">
        <f>IF($A82="","",INDEX(Каталог!$M$4:$M$500,$A82)&amp;"")</f>
        <v/>
      </c>
      <c r="H82" s="32" t="str">
        <f>IF($A82="","",INDEX(Каталог!$P$4:$P$500,$A82))</f>
        <v/>
      </c>
      <c r="I82" s="5"/>
      <c r="J82" s="5"/>
    </row>
    <row r="83" spans="1:10" x14ac:dyDescent="0.3">
      <c r="A83" s="29" t="str">
        <f>IFERROR(MATCH(ROW()-3,Каталог!$AF$4:$AF$500,0),"")</f>
        <v/>
      </c>
      <c r="B83" s="29" t="str">
        <f t="shared" si="2"/>
        <v/>
      </c>
      <c r="C83" s="30" t="str">
        <f>IF($A83="","",INDEX(Каталог!$G$4:$G$500,$A83)&amp;"")</f>
        <v/>
      </c>
      <c r="D83" s="33"/>
      <c r="E83" s="31" t="str">
        <f>IF($A83="","",INDEX(Каталог!$H$4:$H$500,$A83)&amp;"")</f>
        <v/>
      </c>
      <c r="F83" s="32" t="str">
        <f>IF($A83="","",INDEX(Каталог!$B$4:$B$500,$A83)&amp;"")</f>
        <v/>
      </c>
      <c r="G83" s="32" t="str">
        <f>IF($A83="","",INDEX(Каталог!$M$4:$M$500,$A83)&amp;"")</f>
        <v/>
      </c>
      <c r="H83" s="32" t="str">
        <f>IF($A83="","",INDEX(Каталог!$P$4:$P$500,$A83))</f>
        <v/>
      </c>
      <c r="I83" s="5"/>
      <c r="J83" s="5"/>
    </row>
    <row r="84" spans="1:10" x14ac:dyDescent="0.3">
      <c r="A84" s="29" t="str">
        <f>IFERROR(MATCH(ROW()-3,Каталог!$AF$4:$AF$500,0),"")</f>
        <v/>
      </c>
      <c r="B84" s="29" t="str">
        <f t="shared" si="2"/>
        <v/>
      </c>
      <c r="C84" s="30" t="str">
        <f>IF($A84="","",INDEX(Каталог!$G$4:$G$500,$A84)&amp;"")</f>
        <v/>
      </c>
      <c r="D84" s="33"/>
      <c r="E84" s="31" t="str">
        <f>IF($A84="","",INDEX(Каталог!$H$4:$H$500,$A84)&amp;"")</f>
        <v/>
      </c>
      <c r="F84" s="32" t="str">
        <f>IF($A84="","",INDEX(Каталог!$B$4:$B$500,$A84)&amp;"")</f>
        <v/>
      </c>
      <c r="G84" s="32" t="str">
        <f>IF($A84="","",INDEX(Каталог!$M$4:$M$500,$A84)&amp;"")</f>
        <v/>
      </c>
      <c r="H84" s="32" t="str">
        <f>IF($A84="","",INDEX(Каталог!$P$4:$P$500,$A84))</f>
        <v/>
      </c>
      <c r="I84" s="5"/>
      <c r="J84" s="5"/>
    </row>
    <row r="85" spans="1:10" x14ac:dyDescent="0.3">
      <c r="A85" s="29" t="str">
        <f>IFERROR(MATCH(ROW()-3,Каталог!$AF$4:$AF$500,0),"")</f>
        <v/>
      </c>
      <c r="B85" s="29" t="str">
        <f t="shared" si="2"/>
        <v/>
      </c>
      <c r="C85" s="30" t="str">
        <f>IF($A85="","",INDEX(Каталог!$G$4:$G$500,$A85)&amp;"")</f>
        <v/>
      </c>
      <c r="D85" s="33"/>
      <c r="E85" s="31" t="str">
        <f>IF($A85="","",INDEX(Каталог!$H$4:$H$500,$A85)&amp;"")</f>
        <v/>
      </c>
      <c r="F85" s="32" t="str">
        <f>IF($A85="","",INDEX(Каталог!$B$4:$B$500,$A85)&amp;"")</f>
        <v/>
      </c>
      <c r="G85" s="32" t="str">
        <f>IF($A85="","",INDEX(Каталог!$M$4:$M$500,$A85)&amp;"")</f>
        <v/>
      </c>
      <c r="H85" s="32" t="str">
        <f>IF($A85="","",INDEX(Каталог!$P$4:$P$500,$A85))</f>
        <v/>
      </c>
      <c r="I85" s="5"/>
      <c r="J85" s="5"/>
    </row>
    <row r="86" spans="1:10" x14ac:dyDescent="0.3">
      <c r="A86" s="29" t="str">
        <f>IFERROR(MATCH(ROW()-3,Каталог!$AF$4:$AF$500,0),"")</f>
        <v/>
      </c>
      <c r="B86" s="29" t="str">
        <f t="shared" si="2"/>
        <v/>
      </c>
      <c r="C86" s="30" t="str">
        <f>IF($A86="","",INDEX(Каталог!$G$4:$G$500,$A86)&amp;"")</f>
        <v/>
      </c>
      <c r="D86" s="33"/>
      <c r="E86" s="31" t="str">
        <f>IF($A86="","",INDEX(Каталог!$H$4:$H$500,$A86)&amp;"")</f>
        <v/>
      </c>
      <c r="F86" s="32" t="str">
        <f>IF($A86="","",INDEX(Каталог!$B$4:$B$500,$A86)&amp;"")</f>
        <v/>
      </c>
      <c r="G86" s="32" t="str">
        <f>IF($A86="","",INDEX(Каталог!$M$4:$M$500,$A86)&amp;"")</f>
        <v/>
      </c>
      <c r="H86" s="32" t="str">
        <f>IF($A86="","",INDEX(Каталог!$P$4:$P$500,$A86))</f>
        <v/>
      </c>
      <c r="I86" s="5"/>
      <c r="J86" s="5"/>
    </row>
    <row r="87" spans="1:10" x14ac:dyDescent="0.3">
      <c r="A87" s="29" t="str">
        <f>IFERROR(MATCH(ROW()-3,Каталог!$AF$4:$AF$500,0),"")</f>
        <v/>
      </c>
      <c r="B87" s="29" t="str">
        <f t="shared" si="2"/>
        <v/>
      </c>
      <c r="C87" s="30" t="str">
        <f>IF($A87="","",INDEX(Каталог!$G$4:$G$500,$A87)&amp;"")</f>
        <v/>
      </c>
      <c r="D87" s="33"/>
      <c r="E87" s="31" t="str">
        <f>IF($A87="","",INDEX(Каталог!$H$4:$H$500,$A87)&amp;"")</f>
        <v/>
      </c>
      <c r="F87" s="32" t="str">
        <f>IF($A87="","",INDEX(Каталог!$B$4:$B$500,$A87)&amp;"")</f>
        <v/>
      </c>
      <c r="G87" s="32" t="str">
        <f>IF($A87="","",INDEX(Каталог!$M$4:$M$500,$A87)&amp;"")</f>
        <v/>
      </c>
      <c r="H87" s="32" t="str">
        <f>IF($A87="","",INDEX(Каталог!$P$4:$P$500,$A87))</f>
        <v/>
      </c>
      <c r="I87" s="5"/>
      <c r="J87" s="5"/>
    </row>
    <row r="88" spans="1:10" x14ac:dyDescent="0.3">
      <c r="A88" s="29" t="str">
        <f>IFERROR(MATCH(ROW()-3,Каталог!$AF$4:$AF$500,0),"")</f>
        <v/>
      </c>
      <c r="B88" s="29" t="str">
        <f t="shared" si="2"/>
        <v/>
      </c>
      <c r="C88" s="30" t="str">
        <f>IF($A88="","",INDEX(Каталог!$G$4:$G$500,$A88)&amp;"")</f>
        <v/>
      </c>
      <c r="D88" s="33"/>
      <c r="E88" s="31" t="str">
        <f>IF($A88="","",INDEX(Каталог!$H$4:$H$500,$A88)&amp;"")</f>
        <v/>
      </c>
      <c r="F88" s="32" t="str">
        <f>IF($A88="","",INDEX(Каталог!$B$4:$B$500,$A88)&amp;"")</f>
        <v/>
      </c>
      <c r="G88" s="32" t="str">
        <f>IF($A88="","",INDEX(Каталог!$M$4:$M$500,$A88)&amp;"")</f>
        <v/>
      </c>
      <c r="H88" s="32" t="str">
        <f>IF($A88="","",INDEX(Каталог!$P$4:$P$500,$A88))</f>
        <v/>
      </c>
      <c r="I88" s="5"/>
      <c r="J88" s="5"/>
    </row>
    <row r="89" spans="1:10" x14ac:dyDescent="0.3">
      <c r="A89" s="29" t="str">
        <f>IFERROR(MATCH(ROW()-3,Каталог!$AF$4:$AF$500,0),"")</f>
        <v/>
      </c>
      <c r="B89" s="29" t="str">
        <f t="shared" si="2"/>
        <v/>
      </c>
      <c r="C89" s="30" t="str">
        <f>IF($A89="","",INDEX(Каталог!$G$4:$G$500,$A89)&amp;"")</f>
        <v/>
      </c>
      <c r="D89" s="33"/>
      <c r="E89" s="31" t="str">
        <f>IF($A89="","",INDEX(Каталог!$H$4:$H$500,$A89)&amp;"")</f>
        <v/>
      </c>
      <c r="F89" s="32" t="str">
        <f>IF($A89="","",INDEX(Каталог!$B$4:$B$500,$A89)&amp;"")</f>
        <v/>
      </c>
      <c r="G89" s="32" t="str">
        <f>IF($A89="","",INDEX(Каталог!$M$4:$M$500,$A89)&amp;"")</f>
        <v/>
      </c>
      <c r="H89" s="32" t="str">
        <f>IF($A89="","",INDEX(Каталог!$P$4:$P$500,$A89))</f>
        <v/>
      </c>
      <c r="I89" s="5"/>
      <c r="J89" s="5"/>
    </row>
    <row r="90" spans="1:10" x14ac:dyDescent="0.3">
      <c r="A90" s="29" t="str">
        <f>IFERROR(MATCH(ROW()-3,Каталог!$AF$4:$AF$500,0),"")</f>
        <v/>
      </c>
      <c r="B90" s="29" t="str">
        <f t="shared" si="2"/>
        <v/>
      </c>
      <c r="C90" s="30" t="str">
        <f>IF($A90="","",INDEX(Каталог!$G$4:$G$500,$A90)&amp;"")</f>
        <v/>
      </c>
      <c r="D90" s="33"/>
      <c r="E90" s="31" t="str">
        <f>IF($A90="","",INDEX(Каталог!$H$4:$H$500,$A90)&amp;"")</f>
        <v/>
      </c>
      <c r="F90" s="32" t="str">
        <f>IF($A90="","",INDEX(Каталог!$B$4:$B$500,$A90)&amp;"")</f>
        <v/>
      </c>
      <c r="G90" s="32" t="str">
        <f>IF($A90="","",INDEX(Каталог!$M$4:$M$500,$A90)&amp;"")</f>
        <v/>
      </c>
      <c r="H90" s="32" t="str">
        <f>IF($A90="","",INDEX(Каталог!$P$4:$P$500,$A90))</f>
        <v/>
      </c>
      <c r="I90" s="5"/>
      <c r="J90" s="5"/>
    </row>
    <row r="91" spans="1:10" x14ac:dyDescent="0.3">
      <c r="A91" s="29" t="str">
        <f>IFERROR(MATCH(ROW()-3,Каталог!$AF$4:$AF$500,0),"")</f>
        <v/>
      </c>
      <c r="B91" s="29" t="str">
        <f t="shared" si="2"/>
        <v/>
      </c>
      <c r="C91" s="30" t="str">
        <f>IF($A91="","",INDEX(Каталог!$G$4:$G$500,$A91)&amp;"")</f>
        <v/>
      </c>
      <c r="D91" s="33"/>
      <c r="E91" s="31" t="str">
        <f>IF($A91="","",INDEX(Каталог!$H$4:$H$500,$A91)&amp;"")</f>
        <v/>
      </c>
      <c r="F91" s="32" t="str">
        <f>IF($A91="","",INDEX(Каталог!$B$4:$B$500,$A91)&amp;"")</f>
        <v/>
      </c>
      <c r="G91" s="32" t="str">
        <f>IF($A91="","",INDEX(Каталог!$M$4:$M$500,$A91)&amp;"")</f>
        <v/>
      </c>
      <c r="H91" s="32" t="str">
        <f>IF($A91="","",INDEX(Каталог!$P$4:$P$500,$A91))</f>
        <v/>
      </c>
      <c r="I91" s="5"/>
      <c r="J91" s="5"/>
    </row>
    <row r="92" spans="1:10" x14ac:dyDescent="0.3">
      <c r="A92" s="29" t="str">
        <f>IFERROR(MATCH(ROW()-3,Каталог!$AF$4:$AF$500,0),"")</f>
        <v/>
      </c>
      <c r="B92" s="29" t="str">
        <f t="shared" si="2"/>
        <v/>
      </c>
      <c r="C92" s="30" t="str">
        <f>IF($A92="","",INDEX(Каталог!$G$4:$G$500,$A92)&amp;"")</f>
        <v/>
      </c>
      <c r="D92" s="33"/>
      <c r="E92" s="31" t="str">
        <f>IF($A92="","",INDEX(Каталог!$H$4:$H$500,$A92)&amp;"")</f>
        <v/>
      </c>
      <c r="F92" s="32" t="str">
        <f>IF($A92="","",INDEX(Каталог!$B$4:$B$500,$A92)&amp;"")</f>
        <v/>
      </c>
      <c r="G92" s="32" t="str">
        <f>IF($A92="","",INDEX(Каталог!$M$4:$M$500,$A92)&amp;"")</f>
        <v/>
      </c>
      <c r="H92" s="32" t="str">
        <f>IF($A92="","",INDEX(Каталог!$P$4:$P$500,$A92))</f>
        <v/>
      </c>
      <c r="I92" s="5"/>
      <c r="J92" s="5"/>
    </row>
    <row r="93" spans="1:10" x14ac:dyDescent="0.3">
      <c r="A93" s="29" t="str">
        <f>IFERROR(MATCH(ROW()-3,Каталог!$AF$4:$AF$500,0),"")</f>
        <v/>
      </c>
      <c r="B93" s="29" t="str">
        <f t="shared" si="2"/>
        <v/>
      </c>
      <c r="C93" s="30" t="str">
        <f>IF($A93="","",INDEX(Каталог!$G$4:$G$500,$A93)&amp;"")</f>
        <v/>
      </c>
      <c r="D93" s="33"/>
      <c r="E93" s="31" t="str">
        <f>IF($A93="","",INDEX(Каталог!$H$4:$H$500,$A93)&amp;"")</f>
        <v/>
      </c>
      <c r="F93" s="32" t="str">
        <f>IF($A93="","",INDEX(Каталог!$B$4:$B$500,$A93)&amp;"")</f>
        <v/>
      </c>
      <c r="G93" s="32" t="str">
        <f>IF($A93="","",INDEX(Каталог!$M$4:$M$500,$A93)&amp;"")</f>
        <v/>
      </c>
      <c r="H93" s="32" t="str">
        <f>IF($A93="","",INDEX(Каталог!$P$4:$P$500,$A93))</f>
        <v/>
      </c>
      <c r="I93" s="5"/>
      <c r="J93" s="5"/>
    </row>
    <row r="94" spans="1:10" x14ac:dyDescent="0.3">
      <c r="A94" s="29" t="str">
        <f>IFERROR(MATCH(ROW()-3,Каталог!$AF$4:$AF$500,0),"")</f>
        <v/>
      </c>
      <c r="B94" s="29" t="str">
        <f t="shared" si="2"/>
        <v/>
      </c>
      <c r="C94" s="30" t="str">
        <f>IF($A94="","",INDEX(Каталог!$G$4:$G$500,$A94)&amp;"")</f>
        <v/>
      </c>
      <c r="D94" s="33"/>
      <c r="E94" s="31" t="str">
        <f>IF($A94="","",INDEX(Каталог!$H$4:$H$500,$A94)&amp;"")</f>
        <v/>
      </c>
      <c r="F94" s="32" t="str">
        <f>IF($A94="","",INDEX(Каталог!$B$4:$B$500,$A94)&amp;"")</f>
        <v/>
      </c>
      <c r="G94" s="32" t="str">
        <f>IF($A94="","",INDEX(Каталог!$M$4:$M$500,$A94)&amp;"")</f>
        <v/>
      </c>
      <c r="H94" s="32" t="str">
        <f>IF($A94="","",INDEX(Каталог!$P$4:$P$500,$A94))</f>
        <v/>
      </c>
      <c r="I94" s="5"/>
      <c r="J94" s="5"/>
    </row>
    <row r="95" spans="1:10" x14ac:dyDescent="0.3">
      <c r="A95" s="29" t="str">
        <f>IFERROR(MATCH(ROW()-3,Каталог!$AF$4:$AF$500,0),"")</f>
        <v/>
      </c>
      <c r="B95" s="29" t="str">
        <f t="shared" si="2"/>
        <v/>
      </c>
      <c r="C95" s="30" t="str">
        <f>IF($A95="","",INDEX(Каталог!$G$4:$G$500,$A95)&amp;"")</f>
        <v/>
      </c>
      <c r="D95" s="33"/>
      <c r="E95" s="31" t="str">
        <f>IF($A95="","",INDEX(Каталог!$H$4:$H$500,$A95)&amp;"")</f>
        <v/>
      </c>
      <c r="F95" s="32" t="str">
        <f>IF($A95="","",INDEX(Каталог!$B$4:$B$500,$A95)&amp;"")</f>
        <v/>
      </c>
      <c r="G95" s="32" t="str">
        <f>IF($A95="","",INDEX(Каталог!$M$4:$M$500,$A95)&amp;"")</f>
        <v/>
      </c>
      <c r="H95" s="32" t="str">
        <f>IF($A95="","",INDEX(Каталог!$P$4:$P$500,$A95))</f>
        <v/>
      </c>
      <c r="I95" s="5"/>
      <c r="J95" s="5"/>
    </row>
    <row r="96" spans="1:10" x14ac:dyDescent="0.3">
      <c r="A96" s="29" t="str">
        <f>IFERROR(MATCH(ROW()-3,Каталог!$AF$4:$AF$500,0),"")</f>
        <v/>
      </c>
      <c r="B96" s="29" t="str">
        <f t="shared" si="2"/>
        <v/>
      </c>
      <c r="C96" s="30" t="str">
        <f>IF($A96="","",INDEX(Каталог!$G$4:$G$500,$A96)&amp;"")</f>
        <v/>
      </c>
      <c r="D96" s="33"/>
      <c r="E96" s="31" t="str">
        <f>IF($A96="","",INDEX(Каталог!$H$4:$H$500,$A96)&amp;"")</f>
        <v/>
      </c>
      <c r="F96" s="32" t="str">
        <f>IF($A96="","",INDEX(Каталог!$B$4:$B$500,$A96)&amp;"")</f>
        <v/>
      </c>
      <c r="G96" s="32" t="str">
        <f>IF($A96="","",INDEX(Каталог!$M$4:$M$500,$A96)&amp;"")</f>
        <v/>
      </c>
      <c r="H96" s="32" t="str">
        <f>IF($A96="","",INDEX(Каталог!$P$4:$P$500,$A96))</f>
        <v/>
      </c>
      <c r="I96" s="5"/>
      <c r="J96" s="5"/>
    </row>
    <row r="97" spans="1:10" x14ac:dyDescent="0.3">
      <c r="A97" s="29" t="str">
        <f>IFERROR(MATCH(ROW()-3,Каталог!$AF$4:$AF$500,0),"")</f>
        <v/>
      </c>
      <c r="B97" s="29" t="str">
        <f t="shared" si="2"/>
        <v/>
      </c>
      <c r="C97" s="30" t="str">
        <f>IF($A97="","",INDEX(Каталог!$G$4:$G$500,$A97)&amp;"")</f>
        <v/>
      </c>
      <c r="D97" s="33"/>
      <c r="E97" s="31" t="str">
        <f>IF($A97="","",INDEX(Каталог!$H$4:$H$500,$A97)&amp;"")</f>
        <v/>
      </c>
      <c r="F97" s="32" t="str">
        <f>IF($A97="","",INDEX(Каталог!$B$4:$B$500,$A97)&amp;"")</f>
        <v/>
      </c>
      <c r="G97" s="32" t="str">
        <f>IF($A97="","",INDEX(Каталог!$M$4:$M$500,$A97)&amp;"")</f>
        <v/>
      </c>
      <c r="H97" s="32" t="str">
        <f>IF($A97="","",INDEX(Каталог!$P$4:$P$500,$A97))</f>
        <v/>
      </c>
      <c r="I97" s="5"/>
      <c r="J97" s="5"/>
    </row>
    <row r="98" spans="1:10" x14ac:dyDescent="0.3">
      <c r="A98" s="29" t="str">
        <f>IFERROR(MATCH(ROW()-3,Каталог!$AF$4:$AF$500,0),"")</f>
        <v/>
      </c>
      <c r="B98" s="29" t="str">
        <f t="shared" si="2"/>
        <v/>
      </c>
      <c r="C98" s="30" t="str">
        <f>IF($A98="","",INDEX(Каталог!$G$4:$G$500,$A98)&amp;"")</f>
        <v/>
      </c>
      <c r="D98" s="33"/>
      <c r="E98" s="31" t="str">
        <f>IF($A98="","",INDEX(Каталог!$H$4:$H$500,$A98)&amp;"")</f>
        <v/>
      </c>
      <c r="F98" s="32" t="str">
        <f>IF($A98="","",INDEX(Каталог!$B$4:$B$500,$A98)&amp;"")</f>
        <v/>
      </c>
      <c r="G98" s="32" t="str">
        <f>IF($A98="","",INDEX(Каталог!$M$4:$M$500,$A98)&amp;"")</f>
        <v/>
      </c>
      <c r="H98" s="32" t="str">
        <f>IF($A98="","",INDEX(Каталог!$P$4:$P$500,$A98))</f>
        <v/>
      </c>
      <c r="I98" s="5"/>
      <c r="J98" s="5"/>
    </row>
    <row r="99" spans="1:10" x14ac:dyDescent="0.3">
      <c r="A99" s="29" t="str">
        <f>IFERROR(MATCH(ROW()-3,Каталог!$AF$4:$AF$500,0),"")</f>
        <v/>
      </c>
      <c r="B99" s="29" t="str">
        <f t="shared" si="2"/>
        <v/>
      </c>
      <c r="C99" s="30" t="str">
        <f>IF($A99="","",INDEX(Каталог!$G$4:$G$500,$A99)&amp;"")</f>
        <v/>
      </c>
      <c r="D99" s="33"/>
      <c r="E99" s="31" t="str">
        <f>IF($A99="","",INDEX(Каталог!$H$4:$H$500,$A99)&amp;"")</f>
        <v/>
      </c>
      <c r="F99" s="32" t="str">
        <f>IF($A99="","",INDEX(Каталог!$B$4:$B$500,$A99)&amp;"")</f>
        <v/>
      </c>
      <c r="G99" s="32" t="str">
        <f>IF($A99="","",INDEX(Каталог!$M$4:$M$500,$A99)&amp;"")</f>
        <v/>
      </c>
      <c r="H99" s="32" t="str">
        <f>IF($A99="","",INDEX(Каталог!$P$4:$P$500,$A99))</f>
        <v/>
      </c>
      <c r="I99" s="5"/>
      <c r="J99" s="5"/>
    </row>
    <row r="100" spans="1:10" x14ac:dyDescent="0.3">
      <c r="A100" s="29" t="str">
        <f>IFERROR(MATCH(ROW()-3,Каталог!$AF$4:$AF$500,0),"")</f>
        <v/>
      </c>
      <c r="B100" s="29" t="str">
        <f t="shared" ref="B100:B131" si="3">IF($A100="","",$B$3&amp;"."&amp;(ROW()-3))</f>
        <v/>
      </c>
      <c r="C100" s="30" t="str">
        <f>IF($A100="","",INDEX(Каталог!$G$4:$G$500,$A100)&amp;"")</f>
        <v/>
      </c>
      <c r="D100" s="33"/>
      <c r="E100" s="31" t="str">
        <f>IF($A100="","",INDEX(Каталог!$H$4:$H$500,$A100)&amp;"")</f>
        <v/>
      </c>
      <c r="F100" s="32" t="str">
        <f>IF($A100="","",INDEX(Каталог!$B$4:$B$500,$A100)&amp;"")</f>
        <v/>
      </c>
      <c r="G100" s="32" t="str">
        <f>IF($A100="","",INDEX(Каталог!$M$4:$M$500,$A100)&amp;"")</f>
        <v/>
      </c>
      <c r="H100" s="32" t="str">
        <f>IF($A100="","",INDEX(Каталог!$P$4:$P$500,$A100))</f>
        <v/>
      </c>
      <c r="I100" s="5"/>
      <c r="J100" s="5"/>
    </row>
    <row r="101" spans="1:10" x14ac:dyDescent="0.3">
      <c r="A101" s="29" t="str">
        <f>IFERROR(MATCH(ROW()-3,Каталог!$AF$4:$AF$500,0),"")</f>
        <v/>
      </c>
      <c r="B101" s="29" t="str">
        <f t="shared" si="3"/>
        <v/>
      </c>
      <c r="C101" s="30" t="str">
        <f>IF($A101="","",INDEX(Каталог!$G$4:$G$500,$A101)&amp;"")</f>
        <v/>
      </c>
      <c r="D101" s="33"/>
      <c r="E101" s="31" t="str">
        <f>IF($A101="","",INDEX(Каталог!$H$4:$H$500,$A101)&amp;"")</f>
        <v/>
      </c>
      <c r="F101" s="32" t="str">
        <f>IF($A101="","",INDEX(Каталог!$B$4:$B$500,$A101)&amp;"")</f>
        <v/>
      </c>
      <c r="G101" s="32" t="str">
        <f>IF($A101="","",INDEX(Каталог!$M$4:$M$500,$A101)&amp;"")</f>
        <v/>
      </c>
      <c r="H101" s="32" t="str">
        <f>IF($A101="","",INDEX(Каталог!$P$4:$P$500,$A101))</f>
        <v/>
      </c>
      <c r="I101" s="5"/>
      <c r="J101" s="5"/>
    </row>
    <row r="102" spans="1:10" x14ac:dyDescent="0.3">
      <c r="A102" s="29" t="str">
        <f>IFERROR(MATCH(ROW()-3,Каталог!$AF$4:$AF$500,0),"")</f>
        <v/>
      </c>
      <c r="B102" s="29" t="str">
        <f t="shared" si="3"/>
        <v/>
      </c>
      <c r="C102" s="30" t="str">
        <f>IF($A102="","",INDEX(Каталог!$G$4:$G$500,$A102)&amp;"")</f>
        <v/>
      </c>
      <c r="D102" s="33"/>
      <c r="E102" s="31" t="str">
        <f>IF($A102="","",INDEX(Каталог!$H$4:$H$500,$A102)&amp;"")</f>
        <v/>
      </c>
      <c r="F102" s="32" t="str">
        <f>IF($A102="","",INDEX(Каталог!$B$4:$B$500,$A102)&amp;"")</f>
        <v/>
      </c>
      <c r="G102" s="32" t="str">
        <f>IF($A102="","",INDEX(Каталог!$M$4:$M$500,$A102)&amp;"")</f>
        <v/>
      </c>
      <c r="H102" s="32" t="str">
        <f>IF($A102="","",INDEX(Каталог!$P$4:$P$500,$A102))</f>
        <v/>
      </c>
      <c r="I102" s="5"/>
      <c r="J102" s="5"/>
    </row>
    <row r="103" spans="1:10" x14ac:dyDescent="0.3">
      <c r="A103" s="29" t="str">
        <f>IFERROR(MATCH(ROW()-3,Каталог!$AF$4:$AF$500,0),"")</f>
        <v/>
      </c>
      <c r="B103" s="29" t="str">
        <f t="shared" si="3"/>
        <v/>
      </c>
      <c r="C103" s="30" t="str">
        <f>IF($A103="","",INDEX(Каталог!$G$4:$G$500,$A103)&amp;"")</f>
        <v/>
      </c>
      <c r="D103" s="33"/>
      <c r="E103" s="31" t="str">
        <f>IF($A103="","",INDEX(Каталог!$H$4:$H$500,$A103)&amp;"")</f>
        <v/>
      </c>
      <c r="F103" s="32" t="str">
        <f>IF($A103="","",INDEX(Каталог!$B$4:$B$500,$A103)&amp;"")</f>
        <v/>
      </c>
      <c r="G103" s="32" t="str">
        <f>IF($A103="","",INDEX(Каталог!$M$4:$M$500,$A103)&amp;"")</f>
        <v/>
      </c>
      <c r="H103" s="32" t="str">
        <f>IF($A103="","",INDEX(Каталог!$P$4:$P$500,$A103))</f>
        <v/>
      </c>
      <c r="I103" s="5"/>
      <c r="J103" s="5"/>
    </row>
    <row r="104" spans="1:10" x14ac:dyDescent="0.3">
      <c r="A104" s="29" t="str">
        <f>IFERROR(MATCH(ROW()-3,Каталог!$AF$4:$AF$500,0),"")</f>
        <v/>
      </c>
      <c r="B104" s="29" t="str">
        <f t="shared" si="3"/>
        <v/>
      </c>
      <c r="C104" s="30" t="str">
        <f>IF($A104="","",INDEX(Каталог!$G$4:$G$500,$A104)&amp;"")</f>
        <v/>
      </c>
      <c r="D104" s="33"/>
      <c r="E104" s="31" t="str">
        <f>IF($A104="","",INDEX(Каталог!$H$4:$H$500,$A104)&amp;"")</f>
        <v/>
      </c>
      <c r="F104" s="32" t="str">
        <f>IF($A104="","",INDEX(Каталог!$B$4:$B$500,$A104)&amp;"")</f>
        <v/>
      </c>
      <c r="G104" s="32" t="str">
        <f>IF($A104="","",INDEX(Каталог!$M$4:$M$500,$A104)&amp;"")</f>
        <v/>
      </c>
      <c r="H104" s="32" t="str">
        <f>IF($A104="","",INDEX(Каталог!$P$4:$P$500,$A104))</f>
        <v/>
      </c>
      <c r="I104" s="5"/>
      <c r="J104" s="5"/>
    </row>
    <row r="105" spans="1:10" x14ac:dyDescent="0.3">
      <c r="A105" s="29" t="str">
        <f>IFERROR(MATCH(ROW()-3,Каталог!$AF$4:$AF$500,0),"")</f>
        <v/>
      </c>
      <c r="B105" s="29" t="str">
        <f t="shared" si="3"/>
        <v/>
      </c>
      <c r="C105" s="30" t="str">
        <f>IF($A105="","",INDEX(Каталог!$G$4:$G$500,$A105)&amp;"")</f>
        <v/>
      </c>
      <c r="D105" s="33"/>
      <c r="E105" s="31" t="str">
        <f>IF($A105="","",INDEX(Каталог!$H$4:$H$500,$A105)&amp;"")</f>
        <v/>
      </c>
      <c r="F105" s="32" t="str">
        <f>IF($A105="","",INDEX(Каталог!$B$4:$B$500,$A105)&amp;"")</f>
        <v/>
      </c>
      <c r="G105" s="32" t="str">
        <f>IF($A105="","",INDEX(Каталог!$M$4:$M$500,$A105)&amp;"")</f>
        <v/>
      </c>
      <c r="H105" s="32" t="str">
        <f>IF($A105="","",INDEX(Каталог!$P$4:$P$500,$A105))</f>
        <v/>
      </c>
      <c r="I105" s="5"/>
      <c r="J105" s="5"/>
    </row>
    <row r="106" spans="1:10" x14ac:dyDescent="0.3">
      <c r="A106" s="29" t="str">
        <f>IFERROR(MATCH(ROW()-3,Каталог!$AF$4:$AF$500,0),"")</f>
        <v/>
      </c>
      <c r="B106" s="29" t="str">
        <f t="shared" si="3"/>
        <v/>
      </c>
      <c r="C106" s="30" t="str">
        <f>IF($A106="","",INDEX(Каталог!$G$4:$G$500,$A106)&amp;"")</f>
        <v/>
      </c>
      <c r="D106" s="33"/>
      <c r="E106" s="31" t="str">
        <f>IF($A106="","",INDEX(Каталог!$H$4:$H$500,$A106)&amp;"")</f>
        <v/>
      </c>
      <c r="F106" s="32" t="str">
        <f>IF($A106="","",INDEX(Каталог!$B$4:$B$500,$A106)&amp;"")</f>
        <v/>
      </c>
      <c r="G106" s="32" t="str">
        <f>IF($A106="","",INDEX(Каталог!$M$4:$M$500,$A106)&amp;"")</f>
        <v/>
      </c>
      <c r="H106" s="32" t="str">
        <f>IF($A106="","",INDEX(Каталог!$P$4:$P$500,$A106))</f>
        <v/>
      </c>
      <c r="I106" s="5"/>
      <c r="J106" s="5"/>
    </row>
    <row r="107" spans="1:10" x14ac:dyDescent="0.3">
      <c r="A107" s="29" t="str">
        <f>IFERROR(MATCH(ROW()-3,Каталог!$AF$4:$AF$500,0),"")</f>
        <v/>
      </c>
      <c r="B107" s="29" t="str">
        <f t="shared" si="3"/>
        <v/>
      </c>
      <c r="C107" s="30" t="str">
        <f>IF($A107="","",INDEX(Каталог!$G$4:$G$500,$A107)&amp;"")</f>
        <v/>
      </c>
      <c r="D107" s="33"/>
      <c r="E107" s="31" t="str">
        <f>IF($A107="","",INDEX(Каталог!$H$4:$H$500,$A107)&amp;"")</f>
        <v/>
      </c>
      <c r="F107" s="32" t="str">
        <f>IF($A107="","",INDEX(Каталог!$B$4:$B$500,$A107)&amp;"")</f>
        <v/>
      </c>
      <c r="G107" s="32" t="str">
        <f>IF($A107="","",INDEX(Каталог!$M$4:$M$500,$A107)&amp;"")</f>
        <v/>
      </c>
      <c r="H107" s="32" t="str">
        <f>IF($A107="","",INDEX(Каталог!$P$4:$P$500,$A107))</f>
        <v/>
      </c>
      <c r="I107" s="5"/>
      <c r="J107" s="5"/>
    </row>
    <row r="108" spans="1:10" x14ac:dyDescent="0.3">
      <c r="A108" s="29" t="str">
        <f>IFERROR(MATCH(ROW()-3,Каталог!$AF$4:$AF$500,0),"")</f>
        <v/>
      </c>
      <c r="B108" s="29" t="str">
        <f t="shared" si="3"/>
        <v/>
      </c>
      <c r="C108" s="30" t="str">
        <f>IF($A108="","",INDEX(Каталог!$G$4:$G$500,$A108)&amp;"")</f>
        <v/>
      </c>
      <c r="D108" s="33"/>
      <c r="E108" s="31" t="str">
        <f>IF($A108="","",INDEX(Каталог!$H$4:$H$500,$A108)&amp;"")</f>
        <v/>
      </c>
      <c r="F108" s="32" t="str">
        <f>IF($A108="","",INDEX(Каталог!$B$4:$B$500,$A108)&amp;"")</f>
        <v/>
      </c>
      <c r="G108" s="32" t="str">
        <f>IF($A108="","",INDEX(Каталог!$M$4:$M$500,$A108)&amp;"")</f>
        <v/>
      </c>
      <c r="H108" s="32" t="str">
        <f>IF($A108="","",INDEX(Каталог!$P$4:$P$500,$A108))</f>
        <v/>
      </c>
      <c r="I108" s="5"/>
      <c r="J108" s="5"/>
    </row>
    <row r="109" spans="1:10" x14ac:dyDescent="0.3">
      <c r="A109" s="29" t="str">
        <f>IFERROR(MATCH(ROW()-3,Каталог!$AF$4:$AF$500,0),"")</f>
        <v/>
      </c>
      <c r="B109" s="29" t="str">
        <f t="shared" si="3"/>
        <v/>
      </c>
      <c r="C109" s="30" t="str">
        <f>IF($A109="","",INDEX(Каталог!$G$4:$G$500,$A109)&amp;"")</f>
        <v/>
      </c>
      <c r="D109" s="33"/>
      <c r="E109" s="31" t="str">
        <f>IF($A109="","",INDEX(Каталог!$H$4:$H$500,$A109)&amp;"")</f>
        <v/>
      </c>
      <c r="F109" s="32" t="str">
        <f>IF($A109="","",INDEX(Каталог!$B$4:$B$500,$A109)&amp;"")</f>
        <v/>
      </c>
      <c r="G109" s="32" t="str">
        <f>IF($A109="","",INDEX(Каталог!$M$4:$M$500,$A109)&amp;"")</f>
        <v/>
      </c>
      <c r="H109" s="32" t="str">
        <f>IF($A109="","",INDEX(Каталог!$P$4:$P$500,$A109))</f>
        <v/>
      </c>
      <c r="I109" s="5"/>
      <c r="J109" s="5"/>
    </row>
    <row r="110" spans="1:10" x14ac:dyDescent="0.3">
      <c r="A110" s="29" t="str">
        <f>IFERROR(MATCH(ROW()-3,Каталог!$AF$4:$AF$500,0),"")</f>
        <v/>
      </c>
      <c r="B110" s="29" t="str">
        <f t="shared" si="3"/>
        <v/>
      </c>
      <c r="C110" s="30" t="str">
        <f>IF($A110="","",INDEX(Каталог!$G$4:$G$500,$A110)&amp;"")</f>
        <v/>
      </c>
      <c r="D110" s="33"/>
      <c r="E110" s="31" t="str">
        <f>IF($A110="","",INDEX(Каталог!$H$4:$H$500,$A110)&amp;"")</f>
        <v/>
      </c>
      <c r="F110" s="32" t="str">
        <f>IF($A110="","",INDEX(Каталог!$B$4:$B$500,$A110)&amp;"")</f>
        <v/>
      </c>
      <c r="G110" s="32" t="str">
        <f>IF($A110="","",INDEX(Каталог!$M$4:$M$500,$A110)&amp;"")</f>
        <v/>
      </c>
      <c r="H110" s="32" t="str">
        <f>IF($A110="","",INDEX(Каталог!$P$4:$P$500,$A110))</f>
        <v/>
      </c>
      <c r="I110" s="5"/>
      <c r="J110" s="5"/>
    </row>
    <row r="111" spans="1:10" x14ac:dyDescent="0.3">
      <c r="A111" s="29" t="str">
        <f>IFERROR(MATCH(ROW()-3,Каталог!$AF$4:$AF$500,0),"")</f>
        <v/>
      </c>
      <c r="B111" s="29" t="str">
        <f t="shared" si="3"/>
        <v/>
      </c>
      <c r="C111" s="30" t="str">
        <f>IF($A111="","",INDEX(Каталог!$G$4:$G$500,$A111)&amp;"")</f>
        <v/>
      </c>
      <c r="D111" s="33"/>
      <c r="E111" s="31" t="str">
        <f>IF($A111="","",INDEX(Каталог!$H$4:$H$500,$A111)&amp;"")</f>
        <v/>
      </c>
      <c r="F111" s="32" t="str">
        <f>IF($A111="","",INDEX(Каталог!$B$4:$B$500,$A111)&amp;"")</f>
        <v/>
      </c>
      <c r="G111" s="32" t="str">
        <f>IF($A111="","",INDEX(Каталог!$M$4:$M$500,$A111)&amp;"")</f>
        <v/>
      </c>
      <c r="H111" s="32" t="str">
        <f>IF($A111="","",INDEX(Каталог!$P$4:$P$500,$A111))</f>
        <v/>
      </c>
      <c r="I111" s="5"/>
      <c r="J111" s="5"/>
    </row>
    <row r="112" spans="1:10" x14ac:dyDescent="0.3">
      <c r="A112" s="29" t="str">
        <f>IFERROR(MATCH(ROW()-3,Каталог!$AF$4:$AF$500,0),"")</f>
        <v/>
      </c>
      <c r="B112" s="29" t="str">
        <f t="shared" si="3"/>
        <v/>
      </c>
      <c r="C112" s="30" t="str">
        <f>IF($A112="","",INDEX(Каталог!$G$4:$G$500,$A112)&amp;"")</f>
        <v/>
      </c>
      <c r="D112" s="33"/>
      <c r="E112" s="31" t="str">
        <f>IF($A112="","",INDEX(Каталог!$H$4:$H$500,$A112)&amp;"")</f>
        <v/>
      </c>
      <c r="F112" s="32" t="str">
        <f>IF($A112="","",INDEX(Каталог!$B$4:$B$500,$A112)&amp;"")</f>
        <v/>
      </c>
      <c r="G112" s="32" t="str">
        <f>IF($A112="","",INDEX(Каталог!$M$4:$M$500,$A112)&amp;"")</f>
        <v/>
      </c>
      <c r="H112" s="32" t="str">
        <f>IF($A112="","",INDEX(Каталог!$P$4:$P$500,$A112))</f>
        <v/>
      </c>
      <c r="I112" s="5"/>
      <c r="J112" s="5"/>
    </row>
    <row r="113" spans="1:10" x14ac:dyDescent="0.3">
      <c r="A113" s="29" t="str">
        <f>IFERROR(MATCH(ROW()-3,Каталог!$AF$4:$AF$500,0),"")</f>
        <v/>
      </c>
      <c r="B113" s="29" t="str">
        <f t="shared" si="3"/>
        <v/>
      </c>
      <c r="C113" s="30" t="str">
        <f>IF($A113="","",INDEX(Каталог!$G$4:$G$500,$A113)&amp;"")</f>
        <v/>
      </c>
      <c r="D113" s="33"/>
      <c r="E113" s="31" t="str">
        <f>IF($A113="","",INDEX(Каталог!$H$4:$H$500,$A113)&amp;"")</f>
        <v/>
      </c>
      <c r="F113" s="32" t="str">
        <f>IF($A113="","",INDEX(Каталог!$B$4:$B$500,$A113)&amp;"")</f>
        <v/>
      </c>
      <c r="G113" s="32" t="str">
        <f>IF($A113="","",INDEX(Каталог!$M$4:$M$500,$A113)&amp;"")</f>
        <v/>
      </c>
      <c r="H113" s="32" t="str">
        <f>IF($A113="","",INDEX(Каталог!$P$4:$P$500,$A113))</f>
        <v/>
      </c>
      <c r="I113" s="5"/>
      <c r="J113" s="5"/>
    </row>
    <row r="114" spans="1:10" x14ac:dyDescent="0.3">
      <c r="A114" s="29" t="str">
        <f>IFERROR(MATCH(ROW()-3,Каталог!$AF$4:$AF$500,0),"")</f>
        <v/>
      </c>
      <c r="B114" s="29" t="str">
        <f t="shared" si="3"/>
        <v/>
      </c>
      <c r="C114" s="30" t="str">
        <f>IF($A114="","",INDEX(Каталог!$G$4:$G$500,$A114)&amp;"")</f>
        <v/>
      </c>
      <c r="D114" s="33"/>
      <c r="E114" s="31" t="str">
        <f>IF($A114="","",INDEX(Каталог!$H$4:$H$500,$A114)&amp;"")</f>
        <v/>
      </c>
      <c r="F114" s="32" t="str">
        <f>IF($A114="","",INDEX(Каталог!$B$4:$B$500,$A114)&amp;"")</f>
        <v/>
      </c>
      <c r="G114" s="32" t="str">
        <f>IF($A114="","",INDEX(Каталог!$M$4:$M$500,$A114)&amp;"")</f>
        <v/>
      </c>
      <c r="H114" s="32" t="str">
        <f>IF($A114="","",INDEX(Каталог!$P$4:$P$500,$A114))</f>
        <v/>
      </c>
      <c r="I114" s="5"/>
      <c r="J114" s="5"/>
    </row>
    <row r="115" spans="1:10" x14ac:dyDescent="0.3">
      <c r="A115" s="29" t="str">
        <f>IFERROR(MATCH(ROW()-3,Каталог!$AF$4:$AF$500,0),"")</f>
        <v/>
      </c>
      <c r="B115" s="29" t="str">
        <f t="shared" si="3"/>
        <v/>
      </c>
      <c r="C115" s="30" t="str">
        <f>IF($A115="","",INDEX(Каталог!$G$4:$G$500,$A115)&amp;"")</f>
        <v/>
      </c>
      <c r="D115" s="33"/>
      <c r="E115" s="31" t="str">
        <f>IF($A115="","",INDEX(Каталог!$H$4:$H$500,$A115)&amp;"")</f>
        <v/>
      </c>
      <c r="F115" s="32" t="str">
        <f>IF($A115="","",INDEX(Каталог!$B$4:$B$500,$A115)&amp;"")</f>
        <v/>
      </c>
      <c r="G115" s="32" t="str">
        <f>IF($A115="","",INDEX(Каталог!$M$4:$M$500,$A115)&amp;"")</f>
        <v/>
      </c>
      <c r="H115" s="32" t="str">
        <f>IF($A115="","",INDEX(Каталог!$P$4:$P$500,$A115))</f>
        <v/>
      </c>
      <c r="I115" s="5"/>
      <c r="J115" s="5"/>
    </row>
    <row r="116" spans="1:10" x14ac:dyDescent="0.3">
      <c r="A116" s="29" t="str">
        <f>IFERROR(MATCH(ROW()-3,Каталог!$AF$4:$AF$500,0),"")</f>
        <v/>
      </c>
      <c r="B116" s="29" t="str">
        <f t="shared" si="3"/>
        <v/>
      </c>
      <c r="C116" s="30" t="str">
        <f>IF($A116="","",INDEX(Каталог!$G$4:$G$500,$A116)&amp;"")</f>
        <v/>
      </c>
      <c r="D116" s="33"/>
      <c r="E116" s="31" t="str">
        <f>IF($A116="","",INDEX(Каталог!$H$4:$H$500,$A116)&amp;"")</f>
        <v/>
      </c>
      <c r="F116" s="32" t="str">
        <f>IF($A116="","",INDEX(Каталог!$B$4:$B$500,$A116)&amp;"")</f>
        <v/>
      </c>
      <c r="G116" s="32" t="str">
        <f>IF($A116="","",INDEX(Каталог!$M$4:$M$500,$A116)&amp;"")</f>
        <v/>
      </c>
      <c r="H116" s="32" t="str">
        <f>IF($A116="","",INDEX(Каталог!$P$4:$P$500,$A116))</f>
        <v/>
      </c>
      <c r="I116" s="5"/>
      <c r="J116" s="5"/>
    </row>
    <row r="117" spans="1:10" x14ac:dyDescent="0.3">
      <c r="A117" s="29" t="str">
        <f>IFERROR(MATCH(ROW()-3,Каталог!$AF$4:$AF$500,0),"")</f>
        <v/>
      </c>
      <c r="B117" s="29" t="str">
        <f t="shared" si="3"/>
        <v/>
      </c>
      <c r="C117" s="30" t="str">
        <f>IF($A117="","",INDEX(Каталог!$G$4:$G$500,$A117)&amp;"")</f>
        <v/>
      </c>
      <c r="D117" s="33"/>
      <c r="E117" s="31" t="str">
        <f>IF($A117="","",INDEX(Каталог!$H$4:$H$500,$A117)&amp;"")</f>
        <v/>
      </c>
      <c r="F117" s="32" t="str">
        <f>IF($A117="","",INDEX(Каталог!$B$4:$B$500,$A117)&amp;"")</f>
        <v/>
      </c>
      <c r="G117" s="32" t="str">
        <f>IF($A117="","",INDEX(Каталог!$M$4:$M$500,$A117)&amp;"")</f>
        <v/>
      </c>
      <c r="H117" s="32" t="str">
        <f>IF($A117="","",INDEX(Каталог!$P$4:$P$500,$A117))</f>
        <v/>
      </c>
      <c r="I117" s="5"/>
      <c r="J117" s="5"/>
    </row>
    <row r="118" spans="1:10" x14ac:dyDescent="0.3">
      <c r="A118" s="29" t="str">
        <f>IFERROR(MATCH(ROW()-3,Каталог!$AF$4:$AF$500,0),"")</f>
        <v/>
      </c>
      <c r="B118" s="29" t="str">
        <f t="shared" si="3"/>
        <v/>
      </c>
      <c r="C118" s="30" t="str">
        <f>IF($A118="","",INDEX(Каталог!$G$4:$G$500,$A118)&amp;"")</f>
        <v/>
      </c>
      <c r="D118" s="33"/>
      <c r="E118" s="31" t="str">
        <f>IF($A118="","",INDEX(Каталог!$H$4:$H$500,$A118)&amp;"")</f>
        <v/>
      </c>
      <c r="F118" s="32" t="str">
        <f>IF($A118="","",INDEX(Каталог!$B$4:$B$500,$A118)&amp;"")</f>
        <v/>
      </c>
      <c r="G118" s="32" t="str">
        <f>IF($A118="","",INDEX(Каталог!$M$4:$M$500,$A118)&amp;"")</f>
        <v/>
      </c>
      <c r="H118" s="32" t="str">
        <f>IF($A118="","",INDEX(Каталог!$P$4:$P$500,$A118))</f>
        <v/>
      </c>
      <c r="I118" s="5"/>
      <c r="J118" s="5"/>
    </row>
    <row r="119" spans="1:10" x14ac:dyDescent="0.3">
      <c r="A119" s="29" t="str">
        <f>IFERROR(MATCH(ROW()-3,Каталог!$AF$4:$AF$500,0),"")</f>
        <v/>
      </c>
      <c r="B119" s="29" t="str">
        <f t="shared" si="3"/>
        <v/>
      </c>
      <c r="C119" s="30" t="str">
        <f>IF($A119="","",INDEX(Каталог!$G$4:$G$500,$A119)&amp;"")</f>
        <v/>
      </c>
      <c r="D119" s="33"/>
      <c r="E119" s="31" t="str">
        <f>IF($A119="","",INDEX(Каталог!$H$4:$H$500,$A119)&amp;"")</f>
        <v/>
      </c>
      <c r="F119" s="32" t="str">
        <f>IF($A119="","",INDEX(Каталог!$B$4:$B$500,$A119)&amp;"")</f>
        <v/>
      </c>
      <c r="G119" s="32" t="str">
        <f>IF($A119="","",INDEX(Каталог!$M$4:$M$500,$A119)&amp;"")</f>
        <v/>
      </c>
      <c r="H119" s="32" t="str">
        <f>IF($A119="","",INDEX(Каталог!$P$4:$P$500,$A119))</f>
        <v/>
      </c>
      <c r="I119" s="5"/>
      <c r="J119" s="5"/>
    </row>
    <row r="120" spans="1:10" x14ac:dyDescent="0.3">
      <c r="A120" s="29" t="str">
        <f>IFERROR(MATCH(ROW()-3,Каталог!$AF$4:$AF$500,0),"")</f>
        <v/>
      </c>
      <c r="B120" s="29" t="str">
        <f t="shared" si="3"/>
        <v/>
      </c>
      <c r="C120" s="30" t="str">
        <f>IF($A120="","",INDEX(Каталог!$G$4:$G$500,$A120)&amp;"")</f>
        <v/>
      </c>
      <c r="D120" s="33"/>
      <c r="E120" s="31" t="str">
        <f>IF($A120="","",INDEX(Каталог!$H$4:$H$500,$A120)&amp;"")</f>
        <v/>
      </c>
      <c r="F120" s="32" t="str">
        <f>IF($A120="","",INDEX(Каталог!$B$4:$B$500,$A120)&amp;"")</f>
        <v/>
      </c>
      <c r="G120" s="32" t="str">
        <f>IF($A120="","",INDEX(Каталог!$M$4:$M$500,$A120)&amp;"")</f>
        <v/>
      </c>
      <c r="H120" s="32" t="str">
        <f>IF($A120="","",INDEX(Каталог!$P$4:$P$500,$A120))</f>
        <v/>
      </c>
      <c r="I120" s="5"/>
      <c r="J120" s="5"/>
    </row>
    <row r="121" spans="1:10" x14ac:dyDescent="0.3">
      <c r="A121" s="29" t="str">
        <f>IFERROR(MATCH(ROW()-3,Каталог!$AF$4:$AF$500,0),"")</f>
        <v/>
      </c>
      <c r="B121" s="29" t="str">
        <f t="shared" si="3"/>
        <v/>
      </c>
      <c r="C121" s="30" t="str">
        <f>IF($A121="","",INDEX(Каталог!$G$4:$G$500,$A121)&amp;"")</f>
        <v/>
      </c>
      <c r="D121" s="33"/>
      <c r="E121" s="31" t="str">
        <f>IF($A121="","",INDEX(Каталог!$H$4:$H$500,$A121)&amp;"")</f>
        <v/>
      </c>
      <c r="F121" s="32" t="str">
        <f>IF($A121="","",INDEX(Каталог!$B$4:$B$500,$A121)&amp;"")</f>
        <v/>
      </c>
      <c r="G121" s="32" t="str">
        <f>IF($A121="","",INDEX(Каталог!$M$4:$M$500,$A121)&amp;"")</f>
        <v/>
      </c>
      <c r="H121" s="32" t="str">
        <f>IF($A121="","",INDEX(Каталог!$P$4:$P$500,$A121))</f>
        <v/>
      </c>
      <c r="I121" s="5"/>
      <c r="J121" s="5"/>
    </row>
    <row r="122" spans="1:10" x14ac:dyDescent="0.3">
      <c r="A122" s="29" t="str">
        <f>IFERROR(MATCH(ROW()-3,Каталог!$AF$4:$AF$500,0),"")</f>
        <v/>
      </c>
      <c r="B122" s="29" t="str">
        <f t="shared" si="3"/>
        <v/>
      </c>
      <c r="C122" s="30" t="str">
        <f>IF($A122="","",INDEX(Каталог!$G$4:$G$500,$A122)&amp;"")</f>
        <v/>
      </c>
      <c r="D122" s="33"/>
      <c r="E122" s="31" t="str">
        <f>IF($A122="","",INDEX(Каталог!$H$4:$H$500,$A122)&amp;"")</f>
        <v/>
      </c>
      <c r="F122" s="32" t="str">
        <f>IF($A122="","",INDEX(Каталог!$B$4:$B$500,$A122)&amp;"")</f>
        <v/>
      </c>
      <c r="G122" s="32" t="str">
        <f>IF($A122="","",INDEX(Каталог!$M$4:$M$500,$A122)&amp;"")</f>
        <v/>
      </c>
      <c r="H122" s="32" t="str">
        <f>IF($A122="","",INDEX(Каталог!$P$4:$P$500,$A122))</f>
        <v/>
      </c>
      <c r="I122" s="5"/>
      <c r="J122" s="5"/>
    </row>
    <row r="123" spans="1:10" x14ac:dyDescent="0.3">
      <c r="A123" s="29" t="str">
        <f>IFERROR(MATCH(ROW()-3,Каталог!$AF$4:$AF$500,0),"")</f>
        <v/>
      </c>
      <c r="B123" s="29" t="str">
        <f t="shared" si="3"/>
        <v/>
      </c>
      <c r="C123" s="30" t="str">
        <f>IF($A123="","",INDEX(Каталог!$G$4:$G$500,$A123)&amp;"")</f>
        <v/>
      </c>
      <c r="D123" s="33"/>
      <c r="E123" s="31" t="str">
        <f>IF($A123="","",INDEX(Каталог!$H$4:$H$500,$A123)&amp;"")</f>
        <v/>
      </c>
      <c r="F123" s="32" t="str">
        <f>IF($A123="","",INDEX(Каталог!$B$4:$B$500,$A123)&amp;"")</f>
        <v/>
      </c>
      <c r="G123" s="32" t="str">
        <f>IF($A123="","",INDEX(Каталог!$M$4:$M$500,$A123)&amp;"")</f>
        <v/>
      </c>
      <c r="H123" s="32" t="str">
        <f>IF($A123="","",INDEX(Каталог!$P$4:$P$500,$A123))</f>
        <v/>
      </c>
      <c r="I123" s="5"/>
      <c r="J123" s="5"/>
    </row>
    <row r="124" spans="1:10" x14ac:dyDescent="0.3">
      <c r="A124" s="29" t="str">
        <f>IFERROR(MATCH(ROW()-3,Каталог!$AF$4:$AF$500,0),"")</f>
        <v/>
      </c>
      <c r="B124" s="29" t="str">
        <f t="shared" si="3"/>
        <v/>
      </c>
      <c r="C124" s="30" t="str">
        <f>IF($A124="","",INDEX(Каталог!$G$4:$G$500,$A124)&amp;"")</f>
        <v/>
      </c>
      <c r="D124" s="33"/>
      <c r="E124" s="31" t="str">
        <f>IF($A124="","",INDEX(Каталог!$H$4:$H$500,$A124)&amp;"")</f>
        <v/>
      </c>
      <c r="F124" s="32" t="str">
        <f>IF($A124="","",INDEX(Каталог!$B$4:$B$500,$A124)&amp;"")</f>
        <v/>
      </c>
      <c r="G124" s="32" t="str">
        <f>IF($A124="","",INDEX(Каталог!$M$4:$M$500,$A124)&amp;"")</f>
        <v/>
      </c>
      <c r="H124" s="32" t="str">
        <f>IF($A124="","",INDEX(Каталог!$P$4:$P$500,$A124))</f>
        <v/>
      </c>
      <c r="I124" s="5"/>
      <c r="J124" s="5"/>
    </row>
    <row r="125" spans="1:10" x14ac:dyDescent="0.3">
      <c r="A125" s="29" t="str">
        <f>IFERROR(MATCH(ROW()-3,Каталог!$AF$4:$AF$500,0),"")</f>
        <v/>
      </c>
      <c r="B125" s="29" t="str">
        <f t="shared" si="3"/>
        <v/>
      </c>
      <c r="C125" s="30" t="str">
        <f>IF($A125="","",INDEX(Каталог!$G$4:$G$500,$A125)&amp;"")</f>
        <v/>
      </c>
      <c r="D125" s="33"/>
      <c r="E125" s="31" t="str">
        <f>IF($A125="","",INDEX(Каталог!$H$4:$H$500,$A125)&amp;"")</f>
        <v/>
      </c>
      <c r="F125" s="32" t="str">
        <f>IF($A125="","",INDEX(Каталог!$B$4:$B$500,$A125)&amp;"")</f>
        <v/>
      </c>
      <c r="G125" s="32" t="str">
        <f>IF($A125="","",INDEX(Каталог!$M$4:$M$500,$A125)&amp;"")</f>
        <v/>
      </c>
      <c r="H125" s="32" t="str">
        <f>IF($A125="","",INDEX(Каталог!$P$4:$P$500,$A125))</f>
        <v/>
      </c>
      <c r="I125" s="5"/>
      <c r="J125" s="5"/>
    </row>
    <row r="126" spans="1:10" x14ac:dyDescent="0.3">
      <c r="A126" s="29" t="str">
        <f>IFERROR(MATCH(ROW()-3,Каталог!$AF$4:$AF$500,0),"")</f>
        <v/>
      </c>
      <c r="B126" s="29" t="str">
        <f t="shared" si="3"/>
        <v/>
      </c>
      <c r="C126" s="30" t="str">
        <f>IF($A126="","",INDEX(Каталог!$G$4:$G$500,$A126)&amp;"")</f>
        <v/>
      </c>
      <c r="D126" s="33"/>
      <c r="E126" s="31" t="str">
        <f>IF($A126="","",INDEX(Каталог!$H$4:$H$500,$A126)&amp;"")</f>
        <v/>
      </c>
      <c r="F126" s="32" t="str">
        <f>IF($A126="","",INDEX(Каталог!$B$4:$B$500,$A126)&amp;"")</f>
        <v/>
      </c>
      <c r="G126" s="32" t="str">
        <f>IF($A126="","",INDEX(Каталог!$M$4:$M$500,$A126)&amp;"")</f>
        <v/>
      </c>
      <c r="H126" s="32" t="str">
        <f>IF($A126="","",INDEX(Каталог!$P$4:$P$500,$A126))</f>
        <v/>
      </c>
      <c r="I126" s="5"/>
      <c r="J126" s="5"/>
    </row>
    <row r="127" spans="1:10" x14ac:dyDescent="0.3">
      <c r="A127" s="29" t="str">
        <f>IFERROR(MATCH(ROW()-3,Каталог!$AF$4:$AF$500,0),"")</f>
        <v/>
      </c>
      <c r="B127" s="29" t="str">
        <f t="shared" si="3"/>
        <v/>
      </c>
      <c r="C127" s="30" t="str">
        <f>IF($A127="","",INDEX(Каталог!$G$4:$G$500,$A127)&amp;"")</f>
        <v/>
      </c>
      <c r="D127" s="33"/>
      <c r="E127" s="31" t="str">
        <f>IF($A127="","",INDEX(Каталог!$H$4:$H$500,$A127)&amp;"")</f>
        <v/>
      </c>
      <c r="F127" s="32" t="str">
        <f>IF($A127="","",INDEX(Каталог!$B$4:$B$500,$A127)&amp;"")</f>
        <v/>
      </c>
      <c r="G127" s="32" t="str">
        <f>IF($A127="","",INDEX(Каталог!$M$4:$M$500,$A127)&amp;"")</f>
        <v/>
      </c>
      <c r="H127" s="32" t="str">
        <f>IF($A127="","",INDEX(Каталог!$P$4:$P$500,$A127))</f>
        <v/>
      </c>
      <c r="I127" s="5"/>
      <c r="J127" s="5"/>
    </row>
    <row r="128" spans="1:10" x14ac:dyDescent="0.3">
      <c r="A128" s="29" t="str">
        <f>IFERROR(MATCH(ROW()-3,Каталог!$AF$4:$AF$500,0),"")</f>
        <v/>
      </c>
      <c r="B128" s="29" t="str">
        <f t="shared" si="3"/>
        <v/>
      </c>
      <c r="C128" s="30" t="str">
        <f>IF($A128="","",INDEX(Каталог!$G$4:$G$500,$A128)&amp;"")</f>
        <v/>
      </c>
      <c r="D128" s="33"/>
      <c r="E128" s="31" t="str">
        <f>IF($A128="","",INDEX(Каталог!$H$4:$H$500,$A128)&amp;"")</f>
        <v/>
      </c>
      <c r="F128" s="32" t="str">
        <f>IF($A128="","",INDEX(Каталог!$B$4:$B$500,$A128)&amp;"")</f>
        <v/>
      </c>
      <c r="G128" s="32" t="str">
        <f>IF($A128="","",INDEX(Каталог!$M$4:$M$500,$A128)&amp;"")</f>
        <v/>
      </c>
      <c r="H128" s="32" t="str">
        <f>IF($A128="","",INDEX(Каталог!$P$4:$P$500,$A128))</f>
        <v/>
      </c>
      <c r="I128" s="5"/>
      <c r="J128" s="5"/>
    </row>
    <row r="129" spans="1:10" x14ac:dyDescent="0.3">
      <c r="A129" s="29" t="str">
        <f>IFERROR(MATCH(ROW()-3,Каталог!$AF$4:$AF$500,0),"")</f>
        <v/>
      </c>
      <c r="B129" s="29" t="str">
        <f t="shared" si="3"/>
        <v/>
      </c>
      <c r="C129" s="30" t="str">
        <f>IF($A129="","",INDEX(Каталог!$G$4:$G$500,$A129)&amp;"")</f>
        <v/>
      </c>
      <c r="D129" s="33"/>
      <c r="E129" s="31" t="str">
        <f>IF($A129="","",INDEX(Каталог!$H$4:$H$500,$A129)&amp;"")</f>
        <v/>
      </c>
      <c r="F129" s="32" t="str">
        <f>IF($A129="","",INDEX(Каталог!$B$4:$B$500,$A129)&amp;"")</f>
        <v/>
      </c>
      <c r="G129" s="32" t="str">
        <f>IF($A129="","",INDEX(Каталог!$M$4:$M$500,$A129)&amp;"")</f>
        <v/>
      </c>
      <c r="H129" s="32" t="str">
        <f>IF($A129="","",INDEX(Каталог!$P$4:$P$500,$A129))</f>
        <v/>
      </c>
      <c r="I129" s="5"/>
      <c r="J129" s="5"/>
    </row>
    <row r="130" spans="1:10" x14ac:dyDescent="0.3">
      <c r="A130" s="29" t="str">
        <f>IFERROR(MATCH(ROW()-3,Каталог!$AF$4:$AF$500,0),"")</f>
        <v/>
      </c>
      <c r="B130" s="29" t="str">
        <f t="shared" si="3"/>
        <v/>
      </c>
      <c r="C130" s="30" t="str">
        <f>IF($A130="","",INDEX(Каталог!$G$4:$G$500,$A130)&amp;"")</f>
        <v/>
      </c>
      <c r="D130" s="33"/>
      <c r="E130" s="31" t="str">
        <f>IF($A130="","",INDEX(Каталог!$H$4:$H$500,$A130)&amp;"")</f>
        <v/>
      </c>
      <c r="F130" s="32" t="str">
        <f>IF($A130="","",INDEX(Каталог!$B$4:$B$500,$A130)&amp;"")</f>
        <v/>
      </c>
      <c r="G130" s="32" t="str">
        <f>IF($A130="","",INDEX(Каталог!$M$4:$M$500,$A130)&amp;"")</f>
        <v/>
      </c>
      <c r="H130" s="32" t="str">
        <f>IF($A130="","",INDEX(Каталог!$P$4:$P$500,$A130))</f>
        <v/>
      </c>
      <c r="I130" s="5"/>
      <c r="J130" s="5"/>
    </row>
    <row r="131" spans="1:10" x14ac:dyDescent="0.3">
      <c r="A131" s="29" t="str">
        <f>IFERROR(MATCH(ROW()-3,Каталог!$AF$4:$AF$500,0),"")</f>
        <v/>
      </c>
      <c r="B131" s="29" t="str">
        <f t="shared" si="3"/>
        <v/>
      </c>
      <c r="C131" s="30" t="str">
        <f>IF($A131="","",INDEX(Каталог!$G$4:$G$500,$A131)&amp;"")</f>
        <v/>
      </c>
      <c r="D131" s="33"/>
      <c r="E131" s="31" t="str">
        <f>IF($A131="","",INDEX(Каталог!$H$4:$H$500,$A131)&amp;"")</f>
        <v/>
      </c>
      <c r="F131" s="32" t="str">
        <f>IF($A131="","",INDEX(Каталог!$B$4:$B$500,$A131)&amp;"")</f>
        <v/>
      </c>
      <c r="G131" s="32" t="str">
        <f>IF($A131="","",INDEX(Каталог!$M$4:$M$500,$A131)&amp;"")</f>
        <v/>
      </c>
      <c r="H131" s="32" t="str">
        <f>IF($A131="","",INDEX(Каталог!$P$4:$P$500,$A131))</f>
        <v/>
      </c>
      <c r="I131" s="5"/>
      <c r="J131" s="5"/>
    </row>
    <row r="132" spans="1:10" x14ac:dyDescent="0.3">
      <c r="A132" s="29" t="str">
        <f>IFERROR(MATCH(ROW()-3,Каталог!$AF$4:$AF$500,0),"")</f>
        <v/>
      </c>
      <c r="B132" s="29" t="str">
        <f t="shared" ref="B132:B160" si="4">IF($A132="","",$B$3&amp;"."&amp;(ROW()-3))</f>
        <v/>
      </c>
      <c r="C132" s="30" t="str">
        <f>IF($A132="","",INDEX(Каталог!$G$4:$G$500,$A132)&amp;"")</f>
        <v/>
      </c>
      <c r="D132" s="33"/>
      <c r="E132" s="31" t="str">
        <f>IF($A132="","",INDEX(Каталог!$H$4:$H$500,$A132)&amp;"")</f>
        <v/>
      </c>
      <c r="F132" s="32" t="str">
        <f>IF($A132="","",INDEX(Каталог!$B$4:$B$500,$A132)&amp;"")</f>
        <v/>
      </c>
      <c r="G132" s="32" t="str">
        <f>IF($A132="","",INDEX(Каталог!$M$4:$M$500,$A132)&amp;"")</f>
        <v/>
      </c>
      <c r="H132" s="32" t="str">
        <f>IF($A132="","",INDEX(Каталог!$P$4:$P$500,$A132))</f>
        <v/>
      </c>
      <c r="I132" s="5"/>
      <c r="J132" s="5"/>
    </row>
    <row r="133" spans="1:10" x14ac:dyDescent="0.3">
      <c r="A133" s="29" t="str">
        <f>IFERROR(MATCH(ROW()-3,Каталог!$AF$4:$AF$500,0),"")</f>
        <v/>
      </c>
      <c r="B133" s="29" t="str">
        <f t="shared" si="4"/>
        <v/>
      </c>
      <c r="C133" s="30" t="str">
        <f>IF($A133="","",INDEX(Каталог!$G$4:$G$500,$A133)&amp;"")</f>
        <v/>
      </c>
      <c r="D133" s="33"/>
      <c r="E133" s="31" t="str">
        <f>IF($A133="","",INDEX(Каталог!$H$4:$H$500,$A133)&amp;"")</f>
        <v/>
      </c>
      <c r="F133" s="32" t="str">
        <f>IF($A133="","",INDEX(Каталог!$B$4:$B$500,$A133)&amp;"")</f>
        <v/>
      </c>
      <c r="G133" s="32" t="str">
        <f>IF($A133="","",INDEX(Каталог!$M$4:$M$500,$A133)&amp;"")</f>
        <v/>
      </c>
      <c r="H133" s="32" t="str">
        <f>IF($A133="","",INDEX(Каталог!$P$4:$P$500,$A133))</f>
        <v/>
      </c>
      <c r="I133" s="5"/>
      <c r="J133" s="5"/>
    </row>
    <row r="134" spans="1:10" x14ac:dyDescent="0.3">
      <c r="A134" s="29" t="str">
        <f>IFERROR(MATCH(ROW()-3,Каталог!$AF$4:$AF$500,0),"")</f>
        <v/>
      </c>
      <c r="B134" s="29" t="str">
        <f t="shared" si="4"/>
        <v/>
      </c>
      <c r="C134" s="30" t="str">
        <f>IF($A134="","",INDEX(Каталог!$G$4:$G$500,$A134)&amp;"")</f>
        <v/>
      </c>
      <c r="D134" s="33"/>
      <c r="E134" s="31" t="str">
        <f>IF($A134="","",INDEX(Каталог!$H$4:$H$500,$A134)&amp;"")</f>
        <v/>
      </c>
      <c r="F134" s="32" t="str">
        <f>IF($A134="","",INDEX(Каталог!$B$4:$B$500,$A134)&amp;"")</f>
        <v/>
      </c>
      <c r="G134" s="32" t="str">
        <f>IF($A134="","",INDEX(Каталог!$M$4:$M$500,$A134)&amp;"")</f>
        <v/>
      </c>
      <c r="H134" s="32" t="str">
        <f>IF($A134="","",INDEX(Каталог!$P$4:$P$500,$A134))</f>
        <v/>
      </c>
      <c r="I134" s="5"/>
      <c r="J134" s="5"/>
    </row>
    <row r="135" spans="1:10" x14ac:dyDescent="0.3">
      <c r="A135" s="29" t="str">
        <f>IFERROR(MATCH(ROW()-3,Каталог!$AF$4:$AF$500,0),"")</f>
        <v/>
      </c>
      <c r="B135" s="29" t="str">
        <f t="shared" si="4"/>
        <v/>
      </c>
      <c r="C135" s="30" t="str">
        <f>IF($A135="","",INDEX(Каталог!$G$4:$G$500,$A135)&amp;"")</f>
        <v/>
      </c>
      <c r="D135" s="33"/>
      <c r="E135" s="31" t="str">
        <f>IF($A135="","",INDEX(Каталог!$H$4:$H$500,$A135)&amp;"")</f>
        <v/>
      </c>
      <c r="F135" s="32" t="str">
        <f>IF($A135="","",INDEX(Каталог!$B$4:$B$500,$A135)&amp;"")</f>
        <v/>
      </c>
      <c r="G135" s="32" t="str">
        <f>IF($A135="","",INDEX(Каталог!$M$4:$M$500,$A135)&amp;"")</f>
        <v/>
      </c>
      <c r="H135" s="32" t="str">
        <f>IF($A135="","",INDEX(Каталог!$P$4:$P$500,$A135))</f>
        <v/>
      </c>
      <c r="I135" s="5"/>
      <c r="J135" s="5"/>
    </row>
    <row r="136" spans="1:10" x14ac:dyDescent="0.3">
      <c r="A136" s="29" t="str">
        <f>IFERROR(MATCH(ROW()-3,Каталог!$AF$4:$AF$500,0),"")</f>
        <v/>
      </c>
      <c r="B136" s="29" t="str">
        <f t="shared" si="4"/>
        <v/>
      </c>
      <c r="C136" s="30" t="str">
        <f>IF($A136="","",INDEX(Каталог!$G$4:$G$500,$A136)&amp;"")</f>
        <v/>
      </c>
      <c r="D136" s="33"/>
      <c r="E136" s="31" t="str">
        <f>IF($A136="","",INDEX(Каталог!$H$4:$H$500,$A136)&amp;"")</f>
        <v/>
      </c>
      <c r="F136" s="32" t="str">
        <f>IF($A136="","",INDEX(Каталог!$B$4:$B$500,$A136)&amp;"")</f>
        <v/>
      </c>
      <c r="G136" s="32" t="str">
        <f>IF($A136="","",INDEX(Каталог!$M$4:$M$500,$A136)&amp;"")</f>
        <v/>
      </c>
      <c r="H136" s="32" t="str">
        <f>IF($A136="","",INDEX(Каталог!$P$4:$P$500,$A136))</f>
        <v/>
      </c>
      <c r="I136" s="5"/>
      <c r="J136" s="5"/>
    </row>
    <row r="137" spans="1:10" x14ac:dyDescent="0.3">
      <c r="A137" s="29" t="str">
        <f>IFERROR(MATCH(ROW()-3,Каталог!$AF$4:$AF$500,0),"")</f>
        <v/>
      </c>
      <c r="B137" s="29" t="str">
        <f t="shared" si="4"/>
        <v/>
      </c>
      <c r="C137" s="30" t="str">
        <f>IF($A137="","",INDEX(Каталог!$G$4:$G$500,$A137)&amp;"")</f>
        <v/>
      </c>
      <c r="D137" s="33"/>
      <c r="E137" s="31" t="str">
        <f>IF($A137="","",INDEX(Каталог!$H$4:$H$500,$A137)&amp;"")</f>
        <v/>
      </c>
      <c r="F137" s="32" t="str">
        <f>IF($A137="","",INDEX(Каталог!$B$4:$B$500,$A137)&amp;"")</f>
        <v/>
      </c>
      <c r="G137" s="32" t="str">
        <f>IF($A137="","",INDEX(Каталог!$M$4:$M$500,$A137)&amp;"")</f>
        <v/>
      </c>
      <c r="H137" s="32" t="str">
        <f>IF($A137="","",INDEX(Каталог!$P$4:$P$500,$A137))</f>
        <v/>
      </c>
      <c r="I137" s="5"/>
      <c r="J137" s="5"/>
    </row>
    <row r="138" spans="1:10" x14ac:dyDescent="0.3">
      <c r="A138" s="29" t="str">
        <f>IFERROR(MATCH(ROW()-3,Каталог!$AF$4:$AF$500,0),"")</f>
        <v/>
      </c>
      <c r="B138" s="29" t="str">
        <f t="shared" si="4"/>
        <v/>
      </c>
      <c r="C138" s="30" t="str">
        <f>IF($A138="","",INDEX(Каталог!$G$4:$G$500,$A138)&amp;"")</f>
        <v/>
      </c>
      <c r="D138" s="33"/>
      <c r="E138" s="31" t="str">
        <f>IF($A138="","",INDEX(Каталог!$H$4:$H$500,$A138)&amp;"")</f>
        <v/>
      </c>
      <c r="F138" s="32" t="str">
        <f>IF($A138="","",INDEX(Каталог!$B$4:$B$500,$A138)&amp;"")</f>
        <v/>
      </c>
      <c r="G138" s="32" t="str">
        <f>IF($A138="","",INDEX(Каталог!$M$4:$M$500,$A138)&amp;"")</f>
        <v/>
      </c>
      <c r="H138" s="32" t="str">
        <f>IF($A138="","",INDEX(Каталог!$P$4:$P$500,$A138))</f>
        <v/>
      </c>
      <c r="I138" s="5"/>
      <c r="J138" s="5"/>
    </row>
    <row r="139" spans="1:10" x14ac:dyDescent="0.3">
      <c r="A139" s="29" t="str">
        <f>IFERROR(MATCH(ROW()-3,Каталог!$AF$4:$AF$500,0),"")</f>
        <v/>
      </c>
      <c r="B139" s="29" t="str">
        <f t="shared" si="4"/>
        <v/>
      </c>
      <c r="C139" s="30" t="str">
        <f>IF($A139="","",INDEX(Каталог!$G$4:$G$500,$A139)&amp;"")</f>
        <v/>
      </c>
      <c r="D139" s="33"/>
      <c r="E139" s="31" t="str">
        <f>IF($A139="","",INDEX(Каталог!$H$4:$H$500,$A139)&amp;"")</f>
        <v/>
      </c>
      <c r="F139" s="32" t="str">
        <f>IF($A139="","",INDEX(Каталог!$B$4:$B$500,$A139)&amp;"")</f>
        <v/>
      </c>
      <c r="G139" s="32" t="str">
        <f>IF($A139="","",INDEX(Каталог!$M$4:$M$500,$A139)&amp;"")</f>
        <v/>
      </c>
      <c r="H139" s="32" t="str">
        <f>IF($A139="","",INDEX(Каталог!$P$4:$P$500,$A139))</f>
        <v/>
      </c>
      <c r="I139" s="5"/>
      <c r="J139" s="5"/>
    </row>
    <row r="140" spans="1:10" x14ac:dyDescent="0.3">
      <c r="A140" s="29" t="str">
        <f>IFERROR(MATCH(ROW()-3,Каталог!$AF$4:$AF$500,0),"")</f>
        <v/>
      </c>
      <c r="B140" s="29" t="str">
        <f t="shared" si="4"/>
        <v/>
      </c>
      <c r="C140" s="30" t="str">
        <f>IF($A140="","",INDEX(Каталог!$G$4:$G$500,$A140)&amp;"")</f>
        <v/>
      </c>
      <c r="D140" s="33"/>
      <c r="E140" s="31" t="str">
        <f>IF($A140="","",INDEX(Каталог!$H$4:$H$500,$A140)&amp;"")</f>
        <v/>
      </c>
      <c r="F140" s="32" t="str">
        <f>IF($A140="","",INDEX(Каталог!$B$4:$B$500,$A140)&amp;"")</f>
        <v/>
      </c>
      <c r="G140" s="32" t="str">
        <f>IF($A140="","",INDEX(Каталог!$M$4:$M$500,$A140)&amp;"")</f>
        <v/>
      </c>
      <c r="H140" s="32" t="str">
        <f>IF($A140="","",INDEX(Каталог!$P$4:$P$500,$A140))</f>
        <v/>
      </c>
      <c r="I140" s="5"/>
      <c r="J140" s="5"/>
    </row>
    <row r="141" spans="1:10" x14ac:dyDescent="0.3">
      <c r="A141" s="29" t="str">
        <f>IFERROR(MATCH(ROW()-3,Каталог!$AF$4:$AF$500,0),"")</f>
        <v/>
      </c>
      <c r="B141" s="29" t="str">
        <f t="shared" si="4"/>
        <v/>
      </c>
      <c r="C141" s="30" t="str">
        <f>IF($A141="","",INDEX(Каталог!$G$4:$G$500,$A141)&amp;"")</f>
        <v/>
      </c>
      <c r="D141" s="33"/>
      <c r="E141" s="31" t="str">
        <f>IF($A141="","",INDEX(Каталог!$H$4:$H$500,$A141)&amp;"")</f>
        <v/>
      </c>
      <c r="F141" s="32" t="str">
        <f>IF($A141="","",INDEX(Каталог!$B$4:$B$500,$A141)&amp;"")</f>
        <v/>
      </c>
      <c r="G141" s="32" t="str">
        <f>IF($A141="","",INDEX(Каталог!$M$4:$M$500,$A141)&amp;"")</f>
        <v/>
      </c>
      <c r="H141" s="32" t="str">
        <f>IF($A141="","",INDEX(Каталог!$P$4:$P$500,$A141))</f>
        <v/>
      </c>
      <c r="I141" s="5"/>
      <c r="J141" s="5"/>
    </row>
    <row r="142" spans="1:10" x14ac:dyDescent="0.3">
      <c r="A142" s="29" t="str">
        <f>IFERROR(MATCH(ROW()-3,Каталог!$AF$4:$AF$500,0),"")</f>
        <v/>
      </c>
      <c r="B142" s="29" t="str">
        <f t="shared" si="4"/>
        <v/>
      </c>
      <c r="C142" s="30" t="str">
        <f>IF($A142="","",INDEX(Каталог!$G$4:$G$500,$A142)&amp;"")</f>
        <v/>
      </c>
      <c r="D142" s="33"/>
      <c r="E142" s="31" t="str">
        <f>IF($A142="","",INDEX(Каталог!$H$4:$H$500,$A142)&amp;"")</f>
        <v/>
      </c>
      <c r="F142" s="32" t="str">
        <f>IF($A142="","",INDEX(Каталог!$B$4:$B$500,$A142)&amp;"")</f>
        <v/>
      </c>
      <c r="G142" s="32" t="str">
        <f>IF($A142="","",INDEX(Каталог!$M$4:$M$500,$A142)&amp;"")</f>
        <v/>
      </c>
      <c r="H142" s="32" t="str">
        <f>IF($A142="","",INDEX(Каталог!$P$4:$P$500,$A142))</f>
        <v/>
      </c>
      <c r="I142" s="5"/>
      <c r="J142" s="5"/>
    </row>
    <row r="143" spans="1:10" x14ac:dyDescent="0.3">
      <c r="A143" s="29" t="str">
        <f>IFERROR(MATCH(ROW()-3,Каталог!$AF$4:$AF$500,0),"")</f>
        <v/>
      </c>
      <c r="B143" s="29" t="str">
        <f t="shared" si="4"/>
        <v/>
      </c>
      <c r="C143" s="30" t="str">
        <f>IF($A143="","",INDEX(Каталог!$G$4:$G$500,$A143)&amp;"")</f>
        <v/>
      </c>
      <c r="D143" s="33"/>
      <c r="E143" s="31" t="str">
        <f>IF($A143="","",INDEX(Каталог!$H$4:$H$500,$A143)&amp;"")</f>
        <v/>
      </c>
      <c r="F143" s="32" t="str">
        <f>IF($A143="","",INDEX(Каталог!$B$4:$B$500,$A143)&amp;"")</f>
        <v/>
      </c>
      <c r="G143" s="32" t="str">
        <f>IF($A143="","",INDEX(Каталог!$M$4:$M$500,$A143)&amp;"")</f>
        <v/>
      </c>
      <c r="H143" s="32" t="str">
        <f>IF($A143="","",INDEX(Каталог!$P$4:$P$500,$A143))</f>
        <v/>
      </c>
      <c r="I143" s="5"/>
      <c r="J143" s="5"/>
    </row>
    <row r="144" spans="1:10" x14ac:dyDescent="0.3">
      <c r="A144" s="29" t="str">
        <f>IFERROR(MATCH(ROW()-3,Каталог!$AF$4:$AF$500,0),"")</f>
        <v/>
      </c>
      <c r="B144" s="29" t="str">
        <f t="shared" si="4"/>
        <v/>
      </c>
      <c r="C144" s="30" t="str">
        <f>IF($A144="","",INDEX(Каталог!$G$4:$G$500,$A144)&amp;"")</f>
        <v/>
      </c>
      <c r="D144" s="33"/>
      <c r="E144" s="31" t="str">
        <f>IF($A144="","",INDEX(Каталог!$H$4:$H$500,$A144)&amp;"")</f>
        <v/>
      </c>
      <c r="F144" s="32" t="str">
        <f>IF($A144="","",INDEX(Каталог!$B$4:$B$500,$A144)&amp;"")</f>
        <v/>
      </c>
      <c r="G144" s="32" t="str">
        <f>IF($A144="","",INDEX(Каталог!$M$4:$M$500,$A144)&amp;"")</f>
        <v/>
      </c>
      <c r="H144" s="32" t="str">
        <f>IF($A144="","",INDEX(Каталог!$P$4:$P$500,$A144))</f>
        <v/>
      </c>
      <c r="I144" s="5"/>
      <c r="J144" s="5"/>
    </row>
    <row r="145" spans="1:10" x14ac:dyDescent="0.3">
      <c r="A145" s="29" t="str">
        <f>IFERROR(MATCH(ROW()-3,Каталог!$AF$4:$AF$500,0),"")</f>
        <v/>
      </c>
      <c r="B145" s="29" t="str">
        <f t="shared" si="4"/>
        <v/>
      </c>
      <c r="C145" s="30" t="str">
        <f>IF($A145="","",INDEX(Каталог!$G$4:$G$500,$A145)&amp;"")</f>
        <v/>
      </c>
      <c r="D145" s="33"/>
      <c r="E145" s="31" t="str">
        <f>IF($A145="","",INDEX(Каталог!$H$4:$H$500,$A145)&amp;"")</f>
        <v/>
      </c>
      <c r="F145" s="32" t="str">
        <f>IF($A145="","",INDEX(Каталог!$B$4:$B$500,$A145)&amp;"")</f>
        <v/>
      </c>
      <c r="G145" s="32" t="str">
        <f>IF($A145="","",INDEX(Каталог!$M$4:$M$500,$A145)&amp;"")</f>
        <v/>
      </c>
      <c r="H145" s="32" t="str">
        <f>IF($A145="","",INDEX(Каталог!$P$4:$P$500,$A145))</f>
        <v/>
      </c>
      <c r="I145" s="5"/>
      <c r="J145" s="5"/>
    </row>
    <row r="146" spans="1:10" x14ac:dyDescent="0.3">
      <c r="A146" s="29" t="str">
        <f>IFERROR(MATCH(ROW()-3,Каталог!$AF$4:$AF$500,0),"")</f>
        <v/>
      </c>
      <c r="B146" s="29" t="str">
        <f t="shared" si="4"/>
        <v/>
      </c>
      <c r="C146" s="30" t="str">
        <f>IF($A146="","",INDEX(Каталог!$G$4:$G$500,$A146)&amp;"")</f>
        <v/>
      </c>
      <c r="D146" s="33"/>
      <c r="E146" s="31" t="str">
        <f>IF($A146="","",INDEX(Каталог!$H$4:$H$500,$A146)&amp;"")</f>
        <v/>
      </c>
      <c r="F146" s="32" t="str">
        <f>IF($A146="","",INDEX(Каталог!$B$4:$B$500,$A146)&amp;"")</f>
        <v/>
      </c>
      <c r="G146" s="32" t="str">
        <f>IF($A146="","",INDEX(Каталог!$M$4:$M$500,$A146)&amp;"")</f>
        <v/>
      </c>
      <c r="H146" s="32" t="str">
        <f>IF($A146="","",INDEX(Каталог!$P$4:$P$500,$A146))</f>
        <v/>
      </c>
      <c r="I146" s="5"/>
      <c r="J146" s="5"/>
    </row>
    <row r="147" spans="1:10" x14ac:dyDescent="0.3">
      <c r="A147" s="29" t="str">
        <f>IFERROR(MATCH(ROW()-3,Каталог!$AF$4:$AF$500,0),"")</f>
        <v/>
      </c>
      <c r="B147" s="29" t="str">
        <f t="shared" si="4"/>
        <v/>
      </c>
      <c r="C147" s="30" t="str">
        <f>IF($A147="","",INDEX(Каталог!$G$4:$G$500,$A147)&amp;"")</f>
        <v/>
      </c>
      <c r="D147" s="33"/>
      <c r="E147" s="31" t="str">
        <f>IF($A147="","",INDEX(Каталог!$H$4:$H$500,$A147)&amp;"")</f>
        <v/>
      </c>
      <c r="F147" s="32" t="str">
        <f>IF($A147="","",INDEX(Каталог!$B$4:$B$500,$A147)&amp;"")</f>
        <v/>
      </c>
      <c r="G147" s="32" t="str">
        <f>IF($A147="","",INDEX(Каталог!$M$4:$M$500,$A147)&amp;"")</f>
        <v/>
      </c>
      <c r="H147" s="32" t="str">
        <f>IF($A147="","",INDEX(Каталог!$P$4:$P$500,$A147))</f>
        <v/>
      </c>
      <c r="I147" s="5"/>
      <c r="J147" s="5"/>
    </row>
    <row r="148" spans="1:10" x14ac:dyDescent="0.3">
      <c r="A148" s="29" t="str">
        <f>IFERROR(MATCH(ROW()-3,Каталог!$AF$4:$AF$500,0),"")</f>
        <v/>
      </c>
      <c r="B148" s="29" t="str">
        <f t="shared" si="4"/>
        <v/>
      </c>
      <c r="C148" s="30" t="str">
        <f>IF($A148="","",INDEX(Каталог!$G$4:$G$500,$A148)&amp;"")</f>
        <v/>
      </c>
      <c r="D148" s="33"/>
      <c r="E148" s="31" t="str">
        <f>IF($A148="","",INDEX(Каталог!$H$4:$H$500,$A148)&amp;"")</f>
        <v/>
      </c>
      <c r="F148" s="32" t="str">
        <f>IF($A148="","",INDEX(Каталог!$B$4:$B$500,$A148)&amp;"")</f>
        <v/>
      </c>
      <c r="G148" s="32" t="str">
        <f>IF($A148="","",INDEX(Каталог!$M$4:$M$500,$A148)&amp;"")</f>
        <v/>
      </c>
      <c r="H148" s="32" t="str">
        <f>IF($A148="","",INDEX(Каталог!$P$4:$P$500,$A148))</f>
        <v/>
      </c>
      <c r="I148" s="5"/>
      <c r="J148" s="5"/>
    </row>
    <row r="149" spans="1:10" x14ac:dyDescent="0.3">
      <c r="A149" s="29" t="str">
        <f>IFERROR(MATCH(ROW()-3,Каталог!$AF$4:$AF$500,0),"")</f>
        <v/>
      </c>
      <c r="B149" s="29" t="str">
        <f t="shared" si="4"/>
        <v/>
      </c>
      <c r="C149" s="30" t="str">
        <f>IF($A149="","",INDEX(Каталог!$G$4:$G$500,$A149)&amp;"")</f>
        <v/>
      </c>
      <c r="D149" s="33"/>
      <c r="E149" s="31" t="str">
        <f>IF($A149="","",INDEX(Каталог!$H$4:$H$500,$A149)&amp;"")</f>
        <v/>
      </c>
      <c r="F149" s="32" t="str">
        <f>IF($A149="","",INDEX(Каталог!$B$4:$B$500,$A149)&amp;"")</f>
        <v/>
      </c>
      <c r="G149" s="32" t="str">
        <f>IF($A149="","",INDEX(Каталог!$M$4:$M$500,$A149)&amp;"")</f>
        <v/>
      </c>
      <c r="H149" s="32" t="str">
        <f>IF($A149="","",INDEX(Каталог!$P$4:$P$500,$A149))</f>
        <v/>
      </c>
      <c r="I149" s="5"/>
      <c r="J149" s="5"/>
    </row>
    <row r="150" spans="1:10" x14ac:dyDescent="0.3">
      <c r="A150" s="29" t="str">
        <f>IFERROR(MATCH(ROW()-3,Каталог!$AF$4:$AF$500,0),"")</f>
        <v/>
      </c>
      <c r="B150" s="29" t="str">
        <f t="shared" si="4"/>
        <v/>
      </c>
      <c r="C150" s="30" t="str">
        <f>IF($A150="","",INDEX(Каталог!$G$4:$G$500,$A150)&amp;"")</f>
        <v/>
      </c>
      <c r="D150" s="33"/>
      <c r="E150" s="31" t="str">
        <f>IF($A150="","",INDEX(Каталог!$H$4:$H$500,$A150)&amp;"")</f>
        <v/>
      </c>
      <c r="F150" s="32" t="str">
        <f>IF($A150="","",INDEX(Каталог!$B$4:$B$500,$A150)&amp;"")</f>
        <v/>
      </c>
      <c r="G150" s="32" t="str">
        <f>IF($A150="","",INDEX(Каталог!$M$4:$M$500,$A150)&amp;"")</f>
        <v/>
      </c>
      <c r="H150" s="32" t="str">
        <f>IF($A150="","",INDEX(Каталог!$P$4:$P$500,$A150))</f>
        <v/>
      </c>
      <c r="I150" s="5"/>
      <c r="J150" s="5"/>
    </row>
    <row r="151" spans="1:10" x14ac:dyDescent="0.3">
      <c r="A151" s="29" t="str">
        <f>IFERROR(MATCH(ROW()-3,Каталог!$AF$4:$AF$500,0),"")</f>
        <v/>
      </c>
      <c r="B151" s="29" t="str">
        <f t="shared" si="4"/>
        <v/>
      </c>
      <c r="C151" s="30" t="str">
        <f>IF($A151="","",INDEX(Каталог!$G$4:$G$500,$A151)&amp;"")</f>
        <v/>
      </c>
      <c r="D151" s="33"/>
      <c r="E151" s="31" t="str">
        <f>IF($A151="","",INDEX(Каталог!$H$4:$H$500,$A151)&amp;"")</f>
        <v/>
      </c>
      <c r="F151" s="32" t="str">
        <f>IF($A151="","",INDEX(Каталог!$B$4:$B$500,$A151)&amp;"")</f>
        <v/>
      </c>
      <c r="G151" s="32" t="str">
        <f>IF($A151="","",INDEX(Каталог!$M$4:$M$500,$A151)&amp;"")</f>
        <v/>
      </c>
      <c r="H151" s="32" t="str">
        <f>IF($A151="","",INDEX(Каталог!$P$4:$P$500,$A151))</f>
        <v/>
      </c>
      <c r="I151" s="5"/>
      <c r="J151" s="5"/>
    </row>
    <row r="152" spans="1:10" x14ac:dyDescent="0.3">
      <c r="A152" s="29" t="str">
        <f>IFERROR(MATCH(ROW()-3,Каталог!$AF$4:$AF$500,0),"")</f>
        <v/>
      </c>
      <c r="B152" s="29" t="str">
        <f t="shared" si="4"/>
        <v/>
      </c>
      <c r="C152" s="30" t="str">
        <f>IF($A152="","",INDEX(Каталог!$G$4:$G$500,$A152)&amp;"")</f>
        <v/>
      </c>
      <c r="D152" s="33"/>
      <c r="E152" s="31" t="str">
        <f>IF($A152="","",INDEX(Каталог!$H$4:$H$500,$A152)&amp;"")</f>
        <v/>
      </c>
      <c r="F152" s="32" t="str">
        <f>IF($A152="","",INDEX(Каталог!$B$4:$B$500,$A152)&amp;"")</f>
        <v/>
      </c>
      <c r="G152" s="32" t="str">
        <f>IF($A152="","",INDEX(Каталог!$M$4:$M$500,$A152)&amp;"")</f>
        <v/>
      </c>
      <c r="H152" s="32" t="str">
        <f>IF($A152="","",INDEX(Каталог!$P$4:$P$500,$A152))</f>
        <v/>
      </c>
      <c r="I152" s="5"/>
      <c r="J152" s="5"/>
    </row>
    <row r="153" spans="1:10" x14ac:dyDescent="0.3">
      <c r="A153" s="29" t="str">
        <f>IFERROR(MATCH(ROW()-3,Каталог!$AF$4:$AF$500,0),"")</f>
        <v/>
      </c>
      <c r="B153" s="29" t="str">
        <f t="shared" si="4"/>
        <v/>
      </c>
      <c r="C153" s="30" t="str">
        <f>IF($A153="","",INDEX(Каталог!$G$4:$G$500,$A153)&amp;"")</f>
        <v/>
      </c>
      <c r="D153" s="33"/>
      <c r="E153" s="31" t="str">
        <f>IF($A153="","",INDEX(Каталог!$H$4:$H$500,$A153)&amp;"")</f>
        <v/>
      </c>
      <c r="F153" s="32" t="str">
        <f>IF($A153="","",INDEX(Каталог!$B$4:$B$500,$A153)&amp;"")</f>
        <v/>
      </c>
      <c r="G153" s="32" t="str">
        <f>IF($A153="","",INDEX(Каталог!$M$4:$M$500,$A153)&amp;"")</f>
        <v/>
      </c>
      <c r="H153" s="32" t="str">
        <f>IF($A153="","",INDEX(Каталог!$P$4:$P$500,$A153))</f>
        <v/>
      </c>
      <c r="I153" s="5"/>
      <c r="J153" s="5"/>
    </row>
    <row r="154" spans="1:10" x14ac:dyDescent="0.3">
      <c r="A154" s="29" t="str">
        <f>IFERROR(MATCH(ROW()-3,Каталог!$AF$4:$AF$500,0),"")</f>
        <v/>
      </c>
      <c r="B154" s="29" t="str">
        <f t="shared" si="4"/>
        <v/>
      </c>
      <c r="C154" s="30" t="str">
        <f>IF($A154="","",INDEX(Каталог!$G$4:$G$500,$A154)&amp;"")</f>
        <v/>
      </c>
      <c r="D154" s="33"/>
      <c r="E154" s="31" t="str">
        <f>IF($A154="","",INDEX(Каталог!$H$4:$H$500,$A154)&amp;"")</f>
        <v/>
      </c>
      <c r="F154" s="32" t="str">
        <f>IF($A154="","",INDEX(Каталог!$B$4:$B$500,$A154)&amp;"")</f>
        <v/>
      </c>
      <c r="G154" s="32" t="str">
        <f>IF($A154="","",INDEX(Каталог!$M$4:$M$500,$A154)&amp;"")</f>
        <v/>
      </c>
      <c r="H154" s="32" t="str">
        <f>IF($A154="","",INDEX(Каталог!$P$4:$P$500,$A154))</f>
        <v/>
      </c>
      <c r="I154" s="5"/>
      <c r="J154" s="5"/>
    </row>
    <row r="155" spans="1:10" x14ac:dyDescent="0.3">
      <c r="A155" s="29" t="str">
        <f>IFERROR(MATCH(ROW()-3,Каталог!$AF$4:$AF$500,0),"")</f>
        <v/>
      </c>
      <c r="B155" s="29" t="str">
        <f t="shared" si="4"/>
        <v/>
      </c>
      <c r="C155" s="30" t="str">
        <f>IF($A155="","",INDEX(Каталог!$G$4:$G$500,$A155)&amp;"")</f>
        <v/>
      </c>
      <c r="D155" s="33"/>
      <c r="E155" s="31" t="str">
        <f>IF($A155="","",INDEX(Каталог!$H$4:$H$500,$A155)&amp;"")</f>
        <v/>
      </c>
      <c r="F155" s="32" t="str">
        <f>IF($A155="","",INDEX(Каталог!$B$4:$B$500,$A155)&amp;"")</f>
        <v/>
      </c>
      <c r="G155" s="32" t="str">
        <f>IF($A155="","",INDEX(Каталог!$M$4:$M$500,$A155)&amp;"")</f>
        <v/>
      </c>
      <c r="H155" s="32" t="str">
        <f>IF($A155="","",INDEX(Каталог!$P$4:$P$500,$A155))</f>
        <v/>
      </c>
      <c r="I155" s="5"/>
      <c r="J155" s="5"/>
    </row>
    <row r="156" spans="1:10" x14ac:dyDescent="0.3">
      <c r="A156" s="29" t="str">
        <f>IFERROR(MATCH(ROW()-3,Каталог!$AF$4:$AF$500,0),"")</f>
        <v/>
      </c>
      <c r="B156" s="29" t="str">
        <f t="shared" si="4"/>
        <v/>
      </c>
      <c r="C156" s="30" t="str">
        <f>IF($A156="","",INDEX(Каталог!$G$4:$G$500,$A156)&amp;"")</f>
        <v/>
      </c>
      <c r="D156" s="33"/>
      <c r="E156" s="31" t="str">
        <f>IF($A156="","",INDEX(Каталог!$H$4:$H$500,$A156)&amp;"")</f>
        <v/>
      </c>
      <c r="F156" s="32" t="str">
        <f>IF($A156="","",INDEX(Каталог!$B$4:$B$500,$A156)&amp;"")</f>
        <v/>
      </c>
      <c r="G156" s="32" t="str">
        <f>IF($A156="","",INDEX(Каталог!$M$4:$M$500,$A156)&amp;"")</f>
        <v/>
      </c>
      <c r="H156" s="32" t="str">
        <f>IF($A156="","",INDEX(Каталог!$P$4:$P$500,$A156))</f>
        <v/>
      </c>
      <c r="I156" s="5"/>
      <c r="J156" s="5"/>
    </row>
    <row r="157" spans="1:10" x14ac:dyDescent="0.3">
      <c r="A157" s="29" t="str">
        <f>IFERROR(MATCH(ROW()-3,Каталог!$AF$4:$AF$500,0),"")</f>
        <v/>
      </c>
      <c r="B157" s="29" t="str">
        <f t="shared" si="4"/>
        <v/>
      </c>
      <c r="C157" s="30" t="str">
        <f>IF($A157="","",INDEX(Каталог!$G$4:$G$500,$A157)&amp;"")</f>
        <v/>
      </c>
      <c r="D157" s="33"/>
      <c r="E157" s="31" t="str">
        <f>IF($A157="","",INDEX(Каталог!$H$4:$H$500,$A157)&amp;"")</f>
        <v/>
      </c>
      <c r="F157" s="32" t="str">
        <f>IF($A157="","",INDEX(Каталог!$B$4:$B$500,$A157)&amp;"")</f>
        <v/>
      </c>
      <c r="G157" s="32" t="str">
        <f>IF($A157="","",INDEX(Каталог!$M$4:$M$500,$A157)&amp;"")</f>
        <v/>
      </c>
      <c r="H157" s="32" t="str">
        <f>IF($A157="","",INDEX(Каталог!$P$4:$P$500,$A157))</f>
        <v/>
      </c>
      <c r="I157" s="5"/>
      <c r="J157" s="5"/>
    </row>
    <row r="158" spans="1:10" x14ac:dyDescent="0.3">
      <c r="A158" s="29" t="str">
        <f>IFERROR(MATCH(ROW()-3,Каталог!$AF$4:$AF$500,0),"")</f>
        <v/>
      </c>
      <c r="B158" s="29" t="str">
        <f t="shared" si="4"/>
        <v/>
      </c>
      <c r="C158" s="30" t="str">
        <f>IF($A158="","",INDEX(Каталог!$G$4:$G$500,$A158)&amp;"")</f>
        <v/>
      </c>
      <c r="D158" s="33"/>
      <c r="E158" s="31" t="str">
        <f>IF($A158="","",INDEX(Каталог!$H$4:$H$500,$A158)&amp;"")</f>
        <v/>
      </c>
      <c r="F158" s="32" t="str">
        <f>IF($A158="","",INDEX(Каталог!$B$4:$B$500,$A158)&amp;"")</f>
        <v/>
      </c>
      <c r="G158" s="32" t="str">
        <f>IF($A158="","",INDEX(Каталог!$M$4:$M$500,$A158)&amp;"")</f>
        <v/>
      </c>
      <c r="H158" s="32" t="str">
        <f>IF($A158="","",INDEX(Каталог!$P$4:$P$500,$A158))</f>
        <v/>
      </c>
      <c r="I158" s="5"/>
      <c r="J158" s="5"/>
    </row>
    <row r="159" spans="1:10" x14ac:dyDescent="0.3">
      <c r="A159" s="29" t="str">
        <f>IFERROR(MATCH(ROW()-3,Каталог!$AF$4:$AF$500,0),"")</f>
        <v/>
      </c>
      <c r="B159" s="29" t="str">
        <f t="shared" si="4"/>
        <v/>
      </c>
      <c r="C159" s="30" t="str">
        <f>IF($A159="","",INDEX(Каталог!$G$4:$G$500,$A159)&amp;"")</f>
        <v/>
      </c>
      <c r="D159" s="33"/>
      <c r="E159" s="31" t="str">
        <f>IF($A159="","",INDEX(Каталог!$H$4:$H$500,$A159)&amp;"")</f>
        <v/>
      </c>
      <c r="F159" s="32" t="str">
        <f>IF($A159="","",INDEX(Каталог!$B$4:$B$500,$A159)&amp;"")</f>
        <v/>
      </c>
      <c r="G159" s="32" t="str">
        <f>IF($A159="","",INDEX(Каталог!$M$4:$M$500,$A159)&amp;"")</f>
        <v/>
      </c>
      <c r="H159" s="32" t="str">
        <f>IF($A159="","",INDEX(Каталог!$P$4:$P$500,$A159))</f>
        <v/>
      </c>
      <c r="I159" s="5"/>
      <c r="J159" s="5"/>
    </row>
    <row r="160" spans="1:10" x14ac:dyDescent="0.3">
      <c r="A160" s="29" t="str">
        <f>IFERROR(MATCH(ROW()-3,Каталог!$AF$4:$AF$500,0),"")</f>
        <v/>
      </c>
      <c r="B160" s="29" t="str">
        <f t="shared" si="4"/>
        <v/>
      </c>
      <c r="C160" s="30" t="str">
        <f>IF($A160="","",INDEX(Каталог!$G$4:$G$500,$A160)&amp;"")</f>
        <v/>
      </c>
      <c r="D160" s="33"/>
      <c r="E160" s="31" t="str">
        <f>IF($A160="","",INDEX(Каталог!$H$4:$H$500,$A160)&amp;"")</f>
        <v/>
      </c>
      <c r="F160" s="32" t="str">
        <f>IF($A160="","",INDEX(Каталог!$B$4:$B$500,$A160)&amp;"")</f>
        <v/>
      </c>
      <c r="G160" s="32" t="str">
        <f>IF($A160="","",INDEX(Каталог!$M$4:$M$500,$A160)&amp;"")</f>
        <v/>
      </c>
      <c r="H160" s="32" t="str">
        <f>IF($A160="","",INDEX(Каталог!$P$4:$P$500,$A160))</f>
        <v/>
      </c>
      <c r="I160" s="5"/>
      <c r="J160" s="5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D00-000001000000}">
            <xm:f>Каталог!$R$28&lt;&gt;""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F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.77734375" customWidth="1"/>
    <col min="2" max="2" width="12.77734375" customWidth="1"/>
    <col min="3" max="3" width="16.77734375" customWidth="1"/>
    <col min="4" max="4" width="46.77734375" customWidth="1"/>
    <col min="5" max="5" width="16.77734375" customWidth="1"/>
    <col min="6" max="6" width="50.77734375" customWidth="1"/>
  </cols>
  <sheetData>
    <row r="1" spans="1:6" x14ac:dyDescent="0.3">
      <c r="A1" s="36" t="s">
        <v>1201</v>
      </c>
    </row>
    <row r="3" spans="1:6" x14ac:dyDescent="0.3">
      <c r="A3" s="117" t="s">
        <v>657</v>
      </c>
      <c r="B3" s="117" t="s">
        <v>4</v>
      </c>
      <c r="C3" s="117" t="s">
        <v>1202</v>
      </c>
      <c r="D3" s="117" t="s">
        <v>1203</v>
      </c>
      <c r="E3" s="117" t="s">
        <v>446</v>
      </c>
      <c r="F3" s="117" t="s">
        <v>6</v>
      </c>
    </row>
    <row r="4" spans="1:6" x14ac:dyDescent="0.3">
      <c r="A4" cm="1">
        <f t="array" ref="A4:F4">_xlfn.LET(_xlpm.kk,_xlfn.TOCOL(_xlfn.HSTACK(Линии[_бирка 1],Линии[_бирка 2],Линии[_бирка 3],Линии[_бирка 4],Линии[_бирка 5],Линии[_бирка 6]),1),_xlpm.ii,_xlfn.TOCOL(_xlfn.HSTACK(Линии[_бирка 1 линия],Линии[_бирка 2 линия],Линии[_бирка 3 линия],Линии[_бирка 4 линия],Линии[_бирка 5 линия],Линии[_бирка 6 линия]),1),IF(ROWS(_xlpm.kk)=0,"нет",_xlfn.LET(_xlpm.u,_xlfn.UNIQUE(_xlpm.kk),_xlpm.inf,_xlfn.XLOOKUP(_xlpm.u,_xlpm.kk,_xlpm.ii),_xlfn.HSTACK(_xlfn.SEQUENCE(ROWS(_xlpm.u)),_xlfn.TEXTBEFORE(_xlpm.u,"¦"),_xlfn.TEXTBEFORE(_xlfn.TEXTAFTER(_xlpm.u,"¦"),"¦"),_xlfn.TEXTAFTER(_xlpm.u,"¦",2),_xlfn.TEXTBEFORE(_xlpm.inf,"¦"),_xlfn.TEXTAFTER(_xlpm.inf,"¦")))))</f>
        <v>1</v>
      </c>
      <c r="B4" t="e">
        <v>#N/A</v>
      </c>
      <c r="C4" t="e">
        <v>#N/A</v>
      </c>
      <c r="D4" t="e">
        <v>#VALUE!</v>
      </c>
      <c r="E4" t="e">
        <v>#N/A</v>
      </c>
      <c r="F4" t="e">
        <v>#N/A</v>
      </c>
    </row>
  </sheetData>
  <pageMargins left="0.4" right="0.4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910A-7C03-4235-9CD9-68EB70B3BB5D}">
  <sheetPr>
    <tabColor rgb="FF00B050"/>
  </sheetPr>
  <dimension ref="B1:F334"/>
  <sheetViews>
    <sheetView showGridLines="0" workbookViewId="0"/>
  </sheetViews>
  <sheetFormatPr defaultRowHeight="13.2" x14ac:dyDescent="0.3"/>
  <cols>
    <col min="1" max="1" width="3.77734375" style="81" customWidth="1"/>
    <col min="2" max="2" width="30.77734375" style="81" customWidth="1"/>
    <col min="3" max="3" width="34.77734375" style="81" customWidth="1"/>
    <col min="4" max="4" width="22.77734375" style="81" customWidth="1"/>
    <col min="5" max="5" width="34.77734375" style="81" customWidth="1"/>
    <col min="6" max="6" width="22.77734375" style="81" customWidth="1"/>
    <col min="7" max="16384" width="8.88671875" style="81"/>
  </cols>
  <sheetData>
    <row r="1" spans="2:6" ht="13.5" customHeight="1" x14ac:dyDescent="0.3">
      <c r="B1" s="135" t="s">
        <v>1393</v>
      </c>
      <c r="C1" s="135"/>
      <c r="D1" s="135"/>
      <c r="E1" s="135"/>
      <c r="F1" s="135"/>
    </row>
    <row r="2" spans="2:6" ht="13.5" customHeight="1" x14ac:dyDescent="0.3">
      <c r="B2" s="94" t="s">
        <v>1394</v>
      </c>
      <c r="C2" s="94"/>
      <c r="D2" s="94"/>
      <c r="E2" s="94"/>
      <c r="F2" s="94"/>
    </row>
    <row r="3" spans="2:6" ht="13.5" customHeight="1" x14ac:dyDescent="0.3">
      <c r="B3" s="94" t="s">
        <v>1395</v>
      </c>
      <c r="C3" s="94"/>
      <c r="D3" s="94"/>
      <c r="E3" s="94"/>
      <c r="F3" s="94"/>
    </row>
    <row r="4" spans="2:6" ht="27" customHeight="1" x14ac:dyDescent="0.3">
      <c r="B4" s="94" t="s">
        <v>1396</v>
      </c>
      <c r="C4" s="94"/>
      <c r="D4" s="94"/>
      <c r="E4" s="94"/>
      <c r="F4" s="94"/>
    </row>
    <row r="5" spans="2:6" ht="13.5" customHeight="1" x14ac:dyDescent="0.3">
      <c r="B5" s="94" t="s">
        <v>1397</v>
      </c>
      <c r="C5" s="94"/>
      <c r="D5" s="94"/>
      <c r="E5" s="94"/>
      <c r="F5" s="94"/>
    </row>
    <row r="6" spans="2:6" ht="13.5" customHeight="1" x14ac:dyDescent="0.3">
      <c r="B6" s="94" t="s">
        <v>1398</v>
      </c>
      <c r="C6" s="94"/>
      <c r="D6" s="94"/>
      <c r="E6" s="94"/>
      <c r="F6" s="94"/>
    </row>
    <row r="7" spans="2:6" ht="40.5" customHeight="1" x14ac:dyDescent="0.3">
      <c r="B7" s="94" t="s">
        <v>1399</v>
      </c>
      <c r="C7" s="94"/>
      <c r="D7" s="94"/>
      <c r="E7" s="94"/>
      <c r="F7" s="94"/>
    </row>
    <row r="8" spans="2:6" ht="13.5" customHeight="1" x14ac:dyDescent="0.3">
      <c r="B8" s="94" t="s">
        <v>1400</v>
      </c>
      <c r="C8" s="94"/>
      <c r="D8" s="94"/>
      <c r="E8" s="94"/>
      <c r="F8" s="94"/>
    </row>
    <row r="9" spans="2:6" ht="13.5" customHeight="1" x14ac:dyDescent="0.3">
      <c r="B9" s="94" t="s">
        <v>1401</v>
      </c>
      <c r="C9" s="94"/>
      <c r="D9" s="94"/>
      <c r="E9" s="94"/>
      <c r="F9" s="94"/>
    </row>
    <row r="10" spans="2:6" x14ac:dyDescent="0.3">
      <c r="B10" s="85" t="s">
        <v>1402</v>
      </c>
      <c r="C10" s="85" t="s">
        <v>1403</v>
      </c>
      <c r="D10" s="85" t="s">
        <v>1404</v>
      </c>
    </row>
    <row r="11" spans="2:6" ht="39.6" x14ac:dyDescent="0.3">
      <c r="B11" s="87" t="s">
        <v>1405</v>
      </c>
      <c r="C11" s="87" t="s">
        <v>1406</v>
      </c>
      <c r="D11" s="87" t="s">
        <v>1407</v>
      </c>
    </row>
    <row r="12" spans="2:6" ht="39.6" x14ac:dyDescent="0.3">
      <c r="B12" s="87" t="s">
        <v>1408</v>
      </c>
      <c r="C12" s="87" t="s">
        <v>1409</v>
      </c>
      <c r="D12" s="87" t="s">
        <v>1410</v>
      </c>
    </row>
    <row r="13" spans="2:6" ht="39.6" x14ac:dyDescent="0.3">
      <c r="B13" s="87" t="s">
        <v>1411</v>
      </c>
      <c r="C13" s="87" t="s">
        <v>713</v>
      </c>
      <c r="D13" s="87" t="s">
        <v>1412</v>
      </c>
    </row>
    <row r="14" spans="2:6" ht="52.8" x14ac:dyDescent="0.3">
      <c r="B14" s="87" t="s">
        <v>1413</v>
      </c>
      <c r="C14" s="87" t="s">
        <v>713</v>
      </c>
      <c r="D14" s="87" t="s">
        <v>1414</v>
      </c>
    </row>
    <row r="15" spans="2:6" ht="52.8" x14ac:dyDescent="0.3">
      <c r="B15" s="87" t="s">
        <v>1415</v>
      </c>
      <c r="C15" s="87" t="s">
        <v>713</v>
      </c>
      <c r="D15" s="87" t="s">
        <v>1416</v>
      </c>
    </row>
    <row r="16" spans="2:6" ht="26.4" x14ac:dyDescent="0.3">
      <c r="B16" s="87" t="s">
        <v>1417</v>
      </c>
      <c r="C16" s="87" t="s">
        <v>713</v>
      </c>
      <c r="D16" s="87" t="s">
        <v>1418</v>
      </c>
    </row>
    <row r="17" spans="2:6" ht="26.4" x14ac:dyDescent="0.3">
      <c r="B17" s="87" t="s">
        <v>1419</v>
      </c>
      <c r="C17" s="87" t="s">
        <v>713</v>
      </c>
      <c r="D17" s="87" t="s">
        <v>1420</v>
      </c>
    </row>
    <row r="18" spans="2:6" ht="52.8" x14ac:dyDescent="0.3">
      <c r="B18" s="87" t="s">
        <v>1421</v>
      </c>
      <c r="C18" s="87" t="s">
        <v>713</v>
      </c>
      <c r="D18" s="87" t="s">
        <v>1422</v>
      </c>
    </row>
    <row r="20" spans="2:6" ht="27" customHeight="1" x14ac:dyDescent="0.3">
      <c r="B20" s="96" t="s">
        <v>1423</v>
      </c>
      <c r="C20" s="96"/>
      <c r="D20" s="96"/>
      <c r="E20" s="96"/>
      <c r="F20" s="96"/>
    </row>
    <row r="21" spans="2:6" ht="13.5" customHeight="1" x14ac:dyDescent="0.3">
      <c r="B21" s="94" t="s">
        <v>1424</v>
      </c>
      <c r="C21" s="94"/>
      <c r="D21" s="94"/>
      <c r="E21" s="94"/>
      <c r="F21" s="94"/>
    </row>
    <row r="22" spans="2:6" x14ac:dyDescent="0.3">
      <c r="B22" s="92"/>
      <c r="C22" s="92"/>
      <c r="D22" s="92"/>
      <c r="E22" s="92"/>
      <c r="F22" s="92"/>
    </row>
    <row r="23" spans="2:6" ht="13.5" customHeight="1" x14ac:dyDescent="0.3">
      <c r="B23" s="136" t="s">
        <v>1425</v>
      </c>
      <c r="C23" s="136"/>
      <c r="D23" s="136"/>
      <c r="E23" s="136"/>
      <c r="F23" s="136"/>
    </row>
    <row r="24" spans="2:6" x14ac:dyDescent="0.3">
      <c r="B24" s="85" t="s">
        <v>657</v>
      </c>
      <c r="C24" s="85" t="s">
        <v>1426</v>
      </c>
      <c r="D24" s="85" t="s">
        <v>1427</v>
      </c>
      <c r="E24" s="85" t="s">
        <v>1428</v>
      </c>
      <c r="F24" s="85" t="s">
        <v>1429</v>
      </c>
    </row>
    <row r="25" spans="2:6" x14ac:dyDescent="0.3">
      <c r="B25" s="87">
        <v>1</v>
      </c>
      <c r="C25" s="87" t="s">
        <v>1430</v>
      </c>
      <c r="D25" s="87" t="s">
        <v>1431</v>
      </c>
      <c r="E25" s="87" t="s">
        <v>1432</v>
      </c>
      <c r="F25" s="87" t="s">
        <v>1433</v>
      </c>
    </row>
    <row r="26" spans="2:6" ht="52.8" x14ac:dyDescent="0.3">
      <c r="B26" s="87">
        <v>2</v>
      </c>
      <c r="C26" s="87" t="s">
        <v>1434</v>
      </c>
      <c r="D26" s="87" t="s">
        <v>1435</v>
      </c>
      <c r="E26" s="87" t="s">
        <v>1436</v>
      </c>
      <c r="F26" s="87" t="s">
        <v>1437</v>
      </c>
    </row>
    <row r="27" spans="2:6" ht="26.4" x14ac:dyDescent="0.3">
      <c r="B27" s="87">
        <v>3</v>
      </c>
      <c r="C27" s="87" t="s">
        <v>1438</v>
      </c>
      <c r="D27" s="87" t="s">
        <v>1431</v>
      </c>
      <c r="E27" s="87" t="s">
        <v>1439</v>
      </c>
      <c r="F27" s="87" t="s">
        <v>1440</v>
      </c>
    </row>
    <row r="28" spans="2:6" ht="66" x14ac:dyDescent="0.3">
      <c r="B28" s="87">
        <v>4</v>
      </c>
      <c r="C28" s="87" t="s">
        <v>1441</v>
      </c>
      <c r="D28" s="87" t="s">
        <v>1435</v>
      </c>
      <c r="E28" s="87" t="s">
        <v>1442</v>
      </c>
      <c r="F28" s="87" t="s">
        <v>1443</v>
      </c>
    </row>
    <row r="29" spans="2:6" ht="26.4" x14ac:dyDescent="0.3">
      <c r="B29" s="87">
        <v>5</v>
      </c>
      <c r="C29" s="87" t="s">
        <v>1444</v>
      </c>
      <c r="D29" s="87" t="s">
        <v>1431</v>
      </c>
      <c r="E29" s="87" t="s">
        <v>1445</v>
      </c>
      <c r="F29" s="87" t="s">
        <v>1433</v>
      </c>
    </row>
    <row r="30" spans="2:6" x14ac:dyDescent="0.3">
      <c r="B30" s="87">
        <v>6</v>
      </c>
      <c r="C30" s="87" t="s">
        <v>1446</v>
      </c>
      <c r="D30" s="87" t="s">
        <v>1447</v>
      </c>
      <c r="E30" s="87" t="s">
        <v>1448</v>
      </c>
      <c r="F30" s="87" t="s">
        <v>1433</v>
      </c>
    </row>
    <row r="31" spans="2:6" ht="39.6" x14ac:dyDescent="0.3">
      <c r="B31" s="87">
        <v>7</v>
      </c>
      <c r="C31" s="87" t="s">
        <v>1449</v>
      </c>
      <c r="D31" s="87" t="s">
        <v>1431</v>
      </c>
      <c r="E31" s="87" t="s">
        <v>1450</v>
      </c>
      <c r="F31" s="87" t="s">
        <v>1451</v>
      </c>
    </row>
    <row r="32" spans="2:6" ht="26.4" x14ac:dyDescent="0.3">
      <c r="B32" s="87">
        <v>8</v>
      </c>
      <c r="C32" s="87" t="s">
        <v>1452</v>
      </c>
      <c r="D32" s="87" t="s">
        <v>1435</v>
      </c>
      <c r="E32" s="87" t="s">
        <v>1453</v>
      </c>
      <c r="F32" s="87" t="s">
        <v>1454</v>
      </c>
    </row>
    <row r="33" spans="2:6" ht="26.4" x14ac:dyDescent="0.3">
      <c r="B33" s="87">
        <v>9</v>
      </c>
      <c r="C33" s="87" t="s">
        <v>1455</v>
      </c>
      <c r="D33" s="87" t="s">
        <v>1456</v>
      </c>
      <c r="E33" s="87" t="s">
        <v>1457</v>
      </c>
      <c r="F33" s="87" t="s">
        <v>1458</v>
      </c>
    </row>
    <row r="34" spans="2:6" ht="39.6" x14ac:dyDescent="0.3">
      <c r="B34" s="87">
        <v>10</v>
      </c>
      <c r="C34" s="87" t="s">
        <v>1459</v>
      </c>
      <c r="D34" s="87" t="s">
        <v>1460</v>
      </c>
      <c r="E34" s="87" t="s">
        <v>1461</v>
      </c>
      <c r="F34" s="87" t="s">
        <v>1462</v>
      </c>
    </row>
    <row r="35" spans="2:6" ht="39.6" x14ac:dyDescent="0.3">
      <c r="B35" s="87">
        <v>11</v>
      </c>
      <c r="C35" s="87" t="s">
        <v>1463</v>
      </c>
      <c r="D35" s="87" t="s">
        <v>1435</v>
      </c>
      <c r="E35" s="87" t="s">
        <v>1464</v>
      </c>
      <c r="F35" s="87" t="s">
        <v>1465</v>
      </c>
    </row>
    <row r="36" spans="2:6" ht="52.8" x14ac:dyDescent="0.3">
      <c r="B36" s="87">
        <v>12</v>
      </c>
      <c r="C36" s="87" t="s">
        <v>1466</v>
      </c>
      <c r="D36" s="87" t="s">
        <v>1435</v>
      </c>
      <c r="E36" s="87" t="s">
        <v>1467</v>
      </c>
      <c r="F36" s="87" t="s">
        <v>1468</v>
      </c>
    </row>
    <row r="37" spans="2:6" ht="39.6" x14ac:dyDescent="0.3">
      <c r="B37" s="87">
        <v>13</v>
      </c>
      <c r="C37" s="87" t="s">
        <v>1469</v>
      </c>
      <c r="D37" s="87" t="s">
        <v>1435</v>
      </c>
      <c r="E37" s="87" t="s">
        <v>1470</v>
      </c>
      <c r="F37" s="87" t="s">
        <v>1471</v>
      </c>
    </row>
    <row r="38" spans="2:6" ht="26.4" x14ac:dyDescent="0.3">
      <c r="B38" s="87">
        <v>14</v>
      </c>
      <c r="C38" s="87" t="s">
        <v>1472</v>
      </c>
      <c r="D38" s="87" t="s">
        <v>1431</v>
      </c>
      <c r="E38" s="87" t="s">
        <v>1473</v>
      </c>
      <c r="F38" s="87" t="s">
        <v>1474</v>
      </c>
    </row>
    <row r="39" spans="2:6" ht="26.4" x14ac:dyDescent="0.3">
      <c r="B39" s="87">
        <v>15</v>
      </c>
      <c r="C39" s="87" t="s">
        <v>1475</v>
      </c>
      <c r="D39" s="87" t="s">
        <v>1435</v>
      </c>
      <c r="E39" s="87" t="s">
        <v>1476</v>
      </c>
      <c r="F39" s="87" t="s">
        <v>1477</v>
      </c>
    </row>
    <row r="40" spans="2:6" ht="26.4" x14ac:dyDescent="0.3">
      <c r="B40" s="87">
        <v>16</v>
      </c>
      <c r="C40" s="87" t="s">
        <v>171</v>
      </c>
      <c r="D40" s="87" t="s">
        <v>1431</v>
      </c>
      <c r="E40" s="87" t="s">
        <v>1478</v>
      </c>
      <c r="F40" s="87" t="s">
        <v>1433</v>
      </c>
    </row>
    <row r="41" spans="2:6" ht="26.4" x14ac:dyDescent="0.3">
      <c r="B41" s="87">
        <v>17</v>
      </c>
      <c r="C41" s="87" t="s">
        <v>1479</v>
      </c>
      <c r="D41" s="87" t="s">
        <v>1431</v>
      </c>
      <c r="E41" s="87" t="s">
        <v>1480</v>
      </c>
      <c r="F41" s="87" t="s">
        <v>1433</v>
      </c>
    </row>
    <row r="42" spans="2:6" ht="26.4" x14ac:dyDescent="0.3">
      <c r="B42" s="87">
        <v>18</v>
      </c>
      <c r="C42" s="87" t="s">
        <v>1481</v>
      </c>
      <c r="D42" s="87" t="s">
        <v>1435</v>
      </c>
      <c r="E42" s="87" t="s">
        <v>1482</v>
      </c>
      <c r="F42" s="87" t="s">
        <v>1483</v>
      </c>
    </row>
    <row r="43" spans="2:6" ht="39.6" x14ac:dyDescent="0.3">
      <c r="B43" s="87">
        <v>19</v>
      </c>
      <c r="C43" s="87" t="s">
        <v>1484</v>
      </c>
      <c r="D43" s="87" t="s">
        <v>1456</v>
      </c>
      <c r="E43" s="87" t="s">
        <v>1485</v>
      </c>
      <c r="F43" s="87" t="s">
        <v>1486</v>
      </c>
    </row>
    <row r="44" spans="2:6" x14ac:dyDescent="0.3">
      <c r="B44" s="87">
        <v>20</v>
      </c>
      <c r="C44" s="87" t="s">
        <v>1487</v>
      </c>
      <c r="D44" s="87" t="s">
        <v>1435</v>
      </c>
      <c r="E44" s="87" t="s">
        <v>1488</v>
      </c>
      <c r="F44" s="87" t="s">
        <v>1489</v>
      </c>
    </row>
    <row r="46" spans="2:6" ht="13.5" customHeight="1" x14ac:dyDescent="0.3">
      <c r="B46" s="94" t="s">
        <v>1424</v>
      </c>
      <c r="C46" s="94"/>
      <c r="D46" s="94"/>
      <c r="E46" s="94"/>
      <c r="F46" s="94"/>
    </row>
    <row r="47" spans="2:6" x14ac:dyDescent="0.3">
      <c r="B47" s="92"/>
      <c r="C47" s="92"/>
      <c r="D47" s="92"/>
      <c r="E47" s="92"/>
      <c r="F47" s="92"/>
    </row>
    <row r="48" spans="2:6" ht="13.5" customHeight="1" x14ac:dyDescent="0.3">
      <c r="B48" s="136" t="s">
        <v>1490</v>
      </c>
      <c r="C48" s="136"/>
      <c r="D48" s="136"/>
      <c r="E48" s="136"/>
      <c r="F48" s="136"/>
    </row>
    <row r="49" spans="2:6" ht="13.5" customHeight="1" x14ac:dyDescent="0.3">
      <c r="B49" s="94" t="s">
        <v>1491</v>
      </c>
      <c r="C49" s="94"/>
      <c r="D49" s="94"/>
      <c r="E49" s="94"/>
      <c r="F49" s="94"/>
    </row>
    <row r="50" spans="2:6" ht="13.5" customHeight="1" x14ac:dyDescent="0.3">
      <c r="B50" s="94" t="s">
        <v>1492</v>
      </c>
      <c r="C50" s="94"/>
      <c r="D50" s="94"/>
      <c r="E50" s="94"/>
      <c r="F50" s="94"/>
    </row>
    <row r="51" spans="2:6" x14ac:dyDescent="0.3">
      <c r="B51" s="85" t="s">
        <v>1493</v>
      </c>
      <c r="C51" s="85" t="s">
        <v>1494</v>
      </c>
      <c r="D51" s="85" t="s">
        <v>1495</v>
      </c>
    </row>
    <row r="52" spans="2:6" x14ac:dyDescent="0.3">
      <c r="B52" s="87" t="s">
        <v>6</v>
      </c>
      <c r="C52" s="87" t="s">
        <v>1496</v>
      </c>
      <c r="D52" s="87" t="s">
        <v>1497</v>
      </c>
    </row>
    <row r="53" spans="2:6" x14ac:dyDescent="0.3">
      <c r="B53" s="87" t="s">
        <v>900</v>
      </c>
      <c r="C53" s="87" t="s">
        <v>32</v>
      </c>
      <c r="D53" s="87" t="s">
        <v>1498</v>
      </c>
    </row>
    <row r="54" spans="2:6" ht="26.4" x14ac:dyDescent="0.3">
      <c r="B54" s="87" t="s">
        <v>1499</v>
      </c>
      <c r="C54" s="87" t="s">
        <v>1500</v>
      </c>
      <c r="D54" s="87" t="s">
        <v>1501</v>
      </c>
    </row>
    <row r="55" spans="2:6" ht="26.4" x14ac:dyDescent="0.3">
      <c r="B55" s="87" t="s">
        <v>1502</v>
      </c>
      <c r="C55" s="87" t="s">
        <v>1503</v>
      </c>
      <c r="D55" s="87" t="s">
        <v>1504</v>
      </c>
    </row>
    <row r="56" spans="2:6" ht="26.4" x14ac:dyDescent="0.3">
      <c r="B56" s="87" t="s">
        <v>1505</v>
      </c>
      <c r="C56" s="87" t="s">
        <v>1506</v>
      </c>
      <c r="D56" s="87" t="s">
        <v>1507</v>
      </c>
    </row>
    <row r="57" spans="2:6" ht="26.4" x14ac:dyDescent="0.3">
      <c r="B57" s="87" t="s">
        <v>1508</v>
      </c>
      <c r="C57" s="87" t="s">
        <v>507</v>
      </c>
      <c r="D57" s="87" t="s">
        <v>1509</v>
      </c>
    </row>
    <row r="58" spans="2:6" x14ac:dyDescent="0.3">
      <c r="B58" s="87" t="s">
        <v>545</v>
      </c>
      <c r="C58" s="87" t="s">
        <v>1510</v>
      </c>
      <c r="D58" s="87" t="s">
        <v>1511</v>
      </c>
    </row>
    <row r="59" spans="2:6" x14ac:dyDescent="0.3">
      <c r="B59" s="87" t="s">
        <v>799</v>
      </c>
      <c r="C59" s="87" t="s">
        <v>1512</v>
      </c>
      <c r="D59" s="87" t="s">
        <v>1513</v>
      </c>
    </row>
    <row r="60" spans="2:6" ht="26.4" x14ac:dyDescent="0.3">
      <c r="B60" s="87" t="s">
        <v>1514</v>
      </c>
      <c r="C60" s="87" t="s">
        <v>1515</v>
      </c>
      <c r="D60" s="87" t="s">
        <v>1516</v>
      </c>
    </row>
    <row r="62" spans="2:6" ht="13.5" customHeight="1" x14ac:dyDescent="0.3">
      <c r="B62" s="94" t="s">
        <v>1517</v>
      </c>
      <c r="C62" s="94"/>
      <c r="D62" s="94"/>
      <c r="E62" s="94"/>
      <c r="F62" s="94"/>
    </row>
    <row r="63" spans="2:6" ht="13.5" customHeight="1" x14ac:dyDescent="0.3">
      <c r="B63" s="94" t="s">
        <v>1424</v>
      </c>
      <c r="C63" s="94"/>
      <c r="D63" s="94"/>
      <c r="E63" s="94"/>
      <c r="F63" s="94"/>
    </row>
    <row r="64" spans="2:6" x14ac:dyDescent="0.3">
      <c r="B64" s="92"/>
      <c r="C64" s="92"/>
      <c r="D64" s="92"/>
      <c r="E64" s="92"/>
      <c r="F64" s="92"/>
    </row>
    <row r="65" spans="2:6" ht="13.5" customHeight="1" x14ac:dyDescent="0.3">
      <c r="B65" s="136" t="s">
        <v>1518</v>
      </c>
      <c r="C65" s="136"/>
      <c r="D65" s="136"/>
      <c r="E65" s="136"/>
      <c r="F65" s="136"/>
    </row>
    <row r="66" spans="2:6" ht="13.5" customHeight="1" x14ac:dyDescent="0.3">
      <c r="B66" s="94" t="s">
        <v>1519</v>
      </c>
      <c r="C66" s="94"/>
      <c r="D66" s="94"/>
      <c r="E66" s="94"/>
      <c r="F66" s="94"/>
    </row>
    <row r="67" spans="2:6" ht="13.5" customHeight="1" x14ac:dyDescent="0.3">
      <c r="B67" s="94" t="s">
        <v>1520</v>
      </c>
      <c r="C67" s="94"/>
      <c r="D67" s="94"/>
      <c r="E67" s="94"/>
      <c r="F67" s="94"/>
    </row>
    <row r="68" spans="2:6" ht="13.5" customHeight="1" x14ac:dyDescent="0.3">
      <c r="B68" s="94" t="s">
        <v>1521</v>
      </c>
      <c r="C68" s="94"/>
      <c r="D68" s="94"/>
      <c r="E68" s="94"/>
      <c r="F68" s="94"/>
    </row>
    <row r="69" spans="2:6" ht="13.5" customHeight="1" x14ac:dyDescent="0.3">
      <c r="B69" s="94" t="s">
        <v>1522</v>
      </c>
      <c r="C69" s="94"/>
      <c r="D69" s="94"/>
      <c r="E69" s="94"/>
      <c r="F69" s="94"/>
    </row>
    <row r="70" spans="2:6" ht="13.5" customHeight="1" x14ac:dyDescent="0.3">
      <c r="B70" s="94" t="s">
        <v>1523</v>
      </c>
      <c r="C70" s="94"/>
      <c r="D70" s="94"/>
      <c r="E70" s="94"/>
      <c r="F70" s="94"/>
    </row>
    <row r="71" spans="2:6" ht="13.5" customHeight="1" x14ac:dyDescent="0.3">
      <c r="B71" s="94" t="s">
        <v>1524</v>
      </c>
      <c r="C71" s="94"/>
      <c r="D71" s="94"/>
      <c r="E71" s="94"/>
      <c r="F71" s="94"/>
    </row>
    <row r="72" spans="2:6" ht="13.5" customHeight="1" x14ac:dyDescent="0.3">
      <c r="B72" s="137" t="s">
        <v>1525</v>
      </c>
      <c r="C72" s="137"/>
      <c r="D72" s="137"/>
      <c r="E72" s="137"/>
      <c r="F72" s="137"/>
    </row>
    <row r="73" spans="2:6" ht="13.5" customHeight="1" x14ac:dyDescent="0.3">
      <c r="B73" s="94" t="s">
        <v>1526</v>
      </c>
      <c r="C73" s="94"/>
      <c r="D73" s="94"/>
      <c r="E73" s="94"/>
      <c r="F73" s="94"/>
    </row>
    <row r="74" spans="2:6" ht="13.5" customHeight="1" x14ac:dyDescent="0.3">
      <c r="B74" s="94" t="s">
        <v>1527</v>
      </c>
      <c r="C74" s="94"/>
      <c r="D74" s="94"/>
      <c r="E74" s="94"/>
      <c r="F74" s="94"/>
    </row>
    <row r="75" spans="2:6" ht="13.5" customHeight="1" x14ac:dyDescent="0.3">
      <c r="B75" s="94" t="s">
        <v>1528</v>
      </c>
      <c r="C75" s="94"/>
      <c r="D75" s="94"/>
      <c r="E75" s="94"/>
      <c r="F75" s="94"/>
    </row>
    <row r="76" spans="2:6" ht="27" customHeight="1" x14ac:dyDescent="0.3">
      <c r="B76" s="94" t="s">
        <v>1529</v>
      </c>
      <c r="C76" s="94"/>
      <c r="D76" s="94"/>
      <c r="E76" s="94"/>
      <c r="F76" s="94"/>
    </row>
    <row r="77" spans="2:6" ht="13.5" customHeight="1" x14ac:dyDescent="0.3">
      <c r="B77" s="94" t="s">
        <v>1530</v>
      </c>
      <c r="C77" s="94"/>
      <c r="D77" s="94"/>
      <c r="E77" s="94"/>
      <c r="F77" s="94"/>
    </row>
    <row r="78" spans="2:6" ht="13.5" customHeight="1" x14ac:dyDescent="0.3">
      <c r="B78" s="94" t="s">
        <v>1531</v>
      </c>
      <c r="C78" s="94"/>
      <c r="D78" s="94"/>
      <c r="E78" s="94"/>
      <c r="F78" s="94"/>
    </row>
    <row r="79" spans="2:6" ht="13.5" customHeight="1" x14ac:dyDescent="0.3">
      <c r="B79" s="94" t="s">
        <v>1424</v>
      </c>
      <c r="C79" s="94"/>
      <c r="D79" s="94"/>
      <c r="E79" s="94"/>
      <c r="F79" s="94"/>
    </row>
    <row r="80" spans="2:6" x14ac:dyDescent="0.3">
      <c r="B80" s="92"/>
      <c r="C80" s="92"/>
      <c r="D80" s="92"/>
      <c r="E80" s="92"/>
      <c r="F80" s="92"/>
    </row>
    <row r="81" spans="2:6" ht="13.5" customHeight="1" x14ac:dyDescent="0.3">
      <c r="B81" s="136" t="s">
        <v>1532</v>
      </c>
      <c r="C81" s="136"/>
      <c r="D81" s="136"/>
      <c r="E81" s="136"/>
      <c r="F81" s="136"/>
    </row>
    <row r="82" spans="2:6" ht="13.5" customHeight="1" x14ac:dyDescent="0.3">
      <c r="B82" s="137" t="s">
        <v>1533</v>
      </c>
      <c r="C82" s="137"/>
      <c r="D82" s="137"/>
      <c r="E82" s="137"/>
      <c r="F82" s="137"/>
    </row>
    <row r="83" spans="2:6" ht="13.5" customHeight="1" x14ac:dyDescent="0.3">
      <c r="B83" s="94" t="s">
        <v>1534</v>
      </c>
      <c r="C83" s="94"/>
      <c r="D83" s="94"/>
      <c r="E83" s="94"/>
      <c r="F83" s="94"/>
    </row>
    <row r="84" spans="2:6" ht="13.5" customHeight="1" x14ac:dyDescent="0.3">
      <c r="B84" s="94" t="s">
        <v>1535</v>
      </c>
      <c r="C84" s="94"/>
      <c r="D84" s="94"/>
      <c r="E84" s="94"/>
      <c r="F84" s="94"/>
    </row>
    <row r="85" spans="2:6" ht="13.5" customHeight="1" x14ac:dyDescent="0.3">
      <c r="B85" s="94" t="s">
        <v>1536</v>
      </c>
      <c r="C85" s="94"/>
      <c r="D85" s="94"/>
      <c r="E85" s="94"/>
      <c r="F85" s="94"/>
    </row>
    <row r="86" spans="2:6" ht="13.5" customHeight="1" x14ac:dyDescent="0.3">
      <c r="B86" s="94" t="s">
        <v>1537</v>
      </c>
      <c r="C86" s="94"/>
      <c r="D86" s="94"/>
      <c r="E86" s="94"/>
      <c r="F86" s="94"/>
    </row>
    <row r="87" spans="2:6" ht="13.5" customHeight="1" x14ac:dyDescent="0.3">
      <c r="B87" s="94" t="s">
        <v>1538</v>
      </c>
      <c r="C87" s="94"/>
      <c r="D87" s="94"/>
      <c r="E87" s="94"/>
      <c r="F87" s="94"/>
    </row>
    <row r="88" spans="2:6" ht="13.5" customHeight="1" x14ac:dyDescent="0.3">
      <c r="B88" s="137" t="s">
        <v>1539</v>
      </c>
      <c r="C88" s="137"/>
      <c r="D88" s="137"/>
      <c r="E88" s="137"/>
      <c r="F88" s="137"/>
    </row>
    <row r="89" spans="2:6" ht="13.5" customHeight="1" x14ac:dyDescent="0.3">
      <c r="B89" s="94" t="s">
        <v>1540</v>
      </c>
      <c r="C89" s="94"/>
      <c r="D89" s="94"/>
      <c r="E89" s="94"/>
      <c r="F89" s="94"/>
    </row>
    <row r="90" spans="2:6" ht="13.5" customHeight="1" x14ac:dyDescent="0.3">
      <c r="B90" s="94" t="s">
        <v>1541</v>
      </c>
      <c r="C90" s="94"/>
      <c r="D90" s="94"/>
      <c r="E90" s="94"/>
      <c r="F90" s="94"/>
    </row>
    <row r="91" spans="2:6" ht="13.5" customHeight="1" x14ac:dyDescent="0.3">
      <c r="B91" s="94" t="s">
        <v>1542</v>
      </c>
      <c r="C91" s="94"/>
      <c r="D91" s="94"/>
      <c r="E91" s="94"/>
      <c r="F91" s="94"/>
    </row>
    <row r="92" spans="2:6" ht="13.5" customHeight="1" x14ac:dyDescent="0.3">
      <c r="B92" s="94" t="s">
        <v>1543</v>
      </c>
      <c r="C92" s="94"/>
      <c r="D92" s="94"/>
      <c r="E92" s="94"/>
      <c r="F92" s="94"/>
    </row>
    <row r="93" spans="2:6" ht="13.5" customHeight="1" x14ac:dyDescent="0.3">
      <c r="B93" s="94" t="s">
        <v>1544</v>
      </c>
      <c r="C93" s="94"/>
      <c r="D93" s="94"/>
      <c r="E93" s="94"/>
      <c r="F93" s="94"/>
    </row>
    <row r="94" spans="2:6" ht="13.5" customHeight="1" x14ac:dyDescent="0.3">
      <c r="B94" s="94" t="s">
        <v>1545</v>
      </c>
      <c r="C94" s="94"/>
      <c r="D94" s="94"/>
      <c r="E94" s="94"/>
      <c r="F94" s="94"/>
    </row>
    <row r="95" spans="2:6" ht="13.5" customHeight="1" x14ac:dyDescent="0.3">
      <c r="B95" s="94" t="s">
        <v>1546</v>
      </c>
      <c r="C95" s="94"/>
      <c r="D95" s="94"/>
      <c r="E95" s="94"/>
      <c r="F95" s="94"/>
    </row>
    <row r="96" spans="2:6" ht="13.5" customHeight="1" x14ac:dyDescent="0.3">
      <c r="B96" s="94" t="s">
        <v>1547</v>
      </c>
      <c r="C96" s="94"/>
      <c r="D96" s="94"/>
      <c r="E96" s="94"/>
      <c r="F96" s="94"/>
    </row>
    <row r="97" spans="2:6" ht="13.5" customHeight="1" x14ac:dyDescent="0.3">
      <c r="B97" s="94" t="s">
        <v>1548</v>
      </c>
      <c r="C97" s="94"/>
      <c r="D97" s="94"/>
      <c r="E97" s="94"/>
      <c r="F97" s="94"/>
    </row>
    <row r="98" spans="2:6" ht="27" customHeight="1" x14ac:dyDescent="0.3">
      <c r="B98" s="94" t="s">
        <v>1549</v>
      </c>
      <c r="C98" s="94"/>
      <c r="D98" s="94"/>
      <c r="E98" s="94"/>
      <c r="F98" s="94"/>
    </row>
    <row r="99" spans="2:6" ht="27" customHeight="1" x14ac:dyDescent="0.3">
      <c r="B99" s="94" t="s">
        <v>1550</v>
      </c>
      <c r="C99" s="94"/>
      <c r="D99" s="94"/>
      <c r="E99" s="94"/>
      <c r="F99" s="94"/>
    </row>
    <row r="100" spans="2:6" ht="27" customHeight="1" x14ac:dyDescent="0.3">
      <c r="B100" s="134" t="s">
        <v>1551</v>
      </c>
      <c r="C100" s="134"/>
      <c r="D100" s="134"/>
      <c r="E100" s="134"/>
      <c r="F100" s="134"/>
    </row>
    <row r="101" spans="2:6" ht="13.5" customHeight="1" x14ac:dyDescent="0.3">
      <c r="B101" s="137" t="s">
        <v>1552</v>
      </c>
      <c r="C101" s="137"/>
      <c r="D101" s="137"/>
      <c r="E101" s="137"/>
      <c r="F101" s="137"/>
    </row>
    <row r="102" spans="2:6" ht="27" customHeight="1" x14ac:dyDescent="0.3">
      <c r="B102" s="94" t="s">
        <v>1553</v>
      </c>
      <c r="C102" s="94"/>
      <c r="D102" s="94"/>
      <c r="E102" s="94"/>
      <c r="F102" s="94"/>
    </row>
    <row r="103" spans="2:6" ht="13.5" customHeight="1" x14ac:dyDescent="0.3">
      <c r="B103" s="94" t="s">
        <v>1554</v>
      </c>
      <c r="C103" s="94"/>
      <c r="D103" s="94"/>
      <c r="E103" s="94"/>
      <c r="F103" s="94"/>
    </row>
    <row r="104" spans="2:6" ht="13.5" customHeight="1" x14ac:dyDescent="0.3">
      <c r="B104" s="94" t="s">
        <v>1555</v>
      </c>
      <c r="C104" s="94"/>
      <c r="D104" s="94"/>
      <c r="E104" s="94"/>
      <c r="F104" s="94"/>
    </row>
    <row r="105" spans="2:6" ht="13.5" customHeight="1" x14ac:dyDescent="0.3">
      <c r="B105" s="94" t="s">
        <v>1556</v>
      </c>
      <c r="C105" s="94"/>
      <c r="D105" s="94"/>
      <c r="E105" s="94"/>
      <c r="F105" s="94"/>
    </row>
    <row r="106" spans="2:6" ht="13.5" customHeight="1" x14ac:dyDescent="0.3">
      <c r="B106" s="94" t="s">
        <v>1424</v>
      </c>
      <c r="C106" s="94"/>
      <c r="D106" s="94"/>
      <c r="E106" s="94"/>
      <c r="F106" s="94"/>
    </row>
    <row r="107" spans="2:6" x14ac:dyDescent="0.3">
      <c r="B107" s="92"/>
      <c r="C107" s="92"/>
      <c r="D107" s="92"/>
      <c r="E107" s="92"/>
      <c r="F107" s="92"/>
    </row>
    <row r="108" spans="2:6" ht="13.5" customHeight="1" x14ac:dyDescent="0.3">
      <c r="B108" s="136" t="s">
        <v>1557</v>
      </c>
      <c r="C108" s="136"/>
      <c r="D108" s="136"/>
      <c r="E108" s="136"/>
      <c r="F108" s="136"/>
    </row>
    <row r="109" spans="2:6" ht="13.5" customHeight="1" x14ac:dyDescent="0.3">
      <c r="B109" s="94" t="s">
        <v>1558</v>
      </c>
      <c r="C109" s="94"/>
      <c r="D109" s="94"/>
      <c r="E109" s="94"/>
      <c r="F109" s="94"/>
    </row>
    <row r="110" spans="2:6" ht="13.5" customHeight="1" x14ac:dyDescent="0.3">
      <c r="B110" s="94" t="s">
        <v>1559</v>
      </c>
      <c r="C110" s="94"/>
      <c r="D110" s="94"/>
      <c r="E110" s="94"/>
      <c r="F110" s="94"/>
    </row>
    <row r="111" spans="2:6" ht="13.5" customHeight="1" x14ac:dyDescent="0.3">
      <c r="B111" s="94" t="s">
        <v>1560</v>
      </c>
      <c r="C111" s="94"/>
      <c r="D111" s="94"/>
      <c r="E111" s="94"/>
      <c r="F111" s="94"/>
    </row>
    <row r="112" spans="2:6" ht="13.5" customHeight="1" x14ac:dyDescent="0.3">
      <c r="B112" s="94" t="s">
        <v>1561</v>
      </c>
      <c r="C112" s="94"/>
      <c r="D112" s="94"/>
      <c r="E112" s="94"/>
      <c r="F112" s="94"/>
    </row>
    <row r="113" spans="2:6" ht="13.5" customHeight="1" x14ac:dyDescent="0.3">
      <c r="B113" s="94" t="s">
        <v>1562</v>
      </c>
      <c r="C113" s="94"/>
      <c r="D113" s="94"/>
      <c r="E113" s="94"/>
      <c r="F113" s="94"/>
    </row>
    <row r="114" spans="2:6" ht="13.5" customHeight="1" x14ac:dyDescent="0.3">
      <c r="B114" s="94" t="s">
        <v>1563</v>
      </c>
      <c r="C114" s="94"/>
      <c r="D114" s="94"/>
      <c r="E114" s="94"/>
      <c r="F114" s="94"/>
    </row>
    <row r="115" spans="2:6" ht="13.5" customHeight="1" x14ac:dyDescent="0.3">
      <c r="B115" s="94" t="s">
        <v>1564</v>
      </c>
      <c r="C115" s="94"/>
      <c r="D115" s="94"/>
      <c r="E115" s="94"/>
      <c r="F115" s="94"/>
    </row>
    <row r="116" spans="2:6" ht="40.5" customHeight="1" x14ac:dyDescent="0.3">
      <c r="B116" s="94" t="s">
        <v>1565</v>
      </c>
      <c r="C116" s="94"/>
      <c r="D116" s="94"/>
      <c r="E116" s="94"/>
      <c r="F116" s="94"/>
    </row>
    <row r="117" spans="2:6" ht="27" customHeight="1" x14ac:dyDescent="0.3">
      <c r="B117" s="94" t="s">
        <v>1566</v>
      </c>
      <c r="C117" s="94"/>
      <c r="D117" s="94"/>
      <c r="E117" s="94"/>
      <c r="F117" s="94"/>
    </row>
    <row r="118" spans="2:6" ht="13.5" customHeight="1" x14ac:dyDescent="0.3">
      <c r="B118" s="94" t="s">
        <v>1567</v>
      </c>
      <c r="C118" s="94"/>
      <c r="D118" s="94"/>
      <c r="E118" s="94"/>
      <c r="F118" s="94"/>
    </row>
    <row r="119" spans="2:6" ht="27" customHeight="1" x14ac:dyDescent="0.3">
      <c r="B119" s="94" t="s">
        <v>1568</v>
      </c>
      <c r="C119" s="94"/>
      <c r="D119" s="94"/>
      <c r="E119" s="94"/>
      <c r="F119" s="94"/>
    </row>
    <row r="120" spans="2:6" ht="27" customHeight="1" x14ac:dyDescent="0.3">
      <c r="B120" s="94" t="s">
        <v>1569</v>
      </c>
      <c r="C120" s="94"/>
      <c r="D120" s="94"/>
      <c r="E120" s="94"/>
      <c r="F120" s="94"/>
    </row>
    <row r="121" spans="2:6" ht="13.5" customHeight="1" x14ac:dyDescent="0.3">
      <c r="B121" s="94" t="s">
        <v>1570</v>
      </c>
      <c r="C121" s="94"/>
      <c r="D121" s="94"/>
      <c r="E121" s="94"/>
      <c r="F121" s="94"/>
    </row>
    <row r="122" spans="2:6" ht="27" customHeight="1" x14ac:dyDescent="0.3">
      <c r="B122" s="94" t="s">
        <v>1571</v>
      </c>
      <c r="C122" s="94"/>
      <c r="D122" s="94"/>
      <c r="E122" s="94"/>
      <c r="F122" s="94"/>
    </row>
    <row r="123" spans="2:6" ht="13.5" customHeight="1" x14ac:dyDescent="0.3">
      <c r="B123" s="94" t="s">
        <v>1424</v>
      </c>
      <c r="C123" s="94"/>
      <c r="D123" s="94"/>
      <c r="E123" s="94"/>
      <c r="F123" s="94"/>
    </row>
    <row r="124" spans="2:6" x14ac:dyDescent="0.3">
      <c r="B124" s="92"/>
      <c r="C124" s="92"/>
      <c r="D124" s="92"/>
      <c r="E124" s="92"/>
      <c r="F124" s="92"/>
    </row>
    <row r="125" spans="2:6" ht="13.5" customHeight="1" x14ac:dyDescent="0.3">
      <c r="B125" s="136" t="s">
        <v>1572</v>
      </c>
      <c r="C125" s="136"/>
      <c r="D125" s="136"/>
      <c r="E125" s="136"/>
      <c r="F125" s="136"/>
    </row>
    <row r="126" spans="2:6" ht="13.5" customHeight="1" x14ac:dyDescent="0.3">
      <c r="B126" s="94" t="s">
        <v>1573</v>
      </c>
      <c r="C126" s="94"/>
      <c r="D126" s="94"/>
      <c r="E126" s="94"/>
      <c r="F126" s="94"/>
    </row>
    <row r="127" spans="2:6" ht="27" customHeight="1" x14ac:dyDescent="0.3">
      <c r="B127" s="94" t="s">
        <v>1574</v>
      </c>
      <c r="C127" s="94"/>
      <c r="D127" s="94"/>
      <c r="E127" s="94"/>
      <c r="F127" s="94"/>
    </row>
    <row r="128" spans="2:6" ht="13.5" customHeight="1" x14ac:dyDescent="0.3">
      <c r="B128" s="94" t="s">
        <v>1575</v>
      </c>
      <c r="C128" s="94"/>
      <c r="D128" s="94"/>
      <c r="E128" s="94"/>
      <c r="F128" s="94"/>
    </row>
    <row r="129" spans="2:6" ht="13.5" customHeight="1" x14ac:dyDescent="0.3">
      <c r="B129" s="94" t="s">
        <v>1576</v>
      </c>
      <c r="C129" s="94"/>
      <c r="D129" s="94"/>
      <c r="E129" s="94"/>
      <c r="F129" s="94"/>
    </row>
    <row r="130" spans="2:6" ht="13.5" customHeight="1" x14ac:dyDescent="0.3">
      <c r="B130" s="94" t="s">
        <v>1577</v>
      </c>
      <c r="C130" s="94"/>
      <c r="D130" s="94"/>
      <c r="E130" s="94"/>
      <c r="F130" s="94"/>
    </row>
    <row r="131" spans="2:6" ht="13.5" customHeight="1" x14ac:dyDescent="0.3">
      <c r="B131" s="94" t="s">
        <v>1578</v>
      </c>
      <c r="C131" s="94"/>
      <c r="D131" s="94"/>
      <c r="E131" s="94"/>
      <c r="F131" s="94"/>
    </row>
    <row r="132" spans="2:6" ht="13.5" customHeight="1" x14ac:dyDescent="0.3">
      <c r="B132" s="94" t="s">
        <v>1424</v>
      </c>
      <c r="C132" s="94"/>
      <c r="D132" s="94"/>
      <c r="E132" s="94"/>
      <c r="F132" s="94"/>
    </row>
    <row r="133" spans="2:6" x14ac:dyDescent="0.3">
      <c r="B133" s="92"/>
      <c r="C133" s="92"/>
      <c r="D133" s="92"/>
      <c r="E133" s="92"/>
      <c r="F133" s="92"/>
    </row>
    <row r="134" spans="2:6" ht="13.5" customHeight="1" x14ac:dyDescent="0.3">
      <c r="B134" s="136" t="s">
        <v>1579</v>
      </c>
      <c r="C134" s="136"/>
      <c r="D134" s="136"/>
      <c r="E134" s="136"/>
      <c r="F134" s="136"/>
    </row>
    <row r="135" spans="2:6" ht="13.5" customHeight="1" x14ac:dyDescent="0.3">
      <c r="B135" s="94" t="s">
        <v>1580</v>
      </c>
      <c r="C135" s="94"/>
      <c r="D135" s="94"/>
      <c r="E135" s="94"/>
      <c r="F135" s="94"/>
    </row>
    <row r="136" spans="2:6" ht="13.5" customHeight="1" x14ac:dyDescent="0.3">
      <c r="B136" s="94" t="s">
        <v>1581</v>
      </c>
      <c r="C136" s="94"/>
      <c r="D136" s="94"/>
      <c r="E136" s="94"/>
      <c r="F136" s="94"/>
    </row>
    <row r="137" spans="2:6" ht="13.5" customHeight="1" x14ac:dyDescent="0.3">
      <c r="B137" s="94" t="s">
        <v>1582</v>
      </c>
      <c r="C137" s="94"/>
      <c r="D137" s="94"/>
      <c r="E137" s="94"/>
      <c r="F137" s="94"/>
    </row>
    <row r="138" spans="2:6" ht="13.5" customHeight="1" x14ac:dyDescent="0.3">
      <c r="B138" s="94" t="s">
        <v>1583</v>
      </c>
      <c r="C138" s="94"/>
      <c r="D138" s="94"/>
      <c r="E138" s="94"/>
      <c r="F138" s="94"/>
    </row>
    <row r="139" spans="2:6" ht="13.5" customHeight="1" x14ac:dyDescent="0.3">
      <c r="B139" s="94" t="s">
        <v>1584</v>
      </c>
      <c r="C139" s="94"/>
      <c r="D139" s="94"/>
      <c r="E139" s="94"/>
      <c r="F139" s="94"/>
    </row>
    <row r="140" spans="2:6" ht="13.5" customHeight="1" x14ac:dyDescent="0.3">
      <c r="B140" s="94" t="s">
        <v>1585</v>
      </c>
      <c r="C140" s="94"/>
      <c r="D140" s="94"/>
      <c r="E140" s="94"/>
      <c r="F140" s="94"/>
    </row>
    <row r="141" spans="2:6" ht="13.5" customHeight="1" x14ac:dyDescent="0.3">
      <c r="B141" s="94" t="s">
        <v>1586</v>
      </c>
      <c r="C141" s="94"/>
      <c r="D141" s="94"/>
      <c r="E141" s="94"/>
      <c r="F141" s="94"/>
    </row>
    <row r="142" spans="2:6" ht="13.5" customHeight="1" x14ac:dyDescent="0.3">
      <c r="B142" s="94" t="s">
        <v>1587</v>
      </c>
      <c r="C142" s="94"/>
      <c r="D142" s="94"/>
      <c r="E142" s="94"/>
      <c r="F142" s="94"/>
    </row>
    <row r="143" spans="2:6" ht="13.5" customHeight="1" x14ac:dyDescent="0.3">
      <c r="B143" s="94" t="s">
        <v>1588</v>
      </c>
      <c r="C143" s="94"/>
      <c r="D143" s="94"/>
      <c r="E143" s="94"/>
      <c r="F143" s="94"/>
    </row>
    <row r="144" spans="2:6" ht="40.5" customHeight="1" x14ac:dyDescent="0.3">
      <c r="B144" s="94" t="s">
        <v>1589</v>
      </c>
      <c r="C144" s="94"/>
      <c r="D144" s="94"/>
      <c r="E144" s="94"/>
      <c r="F144" s="94"/>
    </row>
    <row r="145" spans="2:6" ht="13.5" customHeight="1" x14ac:dyDescent="0.3">
      <c r="B145" s="94" t="s">
        <v>1590</v>
      </c>
      <c r="C145" s="94"/>
      <c r="D145" s="94"/>
      <c r="E145" s="94"/>
      <c r="F145" s="94"/>
    </row>
    <row r="146" spans="2:6" ht="13.5" customHeight="1" x14ac:dyDescent="0.3">
      <c r="B146" s="94" t="s">
        <v>1591</v>
      </c>
      <c r="C146" s="94"/>
      <c r="D146" s="94"/>
      <c r="E146" s="94"/>
      <c r="F146" s="94"/>
    </row>
    <row r="147" spans="2:6" ht="13.5" customHeight="1" x14ac:dyDescent="0.3">
      <c r="B147" s="94" t="s">
        <v>1424</v>
      </c>
      <c r="C147" s="94"/>
      <c r="D147" s="94"/>
      <c r="E147" s="94"/>
      <c r="F147" s="94"/>
    </row>
    <row r="148" spans="2:6" x14ac:dyDescent="0.3">
      <c r="B148" s="92"/>
      <c r="C148" s="92"/>
      <c r="D148" s="92"/>
      <c r="E148" s="92"/>
      <c r="F148" s="92"/>
    </row>
    <row r="149" spans="2:6" ht="13.5" customHeight="1" x14ac:dyDescent="0.3">
      <c r="B149" s="136" t="s">
        <v>1592</v>
      </c>
      <c r="C149" s="136"/>
      <c r="D149" s="136"/>
      <c r="E149" s="136"/>
      <c r="F149" s="136"/>
    </row>
    <row r="150" spans="2:6" ht="13.5" customHeight="1" x14ac:dyDescent="0.3">
      <c r="B150" s="137" t="s">
        <v>1593</v>
      </c>
      <c r="C150" s="137"/>
      <c r="D150" s="137"/>
      <c r="E150" s="137"/>
      <c r="F150" s="137"/>
    </row>
    <row r="151" spans="2:6" ht="13.5" customHeight="1" x14ac:dyDescent="0.3">
      <c r="B151" s="94" t="s">
        <v>1594</v>
      </c>
      <c r="C151" s="94"/>
      <c r="D151" s="94"/>
      <c r="E151" s="94"/>
      <c r="F151" s="94"/>
    </row>
    <row r="152" spans="2:6" ht="13.5" customHeight="1" x14ac:dyDescent="0.3">
      <c r="B152" s="94" t="s">
        <v>1595</v>
      </c>
      <c r="C152" s="94"/>
      <c r="D152" s="94"/>
      <c r="E152" s="94"/>
      <c r="F152" s="94"/>
    </row>
    <row r="153" spans="2:6" ht="13.5" customHeight="1" x14ac:dyDescent="0.3">
      <c r="B153" s="94" t="s">
        <v>1596</v>
      </c>
      <c r="C153" s="94"/>
      <c r="D153" s="94"/>
      <c r="E153" s="94"/>
      <c r="F153" s="94"/>
    </row>
    <row r="154" spans="2:6" ht="13.5" customHeight="1" x14ac:dyDescent="0.3">
      <c r="B154" s="94" t="s">
        <v>1597</v>
      </c>
      <c r="C154" s="94"/>
      <c r="D154" s="94"/>
      <c r="E154" s="94"/>
      <c r="F154" s="94"/>
    </row>
    <row r="155" spans="2:6" ht="13.5" customHeight="1" x14ac:dyDescent="0.3">
      <c r="B155" s="94" t="s">
        <v>1598</v>
      </c>
      <c r="C155" s="94"/>
      <c r="D155" s="94"/>
      <c r="E155" s="94"/>
      <c r="F155" s="94"/>
    </row>
    <row r="156" spans="2:6" ht="13.5" customHeight="1" x14ac:dyDescent="0.3">
      <c r="B156" s="137" t="s">
        <v>1599</v>
      </c>
      <c r="C156" s="137"/>
      <c r="D156" s="137"/>
      <c r="E156" s="137"/>
      <c r="F156" s="137"/>
    </row>
    <row r="157" spans="2:6" ht="13.5" customHeight="1" x14ac:dyDescent="0.3">
      <c r="B157" s="94" t="s">
        <v>1600</v>
      </c>
      <c r="C157" s="94"/>
      <c r="D157" s="94"/>
      <c r="E157" s="94"/>
      <c r="F157" s="94"/>
    </row>
    <row r="158" spans="2:6" ht="13.5" customHeight="1" x14ac:dyDescent="0.3">
      <c r="B158" s="94" t="s">
        <v>1601</v>
      </c>
      <c r="C158" s="94"/>
      <c r="D158" s="94"/>
      <c r="E158" s="94"/>
      <c r="F158" s="94"/>
    </row>
    <row r="159" spans="2:6" ht="13.5" customHeight="1" x14ac:dyDescent="0.3">
      <c r="B159" s="137" t="s">
        <v>1602</v>
      </c>
      <c r="C159" s="137"/>
      <c r="D159" s="137"/>
      <c r="E159" s="137"/>
      <c r="F159" s="137"/>
    </row>
    <row r="160" spans="2:6" ht="13.5" customHeight="1" x14ac:dyDescent="0.3">
      <c r="B160" s="94" t="s">
        <v>1603</v>
      </c>
      <c r="C160" s="94"/>
      <c r="D160" s="94"/>
      <c r="E160" s="94"/>
      <c r="F160" s="94"/>
    </row>
    <row r="161" spans="2:6" ht="13.5" customHeight="1" x14ac:dyDescent="0.3">
      <c r="B161" s="94" t="s">
        <v>1604</v>
      </c>
      <c r="C161" s="94"/>
      <c r="D161" s="94"/>
      <c r="E161" s="94"/>
      <c r="F161" s="94"/>
    </row>
    <row r="162" spans="2:6" ht="27" customHeight="1" x14ac:dyDescent="0.3">
      <c r="B162" s="94" t="s">
        <v>1605</v>
      </c>
      <c r="C162" s="94"/>
      <c r="D162" s="94"/>
      <c r="E162" s="94"/>
      <c r="F162" s="94"/>
    </row>
    <row r="163" spans="2:6" ht="13.5" customHeight="1" x14ac:dyDescent="0.3">
      <c r="B163" s="94" t="s">
        <v>1606</v>
      </c>
      <c r="C163" s="94"/>
      <c r="D163" s="94"/>
      <c r="E163" s="94"/>
      <c r="F163" s="94"/>
    </row>
    <row r="164" spans="2:6" ht="40.5" customHeight="1" x14ac:dyDescent="0.3">
      <c r="B164" s="94" t="s">
        <v>1607</v>
      </c>
      <c r="C164" s="94"/>
      <c r="D164" s="94"/>
      <c r="E164" s="94"/>
      <c r="F164" s="94"/>
    </row>
    <row r="165" spans="2:6" ht="13.5" customHeight="1" x14ac:dyDescent="0.3">
      <c r="B165" s="94" t="s">
        <v>1567</v>
      </c>
      <c r="C165" s="94"/>
      <c r="D165" s="94"/>
      <c r="E165" s="94"/>
      <c r="F165" s="94"/>
    </row>
    <row r="166" spans="2:6" ht="13.5" customHeight="1" x14ac:dyDescent="0.3">
      <c r="B166" s="94" t="s">
        <v>1608</v>
      </c>
      <c r="C166" s="94"/>
      <c r="D166" s="94"/>
      <c r="E166" s="94"/>
      <c r="F166" s="94"/>
    </row>
    <row r="167" spans="2:6" ht="13.5" customHeight="1" x14ac:dyDescent="0.3">
      <c r="B167" s="94" t="s">
        <v>1609</v>
      </c>
      <c r="C167" s="94"/>
      <c r="D167" s="94"/>
      <c r="E167" s="94"/>
      <c r="F167" s="94"/>
    </row>
    <row r="168" spans="2:6" ht="13.5" customHeight="1" x14ac:dyDescent="0.3">
      <c r="B168" s="94" t="s">
        <v>1610</v>
      </c>
      <c r="C168" s="94"/>
      <c r="D168" s="94"/>
      <c r="E168" s="94"/>
      <c r="F168" s="94"/>
    </row>
    <row r="169" spans="2:6" ht="13.5" customHeight="1" x14ac:dyDescent="0.3">
      <c r="B169" s="94" t="s">
        <v>1611</v>
      </c>
      <c r="C169" s="94"/>
      <c r="D169" s="94"/>
      <c r="E169" s="94"/>
      <c r="F169" s="94"/>
    </row>
    <row r="170" spans="2:6" ht="13.5" customHeight="1" x14ac:dyDescent="0.3">
      <c r="B170" s="94" t="s">
        <v>1612</v>
      </c>
      <c r="C170" s="94"/>
      <c r="D170" s="94"/>
      <c r="E170" s="94"/>
      <c r="F170" s="94"/>
    </row>
    <row r="171" spans="2:6" ht="27" customHeight="1" x14ac:dyDescent="0.3">
      <c r="B171" s="94" t="s">
        <v>1613</v>
      </c>
      <c r="C171" s="94"/>
      <c r="D171" s="94"/>
      <c r="E171" s="94"/>
      <c r="F171" s="94"/>
    </row>
    <row r="172" spans="2:6" ht="13.5" customHeight="1" x14ac:dyDescent="0.3">
      <c r="B172" s="94" t="s">
        <v>1614</v>
      </c>
      <c r="C172" s="94"/>
      <c r="D172" s="94"/>
      <c r="E172" s="94"/>
      <c r="F172" s="94"/>
    </row>
    <row r="173" spans="2:6" ht="13.5" customHeight="1" x14ac:dyDescent="0.3">
      <c r="B173" s="137" t="s">
        <v>1615</v>
      </c>
      <c r="C173" s="137"/>
      <c r="D173" s="137"/>
      <c r="E173" s="137"/>
      <c r="F173" s="137"/>
    </row>
    <row r="174" spans="2:6" ht="13.5" customHeight="1" x14ac:dyDescent="0.3">
      <c r="B174" s="94" t="s">
        <v>1616</v>
      </c>
      <c r="C174" s="94"/>
      <c r="D174" s="94"/>
      <c r="E174" s="94"/>
      <c r="F174" s="94"/>
    </row>
    <row r="175" spans="2:6" ht="27" customHeight="1" x14ac:dyDescent="0.3">
      <c r="B175" s="94" t="s">
        <v>1617</v>
      </c>
      <c r="C175" s="94"/>
      <c r="D175" s="94"/>
      <c r="E175" s="94"/>
      <c r="F175" s="94"/>
    </row>
    <row r="176" spans="2:6" ht="27" customHeight="1" x14ac:dyDescent="0.3">
      <c r="B176" s="94" t="s">
        <v>1618</v>
      </c>
      <c r="C176" s="94"/>
      <c r="D176" s="94"/>
      <c r="E176" s="94"/>
      <c r="F176" s="94"/>
    </row>
    <row r="177" spans="2:6" ht="13.5" customHeight="1" x14ac:dyDescent="0.3">
      <c r="B177" s="94" t="s">
        <v>1619</v>
      </c>
      <c r="C177" s="94"/>
      <c r="D177" s="94"/>
      <c r="E177" s="94"/>
      <c r="F177" s="94"/>
    </row>
    <row r="178" spans="2:6" ht="13.5" customHeight="1" x14ac:dyDescent="0.3">
      <c r="B178" s="137" t="s">
        <v>1620</v>
      </c>
      <c r="C178" s="137"/>
      <c r="D178" s="137"/>
      <c r="E178" s="137"/>
      <c r="F178" s="137"/>
    </row>
    <row r="179" spans="2:6" ht="40.5" customHeight="1" x14ac:dyDescent="0.3">
      <c r="B179" s="96" t="s">
        <v>1621</v>
      </c>
      <c r="C179" s="96"/>
      <c r="D179" s="96"/>
      <c r="E179" s="96"/>
      <c r="F179" s="96"/>
    </row>
    <row r="180" spans="2:6" ht="13.5" customHeight="1" x14ac:dyDescent="0.3">
      <c r="B180" s="94" t="s">
        <v>1424</v>
      </c>
      <c r="C180" s="94"/>
      <c r="D180" s="94"/>
      <c r="E180" s="94"/>
      <c r="F180" s="94"/>
    </row>
    <row r="181" spans="2:6" x14ac:dyDescent="0.3">
      <c r="B181" s="92"/>
      <c r="C181" s="92"/>
      <c r="D181" s="92"/>
      <c r="E181" s="92"/>
      <c r="F181" s="92"/>
    </row>
    <row r="182" spans="2:6" ht="13.5" customHeight="1" x14ac:dyDescent="0.3">
      <c r="B182" s="136" t="s">
        <v>1622</v>
      </c>
      <c r="C182" s="136"/>
      <c r="D182" s="136"/>
      <c r="E182" s="136"/>
      <c r="F182" s="136"/>
    </row>
    <row r="183" spans="2:6" ht="13.5" customHeight="1" x14ac:dyDescent="0.3">
      <c r="B183" s="137" t="s">
        <v>1623</v>
      </c>
      <c r="C183" s="137"/>
      <c r="D183" s="137"/>
      <c r="E183" s="137"/>
      <c r="F183" s="137"/>
    </row>
    <row r="184" spans="2:6" x14ac:dyDescent="0.3">
      <c r="B184" s="85" t="s">
        <v>822</v>
      </c>
      <c r="C184" s="85" t="s">
        <v>1624</v>
      </c>
      <c r="D184" s="85" t="s">
        <v>1625</v>
      </c>
    </row>
    <row r="185" spans="2:6" ht="26.4" x14ac:dyDescent="0.3">
      <c r="B185" s="87" t="s">
        <v>571</v>
      </c>
      <c r="C185" s="87" t="s">
        <v>1626</v>
      </c>
      <c r="D185" s="87" t="s">
        <v>1627</v>
      </c>
    </row>
    <row r="186" spans="2:6" ht="52.8" x14ac:dyDescent="0.3">
      <c r="B186" s="87" t="s">
        <v>602</v>
      </c>
      <c r="C186" s="87" t="s">
        <v>1628</v>
      </c>
      <c r="D186" s="87" t="s">
        <v>1629</v>
      </c>
    </row>
    <row r="187" spans="2:6" ht="26.4" x14ac:dyDescent="0.3">
      <c r="B187" s="87" t="s">
        <v>582</v>
      </c>
      <c r="C187" s="87" t="s">
        <v>1630</v>
      </c>
      <c r="D187" s="87" t="s">
        <v>1631</v>
      </c>
    </row>
    <row r="188" spans="2:6" x14ac:dyDescent="0.3">
      <c r="B188" s="87" t="s">
        <v>557</v>
      </c>
      <c r="C188" s="87" t="s">
        <v>1632</v>
      </c>
      <c r="D188" s="87" t="s">
        <v>1633</v>
      </c>
    </row>
    <row r="189" spans="2:6" ht="26.4" x14ac:dyDescent="0.3">
      <c r="B189" s="87" t="s">
        <v>4</v>
      </c>
      <c r="C189" s="87" t="s">
        <v>1634</v>
      </c>
      <c r="D189" s="87" t="s">
        <v>1635</v>
      </c>
    </row>
    <row r="191" spans="2:6" ht="13.5" customHeight="1" x14ac:dyDescent="0.3">
      <c r="B191" s="137" t="s">
        <v>1636</v>
      </c>
      <c r="C191" s="137"/>
      <c r="D191" s="137"/>
      <c r="E191" s="137"/>
      <c r="F191" s="137"/>
    </row>
    <row r="192" spans="2:6" ht="13.5" customHeight="1" x14ac:dyDescent="0.3">
      <c r="B192" s="94" t="s">
        <v>1637</v>
      </c>
      <c r="C192" s="94"/>
      <c r="D192" s="94"/>
      <c r="E192" s="94"/>
      <c r="F192" s="94"/>
    </row>
    <row r="193" spans="2:6" ht="13.5" customHeight="1" x14ac:dyDescent="0.3">
      <c r="B193" s="94" t="s">
        <v>1638</v>
      </c>
      <c r="C193" s="94"/>
      <c r="D193" s="94"/>
      <c r="E193" s="94"/>
      <c r="F193" s="94"/>
    </row>
    <row r="194" spans="2:6" x14ac:dyDescent="0.3">
      <c r="B194" s="85" t="s">
        <v>551</v>
      </c>
      <c r="C194" s="85" t="s">
        <v>1639</v>
      </c>
      <c r="D194" s="85">
        <v>20</v>
      </c>
      <c r="E194" s="85">
        <v>30</v>
      </c>
      <c r="F194" s="85">
        <v>40</v>
      </c>
    </row>
    <row r="195" spans="2:6" x14ac:dyDescent="0.3">
      <c r="B195" s="87" t="s">
        <v>539</v>
      </c>
      <c r="C195" s="87" t="s">
        <v>1640</v>
      </c>
      <c r="D195" s="87" t="s">
        <v>1641</v>
      </c>
      <c r="E195" s="87" t="s">
        <v>1642</v>
      </c>
      <c r="F195" s="87" t="s">
        <v>1643</v>
      </c>
    </row>
    <row r="197" spans="2:6" ht="13.5" customHeight="1" x14ac:dyDescent="0.3">
      <c r="B197" s="94" t="s">
        <v>1644</v>
      </c>
      <c r="C197" s="94"/>
      <c r="D197" s="94"/>
      <c r="E197" s="94"/>
      <c r="F197" s="94"/>
    </row>
    <row r="198" spans="2:6" ht="13.5" customHeight="1" x14ac:dyDescent="0.3">
      <c r="B198" s="94" t="s">
        <v>1604</v>
      </c>
      <c r="C198" s="94"/>
      <c r="D198" s="94"/>
      <c r="E198" s="94"/>
      <c r="F198" s="94"/>
    </row>
    <row r="199" spans="2:6" ht="13.5" customHeight="1" x14ac:dyDescent="0.3">
      <c r="B199" s="94" t="s">
        <v>1645</v>
      </c>
      <c r="C199" s="94"/>
      <c r="D199" s="94"/>
      <c r="E199" s="94"/>
      <c r="F199" s="94"/>
    </row>
    <row r="200" spans="2:6" ht="27" customHeight="1" x14ac:dyDescent="0.3">
      <c r="B200" s="94" t="s">
        <v>1646</v>
      </c>
      <c r="C200" s="94"/>
      <c r="D200" s="94"/>
      <c r="E200" s="94"/>
      <c r="F200" s="94"/>
    </row>
    <row r="201" spans="2:6" ht="13.5" customHeight="1" x14ac:dyDescent="0.3">
      <c r="B201" s="94" t="s">
        <v>1647</v>
      </c>
      <c r="C201" s="94"/>
      <c r="D201" s="94"/>
      <c r="E201" s="94"/>
      <c r="F201" s="94"/>
    </row>
    <row r="202" spans="2:6" ht="27" customHeight="1" x14ac:dyDescent="0.3">
      <c r="B202" s="94" t="s">
        <v>1648</v>
      </c>
      <c r="C202" s="94"/>
      <c r="D202" s="94"/>
      <c r="E202" s="94"/>
      <c r="F202" s="94"/>
    </row>
    <row r="203" spans="2:6" ht="40.5" customHeight="1" x14ac:dyDescent="0.3">
      <c r="B203" s="94" t="s">
        <v>1649</v>
      </c>
      <c r="C203" s="94"/>
      <c r="D203" s="94"/>
      <c r="E203" s="94"/>
      <c r="F203" s="94"/>
    </row>
    <row r="204" spans="2:6" ht="13.5" customHeight="1" x14ac:dyDescent="0.3">
      <c r="B204" s="94" t="s">
        <v>1650</v>
      </c>
      <c r="C204" s="94"/>
      <c r="D204" s="94"/>
      <c r="E204" s="94"/>
      <c r="F204" s="94"/>
    </row>
    <row r="205" spans="2:6" ht="13.5" customHeight="1" x14ac:dyDescent="0.3">
      <c r="B205" s="94" t="s">
        <v>1651</v>
      </c>
      <c r="C205" s="94"/>
      <c r="D205" s="94"/>
      <c r="E205" s="94"/>
      <c r="F205" s="94"/>
    </row>
    <row r="206" spans="2:6" ht="13.5" customHeight="1" x14ac:dyDescent="0.3">
      <c r="B206" s="94" t="s">
        <v>1652</v>
      </c>
      <c r="C206" s="94"/>
      <c r="D206" s="94"/>
      <c r="E206" s="94"/>
      <c r="F206" s="94"/>
    </row>
    <row r="207" spans="2:6" ht="27" customHeight="1" x14ac:dyDescent="0.3">
      <c r="B207" s="94" t="s">
        <v>1653</v>
      </c>
      <c r="C207" s="94"/>
      <c r="D207" s="94"/>
      <c r="E207" s="94"/>
      <c r="F207" s="94"/>
    </row>
    <row r="208" spans="2:6" ht="27" customHeight="1" x14ac:dyDescent="0.3">
      <c r="B208" s="94" t="s">
        <v>1654</v>
      </c>
      <c r="C208" s="94"/>
      <c r="D208" s="94"/>
      <c r="E208" s="94"/>
      <c r="F208" s="94"/>
    </row>
    <row r="209" spans="2:6" ht="13.5" customHeight="1" x14ac:dyDescent="0.3">
      <c r="B209" s="94" t="s">
        <v>1655</v>
      </c>
      <c r="C209" s="94"/>
      <c r="D209" s="94"/>
      <c r="E209" s="94"/>
      <c r="F209" s="94"/>
    </row>
    <row r="210" spans="2:6" ht="13.5" customHeight="1" x14ac:dyDescent="0.3">
      <c r="B210" s="94" t="s">
        <v>1656</v>
      </c>
      <c r="C210" s="94"/>
      <c r="D210" s="94"/>
      <c r="E210" s="94"/>
      <c r="F210" s="94"/>
    </row>
    <row r="211" spans="2:6" ht="27" customHeight="1" x14ac:dyDescent="0.3">
      <c r="B211" s="94" t="s">
        <v>1657</v>
      </c>
      <c r="C211" s="94"/>
      <c r="D211" s="94"/>
      <c r="E211" s="94"/>
      <c r="F211" s="94"/>
    </row>
    <row r="212" spans="2:6" ht="13.5" customHeight="1" x14ac:dyDescent="0.3">
      <c r="B212" s="94" t="s">
        <v>1658</v>
      </c>
      <c r="C212" s="94"/>
      <c r="D212" s="94"/>
      <c r="E212" s="94"/>
      <c r="F212" s="94"/>
    </row>
    <row r="213" spans="2:6" ht="13.5" customHeight="1" x14ac:dyDescent="0.3">
      <c r="B213" s="94" t="s">
        <v>1659</v>
      </c>
      <c r="C213" s="94"/>
      <c r="D213" s="94"/>
      <c r="E213" s="94"/>
      <c r="F213" s="94"/>
    </row>
    <row r="214" spans="2:6" ht="13.5" customHeight="1" x14ac:dyDescent="0.3">
      <c r="B214" s="94" t="s">
        <v>1660</v>
      </c>
      <c r="C214" s="94"/>
      <c r="D214" s="94"/>
      <c r="E214" s="94"/>
      <c r="F214" s="94"/>
    </row>
    <row r="215" spans="2:6" ht="13.5" customHeight="1" x14ac:dyDescent="0.3">
      <c r="B215" s="137" t="s">
        <v>1661</v>
      </c>
      <c r="C215" s="137"/>
      <c r="D215" s="137"/>
      <c r="E215" s="137"/>
      <c r="F215" s="137"/>
    </row>
    <row r="216" spans="2:6" ht="27" customHeight="1" x14ac:dyDescent="0.3">
      <c r="B216" s="94" t="s">
        <v>1662</v>
      </c>
      <c r="C216" s="94"/>
      <c r="D216" s="94"/>
      <c r="E216" s="94"/>
      <c r="F216" s="94"/>
    </row>
    <row r="217" spans="2:6" ht="13.5" customHeight="1" x14ac:dyDescent="0.3">
      <c r="B217" s="94" t="s">
        <v>1663</v>
      </c>
      <c r="C217" s="94"/>
      <c r="D217" s="94"/>
      <c r="E217" s="94"/>
      <c r="F217" s="94"/>
    </row>
    <row r="218" spans="2:6" ht="13.5" customHeight="1" x14ac:dyDescent="0.3">
      <c r="B218" s="94" t="s">
        <v>1664</v>
      </c>
      <c r="C218" s="94"/>
      <c r="D218" s="94"/>
      <c r="E218" s="94"/>
      <c r="F218" s="94"/>
    </row>
    <row r="219" spans="2:6" ht="13.5" customHeight="1" x14ac:dyDescent="0.3">
      <c r="B219" s="94" t="s">
        <v>1665</v>
      </c>
      <c r="C219" s="94"/>
      <c r="D219" s="94"/>
      <c r="E219" s="94"/>
      <c r="F219" s="94"/>
    </row>
    <row r="220" spans="2:6" ht="27" customHeight="1" x14ac:dyDescent="0.3">
      <c r="B220" s="94" t="s">
        <v>1666</v>
      </c>
      <c r="C220" s="94"/>
      <c r="D220" s="94"/>
      <c r="E220" s="94"/>
      <c r="F220" s="94"/>
    </row>
    <row r="221" spans="2:6" ht="13.5" customHeight="1" x14ac:dyDescent="0.3">
      <c r="B221" s="137" t="s">
        <v>1667</v>
      </c>
      <c r="C221" s="137"/>
      <c r="D221" s="137"/>
      <c r="E221" s="137"/>
      <c r="F221" s="137"/>
    </row>
    <row r="222" spans="2:6" ht="13.5" customHeight="1" x14ac:dyDescent="0.3">
      <c r="B222" s="94" t="s">
        <v>1668</v>
      </c>
      <c r="C222" s="94"/>
      <c r="D222" s="94"/>
      <c r="E222" s="94"/>
      <c r="F222" s="94"/>
    </row>
    <row r="223" spans="2:6" ht="40.5" customHeight="1" x14ac:dyDescent="0.3">
      <c r="B223" s="94" t="s">
        <v>1669</v>
      </c>
      <c r="C223" s="94"/>
      <c r="D223" s="94"/>
      <c r="E223" s="94"/>
      <c r="F223" s="94"/>
    </row>
    <row r="224" spans="2:6" ht="13.5" customHeight="1" x14ac:dyDescent="0.3">
      <c r="B224" s="94" t="s">
        <v>1670</v>
      </c>
      <c r="C224" s="94"/>
      <c r="D224" s="94"/>
      <c r="E224" s="94"/>
      <c r="F224" s="94"/>
    </row>
    <row r="225" spans="2:6" ht="13.5" customHeight="1" x14ac:dyDescent="0.3">
      <c r="B225" s="94" t="s">
        <v>1424</v>
      </c>
      <c r="C225" s="94"/>
      <c r="D225" s="94"/>
      <c r="E225" s="94"/>
      <c r="F225" s="94"/>
    </row>
    <row r="226" spans="2:6" x14ac:dyDescent="0.3">
      <c r="B226" s="92"/>
      <c r="C226" s="92"/>
      <c r="D226" s="92"/>
      <c r="E226" s="92"/>
      <c r="F226" s="92"/>
    </row>
    <row r="227" spans="2:6" ht="13.5" customHeight="1" x14ac:dyDescent="0.3">
      <c r="B227" s="136" t="s">
        <v>1671</v>
      </c>
      <c r="C227" s="136"/>
      <c r="D227" s="136"/>
      <c r="E227" s="136"/>
      <c r="F227" s="136"/>
    </row>
    <row r="228" spans="2:6" x14ac:dyDescent="0.3">
      <c r="B228" s="85" t="s">
        <v>1672</v>
      </c>
      <c r="C228" s="85" t="s">
        <v>1673</v>
      </c>
      <c r="D228" s="85" t="s">
        <v>1674</v>
      </c>
      <c r="E228" s="85" t="s">
        <v>1675</v>
      </c>
      <c r="F228" s="85" t="s">
        <v>1427</v>
      </c>
    </row>
    <row r="229" spans="2:6" x14ac:dyDescent="0.3">
      <c r="B229" s="87" t="s">
        <v>1676</v>
      </c>
      <c r="C229" s="87" t="s">
        <v>1677</v>
      </c>
      <c r="D229" s="87" t="s">
        <v>1678</v>
      </c>
      <c r="E229" s="87" t="s">
        <v>1679</v>
      </c>
      <c r="F229" s="87" t="s">
        <v>713</v>
      </c>
    </row>
    <row r="230" spans="2:6" ht="52.8" x14ac:dyDescent="0.3">
      <c r="B230" s="87">
        <v>32</v>
      </c>
      <c r="C230" s="87" t="s">
        <v>753</v>
      </c>
      <c r="D230" s="87" t="s">
        <v>1680</v>
      </c>
      <c r="E230" s="87" t="s">
        <v>1681</v>
      </c>
      <c r="F230" s="87" t="s">
        <v>1431</v>
      </c>
    </row>
    <row r="231" spans="2:6" ht="26.4" x14ac:dyDescent="0.3">
      <c r="B231" s="87">
        <v>33</v>
      </c>
      <c r="C231" s="87" t="s">
        <v>1197</v>
      </c>
      <c r="D231" s="87" t="s">
        <v>1682</v>
      </c>
      <c r="E231" s="87" t="s">
        <v>1683</v>
      </c>
      <c r="F231" s="87" t="s">
        <v>1431</v>
      </c>
    </row>
    <row r="232" spans="2:6" x14ac:dyDescent="0.3">
      <c r="B232" s="87" t="s">
        <v>1684</v>
      </c>
      <c r="C232" s="87" t="s">
        <v>1685</v>
      </c>
      <c r="D232" s="87" t="s">
        <v>1686</v>
      </c>
      <c r="E232" s="87" t="s">
        <v>1687</v>
      </c>
      <c r="F232" s="87" t="s">
        <v>1435</v>
      </c>
    </row>
    <row r="233" spans="2:6" ht="52.8" x14ac:dyDescent="0.3">
      <c r="B233" s="87">
        <v>37</v>
      </c>
      <c r="C233" s="87" t="s">
        <v>1688</v>
      </c>
      <c r="D233" s="87" t="s">
        <v>1689</v>
      </c>
      <c r="E233" s="87" t="s">
        <v>1690</v>
      </c>
      <c r="F233" s="87" t="s">
        <v>1435</v>
      </c>
    </row>
    <row r="234" spans="2:6" x14ac:dyDescent="0.3">
      <c r="B234" s="87">
        <v>38</v>
      </c>
      <c r="C234" s="87" t="s">
        <v>1691</v>
      </c>
      <c r="D234" s="87"/>
      <c r="E234" s="87" t="s">
        <v>1692</v>
      </c>
      <c r="F234" s="87" t="s">
        <v>1431</v>
      </c>
    </row>
    <row r="235" spans="2:6" x14ac:dyDescent="0.3">
      <c r="B235" s="87">
        <v>39</v>
      </c>
      <c r="C235" s="87" t="s">
        <v>1693</v>
      </c>
      <c r="D235" s="87" t="s">
        <v>1694</v>
      </c>
      <c r="E235" s="87" t="s">
        <v>1695</v>
      </c>
      <c r="F235" s="87" t="s">
        <v>1431</v>
      </c>
    </row>
    <row r="236" spans="2:6" ht="66" x14ac:dyDescent="0.3">
      <c r="B236" s="87">
        <v>40</v>
      </c>
      <c r="C236" s="87" t="s">
        <v>1696</v>
      </c>
      <c r="D236" s="87" t="s">
        <v>1697</v>
      </c>
      <c r="E236" s="87" t="s">
        <v>1698</v>
      </c>
      <c r="F236" s="87" t="s">
        <v>1431</v>
      </c>
    </row>
    <row r="237" spans="2:6" ht="26.4" x14ac:dyDescent="0.3">
      <c r="B237" s="87">
        <v>41</v>
      </c>
      <c r="C237" s="87" t="s">
        <v>1699</v>
      </c>
      <c r="D237" s="87" t="s">
        <v>1700</v>
      </c>
      <c r="E237" s="87" t="s">
        <v>1701</v>
      </c>
      <c r="F237" s="87" t="s">
        <v>1435</v>
      </c>
    </row>
    <row r="239" spans="2:6" ht="13.5" customHeight="1" x14ac:dyDescent="0.3">
      <c r="B239" s="94" t="s">
        <v>1702</v>
      </c>
      <c r="C239" s="94"/>
      <c r="D239" s="94"/>
      <c r="E239" s="94"/>
      <c r="F239" s="94"/>
    </row>
    <row r="240" spans="2:6" ht="13.5" customHeight="1" x14ac:dyDescent="0.3">
      <c r="B240" s="94" t="s">
        <v>1703</v>
      </c>
      <c r="C240" s="94"/>
      <c r="D240" s="94"/>
      <c r="E240" s="94"/>
      <c r="F240" s="94"/>
    </row>
    <row r="241" spans="2:6" ht="13.5" customHeight="1" x14ac:dyDescent="0.3">
      <c r="B241" s="94" t="s">
        <v>1704</v>
      </c>
      <c r="C241" s="94"/>
      <c r="D241" s="94"/>
      <c r="E241" s="94"/>
      <c r="F241" s="94"/>
    </row>
    <row r="242" spans="2:6" ht="13.5" customHeight="1" x14ac:dyDescent="0.3">
      <c r="B242" s="94" t="s">
        <v>1424</v>
      </c>
      <c r="C242" s="94"/>
      <c r="D242" s="94"/>
      <c r="E242" s="94"/>
      <c r="F242" s="94"/>
    </row>
    <row r="243" spans="2:6" x14ac:dyDescent="0.3">
      <c r="B243" s="92"/>
      <c r="C243" s="92"/>
      <c r="D243" s="92"/>
      <c r="E243" s="92"/>
      <c r="F243" s="92"/>
    </row>
    <row r="244" spans="2:6" ht="13.5" customHeight="1" x14ac:dyDescent="0.3">
      <c r="B244" s="136" t="s">
        <v>1705</v>
      </c>
      <c r="C244" s="136"/>
      <c r="D244" s="136"/>
      <c r="E244" s="136"/>
      <c r="F244" s="136"/>
    </row>
    <row r="245" spans="2:6" ht="13.5" customHeight="1" x14ac:dyDescent="0.3">
      <c r="B245" s="94" t="s">
        <v>1706</v>
      </c>
      <c r="C245" s="94"/>
      <c r="D245" s="94"/>
      <c r="E245" s="94"/>
      <c r="F245" s="94"/>
    </row>
    <row r="246" spans="2:6" x14ac:dyDescent="0.3">
      <c r="B246" s="85" t="s">
        <v>857</v>
      </c>
      <c r="C246" s="85" t="s">
        <v>767</v>
      </c>
    </row>
    <row r="247" spans="2:6" ht="26.4" x14ac:dyDescent="0.3">
      <c r="B247" s="87" t="s">
        <v>858</v>
      </c>
      <c r="C247" s="87" t="s">
        <v>812</v>
      </c>
    </row>
    <row r="248" spans="2:6" ht="26.4" x14ac:dyDescent="0.3">
      <c r="B248" s="87" t="s">
        <v>1707</v>
      </c>
      <c r="C248" s="87" t="s">
        <v>764</v>
      </c>
    </row>
    <row r="249" spans="2:6" x14ac:dyDescent="0.3">
      <c r="B249" s="87" t="s">
        <v>859</v>
      </c>
      <c r="C249" s="87" t="s">
        <v>764</v>
      </c>
    </row>
    <row r="250" spans="2:6" x14ac:dyDescent="0.3">
      <c r="B250" s="87" t="s">
        <v>860</v>
      </c>
      <c r="C250" s="87" t="s">
        <v>811</v>
      </c>
    </row>
    <row r="251" spans="2:6" x14ac:dyDescent="0.3">
      <c r="B251" s="87" t="s">
        <v>1708</v>
      </c>
      <c r="C251" s="87" t="s">
        <v>810</v>
      </c>
    </row>
    <row r="253" spans="2:6" ht="13.5" customHeight="1" x14ac:dyDescent="0.3">
      <c r="B253" s="94" t="s">
        <v>1604</v>
      </c>
      <c r="C253" s="94"/>
      <c r="D253" s="94"/>
      <c r="E253" s="94"/>
      <c r="F253" s="94"/>
    </row>
    <row r="254" spans="2:6" ht="27" customHeight="1" x14ac:dyDescent="0.3">
      <c r="B254" s="94" t="s">
        <v>1709</v>
      </c>
      <c r="C254" s="94"/>
      <c r="D254" s="94"/>
      <c r="E254" s="94"/>
      <c r="F254" s="94"/>
    </row>
    <row r="255" spans="2:6" ht="27" customHeight="1" x14ac:dyDescent="0.3">
      <c r="B255" s="94" t="s">
        <v>1710</v>
      </c>
      <c r="C255" s="94"/>
      <c r="D255" s="94"/>
      <c r="E255" s="94"/>
      <c r="F255" s="94"/>
    </row>
    <row r="256" spans="2:6" ht="13.5" customHeight="1" x14ac:dyDescent="0.3">
      <c r="B256" s="94" t="s">
        <v>1711</v>
      </c>
      <c r="C256" s="94"/>
      <c r="D256" s="94"/>
      <c r="E256" s="94"/>
      <c r="F256" s="94"/>
    </row>
    <row r="257" spans="2:6" ht="13.5" customHeight="1" x14ac:dyDescent="0.3">
      <c r="B257" s="94" t="s">
        <v>1712</v>
      </c>
      <c r="C257" s="94"/>
      <c r="D257" s="94"/>
      <c r="E257" s="94"/>
      <c r="F257" s="94"/>
    </row>
    <row r="258" spans="2:6" ht="40.5" customHeight="1" x14ac:dyDescent="0.3">
      <c r="B258" s="94" t="s">
        <v>1713</v>
      </c>
      <c r="C258" s="94"/>
      <c r="D258" s="94"/>
      <c r="E258" s="94"/>
      <c r="F258" s="94"/>
    </row>
    <row r="259" spans="2:6" ht="13.5" customHeight="1" x14ac:dyDescent="0.3">
      <c r="B259" s="94" t="s">
        <v>1714</v>
      </c>
      <c r="C259" s="94"/>
      <c r="D259" s="94"/>
      <c r="E259" s="94"/>
      <c r="F259" s="94"/>
    </row>
    <row r="260" spans="2:6" ht="13.5" customHeight="1" x14ac:dyDescent="0.3">
      <c r="B260" s="94" t="s">
        <v>1715</v>
      </c>
      <c r="C260" s="94"/>
      <c r="D260" s="94"/>
      <c r="E260" s="94"/>
      <c r="F260" s="94"/>
    </row>
    <row r="261" spans="2:6" ht="13.5" customHeight="1" x14ac:dyDescent="0.3">
      <c r="B261" s="94" t="s">
        <v>1716</v>
      </c>
      <c r="C261" s="94"/>
      <c r="D261" s="94"/>
      <c r="E261" s="94"/>
      <c r="F261" s="94"/>
    </row>
    <row r="262" spans="2:6" ht="13.5" customHeight="1" x14ac:dyDescent="0.3">
      <c r="B262" s="94" t="s">
        <v>1717</v>
      </c>
      <c r="C262" s="94"/>
      <c r="D262" s="94"/>
      <c r="E262" s="94"/>
      <c r="F262" s="94"/>
    </row>
    <row r="263" spans="2:6" ht="13.5" customHeight="1" x14ac:dyDescent="0.3">
      <c r="B263" s="94" t="s">
        <v>1718</v>
      </c>
      <c r="C263" s="94"/>
      <c r="D263" s="94"/>
      <c r="E263" s="94"/>
      <c r="F263" s="94"/>
    </row>
    <row r="264" spans="2:6" ht="27" customHeight="1" x14ac:dyDescent="0.3">
      <c r="B264" s="94" t="s">
        <v>1719</v>
      </c>
      <c r="C264" s="94"/>
      <c r="D264" s="94"/>
      <c r="E264" s="94"/>
      <c r="F264" s="94"/>
    </row>
    <row r="265" spans="2:6" ht="13.5" customHeight="1" x14ac:dyDescent="0.3">
      <c r="B265" s="94" t="s">
        <v>1424</v>
      </c>
      <c r="C265" s="94"/>
      <c r="D265" s="94"/>
      <c r="E265" s="94"/>
      <c r="F265" s="94"/>
    </row>
    <row r="266" spans="2:6" x14ac:dyDescent="0.3">
      <c r="B266" s="92"/>
      <c r="C266" s="92"/>
      <c r="D266" s="92"/>
      <c r="E266" s="92"/>
      <c r="F266" s="92"/>
    </row>
    <row r="267" spans="2:6" ht="13.5" customHeight="1" x14ac:dyDescent="0.3">
      <c r="B267" s="136" t="s">
        <v>1720</v>
      </c>
      <c r="C267" s="136"/>
      <c r="D267" s="136"/>
      <c r="E267" s="136"/>
      <c r="F267" s="136"/>
    </row>
    <row r="268" spans="2:6" ht="27" customHeight="1" x14ac:dyDescent="0.3">
      <c r="B268" s="94" t="s">
        <v>1721</v>
      </c>
      <c r="C268" s="94"/>
      <c r="D268" s="94"/>
      <c r="E268" s="94"/>
      <c r="F268" s="94"/>
    </row>
    <row r="269" spans="2:6" ht="13.5" customHeight="1" x14ac:dyDescent="0.3">
      <c r="B269" s="94" t="s">
        <v>1722</v>
      </c>
      <c r="C269" s="94"/>
      <c r="D269" s="94"/>
      <c r="E269" s="94"/>
      <c r="F269" s="94"/>
    </row>
    <row r="270" spans="2:6" ht="40.5" customHeight="1" x14ac:dyDescent="0.3">
      <c r="B270" s="94" t="s">
        <v>1723</v>
      </c>
      <c r="C270" s="94"/>
      <c r="D270" s="94"/>
      <c r="E270" s="94"/>
      <c r="F270" s="94"/>
    </row>
    <row r="271" spans="2:6" ht="13.5" customHeight="1" x14ac:dyDescent="0.3">
      <c r="B271" s="94" t="s">
        <v>1724</v>
      </c>
      <c r="C271" s="94"/>
      <c r="D271" s="94"/>
      <c r="E271" s="94"/>
      <c r="F271" s="94"/>
    </row>
    <row r="272" spans="2:6" ht="13.5" customHeight="1" x14ac:dyDescent="0.3">
      <c r="B272" s="94" t="s">
        <v>1424</v>
      </c>
      <c r="C272" s="94"/>
      <c r="D272" s="94"/>
      <c r="E272" s="94"/>
      <c r="F272" s="94"/>
    </row>
    <row r="273" spans="2:6" x14ac:dyDescent="0.3">
      <c r="B273" s="92"/>
      <c r="C273" s="92"/>
      <c r="D273" s="92"/>
      <c r="E273" s="92"/>
      <c r="F273" s="92"/>
    </row>
    <row r="274" spans="2:6" ht="13.5" customHeight="1" x14ac:dyDescent="0.3">
      <c r="B274" s="136" t="s">
        <v>1725</v>
      </c>
      <c r="C274" s="136"/>
      <c r="D274" s="136"/>
      <c r="E274" s="136"/>
      <c r="F274" s="136"/>
    </row>
    <row r="275" spans="2:6" ht="27" customHeight="1" x14ac:dyDescent="0.3">
      <c r="B275" s="94" t="s">
        <v>1726</v>
      </c>
      <c r="C275" s="94"/>
      <c r="D275" s="94"/>
      <c r="E275" s="94"/>
      <c r="F275" s="94"/>
    </row>
    <row r="276" spans="2:6" ht="13.5" customHeight="1" x14ac:dyDescent="0.3">
      <c r="B276" s="94" t="s">
        <v>1727</v>
      </c>
      <c r="C276" s="94"/>
      <c r="D276" s="94"/>
      <c r="E276" s="94"/>
      <c r="F276" s="94"/>
    </row>
    <row r="277" spans="2:6" ht="13.5" customHeight="1" x14ac:dyDescent="0.3">
      <c r="B277" s="94" t="s">
        <v>1424</v>
      </c>
      <c r="C277" s="94"/>
      <c r="D277" s="94"/>
      <c r="E277" s="94"/>
      <c r="F277" s="94"/>
    </row>
    <row r="278" spans="2:6" x14ac:dyDescent="0.3">
      <c r="B278" s="92"/>
      <c r="C278" s="92"/>
      <c r="D278" s="92"/>
      <c r="E278" s="92"/>
      <c r="F278" s="92"/>
    </row>
    <row r="279" spans="2:6" ht="13.5" customHeight="1" x14ac:dyDescent="0.3">
      <c r="B279" s="136" t="s">
        <v>1728</v>
      </c>
      <c r="C279" s="136"/>
      <c r="D279" s="136"/>
      <c r="E279" s="136"/>
      <c r="F279" s="136"/>
    </row>
    <row r="280" spans="2:6" ht="27" customHeight="1" x14ac:dyDescent="0.3">
      <c r="B280" s="94" t="s">
        <v>1729</v>
      </c>
      <c r="C280" s="94"/>
      <c r="D280" s="94"/>
      <c r="E280" s="94"/>
      <c r="F280" s="94"/>
    </row>
    <row r="281" spans="2:6" ht="13.5" customHeight="1" x14ac:dyDescent="0.3">
      <c r="B281" s="94" t="s">
        <v>1730</v>
      </c>
      <c r="C281" s="94"/>
      <c r="D281" s="94"/>
      <c r="E281" s="94"/>
      <c r="F281" s="94"/>
    </row>
    <row r="282" spans="2:6" ht="13.5" customHeight="1" x14ac:dyDescent="0.3">
      <c r="B282" s="94" t="s">
        <v>1424</v>
      </c>
      <c r="C282" s="94"/>
      <c r="D282" s="94"/>
      <c r="E282" s="94"/>
      <c r="F282" s="94"/>
    </row>
    <row r="283" spans="2:6" x14ac:dyDescent="0.3">
      <c r="B283" s="92"/>
      <c r="C283" s="92"/>
      <c r="D283" s="92"/>
      <c r="E283" s="92"/>
      <c r="F283" s="92"/>
    </row>
    <row r="284" spans="2:6" ht="13.5" customHeight="1" x14ac:dyDescent="0.3">
      <c r="B284" s="136" t="s">
        <v>1731</v>
      </c>
      <c r="C284" s="136"/>
      <c r="D284" s="136"/>
      <c r="E284" s="136"/>
      <c r="F284" s="136"/>
    </row>
    <row r="285" spans="2:6" ht="27" customHeight="1" x14ac:dyDescent="0.3">
      <c r="B285" s="94" t="s">
        <v>1732</v>
      </c>
      <c r="C285" s="94"/>
      <c r="D285" s="94"/>
      <c r="E285" s="94"/>
      <c r="F285" s="94"/>
    </row>
    <row r="286" spans="2:6" x14ac:dyDescent="0.3">
      <c r="B286" s="85" t="s">
        <v>1733</v>
      </c>
      <c r="C286" s="85" t="s">
        <v>1426</v>
      </c>
      <c r="D286" s="85" t="s">
        <v>1734</v>
      </c>
      <c r="E286" s="85" t="s">
        <v>1735</v>
      </c>
    </row>
    <row r="287" spans="2:6" x14ac:dyDescent="0.3">
      <c r="B287" s="87" t="s">
        <v>5</v>
      </c>
      <c r="C287" s="87" t="s">
        <v>1736</v>
      </c>
      <c r="D287" s="87" t="s">
        <v>1737</v>
      </c>
      <c r="E287" s="87" t="s">
        <v>1738</v>
      </c>
    </row>
    <row r="288" spans="2:6" x14ac:dyDescent="0.3">
      <c r="B288" s="87" t="s">
        <v>1739</v>
      </c>
      <c r="C288" s="87" t="s">
        <v>1740</v>
      </c>
      <c r="D288" s="87" t="s">
        <v>1741</v>
      </c>
      <c r="E288" s="87" t="s">
        <v>1742</v>
      </c>
    </row>
    <row r="289" spans="2:6" x14ac:dyDescent="0.3">
      <c r="B289" s="87" t="s">
        <v>1743</v>
      </c>
      <c r="C289" s="87" t="s">
        <v>1744</v>
      </c>
      <c r="D289" s="87" t="s">
        <v>1745</v>
      </c>
      <c r="E289" s="87" t="s">
        <v>1746</v>
      </c>
    </row>
    <row r="290" spans="2:6" ht="26.4" x14ac:dyDescent="0.3">
      <c r="B290" s="87" t="s">
        <v>1747</v>
      </c>
      <c r="C290" s="87" t="s">
        <v>1748</v>
      </c>
      <c r="D290" s="87" t="s">
        <v>1749</v>
      </c>
      <c r="E290" s="87" t="s">
        <v>1750</v>
      </c>
    </row>
    <row r="291" spans="2:6" ht="26.4" x14ac:dyDescent="0.3">
      <c r="B291" s="87" t="s">
        <v>1751</v>
      </c>
      <c r="C291" s="87" t="s">
        <v>1752</v>
      </c>
      <c r="D291" s="87" t="s">
        <v>1753</v>
      </c>
      <c r="E291" s="87" t="s">
        <v>1754</v>
      </c>
    </row>
    <row r="292" spans="2:6" x14ac:dyDescent="0.3">
      <c r="B292" s="87" t="s">
        <v>1755</v>
      </c>
      <c r="C292" s="87" t="s">
        <v>1756</v>
      </c>
      <c r="D292" s="87" t="s">
        <v>1757</v>
      </c>
      <c r="E292" s="87" t="s">
        <v>1758</v>
      </c>
    </row>
    <row r="293" spans="2:6" x14ac:dyDescent="0.3">
      <c r="B293" s="87" t="s">
        <v>1759</v>
      </c>
      <c r="C293" s="87" t="s">
        <v>1760</v>
      </c>
      <c r="D293" s="87" t="s">
        <v>713</v>
      </c>
      <c r="E293" s="87" t="s">
        <v>1761</v>
      </c>
    </row>
    <row r="295" spans="2:6" ht="13.5" customHeight="1" x14ac:dyDescent="0.3">
      <c r="B295" s="94" t="s">
        <v>1762</v>
      </c>
      <c r="C295" s="94"/>
      <c r="D295" s="94"/>
      <c r="E295" s="94"/>
      <c r="F295" s="94"/>
    </row>
    <row r="296" spans="2:6" ht="27" customHeight="1" x14ac:dyDescent="0.3">
      <c r="B296" s="94" t="s">
        <v>1763</v>
      </c>
      <c r="C296" s="94"/>
      <c r="D296" s="94"/>
      <c r="E296" s="94"/>
      <c r="F296" s="94"/>
    </row>
    <row r="297" spans="2:6" ht="27" customHeight="1" x14ac:dyDescent="0.3">
      <c r="B297" s="94" t="s">
        <v>1764</v>
      </c>
      <c r="C297" s="94"/>
      <c r="D297" s="94"/>
      <c r="E297" s="94"/>
      <c r="F297" s="94"/>
    </row>
    <row r="298" spans="2:6" ht="27" customHeight="1" x14ac:dyDescent="0.3">
      <c r="B298" s="94" t="s">
        <v>1765</v>
      </c>
      <c r="C298" s="94"/>
      <c r="D298" s="94"/>
      <c r="E298" s="94"/>
      <c r="F298" s="94"/>
    </row>
    <row r="299" spans="2:6" ht="40.5" customHeight="1" x14ac:dyDescent="0.3">
      <c r="B299" s="96" t="s">
        <v>1766</v>
      </c>
      <c r="C299" s="96"/>
      <c r="D299" s="96"/>
      <c r="E299" s="96"/>
      <c r="F299" s="96"/>
    </row>
    <row r="300" spans="2:6" ht="13.5" customHeight="1" x14ac:dyDescent="0.3">
      <c r="B300" s="94" t="s">
        <v>1424</v>
      </c>
      <c r="C300" s="94"/>
      <c r="D300" s="94"/>
      <c r="E300" s="94"/>
      <c r="F300" s="94"/>
    </row>
    <row r="301" spans="2:6" x14ac:dyDescent="0.3">
      <c r="B301" s="92"/>
      <c r="C301" s="92"/>
      <c r="D301" s="92"/>
      <c r="E301" s="92"/>
      <c r="F301" s="92"/>
    </row>
    <row r="302" spans="2:6" ht="13.5" customHeight="1" x14ac:dyDescent="0.3">
      <c r="B302" s="136" t="s">
        <v>1767</v>
      </c>
      <c r="C302" s="136"/>
      <c r="D302" s="136"/>
      <c r="E302" s="136"/>
      <c r="F302" s="136"/>
    </row>
    <row r="303" spans="2:6" ht="13.5" customHeight="1" x14ac:dyDescent="0.3">
      <c r="B303" s="94" t="s">
        <v>1768</v>
      </c>
      <c r="C303" s="94"/>
      <c r="D303" s="94"/>
      <c r="E303" s="94"/>
      <c r="F303" s="94"/>
    </row>
    <row r="304" spans="2:6" ht="13.5" customHeight="1" x14ac:dyDescent="0.3">
      <c r="B304" s="94" t="s">
        <v>1769</v>
      </c>
      <c r="C304" s="94"/>
      <c r="D304" s="94"/>
      <c r="E304" s="94"/>
      <c r="F304" s="94"/>
    </row>
    <row r="305" spans="2:6" ht="13.5" customHeight="1" x14ac:dyDescent="0.3">
      <c r="B305" s="94" t="s">
        <v>1770</v>
      </c>
      <c r="C305" s="94"/>
      <c r="D305" s="94"/>
      <c r="E305" s="94"/>
      <c r="F305" s="94"/>
    </row>
    <row r="306" spans="2:6" ht="13.5" customHeight="1" x14ac:dyDescent="0.3">
      <c r="B306" s="94" t="s">
        <v>1771</v>
      </c>
      <c r="C306" s="94"/>
      <c r="D306" s="94"/>
      <c r="E306" s="94"/>
      <c r="F306" s="94"/>
    </row>
    <row r="307" spans="2:6" ht="13.5" customHeight="1" x14ac:dyDescent="0.3">
      <c r="B307" s="94" t="s">
        <v>1772</v>
      </c>
      <c r="C307" s="94"/>
      <c r="D307" s="94"/>
      <c r="E307" s="94"/>
      <c r="F307" s="94"/>
    </row>
    <row r="308" spans="2:6" ht="13.5" customHeight="1" x14ac:dyDescent="0.3">
      <c r="B308" s="94" t="s">
        <v>1773</v>
      </c>
      <c r="C308" s="94"/>
      <c r="D308" s="94"/>
      <c r="E308" s="94"/>
      <c r="F308" s="94"/>
    </row>
    <row r="309" spans="2:6" ht="13.5" customHeight="1" x14ac:dyDescent="0.3">
      <c r="B309" s="94" t="s">
        <v>1424</v>
      </c>
      <c r="C309" s="94"/>
      <c r="D309" s="94"/>
      <c r="E309" s="94"/>
      <c r="F309" s="94"/>
    </row>
    <row r="310" spans="2:6" x14ac:dyDescent="0.3">
      <c r="B310" s="92"/>
      <c r="C310" s="92"/>
      <c r="D310" s="92"/>
      <c r="E310" s="92"/>
      <c r="F310" s="92"/>
    </row>
    <row r="311" spans="2:6" ht="13.5" customHeight="1" x14ac:dyDescent="0.3">
      <c r="B311" s="136" t="s">
        <v>1774</v>
      </c>
      <c r="C311" s="136"/>
      <c r="D311" s="136"/>
      <c r="E311" s="136"/>
      <c r="F311" s="136"/>
    </row>
    <row r="312" spans="2:6" ht="27" customHeight="1" x14ac:dyDescent="0.3">
      <c r="B312" s="94" t="s">
        <v>1775</v>
      </c>
      <c r="C312" s="94"/>
      <c r="D312" s="94"/>
      <c r="E312" s="94"/>
      <c r="F312" s="94"/>
    </row>
    <row r="313" spans="2:6" x14ac:dyDescent="0.3">
      <c r="B313" s="85" t="s">
        <v>1426</v>
      </c>
      <c r="C313" s="85" t="s">
        <v>1776</v>
      </c>
      <c r="D313" s="85" t="s">
        <v>1777</v>
      </c>
    </row>
    <row r="314" spans="2:6" ht="26.4" x14ac:dyDescent="0.3">
      <c r="B314" s="87" t="s">
        <v>1778</v>
      </c>
      <c r="C314" s="87" t="s">
        <v>1779</v>
      </c>
      <c r="D314" s="87" t="s">
        <v>1780</v>
      </c>
    </row>
    <row r="315" spans="2:6" ht="52.8" x14ac:dyDescent="0.3">
      <c r="B315" s="87" t="s">
        <v>1781</v>
      </c>
      <c r="C315" s="87">
        <v>1</v>
      </c>
      <c r="D315" s="87" t="s">
        <v>1782</v>
      </c>
    </row>
    <row r="316" spans="2:6" ht="52.8" x14ac:dyDescent="0.3">
      <c r="B316" s="87" t="s">
        <v>1466</v>
      </c>
      <c r="C316" s="87" t="s">
        <v>1783</v>
      </c>
      <c r="D316" s="87" t="s">
        <v>1784</v>
      </c>
    </row>
    <row r="317" spans="2:6" ht="39.6" x14ac:dyDescent="0.3">
      <c r="B317" s="87" t="s">
        <v>1785</v>
      </c>
      <c r="C317" s="87" t="s">
        <v>1786</v>
      </c>
      <c r="D317" s="87" t="s">
        <v>1787</v>
      </c>
    </row>
    <row r="318" spans="2:6" ht="39.6" x14ac:dyDescent="0.3">
      <c r="B318" s="87" t="s">
        <v>1788</v>
      </c>
      <c r="C318" s="87" t="s">
        <v>1789</v>
      </c>
      <c r="D318" s="87" t="s">
        <v>1790</v>
      </c>
    </row>
    <row r="319" spans="2:6" ht="26.4" x14ac:dyDescent="0.3">
      <c r="B319" s="87" t="s">
        <v>1791</v>
      </c>
      <c r="C319" s="87" t="s">
        <v>494</v>
      </c>
      <c r="D319" s="87" t="s">
        <v>1792</v>
      </c>
    </row>
    <row r="320" spans="2:6" ht="39.6" x14ac:dyDescent="0.3">
      <c r="B320" s="87" t="s">
        <v>1793</v>
      </c>
      <c r="C320" s="87" t="s">
        <v>1794</v>
      </c>
      <c r="D320" s="87" t="s">
        <v>1795</v>
      </c>
    </row>
    <row r="321" spans="2:6" ht="52.8" x14ac:dyDescent="0.3">
      <c r="B321" s="87" t="s">
        <v>1796</v>
      </c>
      <c r="C321" s="87" t="s">
        <v>1797</v>
      </c>
      <c r="D321" s="87" t="s">
        <v>1798</v>
      </c>
    </row>
    <row r="323" spans="2:6" ht="40.5" customHeight="1" x14ac:dyDescent="0.3">
      <c r="B323" s="94" t="s">
        <v>1799</v>
      </c>
      <c r="C323" s="94"/>
      <c r="D323" s="94"/>
      <c r="E323" s="94"/>
      <c r="F323" s="94"/>
    </row>
    <row r="324" spans="2:6" ht="40.5" customHeight="1" x14ac:dyDescent="0.3">
      <c r="B324" s="94" t="s">
        <v>1800</v>
      </c>
      <c r="C324" s="94"/>
      <c r="D324" s="94"/>
      <c r="E324" s="94"/>
      <c r="F324" s="94"/>
    </row>
    <row r="325" spans="2:6" ht="40.5" customHeight="1" x14ac:dyDescent="0.3">
      <c r="B325" s="94" t="s">
        <v>1801</v>
      </c>
      <c r="C325" s="94"/>
      <c r="D325" s="94"/>
      <c r="E325" s="94"/>
      <c r="F325" s="94"/>
    </row>
    <row r="326" spans="2:6" x14ac:dyDescent="0.3">
      <c r="B326" s="92"/>
      <c r="C326" s="92"/>
      <c r="D326" s="92"/>
      <c r="E326" s="92"/>
      <c r="F326" s="92"/>
    </row>
    <row r="327" spans="2:6" ht="13.5" customHeight="1" x14ac:dyDescent="0.3">
      <c r="B327" s="136" t="s">
        <v>1802</v>
      </c>
      <c r="C327" s="136"/>
      <c r="D327" s="136"/>
      <c r="E327" s="136"/>
      <c r="F327" s="136"/>
    </row>
    <row r="328" spans="2:6" ht="27" customHeight="1" x14ac:dyDescent="0.3">
      <c r="B328" s="94" t="s">
        <v>1803</v>
      </c>
      <c r="C328" s="94"/>
      <c r="D328" s="94"/>
      <c r="E328" s="94"/>
      <c r="F328" s="94"/>
    </row>
    <row r="329" spans="2:6" ht="27" customHeight="1" x14ac:dyDescent="0.3">
      <c r="B329" s="94" t="s">
        <v>1804</v>
      </c>
      <c r="C329" s="94"/>
      <c r="D329" s="94"/>
      <c r="E329" s="94"/>
      <c r="F329" s="94"/>
    </row>
    <row r="330" spans="2:6" ht="27" customHeight="1" x14ac:dyDescent="0.3">
      <c r="B330" s="94" t="s">
        <v>1805</v>
      </c>
      <c r="C330" s="94"/>
      <c r="D330" s="94"/>
      <c r="E330" s="94"/>
      <c r="F330" s="94"/>
    </row>
    <row r="331" spans="2:6" ht="13.5" customHeight="1" x14ac:dyDescent="0.3">
      <c r="B331" s="94" t="s">
        <v>1806</v>
      </c>
      <c r="C331" s="94"/>
      <c r="D331" s="94"/>
      <c r="E331" s="94"/>
      <c r="F331" s="94"/>
    </row>
    <row r="332" spans="2:6" ht="13.5" customHeight="1" x14ac:dyDescent="0.3">
      <c r="B332" s="94" t="s">
        <v>1807</v>
      </c>
      <c r="C332" s="94"/>
      <c r="D332" s="94"/>
      <c r="E332" s="94"/>
      <c r="F332" s="94"/>
    </row>
    <row r="333" spans="2:6" ht="27" customHeight="1" x14ac:dyDescent="0.3">
      <c r="B333" s="94" t="s">
        <v>1808</v>
      </c>
      <c r="C333" s="94"/>
      <c r="D333" s="94"/>
      <c r="E333" s="94"/>
      <c r="F333" s="94"/>
    </row>
    <row r="334" spans="2:6" ht="27" customHeight="1" x14ac:dyDescent="0.3">
      <c r="B334" s="94" t="s">
        <v>1809</v>
      </c>
      <c r="C334" s="94"/>
      <c r="D334" s="94"/>
      <c r="E334" s="94"/>
      <c r="F334" s="94"/>
    </row>
  </sheetData>
  <mergeCells count="226">
    <mergeCell ref="B331:F331"/>
    <mergeCell ref="B332:F332"/>
    <mergeCell ref="B333:F333"/>
    <mergeCell ref="B334:F334"/>
    <mergeCell ref="B325:F325"/>
    <mergeCell ref="B327:F327"/>
    <mergeCell ref="B328:F328"/>
    <mergeCell ref="B329:F329"/>
    <mergeCell ref="B330:F330"/>
    <mergeCell ref="B309:F309"/>
    <mergeCell ref="B311:F311"/>
    <mergeCell ref="B312:F312"/>
    <mergeCell ref="B323:F323"/>
    <mergeCell ref="B324:F324"/>
    <mergeCell ref="B303:F303"/>
    <mergeCell ref="B304:F304"/>
    <mergeCell ref="B305:F305"/>
    <mergeCell ref="B306:F306"/>
    <mergeCell ref="B307:F307"/>
    <mergeCell ref="B308:F308"/>
    <mergeCell ref="B297:F297"/>
    <mergeCell ref="B298:F298"/>
    <mergeCell ref="B299:F299"/>
    <mergeCell ref="B300:F300"/>
    <mergeCell ref="B302:F302"/>
    <mergeCell ref="B282:F282"/>
    <mergeCell ref="B284:F284"/>
    <mergeCell ref="B285:F285"/>
    <mergeCell ref="B295:F295"/>
    <mergeCell ref="B296:F296"/>
    <mergeCell ref="B276:F276"/>
    <mergeCell ref="B277:F277"/>
    <mergeCell ref="B279:F279"/>
    <mergeCell ref="B280:F280"/>
    <mergeCell ref="B281:F281"/>
    <mergeCell ref="B270:F270"/>
    <mergeCell ref="B271:F271"/>
    <mergeCell ref="B272:F272"/>
    <mergeCell ref="B274:F274"/>
    <mergeCell ref="B275:F275"/>
    <mergeCell ref="B264:F264"/>
    <mergeCell ref="B265:F265"/>
    <mergeCell ref="B267:F267"/>
    <mergeCell ref="B268:F268"/>
    <mergeCell ref="B269:F269"/>
    <mergeCell ref="B258:F258"/>
    <mergeCell ref="B259:F259"/>
    <mergeCell ref="B260:F260"/>
    <mergeCell ref="B261:F261"/>
    <mergeCell ref="B262:F262"/>
    <mergeCell ref="B263:F263"/>
    <mergeCell ref="B245:F245"/>
    <mergeCell ref="B253:F253"/>
    <mergeCell ref="B254:F254"/>
    <mergeCell ref="B255:F255"/>
    <mergeCell ref="B256:F256"/>
    <mergeCell ref="B257:F257"/>
    <mergeCell ref="B239:F239"/>
    <mergeCell ref="B240:F240"/>
    <mergeCell ref="B241:F241"/>
    <mergeCell ref="B242:F242"/>
    <mergeCell ref="B244:F244"/>
    <mergeCell ref="B222:F222"/>
    <mergeCell ref="B223:F223"/>
    <mergeCell ref="B224:F224"/>
    <mergeCell ref="B225:F225"/>
    <mergeCell ref="B227:F227"/>
    <mergeCell ref="B216:F216"/>
    <mergeCell ref="B217:F217"/>
    <mergeCell ref="B218:F218"/>
    <mergeCell ref="B219:F219"/>
    <mergeCell ref="B220:F220"/>
    <mergeCell ref="B221:F221"/>
    <mergeCell ref="B210:F210"/>
    <mergeCell ref="B211:F211"/>
    <mergeCell ref="B212:F212"/>
    <mergeCell ref="B213:F213"/>
    <mergeCell ref="B214:F214"/>
    <mergeCell ref="B215:F215"/>
    <mergeCell ref="B204:F204"/>
    <mergeCell ref="B205:F205"/>
    <mergeCell ref="B206:F206"/>
    <mergeCell ref="B207:F207"/>
    <mergeCell ref="B208:F208"/>
    <mergeCell ref="B209:F209"/>
    <mergeCell ref="B198:F198"/>
    <mergeCell ref="B199:F199"/>
    <mergeCell ref="B200:F200"/>
    <mergeCell ref="B201:F201"/>
    <mergeCell ref="B202:F202"/>
    <mergeCell ref="B203:F203"/>
    <mergeCell ref="B182:F182"/>
    <mergeCell ref="B183:F183"/>
    <mergeCell ref="B191:F191"/>
    <mergeCell ref="B192:F192"/>
    <mergeCell ref="B193:F193"/>
    <mergeCell ref="B197:F197"/>
    <mergeCell ref="B176:F176"/>
    <mergeCell ref="B177:F177"/>
    <mergeCell ref="B178:F178"/>
    <mergeCell ref="B179:F179"/>
    <mergeCell ref="B180:F180"/>
    <mergeCell ref="B170:F170"/>
    <mergeCell ref="B171:F171"/>
    <mergeCell ref="B172:F172"/>
    <mergeCell ref="B173:F173"/>
    <mergeCell ref="B174:F174"/>
    <mergeCell ref="B175:F175"/>
    <mergeCell ref="B164:F164"/>
    <mergeCell ref="B165:F165"/>
    <mergeCell ref="B166:F166"/>
    <mergeCell ref="B167:F167"/>
    <mergeCell ref="B168:F168"/>
    <mergeCell ref="B169:F169"/>
    <mergeCell ref="B158:F158"/>
    <mergeCell ref="B159:F159"/>
    <mergeCell ref="B160:F160"/>
    <mergeCell ref="B161:F161"/>
    <mergeCell ref="B162:F162"/>
    <mergeCell ref="B163:F163"/>
    <mergeCell ref="B152:F152"/>
    <mergeCell ref="B153:F153"/>
    <mergeCell ref="B154:F154"/>
    <mergeCell ref="B155:F155"/>
    <mergeCell ref="B156:F156"/>
    <mergeCell ref="B157:F157"/>
    <mergeCell ref="B146:F146"/>
    <mergeCell ref="B147:F147"/>
    <mergeCell ref="B149:F149"/>
    <mergeCell ref="B150:F150"/>
    <mergeCell ref="B151:F151"/>
    <mergeCell ref="B140:F140"/>
    <mergeCell ref="B141:F141"/>
    <mergeCell ref="B142:F142"/>
    <mergeCell ref="B143:F143"/>
    <mergeCell ref="B144:F144"/>
    <mergeCell ref="B145:F145"/>
    <mergeCell ref="B134:F134"/>
    <mergeCell ref="B135:F135"/>
    <mergeCell ref="B136:F136"/>
    <mergeCell ref="B137:F137"/>
    <mergeCell ref="B138:F138"/>
    <mergeCell ref="B139:F139"/>
    <mergeCell ref="B128:F128"/>
    <mergeCell ref="B129:F129"/>
    <mergeCell ref="B130:F130"/>
    <mergeCell ref="B131:F131"/>
    <mergeCell ref="B132:F132"/>
    <mergeCell ref="B122:F122"/>
    <mergeCell ref="B123:F123"/>
    <mergeCell ref="B125:F125"/>
    <mergeCell ref="B126:F126"/>
    <mergeCell ref="B127:F127"/>
    <mergeCell ref="B116:F116"/>
    <mergeCell ref="B117:F117"/>
    <mergeCell ref="B118:F118"/>
    <mergeCell ref="B119:F119"/>
    <mergeCell ref="B120:F120"/>
    <mergeCell ref="B121:F121"/>
    <mergeCell ref="B110:F110"/>
    <mergeCell ref="B111:F111"/>
    <mergeCell ref="B112:F112"/>
    <mergeCell ref="B113:F113"/>
    <mergeCell ref="B114:F114"/>
    <mergeCell ref="B115:F115"/>
    <mergeCell ref="B104:F104"/>
    <mergeCell ref="B105:F105"/>
    <mergeCell ref="B106:F106"/>
    <mergeCell ref="B108:F108"/>
    <mergeCell ref="B109:F109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  <mergeCell ref="B96:F96"/>
    <mergeCell ref="B97:F97"/>
    <mergeCell ref="B86:F86"/>
    <mergeCell ref="B87:F87"/>
    <mergeCell ref="B88:F88"/>
    <mergeCell ref="B89:F89"/>
    <mergeCell ref="B90:F90"/>
    <mergeCell ref="B91:F91"/>
    <mergeCell ref="B81:F81"/>
    <mergeCell ref="B82:F82"/>
    <mergeCell ref="B83:F83"/>
    <mergeCell ref="B84:F84"/>
    <mergeCell ref="B85:F85"/>
    <mergeCell ref="B74:F74"/>
    <mergeCell ref="B75:F75"/>
    <mergeCell ref="B76:F76"/>
    <mergeCell ref="B77:F77"/>
    <mergeCell ref="B78:F78"/>
    <mergeCell ref="B79:F79"/>
    <mergeCell ref="B68:F68"/>
    <mergeCell ref="B69:F69"/>
    <mergeCell ref="B70:F70"/>
    <mergeCell ref="B71:F71"/>
    <mergeCell ref="B72:F72"/>
    <mergeCell ref="B73:F73"/>
    <mergeCell ref="B62:F62"/>
    <mergeCell ref="B63:F63"/>
    <mergeCell ref="B65:F65"/>
    <mergeCell ref="B66:F66"/>
    <mergeCell ref="B67:F67"/>
    <mergeCell ref="B23:F23"/>
    <mergeCell ref="B46:F46"/>
    <mergeCell ref="B48:F48"/>
    <mergeCell ref="B49:F49"/>
    <mergeCell ref="B50:F50"/>
    <mergeCell ref="B7:F7"/>
    <mergeCell ref="B8:F8"/>
    <mergeCell ref="B9:F9"/>
    <mergeCell ref="B20:F20"/>
    <mergeCell ref="B21:F21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CA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20" bestFit="1" customWidth="1"/>
    <col min="14" max="14" width="14" customWidth="1"/>
    <col min="17" max="17" width="38.109375" bestFit="1" customWidth="1"/>
    <col min="18" max="18" width="8.109375" customWidth="1"/>
    <col min="19" max="25" width="17.44140625" customWidth="1"/>
    <col min="26" max="26" width="22" customWidth="1"/>
    <col min="27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14.77734375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6" width="10" customWidth="1"/>
    <col min="67" max="67" width="3" customWidth="1"/>
    <col min="68" max="68" width="13" customWidth="1"/>
    <col min="69" max="69" width="8" customWidth="1"/>
    <col min="70" max="70" width="110" customWidth="1"/>
    <col min="71" max="71" width="3" customWidth="1"/>
    <col min="72" max="72" width="40" customWidth="1"/>
    <col min="73" max="73" width="12" customWidth="1"/>
    <col min="74" max="74" width="60" customWidth="1"/>
    <col min="75" max="75" width="3" customWidth="1"/>
    <col min="76" max="76" width="10" customWidth="1"/>
    <col min="77" max="77" width="12" customWidth="1"/>
    <col min="78" max="79" width="16" customWidth="1"/>
  </cols>
  <sheetData>
    <row r="1" spans="1:79" ht="15" thickBot="1" x14ac:dyDescent="0.35">
      <c r="A1" s="141" t="s">
        <v>1830</v>
      </c>
    </row>
    <row r="2" spans="1:79" ht="15" thickBot="1" x14ac:dyDescent="0.35">
      <c r="I2" s="37"/>
      <c r="L2" s="98" t="s">
        <v>55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J2" s="15" t="s">
        <v>65</v>
      </c>
      <c r="AK2" s="15"/>
      <c r="AQ2" s="101" t="s">
        <v>530</v>
      </c>
      <c r="AR2" s="101"/>
      <c r="AS2" s="101"/>
      <c r="AU2" s="73"/>
      <c r="AZ2" s="35"/>
      <c r="BA2" s="73" t="s">
        <v>540</v>
      </c>
      <c r="BD2" s="78"/>
      <c r="BE2" s="36" t="s">
        <v>541</v>
      </c>
      <c r="BP2" s="36" t="s">
        <v>542</v>
      </c>
      <c r="BT2" s="36"/>
      <c r="BX2" s="36" t="s">
        <v>543</v>
      </c>
    </row>
    <row r="3" spans="1:79" ht="28.05" customHeight="1" x14ac:dyDescent="0.3">
      <c r="B3" s="2" t="s">
        <v>3</v>
      </c>
      <c r="C3" s="2" t="s">
        <v>15</v>
      </c>
      <c r="D3" s="2" t="s">
        <v>544</v>
      </c>
      <c r="F3" s="2" t="s">
        <v>5</v>
      </c>
      <c r="G3" s="2" t="s">
        <v>7</v>
      </c>
      <c r="I3" s="2"/>
      <c r="J3" s="2"/>
      <c r="L3" s="11"/>
      <c r="M3" s="24"/>
      <c r="N3" s="12"/>
      <c r="P3" s="64"/>
      <c r="Q3" s="64"/>
      <c r="R3" s="64"/>
      <c r="S3" s="64"/>
      <c r="T3" s="65"/>
      <c r="U3" s="63"/>
      <c r="V3" s="63"/>
      <c r="W3" s="63"/>
      <c r="X3" s="63"/>
      <c r="Y3" s="63"/>
      <c r="Z3" s="35"/>
      <c r="AA3" s="11" t="s">
        <v>10</v>
      </c>
      <c r="AB3" s="11" t="s">
        <v>182</v>
      </c>
      <c r="AD3" s="11"/>
      <c r="AE3" s="11"/>
      <c r="AF3" s="11"/>
      <c r="AG3" s="12"/>
      <c r="AJ3" s="15" t="s">
        <v>9</v>
      </c>
      <c r="AK3" s="15" t="s">
        <v>66</v>
      </c>
      <c r="AL3" t="s">
        <v>150</v>
      </c>
      <c r="AM3" t="s">
        <v>14</v>
      </c>
      <c r="AN3" t="s">
        <v>3</v>
      </c>
      <c r="AO3" t="s">
        <v>151</v>
      </c>
      <c r="AQ3" s="67" t="s">
        <v>531</v>
      </c>
      <c r="AR3" s="67" t="s">
        <v>6</v>
      </c>
      <c r="AS3" s="67" t="s">
        <v>532</v>
      </c>
      <c r="AU3" s="64"/>
      <c r="AV3" s="64"/>
      <c r="AW3" s="64"/>
      <c r="AX3" s="64"/>
      <c r="AY3" s="64"/>
      <c r="AZ3" s="35"/>
      <c r="BA3" s="64" t="s">
        <v>546</v>
      </c>
      <c r="BB3" s="64" t="s">
        <v>547</v>
      </c>
      <c r="BC3" s="64" t="s">
        <v>548</v>
      </c>
      <c r="BD3" s="78"/>
      <c r="BE3" s="35" t="s">
        <v>549</v>
      </c>
      <c r="BF3" s="35"/>
      <c r="BH3" s="35" t="s">
        <v>550</v>
      </c>
      <c r="BI3" s="35"/>
      <c r="BJ3" s="35"/>
      <c r="BK3" s="35"/>
      <c r="BL3" s="35"/>
      <c r="BM3" s="35"/>
      <c r="BN3" s="35"/>
      <c r="BP3" s="35" t="s">
        <v>551</v>
      </c>
      <c r="BQ3" s="35" t="s">
        <v>539</v>
      </c>
      <c r="BR3" s="35" t="s">
        <v>552</v>
      </c>
      <c r="BT3" s="35"/>
      <c r="BU3" s="35"/>
      <c r="BV3" s="35"/>
      <c r="BX3" s="35" t="s">
        <v>553</v>
      </c>
      <c r="BY3" s="35" t="s">
        <v>554</v>
      </c>
      <c r="BZ3" s="35" t="s">
        <v>555</v>
      </c>
      <c r="CA3" s="35" t="s">
        <v>556</v>
      </c>
    </row>
    <row r="4" spans="1:79" ht="27.6" x14ac:dyDescent="0.3">
      <c r="B4" s="14">
        <v>0.75</v>
      </c>
      <c r="C4" s="14">
        <v>0.13</v>
      </c>
      <c r="D4" s="14">
        <v>2.2499999999999999E-2</v>
      </c>
      <c r="F4" s="14">
        <v>0</v>
      </c>
      <c r="G4" s="14">
        <v>6</v>
      </c>
      <c r="I4" s="14"/>
      <c r="J4" s="14"/>
      <c r="L4" s="16"/>
      <c r="M4" s="16"/>
      <c r="N4" s="16"/>
      <c r="O4" s="17"/>
      <c r="P4" s="26"/>
      <c r="Q4" s="26"/>
      <c r="R4" s="26"/>
      <c r="S4" s="26"/>
      <c r="T4" s="26"/>
      <c r="U4" s="26"/>
      <c r="V4" s="26"/>
      <c r="W4" s="26"/>
      <c r="X4" s="26"/>
      <c r="Y4" s="26"/>
      <c r="Z4" s="74"/>
      <c r="AA4" s="16" t="s">
        <v>183</v>
      </c>
      <c r="AB4" s="16" t="s">
        <v>185</v>
      </c>
      <c r="AC4" s="17"/>
      <c r="AD4" s="18"/>
      <c r="AE4" s="16"/>
      <c r="AF4" s="16"/>
      <c r="AG4" s="16"/>
      <c r="AJ4" s="13" t="str">
        <f>AL4&amp;" ("&amp;AM4&amp;"х"&amp;AN4&amp;") "&amp;AO4</f>
        <v>ВВГнг(А)-LS (2х1,5) 1</v>
      </c>
      <c r="AK4" s="14" t="s">
        <v>67</v>
      </c>
      <c r="AL4" t="s">
        <v>12</v>
      </c>
      <c r="AM4">
        <v>2</v>
      </c>
      <c r="AN4">
        <v>1.5</v>
      </c>
      <c r="AO4">
        <v>1</v>
      </c>
      <c r="AQ4" s="68" t="s">
        <v>525</v>
      </c>
      <c r="AR4" s="68" t="s">
        <v>533</v>
      </c>
      <c r="AS4" s="69"/>
      <c r="AU4" s="26"/>
      <c r="AY4" s="26"/>
      <c r="AZ4" s="74"/>
      <c r="BA4" s="26" t="s">
        <v>558</v>
      </c>
      <c r="BB4" s="26" t="s">
        <v>559</v>
      </c>
      <c r="BC4" s="26" t="s">
        <v>493</v>
      </c>
      <c r="BD4" s="79"/>
      <c r="BE4" s="37" t="s">
        <v>560</v>
      </c>
      <c r="BF4" s="74">
        <v>17</v>
      </c>
      <c r="BH4" s="35" t="s">
        <v>4</v>
      </c>
      <c r="BI4" s="35" t="s">
        <v>442</v>
      </c>
      <c r="BJ4" s="35" t="s">
        <v>490</v>
      </c>
      <c r="BK4" s="35" t="s">
        <v>491</v>
      </c>
      <c r="BL4" s="35" t="s">
        <v>561</v>
      </c>
      <c r="BM4" s="35" t="s">
        <v>562</v>
      </c>
      <c r="BN4" s="35" t="s">
        <v>563</v>
      </c>
      <c r="BP4" s="74">
        <v>0</v>
      </c>
      <c r="BQ4" s="74">
        <v>0.8</v>
      </c>
      <c r="BR4" s="37" t="s">
        <v>564</v>
      </c>
      <c r="BT4" s="74"/>
      <c r="BU4" s="74"/>
      <c r="BV4" s="37"/>
      <c r="BX4" s="74">
        <v>1.5</v>
      </c>
      <c r="BY4" s="74">
        <v>23</v>
      </c>
      <c r="BZ4" s="74">
        <v>19</v>
      </c>
      <c r="CA4" s="74">
        <v>19</v>
      </c>
    </row>
    <row r="5" spans="1:79" x14ac:dyDescent="0.3">
      <c r="B5" s="14">
        <v>1</v>
      </c>
      <c r="C5" s="14">
        <v>0.11</v>
      </c>
      <c r="D5" s="14">
        <v>2.2499999999999999E-2</v>
      </c>
      <c r="F5" s="14">
        <v>5.4</v>
      </c>
      <c r="G5" s="14">
        <v>10</v>
      </c>
      <c r="I5" s="14"/>
      <c r="J5" s="14"/>
      <c r="L5" s="16"/>
      <c r="M5" s="16"/>
      <c r="N5" s="16"/>
      <c r="O5" s="17"/>
      <c r="P5" s="26"/>
      <c r="Q5" s="26"/>
      <c r="R5" s="26"/>
      <c r="S5" s="26"/>
      <c r="T5" s="26"/>
      <c r="U5" s="26"/>
      <c r="V5" s="26"/>
      <c r="W5" s="26"/>
      <c r="X5" s="26"/>
      <c r="Y5" s="26"/>
      <c r="Z5" s="74"/>
      <c r="AA5" s="16" t="s">
        <v>184</v>
      </c>
      <c r="AB5" s="16" t="s">
        <v>186</v>
      </c>
      <c r="AC5" s="17"/>
      <c r="AD5" s="18"/>
      <c r="AE5" s="16"/>
      <c r="AF5" s="16"/>
      <c r="AG5" s="16"/>
      <c r="AJ5" s="13" t="str">
        <f t="shared" ref="AJ5:AJ68" si="0">AL5&amp;" ("&amp;AM5&amp;"х"&amp;AN5&amp;") "&amp;AO5</f>
        <v>ВВГнг(А)-LS (2х1,5) 2</v>
      </c>
      <c r="AK5" s="14" t="s">
        <v>68</v>
      </c>
      <c r="AL5" t="s">
        <v>12</v>
      </c>
      <c r="AM5">
        <v>2</v>
      </c>
      <c r="AN5">
        <v>1.5</v>
      </c>
      <c r="AO5">
        <v>2</v>
      </c>
      <c r="AQ5" s="68" t="s">
        <v>231</v>
      </c>
      <c r="AR5" s="68" t="s">
        <v>231</v>
      </c>
      <c r="AS5" s="70"/>
      <c r="AU5" s="26"/>
      <c r="AY5" s="26"/>
      <c r="AZ5" s="74"/>
      <c r="BA5" s="26" t="s">
        <v>566</v>
      </c>
      <c r="BB5" s="26" t="s">
        <v>567</v>
      </c>
      <c r="BC5" s="26" t="s">
        <v>502</v>
      </c>
      <c r="BD5" s="79"/>
      <c r="BE5" s="37" t="s">
        <v>495</v>
      </c>
      <c r="BF5" s="74">
        <v>10</v>
      </c>
      <c r="BH5" s="38" t="str">
        <f>IFERROR(INDEX(Однолинейка!$A$1:$A$1000,(MATCH(1,Однолинейка!$BS$1:$BS$1000,0))),"")</f>
        <v/>
      </c>
      <c r="BI5" s="38" t="str">
        <f>IFERROR(INDEX(Однолинейка!$AW$1:$AW$1000,(MATCH(1,Однолинейка!$BS$1:$BS$1000,0))),"")</f>
        <v/>
      </c>
      <c r="BJ5" s="38" t="str">
        <f>IF(BI5="","",INDEX(Однолинейка!$AI$1:$AI$1000,(MATCH(1,Однолинейка!$BS$1:$BS$1000,0))))</f>
        <v/>
      </c>
      <c r="BK5" s="38" t="str">
        <f t="shared" ref="BK5:BK39" si="1">IF(BI5="","",IFERROR(VLOOKUP(BJ5,Модули_спр,3,FALSE),""))</f>
        <v/>
      </c>
      <c r="BL5" s="38" t="str">
        <f>IF(BI5="","",_xlfn.MAXIFS(Однолинейка!$O$3:$O$1000,Однолинейка!$AH$3:$AH$1000,BI5,Однолинейка!$A$3:$A$1000,BH5))</f>
        <v/>
      </c>
      <c r="BM5" s="38" t="str">
        <f>IF(BI5="","",COUNTIFS(Однолинейка!$AH$3:$AH$1000,BI5,Однолинейка!$A$3:$A$1000,BH5,Однолинейка!$N$3:$N$1000,"р"))</f>
        <v/>
      </c>
      <c r="BN5" s="38" t="str">
        <f t="shared" ref="BN5:BN39" si="2">IF(OR(BI5="",BK5=""),"",BK5-BL5)</f>
        <v/>
      </c>
      <c r="BP5" s="74">
        <v>14</v>
      </c>
      <c r="BQ5" s="74">
        <v>0.8</v>
      </c>
      <c r="BT5" s="74"/>
      <c r="BU5" s="74"/>
      <c r="BV5" s="37"/>
      <c r="BX5" s="74">
        <v>2.5</v>
      </c>
      <c r="BY5" s="74">
        <v>30</v>
      </c>
      <c r="BZ5" s="74">
        <v>27</v>
      </c>
      <c r="CA5" s="74">
        <v>25</v>
      </c>
    </row>
    <row r="6" spans="1:79" x14ac:dyDescent="0.3">
      <c r="B6" s="14">
        <v>1.5</v>
      </c>
      <c r="C6" s="14">
        <v>0.11</v>
      </c>
      <c r="D6" s="14">
        <v>2.2499999999999999E-2</v>
      </c>
      <c r="F6" s="14">
        <v>9</v>
      </c>
      <c r="G6" s="14">
        <v>16</v>
      </c>
      <c r="I6" s="14"/>
      <c r="J6" s="14"/>
      <c r="L6" s="16"/>
      <c r="M6" s="16"/>
      <c r="N6" s="16"/>
      <c r="O6" s="17"/>
      <c r="P6" s="26"/>
      <c r="Q6" s="26"/>
      <c r="R6" s="26"/>
      <c r="S6" s="26"/>
      <c r="T6" s="26"/>
      <c r="U6" s="26"/>
      <c r="V6" s="26"/>
      <c r="W6" s="26"/>
      <c r="X6" s="26"/>
      <c r="Y6" s="26"/>
      <c r="Z6" s="74"/>
      <c r="AA6" s="16" t="s">
        <v>187</v>
      </c>
      <c r="AB6" s="16" t="s">
        <v>188</v>
      </c>
      <c r="AC6" s="17"/>
      <c r="AD6" s="18"/>
      <c r="AE6" s="16"/>
      <c r="AF6" s="16"/>
      <c r="AG6" s="16"/>
      <c r="AJ6" s="13" t="str">
        <f t="shared" si="0"/>
        <v>ВВГнг(А)-LS (2х2,5) 1</v>
      </c>
      <c r="AK6" s="14" t="s">
        <v>69</v>
      </c>
      <c r="AL6" t="s">
        <v>12</v>
      </c>
      <c r="AM6">
        <v>2</v>
      </c>
      <c r="AN6">
        <v>2.5</v>
      </c>
      <c r="AO6">
        <v>1</v>
      </c>
      <c r="AQ6" s="68" t="s">
        <v>534</v>
      </c>
      <c r="AR6" s="68" t="s">
        <v>535</v>
      </c>
      <c r="AS6" s="71"/>
      <c r="AU6" s="26"/>
      <c r="AY6" s="26"/>
      <c r="AZ6" s="74"/>
      <c r="BA6" s="26" t="s">
        <v>568</v>
      </c>
      <c r="BB6" s="26" t="s">
        <v>569</v>
      </c>
      <c r="BC6" s="26" t="s">
        <v>516</v>
      </c>
      <c r="BD6" s="79"/>
      <c r="BH6" s="38" t="str">
        <f>IFERROR(INDEX(Однолинейка!$A$1:$A$1000,(MATCH(2,Однолинейка!$BS$1:$BS$1000,0))),"")</f>
        <v/>
      </c>
      <c r="BI6" s="38" t="str">
        <f>IFERROR(INDEX(Однолинейка!$AW$1:$AW$1000,(MATCH(2,Однолинейка!$BS$1:$BS$1000,0))),"")</f>
        <v/>
      </c>
      <c r="BJ6" s="38" t="str">
        <f>IF(BI6="","",INDEX(Однолинейка!$AI$1:$AI$1000,(MATCH(2,Однолинейка!$BS$1:$BS$1000,0))))</f>
        <v/>
      </c>
      <c r="BK6" s="38" t="str">
        <f t="shared" si="1"/>
        <v/>
      </c>
      <c r="BL6" s="38" t="str">
        <f>IF(BI6="","",_xlfn.MAXIFS(Однолинейка!$O$3:$O$1000,Однолинейка!$AH$3:$AH$1000,BI6,Однолинейка!$A$3:$A$1000,BH6))</f>
        <v/>
      </c>
      <c r="BM6" s="38" t="str">
        <f>IF(BI6="","",COUNTIFS(Однолинейка!$AH$3:$AH$1000,BI6,Однолинейка!$A$3:$A$1000,BH6,Однолинейка!$N$3:$N$1000,"р"))</f>
        <v/>
      </c>
      <c r="BN6" s="38" t="str">
        <f t="shared" si="2"/>
        <v/>
      </c>
      <c r="BP6" s="74">
        <v>20</v>
      </c>
      <c r="BQ6" s="74">
        <v>0.65</v>
      </c>
      <c r="BT6" s="74"/>
      <c r="BU6" s="74"/>
      <c r="BX6" s="74">
        <v>4</v>
      </c>
      <c r="BY6" s="74">
        <v>41</v>
      </c>
      <c r="BZ6" s="74">
        <v>38</v>
      </c>
      <c r="CA6" s="74">
        <v>35</v>
      </c>
    </row>
    <row r="7" spans="1:79" ht="31.2" customHeight="1" x14ac:dyDescent="0.3">
      <c r="B7" s="14">
        <v>2.5</v>
      </c>
      <c r="C7" s="14">
        <v>0.1</v>
      </c>
      <c r="D7" s="14">
        <v>2.2499999999999999E-2</v>
      </c>
      <c r="F7" s="14">
        <v>14.4</v>
      </c>
      <c r="G7" s="14">
        <v>20</v>
      </c>
      <c r="I7" s="14"/>
      <c r="J7" s="14"/>
      <c r="L7" s="16"/>
      <c r="M7" s="16"/>
      <c r="N7" s="16"/>
      <c r="O7" s="17"/>
      <c r="P7" s="26"/>
      <c r="Q7" s="26"/>
      <c r="R7" s="26"/>
      <c r="S7" s="26"/>
      <c r="T7" s="26"/>
      <c r="U7" s="26"/>
      <c r="V7" s="26"/>
      <c r="W7" s="26"/>
      <c r="X7" s="26"/>
      <c r="Y7" s="26"/>
      <c r="Z7" s="74"/>
      <c r="AA7" s="16" t="s">
        <v>189</v>
      </c>
      <c r="AB7" s="16" t="s">
        <v>190</v>
      </c>
      <c r="AC7" s="17"/>
      <c r="AD7" s="18"/>
      <c r="AE7" s="16"/>
      <c r="AF7" s="16"/>
      <c r="AG7" s="16"/>
      <c r="AJ7" s="13" t="str">
        <f t="shared" si="0"/>
        <v>ВВГнг(А)-LS (2х2,5) 2</v>
      </c>
      <c r="AK7" s="14" t="s">
        <v>70</v>
      </c>
      <c r="AL7" t="s">
        <v>12</v>
      </c>
      <c r="AM7">
        <v>2</v>
      </c>
      <c r="AN7">
        <v>2.5</v>
      </c>
      <c r="AO7">
        <v>2</v>
      </c>
      <c r="AQ7" s="102" t="s">
        <v>536</v>
      </c>
      <c r="AR7" s="102"/>
      <c r="AS7" s="102"/>
      <c r="AU7" s="26"/>
      <c r="AV7" s="26"/>
      <c r="AW7" s="26"/>
      <c r="AX7" s="26"/>
      <c r="AY7" s="26"/>
      <c r="AZ7" s="74"/>
      <c r="BA7" s="26" t="s">
        <v>572</v>
      </c>
      <c r="BB7" s="26" t="s">
        <v>573</v>
      </c>
      <c r="BC7" s="26" t="s">
        <v>513</v>
      </c>
      <c r="BD7" s="79"/>
      <c r="BE7" s="35" t="s">
        <v>574</v>
      </c>
      <c r="BF7" s="35"/>
      <c r="BH7" s="38" t="str">
        <f>IFERROR(INDEX(Однолинейка!$A$1:$A$1000,(MATCH(3,Однолинейка!$BS$1:$BS$1000,0))),"")</f>
        <v/>
      </c>
      <c r="BI7" s="38" t="str">
        <f>IFERROR(INDEX(Однолинейка!$AW$1:$AW$1000,(MATCH(3,Однолинейка!$BS$1:$BS$1000,0))),"")</f>
        <v/>
      </c>
      <c r="BJ7" s="38" t="str">
        <f>IF(BI7="","",INDEX(Однолинейка!$AI$1:$AI$1000,(MATCH(3,Однолинейка!$BS$1:$BS$1000,0))))</f>
        <v/>
      </c>
      <c r="BK7" s="38" t="str">
        <f t="shared" si="1"/>
        <v/>
      </c>
      <c r="BL7" s="38" t="str">
        <f>IF(BI7="","",_xlfn.MAXIFS(Однолинейка!$O$3:$O$1000,Однолинейка!$AH$3:$AH$1000,BI7,Однолинейка!$A$3:$A$1000,BH7))</f>
        <v/>
      </c>
      <c r="BM7" s="38" t="str">
        <f>IF(BI7="","",COUNTIFS(Однолинейка!$AH$3:$AH$1000,BI7,Однолинейка!$A$3:$A$1000,BH7,Однолинейка!$N$3:$N$1000,"р"))</f>
        <v/>
      </c>
      <c r="BN7" s="38" t="str">
        <f t="shared" si="2"/>
        <v/>
      </c>
      <c r="BP7" s="74">
        <v>30</v>
      </c>
      <c r="BQ7" s="74">
        <v>0.6</v>
      </c>
      <c r="BT7" s="74"/>
      <c r="BU7" s="74"/>
      <c r="BX7" s="74">
        <v>6</v>
      </c>
      <c r="BY7" s="74">
        <v>50</v>
      </c>
      <c r="BZ7" s="74">
        <v>50</v>
      </c>
      <c r="CA7" s="74">
        <v>42</v>
      </c>
    </row>
    <row r="8" spans="1:79" x14ac:dyDescent="0.3">
      <c r="B8" s="14">
        <v>4</v>
      </c>
      <c r="C8" s="14">
        <v>9.5000000000000001E-2</v>
      </c>
      <c r="D8" s="14">
        <v>2.2499999999999999E-2</v>
      </c>
      <c r="F8" s="14">
        <v>18</v>
      </c>
      <c r="G8" s="14">
        <v>25</v>
      </c>
      <c r="I8" s="14"/>
      <c r="J8" s="14"/>
      <c r="L8" s="16"/>
      <c r="M8" s="16"/>
      <c r="N8" s="16"/>
      <c r="O8" s="17"/>
      <c r="P8" s="26"/>
      <c r="Q8" s="26"/>
      <c r="R8" s="26"/>
      <c r="S8" s="26"/>
      <c r="T8" s="26"/>
      <c r="U8" s="26"/>
      <c r="V8" s="26"/>
      <c r="W8" s="26"/>
      <c r="X8" s="26"/>
      <c r="Y8" s="26"/>
      <c r="Z8" s="74"/>
      <c r="AA8" s="16"/>
      <c r="AB8" s="16"/>
      <c r="AC8" s="17"/>
      <c r="AD8" s="18"/>
      <c r="AE8" s="16"/>
      <c r="AF8" s="16"/>
      <c r="AG8" s="16"/>
      <c r="AJ8" s="13" t="str">
        <f t="shared" si="0"/>
        <v>ВВГнг(А)-LS (3х1,5) 1</v>
      </c>
      <c r="AK8" s="14" t="s">
        <v>71</v>
      </c>
      <c r="AL8" t="s">
        <v>12</v>
      </c>
      <c r="AM8">
        <v>3</v>
      </c>
      <c r="AN8">
        <v>1.5</v>
      </c>
      <c r="AO8">
        <v>1</v>
      </c>
      <c r="AQ8" s="72"/>
      <c r="AR8" s="72"/>
      <c r="AS8" s="72"/>
      <c r="AU8" s="26"/>
      <c r="AV8" s="26"/>
      <c r="AW8" s="26"/>
      <c r="AX8" s="26"/>
      <c r="AY8" s="26"/>
      <c r="AZ8" s="74"/>
      <c r="BA8" s="26" t="s">
        <v>575</v>
      </c>
      <c r="BB8" s="26" t="s">
        <v>576</v>
      </c>
      <c r="BC8" s="26" t="s">
        <v>508</v>
      </c>
      <c r="BD8" s="79"/>
      <c r="BE8" s="37" t="s">
        <v>499</v>
      </c>
      <c r="BF8" s="38">
        <f>COUNTIF(Однолинейка!$E$3:$E$1000,"?*")</f>
        <v>0</v>
      </c>
      <c r="BH8" s="38" t="str">
        <f>IFERROR(INDEX(Однолинейка!$A$1:$A$1000,(MATCH(4,Однолинейка!$BS$1:$BS$1000,0))),"")</f>
        <v/>
      </c>
      <c r="BI8" s="38" t="str">
        <f>IFERROR(INDEX(Однолинейка!$AW$1:$AW$1000,(MATCH(4,Однолинейка!$BS$1:$BS$1000,0))),"")</f>
        <v/>
      </c>
      <c r="BJ8" s="38" t="str">
        <f>IF(BI8="","",INDEX(Однолинейка!$AI$1:$AI$1000,(MATCH(4,Однолинейка!$BS$1:$BS$1000,0))))</f>
        <v/>
      </c>
      <c r="BK8" s="38" t="str">
        <f t="shared" si="1"/>
        <v/>
      </c>
      <c r="BL8" s="38" t="str">
        <f>IF(BI8="","",_xlfn.MAXIFS(Однолинейка!$O$3:$O$1000,Однолинейка!$AH$3:$AH$1000,BI8,Однолинейка!$A$3:$A$1000,BH8))</f>
        <v/>
      </c>
      <c r="BM8" s="38" t="str">
        <f>IF(BI8="","",COUNTIFS(Однолинейка!$AH$3:$AH$1000,BI8,Однолинейка!$A$3:$A$1000,BH8,Однолинейка!$N$3:$N$1000,"р"))</f>
        <v/>
      </c>
      <c r="BN8" s="38" t="str">
        <f t="shared" si="2"/>
        <v/>
      </c>
      <c r="BP8" s="74">
        <v>40</v>
      </c>
      <c r="BQ8" s="74">
        <v>0.55000000000000004</v>
      </c>
      <c r="BT8" s="74"/>
      <c r="BU8" s="74"/>
      <c r="BX8" s="74">
        <v>10</v>
      </c>
      <c r="BY8" s="74">
        <v>80</v>
      </c>
      <c r="BZ8" s="74">
        <v>70</v>
      </c>
      <c r="CA8" s="74">
        <v>55</v>
      </c>
    </row>
    <row r="9" spans="1:79" x14ac:dyDescent="0.3">
      <c r="B9" s="14">
        <v>6</v>
      </c>
      <c r="C9" s="14">
        <v>0.09</v>
      </c>
      <c r="D9" s="14">
        <v>2.2499999999999999E-2</v>
      </c>
      <c r="F9" s="14">
        <v>22.5</v>
      </c>
      <c r="G9" s="14">
        <v>32</v>
      </c>
      <c r="I9" s="14"/>
      <c r="J9" s="14"/>
      <c r="L9" s="16"/>
      <c r="M9" s="16"/>
      <c r="N9" s="16"/>
      <c r="O9" s="17"/>
      <c r="P9" s="26"/>
      <c r="Q9" s="26"/>
      <c r="R9" s="26"/>
      <c r="S9" s="26"/>
      <c r="T9" s="26"/>
      <c r="U9" s="26"/>
      <c r="V9" s="26"/>
      <c r="W9" s="26"/>
      <c r="X9" s="26"/>
      <c r="Y9" s="26"/>
      <c r="Z9" s="74"/>
      <c r="AA9" s="16"/>
      <c r="AB9" s="16"/>
      <c r="AC9" s="17"/>
      <c r="AD9" s="18"/>
      <c r="AE9" s="16"/>
      <c r="AF9" s="16"/>
      <c r="AG9" s="16"/>
      <c r="AJ9" s="13" t="str">
        <f t="shared" si="0"/>
        <v>ВВГнг(А)-LS (3х1,5) 2</v>
      </c>
      <c r="AK9" s="14" t="s">
        <v>72</v>
      </c>
      <c r="AL9" t="s">
        <v>12</v>
      </c>
      <c r="AM9">
        <v>3</v>
      </c>
      <c r="AN9">
        <v>1.5</v>
      </c>
      <c r="AO9">
        <v>2</v>
      </c>
      <c r="AQ9" s="72"/>
      <c r="AR9" s="72"/>
      <c r="AS9" s="72"/>
      <c r="AU9" s="26"/>
      <c r="AV9" s="26"/>
      <c r="AW9" s="26"/>
      <c r="AX9" s="26"/>
      <c r="AY9" s="26"/>
      <c r="AZ9" s="74"/>
      <c r="BA9" s="26" t="s">
        <v>578</v>
      </c>
      <c r="BB9" s="26" t="s">
        <v>579</v>
      </c>
      <c r="BC9" s="26" t="s">
        <v>511</v>
      </c>
      <c r="BD9" s="79"/>
      <c r="BE9" s="37" t="s">
        <v>503</v>
      </c>
      <c r="BF9" s="38">
        <f>COUNTIF(Однолинейка!$AJ$3:$AJ$1000,"QFD*")</f>
        <v>0</v>
      </c>
      <c r="BH9" s="38" t="str">
        <f>IFERROR(INDEX(Однолинейка!$A$1:$A$1000,(MATCH(5,Однолинейка!$BS$1:$BS$1000,0))),"")</f>
        <v/>
      </c>
      <c r="BI9" s="38" t="str">
        <f>IFERROR(INDEX(Однолинейка!$AW$1:$AW$1000,(MATCH(5,Однолинейка!$BS$1:$BS$1000,0))),"")</f>
        <v/>
      </c>
      <c r="BJ9" s="38" t="str">
        <f>IF(BI9="","",INDEX(Однолинейка!$AI$1:$AI$1000,(MATCH(5,Однолинейка!$BS$1:$BS$1000,0))))</f>
        <v/>
      </c>
      <c r="BK9" s="38" t="str">
        <f t="shared" si="1"/>
        <v/>
      </c>
      <c r="BL9" s="38" t="str">
        <f>IF(BI9="","",_xlfn.MAXIFS(Однолинейка!$O$3:$O$1000,Однолинейка!$AH$3:$AH$1000,BI9,Однолинейка!$A$3:$A$1000,BH9))</f>
        <v/>
      </c>
      <c r="BM9" s="38" t="str">
        <f>IF(BI9="","",COUNTIFS(Однолинейка!$AH$3:$AH$1000,BI9,Однолинейка!$A$3:$A$1000,BH9,Однолинейка!$N$3:$N$1000,"р"))</f>
        <v/>
      </c>
      <c r="BN9" s="38" t="str">
        <f t="shared" si="2"/>
        <v/>
      </c>
      <c r="BP9" s="74">
        <v>50</v>
      </c>
      <c r="BQ9" s="74">
        <v>0.5</v>
      </c>
      <c r="BT9" s="74"/>
      <c r="BU9" s="74"/>
      <c r="BX9" s="74">
        <v>16</v>
      </c>
      <c r="BY9" s="74">
        <v>100</v>
      </c>
      <c r="BZ9" s="74">
        <v>90</v>
      </c>
      <c r="CA9" s="74">
        <v>75</v>
      </c>
    </row>
    <row r="10" spans="1:79" x14ac:dyDescent="0.3">
      <c r="B10" s="14">
        <v>10</v>
      </c>
      <c r="C10" s="14">
        <v>7.2999999999999995E-2</v>
      </c>
      <c r="D10" s="14">
        <v>2.2499999999999999E-2</v>
      </c>
      <c r="F10" s="14">
        <v>28.8</v>
      </c>
      <c r="G10" s="14">
        <v>40</v>
      </c>
      <c r="I10" s="14"/>
      <c r="J10" s="14"/>
      <c r="L10" s="16"/>
      <c r="M10" s="16"/>
      <c r="N10" s="16"/>
      <c r="O10" s="1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4"/>
      <c r="AA10" s="16"/>
      <c r="AB10" s="16"/>
      <c r="AC10" s="17"/>
      <c r="AD10" s="18"/>
      <c r="AE10" s="16"/>
      <c r="AF10" s="16"/>
      <c r="AG10" s="16"/>
      <c r="AJ10" s="13" t="str">
        <f t="shared" si="0"/>
        <v>ВВГнг(А)-LS (3х2,5) 1</v>
      </c>
      <c r="AK10" s="14" t="s">
        <v>73</v>
      </c>
      <c r="AL10" t="s">
        <v>12</v>
      </c>
      <c r="AM10">
        <v>3</v>
      </c>
      <c r="AN10">
        <v>2.5</v>
      </c>
      <c r="AO10">
        <v>1</v>
      </c>
      <c r="AU10" s="26"/>
      <c r="AV10" s="26"/>
      <c r="AW10" s="26"/>
      <c r="AX10" s="26"/>
      <c r="AY10" s="26"/>
      <c r="AZ10" s="74"/>
      <c r="BA10" s="26" t="s">
        <v>583</v>
      </c>
      <c r="BB10" s="26" t="s">
        <v>579</v>
      </c>
      <c r="BC10" s="26" t="s">
        <v>518</v>
      </c>
      <c r="BD10" s="79"/>
      <c r="BE10" s="37" t="s">
        <v>584</v>
      </c>
      <c r="BF10" s="38">
        <f>COUNTIF(Однолинейка!$AY$3:$AY$1000,1)</f>
        <v>0</v>
      </c>
      <c r="BH10" s="38" t="str">
        <f>IFERROR(INDEX(Однолинейка!$A$1:$A$1000,(MATCH(6,Однолинейка!$BS$1:$BS$1000,0))),"")</f>
        <v/>
      </c>
      <c r="BI10" s="38" t="str">
        <f>IFERROR(INDEX(Однолинейка!$AW$1:$AW$1000,(MATCH(6,Однолинейка!$BS$1:$BS$1000,0))),"")</f>
        <v/>
      </c>
      <c r="BJ10" s="38" t="str">
        <f>IF(BI10="","",INDEX(Однолинейка!$AI$1:$AI$1000,(MATCH(6,Однолинейка!$BS$1:$BS$1000,0))))</f>
        <v/>
      </c>
      <c r="BK10" s="38" t="str">
        <f t="shared" si="1"/>
        <v/>
      </c>
      <c r="BL10" s="38" t="str">
        <f>IF(BI10="","",_xlfn.MAXIFS(Однолинейка!$O$3:$O$1000,Однолинейка!$AH$3:$AH$1000,BI10,Однолинейка!$A$3:$A$1000,BH10))</f>
        <v/>
      </c>
      <c r="BM10" s="38" t="str">
        <f>IF(BI10="","",COUNTIFS(Однолинейка!$AH$3:$AH$1000,BI10,Однолинейка!$A$3:$A$1000,BH10,Однолинейка!$N$3:$N$1000,"р"))</f>
        <v/>
      </c>
      <c r="BN10" s="38" t="str">
        <f t="shared" si="2"/>
        <v/>
      </c>
      <c r="BP10" s="74">
        <v>60</v>
      </c>
      <c r="BQ10" s="74">
        <v>0.48</v>
      </c>
      <c r="BT10" s="74"/>
      <c r="BU10" s="74"/>
      <c r="BX10" s="74">
        <v>25</v>
      </c>
      <c r="BY10" s="74">
        <v>140</v>
      </c>
      <c r="BZ10" s="74">
        <v>115</v>
      </c>
      <c r="CA10" s="74">
        <v>95</v>
      </c>
    </row>
    <row r="11" spans="1:79" x14ac:dyDescent="0.3">
      <c r="B11" s="14">
        <v>16</v>
      </c>
      <c r="C11" s="14">
        <v>6.7500000000000004E-2</v>
      </c>
      <c r="D11" s="14">
        <v>2.2499999999999999E-2</v>
      </c>
      <c r="F11" s="14">
        <v>36</v>
      </c>
      <c r="G11" s="14">
        <v>50</v>
      </c>
      <c r="I11" s="14"/>
      <c r="J11" s="14"/>
      <c r="L11" s="16"/>
      <c r="M11" s="16"/>
      <c r="N11" s="16"/>
      <c r="O11" s="1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4"/>
      <c r="AA11" s="16"/>
      <c r="AB11" s="16"/>
      <c r="AC11" s="17"/>
      <c r="AD11" s="18"/>
      <c r="AE11" s="16"/>
      <c r="AF11" s="16"/>
      <c r="AG11" s="16"/>
      <c r="AJ11" s="13" t="str">
        <f t="shared" si="0"/>
        <v>ВВГнг(А)-LS (3х2,5) 2</v>
      </c>
      <c r="AK11" s="14" t="s">
        <v>74</v>
      </c>
      <c r="AL11" t="s">
        <v>12</v>
      </c>
      <c r="AM11">
        <v>3</v>
      </c>
      <c r="AN11">
        <v>2.5</v>
      </c>
      <c r="AO11">
        <v>2</v>
      </c>
      <c r="AU11" s="26"/>
      <c r="AV11" s="26"/>
      <c r="AW11" s="26"/>
      <c r="AX11" s="26"/>
      <c r="AY11" s="26"/>
      <c r="AZ11" s="74"/>
      <c r="BA11" s="26"/>
      <c r="BB11" s="26"/>
      <c r="BC11" s="26"/>
      <c r="BD11" s="79"/>
      <c r="BE11" s="37" t="s">
        <v>587</v>
      </c>
      <c r="BF11" s="38">
        <f>SUM(Однолинейка!$BW$3:$BW$1000)</f>
        <v>0</v>
      </c>
      <c r="BH11" s="38" t="str">
        <f>IFERROR(INDEX(Однолинейка!$A$1:$A$1000,(MATCH(7,Однолинейка!$BS$1:$BS$1000,0))),"")</f>
        <v/>
      </c>
      <c r="BI11" s="38" t="str">
        <f>IFERROR(INDEX(Однолинейка!$AW$1:$AW$1000,(MATCH(7,Однолинейка!$BS$1:$BS$1000,0))),"")</f>
        <v/>
      </c>
      <c r="BJ11" s="38" t="str">
        <f>IF(BI11="","",INDEX(Однолинейка!$AI$1:$AI$1000,(MATCH(7,Однолинейка!$BS$1:$BS$1000,0))))</f>
        <v/>
      </c>
      <c r="BK11" s="38" t="str">
        <f t="shared" si="1"/>
        <v/>
      </c>
      <c r="BL11" s="38" t="str">
        <f>IF(BI11="","",_xlfn.MAXIFS(Однолинейка!$O$3:$O$1000,Однолинейка!$AH$3:$AH$1000,BI11,Однолинейка!$A$3:$A$1000,BH11))</f>
        <v/>
      </c>
      <c r="BM11" s="38" t="str">
        <f>IF(BI11="","",COUNTIFS(Однолинейка!$AH$3:$AH$1000,BI11,Однолинейка!$A$3:$A$1000,BH11,Однолинейка!$N$3:$N$1000,"р"))</f>
        <v/>
      </c>
      <c r="BN11" s="38" t="str">
        <f t="shared" si="2"/>
        <v/>
      </c>
      <c r="BP11" s="74">
        <v>70</v>
      </c>
      <c r="BQ11" s="74">
        <v>0.45</v>
      </c>
      <c r="BR11" s="37" t="s">
        <v>588</v>
      </c>
      <c r="BT11" s="74"/>
      <c r="BU11" s="74"/>
      <c r="BX11" s="74">
        <v>35</v>
      </c>
      <c r="BY11" s="74">
        <v>170</v>
      </c>
      <c r="BZ11" s="74">
        <v>140</v>
      </c>
      <c r="CA11" s="74">
        <v>120</v>
      </c>
    </row>
    <row r="12" spans="1:79" x14ac:dyDescent="0.3">
      <c r="B12" s="14">
        <v>25</v>
      </c>
      <c r="C12" s="14">
        <v>6.6199999999999995E-2</v>
      </c>
      <c r="D12" s="14">
        <v>2.2499999999999999E-2</v>
      </c>
      <c r="F12" s="14">
        <v>45</v>
      </c>
      <c r="G12" s="14">
        <v>63</v>
      </c>
      <c r="I12" s="14"/>
      <c r="J12" s="14"/>
      <c r="L12" s="16"/>
      <c r="M12" s="16"/>
      <c r="N12" s="16"/>
      <c r="O12" s="1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74"/>
      <c r="AA12" s="16"/>
      <c r="AB12" s="16"/>
      <c r="AC12" s="17"/>
      <c r="AD12" s="18"/>
      <c r="AE12" s="16"/>
      <c r="AF12" s="16"/>
      <c r="AG12" s="16"/>
      <c r="AJ12" s="13" t="str">
        <f t="shared" si="0"/>
        <v>ВВГнг(А)-LS (3х4) 1</v>
      </c>
      <c r="AK12" s="14" t="s">
        <v>75</v>
      </c>
      <c r="AL12" t="s">
        <v>12</v>
      </c>
      <c r="AM12">
        <v>3</v>
      </c>
      <c r="AN12">
        <v>4</v>
      </c>
      <c r="AO12">
        <v>1</v>
      </c>
      <c r="AU12" s="26"/>
      <c r="AV12" s="26"/>
      <c r="AW12" s="26"/>
      <c r="AY12" s="26"/>
      <c r="AZ12" s="74"/>
      <c r="BA12" s="26"/>
      <c r="BB12" s="26"/>
      <c r="BC12" s="26"/>
      <c r="BD12" s="79"/>
      <c r="BE12" s="37" t="s">
        <v>590</v>
      </c>
      <c r="BF12" s="38">
        <f>SUM(Однолинейка!$BX$3:$BX$1000)</f>
        <v>0</v>
      </c>
      <c r="BH12" s="38" t="str">
        <f>IFERROR(INDEX(Однолинейка!$A$1:$A$1000,(MATCH(8,Однолинейка!$BS$1:$BS$1000,0))),"")</f>
        <v/>
      </c>
      <c r="BI12" s="38" t="str">
        <f>IFERROR(INDEX(Однолинейка!$AW$1:$AW$1000,(MATCH(8,Однолинейка!$BS$1:$BS$1000,0))),"")</f>
        <v/>
      </c>
      <c r="BJ12" s="38" t="str">
        <f>IF(BI12="","",INDEX(Однолинейка!$AI$1:$AI$1000,(MATCH(8,Однолинейка!$BS$1:$BS$1000,0))))</f>
        <v/>
      </c>
      <c r="BK12" s="38" t="str">
        <f t="shared" si="1"/>
        <v/>
      </c>
      <c r="BL12" s="38" t="str">
        <f>IF(BI12="","",_xlfn.MAXIFS(Однолинейка!$O$3:$O$1000,Однолинейка!$AH$3:$AH$1000,BI12,Однолинейка!$A$3:$A$1000,BH12))</f>
        <v/>
      </c>
      <c r="BM12" s="38" t="str">
        <f>IF(BI12="","",COUNTIFS(Однолинейка!$AH$3:$AH$1000,BI12,Однолинейка!$A$3:$A$1000,BH12,Однолинейка!$N$3:$N$1000,"р"))</f>
        <v/>
      </c>
      <c r="BN12" s="38" t="str">
        <f t="shared" si="2"/>
        <v/>
      </c>
      <c r="BT12" s="74"/>
      <c r="BU12" s="74"/>
      <c r="BX12" s="74">
        <v>50</v>
      </c>
      <c r="BY12" s="74">
        <v>215</v>
      </c>
      <c r="BZ12" s="74">
        <v>175</v>
      </c>
      <c r="CA12" s="74">
        <v>145</v>
      </c>
    </row>
    <row r="13" spans="1:79" x14ac:dyDescent="0.3">
      <c r="B13" s="14">
        <v>35</v>
      </c>
      <c r="C13" s="14">
        <v>6.3700000000000007E-2</v>
      </c>
      <c r="D13" s="14">
        <v>2.2499999999999999E-2</v>
      </c>
      <c r="F13" s="14">
        <v>56.7</v>
      </c>
      <c r="G13" s="14">
        <v>80</v>
      </c>
      <c r="I13" s="14"/>
      <c r="J13" s="14"/>
      <c r="L13" s="16"/>
      <c r="M13" s="3"/>
      <c r="N13" s="16"/>
      <c r="O13" s="17"/>
      <c r="P13" s="26"/>
      <c r="Q13" s="19"/>
      <c r="R13" s="26"/>
      <c r="S13" s="26"/>
      <c r="T13" s="26"/>
      <c r="U13" s="26"/>
      <c r="V13" s="26"/>
      <c r="W13" s="26"/>
      <c r="X13" s="26"/>
      <c r="Y13" s="26"/>
      <c r="Z13" s="74"/>
      <c r="AA13" s="16"/>
      <c r="AB13" s="16"/>
      <c r="AC13" s="17"/>
      <c r="AD13" s="18"/>
      <c r="AE13" s="16"/>
      <c r="AF13" s="16"/>
      <c r="AG13" s="16"/>
      <c r="AJ13" s="13" t="str">
        <f t="shared" si="0"/>
        <v>ВВГнг(А)-LS (3х4) 2</v>
      </c>
      <c r="AK13" s="14" t="s">
        <v>76</v>
      </c>
      <c r="AL13" t="s">
        <v>12</v>
      </c>
      <c r="AM13">
        <v>3</v>
      </c>
      <c r="AN13">
        <v>4</v>
      </c>
      <c r="AO13">
        <v>2</v>
      </c>
      <c r="AU13" s="26"/>
      <c r="AY13" s="26"/>
      <c r="AZ13" s="74"/>
      <c r="BA13" s="26"/>
      <c r="BB13" s="26"/>
      <c r="BC13" s="26"/>
      <c r="BD13" s="79"/>
      <c r="BE13" s="37" t="s">
        <v>509</v>
      </c>
      <c r="BF13" s="38">
        <f>COUNTIF(Однолинейка!$AW$3:$AW$1000,"?*")</f>
        <v>0</v>
      </c>
      <c r="BH13" s="38" t="str">
        <f>IFERROR(INDEX(Однолинейка!$A$1:$A$1000,(MATCH(9,Однолинейка!$BS$1:$BS$1000,0))),"")</f>
        <v/>
      </c>
      <c r="BI13" s="38" t="str">
        <f>IFERROR(INDEX(Однолинейка!$AW$1:$AW$1000,(MATCH(9,Однолинейка!$BS$1:$BS$1000,0))),"")</f>
        <v/>
      </c>
      <c r="BJ13" s="38" t="str">
        <f>IF(BI13="","",INDEX(Однолинейка!$AI$1:$AI$1000,(MATCH(9,Однолинейка!$BS$1:$BS$1000,0))))</f>
        <v/>
      </c>
      <c r="BK13" s="38" t="str">
        <f t="shared" si="1"/>
        <v/>
      </c>
      <c r="BL13" s="38" t="str">
        <f>IF(BI13="","",_xlfn.MAXIFS(Однолинейка!$O$3:$O$1000,Однолинейка!$AH$3:$AH$1000,BI13,Однолинейка!$A$3:$A$1000,BH13))</f>
        <v/>
      </c>
      <c r="BM13" s="38" t="str">
        <f>IF(BI13="","",COUNTIFS(Однолинейка!$AH$3:$AH$1000,BI13,Однолинейка!$A$3:$A$1000,BH13,Однолинейка!$N$3:$N$1000,"р"))</f>
        <v/>
      </c>
      <c r="BN13" s="38" t="str">
        <f t="shared" si="2"/>
        <v/>
      </c>
      <c r="BP13" s="35" t="s">
        <v>592</v>
      </c>
      <c r="BQ13" s="35"/>
      <c r="BT13" s="74"/>
      <c r="BU13" s="74"/>
      <c r="BX13" s="74">
        <v>70</v>
      </c>
      <c r="BY13" s="74">
        <v>270</v>
      </c>
      <c r="BZ13" s="74">
        <v>215</v>
      </c>
      <c r="CA13" s="74">
        <v>180</v>
      </c>
    </row>
    <row r="14" spans="1:79" x14ac:dyDescent="0.3">
      <c r="B14" s="14">
        <v>50</v>
      </c>
      <c r="C14" s="14">
        <v>6.25E-2</v>
      </c>
      <c r="D14" s="14">
        <v>2.2499999999999999E-2</v>
      </c>
      <c r="F14" s="14">
        <v>72</v>
      </c>
      <c r="G14" s="14">
        <v>100</v>
      </c>
      <c r="I14" s="14"/>
      <c r="J14" s="14"/>
      <c r="L14" s="16"/>
      <c r="M14" s="16"/>
      <c r="N14" s="16"/>
      <c r="O14" s="1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74"/>
      <c r="AA14" s="16"/>
      <c r="AB14" s="16"/>
      <c r="AC14" s="17"/>
      <c r="AD14" s="18"/>
      <c r="AE14" s="16"/>
      <c r="AF14" s="16"/>
      <c r="AG14" s="16"/>
      <c r="AJ14" s="13" t="str">
        <f t="shared" si="0"/>
        <v>ВВГнг(А)-LS (3х6) 1</v>
      </c>
      <c r="AK14" s="14" t="s">
        <v>77</v>
      </c>
      <c r="AL14" t="s">
        <v>12</v>
      </c>
      <c r="AM14">
        <v>3</v>
      </c>
      <c r="AN14">
        <v>6</v>
      </c>
      <c r="AO14">
        <v>1</v>
      </c>
      <c r="AU14" s="26"/>
      <c r="AV14" s="26"/>
      <c r="AW14" s="26"/>
      <c r="AY14" s="26"/>
      <c r="AZ14" s="74"/>
      <c r="BA14" s="26"/>
      <c r="BB14" s="26"/>
      <c r="BC14" s="26"/>
      <c r="BD14" s="79"/>
      <c r="BE14" s="37" t="s">
        <v>594</v>
      </c>
      <c r="BF14" s="38">
        <f>COUNTIF(Однолинейка!$BU$3:$BU$1000,2)</f>
        <v>0</v>
      </c>
      <c r="BH14" s="38" t="str">
        <f>IFERROR(INDEX(Однолинейка!$A$1:$A$1000,(MATCH(10,Однолинейка!$BS$1:$BS$1000,0))),"")</f>
        <v/>
      </c>
      <c r="BI14" s="38" t="str">
        <f>IFERROR(INDEX(Однолинейка!$AW$1:$AW$1000,(MATCH(10,Однолинейка!$BS$1:$BS$1000,0))),"")</f>
        <v/>
      </c>
      <c r="BJ14" s="38" t="str">
        <f>IF(BI14="","",INDEX(Однолинейка!$AI$1:$AI$1000,(MATCH(10,Однолинейка!$BS$1:$BS$1000,0))))</f>
        <v/>
      </c>
      <c r="BK14" s="38" t="str">
        <f t="shared" si="1"/>
        <v/>
      </c>
      <c r="BL14" s="38" t="str">
        <f>IF(BI14="","",_xlfn.MAXIFS(Однолинейка!$O$3:$O$1000,Однолинейка!$AH$3:$AH$1000,BI14,Однолинейка!$A$3:$A$1000,BH14))</f>
        <v/>
      </c>
      <c r="BM14" s="38" t="str">
        <f>IF(BI14="","",COUNTIFS(Однолинейка!$AH$3:$AH$1000,BI14,Однолинейка!$A$3:$A$1000,BH14,Однолинейка!$N$3:$N$1000,"р"))</f>
        <v/>
      </c>
      <c r="BN14" s="38" t="str">
        <f t="shared" si="2"/>
        <v/>
      </c>
      <c r="BP14" s="37" t="s">
        <v>595</v>
      </c>
      <c r="BQ14" s="74">
        <v>0.9</v>
      </c>
      <c r="BR14" s="37" t="s">
        <v>596</v>
      </c>
      <c r="BT14" s="74"/>
      <c r="BU14" s="74"/>
      <c r="BX14" s="74">
        <v>95</v>
      </c>
      <c r="BY14" s="74">
        <v>325</v>
      </c>
      <c r="BZ14" s="74">
        <v>260</v>
      </c>
      <c r="CA14" s="74">
        <v>220</v>
      </c>
    </row>
    <row r="15" spans="1:79" x14ac:dyDescent="0.3">
      <c r="B15" s="14">
        <v>70</v>
      </c>
      <c r="C15" s="14">
        <v>6.1199999999999997E-2</v>
      </c>
      <c r="D15" s="14">
        <v>2.2499999999999999E-2</v>
      </c>
      <c r="F15" s="14">
        <v>90</v>
      </c>
      <c r="G15" s="14">
        <v>125</v>
      </c>
      <c r="I15" s="14"/>
      <c r="J15" s="14"/>
      <c r="L15" s="16"/>
      <c r="M15" s="16"/>
      <c r="N15" s="16"/>
      <c r="O15" s="1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74"/>
      <c r="AA15" s="16"/>
      <c r="AB15" s="16"/>
      <c r="AC15" s="17"/>
      <c r="AD15" s="18"/>
      <c r="AE15" s="16"/>
      <c r="AF15" s="16"/>
      <c r="AG15" s="16"/>
      <c r="AJ15" s="13" t="str">
        <f t="shared" si="0"/>
        <v>ВВГнг(А)-LS (3х6) 2</v>
      </c>
      <c r="AK15" s="14" t="s">
        <v>78</v>
      </c>
      <c r="AL15" t="s">
        <v>12</v>
      </c>
      <c r="AM15">
        <v>3</v>
      </c>
      <c r="AN15">
        <v>6</v>
      </c>
      <c r="AO15">
        <v>2</v>
      </c>
      <c r="AU15" s="26"/>
      <c r="AV15" s="26"/>
      <c r="AW15" s="26"/>
      <c r="AY15" s="26"/>
      <c r="AZ15" s="74"/>
      <c r="BA15" s="26"/>
      <c r="BB15" s="26"/>
      <c r="BC15" s="26"/>
      <c r="BD15" s="79"/>
      <c r="BE15" s="37" t="s">
        <v>597</v>
      </c>
      <c r="BF15" s="38">
        <f>COUNTIF(Однолинейка!$BU$3:$BU$1000,1)</f>
        <v>0</v>
      </c>
      <c r="BH15" s="38" t="str">
        <f>IFERROR(INDEX(Однолинейка!$A$1:$A$1000,(MATCH(11,Однолинейка!$BS$1:$BS$1000,0))),"")</f>
        <v/>
      </c>
      <c r="BI15" s="38" t="str">
        <f>IFERROR(INDEX(Однолинейка!$AW$1:$AW$1000,(MATCH(11,Однолинейка!$BS$1:$BS$1000,0))),"")</f>
        <v/>
      </c>
      <c r="BJ15" s="38" t="str">
        <f>IF(BI15="","",INDEX(Однолинейка!$AI$1:$AI$1000,(MATCH(11,Однолинейка!$BS$1:$BS$1000,0))))</f>
        <v/>
      </c>
      <c r="BK15" s="38" t="str">
        <f t="shared" si="1"/>
        <v/>
      </c>
      <c r="BL15" s="38" t="str">
        <f>IF(BI15="","",_xlfn.MAXIFS(Однолинейка!$O$3:$O$1000,Однолинейка!$AH$3:$AH$1000,BI15,Однолинейка!$A$3:$A$1000,BH15))</f>
        <v/>
      </c>
      <c r="BM15" s="38" t="str">
        <f>IF(BI15="","",COUNTIFS(Однолинейка!$AH$3:$AH$1000,BI15,Однолинейка!$A$3:$A$1000,BH15,Однолинейка!$N$3:$N$1000,"р"))</f>
        <v/>
      </c>
      <c r="BN15" s="38" t="str">
        <f t="shared" si="2"/>
        <v/>
      </c>
      <c r="BT15" s="74"/>
      <c r="BU15" s="74"/>
      <c r="BX15" s="74">
        <v>120</v>
      </c>
      <c r="BY15" s="74">
        <v>385</v>
      </c>
      <c r="BZ15" s="74">
        <v>300</v>
      </c>
      <c r="CA15" s="74">
        <v>260</v>
      </c>
    </row>
    <row r="16" spans="1:79" x14ac:dyDescent="0.3">
      <c r="B16" s="14">
        <v>95</v>
      </c>
      <c r="C16" s="14">
        <v>6.0199999999999997E-2</v>
      </c>
      <c r="D16" s="14">
        <v>2.2499999999999999E-2</v>
      </c>
      <c r="F16" s="14">
        <v>112.5</v>
      </c>
      <c r="G16" s="14">
        <v>160</v>
      </c>
      <c r="I16" s="14"/>
      <c r="J16" s="14"/>
      <c r="L16" s="16"/>
      <c r="M16" s="21"/>
      <c r="N16" s="16"/>
      <c r="O16" s="1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74"/>
      <c r="AA16" s="16"/>
      <c r="AB16" s="16"/>
      <c r="AC16" s="17"/>
      <c r="AD16" s="18"/>
      <c r="AE16" s="16"/>
      <c r="AF16" s="16"/>
      <c r="AG16" s="16"/>
      <c r="AJ16" s="13" t="str">
        <f t="shared" si="0"/>
        <v>ВВГнг(А)-LS (5х1,5) 1</v>
      </c>
      <c r="AK16" s="14" t="s">
        <v>79</v>
      </c>
      <c r="AL16" t="s">
        <v>12</v>
      </c>
      <c r="AM16">
        <v>5</v>
      </c>
      <c r="AN16">
        <v>1.5</v>
      </c>
      <c r="AO16">
        <v>1</v>
      </c>
      <c r="AU16" s="26"/>
      <c r="AV16" s="26"/>
      <c r="AW16" s="26"/>
      <c r="AY16" s="26"/>
      <c r="AZ16" s="74"/>
      <c r="BA16" s="26"/>
      <c r="BB16" s="26"/>
      <c r="BC16" s="26"/>
      <c r="BD16" s="79"/>
      <c r="BE16" s="37" t="s">
        <v>790</v>
      </c>
      <c r="BF16" s="38" t="e">
        <f>COUNTIF(#REF!,"НЕ ОБЕСПЕЧЕНА")</f>
        <v>#REF!</v>
      </c>
      <c r="BH16" s="38" t="str">
        <f>IFERROR(INDEX(Однолинейка!$A$1:$A$1000,(MATCH(12,Однолинейка!$BS$1:$BS$1000,0))),"")</f>
        <v/>
      </c>
      <c r="BI16" s="38" t="str">
        <f>IFERROR(INDEX(Однолинейка!$AW$1:$AW$1000,(MATCH(12,Однолинейка!$BS$1:$BS$1000,0))),"")</f>
        <v/>
      </c>
      <c r="BJ16" s="38" t="str">
        <f>IF(BI16="","",INDEX(Однолинейка!$AI$1:$AI$1000,(MATCH(12,Однолинейка!$BS$1:$BS$1000,0))))</f>
        <v/>
      </c>
      <c r="BK16" s="38" t="str">
        <f t="shared" si="1"/>
        <v/>
      </c>
      <c r="BL16" s="38" t="str">
        <f>IF(BI16="","",_xlfn.MAXIFS(Однолинейка!$O$3:$O$1000,Однолинейка!$AH$3:$AH$1000,BI16,Однолинейка!$A$3:$A$1000,BH16))</f>
        <v/>
      </c>
      <c r="BM16" s="38" t="str">
        <f>IF(BI16="","",COUNTIFS(Однолинейка!$AH$3:$AH$1000,BI16,Однолинейка!$A$3:$A$1000,BH16,Однолинейка!$N$3:$N$1000,"р"))</f>
        <v/>
      </c>
      <c r="BN16" s="38" t="str">
        <f t="shared" si="2"/>
        <v/>
      </c>
      <c r="BP16" s="35" t="s">
        <v>598</v>
      </c>
      <c r="BQ16" s="35"/>
      <c r="BR16" s="35" t="s">
        <v>599</v>
      </c>
      <c r="BT16" s="74"/>
      <c r="BU16" s="74"/>
      <c r="BX16" s="74">
        <v>150</v>
      </c>
      <c r="BY16" s="74">
        <v>440</v>
      </c>
      <c r="BZ16" s="74">
        <v>350</v>
      </c>
      <c r="CA16" s="74">
        <v>305</v>
      </c>
    </row>
    <row r="17" spans="2:79" x14ac:dyDescent="0.3">
      <c r="B17" s="14">
        <v>150</v>
      </c>
      <c r="C17" s="14">
        <v>5.96E-2</v>
      </c>
      <c r="D17" s="14">
        <v>2.2499999999999999E-2</v>
      </c>
      <c r="F17" s="14">
        <v>144</v>
      </c>
      <c r="G17" s="14">
        <v>200</v>
      </c>
      <c r="I17" s="14"/>
      <c r="J17" s="14"/>
      <c r="L17" s="16"/>
      <c r="M17" s="16"/>
      <c r="N17" s="16"/>
      <c r="O17" s="1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74"/>
      <c r="AA17" s="23"/>
      <c r="AB17" s="23"/>
      <c r="AC17" s="17"/>
      <c r="AD17" s="18"/>
      <c r="AE17" s="16"/>
      <c r="AF17" s="16"/>
      <c r="AG17" s="16"/>
      <c r="AJ17" s="13" t="str">
        <f t="shared" si="0"/>
        <v>ВВГнг(А)-LS (5х1,5) 2</v>
      </c>
      <c r="AK17" s="14" t="s">
        <v>80</v>
      </c>
      <c r="AL17" t="s">
        <v>12</v>
      </c>
      <c r="AM17">
        <v>5</v>
      </c>
      <c r="AN17">
        <v>1.5</v>
      </c>
      <c r="AO17">
        <v>2</v>
      </c>
      <c r="AU17" s="26"/>
      <c r="AY17" s="26"/>
      <c r="AZ17" s="74"/>
      <c r="BA17" s="26"/>
      <c r="BB17" s="26"/>
      <c r="BC17" s="26"/>
      <c r="BD17" s="79"/>
      <c r="BH17" s="38" t="str">
        <f>IFERROR(INDEX(Однолинейка!$A$1:$A$1000,(MATCH(13,Однолинейка!$BS$1:$BS$1000,0))),"")</f>
        <v/>
      </c>
      <c r="BI17" s="38" t="str">
        <f>IFERROR(INDEX(Однолинейка!$AW$1:$AW$1000,(MATCH(13,Однолинейка!$BS$1:$BS$1000,0))),"")</f>
        <v/>
      </c>
      <c r="BJ17" s="38" t="str">
        <f>IF(BI17="","",INDEX(Однолинейка!$AI$1:$AI$1000,(MATCH(13,Однолинейка!$BS$1:$BS$1000,0))))</f>
        <v/>
      </c>
      <c r="BK17" s="38" t="str">
        <f t="shared" si="1"/>
        <v/>
      </c>
      <c r="BL17" s="38" t="str">
        <f>IF(BI17="","",_xlfn.MAXIFS(Однолинейка!$O$3:$O$1000,Однолинейка!$AH$3:$AH$1000,BI17,Однолинейка!$A$3:$A$1000,BH17))</f>
        <v/>
      </c>
      <c r="BM17" s="38" t="str">
        <f>IF(BI17="","",COUNTIFS(Однолинейка!$AH$3:$AH$1000,BI17,Однолинейка!$A$3:$A$1000,BH17,Однолинейка!$N$3:$N$1000,"р"))</f>
        <v/>
      </c>
      <c r="BN17" s="38" t="str">
        <f t="shared" si="2"/>
        <v/>
      </c>
      <c r="BP17" s="38" t="s">
        <v>571</v>
      </c>
      <c r="BR17" s="37" t="s">
        <v>600</v>
      </c>
      <c r="BT17" s="74"/>
      <c r="BU17" s="74"/>
      <c r="BX17" s="74">
        <v>185</v>
      </c>
      <c r="BY17" s="74">
        <v>510</v>
      </c>
      <c r="BZ17" s="74">
        <v>405</v>
      </c>
      <c r="CA17" s="74">
        <v>350</v>
      </c>
    </row>
    <row r="18" spans="2:79" x14ac:dyDescent="0.3">
      <c r="B18" s="14">
        <v>185</v>
      </c>
      <c r="C18" s="14">
        <v>5.96E-2</v>
      </c>
      <c r="D18" s="14">
        <v>2.2499999999999999E-2</v>
      </c>
      <c r="F18" s="14">
        <v>180</v>
      </c>
      <c r="G18" s="14">
        <v>250</v>
      </c>
      <c r="I18" s="14"/>
      <c r="J18" s="14"/>
      <c r="L18" s="16"/>
      <c r="M18" s="16"/>
      <c r="N18" s="16"/>
      <c r="O18" s="1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74"/>
      <c r="AA18" s="23"/>
      <c r="AB18" s="23"/>
      <c r="AC18" s="17"/>
      <c r="AD18" s="18"/>
      <c r="AE18" s="16"/>
      <c r="AF18" s="16"/>
      <c r="AG18" s="16"/>
      <c r="AJ18" s="13" t="str">
        <f t="shared" si="0"/>
        <v>ВВГнг(А)-LS (5х2,5) 1</v>
      </c>
      <c r="AK18" s="14" t="s">
        <v>81</v>
      </c>
      <c r="AL18" t="s">
        <v>12</v>
      </c>
      <c r="AM18">
        <v>5</v>
      </c>
      <c r="AN18">
        <v>2.5</v>
      </c>
      <c r="AO18">
        <v>1</v>
      </c>
      <c r="AU18" s="26"/>
      <c r="AV18" s="26"/>
      <c r="AW18" s="26"/>
      <c r="AY18" s="26"/>
      <c r="AZ18" s="74"/>
      <c r="BA18" s="26"/>
      <c r="BB18" s="26"/>
      <c r="BC18" s="26"/>
      <c r="BD18" s="79"/>
      <c r="BE18" s="35" t="s">
        <v>601</v>
      </c>
      <c r="BF18" s="35"/>
      <c r="BH18" s="38" t="str">
        <f>IFERROR(INDEX(Однолинейка!$A$1:$A$1000,(MATCH(14,Однолинейка!$BS$1:$BS$1000,0))),"")</f>
        <v/>
      </c>
      <c r="BI18" s="38" t="str">
        <f>IFERROR(INDEX(Однолинейка!$AW$1:$AW$1000,(MATCH(14,Однолинейка!$BS$1:$BS$1000,0))),"")</f>
        <v/>
      </c>
      <c r="BJ18" s="38" t="str">
        <f>IF(BI18="","",INDEX(Однолинейка!$AI$1:$AI$1000,(MATCH(14,Однолинейка!$BS$1:$BS$1000,0))))</f>
        <v/>
      </c>
      <c r="BK18" s="38" t="str">
        <f t="shared" si="1"/>
        <v/>
      </c>
      <c r="BL18" s="38" t="str">
        <f>IF(BI18="","",_xlfn.MAXIFS(Однолинейка!$O$3:$O$1000,Однолинейка!$AH$3:$AH$1000,BI18,Однолинейка!$A$3:$A$1000,BH18))</f>
        <v/>
      </c>
      <c r="BM18" s="38" t="str">
        <f>IF(BI18="","",COUNTIFS(Однолинейка!$AH$3:$AH$1000,BI18,Однолинейка!$A$3:$A$1000,BH18,Однолинейка!$N$3:$N$1000,"р"))</f>
        <v/>
      </c>
      <c r="BN18" s="38" t="str">
        <f t="shared" si="2"/>
        <v/>
      </c>
      <c r="BP18" s="38" t="s">
        <v>602</v>
      </c>
      <c r="BR18" s="37" t="s">
        <v>603</v>
      </c>
      <c r="BT18" s="74"/>
      <c r="BU18" s="74"/>
      <c r="BX18" s="74">
        <v>240</v>
      </c>
      <c r="BY18" s="74">
        <v>605</v>
      </c>
      <c r="BZ18" s="74"/>
      <c r="CA18" s="74"/>
    </row>
    <row r="19" spans="2:79" x14ac:dyDescent="0.3">
      <c r="B19" s="14">
        <v>240</v>
      </c>
      <c r="C19" s="14">
        <v>5.8700000000000002E-2</v>
      </c>
      <c r="D19" s="14">
        <v>2.2499999999999999E-2</v>
      </c>
      <c r="F19" s="14">
        <v>225</v>
      </c>
      <c r="G19" s="14">
        <v>315</v>
      </c>
      <c r="I19" s="14"/>
      <c r="J19" s="14"/>
      <c r="L19" s="16"/>
      <c r="M19" s="16"/>
      <c r="N19" s="16"/>
      <c r="O19" s="1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74"/>
      <c r="AA19" s="23"/>
      <c r="AB19" s="23"/>
      <c r="AC19" s="17"/>
      <c r="AD19" s="18"/>
      <c r="AE19" s="16"/>
      <c r="AF19" s="16"/>
      <c r="AG19" s="16"/>
      <c r="AJ19" s="13" t="str">
        <f t="shared" si="0"/>
        <v>ВВГнг(А)-LS (5х2,5) 2</v>
      </c>
      <c r="AK19" s="14" t="s">
        <v>82</v>
      </c>
      <c r="AL19" t="s">
        <v>12</v>
      </c>
      <c r="AM19">
        <v>5</v>
      </c>
      <c r="AN19">
        <v>2.5</v>
      </c>
      <c r="AO19">
        <v>2</v>
      </c>
      <c r="AU19" s="26"/>
      <c r="AV19" s="26"/>
      <c r="AW19" s="26"/>
      <c r="AX19" s="26"/>
      <c r="AY19" s="26"/>
      <c r="AZ19" s="74"/>
      <c r="BA19" s="26"/>
      <c r="BB19" s="26"/>
      <c r="BC19" s="26"/>
      <c r="BD19" s="79"/>
      <c r="BE19" s="37" t="s">
        <v>512</v>
      </c>
      <c r="BH19" s="38" t="str">
        <f>IFERROR(INDEX(Однолинейка!$A$1:$A$1000,(MATCH(15,Однолинейка!$BS$1:$BS$1000,0))),"")</f>
        <v/>
      </c>
      <c r="BI19" s="38" t="str">
        <f>IFERROR(INDEX(Однолинейка!$AW$1:$AW$1000,(MATCH(15,Однолинейка!$BS$1:$BS$1000,0))),"")</f>
        <v/>
      </c>
      <c r="BJ19" s="38" t="str">
        <f>IF(BI19="","",INDEX(Однолинейка!$AI$1:$AI$1000,(MATCH(15,Однолинейка!$BS$1:$BS$1000,0))))</f>
        <v/>
      </c>
      <c r="BK19" s="38" t="str">
        <f t="shared" si="1"/>
        <v/>
      </c>
      <c r="BL19" s="38" t="str">
        <f>IF(BI19="","",_xlfn.MAXIFS(Однолинейка!$O$3:$O$1000,Однолинейка!$AH$3:$AH$1000,BI19,Однолинейка!$A$3:$A$1000,BH19))</f>
        <v/>
      </c>
      <c r="BM19" s="38" t="str">
        <f>IF(BI19="","",COUNTIFS(Однолинейка!$AH$3:$AH$1000,BI19,Однолинейка!$A$3:$A$1000,BH19,Однолинейка!$N$3:$N$1000,"р"))</f>
        <v/>
      </c>
      <c r="BN19" s="38" t="str">
        <f t="shared" si="2"/>
        <v/>
      </c>
      <c r="BP19" s="38" t="s">
        <v>582</v>
      </c>
      <c r="BR19" s="37" t="s">
        <v>604</v>
      </c>
      <c r="BT19" s="74"/>
      <c r="BU19" s="74"/>
    </row>
    <row r="20" spans="2:79" x14ac:dyDescent="0.3">
      <c r="F20" s="14">
        <v>283.5</v>
      </c>
      <c r="G20" s="14">
        <v>400</v>
      </c>
      <c r="L20" s="16"/>
      <c r="M20" s="16"/>
      <c r="N20" s="16"/>
      <c r="O20" s="1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74"/>
      <c r="AA20" s="23"/>
      <c r="AB20" s="23"/>
      <c r="AC20" s="17"/>
      <c r="AD20" s="18"/>
      <c r="AE20" s="16"/>
      <c r="AF20" s="16"/>
      <c r="AG20" s="16"/>
      <c r="AJ20" s="13" t="str">
        <f t="shared" si="0"/>
        <v>ВВГнг(А)-LS (5х4) 1</v>
      </c>
      <c r="AK20" s="14" t="s">
        <v>83</v>
      </c>
      <c r="AL20" t="s">
        <v>12</v>
      </c>
      <c r="AM20">
        <v>5</v>
      </c>
      <c r="AN20">
        <v>4</v>
      </c>
      <c r="AO20">
        <v>1</v>
      </c>
      <c r="AU20" s="26"/>
      <c r="AV20" s="26"/>
      <c r="AW20" s="26"/>
      <c r="AX20" s="26"/>
      <c r="AY20" s="26"/>
      <c r="AZ20" s="74"/>
      <c r="BA20" s="26"/>
      <c r="BB20" s="26"/>
      <c r="BC20" s="26"/>
      <c r="BD20" s="79"/>
      <c r="BE20" s="37" t="s">
        <v>605</v>
      </c>
      <c r="BH20" s="38" t="str">
        <f>IFERROR(INDEX(Однолинейка!$A$1:$A$1000,(MATCH(16,Однолинейка!$BS$1:$BS$1000,0))),"")</f>
        <v/>
      </c>
      <c r="BI20" s="38" t="str">
        <f>IFERROR(INDEX(Однолинейка!$AW$1:$AW$1000,(MATCH(16,Однолинейка!$BS$1:$BS$1000,0))),"")</f>
        <v/>
      </c>
      <c r="BJ20" s="38" t="str">
        <f>IF(BI20="","",INDEX(Однолинейка!$AI$1:$AI$1000,(MATCH(16,Однолинейка!$BS$1:$BS$1000,0))))</f>
        <v/>
      </c>
      <c r="BK20" s="38" t="str">
        <f t="shared" si="1"/>
        <v/>
      </c>
      <c r="BL20" s="38" t="str">
        <f>IF(BI20="","",_xlfn.MAXIFS(Однолинейка!$O$3:$O$1000,Однолинейка!$AH$3:$AH$1000,BI20,Однолинейка!$A$3:$A$1000,BH20))</f>
        <v/>
      </c>
      <c r="BM20" s="38" t="str">
        <f>IF(BI20="","",COUNTIFS(Однолинейка!$AH$3:$AH$1000,BI20,Однолинейка!$A$3:$A$1000,BH20,Однолинейка!$N$3:$N$1000,"р"))</f>
        <v/>
      </c>
      <c r="BN20" s="38" t="str">
        <f t="shared" si="2"/>
        <v/>
      </c>
      <c r="BP20" s="38" t="s">
        <v>557</v>
      </c>
      <c r="BR20" s="37" t="s">
        <v>606</v>
      </c>
      <c r="BT20" s="74"/>
      <c r="BU20" s="74"/>
      <c r="BX20" s="37" t="s">
        <v>607</v>
      </c>
    </row>
    <row r="21" spans="2:79" x14ac:dyDescent="0.3">
      <c r="F21" s="14">
        <v>360</v>
      </c>
      <c r="G21" s="14">
        <v>500</v>
      </c>
      <c r="L21" s="16"/>
      <c r="M21" s="16"/>
      <c r="N21" s="16"/>
      <c r="O21" s="1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74"/>
      <c r="AA21" s="23"/>
      <c r="AB21" s="23"/>
      <c r="AC21" s="17"/>
      <c r="AD21" s="18"/>
      <c r="AE21" s="16"/>
      <c r="AF21" s="16"/>
      <c r="AG21" s="16"/>
      <c r="AJ21" s="13" t="str">
        <f t="shared" si="0"/>
        <v>ВВГнг(А)-LS (5х4) 2</v>
      </c>
      <c r="AK21" s="14" t="s">
        <v>84</v>
      </c>
      <c r="AL21" t="s">
        <v>12</v>
      </c>
      <c r="AM21">
        <v>5</v>
      </c>
      <c r="AN21">
        <v>4</v>
      </c>
      <c r="AO21">
        <v>2</v>
      </c>
      <c r="AU21" s="26"/>
      <c r="AY21" s="26"/>
      <c r="AZ21" s="74"/>
      <c r="BA21" s="26"/>
      <c r="BB21" s="26"/>
      <c r="BC21" s="26"/>
      <c r="BD21" s="79"/>
      <c r="BE21" s="37" t="s">
        <v>608</v>
      </c>
      <c r="BH21" s="38" t="str">
        <f>IFERROR(INDEX(Однолинейка!$A$1:$A$1000,(MATCH(17,Однолинейка!$BS$1:$BS$1000,0))),"")</f>
        <v/>
      </c>
      <c r="BI21" s="38" t="str">
        <f>IFERROR(INDEX(Однолинейка!$AW$1:$AW$1000,(MATCH(17,Однолинейка!$BS$1:$BS$1000,0))),"")</f>
        <v/>
      </c>
      <c r="BJ21" s="38" t="str">
        <f>IF(BI21="","",INDEX(Однолинейка!$AI$1:$AI$1000,(MATCH(17,Однолинейка!$BS$1:$BS$1000,0))))</f>
        <v/>
      </c>
      <c r="BK21" s="38" t="str">
        <f t="shared" si="1"/>
        <v/>
      </c>
      <c r="BL21" s="38" t="str">
        <f>IF(BI21="","",_xlfn.MAXIFS(Однолинейка!$O$3:$O$1000,Однолинейка!$AH$3:$AH$1000,BI21,Однолинейка!$A$3:$A$1000,BH21))</f>
        <v/>
      </c>
      <c r="BM21" s="38" t="str">
        <f>IF(BI21="","",COUNTIFS(Однолинейка!$AH$3:$AH$1000,BI21,Однолинейка!$A$3:$A$1000,BH21,Однолинейка!$N$3:$N$1000,"р"))</f>
        <v/>
      </c>
      <c r="BN21" s="38" t="str">
        <f t="shared" si="2"/>
        <v/>
      </c>
      <c r="BT21" s="74"/>
      <c r="BU21" s="74"/>
    </row>
    <row r="22" spans="2:79" x14ac:dyDescent="0.3">
      <c r="F22" s="14">
        <v>450</v>
      </c>
      <c r="G22" s="14">
        <v>630</v>
      </c>
      <c r="L22" s="16"/>
      <c r="M22" s="16"/>
      <c r="N22" s="16"/>
      <c r="O22" s="1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74"/>
      <c r="AA22" s="23"/>
      <c r="AB22" s="23"/>
      <c r="AC22" s="17"/>
      <c r="AD22" s="18"/>
      <c r="AE22" s="16"/>
      <c r="AF22" s="16"/>
      <c r="AG22" s="16"/>
      <c r="AJ22" s="13" t="str">
        <f t="shared" si="0"/>
        <v>ВВГнг(А)-LS (5х6) 1</v>
      </c>
      <c r="AK22" s="14" t="s">
        <v>85</v>
      </c>
      <c r="AL22" t="s">
        <v>12</v>
      </c>
      <c r="AM22">
        <v>5</v>
      </c>
      <c r="AN22">
        <v>6</v>
      </c>
      <c r="AO22">
        <v>1</v>
      </c>
      <c r="AU22" s="26"/>
      <c r="AV22" s="26"/>
      <c r="AW22" s="26"/>
      <c r="AY22" s="26"/>
      <c r="AZ22" s="74"/>
      <c r="BA22" s="26"/>
      <c r="BB22" s="26"/>
      <c r="BC22" s="26"/>
      <c r="BD22" s="79"/>
      <c r="BE22" s="37" t="s">
        <v>609</v>
      </c>
      <c r="BH22" s="38" t="str">
        <f>IFERROR(INDEX(Однолинейка!$A$1:$A$1000,(MATCH(18,Однолинейка!$BS$1:$BS$1000,0))),"")</f>
        <v/>
      </c>
      <c r="BI22" s="38" t="str">
        <f>IFERROR(INDEX(Однолинейка!$AW$1:$AW$1000,(MATCH(18,Однолинейка!$BS$1:$BS$1000,0))),"")</f>
        <v/>
      </c>
      <c r="BJ22" s="38" t="str">
        <f>IF(BI22="","",INDEX(Однолинейка!$AI$1:$AI$1000,(MATCH(18,Однолинейка!$BS$1:$BS$1000,0))))</f>
        <v/>
      </c>
      <c r="BK22" s="38" t="str">
        <f t="shared" si="1"/>
        <v/>
      </c>
      <c r="BL22" s="38" t="str">
        <f>IF(BI22="","",_xlfn.MAXIFS(Однолинейка!$O$3:$O$1000,Однолинейка!$AH$3:$AH$1000,BI22,Однолинейка!$A$3:$A$1000,BH22))</f>
        <v/>
      </c>
      <c r="BM22" s="38" t="str">
        <f>IF(BI22="","",COUNTIFS(Однолинейка!$AH$3:$AH$1000,BI22,Однолинейка!$A$3:$A$1000,BH22,Однолинейка!$N$3:$N$1000,"р"))</f>
        <v/>
      </c>
      <c r="BN22" s="38" t="str">
        <f t="shared" si="2"/>
        <v/>
      </c>
      <c r="BP22" s="35" t="s">
        <v>610</v>
      </c>
      <c r="BQ22" s="35"/>
      <c r="BT22" s="74"/>
      <c r="BU22" s="74"/>
    </row>
    <row r="23" spans="2:79" x14ac:dyDescent="0.3">
      <c r="F23" s="14">
        <v>567</v>
      </c>
      <c r="G23" s="14" t="s">
        <v>8</v>
      </c>
      <c r="L23" s="16"/>
      <c r="M23" s="16"/>
      <c r="N23" s="16"/>
      <c r="O23" s="1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74"/>
      <c r="AA23" s="23"/>
      <c r="AB23" s="23"/>
      <c r="AC23" s="17"/>
      <c r="AD23" s="18"/>
      <c r="AE23" s="16"/>
      <c r="AF23" s="16"/>
      <c r="AG23" s="16"/>
      <c r="AJ23" s="13" t="str">
        <f t="shared" si="0"/>
        <v>ВВГнг(А)-LS (5х6) 2</v>
      </c>
      <c r="AK23" s="14" t="s">
        <v>86</v>
      </c>
      <c r="AL23" t="s">
        <v>12</v>
      </c>
      <c r="AM23">
        <v>5</v>
      </c>
      <c r="AN23">
        <v>6</v>
      </c>
      <c r="AO23">
        <v>2</v>
      </c>
      <c r="AU23" s="26"/>
      <c r="AY23" s="26"/>
      <c r="AZ23" s="74"/>
      <c r="BA23" s="26"/>
      <c r="BB23" s="26"/>
      <c r="BC23" s="26"/>
      <c r="BD23" s="79"/>
      <c r="BE23" s="37" t="s">
        <v>611</v>
      </c>
      <c r="BH23" s="38" t="str">
        <f>IFERROR(INDEX(Однолинейка!$A$1:$A$1000,(MATCH(19,Однолинейка!$BS$1:$BS$1000,0))),"")</f>
        <v/>
      </c>
      <c r="BI23" s="38" t="str">
        <f>IFERROR(INDEX(Однолинейка!$AW$1:$AW$1000,(MATCH(19,Однолинейка!$BS$1:$BS$1000,0))),"")</f>
        <v/>
      </c>
      <c r="BJ23" s="38" t="str">
        <f>IF(BI23="","",INDEX(Однолинейка!$AI$1:$AI$1000,(MATCH(19,Однолинейка!$BS$1:$BS$1000,0))))</f>
        <v/>
      </c>
      <c r="BK23" s="38" t="str">
        <f t="shared" si="1"/>
        <v/>
      </c>
      <c r="BL23" s="38" t="str">
        <f>IF(BI23="","",_xlfn.MAXIFS(Однолинейка!$O$3:$O$1000,Однолинейка!$AH$3:$AH$1000,BI23,Однолинейка!$A$3:$A$1000,BH23))</f>
        <v/>
      </c>
      <c r="BM23" s="38" t="str">
        <f>IF(BI23="","",COUNTIFS(Однолинейка!$AH$3:$AH$1000,BI23,Однолинейка!$A$3:$A$1000,BH23,Однолинейка!$N$3:$N$1000,"р"))</f>
        <v/>
      </c>
      <c r="BN23" s="38" t="str">
        <f t="shared" si="2"/>
        <v/>
      </c>
      <c r="BR23" s="37" t="s">
        <v>612</v>
      </c>
      <c r="BT23" s="74"/>
      <c r="BU23" s="74"/>
    </row>
    <row r="24" spans="2:79" x14ac:dyDescent="0.3">
      <c r="L24" s="16"/>
      <c r="M24" s="16"/>
      <c r="N24" s="16"/>
      <c r="O24" s="1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74"/>
      <c r="AA24" s="23"/>
      <c r="AB24" s="23"/>
      <c r="AC24" s="17"/>
      <c r="AD24" s="18"/>
      <c r="AE24" s="16"/>
      <c r="AF24" s="16"/>
      <c r="AG24" s="16"/>
      <c r="AJ24" s="13" t="str">
        <f t="shared" si="0"/>
        <v>ВВГнг(А)-LS (5х10) 1</v>
      </c>
      <c r="AK24" s="14" t="s">
        <v>87</v>
      </c>
      <c r="AL24" t="s">
        <v>12</v>
      </c>
      <c r="AM24">
        <v>5</v>
      </c>
      <c r="AN24">
        <v>10</v>
      </c>
      <c r="AO24">
        <v>1</v>
      </c>
      <c r="AU24" s="26"/>
      <c r="AV24" s="26"/>
      <c r="AW24" s="26"/>
      <c r="AY24" s="26"/>
      <c r="AZ24" s="74"/>
      <c r="BA24" s="26"/>
      <c r="BB24" s="26"/>
      <c r="BC24" s="26"/>
      <c r="BD24" s="79"/>
      <c r="BE24" s="37" t="s">
        <v>614</v>
      </c>
      <c r="BH24" s="38" t="str">
        <f>IFERROR(INDEX(Однолинейка!$A$1:$A$1000,(MATCH(20,Однолинейка!$BS$1:$BS$1000,0))),"")</f>
        <v/>
      </c>
      <c r="BI24" s="38" t="str">
        <f>IFERROR(INDEX(Однолинейка!$AW$1:$AW$1000,(MATCH(20,Однолинейка!$BS$1:$BS$1000,0))),"")</f>
        <v/>
      </c>
      <c r="BJ24" s="38" t="str">
        <f>IF(BI24="","",INDEX(Однолинейка!$AI$1:$AI$1000,(MATCH(20,Однолинейка!$BS$1:$BS$1000,0))))</f>
        <v/>
      </c>
      <c r="BK24" s="38" t="str">
        <f t="shared" si="1"/>
        <v/>
      </c>
      <c r="BL24" s="38" t="str">
        <f>IF(BI24="","",_xlfn.MAXIFS(Однолинейка!$O$3:$O$1000,Однолинейка!$AH$3:$AH$1000,BI24,Однолинейка!$A$3:$A$1000,BH24))</f>
        <v/>
      </c>
      <c r="BM24" s="38" t="str">
        <f>IF(BI24="","",COUNTIFS(Однолинейка!$AH$3:$AH$1000,BI24,Однолинейка!$A$3:$A$1000,BH24,Однолинейка!$N$3:$N$1000,"р"))</f>
        <v/>
      </c>
      <c r="BN24" s="38" t="str">
        <f t="shared" si="2"/>
        <v/>
      </c>
      <c r="BR24" s="37" t="s">
        <v>615</v>
      </c>
      <c r="BT24" s="74"/>
      <c r="BU24" s="74"/>
    </row>
    <row r="25" spans="2:79" x14ac:dyDescent="0.3">
      <c r="L25" s="16"/>
      <c r="M25" s="16"/>
      <c r="N25" s="16"/>
      <c r="O25" s="1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74"/>
      <c r="AA25" s="23"/>
      <c r="AB25" s="23"/>
      <c r="AC25" s="17"/>
      <c r="AD25" s="18"/>
      <c r="AE25" s="16"/>
      <c r="AF25" s="16"/>
      <c r="AG25" s="16"/>
      <c r="AJ25" s="13" t="str">
        <f t="shared" si="0"/>
        <v>ВВГнг(А)-LS (5х10) 2</v>
      </c>
      <c r="AK25" s="14" t="s">
        <v>88</v>
      </c>
      <c r="AL25" t="s">
        <v>12</v>
      </c>
      <c r="AM25">
        <v>5</v>
      </c>
      <c r="AN25">
        <v>10</v>
      </c>
      <c r="AO25">
        <v>2</v>
      </c>
      <c r="AU25" s="26"/>
      <c r="AV25" s="26"/>
      <c r="AW25" s="26"/>
      <c r="AY25" s="26"/>
      <c r="AZ25" s="74"/>
      <c r="BA25" s="26"/>
      <c r="BB25" s="26"/>
      <c r="BC25" s="26"/>
      <c r="BD25" s="79"/>
      <c r="BE25" s="37" t="s">
        <v>616</v>
      </c>
      <c r="BH25" s="38" t="str">
        <f>IFERROR(INDEX(Однолинейка!$A$1:$A$1000,(MATCH(21,Однолинейка!$BS$1:$BS$1000,0))),"")</f>
        <v/>
      </c>
      <c r="BI25" s="38" t="str">
        <f>IFERROR(INDEX(Однолинейка!$AW$1:$AW$1000,(MATCH(21,Однолинейка!$BS$1:$BS$1000,0))),"")</f>
        <v/>
      </c>
      <c r="BJ25" s="38" t="str">
        <f>IF(BI25="","",INDEX(Однолинейка!$AI$1:$AI$1000,(MATCH(21,Однолинейка!$BS$1:$BS$1000,0))))</f>
        <v/>
      </c>
      <c r="BK25" s="38" t="str">
        <f t="shared" si="1"/>
        <v/>
      </c>
      <c r="BL25" s="38" t="str">
        <f>IF(BI25="","",_xlfn.MAXIFS(Однолинейка!$O$3:$O$1000,Однолинейка!$AH$3:$AH$1000,BI25,Однолинейка!$A$3:$A$1000,BH25))</f>
        <v/>
      </c>
      <c r="BM25" s="38" t="str">
        <f>IF(BI25="","",COUNTIFS(Однолинейка!$AH$3:$AH$1000,BI25,Однолинейка!$A$3:$A$1000,BH25,Однолинейка!$N$3:$N$1000,"р"))</f>
        <v/>
      </c>
      <c r="BN25" s="38" t="str">
        <f t="shared" si="2"/>
        <v/>
      </c>
      <c r="BR25" s="37" t="s">
        <v>617</v>
      </c>
      <c r="BT25" s="74"/>
      <c r="BU25" s="74"/>
    </row>
    <row r="26" spans="2:79" x14ac:dyDescent="0.3">
      <c r="L26" s="16"/>
      <c r="M26" s="16"/>
      <c r="N26" s="16"/>
      <c r="O26" s="1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74"/>
      <c r="AA26" s="23"/>
      <c r="AB26" s="23"/>
      <c r="AC26" s="17"/>
      <c r="AD26" s="17"/>
      <c r="AE26" s="17"/>
      <c r="AF26" s="17"/>
      <c r="AG26" s="17"/>
      <c r="AJ26" s="13" t="str">
        <f t="shared" si="0"/>
        <v>ВВГнг(А)-LS (5х16) 1</v>
      </c>
      <c r="AK26" s="14" t="s">
        <v>89</v>
      </c>
      <c r="AL26" t="s">
        <v>12</v>
      </c>
      <c r="AM26">
        <v>5</v>
      </c>
      <c r="AN26">
        <v>16</v>
      </c>
      <c r="AO26">
        <v>1</v>
      </c>
      <c r="AU26" s="26"/>
      <c r="AY26" s="26"/>
      <c r="AZ26" s="74"/>
      <c r="BA26" s="26"/>
      <c r="BB26" s="26"/>
      <c r="BC26" s="26"/>
      <c r="BD26" s="79"/>
      <c r="BE26" s="37" t="s">
        <v>618</v>
      </c>
      <c r="BH26" s="38" t="str">
        <f>IFERROR(INDEX(Однолинейка!$A$1:$A$1000,(MATCH(22,Однолинейка!$BS$1:$BS$1000,0))),"")</f>
        <v/>
      </c>
      <c r="BI26" s="38" t="str">
        <f>IFERROR(INDEX(Однолинейка!$AW$1:$AW$1000,(MATCH(22,Однолинейка!$BS$1:$BS$1000,0))),"")</f>
        <v/>
      </c>
      <c r="BJ26" s="38" t="str">
        <f>IF(BI26="","",INDEX(Однолинейка!$AI$1:$AI$1000,(MATCH(22,Однолинейка!$BS$1:$BS$1000,0))))</f>
        <v/>
      </c>
      <c r="BK26" s="38" t="str">
        <f t="shared" si="1"/>
        <v/>
      </c>
      <c r="BL26" s="38" t="str">
        <f>IF(BI26="","",_xlfn.MAXIFS(Однолинейка!$O$3:$O$1000,Однолинейка!$AH$3:$AH$1000,BI26,Однолинейка!$A$3:$A$1000,BH26))</f>
        <v/>
      </c>
      <c r="BM26" s="38" t="str">
        <f>IF(BI26="","",COUNTIFS(Однолинейка!$AH$3:$AH$1000,BI26,Однолинейка!$A$3:$A$1000,BH26,Однолинейка!$N$3:$N$1000,"р"))</f>
        <v/>
      </c>
      <c r="BN26" s="38" t="str">
        <f t="shared" si="2"/>
        <v/>
      </c>
      <c r="BR26" s="37" t="s">
        <v>619</v>
      </c>
      <c r="BT26" s="74"/>
      <c r="BU26" s="74"/>
    </row>
    <row r="27" spans="2:79" x14ac:dyDescent="0.3">
      <c r="L27" s="16"/>
      <c r="M27" s="16"/>
      <c r="N27" s="16"/>
      <c r="O27" s="1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74"/>
      <c r="AA27" s="23"/>
      <c r="AB27" s="23"/>
      <c r="AC27" s="17"/>
      <c r="AD27" s="17"/>
      <c r="AE27" s="17"/>
      <c r="AF27" s="17"/>
      <c r="AG27" s="17"/>
      <c r="AJ27" s="13" t="str">
        <f t="shared" si="0"/>
        <v>ВВГнг(А)-LS (5х16) 2</v>
      </c>
      <c r="AK27" s="14" t="s">
        <v>90</v>
      </c>
      <c r="AL27" t="s">
        <v>12</v>
      </c>
      <c r="AM27">
        <v>5</v>
      </c>
      <c r="AN27">
        <v>16</v>
      </c>
      <c r="AO27">
        <v>2</v>
      </c>
      <c r="AU27" s="26"/>
      <c r="AY27" s="26"/>
      <c r="AZ27" s="74"/>
      <c r="BA27" s="26"/>
      <c r="BB27" s="26"/>
      <c r="BC27" s="26"/>
      <c r="BD27" s="79"/>
      <c r="BH27" s="38" t="str">
        <f>IFERROR(INDEX(Однолинейка!$A$1:$A$1000,(MATCH(23,Однолинейка!$BS$1:$BS$1000,0))),"")</f>
        <v/>
      </c>
      <c r="BI27" s="38" t="str">
        <f>IFERROR(INDEX(Однолинейка!$AW$1:$AW$1000,(MATCH(23,Однолинейка!$BS$1:$BS$1000,0))),"")</f>
        <v/>
      </c>
      <c r="BJ27" s="38" t="str">
        <f>IF(BI27="","",INDEX(Однолинейка!$AI$1:$AI$1000,(MATCH(23,Однолинейка!$BS$1:$BS$1000,0))))</f>
        <v/>
      </c>
      <c r="BK27" s="38" t="str">
        <f t="shared" si="1"/>
        <v/>
      </c>
      <c r="BL27" s="38" t="str">
        <f>IF(BI27="","",_xlfn.MAXIFS(Однолинейка!$O$3:$O$1000,Однолинейка!$AH$3:$AH$1000,BI27,Однолинейка!$A$3:$A$1000,BH27))</f>
        <v/>
      </c>
      <c r="BM27" s="38" t="str">
        <f>IF(BI27="","",COUNTIFS(Однолинейка!$AH$3:$AH$1000,BI27,Однолинейка!$A$3:$A$1000,BH27,Однолинейка!$N$3:$N$1000,"р"))</f>
        <v/>
      </c>
      <c r="BN27" s="38" t="str">
        <f t="shared" si="2"/>
        <v/>
      </c>
      <c r="BT27" s="74"/>
      <c r="BU27" s="74"/>
    </row>
    <row r="28" spans="2:79" ht="27.6" x14ac:dyDescent="0.3">
      <c r="L28" s="16"/>
      <c r="M28" s="16"/>
      <c r="N28" s="16"/>
      <c r="O28" s="1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74"/>
      <c r="AA28" s="23"/>
      <c r="AB28" s="23"/>
      <c r="AC28" s="17"/>
      <c r="AD28" s="17"/>
      <c r="AE28" s="17"/>
      <c r="AF28" s="17"/>
      <c r="AG28" s="17"/>
      <c r="AJ28" s="13" t="str">
        <f t="shared" si="0"/>
        <v>ВВГнг(А)-LS (5х25) 1</v>
      </c>
      <c r="AK28" s="14" t="s">
        <v>91</v>
      </c>
      <c r="AL28" t="s">
        <v>12</v>
      </c>
      <c r="AM28">
        <v>5</v>
      </c>
      <c r="AN28">
        <v>25</v>
      </c>
      <c r="AO28">
        <v>1</v>
      </c>
      <c r="AU28" s="26"/>
      <c r="AY28" s="26"/>
      <c r="AZ28" s="74"/>
      <c r="BA28" s="26"/>
      <c r="BB28" s="26"/>
      <c r="BC28" s="26"/>
      <c r="BD28" s="79"/>
      <c r="BH28" s="38" t="str">
        <f>IFERROR(INDEX(Однолинейка!$A$1:$A$1000,(MATCH(24,Однолинейка!$BS$1:$BS$1000,0))),"")</f>
        <v/>
      </c>
      <c r="BI28" s="38" t="str">
        <f>IFERROR(INDEX(Однолинейка!$AW$1:$AW$1000,(MATCH(24,Однолинейка!$BS$1:$BS$1000,0))),"")</f>
        <v/>
      </c>
      <c r="BJ28" s="38" t="str">
        <f>IF(BI28="","",INDEX(Однолинейка!$AI$1:$AI$1000,(MATCH(24,Однолинейка!$BS$1:$BS$1000,0))))</f>
        <v/>
      </c>
      <c r="BK28" s="38" t="str">
        <f t="shared" si="1"/>
        <v/>
      </c>
      <c r="BL28" s="38" t="str">
        <f>IF(BI28="","",_xlfn.MAXIFS(Однолинейка!$O$3:$O$1000,Однолинейка!$AH$3:$AH$1000,BI28,Однолинейка!$A$3:$A$1000,BH28))</f>
        <v/>
      </c>
      <c r="BM28" s="38" t="str">
        <f>IF(BI28="","",COUNTIFS(Однолинейка!$AH$3:$AH$1000,BI28,Однолинейка!$A$3:$A$1000,BH28,Однолинейка!$N$3:$N$1000,"р"))</f>
        <v/>
      </c>
      <c r="BN28" s="38" t="str">
        <f t="shared" si="2"/>
        <v/>
      </c>
      <c r="BP28" s="35" t="s">
        <v>620</v>
      </c>
      <c r="BQ28" s="35"/>
      <c r="BT28" s="74"/>
      <c r="BU28" s="74"/>
    </row>
    <row r="29" spans="2:79" x14ac:dyDescent="0.3">
      <c r="L29" s="16"/>
      <c r="M29" s="16"/>
      <c r="N29" s="16"/>
      <c r="O29" s="1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74"/>
      <c r="AA29" s="23"/>
      <c r="AB29" s="23"/>
      <c r="AC29" s="17"/>
      <c r="AD29" s="17"/>
      <c r="AE29" s="17"/>
      <c r="AF29" s="17"/>
      <c r="AG29" s="17"/>
      <c r="AJ29" s="13" t="str">
        <f t="shared" si="0"/>
        <v>ВВГнг(А)-LS (5х25) 2</v>
      </c>
      <c r="AK29" s="14" t="s">
        <v>92</v>
      </c>
      <c r="AL29" t="s">
        <v>12</v>
      </c>
      <c r="AM29">
        <v>5</v>
      </c>
      <c r="AN29">
        <v>25</v>
      </c>
      <c r="AO29">
        <v>2</v>
      </c>
      <c r="AU29" s="26"/>
      <c r="AY29" s="26"/>
      <c r="AZ29" s="74"/>
      <c r="BA29" s="26"/>
      <c r="BB29" s="26"/>
      <c r="BC29" s="26"/>
      <c r="BD29" s="79"/>
      <c r="BH29" s="38" t="str">
        <f>IFERROR(INDEX(Однолинейка!$A$1:$A$1000,(MATCH(25,Однолинейка!$BS$1:$BS$1000,0))),"")</f>
        <v/>
      </c>
      <c r="BI29" s="38" t="str">
        <f>IFERROR(INDEX(Однолинейка!$AW$1:$AW$1000,(MATCH(25,Однолинейка!$BS$1:$BS$1000,0))),"")</f>
        <v/>
      </c>
      <c r="BJ29" s="38" t="str">
        <f>IF(BI29="","",INDEX(Однолинейка!$AI$1:$AI$1000,(MATCH(25,Однолинейка!$BS$1:$BS$1000,0))))</f>
        <v/>
      </c>
      <c r="BK29" s="38" t="str">
        <f t="shared" si="1"/>
        <v/>
      </c>
      <c r="BL29" s="38" t="str">
        <f>IF(BI29="","",_xlfn.MAXIFS(Однолинейка!$O$3:$O$1000,Однолинейка!$AH$3:$AH$1000,BI29,Однолинейка!$A$3:$A$1000,BH29))</f>
        <v/>
      </c>
      <c r="BM29" s="38" t="str">
        <f>IF(BI29="","",COUNTIFS(Однолинейка!$AH$3:$AH$1000,BI29,Однолинейка!$A$3:$A$1000,BH29,Однолинейка!$N$3:$N$1000,"р"))</f>
        <v/>
      </c>
      <c r="BN29" s="38" t="str">
        <f t="shared" si="2"/>
        <v/>
      </c>
      <c r="BP29" s="37" t="s">
        <v>621</v>
      </c>
      <c r="BQ29" s="74">
        <v>0.4</v>
      </c>
      <c r="BR29" s="37" t="s">
        <v>622</v>
      </c>
      <c r="BT29" s="74"/>
      <c r="BU29" s="74"/>
    </row>
    <row r="30" spans="2:79" x14ac:dyDescent="0.3">
      <c r="L30" s="16"/>
      <c r="M30" s="16"/>
      <c r="N30" s="16"/>
      <c r="O30" s="1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74"/>
      <c r="AA30" s="23"/>
      <c r="AB30" s="23"/>
      <c r="AC30" s="17"/>
      <c r="AD30" s="17"/>
      <c r="AE30" s="17"/>
      <c r="AF30" s="17"/>
      <c r="AG30" s="17"/>
      <c r="AJ30" s="13" t="str">
        <f t="shared" si="0"/>
        <v>ВВГнг(А)-LS (5х35) 1</v>
      </c>
      <c r="AK30" s="14" t="s">
        <v>93</v>
      </c>
      <c r="AL30" t="s">
        <v>12</v>
      </c>
      <c r="AM30">
        <v>5</v>
      </c>
      <c r="AN30">
        <v>35</v>
      </c>
      <c r="AO30">
        <v>1</v>
      </c>
      <c r="AU30" s="26"/>
      <c r="AV30" s="26"/>
      <c r="AW30" s="26"/>
      <c r="AX30" s="26"/>
      <c r="AY30" s="26"/>
      <c r="AZ30" s="74"/>
      <c r="BA30" s="26"/>
      <c r="BB30" s="26"/>
      <c r="BC30" s="26"/>
      <c r="BD30" s="79"/>
      <c r="BH30" s="38" t="str">
        <f>IFERROR(INDEX(Однолинейка!$A$1:$A$1000,(MATCH(26,Однолинейка!$BS$1:$BS$1000,0))),"")</f>
        <v/>
      </c>
      <c r="BI30" s="38" t="str">
        <f>IFERROR(INDEX(Однолинейка!$AW$1:$AW$1000,(MATCH(26,Однолинейка!$BS$1:$BS$1000,0))),"")</f>
        <v/>
      </c>
      <c r="BJ30" s="38" t="str">
        <f>IF(BI30="","",INDEX(Однолинейка!$AI$1:$AI$1000,(MATCH(26,Однолинейка!$BS$1:$BS$1000,0))))</f>
        <v/>
      </c>
      <c r="BK30" s="38" t="str">
        <f t="shared" si="1"/>
        <v/>
      </c>
      <c r="BL30" s="38" t="str">
        <f>IF(BI30="","",_xlfn.MAXIFS(Однолинейка!$O$3:$O$1000,Однолинейка!$AH$3:$AH$1000,BI30,Однолинейка!$A$3:$A$1000,BH30))</f>
        <v/>
      </c>
      <c r="BM30" s="38" t="str">
        <f>IF(BI30="","",COUNTIFS(Однолинейка!$AH$3:$AH$1000,BI30,Однолинейка!$A$3:$A$1000,BH30,Однолинейка!$N$3:$N$1000,"р"))</f>
        <v/>
      </c>
      <c r="BN30" s="38" t="str">
        <f t="shared" si="2"/>
        <v/>
      </c>
      <c r="BP30" s="37" t="s">
        <v>623</v>
      </c>
      <c r="BQ30" s="74">
        <v>1</v>
      </c>
      <c r="BR30" s="37" t="s">
        <v>624</v>
      </c>
      <c r="BT30" s="74"/>
      <c r="BU30" s="74"/>
    </row>
    <row r="31" spans="2:79" x14ac:dyDescent="0.3">
      <c r="L31" s="16"/>
      <c r="M31" s="16"/>
      <c r="N31" s="16"/>
      <c r="O31" s="1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74"/>
      <c r="AA31" s="23"/>
      <c r="AB31" s="23"/>
      <c r="AC31" s="17"/>
      <c r="AD31" s="17"/>
      <c r="AE31" s="17"/>
      <c r="AF31" s="17"/>
      <c r="AG31" s="17"/>
      <c r="AJ31" s="13" t="str">
        <f t="shared" si="0"/>
        <v>ВВГнг(А)-LS (5х35) 2</v>
      </c>
      <c r="AK31" s="14" t="s">
        <v>94</v>
      </c>
      <c r="AL31" t="s">
        <v>12</v>
      </c>
      <c r="AM31">
        <v>5</v>
      </c>
      <c r="AN31">
        <v>35</v>
      </c>
      <c r="AO31">
        <v>2</v>
      </c>
      <c r="AU31" s="26"/>
      <c r="AY31" s="26"/>
      <c r="AZ31" s="74"/>
      <c r="BD31" s="79"/>
      <c r="BH31" s="38" t="str">
        <f>IFERROR(INDEX(Однолинейка!$A$1:$A$1000,(MATCH(27,Однолинейка!$BS$1:$BS$1000,0))),"")</f>
        <v/>
      </c>
      <c r="BI31" s="38" t="str">
        <f>IFERROR(INDEX(Однолинейка!$AW$1:$AW$1000,(MATCH(27,Однолинейка!$BS$1:$BS$1000,0))),"")</f>
        <v/>
      </c>
      <c r="BJ31" s="38" t="str">
        <f>IF(BI31="","",INDEX(Однолинейка!$AI$1:$AI$1000,(MATCH(27,Однолинейка!$BS$1:$BS$1000,0))))</f>
        <v/>
      </c>
      <c r="BK31" s="38" t="str">
        <f t="shared" si="1"/>
        <v/>
      </c>
      <c r="BL31" s="38" t="str">
        <f>IF(BI31="","",_xlfn.MAXIFS(Однолинейка!$O$3:$O$1000,Однолинейка!$AH$3:$AH$1000,BI31,Однолинейка!$A$3:$A$1000,BH31))</f>
        <v/>
      </c>
      <c r="BM31" s="38" t="str">
        <f>IF(BI31="","",COUNTIFS(Однолинейка!$AH$3:$AH$1000,BI31,Однолинейка!$A$3:$A$1000,BH31,Однолинейка!$N$3:$N$1000,"р"))</f>
        <v/>
      </c>
      <c r="BN31" s="38" t="str">
        <f t="shared" si="2"/>
        <v/>
      </c>
      <c r="BP31" s="37"/>
      <c r="BQ31" s="74"/>
      <c r="BR31" s="37" t="s">
        <v>625</v>
      </c>
      <c r="BT31" s="74"/>
      <c r="BU31" s="74"/>
    </row>
    <row r="32" spans="2:79" x14ac:dyDescent="0.3">
      <c r="L32" s="16"/>
      <c r="M32" s="16"/>
      <c r="N32" s="16"/>
      <c r="O32" s="1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74"/>
      <c r="AA32" s="23"/>
      <c r="AB32" s="23"/>
      <c r="AC32" s="17"/>
      <c r="AD32" s="17"/>
      <c r="AE32" s="17"/>
      <c r="AF32" s="17"/>
      <c r="AG32" s="17"/>
      <c r="AJ32" s="13" t="str">
        <f t="shared" si="0"/>
        <v>ВВГнг(А)-LS (5х50) 1</v>
      </c>
      <c r="AK32" s="14" t="s">
        <v>95</v>
      </c>
      <c r="AL32" t="s">
        <v>12</v>
      </c>
      <c r="AM32">
        <v>5</v>
      </c>
      <c r="AN32">
        <v>50</v>
      </c>
      <c r="AO32">
        <v>1</v>
      </c>
      <c r="AU32" s="26"/>
      <c r="AV32" s="26"/>
      <c r="AW32" s="26"/>
      <c r="AY32" s="26"/>
      <c r="AZ32" s="74"/>
      <c r="BA32" s="26" t="s">
        <v>626</v>
      </c>
      <c r="BD32" s="79"/>
      <c r="BH32" s="38" t="str">
        <f>IFERROR(INDEX(Однолинейка!$A$1:$A$1000,(MATCH(28,Однолинейка!$BS$1:$BS$1000,0))),"")</f>
        <v/>
      </c>
      <c r="BI32" s="38" t="str">
        <f>IFERROR(INDEX(Однолинейка!$AW$1:$AW$1000,(MATCH(28,Однолинейка!$BS$1:$BS$1000,0))),"")</f>
        <v/>
      </c>
      <c r="BJ32" s="38" t="str">
        <f>IF(BI32="","",INDEX(Однолинейка!$AI$1:$AI$1000,(MATCH(28,Однолинейка!$BS$1:$BS$1000,0))))</f>
        <v/>
      </c>
      <c r="BK32" s="38" t="str">
        <f t="shared" si="1"/>
        <v/>
      </c>
      <c r="BL32" s="38" t="str">
        <f>IF(BI32="","",_xlfn.MAXIFS(Однолинейка!$O$3:$O$1000,Однолинейка!$AH$3:$AH$1000,BI32,Однолинейка!$A$3:$A$1000,BH32))</f>
        <v/>
      </c>
      <c r="BM32" s="38" t="str">
        <f>IF(BI32="","",COUNTIFS(Однолинейка!$AH$3:$AH$1000,BI32,Однолинейка!$A$3:$A$1000,BH32,Однолинейка!$N$3:$N$1000,"р"))</f>
        <v/>
      </c>
      <c r="BN32" s="38" t="str">
        <f t="shared" si="2"/>
        <v/>
      </c>
      <c r="BT32" s="74"/>
      <c r="BU32" s="74"/>
    </row>
    <row r="33" spans="12:73" x14ac:dyDescent="0.3">
      <c r="L33" s="16"/>
      <c r="M33" s="16"/>
      <c r="N33" s="16"/>
      <c r="O33" s="1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74"/>
      <c r="AA33" s="23"/>
      <c r="AB33" s="23"/>
      <c r="AC33" s="17"/>
      <c r="AD33" s="17"/>
      <c r="AE33" s="17"/>
      <c r="AF33" s="17"/>
      <c r="AG33" s="17"/>
      <c r="AJ33" s="13" t="str">
        <f t="shared" si="0"/>
        <v>ВВГнг(А)-LS (5х50) 2</v>
      </c>
      <c r="AK33" s="14" t="s">
        <v>96</v>
      </c>
      <c r="AL33" t="s">
        <v>12</v>
      </c>
      <c r="AM33">
        <v>5</v>
      </c>
      <c r="AN33">
        <v>50</v>
      </c>
      <c r="AO33">
        <v>2</v>
      </c>
      <c r="AU33" s="26"/>
      <c r="AV33" s="26"/>
      <c r="AW33" s="26"/>
      <c r="AX33" s="26"/>
      <c r="AY33" s="26"/>
      <c r="AZ33" s="74"/>
      <c r="BD33" s="79"/>
      <c r="BH33" s="38" t="str">
        <f>IFERROR(INDEX(Однолинейка!$A$1:$A$1000,(MATCH(29,Однолинейка!$BS$1:$BS$1000,0))),"")</f>
        <v/>
      </c>
      <c r="BI33" s="38" t="str">
        <f>IFERROR(INDEX(Однолинейка!$AW$1:$AW$1000,(MATCH(29,Однолинейка!$BS$1:$BS$1000,0))),"")</f>
        <v/>
      </c>
      <c r="BJ33" s="38" t="str">
        <f>IF(BI33="","",INDEX(Однолинейка!$AI$1:$AI$1000,(MATCH(29,Однолинейка!$BS$1:$BS$1000,0))))</f>
        <v/>
      </c>
      <c r="BK33" s="38" t="str">
        <f t="shared" si="1"/>
        <v/>
      </c>
      <c r="BL33" s="38" t="str">
        <f>IF(BI33="","",_xlfn.MAXIFS(Однолинейка!$O$3:$O$1000,Однолинейка!$AH$3:$AH$1000,BI33,Однолинейка!$A$3:$A$1000,BH33))</f>
        <v/>
      </c>
      <c r="BM33" s="38" t="str">
        <f>IF(BI33="","",COUNTIFS(Однолинейка!$AH$3:$AH$1000,BI33,Однолинейка!$A$3:$A$1000,BH33,Однолинейка!$N$3:$N$1000,"р"))</f>
        <v/>
      </c>
      <c r="BN33" s="38" t="str">
        <f t="shared" si="2"/>
        <v/>
      </c>
      <c r="BT33" s="74"/>
      <c r="BU33" s="74"/>
    </row>
    <row r="34" spans="12:73" x14ac:dyDescent="0.3">
      <c r="L34" s="16"/>
      <c r="M34" s="16"/>
      <c r="N34" s="16"/>
      <c r="O34" s="1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74"/>
      <c r="AA34" s="23"/>
      <c r="AB34" s="23"/>
      <c r="AC34" s="17"/>
      <c r="AD34" s="17"/>
      <c r="AE34" s="17"/>
      <c r="AF34" s="17"/>
      <c r="AG34" s="17"/>
      <c r="AJ34" s="13" t="str">
        <f t="shared" si="0"/>
        <v>ВВГнг(А)-LS (5х95) 1</v>
      </c>
      <c r="AK34" s="14" t="s">
        <v>97</v>
      </c>
      <c r="AL34" t="s">
        <v>12</v>
      </c>
      <c r="AM34">
        <v>5</v>
      </c>
      <c r="AN34">
        <v>95</v>
      </c>
      <c r="AO34">
        <v>1</v>
      </c>
      <c r="AU34" s="26"/>
      <c r="AV34" s="26"/>
      <c r="AW34" s="26"/>
      <c r="AY34" s="26"/>
      <c r="AZ34" s="74"/>
      <c r="BD34" s="79"/>
      <c r="BH34" s="38" t="str">
        <f>IFERROR(INDEX(Однолинейка!$A$1:$A$1000,(MATCH(30,Однолинейка!$BS$1:$BS$1000,0))),"")</f>
        <v/>
      </c>
      <c r="BI34" s="38" t="str">
        <f>IFERROR(INDEX(Однолинейка!$AW$1:$AW$1000,(MATCH(30,Однолинейка!$BS$1:$BS$1000,0))),"")</f>
        <v/>
      </c>
      <c r="BJ34" s="38" t="str">
        <f>IF(BI34="","",INDEX(Однолинейка!$AI$1:$AI$1000,(MATCH(30,Однолинейка!$BS$1:$BS$1000,0))))</f>
        <v/>
      </c>
      <c r="BK34" s="38" t="str">
        <f t="shared" si="1"/>
        <v/>
      </c>
      <c r="BL34" s="38" t="str">
        <f>IF(BI34="","",_xlfn.MAXIFS(Однолинейка!$O$3:$O$1000,Однолинейка!$AH$3:$AH$1000,BI34,Однолинейка!$A$3:$A$1000,BH34))</f>
        <v/>
      </c>
      <c r="BM34" s="38" t="str">
        <f>IF(BI34="","",COUNTIFS(Однолинейка!$AH$3:$AH$1000,BI34,Однолинейка!$A$3:$A$1000,BH34,Однолинейка!$N$3:$N$1000,"р"))</f>
        <v/>
      </c>
      <c r="BN34" s="38" t="str">
        <f t="shared" si="2"/>
        <v/>
      </c>
    </row>
    <row r="35" spans="12:73" x14ac:dyDescent="0.3">
      <c r="L35" s="16"/>
      <c r="M35" s="16"/>
      <c r="N35" s="16"/>
      <c r="O35" s="1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74"/>
      <c r="AA35" s="23"/>
      <c r="AB35" s="23"/>
      <c r="AC35" s="17"/>
      <c r="AD35" s="17"/>
      <c r="AE35" s="17"/>
      <c r="AF35" s="17"/>
      <c r="AG35" s="17"/>
      <c r="AJ35" s="13" t="str">
        <f t="shared" si="0"/>
        <v>ВВГнг(А)-LS (5х95) 2</v>
      </c>
      <c r="AK35" s="14" t="s">
        <v>98</v>
      </c>
      <c r="AL35" t="s">
        <v>12</v>
      </c>
      <c r="AM35">
        <v>5</v>
      </c>
      <c r="AN35">
        <v>95</v>
      </c>
      <c r="AO35">
        <v>2</v>
      </c>
      <c r="AU35" s="26"/>
      <c r="AY35" s="26"/>
      <c r="AZ35" s="74"/>
      <c r="BD35" s="79"/>
      <c r="BH35" s="38" t="str">
        <f>IFERROR(INDEX(Однолинейка!$A$1:$A$1000,(MATCH(31,Однолинейка!$BS$1:$BS$1000,0))),"")</f>
        <v/>
      </c>
      <c r="BI35" s="38" t="str">
        <f>IFERROR(INDEX(Однолинейка!$AW$1:$AW$1000,(MATCH(31,Однолинейка!$BS$1:$BS$1000,0))),"")</f>
        <v/>
      </c>
      <c r="BJ35" s="38" t="str">
        <f>IF(BI35="","",INDEX(Однолинейка!$AI$1:$AI$1000,(MATCH(31,Однолинейка!$BS$1:$BS$1000,0))))</f>
        <v/>
      </c>
      <c r="BK35" s="38" t="str">
        <f t="shared" si="1"/>
        <v/>
      </c>
      <c r="BL35" s="38" t="str">
        <f>IF(BI35="","",_xlfn.MAXIFS(Однолинейка!$O$3:$O$1000,Однолинейка!$AH$3:$AH$1000,BI35,Однолинейка!$A$3:$A$1000,BH35))</f>
        <v/>
      </c>
      <c r="BM35" s="38" t="str">
        <f>IF(BI35="","",COUNTIFS(Однолинейка!$AH$3:$AH$1000,BI35,Однолинейка!$A$3:$A$1000,BH35,Однолинейка!$N$3:$N$1000,"р"))</f>
        <v/>
      </c>
      <c r="BN35" s="38" t="str">
        <f t="shared" si="2"/>
        <v/>
      </c>
    </row>
    <row r="36" spans="12:73" x14ac:dyDescent="0.3">
      <c r="L36" s="16"/>
      <c r="M36" s="16"/>
      <c r="N36" s="16"/>
      <c r="O36" s="1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74"/>
      <c r="AA36" s="23"/>
      <c r="AB36" s="23"/>
      <c r="AC36" s="17"/>
      <c r="AD36" s="17"/>
      <c r="AE36" s="17"/>
      <c r="AF36" s="17"/>
      <c r="AG36" s="17"/>
      <c r="AJ36" s="13" t="str">
        <f t="shared" si="0"/>
        <v>ВВГнг(А)-LS (5х120) 1</v>
      </c>
      <c r="AK36" s="14" t="s">
        <v>99</v>
      </c>
      <c r="AL36" t="s">
        <v>12</v>
      </c>
      <c r="AM36">
        <v>5</v>
      </c>
      <c r="AN36">
        <v>120</v>
      </c>
      <c r="AO36">
        <v>1</v>
      </c>
      <c r="AU36" s="26"/>
      <c r="AY36" s="26"/>
      <c r="AZ36" s="74"/>
      <c r="BD36" s="79"/>
      <c r="BH36" s="38" t="str">
        <f>IFERROR(INDEX(Однолинейка!$A$1:$A$1000,(MATCH(32,Однолинейка!$BS$1:$BS$1000,0))),"")</f>
        <v/>
      </c>
      <c r="BI36" s="38" t="str">
        <f>IFERROR(INDEX(Однолинейка!$AW$1:$AW$1000,(MATCH(32,Однолинейка!$BS$1:$BS$1000,0))),"")</f>
        <v/>
      </c>
      <c r="BJ36" s="38" t="str">
        <f>IF(BI36="","",INDEX(Однолинейка!$AI$1:$AI$1000,(MATCH(32,Однолинейка!$BS$1:$BS$1000,0))))</f>
        <v/>
      </c>
      <c r="BK36" s="38" t="str">
        <f t="shared" si="1"/>
        <v/>
      </c>
      <c r="BL36" s="38" t="str">
        <f>IF(BI36="","",_xlfn.MAXIFS(Однолинейка!$O$3:$O$1000,Однолинейка!$AH$3:$AH$1000,BI36,Однолинейка!$A$3:$A$1000,BH36))</f>
        <v/>
      </c>
      <c r="BM36" s="38" t="str">
        <f>IF(BI36="","",COUNTIFS(Однолинейка!$AH$3:$AH$1000,BI36,Однолинейка!$A$3:$A$1000,BH36,Однолинейка!$N$3:$N$1000,"р"))</f>
        <v/>
      </c>
      <c r="BN36" s="38" t="str">
        <f t="shared" si="2"/>
        <v/>
      </c>
    </row>
    <row r="37" spans="12:73" x14ac:dyDescent="0.3">
      <c r="L37" s="16"/>
      <c r="M37" s="16"/>
      <c r="N37" s="16"/>
      <c r="O37" s="1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74"/>
      <c r="AA37" s="23"/>
      <c r="AB37" s="23"/>
      <c r="AC37" s="17"/>
      <c r="AD37" s="17"/>
      <c r="AE37" s="17"/>
      <c r="AF37" s="17"/>
      <c r="AG37" s="17"/>
      <c r="AJ37" s="13" t="str">
        <f t="shared" si="0"/>
        <v>ВВГнг(А)-LS (5х120) 2</v>
      </c>
      <c r="AK37" s="14" t="s">
        <v>100</v>
      </c>
      <c r="AL37" t="s">
        <v>12</v>
      </c>
      <c r="AM37">
        <v>5</v>
      </c>
      <c r="AN37">
        <v>120</v>
      </c>
      <c r="AO37">
        <v>2</v>
      </c>
      <c r="AU37" s="26"/>
      <c r="AY37" s="26"/>
      <c r="AZ37" s="74"/>
      <c r="BD37" s="79"/>
      <c r="BH37" s="38" t="str">
        <f>IFERROR(INDEX(Однолинейка!$A$1:$A$1000,(MATCH(33,Однолинейка!$BS$1:$BS$1000,0))),"")</f>
        <v/>
      </c>
      <c r="BI37" s="38" t="str">
        <f>IFERROR(INDEX(Однолинейка!$AW$1:$AW$1000,(MATCH(33,Однолинейка!$BS$1:$BS$1000,0))),"")</f>
        <v/>
      </c>
      <c r="BJ37" s="38" t="str">
        <f>IF(BI37="","",INDEX(Однолинейка!$AI$1:$AI$1000,(MATCH(33,Однолинейка!$BS$1:$BS$1000,0))))</f>
        <v/>
      </c>
      <c r="BK37" s="38" t="str">
        <f t="shared" si="1"/>
        <v/>
      </c>
      <c r="BL37" s="38" t="str">
        <f>IF(BI37="","",_xlfn.MAXIFS(Однолинейка!$O$3:$O$1000,Однолинейка!$AH$3:$AH$1000,BI37,Однолинейка!$A$3:$A$1000,BH37))</f>
        <v/>
      </c>
      <c r="BM37" s="38" t="str">
        <f>IF(BI37="","",COUNTIFS(Однолинейка!$AH$3:$AH$1000,BI37,Однолинейка!$A$3:$A$1000,BH37,Однолинейка!$N$3:$N$1000,"р"))</f>
        <v/>
      </c>
      <c r="BN37" s="38" t="str">
        <f t="shared" si="2"/>
        <v/>
      </c>
    </row>
    <row r="38" spans="12:73" x14ac:dyDescent="0.3">
      <c r="L38" s="16"/>
      <c r="M38" s="16"/>
      <c r="N38" s="16"/>
      <c r="O38" s="1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74"/>
      <c r="AA38" s="23"/>
      <c r="AB38" s="23"/>
      <c r="AC38" s="17"/>
      <c r="AD38" s="17"/>
      <c r="AE38" s="17"/>
      <c r="AF38" s="17"/>
      <c r="AG38" s="17"/>
      <c r="AJ38" s="13" t="str">
        <f t="shared" si="0"/>
        <v>ВВГнг(А)-LS (5х95) 1</v>
      </c>
      <c r="AK38" s="14" t="s">
        <v>101</v>
      </c>
      <c r="AL38" t="s">
        <v>12</v>
      </c>
      <c r="AM38">
        <v>5</v>
      </c>
      <c r="AN38">
        <v>95</v>
      </c>
      <c r="AO38">
        <v>1</v>
      </c>
      <c r="AU38" s="26"/>
      <c r="AY38" s="26"/>
      <c r="AZ38" s="74"/>
      <c r="BD38" s="79"/>
      <c r="BH38" s="38" t="str">
        <f>IFERROR(INDEX(Однолинейка!$A$1:$A$1000,(MATCH(34,Однолинейка!$BS$1:$BS$1000,0))),"")</f>
        <v/>
      </c>
      <c r="BI38" s="38" t="str">
        <f>IFERROR(INDEX(Однолинейка!$AW$1:$AW$1000,(MATCH(34,Однолинейка!$BS$1:$BS$1000,0))),"")</f>
        <v/>
      </c>
      <c r="BJ38" s="38" t="str">
        <f>IF(BI38="","",INDEX(Однолинейка!$AI$1:$AI$1000,(MATCH(34,Однолинейка!$BS$1:$BS$1000,0))))</f>
        <v/>
      </c>
      <c r="BK38" s="38" t="str">
        <f t="shared" si="1"/>
        <v/>
      </c>
      <c r="BL38" s="38" t="str">
        <f>IF(BI38="","",_xlfn.MAXIFS(Однолинейка!$O$3:$O$1000,Однолинейка!$AH$3:$AH$1000,BI38,Однолинейка!$A$3:$A$1000,BH38))</f>
        <v/>
      </c>
      <c r="BM38" s="38" t="str">
        <f>IF(BI38="","",COUNTIFS(Однолинейка!$AH$3:$AH$1000,BI38,Однолинейка!$A$3:$A$1000,BH38,Однолинейка!$N$3:$N$1000,"р"))</f>
        <v/>
      </c>
      <c r="BN38" s="38" t="str">
        <f t="shared" si="2"/>
        <v/>
      </c>
    </row>
    <row r="39" spans="12:73" x14ac:dyDescent="0.3">
      <c r="L39" s="16"/>
      <c r="M39" s="16"/>
      <c r="N39" s="16"/>
      <c r="O39" s="1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74"/>
      <c r="AA39" s="23"/>
      <c r="AB39" s="23"/>
      <c r="AC39" s="17"/>
      <c r="AD39" s="17"/>
      <c r="AE39" s="17"/>
      <c r="AF39" s="17"/>
      <c r="AG39" s="17"/>
      <c r="AJ39" s="13" t="str">
        <f t="shared" si="0"/>
        <v>ВВГнг(А)-LS (5х95) 2</v>
      </c>
      <c r="AK39" s="14" t="s">
        <v>102</v>
      </c>
      <c r="AL39" t="s">
        <v>12</v>
      </c>
      <c r="AM39">
        <v>5</v>
      </c>
      <c r="AN39">
        <v>95</v>
      </c>
      <c r="AO39">
        <v>2</v>
      </c>
      <c r="AU39" s="26"/>
      <c r="AY39" s="26"/>
      <c r="AZ39" s="74"/>
      <c r="BD39" s="79"/>
      <c r="BH39" s="38" t="str">
        <f>IFERROR(INDEX(Однолинейка!$A$1:$A$1000,(MATCH(35,Однолинейка!$BS$1:$BS$1000,0))),"")</f>
        <v/>
      </c>
      <c r="BI39" s="38" t="str">
        <f>IFERROR(INDEX(Однолинейка!$AW$1:$AW$1000,(MATCH(35,Однолинейка!$BS$1:$BS$1000,0))),"")</f>
        <v/>
      </c>
      <c r="BJ39" s="38" t="str">
        <f>IF(BI39="","",INDEX(Однолинейка!$AI$1:$AI$1000,(MATCH(35,Однолинейка!$BS$1:$BS$1000,0))))</f>
        <v/>
      </c>
      <c r="BK39" s="38" t="str">
        <f t="shared" si="1"/>
        <v/>
      </c>
      <c r="BL39" s="38" t="str">
        <f>IF(BI39="","",_xlfn.MAXIFS(Однолинейка!$O$3:$O$1000,Однолинейка!$AH$3:$AH$1000,BI39,Однолинейка!$A$3:$A$1000,BH39))</f>
        <v/>
      </c>
      <c r="BM39" s="38" t="str">
        <f>IF(BI39="","",COUNTIFS(Однолинейка!$AH$3:$AH$1000,BI39,Однолинейка!$A$3:$A$1000,BH39,Однолинейка!$N$3:$N$1000,"р"))</f>
        <v/>
      </c>
      <c r="BN39" s="38" t="str">
        <f t="shared" si="2"/>
        <v/>
      </c>
    </row>
    <row r="40" spans="12:73" x14ac:dyDescent="0.3">
      <c r="L40" s="16"/>
      <c r="M40" s="16"/>
      <c r="N40" s="16"/>
      <c r="O40" s="1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74"/>
      <c r="AA40" s="23"/>
      <c r="AB40" s="23"/>
      <c r="AC40" s="17"/>
      <c r="AD40" s="17"/>
      <c r="AE40" s="17"/>
      <c r="AF40" s="17"/>
      <c r="AG40" s="17"/>
      <c r="AJ40" s="13" t="str">
        <f t="shared" si="0"/>
        <v>ВВГнг(А)-LS (5х120) 1</v>
      </c>
      <c r="AK40" s="14" t="s">
        <v>103</v>
      </c>
      <c r="AL40" t="s">
        <v>12</v>
      </c>
      <c r="AM40">
        <v>5</v>
      </c>
      <c r="AN40">
        <v>120</v>
      </c>
      <c r="AO40">
        <v>1</v>
      </c>
      <c r="AU40" s="26"/>
      <c r="AY40" s="26"/>
      <c r="AZ40" s="74"/>
      <c r="BD40" s="79"/>
    </row>
    <row r="41" spans="12:73" ht="55.2" x14ac:dyDescent="0.3">
      <c r="L41" s="16"/>
      <c r="M41" s="16"/>
      <c r="N41" s="16"/>
      <c r="O41" s="1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74"/>
      <c r="AA41" s="23"/>
      <c r="AB41" s="23"/>
      <c r="AC41" s="17"/>
      <c r="AD41" s="17"/>
      <c r="AE41" s="17"/>
      <c r="AF41" s="17"/>
      <c r="AG41" s="17"/>
      <c r="AJ41" s="13" t="str">
        <f t="shared" si="0"/>
        <v>ВВГнг(А)-LS (5х120) 2</v>
      </c>
      <c r="AK41" s="14" t="s">
        <v>104</v>
      </c>
      <c r="AL41" t="s">
        <v>12</v>
      </c>
      <c r="AM41">
        <v>5</v>
      </c>
      <c r="AN41">
        <v>120</v>
      </c>
      <c r="AO41">
        <v>2</v>
      </c>
      <c r="AU41" s="26"/>
      <c r="AY41" s="26"/>
      <c r="AZ41" s="74"/>
      <c r="BD41" s="79"/>
      <c r="BH41" s="35" t="s">
        <v>627</v>
      </c>
      <c r="BI41" s="35"/>
      <c r="BJ41" s="35"/>
      <c r="BK41" s="35"/>
      <c r="BL41" s="35"/>
      <c r="BM41" s="35"/>
      <c r="BN41" s="35">
        <f>SUM(BN5:BN39)</f>
        <v>0</v>
      </c>
    </row>
    <row r="42" spans="12:73" x14ac:dyDescent="0.3">
      <c r="L42" s="16"/>
      <c r="M42" s="16"/>
      <c r="N42" s="16"/>
      <c r="O42" s="1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74"/>
      <c r="AA42" s="23"/>
      <c r="AB42" s="23"/>
      <c r="AC42" s="17"/>
      <c r="AD42" s="17"/>
      <c r="AE42" s="17"/>
      <c r="AF42" s="17"/>
      <c r="AG42" s="17"/>
      <c r="AJ42" s="13" t="str">
        <f t="shared" si="0"/>
        <v>ВБШВнг(А)-LS (5х10) 1</v>
      </c>
      <c r="AK42" s="14" t="s">
        <v>142</v>
      </c>
      <c r="AL42" t="s">
        <v>153</v>
      </c>
      <c r="AM42">
        <v>5</v>
      </c>
      <c r="AN42">
        <v>10</v>
      </c>
      <c r="AO42">
        <v>1</v>
      </c>
      <c r="AU42" s="26"/>
      <c r="AY42" s="26"/>
      <c r="AZ42" s="74"/>
      <c r="BD42" s="79"/>
    </row>
    <row r="43" spans="12:73" x14ac:dyDescent="0.3">
      <c r="L43" s="16"/>
      <c r="M43" s="16"/>
      <c r="N43" s="16"/>
      <c r="O43" s="1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74"/>
      <c r="AA43" s="23"/>
      <c r="AB43" s="23"/>
      <c r="AC43" s="17"/>
      <c r="AD43" s="17"/>
      <c r="AE43" s="17"/>
      <c r="AF43" s="17"/>
      <c r="AG43" s="17"/>
      <c r="AJ43" s="13" t="str">
        <f t="shared" si="0"/>
        <v>ВБШВнг(А)-LS (5х10) 2</v>
      </c>
      <c r="AK43" s="14" t="s">
        <v>105</v>
      </c>
      <c r="AL43" t="s">
        <v>153</v>
      </c>
      <c r="AM43">
        <v>5</v>
      </c>
      <c r="AN43">
        <v>10</v>
      </c>
      <c r="AO43">
        <v>2</v>
      </c>
      <c r="AU43" s="26"/>
      <c r="AY43" s="26"/>
      <c r="AZ43" s="74"/>
      <c r="BD43" s="79"/>
    </row>
    <row r="44" spans="12:73" x14ac:dyDescent="0.3">
      <c r="L44" s="16"/>
      <c r="M44" s="16"/>
      <c r="N44" s="16"/>
      <c r="O44" s="1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74"/>
      <c r="AA44" s="23"/>
      <c r="AB44" s="23"/>
      <c r="AC44" s="17"/>
      <c r="AD44" s="17"/>
      <c r="AE44" s="17"/>
      <c r="AF44" s="17"/>
      <c r="AG44" s="17"/>
      <c r="AJ44" s="13" t="str">
        <f t="shared" si="0"/>
        <v>ВБШВнг(А)-LS (5х16) 1</v>
      </c>
      <c r="AK44" s="14" t="s">
        <v>106</v>
      </c>
      <c r="AL44" t="s">
        <v>153</v>
      </c>
      <c r="AM44">
        <v>5</v>
      </c>
      <c r="AN44">
        <v>16</v>
      </c>
      <c r="AO44">
        <v>1</v>
      </c>
      <c r="AU44" s="26"/>
      <c r="AY44" s="26"/>
      <c r="AZ44" s="74"/>
      <c r="BD44" s="79"/>
    </row>
    <row r="45" spans="12:73" x14ac:dyDescent="0.3">
      <c r="L45" s="16"/>
      <c r="M45" s="16"/>
      <c r="N45" s="16"/>
      <c r="O45" s="1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74"/>
      <c r="AA45" s="23"/>
      <c r="AB45" s="23"/>
      <c r="AC45" s="17"/>
      <c r="AD45" s="17"/>
      <c r="AE45" s="17"/>
      <c r="AF45" s="17"/>
      <c r="AG45" s="17"/>
      <c r="AJ45" s="13" t="str">
        <f t="shared" si="0"/>
        <v>ВБШВнг(А)-LS (5х16) 2</v>
      </c>
      <c r="AK45" s="14" t="s">
        <v>107</v>
      </c>
      <c r="AL45" t="s">
        <v>153</v>
      </c>
      <c r="AM45">
        <v>5</v>
      </c>
      <c r="AN45">
        <v>16</v>
      </c>
      <c r="AO45">
        <v>2</v>
      </c>
      <c r="AU45" s="26"/>
      <c r="AY45" s="26"/>
      <c r="AZ45" s="74"/>
      <c r="BD45" s="79"/>
    </row>
    <row r="46" spans="12:73" x14ac:dyDescent="0.3">
      <c r="L46" s="16"/>
      <c r="M46" s="16"/>
      <c r="N46" s="16"/>
      <c r="O46" s="1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74"/>
      <c r="AA46" s="23"/>
      <c r="AB46" s="23"/>
      <c r="AC46" s="17"/>
      <c r="AD46" s="17"/>
      <c r="AE46" s="17"/>
      <c r="AF46" s="17"/>
      <c r="AG46" s="17"/>
      <c r="AJ46" s="13" t="str">
        <f t="shared" si="0"/>
        <v>ВБШВнг(А)-LS (5х25) 1</v>
      </c>
      <c r="AK46" s="14" t="s">
        <v>108</v>
      </c>
      <c r="AL46" t="s">
        <v>153</v>
      </c>
      <c r="AM46">
        <v>5</v>
      </c>
      <c r="AN46">
        <v>25</v>
      </c>
      <c r="AO46">
        <v>1</v>
      </c>
      <c r="AU46" s="26"/>
      <c r="AY46" s="26"/>
      <c r="AZ46" s="74"/>
      <c r="BD46" s="79"/>
    </row>
    <row r="47" spans="12:73" x14ac:dyDescent="0.3">
      <c r="L47" s="16"/>
      <c r="M47" s="16"/>
      <c r="N47" s="16"/>
      <c r="O47" s="1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74"/>
      <c r="AA47" s="23"/>
      <c r="AB47" s="23"/>
      <c r="AC47" s="17"/>
      <c r="AD47" s="17"/>
      <c r="AE47" s="17"/>
      <c r="AF47" s="17"/>
      <c r="AG47" s="17"/>
      <c r="AJ47" s="13" t="str">
        <f t="shared" si="0"/>
        <v>ВБШВнг(А)-LS (5х25) 2</v>
      </c>
      <c r="AK47" s="14" t="s">
        <v>109</v>
      </c>
      <c r="AL47" t="s">
        <v>153</v>
      </c>
      <c r="AM47">
        <v>5</v>
      </c>
      <c r="AN47">
        <v>25</v>
      </c>
      <c r="AO47">
        <v>2</v>
      </c>
      <c r="AU47" s="26"/>
      <c r="AY47" s="26"/>
      <c r="AZ47" s="74"/>
      <c r="BD47" s="79"/>
    </row>
    <row r="48" spans="12:73" x14ac:dyDescent="0.3">
      <c r="L48" s="16"/>
      <c r="M48" s="16"/>
      <c r="N48" s="16"/>
      <c r="O48" s="1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74"/>
      <c r="AA48" s="23"/>
      <c r="AB48" s="23"/>
      <c r="AC48" s="17"/>
      <c r="AD48" s="17"/>
      <c r="AE48" s="17"/>
      <c r="AF48" s="17"/>
      <c r="AG48" s="17"/>
      <c r="AJ48" s="13" t="str">
        <f t="shared" si="0"/>
        <v>ВБШВнг(А)-LS (5х35) 1</v>
      </c>
      <c r="AK48" s="14" t="s">
        <v>110</v>
      </c>
      <c r="AL48" t="s">
        <v>153</v>
      </c>
      <c r="AM48">
        <v>5</v>
      </c>
      <c r="AN48">
        <v>35</v>
      </c>
      <c r="AO48">
        <v>1</v>
      </c>
      <c r="AU48" s="26"/>
      <c r="AY48" s="26"/>
      <c r="AZ48" s="74"/>
      <c r="BD48" s="79"/>
    </row>
    <row r="49" spans="12:56" x14ac:dyDescent="0.3">
      <c r="L49" s="16"/>
      <c r="M49" s="16"/>
      <c r="N49" s="16"/>
      <c r="O49" s="1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74"/>
      <c r="AA49" s="23"/>
      <c r="AB49" s="23"/>
      <c r="AC49" s="17"/>
      <c r="AD49" s="17"/>
      <c r="AE49" s="17"/>
      <c r="AF49" s="17"/>
      <c r="AG49" s="17"/>
      <c r="AJ49" s="13" t="str">
        <f t="shared" si="0"/>
        <v>ВБШВнг(А)-LS (5х35) 2</v>
      </c>
      <c r="AK49" s="14" t="s">
        <v>111</v>
      </c>
      <c r="AL49" t="s">
        <v>153</v>
      </c>
      <c r="AM49">
        <v>5</v>
      </c>
      <c r="AN49">
        <v>35</v>
      </c>
      <c r="AO49">
        <v>2</v>
      </c>
      <c r="AU49" s="26"/>
      <c r="AY49" s="26"/>
      <c r="AZ49" s="74"/>
      <c r="BD49" s="79"/>
    </row>
    <row r="50" spans="12:56" x14ac:dyDescent="0.3">
      <c r="L50" s="16"/>
      <c r="M50" s="16"/>
      <c r="N50" s="16"/>
      <c r="O50" s="1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74"/>
      <c r="AA50" s="23"/>
      <c r="AB50" s="23"/>
      <c r="AC50" s="17"/>
      <c r="AD50" s="17"/>
      <c r="AE50" s="17"/>
      <c r="AF50" s="17"/>
      <c r="AG50" s="17"/>
      <c r="AJ50" s="13" t="str">
        <f t="shared" si="0"/>
        <v>ВБШВнг(А)-LS (5х50) 1</v>
      </c>
      <c r="AK50" s="14" t="s">
        <v>112</v>
      </c>
      <c r="AL50" t="s">
        <v>153</v>
      </c>
      <c r="AM50">
        <v>5</v>
      </c>
      <c r="AN50">
        <v>50</v>
      </c>
      <c r="AO50">
        <v>1</v>
      </c>
      <c r="AU50" s="26"/>
      <c r="AY50" s="26"/>
      <c r="AZ50" s="74"/>
      <c r="BD50" s="79"/>
    </row>
    <row r="51" spans="12:56" x14ac:dyDescent="0.3">
      <c r="L51" s="16"/>
      <c r="M51" s="16"/>
      <c r="N51" s="16"/>
      <c r="O51" s="1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74"/>
      <c r="AA51" s="23"/>
      <c r="AB51" s="23"/>
      <c r="AC51" s="17"/>
      <c r="AD51" s="17"/>
      <c r="AE51" s="17"/>
      <c r="AF51" s="17"/>
      <c r="AG51" s="17"/>
      <c r="AJ51" s="13" t="str">
        <f t="shared" si="0"/>
        <v>ВБШВнг(А)-LS (5х50) 2</v>
      </c>
      <c r="AK51" s="14" t="s">
        <v>113</v>
      </c>
      <c r="AL51" t="s">
        <v>153</v>
      </c>
      <c r="AM51">
        <v>5</v>
      </c>
      <c r="AN51">
        <v>50</v>
      </c>
      <c r="AO51">
        <v>2</v>
      </c>
      <c r="AU51" s="26"/>
      <c r="AY51" s="26"/>
      <c r="AZ51" s="74"/>
      <c r="BD51" s="79"/>
    </row>
    <row r="52" spans="12:56" x14ac:dyDescent="0.3">
      <c r="AJ52" s="13" t="str">
        <f t="shared" si="0"/>
        <v>ВБШВнг(А)-LS (5х95) 1</v>
      </c>
      <c r="AK52" s="14" t="s">
        <v>114</v>
      </c>
      <c r="AL52" t="s">
        <v>153</v>
      </c>
      <c r="AM52">
        <v>5</v>
      </c>
      <c r="AN52">
        <v>95</v>
      </c>
      <c r="AO52">
        <v>1</v>
      </c>
      <c r="AY52" s="26"/>
      <c r="BD52" s="80"/>
    </row>
    <row r="53" spans="12:56" x14ac:dyDescent="0.3">
      <c r="AJ53" s="13" t="str">
        <f t="shared" si="0"/>
        <v>ВБШВнг(А)-LS (5х95) 2</v>
      </c>
      <c r="AK53" s="14" t="s">
        <v>115</v>
      </c>
      <c r="AL53" t="s">
        <v>153</v>
      </c>
      <c r="AM53">
        <v>5</v>
      </c>
      <c r="AN53">
        <v>95</v>
      </c>
      <c r="AO53">
        <v>2</v>
      </c>
      <c r="AU53" s="64"/>
    </row>
    <row r="54" spans="12:56" x14ac:dyDescent="0.3">
      <c r="AJ54" s="13" t="str">
        <f t="shared" si="0"/>
        <v>ВБШВнг(А)-LS (5х120) 1</v>
      </c>
      <c r="AK54" s="14" t="s">
        <v>116</v>
      </c>
      <c r="AL54" t="s">
        <v>153</v>
      </c>
      <c r="AM54">
        <v>5</v>
      </c>
      <c r="AN54">
        <v>120</v>
      </c>
      <c r="AO54">
        <v>1</v>
      </c>
      <c r="AU54" s="26"/>
      <c r="AV54" s="26"/>
      <c r="AW54" s="26"/>
      <c r="AY54" s="26"/>
    </row>
    <row r="55" spans="12:56" x14ac:dyDescent="0.3">
      <c r="AJ55" s="13" t="str">
        <f t="shared" si="0"/>
        <v>ВБШВнг(А)-LS (5х120) 2</v>
      </c>
      <c r="AK55" s="14" t="s">
        <v>117</v>
      </c>
      <c r="AL55" t="s">
        <v>153</v>
      </c>
      <c r="AM55">
        <v>5</v>
      </c>
      <c r="AN55">
        <v>120</v>
      </c>
      <c r="AO55">
        <v>2</v>
      </c>
      <c r="AU55" s="26"/>
      <c r="AV55" s="26"/>
      <c r="AW55" s="26"/>
      <c r="AY55" s="26"/>
    </row>
    <row r="56" spans="12:56" x14ac:dyDescent="0.3">
      <c r="AJ56" s="13" t="str">
        <f t="shared" si="0"/>
        <v>КГВВнг(А)-LS (2х0,75) 1</v>
      </c>
      <c r="AK56" s="14" t="s">
        <v>118</v>
      </c>
      <c r="AL56" t="s">
        <v>143</v>
      </c>
      <c r="AM56">
        <v>2</v>
      </c>
      <c r="AN56">
        <v>0.75</v>
      </c>
      <c r="AO56">
        <v>1</v>
      </c>
      <c r="AU56" s="26"/>
      <c r="AV56" s="26"/>
      <c r="AW56" s="26"/>
      <c r="AY56" s="26"/>
    </row>
    <row r="57" spans="12:56" x14ac:dyDescent="0.3">
      <c r="AJ57" s="13" t="str">
        <f t="shared" si="0"/>
        <v>КГВВнг(А)-LS (2х0,75) 2</v>
      </c>
      <c r="AK57" s="14" t="s">
        <v>119</v>
      </c>
      <c r="AL57" t="s">
        <v>143</v>
      </c>
      <c r="AM57">
        <v>2</v>
      </c>
      <c r="AN57">
        <v>0.75</v>
      </c>
      <c r="AO57">
        <v>2</v>
      </c>
      <c r="AU57" s="26"/>
      <c r="AV57" s="26"/>
      <c r="AW57" s="26"/>
      <c r="AY57" s="26"/>
    </row>
    <row r="58" spans="12:56" x14ac:dyDescent="0.3">
      <c r="AJ58" s="13" t="str">
        <f t="shared" si="0"/>
        <v>КГВВнг(А)-LS (2х1,5) 1</v>
      </c>
      <c r="AK58" s="14" t="s">
        <v>118</v>
      </c>
      <c r="AL58" t="s">
        <v>143</v>
      </c>
      <c r="AM58">
        <v>2</v>
      </c>
      <c r="AN58">
        <v>1.5</v>
      </c>
      <c r="AO58">
        <v>1</v>
      </c>
      <c r="AY58" s="26"/>
    </row>
    <row r="59" spans="12:56" x14ac:dyDescent="0.3">
      <c r="AJ59" s="13" t="str">
        <f t="shared" si="0"/>
        <v>КГВВнг(А)-LS (2х1,5) 2</v>
      </c>
      <c r="AK59" s="14" t="s">
        <v>119</v>
      </c>
      <c r="AL59" t="s">
        <v>143</v>
      </c>
      <c r="AM59">
        <v>2</v>
      </c>
      <c r="AN59">
        <v>1.5</v>
      </c>
      <c r="AO59">
        <v>2</v>
      </c>
      <c r="AY59" s="26"/>
    </row>
    <row r="60" spans="12:56" x14ac:dyDescent="0.3">
      <c r="AJ60" s="13" t="str">
        <f t="shared" si="0"/>
        <v>КГВВнг(А)-LS (2х2,5) 1</v>
      </c>
      <c r="AK60" s="14" t="s">
        <v>120</v>
      </c>
      <c r="AL60" t="s">
        <v>143</v>
      </c>
      <c r="AM60">
        <v>2</v>
      </c>
      <c r="AN60">
        <v>2.5</v>
      </c>
      <c r="AO60">
        <v>1</v>
      </c>
      <c r="AY60" s="26"/>
    </row>
    <row r="61" spans="12:56" x14ac:dyDescent="0.3">
      <c r="AJ61" s="13" t="str">
        <f t="shared" si="0"/>
        <v>КГВВнг(А)-LS (2х2,5) 2</v>
      </c>
      <c r="AK61" s="14" t="s">
        <v>121</v>
      </c>
      <c r="AL61" t="s">
        <v>143</v>
      </c>
      <c r="AM61">
        <v>2</v>
      </c>
      <c r="AN61">
        <v>2.5</v>
      </c>
      <c r="AO61">
        <v>2</v>
      </c>
      <c r="AY61" s="26"/>
    </row>
    <row r="62" spans="12:56" x14ac:dyDescent="0.3">
      <c r="AJ62" s="13" t="str">
        <f t="shared" si="0"/>
        <v>КГВВнг(А)-LS (3х1,5) 1</v>
      </c>
      <c r="AK62" s="14" t="s">
        <v>122</v>
      </c>
      <c r="AL62" t="s">
        <v>143</v>
      </c>
      <c r="AM62">
        <v>3</v>
      </c>
      <c r="AN62">
        <v>1.5</v>
      </c>
      <c r="AO62">
        <v>1</v>
      </c>
      <c r="AY62" s="26"/>
    </row>
    <row r="63" spans="12:56" x14ac:dyDescent="0.3">
      <c r="AJ63" s="13" t="str">
        <f t="shared" si="0"/>
        <v>КГВВнг(А)-LS (3х1,5) 2</v>
      </c>
      <c r="AK63" s="14" t="s">
        <v>123</v>
      </c>
      <c r="AL63" t="s">
        <v>143</v>
      </c>
      <c r="AM63">
        <v>3</v>
      </c>
      <c r="AN63">
        <v>1.5</v>
      </c>
      <c r="AO63">
        <v>2</v>
      </c>
      <c r="AY63" s="26"/>
    </row>
    <row r="64" spans="12:56" x14ac:dyDescent="0.3">
      <c r="AJ64" s="13" t="str">
        <f t="shared" si="0"/>
        <v>КГВВнг(А)-LS (3х2,5) 1</v>
      </c>
      <c r="AK64" s="14" t="s">
        <v>124</v>
      </c>
      <c r="AL64" t="s">
        <v>143</v>
      </c>
      <c r="AM64">
        <v>3</v>
      </c>
      <c r="AN64">
        <v>2.5</v>
      </c>
      <c r="AO64">
        <v>1</v>
      </c>
      <c r="AY64" s="26"/>
    </row>
    <row r="65" spans="36:51" x14ac:dyDescent="0.3">
      <c r="AJ65" s="13" t="str">
        <f t="shared" si="0"/>
        <v>КГВВнг(А)-LS (3х2,5) 2</v>
      </c>
      <c r="AK65" s="14" t="s">
        <v>125</v>
      </c>
      <c r="AL65" t="s">
        <v>143</v>
      </c>
      <c r="AM65">
        <v>3</v>
      </c>
      <c r="AN65">
        <v>2.5</v>
      </c>
      <c r="AO65">
        <v>2</v>
      </c>
      <c r="AY65" s="26"/>
    </row>
    <row r="66" spans="36:51" x14ac:dyDescent="0.3">
      <c r="AJ66" s="13" t="str">
        <f t="shared" si="0"/>
        <v>КГВВнг(А)-LS (5х1,5) 1</v>
      </c>
      <c r="AK66" s="14" t="s">
        <v>126</v>
      </c>
      <c r="AL66" t="s">
        <v>143</v>
      </c>
      <c r="AM66">
        <v>5</v>
      </c>
      <c r="AN66">
        <v>1.5</v>
      </c>
      <c r="AO66">
        <v>1</v>
      </c>
      <c r="AY66" s="26"/>
    </row>
    <row r="67" spans="36:51" x14ac:dyDescent="0.3">
      <c r="AJ67" s="13" t="str">
        <f t="shared" si="0"/>
        <v>КГВВнг(А)-LS (5х1,5) 2</v>
      </c>
      <c r="AK67" s="14" t="s">
        <v>127</v>
      </c>
      <c r="AL67" t="s">
        <v>143</v>
      </c>
      <c r="AM67">
        <v>5</v>
      </c>
      <c r="AN67">
        <v>1.5</v>
      </c>
      <c r="AO67">
        <v>2</v>
      </c>
      <c r="AY67" s="26"/>
    </row>
    <row r="68" spans="36:51" x14ac:dyDescent="0.3">
      <c r="AJ68" s="13" t="str">
        <f t="shared" si="0"/>
        <v>КГВВнг(А)-LS (5х2,5) 1</v>
      </c>
      <c r="AK68" s="14" t="s">
        <v>128</v>
      </c>
      <c r="AL68" t="s">
        <v>143</v>
      </c>
      <c r="AM68">
        <v>5</v>
      </c>
      <c r="AN68">
        <v>2.5</v>
      </c>
      <c r="AO68">
        <v>1</v>
      </c>
      <c r="AY68" s="26"/>
    </row>
    <row r="69" spans="36:51" x14ac:dyDescent="0.3">
      <c r="AJ69" s="13" t="str">
        <f t="shared" ref="AJ69:AJ132" si="3">AL69&amp;" ("&amp;AM69&amp;"х"&amp;AN69&amp;") "&amp;AO69</f>
        <v>КГВВнг(А)-LS (5х2,5) 2</v>
      </c>
      <c r="AK69" s="14" t="s">
        <v>129</v>
      </c>
      <c r="AL69" t="s">
        <v>143</v>
      </c>
      <c r="AM69">
        <v>5</v>
      </c>
      <c r="AN69">
        <v>2.5</v>
      </c>
      <c r="AO69">
        <v>2</v>
      </c>
      <c r="AY69" s="26"/>
    </row>
    <row r="70" spans="36:51" x14ac:dyDescent="0.3">
      <c r="AJ70" s="13" t="str">
        <f t="shared" si="3"/>
        <v>КГВВнг(А)-LS (5х4) 1</v>
      </c>
      <c r="AK70" s="14" t="s">
        <v>130</v>
      </c>
      <c r="AL70" t="s">
        <v>143</v>
      </c>
      <c r="AM70">
        <v>5</v>
      </c>
      <c r="AN70">
        <v>4</v>
      </c>
      <c r="AO70">
        <v>1</v>
      </c>
      <c r="AY70" s="26"/>
    </row>
    <row r="71" spans="36:51" x14ac:dyDescent="0.3">
      <c r="AJ71" s="13" t="str">
        <f t="shared" si="3"/>
        <v>КГВВнг(А)-LS (5х4) 2</v>
      </c>
      <c r="AK71" s="14" t="s">
        <v>131</v>
      </c>
      <c r="AL71" t="s">
        <v>143</v>
      </c>
      <c r="AM71">
        <v>5</v>
      </c>
      <c r="AN71">
        <v>4</v>
      </c>
      <c r="AO71">
        <v>2</v>
      </c>
      <c r="AY71" s="26"/>
    </row>
    <row r="72" spans="36:51" x14ac:dyDescent="0.3">
      <c r="AJ72" s="13" t="str">
        <f t="shared" si="3"/>
        <v>КГВВнг(А)-LS (5х6) 1</v>
      </c>
      <c r="AK72" s="14" t="s">
        <v>132</v>
      </c>
      <c r="AL72" t="s">
        <v>143</v>
      </c>
      <c r="AM72">
        <v>5</v>
      </c>
      <c r="AN72">
        <v>6</v>
      </c>
      <c r="AO72">
        <v>1</v>
      </c>
      <c r="AY72" s="26"/>
    </row>
    <row r="73" spans="36:51" x14ac:dyDescent="0.3">
      <c r="AJ73" s="13" t="str">
        <f t="shared" si="3"/>
        <v>КГВВнг(А)-LS (5х6) 2</v>
      </c>
      <c r="AK73" s="14" t="s">
        <v>133</v>
      </c>
      <c r="AL73" t="s">
        <v>143</v>
      </c>
      <c r="AM73">
        <v>5</v>
      </c>
      <c r="AN73">
        <v>6</v>
      </c>
      <c r="AO73">
        <v>2</v>
      </c>
    </row>
    <row r="74" spans="36:51" x14ac:dyDescent="0.3">
      <c r="AJ74" s="13" t="str">
        <f t="shared" si="3"/>
        <v>КГВВнг(А)-LS (4х0,75) 1</v>
      </c>
      <c r="AK74" s="14" t="s">
        <v>134</v>
      </c>
      <c r="AL74" t="s">
        <v>143</v>
      </c>
      <c r="AM74">
        <v>4</v>
      </c>
      <c r="AN74">
        <v>0.75</v>
      </c>
      <c r="AO74">
        <v>1</v>
      </c>
    </row>
    <row r="75" spans="36:51" x14ac:dyDescent="0.3">
      <c r="AJ75" s="13" t="str">
        <f t="shared" si="3"/>
        <v>КГВВнг(А)-LS (4х0,75) 2</v>
      </c>
      <c r="AK75" s="14" t="s">
        <v>135</v>
      </c>
      <c r="AL75" t="s">
        <v>143</v>
      </c>
      <c r="AM75">
        <v>4</v>
      </c>
      <c r="AN75">
        <v>0.75</v>
      </c>
      <c r="AO75">
        <v>2</v>
      </c>
      <c r="AU75" s="26"/>
    </row>
    <row r="76" spans="36:51" x14ac:dyDescent="0.3">
      <c r="AJ76" s="13" t="str">
        <f t="shared" si="3"/>
        <v>ПУГВ (1х2,5) 1</v>
      </c>
      <c r="AK76" s="14" t="s">
        <v>136</v>
      </c>
      <c r="AL76" t="s">
        <v>63</v>
      </c>
      <c r="AM76">
        <v>1</v>
      </c>
      <c r="AN76">
        <v>2.5</v>
      </c>
      <c r="AO76">
        <v>1</v>
      </c>
    </row>
    <row r="77" spans="36:51" x14ac:dyDescent="0.3">
      <c r="AJ77" s="13" t="str">
        <f t="shared" si="3"/>
        <v>ПУГВ (1х2,5) 2</v>
      </c>
      <c r="AK77" s="14" t="s">
        <v>137</v>
      </c>
      <c r="AL77" t="s">
        <v>63</v>
      </c>
      <c r="AM77">
        <v>1</v>
      </c>
      <c r="AN77">
        <v>2.5</v>
      </c>
      <c r="AO77">
        <v>2</v>
      </c>
    </row>
    <row r="78" spans="36:51" x14ac:dyDescent="0.3">
      <c r="AJ78" s="13" t="str">
        <f t="shared" si="3"/>
        <v>ПУГВ (1х4) 1</v>
      </c>
      <c r="AK78" s="14" t="s">
        <v>136</v>
      </c>
      <c r="AL78" t="s">
        <v>63</v>
      </c>
      <c r="AM78">
        <v>1</v>
      </c>
      <c r="AN78">
        <v>4</v>
      </c>
      <c r="AO78">
        <v>1</v>
      </c>
    </row>
    <row r="79" spans="36:51" x14ac:dyDescent="0.3">
      <c r="AJ79" s="13" t="str">
        <f t="shared" si="3"/>
        <v>ПУГВ (1х4) 2</v>
      </c>
      <c r="AK79" s="14" t="s">
        <v>137</v>
      </c>
      <c r="AL79" t="s">
        <v>63</v>
      </c>
      <c r="AM79">
        <v>1</v>
      </c>
      <c r="AN79">
        <v>4</v>
      </c>
      <c r="AO79">
        <v>2</v>
      </c>
    </row>
    <row r="80" spans="36:51" x14ac:dyDescent="0.3">
      <c r="AJ80" s="13" t="str">
        <f t="shared" si="3"/>
        <v>ПУГВ (1х6) 1</v>
      </c>
      <c r="AK80" s="14" t="s">
        <v>136</v>
      </c>
      <c r="AL80" t="s">
        <v>63</v>
      </c>
      <c r="AM80">
        <v>1</v>
      </c>
      <c r="AN80">
        <v>6</v>
      </c>
      <c r="AO80">
        <v>1</v>
      </c>
    </row>
    <row r="81" spans="36:41" x14ac:dyDescent="0.3">
      <c r="AJ81" s="13" t="str">
        <f t="shared" si="3"/>
        <v>ПУГВ (1х6) 2</v>
      </c>
      <c r="AK81" s="14" t="s">
        <v>137</v>
      </c>
      <c r="AL81" t="s">
        <v>63</v>
      </c>
      <c r="AM81">
        <v>1</v>
      </c>
      <c r="AN81">
        <v>6</v>
      </c>
      <c r="AO81">
        <v>2</v>
      </c>
    </row>
    <row r="82" spans="36:41" x14ac:dyDescent="0.3">
      <c r="AJ82" s="13" t="str">
        <f t="shared" si="3"/>
        <v>ПУГВ (1х10) 1</v>
      </c>
      <c r="AK82" s="14" t="s">
        <v>138</v>
      </c>
      <c r="AL82" t="s">
        <v>63</v>
      </c>
      <c r="AM82">
        <v>1</v>
      </c>
      <c r="AN82">
        <v>10</v>
      </c>
      <c r="AO82">
        <v>1</v>
      </c>
    </row>
    <row r="83" spans="36:41" x14ac:dyDescent="0.3">
      <c r="AJ83" s="13" t="str">
        <f t="shared" si="3"/>
        <v>ПУГВ (1х10) 2</v>
      </c>
      <c r="AK83" s="14" t="s">
        <v>139</v>
      </c>
      <c r="AL83" t="s">
        <v>63</v>
      </c>
      <c r="AM83">
        <v>1</v>
      </c>
      <c r="AN83">
        <v>10</v>
      </c>
      <c r="AO83">
        <v>2</v>
      </c>
    </row>
    <row r="84" spans="36:41" x14ac:dyDescent="0.3">
      <c r="AJ84" s="13" t="str">
        <f t="shared" si="3"/>
        <v>ПУГВ (1х25) 1</v>
      </c>
      <c r="AK84" s="14" t="s">
        <v>138</v>
      </c>
      <c r="AL84" t="s">
        <v>63</v>
      </c>
      <c r="AM84">
        <v>1</v>
      </c>
      <c r="AN84">
        <v>25</v>
      </c>
      <c r="AO84">
        <v>1</v>
      </c>
    </row>
    <row r="85" spans="36:41" x14ac:dyDescent="0.3">
      <c r="AJ85" s="13" t="str">
        <f t="shared" si="3"/>
        <v>ПУГВ (1х25) 2</v>
      </c>
      <c r="AK85" s="14" t="s">
        <v>139</v>
      </c>
      <c r="AL85" t="s">
        <v>63</v>
      </c>
      <c r="AM85">
        <v>1</v>
      </c>
      <c r="AN85">
        <v>25</v>
      </c>
      <c r="AO85">
        <v>2</v>
      </c>
    </row>
    <row r="86" spans="36:41" x14ac:dyDescent="0.3">
      <c r="AJ86" s="13" t="str">
        <f t="shared" si="3"/>
        <v>КВБбШвнг(А)-LS (14х2,5) 1</v>
      </c>
      <c r="AK86" s="14" t="s">
        <v>69</v>
      </c>
      <c r="AL86" t="s">
        <v>154</v>
      </c>
      <c r="AM86">
        <v>14</v>
      </c>
      <c r="AN86">
        <v>2.5</v>
      </c>
      <c r="AO86">
        <v>1</v>
      </c>
    </row>
    <row r="87" spans="36:41" x14ac:dyDescent="0.3">
      <c r="AJ87" s="13" t="str">
        <f t="shared" si="3"/>
        <v>КВБбШвнг(А)-LS (14х2,5) 2</v>
      </c>
      <c r="AK87" s="14" t="s">
        <v>70</v>
      </c>
      <c r="AL87" t="s">
        <v>154</v>
      </c>
      <c r="AM87">
        <v>14</v>
      </c>
      <c r="AN87">
        <v>2.5</v>
      </c>
      <c r="AO87">
        <v>2</v>
      </c>
    </row>
    <row r="88" spans="36:41" x14ac:dyDescent="0.3">
      <c r="AJ88" s="13" t="str">
        <f t="shared" si="3"/>
        <v>ППГнг(А)-FRHF (2х1,5) 1</v>
      </c>
      <c r="AK88" s="14" t="s">
        <v>67</v>
      </c>
      <c r="AL88" t="s">
        <v>147</v>
      </c>
      <c r="AM88">
        <v>2</v>
      </c>
      <c r="AN88">
        <v>1.5</v>
      </c>
      <c r="AO88">
        <v>1</v>
      </c>
    </row>
    <row r="89" spans="36:41" x14ac:dyDescent="0.3">
      <c r="AJ89" s="13" t="str">
        <f t="shared" si="3"/>
        <v>ППГнг(А)-FRHF (2х1,5) 2</v>
      </c>
      <c r="AK89" s="14" t="s">
        <v>68</v>
      </c>
      <c r="AL89" t="s">
        <v>147</v>
      </c>
      <c r="AM89">
        <v>2</v>
      </c>
      <c r="AN89">
        <v>1.5</v>
      </c>
      <c r="AO89">
        <v>2</v>
      </c>
    </row>
    <row r="90" spans="36:41" x14ac:dyDescent="0.3">
      <c r="AJ90" s="13" t="str">
        <f t="shared" si="3"/>
        <v>ППГнг(А)-FRHF (2х2,5) 1</v>
      </c>
      <c r="AK90" s="14" t="s">
        <v>69</v>
      </c>
      <c r="AL90" t="s">
        <v>147</v>
      </c>
      <c r="AM90">
        <v>2</v>
      </c>
      <c r="AN90">
        <v>2.5</v>
      </c>
      <c r="AO90">
        <v>1</v>
      </c>
    </row>
    <row r="91" spans="36:41" x14ac:dyDescent="0.3">
      <c r="AJ91" s="13" t="str">
        <f t="shared" si="3"/>
        <v>ППГнг(А)-FRHF (2х2,5) 2</v>
      </c>
      <c r="AK91" s="14" t="s">
        <v>70</v>
      </c>
      <c r="AL91" t="s">
        <v>147</v>
      </c>
      <c r="AM91">
        <v>2</v>
      </c>
      <c r="AN91">
        <v>2.5</v>
      </c>
      <c r="AO91">
        <v>2</v>
      </c>
    </row>
    <row r="92" spans="36:41" x14ac:dyDescent="0.3">
      <c r="AJ92" s="13" t="str">
        <f t="shared" si="3"/>
        <v>ППГнг(А)-FRHF (3х1,5) 1</v>
      </c>
      <c r="AK92" s="14" t="s">
        <v>71</v>
      </c>
      <c r="AL92" t="s">
        <v>147</v>
      </c>
      <c r="AM92">
        <v>3</v>
      </c>
      <c r="AN92">
        <v>1.5</v>
      </c>
      <c r="AO92">
        <v>1</v>
      </c>
    </row>
    <row r="93" spans="36:41" x14ac:dyDescent="0.3">
      <c r="AJ93" s="13" t="str">
        <f t="shared" si="3"/>
        <v>ППГнг(А)-FRHF (3х1,5) 2</v>
      </c>
      <c r="AK93" s="14" t="s">
        <v>72</v>
      </c>
      <c r="AL93" t="s">
        <v>147</v>
      </c>
      <c r="AM93">
        <v>3</v>
      </c>
      <c r="AN93">
        <v>1.5</v>
      </c>
      <c r="AO93">
        <v>2</v>
      </c>
    </row>
    <row r="94" spans="36:41" x14ac:dyDescent="0.3">
      <c r="AJ94" s="13" t="str">
        <f t="shared" si="3"/>
        <v>ППГнг(А)-FRHF (3х2,5) 1</v>
      </c>
      <c r="AK94" s="14" t="s">
        <v>73</v>
      </c>
      <c r="AL94" t="s">
        <v>147</v>
      </c>
      <c r="AM94">
        <v>3</v>
      </c>
      <c r="AN94">
        <v>2.5</v>
      </c>
      <c r="AO94">
        <v>1</v>
      </c>
    </row>
    <row r="95" spans="36:41" x14ac:dyDescent="0.3">
      <c r="AJ95" s="13" t="str">
        <f t="shared" si="3"/>
        <v>ППГнг(А)-FRHF (3х2,5) 2</v>
      </c>
      <c r="AK95" s="14" t="s">
        <v>74</v>
      </c>
      <c r="AL95" t="s">
        <v>147</v>
      </c>
      <c r="AM95">
        <v>3</v>
      </c>
      <c r="AN95">
        <v>2.5</v>
      </c>
      <c r="AO95">
        <v>2</v>
      </c>
    </row>
    <row r="96" spans="36:41" x14ac:dyDescent="0.3">
      <c r="AJ96" s="13" t="str">
        <f t="shared" si="3"/>
        <v>ППГнг(А)-FRHF (3х4) 1</v>
      </c>
      <c r="AK96" s="14" t="s">
        <v>75</v>
      </c>
      <c r="AL96" t="s">
        <v>147</v>
      </c>
      <c r="AM96">
        <v>3</v>
      </c>
      <c r="AN96">
        <v>4</v>
      </c>
      <c r="AO96">
        <v>1</v>
      </c>
    </row>
    <row r="97" spans="36:41" x14ac:dyDescent="0.3">
      <c r="AJ97" s="13" t="str">
        <f t="shared" si="3"/>
        <v>ППГнг(А)-FRHF (3х4) 2</v>
      </c>
      <c r="AK97" s="14" t="s">
        <v>76</v>
      </c>
      <c r="AL97" t="s">
        <v>147</v>
      </c>
      <c r="AM97">
        <v>3</v>
      </c>
      <c r="AN97">
        <v>4</v>
      </c>
      <c r="AO97">
        <v>2</v>
      </c>
    </row>
    <row r="98" spans="36:41" x14ac:dyDescent="0.3">
      <c r="AJ98" s="13" t="str">
        <f t="shared" si="3"/>
        <v>ППГнг(А)-FRHF (3х6) 1</v>
      </c>
      <c r="AK98" s="14" t="s">
        <v>77</v>
      </c>
      <c r="AL98" t="s">
        <v>147</v>
      </c>
      <c r="AM98">
        <v>3</v>
      </c>
      <c r="AN98">
        <v>6</v>
      </c>
      <c r="AO98">
        <v>1</v>
      </c>
    </row>
    <row r="99" spans="36:41" x14ac:dyDescent="0.3">
      <c r="AJ99" s="13" t="str">
        <f t="shared" si="3"/>
        <v>ППГнг(А)-FRHF (3х6) 2</v>
      </c>
      <c r="AK99" s="14" t="s">
        <v>78</v>
      </c>
      <c r="AL99" t="s">
        <v>147</v>
      </c>
      <c r="AM99">
        <v>3</v>
      </c>
      <c r="AN99">
        <v>6</v>
      </c>
      <c r="AO99">
        <v>2</v>
      </c>
    </row>
    <row r="100" spans="36:41" x14ac:dyDescent="0.3">
      <c r="AJ100" s="13" t="str">
        <f t="shared" si="3"/>
        <v>ППГнг(А)-FRHF (5х1,5) 1</v>
      </c>
      <c r="AK100" s="14" t="s">
        <v>79</v>
      </c>
      <c r="AL100" t="s">
        <v>147</v>
      </c>
      <c r="AM100">
        <v>5</v>
      </c>
      <c r="AN100">
        <v>1.5</v>
      </c>
      <c r="AO100">
        <v>1</v>
      </c>
    </row>
    <row r="101" spans="36:41" x14ac:dyDescent="0.3">
      <c r="AJ101" s="13" t="str">
        <f t="shared" si="3"/>
        <v>ППГнг(А)-FRHF (5х1,5) 2</v>
      </c>
      <c r="AK101" s="14" t="s">
        <v>80</v>
      </c>
      <c r="AL101" t="s">
        <v>147</v>
      </c>
      <c r="AM101">
        <v>5</v>
      </c>
      <c r="AN101">
        <v>1.5</v>
      </c>
      <c r="AO101">
        <v>2</v>
      </c>
    </row>
    <row r="102" spans="36:41" x14ac:dyDescent="0.3">
      <c r="AJ102" s="13" t="str">
        <f t="shared" si="3"/>
        <v>ППГнг(А)-FRHF (5х2,5) 1</v>
      </c>
      <c r="AK102" s="14" t="s">
        <v>81</v>
      </c>
      <c r="AL102" t="s">
        <v>147</v>
      </c>
      <c r="AM102">
        <v>5</v>
      </c>
      <c r="AN102">
        <v>2.5</v>
      </c>
      <c r="AO102">
        <v>1</v>
      </c>
    </row>
    <row r="103" spans="36:41" x14ac:dyDescent="0.3">
      <c r="AJ103" s="13" t="str">
        <f t="shared" si="3"/>
        <v>ППГнг(А)-FRHF (5х2,5) 2</v>
      </c>
      <c r="AK103" s="14" t="s">
        <v>82</v>
      </c>
      <c r="AL103" t="s">
        <v>147</v>
      </c>
      <c r="AM103">
        <v>5</v>
      </c>
      <c r="AN103">
        <v>2.5</v>
      </c>
      <c r="AO103">
        <v>2</v>
      </c>
    </row>
    <row r="104" spans="36:41" x14ac:dyDescent="0.3">
      <c r="AJ104" s="13" t="str">
        <f t="shared" si="3"/>
        <v>ППГнг(А)-FRHF (5х4) 1</v>
      </c>
      <c r="AK104" s="14" t="s">
        <v>83</v>
      </c>
      <c r="AL104" t="s">
        <v>147</v>
      </c>
      <c r="AM104">
        <v>5</v>
      </c>
      <c r="AN104">
        <v>4</v>
      </c>
      <c r="AO104">
        <v>1</v>
      </c>
    </row>
    <row r="105" spans="36:41" x14ac:dyDescent="0.3">
      <c r="AJ105" s="13" t="str">
        <f t="shared" si="3"/>
        <v>ППГнг(А)-FRHF (5х4) 2</v>
      </c>
      <c r="AK105" s="14" t="s">
        <v>84</v>
      </c>
      <c r="AL105" t="s">
        <v>147</v>
      </c>
      <c r="AM105">
        <v>5</v>
      </c>
      <c r="AN105">
        <v>4</v>
      </c>
      <c r="AO105">
        <v>2</v>
      </c>
    </row>
    <row r="106" spans="36:41" x14ac:dyDescent="0.3">
      <c r="AJ106" s="13" t="str">
        <f t="shared" si="3"/>
        <v>ППГнг(А)-FRHF (5х6) 1</v>
      </c>
      <c r="AK106" s="14" t="s">
        <v>85</v>
      </c>
      <c r="AL106" t="s">
        <v>147</v>
      </c>
      <c r="AM106">
        <v>5</v>
      </c>
      <c r="AN106">
        <v>6</v>
      </c>
      <c r="AO106">
        <v>1</v>
      </c>
    </row>
    <row r="107" spans="36:41" x14ac:dyDescent="0.3">
      <c r="AJ107" s="13" t="str">
        <f t="shared" si="3"/>
        <v>ППГнг(А)-FRHF (5х6) 2</v>
      </c>
      <c r="AK107" s="14" t="s">
        <v>86</v>
      </c>
      <c r="AL107" t="s">
        <v>147</v>
      </c>
      <c r="AM107">
        <v>5</v>
      </c>
      <c r="AN107">
        <v>6</v>
      </c>
      <c r="AO107">
        <v>2</v>
      </c>
    </row>
    <row r="108" spans="36:41" x14ac:dyDescent="0.3">
      <c r="AJ108" s="13" t="str">
        <f t="shared" si="3"/>
        <v>ППГнг(А)-FRHF (5х10) 1</v>
      </c>
      <c r="AK108" s="14" t="s">
        <v>87</v>
      </c>
      <c r="AL108" t="s">
        <v>147</v>
      </c>
      <c r="AM108">
        <v>5</v>
      </c>
      <c r="AN108">
        <v>10</v>
      </c>
      <c r="AO108">
        <v>1</v>
      </c>
    </row>
    <row r="109" spans="36:41" x14ac:dyDescent="0.3">
      <c r="AJ109" s="13" t="str">
        <f t="shared" si="3"/>
        <v>ППГнг(А)-FRHF (5х10) 2</v>
      </c>
      <c r="AK109" s="14" t="s">
        <v>88</v>
      </c>
      <c r="AL109" t="s">
        <v>147</v>
      </c>
      <c r="AM109">
        <v>5</v>
      </c>
      <c r="AN109">
        <v>10</v>
      </c>
      <c r="AO109">
        <v>2</v>
      </c>
    </row>
    <row r="110" spans="36:41" x14ac:dyDescent="0.3">
      <c r="AJ110" s="13" t="str">
        <f t="shared" si="3"/>
        <v>ППГнг(А)-FRHF (5х16) 1</v>
      </c>
      <c r="AK110" s="14" t="s">
        <v>89</v>
      </c>
      <c r="AL110" t="s">
        <v>147</v>
      </c>
      <c r="AM110">
        <v>5</v>
      </c>
      <c r="AN110">
        <v>16</v>
      </c>
      <c r="AO110">
        <v>1</v>
      </c>
    </row>
    <row r="111" spans="36:41" x14ac:dyDescent="0.3">
      <c r="AJ111" s="13" t="str">
        <f t="shared" si="3"/>
        <v>ППГнг(А)-FRHF (5х16) 2</v>
      </c>
      <c r="AK111" s="14" t="s">
        <v>90</v>
      </c>
      <c r="AL111" t="s">
        <v>147</v>
      </c>
      <c r="AM111">
        <v>5</v>
      </c>
      <c r="AN111">
        <v>16</v>
      </c>
      <c r="AO111">
        <v>2</v>
      </c>
    </row>
    <row r="112" spans="36:41" x14ac:dyDescent="0.3">
      <c r="AJ112" s="13" t="str">
        <f t="shared" si="3"/>
        <v>ППГнг(А)-FRHF (5х25) 1</v>
      </c>
      <c r="AK112" s="14" t="s">
        <v>91</v>
      </c>
      <c r="AL112" t="s">
        <v>147</v>
      </c>
      <c r="AM112">
        <v>5</v>
      </c>
      <c r="AN112">
        <v>25</v>
      </c>
      <c r="AO112">
        <v>1</v>
      </c>
    </row>
    <row r="113" spans="36:41" x14ac:dyDescent="0.3">
      <c r="AJ113" s="13" t="str">
        <f t="shared" si="3"/>
        <v>ППГнг(А)-FRHF (5х25) 2</v>
      </c>
      <c r="AK113" s="14" t="s">
        <v>92</v>
      </c>
      <c r="AL113" t="s">
        <v>147</v>
      </c>
      <c r="AM113">
        <v>5</v>
      </c>
      <c r="AN113">
        <v>25</v>
      </c>
      <c r="AO113">
        <v>2</v>
      </c>
    </row>
    <row r="114" spans="36:41" x14ac:dyDescent="0.3">
      <c r="AJ114" s="13" t="str">
        <f t="shared" si="3"/>
        <v>ППГнг(А)-FRHF (5х35) 1</v>
      </c>
      <c r="AK114" s="14" t="s">
        <v>93</v>
      </c>
      <c r="AL114" t="s">
        <v>147</v>
      </c>
      <c r="AM114">
        <v>5</v>
      </c>
      <c r="AN114">
        <v>35</v>
      </c>
      <c r="AO114">
        <v>1</v>
      </c>
    </row>
    <row r="115" spans="36:41" x14ac:dyDescent="0.3">
      <c r="AJ115" s="13" t="str">
        <f t="shared" si="3"/>
        <v>ППГнг(А)-FRHF (5х35) 1</v>
      </c>
      <c r="AK115" s="14" t="s">
        <v>94</v>
      </c>
      <c r="AL115" t="s">
        <v>147</v>
      </c>
      <c r="AM115">
        <v>5</v>
      </c>
      <c r="AN115">
        <v>35</v>
      </c>
      <c r="AO115">
        <v>1</v>
      </c>
    </row>
    <row r="116" spans="36:41" x14ac:dyDescent="0.3">
      <c r="AJ116" s="13" t="str">
        <f t="shared" si="3"/>
        <v>ППГнг(А)-FRHF (5х50) 1</v>
      </c>
      <c r="AK116" s="14" t="s">
        <v>95</v>
      </c>
      <c r="AL116" t="s">
        <v>147</v>
      </c>
      <c r="AM116">
        <v>5</v>
      </c>
      <c r="AN116">
        <v>50</v>
      </c>
      <c r="AO116">
        <v>1</v>
      </c>
    </row>
    <row r="117" spans="36:41" x14ac:dyDescent="0.3">
      <c r="AJ117" s="13" t="str">
        <f t="shared" si="3"/>
        <v>ППГнг(А)-FRHF (5х50) 2</v>
      </c>
      <c r="AK117" s="14" t="s">
        <v>96</v>
      </c>
      <c r="AL117" t="s">
        <v>147</v>
      </c>
      <c r="AM117">
        <v>5</v>
      </c>
      <c r="AN117">
        <v>50</v>
      </c>
      <c r="AO117">
        <v>2</v>
      </c>
    </row>
    <row r="118" spans="36:41" x14ac:dyDescent="0.3">
      <c r="AJ118" s="13" t="str">
        <f t="shared" si="3"/>
        <v>ППГнг(А)-FRHF (5х95) 1</v>
      </c>
      <c r="AK118" s="14" t="s">
        <v>97</v>
      </c>
      <c r="AL118" t="s">
        <v>147</v>
      </c>
      <c r="AM118">
        <v>5</v>
      </c>
      <c r="AN118">
        <v>95</v>
      </c>
      <c r="AO118">
        <v>1</v>
      </c>
    </row>
    <row r="119" spans="36:41" x14ac:dyDescent="0.3">
      <c r="AJ119" s="13" t="str">
        <f t="shared" si="3"/>
        <v>ППГнг(А)-FRHF (5х95) 2</v>
      </c>
      <c r="AK119" s="14" t="s">
        <v>98</v>
      </c>
      <c r="AL119" t="s">
        <v>147</v>
      </c>
      <c r="AM119">
        <v>5</v>
      </c>
      <c r="AN119">
        <v>95</v>
      </c>
      <c r="AO119">
        <v>2</v>
      </c>
    </row>
    <row r="120" spans="36:41" x14ac:dyDescent="0.3">
      <c r="AJ120" s="13" t="str">
        <f t="shared" si="3"/>
        <v>ППГнг(А)-FRHF (5х120) 1</v>
      </c>
      <c r="AK120" s="14" t="s">
        <v>99</v>
      </c>
      <c r="AL120" t="s">
        <v>147</v>
      </c>
      <c r="AM120">
        <v>5</v>
      </c>
      <c r="AN120">
        <v>120</v>
      </c>
      <c r="AO120">
        <v>1</v>
      </c>
    </row>
    <row r="121" spans="36:41" x14ac:dyDescent="0.3">
      <c r="AJ121" s="13" t="str">
        <f t="shared" si="3"/>
        <v>ППГнг(А)-FRHF (5х120) 2</v>
      </c>
      <c r="AK121" s="14" t="s">
        <v>100</v>
      </c>
      <c r="AL121" t="s">
        <v>147</v>
      </c>
      <c r="AM121">
        <v>5</v>
      </c>
      <c r="AN121">
        <v>120</v>
      </c>
      <c r="AO121">
        <v>2</v>
      </c>
    </row>
    <row r="122" spans="36:41" x14ac:dyDescent="0.3">
      <c r="AJ122" s="13" t="str">
        <f t="shared" si="3"/>
        <v>ППГнг(А)-HF (2х1,5) 1</v>
      </c>
      <c r="AK122" s="14" t="s">
        <v>67</v>
      </c>
      <c r="AL122" t="s">
        <v>149</v>
      </c>
      <c r="AM122">
        <v>2</v>
      </c>
      <c r="AN122">
        <v>1.5</v>
      </c>
      <c r="AO122">
        <v>1</v>
      </c>
    </row>
    <row r="123" spans="36:41" x14ac:dyDescent="0.3">
      <c r="AJ123" s="13" t="str">
        <f t="shared" si="3"/>
        <v>ППГнг(А)-HF (2х1,5) 2</v>
      </c>
      <c r="AK123" s="14" t="s">
        <v>68</v>
      </c>
      <c r="AL123" t="s">
        <v>149</v>
      </c>
      <c r="AM123">
        <v>2</v>
      </c>
      <c r="AN123">
        <v>1.5</v>
      </c>
      <c r="AO123">
        <v>2</v>
      </c>
    </row>
    <row r="124" spans="36:41" x14ac:dyDescent="0.3">
      <c r="AJ124" s="13" t="str">
        <f t="shared" si="3"/>
        <v>ППГнг(А)-HF (2х2,5) 1</v>
      </c>
      <c r="AK124" s="14" t="s">
        <v>69</v>
      </c>
      <c r="AL124" t="s">
        <v>149</v>
      </c>
      <c r="AM124">
        <v>2</v>
      </c>
      <c r="AN124">
        <v>2.5</v>
      </c>
      <c r="AO124">
        <v>1</v>
      </c>
    </row>
    <row r="125" spans="36:41" x14ac:dyDescent="0.3">
      <c r="AJ125" s="13" t="str">
        <f t="shared" si="3"/>
        <v>ППГнг(А)-HF (2х2,5) 2</v>
      </c>
      <c r="AK125" s="14" t="s">
        <v>70</v>
      </c>
      <c r="AL125" t="s">
        <v>149</v>
      </c>
      <c r="AM125">
        <v>2</v>
      </c>
      <c r="AN125">
        <v>2.5</v>
      </c>
      <c r="AO125">
        <v>2</v>
      </c>
    </row>
    <row r="126" spans="36:41" x14ac:dyDescent="0.3">
      <c r="AJ126" s="13" t="str">
        <f t="shared" si="3"/>
        <v>ППГнг(А)-HF (3х1,5) 1</v>
      </c>
      <c r="AK126" s="14" t="s">
        <v>71</v>
      </c>
      <c r="AL126" t="s">
        <v>149</v>
      </c>
      <c r="AM126">
        <v>3</v>
      </c>
      <c r="AN126">
        <v>1.5</v>
      </c>
      <c r="AO126">
        <v>1</v>
      </c>
    </row>
    <row r="127" spans="36:41" x14ac:dyDescent="0.3">
      <c r="AJ127" s="13" t="str">
        <f t="shared" si="3"/>
        <v>ППГнг(А)-HF (3х1,5) 2</v>
      </c>
      <c r="AK127" s="14" t="s">
        <v>72</v>
      </c>
      <c r="AL127" t="s">
        <v>149</v>
      </c>
      <c r="AM127">
        <v>3</v>
      </c>
      <c r="AN127">
        <v>1.5</v>
      </c>
      <c r="AO127">
        <v>2</v>
      </c>
    </row>
    <row r="128" spans="36:41" x14ac:dyDescent="0.3">
      <c r="AJ128" s="13" t="str">
        <f t="shared" si="3"/>
        <v>ППГнг(А)-HF (3х2,5) 1</v>
      </c>
      <c r="AK128" s="14" t="s">
        <v>73</v>
      </c>
      <c r="AL128" t="s">
        <v>149</v>
      </c>
      <c r="AM128">
        <v>3</v>
      </c>
      <c r="AN128">
        <v>2.5</v>
      </c>
      <c r="AO128">
        <v>1</v>
      </c>
    </row>
    <row r="129" spans="36:41" x14ac:dyDescent="0.3">
      <c r="AJ129" s="13" t="str">
        <f t="shared" si="3"/>
        <v>ППГнг(А)-HF (3х2,5) 2</v>
      </c>
      <c r="AK129" s="14" t="s">
        <v>74</v>
      </c>
      <c r="AL129" t="s">
        <v>149</v>
      </c>
      <c r="AM129">
        <v>3</v>
      </c>
      <c r="AN129">
        <v>2.5</v>
      </c>
      <c r="AO129">
        <v>2</v>
      </c>
    </row>
    <row r="130" spans="36:41" x14ac:dyDescent="0.3">
      <c r="AJ130" s="13" t="str">
        <f t="shared" si="3"/>
        <v>ППГнг(А)-HF (3х4) 1</v>
      </c>
      <c r="AK130" s="14" t="s">
        <v>75</v>
      </c>
      <c r="AL130" t="s">
        <v>149</v>
      </c>
      <c r="AM130">
        <v>3</v>
      </c>
      <c r="AN130">
        <v>4</v>
      </c>
      <c r="AO130">
        <v>1</v>
      </c>
    </row>
    <row r="131" spans="36:41" x14ac:dyDescent="0.3">
      <c r="AJ131" s="13" t="str">
        <f t="shared" si="3"/>
        <v>ППГнг(А)-HF (3х4) 2</v>
      </c>
      <c r="AK131" s="14" t="s">
        <v>76</v>
      </c>
      <c r="AL131" t="s">
        <v>149</v>
      </c>
      <c r="AM131">
        <v>3</v>
      </c>
      <c r="AN131">
        <v>4</v>
      </c>
      <c r="AO131">
        <v>2</v>
      </c>
    </row>
    <row r="132" spans="36:41" x14ac:dyDescent="0.3">
      <c r="AJ132" s="13" t="str">
        <f t="shared" si="3"/>
        <v>ППГнг(А)-HF (3х6) 1</v>
      </c>
      <c r="AK132" s="14" t="s">
        <v>77</v>
      </c>
      <c r="AL132" t="s">
        <v>149</v>
      </c>
      <c r="AM132">
        <v>3</v>
      </c>
      <c r="AN132">
        <v>6</v>
      </c>
      <c r="AO132">
        <v>1</v>
      </c>
    </row>
    <row r="133" spans="36:41" x14ac:dyDescent="0.3">
      <c r="AJ133" s="13" t="str">
        <f t="shared" ref="AJ133:AJ193" si="4">AL133&amp;" ("&amp;AM133&amp;"х"&amp;AN133&amp;") "&amp;AO133</f>
        <v>ППГнг(А)-HF (3х6) 2</v>
      </c>
      <c r="AK133" s="14" t="s">
        <v>78</v>
      </c>
      <c r="AL133" t="s">
        <v>149</v>
      </c>
      <c r="AM133">
        <v>3</v>
      </c>
      <c r="AN133">
        <v>6</v>
      </c>
      <c r="AO133">
        <v>2</v>
      </c>
    </row>
    <row r="134" spans="36:41" x14ac:dyDescent="0.3">
      <c r="AJ134" s="13" t="str">
        <f t="shared" si="4"/>
        <v>ППГнг(А)-HF (5х1,5) 1</v>
      </c>
      <c r="AK134" s="14" t="s">
        <v>79</v>
      </c>
      <c r="AL134" t="s">
        <v>149</v>
      </c>
      <c r="AM134">
        <v>5</v>
      </c>
      <c r="AN134">
        <v>1.5</v>
      </c>
      <c r="AO134">
        <v>1</v>
      </c>
    </row>
    <row r="135" spans="36:41" x14ac:dyDescent="0.3">
      <c r="AJ135" s="13" t="str">
        <f t="shared" si="4"/>
        <v>ППГнг(А)-HF (5х1,5) 2</v>
      </c>
      <c r="AK135" s="14" t="s">
        <v>80</v>
      </c>
      <c r="AL135" t="s">
        <v>149</v>
      </c>
      <c r="AM135">
        <v>5</v>
      </c>
      <c r="AN135">
        <v>1.5</v>
      </c>
      <c r="AO135">
        <v>2</v>
      </c>
    </row>
    <row r="136" spans="36:41" x14ac:dyDescent="0.3">
      <c r="AJ136" s="13" t="str">
        <f t="shared" si="4"/>
        <v>ППГнг(А)-HF (5х2,5) 1</v>
      </c>
      <c r="AK136" s="14" t="s">
        <v>81</v>
      </c>
      <c r="AL136" t="s">
        <v>149</v>
      </c>
      <c r="AM136">
        <v>5</v>
      </c>
      <c r="AN136">
        <v>2.5</v>
      </c>
      <c r="AO136">
        <v>1</v>
      </c>
    </row>
    <row r="137" spans="36:41" x14ac:dyDescent="0.3">
      <c r="AJ137" s="13" t="str">
        <f t="shared" si="4"/>
        <v>ППГнг(А)-HF (5х2,5) 2</v>
      </c>
      <c r="AK137" s="14" t="s">
        <v>82</v>
      </c>
      <c r="AL137" t="s">
        <v>149</v>
      </c>
      <c r="AM137">
        <v>5</v>
      </c>
      <c r="AN137">
        <v>2.5</v>
      </c>
      <c r="AO137">
        <v>2</v>
      </c>
    </row>
    <row r="138" spans="36:41" x14ac:dyDescent="0.3">
      <c r="AJ138" s="13" t="str">
        <f t="shared" si="4"/>
        <v>ППГнг(А)-HF (5х4) 1</v>
      </c>
      <c r="AK138" s="14" t="s">
        <v>83</v>
      </c>
      <c r="AL138" t="s">
        <v>149</v>
      </c>
      <c r="AM138">
        <v>5</v>
      </c>
      <c r="AN138">
        <v>4</v>
      </c>
      <c r="AO138">
        <v>1</v>
      </c>
    </row>
    <row r="139" spans="36:41" x14ac:dyDescent="0.3">
      <c r="AJ139" s="13" t="str">
        <f t="shared" si="4"/>
        <v>ППГнг(А)-HF (5х4) 2</v>
      </c>
      <c r="AK139" s="14" t="s">
        <v>84</v>
      </c>
      <c r="AL139" t="s">
        <v>149</v>
      </c>
      <c r="AM139">
        <v>5</v>
      </c>
      <c r="AN139">
        <v>4</v>
      </c>
      <c r="AO139">
        <v>2</v>
      </c>
    </row>
    <row r="140" spans="36:41" x14ac:dyDescent="0.3">
      <c r="AJ140" s="13" t="str">
        <f t="shared" si="4"/>
        <v>ППГнг(А)-HF (5х6) 1</v>
      </c>
      <c r="AK140" s="14" t="s">
        <v>85</v>
      </c>
      <c r="AL140" t="s">
        <v>149</v>
      </c>
      <c r="AM140">
        <v>5</v>
      </c>
      <c r="AN140">
        <v>6</v>
      </c>
      <c r="AO140">
        <v>1</v>
      </c>
    </row>
    <row r="141" spans="36:41" x14ac:dyDescent="0.3">
      <c r="AJ141" s="13" t="str">
        <f t="shared" si="4"/>
        <v>ППГнг(А)-HF (5х6) 2</v>
      </c>
      <c r="AK141" s="14" t="s">
        <v>86</v>
      </c>
      <c r="AL141" t="s">
        <v>149</v>
      </c>
      <c r="AM141">
        <v>5</v>
      </c>
      <c r="AN141">
        <v>6</v>
      </c>
      <c r="AO141">
        <v>2</v>
      </c>
    </row>
    <row r="142" spans="36:41" x14ac:dyDescent="0.3">
      <c r="AJ142" s="13" t="str">
        <f t="shared" si="4"/>
        <v>ППГнг(А)-HF (5х10) 1</v>
      </c>
      <c r="AK142" s="14" t="s">
        <v>87</v>
      </c>
      <c r="AL142" t="s">
        <v>149</v>
      </c>
      <c r="AM142">
        <v>5</v>
      </c>
      <c r="AN142">
        <v>10</v>
      </c>
      <c r="AO142">
        <v>1</v>
      </c>
    </row>
    <row r="143" spans="36:41" x14ac:dyDescent="0.3">
      <c r="AJ143" s="13" t="str">
        <f t="shared" si="4"/>
        <v>ППГнг(А)-HF (5х10) 2</v>
      </c>
      <c r="AK143" s="14" t="s">
        <v>88</v>
      </c>
      <c r="AL143" t="s">
        <v>149</v>
      </c>
      <c r="AM143">
        <v>5</v>
      </c>
      <c r="AN143">
        <v>10</v>
      </c>
      <c r="AO143">
        <v>2</v>
      </c>
    </row>
    <row r="144" spans="36:41" x14ac:dyDescent="0.3">
      <c r="AJ144" s="13" t="str">
        <f t="shared" si="4"/>
        <v>ППГнг(А)-HF (5х16) 1</v>
      </c>
      <c r="AK144" s="14" t="s">
        <v>89</v>
      </c>
      <c r="AL144" t="s">
        <v>149</v>
      </c>
      <c r="AM144">
        <v>5</v>
      </c>
      <c r="AN144">
        <v>16</v>
      </c>
      <c r="AO144">
        <v>1</v>
      </c>
    </row>
    <row r="145" spans="36:41" x14ac:dyDescent="0.3">
      <c r="AJ145" s="13" t="str">
        <f t="shared" si="4"/>
        <v>ППГнг(А)-HF (5х16) 2</v>
      </c>
      <c r="AK145" s="14" t="s">
        <v>90</v>
      </c>
      <c r="AL145" t="s">
        <v>149</v>
      </c>
      <c r="AM145">
        <v>5</v>
      </c>
      <c r="AN145">
        <v>16</v>
      </c>
      <c r="AO145">
        <v>2</v>
      </c>
    </row>
    <row r="146" spans="36:41" x14ac:dyDescent="0.3">
      <c r="AJ146" s="13" t="str">
        <f t="shared" si="4"/>
        <v>ППГнг(А)-HF (5х25) 1</v>
      </c>
      <c r="AK146" s="14" t="s">
        <v>91</v>
      </c>
      <c r="AL146" t="s">
        <v>149</v>
      </c>
      <c r="AM146">
        <v>5</v>
      </c>
      <c r="AN146">
        <v>25</v>
      </c>
      <c r="AO146">
        <v>1</v>
      </c>
    </row>
    <row r="147" spans="36:41" x14ac:dyDescent="0.3">
      <c r="AJ147" s="13" t="str">
        <f t="shared" si="4"/>
        <v>ППГнг(А)-HF (5х25) 2</v>
      </c>
      <c r="AK147" s="14" t="s">
        <v>92</v>
      </c>
      <c r="AL147" t="s">
        <v>149</v>
      </c>
      <c r="AM147">
        <v>5</v>
      </c>
      <c r="AN147">
        <v>25</v>
      </c>
      <c r="AO147">
        <v>2</v>
      </c>
    </row>
    <row r="148" spans="36:41" x14ac:dyDescent="0.3">
      <c r="AJ148" s="13" t="str">
        <f t="shared" si="4"/>
        <v>ППГнг(А)-HF (5х35) 1</v>
      </c>
      <c r="AK148" s="14" t="s">
        <v>93</v>
      </c>
      <c r="AL148" t="s">
        <v>149</v>
      </c>
      <c r="AM148">
        <v>5</v>
      </c>
      <c r="AN148">
        <v>35</v>
      </c>
      <c r="AO148">
        <v>1</v>
      </c>
    </row>
    <row r="149" spans="36:41" x14ac:dyDescent="0.3">
      <c r="AJ149" s="13" t="str">
        <f t="shared" si="4"/>
        <v>ППГнг(А)-HF (5х35) 2</v>
      </c>
      <c r="AK149" s="14" t="s">
        <v>94</v>
      </c>
      <c r="AL149" t="s">
        <v>149</v>
      </c>
      <c r="AM149">
        <v>5</v>
      </c>
      <c r="AN149">
        <v>35</v>
      </c>
      <c r="AO149">
        <v>2</v>
      </c>
    </row>
    <row r="150" spans="36:41" x14ac:dyDescent="0.3">
      <c r="AJ150" s="13" t="str">
        <f t="shared" si="4"/>
        <v>ППГнг(А)-HF (5х50) 1</v>
      </c>
      <c r="AK150" s="14" t="s">
        <v>95</v>
      </c>
      <c r="AL150" t="s">
        <v>149</v>
      </c>
      <c r="AM150">
        <v>5</v>
      </c>
      <c r="AN150">
        <v>50</v>
      </c>
      <c r="AO150">
        <v>1</v>
      </c>
    </row>
    <row r="151" spans="36:41" x14ac:dyDescent="0.3">
      <c r="AJ151" s="13" t="str">
        <f t="shared" si="4"/>
        <v>ППГнг(А)-HF (5х50) 2</v>
      </c>
      <c r="AK151" s="14" t="s">
        <v>96</v>
      </c>
      <c r="AL151" t="s">
        <v>149</v>
      </c>
      <c r="AM151">
        <v>5</v>
      </c>
      <c r="AN151">
        <v>50</v>
      </c>
      <c r="AO151">
        <v>2</v>
      </c>
    </row>
    <row r="152" spans="36:41" x14ac:dyDescent="0.3">
      <c r="AJ152" s="13" t="str">
        <f t="shared" si="4"/>
        <v>ППГнг(А)-HF (5х95) 1</v>
      </c>
      <c r="AK152" s="14" t="s">
        <v>97</v>
      </c>
      <c r="AL152" t="s">
        <v>149</v>
      </c>
      <c r="AM152">
        <v>5</v>
      </c>
      <c r="AN152">
        <v>95</v>
      </c>
      <c r="AO152">
        <v>1</v>
      </c>
    </row>
    <row r="153" spans="36:41" x14ac:dyDescent="0.3">
      <c r="AJ153" s="13" t="str">
        <f t="shared" si="4"/>
        <v>ППГнг(А)-HF (5х95) 2</v>
      </c>
      <c r="AK153" s="14" t="s">
        <v>98</v>
      </c>
      <c r="AL153" t="s">
        <v>149</v>
      </c>
      <c r="AM153">
        <v>5</v>
      </c>
      <c r="AN153">
        <v>95</v>
      </c>
      <c r="AO153">
        <v>2</v>
      </c>
    </row>
    <row r="154" spans="36:41" x14ac:dyDescent="0.3">
      <c r="AJ154" s="13" t="str">
        <f t="shared" si="4"/>
        <v>ППГнг(А)-HF (5х120) 1</v>
      </c>
      <c r="AK154" s="14" t="s">
        <v>99</v>
      </c>
      <c r="AL154" t="s">
        <v>149</v>
      </c>
      <c r="AM154">
        <v>5</v>
      </c>
      <c r="AN154">
        <v>120</v>
      </c>
      <c r="AO154">
        <v>1</v>
      </c>
    </row>
    <row r="155" spans="36:41" x14ac:dyDescent="0.3">
      <c r="AJ155" s="13" t="str">
        <f t="shared" si="4"/>
        <v>ППГнг(А)-HF (5х120) 2</v>
      </c>
      <c r="AK155" s="14" t="s">
        <v>100</v>
      </c>
      <c r="AL155" t="s">
        <v>149</v>
      </c>
      <c r="AM155">
        <v>5</v>
      </c>
      <c r="AN155">
        <v>120</v>
      </c>
      <c r="AO155">
        <v>2</v>
      </c>
    </row>
    <row r="156" spans="36:41" x14ac:dyDescent="0.3">
      <c r="AJ156" s="13" t="str">
        <f t="shared" si="4"/>
        <v>ВВГнг(А)-FRLS (2х1,5) 1</v>
      </c>
      <c r="AK156" s="14" t="s">
        <v>67</v>
      </c>
      <c r="AL156" t="s">
        <v>152</v>
      </c>
      <c r="AM156">
        <v>2</v>
      </c>
      <c r="AN156">
        <v>1.5</v>
      </c>
      <c r="AO156">
        <v>1</v>
      </c>
    </row>
    <row r="157" spans="36:41" x14ac:dyDescent="0.3">
      <c r="AJ157" s="13" t="str">
        <f t="shared" si="4"/>
        <v>ВВГнг(А)-FRLS (2х1,5) 2</v>
      </c>
      <c r="AK157" s="14" t="s">
        <v>68</v>
      </c>
      <c r="AL157" t="s">
        <v>152</v>
      </c>
      <c r="AM157">
        <v>2</v>
      </c>
      <c r="AN157">
        <v>1.5</v>
      </c>
      <c r="AO157">
        <v>2</v>
      </c>
    </row>
    <row r="158" spans="36:41" x14ac:dyDescent="0.3">
      <c r="AJ158" s="13" t="str">
        <f t="shared" si="4"/>
        <v>ВВГнг(А)-FRLS (2х2,5) 1</v>
      </c>
      <c r="AK158" s="14" t="s">
        <v>69</v>
      </c>
      <c r="AL158" t="s">
        <v>152</v>
      </c>
      <c r="AM158">
        <v>2</v>
      </c>
      <c r="AN158">
        <v>2.5</v>
      </c>
      <c r="AO158">
        <v>1</v>
      </c>
    </row>
    <row r="159" spans="36:41" x14ac:dyDescent="0.3">
      <c r="AJ159" s="13" t="str">
        <f t="shared" si="4"/>
        <v>ВВГнг(А)-FRLS (2х2,5) 2</v>
      </c>
      <c r="AK159" s="14" t="s">
        <v>70</v>
      </c>
      <c r="AL159" t="s">
        <v>152</v>
      </c>
      <c r="AM159">
        <v>2</v>
      </c>
      <c r="AN159">
        <v>2.5</v>
      </c>
      <c r="AO159">
        <v>2</v>
      </c>
    </row>
    <row r="160" spans="36:41" x14ac:dyDescent="0.3">
      <c r="AJ160" s="13" t="str">
        <f t="shared" si="4"/>
        <v>ВВГнг(А)-FRLS (3х1,5) 1</v>
      </c>
      <c r="AK160" s="14" t="s">
        <v>71</v>
      </c>
      <c r="AL160" t="s">
        <v>152</v>
      </c>
      <c r="AM160">
        <v>3</v>
      </c>
      <c r="AN160">
        <v>1.5</v>
      </c>
      <c r="AO160">
        <v>1</v>
      </c>
    </row>
    <row r="161" spans="36:41" x14ac:dyDescent="0.3">
      <c r="AJ161" s="13" t="str">
        <f t="shared" si="4"/>
        <v>ВВГнг(А)-FRLS (3х1,5) 2</v>
      </c>
      <c r="AK161" s="14" t="s">
        <v>72</v>
      </c>
      <c r="AL161" t="s">
        <v>152</v>
      </c>
      <c r="AM161">
        <v>3</v>
      </c>
      <c r="AN161">
        <v>1.5</v>
      </c>
      <c r="AO161">
        <v>2</v>
      </c>
    </row>
    <row r="162" spans="36:41" x14ac:dyDescent="0.3">
      <c r="AJ162" s="13" t="str">
        <f t="shared" si="4"/>
        <v>ВВГнг(А)-FRLS (3х2,5) 1</v>
      </c>
      <c r="AK162" s="14" t="s">
        <v>73</v>
      </c>
      <c r="AL162" t="s">
        <v>152</v>
      </c>
      <c r="AM162">
        <v>3</v>
      </c>
      <c r="AN162">
        <v>2.5</v>
      </c>
      <c r="AO162">
        <v>1</v>
      </c>
    </row>
    <row r="163" spans="36:41" x14ac:dyDescent="0.3">
      <c r="AJ163" s="13" t="str">
        <f t="shared" si="4"/>
        <v>ВВГнг(А)-FRLS (3х2,5) 2</v>
      </c>
      <c r="AK163" s="14" t="s">
        <v>74</v>
      </c>
      <c r="AL163" t="s">
        <v>152</v>
      </c>
      <c r="AM163">
        <v>3</v>
      </c>
      <c r="AN163">
        <v>2.5</v>
      </c>
      <c r="AO163">
        <v>2</v>
      </c>
    </row>
    <row r="164" spans="36:41" x14ac:dyDescent="0.3">
      <c r="AJ164" s="13" t="str">
        <f t="shared" si="4"/>
        <v>ВВГнг(А)-FRLS (3х4) 1</v>
      </c>
      <c r="AK164" s="14" t="s">
        <v>75</v>
      </c>
      <c r="AL164" t="s">
        <v>152</v>
      </c>
      <c r="AM164">
        <v>3</v>
      </c>
      <c r="AN164">
        <v>4</v>
      </c>
      <c r="AO164">
        <v>1</v>
      </c>
    </row>
    <row r="165" spans="36:41" x14ac:dyDescent="0.3">
      <c r="AJ165" s="13" t="str">
        <f t="shared" si="4"/>
        <v>ВВГнг(А)-FRLS (3х4) 2</v>
      </c>
      <c r="AK165" s="14" t="s">
        <v>76</v>
      </c>
      <c r="AL165" t="s">
        <v>152</v>
      </c>
      <c r="AM165">
        <v>3</v>
      </c>
      <c r="AN165">
        <v>4</v>
      </c>
      <c r="AO165">
        <v>2</v>
      </c>
    </row>
    <row r="166" spans="36:41" x14ac:dyDescent="0.3">
      <c r="AJ166" s="13" t="str">
        <f t="shared" si="4"/>
        <v>ВВГнг(А)-FRLS (3х6) 1</v>
      </c>
      <c r="AK166" s="14" t="s">
        <v>77</v>
      </c>
      <c r="AL166" t="s">
        <v>152</v>
      </c>
      <c r="AM166">
        <v>3</v>
      </c>
      <c r="AN166">
        <v>6</v>
      </c>
      <c r="AO166">
        <v>1</v>
      </c>
    </row>
    <row r="167" spans="36:41" x14ac:dyDescent="0.3">
      <c r="AJ167" s="13" t="str">
        <f t="shared" si="4"/>
        <v>ВВГнг(А)-FRLS (3х6) 2</v>
      </c>
      <c r="AK167" s="14" t="s">
        <v>78</v>
      </c>
      <c r="AL167" t="s">
        <v>152</v>
      </c>
      <c r="AM167">
        <v>3</v>
      </c>
      <c r="AN167">
        <v>6</v>
      </c>
      <c r="AO167">
        <v>2</v>
      </c>
    </row>
    <row r="168" spans="36:41" x14ac:dyDescent="0.3">
      <c r="AJ168" s="13" t="str">
        <f t="shared" si="4"/>
        <v>ВВГнг(А)-FRLS (5х1,5) 1</v>
      </c>
      <c r="AK168" s="14" t="s">
        <v>79</v>
      </c>
      <c r="AL168" t="s">
        <v>152</v>
      </c>
      <c r="AM168">
        <v>5</v>
      </c>
      <c r="AN168">
        <v>1.5</v>
      </c>
      <c r="AO168">
        <v>1</v>
      </c>
    </row>
    <row r="169" spans="36:41" x14ac:dyDescent="0.3">
      <c r="AJ169" s="13" t="str">
        <f t="shared" si="4"/>
        <v>ВВГнг(А)-FRLS (5х1,5) 2</v>
      </c>
      <c r="AK169" s="14" t="s">
        <v>80</v>
      </c>
      <c r="AL169" t="s">
        <v>152</v>
      </c>
      <c r="AM169">
        <v>5</v>
      </c>
      <c r="AN169">
        <v>1.5</v>
      </c>
      <c r="AO169">
        <v>2</v>
      </c>
    </row>
    <row r="170" spans="36:41" x14ac:dyDescent="0.3">
      <c r="AJ170" s="13" t="str">
        <f t="shared" si="4"/>
        <v>ВВГнг(А)-FRLS (5х2,5) 1</v>
      </c>
      <c r="AK170" s="14" t="s">
        <v>81</v>
      </c>
      <c r="AL170" t="s">
        <v>152</v>
      </c>
      <c r="AM170">
        <v>5</v>
      </c>
      <c r="AN170">
        <v>2.5</v>
      </c>
      <c r="AO170">
        <v>1</v>
      </c>
    </row>
    <row r="171" spans="36:41" x14ac:dyDescent="0.3">
      <c r="AJ171" s="13" t="str">
        <f t="shared" si="4"/>
        <v>ВВГнг(А)-FRLS (5х2,5) 2</v>
      </c>
      <c r="AK171" s="14" t="s">
        <v>82</v>
      </c>
      <c r="AL171" t="s">
        <v>152</v>
      </c>
      <c r="AM171">
        <v>5</v>
      </c>
      <c r="AN171">
        <v>2.5</v>
      </c>
      <c r="AO171">
        <v>2</v>
      </c>
    </row>
    <row r="172" spans="36:41" x14ac:dyDescent="0.3">
      <c r="AJ172" s="13" t="str">
        <f t="shared" si="4"/>
        <v>ВВГнг(А)-FRLS (5х4) 1</v>
      </c>
      <c r="AK172" s="14" t="s">
        <v>83</v>
      </c>
      <c r="AL172" t="s">
        <v>152</v>
      </c>
      <c r="AM172">
        <v>5</v>
      </c>
      <c r="AN172">
        <v>4</v>
      </c>
      <c r="AO172">
        <v>1</v>
      </c>
    </row>
    <row r="173" spans="36:41" x14ac:dyDescent="0.3">
      <c r="AJ173" s="13" t="str">
        <f t="shared" si="4"/>
        <v>ВВГнг(А)-FRLS (5х4) 1</v>
      </c>
      <c r="AK173" s="14" t="s">
        <v>84</v>
      </c>
      <c r="AL173" t="s">
        <v>152</v>
      </c>
      <c r="AM173">
        <v>5</v>
      </c>
      <c r="AN173">
        <v>4</v>
      </c>
      <c r="AO173">
        <v>1</v>
      </c>
    </row>
    <row r="174" spans="36:41" x14ac:dyDescent="0.3">
      <c r="AJ174" s="13" t="str">
        <f t="shared" si="4"/>
        <v>ВВГнг(А)-FRLS (5х6) 1</v>
      </c>
      <c r="AK174" s="14" t="s">
        <v>85</v>
      </c>
      <c r="AL174" t="s">
        <v>152</v>
      </c>
      <c r="AM174">
        <v>5</v>
      </c>
      <c r="AN174">
        <v>6</v>
      </c>
      <c r="AO174">
        <v>1</v>
      </c>
    </row>
    <row r="175" spans="36:41" x14ac:dyDescent="0.3">
      <c r="AJ175" s="13" t="str">
        <f t="shared" si="4"/>
        <v>ВВГнг(А)-FRLS (5х6) 2</v>
      </c>
      <c r="AK175" s="14" t="s">
        <v>86</v>
      </c>
      <c r="AL175" t="s">
        <v>152</v>
      </c>
      <c r="AM175">
        <v>5</v>
      </c>
      <c r="AN175">
        <v>6</v>
      </c>
      <c r="AO175">
        <v>2</v>
      </c>
    </row>
    <row r="176" spans="36:41" x14ac:dyDescent="0.3">
      <c r="AJ176" s="13" t="str">
        <f t="shared" si="4"/>
        <v>ВВГнг(А)-FRLS (5х10) 1</v>
      </c>
      <c r="AK176" s="14" t="s">
        <v>87</v>
      </c>
      <c r="AL176" t="s">
        <v>152</v>
      </c>
      <c r="AM176">
        <v>5</v>
      </c>
      <c r="AN176">
        <v>10</v>
      </c>
      <c r="AO176">
        <v>1</v>
      </c>
    </row>
    <row r="177" spans="36:41" x14ac:dyDescent="0.3">
      <c r="AJ177" s="13" t="str">
        <f t="shared" si="4"/>
        <v>ВВГнг(А)-FRLS (5х10) 2</v>
      </c>
      <c r="AK177" s="14" t="s">
        <v>88</v>
      </c>
      <c r="AL177" t="s">
        <v>152</v>
      </c>
      <c r="AM177">
        <v>5</v>
      </c>
      <c r="AN177">
        <v>10</v>
      </c>
      <c r="AO177">
        <v>2</v>
      </c>
    </row>
    <row r="178" spans="36:41" x14ac:dyDescent="0.3">
      <c r="AJ178" s="13" t="str">
        <f t="shared" si="4"/>
        <v>ВВГнг(А)-FRLS (5х16) 1</v>
      </c>
      <c r="AK178" s="14" t="s">
        <v>89</v>
      </c>
      <c r="AL178" t="s">
        <v>152</v>
      </c>
      <c r="AM178">
        <v>5</v>
      </c>
      <c r="AN178">
        <v>16</v>
      </c>
      <c r="AO178">
        <v>1</v>
      </c>
    </row>
    <row r="179" spans="36:41" x14ac:dyDescent="0.3">
      <c r="AJ179" s="13" t="str">
        <f t="shared" si="4"/>
        <v>ВВГнг(А)-FRLS (5х16) 2</v>
      </c>
      <c r="AK179" s="14" t="s">
        <v>90</v>
      </c>
      <c r="AL179" t="s">
        <v>152</v>
      </c>
      <c r="AM179">
        <v>5</v>
      </c>
      <c r="AN179">
        <v>16</v>
      </c>
      <c r="AO179">
        <v>2</v>
      </c>
    </row>
    <row r="180" spans="36:41" x14ac:dyDescent="0.3">
      <c r="AJ180" s="13" t="str">
        <f t="shared" si="4"/>
        <v>ВВГнг(А)-FRLS (5х25) 1</v>
      </c>
      <c r="AK180" s="14" t="s">
        <v>91</v>
      </c>
      <c r="AL180" t="s">
        <v>152</v>
      </c>
      <c r="AM180">
        <v>5</v>
      </c>
      <c r="AN180">
        <v>25</v>
      </c>
      <c r="AO180">
        <v>1</v>
      </c>
    </row>
    <row r="181" spans="36:41" x14ac:dyDescent="0.3">
      <c r="AJ181" s="13" t="str">
        <f t="shared" si="4"/>
        <v>ВВГнг(А)-FRLS (5х25) 2</v>
      </c>
      <c r="AK181" s="14" t="s">
        <v>92</v>
      </c>
      <c r="AL181" t="s">
        <v>152</v>
      </c>
      <c r="AM181">
        <v>5</v>
      </c>
      <c r="AN181">
        <v>25</v>
      </c>
      <c r="AO181">
        <v>2</v>
      </c>
    </row>
    <row r="182" spans="36:41" x14ac:dyDescent="0.3">
      <c r="AJ182" s="13" t="str">
        <f t="shared" si="4"/>
        <v>ВВГнг(А)-FRLS (5х35) 1</v>
      </c>
      <c r="AK182" s="14" t="s">
        <v>93</v>
      </c>
      <c r="AL182" t="s">
        <v>152</v>
      </c>
      <c r="AM182">
        <v>5</v>
      </c>
      <c r="AN182">
        <v>35</v>
      </c>
      <c r="AO182">
        <v>1</v>
      </c>
    </row>
    <row r="183" spans="36:41" x14ac:dyDescent="0.3">
      <c r="AJ183" s="13" t="str">
        <f t="shared" si="4"/>
        <v>ВВГнг(А)-FRLS (5х35) 2</v>
      </c>
      <c r="AK183" s="14" t="s">
        <v>94</v>
      </c>
      <c r="AL183" t="s">
        <v>152</v>
      </c>
      <c r="AM183">
        <v>5</v>
      </c>
      <c r="AN183">
        <v>35</v>
      </c>
      <c r="AO183">
        <v>2</v>
      </c>
    </row>
    <row r="184" spans="36:41" x14ac:dyDescent="0.3">
      <c r="AJ184" s="13" t="str">
        <f t="shared" si="4"/>
        <v>ВВГнг(А)-FRLS (5х50) 1</v>
      </c>
      <c r="AK184" s="14" t="s">
        <v>95</v>
      </c>
      <c r="AL184" t="s">
        <v>152</v>
      </c>
      <c r="AM184">
        <v>5</v>
      </c>
      <c r="AN184">
        <v>50</v>
      </c>
      <c r="AO184">
        <v>1</v>
      </c>
    </row>
    <row r="185" spans="36:41" x14ac:dyDescent="0.3">
      <c r="AJ185" s="13" t="str">
        <f t="shared" si="4"/>
        <v>ВВГнг(А)-FRLS (5х50) 2</v>
      </c>
      <c r="AK185" s="14" t="s">
        <v>96</v>
      </c>
      <c r="AL185" t="s">
        <v>152</v>
      </c>
      <c r="AM185">
        <v>5</v>
      </c>
      <c r="AN185">
        <v>50</v>
      </c>
      <c r="AO185">
        <v>2</v>
      </c>
    </row>
    <row r="186" spans="36:41" x14ac:dyDescent="0.3">
      <c r="AJ186" s="13" t="str">
        <f t="shared" si="4"/>
        <v>ВВГнг(А)-FRLS (5х95) 1</v>
      </c>
      <c r="AK186" s="14" t="s">
        <v>97</v>
      </c>
      <c r="AL186" t="s">
        <v>152</v>
      </c>
      <c r="AM186">
        <v>5</v>
      </c>
      <c r="AN186">
        <v>95</v>
      </c>
      <c r="AO186">
        <v>1</v>
      </c>
    </row>
    <row r="187" spans="36:41" x14ac:dyDescent="0.3">
      <c r="AJ187" s="13" t="str">
        <f t="shared" si="4"/>
        <v>ВВГнг(А)-FRLS (5х95) 2</v>
      </c>
      <c r="AK187" s="14" t="s">
        <v>98</v>
      </c>
      <c r="AL187" t="s">
        <v>152</v>
      </c>
      <c r="AM187">
        <v>5</v>
      </c>
      <c r="AN187">
        <v>95</v>
      </c>
      <c r="AO187">
        <v>2</v>
      </c>
    </row>
    <row r="188" spans="36:41" x14ac:dyDescent="0.3">
      <c r="AJ188" s="13" t="str">
        <f t="shared" si="4"/>
        <v>ВВГнг(А)-FRLS (5х120) 1</v>
      </c>
      <c r="AK188" s="14" t="s">
        <v>99</v>
      </c>
      <c r="AL188" t="s">
        <v>152</v>
      </c>
      <c r="AM188">
        <v>5</v>
      </c>
      <c r="AN188">
        <v>120</v>
      </c>
      <c r="AO188">
        <v>1</v>
      </c>
    </row>
    <row r="189" spans="36:41" x14ac:dyDescent="0.3">
      <c r="AJ189" s="13" t="str">
        <f t="shared" si="4"/>
        <v>ВВГнг(А)-FRLS (5х120) 2</v>
      </c>
      <c r="AK189" s="14" t="s">
        <v>100</v>
      </c>
      <c r="AL189" t="s">
        <v>152</v>
      </c>
      <c r="AM189">
        <v>5</v>
      </c>
      <c r="AN189">
        <v>120</v>
      </c>
      <c r="AO189">
        <v>2</v>
      </c>
    </row>
    <row r="190" spans="36:41" x14ac:dyDescent="0.3">
      <c r="AJ190" s="13" t="str">
        <f t="shared" si="4"/>
        <v>ВВГнг(А)-FRLS (5х95) 1</v>
      </c>
      <c r="AK190" s="14" t="s">
        <v>101</v>
      </c>
      <c r="AL190" t="s">
        <v>152</v>
      </c>
      <c r="AM190">
        <v>5</v>
      </c>
      <c r="AN190">
        <v>95</v>
      </c>
      <c r="AO190">
        <v>1</v>
      </c>
    </row>
    <row r="191" spans="36:41" x14ac:dyDescent="0.3">
      <c r="AJ191" s="13" t="str">
        <f t="shared" si="4"/>
        <v>ВВГнг(А)-FRLS (5х95) 2</v>
      </c>
      <c r="AK191" s="14" t="s">
        <v>102</v>
      </c>
      <c r="AL191" t="s">
        <v>152</v>
      </c>
      <c r="AM191">
        <v>5</v>
      </c>
      <c r="AN191">
        <v>95</v>
      </c>
      <c r="AO191">
        <v>2</v>
      </c>
    </row>
    <row r="192" spans="36:41" x14ac:dyDescent="0.3">
      <c r="AJ192" s="13" t="str">
        <f t="shared" si="4"/>
        <v>ВВГнг(А)-FRLS (5х120) 1</v>
      </c>
      <c r="AK192" s="14" t="s">
        <v>103</v>
      </c>
      <c r="AL192" t="s">
        <v>152</v>
      </c>
      <c r="AM192">
        <v>5</v>
      </c>
      <c r="AN192">
        <v>120</v>
      </c>
      <c r="AO192">
        <v>1</v>
      </c>
    </row>
    <row r="193" spans="36:41" x14ac:dyDescent="0.3">
      <c r="AJ193" s="13" t="str">
        <f t="shared" si="4"/>
        <v>ВВГнг(А)-FRLS (5х120) 2</v>
      </c>
      <c r="AK193" s="14" t="s">
        <v>104</v>
      </c>
      <c r="AL193" t="s">
        <v>152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42" priority="23"/>
    <cfRule type="expression" dxfId="41" priority="24">
      <formula>_xlfn.ISFORMULA(P9)=TRUE</formula>
    </cfRule>
    <cfRule type="duplicateValues" dxfId="40" priority="25"/>
    <cfRule type="expression" dxfId="39" priority="26">
      <formula>_xlfn.ISFORMULA(P9)=TRUE</formula>
    </cfRule>
  </conditionalFormatting>
  <conditionalFormatting sqref="P12">
    <cfRule type="duplicateValues" dxfId="38" priority="18"/>
    <cfRule type="duplicateValues" dxfId="37" priority="19"/>
    <cfRule type="duplicateValues" dxfId="36" priority="20"/>
    <cfRule type="duplicateValues" dxfId="35" priority="21"/>
    <cfRule type="expression" dxfId="34" priority="22">
      <formula>_xlfn.ISFORMULA(P12)=TRUE</formula>
    </cfRule>
  </conditionalFormatting>
  <conditionalFormatting sqref="P14">
    <cfRule type="duplicateValues" dxfId="33" priority="14"/>
    <cfRule type="duplicateValues" dxfId="32" priority="15"/>
    <cfRule type="duplicateValues" dxfId="31" priority="16"/>
    <cfRule type="expression" dxfId="30" priority="17">
      <formula>_xlfn.ISFORMULA(P14)=TRUE</formula>
    </cfRule>
  </conditionalFormatting>
  <conditionalFormatting sqref="P18">
    <cfRule type="duplicateValues" dxfId="29" priority="6"/>
    <cfRule type="duplicateValues" dxfId="28" priority="7"/>
    <cfRule type="duplicateValues" dxfId="27" priority="8"/>
    <cfRule type="expression" dxfId="26" priority="9">
      <formula>_xlfn.ISFORMULA(P18)=TRUE</formula>
    </cfRule>
  </conditionalFormatting>
  <conditionalFormatting sqref="P45">
    <cfRule type="duplicateValues" dxfId="25" priority="31"/>
    <cfRule type="duplicateValues" dxfId="24" priority="32"/>
    <cfRule type="duplicateValues" dxfId="23" priority="33"/>
    <cfRule type="expression" dxfId="22" priority="34">
      <formula>_xlfn.ISFORMULA(P45)=TRUE</formula>
    </cfRule>
  </conditionalFormatting>
  <conditionalFormatting sqref="Q14">
    <cfRule type="duplicateValues" dxfId="21" priority="10"/>
    <cfRule type="duplicateValues" dxfId="20" priority="11"/>
    <cfRule type="duplicateValues" dxfId="19" priority="12"/>
    <cfRule type="expression" dxfId="18" priority="13">
      <formula>_xlfn.ISFORMULA(Q14)=TRUE</formula>
    </cfRule>
  </conditionalFormatting>
  <conditionalFormatting sqref="Q22:Q25">
    <cfRule type="expression" dxfId="17" priority="2">
      <formula>_xlfn.ISFORMULA(Q22)=TRUE</formula>
    </cfRule>
  </conditionalFormatting>
  <conditionalFormatting sqref="Q28">
    <cfRule type="expression" dxfId="16" priority="1">
      <formula>_xlfn.ISFORMULA(Q28)=TRUE</formula>
    </cfRule>
  </conditionalFormatting>
  <conditionalFormatting sqref="AV4:AV51">
    <cfRule type="expression" dxfId="15" priority="35">
      <formula>AND($AU4&lt;&gt;"",$AV4="")</formula>
    </cfRule>
  </conditionalFormatting>
  <dataValidations count="3">
    <dataValidation type="list" allowBlank="1" sqref="AV4:AV72" xr:uid="{00000000-0002-0000-0100-000000000000}">
      <formula1>$BA$4:$BA$30</formula1>
    </dataValidation>
    <dataValidation type="list" allowBlank="1" sqref="AW4:AW72" xr:uid="{00000000-0002-0000-0100-000001000000}">
      <formula1>"да,нет"</formula1>
    </dataValidation>
    <dataValidation type="list" allowBlank="1" showInputMessage="1" showErrorMessage="1" sqref="BD4:BD51" xr:uid="{EF339BF2-DB48-46C9-A064-E861B2534CC7}">
      <formula1>"да,нет"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22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22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3" t="s">
        <v>161</v>
      </c>
      <c r="C2" s="20"/>
      <c r="D2" s="20"/>
      <c r="E2" s="20"/>
      <c r="F2" s="20"/>
      <c r="M2" s="3" t="s">
        <v>162</v>
      </c>
      <c r="Q2" s="3" t="s">
        <v>172</v>
      </c>
      <c r="Z2" s="3" t="s">
        <v>179</v>
      </c>
      <c r="AA2" t="s">
        <v>180</v>
      </c>
      <c r="AD2" s="3" t="s">
        <v>178</v>
      </c>
      <c r="AE2" t="s">
        <v>181</v>
      </c>
    </row>
    <row r="3" spans="2:32" x14ac:dyDescent="0.3">
      <c r="B3" s="3" t="s">
        <v>1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158</v>
      </c>
      <c r="H3" s="3" t="s">
        <v>164</v>
      </c>
      <c r="I3" s="3" t="s">
        <v>159</v>
      </c>
      <c r="J3" s="3" t="s">
        <v>163</v>
      </c>
      <c r="K3" s="3" t="s">
        <v>160</v>
      </c>
      <c r="M3" s="3" t="s">
        <v>1</v>
      </c>
      <c r="N3" s="3" t="s">
        <v>165</v>
      </c>
      <c r="O3" s="3" t="s">
        <v>166</v>
      </c>
      <c r="Q3" s="3" t="s">
        <v>29</v>
      </c>
      <c r="R3" s="3" t="s">
        <v>173</v>
      </c>
      <c r="S3" s="3" t="s">
        <v>3</v>
      </c>
      <c r="T3" s="3" t="s">
        <v>9</v>
      </c>
      <c r="U3" s="3" t="s">
        <v>174</v>
      </c>
      <c r="V3" s="3" t="s">
        <v>192</v>
      </c>
      <c r="W3" s="3" t="s">
        <v>202</v>
      </c>
      <c r="X3" s="3" t="s">
        <v>203</v>
      </c>
      <c r="Z3" s="3" t="s">
        <v>177</v>
      </c>
      <c r="AA3" s="3" t="s">
        <v>157</v>
      </c>
      <c r="AB3" s="3" t="s">
        <v>176</v>
      </c>
      <c r="AD3" s="3" t="s">
        <v>177</v>
      </c>
      <c r="AE3" s="3" t="s">
        <v>157</v>
      </c>
      <c r="AF3" s="3" t="s">
        <v>176</v>
      </c>
    </row>
    <row r="4" spans="2:32" x14ac:dyDescent="0.3">
      <c r="B4" s="3">
        <v>0.09</v>
      </c>
      <c r="C4" s="3">
        <v>0.37</v>
      </c>
      <c r="D4" s="3">
        <v>1.67</v>
      </c>
      <c r="E4" s="3">
        <f>ROUNDUP(B4/G4/K4/0.22,2)</f>
        <v>0.85</v>
      </c>
      <c r="F4" s="3">
        <f>ROUNDUP(E4*J4,2)</f>
        <v>2.98</v>
      </c>
      <c r="G4" s="3">
        <v>0.56999999999999995</v>
      </c>
      <c r="H4" s="3">
        <v>4.5</v>
      </c>
      <c r="I4" s="3">
        <v>0.65</v>
      </c>
      <c r="J4" s="3">
        <v>3.5</v>
      </c>
      <c r="K4" s="3">
        <v>0.85</v>
      </c>
      <c r="M4" s="3">
        <v>0.01</v>
      </c>
      <c r="N4" s="3">
        <v>40</v>
      </c>
      <c r="O4" s="3">
        <v>0.11</v>
      </c>
      <c r="Q4" s="3" t="s">
        <v>12</v>
      </c>
      <c r="R4" s="3">
        <v>1</v>
      </c>
      <c r="S4" s="3">
        <v>1.5</v>
      </c>
      <c r="T4" s="21" t="str">
        <f>Q4&amp;" ("&amp;R4&amp;"х"&amp;S4&amp;")"</f>
        <v>ВВГнг(А)-LS (1х1,5)</v>
      </c>
      <c r="U4" s="3">
        <v>5.4</v>
      </c>
      <c r="V4" s="3">
        <f>IF((U4*1.2)&lt;14,14,U4*1.2)</f>
        <v>14</v>
      </c>
      <c r="W4" s="3" t="str">
        <f>"Ø"&amp;VLOOKUP(V4,$Z$4:$AA$10,2,TRUE)</f>
        <v>Ø20</v>
      </c>
      <c r="X4" s="3" t="str">
        <f>"Ø"&amp;VLOOKUP(V4,$AD$4:$AE$10,2,TRUE)</f>
        <v>Ø20</v>
      </c>
      <c r="Z4" s="3">
        <v>0</v>
      </c>
      <c r="AA4" s="3">
        <v>16</v>
      </c>
      <c r="AB4" s="3">
        <v>16</v>
      </c>
      <c r="AD4" s="3">
        <v>0</v>
      </c>
      <c r="AE4" s="3">
        <v>16</v>
      </c>
      <c r="AF4" s="3">
        <v>16</v>
      </c>
    </row>
    <row r="5" spans="2:32" x14ac:dyDescent="0.3">
      <c r="B5" s="3">
        <v>0.12</v>
      </c>
      <c r="C5" s="3">
        <v>0.49</v>
      </c>
      <c r="D5" s="3">
        <v>2.4500000000000002</v>
      </c>
      <c r="E5" s="3">
        <f t="shared" ref="E5:E16" si="0">ROUNDUP(B5/G5/K5/0.22,2)</f>
        <v>1.1300000000000001</v>
      </c>
      <c r="F5" s="3">
        <f t="shared" ref="F5:F16" si="1">ROUNDUP(E5*J5,2)</f>
        <v>3.96</v>
      </c>
      <c r="G5" s="3">
        <v>0.56999999999999995</v>
      </c>
      <c r="H5" s="3">
        <v>5</v>
      </c>
      <c r="I5" s="3">
        <v>0.66</v>
      </c>
      <c r="J5" s="3">
        <v>3.5</v>
      </c>
      <c r="K5" s="3">
        <v>0.85</v>
      </c>
      <c r="M5" s="3">
        <v>1.2E-2</v>
      </c>
      <c r="N5" s="3">
        <v>40</v>
      </c>
      <c r="O5" s="3">
        <v>0.13</v>
      </c>
      <c r="Q5" s="3" t="s">
        <v>12</v>
      </c>
      <c r="R5" s="3">
        <v>2</v>
      </c>
      <c r="S5" s="3">
        <v>1.5</v>
      </c>
      <c r="T5" s="21" t="str">
        <f t="shared" ref="T5:T23" si="2">Q5&amp;" ("&amp;R5&amp;"х"&amp;S5&amp;")"</f>
        <v>ВВГнг(А)-LS (2х1,5)</v>
      </c>
      <c r="U5" s="3">
        <v>9</v>
      </c>
      <c r="V5" s="3">
        <f t="shared" ref="V5:V68" si="3">IF((U5*1.2)&lt;14,14,U5*1.2)</f>
        <v>14</v>
      </c>
      <c r="W5" s="3" t="str">
        <f t="shared" ref="W5:W68" si="4">"Ø"&amp;VLOOKUP(V5,$Z$4:$AA$10,2,TRUE)</f>
        <v>Ø20</v>
      </c>
      <c r="X5" s="3" t="str">
        <f t="shared" ref="X5:X68" si="5">"Ø"&amp;VLOOKUP(V5,$AD$4:$AE$10,2,TRUE)</f>
        <v>Ø20</v>
      </c>
      <c r="Z5" s="3">
        <v>11.5</v>
      </c>
      <c r="AA5" s="3">
        <v>20</v>
      </c>
      <c r="AB5" s="3">
        <v>20</v>
      </c>
      <c r="AD5" s="3">
        <v>11.3</v>
      </c>
      <c r="AE5" s="3">
        <v>20</v>
      </c>
      <c r="AF5" s="3">
        <v>20</v>
      </c>
    </row>
    <row r="6" spans="2:32" x14ac:dyDescent="0.3">
      <c r="B6" s="3">
        <v>0.18</v>
      </c>
      <c r="C6" s="3">
        <v>0.67</v>
      </c>
      <c r="D6" s="3">
        <v>3.35</v>
      </c>
      <c r="E6" s="3">
        <f t="shared" si="0"/>
        <v>1.57</v>
      </c>
      <c r="F6" s="3">
        <f t="shared" si="1"/>
        <v>5.5</v>
      </c>
      <c r="G6" s="3">
        <v>0.6</v>
      </c>
      <c r="H6" s="3">
        <v>5</v>
      </c>
      <c r="I6" s="3">
        <v>0.68</v>
      </c>
      <c r="J6" s="3">
        <v>3.5</v>
      </c>
      <c r="K6" s="3">
        <v>0.87</v>
      </c>
      <c r="M6" s="3">
        <v>1.4999999999999999E-2</v>
      </c>
      <c r="N6" s="3">
        <v>45</v>
      </c>
      <c r="O6" s="3">
        <v>0.16</v>
      </c>
      <c r="Q6" s="3" t="s">
        <v>12</v>
      </c>
      <c r="R6" s="3">
        <v>3</v>
      </c>
      <c r="S6" s="3">
        <v>1.5</v>
      </c>
      <c r="T6" s="21" t="str">
        <f t="shared" si="2"/>
        <v>ВВГнг(А)-LS (3х1,5)</v>
      </c>
      <c r="U6" s="3">
        <v>9.4</v>
      </c>
      <c r="V6" s="3">
        <f t="shared" si="3"/>
        <v>14</v>
      </c>
      <c r="W6" s="3" t="str">
        <f t="shared" si="4"/>
        <v>Ø20</v>
      </c>
      <c r="X6" s="3" t="str">
        <f t="shared" si="5"/>
        <v>Ø20</v>
      </c>
      <c r="Z6" s="3">
        <v>14.9</v>
      </c>
      <c r="AA6" s="3">
        <v>25</v>
      </c>
      <c r="AB6" s="3">
        <v>25</v>
      </c>
      <c r="AD6" s="3">
        <v>14.5</v>
      </c>
      <c r="AE6" s="3">
        <v>25</v>
      </c>
      <c r="AF6" s="3">
        <v>25</v>
      </c>
    </row>
    <row r="7" spans="2:32" x14ac:dyDescent="0.3">
      <c r="B7" s="3">
        <v>0.25</v>
      </c>
      <c r="C7" s="3">
        <v>0.87</v>
      </c>
      <c r="D7" s="3">
        <v>4.3499999999999996</v>
      </c>
      <c r="E7" s="3">
        <f t="shared" si="0"/>
        <v>1.95</v>
      </c>
      <c r="F7" s="3">
        <f t="shared" si="1"/>
        <v>6.83</v>
      </c>
      <c r="G7" s="3">
        <v>0.65</v>
      </c>
      <c r="H7" s="3">
        <v>5</v>
      </c>
      <c r="I7" s="3">
        <v>0.67</v>
      </c>
      <c r="J7" s="3">
        <v>3.5</v>
      </c>
      <c r="K7" s="3">
        <v>0.9</v>
      </c>
      <c r="M7" s="3">
        <v>0.02</v>
      </c>
      <c r="N7" s="3">
        <v>45</v>
      </c>
      <c r="O7" s="3">
        <v>0.22</v>
      </c>
      <c r="Q7" s="3" t="s">
        <v>12</v>
      </c>
      <c r="R7" s="3">
        <v>4</v>
      </c>
      <c r="S7" s="3">
        <v>1.5</v>
      </c>
      <c r="T7" s="21" t="str">
        <f t="shared" si="2"/>
        <v>ВВГнг(А)-LS (4х1,5)</v>
      </c>
      <c r="U7" s="3">
        <v>10.199999999999999</v>
      </c>
      <c r="V7" s="3">
        <f t="shared" si="3"/>
        <v>14</v>
      </c>
      <c r="W7" s="3" t="str">
        <f t="shared" si="4"/>
        <v>Ø20</v>
      </c>
      <c r="X7" s="3" t="str">
        <f t="shared" si="5"/>
        <v>Ø20</v>
      </c>
      <c r="Z7" s="3">
        <v>19</v>
      </c>
      <c r="AA7" s="3">
        <v>32</v>
      </c>
      <c r="AB7" s="3">
        <v>32</v>
      </c>
      <c r="AD7" s="3">
        <v>18.7</v>
      </c>
      <c r="AE7" s="3">
        <v>32</v>
      </c>
      <c r="AF7" s="3">
        <v>32</v>
      </c>
    </row>
    <row r="8" spans="2:32" x14ac:dyDescent="0.3">
      <c r="B8" s="3">
        <v>0.37</v>
      </c>
      <c r="C8" s="3">
        <v>1.18</v>
      </c>
      <c r="D8" s="3">
        <v>5.8999999999999995</v>
      </c>
      <c r="E8" s="3">
        <f t="shared" si="0"/>
        <v>2.69</v>
      </c>
      <c r="F8" s="3">
        <f t="shared" si="1"/>
        <v>9.42</v>
      </c>
      <c r="G8" s="3">
        <v>0.68</v>
      </c>
      <c r="H8" s="3">
        <v>5</v>
      </c>
      <c r="I8" s="3">
        <v>0.7</v>
      </c>
      <c r="J8" s="3">
        <v>3.5</v>
      </c>
      <c r="K8" s="3">
        <v>0.92</v>
      </c>
      <c r="M8" s="3">
        <v>0.03</v>
      </c>
      <c r="N8" s="3">
        <v>50</v>
      </c>
      <c r="O8" s="3">
        <v>0.31</v>
      </c>
      <c r="Q8" s="3" t="s">
        <v>12</v>
      </c>
      <c r="R8" s="3">
        <v>5</v>
      </c>
      <c r="S8" s="3">
        <v>1.5</v>
      </c>
      <c r="T8" s="21" t="str">
        <f t="shared" si="2"/>
        <v>ВВГнг(А)-LS (5х1,5)</v>
      </c>
      <c r="U8" s="3">
        <v>11</v>
      </c>
      <c r="V8" s="3">
        <f t="shared" si="3"/>
        <v>14</v>
      </c>
      <c r="W8" s="3" t="str">
        <f t="shared" si="4"/>
        <v>Ø20</v>
      </c>
      <c r="X8" s="3" t="str">
        <f t="shared" si="5"/>
        <v>Ø20</v>
      </c>
      <c r="Z8" s="3">
        <v>24.9</v>
      </c>
      <c r="AA8" s="3">
        <v>40</v>
      </c>
      <c r="AB8" s="3">
        <v>40</v>
      </c>
      <c r="AD8" s="3">
        <v>24.3</v>
      </c>
      <c r="AE8" s="3">
        <v>40</v>
      </c>
      <c r="AF8" s="3">
        <v>40</v>
      </c>
    </row>
    <row r="9" spans="2:32" x14ac:dyDescent="0.3">
      <c r="B9" s="3">
        <v>0.55000000000000004</v>
      </c>
      <c r="C9" s="3">
        <v>1.66</v>
      </c>
      <c r="D9" s="3">
        <v>8.2999999999999989</v>
      </c>
      <c r="E9" s="3">
        <f t="shared" si="0"/>
        <v>3.7899999999999996</v>
      </c>
      <c r="F9" s="3">
        <f t="shared" si="1"/>
        <v>13.27</v>
      </c>
      <c r="G9" s="3">
        <v>0.71</v>
      </c>
      <c r="H9" s="3">
        <v>5</v>
      </c>
      <c r="I9" s="3">
        <v>0.71</v>
      </c>
      <c r="J9" s="3">
        <v>3.5</v>
      </c>
      <c r="K9" s="3">
        <v>0.93</v>
      </c>
      <c r="M9" s="3">
        <v>3.5999999999999997E-2</v>
      </c>
      <c r="N9" s="3">
        <v>50</v>
      </c>
      <c r="O9" s="3">
        <v>0.38</v>
      </c>
      <c r="Q9" s="3" t="s">
        <v>12</v>
      </c>
      <c r="R9" s="3">
        <v>1</v>
      </c>
      <c r="S9" s="3">
        <v>2.5</v>
      </c>
      <c r="T9" s="21" t="str">
        <f t="shared" si="2"/>
        <v>ВВГнг(А)-LS (1х2,5)</v>
      </c>
      <c r="U9" s="3">
        <v>5.8</v>
      </c>
      <c r="V9" s="3">
        <f t="shared" si="3"/>
        <v>14</v>
      </c>
      <c r="W9" s="3" t="str">
        <f t="shared" si="4"/>
        <v>Ø20</v>
      </c>
      <c r="X9" s="3" t="str">
        <f t="shared" si="5"/>
        <v>Ø20</v>
      </c>
      <c r="Z9" s="3">
        <v>31.8</v>
      </c>
      <c r="AA9" s="3">
        <v>50</v>
      </c>
      <c r="AB9" s="3">
        <v>50</v>
      </c>
      <c r="AD9" s="3">
        <v>30.7</v>
      </c>
      <c r="AE9" s="3">
        <v>50</v>
      </c>
      <c r="AF9" s="3">
        <v>50</v>
      </c>
    </row>
    <row r="10" spans="2:32" x14ac:dyDescent="0.3">
      <c r="B10" s="3">
        <v>0.75</v>
      </c>
      <c r="C10" s="3">
        <v>2.08</v>
      </c>
      <c r="D10" s="3">
        <v>10.4</v>
      </c>
      <c r="E10" s="3">
        <f t="shared" si="0"/>
        <v>4.97</v>
      </c>
      <c r="F10" s="3">
        <f t="shared" si="1"/>
        <v>17.400000000000002</v>
      </c>
      <c r="G10" s="3">
        <v>0.73</v>
      </c>
      <c r="H10" s="3">
        <v>5</v>
      </c>
      <c r="I10" s="3">
        <v>0.75</v>
      </c>
      <c r="J10" s="3">
        <v>3.5</v>
      </c>
      <c r="K10" s="3">
        <v>0.94</v>
      </c>
      <c r="M10" s="3">
        <v>0.04</v>
      </c>
      <c r="N10" s="3">
        <v>50</v>
      </c>
      <c r="O10" s="3">
        <v>0.4</v>
      </c>
      <c r="Q10" s="3" t="s">
        <v>12</v>
      </c>
      <c r="R10" s="3">
        <v>2</v>
      </c>
      <c r="S10" s="3">
        <v>2.5</v>
      </c>
      <c r="T10" s="21" t="str">
        <f t="shared" si="2"/>
        <v>ВВГнг(А)-LS (2х2,5)</v>
      </c>
      <c r="U10" s="3">
        <v>9.6999999999999993</v>
      </c>
      <c r="V10" s="3">
        <f t="shared" si="3"/>
        <v>14</v>
      </c>
      <c r="W10" s="3" t="str">
        <f t="shared" si="4"/>
        <v>Ø20</v>
      </c>
      <c r="X10" s="3" t="str">
        <f t="shared" si="5"/>
        <v>Ø20</v>
      </c>
      <c r="Z10" s="3">
        <v>40.200000000000003</v>
      </c>
      <c r="AA10" s="3" t="s">
        <v>204</v>
      </c>
      <c r="AB10" s="3" t="s">
        <v>204</v>
      </c>
      <c r="AD10" s="3">
        <v>38.9</v>
      </c>
      <c r="AE10" s="3" t="s">
        <v>204</v>
      </c>
      <c r="AF10" s="3" t="s">
        <v>204</v>
      </c>
    </row>
    <row r="11" spans="2:32" x14ac:dyDescent="0.3">
      <c r="B11" s="3">
        <v>1.1000000000000001</v>
      </c>
      <c r="C11" s="3">
        <v>2.85</v>
      </c>
      <c r="D11" s="3">
        <v>14.25</v>
      </c>
      <c r="E11" s="3">
        <f t="shared" si="0"/>
        <v>6.91</v>
      </c>
      <c r="F11" s="3">
        <f t="shared" si="1"/>
        <v>24.19</v>
      </c>
      <c r="G11" s="3">
        <v>0.76200000000000001</v>
      </c>
      <c r="H11" s="3">
        <v>5</v>
      </c>
      <c r="I11" s="3">
        <v>0.77</v>
      </c>
      <c r="J11" s="3">
        <v>3.5</v>
      </c>
      <c r="K11" s="3">
        <v>0.95</v>
      </c>
      <c r="M11" s="3">
        <v>4.4999999999999998E-2</v>
      </c>
      <c r="N11" s="3">
        <v>50</v>
      </c>
      <c r="O11" s="3">
        <v>0.45</v>
      </c>
      <c r="Q11" s="3" t="s">
        <v>12</v>
      </c>
      <c r="R11" s="3">
        <v>3</v>
      </c>
      <c r="S11" s="3">
        <v>2.5</v>
      </c>
      <c r="T11" s="21" t="str">
        <f t="shared" si="2"/>
        <v>ВВГнг(А)-LS (3х2,5)</v>
      </c>
      <c r="U11" s="3">
        <v>10.199999999999999</v>
      </c>
      <c r="V11" s="3">
        <f t="shared" si="3"/>
        <v>14</v>
      </c>
      <c r="W11" s="3" t="str">
        <f t="shared" si="4"/>
        <v>Ø20</v>
      </c>
      <c r="X11" s="3" t="str">
        <f t="shared" si="5"/>
        <v>Ø20</v>
      </c>
    </row>
    <row r="12" spans="2:32" x14ac:dyDescent="0.3">
      <c r="B12" s="3">
        <v>1.5</v>
      </c>
      <c r="C12" s="3">
        <v>3.63</v>
      </c>
      <c r="D12" s="3">
        <v>19.239999999999998</v>
      </c>
      <c r="E12" s="3">
        <f t="shared" si="0"/>
        <v>9.15</v>
      </c>
      <c r="F12" s="3">
        <f t="shared" si="1"/>
        <v>32.03</v>
      </c>
      <c r="G12" s="3">
        <v>0.78500000000000003</v>
      </c>
      <c r="H12" s="3">
        <v>5.3</v>
      </c>
      <c r="I12" s="3">
        <v>0.8</v>
      </c>
      <c r="J12" s="3">
        <v>3.5</v>
      </c>
      <c r="K12" s="3">
        <v>0.95</v>
      </c>
      <c r="M12" s="3">
        <v>0.06</v>
      </c>
      <c r="N12" s="3">
        <v>50</v>
      </c>
      <c r="O12" s="3">
        <v>0.75</v>
      </c>
      <c r="Q12" s="3" t="s">
        <v>12</v>
      </c>
      <c r="R12" s="3">
        <v>4</v>
      </c>
      <c r="S12" s="3">
        <v>2.5</v>
      </c>
      <c r="T12" s="21" t="str">
        <f t="shared" si="2"/>
        <v>ВВГнг(А)-LS (4х2,5)</v>
      </c>
      <c r="U12" s="3">
        <v>11.1</v>
      </c>
      <c r="V12" s="3">
        <f t="shared" si="3"/>
        <v>14</v>
      </c>
      <c r="W12" s="3" t="str">
        <f t="shared" si="4"/>
        <v>Ø20</v>
      </c>
      <c r="X12" s="3" t="str">
        <f t="shared" si="5"/>
        <v>Ø20</v>
      </c>
    </row>
    <row r="13" spans="2:32" x14ac:dyDescent="0.3">
      <c r="B13" s="3">
        <v>2.2000000000000002</v>
      </c>
      <c r="C13" s="3">
        <v>5.29</v>
      </c>
      <c r="D13" s="3">
        <v>31.740000000000002</v>
      </c>
      <c r="E13" s="3">
        <f t="shared" si="0"/>
        <v>13.16</v>
      </c>
      <c r="F13" s="3">
        <f t="shared" si="1"/>
        <v>46.06</v>
      </c>
      <c r="G13" s="3">
        <v>0.8</v>
      </c>
      <c r="H13" s="3">
        <v>6</v>
      </c>
      <c r="I13" s="3">
        <v>0.79</v>
      </c>
      <c r="J13" s="3">
        <v>3.5</v>
      </c>
      <c r="K13" s="3">
        <v>0.95</v>
      </c>
      <c r="M13" s="3">
        <v>0.08</v>
      </c>
      <c r="N13" s="3">
        <v>50</v>
      </c>
      <c r="O13" s="3">
        <v>0.81</v>
      </c>
      <c r="Q13" s="3" t="s">
        <v>12</v>
      </c>
      <c r="R13" s="3">
        <v>5</v>
      </c>
      <c r="S13" s="3">
        <v>2.5</v>
      </c>
      <c r="T13" s="21" t="str">
        <f t="shared" si="2"/>
        <v>ВВГнг(А)-LS (5х2,5)</v>
      </c>
      <c r="U13" s="3">
        <v>12</v>
      </c>
      <c r="V13" s="3">
        <f t="shared" si="3"/>
        <v>14.399999999999999</v>
      </c>
      <c r="W13" s="3" t="str">
        <f t="shared" si="4"/>
        <v>Ø20</v>
      </c>
      <c r="X13" s="3" t="str">
        <f t="shared" si="5"/>
        <v>Ø20</v>
      </c>
    </row>
    <row r="14" spans="2:32" x14ac:dyDescent="0.3">
      <c r="B14" s="3">
        <v>3</v>
      </c>
      <c r="C14" s="3">
        <v>6.73</v>
      </c>
      <c r="D14" s="3">
        <v>47.11</v>
      </c>
      <c r="E14" s="3">
        <f t="shared" si="0"/>
        <v>17.380000000000003</v>
      </c>
      <c r="F14" s="3">
        <f t="shared" si="1"/>
        <v>60.83</v>
      </c>
      <c r="G14" s="3">
        <v>0.82599999999999996</v>
      </c>
      <c r="H14" s="3">
        <v>7</v>
      </c>
      <c r="I14" s="3">
        <v>0.82</v>
      </c>
      <c r="J14" s="3">
        <v>3.5</v>
      </c>
      <c r="K14" s="3">
        <v>0.95</v>
      </c>
      <c r="M14" s="3">
        <v>0.1</v>
      </c>
      <c r="N14" s="3">
        <v>50</v>
      </c>
      <c r="O14" s="3">
        <v>1</v>
      </c>
      <c r="Q14" s="3" t="s">
        <v>12</v>
      </c>
      <c r="R14" s="3">
        <v>1</v>
      </c>
      <c r="S14" s="3">
        <v>4</v>
      </c>
      <c r="T14" s="21" t="str">
        <f t="shared" si="2"/>
        <v>ВВГнг(А)-LS (1х4)</v>
      </c>
      <c r="U14" s="3">
        <v>6.6</v>
      </c>
      <c r="V14" s="3">
        <f t="shared" si="3"/>
        <v>14</v>
      </c>
      <c r="W14" s="3" t="str">
        <f t="shared" si="4"/>
        <v>Ø20</v>
      </c>
      <c r="X14" s="3" t="str">
        <f t="shared" si="5"/>
        <v>Ø20</v>
      </c>
    </row>
    <row r="15" spans="2:32" x14ac:dyDescent="0.3">
      <c r="B15" s="3">
        <v>3.7</v>
      </c>
      <c r="C15" s="3">
        <v>8.1199999999999992</v>
      </c>
      <c r="D15" s="3">
        <v>56.839999999999996</v>
      </c>
      <c r="E15" s="3">
        <f t="shared" si="0"/>
        <v>21.23</v>
      </c>
      <c r="F15" s="3">
        <f t="shared" si="1"/>
        <v>74.31</v>
      </c>
      <c r="G15" s="3">
        <v>0.83400000000000007</v>
      </c>
      <c r="H15" s="3">
        <v>7</v>
      </c>
      <c r="I15" s="3">
        <v>0.83</v>
      </c>
      <c r="J15" s="3">
        <v>3.5</v>
      </c>
      <c r="K15" s="3">
        <v>0.95</v>
      </c>
      <c r="M15" s="3">
        <v>0.15</v>
      </c>
      <c r="N15" s="3">
        <v>65</v>
      </c>
      <c r="O15" s="3">
        <v>1.6</v>
      </c>
      <c r="Q15" s="3" t="s">
        <v>12</v>
      </c>
      <c r="R15" s="3">
        <v>2</v>
      </c>
      <c r="S15" s="3">
        <v>4</v>
      </c>
      <c r="T15" s="21" t="str">
        <f t="shared" si="2"/>
        <v>ВВГнг(А)-LS (2х4)</v>
      </c>
      <c r="U15" s="3">
        <v>11.4</v>
      </c>
      <c r="V15" s="3">
        <f t="shared" si="3"/>
        <v>14</v>
      </c>
      <c r="W15" s="3" t="str">
        <f t="shared" si="4"/>
        <v>Ø20</v>
      </c>
      <c r="X15" s="3" t="str">
        <f t="shared" si="5"/>
        <v>Ø20</v>
      </c>
    </row>
    <row r="16" spans="2:32" x14ac:dyDescent="0.3">
      <c r="B16" s="3">
        <v>4</v>
      </c>
      <c r="C16" s="3">
        <v>8.59</v>
      </c>
      <c r="D16" s="3">
        <v>60.129999999999995</v>
      </c>
      <c r="E16" s="3">
        <f t="shared" si="0"/>
        <v>22.740000000000002</v>
      </c>
      <c r="F16" s="3">
        <f t="shared" si="1"/>
        <v>79.59</v>
      </c>
      <c r="G16" s="3">
        <v>0.84200000000000008</v>
      </c>
      <c r="H16" s="3">
        <v>7</v>
      </c>
      <c r="I16" s="3">
        <v>0.84</v>
      </c>
      <c r="J16" s="3">
        <v>3.5</v>
      </c>
      <c r="K16" s="3">
        <v>0.95</v>
      </c>
      <c r="M16" s="3">
        <v>0.2</v>
      </c>
      <c r="N16" s="3">
        <v>65</v>
      </c>
      <c r="O16" s="3">
        <v>2</v>
      </c>
      <c r="Q16" s="3" t="s">
        <v>12</v>
      </c>
      <c r="R16" s="3">
        <v>3</v>
      </c>
      <c r="S16" s="3">
        <v>4</v>
      </c>
      <c r="T16" s="21" t="str">
        <f t="shared" si="2"/>
        <v>ВВГнг(А)-LS (3х4)</v>
      </c>
      <c r="U16" s="3">
        <v>12.1</v>
      </c>
      <c r="V16" s="3">
        <f t="shared" si="3"/>
        <v>14.52</v>
      </c>
      <c r="W16" s="3" t="str">
        <f t="shared" si="4"/>
        <v>Ø20</v>
      </c>
      <c r="X16" s="3" t="str">
        <f t="shared" si="5"/>
        <v>Ø25</v>
      </c>
    </row>
    <row r="17" spans="2:24" x14ac:dyDescent="0.3">
      <c r="B17" s="3">
        <v>5.5</v>
      </c>
      <c r="C17" s="3">
        <v>11.34</v>
      </c>
      <c r="D17" s="3">
        <v>79.38</v>
      </c>
      <c r="E17" s="3">
        <f t="shared" ref="E17" si="6">ROUNDUP(B17/G17/K17/0.22,2)</f>
        <v>30.71</v>
      </c>
      <c r="F17" s="3">
        <f t="shared" ref="F17" si="7">ROUNDUP(E17*J17,2)</f>
        <v>199.62</v>
      </c>
      <c r="G17" s="3">
        <v>0.85699999999999998</v>
      </c>
      <c r="H17" s="3">
        <v>7</v>
      </c>
      <c r="I17" s="3">
        <v>0.86</v>
      </c>
      <c r="J17" s="3">
        <v>6.5</v>
      </c>
      <c r="K17" s="3">
        <v>0.95</v>
      </c>
      <c r="M17" s="3">
        <v>0.25</v>
      </c>
      <c r="N17" s="3">
        <v>65</v>
      </c>
      <c r="O17" s="3">
        <v>2.6</v>
      </c>
      <c r="Q17" s="3" t="s">
        <v>12</v>
      </c>
      <c r="R17" s="3">
        <v>4</v>
      </c>
      <c r="S17" s="3">
        <v>4</v>
      </c>
      <c r="T17" s="21" t="str">
        <f t="shared" si="2"/>
        <v>ВВГнг(А)-LS (4х4)</v>
      </c>
      <c r="U17" s="3">
        <v>13.2</v>
      </c>
      <c r="V17" s="3">
        <f t="shared" si="3"/>
        <v>15.839999999999998</v>
      </c>
      <c r="W17" s="3" t="str">
        <f t="shared" si="4"/>
        <v>Ø25</v>
      </c>
      <c r="X17" s="3" t="str">
        <f t="shared" si="5"/>
        <v>Ø25</v>
      </c>
    </row>
    <row r="18" spans="2:24" x14ac:dyDescent="0.3">
      <c r="B18" s="3">
        <v>7.5</v>
      </c>
      <c r="C18" s="3">
        <v>15.23</v>
      </c>
      <c r="D18" s="3">
        <v>114.26</v>
      </c>
      <c r="E18" s="3"/>
      <c r="F18" s="3"/>
      <c r="G18" s="3">
        <v>0.87</v>
      </c>
      <c r="H18" s="3">
        <v>7.5</v>
      </c>
      <c r="I18" s="3">
        <v>0.86</v>
      </c>
      <c r="J18" s="3"/>
      <c r="K18" s="3"/>
      <c r="M18" s="3">
        <v>0.3</v>
      </c>
      <c r="N18" s="3">
        <v>70</v>
      </c>
      <c r="O18" s="3">
        <v>2.8</v>
      </c>
      <c r="Q18" s="3" t="s">
        <v>12</v>
      </c>
      <c r="R18" s="3">
        <v>5</v>
      </c>
      <c r="S18" s="3">
        <v>4</v>
      </c>
      <c r="T18" s="21" t="str">
        <f t="shared" si="2"/>
        <v>ВВГнг(А)-LS (5х4)</v>
      </c>
      <c r="U18" s="3">
        <v>14.4</v>
      </c>
      <c r="V18" s="3">
        <f t="shared" si="3"/>
        <v>17.28</v>
      </c>
      <c r="W18" s="3" t="str">
        <f t="shared" si="4"/>
        <v>Ø25</v>
      </c>
      <c r="X18" s="3" t="str">
        <f t="shared" si="5"/>
        <v>Ø25</v>
      </c>
    </row>
    <row r="19" spans="2:24" x14ac:dyDescent="0.3">
      <c r="B19" s="3">
        <v>9.1999999999999993</v>
      </c>
      <c r="C19" s="3">
        <v>18.79</v>
      </c>
      <c r="D19" s="3">
        <v>131.53</v>
      </c>
      <c r="E19" s="3"/>
      <c r="F19" s="3"/>
      <c r="G19" s="3">
        <v>0.875</v>
      </c>
      <c r="H19" s="3">
        <v>7</v>
      </c>
      <c r="I19" s="3">
        <v>0.85</v>
      </c>
      <c r="J19" s="3"/>
      <c r="K19" s="3"/>
      <c r="M19" s="3">
        <v>0.4</v>
      </c>
      <c r="N19" s="3">
        <v>70</v>
      </c>
      <c r="O19" s="3">
        <v>3.6</v>
      </c>
      <c r="Q19" s="3" t="s">
        <v>12</v>
      </c>
      <c r="R19" s="3">
        <v>1</v>
      </c>
      <c r="S19" s="3">
        <v>6</v>
      </c>
      <c r="T19" s="21" t="str">
        <f t="shared" si="2"/>
        <v>ВВГнг(А)-LS (1х6)</v>
      </c>
      <c r="U19" s="3">
        <v>7.1</v>
      </c>
      <c r="V19" s="3">
        <f t="shared" si="3"/>
        <v>14</v>
      </c>
      <c r="W19" s="3" t="str">
        <f t="shared" si="4"/>
        <v>Ø20</v>
      </c>
      <c r="X19" s="3" t="str">
        <f t="shared" si="5"/>
        <v>Ø20</v>
      </c>
    </row>
    <row r="20" spans="2:24" x14ac:dyDescent="0.3">
      <c r="B20" s="3">
        <v>11</v>
      </c>
      <c r="C20" s="3">
        <v>22.24</v>
      </c>
      <c r="D20" s="3">
        <v>166.79999999999998</v>
      </c>
      <c r="E20" s="3"/>
      <c r="F20" s="3"/>
      <c r="G20" s="3">
        <v>0.88400000000000001</v>
      </c>
      <c r="H20" s="3">
        <v>7.5</v>
      </c>
      <c r="I20" s="3">
        <v>0.85</v>
      </c>
      <c r="J20" s="3"/>
      <c r="K20" s="3"/>
      <c r="Q20" s="3" t="s">
        <v>12</v>
      </c>
      <c r="R20" s="3">
        <v>2</v>
      </c>
      <c r="S20" s="3">
        <v>6</v>
      </c>
      <c r="T20" s="21" t="str">
        <f t="shared" si="2"/>
        <v>ВВГнг(А)-LS (2х6)</v>
      </c>
      <c r="U20" s="3">
        <v>12.4</v>
      </c>
      <c r="V20" s="3">
        <f t="shared" si="3"/>
        <v>14.879999999999999</v>
      </c>
      <c r="W20" s="3" t="str">
        <f t="shared" si="4"/>
        <v>Ø20</v>
      </c>
      <c r="X20" s="3" t="str">
        <f t="shared" si="5"/>
        <v>Ø25</v>
      </c>
    </row>
    <row r="21" spans="2:24" x14ac:dyDescent="0.3">
      <c r="B21" s="3">
        <v>15</v>
      </c>
      <c r="C21" s="3">
        <v>29.3</v>
      </c>
      <c r="D21" s="3">
        <v>205.1</v>
      </c>
      <c r="E21" s="3"/>
      <c r="F21" s="3"/>
      <c r="G21" s="3">
        <v>0.89400000000000002</v>
      </c>
      <c r="H21" s="3">
        <v>7</v>
      </c>
      <c r="I21" s="3">
        <v>0.87</v>
      </c>
      <c r="J21" s="3"/>
      <c r="K21" s="3"/>
      <c r="Q21" s="3" t="s">
        <v>12</v>
      </c>
      <c r="R21" s="3">
        <v>3</v>
      </c>
      <c r="S21" s="3">
        <v>6</v>
      </c>
      <c r="T21" s="21" t="str">
        <f t="shared" si="2"/>
        <v>ВВГнг(А)-LS (3х6)</v>
      </c>
      <c r="U21" s="3">
        <v>13.1</v>
      </c>
      <c r="V21" s="3">
        <f t="shared" si="3"/>
        <v>15.719999999999999</v>
      </c>
      <c r="W21" s="3" t="str">
        <f t="shared" si="4"/>
        <v>Ø25</v>
      </c>
      <c r="X21" s="3" t="str">
        <f t="shared" si="5"/>
        <v>Ø25</v>
      </c>
    </row>
    <row r="22" spans="2:24" x14ac:dyDescent="0.3">
      <c r="B22" s="3">
        <v>18.5</v>
      </c>
      <c r="C22" s="3">
        <v>35.9</v>
      </c>
      <c r="D22" s="3">
        <v>251.29999999999998</v>
      </c>
      <c r="E22" s="3"/>
      <c r="F22" s="3"/>
      <c r="G22" s="3">
        <v>0.9</v>
      </c>
      <c r="H22" s="3">
        <v>7</v>
      </c>
      <c r="I22" s="3">
        <v>0.87</v>
      </c>
      <c r="J22" s="3"/>
      <c r="K22" s="3"/>
      <c r="Q22" s="3" t="s">
        <v>12</v>
      </c>
      <c r="R22" s="3">
        <v>4</v>
      </c>
      <c r="S22" s="3">
        <v>6</v>
      </c>
      <c r="T22" s="21" t="str">
        <f t="shared" si="2"/>
        <v>ВВГнг(А)-LS (4х6)</v>
      </c>
      <c r="U22" s="3">
        <v>14.4</v>
      </c>
      <c r="V22" s="3">
        <f t="shared" si="3"/>
        <v>17.28</v>
      </c>
      <c r="W22" s="3" t="str">
        <f t="shared" si="4"/>
        <v>Ø25</v>
      </c>
      <c r="X22" s="3" t="str">
        <f t="shared" si="5"/>
        <v>Ø25</v>
      </c>
    </row>
    <row r="23" spans="2:24" x14ac:dyDescent="0.3">
      <c r="B23" s="3">
        <v>22</v>
      </c>
      <c r="C23" s="3">
        <v>42.45</v>
      </c>
      <c r="D23" s="3">
        <v>297.15000000000003</v>
      </c>
      <c r="E23" s="3"/>
      <c r="F23" s="3"/>
      <c r="G23" s="3">
        <v>0.90500000000000003</v>
      </c>
      <c r="H23" s="3">
        <v>7</v>
      </c>
      <c r="I23" s="3">
        <v>0.87</v>
      </c>
      <c r="J23" s="3"/>
      <c r="K23" s="3"/>
      <c r="Q23" s="3" t="s">
        <v>12</v>
      </c>
      <c r="R23" s="3">
        <v>5</v>
      </c>
      <c r="S23" s="3">
        <v>6</v>
      </c>
      <c r="T23" s="21" t="str">
        <f t="shared" si="2"/>
        <v>ВВГнг(А)-LS (5х6)</v>
      </c>
      <c r="U23" s="3">
        <v>15.7</v>
      </c>
      <c r="V23" s="3">
        <f t="shared" si="3"/>
        <v>18.84</v>
      </c>
      <c r="W23" s="3" t="str">
        <f t="shared" si="4"/>
        <v>Ø25</v>
      </c>
      <c r="X23" s="3" t="str">
        <f t="shared" si="5"/>
        <v>Ø32</v>
      </c>
    </row>
    <row r="24" spans="2:24" x14ac:dyDescent="0.3">
      <c r="B24" s="3">
        <v>27</v>
      </c>
      <c r="C24" s="3">
        <v>51.82</v>
      </c>
      <c r="D24" s="3">
        <v>362.74</v>
      </c>
      <c r="E24" s="3"/>
      <c r="F24" s="3"/>
      <c r="G24" s="3">
        <v>0.91</v>
      </c>
      <c r="H24" s="3">
        <v>7</v>
      </c>
      <c r="I24" s="3">
        <v>0.87</v>
      </c>
      <c r="J24" s="3"/>
      <c r="K24" s="3"/>
      <c r="Q24" s="3" t="s">
        <v>152</v>
      </c>
      <c r="R24" s="3">
        <v>1</v>
      </c>
      <c r="S24" s="3">
        <v>1.5</v>
      </c>
      <c r="T24" s="21" t="str">
        <f>Q24&amp;" ("&amp;R24&amp;"х"&amp;S24&amp;")"</f>
        <v>ВВГнг(А)-FRLS (1х1,5)</v>
      </c>
      <c r="U24" s="3">
        <v>7.2</v>
      </c>
      <c r="V24" s="3">
        <f t="shared" si="3"/>
        <v>14</v>
      </c>
      <c r="W24" s="3" t="str">
        <f t="shared" si="4"/>
        <v>Ø20</v>
      </c>
      <c r="X24" s="3" t="str">
        <f t="shared" si="5"/>
        <v>Ø20</v>
      </c>
    </row>
    <row r="25" spans="2:24" x14ac:dyDescent="0.3">
      <c r="B25" s="3">
        <v>30</v>
      </c>
      <c r="C25" s="3">
        <v>56.03</v>
      </c>
      <c r="D25" s="3">
        <v>392.21000000000004</v>
      </c>
      <c r="E25" s="3"/>
      <c r="F25" s="3"/>
      <c r="G25" s="3">
        <v>0.91400000000000003</v>
      </c>
      <c r="H25" s="3">
        <v>7</v>
      </c>
      <c r="I25" s="3">
        <v>0.89</v>
      </c>
      <c r="J25" s="3"/>
      <c r="K25" s="3"/>
      <c r="Q25" s="3" t="s">
        <v>152</v>
      </c>
      <c r="R25" s="3">
        <v>2</v>
      </c>
      <c r="S25" s="3">
        <v>1.5</v>
      </c>
      <c r="T25" s="21" t="str">
        <f t="shared" ref="T25:T43" si="8">Q25&amp;" ("&amp;R25&amp;"х"&amp;S25&amp;")"</f>
        <v>ВВГнг(А)-FRLS (2х1,5)</v>
      </c>
      <c r="U25" s="3">
        <v>14.1</v>
      </c>
      <c r="V25" s="3">
        <f t="shared" si="3"/>
        <v>16.919999999999998</v>
      </c>
      <c r="W25" s="3" t="str">
        <f t="shared" si="4"/>
        <v>Ø25</v>
      </c>
      <c r="X25" s="3" t="str">
        <f t="shared" si="5"/>
        <v>Ø25</v>
      </c>
    </row>
    <row r="26" spans="2:24" x14ac:dyDescent="0.3">
      <c r="B26" s="3">
        <v>37</v>
      </c>
      <c r="C26" s="3">
        <v>68.66</v>
      </c>
      <c r="D26" s="3">
        <v>514.94999999999993</v>
      </c>
      <c r="E26" s="3"/>
      <c r="F26" s="3"/>
      <c r="G26" s="3">
        <v>0.92</v>
      </c>
      <c r="H26" s="3">
        <v>7.5</v>
      </c>
      <c r="I26" s="3">
        <v>0.89</v>
      </c>
      <c r="J26" s="3"/>
      <c r="K26" s="3"/>
      <c r="Q26" s="3" t="s">
        <v>152</v>
      </c>
      <c r="R26" s="3">
        <v>3</v>
      </c>
      <c r="S26" s="3">
        <v>1.5</v>
      </c>
      <c r="T26" s="21" t="str">
        <f t="shared" si="8"/>
        <v>ВВГнг(А)-FRLS (3х1,5)</v>
      </c>
      <c r="U26" s="3">
        <v>14.8</v>
      </c>
      <c r="V26" s="3">
        <f t="shared" si="3"/>
        <v>17.760000000000002</v>
      </c>
      <c r="W26" s="3" t="str">
        <f t="shared" si="4"/>
        <v>Ø25</v>
      </c>
      <c r="X26" s="3" t="str">
        <f t="shared" si="5"/>
        <v>Ø25</v>
      </c>
    </row>
    <row r="27" spans="2:24" x14ac:dyDescent="0.3">
      <c r="B27" s="3">
        <v>45</v>
      </c>
      <c r="C27" s="3">
        <v>83.05</v>
      </c>
      <c r="D27" s="3">
        <v>622.86</v>
      </c>
      <c r="E27" s="3"/>
      <c r="F27" s="3"/>
      <c r="G27" s="3">
        <v>0.92500000000000004</v>
      </c>
      <c r="H27" s="3">
        <v>7.5</v>
      </c>
      <c r="I27" s="3">
        <v>0.89</v>
      </c>
      <c r="J27" s="3"/>
      <c r="K27" s="3"/>
      <c r="Q27" s="3" t="s">
        <v>152</v>
      </c>
      <c r="R27" s="3">
        <v>4</v>
      </c>
      <c r="S27" s="3">
        <v>1.5</v>
      </c>
      <c r="T27" s="21" t="str">
        <f t="shared" si="8"/>
        <v>ВВГнг(А)-FRLS (4х1,5)</v>
      </c>
      <c r="U27" s="3">
        <v>15.9</v>
      </c>
      <c r="V27" s="3">
        <f t="shared" si="3"/>
        <v>19.079999999999998</v>
      </c>
      <c r="W27" s="3" t="str">
        <f t="shared" si="4"/>
        <v>Ø32</v>
      </c>
      <c r="X27" s="3" t="str">
        <f t="shared" si="5"/>
        <v>Ø32</v>
      </c>
    </row>
    <row r="28" spans="2:24" x14ac:dyDescent="0.3">
      <c r="B28" s="3">
        <v>55</v>
      </c>
      <c r="C28" s="3">
        <v>100.96</v>
      </c>
      <c r="D28" s="3">
        <v>706.71999999999991</v>
      </c>
      <c r="E28" s="3"/>
      <c r="F28" s="3"/>
      <c r="G28" s="3">
        <v>0.93</v>
      </c>
      <c r="H28" s="3">
        <v>7</v>
      </c>
      <c r="I28" s="3">
        <v>0.89</v>
      </c>
      <c r="J28" s="3"/>
      <c r="K28" s="3"/>
      <c r="Q28" s="3" t="s">
        <v>152</v>
      </c>
      <c r="R28" s="3">
        <v>5</v>
      </c>
      <c r="S28" s="3">
        <v>1.5</v>
      </c>
      <c r="T28" s="21" t="str">
        <f t="shared" si="8"/>
        <v>ВВГнг(А)-FRLS (5х1,5)</v>
      </c>
      <c r="U28" s="3">
        <v>17.2</v>
      </c>
      <c r="V28" s="3">
        <f t="shared" si="3"/>
        <v>20.639999999999997</v>
      </c>
      <c r="W28" s="3" t="str">
        <f t="shared" si="4"/>
        <v>Ø32</v>
      </c>
      <c r="X28" s="3" t="str">
        <f t="shared" si="5"/>
        <v>Ø32</v>
      </c>
    </row>
    <row r="29" spans="2:24" x14ac:dyDescent="0.3">
      <c r="B29" s="3">
        <v>75</v>
      </c>
      <c r="C29" s="3">
        <v>138.35</v>
      </c>
      <c r="D29" s="3">
        <v>1037.6300000000001</v>
      </c>
      <c r="E29" s="3"/>
      <c r="F29" s="3"/>
      <c r="G29" s="3">
        <v>0.93599999999999994</v>
      </c>
      <c r="H29" s="3">
        <v>7.5</v>
      </c>
      <c r="I29" s="3">
        <v>0.88</v>
      </c>
      <c r="J29" s="3"/>
      <c r="K29" s="3"/>
      <c r="Q29" s="3" t="s">
        <v>152</v>
      </c>
      <c r="R29" s="3">
        <v>1</v>
      </c>
      <c r="S29" s="3">
        <v>2.5</v>
      </c>
      <c r="T29" s="21" t="str">
        <f t="shared" si="8"/>
        <v>ВВГнг(А)-FRLS (1х2,5)</v>
      </c>
      <c r="U29" s="3">
        <v>7.6</v>
      </c>
      <c r="V29" s="3">
        <f t="shared" si="3"/>
        <v>14</v>
      </c>
      <c r="W29" s="3" t="str">
        <f t="shared" si="4"/>
        <v>Ø20</v>
      </c>
      <c r="X29" s="3" t="str">
        <f t="shared" si="5"/>
        <v>Ø20</v>
      </c>
    </row>
    <row r="30" spans="2:24" x14ac:dyDescent="0.3">
      <c r="B30" s="3">
        <v>76</v>
      </c>
      <c r="C30" s="3">
        <v>140.19</v>
      </c>
      <c r="D30" s="3">
        <v>1051.43</v>
      </c>
      <c r="E30" s="3"/>
      <c r="F30" s="3"/>
      <c r="G30" s="3">
        <v>0.93599999999999994</v>
      </c>
      <c r="H30" s="3">
        <v>7.5</v>
      </c>
      <c r="I30" s="3">
        <v>0.88</v>
      </c>
      <c r="J30" s="3"/>
      <c r="K30" s="3"/>
      <c r="Q30" s="3" t="s">
        <v>152</v>
      </c>
      <c r="R30" s="3">
        <v>2</v>
      </c>
      <c r="S30" s="3">
        <v>2.5</v>
      </c>
      <c r="T30" s="21" t="str">
        <f t="shared" si="8"/>
        <v>ВВГнг(А)-FRLS (2х2,5)</v>
      </c>
      <c r="U30" s="3">
        <v>14.9</v>
      </c>
      <c r="V30" s="3">
        <f t="shared" si="3"/>
        <v>17.88</v>
      </c>
      <c r="W30" s="3" t="str">
        <f t="shared" si="4"/>
        <v>Ø25</v>
      </c>
      <c r="X30" s="3" t="str">
        <f t="shared" si="5"/>
        <v>Ø25</v>
      </c>
    </row>
    <row r="31" spans="2:24" x14ac:dyDescent="0.3">
      <c r="B31" s="3">
        <v>90</v>
      </c>
      <c r="C31" s="3">
        <v>163.63</v>
      </c>
      <c r="D31" s="3">
        <v>1227.23</v>
      </c>
      <c r="E31" s="3"/>
      <c r="F31" s="3"/>
      <c r="G31" s="3">
        <v>0.93900000000000006</v>
      </c>
      <c r="H31" s="3">
        <v>7.5</v>
      </c>
      <c r="I31" s="3">
        <v>0.89</v>
      </c>
      <c r="J31" s="3"/>
      <c r="K31" s="3"/>
      <c r="Q31" s="3" t="s">
        <v>152</v>
      </c>
      <c r="R31" s="3">
        <v>3</v>
      </c>
      <c r="S31" s="3">
        <v>2.5</v>
      </c>
      <c r="T31" s="21" t="str">
        <f t="shared" si="8"/>
        <v>ВВГнг(А)-FRLS (3х2,5)</v>
      </c>
      <c r="U31" s="3">
        <v>15.6</v>
      </c>
      <c r="V31" s="3">
        <f t="shared" si="3"/>
        <v>18.72</v>
      </c>
      <c r="W31" s="3" t="str">
        <f t="shared" si="4"/>
        <v>Ø25</v>
      </c>
      <c r="X31" s="3" t="str">
        <f t="shared" si="5"/>
        <v>Ø32</v>
      </c>
    </row>
    <row r="32" spans="2:24" x14ac:dyDescent="0.3">
      <c r="B32" s="3">
        <v>110</v>
      </c>
      <c r="C32" s="3">
        <v>198.72</v>
      </c>
      <c r="D32" s="3">
        <v>1291.68</v>
      </c>
      <c r="E32" s="3"/>
      <c r="F32" s="3"/>
      <c r="G32" s="3">
        <v>0.94499999999999995</v>
      </c>
      <c r="H32" s="3">
        <v>6.5</v>
      </c>
      <c r="I32" s="3">
        <v>0.89</v>
      </c>
      <c r="J32" s="3"/>
      <c r="K32" s="3"/>
      <c r="Q32" s="3" t="s">
        <v>152</v>
      </c>
      <c r="R32" s="3">
        <v>4</v>
      </c>
      <c r="S32" s="3">
        <v>2.5</v>
      </c>
      <c r="T32" s="21" t="str">
        <f t="shared" si="8"/>
        <v>ВВГнг(А)-FRLS (4х2,5)</v>
      </c>
      <c r="U32" s="3">
        <v>16.8</v>
      </c>
      <c r="V32" s="3">
        <f t="shared" si="3"/>
        <v>20.16</v>
      </c>
      <c r="W32" s="3" t="str">
        <f t="shared" si="4"/>
        <v>Ø32</v>
      </c>
      <c r="X32" s="3" t="str">
        <f t="shared" si="5"/>
        <v>Ø32</v>
      </c>
    </row>
    <row r="33" spans="2:24" x14ac:dyDescent="0.3">
      <c r="B33" s="3">
        <v>132</v>
      </c>
      <c r="C33" s="3">
        <v>237.71</v>
      </c>
      <c r="D33" s="3">
        <v>1545.12</v>
      </c>
      <c r="E33" s="3"/>
      <c r="F33" s="3"/>
      <c r="G33" s="3">
        <v>0.94799999999999995</v>
      </c>
      <c r="H33" s="3">
        <v>6.5</v>
      </c>
      <c r="I33" s="3">
        <v>0.89</v>
      </c>
      <c r="J33" s="3"/>
      <c r="K33" s="3"/>
      <c r="Q33" s="3" t="s">
        <v>152</v>
      </c>
      <c r="R33" s="3">
        <v>5</v>
      </c>
      <c r="S33" s="3">
        <v>2.5</v>
      </c>
      <c r="T33" s="21" t="str">
        <f t="shared" si="8"/>
        <v>ВВГнг(А)-FRLS (5х2,5)</v>
      </c>
      <c r="U33" s="3">
        <v>18.2</v>
      </c>
      <c r="V33" s="3">
        <f t="shared" si="3"/>
        <v>21.84</v>
      </c>
      <c r="W33" s="3" t="str">
        <f t="shared" si="4"/>
        <v>Ø32</v>
      </c>
      <c r="X33" s="3" t="str">
        <f t="shared" si="5"/>
        <v>Ø32</v>
      </c>
    </row>
    <row r="34" spans="2:24" x14ac:dyDescent="0.3">
      <c r="B34" s="3">
        <v>160</v>
      </c>
      <c r="C34" s="3">
        <v>281.5</v>
      </c>
      <c r="D34" s="3">
        <v>1548.25</v>
      </c>
      <c r="E34" s="3"/>
      <c r="F34" s="3"/>
      <c r="G34" s="3">
        <v>0.94900000000000007</v>
      </c>
      <c r="H34" s="3">
        <v>5.5</v>
      </c>
      <c r="I34" s="3">
        <v>0.91</v>
      </c>
      <c r="J34" s="3"/>
      <c r="K34" s="3"/>
      <c r="Q34" s="3" t="s">
        <v>152</v>
      </c>
      <c r="R34" s="3">
        <v>1</v>
      </c>
      <c r="S34" s="3">
        <v>4</v>
      </c>
      <c r="T34" s="21" t="str">
        <f t="shared" si="8"/>
        <v>ВВГнг(А)-FRLS (1х4)</v>
      </c>
      <c r="U34" s="3">
        <v>8.5</v>
      </c>
      <c r="V34" s="3">
        <f t="shared" si="3"/>
        <v>14</v>
      </c>
      <c r="W34" s="3" t="str">
        <f t="shared" si="4"/>
        <v>Ø20</v>
      </c>
      <c r="X34" s="3" t="str">
        <f t="shared" si="5"/>
        <v>Ø20</v>
      </c>
    </row>
    <row r="35" spans="2:24" x14ac:dyDescent="0.3">
      <c r="B35" s="3">
        <v>200</v>
      </c>
      <c r="C35" s="3">
        <v>348.05</v>
      </c>
      <c r="D35" s="3">
        <v>1914.26</v>
      </c>
      <c r="E35" s="3"/>
      <c r="F35" s="3"/>
      <c r="G35" s="3">
        <v>0.94900000000000007</v>
      </c>
      <c r="H35" s="3">
        <v>5.5</v>
      </c>
      <c r="I35" s="3">
        <v>0.92</v>
      </c>
      <c r="J35" s="3"/>
      <c r="K35" s="3"/>
      <c r="Q35" s="3" t="s">
        <v>152</v>
      </c>
      <c r="R35" s="3">
        <v>2</v>
      </c>
      <c r="S35" s="3">
        <v>4</v>
      </c>
      <c r="T35" s="21" t="str">
        <f t="shared" si="8"/>
        <v>ВВГнг(А)-FRLS (2х4)</v>
      </c>
      <c r="U35" s="3">
        <v>16.600000000000001</v>
      </c>
      <c r="V35" s="3">
        <f t="shared" si="3"/>
        <v>19.920000000000002</v>
      </c>
      <c r="W35" s="3" t="str">
        <f t="shared" si="4"/>
        <v>Ø32</v>
      </c>
      <c r="X35" s="3" t="str">
        <f t="shared" si="5"/>
        <v>Ø32</v>
      </c>
    </row>
    <row r="36" spans="2:24" x14ac:dyDescent="0.3">
      <c r="B36" s="3">
        <v>250</v>
      </c>
      <c r="C36" s="3">
        <v>433.69</v>
      </c>
      <c r="D36" s="3">
        <v>2992.46</v>
      </c>
      <c r="E36" s="3"/>
      <c r="F36" s="3"/>
      <c r="G36" s="3">
        <v>0.95200000000000007</v>
      </c>
      <c r="H36" s="3">
        <v>6.9</v>
      </c>
      <c r="I36" s="3">
        <v>0.92</v>
      </c>
      <c r="J36" s="3"/>
      <c r="K36" s="3"/>
      <c r="Q36" s="3" t="s">
        <v>152</v>
      </c>
      <c r="R36" s="3">
        <v>3</v>
      </c>
      <c r="S36" s="3">
        <v>4</v>
      </c>
      <c r="T36" s="21" t="str">
        <f t="shared" si="8"/>
        <v>ВВГнг(А)-FRLS (3х4)</v>
      </c>
      <c r="U36" s="3">
        <v>17.5</v>
      </c>
      <c r="V36" s="3">
        <f t="shared" si="3"/>
        <v>21</v>
      </c>
      <c r="W36" s="3" t="str">
        <f t="shared" si="4"/>
        <v>Ø32</v>
      </c>
      <c r="X36" s="3" t="str">
        <f t="shared" si="5"/>
        <v>Ø32</v>
      </c>
    </row>
    <row r="37" spans="2:24" x14ac:dyDescent="0.3">
      <c r="B37" s="3">
        <v>315</v>
      </c>
      <c r="C37" s="3">
        <v>546.45000000000005</v>
      </c>
      <c r="D37" s="3">
        <v>3770.51</v>
      </c>
      <c r="E37" s="3"/>
      <c r="F37" s="3"/>
      <c r="G37" s="3">
        <v>0.95200000000000007</v>
      </c>
      <c r="H37" s="3">
        <v>6.9</v>
      </c>
      <c r="I37" s="3">
        <v>0.92</v>
      </c>
      <c r="J37" s="3"/>
      <c r="K37" s="3"/>
      <c r="Q37" s="3" t="s">
        <v>152</v>
      </c>
      <c r="R37" s="3">
        <v>4</v>
      </c>
      <c r="S37" s="3">
        <v>4</v>
      </c>
      <c r="T37" s="21" t="str">
        <f t="shared" si="8"/>
        <v>ВВГнг(А)-FRLS (4х4)</v>
      </c>
      <c r="U37" s="3">
        <v>18.899999999999999</v>
      </c>
      <c r="V37" s="3">
        <f t="shared" si="3"/>
        <v>22.679999999999996</v>
      </c>
      <c r="W37" s="3" t="str">
        <f t="shared" si="4"/>
        <v>Ø32</v>
      </c>
      <c r="X37" s="3" t="str">
        <f t="shared" si="5"/>
        <v>Ø32</v>
      </c>
    </row>
    <row r="38" spans="2:24" x14ac:dyDescent="0.3">
      <c r="Q38" s="3" t="s">
        <v>152</v>
      </c>
      <c r="R38" s="3">
        <v>5</v>
      </c>
      <c r="S38" s="3">
        <v>4</v>
      </c>
      <c r="T38" s="21" t="str">
        <f t="shared" si="8"/>
        <v>ВВГнг(А)-FRLS (5х4)</v>
      </c>
      <c r="U38" s="3">
        <v>20.6</v>
      </c>
      <c r="V38" s="3">
        <f t="shared" si="3"/>
        <v>24.720000000000002</v>
      </c>
      <c r="W38" s="3" t="str">
        <f t="shared" si="4"/>
        <v>Ø32</v>
      </c>
      <c r="X38" s="3" t="str">
        <f t="shared" si="5"/>
        <v>Ø40</v>
      </c>
    </row>
    <row r="39" spans="2:24" x14ac:dyDescent="0.3">
      <c r="Q39" s="3" t="s">
        <v>152</v>
      </c>
      <c r="R39" s="3">
        <v>1</v>
      </c>
      <c r="S39" s="3">
        <v>6</v>
      </c>
      <c r="T39" s="21" t="str">
        <f t="shared" si="8"/>
        <v>ВВГнг(А)-FRLS (1х6)</v>
      </c>
      <c r="U39" s="3">
        <v>9.1999999999999993</v>
      </c>
      <c r="V39" s="3">
        <f t="shared" si="3"/>
        <v>14</v>
      </c>
      <c r="W39" s="3" t="str">
        <f t="shared" si="4"/>
        <v>Ø20</v>
      </c>
      <c r="X39" s="3" t="str">
        <f t="shared" si="5"/>
        <v>Ø20</v>
      </c>
    </row>
    <row r="40" spans="2:24" x14ac:dyDescent="0.3">
      <c r="Q40" s="3" t="s">
        <v>152</v>
      </c>
      <c r="R40" s="3">
        <v>2</v>
      </c>
      <c r="S40" s="3">
        <v>6</v>
      </c>
      <c r="T40" s="21" t="str">
        <f t="shared" si="8"/>
        <v>ВВГнг(А)-FRLS (2х6)</v>
      </c>
      <c r="U40" s="3">
        <v>17.600000000000001</v>
      </c>
      <c r="V40" s="3">
        <f t="shared" si="3"/>
        <v>21.12</v>
      </c>
      <c r="W40" s="3" t="str">
        <f t="shared" si="4"/>
        <v>Ø32</v>
      </c>
      <c r="X40" s="3" t="str">
        <f t="shared" si="5"/>
        <v>Ø32</v>
      </c>
    </row>
    <row r="41" spans="2:24" x14ac:dyDescent="0.3">
      <c r="Q41" s="3" t="s">
        <v>152</v>
      </c>
      <c r="R41" s="3">
        <v>3</v>
      </c>
      <c r="S41" s="3">
        <v>6</v>
      </c>
      <c r="T41" s="21" t="str">
        <f t="shared" si="8"/>
        <v>ВВГнг(А)-FRLS (3х6)</v>
      </c>
      <c r="U41" s="3">
        <v>18.5</v>
      </c>
      <c r="V41" s="3">
        <f t="shared" si="3"/>
        <v>22.2</v>
      </c>
      <c r="W41" s="3" t="str">
        <f t="shared" si="4"/>
        <v>Ø32</v>
      </c>
      <c r="X41" s="3" t="str">
        <f t="shared" si="5"/>
        <v>Ø32</v>
      </c>
    </row>
    <row r="42" spans="2:24" x14ac:dyDescent="0.3">
      <c r="Q42" s="3" t="s">
        <v>152</v>
      </c>
      <c r="R42" s="3">
        <v>4</v>
      </c>
      <c r="S42" s="3">
        <v>6</v>
      </c>
      <c r="T42" s="21" t="str">
        <f t="shared" si="8"/>
        <v>ВВГнг(А)-FRLS (4х6)</v>
      </c>
      <c r="U42" s="3">
        <v>20.100000000000001</v>
      </c>
      <c r="V42" s="3">
        <f t="shared" si="3"/>
        <v>24.12</v>
      </c>
      <c r="W42" s="3" t="str">
        <f t="shared" si="4"/>
        <v>Ø32</v>
      </c>
      <c r="X42" s="3" t="str">
        <f t="shared" si="5"/>
        <v>Ø32</v>
      </c>
    </row>
    <row r="43" spans="2:24" x14ac:dyDescent="0.3">
      <c r="Q43" s="3" t="s">
        <v>152</v>
      </c>
      <c r="R43" s="3">
        <v>5</v>
      </c>
      <c r="S43" s="3">
        <v>6</v>
      </c>
      <c r="T43" s="21" t="str">
        <f t="shared" si="8"/>
        <v>ВВГнг(А)-FRLS (5х6)</v>
      </c>
      <c r="U43" s="3">
        <v>21.9</v>
      </c>
      <c r="V43" s="3">
        <f t="shared" si="3"/>
        <v>26.279999999999998</v>
      </c>
      <c r="W43" s="3" t="str">
        <f t="shared" si="4"/>
        <v>Ø40</v>
      </c>
      <c r="X43" s="3" t="str">
        <f t="shared" si="5"/>
        <v>Ø40</v>
      </c>
    </row>
    <row r="44" spans="2:24" x14ac:dyDescent="0.3">
      <c r="Q44" s="3" t="s">
        <v>149</v>
      </c>
      <c r="R44" s="3">
        <v>1</v>
      </c>
      <c r="S44" s="3">
        <v>1.5</v>
      </c>
      <c r="T44" s="21" t="str">
        <f>Q44&amp;" ("&amp;R44&amp;"х"&amp;S44&amp;")"</f>
        <v>ППГнг(А)-HF (1х1,5)</v>
      </c>
      <c r="U44" s="3">
        <v>5.5</v>
      </c>
      <c r="V44" s="3">
        <f t="shared" si="3"/>
        <v>14</v>
      </c>
      <c r="W44" s="3" t="str">
        <f t="shared" si="4"/>
        <v>Ø20</v>
      </c>
      <c r="X44" s="3" t="str">
        <f t="shared" si="5"/>
        <v>Ø20</v>
      </c>
    </row>
    <row r="45" spans="2:24" x14ac:dyDescent="0.3">
      <c r="Q45" s="3" t="s">
        <v>149</v>
      </c>
      <c r="R45" s="3">
        <v>2</v>
      </c>
      <c r="S45" s="3">
        <v>1.5</v>
      </c>
      <c r="T45" s="21" t="str">
        <f t="shared" ref="T45:T63" si="9">Q45&amp;" ("&amp;R45&amp;"х"&amp;S45&amp;")"</f>
        <v>ППГнг(А)-HF (2х1,5)</v>
      </c>
      <c r="U45" s="3">
        <v>9</v>
      </c>
      <c r="V45" s="3">
        <f t="shared" si="3"/>
        <v>14</v>
      </c>
      <c r="W45" s="3" t="str">
        <f t="shared" si="4"/>
        <v>Ø20</v>
      </c>
      <c r="X45" s="3" t="str">
        <f t="shared" si="5"/>
        <v>Ø20</v>
      </c>
    </row>
    <row r="46" spans="2:24" x14ac:dyDescent="0.3">
      <c r="Q46" s="3" t="s">
        <v>149</v>
      </c>
      <c r="R46" s="3">
        <v>3</v>
      </c>
      <c r="S46" s="3">
        <v>1.5</v>
      </c>
      <c r="T46" s="21" t="str">
        <f t="shared" si="9"/>
        <v>ППГнг(А)-HF (3х1,5)</v>
      </c>
      <c r="U46" s="3">
        <v>9.4</v>
      </c>
      <c r="V46" s="3">
        <f t="shared" si="3"/>
        <v>14</v>
      </c>
      <c r="W46" s="3" t="str">
        <f t="shared" si="4"/>
        <v>Ø20</v>
      </c>
      <c r="X46" s="3" t="str">
        <f t="shared" si="5"/>
        <v>Ø20</v>
      </c>
    </row>
    <row r="47" spans="2:24" x14ac:dyDescent="0.3">
      <c r="Q47" s="3" t="s">
        <v>149</v>
      </c>
      <c r="R47" s="3">
        <v>4</v>
      </c>
      <c r="S47" s="3">
        <v>1.5</v>
      </c>
      <c r="T47" s="21" t="str">
        <f t="shared" si="9"/>
        <v>ППГнг(А)-HF (4х1,5)</v>
      </c>
      <c r="U47" s="3">
        <v>10.1</v>
      </c>
      <c r="V47" s="3">
        <f t="shared" si="3"/>
        <v>14</v>
      </c>
      <c r="W47" s="3" t="str">
        <f t="shared" si="4"/>
        <v>Ø20</v>
      </c>
      <c r="X47" s="3" t="str">
        <f t="shared" si="5"/>
        <v>Ø20</v>
      </c>
    </row>
    <row r="48" spans="2:24" x14ac:dyDescent="0.3">
      <c r="Q48" s="3" t="s">
        <v>149</v>
      </c>
      <c r="R48" s="3">
        <v>5</v>
      </c>
      <c r="S48" s="3">
        <v>1.5</v>
      </c>
      <c r="T48" s="21" t="str">
        <f t="shared" si="9"/>
        <v>ППГнг(А)-HF (5х1,5)</v>
      </c>
      <c r="U48" s="3">
        <v>10.8</v>
      </c>
      <c r="V48" s="3">
        <f t="shared" si="3"/>
        <v>14</v>
      </c>
      <c r="W48" s="3" t="str">
        <f t="shared" si="4"/>
        <v>Ø20</v>
      </c>
      <c r="X48" s="3" t="str">
        <f t="shared" si="5"/>
        <v>Ø20</v>
      </c>
    </row>
    <row r="49" spans="17:24" x14ac:dyDescent="0.3">
      <c r="Q49" s="3" t="s">
        <v>149</v>
      </c>
      <c r="R49" s="3">
        <v>1</v>
      </c>
      <c r="S49" s="3">
        <v>2.5</v>
      </c>
      <c r="T49" s="21" t="str">
        <f t="shared" si="9"/>
        <v>ППГнг(А)-HF (1х2,5)</v>
      </c>
      <c r="U49" s="3">
        <v>5.9</v>
      </c>
      <c r="V49" s="3">
        <f t="shared" si="3"/>
        <v>14</v>
      </c>
      <c r="W49" s="3" t="str">
        <f t="shared" si="4"/>
        <v>Ø20</v>
      </c>
      <c r="X49" s="3" t="str">
        <f t="shared" si="5"/>
        <v>Ø20</v>
      </c>
    </row>
    <row r="50" spans="17:24" x14ac:dyDescent="0.3">
      <c r="Q50" s="3" t="s">
        <v>149</v>
      </c>
      <c r="R50" s="3">
        <v>2</v>
      </c>
      <c r="S50" s="3">
        <v>2.5</v>
      </c>
      <c r="T50" s="21" t="str">
        <f t="shared" si="9"/>
        <v>ППГнг(А)-HF (2х2,5)</v>
      </c>
      <c r="U50" s="3">
        <v>9.6999999999999993</v>
      </c>
      <c r="V50" s="3">
        <f t="shared" si="3"/>
        <v>14</v>
      </c>
      <c r="W50" s="3" t="str">
        <f t="shared" si="4"/>
        <v>Ø20</v>
      </c>
      <c r="X50" s="3" t="str">
        <f t="shared" si="5"/>
        <v>Ø20</v>
      </c>
    </row>
    <row r="51" spans="17:24" x14ac:dyDescent="0.3">
      <c r="Q51" s="3" t="s">
        <v>149</v>
      </c>
      <c r="R51" s="3">
        <v>3</v>
      </c>
      <c r="S51" s="3">
        <v>2.5</v>
      </c>
      <c r="T51" s="21" t="str">
        <f t="shared" si="9"/>
        <v>ППГнг(А)-HF (3х2,5)</v>
      </c>
      <c r="U51" s="3">
        <v>10.199999999999999</v>
      </c>
      <c r="V51" s="3">
        <f t="shared" si="3"/>
        <v>14</v>
      </c>
      <c r="W51" s="3" t="str">
        <f t="shared" si="4"/>
        <v>Ø20</v>
      </c>
      <c r="X51" s="3" t="str">
        <f t="shared" si="5"/>
        <v>Ø20</v>
      </c>
    </row>
    <row r="52" spans="17:24" x14ac:dyDescent="0.3">
      <c r="Q52" s="3" t="s">
        <v>149</v>
      </c>
      <c r="R52" s="3">
        <v>4</v>
      </c>
      <c r="S52" s="3">
        <v>2.5</v>
      </c>
      <c r="T52" s="21" t="str">
        <f t="shared" si="9"/>
        <v>ППГнг(А)-HF (4х2,5)</v>
      </c>
      <c r="U52" s="3">
        <v>11</v>
      </c>
      <c r="V52" s="3">
        <f t="shared" si="3"/>
        <v>14</v>
      </c>
      <c r="W52" s="3" t="str">
        <f t="shared" si="4"/>
        <v>Ø20</v>
      </c>
      <c r="X52" s="3" t="str">
        <f t="shared" si="5"/>
        <v>Ø20</v>
      </c>
    </row>
    <row r="53" spans="17:24" x14ac:dyDescent="0.3">
      <c r="Q53" s="3" t="s">
        <v>149</v>
      </c>
      <c r="R53" s="3">
        <v>5</v>
      </c>
      <c r="S53" s="3">
        <v>2.5</v>
      </c>
      <c r="T53" s="21" t="str">
        <f t="shared" si="9"/>
        <v>ППГнг(А)-HF (5х2,5)</v>
      </c>
      <c r="U53" s="3">
        <v>11.9</v>
      </c>
      <c r="V53" s="3">
        <f t="shared" si="3"/>
        <v>14.28</v>
      </c>
      <c r="W53" s="3" t="str">
        <f t="shared" si="4"/>
        <v>Ø20</v>
      </c>
      <c r="X53" s="3" t="str">
        <f t="shared" si="5"/>
        <v>Ø20</v>
      </c>
    </row>
    <row r="54" spans="17:24" x14ac:dyDescent="0.3">
      <c r="Q54" s="3" t="s">
        <v>149</v>
      </c>
      <c r="R54" s="3">
        <v>1</v>
      </c>
      <c r="S54" s="3">
        <v>4</v>
      </c>
      <c r="T54" s="21" t="str">
        <f t="shared" si="9"/>
        <v>ППГнг(А)-HF (1х4)</v>
      </c>
      <c r="U54" s="3">
        <v>6.5</v>
      </c>
      <c r="V54" s="3">
        <f t="shared" si="3"/>
        <v>14</v>
      </c>
      <c r="W54" s="3" t="str">
        <f t="shared" si="4"/>
        <v>Ø20</v>
      </c>
      <c r="X54" s="3" t="str">
        <f t="shared" si="5"/>
        <v>Ø20</v>
      </c>
    </row>
    <row r="55" spans="17:24" x14ac:dyDescent="0.3">
      <c r="Q55" s="3" t="s">
        <v>149</v>
      </c>
      <c r="R55" s="3">
        <v>2</v>
      </c>
      <c r="S55" s="3">
        <v>4</v>
      </c>
      <c r="T55" s="21" t="str">
        <f t="shared" si="9"/>
        <v>ППГнг(А)-HF (2х4)</v>
      </c>
      <c r="U55" s="3">
        <v>11.1</v>
      </c>
      <c r="V55" s="3">
        <f t="shared" si="3"/>
        <v>14</v>
      </c>
      <c r="W55" s="3" t="str">
        <f t="shared" si="4"/>
        <v>Ø20</v>
      </c>
      <c r="X55" s="3" t="str">
        <f t="shared" si="5"/>
        <v>Ø20</v>
      </c>
    </row>
    <row r="56" spans="17:24" x14ac:dyDescent="0.3">
      <c r="Q56" s="3" t="s">
        <v>149</v>
      </c>
      <c r="R56" s="3">
        <v>3</v>
      </c>
      <c r="S56" s="3">
        <v>4</v>
      </c>
      <c r="T56" s="21" t="str">
        <f t="shared" si="9"/>
        <v>ППГнг(А)-HF (3х4)</v>
      </c>
      <c r="U56" s="3">
        <v>11.6</v>
      </c>
      <c r="V56" s="3">
        <f t="shared" si="3"/>
        <v>14</v>
      </c>
      <c r="W56" s="3" t="str">
        <f t="shared" si="4"/>
        <v>Ø20</v>
      </c>
      <c r="X56" s="3" t="str">
        <f t="shared" si="5"/>
        <v>Ø20</v>
      </c>
    </row>
    <row r="57" spans="17:24" x14ac:dyDescent="0.3">
      <c r="Q57" s="3" t="s">
        <v>149</v>
      </c>
      <c r="R57" s="3">
        <v>4</v>
      </c>
      <c r="S57" s="3">
        <v>4</v>
      </c>
      <c r="T57" s="21" t="str">
        <f t="shared" si="9"/>
        <v>ППГнг(А)-HF (4х4)</v>
      </c>
      <c r="U57" s="3">
        <v>12.6</v>
      </c>
      <c r="V57" s="3">
        <f t="shared" si="3"/>
        <v>15.12</v>
      </c>
      <c r="W57" s="3" t="str">
        <f t="shared" si="4"/>
        <v>Ø25</v>
      </c>
      <c r="X57" s="3" t="str">
        <f t="shared" si="5"/>
        <v>Ø25</v>
      </c>
    </row>
    <row r="58" spans="17:24" x14ac:dyDescent="0.3">
      <c r="Q58" s="3" t="s">
        <v>149</v>
      </c>
      <c r="R58" s="3">
        <v>5</v>
      </c>
      <c r="S58" s="3">
        <v>4</v>
      </c>
      <c r="T58" s="21" t="str">
        <f t="shared" si="9"/>
        <v>ППГнг(А)-HF (5х4)</v>
      </c>
      <c r="U58" s="3">
        <v>13.7</v>
      </c>
      <c r="V58" s="3">
        <f t="shared" si="3"/>
        <v>16.439999999999998</v>
      </c>
      <c r="W58" s="3" t="str">
        <f t="shared" si="4"/>
        <v>Ø25</v>
      </c>
      <c r="X58" s="3" t="str">
        <f t="shared" si="5"/>
        <v>Ø25</v>
      </c>
    </row>
    <row r="59" spans="17:24" x14ac:dyDescent="0.3">
      <c r="Q59" s="3" t="s">
        <v>149</v>
      </c>
      <c r="R59" s="3">
        <v>1</v>
      </c>
      <c r="S59" s="3">
        <v>6</v>
      </c>
      <c r="T59" s="21" t="str">
        <f t="shared" si="9"/>
        <v>ППГнг(А)-HF (1х6)</v>
      </c>
      <c r="U59" s="3">
        <v>7</v>
      </c>
      <c r="V59" s="3">
        <f t="shared" si="3"/>
        <v>14</v>
      </c>
      <c r="W59" s="3" t="str">
        <f t="shared" si="4"/>
        <v>Ø20</v>
      </c>
      <c r="X59" s="3" t="str">
        <f t="shared" si="5"/>
        <v>Ø20</v>
      </c>
    </row>
    <row r="60" spans="17:24" x14ac:dyDescent="0.3">
      <c r="Q60" s="3" t="s">
        <v>149</v>
      </c>
      <c r="R60" s="3">
        <v>2</v>
      </c>
      <c r="S60" s="3">
        <v>6</v>
      </c>
      <c r="T60" s="21" t="str">
        <f t="shared" si="9"/>
        <v>ППГнг(А)-HF (2х6)</v>
      </c>
      <c r="U60" s="3">
        <v>12.1</v>
      </c>
      <c r="V60" s="3">
        <f t="shared" si="3"/>
        <v>14.52</v>
      </c>
      <c r="W60" s="3" t="str">
        <f t="shared" si="4"/>
        <v>Ø20</v>
      </c>
      <c r="X60" s="3" t="str">
        <f t="shared" si="5"/>
        <v>Ø25</v>
      </c>
    </row>
    <row r="61" spans="17:24" x14ac:dyDescent="0.3">
      <c r="Q61" s="3" t="s">
        <v>149</v>
      </c>
      <c r="R61" s="3">
        <v>3</v>
      </c>
      <c r="S61" s="3">
        <v>6</v>
      </c>
      <c r="T61" s="21" t="str">
        <f t="shared" si="9"/>
        <v>ППГнг(А)-HF (3х6)</v>
      </c>
      <c r="U61" s="3">
        <v>12.7</v>
      </c>
      <c r="V61" s="3">
        <f t="shared" si="3"/>
        <v>15.239999999999998</v>
      </c>
      <c r="W61" s="3" t="str">
        <f t="shared" si="4"/>
        <v>Ø25</v>
      </c>
      <c r="X61" s="3" t="str">
        <f t="shared" si="5"/>
        <v>Ø25</v>
      </c>
    </row>
    <row r="62" spans="17:24" x14ac:dyDescent="0.3">
      <c r="Q62" s="3" t="s">
        <v>149</v>
      </c>
      <c r="R62" s="3">
        <v>4</v>
      </c>
      <c r="S62" s="3">
        <v>6</v>
      </c>
      <c r="T62" s="21" t="str">
        <f t="shared" si="9"/>
        <v>ППГнг(А)-HF (4х6)</v>
      </c>
      <c r="U62" s="3">
        <v>13.8</v>
      </c>
      <c r="V62" s="3">
        <f t="shared" si="3"/>
        <v>16.559999999999999</v>
      </c>
      <c r="W62" s="3" t="str">
        <f t="shared" si="4"/>
        <v>Ø25</v>
      </c>
      <c r="X62" s="3" t="str">
        <f t="shared" si="5"/>
        <v>Ø25</v>
      </c>
    </row>
    <row r="63" spans="17:24" x14ac:dyDescent="0.3">
      <c r="Q63" s="3" t="s">
        <v>149</v>
      </c>
      <c r="R63" s="3">
        <v>5</v>
      </c>
      <c r="S63" s="3">
        <v>6</v>
      </c>
      <c r="T63" s="21" t="str">
        <f t="shared" si="9"/>
        <v>ППГнг(А)-HF (5х6)</v>
      </c>
      <c r="U63" s="3">
        <v>15</v>
      </c>
      <c r="V63" s="3">
        <f t="shared" si="3"/>
        <v>18</v>
      </c>
      <c r="W63" s="3" t="str">
        <f t="shared" si="4"/>
        <v>Ø25</v>
      </c>
      <c r="X63" s="3" t="str">
        <f t="shared" si="5"/>
        <v>Ø25</v>
      </c>
    </row>
    <row r="64" spans="17:24" x14ac:dyDescent="0.3">
      <c r="Q64" s="3" t="s">
        <v>147</v>
      </c>
      <c r="R64" s="3">
        <v>1</v>
      </c>
      <c r="S64" s="3">
        <v>1.5</v>
      </c>
      <c r="T64" s="21" t="str">
        <f>Q64&amp;" ("&amp;R64&amp;"х"&amp;S64&amp;")"</f>
        <v>ППГнг(А)-FRHF (1х1,5)</v>
      </c>
      <c r="U64" s="3">
        <v>6.5</v>
      </c>
      <c r="V64" s="3">
        <f t="shared" si="3"/>
        <v>14</v>
      </c>
      <c r="W64" s="3" t="str">
        <f t="shared" si="4"/>
        <v>Ø20</v>
      </c>
      <c r="X64" s="3" t="str">
        <f t="shared" si="5"/>
        <v>Ø20</v>
      </c>
    </row>
    <row r="65" spans="17:24" x14ac:dyDescent="0.3">
      <c r="Q65" s="3" t="s">
        <v>147</v>
      </c>
      <c r="R65" s="3">
        <v>2</v>
      </c>
      <c r="S65" s="3">
        <v>1.5</v>
      </c>
      <c r="T65" s="21" t="str">
        <f t="shared" ref="T65:T91" si="10">Q65&amp;" ("&amp;R65&amp;"х"&amp;S65&amp;")"</f>
        <v>ППГнг(А)-FRHF (2х1,5)</v>
      </c>
      <c r="U65" s="3">
        <v>10.3</v>
      </c>
      <c r="V65" s="3">
        <f t="shared" si="3"/>
        <v>14</v>
      </c>
      <c r="W65" s="3" t="str">
        <f t="shared" si="4"/>
        <v>Ø20</v>
      </c>
      <c r="X65" s="3" t="str">
        <f t="shared" si="5"/>
        <v>Ø20</v>
      </c>
    </row>
    <row r="66" spans="17:24" x14ac:dyDescent="0.3">
      <c r="Q66" s="3" t="s">
        <v>147</v>
      </c>
      <c r="R66" s="3">
        <v>3</v>
      </c>
      <c r="S66" s="3">
        <v>1.5</v>
      </c>
      <c r="T66" s="21" t="str">
        <f t="shared" si="10"/>
        <v>ППГнг(А)-FRHF (3х1,5)</v>
      </c>
      <c r="U66" s="3">
        <v>10.8</v>
      </c>
      <c r="V66" s="3">
        <f t="shared" si="3"/>
        <v>14</v>
      </c>
      <c r="W66" s="3" t="str">
        <f t="shared" si="4"/>
        <v>Ø20</v>
      </c>
      <c r="X66" s="3" t="str">
        <f t="shared" si="5"/>
        <v>Ø20</v>
      </c>
    </row>
    <row r="67" spans="17:24" x14ac:dyDescent="0.3">
      <c r="Q67" s="3" t="s">
        <v>147</v>
      </c>
      <c r="R67" s="3">
        <v>4</v>
      </c>
      <c r="S67" s="3">
        <v>1.5</v>
      </c>
      <c r="T67" s="21" t="str">
        <f t="shared" si="10"/>
        <v>ППГнг(А)-FRHF (4х1,5)</v>
      </c>
      <c r="U67" s="3">
        <v>11.7</v>
      </c>
      <c r="V67" s="3">
        <f t="shared" si="3"/>
        <v>14.04</v>
      </c>
      <c r="W67" s="3" t="str">
        <f t="shared" si="4"/>
        <v>Ø20</v>
      </c>
      <c r="X67" s="3" t="str">
        <f t="shared" si="5"/>
        <v>Ø20</v>
      </c>
    </row>
    <row r="68" spans="17:24" x14ac:dyDescent="0.3">
      <c r="Q68" s="3" t="s">
        <v>147</v>
      </c>
      <c r="R68" s="3">
        <v>5</v>
      </c>
      <c r="S68" s="3">
        <v>1.5</v>
      </c>
      <c r="T68" s="21" t="str">
        <f t="shared" si="10"/>
        <v>ППГнг(А)-FRHF (5х1,5)</v>
      </c>
      <c r="U68" s="3">
        <v>13.1</v>
      </c>
      <c r="V68" s="3">
        <f t="shared" si="3"/>
        <v>15.719999999999999</v>
      </c>
      <c r="W68" s="3" t="str">
        <f t="shared" si="4"/>
        <v>Ø25</v>
      </c>
      <c r="X68" s="3" t="str">
        <f t="shared" si="5"/>
        <v>Ø25</v>
      </c>
    </row>
    <row r="69" spans="17:24" x14ac:dyDescent="0.3">
      <c r="Q69" s="3" t="s">
        <v>147</v>
      </c>
      <c r="R69" s="3">
        <v>1</v>
      </c>
      <c r="S69" s="3">
        <v>2.5</v>
      </c>
      <c r="T69" s="21" t="str">
        <f t="shared" si="10"/>
        <v>ППГнг(А)-FRHF (1х2,5)</v>
      </c>
      <c r="U69" s="3">
        <v>6.9</v>
      </c>
      <c r="V69" s="3">
        <f t="shared" ref="V69:V132" si="11">IF((U69*1.2)&lt;14,14,U69*1.2)</f>
        <v>14</v>
      </c>
      <c r="W69" s="3" t="str">
        <f t="shared" ref="W69:W132" si="12">"Ø"&amp;VLOOKUP(V69,$Z$4:$AA$10,2,TRUE)</f>
        <v>Ø20</v>
      </c>
      <c r="X69" s="3" t="str">
        <f t="shared" ref="X69:X132" si="13">"Ø"&amp;VLOOKUP(V69,$AD$4:$AE$10,2,TRUE)</f>
        <v>Ø20</v>
      </c>
    </row>
    <row r="70" spans="17:24" x14ac:dyDescent="0.3">
      <c r="Q70" s="3" t="s">
        <v>147</v>
      </c>
      <c r="R70" s="3">
        <v>2</v>
      </c>
      <c r="S70" s="3">
        <v>2.5</v>
      </c>
      <c r="T70" s="21" t="str">
        <f t="shared" si="10"/>
        <v>ППГнг(А)-FRHF (2х2,5)</v>
      </c>
      <c r="U70" s="3">
        <v>11.1</v>
      </c>
      <c r="V70" s="3">
        <f t="shared" si="11"/>
        <v>14</v>
      </c>
      <c r="W70" s="3" t="str">
        <f t="shared" si="12"/>
        <v>Ø20</v>
      </c>
      <c r="X70" s="3" t="str">
        <f t="shared" si="13"/>
        <v>Ø20</v>
      </c>
    </row>
    <row r="71" spans="17:24" x14ac:dyDescent="0.3">
      <c r="Q71" s="3" t="s">
        <v>147</v>
      </c>
      <c r="R71" s="3">
        <v>3</v>
      </c>
      <c r="S71" s="3">
        <v>2.5</v>
      </c>
      <c r="T71" s="21" t="str">
        <f t="shared" si="10"/>
        <v>ППГнг(А)-FRHF (3х2,5)</v>
      </c>
      <c r="U71" s="3">
        <v>11.6</v>
      </c>
      <c r="V71" s="3">
        <f t="shared" si="11"/>
        <v>14</v>
      </c>
      <c r="W71" s="3" t="str">
        <f t="shared" si="12"/>
        <v>Ø20</v>
      </c>
      <c r="X71" s="3" t="str">
        <f t="shared" si="13"/>
        <v>Ø20</v>
      </c>
    </row>
    <row r="72" spans="17:24" x14ac:dyDescent="0.3">
      <c r="Q72" s="3" t="s">
        <v>147</v>
      </c>
      <c r="R72" s="3">
        <v>4</v>
      </c>
      <c r="S72" s="3">
        <v>2.5</v>
      </c>
      <c r="T72" s="21" t="str">
        <f t="shared" si="10"/>
        <v>ППГнг(А)-FRHF (4х2,5)</v>
      </c>
      <c r="U72" s="3">
        <v>12.5</v>
      </c>
      <c r="V72" s="3">
        <f t="shared" si="11"/>
        <v>15</v>
      </c>
      <c r="W72" s="3" t="str">
        <f t="shared" si="12"/>
        <v>Ø25</v>
      </c>
      <c r="X72" s="3" t="str">
        <f t="shared" si="13"/>
        <v>Ø25</v>
      </c>
    </row>
    <row r="73" spans="17:24" x14ac:dyDescent="0.3">
      <c r="Q73" s="3" t="s">
        <v>147</v>
      </c>
      <c r="R73" s="3">
        <v>5</v>
      </c>
      <c r="S73" s="3">
        <v>2.5</v>
      </c>
      <c r="T73" s="21" t="str">
        <f t="shared" si="10"/>
        <v>ППГнг(А)-FRHF (5х2,5)</v>
      </c>
      <c r="U73" s="3">
        <v>13.6</v>
      </c>
      <c r="V73" s="3">
        <f t="shared" si="11"/>
        <v>16.32</v>
      </c>
      <c r="W73" s="3" t="str">
        <f t="shared" si="12"/>
        <v>Ø25</v>
      </c>
      <c r="X73" s="3" t="str">
        <f t="shared" si="13"/>
        <v>Ø25</v>
      </c>
    </row>
    <row r="74" spans="17:24" x14ac:dyDescent="0.3">
      <c r="Q74" s="3" t="s">
        <v>147</v>
      </c>
      <c r="R74" s="3">
        <v>1</v>
      </c>
      <c r="S74" s="3">
        <v>4</v>
      </c>
      <c r="T74" s="21" t="str">
        <f t="shared" si="10"/>
        <v>ППГнг(А)-FRHF (1х4)</v>
      </c>
      <c r="U74" s="3">
        <v>7.6</v>
      </c>
      <c r="V74" s="3">
        <f t="shared" si="11"/>
        <v>14</v>
      </c>
      <c r="W74" s="3" t="str">
        <f t="shared" si="12"/>
        <v>Ø20</v>
      </c>
      <c r="X74" s="3" t="str">
        <f t="shared" si="13"/>
        <v>Ø20</v>
      </c>
    </row>
    <row r="75" spans="17:24" x14ac:dyDescent="0.3">
      <c r="Q75" s="3" t="s">
        <v>147</v>
      </c>
      <c r="R75" s="3">
        <v>2</v>
      </c>
      <c r="S75" s="3">
        <v>4</v>
      </c>
      <c r="T75" s="21" t="str">
        <f t="shared" si="10"/>
        <v>ППГнг(А)-FRHF (2х4)</v>
      </c>
      <c r="U75" s="3">
        <v>12.4</v>
      </c>
      <c r="V75" s="3">
        <f t="shared" si="11"/>
        <v>14.879999999999999</v>
      </c>
      <c r="W75" s="3" t="str">
        <f t="shared" si="12"/>
        <v>Ø20</v>
      </c>
      <c r="X75" s="3" t="str">
        <f t="shared" si="13"/>
        <v>Ø25</v>
      </c>
    </row>
    <row r="76" spans="17:24" x14ac:dyDescent="0.3">
      <c r="Q76" s="3" t="s">
        <v>147</v>
      </c>
      <c r="R76" s="3">
        <v>3</v>
      </c>
      <c r="S76" s="3">
        <v>4</v>
      </c>
      <c r="T76" s="21" t="str">
        <f t="shared" si="10"/>
        <v>ППГнг(А)-FRHF (3х4)</v>
      </c>
      <c r="U76" s="3">
        <v>13.1</v>
      </c>
      <c r="V76" s="3">
        <f t="shared" si="11"/>
        <v>15.719999999999999</v>
      </c>
      <c r="W76" s="3" t="str">
        <f t="shared" si="12"/>
        <v>Ø25</v>
      </c>
      <c r="X76" s="3" t="str">
        <f t="shared" si="13"/>
        <v>Ø25</v>
      </c>
    </row>
    <row r="77" spans="17:24" x14ac:dyDescent="0.3">
      <c r="Q77" s="3" t="s">
        <v>147</v>
      </c>
      <c r="R77" s="3">
        <v>4</v>
      </c>
      <c r="S77" s="3">
        <v>4</v>
      </c>
      <c r="T77" s="21" t="str">
        <f t="shared" si="10"/>
        <v>ППГнг(А)-FRHF (4х4)</v>
      </c>
      <c r="U77" s="3">
        <v>14.2</v>
      </c>
      <c r="V77" s="3">
        <f t="shared" si="11"/>
        <v>17.04</v>
      </c>
      <c r="W77" s="3" t="str">
        <f t="shared" si="12"/>
        <v>Ø25</v>
      </c>
      <c r="X77" s="3" t="str">
        <f t="shared" si="13"/>
        <v>Ø25</v>
      </c>
    </row>
    <row r="78" spans="17:24" x14ac:dyDescent="0.3">
      <c r="Q78" s="3" t="s">
        <v>147</v>
      </c>
      <c r="R78" s="3">
        <v>5</v>
      </c>
      <c r="S78" s="3">
        <v>4</v>
      </c>
      <c r="T78" s="21" t="str">
        <f t="shared" si="10"/>
        <v>ППГнг(А)-FRHF (5х4)</v>
      </c>
      <c r="U78" s="3">
        <v>15.4</v>
      </c>
      <c r="V78" s="3">
        <f t="shared" si="11"/>
        <v>18.48</v>
      </c>
      <c r="W78" s="3" t="str">
        <f t="shared" si="12"/>
        <v>Ø25</v>
      </c>
      <c r="X78" s="3" t="str">
        <f t="shared" si="13"/>
        <v>Ø25</v>
      </c>
    </row>
    <row r="79" spans="17:24" x14ac:dyDescent="0.3">
      <c r="Q79" s="3" t="s">
        <v>147</v>
      </c>
      <c r="R79" s="3">
        <v>1</v>
      </c>
      <c r="S79" s="3">
        <v>6</v>
      </c>
      <c r="T79" s="21" t="str">
        <f t="shared" si="10"/>
        <v>ППГнг(А)-FRHF (1х6)</v>
      </c>
      <c r="U79" s="3">
        <v>9</v>
      </c>
      <c r="V79" s="3">
        <f t="shared" si="11"/>
        <v>14</v>
      </c>
      <c r="W79" s="3" t="str">
        <f t="shared" si="12"/>
        <v>Ø20</v>
      </c>
      <c r="X79" s="3" t="str">
        <f t="shared" si="13"/>
        <v>Ø20</v>
      </c>
    </row>
    <row r="80" spans="17:24" x14ac:dyDescent="0.3">
      <c r="Q80" s="3" t="s">
        <v>147</v>
      </c>
      <c r="R80" s="3">
        <v>2</v>
      </c>
      <c r="S80" s="3">
        <v>6</v>
      </c>
      <c r="T80" s="21" t="str">
        <f t="shared" si="10"/>
        <v>ППГнг(А)-FRHF (2х6)</v>
      </c>
      <c r="U80" s="3">
        <v>14</v>
      </c>
      <c r="V80" s="3">
        <f t="shared" si="11"/>
        <v>16.8</v>
      </c>
      <c r="W80" s="3" t="str">
        <f t="shared" si="12"/>
        <v>Ø25</v>
      </c>
      <c r="X80" s="3" t="str">
        <f t="shared" si="13"/>
        <v>Ø25</v>
      </c>
    </row>
    <row r="81" spans="17:24" x14ac:dyDescent="0.3">
      <c r="Q81" s="3" t="s">
        <v>147</v>
      </c>
      <c r="R81" s="3">
        <v>3</v>
      </c>
      <c r="S81" s="3">
        <v>6</v>
      </c>
      <c r="T81" s="21" t="str">
        <f t="shared" si="10"/>
        <v>ППГнг(А)-FRHF (3х6)</v>
      </c>
      <c r="U81" s="3">
        <v>14.8</v>
      </c>
      <c r="V81" s="3">
        <f t="shared" si="11"/>
        <v>17.760000000000002</v>
      </c>
      <c r="W81" s="3" t="str">
        <f t="shared" si="12"/>
        <v>Ø25</v>
      </c>
      <c r="X81" s="3" t="str">
        <f t="shared" si="13"/>
        <v>Ø25</v>
      </c>
    </row>
    <row r="82" spans="17:24" x14ac:dyDescent="0.3">
      <c r="Q82" s="3" t="s">
        <v>147</v>
      </c>
      <c r="R82" s="3">
        <v>4</v>
      </c>
      <c r="S82" s="3">
        <v>6</v>
      </c>
      <c r="T82" s="21" t="str">
        <f t="shared" si="10"/>
        <v>ППГнг(А)-FRHF (4х6)</v>
      </c>
      <c r="U82" s="3">
        <v>16.100000000000001</v>
      </c>
      <c r="V82" s="3">
        <f t="shared" si="11"/>
        <v>19.32</v>
      </c>
      <c r="W82" s="3" t="str">
        <f t="shared" si="12"/>
        <v>Ø32</v>
      </c>
      <c r="X82" s="3" t="str">
        <f t="shared" si="13"/>
        <v>Ø32</v>
      </c>
    </row>
    <row r="83" spans="17:24" x14ac:dyDescent="0.3">
      <c r="Q83" s="3" t="s">
        <v>147</v>
      </c>
      <c r="R83" s="3">
        <v>5</v>
      </c>
      <c r="S83" s="3">
        <v>6</v>
      </c>
      <c r="T83" s="21" t="str">
        <f t="shared" si="10"/>
        <v>ППГнг(А)-FRHF (5х6)</v>
      </c>
      <c r="U83" s="3">
        <v>17.600000000000001</v>
      </c>
      <c r="V83" s="3">
        <f t="shared" si="11"/>
        <v>21.12</v>
      </c>
      <c r="W83" s="3" t="str">
        <f t="shared" si="12"/>
        <v>Ø32</v>
      </c>
      <c r="X83" s="3" t="str">
        <f t="shared" si="13"/>
        <v>Ø32</v>
      </c>
    </row>
    <row r="84" spans="17:24" x14ac:dyDescent="0.3">
      <c r="Q84" s="3" t="s">
        <v>143</v>
      </c>
      <c r="R84" s="3">
        <v>1</v>
      </c>
      <c r="S84" s="3">
        <v>0.75</v>
      </c>
      <c r="T84" s="21" t="str">
        <f t="shared" si="10"/>
        <v>КГВВнг(А)-LS (1х0,75)</v>
      </c>
      <c r="U84" s="3">
        <v>2.2999999999999998</v>
      </c>
      <c r="V84" s="3">
        <f t="shared" si="11"/>
        <v>14</v>
      </c>
      <c r="W84" s="3" t="str">
        <f t="shared" si="12"/>
        <v>Ø20</v>
      </c>
      <c r="X84" s="3" t="str">
        <f t="shared" si="13"/>
        <v>Ø20</v>
      </c>
    </row>
    <row r="85" spans="17:24" x14ac:dyDescent="0.3">
      <c r="Q85" s="25" t="s">
        <v>143</v>
      </c>
      <c r="R85" s="3">
        <v>2</v>
      </c>
      <c r="S85" s="3">
        <v>0.75</v>
      </c>
      <c r="T85" s="21" t="str">
        <f t="shared" si="10"/>
        <v>КГВВнг(А)-LS (2х0,75)</v>
      </c>
      <c r="U85" s="3">
        <v>7</v>
      </c>
      <c r="V85" s="3">
        <f t="shared" si="11"/>
        <v>14</v>
      </c>
      <c r="W85" s="3" t="str">
        <f t="shared" si="12"/>
        <v>Ø20</v>
      </c>
      <c r="X85" s="3" t="str">
        <f t="shared" si="13"/>
        <v>Ø20</v>
      </c>
    </row>
    <row r="86" spans="17:24" x14ac:dyDescent="0.3">
      <c r="Q86" s="25" t="s">
        <v>143</v>
      </c>
      <c r="R86" s="3">
        <v>3</v>
      </c>
      <c r="S86" s="3">
        <v>0.75</v>
      </c>
      <c r="T86" s="21" t="str">
        <f t="shared" si="10"/>
        <v>КГВВнг(А)-LS (3х0,75)</v>
      </c>
      <c r="U86" s="3">
        <v>7.3</v>
      </c>
      <c r="V86" s="3">
        <f t="shared" si="11"/>
        <v>14</v>
      </c>
      <c r="W86" s="3" t="str">
        <f t="shared" si="12"/>
        <v>Ø20</v>
      </c>
      <c r="X86" s="3" t="str">
        <f t="shared" si="13"/>
        <v>Ø20</v>
      </c>
    </row>
    <row r="87" spans="17:24" x14ac:dyDescent="0.3">
      <c r="Q87" s="25" t="s">
        <v>143</v>
      </c>
      <c r="R87" s="3">
        <v>4</v>
      </c>
      <c r="S87" s="3">
        <v>0.75</v>
      </c>
      <c r="T87" s="21" t="str">
        <f t="shared" si="10"/>
        <v>КГВВнг(А)-LS (4х0,75)</v>
      </c>
      <c r="U87" s="3">
        <v>7.9</v>
      </c>
      <c r="V87" s="3">
        <f t="shared" si="11"/>
        <v>14</v>
      </c>
      <c r="W87" s="3" t="str">
        <f t="shared" si="12"/>
        <v>Ø20</v>
      </c>
      <c r="X87" s="3" t="str">
        <f t="shared" si="13"/>
        <v>Ø20</v>
      </c>
    </row>
    <row r="88" spans="17:24" x14ac:dyDescent="0.3">
      <c r="Q88" s="25" t="s">
        <v>143</v>
      </c>
      <c r="R88" s="3">
        <v>5</v>
      </c>
      <c r="S88" s="3">
        <v>0.75</v>
      </c>
      <c r="T88" s="21" t="str">
        <f t="shared" si="10"/>
        <v>КГВВнг(А)-LS (5х0,75)</v>
      </c>
      <c r="U88" s="3">
        <v>9.1999999999999993</v>
      </c>
      <c r="V88" s="3">
        <f t="shared" si="11"/>
        <v>14</v>
      </c>
      <c r="W88" s="3" t="str">
        <f t="shared" si="12"/>
        <v>Ø20</v>
      </c>
      <c r="X88" s="3" t="str">
        <f t="shared" si="13"/>
        <v>Ø20</v>
      </c>
    </row>
    <row r="89" spans="17:24" x14ac:dyDescent="0.3">
      <c r="Q89" s="25" t="s">
        <v>143</v>
      </c>
      <c r="R89" s="3">
        <v>6</v>
      </c>
      <c r="S89" s="3">
        <v>0.75</v>
      </c>
      <c r="T89" s="21" t="str">
        <f t="shared" si="10"/>
        <v>КГВВнг(А)-LS (6х0,75)</v>
      </c>
      <c r="U89" s="3">
        <v>9.6</v>
      </c>
      <c r="V89" s="3">
        <f t="shared" si="11"/>
        <v>14</v>
      </c>
      <c r="W89" s="3" t="str">
        <f t="shared" si="12"/>
        <v>Ø20</v>
      </c>
      <c r="X89" s="3" t="str">
        <f t="shared" si="13"/>
        <v>Ø20</v>
      </c>
    </row>
    <row r="90" spans="17:24" x14ac:dyDescent="0.3">
      <c r="Q90" s="25" t="s">
        <v>143</v>
      </c>
      <c r="R90" s="3">
        <v>7</v>
      </c>
      <c r="S90" s="3">
        <v>0.75</v>
      </c>
      <c r="T90" s="21" t="str">
        <f t="shared" si="10"/>
        <v>КГВВнг(А)-LS (7х0,75)</v>
      </c>
      <c r="U90" s="3">
        <v>9.9</v>
      </c>
      <c r="V90" s="3">
        <f t="shared" si="11"/>
        <v>14</v>
      </c>
      <c r="W90" s="3" t="str">
        <f t="shared" si="12"/>
        <v>Ø20</v>
      </c>
      <c r="X90" s="3" t="str">
        <f t="shared" si="13"/>
        <v>Ø20</v>
      </c>
    </row>
    <row r="91" spans="17:24" x14ac:dyDescent="0.3">
      <c r="Q91" s="25" t="s">
        <v>143</v>
      </c>
      <c r="R91" s="3">
        <v>10</v>
      </c>
      <c r="S91" s="3">
        <v>0.75</v>
      </c>
      <c r="T91" s="21" t="str">
        <f t="shared" si="10"/>
        <v>КГВВнг(А)-LS (10х0,75)</v>
      </c>
      <c r="U91" s="3">
        <v>11.6</v>
      </c>
      <c r="V91" s="3">
        <f t="shared" si="11"/>
        <v>14</v>
      </c>
      <c r="W91" s="3" t="str">
        <f t="shared" si="12"/>
        <v>Ø20</v>
      </c>
      <c r="X91" s="3" t="str">
        <f t="shared" si="13"/>
        <v>Ø20</v>
      </c>
    </row>
    <row r="92" spans="17:24" x14ac:dyDescent="0.3">
      <c r="Q92" s="25" t="s">
        <v>143</v>
      </c>
      <c r="R92" s="3">
        <v>14</v>
      </c>
      <c r="S92" s="3">
        <v>0.75</v>
      </c>
      <c r="T92" s="21" t="str">
        <f t="shared" ref="T92:T96" si="14">Q92&amp;" ("&amp;R92&amp;"х"&amp;S92&amp;")"</f>
        <v>КГВВнг(А)-LS (14х0,75)</v>
      </c>
      <c r="U92" s="3">
        <v>13.1</v>
      </c>
      <c r="V92" s="3">
        <f t="shared" si="11"/>
        <v>15.719999999999999</v>
      </c>
      <c r="W92" s="3" t="str">
        <f t="shared" si="12"/>
        <v>Ø25</v>
      </c>
      <c r="X92" s="3" t="str">
        <f t="shared" si="13"/>
        <v>Ø25</v>
      </c>
    </row>
    <row r="93" spans="17:24" x14ac:dyDescent="0.3">
      <c r="Q93" s="25" t="s">
        <v>143</v>
      </c>
      <c r="R93" s="3">
        <v>19</v>
      </c>
      <c r="S93" s="3">
        <v>0.75</v>
      </c>
      <c r="T93" s="21" t="str">
        <f t="shared" si="14"/>
        <v>КГВВнг(А)-LS (19х0,75)</v>
      </c>
      <c r="U93" s="3">
        <v>14.5</v>
      </c>
      <c r="V93" s="3">
        <f t="shared" si="11"/>
        <v>17.399999999999999</v>
      </c>
      <c r="W93" s="3" t="str">
        <f t="shared" si="12"/>
        <v>Ø25</v>
      </c>
      <c r="X93" s="3" t="str">
        <f t="shared" si="13"/>
        <v>Ø25</v>
      </c>
    </row>
    <row r="94" spans="17:24" x14ac:dyDescent="0.3">
      <c r="Q94" s="25" t="s">
        <v>143</v>
      </c>
      <c r="R94" s="3">
        <v>27</v>
      </c>
      <c r="S94" s="3">
        <v>0.75</v>
      </c>
      <c r="T94" s="21" t="str">
        <f t="shared" si="14"/>
        <v>КГВВнг(А)-LS (27х0,75)</v>
      </c>
      <c r="U94" s="3">
        <v>17.2</v>
      </c>
      <c r="V94" s="3">
        <f t="shared" si="11"/>
        <v>20.639999999999997</v>
      </c>
      <c r="W94" s="3" t="str">
        <f t="shared" si="12"/>
        <v>Ø32</v>
      </c>
      <c r="X94" s="3" t="str">
        <f t="shared" si="13"/>
        <v>Ø32</v>
      </c>
    </row>
    <row r="95" spans="17:24" x14ac:dyDescent="0.3">
      <c r="Q95" s="25" t="s">
        <v>143</v>
      </c>
      <c r="R95" s="3">
        <v>37</v>
      </c>
      <c r="S95" s="3">
        <v>0.75</v>
      </c>
      <c r="T95" s="21" t="str">
        <f t="shared" si="14"/>
        <v>КГВВнг(А)-LS (37х0,75)</v>
      </c>
      <c r="U95" s="3">
        <v>18.5</v>
      </c>
      <c r="V95" s="3">
        <f t="shared" si="11"/>
        <v>22.2</v>
      </c>
      <c r="W95" s="3" t="str">
        <f t="shared" si="12"/>
        <v>Ø32</v>
      </c>
      <c r="X95" s="3" t="str">
        <f t="shared" si="13"/>
        <v>Ø32</v>
      </c>
    </row>
    <row r="96" spans="17:24" x14ac:dyDescent="0.3">
      <c r="Q96" s="25" t="s">
        <v>143</v>
      </c>
      <c r="R96" s="3">
        <v>52</v>
      </c>
      <c r="S96" s="3">
        <v>0.75</v>
      </c>
      <c r="T96" s="21" t="str">
        <f t="shared" si="14"/>
        <v>КГВВнг(А)-LS (52х0,75)</v>
      </c>
      <c r="U96" s="3">
        <v>21.6</v>
      </c>
      <c r="V96" s="3">
        <f t="shared" si="11"/>
        <v>25.92</v>
      </c>
      <c r="W96" s="3" t="str">
        <f t="shared" si="12"/>
        <v>Ø40</v>
      </c>
      <c r="X96" s="3" t="str">
        <f t="shared" si="13"/>
        <v>Ø40</v>
      </c>
    </row>
    <row r="97" spans="17:24" x14ac:dyDescent="0.3">
      <c r="Q97" s="25" t="s">
        <v>143</v>
      </c>
      <c r="R97" s="3">
        <v>1</v>
      </c>
      <c r="S97" s="3">
        <v>1</v>
      </c>
      <c r="T97" s="21" t="str">
        <f t="shared" ref="T97:T101" si="15">Q97&amp;" ("&amp;R97&amp;"х"&amp;S97&amp;")"</f>
        <v>КГВВнг(А)-LS (1х1)</v>
      </c>
      <c r="U97" s="3">
        <v>2.8</v>
      </c>
      <c r="V97" s="3">
        <f t="shared" si="11"/>
        <v>14</v>
      </c>
      <c r="W97" s="3" t="str">
        <f t="shared" si="12"/>
        <v>Ø20</v>
      </c>
      <c r="X97" s="3" t="str">
        <f t="shared" si="13"/>
        <v>Ø20</v>
      </c>
    </row>
    <row r="98" spans="17:24" x14ac:dyDescent="0.3">
      <c r="Q98" s="25" t="s">
        <v>143</v>
      </c>
      <c r="R98" s="3">
        <v>2</v>
      </c>
      <c r="S98" s="3">
        <v>1</v>
      </c>
      <c r="T98" s="21" t="str">
        <f t="shared" si="15"/>
        <v>КГВВнг(А)-LS (2х1)</v>
      </c>
      <c r="U98" s="3">
        <v>7.3</v>
      </c>
      <c r="V98" s="3">
        <f t="shared" si="11"/>
        <v>14</v>
      </c>
      <c r="W98" s="3" t="str">
        <f t="shared" si="12"/>
        <v>Ø20</v>
      </c>
      <c r="X98" s="3" t="str">
        <f t="shared" si="13"/>
        <v>Ø20</v>
      </c>
    </row>
    <row r="99" spans="17:24" x14ac:dyDescent="0.3">
      <c r="Q99" s="25" t="s">
        <v>143</v>
      </c>
      <c r="R99" s="3">
        <v>3</v>
      </c>
      <c r="S99" s="3">
        <v>1</v>
      </c>
      <c r="T99" s="21" t="str">
        <f t="shared" si="15"/>
        <v>КГВВнг(А)-LS (3х1)</v>
      </c>
      <c r="U99" s="3">
        <v>7.7</v>
      </c>
      <c r="V99" s="3">
        <f t="shared" si="11"/>
        <v>14</v>
      </c>
      <c r="W99" s="3" t="str">
        <f t="shared" si="12"/>
        <v>Ø20</v>
      </c>
      <c r="X99" s="3" t="str">
        <f t="shared" si="13"/>
        <v>Ø20</v>
      </c>
    </row>
    <row r="100" spans="17:24" x14ac:dyDescent="0.3">
      <c r="Q100" s="25" t="s">
        <v>143</v>
      </c>
      <c r="R100" s="3">
        <v>4</v>
      </c>
      <c r="S100" s="3">
        <v>1</v>
      </c>
      <c r="T100" s="21" t="str">
        <f t="shared" si="15"/>
        <v>КГВВнг(А)-LS (4х1)</v>
      </c>
      <c r="U100" s="3">
        <v>8.3000000000000007</v>
      </c>
      <c r="V100" s="3">
        <f t="shared" si="11"/>
        <v>14</v>
      </c>
      <c r="W100" s="3" t="str">
        <f t="shared" si="12"/>
        <v>Ø20</v>
      </c>
      <c r="X100" s="3" t="str">
        <f t="shared" si="13"/>
        <v>Ø20</v>
      </c>
    </row>
    <row r="101" spans="17:24" x14ac:dyDescent="0.3">
      <c r="Q101" s="25" t="s">
        <v>143</v>
      </c>
      <c r="R101" s="3">
        <v>5</v>
      </c>
      <c r="S101" s="3">
        <v>1</v>
      </c>
      <c r="T101" s="21" t="str">
        <f t="shared" si="15"/>
        <v>КГВВнг(А)-LS (5х1)</v>
      </c>
      <c r="U101" s="3">
        <v>9.6</v>
      </c>
      <c r="V101" s="3">
        <f t="shared" si="11"/>
        <v>14</v>
      </c>
      <c r="W101" s="3" t="str">
        <f t="shared" si="12"/>
        <v>Ø20</v>
      </c>
      <c r="X101" s="3" t="str">
        <f t="shared" si="13"/>
        <v>Ø20</v>
      </c>
    </row>
    <row r="102" spans="17:24" x14ac:dyDescent="0.3">
      <c r="Q102" s="25" t="s">
        <v>143</v>
      </c>
      <c r="R102" s="3">
        <v>7</v>
      </c>
      <c r="S102" s="3">
        <v>1</v>
      </c>
      <c r="T102" s="21" t="str">
        <f t="shared" ref="T102:T113" si="16">Q102&amp;" ("&amp;R102&amp;"х"&amp;S102&amp;")"</f>
        <v>КГВВнг(А)-LS (7х1)</v>
      </c>
      <c r="U102" s="3">
        <v>10.4</v>
      </c>
      <c r="V102" s="3">
        <f t="shared" si="11"/>
        <v>14</v>
      </c>
      <c r="W102" s="3" t="str">
        <f t="shared" si="12"/>
        <v>Ø20</v>
      </c>
      <c r="X102" s="3" t="str">
        <f t="shared" si="13"/>
        <v>Ø20</v>
      </c>
    </row>
    <row r="103" spans="17:24" x14ac:dyDescent="0.3">
      <c r="Q103" s="25" t="s">
        <v>143</v>
      </c>
      <c r="R103" s="3">
        <v>10</v>
      </c>
      <c r="S103" s="3">
        <v>1</v>
      </c>
      <c r="T103" s="21" t="str">
        <f t="shared" si="16"/>
        <v>КГВВнг(А)-LS (10х1)</v>
      </c>
      <c r="U103" s="3">
        <v>12.8</v>
      </c>
      <c r="V103" s="3">
        <f t="shared" si="11"/>
        <v>15.36</v>
      </c>
      <c r="W103" s="3" t="str">
        <f t="shared" si="12"/>
        <v>Ø25</v>
      </c>
      <c r="X103" s="3" t="str">
        <f t="shared" si="13"/>
        <v>Ø25</v>
      </c>
    </row>
    <row r="104" spans="17:24" x14ac:dyDescent="0.3">
      <c r="Q104" s="25" t="s">
        <v>143</v>
      </c>
      <c r="R104" s="3">
        <v>14</v>
      </c>
      <c r="S104" s="3">
        <v>1</v>
      </c>
      <c r="T104" s="21" t="str">
        <f t="shared" si="16"/>
        <v>КГВВнг(А)-LS (14х1)</v>
      </c>
      <c r="U104" s="3">
        <v>13.9</v>
      </c>
      <c r="V104" s="3">
        <f t="shared" si="11"/>
        <v>16.68</v>
      </c>
      <c r="W104" s="3" t="str">
        <f t="shared" si="12"/>
        <v>Ø25</v>
      </c>
      <c r="X104" s="3" t="str">
        <f t="shared" si="13"/>
        <v>Ø25</v>
      </c>
    </row>
    <row r="105" spans="17:24" x14ac:dyDescent="0.3">
      <c r="Q105" s="25" t="s">
        <v>143</v>
      </c>
      <c r="R105" s="3">
        <v>19</v>
      </c>
      <c r="S105" s="3">
        <v>1</v>
      </c>
      <c r="T105" s="21" t="str">
        <f t="shared" si="16"/>
        <v>КГВВнг(А)-LS (19х1)</v>
      </c>
      <c r="U105" s="3">
        <v>14.6</v>
      </c>
      <c r="V105" s="3">
        <f t="shared" si="11"/>
        <v>17.52</v>
      </c>
      <c r="W105" s="3" t="str">
        <f t="shared" si="12"/>
        <v>Ø25</v>
      </c>
      <c r="X105" s="3" t="str">
        <f t="shared" si="13"/>
        <v>Ø25</v>
      </c>
    </row>
    <row r="106" spans="17:24" x14ac:dyDescent="0.3">
      <c r="Q106" s="25" t="s">
        <v>143</v>
      </c>
      <c r="R106" s="3">
        <v>27</v>
      </c>
      <c r="S106" s="3">
        <v>1</v>
      </c>
      <c r="T106" s="21" t="str">
        <f t="shared" si="16"/>
        <v>КГВВнг(А)-LS (27х1)</v>
      </c>
      <c r="U106" s="3">
        <v>17.3</v>
      </c>
      <c r="V106" s="3">
        <f t="shared" si="11"/>
        <v>20.76</v>
      </c>
      <c r="W106" s="3" t="str">
        <f t="shared" si="12"/>
        <v>Ø32</v>
      </c>
      <c r="X106" s="3" t="str">
        <f t="shared" si="13"/>
        <v>Ø32</v>
      </c>
    </row>
    <row r="107" spans="17:24" x14ac:dyDescent="0.3">
      <c r="Q107" s="25" t="s">
        <v>143</v>
      </c>
      <c r="R107" s="3">
        <v>37</v>
      </c>
      <c r="S107" s="3">
        <v>1</v>
      </c>
      <c r="T107" s="21" t="str">
        <f t="shared" si="16"/>
        <v>КГВВнг(А)-LS (37х1)</v>
      </c>
      <c r="U107" s="3">
        <v>19.600000000000001</v>
      </c>
      <c r="V107" s="3">
        <f t="shared" si="11"/>
        <v>23.52</v>
      </c>
      <c r="W107" s="3" t="str">
        <f t="shared" si="12"/>
        <v>Ø32</v>
      </c>
      <c r="X107" s="3" t="str">
        <f t="shared" si="13"/>
        <v>Ø32</v>
      </c>
    </row>
    <row r="108" spans="17:24" x14ac:dyDescent="0.3">
      <c r="Q108" s="25" t="s">
        <v>143</v>
      </c>
      <c r="R108" s="3">
        <v>52</v>
      </c>
      <c r="S108" s="3">
        <v>1</v>
      </c>
      <c r="T108" s="21" t="str">
        <f t="shared" si="16"/>
        <v>КГВВнг(А)-LS (52х1)</v>
      </c>
      <c r="U108" s="3">
        <v>22.9</v>
      </c>
      <c r="V108" s="3">
        <f t="shared" si="11"/>
        <v>27.479999999999997</v>
      </c>
      <c r="W108" s="3" t="str">
        <f t="shared" si="12"/>
        <v>Ø40</v>
      </c>
      <c r="X108" s="3" t="str">
        <f t="shared" si="13"/>
        <v>Ø40</v>
      </c>
    </row>
    <row r="109" spans="17:24" x14ac:dyDescent="0.3">
      <c r="Q109" s="25" t="s">
        <v>143</v>
      </c>
      <c r="R109" s="3">
        <v>1</v>
      </c>
      <c r="S109" s="3">
        <v>1.5</v>
      </c>
      <c r="T109" s="21" t="str">
        <f t="shared" si="16"/>
        <v>КГВВнг(А)-LS (1х1,5)</v>
      </c>
      <c r="U109" s="3">
        <v>5.6</v>
      </c>
      <c r="V109" s="3">
        <f t="shared" si="11"/>
        <v>14</v>
      </c>
      <c r="W109" s="3" t="str">
        <f t="shared" si="12"/>
        <v>Ø20</v>
      </c>
      <c r="X109" s="3" t="str">
        <f t="shared" si="13"/>
        <v>Ø20</v>
      </c>
    </row>
    <row r="110" spans="17:24" x14ac:dyDescent="0.3">
      <c r="Q110" s="25" t="s">
        <v>143</v>
      </c>
      <c r="R110" s="3">
        <v>2</v>
      </c>
      <c r="S110" s="3">
        <v>1.5</v>
      </c>
      <c r="T110" s="21" t="str">
        <f t="shared" si="16"/>
        <v>КГВВнг(А)-LS (2х1,5)</v>
      </c>
      <c r="U110" s="3">
        <v>8.1999999999999993</v>
      </c>
      <c r="V110" s="3">
        <f t="shared" si="11"/>
        <v>14</v>
      </c>
      <c r="W110" s="3" t="str">
        <f t="shared" si="12"/>
        <v>Ø20</v>
      </c>
      <c r="X110" s="3" t="str">
        <f t="shared" si="13"/>
        <v>Ø20</v>
      </c>
    </row>
    <row r="111" spans="17:24" x14ac:dyDescent="0.3">
      <c r="Q111" s="25" t="s">
        <v>143</v>
      </c>
      <c r="R111" s="3">
        <v>3</v>
      </c>
      <c r="S111" s="3">
        <v>1.5</v>
      </c>
      <c r="T111" s="21" t="str">
        <f t="shared" si="16"/>
        <v>КГВВнг(А)-LS (3х1,5)</v>
      </c>
      <c r="U111" s="3">
        <v>9.3000000000000007</v>
      </c>
      <c r="V111" s="3">
        <f t="shared" si="11"/>
        <v>14</v>
      </c>
      <c r="W111" s="3" t="str">
        <f t="shared" si="12"/>
        <v>Ø20</v>
      </c>
      <c r="X111" s="3" t="str">
        <f t="shared" si="13"/>
        <v>Ø20</v>
      </c>
    </row>
    <row r="112" spans="17:24" x14ac:dyDescent="0.3">
      <c r="Q112" s="25" t="s">
        <v>143</v>
      </c>
      <c r="R112" s="3">
        <v>4</v>
      </c>
      <c r="S112" s="3">
        <v>1.5</v>
      </c>
      <c r="T112" s="21" t="str">
        <f t="shared" si="16"/>
        <v>КГВВнг(А)-LS (4х1,5)</v>
      </c>
      <c r="U112" s="3">
        <v>10</v>
      </c>
      <c r="V112" s="3">
        <f t="shared" si="11"/>
        <v>14</v>
      </c>
      <c r="W112" s="3" t="str">
        <f t="shared" si="12"/>
        <v>Ø20</v>
      </c>
      <c r="X112" s="3" t="str">
        <f t="shared" si="13"/>
        <v>Ø20</v>
      </c>
    </row>
    <row r="113" spans="17:24" x14ac:dyDescent="0.3">
      <c r="Q113" s="25" t="s">
        <v>143</v>
      </c>
      <c r="R113" s="3">
        <v>5</v>
      </c>
      <c r="S113" s="3">
        <v>1.5</v>
      </c>
      <c r="T113" s="21" t="str">
        <f t="shared" si="16"/>
        <v>КГВВнг(А)-LS (5х1,5)</v>
      </c>
      <c r="U113" s="3">
        <v>11.2</v>
      </c>
      <c r="V113" s="3">
        <f t="shared" si="11"/>
        <v>14</v>
      </c>
      <c r="W113" s="3" t="str">
        <f t="shared" si="12"/>
        <v>Ø20</v>
      </c>
      <c r="X113" s="3" t="str">
        <f t="shared" si="13"/>
        <v>Ø20</v>
      </c>
    </row>
    <row r="114" spans="17:24" x14ac:dyDescent="0.3">
      <c r="Q114" s="25" t="s">
        <v>143</v>
      </c>
      <c r="R114" s="3">
        <v>7</v>
      </c>
      <c r="S114" s="3">
        <v>1.5</v>
      </c>
      <c r="T114" s="21" t="str">
        <f t="shared" ref="T114:T158" si="17">Q114&amp;" ("&amp;R114&amp;"х"&amp;S114&amp;")"</f>
        <v>КГВВнг(А)-LS (7х1,5)</v>
      </c>
      <c r="U114" s="3">
        <v>11.8</v>
      </c>
      <c r="V114" s="3">
        <f t="shared" si="11"/>
        <v>14.16</v>
      </c>
      <c r="W114" s="3" t="str">
        <f t="shared" si="12"/>
        <v>Ø20</v>
      </c>
      <c r="X114" s="3" t="str">
        <f t="shared" si="13"/>
        <v>Ø20</v>
      </c>
    </row>
    <row r="115" spans="17:24" x14ac:dyDescent="0.3">
      <c r="Q115" s="25" t="s">
        <v>143</v>
      </c>
      <c r="R115" s="3">
        <v>10</v>
      </c>
      <c r="S115" s="3">
        <v>1.5</v>
      </c>
      <c r="T115" s="21" t="str">
        <f t="shared" si="17"/>
        <v>КГВВнг(А)-LS (10х1,5)</v>
      </c>
      <c r="U115" s="3">
        <v>14.7</v>
      </c>
      <c r="V115" s="3">
        <f t="shared" si="11"/>
        <v>17.639999999999997</v>
      </c>
      <c r="W115" s="3" t="str">
        <f t="shared" si="12"/>
        <v>Ø25</v>
      </c>
      <c r="X115" s="3" t="str">
        <f t="shared" si="13"/>
        <v>Ø25</v>
      </c>
    </row>
    <row r="116" spans="17:24" x14ac:dyDescent="0.3">
      <c r="Q116" s="25" t="s">
        <v>143</v>
      </c>
      <c r="R116" s="3">
        <v>14</v>
      </c>
      <c r="S116" s="3">
        <v>1.5</v>
      </c>
      <c r="T116" s="21" t="str">
        <f t="shared" si="17"/>
        <v>КГВВнг(А)-LS (14х1,5)</v>
      </c>
      <c r="U116" s="3">
        <v>15.9</v>
      </c>
      <c r="V116" s="3">
        <f t="shared" si="11"/>
        <v>19.079999999999998</v>
      </c>
      <c r="W116" s="3" t="str">
        <f t="shared" si="12"/>
        <v>Ø32</v>
      </c>
      <c r="X116" s="3" t="str">
        <f t="shared" si="13"/>
        <v>Ø32</v>
      </c>
    </row>
    <row r="117" spans="17:24" x14ac:dyDescent="0.3">
      <c r="Q117" s="25" t="s">
        <v>143</v>
      </c>
      <c r="R117" s="3">
        <v>19</v>
      </c>
      <c r="S117" s="3">
        <v>1.5</v>
      </c>
      <c r="T117" s="21" t="str">
        <f t="shared" si="17"/>
        <v>КГВВнг(А)-LS (19х1,5)</v>
      </c>
      <c r="U117" s="3">
        <v>17.600000000000001</v>
      </c>
      <c r="V117" s="3">
        <f t="shared" si="11"/>
        <v>21.12</v>
      </c>
      <c r="W117" s="3" t="str">
        <f t="shared" si="12"/>
        <v>Ø32</v>
      </c>
      <c r="X117" s="3" t="str">
        <f t="shared" si="13"/>
        <v>Ø32</v>
      </c>
    </row>
    <row r="118" spans="17:24" x14ac:dyDescent="0.3">
      <c r="Q118" s="25" t="s">
        <v>143</v>
      </c>
      <c r="R118" s="3">
        <v>27</v>
      </c>
      <c r="S118" s="3">
        <v>1.5</v>
      </c>
      <c r="T118" s="21" t="str">
        <f t="shared" si="17"/>
        <v>КГВВнг(А)-LS (27х1,5)</v>
      </c>
      <c r="U118" s="3">
        <v>21.4</v>
      </c>
      <c r="V118" s="3">
        <f t="shared" si="11"/>
        <v>25.679999999999996</v>
      </c>
      <c r="W118" s="3" t="str">
        <f t="shared" si="12"/>
        <v>Ø40</v>
      </c>
      <c r="X118" s="3" t="str">
        <f t="shared" si="13"/>
        <v>Ø40</v>
      </c>
    </row>
    <row r="119" spans="17:24" x14ac:dyDescent="0.3">
      <c r="Q119" s="25" t="s">
        <v>143</v>
      </c>
      <c r="R119" s="3">
        <v>37</v>
      </c>
      <c r="S119" s="3">
        <v>1.5</v>
      </c>
      <c r="T119" s="21" t="str">
        <f t="shared" si="17"/>
        <v>КГВВнг(А)-LS (37х1,5)</v>
      </c>
      <c r="U119" s="3">
        <v>22.3</v>
      </c>
      <c r="V119" s="3">
        <f t="shared" si="11"/>
        <v>26.76</v>
      </c>
      <c r="W119" s="3" t="str">
        <f t="shared" si="12"/>
        <v>Ø40</v>
      </c>
      <c r="X119" s="3" t="str">
        <f t="shared" si="13"/>
        <v>Ø40</v>
      </c>
    </row>
    <row r="120" spans="17:24" x14ac:dyDescent="0.3">
      <c r="Q120" s="25" t="s">
        <v>143</v>
      </c>
      <c r="R120" s="3">
        <v>52</v>
      </c>
      <c r="S120" s="3">
        <v>1.5</v>
      </c>
      <c r="T120" s="21" t="str">
        <f t="shared" si="17"/>
        <v>КГВВнг(А)-LS (52х1,5)</v>
      </c>
      <c r="U120" s="3">
        <v>25.3</v>
      </c>
      <c r="V120" s="3">
        <f t="shared" si="11"/>
        <v>30.36</v>
      </c>
      <c r="W120" s="3" t="str">
        <f t="shared" si="12"/>
        <v>Ø40</v>
      </c>
      <c r="X120" s="3" t="str">
        <f t="shared" si="13"/>
        <v>Ø40</v>
      </c>
    </row>
    <row r="121" spans="17:24" x14ac:dyDescent="0.3">
      <c r="Q121" s="25" t="s">
        <v>143</v>
      </c>
      <c r="R121" s="3">
        <v>1</v>
      </c>
      <c r="S121" s="3">
        <v>2.5</v>
      </c>
      <c r="T121" s="21" t="str">
        <f t="shared" si="17"/>
        <v>КГВВнг(А)-LS (1х2,5)</v>
      </c>
      <c r="U121" s="3">
        <v>6.1</v>
      </c>
      <c r="V121" s="3">
        <f t="shared" si="11"/>
        <v>14</v>
      </c>
      <c r="W121" s="3" t="str">
        <f t="shared" si="12"/>
        <v>Ø20</v>
      </c>
      <c r="X121" s="3" t="str">
        <f t="shared" si="13"/>
        <v>Ø20</v>
      </c>
    </row>
    <row r="122" spans="17:24" x14ac:dyDescent="0.3">
      <c r="Q122" s="25" t="s">
        <v>143</v>
      </c>
      <c r="R122" s="3">
        <v>2</v>
      </c>
      <c r="S122" s="3">
        <v>2.5</v>
      </c>
      <c r="T122" s="21" t="str">
        <f t="shared" si="17"/>
        <v>КГВВнг(А)-LS (2х2,5)</v>
      </c>
      <c r="U122" s="3">
        <v>10.1</v>
      </c>
      <c r="V122" s="3">
        <f t="shared" si="11"/>
        <v>14</v>
      </c>
      <c r="W122" s="3" t="str">
        <f t="shared" si="12"/>
        <v>Ø20</v>
      </c>
      <c r="X122" s="3" t="str">
        <f t="shared" si="13"/>
        <v>Ø20</v>
      </c>
    </row>
    <row r="123" spans="17:24" x14ac:dyDescent="0.3">
      <c r="Q123" s="25" t="s">
        <v>143</v>
      </c>
      <c r="R123" s="3">
        <v>3</v>
      </c>
      <c r="S123" s="3">
        <v>2.5</v>
      </c>
      <c r="T123" s="21" t="str">
        <f t="shared" si="17"/>
        <v>КГВВнг(А)-LS (3х2,5)</v>
      </c>
      <c r="U123" s="3">
        <v>10.6</v>
      </c>
      <c r="V123" s="3">
        <f t="shared" si="11"/>
        <v>14</v>
      </c>
      <c r="W123" s="3" t="str">
        <f t="shared" si="12"/>
        <v>Ø20</v>
      </c>
      <c r="X123" s="3" t="str">
        <f t="shared" si="13"/>
        <v>Ø20</v>
      </c>
    </row>
    <row r="124" spans="17:24" x14ac:dyDescent="0.3">
      <c r="Q124" s="25" t="s">
        <v>143</v>
      </c>
      <c r="R124" s="3">
        <v>4</v>
      </c>
      <c r="S124" s="3">
        <v>2.5</v>
      </c>
      <c r="T124" s="21" t="str">
        <f t="shared" si="17"/>
        <v>КГВВнг(А)-LS (4х2,5)</v>
      </c>
      <c r="U124" s="3">
        <v>11.6</v>
      </c>
      <c r="V124" s="3">
        <f t="shared" si="11"/>
        <v>14</v>
      </c>
      <c r="W124" s="3" t="str">
        <f t="shared" si="12"/>
        <v>Ø20</v>
      </c>
      <c r="X124" s="3" t="str">
        <f t="shared" si="13"/>
        <v>Ø20</v>
      </c>
    </row>
    <row r="125" spans="17:24" x14ac:dyDescent="0.3">
      <c r="Q125" s="25" t="s">
        <v>143</v>
      </c>
      <c r="R125" s="3">
        <v>5</v>
      </c>
      <c r="S125" s="3">
        <v>2.5</v>
      </c>
      <c r="T125" s="21" t="str">
        <f t="shared" si="17"/>
        <v>КГВВнг(А)-LS (5х2,5)</v>
      </c>
      <c r="U125" s="3">
        <v>11</v>
      </c>
      <c r="V125" s="3">
        <f t="shared" si="11"/>
        <v>14</v>
      </c>
      <c r="W125" s="3" t="str">
        <f t="shared" si="12"/>
        <v>Ø20</v>
      </c>
      <c r="X125" s="3" t="str">
        <f t="shared" si="13"/>
        <v>Ø20</v>
      </c>
    </row>
    <row r="126" spans="17:24" x14ac:dyDescent="0.3">
      <c r="Q126" s="25" t="s">
        <v>143</v>
      </c>
      <c r="R126" s="3">
        <v>7</v>
      </c>
      <c r="S126" s="3">
        <v>2.5</v>
      </c>
      <c r="T126" s="21" t="str">
        <f t="shared" si="17"/>
        <v>КГВВнг(А)-LS (7х2,5)</v>
      </c>
      <c r="U126" s="3">
        <v>11.8</v>
      </c>
      <c r="V126" s="3">
        <f t="shared" si="11"/>
        <v>14.16</v>
      </c>
      <c r="W126" s="3" t="str">
        <f t="shared" si="12"/>
        <v>Ø20</v>
      </c>
      <c r="X126" s="3" t="str">
        <f t="shared" si="13"/>
        <v>Ø20</v>
      </c>
    </row>
    <row r="127" spans="17:24" x14ac:dyDescent="0.3">
      <c r="Q127" s="25" t="s">
        <v>143</v>
      </c>
      <c r="R127" s="3">
        <v>10</v>
      </c>
      <c r="S127" s="3">
        <v>2.5</v>
      </c>
      <c r="T127" s="21" t="str">
        <f t="shared" si="17"/>
        <v>КГВВнг(А)-LS (10х2,5)</v>
      </c>
      <c r="U127" s="3">
        <v>14.8</v>
      </c>
      <c r="V127" s="3">
        <f t="shared" si="11"/>
        <v>17.760000000000002</v>
      </c>
      <c r="W127" s="3" t="str">
        <f t="shared" si="12"/>
        <v>Ø25</v>
      </c>
      <c r="X127" s="3" t="str">
        <f t="shared" si="13"/>
        <v>Ø25</v>
      </c>
    </row>
    <row r="128" spans="17:24" x14ac:dyDescent="0.3">
      <c r="Q128" s="25" t="s">
        <v>143</v>
      </c>
      <c r="R128" s="3">
        <v>14</v>
      </c>
      <c r="S128" s="3">
        <v>2.5</v>
      </c>
      <c r="T128" s="21" t="str">
        <f t="shared" si="17"/>
        <v>КГВВнг(А)-LS (14х2,5)</v>
      </c>
      <c r="U128" s="3">
        <v>16</v>
      </c>
      <c r="V128" s="3">
        <f t="shared" si="11"/>
        <v>19.2</v>
      </c>
      <c r="W128" s="3" t="str">
        <f t="shared" si="12"/>
        <v>Ø32</v>
      </c>
      <c r="X128" s="3" t="str">
        <f t="shared" si="13"/>
        <v>Ø32</v>
      </c>
    </row>
    <row r="129" spans="17:24" x14ac:dyDescent="0.3">
      <c r="Q129" s="25" t="s">
        <v>143</v>
      </c>
      <c r="R129" s="3">
        <v>19</v>
      </c>
      <c r="S129" s="3">
        <v>2.5</v>
      </c>
      <c r="T129" s="21" t="str">
        <f t="shared" si="17"/>
        <v>КГВВнг(А)-LS (19х2,5)</v>
      </c>
      <c r="U129" s="3">
        <v>17.7</v>
      </c>
      <c r="V129" s="3">
        <f t="shared" si="11"/>
        <v>21.24</v>
      </c>
      <c r="W129" s="3" t="str">
        <f t="shared" si="12"/>
        <v>Ø32</v>
      </c>
      <c r="X129" s="3" t="str">
        <f t="shared" si="13"/>
        <v>Ø32</v>
      </c>
    </row>
    <row r="130" spans="17:24" x14ac:dyDescent="0.3">
      <c r="Q130" s="25" t="s">
        <v>143</v>
      </c>
      <c r="R130" s="3">
        <v>27</v>
      </c>
      <c r="S130" s="3">
        <v>2.5</v>
      </c>
      <c r="T130" s="21" t="str">
        <f t="shared" si="17"/>
        <v>КГВВнг(А)-LS (27х2,5)</v>
      </c>
      <c r="U130" s="3">
        <v>21.5</v>
      </c>
      <c r="V130" s="3">
        <f t="shared" si="11"/>
        <v>25.8</v>
      </c>
      <c r="W130" s="3" t="str">
        <f t="shared" si="12"/>
        <v>Ø40</v>
      </c>
      <c r="X130" s="3" t="str">
        <f t="shared" si="13"/>
        <v>Ø40</v>
      </c>
    </row>
    <row r="131" spans="17:24" x14ac:dyDescent="0.3">
      <c r="Q131" s="25" t="s">
        <v>143</v>
      </c>
      <c r="R131" s="3">
        <v>37</v>
      </c>
      <c r="S131" s="3">
        <v>2.5</v>
      </c>
      <c r="T131" s="21" t="str">
        <f t="shared" si="17"/>
        <v>КГВВнг(А)-LS (37х2,5)</v>
      </c>
      <c r="U131" s="3">
        <v>24.4</v>
      </c>
      <c r="V131" s="3">
        <f t="shared" si="11"/>
        <v>29.279999999999998</v>
      </c>
      <c r="W131" s="3" t="str">
        <f t="shared" si="12"/>
        <v>Ø40</v>
      </c>
      <c r="X131" s="3" t="str">
        <f t="shared" si="13"/>
        <v>Ø40</v>
      </c>
    </row>
    <row r="132" spans="17:24" x14ac:dyDescent="0.3">
      <c r="Q132" s="25" t="s">
        <v>143</v>
      </c>
      <c r="R132" s="3">
        <v>1</v>
      </c>
      <c r="S132" s="3">
        <v>4</v>
      </c>
      <c r="T132" s="21" t="str">
        <f t="shared" si="17"/>
        <v>КГВВнг(А)-LS (1х4)</v>
      </c>
      <c r="U132" s="3">
        <v>6.8</v>
      </c>
      <c r="V132" s="3">
        <f t="shared" si="11"/>
        <v>14</v>
      </c>
      <c r="W132" s="3" t="str">
        <f t="shared" si="12"/>
        <v>Ø20</v>
      </c>
      <c r="X132" s="3" t="str">
        <f t="shared" si="13"/>
        <v>Ø20</v>
      </c>
    </row>
    <row r="133" spans="17:24" x14ac:dyDescent="0.3">
      <c r="Q133" s="25" t="s">
        <v>143</v>
      </c>
      <c r="R133" s="3">
        <v>2</v>
      </c>
      <c r="S133" s="3">
        <v>4</v>
      </c>
      <c r="T133" s="21" t="str">
        <f t="shared" si="17"/>
        <v>КГВВнг(А)-LS (2х4)</v>
      </c>
      <c r="U133" s="3">
        <v>11.1</v>
      </c>
      <c r="V133" s="3">
        <f t="shared" ref="V133:V158" si="18">IF((U133*1.2)&lt;14,14,U133*1.2)</f>
        <v>14</v>
      </c>
      <c r="W133" s="3" t="str">
        <f t="shared" ref="W133:W196" si="19">"Ø"&amp;VLOOKUP(V133,$Z$4:$AA$10,2,TRUE)</f>
        <v>Ø20</v>
      </c>
      <c r="X133" s="3" t="str">
        <f t="shared" ref="X133:X196" si="20">"Ø"&amp;VLOOKUP(V133,$AD$4:$AE$10,2,TRUE)</f>
        <v>Ø20</v>
      </c>
    </row>
    <row r="134" spans="17:24" x14ac:dyDescent="0.3">
      <c r="Q134" s="25" t="s">
        <v>143</v>
      </c>
      <c r="R134" s="3">
        <v>3</v>
      </c>
      <c r="S134" s="3">
        <v>4</v>
      </c>
      <c r="T134" s="21" t="str">
        <f t="shared" si="17"/>
        <v>КГВВнг(А)-LS (3х4)</v>
      </c>
      <c r="U134" s="3">
        <v>11.8</v>
      </c>
      <c r="V134" s="3">
        <f t="shared" si="18"/>
        <v>14.16</v>
      </c>
      <c r="W134" s="3" t="str">
        <f t="shared" si="19"/>
        <v>Ø20</v>
      </c>
      <c r="X134" s="3" t="str">
        <f t="shared" si="20"/>
        <v>Ø20</v>
      </c>
    </row>
    <row r="135" spans="17:24" x14ac:dyDescent="0.3">
      <c r="Q135" s="25" t="s">
        <v>143</v>
      </c>
      <c r="R135" s="3">
        <v>4</v>
      </c>
      <c r="S135" s="3">
        <v>4</v>
      </c>
      <c r="T135" s="21" t="str">
        <f t="shared" si="17"/>
        <v>КГВВнг(А)-LS (4х4)</v>
      </c>
      <c r="U135" s="3">
        <v>12.8</v>
      </c>
      <c r="V135" s="3">
        <f t="shared" si="18"/>
        <v>15.36</v>
      </c>
      <c r="W135" s="3" t="str">
        <f t="shared" si="19"/>
        <v>Ø25</v>
      </c>
      <c r="X135" s="3" t="str">
        <f t="shared" si="20"/>
        <v>Ø25</v>
      </c>
    </row>
    <row r="136" spans="17:24" x14ac:dyDescent="0.3">
      <c r="Q136" s="25" t="s">
        <v>143</v>
      </c>
      <c r="R136" s="3">
        <v>5</v>
      </c>
      <c r="S136" s="3">
        <v>4</v>
      </c>
      <c r="T136" s="21" t="str">
        <f t="shared" si="17"/>
        <v>КГВВнг(А)-LS (5х4)</v>
      </c>
      <c r="U136" s="3">
        <v>14</v>
      </c>
      <c r="V136" s="3">
        <f t="shared" si="18"/>
        <v>16.8</v>
      </c>
      <c r="W136" s="3" t="str">
        <f t="shared" si="19"/>
        <v>Ø25</v>
      </c>
      <c r="X136" s="3" t="str">
        <f t="shared" si="20"/>
        <v>Ø25</v>
      </c>
    </row>
    <row r="137" spans="17:24" x14ac:dyDescent="0.3">
      <c r="Q137" s="25" t="s">
        <v>143</v>
      </c>
      <c r="R137" s="3">
        <v>7</v>
      </c>
      <c r="S137" s="3">
        <v>4</v>
      </c>
      <c r="T137" s="21" t="str">
        <f t="shared" si="17"/>
        <v>КГВВнг(А)-LS (7х4)</v>
      </c>
      <c r="U137" s="3">
        <v>15.1</v>
      </c>
      <c r="V137" s="3">
        <f t="shared" si="18"/>
        <v>18.119999999999997</v>
      </c>
      <c r="W137" s="3" t="str">
        <f t="shared" si="19"/>
        <v>Ø25</v>
      </c>
      <c r="X137" s="3" t="str">
        <f t="shared" si="20"/>
        <v>Ø25</v>
      </c>
    </row>
    <row r="138" spans="17:24" x14ac:dyDescent="0.3">
      <c r="Q138" s="25" t="s">
        <v>143</v>
      </c>
      <c r="R138" s="3">
        <v>10</v>
      </c>
      <c r="S138" s="3">
        <v>4</v>
      </c>
      <c r="T138" s="21" t="str">
        <f t="shared" si="17"/>
        <v>КГВВнг(А)-LS (10х4)</v>
      </c>
      <c r="U138" s="3">
        <v>17.600000000000001</v>
      </c>
      <c r="V138" s="3">
        <f t="shared" si="18"/>
        <v>21.12</v>
      </c>
      <c r="W138" s="3" t="str">
        <f t="shared" si="19"/>
        <v>Ø32</v>
      </c>
      <c r="X138" s="3" t="str">
        <f t="shared" si="20"/>
        <v>Ø32</v>
      </c>
    </row>
    <row r="139" spans="17:24" x14ac:dyDescent="0.3">
      <c r="Q139" s="25" t="s">
        <v>143</v>
      </c>
      <c r="R139" s="3">
        <v>1</v>
      </c>
      <c r="S139" s="3">
        <v>6</v>
      </c>
      <c r="T139" s="21" t="str">
        <f t="shared" si="17"/>
        <v>КГВВнг(А)-LS (1х6)</v>
      </c>
      <c r="U139" s="3">
        <v>7.3</v>
      </c>
      <c r="V139" s="3">
        <f t="shared" si="18"/>
        <v>14</v>
      </c>
      <c r="W139" s="3" t="str">
        <f t="shared" si="19"/>
        <v>Ø20</v>
      </c>
      <c r="X139" s="3" t="str">
        <f t="shared" si="20"/>
        <v>Ø20</v>
      </c>
    </row>
    <row r="140" spans="17:24" x14ac:dyDescent="0.3">
      <c r="Q140" s="25" t="s">
        <v>143</v>
      </c>
      <c r="R140" s="3">
        <v>2</v>
      </c>
      <c r="S140" s="3">
        <v>6</v>
      </c>
      <c r="T140" s="21" t="str">
        <f t="shared" si="17"/>
        <v>КГВВнг(А)-LS (2х6)</v>
      </c>
      <c r="U140" s="3">
        <v>12.3</v>
      </c>
      <c r="V140" s="3">
        <f t="shared" si="18"/>
        <v>14.76</v>
      </c>
      <c r="W140" s="3" t="str">
        <f t="shared" si="19"/>
        <v>Ø20</v>
      </c>
      <c r="X140" s="3" t="str">
        <f t="shared" si="20"/>
        <v>Ø25</v>
      </c>
    </row>
    <row r="141" spans="17:24" x14ac:dyDescent="0.3">
      <c r="Q141" s="25" t="s">
        <v>143</v>
      </c>
      <c r="R141" s="3">
        <v>3</v>
      </c>
      <c r="S141" s="3">
        <v>6</v>
      </c>
      <c r="T141" s="21" t="str">
        <f t="shared" si="17"/>
        <v>КГВВнг(А)-LS (3х6)</v>
      </c>
      <c r="U141" s="3">
        <v>13</v>
      </c>
      <c r="V141" s="3">
        <f t="shared" si="18"/>
        <v>15.6</v>
      </c>
      <c r="W141" s="3" t="str">
        <f t="shared" si="19"/>
        <v>Ø25</v>
      </c>
      <c r="X141" s="3" t="str">
        <f t="shared" si="20"/>
        <v>Ø25</v>
      </c>
    </row>
    <row r="142" spans="17:24" x14ac:dyDescent="0.3">
      <c r="Q142" s="25" t="s">
        <v>143</v>
      </c>
      <c r="R142" s="3">
        <v>4</v>
      </c>
      <c r="S142" s="3">
        <v>6</v>
      </c>
      <c r="T142" s="21" t="str">
        <f t="shared" si="17"/>
        <v>КГВВнг(А)-LS (4х6)</v>
      </c>
      <c r="U142" s="3">
        <v>14.2</v>
      </c>
      <c r="V142" s="3">
        <f t="shared" si="18"/>
        <v>17.04</v>
      </c>
      <c r="W142" s="3" t="str">
        <f t="shared" si="19"/>
        <v>Ø25</v>
      </c>
      <c r="X142" s="3" t="str">
        <f t="shared" si="20"/>
        <v>Ø25</v>
      </c>
    </row>
    <row r="143" spans="17:24" x14ac:dyDescent="0.3">
      <c r="Q143" s="25" t="s">
        <v>143</v>
      </c>
      <c r="R143" s="3">
        <v>5</v>
      </c>
      <c r="S143" s="3">
        <v>6</v>
      </c>
      <c r="T143" s="21" t="str">
        <f t="shared" si="17"/>
        <v>КГВВнг(А)-LS (5х6)</v>
      </c>
      <c r="U143" s="3">
        <v>15.6</v>
      </c>
      <c r="V143" s="3">
        <f t="shared" si="18"/>
        <v>18.72</v>
      </c>
      <c r="W143" s="3" t="str">
        <f t="shared" si="19"/>
        <v>Ø25</v>
      </c>
      <c r="X143" s="3" t="str">
        <f t="shared" si="20"/>
        <v>Ø32</v>
      </c>
    </row>
    <row r="144" spans="17:24" x14ac:dyDescent="0.3">
      <c r="Q144" s="3" t="s">
        <v>175</v>
      </c>
      <c r="R144" s="3">
        <v>1</v>
      </c>
      <c r="S144" s="3">
        <v>1.5</v>
      </c>
      <c r="T144" s="21" t="str">
        <f t="shared" si="17"/>
        <v>ПуГВ (1х1,5)</v>
      </c>
      <c r="U144" s="3">
        <v>3</v>
      </c>
      <c r="V144" s="3">
        <f t="shared" si="18"/>
        <v>14</v>
      </c>
      <c r="W144" s="3" t="str">
        <f t="shared" si="19"/>
        <v>Ø20</v>
      </c>
      <c r="X144" s="3" t="str">
        <f t="shared" si="20"/>
        <v>Ø20</v>
      </c>
    </row>
    <row r="145" spans="17:24" x14ac:dyDescent="0.3">
      <c r="Q145" s="3" t="s">
        <v>175</v>
      </c>
      <c r="R145" s="3">
        <v>1</v>
      </c>
      <c r="S145" s="3">
        <v>2.5</v>
      </c>
      <c r="T145" s="21" t="str">
        <f t="shared" si="17"/>
        <v>ПуГВ (1х2,5)</v>
      </c>
      <c r="U145" s="3">
        <v>3.6</v>
      </c>
      <c r="V145" s="3">
        <f t="shared" si="18"/>
        <v>14</v>
      </c>
      <c r="W145" s="3" t="str">
        <f t="shared" si="19"/>
        <v>Ø20</v>
      </c>
      <c r="X145" s="3" t="str">
        <f t="shared" si="20"/>
        <v>Ø20</v>
      </c>
    </row>
    <row r="146" spans="17:24" x14ac:dyDescent="0.3">
      <c r="Q146" s="3" t="s">
        <v>175</v>
      </c>
      <c r="R146" s="3">
        <v>1</v>
      </c>
      <c r="S146" s="3">
        <v>4</v>
      </c>
      <c r="T146" s="21" t="str">
        <f t="shared" si="17"/>
        <v>ПуГВ (1х4)</v>
      </c>
      <c r="U146" s="3">
        <v>3.9</v>
      </c>
      <c r="V146" s="3">
        <f t="shared" si="18"/>
        <v>14</v>
      </c>
      <c r="W146" s="3" t="str">
        <f t="shared" si="19"/>
        <v>Ø20</v>
      </c>
      <c r="X146" s="3" t="str">
        <f t="shared" si="20"/>
        <v>Ø20</v>
      </c>
    </row>
    <row r="147" spans="17:24" x14ac:dyDescent="0.3">
      <c r="Q147" s="3" t="s">
        <v>175</v>
      </c>
      <c r="R147" s="3">
        <v>1</v>
      </c>
      <c r="S147" s="3">
        <v>6</v>
      </c>
      <c r="T147" s="21" t="str">
        <f t="shared" si="17"/>
        <v>ПуГВ (1х6)</v>
      </c>
      <c r="U147" s="3">
        <v>4.7</v>
      </c>
      <c r="V147" s="3">
        <f t="shared" si="18"/>
        <v>14</v>
      </c>
      <c r="W147" s="3" t="str">
        <f t="shared" si="19"/>
        <v>Ø20</v>
      </c>
      <c r="X147" s="3" t="str">
        <f t="shared" si="20"/>
        <v>Ø20</v>
      </c>
    </row>
    <row r="148" spans="17:24" x14ac:dyDescent="0.3">
      <c r="Q148" s="3" t="s">
        <v>175</v>
      </c>
      <c r="R148" s="3">
        <v>1</v>
      </c>
      <c r="S148" s="3">
        <v>10</v>
      </c>
      <c r="T148" s="21" t="str">
        <f t="shared" si="17"/>
        <v>ПуГВ (1х10)</v>
      </c>
      <c r="U148" s="3">
        <v>6</v>
      </c>
      <c r="V148" s="3">
        <f t="shared" si="18"/>
        <v>14</v>
      </c>
      <c r="W148" s="3" t="str">
        <f t="shared" si="19"/>
        <v>Ø20</v>
      </c>
      <c r="X148" s="3" t="str">
        <f t="shared" si="20"/>
        <v>Ø20</v>
      </c>
    </row>
    <row r="149" spans="17:24" x14ac:dyDescent="0.3">
      <c r="Q149" s="3" t="s">
        <v>175</v>
      </c>
      <c r="R149" s="3">
        <v>1</v>
      </c>
      <c r="S149" s="3">
        <v>16</v>
      </c>
      <c r="T149" s="21" t="str">
        <f t="shared" si="17"/>
        <v>ПуГВ (1х16)</v>
      </c>
      <c r="U149" s="3">
        <v>7.6</v>
      </c>
      <c r="V149" s="3">
        <f t="shared" si="18"/>
        <v>14</v>
      </c>
      <c r="W149" s="3" t="str">
        <f t="shared" si="19"/>
        <v>Ø20</v>
      </c>
      <c r="X149" s="3" t="str">
        <f t="shared" si="20"/>
        <v>Ø20</v>
      </c>
    </row>
    <row r="150" spans="17:24" x14ac:dyDescent="0.3">
      <c r="Q150" s="3" t="s">
        <v>175</v>
      </c>
      <c r="R150" s="3">
        <v>1</v>
      </c>
      <c r="S150" s="3">
        <v>25</v>
      </c>
      <c r="T150" s="21" t="str">
        <f t="shared" si="17"/>
        <v>ПуГВ (1х25)</v>
      </c>
      <c r="U150" s="3">
        <v>9.6</v>
      </c>
      <c r="V150" s="3">
        <f t="shared" si="18"/>
        <v>14</v>
      </c>
      <c r="W150" s="3" t="str">
        <f t="shared" si="19"/>
        <v>Ø20</v>
      </c>
      <c r="X150" s="3" t="str">
        <f t="shared" si="20"/>
        <v>Ø20</v>
      </c>
    </row>
    <row r="151" spans="17:24" x14ac:dyDescent="0.3">
      <c r="Q151" s="3" t="s">
        <v>175</v>
      </c>
      <c r="R151" s="3">
        <v>1</v>
      </c>
      <c r="S151" s="3">
        <v>35</v>
      </c>
      <c r="T151" s="21" t="str">
        <f t="shared" si="17"/>
        <v>ПуГВ (1х35)</v>
      </c>
      <c r="U151" s="3">
        <v>10.9</v>
      </c>
      <c r="V151" s="3">
        <f t="shared" si="18"/>
        <v>14</v>
      </c>
      <c r="W151" s="3" t="str">
        <f t="shared" si="19"/>
        <v>Ø20</v>
      </c>
      <c r="X151" s="3" t="str">
        <f t="shared" si="20"/>
        <v>Ø20</v>
      </c>
    </row>
    <row r="152" spans="17:24" x14ac:dyDescent="0.3">
      <c r="Q152" s="3" t="s">
        <v>175</v>
      </c>
      <c r="R152" s="3">
        <v>1</v>
      </c>
      <c r="S152" s="3">
        <v>50</v>
      </c>
      <c r="T152" s="21" t="str">
        <f t="shared" si="17"/>
        <v>ПуГВ (1х50)</v>
      </c>
      <c r="U152" s="3">
        <v>12.6</v>
      </c>
      <c r="V152" s="3">
        <f t="shared" si="18"/>
        <v>15.12</v>
      </c>
      <c r="W152" s="3" t="str">
        <f t="shared" si="19"/>
        <v>Ø25</v>
      </c>
      <c r="X152" s="3" t="str">
        <f t="shared" si="20"/>
        <v>Ø25</v>
      </c>
    </row>
    <row r="153" spans="17:24" x14ac:dyDescent="0.3">
      <c r="Q153" s="3" t="s">
        <v>175</v>
      </c>
      <c r="R153" s="3">
        <v>1</v>
      </c>
      <c r="S153" s="3">
        <v>70</v>
      </c>
      <c r="T153" s="21" t="str">
        <f t="shared" si="17"/>
        <v>ПуГВ (1х70)</v>
      </c>
      <c r="U153" s="3">
        <v>14.6</v>
      </c>
      <c r="V153" s="3">
        <f t="shared" si="18"/>
        <v>17.52</v>
      </c>
      <c r="W153" s="3" t="str">
        <f t="shared" si="19"/>
        <v>Ø25</v>
      </c>
      <c r="X153" s="3" t="str">
        <f t="shared" si="20"/>
        <v>Ø25</v>
      </c>
    </row>
    <row r="154" spans="17:24" x14ac:dyDescent="0.3">
      <c r="Q154" s="3" t="s">
        <v>175</v>
      </c>
      <c r="R154" s="3">
        <v>1</v>
      </c>
      <c r="S154" s="3">
        <v>95</v>
      </c>
      <c r="T154" s="21" t="str">
        <f t="shared" si="17"/>
        <v>ПуГВ (1х95)</v>
      </c>
      <c r="U154" s="3">
        <v>17.2</v>
      </c>
      <c r="V154" s="3">
        <f t="shared" si="18"/>
        <v>20.639999999999997</v>
      </c>
      <c r="W154" s="3" t="str">
        <f t="shared" si="19"/>
        <v>Ø32</v>
      </c>
      <c r="X154" s="3" t="str">
        <f t="shared" si="20"/>
        <v>Ø32</v>
      </c>
    </row>
    <row r="155" spans="17:24" x14ac:dyDescent="0.3">
      <c r="Q155" s="3" t="s">
        <v>175</v>
      </c>
      <c r="R155" s="3">
        <v>1</v>
      </c>
      <c r="S155" s="3">
        <v>120</v>
      </c>
      <c r="T155" s="21" t="str">
        <f t="shared" si="17"/>
        <v>ПуГВ (1х120)</v>
      </c>
      <c r="U155" s="3">
        <v>18.8</v>
      </c>
      <c r="V155" s="3">
        <f t="shared" si="18"/>
        <v>22.56</v>
      </c>
      <c r="W155" s="3" t="str">
        <f t="shared" si="19"/>
        <v>Ø32</v>
      </c>
      <c r="X155" s="3" t="str">
        <f t="shared" si="20"/>
        <v>Ø32</v>
      </c>
    </row>
    <row r="156" spans="17:24" x14ac:dyDescent="0.3">
      <c r="Q156" s="3" t="s">
        <v>175</v>
      </c>
      <c r="R156" s="3">
        <v>1</v>
      </c>
      <c r="S156" s="3">
        <v>150</v>
      </c>
      <c r="T156" s="21" t="str">
        <f t="shared" si="17"/>
        <v>ПуГВ (1х150)</v>
      </c>
      <c r="U156" s="3">
        <v>21</v>
      </c>
      <c r="V156" s="3">
        <f t="shared" si="18"/>
        <v>25.2</v>
      </c>
      <c r="W156" s="3" t="str">
        <f t="shared" si="19"/>
        <v>Ø40</v>
      </c>
      <c r="X156" s="3" t="str">
        <f t="shared" si="20"/>
        <v>Ø40</v>
      </c>
    </row>
    <row r="157" spans="17:24" x14ac:dyDescent="0.3">
      <c r="Q157" s="3" t="s">
        <v>175</v>
      </c>
      <c r="R157" s="3">
        <v>1</v>
      </c>
      <c r="S157" s="3">
        <v>185</v>
      </c>
      <c r="T157" s="21" t="str">
        <f t="shared" si="17"/>
        <v>ПуГВ (1х185)</v>
      </c>
      <c r="U157" s="3">
        <v>23.4</v>
      </c>
      <c r="V157" s="3">
        <f t="shared" si="18"/>
        <v>28.08</v>
      </c>
      <c r="W157" s="3" t="str">
        <f t="shared" si="19"/>
        <v>Ø40</v>
      </c>
      <c r="X157" s="3" t="str">
        <f t="shared" si="20"/>
        <v>Ø40</v>
      </c>
    </row>
    <row r="158" spans="17:24" x14ac:dyDescent="0.3">
      <c r="Q158" s="3" t="s">
        <v>175</v>
      </c>
      <c r="R158" s="3">
        <v>1</v>
      </c>
      <c r="S158" s="3">
        <v>240</v>
      </c>
      <c r="T158" s="21" t="str">
        <f t="shared" si="17"/>
        <v>ПуГВ (1х240)</v>
      </c>
      <c r="U158" s="3">
        <v>27.3</v>
      </c>
      <c r="V158" s="3">
        <f t="shared" si="18"/>
        <v>32.76</v>
      </c>
      <c r="W158" s="3" t="str">
        <f t="shared" si="19"/>
        <v>Ø50</v>
      </c>
      <c r="X158" s="3" t="str">
        <f t="shared" si="20"/>
        <v>Ø50</v>
      </c>
    </row>
    <row r="159" spans="17:24" x14ac:dyDescent="0.3">
      <c r="Q159" s="3"/>
      <c r="R159" s="3"/>
      <c r="S159" s="3"/>
      <c r="T159" s="21" t="s">
        <v>228</v>
      </c>
      <c r="U159" s="3">
        <v>4.9000000000000004</v>
      </c>
      <c r="V159" s="3">
        <f t="shared" ref="V159:V196" si="21">U159*1.2</f>
        <v>5.88</v>
      </c>
      <c r="W159" s="3" t="str">
        <f t="shared" si="19"/>
        <v>Ø16</v>
      </c>
      <c r="X159" s="3" t="str">
        <f t="shared" si="20"/>
        <v>Ø16</v>
      </c>
    </row>
    <row r="160" spans="17:24" x14ac:dyDescent="0.3">
      <c r="Q160" s="3"/>
      <c r="R160" s="3"/>
      <c r="S160" s="3"/>
      <c r="T160" s="21" t="s">
        <v>208</v>
      </c>
      <c r="U160" s="3">
        <v>7</v>
      </c>
      <c r="V160" s="3">
        <f t="shared" si="21"/>
        <v>8.4</v>
      </c>
      <c r="W160" s="3" t="str">
        <f t="shared" si="19"/>
        <v>Ø16</v>
      </c>
      <c r="X160" s="3" t="str">
        <f t="shared" si="20"/>
        <v>Ø16</v>
      </c>
    </row>
    <row r="161" spans="17:24" x14ac:dyDescent="0.3">
      <c r="Q161" s="3"/>
      <c r="R161" s="3"/>
      <c r="S161" s="3"/>
      <c r="T161" s="21" t="s">
        <v>198</v>
      </c>
      <c r="U161" s="3"/>
      <c r="V161" s="3">
        <f t="shared" si="21"/>
        <v>0</v>
      </c>
      <c r="W161" s="3" t="str">
        <f t="shared" si="19"/>
        <v>Ø16</v>
      </c>
      <c r="X161" s="3" t="str">
        <f t="shared" si="20"/>
        <v>Ø16</v>
      </c>
    </row>
    <row r="162" spans="17:24" x14ac:dyDescent="0.3">
      <c r="Q162" s="3"/>
      <c r="R162" s="3"/>
      <c r="S162" s="3"/>
      <c r="T162" s="21" t="s">
        <v>199</v>
      </c>
      <c r="U162" s="3"/>
      <c r="V162" s="3">
        <f t="shared" si="21"/>
        <v>0</v>
      </c>
      <c r="W162" s="3" t="str">
        <f t="shared" si="19"/>
        <v>Ø16</v>
      </c>
      <c r="X162" s="3" t="str">
        <f t="shared" si="20"/>
        <v>Ø16</v>
      </c>
    </row>
    <row r="163" spans="17:24" x14ac:dyDescent="0.3">
      <c r="Q163" s="3"/>
      <c r="R163" s="3"/>
      <c r="S163" s="3"/>
      <c r="T163" s="21" t="s">
        <v>210</v>
      </c>
      <c r="U163" s="3"/>
      <c r="V163" s="3">
        <f t="shared" si="21"/>
        <v>0</v>
      </c>
      <c r="W163" s="3" t="str">
        <f t="shared" si="19"/>
        <v>Ø16</v>
      </c>
      <c r="X163" s="3" t="str">
        <f t="shared" si="20"/>
        <v>Ø16</v>
      </c>
    </row>
    <row r="164" spans="17:24" x14ac:dyDescent="0.3">
      <c r="Q164" s="3" t="s">
        <v>194</v>
      </c>
      <c r="R164" s="3"/>
      <c r="S164" s="3"/>
      <c r="T164" s="21"/>
      <c r="U164" s="3"/>
      <c r="V164" s="3">
        <f t="shared" si="21"/>
        <v>0</v>
      </c>
      <c r="W164" s="3" t="str">
        <f t="shared" si="19"/>
        <v>Ø16</v>
      </c>
      <c r="X164" s="3" t="str">
        <f t="shared" si="20"/>
        <v>Ø16</v>
      </c>
    </row>
    <row r="165" spans="17:24" x14ac:dyDescent="0.3">
      <c r="Q165" s="3"/>
      <c r="R165" s="3"/>
      <c r="S165" s="3"/>
      <c r="T165" s="21"/>
      <c r="U165" s="3"/>
      <c r="V165" s="3">
        <f t="shared" si="21"/>
        <v>0</v>
      </c>
      <c r="W165" s="3" t="str">
        <f t="shared" si="19"/>
        <v>Ø16</v>
      </c>
      <c r="X165" s="3" t="str">
        <f t="shared" si="20"/>
        <v>Ø16</v>
      </c>
    </row>
    <row r="166" spans="17:24" x14ac:dyDescent="0.3">
      <c r="Q166" s="3"/>
      <c r="R166" s="3"/>
      <c r="S166" s="3"/>
      <c r="T166" s="21"/>
      <c r="U166" s="3"/>
      <c r="V166" s="3">
        <f t="shared" si="21"/>
        <v>0</v>
      </c>
      <c r="W166" s="3" t="str">
        <f t="shared" si="19"/>
        <v>Ø16</v>
      </c>
      <c r="X166" s="3" t="str">
        <f t="shared" si="20"/>
        <v>Ø16</v>
      </c>
    </row>
    <row r="167" spans="17:24" x14ac:dyDescent="0.3">
      <c r="Q167" s="3" t="s">
        <v>195</v>
      </c>
      <c r="R167" s="3"/>
      <c r="S167" s="3"/>
      <c r="T167" s="21"/>
      <c r="U167" s="3"/>
      <c r="V167" s="3">
        <f t="shared" si="21"/>
        <v>0</v>
      </c>
      <c r="W167" s="3" t="str">
        <f t="shared" si="19"/>
        <v>Ø16</v>
      </c>
      <c r="X167" s="3" t="str">
        <f t="shared" si="20"/>
        <v>Ø16</v>
      </c>
    </row>
    <row r="168" spans="17:24" x14ac:dyDescent="0.3">
      <c r="Q168" s="3" t="s">
        <v>197</v>
      </c>
      <c r="R168" s="3"/>
      <c r="S168" s="3"/>
      <c r="T168" s="21"/>
      <c r="U168" s="3"/>
      <c r="V168" s="3">
        <f t="shared" si="21"/>
        <v>0</v>
      </c>
      <c r="W168" s="3" t="str">
        <f t="shared" si="19"/>
        <v>Ø16</v>
      </c>
      <c r="X168" s="3" t="str">
        <f t="shared" si="20"/>
        <v>Ø16</v>
      </c>
    </row>
    <row r="169" spans="17:24" x14ac:dyDescent="0.3">
      <c r="Q169" s="3"/>
      <c r="R169" s="3"/>
      <c r="S169" s="3"/>
      <c r="T169" s="21"/>
      <c r="U169" s="3"/>
      <c r="V169" s="3">
        <f t="shared" si="21"/>
        <v>0</v>
      </c>
      <c r="W169" s="3" t="str">
        <f t="shared" si="19"/>
        <v>Ø16</v>
      </c>
      <c r="X169" s="3" t="str">
        <f t="shared" si="20"/>
        <v>Ø16</v>
      </c>
    </row>
    <row r="170" spans="17:24" x14ac:dyDescent="0.3">
      <c r="Q170" s="3"/>
      <c r="R170" s="3"/>
      <c r="S170" s="3"/>
      <c r="T170" s="21" t="s">
        <v>196</v>
      </c>
      <c r="U170" s="3"/>
      <c r="V170" s="3">
        <f t="shared" si="21"/>
        <v>0</v>
      </c>
      <c r="W170" s="3" t="str">
        <f t="shared" si="19"/>
        <v>Ø16</v>
      </c>
      <c r="X170" s="3" t="str">
        <f t="shared" si="20"/>
        <v>Ø16</v>
      </c>
    </row>
    <row r="171" spans="17:24" x14ac:dyDescent="0.3">
      <c r="Q171" s="3"/>
      <c r="R171" s="3"/>
      <c r="S171" s="3"/>
      <c r="T171" s="21"/>
      <c r="U171" s="3"/>
      <c r="V171" s="3">
        <f t="shared" si="21"/>
        <v>0</v>
      </c>
      <c r="W171" s="3" t="str">
        <f t="shared" si="19"/>
        <v>Ø16</v>
      </c>
      <c r="X171" s="3" t="str">
        <f t="shared" si="20"/>
        <v>Ø16</v>
      </c>
    </row>
    <row r="172" spans="17:24" x14ac:dyDescent="0.3">
      <c r="Q172" s="3"/>
      <c r="R172" s="3"/>
      <c r="S172" s="3"/>
      <c r="T172" s="21"/>
      <c r="U172" s="25"/>
      <c r="V172" s="25"/>
      <c r="W172" s="25"/>
      <c r="X172" s="25"/>
    </row>
    <row r="173" spans="17:24" x14ac:dyDescent="0.3">
      <c r="Q173" s="3"/>
      <c r="R173" s="3"/>
      <c r="S173" s="3"/>
      <c r="T173" s="21"/>
      <c r="U173" s="3"/>
      <c r="V173" s="3">
        <f t="shared" si="21"/>
        <v>0</v>
      </c>
      <c r="W173" s="3" t="str">
        <f t="shared" si="19"/>
        <v>Ø16</v>
      </c>
      <c r="X173" s="3" t="str">
        <f t="shared" si="20"/>
        <v>Ø16</v>
      </c>
    </row>
    <row r="174" spans="17:24" x14ac:dyDescent="0.3">
      <c r="Q174" s="3"/>
      <c r="R174" s="3"/>
      <c r="S174" s="3"/>
      <c r="T174" s="21"/>
      <c r="U174" s="3"/>
      <c r="V174" s="3">
        <f t="shared" si="21"/>
        <v>0</v>
      </c>
      <c r="W174" s="3" t="str">
        <f t="shared" si="19"/>
        <v>Ø16</v>
      </c>
      <c r="X174" s="3" t="str">
        <f t="shared" si="20"/>
        <v>Ø16</v>
      </c>
    </row>
    <row r="175" spans="17:24" x14ac:dyDescent="0.3">
      <c r="Q175" s="3"/>
      <c r="R175" s="3"/>
      <c r="S175" s="3"/>
      <c r="T175" s="21"/>
      <c r="U175" s="3"/>
      <c r="V175" s="3">
        <f t="shared" si="21"/>
        <v>0</v>
      </c>
      <c r="W175" s="3" t="str">
        <f t="shared" si="19"/>
        <v>Ø16</v>
      </c>
      <c r="X175" s="3" t="str">
        <f t="shared" si="20"/>
        <v>Ø16</v>
      </c>
    </row>
    <row r="176" spans="17:24" x14ac:dyDescent="0.3">
      <c r="Q176" s="3"/>
      <c r="R176" s="3"/>
      <c r="S176" s="3"/>
      <c r="T176" s="21"/>
      <c r="U176" s="3"/>
      <c r="V176" s="3">
        <f t="shared" si="21"/>
        <v>0</v>
      </c>
      <c r="W176" s="3" t="str">
        <f t="shared" si="19"/>
        <v>Ø16</v>
      </c>
      <c r="X176" s="3" t="str">
        <f t="shared" si="20"/>
        <v>Ø16</v>
      </c>
    </row>
    <row r="177" spans="17:24" x14ac:dyDescent="0.3">
      <c r="Q177" s="3"/>
      <c r="R177" s="3"/>
      <c r="S177" s="3"/>
      <c r="T177" s="21"/>
      <c r="U177" s="3"/>
      <c r="V177" s="3">
        <f t="shared" si="21"/>
        <v>0</v>
      </c>
      <c r="W177" s="3" t="str">
        <f t="shared" si="19"/>
        <v>Ø16</v>
      </c>
      <c r="X177" s="3" t="str">
        <f t="shared" si="20"/>
        <v>Ø16</v>
      </c>
    </row>
    <row r="178" spans="17:24" x14ac:dyDescent="0.3">
      <c r="Q178" s="3"/>
      <c r="R178" s="3"/>
      <c r="S178" s="3"/>
      <c r="T178" s="21"/>
      <c r="U178" s="3"/>
      <c r="V178" s="3">
        <f t="shared" si="21"/>
        <v>0</v>
      </c>
      <c r="W178" s="3" t="str">
        <f t="shared" si="19"/>
        <v>Ø16</v>
      </c>
      <c r="X178" s="3" t="str">
        <f t="shared" si="20"/>
        <v>Ø16</v>
      </c>
    </row>
    <row r="179" spans="17:24" x14ac:dyDescent="0.3">
      <c r="Q179" s="3"/>
      <c r="R179" s="3"/>
      <c r="S179" s="3"/>
      <c r="T179" s="21"/>
      <c r="U179" s="3"/>
      <c r="V179" s="3">
        <f t="shared" si="21"/>
        <v>0</v>
      </c>
      <c r="W179" s="3" t="str">
        <f t="shared" si="19"/>
        <v>Ø16</v>
      </c>
      <c r="X179" s="3" t="str">
        <f t="shared" si="20"/>
        <v>Ø16</v>
      </c>
    </row>
    <row r="180" spans="17:24" x14ac:dyDescent="0.3">
      <c r="Q180" s="3"/>
      <c r="R180" s="3"/>
      <c r="S180" s="3"/>
      <c r="T180" s="21"/>
      <c r="U180" s="3"/>
      <c r="V180" s="3">
        <f t="shared" si="21"/>
        <v>0</v>
      </c>
      <c r="W180" s="3" t="str">
        <f t="shared" si="19"/>
        <v>Ø16</v>
      </c>
      <c r="X180" s="3" t="str">
        <f t="shared" si="20"/>
        <v>Ø16</v>
      </c>
    </row>
    <row r="181" spans="17:24" x14ac:dyDescent="0.3">
      <c r="Q181" s="3"/>
      <c r="R181" s="3"/>
      <c r="S181" s="3"/>
      <c r="T181" s="21"/>
      <c r="U181" s="3"/>
      <c r="V181" s="3">
        <f t="shared" si="21"/>
        <v>0</v>
      </c>
      <c r="W181" s="3" t="str">
        <f t="shared" si="19"/>
        <v>Ø16</v>
      </c>
      <c r="X181" s="3" t="str">
        <f t="shared" si="20"/>
        <v>Ø16</v>
      </c>
    </row>
    <row r="182" spans="17:24" x14ac:dyDescent="0.3">
      <c r="Q182" s="3"/>
      <c r="R182" s="3"/>
      <c r="S182" s="3"/>
      <c r="T182" s="21"/>
      <c r="U182" s="3"/>
      <c r="V182" s="3">
        <f t="shared" si="21"/>
        <v>0</v>
      </c>
      <c r="W182" s="3" t="str">
        <f t="shared" si="19"/>
        <v>Ø16</v>
      </c>
      <c r="X182" s="3" t="str">
        <f t="shared" si="20"/>
        <v>Ø16</v>
      </c>
    </row>
    <row r="183" spans="17:24" x14ac:dyDescent="0.3">
      <c r="Q183" s="3"/>
      <c r="R183" s="3"/>
      <c r="S183" s="3"/>
      <c r="T183" s="21"/>
      <c r="U183" s="3"/>
      <c r="V183" s="3">
        <f t="shared" si="21"/>
        <v>0</v>
      </c>
      <c r="W183" s="3" t="str">
        <f t="shared" si="19"/>
        <v>Ø16</v>
      </c>
      <c r="X183" s="3" t="str">
        <f t="shared" si="20"/>
        <v>Ø16</v>
      </c>
    </row>
    <row r="184" spans="17:24" x14ac:dyDescent="0.3">
      <c r="Q184" s="3"/>
      <c r="R184" s="3"/>
      <c r="S184" s="3"/>
      <c r="T184" s="21"/>
      <c r="U184" s="3"/>
      <c r="V184" s="3">
        <f t="shared" si="21"/>
        <v>0</v>
      </c>
      <c r="W184" s="3" t="str">
        <f t="shared" si="19"/>
        <v>Ø16</v>
      </c>
      <c r="X184" s="3" t="str">
        <f t="shared" si="20"/>
        <v>Ø16</v>
      </c>
    </row>
    <row r="185" spans="17:24" x14ac:dyDescent="0.3">
      <c r="Q185" s="3"/>
      <c r="R185" s="3"/>
      <c r="S185" s="3"/>
      <c r="T185" s="21"/>
      <c r="U185" s="3"/>
      <c r="V185" s="3">
        <f t="shared" si="21"/>
        <v>0</v>
      </c>
      <c r="W185" s="3" t="str">
        <f t="shared" si="19"/>
        <v>Ø16</v>
      </c>
      <c r="X185" s="3" t="str">
        <f t="shared" si="20"/>
        <v>Ø16</v>
      </c>
    </row>
    <row r="186" spans="17:24" x14ac:dyDescent="0.3">
      <c r="Q186" s="3"/>
      <c r="R186" s="3"/>
      <c r="S186" s="3"/>
      <c r="T186" s="21"/>
      <c r="U186" s="3"/>
      <c r="V186" s="3">
        <f t="shared" si="21"/>
        <v>0</v>
      </c>
      <c r="W186" s="3" t="str">
        <f t="shared" si="19"/>
        <v>Ø16</v>
      </c>
      <c r="X186" s="3" t="str">
        <f t="shared" si="20"/>
        <v>Ø16</v>
      </c>
    </row>
    <row r="187" spans="17:24" x14ac:dyDescent="0.3">
      <c r="Q187" s="3"/>
      <c r="R187" s="3"/>
      <c r="S187" s="3"/>
      <c r="T187" s="21"/>
      <c r="U187" s="3"/>
      <c r="V187" s="3">
        <f t="shared" si="21"/>
        <v>0</v>
      </c>
      <c r="W187" s="3" t="str">
        <f t="shared" si="19"/>
        <v>Ø16</v>
      </c>
      <c r="X187" s="3" t="str">
        <f t="shared" si="20"/>
        <v>Ø16</v>
      </c>
    </row>
    <row r="188" spans="17:24" x14ac:dyDescent="0.3">
      <c r="Q188" s="3"/>
      <c r="R188" s="3"/>
      <c r="S188" s="3"/>
      <c r="T188" s="21"/>
      <c r="U188" s="3"/>
      <c r="V188" s="3">
        <f t="shared" si="21"/>
        <v>0</v>
      </c>
      <c r="W188" s="3" t="str">
        <f t="shared" si="19"/>
        <v>Ø16</v>
      </c>
      <c r="X188" s="3" t="str">
        <f t="shared" si="20"/>
        <v>Ø16</v>
      </c>
    </row>
    <row r="189" spans="17:24" x14ac:dyDescent="0.3">
      <c r="Q189" s="3"/>
      <c r="R189" s="3"/>
      <c r="S189" s="3"/>
      <c r="T189" s="21"/>
      <c r="U189" s="3"/>
      <c r="V189" s="3">
        <f t="shared" si="21"/>
        <v>0</v>
      </c>
      <c r="W189" s="3" t="str">
        <f t="shared" si="19"/>
        <v>Ø16</v>
      </c>
      <c r="X189" s="3" t="str">
        <f t="shared" si="20"/>
        <v>Ø16</v>
      </c>
    </row>
    <row r="190" spans="17:24" x14ac:dyDescent="0.3">
      <c r="Q190" s="3"/>
      <c r="R190" s="3"/>
      <c r="S190" s="3"/>
      <c r="T190" s="21"/>
      <c r="U190" s="3"/>
      <c r="V190" s="3">
        <f t="shared" si="21"/>
        <v>0</v>
      </c>
      <c r="W190" s="3" t="str">
        <f t="shared" si="19"/>
        <v>Ø16</v>
      </c>
      <c r="X190" s="3" t="str">
        <f t="shared" si="20"/>
        <v>Ø16</v>
      </c>
    </row>
    <row r="191" spans="17:24" x14ac:dyDescent="0.3">
      <c r="Q191" s="3"/>
      <c r="R191" s="3"/>
      <c r="S191" s="3"/>
      <c r="T191" s="21"/>
      <c r="U191" s="3"/>
      <c r="V191" s="3">
        <f t="shared" si="21"/>
        <v>0</v>
      </c>
      <c r="W191" s="3" t="str">
        <f t="shared" si="19"/>
        <v>Ø16</v>
      </c>
      <c r="X191" s="3" t="str">
        <f t="shared" si="20"/>
        <v>Ø16</v>
      </c>
    </row>
    <row r="192" spans="17:24" x14ac:dyDescent="0.3">
      <c r="Q192" s="3"/>
      <c r="R192" s="3"/>
      <c r="S192" s="3"/>
      <c r="T192" s="21"/>
      <c r="U192" s="3"/>
      <c r="V192" s="3">
        <f t="shared" si="21"/>
        <v>0</v>
      </c>
      <c r="W192" s="3" t="str">
        <f t="shared" si="19"/>
        <v>Ø16</v>
      </c>
      <c r="X192" s="3" t="str">
        <f t="shared" si="20"/>
        <v>Ø16</v>
      </c>
    </row>
    <row r="193" spans="17:24" x14ac:dyDescent="0.3">
      <c r="Q193" s="3"/>
      <c r="R193" s="3"/>
      <c r="S193" s="3"/>
      <c r="T193" s="21"/>
      <c r="U193" s="3"/>
      <c r="V193" s="3">
        <f t="shared" si="21"/>
        <v>0</v>
      </c>
      <c r="W193" s="3" t="str">
        <f t="shared" si="19"/>
        <v>Ø16</v>
      </c>
      <c r="X193" s="3" t="str">
        <f t="shared" si="20"/>
        <v>Ø16</v>
      </c>
    </row>
    <row r="194" spans="17:24" x14ac:dyDescent="0.3">
      <c r="Q194" s="3"/>
      <c r="R194" s="3"/>
      <c r="S194" s="3"/>
      <c r="T194" s="21"/>
      <c r="U194" s="3"/>
      <c r="V194" s="3">
        <f t="shared" si="21"/>
        <v>0</v>
      </c>
      <c r="W194" s="3" t="str">
        <f t="shared" si="19"/>
        <v>Ø16</v>
      </c>
      <c r="X194" s="3" t="str">
        <f t="shared" si="20"/>
        <v>Ø16</v>
      </c>
    </row>
    <row r="195" spans="17:24" x14ac:dyDescent="0.3">
      <c r="Q195" s="3"/>
      <c r="R195" s="3"/>
      <c r="S195" s="3"/>
      <c r="T195" s="21"/>
      <c r="U195" s="3"/>
      <c r="V195" s="3">
        <f t="shared" si="21"/>
        <v>0</v>
      </c>
      <c r="W195" s="3" t="str">
        <f t="shared" si="19"/>
        <v>Ø16</v>
      </c>
      <c r="X195" s="3" t="str">
        <f t="shared" si="20"/>
        <v>Ø16</v>
      </c>
    </row>
    <row r="196" spans="17:24" x14ac:dyDescent="0.3">
      <c r="Q196" s="3"/>
      <c r="R196" s="3"/>
      <c r="S196" s="3"/>
      <c r="T196" s="21"/>
      <c r="U196" s="3"/>
      <c r="V196" s="3">
        <f t="shared" si="21"/>
        <v>0</v>
      </c>
      <c r="W196" s="3" t="str">
        <f t="shared" si="19"/>
        <v>Ø16</v>
      </c>
      <c r="X196" s="3" t="str">
        <f t="shared" si="20"/>
        <v>Ø16</v>
      </c>
    </row>
    <row r="197" spans="17:24" x14ac:dyDescent="0.3">
      <c r="Q197" s="3"/>
      <c r="R197" s="3"/>
      <c r="S197" s="3"/>
      <c r="T197" s="21"/>
      <c r="U197" s="3"/>
      <c r="V197" s="3">
        <f t="shared" ref="V197:V260" si="22">U197*1.2</f>
        <v>0</v>
      </c>
      <c r="W197" s="3" t="str">
        <f t="shared" ref="W197:W260" si="23">"Ø"&amp;VLOOKUP(V197,$Z$4:$AA$10,2,TRUE)</f>
        <v>Ø16</v>
      </c>
      <c r="X197" s="3" t="str">
        <f t="shared" ref="X197:X260" si="24">"Ø"&amp;VLOOKUP(V197,$AD$4:$AE$10,2,TRUE)</f>
        <v>Ø16</v>
      </c>
    </row>
    <row r="198" spans="17:24" x14ac:dyDescent="0.3">
      <c r="Q198" s="3"/>
      <c r="R198" s="3"/>
      <c r="S198" s="3"/>
      <c r="T198" s="21"/>
      <c r="U198" s="3"/>
      <c r="V198" s="3">
        <f t="shared" si="22"/>
        <v>0</v>
      </c>
      <c r="W198" s="3" t="str">
        <f t="shared" si="23"/>
        <v>Ø16</v>
      </c>
      <c r="X198" s="3" t="str">
        <f t="shared" si="24"/>
        <v>Ø16</v>
      </c>
    </row>
    <row r="199" spans="17:24" x14ac:dyDescent="0.3">
      <c r="Q199" s="3"/>
      <c r="R199" s="3"/>
      <c r="S199" s="3"/>
      <c r="T199" s="21"/>
      <c r="U199" s="3"/>
      <c r="V199" s="3">
        <f t="shared" si="22"/>
        <v>0</v>
      </c>
      <c r="W199" s="3" t="str">
        <f t="shared" si="23"/>
        <v>Ø16</v>
      </c>
      <c r="X199" s="3" t="str">
        <f t="shared" si="24"/>
        <v>Ø16</v>
      </c>
    </row>
    <row r="200" spans="17:24" x14ac:dyDescent="0.3">
      <c r="Q200" s="3"/>
      <c r="R200" s="3"/>
      <c r="S200" s="3"/>
      <c r="T200" s="21"/>
      <c r="U200" s="3"/>
      <c r="V200" s="3">
        <f t="shared" si="22"/>
        <v>0</v>
      </c>
      <c r="W200" s="3" t="str">
        <f t="shared" si="23"/>
        <v>Ø16</v>
      </c>
      <c r="X200" s="3" t="str">
        <f t="shared" si="24"/>
        <v>Ø16</v>
      </c>
    </row>
    <row r="201" spans="17:24" x14ac:dyDescent="0.3">
      <c r="Q201" s="3"/>
      <c r="R201" s="3"/>
      <c r="S201" s="3"/>
      <c r="T201" s="21"/>
      <c r="U201" s="3"/>
      <c r="V201" s="3">
        <f t="shared" si="22"/>
        <v>0</v>
      </c>
      <c r="W201" s="3" t="str">
        <f t="shared" si="23"/>
        <v>Ø16</v>
      </c>
      <c r="X201" s="3" t="str">
        <f t="shared" si="24"/>
        <v>Ø16</v>
      </c>
    </row>
    <row r="202" spans="17:24" x14ac:dyDescent="0.3">
      <c r="Q202" s="3"/>
      <c r="R202" s="3"/>
      <c r="S202" s="3"/>
      <c r="T202" s="21"/>
      <c r="U202" s="3"/>
      <c r="V202" s="3">
        <f t="shared" si="22"/>
        <v>0</v>
      </c>
      <c r="W202" s="3" t="str">
        <f t="shared" si="23"/>
        <v>Ø16</v>
      </c>
      <c r="X202" s="3" t="str">
        <f t="shared" si="24"/>
        <v>Ø16</v>
      </c>
    </row>
    <row r="203" spans="17:24" x14ac:dyDescent="0.3">
      <c r="Q203" s="3"/>
      <c r="R203" s="3"/>
      <c r="S203" s="3"/>
      <c r="T203" s="21"/>
      <c r="U203" s="3"/>
      <c r="V203" s="3">
        <f t="shared" si="22"/>
        <v>0</v>
      </c>
      <c r="W203" s="3" t="str">
        <f t="shared" si="23"/>
        <v>Ø16</v>
      </c>
      <c r="X203" s="3" t="str">
        <f t="shared" si="24"/>
        <v>Ø16</v>
      </c>
    </row>
    <row r="204" spans="17:24" x14ac:dyDescent="0.3">
      <c r="Q204" s="3"/>
      <c r="R204" s="3"/>
      <c r="S204" s="3"/>
      <c r="T204" s="21"/>
      <c r="U204" s="3"/>
      <c r="V204" s="3">
        <f t="shared" si="22"/>
        <v>0</v>
      </c>
      <c r="W204" s="3" t="str">
        <f t="shared" si="23"/>
        <v>Ø16</v>
      </c>
      <c r="X204" s="3" t="str">
        <f t="shared" si="24"/>
        <v>Ø16</v>
      </c>
    </row>
    <row r="205" spans="17:24" x14ac:dyDescent="0.3">
      <c r="Q205" s="3"/>
      <c r="R205" s="3"/>
      <c r="S205" s="3"/>
      <c r="T205" s="21"/>
      <c r="U205" s="3"/>
      <c r="V205" s="3">
        <f t="shared" si="22"/>
        <v>0</v>
      </c>
      <c r="W205" s="3" t="str">
        <f t="shared" si="23"/>
        <v>Ø16</v>
      </c>
      <c r="X205" s="3" t="str">
        <f t="shared" si="24"/>
        <v>Ø16</v>
      </c>
    </row>
    <row r="206" spans="17:24" x14ac:dyDescent="0.3">
      <c r="Q206" s="3"/>
      <c r="R206" s="3"/>
      <c r="S206" s="3"/>
      <c r="T206" s="21"/>
      <c r="U206" s="3"/>
      <c r="V206" s="3">
        <f t="shared" si="22"/>
        <v>0</v>
      </c>
      <c r="W206" s="3" t="str">
        <f t="shared" si="23"/>
        <v>Ø16</v>
      </c>
      <c r="X206" s="3" t="str">
        <f t="shared" si="24"/>
        <v>Ø16</v>
      </c>
    </row>
    <row r="207" spans="17:24" x14ac:dyDescent="0.3">
      <c r="Q207" s="3"/>
      <c r="R207" s="3"/>
      <c r="S207" s="3"/>
      <c r="T207" s="21"/>
      <c r="U207" s="3"/>
      <c r="V207" s="3">
        <f t="shared" si="22"/>
        <v>0</v>
      </c>
      <c r="W207" s="3" t="str">
        <f t="shared" si="23"/>
        <v>Ø16</v>
      </c>
      <c r="X207" s="3" t="str">
        <f t="shared" si="24"/>
        <v>Ø16</v>
      </c>
    </row>
    <row r="208" spans="17:24" x14ac:dyDescent="0.3">
      <c r="Q208" s="3"/>
      <c r="R208" s="3"/>
      <c r="S208" s="3"/>
      <c r="T208" s="21"/>
      <c r="U208" s="3"/>
      <c r="V208" s="3">
        <f t="shared" si="22"/>
        <v>0</v>
      </c>
      <c r="W208" s="3" t="str">
        <f t="shared" si="23"/>
        <v>Ø16</v>
      </c>
      <c r="X208" s="3" t="str">
        <f t="shared" si="24"/>
        <v>Ø16</v>
      </c>
    </row>
    <row r="209" spans="17:24" x14ac:dyDescent="0.3">
      <c r="Q209" s="3"/>
      <c r="R209" s="3"/>
      <c r="S209" s="3"/>
      <c r="T209" s="21"/>
      <c r="U209" s="3"/>
      <c r="V209" s="3">
        <f t="shared" si="22"/>
        <v>0</v>
      </c>
      <c r="W209" s="3" t="str">
        <f t="shared" si="23"/>
        <v>Ø16</v>
      </c>
      <c r="X209" s="3" t="str">
        <f t="shared" si="24"/>
        <v>Ø16</v>
      </c>
    </row>
    <row r="210" spans="17:24" x14ac:dyDescent="0.3">
      <c r="Q210" s="3"/>
      <c r="R210" s="3"/>
      <c r="S210" s="3"/>
      <c r="T210" s="21"/>
      <c r="U210" s="3"/>
      <c r="V210" s="3">
        <f t="shared" si="22"/>
        <v>0</v>
      </c>
      <c r="W210" s="3" t="str">
        <f t="shared" si="23"/>
        <v>Ø16</v>
      </c>
      <c r="X210" s="3" t="str">
        <f t="shared" si="24"/>
        <v>Ø16</v>
      </c>
    </row>
    <row r="211" spans="17:24" x14ac:dyDescent="0.3">
      <c r="Q211" s="3"/>
      <c r="R211" s="3"/>
      <c r="S211" s="3"/>
      <c r="T211" s="21"/>
      <c r="U211" s="3"/>
      <c r="V211" s="3">
        <f t="shared" si="22"/>
        <v>0</v>
      </c>
      <c r="W211" s="3" t="str">
        <f t="shared" si="23"/>
        <v>Ø16</v>
      </c>
      <c r="X211" s="3" t="str">
        <f t="shared" si="24"/>
        <v>Ø16</v>
      </c>
    </row>
    <row r="212" spans="17:24" x14ac:dyDescent="0.3">
      <c r="Q212" s="3"/>
      <c r="R212" s="3"/>
      <c r="S212" s="3"/>
      <c r="T212" s="21"/>
      <c r="U212" s="3"/>
      <c r="V212" s="3">
        <f t="shared" si="22"/>
        <v>0</v>
      </c>
      <c r="W212" s="3" t="str">
        <f t="shared" si="23"/>
        <v>Ø16</v>
      </c>
      <c r="X212" s="3" t="str">
        <f t="shared" si="24"/>
        <v>Ø16</v>
      </c>
    </row>
    <row r="213" spans="17:24" x14ac:dyDescent="0.3">
      <c r="Q213" s="3"/>
      <c r="R213" s="3"/>
      <c r="S213" s="3"/>
      <c r="T213" s="21"/>
      <c r="U213" s="3"/>
      <c r="V213" s="3">
        <f t="shared" si="22"/>
        <v>0</v>
      </c>
      <c r="W213" s="3" t="str">
        <f t="shared" si="23"/>
        <v>Ø16</v>
      </c>
      <c r="X213" s="3" t="str">
        <f t="shared" si="24"/>
        <v>Ø16</v>
      </c>
    </row>
    <row r="214" spans="17:24" x14ac:dyDescent="0.3">
      <c r="Q214" s="3"/>
      <c r="R214" s="3"/>
      <c r="S214" s="3"/>
      <c r="T214" s="21"/>
      <c r="U214" s="3"/>
      <c r="V214" s="3">
        <f t="shared" si="22"/>
        <v>0</v>
      </c>
      <c r="W214" s="3" t="str">
        <f t="shared" si="23"/>
        <v>Ø16</v>
      </c>
      <c r="X214" s="3" t="str">
        <f t="shared" si="24"/>
        <v>Ø16</v>
      </c>
    </row>
    <row r="215" spans="17:24" x14ac:dyDescent="0.3">
      <c r="Q215" s="3"/>
      <c r="R215" s="3"/>
      <c r="S215" s="3"/>
      <c r="T215" s="21"/>
      <c r="U215" s="3"/>
      <c r="V215" s="3">
        <f t="shared" si="22"/>
        <v>0</v>
      </c>
      <c r="W215" s="3" t="str">
        <f t="shared" si="23"/>
        <v>Ø16</v>
      </c>
      <c r="X215" s="3" t="str">
        <f t="shared" si="24"/>
        <v>Ø16</v>
      </c>
    </row>
    <row r="216" spans="17:24" x14ac:dyDescent="0.3">
      <c r="Q216" s="3"/>
      <c r="R216" s="3"/>
      <c r="S216" s="3"/>
      <c r="T216" s="21"/>
      <c r="U216" s="3"/>
      <c r="V216" s="3">
        <f t="shared" si="22"/>
        <v>0</v>
      </c>
      <c r="W216" s="3" t="str">
        <f t="shared" si="23"/>
        <v>Ø16</v>
      </c>
      <c r="X216" s="3" t="str">
        <f t="shared" si="24"/>
        <v>Ø16</v>
      </c>
    </row>
    <row r="217" spans="17:24" x14ac:dyDescent="0.3">
      <c r="Q217" s="3"/>
      <c r="R217" s="3"/>
      <c r="S217" s="3"/>
      <c r="T217" s="21"/>
      <c r="U217" s="3"/>
      <c r="V217" s="3">
        <f t="shared" si="22"/>
        <v>0</v>
      </c>
      <c r="W217" s="3" t="str">
        <f t="shared" si="23"/>
        <v>Ø16</v>
      </c>
      <c r="X217" s="3" t="str">
        <f t="shared" si="24"/>
        <v>Ø16</v>
      </c>
    </row>
    <row r="218" spans="17:24" x14ac:dyDescent="0.3">
      <c r="Q218" s="3"/>
      <c r="R218" s="3"/>
      <c r="S218" s="3"/>
      <c r="T218" s="21"/>
      <c r="U218" s="3"/>
      <c r="V218" s="3">
        <f t="shared" si="22"/>
        <v>0</v>
      </c>
      <c r="W218" s="3" t="str">
        <f t="shared" si="23"/>
        <v>Ø16</v>
      </c>
      <c r="X218" s="3" t="str">
        <f t="shared" si="24"/>
        <v>Ø16</v>
      </c>
    </row>
    <row r="219" spans="17:24" x14ac:dyDescent="0.3">
      <c r="Q219" s="3"/>
      <c r="R219" s="3"/>
      <c r="S219" s="3"/>
      <c r="T219" s="21"/>
      <c r="U219" s="3"/>
      <c r="V219" s="3">
        <f t="shared" si="22"/>
        <v>0</v>
      </c>
      <c r="W219" s="3" t="str">
        <f t="shared" si="23"/>
        <v>Ø16</v>
      </c>
      <c r="X219" s="3" t="str">
        <f t="shared" si="24"/>
        <v>Ø16</v>
      </c>
    </row>
    <row r="220" spans="17:24" x14ac:dyDescent="0.3">
      <c r="Q220" s="3"/>
      <c r="R220" s="3"/>
      <c r="S220" s="3"/>
      <c r="T220" s="21"/>
      <c r="U220" s="3"/>
      <c r="V220" s="3">
        <f t="shared" si="22"/>
        <v>0</v>
      </c>
      <c r="W220" s="3" t="str">
        <f t="shared" si="23"/>
        <v>Ø16</v>
      </c>
      <c r="X220" s="3" t="str">
        <f t="shared" si="24"/>
        <v>Ø16</v>
      </c>
    </row>
    <row r="221" spans="17:24" x14ac:dyDescent="0.3">
      <c r="Q221" s="3"/>
      <c r="R221" s="3"/>
      <c r="S221" s="3"/>
      <c r="T221" s="21"/>
      <c r="U221" s="3"/>
      <c r="V221" s="3">
        <f t="shared" si="22"/>
        <v>0</v>
      </c>
      <c r="W221" s="3" t="str">
        <f t="shared" si="23"/>
        <v>Ø16</v>
      </c>
      <c r="X221" s="3" t="str">
        <f t="shared" si="24"/>
        <v>Ø16</v>
      </c>
    </row>
    <row r="222" spans="17:24" x14ac:dyDescent="0.3">
      <c r="Q222" s="3"/>
      <c r="R222" s="3"/>
      <c r="S222" s="3"/>
      <c r="T222" s="21"/>
      <c r="U222" s="3"/>
      <c r="V222" s="3">
        <f t="shared" si="22"/>
        <v>0</v>
      </c>
      <c r="W222" s="3" t="str">
        <f t="shared" si="23"/>
        <v>Ø16</v>
      </c>
      <c r="X222" s="3" t="str">
        <f t="shared" si="24"/>
        <v>Ø16</v>
      </c>
    </row>
    <row r="223" spans="17:24" x14ac:dyDescent="0.3">
      <c r="Q223" s="3"/>
      <c r="R223" s="3"/>
      <c r="S223" s="3"/>
      <c r="T223" s="21"/>
      <c r="U223" s="3"/>
      <c r="V223" s="3">
        <f t="shared" si="22"/>
        <v>0</v>
      </c>
      <c r="W223" s="3" t="str">
        <f t="shared" si="23"/>
        <v>Ø16</v>
      </c>
      <c r="X223" s="3" t="str">
        <f t="shared" si="24"/>
        <v>Ø16</v>
      </c>
    </row>
    <row r="224" spans="17:24" x14ac:dyDescent="0.3">
      <c r="Q224" s="3"/>
      <c r="R224" s="3"/>
      <c r="S224" s="3"/>
      <c r="T224" s="21"/>
      <c r="U224" s="3"/>
      <c r="V224" s="3">
        <f t="shared" si="22"/>
        <v>0</v>
      </c>
      <c r="W224" s="3" t="str">
        <f t="shared" si="23"/>
        <v>Ø16</v>
      </c>
      <c r="X224" s="3" t="str">
        <f t="shared" si="24"/>
        <v>Ø16</v>
      </c>
    </row>
    <row r="225" spans="17:24" x14ac:dyDescent="0.3">
      <c r="Q225" s="3"/>
      <c r="R225" s="3"/>
      <c r="S225" s="3"/>
      <c r="T225" s="21"/>
      <c r="U225" s="3"/>
      <c r="V225" s="3">
        <f t="shared" si="22"/>
        <v>0</v>
      </c>
      <c r="W225" s="3" t="str">
        <f t="shared" si="23"/>
        <v>Ø16</v>
      </c>
      <c r="X225" s="3" t="str">
        <f t="shared" si="24"/>
        <v>Ø16</v>
      </c>
    </row>
    <row r="226" spans="17:24" x14ac:dyDescent="0.3">
      <c r="Q226" s="3"/>
      <c r="R226" s="3"/>
      <c r="S226" s="3"/>
      <c r="T226" s="21"/>
      <c r="U226" s="3"/>
      <c r="V226" s="3">
        <f t="shared" si="22"/>
        <v>0</v>
      </c>
      <c r="W226" s="3" t="str">
        <f t="shared" si="23"/>
        <v>Ø16</v>
      </c>
      <c r="X226" s="3" t="str">
        <f t="shared" si="24"/>
        <v>Ø16</v>
      </c>
    </row>
    <row r="227" spans="17:24" x14ac:dyDescent="0.3">
      <c r="Q227" s="3"/>
      <c r="R227" s="3"/>
      <c r="S227" s="3"/>
      <c r="T227" s="21"/>
      <c r="U227" s="3"/>
      <c r="V227" s="3">
        <f t="shared" si="22"/>
        <v>0</v>
      </c>
      <c r="W227" s="3" t="str">
        <f t="shared" si="23"/>
        <v>Ø16</v>
      </c>
      <c r="X227" s="3" t="str">
        <f t="shared" si="24"/>
        <v>Ø16</v>
      </c>
    </row>
    <row r="228" spans="17:24" x14ac:dyDescent="0.3">
      <c r="Q228" s="3"/>
      <c r="R228" s="3"/>
      <c r="S228" s="3"/>
      <c r="T228" s="21"/>
      <c r="U228" s="3"/>
      <c r="V228" s="3">
        <f t="shared" si="22"/>
        <v>0</v>
      </c>
      <c r="W228" s="3" t="str">
        <f t="shared" si="23"/>
        <v>Ø16</v>
      </c>
      <c r="X228" s="3" t="str">
        <f t="shared" si="24"/>
        <v>Ø16</v>
      </c>
    </row>
    <row r="229" spans="17:24" x14ac:dyDescent="0.3">
      <c r="Q229" s="3"/>
      <c r="R229" s="3"/>
      <c r="S229" s="3"/>
      <c r="T229" s="21"/>
      <c r="U229" s="3"/>
      <c r="V229" s="3">
        <f t="shared" si="22"/>
        <v>0</v>
      </c>
      <c r="W229" s="3" t="str">
        <f t="shared" si="23"/>
        <v>Ø16</v>
      </c>
      <c r="X229" s="3" t="str">
        <f t="shared" si="24"/>
        <v>Ø16</v>
      </c>
    </row>
    <row r="230" spans="17:24" x14ac:dyDescent="0.3">
      <c r="Q230" s="3"/>
      <c r="R230" s="3"/>
      <c r="S230" s="3"/>
      <c r="T230" s="21"/>
      <c r="U230" s="3"/>
      <c r="V230" s="3">
        <f t="shared" si="22"/>
        <v>0</v>
      </c>
      <c r="W230" s="3" t="str">
        <f t="shared" si="23"/>
        <v>Ø16</v>
      </c>
      <c r="X230" s="3" t="str">
        <f t="shared" si="24"/>
        <v>Ø16</v>
      </c>
    </row>
    <row r="231" spans="17:24" x14ac:dyDescent="0.3">
      <c r="Q231" s="3"/>
      <c r="R231" s="3"/>
      <c r="S231" s="3"/>
      <c r="T231" s="21"/>
      <c r="U231" s="3"/>
      <c r="V231" s="3">
        <f t="shared" si="22"/>
        <v>0</v>
      </c>
      <c r="W231" s="3" t="str">
        <f t="shared" si="23"/>
        <v>Ø16</v>
      </c>
      <c r="X231" s="3" t="str">
        <f t="shared" si="24"/>
        <v>Ø16</v>
      </c>
    </row>
    <row r="232" spans="17:24" x14ac:dyDescent="0.3">
      <c r="Q232" s="3"/>
      <c r="R232" s="3"/>
      <c r="S232" s="3"/>
      <c r="T232" s="21"/>
      <c r="U232" s="3"/>
      <c r="V232" s="3">
        <f t="shared" si="22"/>
        <v>0</v>
      </c>
      <c r="W232" s="3" t="str">
        <f t="shared" si="23"/>
        <v>Ø16</v>
      </c>
      <c r="X232" s="3" t="str">
        <f t="shared" si="24"/>
        <v>Ø16</v>
      </c>
    </row>
    <row r="233" spans="17:24" x14ac:dyDescent="0.3">
      <c r="Q233" s="3"/>
      <c r="R233" s="3"/>
      <c r="S233" s="3"/>
      <c r="T233" s="21"/>
      <c r="U233" s="3"/>
      <c r="V233" s="3">
        <f t="shared" si="22"/>
        <v>0</v>
      </c>
      <c r="W233" s="3" t="str">
        <f t="shared" si="23"/>
        <v>Ø16</v>
      </c>
      <c r="X233" s="3" t="str">
        <f t="shared" si="24"/>
        <v>Ø16</v>
      </c>
    </row>
    <row r="234" spans="17:24" x14ac:dyDescent="0.3">
      <c r="Q234" s="3"/>
      <c r="R234" s="3"/>
      <c r="S234" s="3"/>
      <c r="T234" s="21"/>
      <c r="U234" s="3"/>
      <c r="V234" s="3">
        <f t="shared" si="22"/>
        <v>0</v>
      </c>
      <c r="W234" s="3" t="str">
        <f t="shared" si="23"/>
        <v>Ø16</v>
      </c>
      <c r="X234" s="3" t="str">
        <f t="shared" si="24"/>
        <v>Ø16</v>
      </c>
    </row>
    <row r="235" spans="17:24" x14ac:dyDescent="0.3">
      <c r="Q235" s="3"/>
      <c r="R235" s="3"/>
      <c r="S235" s="3"/>
      <c r="T235" s="21"/>
      <c r="U235" s="3"/>
      <c r="V235" s="3">
        <f t="shared" si="22"/>
        <v>0</v>
      </c>
      <c r="W235" s="3" t="str">
        <f t="shared" si="23"/>
        <v>Ø16</v>
      </c>
      <c r="X235" s="3" t="str">
        <f t="shared" si="24"/>
        <v>Ø16</v>
      </c>
    </row>
    <row r="236" spans="17:24" x14ac:dyDescent="0.3">
      <c r="Q236" s="3"/>
      <c r="R236" s="3"/>
      <c r="S236" s="3"/>
      <c r="T236" s="21"/>
      <c r="U236" s="3"/>
      <c r="V236" s="3">
        <f t="shared" si="22"/>
        <v>0</v>
      </c>
      <c r="W236" s="3" t="str">
        <f t="shared" si="23"/>
        <v>Ø16</v>
      </c>
      <c r="X236" s="3" t="str">
        <f t="shared" si="24"/>
        <v>Ø16</v>
      </c>
    </row>
    <row r="237" spans="17:24" x14ac:dyDescent="0.3">
      <c r="Q237" s="3"/>
      <c r="R237" s="3"/>
      <c r="S237" s="3"/>
      <c r="T237" s="21"/>
      <c r="U237" s="3"/>
      <c r="V237" s="3">
        <f t="shared" si="22"/>
        <v>0</v>
      </c>
      <c r="W237" s="3" t="str">
        <f t="shared" si="23"/>
        <v>Ø16</v>
      </c>
      <c r="X237" s="3" t="str">
        <f t="shared" si="24"/>
        <v>Ø16</v>
      </c>
    </row>
    <row r="238" spans="17:24" x14ac:dyDescent="0.3">
      <c r="Q238" s="3"/>
      <c r="R238" s="3"/>
      <c r="S238" s="3"/>
      <c r="T238" s="21"/>
      <c r="U238" s="3"/>
      <c r="V238" s="3">
        <f t="shared" si="22"/>
        <v>0</v>
      </c>
      <c r="W238" s="3" t="str">
        <f t="shared" si="23"/>
        <v>Ø16</v>
      </c>
      <c r="X238" s="3" t="str">
        <f t="shared" si="24"/>
        <v>Ø16</v>
      </c>
    </row>
    <row r="239" spans="17:24" x14ac:dyDescent="0.3">
      <c r="Q239" s="3"/>
      <c r="R239" s="3"/>
      <c r="S239" s="3"/>
      <c r="T239" s="21"/>
      <c r="U239" s="3"/>
      <c r="V239" s="3">
        <f t="shared" si="22"/>
        <v>0</v>
      </c>
      <c r="W239" s="3" t="str">
        <f t="shared" si="23"/>
        <v>Ø16</v>
      </c>
      <c r="X239" s="3" t="str">
        <f t="shared" si="24"/>
        <v>Ø16</v>
      </c>
    </row>
    <row r="240" spans="17:24" x14ac:dyDescent="0.3">
      <c r="Q240" s="3"/>
      <c r="R240" s="3"/>
      <c r="S240" s="3"/>
      <c r="T240" s="21"/>
      <c r="U240" s="3"/>
      <c r="V240" s="3">
        <f t="shared" si="22"/>
        <v>0</v>
      </c>
      <c r="W240" s="3" t="str">
        <f t="shared" si="23"/>
        <v>Ø16</v>
      </c>
      <c r="X240" s="3" t="str">
        <f t="shared" si="24"/>
        <v>Ø16</v>
      </c>
    </row>
    <row r="241" spans="17:24" x14ac:dyDescent="0.3">
      <c r="Q241" s="3"/>
      <c r="R241" s="3"/>
      <c r="S241" s="3"/>
      <c r="T241" s="21"/>
      <c r="U241" s="3"/>
      <c r="V241" s="3">
        <f t="shared" si="22"/>
        <v>0</v>
      </c>
      <c r="W241" s="3" t="str">
        <f t="shared" si="23"/>
        <v>Ø16</v>
      </c>
      <c r="X241" s="3" t="str">
        <f t="shared" si="24"/>
        <v>Ø16</v>
      </c>
    </row>
    <row r="242" spans="17:24" x14ac:dyDescent="0.3">
      <c r="Q242" s="3"/>
      <c r="R242" s="3"/>
      <c r="S242" s="3"/>
      <c r="T242" s="21"/>
      <c r="U242" s="3"/>
      <c r="V242" s="3">
        <f t="shared" si="22"/>
        <v>0</v>
      </c>
      <c r="W242" s="3" t="str">
        <f t="shared" si="23"/>
        <v>Ø16</v>
      </c>
      <c r="X242" s="3" t="str">
        <f t="shared" si="24"/>
        <v>Ø16</v>
      </c>
    </row>
    <row r="243" spans="17:24" x14ac:dyDescent="0.3">
      <c r="Q243" s="3"/>
      <c r="R243" s="3"/>
      <c r="S243" s="3"/>
      <c r="T243" s="21"/>
      <c r="U243" s="3"/>
      <c r="V243" s="3">
        <f t="shared" si="22"/>
        <v>0</v>
      </c>
      <c r="W243" s="3" t="str">
        <f t="shared" si="23"/>
        <v>Ø16</v>
      </c>
      <c r="X243" s="3" t="str">
        <f t="shared" si="24"/>
        <v>Ø16</v>
      </c>
    </row>
    <row r="244" spans="17:24" x14ac:dyDescent="0.3">
      <c r="Q244" s="3"/>
      <c r="R244" s="3"/>
      <c r="S244" s="3"/>
      <c r="T244" s="21"/>
      <c r="U244" s="3"/>
      <c r="V244" s="3">
        <f t="shared" si="22"/>
        <v>0</v>
      </c>
      <c r="W244" s="3" t="str">
        <f t="shared" si="23"/>
        <v>Ø16</v>
      </c>
      <c r="X244" s="3" t="str">
        <f t="shared" si="24"/>
        <v>Ø16</v>
      </c>
    </row>
    <row r="245" spans="17:24" x14ac:dyDescent="0.3">
      <c r="Q245" s="3"/>
      <c r="R245" s="3"/>
      <c r="S245" s="3"/>
      <c r="T245" s="21"/>
      <c r="U245" s="3"/>
      <c r="V245" s="3">
        <f t="shared" si="22"/>
        <v>0</v>
      </c>
      <c r="W245" s="3" t="str">
        <f t="shared" si="23"/>
        <v>Ø16</v>
      </c>
      <c r="X245" s="3" t="str">
        <f t="shared" si="24"/>
        <v>Ø16</v>
      </c>
    </row>
    <row r="246" spans="17:24" x14ac:dyDescent="0.3">
      <c r="Q246" s="3"/>
      <c r="R246" s="3"/>
      <c r="S246" s="3"/>
      <c r="T246" s="21"/>
      <c r="U246" s="3"/>
      <c r="V246" s="3">
        <f t="shared" si="22"/>
        <v>0</v>
      </c>
      <c r="W246" s="3" t="str">
        <f t="shared" si="23"/>
        <v>Ø16</v>
      </c>
      <c r="X246" s="3" t="str">
        <f t="shared" si="24"/>
        <v>Ø16</v>
      </c>
    </row>
    <row r="247" spans="17:24" x14ac:dyDescent="0.3">
      <c r="Q247" s="3"/>
      <c r="R247" s="3"/>
      <c r="S247" s="3"/>
      <c r="T247" s="21"/>
      <c r="U247" s="3"/>
      <c r="V247" s="3">
        <f t="shared" si="22"/>
        <v>0</v>
      </c>
      <c r="W247" s="3" t="str">
        <f t="shared" si="23"/>
        <v>Ø16</v>
      </c>
      <c r="X247" s="3" t="str">
        <f t="shared" si="24"/>
        <v>Ø16</v>
      </c>
    </row>
    <row r="248" spans="17:24" x14ac:dyDescent="0.3">
      <c r="Q248" s="3"/>
      <c r="R248" s="3"/>
      <c r="S248" s="3"/>
      <c r="T248" s="21"/>
      <c r="U248" s="3"/>
      <c r="V248" s="3">
        <f t="shared" si="22"/>
        <v>0</v>
      </c>
      <c r="W248" s="3" t="str">
        <f t="shared" si="23"/>
        <v>Ø16</v>
      </c>
      <c r="X248" s="3" t="str">
        <f t="shared" si="24"/>
        <v>Ø16</v>
      </c>
    </row>
    <row r="249" spans="17:24" x14ac:dyDescent="0.3">
      <c r="Q249" s="3"/>
      <c r="R249" s="3"/>
      <c r="S249" s="3"/>
      <c r="T249" s="21"/>
      <c r="U249" s="3"/>
      <c r="V249" s="3">
        <f t="shared" si="22"/>
        <v>0</v>
      </c>
      <c r="W249" s="3" t="str">
        <f t="shared" si="23"/>
        <v>Ø16</v>
      </c>
      <c r="X249" s="3" t="str">
        <f t="shared" si="24"/>
        <v>Ø16</v>
      </c>
    </row>
    <row r="250" spans="17:24" x14ac:dyDescent="0.3">
      <c r="Q250" s="3"/>
      <c r="R250" s="3"/>
      <c r="S250" s="3"/>
      <c r="T250" s="21"/>
      <c r="U250" s="3"/>
      <c r="V250" s="3">
        <f t="shared" si="22"/>
        <v>0</v>
      </c>
      <c r="W250" s="3" t="str">
        <f t="shared" si="23"/>
        <v>Ø16</v>
      </c>
      <c r="X250" s="3" t="str">
        <f t="shared" si="24"/>
        <v>Ø16</v>
      </c>
    </row>
    <row r="251" spans="17:24" x14ac:dyDescent="0.3">
      <c r="Q251" s="3"/>
      <c r="R251" s="3"/>
      <c r="S251" s="3"/>
      <c r="T251" s="21"/>
      <c r="U251" s="3"/>
      <c r="V251" s="3">
        <f t="shared" si="22"/>
        <v>0</v>
      </c>
      <c r="W251" s="3" t="str">
        <f t="shared" si="23"/>
        <v>Ø16</v>
      </c>
      <c r="X251" s="3" t="str">
        <f t="shared" si="24"/>
        <v>Ø16</v>
      </c>
    </row>
    <row r="252" spans="17:24" x14ac:dyDescent="0.3">
      <c r="Q252" s="3"/>
      <c r="R252" s="3"/>
      <c r="S252" s="3"/>
      <c r="T252" s="21"/>
      <c r="U252" s="3"/>
      <c r="V252" s="3">
        <f t="shared" si="22"/>
        <v>0</v>
      </c>
      <c r="W252" s="3" t="str">
        <f t="shared" si="23"/>
        <v>Ø16</v>
      </c>
      <c r="X252" s="3" t="str">
        <f t="shared" si="24"/>
        <v>Ø16</v>
      </c>
    </row>
    <row r="253" spans="17:24" x14ac:dyDescent="0.3">
      <c r="Q253" s="3"/>
      <c r="R253" s="3"/>
      <c r="S253" s="3"/>
      <c r="T253" s="21"/>
      <c r="U253" s="3"/>
      <c r="V253" s="3">
        <f t="shared" si="22"/>
        <v>0</v>
      </c>
      <c r="W253" s="3" t="str">
        <f t="shared" si="23"/>
        <v>Ø16</v>
      </c>
      <c r="X253" s="3" t="str">
        <f t="shared" si="24"/>
        <v>Ø16</v>
      </c>
    </row>
    <row r="254" spans="17:24" x14ac:dyDescent="0.3">
      <c r="Q254" s="3"/>
      <c r="R254" s="3"/>
      <c r="S254" s="3"/>
      <c r="T254" s="21"/>
      <c r="U254" s="3"/>
      <c r="V254" s="3">
        <f t="shared" si="22"/>
        <v>0</v>
      </c>
      <c r="W254" s="3" t="str">
        <f t="shared" si="23"/>
        <v>Ø16</v>
      </c>
      <c r="X254" s="3" t="str">
        <f t="shared" si="24"/>
        <v>Ø16</v>
      </c>
    </row>
    <row r="255" spans="17:24" x14ac:dyDescent="0.3">
      <c r="Q255" s="3"/>
      <c r="R255" s="3"/>
      <c r="S255" s="3"/>
      <c r="T255" s="21"/>
      <c r="U255" s="3"/>
      <c r="V255" s="3">
        <f t="shared" si="22"/>
        <v>0</v>
      </c>
      <c r="W255" s="3" t="str">
        <f t="shared" si="23"/>
        <v>Ø16</v>
      </c>
      <c r="X255" s="3" t="str">
        <f t="shared" si="24"/>
        <v>Ø16</v>
      </c>
    </row>
    <row r="256" spans="17:24" x14ac:dyDescent="0.3">
      <c r="Q256" s="3"/>
      <c r="R256" s="3"/>
      <c r="S256" s="3"/>
      <c r="T256" s="21"/>
      <c r="U256" s="3"/>
      <c r="V256" s="3">
        <f t="shared" si="22"/>
        <v>0</v>
      </c>
      <c r="W256" s="3" t="str">
        <f t="shared" si="23"/>
        <v>Ø16</v>
      </c>
      <c r="X256" s="3" t="str">
        <f t="shared" si="24"/>
        <v>Ø16</v>
      </c>
    </row>
    <row r="257" spans="17:24" x14ac:dyDescent="0.3">
      <c r="Q257" s="3"/>
      <c r="R257" s="3"/>
      <c r="S257" s="3"/>
      <c r="T257" s="21"/>
      <c r="U257" s="3"/>
      <c r="V257" s="3">
        <f t="shared" si="22"/>
        <v>0</v>
      </c>
      <c r="W257" s="3" t="str">
        <f t="shared" si="23"/>
        <v>Ø16</v>
      </c>
      <c r="X257" s="3" t="str">
        <f t="shared" si="24"/>
        <v>Ø16</v>
      </c>
    </row>
    <row r="258" spans="17:24" x14ac:dyDescent="0.3">
      <c r="Q258" s="3"/>
      <c r="R258" s="3"/>
      <c r="S258" s="3"/>
      <c r="T258" s="21"/>
      <c r="U258" s="3"/>
      <c r="V258" s="3">
        <f t="shared" si="22"/>
        <v>0</v>
      </c>
      <c r="W258" s="3" t="str">
        <f t="shared" si="23"/>
        <v>Ø16</v>
      </c>
      <c r="X258" s="3" t="str">
        <f t="shared" si="24"/>
        <v>Ø16</v>
      </c>
    </row>
    <row r="259" spans="17:24" x14ac:dyDescent="0.3">
      <c r="Q259" s="3"/>
      <c r="R259" s="3"/>
      <c r="S259" s="3"/>
      <c r="T259" s="21"/>
      <c r="U259" s="3"/>
      <c r="V259" s="3">
        <f t="shared" si="22"/>
        <v>0</v>
      </c>
      <c r="W259" s="3" t="str">
        <f t="shared" si="23"/>
        <v>Ø16</v>
      </c>
      <c r="X259" s="3" t="str">
        <f t="shared" si="24"/>
        <v>Ø16</v>
      </c>
    </row>
    <row r="260" spans="17:24" x14ac:dyDescent="0.3">
      <c r="Q260" s="3"/>
      <c r="R260" s="3"/>
      <c r="S260" s="3"/>
      <c r="T260" s="21"/>
      <c r="U260" s="3"/>
      <c r="V260" s="3">
        <f t="shared" si="22"/>
        <v>0</v>
      </c>
      <c r="W260" s="3" t="str">
        <f t="shared" si="23"/>
        <v>Ø16</v>
      </c>
      <c r="X260" s="3" t="str">
        <f t="shared" si="24"/>
        <v>Ø16</v>
      </c>
    </row>
    <row r="261" spans="17:24" x14ac:dyDescent="0.3">
      <c r="Q261" s="3"/>
      <c r="R261" s="3"/>
      <c r="S261" s="3"/>
      <c r="T261" s="21"/>
      <c r="U261" s="3"/>
      <c r="V261" s="3">
        <f t="shared" ref="V261:V324" si="25">U261*1.2</f>
        <v>0</v>
      </c>
      <c r="W261" s="3" t="str">
        <f t="shared" ref="W261:W324" si="26">"Ø"&amp;VLOOKUP(V261,$Z$4:$AA$10,2,TRUE)</f>
        <v>Ø16</v>
      </c>
      <c r="X261" s="3" t="str">
        <f t="shared" ref="X261:X324" si="27">"Ø"&amp;VLOOKUP(V261,$AD$4:$AE$10,2,TRUE)</f>
        <v>Ø16</v>
      </c>
    </row>
    <row r="262" spans="17:24" x14ac:dyDescent="0.3">
      <c r="Q262" s="3"/>
      <c r="R262" s="3"/>
      <c r="S262" s="3"/>
      <c r="T262" s="21"/>
      <c r="U262" s="3"/>
      <c r="V262" s="3">
        <f t="shared" si="25"/>
        <v>0</v>
      </c>
      <c r="W262" s="3" t="str">
        <f t="shared" si="26"/>
        <v>Ø16</v>
      </c>
      <c r="X262" s="3" t="str">
        <f t="shared" si="27"/>
        <v>Ø16</v>
      </c>
    </row>
    <row r="263" spans="17:24" x14ac:dyDescent="0.3">
      <c r="Q263" s="3"/>
      <c r="R263" s="3"/>
      <c r="S263" s="3"/>
      <c r="T263" s="21"/>
      <c r="U263" s="3"/>
      <c r="V263" s="3">
        <f t="shared" si="25"/>
        <v>0</v>
      </c>
      <c r="W263" s="3" t="str">
        <f t="shared" si="26"/>
        <v>Ø16</v>
      </c>
      <c r="X263" s="3" t="str">
        <f t="shared" si="27"/>
        <v>Ø16</v>
      </c>
    </row>
    <row r="264" spans="17:24" x14ac:dyDescent="0.3">
      <c r="Q264" s="3"/>
      <c r="R264" s="3"/>
      <c r="S264" s="3"/>
      <c r="T264" s="21"/>
      <c r="U264" s="3"/>
      <c r="V264" s="3">
        <f t="shared" si="25"/>
        <v>0</v>
      </c>
      <c r="W264" s="3" t="str">
        <f t="shared" si="26"/>
        <v>Ø16</v>
      </c>
      <c r="X264" s="3" t="str">
        <f t="shared" si="27"/>
        <v>Ø16</v>
      </c>
    </row>
    <row r="265" spans="17:24" x14ac:dyDescent="0.3">
      <c r="Q265" s="3"/>
      <c r="R265" s="3"/>
      <c r="S265" s="3"/>
      <c r="T265" s="21"/>
      <c r="U265" s="3"/>
      <c r="V265" s="3">
        <f t="shared" si="25"/>
        <v>0</v>
      </c>
      <c r="W265" s="3" t="str">
        <f t="shared" si="26"/>
        <v>Ø16</v>
      </c>
      <c r="X265" s="3" t="str">
        <f t="shared" si="27"/>
        <v>Ø16</v>
      </c>
    </row>
    <row r="266" spans="17:24" x14ac:dyDescent="0.3">
      <c r="Q266" s="3"/>
      <c r="R266" s="3"/>
      <c r="S266" s="3"/>
      <c r="T266" s="21"/>
      <c r="U266" s="3"/>
      <c r="V266" s="3">
        <f t="shared" si="25"/>
        <v>0</v>
      </c>
      <c r="W266" s="3" t="str">
        <f t="shared" si="26"/>
        <v>Ø16</v>
      </c>
      <c r="X266" s="3" t="str">
        <f t="shared" si="27"/>
        <v>Ø16</v>
      </c>
    </row>
    <row r="267" spans="17:24" x14ac:dyDescent="0.3">
      <c r="Q267" s="3"/>
      <c r="R267" s="3"/>
      <c r="S267" s="3"/>
      <c r="T267" s="21"/>
      <c r="U267" s="3"/>
      <c r="V267" s="3">
        <f t="shared" si="25"/>
        <v>0</v>
      </c>
      <c r="W267" s="3" t="str">
        <f t="shared" si="26"/>
        <v>Ø16</v>
      </c>
      <c r="X267" s="3" t="str">
        <f t="shared" si="27"/>
        <v>Ø16</v>
      </c>
    </row>
    <row r="268" spans="17:24" x14ac:dyDescent="0.3">
      <c r="Q268" s="3"/>
      <c r="R268" s="3"/>
      <c r="S268" s="3"/>
      <c r="T268" s="21"/>
      <c r="U268" s="3"/>
      <c r="V268" s="3">
        <f t="shared" si="25"/>
        <v>0</v>
      </c>
      <c r="W268" s="3" t="str">
        <f t="shared" si="26"/>
        <v>Ø16</v>
      </c>
      <c r="X268" s="3" t="str">
        <f t="shared" si="27"/>
        <v>Ø16</v>
      </c>
    </row>
    <row r="269" spans="17:24" x14ac:dyDescent="0.3">
      <c r="Q269" s="3"/>
      <c r="R269" s="3"/>
      <c r="S269" s="3"/>
      <c r="T269" s="21"/>
      <c r="U269" s="3"/>
      <c r="V269" s="3">
        <f t="shared" si="25"/>
        <v>0</v>
      </c>
      <c r="W269" s="3" t="str">
        <f t="shared" si="26"/>
        <v>Ø16</v>
      </c>
      <c r="X269" s="3" t="str">
        <f t="shared" si="27"/>
        <v>Ø16</v>
      </c>
    </row>
    <row r="270" spans="17:24" x14ac:dyDescent="0.3">
      <c r="Q270" s="3"/>
      <c r="R270" s="3"/>
      <c r="S270" s="3"/>
      <c r="T270" s="21"/>
      <c r="U270" s="3"/>
      <c r="V270" s="3">
        <f t="shared" si="25"/>
        <v>0</v>
      </c>
      <c r="W270" s="3" t="str">
        <f t="shared" si="26"/>
        <v>Ø16</v>
      </c>
      <c r="X270" s="3" t="str">
        <f t="shared" si="27"/>
        <v>Ø16</v>
      </c>
    </row>
    <row r="271" spans="17:24" x14ac:dyDescent="0.3">
      <c r="Q271" s="3"/>
      <c r="R271" s="3"/>
      <c r="S271" s="3"/>
      <c r="T271" s="21"/>
      <c r="U271" s="3"/>
      <c r="V271" s="3">
        <f t="shared" si="25"/>
        <v>0</v>
      </c>
      <c r="W271" s="3" t="str">
        <f t="shared" si="26"/>
        <v>Ø16</v>
      </c>
      <c r="X271" s="3" t="str">
        <f t="shared" si="27"/>
        <v>Ø16</v>
      </c>
    </row>
    <row r="272" spans="17:24" x14ac:dyDescent="0.3">
      <c r="Q272" s="3"/>
      <c r="R272" s="3"/>
      <c r="S272" s="3"/>
      <c r="T272" s="21"/>
      <c r="U272" s="3"/>
      <c r="V272" s="3">
        <f t="shared" si="25"/>
        <v>0</v>
      </c>
      <c r="W272" s="3" t="str">
        <f t="shared" si="26"/>
        <v>Ø16</v>
      </c>
      <c r="X272" s="3" t="str">
        <f t="shared" si="27"/>
        <v>Ø16</v>
      </c>
    </row>
    <row r="273" spans="17:24" x14ac:dyDescent="0.3">
      <c r="Q273" s="3"/>
      <c r="R273" s="3"/>
      <c r="S273" s="3"/>
      <c r="T273" s="21"/>
      <c r="U273" s="3"/>
      <c r="V273" s="3">
        <f t="shared" si="25"/>
        <v>0</v>
      </c>
      <c r="W273" s="3" t="str">
        <f t="shared" si="26"/>
        <v>Ø16</v>
      </c>
      <c r="X273" s="3" t="str">
        <f t="shared" si="27"/>
        <v>Ø16</v>
      </c>
    </row>
    <row r="274" spans="17:24" x14ac:dyDescent="0.3">
      <c r="Q274" s="3"/>
      <c r="R274" s="3"/>
      <c r="S274" s="3"/>
      <c r="T274" s="21"/>
      <c r="U274" s="3"/>
      <c r="V274" s="3">
        <f t="shared" si="25"/>
        <v>0</v>
      </c>
      <c r="W274" s="3" t="str">
        <f t="shared" si="26"/>
        <v>Ø16</v>
      </c>
      <c r="X274" s="3" t="str">
        <f t="shared" si="27"/>
        <v>Ø16</v>
      </c>
    </row>
    <row r="275" spans="17:24" x14ac:dyDescent="0.3">
      <c r="Q275" s="3"/>
      <c r="R275" s="3"/>
      <c r="S275" s="3"/>
      <c r="T275" s="21"/>
      <c r="U275" s="3"/>
      <c r="V275" s="3">
        <f t="shared" si="25"/>
        <v>0</v>
      </c>
      <c r="W275" s="3" t="str">
        <f t="shared" si="26"/>
        <v>Ø16</v>
      </c>
      <c r="X275" s="3" t="str">
        <f t="shared" si="27"/>
        <v>Ø16</v>
      </c>
    </row>
    <row r="276" spans="17:24" x14ac:dyDescent="0.3">
      <c r="Q276" s="3"/>
      <c r="R276" s="3"/>
      <c r="S276" s="3"/>
      <c r="T276" s="21"/>
      <c r="U276" s="3"/>
      <c r="V276" s="3">
        <f t="shared" si="25"/>
        <v>0</v>
      </c>
      <c r="W276" s="3" t="str">
        <f t="shared" si="26"/>
        <v>Ø16</v>
      </c>
      <c r="X276" s="3" t="str">
        <f t="shared" si="27"/>
        <v>Ø16</v>
      </c>
    </row>
    <row r="277" spans="17:24" x14ac:dyDescent="0.3">
      <c r="Q277" s="3"/>
      <c r="R277" s="3"/>
      <c r="S277" s="3"/>
      <c r="T277" s="21"/>
      <c r="U277" s="3"/>
      <c r="V277" s="3">
        <f t="shared" si="25"/>
        <v>0</v>
      </c>
      <c r="W277" s="3" t="str">
        <f t="shared" si="26"/>
        <v>Ø16</v>
      </c>
      <c r="X277" s="3" t="str">
        <f t="shared" si="27"/>
        <v>Ø16</v>
      </c>
    </row>
    <row r="278" spans="17:24" x14ac:dyDescent="0.3">
      <c r="Q278" s="3"/>
      <c r="R278" s="3"/>
      <c r="S278" s="3"/>
      <c r="T278" s="21"/>
      <c r="U278" s="3"/>
      <c r="V278" s="3">
        <f t="shared" si="25"/>
        <v>0</v>
      </c>
      <c r="W278" s="3" t="str">
        <f t="shared" si="26"/>
        <v>Ø16</v>
      </c>
      <c r="X278" s="3" t="str">
        <f t="shared" si="27"/>
        <v>Ø16</v>
      </c>
    </row>
    <row r="279" spans="17:24" x14ac:dyDescent="0.3">
      <c r="Q279" s="3"/>
      <c r="R279" s="3"/>
      <c r="S279" s="3"/>
      <c r="T279" s="21"/>
      <c r="U279" s="3"/>
      <c r="V279" s="3">
        <f t="shared" si="25"/>
        <v>0</v>
      </c>
      <c r="W279" s="3" t="str">
        <f t="shared" si="26"/>
        <v>Ø16</v>
      </c>
      <c r="X279" s="3" t="str">
        <f t="shared" si="27"/>
        <v>Ø16</v>
      </c>
    </row>
    <row r="280" spans="17:24" x14ac:dyDescent="0.3">
      <c r="Q280" s="3"/>
      <c r="R280" s="3"/>
      <c r="S280" s="3"/>
      <c r="T280" s="21"/>
      <c r="U280" s="3"/>
      <c r="V280" s="3">
        <f t="shared" si="25"/>
        <v>0</v>
      </c>
      <c r="W280" s="3" t="str">
        <f t="shared" si="26"/>
        <v>Ø16</v>
      </c>
      <c r="X280" s="3" t="str">
        <f t="shared" si="27"/>
        <v>Ø16</v>
      </c>
    </row>
    <row r="281" spans="17:24" x14ac:dyDescent="0.3">
      <c r="Q281" s="3"/>
      <c r="R281" s="3"/>
      <c r="S281" s="3"/>
      <c r="T281" s="21"/>
      <c r="U281" s="3"/>
      <c r="V281" s="3">
        <f t="shared" si="25"/>
        <v>0</v>
      </c>
      <c r="W281" s="3" t="str">
        <f t="shared" si="26"/>
        <v>Ø16</v>
      </c>
      <c r="X281" s="3" t="str">
        <f t="shared" si="27"/>
        <v>Ø16</v>
      </c>
    </row>
    <row r="282" spans="17:24" x14ac:dyDescent="0.3">
      <c r="Q282" s="3"/>
      <c r="R282" s="3"/>
      <c r="S282" s="3"/>
      <c r="T282" s="21"/>
      <c r="U282" s="3"/>
      <c r="V282" s="3">
        <f t="shared" si="25"/>
        <v>0</v>
      </c>
      <c r="W282" s="3" t="str">
        <f t="shared" si="26"/>
        <v>Ø16</v>
      </c>
      <c r="X282" s="3" t="str">
        <f t="shared" si="27"/>
        <v>Ø16</v>
      </c>
    </row>
    <row r="283" spans="17:24" x14ac:dyDescent="0.3">
      <c r="Q283" s="3"/>
      <c r="R283" s="3"/>
      <c r="S283" s="3"/>
      <c r="T283" s="21"/>
      <c r="U283" s="3"/>
      <c r="V283" s="3">
        <f t="shared" si="25"/>
        <v>0</v>
      </c>
      <c r="W283" s="3" t="str">
        <f t="shared" si="26"/>
        <v>Ø16</v>
      </c>
      <c r="X283" s="3" t="str">
        <f t="shared" si="27"/>
        <v>Ø16</v>
      </c>
    </row>
    <row r="284" spans="17:24" x14ac:dyDescent="0.3">
      <c r="Q284" s="3"/>
      <c r="R284" s="3"/>
      <c r="S284" s="3"/>
      <c r="T284" s="21"/>
      <c r="U284" s="3"/>
      <c r="V284" s="3">
        <f t="shared" si="25"/>
        <v>0</v>
      </c>
      <c r="W284" s="3" t="str">
        <f t="shared" si="26"/>
        <v>Ø16</v>
      </c>
      <c r="X284" s="3" t="str">
        <f t="shared" si="27"/>
        <v>Ø16</v>
      </c>
    </row>
    <row r="285" spans="17:24" x14ac:dyDescent="0.3">
      <c r="Q285" s="3"/>
      <c r="R285" s="3"/>
      <c r="S285" s="3"/>
      <c r="T285" s="21"/>
      <c r="U285" s="3"/>
      <c r="V285" s="3">
        <f t="shared" si="25"/>
        <v>0</v>
      </c>
      <c r="W285" s="3" t="str">
        <f t="shared" si="26"/>
        <v>Ø16</v>
      </c>
      <c r="X285" s="3" t="str">
        <f t="shared" si="27"/>
        <v>Ø16</v>
      </c>
    </row>
    <row r="286" spans="17:24" x14ac:dyDescent="0.3">
      <c r="Q286" s="3"/>
      <c r="R286" s="3"/>
      <c r="S286" s="3"/>
      <c r="T286" s="21"/>
      <c r="U286" s="3"/>
      <c r="V286" s="3">
        <f t="shared" si="25"/>
        <v>0</v>
      </c>
      <c r="W286" s="3" t="str">
        <f t="shared" si="26"/>
        <v>Ø16</v>
      </c>
      <c r="X286" s="3" t="str">
        <f t="shared" si="27"/>
        <v>Ø16</v>
      </c>
    </row>
    <row r="287" spans="17:24" x14ac:dyDescent="0.3">
      <c r="Q287" s="3"/>
      <c r="R287" s="3"/>
      <c r="S287" s="3"/>
      <c r="T287" s="21"/>
      <c r="U287" s="3"/>
      <c r="V287" s="3">
        <f t="shared" si="25"/>
        <v>0</v>
      </c>
      <c r="W287" s="3" t="str">
        <f t="shared" si="26"/>
        <v>Ø16</v>
      </c>
      <c r="X287" s="3" t="str">
        <f t="shared" si="27"/>
        <v>Ø16</v>
      </c>
    </row>
    <row r="288" spans="17:24" x14ac:dyDescent="0.3">
      <c r="Q288" s="3"/>
      <c r="R288" s="3"/>
      <c r="S288" s="3"/>
      <c r="T288" s="21"/>
      <c r="U288" s="3"/>
      <c r="V288" s="3">
        <f t="shared" si="25"/>
        <v>0</v>
      </c>
      <c r="W288" s="3" t="str">
        <f t="shared" si="26"/>
        <v>Ø16</v>
      </c>
      <c r="X288" s="3" t="str">
        <f t="shared" si="27"/>
        <v>Ø16</v>
      </c>
    </row>
    <row r="289" spans="17:24" x14ac:dyDescent="0.3">
      <c r="Q289" s="3"/>
      <c r="R289" s="3"/>
      <c r="S289" s="3"/>
      <c r="T289" s="21"/>
      <c r="U289" s="3"/>
      <c r="V289" s="3">
        <f t="shared" si="25"/>
        <v>0</v>
      </c>
      <c r="W289" s="3" t="str">
        <f t="shared" si="26"/>
        <v>Ø16</v>
      </c>
      <c r="X289" s="3" t="str">
        <f t="shared" si="27"/>
        <v>Ø16</v>
      </c>
    </row>
    <row r="290" spans="17:24" x14ac:dyDescent="0.3">
      <c r="Q290" s="3"/>
      <c r="R290" s="3"/>
      <c r="S290" s="3"/>
      <c r="T290" s="21"/>
      <c r="U290" s="3"/>
      <c r="V290" s="3">
        <f t="shared" si="25"/>
        <v>0</v>
      </c>
      <c r="W290" s="3" t="str">
        <f t="shared" si="26"/>
        <v>Ø16</v>
      </c>
      <c r="X290" s="3" t="str">
        <f t="shared" si="27"/>
        <v>Ø16</v>
      </c>
    </row>
    <row r="291" spans="17:24" x14ac:dyDescent="0.3">
      <c r="Q291" s="3"/>
      <c r="R291" s="3"/>
      <c r="S291" s="3"/>
      <c r="T291" s="21"/>
      <c r="U291" s="3"/>
      <c r="V291" s="3">
        <f t="shared" si="25"/>
        <v>0</v>
      </c>
      <c r="W291" s="3" t="str">
        <f t="shared" si="26"/>
        <v>Ø16</v>
      </c>
      <c r="X291" s="3" t="str">
        <f t="shared" si="27"/>
        <v>Ø16</v>
      </c>
    </row>
    <row r="292" spans="17:24" x14ac:dyDescent="0.3">
      <c r="Q292" s="3"/>
      <c r="R292" s="3"/>
      <c r="S292" s="3"/>
      <c r="T292" s="21"/>
      <c r="U292" s="3"/>
      <c r="V292" s="3">
        <f t="shared" si="25"/>
        <v>0</v>
      </c>
      <c r="W292" s="3" t="str">
        <f t="shared" si="26"/>
        <v>Ø16</v>
      </c>
      <c r="X292" s="3" t="str">
        <f t="shared" si="27"/>
        <v>Ø16</v>
      </c>
    </row>
    <row r="293" spans="17:24" x14ac:dyDescent="0.3">
      <c r="Q293" s="3"/>
      <c r="R293" s="3"/>
      <c r="S293" s="3"/>
      <c r="T293" s="21"/>
      <c r="U293" s="3"/>
      <c r="V293" s="3">
        <f t="shared" si="25"/>
        <v>0</v>
      </c>
      <c r="W293" s="3" t="str">
        <f t="shared" si="26"/>
        <v>Ø16</v>
      </c>
      <c r="X293" s="3" t="str">
        <f t="shared" si="27"/>
        <v>Ø16</v>
      </c>
    </row>
    <row r="294" spans="17:24" x14ac:dyDescent="0.3">
      <c r="Q294" s="3"/>
      <c r="R294" s="3"/>
      <c r="S294" s="3"/>
      <c r="T294" s="21"/>
      <c r="U294" s="3"/>
      <c r="V294" s="3">
        <f t="shared" si="25"/>
        <v>0</v>
      </c>
      <c r="W294" s="3" t="str">
        <f t="shared" si="26"/>
        <v>Ø16</v>
      </c>
      <c r="X294" s="3" t="str">
        <f t="shared" si="27"/>
        <v>Ø16</v>
      </c>
    </row>
    <row r="295" spans="17:24" x14ac:dyDescent="0.3">
      <c r="Q295" s="3"/>
      <c r="R295" s="3"/>
      <c r="S295" s="3"/>
      <c r="T295" s="21"/>
      <c r="U295" s="3"/>
      <c r="V295" s="3">
        <f t="shared" si="25"/>
        <v>0</v>
      </c>
      <c r="W295" s="3" t="str">
        <f t="shared" si="26"/>
        <v>Ø16</v>
      </c>
      <c r="X295" s="3" t="str">
        <f t="shared" si="27"/>
        <v>Ø16</v>
      </c>
    </row>
    <row r="296" spans="17:24" x14ac:dyDescent="0.3">
      <c r="Q296" s="3"/>
      <c r="R296" s="3"/>
      <c r="S296" s="3"/>
      <c r="T296" s="21"/>
      <c r="U296" s="3"/>
      <c r="V296" s="3">
        <f t="shared" si="25"/>
        <v>0</v>
      </c>
      <c r="W296" s="3" t="str">
        <f t="shared" si="26"/>
        <v>Ø16</v>
      </c>
      <c r="X296" s="3" t="str">
        <f t="shared" si="27"/>
        <v>Ø16</v>
      </c>
    </row>
    <row r="297" spans="17:24" x14ac:dyDescent="0.3">
      <c r="Q297" s="3"/>
      <c r="R297" s="3"/>
      <c r="S297" s="3"/>
      <c r="T297" s="21"/>
      <c r="U297" s="3"/>
      <c r="V297" s="3">
        <f t="shared" si="25"/>
        <v>0</v>
      </c>
      <c r="W297" s="3" t="str">
        <f t="shared" si="26"/>
        <v>Ø16</v>
      </c>
      <c r="X297" s="3" t="str">
        <f t="shared" si="27"/>
        <v>Ø16</v>
      </c>
    </row>
    <row r="298" spans="17:24" x14ac:dyDescent="0.3">
      <c r="Q298" s="3"/>
      <c r="R298" s="3"/>
      <c r="S298" s="3"/>
      <c r="T298" s="21"/>
      <c r="U298" s="3"/>
      <c r="V298" s="3">
        <f t="shared" si="25"/>
        <v>0</v>
      </c>
      <c r="W298" s="3" t="str">
        <f t="shared" si="26"/>
        <v>Ø16</v>
      </c>
      <c r="X298" s="3" t="str">
        <f t="shared" si="27"/>
        <v>Ø16</v>
      </c>
    </row>
    <row r="299" spans="17:24" x14ac:dyDescent="0.3">
      <c r="Q299" s="3"/>
      <c r="R299" s="3"/>
      <c r="S299" s="3"/>
      <c r="T299" s="21"/>
      <c r="U299" s="3"/>
      <c r="V299" s="3">
        <f t="shared" si="25"/>
        <v>0</v>
      </c>
      <c r="W299" s="3" t="str">
        <f t="shared" si="26"/>
        <v>Ø16</v>
      </c>
      <c r="X299" s="3" t="str">
        <f t="shared" si="27"/>
        <v>Ø16</v>
      </c>
    </row>
    <row r="300" spans="17:24" x14ac:dyDescent="0.3">
      <c r="Q300" s="3"/>
      <c r="R300" s="3"/>
      <c r="S300" s="3"/>
      <c r="T300" s="21"/>
      <c r="U300" s="3"/>
      <c r="V300" s="3">
        <f t="shared" si="25"/>
        <v>0</v>
      </c>
      <c r="W300" s="3" t="str">
        <f t="shared" si="26"/>
        <v>Ø16</v>
      </c>
      <c r="X300" s="3" t="str">
        <f t="shared" si="27"/>
        <v>Ø16</v>
      </c>
    </row>
    <row r="301" spans="17:24" x14ac:dyDescent="0.3">
      <c r="Q301" s="3"/>
      <c r="R301" s="3"/>
      <c r="S301" s="3"/>
      <c r="T301" s="21"/>
      <c r="U301" s="3"/>
      <c r="V301" s="3">
        <f t="shared" si="25"/>
        <v>0</v>
      </c>
      <c r="W301" s="3" t="str">
        <f t="shared" si="26"/>
        <v>Ø16</v>
      </c>
      <c r="X301" s="3" t="str">
        <f t="shared" si="27"/>
        <v>Ø16</v>
      </c>
    </row>
    <row r="302" spans="17:24" x14ac:dyDescent="0.3">
      <c r="Q302" s="3"/>
      <c r="R302" s="3"/>
      <c r="S302" s="3"/>
      <c r="T302" s="21"/>
      <c r="U302" s="3"/>
      <c r="V302" s="3">
        <f t="shared" si="25"/>
        <v>0</v>
      </c>
      <c r="W302" s="3" t="str">
        <f t="shared" si="26"/>
        <v>Ø16</v>
      </c>
      <c r="X302" s="3" t="str">
        <f t="shared" si="27"/>
        <v>Ø16</v>
      </c>
    </row>
    <row r="303" spans="17:24" x14ac:dyDescent="0.3">
      <c r="Q303" s="3"/>
      <c r="R303" s="3"/>
      <c r="S303" s="3"/>
      <c r="T303" s="21"/>
      <c r="U303" s="3"/>
      <c r="V303" s="3">
        <f t="shared" si="25"/>
        <v>0</v>
      </c>
      <c r="W303" s="3" t="str">
        <f t="shared" si="26"/>
        <v>Ø16</v>
      </c>
      <c r="X303" s="3" t="str">
        <f t="shared" si="27"/>
        <v>Ø16</v>
      </c>
    </row>
    <row r="304" spans="17:24" x14ac:dyDescent="0.3">
      <c r="Q304" s="3"/>
      <c r="R304" s="3"/>
      <c r="S304" s="3"/>
      <c r="T304" s="21"/>
      <c r="U304" s="3"/>
      <c r="V304" s="3">
        <f t="shared" si="25"/>
        <v>0</v>
      </c>
      <c r="W304" s="3" t="str">
        <f t="shared" si="26"/>
        <v>Ø16</v>
      </c>
      <c r="X304" s="3" t="str">
        <f t="shared" si="27"/>
        <v>Ø16</v>
      </c>
    </row>
    <row r="305" spans="17:24" x14ac:dyDescent="0.3">
      <c r="Q305" s="3"/>
      <c r="R305" s="3"/>
      <c r="S305" s="3"/>
      <c r="T305" s="21"/>
      <c r="U305" s="3"/>
      <c r="V305" s="3">
        <f t="shared" si="25"/>
        <v>0</v>
      </c>
      <c r="W305" s="3" t="str">
        <f t="shared" si="26"/>
        <v>Ø16</v>
      </c>
      <c r="X305" s="3" t="str">
        <f t="shared" si="27"/>
        <v>Ø16</v>
      </c>
    </row>
    <row r="306" spans="17:24" x14ac:dyDescent="0.3">
      <c r="Q306" s="3"/>
      <c r="R306" s="3"/>
      <c r="S306" s="3"/>
      <c r="T306" s="21"/>
      <c r="U306" s="3"/>
      <c r="V306" s="3">
        <f t="shared" si="25"/>
        <v>0</v>
      </c>
      <c r="W306" s="3" t="str">
        <f t="shared" si="26"/>
        <v>Ø16</v>
      </c>
      <c r="X306" s="3" t="str">
        <f t="shared" si="27"/>
        <v>Ø16</v>
      </c>
    </row>
    <row r="307" spans="17:24" x14ac:dyDescent="0.3">
      <c r="Q307" s="3"/>
      <c r="R307" s="3"/>
      <c r="S307" s="3"/>
      <c r="T307" s="21"/>
      <c r="U307" s="3"/>
      <c r="V307" s="3">
        <f t="shared" si="25"/>
        <v>0</v>
      </c>
      <c r="W307" s="3" t="str">
        <f t="shared" si="26"/>
        <v>Ø16</v>
      </c>
      <c r="X307" s="3" t="str">
        <f t="shared" si="27"/>
        <v>Ø16</v>
      </c>
    </row>
    <row r="308" spans="17:24" x14ac:dyDescent="0.3">
      <c r="Q308" s="3"/>
      <c r="R308" s="3"/>
      <c r="S308" s="3"/>
      <c r="T308" s="21"/>
      <c r="U308" s="3"/>
      <c r="V308" s="3">
        <f t="shared" si="25"/>
        <v>0</v>
      </c>
      <c r="W308" s="3" t="str">
        <f t="shared" si="26"/>
        <v>Ø16</v>
      </c>
      <c r="X308" s="3" t="str">
        <f t="shared" si="27"/>
        <v>Ø16</v>
      </c>
    </row>
    <row r="309" spans="17:24" x14ac:dyDescent="0.3">
      <c r="Q309" s="3"/>
      <c r="R309" s="3"/>
      <c r="S309" s="3"/>
      <c r="T309" s="21"/>
      <c r="U309" s="3"/>
      <c r="V309" s="3">
        <f t="shared" si="25"/>
        <v>0</v>
      </c>
      <c r="W309" s="3" t="str">
        <f t="shared" si="26"/>
        <v>Ø16</v>
      </c>
      <c r="X309" s="3" t="str">
        <f t="shared" si="27"/>
        <v>Ø16</v>
      </c>
    </row>
    <row r="310" spans="17:24" x14ac:dyDescent="0.3">
      <c r="Q310" s="3"/>
      <c r="R310" s="3"/>
      <c r="S310" s="3"/>
      <c r="T310" s="21"/>
      <c r="U310" s="3"/>
      <c r="V310" s="3">
        <f t="shared" si="25"/>
        <v>0</v>
      </c>
      <c r="W310" s="3" t="str">
        <f t="shared" si="26"/>
        <v>Ø16</v>
      </c>
      <c r="X310" s="3" t="str">
        <f t="shared" si="27"/>
        <v>Ø16</v>
      </c>
    </row>
    <row r="311" spans="17:24" x14ac:dyDescent="0.3">
      <c r="Q311" s="3"/>
      <c r="R311" s="3"/>
      <c r="S311" s="3"/>
      <c r="T311" s="21"/>
      <c r="U311" s="3"/>
      <c r="V311" s="3">
        <f t="shared" si="25"/>
        <v>0</v>
      </c>
      <c r="W311" s="3" t="str">
        <f t="shared" si="26"/>
        <v>Ø16</v>
      </c>
      <c r="X311" s="3" t="str">
        <f t="shared" si="27"/>
        <v>Ø16</v>
      </c>
    </row>
    <row r="312" spans="17:24" x14ac:dyDescent="0.3">
      <c r="Q312" s="3"/>
      <c r="R312" s="3"/>
      <c r="S312" s="3"/>
      <c r="T312" s="21"/>
      <c r="U312" s="3"/>
      <c r="V312" s="3">
        <f t="shared" si="25"/>
        <v>0</v>
      </c>
      <c r="W312" s="3" t="str">
        <f t="shared" si="26"/>
        <v>Ø16</v>
      </c>
      <c r="X312" s="3" t="str">
        <f t="shared" si="27"/>
        <v>Ø16</v>
      </c>
    </row>
    <row r="313" spans="17:24" x14ac:dyDescent="0.3">
      <c r="Q313" s="3"/>
      <c r="R313" s="3"/>
      <c r="S313" s="3"/>
      <c r="T313" s="21"/>
      <c r="U313" s="3"/>
      <c r="V313" s="3">
        <f t="shared" si="25"/>
        <v>0</v>
      </c>
      <c r="W313" s="3" t="str">
        <f t="shared" si="26"/>
        <v>Ø16</v>
      </c>
      <c r="X313" s="3" t="str">
        <f t="shared" si="27"/>
        <v>Ø16</v>
      </c>
    </row>
    <row r="314" spans="17:24" x14ac:dyDescent="0.3">
      <c r="Q314" s="3"/>
      <c r="R314" s="3"/>
      <c r="S314" s="3"/>
      <c r="T314" s="21"/>
      <c r="U314" s="3"/>
      <c r="V314" s="3">
        <f t="shared" si="25"/>
        <v>0</v>
      </c>
      <c r="W314" s="3" t="str">
        <f t="shared" si="26"/>
        <v>Ø16</v>
      </c>
      <c r="X314" s="3" t="str">
        <f t="shared" si="27"/>
        <v>Ø16</v>
      </c>
    </row>
    <row r="315" spans="17:24" x14ac:dyDescent="0.3">
      <c r="Q315" s="3"/>
      <c r="R315" s="3"/>
      <c r="S315" s="3"/>
      <c r="T315" s="21"/>
      <c r="U315" s="3"/>
      <c r="V315" s="3">
        <f t="shared" si="25"/>
        <v>0</v>
      </c>
      <c r="W315" s="3" t="str">
        <f t="shared" si="26"/>
        <v>Ø16</v>
      </c>
      <c r="X315" s="3" t="str">
        <f t="shared" si="27"/>
        <v>Ø16</v>
      </c>
    </row>
    <row r="316" spans="17:24" x14ac:dyDescent="0.3">
      <c r="Q316" s="3"/>
      <c r="R316" s="3"/>
      <c r="S316" s="3"/>
      <c r="T316" s="21"/>
      <c r="U316" s="3"/>
      <c r="V316" s="3">
        <f t="shared" si="25"/>
        <v>0</v>
      </c>
      <c r="W316" s="3" t="str">
        <f t="shared" si="26"/>
        <v>Ø16</v>
      </c>
      <c r="X316" s="3" t="str">
        <f t="shared" si="27"/>
        <v>Ø16</v>
      </c>
    </row>
    <row r="317" spans="17:24" x14ac:dyDescent="0.3">
      <c r="Q317" s="3"/>
      <c r="R317" s="3"/>
      <c r="S317" s="3"/>
      <c r="T317" s="21"/>
      <c r="U317" s="3"/>
      <c r="V317" s="3">
        <f t="shared" si="25"/>
        <v>0</v>
      </c>
      <c r="W317" s="3" t="str">
        <f t="shared" si="26"/>
        <v>Ø16</v>
      </c>
      <c r="X317" s="3" t="str">
        <f t="shared" si="27"/>
        <v>Ø16</v>
      </c>
    </row>
    <row r="318" spans="17:24" x14ac:dyDescent="0.3">
      <c r="Q318" s="3"/>
      <c r="R318" s="3"/>
      <c r="S318" s="3"/>
      <c r="T318" s="21"/>
      <c r="U318" s="3"/>
      <c r="V318" s="3">
        <f t="shared" si="25"/>
        <v>0</v>
      </c>
      <c r="W318" s="3" t="str">
        <f t="shared" si="26"/>
        <v>Ø16</v>
      </c>
      <c r="X318" s="3" t="str">
        <f t="shared" si="27"/>
        <v>Ø16</v>
      </c>
    </row>
    <row r="319" spans="17:24" x14ac:dyDescent="0.3">
      <c r="Q319" s="3"/>
      <c r="R319" s="3"/>
      <c r="S319" s="3"/>
      <c r="T319" s="21"/>
      <c r="U319" s="3"/>
      <c r="V319" s="3">
        <f t="shared" si="25"/>
        <v>0</v>
      </c>
      <c r="W319" s="3" t="str">
        <f t="shared" si="26"/>
        <v>Ø16</v>
      </c>
      <c r="X319" s="3" t="str">
        <f t="shared" si="27"/>
        <v>Ø16</v>
      </c>
    </row>
    <row r="320" spans="17:24" x14ac:dyDescent="0.3">
      <c r="Q320" s="3"/>
      <c r="R320" s="3"/>
      <c r="S320" s="3"/>
      <c r="T320" s="21"/>
      <c r="U320" s="3"/>
      <c r="V320" s="3">
        <f t="shared" si="25"/>
        <v>0</v>
      </c>
      <c r="W320" s="3" t="str">
        <f t="shared" si="26"/>
        <v>Ø16</v>
      </c>
      <c r="X320" s="3" t="str">
        <f t="shared" si="27"/>
        <v>Ø16</v>
      </c>
    </row>
    <row r="321" spans="17:24" x14ac:dyDescent="0.3">
      <c r="Q321" s="3"/>
      <c r="R321" s="3"/>
      <c r="S321" s="3"/>
      <c r="T321" s="21"/>
      <c r="U321" s="3"/>
      <c r="V321" s="3">
        <f t="shared" si="25"/>
        <v>0</v>
      </c>
      <c r="W321" s="3" t="str">
        <f t="shared" si="26"/>
        <v>Ø16</v>
      </c>
      <c r="X321" s="3" t="str">
        <f t="shared" si="27"/>
        <v>Ø16</v>
      </c>
    </row>
    <row r="322" spans="17:24" x14ac:dyDescent="0.3">
      <c r="Q322" s="3"/>
      <c r="R322" s="3"/>
      <c r="S322" s="3"/>
      <c r="T322" s="21"/>
      <c r="U322" s="3"/>
      <c r="V322" s="3">
        <f t="shared" si="25"/>
        <v>0</v>
      </c>
      <c r="W322" s="3" t="str">
        <f t="shared" si="26"/>
        <v>Ø16</v>
      </c>
      <c r="X322" s="3" t="str">
        <f t="shared" si="27"/>
        <v>Ø16</v>
      </c>
    </row>
    <row r="323" spans="17:24" x14ac:dyDescent="0.3">
      <c r="Q323" s="3"/>
      <c r="R323" s="3"/>
      <c r="S323" s="3"/>
      <c r="T323" s="21"/>
      <c r="U323" s="3"/>
      <c r="V323" s="3">
        <f t="shared" si="25"/>
        <v>0</v>
      </c>
      <c r="W323" s="3" t="str">
        <f t="shared" si="26"/>
        <v>Ø16</v>
      </c>
      <c r="X323" s="3" t="str">
        <f t="shared" si="27"/>
        <v>Ø16</v>
      </c>
    </row>
    <row r="324" spans="17:24" x14ac:dyDescent="0.3">
      <c r="Q324" s="3"/>
      <c r="R324" s="3"/>
      <c r="S324" s="3"/>
      <c r="T324" s="21"/>
      <c r="U324" s="3"/>
      <c r="V324" s="3">
        <f t="shared" si="25"/>
        <v>0</v>
      </c>
      <c r="W324" s="3" t="str">
        <f t="shared" si="26"/>
        <v>Ø16</v>
      </c>
      <c r="X324" s="3" t="str">
        <f t="shared" si="27"/>
        <v>Ø16</v>
      </c>
    </row>
    <row r="325" spans="17:24" x14ac:dyDescent="0.3">
      <c r="Q325" s="3"/>
      <c r="R325" s="3"/>
      <c r="S325" s="3"/>
      <c r="T325" s="21"/>
      <c r="U325" s="3"/>
      <c r="V325" s="3">
        <f t="shared" ref="V325:V388" si="28">U325*1.2</f>
        <v>0</v>
      </c>
      <c r="W325" s="3" t="str">
        <f t="shared" ref="W325:W388" si="29">"Ø"&amp;VLOOKUP(V325,$Z$4:$AA$10,2,TRUE)</f>
        <v>Ø16</v>
      </c>
      <c r="X325" s="3" t="str">
        <f t="shared" ref="X325:X388" si="30">"Ø"&amp;VLOOKUP(V325,$AD$4:$AE$10,2,TRUE)</f>
        <v>Ø16</v>
      </c>
    </row>
    <row r="326" spans="17:24" x14ac:dyDescent="0.3">
      <c r="Q326" s="3"/>
      <c r="R326" s="3"/>
      <c r="S326" s="3"/>
      <c r="T326" s="21"/>
      <c r="U326" s="3"/>
      <c r="V326" s="3">
        <f t="shared" si="28"/>
        <v>0</v>
      </c>
      <c r="W326" s="3" t="str">
        <f t="shared" si="29"/>
        <v>Ø16</v>
      </c>
      <c r="X326" s="3" t="str">
        <f t="shared" si="30"/>
        <v>Ø16</v>
      </c>
    </row>
    <row r="327" spans="17:24" x14ac:dyDescent="0.3">
      <c r="Q327" s="3"/>
      <c r="R327" s="3"/>
      <c r="S327" s="3"/>
      <c r="T327" s="21"/>
      <c r="U327" s="3"/>
      <c r="V327" s="3">
        <f t="shared" si="28"/>
        <v>0</v>
      </c>
      <c r="W327" s="3" t="str">
        <f t="shared" si="29"/>
        <v>Ø16</v>
      </c>
      <c r="X327" s="3" t="str">
        <f t="shared" si="30"/>
        <v>Ø16</v>
      </c>
    </row>
    <row r="328" spans="17:24" x14ac:dyDescent="0.3">
      <c r="Q328" s="3"/>
      <c r="R328" s="3"/>
      <c r="S328" s="3"/>
      <c r="T328" s="21"/>
      <c r="U328" s="3"/>
      <c r="V328" s="3">
        <f t="shared" si="28"/>
        <v>0</v>
      </c>
      <c r="W328" s="3" t="str">
        <f t="shared" si="29"/>
        <v>Ø16</v>
      </c>
      <c r="X328" s="3" t="str">
        <f t="shared" si="30"/>
        <v>Ø16</v>
      </c>
    </row>
    <row r="329" spans="17:24" x14ac:dyDescent="0.3">
      <c r="Q329" s="3"/>
      <c r="R329" s="3"/>
      <c r="S329" s="3"/>
      <c r="T329" s="21"/>
      <c r="U329" s="3"/>
      <c r="V329" s="3">
        <f t="shared" si="28"/>
        <v>0</v>
      </c>
      <c r="W329" s="3" t="str">
        <f t="shared" si="29"/>
        <v>Ø16</v>
      </c>
      <c r="X329" s="3" t="str">
        <f t="shared" si="30"/>
        <v>Ø16</v>
      </c>
    </row>
    <row r="330" spans="17:24" x14ac:dyDescent="0.3">
      <c r="Q330" s="3"/>
      <c r="R330" s="3"/>
      <c r="S330" s="3"/>
      <c r="T330" s="21"/>
      <c r="U330" s="3"/>
      <c r="V330" s="3">
        <f t="shared" si="28"/>
        <v>0</v>
      </c>
      <c r="W330" s="3" t="str">
        <f t="shared" si="29"/>
        <v>Ø16</v>
      </c>
      <c r="X330" s="3" t="str">
        <f t="shared" si="30"/>
        <v>Ø16</v>
      </c>
    </row>
    <row r="331" spans="17:24" x14ac:dyDescent="0.3">
      <c r="Q331" s="3"/>
      <c r="R331" s="3"/>
      <c r="S331" s="3"/>
      <c r="T331" s="21"/>
      <c r="U331" s="3"/>
      <c r="V331" s="3">
        <f t="shared" si="28"/>
        <v>0</v>
      </c>
      <c r="W331" s="3" t="str">
        <f t="shared" si="29"/>
        <v>Ø16</v>
      </c>
      <c r="X331" s="3" t="str">
        <f t="shared" si="30"/>
        <v>Ø16</v>
      </c>
    </row>
    <row r="332" spans="17:24" x14ac:dyDescent="0.3">
      <c r="Q332" s="3"/>
      <c r="R332" s="3"/>
      <c r="S332" s="3"/>
      <c r="T332" s="21"/>
      <c r="U332" s="3"/>
      <c r="V332" s="3">
        <f t="shared" si="28"/>
        <v>0</v>
      </c>
      <c r="W332" s="3" t="str">
        <f t="shared" si="29"/>
        <v>Ø16</v>
      </c>
      <c r="X332" s="3" t="str">
        <f t="shared" si="30"/>
        <v>Ø16</v>
      </c>
    </row>
    <row r="333" spans="17:24" x14ac:dyDescent="0.3">
      <c r="Q333" s="3"/>
      <c r="R333" s="3"/>
      <c r="S333" s="3"/>
      <c r="T333" s="21"/>
      <c r="U333" s="3"/>
      <c r="V333" s="3">
        <f t="shared" si="28"/>
        <v>0</v>
      </c>
      <c r="W333" s="3" t="str">
        <f t="shared" si="29"/>
        <v>Ø16</v>
      </c>
      <c r="X333" s="3" t="str">
        <f t="shared" si="30"/>
        <v>Ø16</v>
      </c>
    </row>
    <row r="334" spans="17:24" x14ac:dyDescent="0.3">
      <c r="Q334" s="3"/>
      <c r="R334" s="3"/>
      <c r="S334" s="3"/>
      <c r="T334" s="21"/>
      <c r="U334" s="3"/>
      <c r="V334" s="3">
        <f t="shared" si="28"/>
        <v>0</v>
      </c>
      <c r="W334" s="3" t="str">
        <f t="shared" si="29"/>
        <v>Ø16</v>
      </c>
      <c r="X334" s="3" t="str">
        <f t="shared" si="30"/>
        <v>Ø16</v>
      </c>
    </row>
    <row r="335" spans="17:24" x14ac:dyDescent="0.3">
      <c r="Q335" s="3"/>
      <c r="R335" s="3"/>
      <c r="S335" s="3"/>
      <c r="T335" s="21"/>
      <c r="U335" s="3"/>
      <c r="V335" s="3">
        <f t="shared" si="28"/>
        <v>0</v>
      </c>
      <c r="W335" s="3" t="str">
        <f t="shared" si="29"/>
        <v>Ø16</v>
      </c>
      <c r="X335" s="3" t="str">
        <f t="shared" si="30"/>
        <v>Ø16</v>
      </c>
    </row>
    <row r="336" spans="17:24" x14ac:dyDescent="0.3">
      <c r="Q336" s="3"/>
      <c r="R336" s="3"/>
      <c r="S336" s="3"/>
      <c r="T336" s="21"/>
      <c r="U336" s="3"/>
      <c r="V336" s="3">
        <f t="shared" si="28"/>
        <v>0</v>
      </c>
      <c r="W336" s="3" t="str">
        <f t="shared" si="29"/>
        <v>Ø16</v>
      </c>
      <c r="X336" s="3" t="str">
        <f t="shared" si="30"/>
        <v>Ø16</v>
      </c>
    </row>
    <row r="337" spans="17:24" x14ac:dyDescent="0.3">
      <c r="Q337" s="3"/>
      <c r="R337" s="3"/>
      <c r="S337" s="3"/>
      <c r="T337" s="21"/>
      <c r="U337" s="3"/>
      <c r="V337" s="3">
        <f t="shared" si="28"/>
        <v>0</v>
      </c>
      <c r="W337" s="3" t="str">
        <f t="shared" si="29"/>
        <v>Ø16</v>
      </c>
      <c r="X337" s="3" t="str">
        <f t="shared" si="30"/>
        <v>Ø16</v>
      </c>
    </row>
    <row r="338" spans="17:24" x14ac:dyDescent="0.3">
      <c r="Q338" s="3"/>
      <c r="R338" s="3"/>
      <c r="S338" s="3"/>
      <c r="T338" s="21"/>
      <c r="U338" s="3"/>
      <c r="V338" s="3">
        <f t="shared" si="28"/>
        <v>0</v>
      </c>
      <c r="W338" s="3" t="str">
        <f t="shared" si="29"/>
        <v>Ø16</v>
      </c>
      <c r="X338" s="3" t="str">
        <f t="shared" si="30"/>
        <v>Ø16</v>
      </c>
    </row>
    <row r="339" spans="17:24" x14ac:dyDescent="0.3">
      <c r="Q339" s="3"/>
      <c r="R339" s="3"/>
      <c r="S339" s="3"/>
      <c r="T339" s="21"/>
      <c r="U339" s="3"/>
      <c r="V339" s="3">
        <f t="shared" si="28"/>
        <v>0</v>
      </c>
      <c r="W339" s="3" t="str">
        <f t="shared" si="29"/>
        <v>Ø16</v>
      </c>
      <c r="X339" s="3" t="str">
        <f t="shared" si="30"/>
        <v>Ø16</v>
      </c>
    </row>
    <row r="340" spans="17:24" x14ac:dyDescent="0.3">
      <c r="Q340" s="3"/>
      <c r="R340" s="3"/>
      <c r="S340" s="3"/>
      <c r="T340" s="21"/>
      <c r="U340" s="3"/>
      <c r="V340" s="3">
        <f t="shared" si="28"/>
        <v>0</v>
      </c>
      <c r="W340" s="3" t="str">
        <f t="shared" si="29"/>
        <v>Ø16</v>
      </c>
      <c r="X340" s="3" t="str">
        <f t="shared" si="30"/>
        <v>Ø16</v>
      </c>
    </row>
    <row r="341" spans="17:24" x14ac:dyDescent="0.3">
      <c r="Q341" s="3"/>
      <c r="R341" s="3"/>
      <c r="S341" s="3"/>
      <c r="T341" s="21"/>
      <c r="U341" s="3"/>
      <c r="V341" s="3">
        <f t="shared" si="28"/>
        <v>0</v>
      </c>
      <c r="W341" s="3" t="str">
        <f t="shared" si="29"/>
        <v>Ø16</v>
      </c>
      <c r="X341" s="3" t="str">
        <f t="shared" si="30"/>
        <v>Ø16</v>
      </c>
    </row>
    <row r="342" spans="17:24" x14ac:dyDescent="0.3">
      <c r="Q342" s="3"/>
      <c r="R342" s="3"/>
      <c r="S342" s="3"/>
      <c r="T342" s="21"/>
      <c r="U342" s="3"/>
      <c r="V342" s="3">
        <f t="shared" si="28"/>
        <v>0</v>
      </c>
      <c r="W342" s="3" t="str">
        <f t="shared" si="29"/>
        <v>Ø16</v>
      </c>
      <c r="X342" s="3" t="str">
        <f t="shared" si="30"/>
        <v>Ø16</v>
      </c>
    </row>
    <row r="343" spans="17:24" x14ac:dyDescent="0.3">
      <c r="Q343" s="3"/>
      <c r="R343" s="3"/>
      <c r="S343" s="3"/>
      <c r="T343" s="21"/>
      <c r="U343" s="3"/>
      <c r="V343" s="3">
        <f t="shared" si="28"/>
        <v>0</v>
      </c>
      <c r="W343" s="3" t="str">
        <f t="shared" si="29"/>
        <v>Ø16</v>
      </c>
      <c r="X343" s="3" t="str">
        <f t="shared" si="30"/>
        <v>Ø16</v>
      </c>
    </row>
    <row r="344" spans="17:24" x14ac:dyDescent="0.3">
      <c r="Q344" s="3"/>
      <c r="R344" s="3"/>
      <c r="S344" s="3"/>
      <c r="T344" s="21"/>
      <c r="U344" s="3"/>
      <c r="V344" s="3">
        <f t="shared" si="28"/>
        <v>0</v>
      </c>
      <c r="W344" s="3" t="str">
        <f t="shared" si="29"/>
        <v>Ø16</v>
      </c>
      <c r="X344" s="3" t="str">
        <f t="shared" si="30"/>
        <v>Ø16</v>
      </c>
    </row>
    <row r="345" spans="17:24" x14ac:dyDescent="0.3">
      <c r="Q345" s="3"/>
      <c r="R345" s="3"/>
      <c r="S345" s="3"/>
      <c r="T345" s="21"/>
      <c r="U345" s="3"/>
      <c r="V345" s="3">
        <f t="shared" si="28"/>
        <v>0</v>
      </c>
      <c r="W345" s="3" t="str">
        <f t="shared" si="29"/>
        <v>Ø16</v>
      </c>
      <c r="X345" s="3" t="str">
        <f t="shared" si="30"/>
        <v>Ø16</v>
      </c>
    </row>
    <row r="346" spans="17:24" x14ac:dyDescent="0.3">
      <c r="Q346" s="3"/>
      <c r="R346" s="3"/>
      <c r="S346" s="3"/>
      <c r="T346" s="21"/>
      <c r="U346" s="3"/>
      <c r="V346" s="3">
        <f t="shared" si="28"/>
        <v>0</v>
      </c>
      <c r="W346" s="3" t="str">
        <f t="shared" si="29"/>
        <v>Ø16</v>
      </c>
      <c r="X346" s="3" t="str">
        <f t="shared" si="30"/>
        <v>Ø16</v>
      </c>
    </row>
    <row r="347" spans="17:24" x14ac:dyDescent="0.3">
      <c r="Q347" s="3"/>
      <c r="R347" s="3"/>
      <c r="S347" s="3"/>
      <c r="T347" s="21"/>
      <c r="U347" s="3"/>
      <c r="V347" s="3">
        <f t="shared" si="28"/>
        <v>0</v>
      </c>
      <c r="W347" s="3" t="str">
        <f t="shared" si="29"/>
        <v>Ø16</v>
      </c>
      <c r="X347" s="3" t="str">
        <f t="shared" si="30"/>
        <v>Ø16</v>
      </c>
    </row>
    <row r="348" spans="17:24" x14ac:dyDescent="0.3">
      <c r="Q348" s="3"/>
      <c r="R348" s="3"/>
      <c r="S348" s="3"/>
      <c r="T348" s="21"/>
      <c r="U348" s="3"/>
      <c r="V348" s="3">
        <f t="shared" si="28"/>
        <v>0</v>
      </c>
      <c r="W348" s="3" t="str">
        <f t="shared" si="29"/>
        <v>Ø16</v>
      </c>
      <c r="X348" s="3" t="str">
        <f t="shared" si="30"/>
        <v>Ø16</v>
      </c>
    </row>
    <row r="349" spans="17:24" x14ac:dyDescent="0.3">
      <c r="Q349" s="3"/>
      <c r="R349" s="3"/>
      <c r="S349" s="3"/>
      <c r="T349" s="21"/>
      <c r="U349" s="3"/>
      <c r="V349" s="3">
        <f t="shared" si="28"/>
        <v>0</v>
      </c>
      <c r="W349" s="3" t="str">
        <f t="shared" si="29"/>
        <v>Ø16</v>
      </c>
      <c r="X349" s="3" t="str">
        <f t="shared" si="30"/>
        <v>Ø16</v>
      </c>
    </row>
    <row r="350" spans="17:24" x14ac:dyDescent="0.3">
      <c r="Q350" s="3"/>
      <c r="R350" s="3"/>
      <c r="S350" s="3"/>
      <c r="T350" s="21"/>
      <c r="U350" s="3"/>
      <c r="V350" s="3">
        <f t="shared" si="28"/>
        <v>0</v>
      </c>
      <c r="W350" s="3" t="str">
        <f t="shared" si="29"/>
        <v>Ø16</v>
      </c>
      <c r="X350" s="3" t="str">
        <f t="shared" si="30"/>
        <v>Ø16</v>
      </c>
    </row>
    <row r="351" spans="17:24" x14ac:dyDescent="0.3">
      <c r="Q351" s="3"/>
      <c r="R351" s="3"/>
      <c r="S351" s="3"/>
      <c r="T351" s="21"/>
      <c r="U351" s="3"/>
      <c r="V351" s="3">
        <f t="shared" si="28"/>
        <v>0</v>
      </c>
      <c r="W351" s="3" t="str">
        <f t="shared" si="29"/>
        <v>Ø16</v>
      </c>
      <c r="X351" s="3" t="str">
        <f t="shared" si="30"/>
        <v>Ø16</v>
      </c>
    </row>
    <row r="352" spans="17:24" x14ac:dyDescent="0.3">
      <c r="Q352" s="3"/>
      <c r="R352" s="3"/>
      <c r="S352" s="3"/>
      <c r="T352" s="21"/>
      <c r="U352" s="3"/>
      <c r="V352" s="3">
        <f t="shared" si="28"/>
        <v>0</v>
      </c>
      <c r="W352" s="3" t="str">
        <f t="shared" si="29"/>
        <v>Ø16</v>
      </c>
      <c r="X352" s="3" t="str">
        <f t="shared" si="30"/>
        <v>Ø16</v>
      </c>
    </row>
    <row r="353" spans="17:24" x14ac:dyDescent="0.3">
      <c r="Q353" s="3"/>
      <c r="R353" s="3"/>
      <c r="S353" s="3"/>
      <c r="T353" s="21"/>
      <c r="U353" s="3"/>
      <c r="V353" s="3">
        <f t="shared" si="28"/>
        <v>0</v>
      </c>
      <c r="W353" s="3" t="str">
        <f t="shared" si="29"/>
        <v>Ø16</v>
      </c>
      <c r="X353" s="3" t="str">
        <f t="shared" si="30"/>
        <v>Ø16</v>
      </c>
    </row>
    <row r="354" spans="17:24" x14ac:dyDescent="0.3">
      <c r="Q354" s="3"/>
      <c r="R354" s="3"/>
      <c r="S354" s="3"/>
      <c r="T354" s="21"/>
      <c r="U354" s="3"/>
      <c r="V354" s="3">
        <f t="shared" si="28"/>
        <v>0</v>
      </c>
      <c r="W354" s="3" t="str">
        <f t="shared" si="29"/>
        <v>Ø16</v>
      </c>
      <c r="X354" s="3" t="str">
        <f t="shared" si="30"/>
        <v>Ø16</v>
      </c>
    </row>
    <row r="355" spans="17:24" x14ac:dyDescent="0.3">
      <c r="Q355" s="3"/>
      <c r="R355" s="3"/>
      <c r="S355" s="3"/>
      <c r="T355" s="21"/>
      <c r="U355" s="3"/>
      <c r="V355" s="3">
        <f t="shared" si="28"/>
        <v>0</v>
      </c>
      <c r="W355" s="3" t="str">
        <f t="shared" si="29"/>
        <v>Ø16</v>
      </c>
      <c r="X355" s="3" t="str">
        <f t="shared" si="30"/>
        <v>Ø16</v>
      </c>
    </row>
    <row r="356" spans="17:24" x14ac:dyDescent="0.3">
      <c r="Q356" s="3"/>
      <c r="R356" s="3"/>
      <c r="S356" s="3"/>
      <c r="T356" s="21"/>
      <c r="U356" s="3"/>
      <c r="V356" s="3">
        <f t="shared" si="28"/>
        <v>0</v>
      </c>
      <c r="W356" s="3" t="str">
        <f t="shared" si="29"/>
        <v>Ø16</v>
      </c>
      <c r="X356" s="3" t="str">
        <f t="shared" si="30"/>
        <v>Ø16</v>
      </c>
    </row>
    <row r="357" spans="17:24" x14ac:dyDescent="0.3">
      <c r="Q357" s="3"/>
      <c r="R357" s="3"/>
      <c r="S357" s="3"/>
      <c r="T357" s="21"/>
      <c r="U357" s="3"/>
      <c r="V357" s="3">
        <f t="shared" si="28"/>
        <v>0</v>
      </c>
      <c r="W357" s="3" t="str">
        <f t="shared" si="29"/>
        <v>Ø16</v>
      </c>
      <c r="X357" s="3" t="str">
        <f t="shared" si="30"/>
        <v>Ø16</v>
      </c>
    </row>
    <row r="358" spans="17:24" x14ac:dyDescent="0.3">
      <c r="Q358" s="3"/>
      <c r="R358" s="3"/>
      <c r="S358" s="3"/>
      <c r="T358" s="21"/>
      <c r="U358" s="3"/>
      <c r="V358" s="3">
        <f t="shared" si="28"/>
        <v>0</v>
      </c>
      <c r="W358" s="3" t="str">
        <f t="shared" si="29"/>
        <v>Ø16</v>
      </c>
      <c r="X358" s="3" t="str">
        <f t="shared" si="30"/>
        <v>Ø16</v>
      </c>
    </row>
    <row r="359" spans="17:24" x14ac:dyDescent="0.3">
      <c r="Q359" s="3"/>
      <c r="R359" s="3"/>
      <c r="S359" s="3"/>
      <c r="T359" s="21"/>
      <c r="U359" s="3"/>
      <c r="V359" s="3">
        <f t="shared" si="28"/>
        <v>0</v>
      </c>
      <c r="W359" s="3" t="str">
        <f t="shared" si="29"/>
        <v>Ø16</v>
      </c>
      <c r="X359" s="3" t="str">
        <f t="shared" si="30"/>
        <v>Ø16</v>
      </c>
    </row>
    <row r="360" spans="17:24" x14ac:dyDescent="0.3">
      <c r="Q360" s="3"/>
      <c r="R360" s="3"/>
      <c r="S360" s="3"/>
      <c r="T360" s="21"/>
      <c r="U360" s="3"/>
      <c r="V360" s="3">
        <f t="shared" si="28"/>
        <v>0</v>
      </c>
      <c r="W360" s="3" t="str">
        <f t="shared" si="29"/>
        <v>Ø16</v>
      </c>
      <c r="X360" s="3" t="str">
        <f t="shared" si="30"/>
        <v>Ø16</v>
      </c>
    </row>
    <row r="361" spans="17:24" x14ac:dyDescent="0.3">
      <c r="Q361" s="3"/>
      <c r="R361" s="3"/>
      <c r="S361" s="3"/>
      <c r="T361" s="21"/>
      <c r="U361" s="3"/>
      <c r="V361" s="3">
        <f t="shared" si="28"/>
        <v>0</v>
      </c>
      <c r="W361" s="3" t="str">
        <f t="shared" si="29"/>
        <v>Ø16</v>
      </c>
      <c r="X361" s="3" t="str">
        <f t="shared" si="30"/>
        <v>Ø16</v>
      </c>
    </row>
    <row r="362" spans="17:24" x14ac:dyDescent="0.3">
      <c r="Q362" s="3"/>
      <c r="R362" s="3"/>
      <c r="S362" s="3"/>
      <c r="T362" s="21"/>
      <c r="U362" s="3"/>
      <c r="V362" s="3">
        <f t="shared" si="28"/>
        <v>0</v>
      </c>
      <c r="W362" s="3" t="str">
        <f t="shared" si="29"/>
        <v>Ø16</v>
      </c>
      <c r="X362" s="3" t="str">
        <f t="shared" si="30"/>
        <v>Ø16</v>
      </c>
    </row>
    <row r="363" spans="17:24" x14ac:dyDescent="0.3">
      <c r="Q363" s="3"/>
      <c r="R363" s="3"/>
      <c r="S363" s="3"/>
      <c r="T363" s="21"/>
      <c r="U363" s="3"/>
      <c r="V363" s="3">
        <f t="shared" si="28"/>
        <v>0</v>
      </c>
      <c r="W363" s="3" t="str">
        <f t="shared" si="29"/>
        <v>Ø16</v>
      </c>
      <c r="X363" s="3" t="str">
        <f t="shared" si="30"/>
        <v>Ø16</v>
      </c>
    </row>
    <row r="364" spans="17:24" x14ac:dyDescent="0.3">
      <c r="Q364" s="3"/>
      <c r="R364" s="3"/>
      <c r="S364" s="3"/>
      <c r="T364" s="21"/>
      <c r="U364" s="3"/>
      <c r="V364" s="3">
        <f t="shared" si="28"/>
        <v>0</v>
      </c>
      <c r="W364" s="3" t="str">
        <f t="shared" si="29"/>
        <v>Ø16</v>
      </c>
      <c r="X364" s="3" t="str">
        <f t="shared" si="30"/>
        <v>Ø16</v>
      </c>
    </row>
    <row r="365" spans="17:24" x14ac:dyDescent="0.3">
      <c r="Q365" s="3"/>
      <c r="R365" s="3"/>
      <c r="S365" s="3"/>
      <c r="T365" s="21"/>
      <c r="U365" s="3"/>
      <c r="V365" s="3">
        <f t="shared" si="28"/>
        <v>0</v>
      </c>
      <c r="W365" s="3" t="str">
        <f t="shared" si="29"/>
        <v>Ø16</v>
      </c>
      <c r="X365" s="3" t="str">
        <f t="shared" si="30"/>
        <v>Ø16</v>
      </c>
    </row>
    <row r="366" spans="17:24" x14ac:dyDescent="0.3">
      <c r="Q366" s="3"/>
      <c r="R366" s="3"/>
      <c r="S366" s="3"/>
      <c r="T366" s="21"/>
      <c r="U366" s="3"/>
      <c r="V366" s="3">
        <f t="shared" si="28"/>
        <v>0</v>
      </c>
      <c r="W366" s="3" t="str">
        <f t="shared" si="29"/>
        <v>Ø16</v>
      </c>
      <c r="X366" s="3" t="str">
        <f t="shared" si="30"/>
        <v>Ø16</v>
      </c>
    </row>
    <row r="367" spans="17:24" x14ac:dyDescent="0.3">
      <c r="Q367" s="3"/>
      <c r="R367" s="3"/>
      <c r="S367" s="3"/>
      <c r="T367" s="21"/>
      <c r="U367" s="3"/>
      <c r="V367" s="3">
        <f t="shared" si="28"/>
        <v>0</v>
      </c>
      <c r="W367" s="3" t="str">
        <f t="shared" si="29"/>
        <v>Ø16</v>
      </c>
      <c r="X367" s="3" t="str">
        <f t="shared" si="30"/>
        <v>Ø16</v>
      </c>
    </row>
    <row r="368" spans="17:24" x14ac:dyDescent="0.3">
      <c r="Q368" s="3"/>
      <c r="R368" s="3"/>
      <c r="S368" s="3"/>
      <c r="T368" s="21"/>
      <c r="U368" s="3"/>
      <c r="V368" s="3">
        <f t="shared" si="28"/>
        <v>0</v>
      </c>
      <c r="W368" s="3" t="str">
        <f t="shared" si="29"/>
        <v>Ø16</v>
      </c>
      <c r="X368" s="3" t="str">
        <f t="shared" si="30"/>
        <v>Ø16</v>
      </c>
    </row>
    <row r="369" spans="17:24" x14ac:dyDescent="0.3">
      <c r="Q369" s="3"/>
      <c r="R369" s="3"/>
      <c r="S369" s="3"/>
      <c r="T369" s="21"/>
      <c r="U369" s="3"/>
      <c r="V369" s="3">
        <f t="shared" si="28"/>
        <v>0</v>
      </c>
      <c r="W369" s="3" t="str">
        <f t="shared" si="29"/>
        <v>Ø16</v>
      </c>
      <c r="X369" s="3" t="str">
        <f t="shared" si="30"/>
        <v>Ø16</v>
      </c>
    </row>
    <row r="370" spans="17:24" x14ac:dyDescent="0.3">
      <c r="Q370" s="3"/>
      <c r="R370" s="3"/>
      <c r="S370" s="3"/>
      <c r="T370" s="21"/>
      <c r="U370" s="3"/>
      <c r="V370" s="3">
        <f t="shared" si="28"/>
        <v>0</v>
      </c>
      <c r="W370" s="3" t="str">
        <f t="shared" si="29"/>
        <v>Ø16</v>
      </c>
      <c r="X370" s="3" t="str">
        <f t="shared" si="30"/>
        <v>Ø16</v>
      </c>
    </row>
    <row r="371" spans="17:24" x14ac:dyDescent="0.3">
      <c r="Q371" s="3"/>
      <c r="R371" s="3"/>
      <c r="S371" s="3"/>
      <c r="T371" s="21"/>
      <c r="U371" s="3"/>
      <c r="V371" s="3">
        <f t="shared" si="28"/>
        <v>0</v>
      </c>
      <c r="W371" s="3" t="str">
        <f t="shared" si="29"/>
        <v>Ø16</v>
      </c>
      <c r="X371" s="3" t="str">
        <f t="shared" si="30"/>
        <v>Ø16</v>
      </c>
    </row>
    <row r="372" spans="17:24" x14ac:dyDescent="0.3">
      <c r="Q372" s="3"/>
      <c r="R372" s="3"/>
      <c r="S372" s="3"/>
      <c r="T372" s="21"/>
      <c r="U372" s="3"/>
      <c r="V372" s="3">
        <f t="shared" si="28"/>
        <v>0</v>
      </c>
      <c r="W372" s="3" t="str">
        <f t="shared" si="29"/>
        <v>Ø16</v>
      </c>
      <c r="X372" s="3" t="str">
        <f t="shared" si="30"/>
        <v>Ø16</v>
      </c>
    </row>
    <row r="373" spans="17:24" x14ac:dyDescent="0.3">
      <c r="Q373" s="3"/>
      <c r="R373" s="3"/>
      <c r="S373" s="3"/>
      <c r="T373" s="21"/>
      <c r="U373" s="3"/>
      <c r="V373" s="3">
        <f t="shared" si="28"/>
        <v>0</v>
      </c>
      <c r="W373" s="3" t="str">
        <f t="shared" si="29"/>
        <v>Ø16</v>
      </c>
      <c r="X373" s="3" t="str">
        <f t="shared" si="30"/>
        <v>Ø16</v>
      </c>
    </row>
    <row r="374" spans="17:24" x14ac:dyDescent="0.3">
      <c r="Q374" s="3"/>
      <c r="R374" s="3"/>
      <c r="S374" s="3"/>
      <c r="T374" s="21"/>
      <c r="U374" s="3"/>
      <c r="V374" s="3">
        <f t="shared" si="28"/>
        <v>0</v>
      </c>
      <c r="W374" s="3" t="str">
        <f t="shared" si="29"/>
        <v>Ø16</v>
      </c>
      <c r="X374" s="3" t="str">
        <f t="shared" si="30"/>
        <v>Ø16</v>
      </c>
    </row>
    <row r="375" spans="17:24" x14ac:dyDescent="0.3">
      <c r="Q375" s="3"/>
      <c r="R375" s="3"/>
      <c r="S375" s="3"/>
      <c r="T375" s="21"/>
      <c r="U375" s="3"/>
      <c r="V375" s="3">
        <f t="shared" si="28"/>
        <v>0</v>
      </c>
      <c r="W375" s="3" t="str">
        <f t="shared" si="29"/>
        <v>Ø16</v>
      </c>
      <c r="X375" s="3" t="str">
        <f t="shared" si="30"/>
        <v>Ø16</v>
      </c>
    </row>
    <row r="376" spans="17:24" x14ac:dyDescent="0.3">
      <c r="Q376" s="3"/>
      <c r="R376" s="3"/>
      <c r="S376" s="3"/>
      <c r="T376" s="21"/>
      <c r="U376" s="3"/>
      <c r="V376" s="3">
        <f t="shared" si="28"/>
        <v>0</v>
      </c>
      <c r="W376" s="3" t="str">
        <f t="shared" si="29"/>
        <v>Ø16</v>
      </c>
      <c r="X376" s="3" t="str">
        <f t="shared" si="30"/>
        <v>Ø16</v>
      </c>
    </row>
    <row r="377" spans="17:24" x14ac:dyDescent="0.3">
      <c r="Q377" s="3"/>
      <c r="R377" s="3"/>
      <c r="S377" s="3"/>
      <c r="T377" s="21"/>
      <c r="U377" s="3"/>
      <c r="V377" s="3">
        <f t="shared" si="28"/>
        <v>0</v>
      </c>
      <c r="W377" s="3" t="str">
        <f t="shared" si="29"/>
        <v>Ø16</v>
      </c>
      <c r="X377" s="3" t="str">
        <f t="shared" si="30"/>
        <v>Ø16</v>
      </c>
    </row>
    <row r="378" spans="17:24" x14ac:dyDescent="0.3">
      <c r="Q378" s="3"/>
      <c r="R378" s="3"/>
      <c r="S378" s="3"/>
      <c r="T378" s="21"/>
      <c r="U378" s="3"/>
      <c r="V378" s="3">
        <f t="shared" si="28"/>
        <v>0</v>
      </c>
      <c r="W378" s="3" t="str">
        <f t="shared" si="29"/>
        <v>Ø16</v>
      </c>
      <c r="X378" s="3" t="str">
        <f t="shared" si="30"/>
        <v>Ø16</v>
      </c>
    </row>
    <row r="379" spans="17:24" x14ac:dyDescent="0.3">
      <c r="Q379" s="3"/>
      <c r="R379" s="3"/>
      <c r="S379" s="3"/>
      <c r="T379" s="21"/>
      <c r="U379" s="3"/>
      <c r="V379" s="3">
        <f t="shared" si="28"/>
        <v>0</v>
      </c>
      <c r="W379" s="3" t="str">
        <f t="shared" si="29"/>
        <v>Ø16</v>
      </c>
      <c r="X379" s="3" t="str">
        <f t="shared" si="30"/>
        <v>Ø16</v>
      </c>
    </row>
    <row r="380" spans="17:24" x14ac:dyDescent="0.3">
      <c r="Q380" s="3"/>
      <c r="R380" s="3"/>
      <c r="S380" s="3"/>
      <c r="T380" s="21"/>
      <c r="U380" s="3"/>
      <c r="V380" s="3">
        <f t="shared" si="28"/>
        <v>0</v>
      </c>
      <c r="W380" s="3" t="str">
        <f t="shared" si="29"/>
        <v>Ø16</v>
      </c>
      <c r="X380" s="3" t="str">
        <f t="shared" si="30"/>
        <v>Ø16</v>
      </c>
    </row>
    <row r="381" spans="17:24" x14ac:dyDescent="0.3">
      <c r="Q381" s="3"/>
      <c r="R381" s="3"/>
      <c r="S381" s="3"/>
      <c r="T381" s="21"/>
      <c r="U381" s="3"/>
      <c r="V381" s="3">
        <f t="shared" si="28"/>
        <v>0</v>
      </c>
      <c r="W381" s="3" t="str">
        <f t="shared" si="29"/>
        <v>Ø16</v>
      </c>
      <c r="X381" s="3" t="str">
        <f t="shared" si="30"/>
        <v>Ø16</v>
      </c>
    </row>
    <row r="382" spans="17:24" x14ac:dyDescent="0.3">
      <c r="Q382" s="3"/>
      <c r="R382" s="3"/>
      <c r="S382" s="3"/>
      <c r="T382" s="21"/>
      <c r="U382" s="3"/>
      <c r="V382" s="3">
        <f t="shared" si="28"/>
        <v>0</v>
      </c>
      <c r="W382" s="3" t="str">
        <f t="shared" si="29"/>
        <v>Ø16</v>
      </c>
      <c r="X382" s="3" t="str">
        <f t="shared" si="30"/>
        <v>Ø16</v>
      </c>
    </row>
    <row r="383" spans="17:24" x14ac:dyDescent="0.3">
      <c r="Q383" s="3"/>
      <c r="R383" s="3"/>
      <c r="S383" s="3"/>
      <c r="T383" s="21"/>
      <c r="U383" s="3"/>
      <c r="V383" s="3">
        <f t="shared" si="28"/>
        <v>0</v>
      </c>
      <c r="W383" s="3" t="str">
        <f t="shared" si="29"/>
        <v>Ø16</v>
      </c>
      <c r="X383" s="3" t="str">
        <f t="shared" si="30"/>
        <v>Ø16</v>
      </c>
    </row>
    <row r="384" spans="17:24" x14ac:dyDescent="0.3">
      <c r="Q384" s="3"/>
      <c r="R384" s="3"/>
      <c r="S384" s="3"/>
      <c r="T384" s="21"/>
      <c r="U384" s="3"/>
      <c r="V384" s="3">
        <f t="shared" si="28"/>
        <v>0</v>
      </c>
      <c r="W384" s="3" t="str">
        <f t="shared" si="29"/>
        <v>Ø16</v>
      </c>
      <c r="X384" s="3" t="str">
        <f t="shared" si="30"/>
        <v>Ø16</v>
      </c>
    </row>
    <row r="385" spans="17:24" x14ac:dyDescent="0.3">
      <c r="Q385" s="3"/>
      <c r="R385" s="3"/>
      <c r="S385" s="3"/>
      <c r="T385" s="21"/>
      <c r="U385" s="3"/>
      <c r="V385" s="3">
        <f t="shared" si="28"/>
        <v>0</v>
      </c>
      <c r="W385" s="3" t="str">
        <f t="shared" si="29"/>
        <v>Ø16</v>
      </c>
      <c r="X385" s="3" t="str">
        <f t="shared" si="30"/>
        <v>Ø16</v>
      </c>
    </row>
    <row r="386" spans="17:24" x14ac:dyDescent="0.3">
      <c r="Q386" s="3"/>
      <c r="R386" s="3"/>
      <c r="S386" s="3"/>
      <c r="T386" s="21"/>
      <c r="U386" s="3"/>
      <c r="V386" s="3">
        <f t="shared" si="28"/>
        <v>0</v>
      </c>
      <c r="W386" s="3" t="str">
        <f t="shared" si="29"/>
        <v>Ø16</v>
      </c>
      <c r="X386" s="3" t="str">
        <f t="shared" si="30"/>
        <v>Ø16</v>
      </c>
    </row>
    <row r="387" spans="17:24" x14ac:dyDescent="0.3">
      <c r="Q387" s="3"/>
      <c r="R387" s="3"/>
      <c r="S387" s="3"/>
      <c r="T387" s="21"/>
      <c r="U387" s="3"/>
      <c r="V387" s="3">
        <f t="shared" si="28"/>
        <v>0</v>
      </c>
      <c r="W387" s="3" t="str">
        <f t="shared" si="29"/>
        <v>Ø16</v>
      </c>
      <c r="X387" s="3" t="str">
        <f t="shared" si="30"/>
        <v>Ø16</v>
      </c>
    </row>
    <row r="388" spans="17:24" x14ac:dyDescent="0.3">
      <c r="Q388" s="3"/>
      <c r="R388" s="3"/>
      <c r="S388" s="3"/>
      <c r="T388" s="21"/>
      <c r="U388" s="3"/>
      <c r="V388" s="3">
        <f t="shared" si="28"/>
        <v>0</v>
      </c>
      <c r="W388" s="3" t="str">
        <f t="shared" si="29"/>
        <v>Ø16</v>
      </c>
      <c r="X388" s="3" t="str">
        <f t="shared" si="30"/>
        <v>Ø16</v>
      </c>
    </row>
    <row r="389" spans="17:24" x14ac:dyDescent="0.3">
      <c r="Q389" s="3"/>
      <c r="R389" s="3"/>
      <c r="S389" s="3"/>
      <c r="T389" s="21"/>
      <c r="U389" s="3"/>
      <c r="V389" s="3">
        <f t="shared" ref="V389:V452" si="31">U389*1.2</f>
        <v>0</v>
      </c>
      <c r="W389" s="3" t="str">
        <f t="shared" ref="W389:W452" si="32">"Ø"&amp;VLOOKUP(V389,$Z$4:$AA$10,2,TRUE)</f>
        <v>Ø16</v>
      </c>
      <c r="X389" s="3" t="str">
        <f t="shared" ref="X389:X452" si="33">"Ø"&amp;VLOOKUP(V389,$AD$4:$AE$10,2,TRUE)</f>
        <v>Ø16</v>
      </c>
    </row>
    <row r="390" spans="17:24" x14ac:dyDescent="0.3">
      <c r="Q390" s="3"/>
      <c r="R390" s="3"/>
      <c r="S390" s="3"/>
      <c r="T390" s="21"/>
      <c r="U390" s="3"/>
      <c r="V390" s="3">
        <f t="shared" si="31"/>
        <v>0</v>
      </c>
      <c r="W390" s="3" t="str">
        <f t="shared" si="32"/>
        <v>Ø16</v>
      </c>
      <c r="X390" s="3" t="str">
        <f t="shared" si="33"/>
        <v>Ø16</v>
      </c>
    </row>
    <row r="391" spans="17:24" x14ac:dyDescent="0.3">
      <c r="Q391" s="3"/>
      <c r="R391" s="3"/>
      <c r="S391" s="3"/>
      <c r="T391" s="21"/>
      <c r="U391" s="3"/>
      <c r="V391" s="3">
        <f t="shared" si="31"/>
        <v>0</v>
      </c>
      <c r="W391" s="3" t="str">
        <f t="shared" si="32"/>
        <v>Ø16</v>
      </c>
      <c r="X391" s="3" t="str">
        <f t="shared" si="33"/>
        <v>Ø16</v>
      </c>
    </row>
    <row r="392" spans="17:24" x14ac:dyDescent="0.3">
      <c r="Q392" s="3"/>
      <c r="R392" s="3"/>
      <c r="S392" s="3"/>
      <c r="T392" s="21"/>
      <c r="U392" s="3"/>
      <c r="V392" s="3">
        <f t="shared" si="31"/>
        <v>0</v>
      </c>
      <c r="W392" s="3" t="str">
        <f t="shared" si="32"/>
        <v>Ø16</v>
      </c>
      <c r="X392" s="3" t="str">
        <f t="shared" si="33"/>
        <v>Ø16</v>
      </c>
    </row>
    <row r="393" spans="17:24" x14ac:dyDescent="0.3">
      <c r="Q393" s="3"/>
      <c r="R393" s="3"/>
      <c r="S393" s="3"/>
      <c r="T393" s="21"/>
      <c r="U393" s="3"/>
      <c r="V393" s="3">
        <f t="shared" si="31"/>
        <v>0</v>
      </c>
      <c r="W393" s="3" t="str">
        <f t="shared" si="32"/>
        <v>Ø16</v>
      </c>
      <c r="X393" s="3" t="str">
        <f t="shared" si="33"/>
        <v>Ø16</v>
      </c>
    </row>
    <row r="394" spans="17:24" x14ac:dyDescent="0.3">
      <c r="Q394" s="3"/>
      <c r="R394" s="3"/>
      <c r="S394" s="3"/>
      <c r="T394" s="21"/>
      <c r="U394" s="3"/>
      <c r="V394" s="3">
        <f t="shared" si="31"/>
        <v>0</v>
      </c>
      <c r="W394" s="3" t="str">
        <f t="shared" si="32"/>
        <v>Ø16</v>
      </c>
      <c r="X394" s="3" t="str">
        <f t="shared" si="33"/>
        <v>Ø16</v>
      </c>
    </row>
    <row r="395" spans="17:24" x14ac:dyDescent="0.3">
      <c r="Q395" s="3"/>
      <c r="R395" s="3"/>
      <c r="S395" s="3"/>
      <c r="T395" s="21"/>
      <c r="U395" s="3"/>
      <c r="V395" s="3">
        <f t="shared" si="31"/>
        <v>0</v>
      </c>
      <c r="W395" s="3" t="str">
        <f t="shared" si="32"/>
        <v>Ø16</v>
      </c>
      <c r="X395" s="3" t="str">
        <f t="shared" si="33"/>
        <v>Ø16</v>
      </c>
    </row>
    <row r="396" spans="17:24" x14ac:dyDescent="0.3">
      <c r="Q396" s="3"/>
      <c r="R396" s="3"/>
      <c r="S396" s="3"/>
      <c r="T396" s="21"/>
      <c r="U396" s="3"/>
      <c r="V396" s="3">
        <f t="shared" si="31"/>
        <v>0</v>
      </c>
      <c r="W396" s="3" t="str">
        <f t="shared" si="32"/>
        <v>Ø16</v>
      </c>
      <c r="X396" s="3" t="str">
        <f t="shared" si="33"/>
        <v>Ø16</v>
      </c>
    </row>
    <row r="397" spans="17:24" x14ac:dyDescent="0.3">
      <c r="Q397" s="3"/>
      <c r="R397" s="3"/>
      <c r="S397" s="3"/>
      <c r="T397" s="21"/>
      <c r="U397" s="3"/>
      <c r="V397" s="3">
        <f t="shared" si="31"/>
        <v>0</v>
      </c>
      <c r="W397" s="3" t="str">
        <f t="shared" si="32"/>
        <v>Ø16</v>
      </c>
      <c r="X397" s="3" t="str">
        <f t="shared" si="33"/>
        <v>Ø16</v>
      </c>
    </row>
    <row r="398" spans="17:24" x14ac:dyDescent="0.3">
      <c r="Q398" s="3"/>
      <c r="R398" s="3"/>
      <c r="S398" s="3"/>
      <c r="T398" s="21"/>
      <c r="U398" s="3"/>
      <c r="V398" s="3">
        <f t="shared" si="31"/>
        <v>0</v>
      </c>
      <c r="W398" s="3" t="str">
        <f t="shared" si="32"/>
        <v>Ø16</v>
      </c>
      <c r="X398" s="3" t="str">
        <f t="shared" si="33"/>
        <v>Ø16</v>
      </c>
    </row>
    <row r="399" spans="17:24" x14ac:dyDescent="0.3">
      <c r="Q399" s="3"/>
      <c r="R399" s="3"/>
      <c r="S399" s="3"/>
      <c r="T399" s="21"/>
      <c r="U399" s="3"/>
      <c r="V399" s="3">
        <f t="shared" si="31"/>
        <v>0</v>
      </c>
      <c r="W399" s="3" t="str">
        <f t="shared" si="32"/>
        <v>Ø16</v>
      </c>
      <c r="X399" s="3" t="str">
        <f t="shared" si="33"/>
        <v>Ø16</v>
      </c>
    </row>
    <row r="400" spans="17:24" x14ac:dyDescent="0.3">
      <c r="Q400" s="3"/>
      <c r="R400" s="3"/>
      <c r="S400" s="3"/>
      <c r="T400" s="21"/>
      <c r="U400" s="3"/>
      <c r="V400" s="3">
        <f t="shared" si="31"/>
        <v>0</v>
      </c>
      <c r="W400" s="3" t="str">
        <f t="shared" si="32"/>
        <v>Ø16</v>
      </c>
      <c r="X400" s="3" t="str">
        <f t="shared" si="33"/>
        <v>Ø16</v>
      </c>
    </row>
    <row r="401" spans="17:24" x14ac:dyDescent="0.3">
      <c r="Q401" s="3"/>
      <c r="R401" s="3"/>
      <c r="S401" s="3"/>
      <c r="T401" s="21"/>
      <c r="U401" s="3"/>
      <c r="V401" s="3">
        <f t="shared" si="31"/>
        <v>0</v>
      </c>
      <c r="W401" s="3" t="str">
        <f t="shared" si="32"/>
        <v>Ø16</v>
      </c>
      <c r="X401" s="3" t="str">
        <f t="shared" si="33"/>
        <v>Ø16</v>
      </c>
    </row>
    <row r="402" spans="17:24" x14ac:dyDescent="0.3">
      <c r="Q402" s="3"/>
      <c r="R402" s="3"/>
      <c r="S402" s="3"/>
      <c r="T402" s="21"/>
      <c r="U402" s="3"/>
      <c r="V402" s="3">
        <f t="shared" si="31"/>
        <v>0</v>
      </c>
      <c r="W402" s="3" t="str">
        <f t="shared" si="32"/>
        <v>Ø16</v>
      </c>
      <c r="X402" s="3" t="str">
        <f t="shared" si="33"/>
        <v>Ø16</v>
      </c>
    </row>
    <row r="403" spans="17:24" x14ac:dyDescent="0.3">
      <c r="Q403" s="3"/>
      <c r="R403" s="3"/>
      <c r="S403" s="3"/>
      <c r="T403" s="21"/>
      <c r="U403" s="3"/>
      <c r="V403" s="3">
        <f t="shared" si="31"/>
        <v>0</v>
      </c>
      <c r="W403" s="3" t="str">
        <f t="shared" si="32"/>
        <v>Ø16</v>
      </c>
      <c r="X403" s="3" t="str">
        <f t="shared" si="33"/>
        <v>Ø16</v>
      </c>
    </row>
    <row r="404" spans="17:24" x14ac:dyDescent="0.3">
      <c r="Q404" s="3"/>
      <c r="R404" s="3"/>
      <c r="S404" s="3"/>
      <c r="T404" s="21"/>
      <c r="U404" s="3"/>
      <c r="V404" s="3">
        <f t="shared" si="31"/>
        <v>0</v>
      </c>
      <c r="W404" s="3" t="str">
        <f t="shared" si="32"/>
        <v>Ø16</v>
      </c>
      <c r="X404" s="3" t="str">
        <f t="shared" si="33"/>
        <v>Ø16</v>
      </c>
    </row>
    <row r="405" spans="17:24" x14ac:dyDescent="0.3">
      <c r="Q405" s="3"/>
      <c r="R405" s="3"/>
      <c r="S405" s="3"/>
      <c r="T405" s="21"/>
      <c r="U405" s="3"/>
      <c r="V405" s="3">
        <f t="shared" si="31"/>
        <v>0</v>
      </c>
      <c r="W405" s="3" t="str">
        <f t="shared" si="32"/>
        <v>Ø16</v>
      </c>
      <c r="X405" s="3" t="str">
        <f t="shared" si="33"/>
        <v>Ø16</v>
      </c>
    </row>
    <row r="406" spans="17:24" x14ac:dyDescent="0.3">
      <c r="Q406" s="3"/>
      <c r="R406" s="3"/>
      <c r="S406" s="3"/>
      <c r="T406" s="21"/>
      <c r="U406" s="3"/>
      <c r="V406" s="3">
        <f t="shared" si="31"/>
        <v>0</v>
      </c>
      <c r="W406" s="3" t="str">
        <f t="shared" si="32"/>
        <v>Ø16</v>
      </c>
      <c r="X406" s="3" t="str">
        <f t="shared" si="33"/>
        <v>Ø16</v>
      </c>
    </row>
    <row r="407" spans="17:24" x14ac:dyDescent="0.3">
      <c r="Q407" s="3"/>
      <c r="R407" s="3"/>
      <c r="S407" s="3"/>
      <c r="T407" s="21"/>
      <c r="U407" s="3"/>
      <c r="V407" s="3">
        <f t="shared" si="31"/>
        <v>0</v>
      </c>
      <c r="W407" s="3" t="str">
        <f t="shared" si="32"/>
        <v>Ø16</v>
      </c>
      <c r="X407" s="3" t="str">
        <f t="shared" si="33"/>
        <v>Ø16</v>
      </c>
    </row>
    <row r="408" spans="17:24" x14ac:dyDescent="0.3">
      <c r="Q408" s="3"/>
      <c r="R408" s="3"/>
      <c r="S408" s="3"/>
      <c r="T408" s="21"/>
      <c r="U408" s="3"/>
      <c r="V408" s="3">
        <f t="shared" si="31"/>
        <v>0</v>
      </c>
      <c r="W408" s="3" t="str">
        <f t="shared" si="32"/>
        <v>Ø16</v>
      </c>
      <c r="X408" s="3" t="str">
        <f t="shared" si="33"/>
        <v>Ø16</v>
      </c>
    </row>
    <row r="409" spans="17:24" x14ac:dyDescent="0.3">
      <c r="Q409" s="3"/>
      <c r="R409" s="3"/>
      <c r="S409" s="3"/>
      <c r="T409" s="21"/>
      <c r="U409" s="3"/>
      <c r="V409" s="3">
        <f t="shared" si="31"/>
        <v>0</v>
      </c>
      <c r="W409" s="3" t="str">
        <f t="shared" si="32"/>
        <v>Ø16</v>
      </c>
      <c r="X409" s="3" t="str">
        <f t="shared" si="33"/>
        <v>Ø16</v>
      </c>
    </row>
    <row r="410" spans="17:24" x14ac:dyDescent="0.3">
      <c r="Q410" s="3"/>
      <c r="R410" s="3"/>
      <c r="S410" s="3"/>
      <c r="T410" s="21"/>
      <c r="U410" s="3"/>
      <c r="V410" s="3">
        <f t="shared" si="31"/>
        <v>0</v>
      </c>
      <c r="W410" s="3" t="str">
        <f t="shared" si="32"/>
        <v>Ø16</v>
      </c>
      <c r="X410" s="3" t="str">
        <f t="shared" si="33"/>
        <v>Ø16</v>
      </c>
    </row>
    <row r="411" spans="17:24" x14ac:dyDescent="0.3">
      <c r="Q411" s="3"/>
      <c r="R411" s="3"/>
      <c r="S411" s="3"/>
      <c r="T411" s="21"/>
      <c r="U411" s="3"/>
      <c r="V411" s="3">
        <f t="shared" si="31"/>
        <v>0</v>
      </c>
      <c r="W411" s="3" t="str">
        <f t="shared" si="32"/>
        <v>Ø16</v>
      </c>
      <c r="X411" s="3" t="str">
        <f t="shared" si="33"/>
        <v>Ø16</v>
      </c>
    </row>
    <row r="412" spans="17:24" x14ac:dyDescent="0.3">
      <c r="Q412" s="3"/>
      <c r="R412" s="3"/>
      <c r="S412" s="3"/>
      <c r="T412" s="21"/>
      <c r="U412" s="3"/>
      <c r="V412" s="3">
        <f t="shared" si="31"/>
        <v>0</v>
      </c>
      <c r="W412" s="3" t="str">
        <f t="shared" si="32"/>
        <v>Ø16</v>
      </c>
      <c r="X412" s="3" t="str">
        <f t="shared" si="33"/>
        <v>Ø16</v>
      </c>
    </row>
    <row r="413" spans="17:24" x14ac:dyDescent="0.3">
      <c r="Q413" s="3"/>
      <c r="R413" s="3"/>
      <c r="S413" s="3"/>
      <c r="T413" s="21"/>
      <c r="U413" s="3"/>
      <c r="V413" s="3">
        <f t="shared" si="31"/>
        <v>0</v>
      </c>
      <c r="W413" s="3" t="str">
        <f t="shared" si="32"/>
        <v>Ø16</v>
      </c>
      <c r="X413" s="3" t="str">
        <f t="shared" si="33"/>
        <v>Ø16</v>
      </c>
    </row>
    <row r="414" spans="17:24" x14ac:dyDescent="0.3">
      <c r="Q414" s="3"/>
      <c r="R414" s="3"/>
      <c r="S414" s="3"/>
      <c r="T414" s="21"/>
      <c r="U414" s="3"/>
      <c r="V414" s="3">
        <f t="shared" si="31"/>
        <v>0</v>
      </c>
      <c r="W414" s="3" t="str">
        <f t="shared" si="32"/>
        <v>Ø16</v>
      </c>
      <c r="X414" s="3" t="str">
        <f t="shared" si="33"/>
        <v>Ø16</v>
      </c>
    </row>
    <row r="415" spans="17:24" x14ac:dyDescent="0.3">
      <c r="Q415" s="3"/>
      <c r="R415" s="3"/>
      <c r="S415" s="3"/>
      <c r="T415" s="21"/>
      <c r="U415" s="3"/>
      <c r="V415" s="3">
        <f t="shared" si="31"/>
        <v>0</v>
      </c>
      <c r="W415" s="3" t="str">
        <f t="shared" si="32"/>
        <v>Ø16</v>
      </c>
      <c r="X415" s="3" t="str">
        <f t="shared" si="33"/>
        <v>Ø16</v>
      </c>
    </row>
    <row r="416" spans="17:24" x14ac:dyDescent="0.3">
      <c r="Q416" s="3"/>
      <c r="R416" s="3"/>
      <c r="S416" s="3"/>
      <c r="T416" s="21"/>
      <c r="U416" s="3"/>
      <c r="V416" s="3">
        <f t="shared" si="31"/>
        <v>0</v>
      </c>
      <c r="W416" s="3" t="str">
        <f t="shared" si="32"/>
        <v>Ø16</v>
      </c>
      <c r="X416" s="3" t="str">
        <f t="shared" si="33"/>
        <v>Ø16</v>
      </c>
    </row>
    <row r="417" spans="17:24" x14ac:dyDescent="0.3">
      <c r="Q417" s="3"/>
      <c r="R417" s="3"/>
      <c r="S417" s="3"/>
      <c r="T417" s="21"/>
      <c r="U417" s="3"/>
      <c r="V417" s="3">
        <f t="shared" si="31"/>
        <v>0</v>
      </c>
      <c r="W417" s="3" t="str">
        <f t="shared" si="32"/>
        <v>Ø16</v>
      </c>
      <c r="X417" s="3" t="str">
        <f t="shared" si="33"/>
        <v>Ø16</v>
      </c>
    </row>
    <row r="418" spans="17:24" x14ac:dyDescent="0.3">
      <c r="Q418" s="3"/>
      <c r="R418" s="3"/>
      <c r="S418" s="3"/>
      <c r="T418" s="21"/>
      <c r="U418" s="3"/>
      <c r="V418" s="3">
        <f t="shared" si="31"/>
        <v>0</v>
      </c>
      <c r="W418" s="3" t="str">
        <f t="shared" si="32"/>
        <v>Ø16</v>
      </c>
      <c r="X418" s="3" t="str">
        <f t="shared" si="33"/>
        <v>Ø16</v>
      </c>
    </row>
    <row r="419" spans="17:24" x14ac:dyDescent="0.3">
      <c r="Q419" s="3"/>
      <c r="R419" s="3"/>
      <c r="S419" s="3"/>
      <c r="T419" s="21"/>
      <c r="U419" s="3"/>
      <c r="V419" s="3">
        <f t="shared" si="31"/>
        <v>0</v>
      </c>
      <c r="W419" s="3" t="str">
        <f t="shared" si="32"/>
        <v>Ø16</v>
      </c>
      <c r="X419" s="3" t="str">
        <f t="shared" si="33"/>
        <v>Ø16</v>
      </c>
    </row>
    <row r="420" spans="17:24" x14ac:dyDescent="0.3">
      <c r="Q420" s="3"/>
      <c r="R420" s="3"/>
      <c r="S420" s="3"/>
      <c r="T420" s="21"/>
      <c r="U420" s="3"/>
      <c r="V420" s="3">
        <f t="shared" si="31"/>
        <v>0</v>
      </c>
      <c r="W420" s="3" t="str">
        <f t="shared" si="32"/>
        <v>Ø16</v>
      </c>
      <c r="X420" s="3" t="str">
        <f t="shared" si="33"/>
        <v>Ø16</v>
      </c>
    </row>
    <row r="421" spans="17:24" x14ac:dyDescent="0.3">
      <c r="Q421" s="3"/>
      <c r="R421" s="3"/>
      <c r="S421" s="3"/>
      <c r="T421" s="21"/>
      <c r="U421" s="3"/>
      <c r="V421" s="3">
        <f t="shared" si="31"/>
        <v>0</v>
      </c>
      <c r="W421" s="3" t="str">
        <f t="shared" si="32"/>
        <v>Ø16</v>
      </c>
      <c r="X421" s="3" t="str">
        <f t="shared" si="33"/>
        <v>Ø16</v>
      </c>
    </row>
    <row r="422" spans="17:24" x14ac:dyDescent="0.3">
      <c r="Q422" s="3"/>
      <c r="R422" s="3"/>
      <c r="S422" s="3"/>
      <c r="T422" s="21"/>
      <c r="U422" s="3"/>
      <c r="V422" s="3">
        <f t="shared" si="31"/>
        <v>0</v>
      </c>
      <c r="W422" s="3" t="str">
        <f t="shared" si="32"/>
        <v>Ø16</v>
      </c>
      <c r="X422" s="3" t="str">
        <f t="shared" si="33"/>
        <v>Ø16</v>
      </c>
    </row>
    <row r="423" spans="17:24" x14ac:dyDescent="0.3">
      <c r="Q423" s="3"/>
      <c r="R423" s="3"/>
      <c r="S423" s="3"/>
      <c r="T423" s="21"/>
      <c r="U423" s="3"/>
      <c r="V423" s="3">
        <f t="shared" si="31"/>
        <v>0</v>
      </c>
      <c r="W423" s="3" t="str">
        <f t="shared" si="32"/>
        <v>Ø16</v>
      </c>
      <c r="X423" s="3" t="str">
        <f t="shared" si="33"/>
        <v>Ø16</v>
      </c>
    </row>
    <row r="424" spans="17:24" x14ac:dyDescent="0.3">
      <c r="Q424" s="3"/>
      <c r="R424" s="3"/>
      <c r="S424" s="3"/>
      <c r="T424" s="21"/>
      <c r="U424" s="3"/>
      <c r="V424" s="3">
        <f t="shared" si="31"/>
        <v>0</v>
      </c>
      <c r="W424" s="3" t="str">
        <f t="shared" si="32"/>
        <v>Ø16</v>
      </c>
      <c r="X424" s="3" t="str">
        <f t="shared" si="33"/>
        <v>Ø16</v>
      </c>
    </row>
    <row r="425" spans="17:24" x14ac:dyDescent="0.3">
      <c r="Q425" s="3"/>
      <c r="R425" s="3"/>
      <c r="S425" s="3"/>
      <c r="T425" s="21"/>
      <c r="U425" s="3"/>
      <c r="V425" s="3">
        <f t="shared" si="31"/>
        <v>0</v>
      </c>
      <c r="W425" s="3" t="str">
        <f t="shared" si="32"/>
        <v>Ø16</v>
      </c>
      <c r="X425" s="3" t="str">
        <f t="shared" si="33"/>
        <v>Ø16</v>
      </c>
    </row>
    <row r="426" spans="17:24" x14ac:dyDescent="0.3">
      <c r="Q426" s="3"/>
      <c r="R426" s="3"/>
      <c r="S426" s="3"/>
      <c r="T426" s="21"/>
      <c r="U426" s="3"/>
      <c r="V426" s="3">
        <f t="shared" si="31"/>
        <v>0</v>
      </c>
      <c r="W426" s="3" t="str">
        <f t="shared" si="32"/>
        <v>Ø16</v>
      </c>
      <c r="X426" s="3" t="str">
        <f t="shared" si="33"/>
        <v>Ø16</v>
      </c>
    </row>
    <row r="427" spans="17:24" x14ac:dyDescent="0.3">
      <c r="Q427" s="3"/>
      <c r="R427" s="3"/>
      <c r="S427" s="3"/>
      <c r="T427" s="21"/>
      <c r="U427" s="3"/>
      <c r="V427" s="3">
        <f t="shared" si="31"/>
        <v>0</v>
      </c>
      <c r="W427" s="3" t="str">
        <f t="shared" si="32"/>
        <v>Ø16</v>
      </c>
      <c r="X427" s="3" t="str">
        <f t="shared" si="33"/>
        <v>Ø16</v>
      </c>
    </row>
    <row r="428" spans="17:24" x14ac:dyDescent="0.3">
      <c r="Q428" s="3"/>
      <c r="R428" s="3"/>
      <c r="S428" s="3"/>
      <c r="T428" s="21"/>
      <c r="U428" s="3"/>
      <c r="V428" s="3">
        <f t="shared" si="31"/>
        <v>0</v>
      </c>
      <c r="W428" s="3" t="str">
        <f t="shared" si="32"/>
        <v>Ø16</v>
      </c>
      <c r="X428" s="3" t="str">
        <f t="shared" si="33"/>
        <v>Ø16</v>
      </c>
    </row>
    <row r="429" spans="17:24" x14ac:dyDescent="0.3">
      <c r="Q429" s="3"/>
      <c r="R429" s="3"/>
      <c r="S429" s="3"/>
      <c r="T429" s="21"/>
      <c r="U429" s="3"/>
      <c r="V429" s="3">
        <f t="shared" si="31"/>
        <v>0</v>
      </c>
      <c r="W429" s="3" t="str">
        <f t="shared" si="32"/>
        <v>Ø16</v>
      </c>
      <c r="X429" s="3" t="str">
        <f t="shared" si="33"/>
        <v>Ø16</v>
      </c>
    </row>
    <row r="430" spans="17:24" x14ac:dyDescent="0.3">
      <c r="Q430" s="3"/>
      <c r="R430" s="3"/>
      <c r="S430" s="3"/>
      <c r="T430" s="21"/>
      <c r="U430" s="3"/>
      <c r="V430" s="3">
        <f t="shared" si="31"/>
        <v>0</v>
      </c>
      <c r="W430" s="3" t="str">
        <f t="shared" si="32"/>
        <v>Ø16</v>
      </c>
      <c r="X430" s="3" t="str">
        <f t="shared" si="33"/>
        <v>Ø16</v>
      </c>
    </row>
    <row r="431" spans="17:24" x14ac:dyDescent="0.3">
      <c r="Q431" s="3"/>
      <c r="R431" s="3"/>
      <c r="S431" s="3"/>
      <c r="T431" s="21"/>
      <c r="U431" s="3"/>
      <c r="V431" s="3">
        <f t="shared" si="31"/>
        <v>0</v>
      </c>
      <c r="W431" s="3" t="str">
        <f t="shared" si="32"/>
        <v>Ø16</v>
      </c>
      <c r="X431" s="3" t="str">
        <f t="shared" si="33"/>
        <v>Ø16</v>
      </c>
    </row>
    <row r="432" spans="17:24" x14ac:dyDescent="0.3">
      <c r="Q432" s="3"/>
      <c r="R432" s="3"/>
      <c r="S432" s="3"/>
      <c r="T432" s="21"/>
      <c r="U432" s="3"/>
      <c r="V432" s="3">
        <f t="shared" si="31"/>
        <v>0</v>
      </c>
      <c r="W432" s="3" t="str">
        <f t="shared" si="32"/>
        <v>Ø16</v>
      </c>
      <c r="X432" s="3" t="str">
        <f t="shared" si="33"/>
        <v>Ø16</v>
      </c>
    </row>
    <row r="433" spans="17:24" x14ac:dyDescent="0.3">
      <c r="Q433" s="3"/>
      <c r="R433" s="3"/>
      <c r="S433" s="3"/>
      <c r="T433" s="21"/>
      <c r="U433" s="3"/>
      <c r="V433" s="3">
        <f t="shared" si="31"/>
        <v>0</v>
      </c>
      <c r="W433" s="3" t="str">
        <f t="shared" si="32"/>
        <v>Ø16</v>
      </c>
      <c r="X433" s="3" t="str">
        <f t="shared" si="33"/>
        <v>Ø16</v>
      </c>
    </row>
    <row r="434" spans="17:24" x14ac:dyDescent="0.3">
      <c r="Q434" s="3"/>
      <c r="R434" s="3"/>
      <c r="S434" s="3"/>
      <c r="T434" s="21"/>
      <c r="U434" s="3"/>
      <c r="V434" s="3">
        <f t="shared" si="31"/>
        <v>0</v>
      </c>
      <c r="W434" s="3" t="str">
        <f t="shared" si="32"/>
        <v>Ø16</v>
      </c>
      <c r="X434" s="3" t="str">
        <f t="shared" si="33"/>
        <v>Ø16</v>
      </c>
    </row>
    <row r="435" spans="17:24" x14ac:dyDescent="0.3">
      <c r="Q435" s="3"/>
      <c r="R435" s="3"/>
      <c r="S435" s="3"/>
      <c r="T435" s="21"/>
      <c r="U435" s="3"/>
      <c r="V435" s="3">
        <f t="shared" si="31"/>
        <v>0</v>
      </c>
      <c r="W435" s="3" t="str">
        <f t="shared" si="32"/>
        <v>Ø16</v>
      </c>
      <c r="X435" s="3" t="str">
        <f t="shared" si="33"/>
        <v>Ø16</v>
      </c>
    </row>
    <row r="436" spans="17:24" x14ac:dyDescent="0.3">
      <c r="Q436" s="3"/>
      <c r="R436" s="3"/>
      <c r="S436" s="3"/>
      <c r="T436" s="21"/>
      <c r="U436" s="3"/>
      <c r="V436" s="3">
        <f t="shared" si="31"/>
        <v>0</v>
      </c>
      <c r="W436" s="3" t="str">
        <f t="shared" si="32"/>
        <v>Ø16</v>
      </c>
      <c r="X436" s="3" t="str">
        <f t="shared" si="33"/>
        <v>Ø16</v>
      </c>
    </row>
    <row r="437" spans="17:24" x14ac:dyDescent="0.3">
      <c r="Q437" s="3"/>
      <c r="R437" s="3"/>
      <c r="S437" s="3"/>
      <c r="T437" s="21"/>
      <c r="U437" s="3"/>
      <c r="V437" s="3">
        <f t="shared" si="31"/>
        <v>0</v>
      </c>
      <c r="W437" s="3" t="str">
        <f t="shared" si="32"/>
        <v>Ø16</v>
      </c>
      <c r="X437" s="3" t="str">
        <f t="shared" si="33"/>
        <v>Ø16</v>
      </c>
    </row>
    <row r="438" spans="17:24" x14ac:dyDescent="0.3">
      <c r="Q438" s="3"/>
      <c r="R438" s="3"/>
      <c r="S438" s="3"/>
      <c r="T438" s="21"/>
      <c r="U438" s="3"/>
      <c r="V438" s="3">
        <f t="shared" si="31"/>
        <v>0</v>
      </c>
      <c r="W438" s="3" t="str">
        <f t="shared" si="32"/>
        <v>Ø16</v>
      </c>
      <c r="X438" s="3" t="str">
        <f t="shared" si="33"/>
        <v>Ø16</v>
      </c>
    </row>
    <row r="439" spans="17:24" x14ac:dyDescent="0.3">
      <c r="Q439" s="3"/>
      <c r="R439" s="3"/>
      <c r="S439" s="3"/>
      <c r="T439" s="21"/>
      <c r="U439" s="3"/>
      <c r="V439" s="3">
        <f t="shared" si="31"/>
        <v>0</v>
      </c>
      <c r="W439" s="3" t="str">
        <f t="shared" si="32"/>
        <v>Ø16</v>
      </c>
      <c r="X439" s="3" t="str">
        <f t="shared" si="33"/>
        <v>Ø16</v>
      </c>
    </row>
    <row r="440" spans="17:24" x14ac:dyDescent="0.3">
      <c r="Q440" s="3"/>
      <c r="R440" s="3"/>
      <c r="S440" s="3"/>
      <c r="T440" s="21"/>
      <c r="U440" s="3"/>
      <c r="V440" s="3">
        <f t="shared" si="31"/>
        <v>0</v>
      </c>
      <c r="W440" s="3" t="str">
        <f t="shared" si="32"/>
        <v>Ø16</v>
      </c>
      <c r="X440" s="3" t="str">
        <f t="shared" si="33"/>
        <v>Ø16</v>
      </c>
    </row>
    <row r="441" spans="17:24" x14ac:dyDescent="0.3">
      <c r="Q441" s="3"/>
      <c r="R441" s="3"/>
      <c r="S441" s="3"/>
      <c r="T441" s="21"/>
      <c r="U441" s="3"/>
      <c r="V441" s="3">
        <f t="shared" si="31"/>
        <v>0</v>
      </c>
      <c r="W441" s="3" t="str">
        <f t="shared" si="32"/>
        <v>Ø16</v>
      </c>
      <c r="X441" s="3" t="str">
        <f t="shared" si="33"/>
        <v>Ø16</v>
      </c>
    </row>
    <row r="442" spans="17:24" x14ac:dyDescent="0.3">
      <c r="Q442" s="3"/>
      <c r="R442" s="3"/>
      <c r="S442" s="3"/>
      <c r="T442" s="21"/>
      <c r="U442" s="3"/>
      <c r="V442" s="3">
        <f t="shared" si="31"/>
        <v>0</v>
      </c>
      <c r="W442" s="3" t="str">
        <f t="shared" si="32"/>
        <v>Ø16</v>
      </c>
      <c r="X442" s="3" t="str">
        <f t="shared" si="33"/>
        <v>Ø16</v>
      </c>
    </row>
    <row r="443" spans="17:24" x14ac:dyDescent="0.3">
      <c r="Q443" s="3"/>
      <c r="R443" s="3"/>
      <c r="S443" s="3"/>
      <c r="T443" s="21"/>
      <c r="U443" s="3"/>
      <c r="V443" s="3">
        <f t="shared" si="31"/>
        <v>0</v>
      </c>
      <c r="W443" s="3" t="str">
        <f t="shared" si="32"/>
        <v>Ø16</v>
      </c>
      <c r="X443" s="3" t="str">
        <f t="shared" si="33"/>
        <v>Ø16</v>
      </c>
    </row>
    <row r="444" spans="17:24" x14ac:dyDescent="0.3">
      <c r="Q444" s="3"/>
      <c r="R444" s="3"/>
      <c r="S444" s="3"/>
      <c r="T444" s="21"/>
      <c r="U444" s="3"/>
      <c r="V444" s="3">
        <f t="shared" si="31"/>
        <v>0</v>
      </c>
      <c r="W444" s="3" t="str">
        <f t="shared" si="32"/>
        <v>Ø16</v>
      </c>
      <c r="X444" s="3" t="str">
        <f t="shared" si="33"/>
        <v>Ø16</v>
      </c>
    </row>
    <row r="445" spans="17:24" x14ac:dyDescent="0.3">
      <c r="Q445" s="3"/>
      <c r="R445" s="3"/>
      <c r="S445" s="3"/>
      <c r="T445" s="21"/>
      <c r="U445" s="3"/>
      <c r="V445" s="3">
        <f t="shared" si="31"/>
        <v>0</v>
      </c>
      <c r="W445" s="3" t="str">
        <f t="shared" si="32"/>
        <v>Ø16</v>
      </c>
      <c r="X445" s="3" t="str">
        <f t="shared" si="33"/>
        <v>Ø16</v>
      </c>
    </row>
    <row r="446" spans="17:24" x14ac:dyDescent="0.3">
      <c r="Q446" s="3"/>
      <c r="R446" s="3"/>
      <c r="S446" s="3"/>
      <c r="T446" s="21"/>
      <c r="U446" s="3"/>
      <c r="V446" s="3">
        <f t="shared" si="31"/>
        <v>0</v>
      </c>
      <c r="W446" s="3" t="str">
        <f t="shared" si="32"/>
        <v>Ø16</v>
      </c>
      <c r="X446" s="3" t="str">
        <f t="shared" si="33"/>
        <v>Ø16</v>
      </c>
    </row>
    <row r="447" spans="17:24" x14ac:dyDescent="0.3">
      <c r="Q447" s="3"/>
      <c r="R447" s="3"/>
      <c r="S447" s="3"/>
      <c r="T447" s="21"/>
      <c r="U447" s="3"/>
      <c r="V447" s="3">
        <f t="shared" si="31"/>
        <v>0</v>
      </c>
      <c r="W447" s="3" t="str">
        <f t="shared" si="32"/>
        <v>Ø16</v>
      </c>
      <c r="X447" s="3" t="str">
        <f t="shared" si="33"/>
        <v>Ø16</v>
      </c>
    </row>
    <row r="448" spans="17:24" x14ac:dyDescent="0.3">
      <c r="Q448" s="3"/>
      <c r="R448" s="3"/>
      <c r="S448" s="3"/>
      <c r="T448" s="21"/>
      <c r="U448" s="3"/>
      <c r="V448" s="3">
        <f t="shared" si="31"/>
        <v>0</v>
      </c>
      <c r="W448" s="3" t="str">
        <f t="shared" si="32"/>
        <v>Ø16</v>
      </c>
      <c r="X448" s="3" t="str">
        <f t="shared" si="33"/>
        <v>Ø16</v>
      </c>
    </row>
    <row r="449" spans="17:24" x14ac:dyDescent="0.3">
      <c r="Q449" s="3"/>
      <c r="R449" s="3"/>
      <c r="S449" s="3"/>
      <c r="T449" s="21"/>
      <c r="U449" s="3"/>
      <c r="V449" s="3">
        <f t="shared" si="31"/>
        <v>0</v>
      </c>
      <c r="W449" s="3" t="str">
        <f t="shared" si="32"/>
        <v>Ø16</v>
      </c>
      <c r="X449" s="3" t="str">
        <f t="shared" si="33"/>
        <v>Ø16</v>
      </c>
    </row>
    <row r="450" spans="17:24" x14ac:dyDescent="0.3">
      <c r="Q450" s="3"/>
      <c r="R450" s="3"/>
      <c r="S450" s="3"/>
      <c r="T450" s="21"/>
      <c r="U450" s="3"/>
      <c r="V450" s="3">
        <f t="shared" si="31"/>
        <v>0</v>
      </c>
      <c r="W450" s="3" t="str">
        <f t="shared" si="32"/>
        <v>Ø16</v>
      </c>
      <c r="X450" s="3" t="str">
        <f t="shared" si="33"/>
        <v>Ø16</v>
      </c>
    </row>
    <row r="451" spans="17:24" x14ac:dyDescent="0.3">
      <c r="Q451" s="3"/>
      <c r="R451" s="3"/>
      <c r="S451" s="3"/>
      <c r="T451" s="21"/>
      <c r="U451" s="3"/>
      <c r="V451" s="3">
        <f t="shared" si="31"/>
        <v>0</v>
      </c>
      <c r="W451" s="3" t="str">
        <f t="shared" si="32"/>
        <v>Ø16</v>
      </c>
      <c r="X451" s="3" t="str">
        <f t="shared" si="33"/>
        <v>Ø16</v>
      </c>
    </row>
    <row r="452" spans="17:24" x14ac:dyDescent="0.3">
      <c r="Q452" s="3"/>
      <c r="R452" s="3"/>
      <c r="S452" s="3"/>
      <c r="T452" s="21"/>
      <c r="U452" s="3"/>
      <c r="V452" s="3">
        <f t="shared" si="31"/>
        <v>0</v>
      </c>
      <c r="W452" s="3" t="str">
        <f t="shared" si="32"/>
        <v>Ø16</v>
      </c>
      <c r="X452" s="3" t="str">
        <f t="shared" si="33"/>
        <v>Ø16</v>
      </c>
    </row>
    <row r="453" spans="17:24" x14ac:dyDescent="0.3">
      <c r="Q453" s="3"/>
      <c r="R453" s="3"/>
      <c r="S453" s="3"/>
      <c r="T453" s="21"/>
      <c r="U453" s="3"/>
      <c r="V453" s="3">
        <f t="shared" ref="V453:V503" si="34">U453*1.2</f>
        <v>0</v>
      </c>
      <c r="W453" s="3" t="str">
        <f t="shared" ref="W453:W503" si="35">"Ø"&amp;VLOOKUP(V453,$Z$4:$AA$10,2,TRUE)</f>
        <v>Ø16</v>
      </c>
      <c r="X453" s="3" t="str">
        <f t="shared" ref="X453:X503" si="36">"Ø"&amp;VLOOKUP(V453,$AD$4:$AE$10,2,TRUE)</f>
        <v>Ø16</v>
      </c>
    </row>
    <row r="454" spans="17:24" x14ac:dyDescent="0.3">
      <c r="Q454" s="3"/>
      <c r="R454" s="3"/>
      <c r="S454" s="3"/>
      <c r="T454" s="21"/>
      <c r="U454" s="3"/>
      <c r="V454" s="3">
        <f t="shared" si="34"/>
        <v>0</v>
      </c>
      <c r="W454" s="3" t="str">
        <f t="shared" si="35"/>
        <v>Ø16</v>
      </c>
      <c r="X454" s="3" t="str">
        <f t="shared" si="36"/>
        <v>Ø16</v>
      </c>
    </row>
    <row r="455" spans="17:24" x14ac:dyDescent="0.3">
      <c r="Q455" s="3"/>
      <c r="R455" s="3"/>
      <c r="S455" s="3"/>
      <c r="T455" s="21"/>
      <c r="U455" s="3"/>
      <c r="V455" s="3">
        <f t="shared" si="34"/>
        <v>0</v>
      </c>
      <c r="W455" s="3" t="str">
        <f t="shared" si="35"/>
        <v>Ø16</v>
      </c>
      <c r="X455" s="3" t="str">
        <f t="shared" si="36"/>
        <v>Ø16</v>
      </c>
    </row>
    <row r="456" spans="17:24" x14ac:dyDescent="0.3">
      <c r="Q456" s="3"/>
      <c r="R456" s="3"/>
      <c r="S456" s="3"/>
      <c r="T456" s="21"/>
      <c r="U456" s="3"/>
      <c r="V456" s="3">
        <f t="shared" si="34"/>
        <v>0</v>
      </c>
      <c r="W456" s="3" t="str">
        <f t="shared" si="35"/>
        <v>Ø16</v>
      </c>
      <c r="X456" s="3" t="str">
        <f t="shared" si="36"/>
        <v>Ø16</v>
      </c>
    </row>
    <row r="457" spans="17:24" x14ac:dyDescent="0.3">
      <c r="Q457" s="3"/>
      <c r="R457" s="3"/>
      <c r="S457" s="3"/>
      <c r="T457" s="21"/>
      <c r="U457" s="3"/>
      <c r="V457" s="3">
        <f t="shared" si="34"/>
        <v>0</v>
      </c>
      <c r="W457" s="3" t="str">
        <f t="shared" si="35"/>
        <v>Ø16</v>
      </c>
      <c r="X457" s="3" t="str">
        <f t="shared" si="36"/>
        <v>Ø16</v>
      </c>
    </row>
    <row r="458" spans="17:24" x14ac:dyDescent="0.3">
      <c r="Q458" s="3"/>
      <c r="R458" s="3"/>
      <c r="S458" s="3"/>
      <c r="T458" s="21"/>
      <c r="U458" s="3"/>
      <c r="V458" s="3">
        <f t="shared" si="34"/>
        <v>0</v>
      </c>
      <c r="W458" s="3" t="str">
        <f t="shared" si="35"/>
        <v>Ø16</v>
      </c>
      <c r="X458" s="3" t="str">
        <f t="shared" si="36"/>
        <v>Ø16</v>
      </c>
    </row>
    <row r="459" spans="17:24" x14ac:dyDescent="0.3">
      <c r="Q459" s="3"/>
      <c r="R459" s="3"/>
      <c r="S459" s="3"/>
      <c r="T459" s="21"/>
      <c r="U459" s="3"/>
      <c r="V459" s="3">
        <f t="shared" si="34"/>
        <v>0</v>
      </c>
      <c r="W459" s="3" t="str">
        <f t="shared" si="35"/>
        <v>Ø16</v>
      </c>
      <c r="X459" s="3" t="str">
        <f t="shared" si="36"/>
        <v>Ø16</v>
      </c>
    </row>
    <row r="460" spans="17:24" x14ac:dyDescent="0.3">
      <c r="Q460" s="3"/>
      <c r="R460" s="3"/>
      <c r="S460" s="3"/>
      <c r="T460" s="21"/>
      <c r="U460" s="3"/>
      <c r="V460" s="3">
        <f t="shared" si="34"/>
        <v>0</v>
      </c>
      <c r="W460" s="3" t="str">
        <f t="shared" si="35"/>
        <v>Ø16</v>
      </c>
      <c r="X460" s="3" t="str">
        <f t="shared" si="36"/>
        <v>Ø16</v>
      </c>
    </row>
    <row r="461" spans="17:24" x14ac:dyDescent="0.3">
      <c r="Q461" s="3"/>
      <c r="R461" s="3"/>
      <c r="S461" s="3"/>
      <c r="T461" s="21"/>
      <c r="U461" s="3"/>
      <c r="V461" s="3">
        <f t="shared" si="34"/>
        <v>0</v>
      </c>
      <c r="W461" s="3" t="str">
        <f t="shared" si="35"/>
        <v>Ø16</v>
      </c>
      <c r="X461" s="3" t="str">
        <f t="shared" si="36"/>
        <v>Ø16</v>
      </c>
    </row>
    <row r="462" spans="17:24" x14ac:dyDescent="0.3">
      <c r="Q462" s="3"/>
      <c r="R462" s="3"/>
      <c r="S462" s="3"/>
      <c r="T462" s="21"/>
      <c r="U462" s="3"/>
      <c r="V462" s="3">
        <f t="shared" si="34"/>
        <v>0</v>
      </c>
      <c r="W462" s="3" t="str">
        <f t="shared" si="35"/>
        <v>Ø16</v>
      </c>
      <c r="X462" s="3" t="str">
        <f t="shared" si="36"/>
        <v>Ø16</v>
      </c>
    </row>
    <row r="463" spans="17:24" x14ac:dyDescent="0.3">
      <c r="Q463" s="3"/>
      <c r="R463" s="3"/>
      <c r="S463" s="3"/>
      <c r="T463" s="21"/>
      <c r="U463" s="3"/>
      <c r="V463" s="3">
        <f t="shared" si="34"/>
        <v>0</v>
      </c>
      <c r="W463" s="3" t="str">
        <f t="shared" si="35"/>
        <v>Ø16</v>
      </c>
      <c r="X463" s="3" t="str">
        <f t="shared" si="36"/>
        <v>Ø16</v>
      </c>
    </row>
    <row r="464" spans="17:24" x14ac:dyDescent="0.3">
      <c r="Q464" s="3"/>
      <c r="R464" s="3"/>
      <c r="S464" s="3"/>
      <c r="T464" s="21"/>
      <c r="U464" s="3"/>
      <c r="V464" s="3">
        <f t="shared" si="34"/>
        <v>0</v>
      </c>
      <c r="W464" s="3" t="str">
        <f t="shared" si="35"/>
        <v>Ø16</v>
      </c>
      <c r="X464" s="3" t="str">
        <f t="shared" si="36"/>
        <v>Ø16</v>
      </c>
    </row>
    <row r="465" spans="17:24" x14ac:dyDescent="0.3">
      <c r="Q465" s="3"/>
      <c r="R465" s="3"/>
      <c r="S465" s="3"/>
      <c r="T465" s="21"/>
      <c r="U465" s="3"/>
      <c r="V465" s="3">
        <f t="shared" si="34"/>
        <v>0</v>
      </c>
      <c r="W465" s="3" t="str">
        <f t="shared" si="35"/>
        <v>Ø16</v>
      </c>
      <c r="X465" s="3" t="str">
        <f t="shared" si="36"/>
        <v>Ø16</v>
      </c>
    </row>
    <row r="466" spans="17:24" x14ac:dyDescent="0.3">
      <c r="Q466" s="3"/>
      <c r="R466" s="3"/>
      <c r="S466" s="3"/>
      <c r="T466" s="21"/>
      <c r="U466" s="3"/>
      <c r="V466" s="3">
        <f t="shared" si="34"/>
        <v>0</v>
      </c>
      <c r="W466" s="3" t="str">
        <f t="shared" si="35"/>
        <v>Ø16</v>
      </c>
      <c r="X466" s="3" t="str">
        <f t="shared" si="36"/>
        <v>Ø16</v>
      </c>
    </row>
    <row r="467" spans="17:24" x14ac:dyDescent="0.3">
      <c r="Q467" s="3"/>
      <c r="R467" s="3"/>
      <c r="S467" s="3"/>
      <c r="T467" s="21"/>
      <c r="U467" s="3"/>
      <c r="V467" s="3">
        <f t="shared" si="34"/>
        <v>0</v>
      </c>
      <c r="W467" s="3" t="str">
        <f t="shared" si="35"/>
        <v>Ø16</v>
      </c>
      <c r="X467" s="3" t="str">
        <f t="shared" si="36"/>
        <v>Ø16</v>
      </c>
    </row>
    <row r="468" spans="17:24" x14ac:dyDescent="0.3">
      <c r="Q468" s="3"/>
      <c r="R468" s="3"/>
      <c r="S468" s="3"/>
      <c r="T468" s="21"/>
      <c r="U468" s="3"/>
      <c r="V468" s="3">
        <f t="shared" si="34"/>
        <v>0</v>
      </c>
      <c r="W468" s="3" t="str">
        <f t="shared" si="35"/>
        <v>Ø16</v>
      </c>
      <c r="X468" s="3" t="str">
        <f t="shared" si="36"/>
        <v>Ø16</v>
      </c>
    </row>
    <row r="469" spans="17:24" x14ac:dyDescent="0.3">
      <c r="Q469" s="3"/>
      <c r="R469" s="3"/>
      <c r="S469" s="3"/>
      <c r="T469" s="21"/>
      <c r="U469" s="3"/>
      <c r="V469" s="3">
        <f t="shared" si="34"/>
        <v>0</v>
      </c>
      <c r="W469" s="3" t="str">
        <f t="shared" si="35"/>
        <v>Ø16</v>
      </c>
      <c r="X469" s="3" t="str">
        <f t="shared" si="36"/>
        <v>Ø16</v>
      </c>
    </row>
    <row r="470" spans="17:24" x14ac:dyDescent="0.3">
      <c r="Q470" s="3"/>
      <c r="R470" s="3"/>
      <c r="S470" s="3"/>
      <c r="T470" s="21"/>
      <c r="U470" s="3"/>
      <c r="V470" s="3">
        <f t="shared" si="34"/>
        <v>0</v>
      </c>
      <c r="W470" s="3" t="str">
        <f t="shared" si="35"/>
        <v>Ø16</v>
      </c>
      <c r="X470" s="3" t="str">
        <f t="shared" si="36"/>
        <v>Ø16</v>
      </c>
    </row>
    <row r="471" spans="17:24" x14ac:dyDescent="0.3">
      <c r="Q471" s="3"/>
      <c r="R471" s="3"/>
      <c r="S471" s="3"/>
      <c r="T471" s="21"/>
      <c r="U471" s="3"/>
      <c r="V471" s="3">
        <f t="shared" si="34"/>
        <v>0</v>
      </c>
      <c r="W471" s="3" t="str">
        <f t="shared" si="35"/>
        <v>Ø16</v>
      </c>
      <c r="X471" s="3" t="str">
        <f t="shared" si="36"/>
        <v>Ø16</v>
      </c>
    </row>
    <row r="472" spans="17:24" x14ac:dyDescent="0.3">
      <c r="Q472" s="3"/>
      <c r="R472" s="3"/>
      <c r="S472" s="3"/>
      <c r="T472" s="21"/>
      <c r="U472" s="3"/>
      <c r="V472" s="3">
        <f t="shared" si="34"/>
        <v>0</v>
      </c>
      <c r="W472" s="3" t="str">
        <f t="shared" si="35"/>
        <v>Ø16</v>
      </c>
      <c r="X472" s="3" t="str">
        <f t="shared" si="36"/>
        <v>Ø16</v>
      </c>
    </row>
    <row r="473" spans="17:24" x14ac:dyDescent="0.3">
      <c r="Q473" s="3"/>
      <c r="R473" s="3"/>
      <c r="S473" s="3"/>
      <c r="T473" s="21"/>
      <c r="U473" s="3"/>
      <c r="V473" s="3">
        <f t="shared" si="34"/>
        <v>0</v>
      </c>
      <c r="W473" s="3" t="str">
        <f t="shared" si="35"/>
        <v>Ø16</v>
      </c>
      <c r="X473" s="3" t="str">
        <f t="shared" si="36"/>
        <v>Ø16</v>
      </c>
    </row>
    <row r="474" spans="17:24" x14ac:dyDescent="0.3">
      <c r="Q474" s="3"/>
      <c r="R474" s="3"/>
      <c r="S474" s="3"/>
      <c r="T474" s="21"/>
      <c r="U474" s="3"/>
      <c r="V474" s="3">
        <f t="shared" si="34"/>
        <v>0</v>
      </c>
      <c r="W474" s="3" t="str">
        <f t="shared" si="35"/>
        <v>Ø16</v>
      </c>
      <c r="X474" s="3" t="str">
        <f t="shared" si="36"/>
        <v>Ø16</v>
      </c>
    </row>
    <row r="475" spans="17:24" x14ac:dyDescent="0.3">
      <c r="Q475" s="3"/>
      <c r="R475" s="3"/>
      <c r="S475" s="3"/>
      <c r="T475" s="21"/>
      <c r="U475" s="3"/>
      <c r="V475" s="3">
        <f t="shared" si="34"/>
        <v>0</v>
      </c>
      <c r="W475" s="3" t="str">
        <f t="shared" si="35"/>
        <v>Ø16</v>
      </c>
      <c r="X475" s="3" t="str">
        <f t="shared" si="36"/>
        <v>Ø16</v>
      </c>
    </row>
    <row r="476" spans="17:24" x14ac:dyDescent="0.3">
      <c r="Q476" s="3"/>
      <c r="R476" s="3"/>
      <c r="S476" s="3"/>
      <c r="T476" s="21"/>
      <c r="U476" s="3"/>
      <c r="V476" s="3">
        <f t="shared" si="34"/>
        <v>0</v>
      </c>
      <c r="W476" s="3" t="str">
        <f t="shared" si="35"/>
        <v>Ø16</v>
      </c>
      <c r="X476" s="3" t="str">
        <f t="shared" si="36"/>
        <v>Ø16</v>
      </c>
    </row>
    <row r="477" spans="17:24" x14ac:dyDescent="0.3">
      <c r="Q477" s="3"/>
      <c r="R477" s="3"/>
      <c r="S477" s="3"/>
      <c r="T477" s="21"/>
      <c r="U477" s="3"/>
      <c r="V477" s="3">
        <f t="shared" si="34"/>
        <v>0</v>
      </c>
      <c r="W477" s="3" t="str">
        <f t="shared" si="35"/>
        <v>Ø16</v>
      </c>
      <c r="X477" s="3" t="str">
        <f t="shared" si="36"/>
        <v>Ø16</v>
      </c>
    </row>
    <row r="478" spans="17:24" x14ac:dyDescent="0.3">
      <c r="Q478" s="3"/>
      <c r="R478" s="3"/>
      <c r="S478" s="3"/>
      <c r="T478" s="21"/>
      <c r="U478" s="3"/>
      <c r="V478" s="3">
        <f t="shared" si="34"/>
        <v>0</v>
      </c>
      <c r="W478" s="3" t="str">
        <f t="shared" si="35"/>
        <v>Ø16</v>
      </c>
      <c r="X478" s="3" t="str">
        <f t="shared" si="36"/>
        <v>Ø16</v>
      </c>
    </row>
    <row r="479" spans="17:24" x14ac:dyDescent="0.3">
      <c r="Q479" s="3"/>
      <c r="R479" s="3"/>
      <c r="S479" s="3"/>
      <c r="T479" s="21"/>
      <c r="U479" s="3"/>
      <c r="V479" s="3">
        <f t="shared" si="34"/>
        <v>0</v>
      </c>
      <c r="W479" s="3" t="str">
        <f t="shared" si="35"/>
        <v>Ø16</v>
      </c>
      <c r="X479" s="3" t="str">
        <f t="shared" si="36"/>
        <v>Ø16</v>
      </c>
    </row>
    <row r="480" spans="17:24" x14ac:dyDescent="0.3">
      <c r="Q480" s="3"/>
      <c r="R480" s="3"/>
      <c r="S480" s="3"/>
      <c r="T480" s="21"/>
      <c r="U480" s="3"/>
      <c r="V480" s="3">
        <f t="shared" si="34"/>
        <v>0</v>
      </c>
      <c r="W480" s="3" t="str">
        <f t="shared" si="35"/>
        <v>Ø16</v>
      </c>
      <c r="X480" s="3" t="str">
        <f t="shared" si="36"/>
        <v>Ø16</v>
      </c>
    </row>
    <row r="481" spans="17:24" x14ac:dyDescent="0.3">
      <c r="Q481" s="3"/>
      <c r="R481" s="3"/>
      <c r="S481" s="3"/>
      <c r="T481" s="21"/>
      <c r="U481" s="3"/>
      <c r="V481" s="3">
        <f t="shared" si="34"/>
        <v>0</v>
      </c>
      <c r="W481" s="3" t="str">
        <f t="shared" si="35"/>
        <v>Ø16</v>
      </c>
      <c r="X481" s="3" t="str">
        <f t="shared" si="36"/>
        <v>Ø16</v>
      </c>
    </row>
    <row r="482" spans="17:24" x14ac:dyDescent="0.3">
      <c r="Q482" s="3"/>
      <c r="R482" s="3"/>
      <c r="S482" s="3"/>
      <c r="T482" s="21"/>
      <c r="U482" s="3"/>
      <c r="V482" s="3">
        <f t="shared" si="34"/>
        <v>0</v>
      </c>
      <c r="W482" s="3" t="str">
        <f t="shared" si="35"/>
        <v>Ø16</v>
      </c>
      <c r="X482" s="3" t="str">
        <f t="shared" si="36"/>
        <v>Ø16</v>
      </c>
    </row>
    <row r="483" spans="17:24" x14ac:dyDescent="0.3">
      <c r="Q483" s="3"/>
      <c r="R483" s="3"/>
      <c r="S483" s="3"/>
      <c r="T483" s="21"/>
      <c r="U483" s="3"/>
      <c r="V483" s="3">
        <f t="shared" si="34"/>
        <v>0</v>
      </c>
      <c r="W483" s="3" t="str">
        <f t="shared" si="35"/>
        <v>Ø16</v>
      </c>
      <c r="X483" s="3" t="str">
        <f t="shared" si="36"/>
        <v>Ø16</v>
      </c>
    </row>
    <row r="484" spans="17:24" x14ac:dyDescent="0.3">
      <c r="Q484" s="3"/>
      <c r="R484" s="3"/>
      <c r="S484" s="3"/>
      <c r="T484" s="21"/>
      <c r="U484" s="3"/>
      <c r="V484" s="3">
        <f t="shared" si="34"/>
        <v>0</v>
      </c>
      <c r="W484" s="3" t="str">
        <f t="shared" si="35"/>
        <v>Ø16</v>
      </c>
      <c r="X484" s="3" t="str">
        <f t="shared" si="36"/>
        <v>Ø16</v>
      </c>
    </row>
    <row r="485" spans="17:24" x14ac:dyDescent="0.3">
      <c r="Q485" s="3"/>
      <c r="R485" s="3"/>
      <c r="S485" s="3"/>
      <c r="T485" s="21"/>
      <c r="U485" s="3"/>
      <c r="V485" s="3">
        <f t="shared" si="34"/>
        <v>0</v>
      </c>
      <c r="W485" s="3" t="str">
        <f t="shared" si="35"/>
        <v>Ø16</v>
      </c>
      <c r="X485" s="3" t="str">
        <f t="shared" si="36"/>
        <v>Ø16</v>
      </c>
    </row>
    <row r="486" spans="17:24" x14ac:dyDescent="0.3">
      <c r="Q486" s="3"/>
      <c r="R486" s="3"/>
      <c r="S486" s="3"/>
      <c r="T486" s="21"/>
      <c r="U486" s="3"/>
      <c r="V486" s="3">
        <f t="shared" si="34"/>
        <v>0</v>
      </c>
      <c r="W486" s="3" t="str">
        <f t="shared" si="35"/>
        <v>Ø16</v>
      </c>
      <c r="X486" s="3" t="str">
        <f t="shared" si="36"/>
        <v>Ø16</v>
      </c>
    </row>
    <row r="487" spans="17:24" x14ac:dyDescent="0.3">
      <c r="Q487" s="3"/>
      <c r="R487" s="3"/>
      <c r="S487" s="3"/>
      <c r="T487" s="21"/>
      <c r="U487" s="3"/>
      <c r="V487" s="3">
        <f t="shared" si="34"/>
        <v>0</v>
      </c>
      <c r="W487" s="3" t="str">
        <f t="shared" si="35"/>
        <v>Ø16</v>
      </c>
      <c r="X487" s="3" t="str">
        <f t="shared" si="36"/>
        <v>Ø16</v>
      </c>
    </row>
    <row r="488" spans="17:24" x14ac:dyDescent="0.3">
      <c r="Q488" s="3"/>
      <c r="R488" s="3"/>
      <c r="S488" s="3"/>
      <c r="T488" s="21"/>
      <c r="U488" s="3"/>
      <c r="V488" s="3">
        <f t="shared" si="34"/>
        <v>0</v>
      </c>
      <c r="W488" s="3" t="str">
        <f t="shared" si="35"/>
        <v>Ø16</v>
      </c>
      <c r="X488" s="3" t="str">
        <f t="shared" si="36"/>
        <v>Ø16</v>
      </c>
    </row>
    <row r="489" spans="17:24" x14ac:dyDescent="0.3">
      <c r="Q489" s="3"/>
      <c r="R489" s="3"/>
      <c r="S489" s="3"/>
      <c r="T489" s="21"/>
      <c r="U489" s="3"/>
      <c r="V489" s="3">
        <f t="shared" si="34"/>
        <v>0</v>
      </c>
      <c r="W489" s="3" t="str">
        <f t="shared" si="35"/>
        <v>Ø16</v>
      </c>
      <c r="X489" s="3" t="str">
        <f t="shared" si="36"/>
        <v>Ø16</v>
      </c>
    </row>
    <row r="490" spans="17:24" x14ac:dyDescent="0.3">
      <c r="Q490" s="3"/>
      <c r="R490" s="3"/>
      <c r="S490" s="3"/>
      <c r="T490" s="21"/>
      <c r="U490" s="3"/>
      <c r="V490" s="3">
        <f t="shared" si="34"/>
        <v>0</v>
      </c>
      <c r="W490" s="3" t="str">
        <f t="shared" si="35"/>
        <v>Ø16</v>
      </c>
      <c r="X490" s="3" t="str">
        <f t="shared" si="36"/>
        <v>Ø16</v>
      </c>
    </row>
    <row r="491" spans="17:24" x14ac:dyDescent="0.3">
      <c r="Q491" s="3"/>
      <c r="R491" s="3"/>
      <c r="S491" s="3"/>
      <c r="T491" s="21"/>
      <c r="U491" s="3"/>
      <c r="V491" s="3">
        <f t="shared" si="34"/>
        <v>0</v>
      </c>
      <c r="W491" s="3" t="str">
        <f t="shared" si="35"/>
        <v>Ø16</v>
      </c>
      <c r="X491" s="3" t="str">
        <f t="shared" si="36"/>
        <v>Ø16</v>
      </c>
    </row>
    <row r="492" spans="17:24" x14ac:dyDescent="0.3">
      <c r="Q492" s="3"/>
      <c r="R492" s="3"/>
      <c r="S492" s="3"/>
      <c r="T492" s="21"/>
      <c r="U492" s="3"/>
      <c r="V492" s="3">
        <f t="shared" si="34"/>
        <v>0</v>
      </c>
      <c r="W492" s="3" t="str">
        <f t="shared" si="35"/>
        <v>Ø16</v>
      </c>
      <c r="X492" s="3" t="str">
        <f t="shared" si="36"/>
        <v>Ø16</v>
      </c>
    </row>
    <row r="493" spans="17:24" x14ac:dyDescent="0.3">
      <c r="Q493" s="3"/>
      <c r="R493" s="3"/>
      <c r="S493" s="3"/>
      <c r="T493" s="21"/>
      <c r="U493" s="3"/>
      <c r="V493" s="3">
        <f t="shared" si="34"/>
        <v>0</v>
      </c>
      <c r="W493" s="3" t="str">
        <f t="shared" si="35"/>
        <v>Ø16</v>
      </c>
      <c r="X493" s="3" t="str">
        <f t="shared" si="36"/>
        <v>Ø16</v>
      </c>
    </row>
    <row r="494" spans="17:24" x14ac:dyDescent="0.3">
      <c r="Q494" s="3"/>
      <c r="R494" s="3"/>
      <c r="S494" s="3"/>
      <c r="T494" s="21"/>
      <c r="U494" s="3"/>
      <c r="V494" s="3">
        <f t="shared" si="34"/>
        <v>0</v>
      </c>
      <c r="W494" s="3" t="str">
        <f t="shared" si="35"/>
        <v>Ø16</v>
      </c>
      <c r="X494" s="3" t="str">
        <f t="shared" si="36"/>
        <v>Ø16</v>
      </c>
    </row>
    <row r="495" spans="17:24" x14ac:dyDescent="0.3">
      <c r="Q495" s="3"/>
      <c r="R495" s="3"/>
      <c r="S495" s="3"/>
      <c r="T495" s="21"/>
      <c r="U495" s="3"/>
      <c r="V495" s="3">
        <f t="shared" si="34"/>
        <v>0</v>
      </c>
      <c r="W495" s="3" t="str">
        <f t="shared" si="35"/>
        <v>Ø16</v>
      </c>
      <c r="X495" s="3" t="str">
        <f t="shared" si="36"/>
        <v>Ø16</v>
      </c>
    </row>
    <row r="496" spans="17:24" x14ac:dyDescent="0.3">
      <c r="Q496" s="3"/>
      <c r="R496" s="3"/>
      <c r="S496" s="3"/>
      <c r="T496" s="21"/>
      <c r="U496" s="3"/>
      <c r="V496" s="3">
        <f t="shared" si="34"/>
        <v>0</v>
      </c>
      <c r="W496" s="3" t="str">
        <f t="shared" si="35"/>
        <v>Ø16</v>
      </c>
      <c r="X496" s="3" t="str">
        <f t="shared" si="36"/>
        <v>Ø16</v>
      </c>
    </row>
    <row r="497" spans="17:24" x14ac:dyDescent="0.3">
      <c r="Q497" s="3"/>
      <c r="R497" s="3"/>
      <c r="S497" s="3"/>
      <c r="T497" s="21"/>
      <c r="U497" s="3"/>
      <c r="V497" s="3">
        <f t="shared" si="34"/>
        <v>0</v>
      </c>
      <c r="W497" s="3" t="str">
        <f t="shared" si="35"/>
        <v>Ø16</v>
      </c>
      <c r="X497" s="3" t="str">
        <f t="shared" si="36"/>
        <v>Ø16</v>
      </c>
    </row>
    <row r="498" spans="17:24" x14ac:dyDescent="0.3">
      <c r="Q498" s="3"/>
      <c r="R498" s="3"/>
      <c r="S498" s="3"/>
      <c r="T498" s="21"/>
      <c r="U498" s="3"/>
      <c r="V498" s="3">
        <f t="shared" si="34"/>
        <v>0</v>
      </c>
      <c r="W498" s="3" t="str">
        <f t="shared" si="35"/>
        <v>Ø16</v>
      </c>
      <c r="X498" s="3" t="str">
        <f t="shared" si="36"/>
        <v>Ø16</v>
      </c>
    </row>
    <row r="499" spans="17:24" x14ac:dyDescent="0.3">
      <c r="Q499" s="3"/>
      <c r="R499" s="3"/>
      <c r="S499" s="3"/>
      <c r="T499" s="21"/>
      <c r="U499" s="3"/>
      <c r="V499" s="3">
        <f t="shared" si="34"/>
        <v>0</v>
      </c>
      <c r="W499" s="3" t="str">
        <f t="shared" si="35"/>
        <v>Ø16</v>
      </c>
      <c r="X499" s="3" t="str">
        <f t="shared" si="36"/>
        <v>Ø16</v>
      </c>
    </row>
    <row r="500" spans="17:24" x14ac:dyDescent="0.3">
      <c r="Q500" s="3"/>
      <c r="R500" s="3"/>
      <c r="S500" s="3"/>
      <c r="T500" s="21"/>
      <c r="U500" s="3"/>
      <c r="V500" s="3">
        <f t="shared" si="34"/>
        <v>0</v>
      </c>
      <c r="W500" s="3" t="str">
        <f t="shared" si="35"/>
        <v>Ø16</v>
      </c>
      <c r="X500" s="3" t="str">
        <f t="shared" si="36"/>
        <v>Ø16</v>
      </c>
    </row>
    <row r="501" spans="17:24" x14ac:dyDescent="0.3">
      <c r="Q501" s="3"/>
      <c r="R501" s="3"/>
      <c r="S501" s="3"/>
      <c r="T501" s="21"/>
      <c r="U501" s="3"/>
      <c r="V501" s="3">
        <f t="shared" si="34"/>
        <v>0</v>
      </c>
      <c r="W501" s="3" t="str">
        <f t="shared" si="35"/>
        <v>Ø16</v>
      </c>
      <c r="X501" s="3" t="str">
        <f t="shared" si="36"/>
        <v>Ø16</v>
      </c>
    </row>
    <row r="502" spans="17:24" x14ac:dyDescent="0.3">
      <c r="Q502" s="3"/>
      <c r="R502" s="3"/>
      <c r="S502" s="3"/>
      <c r="T502" s="21"/>
      <c r="U502" s="3"/>
      <c r="V502" s="3">
        <f t="shared" si="34"/>
        <v>0</v>
      </c>
      <c r="W502" s="3" t="str">
        <f t="shared" si="35"/>
        <v>Ø16</v>
      </c>
      <c r="X502" s="3" t="str">
        <f t="shared" si="36"/>
        <v>Ø16</v>
      </c>
    </row>
    <row r="503" spans="17:24" x14ac:dyDescent="0.3">
      <c r="Q503" s="3"/>
      <c r="R503" s="3"/>
      <c r="S503" s="3"/>
      <c r="T503" s="21"/>
      <c r="U503" s="3"/>
      <c r="V503" s="3">
        <f t="shared" si="34"/>
        <v>0</v>
      </c>
      <c r="W503" s="3" t="str">
        <f t="shared" si="35"/>
        <v>Ø16</v>
      </c>
      <c r="X503" s="3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54</vt:i4>
      </vt:variant>
    </vt:vector>
  </HeadingPairs>
  <TitlesOfParts>
    <vt:vector size="73" baseType="lpstr">
      <vt:lpstr>Гайд</vt:lpstr>
      <vt:lpstr>Проверка</vt:lpstr>
      <vt:lpstr>Объект</vt:lpstr>
      <vt:lpstr>Коды</vt:lpstr>
      <vt:lpstr>Щиты</vt:lpstr>
      <vt:lpstr>Итоги_щитов</vt:lpstr>
      <vt:lpstr>Шины</vt:lpstr>
      <vt:lpstr>Линии</vt:lpstr>
      <vt:lpstr>Режимы</vt:lpstr>
      <vt:lpstr>Расчёт_нагрузок</vt:lpstr>
      <vt:lpstr>Кабельный_журнал</vt:lpstr>
      <vt:lpstr>Однолинейка</vt:lpstr>
      <vt:lpstr>Каталог</vt:lpstr>
      <vt:lpstr>Спецификация</vt:lpstr>
      <vt:lpstr>Спецификация_авто</vt:lpstr>
      <vt:lpstr>Бирки</vt:lpstr>
      <vt:lpstr>Методика</vt:lpstr>
      <vt:lpstr>Таблицы_норм</vt:lpstr>
      <vt:lpstr>Справочная_потребители</vt:lpstr>
      <vt:lpstr>c_min</vt:lpstr>
      <vt:lpstr>dU_пит</vt:lpstr>
      <vt:lpstr>Iдоп_1ж</vt:lpstr>
      <vt:lpstr>Iдоп_2ж</vt:lpstr>
      <vt:lpstr>Iдоп_3ж</vt:lpstr>
      <vt:lpstr>Iдоп_S</vt:lpstr>
      <vt:lpstr>k_пк</vt:lpstr>
      <vt:lpstr>R_пер</vt:lpstr>
      <vt:lpstr>Uн_лин</vt:lpstr>
      <vt:lpstr>ρкз_Al</vt:lpstr>
      <vt:lpstr>ρкз_Cu</vt:lpstr>
      <vt:lpstr>Автомат_номиналы</vt:lpstr>
      <vt:lpstr>гофра_пвх</vt:lpstr>
      <vt:lpstr>гофра_пнд</vt:lpstr>
      <vt:lpstr>Запас_кабеля</vt:lpstr>
      <vt:lpstr>ИБП_cos_вх</vt:lpstr>
      <vt:lpstr>ИБП_cos_вых</vt:lpstr>
      <vt:lpstr>ИБП_k</vt:lpstr>
      <vt:lpstr>ИБП_t</vt:lpstr>
      <vt:lpstr>ИБП_U</vt:lpstr>
      <vt:lpstr>ИБП_загрузка</vt:lpstr>
      <vt:lpstr>ИБП_заряд</vt:lpstr>
      <vt:lpstr>ИБП_КПД</vt:lpstr>
      <vt:lpstr>ИБП_ряд</vt:lpstr>
      <vt:lpstr>К_прокл</vt:lpstr>
      <vt:lpstr>Кабель_диаметр</vt:lpstr>
      <vt:lpstr>Кабель_номиналы</vt:lpstr>
      <vt:lpstr>Кабель_обозначение</vt:lpstr>
      <vt:lpstr>Кабель_сопротивление</vt:lpstr>
      <vt:lpstr>Категории_ПЗ</vt:lpstr>
      <vt:lpstr>Ко_сил</vt:lpstr>
      <vt:lpstr>Коды_вид</vt:lpstr>
      <vt:lpstr>Коды_группа</vt:lpstr>
      <vt:lpstr>Коды_код</vt:lpstr>
      <vt:lpstr>Коды_пожарная</vt:lpstr>
      <vt:lpstr>Кс_К</vt:lpstr>
      <vt:lpstr>Кс_Р</vt:lpstr>
      <vt:lpstr>Кс75_k</vt:lpstr>
      <vt:lpstr>Кс75_n</vt:lpstr>
      <vt:lpstr>Методика</vt:lpstr>
      <vt:lpstr>Мин_автомат_БП</vt:lpstr>
      <vt:lpstr>Модули_спр</vt:lpstr>
      <vt:lpstr>Потребители_обозначение</vt:lpstr>
      <vt:lpstr>Спецификация</vt:lpstr>
      <vt:lpstr>Список_щитов</vt:lpstr>
      <vt:lpstr>Справочная_двигатели</vt:lpstr>
      <vt:lpstr>Справочная_ЛЭД</vt:lpstr>
      <vt:lpstr>Справочная_ПТО</vt:lpstr>
      <vt:lpstr>Столбцов_на_лист</vt:lpstr>
      <vt:lpstr>УГО_блоки</vt:lpstr>
      <vt:lpstr>УГО_спр</vt:lpstr>
      <vt:lpstr>Управление_цвета</vt:lpstr>
      <vt:lpstr>Щит_спец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2026-10-04T08:32:45Z</dcterms:modified>
</cp:coreProperties>
</file>